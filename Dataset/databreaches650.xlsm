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xl/calcChain.xml" ContentType="application/vnd.openxmlformats-officedocument.spreadsheetml.calcChain+xml"/>
  <Override PartName="/customXml/itemProps1.xml" ContentType="application/vnd.openxmlformats-officedocument.customXmlProperties+xml"/>
  <Override PartName="/xl/activeX/activeX1.xml" ContentType="application/vnd.ms-office.activeX+xml"/>
  <Override PartName="/xl/activeX/activeX1.bin" ContentType="application/vnd.ms-office.activeX"/>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12" codeName="{00000000-0000-0000-0000-000000000000}"/>
  <workbookPr codeName="ThisWorkbook" defaultThemeVersion="166925"/>
  <mc:AlternateContent xmlns:mc="http://schemas.openxmlformats.org/markup-compatibility/2006">
    <mc:Choice Requires="x15">
      <x15ac:absPath xmlns:x15ac="http://schemas.microsoft.com/office/spreadsheetml/2010/11/ac" url="C:\temp\"/>
    </mc:Choice>
  </mc:AlternateContent>
  <xr:revisionPtr revIDLastSave="3" documentId="13_ncr:1_{09A5192B-B3CA-4B63-982A-2ED8F90A24F5}" xr6:coauthVersionLast="47" xr6:coauthVersionMax="47" xr10:uidLastSave="{9619CEE8-DE58-4A66-9F3E-BF2D373E6D3C}"/>
  <bookViews>
    <workbookView xWindow="23880" yWindow="-120" windowWidth="29040" windowHeight="15840" firstSheet="2" xr2:uid="{00000000-000D-0000-FFFF-FFFF00000000}"/>
  </bookViews>
  <sheets>
    <sheet name="databreaches650" sheetId="1" r:id="rId1"/>
    <sheet name="Sheet1" sheetId="2" r:id="rId2"/>
    <sheet name="Sheet2" sheetId="3" r:id="rId3"/>
  </sheets>
  <definedNames>
    <definedName name="_xlnm._FilterDatabase" localSheetId="1" hidden="1">Sheet1!$A$1:$B$119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E651" i="1" l="1"/>
  <c r="AF651" i="1"/>
  <c r="AG651" i="1"/>
  <c r="AH651" i="1"/>
  <c r="AI651" i="1"/>
  <c r="AJ651" i="1"/>
  <c r="AK651" i="1"/>
  <c r="AL651" i="1"/>
  <c r="AM651" i="1"/>
  <c r="AN651" i="1"/>
  <c r="AO651" i="1"/>
  <c r="AP651" i="1"/>
  <c r="AQ651" i="1"/>
  <c r="AR651" i="1"/>
  <c r="AS651" i="1"/>
  <c r="AT651" i="1"/>
  <c r="AU651" i="1"/>
  <c r="AV651" i="1"/>
  <c r="AW651" i="1"/>
  <c r="AX651" i="1"/>
  <c r="AY651" i="1"/>
  <c r="AZ651" i="1"/>
  <c r="BA651" i="1"/>
  <c r="BB651" i="1"/>
  <c r="BC651" i="1"/>
  <c r="BD651" i="1"/>
  <c r="BE651" i="1"/>
  <c r="BF651" i="1"/>
  <c r="BG651" i="1"/>
  <c r="BH651" i="1"/>
  <c r="BI651" i="1"/>
  <c r="BJ651" i="1"/>
  <c r="BK651" i="1"/>
  <c r="BL651" i="1"/>
  <c r="BM651" i="1"/>
  <c r="BN651" i="1"/>
  <c r="BO651" i="1"/>
  <c r="BP651" i="1"/>
  <c r="BQ651" i="1"/>
  <c r="BR651" i="1"/>
  <c r="BS651" i="1"/>
  <c r="BT651" i="1"/>
  <c r="BU651" i="1"/>
  <c r="BV651" i="1"/>
  <c r="BW651" i="1"/>
  <c r="BX651" i="1"/>
  <c r="BY651" i="1"/>
  <c r="BZ651" i="1"/>
  <c r="CA651" i="1"/>
  <c r="CB651" i="1"/>
  <c r="CC651" i="1"/>
  <c r="CD651" i="1"/>
  <c r="CE651" i="1"/>
  <c r="CF651" i="1"/>
  <c r="CG651" i="1"/>
  <c r="CH651" i="1"/>
  <c r="CI651" i="1"/>
  <c r="CJ651" i="1"/>
  <c r="CK651" i="1"/>
  <c r="CL651" i="1"/>
  <c r="CM651" i="1"/>
  <c r="CN651" i="1"/>
  <c r="CO651" i="1"/>
  <c r="CP651" i="1"/>
  <c r="CQ651" i="1"/>
  <c r="CR651" i="1"/>
  <c r="CS651" i="1"/>
  <c r="CT651" i="1"/>
  <c r="CU651" i="1"/>
  <c r="CV651" i="1"/>
  <c r="CW651" i="1"/>
  <c r="CX651" i="1"/>
  <c r="CY651" i="1"/>
  <c r="CZ651" i="1"/>
  <c r="DA651" i="1"/>
  <c r="DB651" i="1"/>
  <c r="DC651" i="1"/>
  <c r="DD651" i="1"/>
  <c r="DE651" i="1"/>
  <c r="DF651" i="1"/>
  <c r="DG651" i="1"/>
  <c r="DH651" i="1"/>
  <c r="DI651" i="1"/>
  <c r="DJ651" i="1"/>
  <c r="DK651" i="1"/>
  <c r="DL651" i="1"/>
  <c r="DM651" i="1"/>
  <c r="DN651" i="1"/>
  <c r="DO651" i="1"/>
  <c r="DP651" i="1"/>
  <c r="DQ651" i="1"/>
  <c r="DR651" i="1"/>
  <c r="DS651" i="1"/>
  <c r="DT651" i="1"/>
  <c r="DU651" i="1"/>
  <c r="DV651" i="1"/>
  <c r="DW651" i="1"/>
  <c r="DX651" i="1"/>
  <c r="DY651" i="1"/>
  <c r="DZ651" i="1"/>
  <c r="EA651" i="1"/>
  <c r="EB651" i="1"/>
  <c r="EC651" i="1"/>
  <c r="ED651" i="1"/>
  <c r="EE651" i="1"/>
  <c r="EF651" i="1"/>
  <c r="EG651" i="1"/>
  <c r="EH651" i="1"/>
  <c r="EI651" i="1"/>
  <c r="EJ651" i="1"/>
  <c r="EK651" i="1"/>
  <c r="AD651" i="1"/>
  <c r="EH3" i="1"/>
  <c r="EI3" i="1"/>
  <c r="EJ3" i="1"/>
  <c r="EK3" i="1"/>
  <c r="EH4" i="1"/>
  <c r="EI4" i="1"/>
  <c r="EJ4" i="1"/>
  <c r="EK4" i="1"/>
  <c r="EH5" i="1"/>
  <c r="EI5" i="1"/>
  <c r="EJ5" i="1"/>
  <c r="EK5" i="1"/>
  <c r="EH6" i="1"/>
  <c r="EI6" i="1"/>
  <c r="EJ6" i="1"/>
  <c r="EK6" i="1"/>
  <c r="EH7" i="1"/>
  <c r="EI7" i="1"/>
  <c r="EJ7" i="1"/>
  <c r="EK7" i="1"/>
  <c r="EH8" i="1"/>
  <c r="EI8" i="1"/>
  <c r="EJ8" i="1"/>
  <c r="EK8" i="1"/>
  <c r="EH9" i="1"/>
  <c r="EI9" i="1"/>
  <c r="EJ9" i="1"/>
  <c r="EK9" i="1"/>
  <c r="EH10" i="1"/>
  <c r="EI10" i="1"/>
  <c r="EJ10" i="1"/>
  <c r="EK10" i="1"/>
  <c r="EH11" i="1"/>
  <c r="EI11" i="1"/>
  <c r="EJ11" i="1"/>
  <c r="EK11" i="1"/>
  <c r="EH12" i="1"/>
  <c r="EI12" i="1"/>
  <c r="EJ12" i="1"/>
  <c r="EK12" i="1"/>
  <c r="EH13" i="1"/>
  <c r="EI13" i="1"/>
  <c r="EJ13" i="1"/>
  <c r="EK13" i="1"/>
  <c r="EH14" i="1"/>
  <c r="EI14" i="1"/>
  <c r="EJ14" i="1"/>
  <c r="EK14" i="1"/>
  <c r="EH15" i="1"/>
  <c r="EI15" i="1"/>
  <c r="EJ15" i="1"/>
  <c r="EK15" i="1"/>
  <c r="EH16" i="1"/>
  <c r="EI16" i="1"/>
  <c r="EJ16" i="1"/>
  <c r="EK16" i="1"/>
  <c r="EH17" i="1"/>
  <c r="EI17" i="1"/>
  <c r="EJ17" i="1"/>
  <c r="EK17" i="1"/>
  <c r="EH18" i="1"/>
  <c r="EI18" i="1"/>
  <c r="EJ18" i="1"/>
  <c r="EK18" i="1"/>
  <c r="EH19" i="1"/>
  <c r="EI19" i="1"/>
  <c r="EJ19" i="1"/>
  <c r="EK19" i="1"/>
  <c r="EH20" i="1"/>
  <c r="EI20" i="1"/>
  <c r="EJ20" i="1"/>
  <c r="EK20" i="1"/>
  <c r="EH21" i="1"/>
  <c r="EI21" i="1"/>
  <c r="EJ21" i="1"/>
  <c r="EK21" i="1"/>
  <c r="EH22" i="1"/>
  <c r="EI22" i="1"/>
  <c r="EJ22" i="1"/>
  <c r="EK22" i="1"/>
  <c r="EH23" i="1"/>
  <c r="EI23" i="1"/>
  <c r="EJ23" i="1"/>
  <c r="EK23" i="1"/>
  <c r="EH24" i="1"/>
  <c r="EI24" i="1"/>
  <c r="EJ24" i="1"/>
  <c r="EK24" i="1"/>
  <c r="EH25" i="1"/>
  <c r="EI25" i="1"/>
  <c r="EJ25" i="1"/>
  <c r="EK25" i="1"/>
  <c r="EH26" i="1"/>
  <c r="EI26" i="1"/>
  <c r="EJ26" i="1"/>
  <c r="EK26" i="1"/>
  <c r="EH27" i="1"/>
  <c r="EI27" i="1"/>
  <c r="EJ27" i="1"/>
  <c r="EK27" i="1"/>
  <c r="EH28" i="1"/>
  <c r="EI28" i="1"/>
  <c r="EJ28" i="1"/>
  <c r="EK28" i="1"/>
  <c r="EH29" i="1"/>
  <c r="EI29" i="1"/>
  <c r="EJ29" i="1"/>
  <c r="EK29" i="1"/>
  <c r="EH30" i="1"/>
  <c r="EI30" i="1"/>
  <c r="EJ30" i="1"/>
  <c r="EK30" i="1"/>
  <c r="EH31" i="1"/>
  <c r="EI31" i="1"/>
  <c r="EJ31" i="1"/>
  <c r="EK31" i="1"/>
  <c r="EH32" i="1"/>
  <c r="EI32" i="1"/>
  <c r="EJ32" i="1"/>
  <c r="EK32" i="1"/>
  <c r="EH33" i="1"/>
  <c r="EI33" i="1"/>
  <c r="EJ33" i="1"/>
  <c r="EK33" i="1"/>
  <c r="EH34" i="1"/>
  <c r="EI34" i="1"/>
  <c r="EJ34" i="1"/>
  <c r="EK34" i="1"/>
  <c r="EH35" i="1"/>
  <c r="EI35" i="1"/>
  <c r="EJ35" i="1"/>
  <c r="EK35" i="1"/>
  <c r="EH36" i="1"/>
  <c r="EI36" i="1"/>
  <c r="EJ36" i="1"/>
  <c r="EK36" i="1"/>
  <c r="EH37" i="1"/>
  <c r="EI37" i="1"/>
  <c r="EJ37" i="1"/>
  <c r="EK37" i="1"/>
  <c r="EH38" i="1"/>
  <c r="EI38" i="1"/>
  <c r="EJ38" i="1"/>
  <c r="EK38" i="1"/>
  <c r="EH39" i="1"/>
  <c r="EI39" i="1"/>
  <c r="EJ39" i="1"/>
  <c r="EK39" i="1"/>
  <c r="EH40" i="1"/>
  <c r="EI40" i="1"/>
  <c r="EJ40" i="1"/>
  <c r="EK40" i="1"/>
  <c r="EH41" i="1"/>
  <c r="EI41" i="1"/>
  <c r="EJ41" i="1"/>
  <c r="EK41" i="1"/>
  <c r="EH42" i="1"/>
  <c r="EI42" i="1"/>
  <c r="EJ42" i="1"/>
  <c r="EK42" i="1"/>
  <c r="EH43" i="1"/>
  <c r="EI43" i="1"/>
  <c r="EJ43" i="1"/>
  <c r="EK43" i="1"/>
  <c r="EH44" i="1"/>
  <c r="EI44" i="1"/>
  <c r="EJ44" i="1"/>
  <c r="EK44" i="1"/>
  <c r="EH45" i="1"/>
  <c r="EI45" i="1"/>
  <c r="EJ45" i="1"/>
  <c r="EK45" i="1"/>
  <c r="EH46" i="1"/>
  <c r="EI46" i="1"/>
  <c r="EJ46" i="1"/>
  <c r="EK46" i="1"/>
  <c r="EH47" i="1"/>
  <c r="EI47" i="1"/>
  <c r="EJ47" i="1"/>
  <c r="EK47" i="1"/>
  <c r="EH48" i="1"/>
  <c r="EI48" i="1"/>
  <c r="EJ48" i="1"/>
  <c r="EK48" i="1"/>
  <c r="EH49" i="1"/>
  <c r="EI49" i="1"/>
  <c r="EJ49" i="1"/>
  <c r="EK49" i="1"/>
  <c r="EH50" i="1"/>
  <c r="EI50" i="1"/>
  <c r="EJ50" i="1"/>
  <c r="EK50" i="1"/>
  <c r="EH51" i="1"/>
  <c r="EI51" i="1"/>
  <c r="EJ51" i="1"/>
  <c r="EK51" i="1"/>
  <c r="EH52" i="1"/>
  <c r="EI52" i="1"/>
  <c r="EJ52" i="1"/>
  <c r="EK52" i="1"/>
  <c r="EH53" i="1"/>
  <c r="EI53" i="1"/>
  <c r="EJ53" i="1"/>
  <c r="EK53" i="1"/>
  <c r="EH54" i="1"/>
  <c r="EI54" i="1"/>
  <c r="EJ54" i="1"/>
  <c r="EK54" i="1"/>
  <c r="EH55" i="1"/>
  <c r="EI55" i="1"/>
  <c r="EJ55" i="1"/>
  <c r="EK55" i="1"/>
  <c r="EH56" i="1"/>
  <c r="EI56" i="1"/>
  <c r="EJ56" i="1"/>
  <c r="EK56" i="1"/>
  <c r="EH57" i="1"/>
  <c r="EI57" i="1"/>
  <c r="EJ57" i="1"/>
  <c r="EK57" i="1"/>
  <c r="EH58" i="1"/>
  <c r="EI58" i="1"/>
  <c r="EJ58" i="1"/>
  <c r="EK58" i="1"/>
  <c r="EH59" i="1"/>
  <c r="EI59" i="1"/>
  <c r="EJ59" i="1"/>
  <c r="EK59" i="1"/>
  <c r="EH60" i="1"/>
  <c r="EI60" i="1"/>
  <c r="EJ60" i="1"/>
  <c r="EK60" i="1"/>
  <c r="EH61" i="1"/>
  <c r="EI61" i="1"/>
  <c r="EJ61" i="1"/>
  <c r="EK61" i="1"/>
  <c r="EH62" i="1"/>
  <c r="EI62" i="1"/>
  <c r="EJ62" i="1"/>
  <c r="EK62" i="1"/>
  <c r="EH63" i="1"/>
  <c r="EI63" i="1"/>
  <c r="EJ63" i="1"/>
  <c r="EK63" i="1"/>
  <c r="EH64" i="1"/>
  <c r="EI64" i="1"/>
  <c r="EJ64" i="1"/>
  <c r="EK64" i="1"/>
  <c r="EH65" i="1"/>
  <c r="EI65" i="1"/>
  <c r="EJ65" i="1"/>
  <c r="EK65" i="1"/>
  <c r="EH66" i="1"/>
  <c r="EI66" i="1"/>
  <c r="EJ66" i="1"/>
  <c r="EK66" i="1"/>
  <c r="EH67" i="1"/>
  <c r="EI67" i="1"/>
  <c r="EJ67" i="1"/>
  <c r="EK67" i="1"/>
  <c r="EH68" i="1"/>
  <c r="EI68" i="1"/>
  <c r="EJ68" i="1"/>
  <c r="EK68" i="1"/>
  <c r="EH69" i="1"/>
  <c r="EI69" i="1"/>
  <c r="EJ69" i="1"/>
  <c r="EK69" i="1"/>
  <c r="EH70" i="1"/>
  <c r="EI70" i="1"/>
  <c r="EJ70" i="1"/>
  <c r="EK70" i="1"/>
  <c r="EH71" i="1"/>
  <c r="EI71" i="1"/>
  <c r="EJ71" i="1"/>
  <c r="EK71" i="1"/>
  <c r="EH72" i="1"/>
  <c r="EI72" i="1"/>
  <c r="EJ72" i="1"/>
  <c r="EK72" i="1"/>
  <c r="EH73" i="1"/>
  <c r="EI73" i="1"/>
  <c r="EJ73" i="1"/>
  <c r="EK73" i="1"/>
  <c r="EH74" i="1"/>
  <c r="EI74" i="1"/>
  <c r="EJ74" i="1"/>
  <c r="EK74" i="1"/>
  <c r="EH75" i="1"/>
  <c r="EI75" i="1"/>
  <c r="EJ75" i="1"/>
  <c r="EK75" i="1"/>
  <c r="EH76" i="1"/>
  <c r="EI76" i="1"/>
  <c r="EJ76" i="1"/>
  <c r="EK76" i="1"/>
  <c r="EH77" i="1"/>
  <c r="EI77" i="1"/>
  <c r="EJ77" i="1"/>
  <c r="EK77" i="1"/>
  <c r="EH78" i="1"/>
  <c r="EI78" i="1"/>
  <c r="EJ78" i="1"/>
  <c r="EK78" i="1"/>
  <c r="EH79" i="1"/>
  <c r="EI79" i="1"/>
  <c r="EJ79" i="1"/>
  <c r="EK79" i="1"/>
  <c r="EH80" i="1"/>
  <c r="EI80" i="1"/>
  <c r="EJ80" i="1"/>
  <c r="EK80" i="1"/>
  <c r="EH81" i="1"/>
  <c r="EI81" i="1"/>
  <c r="EJ81" i="1"/>
  <c r="EK81" i="1"/>
  <c r="EH82" i="1"/>
  <c r="EI82" i="1"/>
  <c r="EJ82" i="1"/>
  <c r="EK82" i="1"/>
  <c r="EH83" i="1"/>
  <c r="EI83" i="1"/>
  <c r="EJ83" i="1"/>
  <c r="EK83" i="1"/>
  <c r="EH84" i="1"/>
  <c r="EI84" i="1"/>
  <c r="EJ84" i="1"/>
  <c r="EK84" i="1"/>
  <c r="EH85" i="1"/>
  <c r="EI85" i="1"/>
  <c r="EJ85" i="1"/>
  <c r="EK85" i="1"/>
  <c r="EH86" i="1"/>
  <c r="EI86" i="1"/>
  <c r="EJ86" i="1"/>
  <c r="EK86" i="1"/>
  <c r="EH87" i="1"/>
  <c r="EI87" i="1"/>
  <c r="EJ87" i="1"/>
  <c r="EK87" i="1"/>
  <c r="EH88" i="1"/>
  <c r="EI88" i="1"/>
  <c r="EJ88" i="1"/>
  <c r="EK88" i="1"/>
  <c r="EH89" i="1"/>
  <c r="EI89" i="1"/>
  <c r="EJ89" i="1"/>
  <c r="EK89" i="1"/>
  <c r="EH90" i="1"/>
  <c r="EI90" i="1"/>
  <c r="EJ90" i="1"/>
  <c r="EK90" i="1"/>
  <c r="EH91" i="1"/>
  <c r="EI91" i="1"/>
  <c r="EJ91" i="1"/>
  <c r="EK91" i="1"/>
  <c r="EH92" i="1"/>
  <c r="EI92" i="1"/>
  <c r="EJ92" i="1"/>
  <c r="EK92" i="1"/>
  <c r="EH93" i="1"/>
  <c r="EI93" i="1"/>
  <c r="EJ93" i="1"/>
  <c r="EK93" i="1"/>
  <c r="EH94" i="1"/>
  <c r="EI94" i="1"/>
  <c r="EJ94" i="1"/>
  <c r="EK94" i="1"/>
  <c r="EH95" i="1"/>
  <c r="EI95" i="1"/>
  <c r="EJ95" i="1"/>
  <c r="EK95" i="1"/>
  <c r="EH96" i="1"/>
  <c r="EI96" i="1"/>
  <c r="EJ96" i="1"/>
  <c r="EK96" i="1"/>
  <c r="EH97" i="1"/>
  <c r="EI97" i="1"/>
  <c r="EJ97" i="1"/>
  <c r="EK97" i="1"/>
  <c r="EH98" i="1"/>
  <c r="EI98" i="1"/>
  <c r="EJ98" i="1"/>
  <c r="EK98" i="1"/>
  <c r="EH99" i="1"/>
  <c r="EI99" i="1"/>
  <c r="EJ99" i="1"/>
  <c r="EK99" i="1"/>
  <c r="EH100" i="1"/>
  <c r="EI100" i="1"/>
  <c r="EJ100" i="1"/>
  <c r="EK100" i="1"/>
  <c r="EH101" i="1"/>
  <c r="EI101" i="1"/>
  <c r="EJ101" i="1"/>
  <c r="EK101" i="1"/>
  <c r="EH102" i="1"/>
  <c r="EI102" i="1"/>
  <c r="EJ102" i="1"/>
  <c r="EK102" i="1"/>
  <c r="EH103" i="1"/>
  <c r="EI103" i="1"/>
  <c r="EJ103" i="1"/>
  <c r="EK103" i="1"/>
  <c r="EH104" i="1"/>
  <c r="EI104" i="1"/>
  <c r="EJ104" i="1"/>
  <c r="EK104" i="1"/>
  <c r="EH105" i="1"/>
  <c r="EI105" i="1"/>
  <c r="EJ105" i="1"/>
  <c r="EK105" i="1"/>
  <c r="EH106" i="1"/>
  <c r="EI106" i="1"/>
  <c r="EJ106" i="1"/>
  <c r="EK106" i="1"/>
  <c r="EH107" i="1"/>
  <c r="EI107" i="1"/>
  <c r="EJ107" i="1"/>
  <c r="EK107" i="1"/>
  <c r="EH108" i="1"/>
  <c r="EI108" i="1"/>
  <c r="EJ108" i="1"/>
  <c r="EK108" i="1"/>
  <c r="EH109" i="1"/>
  <c r="EI109" i="1"/>
  <c r="EJ109" i="1"/>
  <c r="EK109" i="1"/>
  <c r="EH110" i="1"/>
  <c r="EI110" i="1"/>
  <c r="EJ110" i="1"/>
  <c r="EK110" i="1"/>
  <c r="EH111" i="1"/>
  <c r="EI111" i="1"/>
  <c r="EJ111" i="1"/>
  <c r="EK111" i="1"/>
  <c r="EH112" i="1"/>
  <c r="EI112" i="1"/>
  <c r="EJ112" i="1"/>
  <c r="EK112" i="1"/>
  <c r="EH113" i="1"/>
  <c r="EI113" i="1"/>
  <c r="EJ113" i="1"/>
  <c r="EK113" i="1"/>
  <c r="EH114" i="1"/>
  <c r="EI114" i="1"/>
  <c r="EJ114" i="1"/>
  <c r="EK114" i="1"/>
  <c r="EH115" i="1"/>
  <c r="EI115" i="1"/>
  <c r="EJ115" i="1"/>
  <c r="EK115" i="1"/>
  <c r="EH116" i="1"/>
  <c r="EI116" i="1"/>
  <c r="EJ116" i="1"/>
  <c r="EK116" i="1"/>
  <c r="EH117" i="1"/>
  <c r="EI117" i="1"/>
  <c r="EJ117" i="1"/>
  <c r="EK117" i="1"/>
  <c r="EH118" i="1"/>
  <c r="EI118" i="1"/>
  <c r="EJ118" i="1"/>
  <c r="EK118" i="1"/>
  <c r="EH119" i="1"/>
  <c r="EI119" i="1"/>
  <c r="EJ119" i="1"/>
  <c r="EK119" i="1"/>
  <c r="EH120" i="1"/>
  <c r="EI120" i="1"/>
  <c r="EJ120" i="1"/>
  <c r="EK120" i="1"/>
  <c r="EH121" i="1"/>
  <c r="EI121" i="1"/>
  <c r="EJ121" i="1"/>
  <c r="EK121" i="1"/>
  <c r="EH122" i="1"/>
  <c r="EI122" i="1"/>
  <c r="EJ122" i="1"/>
  <c r="EK122" i="1"/>
  <c r="EH123" i="1"/>
  <c r="EI123" i="1"/>
  <c r="EJ123" i="1"/>
  <c r="EK123" i="1"/>
  <c r="EH124" i="1"/>
  <c r="EI124" i="1"/>
  <c r="EJ124" i="1"/>
  <c r="EK124" i="1"/>
  <c r="EH125" i="1"/>
  <c r="EI125" i="1"/>
  <c r="EJ125" i="1"/>
  <c r="EK125" i="1"/>
  <c r="EH126" i="1"/>
  <c r="EI126" i="1"/>
  <c r="EJ126" i="1"/>
  <c r="EK126" i="1"/>
  <c r="EH127" i="1"/>
  <c r="EI127" i="1"/>
  <c r="EJ127" i="1"/>
  <c r="EK127" i="1"/>
  <c r="EH128" i="1"/>
  <c r="EI128" i="1"/>
  <c r="EJ128" i="1"/>
  <c r="EK128" i="1"/>
  <c r="EH129" i="1"/>
  <c r="EI129" i="1"/>
  <c r="EJ129" i="1"/>
  <c r="EK129" i="1"/>
  <c r="EH130" i="1"/>
  <c r="EI130" i="1"/>
  <c r="EJ130" i="1"/>
  <c r="EK130" i="1"/>
  <c r="EH131" i="1"/>
  <c r="EI131" i="1"/>
  <c r="EJ131" i="1"/>
  <c r="EK131" i="1"/>
  <c r="EH132" i="1"/>
  <c r="EI132" i="1"/>
  <c r="EJ132" i="1"/>
  <c r="EK132" i="1"/>
  <c r="EH133" i="1"/>
  <c r="EI133" i="1"/>
  <c r="EJ133" i="1"/>
  <c r="EK133" i="1"/>
  <c r="EH134" i="1"/>
  <c r="EI134" i="1"/>
  <c r="EJ134" i="1"/>
  <c r="EK134" i="1"/>
  <c r="EH135" i="1"/>
  <c r="EI135" i="1"/>
  <c r="EJ135" i="1"/>
  <c r="EK135" i="1"/>
  <c r="EH136" i="1"/>
  <c r="EI136" i="1"/>
  <c r="EJ136" i="1"/>
  <c r="EK136" i="1"/>
  <c r="EH137" i="1"/>
  <c r="EI137" i="1"/>
  <c r="EJ137" i="1"/>
  <c r="EK137" i="1"/>
  <c r="EH138" i="1"/>
  <c r="EI138" i="1"/>
  <c r="EJ138" i="1"/>
  <c r="EK138" i="1"/>
  <c r="EH139" i="1"/>
  <c r="EI139" i="1"/>
  <c r="EJ139" i="1"/>
  <c r="EK139" i="1"/>
  <c r="EH140" i="1"/>
  <c r="EI140" i="1"/>
  <c r="EJ140" i="1"/>
  <c r="EK140" i="1"/>
  <c r="EH141" i="1"/>
  <c r="EI141" i="1"/>
  <c r="EJ141" i="1"/>
  <c r="EK141" i="1"/>
  <c r="EH142" i="1"/>
  <c r="EI142" i="1"/>
  <c r="EJ142" i="1"/>
  <c r="EK142" i="1"/>
  <c r="EH143" i="1"/>
  <c r="EI143" i="1"/>
  <c r="EJ143" i="1"/>
  <c r="EK143" i="1"/>
  <c r="EH144" i="1"/>
  <c r="EI144" i="1"/>
  <c r="EJ144" i="1"/>
  <c r="EK144" i="1"/>
  <c r="EH145" i="1"/>
  <c r="EI145" i="1"/>
  <c r="EJ145" i="1"/>
  <c r="EK145" i="1"/>
  <c r="EH146" i="1"/>
  <c r="EI146" i="1"/>
  <c r="EJ146" i="1"/>
  <c r="EK146" i="1"/>
  <c r="EH147" i="1"/>
  <c r="EI147" i="1"/>
  <c r="EJ147" i="1"/>
  <c r="EK147" i="1"/>
  <c r="EH148" i="1"/>
  <c r="EI148" i="1"/>
  <c r="EJ148" i="1"/>
  <c r="EK148" i="1"/>
  <c r="EH149" i="1"/>
  <c r="EI149" i="1"/>
  <c r="EJ149" i="1"/>
  <c r="EK149" i="1"/>
  <c r="EH150" i="1"/>
  <c r="EI150" i="1"/>
  <c r="EJ150" i="1"/>
  <c r="EK150" i="1"/>
  <c r="EH151" i="1"/>
  <c r="EI151" i="1"/>
  <c r="EJ151" i="1"/>
  <c r="EK151" i="1"/>
  <c r="EH152" i="1"/>
  <c r="EI152" i="1"/>
  <c r="EJ152" i="1"/>
  <c r="EK152" i="1"/>
  <c r="EH153" i="1"/>
  <c r="EI153" i="1"/>
  <c r="EJ153" i="1"/>
  <c r="EK153" i="1"/>
  <c r="EH154" i="1"/>
  <c r="EI154" i="1"/>
  <c r="EJ154" i="1"/>
  <c r="EK154" i="1"/>
  <c r="EH155" i="1"/>
  <c r="EI155" i="1"/>
  <c r="EJ155" i="1"/>
  <c r="EK155" i="1"/>
  <c r="EH156" i="1"/>
  <c r="EI156" i="1"/>
  <c r="EJ156" i="1"/>
  <c r="EK156" i="1"/>
  <c r="EH157" i="1"/>
  <c r="EI157" i="1"/>
  <c r="EJ157" i="1"/>
  <c r="EK157" i="1"/>
  <c r="EH158" i="1"/>
  <c r="EI158" i="1"/>
  <c r="EJ158" i="1"/>
  <c r="EK158" i="1"/>
  <c r="EH159" i="1"/>
  <c r="EI159" i="1"/>
  <c r="EJ159" i="1"/>
  <c r="EK159" i="1"/>
  <c r="EH160" i="1"/>
  <c r="EI160" i="1"/>
  <c r="EJ160" i="1"/>
  <c r="EK160" i="1"/>
  <c r="EH161" i="1"/>
  <c r="EI161" i="1"/>
  <c r="EJ161" i="1"/>
  <c r="EK161" i="1"/>
  <c r="EH162" i="1"/>
  <c r="EI162" i="1"/>
  <c r="EJ162" i="1"/>
  <c r="EK162" i="1"/>
  <c r="EH163" i="1"/>
  <c r="EI163" i="1"/>
  <c r="EJ163" i="1"/>
  <c r="EK163" i="1"/>
  <c r="EH164" i="1"/>
  <c r="EI164" i="1"/>
  <c r="EJ164" i="1"/>
  <c r="EK164" i="1"/>
  <c r="EH165" i="1"/>
  <c r="EI165" i="1"/>
  <c r="EJ165" i="1"/>
  <c r="EK165" i="1"/>
  <c r="EH166" i="1"/>
  <c r="EI166" i="1"/>
  <c r="EJ166" i="1"/>
  <c r="EK166" i="1"/>
  <c r="EH167" i="1"/>
  <c r="EI167" i="1"/>
  <c r="EJ167" i="1"/>
  <c r="EK167" i="1"/>
  <c r="EH168" i="1"/>
  <c r="EI168" i="1"/>
  <c r="EJ168" i="1"/>
  <c r="EK168" i="1"/>
  <c r="EH169" i="1"/>
  <c r="EI169" i="1"/>
  <c r="EJ169" i="1"/>
  <c r="EK169" i="1"/>
  <c r="EH170" i="1"/>
  <c r="EI170" i="1"/>
  <c r="EJ170" i="1"/>
  <c r="EK170" i="1"/>
  <c r="EH171" i="1"/>
  <c r="EI171" i="1"/>
  <c r="EJ171" i="1"/>
  <c r="EK171" i="1"/>
  <c r="EH172" i="1"/>
  <c r="EI172" i="1"/>
  <c r="EJ172" i="1"/>
  <c r="EK172" i="1"/>
  <c r="EH173" i="1"/>
  <c r="EI173" i="1"/>
  <c r="EJ173" i="1"/>
  <c r="EK173" i="1"/>
  <c r="EH174" i="1"/>
  <c r="EI174" i="1"/>
  <c r="EJ174" i="1"/>
  <c r="EK174" i="1"/>
  <c r="EH175" i="1"/>
  <c r="EI175" i="1"/>
  <c r="EJ175" i="1"/>
  <c r="EK175" i="1"/>
  <c r="EH176" i="1"/>
  <c r="EI176" i="1"/>
  <c r="EJ176" i="1"/>
  <c r="EK176" i="1"/>
  <c r="EH177" i="1"/>
  <c r="EI177" i="1"/>
  <c r="EJ177" i="1"/>
  <c r="EK177" i="1"/>
  <c r="EH178" i="1"/>
  <c r="EI178" i="1"/>
  <c r="EJ178" i="1"/>
  <c r="EK178" i="1"/>
  <c r="EH179" i="1"/>
  <c r="EI179" i="1"/>
  <c r="EJ179" i="1"/>
  <c r="EK179" i="1"/>
  <c r="EH180" i="1"/>
  <c r="EI180" i="1"/>
  <c r="EJ180" i="1"/>
  <c r="EK180" i="1"/>
  <c r="EH181" i="1"/>
  <c r="EI181" i="1"/>
  <c r="EJ181" i="1"/>
  <c r="EK181" i="1"/>
  <c r="EH182" i="1"/>
  <c r="EI182" i="1"/>
  <c r="EJ182" i="1"/>
  <c r="EK182" i="1"/>
  <c r="EH183" i="1"/>
  <c r="EI183" i="1"/>
  <c r="EJ183" i="1"/>
  <c r="EK183" i="1"/>
  <c r="EH184" i="1"/>
  <c r="EI184" i="1"/>
  <c r="EJ184" i="1"/>
  <c r="EK184" i="1"/>
  <c r="EH185" i="1"/>
  <c r="EI185" i="1"/>
  <c r="EJ185" i="1"/>
  <c r="EK185" i="1"/>
  <c r="EH186" i="1"/>
  <c r="EI186" i="1"/>
  <c r="EJ186" i="1"/>
  <c r="EK186" i="1"/>
  <c r="EH187" i="1"/>
  <c r="EI187" i="1"/>
  <c r="EJ187" i="1"/>
  <c r="EK187" i="1"/>
  <c r="EH188" i="1"/>
  <c r="EI188" i="1"/>
  <c r="EJ188" i="1"/>
  <c r="EK188" i="1"/>
  <c r="EH189" i="1"/>
  <c r="EI189" i="1"/>
  <c r="EJ189" i="1"/>
  <c r="EK189" i="1"/>
  <c r="EH190" i="1"/>
  <c r="EI190" i="1"/>
  <c r="EJ190" i="1"/>
  <c r="EK190" i="1"/>
  <c r="EH191" i="1"/>
  <c r="EI191" i="1"/>
  <c r="EJ191" i="1"/>
  <c r="EK191" i="1"/>
  <c r="EH192" i="1"/>
  <c r="EI192" i="1"/>
  <c r="EJ192" i="1"/>
  <c r="EK192" i="1"/>
  <c r="EH193" i="1"/>
  <c r="EI193" i="1"/>
  <c r="EJ193" i="1"/>
  <c r="EK193" i="1"/>
  <c r="EH194" i="1"/>
  <c r="EI194" i="1"/>
  <c r="EJ194" i="1"/>
  <c r="EK194" i="1"/>
  <c r="EH195" i="1"/>
  <c r="EI195" i="1"/>
  <c r="EJ195" i="1"/>
  <c r="EK195" i="1"/>
  <c r="EH196" i="1"/>
  <c r="EI196" i="1"/>
  <c r="EJ196" i="1"/>
  <c r="EK196" i="1"/>
  <c r="EH197" i="1"/>
  <c r="EI197" i="1"/>
  <c r="EJ197" i="1"/>
  <c r="EK197" i="1"/>
  <c r="EH198" i="1"/>
  <c r="EI198" i="1"/>
  <c r="EJ198" i="1"/>
  <c r="EK198" i="1"/>
  <c r="EH199" i="1"/>
  <c r="EI199" i="1"/>
  <c r="EJ199" i="1"/>
  <c r="EK199" i="1"/>
  <c r="EH200" i="1"/>
  <c r="EI200" i="1"/>
  <c r="EJ200" i="1"/>
  <c r="EK200" i="1"/>
  <c r="EH201" i="1"/>
  <c r="EI201" i="1"/>
  <c r="EJ201" i="1"/>
  <c r="EK201" i="1"/>
  <c r="EH202" i="1"/>
  <c r="EI202" i="1"/>
  <c r="EJ202" i="1"/>
  <c r="EK202" i="1"/>
  <c r="EH203" i="1"/>
  <c r="EI203" i="1"/>
  <c r="EJ203" i="1"/>
  <c r="EK203" i="1"/>
  <c r="EH204" i="1"/>
  <c r="EI204" i="1"/>
  <c r="EJ204" i="1"/>
  <c r="EK204" i="1"/>
  <c r="EH205" i="1"/>
  <c r="EI205" i="1"/>
  <c r="EJ205" i="1"/>
  <c r="EK205" i="1"/>
  <c r="EH206" i="1"/>
  <c r="EI206" i="1"/>
  <c r="EJ206" i="1"/>
  <c r="EK206" i="1"/>
  <c r="EH207" i="1"/>
  <c r="EI207" i="1"/>
  <c r="EJ207" i="1"/>
  <c r="EK207" i="1"/>
  <c r="EH208" i="1"/>
  <c r="EI208" i="1"/>
  <c r="EJ208" i="1"/>
  <c r="EK208" i="1"/>
  <c r="EH209" i="1"/>
  <c r="EI209" i="1"/>
  <c r="EJ209" i="1"/>
  <c r="EK209" i="1"/>
  <c r="EH210" i="1"/>
  <c r="EI210" i="1"/>
  <c r="EJ210" i="1"/>
  <c r="EK210" i="1"/>
  <c r="EH211" i="1"/>
  <c r="EI211" i="1"/>
  <c r="EJ211" i="1"/>
  <c r="EK211" i="1"/>
  <c r="EH212" i="1"/>
  <c r="EI212" i="1"/>
  <c r="EJ212" i="1"/>
  <c r="EK212" i="1"/>
  <c r="EH213" i="1"/>
  <c r="EI213" i="1"/>
  <c r="EJ213" i="1"/>
  <c r="EK213" i="1"/>
  <c r="EH214" i="1"/>
  <c r="EI214" i="1"/>
  <c r="EJ214" i="1"/>
  <c r="EK214" i="1"/>
  <c r="EH215" i="1"/>
  <c r="EI215" i="1"/>
  <c r="EJ215" i="1"/>
  <c r="EK215" i="1"/>
  <c r="EH216" i="1"/>
  <c r="EI216" i="1"/>
  <c r="EJ216" i="1"/>
  <c r="EK216" i="1"/>
  <c r="EH217" i="1"/>
  <c r="EI217" i="1"/>
  <c r="EJ217" i="1"/>
  <c r="EK217" i="1"/>
  <c r="EH218" i="1"/>
  <c r="EI218" i="1"/>
  <c r="EJ218" i="1"/>
  <c r="EK218" i="1"/>
  <c r="EH219" i="1"/>
  <c r="EI219" i="1"/>
  <c r="EJ219" i="1"/>
  <c r="EK219" i="1"/>
  <c r="EH220" i="1"/>
  <c r="EI220" i="1"/>
  <c r="EJ220" i="1"/>
  <c r="EK220" i="1"/>
  <c r="EH221" i="1"/>
  <c r="EI221" i="1"/>
  <c r="EJ221" i="1"/>
  <c r="EK221" i="1"/>
  <c r="EH222" i="1"/>
  <c r="EI222" i="1"/>
  <c r="EJ222" i="1"/>
  <c r="EK222" i="1"/>
  <c r="EH223" i="1"/>
  <c r="EI223" i="1"/>
  <c r="EJ223" i="1"/>
  <c r="EK223" i="1"/>
  <c r="EH224" i="1"/>
  <c r="EI224" i="1"/>
  <c r="EJ224" i="1"/>
  <c r="EK224" i="1"/>
  <c r="EH225" i="1"/>
  <c r="EI225" i="1"/>
  <c r="EJ225" i="1"/>
  <c r="EK225" i="1"/>
  <c r="EH226" i="1"/>
  <c r="EI226" i="1"/>
  <c r="EJ226" i="1"/>
  <c r="EK226" i="1"/>
  <c r="EH227" i="1"/>
  <c r="EI227" i="1"/>
  <c r="EJ227" i="1"/>
  <c r="EK227" i="1"/>
  <c r="EH228" i="1"/>
  <c r="EI228" i="1"/>
  <c r="EJ228" i="1"/>
  <c r="EK228" i="1"/>
  <c r="EH229" i="1"/>
  <c r="EI229" i="1"/>
  <c r="EJ229" i="1"/>
  <c r="EK229" i="1"/>
  <c r="EH230" i="1"/>
  <c r="EI230" i="1"/>
  <c r="EJ230" i="1"/>
  <c r="EK230" i="1"/>
  <c r="EH231" i="1"/>
  <c r="EI231" i="1"/>
  <c r="EJ231" i="1"/>
  <c r="EK231" i="1"/>
  <c r="EH232" i="1"/>
  <c r="EI232" i="1"/>
  <c r="EJ232" i="1"/>
  <c r="EK232" i="1"/>
  <c r="EH233" i="1"/>
  <c r="EI233" i="1"/>
  <c r="EJ233" i="1"/>
  <c r="EK233" i="1"/>
  <c r="EH234" i="1"/>
  <c r="EI234" i="1"/>
  <c r="EJ234" i="1"/>
  <c r="EK234" i="1"/>
  <c r="EH235" i="1"/>
  <c r="EI235" i="1"/>
  <c r="EJ235" i="1"/>
  <c r="EK235" i="1"/>
  <c r="EH236" i="1"/>
  <c r="EI236" i="1"/>
  <c r="EJ236" i="1"/>
  <c r="EK236" i="1"/>
  <c r="EH237" i="1"/>
  <c r="EI237" i="1"/>
  <c r="EJ237" i="1"/>
  <c r="EK237" i="1"/>
  <c r="EH238" i="1"/>
  <c r="EI238" i="1"/>
  <c r="EJ238" i="1"/>
  <c r="EK238" i="1"/>
  <c r="EH239" i="1"/>
  <c r="EI239" i="1"/>
  <c r="EJ239" i="1"/>
  <c r="EK239" i="1"/>
  <c r="EH240" i="1"/>
  <c r="EI240" i="1"/>
  <c r="EJ240" i="1"/>
  <c r="EK240" i="1"/>
  <c r="EH241" i="1"/>
  <c r="EI241" i="1"/>
  <c r="EJ241" i="1"/>
  <c r="EK241" i="1"/>
  <c r="EH242" i="1"/>
  <c r="EI242" i="1"/>
  <c r="EJ242" i="1"/>
  <c r="EK242" i="1"/>
  <c r="EH243" i="1"/>
  <c r="EI243" i="1"/>
  <c r="EJ243" i="1"/>
  <c r="EK243" i="1"/>
  <c r="EH244" i="1"/>
  <c r="EI244" i="1"/>
  <c r="EJ244" i="1"/>
  <c r="EK244" i="1"/>
  <c r="EH245" i="1"/>
  <c r="EI245" i="1"/>
  <c r="EJ245" i="1"/>
  <c r="EK245" i="1"/>
  <c r="EH246" i="1"/>
  <c r="EI246" i="1"/>
  <c r="EJ246" i="1"/>
  <c r="EK246" i="1"/>
  <c r="EH247" i="1"/>
  <c r="EI247" i="1"/>
  <c r="EJ247" i="1"/>
  <c r="EK247" i="1"/>
  <c r="EH248" i="1"/>
  <c r="EI248" i="1"/>
  <c r="EJ248" i="1"/>
  <c r="EK248" i="1"/>
  <c r="EH249" i="1"/>
  <c r="EI249" i="1"/>
  <c r="EJ249" i="1"/>
  <c r="EK249" i="1"/>
  <c r="EH250" i="1"/>
  <c r="EI250" i="1"/>
  <c r="EJ250" i="1"/>
  <c r="EK250" i="1"/>
  <c r="EH251" i="1"/>
  <c r="EI251" i="1"/>
  <c r="EJ251" i="1"/>
  <c r="EK251" i="1"/>
  <c r="EH252" i="1"/>
  <c r="EI252" i="1"/>
  <c r="EJ252" i="1"/>
  <c r="EK252" i="1"/>
  <c r="EH253" i="1"/>
  <c r="EI253" i="1"/>
  <c r="EJ253" i="1"/>
  <c r="EK253" i="1"/>
  <c r="EH254" i="1"/>
  <c r="EI254" i="1"/>
  <c r="EJ254" i="1"/>
  <c r="EK254" i="1"/>
  <c r="EH255" i="1"/>
  <c r="EI255" i="1"/>
  <c r="EJ255" i="1"/>
  <c r="EK255" i="1"/>
  <c r="EH256" i="1"/>
  <c r="EI256" i="1"/>
  <c r="EJ256" i="1"/>
  <c r="EK256" i="1"/>
  <c r="EH257" i="1"/>
  <c r="EI257" i="1"/>
  <c r="EJ257" i="1"/>
  <c r="EK257" i="1"/>
  <c r="EH258" i="1"/>
  <c r="EI258" i="1"/>
  <c r="EJ258" i="1"/>
  <c r="EK258" i="1"/>
  <c r="EH259" i="1"/>
  <c r="EI259" i="1"/>
  <c r="EJ259" i="1"/>
  <c r="EK259" i="1"/>
  <c r="EH260" i="1"/>
  <c r="EI260" i="1"/>
  <c r="EJ260" i="1"/>
  <c r="EK260" i="1"/>
  <c r="EH261" i="1"/>
  <c r="EI261" i="1"/>
  <c r="EJ261" i="1"/>
  <c r="EK261" i="1"/>
  <c r="EH262" i="1"/>
  <c r="EI262" i="1"/>
  <c r="EJ262" i="1"/>
  <c r="EK262" i="1"/>
  <c r="EH263" i="1"/>
  <c r="EI263" i="1"/>
  <c r="EJ263" i="1"/>
  <c r="EK263" i="1"/>
  <c r="EH264" i="1"/>
  <c r="EI264" i="1"/>
  <c r="EJ264" i="1"/>
  <c r="EK264" i="1"/>
  <c r="EH265" i="1"/>
  <c r="EI265" i="1"/>
  <c r="EJ265" i="1"/>
  <c r="EK265" i="1"/>
  <c r="EH266" i="1"/>
  <c r="EI266" i="1"/>
  <c r="EJ266" i="1"/>
  <c r="EK266" i="1"/>
  <c r="EH267" i="1"/>
  <c r="EI267" i="1"/>
  <c r="EJ267" i="1"/>
  <c r="EK267" i="1"/>
  <c r="EH268" i="1"/>
  <c r="EI268" i="1"/>
  <c r="EJ268" i="1"/>
  <c r="EK268" i="1"/>
  <c r="EH269" i="1"/>
  <c r="EI269" i="1"/>
  <c r="EJ269" i="1"/>
  <c r="EK269" i="1"/>
  <c r="EH270" i="1"/>
  <c r="EI270" i="1"/>
  <c r="EJ270" i="1"/>
  <c r="EK270" i="1"/>
  <c r="EH271" i="1"/>
  <c r="EI271" i="1"/>
  <c r="EJ271" i="1"/>
  <c r="EK271" i="1"/>
  <c r="EH272" i="1"/>
  <c r="EI272" i="1"/>
  <c r="EJ272" i="1"/>
  <c r="EK272" i="1"/>
  <c r="EH273" i="1"/>
  <c r="EI273" i="1"/>
  <c r="EJ273" i="1"/>
  <c r="EK273" i="1"/>
  <c r="EH274" i="1"/>
  <c r="EI274" i="1"/>
  <c r="EJ274" i="1"/>
  <c r="EK274" i="1"/>
  <c r="EH275" i="1"/>
  <c r="EI275" i="1"/>
  <c r="EJ275" i="1"/>
  <c r="EK275" i="1"/>
  <c r="EH276" i="1"/>
  <c r="EI276" i="1"/>
  <c r="EJ276" i="1"/>
  <c r="EK276" i="1"/>
  <c r="EH277" i="1"/>
  <c r="EI277" i="1"/>
  <c r="EJ277" i="1"/>
  <c r="EK277" i="1"/>
  <c r="EH278" i="1"/>
  <c r="EI278" i="1"/>
  <c r="EJ278" i="1"/>
  <c r="EK278" i="1"/>
  <c r="EH279" i="1"/>
  <c r="EI279" i="1"/>
  <c r="EJ279" i="1"/>
  <c r="EK279" i="1"/>
  <c r="EH280" i="1"/>
  <c r="EI280" i="1"/>
  <c r="EJ280" i="1"/>
  <c r="EK280" i="1"/>
  <c r="EH281" i="1"/>
  <c r="EI281" i="1"/>
  <c r="EJ281" i="1"/>
  <c r="EK281" i="1"/>
  <c r="EH282" i="1"/>
  <c r="EI282" i="1"/>
  <c r="EJ282" i="1"/>
  <c r="EK282" i="1"/>
  <c r="EH283" i="1"/>
  <c r="EI283" i="1"/>
  <c r="EJ283" i="1"/>
  <c r="EK283" i="1"/>
  <c r="EH284" i="1"/>
  <c r="EI284" i="1"/>
  <c r="EJ284" i="1"/>
  <c r="EK284" i="1"/>
  <c r="EH285" i="1"/>
  <c r="EI285" i="1"/>
  <c r="EJ285" i="1"/>
  <c r="EK285" i="1"/>
  <c r="EH286" i="1"/>
  <c r="EI286" i="1"/>
  <c r="EJ286" i="1"/>
  <c r="EK286" i="1"/>
  <c r="EH287" i="1"/>
  <c r="EI287" i="1"/>
  <c r="EJ287" i="1"/>
  <c r="EK287" i="1"/>
  <c r="EH288" i="1"/>
  <c r="EI288" i="1"/>
  <c r="EJ288" i="1"/>
  <c r="EK288" i="1"/>
  <c r="EH289" i="1"/>
  <c r="EI289" i="1"/>
  <c r="EJ289" i="1"/>
  <c r="EK289" i="1"/>
  <c r="EH290" i="1"/>
  <c r="EI290" i="1"/>
  <c r="EJ290" i="1"/>
  <c r="EK290" i="1"/>
  <c r="EH291" i="1"/>
  <c r="EI291" i="1"/>
  <c r="EJ291" i="1"/>
  <c r="EK291" i="1"/>
  <c r="EH292" i="1"/>
  <c r="EI292" i="1"/>
  <c r="EJ292" i="1"/>
  <c r="EK292" i="1"/>
  <c r="EH293" i="1"/>
  <c r="EI293" i="1"/>
  <c r="EJ293" i="1"/>
  <c r="EK293" i="1"/>
  <c r="EH294" i="1"/>
  <c r="EI294" i="1"/>
  <c r="EJ294" i="1"/>
  <c r="EK294" i="1"/>
  <c r="EH295" i="1"/>
  <c r="EI295" i="1"/>
  <c r="EJ295" i="1"/>
  <c r="EK295" i="1"/>
  <c r="EH296" i="1"/>
  <c r="EI296" i="1"/>
  <c r="EJ296" i="1"/>
  <c r="EK296" i="1"/>
  <c r="EH297" i="1"/>
  <c r="EI297" i="1"/>
  <c r="EJ297" i="1"/>
  <c r="EK297" i="1"/>
  <c r="EH298" i="1"/>
  <c r="EI298" i="1"/>
  <c r="EJ298" i="1"/>
  <c r="EK298" i="1"/>
  <c r="EH299" i="1"/>
  <c r="EI299" i="1"/>
  <c r="EJ299" i="1"/>
  <c r="EK299" i="1"/>
  <c r="EH300" i="1"/>
  <c r="EI300" i="1"/>
  <c r="EJ300" i="1"/>
  <c r="EK300" i="1"/>
  <c r="EH301" i="1"/>
  <c r="EI301" i="1"/>
  <c r="EJ301" i="1"/>
  <c r="EK301" i="1"/>
  <c r="EH302" i="1"/>
  <c r="EI302" i="1"/>
  <c r="EJ302" i="1"/>
  <c r="EK302" i="1"/>
  <c r="EH303" i="1"/>
  <c r="EI303" i="1"/>
  <c r="EJ303" i="1"/>
  <c r="EK303" i="1"/>
  <c r="EH304" i="1"/>
  <c r="EI304" i="1"/>
  <c r="EJ304" i="1"/>
  <c r="EK304" i="1"/>
  <c r="EH305" i="1"/>
  <c r="EI305" i="1"/>
  <c r="EJ305" i="1"/>
  <c r="EK305" i="1"/>
  <c r="EH306" i="1"/>
  <c r="EI306" i="1"/>
  <c r="EJ306" i="1"/>
  <c r="EK306" i="1"/>
  <c r="EH307" i="1"/>
  <c r="EI307" i="1"/>
  <c r="EJ307" i="1"/>
  <c r="EK307" i="1"/>
  <c r="EH308" i="1"/>
  <c r="EI308" i="1"/>
  <c r="EJ308" i="1"/>
  <c r="EK308" i="1"/>
  <c r="EH309" i="1"/>
  <c r="EI309" i="1"/>
  <c r="EJ309" i="1"/>
  <c r="EK309" i="1"/>
  <c r="EH310" i="1"/>
  <c r="EI310" i="1"/>
  <c r="EJ310" i="1"/>
  <c r="EK310" i="1"/>
  <c r="EH311" i="1"/>
  <c r="EI311" i="1"/>
  <c r="EJ311" i="1"/>
  <c r="EK311" i="1"/>
  <c r="EH312" i="1"/>
  <c r="EI312" i="1"/>
  <c r="EJ312" i="1"/>
  <c r="EK312" i="1"/>
  <c r="EH313" i="1"/>
  <c r="EI313" i="1"/>
  <c r="EJ313" i="1"/>
  <c r="EK313" i="1"/>
  <c r="EH314" i="1"/>
  <c r="EI314" i="1"/>
  <c r="EJ314" i="1"/>
  <c r="EK314" i="1"/>
  <c r="EH315" i="1"/>
  <c r="EI315" i="1"/>
  <c r="EJ315" i="1"/>
  <c r="EK315" i="1"/>
  <c r="EH316" i="1"/>
  <c r="EI316" i="1"/>
  <c r="EJ316" i="1"/>
  <c r="EK316" i="1"/>
  <c r="EH317" i="1"/>
  <c r="EI317" i="1"/>
  <c r="EJ317" i="1"/>
  <c r="EK317" i="1"/>
  <c r="EH318" i="1"/>
  <c r="EI318" i="1"/>
  <c r="EJ318" i="1"/>
  <c r="EK318" i="1"/>
  <c r="EH319" i="1"/>
  <c r="EI319" i="1"/>
  <c r="EJ319" i="1"/>
  <c r="EK319" i="1"/>
  <c r="EH320" i="1"/>
  <c r="EI320" i="1"/>
  <c r="EJ320" i="1"/>
  <c r="EK320" i="1"/>
  <c r="EH321" i="1"/>
  <c r="EI321" i="1"/>
  <c r="EJ321" i="1"/>
  <c r="EK321" i="1"/>
  <c r="EH322" i="1"/>
  <c r="EI322" i="1"/>
  <c r="EJ322" i="1"/>
  <c r="EK322" i="1"/>
  <c r="EH323" i="1"/>
  <c r="EI323" i="1"/>
  <c r="EJ323" i="1"/>
  <c r="EK323" i="1"/>
  <c r="EH324" i="1"/>
  <c r="EI324" i="1"/>
  <c r="EJ324" i="1"/>
  <c r="EK324" i="1"/>
  <c r="EH325" i="1"/>
  <c r="EI325" i="1"/>
  <c r="EJ325" i="1"/>
  <c r="EK325" i="1"/>
  <c r="EH326" i="1"/>
  <c r="EI326" i="1"/>
  <c r="EJ326" i="1"/>
  <c r="EK326" i="1"/>
  <c r="EH327" i="1"/>
  <c r="EI327" i="1"/>
  <c r="EJ327" i="1"/>
  <c r="EK327" i="1"/>
  <c r="EH328" i="1"/>
  <c r="EI328" i="1"/>
  <c r="EJ328" i="1"/>
  <c r="EK328" i="1"/>
  <c r="EH329" i="1"/>
  <c r="EI329" i="1"/>
  <c r="EJ329" i="1"/>
  <c r="EK329" i="1"/>
  <c r="EH330" i="1"/>
  <c r="EI330" i="1"/>
  <c r="EJ330" i="1"/>
  <c r="EK330" i="1"/>
  <c r="EH331" i="1"/>
  <c r="EI331" i="1"/>
  <c r="EJ331" i="1"/>
  <c r="EK331" i="1"/>
  <c r="EH332" i="1"/>
  <c r="EI332" i="1"/>
  <c r="EJ332" i="1"/>
  <c r="EK332" i="1"/>
  <c r="EH333" i="1"/>
  <c r="EI333" i="1"/>
  <c r="EJ333" i="1"/>
  <c r="EK333" i="1"/>
  <c r="EH334" i="1"/>
  <c r="EI334" i="1"/>
  <c r="EJ334" i="1"/>
  <c r="EK334" i="1"/>
  <c r="EH335" i="1"/>
  <c r="EI335" i="1"/>
  <c r="EJ335" i="1"/>
  <c r="EK335" i="1"/>
  <c r="EH336" i="1"/>
  <c r="EI336" i="1"/>
  <c r="EJ336" i="1"/>
  <c r="EK336" i="1"/>
  <c r="EH337" i="1"/>
  <c r="EI337" i="1"/>
  <c r="EJ337" i="1"/>
  <c r="EK337" i="1"/>
  <c r="EH338" i="1"/>
  <c r="EI338" i="1"/>
  <c r="EJ338" i="1"/>
  <c r="EK338" i="1"/>
  <c r="EH339" i="1"/>
  <c r="EI339" i="1"/>
  <c r="EJ339" i="1"/>
  <c r="EK339" i="1"/>
  <c r="EH340" i="1"/>
  <c r="EI340" i="1"/>
  <c r="EJ340" i="1"/>
  <c r="EK340" i="1"/>
  <c r="EH341" i="1"/>
  <c r="EI341" i="1"/>
  <c r="EJ341" i="1"/>
  <c r="EK341" i="1"/>
  <c r="EH342" i="1"/>
  <c r="EI342" i="1"/>
  <c r="EJ342" i="1"/>
  <c r="EK342" i="1"/>
  <c r="EH343" i="1"/>
  <c r="EI343" i="1"/>
  <c r="EJ343" i="1"/>
  <c r="EK343" i="1"/>
  <c r="EH344" i="1"/>
  <c r="EI344" i="1"/>
  <c r="EJ344" i="1"/>
  <c r="EK344" i="1"/>
  <c r="EH345" i="1"/>
  <c r="EI345" i="1"/>
  <c r="EJ345" i="1"/>
  <c r="EK345" i="1"/>
  <c r="EH346" i="1"/>
  <c r="EI346" i="1"/>
  <c r="EJ346" i="1"/>
  <c r="EK346" i="1"/>
  <c r="EH347" i="1"/>
  <c r="EI347" i="1"/>
  <c r="EJ347" i="1"/>
  <c r="EK347" i="1"/>
  <c r="EH348" i="1"/>
  <c r="EI348" i="1"/>
  <c r="EJ348" i="1"/>
  <c r="EK348" i="1"/>
  <c r="EH349" i="1"/>
  <c r="EI349" i="1"/>
  <c r="EJ349" i="1"/>
  <c r="EK349" i="1"/>
  <c r="EH350" i="1"/>
  <c r="EI350" i="1"/>
  <c r="EJ350" i="1"/>
  <c r="EK350" i="1"/>
  <c r="EH351" i="1"/>
  <c r="EI351" i="1"/>
  <c r="EJ351" i="1"/>
  <c r="EK351" i="1"/>
  <c r="EH352" i="1"/>
  <c r="EI352" i="1"/>
  <c r="EJ352" i="1"/>
  <c r="EK352" i="1"/>
  <c r="EH353" i="1"/>
  <c r="EI353" i="1"/>
  <c r="EJ353" i="1"/>
  <c r="EK353" i="1"/>
  <c r="EH354" i="1"/>
  <c r="EI354" i="1"/>
  <c r="EJ354" i="1"/>
  <c r="EK354" i="1"/>
  <c r="EH355" i="1"/>
  <c r="EI355" i="1"/>
  <c r="EJ355" i="1"/>
  <c r="EK355" i="1"/>
  <c r="EH356" i="1"/>
  <c r="EI356" i="1"/>
  <c r="EJ356" i="1"/>
  <c r="EK356" i="1"/>
  <c r="EH357" i="1"/>
  <c r="EI357" i="1"/>
  <c r="EJ357" i="1"/>
  <c r="EK357" i="1"/>
  <c r="EH358" i="1"/>
  <c r="EI358" i="1"/>
  <c r="EJ358" i="1"/>
  <c r="EK358" i="1"/>
  <c r="EH359" i="1"/>
  <c r="EI359" i="1"/>
  <c r="EJ359" i="1"/>
  <c r="EK359" i="1"/>
  <c r="EH360" i="1"/>
  <c r="EI360" i="1"/>
  <c r="EJ360" i="1"/>
  <c r="EK360" i="1"/>
  <c r="EH361" i="1"/>
  <c r="EI361" i="1"/>
  <c r="EJ361" i="1"/>
  <c r="EK361" i="1"/>
  <c r="EH362" i="1"/>
  <c r="EI362" i="1"/>
  <c r="EJ362" i="1"/>
  <c r="EK362" i="1"/>
  <c r="EH363" i="1"/>
  <c r="EI363" i="1"/>
  <c r="EJ363" i="1"/>
  <c r="EK363" i="1"/>
  <c r="EH364" i="1"/>
  <c r="EI364" i="1"/>
  <c r="EJ364" i="1"/>
  <c r="EK364" i="1"/>
  <c r="EH365" i="1"/>
  <c r="EI365" i="1"/>
  <c r="EJ365" i="1"/>
  <c r="EK365" i="1"/>
  <c r="EH366" i="1"/>
  <c r="EI366" i="1"/>
  <c r="EJ366" i="1"/>
  <c r="EK366" i="1"/>
  <c r="EH367" i="1"/>
  <c r="EI367" i="1"/>
  <c r="EJ367" i="1"/>
  <c r="EK367" i="1"/>
  <c r="EH368" i="1"/>
  <c r="EI368" i="1"/>
  <c r="EJ368" i="1"/>
  <c r="EK368" i="1"/>
  <c r="EH369" i="1"/>
  <c r="EI369" i="1"/>
  <c r="EJ369" i="1"/>
  <c r="EK369" i="1"/>
  <c r="EH370" i="1"/>
  <c r="EI370" i="1"/>
  <c r="EJ370" i="1"/>
  <c r="EK370" i="1"/>
  <c r="EH371" i="1"/>
  <c r="EI371" i="1"/>
  <c r="EJ371" i="1"/>
  <c r="EK371" i="1"/>
  <c r="EH372" i="1"/>
  <c r="EI372" i="1"/>
  <c r="EJ372" i="1"/>
  <c r="EK372" i="1"/>
  <c r="EH373" i="1"/>
  <c r="EI373" i="1"/>
  <c r="EJ373" i="1"/>
  <c r="EK373" i="1"/>
  <c r="EH374" i="1"/>
  <c r="EI374" i="1"/>
  <c r="EJ374" i="1"/>
  <c r="EK374" i="1"/>
  <c r="EH375" i="1"/>
  <c r="EI375" i="1"/>
  <c r="EJ375" i="1"/>
  <c r="EK375" i="1"/>
  <c r="EH376" i="1"/>
  <c r="EI376" i="1"/>
  <c r="EJ376" i="1"/>
  <c r="EK376" i="1"/>
  <c r="EH377" i="1"/>
  <c r="EI377" i="1"/>
  <c r="EJ377" i="1"/>
  <c r="EK377" i="1"/>
  <c r="EH378" i="1"/>
  <c r="EI378" i="1"/>
  <c r="EJ378" i="1"/>
  <c r="EK378" i="1"/>
  <c r="EH379" i="1"/>
  <c r="EI379" i="1"/>
  <c r="EJ379" i="1"/>
  <c r="EK379" i="1"/>
  <c r="EH380" i="1"/>
  <c r="EI380" i="1"/>
  <c r="EJ380" i="1"/>
  <c r="EK380" i="1"/>
  <c r="EH381" i="1"/>
  <c r="EI381" i="1"/>
  <c r="EJ381" i="1"/>
  <c r="EK381" i="1"/>
  <c r="EH382" i="1"/>
  <c r="EI382" i="1"/>
  <c r="EJ382" i="1"/>
  <c r="EK382" i="1"/>
  <c r="EH383" i="1"/>
  <c r="EI383" i="1"/>
  <c r="EJ383" i="1"/>
  <c r="EK383" i="1"/>
  <c r="EH384" i="1"/>
  <c r="EI384" i="1"/>
  <c r="EJ384" i="1"/>
  <c r="EK384" i="1"/>
  <c r="EH385" i="1"/>
  <c r="EI385" i="1"/>
  <c r="EJ385" i="1"/>
  <c r="EK385" i="1"/>
  <c r="EH386" i="1"/>
  <c r="EI386" i="1"/>
  <c r="EJ386" i="1"/>
  <c r="EK386" i="1"/>
  <c r="EH387" i="1"/>
  <c r="EI387" i="1"/>
  <c r="EJ387" i="1"/>
  <c r="EK387" i="1"/>
  <c r="EH388" i="1"/>
  <c r="EI388" i="1"/>
  <c r="EJ388" i="1"/>
  <c r="EK388" i="1"/>
  <c r="EH389" i="1"/>
  <c r="EI389" i="1"/>
  <c r="EJ389" i="1"/>
  <c r="EK389" i="1"/>
  <c r="EH390" i="1"/>
  <c r="EI390" i="1"/>
  <c r="EJ390" i="1"/>
  <c r="EK390" i="1"/>
  <c r="EH391" i="1"/>
  <c r="EI391" i="1"/>
  <c r="EJ391" i="1"/>
  <c r="EK391" i="1"/>
  <c r="EH392" i="1"/>
  <c r="EI392" i="1"/>
  <c r="EJ392" i="1"/>
  <c r="EK392" i="1"/>
  <c r="EH393" i="1"/>
  <c r="EI393" i="1"/>
  <c r="EJ393" i="1"/>
  <c r="EK393" i="1"/>
  <c r="EH394" i="1"/>
  <c r="EI394" i="1"/>
  <c r="EJ394" i="1"/>
  <c r="EK394" i="1"/>
  <c r="EH395" i="1"/>
  <c r="EI395" i="1"/>
  <c r="EJ395" i="1"/>
  <c r="EK395" i="1"/>
  <c r="EH396" i="1"/>
  <c r="EI396" i="1"/>
  <c r="EJ396" i="1"/>
  <c r="EK396" i="1"/>
  <c r="EH397" i="1"/>
  <c r="EI397" i="1"/>
  <c r="EJ397" i="1"/>
  <c r="EK397" i="1"/>
  <c r="EH398" i="1"/>
  <c r="EI398" i="1"/>
  <c r="EJ398" i="1"/>
  <c r="EK398" i="1"/>
  <c r="EH399" i="1"/>
  <c r="EI399" i="1"/>
  <c r="EJ399" i="1"/>
  <c r="EK399" i="1"/>
  <c r="EH400" i="1"/>
  <c r="EI400" i="1"/>
  <c r="EJ400" i="1"/>
  <c r="EK400" i="1"/>
  <c r="EH401" i="1"/>
  <c r="EI401" i="1"/>
  <c r="EJ401" i="1"/>
  <c r="EK401" i="1"/>
  <c r="EH402" i="1"/>
  <c r="EI402" i="1"/>
  <c r="EJ402" i="1"/>
  <c r="EK402" i="1"/>
  <c r="EH403" i="1"/>
  <c r="EI403" i="1"/>
  <c r="EJ403" i="1"/>
  <c r="EK403" i="1"/>
  <c r="EH404" i="1"/>
  <c r="EI404" i="1"/>
  <c r="EJ404" i="1"/>
  <c r="EK404" i="1"/>
  <c r="EH405" i="1"/>
  <c r="EI405" i="1"/>
  <c r="EJ405" i="1"/>
  <c r="EK405" i="1"/>
  <c r="EH406" i="1"/>
  <c r="EI406" i="1"/>
  <c r="EJ406" i="1"/>
  <c r="EK406" i="1"/>
  <c r="EH407" i="1"/>
  <c r="EI407" i="1"/>
  <c r="EJ407" i="1"/>
  <c r="EK407" i="1"/>
  <c r="EH408" i="1"/>
  <c r="EI408" i="1"/>
  <c r="EJ408" i="1"/>
  <c r="EK408" i="1"/>
  <c r="EH409" i="1"/>
  <c r="EI409" i="1"/>
  <c r="EJ409" i="1"/>
  <c r="EK409" i="1"/>
  <c r="EH410" i="1"/>
  <c r="EI410" i="1"/>
  <c r="EJ410" i="1"/>
  <c r="EK410" i="1"/>
  <c r="EH411" i="1"/>
  <c r="EI411" i="1"/>
  <c r="EJ411" i="1"/>
  <c r="EK411" i="1"/>
  <c r="EH412" i="1"/>
  <c r="EI412" i="1"/>
  <c r="EJ412" i="1"/>
  <c r="EK412" i="1"/>
  <c r="EH413" i="1"/>
  <c r="EI413" i="1"/>
  <c r="EJ413" i="1"/>
  <c r="EK413" i="1"/>
  <c r="EH414" i="1"/>
  <c r="EI414" i="1"/>
  <c r="EJ414" i="1"/>
  <c r="EK414" i="1"/>
  <c r="EH415" i="1"/>
  <c r="EI415" i="1"/>
  <c r="EJ415" i="1"/>
  <c r="EK415" i="1"/>
  <c r="EH416" i="1"/>
  <c r="EI416" i="1"/>
  <c r="EJ416" i="1"/>
  <c r="EK416" i="1"/>
  <c r="EH417" i="1"/>
  <c r="EI417" i="1"/>
  <c r="EJ417" i="1"/>
  <c r="EK417" i="1"/>
  <c r="EH418" i="1"/>
  <c r="EI418" i="1"/>
  <c r="EJ418" i="1"/>
  <c r="EK418" i="1"/>
  <c r="EH419" i="1"/>
  <c r="EI419" i="1"/>
  <c r="EJ419" i="1"/>
  <c r="EK419" i="1"/>
  <c r="EH420" i="1"/>
  <c r="EI420" i="1"/>
  <c r="EJ420" i="1"/>
  <c r="EK420" i="1"/>
  <c r="EH421" i="1"/>
  <c r="EI421" i="1"/>
  <c r="EJ421" i="1"/>
  <c r="EK421" i="1"/>
  <c r="EH422" i="1"/>
  <c r="EI422" i="1"/>
  <c r="EJ422" i="1"/>
  <c r="EK422" i="1"/>
  <c r="EH423" i="1"/>
  <c r="EI423" i="1"/>
  <c r="EJ423" i="1"/>
  <c r="EK423" i="1"/>
  <c r="EH424" i="1"/>
  <c r="EI424" i="1"/>
  <c r="EJ424" i="1"/>
  <c r="EK424" i="1"/>
  <c r="EH425" i="1"/>
  <c r="EI425" i="1"/>
  <c r="EJ425" i="1"/>
  <c r="EK425" i="1"/>
  <c r="EH426" i="1"/>
  <c r="EI426" i="1"/>
  <c r="EJ426" i="1"/>
  <c r="EK426" i="1"/>
  <c r="EH427" i="1"/>
  <c r="EI427" i="1"/>
  <c r="EJ427" i="1"/>
  <c r="EK427" i="1"/>
  <c r="EH428" i="1"/>
  <c r="EI428" i="1"/>
  <c r="EJ428" i="1"/>
  <c r="EK428" i="1"/>
  <c r="EH429" i="1"/>
  <c r="EI429" i="1"/>
  <c r="EJ429" i="1"/>
  <c r="EK429" i="1"/>
  <c r="EH430" i="1"/>
  <c r="EI430" i="1"/>
  <c r="EJ430" i="1"/>
  <c r="EK430" i="1"/>
  <c r="EH431" i="1"/>
  <c r="EI431" i="1"/>
  <c r="EJ431" i="1"/>
  <c r="EK431" i="1"/>
  <c r="EH432" i="1"/>
  <c r="EI432" i="1"/>
  <c r="EJ432" i="1"/>
  <c r="EK432" i="1"/>
  <c r="EH433" i="1"/>
  <c r="EI433" i="1"/>
  <c r="EJ433" i="1"/>
  <c r="EK433" i="1"/>
  <c r="EH434" i="1"/>
  <c r="EI434" i="1"/>
  <c r="EJ434" i="1"/>
  <c r="EK434" i="1"/>
  <c r="EH435" i="1"/>
  <c r="EI435" i="1"/>
  <c r="EJ435" i="1"/>
  <c r="EK435" i="1"/>
  <c r="EH436" i="1"/>
  <c r="EI436" i="1"/>
  <c r="EJ436" i="1"/>
  <c r="EK436" i="1"/>
  <c r="EH437" i="1"/>
  <c r="EI437" i="1"/>
  <c r="EJ437" i="1"/>
  <c r="EK437" i="1"/>
  <c r="EH438" i="1"/>
  <c r="EI438" i="1"/>
  <c r="EJ438" i="1"/>
  <c r="EK438" i="1"/>
  <c r="EH439" i="1"/>
  <c r="EI439" i="1"/>
  <c r="EJ439" i="1"/>
  <c r="EK439" i="1"/>
  <c r="EH440" i="1"/>
  <c r="EI440" i="1"/>
  <c r="EJ440" i="1"/>
  <c r="EK440" i="1"/>
  <c r="EH441" i="1"/>
  <c r="EI441" i="1"/>
  <c r="EJ441" i="1"/>
  <c r="EK441" i="1"/>
  <c r="EH442" i="1"/>
  <c r="EI442" i="1"/>
  <c r="EJ442" i="1"/>
  <c r="EK442" i="1"/>
  <c r="EH443" i="1"/>
  <c r="EI443" i="1"/>
  <c r="EJ443" i="1"/>
  <c r="EK443" i="1"/>
  <c r="EH444" i="1"/>
  <c r="EI444" i="1"/>
  <c r="EJ444" i="1"/>
  <c r="EK444" i="1"/>
  <c r="EH445" i="1"/>
  <c r="EI445" i="1"/>
  <c r="EJ445" i="1"/>
  <c r="EK445" i="1"/>
  <c r="EH446" i="1"/>
  <c r="EI446" i="1"/>
  <c r="EJ446" i="1"/>
  <c r="EK446" i="1"/>
  <c r="EH447" i="1"/>
  <c r="EI447" i="1"/>
  <c r="EJ447" i="1"/>
  <c r="EK447" i="1"/>
  <c r="EH448" i="1"/>
  <c r="EI448" i="1"/>
  <c r="EJ448" i="1"/>
  <c r="EK448" i="1"/>
  <c r="EH449" i="1"/>
  <c r="EI449" i="1"/>
  <c r="EJ449" i="1"/>
  <c r="EK449" i="1"/>
  <c r="EH450" i="1"/>
  <c r="EI450" i="1"/>
  <c r="EJ450" i="1"/>
  <c r="EK450" i="1"/>
  <c r="EH451" i="1"/>
  <c r="EI451" i="1"/>
  <c r="EJ451" i="1"/>
  <c r="EK451" i="1"/>
  <c r="EH452" i="1"/>
  <c r="EI452" i="1"/>
  <c r="EJ452" i="1"/>
  <c r="EK452" i="1"/>
  <c r="EH453" i="1"/>
  <c r="EI453" i="1"/>
  <c r="EJ453" i="1"/>
  <c r="EK453" i="1"/>
  <c r="EH454" i="1"/>
  <c r="EI454" i="1"/>
  <c r="EJ454" i="1"/>
  <c r="EK454" i="1"/>
  <c r="EH455" i="1"/>
  <c r="EI455" i="1"/>
  <c r="EJ455" i="1"/>
  <c r="EK455" i="1"/>
  <c r="EH456" i="1"/>
  <c r="EI456" i="1"/>
  <c r="EJ456" i="1"/>
  <c r="EK456" i="1"/>
  <c r="EH457" i="1"/>
  <c r="EI457" i="1"/>
  <c r="EJ457" i="1"/>
  <c r="EK457" i="1"/>
  <c r="EH458" i="1"/>
  <c r="EI458" i="1"/>
  <c r="EJ458" i="1"/>
  <c r="EK458" i="1"/>
  <c r="EH459" i="1"/>
  <c r="EI459" i="1"/>
  <c r="EJ459" i="1"/>
  <c r="EK459" i="1"/>
  <c r="EH460" i="1"/>
  <c r="EI460" i="1"/>
  <c r="EJ460" i="1"/>
  <c r="EK460" i="1"/>
  <c r="EH461" i="1"/>
  <c r="EI461" i="1"/>
  <c r="EJ461" i="1"/>
  <c r="EK461" i="1"/>
  <c r="EH462" i="1"/>
  <c r="EI462" i="1"/>
  <c r="EJ462" i="1"/>
  <c r="EK462" i="1"/>
  <c r="EH463" i="1"/>
  <c r="EI463" i="1"/>
  <c r="EJ463" i="1"/>
  <c r="EK463" i="1"/>
  <c r="EH464" i="1"/>
  <c r="EI464" i="1"/>
  <c r="EJ464" i="1"/>
  <c r="EK464" i="1"/>
  <c r="EH465" i="1"/>
  <c r="EI465" i="1"/>
  <c r="EJ465" i="1"/>
  <c r="EK465" i="1"/>
  <c r="EH466" i="1"/>
  <c r="EI466" i="1"/>
  <c r="EJ466" i="1"/>
  <c r="EK466" i="1"/>
  <c r="EH467" i="1"/>
  <c r="EI467" i="1"/>
  <c r="EJ467" i="1"/>
  <c r="EK467" i="1"/>
  <c r="EH468" i="1"/>
  <c r="EI468" i="1"/>
  <c r="EJ468" i="1"/>
  <c r="EK468" i="1"/>
  <c r="EH469" i="1"/>
  <c r="EI469" i="1"/>
  <c r="EJ469" i="1"/>
  <c r="EK469" i="1"/>
  <c r="EH470" i="1"/>
  <c r="EI470" i="1"/>
  <c r="EJ470" i="1"/>
  <c r="EK470" i="1"/>
  <c r="EH471" i="1"/>
  <c r="EI471" i="1"/>
  <c r="EJ471" i="1"/>
  <c r="EK471" i="1"/>
  <c r="EH472" i="1"/>
  <c r="EI472" i="1"/>
  <c r="EJ472" i="1"/>
  <c r="EK472" i="1"/>
  <c r="EH473" i="1"/>
  <c r="EI473" i="1"/>
  <c r="EJ473" i="1"/>
  <c r="EK473" i="1"/>
  <c r="EH474" i="1"/>
  <c r="EI474" i="1"/>
  <c r="EJ474" i="1"/>
  <c r="EK474" i="1"/>
  <c r="EH475" i="1"/>
  <c r="EI475" i="1"/>
  <c r="EJ475" i="1"/>
  <c r="EK475" i="1"/>
  <c r="EH476" i="1"/>
  <c r="EI476" i="1"/>
  <c r="EJ476" i="1"/>
  <c r="EK476" i="1"/>
  <c r="EH477" i="1"/>
  <c r="EI477" i="1"/>
  <c r="EJ477" i="1"/>
  <c r="EK477" i="1"/>
  <c r="EH478" i="1"/>
  <c r="EI478" i="1"/>
  <c r="EJ478" i="1"/>
  <c r="EK478" i="1"/>
  <c r="EH479" i="1"/>
  <c r="EI479" i="1"/>
  <c r="EJ479" i="1"/>
  <c r="EK479" i="1"/>
  <c r="EH480" i="1"/>
  <c r="EI480" i="1"/>
  <c r="EJ480" i="1"/>
  <c r="EK480" i="1"/>
  <c r="EH481" i="1"/>
  <c r="EI481" i="1"/>
  <c r="EJ481" i="1"/>
  <c r="EK481" i="1"/>
  <c r="EH482" i="1"/>
  <c r="EI482" i="1"/>
  <c r="EJ482" i="1"/>
  <c r="EK482" i="1"/>
  <c r="EH483" i="1"/>
  <c r="EI483" i="1"/>
  <c r="EJ483" i="1"/>
  <c r="EK483" i="1"/>
  <c r="EH484" i="1"/>
  <c r="EI484" i="1"/>
  <c r="EJ484" i="1"/>
  <c r="EK484" i="1"/>
  <c r="EH485" i="1"/>
  <c r="EI485" i="1"/>
  <c r="EJ485" i="1"/>
  <c r="EK485" i="1"/>
  <c r="EH486" i="1"/>
  <c r="EI486" i="1"/>
  <c r="EJ486" i="1"/>
  <c r="EK486" i="1"/>
  <c r="EH487" i="1"/>
  <c r="EI487" i="1"/>
  <c r="EJ487" i="1"/>
  <c r="EK487" i="1"/>
  <c r="EH488" i="1"/>
  <c r="EI488" i="1"/>
  <c r="EJ488" i="1"/>
  <c r="EK488" i="1"/>
  <c r="EH489" i="1"/>
  <c r="EI489" i="1"/>
  <c r="EJ489" i="1"/>
  <c r="EK489" i="1"/>
  <c r="EH490" i="1"/>
  <c r="EI490" i="1"/>
  <c r="EJ490" i="1"/>
  <c r="EK490" i="1"/>
  <c r="EH491" i="1"/>
  <c r="EI491" i="1"/>
  <c r="EJ491" i="1"/>
  <c r="EK491" i="1"/>
  <c r="EH492" i="1"/>
  <c r="EI492" i="1"/>
  <c r="EJ492" i="1"/>
  <c r="EK492" i="1"/>
  <c r="EH493" i="1"/>
  <c r="EI493" i="1"/>
  <c r="EJ493" i="1"/>
  <c r="EK493" i="1"/>
  <c r="EH494" i="1"/>
  <c r="EI494" i="1"/>
  <c r="EJ494" i="1"/>
  <c r="EK494" i="1"/>
  <c r="EH495" i="1"/>
  <c r="EI495" i="1"/>
  <c r="EJ495" i="1"/>
  <c r="EK495" i="1"/>
  <c r="EH496" i="1"/>
  <c r="EI496" i="1"/>
  <c r="EJ496" i="1"/>
  <c r="EK496" i="1"/>
  <c r="EH497" i="1"/>
  <c r="EI497" i="1"/>
  <c r="EJ497" i="1"/>
  <c r="EK497" i="1"/>
  <c r="EH498" i="1"/>
  <c r="EI498" i="1"/>
  <c r="EJ498" i="1"/>
  <c r="EK498" i="1"/>
  <c r="EH499" i="1"/>
  <c r="EI499" i="1"/>
  <c r="EJ499" i="1"/>
  <c r="EK499" i="1"/>
  <c r="EH500" i="1"/>
  <c r="EI500" i="1"/>
  <c r="EJ500" i="1"/>
  <c r="EK500" i="1"/>
  <c r="EH501" i="1"/>
  <c r="EI501" i="1"/>
  <c r="EJ501" i="1"/>
  <c r="EK501" i="1"/>
  <c r="EH502" i="1"/>
  <c r="EI502" i="1"/>
  <c r="EJ502" i="1"/>
  <c r="EK502" i="1"/>
  <c r="EH503" i="1"/>
  <c r="EI503" i="1"/>
  <c r="EJ503" i="1"/>
  <c r="EK503" i="1"/>
  <c r="EH504" i="1"/>
  <c r="EI504" i="1"/>
  <c r="EJ504" i="1"/>
  <c r="EK504" i="1"/>
  <c r="EH505" i="1"/>
  <c r="EI505" i="1"/>
  <c r="EJ505" i="1"/>
  <c r="EK505" i="1"/>
  <c r="EH506" i="1"/>
  <c r="EI506" i="1"/>
  <c r="EJ506" i="1"/>
  <c r="EK506" i="1"/>
  <c r="EH507" i="1"/>
  <c r="EI507" i="1"/>
  <c r="EJ507" i="1"/>
  <c r="EK507" i="1"/>
  <c r="EH508" i="1"/>
  <c r="EI508" i="1"/>
  <c r="EJ508" i="1"/>
  <c r="EK508" i="1"/>
  <c r="EH509" i="1"/>
  <c r="EI509" i="1"/>
  <c r="EJ509" i="1"/>
  <c r="EK509" i="1"/>
  <c r="EH510" i="1"/>
  <c r="EI510" i="1"/>
  <c r="EJ510" i="1"/>
  <c r="EK510" i="1"/>
  <c r="EH511" i="1"/>
  <c r="EI511" i="1"/>
  <c r="EJ511" i="1"/>
  <c r="EK511" i="1"/>
  <c r="EH512" i="1"/>
  <c r="EI512" i="1"/>
  <c r="EJ512" i="1"/>
  <c r="EK512" i="1"/>
  <c r="EH513" i="1"/>
  <c r="EI513" i="1"/>
  <c r="EJ513" i="1"/>
  <c r="EK513" i="1"/>
  <c r="EH514" i="1"/>
  <c r="EI514" i="1"/>
  <c r="EJ514" i="1"/>
  <c r="EK514" i="1"/>
  <c r="EH515" i="1"/>
  <c r="EI515" i="1"/>
  <c r="EJ515" i="1"/>
  <c r="EK515" i="1"/>
  <c r="EH516" i="1"/>
  <c r="EI516" i="1"/>
  <c r="EJ516" i="1"/>
  <c r="EK516" i="1"/>
  <c r="EH517" i="1"/>
  <c r="EI517" i="1"/>
  <c r="EJ517" i="1"/>
  <c r="EK517" i="1"/>
  <c r="EH518" i="1"/>
  <c r="EI518" i="1"/>
  <c r="EJ518" i="1"/>
  <c r="EK518" i="1"/>
  <c r="EH519" i="1"/>
  <c r="EI519" i="1"/>
  <c r="EJ519" i="1"/>
  <c r="EK519" i="1"/>
  <c r="EH520" i="1"/>
  <c r="EI520" i="1"/>
  <c r="EJ520" i="1"/>
  <c r="EK520" i="1"/>
  <c r="EH521" i="1"/>
  <c r="EI521" i="1"/>
  <c r="EJ521" i="1"/>
  <c r="EK521" i="1"/>
  <c r="EH522" i="1"/>
  <c r="EI522" i="1"/>
  <c r="EJ522" i="1"/>
  <c r="EK522" i="1"/>
  <c r="EH523" i="1"/>
  <c r="EI523" i="1"/>
  <c r="EJ523" i="1"/>
  <c r="EK523" i="1"/>
  <c r="EH524" i="1"/>
  <c r="EI524" i="1"/>
  <c r="EJ524" i="1"/>
  <c r="EK524" i="1"/>
  <c r="EH525" i="1"/>
  <c r="EI525" i="1"/>
  <c r="EJ525" i="1"/>
  <c r="EK525" i="1"/>
  <c r="EH526" i="1"/>
  <c r="EI526" i="1"/>
  <c r="EJ526" i="1"/>
  <c r="EK526" i="1"/>
  <c r="EH527" i="1"/>
  <c r="EI527" i="1"/>
  <c r="EJ527" i="1"/>
  <c r="EK527" i="1"/>
  <c r="EH528" i="1"/>
  <c r="EI528" i="1"/>
  <c r="EJ528" i="1"/>
  <c r="EK528" i="1"/>
  <c r="EH529" i="1"/>
  <c r="EI529" i="1"/>
  <c r="EJ529" i="1"/>
  <c r="EK529" i="1"/>
  <c r="EH530" i="1"/>
  <c r="EI530" i="1"/>
  <c r="EJ530" i="1"/>
  <c r="EK530" i="1"/>
  <c r="EH531" i="1"/>
  <c r="EI531" i="1"/>
  <c r="EJ531" i="1"/>
  <c r="EK531" i="1"/>
  <c r="EH532" i="1"/>
  <c r="EI532" i="1"/>
  <c r="EJ532" i="1"/>
  <c r="EK532" i="1"/>
  <c r="EH533" i="1"/>
  <c r="EI533" i="1"/>
  <c r="EJ533" i="1"/>
  <c r="EK533" i="1"/>
  <c r="EH534" i="1"/>
  <c r="EI534" i="1"/>
  <c r="EJ534" i="1"/>
  <c r="EK534" i="1"/>
  <c r="EH535" i="1"/>
  <c r="EI535" i="1"/>
  <c r="EJ535" i="1"/>
  <c r="EK535" i="1"/>
  <c r="EH536" i="1"/>
  <c r="EI536" i="1"/>
  <c r="EJ536" i="1"/>
  <c r="EK536" i="1"/>
  <c r="EH537" i="1"/>
  <c r="EI537" i="1"/>
  <c r="EJ537" i="1"/>
  <c r="EK537" i="1"/>
  <c r="EH538" i="1"/>
  <c r="EI538" i="1"/>
  <c r="EJ538" i="1"/>
  <c r="EK538" i="1"/>
  <c r="EH539" i="1"/>
  <c r="EI539" i="1"/>
  <c r="EJ539" i="1"/>
  <c r="EK539" i="1"/>
  <c r="EH540" i="1"/>
  <c r="EI540" i="1"/>
  <c r="EJ540" i="1"/>
  <c r="EK540" i="1"/>
  <c r="EH541" i="1"/>
  <c r="EI541" i="1"/>
  <c r="EJ541" i="1"/>
  <c r="EK541" i="1"/>
  <c r="EH542" i="1"/>
  <c r="EI542" i="1"/>
  <c r="EJ542" i="1"/>
  <c r="EK542" i="1"/>
  <c r="EH543" i="1"/>
  <c r="EI543" i="1"/>
  <c r="EJ543" i="1"/>
  <c r="EK543" i="1"/>
  <c r="EH544" i="1"/>
  <c r="EI544" i="1"/>
  <c r="EJ544" i="1"/>
  <c r="EK544" i="1"/>
  <c r="EH545" i="1"/>
  <c r="EI545" i="1"/>
  <c r="EJ545" i="1"/>
  <c r="EK545" i="1"/>
  <c r="EH546" i="1"/>
  <c r="EI546" i="1"/>
  <c r="EJ546" i="1"/>
  <c r="EK546" i="1"/>
  <c r="EH547" i="1"/>
  <c r="EI547" i="1"/>
  <c r="EJ547" i="1"/>
  <c r="EK547" i="1"/>
  <c r="EH548" i="1"/>
  <c r="EI548" i="1"/>
  <c r="EJ548" i="1"/>
  <c r="EK548" i="1"/>
  <c r="EH549" i="1"/>
  <c r="EI549" i="1"/>
  <c r="EJ549" i="1"/>
  <c r="EK549" i="1"/>
  <c r="EH550" i="1"/>
  <c r="EI550" i="1"/>
  <c r="EJ550" i="1"/>
  <c r="EK550" i="1"/>
  <c r="EH551" i="1"/>
  <c r="EI551" i="1"/>
  <c r="EJ551" i="1"/>
  <c r="EK551" i="1"/>
  <c r="EH552" i="1"/>
  <c r="EI552" i="1"/>
  <c r="EJ552" i="1"/>
  <c r="EK552" i="1"/>
  <c r="EH553" i="1"/>
  <c r="EI553" i="1"/>
  <c r="EJ553" i="1"/>
  <c r="EK553" i="1"/>
  <c r="EH554" i="1"/>
  <c r="EI554" i="1"/>
  <c r="EJ554" i="1"/>
  <c r="EK554" i="1"/>
  <c r="EH555" i="1"/>
  <c r="EI555" i="1"/>
  <c r="EJ555" i="1"/>
  <c r="EK555" i="1"/>
  <c r="EH556" i="1"/>
  <c r="EI556" i="1"/>
  <c r="EJ556" i="1"/>
  <c r="EK556" i="1"/>
  <c r="EH557" i="1"/>
  <c r="EI557" i="1"/>
  <c r="EJ557" i="1"/>
  <c r="EK557" i="1"/>
  <c r="EH558" i="1"/>
  <c r="EI558" i="1"/>
  <c r="EJ558" i="1"/>
  <c r="EK558" i="1"/>
  <c r="EH559" i="1"/>
  <c r="EI559" i="1"/>
  <c r="EJ559" i="1"/>
  <c r="EK559" i="1"/>
  <c r="EH560" i="1"/>
  <c r="EI560" i="1"/>
  <c r="EJ560" i="1"/>
  <c r="EK560" i="1"/>
  <c r="EH561" i="1"/>
  <c r="EI561" i="1"/>
  <c r="EJ561" i="1"/>
  <c r="EK561" i="1"/>
  <c r="EH562" i="1"/>
  <c r="EI562" i="1"/>
  <c r="EJ562" i="1"/>
  <c r="EK562" i="1"/>
  <c r="EH563" i="1"/>
  <c r="EI563" i="1"/>
  <c r="EJ563" i="1"/>
  <c r="EK563" i="1"/>
  <c r="EH564" i="1"/>
  <c r="EI564" i="1"/>
  <c r="EJ564" i="1"/>
  <c r="EK564" i="1"/>
  <c r="EH565" i="1"/>
  <c r="EI565" i="1"/>
  <c r="EJ565" i="1"/>
  <c r="EK565" i="1"/>
  <c r="EH566" i="1"/>
  <c r="EI566" i="1"/>
  <c r="EJ566" i="1"/>
  <c r="EK566" i="1"/>
  <c r="EH567" i="1"/>
  <c r="EI567" i="1"/>
  <c r="EJ567" i="1"/>
  <c r="EK567" i="1"/>
  <c r="EH568" i="1"/>
  <c r="EI568" i="1"/>
  <c r="EJ568" i="1"/>
  <c r="EK568" i="1"/>
  <c r="EH569" i="1"/>
  <c r="EI569" i="1"/>
  <c r="EJ569" i="1"/>
  <c r="EK569" i="1"/>
  <c r="EH570" i="1"/>
  <c r="EI570" i="1"/>
  <c r="EJ570" i="1"/>
  <c r="EK570" i="1"/>
  <c r="EH571" i="1"/>
  <c r="EI571" i="1"/>
  <c r="EJ571" i="1"/>
  <c r="EK571" i="1"/>
  <c r="EH572" i="1"/>
  <c r="EI572" i="1"/>
  <c r="EJ572" i="1"/>
  <c r="EK572" i="1"/>
  <c r="EH573" i="1"/>
  <c r="EI573" i="1"/>
  <c r="EJ573" i="1"/>
  <c r="EK573" i="1"/>
  <c r="EH574" i="1"/>
  <c r="EI574" i="1"/>
  <c r="EJ574" i="1"/>
  <c r="EK574" i="1"/>
  <c r="EH575" i="1"/>
  <c r="EI575" i="1"/>
  <c r="EJ575" i="1"/>
  <c r="EK575" i="1"/>
  <c r="EH576" i="1"/>
  <c r="EI576" i="1"/>
  <c r="EJ576" i="1"/>
  <c r="EK576" i="1"/>
  <c r="EH577" i="1"/>
  <c r="EI577" i="1"/>
  <c r="EJ577" i="1"/>
  <c r="EK577" i="1"/>
  <c r="EH578" i="1"/>
  <c r="EI578" i="1"/>
  <c r="EJ578" i="1"/>
  <c r="EK578" i="1"/>
  <c r="EH579" i="1"/>
  <c r="EI579" i="1"/>
  <c r="EJ579" i="1"/>
  <c r="EK579" i="1"/>
  <c r="EH580" i="1"/>
  <c r="EI580" i="1"/>
  <c r="EJ580" i="1"/>
  <c r="EK580" i="1"/>
  <c r="EH581" i="1"/>
  <c r="EI581" i="1"/>
  <c r="EJ581" i="1"/>
  <c r="EK581" i="1"/>
  <c r="EH582" i="1"/>
  <c r="EI582" i="1"/>
  <c r="EJ582" i="1"/>
  <c r="EK582" i="1"/>
  <c r="EH583" i="1"/>
  <c r="EI583" i="1"/>
  <c r="EJ583" i="1"/>
  <c r="EK583" i="1"/>
  <c r="EH584" i="1"/>
  <c r="EI584" i="1"/>
  <c r="EJ584" i="1"/>
  <c r="EK584" i="1"/>
  <c r="EH585" i="1"/>
  <c r="EI585" i="1"/>
  <c r="EJ585" i="1"/>
  <c r="EK585" i="1"/>
  <c r="EH586" i="1"/>
  <c r="EI586" i="1"/>
  <c r="EJ586" i="1"/>
  <c r="EK586" i="1"/>
  <c r="EH587" i="1"/>
  <c r="EI587" i="1"/>
  <c r="EJ587" i="1"/>
  <c r="EK587" i="1"/>
  <c r="EH588" i="1"/>
  <c r="EI588" i="1"/>
  <c r="EJ588" i="1"/>
  <c r="EK588" i="1"/>
  <c r="EH589" i="1"/>
  <c r="EI589" i="1"/>
  <c r="EJ589" i="1"/>
  <c r="EK589" i="1"/>
  <c r="EH590" i="1"/>
  <c r="EI590" i="1"/>
  <c r="EJ590" i="1"/>
  <c r="EK590" i="1"/>
  <c r="EH591" i="1"/>
  <c r="EI591" i="1"/>
  <c r="EJ591" i="1"/>
  <c r="EK591" i="1"/>
  <c r="EH592" i="1"/>
  <c r="EI592" i="1"/>
  <c r="EJ592" i="1"/>
  <c r="EK592" i="1"/>
  <c r="EH593" i="1"/>
  <c r="EI593" i="1"/>
  <c r="EJ593" i="1"/>
  <c r="EK593" i="1"/>
  <c r="EH594" i="1"/>
  <c r="EI594" i="1"/>
  <c r="EJ594" i="1"/>
  <c r="EK594" i="1"/>
  <c r="EH595" i="1"/>
  <c r="EI595" i="1"/>
  <c r="EJ595" i="1"/>
  <c r="EK595" i="1"/>
  <c r="EH596" i="1"/>
  <c r="EI596" i="1"/>
  <c r="EJ596" i="1"/>
  <c r="EK596" i="1"/>
  <c r="EH597" i="1"/>
  <c r="EI597" i="1"/>
  <c r="EJ597" i="1"/>
  <c r="EK597" i="1"/>
  <c r="EH598" i="1"/>
  <c r="EI598" i="1"/>
  <c r="EJ598" i="1"/>
  <c r="EK598" i="1"/>
  <c r="EH599" i="1"/>
  <c r="EI599" i="1"/>
  <c r="EJ599" i="1"/>
  <c r="EK599" i="1"/>
  <c r="EH600" i="1"/>
  <c r="EI600" i="1"/>
  <c r="EJ600" i="1"/>
  <c r="EK600" i="1"/>
  <c r="EH601" i="1"/>
  <c r="EI601" i="1"/>
  <c r="EJ601" i="1"/>
  <c r="EK601" i="1"/>
  <c r="EH602" i="1"/>
  <c r="EI602" i="1"/>
  <c r="EJ602" i="1"/>
  <c r="EK602" i="1"/>
  <c r="EH603" i="1"/>
  <c r="EI603" i="1"/>
  <c r="EJ603" i="1"/>
  <c r="EK603" i="1"/>
  <c r="EH604" i="1"/>
  <c r="EI604" i="1"/>
  <c r="EJ604" i="1"/>
  <c r="EK604" i="1"/>
  <c r="EH605" i="1"/>
  <c r="EI605" i="1"/>
  <c r="EJ605" i="1"/>
  <c r="EK605" i="1"/>
  <c r="EH606" i="1"/>
  <c r="EI606" i="1"/>
  <c r="EJ606" i="1"/>
  <c r="EK606" i="1"/>
  <c r="EH607" i="1"/>
  <c r="EI607" i="1"/>
  <c r="EJ607" i="1"/>
  <c r="EK607" i="1"/>
  <c r="EH608" i="1"/>
  <c r="EI608" i="1"/>
  <c r="EJ608" i="1"/>
  <c r="EK608" i="1"/>
  <c r="EH609" i="1"/>
  <c r="EI609" i="1"/>
  <c r="EJ609" i="1"/>
  <c r="EK609" i="1"/>
  <c r="EH610" i="1"/>
  <c r="EI610" i="1"/>
  <c r="EJ610" i="1"/>
  <c r="EK610" i="1"/>
  <c r="EH611" i="1"/>
  <c r="EI611" i="1"/>
  <c r="EJ611" i="1"/>
  <c r="EK611" i="1"/>
  <c r="EH612" i="1"/>
  <c r="EI612" i="1"/>
  <c r="EJ612" i="1"/>
  <c r="EK612" i="1"/>
  <c r="EH613" i="1"/>
  <c r="EI613" i="1"/>
  <c r="EJ613" i="1"/>
  <c r="EK613" i="1"/>
  <c r="EH614" i="1"/>
  <c r="EI614" i="1"/>
  <c r="EJ614" i="1"/>
  <c r="EK614" i="1"/>
  <c r="EH615" i="1"/>
  <c r="EI615" i="1"/>
  <c r="EJ615" i="1"/>
  <c r="EK615" i="1"/>
  <c r="EH616" i="1"/>
  <c r="EI616" i="1"/>
  <c r="EJ616" i="1"/>
  <c r="EK616" i="1"/>
  <c r="EH617" i="1"/>
  <c r="EI617" i="1"/>
  <c r="EJ617" i="1"/>
  <c r="EK617" i="1"/>
  <c r="EH618" i="1"/>
  <c r="EI618" i="1"/>
  <c r="EJ618" i="1"/>
  <c r="EK618" i="1"/>
  <c r="EH619" i="1"/>
  <c r="EI619" i="1"/>
  <c r="EJ619" i="1"/>
  <c r="EK619" i="1"/>
  <c r="EH620" i="1"/>
  <c r="EI620" i="1"/>
  <c r="EJ620" i="1"/>
  <c r="EK620" i="1"/>
  <c r="EH621" i="1"/>
  <c r="EI621" i="1"/>
  <c r="EJ621" i="1"/>
  <c r="EK621" i="1"/>
  <c r="EH622" i="1"/>
  <c r="EI622" i="1"/>
  <c r="EJ622" i="1"/>
  <c r="EK622" i="1"/>
  <c r="EH623" i="1"/>
  <c r="EI623" i="1"/>
  <c r="EJ623" i="1"/>
  <c r="EK623" i="1"/>
  <c r="EH624" i="1"/>
  <c r="EI624" i="1"/>
  <c r="EJ624" i="1"/>
  <c r="EK624" i="1"/>
  <c r="EH625" i="1"/>
  <c r="EI625" i="1"/>
  <c r="EJ625" i="1"/>
  <c r="EK625" i="1"/>
  <c r="EH626" i="1"/>
  <c r="EI626" i="1"/>
  <c r="EJ626" i="1"/>
  <c r="EK626" i="1"/>
  <c r="EH627" i="1"/>
  <c r="EI627" i="1"/>
  <c r="EJ627" i="1"/>
  <c r="EK627" i="1"/>
  <c r="EH628" i="1"/>
  <c r="EI628" i="1"/>
  <c r="EJ628" i="1"/>
  <c r="EK628" i="1"/>
  <c r="EH629" i="1"/>
  <c r="EI629" i="1"/>
  <c r="EJ629" i="1"/>
  <c r="EK629" i="1"/>
  <c r="EH630" i="1"/>
  <c r="EI630" i="1"/>
  <c r="EJ630" i="1"/>
  <c r="EK630" i="1"/>
  <c r="EH631" i="1"/>
  <c r="EI631" i="1"/>
  <c r="EJ631" i="1"/>
  <c r="EK631" i="1"/>
  <c r="EH632" i="1"/>
  <c r="EI632" i="1"/>
  <c r="EJ632" i="1"/>
  <c r="EK632" i="1"/>
  <c r="EH633" i="1"/>
  <c r="EI633" i="1"/>
  <c r="EJ633" i="1"/>
  <c r="EK633" i="1"/>
  <c r="EH634" i="1"/>
  <c r="EI634" i="1"/>
  <c r="EJ634" i="1"/>
  <c r="EK634" i="1"/>
  <c r="EH635" i="1"/>
  <c r="EI635" i="1"/>
  <c r="EJ635" i="1"/>
  <c r="EK635" i="1"/>
  <c r="EH636" i="1"/>
  <c r="EI636" i="1"/>
  <c r="EJ636" i="1"/>
  <c r="EK636" i="1"/>
  <c r="EH637" i="1"/>
  <c r="EI637" i="1"/>
  <c r="EJ637" i="1"/>
  <c r="EK637" i="1"/>
  <c r="EH638" i="1"/>
  <c r="EI638" i="1"/>
  <c r="EJ638" i="1"/>
  <c r="EK638" i="1"/>
  <c r="EH639" i="1"/>
  <c r="EI639" i="1"/>
  <c r="EJ639" i="1"/>
  <c r="EK639" i="1"/>
  <c r="EH640" i="1"/>
  <c r="EI640" i="1"/>
  <c r="EJ640" i="1"/>
  <c r="EK640" i="1"/>
  <c r="EH641" i="1"/>
  <c r="EI641" i="1"/>
  <c r="EJ641" i="1"/>
  <c r="EK641" i="1"/>
  <c r="EH642" i="1"/>
  <c r="EI642" i="1"/>
  <c r="EJ642" i="1"/>
  <c r="EK642" i="1"/>
  <c r="EH643" i="1"/>
  <c r="EI643" i="1"/>
  <c r="EJ643" i="1"/>
  <c r="EK643" i="1"/>
  <c r="EH644" i="1"/>
  <c r="EI644" i="1"/>
  <c r="EJ644" i="1"/>
  <c r="EK644" i="1"/>
  <c r="EH645" i="1"/>
  <c r="EI645" i="1"/>
  <c r="EJ645" i="1"/>
  <c r="EK645" i="1"/>
  <c r="EH646" i="1"/>
  <c r="EI646" i="1"/>
  <c r="EJ646" i="1"/>
  <c r="EK646" i="1"/>
  <c r="EH647" i="1"/>
  <c r="EI647" i="1"/>
  <c r="EJ647" i="1"/>
  <c r="EK647" i="1"/>
  <c r="EH648" i="1"/>
  <c r="EI648" i="1"/>
  <c r="EJ648" i="1"/>
  <c r="EK648" i="1"/>
  <c r="EH649" i="1"/>
  <c r="EI649" i="1"/>
  <c r="EJ649" i="1"/>
  <c r="EK649" i="1"/>
  <c r="EH650" i="1"/>
  <c r="EI650" i="1"/>
  <c r="EJ650" i="1"/>
  <c r="EK650" i="1"/>
  <c r="EH2" i="1"/>
  <c r="EH653" i="1" s="1"/>
  <c r="DX3" i="1"/>
  <c r="DY3" i="1"/>
  <c r="DZ3" i="1"/>
  <c r="EA3" i="1"/>
  <c r="EB3" i="1"/>
  <c r="EC3" i="1"/>
  <c r="ED3" i="1"/>
  <c r="EE3" i="1"/>
  <c r="EF3" i="1"/>
  <c r="EG3" i="1"/>
  <c r="DX4" i="1"/>
  <c r="DY4" i="1"/>
  <c r="DZ4" i="1"/>
  <c r="EA4" i="1"/>
  <c r="EB4" i="1"/>
  <c r="EC4" i="1"/>
  <c r="ED4" i="1"/>
  <c r="EE4" i="1"/>
  <c r="EF4" i="1"/>
  <c r="EG4" i="1"/>
  <c r="DX5" i="1"/>
  <c r="DY5" i="1"/>
  <c r="DZ5" i="1"/>
  <c r="EA5" i="1"/>
  <c r="EB5" i="1"/>
  <c r="EC5" i="1"/>
  <c r="ED5" i="1"/>
  <c r="EE5" i="1"/>
  <c r="EF5" i="1"/>
  <c r="EG5" i="1"/>
  <c r="DX6" i="1"/>
  <c r="DY6" i="1"/>
  <c r="DZ6" i="1"/>
  <c r="EA6" i="1"/>
  <c r="EB6" i="1"/>
  <c r="EC6" i="1"/>
  <c r="ED6" i="1"/>
  <c r="EE6" i="1"/>
  <c r="EF6" i="1"/>
  <c r="EG6" i="1"/>
  <c r="DX7" i="1"/>
  <c r="DY7" i="1"/>
  <c r="DZ7" i="1"/>
  <c r="EA7" i="1"/>
  <c r="EB7" i="1"/>
  <c r="EC7" i="1"/>
  <c r="ED7" i="1"/>
  <c r="EE7" i="1"/>
  <c r="EF7" i="1"/>
  <c r="EG7" i="1"/>
  <c r="DX8" i="1"/>
  <c r="DY8" i="1"/>
  <c r="DZ8" i="1"/>
  <c r="EA8" i="1"/>
  <c r="EB8" i="1"/>
  <c r="EC8" i="1"/>
  <c r="ED8" i="1"/>
  <c r="EE8" i="1"/>
  <c r="EF8" i="1"/>
  <c r="EG8" i="1"/>
  <c r="DX9" i="1"/>
  <c r="DY9" i="1"/>
  <c r="DZ9" i="1"/>
  <c r="EA9" i="1"/>
  <c r="EB9" i="1"/>
  <c r="EC9" i="1"/>
  <c r="ED9" i="1"/>
  <c r="EE9" i="1"/>
  <c r="EF9" i="1"/>
  <c r="EG9" i="1"/>
  <c r="DX10" i="1"/>
  <c r="DY10" i="1"/>
  <c r="DZ10" i="1"/>
  <c r="EA10" i="1"/>
  <c r="EB10" i="1"/>
  <c r="EC10" i="1"/>
  <c r="ED10" i="1"/>
  <c r="EE10" i="1"/>
  <c r="EF10" i="1"/>
  <c r="EG10" i="1"/>
  <c r="DX11" i="1"/>
  <c r="DY11" i="1"/>
  <c r="DZ11" i="1"/>
  <c r="EA11" i="1"/>
  <c r="EB11" i="1"/>
  <c r="EC11" i="1"/>
  <c r="ED11" i="1"/>
  <c r="EE11" i="1"/>
  <c r="EF11" i="1"/>
  <c r="EG11" i="1"/>
  <c r="DX12" i="1"/>
  <c r="DY12" i="1"/>
  <c r="DZ12" i="1"/>
  <c r="EA12" i="1"/>
  <c r="EB12" i="1"/>
  <c r="EC12" i="1"/>
  <c r="ED12" i="1"/>
  <c r="EE12" i="1"/>
  <c r="EF12" i="1"/>
  <c r="EG12" i="1"/>
  <c r="DX13" i="1"/>
  <c r="DY13" i="1"/>
  <c r="DZ13" i="1"/>
  <c r="EA13" i="1"/>
  <c r="EB13" i="1"/>
  <c r="EC13" i="1"/>
  <c r="ED13" i="1"/>
  <c r="EE13" i="1"/>
  <c r="EF13" i="1"/>
  <c r="EG13" i="1"/>
  <c r="DX14" i="1"/>
  <c r="DY14" i="1"/>
  <c r="DZ14" i="1"/>
  <c r="EA14" i="1"/>
  <c r="EB14" i="1"/>
  <c r="EC14" i="1"/>
  <c r="ED14" i="1"/>
  <c r="EE14" i="1"/>
  <c r="EF14" i="1"/>
  <c r="EG14" i="1"/>
  <c r="DX15" i="1"/>
  <c r="DY15" i="1"/>
  <c r="DZ15" i="1"/>
  <c r="EA15" i="1"/>
  <c r="EB15" i="1"/>
  <c r="EC15" i="1"/>
  <c r="ED15" i="1"/>
  <c r="EE15" i="1"/>
  <c r="EF15" i="1"/>
  <c r="EG15" i="1"/>
  <c r="DX16" i="1"/>
  <c r="DY16" i="1"/>
  <c r="DZ16" i="1"/>
  <c r="EA16" i="1"/>
  <c r="EB16" i="1"/>
  <c r="EC16" i="1"/>
  <c r="ED16" i="1"/>
  <c r="EE16" i="1"/>
  <c r="EF16" i="1"/>
  <c r="EG16" i="1"/>
  <c r="DX17" i="1"/>
  <c r="DY17" i="1"/>
  <c r="DZ17" i="1"/>
  <c r="EA17" i="1"/>
  <c r="EB17" i="1"/>
  <c r="EC17" i="1"/>
  <c r="ED17" i="1"/>
  <c r="EE17" i="1"/>
  <c r="EF17" i="1"/>
  <c r="EG17" i="1"/>
  <c r="DX18" i="1"/>
  <c r="DY18" i="1"/>
  <c r="DZ18" i="1"/>
  <c r="EA18" i="1"/>
  <c r="EB18" i="1"/>
  <c r="EC18" i="1"/>
  <c r="ED18" i="1"/>
  <c r="EE18" i="1"/>
  <c r="EF18" i="1"/>
  <c r="EG18" i="1"/>
  <c r="DX19" i="1"/>
  <c r="DY19" i="1"/>
  <c r="DZ19" i="1"/>
  <c r="EA19" i="1"/>
  <c r="EB19" i="1"/>
  <c r="EC19" i="1"/>
  <c r="ED19" i="1"/>
  <c r="EE19" i="1"/>
  <c r="EF19" i="1"/>
  <c r="EG19" i="1"/>
  <c r="DX20" i="1"/>
  <c r="DY20" i="1"/>
  <c r="DZ20" i="1"/>
  <c r="EA20" i="1"/>
  <c r="EB20" i="1"/>
  <c r="EC20" i="1"/>
  <c r="ED20" i="1"/>
  <c r="EE20" i="1"/>
  <c r="EF20" i="1"/>
  <c r="EG20" i="1"/>
  <c r="DX21" i="1"/>
  <c r="DY21" i="1"/>
  <c r="DZ21" i="1"/>
  <c r="EA21" i="1"/>
  <c r="EB21" i="1"/>
  <c r="EC21" i="1"/>
  <c r="ED21" i="1"/>
  <c r="EE21" i="1"/>
  <c r="EF21" i="1"/>
  <c r="EG21" i="1"/>
  <c r="DX22" i="1"/>
  <c r="DY22" i="1"/>
  <c r="DZ22" i="1"/>
  <c r="EA22" i="1"/>
  <c r="EB22" i="1"/>
  <c r="EC22" i="1"/>
  <c r="ED22" i="1"/>
  <c r="EE22" i="1"/>
  <c r="EF22" i="1"/>
  <c r="EG22" i="1"/>
  <c r="DX23" i="1"/>
  <c r="DY23" i="1"/>
  <c r="DZ23" i="1"/>
  <c r="EA23" i="1"/>
  <c r="EB23" i="1"/>
  <c r="EC23" i="1"/>
  <c r="ED23" i="1"/>
  <c r="EE23" i="1"/>
  <c r="EF23" i="1"/>
  <c r="EG23" i="1"/>
  <c r="DX24" i="1"/>
  <c r="DY24" i="1"/>
  <c r="DZ24" i="1"/>
  <c r="EA24" i="1"/>
  <c r="EB24" i="1"/>
  <c r="EC24" i="1"/>
  <c r="ED24" i="1"/>
  <c r="EE24" i="1"/>
  <c r="EF24" i="1"/>
  <c r="EG24" i="1"/>
  <c r="DX25" i="1"/>
  <c r="DY25" i="1"/>
  <c r="DZ25" i="1"/>
  <c r="EA25" i="1"/>
  <c r="EB25" i="1"/>
  <c r="EC25" i="1"/>
  <c r="ED25" i="1"/>
  <c r="EE25" i="1"/>
  <c r="EF25" i="1"/>
  <c r="EG25" i="1"/>
  <c r="DX26" i="1"/>
  <c r="DY26" i="1"/>
  <c r="DZ26" i="1"/>
  <c r="EA26" i="1"/>
  <c r="EB26" i="1"/>
  <c r="EC26" i="1"/>
  <c r="ED26" i="1"/>
  <c r="EE26" i="1"/>
  <c r="EF26" i="1"/>
  <c r="EG26" i="1"/>
  <c r="DX27" i="1"/>
  <c r="DY27" i="1"/>
  <c r="DZ27" i="1"/>
  <c r="EA27" i="1"/>
  <c r="EB27" i="1"/>
  <c r="EC27" i="1"/>
  <c r="ED27" i="1"/>
  <c r="EE27" i="1"/>
  <c r="EF27" i="1"/>
  <c r="EG27" i="1"/>
  <c r="DX28" i="1"/>
  <c r="DY28" i="1"/>
  <c r="DZ28" i="1"/>
  <c r="EA28" i="1"/>
  <c r="EB28" i="1"/>
  <c r="EC28" i="1"/>
  <c r="ED28" i="1"/>
  <c r="EE28" i="1"/>
  <c r="EF28" i="1"/>
  <c r="EG28" i="1"/>
  <c r="DX29" i="1"/>
  <c r="DY29" i="1"/>
  <c r="DZ29" i="1"/>
  <c r="EA29" i="1"/>
  <c r="EB29" i="1"/>
  <c r="EC29" i="1"/>
  <c r="ED29" i="1"/>
  <c r="EE29" i="1"/>
  <c r="EF29" i="1"/>
  <c r="EG29" i="1"/>
  <c r="DX30" i="1"/>
  <c r="DY30" i="1"/>
  <c r="DZ30" i="1"/>
  <c r="EA30" i="1"/>
  <c r="EB30" i="1"/>
  <c r="EC30" i="1"/>
  <c r="ED30" i="1"/>
  <c r="EE30" i="1"/>
  <c r="EF30" i="1"/>
  <c r="EG30" i="1"/>
  <c r="DX31" i="1"/>
  <c r="DY31" i="1"/>
  <c r="DZ31" i="1"/>
  <c r="EA31" i="1"/>
  <c r="EB31" i="1"/>
  <c r="EC31" i="1"/>
  <c r="ED31" i="1"/>
  <c r="EE31" i="1"/>
  <c r="EF31" i="1"/>
  <c r="EG31" i="1"/>
  <c r="DX32" i="1"/>
  <c r="DY32" i="1"/>
  <c r="DZ32" i="1"/>
  <c r="EA32" i="1"/>
  <c r="EB32" i="1"/>
  <c r="EC32" i="1"/>
  <c r="ED32" i="1"/>
  <c r="EE32" i="1"/>
  <c r="EF32" i="1"/>
  <c r="EG32" i="1"/>
  <c r="DX33" i="1"/>
  <c r="DY33" i="1"/>
  <c r="DZ33" i="1"/>
  <c r="EA33" i="1"/>
  <c r="EB33" i="1"/>
  <c r="EC33" i="1"/>
  <c r="ED33" i="1"/>
  <c r="EE33" i="1"/>
  <c r="EF33" i="1"/>
  <c r="EG33" i="1"/>
  <c r="DX34" i="1"/>
  <c r="DY34" i="1"/>
  <c r="DZ34" i="1"/>
  <c r="EA34" i="1"/>
  <c r="EB34" i="1"/>
  <c r="EC34" i="1"/>
  <c r="ED34" i="1"/>
  <c r="EE34" i="1"/>
  <c r="EF34" i="1"/>
  <c r="EG34" i="1"/>
  <c r="DX35" i="1"/>
  <c r="DY35" i="1"/>
  <c r="DZ35" i="1"/>
  <c r="EA35" i="1"/>
  <c r="EB35" i="1"/>
  <c r="EC35" i="1"/>
  <c r="ED35" i="1"/>
  <c r="EE35" i="1"/>
  <c r="EF35" i="1"/>
  <c r="EG35" i="1"/>
  <c r="DX36" i="1"/>
  <c r="DY36" i="1"/>
  <c r="DZ36" i="1"/>
  <c r="EA36" i="1"/>
  <c r="EB36" i="1"/>
  <c r="EC36" i="1"/>
  <c r="ED36" i="1"/>
  <c r="EE36" i="1"/>
  <c r="EF36" i="1"/>
  <c r="EG36" i="1"/>
  <c r="DX37" i="1"/>
  <c r="DY37" i="1"/>
  <c r="DZ37" i="1"/>
  <c r="EA37" i="1"/>
  <c r="EB37" i="1"/>
  <c r="EC37" i="1"/>
  <c r="ED37" i="1"/>
  <c r="EE37" i="1"/>
  <c r="EF37" i="1"/>
  <c r="EG37" i="1"/>
  <c r="DX38" i="1"/>
  <c r="DY38" i="1"/>
  <c r="DZ38" i="1"/>
  <c r="EA38" i="1"/>
  <c r="EB38" i="1"/>
  <c r="EC38" i="1"/>
  <c r="ED38" i="1"/>
  <c r="EE38" i="1"/>
  <c r="EF38" i="1"/>
  <c r="EG38" i="1"/>
  <c r="DX39" i="1"/>
  <c r="DY39" i="1"/>
  <c r="DZ39" i="1"/>
  <c r="EA39" i="1"/>
  <c r="EB39" i="1"/>
  <c r="EC39" i="1"/>
  <c r="ED39" i="1"/>
  <c r="EE39" i="1"/>
  <c r="EF39" i="1"/>
  <c r="EG39" i="1"/>
  <c r="DX40" i="1"/>
  <c r="DY40" i="1"/>
  <c r="DZ40" i="1"/>
  <c r="EA40" i="1"/>
  <c r="EB40" i="1"/>
  <c r="EC40" i="1"/>
  <c r="ED40" i="1"/>
  <c r="EE40" i="1"/>
  <c r="EF40" i="1"/>
  <c r="EG40" i="1"/>
  <c r="DX41" i="1"/>
  <c r="DY41" i="1"/>
  <c r="DZ41" i="1"/>
  <c r="EA41" i="1"/>
  <c r="EB41" i="1"/>
  <c r="EC41" i="1"/>
  <c r="ED41" i="1"/>
  <c r="EE41" i="1"/>
  <c r="EF41" i="1"/>
  <c r="EG41" i="1"/>
  <c r="DX42" i="1"/>
  <c r="DY42" i="1"/>
  <c r="DZ42" i="1"/>
  <c r="EA42" i="1"/>
  <c r="EB42" i="1"/>
  <c r="EC42" i="1"/>
  <c r="ED42" i="1"/>
  <c r="EE42" i="1"/>
  <c r="EF42" i="1"/>
  <c r="EG42" i="1"/>
  <c r="DX43" i="1"/>
  <c r="DY43" i="1"/>
  <c r="DZ43" i="1"/>
  <c r="EA43" i="1"/>
  <c r="EB43" i="1"/>
  <c r="EC43" i="1"/>
  <c r="ED43" i="1"/>
  <c r="EE43" i="1"/>
  <c r="EF43" i="1"/>
  <c r="EG43" i="1"/>
  <c r="DX44" i="1"/>
  <c r="DY44" i="1"/>
  <c r="DZ44" i="1"/>
  <c r="EA44" i="1"/>
  <c r="EB44" i="1"/>
  <c r="EC44" i="1"/>
  <c r="ED44" i="1"/>
  <c r="EE44" i="1"/>
  <c r="EF44" i="1"/>
  <c r="EG44" i="1"/>
  <c r="DX45" i="1"/>
  <c r="DY45" i="1"/>
  <c r="DZ45" i="1"/>
  <c r="EA45" i="1"/>
  <c r="EB45" i="1"/>
  <c r="EC45" i="1"/>
  <c r="ED45" i="1"/>
  <c r="EE45" i="1"/>
  <c r="EF45" i="1"/>
  <c r="EG45" i="1"/>
  <c r="DX46" i="1"/>
  <c r="DY46" i="1"/>
  <c r="DZ46" i="1"/>
  <c r="EA46" i="1"/>
  <c r="EB46" i="1"/>
  <c r="EC46" i="1"/>
  <c r="ED46" i="1"/>
  <c r="EE46" i="1"/>
  <c r="EF46" i="1"/>
  <c r="EG46" i="1"/>
  <c r="DX47" i="1"/>
  <c r="DY47" i="1"/>
  <c r="DZ47" i="1"/>
  <c r="EA47" i="1"/>
  <c r="EB47" i="1"/>
  <c r="EC47" i="1"/>
  <c r="ED47" i="1"/>
  <c r="EE47" i="1"/>
  <c r="EF47" i="1"/>
  <c r="EG47" i="1"/>
  <c r="DX48" i="1"/>
  <c r="DY48" i="1"/>
  <c r="DZ48" i="1"/>
  <c r="EA48" i="1"/>
  <c r="EB48" i="1"/>
  <c r="EC48" i="1"/>
  <c r="ED48" i="1"/>
  <c r="EE48" i="1"/>
  <c r="EF48" i="1"/>
  <c r="EG48" i="1"/>
  <c r="DX49" i="1"/>
  <c r="DY49" i="1"/>
  <c r="DZ49" i="1"/>
  <c r="EA49" i="1"/>
  <c r="EB49" i="1"/>
  <c r="EC49" i="1"/>
  <c r="ED49" i="1"/>
  <c r="EE49" i="1"/>
  <c r="EF49" i="1"/>
  <c r="EG49" i="1"/>
  <c r="DX50" i="1"/>
  <c r="DY50" i="1"/>
  <c r="DZ50" i="1"/>
  <c r="EA50" i="1"/>
  <c r="EB50" i="1"/>
  <c r="EC50" i="1"/>
  <c r="ED50" i="1"/>
  <c r="EE50" i="1"/>
  <c r="EF50" i="1"/>
  <c r="EG50" i="1"/>
  <c r="DX51" i="1"/>
  <c r="DY51" i="1"/>
  <c r="DZ51" i="1"/>
  <c r="EA51" i="1"/>
  <c r="EB51" i="1"/>
  <c r="EC51" i="1"/>
  <c r="ED51" i="1"/>
  <c r="EE51" i="1"/>
  <c r="EF51" i="1"/>
  <c r="EG51" i="1"/>
  <c r="DX52" i="1"/>
  <c r="DY52" i="1"/>
  <c r="DZ52" i="1"/>
  <c r="EA52" i="1"/>
  <c r="EB52" i="1"/>
  <c r="EC52" i="1"/>
  <c r="ED52" i="1"/>
  <c r="EE52" i="1"/>
  <c r="EF52" i="1"/>
  <c r="EG52" i="1"/>
  <c r="DX53" i="1"/>
  <c r="DY53" i="1"/>
  <c r="DZ53" i="1"/>
  <c r="EA53" i="1"/>
  <c r="EB53" i="1"/>
  <c r="EC53" i="1"/>
  <c r="ED53" i="1"/>
  <c r="EE53" i="1"/>
  <c r="EF53" i="1"/>
  <c r="EG53" i="1"/>
  <c r="DX54" i="1"/>
  <c r="DY54" i="1"/>
  <c r="DZ54" i="1"/>
  <c r="EA54" i="1"/>
  <c r="EB54" i="1"/>
  <c r="EC54" i="1"/>
  <c r="ED54" i="1"/>
  <c r="EE54" i="1"/>
  <c r="EF54" i="1"/>
  <c r="EG54" i="1"/>
  <c r="DX55" i="1"/>
  <c r="DY55" i="1"/>
  <c r="DZ55" i="1"/>
  <c r="EA55" i="1"/>
  <c r="EB55" i="1"/>
  <c r="EC55" i="1"/>
  <c r="ED55" i="1"/>
  <c r="EE55" i="1"/>
  <c r="EF55" i="1"/>
  <c r="EG55" i="1"/>
  <c r="DX56" i="1"/>
  <c r="DY56" i="1"/>
  <c r="DZ56" i="1"/>
  <c r="EA56" i="1"/>
  <c r="EB56" i="1"/>
  <c r="EC56" i="1"/>
  <c r="ED56" i="1"/>
  <c r="EE56" i="1"/>
  <c r="EF56" i="1"/>
  <c r="EG56" i="1"/>
  <c r="DX57" i="1"/>
  <c r="DY57" i="1"/>
  <c r="DZ57" i="1"/>
  <c r="EA57" i="1"/>
  <c r="EB57" i="1"/>
  <c r="EC57" i="1"/>
  <c r="ED57" i="1"/>
  <c r="EE57" i="1"/>
  <c r="EF57" i="1"/>
  <c r="EG57" i="1"/>
  <c r="DX58" i="1"/>
  <c r="DY58" i="1"/>
  <c r="DZ58" i="1"/>
  <c r="EA58" i="1"/>
  <c r="EB58" i="1"/>
  <c r="EC58" i="1"/>
  <c r="ED58" i="1"/>
  <c r="EE58" i="1"/>
  <c r="EF58" i="1"/>
  <c r="EG58" i="1"/>
  <c r="DX59" i="1"/>
  <c r="DY59" i="1"/>
  <c r="DZ59" i="1"/>
  <c r="EA59" i="1"/>
  <c r="EB59" i="1"/>
  <c r="EC59" i="1"/>
  <c r="ED59" i="1"/>
  <c r="EE59" i="1"/>
  <c r="EF59" i="1"/>
  <c r="EG59" i="1"/>
  <c r="DX60" i="1"/>
  <c r="DY60" i="1"/>
  <c r="DZ60" i="1"/>
  <c r="EA60" i="1"/>
  <c r="EB60" i="1"/>
  <c r="EC60" i="1"/>
  <c r="ED60" i="1"/>
  <c r="EE60" i="1"/>
  <c r="EF60" i="1"/>
  <c r="EG60" i="1"/>
  <c r="DX61" i="1"/>
  <c r="DY61" i="1"/>
  <c r="DZ61" i="1"/>
  <c r="EA61" i="1"/>
  <c r="EB61" i="1"/>
  <c r="EC61" i="1"/>
  <c r="ED61" i="1"/>
  <c r="EE61" i="1"/>
  <c r="EF61" i="1"/>
  <c r="EG61" i="1"/>
  <c r="DX62" i="1"/>
  <c r="DY62" i="1"/>
  <c r="DZ62" i="1"/>
  <c r="EA62" i="1"/>
  <c r="EB62" i="1"/>
  <c r="EC62" i="1"/>
  <c r="ED62" i="1"/>
  <c r="EE62" i="1"/>
  <c r="EF62" i="1"/>
  <c r="EG62" i="1"/>
  <c r="DX63" i="1"/>
  <c r="DY63" i="1"/>
  <c r="DZ63" i="1"/>
  <c r="EA63" i="1"/>
  <c r="EB63" i="1"/>
  <c r="EC63" i="1"/>
  <c r="ED63" i="1"/>
  <c r="EE63" i="1"/>
  <c r="EF63" i="1"/>
  <c r="EG63" i="1"/>
  <c r="DX64" i="1"/>
  <c r="DY64" i="1"/>
  <c r="DZ64" i="1"/>
  <c r="EA64" i="1"/>
  <c r="EB64" i="1"/>
  <c r="EC64" i="1"/>
  <c r="ED64" i="1"/>
  <c r="EE64" i="1"/>
  <c r="EF64" i="1"/>
  <c r="EG64" i="1"/>
  <c r="DX65" i="1"/>
  <c r="DY65" i="1"/>
  <c r="DZ65" i="1"/>
  <c r="EA65" i="1"/>
  <c r="EB65" i="1"/>
  <c r="EC65" i="1"/>
  <c r="ED65" i="1"/>
  <c r="EE65" i="1"/>
  <c r="EF65" i="1"/>
  <c r="EG65" i="1"/>
  <c r="DX66" i="1"/>
  <c r="DY66" i="1"/>
  <c r="DZ66" i="1"/>
  <c r="EA66" i="1"/>
  <c r="EB66" i="1"/>
  <c r="EC66" i="1"/>
  <c r="ED66" i="1"/>
  <c r="EE66" i="1"/>
  <c r="EF66" i="1"/>
  <c r="EG66" i="1"/>
  <c r="DX67" i="1"/>
  <c r="DY67" i="1"/>
  <c r="DZ67" i="1"/>
  <c r="EA67" i="1"/>
  <c r="EB67" i="1"/>
  <c r="EC67" i="1"/>
  <c r="ED67" i="1"/>
  <c r="EE67" i="1"/>
  <c r="EF67" i="1"/>
  <c r="EG67" i="1"/>
  <c r="DX68" i="1"/>
  <c r="DY68" i="1"/>
  <c r="DZ68" i="1"/>
  <c r="EA68" i="1"/>
  <c r="EB68" i="1"/>
  <c r="EC68" i="1"/>
  <c r="ED68" i="1"/>
  <c r="EE68" i="1"/>
  <c r="EF68" i="1"/>
  <c r="EG68" i="1"/>
  <c r="DX69" i="1"/>
  <c r="DY69" i="1"/>
  <c r="DZ69" i="1"/>
  <c r="EA69" i="1"/>
  <c r="EB69" i="1"/>
  <c r="EC69" i="1"/>
  <c r="ED69" i="1"/>
  <c r="EE69" i="1"/>
  <c r="EF69" i="1"/>
  <c r="EG69" i="1"/>
  <c r="DX70" i="1"/>
  <c r="DY70" i="1"/>
  <c r="DZ70" i="1"/>
  <c r="EA70" i="1"/>
  <c r="EB70" i="1"/>
  <c r="EC70" i="1"/>
  <c r="ED70" i="1"/>
  <c r="EE70" i="1"/>
  <c r="EF70" i="1"/>
  <c r="EG70" i="1"/>
  <c r="DX71" i="1"/>
  <c r="DY71" i="1"/>
  <c r="DZ71" i="1"/>
  <c r="EA71" i="1"/>
  <c r="EB71" i="1"/>
  <c r="EC71" i="1"/>
  <c r="ED71" i="1"/>
  <c r="EE71" i="1"/>
  <c r="EF71" i="1"/>
  <c r="EG71" i="1"/>
  <c r="DX72" i="1"/>
  <c r="DY72" i="1"/>
  <c r="DZ72" i="1"/>
  <c r="EA72" i="1"/>
  <c r="EB72" i="1"/>
  <c r="EC72" i="1"/>
  <c r="ED72" i="1"/>
  <c r="EE72" i="1"/>
  <c r="EF72" i="1"/>
  <c r="EG72" i="1"/>
  <c r="DX73" i="1"/>
  <c r="DY73" i="1"/>
  <c r="DZ73" i="1"/>
  <c r="EA73" i="1"/>
  <c r="EB73" i="1"/>
  <c r="EC73" i="1"/>
  <c r="ED73" i="1"/>
  <c r="EE73" i="1"/>
  <c r="EF73" i="1"/>
  <c r="EG73" i="1"/>
  <c r="DX74" i="1"/>
  <c r="DY74" i="1"/>
  <c r="DZ74" i="1"/>
  <c r="EA74" i="1"/>
  <c r="EB74" i="1"/>
  <c r="EC74" i="1"/>
  <c r="ED74" i="1"/>
  <c r="EE74" i="1"/>
  <c r="EF74" i="1"/>
  <c r="EG74" i="1"/>
  <c r="DX75" i="1"/>
  <c r="DY75" i="1"/>
  <c r="DZ75" i="1"/>
  <c r="EA75" i="1"/>
  <c r="EB75" i="1"/>
  <c r="EC75" i="1"/>
  <c r="ED75" i="1"/>
  <c r="EE75" i="1"/>
  <c r="EF75" i="1"/>
  <c r="EG75" i="1"/>
  <c r="DX76" i="1"/>
  <c r="DY76" i="1"/>
  <c r="DZ76" i="1"/>
  <c r="EA76" i="1"/>
  <c r="EB76" i="1"/>
  <c r="EC76" i="1"/>
  <c r="ED76" i="1"/>
  <c r="EE76" i="1"/>
  <c r="EF76" i="1"/>
  <c r="EG76" i="1"/>
  <c r="DX77" i="1"/>
  <c r="DY77" i="1"/>
  <c r="DZ77" i="1"/>
  <c r="EA77" i="1"/>
  <c r="EB77" i="1"/>
  <c r="EC77" i="1"/>
  <c r="ED77" i="1"/>
  <c r="EE77" i="1"/>
  <c r="EF77" i="1"/>
  <c r="EG77" i="1"/>
  <c r="DX78" i="1"/>
  <c r="DY78" i="1"/>
  <c r="DZ78" i="1"/>
  <c r="EA78" i="1"/>
  <c r="EB78" i="1"/>
  <c r="EC78" i="1"/>
  <c r="ED78" i="1"/>
  <c r="EE78" i="1"/>
  <c r="EF78" i="1"/>
  <c r="EG78" i="1"/>
  <c r="DX79" i="1"/>
  <c r="DY79" i="1"/>
  <c r="DZ79" i="1"/>
  <c r="EA79" i="1"/>
  <c r="EB79" i="1"/>
  <c r="EC79" i="1"/>
  <c r="ED79" i="1"/>
  <c r="EE79" i="1"/>
  <c r="EF79" i="1"/>
  <c r="EG79" i="1"/>
  <c r="DX80" i="1"/>
  <c r="DY80" i="1"/>
  <c r="DZ80" i="1"/>
  <c r="EA80" i="1"/>
  <c r="EB80" i="1"/>
  <c r="EC80" i="1"/>
  <c r="ED80" i="1"/>
  <c r="EE80" i="1"/>
  <c r="EF80" i="1"/>
  <c r="EG80" i="1"/>
  <c r="DX81" i="1"/>
  <c r="DY81" i="1"/>
  <c r="DZ81" i="1"/>
  <c r="EA81" i="1"/>
  <c r="EB81" i="1"/>
  <c r="EC81" i="1"/>
  <c r="ED81" i="1"/>
  <c r="EE81" i="1"/>
  <c r="EF81" i="1"/>
  <c r="EG81" i="1"/>
  <c r="DX82" i="1"/>
  <c r="DY82" i="1"/>
  <c r="DZ82" i="1"/>
  <c r="EA82" i="1"/>
  <c r="EB82" i="1"/>
  <c r="EC82" i="1"/>
  <c r="ED82" i="1"/>
  <c r="EE82" i="1"/>
  <c r="EF82" i="1"/>
  <c r="EG82" i="1"/>
  <c r="DX83" i="1"/>
  <c r="DY83" i="1"/>
  <c r="DZ83" i="1"/>
  <c r="EA83" i="1"/>
  <c r="EB83" i="1"/>
  <c r="EC83" i="1"/>
  <c r="ED83" i="1"/>
  <c r="EE83" i="1"/>
  <c r="EF83" i="1"/>
  <c r="EG83" i="1"/>
  <c r="DX84" i="1"/>
  <c r="DY84" i="1"/>
  <c r="DZ84" i="1"/>
  <c r="EA84" i="1"/>
  <c r="EB84" i="1"/>
  <c r="EC84" i="1"/>
  <c r="ED84" i="1"/>
  <c r="EE84" i="1"/>
  <c r="EF84" i="1"/>
  <c r="EG84" i="1"/>
  <c r="DX85" i="1"/>
  <c r="DY85" i="1"/>
  <c r="DZ85" i="1"/>
  <c r="EA85" i="1"/>
  <c r="EB85" i="1"/>
  <c r="EC85" i="1"/>
  <c r="ED85" i="1"/>
  <c r="EE85" i="1"/>
  <c r="EF85" i="1"/>
  <c r="EG85" i="1"/>
  <c r="DX86" i="1"/>
  <c r="DY86" i="1"/>
  <c r="DZ86" i="1"/>
  <c r="EA86" i="1"/>
  <c r="EB86" i="1"/>
  <c r="EC86" i="1"/>
  <c r="ED86" i="1"/>
  <c r="EE86" i="1"/>
  <c r="EF86" i="1"/>
  <c r="EG86" i="1"/>
  <c r="DX87" i="1"/>
  <c r="DY87" i="1"/>
  <c r="DZ87" i="1"/>
  <c r="EA87" i="1"/>
  <c r="EB87" i="1"/>
  <c r="EC87" i="1"/>
  <c r="ED87" i="1"/>
  <c r="EE87" i="1"/>
  <c r="EF87" i="1"/>
  <c r="EG87" i="1"/>
  <c r="DX88" i="1"/>
  <c r="DY88" i="1"/>
  <c r="DZ88" i="1"/>
  <c r="EA88" i="1"/>
  <c r="EB88" i="1"/>
  <c r="EC88" i="1"/>
  <c r="ED88" i="1"/>
  <c r="EE88" i="1"/>
  <c r="EF88" i="1"/>
  <c r="EG88" i="1"/>
  <c r="DX89" i="1"/>
  <c r="DY89" i="1"/>
  <c r="DZ89" i="1"/>
  <c r="EA89" i="1"/>
  <c r="EB89" i="1"/>
  <c r="EC89" i="1"/>
  <c r="ED89" i="1"/>
  <c r="EE89" i="1"/>
  <c r="EF89" i="1"/>
  <c r="EG89" i="1"/>
  <c r="DX90" i="1"/>
  <c r="DY90" i="1"/>
  <c r="DZ90" i="1"/>
  <c r="EA90" i="1"/>
  <c r="EB90" i="1"/>
  <c r="EC90" i="1"/>
  <c r="ED90" i="1"/>
  <c r="EE90" i="1"/>
  <c r="EF90" i="1"/>
  <c r="EG90" i="1"/>
  <c r="DX91" i="1"/>
  <c r="DY91" i="1"/>
  <c r="DZ91" i="1"/>
  <c r="EA91" i="1"/>
  <c r="EB91" i="1"/>
  <c r="EC91" i="1"/>
  <c r="ED91" i="1"/>
  <c r="EE91" i="1"/>
  <c r="EF91" i="1"/>
  <c r="EG91" i="1"/>
  <c r="DX92" i="1"/>
  <c r="DY92" i="1"/>
  <c r="DZ92" i="1"/>
  <c r="EA92" i="1"/>
  <c r="EB92" i="1"/>
  <c r="EC92" i="1"/>
  <c r="ED92" i="1"/>
  <c r="EE92" i="1"/>
  <c r="EF92" i="1"/>
  <c r="EG92" i="1"/>
  <c r="DX93" i="1"/>
  <c r="DY93" i="1"/>
  <c r="DZ93" i="1"/>
  <c r="EA93" i="1"/>
  <c r="EB93" i="1"/>
  <c r="EC93" i="1"/>
  <c r="ED93" i="1"/>
  <c r="EE93" i="1"/>
  <c r="EF93" i="1"/>
  <c r="EG93" i="1"/>
  <c r="DX94" i="1"/>
  <c r="DY94" i="1"/>
  <c r="DZ94" i="1"/>
  <c r="EA94" i="1"/>
  <c r="EB94" i="1"/>
  <c r="EC94" i="1"/>
  <c r="ED94" i="1"/>
  <c r="EE94" i="1"/>
  <c r="EF94" i="1"/>
  <c r="EG94" i="1"/>
  <c r="DX95" i="1"/>
  <c r="DY95" i="1"/>
  <c r="DZ95" i="1"/>
  <c r="EA95" i="1"/>
  <c r="EB95" i="1"/>
  <c r="EC95" i="1"/>
  <c r="ED95" i="1"/>
  <c r="EE95" i="1"/>
  <c r="EF95" i="1"/>
  <c r="EG95" i="1"/>
  <c r="DX96" i="1"/>
  <c r="DY96" i="1"/>
  <c r="DZ96" i="1"/>
  <c r="EA96" i="1"/>
  <c r="EB96" i="1"/>
  <c r="EC96" i="1"/>
  <c r="ED96" i="1"/>
  <c r="EE96" i="1"/>
  <c r="EF96" i="1"/>
  <c r="EG96" i="1"/>
  <c r="DX97" i="1"/>
  <c r="DY97" i="1"/>
  <c r="DZ97" i="1"/>
  <c r="EA97" i="1"/>
  <c r="EB97" i="1"/>
  <c r="EC97" i="1"/>
  <c r="ED97" i="1"/>
  <c r="EE97" i="1"/>
  <c r="EF97" i="1"/>
  <c r="EG97" i="1"/>
  <c r="DX98" i="1"/>
  <c r="DY98" i="1"/>
  <c r="DZ98" i="1"/>
  <c r="EA98" i="1"/>
  <c r="EB98" i="1"/>
  <c r="EC98" i="1"/>
  <c r="ED98" i="1"/>
  <c r="EE98" i="1"/>
  <c r="EF98" i="1"/>
  <c r="EG98" i="1"/>
  <c r="DX99" i="1"/>
  <c r="DY99" i="1"/>
  <c r="DZ99" i="1"/>
  <c r="EA99" i="1"/>
  <c r="EB99" i="1"/>
  <c r="EC99" i="1"/>
  <c r="ED99" i="1"/>
  <c r="EE99" i="1"/>
  <c r="EF99" i="1"/>
  <c r="EG99" i="1"/>
  <c r="DX100" i="1"/>
  <c r="DY100" i="1"/>
  <c r="DZ100" i="1"/>
  <c r="EA100" i="1"/>
  <c r="EB100" i="1"/>
  <c r="EC100" i="1"/>
  <c r="ED100" i="1"/>
  <c r="EE100" i="1"/>
  <c r="EF100" i="1"/>
  <c r="EG100" i="1"/>
  <c r="DX101" i="1"/>
  <c r="DY101" i="1"/>
  <c r="DZ101" i="1"/>
  <c r="EA101" i="1"/>
  <c r="EB101" i="1"/>
  <c r="EC101" i="1"/>
  <c r="ED101" i="1"/>
  <c r="EE101" i="1"/>
  <c r="EF101" i="1"/>
  <c r="EG101" i="1"/>
  <c r="DX102" i="1"/>
  <c r="DY102" i="1"/>
  <c r="DZ102" i="1"/>
  <c r="EA102" i="1"/>
  <c r="EB102" i="1"/>
  <c r="EC102" i="1"/>
  <c r="ED102" i="1"/>
  <c r="EE102" i="1"/>
  <c r="EF102" i="1"/>
  <c r="EG102" i="1"/>
  <c r="DX103" i="1"/>
  <c r="DY103" i="1"/>
  <c r="DZ103" i="1"/>
  <c r="EA103" i="1"/>
  <c r="EB103" i="1"/>
  <c r="EC103" i="1"/>
  <c r="ED103" i="1"/>
  <c r="EE103" i="1"/>
  <c r="EF103" i="1"/>
  <c r="EG103" i="1"/>
  <c r="DX104" i="1"/>
  <c r="DY104" i="1"/>
  <c r="DZ104" i="1"/>
  <c r="EA104" i="1"/>
  <c r="EB104" i="1"/>
  <c r="EC104" i="1"/>
  <c r="ED104" i="1"/>
  <c r="EE104" i="1"/>
  <c r="EF104" i="1"/>
  <c r="EG104" i="1"/>
  <c r="DX105" i="1"/>
  <c r="DY105" i="1"/>
  <c r="DZ105" i="1"/>
  <c r="EA105" i="1"/>
  <c r="EB105" i="1"/>
  <c r="EC105" i="1"/>
  <c r="ED105" i="1"/>
  <c r="EE105" i="1"/>
  <c r="EF105" i="1"/>
  <c r="EG105" i="1"/>
  <c r="DX106" i="1"/>
  <c r="DY106" i="1"/>
  <c r="DZ106" i="1"/>
  <c r="EA106" i="1"/>
  <c r="EB106" i="1"/>
  <c r="EC106" i="1"/>
  <c r="ED106" i="1"/>
  <c r="EE106" i="1"/>
  <c r="EF106" i="1"/>
  <c r="EG106" i="1"/>
  <c r="DX107" i="1"/>
  <c r="DY107" i="1"/>
  <c r="DZ107" i="1"/>
  <c r="EA107" i="1"/>
  <c r="EB107" i="1"/>
  <c r="EC107" i="1"/>
  <c r="ED107" i="1"/>
  <c r="EE107" i="1"/>
  <c r="EF107" i="1"/>
  <c r="EG107" i="1"/>
  <c r="DX108" i="1"/>
  <c r="DY108" i="1"/>
  <c r="DZ108" i="1"/>
  <c r="EA108" i="1"/>
  <c r="EB108" i="1"/>
  <c r="EC108" i="1"/>
  <c r="ED108" i="1"/>
  <c r="EE108" i="1"/>
  <c r="EF108" i="1"/>
  <c r="EG108" i="1"/>
  <c r="DX109" i="1"/>
  <c r="DY109" i="1"/>
  <c r="DZ109" i="1"/>
  <c r="EA109" i="1"/>
  <c r="EB109" i="1"/>
  <c r="EC109" i="1"/>
  <c r="ED109" i="1"/>
  <c r="EE109" i="1"/>
  <c r="EF109" i="1"/>
  <c r="EG109" i="1"/>
  <c r="DX110" i="1"/>
  <c r="DY110" i="1"/>
  <c r="DZ110" i="1"/>
  <c r="EA110" i="1"/>
  <c r="EB110" i="1"/>
  <c r="EC110" i="1"/>
  <c r="ED110" i="1"/>
  <c r="EE110" i="1"/>
  <c r="EF110" i="1"/>
  <c r="EG110" i="1"/>
  <c r="DX111" i="1"/>
  <c r="DY111" i="1"/>
  <c r="DZ111" i="1"/>
  <c r="EA111" i="1"/>
  <c r="EB111" i="1"/>
  <c r="EC111" i="1"/>
  <c r="ED111" i="1"/>
  <c r="EE111" i="1"/>
  <c r="EF111" i="1"/>
  <c r="EG111" i="1"/>
  <c r="DX112" i="1"/>
  <c r="DY112" i="1"/>
  <c r="DZ112" i="1"/>
  <c r="EA112" i="1"/>
  <c r="EB112" i="1"/>
  <c r="EC112" i="1"/>
  <c r="ED112" i="1"/>
  <c r="EE112" i="1"/>
  <c r="EF112" i="1"/>
  <c r="EG112" i="1"/>
  <c r="DX113" i="1"/>
  <c r="DY113" i="1"/>
  <c r="DZ113" i="1"/>
  <c r="EA113" i="1"/>
  <c r="EB113" i="1"/>
  <c r="EC113" i="1"/>
  <c r="ED113" i="1"/>
  <c r="EE113" i="1"/>
  <c r="EF113" i="1"/>
  <c r="EG113" i="1"/>
  <c r="DX114" i="1"/>
  <c r="DY114" i="1"/>
  <c r="DZ114" i="1"/>
  <c r="EA114" i="1"/>
  <c r="EB114" i="1"/>
  <c r="EC114" i="1"/>
  <c r="ED114" i="1"/>
  <c r="EE114" i="1"/>
  <c r="EF114" i="1"/>
  <c r="EG114" i="1"/>
  <c r="DX115" i="1"/>
  <c r="DY115" i="1"/>
  <c r="DZ115" i="1"/>
  <c r="EA115" i="1"/>
  <c r="EB115" i="1"/>
  <c r="EC115" i="1"/>
  <c r="ED115" i="1"/>
  <c r="EE115" i="1"/>
  <c r="EF115" i="1"/>
  <c r="EG115" i="1"/>
  <c r="DX116" i="1"/>
  <c r="DY116" i="1"/>
  <c r="DZ116" i="1"/>
  <c r="EA116" i="1"/>
  <c r="EB116" i="1"/>
  <c r="EC116" i="1"/>
  <c r="ED116" i="1"/>
  <c r="EE116" i="1"/>
  <c r="EF116" i="1"/>
  <c r="EG116" i="1"/>
  <c r="DX117" i="1"/>
  <c r="DY117" i="1"/>
  <c r="DZ117" i="1"/>
  <c r="EA117" i="1"/>
  <c r="EB117" i="1"/>
  <c r="EC117" i="1"/>
  <c r="ED117" i="1"/>
  <c r="EE117" i="1"/>
  <c r="EF117" i="1"/>
  <c r="EG117" i="1"/>
  <c r="DX118" i="1"/>
  <c r="DY118" i="1"/>
  <c r="DZ118" i="1"/>
  <c r="EA118" i="1"/>
  <c r="EB118" i="1"/>
  <c r="EC118" i="1"/>
  <c r="ED118" i="1"/>
  <c r="EE118" i="1"/>
  <c r="EF118" i="1"/>
  <c r="EG118" i="1"/>
  <c r="DX119" i="1"/>
  <c r="DY119" i="1"/>
  <c r="DZ119" i="1"/>
  <c r="EA119" i="1"/>
  <c r="EB119" i="1"/>
  <c r="EC119" i="1"/>
  <c r="ED119" i="1"/>
  <c r="EE119" i="1"/>
  <c r="EF119" i="1"/>
  <c r="EG119" i="1"/>
  <c r="DX120" i="1"/>
  <c r="DY120" i="1"/>
  <c r="DZ120" i="1"/>
  <c r="EA120" i="1"/>
  <c r="EB120" i="1"/>
  <c r="EC120" i="1"/>
  <c r="ED120" i="1"/>
  <c r="EE120" i="1"/>
  <c r="EF120" i="1"/>
  <c r="EG120" i="1"/>
  <c r="DX121" i="1"/>
  <c r="DY121" i="1"/>
  <c r="DZ121" i="1"/>
  <c r="EA121" i="1"/>
  <c r="EB121" i="1"/>
  <c r="EC121" i="1"/>
  <c r="ED121" i="1"/>
  <c r="EE121" i="1"/>
  <c r="EF121" i="1"/>
  <c r="EG121" i="1"/>
  <c r="DX122" i="1"/>
  <c r="DY122" i="1"/>
  <c r="DZ122" i="1"/>
  <c r="EA122" i="1"/>
  <c r="EB122" i="1"/>
  <c r="EC122" i="1"/>
  <c r="ED122" i="1"/>
  <c r="EE122" i="1"/>
  <c r="EF122" i="1"/>
  <c r="EG122" i="1"/>
  <c r="DX123" i="1"/>
  <c r="DY123" i="1"/>
  <c r="DZ123" i="1"/>
  <c r="EA123" i="1"/>
  <c r="EB123" i="1"/>
  <c r="EC123" i="1"/>
  <c r="ED123" i="1"/>
  <c r="EE123" i="1"/>
  <c r="EF123" i="1"/>
  <c r="EG123" i="1"/>
  <c r="DX124" i="1"/>
  <c r="DY124" i="1"/>
  <c r="DZ124" i="1"/>
  <c r="EA124" i="1"/>
  <c r="EB124" i="1"/>
  <c r="EC124" i="1"/>
  <c r="ED124" i="1"/>
  <c r="EE124" i="1"/>
  <c r="EF124" i="1"/>
  <c r="EG124" i="1"/>
  <c r="DX125" i="1"/>
  <c r="DY125" i="1"/>
  <c r="DZ125" i="1"/>
  <c r="EA125" i="1"/>
  <c r="EB125" i="1"/>
  <c r="EC125" i="1"/>
  <c r="ED125" i="1"/>
  <c r="EE125" i="1"/>
  <c r="EF125" i="1"/>
  <c r="EG125" i="1"/>
  <c r="DX126" i="1"/>
  <c r="DY126" i="1"/>
  <c r="DZ126" i="1"/>
  <c r="EA126" i="1"/>
  <c r="EB126" i="1"/>
  <c r="EC126" i="1"/>
  <c r="ED126" i="1"/>
  <c r="EE126" i="1"/>
  <c r="EF126" i="1"/>
  <c r="EG126" i="1"/>
  <c r="DX127" i="1"/>
  <c r="DY127" i="1"/>
  <c r="DZ127" i="1"/>
  <c r="EA127" i="1"/>
  <c r="EB127" i="1"/>
  <c r="EC127" i="1"/>
  <c r="ED127" i="1"/>
  <c r="EE127" i="1"/>
  <c r="EF127" i="1"/>
  <c r="EG127" i="1"/>
  <c r="DX128" i="1"/>
  <c r="DY128" i="1"/>
  <c r="DZ128" i="1"/>
  <c r="EA128" i="1"/>
  <c r="EB128" i="1"/>
  <c r="EC128" i="1"/>
  <c r="ED128" i="1"/>
  <c r="EE128" i="1"/>
  <c r="EF128" i="1"/>
  <c r="EG128" i="1"/>
  <c r="DX129" i="1"/>
  <c r="DY129" i="1"/>
  <c r="DZ129" i="1"/>
  <c r="EA129" i="1"/>
  <c r="EB129" i="1"/>
  <c r="EC129" i="1"/>
  <c r="ED129" i="1"/>
  <c r="EE129" i="1"/>
  <c r="EF129" i="1"/>
  <c r="EG129" i="1"/>
  <c r="DX130" i="1"/>
  <c r="DY130" i="1"/>
  <c r="DZ130" i="1"/>
  <c r="EA130" i="1"/>
  <c r="EB130" i="1"/>
  <c r="EC130" i="1"/>
  <c r="ED130" i="1"/>
  <c r="EE130" i="1"/>
  <c r="EF130" i="1"/>
  <c r="EG130" i="1"/>
  <c r="DX131" i="1"/>
  <c r="DY131" i="1"/>
  <c r="DZ131" i="1"/>
  <c r="EA131" i="1"/>
  <c r="EB131" i="1"/>
  <c r="EC131" i="1"/>
  <c r="ED131" i="1"/>
  <c r="EE131" i="1"/>
  <c r="EF131" i="1"/>
  <c r="EG131" i="1"/>
  <c r="DX132" i="1"/>
  <c r="DY132" i="1"/>
  <c r="DZ132" i="1"/>
  <c r="EA132" i="1"/>
  <c r="EB132" i="1"/>
  <c r="EC132" i="1"/>
  <c r="ED132" i="1"/>
  <c r="EE132" i="1"/>
  <c r="EF132" i="1"/>
  <c r="EG132" i="1"/>
  <c r="DX133" i="1"/>
  <c r="DY133" i="1"/>
  <c r="DZ133" i="1"/>
  <c r="EA133" i="1"/>
  <c r="EB133" i="1"/>
  <c r="EC133" i="1"/>
  <c r="ED133" i="1"/>
  <c r="EE133" i="1"/>
  <c r="EF133" i="1"/>
  <c r="EG133" i="1"/>
  <c r="DX134" i="1"/>
  <c r="DY134" i="1"/>
  <c r="DZ134" i="1"/>
  <c r="EA134" i="1"/>
  <c r="EB134" i="1"/>
  <c r="EC134" i="1"/>
  <c r="ED134" i="1"/>
  <c r="EE134" i="1"/>
  <c r="EF134" i="1"/>
  <c r="EG134" i="1"/>
  <c r="DX135" i="1"/>
  <c r="DY135" i="1"/>
  <c r="DZ135" i="1"/>
  <c r="EA135" i="1"/>
  <c r="EB135" i="1"/>
  <c r="EC135" i="1"/>
  <c r="ED135" i="1"/>
  <c r="EE135" i="1"/>
  <c r="EF135" i="1"/>
  <c r="EG135" i="1"/>
  <c r="DX136" i="1"/>
  <c r="DY136" i="1"/>
  <c r="DZ136" i="1"/>
  <c r="EA136" i="1"/>
  <c r="EB136" i="1"/>
  <c r="EC136" i="1"/>
  <c r="ED136" i="1"/>
  <c r="EE136" i="1"/>
  <c r="EF136" i="1"/>
  <c r="EG136" i="1"/>
  <c r="DX137" i="1"/>
  <c r="DY137" i="1"/>
  <c r="DZ137" i="1"/>
  <c r="EA137" i="1"/>
  <c r="EB137" i="1"/>
  <c r="EC137" i="1"/>
  <c r="ED137" i="1"/>
  <c r="EE137" i="1"/>
  <c r="EF137" i="1"/>
  <c r="EG137" i="1"/>
  <c r="DX138" i="1"/>
  <c r="DY138" i="1"/>
  <c r="DZ138" i="1"/>
  <c r="EA138" i="1"/>
  <c r="EB138" i="1"/>
  <c r="EC138" i="1"/>
  <c r="ED138" i="1"/>
  <c r="EE138" i="1"/>
  <c r="EF138" i="1"/>
  <c r="EG138" i="1"/>
  <c r="DX139" i="1"/>
  <c r="DY139" i="1"/>
  <c r="DZ139" i="1"/>
  <c r="EA139" i="1"/>
  <c r="EB139" i="1"/>
  <c r="EC139" i="1"/>
  <c r="ED139" i="1"/>
  <c r="EE139" i="1"/>
  <c r="EF139" i="1"/>
  <c r="EG139" i="1"/>
  <c r="DX140" i="1"/>
  <c r="DY140" i="1"/>
  <c r="DZ140" i="1"/>
  <c r="EA140" i="1"/>
  <c r="EB140" i="1"/>
  <c r="EC140" i="1"/>
  <c r="ED140" i="1"/>
  <c r="EE140" i="1"/>
  <c r="EF140" i="1"/>
  <c r="EG140" i="1"/>
  <c r="DX141" i="1"/>
  <c r="DY141" i="1"/>
  <c r="DZ141" i="1"/>
  <c r="EA141" i="1"/>
  <c r="EB141" i="1"/>
  <c r="EC141" i="1"/>
  <c r="ED141" i="1"/>
  <c r="EE141" i="1"/>
  <c r="EF141" i="1"/>
  <c r="EG141" i="1"/>
  <c r="DX142" i="1"/>
  <c r="DY142" i="1"/>
  <c r="DZ142" i="1"/>
  <c r="EA142" i="1"/>
  <c r="EB142" i="1"/>
  <c r="EC142" i="1"/>
  <c r="ED142" i="1"/>
  <c r="EE142" i="1"/>
  <c r="EF142" i="1"/>
  <c r="EG142" i="1"/>
  <c r="DX143" i="1"/>
  <c r="DY143" i="1"/>
  <c r="DZ143" i="1"/>
  <c r="EA143" i="1"/>
  <c r="EB143" i="1"/>
  <c r="EC143" i="1"/>
  <c r="ED143" i="1"/>
  <c r="EE143" i="1"/>
  <c r="EF143" i="1"/>
  <c r="EG143" i="1"/>
  <c r="DX144" i="1"/>
  <c r="DY144" i="1"/>
  <c r="DZ144" i="1"/>
  <c r="EA144" i="1"/>
  <c r="EB144" i="1"/>
  <c r="EC144" i="1"/>
  <c r="ED144" i="1"/>
  <c r="EE144" i="1"/>
  <c r="EF144" i="1"/>
  <c r="EG144" i="1"/>
  <c r="DX145" i="1"/>
  <c r="DY145" i="1"/>
  <c r="DZ145" i="1"/>
  <c r="EA145" i="1"/>
  <c r="EB145" i="1"/>
  <c r="EC145" i="1"/>
  <c r="ED145" i="1"/>
  <c r="EE145" i="1"/>
  <c r="EF145" i="1"/>
  <c r="EG145" i="1"/>
  <c r="DX146" i="1"/>
  <c r="DY146" i="1"/>
  <c r="DZ146" i="1"/>
  <c r="EA146" i="1"/>
  <c r="EB146" i="1"/>
  <c r="EC146" i="1"/>
  <c r="ED146" i="1"/>
  <c r="EE146" i="1"/>
  <c r="EF146" i="1"/>
  <c r="EG146" i="1"/>
  <c r="DX147" i="1"/>
  <c r="DY147" i="1"/>
  <c r="DZ147" i="1"/>
  <c r="EA147" i="1"/>
  <c r="EB147" i="1"/>
  <c r="EC147" i="1"/>
  <c r="ED147" i="1"/>
  <c r="EE147" i="1"/>
  <c r="EF147" i="1"/>
  <c r="EG147" i="1"/>
  <c r="DX148" i="1"/>
  <c r="DY148" i="1"/>
  <c r="DZ148" i="1"/>
  <c r="EA148" i="1"/>
  <c r="EB148" i="1"/>
  <c r="EC148" i="1"/>
  <c r="ED148" i="1"/>
  <c r="EE148" i="1"/>
  <c r="EF148" i="1"/>
  <c r="EG148" i="1"/>
  <c r="DX149" i="1"/>
  <c r="DY149" i="1"/>
  <c r="DZ149" i="1"/>
  <c r="EA149" i="1"/>
  <c r="EB149" i="1"/>
  <c r="EC149" i="1"/>
  <c r="ED149" i="1"/>
  <c r="EE149" i="1"/>
  <c r="EF149" i="1"/>
  <c r="EG149" i="1"/>
  <c r="DX150" i="1"/>
  <c r="DY150" i="1"/>
  <c r="DZ150" i="1"/>
  <c r="EA150" i="1"/>
  <c r="EB150" i="1"/>
  <c r="EC150" i="1"/>
  <c r="ED150" i="1"/>
  <c r="EE150" i="1"/>
  <c r="EF150" i="1"/>
  <c r="EG150" i="1"/>
  <c r="DX151" i="1"/>
  <c r="DY151" i="1"/>
  <c r="DZ151" i="1"/>
  <c r="EA151" i="1"/>
  <c r="EB151" i="1"/>
  <c r="EC151" i="1"/>
  <c r="ED151" i="1"/>
  <c r="EE151" i="1"/>
  <c r="EF151" i="1"/>
  <c r="EG151" i="1"/>
  <c r="DX152" i="1"/>
  <c r="DY152" i="1"/>
  <c r="DZ152" i="1"/>
  <c r="EA152" i="1"/>
  <c r="EB152" i="1"/>
  <c r="EC152" i="1"/>
  <c r="ED152" i="1"/>
  <c r="EE152" i="1"/>
  <c r="EF152" i="1"/>
  <c r="EG152" i="1"/>
  <c r="DX153" i="1"/>
  <c r="DY153" i="1"/>
  <c r="DZ153" i="1"/>
  <c r="EA153" i="1"/>
  <c r="EB153" i="1"/>
  <c r="EC153" i="1"/>
  <c r="ED153" i="1"/>
  <c r="EE153" i="1"/>
  <c r="EF153" i="1"/>
  <c r="EG153" i="1"/>
  <c r="DX154" i="1"/>
  <c r="DY154" i="1"/>
  <c r="DZ154" i="1"/>
  <c r="EA154" i="1"/>
  <c r="EB154" i="1"/>
  <c r="EC154" i="1"/>
  <c r="ED154" i="1"/>
  <c r="EE154" i="1"/>
  <c r="EF154" i="1"/>
  <c r="EG154" i="1"/>
  <c r="DX155" i="1"/>
  <c r="DY155" i="1"/>
  <c r="DZ155" i="1"/>
  <c r="EA155" i="1"/>
  <c r="EB155" i="1"/>
  <c r="EC155" i="1"/>
  <c r="ED155" i="1"/>
  <c r="EE155" i="1"/>
  <c r="EF155" i="1"/>
  <c r="EG155" i="1"/>
  <c r="DX156" i="1"/>
  <c r="DY156" i="1"/>
  <c r="DZ156" i="1"/>
  <c r="EA156" i="1"/>
  <c r="EB156" i="1"/>
  <c r="EC156" i="1"/>
  <c r="ED156" i="1"/>
  <c r="EE156" i="1"/>
  <c r="EF156" i="1"/>
  <c r="EG156" i="1"/>
  <c r="DX157" i="1"/>
  <c r="DY157" i="1"/>
  <c r="DZ157" i="1"/>
  <c r="EA157" i="1"/>
  <c r="EB157" i="1"/>
  <c r="EC157" i="1"/>
  <c r="ED157" i="1"/>
  <c r="EE157" i="1"/>
  <c r="EF157" i="1"/>
  <c r="EG157" i="1"/>
  <c r="DX158" i="1"/>
  <c r="DY158" i="1"/>
  <c r="DZ158" i="1"/>
  <c r="EA158" i="1"/>
  <c r="EB158" i="1"/>
  <c r="EC158" i="1"/>
  <c r="ED158" i="1"/>
  <c r="EE158" i="1"/>
  <c r="EF158" i="1"/>
  <c r="EG158" i="1"/>
  <c r="DX159" i="1"/>
  <c r="DY159" i="1"/>
  <c r="DZ159" i="1"/>
  <c r="EA159" i="1"/>
  <c r="EB159" i="1"/>
  <c r="EC159" i="1"/>
  <c r="ED159" i="1"/>
  <c r="EE159" i="1"/>
  <c r="EF159" i="1"/>
  <c r="EG159" i="1"/>
  <c r="DX160" i="1"/>
  <c r="DY160" i="1"/>
  <c r="DZ160" i="1"/>
  <c r="EA160" i="1"/>
  <c r="EB160" i="1"/>
  <c r="EC160" i="1"/>
  <c r="ED160" i="1"/>
  <c r="EE160" i="1"/>
  <c r="EF160" i="1"/>
  <c r="EG160" i="1"/>
  <c r="DX161" i="1"/>
  <c r="DY161" i="1"/>
  <c r="DZ161" i="1"/>
  <c r="EA161" i="1"/>
  <c r="EB161" i="1"/>
  <c r="EC161" i="1"/>
  <c r="ED161" i="1"/>
  <c r="EE161" i="1"/>
  <c r="EF161" i="1"/>
  <c r="EG161" i="1"/>
  <c r="DX162" i="1"/>
  <c r="DY162" i="1"/>
  <c r="DZ162" i="1"/>
  <c r="EA162" i="1"/>
  <c r="EB162" i="1"/>
  <c r="EC162" i="1"/>
  <c r="ED162" i="1"/>
  <c r="EE162" i="1"/>
  <c r="EF162" i="1"/>
  <c r="EG162" i="1"/>
  <c r="DX163" i="1"/>
  <c r="DY163" i="1"/>
  <c r="DZ163" i="1"/>
  <c r="EA163" i="1"/>
  <c r="EB163" i="1"/>
  <c r="EC163" i="1"/>
  <c r="ED163" i="1"/>
  <c r="EE163" i="1"/>
  <c r="EF163" i="1"/>
  <c r="EG163" i="1"/>
  <c r="DX164" i="1"/>
  <c r="DY164" i="1"/>
  <c r="DZ164" i="1"/>
  <c r="EA164" i="1"/>
  <c r="EB164" i="1"/>
  <c r="EC164" i="1"/>
  <c r="ED164" i="1"/>
  <c r="EE164" i="1"/>
  <c r="EF164" i="1"/>
  <c r="EG164" i="1"/>
  <c r="DX165" i="1"/>
  <c r="DY165" i="1"/>
  <c r="DZ165" i="1"/>
  <c r="EA165" i="1"/>
  <c r="EB165" i="1"/>
  <c r="EC165" i="1"/>
  <c r="ED165" i="1"/>
  <c r="EE165" i="1"/>
  <c r="EF165" i="1"/>
  <c r="EG165" i="1"/>
  <c r="DX166" i="1"/>
  <c r="DY166" i="1"/>
  <c r="DZ166" i="1"/>
  <c r="EA166" i="1"/>
  <c r="EB166" i="1"/>
  <c r="EC166" i="1"/>
  <c r="ED166" i="1"/>
  <c r="EE166" i="1"/>
  <c r="EF166" i="1"/>
  <c r="EG166" i="1"/>
  <c r="DX167" i="1"/>
  <c r="DY167" i="1"/>
  <c r="DZ167" i="1"/>
  <c r="EA167" i="1"/>
  <c r="EB167" i="1"/>
  <c r="EC167" i="1"/>
  <c r="ED167" i="1"/>
  <c r="EE167" i="1"/>
  <c r="EF167" i="1"/>
  <c r="EG167" i="1"/>
  <c r="DX168" i="1"/>
  <c r="DY168" i="1"/>
  <c r="DZ168" i="1"/>
  <c r="EA168" i="1"/>
  <c r="EB168" i="1"/>
  <c r="EC168" i="1"/>
  <c r="ED168" i="1"/>
  <c r="EE168" i="1"/>
  <c r="EF168" i="1"/>
  <c r="EG168" i="1"/>
  <c r="DX169" i="1"/>
  <c r="DY169" i="1"/>
  <c r="DZ169" i="1"/>
  <c r="EA169" i="1"/>
  <c r="EB169" i="1"/>
  <c r="EC169" i="1"/>
  <c r="ED169" i="1"/>
  <c r="EE169" i="1"/>
  <c r="EF169" i="1"/>
  <c r="EG169" i="1"/>
  <c r="DX170" i="1"/>
  <c r="DY170" i="1"/>
  <c r="DZ170" i="1"/>
  <c r="EA170" i="1"/>
  <c r="EB170" i="1"/>
  <c r="EC170" i="1"/>
  <c r="ED170" i="1"/>
  <c r="EE170" i="1"/>
  <c r="EF170" i="1"/>
  <c r="EG170" i="1"/>
  <c r="DX171" i="1"/>
  <c r="DY171" i="1"/>
  <c r="DZ171" i="1"/>
  <c r="EA171" i="1"/>
  <c r="EB171" i="1"/>
  <c r="EC171" i="1"/>
  <c r="ED171" i="1"/>
  <c r="EE171" i="1"/>
  <c r="EF171" i="1"/>
  <c r="EG171" i="1"/>
  <c r="DX172" i="1"/>
  <c r="DY172" i="1"/>
  <c r="DZ172" i="1"/>
  <c r="EA172" i="1"/>
  <c r="EB172" i="1"/>
  <c r="EC172" i="1"/>
  <c r="ED172" i="1"/>
  <c r="EE172" i="1"/>
  <c r="EF172" i="1"/>
  <c r="EG172" i="1"/>
  <c r="DX173" i="1"/>
  <c r="DY173" i="1"/>
  <c r="DZ173" i="1"/>
  <c r="EA173" i="1"/>
  <c r="EB173" i="1"/>
  <c r="EC173" i="1"/>
  <c r="ED173" i="1"/>
  <c r="EE173" i="1"/>
  <c r="EF173" i="1"/>
  <c r="EG173" i="1"/>
  <c r="DX174" i="1"/>
  <c r="DY174" i="1"/>
  <c r="DZ174" i="1"/>
  <c r="EA174" i="1"/>
  <c r="EB174" i="1"/>
  <c r="EC174" i="1"/>
  <c r="ED174" i="1"/>
  <c r="EE174" i="1"/>
  <c r="EF174" i="1"/>
  <c r="EG174" i="1"/>
  <c r="DX175" i="1"/>
  <c r="DY175" i="1"/>
  <c r="DZ175" i="1"/>
  <c r="EA175" i="1"/>
  <c r="EB175" i="1"/>
  <c r="EC175" i="1"/>
  <c r="ED175" i="1"/>
  <c r="EE175" i="1"/>
  <c r="EF175" i="1"/>
  <c r="EG175" i="1"/>
  <c r="DX176" i="1"/>
  <c r="DY176" i="1"/>
  <c r="DZ176" i="1"/>
  <c r="EA176" i="1"/>
  <c r="EB176" i="1"/>
  <c r="EC176" i="1"/>
  <c r="ED176" i="1"/>
  <c r="EE176" i="1"/>
  <c r="EF176" i="1"/>
  <c r="EG176" i="1"/>
  <c r="DX177" i="1"/>
  <c r="DY177" i="1"/>
  <c r="DZ177" i="1"/>
  <c r="EA177" i="1"/>
  <c r="EB177" i="1"/>
  <c r="EC177" i="1"/>
  <c r="ED177" i="1"/>
  <c r="EE177" i="1"/>
  <c r="EF177" i="1"/>
  <c r="EG177" i="1"/>
  <c r="DX178" i="1"/>
  <c r="DY178" i="1"/>
  <c r="DZ178" i="1"/>
  <c r="EA178" i="1"/>
  <c r="EB178" i="1"/>
  <c r="EC178" i="1"/>
  <c r="ED178" i="1"/>
  <c r="EE178" i="1"/>
  <c r="EF178" i="1"/>
  <c r="EG178" i="1"/>
  <c r="DX179" i="1"/>
  <c r="DY179" i="1"/>
  <c r="DZ179" i="1"/>
  <c r="EA179" i="1"/>
  <c r="EB179" i="1"/>
  <c r="EC179" i="1"/>
  <c r="ED179" i="1"/>
  <c r="EE179" i="1"/>
  <c r="EF179" i="1"/>
  <c r="EG179" i="1"/>
  <c r="DX180" i="1"/>
  <c r="DY180" i="1"/>
  <c r="DZ180" i="1"/>
  <c r="EA180" i="1"/>
  <c r="EB180" i="1"/>
  <c r="EC180" i="1"/>
  <c r="ED180" i="1"/>
  <c r="EE180" i="1"/>
  <c r="EF180" i="1"/>
  <c r="EG180" i="1"/>
  <c r="DX181" i="1"/>
  <c r="DY181" i="1"/>
  <c r="DZ181" i="1"/>
  <c r="EA181" i="1"/>
  <c r="EB181" i="1"/>
  <c r="EC181" i="1"/>
  <c r="ED181" i="1"/>
  <c r="EE181" i="1"/>
  <c r="EF181" i="1"/>
  <c r="EG181" i="1"/>
  <c r="DX182" i="1"/>
  <c r="DY182" i="1"/>
  <c r="DZ182" i="1"/>
  <c r="EA182" i="1"/>
  <c r="EB182" i="1"/>
  <c r="EC182" i="1"/>
  <c r="ED182" i="1"/>
  <c r="EE182" i="1"/>
  <c r="EF182" i="1"/>
  <c r="EG182" i="1"/>
  <c r="DX183" i="1"/>
  <c r="DY183" i="1"/>
  <c r="DZ183" i="1"/>
  <c r="EA183" i="1"/>
  <c r="EB183" i="1"/>
  <c r="EC183" i="1"/>
  <c r="ED183" i="1"/>
  <c r="EE183" i="1"/>
  <c r="EF183" i="1"/>
  <c r="EG183" i="1"/>
  <c r="DX184" i="1"/>
  <c r="DY184" i="1"/>
  <c r="DZ184" i="1"/>
  <c r="EA184" i="1"/>
  <c r="EB184" i="1"/>
  <c r="EC184" i="1"/>
  <c r="ED184" i="1"/>
  <c r="EE184" i="1"/>
  <c r="EF184" i="1"/>
  <c r="EG184" i="1"/>
  <c r="DX185" i="1"/>
  <c r="DY185" i="1"/>
  <c r="DZ185" i="1"/>
  <c r="EA185" i="1"/>
  <c r="EB185" i="1"/>
  <c r="EC185" i="1"/>
  <c r="ED185" i="1"/>
  <c r="EE185" i="1"/>
  <c r="EF185" i="1"/>
  <c r="EG185" i="1"/>
  <c r="DX186" i="1"/>
  <c r="DY186" i="1"/>
  <c r="DZ186" i="1"/>
  <c r="EA186" i="1"/>
  <c r="EB186" i="1"/>
  <c r="EC186" i="1"/>
  <c r="ED186" i="1"/>
  <c r="EE186" i="1"/>
  <c r="EF186" i="1"/>
  <c r="EG186" i="1"/>
  <c r="DX187" i="1"/>
  <c r="DY187" i="1"/>
  <c r="DZ187" i="1"/>
  <c r="EA187" i="1"/>
  <c r="EB187" i="1"/>
  <c r="EC187" i="1"/>
  <c r="ED187" i="1"/>
  <c r="EE187" i="1"/>
  <c r="EF187" i="1"/>
  <c r="EG187" i="1"/>
  <c r="DX188" i="1"/>
  <c r="DY188" i="1"/>
  <c r="DZ188" i="1"/>
  <c r="EA188" i="1"/>
  <c r="EB188" i="1"/>
  <c r="EC188" i="1"/>
  <c r="ED188" i="1"/>
  <c r="EE188" i="1"/>
  <c r="EF188" i="1"/>
  <c r="EG188" i="1"/>
  <c r="DX189" i="1"/>
  <c r="DY189" i="1"/>
  <c r="DZ189" i="1"/>
  <c r="EA189" i="1"/>
  <c r="EB189" i="1"/>
  <c r="EC189" i="1"/>
  <c r="ED189" i="1"/>
  <c r="EE189" i="1"/>
  <c r="EF189" i="1"/>
  <c r="EG189" i="1"/>
  <c r="DX190" i="1"/>
  <c r="DY190" i="1"/>
  <c r="DZ190" i="1"/>
  <c r="EA190" i="1"/>
  <c r="EB190" i="1"/>
  <c r="EC190" i="1"/>
  <c r="ED190" i="1"/>
  <c r="EE190" i="1"/>
  <c r="EF190" i="1"/>
  <c r="EG190" i="1"/>
  <c r="DX191" i="1"/>
  <c r="DY191" i="1"/>
  <c r="DZ191" i="1"/>
  <c r="EA191" i="1"/>
  <c r="EB191" i="1"/>
  <c r="EC191" i="1"/>
  <c r="ED191" i="1"/>
  <c r="EE191" i="1"/>
  <c r="EF191" i="1"/>
  <c r="EG191" i="1"/>
  <c r="DX192" i="1"/>
  <c r="DY192" i="1"/>
  <c r="DZ192" i="1"/>
  <c r="EA192" i="1"/>
  <c r="EB192" i="1"/>
  <c r="EC192" i="1"/>
  <c r="ED192" i="1"/>
  <c r="EE192" i="1"/>
  <c r="EF192" i="1"/>
  <c r="EG192" i="1"/>
  <c r="DX193" i="1"/>
  <c r="DY193" i="1"/>
  <c r="DZ193" i="1"/>
  <c r="EA193" i="1"/>
  <c r="EB193" i="1"/>
  <c r="EC193" i="1"/>
  <c r="ED193" i="1"/>
  <c r="EE193" i="1"/>
  <c r="EF193" i="1"/>
  <c r="EG193" i="1"/>
  <c r="DX194" i="1"/>
  <c r="DY194" i="1"/>
  <c r="DZ194" i="1"/>
  <c r="EA194" i="1"/>
  <c r="EB194" i="1"/>
  <c r="EC194" i="1"/>
  <c r="ED194" i="1"/>
  <c r="EE194" i="1"/>
  <c r="EF194" i="1"/>
  <c r="EG194" i="1"/>
  <c r="DX195" i="1"/>
  <c r="DY195" i="1"/>
  <c r="DZ195" i="1"/>
  <c r="EA195" i="1"/>
  <c r="EB195" i="1"/>
  <c r="EC195" i="1"/>
  <c r="ED195" i="1"/>
  <c r="EE195" i="1"/>
  <c r="EF195" i="1"/>
  <c r="EG195" i="1"/>
  <c r="DX196" i="1"/>
  <c r="DY196" i="1"/>
  <c r="DZ196" i="1"/>
  <c r="EA196" i="1"/>
  <c r="EB196" i="1"/>
  <c r="EC196" i="1"/>
  <c r="ED196" i="1"/>
  <c r="EE196" i="1"/>
  <c r="EF196" i="1"/>
  <c r="EG196" i="1"/>
  <c r="DX197" i="1"/>
  <c r="DY197" i="1"/>
  <c r="DZ197" i="1"/>
  <c r="EA197" i="1"/>
  <c r="EB197" i="1"/>
  <c r="EC197" i="1"/>
  <c r="ED197" i="1"/>
  <c r="EE197" i="1"/>
  <c r="EF197" i="1"/>
  <c r="EG197" i="1"/>
  <c r="DX198" i="1"/>
  <c r="DY198" i="1"/>
  <c r="DZ198" i="1"/>
  <c r="EA198" i="1"/>
  <c r="EB198" i="1"/>
  <c r="EC198" i="1"/>
  <c r="ED198" i="1"/>
  <c r="EE198" i="1"/>
  <c r="EF198" i="1"/>
  <c r="EG198" i="1"/>
  <c r="DX199" i="1"/>
  <c r="DY199" i="1"/>
  <c r="DZ199" i="1"/>
  <c r="EA199" i="1"/>
  <c r="EB199" i="1"/>
  <c r="EC199" i="1"/>
  <c r="ED199" i="1"/>
  <c r="EE199" i="1"/>
  <c r="EF199" i="1"/>
  <c r="EG199" i="1"/>
  <c r="DX200" i="1"/>
  <c r="DY200" i="1"/>
  <c r="DZ200" i="1"/>
  <c r="EA200" i="1"/>
  <c r="EB200" i="1"/>
  <c r="EC200" i="1"/>
  <c r="ED200" i="1"/>
  <c r="EE200" i="1"/>
  <c r="EF200" i="1"/>
  <c r="EG200" i="1"/>
  <c r="DX201" i="1"/>
  <c r="DY201" i="1"/>
  <c r="DZ201" i="1"/>
  <c r="EA201" i="1"/>
  <c r="EB201" i="1"/>
  <c r="EC201" i="1"/>
  <c r="ED201" i="1"/>
  <c r="EE201" i="1"/>
  <c r="EF201" i="1"/>
  <c r="EG201" i="1"/>
  <c r="DX202" i="1"/>
  <c r="DY202" i="1"/>
  <c r="DZ202" i="1"/>
  <c r="EA202" i="1"/>
  <c r="EB202" i="1"/>
  <c r="EC202" i="1"/>
  <c r="ED202" i="1"/>
  <c r="EE202" i="1"/>
  <c r="EF202" i="1"/>
  <c r="EG202" i="1"/>
  <c r="DX203" i="1"/>
  <c r="DY203" i="1"/>
  <c r="DZ203" i="1"/>
  <c r="EA203" i="1"/>
  <c r="EB203" i="1"/>
  <c r="EC203" i="1"/>
  <c r="ED203" i="1"/>
  <c r="EE203" i="1"/>
  <c r="EF203" i="1"/>
  <c r="EG203" i="1"/>
  <c r="DX204" i="1"/>
  <c r="DY204" i="1"/>
  <c r="DZ204" i="1"/>
  <c r="EA204" i="1"/>
  <c r="EB204" i="1"/>
  <c r="EC204" i="1"/>
  <c r="ED204" i="1"/>
  <c r="EE204" i="1"/>
  <c r="EF204" i="1"/>
  <c r="EG204" i="1"/>
  <c r="DX205" i="1"/>
  <c r="DY205" i="1"/>
  <c r="DZ205" i="1"/>
  <c r="EA205" i="1"/>
  <c r="EB205" i="1"/>
  <c r="EC205" i="1"/>
  <c r="ED205" i="1"/>
  <c r="EE205" i="1"/>
  <c r="EF205" i="1"/>
  <c r="EG205" i="1"/>
  <c r="DX206" i="1"/>
  <c r="DY206" i="1"/>
  <c r="DZ206" i="1"/>
  <c r="EA206" i="1"/>
  <c r="EB206" i="1"/>
  <c r="EC206" i="1"/>
  <c r="ED206" i="1"/>
  <c r="EE206" i="1"/>
  <c r="EF206" i="1"/>
  <c r="EG206" i="1"/>
  <c r="DX207" i="1"/>
  <c r="DY207" i="1"/>
  <c r="DZ207" i="1"/>
  <c r="EA207" i="1"/>
  <c r="EB207" i="1"/>
  <c r="EC207" i="1"/>
  <c r="ED207" i="1"/>
  <c r="EE207" i="1"/>
  <c r="EF207" i="1"/>
  <c r="EG207" i="1"/>
  <c r="DX208" i="1"/>
  <c r="DY208" i="1"/>
  <c r="DZ208" i="1"/>
  <c r="EA208" i="1"/>
  <c r="EB208" i="1"/>
  <c r="EC208" i="1"/>
  <c r="ED208" i="1"/>
  <c r="EE208" i="1"/>
  <c r="EF208" i="1"/>
  <c r="EG208" i="1"/>
  <c r="DX209" i="1"/>
  <c r="DY209" i="1"/>
  <c r="DZ209" i="1"/>
  <c r="EA209" i="1"/>
  <c r="EB209" i="1"/>
  <c r="EC209" i="1"/>
  <c r="ED209" i="1"/>
  <c r="EE209" i="1"/>
  <c r="EF209" i="1"/>
  <c r="EG209" i="1"/>
  <c r="DX210" i="1"/>
  <c r="DY210" i="1"/>
  <c r="DZ210" i="1"/>
  <c r="EA210" i="1"/>
  <c r="EB210" i="1"/>
  <c r="EC210" i="1"/>
  <c r="ED210" i="1"/>
  <c r="EE210" i="1"/>
  <c r="EF210" i="1"/>
  <c r="EG210" i="1"/>
  <c r="DX211" i="1"/>
  <c r="DY211" i="1"/>
  <c r="DZ211" i="1"/>
  <c r="EA211" i="1"/>
  <c r="EB211" i="1"/>
  <c r="EC211" i="1"/>
  <c r="ED211" i="1"/>
  <c r="EE211" i="1"/>
  <c r="EF211" i="1"/>
  <c r="EG211" i="1"/>
  <c r="DX212" i="1"/>
  <c r="DY212" i="1"/>
  <c r="DZ212" i="1"/>
  <c r="EA212" i="1"/>
  <c r="EB212" i="1"/>
  <c r="EC212" i="1"/>
  <c r="ED212" i="1"/>
  <c r="EE212" i="1"/>
  <c r="EF212" i="1"/>
  <c r="EG212" i="1"/>
  <c r="DX213" i="1"/>
  <c r="DY213" i="1"/>
  <c r="DZ213" i="1"/>
  <c r="EA213" i="1"/>
  <c r="EB213" i="1"/>
  <c r="EC213" i="1"/>
  <c r="ED213" i="1"/>
  <c r="EE213" i="1"/>
  <c r="EF213" i="1"/>
  <c r="EG213" i="1"/>
  <c r="DX214" i="1"/>
  <c r="DY214" i="1"/>
  <c r="DZ214" i="1"/>
  <c r="EA214" i="1"/>
  <c r="EB214" i="1"/>
  <c r="EC214" i="1"/>
  <c r="ED214" i="1"/>
  <c r="EE214" i="1"/>
  <c r="EF214" i="1"/>
  <c r="EG214" i="1"/>
  <c r="DX215" i="1"/>
  <c r="DY215" i="1"/>
  <c r="DZ215" i="1"/>
  <c r="EA215" i="1"/>
  <c r="EB215" i="1"/>
  <c r="EC215" i="1"/>
  <c r="ED215" i="1"/>
  <c r="EE215" i="1"/>
  <c r="EF215" i="1"/>
  <c r="EG215" i="1"/>
  <c r="DX216" i="1"/>
  <c r="DY216" i="1"/>
  <c r="DZ216" i="1"/>
  <c r="EA216" i="1"/>
  <c r="EB216" i="1"/>
  <c r="EC216" i="1"/>
  <c r="ED216" i="1"/>
  <c r="EE216" i="1"/>
  <c r="EF216" i="1"/>
  <c r="EG216" i="1"/>
  <c r="DX217" i="1"/>
  <c r="DY217" i="1"/>
  <c r="DZ217" i="1"/>
  <c r="EA217" i="1"/>
  <c r="EB217" i="1"/>
  <c r="EC217" i="1"/>
  <c r="ED217" i="1"/>
  <c r="EE217" i="1"/>
  <c r="EF217" i="1"/>
  <c r="EG217" i="1"/>
  <c r="DX218" i="1"/>
  <c r="DY218" i="1"/>
  <c r="DZ218" i="1"/>
  <c r="EA218" i="1"/>
  <c r="EB218" i="1"/>
  <c r="EC218" i="1"/>
  <c r="ED218" i="1"/>
  <c r="EE218" i="1"/>
  <c r="EF218" i="1"/>
  <c r="EG218" i="1"/>
  <c r="DX219" i="1"/>
  <c r="DY219" i="1"/>
  <c r="DZ219" i="1"/>
  <c r="EA219" i="1"/>
  <c r="EB219" i="1"/>
  <c r="EC219" i="1"/>
  <c r="ED219" i="1"/>
  <c r="EE219" i="1"/>
  <c r="EF219" i="1"/>
  <c r="EG219" i="1"/>
  <c r="DX220" i="1"/>
  <c r="DY220" i="1"/>
  <c r="DZ220" i="1"/>
  <c r="EA220" i="1"/>
  <c r="EB220" i="1"/>
  <c r="EC220" i="1"/>
  <c r="ED220" i="1"/>
  <c r="EE220" i="1"/>
  <c r="EF220" i="1"/>
  <c r="EG220" i="1"/>
  <c r="DX221" i="1"/>
  <c r="DY221" i="1"/>
  <c r="DZ221" i="1"/>
  <c r="EA221" i="1"/>
  <c r="EB221" i="1"/>
  <c r="EC221" i="1"/>
  <c r="ED221" i="1"/>
  <c r="EE221" i="1"/>
  <c r="EF221" i="1"/>
  <c r="EG221" i="1"/>
  <c r="DX222" i="1"/>
  <c r="DY222" i="1"/>
  <c r="DZ222" i="1"/>
  <c r="EA222" i="1"/>
  <c r="EB222" i="1"/>
  <c r="EC222" i="1"/>
  <c r="ED222" i="1"/>
  <c r="EE222" i="1"/>
  <c r="EF222" i="1"/>
  <c r="EG222" i="1"/>
  <c r="DX223" i="1"/>
  <c r="DY223" i="1"/>
  <c r="DZ223" i="1"/>
  <c r="EA223" i="1"/>
  <c r="EB223" i="1"/>
  <c r="EC223" i="1"/>
  <c r="ED223" i="1"/>
  <c r="EE223" i="1"/>
  <c r="EF223" i="1"/>
  <c r="EG223" i="1"/>
  <c r="DX224" i="1"/>
  <c r="DY224" i="1"/>
  <c r="DZ224" i="1"/>
  <c r="EA224" i="1"/>
  <c r="EB224" i="1"/>
  <c r="EC224" i="1"/>
  <c r="ED224" i="1"/>
  <c r="EE224" i="1"/>
  <c r="EF224" i="1"/>
  <c r="EG224" i="1"/>
  <c r="DX225" i="1"/>
  <c r="DY225" i="1"/>
  <c r="DZ225" i="1"/>
  <c r="EA225" i="1"/>
  <c r="EB225" i="1"/>
  <c r="EC225" i="1"/>
  <c r="ED225" i="1"/>
  <c r="EE225" i="1"/>
  <c r="EF225" i="1"/>
  <c r="EG225" i="1"/>
  <c r="DX226" i="1"/>
  <c r="DY226" i="1"/>
  <c r="DZ226" i="1"/>
  <c r="EA226" i="1"/>
  <c r="EB226" i="1"/>
  <c r="EC226" i="1"/>
  <c r="ED226" i="1"/>
  <c r="EE226" i="1"/>
  <c r="EF226" i="1"/>
  <c r="EG226" i="1"/>
  <c r="DX227" i="1"/>
  <c r="DY227" i="1"/>
  <c r="DZ227" i="1"/>
  <c r="EA227" i="1"/>
  <c r="EB227" i="1"/>
  <c r="EC227" i="1"/>
  <c r="ED227" i="1"/>
  <c r="EE227" i="1"/>
  <c r="EF227" i="1"/>
  <c r="EG227" i="1"/>
  <c r="DX228" i="1"/>
  <c r="DY228" i="1"/>
  <c r="DZ228" i="1"/>
  <c r="EA228" i="1"/>
  <c r="EB228" i="1"/>
  <c r="EC228" i="1"/>
  <c r="ED228" i="1"/>
  <c r="EE228" i="1"/>
  <c r="EF228" i="1"/>
  <c r="EG228" i="1"/>
  <c r="DX229" i="1"/>
  <c r="DY229" i="1"/>
  <c r="DZ229" i="1"/>
  <c r="EA229" i="1"/>
  <c r="EB229" i="1"/>
  <c r="EC229" i="1"/>
  <c r="ED229" i="1"/>
  <c r="EE229" i="1"/>
  <c r="EF229" i="1"/>
  <c r="EG229" i="1"/>
  <c r="DX230" i="1"/>
  <c r="DY230" i="1"/>
  <c r="DZ230" i="1"/>
  <c r="EA230" i="1"/>
  <c r="EB230" i="1"/>
  <c r="EC230" i="1"/>
  <c r="ED230" i="1"/>
  <c r="EE230" i="1"/>
  <c r="EF230" i="1"/>
  <c r="EG230" i="1"/>
  <c r="DX231" i="1"/>
  <c r="DY231" i="1"/>
  <c r="DZ231" i="1"/>
  <c r="EA231" i="1"/>
  <c r="EB231" i="1"/>
  <c r="EC231" i="1"/>
  <c r="ED231" i="1"/>
  <c r="EE231" i="1"/>
  <c r="EF231" i="1"/>
  <c r="EG231" i="1"/>
  <c r="DX232" i="1"/>
  <c r="DY232" i="1"/>
  <c r="DZ232" i="1"/>
  <c r="EA232" i="1"/>
  <c r="EB232" i="1"/>
  <c r="EC232" i="1"/>
  <c r="ED232" i="1"/>
  <c r="EE232" i="1"/>
  <c r="EF232" i="1"/>
  <c r="EG232" i="1"/>
  <c r="DX233" i="1"/>
  <c r="DY233" i="1"/>
  <c r="DZ233" i="1"/>
  <c r="EA233" i="1"/>
  <c r="EB233" i="1"/>
  <c r="EC233" i="1"/>
  <c r="ED233" i="1"/>
  <c r="EE233" i="1"/>
  <c r="EF233" i="1"/>
  <c r="EG233" i="1"/>
  <c r="DX234" i="1"/>
  <c r="DY234" i="1"/>
  <c r="DZ234" i="1"/>
  <c r="EA234" i="1"/>
  <c r="EB234" i="1"/>
  <c r="EC234" i="1"/>
  <c r="ED234" i="1"/>
  <c r="EE234" i="1"/>
  <c r="EF234" i="1"/>
  <c r="EG234" i="1"/>
  <c r="DX235" i="1"/>
  <c r="DY235" i="1"/>
  <c r="DZ235" i="1"/>
  <c r="EA235" i="1"/>
  <c r="EB235" i="1"/>
  <c r="EC235" i="1"/>
  <c r="ED235" i="1"/>
  <c r="EE235" i="1"/>
  <c r="EF235" i="1"/>
  <c r="EG235" i="1"/>
  <c r="DX236" i="1"/>
  <c r="DY236" i="1"/>
  <c r="DZ236" i="1"/>
  <c r="EA236" i="1"/>
  <c r="EB236" i="1"/>
  <c r="EC236" i="1"/>
  <c r="ED236" i="1"/>
  <c r="EE236" i="1"/>
  <c r="EF236" i="1"/>
  <c r="EG236" i="1"/>
  <c r="DX237" i="1"/>
  <c r="DY237" i="1"/>
  <c r="DZ237" i="1"/>
  <c r="EA237" i="1"/>
  <c r="EB237" i="1"/>
  <c r="EC237" i="1"/>
  <c r="ED237" i="1"/>
  <c r="EE237" i="1"/>
  <c r="EF237" i="1"/>
  <c r="EG237" i="1"/>
  <c r="DX238" i="1"/>
  <c r="DY238" i="1"/>
  <c r="DZ238" i="1"/>
  <c r="EA238" i="1"/>
  <c r="EB238" i="1"/>
  <c r="EC238" i="1"/>
  <c r="ED238" i="1"/>
  <c r="EE238" i="1"/>
  <c r="EF238" i="1"/>
  <c r="EG238" i="1"/>
  <c r="DX239" i="1"/>
  <c r="DY239" i="1"/>
  <c r="DZ239" i="1"/>
  <c r="EA239" i="1"/>
  <c r="EB239" i="1"/>
  <c r="EC239" i="1"/>
  <c r="ED239" i="1"/>
  <c r="EE239" i="1"/>
  <c r="EF239" i="1"/>
  <c r="EG239" i="1"/>
  <c r="DX240" i="1"/>
  <c r="DY240" i="1"/>
  <c r="DZ240" i="1"/>
  <c r="EA240" i="1"/>
  <c r="EB240" i="1"/>
  <c r="EC240" i="1"/>
  <c r="ED240" i="1"/>
  <c r="EE240" i="1"/>
  <c r="EF240" i="1"/>
  <c r="EG240" i="1"/>
  <c r="DX241" i="1"/>
  <c r="DY241" i="1"/>
  <c r="DZ241" i="1"/>
  <c r="EA241" i="1"/>
  <c r="EB241" i="1"/>
  <c r="EC241" i="1"/>
  <c r="ED241" i="1"/>
  <c r="EE241" i="1"/>
  <c r="EF241" i="1"/>
  <c r="EG241" i="1"/>
  <c r="DX242" i="1"/>
  <c r="DY242" i="1"/>
  <c r="DZ242" i="1"/>
  <c r="EA242" i="1"/>
  <c r="EB242" i="1"/>
  <c r="EC242" i="1"/>
  <c r="ED242" i="1"/>
  <c r="EE242" i="1"/>
  <c r="EF242" i="1"/>
  <c r="EG242" i="1"/>
  <c r="DX243" i="1"/>
  <c r="DY243" i="1"/>
  <c r="DZ243" i="1"/>
  <c r="EA243" i="1"/>
  <c r="EB243" i="1"/>
  <c r="EC243" i="1"/>
  <c r="ED243" i="1"/>
  <c r="EE243" i="1"/>
  <c r="EF243" i="1"/>
  <c r="EG243" i="1"/>
  <c r="DX244" i="1"/>
  <c r="DY244" i="1"/>
  <c r="DZ244" i="1"/>
  <c r="EA244" i="1"/>
  <c r="EB244" i="1"/>
  <c r="EC244" i="1"/>
  <c r="ED244" i="1"/>
  <c r="EE244" i="1"/>
  <c r="EF244" i="1"/>
  <c r="EG244" i="1"/>
  <c r="DX245" i="1"/>
  <c r="DY245" i="1"/>
  <c r="DZ245" i="1"/>
  <c r="EA245" i="1"/>
  <c r="EB245" i="1"/>
  <c r="EC245" i="1"/>
  <c r="ED245" i="1"/>
  <c r="EE245" i="1"/>
  <c r="EF245" i="1"/>
  <c r="EG245" i="1"/>
  <c r="DX246" i="1"/>
  <c r="DY246" i="1"/>
  <c r="DZ246" i="1"/>
  <c r="EA246" i="1"/>
  <c r="EB246" i="1"/>
  <c r="EC246" i="1"/>
  <c r="ED246" i="1"/>
  <c r="EE246" i="1"/>
  <c r="EF246" i="1"/>
  <c r="EG246" i="1"/>
  <c r="DX247" i="1"/>
  <c r="DY247" i="1"/>
  <c r="DZ247" i="1"/>
  <c r="EA247" i="1"/>
  <c r="EB247" i="1"/>
  <c r="EC247" i="1"/>
  <c r="ED247" i="1"/>
  <c r="EE247" i="1"/>
  <c r="EF247" i="1"/>
  <c r="EG247" i="1"/>
  <c r="DX248" i="1"/>
  <c r="DY248" i="1"/>
  <c r="DZ248" i="1"/>
  <c r="EA248" i="1"/>
  <c r="EB248" i="1"/>
  <c r="EC248" i="1"/>
  <c r="ED248" i="1"/>
  <c r="EE248" i="1"/>
  <c r="EF248" i="1"/>
  <c r="EG248" i="1"/>
  <c r="DX249" i="1"/>
  <c r="DY249" i="1"/>
  <c r="DZ249" i="1"/>
  <c r="EA249" i="1"/>
  <c r="EB249" i="1"/>
  <c r="EC249" i="1"/>
  <c r="ED249" i="1"/>
  <c r="EE249" i="1"/>
  <c r="EF249" i="1"/>
  <c r="EG249" i="1"/>
  <c r="DX250" i="1"/>
  <c r="DY250" i="1"/>
  <c r="DZ250" i="1"/>
  <c r="EA250" i="1"/>
  <c r="EB250" i="1"/>
  <c r="EC250" i="1"/>
  <c r="ED250" i="1"/>
  <c r="EE250" i="1"/>
  <c r="EF250" i="1"/>
  <c r="EG250" i="1"/>
  <c r="DX251" i="1"/>
  <c r="DY251" i="1"/>
  <c r="DZ251" i="1"/>
  <c r="EA251" i="1"/>
  <c r="EB251" i="1"/>
  <c r="EC251" i="1"/>
  <c r="ED251" i="1"/>
  <c r="EE251" i="1"/>
  <c r="EF251" i="1"/>
  <c r="EG251" i="1"/>
  <c r="DX252" i="1"/>
  <c r="DY252" i="1"/>
  <c r="DZ252" i="1"/>
  <c r="EA252" i="1"/>
  <c r="EB252" i="1"/>
  <c r="EC252" i="1"/>
  <c r="ED252" i="1"/>
  <c r="EE252" i="1"/>
  <c r="EF252" i="1"/>
  <c r="EG252" i="1"/>
  <c r="DX253" i="1"/>
  <c r="DY253" i="1"/>
  <c r="DZ253" i="1"/>
  <c r="EA253" i="1"/>
  <c r="EB253" i="1"/>
  <c r="EC253" i="1"/>
  <c r="ED253" i="1"/>
  <c r="EE253" i="1"/>
  <c r="EF253" i="1"/>
  <c r="EG253" i="1"/>
  <c r="DX254" i="1"/>
  <c r="DY254" i="1"/>
  <c r="DZ254" i="1"/>
  <c r="EA254" i="1"/>
  <c r="EB254" i="1"/>
  <c r="EC254" i="1"/>
  <c r="ED254" i="1"/>
  <c r="EE254" i="1"/>
  <c r="EF254" i="1"/>
  <c r="EG254" i="1"/>
  <c r="DX255" i="1"/>
  <c r="DY255" i="1"/>
  <c r="DZ255" i="1"/>
  <c r="EA255" i="1"/>
  <c r="EB255" i="1"/>
  <c r="EC255" i="1"/>
  <c r="ED255" i="1"/>
  <c r="EE255" i="1"/>
  <c r="EF255" i="1"/>
  <c r="EG255" i="1"/>
  <c r="DX256" i="1"/>
  <c r="DY256" i="1"/>
  <c r="DZ256" i="1"/>
  <c r="EA256" i="1"/>
  <c r="EB256" i="1"/>
  <c r="EC256" i="1"/>
  <c r="ED256" i="1"/>
  <c r="EE256" i="1"/>
  <c r="EF256" i="1"/>
  <c r="EG256" i="1"/>
  <c r="DX257" i="1"/>
  <c r="DY257" i="1"/>
  <c r="DZ257" i="1"/>
  <c r="EA257" i="1"/>
  <c r="EB257" i="1"/>
  <c r="EC257" i="1"/>
  <c r="ED257" i="1"/>
  <c r="EE257" i="1"/>
  <c r="EF257" i="1"/>
  <c r="EG257" i="1"/>
  <c r="DX258" i="1"/>
  <c r="DY258" i="1"/>
  <c r="DZ258" i="1"/>
  <c r="EA258" i="1"/>
  <c r="EB258" i="1"/>
  <c r="EC258" i="1"/>
  <c r="ED258" i="1"/>
  <c r="EE258" i="1"/>
  <c r="EF258" i="1"/>
  <c r="EG258" i="1"/>
  <c r="DX259" i="1"/>
  <c r="DY259" i="1"/>
  <c r="DZ259" i="1"/>
  <c r="EA259" i="1"/>
  <c r="EB259" i="1"/>
  <c r="EC259" i="1"/>
  <c r="ED259" i="1"/>
  <c r="EE259" i="1"/>
  <c r="EF259" i="1"/>
  <c r="EG259" i="1"/>
  <c r="DX260" i="1"/>
  <c r="DY260" i="1"/>
  <c r="DZ260" i="1"/>
  <c r="EA260" i="1"/>
  <c r="EB260" i="1"/>
  <c r="EC260" i="1"/>
  <c r="ED260" i="1"/>
  <c r="EE260" i="1"/>
  <c r="EF260" i="1"/>
  <c r="EG260" i="1"/>
  <c r="DX261" i="1"/>
  <c r="DY261" i="1"/>
  <c r="DZ261" i="1"/>
  <c r="EA261" i="1"/>
  <c r="EB261" i="1"/>
  <c r="EC261" i="1"/>
  <c r="ED261" i="1"/>
  <c r="EE261" i="1"/>
  <c r="EF261" i="1"/>
  <c r="EG261" i="1"/>
  <c r="DX262" i="1"/>
  <c r="DY262" i="1"/>
  <c r="DZ262" i="1"/>
  <c r="EA262" i="1"/>
  <c r="EB262" i="1"/>
  <c r="EC262" i="1"/>
  <c r="ED262" i="1"/>
  <c r="EE262" i="1"/>
  <c r="EF262" i="1"/>
  <c r="EG262" i="1"/>
  <c r="DX263" i="1"/>
  <c r="DY263" i="1"/>
  <c r="DZ263" i="1"/>
  <c r="EA263" i="1"/>
  <c r="EB263" i="1"/>
  <c r="EC263" i="1"/>
  <c r="ED263" i="1"/>
  <c r="EE263" i="1"/>
  <c r="EF263" i="1"/>
  <c r="EG263" i="1"/>
  <c r="DX264" i="1"/>
  <c r="DY264" i="1"/>
  <c r="DZ264" i="1"/>
  <c r="EA264" i="1"/>
  <c r="EB264" i="1"/>
  <c r="EC264" i="1"/>
  <c r="ED264" i="1"/>
  <c r="EE264" i="1"/>
  <c r="EF264" i="1"/>
  <c r="EG264" i="1"/>
  <c r="DX265" i="1"/>
  <c r="DY265" i="1"/>
  <c r="DZ265" i="1"/>
  <c r="EA265" i="1"/>
  <c r="EB265" i="1"/>
  <c r="EC265" i="1"/>
  <c r="ED265" i="1"/>
  <c r="EE265" i="1"/>
  <c r="EF265" i="1"/>
  <c r="EG265" i="1"/>
  <c r="DX266" i="1"/>
  <c r="DY266" i="1"/>
  <c r="DZ266" i="1"/>
  <c r="EA266" i="1"/>
  <c r="EB266" i="1"/>
  <c r="EC266" i="1"/>
  <c r="ED266" i="1"/>
  <c r="EE266" i="1"/>
  <c r="EF266" i="1"/>
  <c r="EG266" i="1"/>
  <c r="DX267" i="1"/>
  <c r="DY267" i="1"/>
  <c r="DZ267" i="1"/>
  <c r="EA267" i="1"/>
  <c r="EB267" i="1"/>
  <c r="EC267" i="1"/>
  <c r="ED267" i="1"/>
  <c r="EE267" i="1"/>
  <c r="EF267" i="1"/>
  <c r="EG267" i="1"/>
  <c r="DX268" i="1"/>
  <c r="DY268" i="1"/>
  <c r="DZ268" i="1"/>
  <c r="EA268" i="1"/>
  <c r="EB268" i="1"/>
  <c r="EC268" i="1"/>
  <c r="ED268" i="1"/>
  <c r="EE268" i="1"/>
  <c r="EF268" i="1"/>
  <c r="EG268" i="1"/>
  <c r="DX269" i="1"/>
  <c r="DY269" i="1"/>
  <c r="DZ269" i="1"/>
  <c r="EA269" i="1"/>
  <c r="EB269" i="1"/>
  <c r="EC269" i="1"/>
  <c r="ED269" i="1"/>
  <c r="EE269" i="1"/>
  <c r="EF269" i="1"/>
  <c r="EG269" i="1"/>
  <c r="DX270" i="1"/>
  <c r="DY270" i="1"/>
  <c r="DZ270" i="1"/>
  <c r="EA270" i="1"/>
  <c r="EB270" i="1"/>
  <c r="EC270" i="1"/>
  <c r="ED270" i="1"/>
  <c r="EE270" i="1"/>
  <c r="EF270" i="1"/>
  <c r="EG270" i="1"/>
  <c r="DX271" i="1"/>
  <c r="DY271" i="1"/>
  <c r="DZ271" i="1"/>
  <c r="EA271" i="1"/>
  <c r="EB271" i="1"/>
  <c r="EC271" i="1"/>
  <c r="ED271" i="1"/>
  <c r="EE271" i="1"/>
  <c r="EF271" i="1"/>
  <c r="EG271" i="1"/>
  <c r="DX272" i="1"/>
  <c r="DY272" i="1"/>
  <c r="DZ272" i="1"/>
  <c r="EA272" i="1"/>
  <c r="EB272" i="1"/>
  <c r="EC272" i="1"/>
  <c r="ED272" i="1"/>
  <c r="EE272" i="1"/>
  <c r="EF272" i="1"/>
  <c r="EG272" i="1"/>
  <c r="DX273" i="1"/>
  <c r="DY273" i="1"/>
  <c r="DZ273" i="1"/>
  <c r="EA273" i="1"/>
  <c r="EB273" i="1"/>
  <c r="EC273" i="1"/>
  <c r="ED273" i="1"/>
  <c r="EE273" i="1"/>
  <c r="EF273" i="1"/>
  <c r="EG273" i="1"/>
  <c r="DX274" i="1"/>
  <c r="DY274" i="1"/>
  <c r="DZ274" i="1"/>
  <c r="EA274" i="1"/>
  <c r="EB274" i="1"/>
  <c r="EC274" i="1"/>
  <c r="ED274" i="1"/>
  <c r="EE274" i="1"/>
  <c r="EF274" i="1"/>
  <c r="EG274" i="1"/>
  <c r="DX275" i="1"/>
  <c r="DY275" i="1"/>
  <c r="DZ275" i="1"/>
  <c r="EA275" i="1"/>
  <c r="EB275" i="1"/>
  <c r="EC275" i="1"/>
  <c r="ED275" i="1"/>
  <c r="EE275" i="1"/>
  <c r="EF275" i="1"/>
  <c r="EG275" i="1"/>
  <c r="DX276" i="1"/>
  <c r="DY276" i="1"/>
  <c r="DZ276" i="1"/>
  <c r="EA276" i="1"/>
  <c r="EB276" i="1"/>
  <c r="EC276" i="1"/>
  <c r="ED276" i="1"/>
  <c r="EE276" i="1"/>
  <c r="EF276" i="1"/>
  <c r="EG276" i="1"/>
  <c r="DX277" i="1"/>
  <c r="DY277" i="1"/>
  <c r="DZ277" i="1"/>
  <c r="EA277" i="1"/>
  <c r="EB277" i="1"/>
  <c r="EC277" i="1"/>
  <c r="ED277" i="1"/>
  <c r="EE277" i="1"/>
  <c r="EF277" i="1"/>
  <c r="EG277" i="1"/>
  <c r="DX278" i="1"/>
  <c r="DY278" i="1"/>
  <c r="DZ278" i="1"/>
  <c r="EA278" i="1"/>
  <c r="EB278" i="1"/>
  <c r="EC278" i="1"/>
  <c r="ED278" i="1"/>
  <c r="EE278" i="1"/>
  <c r="EF278" i="1"/>
  <c r="EG278" i="1"/>
  <c r="DX279" i="1"/>
  <c r="DY279" i="1"/>
  <c r="DZ279" i="1"/>
  <c r="EA279" i="1"/>
  <c r="EB279" i="1"/>
  <c r="EC279" i="1"/>
  <c r="ED279" i="1"/>
  <c r="EE279" i="1"/>
  <c r="EF279" i="1"/>
  <c r="EG279" i="1"/>
  <c r="DX280" i="1"/>
  <c r="DY280" i="1"/>
  <c r="DZ280" i="1"/>
  <c r="EA280" i="1"/>
  <c r="EB280" i="1"/>
  <c r="EC280" i="1"/>
  <c r="ED280" i="1"/>
  <c r="EE280" i="1"/>
  <c r="EF280" i="1"/>
  <c r="EG280" i="1"/>
  <c r="DX281" i="1"/>
  <c r="DY281" i="1"/>
  <c r="DZ281" i="1"/>
  <c r="EA281" i="1"/>
  <c r="EB281" i="1"/>
  <c r="EC281" i="1"/>
  <c r="ED281" i="1"/>
  <c r="EE281" i="1"/>
  <c r="EF281" i="1"/>
  <c r="EG281" i="1"/>
  <c r="DX282" i="1"/>
  <c r="DY282" i="1"/>
  <c r="DZ282" i="1"/>
  <c r="EA282" i="1"/>
  <c r="EB282" i="1"/>
  <c r="EC282" i="1"/>
  <c r="ED282" i="1"/>
  <c r="EE282" i="1"/>
  <c r="EF282" i="1"/>
  <c r="EG282" i="1"/>
  <c r="DX283" i="1"/>
  <c r="DY283" i="1"/>
  <c r="DZ283" i="1"/>
  <c r="EA283" i="1"/>
  <c r="EB283" i="1"/>
  <c r="EC283" i="1"/>
  <c r="ED283" i="1"/>
  <c r="EE283" i="1"/>
  <c r="EF283" i="1"/>
  <c r="EG283" i="1"/>
  <c r="DX284" i="1"/>
  <c r="DY284" i="1"/>
  <c r="DZ284" i="1"/>
  <c r="EA284" i="1"/>
  <c r="EB284" i="1"/>
  <c r="EC284" i="1"/>
  <c r="ED284" i="1"/>
  <c r="EE284" i="1"/>
  <c r="EF284" i="1"/>
  <c r="EG284" i="1"/>
  <c r="DX285" i="1"/>
  <c r="DY285" i="1"/>
  <c r="DZ285" i="1"/>
  <c r="EA285" i="1"/>
  <c r="EB285" i="1"/>
  <c r="EC285" i="1"/>
  <c r="ED285" i="1"/>
  <c r="EE285" i="1"/>
  <c r="EF285" i="1"/>
  <c r="EG285" i="1"/>
  <c r="DX286" i="1"/>
  <c r="DY286" i="1"/>
  <c r="DZ286" i="1"/>
  <c r="EA286" i="1"/>
  <c r="EB286" i="1"/>
  <c r="EC286" i="1"/>
  <c r="ED286" i="1"/>
  <c r="EE286" i="1"/>
  <c r="EF286" i="1"/>
  <c r="EG286" i="1"/>
  <c r="DX287" i="1"/>
  <c r="DY287" i="1"/>
  <c r="DZ287" i="1"/>
  <c r="EA287" i="1"/>
  <c r="EB287" i="1"/>
  <c r="EC287" i="1"/>
  <c r="ED287" i="1"/>
  <c r="EE287" i="1"/>
  <c r="EF287" i="1"/>
  <c r="EG287" i="1"/>
  <c r="DX288" i="1"/>
  <c r="DY288" i="1"/>
  <c r="DZ288" i="1"/>
  <c r="EA288" i="1"/>
  <c r="EB288" i="1"/>
  <c r="EC288" i="1"/>
  <c r="ED288" i="1"/>
  <c r="EE288" i="1"/>
  <c r="EF288" i="1"/>
  <c r="EG288" i="1"/>
  <c r="DX289" i="1"/>
  <c r="DY289" i="1"/>
  <c r="DZ289" i="1"/>
  <c r="EA289" i="1"/>
  <c r="EB289" i="1"/>
  <c r="EC289" i="1"/>
  <c r="ED289" i="1"/>
  <c r="EE289" i="1"/>
  <c r="EF289" i="1"/>
  <c r="EG289" i="1"/>
  <c r="DX290" i="1"/>
  <c r="DY290" i="1"/>
  <c r="DZ290" i="1"/>
  <c r="EA290" i="1"/>
  <c r="EB290" i="1"/>
  <c r="EC290" i="1"/>
  <c r="ED290" i="1"/>
  <c r="EE290" i="1"/>
  <c r="EF290" i="1"/>
  <c r="EG290" i="1"/>
  <c r="DX291" i="1"/>
  <c r="DY291" i="1"/>
  <c r="DZ291" i="1"/>
  <c r="EA291" i="1"/>
  <c r="EB291" i="1"/>
  <c r="EC291" i="1"/>
  <c r="ED291" i="1"/>
  <c r="EE291" i="1"/>
  <c r="EF291" i="1"/>
  <c r="EG291" i="1"/>
  <c r="DX292" i="1"/>
  <c r="DY292" i="1"/>
  <c r="DZ292" i="1"/>
  <c r="EA292" i="1"/>
  <c r="EB292" i="1"/>
  <c r="EC292" i="1"/>
  <c r="ED292" i="1"/>
  <c r="EE292" i="1"/>
  <c r="EF292" i="1"/>
  <c r="EG292" i="1"/>
  <c r="DX293" i="1"/>
  <c r="DY293" i="1"/>
  <c r="DZ293" i="1"/>
  <c r="EA293" i="1"/>
  <c r="EB293" i="1"/>
  <c r="EC293" i="1"/>
  <c r="ED293" i="1"/>
  <c r="EE293" i="1"/>
  <c r="EF293" i="1"/>
  <c r="EG293" i="1"/>
  <c r="DX294" i="1"/>
  <c r="DY294" i="1"/>
  <c r="DZ294" i="1"/>
  <c r="EA294" i="1"/>
  <c r="EB294" i="1"/>
  <c r="EC294" i="1"/>
  <c r="ED294" i="1"/>
  <c r="EE294" i="1"/>
  <c r="EF294" i="1"/>
  <c r="EG294" i="1"/>
  <c r="DX295" i="1"/>
  <c r="DY295" i="1"/>
  <c r="DZ295" i="1"/>
  <c r="EA295" i="1"/>
  <c r="EB295" i="1"/>
  <c r="EC295" i="1"/>
  <c r="ED295" i="1"/>
  <c r="EE295" i="1"/>
  <c r="EF295" i="1"/>
  <c r="EG295" i="1"/>
  <c r="DX296" i="1"/>
  <c r="DY296" i="1"/>
  <c r="DZ296" i="1"/>
  <c r="EA296" i="1"/>
  <c r="EB296" i="1"/>
  <c r="EC296" i="1"/>
  <c r="ED296" i="1"/>
  <c r="EE296" i="1"/>
  <c r="EF296" i="1"/>
  <c r="EG296" i="1"/>
  <c r="DX297" i="1"/>
  <c r="DY297" i="1"/>
  <c r="DZ297" i="1"/>
  <c r="EA297" i="1"/>
  <c r="EB297" i="1"/>
  <c r="EC297" i="1"/>
  <c r="ED297" i="1"/>
  <c r="EE297" i="1"/>
  <c r="EF297" i="1"/>
  <c r="EG297" i="1"/>
  <c r="DX298" i="1"/>
  <c r="DY298" i="1"/>
  <c r="DZ298" i="1"/>
  <c r="EA298" i="1"/>
  <c r="EB298" i="1"/>
  <c r="EC298" i="1"/>
  <c r="ED298" i="1"/>
  <c r="EE298" i="1"/>
  <c r="EF298" i="1"/>
  <c r="EG298" i="1"/>
  <c r="DX299" i="1"/>
  <c r="DY299" i="1"/>
  <c r="DZ299" i="1"/>
  <c r="EA299" i="1"/>
  <c r="EB299" i="1"/>
  <c r="EC299" i="1"/>
  <c r="ED299" i="1"/>
  <c r="EE299" i="1"/>
  <c r="EF299" i="1"/>
  <c r="EG299" i="1"/>
  <c r="DX300" i="1"/>
  <c r="DY300" i="1"/>
  <c r="DZ300" i="1"/>
  <c r="EA300" i="1"/>
  <c r="EB300" i="1"/>
  <c r="EC300" i="1"/>
  <c r="ED300" i="1"/>
  <c r="EE300" i="1"/>
  <c r="EF300" i="1"/>
  <c r="EG300" i="1"/>
  <c r="DX301" i="1"/>
  <c r="DY301" i="1"/>
  <c r="DZ301" i="1"/>
  <c r="EA301" i="1"/>
  <c r="EB301" i="1"/>
  <c r="EC301" i="1"/>
  <c r="ED301" i="1"/>
  <c r="EE301" i="1"/>
  <c r="EF301" i="1"/>
  <c r="EG301" i="1"/>
  <c r="DX302" i="1"/>
  <c r="DY302" i="1"/>
  <c r="DZ302" i="1"/>
  <c r="EA302" i="1"/>
  <c r="EB302" i="1"/>
  <c r="EC302" i="1"/>
  <c r="ED302" i="1"/>
  <c r="EE302" i="1"/>
  <c r="EF302" i="1"/>
  <c r="EG302" i="1"/>
  <c r="DX303" i="1"/>
  <c r="DY303" i="1"/>
  <c r="DZ303" i="1"/>
  <c r="EA303" i="1"/>
  <c r="EB303" i="1"/>
  <c r="EC303" i="1"/>
  <c r="ED303" i="1"/>
  <c r="EE303" i="1"/>
  <c r="EF303" i="1"/>
  <c r="EG303" i="1"/>
  <c r="DX304" i="1"/>
  <c r="DY304" i="1"/>
  <c r="DZ304" i="1"/>
  <c r="EA304" i="1"/>
  <c r="EB304" i="1"/>
  <c r="EC304" i="1"/>
  <c r="ED304" i="1"/>
  <c r="EE304" i="1"/>
  <c r="EF304" i="1"/>
  <c r="EG304" i="1"/>
  <c r="DX305" i="1"/>
  <c r="DY305" i="1"/>
  <c r="DZ305" i="1"/>
  <c r="EA305" i="1"/>
  <c r="EB305" i="1"/>
  <c r="EC305" i="1"/>
  <c r="ED305" i="1"/>
  <c r="EE305" i="1"/>
  <c r="EF305" i="1"/>
  <c r="EG305" i="1"/>
  <c r="DX306" i="1"/>
  <c r="DY306" i="1"/>
  <c r="DZ306" i="1"/>
  <c r="EA306" i="1"/>
  <c r="EB306" i="1"/>
  <c r="EC306" i="1"/>
  <c r="ED306" i="1"/>
  <c r="EE306" i="1"/>
  <c r="EF306" i="1"/>
  <c r="EG306" i="1"/>
  <c r="DX307" i="1"/>
  <c r="DY307" i="1"/>
  <c r="DZ307" i="1"/>
  <c r="EA307" i="1"/>
  <c r="EB307" i="1"/>
  <c r="EC307" i="1"/>
  <c r="ED307" i="1"/>
  <c r="EE307" i="1"/>
  <c r="EF307" i="1"/>
  <c r="EG307" i="1"/>
  <c r="DX308" i="1"/>
  <c r="DY308" i="1"/>
  <c r="DZ308" i="1"/>
  <c r="EA308" i="1"/>
  <c r="EB308" i="1"/>
  <c r="EC308" i="1"/>
  <c r="ED308" i="1"/>
  <c r="EE308" i="1"/>
  <c r="EF308" i="1"/>
  <c r="EG308" i="1"/>
  <c r="DX309" i="1"/>
  <c r="DY309" i="1"/>
  <c r="DZ309" i="1"/>
  <c r="EA309" i="1"/>
  <c r="EB309" i="1"/>
  <c r="EC309" i="1"/>
  <c r="ED309" i="1"/>
  <c r="EE309" i="1"/>
  <c r="EF309" i="1"/>
  <c r="EG309" i="1"/>
  <c r="DX310" i="1"/>
  <c r="DY310" i="1"/>
  <c r="DZ310" i="1"/>
  <c r="EA310" i="1"/>
  <c r="EB310" i="1"/>
  <c r="EC310" i="1"/>
  <c r="ED310" i="1"/>
  <c r="EE310" i="1"/>
  <c r="EF310" i="1"/>
  <c r="EG310" i="1"/>
  <c r="DX311" i="1"/>
  <c r="DY311" i="1"/>
  <c r="DZ311" i="1"/>
  <c r="EA311" i="1"/>
  <c r="EB311" i="1"/>
  <c r="EC311" i="1"/>
  <c r="ED311" i="1"/>
  <c r="EE311" i="1"/>
  <c r="EF311" i="1"/>
  <c r="EG311" i="1"/>
  <c r="DX312" i="1"/>
  <c r="DY312" i="1"/>
  <c r="DZ312" i="1"/>
  <c r="EA312" i="1"/>
  <c r="EB312" i="1"/>
  <c r="EC312" i="1"/>
  <c r="ED312" i="1"/>
  <c r="EE312" i="1"/>
  <c r="EF312" i="1"/>
  <c r="EG312" i="1"/>
  <c r="DX313" i="1"/>
  <c r="DY313" i="1"/>
  <c r="DZ313" i="1"/>
  <c r="EA313" i="1"/>
  <c r="EB313" i="1"/>
  <c r="EC313" i="1"/>
  <c r="ED313" i="1"/>
  <c r="EE313" i="1"/>
  <c r="EF313" i="1"/>
  <c r="EG313" i="1"/>
  <c r="DX314" i="1"/>
  <c r="DY314" i="1"/>
  <c r="DZ314" i="1"/>
  <c r="EA314" i="1"/>
  <c r="EB314" i="1"/>
  <c r="EC314" i="1"/>
  <c r="ED314" i="1"/>
  <c r="EE314" i="1"/>
  <c r="EF314" i="1"/>
  <c r="EG314" i="1"/>
  <c r="DX315" i="1"/>
  <c r="DY315" i="1"/>
  <c r="DZ315" i="1"/>
  <c r="EA315" i="1"/>
  <c r="EB315" i="1"/>
  <c r="EC315" i="1"/>
  <c r="ED315" i="1"/>
  <c r="EE315" i="1"/>
  <c r="EF315" i="1"/>
  <c r="EG315" i="1"/>
  <c r="DX316" i="1"/>
  <c r="DY316" i="1"/>
  <c r="DZ316" i="1"/>
  <c r="EA316" i="1"/>
  <c r="EB316" i="1"/>
  <c r="EC316" i="1"/>
  <c r="ED316" i="1"/>
  <c r="EE316" i="1"/>
  <c r="EF316" i="1"/>
  <c r="EG316" i="1"/>
  <c r="DX317" i="1"/>
  <c r="DY317" i="1"/>
  <c r="DZ317" i="1"/>
  <c r="EA317" i="1"/>
  <c r="EB317" i="1"/>
  <c r="EC317" i="1"/>
  <c r="ED317" i="1"/>
  <c r="EE317" i="1"/>
  <c r="EF317" i="1"/>
  <c r="EG317" i="1"/>
  <c r="DX318" i="1"/>
  <c r="DY318" i="1"/>
  <c r="DZ318" i="1"/>
  <c r="EA318" i="1"/>
  <c r="EB318" i="1"/>
  <c r="EC318" i="1"/>
  <c r="ED318" i="1"/>
  <c r="EE318" i="1"/>
  <c r="EF318" i="1"/>
  <c r="EG318" i="1"/>
  <c r="DX319" i="1"/>
  <c r="DY319" i="1"/>
  <c r="DZ319" i="1"/>
  <c r="EA319" i="1"/>
  <c r="EB319" i="1"/>
  <c r="EC319" i="1"/>
  <c r="ED319" i="1"/>
  <c r="EE319" i="1"/>
  <c r="EF319" i="1"/>
  <c r="EG319" i="1"/>
  <c r="DX320" i="1"/>
  <c r="DY320" i="1"/>
  <c r="DZ320" i="1"/>
  <c r="EA320" i="1"/>
  <c r="EB320" i="1"/>
  <c r="EC320" i="1"/>
  <c r="ED320" i="1"/>
  <c r="EE320" i="1"/>
  <c r="EF320" i="1"/>
  <c r="EG320" i="1"/>
  <c r="DX321" i="1"/>
  <c r="DY321" i="1"/>
  <c r="DZ321" i="1"/>
  <c r="EA321" i="1"/>
  <c r="EB321" i="1"/>
  <c r="EC321" i="1"/>
  <c r="ED321" i="1"/>
  <c r="EE321" i="1"/>
  <c r="EF321" i="1"/>
  <c r="EG321" i="1"/>
  <c r="DX322" i="1"/>
  <c r="DY322" i="1"/>
  <c r="DZ322" i="1"/>
  <c r="EA322" i="1"/>
  <c r="EB322" i="1"/>
  <c r="EC322" i="1"/>
  <c r="ED322" i="1"/>
  <c r="EE322" i="1"/>
  <c r="EF322" i="1"/>
  <c r="EG322" i="1"/>
  <c r="DX323" i="1"/>
  <c r="DY323" i="1"/>
  <c r="DZ323" i="1"/>
  <c r="EA323" i="1"/>
  <c r="EB323" i="1"/>
  <c r="EC323" i="1"/>
  <c r="ED323" i="1"/>
  <c r="EE323" i="1"/>
  <c r="EF323" i="1"/>
  <c r="EG323" i="1"/>
  <c r="DX324" i="1"/>
  <c r="DY324" i="1"/>
  <c r="DZ324" i="1"/>
  <c r="EA324" i="1"/>
  <c r="EB324" i="1"/>
  <c r="EC324" i="1"/>
  <c r="ED324" i="1"/>
  <c r="EE324" i="1"/>
  <c r="EF324" i="1"/>
  <c r="EG324" i="1"/>
  <c r="DX325" i="1"/>
  <c r="DY325" i="1"/>
  <c r="DZ325" i="1"/>
  <c r="EA325" i="1"/>
  <c r="EB325" i="1"/>
  <c r="EC325" i="1"/>
  <c r="ED325" i="1"/>
  <c r="EE325" i="1"/>
  <c r="EF325" i="1"/>
  <c r="EG325" i="1"/>
  <c r="DX326" i="1"/>
  <c r="DY326" i="1"/>
  <c r="DZ326" i="1"/>
  <c r="EA326" i="1"/>
  <c r="EB326" i="1"/>
  <c r="EC326" i="1"/>
  <c r="ED326" i="1"/>
  <c r="EE326" i="1"/>
  <c r="EF326" i="1"/>
  <c r="EG326" i="1"/>
  <c r="DX327" i="1"/>
  <c r="DY327" i="1"/>
  <c r="DZ327" i="1"/>
  <c r="EA327" i="1"/>
  <c r="EB327" i="1"/>
  <c r="EC327" i="1"/>
  <c r="ED327" i="1"/>
  <c r="EE327" i="1"/>
  <c r="EF327" i="1"/>
  <c r="EG327" i="1"/>
  <c r="DX328" i="1"/>
  <c r="DY328" i="1"/>
  <c r="DZ328" i="1"/>
  <c r="EA328" i="1"/>
  <c r="EB328" i="1"/>
  <c r="EC328" i="1"/>
  <c r="ED328" i="1"/>
  <c r="EE328" i="1"/>
  <c r="EF328" i="1"/>
  <c r="EG328" i="1"/>
  <c r="DX329" i="1"/>
  <c r="DY329" i="1"/>
  <c r="DZ329" i="1"/>
  <c r="EA329" i="1"/>
  <c r="EB329" i="1"/>
  <c r="EC329" i="1"/>
  <c r="ED329" i="1"/>
  <c r="EE329" i="1"/>
  <c r="EF329" i="1"/>
  <c r="EG329" i="1"/>
  <c r="DX330" i="1"/>
  <c r="DY330" i="1"/>
  <c r="DZ330" i="1"/>
  <c r="EA330" i="1"/>
  <c r="EB330" i="1"/>
  <c r="EC330" i="1"/>
  <c r="ED330" i="1"/>
  <c r="EE330" i="1"/>
  <c r="EF330" i="1"/>
  <c r="EG330" i="1"/>
  <c r="DX331" i="1"/>
  <c r="DY331" i="1"/>
  <c r="DZ331" i="1"/>
  <c r="EA331" i="1"/>
  <c r="EB331" i="1"/>
  <c r="EC331" i="1"/>
  <c r="ED331" i="1"/>
  <c r="EE331" i="1"/>
  <c r="EF331" i="1"/>
  <c r="EG331" i="1"/>
  <c r="DX332" i="1"/>
  <c r="DY332" i="1"/>
  <c r="DZ332" i="1"/>
  <c r="EA332" i="1"/>
  <c r="EB332" i="1"/>
  <c r="EC332" i="1"/>
  <c r="ED332" i="1"/>
  <c r="EE332" i="1"/>
  <c r="EF332" i="1"/>
  <c r="EG332" i="1"/>
  <c r="DX333" i="1"/>
  <c r="DY333" i="1"/>
  <c r="DZ333" i="1"/>
  <c r="EA333" i="1"/>
  <c r="EB333" i="1"/>
  <c r="EC333" i="1"/>
  <c r="ED333" i="1"/>
  <c r="EE333" i="1"/>
  <c r="EF333" i="1"/>
  <c r="EG333" i="1"/>
  <c r="DX334" i="1"/>
  <c r="DY334" i="1"/>
  <c r="DZ334" i="1"/>
  <c r="EA334" i="1"/>
  <c r="EB334" i="1"/>
  <c r="EC334" i="1"/>
  <c r="ED334" i="1"/>
  <c r="EE334" i="1"/>
  <c r="EF334" i="1"/>
  <c r="EG334" i="1"/>
  <c r="DX335" i="1"/>
  <c r="DY335" i="1"/>
  <c r="DZ335" i="1"/>
  <c r="EA335" i="1"/>
  <c r="EB335" i="1"/>
  <c r="EC335" i="1"/>
  <c r="ED335" i="1"/>
  <c r="EE335" i="1"/>
  <c r="EF335" i="1"/>
  <c r="EG335" i="1"/>
  <c r="DX336" i="1"/>
  <c r="DY336" i="1"/>
  <c r="DZ336" i="1"/>
  <c r="EA336" i="1"/>
  <c r="EB336" i="1"/>
  <c r="EC336" i="1"/>
  <c r="ED336" i="1"/>
  <c r="EE336" i="1"/>
  <c r="EF336" i="1"/>
  <c r="EG336" i="1"/>
  <c r="DX337" i="1"/>
  <c r="DY337" i="1"/>
  <c r="DZ337" i="1"/>
  <c r="EA337" i="1"/>
  <c r="EB337" i="1"/>
  <c r="EC337" i="1"/>
  <c r="ED337" i="1"/>
  <c r="EE337" i="1"/>
  <c r="EF337" i="1"/>
  <c r="EG337" i="1"/>
  <c r="DX338" i="1"/>
  <c r="DY338" i="1"/>
  <c r="DZ338" i="1"/>
  <c r="EA338" i="1"/>
  <c r="EB338" i="1"/>
  <c r="EC338" i="1"/>
  <c r="ED338" i="1"/>
  <c r="EE338" i="1"/>
  <c r="EF338" i="1"/>
  <c r="EG338" i="1"/>
  <c r="DX339" i="1"/>
  <c r="DY339" i="1"/>
  <c r="DZ339" i="1"/>
  <c r="EA339" i="1"/>
  <c r="EB339" i="1"/>
  <c r="EC339" i="1"/>
  <c r="ED339" i="1"/>
  <c r="EE339" i="1"/>
  <c r="EF339" i="1"/>
  <c r="EG339" i="1"/>
  <c r="DX340" i="1"/>
  <c r="DY340" i="1"/>
  <c r="DZ340" i="1"/>
  <c r="EA340" i="1"/>
  <c r="EB340" i="1"/>
  <c r="EC340" i="1"/>
  <c r="ED340" i="1"/>
  <c r="EE340" i="1"/>
  <c r="EF340" i="1"/>
  <c r="EG340" i="1"/>
  <c r="DX341" i="1"/>
  <c r="DY341" i="1"/>
  <c r="DZ341" i="1"/>
  <c r="EA341" i="1"/>
  <c r="EB341" i="1"/>
  <c r="EC341" i="1"/>
  <c r="ED341" i="1"/>
  <c r="EE341" i="1"/>
  <c r="EF341" i="1"/>
  <c r="EG341" i="1"/>
  <c r="DX342" i="1"/>
  <c r="DY342" i="1"/>
  <c r="DZ342" i="1"/>
  <c r="EA342" i="1"/>
  <c r="EB342" i="1"/>
  <c r="EC342" i="1"/>
  <c r="ED342" i="1"/>
  <c r="EE342" i="1"/>
  <c r="EF342" i="1"/>
  <c r="EG342" i="1"/>
  <c r="DX343" i="1"/>
  <c r="DY343" i="1"/>
  <c r="DZ343" i="1"/>
  <c r="EA343" i="1"/>
  <c r="EB343" i="1"/>
  <c r="EC343" i="1"/>
  <c r="ED343" i="1"/>
  <c r="EE343" i="1"/>
  <c r="EF343" i="1"/>
  <c r="EG343" i="1"/>
  <c r="DX344" i="1"/>
  <c r="DY344" i="1"/>
  <c r="DZ344" i="1"/>
  <c r="EA344" i="1"/>
  <c r="EB344" i="1"/>
  <c r="EC344" i="1"/>
  <c r="ED344" i="1"/>
  <c r="EE344" i="1"/>
  <c r="EF344" i="1"/>
  <c r="EG344" i="1"/>
  <c r="DX345" i="1"/>
  <c r="DY345" i="1"/>
  <c r="DZ345" i="1"/>
  <c r="EA345" i="1"/>
  <c r="EB345" i="1"/>
  <c r="EC345" i="1"/>
  <c r="ED345" i="1"/>
  <c r="EE345" i="1"/>
  <c r="EF345" i="1"/>
  <c r="EG345" i="1"/>
  <c r="DX346" i="1"/>
  <c r="DY346" i="1"/>
  <c r="DZ346" i="1"/>
  <c r="EA346" i="1"/>
  <c r="EB346" i="1"/>
  <c r="EC346" i="1"/>
  <c r="ED346" i="1"/>
  <c r="EE346" i="1"/>
  <c r="EF346" i="1"/>
  <c r="EG346" i="1"/>
  <c r="DX347" i="1"/>
  <c r="DY347" i="1"/>
  <c r="DZ347" i="1"/>
  <c r="EA347" i="1"/>
  <c r="EB347" i="1"/>
  <c r="EC347" i="1"/>
  <c r="ED347" i="1"/>
  <c r="EE347" i="1"/>
  <c r="EF347" i="1"/>
  <c r="EG347" i="1"/>
  <c r="DX348" i="1"/>
  <c r="DY348" i="1"/>
  <c r="DZ348" i="1"/>
  <c r="EA348" i="1"/>
  <c r="EB348" i="1"/>
  <c r="EC348" i="1"/>
  <c r="ED348" i="1"/>
  <c r="EE348" i="1"/>
  <c r="EF348" i="1"/>
  <c r="EG348" i="1"/>
  <c r="DX349" i="1"/>
  <c r="DY349" i="1"/>
  <c r="DZ349" i="1"/>
  <c r="EA349" i="1"/>
  <c r="EB349" i="1"/>
  <c r="EC349" i="1"/>
  <c r="ED349" i="1"/>
  <c r="EE349" i="1"/>
  <c r="EF349" i="1"/>
  <c r="EG349" i="1"/>
  <c r="DX350" i="1"/>
  <c r="DY350" i="1"/>
  <c r="DZ350" i="1"/>
  <c r="EA350" i="1"/>
  <c r="EB350" i="1"/>
  <c r="EC350" i="1"/>
  <c r="ED350" i="1"/>
  <c r="EE350" i="1"/>
  <c r="EF350" i="1"/>
  <c r="EG350" i="1"/>
  <c r="DX351" i="1"/>
  <c r="DY351" i="1"/>
  <c r="DZ351" i="1"/>
  <c r="EA351" i="1"/>
  <c r="EB351" i="1"/>
  <c r="EC351" i="1"/>
  <c r="ED351" i="1"/>
  <c r="EE351" i="1"/>
  <c r="EF351" i="1"/>
  <c r="EG351" i="1"/>
  <c r="DX352" i="1"/>
  <c r="DY352" i="1"/>
  <c r="DZ352" i="1"/>
  <c r="EA352" i="1"/>
  <c r="EB352" i="1"/>
  <c r="EC352" i="1"/>
  <c r="ED352" i="1"/>
  <c r="EE352" i="1"/>
  <c r="EF352" i="1"/>
  <c r="EG352" i="1"/>
  <c r="DX353" i="1"/>
  <c r="DY353" i="1"/>
  <c r="DZ353" i="1"/>
  <c r="EA353" i="1"/>
  <c r="EB353" i="1"/>
  <c r="EC353" i="1"/>
  <c r="ED353" i="1"/>
  <c r="EE353" i="1"/>
  <c r="EF353" i="1"/>
  <c r="EG353" i="1"/>
  <c r="DX354" i="1"/>
  <c r="DY354" i="1"/>
  <c r="DZ354" i="1"/>
  <c r="EA354" i="1"/>
  <c r="EB354" i="1"/>
  <c r="EC354" i="1"/>
  <c r="ED354" i="1"/>
  <c r="EE354" i="1"/>
  <c r="EF354" i="1"/>
  <c r="EG354" i="1"/>
  <c r="DX355" i="1"/>
  <c r="DY355" i="1"/>
  <c r="DZ355" i="1"/>
  <c r="EA355" i="1"/>
  <c r="EB355" i="1"/>
  <c r="EC355" i="1"/>
  <c r="ED355" i="1"/>
  <c r="EE355" i="1"/>
  <c r="EF355" i="1"/>
  <c r="EG355" i="1"/>
  <c r="DX356" i="1"/>
  <c r="DY356" i="1"/>
  <c r="DZ356" i="1"/>
  <c r="EA356" i="1"/>
  <c r="EB356" i="1"/>
  <c r="EC356" i="1"/>
  <c r="ED356" i="1"/>
  <c r="EE356" i="1"/>
  <c r="EF356" i="1"/>
  <c r="EG356" i="1"/>
  <c r="DX357" i="1"/>
  <c r="DY357" i="1"/>
  <c r="DZ357" i="1"/>
  <c r="EA357" i="1"/>
  <c r="EB357" i="1"/>
  <c r="EC357" i="1"/>
  <c r="ED357" i="1"/>
  <c r="EE357" i="1"/>
  <c r="EF357" i="1"/>
  <c r="EG357" i="1"/>
  <c r="DX358" i="1"/>
  <c r="DY358" i="1"/>
  <c r="DZ358" i="1"/>
  <c r="EA358" i="1"/>
  <c r="EB358" i="1"/>
  <c r="EC358" i="1"/>
  <c r="ED358" i="1"/>
  <c r="EE358" i="1"/>
  <c r="EF358" i="1"/>
  <c r="EG358" i="1"/>
  <c r="DX359" i="1"/>
  <c r="DY359" i="1"/>
  <c r="DZ359" i="1"/>
  <c r="EA359" i="1"/>
  <c r="EB359" i="1"/>
  <c r="EC359" i="1"/>
  <c r="ED359" i="1"/>
  <c r="EE359" i="1"/>
  <c r="EF359" i="1"/>
  <c r="EG359" i="1"/>
  <c r="DX360" i="1"/>
  <c r="DY360" i="1"/>
  <c r="DZ360" i="1"/>
  <c r="EA360" i="1"/>
  <c r="EB360" i="1"/>
  <c r="EC360" i="1"/>
  <c r="ED360" i="1"/>
  <c r="EE360" i="1"/>
  <c r="EF360" i="1"/>
  <c r="EG360" i="1"/>
  <c r="DX361" i="1"/>
  <c r="DY361" i="1"/>
  <c r="DZ361" i="1"/>
  <c r="EA361" i="1"/>
  <c r="EB361" i="1"/>
  <c r="EC361" i="1"/>
  <c r="ED361" i="1"/>
  <c r="EE361" i="1"/>
  <c r="EF361" i="1"/>
  <c r="EG361" i="1"/>
  <c r="DX362" i="1"/>
  <c r="DY362" i="1"/>
  <c r="DZ362" i="1"/>
  <c r="EA362" i="1"/>
  <c r="EB362" i="1"/>
  <c r="EC362" i="1"/>
  <c r="ED362" i="1"/>
  <c r="EE362" i="1"/>
  <c r="EF362" i="1"/>
  <c r="EG362" i="1"/>
  <c r="DX363" i="1"/>
  <c r="DY363" i="1"/>
  <c r="DZ363" i="1"/>
  <c r="EA363" i="1"/>
  <c r="EB363" i="1"/>
  <c r="EC363" i="1"/>
  <c r="ED363" i="1"/>
  <c r="EE363" i="1"/>
  <c r="EF363" i="1"/>
  <c r="EG363" i="1"/>
  <c r="DX364" i="1"/>
  <c r="DY364" i="1"/>
  <c r="DZ364" i="1"/>
  <c r="EA364" i="1"/>
  <c r="EB364" i="1"/>
  <c r="EC364" i="1"/>
  <c r="ED364" i="1"/>
  <c r="EE364" i="1"/>
  <c r="EF364" i="1"/>
  <c r="EG364" i="1"/>
  <c r="DX365" i="1"/>
  <c r="DY365" i="1"/>
  <c r="DZ365" i="1"/>
  <c r="EA365" i="1"/>
  <c r="EB365" i="1"/>
  <c r="EC365" i="1"/>
  <c r="ED365" i="1"/>
  <c r="EE365" i="1"/>
  <c r="EF365" i="1"/>
  <c r="EG365" i="1"/>
  <c r="DX366" i="1"/>
  <c r="DY366" i="1"/>
  <c r="DZ366" i="1"/>
  <c r="EA366" i="1"/>
  <c r="EB366" i="1"/>
  <c r="EC366" i="1"/>
  <c r="ED366" i="1"/>
  <c r="EE366" i="1"/>
  <c r="EF366" i="1"/>
  <c r="EG366" i="1"/>
  <c r="DX367" i="1"/>
  <c r="DY367" i="1"/>
  <c r="DZ367" i="1"/>
  <c r="EA367" i="1"/>
  <c r="EB367" i="1"/>
  <c r="EC367" i="1"/>
  <c r="ED367" i="1"/>
  <c r="EE367" i="1"/>
  <c r="EF367" i="1"/>
  <c r="EG367" i="1"/>
  <c r="DX368" i="1"/>
  <c r="DY368" i="1"/>
  <c r="DZ368" i="1"/>
  <c r="EA368" i="1"/>
  <c r="EB368" i="1"/>
  <c r="EC368" i="1"/>
  <c r="ED368" i="1"/>
  <c r="EE368" i="1"/>
  <c r="EF368" i="1"/>
  <c r="EG368" i="1"/>
  <c r="DX369" i="1"/>
  <c r="DY369" i="1"/>
  <c r="DZ369" i="1"/>
  <c r="EA369" i="1"/>
  <c r="EB369" i="1"/>
  <c r="EC369" i="1"/>
  <c r="ED369" i="1"/>
  <c r="EE369" i="1"/>
  <c r="EF369" i="1"/>
  <c r="EG369" i="1"/>
  <c r="DX370" i="1"/>
  <c r="DY370" i="1"/>
  <c r="DZ370" i="1"/>
  <c r="EA370" i="1"/>
  <c r="EB370" i="1"/>
  <c r="EC370" i="1"/>
  <c r="ED370" i="1"/>
  <c r="EE370" i="1"/>
  <c r="EF370" i="1"/>
  <c r="EG370" i="1"/>
  <c r="DX371" i="1"/>
  <c r="DY371" i="1"/>
  <c r="DZ371" i="1"/>
  <c r="EA371" i="1"/>
  <c r="EB371" i="1"/>
  <c r="EC371" i="1"/>
  <c r="ED371" i="1"/>
  <c r="EE371" i="1"/>
  <c r="EF371" i="1"/>
  <c r="EG371" i="1"/>
  <c r="DX372" i="1"/>
  <c r="DY372" i="1"/>
  <c r="DZ372" i="1"/>
  <c r="EA372" i="1"/>
  <c r="EB372" i="1"/>
  <c r="EC372" i="1"/>
  <c r="ED372" i="1"/>
  <c r="EE372" i="1"/>
  <c r="EF372" i="1"/>
  <c r="EG372" i="1"/>
  <c r="DX373" i="1"/>
  <c r="DY373" i="1"/>
  <c r="DZ373" i="1"/>
  <c r="EA373" i="1"/>
  <c r="EB373" i="1"/>
  <c r="EC373" i="1"/>
  <c r="ED373" i="1"/>
  <c r="EE373" i="1"/>
  <c r="EF373" i="1"/>
  <c r="EG373" i="1"/>
  <c r="DX374" i="1"/>
  <c r="DY374" i="1"/>
  <c r="DZ374" i="1"/>
  <c r="EA374" i="1"/>
  <c r="EB374" i="1"/>
  <c r="EC374" i="1"/>
  <c r="ED374" i="1"/>
  <c r="EE374" i="1"/>
  <c r="EF374" i="1"/>
  <c r="EG374" i="1"/>
  <c r="DX375" i="1"/>
  <c r="DY375" i="1"/>
  <c r="DZ375" i="1"/>
  <c r="EA375" i="1"/>
  <c r="EB375" i="1"/>
  <c r="EC375" i="1"/>
  <c r="ED375" i="1"/>
  <c r="EE375" i="1"/>
  <c r="EF375" i="1"/>
  <c r="EG375" i="1"/>
  <c r="DX376" i="1"/>
  <c r="DY376" i="1"/>
  <c r="DZ376" i="1"/>
  <c r="EA376" i="1"/>
  <c r="EB376" i="1"/>
  <c r="EC376" i="1"/>
  <c r="ED376" i="1"/>
  <c r="EE376" i="1"/>
  <c r="EF376" i="1"/>
  <c r="EG376" i="1"/>
  <c r="DX377" i="1"/>
  <c r="DY377" i="1"/>
  <c r="DZ377" i="1"/>
  <c r="EA377" i="1"/>
  <c r="EB377" i="1"/>
  <c r="EC377" i="1"/>
  <c r="ED377" i="1"/>
  <c r="EE377" i="1"/>
  <c r="EF377" i="1"/>
  <c r="EG377" i="1"/>
  <c r="DX378" i="1"/>
  <c r="DY378" i="1"/>
  <c r="DZ378" i="1"/>
  <c r="EA378" i="1"/>
  <c r="EB378" i="1"/>
  <c r="EC378" i="1"/>
  <c r="ED378" i="1"/>
  <c r="EE378" i="1"/>
  <c r="EF378" i="1"/>
  <c r="EG378" i="1"/>
  <c r="DX379" i="1"/>
  <c r="DY379" i="1"/>
  <c r="DZ379" i="1"/>
  <c r="EA379" i="1"/>
  <c r="EB379" i="1"/>
  <c r="EC379" i="1"/>
  <c r="ED379" i="1"/>
  <c r="EE379" i="1"/>
  <c r="EF379" i="1"/>
  <c r="EG379" i="1"/>
  <c r="DX380" i="1"/>
  <c r="DY380" i="1"/>
  <c r="DZ380" i="1"/>
  <c r="EA380" i="1"/>
  <c r="EB380" i="1"/>
  <c r="EC380" i="1"/>
  <c r="ED380" i="1"/>
  <c r="EE380" i="1"/>
  <c r="EF380" i="1"/>
  <c r="EG380" i="1"/>
  <c r="DX381" i="1"/>
  <c r="DY381" i="1"/>
  <c r="DZ381" i="1"/>
  <c r="EA381" i="1"/>
  <c r="EB381" i="1"/>
  <c r="EC381" i="1"/>
  <c r="ED381" i="1"/>
  <c r="EE381" i="1"/>
  <c r="EF381" i="1"/>
  <c r="EG381" i="1"/>
  <c r="DX382" i="1"/>
  <c r="DY382" i="1"/>
  <c r="DZ382" i="1"/>
  <c r="EA382" i="1"/>
  <c r="EB382" i="1"/>
  <c r="EC382" i="1"/>
  <c r="ED382" i="1"/>
  <c r="EE382" i="1"/>
  <c r="EF382" i="1"/>
  <c r="EG382" i="1"/>
  <c r="DX383" i="1"/>
  <c r="DY383" i="1"/>
  <c r="DZ383" i="1"/>
  <c r="EA383" i="1"/>
  <c r="EB383" i="1"/>
  <c r="EC383" i="1"/>
  <c r="ED383" i="1"/>
  <c r="EE383" i="1"/>
  <c r="EF383" i="1"/>
  <c r="EG383" i="1"/>
  <c r="DX384" i="1"/>
  <c r="DY384" i="1"/>
  <c r="DZ384" i="1"/>
  <c r="EA384" i="1"/>
  <c r="EB384" i="1"/>
  <c r="EC384" i="1"/>
  <c r="ED384" i="1"/>
  <c r="EE384" i="1"/>
  <c r="EF384" i="1"/>
  <c r="EG384" i="1"/>
  <c r="DX385" i="1"/>
  <c r="DY385" i="1"/>
  <c r="DZ385" i="1"/>
  <c r="EA385" i="1"/>
  <c r="EB385" i="1"/>
  <c r="EC385" i="1"/>
  <c r="ED385" i="1"/>
  <c r="EE385" i="1"/>
  <c r="EF385" i="1"/>
  <c r="EG385" i="1"/>
  <c r="DX386" i="1"/>
  <c r="DY386" i="1"/>
  <c r="DZ386" i="1"/>
  <c r="EA386" i="1"/>
  <c r="EB386" i="1"/>
  <c r="EC386" i="1"/>
  <c r="ED386" i="1"/>
  <c r="EE386" i="1"/>
  <c r="EF386" i="1"/>
  <c r="EG386" i="1"/>
  <c r="DX387" i="1"/>
  <c r="DY387" i="1"/>
  <c r="DZ387" i="1"/>
  <c r="EA387" i="1"/>
  <c r="EB387" i="1"/>
  <c r="EC387" i="1"/>
  <c r="ED387" i="1"/>
  <c r="EE387" i="1"/>
  <c r="EF387" i="1"/>
  <c r="EG387" i="1"/>
  <c r="DX388" i="1"/>
  <c r="DY388" i="1"/>
  <c r="DZ388" i="1"/>
  <c r="EA388" i="1"/>
  <c r="EB388" i="1"/>
  <c r="EC388" i="1"/>
  <c r="ED388" i="1"/>
  <c r="EE388" i="1"/>
  <c r="EF388" i="1"/>
  <c r="EG388" i="1"/>
  <c r="DX389" i="1"/>
  <c r="DY389" i="1"/>
  <c r="DZ389" i="1"/>
  <c r="EA389" i="1"/>
  <c r="EB389" i="1"/>
  <c r="EC389" i="1"/>
  <c r="ED389" i="1"/>
  <c r="EE389" i="1"/>
  <c r="EF389" i="1"/>
  <c r="EG389" i="1"/>
  <c r="DX390" i="1"/>
  <c r="DY390" i="1"/>
  <c r="DZ390" i="1"/>
  <c r="EA390" i="1"/>
  <c r="EB390" i="1"/>
  <c r="EC390" i="1"/>
  <c r="ED390" i="1"/>
  <c r="EE390" i="1"/>
  <c r="EF390" i="1"/>
  <c r="EG390" i="1"/>
  <c r="DX391" i="1"/>
  <c r="DY391" i="1"/>
  <c r="DZ391" i="1"/>
  <c r="EA391" i="1"/>
  <c r="EB391" i="1"/>
  <c r="EC391" i="1"/>
  <c r="ED391" i="1"/>
  <c r="EE391" i="1"/>
  <c r="EF391" i="1"/>
  <c r="EG391" i="1"/>
  <c r="DX392" i="1"/>
  <c r="DY392" i="1"/>
  <c r="DZ392" i="1"/>
  <c r="EA392" i="1"/>
  <c r="EB392" i="1"/>
  <c r="EC392" i="1"/>
  <c r="ED392" i="1"/>
  <c r="EE392" i="1"/>
  <c r="EF392" i="1"/>
  <c r="EG392" i="1"/>
  <c r="DX393" i="1"/>
  <c r="DY393" i="1"/>
  <c r="DZ393" i="1"/>
  <c r="EA393" i="1"/>
  <c r="EB393" i="1"/>
  <c r="EC393" i="1"/>
  <c r="ED393" i="1"/>
  <c r="EE393" i="1"/>
  <c r="EF393" i="1"/>
  <c r="EG393" i="1"/>
  <c r="DX394" i="1"/>
  <c r="DY394" i="1"/>
  <c r="DZ394" i="1"/>
  <c r="EA394" i="1"/>
  <c r="EB394" i="1"/>
  <c r="EC394" i="1"/>
  <c r="ED394" i="1"/>
  <c r="EE394" i="1"/>
  <c r="EF394" i="1"/>
  <c r="EG394" i="1"/>
  <c r="DX395" i="1"/>
  <c r="DY395" i="1"/>
  <c r="DZ395" i="1"/>
  <c r="EA395" i="1"/>
  <c r="EB395" i="1"/>
  <c r="EC395" i="1"/>
  <c r="ED395" i="1"/>
  <c r="EE395" i="1"/>
  <c r="EF395" i="1"/>
  <c r="EG395" i="1"/>
  <c r="DX396" i="1"/>
  <c r="DY396" i="1"/>
  <c r="DZ396" i="1"/>
  <c r="EA396" i="1"/>
  <c r="EB396" i="1"/>
  <c r="EC396" i="1"/>
  <c r="ED396" i="1"/>
  <c r="EE396" i="1"/>
  <c r="EF396" i="1"/>
  <c r="EG396" i="1"/>
  <c r="DX397" i="1"/>
  <c r="DY397" i="1"/>
  <c r="DZ397" i="1"/>
  <c r="EA397" i="1"/>
  <c r="EB397" i="1"/>
  <c r="EC397" i="1"/>
  <c r="ED397" i="1"/>
  <c r="EE397" i="1"/>
  <c r="EF397" i="1"/>
  <c r="EG397" i="1"/>
  <c r="DX398" i="1"/>
  <c r="DY398" i="1"/>
  <c r="DZ398" i="1"/>
  <c r="EA398" i="1"/>
  <c r="EB398" i="1"/>
  <c r="EC398" i="1"/>
  <c r="ED398" i="1"/>
  <c r="EE398" i="1"/>
  <c r="EF398" i="1"/>
  <c r="EG398" i="1"/>
  <c r="DX399" i="1"/>
  <c r="DY399" i="1"/>
  <c r="DZ399" i="1"/>
  <c r="EA399" i="1"/>
  <c r="EB399" i="1"/>
  <c r="EC399" i="1"/>
  <c r="ED399" i="1"/>
  <c r="EE399" i="1"/>
  <c r="EF399" i="1"/>
  <c r="EG399" i="1"/>
  <c r="DX400" i="1"/>
  <c r="DY400" i="1"/>
  <c r="DZ400" i="1"/>
  <c r="EA400" i="1"/>
  <c r="EB400" i="1"/>
  <c r="EC400" i="1"/>
  <c r="ED400" i="1"/>
  <c r="EE400" i="1"/>
  <c r="EF400" i="1"/>
  <c r="EG400" i="1"/>
  <c r="DX401" i="1"/>
  <c r="DY401" i="1"/>
  <c r="DZ401" i="1"/>
  <c r="EA401" i="1"/>
  <c r="EB401" i="1"/>
  <c r="EC401" i="1"/>
  <c r="ED401" i="1"/>
  <c r="EE401" i="1"/>
  <c r="EF401" i="1"/>
  <c r="EG401" i="1"/>
  <c r="DX402" i="1"/>
  <c r="DY402" i="1"/>
  <c r="DZ402" i="1"/>
  <c r="EA402" i="1"/>
  <c r="EB402" i="1"/>
  <c r="EC402" i="1"/>
  <c r="ED402" i="1"/>
  <c r="EE402" i="1"/>
  <c r="EF402" i="1"/>
  <c r="EG402" i="1"/>
  <c r="DX403" i="1"/>
  <c r="DY403" i="1"/>
  <c r="DZ403" i="1"/>
  <c r="EA403" i="1"/>
  <c r="EB403" i="1"/>
  <c r="EC403" i="1"/>
  <c r="ED403" i="1"/>
  <c r="EE403" i="1"/>
  <c r="EF403" i="1"/>
  <c r="EG403" i="1"/>
  <c r="DX404" i="1"/>
  <c r="DY404" i="1"/>
  <c r="DZ404" i="1"/>
  <c r="EA404" i="1"/>
  <c r="EB404" i="1"/>
  <c r="EC404" i="1"/>
  <c r="ED404" i="1"/>
  <c r="EE404" i="1"/>
  <c r="EF404" i="1"/>
  <c r="EG404" i="1"/>
  <c r="DX405" i="1"/>
  <c r="DY405" i="1"/>
  <c r="DZ405" i="1"/>
  <c r="EA405" i="1"/>
  <c r="EB405" i="1"/>
  <c r="EC405" i="1"/>
  <c r="ED405" i="1"/>
  <c r="EE405" i="1"/>
  <c r="EF405" i="1"/>
  <c r="EG405" i="1"/>
  <c r="DX406" i="1"/>
  <c r="DY406" i="1"/>
  <c r="DZ406" i="1"/>
  <c r="EA406" i="1"/>
  <c r="EB406" i="1"/>
  <c r="EC406" i="1"/>
  <c r="ED406" i="1"/>
  <c r="EE406" i="1"/>
  <c r="EF406" i="1"/>
  <c r="EG406" i="1"/>
  <c r="DX407" i="1"/>
  <c r="DY407" i="1"/>
  <c r="DZ407" i="1"/>
  <c r="EA407" i="1"/>
  <c r="EB407" i="1"/>
  <c r="EC407" i="1"/>
  <c r="ED407" i="1"/>
  <c r="EE407" i="1"/>
  <c r="EF407" i="1"/>
  <c r="EG407" i="1"/>
  <c r="DX408" i="1"/>
  <c r="DY408" i="1"/>
  <c r="DZ408" i="1"/>
  <c r="EA408" i="1"/>
  <c r="EB408" i="1"/>
  <c r="EC408" i="1"/>
  <c r="ED408" i="1"/>
  <c r="EE408" i="1"/>
  <c r="EF408" i="1"/>
  <c r="EG408" i="1"/>
  <c r="DX409" i="1"/>
  <c r="DY409" i="1"/>
  <c r="DZ409" i="1"/>
  <c r="EA409" i="1"/>
  <c r="EB409" i="1"/>
  <c r="EC409" i="1"/>
  <c r="ED409" i="1"/>
  <c r="EE409" i="1"/>
  <c r="EF409" i="1"/>
  <c r="EG409" i="1"/>
  <c r="DX410" i="1"/>
  <c r="DY410" i="1"/>
  <c r="DZ410" i="1"/>
  <c r="EA410" i="1"/>
  <c r="EB410" i="1"/>
  <c r="EC410" i="1"/>
  <c r="ED410" i="1"/>
  <c r="EE410" i="1"/>
  <c r="EF410" i="1"/>
  <c r="EG410" i="1"/>
  <c r="DX411" i="1"/>
  <c r="DY411" i="1"/>
  <c r="DZ411" i="1"/>
  <c r="EA411" i="1"/>
  <c r="EB411" i="1"/>
  <c r="EC411" i="1"/>
  <c r="ED411" i="1"/>
  <c r="EE411" i="1"/>
  <c r="EF411" i="1"/>
  <c r="EG411" i="1"/>
  <c r="DX412" i="1"/>
  <c r="DY412" i="1"/>
  <c r="DZ412" i="1"/>
  <c r="EA412" i="1"/>
  <c r="EB412" i="1"/>
  <c r="EC412" i="1"/>
  <c r="ED412" i="1"/>
  <c r="EE412" i="1"/>
  <c r="EF412" i="1"/>
  <c r="EG412" i="1"/>
  <c r="DX413" i="1"/>
  <c r="DY413" i="1"/>
  <c r="DZ413" i="1"/>
  <c r="EA413" i="1"/>
  <c r="EB413" i="1"/>
  <c r="EC413" i="1"/>
  <c r="ED413" i="1"/>
  <c r="EE413" i="1"/>
  <c r="EF413" i="1"/>
  <c r="EG413" i="1"/>
  <c r="DX414" i="1"/>
  <c r="DY414" i="1"/>
  <c r="DZ414" i="1"/>
  <c r="EA414" i="1"/>
  <c r="EB414" i="1"/>
  <c r="EC414" i="1"/>
  <c r="ED414" i="1"/>
  <c r="EE414" i="1"/>
  <c r="EF414" i="1"/>
  <c r="EG414" i="1"/>
  <c r="DX415" i="1"/>
  <c r="DY415" i="1"/>
  <c r="DZ415" i="1"/>
  <c r="EA415" i="1"/>
  <c r="EB415" i="1"/>
  <c r="EC415" i="1"/>
  <c r="ED415" i="1"/>
  <c r="EE415" i="1"/>
  <c r="EF415" i="1"/>
  <c r="EG415" i="1"/>
  <c r="DX416" i="1"/>
  <c r="DY416" i="1"/>
  <c r="DZ416" i="1"/>
  <c r="EA416" i="1"/>
  <c r="EB416" i="1"/>
  <c r="EC416" i="1"/>
  <c r="ED416" i="1"/>
  <c r="EE416" i="1"/>
  <c r="EF416" i="1"/>
  <c r="EG416" i="1"/>
  <c r="DX417" i="1"/>
  <c r="DY417" i="1"/>
  <c r="DZ417" i="1"/>
  <c r="EA417" i="1"/>
  <c r="EB417" i="1"/>
  <c r="EC417" i="1"/>
  <c r="ED417" i="1"/>
  <c r="EE417" i="1"/>
  <c r="EF417" i="1"/>
  <c r="EG417" i="1"/>
  <c r="DX418" i="1"/>
  <c r="DY418" i="1"/>
  <c r="DZ418" i="1"/>
  <c r="EA418" i="1"/>
  <c r="EB418" i="1"/>
  <c r="EC418" i="1"/>
  <c r="ED418" i="1"/>
  <c r="EE418" i="1"/>
  <c r="EF418" i="1"/>
  <c r="EG418" i="1"/>
  <c r="DX419" i="1"/>
  <c r="DY419" i="1"/>
  <c r="DZ419" i="1"/>
  <c r="EA419" i="1"/>
  <c r="EB419" i="1"/>
  <c r="EC419" i="1"/>
  <c r="ED419" i="1"/>
  <c r="EE419" i="1"/>
  <c r="EF419" i="1"/>
  <c r="EG419" i="1"/>
  <c r="DX420" i="1"/>
  <c r="DY420" i="1"/>
  <c r="DZ420" i="1"/>
  <c r="EA420" i="1"/>
  <c r="EB420" i="1"/>
  <c r="EC420" i="1"/>
  <c r="ED420" i="1"/>
  <c r="EE420" i="1"/>
  <c r="EF420" i="1"/>
  <c r="EG420" i="1"/>
  <c r="DX421" i="1"/>
  <c r="DY421" i="1"/>
  <c r="DZ421" i="1"/>
  <c r="EA421" i="1"/>
  <c r="EB421" i="1"/>
  <c r="EC421" i="1"/>
  <c r="ED421" i="1"/>
  <c r="EE421" i="1"/>
  <c r="EF421" i="1"/>
  <c r="EG421" i="1"/>
  <c r="DX422" i="1"/>
  <c r="DY422" i="1"/>
  <c r="DZ422" i="1"/>
  <c r="EA422" i="1"/>
  <c r="EB422" i="1"/>
  <c r="EC422" i="1"/>
  <c r="ED422" i="1"/>
  <c r="EE422" i="1"/>
  <c r="EF422" i="1"/>
  <c r="EG422" i="1"/>
  <c r="DX423" i="1"/>
  <c r="DY423" i="1"/>
  <c r="DZ423" i="1"/>
  <c r="EA423" i="1"/>
  <c r="EB423" i="1"/>
  <c r="EC423" i="1"/>
  <c r="ED423" i="1"/>
  <c r="EE423" i="1"/>
  <c r="EF423" i="1"/>
  <c r="EG423" i="1"/>
  <c r="DX424" i="1"/>
  <c r="DY424" i="1"/>
  <c r="DZ424" i="1"/>
  <c r="EA424" i="1"/>
  <c r="EB424" i="1"/>
  <c r="EC424" i="1"/>
  <c r="ED424" i="1"/>
  <c r="EE424" i="1"/>
  <c r="EF424" i="1"/>
  <c r="EG424" i="1"/>
  <c r="DX425" i="1"/>
  <c r="DY425" i="1"/>
  <c r="DZ425" i="1"/>
  <c r="EA425" i="1"/>
  <c r="EB425" i="1"/>
  <c r="EC425" i="1"/>
  <c r="ED425" i="1"/>
  <c r="EE425" i="1"/>
  <c r="EF425" i="1"/>
  <c r="EG425" i="1"/>
  <c r="DX426" i="1"/>
  <c r="DY426" i="1"/>
  <c r="DZ426" i="1"/>
  <c r="EA426" i="1"/>
  <c r="EB426" i="1"/>
  <c r="EC426" i="1"/>
  <c r="ED426" i="1"/>
  <c r="EE426" i="1"/>
  <c r="EF426" i="1"/>
  <c r="EG426" i="1"/>
  <c r="DX427" i="1"/>
  <c r="DY427" i="1"/>
  <c r="DZ427" i="1"/>
  <c r="EA427" i="1"/>
  <c r="EB427" i="1"/>
  <c r="EC427" i="1"/>
  <c r="ED427" i="1"/>
  <c r="EE427" i="1"/>
  <c r="EF427" i="1"/>
  <c r="EG427" i="1"/>
  <c r="DX428" i="1"/>
  <c r="DY428" i="1"/>
  <c r="DZ428" i="1"/>
  <c r="EA428" i="1"/>
  <c r="EB428" i="1"/>
  <c r="EC428" i="1"/>
  <c r="ED428" i="1"/>
  <c r="EE428" i="1"/>
  <c r="EF428" i="1"/>
  <c r="EG428" i="1"/>
  <c r="DX429" i="1"/>
  <c r="DY429" i="1"/>
  <c r="DZ429" i="1"/>
  <c r="EA429" i="1"/>
  <c r="EB429" i="1"/>
  <c r="EC429" i="1"/>
  <c r="ED429" i="1"/>
  <c r="EE429" i="1"/>
  <c r="EF429" i="1"/>
  <c r="EG429" i="1"/>
  <c r="DX430" i="1"/>
  <c r="DY430" i="1"/>
  <c r="DZ430" i="1"/>
  <c r="EA430" i="1"/>
  <c r="EB430" i="1"/>
  <c r="EC430" i="1"/>
  <c r="ED430" i="1"/>
  <c r="EE430" i="1"/>
  <c r="EF430" i="1"/>
  <c r="EG430" i="1"/>
  <c r="DX431" i="1"/>
  <c r="DY431" i="1"/>
  <c r="DZ431" i="1"/>
  <c r="EA431" i="1"/>
  <c r="EB431" i="1"/>
  <c r="EC431" i="1"/>
  <c r="ED431" i="1"/>
  <c r="EE431" i="1"/>
  <c r="EF431" i="1"/>
  <c r="EG431" i="1"/>
  <c r="DX432" i="1"/>
  <c r="DY432" i="1"/>
  <c r="DZ432" i="1"/>
  <c r="EA432" i="1"/>
  <c r="EB432" i="1"/>
  <c r="EC432" i="1"/>
  <c r="ED432" i="1"/>
  <c r="EE432" i="1"/>
  <c r="EF432" i="1"/>
  <c r="EG432" i="1"/>
  <c r="DX433" i="1"/>
  <c r="DY433" i="1"/>
  <c r="DZ433" i="1"/>
  <c r="EA433" i="1"/>
  <c r="EB433" i="1"/>
  <c r="EC433" i="1"/>
  <c r="ED433" i="1"/>
  <c r="EE433" i="1"/>
  <c r="EF433" i="1"/>
  <c r="EG433" i="1"/>
  <c r="DX434" i="1"/>
  <c r="DY434" i="1"/>
  <c r="DZ434" i="1"/>
  <c r="EA434" i="1"/>
  <c r="EB434" i="1"/>
  <c r="EC434" i="1"/>
  <c r="ED434" i="1"/>
  <c r="EE434" i="1"/>
  <c r="EF434" i="1"/>
  <c r="EG434" i="1"/>
  <c r="DX435" i="1"/>
  <c r="DY435" i="1"/>
  <c r="DZ435" i="1"/>
  <c r="EA435" i="1"/>
  <c r="EB435" i="1"/>
  <c r="EC435" i="1"/>
  <c r="ED435" i="1"/>
  <c r="EE435" i="1"/>
  <c r="EF435" i="1"/>
  <c r="EG435" i="1"/>
  <c r="DX436" i="1"/>
  <c r="DY436" i="1"/>
  <c r="DZ436" i="1"/>
  <c r="EA436" i="1"/>
  <c r="EB436" i="1"/>
  <c r="EC436" i="1"/>
  <c r="ED436" i="1"/>
  <c r="EE436" i="1"/>
  <c r="EF436" i="1"/>
  <c r="EG436" i="1"/>
  <c r="DX437" i="1"/>
  <c r="DY437" i="1"/>
  <c r="DZ437" i="1"/>
  <c r="EA437" i="1"/>
  <c r="EB437" i="1"/>
  <c r="EC437" i="1"/>
  <c r="ED437" i="1"/>
  <c r="EE437" i="1"/>
  <c r="EF437" i="1"/>
  <c r="EG437" i="1"/>
  <c r="DX438" i="1"/>
  <c r="DY438" i="1"/>
  <c r="DZ438" i="1"/>
  <c r="EA438" i="1"/>
  <c r="EB438" i="1"/>
  <c r="EC438" i="1"/>
  <c r="ED438" i="1"/>
  <c r="EE438" i="1"/>
  <c r="EF438" i="1"/>
  <c r="EG438" i="1"/>
  <c r="DX439" i="1"/>
  <c r="DY439" i="1"/>
  <c r="DZ439" i="1"/>
  <c r="EA439" i="1"/>
  <c r="EB439" i="1"/>
  <c r="EC439" i="1"/>
  <c r="ED439" i="1"/>
  <c r="EE439" i="1"/>
  <c r="EF439" i="1"/>
  <c r="EG439" i="1"/>
  <c r="DX440" i="1"/>
  <c r="DY440" i="1"/>
  <c r="DZ440" i="1"/>
  <c r="EA440" i="1"/>
  <c r="EB440" i="1"/>
  <c r="EC440" i="1"/>
  <c r="ED440" i="1"/>
  <c r="EE440" i="1"/>
  <c r="EF440" i="1"/>
  <c r="EG440" i="1"/>
  <c r="DX441" i="1"/>
  <c r="DY441" i="1"/>
  <c r="DZ441" i="1"/>
  <c r="EA441" i="1"/>
  <c r="EB441" i="1"/>
  <c r="EC441" i="1"/>
  <c r="ED441" i="1"/>
  <c r="EE441" i="1"/>
  <c r="EF441" i="1"/>
  <c r="EG441" i="1"/>
  <c r="DX442" i="1"/>
  <c r="DY442" i="1"/>
  <c r="DZ442" i="1"/>
  <c r="EA442" i="1"/>
  <c r="EB442" i="1"/>
  <c r="EC442" i="1"/>
  <c r="ED442" i="1"/>
  <c r="EE442" i="1"/>
  <c r="EF442" i="1"/>
  <c r="EG442" i="1"/>
  <c r="DX443" i="1"/>
  <c r="DY443" i="1"/>
  <c r="DZ443" i="1"/>
  <c r="EA443" i="1"/>
  <c r="EB443" i="1"/>
  <c r="EC443" i="1"/>
  <c r="ED443" i="1"/>
  <c r="EE443" i="1"/>
  <c r="EF443" i="1"/>
  <c r="EG443" i="1"/>
  <c r="DX444" i="1"/>
  <c r="DY444" i="1"/>
  <c r="DZ444" i="1"/>
  <c r="EA444" i="1"/>
  <c r="EB444" i="1"/>
  <c r="EC444" i="1"/>
  <c r="ED444" i="1"/>
  <c r="EE444" i="1"/>
  <c r="EF444" i="1"/>
  <c r="EG444" i="1"/>
  <c r="DX445" i="1"/>
  <c r="DY445" i="1"/>
  <c r="DZ445" i="1"/>
  <c r="EA445" i="1"/>
  <c r="EB445" i="1"/>
  <c r="EC445" i="1"/>
  <c r="ED445" i="1"/>
  <c r="EE445" i="1"/>
  <c r="EF445" i="1"/>
  <c r="EG445" i="1"/>
  <c r="DX446" i="1"/>
  <c r="DY446" i="1"/>
  <c r="DZ446" i="1"/>
  <c r="EA446" i="1"/>
  <c r="EB446" i="1"/>
  <c r="EC446" i="1"/>
  <c r="ED446" i="1"/>
  <c r="EE446" i="1"/>
  <c r="EF446" i="1"/>
  <c r="EG446" i="1"/>
  <c r="DX447" i="1"/>
  <c r="DY447" i="1"/>
  <c r="DZ447" i="1"/>
  <c r="EA447" i="1"/>
  <c r="EB447" i="1"/>
  <c r="EC447" i="1"/>
  <c r="ED447" i="1"/>
  <c r="EE447" i="1"/>
  <c r="EF447" i="1"/>
  <c r="EG447" i="1"/>
  <c r="DX448" i="1"/>
  <c r="DY448" i="1"/>
  <c r="DZ448" i="1"/>
  <c r="EA448" i="1"/>
  <c r="EB448" i="1"/>
  <c r="EC448" i="1"/>
  <c r="ED448" i="1"/>
  <c r="EE448" i="1"/>
  <c r="EF448" i="1"/>
  <c r="EG448" i="1"/>
  <c r="DX449" i="1"/>
  <c r="DY449" i="1"/>
  <c r="DZ449" i="1"/>
  <c r="EA449" i="1"/>
  <c r="EB449" i="1"/>
  <c r="EC449" i="1"/>
  <c r="ED449" i="1"/>
  <c r="EE449" i="1"/>
  <c r="EF449" i="1"/>
  <c r="EG449" i="1"/>
  <c r="DX450" i="1"/>
  <c r="DY450" i="1"/>
  <c r="DZ450" i="1"/>
  <c r="EA450" i="1"/>
  <c r="EB450" i="1"/>
  <c r="EC450" i="1"/>
  <c r="ED450" i="1"/>
  <c r="EE450" i="1"/>
  <c r="EF450" i="1"/>
  <c r="EG450" i="1"/>
  <c r="DX451" i="1"/>
  <c r="DY451" i="1"/>
  <c r="DZ451" i="1"/>
  <c r="EA451" i="1"/>
  <c r="EB451" i="1"/>
  <c r="EC451" i="1"/>
  <c r="ED451" i="1"/>
  <c r="EE451" i="1"/>
  <c r="EF451" i="1"/>
  <c r="EG451" i="1"/>
  <c r="DX452" i="1"/>
  <c r="DY452" i="1"/>
  <c r="DZ452" i="1"/>
  <c r="EA452" i="1"/>
  <c r="EB452" i="1"/>
  <c r="EC452" i="1"/>
  <c r="ED452" i="1"/>
  <c r="EE452" i="1"/>
  <c r="EF452" i="1"/>
  <c r="EG452" i="1"/>
  <c r="DX453" i="1"/>
  <c r="DY453" i="1"/>
  <c r="DZ453" i="1"/>
  <c r="EA453" i="1"/>
  <c r="EB453" i="1"/>
  <c r="EC453" i="1"/>
  <c r="ED453" i="1"/>
  <c r="EE453" i="1"/>
  <c r="EF453" i="1"/>
  <c r="EG453" i="1"/>
  <c r="DX454" i="1"/>
  <c r="DY454" i="1"/>
  <c r="DZ454" i="1"/>
  <c r="EA454" i="1"/>
  <c r="EB454" i="1"/>
  <c r="EC454" i="1"/>
  <c r="ED454" i="1"/>
  <c r="EE454" i="1"/>
  <c r="EF454" i="1"/>
  <c r="EG454" i="1"/>
  <c r="DX455" i="1"/>
  <c r="DY455" i="1"/>
  <c r="DZ455" i="1"/>
  <c r="EA455" i="1"/>
  <c r="EB455" i="1"/>
  <c r="EC455" i="1"/>
  <c r="ED455" i="1"/>
  <c r="EE455" i="1"/>
  <c r="EF455" i="1"/>
  <c r="EG455" i="1"/>
  <c r="DX456" i="1"/>
  <c r="DY456" i="1"/>
  <c r="DZ456" i="1"/>
  <c r="EA456" i="1"/>
  <c r="EB456" i="1"/>
  <c r="EC456" i="1"/>
  <c r="ED456" i="1"/>
  <c r="EE456" i="1"/>
  <c r="EF456" i="1"/>
  <c r="EG456" i="1"/>
  <c r="DX457" i="1"/>
  <c r="DY457" i="1"/>
  <c r="DZ457" i="1"/>
  <c r="EA457" i="1"/>
  <c r="EB457" i="1"/>
  <c r="EC457" i="1"/>
  <c r="ED457" i="1"/>
  <c r="EE457" i="1"/>
  <c r="EF457" i="1"/>
  <c r="EG457" i="1"/>
  <c r="DX458" i="1"/>
  <c r="DY458" i="1"/>
  <c r="DZ458" i="1"/>
  <c r="EA458" i="1"/>
  <c r="EB458" i="1"/>
  <c r="EC458" i="1"/>
  <c r="ED458" i="1"/>
  <c r="EE458" i="1"/>
  <c r="EF458" i="1"/>
  <c r="EG458" i="1"/>
  <c r="DX459" i="1"/>
  <c r="DY459" i="1"/>
  <c r="DZ459" i="1"/>
  <c r="EA459" i="1"/>
  <c r="EB459" i="1"/>
  <c r="EC459" i="1"/>
  <c r="ED459" i="1"/>
  <c r="EE459" i="1"/>
  <c r="EF459" i="1"/>
  <c r="EG459" i="1"/>
  <c r="DX460" i="1"/>
  <c r="DY460" i="1"/>
  <c r="DZ460" i="1"/>
  <c r="EA460" i="1"/>
  <c r="EB460" i="1"/>
  <c r="EC460" i="1"/>
  <c r="ED460" i="1"/>
  <c r="EE460" i="1"/>
  <c r="EF460" i="1"/>
  <c r="EG460" i="1"/>
  <c r="DX461" i="1"/>
  <c r="DY461" i="1"/>
  <c r="DZ461" i="1"/>
  <c r="EA461" i="1"/>
  <c r="EB461" i="1"/>
  <c r="EC461" i="1"/>
  <c r="ED461" i="1"/>
  <c r="EE461" i="1"/>
  <c r="EF461" i="1"/>
  <c r="EG461" i="1"/>
  <c r="DX462" i="1"/>
  <c r="DY462" i="1"/>
  <c r="DZ462" i="1"/>
  <c r="EA462" i="1"/>
  <c r="EB462" i="1"/>
  <c r="EC462" i="1"/>
  <c r="ED462" i="1"/>
  <c r="EE462" i="1"/>
  <c r="EF462" i="1"/>
  <c r="EG462" i="1"/>
  <c r="DX463" i="1"/>
  <c r="DY463" i="1"/>
  <c r="DZ463" i="1"/>
  <c r="EA463" i="1"/>
  <c r="EB463" i="1"/>
  <c r="EC463" i="1"/>
  <c r="ED463" i="1"/>
  <c r="EE463" i="1"/>
  <c r="EF463" i="1"/>
  <c r="EG463" i="1"/>
  <c r="DX464" i="1"/>
  <c r="DY464" i="1"/>
  <c r="DZ464" i="1"/>
  <c r="EA464" i="1"/>
  <c r="EB464" i="1"/>
  <c r="EC464" i="1"/>
  <c r="ED464" i="1"/>
  <c r="EE464" i="1"/>
  <c r="EF464" i="1"/>
  <c r="EG464" i="1"/>
  <c r="DX465" i="1"/>
  <c r="DY465" i="1"/>
  <c r="DZ465" i="1"/>
  <c r="EA465" i="1"/>
  <c r="EB465" i="1"/>
  <c r="EC465" i="1"/>
  <c r="ED465" i="1"/>
  <c r="EE465" i="1"/>
  <c r="EF465" i="1"/>
  <c r="EG465" i="1"/>
  <c r="DX466" i="1"/>
  <c r="DY466" i="1"/>
  <c r="DZ466" i="1"/>
  <c r="EA466" i="1"/>
  <c r="EB466" i="1"/>
  <c r="EC466" i="1"/>
  <c r="ED466" i="1"/>
  <c r="EE466" i="1"/>
  <c r="EF466" i="1"/>
  <c r="EG466" i="1"/>
  <c r="DX467" i="1"/>
  <c r="DY467" i="1"/>
  <c r="DZ467" i="1"/>
  <c r="EA467" i="1"/>
  <c r="EB467" i="1"/>
  <c r="EC467" i="1"/>
  <c r="ED467" i="1"/>
  <c r="EE467" i="1"/>
  <c r="EF467" i="1"/>
  <c r="EG467" i="1"/>
  <c r="DX468" i="1"/>
  <c r="DY468" i="1"/>
  <c r="DZ468" i="1"/>
  <c r="EA468" i="1"/>
  <c r="EB468" i="1"/>
  <c r="EC468" i="1"/>
  <c r="ED468" i="1"/>
  <c r="EE468" i="1"/>
  <c r="EF468" i="1"/>
  <c r="EG468" i="1"/>
  <c r="DX469" i="1"/>
  <c r="DY469" i="1"/>
  <c r="DZ469" i="1"/>
  <c r="EA469" i="1"/>
  <c r="EB469" i="1"/>
  <c r="EC469" i="1"/>
  <c r="ED469" i="1"/>
  <c r="EE469" i="1"/>
  <c r="EF469" i="1"/>
  <c r="EG469" i="1"/>
  <c r="DX470" i="1"/>
  <c r="DY470" i="1"/>
  <c r="DZ470" i="1"/>
  <c r="EA470" i="1"/>
  <c r="EB470" i="1"/>
  <c r="EC470" i="1"/>
  <c r="ED470" i="1"/>
  <c r="EE470" i="1"/>
  <c r="EF470" i="1"/>
  <c r="EG470" i="1"/>
  <c r="DX471" i="1"/>
  <c r="DY471" i="1"/>
  <c r="DZ471" i="1"/>
  <c r="EA471" i="1"/>
  <c r="EB471" i="1"/>
  <c r="EC471" i="1"/>
  <c r="ED471" i="1"/>
  <c r="EE471" i="1"/>
  <c r="EF471" i="1"/>
  <c r="EG471" i="1"/>
  <c r="DX472" i="1"/>
  <c r="DY472" i="1"/>
  <c r="DZ472" i="1"/>
  <c r="EA472" i="1"/>
  <c r="EB472" i="1"/>
  <c r="EC472" i="1"/>
  <c r="ED472" i="1"/>
  <c r="EE472" i="1"/>
  <c r="EF472" i="1"/>
  <c r="EG472" i="1"/>
  <c r="DX473" i="1"/>
  <c r="DY473" i="1"/>
  <c r="DZ473" i="1"/>
  <c r="EA473" i="1"/>
  <c r="EB473" i="1"/>
  <c r="EC473" i="1"/>
  <c r="ED473" i="1"/>
  <c r="EE473" i="1"/>
  <c r="EF473" i="1"/>
  <c r="EG473" i="1"/>
  <c r="DX474" i="1"/>
  <c r="DY474" i="1"/>
  <c r="DZ474" i="1"/>
  <c r="EA474" i="1"/>
  <c r="EB474" i="1"/>
  <c r="EC474" i="1"/>
  <c r="ED474" i="1"/>
  <c r="EE474" i="1"/>
  <c r="EF474" i="1"/>
  <c r="EG474" i="1"/>
  <c r="DX475" i="1"/>
  <c r="DY475" i="1"/>
  <c r="DZ475" i="1"/>
  <c r="EA475" i="1"/>
  <c r="EB475" i="1"/>
  <c r="EC475" i="1"/>
  <c r="ED475" i="1"/>
  <c r="EE475" i="1"/>
  <c r="EF475" i="1"/>
  <c r="EG475" i="1"/>
  <c r="DX476" i="1"/>
  <c r="DY476" i="1"/>
  <c r="DZ476" i="1"/>
  <c r="EA476" i="1"/>
  <c r="EB476" i="1"/>
  <c r="EC476" i="1"/>
  <c r="ED476" i="1"/>
  <c r="EE476" i="1"/>
  <c r="EF476" i="1"/>
  <c r="EG476" i="1"/>
  <c r="DX477" i="1"/>
  <c r="DY477" i="1"/>
  <c r="DZ477" i="1"/>
  <c r="EA477" i="1"/>
  <c r="EB477" i="1"/>
  <c r="EC477" i="1"/>
  <c r="ED477" i="1"/>
  <c r="EE477" i="1"/>
  <c r="EF477" i="1"/>
  <c r="EG477" i="1"/>
  <c r="DX478" i="1"/>
  <c r="DY478" i="1"/>
  <c r="DZ478" i="1"/>
  <c r="EA478" i="1"/>
  <c r="EB478" i="1"/>
  <c r="EC478" i="1"/>
  <c r="ED478" i="1"/>
  <c r="EE478" i="1"/>
  <c r="EF478" i="1"/>
  <c r="EG478" i="1"/>
  <c r="DX479" i="1"/>
  <c r="DY479" i="1"/>
  <c r="DZ479" i="1"/>
  <c r="EA479" i="1"/>
  <c r="EB479" i="1"/>
  <c r="EC479" i="1"/>
  <c r="ED479" i="1"/>
  <c r="EE479" i="1"/>
  <c r="EF479" i="1"/>
  <c r="EG479" i="1"/>
  <c r="DX480" i="1"/>
  <c r="DY480" i="1"/>
  <c r="DZ480" i="1"/>
  <c r="EA480" i="1"/>
  <c r="EB480" i="1"/>
  <c r="EC480" i="1"/>
  <c r="ED480" i="1"/>
  <c r="EE480" i="1"/>
  <c r="EF480" i="1"/>
  <c r="EG480" i="1"/>
  <c r="DX481" i="1"/>
  <c r="DY481" i="1"/>
  <c r="DZ481" i="1"/>
  <c r="EA481" i="1"/>
  <c r="EB481" i="1"/>
  <c r="EC481" i="1"/>
  <c r="ED481" i="1"/>
  <c r="EE481" i="1"/>
  <c r="EF481" i="1"/>
  <c r="EG481" i="1"/>
  <c r="DX482" i="1"/>
  <c r="DY482" i="1"/>
  <c r="DZ482" i="1"/>
  <c r="EA482" i="1"/>
  <c r="EB482" i="1"/>
  <c r="EC482" i="1"/>
  <c r="ED482" i="1"/>
  <c r="EE482" i="1"/>
  <c r="EF482" i="1"/>
  <c r="EG482" i="1"/>
  <c r="DX483" i="1"/>
  <c r="DY483" i="1"/>
  <c r="DZ483" i="1"/>
  <c r="EA483" i="1"/>
  <c r="EB483" i="1"/>
  <c r="EC483" i="1"/>
  <c r="ED483" i="1"/>
  <c r="EE483" i="1"/>
  <c r="EF483" i="1"/>
  <c r="EG483" i="1"/>
  <c r="DX484" i="1"/>
  <c r="DY484" i="1"/>
  <c r="DZ484" i="1"/>
  <c r="EA484" i="1"/>
  <c r="EB484" i="1"/>
  <c r="EC484" i="1"/>
  <c r="ED484" i="1"/>
  <c r="EE484" i="1"/>
  <c r="EF484" i="1"/>
  <c r="EG484" i="1"/>
  <c r="DX485" i="1"/>
  <c r="DY485" i="1"/>
  <c r="DZ485" i="1"/>
  <c r="EA485" i="1"/>
  <c r="EB485" i="1"/>
  <c r="EC485" i="1"/>
  <c r="ED485" i="1"/>
  <c r="EE485" i="1"/>
  <c r="EF485" i="1"/>
  <c r="EG485" i="1"/>
  <c r="DX486" i="1"/>
  <c r="DY486" i="1"/>
  <c r="DZ486" i="1"/>
  <c r="EA486" i="1"/>
  <c r="EB486" i="1"/>
  <c r="EC486" i="1"/>
  <c r="ED486" i="1"/>
  <c r="EE486" i="1"/>
  <c r="EF486" i="1"/>
  <c r="EG486" i="1"/>
  <c r="DX487" i="1"/>
  <c r="DY487" i="1"/>
  <c r="DZ487" i="1"/>
  <c r="EA487" i="1"/>
  <c r="EB487" i="1"/>
  <c r="EC487" i="1"/>
  <c r="ED487" i="1"/>
  <c r="EE487" i="1"/>
  <c r="EF487" i="1"/>
  <c r="EG487" i="1"/>
  <c r="DX488" i="1"/>
  <c r="DY488" i="1"/>
  <c r="DZ488" i="1"/>
  <c r="EA488" i="1"/>
  <c r="EB488" i="1"/>
  <c r="EC488" i="1"/>
  <c r="ED488" i="1"/>
  <c r="EE488" i="1"/>
  <c r="EF488" i="1"/>
  <c r="EG488" i="1"/>
  <c r="DX489" i="1"/>
  <c r="DY489" i="1"/>
  <c r="DZ489" i="1"/>
  <c r="EA489" i="1"/>
  <c r="EB489" i="1"/>
  <c r="EC489" i="1"/>
  <c r="ED489" i="1"/>
  <c r="EE489" i="1"/>
  <c r="EF489" i="1"/>
  <c r="EG489" i="1"/>
  <c r="DX490" i="1"/>
  <c r="DY490" i="1"/>
  <c r="DZ490" i="1"/>
  <c r="EA490" i="1"/>
  <c r="EB490" i="1"/>
  <c r="EC490" i="1"/>
  <c r="ED490" i="1"/>
  <c r="EE490" i="1"/>
  <c r="EF490" i="1"/>
  <c r="EG490" i="1"/>
  <c r="DX491" i="1"/>
  <c r="DY491" i="1"/>
  <c r="DZ491" i="1"/>
  <c r="EA491" i="1"/>
  <c r="EB491" i="1"/>
  <c r="EC491" i="1"/>
  <c r="ED491" i="1"/>
  <c r="EE491" i="1"/>
  <c r="EF491" i="1"/>
  <c r="EG491" i="1"/>
  <c r="DX492" i="1"/>
  <c r="DY492" i="1"/>
  <c r="DZ492" i="1"/>
  <c r="EA492" i="1"/>
  <c r="EB492" i="1"/>
  <c r="EC492" i="1"/>
  <c r="ED492" i="1"/>
  <c r="EE492" i="1"/>
  <c r="EF492" i="1"/>
  <c r="EG492" i="1"/>
  <c r="DX493" i="1"/>
  <c r="DY493" i="1"/>
  <c r="DZ493" i="1"/>
  <c r="EA493" i="1"/>
  <c r="EB493" i="1"/>
  <c r="EC493" i="1"/>
  <c r="ED493" i="1"/>
  <c r="EE493" i="1"/>
  <c r="EF493" i="1"/>
  <c r="EG493" i="1"/>
  <c r="DX494" i="1"/>
  <c r="DY494" i="1"/>
  <c r="DZ494" i="1"/>
  <c r="EA494" i="1"/>
  <c r="EB494" i="1"/>
  <c r="EC494" i="1"/>
  <c r="ED494" i="1"/>
  <c r="EE494" i="1"/>
  <c r="EF494" i="1"/>
  <c r="EG494" i="1"/>
  <c r="DX495" i="1"/>
  <c r="DY495" i="1"/>
  <c r="DZ495" i="1"/>
  <c r="EA495" i="1"/>
  <c r="EB495" i="1"/>
  <c r="EC495" i="1"/>
  <c r="ED495" i="1"/>
  <c r="EE495" i="1"/>
  <c r="EF495" i="1"/>
  <c r="EG495" i="1"/>
  <c r="DX496" i="1"/>
  <c r="DY496" i="1"/>
  <c r="DZ496" i="1"/>
  <c r="EA496" i="1"/>
  <c r="EB496" i="1"/>
  <c r="EC496" i="1"/>
  <c r="ED496" i="1"/>
  <c r="EE496" i="1"/>
  <c r="EF496" i="1"/>
  <c r="EG496" i="1"/>
  <c r="DX497" i="1"/>
  <c r="DY497" i="1"/>
  <c r="DZ497" i="1"/>
  <c r="EA497" i="1"/>
  <c r="EB497" i="1"/>
  <c r="EC497" i="1"/>
  <c r="ED497" i="1"/>
  <c r="EE497" i="1"/>
  <c r="EF497" i="1"/>
  <c r="EG497" i="1"/>
  <c r="DX498" i="1"/>
  <c r="DY498" i="1"/>
  <c r="DZ498" i="1"/>
  <c r="EA498" i="1"/>
  <c r="EB498" i="1"/>
  <c r="EC498" i="1"/>
  <c r="ED498" i="1"/>
  <c r="EE498" i="1"/>
  <c r="EF498" i="1"/>
  <c r="EG498" i="1"/>
  <c r="DX499" i="1"/>
  <c r="DY499" i="1"/>
  <c r="DZ499" i="1"/>
  <c r="EA499" i="1"/>
  <c r="EB499" i="1"/>
  <c r="EC499" i="1"/>
  <c r="ED499" i="1"/>
  <c r="EE499" i="1"/>
  <c r="EF499" i="1"/>
  <c r="EG499" i="1"/>
  <c r="DX500" i="1"/>
  <c r="DY500" i="1"/>
  <c r="DZ500" i="1"/>
  <c r="EA500" i="1"/>
  <c r="EB500" i="1"/>
  <c r="EC500" i="1"/>
  <c r="ED500" i="1"/>
  <c r="EE500" i="1"/>
  <c r="EF500" i="1"/>
  <c r="EG500" i="1"/>
  <c r="DX501" i="1"/>
  <c r="DY501" i="1"/>
  <c r="DZ501" i="1"/>
  <c r="EA501" i="1"/>
  <c r="EB501" i="1"/>
  <c r="EC501" i="1"/>
  <c r="ED501" i="1"/>
  <c r="EE501" i="1"/>
  <c r="EF501" i="1"/>
  <c r="EG501" i="1"/>
  <c r="DX502" i="1"/>
  <c r="DY502" i="1"/>
  <c r="DZ502" i="1"/>
  <c r="EA502" i="1"/>
  <c r="EB502" i="1"/>
  <c r="EC502" i="1"/>
  <c r="ED502" i="1"/>
  <c r="EE502" i="1"/>
  <c r="EF502" i="1"/>
  <c r="EG502" i="1"/>
  <c r="DX503" i="1"/>
  <c r="DY503" i="1"/>
  <c r="DZ503" i="1"/>
  <c r="EA503" i="1"/>
  <c r="EB503" i="1"/>
  <c r="EC503" i="1"/>
  <c r="ED503" i="1"/>
  <c r="EE503" i="1"/>
  <c r="EF503" i="1"/>
  <c r="EG503" i="1"/>
  <c r="DX504" i="1"/>
  <c r="DY504" i="1"/>
  <c r="DZ504" i="1"/>
  <c r="EA504" i="1"/>
  <c r="EB504" i="1"/>
  <c r="EC504" i="1"/>
  <c r="ED504" i="1"/>
  <c r="EE504" i="1"/>
  <c r="EF504" i="1"/>
  <c r="EG504" i="1"/>
  <c r="DX505" i="1"/>
  <c r="DY505" i="1"/>
  <c r="DZ505" i="1"/>
  <c r="EA505" i="1"/>
  <c r="EB505" i="1"/>
  <c r="EC505" i="1"/>
  <c r="ED505" i="1"/>
  <c r="EE505" i="1"/>
  <c r="EF505" i="1"/>
  <c r="EG505" i="1"/>
  <c r="DX506" i="1"/>
  <c r="DY506" i="1"/>
  <c r="DZ506" i="1"/>
  <c r="EA506" i="1"/>
  <c r="EB506" i="1"/>
  <c r="EC506" i="1"/>
  <c r="ED506" i="1"/>
  <c r="EE506" i="1"/>
  <c r="EF506" i="1"/>
  <c r="EG506" i="1"/>
  <c r="DX507" i="1"/>
  <c r="DY507" i="1"/>
  <c r="DZ507" i="1"/>
  <c r="EA507" i="1"/>
  <c r="EB507" i="1"/>
  <c r="EC507" i="1"/>
  <c r="ED507" i="1"/>
  <c r="EE507" i="1"/>
  <c r="EF507" i="1"/>
  <c r="EG507" i="1"/>
  <c r="DX508" i="1"/>
  <c r="DY508" i="1"/>
  <c r="DZ508" i="1"/>
  <c r="EA508" i="1"/>
  <c r="EB508" i="1"/>
  <c r="EC508" i="1"/>
  <c r="ED508" i="1"/>
  <c r="EE508" i="1"/>
  <c r="EF508" i="1"/>
  <c r="EG508" i="1"/>
  <c r="DX509" i="1"/>
  <c r="DY509" i="1"/>
  <c r="DZ509" i="1"/>
  <c r="EA509" i="1"/>
  <c r="EB509" i="1"/>
  <c r="EC509" i="1"/>
  <c r="ED509" i="1"/>
  <c r="EE509" i="1"/>
  <c r="EF509" i="1"/>
  <c r="EG509" i="1"/>
  <c r="DX510" i="1"/>
  <c r="DY510" i="1"/>
  <c r="DZ510" i="1"/>
  <c r="EA510" i="1"/>
  <c r="EB510" i="1"/>
  <c r="EC510" i="1"/>
  <c r="ED510" i="1"/>
  <c r="EE510" i="1"/>
  <c r="EF510" i="1"/>
  <c r="EG510" i="1"/>
  <c r="DX511" i="1"/>
  <c r="DY511" i="1"/>
  <c r="DZ511" i="1"/>
  <c r="EA511" i="1"/>
  <c r="EB511" i="1"/>
  <c r="EC511" i="1"/>
  <c r="ED511" i="1"/>
  <c r="EE511" i="1"/>
  <c r="EF511" i="1"/>
  <c r="EG511" i="1"/>
  <c r="DX512" i="1"/>
  <c r="DY512" i="1"/>
  <c r="DZ512" i="1"/>
  <c r="EA512" i="1"/>
  <c r="EB512" i="1"/>
  <c r="EC512" i="1"/>
  <c r="ED512" i="1"/>
  <c r="EE512" i="1"/>
  <c r="EF512" i="1"/>
  <c r="EG512" i="1"/>
  <c r="DX513" i="1"/>
  <c r="DY513" i="1"/>
  <c r="DZ513" i="1"/>
  <c r="EA513" i="1"/>
  <c r="EB513" i="1"/>
  <c r="EC513" i="1"/>
  <c r="ED513" i="1"/>
  <c r="EE513" i="1"/>
  <c r="EF513" i="1"/>
  <c r="EG513" i="1"/>
  <c r="DX514" i="1"/>
  <c r="DY514" i="1"/>
  <c r="DZ514" i="1"/>
  <c r="EA514" i="1"/>
  <c r="EB514" i="1"/>
  <c r="EC514" i="1"/>
  <c r="ED514" i="1"/>
  <c r="EE514" i="1"/>
  <c r="EF514" i="1"/>
  <c r="EG514" i="1"/>
  <c r="DX515" i="1"/>
  <c r="DY515" i="1"/>
  <c r="DZ515" i="1"/>
  <c r="EA515" i="1"/>
  <c r="EB515" i="1"/>
  <c r="EC515" i="1"/>
  <c r="ED515" i="1"/>
  <c r="EE515" i="1"/>
  <c r="EF515" i="1"/>
  <c r="EG515" i="1"/>
  <c r="DX516" i="1"/>
  <c r="DY516" i="1"/>
  <c r="DZ516" i="1"/>
  <c r="EA516" i="1"/>
  <c r="EB516" i="1"/>
  <c r="EC516" i="1"/>
  <c r="ED516" i="1"/>
  <c r="EE516" i="1"/>
  <c r="EF516" i="1"/>
  <c r="EG516" i="1"/>
  <c r="DX517" i="1"/>
  <c r="DY517" i="1"/>
  <c r="DZ517" i="1"/>
  <c r="EA517" i="1"/>
  <c r="EB517" i="1"/>
  <c r="EC517" i="1"/>
  <c r="ED517" i="1"/>
  <c r="EE517" i="1"/>
  <c r="EF517" i="1"/>
  <c r="EG517" i="1"/>
  <c r="DX518" i="1"/>
  <c r="DY518" i="1"/>
  <c r="DZ518" i="1"/>
  <c r="EA518" i="1"/>
  <c r="EB518" i="1"/>
  <c r="EC518" i="1"/>
  <c r="ED518" i="1"/>
  <c r="EE518" i="1"/>
  <c r="EF518" i="1"/>
  <c r="EG518" i="1"/>
  <c r="DX519" i="1"/>
  <c r="DY519" i="1"/>
  <c r="DZ519" i="1"/>
  <c r="EA519" i="1"/>
  <c r="EB519" i="1"/>
  <c r="EC519" i="1"/>
  <c r="ED519" i="1"/>
  <c r="EE519" i="1"/>
  <c r="EF519" i="1"/>
  <c r="EG519" i="1"/>
  <c r="DX520" i="1"/>
  <c r="DY520" i="1"/>
  <c r="DZ520" i="1"/>
  <c r="EA520" i="1"/>
  <c r="EB520" i="1"/>
  <c r="EC520" i="1"/>
  <c r="ED520" i="1"/>
  <c r="EE520" i="1"/>
  <c r="EF520" i="1"/>
  <c r="EG520" i="1"/>
  <c r="DX521" i="1"/>
  <c r="DY521" i="1"/>
  <c r="DZ521" i="1"/>
  <c r="EA521" i="1"/>
  <c r="EB521" i="1"/>
  <c r="EC521" i="1"/>
  <c r="ED521" i="1"/>
  <c r="EE521" i="1"/>
  <c r="EF521" i="1"/>
  <c r="EG521" i="1"/>
  <c r="DX522" i="1"/>
  <c r="DY522" i="1"/>
  <c r="DZ522" i="1"/>
  <c r="EA522" i="1"/>
  <c r="EB522" i="1"/>
  <c r="EC522" i="1"/>
  <c r="ED522" i="1"/>
  <c r="EE522" i="1"/>
  <c r="EF522" i="1"/>
  <c r="EG522" i="1"/>
  <c r="DX523" i="1"/>
  <c r="DY523" i="1"/>
  <c r="DZ523" i="1"/>
  <c r="EA523" i="1"/>
  <c r="EB523" i="1"/>
  <c r="EC523" i="1"/>
  <c r="ED523" i="1"/>
  <c r="EE523" i="1"/>
  <c r="EF523" i="1"/>
  <c r="EG523" i="1"/>
  <c r="DX524" i="1"/>
  <c r="DY524" i="1"/>
  <c r="DZ524" i="1"/>
  <c r="EA524" i="1"/>
  <c r="EB524" i="1"/>
  <c r="EC524" i="1"/>
  <c r="ED524" i="1"/>
  <c r="EE524" i="1"/>
  <c r="EF524" i="1"/>
  <c r="EG524" i="1"/>
  <c r="DX525" i="1"/>
  <c r="DY525" i="1"/>
  <c r="DZ525" i="1"/>
  <c r="EA525" i="1"/>
  <c r="EB525" i="1"/>
  <c r="EC525" i="1"/>
  <c r="ED525" i="1"/>
  <c r="EE525" i="1"/>
  <c r="EF525" i="1"/>
  <c r="EG525" i="1"/>
  <c r="DX526" i="1"/>
  <c r="DY526" i="1"/>
  <c r="DZ526" i="1"/>
  <c r="EA526" i="1"/>
  <c r="EB526" i="1"/>
  <c r="EC526" i="1"/>
  <c r="ED526" i="1"/>
  <c r="EE526" i="1"/>
  <c r="EF526" i="1"/>
  <c r="EG526" i="1"/>
  <c r="DX527" i="1"/>
  <c r="DY527" i="1"/>
  <c r="DZ527" i="1"/>
  <c r="EA527" i="1"/>
  <c r="EB527" i="1"/>
  <c r="EC527" i="1"/>
  <c r="ED527" i="1"/>
  <c r="EE527" i="1"/>
  <c r="EF527" i="1"/>
  <c r="EG527" i="1"/>
  <c r="DX528" i="1"/>
  <c r="DY528" i="1"/>
  <c r="DZ528" i="1"/>
  <c r="EA528" i="1"/>
  <c r="EB528" i="1"/>
  <c r="EC528" i="1"/>
  <c r="ED528" i="1"/>
  <c r="EE528" i="1"/>
  <c r="EF528" i="1"/>
  <c r="EG528" i="1"/>
  <c r="DX529" i="1"/>
  <c r="DY529" i="1"/>
  <c r="DZ529" i="1"/>
  <c r="EA529" i="1"/>
  <c r="EB529" i="1"/>
  <c r="EC529" i="1"/>
  <c r="ED529" i="1"/>
  <c r="EE529" i="1"/>
  <c r="EF529" i="1"/>
  <c r="EG529" i="1"/>
  <c r="DX530" i="1"/>
  <c r="DY530" i="1"/>
  <c r="DZ530" i="1"/>
  <c r="EA530" i="1"/>
  <c r="EB530" i="1"/>
  <c r="EC530" i="1"/>
  <c r="ED530" i="1"/>
  <c r="EE530" i="1"/>
  <c r="EF530" i="1"/>
  <c r="EG530" i="1"/>
  <c r="DX531" i="1"/>
  <c r="DY531" i="1"/>
  <c r="DZ531" i="1"/>
  <c r="EA531" i="1"/>
  <c r="EB531" i="1"/>
  <c r="EC531" i="1"/>
  <c r="ED531" i="1"/>
  <c r="EE531" i="1"/>
  <c r="EF531" i="1"/>
  <c r="EG531" i="1"/>
  <c r="DX532" i="1"/>
  <c r="DY532" i="1"/>
  <c r="DZ532" i="1"/>
  <c r="EA532" i="1"/>
  <c r="EB532" i="1"/>
  <c r="EC532" i="1"/>
  <c r="ED532" i="1"/>
  <c r="EE532" i="1"/>
  <c r="EF532" i="1"/>
  <c r="EG532" i="1"/>
  <c r="DX533" i="1"/>
  <c r="DY533" i="1"/>
  <c r="DZ533" i="1"/>
  <c r="EA533" i="1"/>
  <c r="EB533" i="1"/>
  <c r="EC533" i="1"/>
  <c r="ED533" i="1"/>
  <c r="EE533" i="1"/>
  <c r="EF533" i="1"/>
  <c r="EG533" i="1"/>
  <c r="DX534" i="1"/>
  <c r="DY534" i="1"/>
  <c r="DZ534" i="1"/>
  <c r="EA534" i="1"/>
  <c r="EB534" i="1"/>
  <c r="EC534" i="1"/>
  <c r="ED534" i="1"/>
  <c r="EE534" i="1"/>
  <c r="EF534" i="1"/>
  <c r="EG534" i="1"/>
  <c r="DX535" i="1"/>
  <c r="DY535" i="1"/>
  <c r="DZ535" i="1"/>
  <c r="EA535" i="1"/>
  <c r="EB535" i="1"/>
  <c r="EC535" i="1"/>
  <c r="ED535" i="1"/>
  <c r="EE535" i="1"/>
  <c r="EF535" i="1"/>
  <c r="EG535" i="1"/>
  <c r="DX536" i="1"/>
  <c r="DY536" i="1"/>
  <c r="DZ536" i="1"/>
  <c r="EA536" i="1"/>
  <c r="EB536" i="1"/>
  <c r="EC536" i="1"/>
  <c r="ED536" i="1"/>
  <c r="EE536" i="1"/>
  <c r="EF536" i="1"/>
  <c r="EG536" i="1"/>
  <c r="DX537" i="1"/>
  <c r="DY537" i="1"/>
  <c r="DZ537" i="1"/>
  <c r="EA537" i="1"/>
  <c r="EB537" i="1"/>
  <c r="EC537" i="1"/>
  <c r="ED537" i="1"/>
  <c r="EE537" i="1"/>
  <c r="EF537" i="1"/>
  <c r="EG537" i="1"/>
  <c r="DX538" i="1"/>
  <c r="DY538" i="1"/>
  <c r="DZ538" i="1"/>
  <c r="EA538" i="1"/>
  <c r="EB538" i="1"/>
  <c r="EC538" i="1"/>
  <c r="ED538" i="1"/>
  <c r="EE538" i="1"/>
  <c r="EF538" i="1"/>
  <c r="EG538" i="1"/>
  <c r="DX539" i="1"/>
  <c r="DY539" i="1"/>
  <c r="DZ539" i="1"/>
  <c r="EA539" i="1"/>
  <c r="EB539" i="1"/>
  <c r="EC539" i="1"/>
  <c r="ED539" i="1"/>
  <c r="EE539" i="1"/>
  <c r="EF539" i="1"/>
  <c r="EG539" i="1"/>
  <c r="DX540" i="1"/>
  <c r="DY540" i="1"/>
  <c r="DZ540" i="1"/>
  <c r="EA540" i="1"/>
  <c r="EB540" i="1"/>
  <c r="EC540" i="1"/>
  <c r="ED540" i="1"/>
  <c r="EE540" i="1"/>
  <c r="EF540" i="1"/>
  <c r="EG540" i="1"/>
  <c r="DX541" i="1"/>
  <c r="DY541" i="1"/>
  <c r="DZ541" i="1"/>
  <c r="EA541" i="1"/>
  <c r="EB541" i="1"/>
  <c r="EC541" i="1"/>
  <c r="ED541" i="1"/>
  <c r="EE541" i="1"/>
  <c r="EF541" i="1"/>
  <c r="EG541" i="1"/>
  <c r="DX542" i="1"/>
  <c r="DY542" i="1"/>
  <c r="DZ542" i="1"/>
  <c r="EA542" i="1"/>
  <c r="EB542" i="1"/>
  <c r="EC542" i="1"/>
  <c r="ED542" i="1"/>
  <c r="EE542" i="1"/>
  <c r="EF542" i="1"/>
  <c r="EG542" i="1"/>
  <c r="DX543" i="1"/>
  <c r="DY543" i="1"/>
  <c r="DZ543" i="1"/>
  <c r="EA543" i="1"/>
  <c r="EB543" i="1"/>
  <c r="EC543" i="1"/>
  <c r="ED543" i="1"/>
  <c r="EE543" i="1"/>
  <c r="EF543" i="1"/>
  <c r="EG543" i="1"/>
  <c r="DX544" i="1"/>
  <c r="DY544" i="1"/>
  <c r="DZ544" i="1"/>
  <c r="EA544" i="1"/>
  <c r="EB544" i="1"/>
  <c r="EC544" i="1"/>
  <c r="ED544" i="1"/>
  <c r="EE544" i="1"/>
  <c r="EF544" i="1"/>
  <c r="EG544" i="1"/>
  <c r="DX545" i="1"/>
  <c r="DY545" i="1"/>
  <c r="DZ545" i="1"/>
  <c r="EA545" i="1"/>
  <c r="EB545" i="1"/>
  <c r="EC545" i="1"/>
  <c r="ED545" i="1"/>
  <c r="EE545" i="1"/>
  <c r="EF545" i="1"/>
  <c r="EG545" i="1"/>
  <c r="DX546" i="1"/>
  <c r="DY546" i="1"/>
  <c r="DZ546" i="1"/>
  <c r="EA546" i="1"/>
  <c r="EB546" i="1"/>
  <c r="EC546" i="1"/>
  <c r="ED546" i="1"/>
  <c r="EE546" i="1"/>
  <c r="EF546" i="1"/>
  <c r="EG546" i="1"/>
  <c r="DX547" i="1"/>
  <c r="DY547" i="1"/>
  <c r="DZ547" i="1"/>
  <c r="EA547" i="1"/>
  <c r="EB547" i="1"/>
  <c r="EC547" i="1"/>
  <c r="ED547" i="1"/>
  <c r="EE547" i="1"/>
  <c r="EF547" i="1"/>
  <c r="EG547" i="1"/>
  <c r="DX548" i="1"/>
  <c r="DY548" i="1"/>
  <c r="DZ548" i="1"/>
  <c r="EA548" i="1"/>
  <c r="EB548" i="1"/>
  <c r="EC548" i="1"/>
  <c r="ED548" i="1"/>
  <c r="EE548" i="1"/>
  <c r="EF548" i="1"/>
  <c r="EG548" i="1"/>
  <c r="DX549" i="1"/>
  <c r="DY549" i="1"/>
  <c r="DZ549" i="1"/>
  <c r="EA549" i="1"/>
  <c r="EB549" i="1"/>
  <c r="EC549" i="1"/>
  <c r="ED549" i="1"/>
  <c r="EE549" i="1"/>
  <c r="EF549" i="1"/>
  <c r="EG549" i="1"/>
  <c r="DX550" i="1"/>
  <c r="DY550" i="1"/>
  <c r="DZ550" i="1"/>
  <c r="EA550" i="1"/>
  <c r="EB550" i="1"/>
  <c r="EC550" i="1"/>
  <c r="ED550" i="1"/>
  <c r="EE550" i="1"/>
  <c r="EF550" i="1"/>
  <c r="EG550" i="1"/>
  <c r="DX551" i="1"/>
  <c r="DY551" i="1"/>
  <c r="DZ551" i="1"/>
  <c r="EA551" i="1"/>
  <c r="EB551" i="1"/>
  <c r="EC551" i="1"/>
  <c r="ED551" i="1"/>
  <c r="EE551" i="1"/>
  <c r="EF551" i="1"/>
  <c r="EG551" i="1"/>
  <c r="DX552" i="1"/>
  <c r="DY552" i="1"/>
  <c r="DZ552" i="1"/>
  <c r="EA552" i="1"/>
  <c r="EB552" i="1"/>
  <c r="EC552" i="1"/>
  <c r="ED552" i="1"/>
  <c r="EE552" i="1"/>
  <c r="EF552" i="1"/>
  <c r="EG552" i="1"/>
  <c r="DX553" i="1"/>
  <c r="DY553" i="1"/>
  <c r="DZ553" i="1"/>
  <c r="EA553" i="1"/>
  <c r="EB553" i="1"/>
  <c r="EC553" i="1"/>
  <c r="ED553" i="1"/>
  <c r="EE553" i="1"/>
  <c r="EF553" i="1"/>
  <c r="EG553" i="1"/>
  <c r="DX554" i="1"/>
  <c r="DY554" i="1"/>
  <c r="DZ554" i="1"/>
  <c r="EA554" i="1"/>
  <c r="EB554" i="1"/>
  <c r="EC554" i="1"/>
  <c r="ED554" i="1"/>
  <c r="EE554" i="1"/>
  <c r="EF554" i="1"/>
  <c r="EG554" i="1"/>
  <c r="DX555" i="1"/>
  <c r="DY555" i="1"/>
  <c r="DZ555" i="1"/>
  <c r="EA555" i="1"/>
  <c r="EB555" i="1"/>
  <c r="EC555" i="1"/>
  <c r="ED555" i="1"/>
  <c r="EE555" i="1"/>
  <c r="EF555" i="1"/>
  <c r="EG555" i="1"/>
  <c r="DX556" i="1"/>
  <c r="DY556" i="1"/>
  <c r="DZ556" i="1"/>
  <c r="EA556" i="1"/>
  <c r="EB556" i="1"/>
  <c r="EC556" i="1"/>
  <c r="ED556" i="1"/>
  <c r="EE556" i="1"/>
  <c r="EF556" i="1"/>
  <c r="EG556" i="1"/>
  <c r="DX557" i="1"/>
  <c r="DY557" i="1"/>
  <c r="DZ557" i="1"/>
  <c r="EA557" i="1"/>
  <c r="EB557" i="1"/>
  <c r="EC557" i="1"/>
  <c r="ED557" i="1"/>
  <c r="EE557" i="1"/>
  <c r="EF557" i="1"/>
  <c r="EG557" i="1"/>
  <c r="DX558" i="1"/>
  <c r="DY558" i="1"/>
  <c r="DZ558" i="1"/>
  <c r="EA558" i="1"/>
  <c r="EB558" i="1"/>
  <c r="EC558" i="1"/>
  <c r="ED558" i="1"/>
  <c r="EE558" i="1"/>
  <c r="EF558" i="1"/>
  <c r="EG558" i="1"/>
  <c r="DX559" i="1"/>
  <c r="DY559" i="1"/>
  <c r="DZ559" i="1"/>
  <c r="EA559" i="1"/>
  <c r="EB559" i="1"/>
  <c r="EC559" i="1"/>
  <c r="ED559" i="1"/>
  <c r="EE559" i="1"/>
  <c r="EF559" i="1"/>
  <c r="EG559" i="1"/>
  <c r="DX560" i="1"/>
  <c r="DY560" i="1"/>
  <c r="DZ560" i="1"/>
  <c r="EA560" i="1"/>
  <c r="EB560" i="1"/>
  <c r="EC560" i="1"/>
  <c r="ED560" i="1"/>
  <c r="EE560" i="1"/>
  <c r="EF560" i="1"/>
  <c r="EG560" i="1"/>
  <c r="DX561" i="1"/>
  <c r="DY561" i="1"/>
  <c r="DZ561" i="1"/>
  <c r="EA561" i="1"/>
  <c r="EB561" i="1"/>
  <c r="EC561" i="1"/>
  <c r="ED561" i="1"/>
  <c r="EE561" i="1"/>
  <c r="EF561" i="1"/>
  <c r="EG561" i="1"/>
  <c r="DX562" i="1"/>
  <c r="DY562" i="1"/>
  <c r="DZ562" i="1"/>
  <c r="EA562" i="1"/>
  <c r="EB562" i="1"/>
  <c r="EC562" i="1"/>
  <c r="ED562" i="1"/>
  <c r="EE562" i="1"/>
  <c r="EF562" i="1"/>
  <c r="EG562" i="1"/>
  <c r="DX563" i="1"/>
  <c r="DY563" i="1"/>
  <c r="DZ563" i="1"/>
  <c r="EA563" i="1"/>
  <c r="EB563" i="1"/>
  <c r="EC563" i="1"/>
  <c r="ED563" i="1"/>
  <c r="EE563" i="1"/>
  <c r="EF563" i="1"/>
  <c r="EG563" i="1"/>
  <c r="DX564" i="1"/>
  <c r="DY564" i="1"/>
  <c r="DZ564" i="1"/>
  <c r="EA564" i="1"/>
  <c r="EB564" i="1"/>
  <c r="EC564" i="1"/>
  <c r="ED564" i="1"/>
  <c r="EE564" i="1"/>
  <c r="EF564" i="1"/>
  <c r="EG564" i="1"/>
  <c r="DX565" i="1"/>
  <c r="DY565" i="1"/>
  <c r="DZ565" i="1"/>
  <c r="EA565" i="1"/>
  <c r="EB565" i="1"/>
  <c r="EC565" i="1"/>
  <c r="ED565" i="1"/>
  <c r="EE565" i="1"/>
  <c r="EF565" i="1"/>
  <c r="EG565" i="1"/>
  <c r="DX566" i="1"/>
  <c r="DY566" i="1"/>
  <c r="DZ566" i="1"/>
  <c r="EA566" i="1"/>
  <c r="EB566" i="1"/>
  <c r="EC566" i="1"/>
  <c r="ED566" i="1"/>
  <c r="EE566" i="1"/>
  <c r="EF566" i="1"/>
  <c r="EG566" i="1"/>
  <c r="DX567" i="1"/>
  <c r="DY567" i="1"/>
  <c r="DZ567" i="1"/>
  <c r="EA567" i="1"/>
  <c r="EB567" i="1"/>
  <c r="EC567" i="1"/>
  <c r="ED567" i="1"/>
  <c r="EE567" i="1"/>
  <c r="EF567" i="1"/>
  <c r="EG567" i="1"/>
  <c r="DX568" i="1"/>
  <c r="DY568" i="1"/>
  <c r="DZ568" i="1"/>
  <c r="EA568" i="1"/>
  <c r="EB568" i="1"/>
  <c r="EC568" i="1"/>
  <c r="ED568" i="1"/>
  <c r="EE568" i="1"/>
  <c r="EF568" i="1"/>
  <c r="EG568" i="1"/>
  <c r="DX569" i="1"/>
  <c r="DY569" i="1"/>
  <c r="DZ569" i="1"/>
  <c r="EA569" i="1"/>
  <c r="EB569" i="1"/>
  <c r="EC569" i="1"/>
  <c r="ED569" i="1"/>
  <c r="EE569" i="1"/>
  <c r="EF569" i="1"/>
  <c r="EG569" i="1"/>
  <c r="DX570" i="1"/>
  <c r="DY570" i="1"/>
  <c r="DZ570" i="1"/>
  <c r="EA570" i="1"/>
  <c r="EB570" i="1"/>
  <c r="EC570" i="1"/>
  <c r="ED570" i="1"/>
  <c r="EE570" i="1"/>
  <c r="EF570" i="1"/>
  <c r="EG570" i="1"/>
  <c r="DX571" i="1"/>
  <c r="DY571" i="1"/>
  <c r="DZ571" i="1"/>
  <c r="EA571" i="1"/>
  <c r="EB571" i="1"/>
  <c r="EC571" i="1"/>
  <c r="ED571" i="1"/>
  <c r="EE571" i="1"/>
  <c r="EF571" i="1"/>
  <c r="EG571" i="1"/>
  <c r="DX572" i="1"/>
  <c r="DY572" i="1"/>
  <c r="DZ572" i="1"/>
  <c r="EA572" i="1"/>
  <c r="EB572" i="1"/>
  <c r="EC572" i="1"/>
  <c r="ED572" i="1"/>
  <c r="EE572" i="1"/>
  <c r="EF572" i="1"/>
  <c r="EG572" i="1"/>
  <c r="DX573" i="1"/>
  <c r="DY573" i="1"/>
  <c r="DZ573" i="1"/>
  <c r="EA573" i="1"/>
  <c r="EB573" i="1"/>
  <c r="EC573" i="1"/>
  <c r="ED573" i="1"/>
  <c r="EE573" i="1"/>
  <c r="EF573" i="1"/>
  <c r="EG573" i="1"/>
  <c r="DX574" i="1"/>
  <c r="DY574" i="1"/>
  <c r="DZ574" i="1"/>
  <c r="EA574" i="1"/>
  <c r="EB574" i="1"/>
  <c r="EC574" i="1"/>
  <c r="ED574" i="1"/>
  <c r="EE574" i="1"/>
  <c r="EF574" i="1"/>
  <c r="EG574" i="1"/>
  <c r="DX575" i="1"/>
  <c r="DY575" i="1"/>
  <c r="DZ575" i="1"/>
  <c r="EA575" i="1"/>
  <c r="EB575" i="1"/>
  <c r="EC575" i="1"/>
  <c r="ED575" i="1"/>
  <c r="EE575" i="1"/>
  <c r="EF575" i="1"/>
  <c r="EG575" i="1"/>
  <c r="DX576" i="1"/>
  <c r="DY576" i="1"/>
  <c r="DZ576" i="1"/>
  <c r="EA576" i="1"/>
  <c r="EB576" i="1"/>
  <c r="EC576" i="1"/>
  <c r="ED576" i="1"/>
  <c r="EE576" i="1"/>
  <c r="EF576" i="1"/>
  <c r="EG576" i="1"/>
  <c r="DX577" i="1"/>
  <c r="DY577" i="1"/>
  <c r="DZ577" i="1"/>
  <c r="EA577" i="1"/>
  <c r="EB577" i="1"/>
  <c r="EC577" i="1"/>
  <c r="ED577" i="1"/>
  <c r="EE577" i="1"/>
  <c r="EF577" i="1"/>
  <c r="EG577" i="1"/>
  <c r="DX578" i="1"/>
  <c r="DY578" i="1"/>
  <c r="DZ578" i="1"/>
  <c r="EA578" i="1"/>
  <c r="EB578" i="1"/>
  <c r="EC578" i="1"/>
  <c r="ED578" i="1"/>
  <c r="EE578" i="1"/>
  <c r="EF578" i="1"/>
  <c r="EG578" i="1"/>
  <c r="DX579" i="1"/>
  <c r="DY579" i="1"/>
  <c r="DZ579" i="1"/>
  <c r="EA579" i="1"/>
  <c r="EB579" i="1"/>
  <c r="EC579" i="1"/>
  <c r="ED579" i="1"/>
  <c r="EE579" i="1"/>
  <c r="EF579" i="1"/>
  <c r="EG579" i="1"/>
  <c r="DX580" i="1"/>
  <c r="DY580" i="1"/>
  <c r="DZ580" i="1"/>
  <c r="EA580" i="1"/>
  <c r="EB580" i="1"/>
  <c r="EC580" i="1"/>
  <c r="ED580" i="1"/>
  <c r="EE580" i="1"/>
  <c r="EF580" i="1"/>
  <c r="EG580" i="1"/>
  <c r="DX581" i="1"/>
  <c r="DY581" i="1"/>
  <c r="DZ581" i="1"/>
  <c r="EA581" i="1"/>
  <c r="EB581" i="1"/>
  <c r="EC581" i="1"/>
  <c r="ED581" i="1"/>
  <c r="EE581" i="1"/>
  <c r="EF581" i="1"/>
  <c r="EG581" i="1"/>
  <c r="DX582" i="1"/>
  <c r="DY582" i="1"/>
  <c r="DZ582" i="1"/>
  <c r="EA582" i="1"/>
  <c r="EB582" i="1"/>
  <c r="EC582" i="1"/>
  <c r="ED582" i="1"/>
  <c r="EE582" i="1"/>
  <c r="EF582" i="1"/>
  <c r="EG582" i="1"/>
  <c r="DX583" i="1"/>
  <c r="DY583" i="1"/>
  <c r="DZ583" i="1"/>
  <c r="EA583" i="1"/>
  <c r="EB583" i="1"/>
  <c r="EC583" i="1"/>
  <c r="ED583" i="1"/>
  <c r="EE583" i="1"/>
  <c r="EF583" i="1"/>
  <c r="EG583" i="1"/>
  <c r="DX584" i="1"/>
  <c r="DY584" i="1"/>
  <c r="DZ584" i="1"/>
  <c r="EA584" i="1"/>
  <c r="EB584" i="1"/>
  <c r="EC584" i="1"/>
  <c r="ED584" i="1"/>
  <c r="EE584" i="1"/>
  <c r="EF584" i="1"/>
  <c r="EG584" i="1"/>
  <c r="DX585" i="1"/>
  <c r="DY585" i="1"/>
  <c r="DZ585" i="1"/>
  <c r="EA585" i="1"/>
  <c r="EB585" i="1"/>
  <c r="EC585" i="1"/>
  <c r="ED585" i="1"/>
  <c r="EE585" i="1"/>
  <c r="EF585" i="1"/>
  <c r="EG585" i="1"/>
  <c r="DX586" i="1"/>
  <c r="DY586" i="1"/>
  <c r="DZ586" i="1"/>
  <c r="EA586" i="1"/>
  <c r="EB586" i="1"/>
  <c r="EC586" i="1"/>
  <c r="ED586" i="1"/>
  <c r="EE586" i="1"/>
  <c r="EF586" i="1"/>
  <c r="EG586" i="1"/>
  <c r="DX587" i="1"/>
  <c r="DY587" i="1"/>
  <c r="DZ587" i="1"/>
  <c r="EA587" i="1"/>
  <c r="EB587" i="1"/>
  <c r="EC587" i="1"/>
  <c r="ED587" i="1"/>
  <c r="EE587" i="1"/>
  <c r="EF587" i="1"/>
  <c r="EG587" i="1"/>
  <c r="DX588" i="1"/>
  <c r="DY588" i="1"/>
  <c r="DZ588" i="1"/>
  <c r="EA588" i="1"/>
  <c r="EB588" i="1"/>
  <c r="EC588" i="1"/>
  <c r="ED588" i="1"/>
  <c r="EE588" i="1"/>
  <c r="EF588" i="1"/>
  <c r="EG588" i="1"/>
  <c r="DX589" i="1"/>
  <c r="DY589" i="1"/>
  <c r="DZ589" i="1"/>
  <c r="EA589" i="1"/>
  <c r="EB589" i="1"/>
  <c r="EC589" i="1"/>
  <c r="ED589" i="1"/>
  <c r="EE589" i="1"/>
  <c r="EF589" i="1"/>
  <c r="EG589" i="1"/>
  <c r="DX590" i="1"/>
  <c r="DY590" i="1"/>
  <c r="DZ590" i="1"/>
  <c r="EA590" i="1"/>
  <c r="EB590" i="1"/>
  <c r="EC590" i="1"/>
  <c r="ED590" i="1"/>
  <c r="EE590" i="1"/>
  <c r="EF590" i="1"/>
  <c r="EG590" i="1"/>
  <c r="DX591" i="1"/>
  <c r="DY591" i="1"/>
  <c r="DZ591" i="1"/>
  <c r="EA591" i="1"/>
  <c r="EB591" i="1"/>
  <c r="EC591" i="1"/>
  <c r="ED591" i="1"/>
  <c r="EE591" i="1"/>
  <c r="EF591" i="1"/>
  <c r="EG591" i="1"/>
  <c r="DX592" i="1"/>
  <c r="DY592" i="1"/>
  <c r="DZ592" i="1"/>
  <c r="EA592" i="1"/>
  <c r="EB592" i="1"/>
  <c r="EC592" i="1"/>
  <c r="ED592" i="1"/>
  <c r="EE592" i="1"/>
  <c r="EF592" i="1"/>
  <c r="EG592" i="1"/>
  <c r="DX593" i="1"/>
  <c r="DY593" i="1"/>
  <c r="DZ593" i="1"/>
  <c r="EA593" i="1"/>
  <c r="EB593" i="1"/>
  <c r="EC593" i="1"/>
  <c r="ED593" i="1"/>
  <c r="EE593" i="1"/>
  <c r="EF593" i="1"/>
  <c r="EG593" i="1"/>
  <c r="DX594" i="1"/>
  <c r="DY594" i="1"/>
  <c r="DZ594" i="1"/>
  <c r="EA594" i="1"/>
  <c r="EB594" i="1"/>
  <c r="EC594" i="1"/>
  <c r="ED594" i="1"/>
  <c r="EE594" i="1"/>
  <c r="EF594" i="1"/>
  <c r="EG594" i="1"/>
  <c r="DX595" i="1"/>
  <c r="DY595" i="1"/>
  <c r="DZ595" i="1"/>
  <c r="EA595" i="1"/>
  <c r="EB595" i="1"/>
  <c r="EC595" i="1"/>
  <c r="ED595" i="1"/>
  <c r="EE595" i="1"/>
  <c r="EF595" i="1"/>
  <c r="EG595" i="1"/>
  <c r="DX596" i="1"/>
  <c r="DY596" i="1"/>
  <c r="DZ596" i="1"/>
  <c r="EA596" i="1"/>
  <c r="EB596" i="1"/>
  <c r="EC596" i="1"/>
  <c r="ED596" i="1"/>
  <c r="EE596" i="1"/>
  <c r="EF596" i="1"/>
  <c r="EG596" i="1"/>
  <c r="DX597" i="1"/>
  <c r="DY597" i="1"/>
  <c r="DZ597" i="1"/>
  <c r="EA597" i="1"/>
  <c r="EB597" i="1"/>
  <c r="EC597" i="1"/>
  <c r="ED597" i="1"/>
  <c r="EE597" i="1"/>
  <c r="EF597" i="1"/>
  <c r="EG597" i="1"/>
  <c r="DX598" i="1"/>
  <c r="DY598" i="1"/>
  <c r="DZ598" i="1"/>
  <c r="EA598" i="1"/>
  <c r="EB598" i="1"/>
  <c r="EC598" i="1"/>
  <c r="ED598" i="1"/>
  <c r="EE598" i="1"/>
  <c r="EF598" i="1"/>
  <c r="EG598" i="1"/>
  <c r="DX599" i="1"/>
  <c r="DY599" i="1"/>
  <c r="DZ599" i="1"/>
  <c r="EA599" i="1"/>
  <c r="EB599" i="1"/>
  <c r="EC599" i="1"/>
  <c r="ED599" i="1"/>
  <c r="EE599" i="1"/>
  <c r="EF599" i="1"/>
  <c r="EG599" i="1"/>
  <c r="DX600" i="1"/>
  <c r="DY600" i="1"/>
  <c r="DZ600" i="1"/>
  <c r="EA600" i="1"/>
  <c r="EB600" i="1"/>
  <c r="EC600" i="1"/>
  <c r="ED600" i="1"/>
  <c r="EE600" i="1"/>
  <c r="EF600" i="1"/>
  <c r="EG600" i="1"/>
  <c r="DX601" i="1"/>
  <c r="DY601" i="1"/>
  <c r="DZ601" i="1"/>
  <c r="EA601" i="1"/>
  <c r="EB601" i="1"/>
  <c r="EC601" i="1"/>
  <c r="ED601" i="1"/>
  <c r="EE601" i="1"/>
  <c r="EF601" i="1"/>
  <c r="EG601" i="1"/>
  <c r="DX602" i="1"/>
  <c r="DY602" i="1"/>
  <c r="DZ602" i="1"/>
  <c r="EA602" i="1"/>
  <c r="EB602" i="1"/>
  <c r="EC602" i="1"/>
  <c r="ED602" i="1"/>
  <c r="EE602" i="1"/>
  <c r="EF602" i="1"/>
  <c r="EG602" i="1"/>
  <c r="DX603" i="1"/>
  <c r="DY603" i="1"/>
  <c r="DZ603" i="1"/>
  <c r="EA603" i="1"/>
  <c r="EB603" i="1"/>
  <c r="EC603" i="1"/>
  <c r="ED603" i="1"/>
  <c r="EE603" i="1"/>
  <c r="EF603" i="1"/>
  <c r="EG603" i="1"/>
  <c r="DX604" i="1"/>
  <c r="DY604" i="1"/>
  <c r="DZ604" i="1"/>
  <c r="EA604" i="1"/>
  <c r="EB604" i="1"/>
  <c r="EC604" i="1"/>
  <c r="ED604" i="1"/>
  <c r="EE604" i="1"/>
  <c r="EF604" i="1"/>
  <c r="EG604" i="1"/>
  <c r="DX605" i="1"/>
  <c r="DY605" i="1"/>
  <c r="DZ605" i="1"/>
  <c r="EA605" i="1"/>
  <c r="EB605" i="1"/>
  <c r="EC605" i="1"/>
  <c r="ED605" i="1"/>
  <c r="EE605" i="1"/>
  <c r="EF605" i="1"/>
  <c r="EG605" i="1"/>
  <c r="DX606" i="1"/>
  <c r="DY606" i="1"/>
  <c r="DZ606" i="1"/>
  <c r="EA606" i="1"/>
  <c r="EB606" i="1"/>
  <c r="EC606" i="1"/>
  <c r="ED606" i="1"/>
  <c r="EE606" i="1"/>
  <c r="EF606" i="1"/>
  <c r="EG606" i="1"/>
  <c r="DX607" i="1"/>
  <c r="DY607" i="1"/>
  <c r="DZ607" i="1"/>
  <c r="EA607" i="1"/>
  <c r="EB607" i="1"/>
  <c r="EC607" i="1"/>
  <c r="ED607" i="1"/>
  <c r="EE607" i="1"/>
  <c r="EF607" i="1"/>
  <c r="EG607" i="1"/>
  <c r="DX608" i="1"/>
  <c r="DY608" i="1"/>
  <c r="DZ608" i="1"/>
  <c r="EA608" i="1"/>
  <c r="EB608" i="1"/>
  <c r="EC608" i="1"/>
  <c r="ED608" i="1"/>
  <c r="EE608" i="1"/>
  <c r="EF608" i="1"/>
  <c r="EG608" i="1"/>
  <c r="DX609" i="1"/>
  <c r="DY609" i="1"/>
  <c r="DZ609" i="1"/>
  <c r="EA609" i="1"/>
  <c r="EB609" i="1"/>
  <c r="EC609" i="1"/>
  <c r="ED609" i="1"/>
  <c r="EE609" i="1"/>
  <c r="EF609" i="1"/>
  <c r="EG609" i="1"/>
  <c r="DX610" i="1"/>
  <c r="DY610" i="1"/>
  <c r="DZ610" i="1"/>
  <c r="EA610" i="1"/>
  <c r="EB610" i="1"/>
  <c r="EC610" i="1"/>
  <c r="ED610" i="1"/>
  <c r="EE610" i="1"/>
  <c r="EF610" i="1"/>
  <c r="EG610" i="1"/>
  <c r="DX611" i="1"/>
  <c r="DY611" i="1"/>
  <c r="DZ611" i="1"/>
  <c r="EA611" i="1"/>
  <c r="EB611" i="1"/>
  <c r="EC611" i="1"/>
  <c r="ED611" i="1"/>
  <c r="EE611" i="1"/>
  <c r="EF611" i="1"/>
  <c r="EG611" i="1"/>
  <c r="DX612" i="1"/>
  <c r="DY612" i="1"/>
  <c r="DZ612" i="1"/>
  <c r="EA612" i="1"/>
  <c r="EB612" i="1"/>
  <c r="EC612" i="1"/>
  <c r="ED612" i="1"/>
  <c r="EE612" i="1"/>
  <c r="EF612" i="1"/>
  <c r="EG612" i="1"/>
  <c r="DX613" i="1"/>
  <c r="DY613" i="1"/>
  <c r="DZ613" i="1"/>
  <c r="EA613" i="1"/>
  <c r="EB613" i="1"/>
  <c r="EC613" i="1"/>
  <c r="ED613" i="1"/>
  <c r="EE613" i="1"/>
  <c r="EF613" i="1"/>
  <c r="EG613" i="1"/>
  <c r="DX614" i="1"/>
  <c r="DY614" i="1"/>
  <c r="DZ614" i="1"/>
  <c r="EA614" i="1"/>
  <c r="EB614" i="1"/>
  <c r="EC614" i="1"/>
  <c r="ED614" i="1"/>
  <c r="EE614" i="1"/>
  <c r="EF614" i="1"/>
  <c r="EG614" i="1"/>
  <c r="DX615" i="1"/>
  <c r="DY615" i="1"/>
  <c r="DZ615" i="1"/>
  <c r="EA615" i="1"/>
  <c r="EB615" i="1"/>
  <c r="EC615" i="1"/>
  <c r="ED615" i="1"/>
  <c r="EE615" i="1"/>
  <c r="EF615" i="1"/>
  <c r="EG615" i="1"/>
  <c r="DX616" i="1"/>
  <c r="DY616" i="1"/>
  <c r="DZ616" i="1"/>
  <c r="EA616" i="1"/>
  <c r="EB616" i="1"/>
  <c r="EC616" i="1"/>
  <c r="ED616" i="1"/>
  <c r="EE616" i="1"/>
  <c r="EF616" i="1"/>
  <c r="EG616" i="1"/>
  <c r="DX617" i="1"/>
  <c r="DY617" i="1"/>
  <c r="DZ617" i="1"/>
  <c r="EA617" i="1"/>
  <c r="EB617" i="1"/>
  <c r="EC617" i="1"/>
  <c r="ED617" i="1"/>
  <c r="EE617" i="1"/>
  <c r="EF617" i="1"/>
  <c r="EG617" i="1"/>
  <c r="DX618" i="1"/>
  <c r="DY618" i="1"/>
  <c r="DZ618" i="1"/>
  <c r="EA618" i="1"/>
  <c r="EB618" i="1"/>
  <c r="EC618" i="1"/>
  <c r="ED618" i="1"/>
  <c r="EE618" i="1"/>
  <c r="EF618" i="1"/>
  <c r="EG618" i="1"/>
  <c r="DX619" i="1"/>
  <c r="DY619" i="1"/>
  <c r="DZ619" i="1"/>
  <c r="EA619" i="1"/>
  <c r="EB619" i="1"/>
  <c r="EC619" i="1"/>
  <c r="ED619" i="1"/>
  <c r="EE619" i="1"/>
  <c r="EF619" i="1"/>
  <c r="EG619" i="1"/>
  <c r="DX620" i="1"/>
  <c r="DY620" i="1"/>
  <c r="DZ620" i="1"/>
  <c r="EA620" i="1"/>
  <c r="EB620" i="1"/>
  <c r="EC620" i="1"/>
  <c r="ED620" i="1"/>
  <c r="EE620" i="1"/>
  <c r="EF620" i="1"/>
  <c r="EG620" i="1"/>
  <c r="DX621" i="1"/>
  <c r="DY621" i="1"/>
  <c r="DZ621" i="1"/>
  <c r="EA621" i="1"/>
  <c r="EB621" i="1"/>
  <c r="EC621" i="1"/>
  <c r="ED621" i="1"/>
  <c r="EE621" i="1"/>
  <c r="EF621" i="1"/>
  <c r="EG621" i="1"/>
  <c r="DX622" i="1"/>
  <c r="DY622" i="1"/>
  <c r="DZ622" i="1"/>
  <c r="EA622" i="1"/>
  <c r="EB622" i="1"/>
  <c r="EC622" i="1"/>
  <c r="ED622" i="1"/>
  <c r="EE622" i="1"/>
  <c r="EF622" i="1"/>
  <c r="EG622" i="1"/>
  <c r="DX623" i="1"/>
  <c r="DY623" i="1"/>
  <c r="DZ623" i="1"/>
  <c r="EA623" i="1"/>
  <c r="EB623" i="1"/>
  <c r="EC623" i="1"/>
  <c r="ED623" i="1"/>
  <c r="EE623" i="1"/>
  <c r="EF623" i="1"/>
  <c r="EG623" i="1"/>
  <c r="DX624" i="1"/>
  <c r="DY624" i="1"/>
  <c r="DZ624" i="1"/>
  <c r="EA624" i="1"/>
  <c r="EB624" i="1"/>
  <c r="EC624" i="1"/>
  <c r="ED624" i="1"/>
  <c r="EE624" i="1"/>
  <c r="EF624" i="1"/>
  <c r="EG624" i="1"/>
  <c r="DX625" i="1"/>
  <c r="DY625" i="1"/>
  <c r="DZ625" i="1"/>
  <c r="EA625" i="1"/>
  <c r="EB625" i="1"/>
  <c r="EC625" i="1"/>
  <c r="ED625" i="1"/>
  <c r="EE625" i="1"/>
  <c r="EF625" i="1"/>
  <c r="EG625" i="1"/>
  <c r="DX626" i="1"/>
  <c r="DY626" i="1"/>
  <c r="DZ626" i="1"/>
  <c r="EA626" i="1"/>
  <c r="EB626" i="1"/>
  <c r="EC626" i="1"/>
  <c r="ED626" i="1"/>
  <c r="EE626" i="1"/>
  <c r="EF626" i="1"/>
  <c r="EG626" i="1"/>
  <c r="DX627" i="1"/>
  <c r="DY627" i="1"/>
  <c r="DZ627" i="1"/>
  <c r="EA627" i="1"/>
  <c r="EB627" i="1"/>
  <c r="EC627" i="1"/>
  <c r="ED627" i="1"/>
  <c r="EE627" i="1"/>
  <c r="EF627" i="1"/>
  <c r="EG627" i="1"/>
  <c r="DX628" i="1"/>
  <c r="DY628" i="1"/>
  <c r="DZ628" i="1"/>
  <c r="EA628" i="1"/>
  <c r="EB628" i="1"/>
  <c r="EC628" i="1"/>
  <c r="ED628" i="1"/>
  <c r="EE628" i="1"/>
  <c r="EF628" i="1"/>
  <c r="EG628" i="1"/>
  <c r="DX629" i="1"/>
  <c r="DY629" i="1"/>
  <c r="DZ629" i="1"/>
  <c r="EA629" i="1"/>
  <c r="EB629" i="1"/>
  <c r="EC629" i="1"/>
  <c r="ED629" i="1"/>
  <c r="EE629" i="1"/>
  <c r="EF629" i="1"/>
  <c r="EG629" i="1"/>
  <c r="DX630" i="1"/>
  <c r="DY630" i="1"/>
  <c r="DZ630" i="1"/>
  <c r="EA630" i="1"/>
  <c r="EB630" i="1"/>
  <c r="EC630" i="1"/>
  <c r="ED630" i="1"/>
  <c r="EE630" i="1"/>
  <c r="EF630" i="1"/>
  <c r="EG630" i="1"/>
  <c r="DX631" i="1"/>
  <c r="DY631" i="1"/>
  <c r="DZ631" i="1"/>
  <c r="EA631" i="1"/>
  <c r="EB631" i="1"/>
  <c r="EC631" i="1"/>
  <c r="ED631" i="1"/>
  <c r="EE631" i="1"/>
  <c r="EF631" i="1"/>
  <c r="EG631" i="1"/>
  <c r="DX632" i="1"/>
  <c r="DY632" i="1"/>
  <c r="DZ632" i="1"/>
  <c r="EA632" i="1"/>
  <c r="EB632" i="1"/>
  <c r="EC632" i="1"/>
  <c r="ED632" i="1"/>
  <c r="EE632" i="1"/>
  <c r="EF632" i="1"/>
  <c r="EG632" i="1"/>
  <c r="DX633" i="1"/>
  <c r="DY633" i="1"/>
  <c r="DZ633" i="1"/>
  <c r="EA633" i="1"/>
  <c r="EB633" i="1"/>
  <c r="EC633" i="1"/>
  <c r="ED633" i="1"/>
  <c r="EE633" i="1"/>
  <c r="EF633" i="1"/>
  <c r="EG633" i="1"/>
  <c r="DX634" i="1"/>
  <c r="DY634" i="1"/>
  <c r="DZ634" i="1"/>
  <c r="EA634" i="1"/>
  <c r="EB634" i="1"/>
  <c r="EC634" i="1"/>
  <c r="ED634" i="1"/>
  <c r="EE634" i="1"/>
  <c r="EF634" i="1"/>
  <c r="EG634" i="1"/>
  <c r="DX635" i="1"/>
  <c r="DY635" i="1"/>
  <c r="DZ635" i="1"/>
  <c r="EA635" i="1"/>
  <c r="EB635" i="1"/>
  <c r="EC635" i="1"/>
  <c r="ED635" i="1"/>
  <c r="EE635" i="1"/>
  <c r="EF635" i="1"/>
  <c r="EG635" i="1"/>
  <c r="DX636" i="1"/>
  <c r="DY636" i="1"/>
  <c r="DZ636" i="1"/>
  <c r="EA636" i="1"/>
  <c r="EB636" i="1"/>
  <c r="EC636" i="1"/>
  <c r="ED636" i="1"/>
  <c r="EE636" i="1"/>
  <c r="EF636" i="1"/>
  <c r="EG636" i="1"/>
  <c r="DX637" i="1"/>
  <c r="DY637" i="1"/>
  <c r="DZ637" i="1"/>
  <c r="EA637" i="1"/>
  <c r="EB637" i="1"/>
  <c r="EC637" i="1"/>
  <c r="ED637" i="1"/>
  <c r="EE637" i="1"/>
  <c r="EF637" i="1"/>
  <c r="EG637" i="1"/>
  <c r="DX638" i="1"/>
  <c r="DY638" i="1"/>
  <c r="DZ638" i="1"/>
  <c r="EA638" i="1"/>
  <c r="EB638" i="1"/>
  <c r="EC638" i="1"/>
  <c r="ED638" i="1"/>
  <c r="EE638" i="1"/>
  <c r="EF638" i="1"/>
  <c r="EG638" i="1"/>
  <c r="DX639" i="1"/>
  <c r="DY639" i="1"/>
  <c r="DZ639" i="1"/>
  <c r="EA639" i="1"/>
  <c r="EB639" i="1"/>
  <c r="EC639" i="1"/>
  <c r="ED639" i="1"/>
  <c r="EE639" i="1"/>
  <c r="EF639" i="1"/>
  <c r="EG639" i="1"/>
  <c r="DX640" i="1"/>
  <c r="DY640" i="1"/>
  <c r="DZ640" i="1"/>
  <c r="EA640" i="1"/>
  <c r="EB640" i="1"/>
  <c r="EC640" i="1"/>
  <c r="ED640" i="1"/>
  <c r="EE640" i="1"/>
  <c r="EF640" i="1"/>
  <c r="EG640" i="1"/>
  <c r="DX641" i="1"/>
  <c r="DY641" i="1"/>
  <c r="DZ641" i="1"/>
  <c r="EA641" i="1"/>
  <c r="EB641" i="1"/>
  <c r="EC641" i="1"/>
  <c r="ED641" i="1"/>
  <c r="EE641" i="1"/>
  <c r="EF641" i="1"/>
  <c r="EG641" i="1"/>
  <c r="DX642" i="1"/>
  <c r="DY642" i="1"/>
  <c r="DZ642" i="1"/>
  <c r="EA642" i="1"/>
  <c r="EB642" i="1"/>
  <c r="EC642" i="1"/>
  <c r="ED642" i="1"/>
  <c r="EE642" i="1"/>
  <c r="EF642" i="1"/>
  <c r="EG642" i="1"/>
  <c r="DX643" i="1"/>
  <c r="DY643" i="1"/>
  <c r="DZ643" i="1"/>
  <c r="EA643" i="1"/>
  <c r="EB643" i="1"/>
  <c r="EC643" i="1"/>
  <c r="ED643" i="1"/>
  <c r="EE643" i="1"/>
  <c r="EF643" i="1"/>
  <c r="EG643" i="1"/>
  <c r="DX644" i="1"/>
  <c r="DY644" i="1"/>
  <c r="DZ644" i="1"/>
  <c r="EA644" i="1"/>
  <c r="EB644" i="1"/>
  <c r="EC644" i="1"/>
  <c r="ED644" i="1"/>
  <c r="EE644" i="1"/>
  <c r="EF644" i="1"/>
  <c r="EG644" i="1"/>
  <c r="DX645" i="1"/>
  <c r="DY645" i="1"/>
  <c r="DZ645" i="1"/>
  <c r="EA645" i="1"/>
  <c r="EB645" i="1"/>
  <c r="EC645" i="1"/>
  <c r="ED645" i="1"/>
  <c r="EE645" i="1"/>
  <c r="EF645" i="1"/>
  <c r="EG645" i="1"/>
  <c r="DX646" i="1"/>
  <c r="DY646" i="1"/>
  <c r="DZ646" i="1"/>
  <c r="EA646" i="1"/>
  <c r="EB646" i="1"/>
  <c r="EC646" i="1"/>
  <c r="ED646" i="1"/>
  <c r="EE646" i="1"/>
  <c r="EF646" i="1"/>
  <c r="EG646" i="1"/>
  <c r="DX647" i="1"/>
  <c r="DY647" i="1"/>
  <c r="DZ647" i="1"/>
  <c r="EA647" i="1"/>
  <c r="EB647" i="1"/>
  <c r="EC647" i="1"/>
  <c r="ED647" i="1"/>
  <c r="EE647" i="1"/>
  <c r="EF647" i="1"/>
  <c r="EG647" i="1"/>
  <c r="DX648" i="1"/>
  <c r="DY648" i="1"/>
  <c r="DZ648" i="1"/>
  <c r="EA648" i="1"/>
  <c r="EB648" i="1"/>
  <c r="EC648" i="1"/>
  <c r="ED648" i="1"/>
  <c r="EE648" i="1"/>
  <c r="EF648" i="1"/>
  <c r="EG648" i="1"/>
  <c r="DX649" i="1"/>
  <c r="DY649" i="1"/>
  <c r="DZ649" i="1"/>
  <c r="EA649" i="1"/>
  <c r="EB649" i="1"/>
  <c r="EC649" i="1"/>
  <c r="ED649" i="1"/>
  <c r="EE649" i="1"/>
  <c r="EF649" i="1"/>
  <c r="EG649" i="1"/>
  <c r="DX650" i="1"/>
  <c r="DY650" i="1"/>
  <c r="DZ650" i="1"/>
  <c r="EA650" i="1"/>
  <c r="EB650" i="1"/>
  <c r="EC650" i="1"/>
  <c r="ED650" i="1"/>
  <c r="EE650" i="1"/>
  <c r="EF650" i="1"/>
  <c r="EG650" i="1"/>
  <c r="DI3" i="1"/>
  <c r="DJ3" i="1"/>
  <c r="DK3" i="1"/>
  <c r="DL3" i="1"/>
  <c r="DM3" i="1"/>
  <c r="DN3" i="1"/>
  <c r="DO3" i="1"/>
  <c r="DP3" i="1"/>
  <c r="DQ3" i="1"/>
  <c r="DR3" i="1"/>
  <c r="DS3" i="1"/>
  <c r="DT3" i="1"/>
  <c r="DU3" i="1"/>
  <c r="DV3" i="1"/>
  <c r="DW3" i="1"/>
  <c r="DI4" i="1"/>
  <c r="DJ4" i="1"/>
  <c r="DK4" i="1"/>
  <c r="DL4" i="1"/>
  <c r="DM4" i="1"/>
  <c r="DN4" i="1"/>
  <c r="DO4" i="1"/>
  <c r="DP4" i="1"/>
  <c r="DQ4" i="1"/>
  <c r="DR4" i="1"/>
  <c r="DS4" i="1"/>
  <c r="DT4" i="1"/>
  <c r="DU4" i="1"/>
  <c r="DV4" i="1"/>
  <c r="DW4" i="1"/>
  <c r="DI5" i="1"/>
  <c r="DJ5" i="1"/>
  <c r="DK5" i="1"/>
  <c r="DL5" i="1"/>
  <c r="DM5" i="1"/>
  <c r="DN5" i="1"/>
  <c r="DO5" i="1"/>
  <c r="DP5" i="1"/>
  <c r="DQ5" i="1"/>
  <c r="DR5" i="1"/>
  <c r="DS5" i="1"/>
  <c r="DT5" i="1"/>
  <c r="DU5" i="1"/>
  <c r="DV5" i="1"/>
  <c r="DW5" i="1"/>
  <c r="DI6" i="1"/>
  <c r="DJ6" i="1"/>
  <c r="DK6" i="1"/>
  <c r="DL6" i="1"/>
  <c r="DM6" i="1"/>
  <c r="DN6" i="1"/>
  <c r="DO6" i="1"/>
  <c r="DP6" i="1"/>
  <c r="DQ6" i="1"/>
  <c r="DR6" i="1"/>
  <c r="DS6" i="1"/>
  <c r="DT6" i="1"/>
  <c r="DU6" i="1"/>
  <c r="DV6" i="1"/>
  <c r="DW6" i="1"/>
  <c r="DI7" i="1"/>
  <c r="DJ7" i="1"/>
  <c r="DK7" i="1"/>
  <c r="DL7" i="1"/>
  <c r="DM7" i="1"/>
  <c r="DN7" i="1"/>
  <c r="DO7" i="1"/>
  <c r="DP7" i="1"/>
  <c r="DQ7" i="1"/>
  <c r="DR7" i="1"/>
  <c r="DS7" i="1"/>
  <c r="DT7" i="1"/>
  <c r="DU7" i="1"/>
  <c r="DV7" i="1"/>
  <c r="DW7" i="1"/>
  <c r="DI8" i="1"/>
  <c r="DJ8" i="1"/>
  <c r="DK8" i="1"/>
  <c r="DL8" i="1"/>
  <c r="DM8" i="1"/>
  <c r="DN8" i="1"/>
  <c r="DO8" i="1"/>
  <c r="DP8" i="1"/>
  <c r="DQ8" i="1"/>
  <c r="DR8" i="1"/>
  <c r="DS8" i="1"/>
  <c r="DT8" i="1"/>
  <c r="DU8" i="1"/>
  <c r="DV8" i="1"/>
  <c r="DW8" i="1"/>
  <c r="DI9" i="1"/>
  <c r="DJ9" i="1"/>
  <c r="DK9" i="1"/>
  <c r="DL9" i="1"/>
  <c r="DM9" i="1"/>
  <c r="DN9" i="1"/>
  <c r="DO9" i="1"/>
  <c r="DP9" i="1"/>
  <c r="DQ9" i="1"/>
  <c r="DR9" i="1"/>
  <c r="DS9" i="1"/>
  <c r="DT9" i="1"/>
  <c r="DU9" i="1"/>
  <c r="DV9" i="1"/>
  <c r="DW9" i="1"/>
  <c r="DI10" i="1"/>
  <c r="DJ10" i="1"/>
  <c r="DK10" i="1"/>
  <c r="DL10" i="1"/>
  <c r="DM10" i="1"/>
  <c r="DN10" i="1"/>
  <c r="DO10" i="1"/>
  <c r="DP10" i="1"/>
  <c r="DQ10" i="1"/>
  <c r="DR10" i="1"/>
  <c r="DS10" i="1"/>
  <c r="DT10" i="1"/>
  <c r="DU10" i="1"/>
  <c r="DV10" i="1"/>
  <c r="DW10" i="1"/>
  <c r="DI11" i="1"/>
  <c r="DJ11" i="1"/>
  <c r="DK11" i="1"/>
  <c r="DL11" i="1"/>
  <c r="DM11" i="1"/>
  <c r="DN11" i="1"/>
  <c r="DO11" i="1"/>
  <c r="DP11" i="1"/>
  <c r="DQ11" i="1"/>
  <c r="DR11" i="1"/>
  <c r="DS11" i="1"/>
  <c r="DT11" i="1"/>
  <c r="DU11" i="1"/>
  <c r="DV11" i="1"/>
  <c r="DW11" i="1"/>
  <c r="DI12" i="1"/>
  <c r="DJ12" i="1"/>
  <c r="DK12" i="1"/>
  <c r="DL12" i="1"/>
  <c r="DM12" i="1"/>
  <c r="DN12" i="1"/>
  <c r="DO12" i="1"/>
  <c r="DP12" i="1"/>
  <c r="DQ12" i="1"/>
  <c r="DR12" i="1"/>
  <c r="DS12" i="1"/>
  <c r="DT12" i="1"/>
  <c r="DU12" i="1"/>
  <c r="DV12" i="1"/>
  <c r="DW12" i="1"/>
  <c r="DI13" i="1"/>
  <c r="DJ13" i="1"/>
  <c r="DK13" i="1"/>
  <c r="DL13" i="1"/>
  <c r="DM13" i="1"/>
  <c r="DN13" i="1"/>
  <c r="DO13" i="1"/>
  <c r="DP13" i="1"/>
  <c r="DQ13" i="1"/>
  <c r="DR13" i="1"/>
  <c r="DS13" i="1"/>
  <c r="DT13" i="1"/>
  <c r="DU13" i="1"/>
  <c r="DV13" i="1"/>
  <c r="DW13" i="1"/>
  <c r="DI14" i="1"/>
  <c r="DJ14" i="1"/>
  <c r="DK14" i="1"/>
  <c r="DL14" i="1"/>
  <c r="DM14" i="1"/>
  <c r="DN14" i="1"/>
  <c r="DO14" i="1"/>
  <c r="DP14" i="1"/>
  <c r="DQ14" i="1"/>
  <c r="DR14" i="1"/>
  <c r="DS14" i="1"/>
  <c r="DT14" i="1"/>
  <c r="DU14" i="1"/>
  <c r="DV14" i="1"/>
  <c r="DW14" i="1"/>
  <c r="DI15" i="1"/>
  <c r="DJ15" i="1"/>
  <c r="DK15" i="1"/>
  <c r="DL15" i="1"/>
  <c r="DM15" i="1"/>
  <c r="DN15" i="1"/>
  <c r="DO15" i="1"/>
  <c r="DP15" i="1"/>
  <c r="DQ15" i="1"/>
  <c r="DR15" i="1"/>
  <c r="DS15" i="1"/>
  <c r="DT15" i="1"/>
  <c r="DU15" i="1"/>
  <c r="DV15" i="1"/>
  <c r="DW15" i="1"/>
  <c r="DI16" i="1"/>
  <c r="DJ16" i="1"/>
  <c r="DK16" i="1"/>
  <c r="DL16" i="1"/>
  <c r="DM16" i="1"/>
  <c r="DN16" i="1"/>
  <c r="DO16" i="1"/>
  <c r="DP16" i="1"/>
  <c r="DQ16" i="1"/>
  <c r="DR16" i="1"/>
  <c r="DS16" i="1"/>
  <c r="DT16" i="1"/>
  <c r="DU16" i="1"/>
  <c r="DV16" i="1"/>
  <c r="DW16" i="1"/>
  <c r="DI17" i="1"/>
  <c r="DJ17" i="1"/>
  <c r="DK17" i="1"/>
  <c r="DL17" i="1"/>
  <c r="DM17" i="1"/>
  <c r="DN17" i="1"/>
  <c r="DO17" i="1"/>
  <c r="DP17" i="1"/>
  <c r="DQ17" i="1"/>
  <c r="DR17" i="1"/>
  <c r="DS17" i="1"/>
  <c r="DT17" i="1"/>
  <c r="DU17" i="1"/>
  <c r="DV17" i="1"/>
  <c r="DW17" i="1"/>
  <c r="DI18" i="1"/>
  <c r="DJ18" i="1"/>
  <c r="DK18" i="1"/>
  <c r="DL18" i="1"/>
  <c r="DM18" i="1"/>
  <c r="DN18" i="1"/>
  <c r="DO18" i="1"/>
  <c r="DP18" i="1"/>
  <c r="DQ18" i="1"/>
  <c r="DR18" i="1"/>
  <c r="DS18" i="1"/>
  <c r="DT18" i="1"/>
  <c r="DU18" i="1"/>
  <c r="DV18" i="1"/>
  <c r="DW18" i="1"/>
  <c r="DI19" i="1"/>
  <c r="DJ19" i="1"/>
  <c r="DK19" i="1"/>
  <c r="DL19" i="1"/>
  <c r="DM19" i="1"/>
  <c r="DN19" i="1"/>
  <c r="DO19" i="1"/>
  <c r="DP19" i="1"/>
  <c r="DQ19" i="1"/>
  <c r="DR19" i="1"/>
  <c r="DS19" i="1"/>
  <c r="DT19" i="1"/>
  <c r="DU19" i="1"/>
  <c r="DV19" i="1"/>
  <c r="DW19" i="1"/>
  <c r="DI20" i="1"/>
  <c r="DJ20" i="1"/>
  <c r="DK20" i="1"/>
  <c r="DL20" i="1"/>
  <c r="DM20" i="1"/>
  <c r="DN20" i="1"/>
  <c r="DO20" i="1"/>
  <c r="DP20" i="1"/>
  <c r="DQ20" i="1"/>
  <c r="DR20" i="1"/>
  <c r="DS20" i="1"/>
  <c r="DT20" i="1"/>
  <c r="DU20" i="1"/>
  <c r="DV20" i="1"/>
  <c r="DW20" i="1"/>
  <c r="DI21" i="1"/>
  <c r="DJ21" i="1"/>
  <c r="DK21" i="1"/>
  <c r="DL21" i="1"/>
  <c r="DM21" i="1"/>
  <c r="DN21" i="1"/>
  <c r="DO21" i="1"/>
  <c r="DP21" i="1"/>
  <c r="DQ21" i="1"/>
  <c r="DR21" i="1"/>
  <c r="DS21" i="1"/>
  <c r="DT21" i="1"/>
  <c r="DU21" i="1"/>
  <c r="DV21" i="1"/>
  <c r="DW21" i="1"/>
  <c r="DI22" i="1"/>
  <c r="DJ22" i="1"/>
  <c r="DK22" i="1"/>
  <c r="DL22" i="1"/>
  <c r="DM22" i="1"/>
  <c r="DN22" i="1"/>
  <c r="DO22" i="1"/>
  <c r="DP22" i="1"/>
  <c r="DQ22" i="1"/>
  <c r="DR22" i="1"/>
  <c r="DS22" i="1"/>
  <c r="DT22" i="1"/>
  <c r="DU22" i="1"/>
  <c r="DV22" i="1"/>
  <c r="DW22" i="1"/>
  <c r="DI23" i="1"/>
  <c r="DJ23" i="1"/>
  <c r="DK23" i="1"/>
  <c r="DL23" i="1"/>
  <c r="DM23" i="1"/>
  <c r="DN23" i="1"/>
  <c r="DO23" i="1"/>
  <c r="DP23" i="1"/>
  <c r="DQ23" i="1"/>
  <c r="DR23" i="1"/>
  <c r="DS23" i="1"/>
  <c r="DT23" i="1"/>
  <c r="DU23" i="1"/>
  <c r="DV23" i="1"/>
  <c r="DW23" i="1"/>
  <c r="DI24" i="1"/>
  <c r="DJ24" i="1"/>
  <c r="DK24" i="1"/>
  <c r="DL24" i="1"/>
  <c r="DM24" i="1"/>
  <c r="DN24" i="1"/>
  <c r="DO24" i="1"/>
  <c r="DP24" i="1"/>
  <c r="DQ24" i="1"/>
  <c r="DR24" i="1"/>
  <c r="DS24" i="1"/>
  <c r="DT24" i="1"/>
  <c r="DU24" i="1"/>
  <c r="DV24" i="1"/>
  <c r="DW24" i="1"/>
  <c r="DI25" i="1"/>
  <c r="DJ25" i="1"/>
  <c r="DK25" i="1"/>
  <c r="DL25" i="1"/>
  <c r="DM25" i="1"/>
  <c r="DN25" i="1"/>
  <c r="DO25" i="1"/>
  <c r="DP25" i="1"/>
  <c r="DQ25" i="1"/>
  <c r="DR25" i="1"/>
  <c r="DS25" i="1"/>
  <c r="DT25" i="1"/>
  <c r="DU25" i="1"/>
  <c r="DV25" i="1"/>
  <c r="DW25" i="1"/>
  <c r="DI26" i="1"/>
  <c r="DJ26" i="1"/>
  <c r="DK26" i="1"/>
  <c r="DL26" i="1"/>
  <c r="DM26" i="1"/>
  <c r="DN26" i="1"/>
  <c r="DO26" i="1"/>
  <c r="DP26" i="1"/>
  <c r="DQ26" i="1"/>
  <c r="DR26" i="1"/>
  <c r="DS26" i="1"/>
  <c r="DT26" i="1"/>
  <c r="DU26" i="1"/>
  <c r="DV26" i="1"/>
  <c r="DW26" i="1"/>
  <c r="DI27" i="1"/>
  <c r="DJ27" i="1"/>
  <c r="DK27" i="1"/>
  <c r="DL27" i="1"/>
  <c r="DM27" i="1"/>
  <c r="DN27" i="1"/>
  <c r="DO27" i="1"/>
  <c r="DP27" i="1"/>
  <c r="DQ27" i="1"/>
  <c r="DR27" i="1"/>
  <c r="DS27" i="1"/>
  <c r="DT27" i="1"/>
  <c r="DU27" i="1"/>
  <c r="DV27" i="1"/>
  <c r="DW27" i="1"/>
  <c r="DI28" i="1"/>
  <c r="DJ28" i="1"/>
  <c r="DK28" i="1"/>
  <c r="DL28" i="1"/>
  <c r="DM28" i="1"/>
  <c r="DN28" i="1"/>
  <c r="DO28" i="1"/>
  <c r="DP28" i="1"/>
  <c r="DQ28" i="1"/>
  <c r="DR28" i="1"/>
  <c r="DS28" i="1"/>
  <c r="DT28" i="1"/>
  <c r="DU28" i="1"/>
  <c r="DV28" i="1"/>
  <c r="DW28" i="1"/>
  <c r="DI29" i="1"/>
  <c r="DJ29" i="1"/>
  <c r="DK29" i="1"/>
  <c r="DL29" i="1"/>
  <c r="DM29" i="1"/>
  <c r="DN29" i="1"/>
  <c r="DO29" i="1"/>
  <c r="DP29" i="1"/>
  <c r="DQ29" i="1"/>
  <c r="DR29" i="1"/>
  <c r="DS29" i="1"/>
  <c r="DT29" i="1"/>
  <c r="DU29" i="1"/>
  <c r="DV29" i="1"/>
  <c r="DW29" i="1"/>
  <c r="DI30" i="1"/>
  <c r="DJ30" i="1"/>
  <c r="DK30" i="1"/>
  <c r="DL30" i="1"/>
  <c r="DM30" i="1"/>
  <c r="DN30" i="1"/>
  <c r="DO30" i="1"/>
  <c r="DP30" i="1"/>
  <c r="DQ30" i="1"/>
  <c r="DR30" i="1"/>
  <c r="DS30" i="1"/>
  <c r="DT30" i="1"/>
  <c r="DU30" i="1"/>
  <c r="DV30" i="1"/>
  <c r="DW30" i="1"/>
  <c r="DI31" i="1"/>
  <c r="DJ31" i="1"/>
  <c r="DK31" i="1"/>
  <c r="DL31" i="1"/>
  <c r="DM31" i="1"/>
  <c r="DN31" i="1"/>
  <c r="DO31" i="1"/>
  <c r="DP31" i="1"/>
  <c r="DQ31" i="1"/>
  <c r="DR31" i="1"/>
  <c r="DS31" i="1"/>
  <c r="DT31" i="1"/>
  <c r="DU31" i="1"/>
  <c r="DV31" i="1"/>
  <c r="DW31" i="1"/>
  <c r="DI32" i="1"/>
  <c r="DJ32" i="1"/>
  <c r="DK32" i="1"/>
  <c r="DL32" i="1"/>
  <c r="DM32" i="1"/>
  <c r="DN32" i="1"/>
  <c r="DO32" i="1"/>
  <c r="DP32" i="1"/>
  <c r="DQ32" i="1"/>
  <c r="DR32" i="1"/>
  <c r="DS32" i="1"/>
  <c r="DT32" i="1"/>
  <c r="DU32" i="1"/>
  <c r="DV32" i="1"/>
  <c r="DW32" i="1"/>
  <c r="DI33" i="1"/>
  <c r="DJ33" i="1"/>
  <c r="DK33" i="1"/>
  <c r="DL33" i="1"/>
  <c r="DM33" i="1"/>
  <c r="DN33" i="1"/>
  <c r="DO33" i="1"/>
  <c r="DP33" i="1"/>
  <c r="DQ33" i="1"/>
  <c r="DR33" i="1"/>
  <c r="DS33" i="1"/>
  <c r="DT33" i="1"/>
  <c r="DU33" i="1"/>
  <c r="DV33" i="1"/>
  <c r="DW33" i="1"/>
  <c r="DI34" i="1"/>
  <c r="DJ34" i="1"/>
  <c r="DK34" i="1"/>
  <c r="DL34" i="1"/>
  <c r="DM34" i="1"/>
  <c r="DN34" i="1"/>
  <c r="DO34" i="1"/>
  <c r="DP34" i="1"/>
  <c r="DQ34" i="1"/>
  <c r="DR34" i="1"/>
  <c r="DS34" i="1"/>
  <c r="DT34" i="1"/>
  <c r="DU34" i="1"/>
  <c r="DV34" i="1"/>
  <c r="DW34" i="1"/>
  <c r="DI35" i="1"/>
  <c r="DJ35" i="1"/>
  <c r="DK35" i="1"/>
  <c r="DL35" i="1"/>
  <c r="DM35" i="1"/>
  <c r="DN35" i="1"/>
  <c r="DO35" i="1"/>
  <c r="DP35" i="1"/>
  <c r="DQ35" i="1"/>
  <c r="DR35" i="1"/>
  <c r="DS35" i="1"/>
  <c r="DT35" i="1"/>
  <c r="DU35" i="1"/>
  <c r="DV35" i="1"/>
  <c r="DW35" i="1"/>
  <c r="DI36" i="1"/>
  <c r="DJ36" i="1"/>
  <c r="DK36" i="1"/>
  <c r="DL36" i="1"/>
  <c r="DM36" i="1"/>
  <c r="DN36" i="1"/>
  <c r="DO36" i="1"/>
  <c r="DP36" i="1"/>
  <c r="DQ36" i="1"/>
  <c r="DR36" i="1"/>
  <c r="DS36" i="1"/>
  <c r="DT36" i="1"/>
  <c r="DU36" i="1"/>
  <c r="DV36" i="1"/>
  <c r="DW36" i="1"/>
  <c r="DI37" i="1"/>
  <c r="DJ37" i="1"/>
  <c r="DK37" i="1"/>
  <c r="DL37" i="1"/>
  <c r="DM37" i="1"/>
  <c r="DN37" i="1"/>
  <c r="DO37" i="1"/>
  <c r="DP37" i="1"/>
  <c r="DQ37" i="1"/>
  <c r="DR37" i="1"/>
  <c r="DS37" i="1"/>
  <c r="DT37" i="1"/>
  <c r="DU37" i="1"/>
  <c r="DV37" i="1"/>
  <c r="DW37" i="1"/>
  <c r="DI38" i="1"/>
  <c r="DJ38" i="1"/>
  <c r="DK38" i="1"/>
  <c r="DL38" i="1"/>
  <c r="DM38" i="1"/>
  <c r="DN38" i="1"/>
  <c r="DO38" i="1"/>
  <c r="DP38" i="1"/>
  <c r="DQ38" i="1"/>
  <c r="DR38" i="1"/>
  <c r="DS38" i="1"/>
  <c r="DT38" i="1"/>
  <c r="DU38" i="1"/>
  <c r="DV38" i="1"/>
  <c r="DW38" i="1"/>
  <c r="DI39" i="1"/>
  <c r="DJ39" i="1"/>
  <c r="DK39" i="1"/>
  <c r="DL39" i="1"/>
  <c r="DM39" i="1"/>
  <c r="DN39" i="1"/>
  <c r="DO39" i="1"/>
  <c r="DP39" i="1"/>
  <c r="DQ39" i="1"/>
  <c r="DR39" i="1"/>
  <c r="DS39" i="1"/>
  <c r="DT39" i="1"/>
  <c r="DU39" i="1"/>
  <c r="DV39" i="1"/>
  <c r="DW39" i="1"/>
  <c r="DI40" i="1"/>
  <c r="DJ40" i="1"/>
  <c r="DK40" i="1"/>
  <c r="DL40" i="1"/>
  <c r="DM40" i="1"/>
  <c r="DN40" i="1"/>
  <c r="DO40" i="1"/>
  <c r="DP40" i="1"/>
  <c r="DQ40" i="1"/>
  <c r="DR40" i="1"/>
  <c r="DS40" i="1"/>
  <c r="DT40" i="1"/>
  <c r="DU40" i="1"/>
  <c r="DV40" i="1"/>
  <c r="DW40" i="1"/>
  <c r="DI41" i="1"/>
  <c r="DJ41" i="1"/>
  <c r="DK41" i="1"/>
  <c r="DL41" i="1"/>
  <c r="DM41" i="1"/>
  <c r="DN41" i="1"/>
  <c r="DO41" i="1"/>
  <c r="DP41" i="1"/>
  <c r="DQ41" i="1"/>
  <c r="DR41" i="1"/>
  <c r="DS41" i="1"/>
  <c r="DT41" i="1"/>
  <c r="DU41" i="1"/>
  <c r="DV41" i="1"/>
  <c r="DW41" i="1"/>
  <c r="DI42" i="1"/>
  <c r="DJ42" i="1"/>
  <c r="DK42" i="1"/>
  <c r="DL42" i="1"/>
  <c r="DM42" i="1"/>
  <c r="DN42" i="1"/>
  <c r="DO42" i="1"/>
  <c r="DP42" i="1"/>
  <c r="DQ42" i="1"/>
  <c r="DR42" i="1"/>
  <c r="DS42" i="1"/>
  <c r="DT42" i="1"/>
  <c r="DU42" i="1"/>
  <c r="DV42" i="1"/>
  <c r="DW42" i="1"/>
  <c r="DI43" i="1"/>
  <c r="DJ43" i="1"/>
  <c r="DK43" i="1"/>
  <c r="DL43" i="1"/>
  <c r="DM43" i="1"/>
  <c r="DN43" i="1"/>
  <c r="DO43" i="1"/>
  <c r="DP43" i="1"/>
  <c r="DQ43" i="1"/>
  <c r="DR43" i="1"/>
  <c r="DS43" i="1"/>
  <c r="DT43" i="1"/>
  <c r="DU43" i="1"/>
  <c r="DV43" i="1"/>
  <c r="DW43" i="1"/>
  <c r="DI44" i="1"/>
  <c r="DJ44" i="1"/>
  <c r="DK44" i="1"/>
  <c r="DL44" i="1"/>
  <c r="DM44" i="1"/>
  <c r="DN44" i="1"/>
  <c r="DO44" i="1"/>
  <c r="DP44" i="1"/>
  <c r="DQ44" i="1"/>
  <c r="DR44" i="1"/>
  <c r="DS44" i="1"/>
  <c r="DT44" i="1"/>
  <c r="DU44" i="1"/>
  <c r="DV44" i="1"/>
  <c r="DW44" i="1"/>
  <c r="DI45" i="1"/>
  <c r="DJ45" i="1"/>
  <c r="DK45" i="1"/>
  <c r="DL45" i="1"/>
  <c r="DM45" i="1"/>
  <c r="DN45" i="1"/>
  <c r="DO45" i="1"/>
  <c r="DP45" i="1"/>
  <c r="DQ45" i="1"/>
  <c r="DR45" i="1"/>
  <c r="DS45" i="1"/>
  <c r="DT45" i="1"/>
  <c r="DU45" i="1"/>
  <c r="DV45" i="1"/>
  <c r="DW45" i="1"/>
  <c r="DI46" i="1"/>
  <c r="DJ46" i="1"/>
  <c r="DK46" i="1"/>
  <c r="DL46" i="1"/>
  <c r="DM46" i="1"/>
  <c r="DN46" i="1"/>
  <c r="DO46" i="1"/>
  <c r="DP46" i="1"/>
  <c r="DQ46" i="1"/>
  <c r="DR46" i="1"/>
  <c r="DS46" i="1"/>
  <c r="DT46" i="1"/>
  <c r="DU46" i="1"/>
  <c r="DV46" i="1"/>
  <c r="DW46" i="1"/>
  <c r="DI47" i="1"/>
  <c r="DJ47" i="1"/>
  <c r="DK47" i="1"/>
  <c r="DL47" i="1"/>
  <c r="DM47" i="1"/>
  <c r="DN47" i="1"/>
  <c r="DO47" i="1"/>
  <c r="DP47" i="1"/>
  <c r="DQ47" i="1"/>
  <c r="DR47" i="1"/>
  <c r="DS47" i="1"/>
  <c r="DT47" i="1"/>
  <c r="DU47" i="1"/>
  <c r="DV47" i="1"/>
  <c r="DW47" i="1"/>
  <c r="DI48" i="1"/>
  <c r="DJ48" i="1"/>
  <c r="DK48" i="1"/>
  <c r="DL48" i="1"/>
  <c r="DM48" i="1"/>
  <c r="DN48" i="1"/>
  <c r="DO48" i="1"/>
  <c r="DP48" i="1"/>
  <c r="DQ48" i="1"/>
  <c r="DR48" i="1"/>
  <c r="DS48" i="1"/>
  <c r="DT48" i="1"/>
  <c r="DU48" i="1"/>
  <c r="DV48" i="1"/>
  <c r="DW48" i="1"/>
  <c r="DI49" i="1"/>
  <c r="DJ49" i="1"/>
  <c r="DK49" i="1"/>
  <c r="DL49" i="1"/>
  <c r="DM49" i="1"/>
  <c r="DN49" i="1"/>
  <c r="DO49" i="1"/>
  <c r="DP49" i="1"/>
  <c r="DQ49" i="1"/>
  <c r="DR49" i="1"/>
  <c r="DS49" i="1"/>
  <c r="DT49" i="1"/>
  <c r="DU49" i="1"/>
  <c r="DV49" i="1"/>
  <c r="DW49" i="1"/>
  <c r="DI50" i="1"/>
  <c r="DJ50" i="1"/>
  <c r="DK50" i="1"/>
  <c r="DL50" i="1"/>
  <c r="DM50" i="1"/>
  <c r="DN50" i="1"/>
  <c r="DO50" i="1"/>
  <c r="DP50" i="1"/>
  <c r="DQ50" i="1"/>
  <c r="DR50" i="1"/>
  <c r="DS50" i="1"/>
  <c r="DT50" i="1"/>
  <c r="DU50" i="1"/>
  <c r="DV50" i="1"/>
  <c r="DW50" i="1"/>
  <c r="DI51" i="1"/>
  <c r="DJ51" i="1"/>
  <c r="DK51" i="1"/>
  <c r="DL51" i="1"/>
  <c r="DM51" i="1"/>
  <c r="DN51" i="1"/>
  <c r="DO51" i="1"/>
  <c r="DP51" i="1"/>
  <c r="DQ51" i="1"/>
  <c r="DR51" i="1"/>
  <c r="DS51" i="1"/>
  <c r="DT51" i="1"/>
  <c r="DU51" i="1"/>
  <c r="DV51" i="1"/>
  <c r="DW51" i="1"/>
  <c r="DI52" i="1"/>
  <c r="DJ52" i="1"/>
  <c r="DK52" i="1"/>
  <c r="DL52" i="1"/>
  <c r="DM52" i="1"/>
  <c r="DN52" i="1"/>
  <c r="DO52" i="1"/>
  <c r="DP52" i="1"/>
  <c r="DQ52" i="1"/>
  <c r="DR52" i="1"/>
  <c r="DS52" i="1"/>
  <c r="DT52" i="1"/>
  <c r="DU52" i="1"/>
  <c r="DV52" i="1"/>
  <c r="DW52" i="1"/>
  <c r="DI53" i="1"/>
  <c r="DJ53" i="1"/>
  <c r="DK53" i="1"/>
  <c r="DL53" i="1"/>
  <c r="DM53" i="1"/>
  <c r="DN53" i="1"/>
  <c r="DO53" i="1"/>
  <c r="DP53" i="1"/>
  <c r="DQ53" i="1"/>
  <c r="DR53" i="1"/>
  <c r="DS53" i="1"/>
  <c r="DT53" i="1"/>
  <c r="DU53" i="1"/>
  <c r="DV53" i="1"/>
  <c r="DW53" i="1"/>
  <c r="DI54" i="1"/>
  <c r="DJ54" i="1"/>
  <c r="DK54" i="1"/>
  <c r="DL54" i="1"/>
  <c r="DM54" i="1"/>
  <c r="DN54" i="1"/>
  <c r="DO54" i="1"/>
  <c r="DP54" i="1"/>
  <c r="DQ54" i="1"/>
  <c r="DR54" i="1"/>
  <c r="DS54" i="1"/>
  <c r="DT54" i="1"/>
  <c r="DU54" i="1"/>
  <c r="DV54" i="1"/>
  <c r="DW54" i="1"/>
  <c r="DI55" i="1"/>
  <c r="DJ55" i="1"/>
  <c r="DK55" i="1"/>
  <c r="DL55" i="1"/>
  <c r="DM55" i="1"/>
  <c r="DN55" i="1"/>
  <c r="DO55" i="1"/>
  <c r="DP55" i="1"/>
  <c r="DQ55" i="1"/>
  <c r="DR55" i="1"/>
  <c r="DS55" i="1"/>
  <c r="DT55" i="1"/>
  <c r="DU55" i="1"/>
  <c r="DV55" i="1"/>
  <c r="DW55" i="1"/>
  <c r="DI56" i="1"/>
  <c r="DJ56" i="1"/>
  <c r="DK56" i="1"/>
  <c r="DL56" i="1"/>
  <c r="DM56" i="1"/>
  <c r="DN56" i="1"/>
  <c r="DO56" i="1"/>
  <c r="DP56" i="1"/>
  <c r="DQ56" i="1"/>
  <c r="DR56" i="1"/>
  <c r="DS56" i="1"/>
  <c r="DT56" i="1"/>
  <c r="DU56" i="1"/>
  <c r="DV56" i="1"/>
  <c r="DW56" i="1"/>
  <c r="DI57" i="1"/>
  <c r="DJ57" i="1"/>
  <c r="DK57" i="1"/>
  <c r="DL57" i="1"/>
  <c r="DM57" i="1"/>
  <c r="DN57" i="1"/>
  <c r="DO57" i="1"/>
  <c r="DP57" i="1"/>
  <c r="DQ57" i="1"/>
  <c r="DR57" i="1"/>
  <c r="DS57" i="1"/>
  <c r="DT57" i="1"/>
  <c r="DU57" i="1"/>
  <c r="DV57" i="1"/>
  <c r="DW57" i="1"/>
  <c r="DI58" i="1"/>
  <c r="DJ58" i="1"/>
  <c r="DK58" i="1"/>
  <c r="DL58" i="1"/>
  <c r="DM58" i="1"/>
  <c r="DN58" i="1"/>
  <c r="DO58" i="1"/>
  <c r="DP58" i="1"/>
  <c r="DQ58" i="1"/>
  <c r="DR58" i="1"/>
  <c r="DS58" i="1"/>
  <c r="DT58" i="1"/>
  <c r="DU58" i="1"/>
  <c r="DV58" i="1"/>
  <c r="DW58" i="1"/>
  <c r="DI59" i="1"/>
  <c r="DJ59" i="1"/>
  <c r="DK59" i="1"/>
  <c r="DL59" i="1"/>
  <c r="DM59" i="1"/>
  <c r="DN59" i="1"/>
  <c r="DO59" i="1"/>
  <c r="DP59" i="1"/>
  <c r="DQ59" i="1"/>
  <c r="DR59" i="1"/>
  <c r="DS59" i="1"/>
  <c r="DT59" i="1"/>
  <c r="DU59" i="1"/>
  <c r="DV59" i="1"/>
  <c r="DW59" i="1"/>
  <c r="DI60" i="1"/>
  <c r="DJ60" i="1"/>
  <c r="DK60" i="1"/>
  <c r="DL60" i="1"/>
  <c r="DM60" i="1"/>
  <c r="DN60" i="1"/>
  <c r="DO60" i="1"/>
  <c r="DP60" i="1"/>
  <c r="DQ60" i="1"/>
  <c r="DR60" i="1"/>
  <c r="DS60" i="1"/>
  <c r="DT60" i="1"/>
  <c r="DU60" i="1"/>
  <c r="DV60" i="1"/>
  <c r="DW60" i="1"/>
  <c r="DI61" i="1"/>
  <c r="DJ61" i="1"/>
  <c r="DK61" i="1"/>
  <c r="DL61" i="1"/>
  <c r="DM61" i="1"/>
  <c r="DN61" i="1"/>
  <c r="DO61" i="1"/>
  <c r="DP61" i="1"/>
  <c r="DQ61" i="1"/>
  <c r="DR61" i="1"/>
  <c r="DS61" i="1"/>
  <c r="DT61" i="1"/>
  <c r="DU61" i="1"/>
  <c r="DV61" i="1"/>
  <c r="DW61" i="1"/>
  <c r="DI62" i="1"/>
  <c r="DJ62" i="1"/>
  <c r="DK62" i="1"/>
  <c r="DL62" i="1"/>
  <c r="DM62" i="1"/>
  <c r="DN62" i="1"/>
  <c r="DO62" i="1"/>
  <c r="DP62" i="1"/>
  <c r="DQ62" i="1"/>
  <c r="DR62" i="1"/>
  <c r="DS62" i="1"/>
  <c r="DT62" i="1"/>
  <c r="DU62" i="1"/>
  <c r="DV62" i="1"/>
  <c r="DW62" i="1"/>
  <c r="DI63" i="1"/>
  <c r="DJ63" i="1"/>
  <c r="DK63" i="1"/>
  <c r="DL63" i="1"/>
  <c r="DM63" i="1"/>
  <c r="DN63" i="1"/>
  <c r="DO63" i="1"/>
  <c r="DP63" i="1"/>
  <c r="DQ63" i="1"/>
  <c r="DR63" i="1"/>
  <c r="DS63" i="1"/>
  <c r="DT63" i="1"/>
  <c r="DU63" i="1"/>
  <c r="DV63" i="1"/>
  <c r="DW63" i="1"/>
  <c r="DI64" i="1"/>
  <c r="DJ64" i="1"/>
  <c r="DK64" i="1"/>
  <c r="DL64" i="1"/>
  <c r="DM64" i="1"/>
  <c r="DN64" i="1"/>
  <c r="DO64" i="1"/>
  <c r="DP64" i="1"/>
  <c r="DQ64" i="1"/>
  <c r="DR64" i="1"/>
  <c r="DS64" i="1"/>
  <c r="DT64" i="1"/>
  <c r="DU64" i="1"/>
  <c r="DV64" i="1"/>
  <c r="DW64" i="1"/>
  <c r="DI65" i="1"/>
  <c r="DJ65" i="1"/>
  <c r="DK65" i="1"/>
  <c r="DL65" i="1"/>
  <c r="DM65" i="1"/>
  <c r="DN65" i="1"/>
  <c r="DO65" i="1"/>
  <c r="DP65" i="1"/>
  <c r="DQ65" i="1"/>
  <c r="DR65" i="1"/>
  <c r="DS65" i="1"/>
  <c r="DT65" i="1"/>
  <c r="DU65" i="1"/>
  <c r="DV65" i="1"/>
  <c r="DW65" i="1"/>
  <c r="DI66" i="1"/>
  <c r="DJ66" i="1"/>
  <c r="DK66" i="1"/>
  <c r="DL66" i="1"/>
  <c r="DM66" i="1"/>
  <c r="DN66" i="1"/>
  <c r="DO66" i="1"/>
  <c r="DP66" i="1"/>
  <c r="DQ66" i="1"/>
  <c r="DR66" i="1"/>
  <c r="DS66" i="1"/>
  <c r="DT66" i="1"/>
  <c r="DU66" i="1"/>
  <c r="DV66" i="1"/>
  <c r="DW66" i="1"/>
  <c r="DI67" i="1"/>
  <c r="DJ67" i="1"/>
  <c r="DK67" i="1"/>
  <c r="DL67" i="1"/>
  <c r="DM67" i="1"/>
  <c r="DN67" i="1"/>
  <c r="DO67" i="1"/>
  <c r="DP67" i="1"/>
  <c r="DQ67" i="1"/>
  <c r="DR67" i="1"/>
  <c r="DS67" i="1"/>
  <c r="DT67" i="1"/>
  <c r="DU67" i="1"/>
  <c r="DV67" i="1"/>
  <c r="DW67" i="1"/>
  <c r="DI68" i="1"/>
  <c r="DJ68" i="1"/>
  <c r="DK68" i="1"/>
  <c r="DL68" i="1"/>
  <c r="DM68" i="1"/>
  <c r="DN68" i="1"/>
  <c r="DO68" i="1"/>
  <c r="DP68" i="1"/>
  <c r="DQ68" i="1"/>
  <c r="DR68" i="1"/>
  <c r="DS68" i="1"/>
  <c r="DT68" i="1"/>
  <c r="DU68" i="1"/>
  <c r="DV68" i="1"/>
  <c r="DW68" i="1"/>
  <c r="DI69" i="1"/>
  <c r="DJ69" i="1"/>
  <c r="DK69" i="1"/>
  <c r="DL69" i="1"/>
  <c r="DM69" i="1"/>
  <c r="DN69" i="1"/>
  <c r="DO69" i="1"/>
  <c r="DP69" i="1"/>
  <c r="DQ69" i="1"/>
  <c r="DR69" i="1"/>
  <c r="DS69" i="1"/>
  <c r="DT69" i="1"/>
  <c r="DU69" i="1"/>
  <c r="DV69" i="1"/>
  <c r="DW69" i="1"/>
  <c r="DI70" i="1"/>
  <c r="DJ70" i="1"/>
  <c r="DK70" i="1"/>
  <c r="DL70" i="1"/>
  <c r="DM70" i="1"/>
  <c r="DN70" i="1"/>
  <c r="DO70" i="1"/>
  <c r="DP70" i="1"/>
  <c r="DQ70" i="1"/>
  <c r="DR70" i="1"/>
  <c r="DS70" i="1"/>
  <c r="DT70" i="1"/>
  <c r="DU70" i="1"/>
  <c r="DV70" i="1"/>
  <c r="DW70" i="1"/>
  <c r="DI71" i="1"/>
  <c r="DJ71" i="1"/>
  <c r="DK71" i="1"/>
  <c r="DL71" i="1"/>
  <c r="DM71" i="1"/>
  <c r="DN71" i="1"/>
  <c r="DO71" i="1"/>
  <c r="DP71" i="1"/>
  <c r="DQ71" i="1"/>
  <c r="DR71" i="1"/>
  <c r="DS71" i="1"/>
  <c r="DT71" i="1"/>
  <c r="DU71" i="1"/>
  <c r="DV71" i="1"/>
  <c r="DW71" i="1"/>
  <c r="DI72" i="1"/>
  <c r="DJ72" i="1"/>
  <c r="DK72" i="1"/>
  <c r="DL72" i="1"/>
  <c r="DM72" i="1"/>
  <c r="DN72" i="1"/>
  <c r="DO72" i="1"/>
  <c r="DP72" i="1"/>
  <c r="DQ72" i="1"/>
  <c r="DR72" i="1"/>
  <c r="DS72" i="1"/>
  <c r="DT72" i="1"/>
  <c r="DU72" i="1"/>
  <c r="DV72" i="1"/>
  <c r="DW72" i="1"/>
  <c r="DI73" i="1"/>
  <c r="DJ73" i="1"/>
  <c r="DK73" i="1"/>
  <c r="DL73" i="1"/>
  <c r="DM73" i="1"/>
  <c r="DN73" i="1"/>
  <c r="DO73" i="1"/>
  <c r="DP73" i="1"/>
  <c r="DQ73" i="1"/>
  <c r="DR73" i="1"/>
  <c r="DS73" i="1"/>
  <c r="DT73" i="1"/>
  <c r="DU73" i="1"/>
  <c r="DV73" i="1"/>
  <c r="DW73" i="1"/>
  <c r="DI74" i="1"/>
  <c r="DJ74" i="1"/>
  <c r="DK74" i="1"/>
  <c r="DL74" i="1"/>
  <c r="DM74" i="1"/>
  <c r="DN74" i="1"/>
  <c r="DO74" i="1"/>
  <c r="DP74" i="1"/>
  <c r="DQ74" i="1"/>
  <c r="DR74" i="1"/>
  <c r="DS74" i="1"/>
  <c r="DT74" i="1"/>
  <c r="DU74" i="1"/>
  <c r="DV74" i="1"/>
  <c r="DW74" i="1"/>
  <c r="DI75" i="1"/>
  <c r="DJ75" i="1"/>
  <c r="DK75" i="1"/>
  <c r="DL75" i="1"/>
  <c r="DM75" i="1"/>
  <c r="DN75" i="1"/>
  <c r="DO75" i="1"/>
  <c r="DP75" i="1"/>
  <c r="DQ75" i="1"/>
  <c r="DR75" i="1"/>
  <c r="DS75" i="1"/>
  <c r="DT75" i="1"/>
  <c r="DU75" i="1"/>
  <c r="DV75" i="1"/>
  <c r="DW75" i="1"/>
  <c r="DI76" i="1"/>
  <c r="DJ76" i="1"/>
  <c r="DK76" i="1"/>
  <c r="DL76" i="1"/>
  <c r="DM76" i="1"/>
  <c r="DN76" i="1"/>
  <c r="DO76" i="1"/>
  <c r="DP76" i="1"/>
  <c r="DQ76" i="1"/>
  <c r="DR76" i="1"/>
  <c r="DS76" i="1"/>
  <c r="DT76" i="1"/>
  <c r="DU76" i="1"/>
  <c r="DV76" i="1"/>
  <c r="DW76" i="1"/>
  <c r="DI77" i="1"/>
  <c r="DJ77" i="1"/>
  <c r="DK77" i="1"/>
  <c r="DL77" i="1"/>
  <c r="DM77" i="1"/>
  <c r="DN77" i="1"/>
  <c r="DO77" i="1"/>
  <c r="DP77" i="1"/>
  <c r="DQ77" i="1"/>
  <c r="DR77" i="1"/>
  <c r="DS77" i="1"/>
  <c r="DT77" i="1"/>
  <c r="DU77" i="1"/>
  <c r="DV77" i="1"/>
  <c r="DW77" i="1"/>
  <c r="DI78" i="1"/>
  <c r="DJ78" i="1"/>
  <c r="DK78" i="1"/>
  <c r="DL78" i="1"/>
  <c r="DM78" i="1"/>
  <c r="DN78" i="1"/>
  <c r="DO78" i="1"/>
  <c r="DP78" i="1"/>
  <c r="DQ78" i="1"/>
  <c r="DR78" i="1"/>
  <c r="DS78" i="1"/>
  <c r="DT78" i="1"/>
  <c r="DU78" i="1"/>
  <c r="DV78" i="1"/>
  <c r="DW78" i="1"/>
  <c r="DI79" i="1"/>
  <c r="DJ79" i="1"/>
  <c r="DK79" i="1"/>
  <c r="DL79" i="1"/>
  <c r="DM79" i="1"/>
  <c r="DN79" i="1"/>
  <c r="DO79" i="1"/>
  <c r="DP79" i="1"/>
  <c r="DQ79" i="1"/>
  <c r="DR79" i="1"/>
  <c r="DS79" i="1"/>
  <c r="DT79" i="1"/>
  <c r="DU79" i="1"/>
  <c r="DV79" i="1"/>
  <c r="DW79" i="1"/>
  <c r="DI80" i="1"/>
  <c r="DJ80" i="1"/>
  <c r="DK80" i="1"/>
  <c r="DL80" i="1"/>
  <c r="DM80" i="1"/>
  <c r="DN80" i="1"/>
  <c r="DO80" i="1"/>
  <c r="DP80" i="1"/>
  <c r="DQ80" i="1"/>
  <c r="DR80" i="1"/>
  <c r="DS80" i="1"/>
  <c r="DT80" i="1"/>
  <c r="DU80" i="1"/>
  <c r="DV80" i="1"/>
  <c r="DW80" i="1"/>
  <c r="DI81" i="1"/>
  <c r="DJ81" i="1"/>
  <c r="DK81" i="1"/>
  <c r="DL81" i="1"/>
  <c r="DM81" i="1"/>
  <c r="DN81" i="1"/>
  <c r="DO81" i="1"/>
  <c r="DP81" i="1"/>
  <c r="DQ81" i="1"/>
  <c r="DR81" i="1"/>
  <c r="DS81" i="1"/>
  <c r="DT81" i="1"/>
  <c r="DU81" i="1"/>
  <c r="DV81" i="1"/>
  <c r="DW81" i="1"/>
  <c r="DI82" i="1"/>
  <c r="DJ82" i="1"/>
  <c r="DK82" i="1"/>
  <c r="DL82" i="1"/>
  <c r="DM82" i="1"/>
  <c r="DN82" i="1"/>
  <c r="DO82" i="1"/>
  <c r="DP82" i="1"/>
  <c r="DQ82" i="1"/>
  <c r="DR82" i="1"/>
  <c r="DS82" i="1"/>
  <c r="DT82" i="1"/>
  <c r="DU82" i="1"/>
  <c r="DV82" i="1"/>
  <c r="DW82" i="1"/>
  <c r="DI83" i="1"/>
  <c r="DJ83" i="1"/>
  <c r="DK83" i="1"/>
  <c r="DL83" i="1"/>
  <c r="DM83" i="1"/>
  <c r="DN83" i="1"/>
  <c r="DO83" i="1"/>
  <c r="DP83" i="1"/>
  <c r="DQ83" i="1"/>
  <c r="DR83" i="1"/>
  <c r="DS83" i="1"/>
  <c r="DT83" i="1"/>
  <c r="DU83" i="1"/>
  <c r="DV83" i="1"/>
  <c r="DW83" i="1"/>
  <c r="DI84" i="1"/>
  <c r="DJ84" i="1"/>
  <c r="DK84" i="1"/>
  <c r="DL84" i="1"/>
  <c r="DM84" i="1"/>
  <c r="DN84" i="1"/>
  <c r="DO84" i="1"/>
  <c r="DP84" i="1"/>
  <c r="DQ84" i="1"/>
  <c r="DR84" i="1"/>
  <c r="DS84" i="1"/>
  <c r="DT84" i="1"/>
  <c r="DU84" i="1"/>
  <c r="DV84" i="1"/>
  <c r="DW84" i="1"/>
  <c r="DI85" i="1"/>
  <c r="DJ85" i="1"/>
  <c r="DK85" i="1"/>
  <c r="DL85" i="1"/>
  <c r="DM85" i="1"/>
  <c r="DN85" i="1"/>
  <c r="DO85" i="1"/>
  <c r="DP85" i="1"/>
  <c r="DQ85" i="1"/>
  <c r="DR85" i="1"/>
  <c r="DS85" i="1"/>
  <c r="DT85" i="1"/>
  <c r="DU85" i="1"/>
  <c r="DV85" i="1"/>
  <c r="DW85" i="1"/>
  <c r="DI86" i="1"/>
  <c r="DJ86" i="1"/>
  <c r="DK86" i="1"/>
  <c r="DL86" i="1"/>
  <c r="DM86" i="1"/>
  <c r="DN86" i="1"/>
  <c r="DO86" i="1"/>
  <c r="DP86" i="1"/>
  <c r="DQ86" i="1"/>
  <c r="DR86" i="1"/>
  <c r="DS86" i="1"/>
  <c r="DT86" i="1"/>
  <c r="DU86" i="1"/>
  <c r="DV86" i="1"/>
  <c r="DW86" i="1"/>
  <c r="DI87" i="1"/>
  <c r="DJ87" i="1"/>
  <c r="DK87" i="1"/>
  <c r="DL87" i="1"/>
  <c r="DM87" i="1"/>
  <c r="DN87" i="1"/>
  <c r="DO87" i="1"/>
  <c r="DP87" i="1"/>
  <c r="DQ87" i="1"/>
  <c r="DR87" i="1"/>
  <c r="DS87" i="1"/>
  <c r="DT87" i="1"/>
  <c r="DU87" i="1"/>
  <c r="DV87" i="1"/>
  <c r="DW87" i="1"/>
  <c r="DI88" i="1"/>
  <c r="DJ88" i="1"/>
  <c r="DK88" i="1"/>
  <c r="DL88" i="1"/>
  <c r="DM88" i="1"/>
  <c r="DN88" i="1"/>
  <c r="DO88" i="1"/>
  <c r="DP88" i="1"/>
  <c r="DQ88" i="1"/>
  <c r="DR88" i="1"/>
  <c r="DS88" i="1"/>
  <c r="DT88" i="1"/>
  <c r="DU88" i="1"/>
  <c r="DV88" i="1"/>
  <c r="DW88" i="1"/>
  <c r="DI89" i="1"/>
  <c r="DJ89" i="1"/>
  <c r="DK89" i="1"/>
  <c r="DL89" i="1"/>
  <c r="DM89" i="1"/>
  <c r="DN89" i="1"/>
  <c r="DO89" i="1"/>
  <c r="DP89" i="1"/>
  <c r="DQ89" i="1"/>
  <c r="DR89" i="1"/>
  <c r="DS89" i="1"/>
  <c r="DT89" i="1"/>
  <c r="DU89" i="1"/>
  <c r="DV89" i="1"/>
  <c r="DW89" i="1"/>
  <c r="DI90" i="1"/>
  <c r="DJ90" i="1"/>
  <c r="DK90" i="1"/>
  <c r="DL90" i="1"/>
  <c r="DM90" i="1"/>
  <c r="DN90" i="1"/>
  <c r="DO90" i="1"/>
  <c r="DP90" i="1"/>
  <c r="DQ90" i="1"/>
  <c r="DR90" i="1"/>
  <c r="DS90" i="1"/>
  <c r="DT90" i="1"/>
  <c r="DU90" i="1"/>
  <c r="DV90" i="1"/>
  <c r="DW90" i="1"/>
  <c r="DI91" i="1"/>
  <c r="DJ91" i="1"/>
  <c r="DK91" i="1"/>
  <c r="DL91" i="1"/>
  <c r="DM91" i="1"/>
  <c r="DN91" i="1"/>
  <c r="DO91" i="1"/>
  <c r="DP91" i="1"/>
  <c r="DQ91" i="1"/>
  <c r="DR91" i="1"/>
  <c r="DS91" i="1"/>
  <c r="DT91" i="1"/>
  <c r="DU91" i="1"/>
  <c r="DV91" i="1"/>
  <c r="DW91" i="1"/>
  <c r="DI92" i="1"/>
  <c r="DJ92" i="1"/>
  <c r="DK92" i="1"/>
  <c r="DL92" i="1"/>
  <c r="DM92" i="1"/>
  <c r="DN92" i="1"/>
  <c r="DO92" i="1"/>
  <c r="DP92" i="1"/>
  <c r="DQ92" i="1"/>
  <c r="DR92" i="1"/>
  <c r="DS92" i="1"/>
  <c r="DT92" i="1"/>
  <c r="DU92" i="1"/>
  <c r="DV92" i="1"/>
  <c r="DW92" i="1"/>
  <c r="DI93" i="1"/>
  <c r="DJ93" i="1"/>
  <c r="DK93" i="1"/>
  <c r="DL93" i="1"/>
  <c r="DM93" i="1"/>
  <c r="DN93" i="1"/>
  <c r="DO93" i="1"/>
  <c r="DP93" i="1"/>
  <c r="DQ93" i="1"/>
  <c r="DR93" i="1"/>
  <c r="DS93" i="1"/>
  <c r="DT93" i="1"/>
  <c r="DU93" i="1"/>
  <c r="DV93" i="1"/>
  <c r="DW93" i="1"/>
  <c r="DI94" i="1"/>
  <c r="DJ94" i="1"/>
  <c r="DK94" i="1"/>
  <c r="DL94" i="1"/>
  <c r="DM94" i="1"/>
  <c r="DN94" i="1"/>
  <c r="DO94" i="1"/>
  <c r="DP94" i="1"/>
  <c r="DQ94" i="1"/>
  <c r="DR94" i="1"/>
  <c r="DS94" i="1"/>
  <c r="DT94" i="1"/>
  <c r="DU94" i="1"/>
  <c r="DV94" i="1"/>
  <c r="DW94" i="1"/>
  <c r="DI95" i="1"/>
  <c r="DJ95" i="1"/>
  <c r="DK95" i="1"/>
  <c r="DL95" i="1"/>
  <c r="DM95" i="1"/>
  <c r="DN95" i="1"/>
  <c r="DO95" i="1"/>
  <c r="DP95" i="1"/>
  <c r="DQ95" i="1"/>
  <c r="DR95" i="1"/>
  <c r="DS95" i="1"/>
  <c r="DT95" i="1"/>
  <c r="DU95" i="1"/>
  <c r="DV95" i="1"/>
  <c r="DW95" i="1"/>
  <c r="DI96" i="1"/>
  <c r="DJ96" i="1"/>
  <c r="DK96" i="1"/>
  <c r="DL96" i="1"/>
  <c r="DM96" i="1"/>
  <c r="DN96" i="1"/>
  <c r="DO96" i="1"/>
  <c r="DP96" i="1"/>
  <c r="DQ96" i="1"/>
  <c r="DR96" i="1"/>
  <c r="DS96" i="1"/>
  <c r="DT96" i="1"/>
  <c r="DU96" i="1"/>
  <c r="DV96" i="1"/>
  <c r="DW96" i="1"/>
  <c r="DI97" i="1"/>
  <c r="DJ97" i="1"/>
  <c r="DK97" i="1"/>
  <c r="DL97" i="1"/>
  <c r="DM97" i="1"/>
  <c r="DN97" i="1"/>
  <c r="DO97" i="1"/>
  <c r="DP97" i="1"/>
  <c r="DQ97" i="1"/>
  <c r="DR97" i="1"/>
  <c r="DS97" i="1"/>
  <c r="DT97" i="1"/>
  <c r="DU97" i="1"/>
  <c r="DV97" i="1"/>
  <c r="DW97" i="1"/>
  <c r="DI98" i="1"/>
  <c r="DJ98" i="1"/>
  <c r="DK98" i="1"/>
  <c r="DL98" i="1"/>
  <c r="DM98" i="1"/>
  <c r="DN98" i="1"/>
  <c r="DO98" i="1"/>
  <c r="DP98" i="1"/>
  <c r="DQ98" i="1"/>
  <c r="DR98" i="1"/>
  <c r="DS98" i="1"/>
  <c r="DT98" i="1"/>
  <c r="DU98" i="1"/>
  <c r="DV98" i="1"/>
  <c r="DW98" i="1"/>
  <c r="DI99" i="1"/>
  <c r="DJ99" i="1"/>
  <c r="DK99" i="1"/>
  <c r="DL99" i="1"/>
  <c r="DM99" i="1"/>
  <c r="DN99" i="1"/>
  <c r="DO99" i="1"/>
  <c r="DP99" i="1"/>
  <c r="DQ99" i="1"/>
  <c r="DR99" i="1"/>
  <c r="DS99" i="1"/>
  <c r="DT99" i="1"/>
  <c r="DU99" i="1"/>
  <c r="DV99" i="1"/>
  <c r="DW99" i="1"/>
  <c r="DI100" i="1"/>
  <c r="DJ100" i="1"/>
  <c r="DK100" i="1"/>
  <c r="DL100" i="1"/>
  <c r="DM100" i="1"/>
  <c r="DN100" i="1"/>
  <c r="DO100" i="1"/>
  <c r="DP100" i="1"/>
  <c r="DQ100" i="1"/>
  <c r="DR100" i="1"/>
  <c r="DS100" i="1"/>
  <c r="DT100" i="1"/>
  <c r="DU100" i="1"/>
  <c r="DV100" i="1"/>
  <c r="DW100" i="1"/>
  <c r="DI101" i="1"/>
  <c r="DJ101" i="1"/>
  <c r="DK101" i="1"/>
  <c r="DL101" i="1"/>
  <c r="DM101" i="1"/>
  <c r="DN101" i="1"/>
  <c r="DO101" i="1"/>
  <c r="DP101" i="1"/>
  <c r="DQ101" i="1"/>
  <c r="DR101" i="1"/>
  <c r="DS101" i="1"/>
  <c r="DT101" i="1"/>
  <c r="DU101" i="1"/>
  <c r="DV101" i="1"/>
  <c r="DW101" i="1"/>
  <c r="DI102" i="1"/>
  <c r="DJ102" i="1"/>
  <c r="DK102" i="1"/>
  <c r="DL102" i="1"/>
  <c r="DM102" i="1"/>
  <c r="DN102" i="1"/>
  <c r="DO102" i="1"/>
  <c r="DP102" i="1"/>
  <c r="DQ102" i="1"/>
  <c r="DR102" i="1"/>
  <c r="DS102" i="1"/>
  <c r="DT102" i="1"/>
  <c r="DU102" i="1"/>
  <c r="DV102" i="1"/>
  <c r="DW102" i="1"/>
  <c r="DI103" i="1"/>
  <c r="DJ103" i="1"/>
  <c r="DK103" i="1"/>
  <c r="DL103" i="1"/>
  <c r="DM103" i="1"/>
  <c r="DN103" i="1"/>
  <c r="DO103" i="1"/>
  <c r="DP103" i="1"/>
  <c r="DQ103" i="1"/>
  <c r="DR103" i="1"/>
  <c r="DS103" i="1"/>
  <c r="DT103" i="1"/>
  <c r="DU103" i="1"/>
  <c r="DV103" i="1"/>
  <c r="DW103" i="1"/>
  <c r="DI104" i="1"/>
  <c r="DJ104" i="1"/>
  <c r="DK104" i="1"/>
  <c r="DL104" i="1"/>
  <c r="DM104" i="1"/>
  <c r="DN104" i="1"/>
  <c r="DO104" i="1"/>
  <c r="DP104" i="1"/>
  <c r="DQ104" i="1"/>
  <c r="DR104" i="1"/>
  <c r="DS104" i="1"/>
  <c r="DT104" i="1"/>
  <c r="DU104" i="1"/>
  <c r="DV104" i="1"/>
  <c r="DW104" i="1"/>
  <c r="DI105" i="1"/>
  <c r="DJ105" i="1"/>
  <c r="DK105" i="1"/>
  <c r="DL105" i="1"/>
  <c r="DM105" i="1"/>
  <c r="DN105" i="1"/>
  <c r="DO105" i="1"/>
  <c r="DP105" i="1"/>
  <c r="DQ105" i="1"/>
  <c r="DR105" i="1"/>
  <c r="DS105" i="1"/>
  <c r="DT105" i="1"/>
  <c r="DU105" i="1"/>
  <c r="DV105" i="1"/>
  <c r="DW105" i="1"/>
  <c r="DI106" i="1"/>
  <c r="DJ106" i="1"/>
  <c r="DK106" i="1"/>
  <c r="DL106" i="1"/>
  <c r="DM106" i="1"/>
  <c r="DN106" i="1"/>
  <c r="DO106" i="1"/>
  <c r="DP106" i="1"/>
  <c r="DQ106" i="1"/>
  <c r="DR106" i="1"/>
  <c r="DS106" i="1"/>
  <c r="DT106" i="1"/>
  <c r="DU106" i="1"/>
  <c r="DV106" i="1"/>
  <c r="DW106" i="1"/>
  <c r="DI107" i="1"/>
  <c r="DJ107" i="1"/>
  <c r="DK107" i="1"/>
  <c r="DL107" i="1"/>
  <c r="DM107" i="1"/>
  <c r="DN107" i="1"/>
  <c r="DO107" i="1"/>
  <c r="DP107" i="1"/>
  <c r="DQ107" i="1"/>
  <c r="DR107" i="1"/>
  <c r="DS107" i="1"/>
  <c r="DT107" i="1"/>
  <c r="DU107" i="1"/>
  <c r="DV107" i="1"/>
  <c r="DW107" i="1"/>
  <c r="DI108" i="1"/>
  <c r="DJ108" i="1"/>
  <c r="DK108" i="1"/>
  <c r="DL108" i="1"/>
  <c r="DM108" i="1"/>
  <c r="DN108" i="1"/>
  <c r="DO108" i="1"/>
  <c r="DP108" i="1"/>
  <c r="DQ108" i="1"/>
  <c r="DR108" i="1"/>
  <c r="DS108" i="1"/>
  <c r="DT108" i="1"/>
  <c r="DU108" i="1"/>
  <c r="DV108" i="1"/>
  <c r="DW108" i="1"/>
  <c r="DI109" i="1"/>
  <c r="DJ109" i="1"/>
  <c r="DK109" i="1"/>
  <c r="DL109" i="1"/>
  <c r="DM109" i="1"/>
  <c r="DN109" i="1"/>
  <c r="DO109" i="1"/>
  <c r="DP109" i="1"/>
  <c r="DQ109" i="1"/>
  <c r="DR109" i="1"/>
  <c r="DS109" i="1"/>
  <c r="DT109" i="1"/>
  <c r="DU109" i="1"/>
  <c r="DV109" i="1"/>
  <c r="DW109" i="1"/>
  <c r="DI110" i="1"/>
  <c r="DJ110" i="1"/>
  <c r="DK110" i="1"/>
  <c r="DL110" i="1"/>
  <c r="DM110" i="1"/>
  <c r="DN110" i="1"/>
  <c r="DO110" i="1"/>
  <c r="DP110" i="1"/>
  <c r="DQ110" i="1"/>
  <c r="DR110" i="1"/>
  <c r="DS110" i="1"/>
  <c r="DT110" i="1"/>
  <c r="DU110" i="1"/>
  <c r="DV110" i="1"/>
  <c r="DW110" i="1"/>
  <c r="DI111" i="1"/>
  <c r="DJ111" i="1"/>
  <c r="DK111" i="1"/>
  <c r="DL111" i="1"/>
  <c r="DM111" i="1"/>
  <c r="DN111" i="1"/>
  <c r="DO111" i="1"/>
  <c r="DP111" i="1"/>
  <c r="DQ111" i="1"/>
  <c r="DR111" i="1"/>
  <c r="DS111" i="1"/>
  <c r="DT111" i="1"/>
  <c r="DU111" i="1"/>
  <c r="DV111" i="1"/>
  <c r="DW111" i="1"/>
  <c r="DI112" i="1"/>
  <c r="DJ112" i="1"/>
  <c r="DK112" i="1"/>
  <c r="DL112" i="1"/>
  <c r="DM112" i="1"/>
  <c r="DN112" i="1"/>
  <c r="DO112" i="1"/>
  <c r="DP112" i="1"/>
  <c r="DQ112" i="1"/>
  <c r="DR112" i="1"/>
  <c r="DS112" i="1"/>
  <c r="DT112" i="1"/>
  <c r="DU112" i="1"/>
  <c r="DV112" i="1"/>
  <c r="DW112" i="1"/>
  <c r="DI113" i="1"/>
  <c r="DJ113" i="1"/>
  <c r="DK113" i="1"/>
  <c r="DL113" i="1"/>
  <c r="DM113" i="1"/>
  <c r="DN113" i="1"/>
  <c r="DO113" i="1"/>
  <c r="DP113" i="1"/>
  <c r="DQ113" i="1"/>
  <c r="DR113" i="1"/>
  <c r="DS113" i="1"/>
  <c r="DT113" i="1"/>
  <c r="DU113" i="1"/>
  <c r="DV113" i="1"/>
  <c r="DW113" i="1"/>
  <c r="DI114" i="1"/>
  <c r="DJ114" i="1"/>
  <c r="DK114" i="1"/>
  <c r="DL114" i="1"/>
  <c r="DM114" i="1"/>
  <c r="DN114" i="1"/>
  <c r="DO114" i="1"/>
  <c r="DP114" i="1"/>
  <c r="DQ114" i="1"/>
  <c r="DR114" i="1"/>
  <c r="DS114" i="1"/>
  <c r="DT114" i="1"/>
  <c r="DU114" i="1"/>
  <c r="DV114" i="1"/>
  <c r="DW114" i="1"/>
  <c r="DI115" i="1"/>
  <c r="DJ115" i="1"/>
  <c r="DK115" i="1"/>
  <c r="DL115" i="1"/>
  <c r="DM115" i="1"/>
  <c r="DN115" i="1"/>
  <c r="DO115" i="1"/>
  <c r="DP115" i="1"/>
  <c r="DQ115" i="1"/>
  <c r="DR115" i="1"/>
  <c r="DS115" i="1"/>
  <c r="DT115" i="1"/>
  <c r="DU115" i="1"/>
  <c r="DV115" i="1"/>
  <c r="DW115" i="1"/>
  <c r="DI116" i="1"/>
  <c r="DJ116" i="1"/>
  <c r="DK116" i="1"/>
  <c r="DL116" i="1"/>
  <c r="DM116" i="1"/>
  <c r="DN116" i="1"/>
  <c r="DO116" i="1"/>
  <c r="DP116" i="1"/>
  <c r="DQ116" i="1"/>
  <c r="DR116" i="1"/>
  <c r="DS116" i="1"/>
  <c r="DT116" i="1"/>
  <c r="DU116" i="1"/>
  <c r="DV116" i="1"/>
  <c r="DW116" i="1"/>
  <c r="DI117" i="1"/>
  <c r="DJ117" i="1"/>
  <c r="DK117" i="1"/>
  <c r="DL117" i="1"/>
  <c r="DM117" i="1"/>
  <c r="DN117" i="1"/>
  <c r="DO117" i="1"/>
  <c r="DP117" i="1"/>
  <c r="DQ117" i="1"/>
  <c r="DR117" i="1"/>
  <c r="DS117" i="1"/>
  <c r="DT117" i="1"/>
  <c r="DU117" i="1"/>
  <c r="DV117" i="1"/>
  <c r="DW117" i="1"/>
  <c r="DI118" i="1"/>
  <c r="DJ118" i="1"/>
  <c r="DK118" i="1"/>
  <c r="DL118" i="1"/>
  <c r="DM118" i="1"/>
  <c r="DN118" i="1"/>
  <c r="DO118" i="1"/>
  <c r="DP118" i="1"/>
  <c r="DQ118" i="1"/>
  <c r="DR118" i="1"/>
  <c r="DS118" i="1"/>
  <c r="DT118" i="1"/>
  <c r="DU118" i="1"/>
  <c r="DV118" i="1"/>
  <c r="DW118" i="1"/>
  <c r="DI119" i="1"/>
  <c r="DJ119" i="1"/>
  <c r="DK119" i="1"/>
  <c r="DL119" i="1"/>
  <c r="DM119" i="1"/>
  <c r="DN119" i="1"/>
  <c r="DO119" i="1"/>
  <c r="DP119" i="1"/>
  <c r="DQ119" i="1"/>
  <c r="DR119" i="1"/>
  <c r="DS119" i="1"/>
  <c r="DT119" i="1"/>
  <c r="DU119" i="1"/>
  <c r="DV119" i="1"/>
  <c r="DW119" i="1"/>
  <c r="DI120" i="1"/>
  <c r="DJ120" i="1"/>
  <c r="DK120" i="1"/>
  <c r="DL120" i="1"/>
  <c r="DM120" i="1"/>
  <c r="DN120" i="1"/>
  <c r="DO120" i="1"/>
  <c r="DP120" i="1"/>
  <c r="DQ120" i="1"/>
  <c r="DR120" i="1"/>
  <c r="DS120" i="1"/>
  <c r="DT120" i="1"/>
  <c r="DU120" i="1"/>
  <c r="DV120" i="1"/>
  <c r="DW120" i="1"/>
  <c r="DI121" i="1"/>
  <c r="DJ121" i="1"/>
  <c r="DK121" i="1"/>
  <c r="DL121" i="1"/>
  <c r="DM121" i="1"/>
  <c r="DN121" i="1"/>
  <c r="DO121" i="1"/>
  <c r="DP121" i="1"/>
  <c r="DQ121" i="1"/>
  <c r="DR121" i="1"/>
  <c r="DS121" i="1"/>
  <c r="DT121" i="1"/>
  <c r="DU121" i="1"/>
  <c r="DV121" i="1"/>
  <c r="DW121" i="1"/>
  <c r="DI122" i="1"/>
  <c r="DJ122" i="1"/>
  <c r="DK122" i="1"/>
  <c r="DL122" i="1"/>
  <c r="DM122" i="1"/>
  <c r="DN122" i="1"/>
  <c r="DO122" i="1"/>
  <c r="DP122" i="1"/>
  <c r="DQ122" i="1"/>
  <c r="DR122" i="1"/>
  <c r="DS122" i="1"/>
  <c r="DT122" i="1"/>
  <c r="DU122" i="1"/>
  <c r="DV122" i="1"/>
  <c r="DW122" i="1"/>
  <c r="DI123" i="1"/>
  <c r="DJ123" i="1"/>
  <c r="DK123" i="1"/>
  <c r="DL123" i="1"/>
  <c r="DM123" i="1"/>
  <c r="DN123" i="1"/>
  <c r="DO123" i="1"/>
  <c r="DP123" i="1"/>
  <c r="DQ123" i="1"/>
  <c r="DR123" i="1"/>
  <c r="DS123" i="1"/>
  <c r="DT123" i="1"/>
  <c r="DU123" i="1"/>
  <c r="DV123" i="1"/>
  <c r="DW123" i="1"/>
  <c r="DI124" i="1"/>
  <c r="DJ124" i="1"/>
  <c r="DK124" i="1"/>
  <c r="DL124" i="1"/>
  <c r="DM124" i="1"/>
  <c r="DN124" i="1"/>
  <c r="DO124" i="1"/>
  <c r="DP124" i="1"/>
  <c r="DQ124" i="1"/>
  <c r="DR124" i="1"/>
  <c r="DS124" i="1"/>
  <c r="DT124" i="1"/>
  <c r="DU124" i="1"/>
  <c r="DV124" i="1"/>
  <c r="DW124" i="1"/>
  <c r="DI125" i="1"/>
  <c r="DJ125" i="1"/>
  <c r="DK125" i="1"/>
  <c r="DL125" i="1"/>
  <c r="DM125" i="1"/>
  <c r="DN125" i="1"/>
  <c r="DO125" i="1"/>
  <c r="DP125" i="1"/>
  <c r="DQ125" i="1"/>
  <c r="DR125" i="1"/>
  <c r="DS125" i="1"/>
  <c r="DT125" i="1"/>
  <c r="DU125" i="1"/>
  <c r="DV125" i="1"/>
  <c r="DW125" i="1"/>
  <c r="DI126" i="1"/>
  <c r="DJ126" i="1"/>
  <c r="DK126" i="1"/>
  <c r="DL126" i="1"/>
  <c r="DM126" i="1"/>
  <c r="DN126" i="1"/>
  <c r="DO126" i="1"/>
  <c r="DP126" i="1"/>
  <c r="DQ126" i="1"/>
  <c r="DR126" i="1"/>
  <c r="DS126" i="1"/>
  <c r="DT126" i="1"/>
  <c r="DU126" i="1"/>
  <c r="DV126" i="1"/>
  <c r="DW126" i="1"/>
  <c r="DI127" i="1"/>
  <c r="DJ127" i="1"/>
  <c r="DK127" i="1"/>
  <c r="DL127" i="1"/>
  <c r="DM127" i="1"/>
  <c r="DN127" i="1"/>
  <c r="DO127" i="1"/>
  <c r="DP127" i="1"/>
  <c r="DQ127" i="1"/>
  <c r="DR127" i="1"/>
  <c r="DS127" i="1"/>
  <c r="DT127" i="1"/>
  <c r="DU127" i="1"/>
  <c r="DV127" i="1"/>
  <c r="DW127" i="1"/>
  <c r="DI128" i="1"/>
  <c r="DJ128" i="1"/>
  <c r="DK128" i="1"/>
  <c r="DL128" i="1"/>
  <c r="DM128" i="1"/>
  <c r="DN128" i="1"/>
  <c r="DO128" i="1"/>
  <c r="DP128" i="1"/>
  <c r="DQ128" i="1"/>
  <c r="DR128" i="1"/>
  <c r="DS128" i="1"/>
  <c r="DT128" i="1"/>
  <c r="DU128" i="1"/>
  <c r="DV128" i="1"/>
  <c r="DW128" i="1"/>
  <c r="DI129" i="1"/>
  <c r="DJ129" i="1"/>
  <c r="DK129" i="1"/>
  <c r="DL129" i="1"/>
  <c r="DM129" i="1"/>
  <c r="DN129" i="1"/>
  <c r="DO129" i="1"/>
  <c r="DP129" i="1"/>
  <c r="DQ129" i="1"/>
  <c r="DR129" i="1"/>
  <c r="DS129" i="1"/>
  <c r="DT129" i="1"/>
  <c r="DU129" i="1"/>
  <c r="DV129" i="1"/>
  <c r="DW129" i="1"/>
  <c r="DI130" i="1"/>
  <c r="DJ130" i="1"/>
  <c r="DK130" i="1"/>
  <c r="DL130" i="1"/>
  <c r="DM130" i="1"/>
  <c r="DN130" i="1"/>
  <c r="DO130" i="1"/>
  <c r="DP130" i="1"/>
  <c r="DQ130" i="1"/>
  <c r="DR130" i="1"/>
  <c r="DS130" i="1"/>
  <c r="DT130" i="1"/>
  <c r="DU130" i="1"/>
  <c r="DV130" i="1"/>
  <c r="DW130" i="1"/>
  <c r="DI131" i="1"/>
  <c r="DJ131" i="1"/>
  <c r="DK131" i="1"/>
  <c r="DL131" i="1"/>
  <c r="DM131" i="1"/>
  <c r="DN131" i="1"/>
  <c r="DO131" i="1"/>
  <c r="DP131" i="1"/>
  <c r="DQ131" i="1"/>
  <c r="DR131" i="1"/>
  <c r="DS131" i="1"/>
  <c r="DT131" i="1"/>
  <c r="DU131" i="1"/>
  <c r="DV131" i="1"/>
  <c r="DW131" i="1"/>
  <c r="DI132" i="1"/>
  <c r="DJ132" i="1"/>
  <c r="DK132" i="1"/>
  <c r="DL132" i="1"/>
  <c r="DM132" i="1"/>
  <c r="DN132" i="1"/>
  <c r="DO132" i="1"/>
  <c r="DP132" i="1"/>
  <c r="DQ132" i="1"/>
  <c r="DR132" i="1"/>
  <c r="DS132" i="1"/>
  <c r="DT132" i="1"/>
  <c r="DU132" i="1"/>
  <c r="DV132" i="1"/>
  <c r="DW132" i="1"/>
  <c r="DI133" i="1"/>
  <c r="DJ133" i="1"/>
  <c r="DK133" i="1"/>
  <c r="DL133" i="1"/>
  <c r="DM133" i="1"/>
  <c r="DN133" i="1"/>
  <c r="DO133" i="1"/>
  <c r="DP133" i="1"/>
  <c r="DQ133" i="1"/>
  <c r="DR133" i="1"/>
  <c r="DS133" i="1"/>
  <c r="DT133" i="1"/>
  <c r="DU133" i="1"/>
  <c r="DV133" i="1"/>
  <c r="DW133" i="1"/>
  <c r="DI134" i="1"/>
  <c r="DJ134" i="1"/>
  <c r="DK134" i="1"/>
  <c r="DL134" i="1"/>
  <c r="DM134" i="1"/>
  <c r="DN134" i="1"/>
  <c r="DO134" i="1"/>
  <c r="DP134" i="1"/>
  <c r="DQ134" i="1"/>
  <c r="DR134" i="1"/>
  <c r="DS134" i="1"/>
  <c r="DT134" i="1"/>
  <c r="DU134" i="1"/>
  <c r="DV134" i="1"/>
  <c r="DW134" i="1"/>
  <c r="DI135" i="1"/>
  <c r="DJ135" i="1"/>
  <c r="DK135" i="1"/>
  <c r="DL135" i="1"/>
  <c r="DM135" i="1"/>
  <c r="DN135" i="1"/>
  <c r="DO135" i="1"/>
  <c r="DP135" i="1"/>
  <c r="DQ135" i="1"/>
  <c r="DR135" i="1"/>
  <c r="DS135" i="1"/>
  <c r="DT135" i="1"/>
  <c r="DU135" i="1"/>
  <c r="DV135" i="1"/>
  <c r="DW135" i="1"/>
  <c r="DI136" i="1"/>
  <c r="DJ136" i="1"/>
  <c r="DK136" i="1"/>
  <c r="DL136" i="1"/>
  <c r="DM136" i="1"/>
  <c r="DN136" i="1"/>
  <c r="DO136" i="1"/>
  <c r="DP136" i="1"/>
  <c r="DQ136" i="1"/>
  <c r="DR136" i="1"/>
  <c r="DS136" i="1"/>
  <c r="DT136" i="1"/>
  <c r="DU136" i="1"/>
  <c r="DV136" i="1"/>
  <c r="DW136" i="1"/>
  <c r="DI137" i="1"/>
  <c r="DJ137" i="1"/>
  <c r="DK137" i="1"/>
  <c r="DL137" i="1"/>
  <c r="DM137" i="1"/>
  <c r="DN137" i="1"/>
  <c r="DO137" i="1"/>
  <c r="DP137" i="1"/>
  <c r="DQ137" i="1"/>
  <c r="DR137" i="1"/>
  <c r="DS137" i="1"/>
  <c r="DT137" i="1"/>
  <c r="DU137" i="1"/>
  <c r="DV137" i="1"/>
  <c r="DW137" i="1"/>
  <c r="DI138" i="1"/>
  <c r="DJ138" i="1"/>
  <c r="DK138" i="1"/>
  <c r="DL138" i="1"/>
  <c r="DM138" i="1"/>
  <c r="DN138" i="1"/>
  <c r="DO138" i="1"/>
  <c r="DP138" i="1"/>
  <c r="DQ138" i="1"/>
  <c r="DR138" i="1"/>
  <c r="DS138" i="1"/>
  <c r="DT138" i="1"/>
  <c r="DU138" i="1"/>
  <c r="DV138" i="1"/>
  <c r="DW138" i="1"/>
  <c r="DI139" i="1"/>
  <c r="DJ139" i="1"/>
  <c r="DK139" i="1"/>
  <c r="DL139" i="1"/>
  <c r="DM139" i="1"/>
  <c r="DN139" i="1"/>
  <c r="DO139" i="1"/>
  <c r="DP139" i="1"/>
  <c r="DQ139" i="1"/>
  <c r="DR139" i="1"/>
  <c r="DS139" i="1"/>
  <c r="DT139" i="1"/>
  <c r="DU139" i="1"/>
  <c r="DV139" i="1"/>
  <c r="DW139" i="1"/>
  <c r="DI140" i="1"/>
  <c r="DJ140" i="1"/>
  <c r="DK140" i="1"/>
  <c r="DL140" i="1"/>
  <c r="DM140" i="1"/>
  <c r="DN140" i="1"/>
  <c r="DO140" i="1"/>
  <c r="DP140" i="1"/>
  <c r="DQ140" i="1"/>
  <c r="DR140" i="1"/>
  <c r="DS140" i="1"/>
  <c r="DT140" i="1"/>
  <c r="DU140" i="1"/>
  <c r="DV140" i="1"/>
  <c r="DW140" i="1"/>
  <c r="DI141" i="1"/>
  <c r="DJ141" i="1"/>
  <c r="DK141" i="1"/>
  <c r="DL141" i="1"/>
  <c r="DM141" i="1"/>
  <c r="DN141" i="1"/>
  <c r="DO141" i="1"/>
  <c r="DP141" i="1"/>
  <c r="DQ141" i="1"/>
  <c r="DR141" i="1"/>
  <c r="DS141" i="1"/>
  <c r="DT141" i="1"/>
  <c r="DU141" i="1"/>
  <c r="DV141" i="1"/>
  <c r="DW141" i="1"/>
  <c r="DI142" i="1"/>
  <c r="DJ142" i="1"/>
  <c r="DK142" i="1"/>
  <c r="DL142" i="1"/>
  <c r="DM142" i="1"/>
  <c r="DN142" i="1"/>
  <c r="DO142" i="1"/>
  <c r="DP142" i="1"/>
  <c r="DQ142" i="1"/>
  <c r="DR142" i="1"/>
  <c r="DS142" i="1"/>
  <c r="DT142" i="1"/>
  <c r="DU142" i="1"/>
  <c r="DV142" i="1"/>
  <c r="DW142" i="1"/>
  <c r="DI143" i="1"/>
  <c r="DJ143" i="1"/>
  <c r="DK143" i="1"/>
  <c r="DL143" i="1"/>
  <c r="DM143" i="1"/>
  <c r="DN143" i="1"/>
  <c r="DO143" i="1"/>
  <c r="DP143" i="1"/>
  <c r="DQ143" i="1"/>
  <c r="DR143" i="1"/>
  <c r="DS143" i="1"/>
  <c r="DT143" i="1"/>
  <c r="DU143" i="1"/>
  <c r="DV143" i="1"/>
  <c r="DW143" i="1"/>
  <c r="DI144" i="1"/>
  <c r="DJ144" i="1"/>
  <c r="DK144" i="1"/>
  <c r="DL144" i="1"/>
  <c r="DM144" i="1"/>
  <c r="DN144" i="1"/>
  <c r="DO144" i="1"/>
  <c r="DP144" i="1"/>
  <c r="DQ144" i="1"/>
  <c r="DR144" i="1"/>
  <c r="DS144" i="1"/>
  <c r="DT144" i="1"/>
  <c r="DU144" i="1"/>
  <c r="DV144" i="1"/>
  <c r="DW144" i="1"/>
  <c r="DI145" i="1"/>
  <c r="DJ145" i="1"/>
  <c r="DK145" i="1"/>
  <c r="DL145" i="1"/>
  <c r="DM145" i="1"/>
  <c r="DN145" i="1"/>
  <c r="DO145" i="1"/>
  <c r="DP145" i="1"/>
  <c r="DQ145" i="1"/>
  <c r="DR145" i="1"/>
  <c r="DS145" i="1"/>
  <c r="DT145" i="1"/>
  <c r="DU145" i="1"/>
  <c r="DV145" i="1"/>
  <c r="DW145" i="1"/>
  <c r="DI146" i="1"/>
  <c r="DJ146" i="1"/>
  <c r="DK146" i="1"/>
  <c r="DL146" i="1"/>
  <c r="DM146" i="1"/>
  <c r="DN146" i="1"/>
  <c r="DO146" i="1"/>
  <c r="DP146" i="1"/>
  <c r="DQ146" i="1"/>
  <c r="DR146" i="1"/>
  <c r="DS146" i="1"/>
  <c r="DT146" i="1"/>
  <c r="DU146" i="1"/>
  <c r="DV146" i="1"/>
  <c r="DW146" i="1"/>
  <c r="DI147" i="1"/>
  <c r="DJ147" i="1"/>
  <c r="DK147" i="1"/>
  <c r="DL147" i="1"/>
  <c r="DM147" i="1"/>
  <c r="DN147" i="1"/>
  <c r="DO147" i="1"/>
  <c r="DP147" i="1"/>
  <c r="DQ147" i="1"/>
  <c r="DR147" i="1"/>
  <c r="DS147" i="1"/>
  <c r="DT147" i="1"/>
  <c r="DU147" i="1"/>
  <c r="DV147" i="1"/>
  <c r="DW147" i="1"/>
  <c r="DI148" i="1"/>
  <c r="DJ148" i="1"/>
  <c r="DK148" i="1"/>
  <c r="DL148" i="1"/>
  <c r="DM148" i="1"/>
  <c r="DN148" i="1"/>
  <c r="DO148" i="1"/>
  <c r="DP148" i="1"/>
  <c r="DQ148" i="1"/>
  <c r="DR148" i="1"/>
  <c r="DS148" i="1"/>
  <c r="DT148" i="1"/>
  <c r="DU148" i="1"/>
  <c r="DV148" i="1"/>
  <c r="DW148" i="1"/>
  <c r="DI149" i="1"/>
  <c r="DJ149" i="1"/>
  <c r="DK149" i="1"/>
  <c r="DL149" i="1"/>
  <c r="DM149" i="1"/>
  <c r="DN149" i="1"/>
  <c r="DO149" i="1"/>
  <c r="DP149" i="1"/>
  <c r="DQ149" i="1"/>
  <c r="DR149" i="1"/>
  <c r="DS149" i="1"/>
  <c r="DT149" i="1"/>
  <c r="DU149" i="1"/>
  <c r="DV149" i="1"/>
  <c r="DW149" i="1"/>
  <c r="DI150" i="1"/>
  <c r="DJ150" i="1"/>
  <c r="DK150" i="1"/>
  <c r="DL150" i="1"/>
  <c r="DM150" i="1"/>
  <c r="DN150" i="1"/>
  <c r="DO150" i="1"/>
  <c r="DP150" i="1"/>
  <c r="DQ150" i="1"/>
  <c r="DR150" i="1"/>
  <c r="DS150" i="1"/>
  <c r="DT150" i="1"/>
  <c r="DU150" i="1"/>
  <c r="DV150" i="1"/>
  <c r="DW150" i="1"/>
  <c r="DI151" i="1"/>
  <c r="DJ151" i="1"/>
  <c r="DK151" i="1"/>
  <c r="DL151" i="1"/>
  <c r="DM151" i="1"/>
  <c r="DN151" i="1"/>
  <c r="DO151" i="1"/>
  <c r="DP151" i="1"/>
  <c r="DQ151" i="1"/>
  <c r="DR151" i="1"/>
  <c r="DS151" i="1"/>
  <c r="DT151" i="1"/>
  <c r="DU151" i="1"/>
  <c r="DV151" i="1"/>
  <c r="DW151" i="1"/>
  <c r="DI152" i="1"/>
  <c r="DJ152" i="1"/>
  <c r="DK152" i="1"/>
  <c r="DL152" i="1"/>
  <c r="DM152" i="1"/>
  <c r="DN152" i="1"/>
  <c r="DO152" i="1"/>
  <c r="DP152" i="1"/>
  <c r="DQ152" i="1"/>
  <c r="DR152" i="1"/>
  <c r="DS152" i="1"/>
  <c r="DT152" i="1"/>
  <c r="DU152" i="1"/>
  <c r="DV152" i="1"/>
  <c r="DW152" i="1"/>
  <c r="DI153" i="1"/>
  <c r="DJ153" i="1"/>
  <c r="DK153" i="1"/>
  <c r="DL153" i="1"/>
  <c r="DM153" i="1"/>
  <c r="DN153" i="1"/>
  <c r="DO153" i="1"/>
  <c r="DP153" i="1"/>
  <c r="DQ153" i="1"/>
  <c r="DR153" i="1"/>
  <c r="DS153" i="1"/>
  <c r="DT153" i="1"/>
  <c r="DU153" i="1"/>
  <c r="DV153" i="1"/>
  <c r="DW153" i="1"/>
  <c r="DI154" i="1"/>
  <c r="DJ154" i="1"/>
  <c r="DK154" i="1"/>
  <c r="DL154" i="1"/>
  <c r="DM154" i="1"/>
  <c r="DN154" i="1"/>
  <c r="DO154" i="1"/>
  <c r="DP154" i="1"/>
  <c r="DQ154" i="1"/>
  <c r="DR154" i="1"/>
  <c r="DS154" i="1"/>
  <c r="DT154" i="1"/>
  <c r="DU154" i="1"/>
  <c r="DV154" i="1"/>
  <c r="DW154" i="1"/>
  <c r="DI155" i="1"/>
  <c r="DJ155" i="1"/>
  <c r="DK155" i="1"/>
  <c r="DL155" i="1"/>
  <c r="DM155" i="1"/>
  <c r="DN155" i="1"/>
  <c r="DO155" i="1"/>
  <c r="DP155" i="1"/>
  <c r="DQ155" i="1"/>
  <c r="DR155" i="1"/>
  <c r="DS155" i="1"/>
  <c r="DT155" i="1"/>
  <c r="DU155" i="1"/>
  <c r="DV155" i="1"/>
  <c r="DW155" i="1"/>
  <c r="DI156" i="1"/>
  <c r="DJ156" i="1"/>
  <c r="DK156" i="1"/>
  <c r="DL156" i="1"/>
  <c r="DM156" i="1"/>
  <c r="DN156" i="1"/>
  <c r="DO156" i="1"/>
  <c r="DP156" i="1"/>
  <c r="DQ156" i="1"/>
  <c r="DR156" i="1"/>
  <c r="DS156" i="1"/>
  <c r="DT156" i="1"/>
  <c r="DU156" i="1"/>
  <c r="DV156" i="1"/>
  <c r="DW156" i="1"/>
  <c r="DI157" i="1"/>
  <c r="DJ157" i="1"/>
  <c r="DK157" i="1"/>
  <c r="DL157" i="1"/>
  <c r="DM157" i="1"/>
  <c r="DN157" i="1"/>
  <c r="DO157" i="1"/>
  <c r="DP157" i="1"/>
  <c r="DQ157" i="1"/>
  <c r="DR157" i="1"/>
  <c r="DS157" i="1"/>
  <c r="DT157" i="1"/>
  <c r="DU157" i="1"/>
  <c r="DV157" i="1"/>
  <c r="DW157" i="1"/>
  <c r="DI158" i="1"/>
  <c r="DJ158" i="1"/>
  <c r="DK158" i="1"/>
  <c r="DL158" i="1"/>
  <c r="DM158" i="1"/>
  <c r="DN158" i="1"/>
  <c r="DO158" i="1"/>
  <c r="DP158" i="1"/>
  <c r="DQ158" i="1"/>
  <c r="DR158" i="1"/>
  <c r="DS158" i="1"/>
  <c r="DT158" i="1"/>
  <c r="DU158" i="1"/>
  <c r="DV158" i="1"/>
  <c r="DW158" i="1"/>
  <c r="DI159" i="1"/>
  <c r="DJ159" i="1"/>
  <c r="DK159" i="1"/>
  <c r="DL159" i="1"/>
  <c r="DM159" i="1"/>
  <c r="DN159" i="1"/>
  <c r="DO159" i="1"/>
  <c r="DP159" i="1"/>
  <c r="DQ159" i="1"/>
  <c r="DR159" i="1"/>
  <c r="DS159" i="1"/>
  <c r="DT159" i="1"/>
  <c r="DU159" i="1"/>
  <c r="DV159" i="1"/>
  <c r="DW159" i="1"/>
  <c r="DI160" i="1"/>
  <c r="DJ160" i="1"/>
  <c r="DK160" i="1"/>
  <c r="DL160" i="1"/>
  <c r="DM160" i="1"/>
  <c r="DN160" i="1"/>
  <c r="DO160" i="1"/>
  <c r="DP160" i="1"/>
  <c r="DQ160" i="1"/>
  <c r="DR160" i="1"/>
  <c r="DS160" i="1"/>
  <c r="DT160" i="1"/>
  <c r="DU160" i="1"/>
  <c r="DV160" i="1"/>
  <c r="DW160" i="1"/>
  <c r="DI161" i="1"/>
  <c r="DJ161" i="1"/>
  <c r="DK161" i="1"/>
  <c r="DL161" i="1"/>
  <c r="DM161" i="1"/>
  <c r="DN161" i="1"/>
  <c r="DO161" i="1"/>
  <c r="DP161" i="1"/>
  <c r="DQ161" i="1"/>
  <c r="DR161" i="1"/>
  <c r="DS161" i="1"/>
  <c r="DT161" i="1"/>
  <c r="DU161" i="1"/>
  <c r="DV161" i="1"/>
  <c r="DW161" i="1"/>
  <c r="DI162" i="1"/>
  <c r="DJ162" i="1"/>
  <c r="DK162" i="1"/>
  <c r="DL162" i="1"/>
  <c r="DM162" i="1"/>
  <c r="DN162" i="1"/>
  <c r="DO162" i="1"/>
  <c r="DP162" i="1"/>
  <c r="DQ162" i="1"/>
  <c r="DR162" i="1"/>
  <c r="DS162" i="1"/>
  <c r="DT162" i="1"/>
  <c r="DU162" i="1"/>
  <c r="DV162" i="1"/>
  <c r="DW162" i="1"/>
  <c r="DI163" i="1"/>
  <c r="DJ163" i="1"/>
  <c r="DK163" i="1"/>
  <c r="DL163" i="1"/>
  <c r="DM163" i="1"/>
  <c r="DN163" i="1"/>
  <c r="DO163" i="1"/>
  <c r="DP163" i="1"/>
  <c r="DQ163" i="1"/>
  <c r="DR163" i="1"/>
  <c r="DS163" i="1"/>
  <c r="DT163" i="1"/>
  <c r="DU163" i="1"/>
  <c r="DV163" i="1"/>
  <c r="DW163" i="1"/>
  <c r="DI164" i="1"/>
  <c r="DJ164" i="1"/>
  <c r="DK164" i="1"/>
  <c r="DL164" i="1"/>
  <c r="DM164" i="1"/>
  <c r="DN164" i="1"/>
  <c r="DO164" i="1"/>
  <c r="DP164" i="1"/>
  <c r="DQ164" i="1"/>
  <c r="DR164" i="1"/>
  <c r="DS164" i="1"/>
  <c r="DT164" i="1"/>
  <c r="DU164" i="1"/>
  <c r="DV164" i="1"/>
  <c r="DW164" i="1"/>
  <c r="DI165" i="1"/>
  <c r="DJ165" i="1"/>
  <c r="DK165" i="1"/>
  <c r="DL165" i="1"/>
  <c r="DM165" i="1"/>
  <c r="DN165" i="1"/>
  <c r="DO165" i="1"/>
  <c r="DP165" i="1"/>
  <c r="DQ165" i="1"/>
  <c r="DR165" i="1"/>
  <c r="DS165" i="1"/>
  <c r="DT165" i="1"/>
  <c r="DU165" i="1"/>
  <c r="DV165" i="1"/>
  <c r="DW165" i="1"/>
  <c r="DI166" i="1"/>
  <c r="DJ166" i="1"/>
  <c r="DK166" i="1"/>
  <c r="DL166" i="1"/>
  <c r="DM166" i="1"/>
  <c r="DN166" i="1"/>
  <c r="DO166" i="1"/>
  <c r="DP166" i="1"/>
  <c r="DQ166" i="1"/>
  <c r="DR166" i="1"/>
  <c r="DS166" i="1"/>
  <c r="DT166" i="1"/>
  <c r="DU166" i="1"/>
  <c r="DV166" i="1"/>
  <c r="DW166" i="1"/>
  <c r="DI167" i="1"/>
  <c r="DJ167" i="1"/>
  <c r="DK167" i="1"/>
  <c r="DL167" i="1"/>
  <c r="DM167" i="1"/>
  <c r="DN167" i="1"/>
  <c r="DO167" i="1"/>
  <c r="DP167" i="1"/>
  <c r="DQ167" i="1"/>
  <c r="DR167" i="1"/>
  <c r="DS167" i="1"/>
  <c r="DT167" i="1"/>
  <c r="DU167" i="1"/>
  <c r="DV167" i="1"/>
  <c r="DW167" i="1"/>
  <c r="DI168" i="1"/>
  <c r="DJ168" i="1"/>
  <c r="DK168" i="1"/>
  <c r="DL168" i="1"/>
  <c r="DM168" i="1"/>
  <c r="DN168" i="1"/>
  <c r="DO168" i="1"/>
  <c r="DP168" i="1"/>
  <c r="DQ168" i="1"/>
  <c r="DR168" i="1"/>
  <c r="DS168" i="1"/>
  <c r="DT168" i="1"/>
  <c r="DU168" i="1"/>
  <c r="DV168" i="1"/>
  <c r="DW168" i="1"/>
  <c r="DI169" i="1"/>
  <c r="DJ169" i="1"/>
  <c r="DK169" i="1"/>
  <c r="DL169" i="1"/>
  <c r="DM169" i="1"/>
  <c r="DN169" i="1"/>
  <c r="DO169" i="1"/>
  <c r="DP169" i="1"/>
  <c r="DQ169" i="1"/>
  <c r="DR169" i="1"/>
  <c r="DS169" i="1"/>
  <c r="DT169" i="1"/>
  <c r="DU169" i="1"/>
  <c r="DV169" i="1"/>
  <c r="DW169" i="1"/>
  <c r="DI170" i="1"/>
  <c r="DJ170" i="1"/>
  <c r="DK170" i="1"/>
  <c r="DL170" i="1"/>
  <c r="DM170" i="1"/>
  <c r="DN170" i="1"/>
  <c r="DO170" i="1"/>
  <c r="DP170" i="1"/>
  <c r="DQ170" i="1"/>
  <c r="DR170" i="1"/>
  <c r="DS170" i="1"/>
  <c r="DT170" i="1"/>
  <c r="DU170" i="1"/>
  <c r="DV170" i="1"/>
  <c r="DW170" i="1"/>
  <c r="DI171" i="1"/>
  <c r="DJ171" i="1"/>
  <c r="DK171" i="1"/>
  <c r="DL171" i="1"/>
  <c r="DM171" i="1"/>
  <c r="DN171" i="1"/>
  <c r="DO171" i="1"/>
  <c r="DP171" i="1"/>
  <c r="DQ171" i="1"/>
  <c r="DR171" i="1"/>
  <c r="DS171" i="1"/>
  <c r="DT171" i="1"/>
  <c r="DU171" i="1"/>
  <c r="DV171" i="1"/>
  <c r="DW171" i="1"/>
  <c r="DI172" i="1"/>
  <c r="DJ172" i="1"/>
  <c r="DK172" i="1"/>
  <c r="DL172" i="1"/>
  <c r="DM172" i="1"/>
  <c r="DN172" i="1"/>
  <c r="DO172" i="1"/>
  <c r="DP172" i="1"/>
  <c r="DQ172" i="1"/>
  <c r="DR172" i="1"/>
  <c r="DS172" i="1"/>
  <c r="DT172" i="1"/>
  <c r="DU172" i="1"/>
  <c r="DV172" i="1"/>
  <c r="DW172" i="1"/>
  <c r="DI173" i="1"/>
  <c r="DJ173" i="1"/>
  <c r="DK173" i="1"/>
  <c r="DL173" i="1"/>
  <c r="DM173" i="1"/>
  <c r="DN173" i="1"/>
  <c r="DO173" i="1"/>
  <c r="DP173" i="1"/>
  <c r="DQ173" i="1"/>
  <c r="DR173" i="1"/>
  <c r="DS173" i="1"/>
  <c r="DT173" i="1"/>
  <c r="DU173" i="1"/>
  <c r="DV173" i="1"/>
  <c r="DW173" i="1"/>
  <c r="DI174" i="1"/>
  <c r="DJ174" i="1"/>
  <c r="DK174" i="1"/>
  <c r="DL174" i="1"/>
  <c r="DM174" i="1"/>
  <c r="DN174" i="1"/>
  <c r="DO174" i="1"/>
  <c r="DP174" i="1"/>
  <c r="DQ174" i="1"/>
  <c r="DR174" i="1"/>
  <c r="DS174" i="1"/>
  <c r="DT174" i="1"/>
  <c r="DU174" i="1"/>
  <c r="DV174" i="1"/>
  <c r="DW174" i="1"/>
  <c r="DI175" i="1"/>
  <c r="DJ175" i="1"/>
  <c r="DK175" i="1"/>
  <c r="DL175" i="1"/>
  <c r="DM175" i="1"/>
  <c r="DN175" i="1"/>
  <c r="DO175" i="1"/>
  <c r="DP175" i="1"/>
  <c r="DQ175" i="1"/>
  <c r="DR175" i="1"/>
  <c r="DS175" i="1"/>
  <c r="DT175" i="1"/>
  <c r="DU175" i="1"/>
  <c r="DV175" i="1"/>
  <c r="DW175" i="1"/>
  <c r="DI176" i="1"/>
  <c r="DJ176" i="1"/>
  <c r="DK176" i="1"/>
  <c r="DL176" i="1"/>
  <c r="DM176" i="1"/>
  <c r="DN176" i="1"/>
  <c r="DO176" i="1"/>
  <c r="DP176" i="1"/>
  <c r="DQ176" i="1"/>
  <c r="DR176" i="1"/>
  <c r="DS176" i="1"/>
  <c r="DT176" i="1"/>
  <c r="DU176" i="1"/>
  <c r="DV176" i="1"/>
  <c r="DW176" i="1"/>
  <c r="DI177" i="1"/>
  <c r="DJ177" i="1"/>
  <c r="DK177" i="1"/>
  <c r="DL177" i="1"/>
  <c r="DM177" i="1"/>
  <c r="DN177" i="1"/>
  <c r="DO177" i="1"/>
  <c r="DP177" i="1"/>
  <c r="DQ177" i="1"/>
  <c r="DR177" i="1"/>
  <c r="DS177" i="1"/>
  <c r="DT177" i="1"/>
  <c r="DU177" i="1"/>
  <c r="DV177" i="1"/>
  <c r="DW177" i="1"/>
  <c r="DI178" i="1"/>
  <c r="DJ178" i="1"/>
  <c r="DK178" i="1"/>
  <c r="DL178" i="1"/>
  <c r="DM178" i="1"/>
  <c r="DN178" i="1"/>
  <c r="DO178" i="1"/>
  <c r="DP178" i="1"/>
  <c r="DQ178" i="1"/>
  <c r="DR178" i="1"/>
  <c r="DS178" i="1"/>
  <c r="DT178" i="1"/>
  <c r="DU178" i="1"/>
  <c r="DV178" i="1"/>
  <c r="DW178" i="1"/>
  <c r="DI179" i="1"/>
  <c r="DJ179" i="1"/>
  <c r="DK179" i="1"/>
  <c r="DL179" i="1"/>
  <c r="DM179" i="1"/>
  <c r="DN179" i="1"/>
  <c r="DO179" i="1"/>
  <c r="DP179" i="1"/>
  <c r="DQ179" i="1"/>
  <c r="DR179" i="1"/>
  <c r="DS179" i="1"/>
  <c r="DT179" i="1"/>
  <c r="DU179" i="1"/>
  <c r="DV179" i="1"/>
  <c r="DW179" i="1"/>
  <c r="DI180" i="1"/>
  <c r="DJ180" i="1"/>
  <c r="DK180" i="1"/>
  <c r="DL180" i="1"/>
  <c r="DM180" i="1"/>
  <c r="DN180" i="1"/>
  <c r="DO180" i="1"/>
  <c r="DP180" i="1"/>
  <c r="DQ180" i="1"/>
  <c r="DR180" i="1"/>
  <c r="DS180" i="1"/>
  <c r="DT180" i="1"/>
  <c r="DU180" i="1"/>
  <c r="DV180" i="1"/>
  <c r="DW180" i="1"/>
  <c r="DI181" i="1"/>
  <c r="DJ181" i="1"/>
  <c r="DK181" i="1"/>
  <c r="DL181" i="1"/>
  <c r="DM181" i="1"/>
  <c r="DN181" i="1"/>
  <c r="DO181" i="1"/>
  <c r="DP181" i="1"/>
  <c r="DQ181" i="1"/>
  <c r="DR181" i="1"/>
  <c r="DS181" i="1"/>
  <c r="DT181" i="1"/>
  <c r="DU181" i="1"/>
  <c r="DV181" i="1"/>
  <c r="DW181" i="1"/>
  <c r="DI182" i="1"/>
  <c r="DJ182" i="1"/>
  <c r="DK182" i="1"/>
  <c r="DL182" i="1"/>
  <c r="DM182" i="1"/>
  <c r="DN182" i="1"/>
  <c r="DO182" i="1"/>
  <c r="DP182" i="1"/>
  <c r="DQ182" i="1"/>
  <c r="DR182" i="1"/>
  <c r="DS182" i="1"/>
  <c r="DT182" i="1"/>
  <c r="DU182" i="1"/>
  <c r="DV182" i="1"/>
  <c r="DW182" i="1"/>
  <c r="DI183" i="1"/>
  <c r="DJ183" i="1"/>
  <c r="DK183" i="1"/>
  <c r="DL183" i="1"/>
  <c r="DM183" i="1"/>
  <c r="DN183" i="1"/>
  <c r="DO183" i="1"/>
  <c r="DP183" i="1"/>
  <c r="DQ183" i="1"/>
  <c r="DR183" i="1"/>
  <c r="DS183" i="1"/>
  <c r="DT183" i="1"/>
  <c r="DU183" i="1"/>
  <c r="DV183" i="1"/>
  <c r="DW183" i="1"/>
  <c r="DI184" i="1"/>
  <c r="DJ184" i="1"/>
  <c r="DK184" i="1"/>
  <c r="DL184" i="1"/>
  <c r="DM184" i="1"/>
  <c r="DN184" i="1"/>
  <c r="DO184" i="1"/>
  <c r="DP184" i="1"/>
  <c r="DQ184" i="1"/>
  <c r="DR184" i="1"/>
  <c r="DS184" i="1"/>
  <c r="DT184" i="1"/>
  <c r="DU184" i="1"/>
  <c r="DV184" i="1"/>
  <c r="DW184" i="1"/>
  <c r="DI185" i="1"/>
  <c r="DJ185" i="1"/>
  <c r="DK185" i="1"/>
  <c r="DL185" i="1"/>
  <c r="DM185" i="1"/>
  <c r="DN185" i="1"/>
  <c r="DO185" i="1"/>
  <c r="DP185" i="1"/>
  <c r="DQ185" i="1"/>
  <c r="DR185" i="1"/>
  <c r="DS185" i="1"/>
  <c r="DT185" i="1"/>
  <c r="DU185" i="1"/>
  <c r="DV185" i="1"/>
  <c r="DW185" i="1"/>
  <c r="DI186" i="1"/>
  <c r="DJ186" i="1"/>
  <c r="DK186" i="1"/>
  <c r="DL186" i="1"/>
  <c r="DM186" i="1"/>
  <c r="DN186" i="1"/>
  <c r="DO186" i="1"/>
  <c r="DP186" i="1"/>
  <c r="DQ186" i="1"/>
  <c r="DR186" i="1"/>
  <c r="DS186" i="1"/>
  <c r="DT186" i="1"/>
  <c r="DU186" i="1"/>
  <c r="DV186" i="1"/>
  <c r="DW186" i="1"/>
  <c r="DI187" i="1"/>
  <c r="DJ187" i="1"/>
  <c r="DK187" i="1"/>
  <c r="DL187" i="1"/>
  <c r="DM187" i="1"/>
  <c r="DN187" i="1"/>
  <c r="DO187" i="1"/>
  <c r="DP187" i="1"/>
  <c r="DQ187" i="1"/>
  <c r="DR187" i="1"/>
  <c r="DS187" i="1"/>
  <c r="DT187" i="1"/>
  <c r="DU187" i="1"/>
  <c r="DV187" i="1"/>
  <c r="DW187" i="1"/>
  <c r="DI188" i="1"/>
  <c r="DJ188" i="1"/>
  <c r="DK188" i="1"/>
  <c r="DL188" i="1"/>
  <c r="DM188" i="1"/>
  <c r="DN188" i="1"/>
  <c r="DO188" i="1"/>
  <c r="DP188" i="1"/>
  <c r="DQ188" i="1"/>
  <c r="DR188" i="1"/>
  <c r="DS188" i="1"/>
  <c r="DT188" i="1"/>
  <c r="DU188" i="1"/>
  <c r="DV188" i="1"/>
  <c r="DW188" i="1"/>
  <c r="DI189" i="1"/>
  <c r="DJ189" i="1"/>
  <c r="DK189" i="1"/>
  <c r="DL189" i="1"/>
  <c r="DM189" i="1"/>
  <c r="DN189" i="1"/>
  <c r="DO189" i="1"/>
  <c r="DP189" i="1"/>
  <c r="DQ189" i="1"/>
  <c r="DR189" i="1"/>
  <c r="DS189" i="1"/>
  <c r="DT189" i="1"/>
  <c r="DU189" i="1"/>
  <c r="DV189" i="1"/>
  <c r="DW189" i="1"/>
  <c r="DI190" i="1"/>
  <c r="DJ190" i="1"/>
  <c r="DK190" i="1"/>
  <c r="DL190" i="1"/>
  <c r="DM190" i="1"/>
  <c r="DN190" i="1"/>
  <c r="DO190" i="1"/>
  <c r="DP190" i="1"/>
  <c r="DQ190" i="1"/>
  <c r="DR190" i="1"/>
  <c r="DS190" i="1"/>
  <c r="DT190" i="1"/>
  <c r="DU190" i="1"/>
  <c r="DV190" i="1"/>
  <c r="DW190" i="1"/>
  <c r="DI191" i="1"/>
  <c r="DJ191" i="1"/>
  <c r="DK191" i="1"/>
  <c r="DL191" i="1"/>
  <c r="DM191" i="1"/>
  <c r="DN191" i="1"/>
  <c r="DO191" i="1"/>
  <c r="DP191" i="1"/>
  <c r="DQ191" i="1"/>
  <c r="DR191" i="1"/>
  <c r="DS191" i="1"/>
  <c r="DT191" i="1"/>
  <c r="DU191" i="1"/>
  <c r="DV191" i="1"/>
  <c r="DW191" i="1"/>
  <c r="DI192" i="1"/>
  <c r="DJ192" i="1"/>
  <c r="DK192" i="1"/>
  <c r="DL192" i="1"/>
  <c r="DM192" i="1"/>
  <c r="DN192" i="1"/>
  <c r="DO192" i="1"/>
  <c r="DP192" i="1"/>
  <c r="DQ192" i="1"/>
  <c r="DR192" i="1"/>
  <c r="DS192" i="1"/>
  <c r="DT192" i="1"/>
  <c r="DU192" i="1"/>
  <c r="DV192" i="1"/>
  <c r="DW192" i="1"/>
  <c r="DI193" i="1"/>
  <c r="DJ193" i="1"/>
  <c r="DK193" i="1"/>
  <c r="DL193" i="1"/>
  <c r="DM193" i="1"/>
  <c r="DN193" i="1"/>
  <c r="DO193" i="1"/>
  <c r="DP193" i="1"/>
  <c r="DQ193" i="1"/>
  <c r="DR193" i="1"/>
  <c r="DS193" i="1"/>
  <c r="DT193" i="1"/>
  <c r="DU193" i="1"/>
  <c r="DV193" i="1"/>
  <c r="DW193" i="1"/>
  <c r="DI194" i="1"/>
  <c r="DJ194" i="1"/>
  <c r="DK194" i="1"/>
  <c r="DL194" i="1"/>
  <c r="DM194" i="1"/>
  <c r="DN194" i="1"/>
  <c r="DO194" i="1"/>
  <c r="DP194" i="1"/>
  <c r="DQ194" i="1"/>
  <c r="DR194" i="1"/>
  <c r="DS194" i="1"/>
  <c r="DT194" i="1"/>
  <c r="DU194" i="1"/>
  <c r="DV194" i="1"/>
  <c r="DW194" i="1"/>
  <c r="DI195" i="1"/>
  <c r="DJ195" i="1"/>
  <c r="DK195" i="1"/>
  <c r="DL195" i="1"/>
  <c r="DM195" i="1"/>
  <c r="DN195" i="1"/>
  <c r="DO195" i="1"/>
  <c r="DP195" i="1"/>
  <c r="DQ195" i="1"/>
  <c r="DR195" i="1"/>
  <c r="DS195" i="1"/>
  <c r="DT195" i="1"/>
  <c r="DU195" i="1"/>
  <c r="DV195" i="1"/>
  <c r="DW195" i="1"/>
  <c r="DI196" i="1"/>
  <c r="DJ196" i="1"/>
  <c r="DK196" i="1"/>
  <c r="DL196" i="1"/>
  <c r="DM196" i="1"/>
  <c r="DN196" i="1"/>
  <c r="DO196" i="1"/>
  <c r="DP196" i="1"/>
  <c r="DQ196" i="1"/>
  <c r="DR196" i="1"/>
  <c r="DS196" i="1"/>
  <c r="DT196" i="1"/>
  <c r="DU196" i="1"/>
  <c r="DV196" i="1"/>
  <c r="DW196" i="1"/>
  <c r="DI197" i="1"/>
  <c r="DJ197" i="1"/>
  <c r="DK197" i="1"/>
  <c r="DL197" i="1"/>
  <c r="DM197" i="1"/>
  <c r="DN197" i="1"/>
  <c r="DO197" i="1"/>
  <c r="DP197" i="1"/>
  <c r="DQ197" i="1"/>
  <c r="DR197" i="1"/>
  <c r="DS197" i="1"/>
  <c r="DT197" i="1"/>
  <c r="DU197" i="1"/>
  <c r="DV197" i="1"/>
  <c r="DW197" i="1"/>
  <c r="DI198" i="1"/>
  <c r="DJ198" i="1"/>
  <c r="DK198" i="1"/>
  <c r="DL198" i="1"/>
  <c r="DM198" i="1"/>
  <c r="DN198" i="1"/>
  <c r="DO198" i="1"/>
  <c r="DP198" i="1"/>
  <c r="DQ198" i="1"/>
  <c r="DR198" i="1"/>
  <c r="DS198" i="1"/>
  <c r="DT198" i="1"/>
  <c r="DU198" i="1"/>
  <c r="DV198" i="1"/>
  <c r="DW198" i="1"/>
  <c r="DI199" i="1"/>
  <c r="DJ199" i="1"/>
  <c r="DK199" i="1"/>
  <c r="DL199" i="1"/>
  <c r="DM199" i="1"/>
  <c r="DN199" i="1"/>
  <c r="DO199" i="1"/>
  <c r="DP199" i="1"/>
  <c r="DQ199" i="1"/>
  <c r="DR199" i="1"/>
  <c r="DS199" i="1"/>
  <c r="DT199" i="1"/>
  <c r="DU199" i="1"/>
  <c r="DV199" i="1"/>
  <c r="DW199" i="1"/>
  <c r="DI200" i="1"/>
  <c r="DJ200" i="1"/>
  <c r="DK200" i="1"/>
  <c r="DL200" i="1"/>
  <c r="DM200" i="1"/>
  <c r="DN200" i="1"/>
  <c r="DO200" i="1"/>
  <c r="DP200" i="1"/>
  <c r="DQ200" i="1"/>
  <c r="DR200" i="1"/>
  <c r="DS200" i="1"/>
  <c r="DT200" i="1"/>
  <c r="DU200" i="1"/>
  <c r="DV200" i="1"/>
  <c r="DW200" i="1"/>
  <c r="DI201" i="1"/>
  <c r="DJ201" i="1"/>
  <c r="DK201" i="1"/>
  <c r="DL201" i="1"/>
  <c r="DM201" i="1"/>
  <c r="DN201" i="1"/>
  <c r="DO201" i="1"/>
  <c r="DP201" i="1"/>
  <c r="DQ201" i="1"/>
  <c r="DR201" i="1"/>
  <c r="DS201" i="1"/>
  <c r="DT201" i="1"/>
  <c r="DU201" i="1"/>
  <c r="DV201" i="1"/>
  <c r="DW201" i="1"/>
  <c r="DI202" i="1"/>
  <c r="DJ202" i="1"/>
  <c r="DK202" i="1"/>
  <c r="DL202" i="1"/>
  <c r="DM202" i="1"/>
  <c r="DN202" i="1"/>
  <c r="DO202" i="1"/>
  <c r="DP202" i="1"/>
  <c r="DQ202" i="1"/>
  <c r="DR202" i="1"/>
  <c r="DS202" i="1"/>
  <c r="DT202" i="1"/>
  <c r="DU202" i="1"/>
  <c r="DV202" i="1"/>
  <c r="DW202" i="1"/>
  <c r="DI203" i="1"/>
  <c r="DJ203" i="1"/>
  <c r="DK203" i="1"/>
  <c r="DL203" i="1"/>
  <c r="DM203" i="1"/>
  <c r="DN203" i="1"/>
  <c r="DO203" i="1"/>
  <c r="DP203" i="1"/>
  <c r="DQ203" i="1"/>
  <c r="DR203" i="1"/>
  <c r="DS203" i="1"/>
  <c r="DT203" i="1"/>
  <c r="DU203" i="1"/>
  <c r="DV203" i="1"/>
  <c r="DW203" i="1"/>
  <c r="DI204" i="1"/>
  <c r="DJ204" i="1"/>
  <c r="DK204" i="1"/>
  <c r="DL204" i="1"/>
  <c r="DM204" i="1"/>
  <c r="DN204" i="1"/>
  <c r="DO204" i="1"/>
  <c r="DP204" i="1"/>
  <c r="DQ204" i="1"/>
  <c r="DR204" i="1"/>
  <c r="DS204" i="1"/>
  <c r="DT204" i="1"/>
  <c r="DU204" i="1"/>
  <c r="DV204" i="1"/>
  <c r="DW204" i="1"/>
  <c r="DI205" i="1"/>
  <c r="DJ205" i="1"/>
  <c r="DK205" i="1"/>
  <c r="DL205" i="1"/>
  <c r="DM205" i="1"/>
  <c r="DN205" i="1"/>
  <c r="DO205" i="1"/>
  <c r="DP205" i="1"/>
  <c r="DQ205" i="1"/>
  <c r="DR205" i="1"/>
  <c r="DS205" i="1"/>
  <c r="DT205" i="1"/>
  <c r="DU205" i="1"/>
  <c r="DV205" i="1"/>
  <c r="DW205" i="1"/>
  <c r="DI206" i="1"/>
  <c r="DJ206" i="1"/>
  <c r="DK206" i="1"/>
  <c r="DL206" i="1"/>
  <c r="DM206" i="1"/>
  <c r="DN206" i="1"/>
  <c r="DO206" i="1"/>
  <c r="DP206" i="1"/>
  <c r="DQ206" i="1"/>
  <c r="DR206" i="1"/>
  <c r="DS206" i="1"/>
  <c r="DT206" i="1"/>
  <c r="DU206" i="1"/>
  <c r="DV206" i="1"/>
  <c r="DW206" i="1"/>
  <c r="DI207" i="1"/>
  <c r="DJ207" i="1"/>
  <c r="DK207" i="1"/>
  <c r="DL207" i="1"/>
  <c r="DM207" i="1"/>
  <c r="DN207" i="1"/>
  <c r="DO207" i="1"/>
  <c r="DP207" i="1"/>
  <c r="DQ207" i="1"/>
  <c r="DR207" i="1"/>
  <c r="DS207" i="1"/>
  <c r="DT207" i="1"/>
  <c r="DU207" i="1"/>
  <c r="DV207" i="1"/>
  <c r="DW207" i="1"/>
  <c r="DI208" i="1"/>
  <c r="DJ208" i="1"/>
  <c r="DK208" i="1"/>
  <c r="DL208" i="1"/>
  <c r="DM208" i="1"/>
  <c r="DN208" i="1"/>
  <c r="DO208" i="1"/>
  <c r="DP208" i="1"/>
  <c r="DQ208" i="1"/>
  <c r="DR208" i="1"/>
  <c r="DS208" i="1"/>
  <c r="DT208" i="1"/>
  <c r="DU208" i="1"/>
  <c r="DV208" i="1"/>
  <c r="DW208" i="1"/>
  <c r="DI209" i="1"/>
  <c r="DJ209" i="1"/>
  <c r="DK209" i="1"/>
  <c r="DL209" i="1"/>
  <c r="DM209" i="1"/>
  <c r="DN209" i="1"/>
  <c r="DO209" i="1"/>
  <c r="DP209" i="1"/>
  <c r="DQ209" i="1"/>
  <c r="DR209" i="1"/>
  <c r="DS209" i="1"/>
  <c r="DT209" i="1"/>
  <c r="DU209" i="1"/>
  <c r="DV209" i="1"/>
  <c r="DW209" i="1"/>
  <c r="DI210" i="1"/>
  <c r="DJ210" i="1"/>
  <c r="DK210" i="1"/>
  <c r="DL210" i="1"/>
  <c r="DM210" i="1"/>
  <c r="DN210" i="1"/>
  <c r="DO210" i="1"/>
  <c r="DP210" i="1"/>
  <c r="DQ210" i="1"/>
  <c r="DR210" i="1"/>
  <c r="DS210" i="1"/>
  <c r="DT210" i="1"/>
  <c r="DU210" i="1"/>
  <c r="DV210" i="1"/>
  <c r="DW210" i="1"/>
  <c r="DI211" i="1"/>
  <c r="DJ211" i="1"/>
  <c r="DK211" i="1"/>
  <c r="DL211" i="1"/>
  <c r="DM211" i="1"/>
  <c r="DN211" i="1"/>
  <c r="DO211" i="1"/>
  <c r="DP211" i="1"/>
  <c r="DQ211" i="1"/>
  <c r="DR211" i="1"/>
  <c r="DS211" i="1"/>
  <c r="DT211" i="1"/>
  <c r="DU211" i="1"/>
  <c r="DV211" i="1"/>
  <c r="DW211" i="1"/>
  <c r="DI212" i="1"/>
  <c r="DJ212" i="1"/>
  <c r="DK212" i="1"/>
  <c r="DL212" i="1"/>
  <c r="DM212" i="1"/>
  <c r="DN212" i="1"/>
  <c r="DO212" i="1"/>
  <c r="DP212" i="1"/>
  <c r="DQ212" i="1"/>
  <c r="DR212" i="1"/>
  <c r="DS212" i="1"/>
  <c r="DT212" i="1"/>
  <c r="DU212" i="1"/>
  <c r="DV212" i="1"/>
  <c r="DW212" i="1"/>
  <c r="DI213" i="1"/>
  <c r="DJ213" i="1"/>
  <c r="DK213" i="1"/>
  <c r="DL213" i="1"/>
  <c r="DM213" i="1"/>
  <c r="DN213" i="1"/>
  <c r="DO213" i="1"/>
  <c r="DP213" i="1"/>
  <c r="DQ213" i="1"/>
  <c r="DR213" i="1"/>
  <c r="DS213" i="1"/>
  <c r="DT213" i="1"/>
  <c r="DU213" i="1"/>
  <c r="DV213" i="1"/>
  <c r="DW213" i="1"/>
  <c r="DI214" i="1"/>
  <c r="DJ214" i="1"/>
  <c r="DK214" i="1"/>
  <c r="DL214" i="1"/>
  <c r="DM214" i="1"/>
  <c r="DN214" i="1"/>
  <c r="DO214" i="1"/>
  <c r="DP214" i="1"/>
  <c r="DQ214" i="1"/>
  <c r="DR214" i="1"/>
  <c r="DS214" i="1"/>
  <c r="DT214" i="1"/>
  <c r="DU214" i="1"/>
  <c r="DV214" i="1"/>
  <c r="DW214" i="1"/>
  <c r="DI215" i="1"/>
  <c r="DJ215" i="1"/>
  <c r="DK215" i="1"/>
  <c r="DL215" i="1"/>
  <c r="DM215" i="1"/>
  <c r="DN215" i="1"/>
  <c r="DO215" i="1"/>
  <c r="DP215" i="1"/>
  <c r="DQ215" i="1"/>
  <c r="DR215" i="1"/>
  <c r="DS215" i="1"/>
  <c r="DT215" i="1"/>
  <c r="DU215" i="1"/>
  <c r="DV215" i="1"/>
  <c r="DW215" i="1"/>
  <c r="DI216" i="1"/>
  <c r="DJ216" i="1"/>
  <c r="DK216" i="1"/>
  <c r="DL216" i="1"/>
  <c r="DM216" i="1"/>
  <c r="DN216" i="1"/>
  <c r="DO216" i="1"/>
  <c r="DP216" i="1"/>
  <c r="DQ216" i="1"/>
  <c r="DR216" i="1"/>
  <c r="DS216" i="1"/>
  <c r="DT216" i="1"/>
  <c r="DU216" i="1"/>
  <c r="DV216" i="1"/>
  <c r="DW216" i="1"/>
  <c r="DI217" i="1"/>
  <c r="DJ217" i="1"/>
  <c r="DK217" i="1"/>
  <c r="DL217" i="1"/>
  <c r="DM217" i="1"/>
  <c r="DN217" i="1"/>
  <c r="DO217" i="1"/>
  <c r="DP217" i="1"/>
  <c r="DQ217" i="1"/>
  <c r="DR217" i="1"/>
  <c r="DS217" i="1"/>
  <c r="DT217" i="1"/>
  <c r="DU217" i="1"/>
  <c r="DV217" i="1"/>
  <c r="DW217" i="1"/>
  <c r="DI218" i="1"/>
  <c r="DJ218" i="1"/>
  <c r="DK218" i="1"/>
  <c r="DL218" i="1"/>
  <c r="DM218" i="1"/>
  <c r="DN218" i="1"/>
  <c r="DO218" i="1"/>
  <c r="DP218" i="1"/>
  <c r="DQ218" i="1"/>
  <c r="DR218" i="1"/>
  <c r="DS218" i="1"/>
  <c r="DT218" i="1"/>
  <c r="DU218" i="1"/>
  <c r="DV218" i="1"/>
  <c r="DW218" i="1"/>
  <c r="DI219" i="1"/>
  <c r="DJ219" i="1"/>
  <c r="DK219" i="1"/>
  <c r="DL219" i="1"/>
  <c r="DM219" i="1"/>
  <c r="DN219" i="1"/>
  <c r="DO219" i="1"/>
  <c r="DP219" i="1"/>
  <c r="DQ219" i="1"/>
  <c r="DR219" i="1"/>
  <c r="DS219" i="1"/>
  <c r="DT219" i="1"/>
  <c r="DU219" i="1"/>
  <c r="DV219" i="1"/>
  <c r="DW219" i="1"/>
  <c r="DI220" i="1"/>
  <c r="DJ220" i="1"/>
  <c r="DK220" i="1"/>
  <c r="DL220" i="1"/>
  <c r="DM220" i="1"/>
  <c r="DN220" i="1"/>
  <c r="DO220" i="1"/>
  <c r="DP220" i="1"/>
  <c r="DQ220" i="1"/>
  <c r="DR220" i="1"/>
  <c r="DS220" i="1"/>
  <c r="DT220" i="1"/>
  <c r="DU220" i="1"/>
  <c r="DV220" i="1"/>
  <c r="DW220" i="1"/>
  <c r="DI221" i="1"/>
  <c r="DJ221" i="1"/>
  <c r="DK221" i="1"/>
  <c r="DL221" i="1"/>
  <c r="DM221" i="1"/>
  <c r="DN221" i="1"/>
  <c r="DO221" i="1"/>
  <c r="DP221" i="1"/>
  <c r="DQ221" i="1"/>
  <c r="DR221" i="1"/>
  <c r="DS221" i="1"/>
  <c r="DT221" i="1"/>
  <c r="DU221" i="1"/>
  <c r="DV221" i="1"/>
  <c r="DW221" i="1"/>
  <c r="DI222" i="1"/>
  <c r="DJ222" i="1"/>
  <c r="DK222" i="1"/>
  <c r="DL222" i="1"/>
  <c r="DM222" i="1"/>
  <c r="DN222" i="1"/>
  <c r="DO222" i="1"/>
  <c r="DP222" i="1"/>
  <c r="DQ222" i="1"/>
  <c r="DR222" i="1"/>
  <c r="DS222" i="1"/>
  <c r="DT222" i="1"/>
  <c r="DU222" i="1"/>
  <c r="DV222" i="1"/>
  <c r="DW222" i="1"/>
  <c r="DI223" i="1"/>
  <c r="DJ223" i="1"/>
  <c r="DK223" i="1"/>
  <c r="DL223" i="1"/>
  <c r="DM223" i="1"/>
  <c r="DN223" i="1"/>
  <c r="DO223" i="1"/>
  <c r="DP223" i="1"/>
  <c r="DQ223" i="1"/>
  <c r="DR223" i="1"/>
  <c r="DS223" i="1"/>
  <c r="DT223" i="1"/>
  <c r="DU223" i="1"/>
  <c r="DV223" i="1"/>
  <c r="DW223" i="1"/>
  <c r="DI224" i="1"/>
  <c r="DJ224" i="1"/>
  <c r="DK224" i="1"/>
  <c r="DL224" i="1"/>
  <c r="DM224" i="1"/>
  <c r="DN224" i="1"/>
  <c r="DO224" i="1"/>
  <c r="DP224" i="1"/>
  <c r="DQ224" i="1"/>
  <c r="DR224" i="1"/>
  <c r="DS224" i="1"/>
  <c r="DT224" i="1"/>
  <c r="DU224" i="1"/>
  <c r="DV224" i="1"/>
  <c r="DW224" i="1"/>
  <c r="DI225" i="1"/>
  <c r="DJ225" i="1"/>
  <c r="DK225" i="1"/>
  <c r="DL225" i="1"/>
  <c r="DM225" i="1"/>
  <c r="DN225" i="1"/>
  <c r="DO225" i="1"/>
  <c r="DP225" i="1"/>
  <c r="DQ225" i="1"/>
  <c r="DR225" i="1"/>
  <c r="DS225" i="1"/>
  <c r="DT225" i="1"/>
  <c r="DU225" i="1"/>
  <c r="DV225" i="1"/>
  <c r="DW225" i="1"/>
  <c r="DI226" i="1"/>
  <c r="DJ226" i="1"/>
  <c r="DK226" i="1"/>
  <c r="DL226" i="1"/>
  <c r="DM226" i="1"/>
  <c r="DN226" i="1"/>
  <c r="DO226" i="1"/>
  <c r="DP226" i="1"/>
  <c r="DQ226" i="1"/>
  <c r="DR226" i="1"/>
  <c r="DS226" i="1"/>
  <c r="DT226" i="1"/>
  <c r="DU226" i="1"/>
  <c r="DV226" i="1"/>
  <c r="DW226" i="1"/>
  <c r="DI227" i="1"/>
  <c r="DJ227" i="1"/>
  <c r="DK227" i="1"/>
  <c r="DL227" i="1"/>
  <c r="DM227" i="1"/>
  <c r="DN227" i="1"/>
  <c r="DO227" i="1"/>
  <c r="DP227" i="1"/>
  <c r="DQ227" i="1"/>
  <c r="DR227" i="1"/>
  <c r="DS227" i="1"/>
  <c r="DT227" i="1"/>
  <c r="DU227" i="1"/>
  <c r="DV227" i="1"/>
  <c r="DW227" i="1"/>
  <c r="DI228" i="1"/>
  <c r="DJ228" i="1"/>
  <c r="DK228" i="1"/>
  <c r="DL228" i="1"/>
  <c r="DM228" i="1"/>
  <c r="DN228" i="1"/>
  <c r="DO228" i="1"/>
  <c r="DP228" i="1"/>
  <c r="DQ228" i="1"/>
  <c r="DR228" i="1"/>
  <c r="DS228" i="1"/>
  <c r="DT228" i="1"/>
  <c r="DU228" i="1"/>
  <c r="DV228" i="1"/>
  <c r="DW228" i="1"/>
  <c r="DI229" i="1"/>
  <c r="DJ229" i="1"/>
  <c r="DK229" i="1"/>
  <c r="DL229" i="1"/>
  <c r="DM229" i="1"/>
  <c r="DN229" i="1"/>
  <c r="DO229" i="1"/>
  <c r="DP229" i="1"/>
  <c r="DQ229" i="1"/>
  <c r="DR229" i="1"/>
  <c r="DS229" i="1"/>
  <c r="DT229" i="1"/>
  <c r="DU229" i="1"/>
  <c r="DV229" i="1"/>
  <c r="DW229" i="1"/>
  <c r="DI230" i="1"/>
  <c r="DJ230" i="1"/>
  <c r="DK230" i="1"/>
  <c r="DL230" i="1"/>
  <c r="DM230" i="1"/>
  <c r="DN230" i="1"/>
  <c r="DO230" i="1"/>
  <c r="DP230" i="1"/>
  <c r="DQ230" i="1"/>
  <c r="DR230" i="1"/>
  <c r="DS230" i="1"/>
  <c r="DT230" i="1"/>
  <c r="DU230" i="1"/>
  <c r="DV230" i="1"/>
  <c r="DW230" i="1"/>
  <c r="DI231" i="1"/>
  <c r="DJ231" i="1"/>
  <c r="DK231" i="1"/>
  <c r="DL231" i="1"/>
  <c r="DM231" i="1"/>
  <c r="DN231" i="1"/>
  <c r="DO231" i="1"/>
  <c r="DP231" i="1"/>
  <c r="DQ231" i="1"/>
  <c r="DR231" i="1"/>
  <c r="DS231" i="1"/>
  <c r="DT231" i="1"/>
  <c r="DU231" i="1"/>
  <c r="DV231" i="1"/>
  <c r="DW231" i="1"/>
  <c r="DI232" i="1"/>
  <c r="DJ232" i="1"/>
  <c r="DK232" i="1"/>
  <c r="DL232" i="1"/>
  <c r="DM232" i="1"/>
  <c r="DN232" i="1"/>
  <c r="DO232" i="1"/>
  <c r="DP232" i="1"/>
  <c r="DQ232" i="1"/>
  <c r="DR232" i="1"/>
  <c r="DS232" i="1"/>
  <c r="DT232" i="1"/>
  <c r="DU232" i="1"/>
  <c r="DV232" i="1"/>
  <c r="DW232" i="1"/>
  <c r="DI233" i="1"/>
  <c r="DJ233" i="1"/>
  <c r="DK233" i="1"/>
  <c r="DL233" i="1"/>
  <c r="DM233" i="1"/>
  <c r="DN233" i="1"/>
  <c r="DO233" i="1"/>
  <c r="DP233" i="1"/>
  <c r="DQ233" i="1"/>
  <c r="DR233" i="1"/>
  <c r="DS233" i="1"/>
  <c r="DT233" i="1"/>
  <c r="DU233" i="1"/>
  <c r="DV233" i="1"/>
  <c r="DW233" i="1"/>
  <c r="DI234" i="1"/>
  <c r="DJ234" i="1"/>
  <c r="DK234" i="1"/>
  <c r="DL234" i="1"/>
  <c r="DM234" i="1"/>
  <c r="DN234" i="1"/>
  <c r="DO234" i="1"/>
  <c r="DP234" i="1"/>
  <c r="DQ234" i="1"/>
  <c r="DR234" i="1"/>
  <c r="DS234" i="1"/>
  <c r="DT234" i="1"/>
  <c r="DU234" i="1"/>
  <c r="DV234" i="1"/>
  <c r="DW234" i="1"/>
  <c r="DI235" i="1"/>
  <c r="DJ235" i="1"/>
  <c r="DK235" i="1"/>
  <c r="DL235" i="1"/>
  <c r="DM235" i="1"/>
  <c r="DN235" i="1"/>
  <c r="DO235" i="1"/>
  <c r="DP235" i="1"/>
  <c r="DQ235" i="1"/>
  <c r="DR235" i="1"/>
  <c r="DS235" i="1"/>
  <c r="DT235" i="1"/>
  <c r="DU235" i="1"/>
  <c r="DV235" i="1"/>
  <c r="DW235" i="1"/>
  <c r="DI236" i="1"/>
  <c r="DJ236" i="1"/>
  <c r="DK236" i="1"/>
  <c r="DL236" i="1"/>
  <c r="DM236" i="1"/>
  <c r="DN236" i="1"/>
  <c r="DO236" i="1"/>
  <c r="DP236" i="1"/>
  <c r="DQ236" i="1"/>
  <c r="DR236" i="1"/>
  <c r="DS236" i="1"/>
  <c r="DT236" i="1"/>
  <c r="DU236" i="1"/>
  <c r="DV236" i="1"/>
  <c r="DW236" i="1"/>
  <c r="DI237" i="1"/>
  <c r="DJ237" i="1"/>
  <c r="DK237" i="1"/>
  <c r="DL237" i="1"/>
  <c r="DM237" i="1"/>
  <c r="DN237" i="1"/>
  <c r="DO237" i="1"/>
  <c r="DP237" i="1"/>
  <c r="DQ237" i="1"/>
  <c r="DR237" i="1"/>
  <c r="DS237" i="1"/>
  <c r="DT237" i="1"/>
  <c r="DU237" i="1"/>
  <c r="DV237" i="1"/>
  <c r="DW237" i="1"/>
  <c r="DI238" i="1"/>
  <c r="DJ238" i="1"/>
  <c r="DK238" i="1"/>
  <c r="DL238" i="1"/>
  <c r="DM238" i="1"/>
  <c r="DN238" i="1"/>
  <c r="DO238" i="1"/>
  <c r="DP238" i="1"/>
  <c r="DQ238" i="1"/>
  <c r="DR238" i="1"/>
  <c r="DS238" i="1"/>
  <c r="DT238" i="1"/>
  <c r="DU238" i="1"/>
  <c r="DV238" i="1"/>
  <c r="DW238" i="1"/>
  <c r="DI239" i="1"/>
  <c r="DJ239" i="1"/>
  <c r="DK239" i="1"/>
  <c r="DL239" i="1"/>
  <c r="DM239" i="1"/>
  <c r="DN239" i="1"/>
  <c r="DO239" i="1"/>
  <c r="DP239" i="1"/>
  <c r="DQ239" i="1"/>
  <c r="DR239" i="1"/>
  <c r="DS239" i="1"/>
  <c r="DT239" i="1"/>
  <c r="DU239" i="1"/>
  <c r="DV239" i="1"/>
  <c r="DW239" i="1"/>
  <c r="DI240" i="1"/>
  <c r="DJ240" i="1"/>
  <c r="DK240" i="1"/>
  <c r="DL240" i="1"/>
  <c r="DM240" i="1"/>
  <c r="DN240" i="1"/>
  <c r="DO240" i="1"/>
  <c r="DP240" i="1"/>
  <c r="DQ240" i="1"/>
  <c r="DR240" i="1"/>
  <c r="DS240" i="1"/>
  <c r="DT240" i="1"/>
  <c r="DU240" i="1"/>
  <c r="DV240" i="1"/>
  <c r="DW240" i="1"/>
  <c r="DI241" i="1"/>
  <c r="DJ241" i="1"/>
  <c r="DK241" i="1"/>
  <c r="DL241" i="1"/>
  <c r="DM241" i="1"/>
  <c r="DN241" i="1"/>
  <c r="DO241" i="1"/>
  <c r="DP241" i="1"/>
  <c r="DQ241" i="1"/>
  <c r="DR241" i="1"/>
  <c r="DS241" i="1"/>
  <c r="DT241" i="1"/>
  <c r="DU241" i="1"/>
  <c r="DV241" i="1"/>
  <c r="DW241" i="1"/>
  <c r="DI242" i="1"/>
  <c r="DJ242" i="1"/>
  <c r="DK242" i="1"/>
  <c r="DL242" i="1"/>
  <c r="DM242" i="1"/>
  <c r="DN242" i="1"/>
  <c r="DO242" i="1"/>
  <c r="DP242" i="1"/>
  <c r="DQ242" i="1"/>
  <c r="DR242" i="1"/>
  <c r="DS242" i="1"/>
  <c r="DT242" i="1"/>
  <c r="DU242" i="1"/>
  <c r="DV242" i="1"/>
  <c r="DW242" i="1"/>
  <c r="DI243" i="1"/>
  <c r="DJ243" i="1"/>
  <c r="DK243" i="1"/>
  <c r="DL243" i="1"/>
  <c r="DM243" i="1"/>
  <c r="DN243" i="1"/>
  <c r="DO243" i="1"/>
  <c r="DP243" i="1"/>
  <c r="DQ243" i="1"/>
  <c r="DR243" i="1"/>
  <c r="DS243" i="1"/>
  <c r="DT243" i="1"/>
  <c r="DU243" i="1"/>
  <c r="DV243" i="1"/>
  <c r="DW243" i="1"/>
  <c r="DI244" i="1"/>
  <c r="DJ244" i="1"/>
  <c r="DK244" i="1"/>
  <c r="DL244" i="1"/>
  <c r="DM244" i="1"/>
  <c r="DN244" i="1"/>
  <c r="DO244" i="1"/>
  <c r="DP244" i="1"/>
  <c r="DQ244" i="1"/>
  <c r="DR244" i="1"/>
  <c r="DS244" i="1"/>
  <c r="DT244" i="1"/>
  <c r="DU244" i="1"/>
  <c r="DV244" i="1"/>
  <c r="DW244" i="1"/>
  <c r="DI245" i="1"/>
  <c r="DJ245" i="1"/>
  <c r="DK245" i="1"/>
  <c r="DL245" i="1"/>
  <c r="DM245" i="1"/>
  <c r="DN245" i="1"/>
  <c r="DO245" i="1"/>
  <c r="DP245" i="1"/>
  <c r="DQ245" i="1"/>
  <c r="DR245" i="1"/>
  <c r="DS245" i="1"/>
  <c r="DT245" i="1"/>
  <c r="DU245" i="1"/>
  <c r="DV245" i="1"/>
  <c r="DW245" i="1"/>
  <c r="DI246" i="1"/>
  <c r="DJ246" i="1"/>
  <c r="DK246" i="1"/>
  <c r="DL246" i="1"/>
  <c r="DM246" i="1"/>
  <c r="DN246" i="1"/>
  <c r="DO246" i="1"/>
  <c r="DP246" i="1"/>
  <c r="DQ246" i="1"/>
  <c r="DR246" i="1"/>
  <c r="DS246" i="1"/>
  <c r="DT246" i="1"/>
  <c r="DU246" i="1"/>
  <c r="DV246" i="1"/>
  <c r="DW246" i="1"/>
  <c r="DI247" i="1"/>
  <c r="DJ247" i="1"/>
  <c r="DK247" i="1"/>
  <c r="DL247" i="1"/>
  <c r="DM247" i="1"/>
  <c r="DN247" i="1"/>
  <c r="DO247" i="1"/>
  <c r="DP247" i="1"/>
  <c r="DQ247" i="1"/>
  <c r="DR247" i="1"/>
  <c r="DS247" i="1"/>
  <c r="DT247" i="1"/>
  <c r="DU247" i="1"/>
  <c r="DV247" i="1"/>
  <c r="DW247" i="1"/>
  <c r="DI248" i="1"/>
  <c r="DJ248" i="1"/>
  <c r="DK248" i="1"/>
  <c r="DL248" i="1"/>
  <c r="DM248" i="1"/>
  <c r="DN248" i="1"/>
  <c r="DO248" i="1"/>
  <c r="DP248" i="1"/>
  <c r="DQ248" i="1"/>
  <c r="DR248" i="1"/>
  <c r="DS248" i="1"/>
  <c r="DT248" i="1"/>
  <c r="DU248" i="1"/>
  <c r="DV248" i="1"/>
  <c r="DW248" i="1"/>
  <c r="DI249" i="1"/>
  <c r="DJ249" i="1"/>
  <c r="DK249" i="1"/>
  <c r="DL249" i="1"/>
  <c r="DM249" i="1"/>
  <c r="DN249" i="1"/>
  <c r="DO249" i="1"/>
  <c r="DP249" i="1"/>
  <c r="DQ249" i="1"/>
  <c r="DR249" i="1"/>
  <c r="DS249" i="1"/>
  <c r="DT249" i="1"/>
  <c r="DU249" i="1"/>
  <c r="DV249" i="1"/>
  <c r="DW249" i="1"/>
  <c r="DI250" i="1"/>
  <c r="DJ250" i="1"/>
  <c r="DK250" i="1"/>
  <c r="DL250" i="1"/>
  <c r="DM250" i="1"/>
  <c r="DN250" i="1"/>
  <c r="DO250" i="1"/>
  <c r="DP250" i="1"/>
  <c r="DQ250" i="1"/>
  <c r="DR250" i="1"/>
  <c r="DS250" i="1"/>
  <c r="DT250" i="1"/>
  <c r="DU250" i="1"/>
  <c r="DV250" i="1"/>
  <c r="DW250" i="1"/>
  <c r="DI251" i="1"/>
  <c r="DJ251" i="1"/>
  <c r="DK251" i="1"/>
  <c r="DL251" i="1"/>
  <c r="DM251" i="1"/>
  <c r="DN251" i="1"/>
  <c r="DO251" i="1"/>
  <c r="DP251" i="1"/>
  <c r="DQ251" i="1"/>
  <c r="DR251" i="1"/>
  <c r="DS251" i="1"/>
  <c r="DT251" i="1"/>
  <c r="DU251" i="1"/>
  <c r="DV251" i="1"/>
  <c r="DW251" i="1"/>
  <c r="DI252" i="1"/>
  <c r="DJ252" i="1"/>
  <c r="DK252" i="1"/>
  <c r="DL252" i="1"/>
  <c r="DM252" i="1"/>
  <c r="DN252" i="1"/>
  <c r="DO252" i="1"/>
  <c r="DP252" i="1"/>
  <c r="DQ252" i="1"/>
  <c r="DR252" i="1"/>
  <c r="DS252" i="1"/>
  <c r="DT252" i="1"/>
  <c r="DU252" i="1"/>
  <c r="DV252" i="1"/>
  <c r="DW252" i="1"/>
  <c r="DI253" i="1"/>
  <c r="DJ253" i="1"/>
  <c r="DK253" i="1"/>
  <c r="DL253" i="1"/>
  <c r="DM253" i="1"/>
  <c r="DN253" i="1"/>
  <c r="DO253" i="1"/>
  <c r="DP253" i="1"/>
  <c r="DQ253" i="1"/>
  <c r="DR253" i="1"/>
  <c r="DS253" i="1"/>
  <c r="DT253" i="1"/>
  <c r="DU253" i="1"/>
  <c r="DV253" i="1"/>
  <c r="DW253" i="1"/>
  <c r="DI254" i="1"/>
  <c r="DJ254" i="1"/>
  <c r="DK254" i="1"/>
  <c r="DL254" i="1"/>
  <c r="DM254" i="1"/>
  <c r="DN254" i="1"/>
  <c r="DO254" i="1"/>
  <c r="DP254" i="1"/>
  <c r="DQ254" i="1"/>
  <c r="DR254" i="1"/>
  <c r="DS254" i="1"/>
  <c r="DT254" i="1"/>
  <c r="DU254" i="1"/>
  <c r="DV254" i="1"/>
  <c r="DW254" i="1"/>
  <c r="DI255" i="1"/>
  <c r="DJ255" i="1"/>
  <c r="DK255" i="1"/>
  <c r="DL255" i="1"/>
  <c r="DM255" i="1"/>
  <c r="DN255" i="1"/>
  <c r="DO255" i="1"/>
  <c r="DP255" i="1"/>
  <c r="DQ255" i="1"/>
  <c r="DR255" i="1"/>
  <c r="DS255" i="1"/>
  <c r="DT255" i="1"/>
  <c r="DU255" i="1"/>
  <c r="DV255" i="1"/>
  <c r="DW255" i="1"/>
  <c r="DI256" i="1"/>
  <c r="DJ256" i="1"/>
  <c r="DK256" i="1"/>
  <c r="DL256" i="1"/>
  <c r="DM256" i="1"/>
  <c r="DN256" i="1"/>
  <c r="DO256" i="1"/>
  <c r="DP256" i="1"/>
  <c r="DQ256" i="1"/>
  <c r="DR256" i="1"/>
  <c r="DS256" i="1"/>
  <c r="DT256" i="1"/>
  <c r="DU256" i="1"/>
  <c r="DV256" i="1"/>
  <c r="DW256" i="1"/>
  <c r="DI257" i="1"/>
  <c r="DJ257" i="1"/>
  <c r="DK257" i="1"/>
  <c r="DL257" i="1"/>
  <c r="DM257" i="1"/>
  <c r="DN257" i="1"/>
  <c r="DO257" i="1"/>
  <c r="DP257" i="1"/>
  <c r="DQ257" i="1"/>
  <c r="DR257" i="1"/>
  <c r="DS257" i="1"/>
  <c r="DT257" i="1"/>
  <c r="DU257" i="1"/>
  <c r="DV257" i="1"/>
  <c r="DW257" i="1"/>
  <c r="DI258" i="1"/>
  <c r="DJ258" i="1"/>
  <c r="DK258" i="1"/>
  <c r="DL258" i="1"/>
  <c r="DM258" i="1"/>
  <c r="DN258" i="1"/>
  <c r="DO258" i="1"/>
  <c r="DP258" i="1"/>
  <c r="DQ258" i="1"/>
  <c r="DR258" i="1"/>
  <c r="DS258" i="1"/>
  <c r="DT258" i="1"/>
  <c r="DU258" i="1"/>
  <c r="DV258" i="1"/>
  <c r="DW258" i="1"/>
  <c r="DI259" i="1"/>
  <c r="DJ259" i="1"/>
  <c r="DK259" i="1"/>
  <c r="DL259" i="1"/>
  <c r="DM259" i="1"/>
  <c r="DN259" i="1"/>
  <c r="DO259" i="1"/>
  <c r="DP259" i="1"/>
  <c r="DQ259" i="1"/>
  <c r="DR259" i="1"/>
  <c r="DS259" i="1"/>
  <c r="DT259" i="1"/>
  <c r="DU259" i="1"/>
  <c r="DV259" i="1"/>
  <c r="DW259" i="1"/>
  <c r="DI260" i="1"/>
  <c r="DJ260" i="1"/>
  <c r="DK260" i="1"/>
  <c r="DL260" i="1"/>
  <c r="DM260" i="1"/>
  <c r="DN260" i="1"/>
  <c r="DO260" i="1"/>
  <c r="DP260" i="1"/>
  <c r="DQ260" i="1"/>
  <c r="DR260" i="1"/>
  <c r="DS260" i="1"/>
  <c r="DT260" i="1"/>
  <c r="DU260" i="1"/>
  <c r="DV260" i="1"/>
  <c r="DW260" i="1"/>
  <c r="DI261" i="1"/>
  <c r="DJ261" i="1"/>
  <c r="DK261" i="1"/>
  <c r="DL261" i="1"/>
  <c r="DM261" i="1"/>
  <c r="DN261" i="1"/>
  <c r="DO261" i="1"/>
  <c r="DP261" i="1"/>
  <c r="DQ261" i="1"/>
  <c r="DR261" i="1"/>
  <c r="DS261" i="1"/>
  <c r="DT261" i="1"/>
  <c r="DU261" i="1"/>
  <c r="DV261" i="1"/>
  <c r="DW261" i="1"/>
  <c r="DI262" i="1"/>
  <c r="DJ262" i="1"/>
  <c r="DK262" i="1"/>
  <c r="DL262" i="1"/>
  <c r="DM262" i="1"/>
  <c r="DN262" i="1"/>
  <c r="DO262" i="1"/>
  <c r="DP262" i="1"/>
  <c r="DQ262" i="1"/>
  <c r="DR262" i="1"/>
  <c r="DS262" i="1"/>
  <c r="DT262" i="1"/>
  <c r="DU262" i="1"/>
  <c r="DV262" i="1"/>
  <c r="DW262" i="1"/>
  <c r="DI263" i="1"/>
  <c r="DJ263" i="1"/>
  <c r="DK263" i="1"/>
  <c r="DL263" i="1"/>
  <c r="DM263" i="1"/>
  <c r="DN263" i="1"/>
  <c r="DO263" i="1"/>
  <c r="DP263" i="1"/>
  <c r="DQ263" i="1"/>
  <c r="DR263" i="1"/>
  <c r="DS263" i="1"/>
  <c r="DT263" i="1"/>
  <c r="DU263" i="1"/>
  <c r="DV263" i="1"/>
  <c r="DW263" i="1"/>
  <c r="DI264" i="1"/>
  <c r="DJ264" i="1"/>
  <c r="DK264" i="1"/>
  <c r="DL264" i="1"/>
  <c r="DM264" i="1"/>
  <c r="DN264" i="1"/>
  <c r="DO264" i="1"/>
  <c r="DP264" i="1"/>
  <c r="DQ264" i="1"/>
  <c r="DR264" i="1"/>
  <c r="DS264" i="1"/>
  <c r="DT264" i="1"/>
  <c r="DU264" i="1"/>
  <c r="DV264" i="1"/>
  <c r="DW264" i="1"/>
  <c r="DI265" i="1"/>
  <c r="DJ265" i="1"/>
  <c r="DK265" i="1"/>
  <c r="DL265" i="1"/>
  <c r="DM265" i="1"/>
  <c r="DN265" i="1"/>
  <c r="DO265" i="1"/>
  <c r="DP265" i="1"/>
  <c r="DQ265" i="1"/>
  <c r="DR265" i="1"/>
  <c r="DS265" i="1"/>
  <c r="DT265" i="1"/>
  <c r="DU265" i="1"/>
  <c r="DV265" i="1"/>
  <c r="DW265" i="1"/>
  <c r="DI266" i="1"/>
  <c r="DJ266" i="1"/>
  <c r="DK266" i="1"/>
  <c r="DL266" i="1"/>
  <c r="DM266" i="1"/>
  <c r="DN266" i="1"/>
  <c r="DO266" i="1"/>
  <c r="DP266" i="1"/>
  <c r="DQ266" i="1"/>
  <c r="DR266" i="1"/>
  <c r="DS266" i="1"/>
  <c r="DT266" i="1"/>
  <c r="DU266" i="1"/>
  <c r="DV266" i="1"/>
  <c r="DW266" i="1"/>
  <c r="DI267" i="1"/>
  <c r="DJ267" i="1"/>
  <c r="DK267" i="1"/>
  <c r="DL267" i="1"/>
  <c r="DM267" i="1"/>
  <c r="DN267" i="1"/>
  <c r="DO267" i="1"/>
  <c r="DP267" i="1"/>
  <c r="DQ267" i="1"/>
  <c r="DR267" i="1"/>
  <c r="DS267" i="1"/>
  <c r="DT267" i="1"/>
  <c r="DU267" i="1"/>
  <c r="DV267" i="1"/>
  <c r="DW267" i="1"/>
  <c r="DI268" i="1"/>
  <c r="DJ268" i="1"/>
  <c r="DK268" i="1"/>
  <c r="DL268" i="1"/>
  <c r="DM268" i="1"/>
  <c r="DN268" i="1"/>
  <c r="DO268" i="1"/>
  <c r="DP268" i="1"/>
  <c r="DQ268" i="1"/>
  <c r="DR268" i="1"/>
  <c r="DS268" i="1"/>
  <c r="DT268" i="1"/>
  <c r="DU268" i="1"/>
  <c r="DV268" i="1"/>
  <c r="DW268" i="1"/>
  <c r="DI269" i="1"/>
  <c r="DJ269" i="1"/>
  <c r="DK269" i="1"/>
  <c r="DL269" i="1"/>
  <c r="DM269" i="1"/>
  <c r="DN269" i="1"/>
  <c r="DO269" i="1"/>
  <c r="DP269" i="1"/>
  <c r="DQ269" i="1"/>
  <c r="DR269" i="1"/>
  <c r="DS269" i="1"/>
  <c r="DT269" i="1"/>
  <c r="DU269" i="1"/>
  <c r="DV269" i="1"/>
  <c r="DW269" i="1"/>
  <c r="DI270" i="1"/>
  <c r="DJ270" i="1"/>
  <c r="DK270" i="1"/>
  <c r="DL270" i="1"/>
  <c r="DM270" i="1"/>
  <c r="DN270" i="1"/>
  <c r="DO270" i="1"/>
  <c r="DP270" i="1"/>
  <c r="DQ270" i="1"/>
  <c r="DR270" i="1"/>
  <c r="DS270" i="1"/>
  <c r="DT270" i="1"/>
  <c r="DU270" i="1"/>
  <c r="DV270" i="1"/>
  <c r="DW270" i="1"/>
  <c r="DI271" i="1"/>
  <c r="DJ271" i="1"/>
  <c r="DK271" i="1"/>
  <c r="DL271" i="1"/>
  <c r="DM271" i="1"/>
  <c r="DN271" i="1"/>
  <c r="DO271" i="1"/>
  <c r="DP271" i="1"/>
  <c r="DQ271" i="1"/>
  <c r="DR271" i="1"/>
  <c r="DS271" i="1"/>
  <c r="DT271" i="1"/>
  <c r="DU271" i="1"/>
  <c r="DV271" i="1"/>
  <c r="DW271" i="1"/>
  <c r="DI272" i="1"/>
  <c r="DJ272" i="1"/>
  <c r="DK272" i="1"/>
  <c r="DL272" i="1"/>
  <c r="DM272" i="1"/>
  <c r="DN272" i="1"/>
  <c r="DO272" i="1"/>
  <c r="DP272" i="1"/>
  <c r="DQ272" i="1"/>
  <c r="DR272" i="1"/>
  <c r="DS272" i="1"/>
  <c r="DT272" i="1"/>
  <c r="DU272" i="1"/>
  <c r="DV272" i="1"/>
  <c r="DW272" i="1"/>
  <c r="DI273" i="1"/>
  <c r="DJ273" i="1"/>
  <c r="DK273" i="1"/>
  <c r="DL273" i="1"/>
  <c r="DM273" i="1"/>
  <c r="DN273" i="1"/>
  <c r="DO273" i="1"/>
  <c r="DP273" i="1"/>
  <c r="DQ273" i="1"/>
  <c r="DR273" i="1"/>
  <c r="DS273" i="1"/>
  <c r="DT273" i="1"/>
  <c r="DU273" i="1"/>
  <c r="DV273" i="1"/>
  <c r="DW273" i="1"/>
  <c r="DI274" i="1"/>
  <c r="DJ274" i="1"/>
  <c r="DK274" i="1"/>
  <c r="DL274" i="1"/>
  <c r="DM274" i="1"/>
  <c r="DN274" i="1"/>
  <c r="DO274" i="1"/>
  <c r="DP274" i="1"/>
  <c r="DQ274" i="1"/>
  <c r="DR274" i="1"/>
  <c r="DS274" i="1"/>
  <c r="DT274" i="1"/>
  <c r="DU274" i="1"/>
  <c r="DV274" i="1"/>
  <c r="DW274" i="1"/>
  <c r="DI275" i="1"/>
  <c r="DJ275" i="1"/>
  <c r="DK275" i="1"/>
  <c r="DL275" i="1"/>
  <c r="DM275" i="1"/>
  <c r="DN275" i="1"/>
  <c r="DO275" i="1"/>
  <c r="DP275" i="1"/>
  <c r="DQ275" i="1"/>
  <c r="DR275" i="1"/>
  <c r="DS275" i="1"/>
  <c r="DT275" i="1"/>
  <c r="DU275" i="1"/>
  <c r="DV275" i="1"/>
  <c r="DW275" i="1"/>
  <c r="DI276" i="1"/>
  <c r="DJ276" i="1"/>
  <c r="DK276" i="1"/>
  <c r="DL276" i="1"/>
  <c r="DM276" i="1"/>
  <c r="DN276" i="1"/>
  <c r="DO276" i="1"/>
  <c r="DP276" i="1"/>
  <c r="DQ276" i="1"/>
  <c r="DR276" i="1"/>
  <c r="DS276" i="1"/>
  <c r="DT276" i="1"/>
  <c r="DU276" i="1"/>
  <c r="DV276" i="1"/>
  <c r="DW276" i="1"/>
  <c r="DI277" i="1"/>
  <c r="DJ277" i="1"/>
  <c r="DK277" i="1"/>
  <c r="DL277" i="1"/>
  <c r="DM277" i="1"/>
  <c r="DN277" i="1"/>
  <c r="DO277" i="1"/>
  <c r="DP277" i="1"/>
  <c r="DQ277" i="1"/>
  <c r="DR277" i="1"/>
  <c r="DS277" i="1"/>
  <c r="DT277" i="1"/>
  <c r="DU277" i="1"/>
  <c r="DV277" i="1"/>
  <c r="DW277" i="1"/>
  <c r="DI278" i="1"/>
  <c r="DJ278" i="1"/>
  <c r="DK278" i="1"/>
  <c r="DL278" i="1"/>
  <c r="DM278" i="1"/>
  <c r="DN278" i="1"/>
  <c r="DO278" i="1"/>
  <c r="DP278" i="1"/>
  <c r="DQ278" i="1"/>
  <c r="DR278" i="1"/>
  <c r="DS278" i="1"/>
  <c r="DT278" i="1"/>
  <c r="DU278" i="1"/>
  <c r="DV278" i="1"/>
  <c r="DW278" i="1"/>
  <c r="DI279" i="1"/>
  <c r="DJ279" i="1"/>
  <c r="DK279" i="1"/>
  <c r="DL279" i="1"/>
  <c r="DM279" i="1"/>
  <c r="DN279" i="1"/>
  <c r="DO279" i="1"/>
  <c r="DP279" i="1"/>
  <c r="DQ279" i="1"/>
  <c r="DR279" i="1"/>
  <c r="DS279" i="1"/>
  <c r="DT279" i="1"/>
  <c r="DU279" i="1"/>
  <c r="DV279" i="1"/>
  <c r="DW279" i="1"/>
  <c r="DI280" i="1"/>
  <c r="DJ280" i="1"/>
  <c r="DK280" i="1"/>
  <c r="DL280" i="1"/>
  <c r="DM280" i="1"/>
  <c r="DN280" i="1"/>
  <c r="DO280" i="1"/>
  <c r="DP280" i="1"/>
  <c r="DQ280" i="1"/>
  <c r="DR280" i="1"/>
  <c r="DS280" i="1"/>
  <c r="DT280" i="1"/>
  <c r="DU280" i="1"/>
  <c r="DV280" i="1"/>
  <c r="DW280" i="1"/>
  <c r="DI281" i="1"/>
  <c r="DJ281" i="1"/>
  <c r="DK281" i="1"/>
  <c r="DL281" i="1"/>
  <c r="DM281" i="1"/>
  <c r="DN281" i="1"/>
  <c r="DO281" i="1"/>
  <c r="DP281" i="1"/>
  <c r="DQ281" i="1"/>
  <c r="DR281" i="1"/>
  <c r="DS281" i="1"/>
  <c r="DT281" i="1"/>
  <c r="DU281" i="1"/>
  <c r="DV281" i="1"/>
  <c r="DW281" i="1"/>
  <c r="DI282" i="1"/>
  <c r="DJ282" i="1"/>
  <c r="DK282" i="1"/>
  <c r="DL282" i="1"/>
  <c r="DM282" i="1"/>
  <c r="DN282" i="1"/>
  <c r="DO282" i="1"/>
  <c r="DP282" i="1"/>
  <c r="DQ282" i="1"/>
  <c r="DR282" i="1"/>
  <c r="DS282" i="1"/>
  <c r="DT282" i="1"/>
  <c r="DU282" i="1"/>
  <c r="DV282" i="1"/>
  <c r="DW282" i="1"/>
  <c r="DI283" i="1"/>
  <c r="DJ283" i="1"/>
  <c r="DK283" i="1"/>
  <c r="DL283" i="1"/>
  <c r="DM283" i="1"/>
  <c r="DN283" i="1"/>
  <c r="DO283" i="1"/>
  <c r="DP283" i="1"/>
  <c r="DQ283" i="1"/>
  <c r="DR283" i="1"/>
  <c r="DS283" i="1"/>
  <c r="DT283" i="1"/>
  <c r="DU283" i="1"/>
  <c r="DV283" i="1"/>
  <c r="DW283" i="1"/>
  <c r="DI284" i="1"/>
  <c r="DJ284" i="1"/>
  <c r="DK284" i="1"/>
  <c r="DL284" i="1"/>
  <c r="DM284" i="1"/>
  <c r="DN284" i="1"/>
  <c r="DO284" i="1"/>
  <c r="DP284" i="1"/>
  <c r="DQ284" i="1"/>
  <c r="DR284" i="1"/>
  <c r="DS284" i="1"/>
  <c r="DT284" i="1"/>
  <c r="DU284" i="1"/>
  <c r="DV284" i="1"/>
  <c r="DW284" i="1"/>
  <c r="DI285" i="1"/>
  <c r="DJ285" i="1"/>
  <c r="DK285" i="1"/>
  <c r="DL285" i="1"/>
  <c r="DM285" i="1"/>
  <c r="DN285" i="1"/>
  <c r="DO285" i="1"/>
  <c r="DP285" i="1"/>
  <c r="DQ285" i="1"/>
  <c r="DR285" i="1"/>
  <c r="DS285" i="1"/>
  <c r="DT285" i="1"/>
  <c r="DU285" i="1"/>
  <c r="DV285" i="1"/>
  <c r="DW285" i="1"/>
  <c r="DI286" i="1"/>
  <c r="DJ286" i="1"/>
  <c r="DK286" i="1"/>
  <c r="DL286" i="1"/>
  <c r="DM286" i="1"/>
  <c r="DN286" i="1"/>
  <c r="DO286" i="1"/>
  <c r="DP286" i="1"/>
  <c r="DQ286" i="1"/>
  <c r="DR286" i="1"/>
  <c r="DS286" i="1"/>
  <c r="DT286" i="1"/>
  <c r="DU286" i="1"/>
  <c r="DV286" i="1"/>
  <c r="DW286" i="1"/>
  <c r="DI287" i="1"/>
  <c r="DJ287" i="1"/>
  <c r="DK287" i="1"/>
  <c r="DL287" i="1"/>
  <c r="DM287" i="1"/>
  <c r="DN287" i="1"/>
  <c r="DO287" i="1"/>
  <c r="DP287" i="1"/>
  <c r="DQ287" i="1"/>
  <c r="DR287" i="1"/>
  <c r="DS287" i="1"/>
  <c r="DT287" i="1"/>
  <c r="DU287" i="1"/>
  <c r="DV287" i="1"/>
  <c r="DW287" i="1"/>
  <c r="DI288" i="1"/>
  <c r="DJ288" i="1"/>
  <c r="DK288" i="1"/>
  <c r="DL288" i="1"/>
  <c r="DM288" i="1"/>
  <c r="DN288" i="1"/>
  <c r="DO288" i="1"/>
  <c r="DP288" i="1"/>
  <c r="DQ288" i="1"/>
  <c r="DR288" i="1"/>
  <c r="DS288" i="1"/>
  <c r="DT288" i="1"/>
  <c r="DU288" i="1"/>
  <c r="DV288" i="1"/>
  <c r="DW288" i="1"/>
  <c r="DI289" i="1"/>
  <c r="DJ289" i="1"/>
  <c r="DK289" i="1"/>
  <c r="DL289" i="1"/>
  <c r="DM289" i="1"/>
  <c r="DN289" i="1"/>
  <c r="DO289" i="1"/>
  <c r="DP289" i="1"/>
  <c r="DQ289" i="1"/>
  <c r="DR289" i="1"/>
  <c r="DS289" i="1"/>
  <c r="DT289" i="1"/>
  <c r="DU289" i="1"/>
  <c r="DV289" i="1"/>
  <c r="DW289" i="1"/>
  <c r="DI290" i="1"/>
  <c r="DJ290" i="1"/>
  <c r="DK290" i="1"/>
  <c r="DL290" i="1"/>
  <c r="DM290" i="1"/>
  <c r="DN290" i="1"/>
  <c r="DO290" i="1"/>
  <c r="DP290" i="1"/>
  <c r="DQ290" i="1"/>
  <c r="DR290" i="1"/>
  <c r="DS290" i="1"/>
  <c r="DT290" i="1"/>
  <c r="DU290" i="1"/>
  <c r="DV290" i="1"/>
  <c r="DW290" i="1"/>
  <c r="DI291" i="1"/>
  <c r="DJ291" i="1"/>
  <c r="DK291" i="1"/>
  <c r="DL291" i="1"/>
  <c r="DM291" i="1"/>
  <c r="DN291" i="1"/>
  <c r="DO291" i="1"/>
  <c r="DP291" i="1"/>
  <c r="DQ291" i="1"/>
  <c r="DR291" i="1"/>
  <c r="DS291" i="1"/>
  <c r="DT291" i="1"/>
  <c r="DU291" i="1"/>
  <c r="DV291" i="1"/>
  <c r="DW291" i="1"/>
  <c r="DI292" i="1"/>
  <c r="DJ292" i="1"/>
  <c r="DK292" i="1"/>
  <c r="DL292" i="1"/>
  <c r="DM292" i="1"/>
  <c r="DN292" i="1"/>
  <c r="DO292" i="1"/>
  <c r="DP292" i="1"/>
  <c r="DQ292" i="1"/>
  <c r="DR292" i="1"/>
  <c r="DS292" i="1"/>
  <c r="DT292" i="1"/>
  <c r="DU292" i="1"/>
  <c r="DV292" i="1"/>
  <c r="DW292" i="1"/>
  <c r="DI293" i="1"/>
  <c r="DJ293" i="1"/>
  <c r="DK293" i="1"/>
  <c r="DL293" i="1"/>
  <c r="DM293" i="1"/>
  <c r="DN293" i="1"/>
  <c r="DO293" i="1"/>
  <c r="DP293" i="1"/>
  <c r="DQ293" i="1"/>
  <c r="DR293" i="1"/>
  <c r="DS293" i="1"/>
  <c r="DT293" i="1"/>
  <c r="DU293" i="1"/>
  <c r="DV293" i="1"/>
  <c r="DW293" i="1"/>
  <c r="DI294" i="1"/>
  <c r="DJ294" i="1"/>
  <c r="DK294" i="1"/>
  <c r="DL294" i="1"/>
  <c r="DM294" i="1"/>
  <c r="DN294" i="1"/>
  <c r="DO294" i="1"/>
  <c r="DP294" i="1"/>
  <c r="DQ294" i="1"/>
  <c r="DR294" i="1"/>
  <c r="DS294" i="1"/>
  <c r="DT294" i="1"/>
  <c r="DU294" i="1"/>
  <c r="DV294" i="1"/>
  <c r="DW294" i="1"/>
  <c r="DI295" i="1"/>
  <c r="DJ295" i="1"/>
  <c r="DK295" i="1"/>
  <c r="DL295" i="1"/>
  <c r="DM295" i="1"/>
  <c r="DN295" i="1"/>
  <c r="DO295" i="1"/>
  <c r="DP295" i="1"/>
  <c r="DQ295" i="1"/>
  <c r="DR295" i="1"/>
  <c r="DS295" i="1"/>
  <c r="DT295" i="1"/>
  <c r="DU295" i="1"/>
  <c r="DV295" i="1"/>
  <c r="DW295" i="1"/>
  <c r="DI296" i="1"/>
  <c r="DJ296" i="1"/>
  <c r="DK296" i="1"/>
  <c r="DL296" i="1"/>
  <c r="DM296" i="1"/>
  <c r="DN296" i="1"/>
  <c r="DO296" i="1"/>
  <c r="DP296" i="1"/>
  <c r="DQ296" i="1"/>
  <c r="DR296" i="1"/>
  <c r="DS296" i="1"/>
  <c r="DT296" i="1"/>
  <c r="DU296" i="1"/>
  <c r="DV296" i="1"/>
  <c r="DW296" i="1"/>
  <c r="DI297" i="1"/>
  <c r="DJ297" i="1"/>
  <c r="DK297" i="1"/>
  <c r="DL297" i="1"/>
  <c r="DM297" i="1"/>
  <c r="DN297" i="1"/>
  <c r="DO297" i="1"/>
  <c r="DP297" i="1"/>
  <c r="DQ297" i="1"/>
  <c r="DR297" i="1"/>
  <c r="DS297" i="1"/>
  <c r="DT297" i="1"/>
  <c r="DU297" i="1"/>
  <c r="DV297" i="1"/>
  <c r="DW297" i="1"/>
  <c r="DI298" i="1"/>
  <c r="DJ298" i="1"/>
  <c r="DK298" i="1"/>
  <c r="DL298" i="1"/>
  <c r="DM298" i="1"/>
  <c r="DN298" i="1"/>
  <c r="DO298" i="1"/>
  <c r="DP298" i="1"/>
  <c r="DQ298" i="1"/>
  <c r="DR298" i="1"/>
  <c r="DS298" i="1"/>
  <c r="DT298" i="1"/>
  <c r="DU298" i="1"/>
  <c r="DV298" i="1"/>
  <c r="DW298" i="1"/>
  <c r="DI299" i="1"/>
  <c r="DJ299" i="1"/>
  <c r="DK299" i="1"/>
  <c r="DL299" i="1"/>
  <c r="DM299" i="1"/>
  <c r="DN299" i="1"/>
  <c r="DO299" i="1"/>
  <c r="DP299" i="1"/>
  <c r="DQ299" i="1"/>
  <c r="DR299" i="1"/>
  <c r="DS299" i="1"/>
  <c r="DT299" i="1"/>
  <c r="DU299" i="1"/>
  <c r="DV299" i="1"/>
  <c r="DW299" i="1"/>
  <c r="DI300" i="1"/>
  <c r="DJ300" i="1"/>
  <c r="DK300" i="1"/>
  <c r="DL300" i="1"/>
  <c r="DM300" i="1"/>
  <c r="DN300" i="1"/>
  <c r="DO300" i="1"/>
  <c r="DP300" i="1"/>
  <c r="DQ300" i="1"/>
  <c r="DR300" i="1"/>
  <c r="DS300" i="1"/>
  <c r="DT300" i="1"/>
  <c r="DU300" i="1"/>
  <c r="DV300" i="1"/>
  <c r="DW300" i="1"/>
  <c r="DI301" i="1"/>
  <c r="DJ301" i="1"/>
  <c r="DK301" i="1"/>
  <c r="DL301" i="1"/>
  <c r="DM301" i="1"/>
  <c r="DN301" i="1"/>
  <c r="DO301" i="1"/>
  <c r="DP301" i="1"/>
  <c r="DQ301" i="1"/>
  <c r="DR301" i="1"/>
  <c r="DS301" i="1"/>
  <c r="DT301" i="1"/>
  <c r="DU301" i="1"/>
  <c r="DV301" i="1"/>
  <c r="DW301" i="1"/>
  <c r="DI302" i="1"/>
  <c r="DJ302" i="1"/>
  <c r="DK302" i="1"/>
  <c r="DL302" i="1"/>
  <c r="DM302" i="1"/>
  <c r="DN302" i="1"/>
  <c r="DO302" i="1"/>
  <c r="DP302" i="1"/>
  <c r="DQ302" i="1"/>
  <c r="DR302" i="1"/>
  <c r="DS302" i="1"/>
  <c r="DT302" i="1"/>
  <c r="DU302" i="1"/>
  <c r="DV302" i="1"/>
  <c r="DW302" i="1"/>
  <c r="DI303" i="1"/>
  <c r="DJ303" i="1"/>
  <c r="DK303" i="1"/>
  <c r="DL303" i="1"/>
  <c r="DM303" i="1"/>
  <c r="DN303" i="1"/>
  <c r="DO303" i="1"/>
  <c r="DP303" i="1"/>
  <c r="DQ303" i="1"/>
  <c r="DR303" i="1"/>
  <c r="DS303" i="1"/>
  <c r="DT303" i="1"/>
  <c r="DU303" i="1"/>
  <c r="DV303" i="1"/>
  <c r="DW303" i="1"/>
  <c r="DI304" i="1"/>
  <c r="DJ304" i="1"/>
  <c r="DK304" i="1"/>
  <c r="DL304" i="1"/>
  <c r="DM304" i="1"/>
  <c r="DN304" i="1"/>
  <c r="DO304" i="1"/>
  <c r="DP304" i="1"/>
  <c r="DQ304" i="1"/>
  <c r="DR304" i="1"/>
  <c r="DS304" i="1"/>
  <c r="DT304" i="1"/>
  <c r="DU304" i="1"/>
  <c r="DV304" i="1"/>
  <c r="DW304" i="1"/>
  <c r="DI305" i="1"/>
  <c r="DJ305" i="1"/>
  <c r="DK305" i="1"/>
  <c r="DL305" i="1"/>
  <c r="DM305" i="1"/>
  <c r="DN305" i="1"/>
  <c r="DO305" i="1"/>
  <c r="DP305" i="1"/>
  <c r="DQ305" i="1"/>
  <c r="DR305" i="1"/>
  <c r="DS305" i="1"/>
  <c r="DT305" i="1"/>
  <c r="DU305" i="1"/>
  <c r="DV305" i="1"/>
  <c r="DW305" i="1"/>
  <c r="DI306" i="1"/>
  <c r="DJ306" i="1"/>
  <c r="DK306" i="1"/>
  <c r="DL306" i="1"/>
  <c r="DM306" i="1"/>
  <c r="DN306" i="1"/>
  <c r="DO306" i="1"/>
  <c r="DP306" i="1"/>
  <c r="DQ306" i="1"/>
  <c r="DR306" i="1"/>
  <c r="DS306" i="1"/>
  <c r="DT306" i="1"/>
  <c r="DU306" i="1"/>
  <c r="DV306" i="1"/>
  <c r="DW306" i="1"/>
  <c r="DI307" i="1"/>
  <c r="DJ307" i="1"/>
  <c r="DK307" i="1"/>
  <c r="DL307" i="1"/>
  <c r="DM307" i="1"/>
  <c r="DN307" i="1"/>
  <c r="DO307" i="1"/>
  <c r="DP307" i="1"/>
  <c r="DQ307" i="1"/>
  <c r="DR307" i="1"/>
  <c r="DS307" i="1"/>
  <c r="DT307" i="1"/>
  <c r="DU307" i="1"/>
  <c r="DV307" i="1"/>
  <c r="DW307" i="1"/>
  <c r="DI308" i="1"/>
  <c r="DJ308" i="1"/>
  <c r="DK308" i="1"/>
  <c r="DL308" i="1"/>
  <c r="DM308" i="1"/>
  <c r="DN308" i="1"/>
  <c r="DO308" i="1"/>
  <c r="DP308" i="1"/>
  <c r="DQ308" i="1"/>
  <c r="DR308" i="1"/>
  <c r="DS308" i="1"/>
  <c r="DT308" i="1"/>
  <c r="DU308" i="1"/>
  <c r="DV308" i="1"/>
  <c r="DW308" i="1"/>
  <c r="DI309" i="1"/>
  <c r="DJ309" i="1"/>
  <c r="DK309" i="1"/>
  <c r="DL309" i="1"/>
  <c r="DM309" i="1"/>
  <c r="DN309" i="1"/>
  <c r="DO309" i="1"/>
  <c r="DP309" i="1"/>
  <c r="DQ309" i="1"/>
  <c r="DR309" i="1"/>
  <c r="DS309" i="1"/>
  <c r="DT309" i="1"/>
  <c r="DU309" i="1"/>
  <c r="DV309" i="1"/>
  <c r="DW309" i="1"/>
  <c r="DI310" i="1"/>
  <c r="DJ310" i="1"/>
  <c r="DK310" i="1"/>
  <c r="DL310" i="1"/>
  <c r="DM310" i="1"/>
  <c r="DN310" i="1"/>
  <c r="DO310" i="1"/>
  <c r="DP310" i="1"/>
  <c r="DQ310" i="1"/>
  <c r="DR310" i="1"/>
  <c r="DS310" i="1"/>
  <c r="DT310" i="1"/>
  <c r="DU310" i="1"/>
  <c r="DV310" i="1"/>
  <c r="DW310" i="1"/>
  <c r="DI311" i="1"/>
  <c r="DJ311" i="1"/>
  <c r="DK311" i="1"/>
  <c r="DL311" i="1"/>
  <c r="DM311" i="1"/>
  <c r="DN311" i="1"/>
  <c r="DO311" i="1"/>
  <c r="DP311" i="1"/>
  <c r="DQ311" i="1"/>
  <c r="DR311" i="1"/>
  <c r="DS311" i="1"/>
  <c r="DT311" i="1"/>
  <c r="DU311" i="1"/>
  <c r="DV311" i="1"/>
  <c r="DW311" i="1"/>
  <c r="DI312" i="1"/>
  <c r="DJ312" i="1"/>
  <c r="DK312" i="1"/>
  <c r="DL312" i="1"/>
  <c r="DM312" i="1"/>
  <c r="DN312" i="1"/>
  <c r="DO312" i="1"/>
  <c r="DP312" i="1"/>
  <c r="DQ312" i="1"/>
  <c r="DR312" i="1"/>
  <c r="DS312" i="1"/>
  <c r="DT312" i="1"/>
  <c r="DU312" i="1"/>
  <c r="DV312" i="1"/>
  <c r="DW312" i="1"/>
  <c r="DI313" i="1"/>
  <c r="DJ313" i="1"/>
  <c r="DK313" i="1"/>
  <c r="DL313" i="1"/>
  <c r="DM313" i="1"/>
  <c r="DN313" i="1"/>
  <c r="DO313" i="1"/>
  <c r="DP313" i="1"/>
  <c r="DQ313" i="1"/>
  <c r="DR313" i="1"/>
  <c r="DS313" i="1"/>
  <c r="DT313" i="1"/>
  <c r="DU313" i="1"/>
  <c r="DV313" i="1"/>
  <c r="DW313" i="1"/>
  <c r="DI314" i="1"/>
  <c r="DJ314" i="1"/>
  <c r="DK314" i="1"/>
  <c r="DL314" i="1"/>
  <c r="DM314" i="1"/>
  <c r="DN314" i="1"/>
  <c r="DO314" i="1"/>
  <c r="DP314" i="1"/>
  <c r="DQ314" i="1"/>
  <c r="DR314" i="1"/>
  <c r="DS314" i="1"/>
  <c r="DT314" i="1"/>
  <c r="DU314" i="1"/>
  <c r="DV314" i="1"/>
  <c r="DW314" i="1"/>
  <c r="DI315" i="1"/>
  <c r="DJ315" i="1"/>
  <c r="DK315" i="1"/>
  <c r="DL315" i="1"/>
  <c r="DM315" i="1"/>
  <c r="DN315" i="1"/>
  <c r="DO315" i="1"/>
  <c r="DP315" i="1"/>
  <c r="DQ315" i="1"/>
  <c r="DR315" i="1"/>
  <c r="DS315" i="1"/>
  <c r="DT315" i="1"/>
  <c r="DU315" i="1"/>
  <c r="DV315" i="1"/>
  <c r="DW315" i="1"/>
  <c r="DI316" i="1"/>
  <c r="DJ316" i="1"/>
  <c r="DK316" i="1"/>
  <c r="DL316" i="1"/>
  <c r="DM316" i="1"/>
  <c r="DN316" i="1"/>
  <c r="DO316" i="1"/>
  <c r="DP316" i="1"/>
  <c r="DQ316" i="1"/>
  <c r="DR316" i="1"/>
  <c r="DS316" i="1"/>
  <c r="DT316" i="1"/>
  <c r="DU316" i="1"/>
  <c r="DV316" i="1"/>
  <c r="DW316" i="1"/>
  <c r="DI317" i="1"/>
  <c r="DJ317" i="1"/>
  <c r="DK317" i="1"/>
  <c r="DL317" i="1"/>
  <c r="DM317" i="1"/>
  <c r="DN317" i="1"/>
  <c r="DO317" i="1"/>
  <c r="DP317" i="1"/>
  <c r="DQ317" i="1"/>
  <c r="DR317" i="1"/>
  <c r="DS317" i="1"/>
  <c r="DT317" i="1"/>
  <c r="DU317" i="1"/>
  <c r="DV317" i="1"/>
  <c r="DW317" i="1"/>
  <c r="DI318" i="1"/>
  <c r="DJ318" i="1"/>
  <c r="DK318" i="1"/>
  <c r="DL318" i="1"/>
  <c r="DM318" i="1"/>
  <c r="DN318" i="1"/>
  <c r="DO318" i="1"/>
  <c r="DP318" i="1"/>
  <c r="DQ318" i="1"/>
  <c r="DR318" i="1"/>
  <c r="DS318" i="1"/>
  <c r="DT318" i="1"/>
  <c r="DU318" i="1"/>
  <c r="DV318" i="1"/>
  <c r="DW318" i="1"/>
  <c r="DI319" i="1"/>
  <c r="DJ319" i="1"/>
  <c r="DK319" i="1"/>
  <c r="DL319" i="1"/>
  <c r="DM319" i="1"/>
  <c r="DN319" i="1"/>
  <c r="DO319" i="1"/>
  <c r="DP319" i="1"/>
  <c r="DQ319" i="1"/>
  <c r="DR319" i="1"/>
  <c r="DS319" i="1"/>
  <c r="DT319" i="1"/>
  <c r="DU319" i="1"/>
  <c r="DV319" i="1"/>
  <c r="DW319" i="1"/>
  <c r="DI320" i="1"/>
  <c r="DJ320" i="1"/>
  <c r="DK320" i="1"/>
  <c r="DL320" i="1"/>
  <c r="DM320" i="1"/>
  <c r="DN320" i="1"/>
  <c r="DO320" i="1"/>
  <c r="DP320" i="1"/>
  <c r="DQ320" i="1"/>
  <c r="DR320" i="1"/>
  <c r="DS320" i="1"/>
  <c r="DT320" i="1"/>
  <c r="DU320" i="1"/>
  <c r="DV320" i="1"/>
  <c r="DW320" i="1"/>
  <c r="DI321" i="1"/>
  <c r="DJ321" i="1"/>
  <c r="DK321" i="1"/>
  <c r="DL321" i="1"/>
  <c r="DM321" i="1"/>
  <c r="DN321" i="1"/>
  <c r="DO321" i="1"/>
  <c r="DP321" i="1"/>
  <c r="DQ321" i="1"/>
  <c r="DR321" i="1"/>
  <c r="DS321" i="1"/>
  <c r="DT321" i="1"/>
  <c r="DU321" i="1"/>
  <c r="DV321" i="1"/>
  <c r="DW321" i="1"/>
  <c r="DI322" i="1"/>
  <c r="DJ322" i="1"/>
  <c r="DK322" i="1"/>
  <c r="DL322" i="1"/>
  <c r="DM322" i="1"/>
  <c r="DN322" i="1"/>
  <c r="DO322" i="1"/>
  <c r="DP322" i="1"/>
  <c r="DQ322" i="1"/>
  <c r="DR322" i="1"/>
  <c r="DS322" i="1"/>
  <c r="DT322" i="1"/>
  <c r="DU322" i="1"/>
  <c r="DV322" i="1"/>
  <c r="DW322" i="1"/>
  <c r="DI323" i="1"/>
  <c r="DJ323" i="1"/>
  <c r="DK323" i="1"/>
  <c r="DL323" i="1"/>
  <c r="DM323" i="1"/>
  <c r="DN323" i="1"/>
  <c r="DO323" i="1"/>
  <c r="DP323" i="1"/>
  <c r="DQ323" i="1"/>
  <c r="DR323" i="1"/>
  <c r="DS323" i="1"/>
  <c r="DT323" i="1"/>
  <c r="DU323" i="1"/>
  <c r="DV323" i="1"/>
  <c r="DW323" i="1"/>
  <c r="DI324" i="1"/>
  <c r="DJ324" i="1"/>
  <c r="DK324" i="1"/>
  <c r="DL324" i="1"/>
  <c r="DM324" i="1"/>
  <c r="DN324" i="1"/>
  <c r="DO324" i="1"/>
  <c r="DP324" i="1"/>
  <c r="DQ324" i="1"/>
  <c r="DR324" i="1"/>
  <c r="DS324" i="1"/>
  <c r="DT324" i="1"/>
  <c r="DU324" i="1"/>
  <c r="DV324" i="1"/>
  <c r="DW324" i="1"/>
  <c r="DI325" i="1"/>
  <c r="DJ325" i="1"/>
  <c r="DK325" i="1"/>
  <c r="DL325" i="1"/>
  <c r="DM325" i="1"/>
  <c r="DN325" i="1"/>
  <c r="DO325" i="1"/>
  <c r="DP325" i="1"/>
  <c r="DQ325" i="1"/>
  <c r="DR325" i="1"/>
  <c r="DS325" i="1"/>
  <c r="DT325" i="1"/>
  <c r="DU325" i="1"/>
  <c r="DV325" i="1"/>
  <c r="DW325" i="1"/>
  <c r="DI326" i="1"/>
  <c r="DJ326" i="1"/>
  <c r="DK326" i="1"/>
  <c r="DL326" i="1"/>
  <c r="DM326" i="1"/>
  <c r="DN326" i="1"/>
  <c r="DO326" i="1"/>
  <c r="DP326" i="1"/>
  <c r="DQ326" i="1"/>
  <c r="DR326" i="1"/>
  <c r="DS326" i="1"/>
  <c r="DT326" i="1"/>
  <c r="DU326" i="1"/>
  <c r="DV326" i="1"/>
  <c r="DW326" i="1"/>
  <c r="DI327" i="1"/>
  <c r="DJ327" i="1"/>
  <c r="DK327" i="1"/>
  <c r="DL327" i="1"/>
  <c r="DM327" i="1"/>
  <c r="DN327" i="1"/>
  <c r="DO327" i="1"/>
  <c r="DP327" i="1"/>
  <c r="DQ327" i="1"/>
  <c r="DR327" i="1"/>
  <c r="DS327" i="1"/>
  <c r="DT327" i="1"/>
  <c r="DU327" i="1"/>
  <c r="DV327" i="1"/>
  <c r="DW327" i="1"/>
  <c r="DI328" i="1"/>
  <c r="DJ328" i="1"/>
  <c r="DK328" i="1"/>
  <c r="DL328" i="1"/>
  <c r="DM328" i="1"/>
  <c r="DN328" i="1"/>
  <c r="DO328" i="1"/>
  <c r="DP328" i="1"/>
  <c r="DQ328" i="1"/>
  <c r="DR328" i="1"/>
  <c r="DS328" i="1"/>
  <c r="DT328" i="1"/>
  <c r="DU328" i="1"/>
  <c r="DV328" i="1"/>
  <c r="DW328" i="1"/>
  <c r="DI329" i="1"/>
  <c r="DJ329" i="1"/>
  <c r="DK329" i="1"/>
  <c r="DL329" i="1"/>
  <c r="DM329" i="1"/>
  <c r="DN329" i="1"/>
  <c r="DO329" i="1"/>
  <c r="DP329" i="1"/>
  <c r="DQ329" i="1"/>
  <c r="DR329" i="1"/>
  <c r="DS329" i="1"/>
  <c r="DT329" i="1"/>
  <c r="DU329" i="1"/>
  <c r="DV329" i="1"/>
  <c r="DW329" i="1"/>
  <c r="DI330" i="1"/>
  <c r="DJ330" i="1"/>
  <c r="DK330" i="1"/>
  <c r="DL330" i="1"/>
  <c r="DM330" i="1"/>
  <c r="DN330" i="1"/>
  <c r="DO330" i="1"/>
  <c r="DP330" i="1"/>
  <c r="DQ330" i="1"/>
  <c r="DR330" i="1"/>
  <c r="DS330" i="1"/>
  <c r="DT330" i="1"/>
  <c r="DU330" i="1"/>
  <c r="DV330" i="1"/>
  <c r="DW330" i="1"/>
  <c r="DI331" i="1"/>
  <c r="DJ331" i="1"/>
  <c r="DK331" i="1"/>
  <c r="DL331" i="1"/>
  <c r="DM331" i="1"/>
  <c r="DN331" i="1"/>
  <c r="DO331" i="1"/>
  <c r="DP331" i="1"/>
  <c r="DQ331" i="1"/>
  <c r="DR331" i="1"/>
  <c r="DS331" i="1"/>
  <c r="DT331" i="1"/>
  <c r="DU331" i="1"/>
  <c r="DV331" i="1"/>
  <c r="DW331" i="1"/>
  <c r="DI332" i="1"/>
  <c r="DJ332" i="1"/>
  <c r="DK332" i="1"/>
  <c r="DL332" i="1"/>
  <c r="DM332" i="1"/>
  <c r="DN332" i="1"/>
  <c r="DO332" i="1"/>
  <c r="DP332" i="1"/>
  <c r="DQ332" i="1"/>
  <c r="DR332" i="1"/>
  <c r="DS332" i="1"/>
  <c r="DT332" i="1"/>
  <c r="DU332" i="1"/>
  <c r="DV332" i="1"/>
  <c r="DW332" i="1"/>
  <c r="DI333" i="1"/>
  <c r="DJ333" i="1"/>
  <c r="DK333" i="1"/>
  <c r="DL333" i="1"/>
  <c r="DM333" i="1"/>
  <c r="DN333" i="1"/>
  <c r="DO333" i="1"/>
  <c r="DP333" i="1"/>
  <c r="DQ333" i="1"/>
  <c r="DR333" i="1"/>
  <c r="DS333" i="1"/>
  <c r="DT333" i="1"/>
  <c r="DU333" i="1"/>
  <c r="DV333" i="1"/>
  <c r="DW333" i="1"/>
  <c r="DI334" i="1"/>
  <c r="DJ334" i="1"/>
  <c r="DK334" i="1"/>
  <c r="DL334" i="1"/>
  <c r="DM334" i="1"/>
  <c r="DN334" i="1"/>
  <c r="DO334" i="1"/>
  <c r="DP334" i="1"/>
  <c r="DQ334" i="1"/>
  <c r="DR334" i="1"/>
  <c r="DS334" i="1"/>
  <c r="DT334" i="1"/>
  <c r="DU334" i="1"/>
  <c r="DV334" i="1"/>
  <c r="DW334" i="1"/>
  <c r="DI335" i="1"/>
  <c r="DJ335" i="1"/>
  <c r="DK335" i="1"/>
  <c r="DL335" i="1"/>
  <c r="DM335" i="1"/>
  <c r="DN335" i="1"/>
  <c r="DO335" i="1"/>
  <c r="DP335" i="1"/>
  <c r="DQ335" i="1"/>
  <c r="DR335" i="1"/>
  <c r="DS335" i="1"/>
  <c r="DT335" i="1"/>
  <c r="DU335" i="1"/>
  <c r="DV335" i="1"/>
  <c r="DW335" i="1"/>
  <c r="DI336" i="1"/>
  <c r="DJ336" i="1"/>
  <c r="DK336" i="1"/>
  <c r="DL336" i="1"/>
  <c r="DM336" i="1"/>
  <c r="DN336" i="1"/>
  <c r="DO336" i="1"/>
  <c r="DP336" i="1"/>
  <c r="DQ336" i="1"/>
  <c r="DR336" i="1"/>
  <c r="DS336" i="1"/>
  <c r="DT336" i="1"/>
  <c r="DU336" i="1"/>
  <c r="DV336" i="1"/>
  <c r="DW336" i="1"/>
  <c r="DI337" i="1"/>
  <c r="DJ337" i="1"/>
  <c r="DK337" i="1"/>
  <c r="DL337" i="1"/>
  <c r="DM337" i="1"/>
  <c r="DN337" i="1"/>
  <c r="DO337" i="1"/>
  <c r="DP337" i="1"/>
  <c r="DQ337" i="1"/>
  <c r="DR337" i="1"/>
  <c r="DS337" i="1"/>
  <c r="DT337" i="1"/>
  <c r="DU337" i="1"/>
  <c r="DV337" i="1"/>
  <c r="DW337" i="1"/>
  <c r="DI338" i="1"/>
  <c r="DJ338" i="1"/>
  <c r="DK338" i="1"/>
  <c r="DL338" i="1"/>
  <c r="DM338" i="1"/>
  <c r="DN338" i="1"/>
  <c r="DO338" i="1"/>
  <c r="DP338" i="1"/>
  <c r="DQ338" i="1"/>
  <c r="DR338" i="1"/>
  <c r="DS338" i="1"/>
  <c r="DT338" i="1"/>
  <c r="DU338" i="1"/>
  <c r="DV338" i="1"/>
  <c r="DW338" i="1"/>
  <c r="DI339" i="1"/>
  <c r="DJ339" i="1"/>
  <c r="DK339" i="1"/>
  <c r="DL339" i="1"/>
  <c r="DM339" i="1"/>
  <c r="DN339" i="1"/>
  <c r="DO339" i="1"/>
  <c r="DP339" i="1"/>
  <c r="DQ339" i="1"/>
  <c r="DR339" i="1"/>
  <c r="DS339" i="1"/>
  <c r="DT339" i="1"/>
  <c r="DU339" i="1"/>
  <c r="DV339" i="1"/>
  <c r="DW339" i="1"/>
  <c r="DI340" i="1"/>
  <c r="DJ340" i="1"/>
  <c r="DK340" i="1"/>
  <c r="DL340" i="1"/>
  <c r="DM340" i="1"/>
  <c r="DN340" i="1"/>
  <c r="DO340" i="1"/>
  <c r="DP340" i="1"/>
  <c r="DQ340" i="1"/>
  <c r="DR340" i="1"/>
  <c r="DS340" i="1"/>
  <c r="DT340" i="1"/>
  <c r="DU340" i="1"/>
  <c r="DV340" i="1"/>
  <c r="DW340" i="1"/>
  <c r="DI341" i="1"/>
  <c r="DJ341" i="1"/>
  <c r="DK341" i="1"/>
  <c r="DL341" i="1"/>
  <c r="DM341" i="1"/>
  <c r="DN341" i="1"/>
  <c r="DO341" i="1"/>
  <c r="DP341" i="1"/>
  <c r="DQ341" i="1"/>
  <c r="DR341" i="1"/>
  <c r="DS341" i="1"/>
  <c r="DT341" i="1"/>
  <c r="DU341" i="1"/>
  <c r="DV341" i="1"/>
  <c r="DW341" i="1"/>
  <c r="DI342" i="1"/>
  <c r="DJ342" i="1"/>
  <c r="DK342" i="1"/>
  <c r="DL342" i="1"/>
  <c r="DM342" i="1"/>
  <c r="DN342" i="1"/>
  <c r="DO342" i="1"/>
  <c r="DP342" i="1"/>
  <c r="DQ342" i="1"/>
  <c r="DR342" i="1"/>
  <c r="DS342" i="1"/>
  <c r="DT342" i="1"/>
  <c r="DU342" i="1"/>
  <c r="DV342" i="1"/>
  <c r="DW342" i="1"/>
  <c r="DI343" i="1"/>
  <c r="DJ343" i="1"/>
  <c r="DK343" i="1"/>
  <c r="DL343" i="1"/>
  <c r="DM343" i="1"/>
  <c r="DN343" i="1"/>
  <c r="DO343" i="1"/>
  <c r="DP343" i="1"/>
  <c r="DQ343" i="1"/>
  <c r="DR343" i="1"/>
  <c r="DS343" i="1"/>
  <c r="DT343" i="1"/>
  <c r="DU343" i="1"/>
  <c r="DV343" i="1"/>
  <c r="DW343" i="1"/>
  <c r="DI344" i="1"/>
  <c r="DJ344" i="1"/>
  <c r="DK344" i="1"/>
  <c r="DL344" i="1"/>
  <c r="DM344" i="1"/>
  <c r="DN344" i="1"/>
  <c r="DO344" i="1"/>
  <c r="DP344" i="1"/>
  <c r="DQ344" i="1"/>
  <c r="DR344" i="1"/>
  <c r="DS344" i="1"/>
  <c r="DT344" i="1"/>
  <c r="DU344" i="1"/>
  <c r="DV344" i="1"/>
  <c r="DW344" i="1"/>
  <c r="DI345" i="1"/>
  <c r="DJ345" i="1"/>
  <c r="DK345" i="1"/>
  <c r="DL345" i="1"/>
  <c r="DM345" i="1"/>
  <c r="DN345" i="1"/>
  <c r="DO345" i="1"/>
  <c r="DP345" i="1"/>
  <c r="DQ345" i="1"/>
  <c r="DR345" i="1"/>
  <c r="DS345" i="1"/>
  <c r="DT345" i="1"/>
  <c r="DU345" i="1"/>
  <c r="DV345" i="1"/>
  <c r="DW345" i="1"/>
  <c r="DI346" i="1"/>
  <c r="DJ346" i="1"/>
  <c r="DK346" i="1"/>
  <c r="DL346" i="1"/>
  <c r="DM346" i="1"/>
  <c r="DN346" i="1"/>
  <c r="DO346" i="1"/>
  <c r="DP346" i="1"/>
  <c r="DQ346" i="1"/>
  <c r="DR346" i="1"/>
  <c r="DS346" i="1"/>
  <c r="DT346" i="1"/>
  <c r="DU346" i="1"/>
  <c r="DV346" i="1"/>
  <c r="DW346" i="1"/>
  <c r="DI347" i="1"/>
  <c r="DJ347" i="1"/>
  <c r="DK347" i="1"/>
  <c r="DL347" i="1"/>
  <c r="DM347" i="1"/>
  <c r="DN347" i="1"/>
  <c r="DO347" i="1"/>
  <c r="DP347" i="1"/>
  <c r="DQ347" i="1"/>
  <c r="DR347" i="1"/>
  <c r="DS347" i="1"/>
  <c r="DT347" i="1"/>
  <c r="DU347" i="1"/>
  <c r="DV347" i="1"/>
  <c r="DW347" i="1"/>
  <c r="DI348" i="1"/>
  <c r="DJ348" i="1"/>
  <c r="DK348" i="1"/>
  <c r="DL348" i="1"/>
  <c r="DM348" i="1"/>
  <c r="DN348" i="1"/>
  <c r="DO348" i="1"/>
  <c r="DP348" i="1"/>
  <c r="DQ348" i="1"/>
  <c r="DR348" i="1"/>
  <c r="DS348" i="1"/>
  <c r="DT348" i="1"/>
  <c r="DU348" i="1"/>
  <c r="DV348" i="1"/>
  <c r="DW348" i="1"/>
  <c r="DI349" i="1"/>
  <c r="DJ349" i="1"/>
  <c r="DK349" i="1"/>
  <c r="DL349" i="1"/>
  <c r="DM349" i="1"/>
  <c r="DN349" i="1"/>
  <c r="DO349" i="1"/>
  <c r="DP349" i="1"/>
  <c r="DQ349" i="1"/>
  <c r="DR349" i="1"/>
  <c r="DS349" i="1"/>
  <c r="DT349" i="1"/>
  <c r="DU349" i="1"/>
  <c r="DV349" i="1"/>
  <c r="DW349" i="1"/>
  <c r="DI350" i="1"/>
  <c r="DJ350" i="1"/>
  <c r="DK350" i="1"/>
  <c r="DL350" i="1"/>
  <c r="DM350" i="1"/>
  <c r="DN350" i="1"/>
  <c r="DO350" i="1"/>
  <c r="DP350" i="1"/>
  <c r="DQ350" i="1"/>
  <c r="DR350" i="1"/>
  <c r="DS350" i="1"/>
  <c r="DT350" i="1"/>
  <c r="DU350" i="1"/>
  <c r="DV350" i="1"/>
  <c r="DW350" i="1"/>
  <c r="DI351" i="1"/>
  <c r="DJ351" i="1"/>
  <c r="DK351" i="1"/>
  <c r="DL351" i="1"/>
  <c r="DM351" i="1"/>
  <c r="DN351" i="1"/>
  <c r="DO351" i="1"/>
  <c r="DP351" i="1"/>
  <c r="DQ351" i="1"/>
  <c r="DR351" i="1"/>
  <c r="DS351" i="1"/>
  <c r="DT351" i="1"/>
  <c r="DU351" i="1"/>
  <c r="DV351" i="1"/>
  <c r="DW351" i="1"/>
  <c r="DI352" i="1"/>
  <c r="DJ352" i="1"/>
  <c r="DK352" i="1"/>
  <c r="DL352" i="1"/>
  <c r="DM352" i="1"/>
  <c r="DN352" i="1"/>
  <c r="DO352" i="1"/>
  <c r="DP352" i="1"/>
  <c r="DQ352" i="1"/>
  <c r="DR352" i="1"/>
  <c r="DS352" i="1"/>
  <c r="DT352" i="1"/>
  <c r="DU352" i="1"/>
  <c r="DV352" i="1"/>
  <c r="DW352" i="1"/>
  <c r="DI353" i="1"/>
  <c r="DJ353" i="1"/>
  <c r="DK353" i="1"/>
  <c r="DL353" i="1"/>
  <c r="DM353" i="1"/>
  <c r="DN353" i="1"/>
  <c r="DO353" i="1"/>
  <c r="DP353" i="1"/>
  <c r="DQ353" i="1"/>
  <c r="DR353" i="1"/>
  <c r="DS353" i="1"/>
  <c r="DT353" i="1"/>
  <c r="DU353" i="1"/>
  <c r="DV353" i="1"/>
  <c r="DW353" i="1"/>
  <c r="DI354" i="1"/>
  <c r="DJ354" i="1"/>
  <c r="DK354" i="1"/>
  <c r="DL354" i="1"/>
  <c r="DM354" i="1"/>
  <c r="DN354" i="1"/>
  <c r="DO354" i="1"/>
  <c r="DP354" i="1"/>
  <c r="DQ354" i="1"/>
  <c r="DR354" i="1"/>
  <c r="DS354" i="1"/>
  <c r="DT354" i="1"/>
  <c r="DU354" i="1"/>
  <c r="DV354" i="1"/>
  <c r="DW354" i="1"/>
  <c r="DI355" i="1"/>
  <c r="DJ355" i="1"/>
  <c r="DK355" i="1"/>
  <c r="DL355" i="1"/>
  <c r="DM355" i="1"/>
  <c r="DN355" i="1"/>
  <c r="DO355" i="1"/>
  <c r="DP355" i="1"/>
  <c r="DQ355" i="1"/>
  <c r="DR355" i="1"/>
  <c r="DS355" i="1"/>
  <c r="DT355" i="1"/>
  <c r="DU355" i="1"/>
  <c r="DV355" i="1"/>
  <c r="DW355" i="1"/>
  <c r="DI356" i="1"/>
  <c r="DJ356" i="1"/>
  <c r="DK356" i="1"/>
  <c r="DL356" i="1"/>
  <c r="DM356" i="1"/>
  <c r="DN356" i="1"/>
  <c r="DO356" i="1"/>
  <c r="DP356" i="1"/>
  <c r="DQ356" i="1"/>
  <c r="DR356" i="1"/>
  <c r="DS356" i="1"/>
  <c r="DT356" i="1"/>
  <c r="DU356" i="1"/>
  <c r="DV356" i="1"/>
  <c r="DW356" i="1"/>
  <c r="DI357" i="1"/>
  <c r="DJ357" i="1"/>
  <c r="DK357" i="1"/>
  <c r="DL357" i="1"/>
  <c r="DM357" i="1"/>
  <c r="DN357" i="1"/>
  <c r="DO357" i="1"/>
  <c r="DP357" i="1"/>
  <c r="DQ357" i="1"/>
  <c r="DR357" i="1"/>
  <c r="DS357" i="1"/>
  <c r="DT357" i="1"/>
  <c r="DU357" i="1"/>
  <c r="DV357" i="1"/>
  <c r="DW357" i="1"/>
  <c r="DI358" i="1"/>
  <c r="DJ358" i="1"/>
  <c r="DK358" i="1"/>
  <c r="DL358" i="1"/>
  <c r="DM358" i="1"/>
  <c r="DN358" i="1"/>
  <c r="DO358" i="1"/>
  <c r="DP358" i="1"/>
  <c r="DQ358" i="1"/>
  <c r="DR358" i="1"/>
  <c r="DS358" i="1"/>
  <c r="DT358" i="1"/>
  <c r="DU358" i="1"/>
  <c r="DV358" i="1"/>
  <c r="DW358" i="1"/>
  <c r="DI359" i="1"/>
  <c r="DJ359" i="1"/>
  <c r="DK359" i="1"/>
  <c r="DL359" i="1"/>
  <c r="DM359" i="1"/>
  <c r="DN359" i="1"/>
  <c r="DO359" i="1"/>
  <c r="DP359" i="1"/>
  <c r="DQ359" i="1"/>
  <c r="DR359" i="1"/>
  <c r="DS359" i="1"/>
  <c r="DT359" i="1"/>
  <c r="DU359" i="1"/>
  <c r="DV359" i="1"/>
  <c r="DW359" i="1"/>
  <c r="DI360" i="1"/>
  <c r="DJ360" i="1"/>
  <c r="DK360" i="1"/>
  <c r="DL360" i="1"/>
  <c r="DM360" i="1"/>
  <c r="DN360" i="1"/>
  <c r="DO360" i="1"/>
  <c r="DP360" i="1"/>
  <c r="DQ360" i="1"/>
  <c r="DR360" i="1"/>
  <c r="DS360" i="1"/>
  <c r="DT360" i="1"/>
  <c r="DU360" i="1"/>
  <c r="DV360" i="1"/>
  <c r="DW360" i="1"/>
  <c r="DI361" i="1"/>
  <c r="DJ361" i="1"/>
  <c r="DK361" i="1"/>
  <c r="DL361" i="1"/>
  <c r="DM361" i="1"/>
  <c r="DN361" i="1"/>
  <c r="DO361" i="1"/>
  <c r="DP361" i="1"/>
  <c r="DQ361" i="1"/>
  <c r="DR361" i="1"/>
  <c r="DS361" i="1"/>
  <c r="DT361" i="1"/>
  <c r="DU361" i="1"/>
  <c r="DV361" i="1"/>
  <c r="DW361" i="1"/>
  <c r="DI362" i="1"/>
  <c r="DJ362" i="1"/>
  <c r="DK362" i="1"/>
  <c r="DL362" i="1"/>
  <c r="DM362" i="1"/>
  <c r="DN362" i="1"/>
  <c r="DO362" i="1"/>
  <c r="DP362" i="1"/>
  <c r="DQ362" i="1"/>
  <c r="DR362" i="1"/>
  <c r="DS362" i="1"/>
  <c r="DT362" i="1"/>
  <c r="DU362" i="1"/>
  <c r="DV362" i="1"/>
  <c r="DW362" i="1"/>
  <c r="DI363" i="1"/>
  <c r="DJ363" i="1"/>
  <c r="DK363" i="1"/>
  <c r="DL363" i="1"/>
  <c r="DM363" i="1"/>
  <c r="DN363" i="1"/>
  <c r="DO363" i="1"/>
  <c r="DP363" i="1"/>
  <c r="DQ363" i="1"/>
  <c r="DR363" i="1"/>
  <c r="DS363" i="1"/>
  <c r="DT363" i="1"/>
  <c r="DU363" i="1"/>
  <c r="DV363" i="1"/>
  <c r="DW363" i="1"/>
  <c r="DI364" i="1"/>
  <c r="DJ364" i="1"/>
  <c r="DK364" i="1"/>
  <c r="DL364" i="1"/>
  <c r="DM364" i="1"/>
  <c r="DN364" i="1"/>
  <c r="DO364" i="1"/>
  <c r="DP364" i="1"/>
  <c r="DQ364" i="1"/>
  <c r="DR364" i="1"/>
  <c r="DS364" i="1"/>
  <c r="DT364" i="1"/>
  <c r="DU364" i="1"/>
  <c r="DV364" i="1"/>
  <c r="DW364" i="1"/>
  <c r="DI365" i="1"/>
  <c r="DJ365" i="1"/>
  <c r="DK365" i="1"/>
  <c r="DL365" i="1"/>
  <c r="DM365" i="1"/>
  <c r="DN365" i="1"/>
  <c r="DO365" i="1"/>
  <c r="DP365" i="1"/>
  <c r="DQ365" i="1"/>
  <c r="DR365" i="1"/>
  <c r="DS365" i="1"/>
  <c r="DT365" i="1"/>
  <c r="DU365" i="1"/>
  <c r="DV365" i="1"/>
  <c r="DW365" i="1"/>
  <c r="DI366" i="1"/>
  <c r="DJ366" i="1"/>
  <c r="DK366" i="1"/>
  <c r="DL366" i="1"/>
  <c r="DM366" i="1"/>
  <c r="DN366" i="1"/>
  <c r="DO366" i="1"/>
  <c r="DP366" i="1"/>
  <c r="DQ366" i="1"/>
  <c r="DR366" i="1"/>
  <c r="DS366" i="1"/>
  <c r="DT366" i="1"/>
  <c r="DU366" i="1"/>
  <c r="DV366" i="1"/>
  <c r="DW366" i="1"/>
  <c r="DI367" i="1"/>
  <c r="DJ367" i="1"/>
  <c r="DK367" i="1"/>
  <c r="DL367" i="1"/>
  <c r="DM367" i="1"/>
  <c r="DN367" i="1"/>
  <c r="DO367" i="1"/>
  <c r="DP367" i="1"/>
  <c r="DQ367" i="1"/>
  <c r="DR367" i="1"/>
  <c r="DS367" i="1"/>
  <c r="DT367" i="1"/>
  <c r="DU367" i="1"/>
  <c r="DV367" i="1"/>
  <c r="DW367" i="1"/>
  <c r="DI368" i="1"/>
  <c r="DJ368" i="1"/>
  <c r="DK368" i="1"/>
  <c r="DL368" i="1"/>
  <c r="DM368" i="1"/>
  <c r="DN368" i="1"/>
  <c r="DO368" i="1"/>
  <c r="DP368" i="1"/>
  <c r="DQ368" i="1"/>
  <c r="DR368" i="1"/>
  <c r="DS368" i="1"/>
  <c r="DT368" i="1"/>
  <c r="DU368" i="1"/>
  <c r="DV368" i="1"/>
  <c r="DW368" i="1"/>
  <c r="DI369" i="1"/>
  <c r="DJ369" i="1"/>
  <c r="DK369" i="1"/>
  <c r="DL369" i="1"/>
  <c r="DM369" i="1"/>
  <c r="DN369" i="1"/>
  <c r="DO369" i="1"/>
  <c r="DP369" i="1"/>
  <c r="DQ369" i="1"/>
  <c r="DR369" i="1"/>
  <c r="DS369" i="1"/>
  <c r="DT369" i="1"/>
  <c r="DU369" i="1"/>
  <c r="DV369" i="1"/>
  <c r="DW369" i="1"/>
  <c r="DI370" i="1"/>
  <c r="DJ370" i="1"/>
  <c r="DK370" i="1"/>
  <c r="DL370" i="1"/>
  <c r="DM370" i="1"/>
  <c r="DN370" i="1"/>
  <c r="DO370" i="1"/>
  <c r="DP370" i="1"/>
  <c r="DQ370" i="1"/>
  <c r="DR370" i="1"/>
  <c r="DS370" i="1"/>
  <c r="DT370" i="1"/>
  <c r="DU370" i="1"/>
  <c r="DV370" i="1"/>
  <c r="DW370" i="1"/>
  <c r="DI371" i="1"/>
  <c r="DJ371" i="1"/>
  <c r="DK371" i="1"/>
  <c r="DL371" i="1"/>
  <c r="DM371" i="1"/>
  <c r="DN371" i="1"/>
  <c r="DO371" i="1"/>
  <c r="DP371" i="1"/>
  <c r="DQ371" i="1"/>
  <c r="DR371" i="1"/>
  <c r="DS371" i="1"/>
  <c r="DT371" i="1"/>
  <c r="DU371" i="1"/>
  <c r="DV371" i="1"/>
  <c r="DW371" i="1"/>
  <c r="DI372" i="1"/>
  <c r="DJ372" i="1"/>
  <c r="DK372" i="1"/>
  <c r="DL372" i="1"/>
  <c r="DM372" i="1"/>
  <c r="DN372" i="1"/>
  <c r="DO372" i="1"/>
  <c r="DP372" i="1"/>
  <c r="DQ372" i="1"/>
  <c r="DR372" i="1"/>
  <c r="DS372" i="1"/>
  <c r="DT372" i="1"/>
  <c r="DU372" i="1"/>
  <c r="DV372" i="1"/>
  <c r="DW372" i="1"/>
  <c r="DI373" i="1"/>
  <c r="DJ373" i="1"/>
  <c r="DK373" i="1"/>
  <c r="DL373" i="1"/>
  <c r="DM373" i="1"/>
  <c r="DN373" i="1"/>
  <c r="DO373" i="1"/>
  <c r="DP373" i="1"/>
  <c r="DQ373" i="1"/>
  <c r="DR373" i="1"/>
  <c r="DS373" i="1"/>
  <c r="DT373" i="1"/>
  <c r="DU373" i="1"/>
  <c r="DV373" i="1"/>
  <c r="DW373" i="1"/>
  <c r="DI374" i="1"/>
  <c r="DJ374" i="1"/>
  <c r="DK374" i="1"/>
  <c r="DL374" i="1"/>
  <c r="DM374" i="1"/>
  <c r="DN374" i="1"/>
  <c r="DO374" i="1"/>
  <c r="DP374" i="1"/>
  <c r="DQ374" i="1"/>
  <c r="DR374" i="1"/>
  <c r="DS374" i="1"/>
  <c r="DT374" i="1"/>
  <c r="DU374" i="1"/>
  <c r="DV374" i="1"/>
  <c r="DW374" i="1"/>
  <c r="DI375" i="1"/>
  <c r="DJ375" i="1"/>
  <c r="DK375" i="1"/>
  <c r="DL375" i="1"/>
  <c r="DM375" i="1"/>
  <c r="DN375" i="1"/>
  <c r="DO375" i="1"/>
  <c r="DP375" i="1"/>
  <c r="DQ375" i="1"/>
  <c r="DR375" i="1"/>
  <c r="DS375" i="1"/>
  <c r="DT375" i="1"/>
  <c r="DU375" i="1"/>
  <c r="DV375" i="1"/>
  <c r="DW375" i="1"/>
  <c r="DI376" i="1"/>
  <c r="DJ376" i="1"/>
  <c r="DK376" i="1"/>
  <c r="DL376" i="1"/>
  <c r="DM376" i="1"/>
  <c r="DN376" i="1"/>
  <c r="DO376" i="1"/>
  <c r="DP376" i="1"/>
  <c r="DQ376" i="1"/>
  <c r="DR376" i="1"/>
  <c r="DS376" i="1"/>
  <c r="DT376" i="1"/>
  <c r="DU376" i="1"/>
  <c r="DV376" i="1"/>
  <c r="DW376" i="1"/>
  <c r="DI377" i="1"/>
  <c r="DJ377" i="1"/>
  <c r="DK377" i="1"/>
  <c r="DL377" i="1"/>
  <c r="DM377" i="1"/>
  <c r="DN377" i="1"/>
  <c r="DO377" i="1"/>
  <c r="DP377" i="1"/>
  <c r="DQ377" i="1"/>
  <c r="DR377" i="1"/>
  <c r="DS377" i="1"/>
  <c r="DT377" i="1"/>
  <c r="DU377" i="1"/>
  <c r="DV377" i="1"/>
  <c r="DW377" i="1"/>
  <c r="DI378" i="1"/>
  <c r="DJ378" i="1"/>
  <c r="DK378" i="1"/>
  <c r="DL378" i="1"/>
  <c r="DM378" i="1"/>
  <c r="DN378" i="1"/>
  <c r="DO378" i="1"/>
  <c r="DP378" i="1"/>
  <c r="DQ378" i="1"/>
  <c r="DR378" i="1"/>
  <c r="DS378" i="1"/>
  <c r="DT378" i="1"/>
  <c r="DU378" i="1"/>
  <c r="DV378" i="1"/>
  <c r="DW378" i="1"/>
  <c r="DI379" i="1"/>
  <c r="DJ379" i="1"/>
  <c r="DK379" i="1"/>
  <c r="DL379" i="1"/>
  <c r="DM379" i="1"/>
  <c r="DN379" i="1"/>
  <c r="DO379" i="1"/>
  <c r="DP379" i="1"/>
  <c r="DQ379" i="1"/>
  <c r="DR379" i="1"/>
  <c r="DS379" i="1"/>
  <c r="DT379" i="1"/>
  <c r="DU379" i="1"/>
  <c r="DV379" i="1"/>
  <c r="DW379" i="1"/>
  <c r="DI380" i="1"/>
  <c r="DJ380" i="1"/>
  <c r="DK380" i="1"/>
  <c r="DL380" i="1"/>
  <c r="DM380" i="1"/>
  <c r="DN380" i="1"/>
  <c r="DO380" i="1"/>
  <c r="DP380" i="1"/>
  <c r="DQ380" i="1"/>
  <c r="DR380" i="1"/>
  <c r="DS380" i="1"/>
  <c r="DT380" i="1"/>
  <c r="DU380" i="1"/>
  <c r="DV380" i="1"/>
  <c r="DW380" i="1"/>
  <c r="DI381" i="1"/>
  <c r="DJ381" i="1"/>
  <c r="DK381" i="1"/>
  <c r="DL381" i="1"/>
  <c r="DM381" i="1"/>
  <c r="DN381" i="1"/>
  <c r="DO381" i="1"/>
  <c r="DP381" i="1"/>
  <c r="DQ381" i="1"/>
  <c r="DR381" i="1"/>
  <c r="DS381" i="1"/>
  <c r="DT381" i="1"/>
  <c r="DU381" i="1"/>
  <c r="DV381" i="1"/>
  <c r="DW381" i="1"/>
  <c r="DI382" i="1"/>
  <c r="DJ382" i="1"/>
  <c r="DK382" i="1"/>
  <c r="DL382" i="1"/>
  <c r="DM382" i="1"/>
  <c r="DN382" i="1"/>
  <c r="DO382" i="1"/>
  <c r="DP382" i="1"/>
  <c r="DQ382" i="1"/>
  <c r="DR382" i="1"/>
  <c r="DS382" i="1"/>
  <c r="DT382" i="1"/>
  <c r="DU382" i="1"/>
  <c r="DV382" i="1"/>
  <c r="DW382" i="1"/>
  <c r="DI383" i="1"/>
  <c r="DJ383" i="1"/>
  <c r="DK383" i="1"/>
  <c r="DL383" i="1"/>
  <c r="DM383" i="1"/>
  <c r="DN383" i="1"/>
  <c r="DO383" i="1"/>
  <c r="DP383" i="1"/>
  <c r="DQ383" i="1"/>
  <c r="DR383" i="1"/>
  <c r="DS383" i="1"/>
  <c r="DT383" i="1"/>
  <c r="DU383" i="1"/>
  <c r="DV383" i="1"/>
  <c r="DW383" i="1"/>
  <c r="DI384" i="1"/>
  <c r="DJ384" i="1"/>
  <c r="DK384" i="1"/>
  <c r="DL384" i="1"/>
  <c r="DM384" i="1"/>
  <c r="DN384" i="1"/>
  <c r="DO384" i="1"/>
  <c r="DP384" i="1"/>
  <c r="DQ384" i="1"/>
  <c r="DR384" i="1"/>
  <c r="DS384" i="1"/>
  <c r="DT384" i="1"/>
  <c r="DU384" i="1"/>
  <c r="DV384" i="1"/>
  <c r="DW384" i="1"/>
  <c r="DI385" i="1"/>
  <c r="DJ385" i="1"/>
  <c r="DK385" i="1"/>
  <c r="DL385" i="1"/>
  <c r="DM385" i="1"/>
  <c r="DN385" i="1"/>
  <c r="DO385" i="1"/>
  <c r="DP385" i="1"/>
  <c r="DQ385" i="1"/>
  <c r="DR385" i="1"/>
  <c r="DS385" i="1"/>
  <c r="DT385" i="1"/>
  <c r="DU385" i="1"/>
  <c r="DV385" i="1"/>
  <c r="DW385" i="1"/>
  <c r="DI386" i="1"/>
  <c r="DJ386" i="1"/>
  <c r="DK386" i="1"/>
  <c r="DL386" i="1"/>
  <c r="DM386" i="1"/>
  <c r="DN386" i="1"/>
  <c r="DO386" i="1"/>
  <c r="DP386" i="1"/>
  <c r="DQ386" i="1"/>
  <c r="DR386" i="1"/>
  <c r="DS386" i="1"/>
  <c r="DT386" i="1"/>
  <c r="DU386" i="1"/>
  <c r="DV386" i="1"/>
  <c r="DW386" i="1"/>
  <c r="DI387" i="1"/>
  <c r="DJ387" i="1"/>
  <c r="DK387" i="1"/>
  <c r="DL387" i="1"/>
  <c r="DM387" i="1"/>
  <c r="DN387" i="1"/>
  <c r="DO387" i="1"/>
  <c r="DP387" i="1"/>
  <c r="DQ387" i="1"/>
  <c r="DR387" i="1"/>
  <c r="DS387" i="1"/>
  <c r="DT387" i="1"/>
  <c r="DU387" i="1"/>
  <c r="DV387" i="1"/>
  <c r="DW387" i="1"/>
  <c r="DI388" i="1"/>
  <c r="DJ388" i="1"/>
  <c r="DK388" i="1"/>
  <c r="DL388" i="1"/>
  <c r="DM388" i="1"/>
  <c r="DN388" i="1"/>
  <c r="DO388" i="1"/>
  <c r="DP388" i="1"/>
  <c r="DQ388" i="1"/>
  <c r="DR388" i="1"/>
  <c r="DS388" i="1"/>
  <c r="DT388" i="1"/>
  <c r="DU388" i="1"/>
  <c r="DV388" i="1"/>
  <c r="DW388" i="1"/>
  <c r="DI389" i="1"/>
  <c r="DJ389" i="1"/>
  <c r="DK389" i="1"/>
  <c r="DL389" i="1"/>
  <c r="DM389" i="1"/>
  <c r="DN389" i="1"/>
  <c r="DO389" i="1"/>
  <c r="DP389" i="1"/>
  <c r="DQ389" i="1"/>
  <c r="DR389" i="1"/>
  <c r="DS389" i="1"/>
  <c r="DT389" i="1"/>
  <c r="DU389" i="1"/>
  <c r="DV389" i="1"/>
  <c r="DW389" i="1"/>
  <c r="DI390" i="1"/>
  <c r="DJ390" i="1"/>
  <c r="DK390" i="1"/>
  <c r="DL390" i="1"/>
  <c r="DM390" i="1"/>
  <c r="DN390" i="1"/>
  <c r="DO390" i="1"/>
  <c r="DP390" i="1"/>
  <c r="DQ390" i="1"/>
  <c r="DR390" i="1"/>
  <c r="DS390" i="1"/>
  <c r="DT390" i="1"/>
  <c r="DU390" i="1"/>
  <c r="DV390" i="1"/>
  <c r="DW390" i="1"/>
  <c r="DI391" i="1"/>
  <c r="DJ391" i="1"/>
  <c r="DK391" i="1"/>
  <c r="DL391" i="1"/>
  <c r="DM391" i="1"/>
  <c r="DN391" i="1"/>
  <c r="DO391" i="1"/>
  <c r="DP391" i="1"/>
  <c r="DQ391" i="1"/>
  <c r="DR391" i="1"/>
  <c r="DS391" i="1"/>
  <c r="DT391" i="1"/>
  <c r="DU391" i="1"/>
  <c r="DV391" i="1"/>
  <c r="DW391" i="1"/>
  <c r="DI392" i="1"/>
  <c r="DJ392" i="1"/>
  <c r="DK392" i="1"/>
  <c r="DL392" i="1"/>
  <c r="DM392" i="1"/>
  <c r="DN392" i="1"/>
  <c r="DO392" i="1"/>
  <c r="DP392" i="1"/>
  <c r="DQ392" i="1"/>
  <c r="DR392" i="1"/>
  <c r="DS392" i="1"/>
  <c r="DT392" i="1"/>
  <c r="DU392" i="1"/>
  <c r="DV392" i="1"/>
  <c r="DW392" i="1"/>
  <c r="DI393" i="1"/>
  <c r="DJ393" i="1"/>
  <c r="DK393" i="1"/>
  <c r="DL393" i="1"/>
  <c r="DM393" i="1"/>
  <c r="DN393" i="1"/>
  <c r="DO393" i="1"/>
  <c r="DP393" i="1"/>
  <c r="DQ393" i="1"/>
  <c r="DR393" i="1"/>
  <c r="DS393" i="1"/>
  <c r="DT393" i="1"/>
  <c r="DU393" i="1"/>
  <c r="DV393" i="1"/>
  <c r="DW393" i="1"/>
  <c r="DI394" i="1"/>
  <c r="DJ394" i="1"/>
  <c r="DK394" i="1"/>
  <c r="DL394" i="1"/>
  <c r="DM394" i="1"/>
  <c r="DN394" i="1"/>
  <c r="DO394" i="1"/>
  <c r="DP394" i="1"/>
  <c r="DQ394" i="1"/>
  <c r="DR394" i="1"/>
  <c r="DS394" i="1"/>
  <c r="DT394" i="1"/>
  <c r="DU394" i="1"/>
  <c r="DV394" i="1"/>
  <c r="DW394" i="1"/>
  <c r="DI395" i="1"/>
  <c r="DJ395" i="1"/>
  <c r="DK395" i="1"/>
  <c r="DL395" i="1"/>
  <c r="DM395" i="1"/>
  <c r="DN395" i="1"/>
  <c r="DO395" i="1"/>
  <c r="DP395" i="1"/>
  <c r="DQ395" i="1"/>
  <c r="DR395" i="1"/>
  <c r="DS395" i="1"/>
  <c r="DT395" i="1"/>
  <c r="DU395" i="1"/>
  <c r="DV395" i="1"/>
  <c r="DW395" i="1"/>
  <c r="DI396" i="1"/>
  <c r="DJ396" i="1"/>
  <c r="DK396" i="1"/>
  <c r="DL396" i="1"/>
  <c r="DM396" i="1"/>
  <c r="DN396" i="1"/>
  <c r="DO396" i="1"/>
  <c r="DP396" i="1"/>
  <c r="DQ396" i="1"/>
  <c r="DR396" i="1"/>
  <c r="DS396" i="1"/>
  <c r="DT396" i="1"/>
  <c r="DU396" i="1"/>
  <c r="DV396" i="1"/>
  <c r="DW396" i="1"/>
  <c r="DI397" i="1"/>
  <c r="DJ397" i="1"/>
  <c r="DK397" i="1"/>
  <c r="DL397" i="1"/>
  <c r="DM397" i="1"/>
  <c r="DN397" i="1"/>
  <c r="DO397" i="1"/>
  <c r="DP397" i="1"/>
  <c r="DQ397" i="1"/>
  <c r="DR397" i="1"/>
  <c r="DS397" i="1"/>
  <c r="DT397" i="1"/>
  <c r="DU397" i="1"/>
  <c r="DV397" i="1"/>
  <c r="DW397" i="1"/>
  <c r="DI398" i="1"/>
  <c r="DJ398" i="1"/>
  <c r="DK398" i="1"/>
  <c r="DL398" i="1"/>
  <c r="DM398" i="1"/>
  <c r="DN398" i="1"/>
  <c r="DO398" i="1"/>
  <c r="DP398" i="1"/>
  <c r="DQ398" i="1"/>
  <c r="DR398" i="1"/>
  <c r="DS398" i="1"/>
  <c r="DT398" i="1"/>
  <c r="DU398" i="1"/>
  <c r="DV398" i="1"/>
  <c r="DW398" i="1"/>
  <c r="DI399" i="1"/>
  <c r="DJ399" i="1"/>
  <c r="DK399" i="1"/>
  <c r="DL399" i="1"/>
  <c r="DM399" i="1"/>
  <c r="DN399" i="1"/>
  <c r="DO399" i="1"/>
  <c r="DP399" i="1"/>
  <c r="DQ399" i="1"/>
  <c r="DR399" i="1"/>
  <c r="DS399" i="1"/>
  <c r="DT399" i="1"/>
  <c r="DU399" i="1"/>
  <c r="DV399" i="1"/>
  <c r="DW399" i="1"/>
  <c r="DI400" i="1"/>
  <c r="DJ400" i="1"/>
  <c r="DK400" i="1"/>
  <c r="DL400" i="1"/>
  <c r="DM400" i="1"/>
  <c r="DN400" i="1"/>
  <c r="DO400" i="1"/>
  <c r="DP400" i="1"/>
  <c r="DQ400" i="1"/>
  <c r="DR400" i="1"/>
  <c r="DS400" i="1"/>
  <c r="DT400" i="1"/>
  <c r="DU400" i="1"/>
  <c r="DV400" i="1"/>
  <c r="DW400" i="1"/>
  <c r="DI401" i="1"/>
  <c r="DJ401" i="1"/>
  <c r="DK401" i="1"/>
  <c r="DL401" i="1"/>
  <c r="DM401" i="1"/>
  <c r="DN401" i="1"/>
  <c r="DO401" i="1"/>
  <c r="DP401" i="1"/>
  <c r="DQ401" i="1"/>
  <c r="DR401" i="1"/>
  <c r="DS401" i="1"/>
  <c r="DT401" i="1"/>
  <c r="DU401" i="1"/>
  <c r="DV401" i="1"/>
  <c r="DW401" i="1"/>
  <c r="DI402" i="1"/>
  <c r="DJ402" i="1"/>
  <c r="DK402" i="1"/>
  <c r="DL402" i="1"/>
  <c r="DM402" i="1"/>
  <c r="DN402" i="1"/>
  <c r="DO402" i="1"/>
  <c r="DP402" i="1"/>
  <c r="DQ402" i="1"/>
  <c r="DR402" i="1"/>
  <c r="DS402" i="1"/>
  <c r="DT402" i="1"/>
  <c r="DU402" i="1"/>
  <c r="DV402" i="1"/>
  <c r="DW402" i="1"/>
  <c r="DI403" i="1"/>
  <c r="DJ403" i="1"/>
  <c r="DK403" i="1"/>
  <c r="DL403" i="1"/>
  <c r="DM403" i="1"/>
  <c r="DN403" i="1"/>
  <c r="DO403" i="1"/>
  <c r="DP403" i="1"/>
  <c r="DQ403" i="1"/>
  <c r="DR403" i="1"/>
  <c r="DS403" i="1"/>
  <c r="DT403" i="1"/>
  <c r="DU403" i="1"/>
  <c r="DV403" i="1"/>
  <c r="DW403" i="1"/>
  <c r="DI404" i="1"/>
  <c r="DJ404" i="1"/>
  <c r="DK404" i="1"/>
  <c r="DL404" i="1"/>
  <c r="DM404" i="1"/>
  <c r="DN404" i="1"/>
  <c r="DO404" i="1"/>
  <c r="DP404" i="1"/>
  <c r="DQ404" i="1"/>
  <c r="DR404" i="1"/>
  <c r="DS404" i="1"/>
  <c r="DT404" i="1"/>
  <c r="DU404" i="1"/>
  <c r="DV404" i="1"/>
  <c r="DW404" i="1"/>
  <c r="DI405" i="1"/>
  <c r="DJ405" i="1"/>
  <c r="DK405" i="1"/>
  <c r="DL405" i="1"/>
  <c r="DM405" i="1"/>
  <c r="DN405" i="1"/>
  <c r="DO405" i="1"/>
  <c r="DP405" i="1"/>
  <c r="DQ405" i="1"/>
  <c r="DR405" i="1"/>
  <c r="DS405" i="1"/>
  <c r="DT405" i="1"/>
  <c r="DU405" i="1"/>
  <c r="DV405" i="1"/>
  <c r="DW405" i="1"/>
  <c r="DI406" i="1"/>
  <c r="DJ406" i="1"/>
  <c r="DK406" i="1"/>
  <c r="DL406" i="1"/>
  <c r="DM406" i="1"/>
  <c r="DN406" i="1"/>
  <c r="DO406" i="1"/>
  <c r="DP406" i="1"/>
  <c r="DQ406" i="1"/>
  <c r="DR406" i="1"/>
  <c r="DS406" i="1"/>
  <c r="DT406" i="1"/>
  <c r="DU406" i="1"/>
  <c r="DV406" i="1"/>
  <c r="DW406" i="1"/>
  <c r="DI407" i="1"/>
  <c r="DJ407" i="1"/>
  <c r="DK407" i="1"/>
  <c r="DL407" i="1"/>
  <c r="DM407" i="1"/>
  <c r="DN407" i="1"/>
  <c r="DO407" i="1"/>
  <c r="DP407" i="1"/>
  <c r="DQ407" i="1"/>
  <c r="DR407" i="1"/>
  <c r="DS407" i="1"/>
  <c r="DT407" i="1"/>
  <c r="DU407" i="1"/>
  <c r="DV407" i="1"/>
  <c r="DW407" i="1"/>
  <c r="DI408" i="1"/>
  <c r="DJ408" i="1"/>
  <c r="DK408" i="1"/>
  <c r="DL408" i="1"/>
  <c r="DM408" i="1"/>
  <c r="DN408" i="1"/>
  <c r="DO408" i="1"/>
  <c r="DP408" i="1"/>
  <c r="DQ408" i="1"/>
  <c r="DR408" i="1"/>
  <c r="DS408" i="1"/>
  <c r="DT408" i="1"/>
  <c r="DU408" i="1"/>
  <c r="DV408" i="1"/>
  <c r="DW408" i="1"/>
  <c r="DI409" i="1"/>
  <c r="DJ409" i="1"/>
  <c r="DK409" i="1"/>
  <c r="DL409" i="1"/>
  <c r="DM409" i="1"/>
  <c r="DN409" i="1"/>
  <c r="DO409" i="1"/>
  <c r="DP409" i="1"/>
  <c r="DQ409" i="1"/>
  <c r="DR409" i="1"/>
  <c r="DS409" i="1"/>
  <c r="DT409" i="1"/>
  <c r="DU409" i="1"/>
  <c r="DV409" i="1"/>
  <c r="DW409" i="1"/>
  <c r="DI410" i="1"/>
  <c r="DJ410" i="1"/>
  <c r="DK410" i="1"/>
  <c r="DL410" i="1"/>
  <c r="DM410" i="1"/>
  <c r="DN410" i="1"/>
  <c r="DO410" i="1"/>
  <c r="DP410" i="1"/>
  <c r="DQ410" i="1"/>
  <c r="DR410" i="1"/>
  <c r="DS410" i="1"/>
  <c r="DT410" i="1"/>
  <c r="DU410" i="1"/>
  <c r="DV410" i="1"/>
  <c r="DW410" i="1"/>
  <c r="DI411" i="1"/>
  <c r="DJ411" i="1"/>
  <c r="DK411" i="1"/>
  <c r="DL411" i="1"/>
  <c r="DM411" i="1"/>
  <c r="DN411" i="1"/>
  <c r="DO411" i="1"/>
  <c r="DP411" i="1"/>
  <c r="DQ411" i="1"/>
  <c r="DR411" i="1"/>
  <c r="DS411" i="1"/>
  <c r="DT411" i="1"/>
  <c r="DU411" i="1"/>
  <c r="DV411" i="1"/>
  <c r="DW411" i="1"/>
  <c r="DI412" i="1"/>
  <c r="DJ412" i="1"/>
  <c r="DK412" i="1"/>
  <c r="DL412" i="1"/>
  <c r="DM412" i="1"/>
  <c r="DN412" i="1"/>
  <c r="DO412" i="1"/>
  <c r="DP412" i="1"/>
  <c r="DQ412" i="1"/>
  <c r="DR412" i="1"/>
  <c r="DS412" i="1"/>
  <c r="DT412" i="1"/>
  <c r="DU412" i="1"/>
  <c r="DV412" i="1"/>
  <c r="DW412" i="1"/>
  <c r="DI413" i="1"/>
  <c r="DJ413" i="1"/>
  <c r="DK413" i="1"/>
  <c r="DL413" i="1"/>
  <c r="DM413" i="1"/>
  <c r="DN413" i="1"/>
  <c r="DO413" i="1"/>
  <c r="DP413" i="1"/>
  <c r="DQ413" i="1"/>
  <c r="DR413" i="1"/>
  <c r="DS413" i="1"/>
  <c r="DT413" i="1"/>
  <c r="DU413" i="1"/>
  <c r="DV413" i="1"/>
  <c r="DW413" i="1"/>
  <c r="DI414" i="1"/>
  <c r="DJ414" i="1"/>
  <c r="DK414" i="1"/>
  <c r="DL414" i="1"/>
  <c r="DM414" i="1"/>
  <c r="DN414" i="1"/>
  <c r="DO414" i="1"/>
  <c r="DP414" i="1"/>
  <c r="DQ414" i="1"/>
  <c r="DR414" i="1"/>
  <c r="DS414" i="1"/>
  <c r="DT414" i="1"/>
  <c r="DU414" i="1"/>
  <c r="DV414" i="1"/>
  <c r="DW414" i="1"/>
  <c r="DI415" i="1"/>
  <c r="DJ415" i="1"/>
  <c r="DK415" i="1"/>
  <c r="DL415" i="1"/>
  <c r="DM415" i="1"/>
  <c r="DN415" i="1"/>
  <c r="DO415" i="1"/>
  <c r="DP415" i="1"/>
  <c r="DQ415" i="1"/>
  <c r="DR415" i="1"/>
  <c r="DS415" i="1"/>
  <c r="DT415" i="1"/>
  <c r="DU415" i="1"/>
  <c r="DV415" i="1"/>
  <c r="DW415" i="1"/>
  <c r="DI416" i="1"/>
  <c r="DJ416" i="1"/>
  <c r="DK416" i="1"/>
  <c r="DL416" i="1"/>
  <c r="DM416" i="1"/>
  <c r="DN416" i="1"/>
  <c r="DO416" i="1"/>
  <c r="DP416" i="1"/>
  <c r="DQ416" i="1"/>
  <c r="DR416" i="1"/>
  <c r="DS416" i="1"/>
  <c r="DT416" i="1"/>
  <c r="DU416" i="1"/>
  <c r="DV416" i="1"/>
  <c r="DW416" i="1"/>
  <c r="DI417" i="1"/>
  <c r="DJ417" i="1"/>
  <c r="DK417" i="1"/>
  <c r="DL417" i="1"/>
  <c r="DM417" i="1"/>
  <c r="DN417" i="1"/>
  <c r="DO417" i="1"/>
  <c r="DP417" i="1"/>
  <c r="DQ417" i="1"/>
  <c r="DR417" i="1"/>
  <c r="DS417" i="1"/>
  <c r="DT417" i="1"/>
  <c r="DU417" i="1"/>
  <c r="DV417" i="1"/>
  <c r="DW417" i="1"/>
  <c r="DI418" i="1"/>
  <c r="DJ418" i="1"/>
  <c r="DK418" i="1"/>
  <c r="DL418" i="1"/>
  <c r="DM418" i="1"/>
  <c r="DN418" i="1"/>
  <c r="DO418" i="1"/>
  <c r="DP418" i="1"/>
  <c r="DQ418" i="1"/>
  <c r="DR418" i="1"/>
  <c r="DS418" i="1"/>
  <c r="DT418" i="1"/>
  <c r="DU418" i="1"/>
  <c r="DV418" i="1"/>
  <c r="DW418" i="1"/>
  <c r="DI419" i="1"/>
  <c r="DJ419" i="1"/>
  <c r="DK419" i="1"/>
  <c r="DL419" i="1"/>
  <c r="DM419" i="1"/>
  <c r="DN419" i="1"/>
  <c r="DO419" i="1"/>
  <c r="DP419" i="1"/>
  <c r="DQ419" i="1"/>
  <c r="DR419" i="1"/>
  <c r="DS419" i="1"/>
  <c r="DT419" i="1"/>
  <c r="DU419" i="1"/>
  <c r="DV419" i="1"/>
  <c r="DW419" i="1"/>
  <c r="DI420" i="1"/>
  <c r="DJ420" i="1"/>
  <c r="DK420" i="1"/>
  <c r="DL420" i="1"/>
  <c r="DM420" i="1"/>
  <c r="DN420" i="1"/>
  <c r="DO420" i="1"/>
  <c r="DP420" i="1"/>
  <c r="DQ420" i="1"/>
  <c r="DR420" i="1"/>
  <c r="DS420" i="1"/>
  <c r="DT420" i="1"/>
  <c r="DU420" i="1"/>
  <c r="DV420" i="1"/>
  <c r="DW420" i="1"/>
  <c r="DI421" i="1"/>
  <c r="DJ421" i="1"/>
  <c r="DK421" i="1"/>
  <c r="DL421" i="1"/>
  <c r="DM421" i="1"/>
  <c r="DN421" i="1"/>
  <c r="DO421" i="1"/>
  <c r="DP421" i="1"/>
  <c r="DQ421" i="1"/>
  <c r="DR421" i="1"/>
  <c r="DS421" i="1"/>
  <c r="DT421" i="1"/>
  <c r="DU421" i="1"/>
  <c r="DV421" i="1"/>
  <c r="DW421" i="1"/>
  <c r="DI422" i="1"/>
  <c r="DJ422" i="1"/>
  <c r="DK422" i="1"/>
  <c r="DL422" i="1"/>
  <c r="DM422" i="1"/>
  <c r="DN422" i="1"/>
  <c r="DO422" i="1"/>
  <c r="DP422" i="1"/>
  <c r="DQ422" i="1"/>
  <c r="DR422" i="1"/>
  <c r="DS422" i="1"/>
  <c r="DT422" i="1"/>
  <c r="DU422" i="1"/>
  <c r="DV422" i="1"/>
  <c r="DW422" i="1"/>
  <c r="DI423" i="1"/>
  <c r="DJ423" i="1"/>
  <c r="DK423" i="1"/>
  <c r="DL423" i="1"/>
  <c r="DM423" i="1"/>
  <c r="DN423" i="1"/>
  <c r="DO423" i="1"/>
  <c r="DP423" i="1"/>
  <c r="DQ423" i="1"/>
  <c r="DR423" i="1"/>
  <c r="DS423" i="1"/>
  <c r="DT423" i="1"/>
  <c r="DU423" i="1"/>
  <c r="DV423" i="1"/>
  <c r="DW423" i="1"/>
  <c r="DI424" i="1"/>
  <c r="DJ424" i="1"/>
  <c r="DK424" i="1"/>
  <c r="DL424" i="1"/>
  <c r="DM424" i="1"/>
  <c r="DN424" i="1"/>
  <c r="DO424" i="1"/>
  <c r="DP424" i="1"/>
  <c r="DQ424" i="1"/>
  <c r="DR424" i="1"/>
  <c r="DS424" i="1"/>
  <c r="DT424" i="1"/>
  <c r="DU424" i="1"/>
  <c r="DV424" i="1"/>
  <c r="DW424" i="1"/>
  <c r="DI425" i="1"/>
  <c r="DJ425" i="1"/>
  <c r="DK425" i="1"/>
  <c r="DL425" i="1"/>
  <c r="DM425" i="1"/>
  <c r="DN425" i="1"/>
  <c r="DO425" i="1"/>
  <c r="DP425" i="1"/>
  <c r="DQ425" i="1"/>
  <c r="DR425" i="1"/>
  <c r="DS425" i="1"/>
  <c r="DT425" i="1"/>
  <c r="DU425" i="1"/>
  <c r="DV425" i="1"/>
  <c r="DW425" i="1"/>
  <c r="DI426" i="1"/>
  <c r="DJ426" i="1"/>
  <c r="DK426" i="1"/>
  <c r="DL426" i="1"/>
  <c r="DM426" i="1"/>
  <c r="DN426" i="1"/>
  <c r="DO426" i="1"/>
  <c r="DP426" i="1"/>
  <c r="DQ426" i="1"/>
  <c r="DR426" i="1"/>
  <c r="DS426" i="1"/>
  <c r="DT426" i="1"/>
  <c r="DU426" i="1"/>
  <c r="DV426" i="1"/>
  <c r="DW426" i="1"/>
  <c r="DI427" i="1"/>
  <c r="DJ427" i="1"/>
  <c r="DK427" i="1"/>
  <c r="DL427" i="1"/>
  <c r="DM427" i="1"/>
  <c r="DN427" i="1"/>
  <c r="DO427" i="1"/>
  <c r="DP427" i="1"/>
  <c r="DQ427" i="1"/>
  <c r="DR427" i="1"/>
  <c r="DS427" i="1"/>
  <c r="DT427" i="1"/>
  <c r="DU427" i="1"/>
  <c r="DV427" i="1"/>
  <c r="DW427" i="1"/>
  <c r="DI428" i="1"/>
  <c r="DJ428" i="1"/>
  <c r="DK428" i="1"/>
  <c r="DL428" i="1"/>
  <c r="DM428" i="1"/>
  <c r="DN428" i="1"/>
  <c r="DO428" i="1"/>
  <c r="DP428" i="1"/>
  <c r="DQ428" i="1"/>
  <c r="DR428" i="1"/>
  <c r="DS428" i="1"/>
  <c r="DT428" i="1"/>
  <c r="DU428" i="1"/>
  <c r="DV428" i="1"/>
  <c r="DW428" i="1"/>
  <c r="DI429" i="1"/>
  <c r="DJ429" i="1"/>
  <c r="DK429" i="1"/>
  <c r="DL429" i="1"/>
  <c r="DM429" i="1"/>
  <c r="DN429" i="1"/>
  <c r="DO429" i="1"/>
  <c r="DP429" i="1"/>
  <c r="DQ429" i="1"/>
  <c r="DR429" i="1"/>
  <c r="DS429" i="1"/>
  <c r="DT429" i="1"/>
  <c r="DU429" i="1"/>
  <c r="DV429" i="1"/>
  <c r="DW429" i="1"/>
  <c r="DI430" i="1"/>
  <c r="DJ430" i="1"/>
  <c r="DK430" i="1"/>
  <c r="DL430" i="1"/>
  <c r="DM430" i="1"/>
  <c r="DN430" i="1"/>
  <c r="DO430" i="1"/>
  <c r="DP430" i="1"/>
  <c r="DQ430" i="1"/>
  <c r="DR430" i="1"/>
  <c r="DS430" i="1"/>
  <c r="DT430" i="1"/>
  <c r="DU430" i="1"/>
  <c r="DV430" i="1"/>
  <c r="DW430" i="1"/>
  <c r="DI431" i="1"/>
  <c r="DJ431" i="1"/>
  <c r="DK431" i="1"/>
  <c r="DL431" i="1"/>
  <c r="DM431" i="1"/>
  <c r="DN431" i="1"/>
  <c r="DO431" i="1"/>
  <c r="DP431" i="1"/>
  <c r="DQ431" i="1"/>
  <c r="DR431" i="1"/>
  <c r="DS431" i="1"/>
  <c r="DT431" i="1"/>
  <c r="DU431" i="1"/>
  <c r="DV431" i="1"/>
  <c r="DW431" i="1"/>
  <c r="DI432" i="1"/>
  <c r="DJ432" i="1"/>
  <c r="DK432" i="1"/>
  <c r="DL432" i="1"/>
  <c r="DM432" i="1"/>
  <c r="DN432" i="1"/>
  <c r="DO432" i="1"/>
  <c r="DP432" i="1"/>
  <c r="DQ432" i="1"/>
  <c r="DR432" i="1"/>
  <c r="DS432" i="1"/>
  <c r="DT432" i="1"/>
  <c r="DU432" i="1"/>
  <c r="DV432" i="1"/>
  <c r="DW432" i="1"/>
  <c r="DI433" i="1"/>
  <c r="DJ433" i="1"/>
  <c r="DK433" i="1"/>
  <c r="DL433" i="1"/>
  <c r="DM433" i="1"/>
  <c r="DN433" i="1"/>
  <c r="DO433" i="1"/>
  <c r="DP433" i="1"/>
  <c r="DQ433" i="1"/>
  <c r="DR433" i="1"/>
  <c r="DS433" i="1"/>
  <c r="DT433" i="1"/>
  <c r="DU433" i="1"/>
  <c r="DV433" i="1"/>
  <c r="DW433" i="1"/>
  <c r="DI434" i="1"/>
  <c r="DJ434" i="1"/>
  <c r="DK434" i="1"/>
  <c r="DL434" i="1"/>
  <c r="DM434" i="1"/>
  <c r="DN434" i="1"/>
  <c r="DO434" i="1"/>
  <c r="DP434" i="1"/>
  <c r="DQ434" i="1"/>
  <c r="DR434" i="1"/>
  <c r="DS434" i="1"/>
  <c r="DT434" i="1"/>
  <c r="DU434" i="1"/>
  <c r="DV434" i="1"/>
  <c r="DW434" i="1"/>
  <c r="DI435" i="1"/>
  <c r="DJ435" i="1"/>
  <c r="DK435" i="1"/>
  <c r="DL435" i="1"/>
  <c r="DM435" i="1"/>
  <c r="DN435" i="1"/>
  <c r="DO435" i="1"/>
  <c r="DP435" i="1"/>
  <c r="DQ435" i="1"/>
  <c r="DR435" i="1"/>
  <c r="DS435" i="1"/>
  <c r="DT435" i="1"/>
  <c r="DU435" i="1"/>
  <c r="DV435" i="1"/>
  <c r="DW435" i="1"/>
  <c r="DI436" i="1"/>
  <c r="DJ436" i="1"/>
  <c r="DK436" i="1"/>
  <c r="DL436" i="1"/>
  <c r="DM436" i="1"/>
  <c r="DN436" i="1"/>
  <c r="DO436" i="1"/>
  <c r="DP436" i="1"/>
  <c r="DQ436" i="1"/>
  <c r="DR436" i="1"/>
  <c r="DS436" i="1"/>
  <c r="DT436" i="1"/>
  <c r="DU436" i="1"/>
  <c r="DV436" i="1"/>
  <c r="DW436" i="1"/>
  <c r="DI437" i="1"/>
  <c r="DJ437" i="1"/>
  <c r="DK437" i="1"/>
  <c r="DL437" i="1"/>
  <c r="DM437" i="1"/>
  <c r="DN437" i="1"/>
  <c r="DO437" i="1"/>
  <c r="DP437" i="1"/>
  <c r="DQ437" i="1"/>
  <c r="DR437" i="1"/>
  <c r="DS437" i="1"/>
  <c r="DT437" i="1"/>
  <c r="DU437" i="1"/>
  <c r="DV437" i="1"/>
  <c r="DW437" i="1"/>
  <c r="DI438" i="1"/>
  <c r="DJ438" i="1"/>
  <c r="DK438" i="1"/>
  <c r="DL438" i="1"/>
  <c r="DM438" i="1"/>
  <c r="DN438" i="1"/>
  <c r="DO438" i="1"/>
  <c r="DP438" i="1"/>
  <c r="DQ438" i="1"/>
  <c r="DR438" i="1"/>
  <c r="DS438" i="1"/>
  <c r="DT438" i="1"/>
  <c r="DU438" i="1"/>
  <c r="DV438" i="1"/>
  <c r="DW438" i="1"/>
  <c r="DI439" i="1"/>
  <c r="DJ439" i="1"/>
  <c r="DK439" i="1"/>
  <c r="DL439" i="1"/>
  <c r="DM439" i="1"/>
  <c r="DN439" i="1"/>
  <c r="DO439" i="1"/>
  <c r="DP439" i="1"/>
  <c r="DQ439" i="1"/>
  <c r="DR439" i="1"/>
  <c r="DS439" i="1"/>
  <c r="DT439" i="1"/>
  <c r="DU439" i="1"/>
  <c r="DV439" i="1"/>
  <c r="DW439" i="1"/>
  <c r="DI440" i="1"/>
  <c r="DJ440" i="1"/>
  <c r="DK440" i="1"/>
  <c r="DL440" i="1"/>
  <c r="DM440" i="1"/>
  <c r="DN440" i="1"/>
  <c r="DO440" i="1"/>
  <c r="DP440" i="1"/>
  <c r="DQ440" i="1"/>
  <c r="DR440" i="1"/>
  <c r="DS440" i="1"/>
  <c r="DT440" i="1"/>
  <c r="DU440" i="1"/>
  <c r="DV440" i="1"/>
  <c r="DW440" i="1"/>
  <c r="DI441" i="1"/>
  <c r="DJ441" i="1"/>
  <c r="DK441" i="1"/>
  <c r="DL441" i="1"/>
  <c r="DM441" i="1"/>
  <c r="DN441" i="1"/>
  <c r="DO441" i="1"/>
  <c r="DP441" i="1"/>
  <c r="DQ441" i="1"/>
  <c r="DR441" i="1"/>
  <c r="DS441" i="1"/>
  <c r="DT441" i="1"/>
  <c r="DU441" i="1"/>
  <c r="DV441" i="1"/>
  <c r="DW441" i="1"/>
  <c r="DI442" i="1"/>
  <c r="DJ442" i="1"/>
  <c r="DK442" i="1"/>
  <c r="DL442" i="1"/>
  <c r="DM442" i="1"/>
  <c r="DN442" i="1"/>
  <c r="DO442" i="1"/>
  <c r="DP442" i="1"/>
  <c r="DQ442" i="1"/>
  <c r="DR442" i="1"/>
  <c r="DS442" i="1"/>
  <c r="DT442" i="1"/>
  <c r="DU442" i="1"/>
  <c r="DV442" i="1"/>
  <c r="DW442" i="1"/>
  <c r="DI443" i="1"/>
  <c r="DJ443" i="1"/>
  <c r="DK443" i="1"/>
  <c r="DL443" i="1"/>
  <c r="DM443" i="1"/>
  <c r="DN443" i="1"/>
  <c r="DO443" i="1"/>
  <c r="DP443" i="1"/>
  <c r="DQ443" i="1"/>
  <c r="DR443" i="1"/>
  <c r="DS443" i="1"/>
  <c r="DT443" i="1"/>
  <c r="DU443" i="1"/>
  <c r="DV443" i="1"/>
  <c r="DW443" i="1"/>
  <c r="DI444" i="1"/>
  <c r="DJ444" i="1"/>
  <c r="DK444" i="1"/>
  <c r="DL444" i="1"/>
  <c r="DM444" i="1"/>
  <c r="DN444" i="1"/>
  <c r="DO444" i="1"/>
  <c r="DP444" i="1"/>
  <c r="DQ444" i="1"/>
  <c r="DR444" i="1"/>
  <c r="DS444" i="1"/>
  <c r="DT444" i="1"/>
  <c r="DU444" i="1"/>
  <c r="DV444" i="1"/>
  <c r="DW444" i="1"/>
  <c r="DI445" i="1"/>
  <c r="DJ445" i="1"/>
  <c r="DK445" i="1"/>
  <c r="DL445" i="1"/>
  <c r="DM445" i="1"/>
  <c r="DN445" i="1"/>
  <c r="DO445" i="1"/>
  <c r="DP445" i="1"/>
  <c r="DQ445" i="1"/>
  <c r="DR445" i="1"/>
  <c r="DS445" i="1"/>
  <c r="DT445" i="1"/>
  <c r="DU445" i="1"/>
  <c r="DV445" i="1"/>
  <c r="DW445" i="1"/>
  <c r="DI446" i="1"/>
  <c r="DJ446" i="1"/>
  <c r="DK446" i="1"/>
  <c r="DL446" i="1"/>
  <c r="DM446" i="1"/>
  <c r="DN446" i="1"/>
  <c r="DO446" i="1"/>
  <c r="DP446" i="1"/>
  <c r="DQ446" i="1"/>
  <c r="DR446" i="1"/>
  <c r="DS446" i="1"/>
  <c r="DT446" i="1"/>
  <c r="DU446" i="1"/>
  <c r="DV446" i="1"/>
  <c r="DW446" i="1"/>
  <c r="DI447" i="1"/>
  <c r="DJ447" i="1"/>
  <c r="DK447" i="1"/>
  <c r="DL447" i="1"/>
  <c r="DM447" i="1"/>
  <c r="DN447" i="1"/>
  <c r="DO447" i="1"/>
  <c r="DP447" i="1"/>
  <c r="DQ447" i="1"/>
  <c r="DR447" i="1"/>
  <c r="DS447" i="1"/>
  <c r="DT447" i="1"/>
  <c r="DU447" i="1"/>
  <c r="DV447" i="1"/>
  <c r="DW447" i="1"/>
  <c r="DI448" i="1"/>
  <c r="DJ448" i="1"/>
  <c r="DK448" i="1"/>
  <c r="DL448" i="1"/>
  <c r="DM448" i="1"/>
  <c r="DN448" i="1"/>
  <c r="DO448" i="1"/>
  <c r="DP448" i="1"/>
  <c r="DQ448" i="1"/>
  <c r="DR448" i="1"/>
  <c r="DS448" i="1"/>
  <c r="DT448" i="1"/>
  <c r="DU448" i="1"/>
  <c r="DV448" i="1"/>
  <c r="DW448" i="1"/>
  <c r="DI449" i="1"/>
  <c r="DJ449" i="1"/>
  <c r="DK449" i="1"/>
  <c r="DL449" i="1"/>
  <c r="DM449" i="1"/>
  <c r="DN449" i="1"/>
  <c r="DO449" i="1"/>
  <c r="DP449" i="1"/>
  <c r="DQ449" i="1"/>
  <c r="DR449" i="1"/>
  <c r="DS449" i="1"/>
  <c r="DT449" i="1"/>
  <c r="DU449" i="1"/>
  <c r="DV449" i="1"/>
  <c r="DW449" i="1"/>
  <c r="DI450" i="1"/>
  <c r="DJ450" i="1"/>
  <c r="DK450" i="1"/>
  <c r="DL450" i="1"/>
  <c r="DM450" i="1"/>
  <c r="DN450" i="1"/>
  <c r="DO450" i="1"/>
  <c r="DP450" i="1"/>
  <c r="DQ450" i="1"/>
  <c r="DR450" i="1"/>
  <c r="DS450" i="1"/>
  <c r="DT450" i="1"/>
  <c r="DU450" i="1"/>
  <c r="DV450" i="1"/>
  <c r="DW450" i="1"/>
  <c r="DI451" i="1"/>
  <c r="DJ451" i="1"/>
  <c r="DK451" i="1"/>
  <c r="DL451" i="1"/>
  <c r="DM451" i="1"/>
  <c r="DN451" i="1"/>
  <c r="DO451" i="1"/>
  <c r="DP451" i="1"/>
  <c r="DQ451" i="1"/>
  <c r="DR451" i="1"/>
  <c r="DS451" i="1"/>
  <c r="DT451" i="1"/>
  <c r="DU451" i="1"/>
  <c r="DV451" i="1"/>
  <c r="DW451" i="1"/>
  <c r="DI452" i="1"/>
  <c r="DJ452" i="1"/>
  <c r="DK452" i="1"/>
  <c r="DL452" i="1"/>
  <c r="DM452" i="1"/>
  <c r="DN452" i="1"/>
  <c r="DO452" i="1"/>
  <c r="DP452" i="1"/>
  <c r="DQ452" i="1"/>
  <c r="DR452" i="1"/>
  <c r="DS452" i="1"/>
  <c r="DT452" i="1"/>
  <c r="DU452" i="1"/>
  <c r="DV452" i="1"/>
  <c r="DW452" i="1"/>
  <c r="DI453" i="1"/>
  <c r="DJ453" i="1"/>
  <c r="DK453" i="1"/>
  <c r="DL453" i="1"/>
  <c r="DM453" i="1"/>
  <c r="DN453" i="1"/>
  <c r="DO453" i="1"/>
  <c r="DP453" i="1"/>
  <c r="DQ453" i="1"/>
  <c r="DR453" i="1"/>
  <c r="DS453" i="1"/>
  <c r="DT453" i="1"/>
  <c r="DU453" i="1"/>
  <c r="DV453" i="1"/>
  <c r="DW453" i="1"/>
  <c r="DI454" i="1"/>
  <c r="DJ454" i="1"/>
  <c r="DK454" i="1"/>
  <c r="DL454" i="1"/>
  <c r="DM454" i="1"/>
  <c r="DN454" i="1"/>
  <c r="DO454" i="1"/>
  <c r="DP454" i="1"/>
  <c r="DQ454" i="1"/>
  <c r="DR454" i="1"/>
  <c r="DS454" i="1"/>
  <c r="DT454" i="1"/>
  <c r="DU454" i="1"/>
  <c r="DV454" i="1"/>
  <c r="DW454" i="1"/>
  <c r="DI455" i="1"/>
  <c r="DJ455" i="1"/>
  <c r="DK455" i="1"/>
  <c r="DL455" i="1"/>
  <c r="DM455" i="1"/>
  <c r="DN455" i="1"/>
  <c r="DO455" i="1"/>
  <c r="DP455" i="1"/>
  <c r="DQ455" i="1"/>
  <c r="DR455" i="1"/>
  <c r="DS455" i="1"/>
  <c r="DT455" i="1"/>
  <c r="DU455" i="1"/>
  <c r="DV455" i="1"/>
  <c r="DW455" i="1"/>
  <c r="DI456" i="1"/>
  <c r="DJ456" i="1"/>
  <c r="DK456" i="1"/>
  <c r="DL456" i="1"/>
  <c r="DM456" i="1"/>
  <c r="DN456" i="1"/>
  <c r="DO456" i="1"/>
  <c r="DP456" i="1"/>
  <c r="DQ456" i="1"/>
  <c r="DR456" i="1"/>
  <c r="DS456" i="1"/>
  <c r="DT456" i="1"/>
  <c r="DU456" i="1"/>
  <c r="DV456" i="1"/>
  <c r="DW456" i="1"/>
  <c r="DI457" i="1"/>
  <c r="DJ457" i="1"/>
  <c r="DK457" i="1"/>
  <c r="DL457" i="1"/>
  <c r="DM457" i="1"/>
  <c r="DN457" i="1"/>
  <c r="DO457" i="1"/>
  <c r="DP457" i="1"/>
  <c r="DQ457" i="1"/>
  <c r="DR457" i="1"/>
  <c r="DS457" i="1"/>
  <c r="DT457" i="1"/>
  <c r="DU457" i="1"/>
  <c r="DV457" i="1"/>
  <c r="DW457" i="1"/>
  <c r="DI458" i="1"/>
  <c r="DJ458" i="1"/>
  <c r="DK458" i="1"/>
  <c r="DL458" i="1"/>
  <c r="DM458" i="1"/>
  <c r="DN458" i="1"/>
  <c r="DO458" i="1"/>
  <c r="DP458" i="1"/>
  <c r="DQ458" i="1"/>
  <c r="DR458" i="1"/>
  <c r="DS458" i="1"/>
  <c r="DT458" i="1"/>
  <c r="DU458" i="1"/>
  <c r="DV458" i="1"/>
  <c r="DW458" i="1"/>
  <c r="DI459" i="1"/>
  <c r="DJ459" i="1"/>
  <c r="DK459" i="1"/>
  <c r="DL459" i="1"/>
  <c r="DM459" i="1"/>
  <c r="DN459" i="1"/>
  <c r="DO459" i="1"/>
  <c r="DP459" i="1"/>
  <c r="DQ459" i="1"/>
  <c r="DR459" i="1"/>
  <c r="DS459" i="1"/>
  <c r="DT459" i="1"/>
  <c r="DU459" i="1"/>
  <c r="DV459" i="1"/>
  <c r="DW459" i="1"/>
  <c r="DI460" i="1"/>
  <c r="DJ460" i="1"/>
  <c r="DK460" i="1"/>
  <c r="DL460" i="1"/>
  <c r="DM460" i="1"/>
  <c r="DN460" i="1"/>
  <c r="DO460" i="1"/>
  <c r="DP460" i="1"/>
  <c r="DQ460" i="1"/>
  <c r="DR460" i="1"/>
  <c r="DS460" i="1"/>
  <c r="DT460" i="1"/>
  <c r="DU460" i="1"/>
  <c r="DV460" i="1"/>
  <c r="DW460" i="1"/>
  <c r="DI461" i="1"/>
  <c r="DJ461" i="1"/>
  <c r="DK461" i="1"/>
  <c r="DL461" i="1"/>
  <c r="DM461" i="1"/>
  <c r="DN461" i="1"/>
  <c r="DO461" i="1"/>
  <c r="DP461" i="1"/>
  <c r="DQ461" i="1"/>
  <c r="DR461" i="1"/>
  <c r="DS461" i="1"/>
  <c r="DT461" i="1"/>
  <c r="DU461" i="1"/>
  <c r="DV461" i="1"/>
  <c r="DW461" i="1"/>
  <c r="DI462" i="1"/>
  <c r="DJ462" i="1"/>
  <c r="DK462" i="1"/>
  <c r="DL462" i="1"/>
  <c r="DM462" i="1"/>
  <c r="DN462" i="1"/>
  <c r="DO462" i="1"/>
  <c r="DP462" i="1"/>
  <c r="DQ462" i="1"/>
  <c r="DR462" i="1"/>
  <c r="DS462" i="1"/>
  <c r="DT462" i="1"/>
  <c r="DU462" i="1"/>
  <c r="DV462" i="1"/>
  <c r="DW462" i="1"/>
  <c r="DI463" i="1"/>
  <c r="DJ463" i="1"/>
  <c r="DK463" i="1"/>
  <c r="DL463" i="1"/>
  <c r="DM463" i="1"/>
  <c r="DN463" i="1"/>
  <c r="DO463" i="1"/>
  <c r="DP463" i="1"/>
  <c r="DQ463" i="1"/>
  <c r="DR463" i="1"/>
  <c r="DS463" i="1"/>
  <c r="DT463" i="1"/>
  <c r="DU463" i="1"/>
  <c r="DV463" i="1"/>
  <c r="DW463" i="1"/>
  <c r="DI464" i="1"/>
  <c r="DJ464" i="1"/>
  <c r="DK464" i="1"/>
  <c r="DL464" i="1"/>
  <c r="DM464" i="1"/>
  <c r="DN464" i="1"/>
  <c r="DO464" i="1"/>
  <c r="DP464" i="1"/>
  <c r="DQ464" i="1"/>
  <c r="DR464" i="1"/>
  <c r="DS464" i="1"/>
  <c r="DT464" i="1"/>
  <c r="DU464" i="1"/>
  <c r="DV464" i="1"/>
  <c r="DW464" i="1"/>
  <c r="DI465" i="1"/>
  <c r="DJ465" i="1"/>
  <c r="DK465" i="1"/>
  <c r="DL465" i="1"/>
  <c r="DM465" i="1"/>
  <c r="DN465" i="1"/>
  <c r="DO465" i="1"/>
  <c r="DP465" i="1"/>
  <c r="DQ465" i="1"/>
  <c r="DR465" i="1"/>
  <c r="DS465" i="1"/>
  <c r="DT465" i="1"/>
  <c r="DU465" i="1"/>
  <c r="DV465" i="1"/>
  <c r="DW465" i="1"/>
  <c r="DI466" i="1"/>
  <c r="DJ466" i="1"/>
  <c r="DK466" i="1"/>
  <c r="DL466" i="1"/>
  <c r="DM466" i="1"/>
  <c r="DN466" i="1"/>
  <c r="DO466" i="1"/>
  <c r="DP466" i="1"/>
  <c r="DQ466" i="1"/>
  <c r="DR466" i="1"/>
  <c r="DS466" i="1"/>
  <c r="DT466" i="1"/>
  <c r="DU466" i="1"/>
  <c r="DV466" i="1"/>
  <c r="DW466" i="1"/>
  <c r="DI467" i="1"/>
  <c r="DJ467" i="1"/>
  <c r="DK467" i="1"/>
  <c r="DL467" i="1"/>
  <c r="DM467" i="1"/>
  <c r="DN467" i="1"/>
  <c r="DO467" i="1"/>
  <c r="DP467" i="1"/>
  <c r="DQ467" i="1"/>
  <c r="DR467" i="1"/>
  <c r="DS467" i="1"/>
  <c r="DT467" i="1"/>
  <c r="DU467" i="1"/>
  <c r="DV467" i="1"/>
  <c r="DW467" i="1"/>
  <c r="DI468" i="1"/>
  <c r="DJ468" i="1"/>
  <c r="DK468" i="1"/>
  <c r="DL468" i="1"/>
  <c r="DM468" i="1"/>
  <c r="DN468" i="1"/>
  <c r="DO468" i="1"/>
  <c r="DP468" i="1"/>
  <c r="DQ468" i="1"/>
  <c r="DR468" i="1"/>
  <c r="DS468" i="1"/>
  <c r="DT468" i="1"/>
  <c r="DU468" i="1"/>
  <c r="DV468" i="1"/>
  <c r="DW468" i="1"/>
  <c r="DI469" i="1"/>
  <c r="DJ469" i="1"/>
  <c r="DK469" i="1"/>
  <c r="DL469" i="1"/>
  <c r="DM469" i="1"/>
  <c r="DN469" i="1"/>
  <c r="DO469" i="1"/>
  <c r="DP469" i="1"/>
  <c r="DQ469" i="1"/>
  <c r="DR469" i="1"/>
  <c r="DS469" i="1"/>
  <c r="DT469" i="1"/>
  <c r="DU469" i="1"/>
  <c r="DV469" i="1"/>
  <c r="DW469" i="1"/>
  <c r="DI470" i="1"/>
  <c r="DJ470" i="1"/>
  <c r="DK470" i="1"/>
  <c r="DL470" i="1"/>
  <c r="DM470" i="1"/>
  <c r="DN470" i="1"/>
  <c r="DO470" i="1"/>
  <c r="DP470" i="1"/>
  <c r="DQ470" i="1"/>
  <c r="DR470" i="1"/>
  <c r="DS470" i="1"/>
  <c r="DT470" i="1"/>
  <c r="DU470" i="1"/>
  <c r="DV470" i="1"/>
  <c r="DW470" i="1"/>
  <c r="DI471" i="1"/>
  <c r="DJ471" i="1"/>
  <c r="DK471" i="1"/>
  <c r="DL471" i="1"/>
  <c r="DM471" i="1"/>
  <c r="DN471" i="1"/>
  <c r="DO471" i="1"/>
  <c r="DP471" i="1"/>
  <c r="DQ471" i="1"/>
  <c r="DR471" i="1"/>
  <c r="DS471" i="1"/>
  <c r="DT471" i="1"/>
  <c r="DU471" i="1"/>
  <c r="DV471" i="1"/>
  <c r="DW471" i="1"/>
  <c r="DI472" i="1"/>
  <c r="DJ472" i="1"/>
  <c r="DK472" i="1"/>
  <c r="DL472" i="1"/>
  <c r="DM472" i="1"/>
  <c r="DN472" i="1"/>
  <c r="DO472" i="1"/>
  <c r="DP472" i="1"/>
  <c r="DQ472" i="1"/>
  <c r="DR472" i="1"/>
  <c r="DS472" i="1"/>
  <c r="DT472" i="1"/>
  <c r="DU472" i="1"/>
  <c r="DV472" i="1"/>
  <c r="DW472" i="1"/>
  <c r="DI473" i="1"/>
  <c r="DJ473" i="1"/>
  <c r="DK473" i="1"/>
  <c r="DL473" i="1"/>
  <c r="DM473" i="1"/>
  <c r="DN473" i="1"/>
  <c r="DO473" i="1"/>
  <c r="DP473" i="1"/>
  <c r="DQ473" i="1"/>
  <c r="DR473" i="1"/>
  <c r="DS473" i="1"/>
  <c r="DT473" i="1"/>
  <c r="DU473" i="1"/>
  <c r="DV473" i="1"/>
  <c r="DW473" i="1"/>
  <c r="DI474" i="1"/>
  <c r="DJ474" i="1"/>
  <c r="DK474" i="1"/>
  <c r="DL474" i="1"/>
  <c r="DM474" i="1"/>
  <c r="DN474" i="1"/>
  <c r="DO474" i="1"/>
  <c r="DP474" i="1"/>
  <c r="DQ474" i="1"/>
  <c r="DR474" i="1"/>
  <c r="DS474" i="1"/>
  <c r="DT474" i="1"/>
  <c r="DU474" i="1"/>
  <c r="DV474" i="1"/>
  <c r="DW474" i="1"/>
  <c r="DI475" i="1"/>
  <c r="DJ475" i="1"/>
  <c r="DK475" i="1"/>
  <c r="DL475" i="1"/>
  <c r="DM475" i="1"/>
  <c r="DN475" i="1"/>
  <c r="DO475" i="1"/>
  <c r="DP475" i="1"/>
  <c r="DQ475" i="1"/>
  <c r="DR475" i="1"/>
  <c r="DS475" i="1"/>
  <c r="DT475" i="1"/>
  <c r="DU475" i="1"/>
  <c r="DV475" i="1"/>
  <c r="DW475" i="1"/>
  <c r="DI476" i="1"/>
  <c r="DJ476" i="1"/>
  <c r="DK476" i="1"/>
  <c r="DL476" i="1"/>
  <c r="DM476" i="1"/>
  <c r="DN476" i="1"/>
  <c r="DO476" i="1"/>
  <c r="DP476" i="1"/>
  <c r="DQ476" i="1"/>
  <c r="DR476" i="1"/>
  <c r="DS476" i="1"/>
  <c r="DT476" i="1"/>
  <c r="DU476" i="1"/>
  <c r="DV476" i="1"/>
  <c r="DW476" i="1"/>
  <c r="DI477" i="1"/>
  <c r="DJ477" i="1"/>
  <c r="DK477" i="1"/>
  <c r="DL477" i="1"/>
  <c r="DM477" i="1"/>
  <c r="DN477" i="1"/>
  <c r="DO477" i="1"/>
  <c r="DP477" i="1"/>
  <c r="DQ477" i="1"/>
  <c r="DR477" i="1"/>
  <c r="DS477" i="1"/>
  <c r="DT477" i="1"/>
  <c r="DU477" i="1"/>
  <c r="DV477" i="1"/>
  <c r="DW477" i="1"/>
  <c r="DI478" i="1"/>
  <c r="DJ478" i="1"/>
  <c r="DK478" i="1"/>
  <c r="DL478" i="1"/>
  <c r="DM478" i="1"/>
  <c r="DN478" i="1"/>
  <c r="DO478" i="1"/>
  <c r="DP478" i="1"/>
  <c r="DQ478" i="1"/>
  <c r="DR478" i="1"/>
  <c r="DS478" i="1"/>
  <c r="DT478" i="1"/>
  <c r="DU478" i="1"/>
  <c r="DV478" i="1"/>
  <c r="DW478" i="1"/>
  <c r="DI479" i="1"/>
  <c r="DJ479" i="1"/>
  <c r="DK479" i="1"/>
  <c r="DL479" i="1"/>
  <c r="DM479" i="1"/>
  <c r="DN479" i="1"/>
  <c r="DO479" i="1"/>
  <c r="DP479" i="1"/>
  <c r="DQ479" i="1"/>
  <c r="DR479" i="1"/>
  <c r="DS479" i="1"/>
  <c r="DT479" i="1"/>
  <c r="DU479" i="1"/>
  <c r="DV479" i="1"/>
  <c r="DW479" i="1"/>
  <c r="DI480" i="1"/>
  <c r="DJ480" i="1"/>
  <c r="DK480" i="1"/>
  <c r="DL480" i="1"/>
  <c r="DM480" i="1"/>
  <c r="DN480" i="1"/>
  <c r="DO480" i="1"/>
  <c r="DP480" i="1"/>
  <c r="DQ480" i="1"/>
  <c r="DR480" i="1"/>
  <c r="DS480" i="1"/>
  <c r="DT480" i="1"/>
  <c r="DU480" i="1"/>
  <c r="DV480" i="1"/>
  <c r="DW480" i="1"/>
  <c r="DI481" i="1"/>
  <c r="DJ481" i="1"/>
  <c r="DK481" i="1"/>
  <c r="DL481" i="1"/>
  <c r="DM481" i="1"/>
  <c r="DN481" i="1"/>
  <c r="DO481" i="1"/>
  <c r="DP481" i="1"/>
  <c r="DQ481" i="1"/>
  <c r="DR481" i="1"/>
  <c r="DS481" i="1"/>
  <c r="DT481" i="1"/>
  <c r="DU481" i="1"/>
  <c r="DV481" i="1"/>
  <c r="DW481" i="1"/>
  <c r="DI482" i="1"/>
  <c r="DJ482" i="1"/>
  <c r="DK482" i="1"/>
  <c r="DL482" i="1"/>
  <c r="DM482" i="1"/>
  <c r="DN482" i="1"/>
  <c r="DO482" i="1"/>
  <c r="DP482" i="1"/>
  <c r="DQ482" i="1"/>
  <c r="DR482" i="1"/>
  <c r="DS482" i="1"/>
  <c r="DT482" i="1"/>
  <c r="DU482" i="1"/>
  <c r="DV482" i="1"/>
  <c r="DW482" i="1"/>
  <c r="DI483" i="1"/>
  <c r="DJ483" i="1"/>
  <c r="DK483" i="1"/>
  <c r="DL483" i="1"/>
  <c r="DM483" i="1"/>
  <c r="DN483" i="1"/>
  <c r="DO483" i="1"/>
  <c r="DP483" i="1"/>
  <c r="DQ483" i="1"/>
  <c r="DR483" i="1"/>
  <c r="DS483" i="1"/>
  <c r="DT483" i="1"/>
  <c r="DU483" i="1"/>
  <c r="DV483" i="1"/>
  <c r="DW483" i="1"/>
  <c r="DI484" i="1"/>
  <c r="DJ484" i="1"/>
  <c r="DK484" i="1"/>
  <c r="DL484" i="1"/>
  <c r="DM484" i="1"/>
  <c r="DN484" i="1"/>
  <c r="DO484" i="1"/>
  <c r="DP484" i="1"/>
  <c r="DQ484" i="1"/>
  <c r="DR484" i="1"/>
  <c r="DS484" i="1"/>
  <c r="DT484" i="1"/>
  <c r="DU484" i="1"/>
  <c r="DV484" i="1"/>
  <c r="DW484" i="1"/>
  <c r="DI485" i="1"/>
  <c r="DJ485" i="1"/>
  <c r="DK485" i="1"/>
  <c r="DL485" i="1"/>
  <c r="DM485" i="1"/>
  <c r="DN485" i="1"/>
  <c r="DO485" i="1"/>
  <c r="DP485" i="1"/>
  <c r="DQ485" i="1"/>
  <c r="DR485" i="1"/>
  <c r="DS485" i="1"/>
  <c r="DT485" i="1"/>
  <c r="DU485" i="1"/>
  <c r="DV485" i="1"/>
  <c r="DW485" i="1"/>
  <c r="DI486" i="1"/>
  <c r="DJ486" i="1"/>
  <c r="DK486" i="1"/>
  <c r="DL486" i="1"/>
  <c r="DM486" i="1"/>
  <c r="DN486" i="1"/>
  <c r="DO486" i="1"/>
  <c r="DP486" i="1"/>
  <c r="DQ486" i="1"/>
  <c r="DR486" i="1"/>
  <c r="DS486" i="1"/>
  <c r="DT486" i="1"/>
  <c r="DU486" i="1"/>
  <c r="DV486" i="1"/>
  <c r="DW486" i="1"/>
  <c r="DI487" i="1"/>
  <c r="DJ487" i="1"/>
  <c r="DK487" i="1"/>
  <c r="DL487" i="1"/>
  <c r="DM487" i="1"/>
  <c r="DN487" i="1"/>
  <c r="DO487" i="1"/>
  <c r="DP487" i="1"/>
  <c r="DQ487" i="1"/>
  <c r="DR487" i="1"/>
  <c r="DS487" i="1"/>
  <c r="DT487" i="1"/>
  <c r="DU487" i="1"/>
  <c r="DV487" i="1"/>
  <c r="DW487" i="1"/>
  <c r="DI488" i="1"/>
  <c r="DJ488" i="1"/>
  <c r="DK488" i="1"/>
  <c r="DL488" i="1"/>
  <c r="DM488" i="1"/>
  <c r="DN488" i="1"/>
  <c r="DO488" i="1"/>
  <c r="DP488" i="1"/>
  <c r="DQ488" i="1"/>
  <c r="DR488" i="1"/>
  <c r="DS488" i="1"/>
  <c r="DT488" i="1"/>
  <c r="DU488" i="1"/>
  <c r="DV488" i="1"/>
  <c r="DW488" i="1"/>
  <c r="DI489" i="1"/>
  <c r="DJ489" i="1"/>
  <c r="DK489" i="1"/>
  <c r="DL489" i="1"/>
  <c r="DM489" i="1"/>
  <c r="DN489" i="1"/>
  <c r="DO489" i="1"/>
  <c r="DP489" i="1"/>
  <c r="DQ489" i="1"/>
  <c r="DR489" i="1"/>
  <c r="DS489" i="1"/>
  <c r="DT489" i="1"/>
  <c r="DU489" i="1"/>
  <c r="DV489" i="1"/>
  <c r="DW489" i="1"/>
  <c r="DI490" i="1"/>
  <c r="DJ490" i="1"/>
  <c r="DK490" i="1"/>
  <c r="DL490" i="1"/>
  <c r="DM490" i="1"/>
  <c r="DN490" i="1"/>
  <c r="DO490" i="1"/>
  <c r="DP490" i="1"/>
  <c r="DQ490" i="1"/>
  <c r="DR490" i="1"/>
  <c r="DS490" i="1"/>
  <c r="DT490" i="1"/>
  <c r="DU490" i="1"/>
  <c r="DV490" i="1"/>
  <c r="DW490" i="1"/>
  <c r="DI491" i="1"/>
  <c r="DJ491" i="1"/>
  <c r="DK491" i="1"/>
  <c r="DL491" i="1"/>
  <c r="DM491" i="1"/>
  <c r="DN491" i="1"/>
  <c r="DO491" i="1"/>
  <c r="DP491" i="1"/>
  <c r="DQ491" i="1"/>
  <c r="DR491" i="1"/>
  <c r="DS491" i="1"/>
  <c r="DT491" i="1"/>
  <c r="DU491" i="1"/>
  <c r="DV491" i="1"/>
  <c r="DW491" i="1"/>
  <c r="DI492" i="1"/>
  <c r="DJ492" i="1"/>
  <c r="DK492" i="1"/>
  <c r="DL492" i="1"/>
  <c r="DM492" i="1"/>
  <c r="DN492" i="1"/>
  <c r="DO492" i="1"/>
  <c r="DP492" i="1"/>
  <c r="DQ492" i="1"/>
  <c r="DR492" i="1"/>
  <c r="DS492" i="1"/>
  <c r="DT492" i="1"/>
  <c r="DU492" i="1"/>
  <c r="DV492" i="1"/>
  <c r="DW492" i="1"/>
  <c r="DI493" i="1"/>
  <c r="DJ493" i="1"/>
  <c r="DK493" i="1"/>
  <c r="DL493" i="1"/>
  <c r="DM493" i="1"/>
  <c r="DN493" i="1"/>
  <c r="DO493" i="1"/>
  <c r="DP493" i="1"/>
  <c r="DQ493" i="1"/>
  <c r="DR493" i="1"/>
  <c r="DS493" i="1"/>
  <c r="DT493" i="1"/>
  <c r="DU493" i="1"/>
  <c r="DV493" i="1"/>
  <c r="DW493" i="1"/>
  <c r="DI494" i="1"/>
  <c r="DJ494" i="1"/>
  <c r="DK494" i="1"/>
  <c r="DL494" i="1"/>
  <c r="DM494" i="1"/>
  <c r="DN494" i="1"/>
  <c r="DO494" i="1"/>
  <c r="DP494" i="1"/>
  <c r="DQ494" i="1"/>
  <c r="DR494" i="1"/>
  <c r="DS494" i="1"/>
  <c r="DT494" i="1"/>
  <c r="DU494" i="1"/>
  <c r="DV494" i="1"/>
  <c r="DW494" i="1"/>
  <c r="DI495" i="1"/>
  <c r="DJ495" i="1"/>
  <c r="DK495" i="1"/>
  <c r="DL495" i="1"/>
  <c r="DM495" i="1"/>
  <c r="DN495" i="1"/>
  <c r="DO495" i="1"/>
  <c r="DP495" i="1"/>
  <c r="DQ495" i="1"/>
  <c r="DR495" i="1"/>
  <c r="DS495" i="1"/>
  <c r="DT495" i="1"/>
  <c r="DU495" i="1"/>
  <c r="DV495" i="1"/>
  <c r="DW495" i="1"/>
  <c r="DI496" i="1"/>
  <c r="DJ496" i="1"/>
  <c r="DK496" i="1"/>
  <c r="DL496" i="1"/>
  <c r="DM496" i="1"/>
  <c r="DN496" i="1"/>
  <c r="DO496" i="1"/>
  <c r="DP496" i="1"/>
  <c r="DQ496" i="1"/>
  <c r="DR496" i="1"/>
  <c r="DS496" i="1"/>
  <c r="DT496" i="1"/>
  <c r="DU496" i="1"/>
  <c r="DV496" i="1"/>
  <c r="DW496" i="1"/>
  <c r="DI497" i="1"/>
  <c r="DJ497" i="1"/>
  <c r="DK497" i="1"/>
  <c r="DL497" i="1"/>
  <c r="DM497" i="1"/>
  <c r="DN497" i="1"/>
  <c r="DO497" i="1"/>
  <c r="DP497" i="1"/>
  <c r="DQ497" i="1"/>
  <c r="DR497" i="1"/>
  <c r="DS497" i="1"/>
  <c r="DT497" i="1"/>
  <c r="DU497" i="1"/>
  <c r="DV497" i="1"/>
  <c r="DW497" i="1"/>
  <c r="DI498" i="1"/>
  <c r="DJ498" i="1"/>
  <c r="DK498" i="1"/>
  <c r="DL498" i="1"/>
  <c r="DM498" i="1"/>
  <c r="DN498" i="1"/>
  <c r="DO498" i="1"/>
  <c r="DP498" i="1"/>
  <c r="DQ498" i="1"/>
  <c r="DR498" i="1"/>
  <c r="DS498" i="1"/>
  <c r="DT498" i="1"/>
  <c r="DU498" i="1"/>
  <c r="DV498" i="1"/>
  <c r="DW498" i="1"/>
  <c r="DI499" i="1"/>
  <c r="DJ499" i="1"/>
  <c r="DK499" i="1"/>
  <c r="DL499" i="1"/>
  <c r="DM499" i="1"/>
  <c r="DN499" i="1"/>
  <c r="DO499" i="1"/>
  <c r="DP499" i="1"/>
  <c r="DQ499" i="1"/>
  <c r="DR499" i="1"/>
  <c r="DS499" i="1"/>
  <c r="DT499" i="1"/>
  <c r="DU499" i="1"/>
  <c r="DV499" i="1"/>
  <c r="DW499" i="1"/>
  <c r="DI500" i="1"/>
  <c r="DJ500" i="1"/>
  <c r="DK500" i="1"/>
  <c r="DL500" i="1"/>
  <c r="DM500" i="1"/>
  <c r="DN500" i="1"/>
  <c r="DO500" i="1"/>
  <c r="DP500" i="1"/>
  <c r="DQ500" i="1"/>
  <c r="DR500" i="1"/>
  <c r="DS500" i="1"/>
  <c r="DT500" i="1"/>
  <c r="DU500" i="1"/>
  <c r="DV500" i="1"/>
  <c r="DW500" i="1"/>
  <c r="DI501" i="1"/>
  <c r="DJ501" i="1"/>
  <c r="DK501" i="1"/>
  <c r="DL501" i="1"/>
  <c r="DM501" i="1"/>
  <c r="DN501" i="1"/>
  <c r="DO501" i="1"/>
  <c r="DP501" i="1"/>
  <c r="DQ501" i="1"/>
  <c r="DR501" i="1"/>
  <c r="DS501" i="1"/>
  <c r="DT501" i="1"/>
  <c r="DU501" i="1"/>
  <c r="DV501" i="1"/>
  <c r="DW501" i="1"/>
  <c r="DI502" i="1"/>
  <c r="DJ502" i="1"/>
  <c r="DK502" i="1"/>
  <c r="DL502" i="1"/>
  <c r="DM502" i="1"/>
  <c r="DN502" i="1"/>
  <c r="DO502" i="1"/>
  <c r="DP502" i="1"/>
  <c r="DQ502" i="1"/>
  <c r="DR502" i="1"/>
  <c r="DS502" i="1"/>
  <c r="DT502" i="1"/>
  <c r="DU502" i="1"/>
  <c r="DV502" i="1"/>
  <c r="DW502" i="1"/>
  <c r="DI503" i="1"/>
  <c r="DJ503" i="1"/>
  <c r="DK503" i="1"/>
  <c r="DL503" i="1"/>
  <c r="DM503" i="1"/>
  <c r="DN503" i="1"/>
  <c r="DO503" i="1"/>
  <c r="DP503" i="1"/>
  <c r="DQ503" i="1"/>
  <c r="DR503" i="1"/>
  <c r="DS503" i="1"/>
  <c r="DT503" i="1"/>
  <c r="DU503" i="1"/>
  <c r="DV503" i="1"/>
  <c r="DW503" i="1"/>
  <c r="DI504" i="1"/>
  <c r="DJ504" i="1"/>
  <c r="DK504" i="1"/>
  <c r="DL504" i="1"/>
  <c r="DM504" i="1"/>
  <c r="DN504" i="1"/>
  <c r="DO504" i="1"/>
  <c r="DP504" i="1"/>
  <c r="DQ504" i="1"/>
  <c r="DR504" i="1"/>
  <c r="DS504" i="1"/>
  <c r="DT504" i="1"/>
  <c r="DU504" i="1"/>
  <c r="DV504" i="1"/>
  <c r="DW504" i="1"/>
  <c r="DI505" i="1"/>
  <c r="DJ505" i="1"/>
  <c r="DK505" i="1"/>
  <c r="DL505" i="1"/>
  <c r="DM505" i="1"/>
  <c r="DN505" i="1"/>
  <c r="DO505" i="1"/>
  <c r="DP505" i="1"/>
  <c r="DQ505" i="1"/>
  <c r="DR505" i="1"/>
  <c r="DS505" i="1"/>
  <c r="DT505" i="1"/>
  <c r="DU505" i="1"/>
  <c r="DV505" i="1"/>
  <c r="DW505" i="1"/>
  <c r="DI506" i="1"/>
  <c r="DJ506" i="1"/>
  <c r="DK506" i="1"/>
  <c r="DL506" i="1"/>
  <c r="DM506" i="1"/>
  <c r="DN506" i="1"/>
  <c r="DO506" i="1"/>
  <c r="DP506" i="1"/>
  <c r="DQ506" i="1"/>
  <c r="DR506" i="1"/>
  <c r="DS506" i="1"/>
  <c r="DT506" i="1"/>
  <c r="DU506" i="1"/>
  <c r="DV506" i="1"/>
  <c r="DW506" i="1"/>
  <c r="DI507" i="1"/>
  <c r="DJ507" i="1"/>
  <c r="DK507" i="1"/>
  <c r="DL507" i="1"/>
  <c r="DM507" i="1"/>
  <c r="DN507" i="1"/>
  <c r="DO507" i="1"/>
  <c r="DP507" i="1"/>
  <c r="DQ507" i="1"/>
  <c r="DR507" i="1"/>
  <c r="DS507" i="1"/>
  <c r="DT507" i="1"/>
  <c r="DU507" i="1"/>
  <c r="DV507" i="1"/>
  <c r="DW507" i="1"/>
  <c r="DI508" i="1"/>
  <c r="DJ508" i="1"/>
  <c r="DK508" i="1"/>
  <c r="DL508" i="1"/>
  <c r="DM508" i="1"/>
  <c r="DN508" i="1"/>
  <c r="DO508" i="1"/>
  <c r="DP508" i="1"/>
  <c r="DQ508" i="1"/>
  <c r="DR508" i="1"/>
  <c r="DS508" i="1"/>
  <c r="DT508" i="1"/>
  <c r="DU508" i="1"/>
  <c r="DV508" i="1"/>
  <c r="DW508" i="1"/>
  <c r="DI509" i="1"/>
  <c r="DJ509" i="1"/>
  <c r="DK509" i="1"/>
  <c r="DL509" i="1"/>
  <c r="DM509" i="1"/>
  <c r="DN509" i="1"/>
  <c r="DO509" i="1"/>
  <c r="DP509" i="1"/>
  <c r="DQ509" i="1"/>
  <c r="DR509" i="1"/>
  <c r="DS509" i="1"/>
  <c r="DT509" i="1"/>
  <c r="DU509" i="1"/>
  <c r="DV509" i="1"/>
  <c r="DW509" i="1"/>
  <c r="DI510" i="1"/>
  <c r="DJ510" i="1"/>
  <c r="DK510" i="1"/>
  <c r="DL510" i="1"/>
  <c r="DM510" i="1"/>
  <c r="DN510" i="1"/>
  <c r="DO510" i="1"/>
  <c r="DP510" i="1"/>
  <c r="DQ510" i="1"/>
  <c r="DR510" i="1"/>
  <c r="DS510" i="1"/>
  <c r="DT510" i="1"/>
  <c r="DU510" i="1"/>
  <c r="DV510" i="1"/>
  <c r="DW510" i="1"/>
  <c r="DI511" i="1"/>
  <c r="DJ511" i="1"/>
  <c r="DK511" i="1"/>
  <c r="DL511" i="1"/>
  <c r="DM511" i="1"/>
  <c r="DN511" i="1"/>
  <c r="DO511" i="1"/>
  <c r="DP511" i="1"/>
  <c r="DQ511" i="1"/>
  <c r="DR511" i="1"/>
  <c r="DS511" i="1"/>
  <c r="DT511" i="1"/>
  <c r="DU511" i="1"/>
  <c r="DV511" i="1"/>
  <c r="DW511" i="1"/>
  <c r="DI512" i="1"/>
  <c r="DJ512" i="1"/>
  <c r="DK512" i="1"/>
  <c r="DL512" i="1"/>
  <c r="DM512" i="1"/>
  <c r="DN512" i="1"/>
  <c r="DO512" i="1"/>
  <c r="DP512" i="1"/>
  <c r="DQ512" i="1"/>
  <c r="DR512" i="1"/>
  <c r="DS512" i="1"/>
  <c r="DT512" i="1"/>
  <c r="DU512" i="1"/>
  <c r="DV512" i="1"/>
  <c r="DW512" i="1"/>
  <c r="DI513" i="1"/>
  <c r="DJ513" i="1"/>
  <c r="DK513" i="1"/>
  <c r="DL513" i="1"/>
  <c r="DM513" i="1"/>
  <c r="DN513" i="1"/>
  <c r="DO513" i="1"/>
  <c r="DP513" i="1"/>
  <c r="DQ513" i="1"/>
  <c r="DR513" i="1"/>
  <c r="DS513" i="1"/>
  <c r="DT513" i="1"/>
  <c r="DU513" i="1"/>
  <c r="DV513" i="1"/>
  <c r="DW513" i="1"/>
  <c r="DI514" i="1"/>
  <c r="DJ514" i="1"/>
  <c r="DK514" i="1"/>
  <c r="DL514" i="1"/>
  <c r="DM514" i="1"/>
  <c r="DN514" i="1"/>
  <c r="DO514" i="1"/>
  <c r="DP514" i="1"/>
  <c r="DQ514" i="1"/>
  <c r="DR514" i="1"/>
  <c r="DS514" i="1"/>
  <c r="DT514" i="1"/>
  <c r="DU514" i="1"/>
  <c r="DV514" i="1"/>
  <c r="DW514" i="1"/>
  <c r="DI515" i="1"/>
  <c r="DJ515" i="1"/>
  <c r="DK515" i="1"/>
  <c r="DL515" i="1"/>
  <c r="DM515" i="1"/>
  <c r="DN515" i="1"/>
  <c r="DO515" i="1"/>
  <c r="DP515" i="1"/>
  <c r="DQ515" i="1"/>
  <c r="DR515" i="1"/>
  <c r="DS515" i="1"/>
  <c r="DT515" i="1"/>
  <c r="DU515" i="1"/>
  <c r="DV515" i="1"/>
  <c r="DW515" i="1"/>
  <c r="DI516" i="1"/>
  <c r="DJ516" i="1"/>
  <c r="DK516" i="1"/>
  <c r="DL516" i="1"/>
  <c r="DM516" i="1"/>
  <c r="DN516" i="1"/>
  <c r="DO516" i="1"/>
  <c r="DP516" i="1"/>
  <c r="DQ516" i="1"/>
  <c r="DR516" i="1"/>
  <c r="DS516" i="1"/>
  <c r="DT516" i="1"/>
  <c r="DU516" i="1"/>
  <c r="DV516" i="1"/>
  <c r="DW516" i="1"/>
  <c r="DI517" i="1"/>
  <c r="DJ517" i="1"/>
  <c r="DK517" i="1"/>
  <c r="DL517" i="1"/>
  <c r="DM517" i="1"/>
  <c r="DN517" i="1"/>
  <c r="DO517" i="1"/>
  <c r="DP517" i="1"/>
  <c r="DQ517" i="1"/>
  <c r="DR517" i="1"/>
  <c r="DS517" i="1"/>
  <c r="DT517" i="1"/>
  <c r="DU517" i="1"/>
  <c r="DV517" i="1"/>
  <c r="DW517" i="1"/>
  <c r="DI518" i="1"/>
  <c r="DJ518" i="1"/>
  <c r="DK518" i="1"/>
  <c r="DL518" i="1"/>
  <c r="DM518" i="1"/>
  <c r="DN518" i="1"/>
  <c r="DO518" i="1"/>
  <c r="DP518" i="1"/>
  <c r="DQ518" i="1"/>
  <c r="DR518" i="1"/>
  <c r="DS518" i="1"/>
  <c r="DT518" i="1"/>
  <c r="DU518" i="1"/>
  <c r="DV518" i="1"/>
  <c r="DW518" i="1"/>
  <c r="DI519" i="1"/>
  <c r="DJ519" i="1"/>
  <c r="DK519" i="1"/>
  <c r="DL519" i="1"/>
  <c r="DM519" i="1"/>
  <c r="DN519" i="1"/>
  <c r="DO519" i="1"/>
  <c r="DP519" i="1"/>
  <c r="DQ519" i="1"/>
  <c r="DR519" i="1"/>
  <c r="DS519" i="1"/>
  <c r="DT519" i="1"/>
  <c r="DU519" i="1"/>
  <c r="DV519" i="1"/>
  <c r="DW519" i="1"/>
  <c r="DI520" i="1"/>
  <c r="DJ520" i="1"/>
  <c r="DK520" i="1"/>
  <c r="DL520" i="1"/>
  <c r="DM520" i="1"/>
  <c r="DN520" i="1"/>
  <c r="DO520" i="1"/>
  <c r="DP520" i="1"/>
  <c r="DQ520" i="1"/>
  <c r="DR520" i="1"/>
  <c r="DS520" i="1"/>
  <c r="DT520" i="1"/>
  <c r="DU520" i="1"/>
  <c r="DV520" i="1"/>
  <c r="DW520" i="1"/>
  <c r="DI521" i="1"/>
  <c r="DJ521" i="1"/>
  <c r="DK521" i="1"/>
  <c r="DL521" i="1"/>
  <c r="DM521" i="1"/>
  <c r="DN521" i="1"/>
  <c r="DO521" i="1"/>
  <c r="DP521" i="1"/>
  <c r="DQ521" i="1"/>
  <c r="DR521" i="1"/>
  <c r="DS521" i="1"/>
  <c r="DT521" i="1"/>
  <c r="DU521" i="1"/>
  <c r="DV521" i="1"/>
  <c r="DW521" i="1"/>
  <c r="DI522" i="1"/>
  <c r="DJ522" i="1"/>
  <c r="DK522" i="1"/>
  <c r="DL522" i="1"/>
  <c r="DM522" i="1"/>
  <c r="DN522" i="1"/>
  <c r="DO522" i="1"/>
  <c r="DP522" i="1"/>
  <c r="DQ522" i="1"/>
  <c r="DR522" i="1"/>
  <c r="DS522" i="1"/>
  <c r="DT522" i="1"/>
  <c r="DU522" i="1"/>
  <c r="DV522" i="1"/>
  <c r="DW522" i="1"/>
  <c r="DI523" i="1"/>
  <c r="DJ523" i="1"/>
  <c r="DK523" i="1"/>
  <c r="DL523" i="1"/>
  <c r="DM523" i="1"/>
  <c r="DN523" i="1"/>
  <c r="DO523" i="1"/>
  <c r="DP523" i="1"/>
  <c r="DQ523" i="1"/>
  <c r="DR523" i="1"/>
  <c r="DS523" i="1"/>
  <c r="DT523" i="1"/>
  <c r="DU523" i="1"/>
  <c r="DV523" i="1"/>
  <c r="DW523" i="1"/>
  <c r="DI524" i="1"/>
  <c r="DJ524" i="1"/>
  <c r="DK524" i="1"/>
  <c r="DL524" i="1"/>
  <c r="DM524" i="1"/>
  <c r="DN524" i="1"/>
  <c r="DO524" i="1"/>
  <c r="DP524" i="1"/>
  <c r="DQ524" i="1"/>
  <c r="DR524" i="1"/>
  <c r="DS524" i="1"/>
  <c r="DT524" i="1"/>
  <c r="DU524" i="1"/>
  <c r="DV524" i="1"/>
  <c r="DW524" i="1"/>
  <c r="DI525" i="1"/>
  <c r="DJ525" i="1"/>
  <c r="DK525" i="1"/>
  <c r="DL525" i="1"/>
  <c r="DM525" i="1"/>
  <c r="DN525" i="1"/>
  <c r="DO525" i="1"/>
  <c r="DP525" i="1"/>
  <c r="DQ525" i="1"/>
  <c r="DR525" i="1"/>
  <c r="DS525" i="1"/>
  <c r="DT525" i="1"/>
  <c r="DU525" i="1"/>
  <c r="DV525" i="1"/>
  <c r="DW525" i="1"/>
  <c r="DI526" i="1"/>
  <c r="DJ526" i="1"/>
  <c r="DK526" i="1"/>
  <c r="DL526" i="1"/>
  <c r="DM526" i="1"/>
  <c r="DN526" i="1"/>
  <c r="DO526" i="1"/>
  <c r="DP526" i="1"/>
  <c r="DQ526" i="1"/>
  <c r="DR526" i="1"/>
  <c r="DS526" i="1"/>
  <c r="DT526" i="1"/>
  <c r="DU526" i="1"/>
  <c r="DV526" i="1"/>
  <c r="DW526" i="1"/>
  <c r="DI527" i="1"/>
  <c r="DJ527" i="1"/>
  <c r="DK527" i="1"/>
  <c r="DL527" i="1"/>
  <c r="DM527" i="1"/>
  <c r="DN527" i="1"/>
  <c r="DO527" i="1"/>
  <c r="DP527" i="1"/>
  <c r="DQ527" i="1"/>
  <c r="DR527" i="1"/>
  <c r="DS527" i="1"/>
  <c r="DT527" i="1"/>
  <c r="DU527" i="1"/>
  <c r="DV527" i="1"/>
  <c r="DW527" i="1"/>
  <c r="DI528" i="1"/>
  <c r="DJ528" i="1"/>
  <c r="DK528" i="1"/>
  <c r="DL528" i="1"/>
  <c r="DM528" i="1"/>
  <c r="DN528" i="1"/>
  <c r="DO528" i="1"/>
  <c r="DP528" i="1"/>
  <c r="DQ528" i="1"/>
  <c r="DR528" i="1"/>
  <c r="DS528" i="1"/>
  <c r="DT528" i="1"/>
  <c r="DU528" i="1"/>
  <c r="DV528" i="1"/>
  <c r="DW528" i="1"/>
  <c r="DI529" i="1"/>
  <c r="DJ529" i="1"/>
  <c r="DK529" i="1"/>
  <c r="DL529" i="1"/>
  <c r="DM529" i="1"/>
  <c r="DN529" i="1"/>
  <c r="DO529" i="1"/>
  <c r="DP529" i="1"/>
  <c r="DQ529" i="1"/>
  <c r="DR529" i="1"/>
  <c r="DS529" i="1"/>
  <c r="DT529" i="1"/>
  <c r="DU529" i="1"/>
  <c r="DV529" i="1"/>
  <c r="DW529" i="1"/>
  <c r="DI530" i="1"/>
  <c r="DJ530" i="1"/>
  <c r="DK530" i="1"/>
  <c r="DL530" i="1"/>
  <c r="DM530" i="1"/>
  <c r="DN530" i="1"/>
  <c r="DO530" i="1"/>
  <c r="DP530" i="1"/>
  <c r="DQ530" i="1"/>
  <c r="DR530" i="1"/>
  <c r="DS530" i="1"/>
  <c r="DT530" i="1"/>
  <c r="DU530" i="1"/>
  <c r="DV530" i="1"/>
  <c r="DW530" i="1"/>
  <c r="DI531" i="1"/>
  <c r="DJ531" i="1"/>
  <c r="DK531" i="1"/>
  <c r="DL531" i="1"/>
  <c r="DM531" i="1"/>
  <c r="DN531" i="1"/>
  <c r="DO531" i="1"/>
  <c r="DP531" i="1"/>
  <c r="DQ531" i="1"/>
  <c r="DR531" i="1"/>
  <c r="DS531" i="1"/>
  <c r="DT531" i="1"/>
  <c r="DU531" i="1"/>
  <c r="DV531" i="1"/>
  <c r="DW531" i="1"/>
  <c r="DI532" i="1"/>
  <c r="DJ532" i="1"/>
  <c r="DK532" i="1"/>
  <c r="DL532" i="1"/>
  <c r="DM532" i="1"/>
  <c r="DN532" i="1"/>
  <c r="DO532" i="1"/>
  <c r="DP532" i="1"/>
  <c r="DQ532" i="1"/>
  <c r="DR532" i="1"/>
  <c r="DS532" i="1"/>
  <c r="DT532" i="1"/>
  <c r="DU532" i="1"/>
  <c r="DV532" i="1"/>
  <c r="DW532" i="1"/>
  <c r="DI533" i="1"/>
  <c r="DJ533" i="1"/>
  <c r="DK533" i="1"/>
  <c r="DL533" i="1"/>
  <c r="DM533" i="1"/>
  <c r="DN533" i="1"/>
  <c r="DO533" i="1"/>
  <c r="DP533" i="1"/>
  <c r="DQ533" i="1"/>
  <c r="DR533" i="1"/>
  <c r="DS533" i="1"/>
  <c r="DT533" i="1"/>
  <c r="DU533" i="1"/>
  <c r="DV533" i="1"/>
  <c r="DW533" i="1"/>
  <c r="DI534" i="1"/>
  <c r="DJ534" i="1"/>
  <c r="DK534" i="1"/>
  <c r="DL534" i="1"/>
  <c r="DM534" i="1"/>
  <c r="DN534" i="1"/>
  <c r="DO534" i="1"/>
  <c r="DP534" i="1"/>
  <c r="DQ534" i="1"/>
  <c r="DR534" i="1"/>
  <c r="DS534" i="1"/>
  <c r="DT534" i="1"/>
  <c r="DU534" i="1"/>
  <c r="DV534" i="1"/>
  <c r="DW534" i="1"/>
  <c r="DI535" i="1"/>
  <c r="DJ535" i="1"/>
  <c r="DK535" i="1"/>
  <c r="DL535" i="1"/>
  <c r="DM535" i="1"/>
  <c r="DN535" i="1"/>
  <c r="DO535" i="1"/>
  <c r="DP535" i="1"/>
  <c r="DQ535" i="1"/>
  <c r="DR535" i="1"/>
  <c r="DS535" i="1"/>
  <c r="DT535" i="1"/>
  <c r="DU535" i="1"/>
  <c r="DV535" i="1"/>
  <c r="DW535" i="1"/>
  <c r="DI536" i="1"/>
  <c r="DJ536" i="1"/>
  <c r="DK536" i="1"/>
  <c r="DL536" i="1"/>
  <c r="DM536" i="1"/>
  <c r="DN536" i="1"/>
  <c r="DO536" i="1"/>
  <c r="DP536" i="1"/>
  <c r="DQ536" i="1"/>
  <c r="DR536" i="1"/>
  <c r="DS536" i="1"/>
  <c r="DT536" i="1"/>
  <c r="DU536" i="1"/>
  <c r="DV536" i="1"/>
  <c r="DW536" i="1"/>
  <c r="DI537" i="1"/>
  <c r="DJ537" i="1"/>
  <c r="DK537" i="1"/>
  <c r="DL537" i="1"/>
  <c r="DM537" i="1"/>
  <c r="DN537" i="1"/>
  <c r="DO537" i="1"/>
  <c r="DP537" i="1"/>
  <c r="DQ537" i="1"/>
  <c r="DR537" i="1"/>
  <c r="DS537" i="1"/>
  <c r="DT537" i="1"/>
  <c r="DU537" i="1"/>
  <c r="DV537" i="1"/>
  <c r="DW537" i="1"/>
  <c r="DI538" i="1"/>
  <c r="DJ538" i="1"/>
  <c r="DK538" i="1"/>
  <c r="DL538" i="1"/>
  <c r="DM538" i="1"/>
  <c r="DN538" i="1"/>
  <c r="DO538" i="1"/>
  <c r="DP538" i="1"/>
  <c r="DQ538" i="1"/>
  <c r="DR538" i="1"/>
  <c r="DS538" i="1"/>
  <c r="DT538" i="1"/>
  <c r="DU538" i="1"/>
  <c r="DV538" i="1"/>
  <c r="DW538" i="1"/>
  <c r="DI539" i="1"/>
  <c r="DJ539" i="1"/>
  <c r="DK539" i="1"/>
  <c r="DL539" i="1"/>
  <c r="DM539" i="1"/>
  <c r="DN539" i="1"/>
  <c r="DO539" i="1"/>
  <c r="DP539" i="1"/>
  <c r="DQ539" i="1"/>
  <c r="DR539" i="1"/>
  <c r="DS539" i="1"/>
  <c r="DT539" i="1"/>
  <c r="DU539" i="1"/>
  <c r="DV539" i="1"/>
  <c r="DW539" i="1"/>
  <c r="DI540" i="1"/>
  <c r="DJ540" i="1"/>
  <c r="DK540" i="1"/>
  <c r="DL540" i="1"/>
  <c r="DM540" i="1"/>
  <c r="DN540" i="1"/>
  <c r="DO540" i="1"/>
  <c r="DP540" i="1"/>
  <c r="DQ540" i="1"/>
  <c r="DR540" i="1"/>
  <c r="DS540" i="1"/>
  <c r="DT540" i="1"/>
  <c r="DU540" i="1"/>
  <c r="DV540" i="1"/>
  <c r="DW540" i="1"/>
  <c r="DI541" i="1"/>
  <c r="DJ541" i="1"/>
  <c r="DK541" i="1"/>
  <c r="DL541" i="1"/>
  <c r="DM541" i="1"/>
  <c r="DN541" i="1"/>
  <c r="DO541" i="1"/>
  <c r="DP541" i="1"/>
  <c r="DQ541" i="1"/>
  <c r="DR541" i="1"/>
  <c r="DS541" i="1"/>
  <c r="DT541" i="1"/>
  <c r="DU541" i="1"/>
  <c r="DV541" i="1"/>
  <c r="DW541" i="1"/>
  <c r="DI542" i="1"/>
  <c r="DJ542" i="1"/>
  <c r="DK542" i="1"/>
  <c r="DL542" i="1"/>
  <c r="DM542" i="1"/>
  <c r="DN542" i="1"/>
  <c r="DO542" i="1"/>
  <c r="DP542" i="1"/>
  <c r="DQ542" i="1"/>
  <c r="DR542" i="1"/>
  <c r="DS542" i="1"/>
  <c r="DT542" i="1"/>
  <c r="DU542" i="1"/>
  <c r="DV542" i="1"/>
  <c r="DW542" i="1"/>
  <c r="DI543" i="1"/>
  <c r="DJ543" i="1"/>
  <c r="DK543" i="1"/>
  <c r="DL543" i="1"/>
  <c r="DM543" i="1"/>
  <c r="DN543" i="1"/>
  <c r="DO543" i="1"/>
  <c r="DP543" i="1"/>
  <c r="DQ543" i="1"/>
  <c r="DR543" i="1"/>
  <c r="DS543" i="1"/>
  <c r="DT543" i="1"/>
  <c r="DU543" i="1"/>
  <c r="DV543" i="1"/>
  <c r="DW543" i="1"/>
  <c r="DI544" i="1"/>
  <c r="DJ544" i="1"/>
  <c r="DK544" i="1"/>
  <c r="DL544" i="1"/>
  <c r="DM544" i="1"/>
  <c r="DN544" i="1"/>
  <c r="DO544" i="1"/>
  <c r="DP544" i="1"/>
  <c r="DQ544" i="1"/>
  <c r="DR544" i="1"/>
  <c r="DS544" i="1"/>
  <c r="DT544" i="1"/>
  <c r="DU544" i="1"/>
  <c r="DV544" i="1"/>
  <c r="DW544" i="1"/>
  <c r="DI545" i="1"/>
  <c r="DJ545" i="1"/>
  <c r="DK545" i="1"/>
  <c r="DL545" i="1"/>
  <c r="DM545" i="1"/>
  <c r="DN545" i="1"/>
  <c r="DO545" i="1"/>
  <c r="DP545" i="1"/>
  <c r="DQ545" i="1"/>
  <c r="DR545" i="1"/>
  <c r="DS545" i="1"/>
  <c r="DT545" i="1"/>
  <c r="DU545" i="1"/>
  <c r="DV545" i="1"/>
  <c r="DW545" i="1"/>
  <c r="DI546" i="1"/>
  <c r="DJ546" i="1"/>
  <c r="DK546" i="1"/>
  <c r="DL546" i="1"/>
  <c r="DM546" i="1"/>
  <c r="DN546" i="1"/>
  <c r="DO546" i="1"/>
  <c r="DP546" i="1"/>
  <c r="DQ546" i="1"/>
  <c r="DR546" i="1"/>
  <c r="DS546" i="1"/>
  <c r="DT546" i="1"/>
  <c r="DU546" i="1"/>
  <c r="DV546" i="1"/>
  <c r="DW546" i="1"/>
  <c r="DI547" i="1"/>
  <c r="DJ547" i="1"/>
  <c r="DK547" i="1"/>
  <c r="DL547" i="1"/>
  <c r="DM547" i="1"/>
  <c r="DN547" i="1"/>
  <c r="DO547" i="1"/>
  <c r="DP547" i="1"/>
  <c r="DQ547" i="1"/>
  <c r="DR547" i="1"/>
  <c r="DS547" i="1"/>
  <c r="DT547" i="1"/>
  <c r="DU547" i="1"/>
  <c r="DV547" i="1"/>
  <c r="DW547" i="1"/>
  <c r="DI548" i="1"/>
  <c r="DJ548" i="1"/>
  <c r="DK548" i="1"/>
  <c r="DL548" i="1"/>
  <c r="DM548" i="1"/>
  <c r="DN548" i="1"/>
  <c r="DO548" i="1"/>
  <c r="DP548" i="1"/>
  <c r="DQ548" i="1"/>
  <c r="DR548" i="1"/>
  <c r="DS548" i="1"/>
  <c r="DT548" i="1"/>
  <c r="DU548" i="1"/>
  <c r="DV548" i="1"/>
  <c r="DW548" i="1"/>
  <c r="DI549" i="1"/>
  <c r="DJ549" i="1"/>
  <c r="DK549" i="1"/>
  <c r="DL549" i="1"/>
  <c r="DM549" i="1"/>
  <c r="DN549" i="1"/>
  <c r="DO549" i="1"/>
  <c r="DP549" i="1"/>
  <c r="DQ549" i="1"/>
  <c r="DR549" i="1"/>
  <c r="DS549" i="1"/>
  <c r="DT549" i="1"/>
  <c r="DU549" i="1"/>
  <c r="DV549" i="1"/>
  <c r="DW549" i="1"/>
  <c r="DI550" i="1"/>
  <c r="DJ550" i="1"/>
  <c r="DK550" i="1"/>
  <c r="DL550" i="1"/>
  <c r="DM550" i="1"/>
  <c r="DN550" i="1"/>
  <c r="DO550" i="1"/>
  <c r="DP550" i="1"/>
  <c r="DQ550" i="1"/>
  <c r="DR550" i="1"/>
  <c r="DS550" i="1"/>
  <c r="DT550" i="1"/>
  <c r="DU550" i="1"/>
  <c r="DV550" i="1"/>
  <c r="DW550" i="1"/>
  <c r="DI551" i="1"/>
  <c r="DJ551" i="1"/>
  <c r="DK551" i="1"/>
  <c r="DL551" i="1"/>
  <c r="DM551" i="1"/>
  <c r="DN551" i="1"/>
  <c r="DO551" i="1"/>
  <c r="DP551" i="1"/>
  <c r="DQ551" i="1"/>
  <c r="DR551" i="1"/>
  <c r="DS551" i="1"/>
  <c r="DT551" i="1"/>
  <c r="DU551" i="1"/>
  <c r="DV551" i="1"/>
  <c r="DW551" i="1"/>
  <c r="DI552" i="1"/>
  <c r="DJ552" i="1"/>
  <c r="DK552" i="1"/>
  <c r="DL552" i="1"/>
  <c r="DM552" i="1"/>
  <c r="DN552" i="1"/>
  <c r="DO552" i="1"/>
  <c r="DP552" i="1"/>
  <c r="DQ552" i="1"/>
  <c r="DR552" i="1"/>
  <c r="DS552" i="1"/>
  <c r="DT552" i="1"/>
  <c r="DU552" i="1"/>
  <c r="DV552" i="1"/>
  <c r="DW552" i="1"/>
  <c r="DI553" i="1"/>
  <c r="DJ553" i="1"/>
  <c r="DK553" i="1"/>
  <c r="DL553" i="1"/>
  <c r="DM553" i="1"/>
  <c r="DN553" i="1"/>
  <c r="DO553" i="1"/>
  <c r="DP553" i="1"/>
  <c r="DQ553" i="1"/>
  <c r="DR553" i="1"/>
  <c r="DS553" i="1"/>
  <c r="DT553" i="1"/>
  <c r="DU553" i="1"/>
  <c r="DV553" i="1"/>
  <c r="DW553" i="1"/>
  <c r="DI554" i="1"/>
  <c r="DJ554" i="1"/>
  <c r="DK554" i="1"/>
  <c r="DL554" i="1"/>
  <c r="DM554" i="1"/>
  <c r="DN554" i="1"/>
  <c r="DO554" i="1"/>
  <c r="DP554" i="1"/>
  <c r="DQ554" i="1"/>
  <c r="DR554" i="1"/>
  <c r="DS554" i="1"/>
  <c r="DT554" i="1"/>
  <c r="DU554" i="1"/>
  <c r="DV554" i="1"/>
  <c r="DW554" i="1"/>
  <c r="DI555" i="1"/>
  <c r="DJ555" i="1"/>
  <c r="DK555" i="1"/>
  <c r="DL555" i="1"/>
  <c r="DM555" i="1"/>
  <c r="DN555" i="1"/>
  <c r="DO555" i="1"/>
  <c r="DP555" i="1"/>
  <c r="DQ555" i="1"/>
  <c r="DR555" i="1"/>
  <c r="DS555" i="1"/>
  <c r="DT555" i="1"/>
  <c r="DU555" i="1"/>
  <c r="DV555" i="1"/>
  <c r="DW555" i="1"/>
  <c r="DI556" i="1"/>
  <c r="DJ556" i="1"/>
  <c r="DK556" i="1"/>
  <c r="DL556" i="1"/>
  <c r="DM556" i="1"/>
  <c r="DN556" i="1"/>
  <c r="DO556" i="1"/>
  <c r="DP556" i="1"/>
  <c r="DQ556" i="1"/>
  <c r="DR556" i="1"/>
  <c r="DS556" i="1"/>
  <c r="DT556" i="1"/>
  <c r="DU556" i="1"/>
  <c r="DV556" i="1"/>
  <c r="DW556" i="1"/>
  <c r="DI557" i="1"/>
  <c r="DJ557" i="1"/>
  <c r="DK557" i="1"/>
  <c r="DL557" i="1"/>
  <c r="DM557" i="1"/>
  <c r="DN557" i="1"/>
  <c r="DO557" i="1"/>
  <c r="DP557" i="1"/>
  <c r="DQ557" i="1"/>
  <c r="DR557" i="1"/>
  <c r="DS557" i="1"/>
  <c r="DT557" i="1"/>
  <c r="DU557" i="1"/>
  <c r="DV557" i="1"/>
  <c r="DW557" i="1"/>
  <c r="DI558" i="1"/>
  <c r="DJ558" i="1"/>
  <c r="DK558" i="1"/>
  <c r="DL558" i="1"/>
  <c r="DM558" i="1"/>
  <c r="DN558" i="1"/>
  <c r="DO558" i="1"/>
  <c r="DP558" i="1"/>
  <c r="DQ558" i="1"/>
  <c r="DR558" i="1"/>
  <c r="DS558" i="1"/>
  <c r="DT558" i="1"/>
  <c r="DU558" i="1"/>
  <c r="DV558" i="1"/>
  <c r="DW558" i="1"/>
  <c r="DI559" i="1"/>
  <c r="DJ559" i="1"/>
  <c r="DK559" i="1"/>
  <c r="DL559" i="1"/>
  <c r="DM559" i="1"/>
  <c r="DN559" i="1"/>
  <c r="DO559" i="1"/>
  <c r="DP559" i="1"/>
  <c r="DQ559" i="1"/>
  <c r="DR559" i="1"/>
  <c r="DS559" i="1"/>
  <c r="DT559" i="1"/>
  <c r="DU559" i="1"/>
  <c r="DV559" i="1"/>
  <c r="DW559" i="1"/>
  <c r="DI560" i="1"/>
  <c r="DJ560" i="1"/>
  <c r="DK560" i="1"/>
  <c r="DL560" i="1"/>
  <c r="DM560" i="1"/>
  <c r="DN560" i="1"/>
  <c r="DO560" i="1"/>
  <c r="DP560" i="1"/>
  <c r="DQ560" i="1"/>
  <c r="DR560" i="1"/>
  <c r="DS560" i="1"/>
  <c r="DT560" i="1"/>
  <c r="DU560" i="1"/>
  <c r="DV560" i="1"/>
  <c r="DW560" i="1"/>
  <c r="DI561" i="1"/>
  <c r="DJ561" i="1"/>
  <c r="DK561" i="1"/>
  <c r="DL561" i="1"/>
  <c r="DM561" i="1"/>
  <c r="DN561" i="1"/>
  <c r="DO561" i="1"/>
  <c r="DP561" i="1"/>
  <c r="DQ561" i="1"/>
  <c r="DR561" i="1"/>
  <c r="DS561" i="1"/>
  <c r="DT561" i="1"/>
  <c r="DU561" i="1"/>
  <c r="DV561" i="1"/>
  <c r="DW561" i="1"/>
  <c r="DI562" i="1"/>
  <c r="DJ562" i="1"/>
  <c r="DK562" i="1"/>
  <c r="DL562" i="1"/>
  <c r="DM562" i="1"/>
  <c r="DN562" i="1"/>
  <c r="DO562" i="1"/>
  <c r="DP562" i="1"/>
  <c r="DQ562" i="1"/>
  <c r="DR562" i="1"/>
  <c r="DS562" i="1"/>
  <c r="DT562" i="1"/>
  <c r="DU562" i="1"/>
  <c r="DV562" i="1"/>
  <c r="DW562" i="1"/>
  <c r="DI563" i="1"/>
  <c r="DJ563" i="1"/>
  <c r="DK563" i="1"/>
  <c r="DL563" i="1"/>
  <c r="DM563" i="1"/>
  <c r="DN563" i="1"/>
  <c r="DO563" i="1"/>
  <c r="DP563" i="1"/>
  <c r="DQ563" i="1"/>
  <c r="DR563" i="1"/>
  <c r="DS563" i="1"/>
  <c r="DT563" i="1"/>
  <c r="DU563" i="1"/>
  <c r="DV563" i="1"/>
  <c r="DW563" i="1"/>
  <c r="DI564" i="1"/>
  <c r="DJ564" i="1"/>
  <c r="DK564" i="1"/>
  <c r="DL564" i="1"/>
  <c r="DM564" i="1"/>
  <c r="DN564" i="1"/>
  <c r="DO564" i="1"/>
  <c r="DP564" i="1"/>
  <c r="DQ564" i="1"/>
  <c r="DR564" i="1"/>
  <c r="DS564" i="1"/>
  <c r="DT564" i="1"/>
  <c r="DU564" i="1"/>
  <c r="DV564" i="1"/>
  <c r="DW564" i="1"/>
  <c r="DI565" i="1"/>
  <c r="DJ565" i="1"/>
  <c r="DK565" i="1"/>
  <c r="DL565" i="1"/>
  <c r="DM565" i="1"/>
  <c r="DN565" i="1"/>
  <c r="DO565" i="1"/>
  <c r="DP565" i="1"/>
  <c r="DQ565" i="1"/>
  <c r="DR565" i="1"/>
  <c r="DS565" i="1"/>
  <c r="DT565" i="1"/>
  <c r="DU565" i="1"/>
  <c r="DV565" i="1"/>
  <c r="DW565" i="1"/>
  <c r="DI566" i="1"/>
  <c r="DJ566" i="1"/>
  <c r="DK566" i="1"/>
  <c r="DL566" i="1"/>
  <c r="DM566" i="1"/>
  <c r="DN566" i="1"/>
  <c r="DO566" i="1"/>
  <c r="DP566" i="1"/>
  <c r="DQ566" i="1"/>
  <c r="DR566" i="1"/>
  <c r="DS566" i="1"/>
  <c r="DT566" i="1"/>
  <c r="DU566" i="1"/>
  <c r="DV566" i="1"/>
  <c r="DW566" i="1"/>
  <c r="DI567" i="1"/>
  <c r="DJ567" i="1"/>
  <c r="DK567" i="1"/>
  <c r="DL567" i="1"/>
  <c r="DM567" i="1"/>
  <c r="DN567" i="1"/>
  <c r="DO567" i="1"/>
  <c r="DP567" i="1"/>
  <c r="DQ567" i="1"/>
  <c r="DR567" i="1"/>
  <c r="DS567" i="1"/>
  <c r="DT567" i="1"/>
  <c r="DU567" i="1"/>
  <c r="DV567" i="1"/>
  <c r="DW567" i="1"/>
  <c r="DI568" i="1"/>
  <c r="DJ568" i="1"/>
  <c r="DK568" i="1"/>
  <c r="DL568" i="1"/>
  <c r="DM568" i="1"/>
  <c r="DN568" i="1"/>
  <c r="DO568" i="1"/>
  <c r="DP568" i="1"/>
  <c r="DQ568" i="1"/>
  <c r="DR568" i="1"/>
  <c r="DS568" i="1"/>
  <c r="DT568" i="1"/>
  <c r="DU568" i="1"/>
  <c r="DV568" i="1"/>
  <c r="DW568" i="1"/>
  <c r="DI569" i="1"/>
  <c r="DJ569" i="1"/>
  <c r="DK569" i="1"/>
  <c r="DL569" i="1"/>
  <c r="DM569" i="1"/>
  <c r="DN569" i="1"/>
  <c r="DO569" i="1"/>
  <c r="DP569" i="1"/>
  <c r="DQ569" i="1"/>
  <c r="DR569" i="1"/>
  <c r="DS569" i="1"/>
  <c r="DT569" i="1"/>
  <c r="DU569" i="1"/>
  <c r="DV569" i="1"/>
  <c r="DW569" i="1"/>
  <c r="DI570" i="1"/>
  <c r="DJ570" i="1"/>
  <c r="DK570" i="1"/>
  <c r="DL570" i="1"/>
  <c r="DM570" i="1"/>
  <c r="DN570" i="1"/>
  <c r="DO570" i="1"/>
  <c r="DP570" i="1"/>
  <c r="DQ570" i="1"/>
  <c r="DR570" i="1"/>
  <c r="DS570" i="1"/>
  <c r="DT570" i="1"/>
  <c r="DU570" i="1"/>
  <c r="DV570" i="1"/>
  <c r="DW570" i="1"/>
  <c r="DI571" i="1"/>
  <c r="DJ571" i="1"/>
  <c r="DK571" i="1"/>
  <c r="DL571" i="1"/>
  <c r="DM571" i="1"/>
  <c r="DN571" i="1"/>
  <c r="DO571" i="1"/>
  <c r="DP571" i="1"/>
  <c r="DQ571" i="1"/>
  <c r="DR571" i="1"/>
  <c r="DS571" i="1"/>
  <c r="DT571" i="1"/>
  <c r="DU571" i="1"/>
  <c r="DV571" i="1"/>
  <c r="DW571" i="1"/>
  <c r="DI572" i="1"/>
  <c r="DJ572" i="1"/>
  <c r="DK572" i="1"/>
  <c r="DL572" i="1"/>
  <c r="DM572" i="1"/>
  <c r="DN572" i="1"/>
  <c r="DO572" i="1"/>
  <c r="DP572" i="1"/>
  <c r="DQ572" i="1"/>
  <c r="DR572" i="1"/>
  <c r="DS572" i="1"/>
  <c r="DT572" i="1"/>
  <c r="DU572" i="1"/>
  <c r="DV572" i="1"/>
  <c r="DW572" i="1"/>
  <c r="DI573" i="1"/>
  <c r="DJ573" i="1"/>
  <c r="DK573" i="1"/>
  <c r="DL573" i="1"/>
  <c r="DM573" i="1"/>
  <c r="DN573" i="1"/>
  <c r="DO573" i="1"/>
  <c r="DP573" i="1"/>
  <c r="DQ573" i="1"/>
  <c r="DR573" i="1"/>
  <c r="DS573" i="1"/>
  <c r="DT573" i="1"/>
  <c r="DU573" i="1"/>
  <c r="DV573" i="1"/>
  <c r="DW573" i="1"/>
  <c r="DI574" i="1"/>
  <c r="DJ574" i="1"/>
  <c r="DK574" i="1"/>
  <c r="DL574" i="1"/>
  <c r="DM574" i="1"/>
  <c r="DN574" i="1"/>
  <c r="DO574" i="1"/>
  <c r="DP574" i="1"/>
  <c r="DQ574" i="1"/>
  <c r="DR574" i="1"/>
  <c r="DS574" i="1"/>
  <c r="DT574" i="1"/>
  <c r="DU574" i="1"/>
  <c r="DV574" i="1"/>
  <c r="DW574" i="1"/>
  <c r="DI575" i="1"/>
  <c r="DJ575" i="1"/>
  <c r="DK575" i="1"/>
  <c r="DL575" i="1"/>
  <c r="DM575" i="1"/>
  <c r="DN575" i="1"/>
  <c r="DO575" i="1"/>
  <c r="DP575" i="1"/>
  <c r="DQ575" i="1"/>
  <c r="DR575" i="1"/>
  <c r="DS575" i="1"/>
  <c r="DT575" i="1"/>
  <c r="DU575" i="1"/>
  <c r="DV575" i="1"/>
  <c r="DW575" i="1"/>
  <c r="DI576" i="1"/>
  <c r="DJ576" i="1"/>
  <c r="DK576" i="1"/>
  <c r="DL576" i="1"/>
  <c r="DM576" i="1"/>
  <c r="DN576" i="1"/>
  <c r="DO576" i="1"/>
  <c r="DP576" i="1"/>
  <c r="DQ576" i="1"/>
  <c r="DR576" i="1"/>
  <c r="DS576" i="1"/>
  <c r="DT576" i="1"/>
  <c r="DU576" i="1"/>
  <c r="DV576" i="1"/>
  <c r="DW576" i="1"/>
  <c r="DI577" i="1"/>
  <c r="DJ577" i="1"/>
  <c r="DK577" i="1"/>
  <c r="DL577" i="1"/>
  <c r="DM577" i="1"/>
  <c r="DN577" i="1"/>
  <c r="DO577" i="1"/>
  <c r="DP577" i="1"/>
  <c r="DQ577" i="1"/>
  <c r="DR577" i="1"/>
  <c r="DS577" i="1"/>
  <c r="DT577" i="1"/>
  <c r="DU577" i="1"/>
  <c r="DV577" i="1"/>
  <c r="DW577" i="1"/>
  <c r="DI578" i="1"/>
  <c r="DJ578" i="1"/>
  <c r="DK578" i="1"/>
  <c r="DL578" i="1"/>
  <c r="DM578" i="1"/>
  <c r="DN578" i="1"/>
  <c r="DO578" i="1"/>
  <c r="DP578" i="1"/>
  <c r="DQ578" i="1"/>
  <c r="DR578" i="1"/>
  <c r="DS578" i="1"/>
  <c r="DT578" i="1"/>
  <c r="DU578" i="1"/>
  <c r="DV578" i="1"/>
  <c r="DW578" i="1"/>
  <c r="DI579" i="1"/>
  <c r="DJ579" i="1"/>
  <c r="DK579" i="1"/>
  <c r="DL579" i="1"/>
  <c r="DM579" i="1"/>
  <c r="DN579" i="1"/>
  <c r="DO579" i="1"/>
  <c r="DP579" i="1"/>
  <c r="DQ579" i="1"/>
  <c r="DR579" i="1"/>
  <c r="DS579" i="1"/>
  <c r="DT579" i="1"/>
  <c r="DU579" i="1"/>
  <c r="DV579" i="1"/>
  <c r="DW579" i="1"/>
  <c r="DI580" i="1"/>
  <c r="DJ580" i="1"/>
  <c r="DK580" i="1"/>
  <c r="DL580" i="1"/>
  <c r="DM580" i="1"/>
  <c r="DN580" i="1"/>
  <c r="DO580" i="1"/>
  <c r="DP580" i="1"/>
  <c r="DQ580" i="1"/>
  <c r="DR580" i="1"/>
  <c r="DS580" i="1"/>
  <c r="DT580" i="1"/>
  <c r="DU580" i="1"/>
  <c r="DV580" i="1"/>
  <c r="DW580" i="1"/>
  <c r="DI581" i="1"/>
  <c r="DJ581" i="1"/>
  <c r="DK581" i="1"/>
  <c r="DL581" i="1"/>
  <c r="DM581" i="1"/>
  <c r="DN581" i="1"/>
  <c r="DO581" i="1"/>
  <c r="DP581" i="1"/>
  <c r="DQ581" i="1"/>
  <c r="DR581" i="1"/>
  <c r="DS581" i="1"/>
  <c r="DT581" i="1"/>
  <c r="DU581" i="1"/>
  <c r="DV581" i="1"/>
  <c r="DW581" i="1"/>
  <c r="DI582" i="1"/>
  <c r="DJ582" i="1"/>
  <c r="DK582" i="1"/>
  <c r="DL582" i="1"/>
  <c r="DM582" i="1"/>
  <c r="DN582" i="1"/>
  <c r="DO582" i="1"/>
  <c r="DP582" i="1"/>
  <c r="DQ582" i="1"/>
  <c r="DR582" i="1"/>
  <c r="DS582" i="1"/>
  <c r="DT582" i="1"/>
  <c r="DU582" i="1"/>
  <c r="DV582" i="1"/>
  <c r="DW582" i="1"/>
  <c r="DI583" i="1"/>
  <c r="DJ583" i="1"/>
  <c r="DK583" i="1"/>
  <c r="DL583" i="1"/>
  <c r="DM583" i="1"/>
  <c r="DN583" i="1"/>
  <c r="DO583" i="1"/>
  <c r="DP583" i="1"/>
  <c r="DQ583" i="1"/>
  <c r="DR583" i="1"/>
  <c r="DS583" i="1"/>
  <c r="DT583" i="1"/>
  <c r="DU583" i="1"/>
  <c r="DV583" i="1"/>
  <c r="DW583" i="1"/>
  <c r="DI584" i="1"/>
  <c r="DJ584" i="1"/>
  <c r="DK584" i="1"/>
  <c r="DL584" i="1"/>
  <c r="DM584" i="1"/>
  <c r="DN584" i="1"/>
  <c r="DO584" i="1"/>
  <c r="DP584" i="1"/>
  <c r="DQ584" i="1"/>
  <c r="DR584" i="1"/>
  <c r="DS584" i="1"/>
  <c r="DT584" i="1"/>
  <c r="DU584" i="1"/>
  <c r="DV584" i="1"/>
  <c r="DW584" i="1"/>
  <c r="DI585" i="1"/>
  <c r="DJ585" i="1"/>
  <c r="DK585" i="1"/>
  <c r="DL585" i="1"/>
  <c r="DM585" i="1"/>
  <c r="DN585" i="1"/>
  <c r="DO585" i="1"/>
  <c r="DP585" i="1"/>
  <c r="DQ585" i="1"/>
  <c r="DR585" i="1"/>
  <c r="DS585" i="1"/>
  <c r="DT585" i="1"/>
  <c r="DU585" i="1"/>
  <c r="DV585" i="1"/>
  <c r="DW585" i="1"/>
  <c r="DI586" i="1"/>
  <c r="DJ586" i="1"/>
  <c r="DK586" i="1"/>
  <c r="DL586" i="1"/>
  <c r="DM586" i="1"/>
  <c r="DN586" i="1"/>
  <c r="DO586" i="1"/>
  <c r="DP586" i="1"/>
  <c r="DQ586" i="1"/>
  <c r="DR586" i="1"/>
  <c r="DS586" i="1"/>
  <c r="DT586" i="1"/>
  <c r="DU586" i="1"/>
  <c r="DV586" i="1"/>
  <c r="DW586" i="1"/>
  <c r="DI587" i="1"/>
  <c r="DJ587" i="1"/>
  <c r="DK587" i="1"/>
  <c r="DL587" i="1"/>
  <c r="DM587" i="1"/>
  <c r="DN587" i="1"/>
  <c r="DO587" i="1"/>
  <c r="DP587" i="1"/>
  <c r="DQ587" i="1"/>
  <c r="DR587" i="1"/>
  <c r="DS587" i="1"/>
  <c r="DT587" i="1"/>
  <c r="DU587" i="1"/>
  <c r="DV587" i="1"/>
  <c r="DW587" i="1"/>
  <c r="DI588" i="1"/>
  <c r="DJ588" i="1"/>
  <c r="DK588" i="1"/>
  <c r="DL588" i="1"/>
  <c r="DM588" i="1"/>
  <c r="DN588" i="1"/>
  <c r="DO588" i="1"/>
  <c r="DP588" i="1"/>
  <c r="DQ588" i="1"/>
  <c r="DR588" i="1"/>
  <c r="DS588" i="1"/>
  <c r="DT588" i="1"/>
  <c r="DU588" i="1"/>
  <c r="DV588" i="1"/>
  <c r="DW588" i="1"/>
  <c r="DI589" i="1"/>
  <c r="DJ589" i="1"/>
  <c r="DK589" i="1"/>
  <c r="DL589" i="1"/>
  <c r="DM589" i="1"/>
  <c r="DN589" i="1"/>
  <c r="DO589" i="1"/>
  <c r="DP589" i="1"/>
  <c r="DQ589" i="1"/>
  <c r="DR589" i="1"/>
  <c r="DS589" i="1"/>
  <c r="DT589" i="1"/>
  <c r="DU589" i="1"/>
  <c r="DV589" i="1"/>
  <c r="DW589" i="1"/>
  <c r="DI590" i="1"/>
  <c r="DJ590" i="1"/>
  <c r="DK590" i="1"/>
  <c r="DL590" i="1"/>
  <c r="DM590" i="1"/>
  <c r="DN590" i="1"/>
  <c r="DO590" i="1"/>
  <c r="DP590" i="1"/>
  <c r="DQ590" i="1"/>
  <c r="DR590" i="1"/>
  <c r="DS590" i="1"/>
  <c r="DT590" i="1"/>
  <c r="DU590" i="1"/>
  <c r="DV590" i="1"/>
  <c r="DW590" i="1"/>
  <c r="DI591" i="1"/>
  <c r="DJ591" i="1"/>
  <c r="DK591" i="1"/>
  <c r="DL591" i="1"/>
  <c r="DM591" i="1"/>
  <c r="DN591" i="1"/>
  <c r="DO591" i="1"/>
  <c r="DP591" i="1"/>
  <c r="DQ591" i="1"/>
  <c r="DR591" i="1"/>
  <c r="DS591" i="1"/>
  <c r="DT591" i="1"/>
  <c r="DU591" i="1"/>
  <c r="DV591" i="1"/>
  <c r="DW591" i="1"/>
  <c r="DI592" i="1"/>
  <c r="DJ592" i="1"/>
  <c r="DK592" i="1"/>
  <c r="DL592" i="1"/>
  <c r="DM592" i="1"/>
  <c r="DN592" i="1"/>
  <c r="DO592" i="1"/>
  <c r="DP592" i="1"/>
  <c r="DQ592" i="1"/>
  <c r="DR592" i="1"/>
  <c r="DS592" i="1"/>
  <c r="DT592" i="1"/>
  <c r="DU592" i="1"/>
  <c r="DV592" i="1"/>
  <c r="DW592" i="1"/>
  <c r="DI593" i="1"/>
  <c r="DJ593" i="1"/>
  <c r="DK593" i="1"/>
  <c r="DL593" i="1"/>
  <c r="DM593" i="1"/>
  <c r="DN593" i="1"/>
  <c r="DO593" i="1"/>
  <c r="DP593" i="1"/>
  <c r="DQ593" i="1"/>
  <c r="DR593" i="1"/>
  <c r="DS593" i="1"/>
  <c r="DT593" i="1"/>
  <c r="DU593" i="1"/>
  <c r="DV593" i="1"/>
  <c r="DW593" i="1"/>
  <c r="DI594" i="1"/>
  <c r="DJ594" i="1"/>
  <c r="DK594" i="1"/>
  <c r="DL594" i="1"/>
  <c r="DM594" i="1"/>
  <c r="DN594" i="1"/>
  <c r="DO594" i="1"/>
  <c r="DP594" i="1"/>
  <c r="DQ594" i="1"/>
  <c r="DR594" i="1"/>
  <c r="DS594" i="1"/>
  <c r="DT594" i="1"/>
  <c r="DU594" i="1"/>
  <c r="DV594" i="1"/>
  <c r="DW594" i="1"/>
  <c r="DI595" i="1"/>
  <c r="DJ595" i="1"/>
  <c r="DK595" i="1"/>
  <c r="DL595" i="1"/>
  <c r="DM595" i="1"/>
  <c r="DN595" i="1"/>
  <c r="DO595" i="1"/>
  <c r="DP595" i="1"/>
  <c r="DQ595" i="1"/>
  <c r="DR595" i="1"/>
  <c r="DS595" i="1"/>
  <c r="DT595" i="1"/>
  <c r="DU595" i="1"/>
  <c r="DV595" i="1"/>
  <c r="DW595" i="1"/>
  <c r="DI596" i="1"/>
  <c r="DJ596" i="1"/>
  <c r="DK596" i="1"/>
  <c r="DL596" i="1"/>
  <c r="DM596" i="1"/>
  <c r="DN596" i="1"/>
  <c r="DO596" i="1"/>
  <c r="DP596" i="1"/>
  <c r="DQ596" i="1"/>
  <c r="DR596" i="1"/>
  <c r="DS596" i="1"/>
  <c r="DT596" i="1"/>
  <c r="DU596" i="1"/>
  <c r="DV596" i="1"/>
  <c r="DW596" i="1"/>
  <c r="DI597" i="1"/>
  <c r="DJ597" i="1"/>
  <c r="DK597" i="1"/>
  <c r="DL597" i="1"/>
  <c r="DM597" i="1"/>
  <c r="DN597" i="1"/>
  <c r="DO597" i="1"/>
  <c r="DP597" i="1"/>
  <c r="DQ597" i="1"/>
  <c r="DR597" i="1"/>
  <c r="DS597" i="1"/>
  <c r="DT597" i="1"/>
  <c r="DU597" i="1"/>
  <c r="DV597" i="1"/>
  <c r="DW597" i="1"/>
  <c r="DI598" i="1"/>
  <c r="DJ598" i="1"/>
  <c r="DK598" i="1"/>
  <c r="DL598" i="1"/>
  <c r="DM598" i="1"/>
  <c r="DN598" i="1"/>
  <c r="DO598" i="1"/>
  <c r="DP598" i="1"/>
  <c r="DQ598" i="1"/>
  <c r="DR598" i="1"/>
  <c r="DS598" i="1"/>
  <c r="DT598" i="1"/>
  <c r="DU598" i="1"/>
  <c r="DV598" i="1"/>
  <c r="DW598" i="1"/>
  <c r="DI599" i="1"/>
  <c r="DJ599" i="1"/>
  <c r="DK599" i="1"/>
  <c r="DL599" i="1"/>
  <c r="DM599" i="1"/>
  <c r="DN599" i="1"/>
  <c r="DO599" i="1"/>
  <c r="DP599" i="1"/>
  <c r="DQ599" i="1"/>
  <c r="DR599" i="1"/>
  <c r="DS599" i="1"/>
  <c r="DT599" i="1"/>
  <c r="DU599" i="1"/>
  <c r="DV599" i="1"/>
  <c r="DW599" i="1"/>
  <c r="DI600" i="1"/>
  <c r="DJ600" i="1"/>
  <c r="DK600" i="1"/>
  <c r="DL600" i="1"/>
  <c r="DM600" i="1"/>
  <c r="DN600" i="1"/>
  <c r="DO600" i="1"/>
  <c r="DP600" i="1"/>
  <c r="DQ600" i="1"/>
  <c r="DR600" i="1"/>
  <c r="DS600" i="1"/>
  <c r="DT600" i="1"/>
  <c r="DU600" i="1"/>
  <c r="DV600" i="1"/>
  <c r="DW600" i="1"/>
  <c r="DI601" i="1"/>
  <c r="DJ601" i="1"/>
  <c r="DK601" i="1"/>
  <c r="DL601" i="1"/>
  <c r="DM601" i="1"/>
  <c r="DN601" i="1"/>
  <c r="DO601" i="1"/>
  <c r="DP601" i="1"/>
  <c r="DQ601" i="1"/>
  <c r="DR601" i="1"/>
  <c r="DS601" i="1"/>
  <c r="DT601" i="1"/>
  <c r="DU601" i="1"/>
  <c r="DV601" i="1"/>
  <c r="DW601" i="1"/>
  <c r="DI602" i="1"/>
  <c r="DJ602" i="1"/>
  <c r="DK602" i="1"/>
  <c r="DL602" i="1"/>
  <c r="DM602" i="1"/>
  <c r="DN602" i="1"/>
  <c r="DO602" i="1"/>
  <c r="DP602" i="1"/>
  <c r="DQ602" i="1"/>
  <c r="DR602" i="1"/>
  <c r="DS602" i="1"/>
  <c r="DT602" i="1"/>
  <c r="DU602" i="1"/>
  <c r="DV602" i="1"/>
  <c r="DW602" i="1"/>
  <c r="DI603" i="1"/>
  <c r="DJ603" i="1"/>
  <c r="DK603" i="1"/>
  <c r="DL603" i="1"/>
  <c r="DM603" i="1"/>
  <c r="DN603" i="1"/>
  <c r="DO603" i="1"/>
  <c r="DP603" i="1"/>
  <c r="DQ603" i="1"/>
  <c r="DR603" i="1"/>
  <c r="DS603" i="1"/>
  <c r="DT603" i="1"/>
  <c r="DU603" i="1"/>
  <c r="DV603" i="1"/>
  <c r="DW603" i="1"/>
  <c r="DI604" i="1"/>
  <c r="DJ604" i="1"/>
  <c r="DK604" i="1"/>
  <c r="DL604" i="1"/>
  <c r="DM604" i="1"/>
  <c r="DN604" i="1"/>
  <c r="DO604" i="1"/>
  <c r="DP604" i="1"/>
  <c r="DQ604" i="1"/>
  <c r="DR604" i="1"/>
  <c r="DS604" i="1"/>
  <c r="DT604" i="1"/>
  <c r="DU604" i="1"/>
  <c r="DV604" i="1"/>
  <c r="DW604" i="1"/>
  <c r="DI605" i="1"/>
  <c r="DJ605" i="1"/>
  <c r="DK605" i="1"/>
  <c r="DL605" i="1"/>
  <c r="DM605" i="1"/>
  <c r="DN605" i="1"/>
  <c r="DO605" i="1"/>
  <c r="DP605" i="1"/>
  <c r="DQ605" i="1"/>
  <c r="DR605" i="1"/>
  <c r="DS605" i="1"/>
  <c r="DT605" i="1"/>
  <c r="DU605" i="1"/>
  <c r="DV605" i="1"/>
  <c r="DW605" i="1"/>
  <c r="DI606" i="1"/>
  <c r="DJ606" i="1"/>
  <c r="DK606" i="1"/>
  <c r="DL606" i="1"/>
  <c r="DM606" i="1"/>
  <c r="DN606" i="1"/>
  <c r="DO606" i="1"/>
  <c r="DP606" i="1"/>
  <c r="DQ606" i="1"/>
  <c r="DR606" i="1"/>
  <c r="DS606" i="1"/>
  <c r="DT606" i="1"/>
  <c r="DU606" i="1"/>
  <c r="DV606" i="1"/>
  <c r="DW606" i="1"/>
  <c r="DI607" i="1"/>
  <c r="DJ607" i="1"/>
  <c r="DK607" i="1"/>
  <c r="DL607" i="1"/>
  <c r="DM607" i="1"/>
  <c r="DN607" i="1"/>
  <c r="DO607" i="1"/>
  <c r="DP607" i="1"/>
  <c r="DQ607" i="1"/>
  <c r="DR607" i="1"/>
  <c r="DS607" i="1"/>
  <c r="DT607" i="1"/>
  <c r="DU607" i="1"/>
  <c r="DV607" i="1"/>
  <c r="DW607" i="1"/>
  <c r="DI608" i="1"/>
  <c r="DJ608" i="1"/>
  <c r="DK608" i="1"/>
  <c r="DL608" i="1"/>
  <c r="DM608" i="1"/>
  <c r="DN608" i="1"/>
  <c r="DO608" i="1"/>
  <c r="DP608" i="1"/>
  <c r="DQ608" i="1"/>
  <c r="DR608" i="1"/>
  <c r="DS608" i="1"/>
  <c r="DT608" i="1"/>
  <c r="DU608" i="1"/>
  <c r="DV608" i="1"/>
  <c r="DW608" i="1"/>
  <c r="DI609" i="1"/>
  <c r="DJ609" i="1"/>
  <c r="DK609" i="1"/>
  <c r="DL609" i="1"/>
  <c r="DM609" i="1"/>
  <c r="DN609" i="1"/>
  <c r="DO609" i="1"/>
  <c r="DP609" i="1"/>
  <c r="DQ609" i="1"/>
  <c r="DR609" i="1"/>
  <c r="DS609" i="1"/>
  <c r="DT609" i="1"/>
  <c r="DU609" i="1"/>
  <c r="DV609" i="1"/>
  <c r="DW609" i="1"/>
  <c r="DI610" i="1"/>
  <c r="DJ610" i="1"/>
  <c r="DK610" i="1"/>
  <c r="DL610" i="1"/>
  <c r="DM610" i="1"/>
  <c r="DN610" i="1"/>
  <c r="DO610" i="1"/>
  <c r="DP610" i="1"/>
  <c r="DQ610" i="1"/>
  <c r="DR610" i="1"/>
  <c r="DS610" i="1"/>
  <c r="DT610" i="1"/>
  <c r="DU610" i="1"/>
  <c r="DV610" i="1"/>
  <c r="DW610" i="1"/>
  <c r="DI611" i="1"/>
  <c r="DJ611" i="1"/>
  <c r="DK611" i="1"/>
  <c r="DL611" i="1"/>
  <c r="DM611" i="1"/>
  <c r="DN611" i="1"/>
  <c r="DO611" i="1"/>
  <c r="DP611" i="1"/>
  <c r="DQ611" i="1"/>
  <c r="DR611" i="1"/>
  <c r="DS611" i="1"/>
  <c r="DT611" i="1"/>
  <c r="DU611" i="1"/>
  <c r="DV611" i="1"/>
  <c r="DW611" i="1"/>
  <c r="DI612" i="1"/>
  <c r="DJ612" i="1"/>
  <c r="DK612" i="1"/>
  <c r="DL612" i="1"/>
  <c r="DM612" i="1"/>
  <c r="DN612" i="1"/>
  <c r="DO612" i="1"/>
  <c r="DP612" i="1"/>
  <c r="DQ612" i="1"/>
  <c r="DR612" i="1"/>
  <c r="DS612" i="1"/>
  <c r="DT612" i="1"/>
  <c r="DU612" i="1"/>
  <c r="DV612" i="1"/>
  <c r="DW612" i="1"/>
  <c r="DI613" i="1"/>
  <c r="DJ613" i="1"/>
  <c r="DK613" i="1"/>
  <c r="DL613" i="1"/>
  <c r="DM613" i="1"/>
  <c r="DN613" i="1"/>
  <c r="DO613" i="1"/>
  <c r="DP613" i="1"/>
  <c r="DQ613" i="1"/>
  <c r="DR613" i="1"/>
  <c r="DS613" i="1"/>
  <c r="DT613" i="1"/>
  <c r="DU613" i="1"/>
  <c r="DV613" i="1"/>
  <c r="DW613" i="1"/>
  <c r="DI614" i="1"/>
  <c r="DJ614" i="1"/>
  <c r="DK614" i="1"/>
  <c r="DL614" i="1"/>
  <c r="DM614" i="1"/>
  <c r="DN614" i="1"/>
  <c r="DO614" i="1"/>
  <c r="DP614" i="1"/>
  <c r="DQ614" i="1"/>
  <c r="DR614" i="1"/>
  <c r="DS614" i="1"/>
  <c r="DT614" i="1"/>
  <c r="DU614" i="1"/>
  <c r="DV614" i="1"/>
  <c r="DW614" i="1"/>
  <c r="DI615" i="1"/>
  <c r="DJ615" i="1"/>
  <c r="DK615" i="1"/>
  <c r="DL615" i="1"/>
  <c r="DM615" i="1"/>
  <c r="DN615" i="1"/>
  <c r="DO615" i="1"/>
  <c r="DP615" i="1"/>
  <c r="DQ615" i="1"/>
  <c r="DR615" i="1"/>
  <c r="DS615" i="1"/>
  <c r="DT615" i="1"/>
  <c r="DU615" i="1"/>
  <c r="DV615" i="1"/>
  <c r="DW615" i="1"/>
  <c r="DI616" i="1"/>
  <c r="DJ616" i="1"/>
  <c r="DK616" i="1"/>
  <c r="DL616" i="1"/>
  <c r="DM616" i="1"/>
  <c r="DN616" i="1"/>
  <c r="DO616" i="1"/>
  <c r="DP616" i="1"/>
  <c r="DQ616" i="1"/>
  <c r="DR616" i="1"/>
  <c r="DS616" i="1"/>
  <c r="DT616" i="1"/>
  <c r="DU616" i="1"/>
  <c r="DV616" i="1"/>
  <c r="DW616" i="1"/>
  <c r="DI617" i="1"/>
  <c r="DJ617" i="1"/>
  <c r="DK617" i="1"/>
  <c r="DL617" i="1"/>
  <c r="DM617" i="1"/>
  <c r="DN617" i="1"/>
  <c r="DO617" i="1"/>
  <c r="DP617" i="1"/>
  <c r="DQ617" i="1"/>
  <c r="DR617" i="1"/>
  <c r="DS617" i="1"/>
  <c r="DT617" i="1"/>
  <c r="DU617" i="1"/>
  <c r="DV617" i="1"/>
  <c r="DW617" i="1"/>
  <c r="DI618" i="1"/>
  <c r="DJ618" i="1"/>
  <c r="DK618" i="1"/>
  <c r="DL618" i="1"/>
  <c r="DM618" i="1"/>
  <c r="DN618" i="1"/>
  <c r="DO618" i="1"/>
  <c r="DP618" i="1"/>
  <c r="DQ618" i="1"/>
  <c r="DR618" i="1"/>
  <c r="DS618" i="1"/>
  <c r="DT618" i="1"/>
  <c r="DU618" i="1"/>
  <c r="DV618" i="1"/>
  <c r="DW618" i="1"/>
  <c r="DI619" i="1"/>
  <c r="DJ619" i="1"/>
  <c r="DK619" i="1"/>
  <c r="DL619" i="1"/>
  <c r="DM619" i="1"/>
  <c r="DN619" i="1"/>
  <c r="DO619" i="1"/>
  <c r="DP619" i="1"/>
  <c r="DQ619" i="1"/>
  <c r="DR619" i="1"/>
  <c r="DS619" i="1"/>
  <c r="DT619" i="1"/>
  <c r="DU619" i="1"/>
  <c r="DV619" i="1"/>
  <c r="DW619" i="1"/>
  <c r="DI620" i="1"/>
  <c r="DJ620" i="1"/>
  <c r="DK620" i="1"/>
  <c r="DL620" i="1"/>
  <c r="DM620" i="1"/>
  <c r="DN620" i="1"/>
  <c r="DO620" i="1"/>
  <c r="DP620" i="1"/>
  <c r="DQ620" i="1"/>
  <c r="DR620" i="1"/>
  <c r="DS620" i="1"/>
  <c r="DT620" i="1"/>
  <c r="DU620" i="1"/>
  <c r="DV620" i="1"/>
  <c r="DW620" i="1"/>
  <c r="DI621" i="1"/>
  <c r="DJ621" i="1"/>
  <c r="DK621" i="1"/>
  <c r="DL621" i="1"/>
  <c r="DM621" i="1"/>
  <c r="DN621" i="1"/>
  <c r="DO621" i="1"/>
  <c r="DP621" i="1"/>
  <c r="DQ621" i="1"/>
  <c r="DR621" i="1"/>
  <c r="DS621" i="1"/>
  <c r="DT621" i="1"/>
  <c r="DU621" i="1"/>
  <c r="DV621" i="1"/>
  <c r="DW621" i="1"/>
  <c r="DI622" i="1"/>
  <c r="DJ622" i="1"/>
  <c r="DK622" i="1"/>
  <c r="DL622" i="1"/>
  <c r="DM622" i="1"/>
  <c r="DN622" i="1"/>
  <c r="DO622" i="1"/>
  <c r="DP622" i="1"/>
  <c r="DQ622" i="1"/>
  <c r="DR622" i="1"/>
  <c r="DS622" i="1"/>
  <c r="DT622" i="1"/>
  <c r="DU622" i="1"/>
  <c r="DV622" i="1"/>
  <c r="DW622" i="1"/>
  <c r="DI623" i="1"/>
  <c r="DJ623" i="1"/>
  <c r="DK623" i="1"/>
  <c r="DL623" i="1"/>
  <c r="DM623" i="1"/>
  <c r="DN623" i="1"/>
  <c r="DO623" i="1"/>
  <c r="DP623" i="1"/>
  <c r="DQ623" i="1"/>
  <c r="DR623" i="1"/>
  <c r="DS623" i="1"/>
  <c r="DT623" i="1"/>
  <c r="DU623" i="1"/>
  <c r="DV623" i="1"/>
  <c r="DW623" i="1"/>
  <c r="DI624" i="1"/>
  <c r="DJ624" i="1"/>
  <c r="DK624" i="1"/>
  <c r="DL624" i="1"/>
  <c r="DM624" i="1"/>
  <c r="DN624" i="1"/>
  <c r="DO624" i="1"/>
  <c r="DP624" i="1"/>
  <c r="DQ624" i="1"/>
  <c r="DR624" i="1"/>
  <c r="DS624" i="1"/>
  <c r="DT624" i="1"/>
  <c r="DU624" i="1"/>
  <c r="DV624" i="1"/>
  <c r="DW624" i="1"/>
  <c r="DI625" i="1"/>
  <c r="DJ625" i="1"/>
  <c r="DK625" i="1"/>
  <c r="DL625" i="1"/>
  <c r="DM625" i="1"/>
  <c r="DN625" i="1"/>
  <c r="DO625" i="1"/>
  <c r="DP625" i="1"/>
  <c r="DQ625" i="1"/>
  <c r="DR625" i="1"/>
  <c r="DS625" i="1"/>
  <c r="DT625" i="1"/>
  <c r="DU625" i="1"/>
  <c r="DV625" i="1"/>
  <c r="DW625" i="1"/>
  <c r="DI626" i="1"/>
  <c r="DJ626" i="1"/>
  <c r="DK626" i="1"/>
  <c r="DL626" i="1"/>
  <c r="DM626" i="1"/>
  <c r="DN626" i="1"/>
  <c r="DO626" i="1"/>
  <c r="DP626" i="1"/>
  <c r="DQ626" i="1"/>
  <c r="DR626" i="1"/>
  <c r="DS626" i="1"/>
  <c r="DT626" i="1"/>
  <c r="DU626" i="1"/>
  <c r="DV626" i="1"/>
  <c r="DW626" i="1"/>
  <c r="DI627" i="1"/>
  <c r="DJ627" i="1"/>
  <c r="DK627" i="1"/>
  <c r="DL627" i="1"/>
  <c r="DM627" i="1"/>
  <c r="DN627" i="1"/>
  <c r="DO627" i="1"/>
  <c r="DP627" i="1"/>
  <c r="DQ627" i="1"/>
  <c r="DR627" i="1"/>
  <c r="DS627" i="1"/>
  <c r="DT627" i="1"/>
  <c r="DU627" i="1"/>
  <c r="DV627" i="1"/>
  <c r="DW627" i="1"/>
  <c r="DI628" i="1"/>
  <c r="DJ628" i="1"/>
  <c r="DK628" i="1"/>
  <c r="DL628" i="1"/>
  <c r="DM628" i="1"/>
  <c r="DN628" i="1"/>
  <c r="DO628" i="1"/>
  <c r="DP628" i="1"/>
  <c r="DQ628" i="1"/>
  <c r="DR628" i="1"/>
  <c r="DS628" i="1"/>
  <c r="DT628" i="1"/>
  <c r="DU628" i="1"/>
  <c r="DV628" i="1"/>
  <c r="DW628" i="1"/>
  <c r="DI629" i="1"/>
  <c r="DJ629" i="1"/>
  <c r="DK629" i="1"/>
  <c r="DL629" i="1"/>
  <c r="DM629" i="1"/>
  <c r="DN629" i="1"/>
  <c r="DO629" i="1"/>
  <c r="DP629" i="1"/>
  <c r="DQ629" i="1"/>
  <c r="DR629" i="1"/>
  <c r="DS629" i="1"/>
  <c r="DT629" i="1"/>
  <c r="DU629" i="1"/>
  <c r="DV629" i="1"/>
  <c r="DW629" i="1"/>
  <c r="DI630" i="1"/>
  <c r="DJ630" i="1"/>
  <c r="DK630" i="1"/>
  <c r="DL630" i="1"/>
  <c r="DM630" i="1"/>
  <c r="DN630" i="1"/>
  <c r="DO630" i="1"/>
  <c r="DP630" i="1"/>
  <c r="DQ630" i="1"/>
  <c r="DR630" i="1"/>
  <c r="DS630" i="1"/>
  <c r="DT630" i="1"/>
  <c r="DU630" i="1"/>
  <c r="DV630" i="1"/>
  <c r="DW630" i="1"/>
  <c r="DI631" i="1"/>
  <c r="DJ631" i="1"/>
  <c r="DK631" i="1"/>
  <c r="DL631" i="1"/>
  <c r="DM631" i="1"/>
  <c r="DN631" i="1"/>
  <c r="DO631" i="1"/>
  <c r="DP631" i="1"/>
  <c r="DQ631" i="1"/>
  <c r="DR631" i="1"/>
  <c r="DS631" i="1"/>
  <c r="DT631" i="1"/>
  <c r="DU631" i="1"/>
  <c r="DV631" i="1"/>
  <c r="DW631" i="1"/>
  <c r="DI632" i="1"/>
  <c r="DJ632" i="1"/>
  <c r="DK632" i="1"/>
  <c r="DL632" i="1"/>
  <c r="DM632" i="1"/>
  <c r="DN632" i="1"/>
  <c r="DO632" i="1"/>
  <c r="DP632" i="1"/>
  <c r="DQ632" i="1"/>
  <c r="DR632" i="1"/>
  <c r="DS632" i="1"/>
  <c r="DT632" i="1"/>
  <c r="DU632" i="1"/>
  <c r="DV632" i="1"/>
  <c r="DW632" i="1"/>
  <c r="DI633" i="1"/>
  <c r="DJ633" i="1"/>
  <c r="DK633" i="1"/>
  <c r="DL633" i="1"/>
  <c r="DM633" i="1"/>
  <c r="DN633" i="1"/>
  <c r="DO633" i="1"/>
  <c r="DP633" i="1"/>
  <c r="DQ633" i="1"/>
  <c r="DR633" i="1"/>
  <c r="DS633" i="1"/>
  <c r="DT633" i="1"/>
  <c r="DU633" i="1"/>
  <c r="DV633" i="1"/>
  <c r="DW633" i="1"/>
  <c r="DI634" i="1"/>
  <c r="DJ634" i="1"/>
  <c r="DK634" i="1"/>
  <c r="DL634" i="1"/>
  <c r="DM634" i="1"/>
  <c r="DN634" i="1"/>
  <c r="DO634" i="1"/>
  <c r="DP634" i="1"/>
  <c r="DQ634" i="1"/>
  <c r="DR634" i="1"/>
  <c r="DS634" i="1"/>
  <c r="DT634" i="1"/>
  <c r="DU634" i="1"/>
  <c r="DV634" i="1"/>
  <c r="DW634" i="1"/>
  <c r="DI635" i="1"/>
  <c r="DJ635" i="1"/>
  <c r="DK635" i="1"/>
  <c r="DL635" i="1"/>
  <c r="DM635" i="1"/>
  <c r="DN635" i="1"/>
  <c r="DO635" i="1"/>
  <c r="DP635" i="1"/>
  <c r="DQ635" i="1"/>
  <c r="DR635" i="1"/>
  <c r="DS635" i="1"/>
  <c r="DT635" i="1"/>
  <c r="DU635" i="1"/>
  <c r="DV635" i="1"/>
  <c r="DW635" i="1"/>
  <c r="DI636" i="1"/>
  <c r="DJ636" i="1"/>
  <c r="DK636" i="1"/>
  <c r="DL636" i="1"/>
  <c r="DM636" i="1"/>
  <c r="DN636" i="1"/>
  <c r="DO636" i="1"/>
  <c r="DP636" i="1"/>
  <c r="DQ636" i="1"/>
  <c r="DR636" i="1"/>
  <c r="DS636" i="1"/>
  <c r="DT636" i="1"/>
  <c r="DU636" i="1"/>
  <c r="DV636" i="1"/>
  <c r="DW636" i="1"/>
  <c r="DI637" i="1"/>
  <c r="DJ637" i="1"/>
  <c r="DK637" i="1"/>
  <c r="DL637" i="1"/>
  <c r="DM637" i="1"/>
  <c r="DN637" i="1"/>
  <c r="DO637" i="1"/>
  <c r="DP637" i="1"/>
  <c r="DQ637" i="1"/>
  <c r="DR637" i="1"/>
  <c r="DS637" i="1"/>
  <c r="DT637" i="1"/>
  <c r="DU637" i="1"/>
  <c r="DV637" i="1"/>
  <c r="DW637" i="1"/>
  <c r="DI638" i="1"/>
  <c r="DJ638" i="1"/>
  <c r="DK638" i="1"/>
  <c r="DL638" i="1"/>
  <c r="DM638" i="1"/>
  <c r="DN638" i="1"/>
  <c r="DO638" i="1"/>
  <c r="DP638" i="1"/>
  <c r="DQ638" i="1"/>
  <c r="DR638" i="1"/>
  <c r="DS638" i="1"/>
  <c r="DT638" i="1"/>
  <c r="DU638" i="1"/>
  <c r="DV638" i="1"/>
  <c r="DW638" i="1"/>
  <c r="DI639" i="1"/>
  <c r="DJ639" i="1"/>
  <c r="DK639" i="1"/>
  <c r="DL639" i="1"/>
  <c r="DM639" i="1"/>
  <c r="DN639" i="1"/>
  <c r="DO639" i="1"/>
  <c r="DP639" i="1"/>
  <c r="DQ639" i="1"/>
  <c r="DR639" i="1"/>
  <c r="DS639" i="1"/>
  <c r="DT639" i="1"/>
  <c r="DU639" i="1"/>
  <c r="DV639" i="1"/>
  <c r="DW639" i="1"/>
  <c r="DI640" i="1"/>
  <c r="DJ640" i="1"/>
  <c r="DK640" i="1"/>
  <c r="DL640" i="1"/>
  <c r="DM640" i="1"/>
  <c r="DN640" i="1"/>
  <c r="DO640" i="1"/>
  <c r="DP640" i="1"/>
  <c r="DQ640" i="1"/>
  <c r="DR640" i="1"/>
  <c r="DS640" i="1"/>
  <c r="DT640" i="1"/>
  <c r="DU640" i="1"/>
  <c r="DV640" i="1"/>
  <c r="DW640" i="1"/>
  <c r="DI641" i="1"/>
  <c r="DJ641" i="1"/>
  <c r="DK641" i="1"/>
  <c r="DL641" i="1"/>
  <c r="DM641" i="1"/>
  <c r="DN641" i="1"/>
  <c r="DO641" i="1"/>
  <c r="DP641" i="1"/>
  <c r="DQ641" i="1"/>
  <c r="DR641" i="1"/>
  <c r="DS641" i="1"/>
  <c r="DT641" i="1"/>
  <c r="DU641" i="1"/>
  <c r="DV641" i="1"/>
  <c r="DW641" i="1"/>
  <c r="DI642" i="1"/>
  <c r="DJ642" i="1"/>
  <c r="DK642" i="1"/>
  <c r="DL642" i="1"/>
  <c r="DM642" i="1"/>
  <c r="DN642" i="1"/>
  <c r="DO642" i="1"/>
  <c r="DP642" i="1"/>
  <c r="DQ642" i="1"/>
  <c r="DR642" i="1"/>
  <c r="DS642" i="1"/>
  <c r="DT642" i="1"/>
  <c r="DU642" i="1"/>
  <c r="DV642" i="1"/>
  <c r="DW642" i="1"/>
  <c r="DI643" i="1"/>
  <c r="DJ643" i="1"/>
  <c r="DK643" i="1"/>
  <c r="DL643" i="1"/>
  <c r="DM643" i="1"/>
  <c r="DN643" i="1"/>
  <c r="DO643" i="1"/>
  <c r="DP643" i="1"/>
  <c r="DQ643" i="1"/>
  <c r="DR643" i="1"/>
  <c r="DS643" i="1"/>
  <c r="DT643" i="1"/>
  <c r="DU643" i="1"/>
  <c r="DV643" i="1"/>
  <c r="DW643" i="1"/>
  <c r="DI644" i="1"/>
  <c r="DJ644" i="1"/>
  <c r="DK644" i="1"/>
  <c r="DL644" i="1"/>
  <c r="DM644" i="1"/>
  <c r="DN644" i="1"/>
  <c r="DO644" i="1"/>
  <c r="DP644" i="1"/>
  <c r="DQ644" i="1"/>
  <c r="DR644" i="1"/>
  <c r="DS644" i="1"/>
  <c r="DT644" i="1"/>
  <c r="DU644" i="1"/>
  <c r="DV644" i="1"/>
  <c r="DW644" i="1"/>
  <c r="DI645" i="1"/>
  <c r="DJ645" i="1"/>
  <c r="DK645" i="1"/>
  <c r="DL645" i="1"/>
  <c r="DM645" i="1"/>
  <c r="DN645" i="1"/>
  <c r="DO645" i="1"/>
  <c r="DP645" i="1"/>
  <c r="DQ645" i="1"/>
  <c r="DR645" i="1"/>
  <c r="DS645" i="1"/>
  <c r="DT645" i="1"/>
  <c r="DU645" i="1"/>
  <c r="DV645" i="1"/>
  <c r="DW645" i="1"/>
  <c r="DI646" i="1"/>
  <c r="DJ646" i="1"/>
  <c r="DK646" i="1"/>
  <c r="DL646" i="1"/>
  <c r="DM646" i="1"/>
  <c r="DN646" i="1"/>
  <c r="DO646" i="1"/>
  <c r="DP646" i="1"/>
  <c r="DQ646" i="1"/>
  <c r="DR646" i="1"/>
  <c r="DS646" i="1"/>
  <c r="DT646" i="1"/>
  <c r="DU646" i="1"/>
  <c r="DV646" i="1"/>
  <c r="DW646" i="1"/>
  <c r="DI647" i="1"/>
  <c r="DJ647" i="1"/>
  <c r="DK647" i="1"/>
  <c r="DL647" i="1"/>
  <c r="DM647" i="1"/>
  <c r="DN647" i="1"/>
  <c r="DO647" i="1"/>
  <c r="DP647" i="1"/>
  <c r="DQ647" i="1"/>
  <c r="DR647" i="1"/>
  <c r="DS647" i="1"/>
  <c r="DT647" i="1"/>
  <c r="DU647" i="1"/>
  <c r="DV647" i="1"/>
  <c r="DW647" i="1"/>
  <c r="DI648" i="1"/>
  <c r="DJ648" i="1"/>
  <c r="DK648" i="1"/>
  <c r="DL648" i="1"/>
  <c r="DM648" i="1"/>
  <c r="DN648" i="1"/>
  <c r="DO648" i="1"/>
  <c r="DP648" i="1"/>
  <c r="DQ648" i="1"/>
  <c r="DR648" i="1"/>
  <c r="DS648" i="1"/>
  <c r="DT648" i="1"/>
  <c r="DU648" i="1"/>
  <c r="DV648" i="1"/>
  <c r="DW648" i="1"/>
  <c r="DI649" i="1"/>
  <c r="DJ649" i="1"/>
  <c r="DK649" i="1"/>
  <c r="DL649" i="1"/>
  <c r="DM649" i="1"/>
  <c r="DN649" i="1"/>
  <c r="DO649" i="1"/>
  <c r="DP649" i="1"/>
  <c r="DQ649" i="1"/>
  <c r="DR649" i="1"/>
  <c r="DS649" i="1"/>
  <c r="DT649" i="1"/>
  <c r="DU649" i="1"/>
  <c r="DV649" i="1"/>
  <c r="DW649" i="1"/>
  <c r="DI650" i="1"/>
  <c r="DJ650" i="1"/>
  <c r="DK650" i="1"/>
  <c r="DL650" i="1"/>
  <c r="DM650" i="1"/>
  <c r="DN650" i="1"/>
  <c r="DO650" i="1"/>
  <c r="DP650" i="1"/>
  <c r="DQ650" i="1"/>
  <c r="DR650" i="1"/>
  <c r="DS650" i="1"/>
  <c r="DT650" i="1"/>
  <c r="DU650" i="1"/>
  <c r="DV650" i="1"/>
  <c r="DW650" i="1"/>
  <c r="CL3" i="1"/>
  <c r="CM3" i="1"/>
  <c r="CN3" i="1"/>
  <c r="CO3" i="1"/>
  <c r="CP3" i="1"/>
  <c r="CQ3" i="1"/>
  <c r="CR3" i="1"/>
  <c r="CS3" i="1"/>
  <c r="CT3" i="1"/>
  <c r="CU3" i="1"/>
  <c r="CV3" i="1"/>
  <c r="CW3" i="1"/>
  <c r="CX3" i="1"/>
  <c r="CY3" i="1"/>
  <c r="CZ3" i="1"/>
  <c r="DA3" i="1"/>
  <c r="DB3" i="1"/>
  <c r="DC3" i="1"/>
  <c r="DD3" i="1"/>
  <c r="DE3" i="1"/>
  <c r="DF3" i="1"/>
  <c r="DG3" i="1"/>
  <c r="DH3" i="1"/>
  <c r="CL4" i="1"/>
  <c r="CM4" i="1"/>
  <c r="CN4" i="1"/>
  <c r="CO4" i="1"/>
  <c r="CP4" i="1"/>
  <c r="CQ4" i="1"/>
  <c r="CR4" i="1"/>
  <c r="CS4" i="1"/>
  <c r="CT4" i="1"/>
  <c r="CU4" i="1"/>
  <c r="CV4" i="1"/>
  <c r="CW4" i="1"/>
  <c r="CX4" i="1"/>
  <c r="CY4" i="1"/>
  <c r="CZ4" i="1"/>
  <c r="DA4" i="1"/>
  <c r="DB4" i="1"/>
  <c r="DC4" i="1"/>
  <c r="DD4" i="1"/>
  <c r="DE4" i="1"/>
  <c r="DF4" i="1"/>
  <c r="DG4" i="1"/>
  <c r="DH4" i="1"/>
  <c r="CL5" i="1"/>
  <c r="CM5" i="1"/>
  <c r="CN5" i="1"/>
  <c r="CO5" i="1"/>
  <c r="CP5" i="1"/>
  <c r="CQ5" i="1"/>
  <c r="CR5" i="1"/>
  <c r="CS5" i="1"/>
  <c r="CT5" i="1"/>
  <c r="CU5" i="1"/>
  <c r="CV5" i="1"/>
  <c r="CW5" i="1"/>
  <c r="CX5" i="1"/>
  <c r="CY5" i="1"/>
  <c r="CZ5" i="1"/>
  <c r="DA5" i="1"/>
  <c r="DB5" i="1"/>
  <c r="DC5" i="1"/>
  <c r="DD5" i="1"/>
  <c r="DE5" i="1"/>
  <c r="DF5" i="1"/>
  <c r="DG5" i="1"/>
  <c r="DH5" i="1"/>
  <c r="CL6" i="1"/>
  <c r="CM6" i="1"/>
  <c r="CN6" i="1"/>
  <c r="CO6" i="1"/>
  <c r="CP6" i="1"/>
  <c r="CQ6" i="1"/>
  <c r="CR6" i="1"/>
  <c r="CS6" i="1"/>
  <c r="CT6" i="1"/>
  <c r="CU6" i="1"/>
  <c r="CV6" i="1"/>
  <c r="CW6" i="1"/>
  <c r="CX6" i="1"/>
  <c r="CY6" i="1"/>
  <c r="CZ6" i="1"/>
  <c r="DA6" i="1"/>
  <c r="DB6" i="1"/>
  <c r="DC6" i="1"/>
  <c r="DD6" i="1"/>
  <c r="DE6" i="1"/>
  <c r="DF6" i="1"/>
  <c r="DG6" i="1"/>
  <c r="DH6" i="1"/>
  <c r="CL7" i="1"/>
  <c r="CM7" i="1"/>
  <c r="CN7" i="1"/>
  <c r="CO7" i="1"/>
  <c r="CP7" i="1"/>
  <c r="CQ7" i="1"/>
  <c r="CR7" i="1"/>
  <c r="CS7" i="1"/>
  <c r="CT7" i="1"/>
  <c r="CU7" i="1"/>
  <c r="CV7" i="1"/>
  <c r="CW7" i="1"/>
  <c r="CX7" i="1"/>
  <c r="CY7" i="1"/>
  <c r="CZ7" i="1"/>
  <c r="DA7" i="1"/>
  <c r="DB7" i="1"/>
  <c r="DC7" i="1"/>
  <c r="DD7" i="1"/>
  <c r="DE7" i="1"/>
  <c r="DF7" i="1"/>
  <c r="DG7" i="1"/>
  <c r="DH7" i="1"/>
  <c r="CL8" i="1"/>
  <c r="CM8" i="1"/>
  <c r="CN8" i="1"/>
  <c r="CO8" i="1"/>
  <c r="CP8" i="1"/>
  <c r="CQ8" i="1"/>
  <c r="CR8" i="1"/>
  <c r="CS8" i="1"/>
  <c r="CT8" i="1"/>
  <c r="CU8" i="1"/>
  <c r="CV8" i="1"/>
  <c r="CW8" i="1"/>
  <c r="CX8" i="1"/>
  <c r="CY8" i="1"/>
  <c r="CZ8" i="1"/>
  <c r="DA8" i="1"/>
  <c r="DB8" i="1"/>
  <c r="DC8" i="1"/>
  <c r="DD8" i="1"/>
  <c r="DE8" i="1"/>
  <c r="DF8" i="1"/>
  <c r="DG8" i="1"/>
  <c r="DH8" i="1"/>
  <c r="CL9" i="1"/>
  <c r="CM9" i="1"/>
  <c r="CN9" i="1"/>
  <c r="CO9" i="1"/>
  <c r="CP9" i="1"/>
  <c r="CQ9" i="1"/>
  <c r="CR9" i="1"/>
  <c r="CS9" i="1"/>
  <c r="CT9" i="1"/>
  <c r="CU9" i="1"/>
  <c r="CV9" i="1"/>
  <c r="CW9" i="1"/>
  <c r="CX9" i="1"/>
  <c r="CY9" i="1"/>
  <c r="CZ9" i="1"/>
  <c r="DA9" i="1"/>
  <c r="DB9" i="1"/>
  <c r="DC9" i="1"/>
  <c r="DD9" i="1"/>
  <c r="DE9" i="1"/>
  <c r="DF9" i="1"/>
  <c r="DG9" i="1"/>
  <c r="DH9" i="1"/>
  <c r="CL10" i="1"/>
  <c r="CM10" i="1"/>
  <c r="CN10" i="1"/>
  <c r="CO10" i="1"/>
  <c r="CP10" i="1"/>
  <c r="CQ10" i="1"/>
  <c r="CR10" i="1"/>
  <c r="CS10" i="1"/>
  <c r="CT10" i="1"/>
  <c r="CU10" i="1"/>
  <c r="CV10" i="1"/>
  <c r="CW10" i="1"/>
  <c r="CX10" i="1"/>
  <c r="CY10" i="1"/>
  <c r="CZ10" i="1"/>
  <c r="DA10" i="1"/>
  <c r="DB10" i="1"/>
  <c r="DC10" i="1"/>
  <c r="DD10" i="1"/>
  <c r="DE10" i="1"/>
  <c r="DF10" i="1"/>
  <c r="DG10" i="1"/>
  <c r="DH10" i="1"/>
  <c r="CL11" i="1"/>
  <c r="CM11" i="1"/>
  <c r="CN11" i="1"/>
  <c r="CO11" i="1"/>
  <c r="CP11" i="1"/>
  <c r="CQ11" i="1"/>
  <c r="CR11" i="1"/>
  <c r="CS11" i="1"/>
  <c r="CT11" i="1"/>
  <c r="CU11" i="1"/>
  <c r="CV11" i="1"/>
  <c r="CW11" i="1"/>
  <c r="CX11" i="1"/>
  <c r="CY11" i="1"/>
  <c r="CZ11" i="1"/>
  <c r="DA11" i="1"/>
  <c r="DB11" i="1"/>
  <c r="DC11" i="1"/>
  <c r="DD11" i="1"/>
  <c r="DE11" i="1"/>
  <c r="DF11" i="1"/>
  <c r="DG11" i="1"/>
  <c r="DH11" i="1"/>
  <c r="CL12" i="1"/>
  <c r="CM12" i="1"/>
  <c r="CN12" i="1"/>
  <c r="CO12" i="1"/>
  <c r="CP12" i="1"/>
  <c r="CQ12" i="1"/>
  <c r="CR12" i="1"/>
  <c r="CS12" i="1"/>
  <c r="CT12" i="1"/>
  <c r="CU12" i="1"/>
  <c r="CV12" i="1"/>
  <c r="CW12" i="1"/>
  <c r="CX12" i="1"/>
  <c r="CY12" i="1"/>
  <c r="CZ12" i="1"/>
  <c r="DA12" i="1"/>
  <c r="DB12" i="1"/>
  <c r="DC12" i="1"/>
  <c r="DD12" i="1"/>
  <c r="DE12" i="1"/>
  <c r="DF12" i="1"/>
  <c r="DG12" i="1"/>
  <c r="DH12" i="1"/>
  <c r="CL13" i="1"/>
  <c r="CM13" i="1"/>
  <c r="CN13" i="1"/>
  <c r="CO13" i="1"/>
  <c r="CP13" i="1"/>
  <c r="CQ13" i="1"/>
  <c r="CR13" i="1"/>
  <c r="CS13" i="1"/>
  <c r="CT13" i="1"/>
  <c r="CU13" i="1"/>
  <c r="CV13" i="1"/>
  <c r="CW13" i="1"/>
  <c r="CX13" i="1"/>
  <c r="CY13" i="1"/>
  <c r="CZ13" i="1"/>
  <c r="DA13" i="1"/>
  <c r="DB13" i="1"/>
  <c r="DC13" i="1"/>
  <c r="DD13" i="1"/>
  <c r="DE13" i="1"/>
  <c r="DF13" i="1"/>
  <c r="DG13" i="1"/>
  <c r="DH13" i="1"/>
  <c r="CL14" i="1"/>
  <c r="CM14" i="1"/>
  <c r="CN14" i="1"/>
  <c r="CO14" i="1"/>
  <c r="CP14" i="1"/>
  <c r="CQ14" i="1"/>
  <c r="CR14" i="1"/>
  <c r="CS14" i="1"/>
  <c r="CT14" i="1"/>
  <c r="CU14" i="1"/>
  <c r="CV14" i="1"/>
  <c r="CW14" i="1"/>
  <c r="CX14" i="1"/>
  <c r="CY14" i="1"/>
  <c r="CZ14" i="1"/>
  <c r="DA14" i="1"/>
  <c r="DB14" i="1"/>
  <c r="DC14" i="1"/>
  <c r="DD14" i="1"/>
  <c r="DE14" i="1"/>
  <c r="DF14" i="1"/>
  <c r="DG14" i="1"/>
  <c r="DH14" i="1"/>
  <c r="CL15" i="1"/>
  <c r="CM15" i="1"/>
  <c r="CN15" i="1"/>
  <c r="CO15" i="1"/>
  <c r="CP15" i="1"/>
  <c r="CQ15" i="1"/>
  <c r="CR15" i="1"/>
  <c r="CS15" i="1"/>
  <c r="CT15" i="1"/>
  <c r="CU15" i="1"/>
  <c r="CV15" i="1"/>
  <c r="CW15" i="1"/>
  <c r="CX15" i="1"/>
  <c r="CY15" i="1"/>
  <c r="CZ15" i="1"/>
  <c r="DA15" i="1"/>
  <c r="DB15" i="1"/>
  <c r="DC15" i="1"/>
  <c r="DD15" i="1"/>
  <c r="DE15" i="1"/>
  <c r="DF15" i="1"/>
  <c r="DG15" i="1"/>
  <c r="DH15" i="1"/>
  <c r="CL16" i="1"/>
  <c r="CM16" i="1"/>
  <c r="CN16" i="1"/>
  <c r="CO16" i="1"/>
  <c r="CP16" i="1"/>
  <c r="CQ16" i="1"/>
  <c r="CR16" i="1"/>
  <c r="CS16" i="1"/>
  <c r="CT16" i="1"/>
  <c r="CU16" i="1"/>
  <c r="CV16" i="1"/>
  <c r="CW16" i="1"/>
  <c r="CX16" i="1"/>
  <c r="CY16" i="1"/>
  <c r="CZ16" i="1"/>
  <c r="DA16" i="1"/>
  <c r="DB16" i="1"/>
  <c r="DC16" i="1"/>
  <c r="DD16" i="1"/>
  <c r="DE16" i="1"/>
  <c r="DF16" i="1"/>
  <c r="DG16" i="1"/>
  <c r="DH16" i="1"/>
  <c r="CL17" i="1"/>
  <c r="CM17" i="1"/>
  <c r="CN17" i="1"/>
  <c r="CO17" i="1"/>
  <c r="CP17" i="1"/>
  <c r="CQ17" i="1"/>
  <c r="CR17" i="1"/>
  <c r="CS17" i="1"/>
  <c r="CT17" i="1"/>
  <c r="CU17" i="1"/>
  <c r="CV17" i="1"/>
  <c r="CW17" i="1"/>
  <c r="CX17" i="1"/>
  <c r="CY17" i="1"/>
  <c r="CZ17" i="1"/>
  <c r="DA17" i="1"/>
  <c r="DB17" i="1"/>
  <c r="DC17" i="1"/>
  <c r="DD17" i="1"/>
  <c r="DE17" i="1"/>
  <c r="DF17" i="1"/>
  <c r="DG17" i="1"/>
  <c r="DH17" i="1"/>
  <c r="CL18" i="1"/>
  <c r="CM18" i="1"/>
  <c r="CN18" i="1"/>
  <c r="CO18" i="1"/>
  <c r="CP18" i="1"/>
  <c r="CQ18" i="1"/>
  <c r="CR18" i="1"/>
  <c r="CS18" i="1"/>
  <c r="CT18" i="1"/>
  <c r="CU18" i="1"/>
  <c r="CV18" i="1"/>
  <c r="CW18" i="1"/>
  <c r="CX18" i="1"/>
  <c r="CY18" i="1"/>
  <c r="CZ18" i="1"/>
  <c r="DA18" i="1"/>
  <c r="DB18" i="1"/>
  <c r="DC18" i="1"/>
  <c r="DD18" i="1"/>
  <c r="DE18" i="1"/>
  <c r="DF18" i="1"/>
  <c r="DG18" i="1"/>
  <c r="DH18" i="1"/>
  <c r="CL19" i="1"/>
  <c r="CM19" i="1"/>
  <c r="CN19" i="1"/>
  <c r="CO19" i="1"/>
  <c r="CP19" i="1"/>
  <c r="CQ19" i="1"/>
  <c r="CR19" i="1"/>
  <c r="CS19" i="1"/>
  <c r="CT19" i="1"/>
  <c r="CU19" i="1"/>
  <c r="CV19" i="1"/>
  <c r="CW19" i="1"/>
  <c r="CX19" i="1"/>
  <c r="CY19" i="1"/>
  <c r="CZ19" i="1"/>
  <c r="DA19" i="1"/>
  <c r="DB19" i="1"/>
  <c r="DC19" i="1"/>
  <c r="DD19" i="1"/>
  <c r="DE19" i="1"/>
  <c r="DF19" i="1"/>
  <c r="DG19" i="1"/>
  <c r="DH19" i="1"/>
  <c r="CL20" i="1"/>
  <c r="CM20" i="1"/>
  <c r="CN20" i="1"/>
  <c r="CO20" i="1"/>
  <c r="CP20" i="1"/>
  <c r="CQ20" i="1"/>
  <c r="CR20" i="1"/>
  <c r="CS20" i="1"/>
  <c r="CT20" i="1"/>
  <c r="CU20" i="1"/>
  <c r="CV20" i="1"/>
  <c r="CW20" i="1"/>
  <c r="CX20" i="1"/>
  <c r="CY20" i="1"/>
  <c r="CZ20" i="1"/>
  <c r="DA20" i="1"/>
  <c r="DB20" i="1"/>
  <c r="DC20" i="1"/>
  <c r="DD20" i="1"/>
  <c r="DE20" i="1"/>
  <c r="DF20" i="1"/>
  <c r="DG20" i="1"/>
  <c r="DH20" i="1"/>
  <c r="CL21" i="1"/>
  <c r="CM21" i="1"/>
  <c r="CN21" i="1"/>
  <c r="CO21" i="1"/>
  <c r="CP21" i="1"/>
  <c r="CQ21" i="1"/>
  <c r="CR21" i="1"/>
  <c r="CS21" i="1"/>
  <c r="CT21" i="1"/>
  <c r="CU21" i="1"/>
  <c r="CV21" i="1"/>
  <c r="CW21" i="1"/>
  <c r="CX21" i="1"/>
  <c r="CY21" i="1"/>
  <c r="CZ21" i="1"/>
  <c r="DA21" i="1"/>
  <c r="DB21" i="1"/>
  <c r="DC21" i="1"/>
  <c r="DD21" i="1"/>
  <c r="DE21" i="1"/>
  <c r="DF21" i="1"/>
  <c r="DG21" i="1"/>
  <c r="DH21" i="1"/>
  <c r="CL22" i="1"/>
  <c r="CM22" i="1"/>
  <c r="CN22" i="1"/>
  <c r="CO22" i="1"/>
  <c r="CP22" i="1"/>
  <c r="CQ22" i="1"/>
  <c r="CR22" i="1"/>
  <c r="CS22" i="1"/>
  <c r="CT22" i="1"/>
  <c r="CU22" i="1"/>
  <c r="CV22" i="1"/>
  <c r="CW22" i="1"/>
  <c r="CX22" i="1"/>
  <c r="CY22" i="1"/>
  <c r="CZ22" i="1"/>
  <c r="DA22" i="1"/>
  <c r="DB22" i="1"/>
  <c r="DC22" i="1"/>
  <c r="DD22" i="1"/>
  <c r="DE22" i="1"/>
  <c r="DF22" i="1"/>
  <c r="DG22" i="1"/>
  <c r="DH22" i="1"/>
  <c r="CL23" i="1"/>
  <c r="CM23" i="1"/>
  <c r="CN23" i="1"/>
  <c r="CO23" i="1"/>
  <c r="CP23" i="1"/>
  <c r="CQ23" i="1"/>
  <c r="CR23" i="1"/>
  <c r="CS23" i="1"/>
  <c r="CT23" i="1"/>
  <c r="CU23" i="1"/>
  <c r="CV23" i="1"/>
  <c r="CW23" i="1"/>
  <c r="CX23" i="1"/>
  <c r="CY23" i="1"/>
  <c r="CZ23" i="1"/>
  <c r="DA23" i="1"/>
  <c r="DB23" i="1"/>
  <c r="DC23" i="1"/>
  <c r="DD23" i="1"/>
  <c r="DE23" i="1"/>
  <c r="DF23" i="1"/>
  <c r="DG23" i="1"/>
  <c r="DH23" i="1"/>
  <c r="CL24" i="1"/>
  <c r="CM24" i="1"/>
  <c r="CN24" i="1"/>
  <c r="CO24" i="1"/>
  <c r="CP24" i="1"/>
  <c r="CQ24" i="1"/>
  <c r="CR24" i="1"/>
  <c r="CS24" i="1"/>
  <c r="CT24" i="1"/>
  <c r="CU24" i="1"/>
  <c r="CV24" i="1"/>
  <c r="CW24" i="1"/>
  <c r="CX24" i="1"/>
  <c r="CY24" i="1"/>
  <c r="CZ24" i="1"/>
  <c r="DA24" i="1"/>
  <c r="DB24" i="1"/>
  <c r="DC24" i="1"/>
  <c r="DD24" i="1"/>
  <c r="DE24" i="1"/>
  <c r="DF24" i="1"/>
  <c r="DG24" i="1"/>
  <c r="DH24" i="1"/>
  <c r="CL25" i="1"/>
  <c r="CM25" i="1"/>
  <c r="CN25" i="1"/>
  <c r="CO25" i="1"/>
  <c r="CP25" i="1"/>
  <c r="CQ25" i="1"/>
  <c r="CR25" i="1"/>
  <c r="CS25" i="1"/>
  <c r="CT25" i="1"/>
  <c r="CU25" i="1"/>
  <c r="CV25" i="1"/>
  <c r="CW25" i="1"/>
  <c r="CX25" i="1"/>
  <c r="CY25" i="1"/>
  <c r="CZ25" i="1"/>
  <c r="DA25" i="1"/>
  <c r="DB25" i="1"/>
  <c r="DC25" i="1"/>
  <c r="DD25" i="1"/>
  <c r="DE25" i="1"/>
  <c r="DF25" i="1"/>
  <c r="DG25" i="1"/>
  <c r="DH25" i="1"/>
  <c r="CL26" i="1"/>
  <c r="CM26" i="1"/>
  <c r="CN26" i="1"/>
  <c r="CO26" i="1"/>
  <c r="CP26" i="1"/>
  <c r="CQ26" i="1"/>
  <c r="CR26" i="1"/>
  <c r="CS26" i="1"/>
  <c r="CT26" i="1"/>
  <c r="CU26" i="1"/>
  <c r="CV26" i="1"/>
  <c r="CW26" i="1"/>
  <c r="CX26" i="1"/>
  <c r="CY26" i="1"/>
  <c r="CZ26" i="1"/>
  <c r="DA26" i="1"/>
  <c r="DB26" i="1"/>
  <c r="DC26" i="1"/>
  <c r="DD26" i="1"/>
  <c r="DE26" i="1"/>
  <c r="DF26" i="1"/>
  <c r="DG26" i="1"/>
  <c r="DH26" i="1"/>
  <c r="CL27" i="1"/>
  <c r="CM27" i="1"/>
  <c r="CN27" i="1"/>
  <c r="CO27" i="1"/>
  <c r="CP27" i="1"/>
  <c r="CQ27" i="1"/>
  <c r="CR27" i="1"/>
  <c r="CS27" i="1"/>
  <c r="CT27" i="1"/>
  <c r="CU27" i="1"/>
  <c r="CV27" i="1"/>
  <c r="CW27" i="1"/>
  <c r="CX27" i="1"/>
  <c r="CY27" i="1"/>
  <c r="CZ27" i="1"/>
  <c r="DA27" i="1"/>
  <c r="DB27" i="1"/>
  <c r="DC27" i="1"/>
  <c r="DD27" i="1"/>
  <c r="DE27" i="1"/>
  <c r="DF27" i="1"/>
  <c r="DG27" i="1"/>
  <c r="DH27" i="1"/>
  <c r="CL28" i="1"/>
  <c r="CM28" i="1"/>
  <c r="CN28" i="1"/>
  <c r="CO28" i="1"/>
  <c r="CP28" i="1"/>
  <c r="CQ28" i="1"/>
  <c r="CR28" i="1"/>
  <c r="CS28" i="1"/>
  <c r="CT28" i="1"/>
  <c r="CU28" i="1"/>
  <c r="CV28" i="1"/>
  <c r="CW28" i="1"/>
  <c r="CX28" i="1"/>
  <c r="CY28" i="1"/>
  <c r="CZ28" i="1"/>
  <c r="DA28" i="1"/>
  <c r="DB28" i="1"/>
  <c r="DC28" i="1"/>
  <c r="DD28" i="1"/>
  <c r="DE28" i="1"/>
  <c r="DF28" i="1"/>
  <c r="DG28" i="1"/>
  <c r="DH28" i="1"/>
  <c r="CL29" i="1"/>
  <c r="CM29" i="1"/>
  <c r="CN29" i="1"/>
  <c r="CO29" i="1"/>
  <c r="CP29" i="1"/>
  <c r="CQ29" i="1"/>
  <c r="CR29" i="1"/>
  <c r="CS29" i="1"/>
  <c r="CT29" i="1"/>
  <c r="CU29" i="1"/>
  <c r="CV29" i="1"/>
  <c r="CW29" i="1"/>
  <c r="CX29" i="1"/>
  <c r="CY29" i="1"/>
  <c r="CZ29" i="1"/>
  <c r="DA29" i="1"/>
  <c r="DB29" i="1"/>
  <c r="DC29" i="1"/>
  <c r="DD29" i="1"/>
  <c r="DE29" i="1"/>
  <c r="DF29" i="1"/>
  <c r="DG29" i="1"/>
  <c r="DH29" i="1"/>
  <c r="CL30" i="1"/>
  <c r="CM30" i="1"/>
  <c r="CN30" i="1"/>
  <c r="CO30" i="1"/>
  <c r="CP30" i="1"/>
  <c r="CQ30" i="1"/>
  <c r="CR30" i="1"/>
  <c r="CS30" i="1"/>
  <c r="CT30" i="1"/>
  <c r="CU30" i="1"/>
  <c r="CV30" i="1"/>
  <c r="CW30" i="1"/>
  <c r="CX30" i="1"/>
  <c r="CY30" i="1"/>
  <c r="CZ30" i="1"/>
  <c r="DA30" i="1"/>
  <c r="DB30" i="1"/>
  <c r="DC30" i="1"/>
  <c r="DD30" i="1"/>
  <c r="DE30" i="1"/>
  <c r="DF30" i="1"/>
  <c r="DG30" i="1"/>
  <c r="DH30" i="1"/>
  <c r="CL31" i="1"/>
  <c r="CM31" i="1"/>
  <c r="CN31" i="1"/>
  <c r="CO31" i="1"/>
  <c r="CP31" i="1"/>
  <c r="CQ31" i="1"/>
  <c r="CR31" i="1"/>
  <c r="CS31" i="1"/>
  <c r="CT31" i="1"/>
  <c r="CU31" i="1"/>
  <c r="CV31" i="1"/>
  <c r="CW31" i="1"/>
  <c r="CX31" i="1"/>
  <c r="CY31" i="1"/>
  <c r="CZ31" i="1"/>
  <c r="DA31" i="1"/>
  <c r="DB31" i="1"/>
  <c r="DC31" i="1"/>
  <c r="DD31" i="1"/>
  <c r="DE31" i="1"/>
  <c r="DF31" i="1"/>
  <c r="DG31" i="1"/>
  <c r="DH31" i="1"/>
  <c r="CL32" i="1"/>
  <c r="CM32" i="1"/>
  <c r="CN32" i="1"/>
  <c r="CO32" i="1"/>
  <c r="CP32" i="1"/>
  <c r="CQ32" i="1"/>
  <c r="CR32" i="1"/>
  <c r="CS32" i="1"/>
  <c r="CT32" i="1"/>
  <c r="CU32" i="1"/>
  <c r="CV32" i="1"/>
  <c r="CW32" i="1"/>
  <c r="CX32" i="1"/>
  <c r="CY32" i="1"/>
  <c r="CZ32" i="1"/>
  <c r="DA32" i="1"/>
  <c r="DB32" i="1"/>
  <c r="DC32" i="1"/>
  <c r="DD32" i="1"/>
  <c r="DE32" i="1"/>
  <c r="DF32" i="1"/>
  <c r="DG32" i="1"/>
  <c r="DH32" i="1"/>
  <c r="CL33" i="1"/>
  <c r="CM33" i="1"/>
  <c r="CN33" i="1"/>
  <c r="CO33" i="1"/>
  <c r="CP33" i="1"/>
  <c r="CQ33" i="1"/>
  <c r="CR33" i="1"/>
  <c r="CS33" i="1"/>
  <c r="CT33" i="1"/>
  <c r="CU33" i="1"/>
  <c r="CV33" i="1"/>
  <c r="CW33" i="1"/>
  <c r="CX33" i="1"/>
  <c r="CY33" i="1"/>
  <c r="CZ33" i="1"/>
  <c r="DA33" i="1"/>
  <c r="DB33" i="1"/>
  <c r="DC33" i="1"/>
  <c r="DD33" i="1"/>
  <c r="DE33" i="1"/>
  <c r="DF33" i="1"/>
  <c r="DG33" i="1"/>
  <c r="DH33" i="1"/>
  <c r="CL34" i="1"/>
  <c r="CM34" i="1"/>
  <c r="CN34" i="1"/>
  <c r="CO34" i="1"/>
  <c r="CP34" i="1"/>
  <c r="CQ34" i="1"/>
  <c r="CR34" i="1"/>
  <c r="CS34" i="1"/>
  <c r="CT34" i="1"/>
  <c r="CU34" i="1"/>
  <c r="CV34" i="1"/>
  <c r="CW34" i="1"/>
  <c r="CX34" i="1"/>
  <c r="CY34" i="1"/>
  <c r="CZ34" i="1"/>
  <c r="DA34" i="1"/>
  <c r="DB34" i="1"/>
  <c r="DC34" i="1"/>
  <c r="DD34" i="1"/>
  <c r="DE34" i="1"/>
  <c r="DF34" i="1"/>
  <c r="DG34" i="1"/>
  <c r="DH34" i="1"/>
  <c r="CL35" i="1"/>
  <c r="CM35" i="1"/>
  <c r="CN35" i="1"/>
  <c r="CO35" i="1"/>
  <c r="CP35" i="1"/>
  <c r="CQ35" i="1"/>
  <c r="CR35" i="1"/>
  <c r="CS35" i="1"/>
  <c r="CT35" i="1"/>
  <c r="CU35" i="1"/>
  <c r="CV35" i="1"/>
  <c r="CW35" i="1"/>
  <c r="CX35" i="1"/>
  <c r="CY35" i="1"/>
  <c r="CZ35" i="1"/>
  <c r="DA35" i="1"/>
  <c r="DB35" i="1"/>
  <c r="DC35" i="1"/>
  <c r="DD35" i="1"/>
  <c r="DE35" i="1"/>
  <c r="DF35" i="1"/>
  <c r="DG35" i="1"/>
  <c r="DH35" i="1"/>
  <c r="CL36" i="1"/>
  <c r="CM36" i="1"/>
  <c r="CN36" i="1"/>
  <c r="CO36" i="1"/>
  <c r="CP36" i="1"/>
  <c r="CQ36" i="1"/>
  <c r="CR36" i="1"/>
  <c r="CS36" i="1"/>
  <c r="CT36" i="1"/>
  <c r="CU36" i="1"/>
  <c r="CV36" i="1"/>
  <c r="CW36" i="1"/>
  <c r="CX36" i="1"/>
  <c r="CY36" i="1"/>
  <c r="CZ36" i="1"/>
  <c r="DA36" i="1"/>
  <c r="DB36" i="1"/>
  <c r="DC36" i="1"/>
  <c r="DD36" i="1"/>
  <c r="DE36" i="1"/>
  <c r="DF36" i="1"/>
  <c r="DG36" i="1"/>
  <c r="DH36" i="1"/>
  <c r="CL37" i="1"/>
  <c r="CM37" i="1"/>
  <c r="CN37" i="1"/>
  <c r="CO37" i="1"/>
  <c r="CP37" i="1"/>
  <c r="CQ37" i="1"/>
  <c r="CR37" i="1"/>
  <c r="CS37" i="1"/>
  <c r="CT37" i="1"/>
  <c r="CU37" i="1"/>
  <c r="CV37" i="1"/>
  <c r="CW37" i="1"/>
  <c r="CX37" i="1"/>
  <c r="CY37" i="1"/>
  <c r="CZ37" i="1"/>
  <c r="DA37" i="1"/>
  <c r="DB37" i="1"/>
  <c r="DC37" i="1"/>
  <c r="DD37" i="1"/>
  <c r="DE37" i="1"/>
  <c r="DF37" i="1"/>
  <c r="DG37" i="1"/>
  <c r="DH37" i="1"/>
  <c r="CL38" i="1"/>
  <c r="CM38" i="1"/>
  <c r="CN38" i="1"/>
  <c r="CO38" i="1"/>
  <c r="CP38" i="1"/>
  <c r="CQ38" i="1"/>
  <c r="CR38" i="1"/>
  <c r="CS38" i="1"/>
  <c r="CT38" i="1"/>
  <c r="CU38" i="1"/>
  <c r="CV38" i="1"/>
  <c r="CW38" i="1"/>
  <c r="CX38" i="1"/>
  <c r="CY38" i="1"/>
  <c r="CZ38" i="1"/>
  <c r="DA38" i="1"/>
  <c r="DB38" i="1"/>
  <c r="DC38" i="1"/>
  <c r="DD38" i="1"/>
  <c r="DE38" i="1"/>
  <c r="DF38" i="1"/>
  <c r="DG38" i="1"/>
  <c r="DH38" i="1"/>
  <c r="CL39" i="1"/>
  <c r="CM39" i="1"/>
  <c r="CN39" i="1"/>
  <c r="CO39" i="1"/>
  <c r="CP39" i="1"/>
  <c r="CQ39" i="1"/>
  <c r="CR39" i="1"/>
  <c r="CS39" i="1"/>
  <c r="CT39" i="1"/>
  <c r="CU39" i="1"/>
  <c r="CV39" i="1"/>
  <c r="CW39" i="1"/>
  <c r="CX39" i="1"/>
  <c r="CY39" i="1"/>
  <c r="CZ39" i="1"/>
  <c r="DA39" i="1"/>
  <c r="DB39" i="1"/>
  <c r="DC39" i="1"/>
  <c r="DD39" i="1"/>
  <c r="DE39" i="1"/>
  <c r="DF39" i="1"/>
  <c r="DG39" i="1"/>
  <c r="DH39" i="1"/>
  <c r="CL40" i="1"/>
  <c r="CM40" i="1"/>
  <c r="CN40" i="1"/>
  <c r="CO40" i="1"/>
  <c r="CP40" i="1"/>
  <c r="CQ40" i="1"/>
  <c r="CR40" i="1"/>
  <c r="CS40" i="1"/>
  <c r="CT40" i="1"/>
  <c r="CU40" i="1"/>
  <c r="CV40" i="1"/>
  <c r="CW40" i="1"/>
  <c r="CX40" i="1"/>
  <c r="CY40" i="1"/>
  <c r="CZ40" i="1"/>
  <c r="DA40" i="1"/>
  <c r="DB40" i="1"/>
  <c r="DC40" i="1"/>
  <c r="DD40" i="1"/>
  <c r="DE40" i="1"/>
  <c r="DF40" i="1"/>
  <c r="DG40" i="1"/>
  <c r="DH40" i="1"/>
  <c r="CL41" i="1"/>
  <c r="CM41" i="1"/>
  <c r="CN41" i="1"/>
  <c r="CO41" i="1"/>
  <c r="CP41" i="1"/>
  <c r="CQ41" i="1"/>
  <c r="CR41" i="1"/>
  <c r="CS41" i="1"/>
  <c r="CT41" i="1"/>
  <c r="CU41" i="1"/>
  <c r="CV41" i="1"/>
  <c r="CW41" i="1"/>
  <c r="CX41" i="1"/>
  <c r="CY41" i="1"/>
  <c r="CZ41" i="1"/>
  <c r="DA41" i="1"/>
  <c r="DB41" i="1"/>
  <c r="DC41" i="1"/>
  <c r="DD41" i="1"/>
  <c r="DE41" i="1"/>
  <c r="DF41" i="1"/>
  <c r="DG41" i="1"/>
  <c r="DH41" i="1"/>
  <c r="CL42" i="1"/>
  <c r="CM42" i="1"/>
  <c r="CN42" i="1"/>
  <c r="CO42" i="1"/>
  <c r="CP42" i="1"/>
  <c r="CQ42" i="1"/>
  <c r="CR42" i="1"/>
  <c r="CS42" i="1"/>
  <c r="CT42" i="1"/>
  <c r="CU42" i="1"/>
  <c r="CV42" i="1"/>
  <c r="CW42" i="1"/>
  <c r="CX42" i="1"/>
  <c r="CY42" i="1"/>
  <c r="CZ42" i="1"/>
  <c r="DA42" i="1"/>
  <c r="DB42" i="1"/>
  <c r="DC42" i="1"/>
  <c r="DD42" i="1"/>
  <c r="DE42" i="1"/>
  <c r="DF42" i="1"/>
  <c r="DG42" i="1"/>
  <c r="DH42" i="1"/>
  <c r="CL43" i="1"/>
  <c r="CM43" i="1"/>
  <c r="CN43" i="1"/>
  <c r="CO43" i="1"/>
  <c r="CP43" i="1"/>
  <c r="CQ43" i="1"/>
  <c r="CR43" i="1"/>
  <c r="CS43" i="1"/>
  <c r="CT43" i="1"/>
  <c r="CU43" i="1"/>
  <c r="CV43" i="1"/>
  <c r="CW43" i="1"/>
  <c r="CX43" i="1"/>
  <c r="CY43" i="1"/>
  <c r="CZ43" i="1"/>
  <c r="DA43" i="1"/>
  <c r="DB43" i="1"/>
  <c r="DC43" i="1"/>
  <c r="DD43" i="1"/>
  <c r="DE43" i="1"/>
  <c r="DF43" i="1"/>
  <c r="DG43" i="1"/>
  <c r="DH43" i="1"/>
  <c r="CL44" i="1"/>
  <c r="CM44" i="1"/>
  <c r="CN44" i="1"/>
  <c r="CO44" i="1"/>
  <c r="CP44" i="1"/>
  <c r="CQ44" i="1"/>
  <c r="CR44" i="1"/>
  <c r="CS44" i="1"/>
  <c r="CT44" i="1"/>
  <c r="CU44" i="1"/>
  <c r="CV44" i="1"/>
  <c r="CW44" i="1"/>
  <c r="CX44" i="1"/>
  <c r="CY44" i="1"/>
  <c r="CZ44" i="1"/>
  <c r="DA44" i="1"/>
  <c r="DB44" i="1"/>
  <c r="DC44" i="1"/>
  <c r="DD44" i="1"/>
  <c r="DE44" i="1"/>
  <c r="DF44" i="1"/>
  <c r="DG44" i="1"/>
  <c r="DH44" i="1"/>
  <c r="CL45" i="1"/>
  <c r="CM45" i="1"/>
  <c r="CN45" i="1"/>
  <c r="CO45" i="1"/>
  <c r="CP45" i="1"/>
  <c r="CQ45" i="1"/>
  <c r="CR45" i="1"/>
  <c r="CS45" i="1"/>
  <c r="CT45" i="1"/>
  <c r="CU45" i="1"/>
  <c r="CV45" i="1"/>
  <c r="CW45" i="1"/>
  <c r="CX45" i="1"/>
  <c r="CY45" i="1"/>
  <c r="CZ45" i="1"/>
  <c r="DA45" i="1"/>
  <c r="DB45" i="1"/>
  <c r="DC45" i="1"/>
  <c r="DD45" i="1"/>
  <c r="DE45" i="1"/>
  <c r="DF45" i="1"/>
  <c r="DG45" i="1"/>
  <c r="DH45" i="1"/>
  <c r="CL46" i="1"/>
  <c r="CM46" i="1"/>
  <c r="CN46" i="1"/>
  <c r="CO46" i="1"/>
  <c r="CP46" i="1"/>
  <c r="CQ46" i="1"/>
  <c r="CR46" i="1"/>
  <c r="CS46" i="1"/>
  <c r="CT46" i="1"/>
  <c r="CU46" i="1"/>
  <c r="CV46" i="1"/>
  <c r="CW46" i="1"/>
  <c r="CX46" i="1"/>
  <c r="CY46" i="1"/>
  <c r="CZ46" i="1"/>
  <c r="DA46" i="1"/>
  <c r="DB46" i="1"/>
  <c r="DC46" i="1"/>
  <c r="DD46" i="1"/>
  <c r="DE46" i="1"/>
  <c r="DF46" i="1"/>
  <c r="DG46" i="1"/>
  <c r="DH46" i="1"/>
  <c r="CL47" i="1"/>
  <c r="CM47" i="1"/>
  <c r="CN47" i="1"/>
  <c r="CO47" i="1"/>
  <c r="CP47" i="1"/>
  <c r="CQ47" i="1"/>
  <c r="CR47" i="1"/>
  <c r="CS47" i="1"/>
  <c r="CT47" i="1"/>
  <c r="CU47" i="1"/>
  <c r="CV47" i="1"/>
  <c r="CW47" i="1"/>
  <c r="CX47" i="1"/>
  <c r="CY47" i="1"/>
  <c r="CZ47" i="1"/>
  <c r="DA47" i="1"/>
  <c r="DB47" i="1"/>
  <c r="DC47" i="1"/>
  <c r="DD47" i="1"/>
  <c r="DE47" i="1"/>
  <c r="DF47" i="1"/>
  <c r="DG47" i="1"/>
  <c r="DH47" i="1"/>
  <c r="CL48" i="1"/>
  <c r="CM48" i="1"/>
  <c r="CN48" i="1"/>
  <c r="CO48" i="1"/>
  <c r="CP48" i="1"/>
  <c r="CQ48" i="1"/>
  <c r="CR48" i="1"/>
  <c r="CS48" i="1"/>
  <c r="CT48" i="1"/>
  <c r="CU48" i="1"/>
  <c r="CV48" i="1"/>
  <c r="CW48" i="1"/>
  <c r="CX48" i="1"/>
  <c r="CY48" i="1"/>
  <c r="CZ48" i="1"/>
  <c r="DA48" i="1"/>
  <c r="DB48" i="1"/>
  <c r="DC48" i="1"/>
  <c r="DD48" i="1"/>
  <c r="DE48" i="1"/>
  <c r="DF48" i="1"/>
  <c r="DG48" i="1"/>
  <c r="DH48" i="1"/>
  <c r="CL49" i="1"/>
  <c r="CM49" i="1"/>
  <c r="CN49" i="1"/>
  <c r="CO49" i="1"/>
  <c r="CP49" i="1"/>
  <c r="CQ49" i="1"/>
  <c r="CR49" i="1"/>
  <c r="CS49" i="1"/>
  <c r="CT49" i="1"/>
  <c r="CU49" i="1"/>
  <c r="CV49" i="1"/>
  <c r="CW49" i="1"/>
  <c r="CX49" i="1"/>
  <c r="CY49" i="1"/>
  <c r="CZ49" i="1"/>
  <c r="DA49" i="1"/>
  <c r="DB49" i="1"/>
  <c r="DC49" i="1"/>
  <c r="DD49" i="1"/>
  <c r="DE49" i="1"/>
  <c r="DF49" i="1"/>
  <c r="DG49" i="1"/>
  <c r="DH49" i="1"/>
  <c r="CL50" i="1"/>
  <c r="CM50" i="1"/>
  <c r="CN50" i="1"/>
  <c r="CO50" i="1"/>
  <c r="CP50" i="1"/>
  <c r="CQ50" i="1"/>
  <c r="CR50" i="1"/>
  <c r="CS50" i="1"/>
  <c r="CT50" i="1"/>
  <c r="CU50" i="1"/>
  <c r="CV50" i="1"/>
  <c r="CW50" i="1"/>
  <c r="CX50" i="1"/>
  <c r="CY50" i="1"/>
  <c r="CZ50" i="1"/>
  <c r="DA50" i="1"/>
  <c r="DB50" i="1"/>
  <c r="DC50" i="1"/>
  <c r="DD50" i="1"/>
  <c r="DE50" i="1"/>
  <c r="DF50" i="1"/>
  <c r="DG50" i="1"/>
  <c r="DH50" i="1"/>
  <c r="CL51" i="1"/>
  <c r="CM51" i="1"/>
  <c r="CN51" i="1"/>
  <c r="CO51" i="1"/>
  <c r="CP51" i="1"/>
  <c r="CQ51" i="1"/>
  <c r="CR51" i="1"/>
  <c r="CS51" i="1"/>
  <c r="CT51" i="1"/>
  <c r="CU51" i="1"/>
  <c r="CV51" i="1"/>
  <c r="CW51" i="1"/>
  <c r="CX51" i="1"/>
  <c r="CY51" i="1"/>
  <c r="CZ51" i="1"/>
  <c r="DA51" i="1"/>
  <c r="DB51" i="1"/>
  <c r="DC51" i="1"/>
  <c r="DD51" i="1"/>
  <c r="DE51" i="1"/>
  <c r="DF51" i="1"/>
  <c r="DG51" i="1"/>
  <c r="DH51" i="1"/>
  <c r="CL52" i="1"/>
  <c r="CM52" i="1"/>
  <c r="CN52" i="1"/>
  <c r="CO52" i="1"/>
  <c r="CP52" i="1"/>
  <c r="CQ52" i="1"/>
  <c r="CR52" i="1"/>
  <c r="CS52" i="1"/>
  <c r="CT52" i="1"/>
  <c r="CU52" i="1"/>
  <c r="CV52" i="1"/>
  <c r="CW52" i="1"/>
  <c r="CX52" i="1"/>
  <c r="CY52" i="1"/>
  <c r="CZ52" i="1"/>
  <c r="DA52" i="1"/>
  <c r="DB52" i="1"/>
  <c r="DC52" i="1"/>
  <c r="DD52" i="1"/>
  <c r="DE52" i="1"/>
  <c r="DF52" i="1"/>
  <c r="DG52" i="1"/>
  <c r="DH52" i="1"/>
  <c r="CL53" i="1"/>
  <c r="CM53" i="1"/>
  <c r="CN53" i="1"/>
  <c r="CO53" i="1"/>
  <c r="CP53" i="1"/>
  <c r="CQ53" i="1"/>
  <c r="CR53" i="1"/>
  <c r="CS53" i="1"/>
  <c r="CT53" i="1"/>
  <c r="CU53" i="1"/>
  <c r="CV53" i="1"/>
  <c r="CW53" i="1"/>
  <c r="CX53" i="1"/>
  <c r="CY53" i="1"/>
  <c r="CZ53" i="1"/>
  <c r="DA53" i="1"/>
  <c r="DB53" i="1"/>
  <c r="DC53" i="1"/>
  <c r="DD53" i="1"/>
  <c r="DE53" i="1"/>
  <c r="DF53" i="1"/>
  <c r="DG53" i="1"/>
  <c r="DH53" i="1"/>
  <c r="CL54" i="1"/>
  <c r="CM54" i="1"/>
  <c r="CN54" i="1"/>
  <c r="CO54" i="1"/>
  <c r="CP54" i="1"/>
  <c r="CQ54" i="1"/>
  <c r="CR54" i="1"/>
  <c r="CS54" i="1"/>
  <c r="CT54" i="1"/>
  <c r="CU54" i="1"/>
  <c r="CV54" i="1"/>
  <c r="CW54" i="1"/>
  <c r="CX54" i="1"/>
  <c r="CY54" i="1"/>
  <c r="CZ54" i="1"/>
  <c r="DA54" i="1"/>
  <c r="DB54" i="1"/>
  <c r="DC54" i="1"/>
  <c r="DD54" i="1"/>
  <c r="DE54" i="1"/>
  <c r="DF54" i="1"/>
  <c r="DG54" i="1"/>
  <c r="DH54" i="1"/>
  <c r="CL55" i="1"/>
  <c r="CM55" i="1"/>
  <c r="CN55" i="1"/>
  <c r="CO55" i="1"/>
  <c r="CP55" i="1"/>
  <c r="CQ55" i="1"/>
  <c r="CR55" i="1"/>
  <c r="CS55" i="1"/>
  <c r="CT55" i="1"/>
  <c r="CU55" i="1"/>
  <c r="CV55" i="1"/>
  <c r="CW55" i="1"/>
  <c r="CX55" i="1"/>
  <c r="CY55" i="1"/>
  <c r="CZ55" i="1"/>
  <c r="DA55" i="1"/>
  <c r="DB55" i="1"/>
  <c r="DC55" i="1"/>
  <c r="DD55" i="1"/>
  <c r="DE55" i="1"/>
  <c r="DF55" i="1"/>
  <c r="DG55" i="1"/>
  <c r="DH55" i="1"/>
  <c r="CL56" i="1"/>
  <c r="CM56" i="1"/>
  <c r="CN56" i="1"/>
  <c r="CO56" i="1"/>
  <c r="CP56" i="1"/>
  <c r="CQ56" i="1"/>
  <c r="CR56" i="1"/>
  <c r="CS56" i="1"/>
  <c r="CT56" i="1"/>
  <c r="CU56" i="1"/>
  <c r="CV56" i="1"/>
  <c r="CW56" i="1"/>
  <c r="CX56" i="1"/>
  <c r="CY56" i="1"/>
  <c r="CZ56" i="1"/>
  <c r="DA56" i="1"/>
  <c r="DB56" i="1"/>
  <c r="DC56" i="1"/>
  <c r="DD56" i="1"/>
  <c r="DE56" i="1"/>
  <c r="DF56" i="1"/>
  <c r="DG56" i="1"/>
  <c r="DH56" i="1"/>
  <c r="CL57" i="1"/>
  <c r="CM57" i="1"/>
  <c r="CN57" i="1"/>
  <c r="CO57" i="1"/>
  <c r="CP57" i="1"/>
  <c r="CQ57" i="1"/>
  <c r="CR57" i="1"/>
  <c r="CS57" i="1"/>
  <c r="CT57" i="1"/>
  <c r="CU57" i="1"/>
  <c r="CV57" i="1"/>
  <c r="CW57" i="1"/>
  <c r="CX57" i="1"/>
  <c r="CY57" i="1"/>
  <c r="CZ57" i="1"/>
  <c r="DA57" i="1"/>
  <c r="DB57" i="1"/>
  <c r="DC57" i="1"/>
  <c r="DD57" i="1"/>
  <c r="DE57" i="1"/>
  <c r="DF57" i="1"/>
  <c r="DG57" i="1"/>
  <c r="DH57" i="1"/>
  <c r="CL58" i="1"/>
  <c r="CM58" i="1"/>
  <c r="CN58" i="1"/>
  <c r="CO58" i="1"/>
  <c r="CP58" i="1"/>
  <c r="CQ58" i="1"/>
  <c r="CR58" i="1"/>
  <c r="CS58" i="1"/>
  <c r="CT58" i="1"/>
  <c r="CU58" i="1"/>
  <c r="CV58" i="1"/>
  <c r="CW58" i="1"/>
  <c r="CX58" i="1"/>
  <c r="CY58" i="1"/>
  <c r="CZ58" i="1"/>
  <c r="DA58" i="1"/>
  <c r="DB58" i="1"/>
  <c r="DC58" i="1"/>
  <c r="DD58" i="1"/>
  <c r="DE58" i="1"/>
  <c r="DF58" i="1"/>
  <c r="DG58" i="1"/>
  <c r="DH58" i="1"/>
  <c r="CL59" i="1"/>
  <c r="CM59" i="1"/>
  <c r="CN59" i="1"/>
  <c r="CO59" i="1"/>
  <c r="CP59" i="1"/>
  <c r="CQ59" i="1"/>
  <c r="CR59" i="1"/>
  <c r="CS59" i="1"/>
  <c r="CT59" i="1"/>
  <c r="CU59" i="1"/>
  <c r="CV59" i="1"/>
  <c r="CW59" i="1"/>
  <c r="CX59" i="1"/>
  <c r="CY59" i="1"/>
  <c r="CZ59" i="1"/>
  <c r="DA59" i="1"/>
  <c r="DB59" i="1"/>
  <c r="DC59" i="1"/>
  <c r="DD59" i="1"/>
  <c r="DE59" i="1"/>
  <c r="DF59" i="1"/>
  <c r="DG59" i="1"/>
  <c r="DH59" i="1"/>
  <c r="CL60" i="1"/>
  <c r="CM60" i="1"/>
  <c r="CN60" i="1"/>
  <c r="CO60" i="1"/>
  <c r="CP60" i="1"/>
  <c r="CQ60" i="1"/>
  <c r="CR60" i="1"/>
  <c r="CS60" i="1"/>
  <c r="CT60" i="1"/>
  <c r="CU60" i="1"/>
  <c r="CV60" i="1"/>
  <c r="CW60" i="1"/>
  <c r="CX60" i="1"/>
  <c r="CY60" i="1"/>
  <c r="CZ60" i="1"/>
  <c r="DA60" i="1"/>
  <c r="DB60" i="1"/>
  <c r="DC60" i="1"/>
  <c r="DD60" i="1"/>
  <c r="DE60" i="1"/>
  <c r="DF60" i="1"/>
  <c r="DG60" i="1"/>
  <c r="DH60" i="1"/>
  <c r="CL61" i="1"/>
  <c r="CM61" i="1"/>
  <c r="CN61" i="1"/>
  <c r="CO61" i="1"/>
  <c r="CP61" i="1"/>
  <c r="CQ61" i="1"/>
  <c r="CR61" i="1"/>
  <c r="CS61" i="1"/>
  <c r="CT61" i="1"/>
  <c r="CU61" i="1"/>
  <c r="CV61" i="1"/>
  <c r="CW61" i="1"/>
  <c r="CX61" i="1"/>
  <c r="CY61" i="1"/>
  <c r="CZ61" i="1"/>
  <c r="DA61" i="1"/>
  <c r="DB61" i="1"/>
  <c r="DC61" i="1"/>
  <c r="DD61" i="1"/>
  <c r="DE61" i="1"/>
  <c r="DF61" i="1"/>
  <c r="DG61" i="1"/>
  <c r="DH61" i="1"/>
  <c r="CL62" i="1"/>
  <c r="CM62" i="1"/>
  <c r="CN62" i="1"/>
  <c r="CO62" i="1"/>
  <c r="CP62" i="1"/>
  <c r="CQ62" i="1"/>
  <c r="CR62" i="1"/>
  <c r="CS62" i="1"/>
  <c r="CT62" i="1"/>
  <c r="CU62" i="1"/>
  <c r="CV62" i="1"/>
  <c r="CW62" i="1"/>
  <c r="CX62" i="1"/>
  <c r="CY62" i="1"/>
  <c r="CZ62" i="1"/>
  <c r="DA62" i="1"/>
  <c r="DB62" i="1"/>
  <c r="DC62" i="1"/>
  <c r="DD62" i="1"/>
  <c r="DE62" i="1"/>
  <c r="DF62" i="1"/>
  <c r="DG62" i="1"/>
  <c r="DH62" i="1"/>
  <c r="CL63" i="1"/>
  <c r="CM63" i="1"/>
  <c r="CN63" i="1"/>
  <c r="CO63" i="1"/>
  <c r="CP63" i="1"/>
  <c r="CQ63" i="1"/>
  <c r="CR63" i="1"/>
  <c r="CS63" i="1"/>
  <c r="CT63" i="1"/>
  <c r="CU63" i="1"/>
  <c r="CV63" i="1"/>
  <c r="CW63" i="1"/>
  <c r="CX63" i="1"/>
  <c r="CY63" i="1"/>
  <c r="CZ63" i="1"/>
  <c r="DA63" i="1"/>
  <c r="DB63" i="1"/>
  <c r="DC63" i="1"/>
  <c r="DD63" i="1"/>
  <c r="DE63" i="1"/>
  <c r="DF63" i="1"/>
  <c r="DG63" i="1"/>
  <c r="DH63" i="1"/>
  <c r="CL64" i="1"/>
  <c r="CM64" i="1"/>
  <c r="CN64" i="1"/>
  <c r="CO64" i="1"/>
  <c r="CP64" i="1"/>
  <c r="CQ64" i="1"/>
  <c r="CR64" i="1"/>
  <c r="CS64" i="1"/>
  <c r="CT64" i="1"/>
  <c r="CU64" i="1"/>
  <c r="CV64" i="1"/>
  <c r="CW64" i="1"/>
  <c r="CX64" i="1"/>
  <c r="CY64" i="1"/>
  <c r="CZ64" i="1"/>
  <c r="DA64" i="1"/>
  <c r="DB64" i="1"/>
  <c r="DC64" i="1"/>
  <c r="DD64" i="1"/>
  <c r="DE64" i="1"/>
  <c r="DF64" i="1"/>
  <c r="DG64" i="1"/>
  <c r="DH64" i="1"/>
  <c r="CL65" i="1"/>
  <c r="CM65" i="1"/>
  <c r="CN65" i="1"/>
  <c r="CO65" i="1"/>
  <c r="CP65" i="1"/>
  <c r="CQ65" i="1"/>
  <c r="CR65" i="1"/>
  <c r="CS65" i="1"/>
  <c r="CT65" i="1"/>
  <c r="CU65" i="1"/>
  <c r="CV65" i="1"/>
  <c r="CW65" i="1"/>
  <c r="CX65" i="1"/>
  <c r="CY65" i="1"/>
  <c r="CZ65" i="1"/>
  <c r="DA65" i="1"/>
  <c r="DB65" i="1"/>
  <c r="DC65" i="1"/>
  <c r="DD65" i="1"/>
  <c r="DE65" i="1"/>
  <c r="DF65" i="1"/>
  <c r="DG65" i="1"/>
  <c r="DH65" i="1"/>
  <c r="CL66" i="1"/>
  <c r="CM66" i="1"/>
  <c r="CN66" i="1"/>
  <c r="CO66" i="1"/>
  <c r="CP66" i="1"/>
  <c r="CQ66" i="1"/>
  <c r="CR66" i="1"/>
  <c r="CS66" i="1"/>
  <c r="CT66" i="1"/>
  <c r="CU66" i="1"/>
  <c r="CV66" i="1"/>
  <c r="CW66" i="1"/>
  <c r="CX66" i="1"/>
  <c r="CY66" i="1"/>
  <c r="CZ66" i="1"/>
  <c r="DA66" i="1"/>
  <c r="DB66" i="1"/>
  <c r="DC66" i="1"/>
  <c r="DD66" i="1"/>
  <c r="DE66" i="1"/>
  <c r="DF66" i="1"/>
  <c r="DG66" i="1"/>
  <c r="DH66" i="1"/>
  <c r="CL67" i="1"/>
  <c r="CM67" i="1"/>
  <c r="CN67" i="1"/>
  <c r="CO67" i="1"/>
  <c r="CP67" i="1"/>
  <c r="CQ67" i="1"/>
  <c r="CR67" i="1"/>
  <c r="CS67" i="1"/>
  <c r="CT67" i="1"/>
  <c r="CU67" i="1"/>
  <c r="CV67" i="1"/>
  <c r="CW67" i="1"/>
  <c r="CX67" i="1"/>
  <c r="CY67" i="1"/>
  <c r="CZ67" i="1"/>
  <c r="DA67" i="1"/>
  <c r="DB67" i="1"/>
  <c r="DC67" i="1"/>
  <c r="DD67" i="1"/>
  <c r="DE67" i="1"/>
  <c r="DF67" i="1"/>
  <c r="DG67" i="1"/>
  <c r="DH67" i="1"/>
  <c r="CL68" i="1"/>
  <c r="CM68" i="1"/>
  <c r="CN68" i="1"/>
  <c r="CO68" i="1"/>
  <c r="CP68" i="1"/>
  <c r="CQ68" i="1"/>
  <c r="CR68" i="1"/>
  <c r="CS68" i="1"/>
  <c r="CT68" i="1"/>
  <c r="CU68" i="1"/>
  <c r="CV68" i="1"/>
  <c r="CW68" i="1"/>
  <c r="CX68" i="1"/>
  <c r="CY68" i="1"/>
  <c r="CZ68" i="1"/>
  <c r="DA68" i="1"/>
  <c r="DB68" i="1"/>
  <c r="DC68" i="1"/>
  <c r="DD68" i="1"/>
  <c r="DE68" i="1"/>
  <c r="DF68" i="1"/>
  <c r="DG68" i="1"/>
  <c r="DH68" i="1"/>
  <c r="CL69" i="1"/>
  <c r="CM69" i="1"/>
  <c r="CN69" i="1"/>
  <c r="CO69" i="1"/>
  <c r="CP69" i="1"/>
  <c r="CQ69" i="1"/>
  <c r="CR69" i="1"/>
  <c r="CS69" i="1"/>
  <c r="CT69" i="1"/>
  <c r="CU69" i="1"/>
  <c r="CV69" i="1"/>
  <c r="CW69" i="1"/>
  <c r="CX69" i="1"/>
  <c r="CY69" i="1"/>
  <c r="CZ69" i="1"/>
  <c r="DA69" i="1"/>
  <c r="DB69" i="1"/>
  <c r="DC69" i="1"/>
  <c r="DD69" i="1"/>
  <c r="DE69" i="1"/>
  <c r="DF69" i="1"/>
  <c r="DG69" i="1"/>
  <c r="DH69" i="1"/>
  <c r="CL70" i="1"/>
  <c r="CM70" i="1"/>
  <c r="CN70" i="1"/>
  <c r="CO70" i="1"/>
  <c r="CP70" i="1"/>
  <c r="CQ70" i="1"/>
  <c r="CR70" i="1"/>
  <c r="CS70" i="1"/>
  <c r="CT70" i="1"/>
  <c r="CU70" i="1"/>
  <c r="CV70" i="1"/>
  <c r="CW70" i="1"/>
  <c r="CX70" i="1"/>
  <c r="CY70" i="1"/>
  <c r="CZ70" i="1"/>
  <c r="DA70" i="1"/>
  <c r="DB70" i="1"/>
  <c r="DC70" i="1"/>
  <c r="DD70" i="1"/>
  <c r="DE70" i="1"/>
  <c r="DF70" i="1"/>
  <c r="DG70" i="1"/>
  <c r="DH70" i="1"/>
  <c r="CL71" i="1"/>
  <c r="CM71" i="1"/>
  <c r="CN71" i="1"/>
  <c r="CO71" i="1"/>
  <c r="CP71" i="1"/>
  <c r="CQ71" i="1"/>
  <c r="CR71" i="1"/>
  <c r="CS71" i="1"/>
  <c r="CT71" i="1"/>
  <c r="CU71" i="1"/>
  <c r="CV71" i="1"/>
  <c r="CW71" i="1"/>
  <c r="CX71" i="1"/>
  <c r="CY71" i="1"/>
  <c r="CZ71" i="1"/>
  <c r="DA71" i="1"/>
  <c r="DB71" i="1"/>
  <c r="DC71" i="1"/>
  <c r="DD71" i="1"/>
  <c r="DE71" i="1"/>
  <c r="DF71" i="1"/>
  <c r="DG71" i="1"/>
  <c r="DH71" i="1"/>
  <c r="CL72" i="1"/>
  <c r="CM72" i="1"/>
  <c r="CN72" i="1"/>
  <c r="CO72" i="1"/>
  <c r="CP72" i="1"/>
  <c r="CQ72" i="1"/>
  <c r="CR72" i="1"/>
  <c r="CS72" i="1"/>
  <c r="CT72" i="1"/>
  <c r="CU72" i="1"/>
  <c r="CV72" i="1"/>
  <c r="CW72" i="1"/>
  <c r="CX72" i="1"/>
  <c r="CY72" i="1"/>
  <c r="CZ72" i="1"/>
  <c r="DA72" i="1"/>
  <c r="DB72" i="1"/>
  <c r="DC72" i="1"/>
  <c r="DD72" i="1"/>
  <c r="DE72" i="1"/>
  <c r="DF72" i="1"/>
  <c r="DG72" i="1"/>
  <c r="DH72" i="1"/>
  <c r="CL73" i="1"/>
  <c r="CM73" i="1"/>
  <c r="CN73" i="1"/>
  <c r="CO73" i="1"/>
  <c r="CP73" i="1"/>
  <c r="CQ73" i="1"/>
  <c r="CR73" i="1"/>
  <c r="CS73" i="1"/>
  <c r="CT73" i="1"/>
  <c r="CU73" i="1"/>
  <c r="CV73" i="1"/>
  <c r="CW73" i="1"/>
  <c r="CX73" i="1"/>
  <c r="CY73" i="1"/>
  <c r="CZ73" i="1"/>
  <c r="DA73" i="1"/>
  <c r="DB73" i="1"/>
  <c r="DC73" i="1"/>
  <c r="DD73" i="1"/>
  <c r="DE73" i="1"/>
  <c r="DF73" i="1"/>
  <c r="DG73" i="1"/>
  <c r="DH73" i="1"/>
  <c r="CL74" i="1"/>
  <c r="CM74" i="1"/>
  <c r="CN74" i="1"/>
  <c r="CO74" i="1"/>
  <c r="CP74" i="1"/>
  <c r="CQ74" i="1"/>
  <c r="CR74" i="1"/>
  <c r="CS74" i="1"/>
  <c r="CT74" i="1"/>
  <c r="CU74" i="1"/>
  <c r="CV74" i="1"/>
  <c r="CW74" i="1"/>
  <c r="CX74" i="1"/>
  <c r="CY74" i="1"/>
  <c r="CZ74" i="1"/>
  <c r="DA74" i="1"/>
  <c r="DB74" i="1"/>
  <c r="DC74" i="1"/>
  <c r="DD74" i="1"/>
  <c r="DE74" i="1"/>
  <c r="DF74" i="1"/>
  <c r="DG74" i="1"/>
  <c r="DH74" i="1"/>
  <c r="CL75" i="1"/>
  <c r="CM75" i="1"/>
  <c r="CN75" i="1"/>
  <c r="CO75" i="1"/>
  <c r="CP75" i="1"/>
  <c r="CQ75" i="1"/>
  <c r="CR75" i="1"/>
  <c r="CS75" i="1"/>
  <c r="CT75" i="1"/>
  <c r="CU75" i="1"/>
  <c r="CV75" i="1"/>
  <c r="CW75" i="1"/>
  <c r="CX75" i="1"/>
  <c r="CY75" i="1"/>
  <c r="CZ75" i="1"/>
  <c r="DA75" i="1"/>
  <c r="DB75" i="1"/>
  <c r="DC75" i="1"/>
  <c r="DD75" i="1"/>
  <c r="DE75" i="1"/>
  <c r="DF75" i="1"/>
  <c r="DG75" i="1"/>
  <c r="DH75" i="1"/>
  <c r="CL76" i="1"/>
  <c r="CM76" i="1"/>
  <c r="CN76" i="1"/>
  <c r="CO76" i="1"/>
  <c r="CP76" i="1"/>
  <c r="CQ76" i="1"/>
  <c r="CR76" i="1"/>
  <c r="CS76" i="1"/>
  <c r="CT76" i="1"/>
  <c r="CU76" i="1"/>
  <c r="CV76" i="1"/>
  <c r="CW76" i="1"/>
  <c r="CX76" i="1"/>
  <c r="CY76" i="1"/>
  <c r="CZ76" i="1"/>
  <c r="DA76" i="1"/>
  <c r="DB76" i="1"/>
  <c r="DC76" i="1"/>
  <c r="DD76" i="1"/>
  <c r="DE76" i="1"/>
  <c r="DF76" i="1"/>
  <c r="DG76" i="1"/>
  <c r="DH76" i="1"/>
  <c r="CL77" i="1"/>
  <c r="CM77" i="1"/>
  <c r="CN77" i="1"/>
  <c r="CO77" i="1"/>
  <c r="CP77" i="1"/>
  <c r="CQ77" i="1"/>
  <c r="CR77" i="1"/>
  <c r="CS77" i="1"/>
  <c r="CT77" i="1"/>
  <c r="CU77" i="1"/>
  <c r="CV77" i="1"/>
  <c r="CW77" i="1"/>
  <c r="CX77" i="1"/>
  <c r="CY77" i="1"/>
  <c r="CZ77" i="1"/>
  <c r="DA77" i="1"/>
  <c r="DB77" i="1"/>
  <c r="DC77" i="1"/>
  <c r="DD77" i="1"/>
  <c r="DE77" i="1"/>
  <c r="DF77" i="1"/>
  <c r="DG77" i="1"/>
  <c r="DH77" i="1"/>
  <c r="CL78" i="1"/>
  <c r="CM78" i="1"/>
  <c r="CN78" i="1"/>
  <c r="CO78" i="1"/>
  <c r="CP78" i="1"/>
  <c r="CQ78" i="1"/>
  <c r="CR78" i="1"/>
  <c r="CS78" i="1"/>
  <c r="CT78" i="1"/>
  <c r="CU78" i="1"/>
  <c r="CV78" i="1"/>
  <c r="CW78" i="1"/>
  <c r="CX78" i="1"/>
  <c r="CY78" i="1"/>
  <c r="CZ78" i="1"/>
  <c r="DA78" i="1"/>
  <c r="DB78" i="1"/>
  <c r="DC78" i="1"/>
  <c r="DD78" i="1"/>
  <c r="DE78" i="1"/>
  <c r="DF78" i="1"/>
  <c r="DG78" i="1"/>
  <c r="DH78" i="1"/>
  <c r="CL79" i="1"/>
  <c r="CM79" i="1"/>
  <c r="CN79" i="1"/>
  <c r="CO79" i="1"/>
  <c r="CP79" i="1"/>
  <c r="CQ79" i="1"/>
  <c r="CR79" i="1"/>
  <c r="CS79" i="1"/>
  <c r="CT79" i="1"/>
  <c r="CU79" i="1"/>
  <c r="CV79" i="1"/>
  <c r="CW79" i="1"/>
  <c r="CX79" i="1"/>
  <c r="CY79" i="1"/>
  <c r="CZ79" i="1"/>
  <c r="DA79" i="1"/>
  <c r="DB79" i="1"/>
  <c r="DC79" i="1"/>
  <c r="DD79" i="1"/>
  <c r="DE79" i="1"/>
  <c r="DF79" i="1"/>
  <c r="DG79" i="1"/>
  <c r="DH79" i="1"/>
  <c r="CL80" i="1"/>
  <c r="CM80" i="1"/>
  <c r="CN80" i="1"/>
  <c r="CO80" i="1"/>
  <c r="CP80" i="1"/>
  <c r="CQ80" i="1"/>
  <c r="CR80" i="1"/>
  <c r="CS80" i="1"/>
  <c r="CT80" i="1"/>
  <c r="CU80" i="1"/>
  <c r="CV80" i="1"/>
  <c r="CW80" i="1"/>
  <c r="CX80" i="1"/>
  <c r="CY80" i="1"/>
  <c r="CZ80" i="1"/>
  <c r="DA80" i="1"/>
  <c r="DB80" i="1"/>
  <c r="DC80" i="1"/>
  <c r="DD80" i="1"/>
  <c r="DE80" i="1"/>
  <c r="DF80" i="1"/>
  <c r="DG80" i="1"/>
  <c r="DH80" i="1"/>
  <c r="CL81" i="1"/>
  <c r="CM81" i="1"/>
  <c r="CN81" i="1"/>
  <c r="CO81" i="1"/>
  <c r="CP81" i="1"/>
  <c r="CQ81" i="1"/>
  <c r="CR81" i="1"/>
  <c r="CS81" i="1"/>
  <c r="CT81" i="1"/>
  <c r="CU81" i="1"/>
  <c r="CV81" i="1"/>
  <c r="CW81" i="1"/>
  <c r="CX81" i="1"/>
  <c r="CY81" i="1"/>
  <c r="CZ81" i="1"/>
  <c r="DA81" i="1"/>
  <c r="DB81" i="1"/>
  <c r="DC81" i="1"/>
  <c r="DD81" i="1"/>
  <c r="DE81" i="1"/>
  <c r="DF81" i="1"/>
  <c r="DG81" i="1"/>
  <c r="DH81" i="1"/>
  <c r="CL82" i="1"/>
  <c r="CM82" i="1"/>
  <c r="CN82" i="1"/>
  <c r="CO82" i="1"/>
  <c r="CP82" i="1"/>
  <c r="CQ82" i="1"/>
  <c r="CR82" i="1"/>
  <c r="CS82" i="1"/>
  <c r="CT82" i="1"/>
  <c r="CU82" i="1"/>
  <c r="CV82" i="1"/>
  <c r="CW82" i="1"/>
  <c r="CX82" i="1"/>
  <c r="CY82" i="1"/>
  <c r="CZ82" i="1"/>
  <c r="DA82" i="1"/>
  <c r="DB82" i="1"/>
  <c r="DC82" i="1"/>
  <c r="DD82" i="1"/>
  <c r="DE82" i="1"/>
  <c r="DF82" i="1"/>
  <c r="DG82" i="1"/>
  <c r="DH82" i="1"/>
  <c r="CL83" i="1"/>
  <c r="CM83" i="1"/>
  <c r="CN83" i="1"/>
  <c r="CO83" i="1"/>
  <c r="CP83" i="1"/>
  <c r="CQ83" i="1"/>
  <c r="CR83" i="1"/>
  <c r="CS83" i="1"/>
  <c r="CT83" i="1"/>
  <c r="CU83" i="1"/>
  <c r="CV83" i="1"/>
  <c r="CW83" i="1"/>
  <c r="CX83" i="1"/>
  <c r="CY83" i="1"/>
  <c r="CZ83" i="1"/>
  <c r="DA83" i="1"/>
  <c r="DB83" i="1"/>
  <c r="DC83" i="1"/>
  <c r="DD83" i="1"/>
  <c r="DE83" i="1"/>
  <c r="DF83" i="1"/>
  <c r="DG83" i="1"/>
  <c r="DH83" i="1"/>
  <c r="CL84" i="1"/>
  <c r="CM84" i="1"/>
  <c r="CN84" i="1"/>
  <c r="CO84" i="1"/>
  <c r="CP84" i="1"/>
  <c r="CQ84" i="1"/>
  <c r="CR84" i="1"/>
  <c r="CS84" i="1"/>
  <c r="CT84" i="1"/>
  <c r="CU84" i="1"/>
  <c r="CV84" i="1"/>
  <c r="CW84" i="1"/>
  <c r="CX84" i="1"/>
  <c r="CY84" i="1"/>
  <c r="CZ84" i="1"/>
  <c r="DA84" i="1"/>
  <c r="DB84" i="1"/>
  <c r="DC84" i="1"/>
  <c r="DD84" i="1"/>
  <c r="DE84" i="1"/>
  <c r="DF84" i="1"/>
  <c r="DG84" i="1"/>
  <c r="DH84" i="1"/>
  <c r="CL85" i="1"/>
  <c r="CM85" i="1"/>
  <c r="CN85" i="1"/>
  <c r="CO85" i="1"/>
  <c r="CP85" i="1"/>
  <c r="CQ85" i="1"/>
  <c r="CR85" i="1"/>
  <c r="CS85" i="1"/>
  <c r="CT85" i="1"/>
  <c r="CU85" i="1"/>
  <c r="CV85" i="1"/>
  <c r="CW85" i="1"/>
  <c r="CX85" i="1"/>
  <c r="CY85" i="1"/>
  <c r="CZ85" i="1"/>
  <c r="DA85" i="1"/>
  <c r="DB85" i="1"/>
  <c r="DC85" i="1"/>
  <c r="DD85" i="1"/>
  <c r="DE85" i="1"/>
  <c r="DF85" i="1"/>
  <c r="DG85" i="1"/>
  <c r="DH85" i="1"/>
  <c r="CL86" i="1"/>
  <c r="CM86" i="1"/>
  <c r="CN86" i="1"/>
  <c r="CO86" i="1"/>
  <c r="CP86" i="1"/>
  <c r="CQ86" i="1"/>
  <c r="CR86" i="1"/>
  <c r="CS86" i="1"/>
  <c r="CT86" i="1"/>
  <c r="CU86" i="1"/>
  <c r="CV86" i="1"/>
  <c r="CW86" i="1"/>
  <c r="CX86" i="1"/>
  <c r="CY86" i="1"/>
  <c r="CZ86" i="1"/>
  <c r="DA86" i="1"/>
  <c r="DB86" i="1"/>
  <c r="DC86" i="1"/>
  <c r="DD86" i="1"/>
  <c r="DE86" i="1"/>
  <c r="DF86" i="1"/>
  <c r="DG86" i="1"/>
  <c r="DH86" i="1"/>
  <c r="CL87" i="1"/>
  <c r="CM87" i="1"/>
  <c r="CN87" i="1"/>
  <c r="CO87" i="1"/>
  <c r="CP87" i="1"/>
  <c r="CQ87" i="1"/>
  <c r="CR87" i="1"/>
  <c r="CS87" i="1"/>
  <c r="CT87" i="1"/>
  <c r="CU87" i="1"/>
  <c r="CV87" i="1"/>
  <c r="CW87" i="1"/>
  <c r="CX87" i="1"/>
  <c r="CY87" i="1"/>
  <c r="CZ87" i="1"/>
  <c r="DA87" i="1"/>
  <c r="DB87" i="1"/>
  <c r="DC87" i="1"/>
  <c r="DD87" i="1"/>
  <c r="DE87" i="1"/>
  <c r="DF87" i="1"/>
  <c r="DG87" i="1"/>
  <c r="DH87" i="1"/>
  <c r="CL88" i="1"/>
  <c r="CM88" i="1"/>
  <c r="CN88" i="1"/>
  <c r="CO88" i="1"/>
  <c r="CP88" i="1"/>
  <c r="CQ88" i="1"/>
  <c r="CR88" i="1"/>
  <c r="CS88" i="1"/>
  <c r="CT88" i="1"/>
  <c r="CU88" i="1"/>
  <c r="CV88" i="1"/>
  <c r="CW88" i="1"/>
  <c r="CX88" i="1"/>
  <c r="CY88" i="1"/>
  <c r="CZ88" i="1"/>
  <c r="DA88" i="1"/>
  <c r="DB88" i="1"/>
  <c r="DC88" i="1"/>
  <c r="DD88" i="1"/>
  <c r="DE88" i="1"/>
  <c r="DF88" i="1"/>
  <c r="DG88" i="1"/>
  <c r="DH88" i="1"/>
  <c r="CL89" i="1"/>
  <c r="CM89" i="1"/>
  <c r="CN89" i="1"/>
  <c r="CO89" i="1"/>
  <c r="CP89" i="1"/>
  <c r="CQ89" i="1"/>
  <c r="CR89" i="1"/>
  <c r="CS89" i="1"/>
  <c r="CT89" i="1"/>
  <c r="CU89" i="1"/>
  <c r="CV89" i="1"/>
  <c r="CW89" i="1"/>
  <c r="CX89" i="1"/>
  <c r="CY89" i="1"/>
  <c r="CZ89" i="1"/>
  <c r="DA89" i="1"/>
  <c r="DB89" i="1"/>
  <c r="DC89" i="1"/>
  <c r="DD89" i="1"/>
  <c r="DE89" i="1"/>
  <c r="DF89" i="1"/>
  <c r="DG89" i="1"/>
  <c r="DH89" i="1"/>
  <c r="CL90" i="1"/>
  <c r="CM90" i="1"/>
  <c r="CN90" i="1"/>
  <c r="CO90" i="1"/>
  <c r="CP90" i="1"/>
  <c r="CQ90" i="1"/>
  <c r="CR90" i="1"/>
  <c r="CS90" i="1"/>
  <c r="CT90" i="1"/>
  <c r="CU90" i="1"/>
  <c r="CV90" i="1"/>
  <c r="CW90" i="1"/>
  <c r="CX90" i="1"/>
  <c r="CY90" i="1"/>
  <c r="CZ90" i="1"/>
  <c r="DA90" i="1"/>
  <c r="DB90" i="1"/>
  <c r="DC90" i="1"/>
  <c r="DD90" i="1"/>
  <c r="DE90" i="1"/>
  <c r="DF90" i="1"/>
  <c r="DG90" i="1"/>
  <c r="DH90" i="1"/>
  <c r="CL91" i="1"/>
  <c r="CM91" i="1"/>
  <c r="CN91" i="1"/>
  <c r="CO91" i="1"/>
  <c r="CP91" i="1"/>
  <c r="CQ91" i="1"/>
  <c r="CR91" i="1"/>
  <c r="CS91" i="1"/>
  <c r="CT91" i="1"/>
  <c r="CU91" i="1"/>
  <c r="CV91" i="1"/>
  <c r="CW91" i="1"/>
  <c r="CX91" i="1"/>
  <c r="CY91" i="1"/>
  <c r="CZ91" i="1"/>
  <c r="DA91" i="1"/>
  <c r="DB91" i="1"/>
  <c r="DC91" i="1"/>
  <c r="DD91" i="1"/>
  <c r="DE91" i="1"/>
  <c r="DF91" i="1"/>
  <c r="DG91" i="1"/>
  <c r="DH91" i="1"/>
  <c r="CL92" i="1"/>
  <c r="CM92" i="1"/>
  <c r="CN92" i="1"/>
  <c r="CO92" i="1"/>
  <c r="CP92" i="1"/>
  <c r="CQ92" i="1"/>
  <c r="CR92" i="1"/>
  <c r="CS92" i="1"/>
  <c r="CT92" i="1"/>
  <c r="CU92" i="1"/>
  <c r="CV92" i="1"/>
  <c r="CW92" i="1"/>
  <c r="CX92" i="1"/>
  <c r="CY92" i="1"/>
  <c r="CZ92" i="1"/>
  <c r="DA92" i="1"/>
  <c r="DB92" i="1"/>
  <c r="DC92" i="1"/>
  <c r="DD92" i="1"/>
  <c r="DE92" i="1"/>
  <c r="DF92" i="1"/>
  <c r="DG92" i="1"/>
  <c r="DH92" i="1"/>
  <c r="CL93" i="1"/>
  <c r="CM93" i="1"/>
  <c r="CN93" i="1"/>
  <c r="CO93" i="1"/>
  <c r="CP93" i="1"/>
  <c r="CQ93" i="1"/>
  <c r="CR93" i="1"/>
  <c r="CS93" i="1"/>
  <c r="CT93" i="1"/>
  <c r="CU93" i="1"/>
  <c r="CV93" i="1"/>
  <c r="CW93" i="1"/>
  <c r="CX93" i="1"/>
  <c r="CY93" i="1"/>
  <c r="CZ93" i="1"/>
  <c r="DA93" i="1"/>
  <c r="DB93" i="1"/>
  <c r="DC93" i="1"/>
  <c r="DD93" i="1"/>
  <c r="DE93" i="1"/>
  <c r="DF93" i="1"/>
  <c r="DG93" i="1"/>
  <c r="DH93" i="1"/>
  <c r="CL94" i="1"/>
  <c r="CM94" i="1"/>
  <c r="CN94" i="1"/>
  <c r="CO94" i="1"/>
  <c r="CP94" i="1"/>
  <c r="CQ94" i="1"/>
  <c r="CR94" i="1"/>
  <c r="CS94" i="1"/>
  <c r="CT94" i="1"/>
  <c r="CU94" i="1"/>
  <c r="CV94" i="1"/>
  <c r="CW94" i="1"/>
  <c r="CX94" i="1"/>
  <c r="CY94" i="1"/>
  <c r="CZ94" i="1"/>
  <c r="DA94" i="1"/>
  <c r="DB94" i="1"/>
  <c r="DC94" i="1"/>
  <c r="DD94" i="1"/>
  <c r="DE94" i="1"/>
  <c r="DF94" i="1"/>
  <c r="DG94" i="1"/>
  <c r="DH94" i="1"/>
  <c r="CL95" i="1"/>
  <c r="CM95" i="1"/>
  <c r="CN95" i="1"/>
  <c r="CO95" i="1"/>
  <c r="CP95" i="1"/>
  <c r="CQ95" i="1"/>
  <c r="CR95" i="1"/>
  <c r="CS95" i="1"/>
  <c r="CT95" i="1"/>
  <c r="CU95" i="1"/>
  <c r="CV95" i="1"/>
  <c r="CW95" i="1"/>
  <c r="CX95" i="1"/>
  <c r="CY95" i="1"/>
  <c r="CZ95" i="1"/>
  <c r="DA95" i="1"/>
  <c r="DB95" i="1"/>
  <c r="DC95" i="1"/>
  <c r="DD95" i="1"/>
  <c r="DE95" i="1"/>
  <c r="DF95" i="1"/>
  <c r="DG95" i="1"/>
  <c r="DH95" i="1"/>
  <c r="CL96" i="1"/>
  <c r="CM96" i="1"/>
  <c r="CN96" i="1"/>
  <c r="CO96" i="1"/>
  <c r="CP96" i="1"/>
  <c r="CQ96" i="1"/>
  <c r="CR96" i="1"/>
  <c r="CS96" i="1"/>
  <c r="CT96" i="1"/>
  <c r="CU96" i="1"/>
  <c r="CV96" i="1"/>
  <c r="CW96" i="1"/>
  <c r="CX96" i="1"/>
  <c r="CY96" i="1"/>
  <c r="CZ96" i="1"/>
  <c r="DA96" i="1"/>
  <c r="DB96" i="1"/>
  <c r="DC96" i="1"/>
  <c r="DD96" i="1"/>
  <c r="DE96" i="1"/>
  <c r="DF96" i="1"/>
  <c r="DG96" i="1"/>
  <c r="DH96" i="1"/>
  <c r="CL97" i="1"/>
  <c r="CM97" i="1"/>
  <c r="CN97" i="1"/>
  <c r="CO97" i="1"/>
  <c r="CP97" i="1"/>
  <c r="CQ97" i="1"/>
  <c r="CR97" i="1"/>
  <c r="CS97" i="1"/>
  <c r="CT97" i="1"/>
  <c r="CU97" i="1"/>
  <c r="CV97" i="1"/>
  <c r="CW97" i="1"/>
  <c r="CX97" i="1"/>
  <c r="CY97" i="1"/>
  <c r="CZ97" i="1"/>
  <c r="DA97" i="1"/>
  <c r="DB97" i="1"/>
  <c r="DC97" i="1"/>
  <c r="DD97" i="1"/>
  <c r="DE97" i="1"/>
  <c r="DF97" i="1"/>
  <c r="DG97" i="1"/>
  <c r="DH97" i="1"/>
  <c r="CL98" i="1"/>
  <c r="CM98" i="1"/>
  <c r="CN98" i="1"/>
  <c r="CO98" i="1"/>
  <c r="CP98" i="1"/>
  <c r="CQ98" i="1"/>
  <c r="CR98" i="1"/>
  <c r="CS98" i="1"/>
  <c r="CT98" i="1"/>
  <c r="CU98" i="1"/>
  <c r="CV98" i="1"/>
  <c r="CW98" i="1"/>
  <c r="CX98" i="1"/>
  <c r="CY98" i="1"/>
  <c r="CZ98" i="1"/>
  <c r="DA98" i="1"/>
  <c r="DB98" i="1"/>
  <c r="DC98" i="1"/>
  <c r="DD98" i="1"/>
  <c r="DE98" i="1"/>
  <c r="DF98" i="1"/>
  <c r="DG98" i="1"/>
  <c r="DH98" i="1"/>
  <c r="CL99" i="1"/>
  <c r="CM99" i="1"/>
  <c r="CN99" i="1"/>
  <c r="CO99" i="1"/>
  <c r="CP99" i="1"/>
  <c r="CQ99" i="1"/>
  <c r="CR99" i="1"/>
  <c r="CS99" i="1"/>
  <c r="CT99" i="1"/>
  <c r="CU99" i="1"/>
  <c r="CV99" i="1"/>
  <c r="CW99" i="1"/>
  <c r="CX99" i="1"/>
  <c r="CY99" i="1"/>
  <c r="CZ99" i="1"/>
  <c r="DA99" i="1"/>
  <c r="DB99" i="1"/>
  <c r="DC99" i="1"/>
  <c r="DD99" i="1"/>
  <c r="DE99" i="1"/>
  <c r="DF99" i="1"/>
  <c r="DG99" i="1"/>
  <c r="DH99" i="1"/>
  <c r="CL100" i="1"/>
  <c r="CM100" i="1"/>
  <c r="CN100" i="1"/>
  <c r="CO100" i="1"/>
  <c r="CP100" i="1"/>
  <c r="CQ100" i="1"/>
  <c r="CR100" i="1"/>
  <c r="CS100" i="1"/>
  <c r="CT100" i="1"/>
  <c r="CU100" i="1"/>
  <c r="CV100" i="1"/>
  <c r="CW100" i="1"/>
  <c r="CX100" i="1"/>
  <c r="CY100" i="1"/>
  <c r="CZ100" i="1"/>
  <c r="DA100" i="1"/>
  <c r="DB100" i="1"/>
  <c r="DC100" i="1"/>
  <c r="DD100" i="1"/>
  <c r="DE100" i="1"/>
  <c r="DF100" i="1"/>
  <c r="DG100" i="1"/>
  <c r="DH100" i="1"/>
  <c r="CL101" i="1"/>
  <c r="CM101" i="1"/>
  <c r="CN101" i="1"/>
  <c r="CO101" i="1"/>
  <c r="CP101" i="1"/>
  <c r="CQ101" i="1"/>
  <c r="CR101" i="1"/>
  <c r="CS101" i="1"/>
  <c r="CT101" i="1"/>
  <c r="CU101" i="1"/>
  <c r="CV101" i="1"/>
  <c r="CW101" i="1"/>
  <c r="CX101" i="1"/>
  <c r="CY101" i="1"/>
  <c r="CZ101" i="1"/>
  <c r="DA101" i="1"/>
  <c r="DB101" i="1"/>
  <c r="DC101" i="1"/>
  <c r="DD101" i="1"/>
  <c r="DE101" i="1"/>
  <c r="DF101" i="1"/>
  <c r="DG101" i="1"/>
  <c r="DH101" i="1"/>
  <c r="CL102" i="1"/>
  <c r="CM102" i="1"/>
  <c r="CN102" i="1"/>
  <c r="CO102" i="1"/>
  <c r="CP102" i="1"/>
  <c r="CQ102" i="1"/>
  <c r="CR102" i="1"/>
  <c r="CS102" i="1"/>
  <c r="CT102" i="1"/>
  <c r="CU102" i="1"/>
  <c r="CV102" i="1"/>
  <c r="CW102" i="1"/>
  <c r="CX102" i="1"/>
  <c r="CY102" i="1"/>
  <c r="CZ102" i="1"/>
  <c r="DA102" i="1"/>
  <c r="DB102" i="1"/>
  <c r="DC102" i="1"/>
  <c r="DD102" i="1"/>
  <c r="DE102" i="1"/>
  <c r="DF102" i="1"/>
  <c r="DG102" i="1"/>
  <c r="DH102" i="1"/>
  <c r="CL103" i="1"/>
  <c r="CM103" i="1"/>
  <c r="CN103" i="1"/>
  <c r="CO103" i="1"/>
  <c r="CP103" i="1"/>
  <c r="CQ103" i="1"/>
  <c r="CR103" i="1"/>
  <c r="CS103" i="1"/>
  <c r="CT103" i="1"/>
  <c r="CU103" i="1"/>
  <c r="CV103" i="1"/>
  <c r="CW103" i="1"/>
  <c r="CX103" i="1"/>
  <c r="CY103" i="1"/>
  <c r="CZ103" i="1"/>
  <c r="DA103" i="1"/>
  <c r="DB103" i="1"/>
  <c r="DC103" i="1"/>
  <c r="DD103" i="1"/>
  <c r="DE103" i="1"/>
  <c r="DF103" i="1"/>
  <c r="DG103" i="1"/>
  <c r="DH103" i="1"/>
  <c r="CL104" i="1"/>
  <c r="CM104" i="1"/>
  <c r="CN104" i="1"/>
  <c r="CO104" i="1"/>
  <c r="CP104" i="1"/>
  <c r="CQ104" i="1"/>
  <c r="CR104" i="1"/>
  <c r="CS104" i="1"/>
  <c r="CT104" i="1"/>
  <c r="CU104" i="1"/>
  <c r="CV104" i="1"/>
  <c r="CW104" i="1"/>
  <c r="CX104" i="1"/>
  <c r="CY104" i="1"/>
  <c r="CZ104" i="1"/>
  <c r="DA104" i="1"/>
  <c r="DB104" i="1"/>
  <c r="DC104" i="1"/>
  <c r="DD104" i="1"/>
  <c r="DE104" i="1"/>
  <c r="DF104" i="1"/>
  <c r="DG104" i="1"/>
  <c r="DH104" i="1"/>
  <c r="CL105" i="1"/>
  <c r="CM105" i="1"/>
  <c r="CN105" i="1"/>
  <c r="CO105" i="1"/>
  <c r="CP105" i="1"/>
  <c r="CQ105" i="1"/>
  <c r="CR105" i="1"/>
  <c r="CS105" i="1"/>
  <c r="CT105" i="1"/>
  <c r="CU105" i="1"/>
  <c r="CV105" i="1"/>
  <c r="CW105" i="1"/>
  <c r="CX105" i="1"/>
  <c r="CY105" i="1"/>
  <c r="CZ105" i="1"/>
  <c r="DA105" i="1"/>
  <c r="DB105" i="1"/>
  <c r="DC105" i="1"/>
  <c r="DD105" i="1"/>
  <c r="DE105" i="1"/>
  <c r="DF105" i="1"/>
  <c r="DG105" i="1"/>
  <c r="DH105" i="1"/>
  <c r="CL106" i="1"/>
  <c r="CM106" i="1"/>
  <c r="CN106" i="1"/>
  <c r="CO106" i="1"/>
  <c r="CP106" i="1"/>
  <c r="CQ106" i="1"/>
  <c r="CR106" i="1"/>
  <c r="CS106" i="1"/>
  <c r="CT106" i="1"/>
  <c r="CU106" i="1"/>
  <c r="CV106" i="1"/>
  <c r="CW106" i="1"/>
  <c r="CX106" i="1"/>
  <c r="CY106" i="1"/>
  <c r="CZ106" i="1"/>
  <c r="DA106" i="1"/>
  <c r="DB106" i="1"/>
  <c r="DC106" i="1"/>
  <c r="DD106" i="1"/>
  <c r="DE106" i="1"/>
  <c r="DF106" i="1"/>
  <c r="DG106" i="1"/>
  <c r="DH106" i="1"/>
  <c r="CL107" i="1"/>
  <c r="CM107" i="1"/>
  <c r="CN107" i="1"/>
  <c r="CO107" i="1"/>
  <c r="CP107" i="1"/>
  <c r="CQ107" i="1"/>
  <c r="CR107" i="1"/>
  <c r="CS107" i="1"/>
  <c r="CT107" i="1"/>
  <c r="CU107" i="1"/>
  <c r="CV107" i="1"/>
  <c r="CW107" i="1"/>
  <c r="CX107" i="1"/>
  <c r="CY107" i="1"/>
  <c r="CZ107" i="1"/>
  <c r="DA107" i="1"/>
  <c r="DB107" i="1"/>
  <c r="DC107" i="1"/>
  <c r="DD107" i="1"/>
  <c r="DE107" i="1"/>
  <c r="DF107" i="1"/>
  <c r="DG107" i="1"/>
  <c r="DH107" i="1"/>
  <c r="CL108" i="1"/>
  <c r="CM108" i="1"/>
  <c r="CN108" i="1"/>
  <c r="CO108" i="1"/>
  <c r="CP108" i="1"/>
  <c r="CQ108" i="1"/>
  <c r="CR108" i="1"/>
  <c r="CS108" i="1"/>
  <c r="CT108" i="1"/>
  <c r="CU108" i="1"/>
  <c r="CV108" i="1"/>
  <c r="CW108" i="1"/>
  <c r="CX108" i="1"/>
  <c r="CY108" i="1"/>
  <c r="CZ108" i="1"/>
  <c r="DA108" i="1"/>
  <c r="DB108" i="1"/>
  <c r="DC108" i="1"/>
  <c r="DD108" i="1"/>
  <c r="DE108" i="1"/>
  <c r="DF108" i="1"/>
  <c r="DG108" i="1"/>
  <c r="DH108" i="1"/>
  <c r="CL109" i="1"/>
  <c r="CM109" i="1"/>
  <c r="CN109" i="1"/>
  <c r="CO109" i="1"/>
  <c r="CP109" i="1"/>
  <c r="CQ109" i="1"/>
  <c r="CR109" i="1"/>
  <c r="CS109" i="1"/>
  <c r="CT109" i="1"/>
  <c r="CU109" i="1"/>
  <c r="CV109" i="1"/>
  <c r="CW109" i="1"/>
  <c r="CX109" i="1"/>
  <c r="CY109" i="1"/>
  <c r="CZ109" i="1"/>
  <c r="DA109" i="1"/>
  <c r="DB109" i="1"/>
  <c r="DC109" i="1"/>
  <c r="DD109" i="1"/>
  <c r="DE109" i="1"/>
  <c r="DF109" i="1"/>
  <c r="DG109" i="1"/>
  <c r="DH109" i="1"/>
  <c r="CL110" i="1"/>
  <c r="CM110" i="1"/>
  <c r="CN110" i="1"/>
  <c r="CO110" i="1"/>
  <c r="CP110" i="1"/>
  <c r="CQ110" i="1"/>
  <c r="CR110" i="1"/>
  <c r="CS110" i="1"/>
  <c r="CT110" i="1"/>
  <c r="CU110" i="1"/>
  <c r="CV110" i="1"/>
  <c r="CW110" i="1"/>
  <c r="CX110" i="1"/>
  <c r="CY110" i="1"/>
  <c r="CZ110" i="1"/>
  <c r="DA110" i="1"/>
  <c r="DB110" i="1"/>
  <c r="DC110" i="1"/>
  <c r="DD110" i="1"/>
  <c r="DE110" i="1"/>
  <c r="DF110" i="1"/>
  <c r="DG110" i="1"/>
  <c r="DH110" i="1"/>
  <c r="CL111" i="1"/>
  <c r="CM111" i="1"/>
  <c r="CN111" i="1"/>
  <c r="CO111" i="1"/>
  <c r="CP111" i="1"/>
  <c r="CQ111" i="1"/>
  <c r="CR111" i="1"/>
  <c r="CS111" i="1"/>
  <c r="CT111" i="1"/>
  <c r="CU111" i="1"/>
  <c r="CV111" i="1"/>
  <c r="CW111" i="1"/>
  <c r="CX111" i="1"/>
  <c r="CY111" i="1"/>
  <c r="CZ111" i="1"/>
  <c r="DA111" i="1"/>
  <c r="DB111" i="1"/>
  <c r="DC111" i="1"/>
  <c r="DD111" i="1"/>
  <c r="DE111" i="1"/>
  <c r="DF111" i="1"/>
  <c r="DG111" i="1"/>
  <c r="DH111" i="1"/>
  <c r="CL112" i="1"/>
  <c r="CM112" i="1"/>
  <c r="CN112" i="1"/>
  <c r="CO112" i="1"/>
  <c r="CP112" i="1"/>
  <c r="CQ112" i="1"/>
  <c r="CR112" i="1"/>
  <c r="CS112" i="1"/>
  <c r="CT112" i="1"/>
  <c r="CU112" i="1"/>
  <c r="CV112" i="1"/>
  <c r="CW112" i="1"/>
  <c r="CX112" i="1"/>
  <c r="CY112" i="1"/>
  <c r="CZ112" i="1"/>
  <c r="DA112" i="1"/>
  <c r="DB112" i="1"/>
  <c r="DC112" i="1"/>
  <c r="DD112" i="1"/>
  <c r="DE112" i="1"/>
  <c r="DF112" i="1"/>
  <c r="DG112" i="1"/>
  <c r="DH112" i="1"/>
  <c r="CL113" i="1"/>
  <c r="CM113" i="1"/>
  <c r="CN113" i="1"/>
  <c r="CO113" i="1"/>
  <c r="CP113" i="1"/>
  <c r="CQ113" i="1"/>
  <c r="CR113" i="1"/>
  <c r="CS113" i="1"/>
  <c r="CT113" i="1"/>
  <c r="CU113" i="1"/>
  <c r="CV113" i="1"/>
  <c r="CW113" i="1"/>
  <c r="CX113" i="1"/>
  <c r="CY113" i="1"/>
  <c r="CZ113" i="1"/>
  <c r="DA113" i="1"/>
  <c r="DB113" i="1"/>
  <c r="DC113" i="1"/>
  <c r="DD113" i="1"/>
  <c r="DE113" i="1"/>
  <c r="DF113" i="1"/>
  <c r="DG113" i="1"/>
  <c r="DH113" i="1"/>
  <c r="CL114" i="1"/>
  <c r="CM114" i="1"/>
  <c r="CN114" i="1"/>
  <c r="CO114" i="1"/>
  <c r="CP114" i="1"/>
  <c r="CQ114" i="1"/>
  <c r="CR114" i="1"/>
  <c r="CS114" i="1"/>
  <c r="CT114" i="1"/>
  <c r="CU114" i="1"/>
  <c r="CV114" i="1"/>
  <c r="CW114" i="1"/>
  <c r="CX114" i="1"/>
  <c r="CY114" i="1"/>
  <c r="CZ114" i="1"/>
  <c r="DA114" i="1"/>
  <c r="DB114" i="1"/>
  <c r="DC114" i="1"/>
  <c r="DD114" i="1"/>
  <c r="DE114" i="1"/>
  <c r="DF114" i="1"/>
  <c r="DG114" i="1"/>
  <c r="DH114" i="1"/>
  <c r="CL115" i="1"/>
  <c r="CM115" i="1"/>
  <c r="CN115" i="1"/>
  <c r="CO115" i="1"/>
  <c r="CP115" i="1"/>
  <c r="CQ115" i="1"/>
  <c r="CR115" i="1"/>
  <c r="CS115" i="1"/>
  <c r="CT115" i="1"/>
  <c r="CU115" i="1"/>
  <c r="CV115" i="1"/>
  <c r="CW115" i="1"/>
  <c r="CX115" i="1"/>
  <c r="CY115" i="1"/>
  <c r="CZ115" i="1"/>
  <c r="DA115" i="1"/>
  <c r="DB115" i="1"/>
  <c r="DC115" i="1"/>
  <c r="DD115" i="1"/>
  <c r="DE115" i="1"/>
  <c r="DF115" i="1"/>
  <c r="DG115" i="1"/>
  <c r="DH115" i="1"/>
  <c r="CL116" i="1"/>
  <c r="CM116" i="1"/>
  <c r="CN116" i="1"/>
  <c r="CO116" i="1"/>
  <c r="CP116" i="1"/>
  <c r="CQ116" i="1"/>
  <c r="CR116" i="1"/>
  <c r="CS116" i="1"/>
  <c r="CT116" i="1"/>
  <c r="CU116" i="1"/>
  <c r="CV116" i="1"/>
  <c r="CW116" i="1"/>
  <c r="CX116" i="1"/>
  <c r="CY116" i="1"/>
  <c r="CZ116" i="1"/>
  <c r="DA116" i="1"/>
  <c r="DB116" i="1"/>
  <c r="DC116" i="1"/>
  <c r="DD116" i="1"/>
  <c r="DE116" i="1"/>
  <c r="DF116" i="1"/>
  <c r="DG116" i="1"/>
  <c r="DH116" i="1"/>
  <c r="CL117" i="1"/>
  <c r="CM117" i="1"/>
  <c r="CN117" i="1"/>
  <c r="CO117" i="1"/>
  <c r="CP117" i="1"/>
  <c r="CQ117" i="1"/>
  <c r="CR117" i="1"/>
  <c r="CS117" i="1"/>
  <c r="CT117" i="1"/>
  <c r="CU117" i="1"/>
  <c r="CV117" i="1"/>
  <c r="CW117" i="1"/>
  <c r="CX117" i="1"/>
  <c r="CY117" i="1"/>
  <c r="CZ117" i="1"/>
  <c r="DA117" i="1"/>
  <c r="DB117" i="1"/>
  <c r="DC117" i="1"/>
  <c r="DD117" i="1"/>
  <c r="DE117" i="1"/>
  <c r="DF117" i="1"/>
  <c r="DG117" i="1"/>
  <c r="DH117" i="1"/>
  <c r="CL118" i="1"/>
  <c r="CM118" i="1"/>
  <c r="CN118" i="1"/>
  <c r="CO118" i="1"/>
  <c r="CP118" i="1"/>
  <c r="CQ118" i="1"/>
  <c r="CR118" i="1"/>
  <c r="CS118" i="1"/>
  <c r="CT118" i="1"/>
  <c r="CU118" i="1"/>
  <c r="CV118" i="1"/>
  <c r="CW118" i="1"/>
  <c r="CX118" i="1"/>
  <c r="CY118" i="1"/>
  <c r="CZ118" i="1"/>
  <c r="DA118" i="1"/>
  <c r="DB118" i="1"/>
  <c r="DC118" i="1"/>
  <c r="DD118" i="1"/>
  <c r="DE118" i="1"/>
  <c r="DF118" i="1"/>
  <c r="DG118" i="1"/>
  <c r="DH118" i="1"/>
  <c r="CL119" i="1"/>
  <c r="CM119" i="1"/>
  <c r="CN119" i="1"/>
  <c r="CO119" i="1"/>
  <c r="CP119" i="1"/>
  <c r="CQ119" i="1"/>
  <c r="CR119" i="1"/>
  <c r="CS119" i="1"/>
  <c r="CT119" i="1"/>
  <c r="CU119" i="1"/>
  <c r="CV119" i="1"/>
  <c r="CW119" i="1"/>
  <c r="CX119" i="1"/>
  <c r="CY119" i="1"/>
  <c r="CZ119" i="1"/>
  <c r="DA119" i="1"/>
  <c r="DB119" i="1"/>
  <c r="DC119" i="1"/>
  <c r="DD119" i="1"/>
  <c r="DE119" i="1"/>
  <c r="DF119" i="1"/>
  <c r="DG119" i="1"/>
  <c r="DH119" i="1"/>
  <c r="CL120" i="1"/>
  <c r="CM120" i="1"/>
  <c r="CN120" i="1"/>
  <c r="CO120" i="1"/>
  <c r="CP120" i="1"/>
  <c r="CQ120" i="1"/>
  <c r="CR120" i="1"/>
  <c r="CS120" i="1"/>
  <c r="CT120" i="1"/>
  <c r="CU120" i="1"/>
  <c r="CV120" i="1"/>
  <c r="CW120" i="1"/>
  <c r="CX120" i="1"/>
  <c r="CY120" i="1"/>
  <c r="CZ120" i="1"/>
  <c r="DA120" i="1"/>
  <c r="DB120" i="1"/>
  <c r="DC120" i="1"/>
  <c r="DD120" i="1"/>
  <c r="DE120" i="1"/>
  <c r="DF120" i="1"/>
  <c r="DG120" i="1"/>
  <c r="DH120" i="1"/>
  <c r="CL121" i="1"/>
  <c r="CM121" i="1"/>
  <c r="CN121" i="1"/>
  <c r="CO121" i="1"/>
  <c r="CP121" i="1"/>
  <c r="CQ121" i="1"/>
  <c r="CR121" i="1"/>
  <c r="CS121" i="1"/>
  <c r="CT121" i="1"/>
  <c r="CU121" i="1"/>
  <c r="CV121" i="1"/>
  <c r="CW121" i="1"/>
  <c r="CX121" i="1"/>
  <c r="CY121" i="1"/>
  <c r="CZ121" i="1"/>
  <c r="DA121" i="1"/>
  <c r="DB121" i="1"/>
  <c r="DC121" i="1"/>
  <c r="DD121" i="1"/>
  <c r="DE121" i="1"/>
  <c r="DF121" i="1"/>
  <c r="DG121" i="1"/>
  <c r="DH121" i="1"/>
  <c r="CL122" i="1"/>
  <c r="CM122" i="1"/>
  <c r="CN122" i="1"/>
  <c r="CO122" i="1"/>
  <c r="CP122" i="1"/>
  <c r="CQ122" i="1"/>
  <c r="CR122" i="1"/>
  <c r="CS122" i="1"/>
  <c r="CT122" i="1"/>
  <c r="CU122" i="1"/>
  <c r="CV122" i="1"/>
  <c r="CW122" i="1"/>
  <c r="CX122" i="1"/>
  <c r="CY122" i="1"/>
  <c r="CZ122" i="1"/>
  <c r="DA122" i="1"/>
  <c r="DB122" i="1"/>
  <c r="DC122" i="1"/>
  <c r="DD122" i="1"/>
  <c r="DE122" i="1"/>
  <c r="DF122" i="1"/>
  <c r="DG122" i="1"/>
  <c r="DH122" i="1"/>
  <c r="CL123" i="1"/>
  <c r="CM123" i="1"/>
  <c r="CN123" i="1"/>
  <c r="CO123" i="1"/>
  <c r="CP123" i="1"/>
  <c r="CQ123" i="1"/>
  <c r="CR123" i="1"/>
  <c r="CS123" i="1"/>
  <c r="CT123" i="1"/>
  <c r="CU123" i="1"/>
  <c r="CV123" i="1"/>
  <c r="CW123" i="1"/>
  <c r="CX123" i="1"/>
  <c r="CY123" i="1"/>
  <c r="CZ123" i="1"/>
  <c r="DA123" i="1"/>
  <c r="DB123" i="1"/>
  <c r="DC123" i="1"/>
  <c r="DD123" i="1"/>
  <c r="DE123" i="1"/>
  <c r="DF123" i="1"/>
  <c r="DG123" i="1"/>
  <c r="DH123" i="1"/>
  <c r="CL124" i="1"/>
  <c r="CM124" i="1"/>
  <c r="CN124" i="1"/>
  <c r="CO124" i="1"/>
  <c r="CP124" i="1"/>
  <c r="CQ124" i="1"/>
  <c r="CR124" i="1"/>
  <c r="CS124" i="1"/>
  <c r="CT124" i="1"/>
  <c r="CU124" i="1"/>
  <c r="CV124" i="1"/>
  <c r="CW124" i="1"/>
  <c r="CX124" i="1"/>
  <c r="CY124" i="1"/>
  <c r="CZ124" i="1"/>
  <c r="DA124" i="1"/>
  <c r="DB124" i="1"/>
  <c r="DC124" i="1"/>
  <c r="DD124" i="1"/>
  <c r="DE124" i="1"/>
  <c r="DF124" i="1"/>
  <c r="DG124" i="1"/>
  <c r="DH124" i="1"/>
  <c r="CL125" i="1"/>
  <c r="CM125" i="1"/>
  <c r="CN125" i="1"/>
  <c r="CO125" i="1"/>
  <c r="CP125" i="1"/>
  <c r="CQ125" i="1"/>
  <c r="CR125" i="1"/>
  <c r="CS125" i="1"/>
  <c r="CT125" i="1"/>
  <c r="CU125" i="1"/>
  <c r="CV125" i="1"/>
  <c r="CW125" i="1"/>
  <c r="CX125" i="1"/>
  <c r="CY125" i="1"/>
  <c r="CZ125" i="1"/>
  <c r="DA125" i="1"/>
  <c r="DB125" i="1"/>
  <c r="DC125" i="1"/>
  <c r="DD125" i="1"/>
  <c r="DE125" i="1"/>
  <c r="DF125" i="1"/>
  <c r="DG125" i="1"/>
  <c r="DH125" i="1"/>
  <c r="CL126" i="1"/>
  <c r="CM126" i="1"/>
  <c r="CN126" i="1"/>
  <c r="CO126" i="1"/>
  <c r="CP126" i="1"/>
  <c r="CQ126" i="1"/>
  <c r="CR126" i="1"/>
  <c r="CS126" i="1"/>
  <c r="CT126" i="1"/>
  <c r="CU126" i="1"/>
  <c r="CV126" i="1"/>
  <c r="CW126" i="1"/>
  <c r="CX126" i="1"/>
  <c r="CY126" i="1"/>
  <c r="CZ126" i="1"/>
  <c r="DA126" i="1"/>
  <c r="DB126" i="1"/>
  <c r="DC126" i="1"/>
  <c r="DD126" i="1"/>
  <c r="DE126" i="1"/>
  <c r="DF126" i="1"/>
  <c r="DG126" i="1"/>
  <c r="DH126" i="1"/>
  <c r="CL127" i="1"/>
  <c r="CM127" i="1"/>
  <c r="CN127" i="1"/>
  <c r="CO127" i="1"/>
  <c r="CP127" i="1"/>
  <c r="CQ127" i="1"/>
  <c r="CR127" i="1"/>
  <c r="CS127" i="1"/>
  <c r="CT127" i="1"/>
  <c r="CU127" i="1"/>
  <c r="CV127" i="1"/>
  <c r="CW127" i="1"/>
  <c r="CX127" i="1"/>
  <c r="CY127" i="1"/>
  <c r="CZ127" i="1"/>
  <c r="DA127" i="1"/>
  <c r="DB127" i="1"/>
  <c r="DC127" i="1"/>
  <c r="DD127" i="1"/>
  <c r="DE127" i="1"/>
  <c r="DF127" i="1"/>
  <c r="DG127" i="1"/>
  <c r="DH127" i="1"/>
  <c r="CL128" i="1"/>
  <c r="CM128" i="1"/>
  <c r="CN128" i="1"/>
  <c r="CO128" i="1"/>
  <c r="CP128" i="1"/>
  <c r="CQ128" i="1"/>
  <c r="CR128" i="1"/>
  <c r="CS128" i="1"/>
  <c r="CT128" i="1"/>
  <c r="CU128" i="1"/>
  <c r="CV128" i="1"/>
  <c r="CW128" i="1"/>
  <c r="CX128" i="1"/>
  <c r="CY128" i="1"/>
  <c r="CZ128" i="1"/>
  <c r="DA128" i="1"/>
  <c r="DB128" i="1"/>
  <c r="DC128" i="1"/>
  <c r="DD128" i="1"/>
  <c r="DE128" i="1"/>
  <c r="DF128" i="1"/>
  <c r="DG128" i="1"/>
  <c r="DH128" i="1"/>
  <c r="CL129" i="1"/>
  <c r="CM129" i="1"/>
  <c r="CN129" i="1"/>
  <c r="CO129" i="1"/>
  <c r="CP129" i="1"/>
  <c r="CQ129" i="1"/>
  <c r="CR129" i="1"/>
  <c r="CS129" i="1"/>
  <c r="CT129" i="1"/>
  <c r="CU129" i="1"/>
  <c r="CV129" i="1"/>
  <c r="CW129" i="1"/>
  <c r="CX129" i="1"/>
  <c r="CY129" i="1"/>
  <c r="CZ129" i="1"/>
  <c r="DA129" i="1"/>
  <c r="DB129" i="1"/>
  <c r="DC129" i="1"/>
  <c r="DD129" i="1"/>
  <c r="DE129" i="1"/>
  <c r="DF129" i="1"/>
  <c r="DG129" i="1"/>
  <c r="DH129" i="1"/>
  <c r="CL130" i="1"/>
  <c r="CM130" i="1"/>
  <c r="CN130" i="1"/>
  <c r="CO130" i="1"/>
  <c r="CP130" i="1"/>
  <c r="CQ130" i="1"/>
  <c r="CR130" i="1"/>
  <c r="CS130" i="1"/>
  <c r="CT130" i="1"/>
  <c r="CU130" i="1"/>
  <c r="CV130" i="1"/>
  <c r="CW130" i="1"/>
  <c r="CX130" i="1"/>
  <c r="CY130" i="1"/>
  <c r="CZ130" i="1"/>
  <c r="DA130" i="1"/>
  <c r="DB130" i="1"/>
  <c r="DC130" i="1"/>
  <c r="DD130" i="1"/>
  <c r="DE130" i="1"/>
  <c r="DF130" i="1"/>
  <c r="DG130" i="1"/>
  <c r="DH130" i="1"/>
  <c r="CL131" i="1"/>
  <c r="CM131" i="1"/>
  <c r="CN131" i="1"/>
  <c r="CO131" i="1"/>
  <c r="CP131" i="1"/>
  <c r="CQ131" i="1"/>
  <c r="CR131" i="1"/>
  <c r="CS131" i="1"/>
  <c r="CT131" i="1"/>
  <c r="CU131" i="1"/>
  <c r="CV131" i="1"/>
  <c r="CW131" i="1"/>
  <c r="CX131" i="1"/>
  <c r="CY131" i="1"/>
  <c r="CZ131" i="1"/>
  <c r="DA131" i="1"/>
  <c r="DB131" i="1"/>
  <c r="DC131" i="1"/>
  <c r="DD131" i="1"/>
  <c r="DE131" i="1"/>
  <c r="DF131" i="1"/>
  <c r="DG131" i="1"/>
  <c r="DH131" i="1"/>
  <c r="CL132" i="1"/>
  <c r="CM132" i="1"/>
  <c r="CN132" i="1"/>
  <c r="CO132" i="1"/>
  <c r="CP132" i="1"/>
  <c r="CQ132" i="1"/>
  <c r="CR132" i="1"/>
  <c r="CS132" i="1"/>
  <c r="CT132" i="1"/>
  <c r="CU132" i="1"/>
  <c r="CV132" i="1"/>
  <c r="CW132" i="1"/>
  <c r="CX132" i="1"/>
  <c r="CY132" i="1"/>
  <c r="CZ132" i="1"/>
  <c r="DA132" i="1"/>
  <c r="DB132" i="1"/>
  <c r="DC132" i="1"/>
  <c r="DD132" i="1"/>
  <c r="DE132" i="1"/>
  <c r="DF132" i="1"/>
  <c r="DG132" i="1"/>
  <c r="DH132" i="1"/>
  <c r="CL133" i="1"/>
  <c r="CM133" i="1"/>
  <c r="CN133" i="1"/>
  <c r="CO133" i="1"/>
  <c r="CP133" i="1"/>
  <c r="CQ133" i="1"/>
  <c r="CR133" i="1"/>
  <c r="CS133" i="1"/>
  <c r="CT133" i="1"/>
  <c r="CU133" i="1"/>
  <c r="CV133" i="1"/>
  <c r="CW133" i="1"/>
  <c r="CX133" i="1"/>
  <c r="CY133" i="1"/>
  <c r="CZ133" i="1"/>
  <c r="DA133" i="1"/>
  <c r="DB133" i="1"/>
  <c r="DC133" i="1"/>
  <c r="DD133" i="1"/>
  <c r="DE133" i="1"/>
  <c r="DF133" i="1"/>
  <c r="DG133" i="1"/>
  <c r="DH133" i="1"/>
  <c r="CL134" i="1"/>
  <c r="CM134" i="1"/>
  <c r="CN134" i="1"/>
  <c r="CO134" i="1"/>
  <c r="CP134" i="1"/>
  <c r="CQ134" i="1"/>
  <c r="CR134" i="1"/>
  <c r="CS134" i="1"/>
  <c r="CT134" i="1"/>
  <c r="CU134" i="1"/>
  <c r="CV134" i="1"/>
  <c r="CW134" i="1"/>
  <c r="CX134" i="1"/>
  <c r="CY134" i="1"/>
  <c r="CZ134" i="1"/>
  <c r="DA134" i="1"/>
  <c r="DB134" i="1"/>
  <c r="DC134" i="1"/>
  <c r="DD134" i="1"/>
  <c r="DE134" i="1"/>
  <c r="DF134" i="1"/>
  <c r="DG134" i="1"/>
  <c r="DH134" i="1"/>
  <c r="CL135" i="1"/>
  <c r="CM135" i="1"/>
  <c r="CN135" i="1"/>
  <c r="CO135" i="1"/>
  <c r="CP135" i="1"/>
  <c r="CQ135" i="1"/>
  <c r="CR135" i="1"/>
  <c r="CS135" i="1"/>
  <c r="CT135" i="1"/>
  <c r="CU135" i="1"/>
  <c r="CV135" i="1"/>
  <c r="CW135" i="1"/>
  <c r="CX135" i="1"/>
  <c r="CY135" i="1"/>
  <c r="CZ135" i="1"/>
  <c r="DA135" i="1"/>
  <c r="DB135" i="1"/>
  <c r="DC135" i="1"/>
  <c r="DD135" i="1"/>
  <c r="DE135" i="1"/>
  <c r="DF135" i="1"/>
  <c r="DG135" i="1"/>
  <c r="DH135" i="1"/>
  <c r="CL136" i="1"/>
  <c r="CM136" i="1"/>
  <c r="CN136" i="1"/>
  <c r="CO136" i="1"/>
  <c r="CP136" i="1"/>
  <c r="CQ136" i="1"/>
  <c r="CR136" i="1"/>
  <c r="CS136" i="1"/>
  <c r="CT136" i="1"/>
  <c r="CU136" i="1"/>
  <c r="CV136" i="1"/>
  <c r="CW136" i="1"/>
  <c r="CX136" i="1"/>
  <c r="CY136" i="1"/>
  <c r="CZ136" i="1"/>
  <c r="DA136" i="1"/>
  <c r="DB136" i="1"/>
  <c r="DC136" i="1"/>
  <c r="DD136" i="1"/>
  <c r="DE136" i="1"/>
  <c r="DF136" i="1"/>
  <c r="DG136" i="1"/>
  <c r="DH136" i="1"/>
  <c r="CL137" i="1"/>
  <c r="CM137" i="1"/>
  <c r="CN137" i="1"/>
  <c r="CO137" i="1"/>
  <c r="CP137" i="1"/>
  <c r="CQ137" i="1"/>
  <c r="CR137" i="1"/>
  <c r="CS137" i="1"/>
  <c r="CT137" i="1"/>
  <c r="CU137" i="1"/>
  <c r="CV137" i="1"/>
  <c r="CW137" i="1"/>
  <c r="CX137" i="1"/>
  <c r="CY137" i="1"/>
  <c r="CZ137" i="1"/>
  <c r="DA137" i="1"/>
  <c r="DB137" i="1"/>
  <c r="DC137" i="1"/>
  <c r="DD137" i="1"/>
  <c r="DE137" i="1"/>
  <c r="DF137" i="1"/>
  <c r="DG137" i="1"/>
  <c r="DH137" i="1"/>
  <c r="CL138" i="1"/>
  <c r="CM138" i="1"/>
  <c r="CN138" i="1"/>
  <c r="CO138" i="1"/>
  <c r="CP138" i="1"/>
  <c r="CQ138" i="1"/>
  <c r="CR138" i="1"/>
  <c r="CS138" i="1"/>
  <c r="CT138" i="1"/>
  <c r="CU138" i="1"/>
  <c r="CV138" i="1"/>
  <c r="CW138" i="1"/>
  <c r="CX138" i="1"/>
  <c r="CY138" i="1"/>
  <c r="CZ138" i="1"/>
  <c r="DA138" i="1"/>
  <c r="DB138" i="1"/>
  <c r="DC138" i="1"/>
  <c r="DD138" i="1"/>
  <c r="DE138" i="1"/>
  <c r="DF138" i="1"/>
  <c r="DG138" i="1"/>
  <c r="DH138" i="1"/>
  <c r="CL139" i="1"/>
  <c r="CM139" i="1"/>
  <c r="CN139" i="1"/>
  <c r="CO139" i="1"/>
  <c r="CP139" i="1"/>
  <c r="CQ139" i="1"/>
  <c r="CR139" i="1"/>
  <c r="CS139" i="1"/>
  <c r="CT139" i="1"/>
  <c r="CU139" i="1"/>
  <c r="CV139" i="1"/>
  <c r="CW139" i="1"/>
  <c r="CX139" i="1"/>
  <c r="CY139" i="1"/>
  <c r="CZ139" i="1"/>
  <c r="DA139" i="1"/>
  <c r="DB139" i="1"/>
  <c r="DC139" i="1"/>
  <c r="DD139" i="1"/>
  <c r="DE139" i="1"/>
  <c r="DF139" i="1"/>
  <c r="DG139" i="1"/>
  <c r="DH139" i="1"/>
  <c r="CL140" i="1"/>
  <c r="CM140" i="1"/>
  <c r="CN140" i="1"/>
  <c r="CO140" i="1"/>
  <c r="CP140" i="1"/>
  <c r="CQ140" i="1"/>
  <c r="CR140" i="1"/>
  <c r="CS140" i="1"/>
  <c r="CT140" i="1"/>
  <c r="CU140" i="1"/>
  <c r="CV140" i="1"/>
  <c r="CW140" i="1"/>
  <c r="CX140" i="1"/>
  <c r="CY140" i="1"/>
  <c r="CZ140" i="1"/>
  <c r="DA140" i="1"/>
  <c r="DB140" i="1"/>
  <c r="DC140" i="1"/>
  <c r="DD140" i="1"/>
  <c r="DE140" i="1"/>
  <c r="DF140" i="1"/>
  <c r="DG140" i="1"/>
  <c r="DH140" i="1"/>
  <c r="CL141" i="1"/>
  <c r="CM141" i="1"/>
  <c r="CN141" i="1"/>
  <c r="CO141" i="1"/>
  <c r="CP141" i="1"/>
  <c r="CQ141" i="1"/>
  <c r="CR141" i="1"/>
  <c r="CS141" i="1"/>
  <c r="CT141" i="1"/>
  <c r="CU141" i="1"/>
  <c r="CV141" i="1"/>
  <c r="CW141" i="1"/>
  <c r="CX141" i="1"/>
  <c r="CY141" i="1"/>
  <c r="CZ141" i="1"/>
  <c r="DA141" i="1"/>
  <c r="DB141" i="1"/>
  <c r="DC141" i="1"/>
  <c r="DD141" i="1"/>
  <c r="DE141" i="1"/>
  <c r="DF141" i="1"/>
  <c r="DG141" i="1"/>
  <c r="DH141" i="1"/>
  <c r="CL142" i="1"/>
  <c r="CM142" i="1"/>
  <c r="CN142" i="1"/>
  <c r="CO142" i="1"/>
  <c r="CP142" i="1"/>
  <c r="CQ142" i="1"/>
  <c r="CR142" i="1"/>
  <c r="CS142" i="1"/>
  <c r="CT142" i="1"/>
  <c r="CU142" i="1"/>
  <c r="CV142" i="1"/>
  <c r="CW142" i="1"/>
  <c r="CX142" i="1"/>
  <c r="CY142" i="1"/>
  <c r="CZ142" i="1"/>
  <c r="DA142" i="1"/>
  <c r="DB142" i="1"/>
  <c r="DC142" i="1"/>
  <c r="DD142" i="1"/>
  <c r="DE142" i="1"/>
  <c r="DF142" i="1"/>
  <c r="DG142" i="1"/>
  <c r="DH142" i="1"/>
  <c r="CL143" i="1"/>
  <c r="CM143" i="1"/>
  <c r="CN143" i="1"/>
  <c r="CO143" i="1"/>
  <c r="CP143" i="1"/>
  <c r="CQ143" i="1"/>
  <c r="CR143" i="1"/>
  <c r="CS143" i="1"/>
  <c r="CT143" i="1"/>
  <c r="CU143" i="1"/>
  <c r="CV143" i="1"/>
  <c r="CW143" i="1"/>
  <c r="CX143" i="1"/>
  <c r="CY143" i="1"/>
  <c r="CZ143" i="1"/>
  <c r="DA143" i="1"/>
  <c r="DB143" i="1"/>
  <c r="DC143" i="1"/>
  <c r="DD143" i="1"/>
  <c r="DE143" i="1"/>
  <c r="DF143" i="1"/>
  <c r="DG143" i="1"/>
  <c r="DH143" i="1"/>
  <c r="CL144" i="1"/>
  <c r="CM144" i="1"/>
  <c r="CN144" i="1"/>
  <c r="CO144" i="1"/>
  <c r="CP144" i="1"/>
  <c r="CQ144" i="1"/>
  <c r="CR144" i="1"/>
  <c r="CS144" i="1"/>
  <c r="CT144" i="1"/>
  <c r="CU144" i="1"/>
  <c r="CV144" i="1"/>
  <c r="CW144" i="1"/>
  <c r="CX144" i="1"/>
  <c r="CY144" i="1"/>
  <c r="CZ144" i="1"/>
  <c r="DA144" i="1"/>
  <c r="DB144" i="1"/>
  <c r="DC144" i="1"/>
  <c r="DD144" i="1"/>
  <c r="DE144" i="1"/>
  <c r="DF144" i="1"/>
  <c r="DG144" i="1"/>
  <c r="DH144" i="1"/>
  <c r="CL145" i="1"/>
  <c r="CM145" i="1"/>
  <c r="CN145" i="1"/>
  <c r="CO145" i="1"/>
  <c r="CP145" i="1"/>
  <c r="CQ145" i="1"/>
  <c r="CR145" i="1"/>
  <c r="CS145" i="1"/>
  <c r="CT145" i="1"/>
  <c r="CU145" i="1"/>
  <c r="CV145" i="1"/>
  <c r="CW145" i="1"/>
  <c r="CX145" i="1"/>
  <c r="CY145" i="1"/>
  <c r="CZ145" i="1"/>
  <c r="DA145" i="1"/>
  <c r="DB145" i="1"/>
  <c r="DC145" i="1"/>
  <c r="DD145" i="1"/>
  <c r="DE145" i="1"/>
  <c r="DF145" i="1"/>
  <c r="DG145" i="1"/>
  <c r="DH145" i="1"/>
  <c r="CL146" i="1"/>
  <c r="CM146" i="1"/>
  <c r="CN146" i="1"/>
  <c r="CO146" i="1"/>
  <c r="CP146" i="1"/>
  <c r="CQ146" i="1"/>
  <c r="CR146" i="1"/>
  <c r="CS146" i="1"/>
  <c r="CT146" i="1"/>
  <c r="CU146" i="1"/>
  <c r="CV146" i="1"/>
  <c r="CW146" i="1"/>
  <c r="CX146" i="1"/>
  <c r="CY146" i="1"/>
  <c r="CZ146" i="1"/>
  <c r="DA146" i="1"/>
  <c r="DB146" i="1"/>
  <c r="DC146" i="1"/>
  <c r="DD146" i="1"/>
  <c r="DE146" i="1"/>
  <c r="DF146" i="1"/>
  <c r="DG146" i="1"/>
  <c r="DH146" i="1"/>
  <c r="CL147" i="1"/>
  <c r="CM147" i="1"/>
  <c r="CN147" i="1"/>
  <c r="CO147" i="1"/>
  <c r="CP147" i="1"/>
  <c r="CQ147" i="1"/>
  <c r="CR147" i="1"/>
  <c r="CS147" i="1"/>
  <c r="CT147" i="1"/>
  <c r="CU147" i="1"/>
  <c r="CV147" i="1"/>
  <c r="CW147" i="1"/>
  <c r="CX147" i="1"/>
  <c r="CY147" i="1"/>
  <c r="CZ147" i="1"/>
  <c r="DA147" i="1"/>
  <c r="DB147" i="1"/>
  <c r="DC147" i="1"/>
  <c r="DD147" i="1"/>
  <c r="DE147" i="1"/>
  <c r="DF147" i="1"/>
  <c r="DG147" i="1"/>
  <c r="DH147" i="1"/>
  <c r="CL148" i="1"/>
  <c r="CM148" i="1"/>
  <c r="CN148" i="1"/>
  <c r="CO148" i="1"/>
  <c r="CP148" i="1"/>
  <c r="CQ148" i="1"/>
  <c r="CR148" i="1"/>
  <c r="CS148" i="1"/>
  <c r="CT148" i="1"/>
  <c r="CU148" i="1"/>
  <c r="CV148" i="1"/>
  <c r="CW148" i="1"/>
  <c r="CX148" i="1"/>
  <c r="CY148" i="1"/>
  <c r="CZ148" i="1"/>
  <c r="DA148" i="1"/>
  <c r="DB148" i="1"/>
  <c r="DC148" i="1"/>
  <c r="DD148" i="1"/>
  <c r="DE148" i="1"/>
  <c r="DF148" i="1"/>
  <c r="DG148" i="1"/>
  <c r="DH148" i="1"/>
  <c r="CL149" i="1"/>
  <c r="CM149" i="1"/>
  <c r="CN149" i="1"/>
  <c r="CO149" i="1"/>
  <c r="CP149" i="1"/>
  <c r="CQ149" i="1"/>
  <c r="CR149" i="1"/>
  <c r="CS149" i="1"/>
  <c r="CT149" i="1"/>
  <c r="CU149" i="1"/>
  <c r="CV149" i="1"/>
  <c r="CW149" i="1"/>
  <c r="CX149" i="1"/>
  <c r="CY149" i="1"/>
  <c r="CZ149" i="1"/>
  <c r="DA149" i="1"/>
  <c r="DB149" i="1"/>
  <c r="DC149" i="1"/>
  <c r="DD149" i="1"/>
  <c r="DE149" i="1"/>
  <c r="DF149" i="1"/>
  <c r="DG149" i="1"/>
  <c r="DH149" i="1"/>
  <c r="CL150" i="1"/>
  <c r="CM150" i="1"/>
  <c r="CN150" i="1"/>
  <c r="CO150" i="1"/>
  <c r="CP150" i="1"/>
  <c r="CQ150" i="1"/>
  <c r="CR150" i="1"/>
  <c r="CS150" i="1"/>
  <c r="CT150" i="1"/>
  <c r="CU150" i="1"/>
  <c r="CV150" i="1"/>
  <c r="CW150" i="1"/>
  <c r="CX150" i="1"/>
  <c r="CY150" i="1"/>
  <c r="CZ150" i="1"/>
  <c r="DA150" i="1"/>
  <c r="DB150" i="1"/>
  <c r="DC150" i="1"/>
  <c r="DD150" i="1"/>
  <c r="DE150" i="1"/>
  <c r="DF150" i="1"/>
  <c r="DG150" i="1"/>
  <c r="DH150" i="1"/>
  <c r="CL151" i="1"/>
  <c r="CM151" i="1"/>
  <c r="CN151" i="1"/>
  <c r="CO151" i="1"/>
  <c r="CP151" i="1"/>
  <c r="CQ151" i="1"/>
  <c r="CR151" i="1"/>
  <c r="CS151" i="1"/>
  <c r="CT151" i="1"/>
  <c r="CU151" i="1"/>
  <c r="CV151" i="1"/>
  <c r="CW151" i="1"/>
  <c r="CX151" i="1"/>
  <c r="CY151" i="1"/>
  <c r="CZ151" i="1"/>
  <c r="DA151" i="1"/>
  <c r="DB151" i="1"/>
  <c r="DC151" i="1"/>
  <c r="DD151" i="1"/>
  <c r="DE151" i="1"/>
  <c r="DF151" i="1"/>
  <c r="DG151" i="1"/>
  <c r="DH151" i="1"/>
  <c r="CL152" i="1"/>
  <c r="CM152" i="1"/>
  <c r="CN152" i="1"/>
  <c r="CO152" i="1"/>
  <c r="CP152" i="1"/>
  <c r="CQ152" i="1"/>
  <c r="CR152" i="1"/>
  <c r="CS152" i="1"/>
  <c r="CT152" i="1"/>
  <c r="CU152" i="1"/>
  <c r="CV152" i="1"/>
  <c r="CW152" i="1"/>
  <c r="CX152" i="1"/>
  <c r="CY152" i="1"/>
  <c r="CZ152" i="1"/>
  <c r="DA152" i="1"/>
  <c r="DB152" i="1"/>
  <c r="DC152" i="1"/>
  <c r="DD152" i="1"/>
  <c r="DE152" i="1"/>
  <c r="DF152" i="1"/>
  <c r="DG152" i="1"/>
  <c r="DH152" i="1"/>
  <c r="CL153" i="1"/>
  <c r="CM153" i="1"/>
  <c r="CN153" i="1"/>
  <c r="CO153" i="1"/>
  <c r="CP153" i="1"/>
  <c r="CQ153" i="1"/>
  <c r="CR153" i="1"/>
  <c r="CS153" i="1"/>
  <c r="CT153" i="1"/>
  <c r="CU153" i="1"/>
  <c r="CV153" i="1"/>
  <c r="CW153" i="1"/>
  <c r="CX153" i="1"/>
  <c r="CY153" i="1"/>
  <c r="CZ153" i="1"/>
  <c r="DA153" i="1"/>
  <c r="DB153" i="1"/>
  <c r="DC153" i="1"/>
  <c r="DD153" i="1"/>
  <c r="DE153" i="1"/>
  <c r="DF153" i="1"/>
  <c r="DG153" i="1"/>
  <c r="DH153" i="1"/>
  <c r="CL154" i="1"/>
  <c r="CM154" i="1"/>
  <c r="CN154" i="1"/>
  <c r="CO154" i="1"/>
  <c r="CP154" i="1"/>
  <c r="CQ154" i="1"/>
  <c r="CR154" i="1"/>
  <c r="CS154" i="1"/>
  <c r="CT154" i="1"/>
  <c r="CU154" i="1"/>
  <c r="CV154" i="1"/>
  <c r="CW154" i="1"/>
  <c r="CX154" i="1"/>
  <c r="CY154" i="1"/>
  <c r="CZ154" i="1"/>
  <c r="DA154" i="1"/>
  <c r="DB154" i="1"/>
  <c r="DC154" i="1"/>
  <c r="DD154" i="1"/>
  <c r="DE154" i="1"/>
  <c r="DF154" i="1"/>
  <c r="DG154" i="1"/>
  <c r="DH154" i="1"/>
  <c r="CL155" i="1"/>
  <c r="CM155" i="1"/>
  <c r="CN155" i="1"/>
  <c r="CO155" i="1"/>
  <c r="CP155" i="1"/>
  <c r="CQ155" i="1"/>
  <c r="CR155" i="1"/>
  <c r="CS155" i="1"/>
  <c r="CT155" i="1"/>
  <c r="CU155" i="1"/>
  <c r="CV155" i="1"/>
  <c r="CW155" i="1"/>
  <c r="CX155" i="1"/>
  <c r="CY155" i="1"/>
  <c r="CZ155" i="1"/>
  <c r="DA155" i="1"/>
  <c r="DB155" i="1"/>
  <c r="DC155" i="1"/>
  <c r="DD155" i="1"/>
  <c r="DE155" i="1"/>
  <c r="DF155" i="1"/>
  <c r="DG155" i="1"/>
  <c r="DH155" i="1"/>
  <c r="CL156" i="1"/>
  <c r="CM156" i="1"/>
  <c r="CN156" i="1"/>
  <c r="CO156" i="1"/>
  <c r="CP156" i="1"/>
  <c r="CQ156" i="1"/>
  <c r="CR156" i="1"/>
  <c r="CS156" i="1"/>
  <c r="CT156" i="1"/>
  <c r="CU156" i="1"/>
  <c r="CV156" i="1"/>
  <c r="CW156" i="1"/>
  <c r="CX156" i="1"/>
  <c r="CY156" i="1"/>
  <c r="CZ156" i="1"/>
  <c r="DA156" i="1"/>
  <c r="DB156" i="1"/>
  <c r="DC156" i="1"/>
  <c r="DD156" i="1"/>
  <c r="DE156" i="1"/>
  <c r="DF156" i="1"/>
  <c r="DG156" i="1"/>
  <c r="DH156" i="1"/>
  <c r="CL157" i="1"/>
  <c r="CM157" i="1"/>
  <c r="CN157" i="1"/>
  <c r="CO157" i="1"/>
  <c r="CP157" i="1"/>
  <c r="CQ157" i="1"/>
  <c r="CR157" i="1"/>
  <c r="CS157" i="1"/>
  <c r="CT157" i="1"/>
  <c r="CU157" i="1"/>
  <c r="CV157" i="1"/>
  <c r="CW157" i="1"/>
  <c r="CX157" i="1"/>
  <c r="CY157" i="1"/>
  <c r="CZ157" i="1"/>
  <c r="DA157" i="1"/>
  <c r="DB157" i="1"/>
  <c r="DC157" i="1"/>
  <c r="DD157" i="1"/>
  <c r="DE157" i="1"/>
  <c r="DF157" i="1"/>
  <c r="DG157" i="1"/>
  <c r="DH157" i="1"/>
  <c r="CL158" i="1"/>
  <c r="CM158" i="1"/>
  <c r="CN158" i="1"/>
  <c r="CO158" i="1"/>
  <c r="CP158" i="1"/>
  <c r="CQ158" i="1"/>
  <c r="CR158" i="1"/>
  <c r="CS158" i="1"/>
  <c r="CT158" i="1"/>
  <c r="CU158" i="1"/>
  <c r="CV158" i="1"/>
  <c r="CW158" i="1"/>
  <c r="CX158" i="1"/>
  <c r="CY158" i="1"/>
  <c r="CZ158" i="1"/>
  <c r="DA158" i="1"/>
  <c r="DB158" i="1"/>
  <c r="DC158" i="1"/>
  <c r="DD158" i="1"/>
  <c r="DE158" i="1"/>
  <c r="DF158" i="1"/>
  <c r="DG158" i="1"/>
  <c r="DH158" i="1"/>
  <c r="CL159" i="1"/>
  <c r="CM159" i="1"/>
  <c r="CN159" i="1"/>
  <c r="CO159" i="1"/>
  <c r="CP159" i="1"/>
  <c r="CQ159" i="1"/>
  <c r="CR159" i="1"/>
  <c r="CS159" i="1"/>
  <c r="CT159" i="1"/>
  <c r="CU159" i="1"/>
  <c r="CV159" i="1"/>
  <c r="CW159" i="1"/>
  <c r="CX159" i="1"/>
  <c r="CY159" i="1"/>
  <c r="CZ159" i="1"/>
  <c r="DA159" i="1"/>
  <c r="DB159" i="1"/>
  <c r="DC159" i="1"/>
  <c r="DD159" i="1"/>
  <c r="DE159" i="1"/>
  <c r="DF159" i="1"/>
  <c r="DG159" i="1"/>
  <c r="DH159" i="1"/>
  <c r="CL160" i="1"/>
  <c r="CM160" i="1"/>
  <c r="CN160" i="1"/>
  <c r="CO160" i="1"/>
  <c r="CP160" i="1"/>
  <c r="CQ160" i="1"/>
  <c r="CR160" i="1"/>
  <c r="CS160" i="1"/>
  <c r="CT160" i="1"/>
  <c r="CU160" i="1"/>
  <c r="CV160" i="1"/>
  <c r="CW160" i="1"/>
  <c r="CX160" i="1"/>
  <c r="CY160" i="1"/>
  <c r="CZ160" i="1"/>
  <c r="DA160" i="1"/>
  <c r="DB160" i="1"/>
  <c r="DC160" i="1"/>
  <c r="DD160" i="1"/>
  <c r="DE160" i="1"/>
  <c r="DF160" i="1"/>
  <c r="DG160" i="1"/>
  <c r="DH160" i="1"/>
  <c r="CL161" i="1"/>
  <c r="CM161" i="1"/>
  <c r="CN161" i="1"/>
  <c r="CO161" i="1"/>
  <c r="CP161" i="1"/>
  <c r="CQ161" i="1"/>
  <c r="CR161" i="1"/>
  <c r="CS161" i="1"/>
  <c r="CT161" i="1"/>
  <c r="CU161" i="1"/>
  <c r="CV161" i="1"/>
  <c r="CW161" i="1"/>
  <c r="CX161" i="1"/>
  <c r="CY161" i="1"/>
  <c r="CZ161" i="1"/>
  <c r="DA161" i="1"/>
  <c r="DB161" i="1"/>
  <c r="DC161" i="1"/>
  <c r="DD161" i="1"/>
  <c r="DE161" i="1"/>
  <c r="DF161" i="1"/>
  <c r="DG161" i="1"/>
  <c r="DH161" i="1"/>
  <c r="CL162" i="1"/>
  <c r="CM162" i="1"/>
  <c r="CN162" i="1"/>
  <c r="CO162" i="1"/>
  <c r="CP162" i="1"/>
  <c r="CQ162" i="1"/>
  <c r="CR162" i="1"/>
  <c r="CS162" i="1"/>
  <c r="CT162" i="1"/>
  <c r="CU162" i="1"/>
  <c r="CV162" i="1"/>
  <c r="CW162" i="1"/>
  <c r="CX162" i="1"/>
  <c r="CY162" i="1"/>
  <c r="CZ162" i="1"/>
  <c r="DA162" i="1"/>
  <c r="DB162" i="1"/>
  <c r="DC162" i="1"/>
  <c r="DD162" i="1"/>
  <c r="DE162" i="1"/>
  <c r="DF162" i="1"/>
  <c r="DG162" i="1"/>
  <c r="DH162" i="1"/>
  <c r="CL163" i="1"/>
  <c r="CM163" i="1"/>
  <c r="CN163" i="1"/>
  <c r="CO163" i="1"/>
  <c r="CP163" i="1"/>
  <c r="CQ163" i="1"/>
  <c r="CR163" i="1"/>
  <c r="CS163" i="1"/>
  <c r="CT163" i="1"/>
  <c r="CU163" i="1"/>
  <c r="CV163" i="1"/>
  <c r="CW163" i="1"/>
  <c r="CX163" i="1"/>
  <c r="CY163" i="1"/>
  <c r="CZ163" i="1"/>
  <c r="DA163" i="1"/>
  <c r="DB163" i="1"/>
  <c r="DC163" i="1"/>
  <c r="DD163" i="1"/>
  <c r="DE163" i="1"/>
  <c r="DF163" i="1"/>
  <c r="DG163" i="1"/>
  <c r="DH163" i="1"/>
  <c r="CL164" i="1"/>
  <c r="CM164" i="1"/>
  <c r="CN164" i="1"/>
  <c r="CO164" i="1"/>
  <c r="CP164" i="1"/>
  <c r="CQ164" i="1"/>
  <c r="CR164" i="1"/>
  <c r="CS164" i="1"/>
  <c r="CT164" i="1"/>
  <c r="CU164" i="1"/>
  <c r="CV164" i="1"/>
  <c r="CW164" i="1"/>
  <c r="CX164" i="1"/>
  <c r="CY164" i="1"/>
  <c r="CZ164" i="1"/>
  <c r="DA164" i="1"/>
  <c r="DB164" i="1"/>
  <c r="DC164" i="1"/>
  <c r="DD164" i="1"/>
  <c r="DE164" i="1"/>
  <c r="DF164" i="1"/>
  <c r="DG164" i="1"/>
  <c r="DH164" i="1"/>
  <c r="CL165" i="1"/>
  <c r="CM165" i="1"/>
  <c r="CN165" i="1"/>
  <c r="CO165" i="1"/>
  <c r="CP165" i="1"/>
  <c r="CQ165" i="1"/>
  <c r="CR165" i="1"/>
  <c r="CS165" i="1"/>
  <c r="CT165" i="1"/>
  <c r="CU165" i="1"/>
  <c r="CV165" i="1"/>
  <c r="CW165" i="1"/>
  <c r="CX165" i="1"/>
  <c r="CY165" i="1"/>
  <c r="CZ165" i="1"/>
  <c r="DA165" i="1"/>
  <c r="DB165" i="1"/>
  <c r="DC165" i="1"/>
  <c r="DD165" i="1"/>
  <c r="DE165" i="1"/>
  <c r="DF165" i="1"/>
  <c r="DG165" i="1"/>
  <c r="DH165" i="1"/>
  <c r="CL166" i="1"/>
  <c r="CM166" i="1"/>
  <c r="CN166" i="1"/>
  <c r="CO166" i="1"/>
  <c r="CP166" i="1"/>
  <c r="CQ166" i="1"/>
  <c r="CR166" i="1"/>
  <c r="CS166" i="1"/>
  <c r="CT166" i="1"/>
  <c r="CU166" i="1"/>
  <c r="CV166" i="1"/>
  <c r="CW166" i="1"/>
  <c r="CX166" i="1"/>
  <c r="CY166" i="1"/>
  <c r="CZ166" i="1"/>
  <c r="DA166" i="1"/>
  <c r="DB166" i="1"/>
  <c r="DC166" i="1"/>
  <c r="DD166" i="1"/>
  <c r="DE166" i="1"/>
  <c r="DF166" i="1"/>
  <c r="DG166" i="1"/>
  <c r="DH166" i="1"/>
  <c r="CL167" i="1"/>
  <c r="CM167" i="1"/>
  <c r="CN167" i="1"/>
  <c r="CO167" i="1"/>
  <c r="CP167" i="1"/>
  <c r="CQ167" i="1"/>
  <c r="CR167" i="1"/>
  <c r="CS167" i="1"/>
  <c r="CT167" i="1"/>
  <c r="CU167" i="1"/>
  <c r="CV167" i="1"/>
  <c r="CW167" i="1"/>
  <c r="CX167" i="1"/>
  <c r="CY167" i="1"/>
  <c r="CZ167" i="1"/>
  <c r="DA167" i="1"/>
  <c r="DB167" i="1"/>
  <c r="DC167" i="1"/>
  <c r="DD167" i="1"/>
  <c r="DE167" i="1"/>
  <c r="DF167" i="1"/>
  <c r="DG167" i="1"/>
  <c r="DH167" i="1"/>
  <c r="CL168" i="1"/>
  <c r="CM168" i="1"/>
  <c r="CN168" i="1"/>
  <c r="CO168" i="1"/>
  <c r="CP168" i="1"/>
  <c r="CQ168" i="1"/>
  <c r="CR168" i="1"/>
  <c r="CS168" i="1"/>
  <c r="CT168" i="1"/>
  <c r="CU168" i="1"/>
  <c r="CV168" i="1"/>
  <c r="CW168" i="1"/>
  <c r="CX168" i="1"/>
  <c r="CY168" i="1"/>
  <c r="CZ168" i="1"/>
  <c r="DA168" i="1"/>
  <c r="DB168" i="1"/>
  <c r="DC168" i="1"/>
  <c r="DD168" i="1"/>
  <c r="DE168" i="1"/>
  <c r="DF168" i="1"/>
  <c r="DG168" i="1"/>
  <c r="DH168" i="1"/>
  <c r="CL169" i="1"/>
  <c r="CM169" i="1"/>
  <c r="CN169" i="1"/>
  <c r="CO169" i="1"/>
  <c r="CP169" i="1"/>
  <c r="CQ169" i="1"/>
  <c r="CR169" i="1"/>
  <c r="CS169" i="1"/>
  <c r="CT169" i="1"/>
  <c r="CU169" i="1"/>
  <c r="CV169" i="1"/>
  <c r="CW169" i="1"/>
  <c r="CX169" i="1"/>
  <c r="CY169" i="1"/>
  <c r="CZ169" i="1"/>
  <c r="DA169" i="1"/>
  <c r="DB169" i="1"/>
  <c r="DC169" i="1"/>
  <c r="DD169" i="1"/>
  <c r="DE169" i="1"/>
  <c r="DF169" i="1"/>
  <c r="DG169" i="1"/>
  <c r="DH169" i="1"/>
  <c r="CL170" i="1"/>
  <c r="CM170" i="1"/>
  <c r="CN170" i="1"/>
  <c r="CO170" i="1"/>
  <c r="CP170" i="1"/>
  <c r="CQ170" i="1"/>
  <c r="CR170" i="1"/>
  <c r="CS170" i="1"/>
  <c r="CT170" i="1"/>
  <c r="CU170" i="1"/>
  <c r="CV170" i="1"/>
  <c r="CW170" i="1"/>
  <c r="CX170" i="1"/>
  <c r="CY170" i="1"/>
  <c r="CZ170" i="1"/>
  <c r="DA170" i="1"/>
  <c r="DB170" i="1"/>
  <c r="DC170" i="1"/>
  <c r="DD170" i="1"/>
  <c r="DE170" i="1"/>
  <c r="DF170" i="1"/>
  <c r="DG170" i="1"/>
  <c r="DH170" i="1"/>
  <c r="CL171" i="1"/>
  <c r="CM171" i="1"/>
  <c r="CN171" i="1"/>
  <c r="CO171" i="1"/>
  <c r="CP171" i="1"/>
  <c r="CQ171" i="1"/>
  <c r="CR171" i="1"/>
  <c r="CS171" i="1"/>
  <c r="CT171" i="1"/>
  <c r="CU171" i="1"/>
  <c r="CV171" i="1"/>
  <c r="CW171" i="1"/>
  <c r="CX171" i="1"/>
  <c r="CY171" i="1"/>
  <c r="CZ171" i="1"/>
  <c r="DA171" i="1"/>
  <c r="DB171" i="1"/>
  <c r="DC171" i="1"/>
  <c r="DD171" i="1"/>
  <c r="DE171" i="1"/>
  <c r="DF171" i="1"/>
  <c r="DG171" i="1"/>
  <c r="DH171" i="1"/>
  <c r="CL172" i="1"/>
  <c r="CM172" i="1"/>
  <c r="CN172" i="1"/>
  <c r="CO172" i="1"/>
  <c r="CP172" i="1"/>
  <c r="CQ172" i="1"/>
  <c r="CR172" i="1"/>
  <c r="CS172" i="1"/>
  <c r="CT172" i="1"/>
  <c r="CU172" i="1"/>
  <c r="CV172" i="1"/>
  <c r="CW172" i="1"/>
  <c r="CX172" i="1"/>
  <c r="CY172" i="1"/>
  <c r="CZ172" i="1"/>
  <c r="DA172" i="1"/>
  <c r="DB172" i="1"/>
  <c r="DC172" i="1"/>
  <c r="DD172" i="1"/>
  <c r="DE172" i="1"/>
  <c r="DF172" i="1"/>
  <c r="DG172" i="1"/>
  <c r="DH172" i="1"/>
  <c r="CL173" i="1"/>
  <c r="CM173" i="1"/>
  <c r="CN173" i="1"/>
  <c r="CO173" i="1"/>
  <c r="CP173" i="1"/>
  <c r="CQ173" i="1"/>
  <c r="CR173" i="1"/>
  <c r="CS173" i="1"/>
  <c r="CT173" i="1"/>
  <c r="CU173" i="1"/>
  <c r="CV173" i="1"/>
  <c r="CW173" i="1"/>
  <c r="CX173" i="1"/>
  <c r="CY173" i="1"/>
  <c r="CZ173" i="1"/>
  <c r="DA173" i="1"/>
  <c r="DB173" i="1"/>
  <c r="DC173" i="1"/>
  <c r="DD173" i="1"/>
  <c r="DE173" i="1"/>
  <c r="DF173" i="1"/>
  <c r="DG173" i="1"/>
  <c r="DH173" i="1"/>
  <c r="CL174" i="1"/>
  <c r="CM174" i="1"/>
  <c r="CN174" i="1"/>
  <c r="CO174" i="1"/>
  <c r="CP174" i="1"/>
  <c r="CQ174" i="1"/>
  <c r="CR174" i="1"/>
  <c r="CS174" i="1"/>
  <c r="CT174" i="1"/>
  <c r="CU174" i="1"/>
  <c r="CV174" i="1"/>
  <c r="CW174" i="1"/>
  <c r="CX174" i="1"/>
  <c r="CY174" i="1"/>
  <c r="CZ174" i="1"/>
  <c r="DA174" i="1"/>
  <c r="DB174" i="1"/>
  <c r="DC174" i="1"/>
  <c r="DD174" i="1"/>
  <c r="DE174" i="1"/>
  <c r="DF174" i="1"/>
  <c r="DG174" i="1"/>
  <c r="DH174" i="1"/>
  <c r="CL175" i="1"/>
  <c r="CM175" i="1"/>
  <c r="CN175" i="1"/>
  <c r="CO175" i="1"/>
  <c r="CP175" i="1"/>
  <c r="CQ175" i="1"/>
  <c r="CR175" i="1"/>
  <c r="CS175" i="1"/>
  <c r="CT175" i="1"/>
  <c r="CU175" i="1"/>
  <c r="CV175" i="1"/>
  <c r="CW175" i="1"/>
  <c r="CX175" i="1"/>
  <c r="CY175" i="1"/>
  <c r="CZ175" i="1"/>
  <c r="DA175" i="1"/>
  <c r="DB175" i="1"/>
  <c r="DC175" i="1"/>
  <c r="DD175" i="1"/>
  <c r="DE175" i="1"/>
  <c r="DF175" i="1"/>
  <c r="DG175" i="1"/>
  <c r="DH175" i="1"/>
  <c r="CL176" i="1"/>
  <c r="CM176" i="1"/>
  <c r="CN176" i="1"/>
  <c r="CO176" i="1"/>
  <c r="CP176" i="1"/>
  <c r="CQ176" i="1"/>
  <c r="CR176" i="1"/>
  <c r="CS176" i="1"/>
  <c r="CT176" i="1"/>
  <c r="CU176" i="1"/>
  <c r="CV176" i="1"/>
  <c r="CW176" i="1"/>
  <c r="CX176" i="1"/>
  <c r="CY176" i="1"/>
  <c r="CZ176" i="1"/>
  <c r="DA176" i="1"/>
  <c r="DB176" i="1"/>
  <c r="DC176" i="1"/>
  <c r="DD176" i="1"/>
  <c r="DE176" i="1"/>
  <c r="DF176" i="1"/>
  <c r="DG176" i="1"/>
  <c r="DH176" i="1"/>
  <c r="CL177" i="1"/>
  <c r="CM177" i="1"/>
  <c r="CN177" i="1"/>
  <c r="CO177" i="1"/>
  <c r="CP177" i="1"/>
  <c r="CQ177" i="1"/>
  <c r="CR177" i="1"/>
  <c r="CS177" i="1"/>
  <c r="CT177" i="1"/>
  <c r="CU177" i="1"/>
  <c r="CV177" i="1"/>
  <c r="CW177" i="1"/>
  <c r="CX177" i="1"/>
  <c r="CY177" i="1"/>
  <c r="CZ177" i="1"/>
  <c r="DA177" i="1"/>
  <c r="DB177" i="1"/>
  <c r="DC177" i="1"/>
  <c r="DD177" i="1"/>
  <c r="DE177" i="1"/>
  <c r="DF177" i="1"/>
  <c r="DG177" i="1"/>
  <c r="DH177" i="1"/>
  <c r="CL178" i="1"/>
  <c r="CM178" i="1"/>
  <c r="CN178" i="1"/>
  <c r="CO178" i="1"/>
  <c r="CP178" i="1"/>
  <c r="CQ178" i="1"/>
  <c r="CR178" i="1"/>
  <c r="CS178" i="1"/>
  <c r="CT178" i="1"/>
  <c r="CU178" i="1"/>
  <c r="CV178" i="1"/>
  <c r="CW178" i="1"/>
  <c r="CX178" i="1"/>
  <c r="CY178" i="1"/>
  <c r="CZ178" i="1"/>
  <c r="DA178" i="1"/>
  <c r="DB178" i="1"/>
  <c r="DC178" i="1"/>
  <c r="DD178" i="1"/>
  <c r="DE178" i="1"/>
  <c r="DF178" i="1"/>
  <c r="DG178" i="1"/>
  <c r="DH178" i="1"/>
  <c r="CL179" i="1"/>
  <c r="CM179" i="1"/>
  <c r="CN179" i="1"/>
  <c r="CO179" i="1"/>
  <c r="CP179" i="1"/>
  <c r="CQ179" i="1"/>
  <c r="CR179" i="1"/>
  <c r="CS179" i="1"/>
  <c r="CT179" i="1"/>
  <c r="CU179" i="1"/>
  <c r="CV179" i="1"/>
  <c r="CW179" i="1"/>
  <c r="CX179" i="1"/>
  <c r="CY179" i="1"/>
  <c r="CZ179" i="1"/>
  <c r="DA179" i="1"/>
  <c r="DB179" i="1"/>
  <c r="DC179" i="1"/>
  <c r="DD179" i="1"/>
  <c r="DE179" i="1"/>
  <c r="DF179" i="1"/>
  <c r="DG179" i="1"/>
  <c r="DH179" i="1"/>
  <c r="CL180" i="1"/>
  <c r="CM180" i="1"/>
  <c r="CN180" i="1"/>
  <c r="CO180" i="1"/>
  <c r="CP180" i="1"/>
  <c r="CQ180" i="1"/>
  <c r="CR180" i="1"/>
  <c r="CS180" i="1"/>
  <c r="CT180" i="1"/>
  <c r="CU180" i="1"/>
  <c r="CV180" i="1"/>
  <c r="CW180" i="1"/>
  <c r="CX180" i="1"/>
  <c r="CY180" i="1"/>
  <c r="CZ180" i="1"/>
  <c r="DA180" i="1"/>
  <c r="DB180" i="1"/>
  <c r="DC180" i="1"/>
  <c r="DD180" i="1"/>
  <c r="DE180" i="1"/>
  <c r="DF180" i="1"/>
  <c r="DG180" i="1"/>
  <c r="DH180" i="1"/>
  <c r="CL181" i="1"/>
  <c r="CM181" i="1"/>
  <c r="CN181" i="1"/>
  <c r="CO181" i="1"/>
  <c r="CP181" i="1"/>
  <c r="CQ181" i="1"/>
  <c r="CR181" i="1"/>
  <c r="CS181" i="1"/>
  <c r="CT181" i="1"/>
  <c r="CU181" i="1"/>
  <c r="CV181" i="1"/>
  <c r="CW181" i="1"/>
  <c r="CX181" i="1"/>
  <c r="CY181" i="1"/>
  <c r="CZ181" i="1"/>
  <c r="DA181" i="1"/>
  <c r="DB181" i="1"/>
  <c r="DC181" i="1"/>
  <c r="DD181" i="1"/>
  <c r="DE181" i="1"/>
  <c r="DF181" i="1"/>
  <c r="DG181" i="1"/>
  <c r="DH181" i="1"/>
  <c r="CL182" i="1"/>
  <c r="CM182" i="1"/>
  <c r="CN182" i="1"/>
  <c r="CO182" i="1"/>
  <c r="CP182" i="1"/>
  <c r="CQ182" i="1"/>
  <c r="CR182" i="1"/>
  <c r="CS182" i="1"/>
  <c r="CT182" i="1"/>
  <c r="CU182" i="1"/>
  <c r="CV182" i="1"/>
  <c r="CW182" i="1"/>
  <c r="CX182" i="1"/>
  <c r="CY182" i="1"/>
  <c r="CZ182" i="1"/>
  <c r="DA182" i="1"/>
  <c r="DB182" i="1"/>
  <c r="DC182" i="1"/>
  <c r="DD182" i="1"/>
  <c r="DE182" i="1"/>
  <c r="DF182" i="1"/>
  <c r="DG182" i="1"/>
  <c r="DH182" i="1"/>
  <c r="CL183" i="1"/>
  <c r="CM183" i="1"/>
  <c r="CN183" i="1"/>
  <c r="CO183" i="1"/>
  <c r="CP183" i="1"/>
  <c r="CQ183" i="1"/>
  <c r="CR183" i="1"/>
  <c r="CS183" i="1"/>
  <c r="CT183" i="1"/>
  <c r="CU183" i="1"/>
  <c r="CV183" i="1"/>
  <c r="CW183" i="1"/>
  <c r="CX183" i="1"/>
  <c r="CY183" i="1"/>
  <c r="CZ183" i="1"/>
  <c r="DA183" i="1"/>
  <c r="DB183" i="1"/>
  <c r="DC183" i="1"/>
  <c r="DD183" i="1"/>
  <c r="DE183" i="1"/>
  <c r="DF183" i="1"/>
  <c r="DG183" i="1"/>
  <c r="DH183" i="1"/>
  <c r="CL184" i="1"/>
  <c r="CM184" i="1"/>
  <c r="CN184" i="1"/>
  <c r="CO184" i="1"/>
  <c r="CP184" i="1"/>
  <c r="CQ184" i="1"/>
  <c r="CR184" i="1"/>
  <c r="CS184" i="1"/>
  <c r="CT184" i="1"/>
  <c r="CU184" i="1"/>
  <c r="CV184" i="1"/>
  <c r="CW184" i="1"/>
  <c r="CX184" i="1"/>
  <c r="CY184" i="1"/>
  <c r="CZ184" i="1"/>
  <c r="DA184" i="1"/>
  <c r="DB184" i="1"/>
  <c r="DC184" i="1"/>
  <c r="DD184" i="1"/>
  <c r="DE184" i="1"/>
  <c r="DF184" i="1"/>
  <c r="DG184" i="1"/>
  <c r="DH184" i="1"/>
  <c r="CL185" i="1"/>
  <c r="CM185" i="1"/>
  <c r="CN185" i="1"/>
  <c r="CO185" i="1"/>
  <c r="CP185" i="1"/>
  <c r="CQ185" i="1"/>
  <c r="CR185" i="1"/>
  <c r="CS185" i="1"/>
  <c r="CT185" i="1"/>
  <c r="CU185" i="1"/>
  <c r="CV185" i="1"/>
  <c r="CW185" i="1"/>
  <c r="CX185" i="1"/>
  <c r="CY185" i="1"/>
  <c r="CZ185" i="1"/>
  <c r="DA185" i="1"/>
  <c r="DB185" i="1"/>
  <c r="DC185" i="1"/>
  <c r="DD185" i="1"/>
  <c r="DE185" i="1"/>
  <c r="DF185" i="1"/>
  <c r="DG185" i="1"/>
  <c r="DH185" i="1"/>
  <c r="CL186" i="1"/>
  <c r="CM186" i="1"/>
  <c r="CN186" i="1"/>
  <c r="CO186" i="1"/>
  <c r="CP186" i="1"/>
  <c r="CQ186" i="1"/>
  <c r="CR186" i="1"/>
  <c r="CS186" i="1"/>
  <c r="CT186" i="1"/>
  <c r="CU186" i="1"/>
  <c r="CV186" i="1"/>
  <c r="CW186" i="1"/>
  <c r="CX186" i="1"/>
  <c r="CY186" i="1"/>
  <c r="CZ186" i="1"/>
  <c r="DA186" i="1"/>
  <c r="DB186" i="1"/>
  <c r="DC186" i="1"/>
  <c r="DD186" i="1"/>
  <c r="DE186" i="1"/>
  <c r="DF186" i="1"/>
  <c r="DG186" i="1"/>
  <c r="DH186" i="1"/>
  <c r="CL187" i="1"/>
  <c r="CM187" i="1"/>
  <c r="CN187" i="1"/>
  <c r="CO187" i="1"/>
  <c r="CP187" i="1"/>
  <c r="CQ187" i="1"/>
  <c r="CR187" i="1"/>
  <c r="CS187" i="1"/>
  <c r="CT187" i="1"/>
  <c r="CU187" i="1"/>
  <c r="CV187" i="1"/>
  <c r="CW187" i="1"/>
  <c r="CX187" i="1"/>
  <c r="CY187" i="1"/>
  <c r="CZ187" i="1"/>
  <c r="DA187" i="1"/>
  <c r="DB187" i="1"/>
  <c r="DC187" i="1"/>
  <c r="DD187" i="1"/>
  <c r="DE187" i="1"/>
  <c r="DF187" i="1"/>
  <c r="DG187" i="1"/>
  <c r="DH187" i="1"/>
  <c r="CL188" i="1"/>
  <c r="CM188" i="1"/>
  <c r="CN188" i="1"/>
  <c r="CO188" i="1"/>
  <c r="CP188" i="1"/>
  <c r="CQ188" i="1"/>
  <c r="CR188" i="1"/>
  <c r="CS188" i="1"/>
  <c r="CT188" i="1"/>
  <c r="CU188" i="1"/>
  <c r="CV188" i="1"/>
  <c r="CW188" i="1"/>
  <c r="CX188" i="1"/>
  <c r="CY188" i="1"/>
  <c r="CZ188" i="1"/>
  <c r="DA188" i="1"/>
  <c r="DB188" i="1"/>
  <c r="DC188" i="1"/>
  <c r="DD188" i="1"/>
  <c r="DE188" i="1"/>
  <c r="DF188" i="1"/>
  <c r="DG188" i="1"/>
  <c r="DH188" i="1"/>
  <c r="CL189" i="1"/>
  <c r="CM189" i="1"/>
  <c r="CN189" i="1"/>
  <c r="CO189" i="1"/>
  <c r="CP189" i="1"/>
  <c r="CQ189" i="1"/>
  <c r="CR189" i="1"/>
  <c r="CS189" i="1"/>
  <c r="CT189" i="1"/>
  <c r="CU189" i="1"/>
  <c r="CV189" i="1"/>
  <c r="CW189" i="1"/>
  <c r="CX189" i="1"/>
  <c r="CY189" i="1"/>
  <c r="CZ189" i="1"/>
  <c r="DA189" i="1"/>
  <c r="DB189" i="1"/>
  <c r="DC189" i="1"/>
  <c r="DD189" i="1"/>
  <c r="DE189" i="1"/>
  <c r="DF189" i="1"/>
  <c r="DG189" i="1"/>
  <c r="DH189" i="1"/>
  <c r="CL190" i="1"/>
  <c r="CM190" i="1"/>
  <c r="CN190" i="1"/>
  <c r="CO190" i="1"/>
  <c r="CP190" i="1"/>
  <c r="CQ190" i="1"/>
  <c r="CR190" i="1"/>
  <c r="CS190" i="1"/>
  <c r="CT190" i="1"/>
  <c r="CU190" i="1"/>
  <c r="CV190" i="1"/>
  <c r="CW190" i="1"/>
  <c r="CX190" i="1"/>
  <c r="CY190" i="1"/>
  <c r="CZ190" i="1"/>
  <c r="DA190" i="1"/>
  <c r="DB190" i="1"/>
  <c r="DC190" i="1"/>
  <c r="DD190" i="1"/>
  <c r="DE190" i="1"/>
  <c r="DF190" i="1"/>
  <c r="DG190" i="1"/>
  <c r="DH190" i="1"/>
  <c r="CL191" i="1"/>
  <c r="CM191" i="1"/>
  <c r="CN191" i="1"/>
  <c r="CO191" i="1"/>
  <c r="CP191" i="1"/>
  <c r="CQ191" i="1"/>
  <c r="CR191" i="1"/>
  <c r="CS191" i="1"/>
  <c r="CT191" i="1"/>
  <c r="CU191" i="1"/>
  <c r="CV191" i="1"/>
  <c r="CW191" i="1"/>
  <c r="CX191" i="1"/>
  <c r="CY191" i="1"/>
  <c r="CZ191" i="1"/>
  <c r="DA191" i="1"/>
  <c r="DB191" i="1"/>
  <c r="DC191" i="1"/>
  <c r="DD191" i="1"/>
  <c r="DE191" i="1"/>
  <c r="DF191" i="1"/>
  <c r="DG191" i="1"/>
  <c r="DH191" i="1"/>
  <c r="CL192" i="1"/>
  <c r="CM192" i="1"/>
  <c r="CN192" i="1"/>
  <c r="CO192" i="1"/>
  <c r="CP192" i="1"/>
  <c r="CQ192" i="1"/>
  <c r="CR192" i="1"/>
  <c r="CS192" i="1"/>
  <c r="CT192" i="1"/>
  <c r="CU192" i="1"/>
  <c r="CV192" i="1"/>
  <c r="CW192" i="1"/>
  <c r="CX192" i="1"/>
  <c r="CY192" i="1"/>
  <c r="CZ192" i="1"/>
  <c r="DA192" i="1"/>
  <c r="DB192" i="1"/>
  <c r="DC192" i="1"/>
  <c r="DD192" i="1"/>
  <c r="DE192" i="1"/>
  <c r="DF192" i="1"/>
  <c r="DG192" i="1"/>
  <c r="DH192" i="1"/>
  <c r="CL193" i="1"/>
  <c r="CM193" i="1"/>
  <c r="CN193" i="1"/>
  <c r="CO193" i="1"/>
  <c r="CP193" i="1"/>
  <c r="CQ193" i="1"/>
  <c r="CR193" i="1"/>
  <c r="CS193" i="1"/>
  <c r="CT193" i="1"/>
  <c r="CU193" i="1"/>
  <c r="CV193" i="1"/>
  <c r="CW193" i="1"/>
  <c r="CX193" i="1"/>
  <c r="CY193" i="1"/>
  <c r="CZ193" i="1"/>
  <c r="DA193" i="1"/>
  <c r="DB193" i="1"/>
  <c r="DC193" i="1"/>
  <c r="DD193" i="1"/>
  <c r="DE193" i="1"/>
  <c r="DF193" i="1"/>
  <c r="DG193" i="1"/>
  <c r="DH193" i="1"/>
  <c r="CL194" i="1"/>
  <c r="CM194" i="1"/>
  <c r="CN194" i="1"/>
  <c r="CO194" i="1"/>
  <c r="CP194" i="1"/>
  <c r="CQ194" i="1"/>
  <c r="CR194" i="1"/>
  <c r="CS194" i="1"/>
  <c r="CT194" i="1"/>
  <c r="CU194" i="1"/>
  <c r="CV194" i="1"/>
  <c r="CW194" i="1"/>
  <c r="CX194" i="1"/>
  <c r="CY194" i="1"/>
  <c r="CZ194" i="1"/>
  <c r="DA194" i="1"/>
  <c r="DB194" i="1"/>
  <c r="DC194" i="1"/>
  <c r="DD194" i="1"/>
  <c r="DE194" i="1"/>
  <c r="DF194" i="1"/>
  <c r="DG194" i="1"/>
  <c r="DH194" i="1"/>
  <c r="CL195" i="1"/>
  <c r="CM195" i="1"/>
  <c r="CN195" i="1"/>
  <c r="CO195" i="1"/>
  <c r="CP195" i="1"/>
  <c r="CQ195" i="1"/>
  <c r="CR195" i="1"/>
  <c r="CS195" i="1"/>
  <c r="CT195" i="1"/>
  <c r="CU195" i="1"/>
  <c r="CV195" i="1"/>
  <c r="CW195" i="1"/>
  <c r="CX195" i="1"/>
  <c r="CY195" i="1"/>
  <c r="CZ195" i="1"/>
  <c r="DA195" i="1"/>
  <c r="DB195" i="1"/>
  <c r="DC195" i="1"/>
  <c r="DD195" i="1"/>
  <c r="DE195" i="1"/>
  <c r="DF195" i="1"/>
  <c r="DG195" i="1"/>
  <c r="DH195" i="1"/>
  <c r="CL196" i="1"/>
  <c r="CM196" i="1"/>
  <c r="CN196" i="1"/>
  <c r="CO196" i="1"/>
  <c r="CP196" i="1"/>
  <c r="CQ196" i="1"/>
  <c r="CR196" i="1"/>
  <c r="CS196" i="1"/>
  <c r="CT196" i="1"/>
  <c r="CU196" i="1"/>
  <c r="CV196" i="1"/>
  <c r="CW196" i="1"/>
  <c r="CX196" i="1"/>
  <c r="CY196" i="1"/>
  <c r="CZ196" i="1"/>
  <c r="DA196" i="1"/>
  <c r="DB196" i="1"/>
  <c r="DC196" i="1"/>
  <c r="DD196" i="1"/>
  <c r="DE196" i="1"/>
  <c r="DF196" i="1"/>
  <c r="DG196" i="1"/>
  <c r="DH196" i="1"/>
  <c r="CL197" i="1"/>
  <c r="CM197" i="1"/>
  <c r="CN197" i="1"/>
  <c r="CO197" i="1"/>
  <c r="CP197" i="1"/>
  <c r="CQ197" i="1"/>
  <c r="CR197" i="1"/>
  <c r="CS197" i="1"/>
  <c r="CT197" i="1"/>
  <c r="CU197" i="1"/>
  <c r="CV197" i="1"/>
  <c r="CW197" i="1"/>
  <c r="CX197" i="1"/>
  <c r="CY197" i="1"/>
  <c r="CZ197" i="1"/>
  <c r="DA197" i="1"/>
  <c r="DB197" i="1"/>
  <c r="DC197" i="1"/>
  <c r="DD197" i="1"/>
  <c r="DE197" i="1"/>
  <c r="DF197" i="1"/>
  <c r="DG197" i="1"/>
  <c r="DH197" i="1"/>
  <c r="CL198" i="1"/>
  <c r="CM198" i="1"/>
  <c r="CN198" i="1"/>
  <c r="CO198" i="1"/>
  <c r="CP198" i="1"/>
  <c r="CQ198" i="1"/>
  <c r="CR198" i="1"/>
  <c r="CS198" i="1"/>
  <c r="CT198" i="1"/>
  <c r="CU198" i="1"/>
  <c r="CV198" i="1"/>
  <c r="CW198" i="1"/>
  <c r="CX198" i="1"/>
  <c r="CY198" i="1"/>
  <c r="CZ198" i="1"/>
  <c r="DA198" i="1"/>
  <c r="DB198" i="1"/>
  <c r="DC198" i="1"/>
  <c r="DD198" i="1"/>
  <c r="DE198" i="1"/>
  <c r="DF198" i="1"/>
  <c r="DG198" i="1"/>
  <c r="DH198" i="1"/>
  <c r="CL199" i="1"/>
  <c r="CM199" i="1"/>
  <c r="CN199" i="1"/>
  <c r="CO199" i="1"/>
  <c r="CP199" i="1"/>
  <c r="CQ199" i="1"/>
  <c r="CR199" i="1"/>
  <c r="CS199" i="1"/>
  <c r="CT199" i="1"/>
  <c r="CU199" i="1"/>
  <c r="CV199" i="1"/>
  <c r="CW199" i="1"/>
  <c r="CX199" i="1"/>
  <c r="CY199" i="1"/>
  <c r="CZ199" i="1"/>
  <c r="DA199" i="1"/>
  <c r="DB199" i="1"/>
  <c r="DC199" i="1"/>
  <c r="DD199" i="1"/>
  <c r="DE199" i="1"/>
  <c r="DF199" i="1"/>
  <c r="DG199" i="1"/>
  <c r="DH199" i="1"/>
  <c r="CL200" i="1"/>
  <c r="CM200" i="1"/>
  <c r="CN200" i="1"/>
  <c r="CO200" i="1"/>
  <c r="CP200" i="1"/>
  <c r="CQ200" i="1"/>
  <c r="CR200" i="1"/>
  <c r="CS200" i="1"/>
  <c r="CT200" i="1"/>
  <c r="CU200" i="1"/>
  <c r="CV200" i="1"/>
  <c r="CW200" i="1"/>
  <c r="CX200" i="1"/>
  <c r="CY200" i="1"/>
  <c r="CZ200" i="1"/>
  <c r="DA200" i="1"/>
  <c r="DB200" i="1"/>
  <c r="DC200" i="1"/>
  <c r="DD200" i="1"/>
  <c r="DE200" i="1"/>
  <c r="DF200" i="1"/>
  <c r="DG200" i="1"/>
  <c r="DH200" i="1"/>
  <c r="CL201" i="1"/>
  <c r="CM201" i="1"/>
  <c r="CN201" i="1"/>
  <c r="CO201" i="1"/>
  <c r="CP201" i="1"/>
  <c r="CQ201" i="1"/>
  <c r="CR201" i="1"/>
  <c r="CS201" i="1"/>
  <c r="CT201" i="1"/>
  <c r="CU201" i="1"/>
  <c r="CV201" i="1"/>
  <c r="CW201" i="1"/>
  <c r="CX201" i="1"/>
  <c r="CY201" i="1"/>
  <c r="CZ201" i="1"/>
  <c r="DA201" i="1"/>
  <c r="DB201" i="1"/>
  <c r="DC201" i="1"/>
  <c r="DD201" i="1"/>
  <c r="DE201" i="1"/>
  <c r="DF201" i="1"/>
  <c r="DG201" i="1"/>
  <c r="DH201" i="1"/>
  <c r="CL202" i="1"/>
  <c r="CM202" i="1"/>
  <c r="CN202" i="1"/>
  <c r="CO202" i="1"/>
  <c r="CP202" i="1"/>
  <c r="CQ202" i="1"/>
  <c r="CR202" i="1"/>
  <c r="CS202" i="1"/>
  <c r="CT202" i="1"/>
  <c r="CU202" i="1"/>
  <c r="CV202" i="1"/>
  <c r="CW202" i="1"/>
  <c r="CX202" i="1"/>
  <c r="CY202" i="1"/>
  <c r="CZ202" i="1"/>
  <c r="DA202" i="1"/>
  <c r="DB202" i="1"/>
  <c r="DC202" i="1"/>
  <c r="DD202" i="1"/>
  <c r="DE202" i="1"/>
  <c r="DF202" i="1"/>
  <c r="DG202" i="1"/>
  <c r="DH202" i="1"/>
  <c r="CL203" i="1"/>
  <c r="CM203" i="1"/>
  <c r="CN203" i="1"/>
  <c r="CO203" i="1"/>
  <c r="CP203" i="1"/>
  <c r="CQ203" i="1"/>
  <c r="CR203" i="1"/>
  <c r="CS203" i="1"/>
  <c r="CT203" i="1"/>
  <c r="CU203" i="1"/>
  <c r="CV203" i="1"/>
  <c r="CW203" i="1"/>
  <c r="CX203" i="1"/>
  <c r="CY203" i="1"/>
  <c r="CZ203" i="1"/>
  <c r="DA203" i="1"/>
  <c r="DB203" i="1"/>
  <c r="DC203" i="1"/>
  <c r="DD203" i="1"/>
  <c r="DE203" i="1"/>
  <c r="DF203" i="1"/>
  <c r="DG203" i="1"/>
  <c r="DH203" i="1"/>
  <c r="CL204" i="1"/>
  <c r="CM204" i="1"/>
  <c r="CN204" i="1"/>
  <c r="CO204" i="1"/>
  <c r="CP204" i="1"/>
  <c r="CQ204" i="1"/>
  <c r="CR204" i="1"/>
  <c r="CS204" i="1"/>
  <c r="CT204" i="1"/>
  <c r="CU204" i="1"/>
  <c r="CV204" i="1"/>
  <c r="CW204" i="1"/>
  <c r="CX204" i="1"/>
  <c r="CY204" i="1"/>
  <c r="CZ204" i="1"/>
  <c r="DA204" i="1"/>
  <c r="DB204" i="1"/>
  <c r="DC204" i="1"/>
  <c r="DD204" i="1"/>
  <c r="DE204" i="1"/>
  <c r="DF204" i="1"/>
  <c r="DG204" i="1"/>
  <c r="DH204" i="1"/>
  <c r="CL205" i="1"/>
  <c r="CM205" i="1"/>
  <c r="CN205" i="1"/>
  <c r="CO205" i="1"/>
  <c r="CP205" i="1"/>
  <c r="CQ205" i="1"/>
  <c r="CR205" i="1"/>
  <c r="CS205" i="1"/>
  <c r="CT205" i="1"/>
  <c r="CU205" i="1"/>
  <c r="CV205" i="1"/>
  <c r="CW205" i="1"/>
  <c r="CX205" i="1"/>
  <c r="CY205" i="1"/>
  <c r="CZ205" i="1"/>
  <c r="DA205" i="1"/>
  <c r="DB205" i="1"/>
  <c r="DC205" i="1"/>
  <c r="DD205" i="1"/>
  <c r="DE205" i="1"/>
  <c r="DF205" i="1"/>
  <c r="DG205" i="1"/>
  <c r="DH205" i="1"/>
  <c r="CL206" i="1"/>
  <c r="CM206" i="1"/>
  <c r="CN206" i="1"/>
  <c r="CO206" i="1"/>
  <c r="CP206" i="1"/>
  <c r="CQ206" i="1"/>
  <c r="CR206" i="1"/>
  <c r="CS206" i="1"/>
  <c r="CT206" i="1"/>
  <c r="CU206" i="1"/>
  <c r="CV206" i="1"/>
  <c r="CW206" i="1"/>
  <c r="CX206" i="1"/>
  <c r="CY206" i="1"/>
  <c r="CZ206" i="1"/>
  <c r="DA206" i="1"/>
  <c r="DB206" i="1"/>
  <c r="DC206" i="1"/>
  <c r="DD206" i="1"/>
  <c r="DE206" i="1"/>
  <c r="DF206" i="1"/>
  <c r="DG206" i="1"/>
  <c r="DH206" i="1"/>
  <c r="CL207" i="1"/>
  <c r="CM207" i="1"/>
  <c r="CN207" i="1"/>
  <c r="CO207" i="1"/>
  <c r="CP207" i="1"/>
  <c r="CQ207" i="1"/>
  <c r="CR207" i="1"/>
  <c r="CS207" i="1"/>
  <c r="CT207" i="1"/>
  <c r="CU207" i="1"/>
  <c r="CV207" i="1"/>
  <c r="CW207" i="1"/>
  <c r="CX207" i="1"/>
  <c r="CY207" i="1"/>
  <c r="CZ207" i="1"/>
  <c r="DA207" i="1"/>
  <c r="DB207" i="1"/>
  <c r="DC207" i="1"/>
  <c r="DD207" i="1"/>
  <c r="DE207" i="1"/>
  <c r="DF207" i="1"/>
  <c r="DG207" i="1"/>
  <c r="DH207" i="1"/>
  <c r="CL208" i="1"/>
  <c r="CM208" i="1"/>
  <c r="CN208" i="1"/>
  <c r="CO208" i="1"/>
  <c r="CP208" i="1"/>
  <c r="CQ208" i="1"/>
  <c r="CR208" i="1"/>
  <c r="CS208" i="1"/>
  <c r="CT208" i="1"/>
  <c r="CU208" i="1"/>
  <c r="CV208" i="1"/>
  <c r="CW208" i="1"/>
  <c r="CX208" i="1"/>
  <c r="CY208" i="1"/>
  <c r="CZ208" i="1"/>
  <c r="DA208" i="1"/>
  <c r="DB208" i="1"/>
  <c r="DC208" i="1"/>
  <c r="DD208" i="1"/>
  <c r="DE208" i="1"/>
  <c r="DF208" i="1"/>
  <c r="DG208" i="1"/>
  <c r="DH208" i="1"/>
  <c r="CL209" i="1"/>
  <c r="CM209" i="1"/>
  <c r="CN209" i="1"/>
  <c r="CO209" i="1"/>
  <c r="CP209" i="1"/>
  <c r="CQ209" i="1"/>
  <c r="CR209" i="1"/>
  <c r="CS209" i="1"/>
  <c r="CT209" i="1"/>
  <c r="CU209" i="1"/>
  <c r="CV209" i="1"/>
  <c r="CW209" i="1"/>
  <c r="CX209" i="1"/>
  <c r="CY209" i="1"/>
  <c r="CZ209" i="1"/>
  <c r="DA209" i="1"/>
  <c r="DB209" i="1"/>
  <c r="DC209" i="1"/>
  <c r="DD209" i="1"/>
  <c r="DE209" i="1"/>
  <c r="DF209" i="1"/>
  <c r="DG209" i="1"/>
  <c r="DH209" i="1"/>
  <c r="CL210" i="1"/>
  <c r="CM210" i="1"/>
  <c r="CN210" i="1"/>
  <c r="CO210" i="1"/>
  <c r="CP210" i="1"/>
  <c r="CQ210" i="1"/>
  <c r="CR210" i="1"/>
  <c r="CS210" i="1"/>
  <c r="CT210" i="1"/>
  <c r="CU210" i="1"/>
  <c r="CV210" i="1"/>
  <c r="CW210" i="1"/>
  <c r="CX210" i="1"/>
  <c r="CY210" i="1"/>
  <c r="CZ210" i="1"/>
  <c r="DA210" i="1"/>
  <c r="DB210" i="1"/>
  <c r="DC210" i="1"/>
  <c r="DD210" i="1"/>
  <c r="DE210" i="1"/>
  <c r="DF210" i="1"/>
  <c r="DG210" i="1"/>
  <c r="DH210" i="1"/>
  <c r="CL211" i="1"/>
  <c r="CM211" i="1"/>
  <c r="CN211" i="1"/>
  <c r="CO211" i="1"/>
  <c r="CP211" i="1"/>
  <c r="CQ211" i="1"/>
  <c r="CR211" i="1"/>
  <c r="CS211" i="1"/>
  <c r="CT211" i="1"/>
  <c r="CU211" i="1"/>
  <c r="CV211" i="1"/>
  <c r="CW211" i="1"/>
  <c r="CX211" i="1"/>
  <c r="CY211" i="1"/>
  <c r="CZ211" i="1"/>
  <c r="DA211" i="1"/>
  <c r="DB211" i="1"/>
  <c r="DC211" i="1"/>
  <c r="DD211" i="1"/>
  <c r="DE211" i="1"/>
  <c r="DF211" i="1"/>
  <c r="DG211" i="1"/>
  <c r="DH211" i="1"/>
  <c r="CL212" i="1"/>
  <c r="CM212" i="1"/>
  <c r="CN212" i="1"/>
  <c r="CO212" i="1"/>
  <c r="CP212" i="1"/>
  <c r="CQ212" i="1"/>
  <c r="CR212" i="1"/>
  <c r="CS212" i="1"/>
  <c r="CT212" i="1"/>
  <c r="CU212" i="1"/>
  <c r="CV212" i="1"/>
  <c r="CW212" i="1"/>
  <c r="CX212" i="1"/>
  <c r="CY212" i="1"/>
  <c r="CZ212" i="1"/>
  <c r="DA212" i="1"/>
  <c r="DB212" i="1"/>
  <c r="DC212" i="1"/>
  <c r="DD212" i="1"/>
  <c r="DE212" i="1"/>
  <c r="DF212" i="1"/>
  <c r="DG212" i="1"/>
  <c r="DH212" i="1"/>
  <c r="CL213" i="1"/>
  <c r="CM213" i="1"/>
  <c r="CN213" i="1"/>
  <c r="CO213" i="1"/>
  <c r="CP213" i="1"/>
  <c r="CQ213" i="1"/>
  <c r="CR213" i="1"/>
  <c r="CS213" i="1"/>
  <c r="CT213" i="1"/>
  <c r="CU213" i="1"/>
  <c r="CV213" i="1"/>
  <c r="CW213" i="1"/>
  <c r="CX213" i="1"/>
  <c r="CY213" i="1"/>
  <c r="CZ213" i="1"/>
  <c r="DA213" i="1"/>
  <c r="DB213" i="1"/>
  <c r="DC213" i="1"/>
  <c r="DD213" i="1"/>
  <c r="DE213" i="1"/>
  <c r="DF213" i="1"/>
  <c r="DG213" i="1"/>
  <c r="DH213" i="1"/>
  <c r="CL214" i="1"/>
  <c r="CM214" i="1"/>
  <c r="CN214" i="1"/>
  <c r="CO214" i="1"/>
  <c r="CP214" i="1"/>
  <c r="CQ214" i="1"/>
  <c r="CR214" i="1"/>
  <c r="CS214" i="1"/>
  <c r="CT214" i="1"/>
  <c r="CU214" i="1"/>
  <c r="CV214" i="1"/>
  <c r="CW214" i="1"/>
  <c r="CX214" i="1"/>
  <c r="CY214" i="1"/>
  <c r="CZ214" i="1"/>
  <c r="DA214" i="1"/>
  <c r="DB214" i="1"/>
  <c r="DC214" i="1"/>
  <c r="DD214" i="1"/>
  <c r="DE214" i="1"/>
  <c r="DF214" i="1"/>
  <c r="DG214" i="1"/>
  <c r="DH214" i="1"/>
  <c r="CL215" i="1"/>
  <c r="CM215" i="1"/>
  <c r="CN215" i="1"/>
  <c r="CO215" i="1"/>
  <c r="CP215" i="1"/>
  <c r="CQ215" i="1"/>
  <c r="CR215" i="1"/>
  <c r="CS215" i="1"/>
  <c r="CT215" i="1"/>
  <c r="CU215" i="1"/>
  <c r="CV215" i="1"/>
  <c r="CW215" i="1"/>
  <c r="CX215" i="1"/>
  <c r="CY215" i="1"/>
  <c r="CZ215" i="1"/>
  <c r="DA215" i="1"/>
  <c r="DB215" i="1"/>
  <c r="DC215" i="1"/>
  <c r="DD215" i="1"/>
  <c r="DE215" i="1"/>
  <c r="DF215" i="1"/>
  <c r="DG215" i="1"/>
  <c r="DH215" i="1"/>
  <c r="CL216" i="1"/>
  <c r="CM216" i="1"/>
  <c r="CN216" i="1"/>
  <c r="CO216" i="1"/>
  <c r="CP216" i="1"/>
  <c r="CQ216" i="1"/>
  <c r="CR216" i="1"/>
  <c r="CS216" i="1"/>
  <c r="CT216" i="1"/>
  <c r="CU216" i="1"/>
  <c r="CV216" i="1"/>
  <c r="CW216" i="1"/>
  <c r="CX216" i="1"/>
  <c r="CY216" i="1"/>
  <c r="CZ216" i="1"/>
  <c r="DA216" i="1"/>
  <c r="DB216" i="1"/>
  <c r="DC216" i="1"/>
  <c r="DD216" i="1"/>
  <c r="DE216" i="1"/>
  <c r="DF216" i="1"/>
  <c r="DG216" i="1"/>
  <c r="DH216" i="1"/>
  <c r="CL217" i="1"/>
  <c r="CM217" i="1"/>
  <c r="CN217" i="1"/>
  <c r="CO217" i="1"/>
  <c r="CP217" i="1"/>
  <c r="CQ217" i="1"/>
  <c r="CR217" i="1"/>
  <c r="CS217" i="1"/>
  <c r="CT217" i="1"/>
  <c r="CU217" i="1"/>
  <c r="CV217" i="1"/>
  <c r="CW217" i="1"/>
  <c r="CX217" i="1"/>
  <c r="CY217" i="1"/>
  <c r="CZ217" i="1"/>
  <c r="DA217" i="1"/>
  <c r="DB217" i="1"/>
  <c r="DC217" i="1"/>
  <c r="DD217" i="1"/>
  <c r="DE217" i="1"/>
  <c r="DF217" i="1"/>
  <c r="DG217" i="1"/>
  <c r="DH217" i="1"/>
  <c r="CL218" i="1"/>
  <c r="CM218" i="1"/>
  <c r="CN218" i="1"/>
  <c r="CO218" i="1"/>
  <c r="CP218" i="1"/>
  <c r="CQ218" i="1"/>
  <c r="CR218" i="1"/>
  <c r="CS218" i="1"/>
  <c r="CT218" i="1"/>
  <c r="CU218" i="1"/>
  <c r="CV218" i="1"/>
  <c r="CW218" i="1"/>
  <c r="CX218" i="1"/>
  <c r="CY218" i="1"/>
  <c r="CZ218" i="1"/>
  <c r="DA218" i="1"/>
  <c r="DB218" i="1"/>
  <c r="DC218" i="1"/>
  <c r="DD218" i="1"/>
  <c r="DE218" i="1"/>
  <c r="DF218" i="1"/>
  <c r="DG218" i="1"/>
  <c r="DH218" i="1"/>
  <c r="CL219" i="1"/>
  <c r="CM219" i="1"/>
  <c r="CN219" i="1"/>
  <c r="CO219" i="1"/>
  <c r="CP219" i="1"/>
  <c r="CQ219" i="1"/>
  <c r="CR219" i="1"/>
  <c r="CS219" i="1"/>
  <c r="CT219" i="1"/>
  <c r="CU219" i="1"/>
  <c r="CV219" i="1"/>
  <c r="CW219" i="1"/>
  <c r="CX219" i="1"/>
  <c r="CY219" i="1"/>
  <c r="CZ219" i="1"/>
  <c r="DA219" i="1"/>
  <c r="DB219" i="1"/>
  <c r="DC219" i="1"/>
  <c r="DD219" i="1"/>
  <c r="DE219" i="1"/>
  <c r="DF219" i="1"/>
  <c r="DG219" i="1"/>
  <c r="DH219" i="1"/>
  <c r="CL220" i="1"/>
  <c r="CM220" i="1"/>
  <c r="CN220" i="1"/>
  <c r="CO220" i="1"/>
  <c r="CP220" i="1"/>
  <c r="CQ220" i="1"/>
  <c r="CR220" i="1"/>
  <c r="CS220" i="1"/>
  <c r="CT220" i="1"/>
  <c r="CU220" i="1"/>
  <c r="CV220" i="1"/>
  <c r="CW220" i="1"/>
  <c r="CX220" i="1"/>
  <c r="CY220" i="1"/>
  <c r="CZ220" i="1"/>
  <c r="DA220" i="1"/>
  <c r="DB220" i="1"/>
  <c r="DC220" i="1"/>
  <c r="DD220" i="1"/>
  <c r="DE220" i="1"/>
  <c r="DF220" i="1"/>
  <c r="DG220" i="1"/>
  <c r="DH220" i="1"/>
  <c r="CL221" i="1"/>
  <c r="CM221" i="1"/>
  <c r="CN221" i="1"/>
  <c r="CO221" i="1"/>
  <c r="CP221" i="1"/>
  <c r="CQ221" i="1"/>
  <c r="CR221" i="1"/>
  <c r="CS221" i="1"/>
  <c r="CT221" i="1"/>
  <c r="CU221" i="1"/>
  <c r="CV221" i="1"/>
  <c r="CW221" i="1"/>
  <c r="CX221" i="1"/>
  <c r="CY221" i="1"/>
  <c r="CZ221" i="1"/>
  <c r="DA221" i="1"/>
  <c r="DB221" i="1"/>
  <c r="DC221" i="1"/>
  <c r="DD221" i="1"/>
  <c r="DE221" i="1"/>
  <c r="DF221" i="1"/>
  <c r="DG221" i="1"/>
  <c r="DH221" i="1"/>
  <c r="CL222" i="1"/>
  <c r="CM222" i="1"/>
  <c r="CN222" i="1"/>
  <c r="CO222" i="1"/>
  <c r="CP222" i="1"/>
  <c r="CQ222" i="1"/>
  <c r="CR222" i="1"/>
  <c r="CS222" i="1"/>
  <c r="CT222" i="1"/>
  <c r="CU222" i="1"/>
  <c r="CV222" i="1"/>
  <c r="CW222" i="1"/>
  <c r="CX222" i="1"/>
  <c r="CY222" i="1"/>
  <c r="CZ222" i="1"/>
  <c r="DA222" i="1"/>
  <c r="DB222" i="1"/>
  <c r="DC222" i="1"/>
  <c r="DD222" i="1"/>
  <c r="DE222" i="1"/>
  <c r="DF222" i="1"/>
  <c r="DG222" i="1"/>
  <c r="DH222" i="1"/>
  <c r="CL223" i="1"/>
  <c r="CM223" i="1"/>
  <c r="CN223" i="1"/>
  <c r="CO223" i="1"/>
  <c r="CP223" i="1"/>
  <c r="CQ223" i="1"/>
  <c r="CR223" i="1"/>
  <c r="CS223" i="1"/>
  <c r="CT223" i="1"/>
  <c r="CU223" i="1"/>
  <c r="CV223" i="1"/>
  <c r="CW223" i="1"/>
  <c r="CX223" i="1"/>
  <c r="CY223" i="1"/>
  <c r="CZ223" i="1"/>
  <c r="DA223" i="1"/>
  <c r="DB223" i="1"/>
  <c r="DC223" i="1"/>
  <c r="DD223" i="1"/>
  <c r="DE223" i="1"/>
  <c r="DF223" i="1"/>
  <c r="DG223" i="1"/>
  <c r="DH223" i="1"/>
  <c r="CL224" i="1"/>
  <c r="CM224" i="1"/>
  <c r="CN224" i="1"/>
  <c r="CO224" i="1"/>
  <c r="CP224" i="1"/>
  <c r="CQ224" i="1"/>
  <c r="CR224" i="1"/>
  <c r="CS224" i="1"/>
  <c r="CT224" i="1"/>
  <c r="CU224" i="1"/>
  <c r="CV224" i="1"/>
  <c r="CW224" i="1"/>
  <c r="CX224" i="1"/>
  <c r="CY224" i="1"/>
  <c r="CZ224" i="1"/>
  <c r="DA224" i="1"/>
  <c r="DB224" i="1"/>
  <c r="DC224" i="1"/>
  <c r="DD224" i="1"/>
  <c r="DE224" i="1"/>
  <c r="DF224" i="1"/>
  <c r="DG224" i="1"/>
  <c r="DH224" i="1"/>
  <c r="CL225" i="1"/>
  <c r="CM225" i="1"/>
  <c r="CN225" i="1"/>
  <c r="CO225" i="1"/>
  <c r="CP225" i="1"/>
  <c r="CQ225" i="1"/>
  <c r="CR225" i="1"/>
  <c r="CS225" i="1"/>
  <c r="CT225" i="1"/>
  <c r="CU225" i="1"/>
  <c r="CV225" i="1"/>
  <c r="CW225" i="1"/>
  <c r="CX225" i="1"/>
  <c r="CY225" i="1"/>
  <c r="CZ225" i="1"/>
  <c r="DA225" i="1"/>
  <c r="DB225" i="1"/>
  <c r="DC225" i="1"/>
  <c r="DD225" i="1"/>
  <c r="DE225" i="1"/>
  <c r="DF225" i="1"/>
  <c r="DG225" i="1"/>
  <c r="DH225" i="1"/>
  <c r="CL226" i="1"/>
  <c r="CM226" i="1"/>
  <c r="CN226" i="1"/>
  <c r="CO226" i="1"/>
  <c r="CP226" i="1"/>
  <c r="CQ226" i="1"/>
  <c r="CR226" i="1"/>
  <c r="CS226" i="1"/>
  <c r="CT226" i="1"/>
  <c r="CU226" i="1"/>
  <c r="CV226" i="1"/>
  <c r="CW226" i="1"/>
  <c r="CX226" i="1"/>
  <c r="CY226" i="1"/>
  <c r="CZ226" i="1"/>
  <c r="DA226" i="1"/>
  <c r="DB226" i="1"/>
  <c r="DC226" i="1"/>
  <c r="DD226" i="1"/>
  <c r="DE226" i="1"/>
  <c r="DF226" i="1"/>
  <c r="DG226" i="1"/>
  <c r="DH226" i="1"/>
  <c r="CL227" i="1"/>
  <c r="CM227" i="1"/>
  <c r="CN227" i="1"/>
  <c r="CO227" i="1"/>
  <c r="CP227" i="1"/>
  <c r="CQ227" i="1"/>
  <c r="CR227" i="1"/>
  <c r="CS227" i="1"/>
  <c r="CT227" i="1"/>
  <c r="CU227" i="1"/>
  <c r="CV227" i="1"/>
  <c r="CW227" i="1"/>
  <c r="CX227" i="1"/>
  <c r="CY227" i="1"/>
  <c r="CZ227" i="1"/>
  <c r="DA227" i="1"/>
  <c r="DB227" i="1"/>
  <c r="DC227" i="1"/>
  <c r="DD227" i="1"/>
  <c r="DE227" i="1"/>
  <c r="DF227" i="1"/>
  <c r="DG227" i="1"/>
  <c r="DH227" i="1"/>
  <c r="CL228" i="1"/>
  <c r="CM228" i="1"/>
  <c r="CN228" i="1"/>
  <c r="CO228" i="1"/>
  <c r="CP228" i="1"/>
  <c r="CQ228" i="1"/>
  <c r="CR228" i="1"/>
  <c r="CS228" i="1"/>
  <c r="CT228" i="1"/>
  <c r="CU228" i="1"/>
  <c r="CV228" i="1"/>
  <c r="CW228" i="1"/>
  <c r="CX228" i="1"/>
  <c r="CY228" i="1"/>
  <c r="CZ228" i="1"/>
  <c r="DA228" i="1"/>
  <c r="DB228" i="1"/>
  <c r="DC228" i="1"/>
  <c r="DD228" i="1"/>
  <c r="DE228" i="1"/>
  <c r="DF228" i="1"/>
  <c r="DG228" i="1"/>
  <c r="DH228" i="1"/>
  <c r="CL229" i="1"/>
  <c r="CM229" i="1"/>
  <c r="CN229" i="1"/>
  <c r="CO229" i="1"/>
  <c r="CP229" i="1"/>
  <c r="CQ229" i="1"/>
  <c r="CR229" i="1"/>
  <c r="CS229" i="1"/>
  <c r="CT229" i="1"/>
  <c r="CU229" i="1"/>
  <c r="CV229" i="1"/>
  <c r="CW229" i="1"/>
  <c r="CX229" i="1"/>
  <c r="CY229" i="1"/>
  <c r="CZ229" i="1"/>
  <c r="DA229" i="1"/>
  <c r="DB229" i="1"/>
  <c r="DC229" i="1"/>
  <c r="DD229" i="1"/>
  <c r="DE229" i="1"/>
  <c r="DF229" i="1"/>
  <c r="DG229" i="1"/>
  <c r="DH229" i="1"/>
  <c r="CL230" i="1"/>
  <c r="CM230" i="1"/>
  <c r="CN230" i="1"/>
  <c r="CO230" i="1"/>
  <c r="CP230" i="1"/>
  <c r="CQ230" i="1"/>
  <c r="CR230" i="1"/>
  <c r="CS230" i="1"/>
  <c r="CT230" i="1"/>
  <c r="CU230" i="1"/>
  <c r="CV230" i="1"/>
  <c r="CW230" i="1"/>
  <c r="CX230" i="1"/>
  <c r="CY230" i="1"/>
  <c r="CZ230" i="1"/>
  <c r="DA230" i="1"/>
  <c r="DB230" i="1"/>
  <c r="DC230" i="1"/>
  <c r="DD230" i="1"/>
  <c r="DE230" i="1"/>
  <c r="DF230" i="1"/>
  <c r="DG230" i="1"/>
  <c r="DH230" i="1"/>
  <c r="CL231" i="1"/>
  <c r="CM231" i="1"/>
  <c r="CN231" i="1"/>
  <c r="CO231" i="1"/>
  <c r="CP231" i="1"/>
  <c r="CQ231" i="1"/>
  <c r="CR231" i="1"/>
  <c r="CS231" i="1"/>
  <c r="CT231" i="1"/>
  <c r="CU231" i="1"/>
  <c r="CV231" i="1"/>
  <c r="CW231" i="1"/>
  <c r="CX231" i="1"/>
  <c r="CY231" i="1"/>
  <c r="CZ231" i="1"/>
  <c r="DA231" i="1"/>
  <c r="DB231" i="1"/>
  <c r="DC231" i="1"/>
  <c r="DD231" i="1"/>
  <c r="DE231" i="1"/>
  <c r="DF231" i="1"/>
  <c r="DG231" i="1"/>
  <c r="DH231" i="1"/>
  <c r="CL232" i="1"/>
  <c r="CM232" i="1"/>
  <c r="CN232" i="1"/>
  <c r="CO232" i="1"/>
  <c r="CP232" i="1"/>
  <c r="CQ232" i="1"/>
  <c r="CR232" i="1"/>
  <c r="CS232" i="1"/>
  <c r="CT232" i="1"/>
  <c r="CU232" i="1"/>
  <c r="CV232" i="1"/>
  <c r="CW232" i="1"/>
  <c r="CX232" i="1"/>
  <c r="CY232" i="1"/>
  <c r="CZ232" i="1"/>
  <c r="DA232" i="1"/>
  <c r="DB232" i="1"/>
  <c r="DC232" i="1"/>
  <c r="DD232" i="1"/>
  <c r="DE232" i="1"/>
  <c r="DF232" i="1"/>
  <c r="DG232" i="1"/>
  <c r="DH232" i="1"/>
  <c r="CL233" i="1"/>
  <c r="CM233" i="1"/>
  <c r="CN233" i="1"/>
  <c r="CO233" i="1"/>
  <c r="CP233" i="1"/>
  <c r="CQ233" i="1"/>
  <c r="CR233" i="1"/>
  <c r="CS233" i="1"/>
  <c r="CT233" i="1"/>
  <c r="CU233" i="1"/>
  <c r="CV233" i="1"/>
  <c r="CW233" i="1"/>
  <c r="CX233" i="1"/>
  <c r="CY233" i="1"/>
  <c r="CZ233" i="1"/>
  <c r="DA233" i="1"/>
  <c r="DB233" i="1"/>
  <c r="DC233" i="1"/>
  <c r="DD233" i="1"/>
  <c r="DE233" i="1"/>
  <c r="DF233" i="1"/>
  <c r="DG233" i="1"/>
  <c r="DH233" i="1"/>
  <c r="CL234" i="1"/>
  <c r="CM234" i="1"/>
  <c r="CN234" i="1"/>
  <c r="CO234" i="1"/>
  <c r="CP234" i="1"/>
  <c r="CQ234" i="1"/>
  <c r="CR234" i="1"/>
  <c r="CS234" i="1"/>
  <c r="CT234" i="1"/>
  <c r="CU234" i="1"/>
  <c r="CV234" i="1"/>
  <c r="CW234" i="1"/>
  <c r="CX234" i="1"/>
  <c r="CY234" i="1"/>
  <c r="CZ234" i="1"/>
  <c r="DA234" i="1"/>
  <c r="DB234" i="1"/>
  <c r="DC234" i="1"/>
  <c r="DD234" i="1"/>
  <c r="DE234" i="1"/>
  <c r="DF234" i="1"/>
  <c r="DG234" i="1"/>
  <c r="DH234" i="1"/>
  <c r="CL235" i="1"/>
  <c r="CM235" i="1"/>
  <c r="CN235" i="1"/>
  <c r="CO235" i="1"/>
  <c r="CP235" i="1"/>
  <c r="CQ235" i="1"/>
  <c r="CR235" i="1"/>
  <c r="CS235" i="1"/>
  <c r="CT235" i="1"/>
  <c r="CU235" i="1"/>
  <c r="CV235" i="1"/>
  <c r="CW235" i="1"/>
  <c r="CX235" i="1"/>
  <c r="CY235" i="1"/>
  <c r="CZ235" i="1"/>
  <c r="DA235" i="1"/>
  <c r="DB235" i="1"/>
  <c r="DC235" i="1"/>
  <c r="DD235" i="1"/>
  <c r="DE235" i="1"/>
  <c r="DF235" i="1"/>
  <c r="DG235" i="1"/>
  <c r="DH235" i="1"/>
  <c r="CL236" i="1"/>
  <c r="CM236" i="1"/>
  <c r="CN236" i="1"/>
  <c r="CO236" i="1"/>
  <c r="CP236" i="1"/>
  <c r="CQ236" i="1"/>
  <c r="CR236" i="1"/>
  <c r="CS236" i="1"/>
  <c r="CT236" i="1"/>
  <c r="CU236" i="1"/>
  <c r="CV236" i="1"/>
  <c r="CW236" i="1"/>
  <c r="CX236" i="1"/>
  <c r="CY236" i="1"/>
  <c r="CZ236" i="1"/>
  <c r="DA236" i="1"/>
  <c r="DB236" i="1"/>
  <c r="DC236" i="1"/>
  <c r="DD236" i="1"/>
  <c r="DE236" i="1"/>
  <c r="DF236" i="1"/>
  <c r="DG236" i="1"/>
  <c r="DH236" i="1"/>
  <c r="CL237" i="1"/>
  <c r="CM237" i="1"/>
  <c r="CN237" i="1"/>
  <c r="CO237" i="1"/>
  <c r="CP237" i="1"/>
  <c r="CQ237" i="1"/>
  <c r="CR237" i="1"/>
  <c r="CS237" i="1"/>
  <c r="CT237" i="1"/>
  <c r="CU237" i="1"/>
  <c r="CV237" i="1"/>
  <c r="CW237" i="1"/>
  <c r="CX237" i="1"/>
  <c r="CY237" i="1"/>
  <c r="CZ237" i="1"/>
  <c r="DA237" i="1"/>
  <c r="DB237" i="1"/>
  <c r="DC237" i="1"/>
  <c r="DD237" i="1"/>
  <c r="DE237" i="1"/>
  <c r="DF237" i="1"/>
  <c r="DG237" i="1"/>
  <c r="DH237" i="1"/>
  <c r="CL238" i="1"/>
  <c r="CM238" i="1"/>
  <c r="CN238" i="1"/>
  <c r="CO238" i="1"/>
  <c r="CP238" i="1"/>
  <c r="CQ238" i="1"/>
  <c r="CR238" i="1"/>
  <c r="CS238" i="1"/>
  <c r="CT238" i="1"/>
  <c r="CU238" i="1"/>
  <c r="CV238" i="1"/>
  <c r="CW238" i="1"/>
  <c r="CX238" i="1"/>
  <c r="CY238" i="1"/>
  <c r="CZ238" i="1"/>
  <c r="DA238" i="1"/>
  <c r="DB238" i="1"/>
  <c r="DC238" i="1"/>
  <c r="DD238" i="1"/>
  <c r="DE238" i="1"/>
  <c r="DF238" i="1"/>
  <c r="DG238" i="1"/>
  <c r="DH238" i="1"/>
  <c r="CL239" i="1"/>
  <c r="CM239" i="1"/>
  <c r="CN239" i="1"/>
  <c r="CO239" i="1"/>
  <c r="CP239" i="1"/>
  <c r="CQ239" i="1"/>
  <c r="CR239" i="1"/>
  <c r="CS239" i="1"/>
  <c r="CT239" i="1"/>
  <c r="CU239" i="1"/>
  <c r="CV239" i="1"/>
  <c r="CW239" i="1"/>
  <c r="CX239" i="1"/>
  <c r="CY239" i="1"/>
  <c r="CZ239" i="1"/>
  <c r="DA239" i="1"/>
  <c r="DB239" i="1"/>
  <c r="DC239" i="1"/>
  <c r="DD239" i="1"/>
  <c r="DE239" i="1"/>
  <c r="DF239" i="1"/>
  <c r="DG239" i="1"/>
  <c r="DH239" i="1"/>
  <c r="CL240" i="1"/>
  <c r="CM240" i="1"/>
  <c r="CN240" i="1"/>
  <c r="CO240" i="1"/>
  <c r="CP240" i="1"/>
  <c r="CQ240" i="1"/>
  <c r="CR240" i="1"/>
  <c r="CS240" i="1"/>
  <c r="CT240" i="1"/>
  <c r="CU240" i="1"/>
  <c r="CV240" i="1"/>
  <c r="CW240" i="1"/>
  <c r="CX240" i="1"/>
  <c r="CY240" i="1"/>
  <c r="CZ240" i="1"/>
  <c r="DA240" i="1"/>
  <c r="DB240" i="1"/>
  <c r="DC240" i="1"/>
  <c r="DD240" i="1"/>
  <c r="DE240" i="1"/>
  <c r="DF240" i="1"/>
  <c r="DG240" i="1"/>
  <c r="DH240" i="1"/>
  <c r="CL241" i="1"/>
  <c r="CM241" i="1"/>
  <c r="CN241" i="1"/>
  <c r="CO241" i="1"/>
  <c r="CP241" i="1"/>
  <c r="CQ241" i="1"/>
  <c r="CR241" i="1"/>
  <c r="CS241" i="1"/>
  <c r="CT241" i="1"/>
  <c r="CU241" i="1"/>
  <c r="CV241" i="1"/>
  <c r="CW241" i="1"/>
  <c r="CX241" i="1"/>
  <c r="CY241" i="1"/>
  <c r="CZ241" i="1"/>
  <c r="DA241" i="1"/>
  <c r="DB241" i="1"/>
  <c r="DC241" i="1"/>
  <c r="DD241" i="1"/>
  <c r="DE241" i="1"/>
  <c r="DF241" i="1"/>
  <c r="DG241" i="1"/>
  <c r="DH241" i="1"/>
  <c r="CL242" i="1"/>
  <c r="CM242" i="1"/>
  <c r="CN242" i="1"/>
  <c r="CO242" i="1"/>
  <c r="CP242" i="1"/>
  <c r="CQ242" i="1"/>
  <c r="CR242" i="1"/>
  <c r="CS242" i="1"/>
  <c r="CT242" i="1"/>
  <c r="CU242" i="1"/>
  <c r="CV242" i="1"/>
  <c r="CW242" i="1"/>
  <c r="CX242" i="1"/>
  <c r="CY242" i="1"/>
  <c r="CZ242" i="1"/>
  <c r="DA242" i="1"/>
  <c r="DB242" i="1"/>
  <c r="DC242" i="1"/>
  <c r="DD242" i="1"/>
  <c r="DE242" i="1"/>
  <c r="DF242" i="1"/>
  <c r="DG242" i="1"/>
  <c r="DH242" i="1"/>
  <c r="CL243" i="1"/>
  <c r="CM243" i="1"/>
  <c r="CN243" i="1"/>
  <c r="CO243" i="1"/>
  <c r="CP243" i="1"/>
  <c r="CQ243" i="1"/>
  <c r="CR243" i="1"/>
  <c r="CS243" i="1"/>
  <c r="CT243" i="1"/>
  <c r="CU243" i="1"/>
  <c r="CV243" i="1"/>
  <c r="CW243" i="1"/>
  <c r="CX243" i="1"/>
  <c r="CY243" i="1"/>
  <c r="CZ243" i="1"/>
  <c r="DA243" i="1"/>
  <c r="DB243" i="1"/>
  <c r="DC243" i="1"/>
  <c r="DD243" i="1"/>
  <c r="DE243" i="1"/>
  <c r="DF243" i="1"/>
  <c r="DG243" i="1"/>
  <c r="DH243" i="1"/>
  <c r="CL244" i="1"/>
  <c r="CM244" i="1"/>
  <c r="CN244" i="1"/>
  <c r="CO244" i="1"/>
  <c r="CP244" i="1"/>
  <c r="CQ244" i="1"/>
  <c r="CR244" i="1"/>
  <c r="CS244" i="1"/>
  <c r="CT244" i="1"/>
  <c r="CU244" i="1"/>
  <c r="CV244" i="1"/>
  <c r="CW244" i="1"/>
  <c r="CX244" i="1"/>
  <c r="CY244" i="1"/>
  <c r="CZ244" i="1"/>
  <c r="DA244" i="1"/>
  <c r="DB244" i="1"/>
  <c r="DC244" i="1"/>
  <c r="DD244" i="1"/>
  <c r="DE244" i="1"/>
  <c r="DF244" i="1"/>
  <c r="DG244" i="1"/>
  <c r="DH244" i="1"/>
  <c r="CL245" i="1"/>
  <c r="CM245" i="1"/>
  <c r="CN245" i="1"/>
  <c r="CO245" i="1"/>
  <c r="CP245" i="1"/>
  <c r="CQ245" i="1"/>
  <c r="CR245" i="1"/>
  <c r="CS245" i="1"/>
  <c r="CT245" i="1"/>
  <c r="CU245" i="1"/>
  <c r="CV245" i="1"/>
  <c r="CW245" i="1"/>
  <c r="CX245" i="1"/>
  <c r="CY245" i="1"/>
  <c r="CZ245" i="1"/>
  <c r="DA245" i="1"/>
  <c r="DB245" i="1"/>
  <c r="DC245" i="1"/>
  <c r="DD245" i="1"/>
  <c r="DE245" i="1"/>
  <c r="DF245" i="1"/>
  <c r="DG245" i="1"/>
  <c r="DH245" i="1"/>
  <c r="CL246" i="1"/>
  <c r="CM246" i="1"/>
  <c r="CN246" i="1"/>
  <c r="CO246" i="1"/>
  <c r="CP246" i="1"/>
  <c r="CQ246" i="1"/>
  <c r="CR246" i="1"/>
  <c r="CS246" i="1"/>
  <c r="CT246" i="1"/>
  <c r="CU246" i="1"/>
  <c r="CV246" i="1"/>
  <c r="CW246" i="1"/>
  <c r="CX246" i="1"/>
  <c r="CY246" i="1"/>
  <c r="CZ246" i="1"/>
  <c r="DA246" i="1"/>
  <c r="DB246" i="1"/>
  <c r="DC246" i="1"/>
  <c r="DD246" i="1"/>
  <c r="DE246" i="1"/>
  <c r="DF246" i="1"/>
  <c r="DG246" i="1"/>
  <c r="DH246" i="1"/>
  <c r="CL247" i="1"/>
  <c r="CM247" i="1"/>
  <c r="CN247" i="1"/>
  <c r="CO247" i="1"/>
  <c r="CP247" i="1"/>
  <c r="CQ247" i="1"/>
  <c r="CR247" i="1"/>
  <c r="CS247" i="1"/>
  <c r="CT247" i="1"/>
  <c r="CU247" i="1"/>
  <c r="CV247" i="1"/>
  <c r="CW247" i="1"/>
  <c r="CX247" i="1"/>
  <c r="CY247" i="1"/>
  <c r="CZ247" i="1"/>
  <c r="DA247" i="1"/>
  <c r="DB247" i="1"/>
  <c r="DC247" i="1"/>
  <c r="DD247" i="1"/>
  <c r="DE247" i="1"/>
  <c r="DF247" i="1"/>
  <c r="DG247" i="1"/>
  <c r="DH247" i="1"/>
  <c r="CL248" i="1"/>
  <c r="CM248" i="1"/>
  <c r="CN248" i="1"/>
  <c r="CO248" i="1"/>
  <c r="CP248" i="1"/>
  <c r="CQ248" i="1"/>
  <c r="CR248" i="1"/>
  <c r="CS248" i="1"/>
  <c r="CT248" i="1"/>
  <c r="CU248" i="1"/>
  <c r="CV248" i="1"/>
  <c r="CW248" i="1"/>
  <c r="CX248" i="1"/>
  <c r="CY248" i="1"/>
  <c r="CZ248" i="1"/>
  <c r="DA248" i="1"/>
  <c r="DB248" i="1"/>
  <c r="DC248" i="1"/>
  <c r="DD248" i="1"/>
  <c r="DE248" i="1"/>
  <c r="DF248" i="1"/>
  <c r="DG248" i="1"/>
  <c r="DH248" i="1"/>
  <c r="CL249" i="1"/>
  <c r="CM249" i="1"/>
  <c r="CN249" i="1"/>
  <c r="CO249" i="1"/>
  <c r="CP249" i="1"/>
  <c r="CQ249" i="1"/>
  <c r="CR249" i="1"/>
  <c r="CS249" i="1"/>
  <c r="CT249" i="1"/>
  <c r="CU249" i="1"/>
  <c r="CV249" i="1"/>
  <c r="CW249" i="1"/>
  <c r="CX249" i="1"/>
  <c r="CY249" i="1"/>
  <c r="CZ249" i="1"/>
  <c r="DA249" i="1"/>
  <c r="DB249" i="1"/>
  <c r="DC249" i="1"/>
  <c r="DD249" i="1"/>
  <c r="DE249" i="1"/>
  <c r="DF249" i="1"/>
  <c r="DG249" i="1"/>
  <c r="DH249" i="1"/>
  <c r="CL250" i="1"/>
  <c r="CM250" i="1"/>
  <c r="CN250" i="1"/>
  <c r="CO250" i="1"/>
  <c r="CP250" i="1"/>
  <c r="CQ250" i="1"/>
  <c r="CR250" i="1"/>
  <c r="CS250" i="1"/>
  <c r="CT250" i="1"/>
  <c r="CU250" i="1"/>
  <c r="CV250" i="1"/>
  <c r="CW250" i="1"/>
  <c r="CX250" i="1"/>
  <c r="CY250" i="1"/>
  <c r="CZ250" i="1"/>
  <c r="DA250" i="1"/>
  <c r="DB250" i="1"/>
  <c r="DC250" i="1"/>
  <c r="DD250" i="1"/>
  <c r="DE250" i="1"/>
  <c r="DF250" i="1"/>
  <c r="DG250" i="1"/>
  <c r="DH250" i="1"/>
  <c r="CL251" i="1"/>
  <c r="CM251" i="1"/>
  <c r="CN251" i="1"/>
  <c r="CO251" i="1"/>
  <c r="CP251" i="1"/>
  <c r="CQ251" i="1"/>
  <c r="CR251" i="1"/>
  <c r="CS251" i="1"/>
  <c r="CT251" i="1"/>
  <c r="CU251" i="1"/>
  <c r="CV251" i="1"/>
  <c r="CW251" i="1"/>
  <c r="CX251" i="1"/>
  <c r="CY251" i="1"/>
  <c r="CZ251" i="1"/>
  <c r="DA251" i="1"/>
  <c r="DB251" i="1"/>
  <c r="DC251" i="1"/>
  <c r="DD251" i="1"/>
  <c r="DE251" i="1"/>
  <c r="DF251" i="1"/>
  <c r="DG251" i="1"/>
  <c r="DH251" i="1"/>
  <c r="CL252" i="1"/>
  <c r="CM252" i="1"/>
  <c r="CN252" i="1"/>
  <c r="CO252" i="1"/>
  <c r="CP252" i="1"/>
  <c r="CQ252" i="1"/>
  <c r="CR252" i="1"/>
  <c r="CS252" i="1"/>
  <c r="CT252" i="1"/>
  <c r="CU252" i="1"/>
  <c r="CV252" i="1"/>
  <c r="CW252" i="1"/>
  <c r="CX252" i="1"/>
  <c r="CY252" i="1"/>
  <c r="CZ252" i="1"/>
  <c r="DA252" i="1"/>
  <c r="DB252" i="1"/>
  <c r="DC252" i="1"/>
  <c r="DD252" i="1"/>
  <c r="DE252" i="1"/>
  <c r="DF252" i="1"/>
  <c r="DG252" i="1"/>
  <c r="DH252" i="1"/>
  <c r="CL253" i="1"/>
  <c r="CM253" i="1"/>
  <c r="CN253" i="1"/>
  <c r="CO253" i="1"/>
  <c r="CP253" i="1"/>
  <c r="CQ253" i="1"/>
  <c r="CR253" i="1"/>
  <c r="CS253" i="1"/>
  <c r="CT253" i="1"/>
  <c r="CU253" i="1"/>
  <c r="CV253" i="1"/>
  <c r="CW253" i="1"/>
  <c r="CX253" i="1"/>
  <c r="CY253" i="1"/>
  <c r="CZ253" i="1"/>
  <c r="DA253" i="1"/>
  <c r="DB253" i="1"/>
  <c r="DC253" i="1"/>
  <c r="DD253" i="1"/>
  <c r="DE253" i="1"/>
  <c r="DF253" i="1"/>
  <c r="DG253" i="1"/>
  <c r="DH253" i="1"/>
  <c r="CL254" i="1"/>
  <c r="CM254" i="1"/>
  <c r="CN254" i="1"/>
  <c r="CO254" i="1"/>
  <c r="CP254" i="1"/>
  <c r="CQ254" i="1"/>
  <c r="CR254" i="1"/>
  <c r="CS254" i="1"/>
  <c r="CT254" i="1"/>
  <c r="CU254" i="1"/>
  <c r="CV254" i="1"/>
  <c r="CW254" i="1"/>
  <c r="CX254" i="1"/>
  <c r="CY254" i="1"/>
  <c r="CZ254" i="1"/>
  <c r="DA254" i="1"/>
  <c r="DB254" i="1"/>
  <c r="DC254" i="1"/>
  <c r="DD254" i="1"/>
  <c r="DE254" i="1"/>
  <c r="DF254" i="1"/>
  <c r="DG254" i="1"/>
  <c r="DH254" i="1"/>
  <c r="CL255" i="1"/>
  <c r="CM255" i="1"/>
  <c r="CN255" i="1"/>
  <c r="CO255" i="1"/>
  <c r="CP255" i="1"/>
  <c r="CQ255" i="1"/>
  <c r="CR255" i="1"/>
  <c r="CS255" i="1"/>
  <c r="CT255" i="1"/>
  <c r="CU255" i="1"/>
  <c r="CV255" i="1"/>
  <c r="CW255" i="1"/>
  <c r="CX255" i="1"/>
  <c r="CY255" i="1"/>
  <c r="CZ255" i="1"/>
  <c r="DA255" i="1"/>
  <c r="DB255" i="1"/>
  <c r="DC255" i="1"/>
  <c r="DD255" i="1"/>
  <c r="DE255" i="1"/>
  <c r="DF255" i="1"/>
  <c r="DG255" i="1"/>
  <c r="DH255" i="1"/>
  <c r="CL256" i="1"/>
  <c r="CM256" i="1"/>
  <c r="CN256" i="1"/>
  <c r="CO256" i="1"/>
  <c r="CP256" i="1"/>
  <c r="CQ256" i="1"/>
  <c r="CR256" i="1"/>
  <c r="CS256" i="1"/>
  <c r="CT256" i="1"/>
  <c r="CU256" i="1"/>
  <c r="CV256" i="1"/>
  <c r="CW256" i="1"/>
  <c r="CX256" i="1"/>
  <c r="CY256" i="1"/>
  <c r="CZ256" i="1"/>
  <c r="DA256" i="1"/>
  <c r="DB256" i="1"/>
  <c r="DC256" i="1"/>
  <c r="DD256" i="1"/>
  <c r="DE256" i="1"/>
  <c r="DF256" i="1"/>
  <c r="DG256" i="1"/>
  <c r="DH256" i="1"/>
  <c r="CL257" i="1"/>
  <c r="CM257" i="1"/>
  <c r="CN257" i="1"/>
  <c r="CO257" i="1"/>
  <c r="CP257" i="1"/>
  <c r="CQ257" i="1"/>
  <c r="CR257" i="1"/>
  <c r="CS257" i="1"/>
  <c r="CT257" i="1"/>
  <c r="CU257" i="1"/>
  <c r="CV257" i="1"/>
  <c r="CW257" i="1"/>
  <c r="CX257" i="1"/>
  <c r="CY257" i="1"/>
  <c r="CZ257" i="1"/>
  <c r="DA257" i="1"/>
  <c r="DB257" i="1"/>
  <c r="DC257" i="1"/>
  <c r="DD257" i="1"/>
  <c r="DE257" i="1"/>
  <c r="DF257" i="1"/>
  <c r="DG257" i="1"/>
  <c r="DH257" i="1"/>
  <c r="CL258" i="1"/>
  <c r="CM258" i="1"/>
  <c r="CN258" i="1"/>
  <c r="CO258" i="1"/>
  <c r="CP258" i="1"/>
  <c r="CQ258" i="1"/>
  <c r="CR258" i="1"/>
  <c r="CS258" i="1"/>
  <c r="CT258" i="1"/>
  <c r="CU258" i="1"/>
  <c r="CV258" i="1"/>
  <c r="CW258" i="1"/>
  <c r="CX258" i="1"/>
  <c r="CY258" i="1"/>
  <c r="CZ258" i="1"/>
  <c r="DA258" i="1"/>
  <c r="DB258" i="1"/>
  <c r="DC258" i="1"/>
  <c r="DD258" i="1"/>
  <c r="DE258" i="1"/>
  <c r="DF258" i="1"/>
  <c r="DG258" i="1"/>
  <c r="DH258" i="1"/>
  <c r="CL259" i="1"/>
  <c r="CM259" i="1"/>
  <c r="CN259" i="1"/>
  <c r="CO259" i="1"/>
  <c r="CP259" i="1"/>
  <c r="CQ259" i="1"/>
  <c r="CR259" i="1"/>
  <c r="CS259" i="1"/>
  <c r="CT259" i="1"/>
  <c r="CU259" i="1"/>
  <c r="CV259" i="1"/>
  <c r="CW259" i="1"/>
  <c r="CX259" i="1"/>
  <c r="CY259" i="1"/>
  <c r="CZ259" i="1"/>
  <c r="DA259" i="1"/>
  <c r="DB259" i="1"/>
  <c r="DC259" i="1"/>
  <c r="DD259" i="1"/>
  <c r="DE259" i="1"/>
  <c r="DF259" i="1"/>
  <c r="DG259" i="1"/>
  <c r="DH259" i="1"/>
  <c r="CL260" i="1"/>
  <c r="CM260" i="1"/>
  <c r="CN260" i="1"/>
  <c r="CO260" i="1"/>
  <c r="CP260" i="1"/>
  <c r="CQ260" i="1"/>
  <c r="CR260" i="1"/>
  <c r="CS260" i="1"/>
  <c r="CT260" i="1"/>
  <c r="CU260" i="1"/>
  <c r="CV260" i="1"/>
  <c r="CW260" i="1"/>
  <c r="CX260" i="1"/>
  <c r="CY260" i="1"/>
  <c r="CZ260" i="1"/>
  <c r="DA260" i="1"/>
  <c r="DB260" i="1"/>
  <c r="DC260" i="1"/>
  <c r="DD260" i="1"/>
  <c r="DE260" i="1"/>
  <c r="DF260" i="1"/>
  <c r="DG260" i="1"/>
  <c r="DH260" i="1"/>
  <c r="CL261" i="1"/>
  <c r="CM261" i="1"/>
  <c r="CN261" i="1"/>
  <c r="CO261" i="1"/>
  <c r="CP261" i="1"/>
  <c r="CQ261" i="1"/>
  <c r="CR261" i="1"/>
  <c r="CS261" i="1"/>
  <c r="CT261" i="1"/>
  <c r="CU261" i="1"/>
  <c r="CV261" i="1"/>
  <c r="CW261" i="1"/>
  <c r="CX261" i="1"/>
  <c r="CY261" i="1"/>
  <c r="CZ261" i="1"/>
  <c r="DA261" i="1"/>
  <c r="DB261" i="1"/>
  <c r="DC261" i="1"/>
  <c r="DD261" i="1"/>
  <c r="DE261" i="1"/>
  <c r="DF261" i="1"/>
  <c r="DG261" i="1"/>
  <c r="DH261" i="1"/>
  <c r="CL262" i="1"/>
  <c r="CM262" i="1"/>
  <c r="CN262" i="1"/>
  <c r="CO262" i="1"/>
  <c r="CP262" i="1"/>
  <c r="CQ262" i="1"/>
  <c r="CR262" i="1"/>
  <c r="CS262" i="1"/>
  <c r="CT262" i="1"/>
  <c r="CU262" i="1"/>
  <c r="CV262" i="1"/>
  <c r="CW262" i="1"/>
  <c r="CX262" i="1"/>
  <c r="CY262" i="1"/>
  <c r="CZ262" i="1"/>
  <c r="DA262" i="1"/>
  <c r="DB262" i="1"/>
  <c r="DC262" i="1"/>
  <c r="DD262" i="1"/>
  <c r="DE262" i="1"/>
  <c r="DF262" i="1"/>
  <c r="DG262" i="1"/>
  <c r="DH262" i="1"/>
  <c r="CL263" i="1"/>
  <c r="CM263" i="1"/>
  <c r="CN263" i="1"/>
  <c r="CO263" i="1"/>
  <c r="CP263" i="1"/>
  <c r="CQ263" i="1"/>
  <c r="CR263" i="1"/>
  <c r="CS263" i="1"/>
  <c r="CT263" i="1"/>
  <c r="CU263" i="1"/>
  <c r="CV263" i="1"/>
  <c r="CW263" i="1"/>
  <c r="CX263" i="1"/>
  <c r="CY263" i="1"/>
  <c r="CZ263" i="1"/>
  <c r="DA263" i="1"/>
  <c r="DB263" i="1"/>
  <c r="DC263" i="1"/>
  <c r="DD263" i="1"/>
  <c r="DE263" i="1"/>
  <c r="DF263" i="1"/>
  <c r="DG263" i="1"/>
  <c r="DH263" i="1"/>
  <c r="CL264" i="1"/>
  <c r="CM264" i="1"/>
  <c r="CN264" i="1"/>
  <c r="CO264" i="1"/>
  <c r="CP264" i="1"/>
  <c r="CQ264" i="1"/>
  <c r="CR264" i="1"/>
  <c r="CS264" i="1"/>
  <c r="CT264" i="1"/>
  <c r="CU264" i="1"/>
  <c r="CV264" i="1"/>
  <c r="CW264" i="1"/>
  <c r="CX264" i="1"/>
  <c r="CY264" i="1"/>
  <c r="CZ264" i="1"/>
  <c r="DA264" i="1"/>
  <c r="DB264" i="1"/>
  <c r="DC264" i="1"/>
  <c r="DD264" i="1"/>
  <c r="DE264" i="1"/>
  <c r="DF264" i="1"/>
  <c r="DG264" i="1"/>
  <c r="DH264" i="1"/>
  <c r="CL265" i="1"/>
  <c r="CM265" i="1"/>
  <c r="CN265" i="1"/>
  <c r="CO265" i="1"/>
  <c r="CP265" i="1"/>
  <c r="CQ265" i="1"/>
  <c r="CR265" i="1"/>
  <c r="CS265" i="1"/>
  <c r="CT265" i="1"/>
  <c r="CU265" i="1"/>
  <c r="CV265" i="1"/>
  <c r="CW265" i="1"/>
  <c r="CX265" i="1"/>
  <c r="CY265" i="1"/>
  <c r="CZ265" i="1"/>
  <c r="DA265" i="1"/>
  <c r="DB265" i="1"/>
  <c r="DC265" i="1"/>
  <c r="DD265" i="1"/>
  <c r="DE265" i="1"/>
  <c r="DF265" i="1"/>
  <c r="DG265" i="1"/>
  <c r="DH265" i="1"/>
  <c r="CL266" i="1"/>
  <c r="CM266" i="1"/>
  <c r="CN266" i="1"/>
  <c r="CO266" i="1"/>
  <c r="CP266" i="1"/>
  <c r="CQ266" i="1"/>
  <c r="CR266" i="1"/>
  <c r="CS266" i="1"/>
  <c r="CT266" i="1"/>
  <c r="CU266" i="1"/>
  <c r="CV266" i="1"/>
  <c r="CW266" i="1"/>
  <c r="CX266" i="1"/>
  <c r="CY266" i="1"/>
  <c r="CZ266" i="1"/>
  <c r="DA266" i="1"/>
  <c r="DB266" i="1"/>
  <c r="DC266" i="1"/>
  <c r="DD266" i="1"/>
  <c r="DE266" i="1"/>
  <c r="DF266" i="1"/>
  <c r="DG266" i="1"/>
  <c r="DH266" i="1"/>
  <c r="CL267" i="1"/>
  <c r="CM267" i="1"/>
  <c r="CN267" i="1"/>
  <c r="CO267" i="1"/>
  <c r="CP267" i="1"/>
  <c r="CQ267" i="1"/>
  <c r="CR267" i="1"/>
  <c r="CS267" i="1"/>
  <c r="CT267" i="1"/>
  <c r="CU267" i="1"/>
  <c r="CV267" i="1"/>
  <c r="CW267" i="1"/>
  <c r="CX267" i="1"/>
  <c r="CY267" i="1"/>
  <c r="CZ267" i="1"/>
  <c r="DA267" i="1"/>
  <c r="DB267" i="1"/>
  <c r="DC267" i="1"/>
  <c r="DD267" i="1"/>
  <c r="DE267" i="1"/>
  <c r="DF267" i="1"/>
  <c r="DG267" i="1"/>
  <c r="DH267" i="1"/>
  <c r="CL268" i="1"/>
  <c r="CM268" i="1"/>
  <c r="CN268" i="1"/>
  <c r="CO268" i="1"/>
  <c r="CP268" i="1"/>
  <c r="CQ268" i="1"/>
  <c r="CR268" i="1"/>
  <c r="CS268" i="1"/>
  <c r="CT268" i="1"/>
  <c r="CU268" i="1"/>
  <c r="CV268" i="1"/>
  <c r="CW268" i="1"/>
  <c r="CX268" i="1"/>
  <c r="CY268" i="1"/>
  <c r="CZ268" i="1"/>
  <c r="DA268" i="1"/>
  <c r="DB268" i="1"/>
  <c r="DC268" i="1"/>
  <c r="DD268" i="1"/>
  <c r="DE268" i="1"/>
  <c r="DF268" i="1"/>
  <c r="DG268" i="1"/>
  <c r="DH268" i="1"/>
  <c r="CL269" i="1"/>
  <c r="CM269" i="1"/>
  <c r="CN269" i="1"/>
  <c r="CO269" i="1"/>
  <c r="CP269" i="1"/>
  <c r="CQ269" i="1"/>
  <c r="CR269" i="1"/>
  <c r="CS269" i="1"/>
  <c r="CT269" i="1"/>
  <c r="CU269" i="1"/>
  <c r="CV269" i="1"/>
  <c r="CW269" i="1"/>
  <c r="CX269" i="1"/>
  <c r="CY269" i="1"/>
  <c r="CZ269" i="1"/>
  <c r="DA269" i="1"/>
  <c r="DB269" i="1"/>
  <c r="DC269" i="1"/>
  <c r="DD269" i="1"/>
  <c r="DE269" i="1"/>
  <c r="DF269" i="1"/>
  <c r="DG269" i="1"/>
  <c r="DH269" i="1"/>
  <c r="CL270" i="1"/>
  <c r="CM270" i="1"/>
  <c r="CN270" i="1"/>
  <c r="CO270" i="1"/>
  <c r="CP270" i="1"/>
  <c r="CQ270" i="1"/>
  <c r="CR270" i="1"/>
  <c r="CS270" i="1"/>
  <c r="CT270" i="1"/>
  <c r="CU270" i="1"/>
  <c r="CV270" i="1"/>
  <c r="CW270" i="1"/>
  <c r="CX270" i="1"/>
  <c r="CY270" i="1"/>
  <c r="CZ270" i="1"/>
  <c r="DA270" i="1"/>
  <c r="DB270" i="1"/>
  <c r="DC270" i="1"/>
  <c r="DD270" i="1"/>
  <c r="DE270" i="1"/>
  <c r="DF270" i="1"/>
  <c r="DG270" i="1"/>
  <c r="DH270" i="1"/>
  <c r="CL271" i="1"/>
  <c r="CM271" i="1"/>
  <c r="CN271" i="1"/>
  <c r="CO271" i="1"/>
  <c r="CP271" i="1"/>
  <c r="CQ271" i="1"/>
  <c r="CR271" i="1"/>
  <c r="CS271" i="1"/>
  <c r="CT271" i="1"/>
  <c r="CU271" i="1"/>
  <c r="CV271" i="1"/>
  <c r="CW271" i="1"/>
  <c r="CX271" i="1"/>
  <c r="CY271" i="1"/>
  <c r="CZ271" i="1"/>
  <c r="DA271" i="1"/>
  <c r="DB271" i="1"/>
  <c r="DC271" i="1"/>
  <c r="DD271" i="1"/>
  <c r="DE271" i="1"/>
  <c r="DF271" i="1"/>
  <c r="DG271" i="1"/>
  <c r="DH271" i="1"/>
  <c r="CL272" i="1"/>
  <c r="CM272" i="1"/>
  <c r="CN272" i="1"/>
  <c r="CO272" i="1"/>
  <c r="CP272" i="1"/>
  <c r="CQ272" i="1"/>
  <c r="CR272" i="1"/>
  <c r="CS272" i="1"/>
  <c r="CT272" i="1"/>
  <c r="CU272" i="1"/>
  <c r="CV272" i="1"/>
  <c r="CW272" i="1"/>
  <c r="CX272" i="1"/>
  <c r="CY272" i="1"/>
  <c r="CZ272" i="1"/>
  <c r="DA272" i="1"/>
  <c r="DB272" i="1"/>
  <c r="DC272" i="1"/>
  <c r="DD272" i="1"/>
  <c r="DE272" i="1"/>
  <c r="DF272" i="1"/>
  <c r="DG272" i="1"/>
  <c r="DH272" i="1"/>
  <c r="CL273" i="1"/>
  <c r="CM273" i="1"/>
  <c r="CN273" i="1"/>
  <c r="CO273" i="1"/>
  <c r="CP273" i="1"/>
  <c r="CQ273" i="1"/>
  <c r="CR273" i="1"/>
  <c r="CS273" i="1"/>
  <c r="CT273" i="1"/>
  <c r="CU273" i="1"/>
  <c r="CV273" i="1"/>
  <c r="CW273" i="1"/>
  <c r="CX273" i="1"/>
  <c r="CY273" i="1"/>
  <c r="CZ273" i="1"/>
  <c r="DA273" i="1"/>
  <c r="DB273" i="1"/>
  <c r="DC273" i="1"/>
  <c r="DD273" i="1"/>
  <c r="DE273" i="1"/>
  <c r="DF273" i="1"/>
  <c r="DG273" i="1"/>
  <c r="DH273" i="1"/>
  <c r="CL274" i="1"/>
  <c r="CM274" i="1"/>
  <c r="CN274" i="1"/>
  <c r="CO274" i="1"/>
  <c r="CP274" i="1"/>
  <c r="CQ274" i="1"/>
  <c r="CR274" i="1"/>
  <c r="CS274" i="1"/>
  <c r="CT274" i="1"/>
  <c r="CU274" i="1"/>
  <c r="CV274" i="1"/>
  <c r="CW274" i="1"/>
  <c r="CX274" i="1"/>
  <c r="CY274" i="1"/>
  <c r="CZ274" i="1"/>
  <c r="DA274" i="1"/>
  <c r="DB274" i="1"/>
  <c r="DC274" i="1"/>
  <c r="DD274" i="1"/>
  <c r="DE274" i="1"/>
  <c r="DF274" i="1"/>
  <c r="DG274" i="1"/>
  <c r="DH274" i="1"/>
  <c r="CL275" i="1"/>
  <c r="CM275" i="1"/>
  <c r="CN275" i="1"/>
  <c r="CO275" i="1"/>
  <c r="CP275" i="1"/>
  <c r="CQ275" i="1"/>
  <c r="CR275" i="1"/>
  <c r="CS275" i="1"/>
  <c r="CT275" i="1"/>
  <c r="CU275" i="1"/>
  <c r="CV275" i="1"/>
  <c r="CW275" i="1"/>
  <c r="CX275" i="1"/>
  <c r="CY275" i="1"/>
  <c r="CZ275" i="1"/>
  <c r="DA275" i="1"/>
  <c r="DB275" i="1"/>
  <c r="DC275" i="1"/>
  <c r="DD275" i="1"/>
  <c r="DE275" i="1"/>
  <c r="DF275" i="1"/>
  <c r="DG275" i="1"/>
  <c r="DH275" i="1"/>
  <c r="CL276" i="1"/>
  <c r="CM276" i="1"/>
  <c r="CN276" i="1"/>
  <c r="CO276" i="1"/>
  <c r="CP276" i="1"/>
  <c r="CQ276" i="1"/>
  <c r="CR276" i="1"/>
  <c r="CS276" i="1"/>
  <c r="CT276" i="1"/>
  <c r="CU276" i="1"/>
  <c r="CV276" i="1"/>
  <c r="CW276" i="1"/>
  <c r="CX276" i="1"/>
  <c r="CY276" i="1"/>
  <c r="CZ276" i="1"/>
  <c r="DA276" i="1"/>
  <c r="DB276" i="1"/>
  <c r="DC276" i="1"/>
  <c r="DD276" i="1"/>
  <c r="DE276" i="1"/>
  <c r="DF276" i="1"/>
  <c r="DG276" i="1"/>
  <c r="DH276" i="1"/>
  <c r="CL277" i="1"/>
  <c r="CM277" i="1"/>
  <c r="CN277" i="1"/>
  <c r="CO277" i="1"/>
  <c r="CP277" i="1"/>
  <c r="CQ277" i="1"/>
  <c r="CR277" i="1"/>
  <c r="CS277" i="1"/>
  <c r="CT277" i="1"/>
  <c r="CU277" i="1"/>
  <c r="CV277" i="1"/>
  <c r="CW277" i="1"/>
  <c r="CX277" i="1"/>
  <c r="CY277" i="1"/>
  <c r="CZ277" i="1"/>
  <c r="DA277" i="1"/>
  <c r="DB277" i="1"/>
  <c r="DC277" i="1"/>
  <c r="DD277" i="1"/>
  <c r="DE277" i="1"/>
  <c r="DF277" i="1"/>
  <c r="DG277" i="1"/>
  <c r="DH277" i="1"/>
  <c r="CL278" i="1"/>
  <c r="CM278" i="1"/>
  <c r="CN278" i="1"/>
  <c r="CO278" i="1"/>
  <c r="CP278" i="1"/>
  <c r="CQ278" i="1"/>
  <c r="CR278" i="1"/>
  <c r="CS278" i="1"/>
  <c r="CT278" i="1"/>
  <c r="CU278" i="1"/>
  <c r="CV278" i="1"/>
  <c r="CW278" i="1"/>
  <c r="CX278" i="1"/>
  <c r="CY278" i="1"/>
  <c r="CZ278" i="1"/>
  <c r="DA278" i="1"/>
  <c r="DB278" i="1"/>
  <c r="DC278" i="1"/>
  <c r="DD278" i="1"/>
  <c r="DE278" i="1"/>
  <c r="DF278" i="1"/>
  <c r="DG278" i="1"/>
  <c r="DH278" i="1"/>
  <c r="CL279" i="1"/>
  <c r="CM279" i="1"/>
  <c r="CN279" i="1"/>
  <c r="CO279" i="1"/>
  <c r="CP279" i="1"/>
  <c r="CQ279" i="1"/>
  <c r="CR279" i="1"/>
  <c r="CS279" i="1"/>
  <c r="CT279" i="1"/>
  <c r="CU279" i="1"/>
  <c r="CV279" i="1"/>
  <c r="CW279" i="1"/>
  <c r="CX279" i="1"/>
  <c r="CY279" i="1"/>
  <c r="CZ279" i="1"/>
  <c r="DA279" i="1"/>
  <c r="DB279" i="1"/>
  <c r="DC279" i="1"/>
  <c r="DD279" i="1"/>
  <c r="DE279" i="1"/>
  <c r="DF279" i="1"/>
  <c r="DG279" i="1"/>
  <c r="DH279" i="1"/>
  <c r="CL280" i="1"/>
  <c r="CM280" i="1"/>
  <c r="CN280" i="1"/>
  <c r="CO280" i="1"/>
  <c r="CP280" i="1"/>
  <c r="CQ280" i="1"/>
  <c r="CR280" i="1"/>
  <c r="CS280" i="1"/>
  <c r="CT280" i="1"/>
  <c r="CU280" i="1"/>
  <c r="CV280" i="1"/>
  <c r="CW280" i="1"/>
  <c r="CX280" i="1"/>
  <c r="CY280" i="1"/>
  <c r="CZ280" i="1"/>
  <c r="DA280" i="1"/>
  <c r="DB280" i="1"/>
  <c r="DC280" i="1"/>
  <c r="DD280" i="1"/>
  <c r="DE280" i="1"/>
  <c r="DF280" i="1"/>
  <c r="DG280" i="1"/>
  <c r="DH280" i="1"/>
  <c r="CL281" i="1"/>
  <c r="CM281" i="1"/>
  <c r="CN281" i="1"/>
  <c r="CO281" i="1"/>
  <c r="CP281" i="1"/>
  <c r="CQ281" i="1"/>
  <c r="CR281" i="1"/>
  <c r="CS281" i="1"/>
  <c r="CT281" i="1"/>
  <c r="CU281" i="1"/>
  <c r="CV281" i="1"/>
  <c r="CW281" i="1"/>
  <c r="CX281" i="1"/>
  <c r="CY281" i="1"/>
  <c r="CZ281" i="1"/>
  <c r="DA281" i="1"/>
  <c r="DB281" i="1"/>
  <c r="DC281" i="1"/>
  <c r="DD281" i="1"/>
  <c r="DE281" i="1"/>
  <c r="DF281" i="1"/>
  <c r="DG281" i="1"/>
  <c r="DH281" i="1"/>
  <c r="CL282" i="1"/>
  <c r="CM282" i="1"/>
  <c r="CN282" i="1"/>
  <c r="CO282" i="1"/>
  <c r="CP282" i="1"/>
  <c r="CQ282" i="1"/>
  <c r="CR282" i="1"/>
  <c r="CS282" i="1"/>
  <c r="CT282" i="1"/>
  <c r="CU282" i="1"/>
  <c r="CV282" i="1"/>
  <c r="CW282" i="1"/>
  <c r="CX282" i="1"/>
  <c r="CY282" i="1"/>
  <c r="CZ282" i="1"/>
  <c r="DA282" i="1"/>
  <c r="DB282" i="1"/>
  <c r="DC282" i="1"/>
  <c r="DD282" i="1"/>
  <c r="DE282" i="1"/>
  <c r="DF282" i="1"/>
  <c r="DG282" i="1"/>
  <c r="DH282" i="1"/>
  <c r="CL283" i="1"/>
  <c r="CM283" i="1"/>
  <c r="CN283" i="1"/>
  <c r="CO283" i="1"/>
  <c r="CP283" i="1"/>
  <c r="CQ283" i="1"/>
  <c r="CR283" i="1"/>
  <c r="CS283" i="1"/>
  <c r="CT283" i="1"/>
  <c r="CU283" i="1"/>
  <c r="CV283" i="1"/>
  <c r="CW283" i="1"/>
  <c r="CX283" i="1"/>
  <c r="CY283" i="1"/>
  <c r="CZ283" i="1"/>
  <c r="DA283" i="1"/>
  <c r="DB283" i="1"/>
  <c r="DC283" i="1"/>
  <c r="DD283" i="1"/>
  <c r="DE283" i="1"/>
  <c r="DF283" i="1"/>
  <c r="DG283" i="1"/>
  <c r="DH283" i="1"/>
  <c r="CL284" i="1"/>
  <c r="CM284" i="1"/>
  <c r="CN284" i="1"/>
  <c r="CO284" i="1"/>
  <c r="CP284" i="1"/>
  <c r="CQ284" i="1"/>
  <c r="CR284" i="1"/>
  <c r="CS284" i="1"/>
  <c r="CT284" i="1"/>
  <c r="CU284" i="1"/>
  <c r="CV284" i="1"/>
  <c r="CW284" i="1"/>
  <c r="CX284" i="1"/>
  <c r="CY284" i="1"/>
  <c r="CZ284" i="1"/>
  <c r="DA284" i="1"/>
  <c r="DB284" i="1"/>
  <c r="DC284" i="1"/>
  <c r="DD284" i="1"/>
  <c r="DE284" i="1"/>
  <c r="DF284" i="1"/>
  <c r="DG284" i="1"/>
  <c r="DH284" i="1"/>
  <c r="CL285" i="1"/>
  <c r="CM285" i="1"/>
  <c r="CN285" i="1"/>
  <c r="CO285" i="1"/>
  <c r="CP285" i="1"/>
  <c r="CQ285" i="1"/>
  <c r="CR285" i="1"/>
  <c r="CS285" i="1"/>
  <c r="CT285" i="1"/>
  <c r="CU285" i="1"/>
  <c r="CV285" i="1"/>
  <c r="CW285" i="1"/>
  <c r="CX285" i="1"/>
  <c r="CY285" i="1"/>
  <c r="CZ285" i="1"/>
  <c r="DA285" i="1"/>
  <c r="DB285" i="1"/>
  <c r="DC285" i="1"/>
  <c r="DD285" i="1"/>
  <c r="DE285" i="1"/>
  <c r="DF285" i="1"/>
  <c r="DG285" i="1"/>
  <c r="DH285" i="1"/>
  <c r="CL286" i="1"/>
  <c r="CM286" i="1"/>
  <c r="CN286" i="1"/>
  <c r="CO286" i="1"/>
  <c r="CP286" i="1"/>
  <c r="CQ286" i="1"/>
  <c r="CR286" i="1"/>
  <c r="CS286" i="1"/>
  <c r="CT286" i="1"/>
  <c r="CU286" i="1"/>
  <c r="CV286" i="1"/>
  <c r="CW286" i="1"/>
  <c r="CX286" i="1"/>
  <c r="CY286" i="1"/>
  <c r="CZ286" i="1"/>
  <c r="DA286" i="1"/>
  <c r="DB286" i="1"/>
  <c r="DC286" i="1"/>
  <c r="DD286" i="1"/>
  <c r="DE286" i="1"/>
  <c r="DF286" i="1"/>
  <c r="DG286" i="1"/>
  <c r="DH286" i="1"/>
  <c r="CL287" i="1"/>
  <c r="CM287" i="1"/>
  <c r="CN287" i="1"/>
  <c r="CO287" i="1"/>
  <c r="CP287" i="1"/>
  <c r="CQ287" i="1"/>
  <c r="CR287" i="1"/>
  <c r="CS287" i="1"/>
  <c r="CT287" i="1"/>
  <c r="CU287" i="1"/>
  <c r="CV287" i="1"/>
  <c r="CW287" i="1"/>
  <c r="CX287" i="1"/>
  <c r="CY287" i="1"/>
  <c r="CZ287" i="1"/>
  <c r="DA287" i="1"/>
  <c r="DB287" i="1"/>
  <c r="DC287" i="1"/>
  <c r="DD287" i="1"/>
  <c r="DE287" i="1"/>
  <c r="DF287" i="1"/>
  <c r="DG287" i="1"/>
  <c r="DH287" i="1"/>
  <c r="CL288" i="1"/>
  <c r="CM288" i="1"/>
  <c r="CN288" i="1"/>
  <c r="CO288" i="1"/>
  <c r="CP288" i="1"/>
  <c r="CQ288" i="1"/>
  <c r="CR288" i="1"/>
  <c r="CS288" i="1"/>
  <c r="CT288" i="1"/>
  <c r="CU288" i="1"/>
  <c r="CV288" i="1"/>
  <c r="CW288" i="1"/>
  <c r="CX288" i="1"/>
  <c r="CY288" i="1"/>
  <c r="CZ288" i="1"/>
  <c r="DA288" i="1"/>
  <c r="DB288" i="1"/>
  <c r="DC288" i="1"/>
  <c r="DD288" i="1"/>
  <c r="DE288" i="1"/>
  <c r="DF288" i="1"/>
  <c r="DG288" i="1"/>
  <c r="DH288" i="1"/>
  <c r="CL289" i="1"/>
  <c r="CM289" i="1"/>
  <c r="CN289" i="1"/>
  <c r="CO289" i="1"/>
  <c r="CP289" i="1"/>
  <c r="CQ289" i="1"/>
  <c r="CR289" i="1"/>
  <c r="CS289" i="1"/>
  <c r="CT289" i="1"/>
  <c r="CU289" i="1"/>
  <c r="CV289" i="1"/>
  <c r="CW289" i="1"/>
  <c r="CX289" i="1"/>
  <c r="CY289" i="1"/>
  <c r="CZ289" i="1"/>
  <c r="DA289" i="1"/>
  <c r="DB289" i="1"/>
  <c r="DC289" i="1"/>
  <c r="DD289" i="1"/>
  <c r="DE289" i="1"/>
  <c r="DF289" i="1"/>
  <c r="DG289" i="1"/>
  <c r="DH289" i="1"/>
  <c r="CL290" i="1"/>
  <c r="CM290" i="1"/>
  <c r="CN290" i="1"/>
  <c r="CO290" i="1"/>
  <c r="CP290" i="1"/>
  <c r="CQ290" i="1"/>
  <c r="CR290" i="1"/>
  <c r="CS290" i="1"/>
  <c r="CT290" i="1"/>
  <c r="CU290" i="1"/>
  <c r="CV290" i="1"/>
  <c r="CW290" i="1"/>
  <c r="CX290" i="1"/>
  <c r="CY290" i="1"/>
  <c r="CZ290" i="1"/>
  <c r="DA290" i="1"/>
  <c r="DB290" i="1"/>
  <c r="DC290" i="1"/>
  <c r="DD290" i="1"/>
  <c r="DE290" i="1"/>
  <c r="DF290" i="1"/>
  <c r="DG290" i="1"/>
  <c r="DH290" i="1"/>
  <c r="CL291" i="1"/>
  <c r="CM291" i="1"/>
  <c r="CN291" i="1"/>
  <c r="CO291" i="1"/>
  <c r="CP291" i="1"/>
  <c r="CQ291" i="1"/>
  <c r="CR291" i="1"/>
  <c r="CS291" i="1"/>
  <c r="CT291" i="1"/>
  <c r="CU291" i="1"/>
  <c r="CV291" i="1"/>
  <c r="CW291" i="1"/>
  <c r="CX291" i="1"/>
  <c r="CY291" i="1"/>
  <c r="CZ291" i="1"/>
  <c r="DA291" i="1"/>
  <c r="DB291" i="1"/>
  <c r="DC291" i="1"/>
  <c r="DD291" i="1"/>
  <c r="DE291" i="1"/>
  <c r="DF291" i="1"/>
  <c r="DG291" i="1"/>
  <c r="DH291" i="1"/>
  <c r="CL292" i="1"/>
  <c r="CM292" i="1"/>
  <c r="CN292" i="1"/>
  <c r="CO292" i="1"/>
  <c r="CP292" i="1"/>
  <c r="CQ292" i="1"/>
  <c r="CR292" i="1"/>
  <c r="CS292" i="1"/>
  <c r="CT292" i="1"/>
  <c r="CU292" i="1"/>
  <c r="CV292" i="1"/>
  <c r="CW292" i="1"/>
  <c r="CX292" i="1"/>
  <c r="CY292" i="1"/>
  <c r="CZ292" i="1"/>
  <c r="DA292" i="1"/>
  <c r="DB292" i="1"/>
  <c r="DC292" i="1"/>
  <c r="DD292" i="1"/>
  <c r="DE292" i="1"/>
  <c r="DF292" i="1"/>
  <c r="DG292" i="1"/>
  <c r="DH292" i="1"/>
  <c r="CL293" i="1"/>
  <c r="CM293" i="1"/>
  <c r="CN293" i="1"/>
  <c r="CO293" i="1"/>
  <c r="CP293" i="1"/>
  <c r="CQ293" i="1"/>
  <c r="CR293" i="1"/>
  <c r="CS293" i="1"/>
  <c r="CT293" i="1"/>
  <c r="CU293" i="1"/>
  <c r="CV293" i="1"/>
  <c r="CW293" i="1"/>
  <c r="CX293" i="1"/>
  <c r="CY293" i="1"/>
  <c r="CZ293" i="1"/>
  <c r="DA293" i="1"/>
  <c r="DB293" i="1"/>
  <c r="DC293" i="1"/>
  <c r="DD293" i="1"/>
  <c r="DE293" i="1"/>
  <c r="DF293" i="1"/>
  <c r="DG293" i="1"/>
  <c r="DH293" i="1"/>
  <c r="CL294" i="1"/>
  <c r="CM294" i="1"/>
  <c r="CN294" i="1"/>
  <c r="CO294" i="1"/>
  <c r="CP294" i="1"/>
  <c r="CQ294" i="1"/>
  <c r="CR294" i="1"/>
  <c r="CS294" i="1"/>
  <c r="CT294" i="1"/>
  <c r="CU294" i="1"/>
  <c r="CV294" i="1"/>
  <c r="CW294" i="1"/>
  <c r="CX294" i="1"/>
  <c r="CY294" i="1"/>
  <c r="CZ294" i="1"/>
  <c r="DA294" i="1"/>
  <c r="DB294" i="1"/>
  <c r="DC294" i="1"/>
  <c r="DD294" i="1"/>
  <c r="DE294" i="1"/>
  <c r="DF294" i="1"/>
  <c r="DG294" i="1"/>
  <c r="DH294" i="1"/>
  <c r="CL295" i="1"/>
  <c r="CM295" i="1"/>
  <c r="CN295" i="1"/>
  <c r="CO295" i="1"/>
  <c r="CP295" i="1"/>
  <c r="CQ295" i="1"/>
  <c r="CR295" i="1"/>
  <c r="CS295" i="1"/>
  <c r="CT295" i="1"/>
  <c r="CU295" i="1"/>
  <c r="CV295" i="1"/>
  <c r="CW295" i="1"/>
  <c r="CX295" i="1"/>
  <c r="CY295" i="1"/>
  <c r="CZ295" i="1"/>
  <c r="DA295" i="1"/>
  <c r="DB295" i="1"/>
  <c r="DC295" i="1"/>
  <c r="DD295" i="1"/>
  <c r="DE295" i="1"/>
  <c r="DF295" i="1"/>
  <c r="DG295" i="1"/>
  <c r="DH295" i="1"/>
  <c r="CL296" i="1"/>
  <c r="CM296" i="1"/>
  <c r="CN296" i="1"/>
  <c r="CO296" i="1"/>
  <c r="CP296" i="1"/>
  <c r="CQ296" i="1"/>
  <c r="CR296" i="1"/>
  <c r="CS296" i="1"/>
  <c r="CT296" i="1"/>
  <c r="CU296" i="1"/>
  <c r="CV296" i="1"/>
  <c r="CW296" i="1"/>
  <c r="CX296" i="1"/>
  <c r="CY296" i="1"/>
  <c r="CZ296" i="1"/>
  <c r="DA296" i="1"/>
  <c r="DB296" i="1"/>
  <c r="DC296" i="1"/>
  <c r="DD296" i="1"/>
  <c r="DE296" i="1"/>
  <c r="DF296" i="1"/>
  <c r="DG296" i="1"/>
  <c r="DH296" i="1"/>
  <c r="CL297" i="1"/>
  <c r="CM297" i="1"/>
  <c r="CN297" i="1"/>
  <c r="CO297" i="1"/>
  <c r="CP297" i="1"/>
  <c r="CQ297" i="1"/>
  <c r="CR297" i="1"/>
  <c r="CS297" i="1"/>
  <c r="CT297" i="1"/>
  <c r="CU297" i="1"/>
  <c r="CV297" i="1"/>
  <c r="CW297" i="1"/>
  <c r="CX297" i="1"/>
  <c r="CY297" i="1"/>
  <c r="CZ297" i="1"/>
  <c r="DA297" i="1"/>
  <c r="DB297" i="1"/>
  <c r="DC297" i="1"/>
  <c r="DD297" i="1"/>
  <c r="DE297" i="1"/>
  <c r="DF297" i="1"/>
  <c r="DG297" i="1"/>
  <c r="DH297" i="1"/>
  <c r="CL298" i="1"/>
  <c r="CM298" i="1"/>
  <c r="CN298" i="1"/>
  <c r="CO298" i="1"/>
  <c r="CP298" i="1"/>
  <c r="CQ298" i="1"/>
  <c r="CR298" i="1"/>
  <c r="CS298" i="1"/>
  <c r="CT298" i="1"/>
  <c r="CU298" i="1"/>
  <c r="CV298" i="1"/>
  <c r="CW298" i="1"/>
  <c r="CX298" i="1"/>
  <c r="CY298" i="1"/>
  <c r="CZ298" i="1"/>
  <c r="DA298" i="1"/>
  <c r="DB298" i="1"/>
  <c r="DC298" i="1"/>
  <c r="DD298" i="1"/>
  <c r="DE298" i="1"/>
  <c r="DF298" i="1"/>
  <c r="DG298" i="1"/>
  <c r="DH298" i="1"/>
  <c r="CL299" i="1"/>
  <c r="CM299" i="1"/>
  <c r="CN299" i="1"/>
  <c r="CO299" i="1"/>
  <c r="CP299" i="1"/>
  <c r="CQ299" i="1"/>
  <c r="CR299" i="1"/>
  <c r="CS299" i="1"/>
  <c r="CT299" i="1"/>
  <c r="CU299" i="1"/>
  <c r="CV299" i="1"/>
  <c r="CW299" i="1"/>
  <c r="CX299" i="1"/>
  <c r="CY299" i="1"/>
  <c r="CZ299" i="1"/>
  <c r="DA299" i="1"/>
  <c r="DB299" i="1"/>
  <c r="DC299" i="1"/>
  <c r="DD299" i="1"/>
  <c r="DE299" i="1"/>
  <c r="DF299" i="1"/>
  <c r="DG299" i="1"/>
  <c r="DH299" i="1"/>
  <c r="CL300" i="1"/>
  <c r="CM300" i="1"/>
  <c r="CN300" i="1"/>
  <c r="CO300" i="1"/>
  <c r="CP300" i="1"/>
  <c r="CQ300" i="1"/>
  <c r="CR300" i="1"/>
  <c r="CS300" i="1"/>
  <c r="CT300" i="1"/>
  <c r="CU300" i="1"/>
  <c r="CV300" i="1"/>
  <c r="CW300" i="1"/>
  <c r="CX300" i="1"/>
  <c r="CY300" i="1"/>
  <c r="CZ300" i="1"/>
  <c r="DA300" i="1"/>
  <c r="DB300" i="1"/>
  <c r="DC300" i="1"/>
  <c r="DD300" i="1"/>
  <c r="DE300" i="1"/>
  <c r="DF300" i="1"/>
  <c r="DG300" i="1"/>
  <c r="DH300" i="1"/>
  <c r="CL301" i="1"/>
  <c r="CM301" i="1"/>
  <c r="CN301" i="1"/>
  <c r="CO301" i="1"/>
  <c r="CP301" i="1"/>
  <c r="CQ301" i="1"/>
  <c r="CR301" i="1"/>
  <c r="CS301" i="1"/>
  <c r="CT301" i="1"/>
  <c r="CU301" i="1"/>
  <c r="CV301" i="1"/>
  <c r="CW301" i="1"/>
  <c r="CX301" i="1"/>
  <c r="CY301" i="1"/>
  <c r="CZ301" i="1"/>
  <c r="DA301" i="1"/>
  <c r="DB301" i="1"/>
  <c r="DC301" i="1"/>
  <c r="DD301" i="1"/>
  <c r="DE301" i="1"/>
  <c r="DF301" i="1"/>
  <c r="DG301" i="1"/>
  <c r="DH301" i="1"/>
  <c r="CL302" i="1"/>
  <c r="CM302" i="1"/>
  <c r="CN302" i="1"/>
  <c r="CO302" i="1"/>
  <c r="CP302" i="1"/>
  <c r="CQ302" i="1"/>
  <c r="CR302" i="1"/>
  <c r="CS302" i="1"/>
  <c r="CT302" i="1"/>
  <c r="CU302" i="1"/>
  <c r="CV302" i="1"/>
  <c r="CW302" i="1"/>
  <c r="CX302" i="1"/>
  <c r="CY302" i="1"/>
  <c r="CZ302" i="1"/>
  <c r="DA302" i="1"/>
  <c r="DB302" i="1"/>
  <c r="DC302" i="1"/>
  <c r="DD302" i="1"/>
  <c r="DE302" i="1"/>
  <c r="DF302" i="1"/>
  <c r="DG302" i="1"/>
  <c r="DH302" i="1"/>
  <c r="CL303" i="1"/>
  <c r="CM303" i="1"/>
  <c r="CN303" i="1"/>
  <c r="CO303" i="1"/>
  <c r="CP303" i="1"/>
  <c r="CQ303" i="1"/>
  <c r="CR303" i="1"/>
  <c r="CS303" i="1"/>
  <c r="CT303" i="1"/>
  <c r="CU303" i="1"/>
  <c r="CV303" i="1"/>
  <c r="CW303" i="1"/>
  <c r="CX303" i="1"/>
  <c r="CY303" i="1"/>
  <c r="CZ303" i="1"/>
  <c r="DA303" i="1"/>
  <c r="DB303" i="1"/>
  <c r="DC303" i="1"/>
  <c r="DD303" i="1"/>
  <c r="DE303" i="1"/>
  <c r="DF303" i="1"/>
  <c r="DG303" i="1"/>
  <c r="DH303" i="1"/>
  <c r="CL304" i="1"/>
  <c r="CM304" i="1"/>
  <c r="CN304" i="1"/>
  <c r="CO304" i="1"/>
  <c r="CP304" i="1"/>
  <c r="CQ304" i="1"/>
  <c r="CR304" i="1"/>
  <c r="CS304" i="1"/>
  <c r="CT304" i="1"/>
  <c r="CU304" i="1"/>
  <c r="CV304" i="1"/>
  <c r="CW304" i="1"/>
  <c r="CX304" i="1"/>
  <c r="CY304" i="1"/>
  <c r="CZ304" i="1"/>
  <c r="DA304" i="1"/>
  <c r="DB304" i="1"/>
  <c r="DC304" i="1"/>
  <c r="DD304" i="1"/>
  <c r="DE304" i="1"/>
  <c r="DF304" i="1"/>
  <c r="DG304" i="1"/>
  <c r="DH304" i="1"/>
  <c r="CL305" i="1"/>
  <c r="CM305" i="1"/>
  <c r="CN305" i="1"/>
  <c r="CO305" i="1"/>
  <c r="CP305" i="1"/>
  <c r="CQ305" i="1"/>
  <c r="CR305" i="1"/>
  <c r="CS305" i="1"/>
  <c r="CT305" i="1"/>
  <c r="CU305" i="1"/>
  <c r="CV305" i="1"/>
  <c r="CW305" i="1"/>
  <c r="CX305" i="1"/>
  <c r="CY305" i="1"/>
  <c r="CZ305" i="1"/>
  <c r="DA305" i="1"/>
  <c r="DB305" i="1"/>
  <c r="DC305" i="1"/>
  <c r="DD305" i="1"/>
  <c r="DE305" i="1"/>
  <c r="DF305" i="1"/>
  <c r="DG305" i="1"/>
  <c r="DH305" i="1"/>
  <c r="CL306" i="1"/>
  <c r="CM306" i="1"/>
  <c r="CN306" i="1"/>
  <c r="CO306" i="1"/>
  <c r="CP306" i="1"/>
  <c r="CQ306" i="1"/>
  <c r="CR306" i="1"/>
  <c r="CS306" i="1"/>
  <c r="CT306" i="1"/>
  <c r="CU306" i="1"/>
  <c r="CV306" i="1"/>
  <c r="CW306" i="1"/>
  <c r="CX306" i="1"/>
  <c r="CY306" i="1"/>
  <c r="CZ306" i="1"/>
  <c r="DA306" i="1"/>
  <c r="DB306" i="1"/>
  <c r="DC306" i="1"/>
  <c r="DD306" i="1"/>
  <c r="DE306" i="1"/>
  <c r="DF306" i="1"/>
  <c r="DG306" i="1"/>
  <c r="DH306" i="1"/>
  <c r="CL307" i="1"/>
  <c r="CM307" i="1"/>
  <c r="CN307" i="1"/>
  <c r="CO307" i="1"/>
  <c r="CP307" i="1"/>
  <c r="CQ307" i="1"/>
  <c r="CR307" i="1"/>
  <c r="CS307" i="1"/>
  <c r="CT307" i="1"/>
  <c r="CU307" i="1"/>
  <c r="CV307" i="1"/>
  <c r="CW307" i="1"/>
  <c r="CX307" i="1"/>
  <c r="CY307" i="1"/>
  <c r="CZ307" i="1"/>
  <c r="DA307" i="1"/>
  <c r="DB307" i="1"/>
  <c r="DC307" i="1"/>
  <c r="DD307" i="1"/>
  <c r="DE307" i="1"/>
  <c r="DF307" i="1"/>
  <c r="DG307" i="1"/>
  <c r="DH307" i="1"/>
  <c r="CL308" i="1"/>
  <c r="CM308" i="1"/>
  <c r="CN308" i="1"/>
  <c r="CO308" i="1"/>
  <c r="CP308" i="1"/>
  <c r="CQ308" i="1"/>
  <c r="CR308" i="1"/>
  <c r="CS308" i="1"/>
  <c r="CT308" i="1"/>
  <c r="CU308" i="1"/>
  <c r="CV308" i="1"/>
  <c r="CW308" i="1"/>
  <c r="CX308" i="1"/>
  <c r="CY308" i="1"/>
  <c r="CZ308" i="1"/>
  <c r="DA308" i="1"/>
  <c r="DB308" i="1"/>
  <c r="DC308" i="1"/>
  <c r="DD308" i="1"/>
  <c r="DE308" i="1"/>
  <c r="DF308" i="1"/>
  <c r="DG308" i="1"/>
  <c r="DH308" i="1"/>
  <c r="CL309" i="1"/>
  <c r="CM309" i="1"/>
  <c r="CN309" i="1"/>
  <c r="CO309" i="1"/>
  <c r="CP309" i="1"/>
  <c r="CQ309" i="1"/>
  <c r="CR309" i="1"/>
  <c r="CS309" i="1"/>
  <c r="CT309" i="1"/>
  <c r="CU309" i="1"/>
  <c r="CV309" i="1"/>
  <c r="CW309" i="1"/>
  <c r="CX309" i="1"/>
  <c r="CY309" i="1"/>
  <c r="CZ309" i="1"/>
  <c r="DA309" i="1"/>
  <c r="DB309" i="1"/>
  <c r="DC309" i="1"/>
  <c r="DD309" i="1"/>
  <c r="DE309" i="1"/>
  <c r="DF309" i="1"/>
  <c r="DG309" i="1"/>
  <c r="DH309" i="1"/>
  <c r="CL310" i="1"/>
  <c r="CM310" i="1"/>
  <c r="CN310" i="1"/>
  <c r="CO310" i="1"/>
  <c r="CP310" i="1"/>
  <c r="CQ310" i="1"/>
  <c r="CR310" i="1"/>
  <c r="CS310" i="1"/>
  <c r="CT310" i="1"/>
  <c r="CU310" i="1"/>
  <c r="CV310" i="1"/>
  <c r="CW310" i="1"/>
  <c r="CX310" i="1"/>
  <c r="CY310" i="1"/>
  <c r="CZ310" i="1"/>
  <c r="DA310" i="1"/>
  <c r="DB310" i="1"/>
  <c r="DC310" i="1"/>
  <c r="DD310" i="1"/>
  <c r="DE310" i="1"/>
  <c r="DF310" i="1"/>
  <c r="DG310" i="1"/>
  <c r="DH310" i="1"/>
  <c r="CL311" i="1"/>
  <c r="CM311" i="1"/>
  <c r="CN311" i="1"/>
  <c r="CO311" i="1"/>
  <c r="CP311" i="1"/>
  <c r="CQ311" i="1"/>
  <c r="CR311" i="1"/>
  <c r="CS311" i="1"/>
  <c r="CT311" i="1"/>
  <c r="CU311" i="1"/>
  <c r="CV311" i="1"/>
  <c r="CW311" i="1"/>
  <c r="CX311" i="1"/>
  <c r="CY311" i="1"/>
  <c r="CZ311" i="1"/>
  <c r="DA311" i="1"/>
  <c r="DB311" i="1"/>
  <c r="DC311" i="1"/>
  <c r="DD311" i="1"/>
  <c r="DE311" i="1"/>
  <c r="DF311" i="1"/>
  <c r="DG311" i="1"/>
  <c r="DH311" i="1"/>
  <c r="CL312" i="1"/>
  <c r="CM312" i="1"/>
  <c r="CN312" i="1"/>
  <c r="CO312" i="1"/>
  <c r="CP312" i="1"/>
  <c r="CQ312" i="1"/>
  <c r="CR312" i="1"/>
  <c r="CS312" i="1"/>
  <c r="CT312" i="1"/>
  <c r="CU312" i="1"/>
  <c r="CV312" i="1"/>
  <c r="CW312" i="1"/>
  <c r="CX312" i="1"/>
  <c r="CY312" i="1"/>
  <c r="CZ312" i="1"/>
  <c r="DA312" i="1"/>
  <c r="DB312" i="1"/>
  <c r="DC312" i="1"/>
  <c r="DD312" i="1"/>
  <c r="DE312" i="1"/>
  <c r="DF312" i="1"/>
  <c r="DG312" i="1"/>
  <c r="DH312" i="1"/>
  <c r="CL313" i="1"/>
  <c r="CM313" i="1"/>
  <c r="CN313" i="1"/>
  <c r="CO313" i="1"/>
  <c r="CP313" i="1"/>
  <c r="CQ313" i="1"/>
  <c r="CR313" i="1"/>
  <c r="CS313" i="1"/>
  <c r="CT313" i="1"/>
  <c r="CU313" i="1"/>
  <c r="CV313" i="1"/>
  <c r="CW313" i="1"/>
  <c r="CX313" i="1"/>
  <c r="CY313" i="1"/>
  <c r="CZ313" i="1"/>
  <c r="DA313" i="1"/>
  <c r="DB313" i="1"/>
  <c r="DC313" i="1"/>
  <c r="DD313" i="1"/>
  <c r="DE313" i="1"/>
  <c r="DF313" i="1"/>
  <c r="DG313" i="1"/>
  <c r="DH313" i="1"/>
  <c r="CL314" i="1"/>
  <c r="CM314" i="1"/>
  <c r="CN314" i="1"/>
  <c r="CO314" i="1"/>
  <c r="CP314" i="1"/>
  <c r="CQ314" i="1"/>
  <c r="CR314" i="1"/>
  <c r="CS314" i="1"/>
  <c r="CT314" i="1"/>
  <c r="CU314" i="1"/>
  <c r="CV314" i="1"/>
  <c r="CW314" i="1"/>
  <c r="CX314" i="1"/>
  <c r="CY314" i="1"/>
  <c r="CZ314" i="1"/>
  <c r="DA314" i="1"/>
  <c r="DB314" i="1"/>
  <c r="DC314" i="1"/>
  <c r="DD314" i="1"/>
  <c r="DE314" i="1"/>
  <c r="DF314" i="1"/>
  <c r="DG314" i="1"/>
  <c r="DH314" i="1"/>
  <c r="CL315" i="1"/>
  <c r="CM315" i="1"/>
  <c r="CN315" i="1"/>
  <c r="CO315" i="1"/>
  <c r="CP315" i="1"/>
  <c r="CQ315" i="1"/>
  <c r="CR315" i="1"/>
  <c r="CS315" i="1"/>
  <c r="CT315" i="1"/>
  <c r="CU315" i="1"/>
  <c r="CV315" i="1"/>
  <c r="CW315" i="1"/>
  <c r="CX315" i="1"/>
  <c r="CY315" i="1"/>
  <c r="CZ315" i="1"/>
  <c r="DA315" i="1"/>
  <c r="DB315" i="1"/>
  <c r="DC315" i="1"/>
  <c r="DD315" i="1"/>
  <c r="DE315" i="1"/>
  <c r="DF315" i="1"/>
  <c r="DG315" i="1"/>
  <c r="DH315" i="1"/>
  <c r="CL316" i="1"/>
  <c r="CM316" i="1"/>
  <c r="CN316" i="1"/>
  <c r="CO316" i="1"/>
  <c r="CP316" i="1"/>
  <c r="CQ316" i="1"/>
  <c r="CR316" i="1"/>
  <c r="CS316" i="1"/>
  <c r="CT316" i="1"/>
  <c r="CU316" i="1"/>
  <c r="CV316" i="1"/>
  <c r="CW316" i="1"/>
  <c r="CX316" i="1"/>
  <c r="CY316" i="1"/>
  <c r="CZ316" i="1"/>
  <c r="DA316" i="1"/>
  <c r="DB316" i="1"/>
  <c r="DC316" i="1"/>
  <c r="DD316" i="1"/>
  <c r="DE316" i="1"/>
  <c r="DF316" i="1"/>
  <c r="DG316" i="1"/>
  <c r="DH316" i="1"/>
  <c r="CL317" i="1"/>
  <c r="CM317" i="1"/>
  <c r="CN317" i="1"/>
  <c r="CO317" i="1"/>
  <c r="CP317" i="1"/>
  <c r="CQ317" i="1"/>
  <c r="CR317" i="1"/>
  <c r="CS317" i="1"/>
  <c r="CT317" i="1"/>
  <c r="CU317" i="1"/>
  <c r="CV317" i="1"/>
  <c r="CW317" i="1"/>
  <c r="CX317" i="1"/>
  <c r="CY317" i="1"/>
  <c r="CZ317" i="1"/>
  <c r="DA317" i="1"/>
  <c r="DB317" i="1"/>
  <c r="DC317" i="1"/>
  <c r="DD317" i="1"/>
  <c r="DE317" i="1"/>
  <c r="DF317" i="1"/>
  <c r="DG317" i="1"/>
  <c r="DH317" i="1"/>
  <c r="CL318" i="1"/>
  <c r="CM318" i="1"/>
  <c r="CN318" i="1"/>
  <c r="CO318" i="1"/>
  <c r="CP318" i="1"/>
  <c r="CQ318" i="1"/>
  <c r="CR318" i="1"/>
  <c r="CS318" i="1"/>
  <c r="CT318" i="1"/>
  <c r="CU318" i="1"/>
  <c r="CV318" i="1"/>
  <c r="CW318" i="1"/>
  <c r="CX318" i="1"/>
  <c r="CY318" i="1"/>
  <c r="CZ318" i="1"/>
  <c r="DA318" i="1"/>
  <c r="DB318" i="1"/>
  <c r="DC318" i="1"/>
  <c r="DD318" i="1"/>
  <c r="DE318" i="1"/>
  <c r="DF318" i="1"/>
  <c r="DG318" i="1"/>
  <c r="DH318" i="1"/>
  <c r="CL319" i="1"/>
  <c r="CM319" i="1"/>
  <c r="CN319" i="1"/>
  <c r="CO319" i="1"/>
  <c r="CP319" i="1"/>
  <c r="CQ319" i="1"/>
  <c r="CR319" i="1"/>
  <c r="CS319" i="1"/>
  <c r="CT319" i="1"/>
  <c r="CU319" i="1"/>
  <c r="CV319" i="1"/>
  <c r="CW319" i="1"/>
  <c r="CX319" i="1"/>
  <c r="CY319" i="1"/>
  <c r="CZ319" i="1"/>
  <c r="DA319" i="1"/>
  <c r="DB319" i="1"/>
  <c r="DC319" i="1"/>
  <c r="DD319" i="1"/>
  <c r="DE319" i="1"/>
  <c r="DF319" i="1"/>
  <c r="DG319" i="1"/>
  <c r="DH319" i="1"/>
  <c r="CL320" i="1"/>
  <c r="CM320" i="1"/>
  <c r="CN320" i="1"/>
  <c r="CO320" i="1"/>
  <c r="CP320" i="1"/>
  <c r="CQ320" i="1"/>
  <c r="CR320" i="1"/>
  <c r="CS320" i="1"/>
  <c r="CT320" i="1"/>
  <c r="CU320" i="1"/>
  <c r="CV320" i="1"/>
  <c r="CW320" i="1"/>
  <c r="CX320" i="1"/>
  <c r="CY320" i="1"/>
  <c r="CZ320" i="1"/>
  <c r="DA320" i="1"/>
  <c r="DB320" i="1"/>
  <c r="DC320" i="1"/>
  <c r="DD320" i="1"/>
  <c r="DE320" i="1"/>
  <c r="DF320" i="1"/>
  <c r="DG320" i="1"/>
  <c r="DH320" i="1"/>
  <c r="CL321" i="1"/>
  <c r="CM321" i="1"/>
  <c r="CN321" i="1"/>
  <c r="CO321" i="1"/>
  <c r="CP321" i="1"/>
  <c r="CQ321" i="1"/>
  <c r="CR321" i="1"/>
  <c r="CS321" i="1"/>
  <c r="CT321" i="1"/>
  <c r="CU321" i="1"/>
  <c r="CV321" i="1"/>
  <c r="CW321" i="1"/>
  <c r="CX321" i="1"/>
  <c r="CY321" i="1"/>
  <c r="CZ321" i="1"/>
  <c r="DA321" i="1"/>
  <c r="DB321" i="1"/>
  <c r="DC321" i="1"/>
  <c r="DD321" i="1"/>
  <c r="DE321" i="1"/>
  <c r="DF321" i="1"/>
  <c r="DG321" i="1"/>
  <c r="DH321" i="1"/>
  <c r="CL322" i="1"/>
  <c r="CM322" i="1"/>
  <c r="CN322" i="1"/>
  <c r="CO322" i="1"/>
  <c r="CP322" i="1"/>
  <c r="CQ322" i="1"/>
  <c r="CR322" i="1"/>
  <c r="CS322" i="1"/>
  <c r="CT322" i="1"/>
  <c r="CU322" i="1"/>
  <c r="CV322" i="1"/>
  <c r="CW322" i="1"/>
  <c r="CX322" i="1"/>
  <c r="CY322" i="1"/>
  <c r="CZ322" i="1"/>
  <c r="DA322" i="1"/>
  <c r="DB322" i="1"/>
  <c r="DC322" i="1"/>
  <c r="DD322" i="1"/>
  <c r="DE322" i="1"/>
  <c r="DF322" i="1"/>
  <c r="DG322" i="1"/>
  <c r="DH322" i="1"/>
  <c r="CL323" i="1"/>
  <c r="CM323" i="1"/>
  <c r="CN323" i="1"/>
  <c r="CO323" i="1"/>
  <c r="CP323" i="1"/>
  <c r="CQ323" i="1"/>
  <c r="CR323" i="1"/>
  <c r="CS323" i="1"/>
  <c r="CT323" i="1"/>
  <c r="CU323" i="1"/>
  <c r="CV323" i="1"/>
  <c r="CW323" i="1"/>
  <c r="CX323" i="1"/>
  <c r="CY323" i="1"/>
  <c r="CZ323" i="1"/>
  <c r="DA323" i="1"/>
  <c r="DB323" i="1"/>
  <c r="DC323" i="1"/>
  <c r="DD323" i="1"/>
  <c r="DE323" i="1"/>
  <c r="DF323" i="1"/>
  <c r="DG323" i="1"/>
  <c r="DH323" i="1"/>
  <c r="CL324" i="1"/>
  <c r="CM324" i="1"/>
  <c r="CN324" i="1"/>
  <c r="CO324" i="1"/>
  <c r="CP324" i="1"/>
  <c r="CQ324" i="1"/>
  <c r="CR324" i="1"/>
  <c r="CS324" i="1"/>
  <c r="CT324" i="1"/>
  <c r="CU324" i="1"/>
  <c r="CV324" i="1"/>
  <c r="CW324" i="1"/>
  <c r="CX324" i="1"/>
  <c r="CY324" i="1"/>
  <c r="CZ324" i="1"/>
  <c r="DA324" i="1"/>
  <c r="DB324" i="1"/>
  <c r="DC324" i="1"/>
  <c r="DD324" i="1"/>
  <c r="DE324" i="1"/>
  <c r="DF324" i="1"/>
  <c r="DG324" i="1"/>
  <c r="DH324" i="1"/>
  <c r="CL325" i="1"/>
  <c r="CM325" i="1"/>
  <c r="CN325" i="1"/>
  <c r="CO325" i="1"/>
  <c r="CP325" i="1"/>
  <c r="CQ325" i="1"/>
  <c r="CR325" i="1"/>
  <c r="CS325" i="1"/>
  <c r="CT325" i="1"/>
  <c r="CU325" i="1"/>
  <c r="CV325" i="1"/>
  <c r="CW325" i="1"/>
  <c r="CX325" i="1"/>
  <c r="CY325" i="1"/>
  <c r="CZ325" i="1"/>
  <c r="DA325" i="1"/>
  <c r="DB325" i="1"/>
  <c r="DC325" i="1"/>
  <c r="DD325" i="1"/>
  <c r="DE325" i="1"/>
  <c r="DF325" i="1"/>
  <c r="DG325" i="1"/>
  <c r="DH325" i="1"/>
  <c r="CL326" i="1"/>
  <c r="CM326" i="1"/>
  <c r="CN326" i="1"/>
  <c r="CO326" i="1"/>
  <c r="CP326" i="1"/>
  <c r="CQ326" i="1"/>
  <c r="CR326" i="1"/>
  <c r="CS326" i="1"/>
  <c r="CT326" i="1"/>
  <c r="CU326" i="1"/>
  <c r="CV326" i="1"/>
  <c r="CW326" i="1"/>
  <c r="CX326" i="1"/>
  <c r="CY326" i="1"/>
  <c r="CZ326" i="1"/>
  <c r="DA326" i="1"/>
  <c r="DB326" i="1"/>
  <c r="DC326" i="1"/>
  <c r="DD326" i="1"/>
  <c r="DE326" i="1"/>
  <c r="DF326" i="1"/>
  <c r="DG326" i="1"/>
  <c r="DH326" i="1"/>
  <c r="CL327" i="1"/>
  <c r="CM327" i="1"/>
  <c r="CN327" i="1"/>
  <c r="CO327" i="1"/>
  <c r="CP327" i="1"/>
  <c r="CQ327" i="1"/>
  <c r="CR327" i="1"/>
  <c r="CS327" i="1"/>
  <c r="CT327" i="1"/>
  <c r="CU327" i="1"/>
  <c r="CV327" i="1"/>
  <c r="CW327" i="1"/>
  <c r="CX327" i="1"/>
  <c r="CY327" i="1"/>
  <c r="CZ327" i="1"/>
  <c r="DA327" i="1"/>
  <c r="DB327" i="1"/>
  <c r="DC327" i="1"/>
  <c r="DD327" i="1"/>
  <c r="DE327" i="1"/>
  <c r="DF327" i="1"/>
  <c r="DG327" i="1"/>
  <c r="DH327" i="1"/>
  <c r="CL328" i="1"/>
  <c r="CM328" i="1"/>
  <c r="CN328" i="1"/>
  <c r="CO328" i="1"/>
  <c r="CP328" i="1"/>
  <c r="CQ328" i="1"/>
  <c r="CR328" i="1"/>
  <c r="CS328" i="1"/>
  <c r="CT328" i="1"/>
  <c r="CU328" i="1"/>
  <c r="CV328" i="1"/>
  <c r="CW328" i="1"/>
  <c r="CX328" i="1"/>
  <c r="CY328" i="1"/>
  <c r="CZ328" i="1"/>
  <c r="DA328" i="1"/>
  <c r="DB328" i="1"/>
  <c r="DC328" i="1"/>
  <c r="DD328" i="1"/>
  <c r="DE328" i="1"/>
  <c r="DF328" i="1"/>
  <c r="DG328" i="1"/>
  <c r="DH328" i="1"/>
  <c r="CL329" i="1"/>
  <c r="CM329" i="1"/>
  <c r="CN329" i="1"/>
  <c r="CO329" i="1"/>
  <c r="CP329" i="1"/>
  <c r="CQ329" i="1"/>
  <c r="CR329" i="1"/>
  <c r="CS329" i="1"/>
  <c r="CT329" i="1"/>
  <c r="CU329" i="1"/>
  <c r="CV329" i="1"/>
  <c r="CW329" i="1"/>
  <c r="CX329" i="1"/>
  <c r="CY329" i="1"/>
  <c r="CZ329" i="1"/>
  <c r="DA329" i="1"/>
  <c r="DB329" i="1"/>
  <c r="DC329" i="1"/>
  <c r="DD329" i="1"/>
  <c r="DE329" i="1"/>
  <c r="DF329" i="1"/>
  <c r="DG329" i="1"/>
  <c r="DH329" i="1"/>
  <c r="CL330" i="1"/>
  <c r="CM330" i="1"/>
  <c r="CN330" i="1"/>
  <c r="CO330" i="1"/>
  <c r="CP330" i="1"/>
  <c r="CQ330" i="1"/>
  <c r="CR330" i="1"/>
  <c r="CS330" i="1"/>
  <c r="CT330" i="1"/>
  <c r="CU330" i="1"/>
  <c r="CV330" i="1"/>
  <c r="CW330" i="1"/>
  <c r="CX330" i="1"/>
  <c r="CY330" i="1"/>
  <c r="CZ330" i="1"/>
  <c r="DA330" i="1"/>
  <c r="DB330" i="1"/>
  <c r="DC330" i="1"/>
  <c r="DD330" i="1"/>
  <c r="DE330" i="1"/>
  <c r="DF330" i="1"/>
  <c r="DG330" i="1"/>
  <c r="DH330" i="1"/>
  <c r="CL331" i="1"/>
  <c r="CM331" i="1"/>
  <c r="CN331" i="1"/>
  <c r="CO331" i="1"/>
  <c r="CP331" i="1"/>
  <c r="CQ331" i="1"/>
  <c r="CR331" i="1"/>
  <c r="CS331" i="1"/>
  <c r="CT331" i="1"/>
  <c r="CU331" i="1"/>
  <c r="CV331" i="1"/>
  <c r="CW331" i="1"/>
  <c r="CX331" i="1"/>
  <c r="CY331" i="1"/>
  <c r="CZ331" i="1"/>
  <c r="DA331" i="1"/>
  <c r="DB331" i="1"/>
  <c r="DC331" i="1"/>
  <c r="DD331" i="1"/>
  <c r="DE331" i="1"/>
  <c r="DF331" i="1"/>
  <c r="DG331" i="1"/>
  <c r="DH331" i="1"/>
  <c r="CL332" i="1"/>
  <c r="CM332" i="1"/>
  <c r="CN332" i="1"/>
  <c r="CO332" i="1"/>
  <c r="CP332" i="1"/>
  <c r="CQ332" i="1"/>
  <c r="CR332" i="1"/>
  <c r="CS332" i="1"/>
  <c r="CT332" i="1"/>
  <c r="CU332" i="1"/>
  <c r="CV332" i="1"/>
  <c r="CW332" i="1"/>
  <c r="CX332" i="1"/>
  <c r="CY332" i="1"/>
  <c r="CZ332" i="1"/>
  <c r="DA332" i="1"/>
  <c r="DB332" i="1"/>
  <c r="DC332" i="1"/>
  <c r="DD332" i="1"/>
  <c r="DE332" i="1"/>
  <c r="DF332" i="1"/>
  <c r="DG332" i="1"/>
  <c r="DH332" i="1"/>
  <c r="CL333" i="1"/>
  <c r="CM333" i="1"/>
  <c r="CN333" i="1"/>
  <c r="CO333" i="1"/>
  <c r="CP333" i="1"/>
  <c r="CQ333" i="1"/>
  <c r="CR333" i="1"/>
  <c r="CS333" i="1"/>
  <c r="CT333" i="1"/>
  <c r="CU333" i="1"/>
  <c r="CV333" i="1"/>
  <c r="CW333" i="1"/>
  <c r="CX333" i="1"/>
  <c r="CY333" i="1"/>
  <c r="CZ333" i="1"/>
  <c r="DA333" i="1"/>
  <c r="DB333" i="1"/>
  <c r="DC333" i="1"/>
  <c r="DD333" i="1"/>
  <c r="DE333" i="1"/>
  <c r="DF333" i="1"/>
  <c r="DG333" i="1"/>
  <c r="DH333" i="1"/>
  <c r="CL334" i="1"/>
  <c r="CM334" i="1"/>
  <c r="CN334" i="1"/>
  <c r="CO334" i="1"/>
  <c r="CP334" i="1"/>
  <c r="CQ334" i="1"/>
  <c r="CR334" i="1"/>
  <c r="CS334" i="1"/>
  <c r="CT334" i="1"/>
  <c r="CU334" i="1"/>
  <c r="CV334" i="1"/>
  <c r="CW334" i="1"/>
  <c r="CX334" i="1"/>
  <c r="CY334" i="1"/>
  <c r="CZ334" i="1"/>
  <c r="DA334" i="1"/>
  <c r="DB334" i="1"/>
  <c r="DC334" i="1"/>
  <c r="DD334" i="1"/>
  <c r="DE334" i="1"/>
  <c r="DF334" i="1"/>
  <c r="DG334" i="1"/>
  <c r="DH334" i="1"/>
  <c r="CL335" i="1"/>
  <c r="CM335" i="1"/>
  <c r="CN335" i="1"/>
  <c r="CO335" i="1"/>
  <c r="CP335" i="1"/>
  <c r="CQ335" i="1"/>
  <c r="CR335" i="1"/>
  <c r="CS335" i="1"/>
  <c r="CT335" i="1"/>
  <c r="CU335" i="1"/>
  <c r="CV335" i="1"/>
  <c r="CW335" i="1"/>
  <c r="CX335" i="1"/>
  <c r="CY335" i="1"/>
  <c r="CZ335" i="1"/>
  <c r="DA335" i="1"/>
  <c r="DB335" i="1"/>
  <c r="DC335" i="1"/>
  <c r="DD335" i="1"/>
  <c r="DE335" i="1"/>
  <c r="DF335" i="1"/>
  <c r="DG335" i="1"/>
  <c r="DH335" i="1"/>
  <c r="CL336" i="1"/>
  <c r="CM336" i="1"/>
  <c r="CN336" i="1"/>
  <c r="CO336" i="1"/>
  <c r="CP336" i="1"/>
  <c r="CQ336" i="1"/>
  <c r="CR336" i="1"/>
  <c r="CS336" i="1"/>
  <c r="CT336" i="1"/>
  <c r="CU336" i="1"/>
  <c r="CV336" i="1"/>
  <c r="CW336" i="1"/>
  <c r="CX336" i="1"/>
  <c r="CY336" i="1"/>
  <c r="CZ336" i="1"/>
  <c r="DA336" i="1"/>
  <c r="DB336" i="1"/>
  <c r="DC336" i="1"/>
  <c r="DD336" i="1"/>
  <c r="DE336" i="1"/>
  <c r="DF336" i="1"/>
  <c r="DG336" i="1"/>
  <c r="DH336" i="1"/>
  <c r="CL337" i="1"/>
  <c r="CM337" i="1"/>
  <c r="CN337" i="1"/>
  <c r="CO337" i="1"/>
  <c r="CP337" i="1"/>
  <c r="CQ337" i="1"/>
  <c r="CR337" i="1"/>
  <c r="CS337" i="1"/>
  <c r="CT337" i="1"/>
  <c r="CU337" i="1"/>
  <c r="CV337" i="1"/>
  <c r="CW337" i="1"/>
  <c r="CX337" i="1"/>
  <c r="CY337" i="1"/>
  <c r="CZ337" i="1"/>
  <c r="DA337" i="1"/>
  <c r="DB337" i="1"/>
  <c r="DC337" i="1"/>
  <c r="DD337" i="1"/>
  <c r="DE337" i="1"/>
  <c r="DF337" i="1"/>
  <c r="DG337" i="1"/>
  <c r="DH337" i="1"/>
  <c r="CL338" i="1"/>
  <c r="CM338" i="1"/>
  <c r="CN338" i="1"/>
  <c r="CO338" i="1"/>
  <c r="CP338" i="1"/>
  <c r="CQ338" i="1"/>
  <c r="CR338" i="1"/>
  <c r="CS338" i="1"/>
  <c r="CT338" i="1"/>
  <c r="CU338" i="1"/>
  <c r="CV338" i="1"/>
  <c r="CW338" i="1"/>
  <c r="CX338" i="1"/>
  <c r="CY338" i="1"/>
  <c r="CZ338" i="1"/>
  <c r="DA338" i="1"/>
  <c r="DB338" i="1"/>
  <c r="DC338" i="1"/>
  <c r="DD338" i="1"/>
  <c r="DE338" i="1"/>
  <c r="DF338" i="1"/>
  <c r="DG338" i="1"/>
  <c r="DH338" i="1"/>
  <c r="CL339" i="1"/>
  <c r="CM339" i="1"/>
  <c r="CN339" i="1"/>
  <c r="CO339" i="1"/>
  <c r="CP339" i="1"/>
  <c r="CQ339" i="1"/>
  <c r="CR339" i="1"/>
  <c r="CS339" i="1"/>
  <c r="CT339" i="1"/>
  <c r="CU339" i="1"/>
  <c r="CV339" i="1"/>
  <c r="CW339" i="1"/>
  <c r="CX339" i="1"/>
  <c r="CY339" i="1"/>
  <c r="CZ339" i="1"/>
  <c r="DA339" i="1"/>
  <c r="DB339" i="1"/>
  <c r="DC339" i="1"/>
  <c r="DD339" i="1"/>
  <c r="DE339" i="1"/>
  <c r="DF339" i="1"/>
  <c r="DG339" i="1"/>
  <c r="DH339" i="1"/>
  <c r="CL340" i="1"/>
  <c r="CM340" i="1"/>
  <c r="CN340" i="1"/>
  <c r="CO340" i="1"/>
  <c r="CP340" i="1"/>
  <c r="CQ340" i="1"/>
  <c r="CR340" i="1"/>
  <c r="CS340" i="1"/>
  <c r="CT340" i="1"/>
  <c r="CU340" i="1"/>
  <c r="CV340" i="1"/>
  <c r="CW340" i="1"/>
  <c r="CX340" i="1"/>
  <c r="CY340" i="1"/>
  <c r="CZ340" i="1"/>
  <c r="DA340" i="1"/>
  <c r="DB340" i="1"/>
  <c r="DC340" i="1"/>
  <c r="DD340" i="1"/>
  <c r="DE340" i="1"/>
  <c r="DF340" i="1"/>
  <c r="DG340" i="1"/>
  <c r="DH340" i="1"/>
  <c r="CL341" i="1"/>
  <c r="CM341" i="1"/>
  <c r="CN341" i="1"/>
  <c r="CO341" i="1"/>
  <c r="CP341" i="1"/>
  <c r="CQ341" i="1"/>
  <c r="CR341" i="1"/>
  <c r="CS341" i="1"/>
  <c r="CT341" i="1"/>
  <c r="CU341" i="1"/>
  <c r="CV341" i="1"/>
  <c r="CW341" i="1"/>
  <c r="CX341" i="1"/>
  <c r="CY341" i="1"/>
  <c r="CZ341" i="1"/>
  <c r="DA341" i="1"/>
  <c r="DB341" i="1"/>
  <c r="DC341" i="1"/>
  <c r="DD341" i="1"/>
  <c r="DE341" i="1"/>
  <c r="DF341" i="1"/>
  <c r="DG341" i="1"/>
  <c r="DH341" i="1"/>
  <c r="CL342" i="1"/>
  <c r="CM342" i="1"/>
  <c r="CN342" i="1"/>
  <c r="CO342" i="1"/>
  <c r="CP342" i="1"/>
  <c r="CQ342" i="1"/>
  <c r="CR342" i="1"/>
  <c r="CS342" i="1"/>
  <c r="CT342" i="1"/>
  <c r="CU342" i="1"/>
  <c r="CV342" i="1"/>
  <c r="CW342" i="1"/>
  <c r="CX342" i="1"/>
  <c r="CY342" i="1"/>
  <c r="CZ342" i="1"/>
  <c r="DA342" i="1"/>
  <c r="DB342" i="1"/>
  <c r="DC342" i="1"/>
  <c r="DD342" i="1"/>
  <c r="DE342" i="1"/>
  <c r="DF342" i="1"/>
  <c r="DG342" i="1"/>
  <c r="DH342" i="1"/>
  <c r="CL343" i="1"/>
  <c r="CM343" i="1"/>
  <c r="CN343" i="1"/>
  <c r="CO343" i="1"/>
  <c r="CP343" i="1"/>
  <c r="CQ343" i="1"/>
  <c r="CR343" i="1"/>
  <c r="CS343" i="1"/>
  <c r="CT343" i="1"/>
  <c r="CU343" i="1"/>
  <c r="CV343" i="1"/>
  <c r="CW343" i="1"/>
  <c r="CX343" i="1"/>
  <c r="CY343" i="1"/>
  <c r="CZ343" i="1"/>
  <c r="DA343" i="1"/>
  <c r="DB343" i="1"/>
  <c r="DC343" i="1"/>
  <c r="DD343" i="1"/>
  <c r="DE343" i="1"/>
  <c r="DF343" i="1"/>
  <c r="DG343" i="1"/>
  <c r="DH343" i="1"/>
  <c r="CL344" i="1"/>
  <c r="CM344" i="1"/>
  <c r="CN344" i="1"/>
  <c r="CO344" i="1"/>
  <c r="CP344" i="1"/>
  <c r="CQ344" i="1"/>
  <c r="CR344" i="1"/>
  <c r="CS344" i="1"/>
  <c r="CT344" i="1"/>
  <c r="CU344" i="1"/>
  <c r="CV344" i="1"/>
  <c r="CW344" i="1"/>
  <c r="CX344" i="1"/>
  <c r="CY344" i="1"/>
  <c r="CZ344" i="1"/>
  <c r="DA344" i="1"/>
  <c r="DB344" i="1"/>
  <c r="DC344" i="1"/>
  <c r="DD344" i="1"/>
  <c r="DE344" i="1"/>
  <c r="DF344" i="1"/>
  <c r="DG344" i="1"/>
  <c r="DH344" i="1"/>
  <c r="CL345" i="1"/>
  <c r="CM345" i="1"/>
  <c r="CN345" i="1"/>
  <c r="CO345" i="1"/>
  <c r="CP345" i="1"/>
  <c r="CQ345" i="1"/>
  <c r="CR345" i="1"/>
  <c r="CS345" i="1"/>
  <c r="CT345" i="1"/>
  <c r="CU345" i="1"/>
  <c r="CV345" i="1"/>
  <c r="CW345" i="1"/>
  <c r="CX345" i="1"/>
  <c r="CY345" i="1"/>
  <c r="CZ345" i="1"/>
  <c r="DA345" i="1"/>
  <c r="DB345" i="1"/>
  <c r="DC345" i="1"/>
  <c r="DD345" i="1"/>
  <c r="DE345" i="1"/>
  <c r="DF345" i="1"/>
  <c r="DG345" i="1"/>
  <c r="DH345" i="1"/>
  <c r="CL346" i="1"/>
  <c r="CM346" i="1"/>
  <c r="CN346" i="1"/>
  <c r="CO346" i="1"/>
  <c r="CP346" i="1"/>
  <c r="CQ346" i="1"/>
  <c r="CR346" i="1"/>
  <c r="CS346" i="1"/>
  <c r="CT346" i="1"/>
  <c r="CU346" i="1"/>
  <c r="CV346" i="1"/>
  <c r="CW346" i="1"/>
  <c r="CX346" i="1"/>
  <c r="CY346" i="1"/>
  <c r="CZ346" i="1"/>
  <c r="DA346" i="1"/>
  <c r="DB346" i="1"/>
  <c r="DC346" i="1"/>
  <c r="DD346" i="1"/>
  <c r="DE346" i="1"/>
  <c r="DF346" i="1"/>
  <c r="DG346" i="1"/>
  <c r="DH346" i="1"/>
  <c r="CL347" i="1"/>
  <c r="CM347" i="1"/>
  <c r="CN347" i="1"/>
  <c r="CO347" i="1"/>
  <c r="CP347" i="1"/>
  <c r="CQ347" i="1"/>
  <c r="CR347" i="1"/>
  <c r="CS347" i="1"/>
  <c r="CT347" i="1"/>
  <c r="CU347" i="1"/>
  <c r="CV347" i="1"/>
  <c r="CW347" i="1"/>
  <c r="CX347" i="1"/>
  <c r="CY347" i="1"/>
  <c r="CZ347" i="1"/>
  <c r="DA347" i="1"/>
  <c r="DB347" i="1"/>
  <c r="DC347" i="1"/>
  <c r="DD347" i="1"/>
  <c r="DE347" i="1"/>
  <c r="DF347" i="1"/>
  <c r="DG347" i="1"/>
  <c r="DH347" i="1"/>
  <c r="CL348" i="1"/>
  <c r="CM348" i="1"/>
  <c r="CN348" i="1"/>
  <c r="CO348" i="1"/>
  <c r="CP348" i="1"/>
  <c r="CQ348" i="1"/>
  <c r="CR348" i="1"/>
  <c r="CS348" i="1"/>
  <c r="CT348" i="1"/>
  <c r="CU348" i="1"/>
  <c r="CV348" i="1"/>
  <c r="CW348" i="1"/>
  <c r="CX348" i="1"/>
  <c r="CY348" i="1"/>
  <c r="CZ348" i="1"/>
  <c r="DA348" i="1"/>
  <c r="DB348" i="1"/>
  <c r="DC348" i="1"/>
  <c r="DD348" i="1"/>
  <c r="DE348" i="1"/>
  <c r="DF348" i="1"/>
  <c r="DG348" i="1"/>
  <c r="DH348" i="1"/>
  <c r="CL349" i="1"/>
  <c r="CM349" i="1"/>
  <c r="CN349" i="1"/>
  <c r="CO349" i="1"/>
  <c r="CP349" i="1"/>
  <c r="CQ349" i="1"/>
  <c r="CR349" i="1"/>
  <c r="CS349" i="1"/>
  <c r="CT349" i="1"/>
  <c r="CU349" i="1"/>
  <c r="CV349" i="1"/>
  <c r="CW349" i="1"/>
  <c r="CX349" i="1"/>
  <c r="CY349" i="1"/>
  <c r="CZ349" i="1"/>
  <c r="DA349" i="1"/>
  <c r="DB349" i="1"/>
  <c r="DC349" i="1"/>
  <c r="DD349" i="1"/>
  <c r="DE349" i="1"/>
  <c r="DF349" i="1"/>
  <c r="DG349" i="1"/>
  <c r="DH349" i="1"/>
  <c r="CL350" i="1"/>
  <c r="CM350" i="1"/>
  <c r="CN350" i="1"/>
  <c r="CO350" i="1"/>
  <c r="CP350" i="1"/>
  <c r="CQ350" i="1"/>
  <c r="CR350" i="1"/>
  <c r="CS350" i="1"/>
  <c r="CT350" i="1"/>
  <c r="CU350" i="1"/>
  <c r="CV350" i="1"/>
  <c r="CW350" i="1"/>
  <c r="CX350" i="1"/>
  <c r="CY350" i="1"/>
  <c r="CZ350" i="1"/>
  <c r="DA350" i="1"/>
  <c r="DB350" i="1"/>
  <c r="DC350" i="1"/>
  <c r="DD350" i="1"/>
  <c r="DE350" i="1"/>
  <c r="DF350" i="1"/>
  <c r="DG350" i="1"/>
  <c r="DH350" i="1"/>
  <c r="CL351" i="1"/>
  <c r="CM351" i="1"/>
  <c r="CN351" i="1"/>
  <c r="CO351" i="1"/>
  <c r="CP351" i="1"/>
  <c r="CQ351" i="1"/>
  <c r="CR351" i="1"/>
  <c r="CS351" i="1"/>
  <c r="CT351" i="1"/>
  <c r="CU351" i="1"/>
  <c r="CV351" i="1"/>
  <c r="CW351" i="1"/>
  <c r="CX351" i="1"/>
  <c r="CY351" i="1"/>
  <c r="CZ351" i="1"/>
  <c r="DA351" i="1"/>
  <c r="DB351" i="1"/>
  <c r="DC351" i="1"/>
  <c r="DD351" i="1"/>
  <c r="DE351" i="1"/>
  <c r="DF351" i="1"/>
  <c r="DG351" i="1"/>
  <c r="DH351" i="1"/>
  <c r="CL352" i="1"/>
  <c r="CM352" i="1"/>
  <c r="CN352" i="1"/>
  <c r="CO352" i="1"/>
  <c r="CP352" i="1"/>
  <c r="CQ352" i="1"/>
  <c r="CR352" i="1"/>
  <c r="CS352" i="1"/>
  <c r="CT352" i="1"/>
  <c r="CU352" i="1"/>
  <c r="CV352" i="1"/>
  <c r="CW352" i="1"/>
  <c r="CX352" i="1"/>
  <c r="CY352" i="1"/>
  <c r="CZ352" i="1"/>
  <c r="DA352" i="1"/>
  <c r="DB352" i="1"/>
  <c r="DC352" i="1"/>
  <c r="DD352" i="1"/>
  <c r="DE352" i="1"/>
  <c r="DF352" i="1"/>
  <c r="DG352" i="1"/>
  <c r="DH352" i="1"/>
  <c r="CL353" i="1"/>
  <c r="CM353" i="1"/>
  <c r="CN353" i="1"/>
  <c r="CO353" i="1"/>
  <c r="CP353" i="1"/>
  <c r="CQ353" i="1"/>
  <c r="CR353" i="1"/>
  <c r="CS353" i="1"/>
  <c r="CT353" i="1"/>
  <c r="CU353" i="1"/>
  <c r="CV353" i="1"/>
  <c r="CW353" i="1"/>
  <c r="CX353" i="1"/>
  <c r="CY353" i="1"/>
  <c r="CZ353" i="1"/>
  <c r="DA353" i="1"/>
  <c r="DB353" i="1"/>
  <c r="DC353" i="1"/>
  <c r="DD353" i="1"/>
  <c r="DE353" i="1"/>
  <c r="DF353" i="1"/>
  <c r="DG353" i="1"/>
  <c r="DH353" i="1"/>
  <c r="CL354" i="1"/>
  <c r="CM354" i="1"/>
  <c r="CN354" i="1"/>
  <c r="CO354" i="1"/>
  <c r="CP354" i="1"/>
  <c r="CQ354" i="1"/>
  <c r="CR354" i="1"/>
  <c r="CS354" i="1"/>
  <c r="CT354" i="1"/>
  <c r="CU354" i="1"/>
  <c r="CV354" i="1"/>
  <c r="CW354" i="1"/>
  <c r="CX354" i="1"/>
  <c r="CY354" i="1"/>
  <c r="CZ354" i="1"/>
  <c r="DA354" i="1"/>
  <c r="DB354" i="1"/>
  <c r="DC354" i="1"/>
  <c r="DD354" i="1"/>
  <c r="DE354" i="1"/>
  <c r="DF354" i="1"/>
  <c r="DG354" i="1"/>
  <c r="DH354" i="1"/>
  <c r="CL355" i="1"/>
  <c r="CM355" i="1"/>
  <c r="CN355" i="1"/>
  <c r="CO355" i="1"/>
  <c r="CP355" i="1"/>
  <c r="CQ355" i="1"/>
  <c r="CR355" i="1"/>
  <c r="CS355" i="1"/>
  <c r="CT355" i="1"/>
  <c r="CU355" i="1"/>
  <c r="CV355" i="1"/>
  <c r="CW355" i="1"/>
  <c r="CX355" i="1"/>
  <c r="CY355" i="1"/>
  <c r="CZ355" i="1"/>
  <c r="DA355" i="1"/>
  <c r="DB355" i="1"/>
  <c r="DC355" i="1"/>
  <c r="DD355" i="1"/>
  <c r="DE355" i="1"/>
  <c r="DF355" i="1"/>
  <c r="DG355" i="1"/>
  <c r="DH355" i="1"/>
  <c r="CL356" i="1"/>
  <c r="CM356" i="1"/>
  <c r="CN356" i="1"/>
  <c r="CO356" i="1"/>
  <c r="CP356" i="1"/>
  <c r="CQ356" i="1"/>
  <c r="CR356" i="1"/>
  <c r="CS356" i="1"/>
  <c r="CT356" i="1"/>
  <c r="CU356" i="1"/>
  <c r="CV356" i="1"/>
  <c r="CW356" i="1"/>
  <c r="CX356" i="1"/>
  <c r="CY356" i="1"/>
  <c r="CZ356" i="1"/>
  <c r="DA356" i="1"/>
  <c r="DB356" i="1"/>
  <c r="DC356" i="1"/>
  <c r="DD356" i="1"/>
  <c r="DE356" i="1"/>
  <c r="DF356" i="1"/>
  <c r="DG356" i="1"/>
  <c r="DH356" i="1"/>
  <c r="CL357" i="1"/>
  <c r="CM357" i="1"/>
  <c r="CN357" i="1"/>
  <c r="CO357" i="1"/>
  <c r="CP357" i="1"/>
  <c r="CQ357" i="1"/>
  <c r="CR357" i="1"/>
  <c r="CS357" i="1"/>
  <c r="CT357" i="1"/>
  <c r="CU357" i="1"/>
  <c r="CV357" i="1"/>
  <c r="CW357" i="1"/>
  <c r="CX357" i="1"/>
  <c r="CY357" i="1"/>
  <c r="CZ357" i="1"/>
  <c r="DA357" i="1"/>
  <c r="DB357" i="1"/>
  <c r="DC357" i="1"/>
  <c r="DD357" i="1"/>
  <c r="DE357" i="1"/>
  <c r="DF357" i="1"/>
  <c r="DG357" i="1"/>
  <c r="DH357" i="1"/>
  <c r="CL358" i="1"/>
  <c r="CM358" i="1"/>
  <c r="CN358" i="1"/>
  <c r="CO358" i="1"/>
  <c r="CP358" i="1"/>
  <c r="CQ358" i="1"/>
  <c r="CR358" i="1"/>
  <c r="CS358" i="1"/>
  <c r="CT358" i="1"/>
  <c r="CU358" i="1"/>
  <c r="CV358" i="1"/>
  <c r="CW358" i="1"/>
  <c r="CX358" i="1"/>
  <c r="CY358" i="1"/>
  <c r="CZ358" i="1"/>
  <c r="DA358" i="1"/>
  <c r="DB358" i="1"/>
  <c r="DC358" i="1"/>
  <c r="DD358" i="1"/>
  <c r="DE358" i="1"/>
  <c r="DF358" i="1"/>
  <c r="DG358" i="1"/>
  <c r="DH358" i="1"/>
  <c r="CL359" i="1"/>
  <c r="CM359" i="1"/>
  <c r="CN359" i="1"/>
  <c r="CO359" i="1"/>
  <c r="CP359" i="1"/>
  <c r="CQ359" i="1"/>
  <c r="CR359" i="1"/>
  <c r="CS359" i="1"/>
  <c r="CT359" i="1"/>
  <c r="CU359" i="1"/>
  <c r="CV359" i="1"/>
  <c r="CW359" i="1"/>
  <c r="CX359" i="1"/>
  <c r="CY359" i="1"/>
  <c r="CZ359" i="1"/>
  <c r="DA359" i="1"/>
  <c r="DB359" i="1"/>
  <c r="DC359" i="1"/>
  <c r="DD359" i="1"/>
  <c r="DE359" i="1"/>
  <c r="DF359" i="1"/>
  <c r="DG359" i="1"/>
  <c r="DH359" i="1"/>
  <c r="CL360" i="1"/>
  <c r="CM360" i="1"/>
  <c r="CN360" i="1"/>
  <c r="CO360" i="1"/>
  <c r="CP360" i="1"/>
  <c r="CQ360" i="1"/>
  <c r="CR360" i="1"/>
  <c r="CS360" i="1"/>
  <c r="CT360" i="1"/>
  <c r="CU360" i="1"/>
  <c r="CV360" i="1"/>
  <c r="CW360" i="1"/>
  <c r="CX360" i="1"/>
  <c r="CY360" i="1"/>
  <c r="CZ360" i="1"/>
  <c r="DA360" i="1"/>
  <c r="DB360" i="1"/>
  <c r="DC360" i="1"/>
  <c r="DD360" i="1"/>
  <c r="DE360" i="1"/>
  <c r="DF360" i="1"/>
  <c r="DG360" i="1"/>
  <c r="DH360" i="1"/>
  <c r="CL361" i="1"/>
  <c r="CM361" i="1"/>
  <c r="CN361" i="1"/>
  <c r="CO361" i="1"/>
  <c r="CP361" i="1"/>
  <c r="CQ361" i="1"/>
  <c r="CR361" i="1"/>
  <c r="CS361" i="1"/>
  <c r="CT361" i="1"/>
  <c r="CU361" i="1"/>
  <c r="CV361" i="1"/>
  <c r="CW361" i="1"/>
  <c r="CX361" i="1"/>
  <c r="CY361" i="1"/>
  <c r="CZ361" i="1"/>
  <c r="DA361" i="1"/>
  <c r="DB361" i="1"/>
  <c r="DC361" i="1"/>
  <c r="DD361" i="1"/>
  <c r="DE361" i="1"/>
  <c r="DF361" i="1"/>
  <c r="DG361" i="1"/>
  <c r="DH361" i="1"/>
  <c r="CL362" i="1"/>
  <c r="CM362" i="1"/>
  <c r="CN362" i="1"/>
  <c r="CO362" i="1"/>
  <c r="CP362" i="1"/>
  <c r="CQ362" i="1"/>
  <c r="CR362" i="1"/>
  <c r="CS362" i="1"/>
  <c r="CT362" i="1"/>
  <c r="CU362" i="1"/>
  <c r="CV362" i="1"/>
  <c r="CW362" i="1"/>
  <c r="CX362" i="1"/>
  <c r="CY362" i="1"/>
  <c r="CZ362" i="1"/>
  <c r="DA362" i="1"/>
  <c r="DB362" i="1"/>
  <c r="DC362" i="1"/>
  <c r="DD362" i="1"/>
  <c r="DE362" i="1"/>
  <c r="DF362" i="1"/>
  <c r="DG362" i="1"/>
  <c r="DH362" i="1"/>
  <c r="CL363" i="1"/>
  <c r="CM363" i="1"/>
  <c r="CN363" i="1"/>
  <c r="CO363" i="1"/>
  <c r="CP363" i="1"/>
  <c r="CQ363" i="1"/>
  <c r="CR363" i="1"/>
  <c r="CS363" i="1"/>
  <c r="CT363" i="1"/>
  <c r="CU363" i="1"/>
  <c r="CV363" i="1"/>
  <c r="CW363" i="1"/>
  <c r="CX363" i="1"/>
  <c r="CY363" i="1"/>
  <c r="CZ363" i="1"/>
  <c r="DA363" i="1"/>
  <c r="DB363" i="1"/>
  <c r="DC363" i="1"/>
  <c r="DD363" i="1"/>
  <c r="DE363" i="1"/>
  <c r="DF363" i="1"/>
  <c r="DG363" i="1"/>
  <c r="DH363" i="1"/>
  <c r="CL364" i="1"/>
  <c r="CM364" i="1"/>
  <c r="CN364" i="1"/>
  <c r="CO364" i="1"/>
  <c r="CP364" i="1"/>
  <c r="CQ364" i="1"/>
  <c r="CR364" i="1"/>
  <c r="CS364" i="1"/>
  <c r="CT364" i="1"/>
  <c r="CU364" i="1"/>
  <c r="CV364" i="1"/>
  <c r="CW364" i="1"/>
  <c r="CX364" i="1"/>
  <c r="CY364" i="1"/>
  <c r="CZ364" i="1"/>
  <c r="DA364" i="1"/>
  <c r="DB364" i="1"/>
  <c r="DC364" i="1"/>
  <c r="DD364" i="1"/>
  <c r="DE364" i="1"/>
  <c r="DF364" i="1"/>
  <c r="DG364" i="1"/>
  <c r="DH364" i="1"/>
  <c r="CL365" i="1"/>
  <c r="CM365" i="1"/>
  <c r="CN365" i="1"/>
  <c r="CO365" i="1"/>
  <c r="CP365" i="1"/>
  <c r="CQ365" i="1"/>
  <c r="CR365" i="1"/>
  <c r="CS365" i="1"/>
  <c r="CT365" i="1"/>
  <c r="CU365" i="1"/>
  <c r="CV365" i="1"/>
  <c r="CW365" i="1"/>
  <c r="CX365" i="1"/>
  <c r="CY365" i="1"/>
  <c r="CZ365" i="1"/>
  <c r="DA365" i="1"/>
  <c r="DB365" i="1"/>
  <c r="DC365" i="1"/>
  <c r="DD365" i="1"/>
  <c r="DE365" i="1"/>
  <c r="DF365" i="1"/>
  <c r="DG365" i="1"/>
  <c r="DH365" i="1"/>
  <c r="CL366" i="1"/>
  <c r="CM366" i="1"/>
  <c r="CN366" i="1"/>
  <c r="CO366" i="1"/>
  <c r="CP366" i="1"/>
  <c r="CQ366" i="1"/>
  <c r="CR366" i="1"/>
  <c r="CS366" i="1"/>
  <c r="CT366" i="1"/>
  <c r="CU366" i="1"/>
  <c r="CV366" i="1"/>
  <c r="CW366" i="1"/>
  <c r="CX366" i="1"/>
  <c r="CY366" i="1"/>
  <c r="CZ366" i="1"/>
  <c r="DA366" i="1"/>
  <c r="DB366" i="1"/>
  <c r="DC366" i="1"/>
  <c r="DD366" i="1"/>
  <c r="DE366" i="1"/>
  <c r="DF366" i="1"/>
  <c r="DG366" i="1"/>
  <c r="DH366" i="1"/>
  <c r="CL367" i="1"/>
  <c r="CM367" i="1"/>
  <c r="CN367" i="1"/>
  <c r="CO367" i="1"/>
  <c r="CP367" i="1"/>
  <c r="CQ367" i="1"/>
  <c r="CR367" i="1"/>
  <c r="CS367" i="1"/>
  <c r="CT367" i="1"/>
  <c r="CU367" i="1"/>
  <c r="CV367" i="1"/>
  <c r="CW367" i="1"/>
  <c r="CX367" i="1"/>
  <c r="CY367" i="1"/>
  <c r="CZ367" i="1"/>
  <c r="DA367" i="1"/>
  <c r="DB367" i="1"/>
  <c r="DC367" i="1"/>
  <c r="DD367" i="1"/>
  <c r="DE367" i="1"/>
  <c r="DF367" i="1"/>
  <c r="DG367" i="1"/>
  <c r="DH367" i="1"/>
  <c r="CL368" i="1"/>
  <c r="CM368" i="1"/>
  <c r="CN368" i="1"/>
  <c r="CO368" i="1"/>
  <c r="CP368" i="1"/>
  <c r="CQ368" i="1"/>
  <c r="CR368" i="1"/>
  <c r="CS368" i="1"/>
  <c r="CT368" i="1"/>
  <c r="CU368" i="1"/>
  <c r="CV368" i="1"/>
  <c r="CW368" i="1"/>
  <c r="CX368" i="1"/>
  <c r="CY368" i="1"/>
  <c r="CZ368" i="1"/>
  <c r="DA368" i="1"/>
  <c r="DB368" i="1"/>
  <c r="DC368" i="1"/>
  <c r="DD368" i="1"/>
  <c r="DE368" i="1"/>
  <c r="DF368" i="1"/>
  <c r="DG368" i="1"/>
  <c r="DH368" i="1"/>
  <c r="CL369" i="1"/>
  <c r="CM369" i="1"/>
  <c r="CN369" i="1"/>
  <c r="CO369" i="1"/>
  <c r="CP369" i="1"/>
  <c r="CQ369" i="1"/>
  <c r="CR369" i="1"/>
  <c r="CS369" i="1"/>
  <c r="CT369" i="1"/>
  <c r="CU369" i="1"/>
  <c r="CV369" i="1"/>
  <c r="CW369" i="1"/>
  <c r="CX369" i="1"/>
  <c r="CY369" i="1"/>
  <c r="CZ369" i="1"/>
  <c r="DA369" i="1"/>
  <c r="DB369" i="1"/>
  <c r="DC369" i="1"/>
  <c r="DD369" i="1"/>
  <c r="DE369" i="1"/>
  <c r="DF369" i="1"/>
  <c r="DG369" i="1"/>
  <c r="DH369" i="1"/>
  <c r="CL370" i="1"/>
  <c r="CM370" i="1"/>
  <c r="CN370" i="1"/>
  <c r="CO370" i="1"/>
  <c r="CP370" i="1"/>
  <c r="CQ370" i="1"/>
  <c r="CR370" i="1"/>
  <c r="CS370" i="1"/>
  <c r="CT370" i="1"/>
  <c r="CU370" i="1"/>
  <c r="CV370" i="1"/>
  <c r="CW370" i="1"/>
  <c r="CX370" i="1"/>
  <c r="CY370" i="1"/>
  <c r="CZ370" i="1"/>
  <c r="DA370" i="1"/>
  <c r="DB370" i="1"/>
  <c r="DC370" i="1"/>
  <c r="DD370" i="1"/>
  <c r="DE370" i="1"/>
  <c r="DF370" i="1"/>
  <c r="DG370" i="1"/>
  <c r="DH370" i="1"/>
  <c r="CL371" i="1"/>
  <c r="CM371" i="1"/>
  <c r="CN371" i="1"/>
  <c r="CO371" i="1"/>
  <c r="CP371" i="1"/>
  <c r="CQ371" i="1"/>
  <c r="CR371" i="1"/>
  <c r="CS371" i="1"/>
  <c r="CT371" i="1"/>
  <c r="CU371" i="1"/>
  <c r="CV371" i="1"/>
  <c r="CW371" i="1"/>
  <c r="CX371" i="1"/>
  <c r="CY371" i="1"/>
  <c r="CZ371" i="1"/>
  <c r="DA371" i="1"/>
  <c r="DB371" i="1"/>
  <c r="DC371" i="1"/>
  <c r="DD371" i="1"/>
  <c r="DE371" i="1"/>
  <c r="DF371" i="1"/>
  <c r="DG371" i="1"/>
  <c r="DH371" i="1"/>
  <c r="CL372" i="1"/>
  <c r="CM372" i="1"/>
  <c r="CN372" i="1"/>
  <c r="CO372" i="1"/>
  <c r="CP372" i="1"/>
  <c r="CQ372" i="1"/>
  <c r="CR372" i="1"/>
  <c r="CS372" i="1"/>
  <c r="CT372" i="1"/>
  <c r="CU372" i="1"/>
  <c r="CV372" i="1"/>
  <c r="CW372" i="1"/>
  <c r="CX372" i="1"/>
  <c r="CY372" i="1"/>
  <c r="CZ372" i="1"/>
  <c r="DA372" i="1"/>
  <c r="DB372" i="1"/>
  <c r="DC372" i="1"/>
  <c r="DD372" i="1"/>
  <c r="DE372" i="1"/>
  <c r="DF372" i="1"/>
  <c r="DG372" i="1"/>
  <c r="DH372" i="1"/>
  <c r="CL373" i="1"/>
  <c r="CM373" i="1"/>
  <c r="CN373" i="1"/>
  <c r="CO373" i="1"/>
  <c r="CP373" i="1"/>
  <c r="CQ373" i="1"/>
  <c r="CR373" i="1"/>
  <c r="CS373" i="1"/>
  <c r="CT373" i="1"/>
  <c r="CU373" i="1"/>
  <c r="CV373" i="1"/>
  <c r="CW373" i="1"/>
  <c r="CX373" i="1"/>
  <c r="CY373" i="1"/>
  <c r="CZ373" i="1"/>
  <c r="DA373" i="1"/>
  <c r="DB373" i="1"/>
  <c r="DC373" i="1"/>
  <c r="DD373" i="1"/>
  <c r="DE373" i="1"/>
  <c r="DF373" i="1"/>
  <c r="DG373" i="1"/>
  <c r="DH373" i="1"/>
  <c r="CL374" i="1"/>
  <c r="CM374" i="1"/>
  <c r="CN374" i="1"/>
  <c r="CO374" i="1"/>
  <c r="CP374" i="1"/>
  <c r="CQ374" i="1"/>
  <c r="CR374" i="1"/>
  <c r="CS374" i="1"/>
  <c r="CT374" i="1"/>
  <c r="CU374" i="1"/>
  <c r="CV374" i="1"/>
  <c r="CW374" i="1"/>
  <c r="CX374" i="1"/>
  <c r="CY374" i="1"/>
  <c r="CZ374" i="1"/>
  <c r="DA374" i="1"/>
  <c r="DB374" i="1"/>
  <c r="DC374" i="1"/>
  <c r="DD374" i="1"/>
  <c r="DE374" i="1"/>
  <c r="DF374" i="1"/>
  <c r="DG374" i="1"/>
  <c r="DH374" i="1"/>
  <c r="CL375" i="1"/>
  <c r="CM375" i="1"/>
  <c r="CN375" i="1"/>
  <c r="CO375" i="1"/>
  <c r="CP375" i="1"/>
  <c r="CQ375" i="1"/>
  <c r="CR375" i="1"/>
  <c r="CS375" i="1"/>
  <c r="CT375" i="1"/>
  <c r="CU375" i="1"/>
  <c r="CV375" i="1"/>
  <c r="CW375" i="1"/>
  <c r="CX375" i="1"/>
  <c r="CY375" i="1"/>
  <c r="CZ375" i="1"/>
  <c r="DA375" i="1"/>
  <c r="DB375" i="1"/>
  <c r="DC375" i="1"/>
  <c r="DD375" i="1"/>
  <c r="DE375" i="1"/>
  <c r="DF375" i="1"/>
  <c r="DG375" i="1"/>
  <c r="DH375" i="1"/>
  <c r="CL376" i="1"/>
  <c r="CM376" i="1"/>
  <c r="CN376" i="1"/>
  <c r="CO376" i="1"/>
  <c r="CP376" i="1"/>
  <c r="CQ376" i="1"/>
  <c r="CR376" i="1"/>
  <c r="CS376" i="1"/>
  <c r="CT376" i="1"/>
  <c r="CU376" i="1"/>
  <c r="CV376" i="1"/>
  <c r="CW376" i="1"/>
  <c r="CX376" i="1"/>
  <c r="CY376" i="1"/>
  <c r="CZ376" i="1"/>
  <c r="DA376" i="1"/>
  <c r="DB376" i="1"/>
  <c r="DC376" i="1"/>
  <c r="DD376" i="1"/>
  <c r="DE376" i="1"/>
  <c r="DF376" i="1"/>
  <c r="DG376" i="1"/>
  <c r="DH376" i="1"/>
  <c r="CL377" i="1"/>
  <c r="CM377" i="1"/>
  <c r="CN377" i="1"/>
  <c r="CO377" i="1"/>
  <c r="CP377" i="1"/>
  <c r="CQ377" i="1"/>
  <c r="CR377" i="1"/>
  <c r="CS377" i="1"/>
  <c r="CT377" i="1"/>
  <c r="CU377" i="1"/>
  <c r="CV377" i="1"/>
  <c r="CW377" i="1"/>
  <c r="CX377" i="1"/>
  <c r="CY377" i="1"/>
  <c r="CZ377" i="1"/>
  <c r="DA377" i="1"/>
  <c r="DB377" i="1"/>
  <c r="DC377" i="1"/>
  <c r="DD377" i="1"/>
  <c r="DE377" i="1"/>
  <c r="DF377" i="1"/>
  <c r="DG377" i="1"/>
  <c r="DH377" i="1"/>
  <c r="CL378" i="1"/>
  <c r="CM378" i="1"/>
  <c r="CN378" i="1"/>
  <c r="CO378" i="1"/>
  <c r="CP378" i="1"/>
  <c r="CQ378" i="1"/>
  <c r="CR378" i="1"/>
  <c r="CS378" i="1"/>
  <c r="CT378" i="1"/>
  <c r="CU378" i="1"/>
  <c r="CV378" i="1"/>
  <c r="CW378" i="1"/>
  <c r="CX378" i="1"/>
  <c r="CY378" i="1"/>
  <c r="CZ378" i="1"/>
  <c r="DA378" i="1"/>
  <c r="DB378" i="1"/>
  <c r="DC378" i="1"/>
  <c r="DD378" i="1"/>
  <c r="DE378" i="1"/>
  <c r="DF378" i="1"/>
  <c r="DG378" i="1"/>
  <c r="DH378" i="1"/>
  <c r="CL379" i="1"/>
  <c r="CM379" i="1"/>
  <c r="CN379" i="1"/>
  <c r="CO379" i="1"/>
  <c r="CP379" i="1"/>
  <c r="CQ379" i="1"/>
  <c r="CR379" i="1"/>
  <c r="CS379" i="1"/>
  <c r="CT379" i="1"/>
  <c r="CU379" i="1"/>
  <c r="CV379" i="1"/>
  <c r="CW379" i="1"/>
  <c r="CX379" i="1"/>
  <c r="CY379" i="1"/>
  <c r="CZ379" i="1"/>
  <c r="DA379" i="1"/>
  <c r="DB379" i="1"/>
  <c r="DC379" i="1"/>
  <c r="DD379" i="1"/>
  <c r="DE379" i="1"/>
  <c r="DF379" i="1"/>
  <c r="DG379" i="1"/>
  <c r="DH379" i="1"/>
  <c r="CL380" i="1"/>
  <c r="CM380" i="1"/>
  <c r="CN380" i="1"/>
  <c r="CO380" i="1"/>
  <c r="CP380" i="1"/>
  <c r="CQ380" i="1"/>
  <c r="CR380" i="1"/>
  <c r="CS380" i="1"/>
  <c r="CT380" i="1"/>
  <c r="CU380" i="1"/>
  <c r="CV380" i="1"/>
  <c r="CW380" i="1"/>
  <c r="CX380" i="1"/>
  <c r="CY380" i="1"/>
  <c r="CZ380" i="1"/>
  <c r="DA380" i="1"/>
  <c r="DB380" i="1"/>
  <c r="DC380" i="1"/>
  <c r="DD380" i="1"/>
  <c r="DE380" i="1"/>
  <c r="DF380" i="1"/>
  <c r="DG380" i="1"/>
  <c r="DH380" i="1"/>
  <c r="CL381" i="1"/>
  <c r="CM381" i="1"/>
  <c r="CN381" i="1"/>
  <c r="CO381" i="1"/>
  <c r="CP381" i="1"/>
  <c r="CQ381" i="1"/>
  <c r="CR381" i="1"/>
  <c r="CS381" i="1"/>
  <c r="CT381" i="1"/>
  <c r="CU381" i="1"/>
  <c r="CV381" i="1"/>
  <c r="CW381" i="1"/>
  <c r="CX381" i="1"/>
  <c r="CY381" i="1"/>
  <c r="CZ381" i="1"/>
  <c r="DA381" i="1"/>
  <c r="DB381" i="1"/>
  <c r="DC381" i="1"/>
  <c r="DD381" i="1"/>
  <c r="DE381" i="1"/>
  <c r="DF381" i="1"/>
  <c r="DG381" i="1"/>
  <c r="DH381" i="1"/>
  <c r="CL382" i="1"/>
  <c r="CM382" i="1"/>
  <c r="CN382" i="1"/>
  <c r="CO382" i="1"/>
  <c r="CP382" i="1"/>
  <c r="CQ382" i="1"/>
  <c r="CR382" i="1"/>
  <c r="CS382" i="1"/>
  <c r="CT382" i="1"/>
  <c r="CU382" i="1"/>
  <c r="CV382" i="1"/>
  <c r="CW382" i="1"/>
  <c r="CX382" i="1"/>
  <c r="CY382" i="1"/>
  <c r="CZ382" i="1"/>
  <c r="DA382" i="1"/>
  <c r="DB382" i="1"/>
  <c r="DC382" i="1"/>
  <c r="DD382" i="1"/>
  <c r="DE382" i="1"/>
  <c r="DF382" i="1"/>
  <c r="DG382" i="1"/>
  <c r="DH382" i="1"/>
  <c r="CL383" i="1"/>
  <c r="CM383" i="1"/>
  <c r="CN383" i="1"/>
  <c r="CO383" i="1"/>
  <c r="CP383" i="1"/>
  <c r="CQ383" i="1"/>
  <c r="CR383" i="1"/>
  <c r="CS383" i="1"/>
  <c r="CT383" i="1"/>
  <c r="CU383" i="1"/>
  <c r="CV383" i="1"/>
  <c r="CW383" i="1"/>
  <c r="CX383" i="1"/>
  <c r="CY383" i="1"/>
  <c r="CZ383" i="1"/>
  <c r="DA383" i="1"/>
  <c r="DB383" i="1"/>
  <c r="DC383" i="1"/>
  <c r="DD383" i="1"/>
  <c r="DE383" i="1"/>
  <c r="DF383" i="1"/>
  <c r="DG383" i="1"/>
  <c r="DH383" i="1"/>
  <c r="CL384" i="1"/>
  <c r="CM384" i="1"/>
  <c r="CN384" i="1"/>
  <c r="CO384" i="1"/>
  <c r="CP384" i="1"/>
  <c r="CQ384" i="1"/>
  <c r="CR384" i="1"/>
  <c r="CS384" i="1"/>
  <c r="CT384" i="1"/>
  <c r="CU384" i="1"/>
  <c r="CV384" i="1"/>
  <c r="CW384" i="1"/>
  <c r="CX384" i="1"/>
  <c r="CY384" i="1"/>
  <c r="CZ384" i="1"/>
  <c r="DA384" i="1"/>
  <c r="DB384" i="1"/>
  <c r="DC384" i="1"/>
  <c r="DD384" i="1"/>
  <c r="DE384" i="1"/>
  <c r="DF384" i="1"/>
  <c r="DG384" i="1"/>
  <c r="DH384" i="1"/>
  <c r="CL385" i="1"/>
  <c r="CM385" i="1"/>
  <c r="CN385" i="1"/>
  <c r="CO385" i="1"/>
  <c r="CP385" i="1"/>
  <c r="CQ385" i="1"/>
  <c r="CR385" i="1"/>
  <c r="CS385" i="1"/>
  <c r="CT385" i="1"/>
  <c r="CU385" i="1"/>
  <c r="CV385" i="1"/>
  <c r="CW385" i="1"/>
  <c r="CX385" i="1"/>
  <c r="CY385" i="1"/>
  <c r="CZ385" i="1"/>
  <c r="DA385" i="1"/>
  <c r="DB385" i="1"/>
  <c r="DC385" i="1"/>
  <c r="DD385" i="1"/>
  <c r="DE385" i="1"/>
  <c r="DF385" i="1"/>
  <c r="DG385" i="1"/>
  <c r="DH385" i="1"/>
  <c r="CL386" i="1"/>
  <c r="CM386" i="1"/>
  <c r="CN386" i="1"/>
  <c r="CO386" i="1"/>
  <c r="CP386" i="1"/>
  <c r="CQ386" i="1"/>
  <c r="CR386" i="1"/>
  <c r="CS386" i="1"/>
  <c r="CT386" i="1"/>
  <c r="CU386" i="1"/>
  <c r="CV386" i="1"/>
  <c r="CW386" i="1"/>
  <c r="CX386" i="1"/>
  <c r="CY386" i="1"/>
  <c r="CZ386" i="1"/>
  <c r="DA386" i="1"/>
  <c r="DB386" i="1"/>
  <c r="DC386" i="1"/>
  <c r="DD386" i="1"/>
  <c r="DE386" i="1"/>
  <c r="DF386" i="1"/>
  <c r="DG386" i="1"/>
  <c r="DH386" i="1"/>
  <c r="CL387" i="1"/>
  <c r="CM387" i="1"/>
  <c r="CN387" i="1"/>
  <c r="CO387" i="1"/>
  <c r="CP387" i="1"/>
  <c r="CQ387" i="1"/>
  <c r="CR387" i="1"/>
  <c r="CS387" i="1"/>
  <c r="CT387" i="1"/>
  <c r="CU387" i="1"/>
  <c r="CV387" i="1"/>
  <c r="CW387" i="1"/>
  <c r="CX387" i="1"/>
  <c r="CY387" i="1"/>
  <c r="CZ387" i="1"/>
  <c r="DA387" i="1"/>
  <c r="DB387" i="1"/>
  <c r="DC387" i="1"/>
  <c r="DD387" i="1"/>
  <c r="DE387" i="1"/>
  <c r="DF387" i="1"/>
  <c r="DG387" i="1"/>
  <c r="DH387" i="1"/>
  <c r="CL388" i="1"/>
  <c r="CM388" i="1"/>
  <c r="CN388" i="1"/>
  <c r="CO388" i="1"/>
  <c r="CP388" i="1"/>
  <c r="CQ388" i="1"/>
  <c r="CR388" i="1"/>
  <c r="CS388" i="1"/>
  <c r="CT388" i="1"/>
  <c r="CU388" i="1"/>
  <c r="CV388" i="1"/>
  <c r="CW388" i="1"/>
  <c r="CX388" i="1"/>
  <c r="CY388" i="1"/>
  <c r="CZ388" i="1"/>
  <c r="DA388" i="1"/>
  <c r="DB388" i="1"/>
  <c r="DC388" i="1"/>
  <c r="DD388" i="1"/>
  <c r="DE388" i="1"/>
  <c r="DF388" i="1"/>
  <c r="DG388" i="1"/>
  <c r="DH388" i="1"/>
  <c r="CL389" i="1"/>
  <c r="CM389" i="1"/>
  <c r="CN389" i="1"/>
  <c r="CO389" i="1"/>
  <c r="CP389" i="1"/>
  <c r="CQ389" i="1"/>
  <c r="CR389" i="1"/>
  <c r="CS389" i="1"/>
  <c r="CT389" i="1"/>
  <c r="CU389" i="1"/>
  <c r="CV389" i="1"/>
  <c r="CW389" i="1"/>
  <c r="CX389" i="1"/>
  <c r="CY389" i="1"/>
  <c r="CZ389" i="1"/>
  <c r="DA389" i="1"/>
  <c r="DB389" i="1"/>
  <c r="DC389" i="1"/>
  <c r="DD389" i="1"/>
  <c r="DE389" i="1"/>
  <c r="DF389" i="1"/>
  <c r="DG389" i="1"/>
  <c r="DH389" i="1"/>
  <c r="CL390" i="1"/>
  <c r="CM390" i="1"/>
  <c r="CN390" i="1"/>
  <c r="CO390" i="1"/>
  <c r="CP390" i="1"/>
  <c r="CQ390" i="1"/>
  <c r="CR390" i="1"/>
  <c r="CS390" i="1"/>
  <c r="CT390" i="1"/>
  <c r="CU390" i="1"/>
  <c r="CV390" i="1"/>
  <c r="CW390" i="1"/>
  <c r="CX390" i="1"/>
  <c r="CY390" i="1"/>
  <c r="CZ390" i="1"/>
  <c r="DA390" i="1"/>
  <c r="DB390" i="1"/>
  <c r="DC390" i="1"/>
  <c r="DD390" i="1"/>
  <c r="DE390" i="1"/>
  <c r="DF390" i="1"/>
  <c r="DG390" i="1"/>
  <c r="DH390" i="1"/>
  <c r="CL391" i="1"/>
  <c r="CM391" i="1"/>
  <c r="CN391" i="1"/>
  <c r="CO391" i="1"/>
  <c r="CP391" i="1"/>
  <c r="CQ391" i="1"/>
  <c r="CR391" i="1"/>
  <c r="CS391" i="1"/>
  <c r="CT391" i="1"/>
  <c r="CU391" i="1"/>
  <c r="CV391" i="1"/>
  <c r="CW391" i="1"/>
  <c r="CX391" i="1"/>
  <c r="CY391" i="1"/>
  <c r="CZ391" i="1"/>
  <c r="DA391" i="1"/>
  <c r="DB391" i="1"/>
  <c r="DC391" i="1"/>
  <c r="DD391" i="1"/>
  <c r="DE391" i="1"/>
  <c r="DF391" i="1"/>
  <c r="DG391" i="1"/>
  <c r="DH391" i="1"/>
  <c r="CL392" i="1"/>
  <c r="CM392" i="1"/>
  <c r="CN392" i="1"/>
  <c r="CO392" i="1"/>
  <c r="CP392" i="1"/>
  <c r="CQ392" i="1"/>
  <c r="CR392" i="1"/>
  <c r="CS392" i="1"/>
  <c r="CT392" i="1"/>
  <c r="CU392" i="1"/>
  <c r="CV392" i="1"/>
  <c r="CW392" i="1"/>
  <c r="CX392" i="1"/>
  <c r="CY392" i="1"/>
  <c r="CZ392" i="1"/>
  <c r="DA392" i="1"/>
  <c r="DB392" i="1"/>
  <c r="DC392" i="1"/>
  <c r="DD392" i="1"/>
  <c r="DE392" i="1"/>
  <c r="DF392" i="1"/>
  <c r="DG392" i="1"/>
  <c r="DH392" i="1"/>
  <c r="CL393" i="1"/>
  <c r="CM393" i="1"/>
  <c r="CN393" i="1"/>
  <c r="CO393" i="1"/>
  <c r="CP393" i="1"/>
  <c r="CQ393" i="1"/>
  <c r="CR393" i="1"/>
  <c r="CS393" i="1"/>
  <c r="CT393" i="1"/>
  <c r="CU393" i="1"/>
  <c r="CV393" i="1"/>
  <c r="CW393" i="1"/>
  <c r="CX393" i="1"/>
  <c r="CY393" i="1"/>
  <c r="CZ393" i="1"/>
  <c r="DA393" i="1"/>
  <c r="DB393" i="1"/>
  <c r="DC393" i="1"/>
  <c r="DD393" i="1"/>
  <c r="DE393" i="1"/>
  <c r="DF393" i="1"/>
  <c r="DG393" i="1"/>
  <c r="DH393" i="1"/>
  <c r="CL394" i="1"/>
  <c r="CM394" i="1"/>
  <c r="CN394" i="1"/>
  <c r="CO394" i="1"/>
  <c r="CP394" i="1"/>
  <c r="CQ394" i="1"/>
  <c r="CR394" i="1"/>
  <c r="CS394" i="1"/>
  <c r="CT394" i="1"/>
  <c r="CU394" i="1"/>
  <c r="CV394" i="1"/>
  <c r="CW394" i="1"/>
  <c r="CX394" i="1"/>
  <c r="CY394" i="1"/>
  <c r="CZ394" i="1"/>
  <c r="DA394" i="1"/>
  <c r="DB394" i="1"/>
  <c r="DC394" i="1"/>
  <c r="DD394" i="1"/>
  <c r="DE394" i="1"/>
  <c r="DF394" i="1"/>
  <c r="DG394" i="1"/>
  <c r="DH394" i="1"/>
  <c r="CL395" i="1"/>
  <c r="CM395" i="1"/>
  <c r="CN395" i="1"/>
  <c r="CO395" i="1"/>
  <c r="CP395" i="1"/>
  <c r="CQ395" i="1"/>
  <c r="CR395" i="1"/>
  <c r="CS395" i="1"/>
  <c r="CT395" i="1"/>
  <c r="CU395" i="1"/>
  <c r="CV395" i="1"/>
  <c r="CW395" i="1"/>
  <c r="CX395" i="1"/>
  <c r="CY395" i="1"/>
  <c r="CZ395" i="1"/>
  <c r="DA395" i="1"/>
  <c r="DB395" i="1"/>
  <c r="DC395" i="1"/>
  <c r="DD395" i="1"/>
  <c r="DE395" i="1"/>
  <c r="DF395" i="1"/>
  <c r="DG395" i="1"/>
  <c r="DH395" i="1"/>
  <c r="CL396" i="1"/>
  <c r="CM396" i="1"/>
  <c r="CN396" i="1"/>
  <c r="CO396" i="1"/>
  <c r="CP396" i="1"/>
  <c r="CQ396" i="1"/>
  <c r="CR396" i="1"/>
  <c r="CS396" i="1"/>
  <c r="CT396" i="1"/>
  <c r="CU396" i="1"/>
  <c r="CV396" i="1"/>
  <c r="CW396" i="1"/>
  <c r="CX396" i="1"/>
  <c r="CY396" i="1"/>
  <c r="CZ396" i="1"/>
  <c r="DA396" i="1"/>
  <c r="DB396" i="1"/>
  <c r="DC396" i="1"/>
  <c r="DD396" i="1"/>
  <c r="DE396" i="1"/>
  <c r="DF396" i="1"/>
  <c r="DG396" i="1"/>
  <c r="DH396" i="1"/>
  <c r="CL397" i="1"/>
  <c r="CM397" i="1"/>
  <c r="CN397" i="1"/>
  <c r="CO397" i="1"/>
  <c r="CP397" i="1"/>
  <c r="CQ397" i="1"/>
  <c r="CR397" i="1"/>
  <c r="CS397" i="1"/>
  <c r="CT397" i="1"/>
  <c r="CU397" i="1"/>
  <c r="CV397" i="1"/>
  <c r="CW397" i="1"/>
  <c r="CX397" i="1"/>
  <c r="CY397" i="1"/>
  <c r="CZ397" i="1"/>
  <c r="DA397" i="1"/>
  <c r="DB397" i="1"/>
  <c r="DC397" i="1"/>
  <c r="DD397" i="1"/>
  <c r="DE397" i="1"/>
  <c r="DF397" i="1"/>
  <c r="DG397" i="1"/>
  <c r="DH397" i="1"/>
  <c r="CL398" i="1"/>
  <c r="CM398" i="1"/>
  <c r="CN398" i="1"/>
  <c r="CO398" i="1"/>
  <c r="CP398" i="1"/>
  <c r="CQ398" i="1"/>
  <c r="CR398" i="1"/>
  <c r="CS398" i="1"/>
  <c r="CT398" i="1"/>
  <c r="CU398" i="1"/>
  <c r="CV398" i="1"/>
  <c r="CW398" i="1"/>
  <c r="CX398" i="1"/>
  <c r="CY398" i="1"/>
  <c r="CZ398" i="1"/>
  <c r="DA398" i="1"/>
  <c r="DB398" i="1"/>
  <c r="DC398" i="1"/>
  <c r="DD398" i="1"/>
  <c r="DE398" i="1"/>
  <c r="DF398" i="1"/>
  <c r="DG398" i="1"/>
  <c r="DH398" i="1"/>
  <c r="CL399" i="1"/>
  <c r="CM399" i="1"/>
  <c r="CN399" i="1"/>
  <c r="CO399" i="1"/>
  <c r="CP399" i="1"/>
  <c r="CQ399" i="1"/>
  <c r="CR399" i="1"/>
  <c r="CS399" i="1"/>
  <c r="CT399" i="1"/>
  <c r="CU399" i="1"/>
  <c r="CV399" i="1"/>
  <c r="CW399" i="1"/>
  <c r="CX399" i="1"/>
  <c r="CY399" i="1"/>
  <c r="CZ399" i="1"/>
  <c r="DA399" i="1"/>
  <c r="DB399" i="1"/>
  <c r="DC399" i="1"/>
  <c r="DD399" i="1"/>
  <c r="DE399" i="1"/>
  <c r="DF399" i="1"/>
  <c r="DG399" i="1"/>
  <c r="DH399" i="1"/>
  <c r="CL400" i="1"/>
  <c r="CM400" i="1"/>
  <c r="CN400" i="1"/>
  <c r="CO400" i="1"/>
  <c r="CP400" i="1"/>
  <c r="CQ400" i="1"/>
  <c r="CR400" i="1"/>
  <c r="CS400" i="1"/>
  <c r="CT400" i="1"/>
  <c r="CU400" i="1"/>
  <c r="CV400" i="1"/>
  <c r="CW400" i="1"/>
  <c r="CX400" i="1"/>
  <c r="CY400" i="1"/>
  <c r="CZ400" i="1"/>
  <c r="DA400" i="1"/>
  <c r="DB400" i="1"/>
  <c r="DC400" i="1"/>
  <c r="DD400" i="1"/>
  <c r="DE400" i="1"/>
  <c r="DF400" i="1"/>
  <c r="DG400" i="1"/>
  <c r="DH400" i="1"/>
  <c r="CL401" i="1"/>
  <c r="CM401" i="1"/>
  <c r="CN401" i="1"/>
  <c r="CO401" i="1"/>
  <c r="CP401" i="1"/>
  <c r="CQ401" i="1"/>
  <c r="CR401" i="1"/>
  <c r="CS401" i="1"/>
  <c r="CT401" i="1"/>
  <c r="CU401" i="1"/>
  <c r="CV401" i="1"/>
  <c r="CW401" i="1"/>
  <c r="CX401" i="1"/>
  <c r="CY401" i="1"/>
  <c r="CZ401" i="1"/>
  <c r="DA401" i="1"/>
  <c r="DB401" i="1"/>
  <c r="DC401" i="1"/>
  <c r="DD401" i="1"/>
  <c r="DE401" i="1"/>
  <c r="DF401" i="1"/>
  <c r="DG401" i="1"/>
  <c r="DH401" i="1"/>
  <c r="CL402" i="1"/>
  <c r="CM402" i="1"/>
  <c r="CN402" i="1"/>
  <c r="CO402" i="1"/>
  <c r="CP402" i="1"/>
  <c r="CQ402" i="1"/>
  <c r="CR402" i="1"/>
  <c r="CS402" i="1"/>
  <c r="CT402" i="1"/>
  <c r="CU402" i="1"/>
  <c r="CV402" i="1"/>
  <c r="CW402" i="1"/>
  <c r="CX402" i="1"/>
  <c r="CY402" i="1"/>
  <c r="CZ402" i="1"/>
  <c r="DA402" i="1"/>
  <c r="DB402" i="1"/>
  <c r="DC402" i="1"/>
  <c r="DD402" i="1"/>
  <c r="DE402" i="1"/>
  <c r="DF402" i="1"/>
  <c r="DG402" i="1"/>
  <c r="DH402" i="1"/>
  <c r="CL403" i="1"/>
  <c r="CM403" i="1"/>
  <c r="CN403" i="1"/>
  <c r="CO403" i="1"/>
  <c r="CP403" i="1"/>
  <c r="CQ403" i="1"/>
  <c r="CR403" i="1"/>
  <c r="CS403" i="1"/>
  <c r="CT403" i="1"/>
  <c r="CU403" i="1"/>
  <c r="CV403" i="1"/>
  <c r="CW403" i="1"/>
  <c r="CX403" i="1"/>
  <c r="CY403" i="1"/>
  <c r="CZ403" i="1"/>
  <c r="DA403" i="1"/>
  <c r="DB403" i="1"/>
  <c r="DC403" i="1"/>
  <c r="DD403" i="1"/>
  <c r="DE403" i="1"/>
  <c r="DF403" i="1"/>
  <c r="DG403" i="1"/>
  <c r="DH403" i="1"/>
  <c r="CL404" i="1"/>
  <c r="CM404" i="1"/>
  <c r="CN404" i="1"/>
  <c r="CO404" i="1"/>
  <c r="CP404" i="1"/>
  <c r="CQ404" i="1"/>
  <c r="CR404" i="1"/>
  <c r="CS404" i="1"/>
  <c r="CT404" i="1"/>
  <c r="CU404" i="1"/>
  <c r="CV404" i="1"/>
  <c r="CW404" i="1"/>
  <c r="CX404" i="1"/>
  <c r="CY404" i="1"/>
  <c r="CZ404" i="1"/>
  <c r="DA404" i="1"/>
  <c r="DB404" i="1"/>
  <c r="DC404" i="1"/>
  <c r="DD404" i="1"/>
  <c r="DE404" i="1"/>
  <c r="DF404" i="1"/>
  <c r="DG404" i="1"/>
  <c r="DH404" i="1"/>
  <c r="CL405" i="1"/>
  <c r="CM405" i="1"/>
  <c r="CN405" i="1"/>
  <c r="CO405" i="1"/>
  <c r="CP405" i="1"/>
  <c r="CQ405" i="1"/>
  <c r="CR405" i="1"/>
  <c r="CS405" i="1"/>
  <c r="CT405" i="1"/>
  <c r="CU405" i="1"/>
  <c r="CV405" i="1"/>
  <c r="CW405" i="1"/>
  <c r="CX405" i="1"/>
  <c r="CY405" i="1"/>
  <c r="CZ405" i="1"/>
  <c r="DA405" i="1"/>
  <c r="DB405" i="1"/>
  <c r="DC405" i="1"/>
  <c r="DD405" i="1"/>
  <c r="DE405" i="1"/>
  <c r="DF405" i="1"/>
  <c r="DG405" i="1"/>
  <c r="DH405" i="1"/>
  <c r="CL406" i="1"/>
  <c r="CM406" i="1"/>
  <c r="CN406" i="1"/>
  <c r="CO406" i="1"/>
  <c r="CP406" i="1"/>
  <c r="CQ406" i="1"/>
  <c r="CR406" i="1"/>
  <c r="CS406" i="1"/>
  <c r="CT406" i="1"/>
  <c r="CU406" i="1"/>
  <c r="CV406" i="1"/>
  <c r="CW406" i="1"/>
  <c r="CX406" i="1"/>
  <c r="CY406" i="1"/>
  <c r="CZ406" i="1"/>
  <c r="DA406" i="1"/>
  <c r="DB406" i="1"/>
  <c r="DC406" i="1"/>
  <c r="DD406" i="1"/>
  <c r="DE406" i="1"/>
  <c r="DF406" i="1"/>
  <c r="DG406" i="1"/>
  <c r="DH406" i="1"/>
  <c r="CL407" i="1"/>
  <c r="CM407" i="1"/>
  <c r="CN407" i="1"/>
  <c r="CO407" i="1"/>
  <c r="CP407" i="1"/>
  <c r="CQ407" i="1"/>
  <c r="CR407" i="1"/>
  <c r="CS407" i="1"/>
  <c r="CT407" i="1"/>
  <c r="CU407" i="1"/>
  <c r="CV407" i="1"/>
  <c r="CW407" i="1"/>
  <c r="CX407" i="1"/>
  <c r="CY407" i="1"/>
  <c r="CZ407" i="1"/>
  <c r="DA407" i="1"/>
  <c r="DB407" i="1"/>
  <c r="DC407" i="1"/>
  <c r="DD407" i="1"/>
  <c r="DE407" i="1"/>
  <c r="DF407" i="1"/>
  <c r="DG407" i="1"/>
  <c r="DH407" i="1"/>
  <c r="CL408" i="1"/>
  <c r="CM408" i="1"/>
  <c r="CN408" i="1"/>
  <c r="CO408" i="1"/>
  <c r="CP408" i="1"/>
  <c r="CQ408" i="1"/>
  <c r="CR408" i="1"/>
  <c r="CS408" i="1"/>
  <c r="CT408" i="1"/>
  <c r="CU408" i="1"/>
  <c r="CV408" i="1"/>
  <c r="CW408" i="1"/>
  <c r="CX408" i="1"/>
  <c r="CY408" i="1"/>
  <c r="CZ408" i="1"/>
  <c r="DA408" i="1"/>
  <c r="DB408" i="1"/>
  <c r="DC408" i="1"/>
  <c r="DD408" i="1"/>
  <c r="DE408" i="1"/>
  <c r="DF408" i="1"/>
  <c r="DG408" i="1"/>
  <c r="DH408" i="1"/>
  <c r="CL409" i="1"/>
  <c r="CM409" i="1"/>
  <c r="CN409" i="1"/>
  <c r="CO409" i="1"/>
  <c r="CP409" i="1"/>
  <c r="CQ409" i="1"/>
  <c r="CR409" i="1"/>
  <c r="CS409" i="1"/>
  <c r="CT409" i="1"/>
  <c r="CU409" i="1"/>
  <c r="CV409" i="1"/>
  <c r="CW409" i="1"/>
  <c r="CX409" i="1"/>
  <c r="CY409" i="1"/>
  <c r="CZ409" i="1"/>
  <c r="DA409" i="1"/>
  <c r="DB409" i="1"/>
  <c r="DC409" i="1"/>
  <c r="DD409" i="1"/>
  <c r="DE409" i="1"/>
  <c r="DF409" i="1"/>
  <c r="DG409" i="1"/>
  <c r="DH409" i="1"/>
  <c r="CL410" i="1"/>
  <c r="CM410" i="1"/>
  <c r="CN410" i="1"/>
  <c r="CO410" i="1"/>
  <c r="CP410" i="1"/>
  <c r="CQ410" i="1"/>
  <c r="CR410" i="1"/>
  <c r="CS410" i="1"/>
  <c r="CT410" i="1"/>
  <c r="CU410" i="1"/>
  <c r="CV410" i="1"/>
  <c r="CW410" i="1"/>
  <c r="CX410" i="1"/>
  <c r="CY410" i="1"/>
  <c r="CZ410" i="1"/>
  <c r="DA410" i="1"/>
  <c r="DB410" i="1"/>
  <c r="DC410" i="1"/>
  <c r="DD410" i="1"/>
  <c r="DE410" i="1"/>
  <c r="DF410" i="1"/>
  <c r="DG410" i="1"/>
  <c r="DH410" i="1"/>
  <c r="CL411" i="1"/>
  <c r="CM411" i="1"/>
  <c r="CN411" i="1"/>
  <c r="CO411" i="1"/>
  <c r="CP411" i="1"/>
  <c r="CQ411" i="1"/>
  <c r="CR411" i="1"/>
  <c r="CS411" i="1"/>
  <c r="CT411" i="1"/>
  <c r="CU411" i="1"/>
  <c r="CV411" i="1"/>
  <c r="CW411" i="1"/>
  <c r="CX411" i="1"/>
  <c r="CY411" i="1"/>
  <c r="CZ411" i="1"/>
  <c r="DA411" i="1"/>
  <c r="DB411" i="1"/>
  <c r="DC411" i="1"/>
  <c r="DD411" i="1"/>
  <c r="DE411" i="1"/>
  <c r="DF411" i="1"/>
  <c r="DG411" i="1"/>
  <c r="DH411" i="1"/>
  <c r="CL412" i="1"/>
  <c r="CM412" i="1"/>
  <c r="CN412" i="1"/>
  <c r="CO412" i="1"/>
  <c r="CP412" i="1"/>
  <c r="CQ412" i="1"/>
  <c r="CR412" i="1"/>
  <c r="CS412" i="1"/>
  <c r="CT412" i="1"/>
  <c r="CU412" i="1"/>
  <c r="CV412" i="1"/>
  <c r="CW412" i="1"/>
  <c r="CX412" i="1"/>
  <c r="CY412" i="1"/>
  <c r="CZ412" i="1"/>
  <c r="DA412" i="1"/>
  <c r="DB412" i="1"/>
  <c r="DC412" i="1"/>
  <c r="DD412" i="1"/>
  <c r="DE412" i="1"/>
  <c r="DF412" i="1"/>
  <c r="DG412" i="1"/>
  <c r="DH412" i="1"/>
  <c r="CL413" i="1"/>
  <c r="CM413" i="1"/>
  <c r="CN413" i="1"/>
  <c r="CO413" i="1"/>
  <c r="CP413" i="1"/>
  <c r="CQ413" i="1"/>
  <c r="CR413" i="1"/>
  <c r="CS413" i="1"/>
  <c r="CT413" i="1"/>
  <c r="CU413" i="1"/>
  <c r="CV413" i="1"/>
  <c r="CW413" i="1"/>
  <c r="CX413" i="1"/>
  <c r="CY413" i="1"/>
  <c r="CZ413" i="1"/>
  <c r="DA413" i="1"/>
  <c r="DB413" i="1"/>
  <c r="DC413" i="1"/>
  <c r="DD413" i="1"/>
  <c r="DE413" i="1"/>
  <c r="DF413" i="1"/>
  <c r="DG413" i="1"/>
  <c r="DH413" i="1"/>
  <c r="CL414" i="1"/>
  <c r="CM414" i="1"/>
  <c r="CN414" i="1"/>
  <c r="CO414" i="1"/>
  <c r="CP414" i="1"/>
  <c r="CQ414" i="1"/>
  <c r="CR414" i="1"/>
  <c r="CS414" i="1"/>
  <c r="CT414" i="1"/>
  <c r="CU414" i="1"/>
  <c r="CV414" i="1"/>
  <c r="CW414" i="1"/>
  <c r="CX414" i="1"/>
  <c r="CY414" i="1"/>
  <c r="CZ414" i="1"/>
  <c r="DA414" i="1"/>
  <c r="DB414" i="1"/>
  <c r="DC414" i="1"/>
  <c r="DD414" i="1"/>
  <c r="DE414" i="1"/>
  <c r="DF414" i="1"/>
  <c r="DG414" i="1"/>
  <c r="DH414" i="1"/>
  <c r="CL415" i="1"/>
  <c r="CM415" i="1"/>
  <c r="CN415" i="1"/>
  <c r="CO415" i="1"/>
  <c r="CP415" i="1"/>
  <c r="CQ415" i="1"/>
  <c r="CR415" i="1"/>
  <c r="CS415" i="1"/>
  <c r="CT415" i="1"/>
  <c r="CU415" i="1"/>
  <c r="CV415" i="1"/>
  <c r="CW415" i="1"/>
  <c r="CX415" i="1"/>
  <c r="CY415" i="1"/>
  <c r="CZ415" i="1"/>
  <c r="DA415" i="1"/>
  <c r="DB415" i="1"/>
  <c r="DC415" i="1"/>
  <c r="DD415" i="1"/>
  <c r="DE415" i="1"/>
  <c r="DF415" i="1"/>
  <c r="DG415" i="1"/>
  <c r="DH415" i="1"/>
  <c r="CL416" i="1"/>
  <c r="CM416" i="1"/>
  <c r="CN416" i="1"/>
  <c r="CO416" i="1"/>
  <c r="CP416" i="1"/>
  <c r="CQ416" i="1"/>
  <c r="CR416" i="1"/>
  <c r="CS416" i="1"/>
  <c r="CT416" i="1"/>
  <c r="CU416" i="1"/>
  <c r="CV416" i="1"/>
  <c r="CW416" i="1"/>
  <c r="CX416" i="1"/>
  <c r="CY416" i="1"/>
  <c r="CZ416" i="1"/>
  <c r="DA416" i="1"/>
  <c r="DB416" i="1"/>
  <c r="DC416" i="1"/>
  <c r="DD416" i="1"/>
  <c r="DE416" i="1"/>
  <c r="DF416" i="1"/>
  <c r="DG416" i="1"/>
  <c r="DH416" i="1"/>
  <c r="CL417" i="1"/>
  <c r="CM417" i="1"/>
  <c r="CN417" i="1"/>
  <c r="CO417" i="1"/>
  <c r="CP417" i="1"/>
  <c r="CQ417" i="1"/>
  <c r="CR417" i="1"/>
  <c r="CS417" i="1"/>
  <c r="CT417" i="1"/>
  <c r="CU417" i="1"/>
  <c r="CV417" i="1"/>
  <c r="CW417" i="1"/>
  <c r="CX417" i="1"/>
  <c r="CY417" i="1"/>
  <c r="CZ417" i="1"/>
  <c r="DA417" i="1"/>
  <c r="DB417" i="1"/>
  <c r="DC417" i="1"/>
  <c r="DD417" i="1"/>
  <c r="DE417" i="1"/>
  <c r="DF417" i="1"/>
  <c r="DG417" i="1"/>
  <c r="DH417" i="1"/>
  <c r="CL418" i="1"/>
  <c r="CM418" i="1"/>
  <c r="CN418" i="1"/>
  <c r="CO418" i="1"/>
  <c r="CP418" i="1"/>
  <c r="CQ418" i="1"/>
  <c r="CR418" i="1"/>
  <c r="CS418" i="1"/>
  <c r="CT418" i="1"/>
  <c r="CU418" i="1"/>
  <c r="CV418" i="1"/>
  <c r="CW418" i="1"/>
  <c r="CX418" i="1"/>
  <c r="CY418" i="1"/>
  <c r="CZ418" i="1"/>
  <c r="DA418" i="1"/>
  <c r="DB418" i="1"/>
  <c r="DC418" i="1"/>
  <c r="DD418" i="1"/>
  <c r="DE418" i="1"/>
  <c r="DF418" i="1"/>
  <c r="DG418" i="1"/>
  <c r="DH418" i="1"/>
  <c r="CL419" i="1"/>
  <c r="CM419" i="1"/>
  <c r="CN419" i="1"/>
  <c r="CO419" i="1"/>
  <c r="CP419" i="1"/>
  <c r="CQ419" i="1"/>
  <c r="CR419" i="1"/>
  <c r="CS419" i="1"/>
  <c r="CT419" i="1"/>
  <c r="CU419" i="1"/>
  <c r="CV419" i="1"/>
  <c r="CW419" i="1"/>
  <c r="CX419" i="1"/>
  <c r="CY419" i="1"/>
  <c r="CZ419" i="1"/>
  <c r="DA419" i="1"/>
  <c r="DB419" i="1"/>
  <c r="DC419" i="1"/>
  <c r="DD419" i="1"/>
  <c r="DE419" i="1"/>
  <c r="DF419" i="1"/>
  <c r="DG419" i="1"/>
  <c r="DH419" i="1"/>
  <c r="CL420" i="1"/>
  <c r="CM420" i="1"/>
  <c r="CN420" i="1"/>
  <c r="CO420" i="1"/>
  <c r="CP420" i="1"/>
  <c r="CQ420" i="1"/>
  <c r="CR420" i="1"/>
  <c r="CS420" i="1"/>
  <c r="CT420" i="1"/>
  <c r="CU420" i="1"/>
  <c r="CV420" i="1"/>
  <c r="CW420" i="1"/>
  <c r="CX420" i="1"/>
  <c r="CY420" i="1"/>
  <c r="CZ420" i="1"/>
  <c r="DA420" i="1"/>
  <c r="DB420" i="1"/>
  <c r="DC420" i="1"/>
  <c r="DD420" i="1"/>
  <c r="DE420" i="1"/>
  <c r="DF420" i="1"/>
  <c r="DG420" i="1"/>
  <c r="DH420" i="1"/>
  <c r="CL421" i="1"/>
  <c r="CM421" i="1"/>
  <c r="CN421" i="1"/>
  <c r="CO421" i="1"/>
  <c r="CP421" i="1"/>
  <c r="CQ421" i="1"/>
  <c r="CR421" i="1"/>
  <c r="CS421" i="1"/>
  <c r="CT421" i="1"/>
  <c r="CU421" i="1"/>
  <c r="CV421" i="1"/>
  <c r="CW421" i="1"/>
  <c r="CX421" i="1"/>
  <c r="CY421" i="1"/>
  <c r="CZ421" i="1"/>
  <c r="DA421" i="1"/>
  <c r="DB421" i="1"/>
  <c r="DC421" i="1"/>
  <c r="DD421" i="1"/>
  <c r="DE421" i="1"/>
  <c r="DF421" i="1"/>
  <c r="DG421" i="1"/>
  <c r="DH421" i="1"/>
  <c r="CL422" i="1"/>
  <c r="CM422" i="1"/>
  <c r="CN422" i="1"/>
  <c r="CO422" i="1"/>
  <c r="CP422" i="1"/>
  <c r="CQ422" i="1"/>
  <c r="CR422" i="1"/>
  <c r="CS422" i="1"/>
  <c r="CT422" i="1"/>
  <c r="CU422" i="1"/>
  <c r="CV422" i="1"/>
  <c r="CW422" i="1"/>
  <c r="CX422" i="1"/>
  <c r="CY422" i="1"/>
  <c r="CZ422" i="1"/>
  <c r="DA422" i="1"/>
  <c r="DB422" i="1"/>
  <c r="DC422" i="1"/>
  <c r="DD422" i="1"/>
  <c r="DE422" i="1"/>
  <c r="DF422" i="1"/>
  <c r="DG422" i="1"/>
  <c r="DH422" i="1"/>
  <c r="CL423" i="1"/>
  <c r="CM423" i="1"/>
  <c r="CN423" i="1"/>
  <c r="CO423" i="1"/>
  <c r="CP423" i="1"/>
  <c r="CQ423" i="1"/>
  <c r="CR423" i="1"/>
  <c r="CS423" i="1"/>
  <c r="CT423" i="1"/>
  <c r="CU423" i="1"/>
  <c r="CV423" i="1"/>
  <c r="CW423" i="1"/>
  <c r="CX423" i="1"/>
  <c r="CY423" i="1"/>
  <c r="CZ423" i="1"/>
  <c r="DA423" i="1"/>
  <c r="DB423" i="1"/>
  <c r="DC423" i="1"/>
  <c r="DD423" i="1"/>
  <c r="DE423" i="1"/>
  <c r="DF423" i="1"/>
  <c r="DG423" i="1"/>
  <c r="DH423" i="1"/>
  <c r="CL424" i="1"/>
  <c r="CM424" i="1"/>
  <c r="CN424" i="1"/>
  <c r="CO424" i="1"/>
  <c r="CP424" i="1"/>
  <c r="CQ424" i="1"/>
  <c r="CR424" i="1"/>
  <c r="CS424" i="1"/>
  <c r="CT424" i="1"/>
  <c r="CU424" i="1"/>
  <c r="CV424" i="1"/>
  <c r="CW424" i="1"/>
  <c r="CX424" i="1"/>
  <c r="CY424" i="1"/>
  <c r="CZ424" i="1"/>
  <c r="DA424" i="1"/>
  <c r="DB424" i="1"/>
  <c r="DC424" i="1"/>
  <c r="DD424" i="1"/>
  <c r="DE424" i="1"/>
  <c r="DF424" i="1"/>
  <c r="DG424" i="1"/>
  <c r="DH424" i="1"/>
  <c r="CL425" i="1"/>
  <c r="CM425" i="1"/>
  <c r="CN425" i="1"/>
  <c r="CO425" i="1"/>
  <c r="CP425" i="1"/>
  <c r="CQ425" i="1"/>
  <c r="CR425" i="1"/>
  <c r="CS425" i="1"/>
  <c r="CT425" i="1"/>
  <c r="CU425" i="1"/>
  <c r="CV425" i="1"/>
  <c r="CW425" i="1"/>
  <c r="CX425" i="1"/>
  <c r="CY425" i="1"/>
  <c r="CZ425" i="1"/>
  <c r="DA425" i="1"/>
  <c r="DB425" i="1"/>
  <c r="DC425" i="1"/>
  <c r="DD425" i="1"/>
  <c r="DE425" i="1"/>
  <c r="DF425" i="1"/>
  <c r="DG425" i="1"/>
  <c r="DH425" i="1"/>
  <c r="CL426" i="1"/>
  <c r="CM426" i="1"/>
  <c r="CN426" i="1"/>
  <c r="CO426" i="1"/>
  <c r="CP426" i="1"/>
  <c r="CQ426" i="1"/>
  <c r="CR426" i="1"/>
  <c r="CS426" i="1"/>
  <c r="CT426" i="1"/>
  <c r="CU426" i="1"/>
  <c r="CV426" i="1"/>
  <c r="CW426" i="1"/>
  <c r="CX426" i="1"/>
  <c r="CY426" i="1"/>
  <c r="CZ426" i="1"/>
  <c r="DA426" i="1"/>
  <c r="DB426" i="1"/>
  <c r="DC426" i="1"/>
  <c r="DD426" i="1"/>
  <c r="DE426" i="1"/>
  <c r="DF426" i="1"/>
  <c r="DG426" i="1"/>
  <c r="DH426" i="1"/>
  <c r="CL427" i="1"/>
  <c r="CM427" i="1"/>
  <c r="CN427" i="1"/>
  <c r="CO427" i="1"/>
  <c r="CP427" i="1"/>
  <c r="CQ427" i="1"/>
  <c r="CR427" i="1"/>
  <c r="CS427" i="1"/>
  <c r="CT427" i="1"/>
  <c r="CU427" i="1"/>
  <c r="CV427" i="1"/>
  <c r="CW427" i="1"/>
  <c r="CX427" i="1"/>
  <c r="CY427" i="1"/>
  <c r="CZ427" i="1"/>
  <c r="DA427" i="1"/>
  <c r="DB427" i="1"/>
  <c r="DC427" i="1"/>
  <c r="DD427" i="1"/>
  <c r="DE427" i="1"/>
  <c r="DF427" i="1"/>
  <c r="DG427" i="1"/>
  <c r="DH427" i="1"/>
  <c r="CL428" i="1"/>
  <c r="CM428" i="1"/>
  <c r="CN428" i="1"/>
  <c r="CO428" i="1"/>
  <c r="CP428" i="1"/>
  <c r="CQ428" i="1"/>
  <c r="CR428" i="1"/>
  <c r="CS428" i="1"/>
  <c r="CT428" i="1"/>
  <c r="CU428" i="1"/>
  <c r="CV428" i="1"/>
  <c r="CW428" i="1"/>
  <c r="CX428" i="1"/>
  <c r="CY428" i="1"/>
  <c r="CZ428" i="1"/>
  <c r="DA428" i="1"/>
  <c r="DB428" i="1"/>
  <c r="DC428" i="1"/>
  <c r="DD428" i="1"/>
  <c r="DE428" i="1"/>
  <c r="DF428" i="1"/>
  <c r="DG428" i="1"/>
  <c r="DH428" i="1"/>
  <c r="CL429" i="1"/>
  <c r="CM429" i="1"/>
  <c r="CN429" i="1"/>
  <c r="CO429" i="1"/>
  <c r="CP429" i="1"/>
  <c r="CQ429" i="1"/>
  <c r="CR429" i="1"/>
  <c r="CS429" i="1"/>
  <c r="CT429" i="1"/>
  <c r="CU429" i="1"/>
  <c r="CV429" i="1"/>
  <c r="CW429" i="1"/>
  <c r="CX429" i="1"/>
  <c r="CY429" i="1"/>
  <c r="CZ429" i="1"/>
  <c r="DA429" i="1"/>
  <c r="DB429" i="1"/>
  <c r="DC429" i="1"/>
  <c r="DD429" i="1"/>
  <c r="DE429" i="1"/>
  <c r="DF429" i="1"/>
  <c r="DG429" i="1"/>
  <c r="DH429" i="1"/>
  <c r="CL430" i="1"/>
  <c r="CM430" i="1"/>
  <c r="CN430" i="1"/>
  <c r="CO430" i="1"/>
  <c r="CP430" i="1"/>
  <c r="CQ430" i="1"/>
  <c r="CR430" i="1"/>
  <c r="CS430" i="1"/>
  <c r="CT430" i="1"/>
  <c r="CU430" i="1"/>
  <c r="CV430" i="1"/>
  <c r="CW430" i="1"/>
  <c r="CX430" i="1"/>
  <c r="CY430" i="1"/>
  <c r="CZ430" i="1"/>
  <c r="DA430" i="1"/>
  <c r="DB430" i="1"/>
  <c r="DC430" i="1"/>
  <c r="DD430" i="1"/>
  <c r="DE430" i="1"/>
  <c r="DF430" i="1"/>
  <c r="DG430" i="1"/>
  <c r="DH430" i="1"/>
  <c r="CL431" i="1"/>
  <c r="CM431" i="1"/>
  <c r="CN431" i="1"/>
  <c r="CO431" i="1"/>
  <c r="CP431" i="1"/>
  <c r="CQ431" i="1"/>
  <c r="CR431" i="1"/>
  <c r="CS431" i="1"/>
  <c r="CT431" i="1"/>
  <c r="CU431" i="1"/>
  <c r="CV431" i="1"/>
  <c r="CW431" i="1"/>
  <c r="CX431" i="1"/>
  <c r="CY431" i="1"/>
  <c r="CZ431" i="1"/>
  <c r="DA431" i="1"/>
  <c r="DB431" i="1"/>
  <c r="DC431" i="1"/>
  <c r="DD431" i="1"/>
  <c r="DE431" i="1"/>
  <c r="DF431" i="1"/>
  <c r="DG431" i="1"/>
  <c r="DH431" i="1"/>
  <c r="CL432" i="1"/>
  <c r="CM432" i="1"/>
  <c r="CN432" i="1"/>
  <c r="CO432" i="1"/>
  <c r="CP432" i="1"/>
  <c r="CQ432" i="1"/>
  <c r="CR432" i="1"/>
  <c r="CS432" i="1"/>
  <c r="CT432" i="1"/>
  <c r="CU432" i="1"/>
  <c r="CV432" i="1"/>
  <c r="CW432" i="1"/>
  <c r="CX432" i="1"/>
  <c r="CY432" i="1"/>
  <c r="CZ432" i="1"/>
  <c r="DA432" i="1"/>
  <c r="DB432" i="1"/>
  <c r="DC432" i="1"/>
  <c r="DD432" i="1"/>
  <c r="DE432" i="1"/>
  <c r="DF432" i="1"/>
  <c r="DG432" i="1"/>
  <c r="DH432" i="1"/>
  <c r="CL433" i="1"/>
  <c r="CM433" i="1"/>
  <c r="CN433" i="1"/>
  <c r="CO433" i="1"/>
  <c r="CP433" i="1"/>
  <c r="CQ433" i="1"/>
  <c r="CR433" i="1"/>
  <c r="CS433" i="1"/>
  <c r="CT433" i="1"/>
  <c r="CU433" i="1"/>
  <c r="CV433" i="1"/>
  <c r="CW433" i="1"/>
  <c r="CX433" i="1"/>
  <c r="CY433" i="1"/>
  <c r="CZ433" i="1"/>
  <c r="DA433" i="1"/>
  <c r="DB433" i="1"/>
  <c r="DC433" i="1"/>
  <c r="DD433" i="1"/>
  <c r="DE433" i="1"/>
  <c r="DF433" i="1"/>
  <c r="DG433" i="1"/>
  <c r="DH433" i="1"/>
  <c r="CL434" i="1"/>
  <c r="CM434" i="1"/>
  <c r="CN434" i="1"/>
  <c r="CO434" i="1"/>
  <c r="CP434" i="1"/>
  <c r="CQ434" i="1"/>
  <c r="CR434" i="1"/>
  <c r="CS434" i="1"/>
  <c r="CT434" i="1"/>
  <c r="CU434" i="1"/>
  <c r="CV434" i="1"/>
  <c r="CW434" i="1"/>
  <c r="CX434" i="1"/>
  <c r="CY434" i="1"/>
  <c r="CZ434" i="1"/>
  <c r="DA434" i="1"/>
  <c r="DB434" i="1"/>
  <c r="DC434" i="1"/>
  <c r="DD434" i="1"/>
  <c r="DE434" i="1"/>
  <c r="DF434" i="1"/>
  <c r="DG434" i="1"/>
  <c r="DH434" i="1"/>
  <c r="CL435" i="1"/>
  <c r="CM435" i="1"/>
  <c r="CN435" i="1"/>
  <c r="CO435" i="1"/>
  <c r="CP435" i="1"/>
  <c r="CQ435" i="1"/>
  <c r="CR435" i="1"/>
  <c r="CS435" i="1"/>
  <c r="CT435" i="1"/>
  <c r="CU435" i="1"/>
  <c r="CV435" i="1"/>
  <c r="CW435" i="1"/>
  <c r="CX435" i="1"/>
  <c r="CY435" i="1"/>
  <c r="CZ435" i="1"/>
  <c r="DA435" i="1"/>
  <c r="DB435" i="1"/>
  <c r="DC435" i="1"/>
  <c r="DD435" i="1"/>
  <c r="DE435" i="1"/>
  <c r="DF435" i="1"/>
  <c r="DG435" i="1"/>
  <c r="DH435" i="1"/>
  <c r="CL436" i="1"/>
  <c r="CM436" i="1"/>
  <c r="CN436" i="1"/>
  <c r="CO436" i="1"/>
  <c r="CP436" i="1"/>
  <c r="CQ436" i="1"/>
  <c r="CR436" i="1"/>
  <c r="CS436" i="1"/>
  <c r="CT436" i="1"/>
  <c r="CU436" i="1"/>
  <c r="CV436" i="1"/>
  <c r="CW436" i="1"/>
  <c r="CX436" i="1"/>
  <c r="CY436" i="1"/>
  <c r="CZ436" i="1"/>
  <c r="DA436" i="1"/>
  <c r="DB436" i="1"/>
  <c r="DC436" i="1"/>
  <c r="DD436" i="1"/>
  <c r="DE436" i="1"/>
  <c r="DF436" i="1"/>
  <c r="DG436" i="1"/>
  <c r="DH436" i="1"/>
  <c r="CL437" i="1"/>
  <c r="CM437" i="1"/>
  <c r="CN437" i="1"/>
  <c r="CO437" i="1"/>
  <c r="CP437" i="1"/>
  <c r="CQ437" i="1"/>
  <c r="CR437" i="1"/>
  <c r="CS437" i="1"/>
  <c r="CT437" i="1"/>
  <c r="CU437" i="1"/>
  <c r="CV437" i="1"/>
  <c r="CW437" i="1"/>
  <c r="CX437" i="1"/>
  <c r="CY437" i="1"/>
  <c r="CZ437" i="1"/>
  <c r="DA437" i="1"/>
  <c r="DB437" i="1"/>
  <c r="DC437" i="1"/>
  <c r="DD437" i="1"/>
  <c r="DE437" i="1"/>
  <c r="DF437" i="1"/>
  <c r="DG437" i="1"/>
  <c r="DH437" i="1"/>
  <c r="CL438" i="1"/>
  <c r="CM438" i="1"/>
  <c r="CN438" i="1"/>
  <c r="CO438" i="1"/>
  <c r="CP438" i="1"/>
  <c r="CQ438" i="1"/>
  <c r="CR438" i="1"/>
  <c r="CS438" i="1"/>
  <c r="CT438" i="1"/>
  <c r="CU438" i="1"/>
  <c r="CV438" i="1"/>
  <c r="CW438" i="1"/>
  <c r="CX438" i="1"/>
  <c r="CY438" i="1"/>
  <c r="CZ438" i="1"/>
  <c r="DA438" i="1"/>
  <c r="DB438" i="1"/>
  <c r="DC438" i="1"/>
  <c r="DD438" i="1"/>
  <c r="DE438" i="1"/>
  <c r="DF438" i="1"/>
  <c r="DG438" i="1"/>
  <c r="DH438" i="1"/>
  <c r="CL439" i="1"/>
  <c r="CM439" i="1"/>
  <c r="CN439" i="1"/>
  <c r="CO439" i="1"/>
  <c r="CP439" i="1"/>
  <c r="CQ439" i="1"/>
  <c r="CR439" i="1"/>
  <c r="CS439" i="1"/>
  <c r="CT439" i="1"/>
  <c r="CU439" i="1"/>
  <c r="CV439" i="1"/>
  <c r="CW439" i="1"/>
  <c r="CX439" i="1"/>
  <c r="CY439" i="1"/>
  <c r="CZ439" i="1"/>
  <c r="DA439" i="1"/>
  <c r="DB439" i="1"/>
  <c r="DC439" i="1"/>
  <c r="DD439" i="1"/>
  <c r="DE439" i="1"/>
  <c r="DF439" i="1"/>
  <c r="DG439" i="1"/>
  <c r="DH439" i="1"/>
  <c r="CL440" i="1"/>
  <c r="CM440" i="1"/>
  <c r="CN440" i="1"/>
  <c r="CO440" i="1"/>
  <c r="CP440" i="1"/>
  <c r="CQ440" i="1"/>
  <c r="CR440" i="1"/>
  <c r="CS440" i="1"/>
  <c r="CT440" i="1"/>
  <c r="CU440" i="1"/>
  <c r="CV440" i="1"/>
  <c r="CW440" i="1"/>
  <c r="CX440" i="1"/>
  <c r="CY440" i="1"/>
  <c r="CZ440" i="1"/>
  <c r="DA440" i="1"/>
  <c r="DB440" i="1"/>
  <c r="DC440" i="1"/>
  <c r="DD440" i="1"/>
  <c r="DE440" i="1"/>
  <c r="DF440" i="1"/>
  <c r="DG440" i="1"/>
  <c r="DH440" i="1"/>
  <c r="CL441" i="1"/>
  <c r="CM441" i="1"/>
  <c r="CN441" i="1"/>
  <c r="CO441" i="1"/>
  <c r="CP441" i="1"/>
  <c r="CQ441" i="1"/>
  <c r="CR441" i="1"/>
  <c r="CS441" i="1"/>
  <c r="CT441" i="1"/>
  <c r="CU441" i="1"/>
  <c r="CV441" i="1"/>
  <c r="CW441" i="1"/>
  <c r="CX441" i="1"/>
  <c r="CY441" i="1"/>
  <c r="CZ441" i="1"/>
  <c r="DA441" i="1"/>
  <c r="DB441" i="1"/>
  <c r="DC441" i="1"/>
  <c r="DD441" i="1"/>
  <c r="DE441" i="1"/>
  <c r="DF441" i="1"/>
  <c r="DG441" i="1"/>
  <c r="DH441" i="1"/>
  <c r="CL442" i="1"/>
  <c r="CM442" i="1"/>
  <c r="CN442" i="1"/>
  <c r="CO442" i="1"/>
  <c r="CP442" i="1"/>
  <c r="CQ442" i="1"/>
  <c r="CR442" i="1"/>
  <c r="CS442" i="1"/>
  <c r="CT442" i="1"/>
  <c r="CU442" i="1"/>
  <c r="CV442" i="1"/>
  <c r="CW442" i="1"/>
  <c r="CX442" i="1"/>
  <c r="CY442" i="1"/>
  <c r="CZ442" i="1"/>
  <c r="DA442" i="1"/>
  <c r="DB442" i="1"/>
  <c r="DC442" i="1"/>
  <c r="DD442" i="1"/>
  <c r="DE442" i="1"/>
  <c r="DF442" i="1"/>
  <c r="DG442" i="1"/>
  <c r="DH442" i="1"/>
  <c r="CL443" i="1"/>
  <c r="CM443" i="1"/>
  <c r="CN443" i="1"/>
  <c r="CO443" i="1"/>
  <c r="CP443" i="1"/>
  <c r="CQ443" i="1"/>
  <c r="CR443" i="1"/>
  <c r="CS443" i="1"/>
  <c r="CT443" i="1"/>
  <c r="CU443" i="1"/>
  <c r="CV443" i="1"/>
  <c r="CW443" i="1"/>
  <c r="CX443" i="1"/>
  <c r="CY443" i="1"/>
  <c r="CZ443" i="1"/>
  <c r="DA443" i="1"/>
  <c r="DB443" i="1"/>
  <c r="DC443" i="1"/>
  <c r="DD443" i="1"/>
  <c r="DE443" i="1"/>
  <c r="DF443" i="1"/>
  <c r="DG443" i="1"/>
  <c r="DH443" i="1"/>
  <c r="CL444" i="1"/>
  <c r="CM444" i="1"/>
  <c r="CN444" i="1"/>
  <c r="CO444" i="1"/>
  <c r="CP444" i="1"/>
  <c r="CQ444" i="1"/>
  <c r="CR444" i="1"/>
  <c r="CS444" i="1"/>
  <c r="CT444" i="1"/>
  <c r="CU444" i="1"/>
  <c r="CV444" i="1"/>
  <c r="CW444" i="1"/>
  <c r="CX444" i="1"/>
  <c r="CY444" i="1"/>
  <c r="CZ444" i="1"/>
  <c r="DA444" i="1"/>
  <c r="DB444" i="1"/>
  <c r="DC444" i="1"/>
  <c r="DD444" i="1"/>
  <c r="DE444" i="1"/>
  <c r="DF444" i="1"/>
  <c r="DG444" i="1"/>
  <c r="DH444" i="1"/>
  <c r="CL445" i="1"/>
  <c r="CM445" i="1"/>
  <c r="CN445" i="1"/>
  <c r="CO445" i="1"/>
  <c r="CP445" i="1"/>
  <c r="CQ445" i="1"/>
  <c r="CR445" i="1"/>
  <c r="CS445" i="1"/>
  <c r="CT445" i="1"/>
  <c r="CU445" i="1"/>
  <c r="CV445" i="1"/>
  <c r="CW445" i="1"/>
  <c r="CX445" i="1"/>
  <c r="CY445" i="1"/>
  <c r="CZ445" i="1"/>
  <c r="DA445" i="1"/>
  <c r="DB445" i="1"/>
  <c r="DC445" i="1"/>
  <c r="DD445" i="1"/>
  <c r="DE445" i="1"/>
  <c r="DF445" i="1"/>
  <c r="DG445" i="1"/>
  <c r="DH445" i="1"/>
  <c r="CL446" i="1"/>
  <c r="CM446" i="1"/>
  <c r="CN446" i="1"/>
  <c r="CO446" i="1"/>
  <c r="CP446" i="1"/>
  <c r="CQ446" i="1"/>
  <c r="CR446" i="1"/>
  <c r="CS446" i="1"/>
  <c r="CT446" i="1"/>
  <c r="CU446" i="1"/>
  <c r="CV446" i="1"/>
  <c r="CW446" i="1"/>
  <c r="CX446" i="1"/>
  <c r="CY446" i="1"/>
  <c r="CZ446" i="1"/>
  <c r="DA446" i="1"/>
  <c r="DB446" i="1"/>
  <c r="DC446" i="1"/>
  <c r="DD446" i="1"/>
  <c r="DE446" i="1"/>
  <c r="DF446" i="1"/>
  <c r="DG446" i="1"/>
  <c r="DH446" i="1"/>
  <c r="CL447" i="1"/>
  <c r="CM447" i="1"/>
  <c r="CN447" i="1"/>
  <c r="CO447" i="1"/>
  <c r="CP447" i="1"/>
  <c r="CQ447" i="1"/>
  <c r="CR447" i="1"/>
  <c r="CS447" i="1"/>
  <c r="CT447" i="1"/>
  <c r="CU447" i="1"/>
  <c r="CV447" i="1"/>
  <c r="CW447" i="1"/>
  <c r="CX447" i="1"/>
  <c r="CY447" i="1"/>
  <c r="CZ447" i="1"/>
  <c r="DA447" i="1"/>
  <c r="DB447" i="1"/>
  <c r="DC447" i="1"/>
  <c r="DD447" i="1"/>
  <c r="DE447" i="1"/>
  <c r="DF447" i="1"/>
  <c r="DG447" i="1"/>
  <c r="DH447" i="1"/>
  <c r="CL448" i="1"/>
  <c r="CM448" i="1"/>
  <c r="CN448" i="1"/>
  <c r="CO448" i="1"/>
  <c r="CP448" i="1"/>
  <c r="CQ448" i="1"/>
  <c r="CR448" i="1"/>
  <c r="CS448" i="1"/>
  <c r="CT448" i="1"/>
  <c r="CU448" i="1"/>
  <c r="CV448" i="1"/>
  <c r="CW448" i="1"/>
  <c r="CX448" i="1"/>
  <c r="CY448" i="1"/>
  <c r="CZ448" i="1"/>
  <c r="DA448" i="1"/>
  <c r="DB448" i="1"/>
  <c r="DC448" i="1"/>
  <c r="DD448" i="1"/>
  <c r="DE448" i="1"/>
  <c r="DF448" i="1"/>
  <c r="DG448" i="1"/>
  <c r="DH448" i="1"/>
  <c r="CL449" i="1"/>
  <c r="CM449" i="1"/>
  <c r="CN449" i="1"/>
  <c r="CO449" i="1"/>
  <c r="CP449" i="1"/>
  <c r="CQ449" i="1"/>
  <c r="CR449" i="1"/>
  <c r="CS449" i="1"/>
  <c r="CT449" i="1"/>
  <c r="CU449" i="1"/>
  <c r="CV449" i="1"/>
  <c r="CW449" i="1"/>
  <c r="CX449" i="1"/>
  <c r="CY449" i="1"/>
  <c r="CZ449" i="1"/>
  <c r="DA449" i="1"/>
  <c r="DB449" i="1"/>
  <c r="DC449" i="1"/>
  <c r="DD449" i="1"/>
  <c r="DE449" i="1"/>
  <c r="DF449" i="1"/>
  <c r="DG449" i="1"/>
  <c r="DH449" i="1"/>
  <c r="CL450" i="1"/>
  <c r="CM450" i="1"/>
  <c r="CN450" i="1"/>
  <c r="CO450" i="1"/>
  <c r="CP450" i="1"/>
  <c r="CQ450" i="1"/>
  <c r="CR450" i="1"/>
  <c r="CS450" i="1"/>
  <c r="CT450" i="1"/>
  <c r="CU450" i="1"/>
  <c r="CV450" i="1"/>
  <c r="CW450" i="1"/>
  <c r="CX450" i="1"/>
  <c r="CY450" i="1"/>
  <c r="CZ450" i="1"/>
  <c r="DA450" i="1"/>
  <c r="DB450" i="1"/>
  <c r="DC450" i="1"/>
  <c r="DD450" i="1"/>
  <c r="DE450" i="1"/>
  <c r="DF450" i="1"/>
  <c r="DG450" i="1"/>
  <c r="DH450" i="1"/>
  <c r="CL451" i="1"/>
  <c r="CM451" i="1"/>
  <c r="CN451" i="1"/>
  <c r="CO451" i="1"/>
  <c r="CP451" i="1"/>
  <c r="CQ451" i="1"/>
  <c r="CR451" i="1"/>
  <c r="CS451" i="1"/>
  <c r="CT451" i="1"/>
  <c r="CU451" i="1"/>
  <c r="CV451" i="1"/>
  <c r="CW451" i="1"/>
  <c r="CX451" i="1"/>
  <c r="CY451" i="1"/>
  <c r="CZ451" i="1"/>
  <c r="DA451" i="1"/>
  <c r="DB451" i="1"/>
  <c r="DC451" i="1"/>
  <c r="DD451" i="1"/>
  <c r="DE451" i="1"/>
  <c r="DF451" i="1"/>
  <c r="DG451" i="1"/>
  <c r="DH451" i="1"/>
  <c r="CL452" i="1"/>
  <c r="CM452" i="1"/>
  <c r="CN452" i="1"/>
  <c r="CO452" i="1"/>
  <c r="CP452" i="1"/>
  <c r="CQ452" i="1"/>
  <c r="CR452" i="1"/>
  <c r="CS452" i="1"/>
  <c r="CT452" i="1"/>
  <c r="CU452" i="1"/>
  <c r="CV452" i="1"/>
  <c r="CW452" i="1"/>
  <c r="CX452" i="1"/>
  <c r="CY452" i="1"/>
  <c r="CZ452" i="1"/>
  <c r="DA452" i="1"/>
  <c r="DB452" i="1"/>
  <c r="DC452" i="1"/>
  <c r="DD452" i="1"/>
  <c r="DE452" i="1"/>
  <c r="DF452" i="1"/>
  <c r="DG452" i="1"/>
  <c r="DH452" i="1"/>
  <c r="CL453" i="1"/>
  <c r="CM453" i="1"/>
  <c r="CN453" i="1"/>
  <c r="CO453" i="1"/>
  <c r="CP453" i="1"/>
  <c r="CQ453" i="1"/>
  <c r="CR453" i="1"/>
  <c r="CS453" i="1"/>
  <c r="CT453" i="1"/>
  <c r="CU453" i="1"/>
  <c r="CV453" i="1"/>
  <c r="CW453" i="1"/>
  <c r="CX453" i="1"/>
  <c r="CY453" i="1"/>
  <c r="CZ453" i="1"/>
  <c r="DA453" i="1"/>
  <c r="DB453" i="1"/>
  <c r="DC453" i="1"/>
  <c r="DD453" i="1"/>
  <c r="DE453" i="1"/>
  <c r="DF453" i="1"/>
  <c r="DG453" i="1"/>
  <c r="DH453" i="1"/>
  <c r="CL454" i="1"/>
  <c r="CM454" i="1"/>
  <c r="CN454" i="1"/>
  <c r="CO454" i="1"/>
  <c r="CP454" i="1"/>
  <c r="CQ454" i="1"/>
  <c r="CR454" i="1"/>
  <c r="CS454" i="1"/>
  <c r="CT454" i="1"/>
  <c r="CU454" i="1"/>
  <c r="CV454" i="1"/>
  <c r="CW454" i="1"/>
  <c r="CX454" i="1"/>
  <c r="CY454" i="1"/>
  <c r="CZ454" i="1"/>
  <c r="DA454" i="1"/>
  <c r="DB454" i="1"/>
  <c r="DC454" i="1"/>
  <c r="DD454" i="1"/>
  <c r="DE454" i="1"/>
  <c r="DF454" i="1"/>
  <c r="DG454" i="1"/>
  <c r="DH454" i="1"/>
  <c r="CL455" i="1"/>
  <c r="CM455" i="1"/>
  <c r="CN455" i="1"/>
  <c r="CO455" i="1"/>
  <c r="CP455" i="1"/>
  <c r="CQ455" i="1"/>
  <c r="CR455" i="1"/>
  <c r="CS455" i="1"/>
  <c r="CT455" i="1"/>
  <c r="CU455" i="1"/>
  <c r="CV455" i="1"/>
  <c r="CW455" i="1"/>
  <c r="CX455" i="1"/>
  <c r="CY455" i="1"/>
  <c r="CZ455" i="1"/>
  <c r="DA455" i="1"/>
  <c r="DB455" i="1"/>
  <c r="DC455" i="1"/>
  <c r="DD455" i="1"/>
  <c r="DE455" i="1"/>
  <c r="DF455" i="1"/>
  <c r="DG455" i="1"/>
  <c r="DH455" i="1"/>
  <c r="CL456" i="1"/>
  <c r="CM456" i="1"/>
  <c r="CN456" i="1"/>
  <c r="CO456" i="1"/>
  <c r="CP456" i="1"/>
  <c r="CQ456" i="1"/>
  <c r="CR456" i="1"/>
  <c r="CS456" i="1"/>
  <c r="CT456" i="1"/>
  <c r="CU456" i="1"/>
  <c r="CV456" i="1"/>
  <c r="CW456" i="1"/>
  <c r="CX456" i="1"/>
  <c r="CY456" i="1"/>
  <c r="CZ456" i="1"/>
  <c r="DA456" i="1"/>
  <c r="DB456" i="1"/>
  <c r="DC456" i="1"/>
  <c r="DD456" i="1"/>
  <c r="DE456" i="1"/>
  <c r="DF456" i="1"/>
  <c r="DG456" i="1"/>
  <c r="DH456" i="1"/>
  <c r="CL457" i="1"/>
  <c r="CM457" i="1"/>
  <c r="CN457" i="1"/>
  <c r="CO457" i="1"/>
  <c r="CP457" i="1"/>
  <c r="CQ457" i="1"/>
  <c r="CR457" i="1"/>
  <c r="CS457" i="1"/>
  <c r="CT457" i="1"/>
  <c r="CU457" i="1"/>
  <c r="CV457" i="1"/>
  <c r="CW457" i="1"/>
  <c r="CX457" i="1"/>
  <c r="CY457" i="1"/>
  <c r="CZ457" i="1"/>
  <c r="DA457" i="1"/>
  <c r="DB457" i="1"/>
  <c r="DC457" i="1"/>
  <c r="DD457" i="1"/>
  <c r="DE457" i="1"/>
  <c r="DF457" i="1"/>
  <c r="DG457" i="1"/>
  <c r="DH457" i="1"/>
  <c r="CL458" i="1"/>
  <c r="CM458" i="1"/>
  <c r="CN458" i="1"/>
  <c r="CO458" i="1"/>
  <c r="CP458" i="1"/>
  <c r="CQ458" i="1"/>
  <c r="CR458" i="1"/>
  <c r="CS458" i="1"/>
  <c r="CT458" i="1"/>
  <c r="CU458" i="1"/>
  <c r="CV458" i="1"/>
  <c r="CW458" i="1"/>
  <c r="CX458" i="1"/>
  <c r="CY458" i="1"/>
  <c r="CZ458" i="1"/>
  <c r="DA458" i="1"/>
  <c r="DB458" i="1"/>
  <c r="DC458" i="1"/>
  <c r="DD458" i="1"/>
  <c r="DE458" i="1"/>
  <c r="DF458" i="1"/>
  <c r="DG458" i="1"/>
  <c r="DH458" i="1"/>
  <c r="CL459" i="1"/>
  <c r="CM459" i="1"/>
  <c r="CN459" i="1"/>
  <c r="CO459" i="1"/>
  <c r="CP459" i="1"/>
  <c r="CQ459" i="1"/>
  <c r="CR459" i="1"/>
  <c r="CS459" i="1"/>
  <c r="CT459" i="1"/>
  <c r="CU459" i="1"/>
  <c r="CV459" i="1"/>
  <c r="CW459" i="1"/>
  <c r="CX459" i="1"/>
  <c r="CY459" i="1"/>
  <c r="CZ459" i="1"/>
  <c r="DA459" i="1"/>
  <c r="DB459" i="1"/>
  <c r="DC459" i="1"/>
  <c r="DD459" i="1"/>
  <c r="DE459" i="1"/>
  <c r="DF459" i="1"/>
  <c r="DG459" i="1"/>
  <c r="DH459" i="1"/>
  <c r="CL460" i="1"/>
  <c r="CM460" i="1"/>
  <c r="CN460" i="1"/>
  <c r="CO460" i="1"/>
  <c r="CP460" i="1"/>
  <c r="CQ460" i="1"/>
  <c r="CR460" i="1"/>
  <c r="CS460" i="1"/>
  <c r="CT460" i="1"/>
  <c r="CU460" i="1"/>
  <c r="CV460" i="1"/>
  <c r="CW460" i="1"/>
  <c r="CX460" i="1"/>
  <c r="CY460" i="1"/>
  <c r="CZ460" i="1"/>
  <c r="DA460" i="1"/>
  <c r="DB460" i="1"/>
  <c r="DC460" i="1"/>
  <c r="DD460" i="1"/>
  <c r="DE460" i="1"/>
  <c r="DF460" i="1"/>
  <c r="DG460" i="1"/>
  <c r="DH460" i="1"/>
  <c r="CL461" i="1"/>
  <c r="CM461" i="1"/>
  <c r="CN461" i="1"/>
  <c r="CO461" i="1"/>
  <c r="CP461" i="1"/>
  <c r="CQ461" i="1"/>
  <c r="CR461" i="1"/>
  <c r="CS461" i="1"/>
  <c r="CT461" i="1"/>
  <c r="CU461" i="1"/>
  <c r="CV461" i="1"/>
  <c r="CW461" i="1"/>
  <c r="CX461" i="1"/>
  <c r="CY461" i="1"/>
  <c r="CZ461" i="1"/>
  <c r="DA461" i="1"/>
  <c r="DB461" i="1"/>
  <c r="DC461" i="1"/>
  <c r="DD461" i="1"/>
  <c r="DE461" i="1"/>
  <c r="DF461" i="1"/>
  <c r="DG461" i="1"/>
  <c r="DH461" i="1"/>
  <c r="CL462" i="1"/>
  <c r="CM462" i="1"/>
  <c r="CN462" i="1"/>
  <c r="CO462" i="1"/>
  <c r="CP462" i="1"/>
  <c r="CQ462" i="1"/>
  <c r="CR462" i="1"/>
  <c r="CS462" i="1"/>
  <c r="CT462" i="1"/>
  <c r="CU462" i="1"/>
  <c r="CV462" i="1"/>
  <c r="CW462" i="1"/>
  <c r="CX462" i="1"/>
  <c r="CY462" i="1"/>
  <c r="CZ462" i="1"/>
  <c r="DA462" i="1"/>
  <c r="DB462" i="1"/>
  <c r="DC462" i="1"/>
  <c r="DD462" i="1"/>
  <c r="DE462" i="1"/>
  <c r="DF462" i="1"/>
  <c r="DG462" i="1"/>
  <c r="DH462" i="1"/>
  <c r="CL463" i="1"/>
  <c r="CM463" i="1"/>
  <c r="CN463" i="1"/>
  <c r="CO463" i="1"/>
  <c r="CP463" i="1"/>
  <c r="CQ463" i="1"/>
  <c r="CR463" i="1"/>
  <c r="CS463" i="1"/>
  <c r="CT463" i="1"/>
  <c r="CU463" i="1"/>
  <c r="CV463" i="1"/>
  <c r="CW463" i="1"/>
  <c r="CX463" i="1"/>
  <c r="CY463" i="1"/>
  <c r="CZ463" i="1"/>
  <c r="DA463" i="1"/>
  <c r="DB463" i="1"/>
  <c r="DC463" i="1"/>
  <c r="DD463" i="1"/>
  <c r="DE463" i="1"/>
  <c r="DF463" i="1"/>
  <c r="DG463" i="1"/>
  <c r="DH463" i="1"/>
  <c r="CL464" i="1"/>
  <c r="CM464" i="1"/>
  <c r="CN464" i="1"/>
  <c r="CO464" i="1"/>
  <c r="CP464" i="1"/>
  <c r="CQ464" i="1"/>
  <c r="CR464" i="1"/>
  <c r="CS464" i="1"/>
  <c r="CT464" i="1"/>
  <c r="CU464" i="1"/>
  <c r="CV464" i="1"/>
  <c r="CW464" i="1"/>
  <c r="CX464" i="1"/>
  <c r="CY464" i="1"/>
  <c r="CZ464" i="1"/>
  <c r="DA464" i="1"/>
  <c r="DB464" i="1"/>
  <c r="DC464" i="1"/>
  <c r="DD464" i="1"/>
  <c r="DE464" i="1"/>
  <c r="DF464" i="1"/>
  <c r="DG464" i="1"/>
  <c r="DH464" i="1"/>
  <c r="CL465" i="1"/>
  <c r="CM465" i="1"/>
  <c r="CN465" i="1"/>
  <c r="CO465" i="1"/>
  <c r="CP465" i="1"/>
  <c r="CQ465" i="1"/>
  <c r="CR465" i="1"/>
  <c r="CS465" i="1"/>
  <c r="CT465" i="1"/>
  <c r="CU465" i="1"/>
  <c r="CV465" i="1"/>
  <c r="CW465" i="1"/>
  <c r="CX465" i="1"/>
  <c r="CY465" i="1"/>
  <c r="CZ465" i="1"/>
  <c r="DA465" i="1"/>
  <c r="DB465" i="1"/>
  <c r="DC465" i="1"/>
  <c r="DD465" i="1"/>
  <c r="DE465" i="1"/>
  <c r="DF465" i="1"/>
  <c r="DG465" i="1"/>
  <c r="DH465" i="1"/>
  <c r="CL466" i="1"/>
  <c r="CM466" i="1"/>
  <c r="CN466" i="1"/>
  <c r="CO466" i="1"/>
  <c r="CP466" i="1"/>
  <c r="CQ466" i="1"/>
  <c r="CR466" i="1"/>
  <c r="CS466" i="1"/>
  <c r="CT466" i="1"/>
  <c r="CU466" i="1"/>
  <c r="CV466" i="1"/>
  <c r="CW466" i="1"/>
  <c r="CX466" i="1"/>
  <c r="CY466" i="1"/>
  <c r="CZ466" i="1"/>
  <c r="DA466" i="1"/>
  <c r="DB466" i="1"/>
  <c r="DC466" i="1"/>
  <c r="DD466" i="1"/>
  <c r="DE466" i="1"/>
  <c r="DF466" i="1"/>
  <c r="DG466" i="1"/>
  <c r="DH466" i="1"/>
  <c r="CL467" i="1"/>
  <c r="CM467" i="1"/>
  <c r="CN467" i="1"/>
  <c r="CO467" i="1"/>
  <c r="CP467" i="1"/>
  <c r="CQ467" i="1"/>
  <c r="CR467" i="1"/>
  <c r="CS467" i="1"/>
  <c r="CT467" i="1"/>
  <c r="CU467" i="1"/>
  <c r="CV467" i="1"/>
  <c r="CW467" i="1"/>
  <c r="CX467" i="1"/>
  <c r="CY467" i="1"/>
  <c r="CZ467" i="1"/>
  <c r="DA467" i="1"/>
  <c r="DB467" i="1"/>
  <c r="DC467" i="1"/>
  <c r="DD467" i="1"/>
  <c r="DE467" i="1"/>
  <c r="DF467" i="1"/>
  <c r="DG467" i="1"/>
  <c r="DH467" i="1"/>
  <c r="CL468" i="1"/>
  <c r="CM468" i="1"/>
  <c r="CN468" i="1"/>
  <c r="CO468" i="1"/>
  <c r="CP468" i="1"/>
  <c r="CQ468" i="1"/>
  <c r="CR468" i="1"/>
  <c r="CS468" i="1"/>
  <c r="CT468" i="1"/>
  <c r="CU468" i="1"/>
  <c r="CV468" i="1"/>
  <c r="CW468" i="1"/>
  <c r="CX468" i="1"/>
  <c r="CY468" i="1"/>
  <c r="CZ468" i="1"/>
  <c r="DA468" i="1"/>
  <c r="DB468" i="1"/>
  <c r="DC468" i="1"/>
  <c r="DD468" i="1"/>
  <c r="DE468" i="1"/>
  <c r="DF468" i="1"/>
  <c r="DG468" i="1"/>
  <c r="DH468" i="1"/>
  <c r="CL469" i="1"/>
  <c r="CM469" i="1"/>
  <c r="CN469" i="1"/>
  <c r="CO469" i="1"/>
  <c r="CP469" i="1"/>
  <c r="CQ469" i="1"/>
  <c r="CR469" i="1"/>
  <c r="CS469" i="1"/>
  <c r="CT469" i="1"/>
  <c r="CU469" i="1"/>
  <c r="CV469" i="1"/>
  <c r="CW469" i="1"/>
  <c r="CX469" i="1"/>
  <c r="CY469" i="1"/>
  <c r="CZ469" i="1"/>
  <c r="DA469" i="1"/>
  <c r="DB469" i="1"/>
  <c r="DC469" i="1"/>
  <c r="DD469" i="1"/>
  <c r="DE469" i="1"/>
  <c r="DF469" i="1"/>
  <c r="DG469" i="1"/>
  <c r="DH469" i="1"/>
  <c r="CL470" i="1"/>
  <c r="CM470" i="1"/>
  <c r="CN470" i="1"/>
  <c r="CO470" i="1"/>
  <c r="CP470" i="1"/>
  <c r="CQ470" i="1"/>
  <c r="CR470" i="1"/>
  <c r="CS470" i="1"/>
  <c r="CT470" i="1"/>
  <c r="CU470" i="1"/>
  <c r="CV470" i="1"/>
  <c r="CW470" i="1"/>
  <c r="CX470" i="1"/>
  <c r="CY470" i="1"/>
  <c r="CZ470" i="1"/>
  <c r="DA470" i="1"/>
  <c r="DB470" i="1"/>
  <c r="DC470" i="1"/>
  <c r="DD470" i="1"/>
  <c r="DE470" i="1"/>
  <c r="DF470" i="1"/>
  <c r="DG470" i="1"/>
  <c r="DH470" i="1"/>
  <c r="CL471" i="1"/>
  <c r="CM471" i="1"/>
  <c r="CN471" i="1"/>
  <c r="CO471" i="1"/>
  <c r="CP471" i="1"/>
  <c r="CQ471" i="1"/>
  <c r="CR471" i="1"/>
  <c r="CS471" i="1"/>
  <c r="CT471" i="1"/>
  <c r="CU471" i="1"/>
  <c r="CV471" i="1"/>
  <c r="CW471" i="1"/>
  <c r="CX471" i="1"/>
  <c r="CY471" i="1"/>
  <c r="CZ471" i="1"/>
  <c r="DA471" i="1"/>
  <c r="DB471" i="1"/>
  <c r="DC471" i="1"/>
  <c r="DD471" i="1"/>
  <c r="DE471" i="1"/>
  <c r="DF471" i="1"/>
  <c r="DG471" i="1"/>
  <c r="DH471" i="1"/>
  <c r="CL472" i="1"/>
  <c r="CM472" i="1"/>
  <c r="CN472" i="1"/>
  <c r="CO472" i="1"/>
  <c r="CP472" i="1"/>
  <c r="CQ472" i="1"/>
  <c r="CR472" i="1"/>
  <c r="CS472" i="1"/>
  <c r="CT472" i="1"/>
  <c r="CU472" i="1"/>
  <c r="CV472" i="1"/>
  <c r="CW472" i="1"/>
  <c r="CX472" i="1"/>
  <c r="CY472" i="1"/>
  <c r="CZ472" i="1"/>
  <c r="DA472" i="1"/>
  <c r="DB472" i="1"/>
  <c r="DC472" i="1"/>
  <c r="DD472" i="1"/>
  <c r="DE472" i="1"/>
  <c r="DF472" i="1"/>
  <c r="DG472" i="1"/>
  <c r="DH472" i="1"/>
  <c r="CL473" i="1"/>
  <c r="CM473" i="1"/>
  <c r="CN473" i="1"/>
  <c r="CO473" i="1"/>
  <c r="CP473" i="1"/>
  <c r="CQ473" i="1"/>
  <c r="CR473" i="1"/>
  <c r="CS473" i="1"/>
  <c r="CT473" i="1"/>
  <c r="CU473" i="1"/>
  <c r="CV473" i="1"/>
  <c r="CW473" i="1"/>
  <c r="CX473" i="1"/>
  <c r="CY473" i="1"/>
  <c r="CZ473" i="1"/>
  <c r="DA473" i="1"/>
  <c r="DB473" i="1"/>
  <c r="DC473" i="1"/>
  <c r="DD473" i="1"/>
  <c r="DE473" i="1"/>
  <c r="DF473" i="1"/>
  <c r="DG473" i="1"/>
  <c r="DH473" i="1"/>
  <c r="CL474" i="1"/>
  <c r="CM474" i="1"/>
  <c r="CN474" i="1"/>
  <c r="CO474" i="1"/>
  <c r="CP474" i="1"/>
  <c r="CQ474" i="1"/>
  <c r="CR474" i="1"/>
  <c r="CS474" i="1"/>
  <c r="CT474" i="1"/>
  <c r="CU474" i="1"/>
  <c r="CV474" i="1"/>
  <c r="CW474" i="1"/>
  <c r="CX474" i="1"/>
  <c r="CY474" i="1"/>
  <c r="CZ474" i="1"/>
  <c r="DA474" i="1"/>
  <c r="DB474" i="1"/>
  <c r="DC474" i="1"/>
  <c r="DD474" i="1"/>
  <c r="DE474" i="1"/>
  <c r="DF474" i="1"/>
  <c r="DG474" i="1"/>
  <c r="DH474" i="1"/>
  <c r="CL475" i="1"/>
  <c r="CM475" i="1"/>
  <c r="CN475" i="1"/>
  <c r="CO475" i="1"/>
  <c r="CP475" i="1"/>
  <c r="CQ475" i="1"/>
  <c r="CR475" i="1"/>
  <c r="CS475" i="1"/>
  <c r="CT475" i="1"/>
  <c r="CU475" i="1"/>
  <c r="CV475" i="1"/>
  <c r="CW475" i="1"/>
  <c r="CX475" i="1"/>
  <c r="CY475" i="1"/>
  <c r="CZ475" i="1"/>
  <c r="DA475" i="1"/>
  <c r="DB475" i="1"/>
  <c r="DC475" i="1"/>
  <c r="DD475" i="1"/>
  <c r="DE475" i="1"/>
  <c r="DF475" i="1"/>
  <c r="DG475" i="1"/>
  <c r="DH475" i="1"/>
  <c r="CL476" i="1"/>
  <c r="CM476" i="1"/>
  <c r="CN476" i="1"/>
  <c r="CO476" i="1"/>
  <c r="CP476" i="1"/>
  <c r="CQ476" i="1"/>
  <c r="CR476" i="1"/>
  <c r="CS476" i="1"/>
  <c r="CT476" i="1"/>
  <c r="CU476" i="1"/>
  <c r="CV476" i="1"/>
  <c r="CW476" i="1"/>
  <c r="CX476" i="1"/>
  <c r="CY476" i="1"/>
  <c r="CZ476" i="1"/>
  <c r="DA476" i="1"/>
  <c r="DB476" i="1"/>
  <c r="DC476" i="1"/>
  <c r="DD476" i="1"/>
  <c r="DE476" i="1"/>
  <c r="DF476" i="1"/>
  <c r="DG476" i="1"/>
  <c r="DH476" i="1"/>
  <c r="CL477" i="1"/>
  <c r="CM477" i="1"/>
  <c r="CN477" i="1"/>
  <c r="CO477" i="1"/>
  <c r="CP477" i="1"/>
  <c r="CQ477" i="1"/>
  <c r="CR477" i="1"/>
  <c r="CS477" i="1"/>
  <c r="CT477" i="1"/>
  <c r="CU477" i="1"/>
  <c r="CV477" i="1"/>
  <c r="CW477" i="1"/>
  <c r="CX477" i="1"/>
  <c r="CY477" i="1"/>
  <c r="CZ477" i="1"/>
  <c r="DA477" i="1"/>
  <c r="DB477" i="1"/>
  <c r="DC477" i="1"/>
  <c r="DD477" i="1"/>
  <c r="DE477" i="1"/>
  <c r="DF477" i="1"/>
  <c r="DG477" i="1"/>
  <c r="DH477" i="1"/>
  <c r="CL478" i="1"/>
  <c r="CM478" i="1"/>
  <c r="CN478" i="1"/>
  <c r="CO478" i="1"/>
  <c r="CP478" i="1"/>
  <c r="CQ478" i="1"/>
  <c r="CR478" i="1"/>
  <c r="CS478" i="1"/>
  <c r="CT478" i="1"/>
  <c r="CU478" i="1"/>
  <c r="CV478" i="1"/>
  <c r="CW478" i="1"/>
  <c r="CX478" i="1"/>
  <c r="CY478" i="1"/>
  <c r="CZ478" i="1"/>
  <c r="DA478" i="1"/>
  <c r="DB478" i="1"/>
  <c r="DC478" i="1"/>
  <c r="DD478" i="1"/>
  <c r="DE478" i="1"/>
  <c r="DF478" i="1"/>
  <c r="DG478" i="1"/>
  <c r="DH478" i="1"/>
  <c r="CL479" i="1"/>
  <c r="CM479" i="1"/>
  <c r="CN479" i="1"/>
  <c r="CO479" i="1"/>
  <c r="CP479" i="1"/>
  <c r="CQ479" i="1"/>
  <c r="CR479" i="1"/>
  <c r="CS479" i="1"/>
  <c r="CT479" i="1"/>
  <c r="CU479" i="1"/>
  <c r="CV479" i="1"/>
  <c r="CW479" i="1"/>
  <c r="CX479" i="1"/>
  <c r="CY479" i="1"/>
  <c r="CZ479" i="1"/>
  <c r="DA479" i="1"/>
  <c r="DB479" i="1"/>
  <c r="DC479" i="1"/>
  <c r="DD479" i="1"/>
  <c r="DE479" i="1"/>
  <c r="DF479" i="1"/>
  <c r="DG479" i="1"/>
  <c r="DH479" i="1"/>
  <c r="CL480" i="1"/>
  <c r="CM480" i="1"/>
  <c r="CN480" i="1"/>
  <c r="CO480" i="1"/>
  <c r="CP480" i="1"/>
  <c r="CQ480" i="1"/>
  <c r="CR480" i="1"/>
  <c r="CS480" i="1"/>
  <c r="CT480" i="1"/>
  <c r="CU480" i="1"/>
  <c r="CV480" i="1"/>
  <c r="CW480" i="1"/>
  <c r="CX480" i="1"/>
  <c r="CY480" i="1"/>
  <c r="CZ480" i="1"/>
  <c r="DA480" i="1"/>
  <c r="DB480" i="1"/>
  <c r="DC480" i="1"/>
  <c r="DD480" i="1"/>
  <c r="DE480" i="1"/>
  <c r="DF480" i="1"/>
  <c r="DG480" i="1"/>
  <c r="DH480" i="1"/>
  <c r="CL481" i="1"/>
  <c r="CM481" i="1"/>
  <c r="CN481" i="1"/>
  <c r="CO481" i="1"/>
  <c r="CP481" i="1"/>
  <c r="CQ481" i="1"/>
  <c r="CR481" i="1"/>
  <c r="CS481" i="1"/>
  <c r="CT481" i="1"/>
  <c r="CU481" i="1"/>
  <c r="CV481" i="1"/>
  <c r="CW481" i="1"/>
  <c r="CX481" i="1"/>
  <c r="CY481" i="1"/>
  <c r="CZ481" i="1"/>
  <c r="DA481" i="1"/>
  <c r="DB481" i="1"/>
  <c r="DC481" i="1"/>
  <c r="DD481" i="1"/>
  <c r="DE481" i="1"/>
  <c r="DF481" i="1"/>
  <c r="DG481" i="1"/>
  <c r="DH481" i="1"/>
  <c r="CL482" i="1"/>
  <c r="CM482" i="1"/>
  <c r="CN482" i="1"/>
  <c r="CO482" i="1"/>
  <c r="CP482" i="1"/>
  <c r="CQ482" i="1"/>
  <c r="CR482" i="1"/>
  <c r="CS482" i="1"/>
  <c r="CT482" i="1"/>
  <c r="CU482" i="1"/>
  <c r="CV482" i="1"/>
  <c r="CW482" i="1"/>
  <c r="CX482" i="1"/>
  <c r="CY482" i="1"/>
  <c r="CZ482" i="1"/>
  <c r="DA482" i="1"/>
  <c r="DB482" i="1"/>
  <c r="DC482" i="1"/>
  <c r="DD482" i="1"/>
  <c r="DE482" i="1"/>
  <c r="DF482" i="1"/>
  <c r="DG482" i="1"/>
  <c r="DH482" i="1"/>
  <c r="CL483" i="1"/>
  <c r="CM483" i="1"/>
  <c r="CN483" i="1"/>
  <c r="CO483" i="1"/>
  <c r="CP483" i="1"/>
  <c r="CQ483" i="1"/>
  <c r="CR483" i="1"/>
  <c r="CS483" i="1"/>
  <c r="CT483" i="1"/>
  <c r="CU483" i="1"/>
  <c r="CV483" i="1"/>
  <c r="CW483" i="1"/>
  <c r="CX483" i="1"/>
  <c r="CY483" i="1"/>
  <c r="CZ483" i="1"/>
  <c r="DA483" i="1"/>
  <c r="DB483" i="1"/>
  <c r="DC483" i="1"/>
  <c r="DD483" i="1"/>
  <c r="DE483" i="1"/>
  <c r="DF483" i="1"/>
  <c r="DG483" i="1"/>
  <c r="DH483" i="1"/>
  <c r="CL484" i="1"/>
  <c r="CM484" i="1"/>
  <c r="CN484" i="1"/>
  <c r="CO484" i="1"/>
  <c r="CP484" i="1"/>
  <c r="CQ484" i="1"/>
  <c r="CR484" i="1"/>
  <c r="CS484" i="1"/>
  <c r="CT484" i="1"/>
  <c r="CU484" i="1"/>
  <c r="CV484" i="1"/>
  <c r="CW484" i="1"/>
  <c r="CX484" i="1"/>
  <c r="CY484" i="1"/>
  <c r="CZ484" i="1"/>
  <c r="DA484" i="1"/>
  <c r="DB484" i="1"/>
  <c r="DC484" i="1"/>
  <c r="DD484" i="1"/>
  <c r="DE484" i="1"/>
  <c r="DF484" i="1"/>
  <c r="DG484" i="1"/>
  <c r="DH484" i="1"/>
  <c r="CL485" i="1"/>
  <c r="CM485" i="1"/>
  <c r="CN485" i="1"/>
  <c r="CO485" i="1"/>
  <c r="CP485" i="1"/>
  <c r="CQ485" i="1"/>
  <c r="CR485" i="1"/>
  <c r="CS485" i="1"/>
  <c r="CT485" i="1"/>
  <c r="CU485" i="1"/>
  <c r="CV485" i="1"/>
  <c r="CW485" i="1"/>
  <c r="CX485" i="1"/>
  <c r="CY485" i="1"/>
  <c r="CZ485" i="1"/>
  <c r="DA485" i="1"/>
  <c r="DB485" i="1"/>
  <c r="DC485" i="1"/>
  <c r="DD485" i="1"/>
  <c r="DE485" i="1"/>
  <c r="DF485" i="1"/>
  <c r="DG485" i="1"/>
  <c r="DH485" i="1"/>
  <c r="CL486" i="1"/>
  <c r="CM486" i="1"/>
  <c r="CN486" i="1"/>
  <c r="CO486" i="1"/>
  <c r="CP486" i="1"/>
  <c r="CQ486" i="1"/>
  <c r="CR486" i="1"/>
  <c r="CS486" i="1"/>
  <c r="CT486" i="1"/>
  <c r="CU486" i="1"/>
  <c r="CV486" i="1"/>
  <c r="CW486" i="1"/>
  <c r="CX486" i="1"/>
  <c r="CY486" i="1"/>
  <c r="CZ486" i="1"/>
  <c r="DA486" i="1"/>
  <c r="DB486" i="1"/>
  <c r="DC486" i="1"/>
  <c r="DD486" i="1"/>
  <c r="DE486" i="1"/>
  <c r="DF486" i="1"/>
  <c r="DG486" i="1"/>
  <c r="DH486" i="1"/>
  <c r="CL487" i="1"/>
  <c r="CM487" i="1"/>
  <c r="CN487" i="1"/>
  <c r="CO487" i="1"/>
  <c r="CP487" i="1"/>
  <c r="CQ487" i="1"/>
  <c r="CR487" i="1"/>
  <c r="CS487" i="1"/>
  <c r="CT487" i="1"/>
  <c r="CU487" i="1"/>
  <c r="CV487" i="1"/>
  <c r="CW487" i="1"/>
  <c r="CX487" i="1"/>
  <c r="CY487" i="1"/>
  <c r="CZ487" i="1"/>
  <c r="DA487" i="1"/>
  <c r="DB487" i="1"/>
  <c r="DC487" i="1"/>
  <c r="DD487" i="1"/>
  <c r="DE487" i="1"/>
  <c r="DF487" i="1"/>
  <c r="DG487" i="1"/>
  <c r="DH487" i="1"/>
  <c r="CL488" i="1"/>
  <c r="CM488" i="1"/>
  <c r="CN488" i="1"/>
  <c r="CO488" i="1"/>
  <c r="CP488" i="1"/>
  <c r="CQ488" i="1"/>
  <c r="CR488" i="1"/>
  <c r="CS488" i="1"/>
  <c r="CT488" i="1"/>
  <c r="CU488" i="1"/>
  <c r="CV488" i="1"/>
  <c r="CW488" i="1"/>
  <c r="CX488" i="1"/>
  <c r="CY488" i="1"/>
  <c r="CZ488" i="1"/>
  <c r="DA488" i="1"/>
  <c r="DB488" i="1"/>
  <c r="DC488" i="1"/>
  <c r="DD488" i="1"/>
  <c r="DE488" i="1"/>
  <c r="DF488" i="1"/>
  <c r="DG488" i="1"/>
  <c r="DH488" i="1"/>
  <c r="CL489" i="1"/>
  <c r="CM489" i="1"/>
  <c r="CN489" i="1"/>
  <c r="CO489" i="1"/>
  <c r="CP489" i="1"/>
  <c r="CQ489" i="1"/>
  <c r="CR489" i="1"/>
  <c r="CS489" i="1"/>
  <c r="CT489" i="1"/>
  <c r="CU489" i="1"/>
  <c r="CV489" i="1"/>
  <c r="CW489" i="1"/>
  <c r="CX489" i="1"/>
  <c r="CY489" i="1"/>
  <c r="CZ489" i="1"/>
  <c r="DA489" i="1"/>
  <c r="DB489" i="1"/>
  <c r="DC489" i="1"/>
  <c r="DD489" i="1"/>
  <c r="DE489" i="1"/>
  <c r="DF489" i="1"/>
  <c r="DG489" i="1"/>
  <c r="DH489" i="1"/>
  <c r="CL490" i="1"/>
  <c r="CM490" i="1"/>
  <c r="CN490" i="1"/>
  <c r="CO490" i="1"/>
  <c r="CP490" i="1"/>
  <c r="CQ490" i="1"/>
  <c r="CR490" i="1"/>
  <c r="CS490" i="1"/>
  <c r="CT490" i="1"/>
  <c r="CU490" i="1"/>
  <c r="CV490" i="1"/>
  <c r="CW490" i="1"/>
  <c r="CX490" i="1"/>
  <c r="CY490" i="1"/>
  <c r="CZ490" i="1"/>
  <c r="DA490" i="1"/>
  <c r="DB490" i="1"/>
  <c r="DC490" i="1"/>
  <c r="DD490" i="1"/>
  <c r="DE490" i="1"/>
  <c r="DF490" i="1"/>
  <c r="DG490" i="1"/>
  <c r="DH490" i="1"/>
  <c r="CL491" i="1"/>
  <c r="CM491" i="1"/>
  <c r="CN491" i="1"/>
  <c r="CO491" i="1"/>
  <c r="CP491" i="1"/>
  <c r="CQ491" i="1"/>
  <c r="CR491" i="1"/>
  <c r="CS491" i="1"/>
  <c r="CT491" i="1"/>
  <c r="CU491" i="1"/>
  <c r="CV491" i="1"/>
  <c r="CW491" i="1"/>
  <c r="CX491" i="1"/>
  <c r="CY491" i="1"/>
  <c r="CZ491" i="1"/>
  <c r="DA491" i="1"/>
  <c r="DB491" i="1"/>
  <c r="DC491" i="1"/>
  <c r="DD491" i="1"/>
  <c r="DE491" i="1"/>
  <c r="DF491" i="1"/>
  <c r="DG491" i="1"/>
  <c r="DH491" i="1"/>
  <c r="CL492" i="1"/>
  <c r="CM492" i="1"/>
  <c r="CN492" i="1"/>
  <c r="CO492" i="1"/>
  <c r="CP492" i="1"/>
  <c r="CQ492" i="1"/>
  <c r="CR492" i="1"/>
  <c r="CS492" i="1"/>
  <c r="CT492" i="1"/>
  <c r="CU492" i="1"/>
  <c r="CV492" i="1"/>
  <c r="CW492" i="1"/>
  <c r="CX492" i="1"/>
  <c r="CY492" i="1"/>
  <c r="CZ492" i="1"/>
  <c r="DA492" i="1"/>
  <c r="DB492" i="1"/>
  <c r="DC492" i="1"/>
  <c r="DD492" i="1"/>
  <c r="DE492" i="1"/>
  <c r="DF492" i="1"/>
  <c r="DG492" i="1"/>
  <c r="DH492" i="1"/>
  <c r="CL493" i="1"/>
  <c r="CM493" i="1"/>
  <c r="CN493" i="1"/>
  <c r="CO493" i="1"/>
  <c r="CP493" i="1"/>
  <c r="CQ493" i="1"/>
  <c r="CR493" i="1"/>
  <c r="CS493" i="1"/>
  <c r="CT493" i="1"/>
  <c r="CU493" i="1"/>
  <c r="CV493" i="1"/>
  <c r="CW493" i="1"/>
  <c r="CX493" i="1"/>
  <c r="CY493" i="1"/>
  <c r="CZ493" i="1"/>
  <c r="DA493" i="1"/>
  <c r="DB493" i="1"/>
  <c r="DC493" i="1"/>
  <c r="DD493" i="1"/>
  <c r="DE493" i="1"/>
  <c r="DF493" i="1"/>
  <c r="DG493" i="1"/>
  <c r="DH493" i="1"/>
  <c r="CL494" i="1"/>
  <c r="CM494" i="1"/>
  <c r="CN494" i="1"/>
  <c r="CO494" i="1"/>
  <c r="CP494" i="1"/>
  <c r="CQ494" i="1"/>
  <c r="CR494" i="1"/>
  <c r="CS494" i="1"/>
  <c r="CT494" i="1"/>
  <c r="CU494" i="1"/>
  <c r="CV494" i="1"/>
  <c r="CW494" i="1"/>
  <c r="CX494" i="1"/>
  <c r="CY494" i="1"/>
  <c r="CZ494" i="1"/>
  <c r="DA494" i="1"/>
  <c r="DB494" i="1"/>
  <c r="DC494" i="1"/>
  <c r="DD494" i="1"/>
  <c r="DE494" i="1"/>
  <c r="DF494" i="1"/>
  <c r="DG494" i="1"/>
  <c r="DH494" i="1"/>
  <c r="CL495" i="1"/>
  <c r="CM495" i="1"/>
  <c r="CN495" i="1"/>
  <c r="CO495" i="1"/>
  <c r="CP495" i="1"/>
  <c r="CQ495" i="1"/>
  <c r="CR495" i="1"/>
  <c r="CS495" i="1"/>
  <c r="CT495" i="1"/>
  <c r="CU495" i="1"/>
  <c r="CV495" i="1"/>
  <c r="CW495" i="1"/>
  <c r="CX495" i="1"/>
  <c r="CY495" i="1"/>
  <c r="CZ495" i="1"/>
  <c r="DA495" i="1"/>
  <c r="DB495" i="1"/>
  <c r="DC495" i="1"/>
  <c r="DD495" i="1"/>
  <c r="DE495" i="1"/>
  <c r="DF495" i="1"/>
  <c r="DG495" i="1"/>
  <c r="DH495" i="1"/>
  <c r="CL496" i="1"/>
  <c r="CM496" i="1"/>
  <c r="CN496" i="1"/>
  <c r="CO496" i="1"/>
  <c r="CP496" i="1"/>
  <c r="CQ496" i="1"/>
  <c r="CR496" i="1"/>
  <c r="CS496" i="1"/>
  <c r="CT496" i="1"/>
  <c r="CU496" i="1"/>
  <c r="CV496" i="1"/>
  <c r="CW496" i="1"/>
  <c r="CX496" i="1"/>
  <c r="CY496" i="1"/>
  <c r="CZ496" i="1"/>
  <c r="DA496" i="1"/>
  <c r="DB496" i="1"/>
  <c r="DC496" i="1"/>
  <c r="DD496" i="1"/>
  <c r="DE496" i="1"/>
  <c r="DF496" i="1"/>
  <c r="DG496" i="1"/>
  <c r="DH496" i="1"/>
  <c r="CL497" i="1"/>
  <c r="CM497" i="1"/>
  <c r="CN497" i="1"/>
  <c r="CO497" i="1"/>
  <c r="CP497" i="1"/>
  <c r="CQ497" i="1"/>
  <c r="CR497" i="1"/>
  <c r="CS497" i="1"/>
  <c r="CT497" i="1"/>
  <c r="CU497" i="1"/>
  <c r="CV497" i="1"/>
  <c r="CW497" i="1"/>
  <c r="CX497" i="1"/>
  <c r="CY497" i="1"/>
  <c r="CZ497" i="1"/>
  <c r="DA497" i="1"/>
  <c r="DB497" i="1"/>
  <c r="DC497" i="1"/>
  <c r="DD497" i="1"/>
  <c r="DE497" i="1"/>
  <c r="DF497" i="1"/>
  <c r="DG497" i="1"/>
  <c r="DH497" i="1"/>
  <c r="CL498" i="1"/>
  <c r="CM498" i="1"/>
  <c r="CN498" i="1"/>
  <c r="CO498" i="1"/>
  <c r="CP498" i="1"/>
  <c r="CQ498" i="1"/>
  <c r="CR498" i="1"/>
  <c r="CS498" i="1"/>
  <c r="CT498" i="1"/>
  <c r="CU498" i="1"/>
  <c r="CV498" i="1"/>
  <c r="CW498" i="1"/>
  <c r="CX498" i="1"/>
  <c r="CY498" i="1"/>
  <c r="CZ498" i="1"/>
  <c r="DA498" i="1"/>
  <c r="DB498" i="1"/>
  <c r="DC498" i="1"/>
  <c r="DD498" i="1"/>
  <c r="DE498" i="1"/>
  <c r="DF498" i="1"/>
  <c r="DG498" i="1"/>
  <c r="DH498" i="1"/>
  <c r="CL499" i="1"/>
  <c r="CM499" i="1"/>
  <c r="CN499" i="1"/>
  <c r="CO499" i="1"/>
  <c r="CP499" i="1"/>
  <c r="CQ499" i="1"/>
  <c r="CR499" i="1"/>
  <c r="CS499" i="1"/>
  <c r="CT499" i="1"/>
  <c r="CU499" i="1"/>
  <c r="CV499" i="1"/>
  <c r="CW499" i="1"/>
  <c r="CX499" i="1"/>
  <c r="CY499" i="1"/>
  <c r="CZ499" i="1"/>
  <c r="DA499" i="1"/>
  <c r="DB499" i="1"/>
  <c r="DC499" i="1"/>
  <c r="DD499" i="1"/>
  <c r="DE499" i="1"/>
  <c r="DF499" i="1"/>
  <c r="DG499" i="1"/>
  <c r="DH499" i="1"/>
  <c r="CL500" i="1"/>
  <c r="CM500" i="1"/>
  <c r="CN500" i="1"/>
  <c r="CO500" i="1"/>
  <c r="CP500" i="1"/>
  <c r="CQ500" i="1"/>
  <c r="CR500" i="1"/>
  <c r="CS500" i="1"/>
  <c r="CT500" i="1"/>
  <c r="CU500" i="1"/>
  <c r="CV500" i="1"/>
  <c r="CW500" i="1"/>
  <c r="CX500" i="1"/>
  <c r="CY500" i="1"/>
  <c r="CZ500" i="1"/>
  <c r="DA500" i="1"/>
  <c r="DB500" i="1"/>
  <c r="DC500" i="1"/>
  <c r="DD500" i="1"/>
  <c r="DE500" i="1"/>
  <c r="DF500" i="1"/>
  <c r="DG500" i="1"/>
  <c r="DH500" i="1"/>
  <c r="CL501" i="1"/>
  <c r="CM501" i="1"/>
  <c r="CN501" i="1"/>
  <c r="CO501" i="1"/>
  <c r="CP501" i="1"/>
  <c r="CQ501" i="1"/>
  <c r="CR501" i="1"/>
  <c r="CS501" i="1"/>
  <c r="CT501" i="1"/>
  <c r="CU501" i="1"/>
  <c r="CV501" i="1"/>
  <c r="CW501" i="1"/>
  <c r="CX501" i="1"/>
  <c r="CY501" i="1"/>
  <c r="CZ501" i="1"/>
  <c r="DA501" i="1"/>
  <c r="DB501" i="1"/>
  <c r="DC501" i="1"/>
  <c r="DD501" i="1"/>
  <c r="DE501" i="1"/>
  <c r="DF501" i="1"/>
  <c r="DG501" i="1"/>
  <c r="DH501" i="1"/>
  <c r="CL502" i="1"/>
  <c r="CM502" i="1"/>
  <c r="CN502" i="1"/>
  <c r="CO502" i="1"/>
  <c r="CP502" i="1"/>
  <c r="CQ502" i="1"/>
  <c r="CR502" i="1"/>
  <c r="CS502" i="1"/>
  <c r="CT502" i="1"/>
  <c r="CU502" i="1"/>
  <c r="CV502" i="1"/>
  <c r="CW502" i="1"/>
  <c r="CX502" i="1"/>
  <c r="CY502" i="1"/>
  <c r="CZ502" i="1"/>
  <c r="DA502" i="1"/>
  <c r="DB502" i="1"/>
  <c r="DC502" i="1"/>
  <c r="DD502" i="1"/>
  <c r="DE502" i="1"/>
  <c r="DF502" i="1"/>
  <c r="DG502" i="1"/>
  <c r="DH502" i="1"/>
  <c r="CL503" i="1"/>
  <c r="CM503" i="1"/>
  <c r="CN503" i="1"/>
  <c r="CO503" i="1"/>
  <c r="CP503" i="1"/>
  <c r="CQ503" i="1"/>
  <c r="CR503" i="1"/>
  <c r="CS503" i="1"/>
  <c r="CT503" i="1"/>
  <c r="CU503" i="1"/>
  <c r="CV503" i="1"/>
  <c r="CW503" i="1"/>
  <c r="CX503" i="1"/>
  <c r="CY503" i="1"/>
  <c r="CZ503" i="1"/>
  <c r="DA503" i="1"/>
  <c r="DB503" i="1"/>
  <c r="DC503" i="1"/>
  <c r="DD503" i="1"/>
  <c r="DE503" i="1"/>
  <c r="DF503" i="1"/>
  <c r="DG503" i="1"/>
  <c r="DH503" i="1"/>
  <c r="CL504" i="1"/>
  <c r="CM504" i="1"/>
  <c r="CN504" i="1"/>
  <c r="CO504" i="1"/>
  <c r="CP504" i="1"/>
  <c r="CQ504" i="1"/>
  <c r="CR504" i="1"/>
  <c r="CS504" i="1"/>
  <c r="CT504" i="1"/>
  <c r="CU504" i="1"/>
  <c r="CV504" i="1"/>
  <c r="CW504" i="1"/>
  <c r="CX504" i="1"/>
  <c r="CY504" i="1"/>
  <c r="CZ504" i="1"/>
  <c r="DA504" i="1"/>
  <c r="DB504" i="1"/>
  <c r="DC504" i="1"/>
  <c r="DD504" i="1"/>
  <c r="DE504" i="1"/>
  <c r="DF504" i="1"/>
  <c r="DG504" i="1"/>
  <c r="DH504" i="1"/>
  <c r="CL505" i="1"/>
  <c r="CM505" i="1"/>
  <c r="CN505" i="1"/>
  <c r="CO505" i="1"/>
  <c r="CP505" i="1"/>
  <c r="CQ505" i="1"/>
  <c r="CR505" i="1"/>
  <c r="CS505" i="1"/>
  <c r="CT505" i="1"/>
  <c r="CU505" i="1"/>
  <c r="CV505" i="1"/>
  <c r="CW505" i="1"/>
  <c r="CX505" i="1"/>
  <c r="CY505" i="1"/>
  <c r="CZ505" i="1"/>
  <c r="DA505" i="1"/>
  <c r="DB505" i="1"/>
  <c r="DC505" i="1"/>
  <c r="DD505" i="1"/>
  <c r="DE505" i="1"/>
  <c r="DF505" i="1"/>
  <c r="DG505" i="1"/>
  <c r="DH505" i="1"/>
  <c r="CL506" i="1"/>
  <c r="CM506" i="1"/>
  <c r="CN506" i="1"/>
  <c r="CO506" i="1"/>
  <c r="CP506" i="1"/>
  <c r="CQ506" i="1"/>
  <c r="CR506" i="1"/>
  <c r="CS506" i="1"/>
  <c r="CT506" i="1"/>
  <c r="CU506" i="1"/>
  <c r="CV506" i="1"/>
  <c r="CW506" i="1"/>
  <c r="CX506" i="1"/>
  <c r="CY506" i="1"/>
  <c r="CZ506" i="1"/>
  <c r="DA506" i="1"/>
  <c r="DB506" i="1"/>
  <c r="DC506" i="1"/>
  <c r="DD506" i="1"/>
  <c r="DE506" i="1"/>
  <c r="DF506" i="1"/>
  <c r="DG506" i="1"/>
  <c r="DH506" i="1"/>
  <c r="CL507" i="1"/>
  <c r="CM507" i="1"/>
  <c r="CN507" i="1"/>
  <c r="CO507" i="1"/>
  <c r="CP507" i="1"/>
  <c r="CQ507" i="1"/>
  <c r="CR507" i="1"/>
  <c r="CS507" i="1"/>
  <c r="CT507" i="1"/>
  <c r="CU507" i="1"/>
  <c r="CV507" i="1"/>
  <c r="CW507" i="1"/>
  <c r="CX507" i="1"/>
  <c r="CY507" i="1"/>
  <c r="CZ507" i="1"/>
  <c r="DA507" i="1"/>
  <c r="DB507" i="1"/>
  <c r="DC507" i="1"/>
  <c r="DD507" i="1"/>
  <c r="DE507" i="1"/>
  <c r="DF507" i="1"/>
  <c r="DG507" i="1"/>
  <c r="DH507" i="1"/>
  <c r="CL508" i="1"/>
  <c r="CM508" i="1"/>
  <c r="CN508" i="1"/>
  <c r="CO508" i="1"/>
  <c r="CP508" i="1"/>
  <c r="CQ508" i="1"/>
  <c r="CR508" i="1"/>
  <c r="CS508" i="1"/>
  <c r="CT508" i="1"/>
  <c r="CU508" i="1"/>
  <c r="CV508" i="1"/>
  <c r="CW508" i="1"/>
  <c r="CX508" i="1"/>
  <c r="CY508" i="1"/>
  <c r="CZ508" i="1"/>
  <c r="DA508" i="1"/>
  <c r="DB508" i="1"/>
  <c r="DC508" i="1"/>
  <c r="DD508" i="1"/>
  <c r="DE508" i="1"/>
  <c r="DF508" i="1"/>
  <c r="DG508" i="1"/>
  <c r="DH508" i="1"/>
  <c r="CL509" i="1"/>
  <c r="CM509" i="1"/>
  <c r="CN509" i="1"/>
  <c r="CO509" i="1"/>
  <c r="CP509" i="1"/>
  <c r="CQ509" i="1"/>
  <c r="CR509" i="1"/>
  <c r="CS509" i="1"/>
  <c r="CT509" i="1"/>
  <c r="CU509" i="1"/>
  <c r="CV509" i="1"/>
  <c r="CW509" i="1"/>
  <c r="CX509" i="1"/>
  <c r="CY509" i="1"/>
  <c r="CZ509" i="1"/>
  <c r="DA509" i="1"/>
  <c r="DB509" i="1"/>
  <c r="DC509" i="1"/>
  <c r="DD509" i="1"/>
  <c r="DE509" i="1"/>
  <c r="DF509" i="1"/>
  <c r="DG509" i="1"/>
  <c r="DH509" i="1"/>
  <c r="CL510" i="1"/>
  <c r="CM510" i="1"/>
  <c r="CN510" i="1"/>
  <c r="CO510" i="1"/>
  <c r="CP510" i="1"/>
  <c r="CQ510" i="1"/>
  <c r="CR510" i="1"/>
  <c r="CS510" i="1"/>
  <c r="CT510" i="1"/>
  <c r="CU510" i="1"/>
  <c r="CV510" i="1"/>
  <c r="CW510" i="1"/>
  <c r="CX510" i="1"/>
  <c r="CY510" i="1"/>
  <c r="CZ510" i="1"/>
  <c r="DA510" i="1"/>
  <c r="DB510" i="1"/>
  <c r="DC510" i="1"/>
  <c r="DD510" i="1"/>
  <c r="DE510" i="1"/>
  <c r="DF510" i="1"/>
  <c r="DG510" i="1"/>
  <c r="DH510" i="1"/>
  <c r="CL511" i="1"/>
  <c r="CM511" i="1"/>
  <c r="CN511" i="1"/>
  <c r="CO511" i="1"/>
  <c r="CP511" i="1"/>
  <c r="CQ511" i="1"/>
  <c r="CR511" i="1"/>
  <c r="CS511" i="1"/>
  <c r="CT511" i="1"/>
  <c r="CU511" i="1"/>
  <c r="CV511" i="1"/>
  <c r="CW511" i="1"/>
  <c r="CX511" i="1"/>
  <c r="CY511" i="1"/>
  <c r="CZ511" i="1"/>
  <c r="DA511" i="1"/>
  <c r="DB511" i="1"/>
  <c r="DC511" i="1"/>
  <c r="DD511" i="1"/>
  <c r="DE511" i="1"/>
  <c r="DF511" i="1"/>
  <c r="DG511" i="1"/>
  <c r="DH511" i="1"/>
  <c r="CL512" i="1"/>
  <c r="CM512" i="1"/>
  <c r="CN512" i="1"/>
  <c r="CO512" i="1"/>
  <c r="CP512" i="1"/>
  <c r="CQ512" i="1"/>
  <c r="CR512" i="1"/>
  <c r="CS512" i="1"/>
  <c r="CT512" i="1"/>
  <c r="CU512" i="1"/>
  <c r="CV512" i="1"/>
  <c r="CW512" i="1"/>
  <c r="CX512" i="1"/>
  <c r="CY512" i="1"/>
  <c r="CZ512" i="1"/>
  <c r="DA512" i="1"/>
  <c r="DB512" i="1"/>
  <c r="DC512" i="1"/>
  <c r="DD512" i="1"/>
  <c r="DE512" i="1"/>
  <c r="DF512" i="1"/>
  <c r="DG512" i="1"/>
  <c r="DH512" i="1"/>
  <c r="CL513" i="1"/>
  <c r="CM513" i="1"/>
  <c r="CN513" i="1"/>
  <c r="CO513" i="1"/>
  <c r="CP513" i="1"/>
  <c r="CQ513" i="1"/>
  <c r="CR513" i="1"/>
  <c r="CS513" i="1"/>
  <c r="CT513" i="1"/>
  <c r="CU513" i="1"/>
  <c r="CV513" i="1"/>
  <c r="CW513" i="1"/>
  <c r="CX513" i="1"/>
  <c r="CY513" i="1"/>
  <c r="CZ513" i="1"/>
  <c r="DA513" i="1"/>
  <c r="DB513" i="1"/>
  <c r="DC513" i="1"/>
  <c r="DD513" i="1"/>
  <c r="DE513" i="1"/>
  <c r="DF513" i="1"/>
  <c r="DG513" i="1"/>
  <c r="DH513" i="1"/>
  <c r="CL514" i="1"/>
  <c r="CM514" i="1"/>
  <c r="CN514" i="1"/>
  <c r="CO514" i="1"/>
  <c r="CP514" i="1"/>
  <c r="CQ514" i="1"/>
  <c r="CR514" i="1"/>
  <c r="CS514" i="1"/>
  <c r="CT514" i="1"/>
  <c r="CU514" i="1"/>
  <c r="CV514" i="1"/>
  <c r="CW514" i="1"/>
  <c r="CX514" i="1"/>
  <c r="CY514" i="1"/>
  <c r="CZ514" i="1"/>
  <c r="DA514" i="1"/>
  <c r="DB514" i="1"/>
  <c r="DC514" i="1"/>
  <c r="DD514" i="1"/>
  <c r="DE514" i="1"/>
  <c r="DF514" i="1"/>
  <c r="DG514" i="1"/>
  <c r="DH514" i="1"/>
  <c r="CL515" i="1"/>
  <c r="CM515" i="1"/>
  <c r="CN515" i="1"/>
  <c r="CO515" i="1"/>
  <c r="CP515" i="1"/>
  <c r="CQ515" i="1"/>
  <c r="CR515" i="1"/>
  <c r="CS515" i="1"/>
  <c r="CT515" i="1"/>
  <c r="CU515" i="1"/>
  <c r="CV515" i="1"/>
  <c r="CW515" i="1"/>
  <c r="CX515" i="1"/>
  <c r="CY515" i="1"/>
  <c r="CZ515" i="1"/>
  <c r="DA515" i="1"/>
  <c r="DB515" i="1"/>
  <c r="DC515" i="1"/>
  <c r="DD515" i="1"/>
  <c r="DE515" i="1"/>
  <c r="DF515" i="1"/>
  <c r="DG515" i="1"/>
  <c r="DH515" i="1"/>
  <c r="CL516" i="1"/>
  <c r="CM516" i="1"/>
  <c r="CN516" i="1"/>
  <c r="CO516" i="1"/>
  <c r="CP516" i="1"/>
  <c r="CQ516" i="1"/>
  <c r="CR516" i="1"/>
  <c r="CS516" i="1"/>
  <c r="CT516" i="1"/>
  <c r="CU516" i="1"/>
  <c r="CV516" i="1"/>
  <c r="CW516" i="1"/>
  <c r="CX516" i="1"/>
  <c r="CY516" i="1"/>
  <c r="CZ516" i="1"/>
  <c r="DA516" i="1"/>
  <c r="DB516" i="1"/>
  <c r="DC516" i="1"/>
  <c r="DD516" i="1"/>
  <c r="DE516" i="1"/>
  <c r="DF516" i="1"/>
  <c r="DG516" i="1"/>
  <c r="DH516" i="1"/>
  <c r="CL517" i="1"/>
  <c r="CM517" i="1"/>
  <c r="CN517" i="1"/>
  <c r="CO517" i="1"/>
  <c r="CP517" i="1"/>
  <c r="CQ517" i="1"/>
  <c r="CR517" i="1"/>
  <c r="CS517" i="1"/>
  <c r="CT517" i="1"/>
  <c r="CU517" i="1"/>
  <c r="CV517" i="1"/>
  <c r="CW517" i="1"/>
  <c r="CX517" i="1"/>
  <c r="CY517" i="1"/>
  <c r="CZ517" i="1"/>
  <c r="DA517" i="1"/>
  <c r="DB517" i="1"/>
  <c r="DC517" i="1"/>
  <c r="DD517" i="1"/>
  <c r="DE517" i="1"/>
  <c r="DF517" i="1"/>
  <c r="DG517" i="1"/>
  <c r="DH517" i="1"/>
  <c r="CL518" i="1"/>
  <c r="CM518" i="1"/>
  <c r="CN518" i="1"/>
  <c r="CO518" i="1"/>
  <c r="CP518" i="1"/>
  <c r="CQ518" i="1"/>
  <c r="CR518" i="1"/>
  <c r="CS518" i="1"/>
  <c r="CT518" i="1"/>
  <c r="CU518" i="1"/>
  <c r="CV518" i="1"/>
  <c r="CW518" i="1"/>
  <c r="CX518" i="1"/>
  <c r="CY518" i="1"/>
  <c r="CZ518" i="1"/>
  <c r="DA518" i="1"/>
  <c r="DB518" i="1"/>
  <c r="DC518" i="1"/>
  <c r="DD518" i="1"/>
  <c r="DE518" i="1"/>
  <c r="DF518" i="1"/>
  <c r="DG518" i="1"/>
  <c r="DH518" i="1"/>
  <c r="CL519" i="1"/>
  <c r="CM519" i="1"/>
  <c r="CN519" i="1"/>
  <c r="CO519" i="1"/>
  <c r="CP519" i="1"/>
  <c r="CQ519" i="1"/>
  <c r="CR519" i="1"/>
  <c r="CS519" i="1"/>
  <c r="CT519" i="1"/>
  <c r="CU519" i="1"/>
  <c r="CV519" i="1"/>
  <c r="CW519" i="1"/>
  <c r="CX519" i="1"/>
  <c r="CY519" i="1"/>
  <c r="CZ519" i="1"/>
  <c r="DA519" i="1"/>
  <c r="DB519" i="1"/>
  <c r="DC519" i="1"/>
  <c r="DD519" i="1"/>
  <c r="DE519" i="1"/>
  <c r="DF519" i="1"/>
  <c r="DG519" i="1"/>
  <c r="DH519" i="1"/>
  <c r="CL520" i="1"/>
  <c r="CM520" i="1"/>
  <c r="CN520" i="1"/>
  <c r="CO520" i="1"/>
  <c r="CP520" i="1"/>
  <c r="CQ520" i="1"/>
  <c r="CR520" i="1"/>
  <c r="CS520" i="1"/>
  <c r="CT520" i="1"/>
  <c r="CU520" i="1"/>
  <c r="CV520" i="1"/>
  <c r="CW520" i="1"/>
  <c r="CX520" i="1"/>
  <c r="CY520" i="1"/>
  <c r="CZ520" i="1"/>
  <c r="DA520" i="1"/>
  <c r="DB520" i="1"/>
  <c r="DC520" i="1"/>
  <c r="DD520" i="1"/>
  <c r="DE520" i="1"/>
  <c r="DF520" i="1"/>
  <c r="DG520" i="1"/>
  <c r="DH520" i="1"/>
  <c r="CL521" i="1"/>
  <c r="CM521" i="1"/>
  <c r="CN521" i="1"/>
  <c r="CO521" i="1"/>
  <c r="CP521" i="1"/>
  <c r="CQ521" i="1"/>
  <c r="CR521" i="1"/>
  <c r="CS521" i="1"/>
  <c r="CT521" i="1"/>
  <c r="CU521" i="1"/>
  <c r="CV521" i="1"/>
  <c r="CW521" i="1"/>
  <c r="CX521" i="1"/>
  <c r="CY521" i="1"/>
  <c r="CZ521" i="1"/>
  <c r="DA521" i="1"/>
  <c r="DB521" i="1"/>
  <c r="DC521" i="1"/>
  <c r="DD521" i="1"/>
  <c r="DE521" i="1"/>
  <c r="DF521" i="1"/>
  <c r="DG521" i="1"/>
  <c r="DH521" i="1"/>
  <c r="CL522" i="1"/>
  <c r="CM522" i="1"/>
  <c r="CN522" i="1"/>
  <c r="CO522" i="1"/>
  <c r="CP522" i="1"/>
  <c r="CQ522" i="1"/>
  <c r="CR522" i="1"/>
  <c r="CS522" i="1"/>
  <c r="CT522" i="1"/>
  <c r="CU522" i="1"/>
  <c r="CV522" i="1"/>
  <c r="CW522" i="1"/>
  <c r="CX522" i="1"/>
  <c r="CY522" i="1"/>
  <c r="CZ522" i="1"/>
  <c r="DA522" i="1"/>
  <c r="DB522" i="1"/>
  <c r="DC522" i="1"/>
  <c r="DD522" i="1"/>
  <c r="DE522" i="1"/>
  <c r="DF522" i="1"/>
  <c r="DG522" i="1"/>
  <c r="DH522" i="1"/>
  <c r="CL523" i="1"/>
  <c r="CM523" i="1"/>
  <c r="CN523" i="1"/>
  <c r="CO523" i="1"/>
  <c r="CP523" i="1"/>
  <c r="CQ523" i="1"/>
  <c r="CR523" i="1"/>
  <c r="CS523" i="1"/>
  <c r="CT523" i="1"/>
  <c r="CU523" i="1"/>
  <c r="CV523" i="1"/>
  <c r="CW523" i="1"/>
  <c r="CX523" i="1"/>
  <c r="CY523" i="1"/>
  <c r="CZ523" i="1"/>
  <c r="DA523" i="1"/>
  <c r="DB523" i="1"/>
  <c r="DC523" i="1"/>
  <c r="DD523" i="1"/>
  <c r="DE523" i="1"/>
  <c r="DF523" i="1"/>
  <c r="DG523" i="1"/>
  <c r="DH523" i="1"/>
  <c r="CL524" i="1"/>
  <c r="CM524" i="1"/>
  <c r="CN524" i="1"/>
  <c r="CO524" i="1"/>
  <c r="CP524" i="1"/>
  <c r="CQ524" i="1"/>
  <c r="CR524" i="1"/>
  <c r="CS524" i="1"/>
  <c r="CT524" i="1"/>
  <c r="CU524" i="1"/>
  <c r="CV524" i="1"/>
  <c r="CW524" i="1"/>
  <c r="CX524" i="1"/>
  <c r="CY524" i="1"/>
  <c r="CZ524" i="1"/>
  <c r="DA524" i="1"/>
  <c r="DB524" i="1"/>
  <c r="DC524" i="1"/>
  <c r="DD524" i="1"/>
  <c r="DE524" i="1"/>
  <c r="DF524" i="1"/>
  <c r="DG524" i="1"/>
  <c r="DH524" i="1"/>
  <c r="CL525" i="1"/>
  <c r="CM525" i="1"/>
  <c r="CN525" i="1"/>
  <c r="CO525" i="1"/>
  <c r="CP525" i="1"/>
  <c r="CQ525" i="1"/>
  <c r="CR525" i="1"/>
  <c r="CS525" i="1"/>
  <c r="CT525" i="1"/>
  <c r="CU525" i="1"/>
  <c r="CV525" i="1"/>
  <c r="CW525" i="1"/>
  <c r="CX525" i="1"/>
  <c r="CY525" i="1"/>
  <c r="CZ525" i="1"/>
  <c r="DA525" i="1"/>
  <c r="DB525" i="1"/>
  <c r="DC525" i="1"/>
  <c r="DD525" i="1"/>
  <c r="DE525" i="1"/>
  <c r="DF525" i="1"/>
  <c r="DG525" i="1"/>
  <c r="DH525" i="1"/>
  <c r="CL526" i="1"/>
  <c r="CM526" i="1"/>
  <c r="CN526" i="1"/>
  <c r="CO526" i="1"/>
  <c r="CP526" i="1"/>
  <c r="CQ526" i="1"/>
  <c r="CR526" i="1"/>
  <c r="CS526" i="1"/>
  <c r="CT526" i="1"/>
  <c r="CU526" i="1"/>
  <c r="CV526" i="1"/>
  <c r="CW526" i="1"/>
  <c r="CX526" i="1"/>
  <c r="CY526" i="1"/>
  <c r="CZ526" i="1"/>
  <c r="DA526" i="1"/>
  <c r="DB526" i="1"/>
  <c r="DC526" i="1"/>
  <c r="DD526" i="1"/>
  <c r="DE526" i="1"/>
  <c r="DF526" i="1"/>
  <c r="DG526" i="1"/>
  <c r="DH526" i="1"/>
  <c r="CL527" i="1"/>
  <c r="CM527" i="1"/>
  <c r="CN527" i="1"/>
  <c r="CO527" i="1"/>
  <c r="CP527" i="1"/>
  <c r="CQ527" i="1"/>
  <c r="CR527" i="1"/>
  <c r="CS527" i="1"/>
  <c r="CT527" i="1"/>
  <c r="CU527" i="1"/>
  <c r="CV527" i="1"/>
  <c r="CW527" i="1"/>
  <c r="CX527" i="1"/>
  <c r="CY527" i="1"/>
  <c r="CZ527" i="1"/>
  <c r="DA527" i="1"/>
  <c r="DB527" i="1"/>
  <c r="DC527" i="1"/>
  <c r="DD527" i="1"/>
  <c r="DE527" i="1"/>
  <c r="DF527" i="1"/>
  <c r="DG527" i="1"/>
  <c r="DH527" i="1"/>
  <c r="CL528" i="1"/>
  <c r="CM528" i="1"/>
  <c r="CN528" i="1"/>
  <c r="CO528" i="1"/>
  <c r="CP528" i="1"/>
  <c r="CQ528" i="1"/>
  <c r="CR528" i="1"/>
  <c r="CS528" i="1"/>
  <c r="CT528" i="1"/>
  <c r="CU528" i="1"/>
  <c r="CV528" i="1"/>
  <c r="CW528" i="1"/>
  <c r="CX528" i="1"/>
  <c r="CY528" i="1"/>
  <c r="CZ528" i="1"/>
  <c r="DA528" i="1"/>
  <c r="DB528" i="1"/>
  <c r="DC528" i="1"/>
  <c r="DD528" i="1"/>
  <c r="DE528" i="1"/>
  <c r="DF528" i="1"/>
  <c r="DG528" i="1"/>
  <c r="DH528" i="1"/>
  <c r="CL529" i="1"/>
  <c r="CM529" i="1"/>
  <c r="CN529" i="1"/>
  <c r="CO529" i="1"/>
  <c r="CP529" i="1"/>
  <c r="CQ529" i="1"/>
  <c r="CR529" i="1"/>
  <c r="CS529" i="1"/>
  <c r="CT529" i="1"/>
  <c r="CU529" i="1"/>
  <c r="CV529" i="1"/>
  <c r="CW529" i="1"/>
  <c r="CX529" i="1"/>
  <c r="CY529" i="1"/>
  <c r="CZ529" i="1"/>
  <c r="DA529" i="1"/>
  <c r="DB529" i="1"/>
  <c r="DC529" i="1"/>
  <c r="DD529" i="1"/>
  <c r="DE529" i="1"/>
  <c r="DF529" i="1"/>
  <c r="DG529" i="1"/>
  <c r="DH529" i="1"/>
  <c r="CL530" i="1"/>
  <c r="CM530" i="1"/>
  <c r="CN530" i="1"/>
  <c r="CO530" i="1"/>
  <c r="CP530" i="1"/>
  <c r="CQ530" i="1"/>
  <c r="CR530" i="1"/>
  <c r="CS530" i="1"/>
  <c r="CT530" i="1"/>
  <c r="CU530" i="1"/>
  <c r="CV530" i="1"/>
  <c r="CW530" i="1"/>
  <c r="CX530" i="1"/>
  <c r="CY530" i="1"/>
  <c r="CZ530" i="1"/>
  <c r="DA530" i="1"/>
  <c r="DB530" i="1"/>
  <c r="DC530" i="1"/>
  <c r="DD530" i="1"/>
  <c r="DE530" i="1"/>
  <c r="DF530" i="1"/>
  <c r="DG530" i="1"/>
  <c r="DH530" i="1"/>
  <c r="CL531" i="1"/>
  <c r="CM531" i="1"/>
  <c r="CN531" i="1"/>
  <c r="CO531" i="1"/>
  <c r="CP531" i="1"/>
  <c r="CQ531" i="1"/>
  <c r="CR531" i="1"/>
  <c r="CS531" i="1"/>
  <c r="CT531" i="1"/>
  <c r="CU531" i="1"/>
  <c r="CV531" i="1"/>
  <c r="CW531" i="1"/>
  <c r="CX531" i="1"/>
  <c r="CY531" i="1"/>
  <c r="CZ531" i="1"/>
  <c r="DA531" i="1"/>
  <c r="DB531" i="1"/>
  <c r="DC531" i="1"/>
  <c r="DD531" i="1"/>
  <c r="DE531" i="1"/>
  <c r="DF531" i="1"/>
  <c r="DG531" i="1"/>
  <c r="DH531" i="1"/>
  <c r="CL532" i="1"/>
  <c r="CM532" i="1"/>
  <c r="CN532" i="1"/>
  <c r="CO532" i="1"/>
  <c r="CP532" i="1"/>
  <c r="CQ532" i="1"/>
  <c r="CR532" i="1"/>
  <c r="CS532" i="1"/>
  <c r="CT532" i="1"/>
  <c r="CU532" i="1"/>
  <c r="CV532" i="1"/>
  <c r="CW532" i="1"/>
  <c r="CX532" i="1"/>
  <c r="CY532" i="1"/>
  <c r="CZ532" i="1"/>
  <c r="DA532" i="1"/>
  <c r="DB532" i="1"/>
  <c r="DC532" i="1"/>
  <c r="DD532" i="1"/>
  <c r="DE532" i="1"/>
  <c r="DF532" i="1"/>
  <c r="DG532" i="1"/>
  <c r="DH532" i="1"/>
  <c r="CL533" i="1"/>
  <c r="CM533" i="1"/>
  <c r="CN533" i="1"/>
  <c r="CO533" i="1"/>
  <c r="CP533" i="1"/>
  <c r="CQ533" i="1"/>
  <c r="CR533" i="1"/>
  <c r="CS533" i="1"/>
  <c r="CT533" i="1"/>
  <c r="CU533" i="1"/>
  <c r="CV533" i="1"/>
  <c r="CW533" i="1"/>
  <c r="CX533" i="1"/>
  <c r="CY533" i="1"/>
  <c r="CZ533" i="1"/>
  <c r="DA533" i="1"/>
  <c r="DB533" i="1"/>
  <c r="DC533" i="1"/>
  <c r="DD533" i="1"/>
  <c r="DE533" i="1"/>
  <c r="DF533" i="1"/>
  <c r="DG533" i="1"/>
  <c r="DH533" i="1"/>
  <c r="CL534" i="1"/>
  <c r="CM534" i="1"/>
  <c r="CN534" i="1"/>
  <c r="CO534" i="1"/>
  <c r="CP534" i="1"/>
  <c r="CQ534" i="1"/>
  <c r="CR534" i="1"/>
  <c r="CS534" i="1"/>
  <c r="CT534" i="1"/>
  <c r="CU534" i="1"/>
  <c r="CV534" i="1"/>
  <c r="CW534" i="1"/>
  <c r="CX534" i="1"/>
  <c r="CY534" i="1"/>
  <c r="CZ534" i="1"/>
  <c r="DA534" i="1"/>
  <c r="DB534" i="1"/>
  <c r="DC534" i="1"/>
  <c r="DD534" i="1"/>
  <c r="DE534" i="1"/>
  <c r="DF534" i="1"/>
  <c r="DG534" i="1"/>
  <c r="DH534" i="1"/>
  <c r="CL535" i="1"/>
  <c r="CM535" i="1"/>
  <c r="CN535" i="1"/>
  <c r="CO535" i="1"/>
  <c r="CP535" i="1"/>
  <c r="CQ535" i="1"/>
  <c r="CR535" i="1"/>
  <c r="CS535" i="1"/>
  <c r="CT535" i="1"/>
  <c r="CU535" i="1"/>
  <c r="CV535" i="1"/>
  <c r="CW535" i="1"/>
  <c r="CX535" i="1"/>
  <c r="CY535" i="1"/>
  <c r="CZ535" i="1"/>
  <c r="DA535" i="1"/>
  <c r="DB535" i="1"/>
  <c r="DC535" i="1"/>
  <c r="DD535" i="1"/>
  <c r="DE535" i="1"/>
  <c r="DF535" i="1"/>
  <c r="DG535" i="1"/>
  <c r="DH535" i="1"/>
  <c r="CL536" i="1"/>
  <c r="CM536" i="1"/>
  <c r="CN536" i="1"/>
  <c r="CO536" i="1"/>
  <c r="CP536" i="1"/>
  <c r="CQ536" i="1"/>
  <c r="CR536" i="1"/>
  <c r="CS536" i="1"/>
  <c r="CT536" i="1"/>
  <c r="CU536" i="1"/>
  <c r="CV536" i="1"/>
  <c r="CW536" i="1"/>
  <c r="CX536" i="1"/>
  <c r="CY536" i="1"/>
  <c r="CZ536" i="1"/>
  <c r="DA536" i="1"/>
  <c r="DB536" i="1"/>
  <c r="DC536" i="1"/>
  <c r="DD536" i="1"/>
  <c r="DE536" i="1"/>
  <c r="DF536" i="1"/>
  <c r="DG536" i="1"/>
  <c r="DH536" i="1"/>
  <c r="CL537" i="1"/>
  <c r="CM537" i="1"/>
  <c r="CN537" i="1"/>
  <c r="CO537" i="1"/>
  <c r="CP537" i="1"/>
  <c r="CQ537" i="1"/>
  <c r="CR537" i="1"/>
  <c r="CS537" i="1"/>
  <c r="CT537" i="1"/>
  <c r="CU537" i="1"/>
  <c r="CV537" i="1"/>
  <c r="CW537" i="1"/>
  <c r="CX537" i="1"/>
  <c r="CY537" i="1"/>
  <c r="CZ537" i="1"/>
  <c r="DA537" i="1"/>
  <c r="DB537" i="1"/>
  <c r="DC537" i="1"/>
  <c r="DD537" i="1"/>
  <c r="DE537" i="1"/>
  <c r="DF537" i="1"/>
  <c r="DG537" i="1"/>
  <c r="DH537" i="1"/>
  <c r="CL538" i="1"/>
  <c r="CM538" i="1"/>
  <c r="CN538" i="1"/>
  <c r="CO538" i="1"/>
  <c r="CP538" i="1"/>
  <c r="CQ538" i="1"/>
  <c r="CR538" i="1"/>
  <c r="CS538" i="1"/>
  <c r="CT538" i="1"/>
  <c r="CU538" i="1"/>
  <c r="CV538" i="1"/>
  <c r="CW538" i="1"/>
  <c r="CX538" i="1"/>
  <c r="CY538" i="1"/>
  <c r="CZ538" i="1"/>
  <c r="DA538" i="1"/>
  <c r="DB538" i="1"/>
  <c r="DC538" i="1"/>
  <c r="DD538" i="1"/>
  <c r="DE538" i="1"/>
  <c r="DF538" i="1"/>
  <c r="DG538" i="1"/>
  <c r="DH538" i="1"/>
  <c r="CL539" i="1"/>
  <c r="CM539" i="1"/>
  <c r="CN539" i="1"/>
  <c r="CO539" i="1"/>
  <c r="CP539" i="1"/>
  <c r="CQ539" i="1"/>
  <c r="CR539" i="1"/>
  <c r="CS539" i="1"/>
  <c r="CT539" i="1"/>
  <c r="CU539" i="1"/>
  <c r="CV539" i="1"/>
  <c r="CW539" i="1"/>
  <c r="CX539" i="1"/>
  <c r="CY539" i="1"/>
  <c r="CZ539" i="1"/>
  <c r="DA539" i="1"/>
  <c r="DB539" i="1"/>
  <c r="DC539" i="1"/>
  <c r="DD539" i="1"/>
  <c r="DE539" i="1"/>
  <c r="DF539" i="1"/>
  <c r="DG539" i="1"/>
  <c r="DH539" i="1"/>
  <c r="CL540" i="1"/>
  <c r="CM540" i="1"/>
  <c r="CN540" i="1"/>
  <c r="CO540" i="1"/>
  <c r="CP540" i="1"/>
  <c r="CQ540" i="1"/>
  <c r="CR540" i="1"/>
  <c r="CS540" i="1"/>
  <c r="CT540" i="1"/>
  <c r="CU540" i="1"/>
  <c r="CV540" i="1"/>
  <c r="CW540" i="1"/>
  <c r="CX540" i="1"/>
  <c r="CY540" i="1"/>
  <c r="CZ540" i="1"/>
  <c r="DA540" i="1"/>
  <c r="DB540" i="1"/>
  <c r="DC540" i="1"/>
  <c r="DD540" i="1"/>
  <c r="DE540" i="1"/>
  <c r="DF540" i="1"/>
  <c r="DG540" i="1"/>
  <c r="DH540" i="1"/>
  <c r="CL541" i="1"/>
  <c r="CM541" i="1"/>
  <c r="CN541" i="1"/>
  <c r="CO541" i="1"/>
  <c r="CP541" i="1"/>
  <c r="CQ541" i="1"/>
  <c r="CR541" i="1"/>
  <c r="CS541" i="1"/>
  <c r="CT541" i="1"/>
  <c r="CU541" i="1"/>
  <c r="CV541" i="1"/>
  <c r="CW541" i="1"/>
  <c r="CX541" i="1"/>
  <c r="CY541" i="1"/>
  <c r="CZ541" i="1"/>
  <c r="DA541" i="1"/>
  <c r="DB541" i="1"/>
  <c r="DC541" i="1"/>
  <c r="DD541" i="1"/>
  <c r="DE541" i="1"/>
  <c r="DF541" i="1"/>
  <c r="DG541" i="1"/>
  <c r="DH541" i="1"/>
  <c r="CL542" i="1"/>
  <c r="CM542" i="1"/>
  <c r="CN542" i="1"/>
  <c r="CO542" i="1"/>
  <c r="CP542" i="1"/>
  <c r="CQ542" i="1"/>
  <c r="CR542" i="1"/>
  <c r="CS542" i="1"/>
  <c r="CT542" i="1"/>
  <c r="CU542" i="1"/>
  <c r="CV542" i="1"/>
  <c r="CW542" i="1"/>
  <c r="CX542" i="1"/>
  <c r="CY542" i="1"/>
  <c r="CZ542" i="1"/>
  <c r="DA542" i="1"/>
  <c r="DB542" i="1"/>
  <c r="DC542" i="1"/>
  <c r="DD542" i="1"/>
  <c r="DE542" i="1"/>
  <c r="DF542" i="1"/>
  <c r="DG542" i="1"/>
  <c r="DH542" i="1"/>
  <c r="CL543" i="1"/>
  <c r="CM543" i="1"/>
  <c r="CN543" i="1"/>
  <c r="CO543" i="1"/>
  <c r="CP543" i="1"/>
  <c r="CQ543" i="1"/>
  <c r="CR543" i="1"/>
  <c r="CS543" i="1"/>
  <c r="CT543" i="1"/>
  <c r="CU543" i="1"/>
  <c r="CV543" i="1"/>
  <c r="CW543" i="1"/>
  <c r="CX543" i="1"/>
  <c r="CY543" i="1"/>
  <c r="CZ543" i="1"/>
  <c r="DA543" i="1"/>
  <c r="DB543" i="1"/>
  <c r="DC543" i="1"/>
  <c r="DD543" i="1"/>
  <c r="DE543" i="1"/>
  <c r="DF543" i="1"/>
  <c r="DG543" i="1"/>
  <c r="DH543" i="1"/>
  <c r="CL544" i="1"/>
  <c r="CM544" i="1"/>
  <c r="CN544" i="1"/>
  <c r="CO544" i="1"/>
  <c r="CP544" i="1"/>
  <c r="CQ544" i="1"/>
  <c r="CR544" i="1"/>
  <c r="CS544" i="1"/>
  <c r="CT544" i="1"/>
  <c r="CU544" i="1"/>
  <c r="CV544" i="1"/>
  <c r="CW544" i="1"/>
  <c r="CX544" i="1"/>
  <c r="CY544" i="1"/>
  <c r="CZ544" i="1"/>
  <c r="DA544" i="1"/>
  <c r="DB544" i="1"/>
  <c r="DC544" i="1"/>
  <c r="DD544" i="1"/>
  <c r="DE544" i="1"/>
  <c r="DF544" i="1"/>
  <c r="DG544" i="1"/>
  <c r="DH544" i="1"/>
  <c r="CL545" i="1"/>
  <c r="CM545" i="1"/>
  <c r="CN545" i="1"/>
  <c r="CO545" i="1"/>
  <c r="CP545" i="1"/>
  <c r="CQ545" i="1"/>
  <c r="CR545" i="1"/>
  <c r="CS545" i="1"/>
  <c r="CT545" i="1"/>
  <c r="CU545" i="1"/>
  <c r="CV545" i="1"/>
  <c r="CW545" i="1"/>
  <c r="CX545" i="1"/>
  <c r="CY545" i="1"/>
  <c r="CZ545" i="1"/>
  <c r="DA545" i="1"/>
  <c r="DB545" i="1"/>
  <c r="DC545" i="1"/>
  <c r="DD545" i="1"/>
  <c r="DE545" i="1"/>
  <c r="DF545" i="1"/>
  <c r="DG545" i="1"/>
  <c r="DH545" i="1"/>
  <c r="CL546" i="1"/>
  <c r="CM546" i="1"/>
  <c r="CN546" i="1"/>
  <c r="CO546" i="1"/>
  <c r="CP546" i="1"/>
  <c r="CQ546" i="1"/>
  <c r="CR546" i="1"/>
  <c r="CS546" i="1"/>
  <c r="CT546" i="1"/>
  <c r="CU546" i="1"/>
  <c r="CV546" i="1"/>
  <c r="CW546" i="1"/>
  <c r="CX546" i="1"/>
  <c r="CY546" i="1"/>
  <c r="CZ546" i="1"/>
  <c r="DA546" i="1"/>
  <c r="DB546" i="1"/>
  <c r="DC546" i="1"/>
  <c r="DD546" i="1"/>
  <c r="DE546" i="1"/>
  <c r="DF546" i="1"/>
  <c r="DG546" i="1"/>
  <c r="DH546" i="1"/>
  <c r="CL547" i="1"/>
  <c r="CM547" i="1"/>
  <c r="CN547" i="1"/>
  <c r="CO547" i="1"/>
  <c r="CP547" i="1"/>
  <c r="CQ547" i="1"/>
  <c r="CR547" i="1"/>
  <c r="CS547" i="1"/>
  <c r="CT547" i="1"/>
  <c r="CU547" i="1"/>
  <c r="CV547" i="1"/>
  <c r="CW547" i="1"/>
  <c r="CX547" i="1"/>
  <c r="CY547" i="1"/>
  <c r="CZ547" i="1"/>
  <c r="DA547" i="1"/>
  <c r="DB547" i="1"/>
  <c r="DC547" i="1"/>
  <c r="DD547" i="1"/>
  <c r="DE547" i="1"/>
  <c r="DF547" i="1"/>
  <c r="DG547" i="1"/>
  <c r="DH547" i="1"/>
  <c r="CL548" i="1"/>
  <c r="CM548" i="1"/>
  <c r="CN548" i="1"/>
  <c r="CO548" i="1"/>
  <c r="CP548" i="1"/>
  <c r="CQ548" i="1"/>
  <c r="CR548" i="1"/>
  <c r="CS548" i="1"/>
  <c r="CT548" i="1"/>
  <c r="CU548" i="1"/>
  <c r="CV548" i="1"/>
  <c r="CW548" i="1"/>
  <c r="CX548" i="1"/>
  <c r="CY548" i="1"/>
  <c r="CZ548" i="1"/>
  <c r="DA548" i="1"/>
  <c r="DB548" i="1"/>
  <c r="DC548" i="1"/>
  <c r="DD548" i="1"/>
  <c r="DE548" i="1"/>
  <c r="DF548" i="1"/>
  <c r="DG548" i="1"/>
  <c r="DH548" i="1"/>
  <c r="CL549" i="1"/>
  <c r="CM549" i="1"/>
  <c r="CN549" i="1"/>
  <c r="CO549" i="1"/>
  <c r="CP549" i="1"/>
  <c r="CQ549" i="1"/>
  <c r="CR549" i="1"/>
  <c r="CS549" i="1"/>
  <c r="CT549" i="1"/>
  <c r="CU549" i="1"/>
  <c r="CV549" i="1"/>
  <c r="CW549" i="1"/>
  <c r="CX549" i="1"/>
  <c r="CY549" i="1"/>
  <c r="CZ549" i="1"/>
  <c r="DA549" i="1"/>
  <c r="DB549" i="1"/>
  <c r="DC549" i="1"/>
  <c r="DD549" i="1"/>
  <c r="DE549" i="1"/>
  <c r="DF549" i="1"/>
  <c r="DG549" i="1"/>
  <c r="DH549" i="1"/>
  <c r="CL550" i="1"/>
  <c r="CM550" i="1"/>
  <c r="CN550" i="1"/>
  <c r="CO550" i="1"/>
  <c r="CP550" i="1"/>
  <c r="CQ550" i="1"/>
  <c r="CR550" i="1"/>
  <c r="CS550" i="1"/>
  <c r="CT550" i="1"/>
  <c r="CU550" i="1"/>
  <c r="CV550" i="1"/>
  <c r="CW550" i="1"/>
  <c r="CX550" i="1"/>
  <c r="CY550" i="1"/>
  <c r="CZ550" i="1"/>
  <c r="DA550" i="1"/>
  <c r="DB550" i="1"/>
  <c r="DC550" i="1"/>
  <c r="DD550" i="1"/>
  <c r="DE550" i="1"/>
  <c r="DF550" i="1"/>
  <c r="DG550" i="1"/>
  <c r="DH550" i="1"/>
  <c r="CL551" i="1"/>
  <c r="CM551" i="1"/>
  <c r="CN551" i="1"/>
  <c r="CO551" i="1"/>
  <c r="CP551" i="1"/>
  <c r="CQ551" i="1"/>
  <c r="CR551" i="1"/>
  <c r="CS551" i="1"/>
  <c r="CT551" i="1"/>
  <c r="CU551" i="1"/>
  <c r="CV551" i="1"/>
  <c r="CW551" i="1"/>
  <c r="CX551" i="1"/>
  <c r="CY551" i="1"/>
  <c r="CZ551" i="1"/>
  <c r="DA551" i="1"/>
  <c r="DB551" i="1"/>
  <c r="DC551" i="1"/>
  <c r="DD551" i="1"/>
  <c r="DE551" i="1"/>
  <c r="DF551" i="1"/>
  <c r="DG551" i="1"/>
  <c r="DH551" i="1"/>
  <c r="CL552" i="1"/>
  <c r="CM552" i="1"/>
  <c r="CN552" i="1"/>
  <c r="CO552" i="1"/>
  <c r="CP552" i="1"/>
  <c r="CQ552" i="1"/>
  <c r="CR552" i="1"/>
  <c r="CS552" i="1"/>
  <c r="CT552" i="1"/>
  <c r="CU552" i="1"/>
  <c r="CV552" i="1"/>
  <c r="CW552" i="1"/>
  <c r="CX552" i="1"/>
  <c r="CY552" i="1"/>
  <c r="CZ552" i="1"/>
  <c r="DA552" i="1"/>
  <c r="DB552" i="1"/>
  <c r="DC552" i="1"/>
  <c r="DD552" i="1"/>
  <c r="DE552" i="1"/>
  <c r="DF552" i="1"/>
  <c r="DG552" i="1"/>
  <c r="DH552" i="1"/>
  <c r="CL553" i="1"/>
  <c r="CM553" i="1"/>
  <c r="CN553" i="1"/>
  <c r="CO553" i="1"/>
  <c r="CP553" i="1"/>
  <c r="CQ553" i="1"/>
  <c r="CR553" i="1"/>
  <c r="CS553" i="1"/>
  <c r="CT553" i="1"/>
  <c r="CU553" i="1"/>
  <c r="CV553" i="1"/>
  <c r="CW553" i="1"/>
  <c r="CX553" i="1"/>
  <c r="CY553" i="1"/>
  <c r="CZ553" i="1"/>
  <c r="DA553" i="1"/>
  <c r="DB553" i="1"/>
  <c r="DC553" i="1"/>
  <c r="DD553" i="1"/>
  <c r="DE553" i="1"/>
  <c r="DF553" i="1"/>
  <c r="DG553" i="1"/>
  <c r="DH553" i="1"/>
  <c r="CL554" i="1"/>
  <c r="CM554" i="1"/>
  <c r="CN554" i="1"/>
  <c r="CO554" i="1"/>
  <c r="CP554" i="1"/>
  <c r="CQ554" i="1"/>
  <c r="CR554" i="1"/>
  <c r="CS554" i="1"/>
  <c r="CT554" i="1"/>
  <c r="CU554" i="1"/>
  <c r="CV554" i="1"/>
  <c r="CW554" i="1"/>
  <c r="CX554" i="1"/>
  <c r="CY554" i="1"/>
  <c r="CZ554" i="1"/>
  <c r="DA554" i="1"/>
  <c r="DB554" i="1"/>
  <c r="DC554" i="1"/>
  <c r="DD554" i="1"/>
  <c r="DE554" i="1"/>
  <c r="DF554" i="1"/>
  <c r="DG554" i="1"/>
  <c r="DH554" i="1"/>
  <c r="CL555" i="1"/>
  <c r="CM555" i="1"/>
  <c r="CN555" i="1"/>
  <c r="CO555" i="1"/>
  <c r="CP555" i="1"/>
  <c r="CQ555" i="1"/>
  <c r="CR555" i="1"/>
  <c r="CS555" i="1"/>
  <c r="CT555" i="1"/>
  <c r="CU555" i="1"/>
  <c r="CV555" i="1"/>
  <c r="CW555" i="1"/>
  <c r="CX555" i="1"/>
  <c r="CY555" i="1"/>
  <c r="CZ555" i="1"/>
  <c r="DA555" i="1"/>
  <c r="DB555" i="1"/>
  <c r="DC555" i="1"/>
  <c r="DD555" i="1"/>
  <c r="DE555" i="1"/>
  <c r="DF555" i="1"/>
  <c r="DG555" i="1"/>
  <c r="DH555" i="1"/>
  <c r="CL556" i="1"/>
  <c r="CM556" i="1"/>
  <c r="CN556" i="1"/>
  <c r="CO556" i="1"/>
  <c r="CP556" i="1"/>
  <c r="CQ556" i="1"/>
  <c r="CR556" i="1"/>
  <c r="CS556" i="1"/>
  <c r="CT556" i="1"/>
  <c r="CU556" i="1"/>
  <c r="CV556" i="1"/>
  <c r="CW556" i="1"/>
  <c r="CX556" i="1"/>
  <c r="CY556" i="1"/>
  <c r="CZ556" i="1"/>
  <c r="DA556" i="1"/>
  <c r="DB556" i="1"/>
  <c r="DC556" i="1"/>
  <c r="DD556" i="1"/>
  <c r="DE556" i="1"/>
  <c r="DF556" i="1"/>
  <c r="DG556" i="1"/>
  <c r="DH556" i="1"/>
  <c r="CL557" i="1"/>
  <c r="CM557" i="1"/>
  <c r="CN557" i="1"/>
  <c r="CO557" i="1"/>
  <c r="CP557" i="1"/>
  <c r="CQ557" i="1"/>
  <c r="CR557" i="1"/>
  <c r="CS557" i="1"/>
  <c r="CT557" i="1"/>
  <c r="CU557" i="1"/>
  <c r="CV557" i="1"/>
  <c r="CW557" i="1"/>
  <c r="CX557" i="1"/>
  <c r="CY557" i="1"/>
  <c r="CZ557" i="1"/>
  <c r="DA557" i="1"/>
  <c r="DB557" i="1"/>
  <c r="DC557" i="1"/>
  <c r="DD557" i="1"/>
  <c r="DE557" i="1"/>
  <c r="DF557" i="1"/>
  <c r="DG557" i="1"/>
  <c r="DH557" i="1"/>
  <c r="CL558" i="1"/>
  <c r="CM558" i="1"/>
  <c r="CN558" i="1"/>
  <c r="CO558" i="1"/>
  <c r="CP558" i="1"/>
  <c r="CQ558" i="1"/>
  <c r="CR558" i="1"/>
  <c r="CS558" i="1"/>
  <c r="CT558" i="1"/>
  <c r="CU558" i="1"/>
  <c r="CV558" i="1"/>
  <c r="CW558" i="1"/>
  <c r="CX558" i="1"/>
  <c r="CY558" i="1"/>
  <c r="CZ558" i="1"/>
  <c r="DA558" i="1"/>
  <c r="DB558" i="1"/>
  <c r="DC558" i="1"/>
  <c r="DD558" i="1"/>
  <c r="DE558" i="1"/>
  <c r="DF558" i="1"/>
  <c r="DG558" i="1"/>
  <c r="DH558" i="1"/>
  <c r="CL559" i="1"/>
  <c r="CM559" i="1"/>
  <c r="CN559" i="1"/>
  <c r="CO559" i="1"/>
  <c r="CP559" i="1"/>
  <c r="CQ559" i="1"/>
  <c r="CR559" i="1"/>
  <c r="CS559" i="1"/>
  <c r="CT559" i="1"/>
  <c r="CU559" i="1"/>
  <c r="CV559" i="1"/>
  <c r="CW559" i="1"/>
  <c r="CX559" i="1"/>
  <c r="CY559" i="1"/>
  <c r="CZ559" i="1"/>
  <c r="DA559" i="1"/>
  <c r="DB559" i="1"/>
  <c r="DC559" i="1"/>
  <c r="DD559" i="1"/>
  <c r="DE559" i="1"/>
  <c r="DF559" i="1"/>
  <c r="DG559" i="1"/>
  <c r="DH559" i="1"/>
  <c r="CL560" i="1"/>
  <c r="CM560" i="1"/>
  <c r="CN560" i="1"/>
  <c r="CO560" i="1"/>
  <c r="CP560" i="1"/>
  <c r="CQ560" i="1"/>
  <c r="CR560" i="1"/>
  <c r="CS560" i="1"/>
  <c r="CT560" i="1"/>
  <c r="CU560" i="1"/>
  <c r="CV560" i="1"/>
  <c r="CW560" i="1"/>
  <c r="CX560" i="1"/>
  <c r="CY560" i="1"/>
  <c r="CZ560" i="1"/>
  <c r="DA560" i="1"/>
  <c r="DB560" i="1"/>
  <c r="DC560" i="1"/>
  <c r="DD560" i="1"/>
  <c r="DE560" i="1"/>
  <c r="DF560" i="1"/>
  <c r="DG560" i="1"/>
  <c r="DH560" i="1"/>
  <c r="CL561" i="1"/>
  <c r="CM561" i="1"/>
  <c r="CN561" i="1"/>
  <c r="CO561" i="1"/>
  <c r="CP561" i="1"/>
  <c r="CQ561" i="1"/>
  <c r="CR561" i="1"/>
  <c r="CS561" i="1"/>
  <c r="CT561" i="1"/>
  <c r="CU561" i="1"/>
  <c r="CV561" i="1"/>
  <c r="CW561" i="1"/>
  <c r="CX561" i="1"/>
  <c r="CY561" i="1"/>
  <c r="CZ561" i="1"/>
  <c r="DA561" i="1"/>
  <c r="DB561" i="1"/>
  <c r="DC561" i="1"/>
  <c r="DD561" i="1"/>
  <c r="DE561" i="1"/>
  <c r="DF561" i="1"/>
  <c r="DG561" i="1"/>
  <c r="DH561" i="1"/>
  <c r="CL562" i="1"/>
  <c r="CM562" i="1"/>
  <c r="CN562" i="1"/>
  <c r="CO562" i="1"/>
  <c r="CP562" i="1"/>
  <c r="CQ562" i="1"/>
  <c r="CR562" i="1"/>
  <c r="CS562" i="1"/>
  <c r="CT562" i="1"/>
  <c r="CU562" i="1"/>
  <c r="CV562" i="1"/>
  <c r="CW562" i="1"/>
  <c r="CX562" i="1"/>
  <c r="CY562" i="1"/>
  <c r="CZ562" i="1"/>
  <c r="DA562" i="1"/>
  <c r="DB562" i="1"/>
  <c r="DC562" i="1"/>
  <c r="DD562" i="1"/>
  <c r="DE562" i="1"/>
  <c r="DF562" i="1"/>
  <c r="DG562" i="1"/>
  <c r="DH562" i="1"/>
  <c r="CL563" i="1"/>
  <c r="CM563" i="1"/>
  <c r="CN563" i="1"/>
  <c r="CO563" i="1"/>
  <c r="CP563" i="1"/>
  <c r="CQ563" i="1"/>
  <c r="CR563" i="1"/>
  <c r="CS563" i="1"/>
  <c r="CT563" i="1"/>
  <c r="CU563" i="1"/>
  <c r="CV563" i="1"/>
  <c r="CW563" i="1"/>
  <c r="CX563" i="1"/>
  <c r="CY563" i="1"/>
  <c r="CZ563" i="1"/>
  <c r="DA563" i="1"/>
  <c r="DB563" i="1"/>
  <c r="DC563" i="1"/>
  <c r="DD563" i="1"/>
  <c r="DE563" i="1"/>
  <c r="DF563" i="1"/>
  <c r="DG563" i="1"/>
  <c r="DH563" i="1"/>
  <c r="CL564" i="1"/>
  <c r="CM564" i="1"/>
  <c r="CN564" i="1"/>
  <c r="CO564" i="1"/>
  <c r="CP564" i="1"/>
  <c r="CQ564" i="1"/>
  <c r="CR564" i="1"/>
  <c r="CS564" i="1"/>
  <c r="CT564" i="1"/>
  <c r="CU564" i="1"/>
  <c r="CV564" i="1"/>
  <c r="CW564" i="1"/>
  <c r="CX564" i="1"/>
  <c r="CY564" i="1"/>
  <c r="CZ564" i="1"/>
  <c r="DA564" i="1"/>
  <c r="DB564" i="1"/>
  <c r="DC564" i="1"/>
  <c r="DD564" i="1"/>
  <c r="DE564" i="1"/>
  <c r="DF564" i="1"/>
  <c r="DG564" i="1"/>
  <c r="DH564" i="1"/>
  <c r="CL565" i="1"/>
  <c r="CM565" i="1"/>
  <c r="CN565" i="1"/>
  <c r="CO565" i="1"/>
  <c r="CP565" i="1"/>
  <c r="CQ565" i="1"/>
  <c r="CR565" i="1"/>
  <c r="CS565" i="1"/>
  <c r="CT565" i="1"/>
  <c r="CU565" i="1"/>
  <c r="CV565" i="1"/>
  <c r="CW565" i="1"/>
  <c r="CX565" i="1"/>
  <c r="CY565" i="1"/>
  <c r="CZ565" i="1"/>
  <c r="DA565" i="1"/>
  <c r="DB565" i="1"/>
  <c r="DC565" i="1"/>
  <c r="DD565" i="1"/>
  <c r="DE565" i="1"/>
  <c r="DF565" i="1"/>
  <c r="DG565" i="1"/>
  <c r="DH565" i="1"/>
  <c r="CL566" i="1"/>
  <c r="CM566" i="1"/>
  <c r="CN566" i="1"/>
  <c r="CO566" i="1"/>
  <c r="CP566" i="1"/>
  <c r="CQ566" i="1"/>
  <c r="CR566" i="1"/>
  <c r="CS566" i="1"/>
  <c r="CT566" i="1"/>
  <c r="CU566" i="1"/>
  <c r="CV566" i="1"/>
  <c r="CW566" i="1"/>
  <c r="CX566" i="1"/>
  <c r="CY566" i="1"/>
  <c r="CZ566" i="1"/>
  <c r="DA566" i="1"/>
  <c r="DB566" i="1"/>
  <c r="DC566" i="1"/>
  <c r="DD566" i="1"/>
  <c r="DE566" i="1"/>
  <c r="DF566" i="1"/>
  <c r="DG566" i="1"/>
  <c r="DH566" i="1"/>
  <c r="CL567" i="1"/>
  <c r="CM567" i="1"/>
  <c r="CN567" i="1"/>
  <c r="CO567" i="1"/>
  <c r="CP567" i="1"/>
  <c r="CQ567" i="1"/>
  <c r="CR567" i="1"/>
  <c r="CS567" i="1"/>
  <c r="CT567" i="1"/>
  <c r="CU567" i="1"/>
  <c r="CV567" i="1"/>
  <c r="CW567" i="1"/>
  <c r="CX567" i="1"/>
  <c r="CY567" i="1"/>
  <c r="CZ567" i="1"/>
  <c r="DA567" i="1"/>
  <c r="DB567" i="1"/>
  <c r="DC567" i="1"/>
  <c r="DD567" i="1"/>
  <c r="DE567" i="1"/>
  <c r="DF567" i="1"/>
  <c r="DG567" i="1"/>
  <c r="DH567" i="1"/>
  <c r="CL568" i="1"/>
  <c r="CM568" i="1"/>
  <c r="CN568" i="1"/>
  <c r="CO568" i="1"/>
  <c r="CP568" i="1"/>
  <c r="CQ568" i="1"/>
  <c r="CR568" i="1"/>
  <c r="CS568" i="1"/>
  <c r="CT568" i="1"/>
  <c r="CU568" i="1"/>
  <c r="CV568" i="1"/>
  <c r="CW568" i="1"/>
  <c r="CX568" i="1"/>
  <c r="CY568" i="1"/>
  <c r="CZ568" i="1"/>
  <c r="DA568" i="1"/>
  <c r="DB568" i="1"/>
  <c r="DC568" i="1"/>
  <c r="DD568" i="1"/>
  <c r="DE568" i="1"/>
  <c r="DF568" i="1"/>
  <c r="DG568" i="1"/>
  <c r="DH568" i="1"/>
  <c r="CL569" i="1"/>
  <c r="CM569" i="1"/>
  <c r="CN569" i="1"/>
  <c r="CO569" i="1"/>
  <c r="CP569" i="1"/>
  <c r="CQ569" i="1"/>
  <c r="CR569" i="1"/>
  <c r="CS569" i="1"/>
  <c r="CT569" i="1"/>
  <c r="CU569" i="1"/>
  <c r="CV569" i="1"/>
  <c r="CW569" i="1"/>
  <c r="CX569" i="1"/>
  <c r="CY569" i="1"/>
  <c r="CZ569" i="1"/>
  <c r="DA569" i="1"/>
  <c r="DB569" i="1"/>
  <c r="DC569" i="1"/>
  <c r="DD569" i="1"/>
  <c r="DE569" i="1"/>
  <c r="DF569" i="1"/>
  <c r="DG569" i="1"/>
  <c r="DH569" i="1"/>
  <c r="CL570" i="1"/>
  <c r="CM570" i="1"/>
  <c r="CN570" i="1"/>
  <c r="CO570" i="1"/>
  <c r="CP570" i="1"/>
  <c r="CQ570" i="1"/>
  <c r="CR570" i="1"/>
  <c r="CS570" i="1"/>
  <c r="CT570" i="1"/>
  <c r="CU570" i="1"/>
  <c r="CV570" i="1"/>
  <c r="CW570" i="1"/>
  <c r="CX570" i="1"/>
  <c r="CY570" i="1"/>
  <c r="CZ570" i="1"/>
  <c r="DA570" i="1"/>
  <c r="DB570" i="1"/>
  <c r="DC570" i="1"/>
  <c r="DD570" i="1"/>
  <c r="DE570" i="1"/>
  <c r="DF570" i="1"/>
  <c r="DG570" i="1"/>
  <c r="DH570" i="1"/>
  <c r="CL571" i="1"/>
  <c r="CM571" i="1"/>
  <c r="CN571" i="1"/>
  <c r="CO571" i="1"/>
  <c r="CP571" i="1"/>
  <c r="CQ571" i="1"/>
  <c r="CR571" i="1"/>
  <c r="CS571" i="1"/>
  <c r="CT571" i="1"/>
  <c r="CU571" i="1"/>
  <c r="CV571" i="1"/>
  <c r="CW571" i="1"/>
  <c r="CX571" i="1"/>
  <c r="CY571" i="1"/>
  <c r="CZ571" i="1"/>
  <c r="DA571" i="1"/>
  <c r="DB571" i="1"/>
  <c r="DC571" i="1"/>
  <c r="DD571" i="1"/>
  <c r="DE571" i="1"/>
  <c r="DF571" i="1"/>
  <c r="DG571" i="1"/>
  <c r="DH571" i="1"/>
  <c r="CL572" i="1"/>
  <c r="CM572" i="1"/>
  <c r="CN572" i="1"/>
  <c r="CO572" i="1"/>
  <c r="CP572" i="1"/>
  <c r="CQ572" i="1"/>
  <c r="CR572" i="1"/>
  <c r="CS572" i="1"/>
  <c r="CT572" i="1"/>
  <c r="CU572" i="1"/>
  <c r="CV572" i="1"/>
  <c r="CW572" i="1"/>
  <c r="CX572" i="1"/>
  <c r="CY572" i="1"/>
  <c r="CZ572" i="1"/>
  <c r="DA572" i="1"/>
  <c r="DB572" i="1"/>
  <c r="DC572" i="1"/>
  <c r="DD572" i="1"/>
  <c r="DE572" i="1"/>
  <c r="DF572" i="1"/>
  <c r="DG572" i="1"/>
  <c r="DH572" i="1"/>
  <c r="CL573" i="1"/>
  <c r="CM573" i="1"/>
  <c r="CN573" i="1"/>
  <c r="CO573" i="1"/>
  <c r="CP573" i="1"/>
  <c r="CQ573" i="1"/>
  <c r="CR573" i="1"/>
  <c r="CS573" i="1"/>
  <c r="CT573" i="1"/>
  <c r="CU573" i="1"/>
  <c r="CV573" i="1"/>
  <c r="CW573" i="1"/>
  <c r="CX573" i="1"/>
  <c r="CY573" i="1"/>
  <c r="CZ573" i="1"/>
  <c r="DA573" i="1"/>
  <c r="DB573" i="1"/>
  <c r="DC573" i="1"/>
  <c r="DD573" i="1"/>
  <c r="DE573" i="1"/>
  <c r="DF573" i="1"/>
  <c r="DG573" i="1"/>
  <c r="DH573" i="1"/>
  <c r="CL574" i="1"/>
  <c r="CM574" i="1"/>
  <c r="CN574" i="1"/>
  <c r="CO574" i="1"/>
  <c r="CP574" i="1"/>
  <c r="CQ574" i="1"/>
  <c r="CR574" i="1"/>
  <c r="CS574" i="1"/>
  <c r="CT574" i="1"/>
  <c r="CU574" i="1"/>
  <c r="CV574" i="1"/>
  <c r="CW574" i="1"/>
  <c r="CX574" i="1"/>
  <c r="CY574" i="1"/>
  <c r="CZ574" i="1"/>
  <c r="DA574" i="1"/>
  <c r="DB574" i="1"/>
  <c r="DC574" i="1"/>
  <c r="DD574" i="1"/>
  <c r="DE574" i="1"/>
  <c r="DF574" i="1"/>
  <c r="DG574" i="1"/>
  <c r="DH574" i="1"/>
  <c r="CL575" i="1"/>
  <c r="CM575" i="1"/>
  <c r="CN575" i="1"/>
  <c r="CO575" i="1"/>
  <c r="CP575" i="1"/>
  <c r="CQ575" i="1"/>
  <c r="CR575" i="1"/>
  <c r="CS575" i="1"/>
  <c r="CT575" i="1"/>
  <c r="CU575" i="1"/>
  <c r="CV575" i="1"/>
  <c r="CW575" i="1"/>
  <c r="CX575" i="1"/>
  <c r="CY575" i="1"/>
  <c r="CZ575" i="1"/>
  <c r="DA575" i="1"/>
  <c r="DB575" i="1"/>
  <c r="DC575" i="1"/>
  <c r="DD575" i="1"/>
  <c r="DE575" i="1"/>
  <c r="DF575" i="1"/>
  <c r="DG575" i="1"/>
  <c r="DH575" i="1"/>
  <c r="CL576" i="1"/>
  <c r="CM576" i="1"/>
  <c r="CN576" i="1"/>
  <c r="CO576" i="1"/>
  <c r="CP576" i="1"/>
  <c r="CQ576" i="1"/>
  <c r="CR576" i="1"/>
  <c r="CS576" i="1"/>
  <c r="CT576" i="1"/>
  <c r="CU576" i="1"/>
  <c r="CV576" i="1"/>
  <c r="CW576" i="1"/>
  <c r="CX576" i="1"/>
  <c r="CY576" i="1"/>
  <c r="CZ576" i="1"/>
  <c r="DA576" i="1"/>
  <c r="DB576" i="1"/>
  <c r="DC576" i="1"/>
  <c r="DD576" i="1"/>
  <c r="DE576" i="1"/>
  <c r="DF576" i="1"/>
  <c r="DG576" i="1"/>
  <c r="DH576" i="1"/>
  <c r="CL577" i="1"/>
  <c r="CM577" i="1"/>
  <c r="CN577" i="1"/>
  <c r="CO577" i="1"/>
  <c r="CP577" i="1"/>
  <c r="CQ577" i="1"/>
  <c r="CR577" i="1"/>
  <c r="CS577" i="1"/>
  <c r="CT577" i="1"/>
  <c r="CU577" i="1"/>
  <c r="CV577" i="1"/>
  <c r="CW577" i="1"/>
  <c r="CX577" i="1"/>
  <c r="CY577" i="1"/>
  <c r="CZ577" i="1"/>
  <c r="DA577" i="1"/>
  <c r="DB577" i="1"/>
  <c r="DC577" i="1"/>
  <c r="DD577" i="1"/>
  <c r="DE577" i="1"/>
  <c r="DF577" i="1"/>
  <c r="DG577" i="1"/>
  <c r="DH577" i="1"/>
  <c r="CL578" i="1"/>
  <c r="CM578" i="1"/>
  <c r="CN578" i="1"/>
  <c r="CO578" i="1"/>
  <c r="CP578" i="1"/>
  <c r="CQ578" i="1"/>
  <c r="CR578" i="1"/>
  <c r="CS578" i="1"/>
  <c r="CT578" i="1"/>
  <c r="CU578" i="1"/>
  <c r="CV578" i="1"/>
  <c r="CW578" i="1"/>
  <c r="CX578" i="1"/>
  <c r="CY578" i="1"/>
  <c r="CZ578" i="1"/>
  <c r="DA578" i="1"/>
  <c r="DB578" i="1"/>
  <c r="DC578" i="1"/>
  <c r="DD578" i="1"/>
  <c r="DE578" i="1"/>
  <c r="DF578" i="1"/>
  <c r="DG578" i="1"/>
  <c r="DH578" i="1"/>
  <c r="CL579" i="1"/>
  <c r="CM579" i="1"/>
  <c r="CN579" i="1"/>
  <c r="CO579" i="1"/>
  <c r="CP579" i="1"/>
  <c r="CQ579" i="1"/>
  <c r="CR579" i="1"/>
  <c r="CS579" i="1"/>
  <c r="CT579" i="1"/>
  <c r="CU579" i="1"/>
  <c r="CV579" i="1"/>
  <c r="CW579" i="1"/>
  <c r="CX579" i="1"/>
  <c r="CY579" i="1"/>
  <c r="CZ579" i="1"/>
  <c r="DA579" i="1"/>
  <c r="DB579" i="1"/>
  <c r="DC579" i="1"/>
  <c r="DD579" i="1"/>
  <c r="DE579" i="1"/>
  <c r="DF579" i="1"/>
  <c r="DG579" i="1"/>
  <c r="DH579" i="1"/>
  <c r="CL580" i="1"/>
  <c r="CM580" i="1"/>
  <c r="CN580" i="1"/>
  <c r="CO580" i="1"/>
  <c r="CP580" i="1"/>
  <c r="CQ580" i="1"/>
  <c r="CR580" i="1"/>
  <c r="CS580" i="1"/>
  <c r="CT580" i="1"/>
  <c r="CU580" i="1"/>
  <c r="CV580" i="1"/>
  <c r="CW580" i="1"/>
  <c r="CX580" i="1"/>
  <c r="CY580" i="1"/>
  <c r="CZ580" i="1"/>
  <c r="DA580" i="1"/>
  <c r="DB580" i="1"/>
  <c r="DC580" i="1"/>
  <c r="DD580" i="1"/>
  <c r="DE580" i="1"/>
  <c r="DF580" i="1"/>
  <c r="DG580" i="1"/>
  <c r="DH580" i="1"/>
  <c r="CL581" i="1"/>
  <c r="CM581" i="1"/>
  <c r="CN581" i="1"/>
  <c r="CO581" i="1"/>
  <c r="CP581" i="1"/>
  <c r="CQ581" i="1"/>
  <c r="CR581" i="1"/>
  <c r="CS581" i="1"/>
  <c r="CT581" i="1"/>
  <c r="CU581" i="1"/>
  <c r="CV581" i="1"/>
  <c r="CW581" i="1"/>
  <c r="CX581" i="1"/>
  <c r="CY581" i="1"/>
  <c r="CZ581" i="1"/>
  <c r="DA581" i="1"/>
  <c r="DB581" i="1"/>
  <c r="DC581" i="1"/>
  <c r="DD581" i="1"/>
  <c r="DE581" i="1"/>
  <c r="DF581" i="1"/>
  <c r="DG581" i="1"/>
  <c r="DH581" i="1"/>
  <c r="CL582" i="1"/>
  <c r="CM582" i="1"/>
  <c r="CN582" i="1"/>
  <c r="CO582" i="1"/>
  <c r="CP582" i="1"/>
  <c r="CQ582" i="1"/>
  <c r="CR582" i="1"/>
  <c r="CS582" i="1"/>
  <c r="CT582" i="1"/>
  <c r="CU582" i="1"/>
  <c r="CV582" i="1"/>
  <c r="CW582" i="1"/>
  <c r="CX582" i="1"/>
  <c r="CY582" i="1"/>
  <c r="CZ582" i="1"/>
  <c r="DA582" i="1"/>
  <c r="DB582" i="1"/>
  <c r="DC582" i="1"/>
  <c r="DD582" i="1"/>
  <c r="DE582" i="1"/>
  <c r="DF582" i="1"/>
  <c r="DG582" i="1"/>
  <c r="DH582" i="1"/>
  <c r="CL583" i="1"/>
  <c r="CM583" i="1"/>
  <c r="CN583" i="1"/>
  <c r="CO583" i="1"/>
  <c r="CP583" i="1"/>
  <c r="CQ583" i="1"/>
  <c r="CR583" i="1"/>
  <c r="CS583" i="1"/>
  <c r="CT583" i="1"/>
  <c r="CU583" i="1"/>
  <c r="CV583" i="1"/>
  <c r="CW583" i="1"/>
  <c r="CX583" i="1"/>
  <c r="CY583" i="1"/>
  <c r="CZ583" i="1"/>
  <c r="DA583" i="1"/>
  <c r="DB583" i="1"/>
  <c r="DC583" i="1"/>
  <c r="DD583" i="1"/>
  <c r="DE583" i="1"/>
  <c r="DF583" i="1"/>
  <c r="DG583" i="1"/>
  <c r="DH583" i="1"/>
  <c r="CL584" i="1"/>
  <c r="CM584" i="1"/>
  <c r="CN584" i="1"/>
  <c r="CO584" i="1"/>
  <c r="CP584" i="1"/>
  <c r="CQ584" i="1"/>
  <c r="CR584" i="1"/>
  <c r="CS584" i="1"/>
  <c r="CT584" i="1"/>
  <c r="CU584" i="1"/>
  <c r="CV584" i="1"/>
  <c r="CW584" i="1"/>
  <c r="CX584" i="1"/>
  <c r="CY584" i="1"/>
  <c r="CZ584" i="1"/>
  <c r="DA584" i="1"/>
  <c r="DB584" i="1"/>
  <c r="DC584" i="1"/>
  <c r="DD584" i="1"/>
  <c r="DE584" i="1"/>
  <c r="DF584" i="1"/>
  <c r="DG584" i="1"/>
  <c r="DH584" i="1"/>
  <c r="CL585" i="1"/>
  <c r="CM585" i="1"/>
  <c r="CN585" i="1"/>
  <c r="CO585" i="1"/>
  <c r="CP585" i="1"/>
  <c r="CQ585" i="1"/>
  <c r="CR585" i="1"/>
  <c r="CS585" i="1"/>
  <c r="CT585" i="1"/>
  <c r="CU585" i="1"/>
  <c r="CV585" i="1"/>
  <c r="CW585" i="1"/>
  <c r="CX585" i="1"/>
  <c r="CY585" i="1"/>
  <c r="CZ585" i="1"/>
  <c r="DA585" i="1"/>
  <c r="DB585" i="1"/>
  <c r="DC585" i="1"/>
  <c r="DD585" i="1"/>
  <c r="DE585" i="1"/>
  <c r="DF585" i="1"/>
  <c r="DG585" i="1"/>
  <c r="DH585" i="1"/>
  <c r="CL586" i="1"/>
  <c r="CM586" i="1"/>
  <c r="CN586" i="1"/>
  <c r="CO586" i="1"/>
  <c r="CP586" i="1"/>
  <c r="CQ586" i="1"/>
  <c r="CR586" i="1"/>
  <c r="CS586" i="1"/>
  <c r="CT586" i="1"/>
  <c r="CU586" i="1"/>
  <c r="CV586" i="1"/>
  <c r="CW586" i="1"/>
  <c r="CX586" i="1"/>
  <c r="CY586" i="1"/>
  <c r="CZ586" i="1"/>
  <c r="DA586" i="1"/>
  <c r="DB586" i="1"/>
  <c r="DC586" i="1"/>
  <c r="DD586" i="1"/>
  <c r="DE586" i="1"/>
  <c r="DF586" i="1"/>
  <c r="DG586" i="1"/>
  <c r="DH586" i="1"/>
  <c r="CL587" i="1"/>
  <c r="CM587" i="1"/>
  <c r="CN587" i="1"/>
  <c r="CO587" i="1"/>
  <c r="CP587" i="1"/>
  <c r="CQ587" i="1"/>
  <c r="CR587" i="1"/>
  <c r="CS587" i="1"/>
  <c r="CT587" i="1"/>
  <c r="CU587" i="1"/>
  <c r="CV587" i="1"/>
  <c r="CW587" i="1"/>
  <c r="CX587" i="1"/>
  <c r="CY587" i="1"/>
  <c r="CZ587" i="1"/>
  <c r="DA587" i="1"/>
  <c r="DB587" i="1"/>
  <c r="DC587" i="1"/>
  <c r="DD587" i="1"/>
  <c r="DE587" i="1"/>
  <c r="DF587" i="1"/>
  <c r="DG587" i="1"/>
  <c r="DH587" i="1"/>
  <c r="CL588" i="1"/>
  <c r="CM588" i="1"/>
  <c r="CN588" i="1"/>
  <c r="CO588" i="1"/>
  <c r="CP588" i="1"/>
  <c r="CQ588" i="1"/>
  <c r="CR588" i="1"/>
  <c r="CS588" i="1"/>
  <c r="CT588" i="1"/>
  <c r="CU588" i="1"/>
  <c r="CV588" i="1"/>
  <c r="CW588" i="1"/>
  <c r="CX588" i="1"/>
  <c r="CY588" i="1"/>
  <c r="CZ588" i="1"/>
  <c r="DA588" i="1"/>
  <c r="DB588" i="1"/>
  <c r="DC588" i="1"/>
  <c r="DD588" i="1"/>
  <c r="DE588" i="1"/>
  <c r="DF588" i="1"/>
  <c r="DG588" i="1"/>
  <c r="DH588" i="1"/>
  <c r="CL589" i="1"/>
  <c r="CM589" i="1"/>
  <c r="CN589" i="1"/>
  <c r="CO589" i="1"/>
  <c r="CP589" i="1"/>
  <c r="CQ589" i="1"/>
  <c r="CR589" i="1"/>
  <c r="CS589" i="1"/>
  <c r="CT589" i="1"/>
  <c r="CU589" i="1"/>
  <c r="CV589" i="1"/>
  <c r="CW589" i="1"/>
  <c r="CX589" i="1"/>
  <c r="CY589" i="1"/>
  <c r="CZ589" i="1"/>
  <c r="DA589" i="1"/>
  <c r="DB589" i="1"/>
  <c r="DC589" i="1"/>
  <c r="DD589" i="1"/>
  <c r="DE589" i="1"/>
  <c r="DF589" i="1"/>
  <c r="DG589" i="1"/>
  <c r="DH589" i="1"/>
  <c r="CL590" i="1"/>
  <c r="CM590" i="1"/>
  <c r="CN590" i="1"/>
  <c r="CO590" i="1"/>
  <c r="CP590" i="1"/>
  <c r="CQ590" i="1"/>
  <c r="CR590" i="1"/>
  <c r="CS590" i="1"/>
  <c r="CT590" i="1"/>
  <c r="CU590" i="1"/>
  <c r="CV590" i="1"/>
  <c r="CW590" i="1"/>
  <c r="CX590" i="1"/>
  <c r="CY590" i="1"/>
  <c r="CZ590" i="1"/>
  <c r="DA590" i="1"/>
  <c r="DB590" i="1"/>
  <c r="DC590" i="1"/>
  <c r="DD590" i="1"/>
  <c r="DE590" i="1"/>
  <c r="DF590" i="1"/>
  <c r="DG590" i="1"/>
  <c r="DH590" i="1"/>
  <c r="CL591" i="1"/>
  <c r="CM591" i="1"/>
  <c r="CN591" i="1"/>
  <c r="CO591" i="1"/>
  <c r="CP591" i="1"/>
  <c r="CQ591" i="1"/>
  <c r="CR591" i="1"/>
  <c r="CS591" i="1"/>
  <c r="CT591" i="1"/>
  <c r="CU591" i="1"/>
  <c r="CV591" i="1"/>
  <c r="CW591" i="1"/>
  <c r="CX591" i="1"/>
  <c r="CY591" i="1"/>
  <c r="CZ591" i="1"/>
  <c r="DA591" i="1"/>
  <c r="DB591" i="1"/>
  <c r="DC591" i="1"/>
  <c r="DD591" i="1"/>
  <c r="DE591" i="1"/>
  <c r="DF591" i="1"/>
  <c r="DG591" i="1"/>
  <c r="DH591" i="1"/>
  <c r="CL592" i="1"/>
  <c r="CM592" i="1"/>
  <c r="CN592" i="1"/>
  <c r="CO592" i="1"/>
  <c r="CP592" i="1"/>
  <c r="CQ592" i="1"/>
  <c r="CR592" i="1"/>
  <c r="CS592" i="1"/>
  <c r="CT592" i="1"/>
  <c r="CU592" i="1"/>
  <c r="CV592" i="1"/>
  <c r="CW592" i="1"/>
  <c r="CX592" i="1"/>
  <c r="CY592" i="1"/>
  <c r="CZ592" i="1"/>
  <c r="DA592" i="1"/>
  <c r="DB592" i="1"/>
  <c r="DC592" i="1"/>
  <c r="DD592" i="1"/>
  <c r="DE592" i="1"/>
  <c r="DF592" i="1"/>
  <c r="DG592" i="1"/>
  <c r="DH592" i="1"/>
  <c r="CL593" i="1"/>
  <c r="CM593" i="1"/>
  <c r="CN593" i="1"/>
  <c r="CO593" i="1"/>
  <c r="CP593" i="1"/>
  <c r="CQ593" i="1"/>
  <c r="CR593" i="1"/>
  <c r="CS593" i="1"/>
  <c r="CT593" i="1"/>
  <c r="CU593" i="1"/>
  <c r="CV593" i="1"/>
  <c r="CW593" i="1"/>
  <c r="CX593" i="1"/>
  <c r="CY593" i="1"/>
  <c r="CZ593" i="1"/>
  <c r="DA593" i="1"/>
  <c r="DB593" i="1"/>
  <c r="DC593" i="1"/>
  <c r="DD593" i="1"/>
  <c r="DE593" i="1"/>
  <c r="DF593" i="1"/>
  <c r="DG593" i="1"/>
  <c r="DH593" i="1"/>
  <c r="CL594" i="1"/>
  <c r="CM594" i="1"/>
  <c r="CN594" i="1"/>
  <c r="CO594" i="1"/>
  <c r="CP594" i="1"/>
  <c r="CQ594" i="1"/>
  <c r="CR594" i="1"/>
  <c r="CS594" i="1"/>
  <c r="CT594" i="1"/>
  <c r="CU594" i="1"/>
  <c r="CV594" i="1"/>
  <c r="CW594" i="1"/>
  <c r="CX594" i="1"/>
  <c r="CY594" i="1"/>
  <c r="CZ594" i="1"/>
  <c r="DA594" i="1"/>
  <c r="DB594" i="1"/>
  <c r="DC594" i="1"/>
  <c r="DD594" i="1"/>
  <c r="DE594" i="1"/>
  <c r="DF594" i="1"/>
  <c r="DG594" i="1"/>
  <c r="DH594" i="1"/>
  <c r="CL595" i="1"/>
  <c r="CM595" i="1"/>
  <c r="CN595" i="1"/>
  <c r="CO595" i="1"/>
  <c r="CP595" i="1"/>
  <c r="CQ595" i="1"/>
  <c r="CR595" i="1"/>
  <c r="CS595" i="1"/>
  <c r="CT595" i="1"/>
  <c r="CU595" i="1"/>
  <c r="CV595" i="1"/>
  <c r="CW595" i="1"/>
  <c r="CX595" i="1"/>
  <c r="CY595" i="1"/>
  <c r="CZ595" i="1"/>
  <c r="DA595" i="1"/>
  <c r="DB595" i="1"/>
  <c r="DC595" i="1"/>
  <c r="DD595" i="1"/>
  <c r="DE595" i="1"/>
  <c r="DF595" i="1"/>
  <c r="DG595" i="1"/>
  <c r="DH595" i="1"/>
  <c r="CL596" i="1"/>
  <c r="CM596" i="1"/>
  <c r="CN596" i="1"/>
  <c r="CO596" i="1"/>
  <c r="CP596" i="1"/>
  <c r="CQ596" i="1"/>
  <c r="CR596" i="1"/>
  <c r="CS596" i="1"/>
  <c r="CT596" i="1"/>
  <c r="CU596" i="1"/>
  <c r="CV596" i="1"/>
  <c r="CW596" i="1"/>
  <c r="CX596" i="1"/>
  <c r="CY596" i="1"/>
  <c r="CZ596" i="1"/>
  <c r="DA596" i="1"/>
  <c r="DB596" i="1"/>
  <c r="DC596" i="1"/>
  <c r="DD596" i="1"/>
  <c r="DE596" i="1"/>
  <c r="DF596" i="1"/>
  <c r="DG596" i="1"/>
  <c r="DH596" i="1"/>
  <c r="CL597" i="1"/>
  <c r="CM597" i="1"/>
  <c r="CN597" i="1"/>
  <c r="CO597" i="1"/>
  <c r="CP597" i="1"/>
  <c r="CQ597" i="1"/>
  <c r="CR597" i="1"/>
  <c r="CS597" i="1"/>
  <c r="CT597" i="1"/>
  <c r="CU597" i="1"/>
  <c r="CV597" i="1"/>
  <c r="CW597" i="1"/>
  <c r="CX597" i="1"/>
  <c r="CY597" i="1"/>
  <c r="CZ597" i="1"/>
  <c r="DA597" i="1"/>
  <c r="DB597" i="1"/>
  <c r="DC597" i="1"/>
  <c r="DD597" i="1"/>
  <c r="DE597" i="1"/>
  <c r="DF597" i="1"/>
  <c r="DG597" i="1"/>
  <c r="DH597" i="1"/>
  <c r="CL598" i="1"/>
  <c r="CM598" i="1"/>
  <c r="CN598" i="1"/>
  <c r="CO598" i="1"/>
  <c r="CP598" i="1"/>
  <c r="CQ598" i="1"/>
  <c r="CR598" i="1"/>
  <c r="CS598" i="1"/>
  <c r="CT598" i="1"/>
  <c r="CU598" i="1"/>
  <c r="CV598" i="1"/>
  <c r="CW598" i="1"/>
  <c r="CX598" i="1"/>
  <c r="CY598" i="1"/>
  <c r="CZ598" i="1"/>
  <c r="DA598" i="1"/>
  <c r="DB598" i="1"/>
  <c r="DC598" i="1"/>
  <c r="DD598" i="1"/>
  <c r="DE598" i="1"/>
  <c r="DF598" i="1"/>
  <c r="DG598" i="1"/>
  <c r="DH598" i="1"/>
  <c r="CL599" i="1"/>
  <c r="CM599" i="1"/>
  <c r="CN599" i="1"/>
  <c r="CO599" i="1"/>
  <c r="CP599" i="1"/>
  <c r="CQ599" i="1"/>
  <c r="CR599" i="1"/>
  <c r="CS599" i="1"/>
  <c r="CT599" i="1"/>
  <c r="CU599" i="1"/>
  <c r="CV599" i="1"/>
  <c r="CW599" i="1"/>
  <c r="CX599" i="1"/>
  <c r="CY599" i="1"/>
  <c r="CZ599" i="1"/>
  <c r="DA599" i="1"/>
  <c r="DB599" i="1"/>
  <c r="DC599" i="1"/>
  <c r="DD599" i="1"/>
  <c r="DE599" i="1"/>
  <c r="DF599" i="1"/>
  <c r="DG599" i="1"/>
  <c r="DH599" i="1"/>
  <c r="CL600" i="1"/>
  <c r="CM600" i="1"/>
  <c r="CN600" i="1"/>
  <c r="CO600" i="1"/>
  <c r="CP600" i="1"/>
  <c r="CQ600" i="1"/>
  <c r="CR600" i="1"/>
  <c r="CS600" i="1"/>
  <c r="CT600" i="1"/>
  <c r="CU600" i="1"/>
  <c r="CV600" i="1"/>
  <c r="CW600" i="1"/>
  <c r="CX600" i="1"/>
  <c r="CY600" i="1"/>
  <c r="CZ600" i="1"/>
  <c r="DA600" i="1"/>
  <c r="DB600" i="1"/>
  <c r="DC600" i="1"/>
  <c r="DD600" i="1"/>
  <c r="DE600" i="1"/>
  <c r="DF600" i="1"/>
  <c r="DG600" i="1"/>
  <c r="DH600" i="1"/>
  <c r="CL601" i="1"/>
  <c r="CM601" i="1"/>
  <c r="CN601" i="1"/>
  <c r="CO601" i="1"/>
  <c r="CP601" i="1"/>
  <c r="CQ601" i="1"/>
  <c r="CR601" i="1"/>
  <c r="CS601" i="1"/>
  <c r="CT601" i="1"/>
  <c r="CU601" i="1"/>
  <c r="CV601" i="1"/>
  <c r="CW601" i="1"/>
  <c r="CX601" i="1"/>
  <c r="CY601" i="1"/>
  <c r="CZ601" i="1"/>
  <c r="DA601" i="1"/>
  <c r="DB601" i="1"/>
  <c r="DC601" i="1"/>
  <c r="DD601" i="1"/>
  <c r="DE601" i="1"/>
  <c r="DF601" i="1"/>
  <c r="DG601" i="1"/>
  <c r="DH601" i="1"/>
  <c r="CL602" i="1"/>
  <c r="CM602" i="1"/>
  <c r="CN602" i="1"/>
  <c r="CO602" i="1"/>
  <c r="CP602" i="1"/>
  <c r="CQ602" i="1"/>
  <c r="CR602" i="1"/>
  <c r="CS602" i="1"/>
  <c r="CT602" i="1"/>
  <c r="CU602" i="1"/>
  <c r="CV602" i="1"/>
  <c r="CW602" i="1"/>
  <c r="CX602" i="1"/>
  <c r="CY602" i="1"/>
  <c r="CZ602" i="1"/>
  <c r="DA602" i="1"/>
  <c r="DB602" i="1"/>
  <c r="DC602" i="1"/>
  <c r="DD602" i="1"/>
  <c r="DE602" i="1"/>
  <c r="DF602" i="1"/>
  <c r="DG602" i="1"/>
  <c r="DH602" i="1"/>
  <c r="CL603" i="1"/>
  <c r="CM603" i="1"/>
  <c r="CN603" i="1"/>
  <c r="CO603" i="1"/>
  <c r="CP603" i="1"/>
  <c r="CQ603" i="1"/>
  <c r="CR603" i="1"/>
  <c r="CS603" i="1"/>
  <c r="CT603" i="1"/>
  <c r="CU603" i="1"/>
  <c r="CV603" i="1"/>
  <c r="CW603" i="1"/>
  <c r="CX603" i="1"/>
  <c r="CY603" i="1"/>
  <c r="CZ603" i="1"/>
  <c r="DA603" i="1"/>
  <c r="DB603" i="1"/>
  <c r="DC603" i="1"/>
  <c r="DD603" i="1"/>
  <c r="DE603" i="1"/>
  <c r="DF603" i="1"/>
  <c r="DG603" i="1"/>
  <c r="DH603" i="1"/>
  <c r="CL604" i="1"/>
  <c r="CM604" i="1"/>
  <c r="CN604" i="1"/>
  <c r="CO604" i="1"/>
  <c r="CP604" i="1"/>
  <c r="CQ604" i="1"/>
  <c r="CR604" i="1"/>
  <c r="CS604" i="1"/>
  <c r="CT604" i="1"/>
  <c r="CU604" i="1"/>
  <c r="CV604" i="1"/>
  <c r="CW604" i="1"/>
  <c r="CX604" i="1"/>
  <c r="CY604" i="1"/>
  <c r="CZ604" i="1"/>
  <c r="DA604" i="1"/>
  <c r="DB604" i="1"/>
  <c r="DC604" i="1"/>
  <c r="DD604" i="1"/>
  <c r="DE604" i="1"/>
  <c r="DF604" i="1"/>
  <c r="DG604" i="1"/>
  <c r="DH604" i="1"/>
  <c r="CL605" i="1"/>
  <c r="CM605" i="1"/>
  <c r="CN605" i="1"/>
  <c r="CO605" i="1"/>
  <c r="CP605" i="1"/>
  <c r="CQ605" i="1"/>
  <c r="CR605" i="1"/>
  <c r="CS605" i="1"/>
  <c r="CT605" i="1"/>
  <c r="CU605" i="1"/>
  <c r="CV605" i="1"/>
  <c r="CW605" i="1"/>
  <c r="CX605" i="1"/>
  <c r="CY605" i="1"/>
  <c r="CZ605" i="1"/>
  <c r="DA605" i="1"/>
  <c r="DB605" i="1"/>
  <c r="DC605" i="1"/>
  <c r="DD605" i="1"/>
  <c r="DE605" i="1"/>
  <c r="DF605" i="1"/>
  <c r="DG605" i="1"/>
  <c r="DH605" i="1"/>
  <c r="CL606" i="1"/>
  <c r="CM606" i="1"/>
  <c r="CN606" i="1"/>
  <c r="CO606" i="1"/>
  <c r="CP606" i="1"/>
  <c r="CQ606" i="1"/>
  <c r="CR606" i="1"/>
  <c r="CS606" i="1"/>
  <c r="CT606" i="1"/>
  <c r="CU606" i="1"/>
  <c r="CV606" i="1"/>
  <c r="CW606" i="1"/>
  <c r="CX606" i="1"/>
  <c r="CY606" i="1"/>
  <c r="CZ606" i="1"/>
  <c r="DA606" i="1"/>
  <c r="DB606" i="1"/>
  <c r="DC606" i="1"/>
  <c r="DD606" i="1"/>
  <c r="DE606" i="1"/>
  <c r="DF606" i="1"/>
  <c r="DG606" i="1"/>
  <c r="DH606" i="1"/>
  <c r="CL607" i="1"/>
  <c r="CM607" i="1"/>
  <c r="CN607" i="1"/>
  <c r="CO607" i="1"/>
  <c r="CP607" i="1"/>
  <c r="CQ607" i="1"/>
  <c r="CR607" i="1"/>
  <c r="CS607" i="1"/>
  <c r="CT607" i="1"/>
  <c r="CU607" i="1"/>
  <c r="CV607" i="1"/>
  <c r="CW607" i="1"/>
  <c r="CX607" i="1"/>
  <c r="CY607" i="1"/>
  <c r="CZ607" i="1"/>
  <c r="DA607" i="1"/>
  <c r="DB607" i="1"/>
  <c r="DC607" i="1"/>
  <c r="DD607" i="1"/>
  <c r="DE607" i="1"/>
  <c r="DF607" i="1"/>
  <c r="DG607" i="1"/>
  <c r="DH607" i="1"/>
  <c r="CL608" i="1"/>
  <c r="CM608" i="1"/>
  <c r="CN608" i="1"/>
  <c r="CO608" i="1"/>
  <c r="CP608" i="1"/>
  <c r="CQ608" i="1"/>
  <c r="CR608" i="1"/>
  <c r="CS608" i="1"/>
  <c r="CT608" i="1"/>
  <c r="CU608" i="1"/>
  <c r="CV608" i="1"/>
  <c r="CW608" i="1"/>
  <c r="CX608" i="1"/>
  <c r="CY608" i="1"/>
  <c r="CZ608" i="1"/>
  <c r="DA608" i="1"/>
  <c r="DB608" i="1"/>
  <c r="DC608" i="1"/>
  <c r="DD608" i="1"/>
  <c r="DE608" i="1"/>
  <c r="DF608" i="1"/>
  <c r="DG608" i="1"/>
  <c r="DH608" i="1"/>
  <c r="CL609" i="1"/>
  <c r="CM609" i="1"/>
  <c r="CN609" i="1"/>
  <c r="CO609" i="1"/>
  <c r="CP609" i="1"/>
  <c r="CQ609" i="1"/>
  <c r="CR609" i="1"/>
  <c r="CS609" i="1"/>
  <c r="CT609" i="1"/>
  <c r="CU609" i="1"/>
  <c r="CV609" i="1"/>
  <c r="CW609" i="1"/>
  <c r="CX609" i="1"/>
  <c r="CY609" i="1"/>
  <c r="CZ609" i="1"/>
  <c r="DA609" i="1"/>
  <c r="DB609" i="1"/>
  <c r="DC609" i="1"/>
  <c r="DD609" i="1"/>
  <c r="DE609" i="1"/>
  <c r="DF609" i="1"/>
  <c r="DG609" i="1"/>
  <c r="DH609" i="1"/>
  <c r="CL610" i="1"/>
  <c r="CM610" i="1"/>
  <c r="CN610" i="1"/>
  <c r="CO610" i="1"/>
  <c r="CP610" i="1"/>
  <c r="CQ610" i="1"/>
  <c r="CR610" i="1"/>
  <c r="CS610" i="1"/>
  <c r="CT610" i="1"/>
  <c r="CU610" i="1"/>
  <c r="CV610" i="1"/>
  <c r="CW610" i="1"/>
  <c r="CX610" i="1"/>
  <c r="CY610" i="1"/>
  <c r="CZ610" i="1"/>
  <c r="DA610" i="1"/>
  <c r="DB610" i="1"/>
  <c r="DC610" i="1"/>
  <c r="DD610" i="1"/>
  <c r="DE610" i="1"/>
  <c r="DF610" i="1"/>
  <c r="DG610" i="1"/>
  <c r="DH610" i="1"/>
  <c r="CL611" i="1"/>
  <c r="CM611" i="1"/>
  <c r="CN611" i="1"/>
  <c r="CO611" i="1"/>
  <c r="CP611" i="1"/>
  <c r="CQ611" i="1"/>
  <c r="CR611" i="1"/>
  <c r="CS611" i="1"/>
  <c r="CT611" i="1"/>
  <c r="CU611" i="1"/>
  <c r="CV611" i="1"/>
  <c r="CW611" i="1"/>
  <c r="CX611" i="1"/>
  <c r="CY611" i="1"/>
  <c r="CZ611" i="1"/>
  <c r="DA611" i="1"/>
  <c r="DB611" i="1"/>
  <c r="DC611" i="1"/>
  <c r="DD611" i="1"/>
  <c r="DE611" i="1"/>
  <c r="DF611" i="1"/>
  <c r="DG611" i="1"/>
  <c r="DH611" i="1"/>
  <c r="CL612" i="1"/>
  <c r="CM612" i="1"/>
  <c r="CN612" i="1"/>
  <c r="CO612" i="1"/>
  <c r="CP612" i="1"/>
  <c r="CQ612" i="1"/>
  <c r="CR612" i="1"/>
  <c r="CS612" i="1"/>
  <c r="CT612" i="1"/>
  <c r="CU612" i="1"/>
  <c r="CV612" i="1"/>
  <c r="CW612" i="1"/>
  <c r="CX612" i="1"/>
  <c r="CY612" i="1"/>
  <c r="CZ612" i="1"/>
  <c r="DA612" i="1"/>
  <c r="DB612" i="1"/>
  <c r="DC612" i="1"/>
  <c r="DD612" i="1"/>
  <c r="DE612" i="1"/>
  <c r="DF612" i="1"/>
  <c r="DG612" i="1"/>
  <c r="DH612" i="1"/>
  <c r="CL613" i="1"/>
  <c r="CM613" i="1"/>
  <c r="CN613" i="1"/>
  <c r="CO613" i="1"/>
  <c r="CP613" i="1"/>
  <c r="CQ613" i="1"/>
  <c r="CR613" i="1"/>
  <c r="CS613" i="1"/>
  <c r="CT613" i="1"/>
  <c r="CU613" i="1"/>
  <c r="CV613" i="1"/>
  <c r="CW613" i="1"/>
  <c r="CX613" i="1"/>
  <c r="CY613" i="1"/>
  <c r="CZ613" i="1"/>
  <c r="DA613" i="1"/>
  <c r="DB613" i="1"/>
  <c r="DC613" i="1"/>
  <c r="DD613" i="1"/>
  <c r="DE613" i="1"/>
  <c r="DF613" i="1"/>
  <c r="DG613" i="1"/>
  <c r="DH613" i="1"/>
  <c r="CL614" i="1"/>
  <c r="CM614" i="1"/>
  <c r="CN614" i="1"/>
  <c r="CO614" i="1"/>
  <c r="CP614" i="1"/>
  <c r="CQ614" i="1"/>
  <c r="CR614" i="1"/>
  <c r="CS614" i="1"/>
  <c r="CT614" i="1"/>
  <c r="CU614" i="1"/>
  <c r="CV614" i="1"/>
  <c r="CW614" i="1"/>
  <c r="CX614" i="1"/>
  <c r="CY614" i="1"/>
  <c r="CZ614" i="1"/>
  <c r="DA614" i="1"/>
  <c r="DB614" i="1"/>
  <c r="DC614" i="1"/>
  <c r="DD614" i="1"/>
  <c r="DE614" i="1"/>
  <c r="DF614" i="1"/>
  <c r="DG614" i="1"/>
  <c r="DH614" i="1"/>
  <c r="CL615" i="1"/>
  <c r="CM615" i="1"/>
  <c r="CN615" i="1"/>
  <c r="CO615" i="1"/>
  <c r="CP615" i="1"/>
  <c r="CQ615" i="1"/>
  <c r="CR615" i="1"/>
  <c r="CS615" i="1"/>
  <c r="CT615" i="1"/>
  <c r="CU615" i="1"/>
  <c r="CV615" i="1"/>
  <c r="CW615" i="1"/>
  <c r="CX615" i="1"/>
  <c r="CY615" i="1"/>
  <c r="CZ615" i="1"/>
  <c r="DA615" i="1"/>
  <c r="DB615" i="1"/>
  <c r="DC615" i="1"/>
  <c r="DD615" i="1"/>
  <c r="DE615" i="1"/>
  <c r="DF615" i="1"/>
  <c r="DG615" i="1"/>
  <c r="DH615" i="1"/>
  <c r="CL616" i="1"/>
  <c r="CM616" i="1"/>
  <c r="CN616" i="1"/>
  <c r="CO616" i="1"/>
  <c r="CP616" i="1"/>
  <c r="CQ616" i="1"/>
  <c r="CR616" i="1"/>
  <c r="CS616" i="1"/>
  <c r="CT616" i="1"/>
  <c r="CU616" i="1"/>
  <c r="CV616" i="1"/>
  <c r="CW616" i="1"/>
  <c r="CX616" i="1"/>
  <c r="CY616" i="1"/>
  <c r="CZ616" i="1"/>
  <c r="DA616" i="1"/>
  <c r="DB616" i="1"/>
  <c r="DC616" i="1"/>
  <c r="DD616" i="1"/>
  <c r="DE616" i="1"/>
  <c r="DF616" i="1"/>
  <c r="DG616" i="1"/>
  <c r="DH616" i="1"/>
  <c r="CL617" i="1"/>
  <c r="CM617" i="1"/>
  <c r="CN617" i="1"/>
  <c r="CO617" i="1"/>
  <c r="CP617" i="1"/>
  <c r="CQ617" i="1"/>
  <c r="CR617" i="1"/>
  <c r="CS617" i="1"/>
  <c r="CT617" i="1"/>
  <c r="CU617" i="1"/>
  <c r="CV617" i="1"/>
  <c r="CW617" i="1"/>
  <c r="CX617" i="1"/>
  <c r="CY617" i="1"/>
  <c r="CZ617" i="1"/>
  <c r="DA617" i="1"/>
  <c r="DB617" i="1"/>
  <c r="DC617" i="1"/>
  <c r="DD617" i="1"/>
  <c r="DE617" i="1"/>
  <c r="DF617" i="1"/>
  <c r="DG617" i="1"/>
  <c r="DH617" i="1"/>
  <c r="CL618" i="1"/>
  <c r="CM618" i="1"/>
  <c r="CN618" i="1"/>
  <c r="CO618" i="1"/>
  <c r="CP618" i="1"/>
  <c r="CQ618" i="1"/>
  <c r="CR618" i="1"/>
  <c r="CS618" i="1"/>
  <c r="CT618" i="1"/>
  <c r="CU618" i="1"/>
  <c r="CV618" i="1"/>
  <c r="CW618" i="1"/>
  <c r="CX618" i="1"/>
  <c r="CY618" i="1"/>
  <c r="CZ618" i="1"/>
  <c r="DA618" i="1"/>
  <c r="DB618" i="1"/>
  <c r="DC618" i="1"/>
  <c r="DD618" i="1"/>
  <c r="DE618" i="1"/>
  <c r="DF618" i="1"/>
  <c r="DG618" i="1"/>
  <c r="DH618" i="1"/>
  <c r="CL619" i="1"/>
  <c r="CM619" i="1"/>
  <c r="CN619" i="1"/>
  <c r="CO619" i="1"/>
  <c r="CP619" i="1"/>
  <c r="CQ619" i="1"/>
  <c r="CR619" i="1"/>
  <c r="CS619" i="1"/>
  <c r="CT619" i="1"/>
  <c r="CU619" i="1"/>
  <c r="CV619" i="1"/>
  <c r="CW619" i="1"/>
  <c r="CX619" i="1"/>
  <c r="CY619" i="1"/>
  <c r="CZ619" i="1"/>
  <c r="DA619" i="1"/>
  <c r="DB619" i="1"/>
  <c r="DC619" i="1"/>
  <c r="DD619" i="1"/>
  <c r="DE619" i="1"/>
  <c r="DF619" i="1"/>
  <c r="DG619" i="1"/>
  <c r="DH619" i="1"/>
  <c r="CL620" i="1"/>
  <c r="CM620" i="1"/>
  <c r="CN620" i="1"/>
  <c r="CO620" i="1"/>
  <c r="CP620" i="1"/>
  <c r="CQ620" i="1"/>
  <c r="CR620" i="1"/>
  <c r="CS620" i="1"/>
  <c r="CT620" i="1"/>
  <c r="CU620" i="1"/>
  <c r="CV620" i="1"/>
  <c r="CW620" i="1"/>
  <c r="CX620" i="1"/>
  <c r="CY620" i="1"/>
  <c r="CZ620" i="1"/>
  <c r="DA620" i="1"/>
  <c r="DB620" i="1"/>
  <c r="DC620" i="1"/>
  <c r="DD620" i="1"/>
  <c r="DE620" i="1"/>
  <c r="DF620" i="1"/>
  <c r="DG620" i="1"/>
  <c r="DH620" i="1"/>
  <c r="CL621" i="1"/>
  <c r="CM621" i="1"/>
  <c r="CN621" i="1"/>
  <c r="CO621" i="1"/>
  <c r="CP621" i="1"/>
  <c r="CQ621" i="1"/>
  <c r="CR621" i="1"/>
  <c r="CS621" i="1"/>
  <c r="CT621" i="1"/>
  <c r="CU621" i="1"/>
  <c r="CV621" i="1"/>
  <c r="CW621" i="1"/>
  <c r="CX621" i="1"/>
  <c r="CY621" i="1"/>
  <c r="CZ621" i="1"/>
  <c r="DA621" i="1"/>
  <c r="DB621" i="1"/>
  <c r="DC621" i="1"/>
  <c r="DD621" i="1"/>
  <c r="DE621" i="1"/>
  <c r="DF621" i="1"/>
  <c r="DG621" i="1"/>
  <c r="DH621" i="1"/>
  <c r="CL622" i="1"/>
  <c r="CM622" i="1"/>
  <c r="CN622" i="1"/>
  <c r="CO622" i="1"/>
  <c r="CP622" i="1"/>
  <c r="CQ622" i="1"/>
  <c r="CR622" i="1"/>
  <c r="CS622" i="1"/>
  <c r="CT622" i="1"/>
  <c r="CU622" i="1"/>
  <c r="CV622" i="1"/>
  <c r="CW622" i="1"/>
  <c r="CX622" i="1"/>
  <c r="CY622" i="1"/>
  <c r="CZ622" i="1"/>
  <c r="DA622" i="1"/>
  <c r="DB622" i="1"/>
  <c r="DC622" i="1"/>
  <c r="DD622" i="1"/>
  <c r="DE622" i="1"/>
  <c r="DF622" i="1"/>
  <c r="DG622" i="1"/>
  <c r="DH622" i="1"/>
  <c r="CL623" i="1"/>
  <c r="CM623" i="1"/>
  <c r="CN623" i="1"/>
  <c r="CO623" i="1"/>
  <c r="CP623" i="1"/>
  <c r="CQ623" i="1"/>
  <c r="CR623" i="1"/>
  <c r="CS623" i="1"/>
  <c r="CT623" i="1"/>
  <c r="CU623" i="1"/>
  <c r="CV623" i="1"/>
  <c r="CW623" i="1"/>
  <c r="CX623" i="1"/>
  <c r="CY623" i="1"/>
  <c r="CZ623" i="1"/>
  <c r="DA623" i="1"/>
  <c r="DB623" i="1"/>
  <c r="DC623" i="1"/>
  <c r="DD623" i="1"/>
  <c r="DE623" i="1"/>
  <c r="DF623" i="1"/>
  <c r="DG623" i="1"/>
  <c r="DH623" i="1"/>
  <c r="CL624" i="1"/>
  <c r="CM624" i="1"/>
  <c r="CN624" i="1"/>
  <c r="CO624" i="1"/>
  <c r="CP624" i="1"/>
  <c r="CQ624" i="1"/>
  <c r="CR624" i="1"/>
  <c r="CS624" i="1"/>
  <c r="CT624" i="1"/>
  <c r="CU624" i="1"/>
  <c r="CV624" i="1"/>
  <c r="CW624" i="1"/>
  <c r="CX624" i="1"/>
  <c r="CY624" i="1"/>
  <c r="CZ624" i="1"/>
  <c r="DA624" i="1"/>
  <c r="DB624" i="1"/>
  <c r="DC624" i="1"/>
  <c r="DD624" i="1"/>
  <c r="DE624" i="1"/>
  <c r="DF624" i="1"/>
  <c r="DG624" i="1"/>
  <c r="DH624" i="1"/>
  <c r="CL625" i="1"/>
  <c r="CM625" i="1"/>
  <c r="CN625" i="1"/>
  <c r="CO625" i="1"/>
  <c r="CP625" i="1"/>
  <c r="CQ625" i="1"/>
  <c r="CR625" i="1"/>
  <c r="CS625" i="1"/>
  <c r="CT625" i="1"/>
  <c r="CU625" i="1"/>
  <c r="CV625" i="1"/>
  <c r="CW625" i="1"/>
  <c r="CX625" i="1"/>
  <c r="CY625" i="1"/>
  <c r="CZ625" i="1"/>
  <c r="DA625" i="1"/>
  <c r="DB625" i="1"/>
  <c r="DC625" i="1"/>
  <c r="DD625" i="1"/>
  <c r="DE625" i="1"/>
  <c r="DF625" i="1"/>
  <c r="DG625" i="1"/>
  <c r="DH625" i="1"/>
  <c r="CL626" i="1"/>
  <c r="CM626" i="1"/>
  <c r="CN626" i="1"/>
  <c r="CO626" i="1"/>
  <c r="CP626" i="1"/>
  <c r="CQ626" i="1"/>
  <c r="CR626" i="1"/>
  <c r="CS626" i="1"/>
  <c r="CT626" i="1"/>
  <c r="CU626" i="1"/>
  <c r="CV626" i="1"/>
  <c r="CW626" i="1"/>
  <c r="CX626" i="1"/>
  <c r="CY626" i="1"/>
  <c r="CZ626" i="1"/>
  <c r="DA626" i="1"/>
  <c r="DB626" i="1"/>
  <c r="DC626" i="1"/>
  <c r="DD626" i="1"/>
  <c r="DE626" i="1"/>
  <c r="DF626" i="1"/>
  <c r="DG626" i="1"/>
  <c r="DH626" i="1"/>
  <c r="CL627" i="1"/>
  <c r="CM627" i="1"/>
  <c r="CN627" i="1"/>
  <c r="CO627" i="1"/>
  <c r="CP627" i="1"/>
  <c r="CQ627" i="1"/>
  <c r="CR627" i="1"/>
  <c r="CS627" i="1"/>
  <c r="CT627" i="1"/>
  <c r="CU627" i="1"/>
  <c r="CV627" i="1"/>
  <c r="CW627" i="1"/>
  <c r="CX627" i="1"/>
  <c r="CY627" i="1"/>
  <c r="CZ627" i="1"/>
  <c r="DA627" i="1"/>
  <c r="DB627" i="1"/>
  <c r="DC627" i="1"/>
  <c r="DD627" i="1"/>
  <c r="DE627" i="1"/>
  <c r="DF627" i="1"/>
  <c r="DG627" i="1"/>
  <c r="DH627" i="1"/>
  <c r="CL628" i="1"/>
  <c r="CM628" i="1"/>
  <c r="CN628" i="1"/>
  <c r="CO628" i="1"/>
  <c r="CP628" i="1"/>
  <c r="CQ628" i="1"/>
  <c r="CR628" i="1"/>
  <c r="CS628" i="1"/>
  <c r="CT628" i="1"/>
  <c r="CU628" i="1"/>
  <c r="CV628" i="1"/>
  <c r="CW628" i="1"/>
  <c r="CX628" i="1"/>
  <c r="CY628" i="1"/>
  <c r="CZ628" i="1"/>
  <c r="DA628" i="1"/>
  <c r="DB628" i="1"/>
  <c r="DC628" i="1"/>
  <c r="DD628" i="1"/>
  <c r="DE628" i="1"/>
  <c r="DF628" i="1"/>
  <c r="DG628" i="1"/>
  <c r="DH628" i="1"/>
  <c r="CL629" i="1"/>
  <c r="CM629" i="1"/>
  <c r="CN629" i="1"/>
  <c r="CO629" i="1"/>
  <c r="CP629" i="1"/>
  <c r="CQ629" i="1"/>
  <c r="CR629" i="1"/>
  <c r="CS629" i="1"/>
  <c r="CT629" i="1"/>
  <c r="CU629" i="1"/>
  <c r="CV629" i="1"/>
  <c r="CW629" i="1"/>
  <c r="CX629" i="1"/>
  <c r="CY629" i="1"/>
  <c r="CZ629" i="1"/>
  <c r="DA629" i="1"/>
  <c r="DB629" i="1"/>
  <c r="DC629" i="1"/>
  <c r="DD629" i="1"/>
  <c r="DE629" i="1"/>
  <c r="DF629" i="1"/>
  <c r="DG629" i="1"/>
  <c r="DH629" i="1"/>
  <c r="CL630" i="1"/>
  <c r="CM630" i="1"/>
  <c r="CN630" i="1"/>
  <c r="CO630" i="1"/>
  <c r="CP630" i="1"/>
  <c r="CQ630" i="1"/>
  <c r="CR630" i="1"/>
  <c r="CS630" i="1"/>
  <c r="CT630" i="1"/>
  <c r="CU630" i="1"/>
  <c r="CV630" i="1"/>
  <c r="CW630" i="1"/>
  <c r="CX630" i="1"/>
  <c r="CY630" i="1"/>
  <c r="CZ630" i="1"/>
  <c r="DA630" i="1"/>
  <c r="DB630" i="1"/>
  <c r="DC630" i="1"/>
  <c r="DD630" i="1"/>
  <c r="DE630" i="1"/>
  <c r="DF630" i="1"/>
  <c r="DG630" i="1"/>
  <c r="DH630" i="1"/>
  <c r="CL631" i="1"/>
  <c r="CM631" i="1"/>
  <c r="CN631" i="1"/>
  <c r="CO631" i="1"/>
  <c r="CP631" i="1"/>
  <c r="CQ631" i="1"/>
  <c r="CR631" i="1"/>
  <c r="CS631" i="1"/>
  <c r="CT631" i="1"/>
  <c r="CU631" i="1"/>
  <c r="CV631" i="1"/>
  <c r="CW631" i="1"/>
  <c r="CX631" i="1"/>
  <c r="CY631" i="1"/>
  <c r="CZ631" i="1"/>
  <c r="DA631" i="1"/>
  <c r="DB631" i="1"/>
  <c r="DC631" i="1"/>
  <c r="DD631" i="1"/>
  <c r="DE631" i="1"/>
  <c r="DF631" i="1"/>
  <c r="DG631" i="1"/>
  <c r="DH631" i="1"/>
  <c r="CL632" i="1"/>
  <c r="CM632" i="1"/>
  <c r="CN632" i="1"/>
  <c r="CO632" i="1"/>
  <c r="CP632" i="1"/>
  <c r="CQ632" i="1"/>
  <c r="CR632" i="1"/>
  <c r="CS632" i="1"/>
  <c r="CT632" i="1"/>
  <c r="CU632" i="1"/>
  <c r="CV632" i="1"/>
  <c r="CW632" i="1"/>
  <c r="CX632" i="1"/>
  <c r="CY632" i="1"/>
  <c r="CZ632" i="1"/>
  <c r="DA632" i="1"/>
  <c r="DB632" i="1"/>
  <c r="DC632" i="1"/>
  <c r="DD632" i="1"/>
  <c r="DE632" i="1"/>
  <c r="DF632" i="1"/>
  <c r="DG632" i="1"/>
  <c r="DH632" i="1"/>
  <c r="CL633" i="1"/>
  <c r="CM633" i="1"/>
  <c r="CN633" i="1"/>
  <c r="CO633" i="1"/>
  <c r="CP633" i="1"/>
  <c r="CQ633" i="1"/>
  <c r="CR633" i="1"/>
  <c r="CS633" i="1"/>
  <c r="CT633" i="1"/>
  <c r="CU633" i="1"/>
  <c r="CV633" i="1"/>
  <c r="CW633" i="1"/>
  <c r="CX633" i="1"/>
  <c r="CY633" i="1"/>
  <c r="CZ633" i="1"/>
  <c r="DA633" i="1"/>
  <c r="DB633" i="1"/>
  <c r="DC633" i="1"/>
  <c r="DD633" i="1"/>
  <c r="DE633" i="1"/>
  <c r="DF633" i="1"/>
  <c r="DG633" i="1"/>
  <c r="DH633" i="1"/>
  <c r="CL634" i="1"/>
  <c r="CM634" i="1"/>
  <c r="CN634" i="1"/>
  <c r="CO634" i="1"/>
  <c r="CP634" i="1"/>
  <c r="CQ634" i="1"/>
  <c r="CR634" i="1"/>
  <c r="CS634" i="1"/>
  <c r="CT634" i="1"/>
  <c r="CU634" i="1"/>
  <c r="CV634" i="1"/>
  <c r="CW634" i="1"/>
  <c r="CX634" i="1"/>
  <c r="CY634" i="1"/>
  <c r="CZ634" i="1"/>
  <c r="DA634" i="1"/>
  <c r="DB634" i="1"/>
  <c r="DC634" i="1"/>
  <c r="DD634" i="1"/>
  <c r="DE634" i="1"/>
  <c r="DF634" i="1"/>
  <c r="DG634" i="1"/>
  <c r="DH634" i="1"/>
  <c r="CL635" i="1"/>
  <c r="CM635" i="1"/>
  <c r="CN635" i="1"/>
  <c r="CO635" i="1"/>
  <c r="CP635" i="1"/>
  <c r="CQ635" i="1"/>
  <c r="CR635" i="1"/>
  <c r="CS635" i="1"/>
  <c r="CT635" i="1"/>
  <c r="CU635" i="1"/>
  <c r="CV635" i="1"/>
  <c r="CW635" i="1"/>
  <c r="CX635" i="1"/>
  <c r="CY635" i="1"/>
  <c r="CZ635" i="1"/>
  <c r="DA635" i="1"/>
  <c r="DB635" i="1"/>
  <c r="DC635" i="1"/>
  <c r="DD635" i="1"/>
  <c r="DE635" i="1"/>
  <c r="DF635" i="1"/>
  <c r="DG635" i="1"/>
  <c r="DH635" i="1"/>
  <c r="CL636" i="1"/>
  <c r="CM636" i="1"/>
  <c r="CN636" i="1"/>
  <c r="CO636" i="1"/>
  <c r="CP636" i="1"/>
  <c r="CQ636" i="1"/>
  <c r="CR636" i="1"/>
  <c r="CS636" i="1"/>
  <c r="CT636" i="1"/>
  <c r="CU636" i="1"/>
  <c r="CV636" i="1"/>
  <c r="CW636" i="1"/>
  <c r="CX636" i="1"/>
  <c r="CY636" i="1"/>
  <c r="CZ636" i="1"/>
  <c r="DA636" i="1"/>
  <c r="DB636" i="1"/>
  <c r="DC636" i="1"/>
  <c r="DD636" i="1"/>
  <c r="DE636" i="1"/>
  <c r="DF636" i="1"/>
  <c r="DG636" i="1"/>
  <c r="DH636" i="1"/>
  <c r="CL637" i="1"/>
  <c r="CM637" i="1"/>
  <c r="CN637" i="1"/>
  <c r="CO637" i="1"/>
  <c r="CP637" i="1"/>
  <c r="CQ637" i="1"/>
  <c r="CR637" i="1"/>
  <c r="CS637" i="1"/>
  <c r="CT637" i="1"/>
  <c r="CU637" i="1"/>
  <c r="CV637" i="1"/>
  <c r="CW637" i="1"/>
  <c r="CX637" i="1"/>
  <c r="CY637" i="1"/>
  <c r="CZ637" i="1"/>
  <c r="DA637" i="1"/>
  <c r="DB637" i="1"/>
  <c r="DC637" i="1"/>
  <c r="DD637" i="1"/>
  <c r="DE637" i="1"/>
  <c r="DF637" i="1"/>
  <c r="DG637" i="1"/>
  <c r="DH637" i="1"/>
  <c r="CL638" i="1"/>
  <c r="CM638" i="1"/>
  <c r="CN638" i="1"/>
  <c r="CO638" i="1"/>
  <c r="CP638" i="1"/>
  <c r="CQ638" i="1"/>
  <c r="CR638" i="1"/>
  <c r="CS638" i="1"/>
  <c r="CT638" i="1"/>
  <c r="CU638" i="1"/>
  <c r="CV638" i="1"/>
  <c r="CW638" i="1"/>
  <c r="CX638" i="1"/>
  <c r="CY638" i="1"/>
  <c r="CZ638" i="1"/>
  <c r="DA638" i="1"/>
  <c r="DB638" i="1"/>
  <c r="DC638" i="1"/>
  <c r="DD638" i="1"/>
  <c r="DE638" i="1"/>
  <c r="DF638" i="1"/>
  <c r="DG638" i="1"/>
  <c r="DH638" i="1"/>
  <c r="CL639" i="1"/>
  <c r="CM639" i="1"/>
  <c r="CN639" i="1"/>
  <c r="CO639" i="1"/>
  <c r="CP639" i="1"/>
  <c r="CQ639" i="1"/>
  <c r="CR639" i="1"/>
  <c r="CS639" i="1"/>
  <c r="CT639" i="1"/>
  <c r="CU639" i="1"/>
  <c r="CV639" i="1"/>
  <c r="CW639" i="1"/>
  <c r="CX639" i="1"/>
  <c r="CY639" i="1"/>
  <c r="CZ639" i="1"/>
  <c r="DA639" i="1"/>
  <c r="DB639" i="1"/>
  <c r="DC639" i="1"/>
  <c r="DD639" i="1"/>
  <c r="DE639" i="1"/>
  <c r="DF639" i="1"/>
  <c r="DG639" i="1"/>
  <c r="DH639" i="1"/>
  <c r="CL640" i="1"/>
  <c r="CM640" i="1"/>
  <c r="CN640" i="1"/>
  <c r="CO640" i="1"/>
  <c r="CP640" i="1"/>
  <c r="CQ640" i="1"/>
  <c r="CR640" i="1"/>
  <c r="CS640" i="1"/>
  <c r="CT640" i="1"/>
  <c r="CU640" i="1"/>
  <c r="CV640" i="1"/>
  <c r="CW640" i="1"/>
  <c r="CX640" i="1"/>
  <c r="CY640" i="1"/>
  <c r="CZ640" i="1"/>
  <c r="DA640" i="1"/>
  <c r="DB640" i="1"/>
  <c r="DC640" i="1"/>
  <c r="DD640" i="1"/>
  <c r="DE640" i="1"/>
  <c r="DF640" i="1"/>
  <c r="DG640" i="1"/>
  <c r="DH640" i="1"/>
  <c r="CL641" i="1"/>
  <c r="CM641" i="1"/>
  <c r="CN641" i="1"/>
  <c r="CO641" i="1"/>
  <c r="CP641" i="1"/>
  <c r="CQ641" i="1"/>
  <c r="CR641" i="1"/>
  <c r="CS641" i="1"/>
  <c r="CT641" i="1"/>
  <c r="CU641" i="1"/>
  <c r="CV641" i="1"/>
  <c r="CW641" i="1"/>
  <c r="CX641" i="1"/>
  <c r="CY641" i="1"/>
  <c r="CZ641" i="1"/>
  <c r="DA641" i="1"/>
  <c r="DB641" i="1"/>
  <c r="DC641" i="1"/>
  <c r="DD641" i="1"/>
  <c r="DE641" i="1"/>
  <c r="DF641" i="1"/>
  <c r="DG641" i="1"/>
  <c r="DH641" i="1"/>
  <c r="CL642" i="1"/>
  <c r="CM642" i="1"/>
  <c r="CN642" i="1"/>
  <c r="CO642" i="1"/>
  <c r="CP642" i="1"/>
  <c r="CQ642" i="1"/>
  <c r="CR642" i="1"/>
  <c r="CS642" i="1"/>
  <c r="CT642" i="1"/>
  <c r="CU642" i="1"/>
  <c r="CV642" i="1"/>
  <c r="CW642" i="1"/>
  <c r="CX642" i="1"/>
  <c r="CY642" i="1"/>
  <c r="CZ642" i="1"/>
  <c r="DA642" i="1"/>
  <c r="DB642" i="1"/>
  <c r="DC642" i="1"/>
  <c r="DD642" i="1"/>
  <c r="DE642" i="1"/>
  <c r="DF642" i="1"/>
  <c r="DG642" i="1"/>
  <c r="DH642" i="1"/>
  <c r="CL643" i="1"/>
  <c r="CM643" i="1"/>
  <c r="CN643" i="1"/>
  <c r="CO643" i="1"/>
  <c r="CP643" i="1"/>
  <c r="CQ643" i="1"/>
  <c r="CR643" i="1"/>
  <c r="CS643" i="1"/>
  <c r="CT643" i="1"/>
  <c r="CU643" i="1"/>
  <c r="CV643" i="1"/>
  <c r="CW643" i="1"/>
  <c r="CX643" i="1"/>
  <c r="CY643" i="1"/>
  <c r="CZ643" i="1"/>
  <c r="DA643" i="1"/>
  <c r="DB643" i="1"/>
  <c r="DC643" i="1"/>
  <c r="DD643" i="1"/>
  <c r="DE643" i="1"/>
  <c r="DF643" i="1"/>
  <c r="DG643" i="1"/>
  <c r="DH643" i="1"/>
  <c r="CL644" i="1"/>
  <c r="CM644" i="1"/>
  <c r="CN644" i="1"/>
  <c r="CO644" i="1"/>
  <c r="CP644" i="1"/>
  <c r="CQ644" i="1"/>
  <c r="CR644" i="1"/>
  <c r="CS644" i="1"/>
  <c r="CT644" i="1"/>
  <c r="CU644" i="1"/>
  <c r="CV644" i="1"/>
  <c r="CW644" i="1"/>
  <c r="CX644" i="1"/>
  <c r="CY644" i="1"/>
  <c r="CZ644" i="1"/>
  <c r="DA644" i="1"/>
  <c r="DB644" i="1"/>
  <c r="DC644" i="1"/>
  <c r="DD644" i="1"/>
  <c r="DE644" i="1"/>
  <c r="DF644" i="1"/>
  <c r="DG644" i="1"/>
  <c r="DH644" i="1"/>
  <c r="CL645" i="1"/>
  <c r="CM645" i="1"/>
  <c r="CN645" i="1"/>
  <c r="CO645" i="1"/>
  <c r="CP645" i="1"/>
  <c r="CQ645" i="1"/>
  <c r="CR645" i="1"/>
  <c r="CS645" i="1"/>
  <c r="CT645" i="1"/>
  <c r="CU645" i="1"/>
  <c r="CV645" i="1"/>
  <c r="CW645" i="1"/>
  <c r="CX645" i="1"/>
  <c r="CY645" i="1"/>
  <c r="CZ645" i="1"/>
  <c r="DA645" i="1"/>
  <c r="DB645" i="1"/>
  <c r="DC645" i="1"/>
  <c r="DD645" i="1"/>
  <c r="DE645" i="1"/>
  <c r="DF645" i="1"/>
  <c r="DG645" i="1"/>
  <c r="DH645" i="1"/>
  <c r="CL646" i="1"/>
  <c r="CM646" i="1"/>
  <c r="CN646" i="1"/>
  <c r="CO646" i="1"/>
  <c r="CP646" i="1"/>
  <c r="CQ646" i="1"/>
  <c r="CR646" i="1"/>
  <c r="CS646" i="1"/>
  <c r="CT646" i="1"/>
  <c r="CU646" i="1"/>
  <c r="CV646" i="1"/>
  <c r="CW646" i="1"/>
  <c r="CX646" i="1"/>
  <c r="CY646" i="1"/>
  <c r="CZ646" i="1"/>
  <c r="DA646" i="1"/>
  <c r="DB646" i="1"/>
  <c r="DC646" i="1"/>
  <c r="DD646" i="1"/>
  <c r="DE646" i="1"/>
  <c r="DF646" i="1"/>
  <c r="DG646" i="1"/>
  <c r="DH646" i="1"/>
  <c r="CL647" i="1"/>
  <c r="CM647" i="1"/>
  <c r="CN647" i="1"/>
  <c r="CO647" i="1"/>
  <c r="CP647" i="1"/>
  <c r="CQ647" i="1"/>
  <c r="CR647" i="1"/>
  <c r="CS647" i="1"/>
  <c r="CT647" i="1"/>
  <c r="CU647" i="1"/>
  <c r="CV647" i="1"/>
  <c r="CW647" i="1"/>
  <c r="CX647" i="1"/>
  <c r="CY647" i="1"/>
  <c r="CZ647" i="1"/>
  <c r="DA647" i="1"/>
  <c r="DB647" i="1"/>
  <c r="DC647" i="1"/>
  <c r="DD647" i="1"/>
  <c r="DE647" i="1"/>
  <c r="DF647" i="1"/>
  <c r="DG647" i="1"/>
  <c r="DH647" i="1"/>
  <c r="CL648" i="1"/>
  <c r="CM648" i="1"/>
  <c r="CN648" i="1"/>
  <c r="CO648" i="1"/>
  <c r="CP648" i="1"/>
  <c r="CQ648" i="1"/>
  <c r="CR648" i="1"/>
  <c r="CS648" i="1"/>
  <c r="CT648" i="1"/>
  <c r="CU648" i="1"/>
  <c r="CV648" i="1"/>
  <c r="CW648" i="1"/>
  <c r="CX648" i="1"/>
  <c r="CY648" i="1"/>
  <c r="CZ648" i="1"/>
  <c r="DA648" i="1"/>
  <c r="DB648" i="1"/>
  <c r="DC648" i="1"/>
  <c r="DD648" i="1"/>
  <c r="DE648" i="1"/>
  <c r="DF648" i="1"/>
  <c r="DG648" i="1"/>
  <c r="DH648" i="1"/>
  <c r="CL649" i="1"/>
  <c r="CM649" i="1"/>
  <c r="CN649" i="1"/>
  <c r="CO649" i="1"/>
  <c r="CP649" i="1"/>
  <c r="CQ649" i="1"/>
  <c r="CR649" i="1"/>
  <c r="CS649" i="1"/>
  <c r="CT649" i="1"/>
  <c r="CU649" i="1"/>
  <c r="CV649" i="1"/>
  <c r="CW649" i="1"/>
  <c r="CX649" i="1"/>
  <c r="CY649" i="1"/>
  <c r="CZ649" i="1"/>
  <c r="DA649" i="1"/>
  <c r="DB649" i="1"/>
  <c r="DC649" i="1"/>
  <c r="DD649" i="1"/>
  <c r="DE649" i="1"/>
  <c r="DF649" i="1"/>
  <c r="DG649" i="1"/>
  <c r="DH649" i="1"/>
  <c r="CL650" i="1"/>
  <c r="CM650" i="1"/>
  <c r="CN650" i="1"/>
  <c r="CO650" i="1"/>
  <c r="CP650" i="1"/>
  <c r="CQ650" i="1"/>
  <c r="CR650" i="1"/>
  <c r="CS650" i="1"/>
  <c r="CT650" i="1"/>
  <c r="CU650" i="1"/>
  <c r="CV650" i="1"/>
  <c r="CW650" i="1"/>
  <c r="CX650" i="1"/>
  <c r="CY650" i="1"/>
  <c r="CZ650" i="1"/>
  <c r="DA650" i="1"/>
  <c r="DB650" i="1"/>
  <c r="DC650" i="1"/>
  <c r="DD650" i="1"/>
  <c r="DE650" i="1"/>
  <c r="DF650" i="1"/>
  <c r="DG650" i="1"/>
  <c r="DH650" i="1"/>
  <c r="BM3" i="1"/>
  <c r="BN3" i="1"/>
  <c r="BO3" i="1"/>
  <c r="BP3" i="1"/>
  <c r="BQ3" i="1"/>
  <c r="BR3" i="1"/>
  <c r="BS3" i="1"/>
  <c r="BT3" i="1"/>
  <c r="BU3" i="1"/>
  <c r="BV3" i="1"/>
  <c r="BW3" i="1"/>
  <c r="BX3" i="1"/>
  <c r="BY3" i="1"/>
  <c r="BZ3" i="1"/>
  <c r="CA3" i="1"/>
  <c r="CB3" i="1"/>
  <c r="CC3" i="1"/>
  <c r="CD3" i="1"/>
  <c r="CE3" i="1"/>
  <c r="CF3" i="1"/>
  <c r="CG3" i="1"/>
  <c r="CH3" i="1"/>
  <c r="CI3" i="1"/>
  <c r="CJ3" i="1"/>
  <c r="CK3" i="1"/>
  <c r="BM4" i="1"/>
  <c r="BN4" i="1"/>
  <c r="BO4" i="1"/>
  <c r="BP4" i="1"/>
  <c r="BQ4" i="1"/>
  <c r="BR4" i="1"/>
  <c r="BS4" i="1"/>
  <c r="BT4" i="1"/>
  <c r="BU4" i="1"/>
  <c r="BV4" i="1"/>
  <c r="BW4" i="1"/>
  <c r="BX4" i="1"/>
  <c r="BY4" i="1"/>
  <c r="BZ4" i="1"/>
  <c r="CA4" i="1"/>
  <c r="CB4" i="1"/>
  <c r="CC4" i="1"/>
  <c r="CD4" i="1"/>
  <c r="CE4" i="1"/>
  <c r="CF4" i="1"/>
  <c r="CG4" i="1"/>
  <c r="CH4" i="1"/>
  <c r="CI4" i="1"/>
  <c r="CJ4" i="1"/>
  <c r="CK4" i="1"/>
  <c r="BM5" i="1"/>
  <c r="BN5" i="1"/>
  <c r="BO5" i="1"/>
  <c r="BP5" i="1"/>
  <c r="BQ5" i="1"/>
  <c r="BR5" i="1"/>
  <c r="BS5" i="1"/>
  <c r="BT5" i="1"/>
  <c r="BU5" i="1"/>
  <c r="BV5" i="1"/>
  <c r="BW5" i="1"/>
  <c r="BX5" i="1"/>
  <c r="BY5" i="1"/>
  <c r="BZ5" i="1"/>
  <c r="CA5" i="1"/>
  <c r="CB5" i="1"/>
  <c r="CC5" i="1"/>
  <c r="CD5" i="1"/>
  <c r="CE5" i="1"/>
  <c r="CF5" i="1"/>
  <c r="CG5" i="1"/>
  <c r="CH5" i="1"/>
  <c r="CI5" i="1"/>
  <c r="CJ5" i="1"/>
  <c r="CK5" i="1"/>
  <c r="BM6" i="1"/>
  <c r="BN6" i="1"/>
  <c r="BO6" i="1"/>
  <c r="BP6" i="1"/>
  <c r="BQ6" i="1"/>
  <c r="BR6" i="1"/>
  <c r="BS6" i="1"/>
  <c r="BT6" i="1"/>
  <c r="BU6" i="1"/>
  <c r="BV6" i="1"/>
  <c r="BW6" i="1"/>
  <c r="BX6" i="1"/>
  <c r="BY6" i="1"/>
  <c r="BZ6" i="1"/>
  <c r="CA6" i="1"/>
  <c r="CB6" i="1"/>
  <c r="CC6" i="1"/>
  <c r="CD6" i="1"/>
  <c r="CE6" i="1"/>
  <c r="CF6" i="1"/>
  <c r="CG6" i="1"/>
  <c r="CH6" i="1"/>
  <c r="CI6" i="1"/>
  <c r="CJ6" i="1"/>
  <c r="CK6" i="1"/>
  <c r="BM7" i="1"/>
  <c r="BN7" i="1"/>
  <c r="BO7" i="1"/>
  <c r="BP7" i="1"/>
  <c r="BQ7" i="1"/>
  <c r="BR7" i="1"/>
  <c r="BS7" i="1"/>
  <c r="BT7" i="1"/>
  <c r="BU7" i="1"/>
  <c r="BV7" i="1"/>
  <c r="BW7" i="1"/>
  <c r="BX7" i="1"/>
  <c r="BY7" i="1"/>
  <c r="BZ7" i="1"/>
  <c r="CA7" i="1"/>
  <c r="CB7" i="1"/>
  <c r="CC7" i="1"/>
  <c r="CD7" i="1"/>
  <c r="CE7" i="1"/>
  <c r="CF7" i="1"/>
  <c r="CG7" i="1"/>
  <c r="CH7" i="1"/>
  <c r="CI7" i="1"/>
  <c r="CJ7" i="1"/>
  <c r="CK7" i="1"/>
  <c r="BM8" i="1"/>
  <c r="BN8" i="1"/>
  <c r="BO8" i="1"/>
  <c r="BP8" i="1"/>
  <c r="BQ8" i="1"/>
  <c r="BR8" i="1"/>
  <c r="BS8" i="1"/>
  <c r="BT8" i="1"/>
  <c r="BU8" i="1"/>
  <c r="BV8" i="1"/>
  <c r="BW8" i="1"/>
  <c r="BX8" i="1"/>
  <c r="BY8" i="1"/>
  <c r="BZ8" i="1"/>
  <c r="CA8" i="1"/>
  <c r="CB8" i="1"/>
  <c r="CC8" i="1"/>
  <c r="CD8" i="1"/>
  <c r="CE8" i="1"/>
  <c r="CF8" i="1"/>
  <c r="CG8" i="1"/>
  <c r="CH8" i="1"/>
  <c r="CI8" i="1"/>
  <c r="CJ8" i="1"/>
  <c r="CK8" i="1"/>
  <c r="BM9" i="1"/>
  <c r="BN9" i="1"/>
  <c r="BO9" i="1"/>
  <c r="BP9" i="1"/>
  <c r="BQ9" i="1"/>
  <c r="BR9" i="1"/>
  <c r="BS9" i="1"/>
  <c r="BT9" i="1"/>
  <c r="BU9" i="1"/>
  <c r="BV9" i="1"/>
  <c r="BW9" i="1"/>
  <c r="BX9" i="1"/>
  <c r="BY9" i="1"/>
  <c r="BZ9" i="1"/>
  <c r="CA9" i="1"/>
  <c r="CB9" i="1"/>
  <c r="CC9" i="1"/>
  <c r="CD9" i="1"/>
  <c r="CE9" i="1"/>
  <c r="CF9" i="1"/>
  <c r="CG9" i="1"/>
  <c r="CH9" i="1"/>
  <c r="CI9" i="1"/>
  <c r="CJ9" i="1"/>
  <c r="CK9" i="1"/>
  <c r="BM10" i="1"/>
  <c r="BN10" i="1"/>
  <c r="BO10" i="1"/>
  <c r="BP10" i="1"/>
  <c r="BQ10" i="1"/>
  <c r="BR10" i="1"/>
  <c r="BS10" i="1"/>
  <c r="BT10" i="1"/>
  <c r="BU10" i="1"/>
  <c r="BV10" i="1"/>
  <c r="BW10" i="1"/>
  <c r="BX10" i="1"/>
  <c r="BY10" i="1"/>
  <c r="BZ10" i="1"/>
  <c r="CA10" i="1"/>
  <c r="CB10" i="1"/>
  <c r="CC10" i="1"/>
  <c r="CD10" i="1"/>
  <c r="CE10" i="1"/>
  <c r="CF10" i="1"/>
  <c r="CG10" i="1"/>
  <c r="CH10" i="1"/>
  <c r="CI10" i="1"/>
  <c r="CJ10" i="1"/>
  <c r="CK10"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BM40" i="1"/>
  <c r="BN40" i="1"/>
  <c r="BO40" i="1"/>
  <c r="BP40" i="1"/>
  <c r="BQ40" i="1"/>
  <c r="BR40" i="1"/>
  <c r="BS40" i="1"/>
  <c r="BT40" i="1"/>
  <c r="BU40" i="1"/>
  <c r="BV40" i="1"/>
  <c r="BW40" i="1"/>
  <c r="BX40" i="1"/>
  <c r="BY40" i="1"/>
  <c r="BZ40" i="1"/>
  <c r="CA40" i="1"/>
  <c r="CB40" i="1"/>
  <c r="CC40" i="1"/>
  <c r="CD40" i="1"/>
  <c r="CE40" i="1"/>
  <c r="CF40" i="1"/>
  <c r="CG40" i="1"/>
  <c r="CH40" i="1"/>
  <c r="CI40" i="1"/>
  <c r="CJ40" i="1"/>
  <c r="CK40" i="1"/>
  <c r="BM41" i="1"/>
  <c r="BN41" i="1"/>
  <c r="BO41" i="1"/>
  <c r="BP41" i="1"/>
  <c r="BQ41" i="1"/>
  <c r="BR41" i="1"/>
  <c r="BS41" i="1"/>
  <c r="BT41" i="1"/>
  <c r="BU41" i="1"/>
  <c r="BV41" i="1"/>
  <c r="BW41" i="1"/>
  <c r="BX41" i="1"/>
  <c r="BY41" i="1"/>
  <c r="BZ41" i="1"/>
  <c r="CA41" i="1"/>
  <c r="CB41" i="1"/>
  <c r="CC41" i="1"/>
  <c r="CD41" i="1"/>
  <c r="CE41" i="1"/>
  <c r="CF41" i="1"/>
  <c r="CG41" i="1"/>
  <c r="CH41" i="1"/>
  <c r="CI41" i="1"/>
  <c r="CJ41" i="1"/>
  <c r="CK41" i="1"/>
  <c r="BM42" i="1"/>
  <c r="BN42" i="1"/>
  <c r="BO42" i="1"/>
  <c r="BP42" i="1"/>
  <c r="BQ42" i="1"/>
  <c r="BR42" i="1"/>
  <c r="BS42" i="1"/>
  <c r="BT42" i="1"/>
  <c r="BU42" i="1"/>
  <c r="BV42" i="1"/>
  <c r="BW42" i="1"/>
  <c r="BX42" i="1"/>
  <c r="BY42" i="1"/>
  <c r="BZ42" i="1"/>
  <c r="CA42" i="1"/>
  <c r="CB42" i="1"/>
  <c r="CC42" i="1"/>
  <c r="CD42" i="1"/>
  <c r="CE42" i="1"/>
  <c r="CF42" i="1"/>
  <c r="CG42" i="1"/>
  <c r="CH42" i="1"/>
  <c r="CI42" i="1"/>
  <c r="CJ42" i="1"/>
  <c r="CK42"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BM60" i="1"/>
  <c r="BN60" i="1"/>
  <c r="BO60" i="1"/>
  <c r="BP60" i="1"/>
  <c r="BQ60" i="1"/>
  <c r="BR60" i="1"/>
  <c r="BS60" i="1"/>
  <c r="BT60" i="1"/>
  <c r="BU60" i="1"/>
  <c r="BV60" i="1"/>
  <c r="BW60" i="1"/>
  <c r="BX60" i="1"/>
  <c r="BY60" i="1"/>
  <c r="BZ60" i="1"/>
  <c r="CA60" i="1"/>
  <c r="CB60" i="1"/>
  <c r="CC60" i="1"/>
  <c r="CD60" i="1"/>
  <c r="CE60" i="1"/>
  <c r="CF60" i="1"/>
  <c r="CG60" i="1"/>
  <c r="CH60" i="1"/>
  <c r="CI60" i="1"/>
  <c r="CJ60" i="1"/>
  <c r="CK60"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BM82" i="1"/>
  <c r="BN82" i="1"/>
  <c r="BO82" i="1"/>
  <c r="BP82" i="1"/>
  <c r="BQ82" i="1"/>
  <c r="BR82" i="1"/>
  <c r="BS82" i="1"/>
  <c r="BT82" i="1"/>
  <c r="BU82" i="1"/>
  <c r="BV82" i="1"/>
  <c r="BW82" i="1"/>
  <c r="BX82" i="1"/>
  <c r="BY82" i="1"/>
  <c r="BZ82" i="1"/>
  <c r="CA82" i="1"/>
  <c r="CB82" i="1"/>
  <c r="CC82" i="1"/>
  <c r="CD82" i="1"/>
  <c r="CE82" i="1"/>
  <c r="CF82" i="1"/>
  <c r="CG82" i="1"/>
  <c r="CH82" i="1"/>
  <c r="CI82" i="1"/>
  <c r="CJ82" i="1"/>
  <c r="CK82"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BM102" i="1"/>
  <c r="BN102" i="1"/>
  <c r="BO102" i="1"/>
  <c r="BP102" i="1"/>
  <c r="BQ102" i="1"/>
  <c r="BR102" i="1"/>
  <c r="BS102" i="1"/>
  <c r="BT102" i="1"/>
  <c r="BU102" i="1"/>
  <c r="BV102" i="1"/>
  <c r="BW102" i="1"/>
  <c r="BX102" i="1"/>
  <c r="BY102" i="1"/>
  <c r="BZ102" i="1"/>
  <c r="CA102" i="1"/>
  <c r="CB102" i="1"/>
  <c r="CC102" i="1"/>
  <c r="CD102" i="1"/>
  <c r="CE102" i="1"/>
  <c r="CF102" i="1"/>
  <c r="CG102" i="1"/>
  <c r="CH102" i="1"/>
  <c r="CI102" i="1"/>
  <c r="CJ102" i="1"/>
  <c r="CK102" i="1"/>
  <c r="BM103" i="1"/>
  <c r="BN103" i="1"/>
  <c r="BO103" i="1"/>
  <c r="BP103" i="1"/>
  <c r="BQ103" i="1"/>
  <c r="BR103" i="1"/>
  <c r="BS103" i="1"/>
  <c r="BT103" i="1"/>
  <c r="BU103" i="1"/>
  <c r="BV103" i="1"/>
  <c r="BW103" i="1"/>
  <c r="BX103" i="1"/>
  <c r="BY103" i="1"/>
  <c r="BZ103" i="1"/>
  <c r="CA103" i="1"/>
  <c r="CB103" i="1"/>
  <c r="CC103" i="1"/>
  <c r="CD103" i="1"/>
  <c r="CE103" i="1"/>
  <c r="CF103" i="1"/>
  <c r="CG103" i="1"/>
  <c r="CH103" i="1"/>
  <c r="CI103" i="1"/>
  <c r="CJ103" i="1"/>
  <c r="CK103"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BM116" i="1"/>
  <c r="BN116" i="1"/>
  <c r="BO116" i="1"/>
  <c r="BP116" i="1"/>
  <c r="BQ116" i="1"/>
  <c r="BR116" i="1"/>
  <c r="BS116" i="1"/>
  <c r="BT116" i="1"/>
  <c r="BU116" i="1"/>
  <c r="BV116" i="1"/>
  <c r="BW116" i="1"/>
  <c r="BX116" i="1"/>
  <c r="BY116" i="1"/>
  <c r="BZ116" i="1"/>
  <c r="CA116" i="1"/>
  <c r="CB116" i="1"/>
  <c r="CC116" i="1"/>
  <c r="CD116" i="1"/>
  <c r="CE116" i="1"/>
  <c r="CF116" i="1"/>
  <c r="CG116" i="1"/>
  <c r="CH116" i="1"/>
  <c r="CI116" i="1"/>
  <c r="CJ116" i="1"/>
  <c r="CK116" i="1"/>
  <c r="BM117" i="1"/>
  <c r="BN117" i="1"/>
  <c r="BO117" i="1"/>
  <c r="BP117" i="1"/>
  <c r="BQ117" i="1"/>
  <c r="BR117" i="1"/>
  <c r="BS117" i="1"/>
  <c r="BT117" i="1"/>
  <c r="BU117" i="1"/>
  <c r="BV117" i="1"/>
  <c r="BW117" i="1"/>
  <c r="BX117" i="1"/>
  <c r="BY117" i="1"/>
  <c r="BZ117" i="1"/>
  <c r="CA117" i="1"/>
  <c r="CB117" i="1"/>
  <c r="CC117" i="1"/>
  <c r="CD117" i="1"/>
  <c r="CE117" i="1"/>
  <c r="CF117" i="1"/>
  <c r="CG117" i="1"/>
  <c r="CH117" i="1"/>
  <c r="CI117" i="1"/>
  <c r="CJ117" i="1"/>
  <c r="CK117"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BM133" i="1"/>
  <c r="BN133" i="1"/>
  <c r="BO133" i="1"/>
  <c r="BP133" i="1"/>
  <c r="BQ133" i="1"/>
  <c r="BR133" i="1"/>
  <c r="BS133" i="1"/>
  <c r="BT133" i="1"/>
  <c r="BU133" i="1"/>
  <c r="BV133" i="1"/>
  <c r="BW133" i="1"/>
  <c r="BX133" i="1"/>
  <c r="BY133" i="1"/>
  <c r="BZ133" i="1"/>
  <c r="CA133" i="1"/>
  <c r="CB133" i="1"/>
  <c r="CC133" i="1"/>
  <c r="CD133" i="1"/>
  <c r="CE133" i="1"/>
  <c r="CF133" i="1"/>
  <c r="CG133" i="1"/>
  <c r="CH133" i="1"/>
  <c r="CI133" i="1"/>
  <c r="CJ133" i="1"/>
  <c r="CK133" i="1"/>
  <c r="BM134" i="1"/>
  <c r="BN134" i="1"/>
  <c r="BO134" i="1"/>
  <c r="BP134" i="1"/>
  <c r="BQ134" i="1"/>
  <c r="BR134" i="1"/>
  <c r="BS134" i="1"/>
  <c r="BT134" i="1"/>
  <c r="BU134" i="1"/>
  <c r="BV134" i="1"/>
  <c r="BW134" i="1"/>
  <c r="BX134" i="1"/>
  <c r="BY134" i="1"/>
  <c r="BZ134" i="1"/>
  <c r="CA134" i="1"/>
  <c r="CB134" i="1"/>
  <c r="CC134" i="1"/>
  <c r="CD134" i="1"/>
  <c r="CE134" i="1"/>
  <c r="CF134" i="1"/>
  <c r="CG134" i="1"/>
  <c r="CH134" i="1"/>
  <c r="CI134" i="1"/>
  <c r="CJ134" i="1"/>
  <c r="CK134" i="1"/>
  <c r="BM135" i="1"/>
  <c r="BN135" i="1"/>
  <c r="BO135" i="1"/>
  <c r="BP135" i="1"/>
  <c r="BQ135" i="1"/>
  <c r="BR135" i="1"/>
  <c r="BS135" i="1"/>
  <c r="BT135" i="1"/>
  <c r="BU135" i="1"/>
  <c r="BV135" i="1"/>
  <c r="BW135" i="1"/>
  <c r="BX135" i="1"/>
  <c r="BY135" i="1"/>
  <c r="BZ135" i="1"/>
  <c r="CA135" i="1"/>
  <c r="CB135" i="1"/>
  <c r="CC135" i="1"/>
  <c r="CD135" i="1"/>
  <c r="CE135" i="1"/>
  <c r="CF135" i="1"/>
  <c r="CG135" i="1"/>
  <c r="CH135" i="1"/>
  <c r="CI135" i="1"/>
  <c r="CJ135" i="1"/>
  <c r="CK135" i="1"/>
  <c r="BM136" i="1"/>
  <c r="BN136" i="1"/>
  <c r="BO136" i="1"/>
  <c r="BP136" i="1"/>
  <c r="BQ136" i="1"/>
  <c r="BR136" i="1"/>
  <c r="BS136" i="1"/>
  <c r="BT136" i="1"/>
  <c r="BU136" i="1"/>
  <c r="BV136" i="1"/>
  <c r="BW136" i="1"/>
  <c r="BX136" i="1"/>
  <c r="BY136" i="1"/>
  <c r="BZ136" i="1"/>
  <c r="CA136" i="1"/>
  <c r="CB136" i="1"/>
  <c r="CC136" i="1"/>
  <c r="CD136" i="1"/>
  <c r="CE136" i="1"/>
  <c r="CF136" i="1"/>
  <c r="CG136" i="1"/>
  <c r="CH136" i="1"/>
  <c r="CI136" i="1"/>
  <c r="CJ136" i="1"/>
  <c r="CK136" i="1"/>
  <c r="BM137" i="1"/>
  <c r="BN137" i="1"/>
  <c r="BO137" i="1"/>
  <c r="BP137" i="1"/>
  <c r="BQ137" i="1"/>
  <c r="BR137" i="1"/>
  <c r="BS137" i="1"/>
  <c r="BT137" i="1"/>
  <c r="BU137" i="1"/>
  <c r="BV137" i="1"/>
  <c r="BW137" i="1"/>
  <c r="BX137" i="1"/>
  <c r="BY137" i="1"/>
  <c r="BZ137" i="1"/>
  <c r="CA137" i="1"/>
  <c r="CB137" i="1"/>
  <c r="CC137" i="1"/>
  <c r="CD137" i="1"/>
  <c r="CE137" i="1"/>
  <c r="CF137" i="1"/>
  <c r="CG137" i="1"/>
  <c r="CH137" i="1"/>
  <c r="CI137" i="1"/>
  <c r="CJ137" i="1"/>
  <c r="CK137" i="1"/>
  <c r="BM138" i="1"/>
  <c r="BN138" i="1"/>
  <c r="BO138" i="1"/>
  <c r="BP138" i="1"/>
  <c r="BQ138" i="1"/>
  <c r="BR138" i="1"/>
  <c r="BS138" i="1"/>
  <c r="BT138" i="1"/>
  <c r="BU138" i="1"/>
  <c r="BV138" i="1"/>
  <c r="BW138" i="1"/>
  <c r="BX138" i="1"/>
  <c r="BY138" i="1"/>
  <c r="BZ138" i="1"/>
  <c r="CA138" i="1"/>
  <c r="CB138" i="1"/>
  <c r="CC138" i="1"/>
  <c r="CD138" i="1"/>
  <c r="CE138" i="1"/>
  <c r="CF138" i="1"/>
  <c r="CG138" i="1"/>
  <c r="CH138" i="1"/>
  <c r="CI138" i="1"/>
  <c r="CJ138" i="1"/>
  <c r="CK138" i="1"/>
  <c r="BM139" i="1"/>
  <c r="BN139" i="1"/>
  <c r="BO139" i="1"/>
  <c r="BP139" i="1"/>
  <c r="BQ139" i="1"/>
  <c r="BR139" i="1"/>
  <c r="BS139" i="1"/>
  <c r="BT139" i="1"/>
  <c r="BU139" i="1"/>
  <c r="BV139" i="1"/>
  <c r="BW139" i="1"/>
  <c r="BX139" i="1"/>
  <c r="BY139" i="1"/>
  <c r="BZ139" i="1"/>
  <c r="CA139" i="1"/>
  <c r="CB139" i="1"/>
  <c r="CC139" i="1"/>
  <c r="CD139" i="1"/>
  <c r="CE139" i="1"/>
  <c r="CF139" i="1"/>
  <c r="CG139" i="1"/>
  <c r="CH139" i="1"/>
  <c r="CI139" i="1"/>
  <c r="CJ139" i="1"/>
  <c r="CK139" i="1"/>
  <c r="BM140" i="1"/>
  <c r="BN140" i="1"/>
  <c r="BO140" i="1"/>
  <c r="BP140" i="1"/>
  <c r="BQ140" i="1"/>
  <c r="BR140" i="1"/>
  <c r="BS140" i="1"/>
  <c r="BT140" i="1"/>
  <c r="BU140" i="1"/>
  <c r="BV140" i="1"/>
  <c r="BW140" i="1"/>
  <c r="BX140" i="1"/>
  <c r="BY140" i="1"/>
  <c r="BZ140" i="1"/>
  <c r="CA140" i="1"/>
  <c r="CB140" i="1"/>
  <c r="CC140" i="1"/>
  <c r="CD140" i="1"/>
  <c r="CE140" i="1"/>
  <c r="CF140" i="1"/>
  <c r="CG140" i="1"/>
  <c r="CH140" i="1"/>
  <c r="CI140" i="1"/>
  <c r="CJ140" i="1"/>
  <c r="CK140" i="1"/>
  <c r="BM141" i="1"/>
  <c r="BN141" i="1"/>
  <c r="BO141" i="1"/>
  <c r="BP141" i="1"/>
  <c r="BQ141" i="1"/>
  <c r="BR141" i="1"/>
  <c r="BS141" i="1"/>
  <c r="BT141" i="1"/>
  <c r="BU141" i="1"/>
  <c r="BV141" i="1"/>
  <c r="BW141" i="1"/>
  <c r="BX141" i="1"/>
  <c r="BY141" i="1"/>
  <c r="BZ141" i="1"/>
  <c r="CA141" i="1"/>
  <c r="CB141" i="1"/>
  <c r="CC141" i="1"/>
  <c r="CD141" i="1"/>
  <c r="CE141" i="1"/>
  <c r="CF141" i="1"/>
  <c r="CG141" i="1"/>
  <c r="CH141" i="1"/>
  <c r="CI141" i="1"/>
  <c r="CJ141" i="1"/>
  <c r="CK141" i="1"/>
  <c r="BM142" i="1"/>
  <c r="BN142" i="1"/>
  <c r="BO142" i="1"/>
  <c r="BP142" i="1"/>
  <c r="BQ142" i="1"/>
  <c r="BR142" i="1"/>
  <c r="BS142" i="1"/>
  <c r="BT142" i="1"/>
  <c r="BU142" i="1"/>
  <c r="BV142" i="1"/>
  <c r="BW142" i="1"/>
  <c r="BX142" i="1"/>
  <c r="BY142" i="1"/>
  <c r="BZ142" i="1"/>
  <c r="CA142" i="1"/>
  <c r="CB142" i="1"/>
  <c r="CC142" i="1"/>
  <c r="CD142" i="1"/>
  <c r="CE142" i="1"/>
  <c r="CF142" i="1"/>
  <c r="CG142" i="1"/>
  <c r="CH142" i="1"/>
  <c r="CI142" i="1"/>
  <c r="CJ142" i="1"/>
  <c r="CK142" i="1"/>
  <c r="BM143" i="1"/>
  <c r="BN143" i="1"/>
  <c r="BO143" i="1"/>
  <c r="BP143" i="1"/>
  <c r="BQ143" i="1"/>
  <c r="BR143" i="1"/>
  <c r="BS143" i="1"/>
  <c r="BT143" i="1"/>
  <c r="BU143" i="1"/>
  <c r="BV143" i="1"/>
  <c r="BW143" i="1"/>
  <c r="BX143" i="1"/>
  <c r="BY143" i="1"/>
  <c r="BZ143" i="1"/>
  <c r="CA143" i="1"/>
  <c r="CB143" i="1"/>
  <c r="CC143" i="1"/>
  <c r="CD143" i="1"/>
  <c r="CE143" i="1"/>
  <c r="CF143" i="1"/>
  <c r="CG143" i="1"/>
  <c r="CH143" i="1"/>
  <c r="CI143" i="1"/>
  <c r="CJ143" i="1"/>
  <c r="CK143" i="1"/>
  <c r="BM144" i="1"/>
  <c r="BN144" i="1"/>
  <c r="BO144" i="1"/>
  <c r="BP144" i="1"/>
  <c r="BQ144" i="1"/>
  <c r="BR144" i="1"/>
  <c r="BS144" i="1"/>
  <c r="BT144" i="1"/>
  <c r="BU144" i="1"/>
  <c r="BV144" i="1"/>
  <c r="BW144" i="1"/>
  <c r="BX144" i="1"/>
  <c r="BY144" i="1"/>
  <c r="BZ144" i="1"/>
  <c r="CA144" i="1"/>
  <c r="CB144" i="1"/>
  <c r="CC144" i="1"/>
  <c r="CD144" i="1"/>
  <c r="CE144" i="1"/>
  <c r="CF144" i="1"/>
  <c r="CG144" i="1"/>
  <c r="CH144" i="1"/>
  <c r="CI144" i="1"/>
  <c r="CJ144" i="1"/>
  <c r="CK144" i="1"/>
  <c r="BM145" i="1"/>
  <c r="BN145" i="1"/>
  <c r="BO145" i="1"/>
  <c r="BP145" i="1"/>
  <c r="BQ145" i="1"/>
  <c r="BR145" i="1"/>
  <c r="BS145" i="1"/>
  <c r="BT145" i="1"/>
  <c r="BU145" i="1"/>
  <c r="BV145" i="1"/>
  <c r="BW145" i="1"/>
  <c r="BX145" i="1"/>
  <c r="BY145" i="1"/>
  <c r="BZ145" i="1"/>
  <c r="CA145" i="1"/>
  <c r="CB145" i="1"/>
  <c r="CC145" i="1"/>
  <c r="CD145" i="1"/>
  <c r="CE145" i="1"/>
  <c r="CF145" i="1"/>
  <c r="CG145" i="1"/>
  <c r="CH145" i="1"/>
  <c r="CI145" i="1"/>
  <c r="CJ145" i="1"/>
  <c r="CK145" i="1"/>
  <c r="BM146" i="1"/>
  <c r="BN146" i="1"/>
  <c r="BO146" i="1"/>
  <c r="BP146" i="1"/>
  <c r="BQ146" i="1"/>
  <c r="BR146" i="1"/>
  <c r="BS146" i="1"/>
  <c r="BT146" i="1"/>
  <c r="BU146" i="1"/>
  <c r="BV146" i="1"/>
  <c r="BW146" i="1"/>
  <c r="BX146" i="1"/>
  <c r="BY146" i="1"/>
  <c r="BZ146" i="1"/>
  <c r="CA146" i="1"/>
  <c r="CB146" i="1"/>
  <c r="CC146" i="1"/>
  <c r="CD146" i="1"/>
  <c r="CE146" i="1"/>
  <c r="CF146" i="1"/>
  <c r="CG146" i="1"/>
  <c r="CH146" i="1"/>
  <c r="CI146" i="1"/>
  <c r="CJ146" i="1"/>
  <c r="CK146" i="1"/>
  <c r="BM147" i="1"/>
  <c r="BN147" i="1"/>
  <c r="BO147" i="1"/>
  <c r="BP147" i="1"/>
  <c r="BQ147" i="1"/>
  <c r="BR147" i="1"/>
  <c r="BS147" i="1"/>
  <c r="BT147" i="1"/>
  <c r="BU147" i="1"/>
  <c r="BV147" i="1"/>
  <c r="BW147" i="1"/>
  <c r="BX147" i="1"/>
  <c r="BY147" i="1"/>
  <c r="BZ147" i="1"/>
  <c r="CA147" i="1"/>
  <c r="CB147" i="1"/>
  <c r="CC147" i="1"/>
  <c r="CD147" i="1"/>
  <c r="CE147" i="1"/>
  <c r="CF147" i="1"/>
  <c r="CG147" i="1"/>
  <c r="CH147" i="1"/>
  <c r="CI147" i="1"/>
  <c r="CJ147" i="1"/>
  <c r="CK147" i="1"/>
  <c r="BM148" i="1"/>
  <c r="BN148" i="1"/>
  <c r="BO148" i="1"/>
  <c r="BP148" i="1"/>
  <c r="BQ148" i="1"/>
  <c r="BR148" i="1"/>
  <c r="BS148" i="1"/>
  <c r="BT148" i="1"/>
  <c r="BU148" i="1"/>
  <c r="BV148" i="1"/>
  <c r="BW148" i="1"/>
  <c r="BX148" i="1"/>
  <c r="BY148" i="1"/>
  <c r="BZ148" i="1"/>
  <c r="CA148" i="1"/>
  <c r="CB148" i="1"/>
  <c r="CC148" i="1"/>
  <c r="CD148" i="1"/>
  <c r="CE148" i="1"/>
  <c r="CF148" i="1"/>
  <c r="CG148" i="1"/>
  <c r="CH148" i="1"/>
  <c r="CI148" i="1"/>
  <c r="CJ148" i="1"/>
  <c r="CK148" i="1"/>
  <c r="BM149" i="1"/>
  <c r="BN149" i="1"/>
  <c r="BO149" i="1"/>
  <c r="BP149" i="1"/>
  <c r="BQ149" i="1"/>
  <c r="BR149" i="1"/>
  <c r="BS149" i="1"/>
  <c r="BT149" i="1"/>
  <c r="BU149" i="1"/>
  <c r="BV149" i="1"/>
  <c r="BW149" i="1"/>
  <c r="BX149" i="1"/>
  <c r="BY149" i="1"/>
  <c r="BZ149" i="1"/>
  <c r="CA149" i="1"/>
  <c r="CB149" i="1"/>
  <c r="CC149" i="1"/>
  <c r="CD149" i="1"/>
  <c r="CE149" i="1"/>
  <c r="CF149" i="1"/>
  <c r="CG149" i="1"/>
  <c r="CH149" i="1"/>
  <c r="CI149" i="1"/>
  <c r="CJ149" i="1"/>
  <c r="CK149" i="1"/>
  <c r="BM150" i="1"/>
  <c r="BN150" i="1"/>
  <c r="BO150" i="1"/>
  <c r="BP150" i="1"/>
  <c r="BQ150" i="1"/>
  <c r="BR150" i="1"/>
  <c r="BS150" i="1"/>
  <c r="BT150" i="1"/>
  <c r="BU150" i="1"/>
  <c r="BV150" i="1"/>
  <c r="BW150" i="1"/>
  <c r="BX150" i="1"/>
  <c r="BY150" i="1"/>
  <c r="BZ150" i="1"/>
  <c r="CA150" i="1"/>
  <c r="CB150" i="1"/>
  <c r="CC150" i="1"/>
  <c r="CD150" i="1"/>
  <c r="CE150" i="1"/>
  <c r="CF150" i="1"/>
  <c r="CG150" i="1"/>
  <c r="CH150" i="1"/>
  <c r="CI150" i="1"/>
  <c r="CJ150" i="1"/>
  <c r="CK150" i="1"/>
  <c r="BM151" i="1"/>
  <c r="BN151" i="1"/>
  <c r="BO151" i="1"/>
  <c r="BP151" i="1"/>
  <c r="BQ151" i="1"/>
  <c r="BR151" i="1"/>
  <c r="BS151" i="1"/>
  <c r="BT151" i="1"/>
  <c r="BU151" i="1"/>
  <c r="BV151" i="1"/>
  <c r="BW151" i="1"/>
  <c r="BX151" i="1"/>
  <c r="BY151" i="1"/>
  <c r="BZ151" i="1"/>
  <c r="CA151" i="1"/>
  <c r="CB151" i="1"/>
  <c r="CC151" i="1"/>
  <c r="CD151" i="1"/>
  <c r="CE151" i="1"/>
  <c r="CF151" i="1"/>
  <c r="CG151" i="1"/>
  <c r="CH151" i="1"/>
  <c r="CI151" i="1"/>
  <c r="CJ151" i="1"/>
  <c r="CK151" i="1"/>
  <c r="BM152" i="1"/>
  <c r="BN152" i="1"/>
  <c r="BO152" i="1"/>
  <c r="BP152" i="1"/>
  <c r="BQ152" i="1"/>
  <c r="BR152" i="1"/>
  <c r="BS152" i="1"/>
  <c r="BT152" i="1"/>
  <c r="BU152" i="1"/>
  <c r="BV152" i="1"/>
  <c r="BW152" i="1"/>
  <c r="BX152" i="1"/>
  <c r="BY152" i="1"/>
  <c r="BZ152" i="1"/>
  <c r="CA152" i="1"/>
  <c r="CB152" i="1"/>
  <c r="CC152" i="1"/>
  <c r="CD152" i="1"/>
  <c r="CE152" i="1"/>
  <c r="CF152" i="1"/>
  <c r="CG152" i="1"/>
  <c r="CH152" i="1"/>
  <c r="CI152" i="1"/>
  <c r="CJ152" i="1"/>
  <c r="CK152" i="1"/>
  <c r="BM153" i="1"/>
  <c r="BN153" i="1"/>
  <c r="BO153" i="1"/>
  <c r="BP153" i="1"/>
  <c r="BQ153" i="1"/>
  <c r="BR153" i="1"/>
  <c r="BS153" i="1"/>
  <c r="BT153" i="1"/>
  <c r="BU153" i="1"/>
  <c r="BV153" i="1"/>
  <c r="BW153" i="1"/>
  <c r="BX153" i="1"/>
  <c r="BY153" i="1"/>
  <c r="BZ153" i="1"/>
  <c r="CA153" i="1"/>
  <c r="CB153" i="1"/>
  <c r="CC153" i="1"/>
  <c r="CD153" i="1"/>
  <c r="CE153" i="1"/>
  <c r="CF153" i="1"/>
  <c r="CG153" i="1"/>
  <c r="CH153" i="1"/>
  <c r="CI153" i="1"/>
  <c r="CJ153" i="1"/>
  <c r="CK153" i="1"/>
  <c r="BM154" i="1"/>
  <c r="BN154" i="1"/>
  <c r="BO154" i="1"/>
  <c r="BP154" i="1"/>
  <c r="BQ154" i="1"/>
  <c r="BR154" i="1"/>
  <c r="BS154" i="1"/>
  <c r="BT154" i="1"/>
  <c r="BU154" i="1"/>
  <c r="BV154" i="1"/>
  <c r="BW154" i="1"/>
  <c r="BX154" i="1"/>
  <c r="BY154" i="1"/>
  <c r="BZ154" i="1"/>
  <c r="CA154" i="1"/>
  <c r="CB154" i="1"/>
  <c r="CC154" i="1"/>
  <c r="CD154" i="1"/>
  <c r="CE154" i="1"/>
  <c r="CF154" i="1"/>
  <c r="CG154" i="1"/>
  <c r="CH154" i="1"/>
  <c r="CI154" i="1"/>
  <c r="CJ154" i="1"/>
  <c r="CK154" i="1"/>
  <c r="BM155" i="1"/>
  <c r="BN155" i="1"/>
  <c r="BO155" i="1"/>
  <c r="BP155" i="1"/>
  <c r="BQ155" i="1"/>
  <c r="BR155" i="1"/>
  <c r="BS155" i="1"/>
  <c r="BT155" i="1"/>
  <c r="BU155" i="1"/>
  <c r="BV155" i="1"/>
  <c r="BW155" i="1"/>
  <c r="BX155" i="1"/>
  <c r="BY155" i="1"/>
  <c r="BZ155" i="1"/>
  <c r="CA155" i="1"/>
  <c r="CB155" i="1"/>
  <c r="CC155" i="1"/>
  <c r="CD155" i="1"/>
  <c r="CE155" i="1"/>
  <c r="CF155" i="1"/>
  <c r="CG155" i="1"/>
  <c r="CH155" i="1"/>
  <c r="CI155" i="1"/>
  <c r="CJ155" i="1"/>
  <c r="CK155" i="1"/>
  <c r="BM156" i="1"/>
  <c r="BN156" i="1"/>
  <c r="BO156" i="1"/>
  <c r="BP156" i="1"/>
  <c r="BQ156" i="1"/>
  <c r="BR156" i="1"/>
  <c r="BS156" i="1"/>
  <c r="BT156" i="1"/>
  <c r="BU156" i="1"/>
  <c r="BV156" i="1"/>
  <c r="BW156" i="1"/>
  <c r="BX156" i="1"/>
  <c r="BY156" i="1"/>
  <c r="BZ156" i="1"/>
  <c r="CA156" i="1"/>
  <c r="CB156" i="1"/>
  <c r="CC156" i="1"/>
  <c r="CD156" i="1"/>
  <c r="CE156" i="1"/>
  <c r="CF156" i="1"/>
  <c r="CG156" i="1"/>
  <c r="CH156" i="1"/>
  <c r="CI156" i="1"/>
  <c r="CJ156" i="1"/>
  <c r="CK156" i="1"/>
  <c r="BM157" i="1"/>
  <c r="BN157" i="1"/>
  <c r="BO157" i="1"/>
  <c r="BP157" i="1"/>
  <c r="BQ157" i="1"/>
  <c r="BR157" i="1"/>
  <c r="BS157" i="1"/>
  <c r="BT157" i="1"/>
  <c r="BU157" i="1"/>
  <c r="BV157" i="1"/>
  <c r="BW157" i="1"/>
  <c r="BX157" i="1"/>
  <c r="BY157" i="1"/>
  <c r="BZ157" i="1"/>
  <c r="CA157" i="1"/>
  <c r="CB157" i="1"/>
  <c r="CC157" i="1"/>
  <c r="CD157" i="1"/>
  <c r="CE157" i="1"/>
  <c r="CF157" i="1"/>
  <c r="CG157" i="1"/>
  <c r="CH157" i="1"/>
  <c r="CI157" i="1"/>
  <c r="CJ157" i="1"/>
  <c r="CK157"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BM206" i="1"/>
  <c r="BN206" i="1"/>
  <c r="BO206" i="1"/>
  <c r="BP206" i="1"/>
  <c r="BQ206" i="1"/>
  <c r="BR206" i="1"/>
  <c r="BS206" i="1"/>
  <c r="BT206" i="1"/>
  <c r="BU206" i="1"/>
  <c r="BV206" i="1"/>
  <c r="BW206" i="1"/>
  <c r="BX206" i="1"/>
  <c r="BY206" i="1"/>
  <c r="BZ206" i="1"/>
  <c r="CA206" i="1"/>
  <c r="CB206" i="1"/>
  <c r="CC206" i="1"/>
  <c r="CD206" i="1"/>
  <c r="CE206" i="1"/>
  <c r="CF206" i="1"/>
  <c r="CG206" i="1"/>
  <c r="CH206" i="1"/>
  <c r="CI206" i="1"/>
  <c r="CJ206" i="1"/>
  <c r="CK206" i="1"/>
  <c r="BM207" i="1"/>
  <c r="BN207" i="1"/>
  <c r="BO207" i="1"/>
  <c r="BP207" i="1"/>
  <c r="BQ207" i="1"/>
  <c r="BR207" i="1"/>
  <c r="BS207" i="1"/>
  <c r="BT207" i="1"/>
  <c r="BU207" i="1"/>
  <c r="BV207" i="1"/>
  <c r="BW207" i="1"/>
  <c r="BX207" i="1"/>
  <c r="BY207" i="1"/>
  <c r="BZ207" i="1"/>
  <c r="CA207" i="1"/>
  <c r="CB207" i="1"/>
  <c r="CC207" i="1"/>
  <c r="CD207" i="1"/>
  <c r="CE207" i="1"/>
  <c r="CF207" i="1"/>
  <c r="CG207" i="1"/>
  <c r="CH207" i="1"/>
  <c r="CI207" i="1"/>
  <c r="CJ207" i="1"/>
  <c r="CK207" i="1"/>
  <c r="BM208" i="1"/>
  <c r="BN208" i="1"/>
  <c r="BO208" i="1"/>
  <c r="BP208" i="1"/>
  <c r="BQ208" i="1"/>
  <c r="BR208" i="1"/>
  <c r="BS208" i="1"/>
  <c r="BT208" i="1"/>
  <c r="BU208" i="1"/>
  <c r="BV208" i="1"/>
  <c r="BW208" i="1"/>
  <c r="BX208" i="1"/>
  <c r="BY208" i="1"/>
  <c r="BZ208" i="1"/>
  <c r="CA208" i="1"/>
  <c r="CB208" i="1"/>
  <c r="CC208" i="1"/>
  <c r="CD208" i="1"/>
  <c r="CE208" i="1"/>
  <c r="CF208" i="1"/>
  <c r="CG208" i="1"/>
  <c r="CH208" i="1"/>
  <c r="CI208" i="1"/>
  <c r="CJ208" i="1"/>
  <c r="CK208" i="1"/>
  <c r="BM209" i="1"/>
  <c r="BN209" i="1"/>
  <c r="BO209" i="1"/>
  <c r="BP209" i="1"/>
  <c r="BQ209" i="1"/>
  <c r="BR209" i="1"/>
  <c r="BS209" i="1"/>
  <c r="BT209" i="1"/>
  <c r="BU209" i="1"/>
  <c r="BV209" i="1"/>
  <c r="BW209" i="1"/>
  <c r="BX209" i="1"/>
  <c r="BY209" i="1"/>
  <c r="BZ209" i="1"/>
  <c r="CA209" i="1"/>
  <c r="CB209" i="1"/>
  <c r="CC209" i="1"/>
  <c r="CD209" i="1"/>
  <c r="CE209" i="1"/>
  <c r="CF209" i="1"/>
  <c r="CG209" i="1"/>
  <c r="CH209" i="1"/>
  <c r="CI209" i="1"/>
  <c r="CJ209" i="1"/>
  <c r="CK209" i="1"/>
  <c r="BM210" i="1"/>
  <c r="BN210" i="1"/>
  <c r="BO210" i="1"/>
  <c r="BP210" i="1"/>
  <c r="BQ210" i="1"/>
  <c r="BR210" i="1"/>
  <c r="BS210" i="1"/>
  <c r="BT210" i="1"/>
  <c r="BU210" i="1"/>
  <c r="BV210" i="1"/>
  <c r="BW210" i="1"/>
  <c r="BX210" i="1"/>
  <c r="BY210" i="1"/>
  <c r="BZ210" i="1"/>
  <c r="CA210" i="1"/>
  <c r="CB210" i="1"/>
  <c r="CC210" i="1"/>
  <c r="CD210" i="1"/>
  <c r="CE210" i="1"/>
  <c r="CF210" i="1"/>
  <c r="CG210" i="1"/>
  <c r="CH210" i="1"/>
  <c r="CI210" i="1"/>
  <c r="CJ210" i="1"/>
  <c r="CK210" i="1"/>
  <c r="BM211" i="1"/>
  <c r="BN211" i="1"/>
  <c r="BO211" i="1"/>
  <c r="BP211" i="1"/>
  <c r="BQ211" i="1"/>
  <c r="BR211" i="1"/>
  <c r="BS211" i="1"/>
  <c r="BT211" i="1"/>
  <c r="BU211" i="1"/>
  <c r="BV211" i="1"/>
  <c r="BW211" i="1"/>
  <c r="BX211" i="1"/>
  <c r="BY211" i="1"/>
  <c r="BZ211" i="1"/>
  <c r="CA211" i="1"/>
  <c r="CB211" i="1"/>
  <c r="CC211" i="1"/>
  <c r="CD211" i="1"/>
  <c r="CE211" i="1"/>
  <c r="CF211" i="1"/>
  <c r="CG211" i="1"/>
  <c r="CH211" i="1"/>
  <c r="CI211" i="1"/>
  <c r="CJ211" i="1"/>
  <c r="CK211" i="1"/>
  <c r="BM212" i="1"/>
  <c r="BN212" i="1"/>
  <c r="BO212" i="1"/>
  <c r="BP212" i="1"/>
  <c r="BQ212" i="1"/>
  <c r="BR212" i="1"/>
  <c r="BS212" i="1"/>
  <c r="BT212" i="1"/>
  <c r="BU212" i="1"/>
  <c r="BV212" i="1"/>
  <c r="BW212" i="1"/>
  <c r="BX212" i="1"/>
  <c r="BY212" i="1"/>
  <c r="BZ212" i="1"/>
  <c r="CA212" i="1"/>
  <c r="CB212" i="1"/>
  <c r="CC212" i="1"/>
  <c r="CD212" i="1"/>
  <c r="CE212" i="1"/>
  <c r="CF212" i="1"/>
  <c r="CG212" i="1"/>
  <c r="CH212" i="1"/>
  <c r="CI212" i="1"/>
  <c r="CJ212" i="1"/>
  <c r="CK212" i="1"/>
  <c r="BM213" i="1"/>
  <c r="BN213" i="1"/>
  <c r="BO213" i="1"/>
  <c r="BP213" i="1"/>
  <c r="BQ213" i="1"/>
  <c r="BR213" i="1"/>
  <c r="BS213" i="1"/>
  <c r="BT213" i="1"/>
  <c r="BU213" i="1"/>
  <c r="BV213" i="1"/>
  <c r="BW213" i="1"/>
  <c r="BX213" i="1"/>
  <c r="BY213" i="1"/>
  <c r="BZ213" i="1"/>
  <c r="CA213" i="1"/>
  <c r="CB213" i="1"/>
  <c r="CC213" i="1"/>
  <c r="CD213" i="1"/>
  <c r="CE213" i="1"/>
  <c r="CF213" i="1"/>
  <c r="CG213" i="1"/>
  <c r="CH213" i="1"/>
  <c r="CI213" i="1"/>
  <c r="CJ213" i="1"/>
  <c r="CK213" i="1"/>
  <c r="BM214" i="1"/>
  <c r="BN214" i="1"/>
  <c r="BO214" i="1"/>
  <c r="BP214" i="1"/>
  <c r="BQ214" i="1"/>
  <c r="BR214" i="1"/>
  <c r="BS214" i="1"/>
  <c r="BT214" i="1"/>
  <c r="BU214" i="1"/>
  <c r="BV214" i="1"/>
  <c r="BW214" i="1"/>
  <c r="BX214" i="1"/>
  <c r="BY214" i="1"/>
  <c r="BZ214" i="1"/>
  <c r="CA214" i="1"/>
  <c r="CB214" i="1"/>
  <c r="CC214" i="1"/>
  <c r="CD214" i="1"/>
  <c r="CE214" i="1"/>
  <c r="CF214" i="1"/>
  <c r="CG214" i="1"/>
  <c r="CH214" i="1"/>
  <c r="CI214" i="1"/>
  <c r="CJ214" i="1"/>
  <c r="CK214" i="1"/>
  <c r="BM215" i="1"/>
  <c r="BN215" i="1"/>
  <c r="BO215" i="1"/>
  <c r="BP215" i="1"/>
  <c r="BQ215" i="1"/>
  <c r="BR215" i="1"/>
  <c r="BS215" i="1"/>
  <c r="BT215" i="1"/>
  <c r="BU215" i="1"/>
  <c r="BV215" i="1"/>
  <c r="BW215" i="1"/>
  <c r="BX215" i="1"/>
  <c r="BY215" i="1"/>
  <c r="BZ215" i="1"/>
  <c r="CA215" i="1"/>
  <c r="CB215" i="1"/>
  <c r="CC215" i="1"/>
  <c r="CD215" i="1"/>
  <c r="CE215" i="1"/>
  <c r="CF215" i="1"/>
  <c r="CG215" i="1"/>
  <c r="CH215" i="1"/>
  <c r="CI215" i="1"/>
  <c r="CJ215" i="1"/>
  <c r="CK215" i="1"/>
  <c r="BM216" i="1"/>
  <c r="BN216" i="1"/>
  <c r="BO216" i="1"/>
  <c r="BP216" i="1"/>
  <c r="BQ216" i="1"/>
  <c r="BR216" i="1"/>
  <c r="BS216" i="1"/>
  <c r="BT216" i="1"/>
  <c r="BU216" i="1"/>
  <c r="BV216" i="1"/>
  <c r="BW216" i="1"/>
  <c r="BX216" i="1"/>
  <c r="BY216" i="1"/>
  <c r="BZ216" i="1"/>
  <c r="CA216" i="1"/>
  <c r="CB216" i="1"/>
  <c r="CC216" i="1"/>
  <c r="CD216" i="1"/>
  <c r="CE216" i="1"/>
  <c r="CF216" i="1"/>
  <c r="CG216" i="1"/>
  <c r="CH216" i="1"/>
  <c r="CI216" i="1"/>
  <c r="CJ216" i="1"/>
  <c r="CK216" i="1"/>
  <c r="BM217" i="1"/>
  <c r="BN217" i="1"/>
  <c r="BO217" i="1"/>
  <c r="BP217" i="1"/>
  <c r="BQ217" i="1"/>
  <c r="BR217" i="1"/>
  <c r="BS217" i="1"/>
  <c r="BT217" i="1"/>
  <c r="BU217" i="1"/>
  <c r="BV217" i="1"/>
  <c r="BW217" i="1"/>
  <c r="BX217" i="1"/>
  <c r="BY217" i="1"/>
  <c r="BZ217" i="1"/>
  <c r="CA217" i="1"/>
  <c r="CB217" i="1"/>
  <c r="CC217" i="1"/>
  <c r="CD217" i="1"/>
  <c r="CE217" i="1"/>
  <c r="CF217" i="1"/>
  <c r="CG217" i="1"/>
  <c r="CH217" i="1"/>
  <c r="CI217" i="1"/>
  <c r="CJ217" i="1"/>
  <c r="CK217" i="1"/>
  <c r="BM218" i="1"/>
  <c r="BN218" i="1"/>
  <c r="BO218" i="1"/>
  <c r="BP218" i="1"/>
  <c r="BQ218" i="1"/>
  <c r="BR218" i="1"/>
  <c r="BS218" i="1"/>
  <c r="BT218" i="1"/>
  <c r="BU218" i="1"/>
  <c r="BV218" i="1"/>
  <c r="BW218" i="1"/>
  <c r="BX218" i="1"/>
  <c r="BY218" i="1"/>
  <c r="BZ218" i="1"/>
  <c r="CA218" i="1"/>
  <c r="CB218" i="1"/>
  <c r="CC218" i="1"/>
  <c r="CD218" i="1"/>
  <c r="CE218" i="1"/>
  <c r="CF218" i="1"/>
  <c r="CG218" i="1"/>
  <c r="CH218" i="1"/>
  <c r="CI218" i="1"/>
  <c r="CJ218" i="1"/>
  <c r="CK218" i="1"/>
  <c r="BM219" i="1"/>
  <c r="BN219" i="1"/>
  <c r="BO219" i="1"/>
  <c r="BP219" i="1"/>
  <c r="BQ219" i="1"/>
  <c r="BR219" i="1"/>
  <c r="BS219" i="1"/>
  <c r="BT219" i="1"/>
  <c r="BU219" i="1"/>
  <c r="BV219" i="1"/>
  <c r="BW219" i="1"/>
  <c r="BX219" i="1"/>
  <c r="BY219" i="1"/>
  <c r="BZ219" i="1"/>
  <c r="CA219" i="1"/>
  <c r="CB219" i="1"/>
  <c r="CC219" i="1"/>
  <c r="CD219" i="1"/>
  <c r="CE219" i="1"/>
  <c r="CF219" i="1"/>
  <c r="CG219" i="1"/>
  <c r="CH219" i="1"/>
  <c r="CI219" i="1"/>
  <c r="CJ219" i="1"/>
  <c r="CK219" i="1"/>
  <c r="BM220" i="1"/>
  <c r="BN220" i="1"/>
  <c r="BO220" i="1"/>
  <c r="BP220" i="1"/>
  <c r="BQ220" i="1"/>
  <c r="BR220" i="1"/>
  <c r="BS220" i="1"/>
  <c r="BT220" i="1"/>
  <c r="BU220" i="1"/>
  <c r="BV220" i="1"/>
  <c r="BW220" i="1"/>
  <c r="BX220" i="1"/>
  <c r="BY220" i="1"/>
  <c r="BZ220" i="1"/>
  <c r="CA220" i="1"/>
  <c r="CB220" i="1"/>
  <c r="CC220" i="1"/>
  <c r="CD220" i="1"/>
  <c r="CE220" i="1"/>
  <c r="CF220" i="1"/>
  <c r="CG220" i="1"/>
  <c r="CH220" i="1"/>
  <c r="CI220" i="1"/>
  <c r="CJ220" i="1"/>
  <c r="CK220" i="1"/>
  <c r="BM221" i="1"/>
  <c r="BN221" i="1"/>
  <c r="BO221" i="1"/>
  <c r="BP221" i="1"/>
  <c r="BQ221" i="1"/>
  <c r="BR221" i="1"/>
  <c r="BS221" i="1"/>
  <c r="BT221" i="1"/>
  <c r="BU221" i="1"/>
  <c r="BV221" i="1"/>
  <c r="BW221" i="1"/>
  <c r="BX221" i="1"/>
  <c r="BY221" i="1"/>
  <c r="BZ221" i="1"/>
  <c r="CA221" i="1"/>
  <c r="CB221" i="1"/>
  <c r="CC221" i="1"/>
  <c r="CD221" i="1"/>
  <c r="CE221" i="1"/>
  <c r="CF221" i="1"/>
  <c r="CG221" i="1"/>
  <c r="CH221" i="1"/>
  <c r="CI221" i="1"/>
  <c r="CJ221" i="1"/>
  <c r="CK221" i="1"/>
  <c r="BM222" i="1"/>
  <c r="BN222" i="1"/>
  <c r="BO222" i="1"/>
  <c r="BP222" i="1"/>
  <c r="BQ222" i="1"/>
  <c r="BR222" i="1"/>
  <c r="BS222" i="1"/>
  <c r="BT222" i="1"/>
  <c r="BU222" i="1"/>
  <c r="BV222" i="1"/>
  <c r="BW222" i="1"/>
  <c r="BX222" i="1"/>
  <c r="BY222" i="1"/>
  <c r="BZ222" i="1"/>
  <c r="CA222" i="1"/>
  <c r="CB222" i="1"/>
  <c r="CC222" i="1"/>
  <c r="CD222" i="1"/>
  <c r="CE222" i="1"/>
  <c r="CF222" i="1"/>
  <c r="CG222" i="1"/>
  <c r="CH222" i="1"/>
  <c r="CI222" i="1"/>
  <c r="CJ222" i="1"/>
  <c r="CK222" i="1"/>
  <c r="BM223" i="1"/>
  <c r="BN223" i="1"/>
  <c r="BO223" i="1"/>
  <c r="BP223" i="1"/>
  <c r="BQ223" i="1"/>
  <c r="BR223" i="1"/>
  <c r="BS223" i="1"/>
  <c r="BT223" i="1"/>
  <c r="BU223" i="1"/>
  <c r="BV223" i="1"/>
  <c r="BW223" i="1"/>
  <c r="BX223" i="1"/>
  <c r="BY223" i="1"/>
  <c r="BZ223" i="1"/>
  <c r="CA223" i="1"/>
  <c r="CB223" i="1"/>
  <c r="CC223" i="1"/>
  <c r="CD223" i="1"/>
  <c r="CE223" i="1"/>
  <c r="CF223" i="1"/>
  <c r="CG223" i="1"/>
  <c r="CH223" i="1"/>
  <c r="CI223" i="1"/>
  <c r="CJ223" i="1"/>
  <c r="CK223" i="1"/>
  <c r="BM224" i="1"/>
  <c r="BN224" i="1"/>
  <c r="BO224" i="1"/>
  <c r="BP224" i="1"/>
  <c r="BQ224" i="1"/>
  <c r="BR224" i="1"/>
  <c r="BS224" i="1"/>
  <c r="BT224" i="1"/>
  <c r="BU224" i="1"/>
  <c r="BV224" i="1"/>
  <c r="BW224" i="1"/>
  <c r="BX224" i="1"/>
  <c r="BY224" i="1"/>
  <c r="BZ224" i="1"/>
  <c r="CA224" i="1"/>
  <c r="CB224" i="1"/>
  <c r="CC224" i="1"/>
  <c r="CD224" i="1"/>
  <c r="CE224" i="1"/>
  <c r="CF224" i="1"/>
  <c r="CG224" i="1"/>
  <c r="CH224" i="1"/>
  <c r="CI224" i="1"/>
  <c r="CJ224" i="1"/>
  <c r="CK224" i="1"/>
  <c r="BM225" i="1"/>
  <c r="BN225" i="1"/>
  <c r="BO225" i="1"/>
  <c r="BP225" i="1"/>
  <c r="BQ225" i="1"/>
  <c r="BR225" i="1"/>
  <c r="BS225" i="1"/>
  <c r="BT225" i="1"/>
  <c r="BU225" i="1"/>
  <c r="BV225" i="1"/>
  <c r="BW225" i="1"/>
  <c r="BX225" i="1"/>
  <c r="BY225" i="1"/>
  <c r="BZ225" i="1"/>
  <c r="CA225" i="1"/>
  <c r="CB225" i="1"/>
  <c r="CC225" i="1"/>
  <c r="CD225" i="1"/>
  <c r="CE225" i="1"/>
  <c r="CF225" i="1"/>
  <c r="CG225" i="1"/>
  <c r="CH225" i="1"/>
  <c r="CI225" i="1"/>
  <c r="CJ225" i="1"/>
  <c r="CK225" i="1"/>
  <c r="BM226" i="1"/>
  <c r="BN226" i="1"/>
  <c r="BO226" i="1"/>
  <c r="BP226" i="1"/>
  <c r="BQ226" i="1"/>
  <c r="BR226" i="1"/>
  <c r="BS226" i="1"/>
  <c r="BT226" i="1"/>
  <c r="BU226" i="1"/>
  <c r="BV226" i="1"/>
  <c r="BW226" i="1"/>
  <c r="BX226" i="1"/>
  <c r="BY226" i="1"/>
  <c r="BZ226" i="1"/>
  <c r="CA226" i="1"/>
  <c r="CB226" i="1"/>
  <c r="CC226" i="1"/>
  <c r="CD226" i="1"/>
  <c r="CE226" i="1"/>
  <c r="CF226" i="1"/>
  <c r="CG226" i="1"/>
  <c r="CH226" i="1"/>
  <c r="CI226" i="1"/>
  <c r="CJ226" i="1"/>
  <c r="CK226" i="1"/>
  <c r="BM227" i="1"/>
  <c r="BN227" i="1"/>
  <c r="BO227" i="1"/>
  <c r="BP227" i="1"/>
  <c r="BQ227" i="1"/>
  <c r="BR227" i="1"/>
  <c r="BS227" i="1"/>
  <c r="BT227" i="1"/>
  <c r="BU227" i="1"/>
  <c r="BV227" i="1"/>
  <c r="BW227" i="1"/>
  <c r="BX227" i="1"/>
  <c r="BY227" i="1"/>
  <c r="BZ227" i="1"/>
  <c r="CA227" i="1"/>
  <c r="CB227" i="1"/>
  <c r="CC227" i="1"/>
  <c r="CD227" i="1"/>
  <c r="CE227" i="1"/>
  <c r="CF227" i="1"/>
  <c r="CG227" i="1"/>
  <c r="CH227" i="1"/>
  <c r="CI227" i="1"/>
  <c r="CJ227" i="1"/>
  <c r="CK227" i="1"/>
  <c r="BM228" i="1"/>
  <c r="BN228" i="1"/>
  <c r="BO228" i="1"/>
  <c r="BP228" i="1"/>
  <c r="BQ228" i="1"/>
  <c r="BR228" i="1"/>
  <c r="BS228" i="1"/>
  <c r="BT228" i="1"/>
  <c r="BU228" i="1"/>
  <c r="BV228" i="1"/>
  <c r="BW228" i="1"/>
  <c r="BX228" i="1"/>
  <c r="BY228" i="1"/>
  <c r="BZ228" i="1"/>
  <c r="CA228" i="1"/>
  <c r="CB228" i="1"/>
  <c r="CC228" i="1"/>
  <c r="CD228" i="1"/>
  <c r="CE228" i="1"/>
  <c r="CF228" i="1"/>
  <c r="CG228" i="1"/>
  <c r="CH228" i="1"/>
  <c r="CI228" i="1"/>
  <c r="CJ228" i="1"/>
  <c r="CK228" i="1"/>
  <c r="BM229" i="1"/>
  <c r="BN229" i="1"/>
  <c r="BO229" i="1"/>
  <c r="BP229" i="1"/>
  <c r="BQ229" i="1"/>
  <c r="BR229" i="1"/>
  <c r="BS229" i="1"/>
  <c r="BT229" i="1"/>
  <c r="BU229" i="1"/>
  <c r="BV229" i="1"/>
  <c r="BW229" i="1"/>
  <c r="BX229" i="1"/>
  <c r="BY229" i="1"/>
  <c r="BZ229" i="1"/>
  <c r="CA229" i="1"/>
  <c r="CB229" i="1"/>
  <c r="CC229" i="1"/>
  <c r="CD229" i="1"/>
  <c r="CE229" i="1"/>
  <c r="CF229" i="1"/>
  <c r="CG229" i="1"/>
  <c r="CH229" i="1"/>
  <c r="CI229" i="1"/>
  <c r="CJ229" i="1"/>
  <c r="CK229" i="1"/>
  <c r="BM230" i="1"/>
  <c r="BN230" i="1"/>
  <c r="BO230" i="1"/>
  <c r="BP230" i="1"/>
  <c r="BQ230" i="1"/>
  <c r="BR230" i="1"/>
  <c r="BS230" i="1"/>
  <c r="BT230" i="1"/>
  <c r="BU230" i="1"/>
  <c r="BV230" i="1"/>
  <c r="BW230" i="1"/>
  <c r="BX230" i="1"/>
  <c r="BY230" i="1"/>
  <c r="BZ230" i="1"/>
  <c r="CA230" i="1"/>
  <c r="CB230" i="1"/>
  <c r="CC230" i="1"/>
  <c r="CD230" i="1"/>
  <c r="CE230" i="1"/>
  <c r="CF230" i="1"/>
  <c r="CG230" i="1"/>
  <c r="CH230" i="1"/>
  <c r="CI230" i="1"/>
  <c r="CJ230" i="1"/>
  <c r="CK230" i="1"/>
  <c r="BM231" i="1"/>
  <c r="BN231" i="1"/>
  <c r="BO231" i="1"/>
  <c r="BP231" i="1"/>
  <c r="BQ231" i="1"/>
  <c r="BR231" i="1"/>
  <c r="BS231" i="1"/>
  <c r="BT231" i="1"/>
  <c r="BU231" i="1"/>
  <c r="BV231" i="1"/>
  <c r="BW231" i="1"/>
  <c r="BX231" i="1"/>
  <c r="BY231" i="1"/>
  <c r="BZ231" i="1"/>
  <c r="CA231" i="1"/>
  <c r="CB231" i="1"/>
  <c r="CC231" i="1"/>
  <c r="CD231" i="1"/>
  <c r="CE231" i="1"/>
  <c r="CF231" i="1"/>
  <c r="CG231" i="1"/>
  <c r="CH231" i="1"/>
  <c r="CI231" i="1"/>
  <c r="CJ231" i="1"/>
  <c r="CK231" i="1"/>
  <c r="BM232" i="1"/>
  <c r="BN232" i="1"/>
  <c r="BO232" i="1"/>
  <c r="BP232" i="1"/>
  <c r="BQ232" i="1"/>
  <c r="BR232" i="1"/>
  <c r="BS232" i="1"/>
  <c r="BT232" i="1"/>
  <c r="BU232" i="1"/>
  <c r="BV232" i="1"/>
  <c r="BW232" i="1"/>
  <c r="BX232" i="1"/>
  <c r="BY232" i="1"/>
  <c r="BZ232" i="1"/>
  <c r="CA232" i="1"/>
  <c r="CB232" i="1"/>
  <c r="CC232" i="1"/>
  <c r="CD232" i="1"/>
  <c r="CE232" i="1"/>
  <c r="CF232" i="1"/>
  <c r="CG232" i="1"/>
  <c r="CH232" i="1"/>
  <c r="CI232" i="1"/>
  <c r="CJ232" i="1"/>
  <c r="CK232" i="1"/>
  <c r="BM233" i="1"/>
  <c r="BN233" i="1"/>
  <c r="BO233" i="1"/>
  <c r="BP233" i="1"/>
  <c r="BQ233" i="1"/>
  <c r="BR233" i="1"/>
  <c r="BS233" i="1"/>
  <c r="BT233" i="1"/>
  <c r="BU233" i="1"/>
  <c r="BV233" i="1"/>
  <c r="BW233" i="1"/>
  <c r="BX233" i="1"/>
  <c r="BY233" i="1"/>
  <c r="BZ233" i="1"/>
  <c r="CA233" i="1"/>
  <c r="CB233" i="1"/>
  <c r="CC233" i="1"/>
  <c r="CD233" i="1"/>
  <c r="CE233" i="1"/>
  <c r="CF233" i="1"/>
  <c r="CG233" i="1"/>
  <c r="CH233" i="1"/>
  <c r="CI233" i="1"/>
  <c r="CJ233" i="1"/>
  <c r="CK233" i="1"/>
  <c r="BM234" i="1"/>
  <c r="BN234" i="1"/>
  <c r="BO234" i="1"/>
  <c r="BP234" i="1"/>
  <c r="BQ234" i="1"/>
  <c r="BR234" i="1"/>
  <c r="BS234" i="1"/>
  <c r="BT234" i="1"/>
  <c r="BU234" i="1"/>
  <c r="BV234" i="1"/>
  <c r="BW234" i="1"/>
  <c r="BX234" i="1"/>
  <c r="BY234" i="1"/>
  <c r="BZ234" i="1"/>
  <c r="CA234" i="1"/>
  <c r="CB234" i="1"/>
  <c r="CC234" i="1"/>
  <c r="CD234" i="1"/>
  <c r="CE234" i="1"/>
  <c r="CF234" i="1"/>
  <c r="CG234" i="1"/>
  <c r="CH234" i="1"/>
  <c r="CI234" i="1"/>
  <c r="CJ234" i="1"/>
  <c r="CK234" i="1"/>
  <c r="BM235" i="1"/>
  <c r="BN235" i="1"/>
  <c r="BO235" i="1"/>
  <c r="BP235" i="1"/>
  <c r="BQ235" i="1"/>
  <c r="BR235" i="1"/>
  <c r="BS235" i="1"/>
  <c r="BT235" i="1"/>
  <c r="BU235" i="1"/>
  <c r="BV235" i="1"/>
  <c r="BW235" i="1"/>
  <c r="BX235" i="1"/>
  <c r="BY235" i="1"/>
  <c r="BZ235" i="1"/>
  <c r="CA235" i="1"/>
  <c r="CB235" i="1"/>
  <c r="CC235" i="1"/>
  <c r="CD235" i="1"/>
  <c r="CE235" i="1"/>
  <c r="CF235" i="1"/>
  <c r="CG235" i="1"/>
  <c r="CH235" i="1"/>
  <c r="CI235" i="1"/>
  <c r="CJ235" i="1"/>
  <c r="CK235" i="1"/>
  <c r="BM236" i="1"/>
  <c r="BN236" i="1"/>
  <c r="BO236" i="1"/>
  <c r="BP236" i="1"/>
  <c r="BQ236" i="1"/>
  <c r="BR236" i="1"/>
  <c r="BS236" i="1"/>
  <c r="BT236" i="1"/>
  <c r="BU236" i="1"/>
  <c r="BV236" i="1"/>
  <c r="BW236" i="1"/>
  <c r="BX236" i="1"/>
  <c r="BY236" i="1"/>
  <c r="BZ236" i="1"/>
  <c r="CA236" i="1"/>
  <c r="CB236" i="1"/>
  <c r="CC236" i="1"/>
  <c r="CD236" i="1"/>
  <c r="CE236" i="1"/>
  <c r="CF236" i="1"/>
  <c r="CG236" i="1"/>
  <c r="CH236" i="1"/>
  <c r="CI236" i="1"/>
  <c r="CJ236" i="1"/>
  <c r="CK236" i="1"/>
  <c r="BM237" i="1"/>
  <c r="BN237" i="1"/>
  <c r="BO237" i="1"/>
  <c r="BP237" i="1"/>
  <c r="BQ237" i="1"/>
  <c r="BR237" i="1"/>
  <c r="BS237" i="1"/>
  <c r="BT237" i="1"/>
  <c r="BU237" i="1"/>
  <c r="BV237" i="1"/>
  <c r="BW237" i="1"/>
  <c r="BX237" i="1"/>
  <c r="BY237" i="1"/>
  <c r="BZ237" i="1"/>
  <c r="CA237" i="1"/>
  <c r="CB237" i="1"/>
  <c r="CC237" i="1"/>
  <c r="CD237" i="1"/>
  <c r="CE237" i="1"/>
  <c r="CF237" i="1"/>
  <c r="CG237" i="1"/>
  <c r="CH237" i="1"/>
  <c r="CI237" i="1"/>
  <c r="CJ237" i="1"/>
  <c r="CK237" i="1"/>
  <c r="BM238" i="1"/>
  <c r="BN238" i="1"/>
  <c r="BO238" i="1"/>
  <c r="BP238" i="1"/>
  <c r="BQ238" i="1"/>
  <c r="BR238" i="1"/>
  <c r="BS238" i="1"/>
  <c r="BT238" i="1"/>
  <c r="BU238" i="1"/>
  <c r="BV238" i="1"/>
  <c r="BW238" i="1"/>
  <c r="BX238" i="1"/>
  <c r="BY238" i="1"/>
  <c r="BZ238" i="1"/>
  <c r="CA238" i="1"/>
  <c r="CB238" i="1"/>
  <c r="CC238" i="1"/>
  <c r="CD238" i="1"/>
  <c r="CE238" i="1"/>
  <c r="CF238" i="1"/>
  <c r="CG238" i="1"/>
  <c r="CH238" i="1"/>
  <c r="CI238" i="1"/>
  <c r="CJ238" i="1"/>
  <c r="CK238" i="1"/>
  <c r="BM239" i="1"/>
  <c r="BN239" i="1"/>
  <c r="BO239" i="1"/>
  <c r="BP239" i="1"/>
  <c r="BQ239" i="1"/>
  <c r="BR239" i="1"/>
  <c r="BS239" i="1"/>
  <c r="BT239" i="1"/>
  <c r="BU239" i="1"/>
  <c r="BV239" i="1"/>
  <c r="BW239" i="1"/>
  <c r="BX239" i="1"/>
  <c r="BY239" i="1"/>
  <c r="BZ239" i="1"/>
  <c r="CA239" i="1"/>
  <c r="CB239" i="1"/>
  <c r="CC239" i="1"/>
  <c r="CD239" i="1"/>
  <c r="CE239" i="1"/>
  <c r="CF239" i="1"/>
  <c r="CG239" i="1"/>
  <c r="CH239" i="1"/>
  <c r="CI239" i="1"/>
  <c r="CJ239" i="1"/>
  <c r="CK239" i="1"/>
  <c r="BM240" i="1"/>
  <c r="BN240" i="1"/>
  <c r="BO240" i="1"/>
  <c r="BP240" i="1"/>
  <c r="BQ240" i="1"/>
  <c r="BR240" i="1"/>
  <c r="BS240" i="1"/>
  <c r="BT240" i="1"/>
  <c r="BU240" i="1"/>
  <c r="BV240" i="1"/>
  <c r="BW240" i="1"/>
  <c r="BX240" i="1"/>
  <c r="BY240" i="1"/>
  <c r="BZ240" i="1"/>
  <c r="CA240" i="1"/>
  <c r="CB240" i="1"/>
  <c r="CC240" i="1"/>
  <c r="CD240" i="1"/>
  <c r="CE240" i="1"/>
  <c r="CF240" i="1"/>
  <c r="CG240" i="1"/>
  <c r="CH240" i="1"/>
  <c r="CI240" i="1"/>
  <c r="CJ240" i="1"/>
  <c r="CK240" i="1"/>
  <c r="BM241" i="1"/>
  <c r="BN241" i="1"/>
  <c r="BO241" i="1"/>
  <c r="BP241" i="1"/>
  <c r="BQ241" i="1"/>
  <c r="BR241" i="1"/>
  <c r="BS241" i="1"/>
  <c r="BT241" i="1"/>
  <c r="BU241" i="1"/>
  <c r="BV241" i="1"/>
  <c r="BW241" i="1"/>
  <c r="BX241" i="1"/>
  <c r="BY241" i="1"/>
  <c r="BZ241" i="1"/>
  <c r="CA241" i="1"/>
  <c r="CB241" i="1"/>
  <c r="CC241" i="1"/>
  <c r="CD241" i="1"/>
  <c r="CE241" i="1"/>
  <c r="CF241" i="1"/>
  <c r="CG241" i="1"/>
  <c r="CH241" i="1"/>
  <c r="CI241" i="1"/>
  <c r="CJ241" i="1"/>
  <c r="CK241" i="1"/>
  <c r="BM242" i="1"/>
  <c r="BN242" i="1"/>
  <c r="BO242" i="1"/>
  <c r="BP242" i="1"/>
  <c r="BQ242" i="1"/>
  <c r="BR242" i="1"/>
  <c r="BS242" i="1"/>
  <c r="BT242" i="1"/>
  <c r="BU242" i="1"/>
  <c r="BV242" i="1"/>
  <c r="BW242" i="1"/>
  <c r="BX242" i="1"/>
  <c r="BY242" i="1"/>
  <c r="BZ242" i="1"/>
  <c r="CA242" i="1"/>
  <c r="CB242" i="1"/>
  <c r="CC242" i="1"/>
  <c r="CD242" i="1"/>
  <c r="CE242" i="1"/>
  <c r="CF242" i="1"/>
  <c r="CG242" i="1"/>
  <c r="CH242" i="1"/>
  <c r="CI242" i="1"/>
  <c r="CJ242" i="1"/>
  <c r="CK242" i="1"/>
  <c r="BM243" i="1"/>
  <c r="BN243" i="1"/>
  <c r="BO243" i="1"/>
  <c r="BP243" i="1"/>
  <c r="BQ243" i="1"/>
  <c r="BR243" i="1"/>
  <c r="BS243" i="1"/>
  <c r="BT243" i="1"/>
  <c r="BU243" i="1"/>
  <c r="BV243" i="1"/>
  <c r="BW243" i="1"/>
  <c r="BX243" i="1"/>
  <c r="BY243" i="1"/>
  <c r="BZ243" i="1"/>
  <c r="CA243" i="1"/>
  <c r="CB243" i="1"/>
  <c r="CC243" i="1"/>
  <c r="CD243" i="1"/>
  <c r="CE243" i="1"/>
  <c r="CF243" i="1"/>
  <c r="CG243" i="1"/>
  <c r="CH243" i="1"/>
  <c r="CI243" i="1"/>
  <c r="CJ243" i="1"/>
  <c r="CK243" i="1"/>
  <c r="BM244" i="1"/>
  <c r="BN244" i="1"/>
  <c r="BO244" i="1"/>
  <c r="BP244" i="1"/>
  <c r="BQ244" i="1"/>
  <c r="BR244" i="1"/>
  <c r="BS244" i="1"/>
  <c r="BT244" i="1"/>
  <c r="BU244" i="1"/>
  <c r="BV244" i="1"/>
  <c r="BW244" i="1"/>
  <c r="BX244" i="1"/>
  <c r="BY244" i="1"/>
  <c r="BZ244" i="1"/>
  <c r="CA244" i="1"/>
  <c r="CB244" i="1"/>
  <c r="CC244" i="1"/>
  <c r="CD244" i="1"/>
  <c r="CE244" i="1"/>
  <c r="CF244" i="1"/>
  <c r="CG244" i="1"/>
  <c r="CH244" i="1"/>
  <c r="CI244" i="1"/>
  <c r="CJ244" i="1"/>
  <c r="CK244" i="1"/>
  <c r="BM245" i="1"/>
  <c r="BN245" i="1"/>
  <c r="BO245" i="1"/>
  <c r="BP245" i="1"/>
  <c r="BQ245" i="1"/>
  <c r="BR245" i="1"/>
  <c r="BS245" i="1"/>
  <c r="BT245" i="1"/>
  <c r="BU245" i="1"/>
  <c r="BV245" i="1"/>
  <c r="BW245" i="1"/>
  <c r="BX245" i="1"/>
  <c r="BY245" i="1"/>
  <c r="BZ245" i="1"/>
  <c r="CA245" i="1"/>
  <c r="CB245" i="1"/>
  <c r="CC245" i="1"/>
  <c r="CD245" i="1"/>
  <c r="CE245" i="1"/>
  <c r="CF245" i="1"/>
  <c r="CG245" i="1"/>
  <c r="CH245" i="1"/>
  <c r="CI245" i="1"/>
  <c r="CJ245" i="1"/>
  <c r="CK245" i="1"/>
  <c r="BM246" i="1"/>
  <c r="BN246" i="1"/>
  <c r="BO246" i="1"/>
  <c r="BP246" i="1"/>
  <c r="BQ246" i="1"/>
  <c r="BR246" i="1"/>
  <c r="BS246" i="1"/>
  <c r="BT246" i="1"/>
  <c r="BU246" i="1"/>
  <c r="BV246" i="1"/>
  <c r="BW246" i="1"/>
  <c r="BX246" i="1"/>
  <c r="BY246" i="1"/>
  <c r="BZ246" i="1"/>
  <c r="CA246" i="1"/>
  <c r="CB246" i="1"/>
  <c r="CC246" i="1"/>
  <c r="CD246" i="1"/>
  <c r="CE246" i="1"/>
  <c r="CF246" i="1"/>
  <c r="CG246" i="1"/>
  <c r="CH246" i="1"/>
  <c r="CI246" i="1"/>
  <c r="CJ246" i="1"/>
  <c r="CK246" i="1"/>
  <c r="BM247" i="1"/>
  <c r="BN247" i="1"/>
  <c r="BO247" i="1"/>
  <c r="BP247" i="1"/>
  <c r="BQ247" i="1"/>
  <c r="BR247" i="1"/>
  <c r="BS247" i="1"/>
  <c r="BT247" i="1"/>
  <c r="BU247" i="1"/>
  <c r="BV247" i="1"/>
  <c r="BW247" i="1"/>
  <c r="BX247" i="1"/>
  <c r="BY247" i="1"/>
  <c r="BZ247" i="1"/>
  <c r="CA247" i="1"/>
  <c r="CB247" i="1"/>
  <c r="CC247" i="1"/>
  <c r="CD247" i="1"/>
  <c r="CE247" i="1"/>
  <c r="CF247" i="1"/>
  <c r="CG247" i="1"/>
  <c r="CH247" i="1"/>
  <c r="CI247" i="1"/>
  <c r="CJ247" i="1"/>
  <c r="CK247" i="1"/>
  <c r="BM248" i="1"/>
  <c r="BN248" i="1"/>
  <c r="BO248" i="1"/>
  <c r="BP248" i="1"/>
  <c r="BQ248" i="1"/>
  <c r="BR248" i="1"/>
  <c r="BS248" i="1"/>
  <c r="BT248" i="1"/>
  <c r="BU248" i="1"/>
  <c r="BV248" i="1"/>
  <c r="BW248" i="1"/>
  <c r="BX248" i="1"/>
  <c r="BY248" i="1"/>
  <c r="BZ248" i="1"/>
  <c r="CA248" i="1"/>
  <c r="CB248" i="1"/>
  <c r="CC248" i="1"/>
  <c r="CD248" i="1"/>
  <c r="CE248" i="1"/>
  <c r="CF248" i="1"/>
  <c r="CG248" i="1"/>
  <c r="CH248" i="1"/>
  <c r="CI248" i="1"/>
  <c r="CJ248" i="1"/>
  <c r="CK248" i="1"/>
  <c r="BM249" i="1"/>
  <c r="BN249" i="1"/>
  <c r="BO249" i="1"/>
  <c r="BP249" i="1"/>
  <c r="BQ249" i="1"/>
  <c r="BR249" i="1"/>
  <c r="BS249" i="1"/>
  <c r="BT249" i="1"/>
  <c r="BU249" i="1"/>
  <c r="BV249" i="1"/>
  <c r="BW249" i="1"/>
  <c r="BX249" i="1"/>
  <c r="BY249" i="1"/>
  <c r="BZ249" i="1"/>
  <c r="CA249" i="1"/>
  <c r="CB249" i="1"/>
  <c r="CC249" i="1"/>
  <c r="CD249" i="1"/>
  <c r="CE249" i="1"/>
  <c r="CF249" i="1"/>
  <c r="CG249" i="1"/>
  <c r="CH249" i="1"/>
  <c r="CI249" i="1"/>
  <c r="CJ249" i="1"/>
  <c r="CK249" i="1"/>
  <c r="BM250" i="1"/>
  <c r="BN250" i="1"/>
  <c r="BO250" i="1"/>
  <c r="BP250" i="1"/>
  <c r="BQ250" i="1"/>
  <c r="BR250" i="1"/>
  <c r="BS250" i="1"/>
  <c r="BT250" i="1"/>
  <c r="BU250" i="1"/>
  <c r="BV250" i="1"/>
  <c r="BW250" i="1"/>
  <c r="BX250" i="1"/>
  <c r="BY250" i="1"/>
  <c r="BZ250" i="1"/>
  <c r="CA250" i="1"/>
  <c r="CB250" i="1"/>
  <c r="CC250" i="1"/>
  <c r="CD250" i="1"/>
  <c r="CE250" i="1"/>
  <c r="CF250" i="1"/>
  <c r="CG250" i="1"/>
  <c r="CH250" i="1"/>
  <c r="CI250" i="1"/>
  <c r="CJ250" i="1"/>
  <c r="CK250" i="1"/>
  <c r="BM251" i="1"/>
  <c r="BN251" i="1"/>
  <c r="BO251" i="1"/>
  <c r="BP251" i="1"/>
  <c r="BQ251" i="1"/>
  <c r="BR251" i="1"/>
  <c r="BS251" i="1"/>
  <c r="BT251" i="1"/>
  <c r="BU251" i="1"/>
  <c r="BV251" i="1"/>
  <c r="BW251" i="1"/>
  <c r="BX251" i="1"/>
  <c r="BY251" i="1"/>
  <c r="BZ251" i="1"/>
  <c r="CA251" i="1"/>
  <c r="CB251" i="1"/>
  <c r="CC251" i="1"/>
  <c r="CD251" i="1"/>
  <c r="CE251" i="1"/>
  <c r="CF251" i="1"/>
  <c r="CG251" i="1"/>
  <c r="CH251" i="1"/>
  <c r="CI251" i="1"/>
  <c r="CJ251" i="1"/>
  <c r="CK251" i="1"/>
  <c r="BM252" i="1"/>
  <c r="BN252" i="1"/>
  <c r="BO252" i="1"/>
  <c r="BP252" i="1"/>
  <c r="BQ252" i="1"/>
  <c r="BR252" i="1"/>
  <c r="BS252" i="1"/>
  <c r="BT252" i="1"/>
  <c r="BU252" i="1"/>
  <c r="BV252" i="1"/>
  <c r="BW252" i="1"/>
  <c r="BX252" i="1"/>
  <c r="BY252" i="1"/>
  <c r="BZ252" i="1"/>
  <c r="CA252" i="1"/>
  <c r="CB252" i="1"/>
  <c r="CC252" i="1"/>
  <c r="CD252" i="1"/>
  <c r="CE252" i="1"/>
  <c r="CF252" i="1"/>
  <c r="CG252" i="1"/>
  <c r="CH252" i="1"/>
  <c r="CI252" i="1"/>
  <c r="CJ252" i="1"/>
  <c r="CK252" i="1"/>
  <c r="BM253" i="1"/>
  <c r="BN253" i="1"/>
  <c r="BO253" i="1"/>
  <c r="BP253" i="1"/>
  <c r="BQ253" i="1"/>
  <c r="BR253" i="1"/>
  <c r="BS253" i="1"/>
  <c r="BT253" i="1"/>
  <c r="BU253" i="1"/>
  <c r="BV253" i="1"/>
  <c r="BW253" i="1"/>
  <c r="BX253" i="1"/>
  <c r="BY253" i="1"/>
  <c r="BZ253" i="1"/>
  <c r="CA253" i="1"/>
  <c r="CB253" i="1"/>
  <c r="CC253" i="1"/>
  <c r="CD253" i="1"/>
  <c r="CE253" i="1"/>
  <c r="CF253" i="1"/>
  <c r="CG253" i="1"/>
  <c r="CH253" i="1"/>
  <c r="CI253" i="1"/>
  <c r="CJ253" i="1"/>
  <c r="CK253" i="1"/>
  <c r="BM254" i="1"/>
  <c r="BN254" i="1"/>
  <c r="BO254" i="1"/>
  <c r="BP254" i="1"/>
  <c r="BQ254" i="1"/>
  <c r="BR254" i="1"/>
  <c r="BS254" i="1"/>
  <c r="BT254" i="1"/>
  <c r="BU254" i="1"/>
  <c r="BV254" i="1"/>
  <c r="BW254" i="1"/>
  <c r="BX254" i="1"/>
  <c r="BY254" i="1"/>
  <c r="BZ254" i="1"/>
  <c r="CA254" i="1"/>
  <c r="CB254" i="1"/>
  <c r="CC254" i="1"/>
  <c r="CD254" i="1"/>
  <c r="CE254" i="1"/>
  <c r="CF254" i="1"/>
  <c r="CG254" i="1"/>
  <c r="CH254" i="1"/>
  <c r="CI254" i="1"/>
  <c r="CJ254" i="1"/>
  <c r="CK254" i="1"/>
  <c r="BM255" i="1"/>
  <c r="BN255" i="1"/>
  <c r="BO255" i="1"/>
  <c r="BP255" i="1"/>
  <c r="BQ255" i="1"/>
  <c r="BR255" i="1"/>
  <c r="BS255" i="1"/>
  <c r="BT255" i="1"/>
  <c r="BU255" i="1"/>
  <c r="BV255" i="1"/>
  <c r="BW255" i="1"/>
  <c r="BX255" i="1"/>
  <c r="BY255" i="1"/>
  <c r="BZ255" i="1"/>
  <c r="CA255" i="1"/>
  <c r="CB255" i="1"/>
  <c r="CC255" i="1"/>
  <c r="CD255" i="1"/>
  <c r="CE255" i="1"/>
  <c r="CF255" i="1"/>
  <c r="CG255" i="1"/>
  <c r="CH255" i="1"/>
  <c r="CI255" i="1"/>
  <c r="CJ255" i="1"/>
  <c r="CK255" i="1"/>
  <c r="BM256" i="1"/>
  <c r="BN256" i="1"/>
  <c r="BO256" i="1"/>
  <c r="BP256" i="1"/>
  <c r="BQ256" i="1"/>
  <c r="BR256" i="1"/>
  <c r="BS256" i="1"/>
  <c r="BT256" i="1"/>
  <c r="BU256" i="1"/>
  <c r="BV256" i="1"/>
  <c r="BW256" i="1"/>
  <c r="BX256" i="1"/>
  <c r="BY256" i="1"/>
  <c r="BZ256" i="1"/>
  <c r="CA256" i="1"/>
  <c r="CB256" i="1"/>
  <c r="CC256" i="1"/>
  <c r="CD256" i="1"/>
  <c r="CE256" i="1"/>
  <c r="CF256" i="1"/>
  <c r="CG256" i="1"/>
  <c r="CH256" i="1"/>
  <c r="CI256" i="1"/>
  <c r="CJ256" i="1"/>
  <c r="CK256" i="1"/>
  <c r="BM257" i="1"/>
  <c r="BN257" i="1"/>
  <c r="BO257" i="1"/>
  <c r="BP257" i="1"/>
  <c r="BQ257" i="1"/>
  <c r="BR257" i="1"/>
  <c r="BS257" i="1"/>
  <c r="BT257" i="1"/>
  <c r="BU257" i="1"/>
  <c r="BV257" i="1"/>
  <c r="BW257" i="1"/>
  <c r="BX257" i="1"/>
  <c r="BY257" i="1"/>
  <c r="BZ257" i="1"/>
  <c r="CA257" i="1"/>
  <c r="CB257" i="1"/>
  <c r="CC257" i="1"/>
  <c r="CD257" i="1"/>
  <c r="CE257" i="1"/>
  <c r="CF257" i="1"/>
  <c r="CG257" i="1"/>
  <c r="CH257" i="1"/>
  <c r="CI257" i="1"/>
  <c r="CJ257" i="1"/>
  <c r="CK257" i="1"/>
  <c r="BM258" i="1"/>
  <c r="BN258" i="1"/>
  <c r="BO258" i="1"/>
  <c r="BP258" i="1"/>
  <c r="BQ258" i="1"/>
  <c r="BR258" i="1"/>
  <c r="BS258" i="1"/>
  <c r="BT258" i="1"/>
  <c r="BU258" i="1"/>
  <c r="BV258" i="1"/>
  <c r="BW258" i="1"/>
  <c r="BX258" i="1"/>
  <c r="BY258" i="1"/>
  <c r="BZ258" i="1"/>
  <c r="CA258" i="1"/>
  <c r="CB258" i="1"/>
  <c r="CC258" i="1"/>
  <c r="CD258" i="1"/>
  <c r="CE258" i="1"/>
  <c r="CF258" i="1"/>
  <c r="CG258" i="1"/>
  <c r="CH258" i="1"/>
  <c r="CI258" i="1"/>
  <c r="CJ258" i="1"/>
  <c r="CK258" i="1"/>
  <c r="BM259" i="1"/>
  <c r="BN259" i="1"/>
  <c r="BO259" i="1"/>
  <c r="BP259" i="1"/>
  <c r="BQ259" i="1"/>
  <c r="BR259" i="1"/>
  <c r="BS259" i="1"/>
  <c r="BT259" i="1"/>
  <c r="BU259" i="1"/>
  <c r="BV259" i="1"/>
  <c r="BW259" i="1"/>
  <c r="BX259" i="1"/>
  <c r="BY259" i="1"/>
  <c r="BZ259" i="1"/>
  <c r="CA259" i="1"/>
  <c r="CB259" i="1"/>
  <c r="CC259" i="1"/>
  <c r="CD259" i="1"/>
  <c r="CE259" i="1"/>
  <c r="CF259" i="1"/>
  <c r="CG259" i="1"/>
  <c r="CH259" i="1"/>
  <c r="CI259" i="1"/>
  <c r="CJ259" i="1"/>
  <c r="CK259" i="1"/>
  <c r="BM260" i="1"/>
  <c r="BN260" i="1"/>
  <c r="BO260" i="1"/>
  <c r="BP260" i="1"/>
  <c r="BQ260" i="1"/>
  <c r="BR260" i="1"/>
  <c r="BS260" i="1"/>
  <c r="BT260" i="1"/>
  <c r="BU260" i="1"/>
  <c r="BV260" i="1"/>
  <c r="BW260" i="1"/>
  <c r="BX260" i="1"/>
  <c r="BY260" i="1"/>
  <c r="BZ260" i="1"/>
  <c r="CA260" i="1"/>
  <c r="CB260" i="1"/>
  <c r="CC260" i="1"/>
  <c r="CD260" i="1"/>
  <c r="CE260" i="1"/>
  <c r="CF260" i="1"/>
  <c r="CG260" i="1"/>
  <c r="CH260" i="1"/>
  <c r="CI260" i="1"/>
  <c r="CJ260" i="1"/>
  <c r="CK260" i="1"/>
  <c r="BM261" i="1"/>
  <c r="BN261" i="1"/>
  <c r="BO261" i="1"/>
  <c r="BP261" i="1"/>
  <c r="BQ261" i="1"/>
  <c r="BR261" i="1"/>
  <c r="BS261" i="1"/>
  <c r="BT261" i="1"/>
  <c r="BU261" i="1"/>
  <c r="BV261" i="1"/>
  <c r="BW261" i="1"/>
  <c r="BX261" i="1"/>
  <c r="BY261" i="1"/>
  <c r="BZ261" i="1"/>
  <c r="CA261" i="1"/>
  <c r="CB261" i="1"/>
  <c r="CC261" i="1"/>
  <c r="CD261" i="1"/>
  <c r="CE261" i="1"/>
  <c r="CF261" i="1"/>
  <c r="CG261" i="1"/>
  <c r="CH261" i="1"/>
  <c r="CI261" i="1"/>
  <c r="CJ261" i="1"/>
  <c r="CK261" i="1"/>
  <c r="BM262" i="1"/>
  <c r="BN262" i="1"/>
  <c r="BO262" i="1"/>
  <c r="BP262" i="1"/>
  <c r="BQ262" i="1"/>
  <c r="BR262" i="1"/>
  <c r="BS262" i="1"/>
  <c r="BT262" i="1"/>
  <c r="BU262" i="1"/>
  <c r="BV262" i="1"/>
  <c r="BW262" i="1"/>
  <c r="BX262" i="1"/>
  <c r="BY262" i="1"/>
  <c r="BZ262" i="1"/>
  <c r="CA262" i="1"/>
  <c r="CB262" i="1"/>
  <c r="CC262" i="1"/>
  <c r="CD262" i="1"/>
  <c r="CE262" i="1"/>
  <c r="CF262" i="1"/>
  <c r="CG262" i="1"/>
  <c r="CH262" i="1"/>
  <c r="CI262" i="1"/>
  <c r="CJ262" i="1"/>
  <c r="CK262" i="1"/>
  <c r="BM263" i="1"/>
  <c r="BN263" i="1"/>
  <c r="BO263" i="1"/>
  <c r="BP263" i="1"/>
  <c r="BQ263" i="1"/>
  <c r="BR263" i="1"/>
  <c r="BS263" i="1"/>
  <c r="BT263" i="1"/>
  <c r="BU263" i="1"/>
  <c r="BV263" i="1"/>
  <c r="BW263" i="1"/>
  <c r="BX263" i="1"/>
  <c r="BY263" i="1"/>
  <c r="BZ263" i="1"/>
  <c r="CA263" i="1"/>
  <c r="CB263" i="1"/>
  <c r="CC263" i="1"/>
  <c r="CD263" i="1"/>
  <c r="CE263" i="1"/>
  <c r="CF263" i="1"/>
  <c r="CG263" i="1"/>
  <c r="CH263" i="1"/>
  <c r="CI263" i="1"/>
  <c r="CJ263" i="1"/>
  <c r="CK263" i="1"/>
  <c r="BM264" i="1"/>
  <c r="BN264" i="1"/>
  <c r="BO264" i="1"/>
  <c r="BP264" i="1"/>
  <c r="BQ264" i="1"/>
  <c r="BR264" i="1"/>
  <c r="BS264" i="1"/>
  <c r="BT264" i="1"/>
  <c r="BU264" i="1"/>
  <c r="BV264" i="1"/>
  <c r="BW264" i="1"/>
  <c r="BX264" i="1"/>
  <c r="BY264" i="1"/>
  <c r="BZ264" i="1"/>
  <c r="CA264" i="1"/>
  <c r="CB264" i="1"/>
  <c r="CC264" i="1"/>
  <c r="CD264" i="1"/>
  <c r="CE264" i="1"/>
  <c r="CF264" i="1"/>
  <c r="CG264" i="1"/>
  <c r="CH264" i="1"/>
  <c r="CI264" i="1"/>
  <c r="CJ264" i="1"/>
  <c r="CK264" i="1"/>
  <c r="BM265" i="1"/>
  <c r="BN265" i="1"/>
  <c r="BO265" i="1"/>
  <c r="BP265" i="1"/>
  <c r="BQ265" i="1"/>
  <c r="BR265" i="1"/>
  <c r="BS265" i="1"/>
  <c r="BT265" i="1"/>
  <c r="BU265" i="1"/>
  <c r="BV265" i="1"/>
  <c r="BW265" i="1"/>
  <c r="BX265" i="1"/>
  <c r="BY265" i="1"/>
  <c r="BZ265" i="1"/>
  <c r="CA265" i="1"/>
  <c r="CB265" i="1"/>
  <c r="CC265" i="1"/>
  <c r="CD265" i="1"/>
  <c r="CE265" i="1"/>
  <c r="CF265" i="1"/>
  <c r="CG265" i="1"/>
  <c r="CH265" i="1"/>
  <c r="CI265" i="1"/>
  <c r="CJ265" i="1"/>
  <c r="CK265" i="1"/>
  <c r="BM266" i="1"/>
  <c r="BN266" i="1"/>
  <c r="BO266" i="1"/>
  <c r="BP266" i="1"/>
  <c r="BQ266" i="1"/>
  <c r="BR266" i="1"/>
  <c r="BS266" i="1"/>
  <c r="BT266" i="1"/>
  <c r="BU266" i="1"/>
  <c r="BV266" i="1"/>
  <c r="BW266" i="1"/>
  <c r="BX266" i="1"/>
  <c r="BY266" i="1"/>
  <c r="BZ266" i="1"/>
  <c r="CA266" i="1"/>
  <c r="CB266" i="1"/>
  <c r="CC266" i="1"/>
  <c r="CD266" i="1"/>
  <c r="CE266" i="1"/>
  <c r="CF266" i="1"/>
  <c r="CG266" i="1"/>
  <c r="CH266" i="1"/>
  <c r="CI266" i="1"/>
  <c r="CJ266" i="1"/>
  <c r="CK266" i="1"/>
  <c r="BM267" i="1"/>
  <c r="BN267" i="1"/>
  <c r="BO267" i="1"/>
  <c r="BP267" i="1"/>
  <c r="BQ267" i="1"/>
  <c r="BR267" i="1"/>
  <c r="BS267" i="1"/>
  <c r="BT267" i="1"/>
  <c r="BU267" i="1"/>
  <c r="BV267" i="1"/>
  <c r="BW267" i="1"/>
  <c r="BX267" i="1"/>
  <c r="BY267" i="1"/>
  <c r="BZ267" i="1"/>
  <c r="CA267" i="1"/>
  <c r="CB267" i="1"/>
  <c r="CC267" i="1"/>
  <c r="CD267" i="1"/>
  <c r="CE267" i="1"/>
  <c r="CF267" i="1"/>
  <c r="CG267" i="1"/>
  <c r="CH267" i="1"/>
  <c r="CI267" i="1"/>
  <c r="CJ267" i="1"/>
  <c r="CK267" i="1"/>
  <c r="BM268" i="1"/>
  <c r="BN268" i="1"/>
  <c r="BO268" i="1"/>
  <c r="BP268" i="1"/>
  <c r="BQ268" i="1"/>
  <c r="BR268" i="1"/>
  <c r="BS268" i="1"/>
  <c r="BT268" i="1"/>
  <c r="BU268" i="1"/>
  <c r="BV268" i="1"/>
  <c r="BW268" i="1"/>
  <c r="BX268" i="1"/>
  <c r="BY268" i="1"/>
  <c r="BZ268" i="1"/>
  <c r="CA268" i="1"/>
  <c r="CB268" i="1"/>
  <c r="CC268" i="1"/>
  <c r="CD268" i="1"/>
  <c r="CE268" i="1"/>
  <c r="CF268" i="1"/>
  <c r="CG268" i="1"/>
  <c r="CH268" i="1"/>
  <c r="CI268" i="1"/>
  <c r="CJ268" i="1"/>
  <c r="CK268" i="1"/>
  <c r="BM269" i="1"/>
  <c r="BN269" i="1"/>
  <c r="BO269" i="1"/>
  <c r="BP269" i="1"/>
  <c r="BQ269" i="1"/>
  <c r="BR269" i="1"/>
  <c r="BS269" i="1"/>
  <c r="BT269" i="1"/>
  <c r="BU269" i="1"/>
  <c r="BV269" i="1"/>
  <c r="BW269" i="1"/>
  <c r="BX269" i="1"/>
  <c r="BY269" i="1"/>
  <c r="BZ269" i="1"/>
  <c r="CA269" i="1"/>
  <c r="CB269" i="1"/>
  <c r="CC269" i="1"/>
  <c r="CD269" i="1"/>
  <c r="CE269" i="1"/>
  <c r="CF269" i="1"/>
  <c r="CG269" i="1"/>
  <c r="CH269" i="1"/>
  <c r="CI269" i="1"/>
  <c r="CJ269" i="1"/>
  <c r="CK269" i="1"/>
  <c r="BM270" i="1"/>
  <c r="BN270" i="1"/>
  <c r="BO270" i="1"/>
  <c r="BP270" i="1"/>
  <c r="BQ270" i="1"/>
  <c r="BR270" i="1"/>
  <c r="BS270" i="1"/>
  <c r="BT270" i="1"/>
  <c r="BU270" i="1"/>
  <c r="BV270" i="1"/>
  <c r="BW270" i="1"/>
  <c r="BX270" i="1"/>
  <c r="BY270" i="1"/>
  <c r="BZ270" i="1"/>
  <c r="CA270" i="1"/>
  <c r="CB270" i="1"/>
  <c r="CC270" i="1"/>
  <c r="CD270" i="1"/>
  <c r="CE270" i="1"/>
  <c r="CF270" i="1"/>
  <c r="CG270" i="1"/>
  <c r="CH270" i="1"/>
  <c r="CI270" i="1"/>
  <c r="CJ270" i="1"/>
  <c r="CK270" i="1"/>
  <c r="BM271" i="1"/>
  <c r="BN271" i="1"/>
  <c r="BO271" i="1"/>
  <c r="BP271" i="1"/>
  <c r="BQ271" i="1"/>
  <c r="BR271" i="1"/>
  <c r="BS271" i="1"/>
  <c r="BT271" i="1"/>
  <c r="BU271" i="1"/>
  <c r="BV271" i="1"/>
  <c r="BW271" i="1"/>
  <c r="BX271" i="1"/>
  <c r="BY271" i="1"/>
  <c r="BZ271" i="1"/>
  <c r="CA271" i="1"/>
  <c r="CB271" i="1"/>
  <c r="CC271" i="1"/>
  <c r="CD271" i="1"/>
  <c r="CE271" i="1"/>
  <c r="CF271" i="1"/>
  <c r="CG271" i="1"/>
  <c r="CH271" i="1"/>
  <c r="CI271" i="1"/>
  <c r="CJ271" i="1"/>
  <c r="CK271" i="1"/>
  <c r="BM272" i="1"/>
  <c r="BN272" i="1"/>
  <c r="BO272" i="1"/>
  <c r="BP272" i="1"/>
  <c r="BQ272" i="1"/>
  <c r="BR272" i="1"/>
  <c r="BS272" i="1"/>
  <c r="BT272" i="1"/>
  <c r="BU272" i="1"/>
  <c r="BV272" i="1"/>
  <c r="BW272" i="1"/>
  <c r="BX272" i="1"/>
  <c r="BY272" i="1"/>
  <c r="BZ272" i="1"/>
  <c r="CA272" i="1"/>
  <c r="CB272" i="1"/>
  <c r="CC272" i="1"/>
  <c r="CD272" i="1"/>
  <c r="CE272" i="1"/>
  <c r="CF272" i="1"/>
  <c r="CG272" i="1"/>
  <c r="CH272" i="1"/>
  <c r="CI272" i="1"/>
  <c r="CJ272" i="1"/>
  <c r="CK272" i="1"/>
  <c r="BM273" i="1"/>
  <c r="BN273" i="1"/>
  <c r="BO273" i="1"/>
  <c r="BP273" i="1"/>
  <c r="BQ273" i="1"/>
  <c r="BR273" i="1"/>
  <c r="BS273" i="1"/>
  <c r="BT273" i="1"/>
  <c r="BU273" i="1"/>
  <c r="BV273" i="1"/>
  <c r="BW273" i="1"/>
  <c r="BX273" i="1"/>
  <c r="BY273" i="1"/>
  <c r="BZ273" i="1"/>
  <c r="CA273" i="1"/>
  <c r="CB273" i="1"/>
  <c r="CC273" i="1"/>
  <c r="CD273" i="1"/>
  <c r="CE273" i="1"/>
  <c r="CF273" i="1"/>
  <c r="CG273" i="1"/>
  <c r="CH273" i="1"/>
  <c r="CI273" i="1"/>
  <c r="CJ273" i="1"/>
  <c r="CK273" i="1"/>
  <c r="BM274" i="1"/>
  <c r="BN274" i="1"/>
  <c r="BO274" i="1"/>
  <c r="BP274" i="1"/>
  <c r="BQ274" i="1"/>
  <c r="BR274" i="1"/>
  <c r="BS274" i="1"/>
  <c r="BT274" i="1"/>
  <c r="BU274" i="1"/>
  <c r="BV274" i="1"/>
  <c r="BW274" i="1"/>
  <c r="BX274" i="1"/>
  <c r="BY274" i="1"/>
  <c r="BZ274" i="1"/>
  <c r="CA274" i="1"/>
  <c r="CB274" i="1"/>
  <c r="CC274" i="1"/>
  <c r="CD274" i="1"/>
  <c r="CE274" i="1"/>
  <c r="CF274" i="1"/>
  <c r="CG274" i="1"/>
  <c r="CH274" i="1"/>
  <c r="CI274" i="1"/>
  <c r="CJ274" i="1"/>
  <c r="CK274" i="1"/>
  <c r="BM275" i="1"/>
  <c r="BN275" i="1"/>
  <c r="BO275" i="1"/>
  <c r="BP275" i="1"/>
  <c r="BQ275" i="1"/>
  <c r="BR275" i="1"/>
  <c r="BS275" i="1"/>
  <c r="BT275" i="1"/>
  <c r="BU275" i="1"/>
  <c r="BV275" i="1"/>
  <c r="BW275" i="1"/>
  <c r="BX275" i="1"/>
  <c r="BY275" i="1"/>
  <c r="BZ275" i="1"/>
  <c r="CA275" i="1"/>
  <c r="CB275" i="1"/>
  <c r="CC275" i="1"/>
  <c r="CD275" i="1"/>
  <c r="CE275" i="1"/>
  <c r="CF275" i="1"/>
  <c r="CG275" i="1"/>
  <c r="CH275" i="1"/>
  <c r="CI275" i="1"/>
  <c r="CJ275" i="1"/>
  <c r="CK275" i="1"/>
  <c r="BM276" i="1"/>
  <c r="BN276" i="1"/>
  <c r="BO276" i="1"/>
  <c r="BP276" i="1"/>
  <c r="BQ276" i="1"/>
  <c r="BR276" i="1"/>
  <c r="BS276" i="1"/>
  <c r="BT276" i="1"/>
  <c r="BU276" i="1"/>
  <c r="BV276" i="1"/>
  <c r="BW276" i="1"/>
  <c r="BX276" i="1"/>
  <c r="BY276" i="1"/>
  <c r="BZ276" i="1"/>
  <c r="CA276" i="1"/>
  <c r="CB276" i="1"/>
  <c r="CC276" i="1"/>
  <c r="CD276" i="1"/>
  <c r="CE276" i="1"/>
  <c r="CF276" i="1"/>
  <c r="CG276" i="1"/>
  <c r="CH276" i="1"/>
  <c r="CI276" i="1"/>
  <c r="CJ276" i="1"/>
  <c r="CK276" i="1"/>
  <c r="BM277" i="1"/>
  <c r="BN277" i="1"/>
  <c r="BO277" i="1"/>
  <c r="BP277" i="1"/>
  <c r="BQ277" i="1"/>
  <c r="BR277" i="1"/>
  <c r="BS277" i="1"/>
  <c r="BT277" i="1"/>
  <c r="BU277" i="1"/>
  <c r="BV277" i="1"/>
  <c r="BW277" i="1"/>
  <c r="BX277" i="1"/>
  <c r="BY277" i="1"/>
  <c r="BZ277" i="1"/>
  <c r="CA277" i="1"/>
  <c r="CB277" i="1"/>
  <c r="CC277" i="1"/>
  <c r="CD277" i="1"/>
  <c r="CE277" i="1"/>
  <c r="CF277" i="1"/>
  <c r="CG277" i="1"/>
  <c r="CH277" i="1"/>
  <c r="CI277" i="1"/>
  <c r="CJ277" i="1"/>
  <c r="CK277" i="1"/>
  <c r="BM278" i="1"/>
  <c r="BN278" i="1"/>
  <c r="BO278" i="1"/>
  <c r="BP278" i="1"/>
  <c r="BQ278" i="1"/>
  <c r="BR278" i="1"/>
  <c r="BS278" i="1"/>
  <c r="BT278" i="1"/>
  <c r="BU278" i="1"/>
  <c r="BV278" i="1"/>
  <c r="BW278" i="1"/>
  <c r="BX278" i="1"/>
  <c r="BY278" i="1"/>
  <c r="BZ278" i="1"/>
  <c r="CA278" i="1"/>
  <c r="CB278" i="1"/>
  <c r="CC278" i="1"/>
  <c r="CD278" i="1"/>
  <c r="CE278" i="1"/>
  <c r="CF278" i="1"/>
  <c r="CG278" i="1"/>
  <c r="CH278" i="1"/>
  <c r="CI278" i="1"/>
  <c r="CJ278" i="1"/>
  <c r="CK278" i="1"/>
  <c r="BM279" i="1"/>
  <c r="BN279" i="1"/>
  <c r="BO279" i="1"/>
  <c r="BP279" i="1"/>
  <c r="BQ279" i="1"/>
  <c r="BR279" i="1"/>
  <c r="BS279" i="1"/>
  <c r="BT279" i="1"/>
  <c r="BU279" i="1"/>
  <c r="BV279" i="1"/>
  <c r="BW279" i="1"/>
  <c r="BX279" i="1"/>
  <c r="BY279" i="1"/>
  <c r="BZ279" i="1"/>
  <c r="CA279" i="1"/>
  <c r="CB279" i="1"/>
  <c r="CC279" i="1"/>
  <c r="CD279" i="1"/>
  <c r="CE279" i="1"/>
  <c r="CF279" i="1"/>
  <c r="CG279" i="1"/>
  <c r="CH279" i="1"/>
  <c r="CI279" i="1"/>
  <c r="CJ279" i="1"/>
  <c r="CK279" i="1"/>
  <c r="BM280" i="1"/>
  <c r="BN280" i="1"/>
  <c r="BO280" i="1"/>
  <c r="BP280" i="1"/>
  <c r="BQ280" i="1"/>
  <c r="BR280" i="1"/>
  <c r="BS280" i="1"/>
  <c r="BT280" i="1"/>
  <c r="BU280" i="1"/>
  <c r="BV280" i="1"/>
  <c r="BW280" i="1"/>
  <c r="BX280" i="1"/>
  <c r="BY280" i="1"/>
  <c r="BZ280" i="1"/>
  <c r="CA280" i="1"/>
  <c r="CB280" i="1"/>
  <c r="CC280" i="1"/>
  <c r="CD280" i="1"/>
  <c r="CE280" i="1"/>
  <c r="CF280" i="1"/>
  <c r="CG280" i="1"/>
  <c r="CH280" i="1"/>
  <c r="CI280" i="1"/>
  <c r="CJ280" i="1"/>
  <c r="CK280" i="1"/>
  <c r="BM281" i="1"/>
  <c r="BN281" i="1"/>
  <c r="BO281" i="1"/>
  <c r="BP281" i="1"/>
  <c r="BQ281" i="1"/>
  <c r="BR281" i="1"/>
  <c r="BS281" i="1"/>
  <c r="BT281" i="1"/>
  <c r="BU281" i="1"/>
  <c r="BV281" i="1"/>
  <c r="BW281" i="1"/>
  <c r="BX281" i="1"/>
  <c r="BY281" i="1"/>
  <c r="BZ281" i="1"/>
  <c r="CA281" i="1"/>
  <c r="CB281" i="1"/>
  <c r="CC281" i="1"/>
  <c r="CD281" i="1"/>
  <c r="CE281" i="1"/>
  <c r="CF281" i="1"/>
  <c r="CG281" i="1"/>
  <c r="CH281" i="1"/>
  <c r="CI281" i="1"/>
  <c r="CJ281" i="1"/>
  <c r="CK281" i="1"/>
  <c r="BM282" i="1"/>
  <c r="BN282" i="1"/>
  <c r="BO282" i="1"/>
  <c r="BP282" i="1"/>
  <c r="BQ282" i="1"/>
  <c r="BR282" i="1"/>
  <c r="BS282" i="1"/>
  <c r="BT282" i="1"/>
  <c r="BU282" i="1"/>
  <c r="BV282" i="1"/>
  <c r="BW282" i="1"/>
  <c r="BX282" i="1"/>
  <c r="BY282" i="1"/>
  <c r="BZ282" i="1"/>
  <c r="CA282" i="1"/>
  <c r="CB282" i="1"/>
  <c r="CC282" i="1"/>
  <c r="CD282" i="1"/>
  <c r="CE282" i="1"/>
  <c r="CF282" i="1"/>
  <c r="CG282" i="1"/>
  <c r="CH282" i="1"/>
  <c r="CI282" i="1"/>
  <c r="CJ282" i="1"/>
  <c r="CK282" i="1"/>
  <c r="BM283" i="1"/>
  <c r="BN283" i="1"/>
  <c r="BO283" i="1"/>
  <c r="BP283" i="1"/>
  <c r="BQ283" i="1"/>
  <c r="BR283" i="1"/>
  <c r="BS283" i="1"/>
  <c r="BT283" i="1"/>
  <c r="BU283" i="1"/>
  <c r="BV283" i="1"/>
  <c r="BW283" i="1"/>
  <c r="BX283" i="1"/>
  <c r="BY283" i="1"/>
  <c r="BZ283" i="1"/>
  <c r="CA283" i="1"/>
  <c r="CB283" i="1"/>
  <c r="CC283" i="1"/>
  <c r="CD283" i="1"/>
  <c r="CE283" i="1"/>
  <c r="CF283" i="1"/>
  <c r="CG283" i="1"/>
  <c r="CH283" i="1"/>
  <c r="CI283" i="1"/>
  <c r="CJ283" i="1"/>
  <c r="CK283" i="1"/>
  <c r="BM284" i="1"/>
  <c r="BN284" i="1"/>
  <c r="BO284" i="1"/>
  <c r="BP284" i="1"/>
  <c r="BQ284" i="1"/>
  <c r="BR284" i="1"/>
  <c r="BS284" i="1"/>
  <c r="BT284" i="1"/>
  <c r="BU284" i="1"/>
  <c r="BV284" i="1"/>
  <c r="BW284" i="1"/>
  <c r="BX284" i="1"/>
  <c r="BY284" i="1"/>
  <c r="BZ284" i="1"/>
  <c r="CA284" i="1"/>
  <c r="CB284" i="1"/>
  <c r="CC284" i="1"/>
  <c r="CD284" i="1"/>
  <c r="CE284" i="1"/>
  <c r="CF284" i="1"/>
  <c r="CG284" i="1"/>
  <c r="CH284" i="1"/>
  <c r="CI284" i="1"/>
  <c r="CJ284" i="1"/>
  <c r="CK284" i="1"/>
  <c r="BM285" i="1"/>
  <c r="BN285" i="1"/>
  <c r="BO285" i="1"/>
  <c r="BP285" i="1"/>
  <c r="BQ285" i="1"/>
  <c r="BR285" i="1"/>
  <c r="BS285" i="1"/>
  <c r="BT285" i="1"/>
  <c r="BU285" i="1"/>
  <c r="BV285" i="1"/>
  <c r="BW285" i="1"/>
  <c r="BX285" i="1"/>
  <c r="BY285" i="1"/>
  <c r="BZ285" i="1"/>
  <c r="CA285" i="1"/>
  <c r="CB285" i="1"/>
  <c r="CC285" i="1"/>
  <c r="CD285" i="1"/>
  <c r="CE285" i="1"/>
  <c r="CF285" i="1"/>
  <c r="CG285" i="1"/>
  <c r="CH285" i="1"/>
  <c r="CI285" i="1"/>
  <c r="CJ285" i="1"/>
  <c r="CK285" i="1"/>
  <c r="BM286" i="1"/>
  <c r="BN286" i="1"/>
  <c r="BO286" i="1"/>
  <c r="BP286" i="1"/>
  <c r="BQ286" i="1"/>
  <c r="BR286" i="1"/>
  <c r="BS286" i="1"/>
  <c r="BT286" i="1"/>
  <c r="BU286" i="1"/>
  <c r="BV286" i="1"/>
  <c r="BW286" i="1"/>
  <c r="BX286" i="1"/>
  <c r="BY286" i="1"/>
  <c r="BZ286" i="1"/>
  <c r="CA286" i="1"/>
  <c r="CB286" i="1"/>
  <c r="CC286" i="1"/>
  <c r="CD286" i="1"/>
  <c r="CE286" i="1"/>
  <c r="CF286" i="1"/>
  <c r="CG286" i="1"/>
  <c r="CH286" i="1"/>
  <c r="CI286" i="1"/>
  <c r="CJ286" i="1"/>
  <c r="CK286" i="1"/>
  <c r="BM287" i="1"/>
  <c r="BN287" i="1"/>
  <c r="BO287" i="1"/>
  <c r="BP287" i="1"/>
  <c r="BQ287" i="1"/>
  <c r="BR287" i="1"/>
  <c r="BS287" i="1"/>
  <c r="BT287" i="1"/>
  <c r="BU287" i="1"/>
  <c r="BV287" i="1"/>
  <c r="BW287" i="1"/>
  <c r="BX287" i="1"/>
  <c r="BY287" i="1"/>
  <c r="BZ287" i="1"/>
  <c r="CA287" i="1"/>
  <c r="CB287" i="1"/>
  <c r="CC287" i="1"/>
  <c r="CD287" i="1"/>
  <c r="CE287" i="1"/>
  <c r="CF287" i="1"/>
  <c r="CG287" i="1"/>
  <c r="CH287" i="1"/>
  <c r="CI287" i="1"/>
  <c r="CJ287" i="1"/>
  <c r="CK287" i="1"/>
  <c r="BM288" i="1"/>
  <c r="BN288" i="1"/>
  <c r="BO288" i="1"/>
  <c r="BP288" i="1"/>
  <c r="BQ288" i="1"/>
  <c r="BR288" i="1"/>
  <c r="BS288" i="1"/>
  <c r="BT288" i="1"/>
  <c r="BU288" i="1"/>
  <c r="BV288" i="1"/>
  <c r="BW288" i="1"/>
  <c r="BX288" i="1"/>
  <c r="BY288" i="1"/>
  <c r="BZ288" i="1"/>
  <c r="CA288" i="1"/>
  <c r="CB288" i="1"/>
  <c r="CC288" i="1"/>
  <c r="CD288" i="1"/>
  <c r="CE288" i="1"/>
  <c r="CF288" i="1"/>
  <c r="CG288" i="1"/>
  <c r="CH288" i="1"/>
  <c r="CI288" i="1"/>
  <c r="CJ288" i="1"/>
  <c r="CK288" i="1"/>
  <c r="BM289" i="1"/>
  <c r="BN289" i="1"/>
  <c r="BO289" i="1"/>
  <c r="BP289" i="1"/>
  <c r="BQ289" i="1"/>
  <c r="BR289" i="1"/>
  <c r="BS289" i="1"/>
  <c r="BT289" i="1"/>
  <c r="BU289" i="1"/>
  <c r="BV289" i="1"/>
  <c r="BW289" i="1"/>
  <c r="BX289" i="1"/>
  <c r="BY289" i="1"/>
  <c r="BZ289" i="1"/>
  <c r="CA289" i="1"/>
  <c r="CB289" i="1"/>
  <c r="CC289" i="1"/>
  <c r="CD289" i="1"/>
  <c r="CE289" i="1"/>
  <c r="CF289" i="1"/>
  <c r="CG289" i="1"/>
  <c r="CH289" i="1"/>
  <c r="CI289" i="1"/>
  <c r="CJ289" i="1"/>
  <c r="CK289" i="1"/>
  <c r="BM290" i="1"/>
  <c r="BN290" i="1"/>
  <c r="BO290" i="1"/>
  <c r="BP290" i="1"/>
  <c r="BQ290" i="1"/>
  <c r="BR290" i="1"/>
  <c r="BS290" i="1"/>
  <c r="BT290" i="1"/>
  <c r="BU290" i="1"/>
  <c r="BV290" i="1"/>
  <c r="BW290" i="1"/>
  <c r="BX290" i="1"/>
  <c r="BY290" i="1"/>
  <c r="BZ290" i="1"/>
  <c r="CA290" i="1"/>
  <c r="CB290" i="1"/>
  <c r="CC290" i="1"/>
  <c r="CD290" i="1"/>
  <c r="CE290" i="1"/>
  <c r="CF290" i="1"/>
  <c r="CG290" i="1"/>
  <c r="CH290" i="1"/>
  <c r="CI290" i="1"/>
  <c r="CJ290" i="1"/>
  <c r="CK290" i="1"/>
  <c r="BM291" i="1"/>
  <c r="BN291" i="1"/>
  <c r="BO291" i="1"/>
  <c r="BP291" i="1"/>
  <c r="BQ291" i="1"/>
  <c r="BR291" i="1"/>
  <c r="BS291" i="1"/>
  <c r="BT291" i="1"/>
  <c r="BU291" i="1"/>
  <c r="BV291" i="1"/>
  <c r="BW291" i="1"/>
  <c r="BX291" i="1"/>
  <c r="BY291" i="1"/>
  <c r="BZ291" i="1"/>
  <c r="CA291" i="1"/>
  <c r="CB291" i="1"/>
  <c r="CC291" i="1"/>
  <c r="CD291" i="1"/>
  <c r="CE291" i="1"/>
  <c r="CF291" i="1"/>
  <c r="CG291" i="1"/>
  <c r="CH291" i="1"/>
  <c r="CI291" i="1"/>
  <c r="CJ291" i="1"/>
  <c r="CK291" i="1"/>
  <c r="BM292" i="1"/>
  <c r="BN292" i="1"/>
  <c r="BO292" i="1"/>
  <c r="BP292" i="1"/>
  <c r="BQ292" i="1"/>
  <c r="BR292" i="1"/>
  <c r="BS292" i="1"/>
  <c r="BT292" i="1"/>
  <c r="BU292" i="1"/>
  <c r="BV292" i="1"/>
  <c r="BW292" i="1"/>
  <c r="BX292" i="1"/>
  <c r="BY292" i="1"/>
  <c r="BZ292" i="1"/>
  <c r="CA292" i="1"/>
  <c r="CB292" i="1"/>
  <c r="CC292" i="1"/>
  <c r="CD292" i="1"/>
  <c r="CE292" i="1"/>
  <c r="CF292" i="1"/>
  <c r="CG292" i="1"/>
  <c r="CH292" i="1"/>
  <c r="CI292" i="1"/>
  <c r="CJ292" i="1"/>
  <c r="CK292" i="1"/>
  <c r="BM293" i="1"/>
  <c r="BN293" i="1"/>
  <c r="BO293" i="1"/>
  <c r="BP293" i="1"/>
  <c r="BQ293" i="1"/>
  <c r="BR293" i="1"/>
  <c r="BS293" i="1"/>
  <c r="BT293" i="1"/>
  <c r="BU293" i="1"/>
  <c r="BV293" i="1"/>
  <c r="BW293" i="1"/>
  <c r="BX293" i="1"/>
  <c r="BY293" i="1"/>
  <c r="BZ293" i="1"/>
  <c r="CA293" i="1"/>
  <c r="CB293" i="1"/>
  <c r="CC293" i="1"/>
  <c r="CD293" i="1"/>
  <c r="CE293" i="1"/>
  <c r="CF293" i="1"/>
  <c r="CG293" i="1"/>
  <c r="CH293" i="1"/>
  <c r="CI293" i="1"/>
  <c r="CJ293" i="1"/>
  <c r="CK293" i="1"/>
  <c r="BM294" i="1"/>
  <c r="BN294" i="1"/>
  <c r="BO294" i="1"/>
  <c r="BP294" i="1"/>
  <c r="BQ294" i="1"/>
  <c r="BR294" i="1"/>
  <c r="BS294" i="1"/>
  <c r="BT294" i="1"/>
  <c r="BU294" i="1"/>
  <c r="BV294" i="1"/>
  <c r="BW294" i="1"/>
  <c r="BX294" i="1"/>
  <c r="BY294" i="1"/>
  <c r="BZ294" i="1"/>
  <c r="CA294" i="1"/>
  <c r="CB294" i="1"/>
  <c r="CC294" i="1"/>
  <c r="CD294" i="1"/>
  <c r="CE294" i="1"/>
  <c r="CF294" i="1"/>
  <c r="CG294" i="1"/>
  <c r="CH294" i="1"/>
  <c r="CI294" i="1"/>
  <c r="CJ294" i="1"/>
  <c r="CK294" i="1"/>
  <c r="BM295" i="1"/>
  <c r="BN295" i="1"/>
  <c r="BO295" i="1"/>
  <c r="BP295" i="1"/>
  <c r="BQ295" i="1"/>
  <c r="BR295" i="1"/>
  <c r="BS295" i="1"/>
  <c r="BT295" i="1"/>
  <c r="BU295" i="1"/>
  <c r="BV295" i="1"/>
  <c r="BW295" i="1"/>
  <c r="BX295" i="1"/>
  <c r="BY295" i="1"/>
  <c r="BZ295" i="1"/>
  <c r="CA295" i="1"/>
  <c r="CB295" i="1"/>
  <c r="CC295" i="1"/>
  <c r="CD295" i="1"/>
  <c r="CE295" i="1"/>
  <c r="CF295" i="1"/>
  <c r="CG295" i="1"/>
  <c r="CH295" i="1"/>
  <c r="CI295" i="1"/>
  <c r="CJ295" i="1"/>
  <c r="CK295" i="1"/>
  <c r="BM296" i="1"/>
  <c r="BN296" i="1"/>
  <c r="BO296" i="1"/>
  <c r="BP296" i="1"/>
  <c r="BQ296" i="1"/>
  <c r="BR296" i="1"/>
  <c r="BS296" i="1"/>
  <c r="BT296" i="1"/>
  <c r="BU296" i="1"/>
  <c r="BV296" i="1"/>
  <c r="BW296" i="1"/>
  <c r="BX296" i="1"/>
  <c r="BY296" i="1"/>
  <c r="BZ296" i="1"/>
  <c r="CA296" i="1"/>
  <c r="CB296" i="1"/>
  <c r="CC296" i="1"/>
  <c r="CD296" i="1"/>
  <c r="CE296" i="1"/>
  <c r="CF296" i="1"/>
  <c r="CG296" i="1"/>
  <c r="CH296" i="1"/>
  <c r="CI296" i="1"/>
  <c r="CJ296" i="1"/>
  <c r="CK296" i="1"/>
  <c r="BM297" i="1"/>
  <c r="BN297" i="1"/>
  <c r="BO297" i="1"/>
  <c r="BP297" i="1"/>
  <c r="BQ297" i="1"/>
  <c r="BR297" i="1"/>
  <c r="BS297" i="1"/>
  <c r="BT297" i="1"/>
  <c r="BU297" i="1"/>
  <c r="BV297" i="1"/>
  <c r="BW297" i="1"/>
  <c r="BX297" i="1"/>
  <c r="BY297" i="1"/>
  <c r="BZ297" i="1"/>
  <c r="CA297" i="1"/>
  <c r="CB297" i="1"/>
  <c r="CC297" i="1"/>
  <c r="CD297" i="1"/>
  <c r="CE297" i="1"/>
  <c r="CF297" i="1"/>
  <c r="CG297" i="1"/>
  <c r="CH297" i="1"/>
  <c r="CI297" i="1"/>
  <c r="CJ297" i="1"/>
  <c r="CK297" i="1"/>
  <c r="BM298" i="1"/>
  <c r="BN298" i="1"/>
  <c r="BO298" i="1"/>
  <c r="BP298" i="1"/>
  <c r="BQ298" i="1"/>
  <c r="BR298" i="1"/>
  <c r="BS298" i="1"/>
  <c r="BT298" i="1"/>
  <c r="BU298" i="1"/>
  <c r="BV298" i="1"/>
  <c r="BW298" i="1"/>
  <c r="BX298" i="1"/>
  <c r="BY298" i="1"/>
  <c r="BZ298" i="1"/>
  <c r="CA298" i="1"/>
  <c r="CB298" i="1"/>
  <c r="CC298" i="1"/>
  <c r="CD298" i="1"/>
  <c r="CE298" i="1"/>
  <c r="CF298" i="1"/>
  <c r="CG298" i="1"/>
  <c r="CH298" i="1"/>
  <c r="CI298" i="1"/>
  <c r="CJ298" i="1"/>
  <c r="CK298" i="1"/>
  <c r="BM299" i="1"/>
  <c r="BN299" i="1"/>
  <c r="BO299" i="1"/>
  <c r="BP299" i="1"/>
  <c r="BQ299" i="1"/>
  <c r="BR299" i="1"/>
  <c r="BS299" i="1"/>
  <c r="BT299" i="1"/>
  <c r="BU299" i="1"/>
  <c r="BV299" i="1"/>
  <c r="BW299" i="1"/>
  <c r="BX299" i="1"/>
  <c r="BY299" i="1"/>
  <c r="BZ299" i="1"/>
  <c r="CA299" i="1"/>
  <c r="CB299" i="1"/>
  <c r="CC299" i="1"/>
  <c r="CD299" i="1"/>
  <c r="CE299" i="1"/>
  <c r="CF299" i="1"/>
  <c r="CG299" i="1"/>
  <c r="CH299" i="1"/>
  <c r="CI299" i="1"/>
  <c r="CJ299" i="1"/>
  <c r="CK299" i="1"/>
  <c r="BM300" i="1"/>
  <c r="BN300" i="1"/>
  <c r="BO300" i="1"/>
  <c r="BP300" i="1"/>
  <c r="BQ300" i="1"/>
  <c r="BR300" i="1"/>
  <c r="BS300" i="1"/>
  <c r="BT300" i="1"/>
  <c r="BU300" i="1"/>
  <c r="BV300" i="1"/>
  <c r="BW300" i="1"/>
  <c r="BX300" i="1"/>
  <c r="BY300" i="1"/>
  <c r="BZ300" i="1"/>
  <c r="CA300" i="1"/>
  <c r="CB300" i="1"/>
  <c r="CC300" i="1"/>
  <c r="CD300" i="1"/>
  <c r="CE300" i="1"/>
  <c r="CF300" i="1"/>
  <c r="CG300" i="1"/>
  <c r="CH300" i="1"/>
  <c r="CI300" i="1"/>
  <c r="CJ300" i="1"/>
  <c r="CK300" i="1"/>
  <c r="BM301" i="1"/>
  <c r="BN301" i="1"/>
  <c r="BO301" i="1"/>
  <c r="BP301" i="1"/>
  <c r="BQ301" i="1"/>
  <c r="BR301" i="1"/>
  <c r="BS301" i="1"/>
  <c r="BT301" i="1"/>
  <c r="BU301" i="1"/>
  <c r="BV301" i="1"/>
  <c r="BW301" i="1"/>
  <c r="BX301" i="1"/>
  <c r="BY301" i="1"/>
  <c r="BZ301" i="1"/>
  <c r="CA301" i="1"/>
  <c r="CB301" i="1"/>
  <c r="CC301" i="1"/>
  <c r="CD301" i="1"/>
  <c r="CE301" i="1"/>
  <c r="CF301" i="1"/>
  <c r="CG301" i="1"/>
  <c r="CH301" i="1"/>
  <c r="CI301" i="1"/>
  <c r="CJ301" i="1"/>
  <c r="CK301" i="1"/>
  <c r="BM302" i="1"/>
  <c r="BN302" i="1"/>
  <c r="BO302" i="1"/>
  <c r="BP302" i="1"/>
  <c r="BQ302" i="1"/>
  <c r="BR302" i="1"/>
  <c r="BS302" i="1"/>
  <c r="BT302" i="1"/>
  <c r="BU302" i="1"/>
  <c r="BV302" i="1"/>
  <c r="BW302" i="1"/>
  <c r="BX302" i="1"/>
  <c r="BY302" i="1"/>
  <c r="BZ302" i="1"/>
  <c r="CA302" i="1"/>
  <c r="CB302" i="1"/>
  <c r="CC302" i="1"/>
  <c r="CD302" i="1"/>
  <c r="CE302" i="1"/>
  <c r="CF302" i="1"/>
  <c r="CG302" i="1"/>
  <c r="CH302" i="1"/>
  <c r="CI302" i="1"/>
  <c r="CJ302" i="1"/>
  <c r="CK302" i="1"/>
  <c r="BM303" i="1"/>
  <c r="BN303" i="1"/>
  <c r="BO303" i="1"/>
  <c r="BP303" i="1"/>
  <c r="BQ303" i="1"/>
  <c r="BR303" i="1"/>
  <c r="BS303" i="1"/>
  <c r="BT303" i="1"/>
  <c r="BU303" i="1"/>
  <c r="BV303" i="1"/>
  <c r="BW303" i="1"/>
  <c r="BX303" i="1"/>
  <c r="BY303" i="1"/>
  <c r="BZ303" i="1"/>
  <c r="CA303" i="1"/>
  <c r="CB303" i="1"/>
  <c r="CC303" i="1"/>
  <c r="CD303" i="1"/>
  <c r="CE303" i="1"/>
  <c r="CF303" i="1"/>
  <c r="CG303" i="1"/>
  <c r="CH303" i="1"/>
  <c r="CI303" i="1"/>
  <c r="CJ303" i="1"/>
  <c r="CK303" i="1"/>
  <c r="BM304" i="1"/>
  <c r="BN304" i="1"/>
  <c r="BO304" i="1"/>
  <c r="BP304" i="1"/>
  <c r="BQ304" i="1"/>
  <c r="BR304" i="1"/>
  <c r="BS304" i="1"/>
  <c r="BT304" i="1"/>
  <c r="BU304" i="1"/>
  <c r="BV304" i="1"/>
  <c r="BW304" i="1"/>
  <c r="BX304" i="1"/>
  <c r="BY304" i="1"/>
  <c r="BZ304" i="1"/>
  <c r="CA304" i="1"/>
  <c r="CB304" i="1"/>
  <c r="CC304" i="1"/>
  <c r="CD304" i="1"/>
  <c r="CE304" i="1"/>
  <c r="CF304" i="1"/>
  <c r="CG304" i="1"/>
  <c r="CH304" i="1"/>
  <c r="CI304" i="1"/>
  <c r="CJ304" i="1"/>
  <c r="CK304" i="1"/>
  <c r="BM305" i="1"/>
  <c r="BN305" i="1"/>
  <c r="BO305" i="1"/>
  <c r="BP305" i="1"/>
  <c r="BQ305" i="1"/>
  <c r="BR305" i="1"/>
  <c r="BS305" i="1"/>
  <c r="BT305" i="1"/>
  <c r="BU305" i="1"/>
  <c r="BV305" i="1"/>
  <c r="BW305" i="1"/>
  <c r="BX305" i="1"/>
  <c r="BY305" i="1"/>
  <c r="BZ305" i="1"/>
  <c r="CA305" i="1"/>
  <c r="CB305" i="1"/>
  <c r="CC305" i="1"/>
  <c r="CD305" i="1"/>
  <c r="CE305" i="1"/>
  <c r="CF305" i="1"/>
  <c r="CG305" i="1"/>
  <c r="CH305" i="1"/>
  <c r="CI305" i="1"/>
  <c r="CJ305" i="1"/>
  <c r="CK305" i="1"/>
  <c r="BM306" i="1"/>
  <c r="BN306" i="1"/>
  <c r="BO306" i="1"/>
  <c r="BP306" i="1"/>
  <c r="BQ306" i="1"/>
  <c r="BR306" i="1"/>
  <c r="BS306" i="1"/>
  <c r="BT306" i="1"/>
  <c r="BU306" i="1"/>
  <c r="BV306" i="1"/>
  <c r="BW306" i="1"/>
  <c r="BX306" i="1"/>
  <c r="BY306" i="1"/>
  <c r="BZ306" i="1"/>
  <c r="CA306" i="1"/>
  <c r="CB306" i="1"/>
  <c r="CC306" i="1"/>
  <c r="CD306" i="1"/>
  <c r="CE306" i="1"/>
  <c r="CF306" i="1"/>
  <c r="CG306" i="1"/>
  <c r="CH306" i="1"/>
  <c r="CI306" i="1"/>
  <c r="CJ306" i="1"/>
  <c r="CK306" i="1"/>
  <c r="BM307" i="1"/>
  <c r="BN307" i="1"/>
  <c r="BO307" i="1"/>
  <c r="BP307" i="1"/>
  <c r="BQ307" i="1"/>
  <c r="BR307" i="1"/>
  <c r="BS307" i="1"/>
  <c r="BT307" i="1"/>
  <c r="BU307" i="1"/>
  <c r="BV307" i="1"/>
  <c r="BW307" i="1"/>
  <c r="BX307" i="1"/>
  <c r="BY307" i="1"/>
  <c r="BZ307" i="1"/>
  <c r="CA307" i="1"/>
  <c r="CB307" i="1"/>
  <c r="CC307" i="1"/>
  <c r="CD307" i="1"/>
  <c r="CE307" i="1"/>
  <c r="CF307" i="1"/>
  <c r="CG307" i="1"/>
  <c r="CH307" i="1"/>
  <c r="CI307" i="1"/>
  <c r="CJ307" i="1"/>
  <c r="CK307" i="1"/>
  <c r="BM308" i="1"/>
  <c r="BN308" i="1"/>
  <c r="BO308" i="1"/>
  <c r="BP308" i="1"/>
  <c r="BQ308" i="1"/>
  <c r="BR308" i="1"/>
  <c r="BS308" i="1"/>
  <c r="BT308" i="1"/>
  <c r="BU308" i="1"/>
  <c r="BV308" i="1"/>
  <c r="BW308" i="1"/>
  <c r="BX308" i="1"/>
  <c r="BY308" i="1"/>
  <c r="BZ308" i="1"/>
  <c r="CA308" i="1"/>
  <c r="CB308" i="1"/>
  <c r="CC308" i="1"/>
  <c r="CD308" i="1"/>
  <c r="CE308" i="1"/>
  <c r="CF308" i="1"/>
  <c r="CG308" i="1"/>
  <c r="CH308" i="1"/>
  <c r="CI308" i="1"/>
  <c r="CJ308" i="1"/>
  <c r="CK308" i="1"/>
  <c r="BM309" i="1"/>
  <c r="BN309" i="1"/>
  <c r="BO309" i="1"/>
  <c r="BP309" i="1"/>
  <c r="BQ309" i="1"/>
  <c r="BR309" i="1"/>
  <c r="BS309" i="1"/>
  <c r="BT309" i="1"/>
  <c r="BU309" i="1"/>
  <c r="BV309" i="1"/>
  <c r="BW309" i="1"/>
  <c r="BX309" i="1"/>
  <c r="BY309" i="1"/>
  <c r="BZ309" i="1"/>
  <c r="CA309" i="1"/>
  <c r="CB309" i="1"/>
  <c r="CC309" i="1"/>
  <c r="CD309" i="1"/>
  <c r="CE309" i="1"/>
  <c r="CF309" i="1"/>
  <c r="CG309" i="1"/>
  <c r="CH309" i="1"/>
  <c r="CI309" i="1"/>
  <c r="CJ309" i="1"/>
  <c r="CK309" i="1"/>
  <c r="BM310" i="1"/>
  <c r="BN310" i="1"/>
  <c r="BO310" i="1"/>
  <c r="BP310" i="1"/>
  <c r="BQ310" i="1"/>
  <c r="BR310" i="1"/>
  <c r="BS310" i="1"/>
  <c r="BT310" i="1"/>
  <c r="BU310" i="1"/>
  <c r="BV310" i="1"/>
  <c r="BW310" i="1"/>
  <c r="BX310" i="1"/>
  <c r="BY310" i="1"/>
  <c r="BZ310" i="1"/>
  <c r="CA310" i="1"/>
  <c r="CB310" i="1"/>
  <c r="CC310" i="1"/>
  <c r="CD310" i="1"/>
  <c r="CE310" i="1"/>
  <c r="CF310" i="1"/>
  <c r="CG310" i="1"/>
  <c r="CH310" i="1"/>
  <c r="CI310" i="1"/>
  <c r="CJ310" i="1"/>
  <c r="CK310" i="1"/>
  <c r="BM311" i="1"/>
  <c r="BN311" i="1"/>
  <c r="BO311" i="1"/>
  <c r="BP311" i="1"/>
  <c r="BQ311" i="1"/>
  <c r="BR311" i="1"/>
  <c r="BS311" i="1"/>
  <c r="BT311" i="1"/>
  <c r="BU311" i="1"/>
  <c r="BV311" i="1"/>
  <c r="BW311" i="1"/>
  <c r="BX311" i="1"/>
  <c r="BY311" i="1"/>
  <c r="BZ311" i="1"/>
  <c r="CA311" i="1"/>
  <c r="CB311" i="1"/>
  <c r="CC311" i="1"/>
  <c r="CD311" i="1"/>
  <c r="CE311" i="1"/>
  <c r="CF311" i="1"/>
  <c r="CG311" i="1"/>
  <c r="CH311" i="1"/>
  <c r="CI311" i="1"/>
  <c r="CJ311" i="1"/>
  <c r="CK311" i="1"/>
  <c r="BM312" i="1"/>
  <c r="BN312" i="1"/>
  <c r="BO312" i="1"/>
  <c r="BP312" i="1"/>
  <c r="BQ312" i="1"/>
  <c r="BR312" i="1"/>
  <c r="BS312" i="1"/>
  <c r="BT312" i="1"/>
  <c r="BU312" i="1"/>
  <c r="BV312" i="1"/>
  <c r="BW312" i="1"/>
  <c r="BX312" i="1"/>
  <c r="BY312" i="1"/>
  <c r="BZ312" i="1"/>
  <c r="CA312" i="1"/>
  <c r="CB312" i="1"/>
  <c r="CC312" i="1"/>
  <c r="CD312" i="1"/>
  <c r="CE312" i="1"/>
  <c r="CF312" i="1"/>
  <c r="CG312" i="1"/>
  <c r="CH312" i="1"/>
  <c r="CI312" i="1"/>
  <c r="CJ312" i="1"/>
  <c r="CK312" i="1"/>
  <c r="BM313" i="1"/>
  <c r="BN313" i="1"/>
  <c r="BO313" i="1"/>
  <c r="BP313" i="1"/>
  <c r="BQ313" i="1"/>
  <c r="BR313" i="1"/>
  <c r="BS313" i="1"/>
  <c r="BT313" i="1"/>
  <c r="BU313" i="1"/>
  <c r="BV313" i="1"/>
  <c r="BW313" i="1"/>
  <c r="BX313" i="1"/>
  <c r="BY313" i="1"/>
  <c r="BZ313" i="1"/>
  <c r="CA313" i="1"/>
  <c r="CB313" i="1"/>
  <c r="CC313" i="1"/>
  <c r="CD313" i="1"/>
  <c r="CE313" i="1"/>
  <c r="CF313" i="1"/>
  <c r="CG313" i="1"/>
  <c r="CH313" i="1"/>
  <c r="CI313" i="1"/>
  <c r="CJ313" i="1"/>
  <c r="CK313" i="1"/>
  <c r="BM314" i="1"/>
  <c r="BN314" i="1"/>
  <c r="BO314" i="1"/>
  <c r="BP314" i="1"/>
  <c r="BQ314" i="1"/>
  <c r="BR314" i="1"/>
  <c r="BS314" i="1"/>
  <c r="BT314" i="1"/>
  <c r="BU314" i="1"/>
  <c r="BV314" i="1"/>
  <c r="BW314" i="1"/>
  <c r="BX314" i="1"/>
  <c r="BY314" i="1"/>
  <c r="BZ314" i="1"/>
  <c r="CA314" i="1"/>
  <c r="CB314" i="1"/>
  <c r="CC314" i="1"/>
  <c r="CD314" i="1"/>
  <c r="CE314" i="1"/>
  <c r="CF314" i="1"/>
  <c r="CG314" i="1"/>
  <c r="CH314" i="1"/>
  <c r="CI314" i="1"/>
  <c r="CJ314" i="1"/>
  <c r="CK314" i="1"/>
  <c r="BM315" i="1"/>
  <c r="BN315" i="1"/>
  <c r="BO315" i="1"/>
  <c r="BP315" i="1"/>
  <c r="BQ315" i="1"/>
  <c r="BR315" i="1"/>
  <c r="BS315" i="1"/>
  <c r="BT315" i="1"/>
  <c r="BU315" i="1"/>
  <c r="BV315" i="1"/>
  <c r="BW315" i="1"/>
  <c r="BX315" i="1"/>
  <c r="BY315" i="1"/>
  <c r="BZ315" i="1"/>
  <c r="CA315" i="1"/>
  <c r="CB315" i="1"/>
  <c r="CC315" i="1"/>
  <c r="CD315" i="1"/>
  <c r="CE315" i="1"/>
  <c r="CF315" i="1"/>
  <c r="CG315" i="1"/>
  <c r="CH315" i="1"/>
  <c r="CI315" i="1"/>
  <c r="CJ315" i="1"/>
  <c r="CK315" i="1"/>
  <c r="BM316" i="1"/>
  <c r="BN316" i="1"/>
  <c r="BO316" i="1"/>
  <c r="BP316" i="1"/>
  <c r="BQ316" i="1"/>
  <c r="BR316" i="1"/>
  <c r="BS316" i="1"/>
  <c r="BT316" i="1"/>
  <c r="BU316" i="1"/>
  <c r="BV316" i="1"/>
  <c r="BW316" i="1"/>
  <c r="BX316" i="1"/>
  <c r="BY316" i="1"/>
  <c r="BZ316" i="1"/>
  <c r="CA316" i="1"/>
  <c r="CB316" i="1"/>
  <c r="CC316" i="1"/>
  <c r="CD316" i="1"/>
  <c r="CE316" i="1"/>
  <c r="CF316" i="1"/>
  <c r="CG316" i="1"/>
  <c r="CH316" i="1"/>
  <c r="CI316" i="1"/>
  <c r="CJ316" i="1"/>
  <c r="CK316" i="1"/>
  <c r="BM317" i="1"/>
  <c r="BN317" i="1"/>
  <c r="BO317" i="1"/>
  <c r="BP317" i="1"/>
  <c r="BQ317" i="1"/>
  <c r="BR317" i="1"/>
  <c r="BS317" i="1"/>
  <c r="BT317" i="1"/>
  <c r="BU317" i="1"/>
  <c r="BV317" i="1"/>
  <c r="BW317" i="1"/>
  <c r="BX317" i="1"/>
  <c r="BY317" i="1"/>
  <c r="BZ317" i="1"/>
  <c r="CA317" i="1"/>
  <c r="CB317" i="1"/>
  <c r="CC317" i="1"/>
  <c r="CD317" i="1"/>
  <c r="CE317" i="1"/>
  <c r="CF317" i="1"/>
  <c r="CG317" i="1"/>
  <c r="CH317" i="1"/>
  <c r="CI317" i="1"/>
  <c r="CJ317" i="1"/>
  <c r="CK317" i="1"/>
  <c r="BM318" i="1"/>
  <c r="BN318" i="1"/>
  <c r="BO318" i="1"/>
  <c r="BP318" i="1"/>
  <c r="BQ318" i="1"/>
  <c r="BR318" i="1"/>
  <c r="BS318" i="1"/>
  <c r="BT318" i="1"/>
  <c r="BU318" i="1"/>
  <c r="BV318" i="1"/>
  <c r="BW318" i="1"/>
  <c r="BX318" i="1"/>
  <c r="BY318" i="1"/>
  <c r="BZ318" i="1"/>
  <c r="CA318" i="1"/>
  <c r="CB318" i="1"/>
  <c r="CC318" i="1"/>
  <c r="CD318" i="1"/>
  <c r="CE318" i="1"/>
  <c r="CF318" i="1"/>
  <c r="CG318" i="1"/>
  <c r="CH318" i="1"/>
  <c r="CI318" i="1"/>
  <c r="CJ318" i="1"/>
  <c r="CK318" i="1"/>
  <c r="BM319" i="1"/>
  <c r="BN319" i="1"/>
  <c r="BO319" i="1"/>
  <c r="BP319" i="1"/>
  <c r="BQ319" i="1"/>
  <c r="BR319" i="1"/>
  <c r="BS319" i="1"/>
  <c r="BT319" i="1"/>
  <c r="BU319" i="1"/>
  <c r="BV319" i="1"/>
  <c r="BW319" i="1"/>
  <c r="BX319" i="1"/>
  <c r="BY319" i="1"/>
  <c r="BZ319" i="1"/>
  <c r="CA319" i="1"/>
  <c r="CB319" i="1"/>
  <c r="CC319" i="1"/>
  <c r="CD319" i="1"/>
  <c r="CE319" i="1"/>
  <c r="CF319" i="1"/>
  <c r="CG319" i="1"/>
  <c r="CH319" i="1"/>
  <c r="CI319" i="1"/>
  <c r="CJ319" i="1"/>
  <c r="CK319" i="1"/>
  <c r="BM320" i="1"/>
  <c r="BN320" i="1"/>
  <c r="BO320" i="1"/>
  <c r="BP320" i="1"/>
  <c r="BQ320" i="1"/>
  <c r="BR320" i="1"/>
  <c r="BS320" i="1"/>
  <c r="BT320" i="1"/>
  <c r="BU320" i="1"/>
  <c r="BV320" i="1"/>
  <c r="BW320" i="1"/>
  <c r="BX320" i="1"/>
  <c r="BY320" i="1"/>
  <c r="BZ320" i="1"/>
  <c r="CA320" i="1"/>
  <c r="CB320" i="1"/>
  <c r="CC320" i="1"/>
  <c r="CD320" i="1"/>
  <c r="CE320" i="1"/>
  <c r="CF320" i="1"/>
  <c r="CG320" i="1"/>
  <c r="CH320" i="1"/>
  <c r="CI320" i="1"/>
  <c r="CJ320" i="1"/>
  <c r="CK320" i="1"/>
  <c r="BM321" i="1"/>
  <c r="BN321" i="1"/>
  <c r="BO321" i="1"/>
  <c r="BP321" i="1"/>
  <c r="BQ321" i="1"/>
  <c r="BR321" i="1"/>
  <c r="BS321" i="1"/>
  <c r="BT321" i="1"/>
  <c r="BU321" i="1"/>
  <c r="BV321" i="1"/>
  <c r="BW321" i="1"/>
  <c r="BX321" i="1"/>
  <c r="BY321" i="1"/>
  <c r="BZ321" i="1"/>
  <c r="CA321" i="1"/>
  <c r="CB321" i="1"/>
  <c r="CC321" i="1"/>
  <c r="CD321" i="1"/>
  <c r="CE321" i="1"/>
  <c r="CF321" i="1"/>
  <c r="CG321" i="1"/>
  <c r="CH321" i="1"/>
  <c r="CI321" i="1"/>
  <c r="CJ321" i="1"/>
  <c r="CK321" i="1"/>
  <c r="BM322" i="1"/>
  <c r="BN322" i="1"/>
  <c r="BO322" i="1"/>
  <c r="BP322" i="1"/>
  <c r="BQ322" i="1"/>
  <c r="BR322" i="1"/>
  <c r="BS322" i="1"/>
  <c r="BT322" i="1"/>
  <c r="BU322" i="1"/>
  <c r="BV322" i="1"/>
  <c r="BW322" i="1"/>
  <c r="BX322" i="1"/>
  <c r="BY322" i="1"/>
  <c r="BZ322" i="1"/>
  <c r="CA322" i="1"/>
  <c r="CB322" i="1"/>
  <c r="CC322" i="1"/>
  <c r="CD322" i="1"/>
  <c r="CE322" i="1"/>
  <c r="CF322" i="1"/>
  <c r="CG322" i="1"/>
  <c r="CH322" i="1"/>
  <c r="CI322" i="1"/>
  <c r="CJ322" i="1"/>
  <c r="CK322" i="1"/>
  <c r="BM323" i="1"/>
  <c r="BN323" i="1"/>
  <c r="BO323" i="1"/>
  <c r="BP323" i="1"/>
  <c r="BQ323" i="1"/>
  <c r="BR323" i="1"/>
  <c r="BS323" i="1"/>
  <c r="BT323" i="1"/>
  <c r="BU323" i="1"/>
  <c r="BV323" i="1"/>
  <c r="BW323" i="1"/>
  <c r="BX323" i="1"/>
  <c r="BY323" i="1"/>
  <c r="BZ323" i="1"/>
  <c r="CA323" i="1"/>
  <c r="CB323" i="1"/>
  <c r="CC323" i="1"/>
  <c r="CD323" i="1"/>
  <c r="CE323" i="1"/>
  <c r="CF323" i="1"/>
  <c r="CG323" i="1"/>
  <c r="CH323" i="1"/>
  <c r="CI323" i="1"/>
  <c r="CJ323" i="1"/>
  <c r="CK323" i="1"/>
  <c r="BM324" i="1"/>
  <c r="BN324" i="1"/>
  <c r="BO324" i="1"/>
  <c r="BP324" i="1"/>
  <c r="BQ324" i="1"/>
  <c r="BR324" i="1"/>
  <c r="BS324" i="1"/>
  <c r="BT324" i="1"/>
  <c r="BU324" i="1"/>
  <c r="BV324" i="1"/>
  <c r="BW324" i="1"/>
  <c r="BX324" i="1"/>
  <c r="BY324" i="1"/>
  <c r="BZ324" i="1"/>
  <c r="CA324" i="1"/>
  <c r="CB324" i="1"/>
  <c r="CC324" i="1"/>
  <c r="CD324" i="1"/>
  <c r="CE324" i="1"/>
  <c r="CF324" i="1"/>
  <c r="CG324" i="1"/>
  <c r="CH324" i="1"/>
  <c r="CI324" i="1"/>
  <c r="CJ324" i="1"/>
  <c r="CK324" i="1"/>
  <c r="BM325" i="1"/>
  <c r="BN325" i="1"/>
  <c r="BO325" i="1"/>
  <c r="BP325" i="1"/>
  <c r="BQ325" i="1"/>
  <c r="BR325" i="1"/>
  <c r="BS325" i="1"/>
  <c r="BT325" i="1"/>
  <c r="BU325" i="1"/>
  <c r="BV325" i="1"/>
  <c r="BW325" i="1"/>
  <c r="BX325" i="1"/>
  <c r="BY325" i="1"/>
  <c r="BZ325" i="1"/>
  <c r="CA325" i="1"/>
  <c r="CB325" i="1"/>
  <c r="CC325" i="1"/>
  <c r="CD325" i="1"/>
  <c r="CE325" i="1"/>
  <c r="CF325" i="1"/>
  <c r="CG325" i="1"/>
  <c r="CH325" i="1"/>
  <c r="CI325" i="1"/>
  <c r="CJ325" i="1"/>
  <c r="CK325" i="1"/>
  <c r="BM326" i="1"/>
  <c r="BN326" i="1"/>
  <c r="BO326" i="1"/>
  <c r="BP326" i="1"/>
  <c r="BQ326" i="1"/>
  <c r="BR326" i="1"/>
  <c r="BS326" i="1"/>
  <c r="BT326" i="1"/>
  <c r="BU326" i="1"/>
  <c r="BV326" i="1"/>
  <c r="BW326" i="1"/>
  <c r="BX326" i="1"/>
  <c r="BY326" i="1"/>
  <c r="BZ326" i="1"/>
  <c r="CA326" i="1"/>
  <c r="CB326" i="1"/>
  <c r="CC326" i="1"/>
  <c r="CD326" i="1"/>
  <c r="CE326" i="1"/>
  <c r="CF326" i="1"/>
  <c r="CG326" i="1"/>
  <c r="CH326" i="1"/>
  <c r="CI326" i="1"/>
  <c r="CJ326" i="1"/>
  <c r="CK326" i="1"/>
  <c r="BM327" i="1"/>
  <c r="BN327" i="1"/>
  <c r="BO327" i="1"/>
  <c r="BP327" i="1"/>
  <c r="BQ327" i="1"/>
  <c r="BR327" i="1"/>
  <c r="BS327" i="1"/>
  <c r="BT327" i="1"/>
  <c r="BU327" i="1"/>
  <c r="BV327" i="1"/>
  <c r="BW327" i="1"/>
  <c r="BX327" i="1"/>
  <c r="BY327" i="1"/>
  <c r="BZ327" i="1"/>
  <c r="CA327" i="1"/>
  <c r="CB327" i="1"/>
  <c r="CC327" i="1"/>
  <c r="CD327" i="1"/>
  <c r="CE327" i="1"/>
  <c r="CF327" i="1"/>
  <c r="CG327" i="1"/>
  <c r="CH327" i="1"/>
  <c r="CI327" i="1"/>
  <c r="CJ327" i="1"/>
  <c r="CK327" i="1"/>
  <c r="BM328" i="1"/>
  <c r="BN328" i="1"/>
  <c r="BO328" i="1"/>
  <c r="BP328" i="1"/>
  <c r="BQ328" i="1"/>
  <c r="BR328" i="1"/>
  <c r="BS328" i="1"/>
  <c r="BT328" i="1"/>
  <c r="BU328" i="1"/>
  <c r="BV328" i="1"/>
  <c r="BW328" i="1"/>
  <c r="BX328" i="1"/>
  <c r="BY328" i="1"/>
  <c r="BZ328" i="1"/>
  <c r="CA328" i="1"/>
  <c r="CB328" i="1"/>
  <c r="CC328" i="1"/>
  <c r="CD328" i="1"/>
  <c r="CE328" i="1"/>
  <c r="CF328" i="1"/>
  <c r="CG328" i="1"/>
  <c r="CH328" i="1"/>
  <c r="CI328" i="1"/>
  <c r="CJ328" i="1"/>
  <c r="CK328" i="1"/>
  <c r="BM329" i="1"/>
  <c r="BN329" i="1"/>
  <c r="BO329" i="1"/>
  <c r="BP329" i="1"/>
  <c r="BQ329" i="1"/>
  <c r="BR329" i="1"/>
  <c r="BS329" i="1"/>
  <c r="BT329" i="1"/>
  <c r="BU329" i="1"/>
  <c r="BV329" i="1"/>
  <c r="BW329" i="1"/>
  <c r="BX329" i="1"/>
  <c r="BY329" i="1"/>
  <c r="BZ329" i="1"/>
  <c r="CA329" i="1"/>
  <c r="CB329" i="1"/>
  <c r="CC329" i="1"/>
  <c r="CD329" i="1"/>
  <c r="CE329" i="1"/>
  <c r="CF329" i="1"/>
  <c r="CG329" i="1"/>
  <c r="CH329" i="1"/>
  <c r="CI329" i="1"/>
  <c r="CJ329" i="1"/>
  <c r="CK329" i="1"/>
  <c r="BM330" i="1"/>
  <c r="BN330" i="1"/>
  <c r="BO330" i="1"/>
  <c r="BP330" i="1"/>
  <c r="BQ330" i="1"/>
  <c r="BR330" i="1"/>
  <c r="BS330" i="1"/>
  <c r="BT330" i="1"/>
  <c r="BU330" i="1"/>
  <c r="BV330" i="1"/>
  <c r="BW330" i="1"/>
  <c r="BX330" i="1"/>
  <c r="BY330" i="1"/>
  <c r="BZ330" i="1"/>
  <c r="CA330" i="1"/>
  <c r="CB330" i="1"/>
  <c r="CC330" i="1"/>
  <c r="CD330" i="1"/>
  <c r="CE330" i="1"/>
  <c r="CF330" i="1"/>
  <c r="CG330" i="1"/>
  <c r="CH330" i="1"/>
  <c r="CI330" i="1"/>
  <c r="CJ330" i="1"/>
  <c r="CK330" i="1"/>
  <c r="BM331" i="1"/>
  <c r="BN331" i="1"/>
  <c r="BO331" i="1"/>
  <c r="BP331" i="1"/>
  <c r="BQ331" i="1"/>
  <c r="BR331" i="1"/>
  <c r="BS331" i="1"/>
  <c r="BT331" i="1"/>
  <c r="BU331" i="1"/>
  <c r="BV331" i="1"/>
  <c r="BW331" i="1"/>
  <c r="BX331" i="1"/>
  <c r="BY331" i="1"/>
  <c r="BZ331" i="1"/>
  <c r="CA331" i="1"/>
  <c r="CB331" i="1"/>
  <c r="CC331" i="1"/>
  <c r="CD331" i="1"/>
  <c r="CE331" i="1"/>
  <c r="CF331" i="1"/>
  <c r="CG331" i="1"/>
  <c r="CH331" i="1"/>
  <c r="CI331" i="1"/>
  <c r="CJ331" i="1"/>
  <c r="CK331" i="1"/>
  <c r="BM332" i="1"/>
  <c r="BN332" i="1"/>
  <c r="BO332" i="1"/>
  <c r="BP332" i="1"/>
  <c r="BQ332" i="1"/>
  <c r="BR332" i="1"/>
  <c r="BS332" i="1"/>
  <c r="BT332" i="1"/>
  <c r="BU332" i="1"/>
  <c r="BV332" i="1"/>
  <c r="BW332" i="1"/>
  <c r="BX332" i="1"/>
  <c r="BY332" i="1"/>
  <c r="BZ332" i="1"/>
  <c r="CA332" i="1"/>
  <c r="CB332" i="1"/>
  <c r="CC332" i="1"/>
  <c r="CD332" i="1"/>
  <c r="CE332" i="1"/>
  <c r="CF332" i="1"/>
  <c r="CG332" i="1"/>
  <c r="CH332" i="1"/>
  <c r="CI332" i="1"/>
  <c r="CJ332" i="1"/>
  <c r="CK332" i="1"/>
  <c r="BM333" i="1"/>
  <c r="BN333" i="1"/>
  <c r="BO333" i="1"/>
  <c r="BP333" i="1"/>
  <c r="BQ333" i="1"/>
  <c r="BR333" i="1"/>
  <c r="BS333" i="1"/>
  <c r="BT333" i="1"/>
  <c r="BU333" i="1"/>
  <c r="BV333" i="1"/>
  <c r="BW333" i="1"/>
  <c r="BX333" i="1"/>
  <c r="BY333" i="1"/>
  <c r="BZ333" i="1"/>
  <c r="CA333" i="1"/>
  <c r="CB333" i="1"/>
  <c r="CC333" i="1"/>
  <c r="CD333" i="1"/>
  <c r="CE333" i="1"/>
  <c r="CF333" i="1"/>
  <c r="CG333" i="1"/>
  <c r="CH333" i="1"/>
  <c r="CI333" i="1"/>
  <c r="CJ333" i="1"/>
  <c r="CK333" i="1"/>
  <c r="BM334" i="1"/>
  <c r="BN334" i="1"/>
  <c r="BO334" i="1"/>
  <c r="BP334" i="1"/>
  <c r="BQ334" i="1"/>
  <c r="BR334" i="1"/>
  <c r="BS334" i="1"/>
  <c r="BT334" i="1"/>
  <c r="BU334" i="1"/>
  <c r="BV334" i="1"/>
  <c r="BW334" i="1"/>
  <c r="BX334" i="1"/>
  <c r="BY334" i="1"/>
  <c r="BZ334" i="1"/>
  <c r="CA334" i="1"/>
  <c r="CB334" i="1"/>
  <c r="CC334" i="1"/>
  <c r="CD334" i="1"/>
  <c r="CE334" i="1"/>
  <c r="CF334" i="1"/>
  <c r="CG334" i="1"/>
  <c r="CH334" i="1"/>
  <c r="CI334" i="1"/>
  <c r="CJ334" i="1"/>
  <c r="CK334" i="1"/>
  <c r="BM335" i="1"/>
  <c r="BN335" i="1"/>
  <c r="BO335" i="1"/>
  <c r="BP335" i="1"/>
  <c r="BQ335" i="1"/>
  <c r="BR335" i="1"/>
  <c r="BS335" i="1"/>
  <c r="BT335" i="1"/>
  <c r="BU335" i="1"/>
  <c r="BV335" i="1"/>
  <c r="BW335" i="1"/>
  <c r="BX335" i="1"/>
  <c r="BY335" i="1"/>
  <c r="BZ335" i="1"/>
  <c r="CA335" i="1"/>
  <c r="CB335" i="1"/>
  <c r="CC335" i="1"/>
  <c r="CD335" i="1"/>
  <c r="CE335" i="1"/>
  <c r="CF335" i="1"/>
  <c r="CG335" i="1"/>
  <c r="CH335" i="1"/>
  <c r="CI335" i="1"/>
  <c r="CJ335" i="1"/>
  <c r="CK335" i="1"/>
  <c r="BM336" i="1"/>
  <c r="BN336" i="1"/>
  <c r="BO336" i="1"/>
  <c r="BP336" i="1"/>
  <c r="BQ336" i="1"/>
  <c r="BR336" i="1"/>
  <c r="BS336" i="1"/>
  <c r="BT336" i="1"/>
  <c r="BU336" i="1"/>
  <c r="BV336" i="1"/>
  <c r="BW336" i="1"/>
  <c r="BX336" i="1"/>
  <c r="BY336" i="1"/>
  <c r="BZ336" i="1"/>
  <c r="CA336" i="1"/>
  <c r="CB336" i="1"/>
  <c r="CC336" i="1"/>
  <c r="CD336" i="1"/>
  <c r="CE336" i="1"/>
  <c r="CF336" i="1"/>
  <c r="CG336" i="1"/>
  <c r="CH336" i="1"/>
  <c r="CI336" i="1"/>
  <c r="CJ336" i="1"/>
  <c r="CK336" i="1"/>
  <c r="BM337" i="1"/>
  <c r="BN337" i="1"/>
  <c r="BO337" i="1"/>
  <c r="BP337" i="1"/>
  <c r="BQ337" i="1"/>
  <c r="BR337" i="1"/>
  <c r="BS337" i="1"/>
  <c r="BT337" i="1"/>
  <c r="BU337" i="1"/>
  <c r="BV337" i="1"/>
  <c r="BW337" i="1"/>
  <c r="BX337" i="1"/>
  <c r="BY337" i="1"/>
  <c r="BZ337" i="1"/>
  <c r="CA337" i="1"/>
  <c r="CB337" i="1"/>
  <c r="CC337" i="1"/>
  <c r="CD337" i="1"/>
  <c r="CE337" i="1"/>
  <c r="CF337" i="1"/>
  <c r="CG337" i="1"/>
  <c r="CH337" i="1"/>
  <c r="CI337" i="1"/>
  <c r="CJ337" i="1"/>
  <c r="CK337" i="1"/>
  <c r="BM338" i="1"/>
  <c r="BN338" i="1"/>
  <c r="BO338" i="1"/>
  <c r="BP338" i="1"/>
  <c r="BQ338" i="1"/>
  <c r="BR338" i="1"/>
  <c r="BS338" i="1"/>
  <c r="BT338" i="1"/>
  <c r="BU338" i="1"/>
  <c r="BV338" i="1"/>
  <c r="BW338" i="1"/>
  <c r="BX338" i="1"/>
  <c r="BY338" i="1"/>
  <c r="BZ338" i="1"/>
  <c r="CA338" i="1"/>
  <c r="CB338" i="1"/>
  <c r="CC338" i="1"/>
  <c r="CD338" i="1"/>
  <c r="CE338" i="1"/>
  <c r="CF338" i="1"/>
  <c r="CG338" i="1"/>
  <c r="CH338" i="1"/>
  <c r="CI338" i="1"/>
  <c r="CJ338" i="1"/>
  <c r="CK338" i="1"/>
  <c r="BM339" i="1"/>
  <c r="BN339" i="1"/>
  <c r="BO339" i="1"/>
  <c r="BP339" i="1"/>
  <c r="BQ339" i="1"/>
  <c r="BR339" i="1"/>
  <c r="BS339" i="1"/>
  <c r="BT339" i="1"/>
  <c r="BU339" i="1"/>
  <c r="BV339" i="1"/>
  <c r="BW339" i="1"/>
  <c r="BX339" i="1"/>
  <c r="BY339" i="1"/>
  <c r="BZ339" i="1"/>
  <c r="CA339" i="1"/>
  <c r="CB339" i="1"/>
  <c r="CC339" i="1"/>
  <c r="CD339" i="1"/>
  <c r="CE339" i="1"/>
  <c r="CF339" i="1"/>
  <c r="CG339" i="1"/>
  <c r="CH339" i="1"/>
  <c r="CI339" i="1"/>
  <c r="CJ339" i="1"/>
  <c r="CK339" i="1"/>
  <c r="BM340" i="1"/>
  <c r="BN340" i="1"/>
  <c r="BO340" i="1"/>
  <c r="BP340" i="1"/>
  <c r="BQ340" i="1"/>
  <c r="BR340" i="1"/>
  <c r="BS340" i="1"/>
  <c r="BT340" i="1"/>
  <c r="BU340" i="1"/>
  <c r="BV340" i="1"/>
  <c r="BW340" i="1"/>
  <c r="BX340" i="1"/>
  <c r="BY340" i="1"/>
  <c r="BZ340" i="1"/>
  <c r="CA340" i="1"/>
  <c r="CB340" i="1"/>
  <c r="CC340" i="1"/>
  <c r="CD340" i="1"/>
  <c r="CE340" i="1"/>
  <c r="CF340" i="1"/>
  <c r="CG340" i="1"/>
  <c r="CH340" i="1"/>
  <c r="CI340" i="1"/>
  <c r="CJ340" i="1"/>
  <c r="CK340" i="1"/>
  <c r="BM341" i="1"/>
  <c r="BN341" i="1"/>
  <c r="BO341" i="1"/>
  <c r="BP341" i="1"/>
  <c r="BQ341" i="1"/>
  <c r="BR341" i="1"/>
  <c r="BS341" i="1"/>
  <c r="BT341" i="1"/>
  <c r="BU341" i="1"/>
  <c r="BV341" i="1"/>
  <c r="BW341" i="1"/>
  <c r="BX341" i="1"/>
  <c r="BY341" i="1"/>
  <c r="BZ341" i="1"/>
  <c r="CA341" i="1"/>
  <c r="CB341" i="1"/>
  <c r="CC341" i="1"/>
  <c r="CD341" i="1"/>
  <c r="CE341" i="1"/>
  <c r="CF341" i="1"/>
  <c r="CG341" i="1"/>
  <c r="CH341" i="1"/>
  <c r="CI341" i="1"/>
  <c r="CJ341" i="1"/>
  <c r="CK341" i="1"/>
  <c r="BM342" i="1"/>
  <c r="BN342" i="1"/>
  <c r="BO342" i="1"/>
  <c r="BP342" i="1"/>
  <c r="BQ342" i="1"/>
  <c r="BR342" i="1"/>
  <c r="BS342" i="1"/>
  <c r="BT342" i="1"/>
  <c r="BU342" i="1"/>
  <c r="BV342" i="1"/>
  <c r="BW342" i="1"/>
  <c r="BX342" i="1"/>
  <c r="BY342" i="1"/>
  <c r="BZ342" i="1"/>
  <c r="CA342" i="1"/>
  <c r="CB342" i="1"/>
  <c r="CC342" i="1"/>
  <c r="CD342" i="1"/>
  <c r="CE342" i="1"/>
  <c r="CF342" i="1"/>
  <c r="CG342" i="1"/>
  <c r="CH342" i="1"/>
  <c r="CI342" i="1"/>
  <c r="CJ342" i="1"/>
  <c r="CK342" i="1"/>
  <c r="BM343" i="1"/>
  <c r="BN343" i="1"/>
  <c r="BO343" i="1"/>
  <c r="BP343" i="1"/>
  <c r="BQ343" i="1"/>
  <c r="BR343" i="1"/>
  <c r="BS343" i="1"/>
  <c r="BT343" i="1"/>
  <c r="BU343" i="1"/>
  <c r="BV343" i="1"/>
  <c r="BW343" i="1"/>
  <c r="BX343" i="1"/>
  <c r="BY343" i="1"/>
  <c r="BZ343" i="1"/>
  <c r="CA343" i="1"/>
  <c r="CB343" i="1"/>
  <c r="CC343" i="1"/>
  <c r="CD343" i="1"/>
  <c r="CE343" i="1"/>
  <c r="CF343" i="1"/>
  <c r="CG343" i="1"/>
  <c r="CH343" i="1"/>
  <c r="CI343" i="1"/>
  <c r="CJ343" i="1"/>
  <c r="CK343" i="1"/>
  <c r="BM344" i="1"/>
  <c r="BN344" i="1"/>
  <c r="BO344" i="1"/>
  <c r="BP344" i="1"/>
  <c r="BQ344" i="1"/>
  <c r="BR344" i="1"/>
  <c r="BS344" i="1"/>
  <c r="BT344" i="1"/>
  <c r="BU344" i="1"/>
  <c r="BV344" i="1"/>
  <c r="BW344" i="1"/>
  <c r="BX344" i="1"/>
  <c r="BY344" i="1"/>
  <c r="BZ344" i="1"/>
  <c r="CA344" i="1"/>
  <c r="CB344" i="1"/>
  <c r="CC344" i="1"/>
  <c r="CD344" i="1"/>
  <c r="CE344" i="1"/>
  <c r="CF344" i="1"/>
  <c r="CG344" i="1"/>
  <c r="CH344" i="1"/>
  <c r="CI344" i="1"/>
  <c r="CJ344" i="1"/>
  <c r="CK344" i="1"/>
  <c r="BM345" i="1"/>
  <c r="BN345" i="1"/>
  <c r="BO345" i="1"/>
  <c r="BP345" i="1"/>
  <c r="BQ345" i="1"/>
  <c r="BR345" i="1"/>
  <c r="BS345" i="1"/>
  <c r="BT345" i="1"/>
  <c r="BU345" i="1"/>
  <c r="BV345" i="1"/>
  <c r="BW345" i="1"/>
  <c r="BX345" i="1"/>
  <c r="BY345" i="1"/>
  <c r="BZ345" i="1"/>
  <c r="CA345" i="1"/>
  <c r="CB345" i="1"/>
  <c r="CC345" i="1"/>
  <c r="CD345" i="1"/>
  <c r="CE345" i="1"/>
  <c r="CF345" i="1"/>
  <c r="CG345" i="1"/>
  <c r="CH345" i="1"/>
  <c r="CI345" i="1"/>
  <c r="CJ345" i="1"/>
  <c r="CK345" i="1"/>
  <c r="BM346" i="1"/>
  <c r="BN346" i="1"/>
  <c r="BO346" i="1"/>
  <c r="BP346" i="1"/>
  <c r="BQ346" i="1"/>
  <c r="BR346" i="1"/>
  <c r="BS346" i="1"/>
  <c r="BT346" i="1"/>
  <c r="BU346" i="1"/>
  <c r="BV346" i="1"/>
  <c r="BW346" i="1"/>
  <c r="BX346" i="1"/>
  <c r="BY346" i="1"/>
  <c r="BZ346" i="1"/>
  <c r="CA346" i="1"/>
  <c r="CB346" i="1"/>
  <c r="CC346" i="1"/>
  <c r="CD346" i="1"/>
  <c r="CE346" i="1"/>
  <c r="CF346" i="1"/>
  <c r="CG346" i="1"/>
  <c r="CH346" i="1"/>
  <c r="CI346" i="1"/>
  <c r="CJ346" i="1"/>
  <c r="CK346" i="1"/>
  <c r="BM347" i="1"/>
  <c r="BN347" i="1"/>
  <c r="BO347" i="1"/>
  <c r="BP347" i="1"/>
  <c r="BQ347" i="1"/>
  <c r="BR347" i="1"/>
  <c r="BS347" i="1"/>
  <c r="BT347" i="1"/>
  <c r="BU347" i="1"/>
  <c r="BV347" i="1"/>
  <c r="BW347" i="1"/>
  <c r="BX347" i="1"/>
  <c r="BY347" i="1"/>
  <c r="BZ347" i="1"/>
  <c r="CA347" i="1"/>
  <c r="CB347" i="1"/>
  <c r="CC347" i="1"/>
  <c r="CD347" i="1"/>
  <c r="CE347" i="1"/>
  <c r="CF347" i="1"/>
  <c r="CG347" i="1"/>
  <c r="CH347" i="1"/>
  <c r="CI347" i="1"/>
  <c r="CJ347" i="1"/>
  <c r="CK347" i="1"/>
  <c r="BM348" i="1"/>
  <c r="BN348" i="1"/>
  <c r="BO348" i="1"/>
  <c r="BP348" i="1"/>
  <c r="BQ348" i="1"/>
  <c r="BR348" i="1"/>
  <c r="BS348" i="1"/>
  <c r="BT348" i="1"/>
  <c r="BU348" i="1"/>
  <c r="BV348" i="1"/>
  <c r="BW348" i="1"/>
  <c r="BX348" i="1"/>
  <c r="BY348" i="1"/>
  <c r="BZ348" i="1"/>
  <c r="CA348" i="1"/>
  <c r="CB348" i="1"/>
  <c r="CC348" i="1"/>
  <c r="CD348" i="1"/>
  <c r="CE348" i="1"/>
  <c r="CF348" i="1"/>
  <c r="CG348" i="1"/>
  <c r="CH348" i="1"/>
  <c r="CI348" i="1"/>
  <c r="CJ348" i="1"/>
  <c r="CK348" i="1"/>
  <c r="BM349" i="1"/>
  <c r="BN349" i="1"/>
  <c r="BO349" i="1"/>
  <c r="BP349" i="1"/>
  <c r="BQ349" i="1"/>
  <c r="BR349" i="1"/>
  <c r="BS349" i="1"/>
  <c r="BT349" i="1"/>
  <c r="BU349" i="1"/>
  <c r="BV349" i="1"/>
  <c r="BW349" i="1"/>
  <c r="BX349" i="1"/>
  <c r="BY349" i="1"/>
  <c r="BZ349" i="1"/>
  <c r="CA349" i="1"/>
  <c r="CB349" i="1"/>
  <c r="CC349" i="1"/>
  <c r="CD349" i="1"/>
  <c r="CE349" i="1"/>
  <c r="CF349" i="1"/>
  <c r="CG349" i="1"/>
  <c r="CH349" i="1"/>
  <c r="CI349" i="1"/>
  <c r="CJ349" i="1"/>
  <c r="CK349" i="1"/>
  <c r="BM350" i="1"/>
  <c r="BN350" i="1"/>
  <c r="BO350" i="1"/>
  <c r="BP350" i="1"/>
  <c r="BQ350" i="1"/>
  <c r="BR350" i="1"/>
  <c r="BS350" i="1"/>
  <c r="BT350" i="1"/>
  <c r="BU350" i="1"/>
  <c r="BV350" i="1"/>
  <c r="BW350" i="1"/>
  <c r="BX350" i="1"/>
  <c r="BY350" i="1"/>
  <c r="BZ350" i="1"/>
  <c r="CA350" i="1"/>
  <c r="CB350" i="1"/>
  <c r="CC350" i="1"/>
  <c r="CD350" i="1"/>
  <c r="CE350" i="1"/>
  <c r="CF350" i="1"/>
  <c r="CG350" i="1"/>
  <c r="CH350" i="1"/>
  <c r="CI350" i="1"/>
  <c r="CJ350" i="1"/>
  <c r="CK350" i="1"/>
  <c r="BM351" i="1"/>
  <c r="BN351" i="1"/>
  <c r="BO351" i="1"/>
  <c r="BP351" i="1"/>
  <c r="BQ351" i="1"/>
  <c r="BR351" i="1"/>
  <c r="BS351" i="1"/>
  <c r="BT351" i="1"/>
  <c r="BU351" i="1"/>
  <c r="BV351" i="1"/>
  <c r="BW351" i="1"/>
  <c r="BX351" i="1"/>
  <c r="BY351" i="1"/>
  <c r="BZ351" i="1"/>
  <c r="CA351" i="1"/>
  <c r="CB351" i="1"/>
  <c r="CC351" i="1"/>
  <c r="CD351" i="1"/>
  <c r="CE351" i="1"/>
  <c r="CF351" i="1"/>
  <c r="CG351" i="1"/>
  <c r="CH351" i="1"/>
  <c r="CI351" i="1"/>
  <c r="CJ351" i="1"/>
  <c r="CK351" i="1"/>
  <c r="BM352" i="1"/>
  <c r="BN352" i="1"/>
  <c r="BO352" i="1"/>
  <c r="BP352" i="1"/>
  <c r="BQ352" i="1"/>
  <c r="BR352" i="1"/>
  <c r="BS352" i="1"/>
  <c r="BT352" i="1"/>
  <c r="BU352" i="1"/>
  <c r="BV352" i="1"/>
  <c r="BW352" i="1"/>
  <c r="BX352" i="1"/>
  <c r="BY352" i="1"/>
  <c r="BZ352" i="1"/>
  <c r="CA352" i="1"/>
  <c r="CB352" i="1"/>
  <c r="CC352" i="1"/>
  <c r="CD352" i="1"/>
  <c r="CE352" i="1"/>
  <c r="CF352" i="1"/>
  <c r="CG352" i="1"/>
  <c r="CH352" i="1"/>
  <c r="CI352" i="1"/>
  <c r="CJ352" i="1"/>
  <c r="CK352" i="1"/>
  <c r="BM353" i="1"/>
  <c r="BN353" i="1"/>
  <c r="BO353" i="1"/>
  <c r="BP353" i="1"/>
  <c r="BQ353" i="1"/>
  <c r="BR353" i="1"/>
  <c r="BS353" i="1"/>
  <c r="BT353" i="1"/>
  <c r="BU353" i="1"/>
  <c r="BV353" i="1"/>
  <c r="BW353" i="1"/>
  <c r="BX353" i="1"/>
  <c r="BY353" i="1"/>
  <c r="BZ353" i="1"/>
  <c r="CA353" i="1"/>
  <c r="CB353" i="1"/>
  <c r="CC353" i="1"/>
  <c r="CD353" i="1"/>
  <c r="CE353" i="1"/>
  <c r="CF353" i="1"/>
  <c r="CG353" i="1"/>
  <c r="CH353" i="1"/>
  <c r="CI353" i="1"/>
  <c r="CJ353" i="1"/>
  <c r="CK353" i="1"/>
  <c r="BM354" i="1"/>
  <c r="BN354" i="1"/>
  <c r="BO354" i="1"/>
  <c r="BP354" i="1"/>
  <c r="BQ354" i="1"/>
  <c r="BR354" i="1"/>
  <c r="BS354" i="1"/>
  <c r="BT354" i="1"/>
  <c r="BU354" i="1"/>
  <c r="BV354" i="1"/>
  <c r="BW354" i="1"/>
  <c r="BX354" i="1"/>
  <c r="BY354" i="1"/>
  <c r="BZ354" i="1"/>
  <c r="CA354" i="1"/>
  <c r="CB354" i="1"/>
  <c r="CC354" i="1"/>
  <c r="CD354" i="1"/>
  <c r="CE354" i="1"/>
  <c r="CF354" i="1"/>
  <c r="CG354" i="1"/>
  <c r="CH354" i="1"/>
  <c r="CI354" i="1"/>
  <c r="CJ354" i="1"/>
  <c r="CK354" i="1"/>
  <c r="BM355" i="1"/>
  <c r="BN355" i="1"/>
  <c r="BO355" i="1"/>
  <c r="BP355" i="1"/>
  <c r="BQ355" i="1"/>
  <c r="BR355" i="1"/>
  <c r="BS355" i="1"/>
  <c r="BT355" i="1"/>
  <c r="BU355" i="1"/>
  <c r="BV355" i="1"/>
  <c r="BW355" i="1"/>
  <c r="BX355" i="1"/>
  <c r="BY355" i="1"/>
  <c r="BZ355" i="1"/>
  <c r="CA355" i="1"/>
  <c r="CB355" i="1"/>
  <c r="CC355" i="1"/>
  <c r="CD355" i="1"/>
  <c r="CE355" i="1"/>
  <c r="CF355" i="1"/>
  <c r="CG355" i="1"/>
  <c r="CH355" i="1"/>
  <c r="CI355" i="1"/>
  <c r="CJ355" i="1"/>
  <c r="CK355" i="1"/>
  <c r="BM356" i="1"/>
  <c r="BN356" i="1"/>
  <c r="BO356" i="1"/>
  <c r="BP356" i="1"/>
  <c r="BQ356" i="1"/>
  <c r="BR356" i="1"/>
  <c r="BS356" i="1"/>
  <c r="BT356" i="1"/>
  <c r="BU356" i="1"/>
  <c r="BV356" i="1"/>
  <c r="BW356" i="1"/>
  <c r="BX356" i="1"/>
  <c r="BY356" i="1"/>
  <c r="BZ356" i="1"/>
  <c r="CA356" i="1"/>
  <c r="CB356" i="1"/>
  <c r="CC356" i="1"/>
  <c r="CD356" i="1"/>
  <c r="CE356" i="1"/>
  <c r="CF356" i="1"/>
  <c r="CG356" i="1"/>
  <c r="CH356" i="1"/>
  <c r="CI356" i="1"/>
  <c r="CJ356" i="1"/>
  <c r="CK356" i="1"/>
  <c r="BM357" i="1"/>
  <c r="BN357" i="1"/>
  <c r="BO357" i="1"/>
  <c r="BP357" i="1"/>
  <c r="BQ357" i="1"/>
  <c r="BR357" i="1"/>
  <c r="BS357" i="1"/>
  <c r="BT357" i="1"/>
  <c r="BU357" i="1"/>
  <c r="BV357" i="1"/>
  <c r="BW357" i="1"/>
  <c r="BX357" i="1"/>
  <c r="BY357" i="1"/>
  <c r="BZ357" i="1"/>
  <c r="CA357" i="1"/>
  <c r="CB357" i="1"/>
  <c r="CC357" i="1"/>
  <c r="CD357" i="1"/>
  <c r="CE357" i="1"/>
  <c r="CF357" i="1"/>
  <c r="CG357" i="1"/>
  <c r="CH357" i="1"/>
  <c r="CI357" i="1"/>
  <c r="CJ357" i="1"/>
  <c r="CK357" i="1"/>
  <c r="BM358" i="1"/>
  <c r="BN358" i="1"/>
  <c r="BO358" i="1"/>
  <c r="BP358" i="1"/>
  <c r="BQ358" i="1"/>
  <c r="BR358" i="1"/>
  <c r="BS358" i="1"/>
  <c r="BT358" i="1"/>
  <c r="BU358" i="1"/>
  <c r="BV358" i="1"/>
  <c r="BW358" i="1"/>
  <c r="BX358" i="1"/>
  <c r="BY358" i="1"/>
  <c r="BZ358" i="1"/>
  <c r="CA358" i="1"/>
  <c r="CB358" i="1"/>
  <c r="CC358" i="1"/>
  <c r="CD358" i="1"/>
  <c r="CE358" i="1"/>
  <c r="CF358" i="1"/>
  <c r="CG358" i="1"/>
  <c r="CH358" i="1"/>
  <c r="CI358" i="1"/>
  <c r="CJ358" i="1"/>
  <c r="CK358" i="1"/>
  <c r="BM359" i="1"/>
  <c r="BN359" i="1"/>
  <c r="BO359" i="1"/>
  <c r="BP359" i="1"/>
  <c r="BQ359" i="1"/>
  <c r="BR359" i="1"/>
  <c r="BS359" i="1"/>
  <c r="BT359" i="1"/>
  <c r="BU359" i="1"/>
  <c r="BV359" i="1"/>
  <c r="BW359" i="1"/>
  <c r="BX359" i="1"/>
  <c r="BY359" i="1"/>
  <c r="BZ359" i="1"/>
  <c r="CA359" i="1"/>
  <c r="CB359" i="1"/>
  <c r="CC359" i="1"/>
  <c r="CD359" i="1"/>
  <c r="CE359" i="1"/>
  <c r="CF359" i="1"/>
  <c r="CG359" i="1"/>
  <c r="CH359" i="1"/>
  <c r="CI359" i="1"/>
  <c r="CJ359" i="1"/>
  <c r="CK359" i="1"/>
  <c r="BM360" i="1"/>
  <c r="BN360" i="1"/>
  <c r="BO360" i="1"/>
  <c r="BP360" i="1"/>
  <c r="BQ360" i="1"/>
  <c r="BR360" i="1"/>
  <c r="BS360" i="1"/>
  <c r="BT360" i="1"/>
  <c r="BU360" i="1"/>
  <c r="BV360" i="1"/>
  <c r="BW360" i="1"/>
  <c r="BX360" i="1"/>
  <c r="BY360" i="1"/>
  <c r="BZ360" i="1"/>
  <c r="CA360" i="1"/>
  <c r="CB360" i="1"/>
  <c r="CC360" i="1"/>
  <c r="CD360" i="1"/>
  <c r="CE360" i="1"/>
  <c r="CF360" i="1"/>
  <c r="CG360" i="1"/>
  <c r="CH360" i="1"/>
  <c r="CI360" i="1"/>
  <c r="CJ360" i="1"/>
  <c r="CK360" i="1"/>
  <c r="BM361" i="1"/>
  <c r="BN361" i="1"/>
  <c r="BO361" i="1"/>
  <c r="BP361" i="1"/>
  <c r="BQ361" i="1"/>
  <c r="BR361" i="1"/>
  <c r="BS361" i="1"/>
  <c r="BT361" i="1"/>
  <c r="BU361" i="1"/>
  <c r="BV361" i="1"/>
  <c r="BW361" i="1"/>
  <c r="BX361" i="1"/>
  <c r="BY361" i="1"/>
  <c r="BZ361" i="1"/>
  <c r="CA361" i="1"/>
  <c r="CB361" i="1"/>
  <c r="CC361" i="1"/>
  <c r="CD361" i="1"/>
  <c r="CE361" i="1"/>
  <c r="CF361" i="1"/>
  <c r="CG361" i="1"/>
  <c r="CH361" i="1"/>
  <c r="CI361" i="1"/>
  <c r="CJ361" i="1"/>
  <c r="CK361" i="1"/>
  <c r="BM362" i="1"/>
  <c r="BN362" i="1"/>
  <c r="BO362" i="1"/>
  <c r="BP362" i="1"/>
  <c r="BQ362" i="1"/>
  <c r="BR362" i="1"/>
  <c r="BS362" i="1"/>
  <c r="BT362" i="1"/>
  <c r="BU362" i="1"/>
  <c r="BV362" i="1"/>
  <c r="BW362" i="1"/>
  <c r="BX362" i="1"/>
  <c r="BY362" i="1"/>
  <c r="BZ362" i="1"/>
  <c r="CA362" i="1"/>
  <c r="CB362" i="1"/>
  <c r="CC362" i="1"/>
  <c r="CD362" i="1"/>
  <c r="CE362" i="1"/>
  <c r="CF362" i="1"/>
  <c r="CG362" i="1"/>
  <c r="CH362" i="1"/>
  <c r="CI362" i="1"/>
  <c r="CJ362" i="1"/>
  <c r="CK362" i="1"/>
  <c r="BM363" i="1"/>
  <c r="BN363" i="1"/>
  <c r="BO363" i="1"/>
  <c r="BP363" i="1"/>
  <c r="BQ363" i="1"/>
  <c r="BR363" i="1"/>
  <c r="BS363" i="1"/>
  <c r="BT363" i="1"/>
  <c r="BU363" i="1"/>
  <c r="BV363" i="1"/>
  <c r="BW363" i="1"/>
  <c r="BX363" i="1"/>
  <c r="BY363" i="1"/>
  <c r="BZ363" i="1"/>
  <c r="CA363" i="1"/>
  <c r="CB363" i="1"/>
  <c r="CC363" i="1"/>
  <c r="CD363" i="1"/>
  <c r="CE363" i="1"/>
  <c r="CF363" i="1"/>
  <c r="CG363" i="1"/>
  <c r="CH363" i="1"/>
  <c r="CI363" i="1"/>
  <c r="CJ363" i="1"/>
  <c r="CK363" i="1"/>
  <c r="BM364" i="1"/>
  <c r="BN364" i="1"/>
  <c r="BO364" i="1"/>
  <c r="BP364" i="1"/>
  <c r="BQ364" i="1"/>
  <c r="BR364" i="1"/>
  <c r="BS364" i="1"/>
  <c r="BT364" i="1"/>
  <c r="BU364" i="1"/>
  <c r="BV364" i="1"/>
  <c r="BW364" i="1"/>
  <c r="BX364" i="1"/>
  <c r="BY364" i="1"/>
  <c r="BZ364" i="1"/>
  <c r="CA364" i="1"/>
  <c r="CB364" i="1"/>
  <c r="CC364" i="1"/>
  <c r="CD364" i="1"/>
  <c r="CE364" i="1"/>
  <c r="CF364" i="1"/>
  <c r="CG364" i="1"/>
  <c r="CH364" i="1"/>
  <c r="CI364" i="1"/>
  <c r="CJ364" i="1"/>
  <c r="CK364" i="1"/>
  <c r="BM365" i="1"/>
  <c r="BN365" i="1"/>
  <c r="BO365" i="1"/>
  <c r="BP365" i="1"/>
  <c r="BQ365" i="1"/>
  <c r="BR365" i="1"/>
  <c r="BS365" i="1"/>
  <c r="BT365" i="1"/>
  <c r="BU365" i="1"/>
  <c r="BV365" i="1"/>
  <c r="BW365" i="1"/>
  <c r="BX365" i="1"/>
  <c r="BY365" i="1"/>
  <c r="BZ365" i="1"/>
  <c r="CA365" i="1"/>
  <c r="CB365" i="1"/>
  <c r="CC365" i="1"/>
  <c r="CD365" i="1"/>
  <c r="CE365" i="1"/>
  <c r="CF365" i="1"/>
  <c r="CG365" i="1"/>
  <c r="CH365" i="1"/>
  <c r="CI365" i="1"/>
  <c r="CJ365" i="1"/>
  <c r="CK365" i="1"/>
  <c r="BM366" i="1"/>
  <c r="BN366" i="1"/>
  <c r="BO366" i="1"/>
  <c r="BP366" i="1"/>
  <c r="BQ366" i="1"/>
  <c r="BR366" i="1"/>
  <c r="BS366" i="1"/>
  <c r="BT366" i="1"/>
  <c r="BU366" i="1"/>
  <c r="BV366" i="1"/>
  <c r="BW366" i="1"/>
  <c r="BX366" i="1"/>
  <c r="BY366" i="1"/>
  <c r="BZ366" i="1"/>
  <c r="CA366" i="1"/>
  <c r="CB366" i="1"/>
  <c r="CC366" i="1"/>
  <c r="CD366" i="1"/>
  <c r="CE366" i="1"/>
  <c r="CF366" i="1"/>
  <c r="CG366" i="1"/>
  <c r="CH366" i="1"/>
  <c r="CI366" i="1"/>
  <c r="CJ366" i="1"/>
  <c r="CK366" i="1"/>
  <c r="BM367" i="1"/>
  <c r="BN367" i="1"/>
  <c r="BO367" i="1"/>
  <c r="BP367" i="1"/>
  <c r="BQ367" i="1"/>
  <c r="BR367" i="1"/>
  <c r="BS367" i="1"/>
  <c r="BT367" i="1"/>
  <c r="BU367" i="1"/>
  <c r="BV367" i="1"/>
  <c r="BW367" i="1"/>
  <c r="BX367" i="1"/>
  <c r="BY367" i="1"/>
  <c r="BZ367" i="1"/>
  <c r="CA367" i="1"/>
  <c r="CB367" i="1"/>
  <c r="CC367" i="1"/>
  <c r="CD367" i="1"/>
  <c r="CE367" i="1"/>
  <c r="CF367" i="1"/>
  <c r="CG367" i="1"/>
  <c r="CH367" i="1"/>
  <c r="CI367" i="1"/>
  <c r="CJ367" i="1"/>
  <c r="CK367" i="1"/>
  <c r="BM368" i="1"/>
  <c r="BN368" i="1"/>
  <c r="BO368" i="1"/>
  <c r="BP368" i="1"/>
  <c r="BQ368" i="1"/>
  <c r="BR368" i="1"/>
  <c r="BS368" i="1"/>
  <c r="BT368" i="1"/>
  <c r="BU368" i="1"/>
  <c r="BV368" i="1"/>
  <c r="BW368" i="1"/>
  <c r="BX368" i="1"/>
  <c r="BY368" i="1"/>
  <c r="BZ368" i="1"/>
  <c r="CA368" i="1"/>
  <c r="CB368" i="1"/>
  <c r="CC368" i="1"/>
  <c r="CD368" i="1"/>
  <c r="CE368" i="1"/>
  <c r="CF368" i="1"/>
  <c r="CG368" i="1"/>
  <c r="CH368" i="1"/>
  <c r="CI368" i="1"/>
  <c r="CJ368" i="1"/>
  <c r="CK368" i="1"/>
  <c r="BM369" i="1"/>
  <c r="BN369" i="1"/>
  <c r="BO369" i="1"/>
  <c r="BP369" i="1"/>
  <c r="BQ369" i="1"/>
  <c r="BR369" i="1"/>
  <c r="BS369" i="1"/>
  <c r="BT369" i="1"/>
  <c r="BU369" i="1"/>
  <c r="BV369" i="1"/>
  <c r="BW369" i="1"/>
  <c r="BX369" i="1"/>
  <c r="BY369" i="1"/>
  <c r="BZ369" i="1"/>
  <c r="CA369" i="1"/>
  <c r="CB369" i="1"/>
  <c r="CC369" i="1"/>
  <c r="CD369" i="1"/>
  <c r="CE369" i="1"/>
  <c r="CF369" i="1"/>
  <c r="CG369" i="1"/>
  <c r="CH369" i="1"/>
  <c r="CI369" i="1"/>
  <c r="CJ369" i="1"/>
  <c r="CK369" i="1"/>
  <c r="BM370" i="1"/>
  <c r="BN370" i="1"/>
  <c r="BO370" i="1"/>
  <c r="BP370" i="1"/>
  <c r="BQ370" i="1"/>
  <c r="BR370" i="1"/>
  <c r="BS370" i="1"/>
  <c r="BT370" i="1"/>
  <c r="BU370" i="1"/>
  <c r="BV370" i="1"/>
  <c r="BW370" i="1"/>
  <c r="BX370" i="1"/>
  <c r="BY370" i="1"/>
  <c r="BZ370" i="1"/>
  <c r="CA370" i="1"/>
  <c r="CB370" i="1"/>
  <c r="CC370" i="1"/>
  <c r="CD370" i="1"/>
  <c r="CE370" i="1"/>
  <c r="CF370" i="1"/>
  <c r="CG370" i="1"/>
  <c r="CH370" i="1"/>
  <c r="CI370" i="1"/>
  <c r="CJ370" i="1"/>
  <c r="CK370" i="1"/>
  <c r="BM371" i="1"/>
  <c r="BN371" i="1"/>
  <c r="BO371" i="1"/>
  <c r="BP371" i="1"/>
  <c r="BQ371" i="1"/>
  <c r="BR371" i="1"/>
  <c r="BS371" i="1"/>
  <c r="BT371" i="1"/>
  <c r="BU371" i="1"/>
  <c r="BV371" i="1"/>
  <c r="BW371" i="1"/>
  <c r="BX371" i="1"/>
  <c r="BY371" i="1"/>
  <c r="BZ371" i="1"/>
  <c r="CA371" i="1"/>
  <c r="CB371" i="1"/>
  <c r="CC371" i="1"/>
  <c r="CD371" i="1"/>
  <c r="CE371" i="1"/>
  <c r="CF371" i="1"/>
  <c r="CG371" i="1"/>
  <c r="CH371" i="1"/>
  <c r="CI371" i="1"/>
  <c r="CJ371" i="1"/>
  <c r="CK371" i="1"/>
  <c r="BM372" i="1"/>
  <c r="BN372" i="1"/>
  <c r="BO372" i="1"/>
  <c r="BP372" i="1"/>
  <c r="BQ372" i="1"/>
  <c r="BR372" i="1"/>
  <c r="BS372" i="1"/>
  <c r="BT372" i="1"/>
  <c r="BU372" i="1"/>
  <c r="BV372" i="1"/>
  <c r="BW372" i="1"/>
  <c r="BX372" i="1"/>
  <c r="BY372" i="1"/>
  <c r="BZ372" i="1"/>
  <c r="CA372" i="1"/>
  <c r="CB372" i="1"/>
  <c r="CC372" i="1"/>
  <c r="CD372" i="1"/>
  <c r="CE372" i="1"/>
  <c r="CF372" i="1"/>
  <c r="CG372" i="1"/>
  <c r="CH372" i="1"/>
  <c r="CI372" i="1"/>
  <c r="CJ372" i="1"/>
  <c r="CK372" i="1"/>
  <c r="BM373" i="1"/>
  <c r="BN373" i="1"/>
  <c r="BO373" i="1"/>
  <c r="BP373" i="1"/>
  <c r="BQ373" i="1"/>
  <c r="BR373" i="1"/>
  <c r="BS373" i="1"/>
  <c r="BT373" i="1"/>
  <c r="BU373" i="1"/>
  <c r="BV373" i="1"/>
  <c r="BW373" i="1"/>
  <c r="BX373" i="1"/>
  <c r="BY373" i="1"/>
  <c r="BZ373" i="1"/>
  <c r="CA373" i="1"/>
  <c r="CB373" i="1"/>
  <c r="CC373" i="1"/>
  <c r="CD373" i="1"/>
  <c r="CE373" i="1"/>
  <c r="CF373" i="1"/>
  <c r="CG373" i="1"/>
  <c r="CH373" i="1"/>
  <c r="CI373" i="1"/>
  <c r="CJ373" i="1"/>
  <c r="CK373" i="1"/>
  <c r="BM374" i="1"/>
  <c r="BN374" i="1"/>
  <c r="BO374" i="1"/>
  <c r="BP374" i="1"/>
  <c r="BQ374" i="1"/>
  <c r="BR374" i="1"/>
  <c r="BS374" i="1"/>
  <c r="BT374" i="1"/>
  <c r="BU374" i="1"/>
  <c r="BV374" i="1"/>
  <c r="BW374" i="1"/>
  <c r="BX374" i="1"/>
  <c r="BY374" i="1"/>
  <c r="BZ374" i="1"/>
  <c r="CA374" i="1"/>
  <c r="CB374" i="1"/>
  <c r="CC374" i="1"/>
  <c r="CD374" i="1"/>
  <c r="CE374" i="1"/>
  <c r="CF374" i="1"/>
  <c r="CG374" i="1"/>
  <c r="CH374" i="1"/>
  <c r="CI374" i="1"/>
  <c r="CJ374" i="1"/>
  <c r="CK374" i="1"/>
  <c r="BM375" i="1"/>
  <c r="BN375" i="1"/>
  <c r="BO375" i="1"/>
  <c r="BP375" i="1"/>
  <c r="BQ375" i="1"/>
  <c r="BR375" i="1"/>
  <c r="BS375" i="1"/>
  <c r="BT375" i="1"/>
  <c r="BU375" i="1"/>
  <c r="BV375" i="1"/>
  <c r="BW375" i="1"/>
  <c r="BX375" i="1"/>
  <c r="BY375" i="1"/>
  <c r="BZ375" i="1"/>
  <c r="CA375" i="1"/>
  <c r="CB375" i="1"/>
  <c r="CC375" i="1"/>
  <c r="CD375" i="1"/>
  <c r="CE375" i="1"/>
  <c r="CF375" i="1"/>
  <c r="CG375" i="1"/>
  <c r="CH375" i="1"/>
  <c r="CI375" i="1"/>
  <c r="CJ375" i="1"/>
  <c r="CK375" i="1"/>
  <c r="BM376" i="1"/>
  <c r="BN376" i="1"/>
  <c r="BO376" i="1"/>
  <c r="BP376" i="1"/>
  <c r="BQ376" i="1"/>
  <c r="BR376" i="1"/>
  <c r="BS376" i="1"/>
  <c r="BT376" i="1"/>
  <c r="BU376" i="1"/>
  <c r="BV376" i="1"/>
  <c r="BW376" i="1"/>
  <c r="BX376" i="1"/>
  <c r="BY376" i="1"/>
  <c r="BZ376" i="1"/>
  <c r="CA376" i="1"/>
  <c r="CB376" i="1"/>
  <c r="CC376" i="1"/>
  <c r="CD376" i="1"/>
  <c r="CE376" i="1"/>
  <c r="CF376" i="1"/>
  <c r="CG376" i="1"/>
  <c r="CH376" i="1"/>
  <c r="CI376" i="1"/>
  <c r="CJ376" i="1"/>
  <c r="CK376" i="1"/>
  <c r="BM377" i="1"/>
  <c r="BN377" i="1"/>
  <c r="BO377" i="1"/>
  <c r="BP377" i="1"/>
  <c r="BQ377" i="1"/>
  <c r="BR377" i="1"/>
  <c r="BS377" i="1"/>
  <c r="BT377" i="1"/>
  <c r="BU377" i="1"/>
  <c r="BV377" i="1"/>
  <c r="BW377" i="1"/>
  <c r="BX377" i="1"/>
  <c r="BY377" i="1"/>
  <c r="BZ377" i="1"/>
  <c r="CA377" i="1"/>
  <c r="CB377" i="1"/>
  <c r="CC377" i="1"/>
  <c r="CD377" i="1"/>
  <c r="CE377" i="1"/>
  <c r="CF377" i="1"/>
  <c r="CG377" i="1"/>
  <c r="CH377" i="1"/>
  <c r="CI377" i="1"/>
  <c r="CJ377" i="1"/>
  <c r="CK377" i="1"/>
  <c r="BM378" i="1"/>
  <c r="BN378" i="1"/>
  <c r="BO378" i="1"/>
  <c r="BP378" i="1"/>
  <c r="BQ378" i="1"/>
  <c r="BR378" i="1"/>
  <c r="BS378" i="1"/>
  <c r="BT378" i="1"/>
  <c r="BU378" i="1"/>
  <c r="BV378" i="1"/>
  <c r="BW378" i="1"/>
  <c r="BX378" i="1"/>
  <c r="BY378" i="1"/>
  <c r="BZ378" i="1"/>
  <c r="CA378" i="1"/>
  <c r="CB378" i="1"/>
  <c r="CC378" i="1"/>
  <c r="CD378" i="1"/>
  <c r="CE378" i="1"/>
  <c r="CF378" i="1"/>
  <c r="CG378" i="1"/>
  <c r="CH378" i="1"/>
  <c r="CI378" i="1"/>
  <c r="CJ378" i="1"/>
  <c r="CK378" i="1"/>
  <c r="BM379" i="1"/>
  <c r="BN379" i="1"/>
  <c r="BO379" i="1"/>
  <c r="BP379" i="1"/>
  <c r="BQ379" i="1"/>
  <c r="BR379" i="1"/>
  <c r="BS379" i="1"/>
  <c r="BT379" i="1"/>
  <c r="BU379" i="1"/>
  <c r="BV379" i="1"/>
  <c r="BW379" i="1"/>
  <c r="BX379" i="1"/>
  <c r="BY379" i="1"/>
  <c r="BZ379" i="1"/>
  <c r="CA379" i="1"/>
  <c r="CB379" i="1"/>
  <c r="CC379" i="1"/>
  <c r="CD379" i="1"/>
  <c r="CE379" i="1"/>
  <c r="CF379" i="1"/>
  <c r="CG379" i="1"/>
  <c r="CH379" i="1"/>
  <c r="CI379" i="1"/>
  <c r="CJ379" i="1"/>
  <c r="CK379" i="1"/>
  <c r="BM380" i="1"/>
  <c r="BN380" i="1"/>
  <c r="BO380" i="1"/>
  <c r="BP380" i="1"/>
  <c r="BQ380" i="1"/>
  <c r="BR380" i="1"/>
  <c r="BS380" i="1"/>
  <c r="BT380" i="1"/>
  <c r="BU380" i="1"/>
  <c r="BV380" i="1"/>
  <c r="BW380" i="1"/>
  <c r="BX380" i="1"/>
  <c r="BY380" i="1"/>
  <c r="BZ380" i="1"/>
  <c r="CA380" i="1"/>
  <c r="CB380" i="1"/>
  <c r="CC380" i="1"/>
  <c r="CD380" i="1"/>
  <c r="CE380" i="1"/>
  <c r="CF380" i="1"/>
  <c r="CG380" i="1"/>
  <c r="CH380" i="1"/>
  <c r="CI380" i="1"/>
  <c r="CJ380" i="1"/>
  <c r="CK380" i="1"/>
  <c r="BM381" i="1"/>
  <c r="BN381" i="1"/>
  <c r="BO381" i="1"/>
  <c r="BP381" i="1"/>
  <c r="BQ381" i="1"/>
  <c r="BR381" i="1"/>
  <c r="BS381" i="1"/>
  <c r="BT381" i="1"/>
  <c r="BU381" i="1"/>
  <c r="BV381" i="1"/>
  <c r="BW381" i="1"/>
  <c r="BX381" i="1"/>
  <c r="BY381" i="1"/>
  <c r="BZ381" i="1"/>
  <c r="CA381" i="1"/>
  <c r="CB381" i="1"/>
  <c r="CC381" i="1"/>
  <c r="CD381" i="1"/>
  <c r="CE381" i="1"/>
  <c r="CF381" i="1"/>
  <c r="CG381" i="1"/>
  <c r="CH381" i="1"/>
  <c r="CI381" i="1"/>
  <c r="CJ381" i="1"/>
  <c r="CK381" i="1"/>
  <c r="BM382" i="1"/>
  <c r="BN382" i="1"/>
  <c r="BO382" i="1"/>
  <c r="BP382" i="1"/>
  <c r="BQ382" i="1"/>
  <c r="BR382" i="1"/>
  <c r="BS382" i="1"/>
  <c r="BT382" i="1"/>
  <c r="BU382" i="1"/>
  <c r="BV382" i="1"/>
  <c r="BW382" i="1"/>
  <c r="BX382" i="1"/>
  <c r="BY382" i="1"/>
  <c r="BZ382" i="1"/>
  <c r="CA382" i="1"/>
  <c r="CB382" i="1"/>
  <c r="CC382" i="1"/>
  <c r="CD382" i="1"/>
  <c r="CE382" i="1"/>
  <c r="CF382" i="1"/>
  <c r="CG382" i="1"/>
  <c r="CH382" i="1"/>
  <c r="CI382" i="1"/>
  <c r="CJ382" i="1"/>
  <c r="CK382" i="1"/>
  <c r="BM383" i="1"/>
  <c r="BN383" i="1"/>
  <c r="BO383" i="1"/>
  <c r="BP383" i="1"/>
  <c r="BQ383" i="1"/>
  <c r="BR383" i="1"/>
  <c r="BS383" i="1"/>
  <c r="BT383" i="1"/>
  <c r="BU383" i="1"/>
  <c r="BV383" i="1"/>
  <c r="BW383" i="1"/>
  <c r="BX383" i="1"/>
  <c r="BY383" i="1"/>
  <c r="BZ383" i="1"/>
  <c r="CA383" i="1"/>
  <c r="CB383" i="1"/>
  <c r="CC383" i="1"/>
  <c r="CD383" i="1"/>
  <c r="CE383" i="1"/>
  <c r="CF383" i="1"/>
  <c r="CG383" i="1"/>
  <c r="CH383" i="1"/>
  <c r="CI383" i="1"/>
  <c r="CJ383" i="1"/>
  <c r="CK383" i="1"/>
  <c r="BM384" i="1"/>
  <c r="BN384" i="1"/>
  <c r="BO384" i="1"/>
  <c r="BP384" i="1"/>
  <c r="BQ384" i="1"/>
  <c r="BR384" i="1"/>
  <c r="BS384" i="1"/>
  <c r="BT384" i="1"/>
  <c r="BU384" i="1"/>
  <c r="BV384" i="1"/>
  <c r="BW384" i="1"/>
  <c r="BX384" i="1"/>
  <c r="BY384" i="1"/>
  <c r="BZ384" i="1"/>
  <c r="CA384" i="1"/>
  <c r="CB384" i="1"/>
  <c r="CC384" i="1"/>
  <c r="CD384" i="1"/>
  <c r="CE384" i="1"/>
  <c r="CF384" i="1"/>
  <c r="CG384" i="1"/>
  <c r="CH384" i="1"/>
  <c r="CI384" i="1"/>
  <c r="CJ384" i="1"/>
  <c r="CK384" i="1"/>
  <c r="BM385" i="1"/>
  <c r="BN385" i="1"/>
  <c r="BO385" i="1"/>
  <c r="BP385" i="1"/>
  <c r="BQ385" i="1"/>
  <c r="BR385" i="1"/>
  <c r="BS385" i="1"/>
  <c r="BT385" i="1"/>
  <c r="BU385" i="1"/>
  <c r="BV385" i="1"/>
  <c r="BW385" i="1"/>
  <c r="BX385" i="1"/>
  <c r="BY385" i="1"/>
  <c r="BZ385" i="1"/>
  <c r="CA385" i="1"/>
  <c r="CB385" i="1"/>
  <c r="CC385" i="1"/>
  <c r="CD385" i="1"/>
  <c r="CE385" i="1"/>
  <c r="CF385" i="1"/>
  <c r="CG385" i="1"/>
  <c r="CH385" i="1"/>
  <c r="CI385" i="1"/>
  <c r="CJ385" i="1"/>
  <c r="CK385" i="1"/>
  <c r="BM386" i="1"/>
  <c r="BN386" i="1"/>
  <c r="BO386" i="1"/>
  <c r="BP386" i="1"/>
  <c r="BQ386" i="1"/>
  <c r="BR386" i="1"/>
  <c r="BS386" i="1"/>
  <c r="BT386" i="1"/>
  <c r="BU386" i="1"/>
  <c r="BV386" i="1"/>
  <c r="BW386" i="1"/>
  <c r="BX386" i="1"/>
  <c r="BY386" i="1"/>
  <c r="BZ386" i="1"/>
  <c r="CA386" i="1"/>
  <c r="CB386" i="1"/>
  <c r="CC386" i="1"/>
  <c r="CD386" i="1"/>
  <c r="CE386" i="1"/>
  <c r="CF386" i="1"/>
  <c r="CG386" i="1"/>
  <c r="CH386" i="1"/>
  <c r="CI386" i="1"/>
  <c r="CJ386" i="1"/>
  <c r="CK386" i="1"/>
  <c r="BM387" i="1"/>
  <c r="BN387" i="1"/>
  <c r="BO387" i="1"/>
  <c r="BP387" i="1"/>
  <c r="BQ387" i="1"/>
  <c r="BR387" i="1"/>
  <c r="BS387" i="1"/>
  <c r="BT387" i="1"/>
  <c r="BU387" i="1"/>
  <c r="BV387" i="1"/>
  <c r="BW387" i="1"/>
  <c r="BX387" i="1"/>
  <c r="BY387" i="1"/>
  <c r="BZ387" i="1"/>
  <c r="CA387" i="1"/>
  <c r="CB387" i="1"/>
  <c r="CC387" i="1"/>
  <c r="CD387" i="1"/>
  <c r="CE387" i="1"/>
  <c r="CF387" i="1"/>
  <c r="CG387" i="1"/>
  <c r="CH387" i="1"/>
  <c r="CI387" i="1"/>
  <c r="CJ387" i="1"/>
  <c r="CK387" i="1"/>
  <c r="BM388" i="1"/>
  <c r="BN388" i="1"/>
  <c r="BO388" i="1"/>
  <c r="BP388" i="1"/>
  <c r="BQ388" i="1"/>
  <c r="BR388" i="1"/>
  <c r="BS388" i="1"/>
  <c r="BT388" i="1"/>
  <c r="BU388" i="1"/>
  <c r="BV388" i="1"/>
  <c r="BW388" i="1"/>
  <c r="BX388" i="1"/>
  <c r="BY388" i="1"/>
  <c r="BZ388" i="1"/>
  <c r="CA388" i="1"/>
  <c r="CB388" i="1"/>
  <c r="CC388" i="1"/>
  <c r="CD388" i="1"/>
  <c r="CE388" i="1"/>
  <c r="CF388" i="1"/>
  <c r="CG388" i="1"/>
  <c r="CH388" i="1"/>
  <c r="CI388" i="1"/>
  <c r="CJ388" i="1"/>
  <c r="CK388" i="1"/>
  <c r="BM389" i="1"/>
  <c r="BN389" i="1"/>
  <c r="BO389" i="1"/>
  <c r="BP389" i="1"/>
  <c r="BQ389" i="1"/>
  <c r="BR389" i="1"/>
  <c r="BS389" i="1"/>
  <c r="BT389" i="1"/>
  <c r="BU389" i="1"/>
  <c r="BV389" i="1"/>
  <c r="BW389" i="1"/>
  <c r="BX389" i="1"/>
  <c r="BY389" i="1"/>
  <c r="BZ389" i="1"/>
  <c r="CA389" i="1"/>
  <c r="CB389" i="1"/>
  <c r="CC389" i="1"/>
  <c r="CD389" i="1"/>
  <c r="CE389" i="1"/>
  <c r="CF389" i="1"/>
  <c r="CG389" i="1"/>
  <c r="CH389" i="1"/>
  <c r="CI389" i="1"/>
  <c r="CJ389" i="1"/>
  <c r="CK389" i="1"/>
  <c r="BM390" i="1"/>
  <c r="BN390" i="1"/>
  <c r="BO390" i="1"/>
  <c r="BP390" i="1"/>
  <c r="BQ390" i="1"/>
  <c r="BR390" i="1"/>
  <c r="BS390" i="1"/>
  <c r="BT390" i="1"/>
  <c r="BU390" i="1"/>
  <c r="BV390" i="1"/>
  <c r="BW390" i="1"/>
  <c r="BX390" i="1"/>
  <c r="BY390" i="1"/>
  <c r="BZ390" i="1"/>
  <c r="CA390" i="1"/>
  <c r="CB390" i="1"/>
  <c r="CC390" i="1"/>
  <c r="CD390" i="1"/>
  <c r="CE390" i="1"/>
  <c r="CF390" i="1"/>
  <c r="CG390" i="1"/>
  <c r="CH390" i="1"/>
  <c r="CI390" i="1"/>
  <c r="CJ390" i="1"/>
  <c r="CK390" i="1"/>
  <c r="BM391" i="1"/>
  <c r="BN391" i="1"/>
  <c r="BO391" i="1"/>
  <c r="BP391" i="1"/>
  <c r="BQ391" i="1"/>
  <c r="BR391" i="1"/>
  <c r="BS391" i="1"/>
  <c r="BT391" i="1"/>
  <c r="BU391" i="1"/>
  <c r="BV391" i="1"/>
  <c r="BW391" i="1"/>
  <c r="BX391" i="1"/>
  <c r="BY391" i="1"/>
  <c r="BZ391" i="1"/>
  <c r="CA391" i="1"/>
  <c r="CB391" i="1"/>
  <c r="CC391" i="1"/>
  <c r="CD391" i="1"/>
  <c r="CE391" i="1"/>
  <c r="CF391" i="1"/>
  <c r="CG391" i="1"/>
  <c r="CH391" i="1"/>
  <c r="CI391" i="1"/>
  <c r="CJ391" i="1"/>
  <c r="CK391" i="1"/>
  <c r="BM392" i="1"/>
  <c r="BN392" i="1"/>
  <c r="BO392" i="1"/>
  <c r="BP392" i="1"/>
  <c r="BQ392" i="1"/>
  <c r="BR392" i="1"/>
  <c r="BS392" i="1"/>
  <c r="BT392" i="1"/>
  <c r="BU392" i="1"/>
  <c r="BV392" i="1"/>
  <c r="BW392" i="1"/>
  <c r="BX392" i="1"/>
  <c r="BY392" i="1"/>
  <c r="BZ392" i="1"/>
  <c r="CA392" i="1"/>
  <c r="CB392" i="1"/>
  <c r="CC392" i="1"/>
  <c r="CD392" i="1"/>
  <c r="CE392" i="1"/>
  <c r="CF392" i="1"/>
  <c r="CG392" i="1"/>
  <c r="CH392" i="1"/>
  <c r="CI392" i="1"/>
  <c r="CJ392" i="1"/>
  <c r="CK392" i="1"/>
  <c r="BM393" i="1"/>
  <c r="BN393" i="1"/>
  <c r="BO393" i="1"/>
  <c r="BP393" i="1"/>
  <c r="BQ393" i="1"/>
  <c r="BR393" i="1"/>
  <c r="BS393" i="1"/>
  <c r="BT393" i="1"/>
  <c r="BU393" i="1"/>
  <c r="BV393" i="1"/>
  <c r="BW393" i="1"/>
  <c r="BX393" i="1"/>
  <c r="BY393" i="1"/>
  <c r="BZ393" i="1"/>
  <c r="CA393" i="1"/>
  <c r="CB393" i="1"/>
  <c r="CC393" i="1"/>
  <c r="CD393" i="1"/>
  <c r="CE393" i="1"/>
  <c r="CF393" i="1"/>
  <c r="CG393" i="1"/>
  <c r="CH393" i="1"/>
  <c r="CI393" i="1"/>
  <c r="CJ393" i="1"/>
  <c r="CK393" i="1"/>
  <c r="BM394" i="1"/>
  <c r="BN394" i="1"/>
  <c r="BO394" i="1"/>
  <c r="BP394" i="1"/>
  <c r="BQ394" i="1"/>
  <c r="BR394" i="1"/>
  <c r="BS394" i="1"/>
  <c r="BT394" i="1"/>
  <c r="BU394" i="1"/>
  <c r="BV394" i="1"/>
  <c r="BW394" i="1"/>
  <c r="BX394" i="1"/>
  <c r="BY394" i="1"/>
  <c r="BZ394" i="1"/>
  <c r="CA394" i="1"/>
  <c r="CB394" i="1"/>
  <c r="CC394" i="1"/>
  <c r="CD394" i="1"/>
  <c r="CE394" i="1"/>
  <c r="CF394" i="1"/>
  <c r="CG394" i="1"/>
  <c r="CH394" i="1"/>
  <c r="CI394" i="1"/>
  <c r="CJ394" i="1"/>
  <c r="CK394" i="1"/>
  <c r="BM395" i="1"/>
  <c r="BN395" i="1"/>
  <c r="BO395" i="1"/>
  <c r="BP395" i="1"/>
  <c r="BQ395" i="1"/>
  <c r="BR395" i="1"/>
  <c r="BS395" i="1"/>
  <c r="BT395" i="1"/>
  <c r="BU395" i="1"/>
  <c r="BV395" i="1"/>
  <c r="BW395" i="1"/>
  <c r="BX395" i="1"/>
  <c r="BY395" i="1"/>
  <c r="BZ395" i="1"/>
  <c r="CA395" i="1"/>
  <c r="CB395" i="1"/>
  <c r="CC395" i="1"/>
  <c r="CD395" i="1"/>
  <c r="CE395" i="1"/>
  <c r="CF395" i="1"/>
  <c r="CG395" i="1"/>
  <c r="CH395" i="1"/>
  <c r="CI395" i="1"/>
  <c r="CJ395" i="1"/>
  <c r="CK395" i="1"/>
  <c r="BM396" i="1"/>
  <c r="BN396" i="1"/>
  <c r="BO396" i="1"/>
  <c r="BP396" i="1"/>
  <c r="BQ396" i="1"/>
  <c r="BR396" i="1"/>
  <c r="BS396" i="1"/>
  <c r="BT396" i="1"/>
  <c r="BU396" i="1"/>
  <c r="BV396" i="1"/>
  <c r="BW396" i="1"/>
  <c r="BX396" i="1"/>
  <c r="BY396" i="1"/>
  <c r="BZ396" i="1"/>
  <c r="CA396" i="1"/>
  <c r="CB396" i="1"/>
  <c r="CC396" i="1"/>
  <c r="CD396" i="1"/>
  <c r="CE396" i="1"/>
  <c r="CF396" i="1"/>
  <c r="CG396" i="1"/>
  <c r="CH396" i="1"/>
  <c r="CI396" i="1"/>
  <c r="CJ396" i="1"/>
  <c r="CK396" i="1"/>
  <c r="BM397" i="1"/>
  <c r="BN397" i="1"/>
  <c r="BO397" i="1"/>
  <c r="BP397" i="1"/>
  <c r="BQ397" i="1"/>
  <c r="BR397" i="1"/>
  <c r="BS397" i="1"/>
  <c r="BT397" i="1"/>
  <c r="BU397" i="1"/>
  <c r="BV397" i="1"/>
  <c r="BW397" i="1"/>
  <c r="BX397" i="1"/>
  <c r="BY397" i="1"/>
  <c r="BZ397" i="1"/>
  <c r="CA397" i="1"/>
  <c r="CB397" i="1"/>
  <c r="CC397" i="1"/>
  <c r="CD397" i="1"/>
  <c r="CE397" i="1"/>
  <c r="CF397" i="1"/>
  <c r="CG397" i="1"/>
  <c r="CH397" i="1"/>
  <c r="CI397" i="1"/>
  <c r="CJ397" i="1"/>
  <c r="CK397" i="1"/>
  <c r="BM398" i="1"/>
  <c r="BN398" i="1"/>
  <c r="BO398" i="1"/>
  <c r="BP398" i="1"/>
  <c r="BQ398" i="1"/>
  <c r="BR398" i="1"/>
  <c r="BS398" i="1"/>
  <c r="BT398" i="1"/>
  <c r="BU398" i="1"/>
  <c r="BV398" i="1"/>
  <c r="BW398" i="1"/>
  <c r="BX398" i="1"/>
  <c r="BY398" i="1"/>
  <c r="BZ398" i="1"/>
  <c r="CA398" i="1"/>
  <c r="CB398" i="1"/>
  <c r="CC398" i="1"/>
  <c r="CD398" i="1"/>
  <c r="CE398" i="1"/>
  <c r="CF398" i="1"/>
  <c r="CG398" i="1"/>
  <c r="CH398" i="1"/>
  <c r="CI398" i="1"/>
  <c r="CJ398" i="1"/>
  <c r="CK398" i="1"/>
  <c r="BM399" i="1"/>
  <c r="BN399" i="1"/>
  <c r="BO399" i="1"/>
  <c r="BP399" i="1"/>
  <c r="BQ399" i="1"/>
  <c r="BR399" i="1"/>
  <c r="BS399" i="1"/>
  <c r="BT399" i="1"/>
  <c r="BU399" i="1"/>
  <c r="BV399" i="1"/>
  <c r="BW399" i="1"/>
  <c r="BX399" i="1"/>
  <c r="BY399" i="1"/>
  <c r="BZ399" i="1"/>
  <c r="CA399" i="1"/>
  <c r="CB399" i="1"/>
  <c r="CC399" i="1"/>
  <c r="CD399" i="1"/>
  <c r="CE399" i="1"/>
  <c r="CF399" i="1"/>
  <c r="CG399" i="1"/>
  <c r="CH399" i="1"/>
  <c r="CI399" i="1"/>
  <c r="CJ399" i="1"/>
  <c r="CK399" i="1"/>
  <c r="BM400" i="1"/>
  <c r="BN400" i="1"/>
  <c r="BO400" i="1"/>
  <c r="BP400" i="1"/>
  <c r="BQ400" i="1"/>
  <c r="BR400" i="1"/>
  <c r="BS400" i="1"/>
  <c r="BT400" i="1"/>
  <c r="BU400" i="1"/>
  <c r="BV400" i="1"/>
  <c r="BW400" i="1"/>
  <c r="BX400" i="1"/>
  <c r="BY400" i="1"/>
  <c r="BZ400" i="1"/>
  <c r="CA400" i="1"/>
  <c r="CB400" i="1"/>
  <c r="CC400" i="1"/>
  <c r="CD400" i="1"/>
  <c r="CE400" i="1"/>
  <c r="CF400" i="1"/>
  <c r="CG400" i="1"/>
  <c r="CH400" i="1"/>
  <c r="CI400" i="1"/>
  <c r="CJ400" i="1"/>
  <c r="CK400" i="1"/>
  <c r="BM401" i="1"/>
  <c r="BN401" i="1"/>
  <c r="BO401" i="1"/>
  <c r="BP401" i="1"/>
  <c r="BQ401" i="1"/>
  <c r="BR401" i="1"/>
  <c r="BS401" i="1"/>
  <c r="BT401" i="1"/>
  <c r="BU401" i="1"/>
  <c r="BV401" i="1"/>
  <c r="BW401" i="1"/>
  <c r="BX401" i="1"/>
  <c r="BY401" i="1"/>
  <c r="BZ401" i="1"/>
  <c r="CA401" i="1"/>
  <c r="CB401" i="1"/>
  <c r="CC401" i="1"/>
  <c r="CD401" i="1"/>
  <c r="CE401" i="1"/>
  <c r="CF401" i="1"/>
  <c r="CG401" i="1"/>
  <c r="CH401" i="1"/>
  <c r="CI401" i="1"/>
  <c r="CJ401" i="1"/>
  <c r="CK401" i="1"/>
  <c r="BM402" i="1"/>
  <c r="BN402" i="1"/>
  <c r="BO402" i="1"/>
  <c r="BP402" i="1"/>
  <c r="BQ402" i="1"/>
  <c r="BR402" i="1"/>
  <c r="BS402" i="1"/>
  <c r="BT402" i="1"/>
  <c r="BU402" i="1"/>
  <c r="BV402" i="1"/>
  <c r="BW402" i="1"/>
  <c r="BX402" i="1"/>
  <c r="BY402" i="1"/>
  <c r="BZ402" i="1"/>
  <c r="CA402" i="1"/>
  <c r="CB402" i="1"/>
  <c r="CC402" i="1"/>
  <c r="CD402" i="1"/>
  <c r="CE402" i="1"/>
  <c r="CF402" i="1"/>
  <c r="CG402" i="1"/>
  <c r="CH402" i="1"/>
  <c r="CI402" i="1"/>
  <c r="CJ402" i="1"/>
  <c r="CK402" i="1"/>
  <c r="BM403" i="1"/>
  <c r="BN403" i="1"/>
  <c r="BO403" i="1"/>
  <c r="BP403" i="1"/>
  <c r="BQ403" i="1"/>
  <c r="BR403" i="1"/>
  <c r="BS403" i="1"/>
  <c r="BT403" i="1"/>
  <c r="BU403" i="1"/>
  <c r="BV403" i="1"/>
  <c r="BW403" i="1"/>
  <c r="BX403" i="1"/>
  <c r="BY403" i="1"/>
  <c r="BZ403" i="1"/>
  <c r="CA403" i="1"/>
  <c r="CB403" i="1"/>
  <c r="CC403" i="1"/>
  <c r="CD403" i="1"/>
  <c r="CE403" i="1"/>
  <c r="CF403" i="1"/>
  <c r="CG403" i="1"/>
  <c r="CH403" i="1"/>
  <c r="CI403" i="1"/>
  <c r="CJ403" i="1"/>
  <c r="CK403" i="1"/>
  <c r="BM404" i="1"/>
  <c r="BN404" i="1"/>
  <c r="BO404" i="1"/>
  <c r="BP404" i="1"/>
  <c r="BQ404" i="1"/>
  <c r="BR404" i="1"/>
  <c r="BS404" i="1"/>
  <c r="BT404" i="1"/>
  <c r="BU404" i="1"/>
  <c r="BV404" i="1"/>
  <c r="BW404" i="1"/>
  <c r="BX404" i="1"/>
  <c r="BY404" i="1"/>
  <c r="BZ404" i="1"/>
  <c r="CA404" i="1"/>
  <c r="CB404" i="1"/>
  <c r="CC404" i="1"/>
  <c r="CD404" i="1"/>
  <c r="CE404" i="1"/>
  <c r="CF404" i="1"/>
  <c r="CG404" i="1"/>
  <c r="CH404" i="1"/>
  <c r="CI404" i="1"/>
  <c r="CJ404" i="1"/>
  <c r="CK404" i="1"/>
  <c r="BM405" i="1"/>
  <c r="BN405" i="1"/>
  <c r="BO405" i="1"/>
  <c r="BP405" i="1"/>
  <c r="BQ405" i="1"/>
  <c r="BR405" i="1"/>
  <c r="BS405" i="1"/>
  <c r="BT405" i="1"/>
  <c r="BU405" i="1"/>
  <c r="BV405" i="1"/>
  <c r="BW405" i="1"/>
  <c r="BX405" i="1"/>
  <c r="BY405" i="1"/>
  <c r="BZ405" i="1"/>
  <c r="CA405" i="1"/>
  <c r="CB405" i="1"/>
  <c r="CC405" i="1"/>
  <c r="CD405" i="1"/>
  <c r="CE405" i="1"/>
  <c r="CF405" i="1"/>
  <c r="CG405" i="1"/>
  <c r="CH405" i="1"/>
  <c r="CI405" i="1"/>
  <c r="CJ405" i="1"/>
  <c r="CK405" i="1"/>
  <c r="BM406" i="1"/>
  <c r="BN406" i="1"/>
  <c r="BO406" i="1"/>
  <c r="BP406" i="1"/>
  <c r="BQ406" i="1"/>
  <c r="BR406" i="1"/>
  <c r="BS406" i="1"/>
  <c r="BT406" i="1"/>
  <c r="BU406" i="1"/>
  <c r="BV406" i="1"/>
  <c r="BW406" i="1"/>
  <c r="BX406" i="1"/>
  <c r="BY406" i="1"/>
  <c r="BZ406" i="1"/>
  <c r="CA406" i="1"/>
  <c r="CB406" i="1"/>
  <c r="CC406" i="1"/>
  <c r="CD406" i="1"/>
  <c r="CE406" i="1"/>
  <c r="CF406" i="1"/>
  <c r="CG406" i="1"/>
  <c r="CH406" i="1"/>
  <c r="CI406" i="1"/>
  <c r="CJ406" i="1"/>
  <c r="CK406" i="1"/>
  <c r="BM407" i="1"/>
  <c r="BN407" i="1"/>
  <c r="BO407" i="1"/>
  <c r="BP407" i="1"/>
  <c r="BQ407" i="1"/>
  <c r="BR407" i="1"/>
  <c r="BS407" i="1"/>
  <c r="BT407" i="1"/>
  <c r="BU407" i="1"/>
  <c r="BV407" i="1"/>
  <c r="BW407" i="1"/>
  <c r="BX407" i="1"/>
  <c r="BY407" i="1"/>
  <c r="BZ407" i="1"/>
  <c r="CA407" i="1"/>
  <c r="CB407" i="1"/>
  <c r="CC407" i="1"/>
  <c r="CD407" i="1"/>
  <c r="CE407" i="1"/>
  <c r="CF407" i="1"/>
  <c r="CG407" i="1"/>
  <c r="CH407" i="1"/>
  <c r="CI407" i="1"/>
  <c r="CJ407" i="1"/>
  <c r="CK407" i="1"/>
  <c r="BM408" i="1"/>
  <c r="BN408" i="1"/>
  <c r="BO408" i="1"/>
  <c r="BP408" i="1"/>
  <c r="BQ408" i="1"/>
  <c r="BR408" i="1"/>
  <c r="BS408" i="1"/>
  <c r="BT408" i="1"/>
  <c r="BU408" i="1"/>
  <c r="BV408" i="1"/>
  <c r="BW408" i="1"/>
  <c r="BX408" i="1"/>
  <c r="BY408" i="1"/>
  <c r="BZ408" i="1"/>
  <c r="CA408" i="1"/>
  <c r="CB408" i="1"/>
  <c r="CC408" i="1"/>
  <c r="CD408" i="1"/>
  <c r="CE408" i="1"/>
  <c r="CF408" i="1"/>
  <c r="CG408" i="1"/>
  <c r="CH408" i="1"/>
  <c r="CI408" i="1"/>
  <c r="CJ408" i="1"/>
  <c r="CK408" i="1"/>
  <c r="BM409" i="1"/>
  <c r="BN409" i="1"/>
  <c r="BO409" i="1"/>
  <c r="BP409" i="1"/>
  <c r="BQ409" i="1"/>
  <c r="BR409" i="1"/>
  <c r="BS409" i="1"/>
  <c r="BT409" i="1"/>
  <c r="BU409" i="1"/>
  <c r="BV409" i="1"/>
  <c r="BW409" i="1"/>
  <c r="BX409" i="1"/>
  <c r="BY409" i="1"/>
  <c r="BZ409" i="1"/>
  <c r="CA409" i="1"/>
  <c r="CB409" i="1"/>
  <c r="CC409" i="1"/>
  <c r="CD409" i="1"/>
  <c r="CE409" i="1"/>
  <c r="CF409" i="1"/>
  <c r="CG409" i="1"/>
  <c r="CH409" i="1"/>
  <c r="CI409" i="1"/>
  <c r="CJ409" i="1"/>
  <c r="CK409" i="1"/>
  <c r="BM410" i="1"/>
  <c r="BN410" i="1"/>
  <c r="BO410" i="1"/>
  <c r="BP410" i="1"/>
  <c r="BQ410" i="1"/>
  <c r="BR410" i="1"/>
  <c r="BS410" i="1"/>
  <c r="BT410" i="1"/>
  <c r="BU410" i="1"/>
  <c r="BV410" i="1"/>
  <c r="BW410" i="1"/>
  <c r="BX410" i="1"/>
  <c r="BY410" i="1"/>
  <c r="BZ410" i="1"/>
  <c r="CA410" i="1"/>
  <c r="CB410" i="1"/>
  <c r="CC410" i="1"/>
  <c r="CD410" i="1"/>
  <c r="CE410" i="1"/>
  <c r="CF410" i="1"/>
  <c r="CG410" i="1"/>
  <c r="CH410" i="1"/>
  <c r="CI410" i="1"/>
  <c r="CJ410" i="1"/>
  <c r="CK410" i="1"/>
  <c r="BM411" i="1"/>
  <c r="BN411" i="1"/>
  <c r="BO411" i="1"/>
  <c r="BP411" i="1"/>
  <c r="BQ411" i="1"/>
  <c r="BR411" i="1"/>
  <c r="BS411" i="1"/>
  <c r="BT411" i="1"/>
  <c r="BU411" i="1"/>
  <c r="BV411" i="1"/>
  <c r="BW411" i="1"/>
  <c r="BX411" i="1"/>
  <c r="BY411" i="1"/>
  <c r="BZ411" i="1"/>
  <c r="CA411" i="1"/>
  <c r="CB411" i="1"/>
  <c r="CC411" i="1"/>
  <c r="CD411" i="1"/>
  <c r="CE411" i="1"/>
  <c r="CF411" i="1"/>
  <c r="CG411" i="1"/>
  <c r="CH411" i="1"/>
  <c r="CI411" i="1"/>
  <c r="CJ411" i="1"/>
  <c r="CK411" i="1"/>
  <c r="BM412" i="1"/>
  <c r="BN412" i="1"/>
  <c r="BO412" i="1"/>
  <c r="BP412" i="1"/>
  <c r="BQ412" i="1"/>
  <c r="BR412" i="1"/>
  <c r="BS412" i="1"/>
  <c r="BT412" i="1"/>
  <c r="BU412" i="1"/>
  <c r="BV412" i="1"/>
  <c r="BW412" i="1"/>
  <c r="BX412" i="1"/>
  <c r="BY412" i="1"/>
  <c r="BZ412" i="1"/>
  <c r="CA412" i="1"/>
  <c r="CB412" i="1"/>
  <c r="CC412" i="1"/>
  <c r="CD412" i="1"/>
  <c r="CE412" i="1"/>
  <c r="CF412" i="1"/>
  <c r="CG412" i="1"/>
  <c r="CH412" i="1"/>
  <c r="CI412" i="1"/>
  <c r="CJ412" i="1"/>
  <c r="CK412" i="1"/>
  <c r="BM413" i="1"/>
  <c r="BN413" i="1"/>
  <c r="BO413" i="1"/>
  <c r="BP413" i="1"/>
  <c r="BQ413" i="1"/>
  <c r="BR413" i="1"/>
  <c r="BS413" i="1"/>
  <c r="BT413" i="1"/>
  <c r="BU413" i="1"/>
  <c r="BV413" i="1"/>
  <c r="BW413" i="1"/>
  <c r="BX413" i="1"/>
  <c r="BY413" i="1"/>
  <c r="BZ413" i="1"/>
  <c r="CA413" i="1"/>
  <c r="CB413" i="1"/>
  <c r="CC413" i="1"/>
  <c r="CD413" i="1"/>
  <c r="CE413" i="1"/>
  <c r="CF413" i="1"/>
  <c r="CG413" i="1"/>
  <c r="CH413" i="1"/>
  <c r="CI413" i="1"/>
  <c r="CJ413" i="1"/>
  <c r="CK413" i="1"/>
  <c r="BM414" i="1"/>
  <c r="BN414" i="1"/>
  <c r="BO414" i="1"/>
  <c r="BP414" i="1"/>
  <c r="BQ414" i="1"/>
  <c r="BR414" i="1"/>
  <c r="BS414" i="1"/>
  <c r="BT414" i="1"/>
  <c r="BU414" i="1"/>
  <c r="BV414" i="1"/>
  <c r="BW414" i="1"/>
  <c r="BX414" i="1"/>
  <c r="BY414" i="1"/>
  <c r="BZ414" i="1"/>
  <c r="CA414" i="1"/>
  <c r="CB414" i="1"/>
  <c r="CC414" i="1"/>
  <c r="CD414" i="1"/>
  <c r="CE414" i="1"/>
  <c r="CF414" i="1"/>
  <c r="CG414" i="1"/>
  <c r="CH414" i="1"/>
  <c r="CI414" i="1"/>
  <c r="CJ414" i="1"/>
  <c r="CK414" i="1"/>
  <c r="BM415" i="1"/>
  <c r="BN415" i="1"/>
  <c r="BO415" i="1"/>
  <c r="BP415" i="1"/>
  <c r="BQ415" i="1"/>
  <c r="BR415" i="1"/>
  <c r="BS415" i="1"/>
  <c r="BT415" i="1"/>
  <c r="BU415" i="1"/>
  <c r="BV415" i="1"/>
  <c r="BW415" i="1"/>
  <c r="BX415" i="1"/>
  <c r="BY415" i="1"/>
  <c r="BZ415" i="1"/>
  <c r="CA415" i="1"/>
  <c r="CB415" i="1"/>
  <c r="CC415" i="1"/>
  <c r="CD415" i="1"/>
  <c r="CE415" i="1"/>
  <c r="CF415" i="1"/>
  <c r="CG415" i="1"/>
  <c r="CH415" i="1"/>
  <c r="CI415" i="1"/>
  <c r="CJ415" i="1"/>
  <c r="CK415" i="1"/>
  <c r="BM416" i="1"/>
  <c r="BN416" i="1"/>
  <c r="BO416" i="1"/>
  <c r="BP416" i="1"/>
  <c r="BQ416" i="1"/>
  <c r="BR416" i="1"/>
  <c r="BS416" i="1"/>
  <c r="BT416" i="1"/>
  <c r="BU416" i="1"/>
  <c r="BV416" i="1"/>
  <c r="BW416" i="1"/>
  <c r="BX416" i="1"/>
  <c r="BY416" i="1"/>
  <c r="BZ416" i="1"/>
  <c r="CA416" i="1"/>
  <c r="CB416" i="1"/>
  <c r="CC416" i="1"/>
  <c r="CD416" i="1"/>
  <c r="CE416" i="1"/>
  <c r="CF416" i="1"/>
  <c r="CG416" i="1"/>
  <c r="CH416" i="1"/>
  <c r="CI416" i="1"/>
  <c r="CJ416" i="1"/>
  <c r="CK416" i="1"/>
  <c r="BM417" i="1"/>
  <c r="BN417" i="1"/>
  <c r="BO417" i="1"/>
  <c r="BP417" i="1"/>
  <c r="BQ417" i="1"/>
  <c r="BR417" i="1"/>
  <c r="BS417" i="1"/>
  <c r="BT417" i="1"/>
  <c r="BU417" i="1"/>
  <c r="BV417" i="1"/>
  <c r="BW417" i="1"/>
  <c r="BX417" i="1"/>
  <c r="BY417" i="1"/>
  <c r="BZ417" i="1"/>
  <c r="CA417" i="1"/>
  <c r="CB417" i="1"/>
  <c r="CC417" i="1"/>
  <c r="CD417" i="1"/>
  <c r="CE417" i="1"/>
  <c r="CF417" i="1"/>
  <c r="CG417" i="1"/>
  <c r="CH417" i="1"/>
  <c r="CI417" i="1"/>
  <c r="CJ417" i="1"/>
  <c r="CK417" i="1"/>
  <c r="BM418" i="1"/>
  <c r="BN418" i="1"/>
  <c r="BO418" i="1"/>
  <c r="BP418" i="1"/>
  <c r="BQ418" i="1"/>
  <c r="BR418" i="1"/>
  <c r="BS418" i="1"/>
  <c r="BT418" i="1"/>
  <c r="BU418" i="1"/>
  <c r="BV418" i="1"/>
  <c r="BW418" i="1"/>
  <c r="BX418" i="1"/>
  <c r="BY418" i="1"/>
  <c r="BZ418" i="1"/>
  <c r="CA418" i="1"/>
  <c r="CB418" i="1"/>
  <c r="CC418" i="1"/>
  <c r="CD418" i="1"/>
  <c r="CE418" i="1"/>
  <c r="CF418" i="1"/>
  <c r="CG418" i="1"/>
  <c r="CH418" i="1"/>
  <c r="CI418" i="1"/>
  <c r="CJ418" i="1"/>
  <c r="CK418" i="1"/>
  <c r="BM419" i="1"/>
  <c r="BN419" i="1"/>
  <c r="BO419" i="1"/>
  <c r="BP419" i="1"/>
  <c r="BQ419" i="1"/>
  <c r="BR419" i="1"/>
  <c r="BS419" i="1"/>
  <c r="BT419" i="1"/>
  <c r="BU419" i="1"/>
  <c r="BV419" i="1"/>
  <c r="BW419" i="1"/>
  <c r="BX419" i="1"/>
  <c r="BY419" i="1"/>
  <c r="BZ419" i="1"/>
  <c r="CA419" i="1"/>
  <c r="CB419" i="1"/>
  <c r="CC419" i="1"/>
  <c r="CD419" i="1"/>
  <c r="CE419" i="1"/>
  <c r="CF419" i="1"/>
  <c r="CG419" i="1"/>
  <c r="CH419" i="1"/>
  <c r="CI419" i="1"/>
  <c r="CJ419" i="1"/>
  <c r="CK419" i="1"/>
  <c r="BM420" i="1"/>
  <c r="BN420" i="1"/>
  <c r="BO420" i="1"/>
  <c r="BP420" i="1"/>
  <c r="BQ420" i="1"/>
  <c r="BR420" i="1"/>
  <c r="BS420" i="1"/>
  <c r="BT420" i="1"/>
  <c r="BU420" i="1"/>
  <c r="BV420" i="1"/>
  <c r="BW420" i="1"/>
  <c r="BX420" i="1"/>
  <c r="BY420" i="1"/>
  <c r="BZ420" i="1"/>
  <c r="CA420" i="1"/>
  <c r="CB420" i="1"/>
  <c r="CC420" i="1"/>
  <c r="CD420" i="1"/>
  <c r="CE420" i="1"/>
  <c r="CF420" i="1"/>
  <c r="CG420" i="1"/>
  <c r="CH420" i="1"/>
  <c r="CI420" i="1"/>
  <c r="CJ420" i="1"/>
  <c r="CK420" i="1"/>
  <c r="BM421" i="1"/>
  <c r="BN421" i="1"/>
  <c r="BO421" i="1"/>
  <c r="BP421" i="1"/>
  <c r="BQ421" i="1"/>
  <c r="BR421" i="1"/>
  <c r="BS421" i="1"/>
  <c r="BT421" i="1"/>
  <c r="BU421" i="1"/>
  <c r="BV421" i="1"/>
  <c r="BW421" i="1"/>
  <c r="BX421" i="1"/>
  <c r="BY421" i="1"/>
  <c r="BZ421" i="1"/>
  <c r="CA421" i="1"/>
  <c r="CB421" i="1"/>
  <c r="CC421" i="1"/>
  <c r="CD421" i="1"/>
  <c r="CE421" i="1"/>
  <c r="CF421" i="1"/>
  <c r="CG421" i="1"/>
  <c r="CH421" i="1"/>
  <c r="CI421" i="1"/>
  <c r="CJ421" i="1"/>
  <c r="CK421" i="1"/>
  <c r="BM422" i="1"/>
  <c r="BN422" i="1"/>
  <c r="BO422" i="1"/>
  <c r="BP422" i="1"/>
  <c r="BQ422" i="1"/>
  <c r="BR422" i="1"/>
  <c r="BS422" i="1"/>
  <c r="BT422" i="1"/>
  <c r="BU422" i="1"/>
  <c r="BV422" i="1"/>
  <c r="BW422" i="1"/>
  <c r="BX422" i="1"/>
  <c r="BY422" i="1"/>
  <c r="BZ422" i="1"/>
  <c r="CA422" i="1"/>
  <c r="CB422" i="1"/>
  <c r="CC422" i="1"/>
  <c r="CD422" i="1"/>
  <c r="CE422" i="1"/>
  <c r="CF422" i="1"/>
  <c r="CG422" i="1"/>
  <c r="CH422" i="1"/>
  <c r="CI422" i="1"/>
  <c r="CJ422" i="1"/>
  <c r="CK422" i="1"/>
  <c r="BM423" i="1"/>
  <c r="BN423" i="1"/>
  <c r="BO423" i="1"/>
  <c r="BP423" i="1"/>
  <c r="BQ423" i="1"/>
  <c r="BR423" i="1"/>
  <c r="BS423" i="1"/>
  <c r="BT423" i="1"/>
  <c r="BU423" i="1"/>
  <c r="BV423" i="1"/>
  <c r="BW423" i="1"/>
  <c r="BX423" i="1"/>
  <c r="BY423" i="1"/>
  <c r="BZ423" i="1"/>
  <c r="CA423" i="1"/>
  <c r="CB423" i="1"/>
  <c r="CC423" i="1"/>
  <c r="CD423" i="1"/>
  <c r="CE423" i="1"/>
  <c r="CF423" i="1"/>
  <c r="CG423" i="1"/>
  <c r="CH423" i="1"/>
  <c r="CI423" i="1"/>
  <c r="CJ423" i="1"/>
  <c r="CK423" i="1"/>
  <c r="BM424" i="1"/>
  <c r="BN424" i="1"/>
  <c r="BO424" i="1"/>
  <c r="BP424" i="1"/>
  <c r="BQ424" i="1"/>
  <c r="BR424" i="1"/>
  <c r="BS424" i="1"/>
  <c r="BT424" i="1"/>
  <c r="BU424" i="1"/>
  <c r="BV424" i="1"/>
  <c r="BW424" i="1"/>
  <c r="BX424" i="1"/>
  <c r="BY424" i="1"/>
  <c r="BZ424" i="1"/>
  <c r="CA424" i="1"/>
  <c r="CB424" i="1"/>
  <c r="CC424" i="1"/>
  <c r="CD424" i="1"/>
  <c r="CE424" i="1"/>
  <c r="CF424" i="1"/>
  <c r="CG424" i="1"/>
  <c r="CH424" i="1"/>
  <c r="CI424" i="1"/>
  <c r="CJ424" i="1"/>
  <c r="CK424" i="1"/>
  <c r="BM425" i="1"/>
  <c r="BN425" i="1"/>
  <c r="BO425" i="1"/>
  <c r="BP425" i="1"/>
  <c r="BQ425" i="1"/>
  <c r="BR425" i="1"/>
  <c r="BS425" i="1"/>
  <c r="BT425" i="1"/>
  <c r="BU425" i="1"/>
  <c r="BV425" i="1"/>
  <c r="BW425" i="1"/>
  <c r="BX425" i="1"/>
  <c r="BY425" i="1"/>
  <c r="BZ425" i="1"/>
  <c r="CA425" i="1"/>
  <c r="CB425" i="1"/>
  <c r="CC425" i="1"/>
  <c r="CD425" i="1"/>
  <c r="CE425" i="1"/>
  <c r="CF425" i="1"/>
  <c r="CG425" i="1"/>
  <c r="CH425" i="1"/>
  <c r="CI425" i="1"/>
  <c r="CJ425" i="1"/>
  <c r="CK425" i="1"/>
  <c r="BM426" i="1"/>
  <c r="BN426" i="1"/>
  <c r="BO426" i="1"/>
  <c r="BP426" i="1"/>
  <c r="BQ426" i="1"/>
  <c r="BR426" i="1"/>
  <c r="BS426" i="1"/>
  <c r="BT426" i="1"/>
  <c r="BU426" i="1"/>
  <c r="BV426" i="1"/>
  <c r="BW426" i="1"/>
  <c r="BX426" i="1"/>
  <c r="BY426" i="1"/>
  <c r="BZ426" i="1"/>
  <c r="CA426" i="1"/>
  <c r="CB426" i="1"/>
  <c r="CC426" i="1"/>
  <c r="CD426" i="1"/>
  <c r="CE426" i="1"/>
  <c r="CF426" i="1"/>
  <c r="CG426" i="1"/>
  <c r="CH426" i="1"/>
  <c r="CI426" i="1"/>
  <c r="CJ426" i="1"/>
  <c r="CK426" i="1"/>
  <c r="BM427" i="1"/>
  <c r="BN427" i="1"/>
  <c r="BO427" i="1"/>
  <c r="BP427" i="1"/>
  <c r="BQ427" i="1"/>
  <c r="BR427" i="1"/>
  <c r="BS427" i="1"/>
  <c r="BT427" i="1"/>
  <c r="BU427" i="1"/>
  <c r="BV427" i="1"/>
  <c r="BW427" i="1"/>
  <c r="BX427" i="1"/>
  <c r="BY427" i="1"/>
  <c r="BZ427" i="1"/>
  <c r="CA427" i="1"/>
  <c r="CB427" i="1"/>
  <c r="CC427" i="1"/>
  <c r="CD427" i="1"/>
  <c r="CE427" i="1"/>
  <c r="CF427" i="1"/>
  <c r="CG427" i="1"/>
  <c r="CH427" i="1"/>
  <c r="CI427" i="1"/>
  <c r="CJ427" i="1"/>
  <c r="CK427" i="1"/>
  <c r="BM428" i="1"/>
  <c r="BN428" i="1"/>
  <c r="BO428" i="1"/>
  <c r="BP428" i="1"/>
  <c r="BQ428" i="1"/>
  <c r="BR428" i="1"/>
  <c r="BS428" i="1"/>
  <c r="BT428" i="1"/>
  <c r="BU428" i="1"/>
  <c r="BV428" i="1"/>
  <c r="BW428" i="1"/>
  <c r="BX428" i="1"/>
  <c r="BY428" i="1"/>
  <c r="BZ428" i="1"/>
  <c r="CA428" i="1"/>
  <c r="CB428" i="1"/>
  <c r="CC428" i="1"/>
  <c r="CD428" i="1"/>
  <c r="CE428" i="1"/>
  <c r="CF428" i="1"/>
  <c r="CG428" i="1"/>
  <c r="CH428" i="1"/>
  <c r="CI428" i="1"/>
  <c r="CJ428" i="1"/>
  <c r="CK428" i="1"/>
  <c r="BM429" i="1"/>
  <c r="BN429" i="1"/>
  <c r="BO429" i="1"/>
  <c r="BP429" i="1"/>
  <c r="BQ429" i="1"/>
  <c r="BR429" i="1"/>
  <c r="BS429" i="1"/>
  <c r="BT429" i="1"/>
  <c r="BU429" i="1"/>
  <c r="BV429" i="1"/>
  <c r="BW429" i="1"/>
  <c r="BX429" i="1"/>
  <c r="BY429" i="1"/>
  <c r="BZ429" i="1"/>
  <c r="CA429" i="1"/>
  <c r="CB429" i="1"/>
  <c r="CC429" i="1"/>
  <c r="CD429" i="1"/>
  <c r="CE429" i="1"/>
  <c r="CF429" i="1"/>
  <c r="CG429" i="1"/>
  <c r="CH429" i="1"/>
  <c r="CI429" i="1"/>
  <c r="CJ429" i="1"/>
  <c r="CK429" i="1"/>
  <c r="BM430" i="1"/>
  <c r="BN430" i="1"/>
  <c r="BO430" i="1"/>
  <c r="BP430" i="1"/>
  <c r="BQ430" i="1"/>
  <c r="BR430" i="1"/>
  <c r="BS430" i="1"/>
  <c r="BT430" i="1"/>
  <c r="BU430" i="1"/>
  <c r="BV430" i="1"/>
  <c r="BW430" i="1"/>
  <c r="BX430" i="1"/>
  <c r="BY430" i="1"/>
  <c r="BZ430" i="1"/>
  <c r="CA430" i="1"/>
  <c r="CB430" i="1"/>
  <c r="CC430" i="1"/>
  <c r="CD430" i="1"/>
  <c r="CE430" i="1"/>
  <c r="CF430" i="1"/>
  <c r="CG430" i="1"/>
  <c r="CH430" i="1"/>
  <c r="CI430" i="1"/>
  <c r="CJ430" i="1"/>
  <c r="CK430" i="1"/>
  <c r="BM431" i="1"/>
  <c r="BN431" i="1"/>
  <c r="BO431" i="1"/>
  <c r="BP431" i="1"/>
  <c r="BQ431" i="1"/>
  <c r="BR431" i="1"/>
  <c r="BS431" i="1"/>
  <c r="BT431" i="1"/>
  <c r="BU431" i="1"/>
  <c r="BV431" i="1"/>
  <c r="BW431" i="1"/>
  <c r="BX431" i="1"/>
  <c r="BY431" i="1"/>
  <c r="BZ431" i="1"/>
  <c r="CA431" i="1"/>
  <c r="CB431" i="1"/>
  <c r="CC431" i="1"/>
  <c r="CD431" i="1"/>
  <c r="CE431" i="1"/>
  <c r="CF431" i="1"/>
  <c r="CG431" i="1"/>
  <c r="CH431" i="1"/>
  <c r="CI431" i="1"/>
  <c r="CJ431" i="1"/>
  <c r="CK431" i="1"/>
  <c r="BM432" i="1"/>
  <c r="BN432" i="1"/>
  <c r="BO432" i="1"/>
  <c r="BP432" i="1"/>
  <c r="BQ432" i="1"/>
  <c r="BR432" i="1"/>
  <c r="BS432" i="1"/>
  <c r="BT432" i="1"/>
  <c r="BU432" i="1"/>
  <c r="BV432" i="1"/>
  <c r="BW432" i="1"/>
  <c r="BX432" i="1"/>
  <c r="BY432" i="1"/>
  <c r="BZ432" i="1"/>
  <c r="CA432" i="1"/>
  <c r="CB432" i="1"/>
  <c r="CC432" i="1"/>
  <c r="CD432" i="1"/>
  <c r="CE432" i="1"/>
  <c r="CF432" i="1"/>
  <c r="CG432" i="1"/>
  <c r="CH432" i="1"/>
  <c r="CI432" i="1"/>
  <c r="CJ432" i="1"/>
  <c r="CK432" i="1"/>
  <c r="BM433" i="1"/>
  <c r="BN433" i="1"/>
  <c r="BO433" i="1"/>
  <c r="BP433" i="1"/>
  <c r="BQ433" i="1"/>
  <c r="BR433" i="1"/>
  <c r="BS433" i="1"/>
  <c r="BT433" i="1"/>
  <c r="BU433" i="1"/>
  <c r="BV433" i="1"/>
  <c r="BW433" i="1"/>
  <c r="BX433" i="1"/>
  <c r="BY433" i="1"/>
  <c r="BZ433" i="1"/>
  <c r="CA433" i="1"/>
  <c r="CB433" i="1"/>
  <c r="CC433" i="1"/>
  <c r="CD433" i="1"/>
  <c r="CE433" i="1"/>
  <c r="CF433" i="1"/>
  <c r="CG433" i="1"/>
  <c r="CH433" i="1"/>
  <c r="CI433" i="1"/>
  <c r="CJ433" i="1"/>
  <c r="CK433" i="1"/>
  <c r="BM434" i="1"/>
  <c r="BN434" i="1"/>
  <c r="BO434" i="1"/>
  <c r="BP434" i="1"/>
  <c r="BQ434" i="1"/>
  <c r="BR434" i="1"/>
  <c r="BS434" i="1"/>
  <c r="BT434" i="1"/>
  <c r="BU434" i="1"/>
  <c r="BV434" i="1"/>
  <c r="BW434" i="1"/>
  <c r="BX434" i="1"/>
  <c r="BY434" i="1"/>
  <c r="BZ434" i="1"/>
  <c r="CA434" i="1"/>
  <c r="CB434" i="1"/>
  <c r="CC434" i="1"/>
  <c r="CD434" i="1"/>
  <c r="CE434" i="1"/>
  <c r="CF434" i="1"/>
  <c r="CG434" i="1"/>
  <c r="CH434" i="1"/>
  <c r="CI434" i="1"/>
  <c r="CJ434" i="1"/>
  <c r="CK434" i="1"/>
  <c r="BM435" i="1"/>
  <c r="BN435" i="1"/>
  <c r="BO435" i="1"/>
  <c r="BP435" i="1"/>
  <c r="BQ435" i="1"/>
  <c r="BR435" i="1"/>
  <c r="BS435" i="1"/>
  <c r="BT435" i="1"/>
  <c r="BU435" i="1"/>
  <c r="BV435" i="1"/>
  <c r="BW435" i="1"/>
  <c r="BX435" i="1"/>
  <c r="BY435" i="1"/>
  <c r="BZ435" i="1"/>
  <c r="CA435" i="1"/>
  <c r="CB435" i="1"/>
  <c r="CC435" i="1"/>
  <c r="CD435" i="1"/>
  <c r="CE435" i="1"/>
  <c r="CF435" i="1"/>
  <c r="CG435" i="1"/>
  <c r="CH435" i="1"/>
  <c r="CI435" i="1"/>
  <c r="CJ435" i="1"/>
  <c r="CK435" i="1"/>
  <c r="BM436" i="1"/>
  <c r="BN436" i="1"/>
  <c r="BO436" i="1"/>
  <c r="BP436" i="1"/>
  <c r="BQ436" i="1"/>
  <c r="BR436" i="1"/>
  <c r="BS436" i="1"/>
  <c r="BT436" i="1"/>
  <c r="BU436" i="1"/>
  <c r="BV436" i="1"/>
  <c r="BW436" i="1"/>
  <c r="BX436" i="1"/>
  <c r="BY436" i="1"/>
  <c r="BZ436" i="1"/>
  <c r="CA436" i="1"/>
  <c r="CB436" i="1"/>
  <c r="CC436" i="1"/>
  <c r="CD436" i="1"/>
  <c r="CE436" i="1"/>
  <c r="CF436" i="1"/>
  <c r="CG436" i="1"/>
  <c r="CH436" i="1"/>
  <c r="CI436" i="1"/>
  <c r="CJ436" i="1"/>
  <c r="CK436" i="1"/>
  <c r="BM437" i="1"/>
  <c r="BN437" i="1"/>
  <c r="BO437" i="1"/>
  <c r="BP437" i="1"/>
  <c r="BQ437" i="1"/>
  <c r="BR437" i="1"/>
  <c r="BS437" i="1"/>
  <c r="BT437" i="1"/>
  <c r="BU437" i="1"/>
  <c r="BV437" i="1"/>
  <c r="BW437" i="1"/>
  <c r="BX437" i="1"/>
  <c r="BY437" i="1"/>
  <c r="BZ437" i="1"/>
  <c r="CA437" i="1"/>
  <c r="CB437" i="1"/>
  <c r="CC437" i="1"/>
  <c r="CD437" i="1"/>
  <c r="CE437" i="1"/>
  <c r="CF437" i="1"/>
  <c r="CG437" i="1"/>
  <c r="CH437" i="1"/>
  <c r="CI437" i="1"/>
  <c r="CJ437" i="1"/>
  <c r="CK437" i="1"/>
  <c r="BM438" i="1"/>
  <c r="BN438" i="1"/>
  <c r="BO438" i="1"/>
  <c r="BP438" i="1"/>
  <c r="BQ438" i="1"/>
  <c r="BR438" i="1"/>
  <c r="BS438" i="1"/>
  <c r="BT438" i="1"/>
  <c r="BU438" i="1"/>
  <c r="BV438" i="1"/>
  <c r="BW438" i="1"/>
  <c r="BX438" i="1"/>
  <c r="BY438" i="1"/>
  <c r="BZ438" i="1"/>
  <c r="CA438" i="1"/>
  <c r="CB438" i="1"/>
  <c r="CC438" i="1"/>
  <c r="CD438" i="1"/>
  <c r="CE438" i="1"/>
  <c r="CF438" i="1"/>
  <c r="CG438" i="1"/>
  <c r="CH438" i="1"/>
  <c r="CI438" i="1"/>
  <c r="CJ438" i="1"/>
  <c r="CK438" i="1"/>
  <c r="BM439" i="1"/>
  <c r="BN439" i="1"/>
  <c r="BO439" i="1"/>
  <c r="BP439" i="1"/>
  <c r="BQ439" i="1"/>
  <c r="BR439" i="1"/>
  <c r="BS439" i="1"/>
  <c r="BT439" i="1"/>
  <c r="BU439" i="1"/>
  <c r="BV439" i="1"/>
  <c r="BW439" i="1"/>
  <c r="BX439" i="1"/>
  <c r="BY439" i="1"/>
  <c r="BZ439" i="1"/>
  <c r="CA439" i="1"/>
  <c r="CB439" i="1"/>
  <c r="CC439" i="1"/>
  <c r="CD439" i="1"/>
  <c r="CE439" i="1"/>
  <c r="CF439" i="1"/>
  <c r="CG439" i="1"/>
  <c r="CH439" i="1"/>
  <c r="CI439" i="1"/>
  <c r="CJ439" i="1"/>
  <c r="CK439" i="1"/>
  <c r="BM440" i="1"/>
  <c r="BN440" i="1"/>
  <c r="BO440" i="1"/>
  <c r="BP440" i="1"/>
  <c r="BQ440" i="1"/>
  <c r="BR440" i="1"/>
  <c r="BS440" i="1"/>
  <c r="BT440" i="1"/>
  <c r="BU440" i="1"/>
  <c r="BV440" i="1"/>
  <c r="BW440" i="1"/>
  <c r="BX440" i="1"/>
  <c r="BY440" i="1"/>
  <c r="BZ440" i="1"/>
  <c r="CA440" i="1"/>
  <c r="CB440" i="1"/>
  <c r="CC440" i="1"/>
  <c r="CD440" i="1"/>
  <c r="CE440" i="1"/>
  <c r="CF440" i="1"/>
  <c r="CG440" i="1"/>
  <c r="CH440" i="1"/>
  <c r="CI440" i="1"/>
  <c r="CJ440" i="1"/>
  <c r="CK440" i="1"/>
  <c r="BM441" i="1"/>
  <c r="BN441" i="1"/>
  <c r="BO441" i="1"/>
  <c r="BP441" i="1"/>
  <c r="BQ441" i="1"/>
  <c r="BR441" i="1"/>
  <c r="BS441" i="1"/>
  <c r="BT441" i="1"/>
  <c r="BU441" i="1"/>
  <c r="BV441" i="1"/>
  <c r="BW441" i="1"/>
  <c r="BX441" i="1"/>
  <c r="BY441" i="1"/>
  <c r="BZ441" i="1"/>
  <c r="CA441" i="1"/>
  <c r="CB441" i="1"/>
  <c r="CC441" i="1"/>
  <c r="CD441" i="1"/>
  <c r="CE441" i="1"/>
  <c r="CF441" i="1"/>
  <c r="CG441" i="1"/>
  <c r="CH441" i="1"/>
  <c r="CI441" i="1"/>
  <c r="CJ441" i="1"/>
  <c r="CK441" i="1"/>
  <c r="BM442" i="1"/>
  <c r="BN442" i="1"/>
  <c r="BO442" i="1"/>
  <c r="BP442" i="1"/>
  <c r="BQ442" i="1"/>
  <c r="BR442" i="1"/>
  <c r="BS442" i="1"/>
  <c r="BT442" i="1"/>
  <c r="BU442" i="1"/>
  <c r="BV442" i="1"/>
  <c r="BW442" i="1"/>
  <c r="BX442" i="1"/>
  <c r="BY442" i="1"/>
  <c r="BZ442" i="1"/>
  <c r="CA442" i="1"/>
  <c r="CB442" i="1"/>
  <c r="CC442" i="1"/>
  <c r="CD442" i="1"/>
  <c r="CE442" i="1"/>
  <c r="CF442" i="1"/>
  <c r="CG442" i="1"/>
  <c r="CH442" i="1"/>
  <c r="CI442" i="1"/>
  <c r="CJ442" i="1"/>
  <c r="CK442" i="1"/>
  <c r="BM443" i="1"/>
  <c r="BN443" i="1"/>
  <c r="BO443" i="1"/>
  <c r="BP443" i="1"/>
  <c r="BQ443" i="1"/>
  <c r="BR443" i="1"/>
  <c r="BS443" i="1"/>
  <c r="BT443" i="1"/>
  <c r="BU443" i="1"/>
  <c r="BV443" i="1"/>
  <c r="BW443" i="1"/>
  <c r="BX443" i="1"/>
  <c r="BY443" i="1"/>
  <c r="BZ443" i="1"/>
  <c r="CA443" i="1"/>
  <c r="CB443" i="1"/>
  <c r="CC443" i="1"/>
  <c r="CD443" i="1"/>
  <c r="CE443" i="1"/>
  <c r="CF443" i="1"/>
  <c r="CG443" i="1"/>
  <c r="CH443" i="1"/>
  <c r="CI443" i="1"/>
  <c r="CJ443" i="1"/>
  <c r="CK443" i="1"/>
  <c r="BM444" i="1"/>
  <c r="BN444" i="1"/>
  <c r="BO444" i="1"/>
  <c r="BP444" i="1"/>
  <c r="BQ444" i="1"/>
  <c r="BR444" i="1"/>
  <c r="BS444" i="1"/>
  <c r="BT444" i="1"/>
  <c r="BU444" i="1"/>
  <c r="BV444" i="1"/>
  <c r="BW444" i="1"/>
  <c r="BX444" i="1"/>
  <c r="BY444" i="1"/>
  <c r="BZ444" i="1"/>
  <c r="CA444" i="1"/>
  <c r="CB444" i="1"/>
  <c r="CC444" i="1"/>
  <c r="CD444" i="1"/>
  <c r="CE444" i="1"/>
  <c r="CF444" i="1"/>
  <c r="CG444" i="1"/>
  <c r="CH444" i="1"/>
  <c r="CI444" i="1"/>
  <c r="CJ444" i="1"/>
  <c r="CK444" i="1"/>
  <c r="BM445" i="1"/>
  <c r="BN445" i="1"/>
  <c r="BO445" i="1"/>
  <c r="BP445" i="1"/>
  <c r="BQ445" i="1"/>
  <c r="BR445" i="1"/>
  <c r="BS445" i="1"/>
  <c r="BT445" i="1"/>
  <c r="BU445" i="1"/>
  <c r="BV445" i="1"/>
  <c r="BW445" i="1"/>
  <c r="BX445" i="1"/>
  <c r="BY445" i="1"/>
  <c r="BZ445" i="1"/>
  <c r="CA445" i="1"/>
  <c r="CB445" i="1"/>
  <c r="CC445" i="1"/>
  <c r="CD445" i="1"/>
  <c r="CE445" i="1"/>
  <c r="CF445" i="1"/>
  <c r="CG445" i="1"/>
  <c r="CH445" i="1"/>
  <c r="CI445" i="1"/>
  <c r="CJ445" i="1"/>
  <c r="CK445" i="1"/>
  <c r="BM446" i="1"/>
  <c r="BN446" i="1"/>
  <c r="BO446" i="1"/>
  <c r="BP446" i="1"/>
  <c r="BQ446" i="1"/>
  <c r="BR446" i="1"/>
  <c r="BS446" i="1"/>
  <c r="BT446" i="1"/>
  <c r="BU446" i="1"/>
  <c r="BV446" i="1"/>
  <c r="BW446" i="1"/>
  <c r="BX446" i="1"/>
  <c r="BY446" i="1"/>
  <c r="BZ446" i="1"/>
  <c r="CA446" i="1"/>
  <c r="CB446" i="1"/>
  <c r="CC446" i="1"/>
  <c r="CD446" i="1"/>
  <c r="CE446" i="1"/>
  <c r="CF446" i="1"/>
  <c r="CG446" i="1"/>
  <c r="CH446" i="1"/>
  <c r="CI446" i="1"/>
  <c r="CJ446" i="1"/>
  <c r="CK446" i="1"/>
  <c r="BM447" i="1"/>
  <c r="BN447" i="1"/>
  <c r="BO447" i="1"/>
  <c r="BP447" i="1"/>
  <c r="BQ447" i="1"/>
  <c r="BR447" i="1"/>
  <c r="BS447" i="1"/>
  <c r="BT447" i="1"/>
  <c r="BU447" i="1"/>
  <c r="BV447" i="1"/>
  <c r="BW447" i="1"/>
  <c r="BX447" i="1"/>
  <c r="BY447" i="1"/>
  <c r="BZ447" i="1"/>
  <c r="CA447" i="1"/>
  <c r="CB447" i="1"/>
  <c r="CC447" i="1"/>
  <c r="CD447" i="1"/>
  <c r="CE447" i="1"/>
  <c r="CF447" i="1"/>
  <c r="CG447" i="1"/>
  <c r="CH447" i="1"/>
  <c r="CI447" i="1"/>
  <c r="CJ447" i="1"/>
  <c r="CK447" i="1"/>
  <c r="BM448" i="1"/>
  <c r="BN448" i="1"/>
  <c r="BO448" i="1"/>
  <c r="BP448" i="1"/>
  <c r="BQ448" i="1"/>
  <c r="BR448" i="1"/>
  <c r="BS448" i="1"/>
  <c r="BT448" i="1"/>
  <c r="BU448" i="1"/>
  <c r="BV448" i="1"/>
  <c r="BW448" i="1"/>
  <c r="BX448" i="1"/>
  <c r="BY448" i="1"/>
  <c r="BZ448" i="1"/>
  <c r="CA448" i="1"/>
  <c r="CB448" i="1"/>
  <c r="CC448" i="1"/>
  <c r="CD448" i="1"/>
  <c r="CE448" i="1"/>
  <c r="CF448" i="1"/>
  <c r="CG448" i="1"/>
  <c r="CH448" i="1"/>
  <c r="CI448" i="1"/>
  <c r="CJ448" i="1"/>
  <c r="CK448" i="1"/>
  <c r="BM449" i="1"/>
  <c r="BN449" i="1"/>
  <c r="BO449" i="1"/>
  <c r="BP449" i="1"/>
  <c r="BQ449" i="1"/>
  <c r="BR449" i="1"/>
  <c r="BS449" i="1"/>
  <c r="BT449" i="1"/>
  <c r="BU449" i="1"/>
  <c r="BV449" i="1"/>
  <c r="BW449" i="1"/>
  <c r="BX449" i="1"/>
  <c r="BY449" i="1"/>
  <c r="BZ449" i="1"/>
  <c r="CA449" i="1"/>
  <c r="CB449" i="1"/>
  <c r="CC449" i="1"/>
  <c r="CD449" i="1"/>
  <c r="CE449" i="1"/>
  <c r="CF449" i="1"/>
  <c r="CG449" i="1"/>
  <c r="CH449" i="1"/>
  <c r="CI449" i="1"/>
  <c r="CJ449" i="1"/>
  <c r="CK449" i="1"/>
  <c r="BM450" i="1"/>
  <c r="BN450" i="1"/>
  <c r="BO450" i="1"/>
  <c r="BP450" i="1"/>
  <c r="BQ450" i="1"/>
  <c r="BR450" i="1"/>
  <c r="BS450" i="1"/>
  <c r="BT450" i="1"/>
  <c r="BU450" i="1"/>
  <c r="BV450" i="1"/>
  <c r="BW450" i="1"/>
  <c r="BX450" i="1"/>
  <c r="BY450" i="1"/>
  <c r="BZ450" i="1"/>
  <c r="CA450" i="1"/>
  <c r="CB450" i="1"/>
  <c r="CC450" i="1"/>
  <c r="CD450" i="1"/>
  <c r="CE450" i="1"/>
  <c r="CF450" i="1"/>
  <c r="CG450" i="1"/>
  <c r="CH450" i="1"/>
  <c r="CI450" i="1"/>
  <c r="CJ450" i="1"/>
  <c r="CK450" i="1"/>
  <c r="BM451" i="1"/>
  <c r="BN451" i="1"/>
  <c r="BO451" i="1"/>
  <c r="BP451" i="1"/>
  <c r="BQ451" i="1"/>
  <c r="BR451" i="1"/>
  <c r="BS451" i="1"/>
  <c r="BT451" i="1"/>
  <c r="BU451" i="1"/>
  <c r="BV451" i="1"/>
  <c r="BW451" i="1"/>
  <c r="BX451" i="1"/>
  <c r="BY451" i="1"/>
  <c r="BZ451" i="1"/>
  <c r="CA451" i="1"/>
  <c r="CB451" i="1"/>
  <c r="CC451" i="1"/>
  <c r="CD451" i="1"/>
  <c r="CE451" i="1"/>
  <c r="CF451" i="1"/>
  <c r="CG451" i="1"/>
  <c r="CH451" i="1"/>
  <c r="CI451" i="1"/>
  <c r="CJ451" i="1"/>
  <c r="CK451" i="1"/>
  <c r="BM452" i="1"/>
  <c r="BN452" i="1"/>
  <c r="BO452" i="1"/>
  <c r="BP452" i="1"/>
  <c r="BQ452" i="1"/>
  <c r="BR452" i="1"/>
  <c r="BS452" i="1"/>
  <c r="BT452" i="1"/>
  <c r="BU452" i="1"/>
  <c r="BV452" i="1"/>
  <c r="BW452" i="1"/>
  <c r="BX452" i="1"/>
  <c r="BY452" i="1"/>
  <c r="BZ452" i="1"/>
  <c r="CA452" i="1"/>
  <c r="CB452" i="1"/>
  <c r="CC452" i="1"/>
  <c r="CD452" i="1"/>
  <c r="CE452" i="1"/>
  <c r="CF452" i="1"/>
  <c r="CG452" i="1"/>
  <c r="CH452" i="1"/>
  <c r="CI452" i="1"/>
  <c r="CJ452" i="1"/>
  <c r="CK452" i="1"/>
  <c r="BM453" i="1"/>
  <c r="BN453" i="1"/>
  <c r="BO453" i="1"/>
  <c r="BP453" i="1"/>
  <c r="BQ453" i="1"/>
  <c r="BR453" i="1"/>
  <c r="BS453" i="1"/>
  <c r="BT453" i="1"/>
  <c r="BU453" i="1"/>
  <c r="BV453" i="1"/>
  <c r="BW453" i="1"/>
  <c r="BX453" i="1"/>
  <c r="BY453" i="1"/>
  <c r="BZ453" i="1"/>
  <c r="CA453" i="1"/>
  <c r="CB453" i="1"/>
  <c r="CC453" i="1"/>
  <c r="CD453" i="1"/>
  <c r="CE453" i="1"/>
  <c r="CF453" i="1"/>
  <c r="CG453" i="1"/>
  <c r="CH453" i="1"/>
  <c r="CI453" i="1"/>
  <c r="CJ453" i="1"/>
  <c r="CK453" i="1"/>
  <c r="BM454" i="1"/>
  <c r="BN454" i="1"/>
  <c r="BO454" i="1"/>
  <c r="BP454" i="1"/>
  <c r="BQ454" i="1"/>
  <c r="BR454" i="1"/>
  <c r="BS454" i="1"/>
  <c r="BT454" i="1"/>
  <c r="BU454" i="1"/>
  <c r="BV454" i="1"/>
  <c r="BW454" i="1"/>
  <c r="BX454" i="1"/>
  <c r="BY454" i="1"/>
  <c r="BZ454" i="1"/>
  <c r="CA454" i="1"/>
  <c r="CB454" i="1"/>
  <c r="CC454" i="1"/>
  <c r="CD454" i="1"/>
  <c r="CE454" i="1"/>
  <c r="CF454" i="1"/>
  <c r="CG454" i="1"/>
  <c r="CH454" i="1"/>
  <c r="CI454" i="1"/>
  <c r="CJ454" i="1"/>
  <c r="CK454" i="1"/>
  <c r="BM455" i="1"/>
  <c r="BN455" i="1"/>
  <c r="BO455" i="1"/>
  <c r="BP455" i="1"/>
  <c r="BQ455" i="1"/>
  <c r="BR455" i="1"/>
  <c r="BS455" i="1"/>
  <c r="BT455" i="1"/>
  <c r="BU455" i="1"/>
  <c r="BV455" i="1"/>
  <c r="BW455" i="1"/>
  <c r="BX455" i="1"/>
  <c r="BY455" i="1"/>
  <c r="BZ455" i="1"/>
  <c r="CA455" i="1"/>
  <c r="CB455" i="1"/>
  <c r="CC455" i="1"/>
  <c r="CD455" i="1"/>
  <c r="CE455" i="1"/>
  <c r="CF455" i="1"/>
  <c r="CG455" i="1"/>
  <c r="CH455" i="1"/>
  <c r="CI455" i="1"/>
  <c r="CJ455" i="1"/>
  <c r="CK455" i="1"/>
  <c r="BM456" i="1"/>
  <c r="BN456" i="1"/>
  <c r="BO456" i="1"/>
  <c r="BP456" i="1"/>
  <c r="BQ456" i="1"/>
  <c r="BR456" i="1"/>
  <c r="BS456" i="1"/>
  <c r="BT456" i="1"/>
  <c r="BU456" i="1"/>
  <c r="BV456" i="1"/>
  <c r="BW456" i="1"/>
  <c r="BX456" i="1"/>
  <c r="BY456" i="1"/>
  <c r="BZ456" i="1"/>
  <c r="CA456" i="1"/>
  <c r="CB456" i="1"/>
  <c r="CC456" i="1"/>
  <c r="CD456" i="1"/>
  <c r="CE456" i="1"/>
  <c r="CF456" i="1"/>
  <c r="CG456" i="1"/>
  <c r="CH456" i="1"/>
  <c r="CI456" i="1"/>
  <c r="CJ456" i="1"/>
  <c r="CK456" i="1"/>
  <c r="BM457" i="1"/>
  <c r="BN457" i="1"/>
  <c r="BO457" i="1"/>
  <c r="BP457" i="1"/>
  <c r="BQ457" i="1"/>
  <c r="BR457" i="1"/>
  <c r="BS457" i="1"/>
  <c r="BT457" i="1"/>
  <c r="BU457" i="1"/>
  <c r="BV457" i="1"/>
  <c r="BW457" i="1"/>
  <c r="BX457" i="1"/>
  <c r="BY457" i="1"/>
  <c r="BZ457" i="1"/>
  <c r="CA457" i="1"/>
  <c r="CB457" i="1"/>
  <c r="CC457" i="1"/>
  <c r="CD457" i="1"/>
  <c r="CE457" i="1"/>
  <c r="CF457" i="1"/>
  <c r="CG457" i="1"/>
  <c r="CH457" i="1"/>
  <c r="CI457" i="1"/>
  <c r="CJ457" i="1"/>
  <c r="CK457" i="1"/>
  <c r="BM458" i="1"/>
  <c r="BN458" i="1"/>
  <c r="BO458" i="1"/>
  <c r="BP458" i="1"/>
  <c r="BQ458" i="1"/>
  <c r="BR458" i="1"/>
  <c r="BS458" i="1"/>
  <c r="BT458" i="1"/>
  <c r="BU458" i="1"/>
  <c r="BV458" i="1"/>
  <c r="BW458" i="1"/>
  <c r="BX458" i="1"/>
  <c r="BY458" i="1"/>
  <c r="BZ458" i="1"/>
  <c r="CA458" i="1"/>
  <c r="CB458" i="1"/>
  <c r="CC458" i="1"/>
  <c r="CD458" i="1"/>
  <c r="CE458" i="1"/>
  <c r="CF458" i="1"/>
  <c r="CG458" i="1"/>
  <c r="CH458" i="1"/>
  <c r="CI458" i="1"/>
  <c r="CJ458" i="1"/>
  <c r="CK458" i="1"/>
  <c r="BM459" i="1"/>
  <c r="BN459" i="1"/>
  <c r="BO459" i="1"/>
  <c r="BP459" i="1"/>
  <c r="BQ459" i="1"/>
  <c r="BR459" i="1"/>
  <c r="BS459" i="1"/>
  <c r="BT459" i="1"/>
  <c r="BU459" i="1"/>
  <c r="BV459" i="1"/>
  <c r="BW459" i="1"/>
  <c r="BX459" i="1"/>
  <c r="BY459" i="1"/>
  <c r="BZ459" i="1"/>
  <c r="CA459" i="1"/>
  <c r="CB459" i="1"/>
  <c r="CC459" i="1"/>
  <c r="CD459" i="1"/>
  <c r="CE459" i="1"/>
  <c r="CF459" i="1"/>
  <c r="CG459" i="1"/>
  <c r="CH459" i="1"/>
  <c r="CI459" i="1"/>
  <c r="CJ459" i="1"/>
  <c r="CK459" i="1"/>
  <c r="BM460" i="1"/>
  <c r="BN460" i="1"/>
  <c r="BO460" i="1"/>
  <c r="BP460" i="1"/>
  <c r="BQ460" i="1"/>
  <c r="BR460" i="1"/>
  <c r="BS460" i="1"/>
  <c r="BT460" i="1"/>
  <c r="BU460" i="1"/>
  <c r="BV460" i="1"/>
  <c r="BW460" i="1"/>
  <c r="BX460" i="1"/>
  <c r="BY460" i="1"/>
  <c r="BZ460" i="1"/>
  <c r="CA460" i="1"/>
  <c r="CB460" i="1"/>
  <c r="CC460" i="1"/>
  <c r="CD460" i="1"/>
  <c r="CE460" i="1"/>
  <c r="CF460" i="1"/>
  <c r="CG460" i="1"/>
  <c r="CH460" i="1"/>
  <c r="CI460" i="1"/>
  <c r="CJ460" i="1"/>
  <c r="CK460" i="1"/>
  <c r="BM461" i="1"/>
  <c r="BN461" i="1"/>
  <c r="BO461" i="1"/>
  <c r="BP461" i="1"/>
  <c r="BQ461" i="1"/>
  <c r="BR461" i="1"/>
  <c r="BS461" i="1"/>
  <c r="BT461" i="1"/>
  <c r="BU461" i="1"/>
  <c r="BV461" i="1"/>
  <c r="BW461" i="1"/>
  <c r="BX461" i="1"/>
  <c r="BY461" i="1"/>
  <c r="BZ461" i="1"/>
  <c r="CA461" i="1"/>
  <c r="CB461" i="1"/>
  <c r="CC461" i="1"/>
  <c r="CD461" i="1"/>
  <c r="CE461" i="1"/>
  <c r="CF461" i="1"/>
  <c r="CG461" i="1"/>
  <c r="CH461" i="1"/>
  <c r="CI461" i="1"/>
  <c r="CJ461" i="1"/>
  <c r="CK461" i="1"/>
  <c r="BM462" i="1"/>
  <c r="BN462" i="1"/>
  <c r="BO462" i="1"/>
  <c r="BP462" i="1"/>
  <c r="BQ462" i="1"/>
  <c r="BR462" i="1"/>
  <c r="BS462" i="1"/>
  <c r="BT462" i="1"/>
  <c r="BU462" i="1"/>
  <c r="BV462" i="1"/>
  <c r="BW462" i="1"/>
  <c r="BX462" i="1"/>
  <c r="BY462" i="1"/>
  <c r="BZ462" i="1"/>
  <c r="CA462" i="1"/>
  <c r="CB462" i="1"/>
  <c r="CC462" i="1"/>
  <c r="CD462" i="1"/>
  <c r="CE462" i="1"/>
  <c r="CF462" i="1"/>
  <c r="CG462" i="1"/>
  <c r="CH462" i="1"/>
  <c r="CI462" i="1"/>
  <c r="CJ462" i="1"/>
  <c r="CK462" i="1"/>
  <c r="BM463" i="1"/>
  <c r="BN463" i="1"/>
  <c r="BO463" i="1"/>
  <c r="BP463" i="1"/>
  <c r="BQ463" i="1"/>
  <c r="BR463" i="1"/>
  <c r="BS463" i="1"/>
  <c r="BT463" i="1"/>
  <c r="BU463" i="1"/>
  <c r="BV463" i="1"/>
  <c r="BW463" i="1"/>
  <c r="BX463" i="1"/>
  <c r="BY463" i="1"/>
  <c r="BZ463" i="1"/>
  <c r="CA463" i="1"/>
  <c r="CB463" i="1"/>
  <c r="CC463" i="1"/>
  <c r="CD463" i="1"/>
  <c r="CE463" i="1"/>
  <c r="CF463" i="1"/>
  <c r="CG463" i="1"/>
  <c r="CH463" i="1"/>
  <c r="CI463" i="1"/>
  <c r="CJ463" i="1"/>
  <c r="CK463" i="1"/>
  <c r="BM464" i="1"/>
  <c r="BN464" i="1"/>
  <c r="BO464" i="1"/>
  <c r="BP464" i="1"/>
  <c r="BQ464" i="1"/>
  <c r="BR464" i="1"/>
  <c r="BS464" i="1"/>
  <c r="BT464" i="1"/>
  <c r="BU464" i="1"/>
  <c r="BV464" i="1"/>
  <c r="BW464" i="1"/>
  <c r="BX464" i="1"/>
  <c r="BY464" i="1"/>
  <c r="BZ464" i="1"/>
  <c r="CA464" i="1"/>
  <c r="CB464" i="1"/>
  <c r="CC464" i="1"/>
  <c r="CD464" i="1"/>
  <c r="CE464" i="1"/>
  <c r="CF464" i="1"/>
  <c r="CG464" i="1"/>
  <c r="CH464" i="1"/>
  <c r="CI464" i="1"/>
  <c r="CJ464" i="1"/>
  <c r="CK464" i="1"/>
  <c r="BM465" i="1"/>
  <c r="BN465" i="1"/>
  <c r="BO465" i="1"/>
  <c r="BP465" i="1"/>
  <c r="BQ465" i="1"/>
  <c r="BR465" i="1"/>
  <c r="BS465" i="1"/>
  <c r="BT465" i="1"/>
  <c r="BU465" i="1"/>
  <c r="BV465" i="1"/>
  <c r="BW465" i="1"/>
  <c r="BX465" i="1"/>
  <c r="BY465" i="1"/>
  <c r="BZ465" i="1"/>
  <c r="CA465" i="1"/>
  <c r="CB465" i="1"/>
  <c r="CC465" i="1"/>
  <c r="CD465" i="1"/>
  <c r="CE465" i="1"/>
  <c r="CF465" i="1"/>
  <c r="CG465" i="1"/>
  <c r="CH465" i="1"/>
  <c r="CI465" i="1"/>
  <c r="CJ465" i="1"/>
  <c r="CK465" i="1"/>
  <c r="BM466" i="1"/>
  <c r="BN466" i="1"/>
  <c r="BO466" i="1"/>
  <c r="BP466" i="1"/>
  <c r="BQ466" i="1"/>
  <c r="BR466" i="1"/>
  <c r="BS466" i="1"/>
  <c r="BT466" i="1"/>
  <c r="BU466" i="1"/>
  <c r="BV466" i="1"/>
  <c r="BW466" i="1"/>
  <c r="BX466" i="1"/>
  <c r="BY466" i="1"/>
  <c r="BZ466" i="1"/>
  <c r="CA466" i="1"/>
  <c r="CB466" i="1"/>
  <c r="CC466" i="1"/>
  <c r="CD466" i="1"/>
  <c r="CE466" i="1"/>
  <c r="CF466" i="1"/>
  <c r="CG466" i="1"/>
  <c r="CH466" i="1"/>
  <c r="CI466" i="1"/>
  <c r="CJ466" i="1"/>
  <c r="CK466" i="1"/>
  <c r="BM467" i="1"/>
  <c r="BN467" i="1"/>
  <c r="BO467" i="1"/>
  <c r="BP467" i="1"/>
  <c r="BQ467" i="1"/>
  <c r="BR467" i="1"/>
  <c r="BS467" i="1"/>
  <c r="BT467" i="1"/>
  <c r="BU467" i="1"/>
  <c r="BV467" i="1"/>
  <c r="BW467" i="1"/>
  <c r="BX467" i="1"/>
  <c r="BY467" i="1"/>
  <c r="BZ467" i="1"/>
  <c r="CA467" i="1"/>
  <c r="CB467" i="1"/>
  <c r="CC467" i="1"/>
  <c r="CD467" i="1"/>
  <c r="CE467" i="1"/>
  <c r="CF467" i="1"/>
  <c r="CG467" i="1"/>
  <c r="CH467" i="1"/>
  <c r="CI467" i="1"/>
  <c r="CJ467" i="1"/>
  <c r="CK467" i="1"/>
  <c r="BM468" i="1"/>
  <c r="BN468" i="1"/>
  <c r="BO468" i="1"/>
  <c r="BP468" i="1"/>
  <c r="BQ468" i="1"/>
  <c r="BR468" i="1"/>
  <c r="BS468" i="1"/>
  <c r="BT468" i="1"/>
  <c r="BU468" i="1"/>
  <c r="BV468" i="1"/>
  <c r="BW468" i="1"/>
  <c r="BX468" i="1"/>
  <c r="BY468" i="1"/>
  <c r="BZ468" i="1"/>
  <c r="CA468" i="1"/>
  <c r="CB468" i="1"/>
  <c r="CC468" i="1"/>
  <c r="CD468" i="1"/>
  <c r="CE468" i="1"/>
  <c r="CF468" i="1"/>
  <c r="CG468" i="1"/>
  <c r="CH468" i="1"/>
  <c r="CI468" i="1"/>
  <c r="CJ468" i="1"/>
  <c r="CK468" i="1"/>
  <c r="BM469" i="1"/>
  <c r="BN469" i="1"/>
  <c r="BO469" i="1"/>
  <c r="BP469" i="1"/>
  <c r="BQ469" i="1"/>
  <c r="BR469" i="1"/>
  <c r="BS469" i="1"/>
  <c r="BT469" i="1"/>
  <c r="BU469" i="1"/>
  <c r="BV469" i="1"/>
  <c r="BW469" i="1"/>
  <c r="BX469" i="1"/>
  <c r="BY469" i="1"/>
  <c r="BZ469" i="1"/>
  <c r="CA469" i="1"/>
  <c r="CB469" i="1"/>
  <c r="CC469" i="1"/>
  <c r="CD469" i="1"/>
  <c r="CE469" i="1"/>
  <c r="CF469" i="1"/>
  <c r="CG469" i="1"/>
  <c r="CH469" i="1"/>
  <c r="CI469" i="1"/>
  <c r="CJ469" i="1"/>
  <c r="CK469" i="1"/>
  <c r="BM470" i="1"/>
  <c r="BN470" i="1"/>
  <c r="BO470" i="1"/>
  <c r="BP470" i="1"/>
  <c r="BQ470" i="1"/>
  <c r="BR470" i="1"/>
  <c r="BS470" i="1"/>
  <c r="BT470" i="1"/>
  <c r="BU470" i="1"/>
  <c r="BV470" i="1"/>
  <c r="BW470" i="1"/>
  <c r="BX470" i="1"/>
  <c r="BY470" i="1"/>
  <c r="BZ470" i="1"/>
  <c r="CA470" i="1"/>
  <c r="CB470" i="1"/>
  <c r="CC470" i="1"/>
  <c r="CD470" i="1"/>
  <c r="CE470" i="1"/>
  <c r="CF470" i="1"/>
  <c r="CG470" i="1"/>
  <c r="CH470" i="1"/>
  <c r="CI470" i="1"/>
  <c r="CJ470" i="1"/>
  <c r="CK470" i="1"/>
  <c r="BM471" i="1"/>
  <c r="BN471" i="1"/>
  <c r="BO471" i="1"/>
  <c r="BP471" i="1"/>
  <c r="BQ471" i="1"/>
  <c r="BR471" i="1"/>
  <c r="BS471" i="1"/>
  <c r="BT471" i="1"/>
  <c r="BU471" i="1"/>
  <c r="BV471" i="1"/>
  <c r="BW471" i="1"/>
  <c r="BX471" i="1"/>
  <c r="BY471" i="1"/>
  <c r="BZ471" i="1"/>
  <c r="CA471" i="1"/>
  <c r="CB471" i="1"/>
  <c r="CC471" i="1"/>
  <c r="CD471" i="1"/>
  <c r="CE471" i="1"/>
  <c r="CF471" i="1"/>
  <c r="CG471" i="1"/>
  <c r="CH471" i="1"/>
  <c r="CI471" i="1"/>
  <c r="CJ471" i="1"/>
  <c r="CK471" i="1"/>
  <c r="BM472" i="1"/>
  <c r="BN472" i="1"/>
  <c r="BO472" i="1"/>
  <c r="BP472" i="1"/>
  <c r="BQ472" i="1"/>
  <c r="BR472" i="1"/>
  <c r="BS472" i="1"/>
  <c r="BT472" i="1"/>
  <c r="BU472" i="1"/>
  <c r="BV472" i="1"/>
  <c r="BW472" i="1"/>
  <c r="BX472" i="1"/>
  <c r="BY472" i="1"/>
  <c r="BZ472" i="1"/>
  <c r="CA472" i="1"/>
  <c r="CB472" i="1"/>
  <c r="CC472" i="1"/>
  <c r="CD472" i="1"/>
  <c r="CE472" i="1"/>
  <c r="CF472" i="1"/>
  <c r="CG472" i="1"/>
  <c r="CH472" i="1"/>
  <c r="CI472" i="1"/>
  <c r="CJ472" i="1"/>
  <c r="CK472" i="1"/>
  <c r="BM473" i="1"/>
  <c r="BN473" i="1"/>
  <c r="BO473" i="1"/>
  <c r="BP473" i="1"/>
  <c r="BQ473" i="1"/>
  <c r="BR473" i="1"/>
  <c r="BS473" i="1"/>
  <c r="BT473" i="1"/>
  <c r="BU473" i="1"/>
  <c r="BV473" i="1"/>
  <c r="BW473" i="1"/>
  <c r="BX473" i="1"/>
  <c r="BY473" i="1"/>
  <c r="BZ473" i="1"/>
  <c r="CA473" i="1"/>
  <c r="CB473" i="1"/>
  <c r="CC473" i="1"/>
  <c r="CD473" i="1"/>
  <c r="CE473" i="1"/>
  <c r="CF473" i="1"/>
  <c r="CG473" i="1"/>
  <c r="CH473" i="1"/>
  <c r="CI473" i="1"/>
  <c r="CJ473" i="1"/>
  <c r="CK473" i="1"/>
  <c r="BM474" i="1"/>
  <c r="BN474" i="1"/>
  <c r="BO474" i="1"/>
  <c r="BP474" i="1"/>
  <c r="BQ474" i="1"/>
  <c r="BR474" i="1"/>
  <c r="BS474" i="1"/>
  <c r="BT474" i="1"/>
  <c r="BU474" i="1"/>
  <c r="BV474" i="1"/>
  <c r="BW474" i="1"/>
  <c r="BX474" i="1"/>
  <c r="BY474" i="1"/>
  <c r="BZ474" i="1"/>
  <c r="CA474" i="1"/>
  <c r="CB474" i="1"/>
  <c r="CC474" i="1"/>
  <c r="CD474" i="1"/>
  <c r="CE474" i="1"/>
  <c r="CF474" i="1"/>
  <c r="CG474" i="1"/>
  <c r="CH474" i="1"/>
  <c r="CI474" i="1"/>
  <c r="CJ474" i="1"/>
  <c r="CK474" i="1"/>
  <c r="BM475" i="1"/>
  <c r="BN475" i="1"/>
  <c r="BO475" i="1"/>
  <c r="BP475" i="1"/>
  <c r="BQ475" i="1"/>
  <c r="BR475" i="1"/>
  <c r="BS475" i="1"/>
  <c r="BT475" i="1"/>
  <c r="BU475" i="1"/>
  <c r="BV475" i="1"/>
  <c r="BW475" i="1"/>
  <c r="BX475" i="1"/>
  <c r="BY475" i="1"/>
  <c r="BZ475" i="1"/>
  <c r="CA475" i="1"/>
  <c r="CB475" i="1"/>
  <c r="CC475" i="1"/>
  <c r="CD475" i="1"/>
  <c r="CE475" i="1"/>
  <c r="CF475" i="1"/>
  <c r="CG475" i="1"/>
  <c r="CH475" i="1"/>
  <c r="CI475" i="1"/>
  <c r="CJ475" i="1"/>
  <c r="CK475" i="1"/>
  <c r="BM476" i="1"/>
  <c r="BN476" i="1"/>
  <c r="BO476" i="1"/>
  <c r="BP476" i="1"/>
  <c r="BQ476" i="1"/>
  <c r="BR476" i="1"/>
  <c r="BS476" i="1"/>
  <c r="BT476" i="1"/>
  <c r="BU476" i="1"/>
  <c r="BV476" i="1"/>
  <c r="BW476" i="1"/>
  <c r="BX476" i="1"/>
  <c r="BY476" i="1"/>
  <c r="BZ476" i="1"/>
  <c r="CA476" i="1"/>
  <c r="CB476" i="1"/>
  <c r="CC476" i="1"/>
  <c r="CD476" i="1"/>
  <c r="CE476" i="1"/>
  <c r="CF476" i="1"/>
  <c r="CG476" i="1"/>
  <c r="CH476" i="1"/>
  <c r="CI476" i="1"/>
  <c r="CJ476" i="1"/>
  <c r="CK476" i="1"/>
  <c r="BM477" i="1"/>
  <c r="BN477" i="1"/>
  <c r="BO477" i="1"/>
  <c r="BP477" i="1"/>
  <c r="BQ477" i="1"/>
  <c r="BR477" i="1"/>
  <c r="BS477" i="1"/>
  <c r="BT477" i="1"/>
  <c r="BU477" i="1"/>
  <c r="BV477" i="1"/>
  <c r="BW477" i="1"/>
  <c r="BX477" i="1"/>
  <c r="BY477" i="1"/>
  <c r="BZ477" i="1"/>
  <c r="CA477" i="1"/>
  <c r="CB477" i="1"/>
  <c r="CC477" i="1"/>
  <c r="CD477" i="1"/>
  <c r="CE477" i="1"/>
  <c r="CF477" i="1"/>
  <c r="CG477" i="1"/>
  <c r="CH477" i="1"/>
  <c r="CI477" i="1"/>
  <c r="CJ477" i="1"/>
  <c r="CK477" i="1"/>
  <c r="BM478" i="1"/>
  <c r="BN478" i="1"/>
  <c r="BO478" i="1"/>
  <c r="BP478" i="1"/>
  <c r="BQ478" i="1"/>
  <c r="BR478" i="1"/>
  <c r="BS478" i="1"/>
  <c r="BT478" i="1"/>
  <c r="BU478" i="1"/>
  <c r="BV478" i="1"/>
  <c r="BW478" i="1"/>
  <c r="BX478" i="1"/>
  <c r="BY478" i="1"/>
  <c r="BZ478" i="1"/>
  <c r="CA478" i="1"/>
  <c r="CB478" i="1"/>
  <c r="CC478" i="1"/>
  <c r="CD478" i="1"/>
  <c r="CE478" i="1"/>
  <c r="CF478" i="1"/>
  <c r="CG478" i="1"/>
  <c r="CH478" i="1"/>
  <c r="CI478" i="1"/>
  <c r="CJ478" i="1"/>
  <c r="CK478" i="1"/>
  <c r="BM479" i="1"/>
  <c r="BN479" i="1"/>
  <c r="BO479" i="1"/>
  <c r="BP479" i="1"/>
  <c r="BQ479" i="1"/>
  <c r="BR479" i="1"/>
  <c r="BS479" i="1"/>
  <c r="BT479" i="1"/>
  <c r="BU479" i="1"/>
  <c r="BV479" i="1"/>
  <c r="BW479" i="1"/>
  <c r="BX479" i="1"/>
  <c r="BY479" i="1"/>
  <c r="BZ479" i="1"/>
  <c r="CA479" i="1"/>
  <c r="CB479" i="1"/>
  <c r="CC479" i="1"/>
  <c r="CD479" i="1"/>
  <c r="CE479" i="1"/>
  <c r="CF479" i="1"/>
  <c r="CG479" i="1"/>
  <c r="CH479" i="1"/>
  <c r="CI479" i="1"/>
  <c r="CJ479" i="1"/>
  <c r="CK479" i="1"/>
  <c r="BM480" i="1"/>
  <c r="BN480" i="1"/>
  <c r="BO480" i="1"/>
  <c r="BP480" i="1"/>
  <c r="BQ480" i="1"/>
  <c r="BR480" i="1"/>
  <c r="BS480" i="1"/>
  <c r="BT480" i="1"/>
  <c r="BU480" i="1"/>
  <c r="BV480" i="1"/>
  <c r="BW480" i="1"/>
  <c r="BX480" i="1"/>
  <c r="BY480" i="1"/>
  <c r="BZ480" i="1"/>
  <c r="CA480" i="1"/>
  <c r="CB480" i="1"/>
  <c r="CC480" i="1"/>
  <c r="CD480" i="1"/>
  <c r="CE480" i="1"/>
  <c r="CF480" i="1"/>
  <c r="CG480" i="1"/>
  <c r="CH480" i="1"/>
  <c r="CI480" i="1"/>
  <c r="CJ480" i="1"/>
  <c r="CK480" i="1"/>
  <c r="BM481" i="1"/>
  <c r="BN481" i="1"/>
  <c r="BO481" i="1"/>
  <c r="BP481" i="1"/>
  <c r="BQ481" i="1"/>
  <c r="BR481" i="1"/>
  <c r="BS481" i="1"/>
  <c r="BT481" i="1"/>
  <c r="BU481" i="1"/>
  <c r="BV481" i="1"/>
  <c r="BW481" i="1"/>
  <c r="BX481" i="1"/>
  <c r="BY481" i="1"/>
  <c r="BZ481" i="1"/>
  <c r="CA481" i="1"/>
  <c r="CB481" i="1"/>
  <c r="CC481" i="1"/>
  <c r="CD481" i="1"/>
  <c r="CE481" i="1"/>
  <c r="CF481" i="1"/>
  <c r="CG481" i="1"/>
  <c r="CH481" i="1"/>
  <c r="CI481" i="1"/>
  <c r="CJ481" i="1"/>
  <c r="CK481" i="1"/>
  <c r="BM482" i="1"/>
  <c r="BN482" i="1"/>
  <c r="BO482" i="1"/>
  <c r="BP482" i="1"/>
  <c r="BQ482" i="1"/>
  <c r="BR482" i="1"/>
  <c r="BS482" i="1"/>
  <c r="BT482" i="1"/>
  <c r="BU482" i="1"/>
  <c r="BV482" i="1"/>
  <c r="BW482" i="1"/>
  <c r="BX482" i="1"/>
  <c r="BY482" i="1"/>
  <c r="BZ482" i="1"/>
  <c r="CA482" i="1"/>
  <c r="CB482" i="1"/>
  <c r="CC482" i="1"/>
  <c r="CD482" i="1"/>
  <c r="CE482" i="1"/>
  <c r="CF482" i="1"/>
  <c r="CG482" i="1"/>
  <c r="CH482" i="1"/>
  <c r="CI482" i="1"/>
  <c r="CJ482" i="1"/>
  <c r="CK482" i="1"/>
  <c r="BM483" i="1"/>
  <c r="BN483" i="1"/>
  <c r="BO483" i="1"/>
  <c r="BP483" i="1"/>
  <c r="BQ483" i="1"/>
  <c r="BR483" i="1"/>
  <c r="BS483" i="1"/>
  <c r="BT483" i="1"/>
  <c r="BU483" i="1"/>
  <c r="BV483" i="1"/>
  <c r="BW483" i="1"/>
  <c r="BX483" i="1"/>
  <c r="BY483" i="1"/>
  <c r="BZ483" i="1"/>
  <c r="CA483" i="1"/>
  <c r="CB483" i="1"/>
  <c r="CC483" i="1"/>
  <c r="CD483" i="1"/>
  <c r="CE483" i="1"/>
  <c r="CF483" i="1"/>
  <c r="CG483" i="1"/>
  <c r="CH483" i="1"/>
  <c r="CI483" i="1"/>
  <c r="CJ483" i="1"/>
  <c r="CK483" i="1"/>
  <c r="BM484" i="1"/>
  <c r="BN484" i="1"/>
  <c r="BO484" i="1"/>
  <c r="BP484" i="1"/>
  <c r="BQ484" i="1"/>
  <c r="BR484" i="1"/>
  <c r="BS484" i="1"/>
  <c r="BT484" i="1"/>
  <c r="BU484" i="1"/>
  <c r="BV484" i="1"/>
  <c r="BW484" i="1"/>
  <c r="BX484" i="1"/>
  <c r="BY484" i="1"/>
  <c r="BZ484" i="1"/>
  <c r="CA484" i="1"/>
  <c r="CB484" i="1"/>
  <c r="CC484" i="1"/>
  <c r="CD484" i="1"/>
  <c r="CE484" i="1"/>
  <c r="CF484" i="1"/>
  <c r="CG484" i="1"/>
  <c r="CH484" i="1"/>
  <c r="CI484" i="1"/>
  <c r="CJ484" i="1"/>
  <c r="CK484" i="1"/>
  <c r="BM485" i="1"/>
  <c r="BN485" i="1"/>
  <c r="BO485" i="1"/>
  <c r="BP485" i="1"/>
  <c r="BQ485" i="1"/>
  <c r="BR485" i="1"/>
  <c r="BS485" i="1"/>
  <c r="BT485" i="1"/>
  <c r="BU485" i="1"/>
  <c r="BV485" i="1"/>
  <c r="BW485" i="1"/>
  <c r="BX485" i="1"/>
  <c r="BY485" i="1"/>
  <c r="BZ485" i="1"/>
  <c r="CA485" i="1"/>
  <c r="CB485" i="1"/>
  <c r="CC485" i="1"/>
  <c r="CD485" i="1"/>
  <c r="CE485" i="1"/>
  <c r="CF485" i="1"/>
  <c r="CG485" i="1"/>
  <c r="CH485" i="1"/>
  <c r="CI485" i="1"/>
  <c r="CJ485" i="1"/>
  <c r="CK485" i="1"/>
  <c r="BM486" i="1"/>
  <c r="BN486" i="1"/>
  <c r="BO486" i="1"/>
  <c r="BP486" i="1"/>
  <c r="BQ486" i="1"/>
  <c r="BR486" i="1"/>
  <c r="BS486" i="1"/>
  <c r="BT486" i="1"/>
  <c r="BU486" i="1"/>
  <c r="BV486" i="1"/>
  <c r="BW486" i="1"/>
  <c r="BX486" i="1"/>
  <c r="BY486" i="1"/>
  <c r="BZ486" i="1"/>
  <c r="CA486" i="1"/>
  <c r="CB486" i="1"/>
  <c r="CC486" i="1"/>
  <c r="CD486" i="1"/>
  <c r="CE486" i="1"/>
  <c r="CF486" i="1"/>
  <c r="CG486" i="1"/>
  <c r="CH486" i="1"/>
  <c r="CI486" i="1"/>
  <c r="CJ486" i="1"/>
  <c r="CK486" i="1"/>
  <c r="BM487" i="1"/>
  <c r="BN487" i="1"/>
  <c r="BO487" i="1"/>
  <c r="BP487" i="1"/>
  <c r="BQ487" i="1"/>
  <c r="BR487" i="1"/>
  <c r="BS487" i="1"/>
  <c r="BT487" i="1"/>
  <c r="BU487" i="1"/>
  <c r="BV487" i="1"/>
  <c r="BW487" i="1"/>
  <c r="BX487" i="1"/>
  <c r="BY487" i="1"/>
  <c r="BZ487" i="1"/>
  <c r="CA487" i="1"/>
  <c r="CB487" i="1"/>
  <c r="CC487" i="1"/>
  <c r="CD487" i="1"/>
  <c r="CE487" i="1"/>
  <c r="CF487" i="1"/>
  <c r="CG487" i="1"/>
  <c r="CH487" i="1"/>
  <c r="CI487" i="1"/>
  <c r="CJ487" i="1"/>
  <c r="CK487" i="1"/>
  <c r="BM488" i="1"/>
  <c r="BN488" i="1"/>
  <c r="BO488" i="1"/>
  <c r="BP488" i="1"/>
  <c r="BQ488" i="1"/>
  <c r="BR488" i="1"/>
  <c r="BS488" i="1"/>
  <c r="BT488" i="1"/>
  <c r="BU488" i="1"/>
  <c r="BV488" i="1"/>
  <c r="BW488" i="1"/>
  <c r="BX488" i="1"/>
  <c r="BY488" i="1"/>
  <c r="BZ488" i="1"/>
  <c r="CA488" i="1"/>
  <c r="CB488" i="1"/>
  <c r="CC488" i="1"/>
  <c r="CD488" i="1"/>
  <c r="CE488" i="1"/>
  <c r="CF488" i="1"/>
  <c r="CG488" i="1"/>
  <c r="CH488" i="1"/>
  <c r="CI488" i="1"/>
  <c r="CJ488" i="1"/>
  <c r="CK488" i="1"/>
  <c r="BM489" i="1"/>
  <c r="BN489" i="1"/>
  <c r="BO489" i="1"/>
  <c r="BP489" i="1"/>
  <c r="BQ489" i="1"/>
  <c r="BR489" i="1"/>
  <c r="BS489" i="1"/>
  <c r="BT489" i="1"/>
  <c r="BU489" i="1"/>
  <c r="BV489" i="1"/>
  <c r="BW489" i="1"/>
  <c r="BX489" i="1"/>
  <c r="BY489" i="1"/>
  <c r="BZ489" i="1"/>
  <c r="CA489" i="1"/>
  <c r="CB489" i="1"/>
  <c r="CC489" i="1"/>
  <c r="CD489" i="1"/>
  <c r="CE489" i="1"/>
  <c r="CF489" i="1"/>
  <c r="CG489" i="1"/>
  <c r="CH489" i="1"/>
  <c r="CI489" i="1"/>
  <c r="CJ489" i="1"/>
  <c r="CK489" i="1"/>
  <c r="BM490" i="1"/>
  <c r="BN490" i="1"/>
  <c r="BO490" i="1"/>
  <c r="BP490" i="1"/>
  <c r="BQ490" i="1"/>
  <c r="BR490" i="1"/>
  <c r="BS490" i="1"/>
  <c r="BT490" i="1"/>
  <c r="BU490" i="1"/>
  <c r="BV490" i="1"/>
  <c r="BW490" i="1"/>
  <c r="BX490" i="1"/>
  <c r="BY490" i="1"/>
  <c r="BZ490" i="1"/>
  <c r="CA490" i="1"/>
  <c r="CB490" i="1"/>
  <c r="CC490" i="1"/>
  <c r="CD490" i="1"/>
  <c r="CE490" i="1"/>
  <c r="CF490" i="1"/>
  <c r="CG490" i="1"/>
  <c r="CH490" i="1"/>
  <c r="CI490" i="1"/>
  <c r="CJ490" i="1"/>
  <c r="CK490" i="1"/>
  <c r="BM491" i="1"/>
  <c r="BN491" i="1"/>
  <c r="BO491" i="1"/>
  <c r="BP491" i="1"/>
  <c r="BQ491" i="1"/>
  <c r="BR491" i="1"/>
  <c r="BS491" i="1"/>
  <c r="BT491" i="1"/>
  <c r="BU491" i="1"/>
  <c r="BV491" i="1"/>
  <c r="BW491" i="1"/>
  <c r="BX491" i="1"/>
  <c r="BY491" i="1"/>
  <c r="BZ491" i="1"/>
  <c r="CA491" i="1"/>
  <c r="CB491" i="1"/>
  <c r="CC491" i="1"/>
  <c r="CD491" i="1"/>
  <c r="CE491" i="1"/>
  <c r="CF491" i="1"/>
  <c r="CG491" i="1"/>
  <c r="CH491" i="1"/>
  <c r="CI491" i="1"/>
  <c r="CJ491" i="1"/>
  <c r="CK491" i="1"/>
  <c r="BM492" i="1"/>
  <c r="BN492" i="1"/>
  <c r="BO492" i="1"/>
  <c r="BP492" i="1"/>
  <c r="BQ492" i="1"/>
  <c r="BR492" i="1"/>
  <c r="BS492" i="1"/>
  <c r="BT492" i="1"/>
  <c r="BU492" i="1"/>
  <c r="BV492" i="1"/>
  <c r="BW492" i="1"/>
  <c r="BX492" i="1"/>
  <c r="BY492" i="1"/>
  <c r="BZ492" i="1"/>
  <c r="CA492" i="1"/>
  <c r="CB492" i="1"/>
  <c r="CC492" i="1"/>
  <c r="CD492" i="1"/>
  <c r="CE492" i="1"/>
  <c r="CF492" i="1"/>
  <c r="CG492" i="1"/>
  <c r="CH492" i="1"/>
  <c r="CI492" i="1"/>
  <c r="CJ492" i="1"/>
  <c r="CK492" i="1"/>
  <c r="BM493" i="1"/>
  <c r="BN493" i="1"/>
  <c r="BO493" i="1"/>
  <c r="BP493" i="1"/>
  <c r="BQ493" i="1"/>
  <c r="BR493" i="1"/>
  <c r="BS493" i="1"/>
  <c r="BT493" i="1"/>
  <c r="BU493" i="1"/>
  <c r="BV493" i="1"/>
  <c r="BW493" i="1"/>
  <c r="BX493" i="1"/>
  <c r="BY493" i="1"/>
  <c r="BZ493" i="1"/>
  <c r="CA493" i="1"/>
  <c r="CB493" i="1"/>
  <c r="CC493" i="1"/>
  <c r="CD493" i="1"/>
  <c r="CE493" i="1"/>
  <c r="CF493" i="1"/>
  <c r="CG493" i="1"/>
  <c r="CH493" i="1"/>
  <c r="CI493" i="1"/>
  <c r="CJ493" i="1"/>
  <c r="CK493" i="1"/>
  <c r="BM494" i="1"/>
  <c r="BN494" i="1"/>
  <c r="BO494" i="1"/>
  <c r="BP494" i="1"/>
  <c r="BQ494" i="1"/>
  <c r="BR494" i="1"/>
  <c r="BS494" i="1"/>
  <c r="BT494" i="1"/>
  <c r="BU494" i="1"/>
  <c r="BV494" i="1"/>
  <c r="BW494" i="1"/>
  <c r="BX494" i="1"/>
  <c r="BY494" i="1"/>
  <c r="BZ494" i="1"/>
  <c r="CA494" i="1"/>
  <c r="CB494" i="1"/>
  <c r="CC494" i="1"/>
  <c r="CD494" i="1"/>
  <c r="CE494" i="1"/>
  <c r="CF494" i="1"/>
  <c r="CG494" i="1"/>
  <c r="CH494" i="1"/>
  <c r="CI494" i="1"/>
  <c r="CJ494" i="1"/>
  <c r="CK494" i="1"/>
  <c r="BM495" i="1"/>
  <c r="BN495" i="1"/>
  <c r="BO495" i="1"/>
  <c r="BP495" i="1"/>
  <c r="BQ495" i="1"/>
  <c r="BR495" i="1"/>
  <c r="BS495" i="1"/>
  <c r="BT495" i="1"/>
  <c r="BU495" i="1"/>
  <c r="BV495" i="1"/>
  <c r="BW495" i="1"/>
  <c r="BX495" i="1"/>
  <c r="BY495" i="1"/>
  <c r="BZ495" i="1"/>
  <c r="CA495" i="1"/>
  <c r="CB495" i="1"/>
  <c r="CC495" i="1"/>
  <c r="CD495" i="1"/>
  <c r="CE495" i="1"/>
  <c r="CF495" i="1"/>
  <c r="CG495" i="1"/>
  <c r="CH495" i="1"/>
  <c r="CI495" i="1"/>
  <c r="CJ495" i="1"/>
  <c r="CK495" i="1"/>
  <c r="BM496" i="1"/>
  <c r="BN496" i="1"/>
  <c r="BO496" i="1"/>
  <c r="BP496" i="1"/>
  <c r="BQ496" i="1"/>
  <c r="BR496" i="1"/>
  <c r="BS496" i="1"/>
  <c r="BT496" i="1"/>
  <c r="BU496" i="1"/>
  <c r="BV496" i="1"/>
  <c r="BW496" i="1"/>
  <c r="BX496" i="1"/>
  <c r="BY496" i="1"/>
  <c r="BZ496" i="1"/>
  <c r="CA496" i="1"/>
  <c r="CB496" i="1"/>
  <c r="CC496" i="1"/>
  <c r="CD496" i="1"/>
  <c r="CE496" i="1"/>
  <c r="CF496" i="1"/>
  <c r="CG496" i="1"/>
  <c r="CH496" i="1"/>
  <c r="CI496" i="1"/>
  <c r="CJ496" i="1"/>
  <c r="CK496" i="1"/>
  <c r="BM497" i="1"/>
  <c r="BN497" i="1"/>
  <c r="BO497" i="1"/>
  <c r="BP497" i="1"/>
  <c r="BQ497" i="1"/>
  <c r="BR497" i="1"/>
  <c r="BS497" i="1"/>
  <c r="BT497" i="1"/>
  <c r="BU497" i="1"/>
  <c r="BV497" i="1"/>
  <c r="BW497" i="1"/>
  <c r="BX497" i="1"/>
  <c r="BY497" i="1"/>
  <c r="BZ497" i="1"/>
  <c r="CA497" i="1"/>
  <c r="CB497" i="1"/>
  <c r="CC497" i="1"/>
  <c r="CD497" i="1"/>
  <c r="CE497" i="1"/>
  <c r="CF497" i="1"/>
  <c r="CG497" i="1"/>
  <c r="CH497" i="1"/>
  <c r="CI497" i="1"/>
  <c r="CJ497" i="1"/>
  <c r="CK497" i="1"/>
  <c r="BM498" i="1"/>
  <c r="BN498" i="1"/>
  <c r="BO498" i="1"/>
  <c r="BP498" i="1"/>
  <c r="BQ498" i="1"/>
  <c r="BR498" i="1"/>
  <c r="BS498" i="1"/>
  <c r="BT498" i="1"/>
  <c r="BU498" i="1"/>
  <c r="BV498" i="1"/>
  <c r="BW498" i="1"/>
  <c r="BX498" i="1"/>
  <c r="BY498" i="1"/>
  <c r="BZ498" i="1"/>
  <c r="CA498" i="1"/>
  <c r="CB498" i="1"/>
  <c r="CC498" i="1"/>
  <c r="CD498" i="1"/>
  <c r="CE498" i="1"/>
  <c r="CF498" i="1"/>
  <c r="CG498" i="1"/>
  <c r="CH498" i="1"/>
  <c r="CI498" i="1"/>
  <c r="CJ498" i="1"/>
  <c r="CK498" i="1"/>
  <c r="BM499" i="1"/>
  <c r="BN499" i="1"/>
  <c r="BO499" i="1"/>
  <c r="BP499" i="1"/>
  <c r="BQ499" i="1"/>
  <c r="BR499" i="1"/>
  <c r="BS499" i="1"/>
  <c r="BT499" i="1"/>
  <c r="BU499" i="1"/>
  <c r="BV499" i="1"/>
  <c r="BW499" i="1"/>
  <c r="BX499" i="1"/>
  <c r="BY499" i="1"/>
  <c r="BZ499" i="1"/>
  <c r="CA499" i="1"/>
  <c r="CB499" i="1"/>
  <c r="CC499" i="1"/>
  <c r="CD499" i="1"/>
  <c r="CE499" i="1"/>
  <c r="CF499" i="1"/>
  <c r="CG499" i="1"/>
  <c r="CH499" i="1"/>
  <c r="CI499" i="1"/>
  <c r="CJ499" i="1"/>
  <c r="CK499" i="1"/>
  <c r="BM500" i="1"/>
  <c r="BN500" i="1"/>
  <c r="BO500" i="1"/>
  <c r="BP500" i="1"/>
  <c r="BQ500" i="1"/>
  <c r="BR500" i="1"/>
  <c r="BS500" i="1"/>
  <c r="BT500" i="1"/>
  <c r="BU500" i="1"/>
  <c r="BV500" i="1"/>
  <c r="BW500" i="1"/>
  <c r="BX500" i="1"/>
  <c r="BY500" i="1"/>
  <c r="BZ500" i="1"/>
  <c r="CA500" i="1"/>
  <c r="CB500" i="1"/>
  <c r="CC500" i="1"/>
  <c r="CD500" i="1"/>
  <c r="CE500" i="1"/>
  <c r="CF500" i="1"/>
  <c r="CG500" i="1"/>
  <c r="CH500" i="1"/>
  <c r="CI500" i="1"/>
  <c r="CJ500" i="1"/>
  <c r="CK500" i="1"/>
  <c r="BM501" i="1"/>
  <c r="BN501" i="1"/>
  <c r="BO501" i="1"/>
  <c r="BP501" i="1"/>
  <c r="BQ501" i="1"/>
  <c r="BR501" i="1"/>
  <c r="BS501" i="1"/>
  <c r="BT501" i="1"/>
  <c r="BU501" i="1"/>
  <c r="BV501" i="1"/>
  <c r="BW501" i="1"/>
  <c r="BX501" i="1"/>
  <c r="BY501" i="1"/>
  <c r="BZ501" i="1"/>
  <c r="CA501" i="1"/>
  <c r="CB501" i="1"/>
  <c r="CC501" i="1"/>
  <c r="CD501" i="1"/>
  <c r="CE501" i="1"/>
  <c r="CF501" i="1"/>
  <c r="CG501" i="1"/>
  <c r="CH501" i="1"/>
  <c r="CI501" i="1"/>
  <c r="CJ501" i="1"/>
  <c r="CK501" i="1"/>
  <c r="BM502" i="1"/>
  <c r="BN502" i="1"/>
  <c r="BO502" i="1"/>
  <c r="BP502" i="1"/>
  <c r="BQ502" i="1"/>
  <c r="BR502" i="1"/>
  <c r="BS502" i="1"/>
  <c r="BT502" i="1"/>
  <c r="BU502" i="1"/>
  <c r="BV502" i="1"/>
  <c r="BW502" i="1"/>
  <c r="BX502" i="1"/>
  <c r="BY502" i="1"/>
  <c r="BZ502" i="1"/>
  <c r="CA502" i="1"/>
  <c r="CB502" i="1"/>
  <c r="CC502" i="1"/>
  <c r="CD502" i="1"/>
  <c r="CE502" i="1"/>
  <c r="CF502" i="1"/>
  <c r="CG502" i="1"/>
  <c r="CH502" i="1"/>
  <c r="CI502" i="1"/>
  <c r="CJ502" i="1"/>
  <c r="CK502" i="1"/>
  <c r="BM503" i="1"/>
  <c r="BN503" i="1"/>
  <c r="BO503" i="1"/>
  <c r="BP503" i="1"/>
  <c r="BQ503" i="1"/>
  <c r="BR503" i="1"/>
  <c r="BS503" i="1"/>
  <c r="BT503" i="1"/>
  <c r="BU503" i="1"/>
  <c r="BV503" i="1"/>
  <c r="BW503" i="1"/>
  <c r="BX503" i="1"/>
  <c r="BY503" i="1"/>
  <c r="BZ503" i="1"/>
  <c r="CA503" i="1"/>
  <c r="CB503" i="1"/>
  <c r="CC503" i="1"/>
  <c r="CD503" i="1"/>
  <c r="CE503" i="1"/>
  <c r="CF503" i="1"/>
  <c r="CG503" i="1"/>
  <c r="CH503" i="1"/>
  <c r="CI503" i="1"/>
  <c r="CJ503" i="1"/>
  <c r="CK503" i="1"/>
  <c r="BM504" i="1"/>
  <c r="BN504" i="1"/>
  <c r="BO504" i="1"/>
  <c r="BP504" i="1"/>
  <c r="BQ504" i="1"/>
  <c r="BR504" i="1"/>
  <c r="BS504" i="1"/>
  <c r="BT504" i="1"/>
  <c r="BU504" i="1"/>
  <c r="BV504" i="1"/>
  <c r="BW504" i="1"/>
  <c r="BX504" i="1"/>
  <c r="BY504" i="1"/>
  <c r="BZ504" i="1"/>
  <c r="CA504" i="1"/>
  <c r="CB504" i="1"/>
  <c r="CC504" i="1"/>
  <c r="CD504" i="1"/>
  <c r="CE504" i="1"/>
  <c r="CF504" i="1"/>
  <c r="CG504" i="1"/>
  <c r="CH504" i="1"/>
  <c r="CI504" i="1"/>
  <c r="CJ504" i="1"/>
  <c r="CK504" i="1"/>
  <c r="BM505" i="1"/>
  <c r="BN505" i="1"/>
  <c r="BO505" i="1"/>
  <c r="BP505" i="1"/>
  <c r="BQ505" i="1"/>
  <c r="BR505" i="1"/>
  <c r="BS505" i="1"/>
  <c r="BT505" i="1"/>
  <c r="BU505" i="1"/>
  <c r="BV505" i="1"/>
  <c r="BW505" i="1"/>
  <c r="BX505" i="1"/>
  <c r="BY505" i="1"/>
  <c r="BZ505" i="1"/>
  <c r="CA505" i="1"/>
  <c r="CB505" i="1"/>
  <c r="CC505" i="1"/>
  <c r="CD505" i="1"/>
  <c r="CE505" i="1"/>
  <c r="CF505" i="1"/>
  <c r="CG505" i="1"/>
  <c r="CH505" i="1"/>
  <c r="CI505" i="1"/>
  <c r="CJ505" i="1"/>
  <c r="CK505" i="1"/>
  <c r="BM506" i="1"/>
  <c r="BN506" i="1"/>
  <c r="BO506" i="1"/>
  <c r="BP506" i="1"/>
  <c r="BQ506" i="1"/>
  <c r="BR506" i="1"/>
  <c r="BS506" i="1"/>
  <c r="BT506" i="1"/>
  <c r="BU506" i="1"/>
  <c r="BV506" i="1"/>
  <c r="BW506" i="1"/>
  <c r="BX506" i="1"/>
  <c r="BY506" i="1"/>
  <c r="BZ506" i="1"/>
  <c r="CA506" i="1"/>
  <c r="CB506" i="1"/>
  <c r="CC506" i="1"/>
  <c r="CD506" i="1"/>
  <c r="CE506" i="1"/>
  <c r="CF506" i="1"/>
  <c r="CG506" i="1"/>
  <c r="CH506" i="1"/>
  <c r="CI506" i="1"/>
  <c r="CJ506" i="1"/>
  <c r="CK506" i="1"/>
  <c r="BM507" i="1"/>
  <c r="BN507" i="1"/>
  <c r="BO507" i="1"/>
  <c r="BP507" i="1"/>
  <c r="BQ507" i="1"/>
  <c r="BR507" i="1"/>
  <c r="BS507" i="1"/>
  <c r="BT507" i="1"/>
  <c r="BU507" i="1"/>
  <c r="BV507" i="1"/>
  <c r="BW507" i="1"/>
  <c r="BX507" i="1"/>
  <c r="BY507" i="1"/>
  <c r="BZ507" i="1"/>
  <c r="CA507" i="1"/>
  <c r="CB507" i="1"/>
  <c r="CC507" i="1"/>
  <c r="CD507" i="1"/>
  <c r="CE507" i="1"/>
  <c r="CF507" i="1"/>
  <c r="CG507" i="1"/>
  <c r="CH507" i="1"/>
  <c r="CI507" i="1"/>
  <c r="CJ507" i="1"/>
  <c r="CK507" i="1"/>
  <c r="BM508" i="1"/>
  <c r="BN508" i="1"/>
  <c r="BO508" i="1"/>
  <c r="BP508" i="1"/>
  <c r="BQ508" i="1"/>
  <c r="BR508" i="1"/>
  <c r="BS508" i="1"/>
  <c r="BT508" i="1"/>
  <c r="BU508" i="1"/>
  <c r="BV508" i="1"/>
  <c r="BW508" i="1"/>
  <c r="BX508" i="1"/>
  <c r="BY508" i="1"/>
  <c r="BZ508" i="1"/>
  <c r="CA508" i="1"/>
  <c r="CB508" i="1"/>
  <c r="CC508" i="1"/>
  <c r="CD508" i="1"/>
  <c r="CE508" i="1"/>
  <c r="CF508" i="1"/>
  <c r="CG508" i="1"/>
  <c r="CH508" i="1"/>
  <c r="CI508" i="1"/>
  <c r="CJ508" i="1"/>
  <c r="CK508" i="1"/>
  <c r="BM509" i="1"/>
  <c r="BN509" i="1"/>
  <c r="BO509" i="1"/>
  <c r="BP509" i="1"/>
  <c r="BQ509" i="1"/>
  <c r="BR509" i="1"/>
  <c r="BS509" i="1"/>
  <c r="BT509" i="1"/>
  <c r="BU509" i="1"/>
  <c r="BV509" i="1"/>
  <c r="BW509" i="1"/>
  <c r="BX509" i="1"/>
  <c r="BY509" i="1"/>
  <c r="BZ509" i="1"/>
  <c r="CA509" i="1"/>
  <c r="CB509" i="1"/>
  <c r="CC509" i="1"/>
  <c r="CD509" i="1"/>
  <c r="CE509" i="1"/>
  <c r="CF509" i="1"/>
  <c r="CG509" i="1"/>
  <c r="CH509" i="1"/>
  <c r="CI509" i="1"/>
  <c r="CJ509" i="1"/>
  <c r="CK509" i="1"/>
  <c r="BM510" i="1"/>
  <c r="BN510" i="1"/>
  <c r="BO510" i="1"/>
  <c r="BP510" i="1"/>
  <c r="BQ510" i="1"/>
  <c r="BR510" i="1"/>
  <c r="BS510" i="1"/>
  <c r="BT510" i="1"/>
  <c r="BU510" i="1"/>
  <c r="BV510" i="1"/>
  <c r="BW510" i="1"/>
  <c r="BX510" i="1"/>
  <c r="BY510" i="1"/>
  <c r="BZ510" i="1"/>
  <c r="CA510" i="1"/>
  <c r="CB510" i="1"/>
  <c r="CC510" i="1"/>
  <c r="CD510" i="1"/>
  <c r="CE510" i="1"/>
  <c r="CF510" i="1"/>
  <c r="CG510" i="1"/>
  <c r="CH510" i="1"/>
  <c r="CI510" i="1"/>
  <c r="CJ510" i="1"/>
  <c r="CK510" i="1"/>
  <c r="BM511" i="1"/>
  <c r="BN511" i="1"/>
  <c r="BO511" i="1"/>
  <c r="BP511" i="1"/>
  <c r="BQ511" i="1"/>
  <c r="BR511" i="1"/>
  <c r="BS511" i="1"/>
  <c r="BT511" i="1"/>
  <c r="BU511" i="1"/>
  <c r="BV511" i="1"/>
  <c r="BW511" i="1"/>
  <c r="BX511" i="1"/>
  <c r="BY511" i="1"/>
  <c r="BZ511" i="1"/>
  <c r="CA511" i="1"/>
  <c r="CB511" i="1"/>
  <c r="CC511" i="1"/>
  <c r="CD511" i="1"/>
  <c r="CE511" i="1"/>
  <c r="CF511" i="1"/>
  <c r="CG511" i="1"/>
  <c r="CH511" i="1"/>
  <c r="CI511" i="1"/>
  <c r="CJ511" i="1"/>
  <c r="CK511" i="1"/>
  <c r="BM512" i="1"/>
  <c r="BN512" i="1"/>
  <c r="BO512" i="1"/>
  <c r="BP512" i="1"/>
  <c r="BQ512" i="1"/>
  <c r="BR512" i="1"/>
  <c r="BS512" i="1"/>
  <c r="BT512" i="1"/>
  <c r="BU512" i="1"/>
  <c r="BV512" i="1"/>
  <c r="BW512" i="1"/>
  <c r="BX512" i="1"/>
  <c r="BY512" i="1"/>
  <c r="BZ512" i="1"/>
  <c r="CA512" i="1"/>
  <c r="CB512" i="1"/>
  <c r="CC512" i="1"/>
  <c r="CD512" i="1"/>
  <c r="CE512" i="1"/>
  <c r="CF512" i="1"/>
  <c r="CG512" i="1"/>
  <c r="CH512" i="1"/>
  <c r="CI512" i="1"/>
  <c r="CJ512" i="1"/>
  <c r="CK512" i="1"/>
  <c r="BM513" i="1"/>
  <c r="BN513" i="1"/>
  <c r="BO513" i="1"/>
  <c r="BP513" i="1"/>
  <c r="BQ513" i="1"/>
  <c r="BR513" i="1"/>
  <c r="BS513" i="1"/>
  <c r="BT513" i="1"/>
  <c r="BU513" i="1"/>
  <c r="BV513" i="1"/>
  <c r="BW513" i="1"/>
  <c r="BX513" i="1"/>
  <c r="BY513" i="1"/>
  <c r="BZ513" i="1"/>
  <c r="CA513" i="1"/>
  <c r="CB513" i="1"/>
  <c r="CC513" i="1"/>
  <c r="CD513" i="1"/>
  <c r="CE513" i="1"/>
  <c r="CF513" i="1"/>
  <c r="CG513" i="1"/>
  <c r="CH513" i="1"/>
  <c r="CI513" i="1"/>
  <c r="CJ513" i="1"/>
  <c r="CK513" i="1"/>
  <c r="BM514" i="1"/>
  <c r="BN514" i="1"/>
  <c r="BO514" i="1"/>
  <c r="BP514" i="1"/>
  <c r="BQ514" i="1"/>
  <c r="BR514" i="1"/>
  <c r="BS514" i="1"/>
  <c r="BT514" i="1"/>
  <c r="BU514" i="1"/>
  <c r="BV514" i="1"/>
  <c r="BW514" i="1"/>
  <c r="BX514" i="1"/>
  <c r="BY514" i="1"/>
  <c r="BZ514" i="1"/>
  <c r="CA514" i="1"/>
  <c r="CB514" i="1"/>
  <c r="CC514" i="1"/>
  <c r="CD514" i="1"/>
  <c r="CE514" i="1"/>
  <c r="CF514" i="1"/>
  <c r="CG514" i="1"/>
  <c r="CH514" i="1"/>
  <c r="CI514" i="1"/>
  <c r="CJ514" i="1"/>
  <c r="CK514" i="1"/>
  <c r="BM515" i="1"/>
  <c r="BN515" i="1"/>
  <c r="BO515" i="1"/>
  <c r="BP515" i="1"/>
  <c r="BQ515" i="1"/>
  <c r="BR515" i="1"/>
  <c r="BS515" i="1"/>
  <c r="BT515" i="1"/>
  <c r="BU515" i="1"/>
  <c r="BV515" i="1"/>
  <c r="BW515" i="1"/>
  <c r="BX515" i="1"/>
  <c r="BY515" i="1"/>
  <c r="BZ515" i="1"/>
  <c r="CA515" i="1"/>
  <c r="CB515" i="1"/>
  <c r="CC515" i="1"/>
  <c r="CD515" i="1"/>
  <c r="CE515" i="1"/>
  <c r="CF515" i="1"/>
  <c r="CG515" i="1"/>
  <c r="CH515" i="1"/>
  <c r="CI515" i="1"/>
  <c r="CJ515" i="1"/>
  <c r="CK515" i="1"/>
  <c r="BM516" i="1"/>
  <c r="BN516" i="1"/>
  <c r="BO516" i="1"/>
  <c r="BP516" i="1"/>
  <c r="BQ516" i="1"/>
  <c r="BR516" i="1"/>
  <c r="BS516" i="1"/>
  <c r="BT516" i="1"/>
  <c r="BU516" i="1"/>
  <c r="BV516" i="1"/>
  <c r="BW516" i="1"/>
  <c r="BX516" i="1"/>
  <c r="BY516" i="1"/>
  <c r="BZ516" i="1"/>
  <c r="CA516" i="1"/>
  <c r="CB516" i="1"/>
  <c r="CC516" i="1"/>
  <c r="CD516" i="1"/>
  <c r="CE516" i="1"/>
  <c r="CF516" i="1"/>
  <c r="CG516" i="1"/>
  <c r="CH516" i="1"/>
  <c r="CI516" i="1"/>
  <c r="CJ516" i="1"/>
  <c r="CK516" i="1"/>
  <c r="BM517" i="1"/>
  <c r="BN517" i="1"/>
  <c r="BO517" i="1"/>
  <c r="BP517" i="1"/>
  <c r="BQ517" i="1"/>
  <c r="BR517" i="1"/>
  <c r="BS517" i="1"/>
  <c r="BT517" i="1"/>
  <c r="BU517" i="1"/>
  <c r="BV517" i="1"/>
  <c r="BW517" i="1"/>
  <c r="BX517" i="1"/>
  <c r="BY517" i="1"/>
  <c r="BZ517" i="1"/>
  <c r="CA517" i="1"/>
  <c r="CB517" i="1"/>
  <c r="CC517" i="1"/>
  <c r="CD517" i="1"/>
  <c r="CE517" i="1"/>
  <c r="CF517" i="1"/>
  <c r="CG517" i="1"/>
  <c r="CH517" i="1"/>
  <c r="CI517" i="1"/>
  <c r="CJ517" i="1"/>
  <c r="CK517" i="1"/>
  <c r="BM518" i="1"/>
  <c r="BN518" i="1"/>
  <c r="BO518" i="1"/>
  <c r="BP518" i="1"/>
  <c r="BQ518" i="1"/>
  <c r="BR518" i="1"/>
  <c r="BS518" i="1"/>
  <c r="BT518" i="1"/>
  <c r="BU518" i="1"/>
  <c r="BV518" i="1"/>
  <c r="BW518" i="1"/>
  <c r="BX518" i="1"/>
  <c r="BY518" i="1"/>
  <c r="BZ518" i="1"/>
  <c r="CA518" i="1"/>
  <c r="CB518" i="1"/>
  <c r="CC518" i="1"/>
  <c r="CD518" i="1"/>
  <c r="CE518" i="1"/>
  <c r="CF518" i="1"/>
  <c r="CG518" i="1"/>
  <c r="CH518" i="1"/>
  <c r="CI518" i="1"/>
  <c r="CJ518" i="1"/>
  <c r="CK518" i="1"/>
  <c r="BM519" i="1"/>
  <c r="BN519" i="1"/>
  <c r="BO519" i="1"/>
  <c r="BP519" i="1"/>
  <c r="BQ519" i="1"/>
  <c r="BR519" i="1"/>
  <c r="BS519" i="1"/>
  <c r="BT519" i="1"/>
  <c r="BU519" i="1"/>
  <c r="BV519" i="1"/>
  <c r="BW519" i="1"/>
  <c r="BX519" i="1"/>
  <c r="BY519" i="1"/>
  <c r="BZ519" i="1"/>
  <c r="CA519" i="1"/>
  <c r="CB519" i="1"/>
  <c r="CC519" i="1"/>
  <c r="CD519" i="1"/>
  <c r="CE519" i="1"/>
  <c r="CF519" i="1"/>
  <c r="CG519" i="1"/>
  <c r="CH519" i="1"/>
  <c r="CI519" i="1"/>
  <c r="CJ519" i="1"/>
  <c r="CK519" i="1"/>
  <c r="BM520" i="1"/>
  <c r="BN520" i="1"/>
  <c r="BO520" i="1"/>
  <c r="BP520" i="1"/>
  <c r="BQ520" i="1"/>
  <c r="BR520" i="1"/>
  <c r="BS520" i="1"/>
  <c r="BT520" i="1"/>
  <c r="BU520" i="1"/>
  <c r="BV520" i="1"/>
  <c r="BW520" i="1"/>
  <c r="BX520" i="1"/>
  <c r="BY520" i="1"/>
  <c r="BZ520" i="1"/>
  <c r="CA520" i="1"/>
  <c r="CB520" i="1"/>
  <c r="CC520" i="1"/>
  <c r="CD520" i="1"/>
  <c r="CE520" i="1"/>
  <c r="CF520" i="1"/>
  <c r="CG520" i="1"/>
  <c r="CH520" i="1"/>
  <c r="CI520" i="1"/>
  <c r="CJ520" i="1"/>
  <c r="CK520" i="1"/>
  <c r="BM521" i="1"/>
  <c r="BN521" i="1"/>
  <c r="BO521" i="1"/>
  <c r="BP521" i="1"/>
  <c r="BQ521" i="1"/>
  <c r="BR521" i="1"/>
  <c r="BS521" i="1"/>
  <c r="BT521" i="1"/>
  <c r="BU521" i="1"/>
  <c r="BV521" i="1"/>
  <c r="BW521" i="1"/>
  <c r="BX521" i="1"/>
  <c r="BY521" i="1"/>
  <c r="BZ521" i="1"/>
  <c r="CA521" i="1"/>
  <c r="CB521" i="1"/>
  <c r="CC521" i="1"/>
  <c r="CD521" i="1"/>
  <c r="CE521" i="1"/>
  <c r="CF521" i="1"/>
  <c r="CG521" i="1"/>
  <c r="CH521" i="1"/>
  <c r="CI521" i="1"/>
  <c r="CJ521" i="1"/>
  <c r="CK521" i="1"/>
  <c r="BM522" i="1"/>
  <c r="BN522" i="1"/>
  <c r="BO522" i="1"/>
  <c r="BP522" i="1"/>
  <c r="BQ522" i="1"/>
  <c r="BR522" i="1"/>
  <c r="BS522" i="1"/>
  <c r="BT522" i="1"/>
  <c r="BU522" i="1"/>
  <c r="BV522" i="1"/>
  <c r="BW522" i="1"/>
  <c r="BX522" i="1"/>
  <c r="BY522" i="1"/>
  <c r="BZ522" i="1"/>
  <c r="CA522" i="1"/>
  <c r="CB522" i="1"/>
  <c r="CC522" i="1"/>
  <c r="CD522" i="1"/>
  <c r="CE522" i="1"/>
  <c r="CF522" i="1"/>
  <c r="CG522" i="1"/>
  <c r="CH522" i="1"/>
  <c r="CI522" i="1"/>
  <c r="CJ522" i="1"/>
  <c r="CK522" i="1"/>
  <c r="BM523" i="1"/>
  <c r="BN523" i="1"/>
  <c r="BO523" i="1"/>
  <c r="BP523" i="1"/>
  <c r="BQ523" i="1"/>
  <c r="BR523" i="1"/>
  <c r="BS523" i="1"/>
  <c r="BT523" i="1"/>
  <c r="BU523" i="1"/>
  <c r="BV523" i="1"/>
  <c r="BW523" i="1"/>
  <c r="BX523" i="1"/>
  <c r="BY523" i="1"/>
  <c r="BZ523" i="1"/>
  <c r="CA523" i="1"/>
  <c r="CB523" i="1"/>
  <c r="CC523" i="1"/>
  <c r="CD523" i="1"/>
  <c r="CE523" i="1"/>
  <c r="CF523" i="1"/>
  <c r="CG523" i="1"/>
  <c r="CH523" i="1"/>
  <c r="CI523" i="1"/>
  <c r="CJ523" i="1"/>
  <c r="CK523" i="1"/>
  <c r="BM524" i="1"/>
  <c r="BN524" i="1"/>
  <c r="BO524" i="1"/>
  <c r="BP524" i="1"/>
  <c r="BQ524" i="1"/>
  <c r="BR524" i="1"/>
  <c r="BS524" i="1"/>
  <c r="BT524" i="1"/>
  <c r="BU524" i="1"/>
  <c r="BV524" i="1"/>
  <c r="BW524" i="1"/>
  <c r="BX524" i="1"/>
  <c r="BY524" i="1"/>
  <c r="BZ524" i="1"/>
  <c r="CA524" i="1"/>
  <c r="CB524" i="1"/>
  <c r="CC524" i="1"/>
  <c r="CD524" i="1"/>
  <c r="CE524" i="1"/>
  <c r="CF524" i="1"/>
  <c r="CG524" i="1"/>
  <c r="CH524" i="1"/>
  <c r="CI524" i="1"/>
  <c r="CJ524" i="1"/>
  <c r="CK524" i="1"/>
  <c r="BM525" i="1"/>
  <c r="BN525" i="1"/>
  <c r="BO525" i="1"/>
  <c r="BP525" i="1"/>
  <c r="BQ525" i="1"/>
  <c r="BR525" i="1"/>
  <c r="BS525" i="1"/>
  <c r="BT525" i="1"/>
  <c r="BU525" i="1"/>
  <c r="BV525" i="1"/>
  <c r="BW525" i="1"/>
  <c r="BX525" i="1"/>
  <c r="BY525" i="1"/>
  <c r="BZ525" i="1"/>
  <c r="CA525" i="1"/>
  <c r="CB525" i="1"/>
  <c r="CC525" i="1"/>
  <c r="CD525" i="1"/>
  <c r="CE525" i="1"/>
  <c r="CF525" i="1"/>
  <c r="CG525" i="1"/>
  <c r="CH525" i="1"/>
  <c r="CI525" i="1"/>
  <c r="CJ525" i="1"/>
  <c r="CK525" i="1"/>
  <c r="BM526" i="1"/>
  <c r="BN526" i="1"/>
  <c r="BO526" i="1"/>
  <c r="BP526" i="1"/>
  <c r="BQ526" i="1"/>
  <c r="BR526" i="1"/>
  <c r="BS526" i="1"/>
  <c r="BT526" i="1"/>
  <c r="BU526" i="1"/>
  <c r="BV526" i="1"/>
  <c r="BW526" i="1"/>
  <c r="BX526" i="1"/>
  <c r="BY526" i="1"/>
  <c r="BZ526" i="1"/>
  <c r="CA526" i="1"/>
  <c r="CB526" i="1"/>
  <c r="CC526" i="1"/>
  <c r="CD526" i="1"/>
  <c r="CE526" i="1"/>
  <c r="CF526" i="1"/>
  <c r="CG526" i="1"/>
  <c r="CH526" i="1"/>
  <c r="CI526" i="1"/>
  <c r="CJ526" i="1"/>
  <c r="CK526" i="1"/>
  <c r="BM527" i="1"/>
  <c r="BN527" i="1"/>
  <c r="BO527" i="1"/>
  <c r="BP527" i="1"/>
  <c r="BQ527" i="1"/>
  <c r="BR527" i="1"/>
  <c r="BS527" i="1"/>
  <c r="BT527" i="1"/>
  <c r="BU527" i="1"/>
  <c r="BV527" i="1"/>
  <c r="BW527" i="1"/>
  <c r="BX527" i="1"/>
  <c r="BY527" i="1"/>
  <c r="BZ527" i="1"/>
  <c r="CA527" i="1"/>
  <c r="CB527" i="1"/>
  <c r="CC527" i="1"/>
  <c r="CD527" i="1"/>
  <c r="CE527" i="1"/>
  <c r="CF527" i="1"/>
  <c r="CG527" i="1"/>
  <c r="CH527" i="1"/>
  <c r="CI527" i="1"/>
  <c r="CJ527" i="1"/>
  <c r="CK527" i="1"/>
  <c r="BM528" i="1"/>
  <c r="BN528" i="1"/>
  <c r="BO528" i="1"/>
  <c r="BP528" i="1"/>
  <c r="BQ528" i="1"/>
  <c r="BR528" i="1"/>
  <c r="BS528" i="1"/>
  <c r="BT528" i="1"/>
  <c r="BU528" i="1"/>
  <c r="BV528" i="1"/>
  <c r="BW528" i="1"/>
  <c r="BX528" i="1"/>
  <c r="BY528" i="1"/>
  <c r="BZ528" i="1"/>
  <c r="CA528" i="1"/>
  <c r="CB528" i="1"/>
  <c r="CC528" i="1"/>
  <c r="CD528" i="1"/>
  <c r="CE528" i="1"/>
  <c r="CF528" i="1"/>
  <c r="CG528" i="1"/>
  <c r="CH528" i="1"/>
  <c r="CI528" i="1"/>
  <c r="CJ528" i="1"/>
  <c r="CK528" i="1"/>
  <c r="BM529" i="1"/>
  <c r="BN529" i="1"/>
  <c r="BO529" i="1"/>
  <c r="BP529" i="1"/>
  <c r="BQ529" i="1"/>
  <c r="BR529" i="1"/>
  <c r="BS529" i="1"/>
  <c r="BT529" i="1"/>
  <c r="BU529" i="1"/>
  <c r="BV529" i="1"/>
  <c r="BW529" i="1"/>
  <c r="BX529" i="1"/>
  <c r="BY529" i="1"/>
  <c r="BZ529" i="1"/>
  <c r="CA529" i="1"/>
  <c r="CB529" i="1"/>
  <c r="CC529" i="1"/>
  <c r="CD529" i="1"/>
  <c r="CE529" i="1"/>
  <c r="CF529" i="1"/>
  <c r="CG529" i="1"/>
  <c r="CH529" i="1"/>
  <c r="CI529" i="1"/>
  <c r="CJ529" i="1"/>
  <c r="CK529" i="1"/>
  <c r="BM530" i="1"/>
  <c r="BN530" i="1"/>
  <c r="BO530" i="1"/>
  <c r="BP530" i="1"/>
  <c r="BQ530" i="1"/>
  <c r="BR530" i="1"/>
  <c r="BS530" i="1"/>
  <c r="BT530" i="1"/>
  <c r="BU530" i="1"/>
  <c r="BV530" i="1"/>
  <c r="BW530" i="1"/>
  <c r="BX530" i="1"/>
  <c r="BY530" i="1"/>
  <c r="BZ530" i="1"/>
  <c r="CA530" i="1"/>
  <c r="CB530" i="1"/>
  <c r="CC530" i="1"/>
  <c r="CD530" i="1"/>
  <c r="CE530" i="1"/>
  <c r="CF530" i="1"/>
  <c r="CG530" i="1"/>
  <c r="CH530" i="1"/>
  <c r="CI530" i="1"/>
  <c r="CJ530" i="1"/>
  <c r="CK530" i="1"/>
  <c r="BM531" i="1"/>
  <c r="BN531" i="1"/>
  <c r="BO531" i="1"/>
  <c r="BP531" i="1"/>
  <c r="BQ531" i="1"/>
  <c r="BR531" i="1"/>
  <c r="BS531" i="1"/>
  <c r="BT531" i="1"/>
  <c r="BU531" i="1"/>
  <c r="BV531" i="1"/>
  <c r="BW531" i="1"/>
  <c r="BX531" i="1"/>
  <c r="BY531" i="1"/>
  <c r="BZ531" i="1"/>
  <c r="CA531" i="1"/>
  <c r="CB531" i="1"/>
  <c r="CC531" i="1"/>
  <c r="CD531" i="1"/>
  <c r="CE531" i="1"/>
  <c r="CF531" i="1"/>
  <c r="CG531" i="1"/>
  <c r="CH531" i="1"/>
  <c r="CI531" i="1"/>
  <c r="CJ531" i="1"/>
  <c r="CK531" i="1"/>
  <c r="BM532" i="1"/>
  <c r="BN532" i="1"/>
  <c r="BO532" i="1"/>
  <c r="BP532" i="1"/>
  <c r="BQ532" i="1"/>
  <c r="BR532" i="1"/>
  <c r="BS532" i="1"/>
  <c r="BT532" i="1"/>
  <c r="BU532" i="1"/>
  <c r="BV532" i="1"/>
  <c r="BW532" i="1"/>
  <c r="BX532" i="1"/>
  <c r="BY532" i="1"/>
  <c r="BZ532" i="1"/>
  <c r="CA532" i="1"/>
  <c r="CB532" i="1"/>
  <c r="CC532" i="1"/>
  <c r="CD532" i="1"/>
  <c r="CE532" i="1"/>
  <c r="CF532" i="1"/>
  <c r="CG532" i="1"/>
  <c r="CH532" i="1"/>
  <c r="CI532" i="1"/>
  <c r="CJ532" i="1"/>
  <c r="CK532" i="1"/>
  <c r="BM533" i="1"/>
  <c r="BN533" i="1"/>
  <c r="BO533" i="1"/>
  <c r="BP533" i="1"/>
  <c r="BQ533" i="1"/>
  <c r="BR533" i="1"/>
  <c r="BS533" i="1"/>
  <c r="BT533" i="1"/>
  <c r="BU533" i="1"/>
  <c r="BV533" i="1"/>
  <c r="BW533" i="1"/>
  <c r="BX533" i="1"/>
  <c r="BY533" i="1"/>
  <c r="BZ533" i="1"/>
  <c r="CA533" i="1"/>
  <c r="CB533" i="1"/>
  <c r="CC533" i="1"/>
  <c r="CD533" i="1"/>
  <c r="CE533" i="1"/>
  <c r="CF533" i="1"/>
  <c r="CG533" i="1"/>
  <c r="CH533" i="1"/>
  <c r="CI533" i="1"/>
  <c r="CJ533" i="1"/>
  <c r="CK533" i="1"/>
  <c r="BM534" i="1"/>
  <c r="BN534" i="1"/>
  <c r="BO534" i="1"/>
  <c r="BP534" i="1"/>
  <c r="BQ534" i="1"/>
  <c r="BR534" i="1"/>
  <c r="BS534" i="1"/>
  <c r="BT534" i="1"/>
  <c r="BU534" i="1"/>
  <c r="BV534" i="1"/>
  <c r="BW534" i="1"/>
  <c r="BX534" i="1"/>
  <c r="BY534" i="1"/>
  <c r="BZ534" i="1"/>
  <c r="CA534" i="1"/>
  <c r="CB534" i="1"/>
  <c r="CC534" i="1"/>
  <c r="CD534" i="1"/>
  <c r="CE534" i="1"/>
  <c r="CF534" i="1"/>
  <c r="CG534" i="1"/>
  <c r="CH534" i="1"/>
  <c r="CI534" i="1"/>
  <c r="CJ534" i="1"/>
  <c r="CK534" i="1"/>
  <c r="BM535" i="1"/>
  <c r="BN535" i="1"/>
  <c r="BO535" i="1"/>
  <c r="BP535" i="1"/>
  <c r="BQ535" i="1"/>
  <c r="BR535" i="1"/>
  <c r="BS535" i="1"/>
  <c r="BT535" i="1"/>
  <c r="BU535" i="1"/>
  <c r="BV535" i="1"/>
  <c r="BW535" i="1"/>
  <c r="BX535" i="1"/>
  <c r="BY535" i="1"/>
  <c r="BZ535" i="1"/>
  <c r="CA535" i="1"/>
  <c r="CB535" i="1"/>
  <c r="CC535" i="1"/>
  <c r="CD535" i="1"/>
  <c r="CE535" i="1"/>
  <c r="CF535" i="1"/>
  <c r="CG535" i="1"/>
  <c r="CH535" i="1"/>
  <c r="CI535" i="1"/>
  <c r="CJ535" i="1"/>
  <c r="CK535" i="1"/>
  <c r="BM536" i="1"/>
  <c r="BN536" i="1"/>
  <c r="BO536" i="1"/>
  <c r="BP536" i="1"/>
  <c r="BQ536" i="1"/>
  <c r="BR536" i="1"/>
  <c r="BS536" i="1"/>
  <c r="BT536" i="1"/>
  <c r="BU536" i="1"/>
  <c r="BV536" i="1"/>
  <c r="BW536" i="1"/>
  <c r="BX536" i="1"/>
  <c r="BY536" i="1"/>
  <c r="BZ536" i="1"/>
  <c r="CA536" i="1"/>
  <c r="CB536" i="1"/>
  <c r="CC536" i="1"/>
  <c r="CD536" i="1"/>
  <c r="CE536" i="1"/>
  <c r="CF536" i="1"/>
  <c r="CG536" i="1"/>
  <c r="CH536" i="1"/>
  <c r="CI536" i="1"/>
  <c r="CJ536" i="1"/>
  <c r="CK536" i="1"/>
  <c r="BM537" i="1"/>
  <c r="BN537" i="1"/>
  <c r="BO537" i="1"/>
  <c r="BP537" i="1"/>
  <c r="BQ537" i="1"/>
  <c r="BR537" i="1"/>
  <c r="BS537" i="1"/>
  <c r="BT537" i="1"/>
  <c r="BU537" i="1"/>
  <c r="BV537" i="1"/>
  <c r="BW537" i="1"/>
  <c r="BX537" i="1"/>
  <c r="BY537" i="1"/>
  <c r="BZ537" i="1"/>
  <c r="CA537" i="1"/>
  <c r="CB537" i="1"/>
  <c r="CC537" i="1"/>
  <c r="CD537" i="1"/>
  <c r="CE537" i="1"/>
  <c r="CF537" i="1"/>
  <c r="CG537" i="1"/>
  <c r="CH537" i="1"/>
  <c r="CI537" i="1"/>
  <c r="CJ537" i="1"/>
  <c r="CK537" i="1"/>
  <c r="BM538" i="1"/>
  <c r="BN538" i="1"/>
  <c r="BO538" i="1"/>
  <c r="BP538" i="1"/>
  <c r="BQ538" i="1"/>
  <c r="BR538" i="1"/>
  <c r="BS538" i="1"/>
  <c r="BT538" i="1"/>
  <c r="BU538" i="1"/>
  <c r="BV538" i="1"/>
  <c r="BW538" i="1"/>
  <c r="BX538" i="1"/>
  <c r="BY538" i="1"/>
  <c r="BZ538" i="1"/>
  <c r="CA538" i="1"/>
  <c r="CB538" i="1"/>
  <c r="CC538" i="1"/>
  <c r="CD538" i="1"/>
  <c r="CE538" i="1"/>
  <c r="CF538" i="1"/>
  <c r="CG538" i="1"/>
  <c r="CH538" i="1"/>
  <c r="CI538" i="1"/>
  <c r="CJ538" i="1"/>
  <c r="CK538" i="1"/>
  <c r="BM539" i="1"/>
  <c r="BN539" i="1"/>
  <c r="BO539" i="1"/>
  <c r="BP539" i="1"/>
  <c r="BQ539" i="1"/>
  <c r="BR539" i="1"/>
  <c r="BS539" i="1"/>
  <c r="BT539" i="1"/>
  <c r="BU539" i="1"/>
  <c r="BV539" i="1"/>
  <c r="BW539" i="1"/>
  <c r="BX539" i="1"/>
  <c r="BY539" i="1"/>
  <c r="BZ539" i="1"/>
  <c r="CA539" i="1"/>
  <c r="CB539" i="1"/>
  <c r="CC539" i="1"/>
  <c r="CD539" i="1"/>
  <c r="CE539" i="1"/>
  <c r="CF539" i="1"/>
  <c r="CG539" i="1"/>
  <c r="CH539" i="1"/>
  <c r="CI539" i="1"/>
  <c r="CJ539" i="1"/>
  <c r="CK539" i="1"/>
  <c r="BM540" i="1"/>
  <c r="BN540" i="1"/>
  <c r="BO540" i="1"/>
  <c r="BP540" i="1"/>
  <c r="BQ540" i="1"/>
  <c r="BR540" i="1"/>
  <c r="BS540" i="1"/>
  <c r="BT540" i="1"/>
  <c r="BU540" i="1"/>
  <c r="BV540" i="1"/>
  <c r="BW540" i="1"/>
  <c r="BX540" i="1"/>
  <c r="BY540" i="1"/>
  <c r="BZ540" i="1"/>
  <c r="CA540" i="1"/>
  <c r="CB540" i="1"/>
  <c r="CC540" i="1"/>
  <c r="CD540" i="1"/>
  <c r="CE540" i="1"/>
  <c r="CF540" i="1"/>
  <c r="CG540" i="1"/>
  <c r="CH540" i="1"/>
  <c r="CI540" i="1"/>
  <c r="CJ540" i="1"/>
  <c r="CK540" i="1"/>
  <c r="BM541" i="1"/>
  <c r="BN541" i="1"/>
  <c r="BO541" i="1"/>
  <c r="BP541" i="1"/>
  <c r="BQ541" i="1"/>
  <c r="BR541" i="1"/>
  <c r="BS541" i="1"/>
  <c r="BT541" i="1"/>
  <c r="BU541" i="1"/>
  <c r="BV541" i="1"/>
  <c r="BW541" i="1"/>
  <c r="BX541" i="1"/>
  <c r="BY541" i="1"/>
  <c r="BZ541" i="1"/>
  <c r="CA541" i="1"/>
  <c r="CB541" i="1"/>
  <c r="CC541" i="1"/>
  <c r="CD541" i="1"/>
  <c r="CE541" i="1"/>
  <c r="CF541" i="1"/>
  <c r="CG541" i="1"/>
  <c r="CH541" i="1"/>
  <c r="CI541" i="1"/>
  <c r="CJ541" i="1"/>
  <c r="CK541" i="1"/>
  <c r="BM542" i="1"/>
  <c r="BN542" i="1"/>
  <c r="BO542" i="1"/>
  <c r="BP542" i="1"/>
  <c r="BQ542" i="1"/>
  <c r="BR542" i="1"/>
  <c r="BS542" i="1"/>
  <c r="BT542" i="1"/>
  <c r="BU542" i="1"/>
  <c r="BV542" i="1"/>
  <c r="BW542" i="1"/>
  <c r="BX542" i="1"/>
  <c r="BY542" i="1"/>
  <c r="BZ542" i="1"/>
  <c r="CA542" i="1"/>
  <c r="CB542" i="1"/>
  <c r="CC542" i="1"/>
  <c r="CD542" i="1"/>
  <c r="CE542" i="1"/>
  <c r="CF542" i="1"/>
  <c r="CG542" i="1"/>
  <c r="CH542" i="1"/>
  <c r="CI542" i="1"/>
  <c r="CJ542" i="1"/>
  <c r="CK542" i="1"/>
  <c r="BM543" i="1"/>
  <c r="BN543" i="1"/>
  <c r="BO543" i="1"/>
  <c r="BP543" i="1"/>
  <c r="BQ543" i="1"/>
  <c r="BR543" i="1"/>
  <c r="BS543" i="1"/>
  <c r="BT543" i="1"/>
  <c r="BU543" i="1"/>
  <c r="BV543" i="1"/>
  <c r="BW543" i="1"/>
  <c r="BX543" i="1"/>
  <c r="BY543" i="1"/>
  <c r="BZ543" i="1"/>
  <c r="CA543" i="1"/>
  <c r="CB543" i="1"/>
  <c r="CC543" i="1"/>
  <c r="CD543" i="1"/>
  <c r="CE543" i="1"/>
  <c r="CF543" i="1"/>
  <c r="CG543" i="1"/>
  <c r="CH543" i="1"/>
  <c r="CI543" i="1"/>
  <c r="CJ543" i="1"/>
  <c r="CK543" i="1"/>
  <c r="BM544" i="1"/>
  <c r="BN544" i="1"/>
  <c r="BO544" i="1"/>
  <c r="BP544" i="1"/>
  <c r="BQ544" i="1"/>
  <c r="BR544" i="1"/>
  <c r="BS544" i="1"/>
  <c r="BT544" i="1"/>
  <c r="BU544" i="1"/>
  <c r="BV544" i="1"/>
  <c r="BW544" i="1"/>
  <c r="BX544" i="1"/>
  <c r="BY544" i="1"/>
  <c r="BZ544" i="1"/>
  <c r="CA544" i="1"/>
  <c r="CB544" i="1"/>
  <c r="CC544" i="1"/>
  <c r="CD544" i="1"/>
  <c r="CE544" i="1"/>
  <c r="CF544" i="1"/>
  <c r="CG544" i="1"/>
  <c r="CH544" i="1"/>
  <c r="CI544" i="1"/>
  <c r="CJ544" i="1"/>
  <c r="CK544" i="1"/>
  <c r="BM545" i="1"/>
  <c r="BN545" i="1"/>
  <c r="BO545" i="1"/>
  <c r="BP545" i="1"/>
  <c r="BQ545" i="1"/>
  <c r="BR545" i="1"/>
  <c r="BS545" i="1"/>
  <c r="BT545" i="1"/>
  <c r="BU545" i="1"/>
  <c r="BV545" i="1"/>
  <c r="BW545" i="1"/>
  <c r="BX545" i="1"/>
  <c r="BY545" i="1"/>
  <c r="BZ545" i="1"/>
  <c r="CA545" i="1"/>
  <c r="CB545" i="1"/>
  <c r="CC545" i="1"/>
  <c r="CD545" i="1"/>
  <c r="CE545" i="1"/>
  <c r="CF545" i="1"/>
  <c r="CG545" i="1"/>
  <c r="CH545" i="1"/>
  <c r="CI545" i="1"/>
  <c r="CJ545" i="1"/>
  <c r="CK545" i="1"/>
  <c r="BM546" i="1"/>
  <c r="BN546" i="1"/>
  <c r="BO546" i="1"/>
  <c r="BP546" i="1"/>
  <c r="BQ546" i="1"/>
  <c r="BR546" i="1"/>
  <c r="BS546" i="1"/>
  <c r="BT546" i="1"/>
  <c r="BU546" i="1"/>
  <c r="BV546" i="1"/>
  <c r="BW546" i="1"/>
  <c r="BX546" i="1"/>
  <c r="BY546" i="1"/>
  <c r="BZ546" i="1"/>
  <c r="CA546" i="1"/>
  <c r="CB546" i="1"/>
  <c r="CC546" i="1"/>
  <c r="CD546" i="1"/>
  <c r="CE546" i="1"/>
  <c r="CF546" i="1"/>
  <c r="CG546" i="1"/>
  <c r="CH546" i="1"/>
  <c r="CI546" i="1"/>
  <c r="CJ546" i="1"/>
  <c r="CK546" i="1"/>
  <c r="BM547" i="1"/>
  <c r="BN547" i="1"/>
  <c r="BO547" i="1"/>
  <c r="BP547" i="1"/>
  <c r="BQ547" i="1"/>
  <c r="BR547" i="1"/>
  <c r="BS547" i="1"/>
  <c r="BT547" i="1"/>
  <c r="BU547" i="1"/>
  <c r="BV547" i="1"/>
  <c r="BW547" i="1"/>
  <c r="BX547" i="1"/>
  <c r="BY547" i="1"/>
  <c r="BZ547" i="1"/>
  <c r="CA547" i="1"/>
  <c r="CB547" i="1"/>
  <c r="CC547" i="1"/>
  <c r="CD547" i="1"/>
  <c r="CE547" i="1"/>
  <c r="CF547" i="1"/>
  <c r="CG547" i="1"/>
  <c r="CH547" i="1"/>
  <c r="CI547" i="1"/>
  <c r="CJ547" i="1"/>
  <c r="CK547" i="1"/>
  <c r="BM548" i="1"/>
  <c r="BN548" i="1"/>
  <c r="BO548" i="1"/>
  <c r="BP548" i="1"/>
  <c r="BQ548" i="1"/>
  <c r="BR548" i="1"/>
  <c r="BS548" i="1"/>
  <c r="BT548" i="1"/>
  <c r="BU548" i="1"/>
  <c r="BV548" i="1"/>
  <c r="BW548" i="1"/>
  <c r="BX548" i="1"/>
  <c r="BY548" i="1"/>
  <c r="BZ548" i="1"/>
  <c r="CA548" i="1"/>
  <c r="CB548" i="1"/>
  <c r="CC548" i="1"/>
  <c r="CD548" i="1"/>
  <c r="CE548" i="1"/>
  <c r="CF548" i="1"/>
  <c r="CG548" i="1"/>
  <c r="CH548" i="1"/>
  <c r="CI548" i="1"/>
  <c r="CJ548" i="1"/>
  <c r="CK548" i="1"/>
  <c r="BM549" i="1"/>
  <c r="BN549" i="1"/>
  <c r="BO549" i="1"/>
  <c r="BP549" i="1"/>
  <c r="BQ549" i="1"/>
  <c r="BR549" i="1"/>
  <c r="BS549" i="1"/>
  <c r="BT549" i="1"/>
  <c r="BU549" i="1"/>
  <c r="BV549" i="1"/>
  <c r="BW549" i="1"/>
  <c r="BX549" i="1"/>
  <c r="BY549" i="1"/>
  <c r="BZ549" i="1"/>
  <c r="CA549" i="1"/>
  <c r="CB549" i="1"/>
  <c r="CC549" i="1"/>
  <c r="CD549" i="1"/>
  <c r="CE549" i="1"/>
  <c r="CF549" i="1"/>
  <c r="CG549" i="1"/>
  <c r="CH549" i="1"/>
  <c r="CI549" i="1"/>
  <c r="CJ549" i="1"/>
  <c r="CK549" i="1"/>
  <c r="BM550" i="1"/>
  <c r="BN550" i="1"/>
  <c r="BO550" i="1"/>
  <c r="BP550" i="1"/>
  <c r="BQ550" i="1"/>
  <c r="BR550" i="1"/>
  <c r="BS550" i="1"/>
  <c r="BT550" i="1"/>
  <c r="BU550" i="1"/>
  <c r="BV550" i="1"/>
  <c r="BW550" i="1"/>
  <c r="BX550" i="1"/>
  <c r="BY550" i="1"/>
  <c r="BZ550" i="1"/>
  <c r="CA550" i="1"/>
  <c r="CB550" i="1"/>
  <c r="CC550" i="1"/>
  <c r="CD550" i="1"/>
  <c r="CE550" i="1"/>
  <c r="CF550" i="1"/>
  <c r="CG550" i="1"/>
  <c r="CH550" i="1"/>
  <c r="CI550" i="1"/>
  <c r="CJ550" i="1"/>
  <c r="CK550" i="1"/>
  <c r="BM551" i="1"/>
  <c r="BN551" i="1"/>
  <c r="BO551" i="1"/>
  <c r="BP551" i="1"/>
  <c r="BQ551" i="1"/>
  <c r="BR551" i="1"/>
  <c r="BS551" i="1"/>
  <c r="BT551" i="1"/>
  <c r="BU551" i="1"/>
  <c r="BV551" i="1"/>
  <c r="BW551" i="1"/>
  <c r="BX551" i="1"/>
  <c r="BY551" i="1"/>
  <c r="BZ551" i="1"/>
  <c r="CA551" i="1"/>
  <c r="CB551" i="1"/>
  <c r="CC551" i="1"/>
  <c r="CD551" i="1"/>
  <c r="CE551" i="1"/>
  <c r="CF551" i="1"/>
  <c r="CG551" i="1"/>
  <c r="CH551" i="1"/>
  <c r="CI551" i="1"/>
  <c r="CJ551" i="1"/>
  <c r="CK551" i="1"/>
  <c r="BM552" i="1"/>
  <c r="BN552" i="1"/>
  <c r="BO552" i="1"/>
  <c r="BP552" i="1"/>
  <c r="BQ552" i="1"/>
  <c r="BR552" i="1"/>
  <c r="BS552" i="1"/>
  <c r="BT552" i="1"/>
  <c r="BU552" i="1"/>
  <c r="BV552" i="1"/>
  <c r="BW552" i="1"/>
  <c r="BX552" i="1"/>
  <c r="BY552" i="1"/>
  <c r="BZ552" i="1"/>
  <c r="CA552" i="1"/>
  <c r="CB552" i="1"/>
  <c r="CC552" i="1"/>
  <c r="CD552" i="1"/>
  <c r="CE552" i="1"/>
  <c r="CF552" i="1"/>
  <c r="CG552" i="1"/>
  <c r="CH552" i="1"/>
  <c r="CI552" i="1"/>
  <c r="CJ552" i="1"/>
  <c r="CK552" i="1"/>
  <c r="BM553" i="1"/>
  <c r="BN553" i="1"/>
  <c r="BO553" i="1"/>
  <c r="BP553" i="1"/>
  <c r="BQ553" i="1"/>
  <c r="BR553" i="1"/>
  <c r="BS553" i="1"/>
  <c r="BT553" i="1"/>
  <c r="BU553" i="1"/>
  <c r="BV553" i="1"/>
  <c r="BW553" i="1"/>
  <c r="BX553" i="1"/>
  <c r="BY553" i="1"/>
  <c r="BZ553" i="1"/>
  <c r="CA553" i="1"/>
  <c r="CB553" i="1"/>
  <c r="CC553" i="1"/>
  <c r="CD553" i="1"/>
  <c r="CE553" i="1"/>
  <c r="CF553" i="1"/>
  <c r="CG553" i="1"/>
  <c r="CH553" i="1"/>
  <c r="CI553" i="1"/>
  <c r="CJ553" i="1"/>
  <c r="CK553" i="1"/>
  <c r="BM554" i="1"/>
  <c r="BN554" i="1"/>
  <c r="BO554" i="1"/>
  <c r="BP554" i="1"/>
  <c r="BQ554" i="1"/>
  <c r="BR554" i="1"/>
  <c r="BS554" i="1"/>
  <c r="BT554" i="1"/>
  <c r="BU554" i="1"/>
  <c r="BV554" i="1"/>
  <c r="BW554" i="1"/>
  <c r="BX554" i="1"/>
  <c r="BY554" i="1"/>
  <c r="BZ554" i="1"/>
  <c r="CA554" i="1"/>
  <c r="CB554" i="1"/>
  <c r="CC554" i="1"/>
  <c r="CD554" i="1"/>
  <c r="CE554" i="1"/>
  <c r="CF554" i="1"/>
  <c r="CG554" i="1"/>
  <c r="CH554" i="1"/>
  <c r="CI554" i="1"/>
  <c r="CJ554" i="1"/>
  <c r="CK554" i="1"/>
  <c r="BM555" i="1"/>
  <c r="BN555" i="1"/>
  <c r="BO555" i="1"/>
  <c r="BP555" i="1"/>
  <c r="BQ555" i="1"/>
  <c r="BR555" i="1"/>
  <c r="BS555" i="1"/>
  <c r="BT555" i="1"/>
  <c r="BU555" i="1"/>
  <c r="BV555" i="1"/>
  <c r="BW555" i="1"/>
  <c r="BX555" i="1"/>
  <c r="BY555" i="1"/>
  <c r="BZ555" i="1"/>
  <c r="CA555" i="1"/>
  <c r="CB555" i="1"/>
  <c r="CC555" i="1"/>
  <c r="CD555" i="1"/>
  <c r="CE555" i="1"/>
  <c r="CF555" i="1"/>
  <c r="CG555" i="1"/>
  <c r="CH555" i="1"/>
  <c r="CI555" i="1"/>
  <c r="CJ555" i="1"/>
  <c r="CK555" i="1"/>
  <c r="BM556" i="1"/>
  <c r="BN556" i="1"/>
  <c r="BO556" i="1"/>
  <c r="BP556" i="1"/>
  <c r="BQ556" i="1"/>
  <c r="BR556" i="1"/>
  <c r="BS556" i="1"/>
  <c r="BT556" i="1"/>
  <c r="BU556" i="1"/>
  <c r="BV556" i="1"/>
  <c r="BW556" i="1"/>
  <c r="BX556" i="1"/>
  <c r="BY556" i="1"/>
  <c r="BZ556" i="1"/>
  <c r="CA556" i="1"/>
  <c r="CB556" i="1"/>
  <c r="CC556" i="1"/>
  <c r="CD556" i="1"/>
  <c r="CE556" i="1"/>
  <c r="CF556" i="1"/>
  <c r="CG556" i="1"/>
  <c r="CH556" i="1"/>
  <c r="CI556" i="1"/>
  <c r="CJ556" i="1"/>
  <c r="CK556" i="1"/>
  <c r="BM557" i="1"/>
  <c r="BN557" i="1"/>
  <c r="BO557" i="1"/>
  <c r="BP557" i="1"/>
  <c r="BQ557" i="1"/>
  <c r="BR557" i="1"/>
  <c r="BS557" i="1"/>
  <c r="BT557" i="1"/>
  <c r="BU557" i="1"/>
  <c r="BV557" i="1"/>
  <c r="BW557" i="1"/>
  <c r="BX557" i="1"/>
  <c r="BY557" i="1"/>
  <c r="BZ557" i="1"/>
  <c r="CA557" i="1"/>
  <c r="CB557" i="1"/>
  <c r="CC557" i="1"/>
  <c r="CD557" i="1"/>
  <c r="CE557" i="1"/>
  <c r="CF557" i="1"/>
  <c r="CG557" i="1"/>
  <c r="CH557" i="1"/>
  <c r="CI557" i="1"/>
  <c r="CJ557" i="1"/>
  <c r="CK557" i="1"/>
  <c r="BM558" i="1"/>
  <c r="BN558" i="1"/>
  <c r="BO558" i="1"/>
  <c r="BP558" i="1"/>
  <c r="BQ558" i="1"/>
  <c r="BR558" i="1"/>
  <c r="BS558" i="1"/>
  <c r="BT558" i="1"/>
  <c r="BU558" i="1"/>
  <c r="BV558" i="1"/>
  <c r="BW558" i="1"/>
  <c r="BX558" i="1"/>
  <c r="BY558" i="1"/>
  <c r="BZ558" i="1"/>
  <c r="CA558" i="1"/>
  <c r="CB558" i="1"/>
  <c r="CC558" i="1"/>
  <c r="CD558" i="1"/>
  <c r="CE558" i="1"/>
  <c r="CF558" i="1"/>
  <c r="CG558" i="1"/>
  <c r="CH558" i="1"/>
  <c r="CI558" i="1"/>
  <c r="CJ558" i="1"/>
  <c r="CK558" i="1"/>
  <c r="BM559" i="1"/>
  <c r="BN559" i="1"/>
  <c r="BO559" i="1"/>
  <c r="BP559" i="1"/>
  <c r="BQ559" i="1"/>
  <c r="BR559" i="1"/>
  <c r="BS559" i="1"/>
  <c r="BT559" i="1"/>
  <c r="BU559" i="1"/>
  <c r="BV559" i="1"/>
  <c r="BW559" i="1"/>
  <c r="BX559" i="1"/>
  <c r="BY559" i="1"/>
  <c r="BZ559" i="1"/>
  <c r="CA559" i="1"/>
  <c r="CB559" i="1"/>
  <c r="CC559" i="1"/>
  <c r="CD559" i="1"/>
  <c r="CE559" i="1"/>
  <c r="CF559" i="1"/>
  <c r="CG559" i="1"/>
  <c r="CH559" i="1"/>
  <c r="CI559" i="1"/>
  <c r="CJ559" i="1"/>
  <c r="CK559" i="1"/>
  <c r="BM560" i="1"/>
  <c r="BN560" i="1"/>
  <c r="BO560" i="1"/>
  <c r="BP560" i="1"/>
  <c r="BQ560" i="1"/>
  <c r="BR560" i="1"/>
  <c r="BS560" i="1"/>
  <c r="BT560" i="1"/>
  <c r="BU560" i="1"/>
  <c r="BV560" i="1"/>
  <c r="BW560" i="1"/>
  <c r="BX560" i="1"/>
  <c r="BY560" i="1"/>
  <c r="BZ560" i="1"/>
  <c r="CA560" i="1"/>
  <c r="CB560" i="1"/>
  <c r="CC560" i="1"/>
  <c r="CD560" i="1"/>
  <c r="CE560" i="1"/>
  <c r="CF560" i="1"/>
  <c r="CG560" i="1"/>
  <c r="CH560" i="1"/>
  <c r="CI560" i="1"/>
  <c r="CJ560" i="1"/>
  <c r="CK560" i="1"/>
  <c r="BM561" i="1"/>
  <c r="BN561" i="1"/>
  <c r="BO561" i="1"/>
  <c r="BP561" i="1"/>
  <c r="BQ561" i="1"/>
  <c r="BR561" i="1"/>
  <c r="BS561" i="1"/>
  <c r="BT561" i="1"/>
  <c r="BU561" i="1"/>
  <c r="BV561" i="1"/>
  <c r="BW561" i="1"/>
  <c r="BX561" i="1"/>
  <c r="BY561" i="1"/>
  <c r="BZ561" i="1"/>
  <c r="CA561" i="1"/>
  <c r="CB561" i="1"/>
  <c r="CC561" i="1"/>
  <c r="CD561" i="1"/>
  <c r="CE561" i="1"/>
  <c r="CF561" i="1"/>
  <c r="CG561" i="1"/>
  <c r="CH561" i="1"/>
  <c r="CI561" i="1"/>
  <c r="CJ561" i="1"/>
  <c r="CK561" i="1"/>
  <c r="BM562" i="1"/>
  <c r="BN562" i="1"/>
  <c r="BO562" i="1"/>
  <c r="BP562" i="1"/>
  <c r="BQ562" i="1"/>
  <c r="BR562" i="1"/>
  <c r="BS562" i="1"/>
  <c r="BT562" i="1"/>
  <c r="BU562" i="1"/>
  <c r="BV562" i="1"/>
  <c r="BW562" i="1"/>
  <c r="BX562" i="1"/>
  <c r="BY562" i="1"/>
  <c r="BZ562" i="1"/>
  <c r="CA562" i="1"/>
  <c r="CB562" i="1"/>
  <c r="CC562" i="1"/>
  <c r="CD562" i="1"/>
  <c r="CE562" i="1"/>
  <c r="CF562" i="1"/>
  <c r="CG562" i="1"/>
  <c r="CH562" i="1"/>
  <c r="CI562" i="1"/>
  <c r="CJ562" i="1"/>
  <c r="CK562" i="1"/>
  <c r="BM563" i="1"/>
  <c r="BN563" i="1"/>
  <c r="BO563" i="1"/>
  <c r="BP563" i="1"/>
  <c r="BQ563" i="1"/>
  <c r="BR563" i="1"/>
  <c r="BS563" i="1"/>
  <c r="BT563" i="1"/>
  <c r="BU563" i="1"/>
  <c r="BV563" i="1"/>
  <c r="BW563" i="1"/>
  <c r="BX563" i="1"/>
  <c r="BY563" i="1"/>
  <c r="BZ563" i="1"/>
  <c r="CA563" i="1"/>
  <c r="CB563" i="1"/>
  <c r="CC563" i="1"/>
  <c r="CD563" i="1"/>
  <c r="CE563" i="1"/>
  <c r="CF563" i="1"/>
  <c r="CG563" i="1"/>
  <c r="CH563" i="1"/>
  <c r="CI563" i="1"/>
  <c r="CJ563" i="1"/>
  <c r="CK563" i="1"/>
  <c r="BM564" i="1"/>
  <c r="BN564" i="1"/>
  <c r="BO564" i="1"/>
  <c r="BP564" i="1"/>
  <c r="BQ564" i="1"/>
  <c r="BR564" i="1"/>
  <c r="BS564" i="1"/>
  <c r="BT564" i="1"/>
  <c r="BU564" i="1"/>
  <c r="BV564" i="1"/>
  <c r="BW564" i="1"/>
  <c r="BX564" i="1"/>
  <c r="BY564" i="1"/>
  <c r="BZ564" i="1"/>
  <c r="CA564" i="1"/>
  <c r="CB564" i="1"/>
  <c r="CC564" i="1"/>
  <c r="CD564" i="1"/>
  <c r="CE564" i="1"/>
  <c r="CF564" i="1"/>
  <c r="CG564" i="1"/>
  <c r="CH564" i="1"/>
  <c r="CI564" i="1"/>
  <c r="CJ564" i="1"/>
  <c r="CK564" i="1"/>
  <c r="BM565" i="1"/>
  <c r="BN565" i="1"/>
  <c r="BO565" i="1"/>
  <c r="BP565" i="1"/>
  <c r="BQ565" i="1"/>
  <c r="BR565" i="1"/>
  <c r="BS565" i="1"/>
  <c r="BT565" i="1"/>
  <c r="BU565" i="1"/>
  <c r="BV565" i="1"/>
  <c r="BW565" i="1"/>
  <c r="BX565" i="1"/>
  <c r="BY565" i="1"/>
  <c r="BZ565" i="1"/>
  <c r="CA565" i="1"/>
  <c r="CB565" i="1"/>
  <c r="CC565" i="1"/>
  <c r="CD565" i="1"/>
  <c r="CE565" i="1"/>
  <c r="CF565" i="1"/>
  <c r="CG565" i="1"/>
  <c r="CH565" i="1"/>
  <c r="CI565" i="1"/>
  <c r="CJ565" i="1"/>
  <c r="CK565" i="1"/>
  <c r="BM566" i="1"/>
  <c r="BN566" i="1"/>
  <c r="BO566" i="1"/>
  <c r="BP566" i="1"/>
  <c r="BQ566" i="1"/>
  <c r="BR566" i="1"/>
  <c r="BS566" i="1"/>
  <c r="BT566" i="1"/>
  <c r="BU566" i="1"/>
  <c r="BV566" i="1"/>
  <c r="BW566" i="1"/>
  <c r="BX566" i="1"/>
  <c r="BY566" i="1"/>
  <c r="BZ566" i="1"/>
  <c r="CA566" i="1"/>
  <c r="CB566" i="1"/>
  <c r="CC566" i="1"/>
  <c r="CD566" i="1"/>
  <c r="CE566" i="1"/>
  <c r="CF566" i="1"/>
  <c r="CG566" i="1"/>
  <c r="CH566" i="1"/>
  <c r="CI566" i="1"/>
  <c r="CJ566" i="1"/>
  <c r="CK566" i="1"/>
  <c r="BM567" i="1"/>
  <c r="BN567" i="1"/>
  <c r="BO567" i="1"/>
  <c r="BP567" i="1"/>
  <c r="BQ567" i="1"/>
  <c r="BR567" i="1"/>
  <c r="BS567" i="1"/>
  <c r="BT567" i="1"/>
  <c r="BU567" i="1"/>
  <c r="BV567" i="1"/>
  <c r="BW567" i="1"/>
  <c r="BX567" i="1"/>
  <c r="BY567" i="1"/>
  <c r="BZ567" i="1"/>
  <c r="CA567" i="1"/>
  <c r="CB567" i="1"/>
  <c r="CC567" i="1"/>
  <c r="CD567" i="1"/>
  <c r="CE567" i="1"/>
  <c r="CF567" i="1"/>
  <c r="CG567" i="1"/>
  <c r="CH567" i="1"/>
  <c r="CI567" i="1"/>
  <c r="CJ567" i="1"/>
  <c r="CK567" i="1"/>
  <c r="BM568" i="1"/>
  <c r="BN568" i="1"/>
  <c r="BO568" i="1"/>
  <c r="BP568" i="1"/>
  <c r="BQ568" i="1"/>
  <c r="BR568" i="1"/>
  <c r="BS568" i="1"/>
  <c r="BT568" i="1"/>
  <c r="BU568" i="1"/>
  <c r="BV568" i="1"/>
  <c r="BW568" i="1"/>
  <c r="BX568" i="1"/>
  <c r="BY568" i="1"/>
  <c r="BZ568" i="1"/>
  <c r="CA568" i="1"/>
  <c r="CB568" i="1"/>
  <c r="CC568" i="1"/>
  <c r="CD568" i="1"/>
  <c r="CE568" i="1"/>
  <c r="CF568" i="1"/>
  <c r="CG568" i="1"/>
  <c r="CH568" i="1"/>
  <c r="CI568" i="1"/>
  <c r="CJ568" i="1"/>
  <c r="CK568" i="1"/>
  <c r="BM569" i="1"/>
  <c r="BN569" i="1"/>
  <c r="BO569" i="1"/>
  <c r="BP569" i="1"/>
  <c r="BQ569" i="1"/>
  <c r="BR569" i="1"/>
  <c r="BS569" i="1"/>
  <c r="BT569" i="1"/>
  <c r="BU569" i="1"/>
  <c r="BV569" i="1"/>
  <c r="BW569" i="1"/>
  <c r="BX569" i="1"/>
  <c r="BY569" i="1"/>
  <c r="BZ569" i="1"/>
  <c r="CA569" i="1"/>
  <c r="CB569" i="1"/>
  <c r="CC569" i="1"/>
  <c r="CD569" i="1"/>
  <c r="CE569" i="1"/>
  <c r="CF569" i="1"/>
  <c r="CG569" i="1"/>
  <c r="CH569" i="1"/>
  <c r="CI569" i="1"/>
  <c r="CJ569" i="1"/>
  <c r="CK569" i="1"/>
  <c r="BM570" i="1"/>
  <c r="BN570" i="1"/>
  <c r="BO570" i="1"/>
  <c r="BP570" i="1"/>
  <c r="BQ570" i="1"/>
  <c r="BR570" i="1"/>
  <c r="BS570" i="1"/>
  <c r="BT570" i="1"/>
  <c r="BU570" i="1"/>
  <c r="BV570" i="1"/>
  <c r="BW570" i="1"/>
  <c r="BX570" i="1"/>
  <c r="BY570" i="1"/>
  <c r="BZ570" i="1"/>
  <c r="CA570" i="1"/>
  <c r="CB570" i="1"/>
  <c r="CC570" i="1"/>
  <c r="CD570" i="1"/>
  <c r="CE570" i="1"/>
  <c r="CF570" i="1"/>
  <c r="CG570" i="1"/>
  <c r="CH570" i="1"/>
  <c r="CI570" i="1"/>
  <c r="CJ570" i="1"/>
  <c r="CK570" i="1"/>
  <c r="BM571" i="1"/>
  <c r="BN571" i="1"/>
  <c r="BO571" i="1"/>
  <c r="BP571" i="1"/>
  <c r="BQ571" i="1"/>
  <c r="BR571" i="1"/>
  <c r="BS571" i="1"/>
  <c r="BT571" i="1"/>
  <c r="BU571" i="1"/>
  <c r="BV571" i="1"/>
  <c r="BW571" i="1"/>
  <c r="BX571" i="1"/>
  <c r="BY571" i="1"/>
  <c r="BZ571" i="1"/>
  <c r="CA571" i="1"/>
  <c r="CB571" i="1"/>
  <c r="CC571" i="1"/>
  <c r="CD571" i="1"/>
  <c r="CE571" i="1"/>
  <c r="CF571" i="1"/>
  <c r="CG571" i="1"/>
  <c r="CH571" i="1"/>
  <c r="CI571" i="1"/>
  <c r="CJ571" i="1"/>
  <c r="CK571" i="1"/>
  <c r="BM572" i="1"/>
  <c r="BN572" i="1"/>
  <c r="BO572" i="1"/>
  <c r="BP572" i="1"/>
  <c r="BQ572" i="1"/>
  <c r="BR572" i="1"/>
  <c r="BS572" i="1"/>
  <c r="BT572" i="1"/>
  <c r="BU572" i="1"/>
  <c r="BV572" i="1"/>
  <c r="BW572" i="1"/>
  <c r="BX572" i="1"/>
  <c r="BY572" i="1"/>
  <c r="BZ572" i="1"/>
  <c r="CA572" i="1"/>
  <c r="CB572" i="1"/>
  <c r="CC572" i="1"/>
  <c r="CD572" i="1"/>
  <c r="CE572" i="1"/>
  <c r="CF572" i="1"/>
  <c r="CG572" i="1"/>
  <c r="CH572" i="1"/>
  <c r="CI572" i="1"/>
  <c r="CJ572" i="1"/>
  <c r="CK572" i="1"/>
  <c r="BM573" i="1"/>
  <c r="BN573" i="1"/>
  <c r="BO573" i="1"/>
  <c r="BP573" i="1"/>
  <c r="BQ573" i="1"/>
  <c r="BR573" i="1"/>
  <c r="BS573" i="1"/>
  <c r="BT573" i="1"/>
  <c r="BU573" i="1"/>
  <c r="BV573" i="1"/>
  <c r="BW573" i="1"/>
  <c r="BX573" i="1"/>
  <c r="BY573" i="1"/>
  <c r="BZ573" i="1"/>
  <c r="CA573" i="1"/>
  <c r="CB573" i="1"/>
  <c r="CC573" i="1"/>
  <c r="CD573" i="1"/>
  <c r="CE573" i="1"/>
  <c r="CF573" i="1"/>
  <c r="CG573" i="1"/>
  <c r="CH573" i="1"/>
  <c r="CI573" i="1"/>
  <c r="CJ573" i="1"/>
  <c r="CK573" i="1"/>
  <c r="BM574" i="1"/>
  <c r="BN574" i="1"/>
  <c r="BO574" i="1"/>
  <c r="BP574" i="1"/>
  <c r="BQ574" i="1"/>
  <c r="BR574" i="1"/>
  <c r="BS574" i="1"/>
  <c r="BT574" i="1"/>
  <c r="BU574" i="1"/>
  <c r="BV574" i="1"/>
  <c r="BW574" i="1"/>
  <c r="BX574" i="1"/>
  <c r="BY574" i="1"/>
  <c r="BZ574" i="1"/>
  <c r="CA574" i="1"/>
  <c r="CB574" i="1"/>
  <c r="CC574" i="1"/>
  <c r="CD574" i="1"/>
  <c r="CE574" i="1"/>
  <c r="CF574" i="1"/>
  <c r="CG574" i="1"/>
  <c r="CH574" i="1"/>
  <c r="CI574" i="1"/>
  <c r="CJ574" i="1"/>
  <c r="CK574" i="1"/>
  <c r="BM575" i="1"/>
  <c r="BN575" i="1"/>
  <c r="BO575" i="1"/>
  <c r="BP575" i="1"/>
  <c r="BQ575" i="1"/>
  <c r="BR575" i="1"/>
  <c r="BS575" i="1"/>
  <c r="BT575" i="1"/>
  <c r="BU575" i="1"/>
  <c r="BV575" i="1"/>
  <c r="BW575" i="1"/>
  <c r="BX575" i="1"/>
  <c r="BY575" i="1"/>
  <c r="BZ575" i="1"/>
  <c r="CA575" i="1"/>
  <c r="CB575" i="1"/>
  <c r="CC575" i="1"/>
  <c r="CD575" i="1"/>
  <c r="CE575" i="1"/>
  <c r="CF575" i="1"/>
  <c r="CG575" i="1"/>
  <c r="CH575" i="1"/>
  <c r="CI575" i="1"/>
  <c r="CJ575" i="1"/>
  <c r="CK575" i="1"/>
  <c r="BM576" i="1"/>
  <c r="BN576" i="1"/>
  <c r="BO576" i="1"/>
  <c r="BP576" i="1"/>
  <c r="BQ576" i="1"/>
  <c r="BR576" i="1"/>
  <c r="BS576" i="1"/>
  <c r="BT576" i="1"/>
  <c r="BU576" i="1"/>
  <c r="BV576" i="1"/>
  <c r="BW576" i="1"/>
  <c r="BX576" i="1"/>
  <c r="BY576" i="1"/>
  <c r="BZ576" i="1"/>
  <c r="CA576" i="1"/>
  <c r="CB576" i="1"/>
  <c r="CC576" i="1"/>
  <c r="CD576" i="1"/>
  <c r="CE576" i="1"/>
  <c r="CF576" i="1"/>
  <c r="CG576" i="1"/>
  <c r="CH576" i="1"/>
  <c r="CI576" i="1"/>
  <c r="CJ576" i="1"/>
  <c r="CK576" i="1"/>
  <c r="BM577" i="1"/>
  <c r="BN577" i="1"/>
  <c r="BO577" i="1"/>
  <c r="BP577" i="1"/>
  <c r="BQ577" i="1"/>
  <c r="BR577" i="1"/>
  <c r="BS577" i="1"/>
  <c r="BT577" i="1"/>
  <c r="BU577" i="1"/>
  <c r="BV577" i="1"/>
  <c r="BW577" i="1"/>
  <c r="BX577" i="1"/>
  <c r="BY577" i="1"/>
  <c r="BZ577" i="1"/>
  <c r="CA577" i="1"/>
  <c r="CB577" i="1"/>
  <c r="CC577" i="1"/>
  <c r="CD577" i="1"/>
  <c r="CE577" i="1"/>
  <c r="CF577" i="1"/>
  <c r="CG577" i="1"/>
  <c r="CH577" i="1"/>
  <c r="CI577" i="1"/>
  <c r="CJ577" i="1"/>
  <c r="CK577" i="1"/>
  <c r="BM578" i="1"/>
  <c r="BN578" i="1"/>
  <c r="BO578" i="1"/>
  <c r="BP578" i="1"/>
  <c r="BQ578" i="1"/>
  <c r="BR578" i="1"/>
  <c r="BS578" i="1"/>
  <c r="BT578" i="1"/>
  <c r="BU578" i="1"/>
  <c r="BV578" i="1"/>
  <c r="BW578" i="1"/>
  <c r="BX578" i="1"/>
  <c r="BY578" i="1"/>
  <c r="BZ578" i="1"/>
  <c r="CA578" i="1"/>
  <c r="CB578" i="1"/>
  <c r="CC578" i="1"/>
  <c r="CD578" i="1"/>
  <c r="CE578" i="1"/>
  <c r="CF578" i="1"/>
  <c r="CG578" i="1"/>
  <c r="CH578" i="1"/>
  <c r="CI578" i="1"/>
  <c r="CJ578" i="1"/>
  <c r="CK578" i="1"/>
  <c r="BM579" i="1"/>
  <c r="BN579" i="1"/>
  <c r="BO579" i="1"/>
  <c r="BP579" i="1"/>
  <c r="BQ579" i="1"/>
  <c r="BR579" i="1"/>
  <c r="BS579" i="1"/>
  <c r="BT579" i="1"/>
  <c r="BU579" i="1"/>
  <c r="BV579" i="1"/>
  <c r="BW579" i="1"/>
  <c r="BX579" i="1"/>
  <c r="BY579" i="1"/>
  <c r="BZ579" i="1"/>
  <c r="CA579" i="1"/>
  <c r="CB579" i="1"/>
  <c r="CC579" i="1"/>
  <c r="CD579" i="1"/>
  <c r="CE579" i="1"/>
  <c r="CF579" i="1"/>
  <c r="CG579" i="1"/>
  <c r="CH579" i="1"/>
  <c r="CI579" i="1"/>
  <c r="CJ579" i="1"/>
  <c r="CK579" i="1"/>
  <c r="BM580" i="1"/>
  <c r="BN580" i="1"/>
  <c r="BO580" i="1"/>
  <c r="BP580" i="1"/>
  <c r="BQ580" i="1"/>
  <c r="BR580" i="1"/>
  <c r="BS580" i="1"/>
  <c r="BT580" i="1"/>
  <c r="BU580" i="1"/>
  <c r="BV580" i="1"/>
  <c r="BW580" i="1"/>
  <c r="BX580" i="1"/>
  <c r="BY580" i="1"/>
  <c r="BZ580" i="1"/>
  <c r="CA580" i="1"/>
  <c r="CB580" i="1"/>
  <c r="CC580" i="1"/>
  <c r="CD580" i="1"/>
  <c r="CE580" i="1"/>
  <c r="CF580" i="1"/>
  <c r="CG580" i="1"/>
  <c r="CH580" i="1"/>
  <c r="CI580" i="1"/>
  <c r="CJ580" i="1"/>
  <c r="CK580" i="1"/>
  <c r="BM581" i="1"/>
  <c r="BN581" i="1"/>
  <c r="BO581" i="1"/>
  <c r="BP581" i="1"/>
  <c r="BQ581" i="1"/>
  <c r="BR581" i="1"/>
  <c r="BS581" i="1"/>
  <c r="BT581" i="1"/>
  <c r="BU581" i="1"/>
  <c r="BV581" i="1"/>
  <c r="BW581" i="1"/>
  <c r="BX581" i="1"/>
  <c r="BY581" i="1"/>
  <c r="BZ581" i="1"/>
  <c r="CA581" i="1"/>
  <c r="CB581" i="1"/>
  <c r="CC581" i="1"/>
  <c r="CD581" i="1"/>
  <c r="CE581" i="1"/>
  <c r="CF581" i="1"/>
  <c r="CG581" i="1"/>
  <c r="CH581" i="1"/>
  <c r="CI581" i="1"/>
  <c r="CJ581" i="1"/>
  <c r="CK581" i="1"/>
  <c r="BM582" i="1"/>
  <c r="BN582" i="1"/>
  <c r="BO582" i="1"/>
  <c r="BP582" i="1"/>
  <c r="BQ582" i="1"/>
  <c r="BR582" i="1"/>
  <c r="BS582" i="1"/>
  <c r="BT582" i="1"/>
  <c r="BU582" i="1"/>
  <c r="BV582" i="1"/>
  <c r="BW582" i="1"/>
  <c r="BX582" i="1"/>
  <c r="BY582" i="1"/>
  <c r="BZ582" i="1"/>
  <c r="CA582" i="1"/>
  <c r="CB582" i="1"/>
  <c r="CC582" i="1"/>
  <c r="CD582" i="1"/>
  <c r="CE582" i="1"/>
  <c r="CF582" i="1"/>
  <c r="CG582" i="1"/>
  <c r="CH582" i="1"/>
  <c r="CI582" i="1"/>
  <c r="CJ582" i="1"/>
  <c r="CK582" i="1"/>
  <c r="BM583" i="1"/>
  <c r="BN583" i="1"/>
  <c r="BO583" i="1"/>
  <c r="BP583" i="1"/>
  <c r="BQ583" i="1"/>
  <c r="BR583" i="1"/>
  <c r="BS583" i="1"/>
  <c r="BT583" i="1"/>
  <c r="BU583" i="1"/>
  <c r="BV583" i="1"/>
  <c r="BW583" i="1"/>
  <c r="BX583" i="1"/>
  <c r="BY583" i="1"/>
  <c r="BZ583" i="1"/>
  <c r="CA583" i="1"/>
  <c r="CB583" i="1"/>
  <c r="CC583" i="1"/>
  <c r="CD583" i="1"/>
  <c r="CE583" i="1"/>
  <c r="CF583" i="1"/>
  <c r="CG583" i="1"/>
  <c r="CH583" i="1"/>
  <c r="CI583" i="1"/>
  <c r="CJ583" i="1"/>
  <c r="CK583" i="1"/>
  <c r="BM584" i="1"/>
  <c r="BN584" i="1"/>
  <c r="BO584" i="1"/>
  <c r="BP584" i="1"/>
  <c r="BQ584" i="1"/>
  <c r="BR584" i="1"/>
  <c r="BS584" i="1"/>
  <c r="BT584" i="1"/>
  <c r="BU584" i="1"/>
  <c r="BV584" i="1"/>
  <c r="BW584" i="1"/>
  <c r="BX584" i="1"/>
  <c r="BY584" i="1"/>
  <c r="BZ584" i="1"/>
  <c r="CA584" i="1"/>
  <c r="CB584" i="1"/>
  <c r="CC584" i="1"/>
  <c r="CD584" i="1"/>
  <c r="CE584" i="1"/>
  <c r="CF584" i="1"/>
  <c r="CG584" i="1"/>
  <c r="CH584" i="1"/>
  <c r="CI584" i="1"/>
  <c r="CJ584" i="1"/>
  <c r="CK584" i="1"/>
  <c r="BM585" i="1"/>
  <c r="BN585" i="1"/>
  <c r="BO585" i="1"/>
  <c r="BP585" i="1"/>
  <c r="BQ585" i="1"/>
  <c r="BR585" i="1"/>
  <c r="BS585" i="1"/>
  <c r="BT585" i="1"/>
  <c r="BU585" i="1"/>
  <c r="BV585" i="1"/>
  <c r="BW585" i="1"/>
  <c r="BX585" i="1"/>
  <c r="BY585" i="1"/>
  <c r="BZ585" i="1"/>
  <c r="CA585" i="1"/>
  <c r="CB585" i="1"/>
  <c r="CC585" i="1"/>
  <c r="CD585" i="1"/>
  <c r="CE585" i="1"/>
  <c r="CF585" i="1"/>
  <c r="CG585" i="1"/>
  <c r="CH585" i="1"/>
  <c r="CI585" i="1"/>
  <c r="CJ585" i="1"/>
  <c r="CK585" i="1"/>
  <c r="BM586" i="1"/>
  <c r="BN586" i="1"/>
  <c r="BO586" i="1"/>
  <c r="BP586" i="1"/>
  <c r="BQ586" i="1"/>
  <c r="BR586" i="1"/>
  <c r="BS586" i="1"/>
  <c r="BT586" i="1"/>
  <c r="BU586" i="1"/>
  <c r="BV586" i="1"/>
  <c r="BW586" i="1"/>
  <c r="BX586" i="1"/>
  <c r="BY586" i="1"/>
  <c r="BZ586" i="1"/>
  <c r="CA586" i="1"/>
  <c r="CB586" i="1"/>
  <c r="CC586" i="1"/>
  <c r="CD586" i="1"/>
  <c r="CE586" i="1"/>
  <c r="CF586" i="1"/>
  <c r="CG586" i="1"/>
  <c r="CH586" i="1"/>
  <c r="CI586" i="1"/>
  <c r="CJ586" i="1"/>
  <c r="CK586" i="1"/>
  <c r="BM587" i="1"/>
  <c r="BN587" i="1"/>
  <c r="BO587" i="1"/>
  <c r="BP587" i="1"/>
  <c r="BQ587" i="1"/>
  <c r="BR587" i="1"/>
  <c r="BS587" i="1"/>
  <c r="BT587" i="1"/>
  <c r="BU587" i="1"/>
  <c r="BV587" i="1"/>
  <c r="BW587" i="1"/>
  <c r="BX587" i="1"/>
  <c r="BY587" i="1"/>
  <c r="BZ587" i="1"/>
  <c r="CA587" i="1"/>
  <c r="CB587" i="1"/>
  <c r="CC587" i="1"/>
  <c r="CD587" i="1"/>
  <c r="CE587" i="1"/>
  <c r="CF587" i="1"/>
  <c r="CG587" i="1"/>
  <c r="CH587" i="1"/>
  <c r="CI587" i="1"/>
  <c r="CJ587" i="1"/>
  <c r="CK587" i="1"/>
  <c r="BM588" i="1"/>
  <c r="BN588" i="1"/>
  <c r="BO588" i="1"/>
  <c r="BP588" i="1"/>
  <c r="BQ588" i="1"/>
  <c r="BR588" i="1"/>
  <c r="BS588" i="1"/>
  <c r="BT588" i="1"/>
  <c r="BU588" i="1"/>
  <c r="BV588" i="1"/>
  <c r="BW588" i="1"/>
  <c r="BX588" i="1"/>
  <c r="BY588" i="1"/>
  <c r="BZ588" i="1"/>
  <c r="CA588" i="1"/>
  <c r="CB588" i="1"/>
  <c r="CC588" i="1"/>
  <c r="CD588" i="1"/>
  <c r="CE588" i="1"/>
  <c r="CF588" i="1"/>
  <c r="CG588" i="1"/>
  <c r="CH588" i="1"/>
  <c r="CI588" i="1"/>
  <c r="CJ588" i="1"/>
  <c r="CK588" i="1"/>
  <c r="BM589" i="1"/>
  <c r="BN589" i="1"/>
  <c r="BO589" i="1"/>
  <c r="BP589" i="1"/>
  <c r="BQ589" i="1"/>
  <c r="BR589" i="1"/>
  <c r="BS589" i="1"/>
  <c r="BT589" i="1"/>
  <c r="BU589" i="1"/>
  <c r="BV589" i="1"/>
  <c r="BW589" i="1"/>
  <c r="BX589" i="1"/>
  <c r="BY589" i="1"/>
  <c r="BZ589" i="1"/>
  <c r="CA589" i="1"/>
  <c r="CB589" i="1"/>
  <c r="CC589" i="1"/>
  <c r="CD589" i="1"/>
  <c r="CE589" i="1"/>
  <c r="CF589" i="1"/>
  <c r="CG589" i="1"/>
  <c r="CH589" i="1"/>
  <c r="CI589" i="1"/>
  <c r="CJ589" i="1"/>
  <c r="CK589" i="1"/>
  <c r="BM590" i="1"/>
  <c r="BN590" i="1"/>
  <c r="BO590" i="1"/>
  <c r="BP590" i="1"/>
  <c r="BQ590" i="1"/>
  <c r="BR590" i="1"/>
  <c r="BS590" i="1"/>
  <c r="BT590" i="1"/>
  <c r="BU590" i="1"/>
  <c r="BV590" i="1"/>
  <c r="BW590" i="1"/>
  <c r="BX590" i="1"/>
  <c r="BY590" i="1"/>
  <c r="BZ590" i="1"/>
  <c r="CA590" i="1"/>
  <c r="CB590" i="1"/>
  <c r="CC590" i="1"/>
  <c r="CD590" i="1"/>
  <c r="CE590" i="1"/>
  <c r="CF590" i="1"/>
  <c r="CG590" i="1"/>
  <c r="CH590" i="1"/>
  <c r="CI590" i="1"/>
  <c r="CJ590" i="1"/>
  <c r="CK590" i="1"/>
  <c r="BM591" i="1"/>
  <c r="BN591" i="1"/>
  <c r="BO591" i="1"/>
  <c r="BP591" i="1"/>
  <c r="BQ591" i="1"/>
  <c r="BR591" i="1"/>
  <c r="BS591" i="1"/>
  <c r="BT591" i="1"/>
  <c r="BU591" i="1"/>
  <c r="BV591" i="1"/>
  <c r="BW591" i="1"/>
  <c r="BX591" i="1"/>
  <c r="BY591" i="1"/>
  <c r="BZ591" i="1"/>
  <c r="CA591" i="1"/>
  <c r="CB591" i="1"/>
  <c r="CC591" i="1"/>
  <c r="CD591" i="1"/>
  <c r="CE591" i="1"/>
  <c r="CF591" i="1"/>
  <c r="CG591" i="1"/>
  <c r="CH591" i="1"/>
  <c r="CI591" i="1"/>
  <c r="CJ591" i="1"/>
  <c r="CK591" i="1"/>
  <c r="BM592" i="1"/>
  <c r="BN592" i="1"/>
  <c r="BO592" i="1"/>
  <c r="BP592" i="1"/>
  <c r="BQ592" i="1"/>
  <c r="BR592" i="1"/>
  <c r="BS592" i="1"/>
  <c r="BT592" i="1"/>
  <c r="BU592" i="1"/>
  <c r="BV592" i="1"/>
  <c r="BW592" i="1"/>
  <c r="BX592" i="1"/>
  <c r="BY592" i="1"/>
  <c r="BZ592" i="1"/>
  <c r="CA592" i="1"/>
  <c r="CB592" i="1"/>
  <c r="CC592" i="1"/>
  <c r="CD592" i="1"/>
  <c r="CE592" i="1"/>
  <c r="CF592" i="1"/>
  <c r="CG592" i="1"/>
  <c r="CH592" i="1"/>
  <c r="CI592" i="1"/>
  <c r="CJ592" i="1"/>
  <c r="CK592" i="1"/>
  <c r="BM593" i="1"/>
  <c r="BN593" i="1"/>
  <c r="BO593" i="1"/>
  <c r="BP593" i="1"/>
  <c r="BQ593" i="1"/>
  <c r="BR593" i="1"/>
  <c r="BS593" i="1"/>
  <c r="BT593" i="1"/>
  <c r="BU593" i="1"/>
  <c r="BV593" i="1"/>
  <c r="BW593" i="1"/>
  <c r="BX593" i="1"/>
  <c r="BY593" i="1"/>
  <c r="BZ593" i="1"/>
  <c r="CA593" i="1"/>
  <c r="CB593" i="1"/>
  <c r="CC593" i="1"/>
  <c r="CD593" i="1"/>
  <c r="CE593" i="1"/>
  <c r="CF593" i="1"/>
  <c r="CG593" i="1"/>
  <c r="CH593" i="1"/>
  <c r="CI593" i="1"/>
  <c r="CJ593" i="1"/>
  <c r="CK593" i="1"/>
  <c r="BM594" i="1"/>
  <c r="BN594" i="1"/>
  <c r="BO594" i="1"/>
  <c r="BP594" i="1"/>
  <c r="BQ594" i="1"/>
  <c r="BR594" i="1"/>
  <c r="BS594" i="1"/>
  <c r="BT594" i="1"/>
  <c r="BU594" i="1"/>
  <c r="BV594" i="1"/>
  <c r="BW594" i="1"/>
  <c r="BX594" i="1"/>
  <c r="BY594" i="1"/>
  <c r="BZ594" i="1"/>
  <c r="CA594" i="1"/>
  <c r="CB594" i="1"/>
  <c r="CC594" i="1"/>
  <c r="CD594" i="1"/>
  <c r="CE594" i="1"/>
  <c r="CF594" i="1"/>
  <c r="CG594" i="1"/>
  <c r="CH594" i="1"/>
  <c r="CI594" i="1"/>
  <c r="CJ594" i="1"/>
  <c r="CK594" i="1"/>
  <c r="BM595" i="1"/>
  <c r="BN595" i="1"/>
  <c r="BO595" i="1"/>
  <c r="BP595" i="1"/>
  <c r="BQ595" i="1"/>
  <c r="BR595" i="1"/>
  <c r="BS595" i="1"/>
  <c r="BT595" i="1"/>
  <c r="BU595" i="1"/>
  <c r="BV595" i="1"/>
  <c r="BW595" i="1"/>
  <c r="BX595" i="1"/>
  <c r="BY595" i="1"/>
  <c r="BZ595" i="1"/>
  <c r="CA595" i="1"/>
  <c r="CB595" i="1"/>
  <c r="CC595" i="1"/>
  <c r="CD595" i="1"/>
  <c r="CE595" i="1"/>
  <c r="CF595" i="1"/>
  <c r="CG595" i="1"/>
  <c r="CH595" i="1"/>
  <c r="CI595" i="1"/>
  <c r="CJ595" i="1"/>
  <c r="CK595" i="1"/>
  <c r="BM596" i="1"/>
  <c r="BN596" i="1"/>
  <c r="BO596" i="1"/>
  <c r="BP596" i="1"/>
  <c r="BQ596" i="1"/>
  <c r="BR596" i="1"/>
  <c r="BS596" i="1"/>
  <c r="BT596" i="1"/>
  <c r="BU596" i="1"/>
  <c r="BV596" i="1"/>
  <c r="BW596" i="1"/>
  <c r="BX596" i="1"/>
  <c r="BY596" i="1"/>
  <c r="BZ596" i="1"/>
  <c r="CA596" i="1"/>
  <c r="CB596" i="1"/>
  <c r="CC596" i="1"/>
  <c r="CD596" i="1"/>
  <c r="CE596" i="1"/>
  <c r="CF596" i="1"/>
  <c r="CG596" i="1"/>
  <c r="CH596" i="1"/>
  <c r="CI596" i="1"/>
  <c r="CJ596" i="1"/>
  <c r="CK596" i="1"/>
  <c r="BM597" i="1"/>
  <c r="BN597" i="1"/>
  <c r="BO597" i="1"/>
  <c r="BP597" i="1"/>
  <c r="BQ597" i="1"/>
  <c r="BR597" i="1"/>
  <c r="BS597" i="1"/>
  <c r="BT597" i="1"/>
  <c r="BU597" i="1"/>
  <c r="BV597" i="1"/>
  <c r="BW597" i="1"/>
  <c r="BX597" i="1"/>
  <c r="BY597" i="1"/>
  <c r="BZ597" i="1"/>
  <c r="CA597" i="1"/>
  <c r="CB597" i="1"/>
  <c r="CC597" i="1"/>
  <c r="CD597" i="1"/>
  <c r="CE597" i="1"/>
  <c r="CF597" i="1"/>
  <c r="CG597" i="1"/>
  <c r="CH597" i="1"/>
  <c r="CI597" i="1"/>
  <c r="CJ597" i="1"/>
  <c r="CK597" i="1"/>
  <c r="BM598" i="1"/>
  <c r="BN598" i="1"/>
  <c r="BO598" i="1"/>
  <c r="BP598" i="1"/>
  <c r="BQ598" i="1"/>
  <c r="BR598" i="1"/>
  <c r="BS598" i="1"/>
  <c r="BT598" i="1"/>
  <c r="BU598" i="1"/>
  <c r="BV598" i="1"/>
  <c r="BW598" i="1"/>
  <c r="BX598" i="1"/>
  <c r="BY598" i="1"/>
  <c r="BZ598" i="1"/>
  <c r="CA598" i="1"/>
  <c r="CB598" i="1"/>
  <c r="CC598" i="1"/>
  <c r="CD598" i="1"/>
  <c r="CE598" i="1"/>
  <c r="CF598" i="1"/>
  <c r="CG598" i="1"/>
  <c r="CH598" i="1"/>
  <c r="CI598" i="1"/>
  <c r="CJ598" i="1"/>
  <c r="CK598" i="1"/>
  <c r="BM599" i="1"/>
  <c r="BN599" i="1"/>
  <c r="BO599" i="1"/>
  <c r="BP599" i="1"/>
  <c r="BQ599" i="1"/>
  <c r="BR599" i="1"/>
  <c r="BS599" i="1"/>
  <c r="BT599" i="1"/>
  <c r="BU599" i="1"/>
  <c r="BV599" i="1"/>
  <c r="BW599" i="1"/>
  <c r="BX599" i="1"/>
  <c r="BY599" i="1"/>
  <c r="BZ599" i="1"/>
  <c r="CA599" i="1"/>
  <c r="CB599" i="1"/>
  <c r="CC599" i="1"/>
  <c r="CD599" i="1"/>
  <c r="CE599" i="1"/>
  <c r="CF599" i="1"/>
  <c r="CG599" i="1"/>
  <c r="CH599" i="1"/>
  <c r="CI599" i="1"/>
  <c r="CJ599" i="1"/>
  <c r="CK599" i="1"/>
  <c r="BM600" i="1"/>
  <c r="BN600" i="1"/>
  <c r="BO600" i="1"/>
  <c r="BP600" i="1"/>
  <c r="BQ600" i="1"/>
  <c r="BR600" i="1"/>
  <c r="BS600" i="1"/>
  <c r="BT600" i="1"/>
  <c r="BU600" i="1"/>
  <c r="BV600" i="1"/>
  <c r="BW600" i="1"/>
  <c r="BX600" i="1"/>
  <c r="BY600" i="1"/>
  <c r="BZ600" i="1"/>
  <c r="CA600" i="1"/>
  <c r="CB600" i="1"/>
  <c r="CC600" i="1"/>
  <c r="CD600" i="1"/>
  <c r="CE600" i="1"/>
  <c r="CF600" i="1"/>
  <c r="CG600" i="1"/>
  <c r="CH600" i="1"/>
  <c r="CI600" i="1"/>
  <c r="CJ600" i="1"/>
  <c r="CK600" i="1"/>
  <c r="BM601" i="1"/>
  <c r="BN601" i="1"/>
  <c r="BO601" i="1"/>
  <c r="BP601" i="1"/>
  <c r="BQ601" i="1"/>
  <c r="BR601" i="1"/>
  <c r="BS601" i="1"/>
  <c r="BT601" i="1"/>
  <c r="BU601" i="1"/>
  <c r="BV601" i="1"/>
  <c r="BW601" i="1"/>
  <c r="BX601" i="1"/>
  <c r="BY601" i="1"/>
  <c r="BZ601" i="1"/>
  <c r="CA601" i="1"/>
  <c r="CB601" i="1"/>
  <c r="CC601" i="1"/>
  <c r="CD601" i="1"/>
  <c r="CE601" i="1"/>
  <c r="CF601" i="1"/>
  <c r="CG601" i="1"/>
  <c r="CH601" i="1"/>
  <c r="CI601" i="1"/>
  <c r="CJ601" i="1"/>
  <c r="CK601" i="1"/>
  <c r="BM602" i="1"/>
  <c r="BN602" i="1"/>
  <c r="BO602" i="1"/>
  <c r="BP602" i="1"/>
  <c r="BQ602" i="1"/>
  <c r="BR602" i="1"/>
  <c r="BS602" i="1"/>
  <c r="BT602" i="1"/>
  <c r="BU602" i="1"/>
  <c r="BV602" i="1"/>
  <c r="BW602" i="1"/>
  <c r="BX602" i="1"/>
  <c r="BY602" i="1"/>
  <c r="BZ602" i="1"/>
  <c r="CA602" i="1"/>
  <c r="CB602" i="1"/>
  <c r="CC602" i="1"/>
  <c r="CD602" i="1"/>
  <c r="CE602" i="1"/>
  <c r="CF602" i="1"/>
  <c r="CG602" i="1"/>
  <c r="CH602" i="1"/>
  <c r="CI602" i="1"/>
  <c r="CJ602" i="1"/>
  <c r="CK602" i="1"/>
  <c r="BM603" i="1"/>
  <c r="BN603" i="1"/>
  <c r="BO603" i="1"/>
  <c r="BP603" i="1"/>
  <c r="BQ603" i="1"/>
  <c r="BR603" i="1"/>
  <c r="BS603" i="1"/>
  <c r="BT603" i="1"/>
  <c r="BU603" i="1"/>
  <c r="BV603" i="1"/>
  <c r="BW603" i="1"/>
  <c r="BX603" i="1"/>
  <c r="BY603" i="1"/>
  <c r="BZ603" i="1"/>
  <c r="CA603" i="1"/>
  <c r="CB603" i="1"/>
  <c r="CC603" i="1"/>
  <c r="CD603" i="1"/>
  <c r="CE603" i="1"/>
  <c r="CF603" i="1"/>
  <c r="CG603" i="1"/>
  <c r="CH603" i="1"/>
  <c r="CI603" i="1"/>
  <c r="CJ603" i="1"/>
  <c r="CK603" i="1"/>
  <c r="BM604" i="1"/>
  <c r="BN604" i="1"/>
  <c r="BO604" i="1"/>
  <c r="BP604" i="1"/>
  <c r="BQ604" i="1"/>
  <c r="BR604" i="1"/>
  <c r="BS604" i="1"/>
  <c r="BT604" i="1"/>
  <c r="BU604" i="1"/>
  <c r="BV604" i="1"/>
  <c r="BW604" i="1"/>
  <c r="BX604" i="1"/>
  <c r="BY604" i="1"/>
  <c r="BZ604" i="1"/>
  <c r="CA604" i="1"/>
  <c r="CB604" i="1"/>
  <c r="CC604" i="1"/>
  <c r="CD604" i="1"/>
  <c r="CE604" i="1"/>
  <c r="CF604" i="1"/>
  <c r="CG604" i="1"/>
  <c r="CH604" i="1"/>
  <c r="CI604" i="1"/>
  <c r="CJ604" i="1"/>
  <c r="CK604" i="1"/>
  <c r="BM605" i="1"/>
  <c r="BN605" i="1"/>
  <c r="BO605" i="1"/>
  <c r="BP605" i="1"/>
  <c r="BQ605" i="1"/>
  <c r="BR605" i="1"/>
  <c r="BS605" i="1"/>
  <c r="BT605" i="1"/>
  <c r="BU605" i="1"/>
  <c r="BV605" i="1"/>
  <c r="BW605" i="1"/>
  <c r="BX605" i="1"/>
  <c r="BY605" i="1"/>
  <c r="BZ605" i="1"/>
  <c r="CA605" i="1"/>
  <c r="CB605" i="1"/>
  <c r="CC605" i="1"/>
  <c r="CD605" i="1"/>
  <c r="CE605" i="1"/>
  <c r="CF605" i="1"/>
  <c r="CG605" i="1"/>
  <c r="CH605" i="1"/>
  <c r="CI605" i="1"/>
  <c r="CJ605" i="1"/>
  <c r="CK605" i="1"/>
  <c r="BM606" i="1"/>
  <c r="BN606" i="1"/>
  <c r="BO606" i="1"/>
  <c r="BP606" i="1"/>
  <c r="BQ606" i="1"/>
  <c r="BR606" i="1"/>
  <c r="BS606" i="1"/>
  <c r="BT606" i="1"/>
  <c r="BU606" i="1"/>
  <c r="BV606" i="1"/>
  <c r="BW606" i="1"/>
  <c r="BX606" i="1"/>
  <c r="BY606" i="1"/>
  <c r="BZ606" i="1"/>
  <c r="CA606" i="1"/>
  <c r="CB606" i="1"/>
  <c r="CC606" i="1"/>
  <c r="CD606" i="1"/>
  <c r="CE606" i="1"/>
  <c r="CF606" i="1"/>
  <c r="CG606" i="1"/>
  <c r="CH606" i="1"/>
  <c r="CI606" i="1"/>
  <c r="CJ606" i="1"/>
  <c r="CK606" i="1"/>
  <c r="BM607" i="1"/>
  <c r="BN607" i="1"/>
  <c r="BO607" i="1"/>
  <c r="BP607" i="1"/>
  <c r="BQ607" i="1"/>
  <c r="BR607" i="1"/>
  <c r="BS607" i="1"/>
  <c r="BT607" i="1"/>
  <c r="BU607" i="1"/>
  <c r="BV607" i="1"/>
  <c r="BW607" i="1"/>
  <c r="BX607" i="1"/>
  <c r="BY607" i="1"/>
  <c r="BZ607" i="1"/>
  <c r="CA607" i="1"/>
  <c r="CB607" i="1"/>
  <c r="CC607" i="1"/>
  <c r="CD607" i="1"/>
  <c r="CE607" i="1"/>
  <c r="CF607" i="1"/>
  <c r="CG607" i="1"/>
  <c r="CH607" i="1"/>
  <c r="CI607" i="1"/>
  <c r="CJ607" i="1"/>
  <c r="CK607" i="1"/>
  <c r="BM608" i="1"/>
  <c r="BN608" i="1"/>
  <c r="BO608" i="1"/>
  <c r="BP608" i="1"/>
  <c r="BQ608" i="1"/>
  <c r="BR608" i="1"/>
  <c r="BS608" i="1"/>
  <c r="BT608" i="1"/>
  <c r="BU608" i="1"/>
  <c r="BV608" i="1"/>
  <c r="BW608" i="1"/>
  <c r="BX608" i="1"/>
  <c r="BY608" i="1"/>
  <c r="BZ608" i="1"/>
  <c r="CA608" i="1"/>
  <c r="CB608" i="1"/>
  <c r="CC608" i="1"/>
  <c r="CD608" i="1"/>
  <c r="CE608" i="1"/>
  <c r="CF608" i="1"/>
  <c r="CG608" i="1"/>
  <c r="CH608" i="1"/>
  <c r="CI608" i="1"/>
  <c r="CJ608" i="1"/>
  <c r="CK608" i="1"/>
  <c r="BM609" i="1"/>
  <c r="BN609" i="1"/>
  <c r="BO609" i="1"/>
  <c r="BP609" i="1"/>
  <c r="BQ609" i="1"/>
  <c r="BR609" i="1"/>
  <c r="BS609" i="1"/>
  <c r="BT609" i="1"/>
  <c r="BU609" i="1"/>
  <c r="BV609" i="1"/>
  <c r="BW609" i="1"/>
  <c r="BX609" i="1"/>
  <c r="BY609" i="1"/>
  <c r="BZ609" i="1"/>
  <c r="CA609" i="1"/>
  <c r="CB609" i="1"/>
  <c r="CC609" i="1"/>
  <c r="CD609" i="1"/>
  <c r="CE609" i="1"/>
  <c r="CF609" i="1"/>
  <c r="CG609" i="1"/>
  <c r="CH609" i="1"/>
  <c r="CI609" i="1"/>
  <c r="CJ609" i="1"/>
  <c r="CK609" i="1"/>
  <c r="BM610" i="1"/>
  <c r="BN610" i="1"/>
  <c r="BO610" i="1"/>
  <c r="BP610" i="1"/>
  <c r="BQ610" i="1"/>
  <c r="BR610" i="1"/>
  <c r="BS610" i="1"/>
  <c r="BT610" i="1"/>
  <c r="BU610" i="1"/>
  <c r="BV610" i="1"/>
  <c r="BW610" i="1"/>
  <c r="BX610" i="1"/>
  <c r="BY610" i="1"/>
  <c r="BZ610" i="1"/>
  <c r="CA610" i="1"/>
  <c r="CB610" i="1"/>
  <c r="CC610" i="1"/>
  <c r="CD610" i="1"/>
  <c r="CE610" i="1"/>
  <c r="CF610" i="1"/>
  <c r="CG610" i="1"/>
  <c r="CH610" i="1"/>
  <c r="CI610" i="1"/>
  <c r="CJ610" i="1"/>
  <c r="CK610" i="1"/>
  <c r="BM611" i="1"/>
  <c r="BN611" i="1"/>
  <c r="BO611" i="1"/>
  <c r="BP611" i="1"/>
  <c r="BQ611" i="1"/>
  <c r="BR611" i="1"/>
  <c r="BS611" i="1"/>
  <c r="BT611" i="1"/>
  <c r="BU611" i="1"/>
  <c r="BV611" i="1"/>
  <c r="BW611" i="1"/>
  <c r="BX611" i="1"/>
  <c r="BY611" i="1"/>
  <c r="BZ611" i="1"/>
  <c r="CA611" i="1"/>
  <c r="CB611" i="1"/>
  <c r="CC611" i="1"/>
  <c r="CD611" i="1"/>
  <c r="CE611" i="1"/>
  <c r="CF611" i="1"/>
  <c r="CG611" i="1"/>
  <c r="CH611" i="1"/>
  <c r="CI611" i="1"/>
  <c r="CJ611" i="1"/>
  <c r="CK611" i="1"/>
  <c r="BM612" i="1"/>
  <c r="BN612" i="1"/>
  <c r="BO612" i="1"/>
  <c r="BP612" i="1"/>
  <c r="BQ612" i="1"/>
  <c r="BR612" i="1"/>
  <c r="BS612" i="1"/>
  <c r="BT612" i="1"/>
  <c r="BU612" i="1"/>
  <c r="BV612" i="1"/>
  <c r="BW612" i="1"/>
  <c r="BX612" i="1"/>
  <c r="BY612" i="1"/>
  <c r="BZ612" i="1"/>
  <c r="CA612" i="1"/>
  <c r="CB612" i="1"/>
  <c r="CC612" i="1"/>
  <c r="CD612" i="1"/>
  <c r="CE612" i="1"/>
  <c r="CF612" i="1"/>
  <c r="CG612" i="1"/>
  <c r="CH612" i="1"/>
  <c r="CI612" i="1"/>
  <c r="CJ612" i="1"/>
  <c r="CK612" i="1"/>
  <c r="BM613" i="1"/>
  <c r="BN613" i="1"/>
  <c r="BO613" i="1"/>
  <c r="BP613" i="1"/>
  <c r="BQ613" i="1"/>
  <c r="BR613" i="1"/>
  <c r="BS613" i="1"/>
  <c r="BT613" i="1"/>
  <c r="BU613" i="1"/>
  <c r="BV613" i="1"/>
  <c r="BW613" i="1"/>
  <c r="BX613" i="1"/>
  <c r="BY613" i="1"/>
  <c r="BZ613" i="1"/>
  <c r="CA613" i="1"/>
  <c r="CB613" i="1"/>
  <c r="CC613" i="1"/>
  <c r="CD613" i="1"/>
  <c r="CE613" i="1"/>
  <c r="CF613" i="1"/>
  <c r="CG613" i="1"/>
  <c r="CH613" i="1"/>
  <c r="CI613" i="1"/>
  <c r="CJ613" i="1"/>
  <c r="CK613" i="1"/>
  <c r="BM614" i="1"/>
  <c r="BN614" i="1"/>
  <c r="BO614" i="1"/>
  <c r="BP614" i="1"/>
  <c r="BQ614" i="1"/>
  <c r="BR614" i="1"/>
  <c r="BS614" i="1"/>
  <c r="BT614" i="1"/>
  <c r="BU614" i="1"/>
  <c r="BV614" i="1"/>
  <c r="BW614" i="1"/>
  <c r="BX614" i="1"/>
  <c r="BY614" i="1"/>
  <c r="BZ614" i="1"/>
  <c r="CA614" i="1"/>
  <c r="CB614" i="1"/>
  <c r="CC614" i="1"/>
  <c r="CD614" i="1"/>
  <c r="CE614" i="1"/>
  <c r="CF614" i="1"/>
  <c r="CG614" i="1"/>
  <c r="CH614" i="1"/>
  <c r="CI614" i="1"/>
  <c r="CJ614" i="1"/>
  <c r="CK614" i="1"/>
  <c r="BM615" i="1"/>
  <c r="BN615" i="1"/>
  <c r="BO615" i="1"/>
  <c r="BP615" i="1"/>
  <c r="BQ615" i="1"/>
  <c r="BR615" i="1"/>
  <c r="BS615" i="1"/>
  <c r="BT615" i="1"/>
  <c r="BU615" i="1"/>
  <c r="BV615" i="1"/>
  <c r="BW615" i="1"/>
  <c r="BX615" i="1"/>
  <c r="BY615" i="1"/>
  <c r="BZ615" i="1"/>
  <c r="CA615" i="1"/>
  <c r="CB615" i="1"/>
  <c r="CC615" i="1"/>
  <c r="CD615" i="1"/>
  <c r="CE615" i="1"/>
  <c r="CF615" i="1"/>
  <c r="CG615" i="1"/>
  <c r="CH615" i="1"/>
  <c r="CI615" i="1"/>
  <c r="CJ615" i="1"/>
  <c r="CK615" i="1"/>
  <c r="BM616" i="1"/>
  <c r="BN616" i="1"/>
  <c r="BO616" i="1"/>
  <c r="BP616" i="1"/>
  <c r="BQ616" i="1"/>
  <c r="BR616" i="1"/>
  <c r="BS616" i="1"/>
  <c r="BT616" i="1"/>
  <c r="BU616" i="1"/>
  <c r="BV616" i="1"/>
  <c r="BW616" i="1"/>
  <c r="BX616" i="1"/>
  <c r="BY616" i="1"/>
  <c r="BZ616" i="1"/>
  <c r="CA616" i="1"/>
  <c r="CB616" i="1"/>
  <c r="CC616" i="1"/>
  <c r="CD616" i="1"/>
  <c r="CE616" i="1"/>
  <c r="CF616" i="1"/>
  <c r="CG616" i="1"/>
  <c r="CH616" i="1"/>
  <c r="CI616" i="1"/>
  <c r="CJ616" i="1"/>
  <c r="CK616" i="1"/>
  <c r="BM617" i="1"/>
  <c r="BN617" i="1"/>
  <c r="BO617" i="1"/>
  <c r="BP617" i="1"/>
  <c r="BQ617" i="1"/>
  <c r="BR617" i="1"/>
  <c r="BS617" i="1"/>
  <c r="BT617" i="1"/>
  <c r="BU617" i="1"/>
  <c r="BV617" i="1"/>
  <c r="BW617" i="1"/>
  <c r="BX617" i="1"/>
  <c r="BY617" i="1"/>
  <c r="BZ617" i="1"/>
  <c r="CA617" i="1"/>
  <c r="CB617" i="1"/>
  <c r="CC617" i="1"/>
  <c r="CD617" i="1"/>
  <c r="CE617" i="1"/>
  <c r="CF617" i="1"/>
  <c r="CG617" i="1"/>
  <c r="CH617" i="1"/>
  <c r="CI617" i="1"/>
  <c r="CJ617" i="1"/>
  <c r="CK617" i="1"/>
  <c r="BM618" i="1"/>
  <c r="BN618" i="1"/>
  <c r="BO618" i="1"/>
  <c r="BP618" i="1"/>
  <c r="BQ618" i="1"/>
  <c r="BR618" i="1"/>
  <c r="BS618" i="1"/>
  <c r="BT618" i="1"/>
  <c r="BU618" i="1"/>
  <c r="BV618" i="1"/>
  <c r="BW618" i="1"/>
  <c r="BX618" i="1"/>
  <c r="BY618" i="1"/>
  <c r="BZ618" i="1"/>
  <c r="CA618" i="1"/>
  <c r="CB618" i="1"/>
  <c r="CC618" i="1"/>
  <c r="CD618" i="1"/>
  <c r="CE618" i="1"/>
  <c r="CF618" i="1"/>
  <c r="CG618" i="1"/>
  <c r="CH618" i="1"/>
  <c r="CI618" i="1"/>
  <c r="CJ618" i="1"/>
  <c r="CK618" i="1"/>
  <c r="BM619" i="1"/>
  <c r="BN619" i="1"/>
  <c r="BO619" i="1"/>
  <c r="BP619" i="1"/>
  <c r="BQ619" i="1"/>
  <c r="BR619" i="1"/>
  <c r="BS619" i="1"/>
  <c r="BT619" i="1"/>
  <c r="BU619" i="1"/>
  <c r="BV619" i="1"/>
  <c r="BW619" i="1"/>
  <c r="BX619" i="1"/>
  <c r="BY619" i="1"/>
  <c r="BZ619" i="1"/>
  <c r="CA619" i="1"/>
  <c r="CB619" i="1"/>
  <c r="CC619" i="1"/>
  <c r="CD619" i="1"/>
  <c r="CE619" i="1"/>
  <c r="CF619" i="1"/>
  <c r="CG619" i="1"/>
  <c r="CH619" i="1"/>
  <c r="CI619" i="1"/>
  <c r="CJ619" i="1"/>
  <c r="CK619" i="1"/>
  <c r="BM620" i="1"/>
  <c r="BN620" i="1"/>
  <c r="BO620" i="1"/>
  <c r="BP620" i="1"/>
  <c r="BQ620" i="1"/>
  <c r="BR620" i="1"/>
  <c r="BS620" i="1"/>
  <c r="BT620" i="1"/>
  <c r="BU620" i="1"/>
  <c r="BV620" i="1"/>
  <c r="BW620" i="1"/>
  <c r="BX620" i="1"/>
  <c r="BY620" i="1"/>
  <c r="BZ620" i="1"/>
  <c r="CA620" i="1"/>
  <c r="CB620" i="1"/>
  <c r="CC620" i="1"/>
  <c r="CD620" i="1"/>
  <c r="CE620" i="1"/>
  <c r="CF620" i="1"/>
  <c r="CG620" i="1"/>
  <c r="CH620" i="1"/>
  <c r="CI620" i="1"/>
  <c r="CJ620" i="1"/>
  <c r="CK620" i="1"/>
  <c r="BM621" i="1"/>
  <c r="BN621" i="1"/>
  <c r="BO621" i="1"/>
  <c r="BP621" i="1"/>
  <c r="BQ621" i="1"/>
  <c r="BR621" i="1"/>
  <c r="BS621" i="1"/>
  <c r="BT621" i="1"/>
  <c r="BU621" i="1"/>
  <c r="BV621" i="1"/>
  <c r="BW621" i="1"/>
  <c r="BX621" i="1"/>
  <c r="BY621" i="1"/>
  <c r="BZ621" i="1"/>
  <c r="CA621" i="1"/>
  <c r="CB621" i="1"/>
  <c r="CC621" i="1"/>
  <c r="CD621" i="1"/>
  <c r="CE621" i="1"/>
  <c r="CF621" i="1"/>
  <c r="CG621" i="1"/>
  <c r="CH621" i="1"/>
  <c r="CI621" i="1"/>
  <c r="CJ621" i="1"/>
  <c r="CK621" i="1"/>
  <c r="BM622" i="1"/>
  <c r="BN622" i="1"/>
  <c r="BO622" i="1"/>
  <c r="BP622" i="1"/>
  <c r="BQ622" i="1"/>
  <c r="BR622" i="1"/>
  <c r="BS622" i="1"/>
  <c r="BT622" i="1"/>
  <c r="BU622" i="1"/>
  <c r="BV622" i="1"/>
  <c r="BW622" i="1"/>
  <c r="BX622" i="1"/>
  <c r="BY622" i="1"/>
  <c r="BZ622" i="1"/>
  <c r="CA622" i="1"/>
  <c r="CB622" i="1"/>
  <c r="CC622" i="1"/>
  <c r="CD622" i="1"/>
  <c r="CE622" i="1"/>
  <c r="CF622" i="1"/>
  <c r="CG622" i="1"/>
  <c r="CH622" i="1"/>
  <c r="CI622" i="1"/>
  <c r="CJ622" i="1"/>
  <c r="CK622" i="1"/>
  <c r="BM623" i="1"/>
  <c r="BN623" i="1"/>
  <c r="BO623" i="1"/>
  <c r="BP623" i="1"/>
  <c r="BQ623" i="1"/>
  <c r="BR623" i="1"/>
  <c r="BS623" i="1"/>
  <c r="BT623" i="1"/>
  <c r="BU623" i="1"/>
  <c r="BV623" i="1"/>
  <c r="BW623" i="1"/>
  <c r="BX623" i="1"/>
  <c r="BY623" i="1"/>
  <c r="BZ623" i="1"/>
  <c r="CA623" i="1"/>
  <c r="CB623" i="1"/>
  <c r="CC623" i="1"/>
  <c r="CD623" i="1"/>
  <c r="CE623" i="1"/>
  <c r="CF623" i="1"/>
  <c r="CG623" i="1"/>
  <c r="CH623" i="1"/>
  <c r="CI623" i="1"/>
  <c r="CJ623" i="1"/>
  <c r="CK623" i="1"/>
  <c r="BM624" i="1"/>
  <c r="BN624" i="1"/>
  <c r="BO624" i="1"/>
  <c r="BP624" i="1"/>
  <c r="BQ624" i="1"/>
  <c r="BR624" i="1"/>
  <c r="BS624" i="1"/>
  <c r="BT624" i="1"/>
  <c r="BU624" i="1"/>
  <c r="BV624" i="1"/>
  <c r="BW624" i="1"/>
  <c r="BX624" i="1"/>
  <c r="BY624" i="1"/>
  <c r="BZ624" i="1"/>
  <c r="CA624" i="1"/>
  <c r="CB624" i="1"/>
  <c r="CC624" i="1"/>
  <c r="CD624" i="1"/>
  <c r="CE624" i="1"/>
  <c r="CF624" i="1"/>
  <c r="CG624" i="1"/>
  <c r="CH624" i="1"/>
  <c r="CI624" i="1"/>
  <c r="CJ624" i="1"/>
  <c r="CK624" i="1"/>
  <c r="BM625" i="1"/>
  <c r="BN625" i="1"/>
  <c r="BO625" i="1"/>
  <c r="BP625" i="1"/>
  <c r="BQ625" i="1"/>
  <c r="BR625" i="1"/>
  <c r="BS625" i="1"/>
  <c r="BT625" i="1"/>
  <c r="BU625" i="1"/>
  <c r="BV625" i="1"/>
  <c r="BW625" i="1"/>
  <c r="BX625" i="1"/>
  <c r="BY625" i="1"/>
  <c r="BZ625" i="1"/>
  <c r="CA625" i="1"/>
  <c r="CB625" i="1"/>
  <c r="CC625" i="1"/>
  <c r="CD625" i="1"/>
  <c r="CE625" i="1"/>
  <c r="CF625" i="1"/>
  <c r="CG625" i="1"/>
  <c r="CH625" i="1"/>
  <c r="CI625" i="1"/>
  <c r="CJ625" i="1"/>
  <c r="CK625" i="1"/>
  <c r="BM626" i="1"/>
  <c r="BN626" i="1"/>
  <c r="BO626" i="1"/>
  <c r="BP626" i="1"/>
  <c r="BQ626" i="1"/>
  <c r="BR626" i="1"/>
  <c r="BS626" i="1"/>
  <c r="BT626" i="1"/>
  <c r="BU626" i="1"/>
  <c r="BV626" i="1"/>
  <c r="BW626" i="1"/>
  <c r="BX626" i="1"/>
  <c r="BY626" i="1"/>
  <c r="BZ626" i="1"/>
  <c r="CA626" i="1"/>
  <c r="CB626" i="1"/>
  <c r="CC626" i="1"/>
  <c r="CD626" i="1"/>
  <c r="CE626" i="1"/>
  <c r="CF626" i="1"/>
  <c r="CG626" i="1"/>
  <c r="CH626" i="1"/>
  <c r="CI626" i="1"/>
  <c r="CJ626" i="1"/>
  <c r="CK626" i="1"/>
  <c r="BM627" i="1"/>
  <c r="BN627" i="1"/>
  <c r="BO627" i="1"/>
  <c r="BP627" i="1"/>
  <c r="BQ627" i="1"/>
  <c r="BR627" i="1"/>
  <c r="BS627" i="1"/>
  <c r="BT627" i="1"/>
  <c r="BU627" i="1"/>
  <c r="BV627" i="1"/>
  <c r="BW627" i="1"/>
  <c r="BX627" i="1"/>
  <c r="BY627" i="1"/>
  <c r="BZ627" i="1"/>
  <c r="CA627" i="1"/>
  <c r="CB627" i="1"/>
  <c r="CC627" i="1"/>
  <c r="CD627" i="1"/>
  <c r="CE627" i="1"/>
  <c r="CF627" i="1"/>
  <c r="CG627" i="1"/>
  <c r="CH627" i="1"/>
  <c r="CI627" i="1"/>
  <c r="CJ627" i="1"/>
  <c r="CK627" i="1"/>
  <c r="BM628" i="1"/>
  <c r="BN628" i="1"/>
  <c r="BO628" i="1"/>
  <c r="BP628" i="1"/>
  <c r="BQ628" i="1"/>
  <c r="BR628" i="1"/>
  <c r="BS628" i="1"/>
  <c r="BT628" i="1"/>
  <c r="BU628" i="1"/>
  <c r="BV628" i="1"/>
  <c r="BW628" i="1"/>
  <c r="BX628" i="1"/>
  <c r="BY628" i="1"/>
  <c r="BZ628" i="1"/>
  <c r="CA628" i="1"/>
  <c r="CB628" i="1"/>
  <c r="CC628" i="1"/>
  <c r="CD628" i="1"/>
  <c r="CE628" i="1"/>
  <c r="CF628" i="1"/>
  <c r="CG628" i="1"/>
  <c r="CH628" i="1"/>
  <c r="CI628" i="1"/>
  <c r="CJ628" i="1"/>
  <c r="CK628" i="1"/>
  <c r="BM629" i="1"/>
  <c r="BN629" i="1"/>
  <c r="BO629" i="1"/>
  <c r="BP629" i="1"/>
  <c r="BQ629" i="1"/>
  <c r="BR629" i="1"/>
  <c r="BS629" i="1"/>
  <c r="BT629" i="1"/>
  <c r="BU629" i="1"/>
  <c r="BV629" i="1"/>
  <c r="BW629" i="1"/>
  <c r="BX629" i="1"/>
  <c r="BY629" i="1"/>
  <c r="BZ629" i="1"/>
  <c r="CA629" i="1"/>
  <c r="CB629" i="1"/>
  <c r="CC629" i="1"/>
  <c r="CD629" i="1"/>
  <c r="CE629" i="1"/>
  <c r="CF629" i="1"/>
  <c r="CG629" i="1"/>
  <c r="CH629" i="1"/>
  <c r="CI629" i="1"/>
  <c r="CJ629" i="1"/>
  <c r="CK629" i="1"/>
  <c r="BM630" i="1"/>
  <c r="BN630" i="1"/>
  <c r="BO630" i="1"/>
  <c r="BP630" i="1"/>
  <c r="BQ630" i="1"/>
  <c r="BR630" i="1"/>
  <c r="BS630" i="1"/>
  <c r="BT630" i="1"/>
  <c r="BU630" i="1"/>
  <c r="BV630" i="1"/>
  <c r="BW630" i="1"/>
  <c r="BX630" i="1"/>
  <c r="BY630" i="1"/>
  <c r="BZ630" i="1"/>
  <c r="CA630" i="1"/>
  <c r="CB630" i="1"/>
  <c r="CC630" i="1"/>
  <c r="CD630" i="1"/>
  <c r="CE630" i="1"/>
  <c r="CF630" i="1"/>
  <c r="CG630" i="1"/>
  <c r="CH630" i="1"/>
  <c r="CI630" i="1"/>
  <c r="CJ630" i="1"/>
  <c r="CK630" i="1"/>
  <c r="BM631" i="1"/>
  <c r="BN631" i="1"/>
  <c r="BO631" i="1"/>
  <c r="BP631" i="1"/>
  <c r="BQ631" i="1"/>
  <c r="BR631" i="1"/>
  <c r="BS631" i="1"/>
  <c r="BT631" i="1"/>
  <c r="BU631" i="1"/>
  <c r="BV631" i="1"/>
  <c r="BW631" i="1"/>
  <c r="BX631" i="1"/>
  <c r="BY631" i="1"/>
  <c r="BZ631" i="1"/>
  <c r="CA631" i="1"/>
  <c r="CB631" i="1"/>
  <c r="CC631" i="1"/>
  <c r="CD631" i="1"/>
  <c r="CE631" i="1"/>
  <c r="CF631" i="1"/>
  <c r="CG631" i="1"/>
  <c r="CH631" i="1"/>
  <c r="CI631" i="1"/>
  <c r="CJ631" i="1"/>
  <c r="CK631" i="1"/>
  <c r="BM632" i="1"/>
  <c r="BN632" i="1"/>
  <c r="BO632" i="1"/>
  <c r="BP632" i="1"/>
  <c r="BQ632" i="1"/>
  <c r="BR632" i="1"/>
  <c r="BS632" i="1"/>
  <c r="BT632" i="1"/>
  <c r="BU632" i="1"/>
  <c r="BV632" i="1"/>
  <c r="BW632" i="1"/>
  <c r="BX632" i="1"/>
  <c r="BY632" i="1"/>
  <c r="BZ632" i="1"/>
  <c r="CA632" i="1"/>
  <c r="CB632" i="1"/>
  <c r="CC632" i="1"/>
  <c r="CD632" i="1"/>
  <c r="CE632" i="1"/>
  <c r="CF632" i="1"/>
  <c r="CG632" i="1"/>
  <c r="CH632" i="1"/>
  <c r="CI632" i="1"/>
  <c r="CJ632" i="1"/>
  <c r="CK632" i="1"/>
  <c r="BM633" i="1"/>
  <c r="BN633" i="1"/>
  <c r="BO633" i="1"/>
  <c r="BP633" i="1"/>
  <c r="BQ633" i="1"/>
  <c r="BR633" i="1"/>
  <c r="BS633" i="1"/>
  <c r="BT633" i="1"/>
  <c r="BU633" i="1"/>
  <c r="BV633" i="1"/>
  <c r="BW633" i="1"/>
  <c r="BX633" i="1"/>
  <c r="BY633" i="1"/>
  <c r="BZ633" i="1"/>
  <c r="CA633" i="1"/>
  <c r="CB633" i="1"/>
  <c r="CC633" i="1"/>
  <c r="CD633" i="1"/>
  <c r="CE633" i="1"/>
  <c r="CF633" i="1"/>
  <c r="CG633" i="1"/>
  <c r="CH633" i="1"/>
  <c r="CI633" i="1"/>
  <c r="CJ633" i="1"/>
  <c r="CK633" i="1"/>
  <c r="BM634" i="1"/>
  <c r="BN634" i="1"/>
  <c r="BO634" i="1"/>
  <c r="BP634" i="1"/>
  <c r="BQ634" i="1"/>
  <c r="BR634" i="1"/>
  <c r="BS634" i="1"/>
  <c r="BT634" i="1"/>
  <c r="BU634" i="1"/>
  <c r="BV634" i="1"/>
  <c r="BW634" i="1"/>
  <c r="BX634" i="1"/>
  <c r="BY634" i="1"/>
  <c r="BZ634" i="1"/>
  <c r="CA634" i="1"/>
  <c r="CB634" i="1"/>
  <c r="CC634" i="1"/>
  <c r="CD634" i="1"/>
  <c r="CE634" i="1"/>
  <c r="CF634" i="1"/>
  <c r="CG634" i="1"/>
  <c r="CH634" i="1"/>
  <c r="CI634" i="1"/>
  <c r="CJ634" i="1"/>
  <c r="CK634" i="1"/>
  <c r="BM635" i="1"/>
  <c r="BN635" i="1"/>
  <c r="BO635" i="1"/>
  <c r="BP635" i="1"/>
  <c r="BQ635" i="1"/>
  <c r="BR635" i="1"/>
  <c r="BS635" i="1"/>
  <c r="BT635" i="1"/>
  <c r="BU635" i="1"/>
  <c r="BV635" i="1"/>
  <c r="BW635" i="1"/>
  <c r="BX635" i="1"/>
  <c r="BY635" i="1"/>
  <c r="BZ635" i="1"/>
  <c r="CA635" i="1"/>
  <c r="CB635" i="1"/>
  <c r="CC635" i="1"/>
  <c r="CD635" i="1"/>
  <c r="CE635" i="1"/>
  <c r="CF635" i="1"/>
  <c r="CG635" i="1"/>
  <c r="CH635" i="1"/>
  <c r="CI635" i="1"/>
  <c r="CJ635" i="1"/>
  <c r="CK635" i="1"/>
  <c r="BM636" i="1"/>
  <c r="BN636" i="1"/>
  <c r="BO636" i="1"/>
  <c r="BP636" i="1"/>
  <c r="BQ636" i="1"/>
  <c r="BR636" i="1"/>
  <c r="BS636" i="1"/>
  <c r="BT636" i="1"/>
  <c r="BU636" i="1"/>
  <c r="BV636" i="1"/>
  <c r="BW636" i="1"/>
  <c r="BX636" i="1"/>
  <c r="BY636" i="1"/>
  <c r="BZ636" i="1"/>
  <c r="CA636" i="1"/>
  <c r="CB636" i="1"/>
  <c r="CC636" i="1"/>
  <c r="CD636" i="1"/>
  <c r="CE636" i="1"/>
  <c r="CF636" i="1"/>
  <c r="CG636" i="1"/>
  <c r="CH636" i="1"/>
  <c r="CI636" i="1"/>
  <c r="CJ636" i="1"/>
  <c r="CK636" i="1"/>
  <c r="BM637" i="1"/>
  <c r="BN637" i="1"/>
  <c r="BO637" i="1"/>
  <c r="BP637" i="1"/>
  <c r="BQ637" i="1"/>
  <c r="BR637" i="1"/>
  <c r="BS637" i="1"/>
  <c r="BT637" i="1"/>
  <c r="BU637" i="1"/>
  <c r="BV637" i="1"/>
  <c r="BW637" i="1"/>
  <c r="BX637" i="1"/>
  <c r="BY637" i="1"/>
  <c r="BZ637" i="1"/>
  <c r="CA637" i="1"/>
  <c r="CB637" i="1"/>
  <c r="CC637" i="1"/>
  <c r="CD637" i="1"/>
  <c r="CE637" i="1"/>
  <c r="CF637" i="1"/>
  <c r="CG637" i="1"/>
  <c r="CH637" i="1"/>
  <c r="CI637" i="1"/>
  <c r="CJ637" i="1"/>
  <c r="CK637" i="1"/>
  <c r="BM638" i="1"/>
  <c r="BN638" i="1"/>
  <c r="BO638" i="1"/>
  <c r="BP638" i="1"/>
  <c r="BQ638" i="1"/>
  <c r="BR638" i="1"/>
  <c r="BS638" i="1"/>
  <c r="BT638" i="1"/>
  <c r="BU638" i="1"/>
  <c r="BV638" i="1"/>
  <c r="BW638" i="1"/>
  <c r="BX638" i="1"/>
  <c r="BY638" i="1"/>
  <c r="BZ638" i="1"/>
  <c r="CA638" i="1"/>
  <c r="CB638" i="1"/>
  <c r="CC638" i="1"/>
  <c r="CD638" i="1"/>
  <c r="CE638" i="1"/>
  <c r="CF638" i="1"/>
  <c r="CG638" i="1"/>
  <c r="CH638" i="1"/>
  <c r="CI638" i="1"/>
  <c r="CJ638" i="1"/>
  <c r="CK638" i="1"/>
  <c r="BM639" i="1"/>
  <c r="BN639" i="1"/>
  <c r="BO639" i="1"/>
  <c r="BP639" i="1"/>
  <c r="BQ639" i="1"/>
  <c r="BR639" i="1"/>
  <c r="BS639" i="1"/>
  <c r="BT639" i="1"/>
  <c r="BU639" i="1"/>
  <c r="BV639" i="1"/>
  <c r="BW639" i="1"/>
  <c r="BX639" i="1"/>
  <c r="BY639" i="1"/>
  <c r="BZ639" i="1"/>
  <c r="CA639" i="1"/>
  <c r="CB639" i="1"/>
  <c r="CC639" i="1"/>
  <c r="CD639" i="1"/>
  <c r="CE639" i="1"/>
  <c r="CF639" i="1"/>
  <c r="CG639" i="1"/>
  <c r="CH639" i="1"/>
  <c r="CI639" i="1"/>
  <c r="CJ639" i="1"/>
  <c r="CK639" i="1"/>
  <c r="BM640" i="1"/>
  <c r="BN640" i="1"/>
  <c r="BO640" i="1"/>
  <c r="BP640" i="1"/>
  <c r="BQ640" i="1"/>
  <c r="BR640" i="1"/>
  <c r="BS640" i="1"/>
  <c r="BT640" i="1"/>
  <c r="BU640" i="1"/>
  <c r="BV640" i="1"/>
  <c r="BW640" i="1"/>
  <c r="BX640" i="1"/>
  <c r="BY640" i="1"/>
  <c r="BZ640" i="1"/>
  <c r="CA640" i="1"/>
  <c r="CB640" i="1"/>
  <c r="CC640" i="1"/>
  <c r="CD640" i="1"/>
  <c r="CE640" i="1"/>
  <c r="CF640" i="1"/>
  <c r="CG640" i="1"/>
  <c r="CH640" i="1"/>
  <c r="CI640" i="1"/>
  <c r="CJ640" i="1"/>
  <c r="CK640" i="1"/>
  <c r="BM641" i="1"/>
  <c r="BN641" i="1"/>
  <c r="BO641" i="1"/>
  <c r="BP641" i="1"/>
  <c r="BQ641" i="1"/>
  <c r="BR641" i="1"/>
  <c r="BS641" i="1"/>
  <c r="BT641" i="1"/>
  <c r="BU641" i="1"/>
  <c r="BV641" i="1"/>
  <c r="BW641" i="1"/>
  <c r="BX641" i="1"/>
  <c r="BY641" i="1"/>
  <c r="BZ641" i="1"/>
  <c r="CA641" i="1"/>
  <c r="CB641" i="1"/>
  <c r="CC641" i="1"/>
  <c r="CD641" i="1"/>
  <c r="CE641" i="1"/>
  <c r="CF641" i="1"/>
  <c r="CG641" i="1"/>
  <c r="CH641" i="1"/>
  <c r="CI641" i="1"/>
  <c r="CJ641" i="1"/>
  <c r="CK641" i="1"/>
  <c r="BM642" i="1"/>
  <c r="BN642" i="1"/>
  <c r="BO642" i="1"/>
  <c r="BP642" i="1"/>
  <c r="BQ642" i="1"/>
  <c r="BR642" i="1"/>
  <c r="BS642" i="1"/>
  <c r="BT642" i="1"/>
  <c r="BU642" i="1"/>
  <c r="BV642" i="1"/>
  <c r="BW642" i="1"/>
  <c r="BX642" i="1"/>
  <c r="BY642" i="1"/>
  <c r="BZ642" i="1"/>
  <c r="CA642" i="1"/>
  <c r="CB642" i="1"/>
  <c r="CC642" i="1"/>
  <c r="CD642" i="1"/>
  <c r="CE642" i="1"/>
  <c r="CF642" i="1"/>
  <c r="CG642" i="1"/>
  <c r="CH642" i="1"/>
  <c r="CI642" i="1"/>
  <c r="CJ642" i="1"/>
  <c r="CK642" i="1"/>
  <c r="BM643" i="1"/>
  <c r="BN643" i="1"/>
  <c r="BO643" i="1"/>
  <c r="BP643" i="1"/>
  <c r="BQ643" i="1"/>
  <c r="BR643" i="1"/>
  <c r="BS643" i="1"/>
  <c r="BT643" i="1"/>
  <c r="BU643" i="1"/>
  <c r="BV643" i="1"/>
  <c r="BW643" i="1"/>
  <c r="BX643" i="1"/>
  <c r="BY643" i="1"/>
  <c r="BZ643" i="1"/>
  <c r="CA643" i="1"/>
  <c r="CB643" i="1"/>
  <c r="CC643" i="1"/>
  <c r="CD643" i="1"/>
  <c r="CE643" i="1"/>
  <c r="CF643" i="1"/>
  <c r="CG643" i="1"/>
  <c r="CH643" i="1"/>
  <c r="CI643" i="1"/>
  <c r="CJ643" i="1"/>
  <c r="CK643" i="1"/>
  <c r="BM644" i="1"/>
  <c r="BN644" i="1"/>
  <c r="BO644" i="1"/>
  <c r="BP644" i="1"/>
  <c r="BQ644" i="1"/>
  <c r="BR644" i="1"/>
  <c r="BS644" i="1"/>
  <c r="BT644" i="1"/>
  <c r="BU644" i="1"/>
  <c r="BV644" i="1"/>
  <c r="BW644" i="1"/>
  <c r="BX644" i="1"/>
  <c r="BY644" i="1"/>
  <c r="BZ644" i="1"/>
  <c r="CA644" i="1"/>
  <c r="CB644" i="1"/>
  <c r="CC644" i="1"/>
  <c r="CD644" i="1"/>
  <c r="CE644" i="1"/>
  <c r="CF644" i="1"/>
  <c r="CG644" i="1"/>
  <c r="CH644" i="1"/>
  <c r="CI644" i="1"/>
  <c r="CJ644" i="1"/>
  <c r="CK644" i="1"/>
  <c r="BM645" i="1"/>
  <c r="BN645" i="1"/>
  <c r="BO645" i="1"/>
  <c r="BP645" i="1"/>
  <c r="BQ645" i="1"/>
  <c r="BR645" i="1"/>
  <c r="BS645" i="1"/>
  <c r="BT645" i="1"/>
  <c r="BU645" i="1"/>
  <c r="BV645" i="1"/>
  <c r="BW645" i="1"/>
  <c r="BX645" i="1"/>
  <c r="BY645" i="1"/>
  <c r="BZ645" i="1"/>
  <c r="CA645" i="1"/>
  <c r="CB645" i="1"/>
  <c r="CC645" i="1"/>
  <c r="CD645" i="1"/>
  <c r="CE645" i="1"/>
  <c r="CF645" i="1"/>
  <c r="CG645" i="1"/>
  <c r="CH645" i="1"/>
  <c r="CI645" i="1"/>
  <c r="CJ645" i="1"/>
  <c r="CK645" i="1"/>
  <c r="BM646" i="1"/>
  <c r="BN646" i="1"/>
  <c r="BO646" i="1"/>
  <c r="BP646" i="1"/>
  <c r="BQ646" i="1"/>
  <c r="BR646" i="1"/>
  <c r="BS646" i="1"/>
  <c r="BT646" i="1"/>
  <c r="BU646" i="1"/>
  <c r="BV646" i="1"/>
  <c r="BW646" i="1"/>
  <c r="BX646" i="1"/>
  <c r="BY646" i="1"/>
  <c r="BZ646" i="1"/>
  <c r="CA646" i="1"/>
  <c r="CB646" i="1"/>
  <c r="CC646" i="1"/>
  <c r="CD646" i="1"/>
  <c r="CE646" i="1"/>
  <c r="CF646" i="1"/>
  <c r="CG646" i="1"/>
  <c r="CH646" i="1"/>
  <c r="CI646" i="1"/>
  <c r="CJ646" i="1"/>
  <c r="CK646" i="1"/>
  <c r="BM647" i="1"/>
  <c r="BN647" i="1"/>
  <c r="BO647" i="1"/>
  <c r="BP647" i="1"/>
  <c r="BQ647" i="1"/>
  <c r="BR647" i="1"/>
  <c r="BS647" i="1"/>
  <c r="BT647" i="1"/>
  <c r="BU647" i="1"/>
  <c r="BV647" i="1"/>
  <c r="BW647" i="1"/>
  <c r="BX647" i="1"/>
  <c r="BY647" i="1"/>
  <c r="BZ647" i="1"/>
  <c r="CA647" i="1"/>
  <c r="CB647" i="1"/>
  <c r="CC647" i="1"/>
  <c r="CD647" i="1"/>
  <c r="CE647" i="1"/>
  <c r="CF647" i="1"/>
  <c r="CG647" i="1"/>
  <c r="CH647" i="1"/>
  <c r="CI647" i="1"/>
  <c r="CJ647" i="1"/>
  <c r="CK647" i="1"/>
  <c r="BM648" i="1"/>
  <c r="BN648" i="1"/>
  <c r="BO648" i="1"/>
  <c r="BP648" i="1"/>
  <c r="BQ648" i="1"/>
  <c r="BR648" i="1"/>
  <c r="BS648" i="1"/>
  <c r="BT648" i="1"/>
  <c r="BU648" i="1"/>
  <c r="BV648" i="1"/>
  <c r="BW648" i="1"/>
  <c r="BX648" i="1"/>
  <c r="BY648" i="1"/>
  <c r="BZ648" i="1"/>
  <c r="CA648" i="1"/>
  <c r="CB648" i="1"/>
  <c r="CC648" i="1"/>
  <c r="CD648" i="1"/>
  <c r="CE648" i="1"/>
  <c r="CF648" i="1"/>
  <c r="CG648" i="1"/>
  <c r="CH648" i="1"/>
  <c r="CI648" i="1"/>
  <c r="CJ648" i="1"/>
  <c r="CK648" i="1"/>
  <c r="BM649" i="1"/>
  <c r="BN649" i="1"/>
  <c r="BO649" i="1"/>
  <c r="BP649" i="1"/>
  <c r="BQ649" i="1"/>
  <c r="BR649" i="1"/>
  <c r="BS649" i="1"/>
  <c r="BT649" i="1"/>
  <c r="BU649" i="1"/>
  <c r="BV649" i="1"/>
  <c r="BW649" i="1"/>
  <c r="BX649" i="1"/>
  <c r="BY649" i="1"/>
  <c r="BZ649" i="1"/>
  <c r="CA649" i="1"/>
  <c r="CB649" i="1"/>
  <c r="CC649" i="1"/>
  <c r="CD649" i="1"/>
  <c r="CE649" i="1"/>
  <c r="CF649" i="1"/>
  <c r="CG649" i="1"/>
  <c r="CH649" i="1"/>
  <c r="CI649" i="1"/>
  <c r="CJ649" i="1"/>
  <c r="CK649" i="1"/>
  <c r="BM650" i="1"/>
  <c r="BN650" i="1"/>
  <c r="BO650" i="1"/>
  <c r="BP650" i="1"/>
  <c r="BQ650" i="1"/>
  <c r="BR650" i="1"/>
  <c r="BS650" i="1"/>
  <c r="BT650" i="1"/>
  <c r="BU650" i="1"/>
  <c r="BV650" i="1"/>
  <c r="BW650" i="1"/>
  <c r="BX650" i="1"/>
  <c r="BY650" i="1"/>
  <c r="BZ650" i="1"/>
  <c r="CA650" i="1"/>
  <c r="CB650" i="1"/>
  <c r="CC650" i="1"/>
  <c r="CD650" i="1"/>
  <c r="CE650" i="1"/>
  <c r="CF650" i="1"/>
  <c r="CG650" i="1"/>
  <c r="CH650" i="1"/>
  <c r="CI650" i="1"/>
  <c r="CJ650" i="1"/>
  <c r="CK650" i="1"/>
  <c r="DZ2" i="1"/>
  <c r="DZ653" i="1" s="1"/>
  <c r="EA2" i="1"/>
  <c r="EA653" i="1" s="1"/>
  <c r="EB2" i="1"/>
  <c r="EB653" i="1" s="1"/>
  <c r="EC2" i="1"/>
  <c r="EC653" i="1" s="1"/>
  <c r="ED2" i="1"/>
  <c r="ED653" i="1" s="1"/>
  <c r="EE2" i="1"/>
  <c r="EE653" i="1" s="1"/>
  <c r="EF2" i="1"/>
  <c r="EF653" i="1" s="1"/>
  <c r="EG2" i="1"/>
  <c r="EG653" i="1" s="1"/>
  <c r="EI2" i="1"/>
  <c r="EI653" i="1" s="1"/>
  <c r="EJ2" i="1"/>
  <c r="EJ653" i="1" s="1"/>
  <c r="EK2" i="1"/>
  <c r="EK653" i="1" s="1"/>
  <c r="DY2" i="1"/>
  <c r="DY653" i="1" s="1"/>
  <c r="DX2" i="1"/>
  <c r="DX653" i="1" s="1"/>
  <c r="DW2" i="1"/>
  <c r="DW653" i="1" s="1"/>
  <c r="DV2" i="1"/>
  <c r="DV653" i="1" s="1"/>
  <c r="DU2" i="1"/>
  <c r="DU653" i="1" s="1"/>
  <c r="DT2" i="1"/>
  <c r="DT653" i="1" s="1"/>
  <c r="DS2" i="1"/>
  <c r="DS653" i="1" s="1"/>
  <c r="DR2" i="1"/>
  <c r="DR653" i="1" s="1"/>
  <c r="DQ2" i="1"/>
  <c r="DQ653" i="1" s="1"/>
  <c r="DP2" i="1"/>
  <c r="DP653" i="1" s="1"/>
  <c r="DO2" i="1"/>
  <c r="DO653" i="1" s="1"/>
  <c r="DM2" i="1"/>
  <c r="DM653" i="1" s="1"/>
  <c r="DN2" i="1"/>
  <c r="DN653" i="1" s="1"/>
  <c r="DL2" i="1"/>
  <c r="DL653" i="1" s="1"/>
  <c r="DI2" i="1"/>
  <c r="DI653" i="1" s="1"/>
  <c r="DJ2" i="1"/>
  <c r="DJ653" i="1" s="1"/>
  <c r="DK2" i="1"/>
  <c r="DK653" i="1" s="1"/>
  <c r="DE2" i="1"/>
  <c r="DE653" i="1" s="1"/>
  <c r="DF2" i="1"/>
  <c r="DF653" i="1" s="1"/>
  <c r="DG2" i="1"/>
  <c r="DG653" i="1" s="1"/>
  <c r="CX2" i="1"/>
  <c r="CX653" i="1" s="1"/>
  <c r="CY2" i="1"/>
  <c r="CY653" i="1" s="1"/>
  <c r="CZ2" i="1"/>
  <c r="CZ653" i="1" s="1"/>
  <c r="DA2" i="1"/>
  <c r="DA653" i="1" s="1"/>
  <c r="DB2" i="1"/>
  <c r="DB653" i="1" s="1"/>
  <c r="DC2" i="1"/>
  <c r="DC653" i="1" s="1"/>
  <c r="DD2" i="1"/>
  <c r="DD653" i="1" s="1"/>
  <c r="DH2" i="1"/>
  <c r="DH653" i="1" s="1"/>
  <c r="CW2" i="1"/>
  <c r="CW653" i="1" s="1"/>
  <c r="CU2" i="1"/>
  <c r="CU653" i="1" s="1"/>
  <c r="CT2" i="1"/>
  <c r="CT653" i="1" s="1"/>
  <c r="CV2" i="1"/>
  <c r="CV653" i="1" s="1"/>
  <c r="CR2" i="1"/>
  <c r="CR653" i="1" s="1"/>
  <c r="CS2" i="1"/>
  <c r="CS653" i="1" s="1"/>
  <c r="CP2" i="1"/>
  <c r="CP653" i="1" s="1"/>
  <c r="CQ2" i="1"/>
  <c r="CQ653" i="1" s="1"/>
  <c r="CM2" i="1"/>
  <c r="CM653" i="1" s="1"/>
  <c r="CN2" i="1"/>
  <c r="CN653" i="1" s="1"/>
  <c r="CO2" i="1"/>
  <c r="CO653" i="1" s="1"/>
  <c r="CL2" i="1"/>
  <c r="CL653" i="1" s="1"/>
  <c r="CK2" i="1"/>
  <c r="CJ2" i="1"/>
  <c r="CI2" i="1"/>
  <c r="CI653" i="1" s="1"/>
  <c r="CH2" i="1"/>
  <c r="CG2" i="1"/>
  <c r="CD2" i="1"/>
  <c r="CD653" i="1" s="1"/>
  <c r="CE2" i="1"/>
  <c r="CF2" i="1"/>
  <c r="CB2" i="1"/>
  <c r="CB653" i="1" s="1"/>
  <c r="CC2" i="1"/>
  <c r="BZ2" i="1"/>
  <c r="CA2" i="1"/>
  <c r="CA653" i="1" s="1"/>
  <c r="BY2" i="1"/>
  <c r="BW2" i="1"/>
  <c r="BV2" i="1"/>
  <c r="BV653" i="1" s="1"/>
  <c r="BU2" i="1"/>
  <c r="BT2" i="1"/>
  <c r="BS2" i="1"/>
  <c r="BS653" i="1" s="1"/>
  <c r="BX2" i="1"/>
  <c r="BM2" i="1"/>
  <c r="BN2" i="1"/>
  <c r="BN653" i="1" s="1"/>
  <c r="BO2" i="1"/>
  <c r="BP2" i="1"/>
  <c r="BQ2" i="1"/>
  <c r="BQ653" i="1" s="1"/>
  <c r="BR2" i="1"/>
  <c r="AX4" i="1"/>
  <c r="AY4" i="1"/>
  <c r="AZ4" i="1"/>
  <c r="BA4" i="1"/>
  <c r="BB4" i="1"/>
  <c r="BC4" i="1"/>
  <c r="BD4" i="1"/>
  <c r="BE4" i="1"/>
  <c r="BF4" i="1"/>
  <c r="BG4" i="1"/>
  <c r="BH4" i="1"/>
  <c r="BI4" i="1"/>
  <c r="BJ4" i="1"/>
  <c r="BK4" i="1"/>
  <c r="BL4" i="1"/>
  <c r="AX5" i="1"/>
  <c r="AY5" i="1"/>
  <c r="AZ5" i="1"/>
  <c r="BA5" i="1"/>
  <c r="BB5" i="1"/>
  <c r="BC5" i="1"/>
  <c r="BD5" i="1"/>
  <c r="BE5" i="1"/>
  <c r="BF5" i="1"/>
  <c r="BG5" i="1"/>
  <c r="BH5" i="1"/>
  <c r="BI5" i="1"/>
  <c r="BJ5" i="1"/>
  <c r="BK5" i="1"/>
  <c r="BL5" i="1"/>
  <c r="AX6" i="1"/>
  <c r="AY6" i="1"/>
  <c r="AZ6" i="1"/>
  <c r="BA6" i="1"/>
  <c r="BB6" i="1"/>
  <c r="BC6" i="1"/>
  <c r="BD6" i="1"/>
  <c r="BE6" i="1"/>
  <c r="BF6" i="1"/>
  <c r="BG6" i="1"/>
  <c r="BH6" i="1"/>
  <c r="BI6" i="1"/>
  <c r="BJ6" i="1"/>
  <c r="BK6" i="1"/>
  <c r="BL6" i="1"/>
  <c r="AX7" i="1"/>
  <c r="AY7" i="1"/>
  <c r="AZ7" i="1"/>
  <c r="BA7" i="1"/>
  <c r="BB7" i="1"/>
  <c r="BC7" i="1"/>
  <c r="BD7" i="1"/>
  <c r="BE7" i="1"/>
  <c r="BF7" i="1"/>
  <c r="BG7" i="1"/>
  <c r="BH7" i="1"/>
  <c r="BI7" i="1"/>
  <c r="BJ7" i="1"/>
  <c r="BK7" i="1"/>
  <c r="BL7" i="1"/>
  <c r="AX8" i="1"/>
  <c r="AY8" i="1"/>
  <c r="AZ8" i="1"/>
  <c r="BA8" i="1"/>
  <c r="BB8" i="1"/>
  <c r="BC8" i="1"/>
  <c r="BD8" i="1"/>
  <c r="BE8" i="1"/>
  <c r="BF8" i="1"/>
  <c r="BG8" i="1"/>
  <c r="BH8" i="1"/>
  <c r="BI8" i="1"/>
  <c r="BJ8" i="1"/>
  <c r="BK8" i="1"/>
  <c r="BL8" i="1"/>
  <c r="AX9" i="1"/>
  <c r="AY9" i="1"/>
  <c r="AZ9" i="1"/>
  <c r="BA9" i="1"/>
  <c r="BB9" i="1"/>
  <c r="BC9" i="1"/>
  <c r="BD9" i="1"/>
  <c r="BE9" i="1"/>
  <c r="BF9" i="1"/>
  <c r="BG9" i="1"/>
  <c r="BH9" i="1"/>
  <c r="BI9" i="1"/>
  <c r="BJ9" i="1"/>
  <c r="BK9" i="1"/>
  <c r="BL9" i="1"/>
  <c r="AX10" i="1"/>
  <c r="AY10" i="1"/>
  <c r="AZ10" i="1"/>
  <c r="BA10" i="1"/>
  <c r="BB10" i="1"/>
  <c r="BC10" i="1"/>
  <c r="BD10" i="1"/>
  <c r="BE10" i="1"/>
  <c r="BF10" i="1"/>
  <c r="BG10" i="1"/>
  <c r="BH10" i="1"/>
  <c r="BI10" i="1"/>
  <c r="BJ10" i="1"/>
  <c r="BK10" i="1"/>
  <c r="BL10" i="1"/>
  <c r="AX11" i="1"/>
  <c r="AY11" i="1"/>
  <c r="AZ11" i="1"/>
  <c r="BA11" i="1"/>
  <c r="BB11" i="1"/>
  <c r="BC11" i="1"/>
  <c r="BD11" i="1"/>
  <c r="BE11" i="1"/>
  <c r="BF11" i="1"/>
  <c r="BG11" i="1"/>
  <c r="BH11" i="1"/>
  <c r="BI11" i="1"/>
  <c r="BJ11" i="1"/>
  <c r="BK11" i="1"/>
  <c r="BL11" i="1"/>
  <c r="AX12" i="1"/>
  <c r="AY12" i="1"/>
  <c r="AZ12" i="1"/>
  <c r="BA12" i="1"/>
  <c r="BB12" i="1"/>
  <c r="BC12" i="1"/>
  <c r="BD12" i="1"/>
  <c r="BE12" i="1"/>
  <c r="BF12" i="1"/>
  <c r="BG12" i="1"/>
  <c r="BH12" i="1"/>
  <c r="BI12" i="1"/>
  <c r="BJ12" i="1"/>
  <c r="BK12" i="1"/>
  <c r="BL12" i="1"/>
  <c r="AX13" i="1"/>
  <c r="AY13" i="1"/>
  <c r="AZ13" i="1"/>
  <c r="BA13" i="1"/>
  <c r="BB13" i="1"/>
  <c r="BC13" i="1"/>
  <c r="BD13" i="1"/>
  <c r="BE13" i="1"/>
  <c r="BF13" i="1"/>
  <c r="BG13" i="1"/>
  <c r="BH13" i="1"/>
  <c r="BI13" i="1"/>
  <c r="BJ13" i="1"/>
  <c r="BK13" i="1"/>
  <c r="BL13" i="1"/>
  <c r="AX14" i="1"/>
  <c r="AY14" i="1"/>
  <c r="AZ14" i="1"/>
  <c r="BA14" i="1"/>
  <c r="BB14" i="1"/>
  <c r="BC14" i="1"/>
  <c r="BD14" i="1"/>
  <c r="BE14" i="1"/>
  <c r="BF14" i="1"/>
  <c r="BG14" i="1"/>
  <c r="BH14" i="1"/>
  <c r="BI14" i="1"/>
  <c r="BJ14" i="1"/>
  <c r="BK14" i="1"/>
  <c r="BL14" i="1"/>
  <c r="AX15" i="1"/>
  <c r="AY15" i="1"/>
  <c r="AZ15" i="1"/>
  <c r="BA15" i="1"/>
  <c r="BB15" i="1"/>
  <c r="BC15" i="1"/>
  <c r="BD15" i="1"/>
  <c r="BE15" i="1"/>
  <c r="BF15" i="1"/>
  <c r="BG15" i="1"/>
  <c r="BH15" i="1"/>
  <c r="BI15" i="1"/>
  <c r="BJ15" i="1"/>
  <c r="BK15" i="1"/>
  <c r="BL15" i="1"/>
  <c r="AX16" i="1"/>
  <c r="AY16" i="1"/>
  <c r="AZ16" i="1"/>
  <c r="BA16" i="1"/>
  <c r="BB16" i="1"/>
  <c r="BC16" i="1"/>
  <c r="BD16" i="1"/>
  <c r="BE16" i="1"/>
  <c r="BF16" i="1"/>
  <c r="BG16" i="1"/>
  <c r="BH16" i="1"/>
  <c r="BI16" i="1"/>
  <c r="BJ16" i="1"/>
  <c r="BK16" i="1"/>
  <c r="BL16" i="1"/>
  <c r="AX17" i="1"/>
  <c r="AY17" i="1"/>
  <c r="AZ17" i="1"/>
  <c r="BA17" i="1"/>
  <c r="BB17" i="1"/>
  <c r="BC17" i="1"/>
  <c r="BD17" i="1"/>
  <c r="BE17" i="1"/>
  <c r="BF17" i="1"/>
  <c r="BG17" i="1"/>
  <c r="BH17" i="1"/>
  <c r="BI17" i="1"/>
  <c r="BJ17" i="1"/>
  <c r="BK17" i="1"/>
  <c r="BL17" i="1"/>
  <c r="AX18" i="1"/>
  <c r="AY18" i="1"/>
  <c r="AZ18" i="1"/>
  <c r="BA18" i="1"/>
  <c r="BB18" i="1"/>
  <c r="BC18" i="1"/>
  <c r="BD18" i="1"/>
  <c r="BE18" i="1"/>
  <c r="BF18" i="1"/>
  <c r="BG18" i="1"/>
  <c r="BH18" i="1"/>
  <c r="BI18" i="1"/>
  <c r="BJ18" i="1"/>
  <c r="BK18" i="1"/>
  <c r="BL18" i="1"/>
  <c r="AX19" i="1"/>
  <c r="AY19" i="1"/>
  <c r="AZ19" i="1"/>
  <c r="BA19" i="1"/>
  <c r="BB19" i="1"/>
  <c r="BC19" i="1"/>
  <c r="BD19" i="1"/>
  <c r="BE19" i="1"/>
  <c r="BF19" i="1"/>
  <c r="BG19" i="1"/>
  <c r="BH19" i="1"/>
  <c r="BI19" i="1"/>
  <c r="BJ19" i="1"/>
  <c r="BK19" i="1"/>
  <c r="BL19" i="1"/>
  <c r="AX20" i="1"/>
  <c r="AY20" i="1"/>
  <c r="AZ20" i="1"/>
  <c r="BA20" i="1"/>
  <c r="BB20" i="1"/>
  <c r="BC20" i="1"/>
  <c r="BD20" i="1"/>
  <c r="BE20" i="1"/>
  <c r="BF20" i="1"/>
  <c r="BG20" i="1"/>
  <c r="BH20" i="1"/>
  <c r="BI20" i="1"/>
  <c r="BJ20" i="1"/>
  <c r="BK20" i="1"/>
  <c r="BL20" i="1"/>
  <c r="AX21" i="1"/>
  <c r="AY21" i="1"/>
  <c r="AZ21" i="1"/>
  <c r="BA21" i="1"/>
  <c r="BB21" i="1"/>
  <c r="BC21" i="1"/>
  <c r="BD21" i="1"/>
  <c r="BE21" i="1"/>
  <c r="BF21" i="1"/>
  <c r="BG21" i="1"/>
  <c r="BH21" i="1"/>
  <c r="BI21" i="1"/>
  <c r="BJ21" i="1"/>
  <c r="BK21" i="1"/>
  <c r="BL21" i="1"/>
  <c r="AX22" i="1"/>
  <c r="AY22" i="1"/>
  <c r="AZ22" i="1"/>
  <c r="BA22" i="1"/>
  <c r="BB22" i="1"/>
  <c r="BC22" i="1"/>
  <c r="BD22" i="1"/>
  <c r="BE22" i="1"/>
  <c r="BF22" i="1"/>
  <c r="BG22" i="1"/>
  <c r="BH22" i="1"/>
  <c r="BI22" i="1"/>
  <c r="BJ22" i="1"/>
  <c r="BK22" i="1"/>
  <c r="BL22" i="1"/>
  <c r="AX23" i="1"/>
  <c r="AY23" i="1"/>
  <c r="AZ23" i="1"/>
  <c r="BA23" i="1"/>
  <c r="BB23" i="1"/>
  <c r="BC23" i="1"/>
  <c r="BD23" i="1"/>
  <c r="BE23" i="1"/>
  <c r="BF23" i="1"/>
  <c r="BG23" i="1"/>
  <c r="BH23" i="1"/>
  <c r="BI23" i="1"/>
  <c r="BJ23" i="1"/>
  <c r="BK23" i="1"/>
  <c r="BL23" i="1"/>
  <c r="AX24" i="1"/>
  <c r="AY24" i="1"/>
  <c r="AZ24" i="1"/>
  <c r="BA24" i="1"/>
  <c r="BB24" i="1"/>
  <c r="BC24" i="1"/>
  <c r="BD24" i="1"/>
  <c r="BE24" i="1"/>
  <c r="BF24" i="1"/>
  <c r="BG24" i="1"/>
  <c r="BH24" i="1"/>
  <c r="BI24" i="1"/>
  <c r="BJ24" i="1"/>
  <c r="BK24" i="1"/>
  <c r="BL24" i="1"/>
  <c r="AX25" i="1"/>
  <c r="AY25" i="1"/>
  <c r="AZ25" i="1"/>
  <c r="BA25" i="1"/>
  <c r="BB25" i="1"/>
  <c r="BC25" i="1"/>
  <c r="BD25" i="1"/>
  <c r="BE25" i="1"/>
  <c r="BF25" i="1"/>
  <c r="BG25" i="1"/>
  <c r="BH25" i="1"/>
  <c r="BI25" i="1"/>
  <c r="BJ25" i="1"/>
  <c r="BK25" i="1"/>
  <c r="BL25" i="1"/>
  <c r="AX26" i="1"/>
  <c r="AY26" i="1"/>
  <c r="AZ26" i="1"/>
  <c r="BA26" i="1"/>
  <c r="BB26" i="1"/>
  <c r="BC26" i="1"/>
  <c r="BD26" i="1"/>
  <c r="BE26" i="1"/>
  <c r="BF26" i="1"/>
  <c r="BG26" i="1"/>
  <c r="BH26" i="1"/>
  <c r="BI26" i="1"/>
  <c r="BJ26" i="1"/>
  <c r="BK26" i="1"/>
  <c r="BL26" i="1"/>
  <c r="AX27" i="1"/>
  <c r="AY27" i="1"/>
  <c r="AZ27" i="1"/>
  <c r="BA27" i="1"/>
  <c r="BB27" i="1"/>
  <c r="BC27" i="1"/>
  <c r="BD27" i="1"/>
  <c r="BE27" i="1"/>
  <c r="BF27" i="1"/>
  <c r="BG27" i="1"/>
  <c r="BH27" i="1"/>
  <c r="BI27" i="1"/>
  <c r="BJ27" i="1"/>
  <c r="BK27" i="1"/>
  <c r="BL27" i="1"/>
  <c r="AX28" i="1"/>
  <c r="AY28" i="1"/>
  <c r="AZ28" i="1"/>
  <c r="BA28" i="1"/>
  <c r="BB28" i="1"/>
  <c r="BC28" i="1"/>
  <c r="BD28" i="1"/>
  <c r="BE28" i="1"/>
  <c r="BF28" i="1"/>
  <c r="BG28" i="1"/>
  <c r="BH28" i="1"/>
  <c r="BI28" i="1"/>
  <c r="BJ28" i="1"/>
  <c r="BK28" i="1"/>
  <c r="BL28" i="1"/>
  <c r="AX29" i="1"/>
  <c r="AY29" i="1"/>
  <c r="AZ29" i="1"/>
  <c r="BA29" i="1"/>
  <c r="BB29" i="1"/>
  <c r="BC29" i="1"/>
  <c r="BD29" i="1"/>
  <c r="BE29" i="1"/>
  <c r="BF29" i="1"/>
  <c r="BG29" i="1"/>
  <c r="BH29" i="1"/>
  <c r="BI29" i="1"/>
  <c r="BJ29" i="1"/>
  <c r="BK29" i="1"/>
  <c r="BL29" i="1"/>
  <c r="AX30" i="1"/>
  <c r="AY30" i="1"/>
  <c r="AZ30" i="1"/>
  <c r="BA30" i="1"/>
  <c r="BB30" i="1"/>
  <c r="BC30" i="1"/>
  <c r="BD30" i="1"/>
  <c r="BE30" i="1"/>
  <c r="BF30" i="1"/>
  <c r="BG30" i="1"/>
  <c r="BH30" i="1"/>
  <c r="BI30" i="1"/>
  <c r="BJ30" i="1"/>
  <c r="BK30" i="1"/>
  <c r="BL30" i="1"/>
  <c r="AX31" i="1"/>
  <c r="AY31" i="1"/>
  <c r="AZ31" i="1"/>
  <c r="BA31" i="1"/>
  <c r="BB31" i="1"/>
  <c r="BC31" i="1"/>
  <c r="BD31" i="1"/>
  <c r="BE31" i="1"/>
  <c r="BF31" i="1"/>
  <c r="BG31" i="1"/>
  <c r="BH31" i="1"/>
  <c r="BI31" i="1"/>
  <c r="BJ31" i="1"/>
  <c r="BK31" i="1"/>
  <c r="BL31" i="1"/>
  <c r="AX32" i="1"/>
  <c r="AY32" i="1"/>
  <c r="AZ32" i="1"/>
  <c r="BA32" i="1"/>
  <c r="BB32" i="1"/>
  <c r="BC32" i="1"/>
  <c r="BD32" i="1"/>
  <c r="BE32" i="1"/>
  <c r="BF32" i="1"/>
  <c r="BG32" i="1"/>
  <c r="BH32" i="1"/>
  <c r="BI32" i="1"/>
  <c r="BJ32" i="1"/>
  <c r="BK32" i="1"/>
  <c r="BL32" i="1"/>
  <c r="AX33" i="1"/>
  <c r="AY33" i="1"/>
  <c r="AZ33" i="1"/>
  <c r="BA33" i="1"/>
  <c r="BB33" i="1"/>
  <c r="BC33" i="1"/>
  <c r="BD33" i="1"/>
  <c r="BE33" i="1"/>
  <c r="BF33" i="1"/>
  <c r="BG33" i="1"/>
  <c r="BH33" i="1"/>
  <c r="BI33" i="1"/>
  <c r="BJ33" i="1"/>
  <c r="BK33" i="1"/>
  <c r="BL33" i="1"/>
  <c r="AX34" i="1"/>
  <c r="AY34" i="1"/>
  <c r="AZ34" i="1"/>
  <c r="BA34" i="1"/>
  <c r="BB34" i="1"/>
  <c r="BC34" i="1"/>
  <c r="BD34" i="1"/>
  <c r="BE34" i="1"/>
  <c r="BF34" i="1"/>
  <c r="BG34" i="1"/>
  <c r="BH34" i="1"/>
  <c r="BI34" i="1"/>
  <c r="BJ34" i="1"/>
  <c r="BK34" i="1"/>
  <c r="BL34" i="1"/>
  <c r="AX35" i="1"/>
  <c r="AY35" i="1"/>
  <c r="AZ35" i="1"/>
  <c r="BA35" i="1"/>
  <c r="BB35" i="1"/>
  <c r="BC35" i="1"/>
  <c r="BD35" i="1"/>
  <c r="BE35" i="1"/>
  <c r="BF35" i="1"/>
  <c r="BG35" i="1"/>
  <c r="BH35" i="1"/>
  <c r="BI35" i="1"/>
  <c r="BJ35" i="1"/>
  <c r="BK35" i="1"/>
  <c r="BL35" i="1"/>
  <c r="AX36" i="1"/>
  <c r="AY36" i="1"/>
  <c r="AZ36" i="1"/>
  <c r="BA36" i="1"/>
  <c r="BB36" i="1"/>
  <c r="BC36" i="1"/>
  <c r="BD36" i="1"/>
  <c r="BE36" i="1"/>
  <c r="BF36" i="1"/>
  <c r="BG36" i="1"/>
  <c r="BH36" i="1"/>
  <c r="BI36" i="1"/>
  <c r="BJ36" i="1"/>
  <c r="BK36" i="1"/>
  <c r="BL36" i="1"/>
  <c r="AX37" i="1"/>
  <c r="AY37" i="1"/>
  <c r="AZ37" i="1"/>
  <c r="BA37" i="1"/>
  <c r="BB37" i="1"/>
  <c r="BC37" i="1"/>
  <c r="BD37" i="1"/>
  <c r="BE37" i="1"/>
  <c r="BF37" i="1"/>
  <c r="BG37" i="1"/>
  <c r="BH37" i="1"/>
  <c r="BI37" i="1"/>
  <c r="BJ37" i="1"/>
  <c r="BK37" i="1"/>
  <c r="BL37" i="1"/>
  <c r="AX38" i="1"/>
  <c r="AY38" i="1"/>
  <c r="AZ38" i="1"/>
  <c r="BA38" i="1"/>
  <c r="BB38" i="1"/>
  <c r="BC38" i="1"/>
  <c r="BD38" i="1"/>
  <c r="BE38" i="1"/>
  <c r="BF38" i="1"/>
  <c r="BG38" i="1"/>
  <c r="BH38" i="1"/>
  <c r="BI38" i="1"/>
  <c r="BJ38" i="1"/>
  <c r="BK38" i="1"/>
  <c r="BL38" i="1"/>
  <c r="AX39" i="1"/>
  <c r="AY39" i="1"/>
  <c r="AZ39" i="1"/>
  <c r="BA39" i="1"/>
  <c r="BB39" i="1"/>
  <c r="BC39" i="1"/>
  <c r="BD39" i="1"/>
  <c r="BE39" i="1"/>
  <c r="BF39" i="1"/>
  <c r="BG39" i="1"/>
  <c r="BH39" i="1"/>
  <c r="BI39" i="1"/>
  <c r="BJ39" i="1"/>
  <c r="BK39" i="1"/>
  <c r="BL39" i="1"/>
  <c r="AX40" i="1"/>
  <c r="AY40" i="1"/>
  <c r="AZ40" i="1"/>
  <c r="BA40" i="1"/>
  <c r="BB40" i="1"/>
  <c r="BC40" i="1"/>
  <c r="BD40" i="1"/>
  <c r="BE40" i="1"/>
  <c r="BF40" i="1"/>
  <c r="BG40" i="1"/>
  <c r="BH40" i="1"/>
  <c r="BI40" i="1"/>
  <c r="BJ40" i="1"/>
  <c r="BK40" i="1"/>
  <c r="BL40" i="1"/>
  <c r="AX41" i="1"/>
  <c r="AY41" i="1"/>
  <c r="AZ41" i="1"/>
  <c r="BA41" i="1"/>
  <c r="BB41" i="1"/>
  <c r="BC41" i="1"/>
  <c r="BD41" i="1"/>
  <c r="BE41" i="1"/>
  <c r="BF41" i="1"/>
  <c r="BG41" i="1"/>
  <c r="BH41" i="1"/>
  <c r="BI41" i="1"/>
  <c r="BJ41" i="1"/>
  <c r="BK41" i="1"/>
  <c r="BL41" i="1"/>
  <c r="AX42" i="1"/>
  <c r="AY42" i="1"/>
  <c r="AZ42" i="1"/>
  <c r="BA42" i="1"/>
  <c r="BB42" i="1"/>
  <c r="BC42" i="1"/>
  <c r="BD42" i="1"/>
  <c r="BE42" i="1"/>
  <c r="BF42" i="1"/>
  <c r="BG42" i="1"/>
  <c r="BH42" i="1"/>
  <c r="BI42" i="1"/>
  <c r="BJ42" i="1"/>
  <c r="BK42" i="1"/>
  <c r="BL42" i="1"/>
  <c r="AX43" i="1"/>
  <c r="AY43" i="1"/>
  <c r="AZ43" i="1"/>
  <c r="BA43" i="1"/>
  <c r="BB43" i="1"/>
  <c r="BC43" i="1"/>
  <c r="BD43" i="1"/>
  <c r="BE43" i="1"/>
  <c r="BF43" i="1"/>
  <c r="BG43" i="1"/>
  <c r="BH43" i="1"/>
  <c r="BI43" i="1"/>
  <c r="BJ43" i="1"/>
  <c r="BK43" i="1"/>
  <c r="BL43" i="1"/>
  <c r="AX44" i="1"/>
  <c r="AY44" i="1"/>
  <c r="AZ44" i="1"/>
  <c r="BA44" i="1"/>
  <c r="BB44" i="1"/>
  <c r="BC44" i="1"/>
  <c r="BD44" i="1"/>
  <c r="BE44" i="1"/>
  <c r="BF44" i="1"/>
  <c r="BG44" i="1"/>
  <c r="BH44" i="1"/>
  <c r="BI44" i="1"/>
  <c r="BJ44" i="1"/>
  <c r="BK44" i="1"/>
  <c r="BL44" i="1"/>
  <c r="AX45" i="1"/>
  <c r="AY45" i="1"/>
  <c r="AZ45" i="1"/>
  <c r="BA45" i="1"/>
  <c r="BB45" i="1"/>
  <c r="BC45" i="1"/>
  <c r="BD45" i="1"/>
  <c r="BE45" i="1"/>
  <c r="BF45" i="1"/>
  <c r="BG45" i="1"/>
  <c r="BH45" i="1"/>
  <c r="BI45" i="1"/>
  <c r="BJ45" i="1"/>
  <c r="BK45" i="1"/>
  <c r="BL45" i="1"/>
  <c r="AX46" i="1"/>
  <c r="AY46" i="1"/>
  <c r="AZ46" i="1"/>
  <c r="BA46" i="1"/>
  <c r="BB46" i="1"/>
  <c r="BC46" i="1"/>
  <c r="BD46" i="1"/>
  <c r="BE46" i="1"/>
  <c r="BF46" i="1"/>
  <c r="BG46" i="1"/>
  <c r="BH46" i="1"/>
  <c r="BI46" i="1"/>
  <c r="BJ46" i="1"/>
  <c r="BK46" i="1"/>
  <c r="BL46" i="1"/>
  <c r="AX47" i="1"/>
  <c r="AY47" i="1"/>
  <c r="AZ47" i="1"/>
  <c r="BA47" i="1"/>
  <c r="BB47" i="1"/>
  <c r="BC47" i="1"/>
  <c r="BD47" i="1"/>
  <c r="BE47" i="1"/>
  <c r="BF47" i="1"/>
  <c r="BG47" i="1"/>
  <c r="BH47" i="1"/>
  <c r="BI47" i="1"/>
  <c r="BJ47" i="1"/>
  <c r="BK47" i="1"/>
  <c r="BL47" i="1"/>
  <c r="AX48" i="1"/>
  <c r="AY48" i="1"/>
  <c r="AZ48" i="1"/>
  <c r="BA48" i="1"/>
  <c r="BB48" i="1"/>
  <c r="BC48" i="1"/>
  <c r="BD48" i="1"/>
  <c r="BE48" i="1"/>
  <c r="BF48" i="1"/>
  <c r="BG48" i="1"/>
  <c r="BH48" i="1"/>
  <c r="BI48" i="1"/>
  <c r="BJ48" i="1"/>
  <c r="BK48" i="1"/>
  <c r="BL48" i="1"/>
  <c r="AX49" i="1"/>
  <c r="AY49" i="1"/>
  <c r="AZ49" i="1"/>
  <c r="BA49" i="1"/>
  <c r="BB49" i="1"/>
  <c r="BC49" i="1"/>
  <c r="BD49" i="1"/>
  <c r="BE49" i="1"/>
  <c r="BF49" i="1"/>
  <c r="BG49" i="1"/>
  <c r="BH49" i="1"/>
  <c r="BI49" i="1"/>
  <c r="BJ49" i="1"/>
  <c r="BK49" i="1"/>
  <c r="BL49" i="1"/>
  <c r="AX50" i="1"/>
  <c r="AY50" i="1"/>
  <c r="AZ50" i="1"/>
  <c r="BA50" i="1"/>
  <c r="BB50" i="1"/>
  <c r="BC50" i="1"/>
  <c r="BD50" i="1"/>
  <c r="BE50" i="1"/>
  <c r="BF50" i="1"/>
  <c r="BG50" i="1"/>
  <c r="BH50" i="1"/>
  <c r="BI50" i="1"/>
  <c r="BJ50" i="1"/>
  <c r="BK50" i="1"/>
  <c r="BL50" i="1"/>
  <c r="AX51" i="1"/>
  <c r="AY51" i="1"/>
  <c r="AZ51" i="1"/>
  <c r="BA51" i="1"/>
  <c r="BB51" i="1"/>
  <c r="BC51" i="1"/>
  <c r="BD51" i="1"/>
  <c r="BE51" i="1"/>
  <c r="BF51" i="1"/>
  <c r="BG51" i="1"/>
  <c r="BH51" i="1"/>
  <c r="BI51" i="1"/>
  <c r="BJ51" i="1"/>
  <c r="BK51" i="1"/>
  <c r="BL51" i="1"/>
  <c r="AX52" i="1"/>
  <c r="AY52" i="1"/>
  <c r="AZ52" i="1"/>
  <c r="BA52" i="1"/>
  <c r="BB52" i="1"/>
  <c r="BC52" i="1"/>
  <c r="BD52" i="1"/>
  <c r="BE52" i="1"/>
  <c r="BF52" i="1"/>
  <c r="BG52" i="1"/>
  <c r="BH52" i="1"/>
  <c r="BI52" i="1"/>
  <c r="BJ52" i="1"/>
  <c r="BK52" i="1"/>
  <c r="BL52" i="1"/>
  <c r="AX53" i="1"/>
  <c r="AY53" i="1"/>
  <c r="AZ53" i="1"/>
  <c r="BA53" i="1"/>
  <c r="BB53" i="1"/>
  <c r="BC53" i="1"/>
  <c r="BD53" i="1"/>
  <c r="BE53" i="1"/>
  <c r="BF53" i="1"/>
  <c r="BG53" i="1"/>
  <c r="BH53" i="1"/>
  <c r="BI53" i="1"/>
  <c r="BJ53" i="1"/>
  <c r="BK53" i="1"/>
  <c r="BL53" i="1"/>
  <c r="AX54" i="1"/>
  <c r="AY54" i="1"/>
  <c r="AZ54" i="1"/>
  <c r="BA54" i="1"/>
  <c r="BB54" i="1"/>
  <c r="BC54" i="1"/>
  <c r="BD54" i="1"/>
  <c r="BE54" i="1"/>
  <c r="BF54" i="1"/>
  <c r="BG54" i="1"/>
  <c r="BH54" i="1"/>
  <c r="BI54" i="1"/>
  <c r="BJ54" i="1"/>
  <c r="BK54" i="1"/>
  <c r="BL54" i="1"/>
  <c r="AX55" i="1"/>
  <c r="AY55" i="1"/>
  <c r="AZ55" i="1"/>
  <c r="BA55" i="1"/>
  <c r="BB55" i="1"/>
  <c r="BC55" i="1"/>
  <c r="BD55" i="1"/>
  <c r="BE55" i="1"/>
  <c r="BF55" i="1"/>
  <c r="BG55" i="1"/>
  <c r="BH55" i="1"/>
  <c r="BI55" i="1"/>
  <c r="BJ55" i="1"/>
  <c r="BK55" i="1"/>
  <c r="BL55" i="1"/>
  <c r="AX56" i="1"/>
  <c r="AY56" i="1"/>
  <c r="AZ56" i="1"/>
  <c r="BA56" i="1"/>
  <c r="BB56" i="1"/>
  <c r="BC56" i="1"/>
  <c r="BD56" i="1"/>
  <c r="BE56" i="1"/>
  <c r="BF56" i="1"/>
  <c r="BG56" i="1"/>
  <c r="BH56" i="1"/>
  <c r="BI56" i="1"/>
  <c r="BJ56" i="1"/>
  <c r="BK56" i="1"/>
  <c r="BL56" i="1"/>
  <c r="AX57" i="1"/>
  <c r="AY57" i="1"/>
  <c r="AZ57" i="1"/>
  <c r="BA57" i="1"/>
  <c r="BB57" i="1"/>
  <c r="BC57" i="1"/>
  <c r="BD57" i="1"/>
  <c r="BE57" i="1"/>
  <c r="BF57" i="1"/>
  <c r="BG57" i="1"/>
  <c r="BH57" i="1"/>
  <c r="BI57" i="1"/>
  <c r="BJ57" i="1"/>
  <c r="BK57" i="1"/>
  <c r="BL57" i="1"/>
  <c r="AX58" i="1"/>
  <c r="AY58" i="1"/>
  <c r="AZ58" i="1"/>
  <c r="BA58" i="1"/>
  <c r="BB58" i="1"/>
  <c r="BC58" i="1"/>
  <c r="BD58" i="1"/>
  <c r="BE58" i="1"/>
  <c r="BF58" i="1"/>
  <c r="BG58" i="1"/>
  <c r="BH58" i="1"/>
  <c r="BI58" i="1"/>
  <c r="BJ58" i="1"/>
  <c r="BK58" i="1"/>
  <c r="BL58" i="1"/>
  <c r="AX59" i="1"/>
  <c r="AY59" i="1"/>
  <c r="AZ59" i="1"/>
  <c r="BA59" i="1"/>
  <c r="BB59" i="1"/>
  <c r="BC59" i="1"/>
  <c r="BD59" i="1"/>
  <c r="BE59" i="1"/>
  <c r="BF59" i="1"/>
  <c r="BG59" i="1"/>
  <c r="BH59" i="1"/>
  <c r="BI59" i="1"/>
  <c r="BJ59" i="1"/>
  <c r="BK59" i="1"/>
  <c r="BL59" i="1"/>
  <c r="AX60" i="1"/>
  <c r="AY60" i="1"/>
  <c r="AZ60" i="1"/>
  <c r="BA60" i="1"/>
  <c r="BB60" i="1"/>
  <c r="BC60" i="1"/>
  <c r="BD60" i="1"/>
  <c r="BE60" i="1"/>
  <c r="BF60" i="1"/>
  <c r="BG60" i="1"/>
  <c r="BH60" i="1"/>
  <c r="BI60" i="1"/>
  <c r="BJ60" i="1"/>
  <c r="BK60" i="1"/>
  <c r="BL60" i="1"/>
  <c r="AX61" i="1"/>
  <c r="AY61" i="1"/>
  <c r="AZ61" i="1"/>
  <c r="BA61" i="1"/>
  <c r="BB61" i="1"/>
  <c r="BC61" i="1"/>
  <c r="BD61" i="1"/>
  <c r="BE61" i="1"/>
  <c r="BF61" i="1"/>
  <c r="BG61" i="1"/>
  <c r="BH61" i="1"/>
  <c r="BI61" i="1"/>
  <c r="BJ61" i="1"/>
  <c r="BK61" i="1"/>
  <c r="BL61" i="1"/>
  <c r="AX62" i="1"/>
  <c r="AY62" i="1"/>
  <c r="AZ62" i="1"/>
  <c r="BA62" i="1"/>
  <c r="BB62" i="1"/>
  <c r="BC62" i="1"/>
  <c r="BD62" i="1"/>
  <c r="BE62" i="1"/>
  <c r="BF62" i="1"/>
  <c r="BG62" i="1"/>
  <c r="BH62" i="1"/>
  <c r="BI62" i="1"/>
  <c r="BJ62" i="1"/>
  <c r="BK62" i="1"/>
  <c r="BL62" i="1"/>
  <c r="AX63" i="1"/>
  <c r="AY63" i="1"/>
  <c r="AZ63" i="1"/>
  <c r="BA63" i="1"/>
  <c r="BB63" i="1"/>
  <c r="BC63" i="1"/>
  <c r="BD63" i="1"/>
  <c r="BE63" i="1"/>
  <c r="BF63" i="1"/>
  <c r="BG63" i="1"/>
  <c r="BH63" i="1"/>
  <c r="BI63" i="1"/>
  <c r="BJ63" i="1"/>
  <c r="BK63" i="1"/>
  <c r="BL63" i="1"/>
  <c r="AX64" i="1"/>
  <c r="AY64" i="1"/>
  <c r="AZ64" i="1"/>
  <c r="BA64" i="1"/>
  <c r="BB64" i="1"/>
  <c r="BC64" i="1"/>
  <c r="BD64" i="1"/>
  <c r="BE64" i="1"/>
  <c r="BF64" i="1"/>
  <c r="BG64" i="1"/>
  <c r="BH64" i="1"/>
  <c r="BI64" i="1"/>
  <c r="BJ64" i="1"/>
  <c r="BK64" i="1"/>
  <c r="BL64" i="1"/>
  <c r="AX65" i="1"/>
  <c r="AY65" i="1"/>
  <c r="AZ65" i="1"/>
  <c r="BA65" i="1"/>
  <c r="BB65" i="1"/>
  <c r="BC65" i="1"/>
  <c r="BD65" i="1"/>
  <c r="BE65" i="1"/>
  <c r="BF65" i="1"/>
  <c r="BG65" i="1"/>
  <c r="BH65" i="1"/>
  <c r="BI65" i="1"/>
  <c r="BJ65" i="1"/>
  <c r="BK65" i="1"/>
  <c r="BL65" i="1"/>
  <c r="AX66" i="1"/>
  <c r="AY66" i="1"/>
  <c r="AZ66" i="1"/>
  <c r="BA66" i="1"/>
  <c r="BB66" i="1"/>
  <c r="BC66" i="1"/>
  <c r="BD66" i="1"/>
  <c r="BE66" i="1"/>
  <c r="BF66" i="1"/>
  <c r="BG66" i="1"/>
  <c r="BH66" i="1"/>
  <c r="BI66" i="1"/>
  <c r="BJ66" i="1"/>
  <c r="BK66" i="1"/>
  <c r="BL66" i="1"/>
  <c r="AX67" i="1"/>
  <c r="AY67" i="1"/>
  <c r="AZ67" i="1"/>
  <c r="BA67" i="1"/>
  <c r="BB67" i="1"/>
  <c r="BC67" i="1"/>
  <c r="BD67" i="1"/>
  <c r="BE67" i="1"/>
  <c r="BF67" i="1"/>
  <c r="BG67" i="1"/>
  <c r="BH67" i="1"/>
  <c r="BI67" i="1"/>
  <c r="BJ67" i="1"/>
  <c r="BK67" i="1"/>
  <c r="BL67" i="1"/>
  <c r="AX68" i="1"/>
  <c r="AY68" i="1"/>
  <c r="AZ68" i="1"/>
  <c r="BA68" i="1"/>
  <c r="BB68" i="1"/>
  <c r="BC68" i="1"/>
  <c r="BD68" i="1"/>
  <c r="BE68" i="1"/>
  <c r="BF68" i="1"/>
  <c r="BG68" i="1"/>
  <c r="BH68" i="1"/>
  <c r="BI68" i="1"/>
  <c r="BJ68" i="1"/>
  <c r="BK68" i="1"/>
  <c r="BL68" i="1"/>
  <c r="AX69" i="1"/>
  <c r="AY69" i="1"/>
  <c r="AZ69" i="1"/>
  <c r="BA69" i="1"/>
  <c r="BB69" i="1"/>
  <c r="BC69" i="1"/>
  <c r="BD69" i="1"/>
  <c r="BE69" i="1"/>
  <c r="BF69" i="1"/>
  <c r="BG69" i="1"/>
  <c r="BH69" i="1"/>
  <c r="BI69" i="1"/>
  <c r="BJ69" i="1"/>
  <c r="BK69" i="1"/>
  <c r="BL69" i="1"/>
  <c r="AX70" i="1"/>
  <c r="AY70" i="1"/>
  <c r="AZ70" i="1"/>
  <c r="BA70" i="1"/>
  <c r="BB70" i="1"/>
  <c r="BC70" i="1"/>
  <c r="BD70" i="1"/>
  <c r="BE70" i="1"/>
  <c r="BF70" i="1"/>
  <c r="BG70" i="1"/>
  <c r="BH70" i="1"/>
  <c r="BI70" i="1"/>
  <c r="BJ70" i="1"/>
  <c r="BK70" i="1"/>
  <c r="BL70" i="1"/>
  <c r="AX71" i="1"/>
  <c r="AY71" i="1"/>
  <c r="AZ71" i="1"/>
  <c r="BA71" i="1"/>
  <c r="BB71" i="1"/>
  <c r="BC71" i="1"/>
  <c r="BD71" i="1"/>
  <c r="BE71" i="1"/>
  <c r="BF71" i="1"/>
  <c r="BG71" i="1"/>
  <c r="BH71" i="1"/>
  <c r="BI71" i="1"/>
  <c r="BJ71" i="1"/>
  <c r="BK71" i="1"/>
  <c r="BL71" i="1"/>
  <c r="AX72" i="1"/>
  <c r="AY72" i="1"/>
  <c r="AZ72" i="1"/>
  <c r="BA72" i="1"/>
  <c r="BB72" i="1"/>
  <c r="BC72" i="1"/>
  <c r="BD72" i="1"/>
  <c r="BE72" i="1"/>
  <c r="BF72" i="1"/>
  <c r="BG72" i="1"/>
  <c r="BH72" i="1"/>
  <c r="BI72" i="1"/>
  <c r="BJ72" i="1"/>
  <c r="BK72" i="1"/>
  <c r="BL72" i="1"/>
  <c r="AX73" i="1"/>
  <c r="AY73" i="1"/>
  <c r="AZ73" i="1"/>
  <c r="BA73" i="1"/>
  <c r="BB73" i="1"/>
  <c r="BC73" i="1"/>
  <c r="BD73" i="1"/>
  <c r="BE73" i="1"/>
  <c r="BF73" i="1"/>
  <c r="BG73" i="1"/>
  <c r="BH73" i="1"/>
  <c r="BI73" i="1"/>
  <c r="BJ73" i="1"/>
  <c r="BK73" i="1"/>
  <c r="BL73" i="1"/>
  <c r="AX74" i="1"/>
  <c r="AY74" i="1"/>
  <c r="AZ74" i="1"/>
  <c r="BA74" i="1"/>
  <c r="BB74" i="1"/>
  <c r="BC74" i="1"/>
  <c r="BD74" i="1"/>
  <c r="BE74" i="1"/>
  <c r="BF74" i="1"/>
  <c r="BG74" i="1"/>
  <c r="BH74" i="1"/>
  <c r="BI74" i="1"/>
  <c r="BJ74" i="1"/>
  <c r="BK74" i="1"/>
  <c r="BL74" i="1"/>
  <c r="AX75" i="1"/>
  <c r="AY75" i="1"/>
  <c r="AZ75" i="1"/>
  <c r="BA75" i="1"/>
  <c r="BB75" i="1"/>
  <c r="BC75" i="1"/>
  <c r="BD75" i="1"/>
  <c r="BE75" i="1"/>
  <c r="BF75" i="1"/>
  <c r="BG75" i="1"/>
  <c r="BH75" i="1"/>
  <c r="BI75" i="1"/>
  <c r="BJ75" i="1"/>
  <c r="BK75" i="1"/>
  <c r="BL75" i="1"/>
  <c r="AX76" i="1"/>
  <c r="AY76" i="1"/>
  <c r="AZ76" i="1"/>
  <c r="BA76" i="1"/>
  <c r="BB76" i="1"/>
  <c r="BC76" i="1"/>
  <c r="BD76" i="1"/>
  <c r="BE76" i="1"/>
  <c r="BF76" i="1"/>
  <c r="BG76" i="1"/>
  <c r="BH76" i="1"/>
  <c r="BI76" i="1"/>
  <c r="BJ76" i="1"/>
  <c r="BK76" i="1"/>
  <c r="BL76" i="1"/>
  <c r="AX77" i="1"/>
  <c r="AY77" i="1"/>
  <c r="AZ77" i="1"/>
  <c r="BA77" i="1"/>
  <c r="BB77" i="1"/>
  <c r="BC77" i="1"/>
  <c r="BD77" i="1"/>
  <c r="BE77" i="1"/>
  <c r="BF77" i="1"/>
  <c r="BG77" i="1"/>
  <c r="BH77" i="1"/>
  <c r="BI77" i="1"/>
  <c r="BJ77" i="1"/>
  <c r="BK77" i="1"/>
  <c r="BL77" i="1"/>
  <c r="AX78" i="1"/>
  <c r="AY78" i="1"/>
  <c r="AZ78" i="1"/>
  <c r="BA78" i="1"/>
  <c r="BB78" i="1"/>
  <c r="BC78" i="1"/>
  <c r="BD78" i="1"/>
  <c r="BE78" i="1"/>
  <c r="BF78" i="1"/>
  <c r="BG78" i="1"/>
  <c r="BH78" i="1"/>
  <c r="BI78" i="1"/>
  <c r="BJ78" i="1"/>
  <c r="BK78" i="1"/>
  <c r="BL78" i="1"/>
  <c r="AX79" i="1"/>
  <c r="AY79" i="1"/>
  <c r="AZ79" i="1"/>
  <c r="BA79" i="1"/>
  <c r="BB79" i="1"/>
  <c r="BC79" i="1"/>
  <c r="BD79" i="1"/>
  <c r="BE79" i="1"/>
  <c r="BF79" i="1"/>
  <c r="BG79" i="1"/>
  <c r="BH79" i="1"/>
  <c r="BI79" i="1"/>
  <c r="BJ79" i="1"/>
  <c r="BK79" i="1"/>
  <c r="BL79" i="1"/>
  <c r="AX80" i="1"/>
  <c r="AY80" i="1"/>
  <c r="AZ80" i="1"/>
  <c r="BA80" i="1"/>
  <c r="BB80" i="1"/>
  <c r="BC80" i="1"/>
  <c r="BD80" i="1"/>
  <c r="BE80" i="1"/>
  <c r="BF80" i="1"/>
  <c r="BG80" i="1"/>
  <c r="BH80" i="1"/>
  <c r="BI80" i="1"/>
  <c r="BJ80" i="1"/>
  <c r="BK80" i="1"/>
  <c r="BL80" i="1"/>
  <c r="AX81" i="1"/>
  <c r="AY81" i="1"/>
  <c r="AZ81" i="1"/>
  <c r="BA81" i="1"/>
  <c r="BB81" i="1"/>
  <c r="BC81" i="1"/>
  <c r="BD81" i="1"/>
  <c r="BE81" i="1"/>
  <c r="BF81" i="1"/>
  <c r="BG81" i="1"/>
  <c r="BH81" i="1"/>
  <c r="BI81" i="1"/>
  <c r="BJ81" i="1"/>
  <c r="BK81" i="1"/>
  <c r="BL81" i="1"/>
  <c r="AX82" i="1"/>
  <c r="AY82" i="1"/>
  <c r="AZ82" i="1"/>
  <c r="BA82" i="1"/>
  <c r="BB82" i="1"/>
  <c r="BC82" i="1"/>
  <c r="BD82" i="1"/>
  <c r="BE82" i="1"/>
  <c r="BF82" i="1"/>
  <c r="BG82" i="1"/>
  <c r="BH82" i="1"/>
  <c r="BI82" i="1"/>
  <c r="BJ82" i="1"/>
  <c r="BK82" i="1"/>
  <c r="BL82" i="1"/>
  <c r="AX83" i="1"/>
  <c r="AY83" i="1"/>
  <c r="AZ83" i="1"/>
  <c r="BA83" i="1"/>
  <c r="BB83" i="1"/>
  <c r="BC83" i="1"/>
  <c r="BD83" i="1"/>
  <c r="BE83" i="1"/>
  <c r="BF83" i="1"/>
  <c r="BG83" i="1"/>
  <c r="BH83" i="1"/>
  <c r="BI83" i="1"/>
  <c r="BJ83" i="1"/>
  <c r="BK83" i="1"/>
  <c r="BL83" i="1"/>
  <c r="AX84" i="1"/>
  <c r="AY84" i="1"/>
  <c r="AZ84" i="1"/>
  <c r="BA84" i="1"/>
  <c r="BB84" i="1"/>
  <c r="BC84" i="1"/>
  <c r="BD84" i="1"/>
  <c r="BE84" i="1"/>
  <c r="BF84" i="1"/>
  <c r="BG84" i="1"/>
  <c r="BH84" i="1"/>
  <c r="BI84" i="1"/>
  <c r="BJ84" i="1"/>
  <c r="BK84" i="1"/>
  <c r="BL84" i="1"/>
  <c r="AX85" i="1"/>
  <c r="AY85" i="1"/>
  <c r="AZ85" i="1"/>
  <c r="BA85" i="1"/>
  <c r="BB85" i="1"/>
  <c r="BC85" i="1"/>
  <c r="BD85" i="1"/>
  <c r="BE85" i="1"/>
  <c r="BF85" i="1"/>
  <c r="BG85" i="1"/>
  <c r="BH85" i="1"/>
  <c r="BI85" i="1"/>
  <c r="BJ85" i="1"/>
  <c r="BK85" i="1"/>
  <c r="BL85" i="1"/>
  <c r="AX86" i="1"/>
  <c r="AY86" i="1"/>
  <c r="AZ86" i="1"/>
  <c r="BA86" i="1"/>
  <c r="BB86" i="1"/>
  <c r="BC86" i="1"/>
  <c r="BD86" i="1"/>
  <c r="BE86" i="1"/>
  <c r="BF86" i="1"/>
  <c r="BG86" i="1"/>
  <c r="BH86" i="1"/>
  <c r="BI86" i="1"/>
  <c r="BJ86" i="1"/>
  <c r="BK86" i="1"/>
  <c r="BL86" i="1"/>
  <c r="AX87" i="1"/>
  <c r="AY87" i="1"/>
  <c r="AZ87" i="1"/>
  <c r="BA87" i="1"/>
  <c r="BB87" i="1"/>
  <c r="BC87" i="1"/>
  <c r="BD87" i="1"/>
  <c r="BE87" i="1"/>
  <c r="BF87" i="1"/>
  <c r="BG87" i="1"/>
  <c r="BH87" i="1"/>
  <c r="BI87" i="1"/>
  <c r="BJ87" i="1"/>
  <c r="BK87" i="1"/>
  <c r="BL87" i="1"/>
  <c r="AX88" i="1"/>
  <c r="AY88" i="1"/>
  <c r="AZ88" i="1"/>
  <c r="BA88" i="1"/>
  <c r="BB88" i="1"/>
  <c r="BC88" i="1"/>
  <c r="BD88" i="1"/>
  <c r="BE88" i="1"/>
  <c r="BF88" i="1"/>
  <c r="BG88" i="1"/>
  <c r="BH88" i="1"/>
  <c r="BI88" i="1"/>
  <c r="BJ88" i="1"/>
  <c r="BK88" i="1"/>
  <c r="BL88" i="1"/>
  <c r="AX89" i="1"/>
  <c r="AY89" i="1"/>
  <c r="AZ89" i="1"/>
  <c r="BA89" i="1"/>
  <c r="BB89" i="1"/>
  <c r="BC89" i="1"/>
  <c r="BD89" i="1"/>
  <c r="BE89" i="1"/>
  <c r="BF89" i="1"/>
  <c r="BG89" i="1"/>
  <c r="BH89" i="1"/>
  <c r="BI89" i="1"/>
  <c r="BJ89" i="1"/>
  <c r="BK89" i="1"/>
  <c r="BL89" i="1"/>
  <c r="AX90" i="1"/>
  <c r="AY90" i="1"/>
  <c r="AZ90" i="1"/>
  <c r="BA90" i="1"/>
  <c r="BB90" i="1"/>
  <c r="BC90" i="1"/>
  <c r="BD90" i="1"/>
  <c r="BE90" i="1"/>
  <c r="BF90" i="1"/>
  <c r="BG90" i="1"/>
  <c r="BH90" i="1"/>
  <c r="BI90" i="1"/>
  <c r="BJ90" i="1"/>
  <c r="BK90" i="1"/>
  <c r="BL90" i="1"/>
  <c r="AX91" i="1"/>
  <c r="AY91" i="1"/>
  <c r="AZ91" i="1"/>
  <c r="BA91" i="1"/>
  <c r="BB91" i="1"/>
  <c r="BC91" i="1"/>
  <c r="BD91" i="1"/>
  <c r="BE91" i="1"/>
  <c r="BF91" i="1"/>
  <c r="BG91" i="1"/>
  <c r="BH91" i="1"/>
  <c r="BI91" i="1"/>
  <c r="BJ91" i="1"/>
  <c r="BK91" i="1"/>
  <c r="BL91" i="1"/>
  <c r="AX92" i="1"/>
  <c r="AY92" i="1"/>
  <c r="AZ92" i="1"/>
  <c r="BA92" i="1"/>
  <c r="BB92" i="1"/>
  <c r="BC92" i="1"/>
  <c r="BD92" i="1"/>
  <c r="BE92" i="1"/>
  <c r="BF92" i="1"/>
  <c r="BG92" i="1"/>
  <c r="BH92" i="1"/>
  <c r="BI92" i="1"/>
  <c r="BJ92" i="1"/>
  <c r="BK92" i="1"/>
  <c r="BL92" i="1"/>
  <c r="AX93" i="1"/>
  <c r="AY93" i="1"/>
  <c r="AZ93" i="1"/>
  <c r="BA93" i="1"/>
  <c r="BB93" i="1"/>
  <c r="BC93" i="1"/>
  <c r="BD93" i="1"/>
  <c r="BE93" i="1"/>
  <c r="BF93" i="1"/>
  <c r="BG93" i="1"/>
  <c r="BH93" i="1"/>
  <c r="BI93" i="1"/>
  <c r="BJ93" i="1"/>
  <c r="BK93" i="1"/>
  <c r="BL93" i="1"/>
  <c r="AX94" i="1"/>
  <c r="AY94" i="1"/>
  <c r="AZ94" i="1"/>
  <c r="BA94" i="1"/>
  <c r="BB94" i="1"/>
  <c r="BC94" i="1"/>
  <c r="BD94" i="1"/>
  <c r="BE94" i="1"/>
  <c r="BF94" i="1"/>
  <c r="BG94" i="1"/>
  <c r="BH94" i="1"/>
  <c r="BI94" i="1"/>
  <c r="BJ94" i="1"/>
  <c r="BK94" i="1"/>
  <c r="BL94" i="1"/>
  <c r="AX95" i="1"/>
  <c r="AY95" i="1"/>
  <c r="AZ95" i="1"/>
  <c r="BA95" i="1"/>
  <c r="BB95" i="1"/>
  <c r="BC95" i="1"/>
  <c r="BD95" i="1"/>
  <c r="BE95" i="1"/>
  <c r="BF95" i="1"/>
  <c r="BG95" i="1"/>
  <c r="BH95" i="1"/>
  <c r="BI95" i="1"/>
  <c r="BJ95" i="1"/>
  <c r="BK95" i="1"/>
  <c r="BL95" i="1"/>
  <c r="AX96" i="1"/>
  <c r="AY96" i="1"/>
  <c r="AZ96" i="1"/>
  <c r="BA96" i="1"/>
  <c r="BB96" i="1"/>
  <c r="BC96" i="1"/>
  <c r="BD96" i="1"/>
  <c r="BE96" i="1"/>
  <c r="BF96" i="1"/>
  <c r="BG96" i="1"/>
  <c r="BH96" i="1"/>
  <c r="BI96" i="1"/>
  <c r="BJ96" i="1"/>
  <c r="BK96" i="1"/>
  <c r="BL96" i="1"/>
  <c r="AX97" i="1"/>
  <c r="AY97" i="1"/>
  <c r="AZ97" i="1"/>
  <c r="BA97" i="1"/>
  <c r="BB97" i="1"/>
  <c r="BC97" i="1"/>
  <c r="BD97" i="1"/>
  <c r="BE97" i="1"/>
  <c r="BF97" i="1"/>
  <c r="BG97" i="1"/>
  <c r="BH97" i="1"/>
  <c r="BI97" i="1"/>
  <c r="BJ97" i="1"/>
  <c r="BK97" i="1"/>
  <c r="BL97" i="1"/>
  <c r="AX98" i="1"/>
  <c r="AY98" i="1"/>
  <c r="AZ98" i="1"/>
  <c r="BA98" i="1"/>
  <c r="BB98" i="1"/>
  <c r="BC98" i="1"/>
  <c r="BD98" i="1"/>
  <c r="BE98" i="1"/>
  <c r="BF98" i="1"/>
  <c r="BG98" i="1"/>
  <c r="BH98" i="1"/>
  <c r="BI98" i="1"/>
  <c r="BJ98" i="1"/>
  <c r="BK98" i="1"/>
  <c r="BL98" i="1"/>
  <c r="AX99" i="1"/>
  <c r="AY99" i="1"/>
  <c r="AZ99" i="1"/>
  <c r="BA99" i="1"/>
  <c r="BB99" i="1"/>
  <c r="BC99" i="1"/>
  <c r="BD99" i="1"/>
  <c r="BE99" i="1"/>
  <c r="BF99" i="1"/>
  <c r="BG99" i="1"/>
  <c r="BH99" i="1"/>
  <c r="BI99" i="1"/>
  <c r="BJ99" i="1"/>
  <c r="BK99" i="1"/>
  <c r="BL99" i="1"/>
  <c r="AX100" i="1"/>
  <c r="AY100" i="1"/>
  <c r="AZ100" i="1"/>
  <c r="BA100" i="1"/>
  <c r="BB100" i="1"/>
  <c r="BC100" i="1"/>
  <c r="BD100" i="1"/>
  <c r="BE100" i="1"/>
  <c r="BF100" i="1"/>
  <c r="BG100" i="1"/>
  <c r="BH100" i="1"/>
  <c r="BI100" i="1"/>
  <c r="BJ100" i="1"/>
  <c r="BK100" i="1"/>
  <c r="BL100" i="1"/>
  <c r="AX101" i="1"/>
  <c r="AY101" i="1"/>
  <c r="AZ101" i="1"/>
  <c r="BA101" i="1"/>
  <c r="BB101" i="1"/>
  <c r="BC101" i="1"/>
  <c r="BD101" i="1"/>
  <c r="BE101" i="1"/>
  <c r="BF101" i="1"/>
  <c r="BG101" i="1"/>
  <c r="BH101" i="1"/>
  <c r="BI101" i="1"/>
  <c r="BJ101" i="1"/>
  <c r="BK101" i="1"/>
  <c r="BL101" i="1"/>
  <c r="AX102" i="1"/>
  <c r="AY102" i="1"/>
  <c r="AZ102" i="1"/>
  <c r="BA102" i="1"/>
  <c r="BB102" i="1"/>
  <c r="BC102" i="1"/>
  <c r="BD102" i="1"/>
  <c r="BE102" i="1"/>
  <c r="BF102" i="1"/>
  <c r="BG102" i="1"/>
  <c r="BH102" i="1"/>
  <c r="BI102" i="1"/>
  <c r="BJ102" i="1"/>
  <c r="BK102" i="1"/>
  <c r="BL102" i="1"/>
  <c r="AX103" i="1"/>
  <c r="AY103" i="1"/>
  <c r="AZ103" i="1"/>
  <c r="BA103" i="1"/>
  <c r="BB103" i="1"/>
  <c r="BC103" i="1"/>
  <c r="BD103" i="1"/>
  <c r="BE103" i="1"/>
  <c r="BF103" i="1"/>
  <c r="BG103" i="1"/>
  <c r="BH103" i="1"/>
  <c r="BI103" i="1"/>
  <c r="BJ103" i="1"/>
  <c r="BK103" i="1"/>
  <c r="BL103" i="1"/>
  <c r="AX104" i="1"/>
  <c r="AY104" i="1"/>
  <c r="AZ104" i="1"/>
  <c r="BA104" i="1"/>
  <c r="BB104" i="1"/>
  <c r="BC104" i="1"/>
  <c r="BD104" i="1"/>
  <c r="BE104" i="1"/>
  <c r="BF104" i="1"/>
  <c r="BG104" i="1"/>
  <c r="BH104" i="1"/>
  <c r="BI104" i="1"/>
  <c r="BJ104" i="1"/>
  <c r="BK104" i="1"/>
  <c r="BL104" i="1"/>
  <c r="AX105" i="1"/>
  <c r="AY105" i="1"/>
  <c r="AZ105" i="1"/>
  <c r="BA105" i="1"/>
  <c r="BB105" i="1"/>
  <c r="BC105" i="1"/>
  <c r="BD105" i="1"/>
  <c r="BE105" i="1"/>
  <c r="BF105" i="1"/>
  <c r="BG105" i="1"/>
  <c r="BH105" i="1"/>
  <c r="BI105" i="1"/>
  <c r="BJ105" i="1"/>
  <c r="BK105" i="1"/>
  <c r="BL105" i="1"/>
  <c r="AX106" i="1"/>
  <c r="AY106" i="1"/>
  <c r="AZ106" i="1"/>
  <c r="BA106" i="1"/>
  <c r="BB106" i="1"/>
  <c r="BC106" i="1"/>
  <c r="BD106" i="1"/>
  <c r="BE106" i="1"/>
  <c r="BF106" i="1"/>
  <c r="BG106" i="1"/>
  <c r="BH106" i="1"/>
  <c r="BI106" i="1"/>
  <c r="BJ106" i="1"/>
  <c r="BK106" i="1"/>
  <c r="BL106" i="1"/>
  <c r="AX107" i="1"/>
  <c r="AY107" i="1"/>
  <c r="AZ107" i="1"/>
  <c r="BA107" i="1"/>
  <c r="BB107" i="1"/>
  <c r="BC107" i="1"/>
  <c r="BD107" i="1"/>
  <c r="BE107" i="1"/>
  <c r="BF107" i="1"/>
  <c r="BG107" i="1"/>
  <c r="BH107" i="1"/>
  <c r="BI107" i="1"/>
  <c r="BJ107" i="1"/>
  <c r="BK107" i="1"/>
  <c r="BL107" i="1"/>
  <c r="AX108" i="1"/>
  <c r="AY108" i="1"/>
  <c r="AZ108" i="1"/>
  <c r="BA108" i="1"/>
  <c r="BB108" i="1"/>
  <c r="BC108" i="1"/>
  <c r="BD108" i="1"/>
  <c r="BE108" i="1"/>
  <c r="BF108" i="1"/>
  <c r="BG108" i="1"/>
  <c r="BH108" i="1"/>
  <c r="BI108" i="1"/>
  <c r="BJ108" i="1"/>
  <c r="BK108" i="1"/>
  <c r="BL108" i="1"/>
  <c r="AX109" i="1"/>
  <c r="AY109" i="1"/>
  <c r="AZ109" i="1"/>
  <c r="BA109" i="1"/>
  <c r="BB109" i="1"/>
  <c r="BC109" i="1"/>
  <c r="BD109" i="1"/>
  <c r="BE109" i="1"/>
  <c r="BF109" i="1"/>
  <c r="BG109" i="1"/>
  <c r="BH109" i="1"/>
  <c r="BI109" i="1"/>
  <c r="BJ109" i="1"/>
  <c r="BK109" i="1"/>
  <c r="BL109" i="1"/>
  <c r="AX110" i="1"/>
  <c r="AY110" i="1"/>
  <c r="AZ110" i="1"/>
  <c r="BA110" i="1"/>
  <c r="BB110" i="1"/>
  <c r="BC110" i="1"/>
  <c r="BD110" i="1"/>
  <c r="BE110" i="1"/>
  <c r="BF110" i="1"/>
  <c r="BG110" i="1"/>
  <c r="BH110" i="1"/>
  <c r="BI110" i="1"/>
  <c r="BJ110" i="1"/>
  <c r="BK110" i="1"/>
  <c r="BL110" i="1"/>
  <c r="AX111" i="1"/>
  <c r="AY111" i="1"/>
  <c r="AZ111" i="1"/>
  <c r="BA111" i="1"/>
  <c r="BB111" i="1"/>
  <c r="BC111" i="1"/>
  <c r="BD111" i="1"/>
  <c r="BE111" i="1"/>
  <c r="BF111" i="1"/>
  <c r="BG111" i="1"/>
  <c r="BH111" i="1"/>
  <c r="BI111" i="1"/>
  <c r="BJ111" i="1"/>
  <c r="BK111" i="1"/>
  <c r="BL111" i="1"/>
  <c r="AX112" i="1"/>
  <c r="AY112" i="1"/>
  <c r="AZ112" i="1"/>
  <c r="BA112" i="1"/>
  <c r="BB112" i="1"/>
  <c r="BC112" i="1"/>
  <c r="BD112" i="1"/>
  <c r="BE112" i="1"/>
  <c r="BF112" i="1"/>
  <c r="BG112" i="1"/>
  <c r="BH112" i="1"/>
  <c r="BI112" i="1"/>
  <c r="BJ112" i="1"/>
  <c r="BK112" i="1"/>
  <c r="BL112" i="1"/>
  <c r="AX113" i="1"/>
  <c r="AY113" i="1"/>
  <c r="AZ113" i="1"/>
  <c r="BA113" i="1"/>
  <c r="BB113" i="1"/>
  <c r="BC113" i="1"/>
  <c r="BD113" i="1"/>
  <c r="BE113" i="1"/>
  <c r="BF113" i="1"/>
  <c r="BG113" i="1"/>
  <c r="BH113" i="1"/>
  <c r="BI113" i="1"/>
  <c r="BJ113" i="1"/>
  <c r="BK113" i="1"/>
  <c r="BL113" i="1"/>
  <c r="AX114" i="1"/>
  <c r="AY114" i="1"/>
  <c r="AZ114" i="1"/>
  <c r="BA114" i="1"/>
  <c r="BB114" i="1"/>
  <c r="BC114" i="1"/>
  <c r="BD114" i="1"/>
  <c r="BE114" i="1"/>
  <c r="BF114" i="1"/>
  <c r="BG114" i="1"/>
  <c r="BH114" i="1"/>
  <c r="BI114" i="1"/>
  <c r="BJ114" i="1"/>
  <c r="BK114" i="1"/>
  <c r="BL114" i="1"/>
  <c r="AX115" i="1"/>
  <c r="AY115" i="1"/>
  <c r="AZ115" i="1"/>
  <c r="BA115" i="1"/>
  <c r="BB115" i="1"/>
  <c r="BC115" i="1"/>
  <c r="BD115" i="1"/>
  <c r="BE115" i="1"/>
  <c r="BF115" i="1"/>
  <c r="BG115" i="1"/>
  <c r="BH115" i="1"/>
  <c r="BI115" i="1"/>
  <c r="BJ115" i="1"/>
  <c r="BK115" i="1"/>
  <c r="BL115" i="1"/>
  <c r="AX116" i="1"/>
  <c r="AY116" i="1"/>
  <c r="AZ116" i="1"/>
  <c r="BA116" i="1"/>
  <c r="BB116" i="1"/>
  <c r="BC116" i="1"/>
  <c r="BD116" i="1"/>
  <c r="BE116" i="1"/>
  <c r="BF116" i="1"/>
  <c r="BG116" i="1"/>
  <c r="BH116" i="1"/>
  <c r="BI116" i="1"/>
  <c r="BJ116" i="1"/>
  <c r="BK116" i="1"/>
  <c r="BL116" i="1"/>
  <c r="AX117" i="1"/>
  <c r="AY117" i="1"/>
  <c r="AZ117" i="1"/>
  <c r="BA117" i="1"/>
  <c r="BB117" i="1"/>
  <c r="BC117" i="1"/>
  <c r="BD117" i="1"/>
  <c r="BE117" i="1"/>
  <c r="BF117" i="1"/>
  <c r="BG117" i="1"/>
  <c r="BH117" i="1"/>
  <c r="BI117" i="1"/>
  <c r="BJ117" i="1"/>
  <c r="BK117" i="1"/>
  <c r="BL117" i="1"/>
  <c r="AX118" i="1"/>
  <c r="AY118" i="1"/>
  <c r="AZ118" i="1"/>
  <c r="BA118" i="1"/>
  <c r="BB118" i="1"/>
  <c r="BC118" i="1"/>
  <c r="BD118" i="1"/>
  <c r="BE118" i="1"/>
  <c r="BF118" i="1"/>
  <c r="BG118" i="1"/>
  <c r="BH118" i="1"/>
  <c r="BI118" i="1"/>
  <c r="BJ118" i="1"/>
  <c r="BK118" i="1"/>
  <c r="BL118" i="1"/>
  <c r="AX119" i="1"/>
  <c r="AY119" i="1"/>
  <c r="AZ119" i="1"/>
  <c r="BA119" i="1"/>
  <c r="BB119" i="1"/>
  <c r="BC119" i="1"/>
  <c r="BD119" i="1"/>
  <c r="BE119" i="1"/>
  <c r="BF119" i="1"/>
  <c r="BG119" i="1"/>
  <c r="BH119" i="1"/>
  <c r="BI119" i="1"/>
  <c r="BJ119" i="1"/>
  <c r="BK119" i="1"/>
  <c r="BL119" i="1"/>
  <c r="AX120" i="1"/>
  <c r="AY120" i="1"/>
  <c r="AZ120" i="1"/>
  <c r="BA120" i="1"/>
  <c r="BB120" i="1"/>
  <c r="BC120" i="1"/>
  <c r="BD120" i="1"/>
  <c r="BE120" i="1"/>
  <c r="BF120" i="1"/>
  <c r="BG120" i="1"/>
  <c r="BH120" i="1"/>
  <c r="BI120" i="1"/>
  <c r="BJ120" i="1"/>
  <c r="BK120" i="1"/>
  <c r="BL120" i="1"/>
  <c r="AX121" i="1"/>
  <c r="AY121" i="1"/>
  <c r="AZ121" i="1"/>
  <c r="BA121" i="1"/>
  <c r="BB121" i="1"/>
  <c r="BC121" i="1"/>
  <c r="BD121" i="1"/>
  <c r="BE121" i="1"/>
  <c r="BF121" i="1"/>
  <c r="BG121" i="1"/>
  <c r="BH121" i="1"/>
  <c r="BI121" i="1"/>
  <c r="BJ121" i="1"/>
  <c r="BK121" i="1"/>
  <c r="BL121" i="1"/>
  <c r="AX122" i="1"/>
  <c r="AY122" i="1"/>
  <c r="AZ122" i="1"/>
  <c r="BA122" i="1"/>
  <c r="BB122" i="1"/>
  <c r="BC122" i="1"/>
  <c r="BD122" i="1"/>
  <c r="BE122" i="1"/>
  <c r="BF122" i="1"/>
  <c r="BG122" i="1"/>
  <c r="BH122" i="1"/>
  <c r="BI122" i="1"/>
  <c r="BJ122" i="1"/>
  <c r="BK122" i="1"/>
  <c r="BL122" i="1"/>
  <c r="AX123" i="1"/>
  <c r="AY123" i="1"/>
  <c r="AZ123" i="1"/>
  <c r="BA123" i="1"/>
  <c r="BB123" i="1"/>
  <c r="BC123" i="1"/>
  <c r="BD123" i="1"/>
  <c r="BE123" i="1"/>
  <c r="BF123" i="1"/>
  <c r="BG123" i="1"/>
  <c r="BH123" i="1"/>
  <c r="BI123" i="1"/>
  <c r="BJ123" i="1"/>
  <c r="BK123" i="1"/>
  <c r="BL123" i="1"/>
  <c r="AX124" i="1"/>
  <c r="AY124" i="1"/>
  <c r="AZ124" i="1"/>
  <c r="BA124" i="1"/>
  <c r="BB124" i="1"/>
  <c r="BC124" i="1"/>
  <c r="BD124" i="1"/>
  <c r="BE124" i="1"/>
  <c r="BF124" i="1"/>
  <c r="BG124" i="1"/>
  <c r="BH124" i="1"/>
  <c r="BI124" i="1"/>
  <c r="BJ124" i="1"/>
  <c r="BK124" i="1"/>
  <c r="BL124" i="1"/>
  <c r="AX125" i="1"/>
  <c r="AY125" i="1"/>
  <c r="AZ125" i="1"/>
  <c r="BA125" i="1"/>
  <c r="BB125" i="1"/>
  <c r="BC125" i="1"/>
  <c r="BD125" i="1"/>
  <c r="BE125" i="1"/>
  <c r="BF125" i="1"/>
  <c r="BG125" i="1"/>
  <c r="BH125" i="1"/>
  <c r="BI125" i="1"/>
  <c r="BJ125" i="1"/>
  <c r="BK125" i="1"/>
  <c r="BL125" i="1"/>
  <c r="AX126" i="1"/>
  <c r="AY126" i="1"/>
  <c r="AZ126" i="1"/>
  <c r="BA126" i="1"/>
  <c r="BB126" i="1"/>
  <c r="BC126" i="1"/>
  <c r="BD126" i="1"/>
  <c r="BE126" i="1"/>
  <c r="BF126" i="1"/>
  <c r="BG126" i="1"/>
  <c r="BH126" i="1"/>
  <c r="BI126" i="1"/>
  <c r="BJ126" i="1"/>
  <c r="BK126" i="1"/>
  <c r="BL126" i="1"/>
  <c r="AX127" i="1"/>
  <c r="AY127" i="1"/>
  <c r="AZ127" i="1"/>
  <c r="BA127" i="1"/>
  <c r="BB127" i="1"/>
  <c r="BC127" i="1"/>
  <c r="BD127" i="1"/>
  <c r="BE127" i="1"/>
  <c r="BF127" i="1"/>
  <c r="BG127" i="1"/>
  <c r="BH127" i="1"/>
  <c r="BI127" i="1"/>
  <c r="BJ127" i="1"/>
  <c r="BK127" i="1"/>
  <c r="BL127" i="1"/>
  <c r="AX128" i="1"/>
  <c r="AY128" i="1"/>
  <c r="AZ128" i="1"/>
  <c r="BA128" i="1"/>
  <c r="BB128" i="1"/>
  <c r="BC128" i="1"/>
  <c r="BD128" i="1"/>
  <c r="BE128" i="1"/>
  <c r="BF128" i="1"/>
  <c r="BG128" i="1"/>
  <c r="BH128" i="1"/>
  <c r="BI128" i="1"/>
  <c r="BJ128" i="1"/>
  <c r="BK128" i="1"/>
  <c r="BL128" i="1"/>
  <c r="AX129" i="1"/>
  <c r="AY129" i="1"/>
  <c r="AZ129" i="1"/>
  <c r="BA129" i="1"/>
  <c r="BB129" i="1"/>
  <c r="BC129" i="1"/>
  <c r="BD129" i="1"/>
  <c r="BE129" i="1"/>
  <c r="BF129" i="1"/>
  <c r="BG129" i="1"/>
  <c r="BH129" i="1"/>
  <c r="BI129" i="1"/>
  <c r="BJ129" i="1"/>
  <c r="BK129" i="1"/>
  <c r="BL129" i="1"/>
  <c r="AX130" i="1"/>
  <c r="AY130" i="1"/>
  <c r="AZ130" i="1"/>
  <c r="BA130" i="1"/>
  <c r="BB130" i="1"/>
  <c r="BC130" i="1"/>
  <c r="BD130" i="1"/>
  <c r="BE130" i="1"/>
  <c r="BF130" i="1"/>
  <c r="BG130" i="1"/>
  <c r="BH130" i="1"/>
  <c r="BI130" i="1"/>
  <c r="BJ130" i="1"/>
  <c r="BK130" i="1"/>
  <c r="BL130" i="1"/>
  <c r="AX131" i="1"/>
  <c r="AY131" i="1"/>
  <c r="AZ131" i="1"/>
  <c r="BA131" i="1"/>
  <c r="BB131" i="1"/>
  <c r="BC131" i="1"/>
  <c r="BD131" i="1"/>
  <c r="BE131" i="1"/>
  <c r="BF131" i="1"/>
  <c r="BG131" i="1"/>
  <c r="BH131" i="1"/>
  <c r="BI131" i="1"/>
  <c r="BJ131" i="1"/>
  <c r="BK131" i="1"/>
  <c r="BL131" i="1"/>
  <c r="AX132" i="1"/>
  <c r="AY132" i="1"/>
  <c r="AZ132" i="1"/>
  <c r="BA132" i="1"/>
  <c r="BB132" i="1"/>
  <c r="BC132" i="1"/>
  <c r="BD132" i="1"/>
  <c r="BE132" i="1"/>
  <c r="BF132" i="1"/>
  <c r="BG132" i="1"/>
  <c r="BH132" i="1"/>
  <c r="BI132" i="1"/>
  <c r="BJ132" i="1"/>
  <c r="BK132" i="1"/>
  <c r="BL132" i="1"/>
  <c r="AX133" i="1"/>
  <c r="AY133" i="1"/>
  <c r="AZ133" i="1"/>
  <c r="BA133" i="1"/>
  <c r="BB133" i="1"/>
  <c r="BC133" i="1"/>
  <c r="BD133" i="1"/>
  <c r="BE133" i="1"/>
  <c r="BF133" i="1"/>
  <c r="BG133" i="1"/>
  <c r="BH133" i="1"/>
  <c r="BI133" i="1"/>
  <c r="BJ133" i="1"/>
  <c r="BK133" i="1"/>
  <c r="BL133" i="1"/>
  <c r="AX134" i="1"/>
  <c r="AY134" i="1"/>
  <c r="AZ134" i="1"/>
  <c r="BA134" i="1"/>
  <c r="BB134" i="1"/>
  <c r="BC134" i="1"/>
  <c r="BD134" i="1"/>
  <c r="BE134" i="1"/>
  <c r="BF134" i="1"/>
  <c r="BG134" i="1"/>
  <c r="BH134" i="1"/>
  <c r="BI134" i="1"/>
  <c r="BJ134" i="1"/>
  <c r="BK134" i="1"/>
  <c r="BL134" i="1"/>
  <c r="AX135" i="1"/>
  <c r="AY135" i="1"/>
  <c r="AZ135" i="1"/>
  <c r="BA135" i="1"/>
  <c r="BB135" i="1"/>
  <c r="BC135" i="1"/>
  <c r="BD135" i="1"/>
  <c r="BE135" i="1"/>
  <c r="BF135" i="1"/>
  <c r="BG135" i="1"/>
  <c r="BH135" i="1"/>
  <c r="BI135" i="1"/>
  <c r="BJ135" i="1"/>
  <c r="BK135" i="1"/>
  <c r="BL135" i="1"/>
  <c r="AX136" i="1"/>
  <c r="AY136" i="1"/>
  <c r="AZ136" i="1"/>
  <c r="BA136" i="1"/>
  <c r="BB136" i="1"/>
  <c r="BC136" i="1"/>
  <c r="BD136" i="1"/>
  <c r="BE136" i="1"/>
  <c r="BF136" i="1"/>
  <c r="BG136" i="1"/>
  <c r="BH136" i="1"/>
  <c r="BI136" i="1"/>
  <c r="BJ136" i="1"/>
  <c r="BK136" i="1"/>
  <c r="BL136" i="1"/>
  <c r="AX137" i="1"/>
  <c r="AY137" i="1"/>
  <c r="AZ137" i="1"/>
  <c r="BA137" i="1"/>
  <c r="BB137" i="1"/>
  <c r="BC137" i="1"/>
  <c r="BD137" i="1"/>
  <c r="BE137" i="1"/>
  <c r="BF137" i="1"/>
  <c r="BG137" i="1"/>
  <c r="BH137" i="1"/>
  <c r="BI137" i="1"/>
  <c r="BJ137" i="1"/>
  <c r="BK137" i="1"/>
  <c r="BL137" i="1"/>
  <c r="AX138" i="1"/>
  <c r="AY138" i="1"/>
  <c r="AZ138" i="1"/>
  <c r="BA138" i="1"/>
  <c r="BB138" i="1"/>
  <c r="BC138" i="1"/>
  <c r="BD138" i="1"/>
  <c r="BE138" i="1"/>
  <c r="BF138" i="1"/>
  <c r="BG138" i="1"/>
  <c r="BH138" i="1"/>
  <c r="BI138" i="1"/>
  <c r="BJ138" i="1"/>
  <c r="BK138" i="1"/>
  <c r="BL138" i="1"/>
  <c r="AX139" i="1"/>
  <c r="AY139" i="1"/>
  <c r="AZ139" i="1"/>
  <c r="BA139" i="1"/>
  <c r="BB139" i="1"/>
  <c r="BC139" i="1"/>
  <c r="BD139" i="1"/>
  <c r="BE139" i="1"/>
  <c r="BF139" i="1"/>
  <c r="BG139" i="1"/>
  <c r="BH139" i="1"/>
  <c r="BI139" i="1"/>
  <c r="BJ139" i="1"/>
  <c r="BK139" i="1"/>
  <c r="BL139" i="1"/>
  <c r="AX140" i="1"/>
  <c r="AY140" i="1"/>
  <c r="AZ140" i="1"/>
  <c r="BA140" i="1"/>
  <c r="BB140" i="1"/>
  <c r="BC140" i="1"/>
  <c r="BD140" i="1"/>
  <c r="BE140" i="1"/>
  <c r="BF140" i="1"/>
  <c r="BG140" i="1"/>
  <c r="BH140" i="1"/>
  <c r="BI140" i="1"/>
  <c r="BJ140" i="1"/>
  <c r="BK140" i="1"/>
  <c r="BL140" i="1"/>
  <c r="AX141" i="1"/>
  <c r="AY141" i="1"/>
  <c r="AZ141" i="1"/>
  <c r="BA141" i="1"/>
  <c r="BB141" i="1"/>
  <c r="BC141" i="1"/>
  <c r="BD141" i="1"/>
  <c r="BE141" i="1"/>
  <c r="BF141" i="1"/>
  <c r="BG141" i="1"/>
  <c r="BH141" i="1"/>
  <c r="BI141" i="1"/>
  <c r="BJ141" i="1"/>
  <c r="BK141" i="1"/>
  <c r="BL141" i="1"/>
  <c r="AX142" i="1"/>
  <c r="AY142" i="1"/>
  <c r="AZ142" i="1"/>
  <c r="BA142" i="1"/>
  <c r="BB142" i="1"/>
  <c r="BC142" i="1"/>
  <c r="BD142" i="1"/>
  <c r="BE142" i="1"/>
  <c r="BF142" i="1"/>
  <c r="BG142" i="1"/>
  <c r="BH142" i="1"/>
  <c r="BI142" i="1"/>
  <c r="BJ142" i="1"/>
  <c r="BK142" i="1"/>
  <c r="BL142" i="1"/>
  <c r="AX143" i="1"/>
  <c r="AY143" i="1"/>
  <c r="AZ143" i="1"/>
  <c r="BA143" i="1"/>
  <c r="BB143" i="1"/>
  <c r="BC143" i="1"/>
  <c r="BD143" i="1"/>
  <c r="BE143" i="1"/>
  <c r="BF143" i="1"/>
  <c r="BG143" i="1"/>
  <c r="BH143" i="1"/>
  <c r="BI143" i="1"/>
  <c r="BJ143" i="1"/>
  <c r="BK143" i="1"/>
  <c r="BL143" i="1"/>
  <c r="AX144" i="1"/>
  <c r="AY144" i="1"/>
  <c r="AZ144" i="1"/>
  <c r="BA144" i="1"/>
  <c r="BB144" i="1"/>
  <c r="BC144" i="1"/>
  <c r="BD144" i="1"/>
  <c r="BE144" i="1"/>
  <c r="BF144" i="1"/>
  <c r="BG144" i="1"/>
  <c r="BH144" i="1"/>
  <c r="BI144" i="1"/>
  <c r="BJ144" i="1"/>
  <c r="BK144" i="1"/>
  <c r="BL144" i="1"/>
  <c r="AX145" i="1"/>
  <c r="AY145" i="1"/>
  <c r="AZ145" i="1"/>
  <c r="BA145" i="1"/>
  <c r="BB145" i="1"/>
  <c r="BC145" i="1"/>
  <c r="BD145" i="1"/>
  <c r="BE145" i="1"/>
  <c r="BF145" i="1"/>
  <c r="BG145" i="1"/>
  <c r="BH145" i="1"/>
  <c r="BI145" i="1"/>
  <c r="BJ145" i="1"/>
  <c r="BK145" i="1"/>
  <c r="BL145" i="1"/>
  <c r="AX146" i="1"/>
  <c r="AY146" i="1"/>
  <c r="AZ146" i="1"/>
  <c r="BA146" i="1"/>
  <c r="BB146" i="1"/>
  <c r="BC146" i="1"/>
  <c r="BD146" i="1"/>
  <c r="BE146" i="1"/>
  <c r="BF146" i="1"/>
  <c r="BG146" i="1"/>
  <c r="BH146" i="1"/>
  <c r="BI146" i="1"/>
  <c r="BJ146" i="1"/>
  <c r="BK146" i="1"/>
  <c r="BL146" i="1"/>
  <c r="AX147" i="1"/>
  <c r="AY147" i="1"/>
  <c r="AZ147" i="1"/>
  <c r="BA147" i="1"/>
  <c r="BB147" i="1"/>
  <c r="BC147" i="1"/>
  <c r="BD147" i="1"/>
  <c r="BE147" i="1"/>
  <c r="BF147" i="1"/>
  <c r="BG147" i="1"/>
  <c r="BH147" i="1"/>
  <c r="BI147" i="1"/>
  <c r="BJ147" i="1"/>
  <c r="BK147" i="1"/>
  <c r="BL147" i="1"/>
  <c r="AX148" i="1"/>
  <c r="AY148" i="1"/>
  <c r="AZ148" i="1"/>
  <c r="BA148" i="1"/>
  <c r="BB148" i="1"/>
  <c r="BC148" i="1"/>
  <c r="BD148" i="1"/>
  <c r="BE148" i="1"/>
  <c r="BF148" i="1"/>
  <c r="BG148" i="1"/>
  <c r="BH148" i="1"/>
  <c r="BI148" i="1"/>
  <c r="BJ148" i="1"/>
  <c r="BK148" i="1"/>
  <c r="BL148" i="1"/>
  <c r="AX149" i="1"/>
  <c r="AY149" i="1"/>
  <c r="AZ149" i="1"/>
  <c r="BA149" i="1"/>
  <c r="BB149" i="1"/>
  <c r="BC149" i="1"/>
  <c r="BD149" i="1"/>
  <c r="BE149" i="1"/>
  <c r="BF149" i="1"/>
  <c r="BG149" i="1"/>
  <c r="BH149" i="1"/>
  <c r="BI149" i="1"/>
  <c r="BJ149" i="1"/>
  <c r="BK149" i="1"/>
  <c r="BL149" i="1"/>
  <c r="AX150" i="1"/>
  <c r="AY150" i="1"/>
  <c r="AZ150" i="1"/>
  <c r="BA150" i="1"/>
  <c r="BB150" i="1"/>
  <c r="BC150" i="1"/>
  <c r="BD150" i="1"/>
  <c r="BE150" i="1"/>
  <c r="BF150" i="1"/>
  <c r="BG150" i="1"/>
  <c r="BH150" i="1"/>
  <c r="BI150" i="1"/>
  <c r="BJ150" i="1"/>
  <c r="BK150" i="1"/>
  <c r="BL150" i="1"/>
  <c r="AX151" i="1"/>
  <c r="AY151" i="1"/>
  <c r="AZ151" i="1"/>
  <c r="BA151" i="1"/>
  <c r="BB151" i="1"/>
  <c r="BC151" i="1"/>
  <c r="BD151" i="1"/>
  <c r="BE151" i="1"/>
  <c r="BF151" i="1"/>
  <c r="BG151" i="1"/>
  <c r="BH151" i="1"/>
  <c r="BI151" i="1"/>
  <c r="BJ151" i="1"/>
  <c r="BK151" i="1"/>
  <c r="BL151" i="1"/>
  <c r="AX152" i="1"/>
  <c r="AY152" i="1"/>
  <c r="AZ152" i="1"/>
  <c r="BA152" i="1"/>
  <c r="BB152" i="1"/>
  <c r="BC152" i="1"/>
  <c r="BD152" i="1"/>
  <c r="BE152" i="1"/>
  <c r="BF152" i="1"/>
  <c r="BG152" i="1"/>
  <c r="BH152" i="1"/>
  <c r="BI152" i="1"/>
  <c r="BJ152" i="1"/>
  <c r="BK152" i="1"/>
  <c r="BL152" i="1"/>
  <c r="AX153" i="1"/>
  <c r="AY153" i="1"/>
  <c r="AZ153" i="1"/>
  <c r="BA153" i="1"/>
  <c r="BB153" i="1"/>
  <c r="BC153" i="1"/>
  <c r="BD153" i="1"/>
  <c r="BE153" i="1"/>
  <c r="BF153" i="1"/>
  <c r="BG153" i="1"/>
  <c r="BH153" i="1"/>
  <c r="BI153" i="1"/>
  <c r="BJ153" i="1"/>
  <c r="BK153" i="1"/>
  <c r="BL153" i="1"/>
  <c r="AX154" i="1"/>
  <c r="AY154" i="1"/>
  <c r="AZ154" i="1"/>
  <c r="BA154" i="1"/>
  <c r="BB154" i="1"/>
  <c r="BC154" i="1"/>
  <c r="BD154" i="1"/>
  <c r="BE154" i="1"/>
  <c r="BF154" i="1"/>
  <c r="BG154" i="1"/>
  <c r="BH154" i="1"/>
  <c r="BI154" i="1"/>
  <c r="BJ154" i="1"/>
  <c r="BK154" i="1"/>
  <c r="BL154" i="1"/>
  <c r="AX155" i="1"/>
  <c r="AY155" i="1"/>
  <c r="AZ155" i="1"/>
  <c r="BA155" i="1"/>
  <c r="BB155" i="1"/>
  <c r="BC155" i="1"/>
  <c r="BD155" i="1"/>
  <c r="BE155" i="1"/>
  <c r="BF155" i="1"/>
  <c r="BG155" i="1"/>
  <c r="BH155" i="1"/>
  <c r="BI155" i="1"/>
  <c r="BJ155" i="1"/>
  <c r="BK155" i="1"/>
  <c r="BL155" i="1"/>
  <c r="AX156" i="1"/>
  <c r="AY156" i="1"/>
  <c r="AZ156" i="1"/>
  <c r="BA156" i="1"/>
  <c r="BB156" i="1"/>
  <c r="BC156" i="1"/>
  <c r="BD156" i="1"/>
  <c r="BE156" i="1"/>
  <c r="BF156" i="1"/>
  <c r="BG156" i="1"/>
  <c r="BH156" i="1"/>
  <c r="BI156" i="1"/>
  <c r="BJ156" i="1"/>
  <c r="BK156" i="1"/>
  <c r="BL156" i="1"/>
  <c r="AX157" i="1"/>
  <c r="AY157" i="1"/>
  <c r="AZ157" i="1"/>
  <c r="BA157" i="1"/>
  <c r="BB157" i="1"/>
  <c r="BC157" i="1"/>
  <c r="BD157" i="1"/>
  <c r="BE157" i="1"/>
  <c r="BF157" i="1"/>
  <c r="BG157" i="1"/>
  <c r="BH157" i="1"/>
  <c r="BI157" i="1"/>
  <c r="BJ157" i="1"/>
  <c r="BK157" i="1"/>
  <c r="BL157" i="1"/>
  <c r="AX158" i="1"/>
  <c r="AY158" i="1"/>
  <c r="AZ158" i="1"/>
  <c r="BA158" i="1"/>
  <c r="BB158" i="1"/>
  <c r="BC158" i="1"/>
  <c r="BD158" i="1"/>
  <c r="BE158" i="1"/>
  <c r="BF158" i="1"/>
  <c r="BG158" i="1"/>
  <c r="BH158" i="1"/>
  <c r="BI158" i="1"/>
  <c r="BJ158" i="1"/>
  <c r="BK158" i="1"/>
  <c r="BL158" i="1"/>
  <c r="AX159" i="1"/>
  <c r="AY159" i="1"/>
  <c r="AZ159" i="1"/>
  <c r="BA159" i="1"/>
  <c r="BB159" i="1"/>
  <c r="BC159" i="1"/>
  <c r="BD159" i="1"/>
  <c r="BE159" i="1"/>
  <c r="BF159" i="1"/>
  <c r="BG159" i="1"/>
  <c r="BH159" i="1"/>
  <c r="BI159" i="1"/>
  <c r="BJ159" i="1"/>
  <c r="BK159" i="1"/>
  <c r="BL159" i="1"/>
  <c r="AX160" i="1"/>
  <c r="AY160" i="1"/>
  <c r="AZ160" i="1"/>
  <c r="BA160" i="1"/>
  <c r="BB160" i="1"/>
  <c r="BC160" i="1"/>
  <c r="BD160" i="1"/>
  <c r="BE160" i="1"/>
  <c r="BF160" i="1"/>
  <c r="BG160" i="1"/>
  <c r="BH160" i="1"/>
  <c r="BI160" i="1"/>
  <c r="BJ160" i="1"/>
  <c r="BK160" i="1"/>
  <c r="BL160" i="1"/>
  <c r="AX161" i="1"/>
  <c r="AY161" i="1"/>
  <c r="AZ161" i="1"/>
  <c r="BA161" i="1"/>
  <c r="BB161" i="1"/>
  <c r="BC161" i="1"/>
  <c r="BD161" i="1"/>
  <c r="BE161" i="1"/>
  <c r="BF161" i="1"/>
  <c r="BG161" i="1"/>
  <c r="BH161" i="1"/>
  <c r="BI161" i="1"/>
  <c r="BJ161" i="1"/>
  <c r="BK161" i="1"/>
  <c r="BL161" i="1"/>
  <c r="AX162" i="1"/>
  <c r="AY162" i="1"/>
  <c r="AZ162" i="1"/>
  <c r="BA162" i="1"/>
  <c r="BB162" i="1"/>
  <c r="BC162" i="1"/>
  <c r="BD162" i="1"/>
  <c r="BE162" i="1"/>
  <c r="BF162" i="1"/>
  <c r="BG162" i="1"/>
  <c r="BH162" i="1"/>
  <c r="BI162" i="1"/>
  <c r="BJ162" i="1"/>
  <c r="BK162" i="1"/>
  <c r="BL162" i="1"/>
  <c r="AX163" i="1"/>
  <c r="AY163" i="1"/>
  <c r="AZ163" i="1"/>
  <c r="BA163" i="1"/>
  <c r="BB163" i="1"/>
  <c r="BC163" i="1"/>
  <c r="BD163" i="1"/>
  <c r="BE163" i="1"/>
  <c r="BF163" i="1"/>
  <c r="BG163" i="1"/>
  <c r="BH163" i="1"/>
  <c r="BI163" i="1"/>
  <c r="BJ163" i="1"/>
  <c r="BK163" i="1"/>
  <c r="BL163" i="1"/>
  <c r="AX164" i="1"/>
  <c r="AY164" i="1"/>
  <c r="AZ164" i="1"/>
  <c r="BA164" i="1"/>
  <c r="BB164" i="1"/>
  <c r="BC164" i="1"/>
  <c r="BD164" i="1"/>
  <c r="BE164" i="1"/>
  <c r="BF164" i="1"/>
  <c r="BG164" i="1"/>
  <c r="BH164" i="1"/>
  <c r="BI164" i="1"/>
  <c r="BJ164" i="1"/>
  <c r="BK164" i="1"/>
  <c r="BL164" i="1"/>
  <c r="AX165" i="1"/>
  <c r="AY165" i="1"/>
  <c r="AZ165" i="1"/>
  <c r="BA165" i="1"/>
  <c r="BB165" i="1"/>
  <c r="BC165" i="1"/>
  <c r="BD165" i="1"/>
  <c r="BE165" i="1"/>
  <c r="BF165" i="1"/>
  <c r="BG165" i="1"/>
  <c r="BH165" i="1"/>
  <c r="BI165" i="1"/>
  <c r="BJ165" i="1"/>
  <c r="BK165" i="1"/>
  <c r="BL165" i="1"/>
  <c r="AX166" i="1"/>
  <c r="AY166" i="1"/>
  <c r="AZ166" i="1"/>
  <c r="BA166" i="1"/>
  <c r="BB166" i="1"/>
  <c r="BC166" i="1"/>
  <c r="BD166" i="1"/>
  <c r="BE166" i="1"/>
  <c r="BF166" i="1"/>
  <c r="BG166" i="1"/>
  <c r="BH166" i="1"/>
  <c r="BI166" i="1"/>
  <c r="BJ166" i="1"/>
  <c r="BK166" i="1"/>
  <c r="BL166" i="1"/>
  <c r="AX167" i="1"/>
  <c r="AY167" i="1"/>
  <c r="AZ167" i="1"/>
  <c r="BA167" i="1"/>
  <c r="BB167" i="1"/>
  <c r="BC167" i="1"/>
  <c r="BD167" i="1"/>
  <c r="BE167" i="1"/>
  <c r="BF167" i="1"/>
  <c r="BG167" i="1"/>
  <c r="BH167" i="1"/>
  <c r="BI167" i="1"/>
  <c r="BJ167" i="1"/>
  <c r="BK167" i="1"/>
  <c r="BL167" i="1"/>
  <c r="AX168" i="1"/>
  <c r="AY168" i="1"/>
  <c r="AZ168" i="1"/>
  <c r="BA168" i="1"/>
  <c r="BB168" i="1"/>
  <c r="BC168" i="1"/>
  <c r="BD168" i="1"/>
  <c r="BE168" i="1"/>
  <c r="BF168" i="1"/>
  <c r="BG168" i="1"/>
  <c r="BH168" i="1"/>
  <c r="BI168" i="1"/>
  <c r="BJ168" i="1"/>
  <c r="BK168" i="1"/>
  <c r="BL168" i="1"/>
  <c r="AX169" i="1"/>
  <c r="AY169" i="1"/>
  <c r="AZ169" i="1"/>
  <c r="BA169" i="1"/>
  <c r="BB169" i="1"/>
  <c r="BC169" i="1"/>
  <c r="BD169" i="1"/>
  <c r="BE169" i="1"/>
  <c r="BF169" i="1"/>
  <c r="BG169" i="1"/>
  <c r="BH169" i="1"/>
  <c r="BI169" i="1"/>
  <c r="BJ169" i="1"/>
  <c r="BK169" i="1"/>
  <c r="BL169" i="1"/>
  <c r="AX170" i="1"/>
  <c r="AY170" i="1"/>
  <c r="AZ170" i="1"/>
  <c r="BA170" i="1"/>
  <c r="BB170" i="1"/>
  <c r="BC170" i="1"/>
  <c r="BD170" i="1"/>
  <c r="BE170" i="1"/>
  <c r="BF170" i="1"/>
  <c r="BG170" i="1"/>
  <c r="BH170" i="1"/>
  <c r="BI170" i="1"/>
  <c r="BJ170" i="1"/>
  <c r="BK170" i="1"/>
  <c r="BL170" i="1"/>
  <c r="AX171" i="1"/>
  <c r="AY171" i="1"/>
  <c r="AZ171" i="1"/>
  <c r="BA171" i="1"/>
  <c r="BB171" i="1"/>
  <c r="BC171" i="1"/>
  <c r="BD171" i="1"/>
  <c r="BE171" i="1"/>
  <c r="BF171" i="1"/>
  <c r="BG171" i="1"/>
  <c r="BH171" i="1"/>
  <c r="BI171" i="1"/>
  <c r="BJ171" i="1"/>
  <c r="BK171" i="1"/>
  <c r="BL171" i="1"/>
  <c r="AX172" i="1"/>
  <c r="AY172" i="1"/>
  <c r="AZ172" i="1"/>
  <c r="BA172" i="1"/>
  <c r="BB172" i="1"/>
  <c r="BC172" i="1"/>
  <c r="BD172" i="1"/>
  <c r="BE172" i="1"/>
  <c r="BF172" i="1"/>
  <c r="BG172" i="1"/>
  <c r="BH172" i="1"/>
  <c r="BI172" i="1"/>
  <c r="BJ172" i="1"/>
  <c r="BK172" i="1"/>
  <c r="BL172" i="1"/>
  <c r="AX173" i="1"/>
  <c r="AY173" i="1"/>
  <c r="AZ173" i="1"/>
  <c r="BA173" i="1"/>
  <c r="BB173" i="1"/>
  <c r="BC173" i="1"/>
  <c r="BD173" i="1"/>
  <c r="BE173" i="1"/>
  <c r="BF173" i="1"/>
  <c r="BG173" i="1"/>
  <c r="BH173" i="1"/>
  <c r="BI173" i="1"/>
  <c r="BJ173" i="1"/>
  <c r="BK173" i="1"/>
  <c r="BL173" i="1"/>
  <c r="AX174" i="1"/>
  <c r="AY174" i="1"/>
  <c r="AZ174" i="1"/>
  <c r="BA174" i="1"/>
  <c r="BB174" i="1"/>
  <c r="BC174" i="1"/>
  <c r="BD174" i="1"/>
  <c r="BE174" i="1"/>
  <c r="BF174" i="1"/>
  <c r="BG174" i="1"/>
  <c r="BH174" i="1"/>
  <c r="BI174" i="1"/>
  <c r="BJ174" i="1"/>
  <c r="BK174" i="1"/>
  <c r="BL174" i="1"/>
  <c r="AX175" i="1"/>
  <c r="AY175" i="1"/>
  <c r="AZ175" i="1"/>
  <c r="BA175" i="1"/>
  <c r="BB175" i="1"/>
  <c r="BC175" i="1"/>
  <c r="BD175" i="1"/>
  <c r="BE175" i="1"/>
  <c r="BF175" i="1"/>
  <c r="BG175" i="1"/>
  <c r="BH175" i="1"/>
  <c r="BI175" i="1"/>
  <c r="BJ175" i="1"/>
  <c r="BK175" i="1"/>
  <c r="BL175" i="1"/>
  <c r="AX176" i="1"/>
  <c r="AY176" i="1"/>
  <c r="AZ176" i="1"/>
  <c r="BA176" i="1"/>
  <c r="BB176" i="1"/>
  <c r="BC176" i="1"/>
  <c r="BD176" i="1"/>
  <c r="BE176" i="1"/>
  <c r="BF176" i="1"/>
  <c r="BG176" i="1"/>
  <c r="BH176" i="1"/>
  <c r="BI176" i="1"/>
  <c r="BJ176" i="1"/>
  <c r="BK176" i="1"/>
  <c r="BL176" i="1"/>
  <c r="AX177" i="1"/>
  <c r="AY177" i="1"/>
  <c r="AZ177" i="1"/>
  <c r="BA177" i="1"/>
  <c r="BB177" i="1"/>
  <c r="BC177" i="1"/>
  <c r="BD177" i="1"/>
  <c r="BE177" i="1"/>
  <c r="BF177" i="1"/>
  <c r="BG177" i="1"/>
  <c r="BH177" i="1"/>
  <c r="BI177" i="1"/>
  <c r="BJ177" i="1"/>
  <c r="BK177" i="1"/>
  <c r="BL177" i="1"/>
  <c r="AX178" i="1"/>
  <c r="AY178" i="1"/>
  <c r="AZ178" i="1"/>
  <c r="BA178" i="1"/>
  <c r="BB178" i="1"/>
  <c r="BC178" i="1"/>
  <c r="BD178" i="1"/>
  <c r="BE178" i="1"/>
  <c r="BF178" i="1"/>
  <c r="BG178" i="1"/>
  <c r="BH178" i="1"/>
  <c r="BI178" i="1"/>
  <c r="BJ178" i="1"/>
  <c r="BK178" i="1"/>
  <c r="BL178" i="1"/>
  <c r="AX179" i="1"/>
  <c r="AY179" i="1"/>
  <c r="AZ179" i="1"/>
  <c r="BA179" i="1"/>
  <c r="BB179" i="1"/>
  <c r="BC179" i="1"/>
  <c r="BD179" i="1"/>
  <c r="BE179" i="1"/>
  <c r="BF179" i="1"/>
  <c r="BG179" i="1"/>
  <c r="BH179" i="1"/>
  <c r="BI179" i="1"/>
  <c r="BJ179" i="1"/>
  <c r="BK179" i="1"/>
  <c r="BL179" i="1"/>
  <c r="AX180" i="1"/>
  <c r="AY180" i="1"/>
  <c r="AZ180" i="1"/>
  <c r="BA180" i="1"/>
  <c r="BB180" i="1"/>
  <c r="BC180" i="1"/>
  <c r="BD180" i="1"/>
  <c r="BE180" i="1"/>
  <c r="BF180" i="1"/>
  <c r="BG180" i="1"/>
  <c r="BH180" i="1"/>
  <c r="BI180" i="1"/>
  <c r="BJ180" i="1"/>
  <c r="BK180" i="1"/>
  <c r="BL180" i="1"/>
  <c r="AX181" i="1"/>
  <c r="AY181" i="1"/>
  <c r="AZ181" i="1"/>
  <c r="BA181" i="1"/>
  <c r="BB181" i="1"/>
  <c r="BC181" i="1"/>
  <c r="BD181" i="1"/>
  <c r="BE181" i="1"/>
  <c r="BF181" i="1"/>
  <c r="BG181" i="1"/>
  <c r="BH181" i="1"/>
  <c r="BI181" i="1"/>
  <c r="BJ181" i="1"/>
  <c r="BK181" i="1"/>
  <c r="BL181" i="1"/>
  <c r="AX182" i="1"/>
  <c r="AY182" i="1"/>
  <c r="AZ182" i="1"/>
  <c r="BA182" i="1"/>
  <c r="BB182" i="1"/>
  <c r="BC182" i="1"/>
  <c r="BD182" i="1"/>
  <c r="BE182" i="1"/>
  <c r="BF182" i="1"/>
  <c r="BG182" i="1"/>
  <c r="BH182" i="1"/>
  <c r="BI182" i="1"/>
  <c r="BJ182" i="1"/>
  <c r="BK182" i="1"/>
  <c r="BL182" i="1"/>
  <c r="AX183" i="1"/>
  <c r="AY183" i="1"/>
  <c r="AZ183" i="1"/>
  <c r="BA183" i="1"/>
  <c r="BB183" i="1"/>
  <c r="BC183" i="1"/>
  <c r="BD183" i="1"/>
  <c r="BE183" i="1"/>
  <c r="BF183" i="1"/>
  <c r="BG183" i="1"/>
  <c r="BH183" i="1"/>
  <c r="BI183" i="1"/>
  <c r="BJ183" i="1"/>
  <c r="BK183" i="1"/>
  <c r="BL183" i="1"/>
  <c r="AX184" i="1"/>
  <c r="AY184" i="1"/>
  <c r="AZ184" i="1"/>
  <c r="BA184" i="1"/>
  <c r="BB184" i="1"/>
  <c r="BC184" i="1"/>
  <c r="BD184" i="1"/>
  <c r="BE184" i="1"/>
  <c r="BF184" i="1"/>
  <c r="BG184" i="1"/>
  <c r="BH184" i="1"/>
  <c r="BI184" i="1"/>
  <c r="BJ184" i="1"/>
  <c r="BK184" i="1"/>
  <c r="BL184" i="1"/>
  <c r="AX185" i="1"/>
  <c r="AY185" i="1"/>
  <c r="AZ185" i="1"/>
  <c r="BA185" i="1"/>
  <c r="BB185" i="1"/>
  <c r="BC185" i="1"/>
  <c r="BD185" i="1"/>
  <c r="BE185" i="1"/>
  <c r="BF185" i="1"/>
  <c r="BG185" i="1"/>
  <c r="BH185" i="1"/>
  <c r="BI185" i="1"/>
  <c r="BJ185" i="1"/>
  <c r="BK185" i="1"/>
  <c r="BL185" i="1"/>
  <c r="AX186" i="1"/>
  <c r="AY186" i="1"/>
  <c r="AZ186" i="1"/>
  <c r="BA186" i="1"/>
  <c r="BB186" i="1"/>
  <c r="BC186" i="1"/>
  <c r="BD186" i="1"/>
  <c r="BE186" i="1"/>
  <c r="BF186" i="1"/>
  <c r="BG186" i="1"/>
  <c r="BH186" i="1"/>
  <c r="BI186" i="1"/>
  <c r="BJ186" i="1"/>
  <c r="BK186" i="1"/>
  <c r="BL186" i="1"/>
  <c r="AX187" i="1"/>
  <c r="AY187" i="1"/>
  <c r="AZ187" i="1"/>
  <c r="BA187" i="1"/>
  <c r="BB187" i="1"/>
  <c r="BC187" i="1"/>
  <c r="BD187" i="1"/>
  <c r="BE187" i="1"/>
  <c r="BF187" i="1"/>
  <c r="BG187" i="1"/>
  <c r="BH187" i="1"/>
  <c r="BI187" i="1"/>
  <c r="BJ187" i="1"/>
  <c r="BK187" i="1"/>
  <c r="BL187" i="1"/>
  <c r="AX188" i="1"/>
  <c r="AY188" i="1"/>
  <c r="AZ188" i="1"/>
  <c r="BA188" i="1"/>
  <c r="BB188" i="1"/>
  <c r="BC188" i="1"/>
  <c r="BD188" i="1"/>
  <c r="BE188" i="1"/>
  <c r="BF188" i="1"/>
  <c r="BG188" i="1"/>
  <c r="BH188" i="1"/>
  <c r="BI188" i="1"/>
  <c r="BJ188" i="1"/>
  <c r="BK188" i="1"/>
  <c r="BL188" i="1"/>
  <c r="AX189" i="1"/>
  <c r="AY189" i="1"/>
  <c r="AZ189" i="1"/>
  <c r="BA189" i="1"/>
  <c r="BB189" i="1"/>
  <c r="BC189" i="1"/>
  <c r="BD189" i="1"/>
  <c r="BE189" i="1"/>
  <c r="BF189" i="1"/>
  <c r="BG189" i="1"/>
  <c r="BH189" i="1"/>
  <c r="BI189" i="1"/>
  <c r="BJ189" i="1"/>
  <c r="BK189" i="1"/>
  <c r="BL189" i="1"/>
  <c r="AX190" i="1"/>
  <c r="AY190" i="1"/>
  <c r="AZ190" i="1"/>
  <c r="BA190" i="1"/>
  <c r="BB190" i="1"/>
  <c r="BC190" i="1"/>
  <c r="BD190" i="1"/>
  <c r="BE190" i="1"/>
  <c r="BF190" i="1"/>
  <c r="BG190" i="1"/>
  <c r="BH190" i="1"/>
  <c r="BI190" i="1"/>
  <c r="BJ190" i="1"/>
  <c r="BK190" i="1"/>
  <c r="BL190" i="1"/>
  <c r="AX191" i="1"/>
  <c r="AY191" i="1"/>
  <c r="AZ191" i="1"/>
  <c r="BA191" i="1"/>
  <c r="BB191" i="1"/>
  <c r="BC191" i="1"/>
  <c r="BD191" i="1"/>
  <c r="BE191" i="1"/>
  <c r="BF191" i="1"/>
  <c r="BG191" i="1"/>
  <c r="BH191" i="1"/>
  <c r="BI191" i="1"/>
  <c r="BJ191" i="1"/>
  <c r="BK191" i="1"/>
  <c r="BL191" i="1"/>
  <c r="AX192" i="1"/>
  <c r="AY192" i="1"/>
  <c r="AZ192" i="1"/>
  <c r="BA192" i="1"/>
  <c r="BB192" i="1"/>
  <c r="BC192" i="1"/>
  <c r="BD192" i="1"/>
  <c r="BE192" i="1"/>
  <c r="BF192" i="1"/>
  <c r="BG192" i="1"/>
  <c r="BH192" i="1"/>
  <c r="BI192" i="1"/>
  <c r="BJ192" i="1"/>
  <c r="BK192" i="1"/>
  <c r="BL192" i="1"/>
  <c r="AX193" i="1"/>
  <c r="AY193" i="1"/>
  <c r="AZ193" i="1"/>
  <c r="BA193" i="1"/>
  <c r="BB193" i="1"/>
  <c r="BC193" i="1"/>
  <c r="BD193" i="1"/>
  <c r="BE193" i="1"/>
  <c r="BF193" i="1"/>
  <c r="BG193" i="1"/>
  <c r="BH193" i="1"/>
  <c r="BI193" i="1"/>
  <c r="BJ193" i="1"/>
  <c r="BK193" i="1"/>
  <c r="BL193" i="1"/>
  <c r="AX194" i="1"/>
  <c r="AY194" i="1"/>
  <c r="AZ194" i="1"/>
  <c r="BA194" i="1"/>
  <c r="BB194" i="1"/>
  <c r="BC194" i="1"/>
  <c r="BD194" i="1"/>
  <c r="BE194" i="1"/>
  <c r="BF194" i="1"/>
  <c r="BG194" i="1"/>
  <c r="BH194" i="1"/>
  <c r="BI194" i="1"/>
  <c r="BJ194" i="1"/>
  <c r="BK194" i="1"/>
  <c r="BL194" i="1"/>
  <c r="AX195" i="1"/>
  <c r="AY195" i="1"/>
  <c r="AZ195" i="1"/>
  <c r="BA195" i="1"/>
  <c r="BB195" i="1"/>
  <c r="BC195" i="1"/>
  <c r="BD195" i="1"/>
  <c r="BE195" i="1"/>
  <c r="BF195" i="1"/>
  <c r="BG195" i="1"/>
  <c r="BH195" i="1"/>
  <c r="BI195" i="1"/>
  <c r="BJ195" i="1"/>
  <c r="BK195" i="1"/>
  <c r="BL195" i="1"/>
  <c r="AX196" i="1"/>
  <c r="AY196" i="1"/>
  <c r="AZ196" i="1"/>
  <c r="BA196" i="1"/>
  <c r="BB196" i="1"/>
  <c r="BC196" i="1"/>
  <c r="BD196" i="1"/>
  <c r="BE196" i="1"/>
  <c r="BF196" i="1"/>
  <c r="BG196" i="1"/>
  <c r="BH196" i="1"/>
  <c r="BI196" i="1"/>
  <c r="BJ196" i="1"/>
  <c r="BK196" i="1"/>
  <c r="BL196" i="1"/>
  <c r="AX197" i="1"/>
  <c r="AY197" i="1"/>
  <c r="AZ197" i="1"/>
  <c r="BA197" i="1"/>
  <c r="BB197" i="1"/>
  <c r="BC197" i="1"/>
  <c r="BD197" i="1"/>
  <c r="BE197" i="1"/>
  <c r="BF197" i="1"/>
  <c r="BG197" i="1"/>
  <c r="BH197" i="1"/>
  <c r="BI197" i="1"/>
  <c r="BJ197" i="1"/>
  <c r="BK197" i="1"/>
  <c r="BL197" i="1"/>
  <c r="AX198" i="1"/>
  <c r="AY198" i="1"/>
  <c r="AZ198" i="1"/>
  <c r="BA198" i="1"/>
  <c r="BB198" i="1"/>
  <c r="BC198" i="1"/>
  <c r="BD198" i="1"/>
  <c r="BE198" i="1"/>
  <c r="BF198" i="1"/>
  <c r="BG198" i="1"/>
  <c r="BH198" i="1"/>
  <c r="BI198" i="1"/>
  <c r="BJ198" i="1"/>
  <c r="BK198" i="1"/>
  <c r="BL198" i="1"/>
  <c r="AX199" i="1"/>
  <c r="AY199" i="1"/>
  <c r="AZ199" i="1"/>
  <c r="BA199" i="1"/>
  <c r="BB199" i="1"/>
  <c r="BC199" i="1"/>
  <c r="BD199" i="1"/>
  <c r="BE199" i="1"/>
  <c r="BF199" i="1"/>
  <c r="BG199" i="1"/>
  <c r="BH199" i="1"/>
  <c r="BI199" i="1"/>
  <c r="BJ199" i="1"/>
  <c r="BK199" i="1"/>
  <c r="BL199" i="1"/>
  <c r="AX200" i="1"/>
  <c r="AY200" i="1"/>
  <c r="AZ200" i="1"/>
  <c r="BA200" i="1"/>
  <c r="BB200" i="1"/>
  <c r="BC200" i="1"/>
  <c r="BD200" i="1"/>
  <c r="BE200" i="1"/>
  <c r="BF200" i="1"/>
  <c r="BG200" i="1"/>
  <c r="BH200" i="1"/>
  <c r="BI200" i="1"/>
  <c r="BJ200" i="1"/>
  <c r="BK200" i="1"/>
  <c r="BL200" i="1"/>
  <c r="AX201" i="1"/>
  <c r="AY201" i="1"/>
  <c r="AZ201" i="1"/>
  <c r="BA201" i="1"/>
  <c r="BB201" i="1"/>
  <c r="BC201" i="1"/>
  <c r="BD201" i="1"/>
  <c r="BE201" i="1"/>
  <c r="BF201" i="1"/>
  <c r="BG201" i="1"/>
  <c r="BH201" i="1"/>
  <c r="BI201" i="1"/>
  <c r="BJ201" i="1"/>
  <c r="BK201" i="1"/>
  <c r="BL201" i="1"/>
  <c r="AX202" i="1"/>
  <c r="AY202" i="1"/>
  <c r="AZ202" i="1"/>
  <c r="BA202" i="1"/>
  <c r="BB202" i="1"/>
  <c r="BC202" i="1"/>
  <c r="BD202" i="1"/>
  <c r="BE202" i="1"/>
  <c r="BF202" i="1"/>
  <c r="BG202" i="1"/>
  <c r="BH202" i="1"/>
  <c r="BI202" i="1"/>
  <c r="BJ202" i="1"/>
  <c r="BK202" i="1"/>
  <c r="BL202" i="1"/>
  <c r="AX203" i="1"/>
  <c r="AY203" i="1"/>
  <c r="AZ203" i="1"/>
  <c r="BA203" i="1"/>
  <c r="BB203" i="1"/>
  <c r="BC203" i="1"/>
  <c r="BD203" i="1"/>
  <c r="BE203" i="1"/>
  <c r="BF203" i="1"/>
  <c r="BG203" i="1"/>
  <c r="BH203" i="1"/>
  <c r="BI203" i="1"/>
  <c r="BJ203" i="1"/>
  <c r="BK203" i="1"/>
  <c r="BL203" i="1"/>
  <c r="AX204" i="1"/>
  <c r="AY204" i="1"/>
  <c r="AZ204" i="1"/>
  <c r="BA204" i="1"/>
  <c r="BB204" i="1"/>
  <c r="BC204" i="1"/>
  <c r="BD204" i="1"/>
  <c r="BE204" i="1"/>
  <c r="BF204" i="1"/>
  <c r="BG204" i="1"/>
  <c r="BH204" i="1"/>
  <c r="BI204" i="1"/>
  <c r="BJ204" i="1"/>
  <c r="BK204" i="1"/>
  <c r="BL204" i="1"/>
  <c r="AX205" i="1"/>
  <c r="AY205" i="1"/>
  <c r="AZ205" i="1"/>
  <c r="BA205" i="1"/>
  <c r="BB205" i="1"/>
  <c r="BC205" i="1"/>
  <c r="BD205" i="1"/>
  <c r="BE205" i="1"/>
  <c r="BF205" i="1"/>
  <c r="BG205" i="1"/>
  <c r="BH205" i="1"/>
  <c r="BI205" i="1"/>
  <c r="BJ205" i="1"/>
  <c r="BK205" i="1"/>
  <c r="BL205" i="1"/>
  <c r="AX206" i="1"/>
  <c r="AY206" i="1"/>
  <c r="AZ206" i="1"/>
  <c r="BA206" i="1"/>
  <c r="BB206" i="1"/>
  <c r="BC206" i="1"/>
  <c r="BD206" i="1"/>
  <c r="BE206" i="1"/>
  <c r="BF206" i="1"/>
  <c r="BG206" i="1"/>
  <c r="BH206" i="1"/>
  <c r="BI206" i="1"/>
  <c r="BJ206" i="1"/>
  <c r="BK206" i="1"/>
  <c r="BL206" i="1"/>
  <c r="AX207" i="1"/>
  <c r="AY207" i="1"/>
  <c r="AZ207" i="1"/>
  <c r="BA207" i="1"/>
  <c r="BB207" i="1"/>
  <c r="BC207" i="1"/>
  <c r="BD207" i="1"/>
  <c r="BE207" i="1"/>
  <c r="BF207" i="1"/>
  <c r="BG207" i="1"/>
  <c r="BH207" i="1"/>
  <c r="BI207" i="1"/>
  <c r="BJ207" i="1"/>
  <c r="BK207" i="1"/>
  <c r="BL207" i="1"/>
  <c r="AX208" i="1"/>
  <c r="AY208" i="1"/>
  <c r="AZ208" i="1"/>
  <c r="BA208" i="1"/>
  <c r="BB208" i="1"/>
  <c r="BC208" i="1"/>
  <c r="BD208" i="1"/>
  <c r="BE208" i="1"/>
  <c r="BF208" i="1"/>
  <c r="BG208" i="1"/>
  <c r="BH208" i="1"/>
  <c r="BI208" i="1"/>
  <c r="BJ208" i="1"/>
  <c r="BK208" i="1"/>
  <c r="BL208" i="1"/>
  <c r="AX209" i="1"/>
  <c r="AY209" i="1"/>
  <c r="AZ209" i="1"/>
  <c r="BA209" i="1"/>
  <c r="BB209" i="1"/>
  <c r="BC209" i="1"/>
  <c r="BD209" i="1"/>
  <c r="BE209" i="1"/>
  <c r="BF209" i="1"/>
  <c r="BG209" i="1"/>
  <c r="BH209" i="1"/>
  <c r="BI209" i="1"/>
  <c r="BJ209" i="1"/>
  <c r="BK209" i="1"/>
  <c r="BL209" i="1"/>
  <c r="AX210" i="1"/>
  <c r="AY210" i="1"/>
  <c r="AZ210" i="1"/>
  <c r="BA210" i="1"/>
  <c r="BB210" i="1"/>
  <c r="BC210" i="1"/>
  <c r="BD210" i="1"/>
  <c r="BE210" i="1"/>
  <c r="BF210" i="1"/>
  <c r="BG210" i="1"/>
  <c r="BH210" i="1"/>
  <c r="BI210" i="1"/>
  <c r="BJ210" i="1"/>
  <c r="BK210" i="1"/>
  <c r="BL210" i="1"/>
  <c r="AX211" i="1"/>
  <c r="AY211" i="1"/>
  <c r="AZ211" i="1"/>
  <c r="BA211" i="1"/>
  <c r="BB211" i="1"/>
  <c r="BC211" i="1"/>
  <c r="BD211" i="1"/>
  <c r="BE211" i="1"/>
  <c r="BF211" i="1"/>
  <c r="BG211" i="1"/>
  <c r="BH211" i="1"/>
  <c r="BI211" i="1"/>
  <c r="BJ211" i="1"/>
  <c r="BK211" i="1"/>
  <c r="BL211" i="1"/>
  <c r="AX212" i="1"/>
  <c r="AY212" i="1"/>
  <c r="AZ212" i="1"/>
  <c r="BA212" i="1"/>
  <c r="BB212" i="1"/>
  <c r="BC212" i="1"/>
  <c r="BD212" i="1"/>
  <c r="BE212" i="1"/>
  <c r="BF212" i="1"/>
  <c r="BG212" i="1"/>
  <c r="BH212" i="1"/>
  <c r="BI212" i="1"/>
  <c r="BJ212" i="1"/>
  <c r="BK212" i="1"/>
  <c r="BL212" i="1"/>
  <c r="AX213" i="1"/>
  <c r="AY213" i="1"/>
  <c r="AZ213" i="1"/>
  <c r="BA213" i="1"/>
  <c r="BB213" i="1"/>
  <c r="BC213" i="1"/>
  <c r="BD213" i="1"/>
  <c r="BE213" i="1"/>
  <c r="BF213" i="1"/>
  <c r="BG213" i="1"/>
  <c r="BH213" i="1"/>
  <c r="BI213" i="1"/>
  <c r="BJ213" i="1"/>
  <c r="BK213" i="1"/>
  <c r="BL213" i="1"/>
  <c r="AX214" i="1"/>
  <c r="AY214" i="1"/>
  <c r="AZ214" i="1"/>
  <c r="BA214" i="1"/>
  <c r="BB214" i="1"/>
  <c r="BC214" i="1"/>
  <c r="BD214" i="1"/>
  <c r="BE214" i="1"/>
  <c r="BF214" i="1"/>
  <c r="BG214" i="1"/>
  <c r="BH214" i="1"/>
  <c r="BI214" i="1"/>
  <c r="BJ214" i="1"/>
  <c r="BK214" i="1"/>
  <c r="BL214" i="1"/>
  <c r="AX215" i="1"/>
  <c r="AY215" i="1"/>
  <c r="AZ215" i="1"/>
  <c r="BA215" i="1"/>
  <c r="BB215" i="1"/>
  <c r="BC215" i="1"/>
  <c r="BD215" i="1"/>
  <c r="BE215" i="1"/>
  <c r="BF215" i="1"/>
  <c r="BG215" i="1"/>
  <c r="BH215" i="1"/>
  <c r="BI215" i="1"/>
  <c r="BJ215" i="1"/>
  <c r="BK215" i="1"/>
  <c r="BL215" i="1"/>
  <c r="AX216" i="1"/>
  <c r="AY216" i="1"/>
  <c r="AZ216" i="1"/>
  <c r="BA216" i="1"/>
  <c r="BB216" i="1"/>
  <c r="BC216" i="1"/>
  <c r="BD216" i="1"/>
  <c r="BE216" i="1"/>
  <c r="BF216" i="1"/>
  <c r="BG216" i="1"/>
  <c r="BH216" i="1"/>
  <c r="BI216" i="1"/>
  <c r="BJ216" i="1"/>
  <c r="BK216" i="1"/>
  <c r="BL216" i="1"/>
  <c r="AX217" i="1"/>
  <c r="AY217" i="1"/>
  <c r="AZ217" i="1"/>
  <c r="BA217" i="1"/>
  <c r="BB217" i="1"/>
  <c r="BC217" i="1"/>
  <c r="BD217" i="1"/>
  <c r="BE217" i="1"/>
  <c r="BF217" i="1"/>
  <c r="BG217" i="1"/>
  <c r="BH217" i="1"/>
  <c r="BI217" i="1"/>
  <c r="BJ217" i="1"/>
  <c r="BK217" i="1"/>
  <c r="BL217" i="1"/>
  <c r="AX218" i="1"/>
  <c r="AY218" i="1"/>
  <c r="AZ218" i="1"/>
  <c r="BA218" i="1"/>
  <c r="BB218" i="1"/>
  <c r="BC218" i="1"/>
  <c r="BD218" i="1"/>
  <c r="BE218" i="1"/>
  <c r="BF218" i="1"/>
  <c r="BG218" i="1"/>
  <c r="BH218" i="1"/>
  <c r="BI218" i="1"/>
  <c r="BJ218" i="1"/>
  <c r="BK218" i="1"/>
  <c r="BL218" i="1"/>
  <c r="AX219" i="1"/>
  <c r="AY219" i="1"/>
  <c r="AZ219" i="1"/>
  <c r="BA219" i="1"/>
  <c r="BB219" i="1"/>
  <c r="BC219" i="1"/>
  <c r="BD219" i="1"/>
  <c r="BE219" i="1"/>
  <c r="BF219" i="1"/>
  <c r="BG219" i="1"/>
  <c r="BH219" i="1"/>
  <c r="BI219" i="1"/>
  <c r="BJ219" i="1"/>
  <c r="BK219" i="1"/>
  <c r="BL219" i="1"/>
  <c r="AX220" i="1"/>
  <c r="AY220" i="1"/>
  <c r="AZ220" i="1"/>
  <c r="BA220" i="1"/>
  <c r="BB220" i="1"/>
  <c r="BC220" i="1"/>
  <c r="BD220" i="1"/>
  <c r="BE220" i="1"/>
  <c r="BF220" i="1"/>
  <c r="BG220" i="1"/>
  <c r="BH220" i="1"/>
  <c r="BI220" i="1"/>
  <c r="BJ220" i="1"/>
  <c r="BK220" i="1"/>
  <c r="BL220" i="1"/>
  <c r="AX221" i="1"/>
  <c r="AY221" i="1"/>
  <c r="AZ221" i="1"/>
  <c r="BA221" i="1"/>
  <c r="BB221" i="1"/>
  <c r="BC221" i="1"/>
  <c r="BD221" i="1"/>
  <c r="BE221" i="1"/>
  <c r="BF221" i="1"/>
  <c r="BG221" i="1"/>
  <c r="BH221" i="1"/>
  <c r="BI221" i="1"/>
  <c r="BJ221" i="1"/>
  <c r="BK221" i="1"/>
  <c r="BL221" i="1"/>
  <c r="AX222" i="1"/>
  <c r="AY222" i="1"/>
  <c r="AZ222" i="1"/>
  <c r="BA222" i="1"/>
  <c r="BB222" i="1"/>
  <c r="BC222" i="1"/>
  <c r="BD222" i="1"/>
  <c r="BE222" i="1"/>
  <c r="BF222" i="1"/>
  <c r="BG222" i="1"/>
  <c r="BH222" i="1"/>
  <c r="BI222" i="1"/>
  <c r="BJ222" i="1"/>
  <c r="BK222" i="1"/>
  <c r="BL222" i="1"/>
  <c r="AX223" i="1"/>
  <c r="AY223" i="1"/>
  <c r="AZ223" i="1"/>
  <c r="BA223" i="1"/>
  <c r="BB223" i="1"/>
  <c r="BC223" i="1"/>
  <c r="BD223" i="1"/>
  <c r="BE223" i="1"/>
  <c r="BF223" i="1"/>
  <c r="BG223" i="1"/>
  <c r="BH223" i="1"/>
  <c r="BI223" i="1"/>
  <c r="BJ223" i="1"/>
  <c r="BK223" i="1"/>
  <c r="BL223" i="1"/>
  <c r="AX224" i="1"/>
  <c r="AY224" i="1"/>
  <c r="AZ224" i="1"/>
  <c r="BA224" i="1"/>
  <c r="BB224" i="1"/>
  <c r="BC224" i="1"/>
  <c r="BD224" i="1"/>
  <c r="BE224" i="1"/>
  <c r="BF224" i="1"/>
  <c r="BG224" i="1"/>
  <c r="BH224" i="1"/>
  <c r="BI224" i="1"/>
  <c r="BJ224" i="1"/>
  <c r="BK224" i="1"/>
  <c r="BL224" i="1"/>
  <c r="AX225" i="1"/>
  <c r="AY225" i="1"/>
  <c r="AZ225" i="1"/>
  <c r="BA225" i="1"/>
  <c r="BB225" i="1"/>
  <c r="BC225" i="1"/>
  <c r="BD225" i="1"/>
  <c r="BE225" i="1"/>
  <c r="BF225" i="1"/>
  <c r="BG225" i="1"/>
  <c r="BH225" i="1"/>
  <c r="BI225" i="1"/>
  <c r="BJ225" i="1"/>
  <c r="BK225" i="1"/>
  <c r="BL225" i="1"/>
  <c r="AX226" i="1"/>
  <c r="AY226" i="1"/>
  <c r="AZ226" i="1"/>
  <c r="BA226" i="1"/>
  <c r="BB226" i="1"/>
  <c r="BC226" i="1"/>
  <c r="BD226" i="1"/>
  <c r="BE226" i="1"/>
  <c r="BF226" i="1"/>
  <c r="BG226" i="1"/>
  <c r="BH226" i="1"/>
  <c r="BI226" i="1"/>
  <c r="BJ226" i="1"/>
  <c r="BK226" i="1"/>
  <c r="BL226" i="1"/>
  <c r="AX227" i="1"/>
  <c r="AY227" i="1"/>
  <c r="AZ227" i="1"/>
  <c r="BA227" i="1"/>
  <c r="BB227" i="1"/>
  <c r="BC227" i="1"/>
  <c r="BD227" i="1"/>
  <c r="BE227" i="1"/>
  <c r="BF227" i="1"/>
  <c r="BG227" i="1"/>
  <c r="BH227" i="1"/>
  <c r="BI227" i="1"/>
  <c r="BJ227" i="1"/>
  <c r="BK227" i="1"/>
  <c r="BL227" i="1"/>
  <c r="AX228" i="1"/>
  <c r="AY228" i="1"/>
  <c r="AZ228" i="1"/>
  <c r="BA228" i="1"/>
  <c r="BB228" i="1"/>
  <c r="BC228" i="1"/>
  <c r="BD228" i="1"/>
  <c r="BE228" i="1"/>
  <c r="BF228" i="1"/>
  <c r="BG228" i="1"/>
  <c r="BH228" i="1"/>
  <c r="BI228" i="1"/>
  <c r="BJ228" i="1"/>
  <c r="BK228" i="1"/>
  <c r="BL228" i="1"/>
  <c r="AX229" i="1"/>
  <c r="AY229" i="1"/>
  <c r="AZ229" i="1"/>
  <c r="BA229" i="1"/>
  <c r="BB229" i="1"/>
  <c r="BC229" i="1"/>
  <c r="BD229" i="1"/>
  <c r="BE229" i="1"/>
  <c r="BF229" i="1"/>
  <c r="BG229" i="1"/>
  <c r="BH229" i="1"/>
  <c r="BI229" i="1"/>
  <c r="BJ229" i="1"/>
  <c r="BK229" i="1"/>
  <c r="BL229" i="1"/>
  <c r="AX230" i="1"/>
  <c r="AY230" i="1"/>
  <c r="AZ230" i="1"/>
  <c r="BA230" i="1"/>
  <c r="BB230" i="1"/>
  <c r="BC230" i="1"/>
  <c r="BD230" i="1"/>
  <c r="BE230" i="1"/>
  <c r="BF230" i="1"/>
  <c r="BG230" i="1"/>
  <c r="BH230" i="1"/>
  <c r="BI230" i="1"/>
  <c r="BJ230" i="1"/>
  <c r="BK230" i="1"/>
  <c r="BL230" i="1"/>
  <c r="AX231" i="1"/>
  <c r="AY231" i="1"/>
  <c r="AZ231" i="1"/>
  <c r="BA231" i="1"/>
  <c r="BB231" i="1"/>
  <c r="BC231" i="1"/>
  <c r="BD231" i="1"/>
  <c r="BE231" i="1"/>
  <c r="BF231" i="1"/>
  <c r="BG231" i="1"/>
  <c r="BH231" i="1"/>
  <c r="BI231" i="1"/>
  <c r="BJ231" i="1"/>
  <c r="BK231" i="1"/>
  <c r="BL231" i="1"/>
  <c r="AX232" i="1"/>
  <c r="AY232" i="1"/>
  <c r="AZ232" i="1"/>
  <c r="BA232" i="1"/>
  <c r="BB232" i="1"/>
  <c r="BC232" i="1"/>
  <c r="BD232" i="1"/>
  <c r="BE232" i="1"/>
  <c r="BF232" i="1"/>
  <c r="BG232" i="1"/>
  <c r="BH232" i="1"/>
  <c r="BI232" i="1"/>
  <c r="BJ232" i="1"/>
  <c r="BK232" i="1"/>
  <c r="BL232" i="1"/>
  <c r="AX233" i="1"/>
  <c r="AY233" i="1"/>
  <c r="AZ233" i="1"/>
  <c r="BA233" i="1"/>
  <c r="BB233" i="1"/>
  <c r="BC233" i="1"/>
  <c r="BD233" i="1"/>
  <c r="BE233" i="1"/>
  <c r="BF233" i="1"/>
  <c r="BG233" i="1"/>
  <c r="BH233" i="1"/>
  <c r="BI233" i="1"/>
  <c r="BJ233" i="1"/>
  <c r="BK233" i="1"/>
  <c r="BL233" i="1"/>
  <c r="AX234" i="1"/>
  <c r="AY234" i="1"/>
  <c r="AZ234" i="1"/>
  <c r="BA234" i="1"/>
  <c r="BB234" i="1"/>
  <c r="BC234" i="1"/>
  <c r="BD234" i="1"/>
  <c r="BE234" i="1"/>
  <c r="BF234" i="1"/>
  <c r="BG234" i="1"/>
  <c r="BH234" i="1"/>
  <c r="BI234" i="1"/>
  <c r="BJ234" i="1"/>
  <c r="BK234" i="1"/>
  <c r="BL234" i="1"/>
  <c r="AX235" i="1"/>
  <c r="AY235" i="1"/>
  <c r="AZ235" i="1"/>
  <c r="BA235" i="1"/>
  <c r="BB235" i="1"/>
  <c r="BC235" i="1"/>
  <c r="BD235" i="1"/>
  <c r="BE235" i="1"/>
  <c r="BF235" i="1"/>
  <c r="BG235" i="1"/>
  <c r="BH235" i="1"/>
  <c r="BI235" i="1"/>
  <c r="BJ235" i="1"/>
  <c r="BK235" i="1"/>
  <c r="BL235" i="1"/>
  <c r="AX236" i="1"/>
  <c r="AY236" i="1"/>
  <c r="AZ236" i="1"/>
  <c r="BA236" i="1"/>
  <c r="BB236" i="1"/>
  <c r="BC236" i="1"/>
  <c r="BD236" i="1"/>
  <c r="BE236" i="1"/>
  <c r="BF236" i="1"/>
  <c r="BG236" i="1"/>
  <c r="BH236" i="1"/>
  <c r="BI236" i="1"/>
  <c r="BJ236" i="1"/>
  <c r="BK236" i="1"/>
  <c r="BL236" i="1"/>
  <c r="AX237" i="1"/>
  <c r="AY237" i="1"/>
  <c r="AZ237" i="1"/>
  <c r="BA237" i="1"/>
  <c r="BB237" i="1"/>
  <c r="BC237" i="1"/>
  <c r="BD237" i="1"/>
  <c r="BE237" i="1"/>
  <c r="BF237" i="1"/>
  <c r="BG237" i="1"/>
  <c r="BH237" i="1"/>
  <c r="BI237" i="1"/>
  <c r="BJ237" i="1"/>
  <c r="BK237" i="1"/>
  <c r="BL237" i="1"/>
  <c r="AX238" i="1"/>
  <c r="AY238" i="1"/>
  <c r="AZ238" i="1"/>
  <c r="BA238" i="1"/>
  <c r="BB238" i="1"/>
  <c r="BC238" i="1"/>
  <c r="BD238" i="1"/>
  <c r="BE238" i="1"/>
  <c r="BF238" i="1"/>
  <c r="BG238" i="1"/>
  <c r="BH238" i="1"/>
  <c r="BI238" i="1"/>
  <c r="BJ238" i="1"/>
  <c r="BK238" i="1"/>
  <c r="BL238" i="1"/>
  <c r="AX239" i="1"/>
  <c r="AY239" i="1"/>
  <c r="AZ239" i="1"/>
  <c r="BA239" i="1"/>
  <c r="BB239" i="1"/>
  <c r="BC239" i="1"/>
  <c r="BD239" i="1"/>
  <c r="BE239" i="1"/>
  <c r="BF239" i="1"/>
  <c r="BG239" i="1"/>
  <c r="BH239" i="1"/>
  <c r="BI239" i="1"/>
  <c r="BJ239" i="1"/>
  <c r="BK239" i="1"/>
  <c r="BL239" i="1"/>
  <c r="AX240" i="1"/>
  <c r="AY240" i="1"/>
  <c r="AZ240" i="1"/>
  <c r="BA240" i="1"/>
  <c r="BB240" i="1"/>
  <c r="BC240" i="1"/>
  <c r="BD240" i="1"/>
  <c r="BE240" i="1"/>
  <c r="BF240" i="1"/>
  <c r="BG240" i="1"/>
  <c r="BH240" i="1"/>
  <c r="BI240" i="1"/>
  <c r="BJ240" i="1"/>
  <c r="BK240" i="1"/>
  <c r="BL240" i="1"/>
  <c r="AX241" i="1"/>
  <c r="AY241" i="1"/>
  <c r="AZ241" i="1"/>
  <c r="BA241" i="1"/>
  <c r="BB241" i="1"/>
  <c r="BC241" i="1"/>
  <c r="BD241" i="1"/>
  <c r="BE241" i="1"/>
  <c r="BF241" i="1"/>
  <c r="BG241" i="1"/>
  <c r="BH241" i="1"/>
  <c r="BI241" i="1"/>
  <c r="BJ241" i="1"/>
  <c r="BK241" i="1"/>
  <c r="BL241" i="1"/>
  <c r="AX242" i="1"/>
  <c r="AY242" i="1"/>
  <c r="AZ242" i="1"/>
  <c r="BA242" i="1"/>
  <c r="BB242" i="1"/>
  <c r="BC242" i="1"/>
  <c r="BD242" i="1"/>
  <c r="BE242" i="1"/>
  <c r="BF242" i="1"/>
  <c r="BG242" i="1"/>
  <c r="BH242" i="1"/>
  <c r="BI242" i="1"/>
  <c r="BJ242" i="1"/>
  <c r="BK242" i="1"/>
  <c r="BL242" i="1"/>
  <c r="AX243" i="1"/>
  <c r="AY243" i="1"/>
  <c r="AZ243" i="1"/>
  <c r="BA243" i="1"/>
  <c r="BB243" i="1"/>
  <c r="BC243" i="1"/>
  <c r="BD243" i="1"/>
  <c r="BE243" i="1"/>
  <c r="BF243" i="1"/>
  <c r="BG243" i="1"/>
  <c r="BH243" i="1"/>
  <c r="BI243" i="1"/>
  <c r="BJ243" i="1"/>
  <c r="BK243" i="1"/>
  <c r="BL243" i="1"/>
  <c r="AX244" i="1"/>
  <c r="AY244" i="1"/>
  <c r="AZ244" i="1"/>
  <c r="BA244" i="1"/>
  <c r="BB244" i="1"/>
  <c r="BC244" i="1"/>
  <c r="BD244" i="1"/>
  <c r="BE244" i="1"/>
  <c r="BF244" i="1"/>
  <c r="BG244" i="1"/>
  <c r="BH244" i="1"/>
  <c r="BI244" i="1"/>
  <c r="BJ244" i="1"/>
  <c r="BK244" i="1"/>
  <c r="BL244" i="1"/>
  <c r="AX245" i="1"/>
  <c r="AY245" i="1"/>
  <c r="AZ245" i="1"/>
  <c r="BA245" i="1"/>
  <c r="BB245" i="1"/>
  <c r="BC245" i="1"/>
  <c r="BD245" i="1"/>
  <c r="BE245" i="1"/>
  <c r="BF245" i="1"/>
  <c r="BG245" i="1"/>
  <c r="BH245" i="1"/>
  <c r="BI245" i="1"/>
  <c r="BJ245" i="1"/>
  <c r="BK245" i="1"/>
  <c r="BL245" i="1"/>
  <c r="AX246" i="1"/>
  <c r="AY246" i="1"/>
  <c r="AZ246" i="1"/>
  <c r="BA246" i="1"/>
  <c r="BB246" i="1"/>
  <c r="BC246" i="1"/>
  <c r="BD246" i="1"/>
  <c r="BE246" i="1"/>
  <c r="BF246" i="1"/>
  <c r="BG246" i="1"/>
  <c r="BH246" i="1"/>
  <c r="BI246" i="1"/>
  <c r="BJ246" i="1"/>
  <c r="BK246" i="1"/>
  <c r="BL246" i="1"/>
  <c r="AX247" i="1"/>
  <c r="AY247" i="1"/>
  <c r="AZ247" i="1"/>
  <c r="BA247" i="1"/>
  <c r="BB247" i="1"/>
  <c r="BC247" i="1"/>
  <c r="BD247" i="1"/>
  <c r="BE247" i="1"/>
  <c r="BF247" i="1"/>
  <c r="BG247" i="1"/>
  <c r="BH247" i="1"/>
  <c r="BI247" i="1"/>
  <c r="BJ247" i="1"/>
  <c r="BK247" i="1"/>
  <c r="BL247" i="1"/>
  <c r="AX248" i="1"/>
  <c r="AY248" i="1"/>
  <c r="AZ248" i="1"/>
  <c r="BA248" i="1"/>
  <c r="BB248" i="1"/>
  <c r="BC248" i="1"/>
  <c r="BD248" i="1"/>
  <c r="BE248" i="1"/>
  <c r="BF248" i="1"/>
  <c r="BG248" i="1"/>
  <c r="BH248" i="1"/>
  <c r="BI248" i="1"/>
  <c r="BJ248" i="1"/>
  <c r="BK248" i="1"/>
  <c r="BL248" i="1"/>
  <c r="AX249" i="1"/>
  <c r="AY249" i="1"/>
  <c r="AZ249" i="1"/>
  <c r="BA249" i="1"/>
  <c r="BB249" i="1"/>
  <c r="BC249" i="1"/>
  <c r="BD249" i="1"/>
  <c r="BE249" i="1"/>
  <c r="BF249" i="1"/>
  <c r="BG249" i="1"/>
  <c r="BH249" i="1"/>
  <c r="BI249" i="1"/>
  <c r="BJ249" i="1"/>
  <c r="BK249" i="1"/>
  <c r="BL249" i="1"/>
  <c r="AX250" i="1"/>
  <c r="AY250" i="1"/>
  <c r="AZ250" i="1"/>
  <c r="BA250" i="1"/>
  <c r="BB250" i="1"/>
  <c r="BC250" i="1"/>
  <c r="BD250" i="1"/>
  <c r="BE250" i="1"/>
  <c r="BF250" i="1"/>
  <c r="BG250" i="1"/>
  <c r="BH250" i="1"/>
  <c r="BI250" i="1"/>
  <c r="BJ250" i="1"/>
  <c r="BK250" i="1"/>
  <c r="BL250" i="1"/>
  <c r="AX251" i="1"/>
  <c r="AY251" i="1"/>
  <c r="AZ251" i="1"/>
  <c r="BA251" i="1"/>
  <c r="BB251" i="1"/>
  <c r="BC251" i="1"/>
  <c r="BD251" i="1"/>
  <c r="BE251" i="1"/>
  <c r="BF251" i="1"/>
  <c r="BG251" i="1"/>
  <c r="BH251" i="1"/>
  <c r="BI251" i="1"/>
  <c r="BJ251" i="1"/>
  <c r="BK251" i="1"/>
  <c r="BL251" i="1"/>
  <c r="AX252" i="1"/>
  <c r="AY252" i="1"/>
  <c r="AZ252" i="1"/>
  <c r="BA252" i="1"/>
  <c r="BB252" i="1"/>
  <c r="BC252" i="1"/>
  <c r="BD252" i="1"/>
  <c r="BE252" i="1"/>
  <c r="BF252" i="1"/>
  <c r="BG252" i="1"/>
  <c r="BH252" i="1"/>
  <c r="BI252" i="1"/>
  <c r="BJ252" i="1"/>
  <c r="BK252" i="1"/>
  <c r="BL252" i="1"/>
  <c r="AX253" i="1"/>
  <c r="AY253" i="1"/>
  <c r="AZ253" i="1"/>
  <c r="BA253" i="1"/>
  <c r="BB253" i="1"/>
  <c r="BC253" i="1"/>
  <c r="BD253" i="1"/>
  <c r="BE253" i="1"/>
  <c r="BF253" i="1"/>
  <c r="BG253" i="1"/>
  <c r="BH253" i="1"/>
  <c r="BI253" i="1"/>
  <c r="BJ253" i="1"/>
  <c r="BK253" i="1"/>
  <c r="BL253" i="1"/>
  <c r="AX254" i="1"/>
  <c r="AY254" i="1"/>
  <c r="AZ254" i="1"/>
  <c r="BA254" i="1"/>
  <c r="BB254" i="1"/>
  <c r="BC254" i="1"/>
  <c r="BD254" i="1"/>
  <c r="BE254" i="1"/>
  <c r="BF254" i="1"/>
  <c r="BG254" i="1"/>
  <c r="BH254" i="1"/>
  <c r="BI254" i="1"/>
  <c r="BJ254" i="1"/>
  <c r="BK254" i="1"/>
  <c r="BL254" i="1"/>
  <c r="AX255" i="1"/>
  <c r="AY255" i="1"/>
  <c r="AZ255" i="1"/>
  <c r="BA255" i="1"/>
  <c r="BB255" i="1"/>
  <c r="BC255" i="1"/>
  <c r="BD255" i="1"/>
  <c r="BE255" i="1"/>
  <c r="BF255" i="1"/>
  <c r="BG255" i="1"/>
  <c r="BH255" i="1"/>
  <c r="BI255" i="1"/>
  <c r="BJ255" i="1"/>
  <c r="BK255" i="1"/>
  <c r="BL255" i="1"/>
  <c r="AX256" i="1"/>
  <c r="AY256" i="1"/>
  <c r="AZ256" i="1"/>
  <c r="BA256" i="1"/>
  <c r="BB256" i="1"/>
  <c r="BC256" i="1"/>
  <c r="BD256" i="1"/>
  <c r="BE256" i="1"/>
  <c r="BF256" i="1"/>
  <c r="BG256" i="1"/>
  <c r="BH256" i="1"/>
  <c r="BI256" i="1"/>
  <c r="BJ256" i="1"/>
  <c r="BK256" i="1"/>
  <c r="BL256" i="1"/>
  <c r="AX257" i="1"/>
  <c r="AY257" i="1"/>
  <c r="AZ257" i="1"/>
  <c r="BA257" i="1"/>
  <c r="BB257" i="1"/>
  <c r="BC257" i="1"/>
  <c r="BD257" i="1"/>
  <c r="BE257" i="1"/>
  <c r="BF257" i="1"/>
  <c r="BG257" i="1"/>
  <c r="BH257" i="1"/>
  <c r="BI257" i="1"/>
  <c r="BJ257" i="1"/>
  <c r="BK257" i="1"/>
  <c r="BL257" i="1"/>
  <c r="AX258" i="1"/>
  <c r="AY258" i="1"/>
  <c r="AZ258" i="1"/>
  <c r="BA258" i="1"/>
  <c r="BB258" i="1"/>
  <c r="BC258" i="1"/>
  <c r="BD258" i="1"/>
  <c r="BE258" i="1"/>
  <c r="BF258" i="1"/>
  <c r="BG258" i="1"/>
  <c r="BH258" i="1"/>
  <c r="BI258" i="1"/>
  <c r="BJ258" i="1"/>
  <c r="BK258" i="1"/>
  <c r="BL258" i="1"/>
  <c r="AX259" i="1"/>
  <c r="AY259" i="1"/>
  <c r="AZ259" i="1"/>
  <c r="BA259" i="1"/>
  <c r="BB259" i="1"/>
  <c r="BC259" i="1"/>
  <c r="BD259" i="1"/>
  <c r="BE259" i="1"/>
  <c r="BF259" i="1"/>
  <c r="BG259" i="1"/>
  <c r="BH259" i="1"/>
  <c r="BI259" i="1"/>
  <c r="BJ259" i="1"/>
  <c r="BK259" i="1"/>
  <c r="BL259" i="1"/>
  <c r="AX260" i="1"/>
  <c r="AY260" i="1"/>
  <c r="AZ260" i="1"/>
  <c r="BA260" i="1"/>
  <c r="BB260" i="1"/>
  <c r="BC260" i="1"/>
  <c r="BD260" i="1"/>
  <c r="BE260" i="1"/>
  <c r="BF260" i="1"/>
  <c r="BG260" i="1"/>
  <c r="BH260" i="1"/>
  <c r="BI260" i="1"/>
  <c r="BJ260" i="1"/>
  <c r="BK260" i="1"/>
  <c r="BL260" i="1"/>
  <c r="AX261" i="1"/>
  <c r="AY261" i="1"/>
  <c r="AZ261" i="1"/>
  <c r="BA261" i="1"/>
  <c r="BB261" i="1"/>
  <c r="BC261" i="1"/>
  <c r="BD261" i="1"/>
  <c r="BE261" i="1"/>
  <c r="BF261" i="1"/>
  <c r="BG261" i="1"/>
  <c r="BH261" i="1"/>
  <c r="BI261" i="1"/>
  <c r="BJ261" i="1"/>
  <c r="BK261" i="1"/>
  <c r="BL261" i="1"/>
  <c r="AX262" i="1"/>
  <c r="AY262" i="1"/>
  <c r="AZ262" i="1"/>
  <c r="BA262" i="1"/>
  <c r="BB262" i="1"/>
  <c r="BC262" i="1"/>
  <c r="BD262" i="1"/>
  <c r="BE262" i="1"/>
  <c r="BF262" i="1"/>
  <c r="BG262" i="1"/>
  <c r="BH262" i="1"/>
  <c r="BI262" i="1"/>
  <c r="BJ262" i="1"/>
  <c r="BK262" i="1"/>
  <c r="BL262" i="1"/>
  <c r="AX263" i="1"/>
  <c r="AY263" i="1"/>
  <c r="AZ263" i="1"/>
  <c r="BA263" i="1"/>
  <c r="BB263" i="1"/>
  <c r="BC263" i="1"/>
  <c r="BD263" i="1"/>
  <c r="BE263" i="1"/>
  <c r="BF263" i="1"/>
  <c r="BG263" i="1"/>
  <c r="BH263" i="1"/>
  <c r="BI263" i="1"/>
  <c r="BJ263" i="1"/>
  <c r="BK263" i="1"/>
  <c r="BL263" i="1"/>
  <c r="AX264" i="1"/>
  <c r="AY264" i="1"/>
  <c r="AZ264" i="1"/>
  <c r="BA264" i="1"/>
  <c r="BB264" i="1"/>
  <c r="BC264" i="1"/>
  <c r="BD264" i="1"/>
  <c r="BE264" i="1"/>
  <c r="BF264" i="1"/>
  <c r="BG264" i="1"/>
  <c r="BH264" i="1"/>
  <c r="BI264" i="1"/>
  <c r="BJ264" i="1"/>
  <c r="BK264" i="1"/>
  <c r="BL264" i="1"/>
  <c r="AX265" i="1"/>
  <c r="AY265" i="1"/>
  <c r="AZ265" i="1"/>
  <c r="BA265" i="1"/>
  <c r="BB265" i="1"/>
  <c r="BC265" i="1"/>
  <c r="BD265" i="1"/>
  <c r="BE265" i="1"/>
  <c r="BF265" i="1"/>
  <c r="BG265" i="1"/>
  <c r="BH265" i="1"/>
  <c r="BI265" i="1"/>
  <c r="BJ265" i="1"/>
  <c r="BK265" i="1"/>
  <c r="BL265" i="1"/>
  <c r="AX266" i="1"/>
  <c r="AY266" i="1"/>
  <c r="AZ266" i="1"/>
  <c r="BA266" i="1"/>
  <c r="BB266" i="1"/>
  <c r="BC266" i="1"/>
  <c r="BD266" i="1"/>
  <c r="BE266" i="1"/>
  <c r="BF266" i="1"/>
  <c r="BG266" i="1"/>
  <c r="BH266" i="1"/>
  <c r="BI266" i="1"/>
  <c r="BJ266" i="1"/>
  <c r="BK266" i="1"/>
  <c r="BL266" i="1"/>
  <c r="AX267" i="1"/>
  <c r="AY267" i="1"/>
  <c r="AZ267" i="1"/>
  <c r="BA267" i="1"/>
  <c r="BB267" i="1"/>
  <c r="BC267" i="1"/>
  <c r="BD267" i="1"/>
  <c r="BE267" i="1"/>
  <c r="BF267" i="1"/>
  <c r="BG267" i="1"/>
  <c r="BH267" i="1"/>
  <c r="BI267" i="1"/>
  <c r="BJ267" i="1"/>
  <c r="BK267" i="1"/>
  <c r="BL267" i="1"/>
  <c r="AX268" i="1"/>
  <c r="AY268" i="1"/>
  <c r="AZ268" i="1"/>
  <c r="BA268" i="1"/>
  <c r="BB268" i="1"/>
  <c r="BC268" i="1"/>
  <c r="BD268" i="1"/>
  <c r="BE268" i="1"/>
  <c r="BF268" i="1"/>
  <c r="BG268" i="1"/>
  <c r="BH268" i="1"/>
  <c r="BI268" i="1"/>
  <c r="BJ268" i="1"/>
  <c r="BK268" i="1"/>
  <c r="BL268" i="1"/>
  <c r="AX269" i="1"/>
  <c r="AY269" i="1"/>
  <c r="AZ269" i="1"/>
  <c r="BA269" i="1"/>
  <c r="BB269" i="1"/>
  <c r="BC269" i="1"/>
  <c r="BD269" i="1"/>
  <c r="BE269" i="1"/>
  <c r="BF269" i="1"/>
  <c r="BG269" i="1"/>
  <c r="BH269" i="1"/>
  <c r="BI269" i="1"/>
  <c r="BJ269" i="1"/>
  <c r="BK269" i="1"/>
  <c r="BL269" i="1"/>
  <c r="AX270" i="1"/>
  <c r="AY270" i="1"/>
  <c r="AZ270" i="1"/>
  <c r="BA270" i="1"/>
  <c r="BB270" i="1"/>
  <c r="BC270" i="1"/>
  <c r="BD270" i="1"/>
  <c r="BE270" i="1"/>
  <c r="BF270" i="1"/>
  <c r="BG270" i="1"/>
  <c r="BH270" i="1"/>
  <c r="BI270" i="1"/>
  <c r="BJ270" i="1"/>
  <c r="BK270" i="1"/>
  <c r="BL270" i="1"/>
  <c r="AX271" i="1"/>
  <c r="AY271" i="1"/>
  <c r="AZ271" i="1"/>
  <c r="BA271" i="1"/>
  <c r="BB271" i="1"/>
  <c r="BC271" i="1"/>
  <c r="BD271" i="1"/>
  <c r="BE271" i="1"/>
  <c r="BF271" i="1"/>
  <c r="BG271" i="1"/>
  <c r="BH271" i="1"/>
  <c r="BI271" i="1"/>
  <c r="BJ271" i="1"/>
  <c r="BK271" i="1"/>
  <c r="BL271" i="1"/>
  <c r="AX272" i="1"/>
  <c r="AY272" i="1"/>
  <c r="AZ272" i="1"/>
  <c r="BA272" i="1"/>
  <c r="BB272" i="1"/>
  <c r="BC272" i="1"/>
  <c r="BD272" i="1"/>
  <c r="BE272" i="1"/>
  <c r="BF272" i="1"/>
  <c r="BG272" i="1"/>
  <c r="BH272" i="1"/>
  <c r="BI272" i="1"/>
  <c r="BJ272" i="1"/>
  <c r="BK272" i="1"/>
  <c r="BL272" i="1"/>
  <c r="AX273" i="1"/>
  <c r="AY273" i="1"/>
  <c r="AZ273" i="1"/>
  <c r="BA273" i="1"/>
  <c r="BB273" i="1"/>
  <c r="BC273" i="1"/>
  <c r="BD273" i="1"/>
  <c r="BE273" i="1"/>
  <c r="BF273" i="1"/>
  <c r="BG273" i="1"/>
  <c r="BH273" i="1"/>
  <c r="BI273" i="1"/>
  <c r="BJ273" i="1"/>
  <c r="BK273" i="1"/>
  <c r="BL273" i="1"/>
  <c r="AX274" i="1"/>
  <c r="AY274" i="1"/>
  <c r="AZ274" i="1"/>
  <c r="BA274" i="1"/>
  <c r="BB274" i="1"/>
  <c r="BC274" i="1"/>
  <c r="BD274" i="1"/>
  <c r="BE274" i="1"/>
  <c r="BF274" i="1"/>
  <c r="BG274" i="1"/>
  <c r="BH274" i="1"/>
  <c r="BI274" i="1"/>
  <c r="BJ274" i="1"/>
  <c r="BK274" i="1"/>
  <c r="BL274" i="1"/>
  <c r="AX275" i="1"/>
  <c r="AY275" i="1"/>
  <c r="AZ275" i="1"/>
  <c r="BA275" i="1"/>
  <c r="BB275" i="1"/>
  <c r="BC275" i="1"/>
  <c r="BD275" i="1"/>
  <c r="BE275" i="1"/>
  <c r="BF275" i="1"/>
  <c r="BG275" i="1"/>
  <c r="BH275" i="1"/>
  <c r="BI275" i="1"/>
  <c r="BJ275" i="1"/>
  <c r="BK275" i="1"/>
  <c r="BL275" i="1"/>
  <c r="AX276" i="1"/>
  <c r="AY276" i="1"/>
  <c r="AZ276" i="1"/>
  <c r="BA276" i="1"/>
  <c r="BB276" i="1"/>
  <c r="BC276" i="1"/>
  <c r="BD276" i="1"/>
  <c r="BE276" i="1"/>
  <c r="BF276" i="1"/>
  <c r="BG276" i="1"/>
  <c r="BH276" i="1"/>
  <c r="BI276" i="1"/>
  <c r="BJ276" i="1"/>
  <c r="BK276" i="1"/>
  <c r="BL276" i="1"/>
  <c r="AX277" i="1"/>
  <c r="AY277" i="1"/>
  <c r="AZ277" i="1"/>
  <c r="BA277" i="1"/>
  <c r="BB277" i="1"/>
  <c r="BC277" i="1"/>
  <c r="BD277" i="1"/>
  <c r="BE277" i="1"/>
  <c r="BF277" i="1"/>
  <c r="BG277" i="1"/>
  <c r="BH277" i="1"/>
  <c r="BI277" i="1"/>
  <c r="BJ277" i="1"/>
  <c r="BK277" i="1"/>
  <c r="BL277" i="1"/>
  <c r="AX278" i="1"/>
  <c r="AY278" i="1"/>
  <c r="AZ278" i="1"/>
  <c r="BA278" i="1"/>
  <c r="BB278" i="1"/>
  <c r="BC278" i="1"/>
  <c r="BD278" i="1"/>
  <c r="BE278" i="1"/>
  <c r="BF278" i="1"/>
  <c r="BG278" i="1"/>
  <c r="BH278" i="1"/>
  <c r="BI278" i="1"/>
  <c r="BJ278" i="1"/>
  <c r="BK278" i="1"/>
  <c r="BL278" i="1"/>
  <c r="AX279" i="1"/>
  <c r="AY279" i="1"/>
  <c r="AZ279" i="1"/>
  <c r="BA279" i="1"/>
  <c r="BB279" i="1"/>
  <c r="BC279" i="1"/>
  <c r="BD279" i="1"/>
  <c r="BE279" i="1"/>
  <c r="BF279" i="1"/>
  <c r="BG279" i="1"/>
  <c r="BH279" i="1"/>
  <c r="BI279" i="1"/>
  <c r="BJ279" i="1"/>
  <c r="BK279" i="1"/>
  <c r="BL279" i="1"/>
  <c r="AX280" i="1"/>
  <c r="AY280" i="1"/>
  <c r="AZ280" i="1"/>
  <c r="BA280" i="1"/>
  <c r="BB280" i="1"/>
  <c r="BC280" i="1"/>
  <c r="BD280" i="1"/>
  <c r="BE280" i="1"/>
  <c r="BF280" i="1"/>
  <c r="BG280" i="1"/>
  <c r="BH280" i="1"/>
  <c r="BI280" i="1"/>
  <c r="BJ280" i="1"/>
  <c r="BK280" i="1"/>
  <c r="BL280" i="1"/>
  <c r="AX281" i="1"/>
  <c r="AY281" i="1"/>
  <c r="AZ281" i="1"/>
  <c r="BA281" i="1"/>
  <c r="BB281" i="1"/>
  <c r="BC281" i="1"/>
  <c r="BD281" i="1"/>
  <c r="BE281" i="1"/>
  <c r="BF281" i="1"/>
  <c r="BG281" i="1"/>
  <c r="BH281" i="1"/>
  <c r="BI281" i="1"/>
  <c r="BJ281" i="1"/>
  <c r="BK281" i="1"/>
  <c r="BL281" i="1"/>
  <c r="AX282" i="1"/>
  <c r="AY282" i="1"/>
  <c r="AZ282" i="1"/>
  <c r="BA282" i="1"/>
  <c r="BB282" i="1"/>
  <c r="BC282" i="1"/>
  <c r="BD282" i="1"/>
  <c r="BE282" i="1"/>
  <c r="BF282" i="1"/>
  <c r="BG282" i="1"/>
  <c r="BH282" i="1"/>
  <c r="BI282" i="1"/>
  <c r="BJ282" i="1"/>
  <c r="BK282" i="1"/>
  <c r="BL282" i="1"/>
  <c r="AX283" i="1"/>
  <c r="AY283" i="1"/>
  <c r="AZ283" i="1"/>
  <c r="BA283" i="1"/>
  <c r="BB283" i="1"/>
  <c r="BC283" i="1"/>
  <c r="BD283" i="1"/>
  <c r="BE283" i="1"/>
  <c r="BF283" i="1"/>
  <c r="BG283" i="1"/>
  <c r="BH283" i="1"/>
  <c r="BI283" i="1"/>
  <c r="BJ283" i="1"/>
  <c r="BK283" i="1"/>
  <c r="BL283" i="1"/>
  <c r="AX284" i="1"/>
  <c r="AY284" i="1"/>
  <c r="AZ284" i="1"/>
  <c r="BA284" i="1"/>
  <c r="BB284" i="1"/>
  <c r="BC284" i="1"/>
  <c r="BD284" i="1"/>
  <c r="BE284" i="1"/>
  <c r="BF284" i="1"/>
  <c r="BG284" i="1"/>
  <c r="BH284" i="1"/>
  <c r="BI284" i="1"/>
  <c r="BJ284" i="1"/>
  <c r="BK284" i="1"/>
  <c r="BL284" i="1"/>
  <c r="AX285" i="1"/>
  <c r="AY285" i="1"/>
  <c r="AZ285" i="1"/>
  <c r="BA285" i="1"/>
  <c r="BB285" i="1"/>
  <c r="BC285" i="1"/>
  <c r="BD285" i="1"/>
  <c r="BE285" i="1"/>
  <c r="BF285" i="1"/>
  <c r="BG285" i="1"/>
  <c r="BH285" i="1"/>
  <c r="BI285" i="1"/>
  <c r="BJ285" i="1"/>
  <c r="BK285" i="1"/>
  <c r="BL285" i="1"/>
  <c r="AX286" i="1"/>
  <c r="AY286" i="1"/>
  <c r="AZ286" i="1"/>
  <c r="BA286" i="1"/>
  <c r="BB286" i="1"/>
  <c r="BC286" i="1"/>
  <c r="BD286" i="1"/>
  <c r="BE286" i="1"/>
  <c r="BF286" i="1"/>
  <c r="BG286" i="1"/>
  <c r="BH286" i="1"/>
  <c r="BI286" i="1"/>
  <c r="BJ286" i="1"/>
  <c r="BK286" i="1"/>
  <c r="BL286" i="1"/>
  <c r="AX287" i="1"/>
  <c r="AY287" i="1"/>
  <c r="AZ287" i="1"/>
  <c r="BA287" i="1"/>
  <c r="BB287" i="1"/>
  <c r="BC287" i="1"/>
  <c r="BD287" i="1"/>
  <c r="BE287" i="1"/>
  <c r="BF287" i="1"/>
  <c r="BG287" i="1"/>
  <c r="BH287" i="1"/>
  <c r="BI287" i="1"/>
  <c r="BJ287" i="1"/>
  <c r="BK287" i="1"/>
  <c r="BL287" i="1"/>
  <c r="AX288" i="1"/>
  <c r="AY288" i="1"/>
  <c r="AZ288" i="1"/>
  <c r="BA288" i="1"/>
  <c r="BB288" i="1"/>
  <c r="BC288" i="1"/>
  <c r="BD288" i="1"/>
  <c r="BE288" i="1"/>
  <c r="BF288" i="1"/>
  <c r="BG288" i="1"/>
  <c r="BH288" i="1"/>
  <c r="BI288" i="1"/>
  <c r="BJ288" i="1"/>
  <c r="BK288" i="1"/>
  <c r="BL288" i="1"/>
  <c r="AX289" i="1"/>
  <c r="AY289" i="1"/>
  <c r="AZ289" i="1"/>
  <c r="BA289" i="1"/>
  <c r="BB289" i="1"/>
  <c r="BC289" i="1"/>
  <c r="BD289" i="1"/>
  <c r="BE289" i="1"/>
  <c r="BF289" i="1"/>
  <c r="BG289" i="1"/>
  <c r="BH289" i="1"/>
  <c r="BI289" i="1"/>
  <c r="BJ289" i="1"/>
  <c r="BK289" i="1"/>
  <c r="BL289" i="1"/>
  <c r="AX290" i="1"/>
  <c r="AY290" i="1"/>
  <c r="AZ290" i="1"/>
  <c r="BA290" i="1"/>
  <c r="BB290" i="1"/>
  <c r="BC290" i="1"/>
  <c r="BD290" i="1"/>
  <c r="BE290" i="1"/>
  <c r="BF290" i="1"/>
  <c r="BG290" i="1"/>
  <c r="BH290" i="1"/>
  <c r="BI290" i="1"/>
  <c r="BJ290" i="1"/>
  <c r="BK290" i="1"/>
  <c r="BL290" i="1"/>
  <c r="AX291" i="1"/>
  <c r="AY291" i="1"/>
  <c r="AZ291" i="1"/>
  <c r="BA291" i="1"/>
  <c r="BB291" i="1"/>
  <c r="BC291" i="1"/>
  <c r="BD291" i="1"/>
  <c r="BE291" i="1"/>
  <c r="BF291" i="1"/>
  <c r="BG291" i="1"/>
  <c r="BH291" i="1"/>
  <c r="BI291" i="1"/>
  <c r="BJ291" i="1"/>
  <c r="BK291" i="1"/>
  <c r="BL291" i="1"/>
  <c r="AX292" i="1"/>
  <c r="AY292" i="1"/>
  <c r="AZ292" i="1"/>
  <c r="BA292" i="1"/>
  <c r="BB292" i="1"/>
  <c r="BC292" i="1"/>
  <c r="BD292" i="1"/>
  <c r="BE292" i="1"/>
  <c r="BF292" i="1"/>
  <c r="BG292" i="1"/>
  <c r="BH292" i="1"/>
  <c r="BI292" i="1"/>
  <c r="BJ292" i="1"/>
  <c r="BK292" i="1"/>
  <c r="BL292" i="1"/>
  <c r="AX293" i="1"/>
  <c r="AY293" i="1"/>
  <c r="AZ293" i="1"/>
  <c r="BA293" i="1"/>
  <c r="BB293" i="1"/>
  <c r="BC293" i="1"/>
  <c r="BD293" i="1"/>
  <c r="BE293" i="1"/>
  <c r="BF293" i="1"/>
  <c r="BG293" i="1"/>
  <c r="BH293" i="1"/>
  <c r="BI293" i="1"/>
  <c r="BJ293" i="1"/>
  <c r="BK293" i="1"/>
  <c r="BL293" i="1"/>
  <c r="AX294" i="1"/>
  <c r="AY294" i="1"/>
  <c r="AZ294" i="1"/>
  <c r="BA294" i="1"/>
  <c r="BB294" i="1"/>
  <c r="BC294" i="1"/>
  <c r="BD294" i="1"/>
  <c r="BE294" i="1"/>
  <c r="BF294" i="1"/>
  <c r="BG294" i="1"/>
  <c r="BH294" i="1"/>
  <c r="BI294" i="1"/>
  <c r="BJ294" i="1"/>
  <c r="BK294" i="1"/>
  <c r="BL294" i="1"/>
  <c r="AX295" i="1"/>
  <c r="AY295" i="1"/>
  <c r="AZ295" i="1"/>
  <c r="BA295" i="1"/>
  <c r="BB295" i="1"/>
  <c r="BC295" i="1"/>
  <c r="BD295" i="1"/>
  <c r="BE295" i="1"/>
  <c r="BF295" i="1"/>
  <c r="BG295" i="1"/>
  <c r="BH295" i="1"/>
  <c r="BI295" i="1"/>
  <c r="BJ295" i="1"/>
  <c r="BK295" i="1"/>
  <c r="BL295" i="1"/>
  <c r="AX296" i="1"/>
  <c r="AY296" i="1"/>
  <c r="AZ296" i="1"/>
  <c r="BA296" i="1"/>
  <c r="BB296" i="1"/>
  <c r="BC296" i="1"/>
  <c r="BD296" i="1"/>
  <c r="BE296" i="1"/>
  <c r="BF296" i="1"/>
  <c r="BG296" i="1"/>
  <c r="BH296" i="1"/>
  <c r="BI296" i="1"/>
  <c r="BJ296" i="1"/>
  <c r="BK296" i="1"/>
  <c r="BL296" i="1"/>
  <c r="AX297" i="1"/>
  <c r="AY297" i="1"/>
  <c r="AZ297" i="1"/>
  <c r="BA297" i="1"/>
  <c r="BB297" i="1"/>
  <c r="BC297" i="1"/>
  <c r="BD297" i="1"/>
  <c r="BE297" i="1"/>
  <c r="BF297" i="1"/>
  <c r="BG297" i="1"/>
  <c r="BH297" i="1"/>
  <c r="BI297" i="1"/>
  <c r="BJ297" i="1"/>
  <c r="BK297" i="1"/>
  <c r="BL297" i="1"/>
  <c r="AX298" i="1"/>
  <c r="AY298" i="1"/>
  <c r="AZ298" i="1"/>
  <c r="BA298" i="1"/>
  <c r="BB298" i="1"/>
  <c r="BC298" i="1"/>
  <c r="BD298" i="1"/>
  <c r="BE298" i="1"/>
  <c r="BF298" i="1"/>
  <c r="BG298" i="1"/>
  <c r="BH298" i="1"/>
  <c r="BI298" i="1"/>
  <c r="BJ298" i="1"/>
  <c r="BK298" i="1"/>
  <c r="BL298" i="1"/>
  <c r="AX299" i="1"/>
  <c r="AY299" i="1"/>
  <c r="AZ299" i="1"/>
  <c r="BA299" i="1"/>
  <c r="BB299" i="1"/>
  <c r="BC299" i="1"/>
  <c r="BD299" i="1"/>
  <c r="BE299" i="1"/>
  <c r="BF299" i="1"/>
  <c r="BG299" i="1"/>
  <c r="BH299" i="1"/>
  <c r="BI299" i="1"/>
  <c r="BJ299" i="1"/>
  <c r="BK299" i="1"/>
  <c r="BL299" i="1"/>
  <c r="AX300" i="1"/>
  <c r="AY300" i="1"/>
  <c r="AZ300" i="1"/>
  <c r="BA300" i="1"/>
  <c r="BB300" i="1"/>
  <c r="BC300" i="1"/>
  <c r="BD300" i="1"/>
  <c r="BE300" i="1"/>
  <c r="BF300" i="1"/>
  <c r="BG300" i="1"/>
  <c r="BH300" i="1"/>
  <c r="BI300" i="1"/>
  <c r="BJ300" i="1"/>
  <c r="BK300" i="1"/>
  <c r="BL300" i="1"/>
  <c r="AX301" i="1"/>
  <c r="AY301" i="1"/>
  <c r="AZ301" i="1"/>
  <c r="BA301" i="1"/>
  <c r="BB301" i="1"/>
  <c r="BC301" i="1"/>
  <c r="BD301" i="1"/>
  <c r="BE301" i="1"/>
  <c r="BF301" i="1"/>
  <c r="BG301" i="1"/>
  <c r="BH301" i="1"/>
  <c r="BI301" i="1"/>
  <c r="BJ301" i="1"/>
  <c r="BK301" i="1"/>
  <c r="BL301" i="1"/>
  <c r="AX302" i="1"/>
  <c r="AY302" i="1"/>
  <c r="AZ302" i="1"/>
  <c r="BA302" i="1"/>
  <c r="BB302" i="1"/>
  <c r="BC302" i="1"/>
  <c r="BD302" i="1"/>
  <c r="BE302" i="1"/>
  <c r="BF302" i="1"/>
  <c r="BG302" i="1"/>
  <c r="BH302" i="1"/>
  <c r="BI302" i="1"/>
  <c r="BJ302" i="1"/>
  <c r="BK302" i="1"/>
  <c r="BL302" i="1"/>
  <c r="AX303" i="1"/>
  <c r="AY303" i="1"/>
  <c r="AZ303" i="1"/>
  <c r="BA303" i="1"/>
  <c r="BB303" i="1"/>
  <c r="BC303" i="1"/>
  <c r="BD303" i="1"/>
  <c r="BE303" i="1"/>
  <c r="BF303" i="1"/>
  <c r="BG303" i="1"/>
  <c r="BH303" i="1"/>
  <c r="BI303" i="1"/>
  <c r="BJ303" i="1"/>
  <c r="BK303" i="1"/>
  <c r="BL303" i="1"/>
  <c r="AX304" i="1"/>
  <c r="AY304" i="1"/>
  <c r="AZ304" i="1"/>
  <c r="BA304" i="1"/>
  <c r="BB304" i="1"/>
  <c r="BC304" i="1"/>
  <c r="BD304" i="1"/>
  <c r="BE304" i="1"/>
  <c r="BF304" i="1"/>
  <c r="BG304" i="1"/>
  <c r="BH304" i="1"/>
  <c r="BI304" i="1"/>
  <c r="BJ304" i="1"/>
  <c r="BK304" i="1"/>
  <c r="BL304" i="1"/>
  <c r="AX305" i="1"/>
  <c r="AY305" i="1"/>
  <c r="AZ305" i="1"/>
  <c r="BA305" i="1"/>
  <c r="BB305" i="1"/>
  <c r="BC305" i="1"/>
  <c r="BD305" i="1"/>
  <c r="BE305" i="1"/>
  <c r="BF305" i="1"/>
  <c r="BG305" i="1"/>
  <c r="BH305" i="1"/>
  <c r="BI305" i="1"/>
  <c r="BJ305" i="1"/>
  <c r="BK305" i="1"/>
  <c r="BL305" i="1"/>
  <c r="AX306" i="1"/>
  <c r="AY306" i="1"/>
  <c r="AZ306" i="1"/>
  <c r="BA306" i="1"/>
  <c r="BB306" i="1"/>
  <c r="BC306" i="1"/>
  <c r="BD306" i="1"/>
  <c r="BE306" i="1"/>
  <c r="BF306" i="1"/>
  <c r="BG306" i="1"/>
  <c r="BH306" i="1"/>
  <c r="BI306" i="1"/>
  <c r="BJ306" i="1"/>
  <c r="BK306" i="1"/>
  <c r="BL306" i="1"/>
  <c r="AX307" i="1"/>
  <c r="AY307" i="1"/>
  <c r="AZ307" i="1"/>
  <c r="BA307" i="1"/>
  <c r="BB307" i="1"/>
  <c r="BC307" i="1"/>
  <c r="BD307" i="1"/>
  <c r="BE307" i="1"/>
  <c r="BF307" i="1"/>
  <c r="BG307" i="1"/>
  <c r="BH307" i="1"/>
  <c r="BI307" i="1"/>
  <c r="BJ307" i="1"/>
  <c r="BK307" i="1"/>
  <c r="BL307" i="1"/>
  <c r="AX308" i="1"/>
  <c r="AY308" i="1"/>
  <c r="AZ308" i="1"/>
  <c r="BA308" i="1"/>
  <c r="BB308" i="1"/>
  <c r="BC308" i="1"/>
  <c r="BD308" i="1"/>
  <c r="BE308" i="1"/>
  <c r="BF308" i="1"/>
  <c r="BG308" i="1"/>
  <c r="BH308" i="1"/>
  <c r="BI308" i="1"/>
  <c r="BJ308" i="1"/>
  <c r="BK308" i="1"/>
  <c r="BL308" i="1"/>
  <c r="AX309" i="1"/>
  <c r="AY309" i="1"/>
  <c r="AZ309" i="1"/>
  <c r="BA309" i="1"/>
  <c r="BB309" i="1"/>
  <c r="BC309" i="1"/>
  <c r="BD309" i="1"/>
  <c r="BE309" i="1"/>
  <c r="BF309" i="1"/>
  <c r="BG309" i="1"/>
  <c r="BH309" i="1"/>
  <c r="BI309" i="1"/>
  <c r="BJ309" i="1"/>
  <c r="BK309" i="1"/>
  <c r="BL309" i="1"/>
  <c r="AX310" i="1"/>
  <c r="AY310" i="1"/>
  <c r="AZ310" i="1"/>
  <c r="BA310" i="1"/>
  <c r="BB310" i="1"/>
  <c r="BC310" i="1"/>
  <c r="BD310" i="1"/>
  <c r="BE310" i="1"/>
  <c r="BF310" i="1"/>
  <c r="BG310" i="1"/>
  <c r="BH310" i="1"/>
  <c r="BI310" i="1"/>
  <c r="BJ310" i="1"/>
  <c r="BK310" i="1"/>
  <c r="BL310" i="1"/>
  <c r="AX311" i="1"/>
  <c r="AY311" i="1"/>
  <c r="AZ311" i="1"/>
  <c r="BA311" i="1"/>
  <c r="BB311" i="1"/>
  <c r="BC311" i="1"/>
  <c r="BD311" i="1"/>
  <c r="BE311" i="1"/>
  <c r="BF311" i="1"/>
  <c r="BG311" i="1"/>
  <c r="BH311" i="1"/>
  <c r="BI311" i="1"/>
  <c r="BJ311" i="1"/>
  <c r="BK311" i="1"/>
  <c r="BL311" i="1"/>
  <c r="AX312" i="1"/>
  <c r="AY312" i="1"/>
  <c r="AZ312" i="1"/>
  <c r="BA312" i="1"/>
  <c r="BB312" i="1"/>
  <c r="BC312" i="1"/>
  <c r="BD312" i="1"/>
  <c r="BE312" i="1"/>
  <c r="BF312" i="1"/>
  <c r="BG312" i="1"/>
  <c r="BH312" i="1"/>
  <c r="BI312" i="1"/>
  <c r="BJ312" i="1"/>
  <c r="BK312" i="1"/>
  <c r="BL312" i="1"/>
  <c r="AX313" i="1"/>
  <c r="AY313" i="1"/>
  <c r="AZ313" i="1"/>
  <c r="BA313" i="1"/>
  <c r="BB313" i="1"/>
  <c r="BC313" i="1"/>
  <c r="BD313" i="1"/>
  <c r="BE313" i="1"/>
  <c r="BF313" i="1"/>
  <c r="BG313" i="1"/>
  <c r="BH313" i="1"/>
  <c r="BI313" i="1"/>
  <c r="BJ313" i="1"/>
  <c r="BK313" i="1"/>
  <c r="BL313" i="1"/>
  <c r="AX314" i="1"/>
  <c r="AY314" i="1"/>
  <c r="AZ314" i="1"/>
  <c r="BA314" i="1"/>
  <c r="BB314" i="1"/>
  <c r="BC314" i="1"/>
  <c r="BD314" i="1"/>
  <c r="BE314" i="1"/>
  <c r="BF314" i="1"/>
  <c r="BG314" i="1"/>
  <c r="BH314" i="1"/>
  <c r="BI314" i="1"/>
  <c r="BJ314" i="1"/>
  <c r="BK314" i="1"/>
  <c r="BL314" i="1"/>
  <c r="AX315" i="1"/>
  <c r="AY315" i="1"/>
  <c r="AZ315" i="1"/>
  <c r="BA315" i="1"/>
  <c r="BB315" i="1"/>
  <c r="BC315" i="1"/>
  <c r="BD315" i="1"/>
  <c r="BE315" i="1"/>
  <c r="BF315" i="1"/>
  <c r="BG315" i="1"/>
  <c r="BH315" i="1"/>
  <c r="BI315" i="1"/>
  <c r="BJ315" i="1"/>
  <c r="BK315" i="1"/>
  <c r="BL315" i="1"/>
  <c r="AX316" i="1"/>
  <c r="AY316" i="1"/>
  <c r="AZ316" i="1"/>
  <c r="BA316" i="1"/>
  <c r="BB316" i="1"/>
  <c r="BC316" i="1"/>
  <c r="BD316" i="1"/>
  <c r="BE316" i="1"/>
  <c r="BF316" i="1"/>
  <c r="BG316" i="1"/>
  <c r="BH316" i="1"/>
  <c r="BI316" i="1"/>
  <c r="BJ316" i="1"/>
  <c r="BK316" i="1"/>
  <c r="BL316" i="1"/>
  <c r="AX317" i="1"/>
  <c r="AY317" i="1"/>
  <c r="AZ317" i="1"/>
  <c r="BA317" i="1"/>
  <c r="BB317" i="1"/>
  <c r="BC317" i="1"/>
  <c r="BD317" i="1"/>
  <c r="BE317" i="1"/>
  <c r="BF317" i="1"/>
  <c r="BG317" i="1"/>
  <c r="BH317" i="1"/>
  <c r="BI317" i="1"/>
  <c r="BJ317" i="1"/>
  <c r="BK317" i="1"/>
  <c r="BL317" i="1"/>
  <c r="AX318" i="1"/>
  <c r="AY318" i="1"/>
  <c r="AZ318" i="1"/>
  <c r="BA318" i="1"/>
  <c r="BB318" i="1"/>
  <c r="BC318" i="1"/>
  <c r="BD318" i="1"/>
  <c r="BE318" i="1"/>
  <c r="BF318" i="1"/>
  <c r="BG318" i="1"/>
  <c r="BH318" i="1"/>
  <c r="BI318" i="1"/>
  <c r="BJ318" i="1"/>
  <c r="BK318" i="1"/>
  <c r="BL318" i="1"/>
  <c r="AX319" i="1"/>
  <c r="AY319" i="1"/>
  <c r="AZ319" i="1"/>
  <c r="BA319" i="1"/>
  <c r="BB319" i="1"/>
  <c r="BC319" i="1"/>
  <c r="BD319" i="1"/>
  <c r="BE319" i="1"/>
  <c r="BF319" i="1"/>
  <c r="BG319" i="1"/>
  <c r="BH319" i="1"/>
  <c r="BI319" i="1"/>
  <c r="BJ319" i="1"/>
  <c r="BK319" i="1"/>
  <c r="BL319" i="1"/>
  <c r="AX320" i="1"/>
  <c r="AY320" i="1"/>
  <c r="AZ320" i="1"/>
  <c r="BA320" i="1"/>
  <c r="BB320" i="1"/>
  <c r="BC320" i="1"/>
  <c r="BD320" i="1"/>
  <c r="BE320" i="1"/>
  <c r="BF320" i="1"/>
  <c r="BG320" i="1"/>
  <c r="BH320" i="1"/>
  <c r="BI320" i="1"/>
  <c r="BJ320" i="1"/>
  <c r="BK320" i="1"/>
  <c r="BL320" i="1"/>
  <c r="AX321" i="1"/>
  <c r="AY321" i="1"/>
  <c r="AZ321" i="1"/>
  <c r="BA321" i="1"/>
  <c r="BB321" i="1"/>
  <c r="BC321" i="1"/>
  <c r="BD321" i="1"/>
  <c r="BE321" i="1"/>
  <c r="BF321" i="1"/>
  <c r="BG321" i="1"/>
  <c r="BH321" i="1"/>
  <c r="BI321" i="1"/>
  <c r="BJ321" i="1"/>
  <c r="BK321" i="1"/>
  <c r="BL321" i="1"/>
  <c r="AX322" i="1"/>
  <c r="AY322" i="1"/>
  <c r="AZ322" i="1"/>
  <c r="BA322" i="1"/>
  <c r="BB322" i="1"/>
  <c r="BC322" i="1"/>
  <c r="BD322" i="1"/>
  <c r="BE322" i="1"/>
  <c r="BF322" i="1"/>
  <c r="BG322" i="1"/>
  <c r="BH322" i="1"/>
  <c r="BI322" i="1"/>
  <c r="BJ322" i="1"/>
  <c r="BK322" i="1"/>
  <c r="BL322" i="1"/>
  <c r="AX323" i="1"/>
  <c r="AY323" i="1"/>
  <c r="AZ323" i="1"/>
  <c r="BA323" i="1"/>
  <c r="BB323" i="1"/>
  <c r="BC323" i="1"/>
  <c r="BD323" i="1"/>
  <c r="BE323" i="1"/>
  <c r="BF323" i="1"/>
  <c r="BG323" i="1"/>
  <c r="BH323" i="1"/>
  <c r="BI323" i="1"/>
  <c r="BJ323" i="1"/>
  <c r="BK323" i="1"/>
  <c r="BL323" i="1"/>
  <c r="AX324" i="1"/>
  <c r="AY324" i="1"/>
  <c r="AZ324" i="1"/>
  <c r="BA324" i="1"/>
  <c r="BB324" i="1"/>
  <c r="BC324" i="1"/>
  <c r="BD324" i="1"/>
  <c r="BE324" i="1"/>
  <c r="BF324" i="1"/>
  <c r="BG324" i="1"/>
  <c r="BH324" i="1"/>
  <c r="BI324" i="1"/>
  <c r="BJ324" i="1"/>
  <c r="BK324" i="1"/>
  <c r="BL324" i="1"/>
  <c r="AX325" i="1"/>
  <c r="AY325" i="1"/>
  <c r="AZ325" i="1"/>
  <c r="BA325" i="1"/>
  <c r="BB325" i="1"/>
  <c r="BC325" i="1"/>
  <c r="BD325" i="1"/>
  <c r="BE325" i="1"/>
  <c r="BF325" i="1"/>
  <c r="BG325" i="1"/>
  <c r="BH325" i="1"/>
  <c r="BI325" i="1"/>
  <c r="BJ325" i="1"/>
  <c r="BK325" i="1"/>
  <c r="BL325" i="1"/>
  <c r="AX326" i="1"/>
  <c r="AY326" i="1"/>
  <c r="AZ326" i="1"/>
  <c r="BA326" i="1"/>
  <c r="BB326" i="1"/>
  <c r="BC326" i="1"/>
  <c r="BD326" i="1"/>
  <c r="BE326" i="1"/>
  <c r="BF326" i="1"/>
  <c r="BG326" i="1"/>
  <c r="BH326" i="1"/>
  <c r="BI326" i="1"/>
  <c r="BJ326" i="1"/>
  <c r="BK326" i="1"/>
  <c r="BL326" i="1"/>
  <c r="AX327" i="1"/>
  <c r="AY327" i="1"/>
  <c r="AZ327" i="1"/>
  <c r="BA327" i="1"/>
  <c r="BB327" i="1"/>
  <c r="BC327" i="1"/>
  <c r="BD327" i="1"/>
  <c r="BE327" i="1"/>
  <c r="BF327" i="1"/>
  <c r="BG327" i="1"/>
  <c r="BH327" i="1"/>
  <c r="BI327" i="1"/>
  <c r="BJ327" i="1"/>
  <c r="BK327" i="1"/>
  <c r="BL327" i="1"/>
  <c r="AX328" i="1"/>
  <c r="AY328" i="1"/>
  <c r="AZ328" i="1"/>
  <c r="BA328" i="1"/>
  <c r="BB328" i="1"/>
  <c r="BC328" i="1"/>
  <c r="BD328" i="1"/>
  <c r="BE328" i="1"/>
  <c r="BF328" i="1"/>
  <c r="BG328" i="1"/>
  <c r="BH328" i="1"/>
  <c r="BI328" i="1"/>
  <c r="BJ328" i="1"/>
  <c r="BK328" i="1"/>
  <c r="BL328" i="1"/>
  <c r="AX329" i="1"/>
  <c r="AY329" i="1"/>
  <c r="AZ329" i="1"/>
  <c r="BA329" i="1"/>
  <c r="BB329" i="1"/>
  <c r="BC329" i="1"/>
  <c r="BD329" i="1"/>
  <c r="BE329" i="1"/>
  <c r="BF329" i="1"/>
  <c r="BG329" i="1"/>
  <c r="BH329" i="1"/>
  <c r="BI329" i="1"/>
  <c r="BJ329" i="1"/>
  <c r="BK329" i="1"/>
  <c r="BL329" i="1"/>
  <c r="AX330" i="1"/>
  <c r="AY330" i="1"/>
  <c r="AZ330" i="1"/>
  <c r="BA330" i="1"/>
  <c r="BB330" i="1"/>
  <c r="BC330" i="1"/>
  <c r="BD330" i="1"/>
  <c r="BE330" i="1"/>
  <c r="BF330" i="1"/>
  <c r="BG330" i="1"/>
  <c r="BH330" i="1"/>
  <c r="BI330" i="1"/>
  <c r="BJ330" i="1"/>
  <c r="BK330" i="1"/>
  <c r="BL330" i="1"/>
  <c r="AX331" i="1"/>
  <c r="AY331" i="1"/>
  <c r="AZ331" i="1"/>
  <c r="BA331" i="1"/>
  <c r="BB331" i="1"/>
  <c r="BC331" i="1"/>
  <c r="BD331" i="1"/>
  <c r="BE331" i="1"/>
  <c r="BF331" i="1"/>
  <c r="BG331" i="1"/>
  <c r="BH331" i="1"/>
  <c r="BI331" i="1"/>
  <c r="BJ331" i="1"/>
  <c r="BK331" i="1"/>
  <c r="BL331" i="1"/>
  <c r="AX332" i="1"/>
  <c r="AY332" i="1"/>
  <c r="AZ332" i="1"/>
  <c r="BA332" i="1"/>
  <c r="BB332" i="1"/>
  <c r="BC332" i="1"/>
  <c r="BD332" i="1"/>
  <c r="BE332" i="1"/>
  <c r="BF332" i="1"/>
  <c r="BG332" i="1"/>
  <c r="BH332" i="1"/>
  <c r="BI332" i="1"/>
  <c r="BJ332" i="1"/>
  <c r="BK332" i="1"/>
  <c r="BL332" i="1"/>
  <c r="AX333" i="1"/>
  <c r="AY333" i="1"/>
  <c r="AZ333" i="1"/>
  <c r="BA333" i="1"/>
  <c r="BB333" i="1"/>
  <c r="BC333" i="1"/>
  <c r="BD333" i="1"/>
  <c r="BE333" i="1"/>
  <c r="BF333" i="1"/>
  <c r="BG333" i="1"/>
  <c r="BH333" i="1"/>
  <c r="BI333" i="1"/>
  <c r="BJ333" i="1"/>
  <c r="BK333" i="1"/>
  <c r="BL333" i="1"/>
  <c r="AX334" i="1"/>
  <c r="AY334" i="1"/>
  <c r="AZ334" i="1"/>
  <c r="BA334" i="1"/>
  <c r="BB334" i="1"/>
  <c r="BC334" i="1"/>
  <c r="BD334" i="1"/>
  <c r="BE334" i="1"/>
  <c r="BF334" i="1"/>
  <c r="BG334" i="1"/>
  <c r="BH334" i="1"/>
  <c r="BI334" i="1"/>
  <c r="BJ334" i="1"/>
  <c r="BK334" i="1"/>
  <c r="BL334" i="1"/>
  <c r="AX335" i="1"/>
  <c r="AY335" i="1"/>
  <c r="AZ335" i="1"/>
  <c r="BA335" i="1"/>
  <c r="BB335" i="1"/>
  <c r="BC335" i="1"/>
  <c r="BD335" i="1"/>
  <c r="BE335" i="1"/>
  <c r="BF335" i="1"/>
  <c r="BG335" i="1"/>
  <c r="BH335" i="1"/>
  <c r="BI335" i="1"/>
  <c r="BJ335" i="1"/>
  <c r="BK335" i="1"/>
  <c r="BL335" i="1"/>
  <c r="AX336" i="1"/>
  <c r="AY336" i="1"/>
  <c r="AZ336" i="1"/>
  <c r="BA336" i="1"/>
  <c r="BB336" i="1"/>
  <c r="BC336" i="1"/>
  <c r="BD336" i="1"/>
  <c r="BE336" i="1"/>
  <c r="BF336" i="1"/>
  <c r="BG336" i="1"/>
  <c r="BH336" i="1"/>
  <c r="BI336" i="1"/>
  <c r="BJ336" i="1"/>
  <c r="BK336" i="1"/>
  <c r="BL336" i="1"/>
  <c r="AX337" i="1"/>
  <c r="AY337" i="1"/>
  <c r="AZ337" i="1"/>
  <c r="BA337" i="1"/>
  <c r="BB337" i="1"/>
  <c r="BC337" i="1"/>
  <c r="BD337" i="1"/>
  <c r="BE337" i="1"/>
  <c r="BF337" i="1"/>
  <c r="BG337" i="1"/>
  <c r="BH337" i="1"/>
  <c r="BI337" i="1"/>
  <c r="BJ337" i="1"/>
  <c r="BK337" i="1"/>
  <c r="BL337" i="1"/>
  <c r="AX338" i="1"/>
  <c r="AY338" i="1"/>
  <c r="AZ338" i="1"/>
  <c r="BA338" i="1"/>
  <c r="BB338" i="1"/>
  <c r="BC338" i="1"/>
  <c r="BD338" i="1"/>
  <c r="BE338" i="1"/>
  <c r="BF338" i="1"/>
  <c r="BG338" i="1"/>
  <c r="BH338" i="1"/>
  <c r="BI338" i="1"/>
  <c r="BJ338" i="1"/>
  <c r="BK338" i="1"/>
  <c r="BL338" i="1"/>
  <c r="AX339" i="1"/>
  <c r="AY339" i="1"/>
  <c r="AZ339" i="1"/>
  <c r="BA339" i="1"/>
  <c r="BB339" i="1"/>
  <c r="BC339" i="1"/>
  <c r="BD339" i="1"/>
  <c r="BE339" i="1"/>
  <c r="BF339" i="1"/>
  <c r="BG339" i="1"/>
  <c r="BH339" i="1"/>
  <c r="BI339" i="1"/>
  <c r="BJ339" i="1"/>
  <c r="BK339" i="1"/>
  <c r="BL339" i="1"/>
  <c r="AX340" i="1"/>
  <c r="AY340" i="1"/>
  <c r="AZ340" i="1"/>
  <c r="BA340" i="1"/>
  <c r="BB340" i="1"/>
  <c r="BC340" i="1"/>
  <c r="BD340" i="1"/>
  <c r="BE340" i="1"/>
  <c r="BF340" i="1"/>
  <c r="BG340" i="1"/>
  <c r="BH340" i="1"/>
  <c r="BI340" i="1"/>
  <c r="BJ340" i="1"/>
  <c r="BK340" i="1"/>
  <c r="BL340" i="1"/>
  <c r="AX341" i="1"/>
  <c r="AY341" i="1"/>
  <c r="AZ341" i="1"/>
  <c r="BA341" i="1"/>
  <c r="BB341" i="1"/>
  <c r="BC341" i="1"/>
  <c r="BD341" i="1"/>
  <c r="BE341" i="1"/>
  <c r="BF341" i="1"/>
  <c r="BG341" i="1"/>
  <c r="BH341" i="1"/>
  <c r="BI341" i="1"/>
  <c r="BJ341" i="1"/>
  <c r="BK341" i="1"/>
  <c r="BL341" i="1"/>
  <c r="AX342" i="1"/>
  <c r="AY342" i="1"/>
  <c r="AZ342" i="1"/>
  <c r="BA342" i="1"/>
  <c r="BB342" i="1"/>
  <c r="BC342" i="1"/>
  <c r="BD342" i="1"/>
  <c r="BE342" i="1"/>
  <c r="BF342" i="1"/>
  <c r="BG342" i="1"/>
  <c r="BH342" i="1"/>
  <c r="BI342" i="1"/>
  <c r="BJ342" i="1"/>
  <c r="BK342" i="1"/>
  <c r="BL342" i="1"/>
  <c r="AX343" i="1"/>
  <c r="AY343" i="1"/>
  <c r="AZ343" i="1"/>
  <c r="BA343" i="1"/>
  <c r="BB343" i="1"/>
  <c r="BC343" i="1"/>
  <c r="BD343" i="1"/>
  <c r="BE343" i="1"/>
  <c r="BF343" i="1"/>
  <c r="BG343" i="1"/>
  <c r="BH343" i="1"/>
  <c r="BI343" i="1"/>
  <c r="BJ343" i="1"/>
  <c r="BK343" i="1"/>
  <c r="BL343" i="1"/>
  <c r="AX344" i="1"/>
  <c r="AY344" i="1"/>
  <c r="AZ344" i="1"/>
  <c r="BA344" i="1"/>
  <c r="BB344" i="1"/>
  <c r="BC344" i="1"/>
  <c r="BD344" i="1"/>
  <c r="BE344" i="1"/>
  <c r="BF344" i="1"/>
  <c r="BG344" i="1"/>
  <c r="BH344" i="1"/>
  <c r="BI344" i="1"/>
  <c r="BJ344" i="1"/>
  <c r="BK344" i="1"/>
  <c r="BL344" i="1"/>
  <c r="AX345" i="1"/>
  <c r="AY345" i="1"/>
  <c r="AZ345" i="1"/>
  <c r="BA345" i="1"/>
  <c r="BB345" i="1"/>
  <c r="BC345" i="1"/>
  <c r="BD345" i="1"/>
  <c r="BE345" i="1"/>
  <c r="BF345" i="1"/>
  <c r="BG345" i="1"/>
  <c r="BH345" i="1"/>
  <c r="BI345" i="1"/>
  <c r="BJ345" i="1"/>
  <c r="BK345" i="1"/>
  <c r="BL345" i="1"/>
  <c r="AX346" i="1"/>
  <c r="AY346" i="1"/>
  <c r="AZ346" i="1"/>
  <c r="BA346" i="1"/>
  <c r="BB346" i="1"/>
  <c r="BC346" i="1"/>
  <c r="BD346" i="1"/>
  <c r="BE346" i="1"/>
  <c r="BF346" i="1"/>
  <c r="BG346" i="1"/>
  <c r="BH346" i="1"/>
  <c r="BI346" i="1"/>
  <c r="BJ346" i="1"/>
  <c r="BK346" i="1"/>
  <c r="BL346" i="1"/>
  <c r="AX347" i="1"/>
  <c r="AY347" i="1"/>
  <c r="AZ347" i="1"/>
  <c r="BA347" i="1"/>
  <c r="BB347" i="1"/>
  <c r="BC347" i="1"/>
  <c r="BD347" i="1"/>
  <c r="BE347" i="1"/>
  <c r="BF347" i="1"/>
  <c r="BG347" i="1"/>
  <c r="BH347" i="1"/>
  <c r="BI347" i="1"/>
  <c r="BJ347" i="1"/>
  <c r="BK347" i="1"/>
  <c r="BL347" i="1"/>
  <c r="AX348" i="1"/>
  <c r="AY348" i="1"/>
  <c r="AZ348" i="1"/>
  <c r="BA348" i="1"/>
  <c r="BB348" i="1"/>
  <c r="BC348" i="1"/>
  <c r="BD348" i="1"/>
  <c r="BE348" i="1"/>
  <c r="BF348" i="1"/>
  <c r="BG348" i="1"/>
  <c r="BH348" i="1"/>
  <c r="BI348" i="1"/>
  <c r="BJ348" i="1"/>
  <c r="BK348" i="1"/>
  <c r="BL348" i="1"/>
  <c r="AX349" i="1"/>
  <c r="AY349" i="1"/>
  <c r="AZ349" i="1"/>
  <c r="BA349" i="1"/>
  <c r="BB349" i="1"/>
  <c r="BC349" i="1"/>
  <c r="BD349" i="1"/>
  <c r="BE349" i="1"/>
  <c r="BF349" i="1"/>
  <c r="BG349" i="1"/>
  <c r="BH349" i="1"/>
  <c r="BI349" i="1"/>
  <c r="BJ349" i="1"/>
  <c r="BK349" i="1"/>
  <c r="BL349" i="1"/>
  <c r="AX350" i="1"/>
  <c r="AY350" i="1"/>
  <c r="AZ350" i="1"/>
  <c r="BA350" i="1"/>
  <c r="BB350" i="1"/>
  <c r="BC350" i="1"/>
  <c r="BD350" i="1"/>
  <c r="BE350" i="1"/>
  <c r="BF350" i="1"/>
  <c r="BG350" i="1"/>
  <c r="BH350" i="1"/>
  <c r="BI350" i="1"/>
  <c r="BJ350" i="1"/>
  <c r="BK350" i="1"/>
  <c r="BL350" i="1"/>
  <c r="AX351" i="1"/>
  <c r="AY351" i="1"/>
  <c r="AZ351" i="1"/>
  <c r="BA351" i="1"/>
  <c r="BB351" i="1"/>
  <c r="BC351" i="1"/>
  <c r="BD351" i="1"/>
  <c r="BE351" i="1"/>
  <c r="BF351" i="1"/>
  <c r="BG351" i="1"/>
  <c r="BH351" i="1"/>
  <c r="BI351" i="1"/>
  <c r="BJ351" i="1"/>
  <c r="BK351" i="1"/>
  <c r="BL351" i="1"/>
  <c r="AX352" i="1"/>
  <c r="AY352" i="1"/>
  <c r="AZ352" i="1"/>
  <c r="BA352" i="1"/>
  <c r="BB352" i="1"/>
  <c r="BC352" i="1"/>
  <c r="BD352" i="1"/>
  <c r="BE352" i="1"/>
  <c r="BF352" i="1"/>
  <c r="BG352" i="1"/>
  <c r="BH352" i="1"/>
  <c r="BI352" i="1"/>
  <c r="BJ352" i="1"/>
  <c r="BK352" i="1"/>
  <c r="BL352" i="1"/>
  <c r="AX353" i="1"/>
  <c r="AY353" i="1"/>
  <c r="AZ353" i="1"/>
  <c r="BA353" i="1"/>
  <c r="BB353" i="1"/>
  <c r="BC353" i="1"/>
  <c r="BD353" i="1"/>
  <c r="BE353" i="1"/>
  <c r="BF353" i="1"/>
  <c r="BG353" i="1"/>
  <c r="BH353" i="1"/>
  <c r="BI353" i="1"/>
  <c r="BJ353" i="1"/>
  <c r="BK353" i="1"/>
  <c r="BL353" i="1"/>
  <c r="AX354" i="1"/>
  <c r="AY354" i="1"/>
  <c r="AZ354" i="1"/>
  <c r="BA354" i="1"/>
  <c r="BB354" i="1"/>
  <c r="BC354" i="1"/>
  <c r="BD354" i="1"/>
  <c r="BE354" i="1"/>
  <c r="BF354" i="1"/>
  <c r="BG354" i="1"/>
  <c r="BH354" i="1"/>
  <c r="BI354" i="1"/>
  <c r="BJ354" i="1"/>
  <c r="BK354" i="1"/>
  <c r="BL354" i="1"/>
  <c r="AX355" i="1"/>
  <c r="AY355" i="1"/>
  <c r="AZ355" i="1"/>
  <c r="BA355" i="1"/>
  <c r="BB355" i="1"/>
  <c r="BC355" i="1"/>
  <c r="BD355" i="1"/>
  <c r="BE355" i="1"/>
  <c r="BF355" i="1"/>
  <c r="BG355" i="1"/>
  <c r="BH355" i="1"/>
  <c r="BI355" i="1"/>
  <c r="BJ355" i="1"/>
  <c r="BK355" i="1"/>
  <c r="BL355" i="1"/>
  <c r="AX356" i="1"/>
  <c r="AY356" i="1"/>
  <c r="AZ356" i="1"/>
  <c r="BA356" i="1"/>
  <c r="BB356" i="1"/>
  <c r="BC356" i="1"/>
  <c r="BD356" i="1"/>
  <c r="BE356" i="1"/>
  <c r="BF356" i="1"/>
  <c r="BG356" i="1"/>
  <c r="BH356" i="1"/>
  <c r="BI356" i="1"/>
  <c r="BJ356" i="1"/>
  <c r="BK356" i="1"/>
  <c r="BL356" i="1"/>
  <c r="AX357" i="1"/>
  <c r="AY357" i="1"/>
  <c r="AZ357" i="1"/>
  <c r="BA357" i="1"/>
  <c r="BB357" i="1"/>
  <c r="BC357" i="1"/>
  <c r="BD357" i="1"/>
  <c r="BE357" i="1"/>
  <c r="BF357" i="1"/>
  <c r="BG357" i="1"/>
  <c r="BH357" i="1"/>
  <c r="BI357" i="1"/>
  <c r="BJ357" i="1"/>
  <c r="BK357" i="1"/>
  <c r="BL357" i="1"/>
  <c r="AX358" i="1"/>
  <c r="AY358" i="1"/>
  <c r="AZ358" i="1"/>
  <c r="BA358" i="1"/>
  <c r="BB358" i="1"/>
  <c r="BC358" i="1"/>
  <c r="BD358" i="1"/>
  <c r="BE358" i="1"/>
  <c r="BF358" i="1"/>
  <c r="BG358" i="1"/>
  <c r="BH358" i="1"/>
  <c r="BI358" i="1"/>
  <c r="BJ358" i="1"/>
  <c r="BK358" i="1"/>
  <c r="BL358" i="1"/>
  <c r="AX359" i="1"/>
  <c r="AY359" i="1"/>
  <c r="AZ359" i="1"/>
  <c r="BA359" i="1"/>
  <c r="BB359" i="1"/>
  <c r="BC359" i="1"/>
  <c r="BD359" i="1"/>
  <c r="BE359" i="1"/>
  <c r="BF359" i="1"/>
  <c r="BG359" i="1"/>
  <c r="BH359" i="1"/>
  <c r="BI359" i="1"/>
  <c r="BJ359" i="1"/>
  <c r="BK359" i="1"/>
  <c r="BL359" i="1"/>
  <c r="AX360" i="1"/>
  <c r="AY360" i="1"/>
  <c r="AZ360" i="1"/>
  <c r="BA360" i="1"/>
  <c r="BB360" i="1"/>
  <c r="BC360" i="1"/>
  <c r="BD360" i="1"/>
  <c r="BE360" i="1"/>
  <c r="BF360" i="1"/>
  <c r="BG360" i="1"/>
  <c r="BH360" i="1"/>
  <c r="BI360" i="1"/>
  <c r="BJ360" i="1"/>
  <c r="BK360" i="1"/>
  <c r="BL360" i="1"/>
  <c r="AX361" i="1"/>
  <c r="AY361" i="1"/>
  <c r="AZ361" i="1"/>
  <c r="BA361" i="1"/>
  <c r="BB361" i="1"/>
  <c r="BC361" i="1"/>
  <c r="BD361" i="1"/>
  <c r="BE361" i="1"/>
  <c r="BF361" i="1"/>
  <c r="BG361" i="1"/>
  <c r="BH361" i="1"/>
  <c r="BI361" i="1"/>
  <c r="BJ361" i="1"/>
  <c r="BK361" i="1"/>
  <c r="BL361" i="1"/>
  <c r="AX362" i="1"/>
  <c r="AY362" i="1"/>
  <c r="AZ362" i="1"/>
  <c r="BA362" i="1"/>
  <c r="BB362" i="1"/>
  <c r="BC362" i="1"/>
  <c r="BD362" i="1"/>
  <c r="BE362" i="1"/>
  <c r="BF362" i="1"/>
  <c r="BG362" i="1"/>
  <c r="BH362" i="1"/>
  <c r="BI362" i="1"/>
  <c r="BJ362" i="1"/>
  <c r="BK362" i="1"/>
  <c r="BL362" i="1"/>
  <c r="AX363" i="1"/>
  <c r="AY363" i="1"/>
  <c r="AZ363" i="1"/>
  <c r="BA363" i="1"/>
  <c r="BB363" i="1"/>
  <c r="BC363" i="1"/>
  <c r="BD363" i="1"/>
  <c r="BE363" i="1"/>
  <c r="BF363" i="1"/>
  <c r="BG363" i="1"/>
  <c r="BH363" i="1"/>
  <c r="BI363" i="1"/>
  <c r="BJ363" i="1"/>
  <c r="BK363" i="1"/>
  <c r="BL363" i="1"/>
  <c r="AX364" i="1"/>
  <c r="AY364" i="1"/>
  <c r="AZ364" i="1"/>
  <c r="BA364" i="1"/>
  <c r="BB364" i="1"/>
  <c r="BC364" i="1"/>
  <c r="BD364" i="1"/>
  <c r="BE364" i="1"/>
  <c r="BF364" i="1"/>
  <c r="BG364" i="1"/>
  <c r="BH364" i="1"/>
  <c r="BI364" i="1"/>
  <c r="BJ364" i="1"/>
  <c r="BK364" i="1"/>
  <c r="BL364" i="1"/>
  <c r="AX365" i="1"/>
  <c r="AY365" i="1"/>
  <c r="AZ365" i="1"/>
  <c r="BA365" i="1"/>
  <c r="BB365" i="1"/>
  <c r="BC365" i="1"/>
  <c r="BD365" i="1"/>
  <c r="BE365" i="1"/>
  <c r="BF365" i="1"/>
  <c r="BG365" i="1"/>
  <c r="BH365" i="1"/>
  <c r="BI365" i="1"/>
  <c r="BJ365" i="1"/>
  <c r="BK365" i="1"/>
  <c r="BL365" i="1"/>
  <c r="AX366" i="1"/>
  <c r="AY366" i="1"/>
  <c r="AZ366" i="1"/>
  <c r="BA366" i="1"/>
  <c r="BB366" i="1"/>
  <c r="BC366" i="1"/>
  <c r="BD366" i="1"/>
  <c r="BE366" i="1"/>
  <c r="BF366" i="1"/>
  <c r="BG366" i="1"/>
  <c r="BH366" i="1"/>
  <c r="BI366" i="1"/>
  <c r="BJ366" i="1"/>
  <c r="BK366" i="1"/>
  <c r="BL366" i="1"/>
  <c r="AX367" i="1"/>
  <c r="AY367" i="1"/>
  <c r="AZ367" i="1"/>
  <c r="BA367" i="1"/>
  <c r="BB367" i="1"/>
  <c r="BC367" i="1"/>
  <c r="BD367" i="1"/>
  <c r="BE367" i="1"/>
  <c r="BF367" i="1"/>
  <c r="BG367" i="1"/>
  <c r="BH367" i="1"/>
  <c r="BI367" i="1"/>
  <c r="BJ367" i="1"/>
  <c r="BK367" i="1"/>
  <c r="BL367" i="1"/>
  <c r="AX368" i="1"/>
  <c r="AY368" i="1"/>
  <c r="AZ368" i="1"/>
  <c r="BA368" i="1"/>
  <c r="BB368" i="1"/>
  <c r="BC368" i="1"/>
  <c r="BD368" i="1"/>
  <c r="BE368" i="1"/>
  <c r="BF368" i="1"/>
  <c r="BG368" i="1"/>
  <c r="BH368" i="1"/>
  <c r="BI368" i="1"/>
  <c r="BJ368" i="1"/>
  <c r="BK368" i="1"/>
  <c r="BL368" i="1"/>
  <c r="AX369" i="1"/>
  <c r="AY369" i="1"/>
  <c r="AZ369" i="1"/>
  <c r="BA369" i="1"/>
  <c r="BB369" i="1"/>
  <c r="BC369" i="1"/>
  <c r="BD369" i="1"/>
  <c r="BE369" i="1"/>
  <c r="BF369" i="1"/>
  <c r="BG369" i="1"/>
  <c r="BH369" i="1"/>
  <c r="BI369" i="1"/>
  <c r="BJ369" i="1"/>
  <c r="BK369" i="1"/>
  <c r="BL369" i="1"/>
  <c r="AX370" i="1"/>
  <c r="AY370" i="1"/>
  <c r="AZ370" i="1"/>
  <c r="BA370" i="1"/>
  <c r="BB370" i="1"/>
  <c r="BC370" i="1"/>
  <c r="BD370" i="1"/>
  <c r="BE370" i="1"/>
  <c r="BF370" i="1"/>
  <c r="BG370" i="1"/>
  <c r="BH370" i="1"/>
  <c r="BI370" i="1"/>
  <c r="BJ370" i="1"/>
  <c r="BK370" i="1"/>
  <c r="BL370" i="1"/>
  <c r="AX371" i="1"/>
  <c r="AY371" i="1"/>
  <c r="AZ371" i="1"/>
  <c r="BA371" i="1"/>
  <c r="BB371" i="1"/>
  <c r="BC371" i="1"/>
  <c r="BD371" i="1"/>
  <c r="BE371" i="1"/>
  <c r="BF371" i="1"/>
  <c r="BG371" i="1"/>
  <c r="BH371" i="1"/>
  <c r="BI371" i="1"/>
  <c r="BJ371" i="1"/>
  <c r="BK371" i="1"/>
  <c r="BL371" i="1"/>
  <c r="AX372" i="1"/>
  <c r="AY372" i="1"/>
  <c r="AZ372" i="1"/>
  <c r="BA372" i="1"/>
  <c r="BB372" i="1"/>
  <c r="BC372" i="1"/>
  <c r="BD372" i="1"/>
  <c r="BE372" i="1"/>
  <c r="BF372" i="1"/>
  <c r="BG372" i="1"/>
  <c r="BH372" i="1"/>
  <c r="BI372" i="1"/>
  <c r="BJ372" i="1"/>
  <c r="BK372" i="1"/>
  <c r="BL372" i="1"/>
  <c r="AX373" i="1"/>
  <c r="AY373" i="1"/>
  <c r="AZ373" i="1"/>
  <c r="BA373" i="1"/>
  <c r="BB373" i="1"/>
  <c r="BC373" i="1"/>
  <c r="BD373" i="1"/>
  <c r="BE373" i="1"/>
  <c r="BF373" i="1"/>
  <c r="BG373" i="1"/>
  <c r="BH373" i="1"/>
  <c r="BI373" i="1"/>
  <c r="BJ373" i="1"/>
  <c r="BK373" i="1"/>
  <c r="BL373" i="1"/>
  <c r="AX374" i="1"/>
  <c r="AY374" i="1"/>
  <c r="AZ374" i="1"/>
  <c r="BA374" i="1"/>
  <c r="BB374" i="1"/>
  <c r="BC374" i="1"/>
  <c r="BD374" i="1"/>
  <c r="BE374" i="1"/>
  <c r="BF374" i="1"/>
  <c r="BG374" i="1"/>
  <c r="BH374" i="1"/>
  <c r="BI374" i="1"/>
  <c r="BJ374" i="1"/>
  <c r="BK374" i="1"/>
  <c r="BL374" i="1"/>
  <c r="AX375" i="1"/>
  <c r="AY375" i="1"/>
  <c r="AZ375" i="1"/>
  <c r="BA375" i="1"/>
  <c r="BB375" i="1"/>
  <c r="BC375" i="1"/>
  <c r="BD375" i="1"/>
  <c r="BE375" i="1"/>
  <c r="BF375" i="1"/>
  <c r="BG375" i="1"/>
  <c r="BH375" i="1"/>
  <c r="BI375" i="1"/>
  <c r="BJ375" i="1"/>
  <c r="BK375" i="1"/>
  <c r="BL375" i="1"/>
  <c r="AX376" i="1"/>
  <c r="AY376" i="1"/>
  <c r="AZ376" i="1"/>
  <c r="BA376" i="1"/>
  <c r="BB376" i="1"/>
  <c r="BC376" i="1"/>
  <c r="BD376" i="1"/>
  <c r="BE376" i="1"/>
  <c r="BF376" i="1"/>
  <c r="BG376" i="1"/>
  <c r="BH376" i="1"/>
  <c r="BI376" i="1"/>
  <c r="BJ376" i="1"/>
  <c r="BK376" i="1"/>
  <c r="BL376" i="1"/>
  <c r="AX377" i="1"/>
  <c r="AY377" i="1"/>
  <c r="AZ377" i="1"/>
  <c r="BA377" i="1"/>
  <c r="BB377" i="1"/>
  <c r="BC377" i="1"/>
  <c r="BD377" i="1"/>
  <c r="BE377" i="1"/>
  <c r="BF377" i="1"/>
  <c r="BG377" i="1"/>
  <c r="BH377" i="1"/>
  <c r="BI377" i="1"/>
  <c r="BJ377" i="1"/>
  <c r="BK377" i="1"/>
  <c r="BL377" i="1"/>
  <c r="AX378" i="1"/>
  <c r="AY378" i="1"/>
  <c r="AZ378" i="1"/>
  <c r="BA378" i="1"/>
  <c r="BB378" i="1"/>
  <c r="BC378" i="1"/>
  <c r="BD378" i="1"/>
  <c r="BE378" i="1"/>
  <c r="BF378" i="1"/>
  <c r="BG378" i="1"/>
  <c r="BH378" i="1"/>
  <c r="BI378" i="1"/>
  <c r="BJ378" i="1"/>
  <c r="BK378" i="1"/>
  <c r="BL378" i="1"/>
  <c r="AX379" i="1"/>
  <c r="AY379" i="1"/>
  <c r="AZ379" i="1"/>
  <c r="BA379" i="1"/>
  <c r="BB379" i="1"/>
  <c r="BC379" i="1"/>
  <c r="BD379" i="1"/>
  <c r="BE379" i="1"/>
  <c r="BF379" i="1"/>
  <c r="BG379" i="1"/>
  <c r="BH379" i="1"/>
  <c r="BI379" i="1"/>
  <c r="BJ379" i="1"/>
  <c r="BK379" i="1"/>
  <c r="BL379" i="1"/>
  <c r="AX380" i="1"/>
  <c r="AY380" i="1"/>
  <c r="AZ380" i="1"/>
  <c r="BA380" i="1"/>
  <c r="BB380" i="1"/>
  <c r="BC380" i="1"/>
  <c r="BD380" i="1"/>
  <c r="BE380" i="1"/>
  <c r="BF380" i="1"/>
  <c r="BG380" i="1"/>
  <c r="BH380" i="1"/>
  <c r="BI380" i="1"/>
  <c r="BJ380" i="1"/>
  <c r="BK380" i="1"/>
  <c r="BL380" i="1"/>
  <c r="AX381" i="1"/>
  <c r="AY381" i="1"/>
  <c r="AZ381" i="1"/>
  <c r="BA381" i="1"/>
  <c r="BB381" i="1"/>
  <c r="BC381" i="1"/>
  <c r="BD381" i="1"/>
  <c r="BE381" i="1"/>
  <c r="BF381" i="1"/>
  <c r="BG381" i="1"/>
  <c r="BH381" i="1"/>
  <c r="BI381" i="1"/>
  <c r="BJ381" i="1"/>
  <c r="BK381" i="1"/>
  <c r="BL381" i="1"/>
  <c r="AX382" i="1"/>
  <c r="AY382" i="1"/>
  <c r="AZ382" i="1"/>
  <c r="BA382" i="1"/>
  <c r="BB382" i="1"/>
  <c r="BC382" i="1"/>
  <c r="BD382" i="1"/>
  <c r="BE382" i="1"/>
  <c r="BF382" i="1"/>
  <c r="BG382" i="1"/>
  <c r="BH382" i="1"/>
  <c r="BI382" i="1"/>
  <c r="BJ382" i="1"/>
  <c r="BK382" i="1"/>
  <c r="BL382" i="1"/>
  <c r="AX383" i="1"/>
  <c r="AY383" i="1"/>
  <c r="AZ383" i="1"/>
  <c r="BA383" i="1"/>
  <c r="BB383" i="1"/>
  <c r="BC383" i="1"/>
  <c r="BD383" i="1"/>
  <c r="BE383" i="1"/>
  <c r="BF383" i="1"/>
  <c r="BG383" i="1"/>
  <c r="BH383" i="1"/>
  <c r="BI383" i="1"/>
  <c r="BJ383" i="1"/>
  <c r="BK383" i="1"/>
  <c r="BL383" i="1"/>
  <c r="AX384" i="1"/>
  <c r="AY384" i="1"/>
  <c r="AZ384" i="1"/>
  <c r="BA384" i="1"/>
  <c r="BB384" i="1"/>
  <c r="BC384" i="1"/>
  <c r="BD384" i="1"/>
  <c r="BE384" i="1"/>
  <c r="BF384" i="1"/>
  <c r="BG384" i="1"/>
  <c r="BH384" i="1"/>
  <c r="BI384" i="1"/>
  <c r="BJ384" i="1"/>
  <c r="BK384" i="1"/>
  <c r="BL384" i="1"/>
  <c r="AX385" i="1"/>
  <c r="AY385" i="1"/>
  <c r="AZ385" i="1"/>
  <c r="BA385" i="1"/>
  <c r="BB385" i="1"/>
  <c r="BC385" i="1"/>
  <c r="BD385" i="1"/>
  <c r="BE385" i="1"/>
  <c r="BF385" i="1"/>
  <c r="BG385" i="1"/>
  <c r="BH385" i="1"/>
  <c r="BI385" i="1"/>
  <c r="BJ385" i="1"/>
  <c r="BK385" i="1"/>
  <c r="BL385" i="1"/>
  <c r="AX386" i="1"/>
  <c r="AY386" i="1"/>
  <c r="AZ386" i="1"/>
  <c r="BA386" i="1"/>
  <c r="BB386" i="1"/>
  <c r="BC386" i="1"/>
  <c r="BD386" i="1"/>
  <c r="BE386" i="1"/>
  <c r="BF386" i="1"/>
  <c r="BG386" i="1"/>
  <c r="BH386" i="1"/>
  <c r="BI386" i="1"/>
  <c r="BJ386" i="1"/>
  <c r="BK386" i="1"/>
  <c r="BL386" i="1"/>
  <c r="AX387" i="1"/>
  <c r="AY387" i="1"/>
  <c r="AZ387" i="1"/>
  <c r="BA387" i="1"/>
  <c r="BB387" i="1"/>
  <c r="BC387" i="1"/>
  <c r="BD387" i="1"/>
  <c r="BE387" i="1"/>
  <c r="BF387" i="1"/>
  <c r="BG387" i="1"/>
  <c r="BH387" i="1"/>
  <c r="BI387" i="1"/>
  <c r="BJ387" i="1"/>
  <c r="BK387" i="1"/>
  <c r="BL387" i="1"/>
  <c r="AX388" i="1"/>
  <c r="AY388" i="1"/>
  <c r="AZ388" i="1"/>
  <c r="BA388" i="1"/>
  <c r="BB388" i="1"/>
  <c r="BC388" i="1"/>
  <c r="BD388" i="1"/>
  <c r="BE388" i="1"/>
  <c r="BF388" i="1"/>
  <c r="BG388" i="1"/>
  <c r="BH388" i="1"/>
  <c r="BI388" i="1"/>
  <c r="BJ388" i="1"/>
  <c r="BK388" i="1"/>
  <c r="BL388" i="1"/>
  <c r="AX389" i="1"/>
  <c r="AY389" i="1"/>
  <c r="AZ389" i="1"/>
  <c r="BA389" i="1"/>
  <c r="BB389" i="1"/>
  <c r="BC389" i="1"/>
  <c r="BD389" i="1"/>
  <c r="BE389" i="1"/>
  <c r="BF389" i="1"/>
  <c r="BG389" i="1"/>
  <c r="BH389" i="1"/>
  <c r="BI389" i="1"/>
  <c r="BJ389" i="1"/>
  <c r="BK389" i="1"/>
  <c r="BL389" i="1"/>
  <c r="AX390" i="1"/>
  <c r="AY390" i="1"/>
  <c r="AZ390" i="1"/>
  <c r="BA390" i="1"/>
  <c r="BB390" i="1"/>
  <c r="BC390" i="1"/>
  <c r="BD390" i="1"/>
  <c r="BE390" i="1"/>
  <c r="BF390" i="1"/>
  <c r="BG390" i="1"/>
  <c r="BH390" i="1"/>
  <c r="BI390" i="1"/>
  <c r="BJ390" i="1"/>
  <c r="BK390" i="1"/>
  <c r="BL390" i="1"/>
  <c r="AX391" i="1"/>
  <c r="AY391" i="1"/>
  <c r="AZ391" i="1"/>
  <c r="BA391" i="1"/>
  <c r="BB391" i="1"/>
  <c r="BC391" i="1"/>
  <c r="BD391" i="1"/>
  <c r="BE391" i="1"/>
  <c r="BF391" i="1"/>
  <c r="BG391" i="1"/>
  <c r="BH391" i="1"/>
  <c r="BI391" i="1"/>
  <c r="BJ391" i="1"/>
  <c r="BK391" i="1"/>
  <c r="BL391" i="1"/>
  <c r="AX392" i="1"/>
  <c r="AY392" i="1"/>
  <c r="AZ392" i="1"/>
  <c r="BA392" i="1"/>
  <c r="BB392" i="1"/>
  <c r="BC392" i="1"/>
  <c r="BD392" i="1"/>
  <c r="BE392" i="1"/>
  <c r="BF392" i="1"/>
  <c r="BG392" i="1"/>
  <c r="BH392" i="1"/>
  <c r="BI392" i="1"/>
  <c r="BJ392" i="1"/>
  <c r="BK392" i="1"/>
  <c r="BL392" i="1"/>
  <c r="AX393" i="1"/>
  <c r="AY393" i="1"/>
  <c r="AZ393" i="1"/>
  <c r="BA393" i="1"/>
  <c r="BB393" i="1"/>
  <c r="BC393" i="1"/>
  <c r="BD393" i="1"/>
  <c r="BE393" i="1"/>
  <c r="BF393" i="1"/>
  <c r="BG393" i="1"/>
  <c r="BH393" i="1"/>
  <c r="BI393" i="1"/>
  <c r="BJ393" i="1"/>
  <c r="BK393" i="1"/>
  <c r="BL393" i="1"/>
  <c r="AX394" i="1"/>
  <c r="AY394" i="1"/>
  <c r="AZ394" i="1"/>
  <c r="BA394" i="1"/>
  <c r="BB394" i="1"/>
  <c r="BC394" i="1"/>
  <c r="BD394" i="1"/>
  <c r="BE394" i="1"/>
  <c r="BF394" i="1"/>
  <c r="BG394" i="1"/>
  <c r="BH394" i="1"/>
  <c r="BI394" i="1"/>
  <c r="BJ394" i="1"/>
  <c r="BK394" i="1"/>
  <c r="BL394" i="1"/>
  <c r="AX395" i="1"/>
  <c r="AY395" i="1"/>
  <c r="AZ395" i="1"/>
  <c r="BA395" i="1"/>
  <c r="BB395" i="1"/>
  <c r="BC395" i="1"/>
  <c r="BD395" i="1"/>
  <c r="BE395" i="1"/>
  <c r="BF395" i="1"/>
  <c r="BG395" i="1"/>
  <c r="BH395" i="1"/>
  <c r="BI395" i="1"/>
  <c r="BJ395" i="1"/>
  <c r="BK395" i="1"/>
  <c r="BL395" i="1"/>
  <c r="AX396" i="1"/>
  <c r="AY396" i="1"/>
  <c r="AZ396" i="1"/>
  <c r="BA396" i="1"/>
  <c r="BB396" i="1"/>
  <c r="BC396" i="1"/>
  <c r="BD396" i="1"/>
  <c r="BE396" i="1"/>
  <c r="BF396" i="1"/>
  <c r="BG396" i="1"/>
  <c r="BH396" i="1"/>
  <c r="BI396" i="1"/>
  <c r="BJ396" i="1"/>
  <c r="BK396" i="1"/>
  <c r="BL396" i="1"/>
  <c r="AX397" i="1"/>
  <c r="AY397" i="1"/>
  <c r="AZ397" i="1"/>
  <c r="BA397" i="1"/>
  <c r="BB397" i="1"/>
  <c r="BC397" i="1"/>
  <c r="BD397" i="1"/>
  <c r="BE397" i="1"/>
  <c r="BF397" i="1"/>
  <c r="BG397" i="1"/>
  <c r="BH397" i="1"/>
  <c r="BI397" i="1"/>
  <c r="BJ397" i="1"/>
  <c r="BK397" i="1"/>
  <c r="BL397" i="1"/>
  <c r="AX398" i="1"/>
  <c r="AY398" i="1"/>
  <c r="AZ398" i="1"/>
  <c r="BA398" i="1"/>
  <c r="BB398" i="1"/>
  <c r="BC398" i="1"/>
  <c r="BD398" i="1"/>
  <c r="BE398" i="1"/>
  <c r="BF398" i="1"/>
  <c r="BG398" i="1"/>
  <c r="BH398" i="1"/>
  <c r="BI398" i="1"/>
  <c r="BJ398" i="1"/>
  <c r="BK398" i="1"/>
  <c r="BL398" i="1"/>
  <c r="AX399" i="1"/>
  <c r="AY399" i="1"/>
  <c r="AZ399" i="1"/>
  <c r="BA399" i="1"/>
  <c r="BB399" i="1"/>
  <c r="BC399" i="1"/>
  <c r="BD399" i="1"/>
  <c r="BE399" i="1"/>
  <c r="BF399" i="1"/>
  <c r="BG399" i="1"/>
  <c r="BH399" i="1"/>
  <c r="BI399" i="1"/>
  <c r="BJ399" i="1"/>
  <c r="BK399" i="1"/>
  <c r="BL399" i="1"/>
  <c r="AX400" i="1"/>
  <c r="AY400" i="1"/>
  <c r="AZ400" i="1"/>
  <c r="BA400" i="1"/>
  <c r="BB400" i="1"/>
  <c r="BC400" i="1"/>
  <c r="BD400" i="1"/>
  <c r="BE400" i="1"/>
  <c r="BF400" i="1"/>
  <c r="BG400" i="1"/>
  <c r="BH400" i="1"/>
  <c r="BI400" i="1"/>
  <c r="BJ400" i="1"/>
  <c r="BK400" i="1"/>
  <c r="BL400" i="1"/>
  <c r="AX401" i="1"/>
  <c r="AY401" i="1"/>
  <c r="AZ401" i="1"/>
  <c r="BA401" i="1"/>
  <c r="BB401" i="1"/>
  <c r="BC401" i="1"/>
  <c r="BD401" i="1"/>
  <c r="BE401" i="1"/>
  <c r="BF401" i="1"/>
  <c r="BG401" i="1"/>
  <c r="BH401" i="1"/>
  <c r="BI401" i="1"/>
  <c r="BJ401" i="1"/>
  <c r="BK401" i="1"/>
  <c r="BL401" i="1"/>
  <c r="AX402" i="1"/>
  <c r="AY402" i="1"/>
  <c r="AZ402" i="1"/>
  <c r="BA402" i="1"/>
  <c r="BB402" i="1"/>
  <c r="BC402" i="1"/>
  <c r="BD402" i="1"/>
  <c r="BE402" i="1"/>
  <c r="BF402" i="1"/>
  <c r="BG402" i="1"/>
  <c r="BH402" i="1"/>
  <c r="BI402" i="1"/>
  <c r="BJ402" i="1"/>
  <c r="BK402" i="1"/>
  <c r="BL402" i="1"/>
  <c r="AX403" i="1"/>
  <c r="AY403" i="1"/>
  <c r="AZ403" i="1"/>
  <c r="BA403" i="1"/>
  <c r="BB403" i="1"/>
  <c r="BC403" i="1"/>
  <c r="BD403" i="1"/>
  <c r="BE403" i="1"/>
  <c r="BF403" i="1"/>
  <c r="BG403" i="1"/>
  <c r="BH403" i="1"/>
  <c r="BI403" i="1"/>
  <c r="BJ403" i="1"/>
  <c r="BK403" i="1"/>
  <c r="BL403" i="1"/>
  <c r="AX404" i="1"/>
  <c r="AY404" i="1"/>
  <c r="AZ404" i="1"/>
  <c r="BA404" i="1"/>
  <c r="BB404" i="1"/>
  <c r="BC404" i="1"/>
  <c r="BD404" i="1"/>
  <c r="BE404" i="1"/>
  <c r="BF404" i="1"/>
  <c r="BG404" i="1"/>
  <c r="BH404" i="1"/>
  <c r="BI404" i="1"/>
  <c r="BJ404" i="1"/>
  <c r="BK404" i="1"/>
  <c r="BL404" i="1"/>
  <c r="AX405" i="1"/>
  <c r="AY405" i="1"/>
  <c r="AZ405" i="1"/>
  <c r="BA405" i="1"/>
  <c r="BB405" i="1"/>
  <c r="BC405" i="1"/>
  <c r="BD405" i="1"/>
  <c r="BE405" i="1"/>
  <c r="BF405" i="1"/>
  <c r="BG405" i="1"/>
  <c r="BH405" i="1"/>
  <c r="BI405" i="1"/>
  <c r="BJ405" i="1"/>
  <c r="BK405" i="1"/>
  <c r="BL405" i="1"/>
  <c r="AX406" i="1"/>
  <c r="AY406" i="1"/>
  <c r="AZ406" i="1"/>
  <c r="BA406" i="1"/>
  <c r="BB406" i="1"/>
  <c r="BC406" i="1"/>
  <c r="BD406" i="1"/>
  <c r="BE406" i="1"/>
  <c r="BF406" i="1"/>
  <c r="BG406" i="1"/>
  <c r="BH406" i="1"/>
  <c r="BI406" i="1"/>
  <c r="BJ406" i="1"/>
  <c r="BK406" i="1"/>
  <c r="BL406" i="1"/>
  <c r="AX407" i="1"/>
  <c r="AY407" i="1"/>
  <c r="AZ407" i="1"/>
  <c r="BA407" i="1"/>
  <c r="BB407" i="1"/>
  <c r="BC407" i="1"/>
  <c r="BD407" i="1"/>
  <c r="BE407" i="1"/>
  <c r="BF407" i="1"/>
  <c r="BG407" i="1"/>
  <c r="BH407" i="1"/>
  <c r="BI407" i="1"/>
  <c r="BJ407" i="1"/>
  <c r="BK407" i="1"/>
  <c r="BL407" i="1"/>
  <c r="AX408" i="1"/>
  <c r="AY408" i="1"/>
  <c r="AZ408" i="1"/>
  <c r="BA408" i="1"/>
  <c r="BB408" i="1"/>
  <c r="BC408" i="1"/>
  <c r="BD408" i="1"/>
  <c r="BE408" i="1"/>
  <c r="BF408" i="1"/>
  <c r="BG408" i="1"/>
  <c r="BH408" i="1"/>
  <c r="BI408" i="1"/>
  <c r="BJ408" i="1"/>
  <c r="BK408" i="1"/>
  <c r="BL408" i="1"/>
  <c r="AX409" i="1"/>
  <c r="AY409" i="1"/>
  <c r="AZ409" i="1"/>
  <c r="BA409" i="1"/>
  <c r="BB409" i="1"/>
  <c r="BC409" i="1"/>
  <c r="BD409" i="1"/>
  <c r="BE409" i="1"/>
  <c r="BF409" i="1"/>
  <c r="BG409" i="1"/>
  <c r="BH409" i="1"/>
  <c r="BI409" i="1"/>
  <c r="BJ409" i="1"/>
  <c r="BK409" i="1"/>
  <c r="BL409" i="1"/>
  <c r="AX410" i="1"/>
  <c r="AY410" i="1"/>
  <c r="AZ410" i="1"/>
  <c r="BA410" i="1"/>
  <c r="BB410" i="1"/>
  <c r="BC410" i="1"/>
  <c r="BD410" i="1"/>
  <c r="BE410" i="1"/>
  <c r="BF410" i="1"/>
  <c r="BG410" i="1"/>
  <c r="BH410" i="1"/>
  <c r="BI410" i="1"/>
  <c r="BJ410" i="1"/>
  <c r="BK410" i="1"/>
  <c r="BL410" i="1"/>
  <c r="AX411" i="1"/>
  <c r="AY411" i="1"/>
  <c r="AZ411" i="1"/>
  <c r="BA411" i="1"/>
  <c r="BB411" i="1"/>
  <c r="BC411" i="1"/>
  <c r="BD411" i="1"/>
  <c r="BE411" i="1"/>
  <c r="BF411" i="1"/>
  <c r="BG411" i="1"/>
  <c r="BH411" i="1"/>
  <c r="BI411" i="1"/>
  <c r="BJ411" i="1"/>
  <c r="BK411" i="1"/>
  <c r="BL411" i="1"/>
  <c r="AX412" i="1"/>
  <c r="AY412" i="1"/>
  <c r="AZ412" i="1"/>
  <c r="BA412" i="1"/>
  <c r="BB412" i="1"/>
  <c r="BC412" i="1"/>
  <c r="BD412" i="1"/>
  <c r="BE412" i="1"/>
  <c r="BF412" i="1"/>
  <c r="BG412" i="1"/>
  <c r="BH412" i="1"/>
  <c r="BI412" i="1"/>
  <c r="BJ412" i="1"/>
  <c r="BK412" i="1"/>
  <c r="BL412" i="1"/>
  <c r="AX413" i="1"/>
  <c r="AY413" i="1"/>
  <c r="AZ413" i="1"/>
  <c r="BA413" i="1"/>
  <c r="BB413" i="1"/>
  <c r="BC413" i="1"/>
  <c r="BD413" i="1"/>
  <c r="BE413" i="1"/>
  <c r="BF413" i="1"/>
  <c r="BG413" i="1"/>
  <c r="BH413" i="1"/>
  <c r="BI413" i="1"/>
  <c r="BJ413" i="1"/>
  <c r="BK413" i="1"/>
  <c r="BL413" i="1"/>
  <c r="AX414" i="1"/>
  <c r="AY414" i="1"/>
  <c r="AZ414" i="1"/>
  <c r="BA414" i="1"/>
  <c r="BB414" i="1"/>
  <c r="BC414" i="1"/>
  <c r="BD414" i="1"/>
  <c r="BE414" i="1"/>
  <c r="BF414" i="1"/>
  <c r="BG414" i="1"/>
  <c r="BH414" i="1"/>
  <c r="BI414" i="1"/>
  <c r="BJ414" i="1"/>
  <c r="BK414" i="1"/>
  <c r="BL414" i="1"/>
  <c r="AX415" i="1"/>
  <c r="AY415" i="1"/>
  <c r="AZ415" i="1"/>
  <c r="BA415" i="1"/>
  <c r="BB415" i="1"/>
  <c r="BC415" i="1"/>
  <c r="BD415" i="1"/>
  <c r="BE415" i="1"/>
  <c r="BF415" i="1"/>
  <c r="BG415" i="1"/>
  <c r="BH415" i="1"/>
  <c r="BI415" i="1"/>
  <c r="BJ415" i="1"/>
  <c r="BK415" i="1"/>
  <c r="BL415" i="1"/>
  <c r="AX416" i="1"/>
  <c r="AY416" i="1"/>
  <c r="AZ416" i="1"/>
  <c r="BA416" i="1"/>
  <c r="BB416" i="1"/>
  <c r="BC416" i="1"/>
  <c r="BD416" i="1"/>
  <c r="BE416" i="1"/>
  <c r="BF416" i="1"/>
  <c r="BG416" i="1"/>
  <c r="BH416" i="1"/>
  <c r="BI416" i="1"/>
  <c r="BJ416" i="1"/>
  <c r="BK416" i="1"/>
  <c r="BL416" i="1"/>
  <c r="AX417" i="1"/>
  <c r="AY417" i="1"/>
  <c r="AZ417" i="1"/>
  <c r="BA417" i="1"/>
  <c r="BB417" i="1"/>
  <c r="BC417" i="1"/>
  <c r="BD417" i="1"/>
  <c r="BE417" i="1"/>
  <c r="BF417" i="1"/>
  <c r="BG417" i="1"/>
  <c r="BH417" i="1"/>
  <c r="BI417" i="1"/>
  <c r="BJ417" i="1"/>
  <c r="BK417" i="1"/>
  <c r="BL417" i="1"/>
  <c r="AX418" i="1"/>
  <c r="AY418" i="1"/>
  <c r="AZ418" i="1"/>
  <c r="BA418" i="1"/>
  <c r="BB418" i="1"/>
  <c r="BC418" i="1"/>
  <c r="BD418" i="1"/>
  <c r="BE418" i="1"/>
  <c r="BF418" i="1"/>
  <c r="BG418" i="1"/>
  <c r="BH418" i="1"/>
  <c r="BI418" i="1"/>
  <c r="BJ418" i="1"/>
  <c r="BK418" i="1"/>
  <c r="BL418" i="1"/>
  <c r="AX419" i="1"/>
  <c r="AY419" i="1"/>
  <c r="AZ419" i="1"/>
  <c r="BA419" i="1"/>
  <c r="BB419" i="1"/>
  <c r="BC419" i="1"/>
  <c r="BD419" i="1"/>
  <c r="BE419" i="1"/>
  <c r="BF419" i="1"/>
  <c r="BG419" i="1"/>
  <c r="BH419" i="1"/>
  <c r="BI419" i="1"/>
  <c r="BJ419" i="1"/>
  <c r="BK419" i="1"/>
  <c r="BL419" i="1"/>
  <c r="AX420" i="1"/>
  <c r="AY420" i="1"/>
  <c r="AZ420" i="1"/>
  <c r="BA420" i="1"/>
  <c r="BB420" i="1"/>
  <c r="BC420" i="1"/>
  <c r="BD420" i="1"/>
  <c r="BE420" i="1"/>
  <c r="BF420" i="1"/>
  <c r="BG420" i="1"/>
  <c r="BH420" i="1"/>
  <c r="BI420" i="1"/>
  <c r="BJ420" i="1"/>
  <c r="BK420" i="1"/>
  <c r="BL420" i="1"/>
  <c r="AX421" i="1"/>
  <c r="AY421" i="1"/>
  <c r="AZ421" i="1"/>
  <c r="BA421" i="1"/>
  <c r="BB421" i="1"/>
  <c r="BC421" i="1"/>
  <c r="BD421" i="1"/>
  <c r="BE421" i="1"/>
  <c r="BF421" i="1"/>
  <c r="BG421" i="1"/>
  <c r="BH421" i="1"/>
  <c r="BI421" i="1"/>
  <c r="BJ421" i="1"/>
  <c r="BK421" i="1"/>
  <c r="BL421" i="1"/>
  <c r="AX422" i="1"/>
  <c r="AY422" i="1"/>
  <c r="AZ422" i="1"/>
  <c r="BA422" i="1"/>
  <c r="BB422" i="1"/>
  <c r="BC422" i="1"/>
  <c r="BD422" i="1"/>
  <c r="BE422" i="1"/>
  <c r="BF422" i="1"/>
  <c r="BG422" i="1"/>
  <c r="BH422" i="1"/>
  <c r="BI422" i="1"/>
  <c r="BJ422" i="1"/>
  <c r="BK422" i="1"/>
  <c r="BL422" i="1"/>
  <c r="AX423" i="1"/>
  <c r="AY423" i="1"/>
  <c r="AZ423" i="1"/>
  <c r="BA423" i="1"/>
  <c r="BB423" i="1"/>
  <c r="BC423" i="1"/>
  <c r="BD423" i="1"/>
  <c r="BE423" i="1"/>
  <c r="BF423" i="1"/>
  <c r="BG423" i="1"/>
  <c r="BH423" i="1"/>
  <c r="BI423" i="1"/>
  <c r="BJ423" i="1"/>
  <c r="BK423" i="1"/>
  <c r="BL423" i="1"/>
  <c r="AX424" i="1"/>
  <c r="AY424" i="1"/>
  <c r="AZ424" i="1"/>
  <c r="BA424" i="1"/>
  <c r="BB424" i="1"/>
  <c r="BC424" i="1"/>
  <c r="BD424" i="1"/>
  <c r="BE424" i="1"/>
  <c r="BF424" i="1"/>
  <c r="BG424" i="1"/>
  <c r="BH424" i="1"/>
  <c r="BI424" i="1"/>
  <c r="BJ424" i="1"/>
  <c r="BK424" i="1"/>
  <c r="BL424" i="1"/>
  <c r="AX425" i="1"/>
  <c r="AY425" i="1"/>
  <c r="AZ425" i="1"/>
  <c r="BA425" i="1"/>
  <c r="BB425" i="1"/>
  <c r="BC425" i="1"/>
  <c r="BD425" i="1"/>
  <c r="BE425" i="1"/>
  <c r="BF425" i="1"/>
  <c r="BG425" i="1"/>
  <c r="BH425" i="1"/>
  <c r="BI425" i="1"/>
  <c r="BJ425" i="1"/>
  <c r="BK425" i="1"/>
  <c r="BL425" i="1"/>
  <c r="AX426" i="1"/>
  <c r="AY426" i="1"/>
  <c r="AZ426" i="1"/>
  <c r="BA426" i="1"/>
  <c r="BB426" i="1"/>
  <c r="BC426" i="1"/>
  <c r="BD426" i="1"/>
  <c r="BE426" i="1"/>
  <c r="BF426" i="1"/>
  <c r="BG426" i="1"/>
  <c r="BH426" i="1"/>
  <c r="BI426" i="1"/>
  <c r="BJ426" i="1"/>
  <c r="BK426" i="1"/>
  <c r="BL426" i="1"/>
  <c r="AX427" i="1"/>
  <c r="AY427" i="1"/>
  <c r="AZ427" i="1"/>
  <c r="BA427" i="1"/>
  <c r="BB427" i="1"/>
  <c r="BC427" i="1"/>
  <c r="BD427" i="1"/>
  <c r="BE427" i="1"/>
  <c r="BF427" i="1"/>
  <c r="BG427" i="1"/>
  <c r="BH427" i="1"/>
  <c r="BI427" i="1"/>
  <c r="BJ427" i="1"/>
  <c r="BK427" i="1"/>
  <c r="BL427" i="1"/>
  <c r="AX428" i="1"/>
  <c r="AY428" i="1"/>
  <c r="AZ428" i="1"/>
  <c r="BA428" i="1"/>
  <c r="BB428" i="1"/>
  <c r="BC428" i="1"/>
  <c r="BD428" i="1"/>
  <c r="BE428" i="1"/>
  <c r="BF428" i="1"/>
  <c r="BG428" i="1"/>
  <c r="BH428" i="1"/>
  <c r="BI428" i="1"/>
  <c r="BJ428" i="1"/>
  <c r="BK428" i="1"/>
  <c r="BL428" i="1"/>
  <c r="AX429" i="1"/>
  <c r="AY429" i="1"/>
  <c r="AZ429" i="1"/>
  <c r="BA429" i="1"/>
  <c r="BB429" i="1"/>
  <c r="BC429" i="1"/>
  <c r="BD429" i="1"/>
  <c r="BE429" i="1"/>
  <c r="BF429" i="1"/>
  <c r="BG429" i="1"/>
  <c r="BH429" i="1"/>
  <c r="BI429" i="1"/>
  <c r="BJ429" i="1"/>
  <c r="BK429" i="1"/>
  <c r="BL429" i="1"/>
  <c r="AX430" i="1"/>
  <c r="AY430" i="1"/>
  <c r="AZ430" i="1"/>
  <c r="BA430" i="1"/>
  <c r="BB430" i="1"/>
  <c r="BC430" i="1"/>
  <c r="BD430" i="1"/>
  <c r="BE430" i="1"/>
  <c r="BF430" i="1"/>
  <c r="BG430" i="1"/>
  <c r="BH430" i="1"/>
  <c r="BI430" i="1"/>
  <c r="BJ430" i="1"/>
  <c r="BK430" i="1"/>
  <c r="BL430" i="1"/>
  <c r="AX431" i="1"/>
  <c r="AY431" i="1"/>
  <c r="AZ431" i="1"/>
  <c r="BA431" i="1"/>
  <c r="BB431" i="1"/>
  <c r="BC431" i="1"/>
  <c r="BD431" i="1"/>
  <c r="BE431" i="1"/>
  <c r="BF431" i="1"/>
  <c r="BG431" i="1"/>
  <c r="BH431" i="1"/>
  <c r="BI431" i="1"/>
  <c r="BJ431" i="1"/>
  <c r="BK431" i="1"/>
  <c r="BL431" i="1"/>
  <c r="AX432" i="1"/>
  <c r="AY432" i="1"/>
  <c r="AZ432" i="1"/>
  <c r="BA432" i="1"/>
  <c r="BB432" i="1"/>
  <c r="BC432" i="1"/>
  <c r="BD432" i="1"/>
  <c r="BE432" i="1"/>
  <c r="BF432" i="1"/>
  <c r="BG432" i="1"/>
  <c r="BH432" i="1"/>
  <c r="BI432" i="1"/>
  <c r="BJ432" i="1"/>
  <c r="BK432" i="1"/>
  <c r="BL432" i="1"/>
  <c r="AX433" i="1"/>
  <c r="AY433" i="1"/>
  <c r="AZ433" i="1"/>
  <c r="BA433" i="1"/>
  <c r="BB433" i="1"/>
  <c r="BC433" i="1"/>
  <c r="BD433" i="1"/>
  <c r="BE433" i="1"/>
  <c r="BF433" i="1"/>
  <c r="BG433" i="1"/>
  <c r="BH433" i="1"/>
  <c r="BI433" i="1"/>
  <c r="BJ433" i="1"/>
  <c r="BK433" i="1"/>
  <c r="BL433" i="1"/>
  <c r="AX434" i="1"/>
  <c r="AY434" i="1"/>
  <c r="AZ434" i="1"/>
  <c r="BA434" i="1"/>
  <c r="BB434" i="1"/>
  <c r="BC434" i="1"/>
  <c r="BD434" i="1"/>
  <c r="BE434" i="1"/>
  <c r="BF434" i="1"/>
  <c r="BG434" i="1"/>
  <c r="BH434" i="1"/>
  <c r="BI434" i="1"/>
  <c r="BJ434" i="1"/>
  <c r="BK434" i="1"/>
  <c r="BL434" i="1"/>
  <c r="AX435" i="1"/>
  <c r="AY435" i="1"/>
  <c r="AZ435" i="1"/>
  <c r="BA435" i="1"/>
  <c r="BB435" i="1"/>
  <c r="BC435" i="1"/>
  <c r="BD435" i="1"/>
  <c r="BE435" i="1"/>
  <c r="BF435" i="1"/>
  <c r="BG435" i="1"/>
  <c r="BH435" i="1"/>
  <c r="BI435" i="1"/>
  <c r="BJ435" i="1"/>
  <c r="BK435" i="1"/>
  <c r="BL435" i="1"/>
  <c r="AX436" i="1"/>
  <c r="AY436" i="1"/>
  <c r="AZ436" i="1"/>
  <c r="BA436" i="1"/>
  <c r="BB436" i="1"/>
  <c r="BC436" i="1"/>
  <c r="BD436" i="1"/>
  <c r="BE436" i="1"/>
  <c r="BF436" i="1"/>
  <c r="BG436" i="1"/>
  <c r="BH436" i="1"/>
  <c r="BI436" i="1"/>
  <c r="BJ436" i="1"/>
  <c r="BK436" i="1"/>
  <c r="BL436" i="1"/>
  <c r="AX437" i="1"/>
  <c r="AY437" i="1"/>
  <c r="AZ437" i="1"/>
  <c r="BA437" i="1"/>
  <c r="BB437" i="1"/>
  <c r="BC437" i="1"/>
  <c r="BD437" i="1"/>
  <c r="BE437" i="1"/>
  <c r="BF437" i="1"/>
  <c r="BG437" i="1"/>
  <c r="BH437" i="1"/>
  <c r="BI437" i="1"/>
  <c r="BJ437" i="1"/>
  <c r="BK437" i="1"/>
  <c r="BL437" i="1"/>
  <c r="AX438" i="1"/>
  <c r="AY438" i="1"/>
  <c r="AZ438" i="1"/>
  <c r="BA438" i="1"/>
  <c r="BB438" i="1"/>
  <c r="BC438" i="1"/>
  <c r="BD438" i="1"/>
  <c r="BE438" i="1"/>
  <c r="BF438" i="1"/>
  <c r="BG438" i="1"/>
  <c r="BH438" i="1"/>
  <c r="BI438" i="1"/>
  <c r="BJ438" i="1"/>
  <c r="BK438" i="1"/>
  <c r="BL438" i="1"/>
  <c r="AX439" i="1"/>
  <c r="AY439" i="1"/>
  <c r="AZ439" i="1"/>
  <c r="BA439" i="1"/>
  <c r="BB439" i="1"/>
  <c r="BC439" i="1"/>
  <c r="BD439" i="1"/>
  <c r="BE439" i="1"/>
  <c r="BF439" i="1"/>
  <c r="BG439" i="1"/>
  <c r="BH439" i="1"/>
  <c r="BI439" i="1"/>
  <c r="BJ439" i="1"/>
  <c r="BK439" i="1"/>
  <c r="BL439" i="1"/>
  <c r="AX440" i="1"/>
  <c r="AY440" i="1"/>
  <c r="AZ440" i="1"/>
  <c r="BA440" i="1"/>
  <c r="BB440" i="1"/>
  <c r="BC440" i="1"/>
  <c r="BD440" i="1"/>
  <c r="BE440" i="1"/>
  <c r="BF440" i="1"/>
  <c r="BG440" i="1"/>
  <c r="BH440" i="1"/>
  <c r="BI440" i="1"/>
  <c r="BJ440" i="1"/>
  <c r="BK440" i="1"/>
  <c r="BL440" i="1"/>
  <c r="AX441" i="1"/>
  <c r="AY441" i="1"/>
  <c r="AZ441" i="1"/>
  <c r="BA441" i="1"/>
  <c r="BB441" i="1"/>
  <c r="BC441" i="1"/>
  <c r="BD441" i="1"/>
  <c r="BE441" i="1"/>
  <c r="BF441" i="1"/>
  <c r="BG441" i="1"/>
  <c r="BH441" i="1"/>
  <c r="BI441" i="1"/>
  <c r="BJ441" i="1"/>
  <c r="BK441" i="1"/>
  <c r="BL441" i="1"/>
  <c r="AX442" i="1"/>
  <c r="AY442" i="1"/>
  <c r="AZ442" i="1"/>
  <c r="BA442" i="1"/>
  <c r="BB442" i="1"/>
  <c r="BC442" i="1"/>
  <c r="BD442" i="1"/>
  <c r="BE442" i="1"/>
  <c r="BF442" i="1"/>
  <c r="BG442" i="1"/>
  <c r="BH442" i="1"/>
  <c r="BI442" i="1"/>
  <c r="BJ442" i="1"/>
  <c r="BK442" i="1"/>
  <c r="BL442" i="1"/>
  <c r="AX443" i="1"/>
  <c r="AY443" i="1"/>
  <c r="AZ443" i="1"/>
  <c r="BA443" i="1"/>
  <c r="BB443" i="1"/>
  <c r="BC443" i="1"/>
  <c r="BD443" i="1"/>
  <c r="BE443" i="1"/>
  <c r="BF443" i="1"/>
  <c r="BG443" i="1"/>
  <c r="BH443" i="1"/>
  <c r="BI443" i="1"/>
  <c r="BJ443" i="1"/>
  <c r="BK443" i="1"/>
  <c r="BL443" i="1"/>
  <c r="AX444" i="1"/>
  <c r="AY444" i="1"/>
  <c r="AZ444" i="1"/>
  <c r="BA444" i="1"/>
  <c r="BB444" i="1"/>
  <c r="BC444" i="1"/>
  <c r="BD444" i="1"/>
  <c r="BE444" i="1"/>
  <c r="BF444" i="1"/>
  <c r="BG444" i="1"/>
  <c r="BH444" i="1"/>
  <c r="BI444" i="1"/>
  <c r="BJ444" i="1"/>
  <c r="BK444" i="1"/>
  <c r="BL444" i="1"/>
  <c r="AX445" i="1"/>
  <c r="AY445" i="1"/>
  <c r="AZ445" i="1"/>
  <c r="BA445" i="1"/>
  <c r="BB445" i="1"/>
  <c r="BC445" i="1"/>
  <c r="BD445" i="1"/>
  <c r="BE445" i="1"/>
  <c r="BF445" i="1"/>
  <c r="BG445" i="1"/>
  <c r="BH445" i="1"/>
  <c r="BI445" i="1"/>
  <c r="BJ445" i="1"/>
  <c r="BK445" i="1"/>
  <c r="BL445" i="1"/>
  <c r="AX446" i="1"/>
  <c r="AY446" i="1"/>
  <c r="AZ446" i="1"/>
  <c r="BA446" i="1"/>
  <c r="BB446" i="1"/>
  <c r="BC446" i="1"/>
  <c r="BD446" i="1"/>
  <c r="BE446" i="1"/>
  <c r="BF446" i="1"/>
  <c r="BG446" i="1"/>
  <c r="BH446" i="1"/>
  <c r="BI446" i="1"/>
  <c r="BJ446" i="1"/>
  <c r="BK446" i="1"/>
  <c r="BL446" i="1"/>
  <c r="AX447" i="1"/>
  <c r="AY447" i="1"/>
  <c r="AZ447" i="1"/>
  <c r="BA447" i="1"/>
  <c r="BB447" i="1"/>
  <c r="BC447" i="1"/>
  <c r="BD447" i="1"/>
  <c r="BE447" i="1"/>
  <c r="BF447" i="1"/>
  <c r="BG447" i="1"/>
  <c r="BH447" i="1"/>
  <c r="BI447" i="1"/>
  <c r="BJ447" i="1"/>
  <c r="BK447" i="1"/>
  <c r="BL447" i="1"/>
  <c r="AX448" i="1"/>
  <c r="AY448" i="1"/>
  <c r="AZ448" i="1"/>
  <c r="BA448" i="1"/>
  <c r="BB448" i="1"/>
  <c r="BC448" i="1"/>
  <c r="BD448" i="1"/>
  <c r="BE448" i="1"/>
  <c r="BF448" i="1"/>
  <c r="BG448" i="1"/>
  <c r="BH448" i="1"/>
  <c r="BI448" i="1"/>
  <c r="BJ448" i="1"/>
  <c r="BK448" i="1"/>
  <c r="BL448" i="1"/>
  <c r="AX449" i="1"/>
  <c r="AY449" i="1"/>
  <c r="AZ449" i="1"/>
  <c r="BA449" i="1"/>
  <c r="BB449" i="1"/>
  <c r="BC449" i="1"/>
  <c r="BD449" i="1"/>
  <c r="BE449" i="1"/>
  <c r="BF449" i="1"/>
  <c r="BG449" i="1"/>
  <c r="BH449" i="1"/>
  <c r="BI449" i="1"/>
  <c r="BJ449" i="1"/>
  <c r="BK449" i="1"/>
  <c r="BL449" i="1"/>
  <c r="AX450" i="1"/>
  <c r="AY450" i="1"/>
  <c r="AZ450" i="1"/>
  <c r="BA450" i="1"/>
  <c r="BB450" i="1"/>
  <c r="BC450" i="1"/>
  <c r="BD450" i="1"/>
  <c r="BE450" i="1"/>
  <c r="BF450" i="1"/>
  <c r="BG450" i="1"/>
  <c r="BH450" i="1"/>
  <c r="BI450" i="1"/>
  <c r="BJ450" i="1"/>
  <c r="BK450" i="1"/>
  <c r="BL450" i="1"/>
  <c r="AX451" i="1"/>
  <c r="AY451" i="1"/>
  <c r="AZ451" i="1"/>
  <c r="BA451" i="1"/>
  <c r="BB451" i="1"/>
  <c r="BC451" i="1"/>
  <c r="BD451" i="1"/>
  <c r="BE451" i="1"/>
  <c r="BF451" i="1"/>
  <c r="BG451" i="1"/>
  <c r="BH451" i="1"/>
  <c r="BI451" i="1"/>
  <c r="BJ451" i="1"/>
  <c r="BK451" i="1"/>
  <c r="BL451" i="1"/>
  <c r="AX452" i="1"/>
  <c r="AY452" i="1"/>
  <c r="AZ452" i="1"/>
  <c r="BA452" i="1"/>
  <c r="BB452" i="1"/>
  <c r="BC452" i="1"/>
  <c r="BD452" i="1"/>
  <c r="BE452" i="1"/>
  <c r="BF452" i="1"/>
  <c r="BG452" i="1"/>
  <c r="BH452" i="1"/>
  <c r="BI452" i="1"/>
  <c r="BJ452" i="1"/>
  <c r="BK452" i="1"/>
  <c r="BL452" i="1"/>
  <c r="AX453" i="1"/>
  <c r="AY453" i="1"/>
  <c r="AZ453" i="1"/>
  <c r="BA453" i="1"/>
  <c r="BB453" i="1"/>
  <c r="BC453" i="1"/>
  <c r="BD453" i="1"/>
  <c r="BE453" i="1"/>
  <c r="BF453" i="1"/>
  <c r="BG453" i="1"/>
  <c r="BH453" i="1"/>
  <c r="BI453" i="1"/>
  <c r="BJ453" i="1"/>
  <c r="BK453" i="1"/>
  <c r="BL453" i="1"/>
  <c r="AX454" i="1"/>
  <c r="AY454" i="1"/>
  <c r="AZ454" i="1"/>
  <c r="BA454" i="1"/>
  <c r="BB454" i="1"/>
  <c r="BC454" i="1"/>
  <c r="BD454" i="1"/>
  <c r="BE454" i="1"/>
  <c r="BF454" i="1"/>
  <c r="BG454" i="1"/>
  <c r="BH454" i="1"/>
  <c r="BI454" i="1"/>
  <c r="BJ454" i="1"/>
  <c r="BK454" i="1"/>
  <c r="BL454" i="1"/>
  <c r="AX455" i="1"/>
  <c r="AY455" i="1"/>
  <c r="AZ455" i="1"/>
  <c r="BA455" i="1"/>
  <c r="BB455" i="1"/>
  <c r="BC455" i="1"/>
  <c r="BD455" i="1"/>
  <c r="BE455" i="1"/>
  <c r="BF455" i="1"/>
  <c r="BG455" i="1"/>
  <c r="BH455" i="1"/>
  <c r="BI455" i="1"/>
  <c r="BJ455" i="1"/>
  <c r="BK455" i="1"/>
  <c r="BL455" i="1"/>
  <c r="AX456" i="1"/>
  <c r="AY456" i="1"/>
  <c r="AZ456" i="1"/>
  <c r="BA456" i="1"/>
  <c r="BB456" i="1"/>
  <c r="BC456" i="1"/>
  <c r="BD456" i="1"/>
  <c r="BE456" i="1"/>
  <c r="BF456" i="1"/>
  <c r="BG456" i="1"/>
  <c r="BH456" i="1"/>
  <c r="BI456" i="1"/>
  <c r="BJ456" i="1"/>
  <c r="BK456" i="1"/>
  <c r="BL456" i="1"/>
  <c r="AX457" i="1"/>
  <c r="AY457" i="1"/>
  <c r="AZ457" i="1"/>
  <c r="BA457" i="1"/>
  <c r="BB457" i="1"/>
  <c r="BC457" i="1"/>
  <c r="BD457" i="1"/>
  <c r="BE457" i="1"/>
  <c r="BF457" i="1"/>
  <c r="BG457" i="1"/>
  <c r="BH457" i="1"/>
  <c r="BI457" i="1"/>
  <c r="BJ457" i="1"/>
  <c r="BK457" i="1"/>
  <c r="BL457" i="1"/>
  <c r="AX458" i="1"/>
  <c r="AY458" i="1"/>
  <c r="AZ458" i="1"/>
  <c r="BA458" i="1"/>
  <c r="BB458" i="1"/>
  <c r="BC458" i="1"/>
  <c r="BD458" i="1"/>
  <c r="BE458" i="1"/>
  <c r="BF458" i="1"/>
  <c r="BG458" i="1"/>
  <c r="BH458" i="1"/>
  <c r="BI458" i="1"/>
  <c r="BJ458" i="1"/>
  <c r="BK458" i="1"/>
  <c r="BL458" i="1"/>
  <c r="AX459" i="1"/>
  <c r="AY459" i="1"/>
  <c r="AZ459" i="1"/>
  <c r="BA459" i="1"/>
  <c r="BB459" i="1"/>
  <c r="BC459" i="1"/>
  <c r="BD459" i="1"/>
  <c r="BE459" i="1"/>
  <c r="BF459" i="1"/>
  <c r="BG459" i="1"/>
  <c r="BH459" i="1"/>
  <c r="BI459" i="1"/>
  <c r="BJ459" i="1"/>
  <c r="BK459" i="1"/>
  <c r="BL459" i="1"/>
  <c r="AX460" i="1"/>
  <c r="AY460" i="1"/>
  <c r="AZ460" i="1"/>
  <c r="BA460" i="1"/>
  <c r="BB460" i="1"/>
  <c r="BC460" i="1"/>
  <c r="BD460" i="1"/>
  <c r="BE460" i="1"/>
  <c r="BF460" i="1"/>
  <c r="BG460" i="1"/>
  <c r="BH460" i="1"/>
  <c r="BI460" i="1"/>
  <c r="BJ460" i="1"/>
  <c r="BK460" i="1"/>
  <c r="BL460" i="1"/>
  <c r="AX461" i="1"/>
  <c r="AY461" i="1"/>
  <c r="AZ461" i="1"/>
  <c r="BA461" i="1"/>
  <c r="BB461" i="1"/>
  <c r="BC461" i="1"/>
  <c r="BD461" i="1"/>
  <c r="BE461" i="1"/>
  <c r="BF461" i="1"/>
  <c r="BG461" i="1"/>
  <c r="BH461" i="1"/>
  <c r="BI461" i="1"/>
  <c r="BJ461" i="1"/>
  <c r="BK461" i="1"/>
  <c r="BL461" i="1"/>
  <c r="AX462" i="1"/>
  <c r="AY462" i="1"/>
  <c r="AZ462" i="1"/>
  <c r="BA462" i="1"/>
  <c r="BB462" i="1"/>
  <c r="BC462" i="1"/>
  <c r="BD462" i="1"/>
  <c r="BE462" i="1"/>
  <c r="BF462" i="1"/>
  <c r="BG462" i="1"/>
  <c r="BH462" i="1"/>
  <c r="BI462" i="1"/>
  <c r="BJ462" i="1"/>
  <c r="BK462" i="1"/>
  <c r="BL462" i="1"/>
  <c r="AX463" i="1"/>
  <c r="AY463" i="1"/>
  <c r="AZ463" i="1"/>
  <c r="BA463" i="1"/>
  <c r="BB463" i="1"/>
  <c r="BC463" i="1"/>
  <c r="BD463" i="1"/>
  <c r="BE463" i="1"/>
  <c r="BF463" i="1"/>
  <c r="BG463" i="1"/>
  <c r="BH463" i="1"/>
  <c r="BI463" i="1"/>
  <c r="BJ463" i="1"/>
  <c r="BK463" i="1"/>
  <c r="BL463" i="1"/>
  <c r="AX464" i="1"/>
  <c r="AY464" i="1"/>
  <c r="AZ464" i="1"/>
  <c r="BA464" i="1"/>
  <c r="BB464" i="1"/>
  <c r="BC464" i="1"/>
  <c r="BD464" i="1"/>
  <c r="BE464" i="1"/>
  <c r="BF464" i="1"/>
  <c r="BG464" i="1"/>
  <c r="BH464" i="1"/>
  <c r="BI464" i="1"/>
  <c r="BJ464" i="1"/>
  <c r="BK464" i="1"/>
  <c r="BL464" i="1"/>
  <c r="AX465" i="1"/>
  <c r="AY465" i="1"/>
  <c r="AZ465" i="1"/>
  <c r="BA465" i="1"/>
  <c r="BB465" i="1"/>
  <c r="BC465" i="1"/>
  <c r="BD465" i="1"/>
  <c r="BE465" i="1"/>
  <c r="BF465" i="1"/>
  <c r="BG465" i="1"/>
  <c r="BH465" i="1"/>
  <c r="BI465" i="1"/>
  <c r="BJ465" i="1"/>
  <c r="BK465" i="1"/>
  <c r="BL465" i="1"/>
  <c r="AX466" i="1"/>
  <c r="AY466" i="1"/>
  <c r="AZ466" i="1"/>
  <c r="BA466" i="1"/>
  <c r="BB466" i="1"/>
  <c r="BC466" i="1"/>
  <c r="BD466" i="1"/>
  <c r="BE466" i="1"/>
  <c r="BF466" i="1"/>
  <c r="BG466" i="1"/>
  <c r="BH466" i="1"/>
  <c r="BI466" i="1"/>
  <c r="BJ466" i="1"/>
  <c r="BK466" i="1"/>
  <c r="BL466" i="1"/>
  <c r="AX467" i="1"/>
  <c r="AY467" i="1"/>
  <c r="AZ467" i="1"/>
  <c r="BA467" i="1"/>
  <c r="BB467" i="1"/>
  <c r="BC467" i="1"/>
  <c r="BD467" i="1"/>
  <c r="BE467" i="1"/>
  <c r="BF467" i="1"/>
  <c r="BG467" i="1"/>
  <c r="BH467" i="1"/>
  <c r="BI467" i="1"/>
  <c r="BJ467" i="1"/>
  <c r="BK467" i="1"/>
  <c r="BL467" i="1"/>
  <c r="AX468" i="1"/>
  <c r="AY468" i="1"/>
  <c r="AZ468" i="1"/>
  <c r="BA468" i="1"/>
  <c r="BB468" i="1"/>
  <c r="BC468" i="1"/>
  <c r="BD468" i="1"/>
  <c r="BE468" i="1"/>
  <c r="BF468" i="1"/>
  <c r="BG468" i="1"/>
  <c r="BH468" i="1"/>
  <c r="BI468" i="1"/>
  <c r="BJ468" i="1"/>
  <c r="BK468" i="1"/>
  <c r="BL468" i="1"/>
  <c r="AX469" i="1"/>
  <c r="AY469" i="1"/>
  <c r="AZ469" i="1"/>
  <c r="BA469" i="1"/>
  <c r="BB469" i="1"/>
  <c r="BC469" i="1"/>
  <c r="BD469" i="1"/>
  <c r="BE469" i="1"/>
  <c r="BF469" i="1"/>
  <c r="BG469" i="1"/>
  <c r="BH469" i="1"/>
  <c r="BI469" i="1"/>
  <c r="BJ469" i="1"/>
  <c r="BK469" i="1"/>
  <c r="BL469" i="1"/>
  <c r="AX470" i="1"/>
  <c r="AY470" i="1"/>
  <c r="AZ470" i="1"/>
  <c r="BA470" i="1"/>
  <c r="BB470" i="1"/>
  <c r="BC470" i="1"/>
  <c r="BD470" i="1"/>
  <c r="BE470" i="1"/>
  <c r="BF470" i="1"/>
  <c r="BG470" i="1"/>
  <c r="BH470" i="1"/>
  <c r="BI470" i="1"/>
  <c r="BJ470" i="1"/>
  <c r="BK470" i="1"/>
  <c r="BL470" i="1"/>
  <c r="AX471" i="1"/>
  <c r="AY471" i="1"/>
  <c r="AZ471" i="1"/>
  <c r="BA471" i="1"/>
  <c r="BB471" i="1"/>
  <c r="BC471" i="1"/>
  <c r="BD471" i="1"/>
  <c r="BE471" i="1"/>
  <c r="BF471" i="1"/>
  <c r="BG471" i="1"/>
  <c r="BH471" i="1"/>
  <c r="BI471" i="1"/>
  <c r="BJ471" i="1"/>
  <c r="BK471" i="1"/>
  <c r="BL471" i="1"/>
  <c r="AX472" i="1"/>
  <c r="AY472" i="1"/>
  <c r="AZ472" i="1"/>
  <c r="BA472" i="1"/>
  <c r="BB472" i="1"/>
  <c r="BC472" i="1"/>
  <c r="BD472" i="1"/>
  <c r="BE472" i="1"/>
  <c r="BF472" i="1"/>
  <c r="BG472" i="1"/>
  <c r="BH472" i="1"/>
  <c r="BI472" i="1"/>
  <c r="BJ472" i="1"/>
  <c r="BK472" i="1"/>
  <c r="BL472" i="1"/>
  <c r="AX473" i="1"/>
  <c r="AY473" i="1"/>
  <c r="AZ473" i="1"/>
  <c r="BA473" i="1"/>
  <c r="BB473" i="1"/>
  <c r="BC473" i="1"/>
  <c r="BD473" i="1"/>
  <c r="BE473" i="1"/>
  <c r="BF473" i="1"/>
  <c r="BG473" i="1"/>
  <c r="BH473" i="1"/>
  <c r="BI473" i="1"/>
  <c r="BJ473" i="1"/>
  <c r="BK473" i="1"/>
  <c r="BL473" i="1"/>
  <c r="AX474" i="1"/>
  <c r="AY474" i="1"/>
  <c r="AZ474" i="1"/>
  <c r="BA474" i="1"/>
  <c r="BB474" i="1"/>
  <c r="BC474" i="1"/>
  <c r="BD474" i="1"/>
  <c r="BE474" i="1"/>
  <c r="BF474" i="1"/>
  <c r="BG474" i="1"/>
  <c r="BH474" i="1"/>
  <c r="BI474" i="1"/>
  <c r="BJ474" i="1"/>
  <c r="BK474" i="1"/>
  <c r="BL474" i="1"/>
  <c r="AX475" i="1"/>
  <c r="AY475" i="1"/>
  <c r="AZ475" i="1"/>
  <c r="BA475" i="1"/>
  <c r="BB475" i="1"/>
  <c r="BC475" i="1"/>
  <c r="BD475" i="1"/>
  <c r="BE475" i="1"/>
  <c r="BF475" i="1"/>
  <c r="BG475" i="1"/>
  <c r="BH475" i="1"/>
  <c r="BI475" i="1"/>
  <c r="BJ475" i="1"/>
  <c r="BK475" i="1"/>
  <c r="BL475" i="1"/>
  <c r="AX476" i="1"/>
  <c r="AY476" i="1"/>
  <c r="AZ476" i="1"/>
  <c r="BA476" i="1"/>
  <c r="BB476" i="1"/>
  <c r="BC476" i="1"/>
  <c r="BD476" i="1"/>
  <c r="BE476" i="1"/>
  <c r="BF476" i="1"/>
  <c r="BG476" i="1"/>
  <c r="BH476" i="1"/>
  <c r="BI476" i="1"/>
  <c r="BJ476" i="1"/>
  <c r="BK476" i="1"/>
  <c r="BL476" i="1"/>
  <c r="AX477" i="1"/>
  <c r="AY477" i="1"/>
  <c r="AZ477" i="1"/>
  <c r="BA477" i="1"/>
  <c r="BB477" i="1"/>
  <c r="BC477" i="1"/>
  <c r="BD477" i="1"/>
  <c r="BE477" i="1"/>
  <c r="BF477" i="1"/>
  <c r="BG477" i="1"/>
  <c r="BH477" i="1"/>
  <c r="BI477" i="1"/>
  <c r="BJ477" i="1"/>
  <c r="BK477" i="1"/>
  <c r="BL477" i="1"/>
  <c r="AX478" i="1"/>
  <c r="AY478" i="1"/>
  <c r="AZ478" i="1"/>
  <c r="BA478" i="1"/>
  <c r="BB478" i="1"/>
  <c r="BC478" i="1"/>
  <c r="BD478" i="1"/>
  <c r="BE478" i="1"/>
  <c r="BF478" i="1"/>
  <c r="BG478" i="1"/>
  <c r="BH478" i="1"/>
  <c r="BI478" i="1"/>
  <c r="BJ478" i="1"/>
  <c r="BK478" i="1"/>
  <c r="BL478" i="1"/>
  <c r="AX479" i="1"/>
  <c r="AY479" i="1"/>
  <c r="AZ479" i="1"/>
  <c r="BA479" i="1"/>
  <c r="BB479" i="1"/>
  <c r="BC479" i="1"/>
  <c r="BD479" i="1"/>
  <c r="BE479" i="1"/>
  <c r="BF479" i="1"/>
  <c r="BG479" i="1"/>
  <c r="BH479" i="1"/>
  <c r="BI479" i="1"/>
  <c r="BJ479" i="1"/>
  <c r="BK479" i="1"/>
  <c r="BL479" i="1"/>
  <c r="AX480" i="1"/>
  <c r="AY480" i="1"/>
  <c r="AZ480" i="1"/>
  <c r="BA480" i="1"/>
  <c r="BB480" i="1"/>
  <c r="BC480" i="1"/>
  <c r="BD480" i="1"/>
  <c r="BE480" i="1"/>
  <c r="BF480" i="1"/>
  <c r="BG480" i="1"/>
  <c r="BH480" i="1"/>
  <c r="BI480" i="1"/>
  <c r="BJ480" i="1"/>
  <c r="BK480" i="1"/>
  <c r="BL480" i="1"/>
  <c r="AX481" i="1"/>
  <c r="AY481" i="1"/>
  <c r="AZ481" i="1"/>
  <c r="BA481" i="1"/>
  <c r="BB481" i="1"/>
  <c r="BC481" i="1"/>
  <c r="BD481" i="1"/>
  <c r="BE481" i="1"/>
  <c r="BF481" i="1"/>
  <c r="BG481" i="1"/>
  <c r="BH481" i="1"/>
  <c r="BI481" i="1"/>
  <c r="BJ481" i="1"/>
  <c r="BK481" i="1"/>
  <c r="BL481" i="1"/>
  <c r="AX482" i="1"/>
  <c r="AY482" i="1"/>
  <c r="AZ482" i="1"/>
  <c r="BA482" i="1"/>
  <c r="BB482" i="1"/>
  <c r="BC482" i="1"/>
  <c r="BD482" i="1"/>
  <c r="BE482" i="1"/>
  <c r="BF482" i="1"/>
  <c r="BG482" i="1"/>
  <c r="BH482" i="1"/>
  <c r="BI482" i="1"/>
  <c r="BJ482" i="1"/>
  <c r="BK482" i="1"/>
  <c r="BL482" i="1"/>
  <c r="AX483" i="1"/>
  <c r="AY483" i="1"/>
  <c r="AZ483" i="1"/>
  <c r="BA483" i="1"/>
  <c r="BB483" i="1"/>
  <c r="BC483" i="1"/>
  <c r="BD483" i="1"/>
  <c r="BE483" i="1"/>
  <c r="BF483" i="1"/>
  <c r="BG483" i="1"/>
  <c r="BH483" i="1"/>
  <c r="BI483" i="1"/>
  <c r="BJ483" i="1"/>
  <c r="BK483" i="1"/>
  <c r="BL483" i="1"/>
  <c r="AX484" i="1"/>
  <c r="AY484" i="1"/>
  <c r="AZ484" i="1"/>
  <c r="BA484" i="1"/>
  <c r="BB484" i="1"/>
  <c r="BC484" i="1"/>
  <c r="BD484" i="1"/>
  <c r="BE484" i="1"/>
  <c r="BF484" i="1"/>
  <c r="BG484" i="1"/>
  <c r="BH484" i="1"/>
  <c r="BI484" i="1"/>
  <c r="BJ484" i="1"/>
  <c r="BK484" i="1"/>
  <c r="BL484" i="1"/>
  <c r="AX485" i="1"/>
  <c r="AY485" i="1"/>
  <c r="AZ485" i="1"/>
  <c r="BA485" i="1"/>
  <c r="BB485" i="1"/>
  <c r="BC485" i="1"/>
  <c r="BD485" i="1"/>
  <c r="BE485" i="1"/>
  <c r="BF485" i="1"/>
  <c r="BG485" i="1"/>
  <c r="BH485" i="1"/>
  <c r="BI485" i="1"/>
  <c r="BJ485" i="1"/>
  <c r="BK485" i="1"/>
  <c r="BL485" i="1"/>
  <c r="AX486" i="1"/>
  <c r="AY486" i="1"/>
  <c r="AZ486" i="1"/>
  <c r="BA486" i="1"/>
  <c r="BB486" i="1"/>
  <c r="BC486" i="1"/>
  <c r="BD486" i="1"/>
  <c r="BE486" i="1"/>
  <c r="BF486" i="1"/>
  <c r="BG486" i="1"/>
  <c r="BH486" i="1"/>
  <c r="BI486" i="1"/>
  <c r="BJ486" i="1"/>
  <c r="BK486" i="1"/>
  <c r="BL486" i="1"/>
  <c r="AX487" i="1"/>
  <c r="AY487" i="1"/>
  <c r="AZ487" i="1"/>
  <c r="BA487" i="1"/>
  <c r="BB487" i="1"/>
  <c r="BC487" i="1"/>
  <c r="BD487" i="1"/>
  <c r="BE487" i="1"/>
  <c r="BF487" i="1"/>
  <c r="BG487" i="1"/>
  <c r="BH487" i="1"/>
  <c r="BI487" i="1"/>
  <c r="BJ487" i="1"/>
  <c r="BK487" i="1"/>
  <c r="BL487" i="1"/>
  <c r="AX488" i="1"/>
  <c r="AY488" i="1"/>
  <c r="AZ488" i="1"/>
  <c r="BA488" i="1"/>
  <c r="BB488" i="1"/>
  <c r="BC488" i="1"/>
  <c r="BD488" i="1"/>
  <c r="BE488" i="1"/>
  <c r="BF488" i="1"/>
  <c r="BG488" i="1"/>
  <c r="BH488" i="1"/>
  <c r="BI488" i="1"/>
  <c r="BJ488" i="1"/>
  <c r="BK488" i="1"/>
  <c r="BL488" i="1"/>
  <c r="AX489" i="1"/>
  <c r="AY489" i="1"/>
  <c r="AZ489" i="1"/>
  <c r="BA489" i="1"/>
  <c r="BB489" i="1"/>
  <c r="BC489" i="1"/>
  <c r="BD489" i="1"/>
  <c r="BE489" i="1"/>
  <c r="BF489" i="1"/>
  <c r="BG489" i="1"/>
  <c r="BH489" i="1"/>
  <c r="BI489" i="1"/>
  <c r="BJ489" i="1"/>
  <c r="BK489" i="1"/>
  <c r="BL489" i="1"/>
  <c r="AX490" i="1"/>
  <c r="AY490" i="1"/>
  <c r="AZ490" i="1"/>
  <c r="BA490" i="1"/>
  <c r="BB490" i="1"/>
  <c r="BC490" i="1"/>
  <c r="BD490" i="1"/>
  <c r="BE490" i="1"/>
  <c r="BF490" i="1"/>
  <c r="BG490" i="1"/>
  <c r="BH490" i="1"/>
  <c r="BI490" i="1"/>
  <c r="BJ490" i="1"/>
  <c r="BK490" i="1"/>
  <c r="BL490" i="1"/>
  <c r="AX491" i="1"/>
  <c r="AY491" i="1"/>
  <c r="AZ491" i="1"/>
  <c r="BA491" i="1"/>
  <c r="BB491" i="1"/>
  <c r="BC491" i="1"/>
  <c r="BD491" i="1"/>
  <c r="BE491" i="1"/>
  <c r="BF491" i="1"/>
  <c r="BG491" i="1"/>
  <c r="BH491" i="1"/>
  <c r="BI491" i="1"/>
  <c r="BJ491" i="1"/>
  <c r="BK491" i="1"/>
  <c r="BL491" i="1"/>
  <c r="AX492" i="1"/>
  <c r="AY492" i="1"/>
  <c r="AZ492" i="1"/>
  <c r="BA492" i="1"/>
  <c r="BB492" i="1"/>
  <c r="BC492" i="1"/>
  <c r="BD492" i="1"/>
  <c r="BE492" i="1"/>
  <c r="BF492" i="1"/>
  <c r="BG492" i="1"/>
  <c r="BH492" i="1"/>
  <c r="BI492" i="1"/>
  <c r="BJ492" i="1"/>
  <c r="BK492" i="1"/>
  <c r="BL492" i="1"/>
  <c r="AX493" i="1"/>
  <c r="AY493" i="1"/>
  <c r="AZ493" i="1"/>
  <c r="BA493" i="1"/>
  <c r="BB493" i="1"/>
  <c r="BC493" i="1"/>
  <c r="BD493" i="1"/>
  <c r="BE493" i="1"/>
  <c r="BF493" i="1"/>
  <c r="BG493" i="1"/>
  <c r="BH493" i="1"/>
  <c r="BI493" i="1"/>
  <c r="BJ493" i="1"/>
  <c r="BK493" i="1"/>
  <c r="BL493" i="1"/>
  <c r="AX494" i="1"/>
  <c r="AY494" i="1"/>
  <c r="AZ494" i="1"/>
  <c r="BA494" i="1"/>
  <c r="BB494" i="1"/>
  <c r="BC494" i="1"/>
  <c r="BD494" i="1"/>
  <c r="BE494" i="1"/>
  <c r="BF494" i="1"/>
  <c r="BG494" i="1"/>
  <c r="BH494" i="1"/>
  <c r="BI494" i="1"/>
  <c r="BJ494" i="1"/>
  <c r="BK494" i="1"/>
  <c r="BL494" i="1"/>
  <c r="AX495" i="1"/>
  <c r="AY495" i="1"/>
  <c r="AZ495" i="1"/>
  <c r="BA495" i="1"/>
  <c r="BB495" i="1"/>
  <c r="BC495" i="1"/>
  <c r="BD495" i="1"/>
  <c r="BE495" i="1"/>
  <c r="BF495" i="1"/>
  <c r="BG495" i="1"/>
  <c r="BH495" i="1"/>
  <c r="BI495" i="1"/>
  <c r="BJ495" i="1"/>
  <c r="BK495" i="1"/>
  <c r="BL495" i="1"/>
  <c r="AX496" i="1"/>
  <c r="AY496" i="1"/>
  <c r="AZ496" i="1"/>
  <c r="BA496" i="1"/>
  <c r="BB496" i="1"/>
  <c r="BC496" i="1"/>
  <c r="BD496" i="1"/>
  <c r="BE496" i="1"/>
  <c r="BF496" i="1"/>
  <c r="BG496" i="1"/>
  <c r="BH496" i="1"/>
  <c r="BI496" i="1"/>
  <c r="BJ496" i="1"/>
  <c r="BK496" i="1"/>
  <c r="BL496" i="1"/>
  <c r="AX497" i="1"/>
  <c r="AY497" i="1"/>
  <c r="AZ497" i="1"/>
  <c r="BA497" i="1"/>
  <c r="BB497" i="1"/>
  <c r="BC497" i="1"/>
  <c r="BD497" i="1"/>
  <c r="BE497" i="1"/>
  <c r="BF497" i="1"/>
  <c r="BG497" i="1"/>
  <c r="BH497" i="1"/>
  <c r="BI497" i="1"/>
  <c r="BJ497" i="1"/>
  <c r="BK497" i="1"/>
  <c r="BL497" i="1"/>
  <c r="AX498" i="1"/>
  <c r="AY498" i="1"/>
  <c r="AZ498" i="1"/>
  <c r="BA498" i="1"/>
  <c r="BB498" i="1"/>
  <c r="BC498" i="1"/>
  <c r="BD498" i="1"/>
  <c r="BE498" i="1"/>
  <c r="BF498" i="1"/>
  <c r="BG498" i="1"/>
  <c r="BH498" i="1"/>
  <c r="BI498" i="1"/>
  <c r="BJ498" i="1"/>
  <c r="BK498" i="1"/>
  <c r="BL498" i="1"/>
  <c r="AX499" i="1"/>
  <c r="AY499" i="1"/>
  <c r="AZ499" i="1"/>
  <c r="BA499" i="1"/>
  <c r="BB499" i="1"/>
  <c r="BC499" i="1"/>
  <c r="BD499" i="1"/>
  <c r="BE499" i="1"/>
  <c r="BF499" i="1"/>
  <c r="BG499" i="1"/>
  <c r="BH499" i="1"/>
  <c r="BI499" i="1"/>
  <c r="BJ499" i="1"/>
  <c r="BK499" i="1"/>
  <c r="BL499" i="1"/>
  <c r="AX500" i="1"/>
  <c r="AY500" i="1"/>
  <c r="AZ500" i="1"/>
  <c r="BA500" i="1"/>
  <c r="BB500" i="1"/>
  <c r="BC500" i="1"/>
  <c r="BD500" i="1"/>
  <c r="BE500" i="1"/>
  <c r="BF500" i="1"/>
  <c r="BG500" i="1"/>
  <c r="BH500" i="1"/>
  <c r="BI500" i="1"/>
  <c r="BJ500" i="1"/>
  <c r="BK500" i="1"/>
  <c r="BL500" i="1"/>
  <c r="AX501" i="1"/>
  <c r="AY501" i="1"/>
  <c r="AZ501" i="1"/>
  <c r="BA501" i="1"/>
  <c r="BB501" i="1"/>
  <c r="BC501" i="1"/>
  <c r="BD501" i="1"/>
  <c r="BE501" i="1"/>
  <c r="BF501" i="1"/>
  <c r="BG501" i="1"/>
  <c r="BH501" i="1"/>
  <c r="BI501" i="1"/>
  <c r="BJ501" i="1"/>
  <c r="BK501" i="1"/>
  <c r="BL501" i="1"/>
  <c r="AX502" i="1"/>
  <c r="AY502" i="1"/>
  <c r="AZ502" i="1"/>
  <c r="BA502" i="1"/>
  <c r="BB502" i="1"/>
  <c r="BC502" i="1"/>
  <c r="BD502" i="1"/>
  <c r="BE502" i="1"/>
  <c r="BF502" i="1"/>
  <c r="BG502" i="1"/>
  <c r="BH502" i="1"/>
  <c r="BI502" i="1"/>
  <c r="BJ502" i="1"/>
  <c r="BK502" i="1"/>
  <c r="BL502" i="1"/>
  <c r="AX503" i="1"/>
  <c r="AY503" i="1"/>
  <c r="AZ503" i="1"/>
  <c r="BA503" i="1"/>
  <c r="BB503" i="1"/>
  <c r="BC503" i="1"/>
  <c r="BD503" i="1"/>
  <c r="BE503" i="1"/>
  <c r="BF503" i="1"/>
  <c r="BG503" i="1"/>
  <c r="BH503" i="1"/>
  <c r="BI503" i="1"/>
  <c r="BJ503" i="1"/>
  <c r="BK503" i="1"/>
  <c r="BL503" i="1"/>
  <c r="AX504" i="1"/>
  <c r="AY504" i="1"/>
  <c r="AZ504" i="1"/>
  <c r="BA504" i="1"/>
  <c r="BB504" i="1"/>
  <c r="BC504" i="1"/>
  <c r="BD504" i="1"/>
  <c r="BE504" i="1"/>
  <c r="BF504" i="1"/>
  <c r="BG504" i="1"/>
  <c r="BH504" i="1"/>
  <c r="BI504" i="1"/>
  <c r="BJ504" i="1"/>
  <c r="BK504" i="1"/>
  <c r="BL504" i="1"/>
  <c r="AX505" i="1"/>
  <c r="AY505" i="1"/>
  <c r="AZ505" i="1"/>
  <c r="BA505" i="1"/>
  <c r="BB505" i="1"/>
  <c r="BC505" i="1"/>
  <c r="BD505" i="1"/>
  <c r="BE505" i="1"/>
  <c r="BF505" i="1"/>
  <c r="BG505" i="1"/>
  <c r="BH505" i="1"/>
  <c r="BI505" i="1"/>
  <c r="BJ505" i="1"/>
  <c r="BK505" i="1"/>
  <c r="BL505" i="1"/>
  <c r="AX506" i="1"/>
  <c r="AY506" i="1"/>
  <c r="AZ506" i="1"/>
  <c r="BA506" i="1"/>
  <c r="BB506" i="1"/>
  <c r="BC506" i="1"/>
  <c r="BD506" i="1"/>
  <c r="BE506" i="1"/>
  <c r="BF506" i="1"/>
  <c r="BG506" i="1"/>
  <c r="BH506" i="1"/>
  <c r="BI506" i="1"/>
  <c r="BJ506" i="1"/>
  <c r="BK506" i="1"/>
  <c r="BL506" i="1"/>
  <c r="AX507" i="1"/>
  <c r="AY507" i="1"/>
  <c r="AZ507" i="1"/>
  <c r="BA507" i="1"/>
  <c r="BB507" i="1"/>
  <c r="BC507" i="1"/>
  <c r="BD507" i="1"/>
  <c r="BE507" i="1"/>
  <c r="BF507" i="1"/>
  <c r="BG507" i="1"/>
  <c r="BH507" i="1"/>
  <c r="BI507" i="1"/>
  <c r="BJ507" i="1"/>
  <c r="BK507" i="1"/>
  <c r="BL507" i="1"/>
  <c r="AX508" i="1"/>
  <c r="AY508" i="1"/>
  <c r="AZ508" i="1"/>
  <c r="BA508" i="1"/>
  <c r="BB508" i="1"/>
  <c r="BC508" i="1"/>
  <c r="BD508" i="1"/>
  <c r="BE508" i="1"/>
  <c r="BF508" i="1"/>
  <c r="BG508" i="1"/>
  <c r="BH508" i="1"/>
  <c r="BI508" i="1"/>
  <c r="BJ508" i="1"/>
  <c r="BK508" i="1"/>
  <c r="BL508" i="1"/>
  <c r="AX509" i="1"/>
  <c r="AY509" i="1"/>
  <c r="AZ509" i="1"/>
  <c r="BA509" i="1"/>
  <c r="BB509" i="1"/>
  <c r="BC509" i="1"/>
  <c r="BD509" i="1"/>
  <c r="BE509" i="1"/>
  <c r="BF509" i="1"/>
  <c r="BG509" i="1"/>
  <c r="BH509" i="1"/>
  <c r="BI509" i="1"/>
  <c r="BJ509" i="1"/>
  <c r="BK509" i="1"/>
  <c r="BL509" i="1"/>
  <c r="AX510" i="1"/>
  <c r="AY510" i="1"/>
  <c r="AZ510" i="1"/>
  <c r="BA510" i="1"/>
  <c r="BB510" i="1"/>
  <c r="BC510" i="1"/>
  <c r="BD510" i="1"/>
  <c r="BE510" i="1"/>
  <c r="BF510" i="1"/>
  <c r="BG510" i="1"/>
  <c r="BH510" i="1"/>
  <c r="BI510" i="1"/>
  <c r="BJ510" i="1"/>
  <c r="BK510" i="1"/>
  <c r="BL510" i="1"/>
  <c r="AX511" i="1"/>
  <c r="AY511" i="1"/>
  <c r="AZ511" i="1"/>
  <c r="BA511" i="1"/>
  <c r="BB511" i="1"/>
  <c r="BC511" i="1"/>
  <c r="BD511" i="1"/>
  <c r="BE511" i="1"/>
  <c r="BF511" i="1"/>
  <c r="BG511" i="1"/>
  <c r="BH511" i="1"/>
  <c r="BI511" i="1"/>
  <c r="BJ511" i="1"/>
  <c r="BK511" i="1"/>
  <c r="BL511" i="1"/>
  <c r="AX512" i="1"/>
  <c r="AY512" i="1"/>
  <c r="AZ512" i="1"/>
  <c r="BA512" i="1"/>
  <c r="BB512" i="1"/>
  <c r="BC512" i="1"/>
  <c r="BD512" i="1"/>
  <c r="BE512" i="1"/>
  <c r="BF512" i="1"/>
  <c r="BG512" i="1"/>
  <c r="BH512" i="1"/>
  <c r="BI512" i="1"/>
  <c r="BJ512" i="1"/>
  <c r="BK512" i="1"/>
  <c r="BL512" i="1"/>
  <c r="AX513" i="1"/>
  <c r="AY513" i="1"/>
  <c r="AZ513" i="1"/>
  <c r="BA513" i="1"/>
  <c r="BB513" i="1"/>
  <c r="BC513" i="1"/>
  <c r="BD513" i="1"/>
  <c r="BE513" i="1"/>
  <c r="BF513" i="1"/>
  <c r="BG513" i="1"/>
  <c r="BH513" i="1"/>
  <c r="BI513" i="1"/>
  <c r="BJ513" i="1"/>
  <c r="BK513" i="1"/>
  <c r="BL513" i="1"/>
  <c r="AX514" i="1"/>
  <c r="AY514" i="1"/>
  <c r="AZ514" i="1"/>
  <c r="BA514" i="1"/>
  <c r="BB514" i="1"/>
  <c r="BC514" i="1"/>
  <c r="BD514" i="1"/>
  <c r="BE514" i="1"/>
  <c r="BF514" i="1"/>
  <c r="BG514" i="1"/>
  <c r="BH514" i="1"/>
  <c r="BI514" i="1"/>
  <c r="BJ514" i="1"/>
  <c r="BK514" i="1"/>
  <c r="BL514" i="1"/>
  <c r="AX515" i="1"/>
  <c r="AY515" i="1"/>
  <c r="AZ515" i="1"/>
  <c r="BA515" i="1"/>
  <c r="BB515" i="1"/>
  <c r="BC515" i="1"/>
  <c r="BD515" i="1"/>
  <c r="BE515" i="1"/>
  <c r="BF515" i="1"/>
  <c r="BG515" i="1"/>
  <c r="BH515" i="1"/>
  <c r="BI515" i="1"/>
  <c r="BJ515" i="1"/>
  <c r="BK515" i="1"/>
  <c r="BL515" i="1"/>
  <c r="AX516" i="1"/>
  <c r="AY516" i="1"/>
  <c r="AZ516" i="1"/>
  <c r="BA516" i="1"/>
  <c r="BB516" i="1"/>
  <c r="BC516" i="1"/>
  <c r="BD516" i="1"/>
  <c r="BE516" i="1"/>
  <c r="BF516" i="1"/>
  <c r="BG516" i="1"/>
  <c r="BH516" i="1"/>
  <c r="BI516" i="1"/>
  <c r="BJ516" i="1"/>
  <c r="BK516" i="1"/>
  <c r="BL516" i="1"/>
  <c r="AX517" i="1"/>
  <c r="AY517" i="1"/>
  <c r="AZ517" i="1"/>
  <c r="BA517" i="1"/>
  <c r="BB517" i="1"/>
  <c r="BC517" i="1"/>
  <c r="BD517" i="1"/>
  <c r="BE517" i="1"/>
  <c r="BF517" i="1"/>
  <c r="BG517" i="1"/>
  <c r="BH517" i="1"/>
  <c r="BI517" i="1"/>
  <c r="BJ517" i="1"/>
  <c r="BK517" i="1"/>
  <c r="BL517" i="1"/>
  <c r="AX518" i="1"/>
  <c r="AY518" i="1"/>
  <c r="AZ518" i="1"/>
  <c r="BA518" i="1"/>
  <c r="BB518" i="1"/>
  <c r="BC518" i="1"/>
  <c r="BD518" i="1"/>
  <c r="BE518" i="1"/>
  <c r="BF518" i="1"/>
  <c r="BG518" i="1"/>
  <c r="BH518" i="1"/>
  <c r="BI518" i="1"/>
  <c r="BJ518" i="1"/>
  <c r="BK518" i="1"/>
  <c r="BL518" i="1"/>
  <c r="AX519" i="1"/>
  <c r="AY519" i="1"/>
  <c r="AZ519" i="1"/>
  <c r="BA519" i="1"/>
  <c r="BB519" i="1"/>
  <c r="BC519" i="1"/>
  <c r="BD519" i="1"/>
  <c r="BE519" i="1"/>
  <c r="BF519" i="1"/>
  <c r="BG519" i="1"/>
  <c r="BH519" i="1"/>
  <c r="BI519" i="1"/>
  <c r="BJ519" i="1"/>
  <c r="BK519" i="1"/>
  <c r="BL519" i="1"/>
  <c r="AX520" i="1"/>
  <c r="AY520" i="1"/>
  <c r="AZ520" i="1"/>
  <c r="BA520" i="1"/>
  <c r="BB520" i="1"/>
  <c r="BC520" i="1"/>
  <c r="BD520" i="1"/>
  <c r="BE520" i="1"/>
  <c r="BF520" i="1"/>
  <c r="BG520" i="1"/>
  <c r="BH520" i="1"/>
  <c r="BI520" i="1"/>
  <c r="BJ520" i="1"/>
  <c r="BK520" i="1"/>
  <c r="BL520" i="1"/>
  <c r="AX521" i="1"/>
  <c r="AY521" i="1"/>
  <c r="AZ521" i="1"/>
  <c r="BA521" i="1"/>
  <c r="BB521" i="1"/>
  <c r="BC521" i="1"/>
  <c r="BD521" i="1"/>
  <c r="BE521" i="1"/>
  <c r="BF521" i="1"/>
  <c r="BG521" i="1"/>
  <c r="BH521" i="1"/>
  <c r="BI521" i="1"/>
  <c r="BJ521" i="1"/>
  <c r="BK521" i="1"/>
  <c r="BL521" i="1"/>
  <c r="AX522" i="1"/>
  <c r="AY522" i="1"/>
  <c r="AZ522" i="1"/>
  <c r="BA522" i="1"/>
  <c r="BB522" i="1"/>
  <c r="BC522" i="1"/>
  <c r="BD522" i="1"/>
  <c r="BE522" i="1"/>
  <c r="BF522" i="1"/>
  <c r="BG522" i="1"/>
  <c r="BH522" i="1"/>
  <c r="BI522" i="1"/>
  <c r="BJ522" i="1"/>
  <c r="BK522" i="1"/>
  <c r="BL522" i="1"/>
  <c r="AX523" i="1"/>
  <c r="AY523" i="1"/>
  <c r="AZ523" i="1"/>
  <c r="BA523" i="1"/>
  <c r="BB523" i="1"/>
  <c r="BC523" i="1"/>
  <c r="BD523" i="1"/>
  <c r="BE523" i="1"/>
  <c r="BF523" i="1"/>
  <c r="BG523" i="1"/>
  <c r="BH523" i="1"/>
  <c r="BI523" i="1"/>
  <c r="BJ523" i="1"/>
  <c r="BK523" i="1"/>
  <c r="BL523" i="1"/>
  <c r="AX524" i="1"/>
  <c r="AY524" i="1"/>
  <c r="AZ524" i="1"/>
  <c r="BA524" i="1"/>
  <c r="BB524" i="1"/>
  <c r="BC524" i="1"/>
  <c r="BD524" i="1"/>
  <c r="BE524" i="1"/>
  <c r="BF524" i="1"/>
  <c r="BG524" i="1"/>
  <c r="BH524" i="1"/>
  <c r="BI524" i="1"/>
  <c r="BJ524" i="1"/>
  <c r="BK524" i="1"/>
  <c r="BL524" i="1"/>
  <c r="AX525" i="1"/>
  <c r="AY525" i="1"/>
  <c r="AZ525" i="1"/>
  <c r="BA525" i="1"/>
  <c r="BB525" i="1"/>
  <c r="BC525" i="1"/>
  <c r="BD525" i="1"/>
  <c r="BE525" i="1"/>
  <c r="BF525" i="1"/>
  <c r="BG525" i="1"/>
  <c r="BH525" i="1"/>
  <c r="BI525" i="1"/>
  <c r="BJ525" i="1"/>
  <c r="BK525" i="1"/>
  <c r="BL525" i="1"/>
  <c r="AX526" i="1"/>
  <c r="AY526" i="1"/>
  <c r="AZ526" i="1"/>
  <c r="BA526" i="1"/>
  <c r="BB526" i="1"/>
  <c r="BC526" i="1"/>
  <c r="BD526" i="1"/>
  <c r="BE526" i="1"/>
  <c r="BF526" i="1"/>
  <c r="BG526" i="1"/>
  <c r="BH526" i="1"/>
  <c r="BI526" i="1"/>
  <c r="BJ526" i="1"/>
  <c r="BK526" i="1"/>
  <c r="BL526" i="1"/>
  <c r="AX527" i="1"/>
  <c r="AY527" i="1"/>
  <c r="AZ527" i="1"/>
  <c r="BA527" i="1"/>
  <c r="BB527" i="1"/>
  <c r="BC527" i="1"/>
  <c r="BD527" i="1"/>
  <c r="BE527" i="1"/>
  <c r="BF527" i="1"/>
  <c r="BG527" i="1"/>
  <c r="BH527" i="1"/>
  <c r="BI527" i="1"/>
  <c r="BJ527" i="1"/>
  <c r="BK527" i="1"/>
  <c r="BL527" i="1"/>
  <c r="AX528" i="1"/>
  <c r="AY528" i="1"/>
  <c r="AZ528" i="1"/>
  <c r="BA528" i="1"/>
  <c r="BB528" i="1"/>
  <c r="BC528" i="1"/>
  <c r="BD528" i="1"/>
  <c r="BE528" i="1"/>
  <c r="BF528" i="1"/>
  <c r="BG528" i="1"/>
  <c r="BH528" i="1"/>
  <c r="BI528" i="1"/>
  <c r="BJ528" i="1"/>
  <c r="BK528" i="1"/>
  <c r="BL528" i="1"/>
  <c r="AX529" i="1"/>
  <c r="AY529" i="1"/>
  <c r="AZ529" i="1"/>
  <c r="BA529" i="1"/>
  <c r="BB529" i="1"/>
  <c r="BC529" i="1"/>
  <c r="BD529" i="1"/>
  <c r="BE529" i="1"/>
  <c r="BF529" i="1"/>
  <c r="BG529" i="1"/>
  <c r="BH529" i="1"/>
  <c r="BI529" i="1"/>
  <c r="BJ529" i="1"/>
  <c r="BK529" i="1"/>
  <c r="BL529" i="1"/>
  <c r="AX530" i="1"/>
  <c r="AY530" i="1"/>
  <c r="AZ530" i="1"/>
  <c r="BA530" i="1"/>
  <c r="BB530" i="1"/>
  <c r="BC530" i="1"/>
  <c r="BD530" i="1"/>
  <c r="BE530" i="1"/>
  <c r="BF530" i="1"/>
  <c r="BG530" i="1"/>
  <c r="BH530" i="1"/>
  <c r="BI530" i="1"/>
  <c r="BJ530" i="1"/>
  <c r="BK530" i="1"/>
  <c r="BL530" i="1"/>
  <c r="AX531" i="1"/>
  <c r="AY531" i="1"/>
  <c r="AZ531" i="1"/>
  <c r="BA531" i="1"/>
  <c r="BB531" i="1"/>
  <c r="BC531" i="1"/>
  <c r="BD531" i="1"/>
  <c r="BE531" i="1"/>
  <c r="BF531" i="1"/>
  <c r="BG531" i="1"/>
  <c r="BH531" i="1"/>
  <c r="BI531" i="1"/>
  <c r="BJ531" i="1"/>
  <c r="BK531" i="1"/>
  <c r="BL531" i="1"/>
  <c r="AX532" i="1"/>
  <c r="AY532" i="1"/>
  <c r="AZ532" i="1"/>
  <c r="BA532" i="1"/>
  <c r="BB532" i="1"/>
  <c r="BC532" i="1"/>
  <c r="BD532" i="1"/>
  <c r="BE532" i="1"/>
  <c r="BF532" i="1"/>
  <c r="BG532" i="1"/>
  <c r="BH532" i="1"/>
  <c r="BI532" i="1"/>
  <c r="BJ532" i="1"/>
  <c r="BK532" i="1"/>
  <c r="BL532" i="1"/>
  <c r="AX533" i="1"/>
  <c r="AY533" i="1"/>
  <c r="AZ533" i="1"/>
  <c r="BA533" i="1"/>
  <c r="BB533" i="1"/>
  <c r="BC533" i="1"/>
  <c r="BD533" i="1"/>
  <c r="BE533" i="1"/>
  <c r="BF533" i="1"/>
  <c r="BG533" i="1"/>
  <c r="BH533" i="1"/>
  <c r="BI533" i="1"/>
  <c r="BJ533" i="1"/>
  <c r="BK533" i="1"/>
  <c r="BL533" i="1"/>
  <c r="AX534" i="1"/>
  <c r="AY534" i="1"/>
  <c r="AZ534" i="1"/>
  <c r="BA534" i="1"/>
  <c r="BB534" i="1"/>
  <c r="BC534" i="1"/>
  <c r="BD534" i="1"/>
  <c r="BE534" i="1"/>
  <c r="BF534" i="1"/>
  <c r="BG534" i="1"/>
  <c r="BH534" i="1"/>
  <c r="BI534" i="1"/>
  <c r="BJ534" i="1"/>
  <c r="BK534" i="1"/>
  <c r="BL534" i="1"/>
  <c r="AX535" i="1"/>
  <c r="AY535" i="1"/>
  <c r="AZ535" i="1"/>
  <c r="BA535" i="1"/>
  <c r="BB535" i="1"/>
  <c r="BC535" i="1"/>
  <c r="BD535" i="1"/>
  <c r="BE535" i="1"/>
  <c r="BF535" i="1"/>
  <c r="BG535" i="1"/>
  <c r="BH535" i="1"/>
  <c r="BI535" i="1"/>
  <c r="BJ535" i="1"/>
  <c r="BK535" i="1"/>
  <c r="BL535" i="1"/>
  <c r="AX536" i="1"/>
  <c r="AY536" i="1"/>
  <c r="AZ536" i="1"/>
  <c r="BA536" i="1"/>
  <c r="BB536" i="1"/>
  <c r="BC536" i="1"/>
  <c r="BD536" i="1"/>
  <c r="BE536" i="1"/>
  <c r="BF536" i="1"/>
  <c r="BG536" i="1"/>
  <c r="BH536" i="1"/>
  <c r="BI536" i="1"/>
  <c r="BJ536" i="1"/>
  <c r="BK536" i="1"/>
  <c r="BL536" i="1"/>
  <c r="AX537" i="1"/>
  <c r="AY537" i="1"/>
  <c r="AZ537" i="1"/>
  <c r="BA537" i="1"/>
  <c r="BB537" i="1"/>
  <c r="BC537" i="1"/>
  <c r="BD537" i="1"/>
  <c r="BE537" i="1"/>
  <c r="BF537" i="1"/>
  <c r="BG537" i="1"/>
  <c r="BH537" i="1"/>
  <c r="BI537" i="1"/>
  <c r="BJ537" i="1"/>
  <c r="BK537" i="1"/>
  <c r="BL537" i="1"/>
  <c r="AX538" i="1"/>
  <c r="AY538" i="1"/>
  <c r="AZ538" i="1"/>
  <c r="BA538" i="1"/>
  <c r="BB538" i="1"/>
  <c r="BC538" i="1"/>
  <c r="BD538" i="1"/>
  <c r="BE538" i="1"/>
  <c r="BF538" i="1"/>
  <c r="BG538" i="1"/>
  <c r="BH538" i="1"/>
  <c r="BI538" i="1"/>
  <c r="BJ538" i="1"/>
  <c r="BK538" i="1"/>
  <c r="BL538" i="1"/>
  <c r="AX539" i="1"/>
  <c r="AY539" i="1"/>
  <c r="AZ539" i="1"/>
  <c r="BA539" i="1"/>
  <c r="BB539" i="1"/>
  <c r="BC539" i="1"/>
  <c r="BD539" i="1"/>
  <c r="BE539" i="1"/>
  <c r="BF539" i="1"/>
  <c r="BG539" i="1"/>
  <c r="BH539" i="1"/>
  <c r="BI539" i="1"/>
  <c r="BJ539" i="1"/>
  <c r="BK539" i="1"/>
  <c r="BL539" i="1"/>
  <c r="AX540" i="1"/>
  <c r="AY540" i="1"/>
  <c r="AZ540" i="1"/>
  <c r="BA540" i="1"/>
  <c r="BB540" i="1"/>
  <c r="BC540" i="1"/>
  <c r="BD540" i="1"/>
  <c r="BE540" i="1"/>
  <c r="BF540" i="1"/>
  <c r="BG540" i="1"/>
  <c r="BH540" i="1"/>
  <c r="BI540" i="1"/>
  <c r="BJ540" i="1"/>
  <c r="BK540" i="1"/>
  <c r="BL540" i="1"/>
  <c r="AX541" i="1"/>
  <c r="AY541" i="1"/>
  <c r="AZ541" i="1"/>
  <c r="BA541" i="1"/>
  <c r="BB541" i="1"/>
  <c r="BC541" i="1"/>
  <c r="BD541" i="1"/>
  <c r="BE541" i="1"/>
  <c r="BF541" i="1"/>
  <c r="BG541" i="1"/>
  <c r="BH541" i="1"/>
  <c r="BI541" i="1"/>
  <c r="BJ541" i="1"/>
  <c r="BK541" i="1"/>
  <c r="BL541" i="1"/>
  <c r="AX542" i="1"/>
  <c r="AY542" i="1"/>
  <c r="AZ542" i="1"/>
  <c r="BA542" i="1"/>
  <c r="BB542" i="1"/>
  <c r="BC542" i="1"/>
  <c r="BD542" i="1"/>
  <c r="BE542" i="1"/>
  <c r="BF542" i="1"/>
  <c r="BG542" i="1"/>
  <c r="BH542" i="1"/>
  <c r="BI542" i="1"/>
  <c r="BJ542" i="1"/>
  <c r="BK542" i="1"/>
  <c r="BL542" i="1"/>
  <c r="AX543" i="1"/>
  <c r="AY543" i="1"/>
  <c r="AZ543" i="1"/>
  <c r="BA543" i="1"/>
  <c r="BB543" i="1"/>
  <c r="BC543" i="1"/>
  <c r="BD543" i="1"/>
  <c r="BE543" i="1"/>
  <c r="BF543" i="1"/>
  <c r="BG543" i="1"/>
  <c r="BH543" i="1"/>
  <c r="BI543" i="1"/>
  <c r="BJ543" i="1"/>
  <c r="BK543" i="1"/>
  <c r="BL543" i="1"/>
  <c r="AX544" i="1"/>
  <c r="AY544" i="1"/>
  <c r="AZ544" i="1"/>
  <c r="BA544" i="1"/>
  <c r="BB544" i="1"/>
  <c r="BC544" i="1"/>
  <c r="BD544" i="1"/>
  <c r="BE544" i="1"/>
  <c r="BF544" i="1"/>
  <c r="BG544" i="1"/>
  <c r="BH544" i="1"/>
  <c r="BI544" i="1"/>
  <c r="BJ544" i="1"/>
  <c r="BK544" i="1"/>
  <c r="BL544" i="1"/>
  <c r="AX545" i="1"/>
  <c r="AY545" i="1"/>
  <c r="AZ545" i="1"/>
  <c r="BA545" i="1"/>
  <c r="BB545" i="1"/>
  <c r="BC545" i="1"/>
  <c r="BD545" i="1"/>
  <c r="BE545" i="1"/>
  <c r="BF545" i="1"/>
  <c r="BG545" i="1"/>
  <c r="BH545" i="1"/>
  <c r="BI545" i="1"/>
  <c r="BJ545" i="1"/>
  <c r="BK545" i="1"/>
  <c r="BL545" i="1"/>
  <c r="AX546" i="1"/>
  <c r="AY546" i="1"/>
  <c r="AZ546" i="1"/>
  <c r="BA546" i="1"/>
  <c r="BB546" i="1"/>
  <c r="BC546" i="1"/>
  <c r="BD546" i="1"/>
  <c r="BE546" i="1"/>
  <c r="BF546" i="1"/>
  <c r="BG546" i="1"/>
  <c r="BH546" i="1"/>
  <c r="BI546" i="1"/>
  <c r="BJ546" i="1"/>
  <c r="BK546" i="1"/>
  <c r="BL546" i="1"/>
  <c r="AX547" i="1"/>
  <c r="AY547" i="1"/>
  <c r="AZ547" i="1"/>
  <c r="BA547" i="1"/>
  <c r="BB547" i="1"/>
  <c r="BC547" i="1"/>
  <c r="BD547" i="1"/>
  <c r="BE547" i="1"/>
  <c r="BF547" i="1"/>
  <c r="BG547" i="1"/>
  <c r="BH547" i="1"/>
  <c r="BI547" i="1"/>
  <c r="BJ547" i="1"/>
  <c r="BK547" i="1"/>
  <c r="BL547" i="1"/>
  <c r="AX548" i="1"/>
  <c r="AY548" i="1"/>
  <c r="AZ548" i="1"/>
  <c r="BA548" i="1"/>
  <c r="BB548" i="1"/>
  <c r="BC548" i="1"/>
  <c r="BD548" i="1"/>
  <c r="BE548" i="1"/>
  <c r="BF548" i="1"/>
  <c r="BG548" i="1"/>
  <c r="BH548" i="1"/>
  <c r="BI548" i="1"/>
  <c r="BJ548" i="1"/>
  <c r="BK548" i="1"/>
  <c r="BL548" i="1"/>
  <c r="AX549" i="1"/>
  <c r="AY549" i="1"/>
  <c r="AZ549" i="1"/>
  <c r="BA549" i="1"/>
  <c r="BB549" i="1"/>
  <c r="BC549" i="1"/>
  <c r="BD549" i="1"/>
  <c r="BE549" i="1"/>
  <c r="BF549" i="1"/>
  <c r="BG549" i="1"/>
  <c r="BH549" i="1"/>
  <c r="BI549" i="1"/>
  <c r="BJ549" i="1"/>
  <c r="BK549" i="1"/>
  <c r="BL549" i="1"/>
  <c r="AX550" i="1"/>
  <c r="AY550" i="1"/>
  <c r="AZ550" i="1"/>
  <c r="BA550" i="1"/>
  <c r="BB550" i="1"/>
  <c r="BC550" i="1"/>
  <c r="BD550" i="1"/>
  <c r="BE550" i="1"/>
  <c r="BF550" i="1"/>
  <c r="BG550" i="1"/>
  <c r="BH550" i="1"/>
  <c r="BI550" i="1"/>
  <c r="BJ550" i="1"/>
  <c r="BK550" i="1"/>
  <c r="BL550" i="1"/>
  <c r="AX551" i="1"/>
  <c r="AY551" i="1"/>
  <c r="AZ551" i="1"/>
  <c r="BA551" i="1"/>
  <c r="BB551" i="1"/>
  <c r="BC551" i="1"/>
  <c r="BD551" i="1"/>
  <c r="BE551" i="1"/>
  <c r="BF551" i="1"/>
  <c r="BG551" i="1"/>
  <c r="BH551" i="1"/>
  <c r="BI551" i="1"/>
  <c r="BJ551" i="1"/>
  <c r="BK551" i="1"/>
  <c r="BL551" i="1"/>
  <c r="AX552" i="1"/>
  <c r="AY552" i="1"/>
  <c r="AZ552" i="1"/>
  <c r="BA552" i="1"/>
  <c r="BB552" i="1"/>
  <c r="BC552" i="1"/>
  <c r="BD552" i="1"/>
  <c r="BE552" i="1"/>
  <c r="BF552" i="1"/>
  <c r="BG552" i="1"/>
  <c r="BH552" i="1"/>
  <c r="BI552" i="1"/>
  <c r="BJ552" i="1"/>
  <c r="BK552" i="1"/>
  <c r="BL552" i="1"/>
  <c r="AX553" i="1"/>
  <c r="AY553" i="1"/>
  <c r="AZ553" i="1"/>
  <c r="BA553" i="1"/>
  <c r="BB553" i="1"/>
  <c r="BC553" i="1"/>
  <c r="BD553" i="1"/>
  <c r="BE553" i="1"/>
  <c r="BF553" i="1"/>
  <c r="BG553" i="1"/>
  <c r="BH553" i="1"/>
  <c r="BI553" i="1"/>
  <c r="BJ553" i="1"/>
  <c r="BK553" i="1"/>
  <c r="BL553" i="1"/>
  <c r="AX554" i="1"/>
  <c r="AY554" i="1"/>
  <c r="AZ554" i="1"/>
  <c r="BA554" i="1"/>
  <c r="BB554" i="1"/>
  <c r="BC554" i="1"/>
  <c r="BD554" i="1"/>
  <c r="BE554" i="1"/>
  <c r="BF554" i="1"/>
  <c r="BG554" i="1"/>
  <c r="BH554" i="1"/>
  <c r="BI554" i="1"/>
  <c r="BJ554" i="1"/>
  <c r="BK554" i="1"/>
  <c r="BL554" i="1"/>
  <c r="AX555" i="1"/>
  <c r="AY555" i="1"/>
  <c r="AZ555" i="1"/>
  <c r="BA555" i="1"/>
  <c r="BB555" i="1"/>
  <c r="BC555" i="1"/>
  <c r="BD555" i="1"/>
  <c r="BE555" i="1"/>
  <c r="BF555" i="1"/>
  <c r="BG555" i="1"/>
  <c r="BH555" i="1"/>
  <c r="BI555" i="1"/>
  <c r="BJ555" i="1"/>
  <c r="BK555" i="1"/>
  <c r="BL555" i="1"/>
  <c r="AX556" i="1"/>
  <c r="AY556" i="1"/>
  <c r="AZ556" i="1"/>
  <c r="BA556" i="1"/>
  <c r="BB556" i="1"/>
  <c r="BC556" i="1"/>
  <c r="BD556" i="1"/>
  <c r="BE556" i="1"/>
  <c r="BF556" i="1"/>
  <c r="BG556" i="1"/>
  <c r="BH556" i="1"/>
  <c r="BI556" i="1"/>
  <c r="BJ556" i="1"/>
  <c r="BK556" i="1"/>
  <c r="BL556" i="1"/>
  <c r="AX557" i="1"/>
  <c r="AY557" i="1"/>
  <c r="AZ557" i="1"/>
  <c r="BA557" i="1"/>
  <c r="BB557" i="1"/>
  <c r="BC557" i="1"/>
  <c r="BD557" i="1"/>
  <c r="BE557" i="1"/>
  <c r="BF557" i="1"/>
  <c r="BG557" i="1"/>
  <c r="BH557" i="1"/>
  <c r="BI557" i="1"/>
  <c r="BJ557" i="1"/>
  <c r="BK557" i="1"/>
  <c r="BL557" i="1"/>
  <c r="AX558" i="1"/>
  <c r="AY558" i="1"/>
  <c r="AZ558" i="1"/>
  <c r="BA558" i="1"/>
  <c r="BB558" i="1"/>
  <c r="BC558" i="1"/>
  <c r="BD558" i="1"/>
  <c r="BE558" i="1"/>
  <c r="BF558" i="1"/>
  <c r="BG558" i="1"/>
  <c r="BH558" i="1"/>
  <c r="BI558" i="1"/>
  <c r="BJ558" i="1"/>
  <c r="BK558" i="1"/>
  <c r="BL558" i="1"/>
  <c r="AX559" i="1"/>
  <c r="AY559" i="1"/>
  <c r="AZ559" i="1"/>
  <c r="BA559" i="1"/>
  <c r="BB559" i="1"/>
  <c r="BC559" i="1"/>
  <c r="BD559" i="1"/>
  <c r="BE559" i="1"/>
  <c r="BF559" i="1"/>
  <c r="BG559" i="1"/>
  <c r="BH559" i="1"/>
  <c r="BI559" i="1"/>
  <c r="BJ559" i="1"/>
  <c r="BK559" i="1"/>
  <c r="BL559" i="1"/>
  <c r="AX560" i="1"/>
  <c r="AY560" i="1"/>
  <c r="AZ560" i="1"/>
  <c r="BA560" i="1"/>
  <c r="BB560" i="1"/>
  <c r="BC560" i="1"/>
  <c r="BD560" i="1"/>
  <c r="BE560" i="1"/>
  <c r="BF560" i="1"/>
  <c r="BG560" i="1"/>
  <c r="BH560" i="1"/>
  <c r="BI560" i="1"/>
  <c r="BJ560" i="1"/>
  <c r="BK560" i="1"/>
  <c r="BL560" i="1"/>
  <c r="AX561" i="1"/>
  <c r="AY561" i="1"/>
  <c r="AZ561" i="1"/>
  <c r="BA561" i="1"/>
  <c r="BB561" i="1"/>
  <c r="BC561" i="1"/>
  <c r="BD561" i="1"/>
  <c r="BE561" i="1"/>
  <c r="BF561" i="1"/>
  <c r="BG561" i="1"/>
  <c r="BH561" i="1"/>
  <c r="BI561" i="1"/>
  <c r="BJ561" i="1"/>
  <c r="BK561" i="1"/>
  <c r="BL561" i="1"/>
  <c r="AX562" i="1"/>
  <c r="AY562" i="1"/>
  <c r="AZ562" i="1"/>
  <c r="BA562" i="1"/>
  <c r="BB562" i="1"/>
  <c r="BC562" i="1"/>
  <c r="BD562" i="1"/>
  <c r="BE562" i="1"/>
  <c r="BF562" i="1"/>
  <c r="BG562" i="1"/>
  <c r="BH562" i="1"/>
  <c r="BI562" i="1"/>
  <c r="BJ562" i="1"/>
  <c r="BK562" i="1"/>
  <c r="BL562" i="1"/>
  <c r="AX563" i="1"/>
  <c r="AY563" i="1"/>
  <c r="AZ563" i="1"/>
  <c r="BA563" i="1"/>
  <c r="BB563" i="1"/>
  <c r="BC563" i="1"/>
  <c r="BD563" i="1"/>
  <c r="BE563" i="1"/>
  <c r="BF563" i="1"/>
  <c r="BG563" i="1"/>
  <c r="BH563" i="1"/>
  <c r="BI563" i="1"/>
  <c r="BJ563" i="1"/>
  <c r="BK563" i="1"/>
  <c r="BL563" i="1"/>
  <c r="AX564" i="1"/>
  <c r="AY564" i="1"/>
  <c r="AZ564" i="1"/>
  <c r="BA564" i="1"/>
  <c r="BB564" i="1"/>
  <c r="BC564" i="1"/>
  <c r="BD564" i="1"/>
  <c r="BE564" i="1"/>
  <c r="BF564" i="1"/>
  <c r="BG564" i="1"/>
  <c r="BH564" i="1"/>
  <c r="BI564" i="1"/>
  <c r="BJ564" i="1"/>
  <c r="BK564" i="1"/>
  <c r="BL564" i="1"/>
  <c r="AX565" i="1"/>
  <c r="AY565" i="1"/>
  <c r="AZ565" i="1"/>
  <c r="BA565" i="1"/>
  <c r="BB565" i="1"/>
  <c r="BC565" i="1"/>
  <c r="BD565" i="1"/>
  <c r="BE565" i="1"/>
  <c r="BF565" i="1"/>
  <c r="BG565" i="1"/>
  <c r="BH565" i="1"/>
  <c r="BI565" i="1"/>
  <c r="BJ565" i="1"/>
  <c r="BK565" i="1"/>
  <c r="BL565" i="1"/>
  <c r="AX566" i="1"/>
  <c r="AY566" i="1"/>
  <c r="AZ566" i="1"/>
  <c r="BA566" i="1"/>
  <c r="BB566" i="1"/>
  <c r="BC566" i="1"/>
  <c r="BD566" i="1"/>
  <c r="BE566" i="1"/>
  <c r="BF566" i="1"/>
  <c r="BG566" i="1"/>
  <c r="BH566" i="1"/>
  <c r="BI566" i="1"/>
  <c r="BJ566" i="1"/>
  <c r="BK566" i="1"/>
  <c r="BL566" i="1"/>
  <c r="AX567" i="1"/>
  <c r="AY567" i="1"/>
  <c r="AZ567" i="1"/>
  <c r="BA567" i="1"/>
  <c r="BB567" i="1"/>
  <c r="BC567" i="1"/>
  <c r="BD567" i="1"/>
  <c r="BE567" i="1"/>
  <c r="BF567" i="1"/>
  <c r="BG567" i="1"/>
  <c r="BH567" i="1"/>
  <c r="BI567" i="1"/>
  <c r="BJ567" i="1"/>
  <c r="BK567" i="1"/>
  <c r="BL567" i="1"/>
  <c r="AX568" i="1"/>
  <c r="AY568" i="1"/>
  <c r="AZ568" i="1"/>
  <c r="BA568" i="1"/>
  <c r="BB568" i="1"/>
  <c r="BC568" i="1"/>
  <c r="BD568" i="1"/>
  <c r="BE568" i="1"/>
  <c r="BF568" i="1"/>
  <c r="BG568" i="1"/>
  <c r="BH568" i="1"/>
  <c r="BI568" i="1"/>
  <c r="BJ568" i="1"/>
  <c r="BK568" i="1"/>
  <c r="BL568" i="1"/>
  <c r="AX569" i="1"/>
  <c r="AY569" i="1"/>
  <c r="AZ569" i="1"/>
  <c r="BA569" i="1"/>
  <c r="BB569" i="1"/>
  <c r="BC569" i="1"/>
  <c r="BD569" i="1"/>
  <c r="BE569" i="1"/>
  <c r="BF569" i="1"/>
  <c r="BG569" i="1"/>
  <c r="BH569" i="1"/>
  <c r="BI569" i="1"/>
  <c r="BJ569" i="1"/>
  <c r="BK569" i="1"/>
  <c r="BL569" i="1"/>
  <c r="AX570" i="1"/>
  <c r="AY570" i="1"/>
  <c r="AZ570" i="1"/>
  <c r="BA570" i="1"/>
  <c r="BB570" i="1"/>
  <c r="BC570" i="1"/>
  <c r="BD570" i="1"/>
  <c r="BE570" i="1"/>
  <c r="BF570" i="1"/>
  <c r="BG570" i="1"/>
  <c r="BH570" i="1"/>
  <c r="BI570" i="1"/>
  <c r="BJ570" i="1"/>
  <c r="BK570" i="1"/>
  <c r="BL570" i="1"/>
  <c r="AX571" i="1"/>
  <c r="AY571" i="1"/>
  <c r="AZ571" i="1"/>
  <c r="BA571" i="1"/>
  <c r="BB571" i="1"/>
  <c r="BC571" i="1"/>
  <c r="BD571" i="1"/>
  <c r="BE571" i="1"/>
  <c r="BF571" i="1"/>
  <c r="BG571" i="1"/>
  <c r="BH571" i="1"/>
  <c r="BI571" i="1"/>
  <c r="BJ571" i="1"/>
  <c r="BK571" i="1"/>
  <c r="BL571" i="1"/>
  <c r="AX572" i="1"/>
  <c r="AY572" i="1"/>
  <c r="AZ572" i="1"/>
  <c r="BA572" i="1"/>
  <c r="BB572" i="1"/>
  <c r="BC572" i="1"/>
  <c r="BD572" i="1"/>
  <c r="BE572" i="1"/>
  <c r="BF572" i="1"/>
  <c r="BG572" i="1"/>
  <c r="BH572" i="1"/>
  <c r="BI572" i="1"/>
  <c r="BJ572" i="1"/>
  <c r="BK572" i="1"/>
  <c r="BL572" i="1"/>
  <c r="AX573" i="1"/>
  <c r="AY573" i="1"/>
  <c r="AZ573" i="1"/>
  <c r="BA573" i="1"/>
  <c r="BB573" i="1"/>
  <c r="BC573" i="1"/>
  <c r="BD573" i="1"/>
  <c r="BE573" i="1"/>
  <c r="BF573" i="1"/>
  <c r="BG573" i="1"/>
  <c r="BH573" i="1"/>
  <c r="BI573" i="1"/>
  <c r="BJ573" i="1"/>
  <c r="BK573" i="1"/>
  <c r="BL573" i="1"/>
  <c r="AX574" i="1"/>
  <c r="AY574" i="1"/>
  <c r="AZ574" i="1"/>
  <c r="BA574" i="1"/>
  <c r="BB574" i="1"/>
  <c r="BC574" i="1"/>
  <c r="BD574" i="1"/>
  <c r="BE574" i="1"/>
  <c r="BF574" i="1"/>
  <c r="BG574" i="1"/>
  <c r="BH574" i="1"/>
  <c r="BI574" i="1"/>
  <c r="BJ574" i="1"/>
  <c r="BK574" i="1"/>
  <c r="BL574" i="1"/>
  <c r="AX575" i="1"/>
  <c r="AY575" i="1"/>
  <c r="AZ575" i="1"/>
  <c r="BA575" i="1"/>
  <c r="BB575" i="1"/>
  <c r="BC575" i="1"/>
  <c r="BD575" i="1"/>
  <c r="BE575" i="1"/>
  <c r="BF575" i="1"/>
  <c r="BG575" i="1"/>
  <c r="BH575" i="1"/>
  <c r="BI575" i="1"/>
  <c r="BJ575" i="1"/>
  <c r="BK575" i="1"/>
  <c r="BL575" i="1"/>
  <c r="AX576" i="1"/>
  <c r="AY576" i="1"/>
  <c r="AZ576" i="1"/>
  <c r="BA576" i="1"/>
  <c r="BB576" i="1"/>
  <c r="BC576" i="1"/>
  <c r="BD576" i="1"/>
  <c r="BE576" i="1"/>
  <c r="BF576" i="1"/>
  <c r="BG576" i="1"/>
  <c r="BH576" i="1"/>
  <c r="BI576" i="1"/>
  <c r="BJ576" i="1"/>
  <c r="BK576" i="1"/>
  <c r="BL576" i="1"/>
  <c r="AX577" i="1"/>
  <c r="AY577" i="1"/>
  <c r="AZ577" i="1"/>
  <c r="BA577" i="1"/>
  <c r="BB577" i="1"/>
  <c r="BC577" i="1"/>
  <c r="BD577" i="1"/>
  <c r="BE577" i="1"/>
  <c r="BF577" i="1"/>
  <c r="BG577" i="1"/>
  <c r="BH577" i="1"/>
  <c r="BI577" i="1"/>
  <c r="BJ577" i="1"/>
  <c r="BK577" i="1"/>
  <c r="BL577" i="1"/>
  <c r="AX578" i="1"/>
  <c r="AY578" i="1"/>
  <c r="AZ578" i="1"/>
  <c r="BA578" i="1"/>
  <c r="BB578" i="1"/>
  <c r="BC578" i="1"/>
  <c r="BD578" i="1"/>
  <c r="BE578" i="1"/>
  <c r="BF578" i="1"/>
  <c r="BG578" i="1"/>
  <c r="BH578" i="1"/>
  <c r="BI578" i="1"/>
  <c r="BJ578" i="1"/>
  <c r="BK578" i="1"/>
  <c r="BL578" i="1"/>
  <c r="AX579" i="1"/>
  <c r="AY579" i="1"/>
  <c r="AZ579" i="1"/>
  <c r="BA579" i="1"/>
  <c r="BB579" i="1"/>
  <c r="BC579" i="1"/>
  <c r="BD579" i="1"/>
  <c r="BE579" i="1"/>
  <c r="BF579" i="1"/>
  <c r="BG579" i="1"/>
  <c r="BH579" i="1"/>
  <c r="BI579" i="1"/>
  <c r="BJ579" i="1"/>
  <c r="BK579" i="1"/>
  <c r="BL579" i="1"/>
  <c r="AX580" i="1"/>
  <c r="AY580" i="1"/>
  <c r="AZ580" i="1"/>
  <c r="BA580" i="1"/>
  <c r="BB580" i="1"/>
  <c r="BC580" i="1"/>
  <c r="BD580" i="1"/>
  <c r="BE580" i="1"/>
  <c r="BF580" i="1"/>
  <c r="BG580" i="1"/>
  <c r="BH580" i="1"/>
  <c r="BI580" i="1"/>
  <c r="BJ580" i="1"/>
  <c r="BK580" i="1"/>
  <c r="BL580" i="1"/>
  <c r="AX581" i="1"/>
  <c r="AY581" i="1"/>
  <c r="AZ581" i="1"/>
  <c r="BA581" i="1"/>
  <c r="BB581" i="1"/>
  <c r="BC581" i="1"/>
  <c r="BD581" i="1"/>
  <c r="BE581" i="1"/>
  <c r="BF581" i="1"/>
  <c r="BG581" i="1"/>
  <c r="BH581" i="1"/>
  <c r="BI581" i="1"/>
  <c r="BJ581" i="1"/>
  <c r="BK581" i="1"/>
  <c r="BL581" i="1"/>
  <c r="AX582" i="1"/>
  <c r="AY582" i="1"/>
  <c r="AZ582" i="1"/>
  <c r="BA582" i="1"/>
  <c r="BB582" i="1"/>
  <c r="BC582" i="1"/>
  <c r="BD582" i="1"/>
  <c r="BE582" i="1"/>
  <c r="BF582" i="1"/>
  <c r="BG582" i="1"/>
  <c r="BH582" i="1"/>
  <c r="BI582" i="1"/>
  <c r="BJ582" i="1"/>
  <c r="BK582" i="1"/>
  <c r="BL582" i="1"/>
  <c r="AX583" i="1"/>
  <c r="AY583" i="1"/>
  <c r="AZ583" i="1"/>
  <c r="BA583" i="1"/>
  <c r="BB583" i="1"/>
  <c r="BC583" i="1"/>
  <c r="BD583" i="1"/>
  <c r="BE583" i="1"/>
  <c r="BF583" i="1"/>
  <c r="BG583" i="1"/>
  <c r="BH583" i="1"/>
  <c r="BI583" i="1"/>
  <c r="BJ583" i="1"/>
  <c r="BK583" i="1"/>
  <c r="BL583" i="1"/>
  <c r="AX584" i="1"/>
  <c r="AY584" i="1"/>
  <c r="AZ584" i="1"/>
  <c r="BA584" i="1"/>
  <c r="BB584" i="1"/>
  <c r="BC584" i="1"/>
  <c r="BD584" i="1"/>
  <c r="BE584" i="1"/>
  <c r="BF584" i="1"/>
  <c r="BG584" i="1"/>
  <c r="BH584" i="1"/>
  <c r="BI584" i="1"/>
  <c r="BJ584" i="1"/>
  <c r="BK584" i="1"/>
  <c r="BL584" i="1"/>
  <c r="AX585" i="1"/>
  <c r="AY585" i="1"/>
  <c r="AZ585" i="1"/>
  <c r="BA585" i="1"/>
  <c r="BB585" i="1"/>
  <c r="BC585" i="1"/>
  <c r="BD585" i="1"/>
  <c r="BE585" i="1"/>
  <c r="BF585" i="1"/>
  <c r="BG585" i="1"/>
  <c r="BH585" i="1"/>
  <c r="BI585" i="1"/>
  <c r="BJ585" i="1"/>
  <c r="BK585" i="1"/>
  <c r="BL585" i="1"/>
  <c r="AX586" i="1"/>
  <c r="AY586" i="1"/>
  <c r="AZ586" i="1"/>
  <c r="BA586" i="1"/>
  <c r="BB586" i="1"/>
  <c r="BC586" i="1"/>
  <c r="BD586" i="1"/>
  <c r="BE586" i="1"/>
  <c r="BF586" i="1"/>
  <c r="BG586" i="1"/>
  <c r="BH586" i="1"/>
  <c r="BI586" i="1"/>
  <c r="BJ586" i="1"/>
  <c r="BK586" i="1"/>
  <c r="BL586" i="1"/>
  <c r="AX587" i="1"/>
  <c r="AY587" i="1"/>
  <c r="AZ587" i="1"/>
  <c r="BA587" i="1"/>
  <c r="BB587" i="1"/>
  <c r="BC587" i="1"/>
  <c r="BD587" i="1"/>
  <c r="BE587" i="1"/>
  <c r="BF587" i="1"/>
  <c r="BG587" i="1"/>
  <c r="BH587" i="1"/>
  <c r="BI587" i="1"/>
  <c r="BJ587" i="1"/>
  <c r="BK587" i="1"/>
  <c r="BL587" i="1"/>
  <c r="AX588" i="1"/>
  <c r="AY588" i="1"/>
  <c r="AZ588" i="1"/>
  <c r="BA588" i="1"/>
  <c r="BB588" i="1"/>
  <c r="BC588" i="1"/>
  <c r="BD588" i="1"/>
  <c r="BE588" i="1"/>
  <c r="BF588" i="1"/>
  <c r="BG588" i="1"/>
  <c r="BH588" i="1"/>
  <c r="BI588" i="1"/>
  <c r="BJ588" i="1"/>
  <c r="BK588" i="1"/>
  <c r="BL588" i="1"/>
  <c r="AX589" i="1"/>
  <c r="AY589" i="1"/>
  <c r="AZ589" i="1"/>
  <c r="BA589" i="1"/>
  <c r="BB589" i="1"/>
  <c r="BC589" i="1"/>
  <c r="BD589" i="1"/>
  <c r="BE589" i="1"/>
  <c r="BF589" i="1"/>
  <c r="BG589" i="1"/>
  <c r="BH589" i="1"/>
  <c r="BI589" i="1"/>
  <c r="BJ589" i="1"/>
  <c r="BK589" i="1"/>
  <c r="BL589" i="1"/>
  <c r="AX590" i="1"/>
  <c r="AY590" i="1"/>
  <c r="AZ590" i="1"/>
  <c r="BA590" i="1"/>
  <c r="BB590" i="1"/>
  <c r="BC590" i="1"/>
  <c r="BD590" i="1"/>
  <c r="BE590" i="1"/>
  <c r="BF590" i="1"/>
  <c r="BG590" i="1"/>
  <c r="BH590" i="1"/>
  <c r="BI590" i="1"/>
  <c r="BJ590" i="1"/>
  <c r="BK590" i="1"/>
  <c r="BL590" i="1"/>
  <c r="AX591" i="1"/>
  <c r="AY591" i="1"/>
  <c r="AZ591" i="1"/>
  <c r="BA591" i="1"/>
  <c r="BB591" i="1"/>
  <c r="BC591" i="1"/>
  <c r="BD591" i="1"/>
  <c r="BE591" i="1"/>
  <c r="BF591" i="1"/>
  <c r="BG591" i="1"/>
  <c r="BH591" i="1"/>
  <c r="BI591" i="1"/>
  <c r="BJ591" i="1"/>
  <c r="BK591" i="1"/>
  <c r="BL591" i="1"/>
  <c r="AX592" i="1"/>
  <c r="AY592" i="1"/>
  <c r="AZ592" i="1"/>
  <c r="BA592" i="1"/>
  <c r="BB592" i="1"/>
  <c r="BC592" i="1"/>
  <c r="BD592" i="1"/>
  <c r="BE592" i="1"/>
  <c r="BF592" i="1"/>
  <c r="BG592" i="1"/>
  <c r="BH592" i="1"/>
  <c r="BI592" i="1"/>
  <c r="BJ592" i="1"/>
  <c r="BK592" i="1"/>
  <c r="BL592" i="1"/>
  <c r="AX593" i="1"/>
  <c r="AY593" i="1"/>
  <c r="AZ593" i="1"/>
  <c r="BA593" i="1"/>
  <c r="BB593" i="1"/>
  <c r="BC593" i="1"/>
  <c r="BD593" i="1"/>
  <c r="BE593" i="1"/>
  <c r="BF593" i="1"/>
  <c r="BG593" i="1"/>
  <c r="BH593" i="1"/>
  <c r="BI593" i="1"/>
  <c r="BJ593" i="1"/>
  <c r="BK593" i="1"/>
  <c r="BL593" i="1"/>
  <c r="AX594" i="1"/>
  <c r="AY594" i="1"/>
  <c r="AZ594" i="1"/>
  <c r="BA594" i="1"/>
  <c r="BB594" i="1"/>
  <c r="BC594" i="1"/>
  <c r="BD594" i="1"/>
  <c r="BE594" i="1"/>
  <c r="BF594" i="1"/>
  <c r="BG594" i="1"/>
  <c r="BH594" i="1"/>
  <c r="BI594" i="1"/>
  <c r="BJ594" i="1"/>
  <c r="BK594" i="1"/>
  <c r="BL594" i="1"/>
  <c r="AX595" i="1"/>
  <c r="AY595" i="1"/>
  <c r="AZ595" i="1"/>
  <c r="BA595" i="1"/>
  <c r="BB595" i="1"/>
  <c r="BC595" i="1"/>
  <c r="BD595" i="1"/>
  <c r="BE595" i="1"/>
  <c r="BF595" i="1"/>
  <c r="BG595" i="1"/>
  <c r="BH595" i="1"/>
  <c r="BI595" i="1"/>
  <c r="BJ595" i="1"/>
  <c r="BK595" i="1"/>
  <c r="BL595" i="1"/>
  <c r="AX596" i="1"/>
  <c r="AY596" i="1"/>
  <c r="AZ596" i="1"/>
  <c r="BA596" i="1"/>
  <c r="BB596" i="1"/>
  <c r="BC596" i="1"/>
  <c r="BD596" i="1"/>
  <c r="BE596" i="1"/>
  <c r="BF596" i="1"/>
  <c r="BG596" i="1"/>
  <c r="BH596" i="1"/>
  <c r="BI596" i="1"/>
  <c r="BJ596" i="1"/>
  <c r="BK596" i="1"/>
  <c r="BL596" i="1"/>
  <c r="AX597" i="1"/>
  <c r="AY597" i="1"/>
  <c r="AZ597" i="1"/>
  <c r="BA597" i="1"/>
  <c r="BB597" i="1"/>
  <c r="BC597" i="1"/>
  <c r="BD597" i="1"/>
  <c r="BE597" i="1"/>
  <c r="BF597" i="1"/>
  <c r="BG597" i="1"/>
  <c r="BH597" i="1"/>
  <c r="BI597" i="1"/>
  <c r="BJ597" i="1"/>
  <c r="BK597" i="1"/>
  <c r="BL597" i="1"/>
  <c r="AX598" i="1"/>
  <c r="AY598" i="1"/>
  <c r="AZ598" i="1"/>
  <c r="BA598" i="1"/>
  <c r="BB598" i="1"/>
  <c r="BC598" i="1"/>
  <c r="BD598" i="1"/>
  <c r="BE598" i="1"/>
  <c r="BF598" i="1"/>
  <c r="BG598" i="1"/>
  <c r="BH598" i="1"/>
  <c r="BI598" i="1"/>
  <c r="BJ598" i="1"/>
  <c r="BK598" i="1"/>
  <c r="BL598" i="1"/>
  <c r="AX599" i="1"/>
  <c r="AY599" i="1"/>
  <c r="AZ599" i="1"/>
  <c r="BA599" i="1"/>
  <c r="BB599" i="1"/>
  <c r="BC599" i="1"/>
  <c r="BD599" i="1"/>
  <c r="BE599" i="1"/>
  <c r="BF599" i="1"/>
  <c r="BG599" i="1"/>
  <c r="BH599" i="1"/>
  <c r="BI599" i="1"/>
  <c r="BJ599" i="1"/>
  <c r="BK599" i="1"/>
  <c r="BL599" i="1"/>
  <c r="AX600" i="1"/>
  <c r="AY600" i="1"/>
  <c r="AZ600" i="1"/>
  <c r="BA600" i="1"/>
  <c r="BB600" i="1"/>
  <c r="BC600" i="1"/>
  <c r="BD600" i="1"/>
  <c r="BE600" i="1"/>
  <c r="BF600" i="1"/>
  <c r="BG600" i="1"/>
  <c r="BH600" i="1"/>
  <c r="BI600" i="1"/>
  <c r="BJ600" i="1"/>
  <c r="BK600" i="1"/>
  <c r="BL600" i="1"/>
  <c r="AX601" i="1"/>
  <c r="AY601" i="1"/>
  <c r="AZ601" i="1"/>
  <c r="BA601" i="1"/>
  <c r="BB601" i="1"/>
  <c r="BC601" i="1"/>
  <c r="BD601" i="1"/>
  <c r="BE601" i="1"/>
  <c r="BF601" i="1"/>
  <c r="BG601" i="1"/>
  <c r="BH601" i="1"/>
  <c r="BI601" i="1"/>
  <c r="BJ601" i="1"/>
  <c r="BK601" i="1"/>
  <c r="BL601" i="1"/>
  <c r="AX602" i="1"/>
  <c r="AY602" i="1"/>
  <c r="AZ602" i="1"/>
  <c r="BA602" i="1"/>
  <c r="BB602" i="1"/>
  <c r="BC602" i="1"/>
  <c r="BD602" i="1"/>
  <c r="BE602" i="1"/>
  <c r="BF602" i="1"/>
  <c r="BG602" i="1"/>
  <c r="BH602" i="1"/>
  <c r="BI602" i="1"/>
  <c r="BJ602" i="1"/>
  <c r="BK602" i="1"/>
  <c r="BL602" i="1"/>
  <c r="AX603" i="1"/>
  <c r="AY603" i="1"/>
  <c r="AZ603" i="1"/>
  <c r="BA603" i="1"/>
  <c r="BB603" i="1"/>
  <c r="BC603" i="1"/>
  <c r="BD603" i="1"/>
  <c r="BE603" i="1"/>
  <c r="BF603" i="1"/>
  <c r="BG603" i="1"/>
  <c r="BH603" i="1"/>
  <c r="BI603" i="1"/>
  <c r="BJ603" i="1"/>
  <c r="BK603" i="1"/>
  <c r="BL603" i="1"/>
  <c r="AX604" i="1"/>
  <c r="AY604" i="1"/>
  <c r="AZ604" i="1"/>
  <c r="BA604" i="1"/>
  <c r="BB604" i="1"/>
  <c r="BC604" i="1"/>
  <c r="BD604" i="1"/>
  <c r="BE604" i="1"/>
  <c r="BF604" i="1"/>
  <c r="BG604" i="1"/>
  <c r="BH604" i="1"/>
  <c r="BI604" i="1"/>
  <c r="BJ604" i="1"/>
  <c r="BK604" i="1"/>
  <c r="BL604" i="1"/>
  <c r="AX605" i="1"/>
  <c r="AY605" i="1"/>
  <c r="AZ605" i="1"/>
  <c r="BA605" i="1"/>
  <c r="BB605" i="1"/>
  <c r="BC605" i="1"/>
  <c r="BD605" i="1"/>
  <c r="BE605" i="1"/>
  <c r="BF605" i="1"/>
  <c r="BG605" i="1"/>
  <c r="BH605" i="1"/>
  <c r="BI605" i="1"/>
  <c r="BJ605" i="1"/>
  <c r="BK605" i="1"/>
  <c r="BL605" i="1"/>
  <c r="AX606" i="1"/>
  <c r="AY606" i="1"/>
  <c r="AZ606" i="1"/>
  <c r="BA606" i="1"/>
  <c r="BB606" i="1"/>
  <c r="BC606" i="1"/>
  <c r="BD606" i="1"/>
  <c r="BE606" i="1"/>
  <c r="BF606" i="1"/>
  <c r="BG606" i="1"/>
  <c r="BH606" i="1"/>
  <c r="BI606" i="1"/>
  <c r="BJ606" i="1"/>
  <c r="BK606" i="1"/>
  <c r="BL606" i="1"/>
  <c r="AX607" i="1"/>
  <c r="AY607" i="1"/>
  <c r="AZ607" i="1"/>
  <c r="BA607" i="1"/>
  <c r="BB607" i="1"/>
  <c r="BC607" i="1"/>
  <c r="BD607" i="1"/>
  <c r="BE607" i="1"/>
  <c r="BF607" i="1"/>
  <c r="BG607" i="1"/>
  <c r="BH607" i="1"/>
  <c r="BI607" i="1"/>
  <c r="BJ607" i="1"/>
  <c r="BK607" i="1"/>
  <c r="BL607" i="1"/>
  <c r="AX608" i="1"/>
  <c r="AY608" i="1"/>
  <c r="AZ608" i="1"/>
  <c r="BA608" i="1"/>
  <c r="BB608" i="1"/>
  <c r="BC608" i="1"/>
  <c r="BD608" i="1"/>
  <c r="BE608" i="1"/>
  <c r="BF608" i="1"/>
  <c r="BG608" i="1"/>
  <c r="BH608" i="1"/>
  <c r="BI608" i="1"/>
  <c r="BJ608" i="1"/>
  <c r="BK608" i="1"/>
  <c r="BL608" i="1"/>
  <c r="AX609" i="1"/>
  <c r="AY609" i="1"/>
  <c r="AZ609" i="1"/>
  <c r="BA609" i="1"/>
  <c r="BB609" i="1"/>
  <c r="BC609" i="1"/>
  <c r="BD609" i="1"/>
  <c r="BE609" i="1"/>
  <c r="BF609" i="1"/>
  <c r="BG609" i="1"/>
  <c r="BH609" i="1"/>
  <c r="BI609" i="1"/>
  <c r="BJ609" i="1"/>
  <c r="BK609" i="1"/>
  <c r="BL609" i="1"/>
  <c r="AX610" i="1"/>
  <c r="AY610" i="1"/>
  <c r="AZ610" i="1"/>
  <c r="BA610" i="1"/>
  <c r="BB610" i="1"/>
  <c r="BC610" i="1"/>
  <c r="BD610" i="1"/>
  <c r="BE610" i="1"/>
  <c r="BF610" i="1"/>
  <c r="BG610" i="1"/>
  <c r="BH610" i="1"/>
  <c r="BI610" i="1"/>
  <c r="BJ610" i="1"/>
  <c r="BK610" i="1"/>
  <c r="BL610" i="1"/>
  <c r="AX611" i="1"/>
  <c r="AY611" i="1"/>
  <c r="AZ611" i="1"/>
  <c r="BA611" i="1"/>
  <c r="BB611" i="1"/>
  <c r="BC611" i="1"/>
  <c r="BD611" i="1"/>
  <c r="BE611" i="1"/>
  <c r="BF611" i="1"/>
  <c r="BG611" i="1"/>
  <c r="BH611" i="1"/>
  <c r="BI611" i="1"/>
  <c r="BJ611" i="1"/>
  <c r="BK611" i="1"/>
  <c r="BL611" i="1"/>
  <c r="AX612" i="1"/>
  <c r="AY612" i="1"/>
  <c r="AZ612" i="1"/>
  <c r="BA612" i="1"/>
  <c r="BB612" i="1"/>
  <c r="BC612" i="1"/>
  <c r="BD612" i="1"/>
  <c r="BE612" i="1"/>
  <c r="BF612" i="1"/>
  <c r="BG612" i="1"/>
  <c r="BH612" i="1"/>
  <c r="BI612" i="1"/>
  <c r="BJ612" i="1"/>
  <c r="BK612" i="1"/>
  <c r="BL612" i="1"/>
  <c r="AX613" i="1"/>
  <c r="AY613" i="1"/>
  <c r="AZ613" i="1"/>
  <c r="BA613" i="1"/>
  <c r="BB613" i="1"/>
  <c r="BC613" i="1"/>
  <c r="BD613" i="1"/>
  <c r="BE613" i="1"/>
  <c r="BF613" i="1"/>
  <c r="BG613" i="1"/>
  <c r="BH613" i="1"/>
  <c r="BI613" i="1"/>
  <c r="BJ613" i="1"/>
  <c r="BK613" i="1"/>
  <c r="BL613" i="1"/>
  <c r="AX614" i="1"/>
  <c r="AY614" i="1"/>
  <c r="AZ614" i="1"/>
  <c r="BA614" i="1"/>
  <c r="BB614" i="1"/>
  <c r="BC614" i="1"/>
  <c r="BD614" i="1"/>
  <c r="BE614" i="1"/>
  <c r="BF614" i="1"/>
  <c r="BG614" i="1"/>
  <c r="BH614" i="1"/>
  <c r="BI614" i="1"/>
  <c r="BJ614" i="1"/>
  <c r="BK614" i="1"/>
  <c r="BL614" i="1"/>
  <c r="AX615" i="1"/>
  <c r="AY615" i="1"/>
  <c r="AZ615" i="1"/>
  <c r="BA615" i="1"/>
  <c r="BB615" i="1"/>
  <c r="BC615" i="1"/>
  <c r="BD615" i="1"/>
  <c r="BE615" i="1"/>
  <c r="BF615" i="1"/>
  <c r="BG615" i="1"/>
  <c r="BH615" i="1"/>
  <c r="BI615" i="1"/>
  <c r="BJ615" i="1"/>
  <c r="BK615" i="1"/>
  <c r="BL615" i="1"/>
  <c r="AX616" i="1"/>
  <c r="AY616" i="1"/>
  <c r="AZ616" i="1"/>
  <c r="BA616" i="1"/>
  <c r="BB616" i="1"/>
  <c r="BC616" i="1"/>
  <c r="BD616" i="1"/>
  <c r="BE616" i="1"/>
  <c r="BF616" i="1"/>
  <c r="BG616" i="1"/>
  <c r="BH616" i="1"/>
  <c r="BI616" i="1"/>
  <c r="BJ616" i="1"/>
  <c r="BK616" i="1"/>
  <c r="BL616" i="1"/>
  <c r="AX617" i="1"/>
  <c r="AY617" i="1"/>
  <c r="AZ617" i="1"/>
  <c r="BA617" i="1"/>
  <c r="BB617" i="1"/>
  <c r="BC617" i="1"/>
  <c r="BD617" i="1"/>
  <c r="BE617" i="1"/>
  <c r="BF617" i="1"/>
  <c r="BG617" i="1"/>
  <c r="BH617" i="1"/>
  <c r="BI617" i="1"/>
  <c r="BJ617" i="1"/>
  <c r="BK617" i="1"/>
  <c r="BL617" i="1"/>
  <c r="AX618" i="1"/>
  <c r="AY618" i="1"/>
  <c r="AZ618" i="1"/>
  <c r="BA618" i="1"/>
  <c r="BB618" i="1"/>
  <c r="BC618" i="1"/>
  <c r="BD618" i="1"/>
  <c r="BE618" i="1"/>
  <c r="BF618" i="1"/>
  <c r="BG618" i="1"/>
  <c r="BH618" i="1"/>
  <c r="BI618" i="1"/>
  <c r="BJ618" i="1"/>
  <c r="BK618" i="1"/>
  <c r="BL618" i="1"/>
  <c r="AX619" i="1"/>
  <c r="AY619" i="1"/>
  <c r="AZ619" i="1"/>
  <c r="BA619" i="1"/>
  <c r="BB619" i="1"/>
  <c r="BC619" i="1"/>
  <c r="BD619" i="1"/>
  <c r="BE619" i="1"/>
  <c r="BF619" i="1"/>
  <c r="BG619" i="1"/>
  <c r="BH619" i="1"/>
  <c r="BI619" i="1"/>
  <c r="BJ619" i="1"/>
  <c r="BK619" i="1"/>
  <c r="BL619" i="1"/>
  <c r="AX620" i="1"/>
  <c r="AY620" i="1"/>
  <c r="AZ620" i="1"/>
  <c r="BA620" i="1"/>
  <c r="BB620" i="1"/>
  <c r="BC620" i="1"/>
  <c r="BD620" i="1"/>
  <c r="BE620" i="1"/>
  <c r="BF620" i="1"/>
  <c r="BG620" i="1"/>
  <c r="BH620" i="1"/>
  <c r="BI620" i="1"/>
  <c r="BJ620" i="1"/>
  <c r="BK620" i="1"/>
  <c r="BL620" i="1"/>
  <c r="AX621" i="1"/>
  <c r="AY621" i="1"/>
  <c r="AZ621" i="1"/>
  <c r="BA621" i="1"/>
  <c r="BB621" i="1"/>
  <c r="BC621" i="1"/>
  <c r="BD621" i="1"/>
  <c r="BE621" i="1"/>
  <c r="BF621" i="1"/>
  <c r="BG621" i="1"/>
  <c r="BH621" i="1"/>
  <c r="BI621" i="1"/>
  <c r="BJ621" i="1"/>
  <c r="BK621" i="1"/>
  <c r="BL621" i="1"/>
  <c r="AX622" i="1"/>
  <c r="AY622" i="1"/>
  <c r="AZ622" i="1"/>
  <c r="BA622" i="1"/>
  <c r="BB622" i="1"/>
  <c r="BC622" i="1"/>
  <c r="BD622" i="1"/>
  <c r="BE622" i="1"/>
  <c r="BF622" i="1"/>
  <c r="BG622" i="1"/>
  <c r="BH622" i="1"/>
  <c r="BI622" i="1"/>
  <c r="BJ622" i="1"/>
  <c r="BK622" i="1"/>
  <c r="BL622" i="1"/>
  <c r="AX623" i="1"/>
  <c r="AY623" i="1"/>
  <c r="AZ623" i="1"/>
  <c r="BA623" i="1"/>
  <c r="BB623" i="1"/>
  <c r="BC623" i="1"/>
  <c r="BD623" i="1"/>
  <c r="BE623" i="1"/>
  <c r="BF623" i="1"/>
  <c r="BG623" i="1"/>
  <c r="BH623" i="1"/>
  <c r="BI623" i="1"/>
  <c r="BJ623" i="1"/>
  <c r="BK623" i="1"/>
  <c r="BL623" i="1"/>
  <c r="AX624" i="1"/>
  <c r="AY624" i="1"/>
  <c r="AZ624" i="1"/>
  <c r="BA624" i="1"/>
  <c r="BB624" i="1"/>
  <c r="BC624" i="1"/>
  <c r="BD624" i="1"/>
  <c r="BE624" i="1"/>
  <c r="BF624" i="1"/>
  <c r="BG624" i="1"/>
  <c r="BH624" i="1"/>
  <c r="BI624" i="1"/>
  <c r="BJ624" i="1"/>
  <c r="BK624" i="1"/>
  <c r="BL624" i="1"/>
  <c r="AX625" i="1"/>
  <c r="AY625" i="1"/>
  <c r="AZ625" i="1"/>
  <c r="BA625" i="1"/>
  <c r="BB625" i="1"/>
  <c r="BC625" i="1"/>
  <c r="BD625" i="1"/>
  <c r="BE625" i="1"/>
  <c r="BF625" i="1"/>
  <c r="BG625" i="1"/>
  <c r="BH625" i="1"/>
  <c r="BI625" i="1"/>
  <c r="BJ625" i="1"/>
  <c r="BK625" i="1"/>
  <c r="BL625" i="1"/>
  <c r="AX626" i="1"/>
  <c r="AY626" i="1"/>
  <c r="AZ626" i="1"/>
  <c r="BA626" i="1"/>
  <c r="BB626" i="1"/>
  <c r="BC626" i="1"/>
  <c r="BD626" i="1"/>
  <c r="BE626" i="1"/>
  <c r="BF626" i="1"/>
  <c r="BG626" i="1"/>
  <c r="BH626" i="1"/>
  <c r="BI626" i="1"/>
  <c r="BJ626" i="1"/>
  <c r="BK626" i="1"/>
  <c r="BL626" i="1"/>
  <c r="AX627" i="1"/>
  <c r="AY627" i="1"/>
  <c r="AZ627" i="1"/>
  <c r="BA627" i="1"/>
  <c r="BB627" i="1"/>
  <c r="BC627" i="1"/>
  <c r="BD627" i="1"/>
  <c r="BE627" i="1"/>
  <c r="BF627" i="1"/>
  <c r="BG627" i="1"/>
  <c r="BH627" i="1"/>
  <c r="BI627" i="1"/>
  <c r="BJ627" i="1"/>
  <c r="BK627" i="1"/>
  <c r="BL627" i="1"/>
  <c r="AX628" i="1"/>
  <c r="AY628" i="1"/>
  <c r="AZ628" i="1"/>
  <c r="BA628" i="1"/>
  <c r="BB628" i="1"/>
  <c r="BC628" i="1"/>
  <c r="BD628" i="1"/>
  <c r="BE628" i="1"/>
  <c r="BF628" i="1"/>
  <c r="BG628" i="1"/>
  <c r="BH628" i="1"/>
  <c r="BI628" i="1"/>
  <c r="BJ628" i="1"/>
  <c r="BK628" i="1"/>
  <c r="BL628" i="1"/>
  <c r="AX629" i="1"/>
  <c r="AY629" i="1"/>
  <c r="AZ629" i="1"/>
  <c r="BA629" i="1"/>
  <c r="BB629" i="1"/>
  <c r="BC629" i="1"/>
  <c r="BD629" i="1"/>
  <c r="BE629" i="1"/>
  <c r="BF629" i="1"/>
  <c r="BG629" i="1"/>
  <c r="BH629" i="1"/>
  <c r="BI629" i="1"/>
  <c r="BJ629" i="1"/>
  <c r="BK629" i="1"/>
  <c r="BL629" i="1"/>
  <c r="AX630" i="1"/>
  <c r="AY630" i="1"/>
  <c r="AZ630" i="1"/>
  <c r="BA630" i="1"/>
  <c r="BB630" i="1"/>
  <c r="BC630" i="1"/>
  <c r="BD630" i="1"/>
  <c r="BE630" i="1"/>
  <c r="BF630" i="1"/>
  <c r="BG630" i="1"/>
  <c r="BH630" i="1"/>
  <c r="BI630" i="1"/>
  <c r="BJ630" i="1"/>
  <c r="BK630" i="1"/>
  <c r="BL630" i="1"/>
  <c r="AX631" i="1"/>
  <c r="AY631" i="1"/>
  <c r="AZ631" i="1"/>
  <c r="BA631" i="1"/>
  <c r="BB631" i="1"/>
  <c r="BC631" i="1"/>
  <c r="BD631" i="1"/>
  <c r="BE631" i="1"/>
  <c r="BF631" i="1"/>
  <c r="BG631" i="1"/>
  <c r="BH631" i="1"/>
  <c r="BI631" i="1"/>
  <c r="BJ631" i="1"/>
  <c r="BK631" i="1"/>
  <c r="BL631" i="1"/>
  <c r="AX632" i="1"/>
  <c r="AY632" i="1"/>
  <c r="AZ632" i="1"/>
  <c r="BA632" i="1"/>
  <c r="BB632" i="1"/>
  <c r="BC632" i="1"/>
  <c r="BD632" i="1"/>
  <c r="BE632" i="1"/>
  <c r="BF632" i="1"/>
  <c r="BG632" i="1"/>
  <c r="BH632" i="1"/>
  <c r="BI632" i="1"/>
  <c r="BJ632" i="1"/>
  <c r="BK632" i="1"/>
  <c r="BL632" i="1"/>
  <c r="AX633" i="1"/>
  <c r="AY633" i="1"/>
  <c r="AZ633" i="1"/>
  <c r="BA633" i="1"/>
  <c r="BB633" i="1"/>
  <c r="BC633" i="1"/>
  <c r="BD633" i="1"/>
  <c r="BE633" i="1"/>
  <c r="BF633" i="1"/>
  <c r="BG633" i="1"/>
  <c r="BH633" i="1"/>
  <c r="BI633" i="1"/>
  <c r="BJ633" i="1"/>
  <c r="BK633" i="1"/>
  <c r="BL633" i="1"/>
  <c r="AX634" i="1"/>
  <c r="AY634" i="1"/>
  <c r="AZ634" i="1"/>
  <c r="BA634" i="1"/>
  <c r="BB634" i="1"/>
  <c r="BC634" i="1"/>
  <c r="BD634" i="1"/>
  <c r="BE634" i="1"/>
  <c r="BF634" i="1"/>
  <c r="BG634" i="1"/>
  <c r="BH634" i="1"/>
  <c r="BI634" i="1"/>
  <c r="BJ634" i="1"/>
  <c r="BK634" i="1"/>
  <c r="BL634" i="1"/>
  <c r="AX635" i="1"/>
  <c r="AY635" i="1"/>
  <c r="AZ635" i="1"/>
  <c r="BA635" i="1"/>
  <c r="BB635" i="1"/>
  <c r="BC635" i="1"/>
  <c r="BD635" i="1"/>
  <c r="BE635" i="1"/>
  <c r="BF635" i="1"/>
  <c r="BG635" i="1"/>
  <c r="BH635" i="1"/>
  <c r="BI635" i="1"/>
  <c r="BJ635" i="1"/>
  <c r="BK635" i="1"/>
  <c r="BL635" i="1"/>
  <c r="AX636" i="1"/>
  <c r="AY636" i="1"/>
  <c r="AZ636" i="1"/>
  <c r="BA636" i="1"/>
  <c r="BB636" i="1"/>
  <c r="BC636" i="1"/>
  <c r="BD636" i="1"/>
  <c r="BE636" i="1"/>
  <c r="BF636" i="1"/>
  <c r="BG636" i="1"/>
  <c r="BH636" i="1"/>
  <c r="BI636" i="1"/>
  <c r="BJ636" i="1"/>
  <c r="BK636" i="1"/>
  <c r="BL636" i="1"/>
  <c r="AX637" i="1"/>
  <c r="AY637" i="1"/>
  <c r="AZ637" i="1"/>
  <c r="BA637" i="1"/>
  <c r="BB637" i="1"/>
  <c r="BC637" i="1"/>
  <c r="BD637" i="1"/>
  <c r="BE637" i="1"/>
  <c r="BF637" i="1"/>
  <c r="BG637" i="1"/>
  <c r="BH637" i="1"/>
  <c r="BI637" i="1"/>
  <c r="BJ637" i="1"/>
  <c r="BK637" i="1"/>
  <c r="BL637" i="1"/>
  <c r="AX638" i="1"/>
  <c r="AY638" i="1"/>
  <c r="AZ638" i="1"/>
  <c r="BA638" i="1"/>
  <c r="BB638" i="1"/>
  <c r="BC638" i="1"/>
  <c r="BD638" i="1"/>
  <c r="BE638" i="1"/>
  <c r="BF638" i="1"/>
  <c r="BG638" i="1"/>
  <c r="BH638" i="1"/>
  <c r="BI638" i="1"/>
  <c r="BJ638" i="1"/>
  <c r="BK638" i="1"/>
  <c r="BL638" i="1"/>
  <c r="AX639" i="1"/>
  <c r="AY639" i="1"/>
  <c r="AZ639" i="1"/>
  <c r="BA639" i="1"/>
  <c r="BB639" i="1"/>
  <c r="BC639" i="1"/>
  <c r="BD639" i="1"/>
  <c r="BE639" i="1"/>
  <c r="BF639" i="1"/>
  <c r="BG639" i="1"/>
  <c r="BH639" i="1"/>
  <c r="BI639" i="1"/>
  <c r="BJ639" i="1"/>
  <c r="BK639" i="1"/>
  <c r="BL639" i="1"/>
  <c r="AX640" i="1"/>
  <c r="AY640" i="1"/>
  <c r="AZ640" i="1"/>
  <c r="BA640" i="1"/>
  <c r="BB640" i="1"/>
  <c r="BC640" i="1"/>
  <c r="BD640" i="1"/>
  <c r="BE640" i="1"/>
  <c r="BF640" i="1"/>
  <c r="BG640" i="1"/>
  <c r="BH640" i="1"/>
  <c r="BI640" i="1"/>
  <c r="BJ640" i="1"/>
  <c r="BK640" i="1"/>
  <c r="BL640" i="1"/>
  <c r="AX641" i="1"/>
  <c r="AY641" i="1"/>
  <c r="AZ641" i="1"/>
  <c r="BA641" i="1"/>
  <c r="BB641" i="1"/>
  <c r="BC641" i="1"/>
  <c r="BD641" i="1"/>
  <c r="BE641" i="1"/>
  <c r="BF641" i="1"/>
  <c r="BG641" i="1"/>
  <c r="BH641" i="1"/>
  <c r="BI641" i="1"/>
  <c r="BJ641" i="1"/>
  <c r="BK641" i="1"/>
  <c r="BL641" i="1"/>
  <c r="AX642" i="1"/>
  <c r="AY642" i="1"/>
  <c r="AZ642" i="1"/>
  <c r="BA642" i="1"/>
  <c r="BB642" i="1"/>
  <c r="BC642" i="1"/>
  <c r="BD642" i="1"/>
  <c r="BE642" i="1"/>
  <c r="BF642" i="1"/>
  <c r="BG642" i="1"/>
  <c r="BH642" i="1"/>
  <c r="BI642" i="1"/>
  <c r="BJ642" i="1"/>
  <c r="BK642" i="1"/>
  <c r="BL642" i="1"/>
  <c r="AX643" i="1"/>
  <c r="AY643" i="1"/>
  <c r="AZ643" i="1"/>
  <c r="BA643" i="1"/>
  <c r="BB643" i="1"/>
  <c r="BC643" i="1"/>
  <c r="BD643" i="1"/>
  <c r="BE643" i="1"/>
  <c r="BF643" i="1"/>
  <c r="BG643" i="1"/>
  <c r="BH643" i="1"/>
  <c r="BI643" i="1"/>
  <c r="BJ643" i="1"/>
  <c r="BK643" i="1"/>
  <c r="BL643" i="1"/>
  <c r="AX644" i="1"/>
  <c r="AY644" i="1"/>
  <c r="AZ644" i="1"/>
  <c r="BA644" i="1"/>
  <c r="BB644" i="1"/>
  <c r="BC644" i="1"/>
  <c r="BD644" i="1"/>
  <c r="BE644" i="1"/>
  <c r="BF644" i="1"/>
  <c r="BG644" i="1"/>
  <c r="BH644" i="1"/>
  <c r="BI644" i="1"/>
  <c r="BJ644" i="1"/>
  <c r="BK644" i="1"/>
  <c r="BL644" i="1"/>
  <c r="AX645" i="1"/>
  <c r="AY645" i="1"/>
  <c r="AZ645" i="1"/>
  <c r="BA645" i="1"/>
  <c r="BB645" i="1"/>
  <c r="BC645" i="1"/>
  <c r="BD645" i="1"/>
  <c r="BE645" i="1"/>
  <c r="BF645" i="1"/>
  <c r="BG645" i="1"/>
  <c r="BH645" i="1"/>
  <c r="BI645" i="1"/>
  <c r="BJ645" i="1"/>
  <c r="BK645" i="1"/>
  <c r="BL645" i="1"/>
  <c r="AX646" i="1"/>
  <c r="AY646" i="1"/>
  <c r="AZ646" i="1"/>
  <c r="BA646" i="1"/>
  <c r="BB646" i="1"/>
  <c r="BC646" i="1"/>
  <c r="BD646" i="1"/>
  <c r="BE646" i="1"/>
  <c r="BF646" i="1"/>
  <c r="BG646" i="1"/>
  <c r="BH646" i="1"/>
  <c r="BI646" i="1"/>
  <c r="BJ646" i="1"/>
  <c r="BK646" i="1"/>
  <c r="BL646" i="1"/>
  <c r="AX647" i="1"/>
  <c r="AY647" i="1"/>
  <c r="AZ647" i="1"/>
  <c r="BA647" i="1"/>
  <c r="BB647" i="1"/>
  <c r="BC647" i="1"/>
  <c r="BD647" i="1"/>
  <c r="BE647" i="1"/>
  <c r="BF647" i="1"/>
  <c r="BG647" i="1"/>
  <c r="BH647" i="1"/>
  <c r="BI647" i="1"/>
  <c r="BJ647" i="1"/>
  <c r="BK647" i="1"/>
  <c r="BL647" i="1"/>
  <c r="AX648" i="1"/>
  <c r="AY648" i="1"/>
  <c r="AZ648" i="1"/>
  <c r="BA648" i="1"/>
  <c r="BB648" i="1"/>
  <c r="BC648" i="1"/>
  <c r="BD648" i="1"/>
  <c r="BE648" i="1"/>
  <c r="BF648" i="1"/>
  <c r="BG648" i="1"/>
  <c r="BH648" i="1"/>
  <c r="BI648" i="1"/>
  <c r="BJ648" i="1"/>
  <c r="BK648" i="1"/>
  <c r="BL648" i="1"/>
  <c r="AX649" i="1"/>
  <c r="AY649" i="1"/>
  <c r="AZ649" i="1"/>
  <c r="BA649" i="1"/>
  <c r="BB649" i="1"/>
  <c r="BC649" i="1"/>
  <c r="BD649" i="1"/>
  <c r="BE649" i="1"/>
  <c r="BF649" i="1"/>
  <c r="BG649" i="1"/>
  <c r="BH649" i="1"/>
  <c r="BI649" i="1"/>
  <c r="BJ649" i="1"/>
  <c r="BK649" i="1"/>
  <c r="BL649" i="1"/>
  <c r="AX650" i="1"/>
  <c r="AY650" i="1"/>
  <c r="AZ650" i="1"/>
  <c r="BA650" i="1"/>
  <c r="BB650" i="1"/>
  <c r="BC650" i="1"/>
  <c r="BD650" i="1"/>
  <c r="BE650" i="1"/>
  <c r="BF650" i="1"/>
  <c r="BG650" i="1"/>
  <c r="BH650" i="1"/>
  <c r="BI650" i="1"/>
  <c r="BJ650" i="1"/>
  <c r="BK650" i="1"/>
  <c r="BL650" i="1"/>
  <c r="AX3" i="1"/>
  <c r="AY3" i="1"/>
  <c r="AZ3" i="1"/>
  <c r="BA3" i="1"/>
  <c r="BB3" i="1"/>
  <c r="BC3" i="1"/>
  <c r="BD3" i="1"/>
  <c r="BE3" i="1"/>
  <c r="BF3" i="1"/>
  <c r="BG3" i="1"/>
  <c r="BH3" i="1"/>
  <c r="BI3" i="1"/>
  <c r="BJ3" i="1"/>
  <c r="BK3" i="1"/>
  <c r="BL3" i="1"/>
  <c r="BK2" i="1"/>
  <c r="BL2" i="1"/>
  <c r="BL653" i="1" s="1"/>
  <c r="BD2" i="1"/>
  <c r="BE2" i="1"/>
  <c r="BF2" i="1"/>
  <c r="BF653" i="1" s="1"/>
  <c r="BG2" i="1"/>
  <c r="BH2" i="1"/>
  <c r="BI2" i="1"/>
  <c r="BI653" i="1" s="1"/>
  <c r="BJ2" i="1"/>
  <c r="B3"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2" i="2"/>
  <c r="AX2" i="1"/>
  <c r="AY2" i="1"/>
  <c r="AZ2" i="1"/>
  <c r="AZ653" i="1" s="1"/>
  <c r="BA2" i="1"/>
  <c r="BB2" i="1"/>
  <c r="BC2" i="1"/>
  <c r="BC653" i="1" s="1"/>
  <c r="AK3" i="1"/>
  <c r="AL3" i="1"/>
  <c r="AM3" i="1"/>
  <c r="AN3" i="1"/>
  <c r="AO3" i="1"/>
  <c r="AP3" i="1"/>
  <c r="AQ3" i="1"/>
  <c r="AR3" i="1"/>
  <c r="AS3" i="1"/>
  <c r="AT3" i="1"/>
  <c r="AU3" i="1"/>
  <c r="AV3" i="1"/>
  <c r="AW3" i="1"/>
  <c r="AK4" i="1"/>
  <c r="AL4" i="1"/>
  <c r="AM4" i="1"/>
  <c r="AN4" i="1"/>
  <c r="AO4" i="1"/>
  <c r="AP4" i="1"/>
  <c r="AQ4" i="1"/>
  <c r="AR4" i="1"/>
  <c r="AS4" i="1"/>
  <c r="AT4" i="1"/>
  <c r="AU4" i="1"/>
  <c r="AV4" i="1"/>
  <c r="AW4" i="1"/>
  <c r="AK5" i="1"/>
  <c r="AL5" i="1"/>
  <c r="AM5" i="1"/>
  <c r="AN5" i="1"/>
  <c r="AO5" i="1"/>
  <c r="AP5" i="1"/>
  <c r="AQ5" i="1"/>
  <c r="AR5" i="1"/>
  <c r="AS5" i="1"/>
  <c r="AT5" i="1"/>
  <c r="AU5" i="1"/>
  <c r="AV5" i="1"/>
  <c r="AW5" i="1"/>
  <c r="AK6" i="1"/>
  <c r="AL6" i="1"/>
  <c r="AM6" i="1"/>
  <c r="AN6" i="1"/>
  <c r="AO6" i="1"/>
  <c r="AP6" i="1"/>
  <c r="AQ6" i="1"/>
  <c r="AR6" i="1"/>
  <c r="AS6" i="1"/>
  <c r="AT6" i="1"/>
  <c r="AU6" i="1"/>
  <c r="AV6" i="1"/>
  <c r="AW6" i="1"/>
  <c r="AK7" i="1"/>
  <c r="AL7" i="1"/>
  <c r="AM7" i="1"/>
  <c r="AN7" i="1"/>
  <c r="AO7" i="1"/>
  <c r="AP7" i="1"/>
  <c r="AQ7" i="1"/>
  <c r="AR7" i="1"/>
  <c r="AS7" i="1"/>
  <c r="AT7" i="1"/>
  <c r="AU7" i="1"/>
  <c r="AV7" i="1"/>
  <c r="AW7" i="1"/>
  <c r="AK8" i="1"/>
  <c r="AL8" i="1"/>
  <c r="AM8" i="1"/>
  <c r="AN8" i="1"/>
  <c r="AO8" i="1"/>
  <c r="AP8" i="1"/>
  <c r="AQ8" i="1"/>
  <c r="AR8" i="1"/>
  <c r="AS8" i="1"/>
  <c r="AT8" i="1"/>
  <c r="AU8" i="1"/>
  <c r="AV8" i="1"/>
  <c r="AW8" i="1"/>
  <c r="AK9" i="1"/>
  <c r="AL9" i="1"/>
  <c r="AM9" i="1"/>
  <c r="AN9" i="1"/>
  <c r="AO9" i="1"/>
  <c r="AP9" i="1"/>
  <c r="AQ9" i="1"/>
  <c r="AR9" i="1"/>
  <c r="AS9" i="1"/>
  <c r="AT9" i="1"/>
  <c r="AU9" i="1"/>
  <c r="AV9" i="1"/>
  <c r="AW9" i="1"/>
  <c r="AK10" i="1"/>
  <c r="AL10" i="1"/>
  <c r="AM10" i="1"/>
  <c r="AN10" i="1"/>
  <c r="AO10" i="1"/>
  <c r="AP10" i="1"/>
  <c r="AQ10" i="1"/>
  <c r="AR10" i="1"/>
  <c r="AS10" i="1"/>
  <c r="AT10" i="1"/>
  <c r="AU10" i="1"/>
  <c r="AV10" i="1"/>
  <c r="AW10" i="1"/>
  <c r="AK11" i="1"/>
  <c r="AL11" i="1"/>
  <c r="AM11" i="1"/>
  <c r="AN11" i="1"/>
  <c r="AO11" i="1"/>
  <c r="AP11" i="1"/>
  <c r="AQ11" i="1"/>
  <c r="AR11" i="1"/>
  <c r="AS11" i="1"/>
  <c r="AT11" i="1"/>
  <c r="AU11" i="1"/>
  <c r="AV11" i="1"/>
  <c r="AW11" i="1"/>
  <c r="AK12" i="1"/>
  <c r="AL12" i="1"/>
  <c r="AM12" i="1"/>
  <c r="AN12" i="1"/>
  <c r="AO12" i="1"/>
  <c r="AP12" i="1"/>
  <c r="AQ12" i="1"/>
  <c r="AR12" i="1"/>
  <c r="AS12" i="1"/>
  <c r="AT12" i="1"/>
  <c r="AU12" i="1"/>
  <c r="AV12" i="1"/>
  <c r="AW12" i="1"/>
  <c r="AK13" i="1"/>
  <c r="AL13" i="1"/>
  <c r="AM13" i="1"/>
  <c r="AN13" i="1"/>
  <c r="AO13" i="1"/>
  <c r="AP13" i="1"/>
  <c r="AQ13" i="1"/>
  <c r="AR13" i="1"/>
  <c r="AS13" i="1"/>
  <c r="AT13" i="1"/>
  <c r="AU13" i="1"/>
  <c r="AV13" i="1"/>
  <c r="AW13" i="1"/>
  <c r="AK14" i="1"/>
  <c r="AL14" i="1"/>
  <c r="AM14" i="1"/>
  <c r="AN14" i="1"/>
  <c r="AO14" i="1"/>
  <c r="AP14" i="1"/>
  <c r="AQ14" i="1"/>
  <c r="AR14" i="1"/>
  <c r="AS14" i="1"/>
  <c r="AT14" i="1"/>
  <c r="AU14" i="1"/>
  <c r="AV14" i="1"/>
  <c r="AW14" i="1"/>
  <c r="AK15" i="1"/>
  <c r="AL15" i="1"/>
  <c r="AM15" i="1"/>
  <c r="AN15" i="1"/>
  <c r="AO15" i="1"/>
  <c r="AP15" i="1"/>
  <c r="AQ15" i="1"/>
  <c r="AR15" i="1"/>
  <c r="AS15" i="1"/>
  <c r="AT15" i="1"/>
  <c r="AU15" i="1"/>
  <c r="AV15" i="1"/>
  <c r="AW15" i="1"/>
  <c r="AK16" i="1"/>
  <c r="AL16" i="1"/>
  <c r="AM16" i="1"/>
  <c r="AN16" i="1"/>
  <c r="AO16" i="1"/>
  <c r="AP16" i="1"/>
  <c r="AQ16" i="1"/>
  <c r="AR16" i="1"/>
  <c r="AS16" i="1"/>
  <c r="AT16" i="1"/>
  <c r="AU16" i="1"/>
  <c r="AV16" i="1"/>
  <c r="AW16" i="1"/>
  <c r="AK17" i="1"/>
  <c r="AL17" i="1"/>
  <c r="AM17" i="1"/>
  <c r="AN17" i="1"/>
  <c r="AO17" i="1"/>
  <c r="AP17" i="1"/>
  <c r="AQ17" i="1"/>
  <c r="AR17" i="1"/>
  <c r="AS17" i="1"/>
  <c r="AT17" i="1"/>
  <c r="AU17" i="1"/>
  <c r="AV17" i="1"/>
  <c r="AW17" i="1"/>
  <c r="AK18" i="1"/>
  <c r="AL18" i="1"/>
  <c r="AM18" i="1"/>
  <c r="AN18" i="1"/>
  <c r="AO18" i="1"/>
  <c r="AP18" i="1"/>
  <c r="AQ18" i="1"/>
  <c r="AR18" i="1"/>
  <c r="AS18" i="1"/>
  <c r="AT18" i="1"/>
  <c r="AU18" i="1"/>
  <c r="AV18" i="1"/>
  <c r="AW18" i="1"/>
  <c r="AK19" i="1"/>
  <c r="AL19" i="1"/>
  <c r="AM19" i="1"/>
  <c r="AN19" i="1"/>
  <c r="AO19" i="1"/>
  <c r="AP19" i="1"/>
  <c r="AQ19" i="1"/>
  <c r="AR19" i="1"/>
  <c r="AS19" i="1"/>
  <c r="AT19" i="1"/>
  <c r="AU19" i="1"/>
  <c r="AV19" i="1"/>
  <c r="AW19" i="1"/>
  <c r="AK20" i="1"/>
  <c r="AL20" i="1"/>
  <c r="AM20" i="1"/>
  <c r="AN20" i="1"/>
  <c r="AO20" i="1"/>
  <c r="AP20" i="1"/>
  <c r="AQ20" i="1"/>
  <c r="AR20" i="1"/>
  <c r="AS20" i="1"/>
  <c r="AT20" i="1"/>
  <c r="AU20" i="1"/>
  <c r="AV20" i="1"/>
  <c r="AW20" i="1"/>
  <c r="AK21" i="1"/>
  <c r="AL21" i="1"/>
  <c r="AM21" i="1"/>
  <c r="AN21" i="1"/>
  <c r="AO21" i="1"/>
  <c r="AP21" i="1"/>
  <c r="AQ21" i="1"/>
  <c r="AR21" i="1"/>
  <c r="AS21" i="1"/>
  <c r="AT21" i="1"/>
  <c r="AU21" i="1"/>
  <c r="AV21" i="1"/>
  <c r="AW21" i="1"/>
  <c r="AK22" i="1"/>
  <c r="AL22" i="1"/>
  <c r="AM22" i="1"/>
  <c r="AN22" i="1"/>
  <c r="AO22" i="1"/>
  <c r="AP22" i="1"/>
  <c r="AQ22" i="1"/>
  <c r="AR22" i="1"/>
  <c r="AS22" i="1"/>
  <c r="AT22" i="1"/>
  <c r="AU22" i="1"/>
  <c r="AV22" i="1"/>
  <c r="AW22" i="1"/>
  <c r="AK23" i="1"/>
  <c r="AL23" i="1"/>
  <c r="AM23" i="1"/>
  <c r="AN23" i="1"/>
  <c r="AO23" i="1"/>
  <c r="AP23" i="1"/>
  <c r="AQ23" i="1"/>
  <c r="AR23" i="1"/>
  <c r="AS23" i="1"/>
  <c r="AT23" i="1"/>
  <c r="AU23" i="1"/>
  <c r="AV23" i="1"/>
  <c r="AW23" i="1"/>
  <c r="AK24" i="1"/>
  <c r="AL24" i="1"/>
  <c r="AM24" i="1"/>
  <c r="AN24" i="1"/>
  <c r="AO24" i="1"/>
  <c r="AP24" i="1"/>
  <c r="AQ24" i="1"/>
  <c r="AR24" i="1"/>
  <c r="AS24" i="1"/>
  <c r="AT24" i="1"/>
  <c r="AU24" i="1"/>
  <c r="AV24" i="1"/>
  <c r="AW24" i="1"/>
  <c r="AK25" i="1"/>
  <c r="AL25" i="1"/>
  <c r="AM25" i="1"/>
  <c r="AN25" i="1"/>
  <c r="AO25" i="1"/>
  <c r="AP25" i="1"/>
  <c r="AQ25" i="1"/>
  <c r="AR25" i="1"/>
  <c r="AS25" i="1"/>
  <c r="AT25" i="1"/>
  <c r="AU25" i="1"/>
  <c r="AV25" i="1"/>
  <c r="AW25" i="1"/>
  <c r="AK26" i="1"/>
  <c r="AL26" i="1"/>
  <c r="AM26" i="1"/>
  <c r="AN26" i="1"/>
  <c r="AO26" i="1"/>
  <c r="AP26" i="1"/>
  <c r="AQ26" i="1"/>
  <c r="AR26" i="1"/>
  <c r="AS26" i="1"/>
  <c r="AT26" i="1"/>
  <c r="AU26" i="1"/>
  <c r="AV26" i="1"/>
  <c r="AW26" i="1"/>
  <c r="AK27" i="1"/>
  <c r="AL27" i="1"/>
  <c r="AM27" i="1"/>
  <c r="AN27" i="1"/>
  <c r="AO27" i="1"/>
  <c r="AP27" i="1"/>
  <c r="AQ27" i="1"/>
  <c r="AR27" i="1"/>
  <c r="AS27" i="1"/>
  <c r="AT27" i="1"/>
  <c r="AU27" i="1"/>
  <c r="AV27" i="1"/>
  <c r="AW27" i="1"/>
  <c r="AK28" i="1"/>
  <c r="AL28" i="1"/>
  <c r="AM28" i="1"/>
  <c r="AN28" i="1"/>
  <c r="AO28" i="1"/>
  <c r="AP28" i="1"/>
  <c r="AQ28" i="1"/>
  <c r="AR28" i="1"/>
  <c r="AS28" i="1"/>
  <c r="AT28" i="1"/>
  <c r="AU28" i="1"/>
  <c r="AV28" i="1"/>
  <c r="AW28" i="1"/>
  <c r="AK29" i="1"/>
  <c r="AL29" i="1"/>
  <c r="AM29" i="1"/>
  <c r="AN29" i="1"/>
  <c r="AO29" i="1"/>
  <c r="AP29" i="1"/>
  <c r="AQ29" i="1"/>
  <c r="AR29" i="1"/>
  <c r="AS29" i="1"/>
  <c r="AT29" i="1"/>
  <c r="AU29" i="1"/>
  <c r="AV29" i="1"/>
  <c r="AW29" i="1"/>
  <c r="AK30" i="1"/>
  <c r="AL30" i="1"/>
  <c r="AM30" i="1"/>
  <c r="AN30" i="1"/>
  <c r="AO30" i="1"/>
  <c r="AP30" i="1"/>
  <c r="AQ30" i="1"/>
  <c r="AR30" i="1"/>
  <c r="AS30" i="1"/>
  <c r="AT30" i="1"/>
  <c r="AU30" i="1"/>
  <c r="AV30" i="1"/>
  <c r="AW30" i="1"/>
  <c r="AK31" i="1"/>
  <c r="AL31" i="1"/>
  <c r="AM31" i="1"/>
  <c r="AN31" i="1"/>
  <c r="AO31" i="1"/>
  <c r="AP31" i="1"/>
  <c r="AQ31" i="1"/>
  <c r="AR31" i="1"/>
  <c r="AS31" i="1"/>
  <c r="AT31" i="1"/>
  <c r="AU31" i="1"/>
  <c r="AV31" i="1"/>
  <c r="AW31" i="1"/>
  <c r="AK32" i="1"/>
  <c r="AL32" i="1"/>
  <c r="AM32" i="1"/>
  <c r="AN32" i="1"/>
  <c r="AO32" i="1"/>
  <c r="AP32" i="1"/>
  <c r="AQ32" i="1"/>
  <c r="AR32" i="1"/>
  <c r="AS32" i="1"/>
  <c r="AT32" i="1"/>
  <c r="AU32" i="1"/>
  <c r="AV32" i="1"/>
  <c r="AW32" i="1"/>
  <c r="AK33" i="1"/>
  <c r="AL33" i="1"/>
  <c r="AM33" i="1"/>
  <c r="AN33" i="1"/>
  <c r="AO33" i="1"/>
  <c r="AP33" i="1"/>
  <c r="AQ33" i="1"/>
  <c r="AR33" i="1"/>
  <c r="AS33" i="1"/>
  <c r="AT33" i="1"/>
  <c r="AU33" i="1"/>
  <c r="AV33" i="1"/>
  <c r="AW33" i="1"/>
  <c r="AK34" i="1"/>
  <c r="AL34" i="1"/>
  <c r="AM34" i="1"/>
  <c r="AN34" i="1"/>
  <c r="AO34" i="1"/>
  <c r="AP34" i="1"/>
  <c r="AQ34" i="1"/>
  <c r="AR34" i="1"/>
  <c r="AS34" i="1"/>
  <c r="AT34" i="1"/>
  <c r="AU34" i="1"/>
  <c r="AV34" i="1"/>
  <c r="AW34" i="1"/>
  <c r="AK35" i="1"/>
  <c r="AL35" i="1"/>
  <c r="AM35" i="1"/>
  <c r="AN35" i="1"/>
  <c r="AO35" i="1"/>
  <c r="AP35" i="1"/>
  <c r="AQ35" i="1"/>
  <c r="AR35" i="1"/>
  <c r="AS35" i="1"/>
  <c r="AT35" i="1"/>
  <c r="AU35" i="1"/>
  <c r="AV35" i="1"/>
  <c r="AW35" i="1"/>
  <c r="AK36" i="1"/>
  <c r="AL36" i="1"/>
  <c r="AM36" i="1"/>
  <c r="AN36" i="1"/>
  <c r="AO36" i="1"/>
  <c r="AP36" i="1"/>
  <c r="AQ36" i="1"/>
  <c r="AR36" i="1"/>
  <c r="AS36" i="1"/>
  <c r="AT36" i="1"/>
  <c r="AU36" i="1"/>
  <c r="AV36" i="1"/>
  <c r="AW36" i="1"/>
  <c r="AK37" i="1"/>
  <c r="AL37" i="1"/>
  <c r="AM37" i="1"/>
  <c r="AN37" i="1"/>
  <c r="AO37" i="1"/>
  <c r="AP37" i="1"/>
  <c r="AQ37" i="1"/>
  <c r="AR37" i="1"/>
  <c r="AS37" i="1"/>
  <c r="AT37" i="1"/>
  <c r="AU37" i="1"/>
  <c r="AV37" i="1"/>
  <c r="AW37" i="1"/>
  <c r="AK38" i="1"/>
  <c r="AL38" i="1"/>
  <c r="AM38" i="1"/>
  <c r="AN38" i="1"/>
  <c r="AO38" i="1"/>
  <c r="AP38" i="1"/>
  <c r="AQ38" i="1"/>
  <c r="AR38" i="1"/>
  <c r="AS38" i="1"/>
  <c r="AT38" i="1"/>
  <c r="AU38" i="1"/>
  <c r="AV38" i="1"/>
  <c r="AW38" i="1"/>
  <c r="AK39" i="1"/>
  <c r="AL39" i="1"/>
  <c r="AM39" i="1"/>
  <c r="AN39" i="1"/>
  <c r="AO39" i="1"/>
  <c r="AP39" i="1"/>
  <c r="AQ39" i="1"/>
  <c r="AR39" i="1"/>
  <c r="AS39" i="1"/>
  <c r="AT39" i="1"/>
  <c r="AU39" i="1"/>
  <c r="AV39" i="1"/>
  <c r="AW39" i="1"/>
  <c r="AK40" i="1"/>
  <c r="AL40" i="1"/>
  <c r="AM40" i="1"/>
  <c r="AN40" i="1"/>
  <c r="AO40" i="1"/>
  <c r="AP40" i="1"/>
  <c r="AQ40" i="1"/>
  <c r="AR40" i="1"/>
  <c r="AS40" i="1"/>
  <c r="AT40" i="1"/>
  <c r="AU40" i="1"/>
  <c r="AV40" i="1"/>
  <c r="AW40" i="1"/>
  <c r="AK41" i="1"/>
  <c r="AL41" i="1"/>
  <c r="AM41" i="1"/>
  <c r="AN41" i="1"/>
  <c r="AO41" i="1"/>
  <c r="AP41" i="1"/>
  <c r="AQ41" i="1"/>
  <c r="AR41" i="1"/>
  <c r="AS41" i="1"/>
  <c r="AT41" i="1"/>
  <c r="AU41" i="1"/>
  <c r="AV41" i="1"/>
  <c r="AW41" i="1"/>
  <c r="AK42" i="1"/>
  <c r="AL42" i="1"/>
  <c r="AM42" i="1"/>
  <c r="AN42" i="1"/>
  <c r="AO42" i="1"/>
  <c r="AP42" i="1"/>
  <c r="AQ42" i="1"/>
  <c r="AR42" i="1"/>
  <c r="AS42" i="1"/>
  <c r="AT42" i="1"/>
  <c r="AU42" i="1"/>
  <c r="AV42" i="1"/>
  <c r="AW42" i="1"/>
  <c r="AK43" i="1"/>
  <c r="AL43" i="1"/>
  <c r="AM43" i="1"/>
  <c r="AN43" i="1"/>
  <c r="AO43" i="1"/>
  <c r="AP43" i="1"/>
  <c r="AQ43" i="1"/>
  <c r="AR43" i="1"/>
  <c r="AS43" i="1"/>
  <c r="AT43" i="1"/>
  <c r="AU43" i="1"/>
  <c r="AV43" i="1"/>
  <c r="AW43" i="1"/>
  <c r="AK44" i="1"/>
  <c r="AL44" i="1"/>
  <c r="AM44" i="1"/>
  <c r="AN44" i="1"/>
  <c r="AO44" i="1"/>
  <c r="AP44" i="1"/>
  <c r="AQ44" i="1"/>
  <c r="AR44" i="1"/>
  <c r="AS44" i="1"/>
  <c r="AT44" i="1"/>
  <c r="AU44" i="1"/>
  <c r="AV44" i="1"/>
  <c r="AW44" i="1"/>
  <c r="AK45" i="1"/>
  <c r="AL45" i="1"/>
  <c r="AM45" i="1"/>
  <c r="AN45" i="1"/>
  <c r="AO45" i="1"/>
  <c r="AP45" i="1"/>
  <c r="AQ45" i="1"/>
  <c r="AR45" i="1"/>
  <c r="AS45" i="1"/>
  <c r="AT45" i="1"/>
  <c r="AU45" i="1"/>
  <c r="AV45" i="1"/>
  <c r="AW45" i="1"/>
  <c r="AK46" i="1"/>
  <c r="AL46" i="1"/>
  <c r="AM46" i="1"/>
  <c r="AN46" i="1"/>
  <c r="AO46" i="1"/>
  <c r="AP46" i="1"/>
  <c r="AQ46" i="1"/>
  <c r="AR46" i="1"/>
  <c r="AS46" i="1"/>
  <c r="AT46" i="1"/>
  <c r="AU46" i="1"/>
  <c r="AV46" i="1"/>
  <c r="AW46" i="1"/>
  <c r="AK47" i="1"/>
  <c r="AL47" i="1"/>
  <c r="AM47" i="1"/>
  <c r="AN47" i="1"/>
  <c r="AO47" i="1"/>
  <c r="AP47" i="1"/>
  <c r="AQ47" i="1"/>
  <c r="AR47" i="1"/>
  <c r="AS47" i="1"/>
  <c r="AT47" i="1"/>
  <c r="AU47" i="1"/>
  <c r="AV47" i="1"/>
  <c r="AW47" i="1"/>
  <c r="AK48" i="1"/>
  <c r="AL48" i="1"/>
  <c r="AM48" i="1"/>
  <c r="AN48" i="1"/>
  <c r="AO48" i="1"/>
  <c r="AP48" i="1"/>
  <c r="AQ48" i="1"/>
  <c r="AR48" i="1"/>
  <c r="AS48" i="1"/>
  <c r="AT48" i="1"/>
  <c r="AU48" i="1"/>
  <c r="AV48" i="1"/>
  <c r="AW48" i="1"/>
  <c r="AK49" i="1"/>
  <c r="AL49" i="1"/>
  <c r="AM49" i="1"/>
  <c r="AN49" i="1"/>
  <c r="AO49" i="1"/>
  <c r="AP49" i="1"/>
  <c r="AQ49" i="1"/>
  <c r="AR49" i="1"/>
  <c r="AS49" i="1"/>
  <c r="AT49" i="1"/>
  <c r="AU49" i="1"/>
  <c r="AV49" i="1"/>
  <c r="AW49" i="1"/>
  <c r="AK50" i="1"/>
  <c r="AL50" i="1"/>
  <c r="AM50" i="1"/>
  <c r="AN50" i="1"/>
  <c r="AO50" i="1"/>
  <c r="AP50" i="1"/>
  <c r="AQ50" i="1"/>
  <c r="AR50" i="1"/>
  <c r="AS50" i="1"/>
  <c r="AT50" i="1"/>
  <c r="AU50" i="1"/>
  <c r="AV50" i="1"/>
  <c r="AW50" i="1"/>
  <c r="AK51" i="1"/>
  <c r="AL51" i="1"/>
  <c r="AM51" i="1"/>
  <c r="AN51" i="1"/>
  <c r="AO51" i="1"/>
  <c r="AP51" i="1"/>
  <c r="AQ51" i="1"/>
  <c r="AR51" i="1"/>
  <c r="AS51" i="1"/>
  <c r="AT51" i="1"/>
  <c r="AU51" i="1"/>
  <c r="AV51" i="1"/>
  <c r="AW51" i="1"/>
  <c r="AK52" i="1"/>
  <c r="AL52" i="1"/>
  <c r="AM52" i="1"/>
  <c r="AN52" i="1"/>
  <c r="AO52" i="1"/>
  <c r="AP52" i="1"/>
  <c r="AQ52" i="1"/>
  <c r="AR52" i="1"/>
  <c r="AS52" i="1"/>
  <c r="AT52" i="1"/>
  <c r="AU52" i="1"/>
  <c r="AV52" i="1"/>
  <c r="AW52" i="1"/>
  <c r="AK53" i="1"/>
  <c r="AL53" i="1"/>
  <c r="AM53" i="1"/>
  <c r="AN53" i="1"/>
  <c r="AO53" i="1"/>
  <c r="AP53" i="1"/>
  <c r="AQ53" i="1"/>
  <c r="AR53" i="1"/>
  <c r="AS53" i="1"/>
  <c r="AT53" i="1"/>
  <c r="AU53" i="1"/>
  <c r="AV53" i="1"/>
  <c r="AW53" i="1"/>
  <c r="AK54" i="1"/>
  <c r="AL54" i="1"/>
  <c r="AM54" i="1"/>
  <c r="AN54" i="1"/>
  <c r="AO54" i="1"/>
  <c r="AP54" i="1"/>
  <c r="AQ54" i="1"/>
  <c r="AR54" i="1"/>
  <c r="AS54" i="1"/>
  <c r="AT54" i="1"/>
  <c r="AU54" i="1"/>
  <c r="AV54" i="1"/>
  <c r="AW54" i="1"/>
  <c r="AK55" i="1"/>
  <c r="AL55" i="1"/>
  <c r="AM55" i="1"/>
  <c r="AN55" i="1"/>
  <c r="AO55" i="1"/>
  <c r="AP55" i="1"/>
  <c r="AQ55" i="1"/>
  <c r="AR55" i="1"/>
  <c r="AS55" i="1"/>
  <c r="AT55" i="1"/>
  <c r="AU55" i="1"/>
  <c r="AV55" i="1"/>
  <c r="AW55" i="1"/>
  <c r="AK56" i="1"/>
  <c r="AL56" i="1"/>
  <c r="AM56" i="1"/>
  <c r="AN56" i="1"/>
  <c r="AO56" i="1"/>
  <c r="AP56" i="1"/>
  <c r="AQ56" i="1"/>
  <c r="AR56" i="1"/>
  <c r="AS56" i="1"/>
  <c r="AT56" i="1"/>
  <c r="AU56" i="1"/>
  <c r="AV56" i="1"/>
  <c r="AW56" i="1"/>
  <c r="AK57" i="1"/>
  <c r="AL57" i="1"/>
  <c r="AM57" i="1"/>
  <c r="AN57" i="1"/>
  <c r="AO57" i="1"/>
  <c r="AP57" i="1"/>
  <c r="AQ57" i="1"/>
  <c r="AR57" i="1"/>
  <c r="AS57" i="1"/>
  <c r="AT57" i="1"/>
  <c r="AU57" i="1"/>
  <c r="AV57" i="1"/>
  <c r="AW57" i="1"/>
  <c r="AK58" i="1"/>
  <c r="AL58" i="1"/>
  <c r="AM58" i="1"/>
  <c r="AN58" i="1"/>
  <c r="AO58" i="1"/>
  <c r="AP58" i="1"/>
  <c r="AQ58" i="1"/>
  <c r="AR58" i="1"/>
  <c r="AS58" i="1"/>
  <c r="AT58" i="1"/>
  <c r="AU58" i="1"/>
  <c r="AV58" i="1"/>
  <c r="AW58" i="1"/>
  <c r="AK59" i="1"/>
  <c r="AL59" i="1"/>
  <c r="AM59" i="1"/>
  <c r="AN59" i="1"/>
  <c r="AO59" i="1"/>
  <c r="AP59" i="1"/>
  <c r="AQ59" i="1"/>
  <c r="AR59" i="1"/>
  <c r="AS59" i="1"/>
  <c r="AT59" i="1"/>
  <c r="AU59" i="1"/>
  <c r="AV59" i="1"/>
  <c r="AW59" i="1"/>
  <c r="AK60" i="1"/>
  <c r="AL60" i="1"/>
  <c r="AM60" i="1"/>
  <c r="AN60" i="1"/>
  <c r="AO60" i="1"/>
  <c r="AP60" i="1"/>
  <c r="AQ60" i="1"/>
  <c r="AR60" i="1"/>
  <c r="AS60" i="1"/>
  <c r="AT60" i="1"/>
  <c r="AU60" i="1"/>
  <c r="AV60" i="1"/>
  <c r="AW60" i="1"/>
  <c r="AK61" i="1"/>
  <c r="AL61" i="1"/>
  <c r="AM61" i="1"/>
  <c r="AN61" i="1"/>
  <c r="AO61" i="1"/>
  <c r="AP61" i="1"/>
  <c r="AQ61" i="1"/>
  <c r="AR61" i="1"/>
  <c r="AS61" i="1"/>
  <c r="AT61" i="1"/>
  <c r="AU61" i="1"/>
  <c r="AV61" i="1"/>
  <c r="AW61" i="1"/>
  <c r="AK62" i="1"/>
  <c r="AL62" i="1"/>
  <c r="AM62" i="1"/>
  <c r="AN62" i="1"/>
  <c r="AO62" i="1"/>
  <c r="AP62" i="1"/>
  <c r="AQ62" i="1"/>
  <c r="AR62" i="1"/>
  <c r="AS62" i="1"/>
  <c r="AT62" i="1"/>
  <c r="AU62" i="1"/>
  <c r="AV62" i="1"/>
  <c r="AW62" i="1"/>
  <c r="AK63" i="1"/>
  <c r="AL63" i="1"/>
  <c r="AM63" i="1"/>
  <c r="AN63" i="1"/>
  <c r="AO63" i="1"/>
  <c r="AP63" i="1"/>
  <c r="AQ63" i="1"/>
  <c r="AR63" i="1"/>
  <c r="AS63" i="1"/>
  <c r="AT63" i="1"/>
  <c r="AU63" i="1"/>
  <c r="AV63" i="1"/>
  <c r="AW63" i="1"/>
  <c r="AK64" i="1"/>
  <c r="AL64" i="1"/>
  <c r="AM64" i="1"/>
  <c r="AN64" i="1"/>
  <c r="AO64" i="1"/>
  <c r="AP64" i="1"/>
  <c r="AQ64" i="1"/>
  <c r="AR64" i="1"/>
  <c r="AS64" i="1"/>
  <c r="AT64" i="1"/>
  <c r="AU64" i="1"/>
  <c r="AV64" i="1"/>
  <c r="AW64" i="1"/>
  <c r="AK65" i="1"/>
  <c r="AL65" i="1"/>
  <c r="AM65" i="1"/>
  <c r="AN65" i="1"/>
  <c r="AO65" i="1"/>
  <c r="AP65" i="1"/>
  <c r="AQ65" i="1"/>
  <c r="AR65" i="1"/>
  <c r="AS65" i="1"/>
  <c r="AT65" i="1"/>
  <c r="AU65" i="1"/>
  <c r="AV65" i="1"/>
  <c r="AW65" i="1"/>
  <c r="AK66" i="1"/>
  <c r="AL66" i="1"/>
  <c r="AM66" i="1"/>
  <c r="AN66" i="1"/>
  <c r="AO66" i="1"/>
  <c r="AP66" i="1"/>
  <c r="AQ66" i="1"/>
  <c r="AR66" i="1"/>
  <c r="AS66" i="1"/>
  <c r="AT66" i="1"/>
  <c r="AU66" i="1"/>
  <c r="AV66" i="1"/>
  <c r="AW66" i="1"/>
  <c r="AK67" i="1"/>
  <c r="AL67" i="1"/>
  <c r="AM67" i="1"/>
  <c r="AN67" i="1"/>
  <c r="AO67" i="1"/>
  <c r="AP67" i="1"/>
  <c r="AQ67" i="1"/>
  <c r="AR67" i="1"/>
  <c r="AS67" i="1"/>
  <c r="AT67" i="1"/>
  <c r="AU67" i="1"/>
  <c r="AV67" i="1"/>
  <c r="AW67" i="1"/>
  <c r="AK68" i="1"/>
  <c r="AL68" i="1"/>
  <c r="AM68" i="1"/>
  <c r="AN68" i="1"/>
  <c r="AO68" i="1"/>
  <c r="AP68" i="1"/>
  <c r="AQ68" i="1"/>
  <c r="AR68" i="1"/>
  <c r="AS68" i="1"/>
  <c r="AT68" i="1"/>
  <c r="AU68" i="1"/>
  <c r="AV68" i="1"/>
  <c r="AW68" i="1"/>
  <c r="AK69" i="1"/>
  <c r="AL69" i="1"/>
  <c r="AM69" i="1"/>
  <c r="AN69" i="1"/>
  <c r="AO69" i="1"/>
  <c r="AP69" i="1"/>
  <c r="AQ69" i="1"/>
  <c r="AR69" i="1"/>
  <c r="AS69" i="1"/>
  <c r="AT69" i="1"/>
  <c r="AU69" i="1"/>
  <c r="AV69" i="1"/>
  <c r="AW69" i="1"/>
  <c r="AK70" i="1"/>
  <c r="AL70" i="1"/>
  <c r="AM70" i="1"/>
  <c r="AN70" i="1"/>
  <c r="AO70" i="1"/>
  <c r="AP70" i="1"/>
  <c r="AQ70" i="1"/>
  <c r="AR70" i="1"/>
  <c r="AS70" i="1"/>
  <c r="AT70" i="1"/>
  <c r="AU70" i="1"/>
  <c r="AV70" i="1"/>
  <c r="AW70" i="1"/>
  <c r="AK71" i="1"/>
  <c r="AL71" i="1"/>
  <c r="AM71" i="1"/>
  <c r="AN71" i="1"/>
  <c r="AO71" i="1"/>
  <c r="AP71" i="1"/>
  <c r="AQ71" i="1"/>
  <c r="AR71" i="1"/>
  <c r="AS71" i="1"/>
  <c r="AT71" i="1"/>
  <c r="AU71" i="1"/>
  <c r="AV71" i="1"/>
  <c r="AW71" i="1"/>
  <c r="AK72" i="1"/>
  <c r="AL72" i="1"/>
  <c r="AM72" i="1"/>
  <c r="AN72" i="1"/>
  <c r="AO72" i="1"/>
  <c r="AP72" i="1"/>
  <c r="AQ72" i="1"/>
  <c r="AR72" i="1"/>
  <c r="AS72" i="1"/>
  <c r="AT72" i="1"/>
  <c r="AU72" i="1"/>
  <c r="AV72" i="1"/>
  <c r="AW72" i="1"/>
  <c r="AK73" i="1"/>
  <c r="AL73" i="1"/>
  <c r="AM73" i="1"/>
  <c r="AN73" i="1"/>
  <c r="AO73" i="1"/>
  <c r="AP73" i="1"/>
  <c r="AQ73" i="1"/>
  <c r="AR73" i="1"/>
  <c r="AS73" i="1"/>
  <c r="AT73" i="1"/>
  <c r="AU73" i="1"/>
  <c r="AV73" i="1"/>
  <c r="AW73" i="1"/>
  <c r="AK74" i="1"/>
  <c r="AL74" i="1"/>
  <c r="AM74" i="1"/>
  <c r="AN74" i="1"/>
  <c r="AO74" i="1"/>
  <c r="AP74" i="1"/>
  <c r="AQ74" i="1"/>
  <c r="AR74" i="1"/>
  <c r="AS74" i="1"/>
  <c r="AT74" i="1"/>
  <c r="AU74" i="1"/>
  <c r="AV74" i="1"/>
  <c r="AW74" i="1"/>
  <c r="AK75" i="1"/>
  <c r="AL75" i="1"/>
  <c r="AM75" i="1"/>
  <c r="AN75" i="1"/>
  <c r="AO75" i="1"/>
  <c r="AP75" i="1"/>
  <c r="AQ75" i="1"/>
  <c r="AR75" i="1"/>
  <c r="AS75" i="1"/>
  <c r="AT75" i="1"/>
  <c r="AU75" i="1"/>
  <c r="AV75" i="1"/>
  <c r="AW75" i="1"/>
  <c r="AK76" i="1"/>
  <c r="AL76" i="1"/>
  <c r="AM76" i="1"/>
  <c r="AN76" i="1"/>
  <c r="AO76" i="1"/>
  <c r="AP76" i="1"/>
  <c r="AQ76" i="1"/>
  <c r="AR76" i="1"/>
  <c r="AS76" i="1"/>
  <c r="AT76" i="1"/>
  <c r="AU76" i="1"/>
  <c r="AV76" i="1"/>
  <c r="AW76" i="1"/>
  <c r="AK77" i="1"/>
  <c r="AL77" i="1"/>
  <c r="AM77" i="1"/>
  <c r="AN77" i="1"/>
  <c r="AO77" i="1"/>
  <c r="AP77" i="1"/>
  <c r="AQ77" i="1"/>
  <c r="AR77" i="1"/>
  <c r="AS77" i="1"/>
  <c r="AT77" i="1"/>
  <c r="AU77" i="1"/>
  <c r="AV77" i="1"/>
  <c r="AW77" i="1"/>
  <c r="AK78" i="1"/>
  <c r="AL78" i="1"/>
  <c r="AM78" i="1"/>
  <c r="AN78" i="1"/>
  <c r="AO78" i="1"/>
  <c r="AP78" i="1"/>
  <c r="AQ78" i="1"/>
  <c r="AR78" i="1"/>
  <c r="AS78" i="1"/>
  <c r="AT78" i="1"/>
  <c r="AU78" i="1"/>
  <c r="AV78" i="1"/>
  <c r="AW78" i="1"/>
  <c r="AK79" i="1"/>
  <c r="AL79" i="1"/>
  <c r="AM79" i="1"/>
  <c r="AN79" i="1"/>
  <c r="AO79" i="1"/>
  <c r="AP79" i="1"/>
  <c r="AQ79" i="1"/>
  <c r="AR79" i="1"/>
  <c r="AS79" i="1"/>
  <c r="AT79" i="1"/>
  <c r="AU79" i="1"/>
  <c r="AV79" i="1"/>
  <c r="AW79" i="1"/>
  <c r="AK80" i="1"/>
  <c r="AL80" i="1"/>
  <c r="AM80" i="1"/>
  <c r="AN80" i="1"/>
  <c r="AO80" i="1"/>
  <c r="AP80" i="1"/>
  <c r="AQ80" i="1"/>
  <c r="AR80" i="1"/>
  <c r="AS80" i="1"/>
  <c r="AT80" i="1"/>
  <c r="AU80" i="1"/>
  <c r="AV80" i="1"/>
  <c r="AW80" i="1"/>
  <c r="AK81" i="1"/>
  <c r="AL81" i="1"/>
  <c r="AM81" i="1"/>
  <c r="AN81" i="1"/>
  <c r="AO81" i="1"/>
  <c r="AP81" i="1"/>
  <c r="AQ81" i="1"/>
  <c r="AR81" i="1"/>
  <c r="AS81" i="1"/>
  <c r="AT81" i="1"/>
  <c r="AU81" i="1"/>
  <c r="AV81" i="1"/>
  <c r="AW81" i="1"/>
  <c r="AK82" i="1"/>
  <c r="AL82" i="1"/>
  <c r="AM82" i="1"/>
  <c r="AN82" i="1"/>
  <c r="AO82" i="1"/>
  <c r="AP82" i="1"/>
  <c r="AQ82" i="1"/>
  <c r="AR82" i="1"/>
  <c r="AS82" i="1"/>
  <c r="AT82" i="1"/>
  <c r="AU82" i="1"/>
  <c r="AV82" i="1"/>
  <c r="AW82" i="1"/>
  <c r="AK83" i="1"/>
  <c r="AL83" i="1"/>
  <c r="AM83" i="1"/>
  <c r="AN83" i="1"/>
  <c r="AO83" i="1"/>
  <c r="AP83" i="1"/>
  <c r="AQ83" i="1"/>
  <c r="AR83" i="1"/>
  <c r="AS83" i="1"/>
  <c r="AT83" i="1"/>
  <c r="AU83" i="1"/>
  <c r="AV83" i="1"/>
  <c r="AW83" i="1"/>
  <c r="AK84" i="1"/>
  <c r="AL84" i="1"/>
  <c r="AM84" i="1"/>
  <c r="AN84" i="1"/>
  <c r="AO84" i="1"/>
  <c r="AP84" i="1"/>
  <c r="AQ84" i="1"/>
  <c r="AR84" i="1"/>
  <c r="AS84" i="1"/>
  <c r="AT84" i="1"/>
  <c r="AU84" i="1"/>
  <c r="AV84" i="1"/>
  <c r="AW84" i="1"/>
  <c r="AK85" i="1"/>
  <c r="AL85" i="1"/>
  <c r="AM85" i="1"/>
  <c r="AN85" i="1"/>
  <c r="AO85" i="1"/>
  <c r="AP85" i="1"/>
  <c r="AQ85" i="1"/>
  <c r="AR85" i="1"/>
  <c r="AS85" i="1"/>
  <c r="AT85" i="1"/>
  <c r="AU85" i="1"/>
  <c r="AV85" i="1"/>
  <c r="AW85" i="1"/>
  <c r="AK86" i="1"/>
  <c r="AL86" i="1"/>
  <c r="AM86" i="1"/>
  <c r="AN86" i="1"/>
  <c r="AO86" i="1"/>
  <c r="AP86" i="1"/>
  <c r="AQ86" i="1"/>
  <c r="AR86" i="1"/>
  <c r="AS86" i="1"/>
  <c r="AT86" i="1"/>
  <c r="AU86" i="1"/>
  <c r="AV86" i="1"/>
  <c r="AW86" i="1"/>
  <c r="AK87" i="1"/>
  <c r="AL87" i="1"/>
  <c r="AM87" i="1"/>
  <c r="AN87" i="1"/>
  <c r="AO87" i="1"/>
  <c r="AP87" i="1"/>
  <c r="AQ87" i="1"/>
  <c r="AR87" i="1"/>
  <c r="AS87" i="1"/>
  <c r="AT87" i="1"/>
  <c r="AU87" i="1"/>
  <c r="AV87" i="1"/>
  <c r="AW87" i="1"/>
  <c r="AK88" i="1"/>
  <c r="AL88" i="1"/>
  <c r="AM88" i="1"/>
  <c r="AN88" i="1"/>
  <c r="AO88" i="1"/>
  <c r="AP88" i="1"/>
  <c r="AQ88" i="1"/>
  <c r="AR88" i="1"/>
  <c r="AS88" i="1"/>
  <c r="AT88" i="1"/>
  <c r="AU88" i="1"/>
  <c r="AV88" i="1"/>
  <c r="AW88" i="1"/>
  <c r="AK89" i="1"/>
  <c r="AL89" i="1"/>
  <c r="AM89" i="1"/>
  <c r="AN89" i="1"/>
  <c r="AO89" i="1"/>
  <c r="AP89" i="1"/>
  <c r="AQ89" i="1"/>
  <c r="AR89" i="1"/>
  <c r="AS89" i="1"/>
  <c r="AT89" i="1"/>
  <c r="AU89" i="1"/>
  <c r="AV89" i="1"/>
  <c r="AW89" i="1"/>
  <c r="AK90" i="1"/>
  <c r="AL90" i="1"/>
  <c r="AM90" i="1"/>
  <c r="AN90" i="1"/>
  <c r="AO90" i="1"/>
  <c r="AP90" i="1"/>
  <c r="AQ90" i="1"/>
  <c r="AR90" i="1"/>
  <c r="AS90" i="1"/>
  <c r="AT90" i="1"/>
  <c r="AU90" i="1"/>
  <c r="AV90" i="1"/>
  <c r="AW90" i="1"/>
  <c r="AK91" i="1"/>
  <c r="AL91" i="1"/>
  <c r="AM91" i="1"/>
  <c r="AN91" i="1"/>
  <c r="AO91" i="1"/>
  <c r="AP91" i="1"/>
  <c r="AQ91" i="1"/>
  <c r="AR91" i="1"/>
  <c r="AS91" i="1"/>
  <c r="AT91" i="1"/>
  <c r="AU91" i="1"/>
  <c r="AV91" i="1"/>
  <c r="AW91" i="1"/>
  <c r="AK92" i="1"/>
  <c r="AL92" i="1"/>
  <c r="AM92" i="1"/>
  <c r="AN92" i="1"/>
  <c r="AO92" i="1"/>
  <c r="AP92" i="1"/>
  <c r="AQ92" i="1"/>
  <c r="AR92" i="1"/>
  <c r="AS92" i="1"/>
  <c r="AT92" i="1"/>
  <c r="AU92" i="1"/>
  <c r="AV92" i="1"/>
  <c r="AW92" i="1"/>
  <c r="AK93" i="1"/>
  <c r="AL93" i="1"/>
  <c r="AM93" i="1"/>
  <c r="AN93" i="1"/>
  <c r="AO93" i="1"/>
  <c r="AP93" i="1"/>
  <c r="AQ93" i="1"/>
  <c r="AR93" i="1"/>
  <c r="AS93" i="1"/>
  <c r="AT93" i="1"/>
  <c r="AU93" i="1"/>
  <c r="AV93" i="1"/>
  <c r="AW93" i="1"/>
  <c r="AK94" i="1"/>
  <c r="AL94" i="1"/>
  <c r="AM94" i="1"/>
  <c r="AN94" i="1"/>
  <c r="AO94" i="1"/>
  <c r="AP94" i="1"/>
  <c r="AQ94" i="1"/>
  <c r="AR94" i="1"/>
  <c r="AS94" i="1"/>
  <c r="AT94" i="1"/>
  <c r="AU94" i="1"/>
  <c r="AV94" i="1"/>
  <c r="AW94" i="1"/>
  <c r="AK95" i="1"/>
  <c r="AL95" i="1"/>
  <c r="AM95" i="1"/>
  <c r="AN95" i="1"/>
  <c r="AO95" i="1"/>
  <c r="AP95" i="1"/>
  <c r="AQ95" i="1"/>
  <c r="AR95" i="1"/>
  <c r="AS95" i="1"/>
  <c r="AT95" i="1"/>
  <c r="AU95" i="1"/>
  <c r="AV95" i="1"/>
  <c r="AW95" i="1"/>
  <c r="AK96" i="1"/>
  <c r="AL96" i="1"/>
  <c r="AM96" i="1"/>
  <c r="AN96" i="1"/>
  <c r="AO96" i="1"/>
  <c r="AP96" i="1"/>
  <c r="AQ96" i="1"/>
  <c r="AR96" i="1"/>
  <c r="AS96" i="1"/>
  <c r="AT96" i="1"/>
  <c r="AU96" i="1"/>
  <c r="AV96" i="1"/>
  <c r="AW96" i="1"/>
  <c r="AK97" i="1"/>
  <c r="AL97" i="1"/>
  <c r="AM97" i="1"/>
  <c r="AN97" i="1"/>
  <c r="AO97" i="1"/>
  <c r="AP97" i="1"/>
  <c r="AQ97" i="1"/>
  <c r="AR97" i="1"/>
  <c r="AS97" i="1"/>
  <c r="AT97" i="1"/>
  <c r="AU97" i="1"/>
  <c r="AV97" i="1"/>
  <c r="AW97" i="1"/>
  <c r="AK98" i="1"/>
  <c r="AL98" i="1"/>
  <c r="AM98" i="1"/>
  <c r="AN98" i="1"/>
  <c r="AO98" i="1"/>
  <c r="AP98" i="1"/>
  <c r="AQ98" i="1"/>
  <c r="AR98" i="1"/>
  <c r="AS98" i="1"/>
  <c r="AT98" i="1"/>
  <c r="AU98" i="1"/>
  <c r="AV98" i="1"/>
  <c r="AW98" i="1"/>
  <c r="AK99" i="1"/>
  <c r="AL99" i="1"/>
  <c r="AM99" i="1"/>
  <c r="AN99" i="1"/>
  <c r="AO99" i="1"/>
  <c r="AP99" i="1"/>
  <c r="AQ99" i="1"/>
  <c r="AR99" i="1"/>
  <c r="AS99" i="1"/>
  <c r="AT99" i="1"/>
  <c r="AU99" i="1"/>
  <c r="AV99" i="1"/>
  <c r="AW99" i="1"/>
  <c r="AK100" i="1"/>
  <c r="AL100" i="1"/>
  <c r="AM100" i="1"/>
  <c r="AN100" i="1"/>
  <c r="AO100" i="1"/>
  <c r="AP100" i="1"/>
  <c r="AQ100" i="1"/>
  <c r="AR100" i="1"/>
  <c r="AS100" i="1"/>
  <c r="AT100" i="1"/>
  <c r="AU100" i="1"/>
  <c r="AV100" i="1"/>
  <c r="AW100" i="1"/>
  <c r="AK101" i="1"/>
  <c r="AL101" i="1"/>
  <c r="AM101" i="1"/>
  <c r="AN101" i="1"/>
  <c r="AO101" i="1"/>
  <c r="AP101" i="1"/>
  <c r="AQ101" i="1"/>
  <c r="AR101" i="1"/>
  <c r="AS101" i="1"/>
  <c r="AT101" i="1"/>
  <c r="AU101" i="1"/>
  <c r="AV101" i="1"/>
  <c r="AW101" i="1"/>
  <c r="AK102" i="1"/>
  <c r="AL102" i="1"/>
  <c r="AM102" i="1"/>
  <c r="AN102" i="1"/>
  <c r="AO102" i="1"/>
  <c r="AP102" i="1"/>
  <c r="AQ102" i="1"/>
  <c r="AR102" i="1"/>
  <c r="AS102" i="1"/>
  <c r="AT102" i="1"/>
  <c r="AU102" i="1"/>
  <c r="AV102" i="1"/>
  <c r="AW102" i="1"/>
  <c r="AK103" i="1"/>
  <c r="AL103" i="1"/>
  <c r="AM103" i="1"/>
  <c r="AN103" i="1"/>
  <c r="AO103" i="1"/>
  <c r="AP103" i="1"/>
  <c r="AQ103" i="1"/>
  <c r="AR103" i="1"/>
  <c r="AS103" i="1"/>
  <c r="AT103" i="1"/>
  <c r="AU103" i="1"/>
  <c r="AV103" i="1"/>
  <c r="AW103" i="1"/>
  <c r="AK104" i="1"/>
  <c r="AL104" i="1"/>
  <c r="AM104" i="1"/>
  <c r="AN104" i="1"/>
  <c r="AO104" i="1"/>
  <c r="AP104" i="1"/>
  <c r="AQ104" i="1"/>
  <c r="AR104" i="1"/>
  <c r="AS104" i="1"/>
  <c r="AT104" i="1"/>
  <c r="AU104" i="1"/>
  <c r="AV104" i="1"/>
  <c r="AW104" i="1"/>
  <c r="AK105" i="1"/>
  <c r="AL105" i="1"/>
  <c r="AM105" i="1"/>
  <c r="AN105" i="1"/>
  <c r="AO105" i="1"/>
  <c r="AP105" i="1"/>
  <c r="AQ105" i="1"/>
  <c r="AR105" i="1"/>
  <c r="AS105" i="1"/>
  <c r="AT105" i="1"/>
  <c r="AU105" i="1"/>
  <c r="AV105" i="1"/>
  <c r="AW105" i="1"/>
  <c r="AK106" i="1"/>
  <c r="AL106" i="1"/>
  <c r="AM106" i="1"/>
  <c r="AN106" i="1"/>
  <c r="AO106" i="1"/>
  <c r="AP106" i="1"/>
  <c r="AQ106" i="1"/>
  <c r="AR106" i="1"/>
  <c r="AS106" i="1"/>
  <c r="AT106" i="1"/>
  <c r="AU106" i="1"/>
  <c r="AV106" i="1"/>
  <c r="AW106" i="1"/>
  <c r="AK107" i="1"/>
  <c r="AL107" i="1"/>
  <c r="AM107" i="1"/>
  <c r="AN107" i="1"/>
  <c r="AO107" i="1"/>
  <c r="AP107" i="1"/>
  <c r="AQ107" i="1"/>
  <c r="AR107" i="1"/>
  <c r="AS107" i="1"/>
  <c r="AT107" i="1"/>
  <c r="AU107" i="1"/>
  <c r="AV107" i="1"/>
  <c r="AW107" i="1"/>
  <c r="AK108" i="1"/>
  <c r="AL108" i="1"/>
  <c r="AM108" i="1"/>
  <c r="AN108" i="1"/>
  <c r="AO108" i="1"/>
  <c r="AP108" i="1"/>
  <c r="AQ108" i="1"/>
  <c r="AR108" i="1"/>
  <c r="AS108" i="1"/>
  <c r="AT108" i="1"/>
  <c r="AU108" i="1"/>
  <c r="AV108" i="1"/>
  <c r="AW108" i="1"/>
  <c r="AK109" i="1"/>
  <c r="AL109" i="1"/>
  <c r="AM109" i="1"/>
  <c r="AN109" i="1"/>
  <c r="AO109" i="1"/>
  <c r="AP109" i="1"/>
  <c r="AQ109" i="1"/>
  <c r="AR109" i="1"/>
  <c r="AS109" i="1"/>
  <c r="AT109" i="1"/>
  <c r="AU109" i="1"/>
  <c r="AV109" i="1"/>
  <c r="AW109" i="1"/>
  <c r="AK110" i="1"/>
  <c r="AL110" i="1"/>
  <c r="AM110" i="1"/>
  <c r="AN110" i="1"/>
  <c r="AO110" i="1"/>
  <c r="AP110" i="1"/>
  <c r="AQ110" i="1"/>
  <c r="AR110" i="1"/>
  <c r="AS110" i="1"/>
  <c r="AT110" i="1"/>
  <c r="AU110" i="1"/>
  <c r="AV110" i="1"/>
  <c r="AW110" i="1"/>
  <c r="AK111" i="1"/>
  <c r="AL111" i="1"/>
  <c r="AM111" i="1"/>
  <c r="AN111" i="1"/>
  <c r="AO111" i="1"/>
  <c r="AP111" i="1"/>
  <c r="AQ111" i="1"/>
  <c r="AR111" i="1"/>
  <c r="AS111" i="1"/>
  <c r="AT111" i="1"/>
  <c r="AU111" i="1"/>
  <c r="AV111" i="1"/>
  <c r="AW111" i="1"/>
  <c r="AK112" i="1"/>
  <c r="AL112" i="1"/>
  <c r="AM112" i="1"/>
  <c r="AN112" i="1"/>
  <c r="AO112" i="1"/>
  <c r="AP112" i="1"/>
  <c r="AQ112" i="1"/>
  <c r="AR112" i="1"/>
  <c r="AS112" i="1"/>
  <c r="AT112" i="1"/>
  <c r="AU112" i="1"/>
  <c r="AV112" i="1"/>
  <c r="AW112" i="1"/>
  <c r="AK113" i="1"/>
  <c r="AL113" i="1"/>
  <c r="AM113" i="1"/>
  <c r="AN113" i="1"/>
  <c r="AO113" i="1"/>
  <c r="AP113" i="1"/>
  <c r="AQ113" i="1"/>
  <c r="AR113" i="1"/>
  <c r="AS113" i="1"/>
  <c r="AT113" i="1"/>
  <c r="AU113" i="1"/>
  <c r="AV113" i="1"/>
  <c r="AW113" i="1"/>
  <c r="AK114" i="1"/>
  <c r="AL114" i="1"/>
  <c r="AM114" i="1"/>
  <c r="AN114" i="1"/>
  <c r="AO114" i="1"/>
  <c r="AP114" i="1"/>
  <c r="AQ114" i="1"/>
  <c r="AR114" i="1"/>
  <c r="AS114" i="1"/>
  <c r="AT114" i="1"/>
  <c r="AU114" i="1"/>
  <c r="AV114" i="1"/>
  <c r="AW114" i="1"/>
  <c r="AK115" i="1"/>
  <c r="AL115" i="1"/>
  <c r="AM115" i="1"/>
  <c r="AN115" i="1"/>
  <c r="AO115" i="1"/>
  <c r="AP115" i="1"/>
  <c r="AQ115" i="1"/>
  <c r="AR115" i="1"/>
  <c r="AS115" i="1"/>
  <c r="AT115" i="1"/>
  <c r="AU115" i="1"/>
  <c r="AV115" i="1"/>
  <c r="AW115" i="1"/>
  <c r="AK116" i="1"/>
  <c r="AL116" i="1"/>
  <c r="AM116" i="1"/>
  <c r="AN116" i="1"/>
  <c r="AO116" i="1"/>
  <c r="AP116" i="1"/>
  <c r="AQ116" i="1"/>
  <c r="AR116" i="1"/>
  <c r="AS116" i="1"/>
  <c r="AT116" i="1"/>
  <c r="AU116" i="1"/>
  <c r="AV116" i="1"/>
  <c r="AW116" i="1"/>
  <c r="AK117" i="1"/>
  <c r="AL117" i="1"/>
  <c r="AM117" i="1"/>
  <c r="AN117" i="1"/>
  <c r="AO117" i="1"/>
  <c r="AP117" i="1"/>
  <c r="AQ117" i="1"/>
  <c r="AR117" i="1"/>
  <c r="AS117" i="1"/>
  <c r="AT117" i="1"/>
  <c r="AU117" i="1"/>
  <c r="AV117" i="1"/>
  <c r="AW117" i="1"/>
  <c r="AK118" i="1"/>
  <c r="AL118" i="1"/>
  <c r="AM118" i="1"/>
  <c r="AN118" i="1"/>
  <c r="AO118" i="1"/>
  <c r="AP118" i="1"/>
  <c r="AQ118" i="1"/>
  <c r="AR118" i="1"/>
  <c r="AS118" i="1"/>
  <c r="AT118" i="1"/>
  <c r="AU118" i="1"/>
  <c r="AV118" i="1"/>
  <c r="AW118" i="1"/>
  <c r="AK119" i="1"/>
  <c r="AL119" i="1"/>
  <c r="AM119" i="1"/>
  <c r="AN119" i="1"/>
  <c r="AO119" i="1"/>
  <c r="AP119" i="1"/>
  <c r="AQ119" i="1"/>
  <c r="AR119" i="1"/>
  <c r="AS119" i="1"/>
  <c r="AT119" i="1"/>
  <c r="AU119" i="1"/>
  <c r="AV119" i="1"/>
  <c r="AW119" i="1"/>
  <c r="AK120" i="1"/>
  <c r="AL120" i="1"/>
  <c r="AM120" i="1"/>
  <c r="AN120" i="1"/>
  <c r="AO120" i="1"/>
  <c r="AP120" i="1"/>
  <c r="AQ120" i="1"/>
  <c r="AR120" i="1"/>
  <c r="AS120" i="1"/>
  <c r="AT120" i="1"/>
  <c r="AU120" i="1"/>
  <c r="AV120" i="1"/>
  <c r="AW120" i="1"/>
  <c r="AK121" i="1"/>
  <c r="AL121" i="1"/>
  <c r="AM121" i="1"/>
  <c r="AN121" i="1"/>
  <c r="AO121" i="1"/>
  <c r="AP121" i="1"/>
  <c r="AQ121" i="1"/>
  <c r="AR121" i="1"/>
  <c r="AS121" i="1"/>
  <c r="AT121" i="1"/>
  <c r="AU121" i="1"/>
  <c r="AV121" i="1"/>
  <c r="AW121" i="1"/>
  <c r="AK122" i="1"/>
  <c r="AL122" i="1"/>
  <c r="AM122" i="1"/>
  <c r="AN122" i="1"/>
  <c r="AO122" i="1"/>
  <c r="AP122" i="1"/>
  <c r="AQ122" i="1"/>
  <c r="AR122" i="1"/>
  <c r="AS122" i="1"/>
  <c r="AT122" i="1"/>
  <c r="AU122" i="1"/>
  <c r="AV122" i="1"/>
  <c r="AW122" i="1"/>
  <c r="AK123" i="1"/>
  <c r="AL123" i="1"/>
  <c r="AM123" i="1"/>
  <c r="AN123" i="1"/>
  <c r="AO123" i="1"/>
  <c r="AP123" i="1"/>
  <c r="AQ123" i="1"/>
  <c r="AR123" i="1"/>
  <c r="AS123" i="1"/>
  <c r="AT123" i="1"/>
  <c r="AU123" i="1"/>
  <c r="AV123" i="1"/>
  <c r="AW123" i="1"/>
  <c r="AK124" i="1"/>
  <c r="AL124" i="1"/>
  <c r="AM124" i="1"/>
  <c r="AN124" i="1"/>
  <c r="AO124" i="1"/>
  <c r="AP124" i="1"/>
  <c r="AQ124" i="1"/>
  <c r="AR124" i="1"/>
  <c r="AS124" i="1"/>
  <c r="AT124" i="1"/>
  <c r="AU124" i="1"/>
  <c r="AV124" i="1"/>
  <c r="AW124" i="1"/>
  <c r="AK125" i="1"/>
  <c r="AL125" i="1"/>
  <c r="AM125" i="1"/>
  <c r="AN125" i="1"/>
  <c r="AO125" i="1"/>
  <c r="AP125" i="1"/>
  <c r="AQ125" i="1"/>
  <c r="AR125" i="1"/>
  <c r="AS125" i="1"/>
  <c r="AT125" i="1"/>
  <c r="AU125" i="1"/>
  <c r="AV125" i="1"/>
  <c r="AW125" i="1"/>
  <c r="AK126" i="1"/>
  <c r="AL126" i="1"/>
  <c r="AM126" i="1"/>
  <c r="AN126" i="1"/>
  <c r="AO126" i="1"/>
  <c r="AP126" i="1"/>
  <c r="AQ126" i="1"/>
  <c r="AR126" i="1"/>
  <c r="AS126" i="1"/>
  <c r="AT126" i="1"/>
  <c r="AU126" i="1"/>
  <c r="AV126" i="1"/>
  <c r="AW126" i="1"/>
  <c r="AK127" i="1"/>
  <c r="AL127" i="1"/>
  <c r="AM127" i="1"/>
  <c r="AN127" i="1"/>
  <c r="AO127" i="1"/>
  <c r="AP127" i="1"/>
  <c r="AQ127" i="1"/>
  <c r="AR127" i="1"/>
  <c r="AS127" i="1"/>
  <c r="AT127" i="1"/>
  <c r="AU127" i="1"/>
  <c r="AV127" i="1"/>
  <c r="AW127" i="1"/>
  <c r="AK128" i="1"/>
  <c r="AL128" i="1"/>
  <c r="AM128" i="1"/>
  <c r="AN128" i="1"/>
  <c r="AO128" i="1"/>
  <c r="AP128" i="1"/>
  <c r="AQ128" i="1"/>
  <c r="AR128" i="1"/>
  <c r="AS128" i="1"/>
  <c r="AT128" i="1"/>
  <c r="AU128" i="1"/>
  <c r="AV128" i="1"/>
  <c r="AW128" i="1"/>
  <c r="AK129" i="1"/>
  <c r="AL129" i="1"/>
  <c r="AM129" i="1"/>
  <c r="AN129" i="1"/>
  <c r="AO129" i="1"/>
  <c r="AP129" i="1"/>
  <c r="AQ129" i="1"/>
  <c r="AR129" i="1"/>
  <c r="AS129" i="1"/>
  <c r="AT129" i="1"/>
  <c r="AU129" i="1"/>
  <c r="AV129" i="1"/>
  <c r="AW129" i="1"/>
  <c r="AK130" i="1"/>
  <c r="AL130" i="1"/>
  <c r="AM130" i="1"/>
  <c r="AN130" i="1"/>
  <c r="AO130" i="1"/>
  <c r="AP130" i="1"/>
  <c r="AQ130" i="1"/>
  <c r="AR130" i="1"/>
  <c r="AS130" i="1"/>
  <c r="AT130" i="1"/>
  <c r="AU130" i="1"/>
  <c r="AV130" i="1"/>
  <c r="AW130" i="1"/>
  <c r="AK131" i="1"/>
  <c r="AL131" i="1"/>
  <c r="AM131" i="1"/>
  <c r="AN131" i="1"/>
  <c r="AO131" i="1"/>
  <c r="AP131" i="1"/>
  <c r="AQ131" i="1"/>
  <c r="AR131" i="1"/>
  <c r="AS131" i="1"/>
  <c r="AT131" i="1"/>
  <c r="AU131" i="1"/>
  <c r="AV131" i="1"/>
  <c r="AW131" i="1"/>
  <c r="AK132" i="1"/>
  <c r="AL132" i="1"/>
  <c r="AM132" i="1"/>
  <c r="AN132" i="1"/>
  <c r="AO132" i="1"/>
  <c r="AP132" i="1"/>
  <c r="AQ132" i="1"/>
  <c r="AR132" i="1"/>
  <c r="AS132" i="1"/>
  <c r="AT132" i="1"/>
  <c r="AU132" i="1"/>
  <c r="AV132" i="1"/>
  <c r="AW132" i="1"/>
  <c r="AK133" i="1"/>
  <c r="AL133" i="1"/>
  <c r="AM133" i="1"/>
  <c r="AN133" i="1"/>
  <c r="AO133" i="1"/>
  <c r="AP133" i="1"/>
  <c r="AQ133" i="1"/>
  <c r="AR133" i="1"/>
  <c r="AS133" i="1"/>
  <c r="AT133" i="1"/>
  <c r="AU133" i="1"/>
  <c r="AV133" i="1"/>
  <c r="AW133" i="1"/>
  <c r="AK134" i="1"/>
  <c r="AL134" i="1"/>
  <c r="AM134" i="1"/>
  <c r="AN134" i="1"/>
  <c r="AO134" i="1"/>
  <c r="AP134" i="1"/>
  <c r="AQ134" i="1"/>
  <c r="AR134" i="1"/>
  <c r="AS134" i="1"/>
  <c r="AT134" i="1"/>
  <c r="AU134" i="1"/>
  <c r="AV134" i="1"/>
  <c r="AW134" i="1"/>
  <c r="AK135" i="1"/>
  <c r="AL135" i="1"/>
  <c r="AM135" i="1"/>
  <c r="AN135" i="1"/>
  <c r="AO135" i="1"/>
  <c r="AP135" i="1"/>
  <c r="AQ135" i="1"/>
  <c r="AR135" i="1"/>
  <c r="AS135" i="1"/>
  <c r="AT135" i="1"/>
  <c r="AU135" i="1"/>
  <c r="AV135" i="1"/>
  <c r="AW135" i="1"/>
  <c r="AK136" i="1"/>
  <c r="AL136" i="1"/>
  <c r="AM136" i="1"/>
  <c r="AN136" i="1"/>
  <c r="AO136" i="1"/>
  <c r="AP136" i="1"/>
  <c r="AQ136" i="1"/>
  <c r="AR136" i="1"/>
  <c r="AS136" i="1"/>
  <c r="AT136" i="1"/>
  <c r="AU136" i="1"/>
  <c r="AV136" i="1"/>
  <c r="AW136" i="1"/>
  <c r="AK137" i="1"/>
  <c r="AL137" i="1"/>
  <c r="AM137" i="1"/>
  <c r="AN137" i="1"/>
  <c r="AO137" i="1"/>
  <c r="AP137" i="1"/>
  <c r="AQ137" i="1"/>
  <c r="AR137" i="1"/>
  <c r="AS137" i="1"/>
  <c r="AT137" i="1"/>
  <c r="AU137" i="1"/>
  <c r="AV137" i="1"/>
  <c r="AW137" i="1"/>
  <c r="AK138" i="1"/>
  <c r="AL138" i="1"/>
  <c r="AM138" i="1"/>
  <c r="AN138" i="1"/>
  <c r="AO138" i="1"/>
  <c r="AP138" i="1"/>
  <c r="AQ138" i="1"/>
  <c r="AR138" i="1"/>
  <c r="AS138" i="1"/>
  <c r="AT138" i="1"/>
  <c r="AU138" i="1"/>
  <c r="AV138" i="1"/>
  <c r="AW138" i="1"/>
  <c r="AK139" i="1"/>
  <c r="AL139" i="1"/>
  <c r="AM139" i="1"/>
  <c r="AN139" i="1"/>
  <c r="AO139" i="1"/>
  <c r="AP139" i="1"/>
  <c r="AQ139" i="1"/>
  <c r="AR139" i="1"/>
  <c r="AS139" i="1"/>
  <c r="AT139" i="1"/>
  <c r="AU139" i="1"/>
  <c r="AV139" i="1"/>
  <c r="AW139" i="1"/>
  <c r="AK140" i="1"/>
  <c r="AL140" i="1"/>
  <c r="AM140" i="1"/>
  <c r="AN140" i="1"/>
  <c r="AO140" i="1"/>
  <c r="AP140" i="1"/>
  <c r="AQ140" i="1"/>
  <c r="AR140" i="1"/>
  <c r="AS140" i="1"/>
  <c r="AT140" i="1"/>
  <c r="AU140" i="1"/>
  <c r="AV140" i="1"/>
  <c r="AW140" i="1"/>
  <c r="AK141" i="1"/>
  <c r="AL141" i="1"/>
  <c r="AM141" i="1"/>
  <c r="AN141" i="1"/>
  <c r="AO141" i="1"/>
  <c r="AP141" i="1"/>
  <c r="AQ141" i="1"/>
  <c r="AR141" i="1"/>
  <c r="AS141" i="1"/>
  <c r="AT141" i="1"/>
  <c r="AU141" i="1"/>
  <c r="AV141" i="1"/>
  <c r="AW141" i="1"/>
  <c r="AK142" i="1"/>
  <c r="AL142" i="1"/>
  <c r="AM142" i="1"/>
  <c r="AN142" i="1"/>
  <c r="AO142" i="1"/>
  <c r="AP142" i="1"/>
  <c r="AQ142" i="1"/>
  <c r="AR142" i="1"/>
  <c r="AS142" i="1"/>
  <c r="AT142" i="1"/>
  <c r="AU142" i="1"/>
  <c r="AV142" i="1"/>
  <c r="AW142" i="1"/>
  <c r="AK143" i="1"/>
  <c r="AL143" i="1"/>
  <c r="AM143" i="1"/>
  <c r="AN143" i="1"/>
  <c r="AO143" i="1"/>
  <c r="AP143" i="1"/>
  <c r="AQ143" i="1"/>
  <c r="AR143" i="1"/>
  <c r="AS143" i="1"/>
  <c r="AT143" i="1"/>
  <c r="AU143" i="1"/>
  <c r="AV143" i="1"/>
  <c r="AW143" i="1"/>
  <c r="AK144" i="1"/>
  <c r="AL144" i="1"/>
  <c r="AM144" i="1"/>
  <c r="AN144" i="1"/>
  <c r="AO144" i="1"/>
  <c r="AP144" i="1"/>
  <c r="AQ144" i="1"/>
  <c r="AR144" i="1"/>
  <c r="AS144" i="1"/>
  <c r="AT144" i="1"/>
  <c r="AU144" i="1"/>
  <c r="AV144" i="1"/>
  <c r="AW144" i="1"/>
  <c r="AK145" i="1"/>
  <c r="AL145" i="1"/>
  <c r="AM145" i="1"/>
  <c r="AN145" i="1"/>
  <c r="AO145" i="1"/>
  <c r="AP145" i="1"/>
  <c r="AQ145" i="1"/>
  <c r="AR145" i="1"/>
  <c r="AS145" i="1"/>
  <c r="AT145" i="1"/>
  <c r="AU145" i="1"/>
  <c r="AV145" i="1"/>
  <c r="AW145" i="1"/>
  <c r="AK146" i="1"/>
  <c r="AL146" i="1"/>
  <c r="AM146" i="1"/>
  <c r="AN146" i="1"/>
  <c r="AO146" i="1"/>
  <c r="AP146" i="1"/>
  <c r="AQ146" i="1"/>
  <c r="AR146" i="1"/>
  <c r="AS146" i="1"/>
  <c r="AT146" i="1"/>
  <c r="AU146" i="1"/>
  <c r="AV146" i="1"/>
  <c r="AW146" i="1"/>
  <c r="AK147" i="1"/>
  <c r="AL147" i="1"/>
  <c r="AM147" i="1"/>
  <c r="AN147" i="1"/>
  <c r="AO147" i="1"/>
  <c r="AP147" i="1"/>
  <c r="AQ147" i="1"/>
  <c r="AR147" i="1"/>
  <c r="AS147" i="1"/>
  <c r="AT147" i="1"/>
  <c r="AU147" i="1"/>
  <c r="AV147" i="1"/>
  <c r="AW147" i="1"/>
  <c r="AK148" i="1"/>
  <c r="AL148" i="1"/>
  <c r="AM148" i="1"/>
  <c r="AN148" i="1"/>
  <c r="AO148" i="1"/>
  <c r="AP148" i="1"/>
  <c r="AQ148" i="1"/>
  <c r="AR148" i="1"/>
  <c r="AS148" i="1"/>
  <c r="AT148" i="1"/>
  <c r="AU148" i="1"/>
  <c r="AV148" i="1"/>
  <c r="AW148" i="1"/>
  <c r="AK149" i="1"/>
  <c r="AL149" i="1"/>
  <c r="AM149" i="1"/>
  <c r="AN149" i="1"/>
  <c r="AO149" i="1"/>
  <c r="AP149" i="1"/>
  <c r="AQ149" i="1"/>
  <c r="AR149" i="1"/>
  <c r="AS149" i="1"/>
  <c r="AT149" i="1"/>
  <c r="AU149" i="1"/>
  <c r="AV149" i="1"/>
  <c r="AW149" i="1"/>
  <c r="AK150" i="1"/>
  <c r="AL150" i="1"/>
  <c r="AM150" i="1"/>
  <c r="AN150" i="1"/>
  <c r="AO150" i="1"/>
  <c r="AP150" i="1"/>
  <c r="AQ150" i="1"/>
  <c r="AR150" i="1"/>
  <c r="AS150" i="1"/>
  <c r="AT150" i="1"/>
  <c r="AU150" i="1"/>
  <c r="AV150" i="1"/>
  <c r="AW150" i="1"/>
  <c r="AK151" i="1"/>
  <c r="AL151" i="1"/>
  <c r="AM151" i="1"/>
  <c r="AN151" i="1"/>
  <c r="AO151" i="1"/>
  <c r="AP151" i="1"/>
  <c r="AQ151" i="1"/>
  <c r="AR151" i="1"/>
  <c r="AS151" i="1"/>
  <c r="AT151" i="1"/>
  <c r="AU151" i="1"/>
  <c r="AV151" i="1"/>
  <c r="AW151" i="1"/>
  <c r="AK152" i="1"/>
  <c r="AL152" i="1"/>
  <c r="AM152" i="1"/>
  <c r="AN152" i="1"/>
  <c r="AO152" i="1"/>
  <c r="AP152" i="1"/>
  <c r="AQ152" i="1"/>
  <c r="AR152" i="1"/>
  <c r="AS152" i="1"/>
  <c r="AT152" i="1"/>
  <c r="AU152" i="1"/>
  <c r="AV152" i="1"/>
  <c r="AW152" i="1"/>
  <c r="AK153" i="1"/>
  <c r="AL153" i="1"/>
  <c r="AM153" i="1"/>
  <c r="AN153" i="1"/>
  <c r="AO153" i="1"/>
  <c r="AP153" i="1"/>
  <c r="AQ153" i="1"/>
  <c r="AR153" i="1"/>
  <c r="AS153" i="1"/>
  <c r="AT153" i="1"/>
  <c r="AU153" i="1"/>
  <c r="AV153" i="1"/>
  <c r="AW153" i="1"/>
  <c r="AK154" i="1"/>
  <c r="AL154" i="1"/>
  <c r="AM154" i="1"/>
  <c r="AN154" i="1"/>
  <c r="AO154" i="1"/>
  <c r="AP154" i="1"/>
  <c r="AQ154" i="1"/>
  <c r="AR154" i="1"/>
  <c r="AS154" i="1"/>
  <c r="AT154" i="1"/>
  <c r="AU154" i="1"/>
  <c r="AV154" i="1"/>
  <c r="AW154" i="1"/>
  <c r="AK155" i="1"/>
  <c r="AL155" i="1"/>
  <c r="AM155" i="1"/>
  <c r="AN155" i="1"/>
  <c r="AO155" i="1"/>
  <c r="AP155" i="1"/>
  <c r="AQ155" i="1"/>
  <c r="AR155" i="1"/>
  <c r="AS155" i="1"/>
  <c r="AT155" i="1"/>
  <c r="AU155" i="1"/>
  <c r="AV155" i="1"/>
  <c r="AW155" i="1"/>
  <c r="AK156" i="1"/>
  <c r="AL156" i="1"/>
  <c r="AM156" i="1"/>
  <c r="AN156" i="1"/>
  <c r="AO156" i="1"/>
  <c r="AP156" i="1"/>
  <c r="AQ156" i="1"/>
  <c r="AR156" i="1"/>
  <c r="AS156" i="1"/>
  <c r="AT156" i="1"/>
  <c r="AU156" i="1"/>
  <c r="AV156" i="1"/>
  <c r="AW156" i="1"/>
  <c r="AK157" i="1"/>
  <c r="AL157" i="1"/>
  <c r="AM157" i="1"/>
  <c r="AN157" i="1"/>
  <c r="AO157" i="1"/>
  <c r="AP157" i="1"/>
  <c r="AQ157" i="1"/>
  <c r="AR157" i="1"/>
  <c r="AS157" i="1"/>
  <c r="AT157" i="1"/>
  <c r="AU157" i="1"/>
  <c r="AV157" i="1"/>
  <c r="AW157" i="1"/>
  <c r="AK158" i="1"/>
  <c r="AL158" i="1"/>
  <c r="AM158" i="1"/>
  <c r="AN158" i="1"/>
  <c r="AO158" i="1"/>
  <c r="AP158" i="1"/>
  <c r="AQ158" i="1"/>
  <c r="AR158" i="1"/>
  <c r="AS158" i="1"/>
  <c r="AT158" i="1"/>
  <c r="AU158" i="1"/>
  <c r="AV158" i="1"/>
  <c r="AW158" i="1"/>
  <c r="AK159" i="1"/>
  <c r="AL159" i="1"/>
  <c r="AM159" i="1"/>
  <c r="AN159" i="1"/>
  <c r="AO159" i="1"/>
  <c r="AP159" i="1"/>
  <c r="AQ159" i="1"/>
  <c r="AR159" i="1"/>
  <c r="AS159" i="1"/>
  <c r="AT159" i="1"/>
  <c r="AU159" i="1"/>
  <c r="AV159" i="1"/>
  <c r="AW159" i="1"/>
  <c r="AK160" i="1"/>
  <c r="AL160" i="1"/>
  <c r="AM160" i="1"/>
  <c r="AN160" i="1"/>
  <c r="AO160" i="1"/>
  <c r="AP160" i="1"/>
  <c r="AQ160" i="1"/>
  <c r="AR160" i="1"/>
  <c r="AS160" i="1"/>
  <c r="AT160" i="1"/>
  <c r="AU160" i="1"/>
  <c r="AV160" i="1"/>
  <c r="AW160" i="1"/>
  <c r="AK161" i="1"/>
  <c r="AL161" i="1"/>
  <c r="AM161" i="1"/>
  <c r="AN161" i="1"/>
  <c r="AO161" i="1"/>
  <c r="AP161" i="1"/>
  <c r="AQ161" i="1"/>
  <c r="AR161" i="1"/>
  <c r="AS161" i="1"/>
  <c r="AT161" i="1"/>
  <c r="AU161" i="1"/>
  <c r="AV161" i="1"/>
  <c r="AW161" i="1"/>
  <c r="AK162" i="1"/>
  <c r="AL162" i="1"/>
  <c r="AM162" i="1"/>
  <c r="AN162" i="1"/>
  <c r="AO162" i="1"/>
  <c r="AP162" i="1"/>
  <c r="AQ162" i="1"/>
  <c r="AR162" i="1"/>
  <c r="AS162" i="1"/>
  <c r="AT162" i="1"/>
  <c r="AU162" i="1"/>
  <c r="AV162" i="1"/>
  <c r="AW162" i="1"/>
  <c r="AK163" i="1"/>
  <c r="AL163" i="1"/>
  <c r="AM163" i="1"/>
  <c r="AN163" i="1"/>
  <c r="AO163" i="1"/>
  <c r="AP163" i="1"/>
  <c r="AQ163" i="1"/>
  <c r="AR163" i="1"/>
  <c r="AS163" i="1"/>
  <c r="AT163" i="1"/>
  <c r="AU163" i="1"/>
  <c r="AV163" i="1"/>
  <c r="AW163" i="1"/>
  <c r="AK164" i="1"/>
  <c r="AL164" i="1"/>
  <c r="AM164" i="1"/>
  <c r="AN164" i="1"/>
  <c r="AO164" i="1"/>
  <c r="AP164" i="1"/>
  <c r="AQ164" i="1"/>
  <c r="AR164" i="1"/>
  <c r="AS164" i="1"/>
  <c r="AT164" i="1"/>
  <c r="AU164" i="1"/>
  <c r="AV164" i="1"/>
  <c r="AW164" i="1"/>
  <c r="AK165" i="1"/>
  <c r="AL165" i="1"/>
  <c r="AM165" i="1"/>
  <c r="AN165" i="1"/>
  <c r="AO165" i="1"/>
  <c r="AP165" i="1"/>
  <c r="AQ165" i="1"/>
  <c r="AR165" i="1"/>
  <c r="AS165" i="1"/>
  <c r="AT165" i="1"/>
  <c r="AU165" i="1"/>
  <c r="AV165" i="1"/>
  <c r="AW165" i="1"/>
  <c r="AK166" i="1"/>
  <c r="AL166" i="1"/>
  <c r="AM166" i="1"/>
  <c r="AN166" i="1"/>
  <c r="AO166" i="1"/>
  <c r="AP166" i="1"/>
  <c r="AQ166" i="1"/>
  <c r="AR166" i="1"/>
  <c r="AS166" i="1"/>
  <c r="AT166" i="1"/>
  <c r="AU166" i="1"/>
  <c r="AV166" i="1"/>
  <c r="AW166" i="1"/>
  <c r="AK167" i="1"/>
  <c r="AL167" i="1"/>
  <c r="AM167" i="1"/>
  <c r="AN167" i="1"/>
  <c r="AO167" i="1"/>
  <c r="AP167" i="1"/>
  <c r="AQ167" i="1"/>
  <c r="AR167" i="1"/>
  <c r="AS167" i="1"/>
  <c r="AT167" i="1"/>
  <c r="AU167" i="1"/>
  <c r="AV167" i="1"/>
  <c r="AW167" i="1"/>
  <c r="AK168" i="1"/>
  <c r="AL168" i="1"/>
  <c r="AM168" i="1"/>
  <c r="AN168" i="1"/>
  <c r="AO168" i="1"/>
  <c r="AP168" i="1"/>
  <c r="AQ168" i="1"/>
  <c r="AR168" i="1"/>
  <c r="AS168" i="1"/>
  <c r="AT168" i="1"/>
  <c r="AU168" i="1"/>
  <c r="AV168" i="1"/>
  <c r="AW168" i="1"/>
  <c r="AK169" i="1"/>
  <c r="AL169" i="1"/>
  <c r="AM169" i="1"/>
  <c r="AN169" i="1"/>
  <c r="AO169" i="1"/>
  <c r="AP169" i="1"/>
  <c r="AQ169" i="1"/>
  <c r="AR169" i="1"/>
  <c r="AS169" i="1"/>
  <c r="AT169" i="1"/>
  <c r="AU169" i="1"/>
  <c r="AV169" i="1"/>
  <c r="AW169" i="1"/>
  <c r="AK170" i="1"/>
  <c r="AL170" i="1"/>
  <c r="AM170" i="1"/>
  <c r="AN170" i="1"/>
  <c r="AO170" i="1"/>
  <c r="AP170" i="1"/>
  <c r="AQ170" i="1"/>
  <c r="AR170" i="1"/>
  <c r="AS170" i="1"/>
  <c r="AT170" i="1"/>
  <c r="AU170" i="1"/>
  <c r="AV170" i="1"/>
  <c r="AW170" i="1"/>
  <c r="AK171" i="1"/>
  <c r="AL171" i="1"/>
  <c r="AM171" i="1"/>
  <c r="AN171" i="1"/>
  <c r="AO171" i="1"/>
  <c r="AP171" i="1"/>
  <c r="AQ171" i="1"/>
  <c r="AR171" i="1"/>
  <c r="AS171" i="1"/>
  <c r="AT171" i="1"/>
  <c r="AU171" i="1"/>
  <c r="AV171" i="1"/>
  <c r="AW171" i="1"/>
  <c r="AK172" i="1"/>
  <c r="AL172" i="1"/>
  <c r="AM172" i="1"/>
  <c r="AN172" i="1"/>
  <c r="AO172" i="1"/>
  <c r="AP172" i="1"/>
  <c r="AQ172" i="1"/>
  <c r="AR172" i="1"/>
  <c r="AS172" i="1"/>
  <c r="AT172" i="1"/>
  <c r="AU172" i="1"/>
  <c r="AV172" i="1"/>
  <c r="AW172" i="1"/>
  <c r="AK173" i="1"/>
  <c r="AL173" i="1"/>
  <c r="AM173" i="1"/>
  <c r="AN173" i="1"/>
  <c r="AO173" i="1"/>
  <c r="AP173" i="1"/>
  <c r="AQ173" i="1"/>
  <c r="AR173" i="1"/>
  <c r="AS173" i="1"/>
  <c r="AT173" i="1"/>
  <c r="AU173" i="1"/>
  <c r="AV173" i="1"/>
  <c r="AW173" i="1"/>
  <c r="AK174" i="1"/>
  <c r="AL174" i="1"/>
  <c r="AM174" i="1"/>
  <c r="AN174" i="1"/>
  <c r="AO174" i="1"/>
  <c r="AP174" i="1"/>
  <c r="AQ174" i="1"/>
  <c r="AR174" i="1"/>
  <c r="AS174" i="1"/>
  <c r="AT174" i="1"/>
  <c r="AU174" i="1"/>
  <c r="AV174" i="1"/>
  <c r="AW174" i="1"/>
  <c r="AK175" i="1"/>
  <c r="AL175" i="1"/>
  <c r="AM175" i="1"/>
  <c r="AN175" i="1"/>
  <c r="AO175" i="1"/>
  <c r="AP175" i="1"/>
  <c r="AQ175" i="1"/>
  <c r="AR175" i="1"/>
  <c r="AS175" i="1"/>
  <c r="AT175" i="1"/>
  <c r="AU175" i="1"/>
  <c r="AV175" i="1"/>
  <c r="AW175" i="1"/>
  <c r="AK176" i="1"/>
  <c r="AL176" i="1"/>
  <c r="AM176" i="1"/>
  <c r="AN176" i="1"/>
  <c r="AO176" i="1"/>
  <c r="AP176" i="1"/>
  <c r="AQ176" i="1"/>
  <c r="AR176" i="1"/>
  <c r="AS176" i="1"/>
  <c r="AT176" i="1"/>
  <c r="AU176" i="1"/>
  <c r="AV176" i="1"/>
  <c r="AW176" i="1"/>
  <c r="AK177" i="1"/>
  <c r="AL177" i="1"/>
  <c r="AM177" i="1"/>
  <c r="AN177" i="1"/>
  <c r="AO177" i="1"/>
  <c r="AP177" i="1"/>
  <c r="AQ177" i="1"/>
  <c r="AR177" i="1"/>
  <c r="AS177" i="1"/>
  <c r="AT177" i="1"/>
  <c r="AU177" i="1"/>
  <c r="AV177" i="1"/>
  <c r="AW177" i="1"/>
  <c r="AK178" i="1"/>
  <c r="AL178" i="1"/>
  <c r="AM178" i="1"/>
  <c r="AN178" i="1"/>
  <c r="AO178" i="1"/>
  <c r="AP178" i="1"/>
  <c r="AQ178" i="1"/>
  <c r="AR178" i="1"/>
  <c r="AS178" i="1"/>
  <c r="AT178" i="1"/>
  <c r="AU178" i="1"/>
  <c r="AV178" i="1"/>
  <c r="AW178" i="1"/>
  <c r="AK179" i="1"/>
  <c r="AL179" i="1"/>
  <c r="AM179" i="1"/>
  <c r="AN179" i="1"/>
  <c r="AO179" i="1"/>
  <c r="AP179" i="1"/>
  <c r="AQ179" i="1"/>
  <c r="AR179" i="1"/>
  <c r="AS179" i="1"/>
  <c r="AT179" i="1"/>
  <c r="AU179" i="1"/>
  <c r="AV179" i="1"/>
  <c r="AW179" i="1"/>
  <c r="AK180" i="1"/>
  <c r="AL180" i="1"/>
  <c r="AM180" i="1"/>
  <c r="AN180" i="1"/>
  <c r="AO180" i="1"/>
  <c r="AP180" i="1"/>
  <c r="AQ180" i="1"/>
  <c r="AR180" i="1"/>
  <c r="AS180" i="1"/>
  <c r="AT180" i="1"/>
  <c r="AU180" i="1"/>
  <c r="AV180" i="1"/>
  <c r="AW180" i="1"/>
  <c r="AK181" i="1"/>
  <c r="AL181" i="1"/>
  <c r="AM181" i="1"/>
  <c r="AN181" i="1"/>
  <c r="AO181" i="1"/>
  <c r="AP181" i="1"/>
  <c r="AQ181" i="1"/>
  <c r="AR181" i="1"/>
  <c r="AS181" i="1"/>
  <c r="AT181" i="1"/>
  <c r="AU181" i="1"/>
  <c r="AV181" i="1"/>
  <c r="AW181" i="1"/>
  <c r="AK182" i="1"/>
  <c r="AL182" i="1"/>
  <c r="AM182" i="1"/>
  <c r="AN182" i="1"/>
  <c r="AO182" i="1"/>
  <c r="AP182" i="1"/>
  <c r="AQ182" i="1"/>
  <c r="AR182" i="1"/>
  <c r="AS182" i="1"/>
  <c r="AT182" i="1"/>
  <c r="AU182" i="1"/>
  <c r="AV182" i="1"/>
  <c r="AW182" i="1"/>
  <c r="AK183" i="1"/>
  <c r="AL183" i="1"/>
  <c r="AM183" i="1"/>
  <c r="AN183" i="1"/>
  <c r="AO183" i="1"/>
  <c r="AP183" i="1"/>
  <c r="AQ183" i="1"/>
  <c r="AR183" i="1"/>
  <c r="AS183" i="1"/>
  <c r="AT183" i="1"/>
  <c r="AU183" i="1"/>
  <c r="AV183" i="1"/>
  <c r="AW183" i="1"/>
  <c r="AK184" i="1"/>
  <c r="AL184" i="1"/>
  <c r="AM184" i="1"/>
  <c r="AN184" i="1"/>
  <c r="AO184" i="1"/>
  <c r="AP184" i="1"/>
  <c r="AQ184" i="1"/>
  <c r="AR184" i="1"/>
  <c r="AS184" i="1"/>
  <c r="AT184" i="1"/>
  <c r="AU184" i="1"/>
  <c r="AV184" i="1"/>
  <c r="AW184" i="1"/>
  <c r="AK185" i="1"/>
  <c r="AL185" i="1"/>
  <c r="AM185" i="1"/>
  <c r="AN185" i="1"/>
  <c r="AO185" i="1"/>
  <c r="AP185" i="1"/>
  <c r="AQ185" i="1"/>
  <c r="AR185" i="1"/>
  <c r="AS185" i="1"/>
  <c r="AT185" i="1"/>
  <c r="AU185" i="1"/>
  <c r="AV185" i="1"/>
  <c r="AW185" i="1"/>
  <c r="AK186" i="1"/>
  <c r="AL186" i="1"/>
  <c r="AM186" i="1"/>
  <c r="AN186" i="1"/>
  <c r="AO186" i="1"/>
  <c r="AP186" i="1"/>
  <c r="AQ186" i="1"/>
  <c r="AR186" i="1"/>
  <c r="AS186" i="1"/>
  <c r="AT186" i="1"/>
  <c r="AU186" i="1"/>
  <c r="AV186" i="1"/>
  <c r="AW186" i="1"/>
  <c r="AK187" i="1"/>
  <c r="AL187" i="1"/>
  <c r="AM187" i="1"/>
  <c r="AN187" i="1"/>
  <c r="AO187" i="1"/>
  <c r="AP187" i="1"/>
  <c r="AQ187" i="1"/>
  <c r="AR187" i="1"/>
  <c r="AS187" i="1"/>
  <c r="AT187" i="1"/>
  <c r="AU187" i="1"/>
  <c r="AV187" i="1"/>
  <c r="AW187" i="1"/>
  <c r="AK188" i="1"/>
  <c r="AL188" i="1"/>
  <c r="AM188" i="1"/>
  <c r="AN188" i="1"/>
  <c r="AO188" i="1"/>
  <c r="AP188" i="1"/>
  <c r="AQ188" i="1"/>
  <c r="AR188" i="1"/>
  <c r="AS188" i="1"/>
  <c r="AT188" i="1"/>
  <c r="AU188" i="1"/>
  <c r="AV188" i="1"/>
  <c r="AW188" i="1"/>
  <c r="AK189" i="1"/>
  <c r="AL189" i="1"/>
  <c r="AM189" i="1"/>
  <c r="AN189" i="1"/>
  <c r="AO189" i="1"/>
  <c r="AP189" i="1"/>
  <c r="AQ189" i="1"/>
  <c r="AR189" i="1"/>
  <c r="AS189" i="1"/>
  <c r="AT189" i="1"/>
  <c r="AU189" i="1"/>
  <c r="AV189" i="1"/>
  <c r="AW189" i="1"/>
  <c r="AK190" i="1"/>
  <c r="AL190" i="1"/>
  <c r="AM190" i="1"/>
  <c r="AN190" i="1"/>
  <c r="AO190" i="1"/>
  <c r="AP190" i="1"/>
  <c r="AQ190" i="1"/>
  <c r="AR190" i="1"/>
  <c r="AS190" i="1"/>
  <c r="AT190" i="1"/>
  <c r="AU190" i="1"/>
  <c r="AV190" i="1"/>
  <c r="AW190" i="1"/>
  <c r="AK191" i="1"/>
  <c r="AL191" i="1"/>
  <c r="AM191" i="1"/>
  <c r="AN191" i="1"/>
  <c r="AO191" i="1"/>
  <c r="AP191" i="1"/>
  <c r="AQ191" i="1"/>
  <c r="AR191" i="1"/>
  <c r="AS191" i="1"/>
  <c r="AT191" i="1"/>
  <c r="AU191" i="1"/>
  <c r="AV191" i="1"/>
  <c r="AW191" i="1"/>
  <c r="AK192" i="1"/>
  <c r="AL192" i="1"/>
  <c r="AM192" i="1"/>
  <c r="AN192" i="1"/>
  <c r="AO192" i="1"/>
  <c r="AP192" i="1"/>
  <c r="AQ192" i="1"/>
  <c r="AR192" i="1"/>
  <c r="AS192" i="1"/>
  <c r="AT192" i="1"/>
  <c r="AU192" i="1"/>
  <c r="AV192" i="1"/>
  <c r="AW192" i="1"/>
  <c r="AK193" i="1"/>
  <c r="AL193" i="1"/>
  <c r="AM193" i="1"/>
  <c r="AN193" i="1"/>
  <c r="AO193" i="1"/>
  <c r="AP193" i="1"/>
  <c r="AQ193" i="1"/>
  <c r="AR193" i="1"/>
  <c r="AS193" i="1"/>
  <c r="AT193" i="1"/>
  <c r="AU193" i="1"/>
  <c r="AV193" i="1"/>
  <c r="AW193" i="1"/>
  <c r="AK194" i="1"/>
  <c r="AL194" i="1"/>
  <c r="AM194" i="1"/>
  <c r="AN194" i="1"/>
  <c r="AO194" i="1"/>
  <c r="AP194" i="1"/>
  <c r="AQ194" i="1"/>
  <c r="AR194" i="1"/>
  <c r="AS194" i="1"/>
  <c r="AT194" i="1"/>
  <c r="AU194" i="1"/>
  <c r="AV194" i="1"/>
  <c r="AW194" i="1"/>
  <c r="AK195" i="1"/>
  <c r="AL195" i="1"/>
  <c r="AM195" i="1"/>
  <c r="AN195" i="1"/>
  <c r="AO195" i="1"/>
  <c r="AP195" i="1"/>
  <c r="AQ195" i="1"/>
  <c r="AR195" i="1"/>
  <c r="AS195" i="1"/>
  <c r="AT195" i="1"/>
  <c r="AU195" i="1"/>
  <c r="AV195" i="1"/>
  <c r="AW195" i="1"/>
  <c r="AK196" i="1"/>
  <c r="AL196" i="1"/>
  <c r="AM196" i="1"/>
  <c r="AN196" i="1"/>
  <c r="AO196" i="1"/>
  <c r="AP196" i="1"/>
  <c r="AQ196" i="1"/>
  <c r="AR196" i="1"/>
  <c r="AS196" i="1"/>
  <c r="AT196" i="1"/>
  <c r="AU196" i="1"/>
  <c r="AV196" i="1"/>
  <c r="AW196" i="1"/>
  <c r="AK197" i="1"/>
  <c r="AL197" i="1"/>
  <c r="AM197" i="1"/>
  <c r="AN197" i="1"/>
  <c r="AO197" i="1"/>
  <c r="AP197" i="1"/>
  <c r="AQ197" i="1"/>
  <c r="AR197" i="1"/>
  <c r="AS197" i="1"/>
  <c r="AT197" i="1"/>
  <c r="AU197" i="1"/>
  <c r="AV197" i="1"/>
  <c r="AW197" i="1"/>
  <c r="AK198" i="1"/>
  <c r="AL198" i="1"/>
  <c r="AM198" i="1"/>
  <c r="AN198" i="1"/>
  <c r="AO198" i="1"/>
  <c r="AP198" i="1"/>
  <c r="AQ198" i="1"/>
  <c r="AR198" i="1"/>
  <c r="AS198" i="1"/>
  <c r="AT198" i="1"/>
  <c r="AU198" i="1"/>
  <c r="AV198" i="1"/>
  <c r="AW198" i="1"/>
  <c r="AK199" i="1"/>
  <c r="AL199" i="1"/>
  <c r="AM199" i="1"/>
  <c r="AN199" i="1"/>
  <c r="AO199" i="1"/>
  <c r="AP199" i="1"/>
  <c r="AQ199" i="1"/>
  <c r="AR199" i="1"/>
  <c r="AS199" i="1"/>
  <c r="AT199" i="1"/>
  <c r="AU199" i="1"/>
  <c r="AV199" i="1"/>
  <c r="AW199" i="1"/>
  <c r="AK200" i="1"/>
  <c r="AL200" i="1"/>
  <c r="AM200" i="1"/>
  <c r="AN200" i="1"/>
  <c r="AO200" i="1"/>
  <c r="AP200" i="1"/>
  <c r="AQ200" i="1"/>
  <c r="AR200" i="1"/>
  <c r="AS200" i="1"/>
  <c r="AT200" i="1"/>
  <c r="AU200" i="1"/>
  <c r="AV200" i="1"/>
  <c r="AW200" i="1"/>
  <c r="AK201" i="1"/>
  <c r="AL201" i="1"/>
  <c r="AM201" i="1"/>
  <c r="AN201" i="1"/>
  <c r="AO201" i="1"/>
  <c r="AP201" i="1"/>
  <c r="AQ201" i="1"/>
  <c r="AR201" i="1"/>
  <c r="AS201" i="1"/>
  <c r="AT201" i="1"/>
  <c r="AU201" i="1"/>
  <c r="AV201" i="1"/>
  <c r="AW201" i="1"/>
  <c r="AK202" i="1"/>
  <c r="AL202" i="1"/>
  <c r="AM202" i="1"/>
  <c r="AN202" i="1"/>
  <c r="AO202" i="1"/>
  <c r="AP202" i="1"/>
  <c r="AQ202" i="1"/>
  <c r="AR202" i="1"/>
  <c r="AS202" i="1"/>
  <c r="AT202" i="1"/>
  <c r="AU202" i="1"/>
  <c r="AV202" i="1"/>
  <c r="AW202" i="1"/>
  <c r="AK203" i="1"/>
  <c r="AL203" i="1"/>
  <c r="AM203" i="1"/>
  <c r="AN203" i="1"/>
  <c r="AO203" i="1"/>
  <c r="AP203" i="1"/>
  <c r="AQ203" i="1"/>
  <c r="AR203" i="1"/>
  <c r="AS203" i="1"/>
  <c r="AT203" i="1"/>
  <c r="AU203" i="1"/>
  <c r="AV203" i="1"/>
  <c r="AW203" i="1"/>
  <c r="AK204" i="1"/>
  <c r="AL204" i="1"/>
  <c r="AM204" i="1"/>
  <c r="AN204" i="1"/>
  <c r="AO204" i="1"/>
  <c r="AP204" i="1"/>
  <c r="AQ204" i="1"/>
  <c r="AR204" i="1"/>
  <c r="AS204" i="1"/>
  <c r="AT204" i="1"/>
  <c r="AU204" i="1"/>
  <c r="AV204" i="1"/>
  <c r="AW204" i="1"/>
  <c r="AK205" i="1"/>
  <c r="AL205" i="1"/>
  <c r="AM205" i="1"/>
  <c r="AN205" i="1"/>
  <c r="AO205" i="1"/>
  <c r="AP205" i="1"/>
  <c r="AQ205" i="1"/>
  <c r="AR205" i="1"/>
  <c r="AS205" i="1"/>
  <c r="AT205" i="1"/>
  <c r="AU205" i="1"/>
  <c r="AV205" i="1"/>
  <c r="AW205" i="1"/>
  <c r="AK206" i="1"/>
  <c r="AL206" i="1"/>
  <c r="AM206" i="1"/>
  <c r="AN206" i="1"/>
  <c r="AO206" i="1"/>
  <c r="AP206" i="1"/>
  <c r="AQ206" i="1"/>
  <c r="AR206" i="1"/>
  <c r="AS206" i="1"/>
  <c r="AT206" i="1"/>
  <c r="AU206" i="1"/>
  <c r="AV206" i="1"/>
  <c r="AW206" i="1"/>
  <c r="AK207" i="1"/>
  <c r="AL207" i="1"/>
  <c r="AM207" i="1"/>
  <c r="AN207" i="1"/>
  <c r="AO207" i="1"/>
  <c r="AP207" i="1"/>
  <c r="AQ207" i="1"/>
  <c r="AR207" i="1"/>
  <c r="AS207" i="1"/>
  <c r="AT207" i="1"/>
  <c r="AU207" i="1"/>
  <c r="AV207" i="1"/>
  <c r="AW207" i="1"/>
  <c r="AK208" i="1"/>
  <c r="AL208" i="1"/>
  <c r="AM208" i="1"/>
  <c r="AN208" i="1"/>
  <c r="AO208" i="1"/>
  <c r="AP208" i="1"/>
  <c r="AQ208" i="1"/>
  <c r="AR208" i="1"/>
  <c r="AS208" i="1"/>
  <c r="AT208" i="1"/>
  <c r="AU208" i="1"/>
  <c r="AV208" i="1"/>
  <c r="AW208" i="1"/>
  <c r="AK209" i="1"/>
  <c r="AL209" i="1"/>
  <c r="AM209" i="1"/>
  <c r="AN209" i="1"/>
  <c r="AO209" i="1"/>
  <c r="AP209" i="1"/>
  <c r="AQ209" i="1"/>
  <c r="AR209" i="1"/>
  <c r="AS209" i="1"/>
  <c r="AT209" i="1"/>
  <c r="AU209" i="1"/>
  <c r="AV209" i="1"/>
  <c r="AW209" i="1"/>
  <c r="AK210" i="1"/>
  <c r="AL210" i="1"/>
  <c r="AM210" i="1"/>
  <c r="AN210" i="1"/>
  <c r="AO210" i="1"/>
  <c r="AP210" i="1"/>
  <c r="AQ210" i="1"/>
  <c r="AR210" i="1"/>
  <c r="AS210" i="1"/>
  <c r="AT210" i="1"/>
  <c r="AU210" i="1"/>
  <c r="AV210" i="1"/>
  <c r="AW210" i="1"/>
  <c r="AK211" i="1"/>
  <c r="AL211" i="1"/>
  <c r="AM211" i="1"/>
  <c r="AN211" i="1"/>
  <c r="AO211" i="1"/>
  <c r="AP211" i="1"/>
  <c r="AQ211" i="1"/>
  <c r="AR211" i="1"/>
  <c r="AS211" i="1"/>
  <c r="AT211" i="1"/>
  <c r="AU211" i="1"/>
  <c r="AV211" i="1"/>
  <c r="AW211" i="1"/>
  <c r="AK212" i="1"/>
  <c r="AL212" i="1"/>
  <c r="AM212" i="1"/>
  <c r="AN212" i="1"/>
  <c r="AO212" i="1"/>
  <c r="AP212" i="1"/>
  <c r="AQ212" i="1"/>
  <c r="AR212" i="1"/>
  <c r="AS212" i="1"/>
  <c r="AT212" i="1"/>
  <c r="AU212" i="1"/>
  <c r="AV212" i="1"/>
  <c r="AW212" i="1"/>
  <c r="AK213" i="1"/>
  <c r="AL213" i="1"/>
  <c r="AM213" i="1"/>
  <c r="AN213" i="1"/>
  <c r="AO213" i="1"/>
  <c r="AP213" i="1"/>
  <c r="AQ213" i="1"/>
  <c r="AR213" i="1"/>
  <c r="AS213" i="1"/>
  <c r="AT213" i="1"/>
  <c r="AU213" i="1"/>
  <c r="AV213" i="1"/>
  <c r="AW213" i="1"/>
  <c r="AK214" i="1"/>
  <c r="AL214" i="1"/>
  <c r="AM214" i="1"/>
  <c r="AN214" i="1"/>
  <c r="AO214" i="1"/>
  <c r="AP214" i="1"/>
  <c r="AQ214" i="1"/>
  <c r="AR214" i="1"/>
  <c r="AS214" i="1"/>
  <c r="AT214" i="1"/>
  <c r="AU214" i="1"/>
  <c r="AV214" i="1"/>
  <c r="AW214" i="1"/>
  <c r="AK215" i="1"/>
  <c r="AL215" i="1"/>
  <c r="AM215" i="1"/>
  <c r="AN215" i="1"/>
  <c r="AO215" i="1"/>
  <c r="AP215" i="1"/>
  <c r="AQ215" i="1"/>
  <c r="AR215" i="1"/>
  <c r="AS215" i="1"/>
  <c r="AT215" i="1"/>
  <c r="AU215" i="1"/>
  <c r="AV215" i="1"/>
  <c r="AW215" i="1"/>
  <c r="AK216" i="1"/>
  <c r="AL216" i="1"/>
  <c r="AM216" i="1"/>
  <c r="AN216" i="1"/>
  <c r="AO216" i="1"/>
  <c r="AP216" i="1"/>
  <c r="AQ216" i="1"/>
  <c r="AR216" i="1"/>
  <c r="AS216" i="1"/>
  <c r="AT216" i="1"/>
  <c r="AU216" i="1"/>
  <c r="AV216" i="1"/>
  <c r="AW216" i="1"/>
  <c r="AK217" i="1"/>
  <c r="AL217" i="1"/>
  <c r="AM217" i="1"/>
  <c r="AN217" i="1"/>
  <c r="AO217" i="1"/>
  <c r="AP217" i="1"/>
  <c r="AQ217" i="1"/>
  <c r="AR217" i="1"/>
  <c r="AS217" i="1"/>
  <c r="AT217" i="1"/>
  <c r="AU217" i="1"/>
  <c r="AV217" i="1"/>
  <c r="AW217" i="1"/>
  <c r="AK218" i="1"/>
  <c r="AL218" i="1"/>
  <c r="AM218" i="1"/>
  <c r="AN218" i="1"/>
  <c r="AO218" i="1"/>
  <c r="AP218" i="1"/>
  <c r="AQ218" i="1"/>
  <c r="AR218" i="1"/>
  <c r="AS218" i="1"/>
  <c r="AT218" i="1"/>
  <c r="AU218" i="1"/>
  <c r="AV218" i="1"/>
  <c r="AW218" i="1"/>
  <c r="AK219" i="1"/>
  <c r="AL219" i="1"/>
  <c r="AM219" i="1"/>
  <c r="AN219" i="1"/>
  <c r="AO219" i="1"/>
  <c r="AP219" i="1"/>
  <c r="AQ219" i="1"/>
  <c r="AR219" i="1"/>
  <c r="AS219" i="1"/>
  <c r="AT219" i="1"/>
  <c r="AU219" i="1"/>
  <c r="AV219" i="1"/>
  <c r="AW219" i="1"/>
  <c r="AK220" i="1"/>
  <c r="AL220" i="1"/>
  <c r="AM220" i="1"/>
  <c r="AN220" i="1"/>
  <c r="AO220" i="1"/>
  <c r="AP220" i="1"/>
  <c r="AQ220" i="1"/>
  <c r="AR220" i="1"/>
  <c r="AS220" i="1"/>
  <c r="AT220" i="1"/>
  <c r="AU220" i="1"/>
  <c r="AV220" i="1"/>
  <c r="AW220" i="1"/>
  <c r="AK221" i="1"/>
  <c r="AL221" i="1"/>
  <c r="AM221" i="1"/>
  <c r="AN221" i="1"/>
  <c r="AO221" i="1"/>
  <c r="AP221" i="1"/>
  <c r="AQ221" i="1"/>
  <c r="AR221" i="1"/>
  <c r="AS221" i="1"/>
  <c r="AT221" i="1"/>
  <c r="AU221" i="1"/>
  <c r="AV221" i="1"/>
  <c r="AW221" i="1"/>
  <c r="AK222" i="1"/>
  <c r="AL222" i="1"/>
  <c r="AM222" i="1"/>
  <c r="AN222" i="1"/>
  <c r="AO222" i="1"/>
  <c r="AP222" i="1"/>
  <c r="AQ222" i="1"/>
  <c r="AR222" i="1"/>
  <c r="AS222" i="1"/>
  <c r="AT222" i="1"/>
  <c r="AU222" i="1"/>
  <c r="AV222" i="1"/>
  <c r="AW222" i="1"/>
  <c r="AK223" i="1"/>
  <c r="AL223" i="1"/>
  <c r="AM223" i="1"/>
  <c r="AN223" i="1"/>
  <c r="AO223" i="1"/>
  <c r="AP223" i="1"/>
  <c r="AQ223" i="1"/>
  <c r="AR223" i="1"/>
  <c r="AS223" i="1"/>
  <c r="AT223" i="1"/>
  <c r="AU223" i="1"/>
  <c r="AV223" i="1"/>
  <c r="AW223" i="1"/>
  <c r="AK224" i="1"/>
  <c r="AL224" i="1"/>
  <c r="AM224" i="1"/>
  <c r="AN224" i="1"/>
  <c r="AO224" i="1"/>
  <c r="AP224" i="1"/>
  <c r="AQ224" i="1"/>
  <c r="AR224" i="1"/>
  <c r="AS224" i="1"/>
  <c r="AT224" i="1"/>
  <c r="AU224" i="1"/>
  <c r="AV224" i="1"/>
  <c r="AW224" i="1"/>
  <c r="AK225" i="1"/>
  <c r="AL225" i="1"/>
  <c r="AM225" i="1"/>
  <c r="AN225" i="1"/>
  <c r="AO225" i="1"/>
  <c r="AP225" i="1"/>
  <c r="AQ225" i="1"/>
  <c r="AR225" i="1"/>
  <c r="AS225" i="1"/>
  <c r="AT225" i="1"/>
  <c r="AU225" i="1"/>
  <c r="AV225" i="1"/>
  <c r="AW225" i="1"/>
  <c r="AK226" i="1"/>
  <c r="AL226" i="1"/>
  <c r="AM226" i="1"/>
  <c r="AN226" i="1"/>
  <c r="AO226" i="1"/>
  <c r="AP226" i="1"/>
  <c r="AQ226" i="1"/>
  <c r="AR226" i="1"/>
  <c r="AS226" i="1"/>
  <c r="AT226" i="1"/>
  <c r="AU226" i="1"/>
  <c r="AV226" i="1"/>
  <c r="AW226" i="1"/>
  <c r="AK227" i="1"/>
  <c r="AL227" i="1"/>
  <c r="AM227" i="1"/>
  <c r="AN227" i="1"/>
  <c r="AO227" i="1"/>
  <c r="AP227" i="1"/>
  <c r="AQ227" i="1"/>
  <c r="AR227" i="1"/>
  <c r="AS227" i="1"/>
  <c r="AT227" i="1"/>
  <c r="AU227" i="1"/>
  <c r="AV227" i="1"/>
  <c r="AW227" i="1"/>
  <c r="AK228" i="1"/>
  <c r="AL228" i="1"/>
  <c r="AM228" i="1"/>
  <c r="AN228" i="1"/>
  <c r="AO228" i="1"/>
  <c r="AP228" i="1"/>
  <c r="AQ228" i="1"/>
  <c r="AR228" i="1"/>
  <c r="AS228" i="1"/>
  <c r="AT228" i="1"/>
  <c r="AU228" i="1"/>
  <c r="AV228" i="1"/>
  <c r="AW228" i="1"/>
  <c r="AK229" i="1"/>
  <c r="AL229" i="1"/>
  <c r="AM229" i="1"/>
  <c r="AN229" i="1"/>
  <c r="AO229" i="1"/>
  <c r="AP229" i="1"/>
  <c r="AQ229" i="1"/>
  <c r="AR229" i="1"/>
  <c r="AS229" i="1"/>
  <c r="AT229" i="1"/>
  <c r="AU229" i="1"/>
  <c r="AV229" i="1"/>
  <c r="AW229" i="1"/>
  <c r="AK230" i="1"/>
  <c r="AL230" i="1"/>
  <c r="AM230" i="1"/>
  <c r="AN230" i="1"/>
  <c r="AO230" i="1"/>
  <c r="AP230" i="1"/>
  <c r="AQ230" i="1"/>
  <c r="AR230" i="1"/>
  <c r="AS230" i="1"/>
  <c r="AT230" i="1"/>
  <c r="AU230" i="1"/>
  <c r="AV230" i="1"/>
  <c r="AW230" i="1"/>
  <c r="AK231" i="1"/>
  <c r="AL231" i="1"/>
  <c r="AM231" i="1"/>
  <c r="AN231" i="1"/>
  <c r="AO231" i="1"/>
  <c r="AP231" i="1"/>
  <c r="AQ231" i="1"/>
  <c r="AR231" i="1"/>
  <c r="AS231" i="1"/>
  <c r="AT231" i="1"/>
  <c r="AU231" i="1"/>
  <c r="AV231" i="1"/>
  <c r="AW231" i="1"/>
  <c r="AK232" i="1"/>
  <c r="AL232" i="1"/>
  <c r="AM232" i="1"/>
  <c r="AN232" i="1"/>
  <c r="AO232" i="1"/>
  <c r="AP232" i="1"/>
  <c r="AQ232" i="1"/>
  <c r="AR232" i="1"/>
  <c r="AS232" i="1"/>
  <c r="AT232" i="1"/>
  <c r="AU232" i="1"/>
  <c r="AV232" i="1"/>
  <c r="AW232" i="1"/>
  <c r="AK233" i="1"/>
  <c r="AL233" i="1"/>
  <c r="AM233" i="1"/>
  <c r="AN233" i="1"/>
  <c r="AO233" i="1"/>
  <c r="AP233" i="1"/>
  <c r="AQ233" i="1"/>
  <c r="AR233" i="1"/>
  <c r="AS233" i="1"/>
  <c r="AT233" i="1"/>
  <c r="AU233" i="1"/>
  <c r="AV233" i="1"/>
  <c r="AW233" i="1"/>
  <c r="AK234" i="1"/>
  <c r="AL234" i="1"/>
  <c r="AM234" i="1"/>
  <c r="AN234" i="1"/>
  <c r="AO234" i="1"/>
  <c r="AP234" i="1"/>
  <c r="AQ234" i="1"/>
  <c r="AR234" i="1"/>
  <c r="AS234" i="1"/>
  <c r="AT234" i="1"/>
  <c r="AU234" i="1"/>
  <c r="AV234" i="1"/>
  <c r="AW234" i="1"/>
  <c r="AK235" i="1"/>
  <c r="AL235" i="1"/>
  <c r="AM235" i="1"/>
  <c r="AN235" i="1"/>
  <c r="AO235" i="1"/>
  <c r="AP235" i="1"/>
  <c r="AQ235" i="1"/>
  <c r="AR235" i="1"/>
  <c r="AS235" i="1"/>
  <c r="AT235" i="1"/>
  <c r="AU235" i="1"/>
  <c r="AV235" i="1"/>
  <c r="AW235" i="1"/>
  <c r="AK236" i="1"/>
  <c r="AL236" i="1"/>
  <c r="AM236" i="1"/>
  <c r="AN236" i="1"/>
  <c r="AO236" i="1"/>
  <c r="AP236" i="1"/>
  <c r="AQ236" i="1"/>
  <c r="AR236" i="1"/>
  <c r="AS236" i="1"/>
  <c r="AT236" i="1"/>
  <c r="AU236" i="1"/>
  <c r="AV236" i="1"/>
  <c r="AW236" i="1"/>
  <c r="AK237" i="1"/>
  <c r="AL237" i="1"/>
  <c r="AM237" i="1"/>
  <c r="AN237" i="1"/>
  <c r="AO237" i="1"/>
  <c r="AP237" i="1"/>
  <c r="AQ237" i="1"/>
  <c r="AR237" i="1"/>
  <c r="AS237" i="1"/>
  <c r="AT237" i="1"/>
  <c r="AU237" i="1"/>
  <c r="AV237" i="1"/>
  <c r="AW237" i="1"/>
  <c r="AK238" i="1"/>
  <c r="AL238" i="1"/>
  <c r="AM238" i="1"/>
  <c r="AN238" i="1"/>
  <c r="AO238" i="1"/>
  <c r="AP238" i="1"/>
  <c r="AQ238" i="1"/>
  <c r="AR238" i="1"/>
  <c r="AS238" i="1"/>
  <c r="AT238" i="1"/>
  <c r="AU238" i="1"/>
  <c r="AV238" i="1"/>
  <c r="AW238" i="1"/>
  <c r="AK239" i="1"/>
  <c r="AL239" i="1"/>
  <c r="AM239" i="1"/>
  <c r="AN239" i="1"/>
  <c r="AO239" i="1"/>
  <c r="AP239" i="1"/>
  <c r="AQ239" i="1"/>
  <c r="AR239" i="1"/>
  <c r="AS239" i="1"/>
  <c r="AT239" i="1"/>
  <c r="AU239" i="1"/>
  <c r="AV239" i="1"/>
  <c r="AW239" i="1"/>
  <c r="AK240" i="1"/>
  <c r="AL240" i="1"/>
  <c r="AM240" i="1"/>
  <c r="AN240" i="1"/>
  <c r="AO240" i="1"/>
  <c r="AP240" i="1"/>
  <c r="AQ240" i="1"/>
  <c r="AR240" i="1"/>
  <c r="AS240" i="1"/>
  <c r="AT240" i="1"/>
  <c r="AU240" i="1"/>
  <c r="AV240" i="1"/>
  <c r="AW240" i="1"/>
  <c r="AK241" i="1"/>
  <c r="AL241" i="1"/>
  <c r="AM241" i="1"/>
  <c r="AN241" i="1"/>
  <c r="AO241" i="1"/>
  <c r="AP241" i="1"/>
  <c r="AQ241" i="1"/>
  <c r="AR241" i="1"/>
  <c r="AS241" i="1"/>
  <c r="AT241" i="1"/>
  <c r="AU241" i="1"/>
  <c r="AV241" i="1"/>
  <c r="AW241" i="1"/>
  <c r="AK242" i="1"/>
  <c r="AL242" i="1"/>
  <c r="AM242" i="1"/>
  <c r="AN242" i="1"/>
  <c r="AO242" i="1"/>
  <c r="AP242" i="1"/>
  <c r="AQ242" i="1"/>
  <c r="AR242" i="1"/>
  <c r="AS242" i="1"/>
  <c r="AT242" i="1"/>
  <c r="AU242" i="1"/>
  <c r="AV242" i="1"/>
  <c r="AW242" i="1"/>
  <c r="AK243" i="1"/>
  <c r="AL243" i="1"/>
  <c r="AM243" i="1"/>
  <c r="AN243" i="1"/>
  <c r="AO243" i="1"/>
  <c r="AP243" i="1"/>
  <c r="AQ243" i="1"/>
  <c r="AR243" i="1"/>
  <c r="AS243" i="1"/>
  <c r="AT243" i="1"/>
  <c r="AU243" i="1"/>
  <c r="AV243" i="1"/>
  <c r="AW243" i="1"/>
  <c r="AK244" i="1"/>
  <c r="AL244" i="1"/>
  <c r="AM244" i="1"/>
  <c r="AN244" i="1"/>
  <c r="AO244" i="1"/>
  <c r="AP244" i="1"/>
  <c r="AQ244" i="1"/>
  <c r="AR244" i="1"/>
  <c r="AS244" i="1"/>
  <c r="AT244" i="1"/>
  <c r="AU244" i="1"/>
  <c r="AV244" i="1"/>
  <c r="AW244" i="1"/>
  <c r="AK245" i="1"/>
  <c r="AL245" i="1"/>
  <c r="AM245" i="1"/>
  <c r="AN245" i="1"/>
  <c r="AO245" i="1"/>
  <c r="AP245" i="1"/>
  <c r="AQ245" i="1"/>
  <c r="AR245" i="1"/>
  <c r="AS245" i="1"/>
  <c r="AT245" i="1"/>
  <c r="AU245" i="1"/>
  <c r="AV245" i="1"/>
  <c r="AW245" i="1"/>
  <c r="AK246" i="1"/>
  <c r="AL246" i="1"/>
  <c r="AM246" i="1"/>
  <c r="AN246" i="1"/>
  <c r="AO246" i="1"/>
  <c r="AP246" i="1"/>
  <c r="AQ246" i="1"/>
  <c r="AR246" i="1"/>
  <c r="AS246" i="1"/>
  <c r="AT246" i="1"/>
  <c r="AU246" i="1"/>
  <c r="AV246" i="1"/>
  <c r="AW246" i="1"/>
  <c r="AK247" i="1"/>
  <c r="AL247" i="1"/>
  <c r="AM247" i="1"/>
  <c r="AN247" i="1"/>
  <c r="AO247" i="1"/>
  <c r="AP247" i="1"/>
  <c r="AQ247" i="1"/>
  <c r="AR247" i="1"/>
  <c r="AS247" i="1"/>
  <c r="AT247" i="1"/>
  <c r="AU247" i="1"/>
  <c r="AV247" i="1"/>
  <c r="AW247" i="1"/>
  <c r="AK248" i="1"/>
  <c r="AL248" i="1"/>
  <c r="AM248" i="1"/>
  <c r="AN248" i="1"/>
  <c r="AO248" i="1"/>
  <c r="AP248" i="1"/>
  <c r="AQ248" i="1"/>
  <c r="AR248" i="1"/>
  <c r="AS248" i="1"/>
  <c r="AT248" i="1"/>
  <c r="AU248" i="1"/>
  <c r="AV248" i="1"/>
  <c r="AW248" i="1"/>
  <c r="AK249" i="1"/>
  <c r="AL249" i="1"/>
  <c r="AM249" i="1"/>
  <c r="AN249" i="1"/>
  <c r="AO249" i="1"/>
  <c r="AP249" i="1"/>
  <c r="AQ249" i="1"/>
  <c r="AR249" i="1"/>
  <c r="AS249" i="1"/>
  <c r="AT249" i="1"/>
  <c r="AU249" i="1"/>
  <c r="AV249" i="1"/>
  <c r="AW249" i="1"/>
  <c r="AK250" i="1"/>
  <c r="AL250" i="1"/>
  <c r="AM250" i="1"/>
  <c r="AN250" i="1"/>
  <c r="AO250" i="1"/>
  <c r="AP250" i="1"/>
  <c r="AQ250" i="1"/>
  <c r="AR250" i="1"/>
  <c r="AS250" i="1"/>
  <c r="AT250" i="1"/>
  <c r="AU250" i="1"/>
  <c r="AV250" i="1"/>
  <c r="AW250" i="1"/>
  <c r="AK251" i="1"/>
  <c r="AL251" i="1"/>
  <c r="AM251" i="1"/>
  <c r="AN251" i="1"/>
  <c r="AO251" i="1"/>
  <c r="AP251" i="1"/>
  <c r="AQ251" i="1"/>
  <c r="AR251" i="1"/>
  <c r="AS251" i="1"/>
  <c r="AT251" i="1"/>
  <c r="AU251" i="1"/>
  <c r="AV251" i="1"/>
  <c r="AW251" i="1"/>
  <c r="AK252" i="1"/>
  <c r="AL252" i="1"/>
  <c r="AM252" i="1"/>
  <c r="AN252" i="1"/>
  <c r="AO252" i="1"/>
  <c r="AP252" i="1"/>
  <c r="AQ252" i="1"/>
  <c r="AR252" i="1"/>
  <c r="AS252" i="1"/>
  <c r="AT252" i="1"/>
  <c r="AU252" i="1"/>
  <c r="AV252" i="1"/>
  <c r="AW252" i="1"/>
  <c r="AK253" i="1"/>
  <c r="AL253" i="1"/>
  <c r="AM253" i="1"/>
  <c r="AN253" i="1"/>
  <c r="AO253" i="1"/>
  <c r="AP253" i="1"/>
  <c r="AQ253" i="1"/>
  <c r="AR253" i="1"/>
  <c r="AS253" i="1"/>
  <c r="AT253" i="1"/>
  <c r="AU253" i="1"/>
  <c r="AV253" i="1"/>
  <c r="AW253" i="1"/>
  <c r="AK254" i="1"/>
  <c r="AL254" i="1"/>
  <c r="AM254" i="1"/>
  <c r="AN254" i="1"/>
  <c r="AO254" i="1"/>
  <c r="AP254" i="1"/>
  <c r="AQ254" i="1"/>
  <c r="AR254" i="1"/>
  <c r="AS254" i="1"/>
  <c r="AT254" i="1"/>
  <c r="AU254" i="1"/>
  <c r="AV254" i="1"/>
  <c r="AW254" i="1"/>
  <c r="AK255" i="1"/>
  <c r="AL255" i="1"/>
  <c r="AM255" i="1"/>
  <c r="AN255" i="1"/>
  <c r="AO255" i="1"/>
  <c r="AP255" i="1"/>
  <c r="AQ255" i="1"/>
  <c r="AR255" i="1"/>
  <c r="AS255" i="1"/>
  <c r="AT255" i="1"/>
  <c r="AU255" i="1"/>
  <c r="AV255" i="1"/>
  <c r="AW255" i="1"/>
  <c r="AK256" i="1"/>
  <c r="AL256" i="1"/>
  <c r="AM256" i="1"/>
  <c r="AN256" i="1"/>
  <c r="AO256" i="1"/>
  <c r="AP256" i="1"/>
  <c r="AQ256" i="1"/>
  <c r="AR256" i="1"/>
  <c r="AS256" i="1"/>
  <c r="AT256" i="1"/>
  <c r="AU256" i="1"/>
  <c r="AV256" i="1"/>
  <c r="AW256" i="1"/>
  <c r="AK257" i="1"/>
  <c r="AL257" i="1"/>
  <c r="AM257" i="1"/>
  <c r="AN257" i="1"/>
  <c r="AO257" i="1"/>
  <c r="AP257" i="1"/>
  <c r="AQ257" i="1"/>
  <c r="AR257" i="1"/>
  <c r="AS257" i="1"/>
  <c r="AT257" i="1"/>
  <c r="AU257" i="1"/>
  <c r="AV257" i="1"/>
  <c r="AW257" i="1"/>
  <c r="AK258" i="1"/>
  <c r="AL258" i="1"/>
  <c r="AM258" i="1"/>
  <c r="AN258" i="1"/>
  <c r="AO258" i="1"/>
  <c r="AP258" i="1"/>
  <c r="AQ258" i="1"/>
  <c r="AR258" i="1"/>
  <c r="AS258" i="1"/>
  <c r="AT258" i="1"/>
  <c r="AU258" i="1"/>
  <c r="AV258" i="1"/>
  <c r="AW258" i="1"/>
  <c r="AK259" i="1"/>
  <c r="AL259" i="1"/>
  <c r="AM259" i="1"/>
  <c r="AN259" i="1"/>
  <c r="AO259" i="1"/>
  <c r="AP259" i="1"/>
  <c r="AQ259" i="1"/>
  <c r="AR259" i="1"/>
  <c r="AS259" i="1"/>
  <c r="AT259" i="1"/>
  <c r="AU259" i="1"/>
  <c r="AV259" i="1"/>
  <c r="AW259" i="1"/>
  <c r="AK260" i="1"/>
  <c r="AL260" i="1"/>
  <c r="AM260" i="1"/>
  <c r="AN260" i="1"/>
  <c r="AO260" i="1"/>
  <c r="AP260" i="1"/>
  <c r="AQ260" i="1"/>
  <c r="AR260" i="1"/>
  <c r="AS260" i="1"/>
  <c r="AT260" i="1"/>
  <c r="AU260" i="1"/>
  <c r="AV260" i="1"/>
  <c r="AW260" i="1"/>
  <c r="AK261" i="1"/>
  <c r="AL261" i="1"/>
  <c r="AM261" i="1"/>
  <c r="AN261" i="1"/>
  <c r="AO261" i="1"/>
  <c r="AP261" i="1"/>
  <c r="AQ261" i="1"/>
  <c r="AR261" i="1"/>
  <c r="AS261" i="1"/>
  <c r="AT261" i="1"/>
  <c r="AU261" i="1"/>
  <c r="AV261" i="1"/>
  <c r="AW261" i="1"/>
  <c r="AK262" i="1"/>
  <c r="AL262" i="1"/>
  <c r="AM262" i="1"/>
  <c r="AN262" i="1"/>
  <c r="AO262" i="1"/>
  <c r="AP262" i="1"/>
  <c r="AQ262" i="1"/>
  <c r="AR262" i="1"/>
  <c r="AS262" i="1"/>
  <c r="AT262" i="1"/>
  <c r="AU262" i="1"/>
  <c r="AV262" i="1"/>
  <c r="AW262" i="1"/>
  <c r="AK263" i="1"/>
  <c r="AL263" i="1"/>
  <c r="AM263" i="1"/>
  <c r="AN263" i="1"/>
  <c r="AO263" i="1"/>
  <c r="AP263" i="1"/>
  <c r="AQ263" i="1"/>
  <c r="AR263" i="1"/>
  <c r="AS263" i="1"/>
  <c r="AT263" i="1"/>
  <c r="AU263" i="1"/>
  <c r="AV263" i="1"/>
  <c r="AW263" i="1"/>
  <c r="AK264" i="1"/>
  <c r="AL264" i="1"/>
  <c r="AM264" i="1"/>
  <c r="AN264" i="1"/>
  <c r="AO264" i="1"/>
  <c r="AP264" i="1"/>
  <c r="AQ264" i="1"/>
  <c r="AR264" i="1"/>
  <c r="AS264" i="1"/>
  <c r="AT264" i="1"/>
  <c r="AU264" i="1"/>
  <c r="AV264" i="1"/>
  <c r="AW264" i="1"/>
  <c r="AK265" i="1"/>
  <c r="AL265" i="1"/>
  <c r="AM265" i="1"/>
  <c r="AN265" i="1"/>
  <c r="AO265" i="1"/>
  <c r="AP265" i="1"/>
  <c r="AQ265" i="1"/>
  <c r="AR265" i="1"/>
  <c r="AS265" i="1"/>
  <c r="AT265" i="1"/>
  <c r="AU265" i="1"/>
  <c r="AV265" i="1"/>
  <c r="AW265" i="1"/>
  <c r="AK266" i="1"/>
  <c r="AL266" i="1"/>
  <c r="AM266" i="1"/>
  <c r="AN266" i="1"/>
  <c r="AO266" i="1"/>
  <c r="AP266" i="1"/>
  <c r="AQ266" i="1"/>
  <c r="AR266" i="1"/>
  <c r="AS266" i="1"/>
  <c r="AT266" i="1"/>
  <c r="AU266" i="1"/>
  <c r="AV266" i="1"/>
  <c r="AW266" i="1"/>
  <c r="AK267" i="1"/>
  <c r="AL267" i="1"/>
  <c r="AM267" i="1"/>
  <c r="AN267" i="1"/>
  <c r="AO267" i="1"/>
  <c r="AP267" i="1"/>
  <c r="AQ267" i="1"/>
  <c r="AR267" i="1"/>
  <c r="AS267" i="1"/>
  <c r="AT267" i="1"/>
  <c r="AU267" i="1"/>
  <c r="AV267" i="1"/>
  <c r="AW267" i="1"/>
  <c r="AK268" i="1"/>
  <c r="AL268" i="1"/>
  <c r="AM268" i="1"/>
  <c r="AN268" i="1"/>
  <c r="AO268" i="1"/>
  <c r="AP268" i="1"/>
  <c r="AQ268" i="1"/>
  <c r="AR268" i="1"/>
  <c r="AS268" i="1"/>
  <c r="AT268" i="1"/>
  <c r="AU268" i="1"/>
  <c r="AV268" i="1"/>
  <c r="AW268" i="1"/>
  <c r="AK269" i="1"/>
  <c r="AL269" i="1"/>
  <c r="AM269" i="1"/>
  <c r="AN269" i="1"/>
  <c r="AO269" i="1"/>
  <c r="AP269" i="1"/>
  <c r="AQ269" i="1"/>
  <c r="AR269" i="1"/>
  <c r="AS269" i="1"/>
  <c r="AT269" i="1"/>
  <c r="AU269" i="1"/>
  <c r="AV269" i="1"/>
  <c r="AW269" i="1"/>
  <c r="AK270" i="1"/>
  <c r="AL270" i="1"/>
  <c r="AM270" i="1"/>
  <c r="AN270" i="1"/>
  <c r="AO270" i="1"/>
  <c r="AP270" i="1"/>
  <c r="AQ270" i="1"/>
  <c r="AR270" i="1"/>
  <c r="AS270" i="1"/>
  <c r="AT270" i="1"/>
  <c r="AU270" i="1"/>
  <c r="AV270" i="1"/>
  <c r="AW270" i="1"/>
  <c r="AK271" i="1"/>
  <c r="AL271" i="1"/>
  <c r="AM271" i="1"/>
  <c r="AN271" i="1"/>
  <c r="AO271" i="1"/>
  <c r="AP271" i="1"/>
  <c r="AQ271" i="1"/>
  <c r="AR271" i="1"/>
  <c r="AS271" i="1"/>
  <c r="AT271" i="1"/>
  <c r="AU271" i="1"/>
  <c r="AV271" i="1"/>
  <c r="AW271" i="1"/>
  <c r="AK272" i="1"/>
  <c r="AL272" i="1"/>
  <c r="AM272" i="1"/>
  <c r="AN272" i="1"/>
  <c r="AO272" i="1"/>
  <c r="AP272" i="1"/>
  <c r="AQ272" i="1"/>
  <c r="AR272" i="1"/>
  <c r="AS272" i="1"/>
  <c r="AT272" i="1"/>
  <c r="AU272" i="1"/>
  <c r="AV272" i="1"/>
  <c r="AW272" i="1"/>
  <c r="AK273" i="1"/>
  <c r="AL273" i="1"/>
  <c r="AM273" i="1"/>
  <c r="AN273" i="1"/>
  <c r="AO273" i="1"/>
  <c r="AP273" i="1"/>
  <c r="AQ273" i="1"/>
  <c r="AR273" i="1"/>
  <c r="AS273" i="1"/>
  <c r="AT273" i="1"/>
  <c r="AU273" i="1"/>
  <c r="AV273" i="1"/>
  <c r="AW273" i="1"/>
  <c r="AK274" i="1"/>
  <c r="AL274" i="1"/>
  <c r="AM274" i="1"/>
  <c r="AN274" i="1"/>
  <c r="AO274" i="1"/>
  <c r="AP274" i="1"/>
  <c r="AQ274" i="1"/>
  <c r="AR274" i="1"/>
  <c r="AS274" i="1"/>
  <c r="AT274" i="1"/>
  <c r="AU274" i="1"/>
  <c r="AV274" i="1"/>
  <c r="AW274" i="1"/>
  <c r="AK275" i="1"/>
  <c r="AL275" i="1"/>
  <c r="AM275" i="1"/>
  <c r="AN275" i="1"/>
  <c r="AO275" i="1"/>
  <c r="AP275" i="1"/>
  <c r="AQ275" i="1"/>
  <c r="AR275" i="1"/>
  <c r="AS275" i="1"/>
  <c r="AT275" i="1"/>
  <c r="AU275" i="1"/>
  <c r="AV275" i="1"/>
  <c r="AW275" i="1"/>
  <c r="AK276" i="1"/>
  <c r="AL276" i="1"/>
  <c r="AM276" i="1"/>
  <c r="AN276" i="1"/>
  <c r="AO276" i="1"/>
  <c r="AP276" i="1"/>
  <c r="AQ276" i="1"/>
  <c r="AR276" i="1"/>
  <c r="AS276" i="1"/>
  <c r="AT276" i="1"/>
  <c r="AU276" i="1"/>
  <c r="AV276" i="1"/>
  <c r="AW276" i="1"/>
  <c r="AK277" i="1"/>
  <c r="AL277" i="1"/>
  <c r="AM277" i="1"/>
  <c r="AN277" i="1"/>
  <c r="AO277" i="1"/>
  <c r="AP277" i="1"/>
  <c r="AQ277" i="1"/>
  <c r="AR277" i="1"/>
  <c r="AS277" i="1"/>
  <c r="AT277" i="1"/>
  <c r="AU277" i="1"/>
  <c r="AV277" i="1"/>
  <c r="AW277" i="1"/>
  <c r="AK278" i="1"/>
  <c r="AL278" i="1"/>
  <c r="AM278" i="1"/>
  <c r="AN278" i="1"/>
  <c r="AO278" i="1"/>
  <c r="AP278" i="1"/>
  <c r="AQ278" i="1"/>
  <c r="AR278" i="1"/>
  <c r="AS278" i="1"/>
  <c r="AT278" i="1"/>
  <c r="AU278" i="1"/>
  <c r="AV278" i="1"/>
  <c r="AW278" i="1"/>
  <c r="AK279" i="1"/>
  <c r="AL279" i="1"/>
  <c r="AM279" i="1"/>
  <c r="AN279" i="1"/>
  <c r="AO279" i="1"/>
  <c r="AP279" i="1"/>
  <c r="AQ279" i="1"/>
  <c r="AR279" i="1"/>
  <c r="AS279" i="1"/>
  <c r="AT279" i="1"/>
  <c r="AU279" i="1"/>
  <c r="AV279" i="1"/>
  <c r="AW279" i="1"/>
  <c r="AK280" i="1"/>
  <c r="AL280" i="1"/>
  <c r="AM280" i="1"/>
  <c r="AN280" i="1"/>
  <c r="AO280" i="1"/>
  <c r="AP280" i="1"/>
  <c r="AQ280" i="1"/>
  <c r="AR280" i="1"/>
  <c r="AS280" i="1"/>
  <c r="AT280" i="1"/>
  <c r="AU280" i="1"/>
  <c r="AV280" i="1"/>
  <c r="AW280" i="1"/>
  <c r="AK281" i="1"/>
  <c r="AL281" i="1"/>
  <c r="AM281" i="1"/>
  <c r="AN281" i="1"/>
  <c r="AO281" i="1"/>
  <c r="AP281" i="1"/>
  <c r="AQ281" i="1"/>
  <c r="AR281" i="1"/>
  <c r="AS281" i="1"/>
  <c r="AT281" i="1"/>
  <c r="AU281" i="1"/>
  <c r="AV281" i="1"/>
  <c r="AW281" i="1"/>
  <c r="AK282" i="1"/>
  <c r="AL282" i="1"/>
  <c r="AM282" i="1"/>
  <c r="AN282" i="1"/>
  <c r="AO282" i="1"/>
  <c r="AP282" i="1"/>
  <c r="AQ282" i="1"/>
  <c r="AR282" i="1"/>
  <c r="AS282" i="1"/>
  <c r="AT282" i="1"/>
  <c r="AU282" i="1"/>
  <c r="AV282" i="1"/>
  <c r="AW282" i="1"/>
  <c r="AK283" i="1"/>
  <c r="AL283" i="1"/>
  <c r="AM283" i="1"/>
  <c r="AN283" i="1"/>
  <c r="AO283" i="1"/>
  <c r="AP283" i="1"/>
  <c r="AQ283" i="1"/>
  <c r="AR283" i="1"/>
  <c r="AS283" i="1"/>
  <c r="AT283" i="1"/>
  <c r="AU283" i="1"/>
  <c r="AV283" i="1"/>
  <c r="AW283" i="1"/>
  <c r="AK284" i="1"/>
  <c r="AL284" i="1"/>
  <c r="AM284" i="1"/>
  <c r="AN284" i="1"/>
  <c r="AO284" i="1"/>
  <c r="AP284" i="1"/>
  <c r="AQ284" i="1"/>
  <c r="AR284" i="1"/>
  <c r="AS284" i="1"/>
  <c r="AT284" i="1"/>
  <c r="AU284" i="1"/>
  <c r="AV284" i="1"/>
  <c r="AW284" i="1"/>
  <c r="AK285" i="1"/>
  <c r="AL285" i="1"/>
  <c r="AM285" i="1"/>
  <c r="AN285" i="1"/>
  <c r="AO285" i="1"/>
  <c r="AP285" i="1"/>
  <c r="AQ285" i="1"/>
  <c r="AR285" i="1"/>
  <c r="AS285" i="1"/>
  <c r="AT285" i="1"/>
  <c r="AU285" i="1"/>
  <c r="AV285" i="1"/>
  <c r="AW285" i="1"/>
  <c r="AK286" i="1"/>
  <c r="AL286" i="1"/>
  <c r="AM286" i="1"/>
  <c r="AN286" i="1"/>
  <c r="AO286" i="1"/>
  <c r="AP286" i="1"/>
  <c r="AQ286" i="1"/>
  <c r="AR286" i="1"/>
  <c r="AS286" i="1"/>
  <c r="AT286" i="1"/>
  <c r="AU286" i="1"/>
  <c r="AV286" i="1"/>
  <c r="AW286" i="1"/>
  <c r="AK287" i="1"/>
  <c r="AL287" i="1"/>
  <c r="AM287" i="1"/>
  <c r="AN287" i="1"/>
  <c r="AO287" i="1"/>
  <c r="AP287" i="1"/>
  <c r="AQ287" i="1"/>
  <c r="AR287" i="1"/>
  <c r="AS287" i="1"/>
  <c r="AT287" i="1"/>
  <c r="AU287" i="1"/>
  <c r="AV287" i="1"/>
  <c r="AW287" i="1"/>
  <c r="AK288" i="1"/>
  <c r="AL288" i="1"/>
  <c r="AM288" i="1"/>
  <c r="AN288" i="1"/>
  <c r="AO288" i="1"/>
  <c r="AP288" i="1"/>
  <c r="AQ288" i="1"/>
  <c r="AR288" i="1"/>
  <c r="AS288" i="1"/>
  <c r="AT288" i="1"/>
  <c r="AU288" i="1"/>
  <c r="AV288" i="1"/>
  <c r="AW288" i="1"/>
  <c r="AK289" i="1"/>
  <c r="AL289" i="1"/>
  <c r="AM289" i="1"/>
  <c r="AN289" i="1"/>
  <c r="AO289" i="1"/>
  <c r="AP289" i="1"/>
  <c r="AQ289" i="1"/>
  <c r="AR289" i="1"/>
  <c r="AS289" i="1"/>
  <c r="AT289" i="1"/>
  <c r="AU289" i="1"/>
  <c r="AV289" i="1"/>
  <c r="AW289" i="1"/>
  <c r="AK290" i="1"/>
  <c r="AL290" i="1"/>
  <c r="AM290" i="1"/>
  <c r="AN290" i="1"/>
  <c r="AO290" i="1"/>
  <c r="AP290" i="1"/>
  <c r="AQ290" i="1"/>
  <c r="AR290" i="1"/>
  <c r="AS290" i="1"/>
  <c r="AT290" i="1"/>
  <c r="AU290" i="1"/>
  <c r="AV290" i="1"/>
  <c r="AW290" i="1"/>
  <c r="AK291" i="1"/>
  <c r="AL291" i="1"/>
  <c r="AM291" i="1"/>
  <c r="AN291" i="1"/>
  <c r="AO291" i="1"/>
  <c r="AP291" i="1"/>
  <c r="AQ291" i="1"/>
  <c r="AR291" i="1"/>
  <c r="AS291" i="1"/>
  <c r="AT291" i="1"/>
  <c r="AU291" i="1"/>
  <c r="AV291" i="1"/>
  <c r="AW291" i="1"/>
  <c r="AK292" i="1"/>
  <c r="AL292" i="1"/>
  <c r="AM292" i="1"/>
  <c r="AN292" i="1"/>
  <c r="AO292" i="1"/>
  <c r="AP292" i="1"/>
  <c r="AQ292" i="1"/>
  <c r="AR292" i="1"/>
  <c r="AS292" i="1"/>
  <c r="AT292" i="1"/>
  <c r="AU292" i="1"/>
  <c r="AV292" i="1"/>
  <c r="AW292" i="1"/>
  <c r="AK293" i="1"/>
  <c r="AL293" i="1"/>
  <c r="AM293" i="1"/>
  <c r="AN293" i="1"/>
  <c r="AO293" i="1"/>
  <c r="AP293" i="1"/>
  <c r="AQ293" i="1"/>
  <c r="AR293" i="1"/>
  <c r="AS293" i="1"/>
  <c r="AT293" i="1"/>
  <c r="AU293" i="1"/>
  <c r="AV293" i="1"/>
  <c r="AW293" i="1"/>
  <c r="AK294" i="1"/>
  <c r="AL294" i="1"/>
  <c r="AM294" i="1"/>
  <c r="AN294" i="1"/>
  <c r="AO294" i="1"/>
  <c r="AP294" i="1"/>
  <c r="AQ294" i="1"/>
  <c r="AR294" i="1"/>
  <c r="AS294" i="1"/>
  <c r="AT294" i="1"/>
  <c r="AU294" i="1"/>
  <c r="AV294" i="1"/>
  <c r="AW294" i="1"/>
  <c r="AK295" i="1"/>
  <c r="AL295" i="1"/>
  <c r="AM295" i="1"/>
  <c r="AN295" i="1"/>
  <c r="AO295" i="1"/>
  <c r="AP295" i="1"/>
  <c r="AQ295" i="1"/>
  <c r="AR295" i="1"/>
  <c r="AS295" i="1"/>
  <c r="AT295" i="1"/>
  <c r="AU295" i="1"/>
  <c r="AV295" i="1"/>
  <c r="AW295" i="1"/>
  <c r="AK296" i="1"/>
  <c r="AL296" i="1"/>
  <c r="AM296" i="1"/>
  <c r="AN296" i="1"/>
  <c r="AO296" i="1"/>
  <c r="AP296" i="1"/>
  <c r="AQ296" i="1"/>
  <c r="AR296" i="1"/>
  <c r="AS296" i="1"/>
  <c r="AT296" i="1"/>
  <c r="AU296" i="1"/>
  <c r="AV296" i="1"/>
  <c r="AW296" i="1"/>
  <c r="AK297" i="1"/>
  <c r="AL297" i="1"/>
  <c r="AM297" i="1"/>
  <c r="AN297" i="1"/>
  <c r="AO297" i="1"/>
  <c r="AP297" i="1"/>
  <c r="AQ297" i="1"/>
  <c r="AR297" i="1"/>
  <c r="AS297" i="1"/>
  <c r="AT297" i="1"/>
  <c r="AU297" i="1"/>
  <c r="AV297" i="1"/>
  <c r="AW297" i="1"/>
  <c r="AK298" i="1"/>
  <c r="AL298" i="1"/>
  <c r="AM298" i="1"/>
  <c r="AN298" i="1"/>
  <c r="AO298" i="1"/>
  <c r="AP298" i="1"/>
  <c r="AQ298" i="1"/>
  <c r="AR298" i="1"/>
  <c r="AS298" i="1"/>
  <c r="AT298" i="1"/>
  <c r="AU298" i="1"/>
  <c r="AV298" i="1"/>
  <c r="AW298" i="1"/>
  <c r="AK299" i="1"/>
  <c r="AL299" i="1"/>
  <c r="AM299" i="1"/>
  <c r="AN299" i="1"/>
  <c r="AO299" i="1"/>
  <c r="AP299" i="1"/>
  <c r="AQ299" i="1"/>
  <c r="AR299" i="1"/>
  <c r="AS299" i="1"/>
  <c r="AT299" i="1"/>
  <c r="AU299" i="1"/>
  <c r="AV299" i="1"/>
  <c r="AW299" i="1"/>
  <c r="AK300" i="1"/>
  <c r="AL300" i="1"/>
  <c r="AM300" i="1"/>
  <c r="AN300" i="1"/>
  <c r="AO300" i="1"/>
  <c r="AP300" i="1"/>
  <c r="AQ300" i="1"/>
  <c r="AR300" i="1"/>
  <c r="AS300" i="1"/>
  <c r="AT300" i="1"/>
  <c r="AU300" i="1"/>
  <c r="AV300" i="1"/>
  <c r="AW300" i="1"/>
  <c r="AK301" i="1"/>
  <c r="AL301" i="1"/>
  <c r="AM301" i="1"/>
  <c r="AN301" i="1"/>
  <c r="AO301" i="1"/>
  <c r="AP301" i="1"/>
  <c r="AQ301" i="1"/>
  <c r="AR301" i="1"/>
  <c r="AS301" i="1"/>
  <c r="AT301" i="1"/>
  <c r="AU301" i="1"/>
  <c r="AV301" i="1"/>
  <c r="AW301" i="1"/>
  <c r="AK302" i="1"/>
  <c r="AL302" i="1"/>
  <c r="AM302" i="1"/>
  <c r="AN302" i="1"/>
  <c r="AO302" i="1"/>
  <c r="AP302" i="1"/>
  <c r="AQ302" i="1"/>
  <c r="AR302" i="1"/>
  <c r="AS302" i="1"/>
  <c r="AT302" i="1"/>
  <c r="AU302" i="1"/>
  <c r="AV302" i="1"/>
  <c r="AW302" i="1"/>
  <c r="AK303" i="1"/>
  <c r="AL303" i="1"/>
  <c r="AM303" i="1"/>
  <c r="AN303" i="1"/>
  <c r="AO303" i="1"/>
  <c r="AP303" i="1"/>
  <c r="AQ303" i="1"/>
  <c r="AR303" i="1"/>
  <c r="AS303" i="1"/>
  <c r="AT303" i="1"/>
  <c r="AU303" i="1"/>
  <c r="AV303" i="1"/>
  <c r="AW303" i="1"/>
  <c r="AK304" i="1"/>
  <c r="AL304" i="1"/>
  <c r="AM304" i="1"/>
  <c r="AN304" i="1"/>
  <c r="AO304" i="1"/>
  <c r="AP304" i="1"/>
  <c r="AQ304" i="1"/>
  <c r="AR304" i="1"/>
  <c r="AS304" i="1"/>
  <c r="AT304" i="1"/>
  <c r="AU304" i="1"/>
  <c r="AV304" i="1"/>
  <c r="AW304" i="1"/>
  <c r="AK305" i="1"/>
  <c r="AL305" i="1"/>
  <c r="AM305" i="1"/>
  <c r="AN305" i="1"/>
  <c r="AO305" i="1"/>
  <c r="AP305" i="1"/>
  <c r="AQ305" i="1"/>
  <c r="AR305" i="1"/>
  <c r="AS305" i="1"/>
  <c r="AT305" i="1"/>
  <c r="AU305" i="1"/>
  <c r="AV305" i="1"/>
  <c r="AW305" i="1"/>
  <c r="AK306" i="1"/>
  <c r="AL306" i="1"/>
  <c r="AM306" i="1"/>
  <c r="AN306" i="1"/>
  <c r="AO306" i="1"/>
  <c r="AP306" i="1"/>
  <c r="AQ306" i="1"/>
  <c r="AR306" i="1"/>
  <c r="AS306" i="1"/>
  <c r="AT306" i="1"/>
  <c r="AU306" i="1"/>
  <c r="AV306" i="1"/>
  <c r="AW306" i="1"/>
  <c r="AK307" i="1"/>
  <c r="AL307" i="1"/>
  <c r="AM307" i="1"/>
  <c r="AN307" i="1"/>
  <c r="AO307" i="1"/>
  <c r="AP307" i="1"/>
  <c r="AQ307" i="1"/>
  <c r="AR307" i="1"/>
  <c r="AS307" i="1"/>
  <c r="AT307" i="1"/>
  <c r="AU307" i="1"/>
  <c r="AV307" i="1"/>
  <c r="AW307" i="1"/>
  <c r="AK308" i="1"/>
  <c r="AL308" i="1"/>
  <c r="AM308" i="1"/>
  <c r="AN308" i="1"/>
  <c r="AO308" i="1"/>
  <c r="AP308" i="1"/>
  <c r="AQ308" i="1"/>
  <c r="AR308" i="1"/>
  <c r="AS308" i="1"/>
  <c r="AT308" i="1"/>
  <c r="AU308" i="1"/>
  <c r="AV308" i="1"/>
  <c r="AW308" i="1"/>
  <c r="AK309" i="1"/>
  <c r="AL309" i="1"/>
  <c r="AM309" i="1"/>
  <c r="AN309" i="1"/>
  <c r="AO309" i="1"/>
  <c r="AP309" i="1"/>
  <c r="AQ309" i="1"/>
  <c r="AR309" i="1"/>
  <c r="AS309" i="1"/>
  <c r="AT309" i="1"/>
  <c r="AU309" i="1"/>
  <c r="AV309" i="1"/>
  <c r="AW309" i="1"/>
  <c r="AK310" i="1"/>
  <c r="AL310" i="1"/>
  <c r="AM310" i="1"/>
  <c r="AN310" i="1"/>
  <c r="AO310" i="1"/>
  <c r="AP310" i="1"/>
  <c r="AQ310" i="1"/>
  <c r="AR310" i="1"/>
  <c r="AS310" i="1"/>
  <c r="AT310" i="1"/>
  <c r="AU310" i="1"/>
  <c r="AV310" i="1"/>
  <c r="AW310" i="1"/>
  <c r="AK311" i="1"/>
  <c r="AL311" i="1"/>
  <c r="AM311" i="1"/>
  <c r="AN311" i="1"/>
  <c r="AO311" i="1"/>
  <c r="AP311" i="1"/>
  <c r="AQ311" i="1"/>
  <c r="AR311" i="1"/>
  <c r="AS311" i="1"/>
  <c r="AT311" i="1"/>
  <c r="AU311" i="1"/>
  <c r="AV311" i="1"/>
  <c r="AW311" i="1"/>
  <c r="AK312" i="1"/>
  <c r="AL312" i="1"/>
  <c r="AM312" i="1"/>
  <c r="AN312" i="1"/>
  <c r="AO312" i="1"/>
  <c r="AP312" i="1"/>
  <c r="AQ312" i="1"/>
  <c r="AR312" i="1"/>
  <c r="AS312" i="1"/>
  <c r="AT312" i="1"/>
  <c r="AU312" i="1"/>
  <c r="AV312" i="1"/>
  <c r="AW312" i="1"/>
  <c r="AK313" i="1"/>
  <c r="AL313" i="1"/>
  <c r="AM313" i="1"/>
  <c r="AN313" i="1"/>
  <c r="AO313" i="1"/>
  <c r="AP313" i="1"/>
  <c r="AQ313" i="1"/>
  <c r="AR313" i="1"/>
  <c r="AS313" i="1"/>
  <c r="AT313" i="1"/>
  <c r="AU313" i="1"/>
  <c r="AV313" i="1"/>
  <c r="AW313" i="1"/>
  <c r="AK314" i="1"/>
  <c r="AL314" i="1"/>
  <c r="AM314" i="1"/>
  <c r="AN314" i="1"/>
  <c r="AO314" i="1"/>
  <c r="AP314" i="1"/>
  <c r="AQ314" i="1"/>
  <c r="AR314" i="1"/>
  <c r="AS314" i="1"/>
  <c r="AT314" i="1"/>
  <c r="AU314" i="1"/>
  <c r="AV314" i="1"/>
  <c r="AW314" i="1"/>
  <c r="AK315" i="1"/>
  <c r="AL315" i="1"/>
  <c r="AM315" i="1"/>
  <c r="AN315" i="1"/>
  <c r="AO315" i="1"/>
  <c r="AP315" i="1"/>
  <c r="AQ315" i="1"/>
  <c r="AR315" i="1"/>
  <c r="AS315" i="1"/>
  <c r="AT315" i="1"/>
  <c r="AU315" i="1"/>
  <c r="AV315" i="1"/>
  <c r="AW315" i="1"/>
  <c r="AK316" i="1"/>
  <c r="AL316" i="1"/>
  <c r="AM316" i="1"/>
  <c r="AN316" i="1"/>
  <c r="AO316" i="1"/>
  <c r="AP316" i="1"/>
  <c r="AQ316" i="1"/>
  <c r="AR316" i="1"/>
  <c r="AS316" i="1"/>
  <c r="AT316" i="1"/>
  <c r="AU316" i="1"/>
  <c r="AV316" i="1"/>
  <c r="AW316" i="1"/>
  <c r="AK317" i="1"/>
  <c r="AL317" i="1"/>
  <c r="AM317" i="1"/>
  <c r="AN317" i="1"/>
  <c r="AO317" i="1"/>
  <c r="AP317" i="1"/>
  <c r="AQ317" i="1"/>
  <c r="AR317" i="1"/>
  <c r="AS317" i="1"/>
  <c r="AT317" i="1"/>
  <c r="AU317" i="1"/>
  <c r="AV317" i="1"/>
  <c r="AW317" i="1"/>
  <c r="AK318" i="1"/>
  <c r="AL318" i="1"/>
  <c r="AM318" i="1"/>
  <c r="AN318" i="1"/>
  <c r="AO318" i="1"/>
  <c r="AP318" i="1"/>
  <c r="AQ318" i="1"/>
  <c r="AR318" i="1"/>
  <c r="AS318" i="1"/>
  <c r="AT318" i="1"/>
  <c r="AU318" i="1"/>
  <c r="AV318" i="1"/>
  <c r="AW318" i="1"/>
  <c r="AK319" i="1"/>
  <c r="AL319" i="1"/>
  <c r="AM319" i="1"/>
  <c r="AN319" i="1"/>
  <c r="AO319" i="1"/>
  <c r="AP319" i="1"/>
  <c r="AQ319" i="1"/>
  <c r="AR319" i="1"/>
  <c r="AS319" i="1"/>
  <c r="AT319" i="1"/>
  <c r="AU319" i="1"/>
  <c r="AV319" i="1"/>
  <c r="AW319" i="1"/>
  <c r="AK320" i="1"/>
  <c r="AL320" i="1"/>
  <c r="AM320" i="1"/>
  <c r="AN320" i="1"/>
  <c r="AO320" i="1"/>
  <c r="AP320" i="1"/>
  <c r="AQ320" i="1"/>
  <c r="AR320" i="1"/>
  <c r="AS320" i="1"/>
  <c r="AT320" i="1"/>
  <c r="AU320" i="1"/>
  <c r="AV320" i="1"/>
  <c r="AW320" i="1"/>
  <c r="AK321" i="1"/>
  <c r="AL321" i="1"/>
  <c r="AM321" i="1"/>
  <c r="AN321" i="1"/>
  <c r="AO321" i="1"/>
  <c r="AP321" i="1"/>
  <c r="AQ321" i="1"/>
  <c r="AR321" i="1"/>
  <c r="AS321" i="1"/>
  <c r="AT321" i="1"/>
  <c r="AU321" i="1"/>
  <c r="AV321" i="1"/>
  <c r="AW321" i="1"/>
  <c r="AK322" i="1"/>
  <c r="AL322" i="1"/>
  <c r="AM322" i="1"/>
  <c r="AN322" i="1"/>
  <c r="AO322" i="1"/>
  <c r="AP322" i="1"/>
  <c r="AQ322" i="1"/>
  <c r="AR322" i="1"/>
  <c r="AS322" i="1"/>
  <c r="AT322" i="1"/>
  <c r="AU322" i="1"/>
  <c r="AV322" i="1"/>
  <c r="AW322" i="1"/>
  <c r="AK323" i="1"/>
  <c r="AL323" i="1"/>
  <c r="AM323" i="1"/>
  <c r="AN323" i="1"/>
  <c r="AO323" i="1"/>
  <c r="AP323" i="1"/>
  <c r="AQ323" i="1"/>
  <c r="AR323" i="1"/>
  <c r="AS323" i="1"/>
  <c r="AT323" i="1"/>
  <c r="AU323" i="1"/>
  <c r="AV323" i="1"/>
  <c r="AW323" i="1"/>
  <c r="AK324" i="1"/>
  <c r="AL324" i="1"/>
  <c r="AM324" i="1"/>
  <c r="AN324" i="1"/>
  <c r="AO324" i="1"/>
  <c r="AP324" i="1"/>
  <c r="AQ324" i="1"/>
  <c r="AR324" i="1"/>
  <c r="AS324" i="1"/>
  <c r="AT324" i="1"/>
  <c r="AU324" i="1"/>
  <c r="AV324" i="1"/>
  <c r="AW324" i="1"/>
  <c r="AK325" i="1"/>
  <c r="AL325" i="1"/>
  <c r="AM325" i="1"/>
  <c r="AN325" i="1"/>
  <c r="AO325" i="1"/>
  <c r="AP325" i="1"/>
  <c r="AQ325" i="1"/>
  <c r="AR325" i="1"/>
  <c r="AS325" i="1"/>
  <c r="AT325" i="1"/>
  <c r="AU325" i="1"/>
  <c r="AV325" i="1"/>
  <c r="AW325" i="1"/>
  <c r="AK326" i="1"/>
  <c r="AL326" i="1"/>
  <c r="AM326" i="1"/>
  <c r="AN326" i="1"/>
  <c r="AO326" i="1"/>
  <c r="AP326" i="1"/>
  <c r="AQ326" i="1"/>
  <c r="AR326" i="1"/>
  <c r="AS326" i="1"/>
  <c r="AT326" i="1"/>
  <c r="AU326" i="1"/>
  <c r="AV326" i="1"/>
  <c r="AW326" i="1"/>
  <c r="AK327" i="1"/>
  <c r="AL327" i="1"/>
  <c r="AM327" i="1"/>
  <c r="AN327" i="1"/>
  <c r="AO327" i="1"/>
  <c r="AP327" i="1"/>
  <c r="AQ327" i="1"/>
  <c r="AR327" i="1"/>
  <c r="AS327" i="1"/>
  <c r="AT327" i="1"/>
  <c r="AU327" i="1"/>
  <c r="AV327" i="1"/>
  <c r="AW327" i="1"/>
  <c r="AK328" i="1"/>
  <c r="AL328" i="1"/>
  <c r="AM328" i="1"/>
  <c r="AN328" i="1"/>
  <c r="AO328" i="1"/>
  <c r="AP328" i="1"/>
  <c r="AQ328" i="1"/>
  <c r="AR328" i="1"/>
  <c r="AS328" i="1"/>
  <c r="AT328" i="1"/>
  <c r="AU328" i="1"/>
  <c r="AV328" i="1"/>
  <c r="AW328" i="1"/>
  <c r="AK329" i="1"/>
  <c r="AL329" i="1"/>
  <c r="AM329" i="1"/>
  <c r="AN329" i="1"/>
  <c r="AO329" i="1"/>
  <c r="AP329" i="1"/>
  <c r="AQ329" i="1"/>
  <c r="AR329" i="1"/>
  <c r="AS329" i="1"/>
  <c r="AT329" i="1"/>
  <c r="AU329" i="1"/>
  <c r="AV329" i="1"/>
  <c r="AW329" i="1"/>
  <c r="AK330" i="1"/>
  <c r="AL330" i="1"/>
  <c r="AM330" i="1"/>
  <c r="AN330" i="1"/>
  <c r="AO330" i="1"/>
  <c r="AP330" i="1"/>
  <c r="AQ330" i="1"/>
  <c r="AR330" i="1"/>
  <c r="AS330" i="1"/>
  <c r="AT330" i="1"/>
  <c r="AU330" i="1"/>
  <c r="AV330" i="1"/>
  <c r="AW330" i="1"/>
  <c r="AK331" i="1"/>
  <c r="AL331" i="1"/>
  <c r="AM331" i="1"/>
  <c r="AN331" i="1"/>
  <c r="AO331" i="1"/>
  <c r="AP331" i="1"/>
  <c r="AQ331" i="1"/>
  <c r="AR331" i="1"/>
  <c r="AS331" i="1"/>
  <c r="AT331" i="1"/>
  <c r="AU331" i="1"/>
  <c r="AV331" i="1"/>
  <c r="AW331" i="1"/>
  <c r="AK332" i="1"/>
  <c r="AL332" i="1"/>
  <c r="AM332" i="1"/>
  <c r="AN332" i="1"/>
  <c r="AO332" i="1"/>
  <c r="AP332" i="1"/>
  <c r="AQ332" i="1"/>
  <c r="AR332" i="1"/>
  <c r="AS332" i="1"/>
  <c r="AT332" i="1"/>
  <c r="AU332" i="1"/>
  <c r="AV332" i="1"/>
  <c r="AW332" i="1"/>
  <c r="AK333" i="1"/>
  <c r="AL333" i="1"/>
  <c r="AM333" i="1"/>
  <c r="AN333" i="1"/>
  <c r="AO333" i="1"/>
  <c r="AP333" i="1"/>
  <c r="AQ333" i="1"/>
  <c r="AR333" i="1"/>
  <c r="AS333" i="1"/>
  <c r="AT333" i="1"/>
  <c r="AU333" i="1"/>
  <c r="AV333" i="1"/>
  <c r="AW333" i="1"/>
  <c r="AK334" i="1"/>
  <c r="AL334" i="1"/>
  <c r="AM334" i="1"/>
  <c r="AN334" i="1"/>
  <c r="AO334" i="1"/>
  <c r="AP334" i="1"/>
  <c r="AQ334" i="1"/>
  <c r="AR334" i="1"/>
  <c r="AS334" i="1"/>
  <c r="AT334" i="1"/>
  <c r="AU334" i="1"/>
  <c r="AV334" i="1"/>
  <c r="AW334" i="1"/>
  <c r="AK335" i="1"/>
  <c r="AL335" i="1"/>
  <c r="AM335" i="1"/>
  <c r="AN335" i="1"/>
  <c r="AO335" i="1"/>
  <c r="AP335" i="1"/>
  <c r="AQ335" i="1"/>
  <c r="AR335" i="1"/>
  <c r="AS335" i="1"/>
  <c r="AT335" i="1"/>
  <c r="AU335" i="1"/>
  <c r="AV335" i="1"/>
  <c r="AW335" i="1"/>
  <c r="AK336" i="1"/>
  <c r="AL336" i="1"/>
  <c r="AM336" i="1"/>
  <c r="AN336" i="1"/>
  <c r="AO336" i="1"/>
  <c r="AP336" i="1"/>
  <c r="AQ336" i="1"/>
  <c r="AR336" i="1"/>
  <c r="AS336" i="1"/>
  <c r="AT336" i="1"/>
  <c r="AU336" i="1"/>
  <c r="AV336" i="1"/>
  <c r="AW336" i="1"/>
  <c r="AK337" i="1"/>
  <c r="AL337" i="1"/>
  <c r="AM337" i="1"/>
  <c r="AN337" i="1"/>
  <c r="AO337" i="1"/>
  <c r="AP337" i="1"/>
  <c r="AQ337" i="1"/>
  <c r="AR337" i="1"/>
  <c r="AS337" i="1"/>
  <c r="AT337" i="1"/>
  <c r="AU337" i="1"/>
  <c r="AV337" i="1"/>
  <c r="AW337" i="1"/>
  <c r="AK338" i="1"/>
  <c r="AL338" i="1"/>
  <c r="AM338" i="1"/>
  <c r="AN338" i="1"/>
  <c r="AO338" i="1"/>
  <c r="AP338" i="1"/>
  <c r="AQ338" i="1"/>
  <c r="AR338" i="1"/>
  <c r="AS338" i="1"/>
  <c r="AT338" i="1"/>
  <c r="AU338" i="1"/>
  <c r="AV338" i="1"/>
  <c r="AW338" i="1"/>
  <c r="AK339" i="1"/>
  <c r="AL339" i="1"/>
  <c r="AM339" i="1"/>
  <c r="AN339" i="1"/>
  <c r="AO339" i="1"/>
  <c r="AP339" i="1"/>
  <c r="AQ339" i="1"/>
  <c r="AR339" i="1"/>
  <c r="AS339" i="1"/>
  <c r="AT339" i="1"/>
  <c r="AU339" i="1"/>
  <c r="AV339" i="1"/>
  <c r="AW339" i="1"/>
  <c r="AK340" i="1"/>
  <c r="AL340" i="1"/>
  <c r="AM340" i="1"/>
  <c r="AN340" i="1"/>
  <c r="AO340" i="1"/>
  <c r="AP340" i="1"/>
  <c r="AQ340" i="1"/>
  <c r="AR340" i="1"/>
  <c r="AS340" i="1"/>
  <c r="AT340" i="1"/>
  <c r="AU340" i="1"/>
  <c r="AV340" i="1"/>
  <c r="AW340" i="1"/>
  <c r="AK341" i="1"/>
  <c r="AL341" i="1"/>
  <c r="AM341" i="1"/>
  <c r="AN341" i="1"/>
  <c r="AO341" i="1"/>
  <c r="AP341" i="1"/>
  <c r="AQ341" i="1"/>
  <c r="AR341" i="1"/>
  <c r="AS341" i="1"/>
  <c r="AT341" i="1"/>
  <c r="AU341" i="1"/>
  <c r="AV341" i="1"/>
  <c r="AW341" i="1"/>
  <c r="AK342" i="1"/>
  <c r="AL342" i="1"/>
  <c r="AM342" i="1"/>
  <c r="AN342" i="1"/>
  <c r="AO342" i="1"/>
  <c r="AP342" i="1"/>
  <c r="AQ342" i="1"/>
  <c r="AR342" i="1"/>
  <c r="AS342" i="1"/>
  <c r="AT342" i="1"/>
  <c r="AU342" i="1"/>
  <c r="AV342" i="1"/>
  <c r="AW342" i="1"/>
  <c r="AK343" i="1"/>
  <c r="AL343" i="1"/>
  <c r="AM343" i="1"/>
  <c r="AN343" i="1"/>
  <c r="AO343" i="1"/>
  <c r="AP343" i="1"/>
  <c r="AQ343" i="1"/>
  <c r="AR343" i="1"/>
  <c r="AS343" i="1"/>
  <c r="AT343" i="1"/>
  <c r="AU343" i="1"/>
  <c r="AV343" i="1"/>
  <c r="AW343" i="1"/>
  <c r="AK344" i="1"/>
  <c r="AL344" i="1"/>
  <c r="AM344" i="1"/>
  <c r="AN344" i="1"/>
  <c r="AO344" i="1"/>
  <c r="AP344" i="1"/>
  <c r="AQ344" i="1"/>
  <c r="AR344" i="1"/>
  <c r="AS344" i="1"/>
  <c r="AT344" i="1"/>
  <c r="AU344" i="1"/>
  <c r="AV344" i="1"/>
  <c r="AW344" i="1"/>
  <c r="AK345" i="1"/>
  <c r="AL345" i="1"/>
  <c r="AM345" i="1"/>
  <c r="AN345" i="1"/>
  <c r="AO345" i="1"/>
  <c r="AP345" i="1"/>
  <c r="AQ345" i="1"/>
  <c r="AR345" i="1"/>
  <c r="AS345" i="1"/>
  <c r="AT345" i="1"/>
  <c r="AU345" i="1"/>
  <c r="AV345" i="1"/>
  <c r="AW345" i="1"/>
  <c r="AK346" i="1"/>
  <c r="AL346" i="1"/>
  <c r="AM346" i="1"/>
  <c r="AN346" i="1"/>
  <c r="AO346" i="1"/>
  <c r="AP346" i="1"/>
  <c r="AQ346" i="1"/>
  <c r="AR346" i="1"/>
  <c r="AS346" i="1"/>
  <c r="AT346" i="1"/>
  <c r="AU346" i="1"/>
  <c r="AV346" i="1"/>
  <c r="AW346" i="1"/>
  <c r="AK347" i="1"/>
  <c r="AL347" i="1"/>
  <c r="AM347" i="1"/>
  <c r="AN347" i="1"/>
  <c r="AO347" i="1"/>
  <c r="AP347" i="1"/>
  <c r="AQ347" i="1"/>
  <c r="AR347" i="1"/>
  <c r="AS347" i="1"/>
  <c r="AT347" i="1"/>
  <c r="AU347" i="1"/>
  <c r="AV347" i="1"/>
  <c r="AW347" i="1"/>
  <c r="AK348" i="1"/>
  <c r="AL348" i="1"/>
  <c r="AM348" i="1"/>
  <c r="AN348" i="1"/>
  <c r="AO348" i="1"/>
  <c r="AP348" i="1"/>
  <c r="AQ348" i="1"/>
  <c r="AR348" i="1"/>
  <c r="AS348" i="1"/>
  <c r="AT348" i="1"/>
  <c r="AU348" i="1"/>
  <c r="AV348" i="1"/>
  <c r="AW348" i="1"/>
  <c r="AK349" i="1"/>
  <c r="AL349" i="1"/>
  <c r="AM349" i="1"/>
  <c r="AN349" i="1"/>
  <c r="AO349" i="1"/>
  <c r="AP349" i="1"/>
  <c r="AQ349" i="1"/>
  <c r="AR349" i="1"/>
  <c r="AS349" i="1"/>
  <c r="AT349" i="1"/>
  <c r="AU349" i="1"/>
  <c r="AV349" i="1"/>
  <c r="AW349" i="1"/>
  <c r="AK350" i="1"/>
  <c r="AL350" i="1"/>
  <c r="AM350" i="1"/>
  <c r="AN350" i="1"/>
  <c r="AO350" i="1"/>
  <c r="AP350" i="1"/>
  <c r="AQ350" i="1"/>
  <c r="AR350" i="1"/>
  <c r="AS350" i="1"/>
  <c r="AT350" i="1"/>
  <c r="AU350" i="1"/>
  <c r="AV350" i="1"/>
  <c r="AW350" i="1"/>
  <c r="AK351" i="1"/>
  <c r="AL351" i="1"/>
  <c r="AM351" i="1"/>
  <c r="AN351" i="1"/>
  <c r="AO351" i="1"/>
  <c r="AP351" i="1"/>
  <c r="AQ351" i="1"/>
  <c r="AR351" i="1"/>
  <c r="AS351" i="1"/>
  <c r="AT351" i="1"/>
  <c r="AU351" i="1"/>
  <c r="AV351" i="1"/>
  <c r="AW351" i="1"/>
  <c r="AK352" i="1"/>
  <c r="AL352" i="1"/>
  <c r="AM352" i="1"/>
  <c r="AN352" i="1"/>
  <c r="AO352" i="1"/>
  <c r="AP352" i="1"/>
  <c r="AQ352" i="1"/>
  <c r="AR352" i="1"/>
  <c r="AS352" i="1"/>
  <c r="AT352" i="1"/>
  <c r="AU352" i="1"/>
  <c r="AV352" i="1"/>
  <c r="AW352" i="1"/>
  <c r="AK353" i="1"/>
  <c r="AL353" i="1"/>
  <c r="AM353" i="1"/>
  <c r="AN353" i="1"/>
  <c r="AO353" i="1"/>
  <c r="AP353" i="1"/>
  <c r="AQ353" i="1"/>
  <c r="AR353" i="1"/>
  <c r="AS353" i="1"/>
  <c r="AT353" i="1"/>
  <c r="AU353" i="1"/>
  <c r="AV353" i="1"/>
  <c r="AW353" i="1"/>
  <c r="AK354" i="1"/>
  <c r="AL354" i="1"/>
  <c r="AM354" i="1"/>
  <c r="AN354" i="1"/>
  <c r="AO354" i="1"/>
  <c r="AP354" i="1"/>
  <c r="AQ354" i="1"/>
  <c r="AR354" i="1"/>
  <c r="AS354" i="1"/>
  <c r="AT354" i="1"/>
  <c r="AU354" i="1"/>
  <c r="AV354" i="1"/>
  <c r="AW354" i="1"/>
  <c r="AK355" i="1"/>
  <c r="AL355" i="1"/>
  <c r="AM355" i="1"/>
  <c r="AN355" i="1"/>
  <c r="AO355" i="1"/>
  <c r="AP355" i="1"/>
  <c r="AQ355" i="1"/>
  <c r="AR355" i="1"/>
  <c r="AS355" i="1"/>
  <c r="AT355" i="1"/>
  <c r="AU355" i="1"/>
  <c r="AV355" i="1"/>
  <c r="AW355" i="1"/>
  <c r="AK356" i="1"/>
  <c r="AL356" i="1"/>
  <c r="AM356" i="1"/>
  <c r="AN356" i="1"/>
  <c r="AO356" i="1"/>
  <c r="AP356" i="1"/>
  <c r="AQ356" i="1"/>
  <c r="AR356" i="1"/>
  <c r="AS356" i="1"/>
  <c r="AT356" i="1"/>
  <c r="AU356" i="1"/>
  <c r="AV356" i="1"/>
  <c r="AW356" i="1"/>
  <c r="AK357" i="1"/>
  <c r="AL357" i="1"/>
  <c r="AM357" i="1"/>
  <c r="AN357" i="1"/>
  <c r="AO357" i="1"/>
  <c r="AP357" i="1"/>
  <c r="AQ357" i="1"/>
  <c r="AR357" i="1"/>
  <c r="AS357" i="1"/>
  <c r="AT357" i="1"/>
  <c r="AU357" i="1"/>
  <c r="AV357" i="1"/>
  <c r="AW357" i="1"/>
  <c r="AK358" i="1"/>
  <c r="AL358" i="1"/>
  <c r="AM358" i="1"/>
  <c r="AN358" i="1"/>
  <c r="AO358" i="1"/>
  <c r="AP358" i="1"/>
  <c r="AQ358" i="1"/>
  <c r="AR358" i="1"/>
  <c r="AS358" i="1"/>
  <c r="AT358" i="1"/>
  <c r="AU358" i="1"/>
  <c r="AV358" i="1"/>
  <c r="AW358" i="1"/>
  <c r="AK359" i="1"/>
  <c r="AL359" i="1"/>
  <c r="AM359" i="1"/>
  <c r="AN359" i="1"/>
  <c r="AO359" i="1"/>
  <c r="AP359" i="1"/>
  <c r="AQ359" i="1"/>
  <c r="AR359" i="1"/>
  <c r="AS359" i="1"/>
  <c r="AT359" i="1"/>
  <c r="AU359" i="1"/>
  <c r="AV359" i="1"/>
  <c r="AW359" i="1"/>
  <c r="AK360" i="1"/>
  <c r="AL360" i="1"/>
  <c r="AM360" i="1"/>
  <c r="AN360" i="1"/>
  <c r="AO360" i="1"/>
  <c r="AP360" i="1"/>
  <c r="AQ360" i="1"/>
  <c r="AR360" i="1"/>
  <c r="AS360" i="1"/>
  <c r="AT360" i="1"/>
  <c r="AU360" i="1"/>
  <c r="AV360" i="1"/>
  <c r="AW360" i="1"/>
  <c r="AK361" i="1"/>
  <c r="AL361" i="1"/>
  <c r="AM361" i="1"/>
  <c r="AN361" i="1"/>
  <c r="AO361" i="1"/>
  <c r="AP361" i="1"/>
  <c r="AQ361" i="1"/>
  <c r="AR361" i="1"/>
  <c r="AS361" i="1"/>
  <c r="AT361" i="1"/>
  <c r="AU361" i="1"/>
  <c r="AV361" i="1"/>
  <c r="AW361" i="1"/>
  <c r="AK362" i="1"/>
  <c r="AL362" i="1"/>
  <c r="AM362" i="1"/>
  <c r="AN362" i="1"/>
  <c r="AO362" i="1"/>
  <c r="AP362" i="1"/>
  <c r="AQ362" i="1"/>
  <c r="AR362" i="1"/>
  <c r="AS362" i="1"/>
  <c r="AT362" i="1"/>
  <c r="AU362" i="1"/>
  <c r="AV362" i="1"/>
  <c r="AW362" i="1"/>
  <c r="AK363" i="1"/>
  <c r="AL363" i="1"/>
  <c r="AM363" i="1"/>
  <c r="AN363" i="1"/>
  <c r="AO363" i="1"/>
  <c r="AP363" i="1"/>
  <c r="AQ363" i="1"/>
  <c r="AR363" i="1"/>
  <c r="AS363" i="1"/>
  <c r="AT363" i="1"/>
  <c r="AU363" i="1"/>
  <c r="AV363" i="1"/>
  <c r="AW363" i="1"/>
  <c r="AK364" i="1"/>
  <c r="AL364" i="1"/>
  <c r="AM364" i="1"/>
  <c r="AN364" i="1"/>
  <c r="AO364" i="1"/>
  <c r="AP364" i="1"/>
  <c r="AQ364" i="1"/>
  <c r="AR364" i="1"/>
  <c r="AS364" i="1"/>
  <c r="AT364" i="1"/>
  <c r="AU364" i="1"/>
  <c r="AV364" i="1"/>
  <c r="AW364" i="1"/>
  <c r="AK365" i="1"/>
  <c r="AL365" i="1"/>
  <c r="AM365" i="1"/>
  <c r="AN365" i="1"/>
  <c r="AO365" i="1"/>
  <c r="AP365" i="1"/>
  <c r="AQ365" i="1"/>
  <c r="AR365" i="1"/>
  <c r="AS365" i="1"/>
  <c r="AT365" i="1"/>
  <c r="AU365" i="1"/>
  <c r="AV365" i="1"/>
  <c r="AW365" i="1"/>
  <c r="AK366" i="1"/>
  <c r="AL366" i="1"/>
  <c r="AM366" i="1"/>
  <c r="AN366" i="1"/>
  <c r="AO366" i="1"/>
  <c r="AP366" i="1"/>
  <c r="AQ366" i="1"/>
  <c r="AR366" i="1"/>
  <c r="AS366" i="1"/>
  <c r="AT366" i="1"/>
  <c r="AU366" i="1"/>
  <c r="AV366" i="1"/>
  <c r="AW366" i="1"/>
  <c r="AK367" i="1"/>
  <c r="AL367" i="1"/>
  <c r="AM367" i="1"/>
  <c r="AN367" i="1"/>
  <c r="AO367" i="1"/>
  <c r="AP367" i="1"/>
  <c r="AQ367" i="1"/>
  <c r="AR367" i="1"/>
  <c r="AS367" i="1"/>
  <c r="AT367" i="1"/>
  <c r="AU367" i="1"/>
  <c r="AV367" i="1"/>
  <c r="AW367" i="1"/>
  <c r="AK368" i="1"/>
  <c r="AL368" i="1"/>
  <c r="AM368" i="1"/>
  <c r="AN368" i="1"/>
  <c r="AO368" i="1"/>
  <c r="AP368" i="1"/>
  <c r="AQ368" i="1"/>
  <c r="AR368" i="1"/>
  <c r="AS368" i="1"/>
  <c r="AT368" i="1"/>
  <c r="AU368" i="1"/>
  <c r="AV368" i="1"/>
  <c r="AW368" i="1"/>
  <c r="AK369" i="1"/>
  <c r="AL369" i="1"/>
  <c r="AM369" i="1"/>
  <c r="AN369" i="1"/>
  <c r="AO369" i="1"/>
  <c r="AP369" i="1"/>
  <c r="AQ369" i="1"/>
  <c r="AR369" i="1"/>
  <c r="AS369" i="1"/>
  <c r="AT369" i="1"/>
  <c r="AU369" i="1"/>
  <c r="AV369" i="1"/>
  <c r="AW369" i="1"/>
  <c r="AK370" i="1"/>
  <c r="AL370" i="1"/>
  <c r="AM370" i="1"/>
  <c r="AN370" i="1"/>
  <c r="AO370" i="1"/>
  <c r="AP370" i="1"/>
  <c r="AQ370" i="1"/>
  <c r="AR370" i="1"/>
  <c r="AS370" i="1"/>
  <c r="AT370" i="1"/>
  <c r="AU370" i="1"/>
  <c r="AV370" i="1"/>
  <c r="AW370" i="1"/>
  <c r="AK371" i="1"/>
  <c r="AL371" i="1"/>
  <c r="AM371" i="1"/>
  <c r="AN371" i="1"/>
  <c r="AO371" i="1"/>
  <c r="AP371" i="1"/>
  <c r="AQ371" i="1"/>
  <c r="AR371" i="1"/>
  <c r="AS371" i="1"/>
  <c r="AT371" i="1"/>
  <c r="AU371" i="1"/>
  <c r="AV371" i="1"/>
  <c r="AW371" i="1"/>
  <c r="AK372" i="1"/>
  <c r="AL372" i="1"/>
  <c r="AM372" i="1"/>
  <c r="AN372" i="1"/>
  <c r="AO372" i="1"/>
  <c r="AP372" i="1"/>
  <c r="AQ372" i="1"/>
  <c r="AR372" i="1"/>
  <c r="AS372" i="1"/>
  <c r="AT372" i="1"/>
  <c r="AU372" i="1"/>
  <c r="AV372" i="1"/>
  <c r="AW372" i="1"/>
  <c r="AK373" i="1"/>
  <c r="AL373" i="1"/>
  <c r="AM373" i="1"/>
  <c r="AN373" i="1"/>
  <c r="AO373" i="1"/>
  <c r="AP373" i="1"/>
  <c r="AQ373" i="1"/>
  <c r="AR373" i="1"/>
  <c r="AS373" i="1"/>
  <c r="AT373" i="1"/>
  <c r="AU373" i="1"/>
  <c r="AV373" i="1"/>
  <c r="AW373" i="1"/>
  <c r="AK374" i="1"/>
  <c r="AL374" i="1"/>
  <c r="AM374" i="1"/>
  <c r="AN374" i="1"/>
  <c r="AO374" i="1"/>
  <c r="AP374" i="1"/>
  <c r="AQ374" i="1"/>
  <c r="AR374" i="1"/>
  <c r="AS374" i="1"/>
  <c r="AT374" i="1"/>
  <c r="AU374" i="1"/>
  <c r="AV374" i="1"/>
  <c r="AW374" i="1"/>
  <c r="AK375" i="1"/>
  <c r="AL375" i="1"/>
  <c r="AM375" i="1"/>
  <c r="AN375" i="1"/>
  <c r="AO375" i="1"/>
  <c r="AP375" i="1"/>
  <c r="AQ375" i="1"/>
  <c r="AR375" i="1"/>
  <c r="AS375" i="1"/>
  <c r="AT375" i="1"/>
  <c r="AU375" i="1"/>
  <c r="AV375" i="1"/>
  <c r="AW375" i="1"/>
  <c r="AK376" i="1"/>
  <c r="AL376" i="1"/>
  <c r="AM376" i="1"/>
  <c r="AN376" i="1"/>
  <c r="AO376" i="1"/>
  <c r="AP376" i="1"/>
  <c r="AQ376" i="1"/>
  <c r="AR376" i="1"/>
  <c r="AS376" i="1"/>
  <c r="AT376" i="1"/>
  <c r="AU376" i="1"/>
  <c r="AV376" i="1"/>
  <c r="AW376" i="1"/>
  <c r="AK377" i="1"/>
  <c r="AL377" i="1"/>
  <c r="AM377" i="1"/>
  <c r="AN377" i="1"/>
  <c r="AO377" i="1"/>
  <c r="AP377" i="1"/>
  <c r="AQ377" i="1"/>
  <c r="AR377" i="1"/>
  <c r="AS377" i="1"/>
  <c r="AT377" i="1"/>
  <c r="AU377" i="1"/>
  <c r="AV377" i="1"/>
  <c r="AW377" i="1"/>
  <c r="AK378" i="1"/>
  <c r="AL378" i="1"/>
  <c r="AM378" i="1"/>
  <c r="AN378" i="1"/>
  <c r="AO378" i="1"/>
  <c r="AP378" i="1"/>
  <c r="AQ378" i="1"/>
  <c r="AR378" i="1"/>
  <c r="AS378" i="1"/>
  <c r="AT378" i="1"/>
  <c r="AU378" i="1"/>
  <c r="AV378" i="1"/>
  <c r="AW378" i="1"/>
  <c r="AK379" i="1"/>
  <c r="AL379" i="1"/>
  <c r="AM379" i="1"/>
  <c r="AN379" i="1"/>
  <c r="AO379" i="1"/>
  <c r="AP379" i="1"/>
  <c r="AQ379" i="1"/>
  <c r="AR379" i="1"/>
  <c r="AS379" i="1"/>
  <c r="AT379" i="1"/>
  <c r="AU379" i="1"/>
  <c r="AV379" i="1"/>
  <c r="AW379" i="1"/>
  <c r="AK380" i="1"/>
  <c r="AL380" i="1"/>
  <c r="AM380" i="1"/>
  <c r="AN380" i="1"/>
  <c r="AO380" i="1"/>
  <c r="AP380" i="1"/>
  <c r="AQ380" i="1"/>
  <c r="AR380" i="1"/>
  <c r="AS380" i="1"/>
  <c r="AT380" i="1"/>
  <c r="AU380" i="1"/>
  <c r="AV380" i="1"/>
  <c r="AW380" i="1"/>
  <c r="AK381" i="1"/>
  <c r="AL381" i="1"/>
  <c r="AM381" i="1"/>
  <c r="AN381" i="1"/>
  <c r="AO381" i="1"/>
  <c r="AP381" i="1"/>
  <c r="AQ381" i="1"/>
  <c r="AR381" i="1"/>
  <c r="AS381" i="1"/>
  <c r="AT381" i="1"/>
  <c r="AU381" i="1"/>
  <c r="AV381" i="1"/>
  <c r="AW381" i="1"/>
  <c r="AK382" i="1"/>
  <c r="AL382" i="1"/>
  <c r="AM382" i="1"/>
  <c r="AN382" i="1"/>
  <c r="AO382" i="1"/>
  <c r="AP382" i="1"/>
  <c r="AQ382" i="1"/>
  <c r="AR382" i="1"/>
  <c r="AS382" i="1"/>
  <c r="AT382" i="1"/>
  <c r="AU382" i="1"/>
  <c r="AV382" i="1"/>
  <c r="AW382" i="1"/>
  <c r="AK383" i="1"/>
  <c r="AL383" i="1"/>
  <c r="AM383" i="1"/>
  <c r="AN383" i="1"/>
  <c r="AO383" i="1"/>
  <c r="AP383" i="1"/>
  <c r="AQ383" i="1"/>
  <c r="AR383" i="1"/>
  <c r="AS383" i="1"/>
  <c r="AT383" i="1"/>
  <c r="AU383" i="1"/>
  <c r="AV383" i="1"/>
  <c r="AW383" i="1"/>
  <c r="AK384" i="1"/>
  <c r="AL384" i="1"/>
  <c r="AM384" i="1"/>
  <c r="AN384" i="1"/>
  <c r="AO384" i="1"/>
  <c r="AP384" i="1"/>
  <c r="AQ384" i="1"/>
  <c r="AR384" i="1"/>
  <c r="AS384" i="1"/>
  <c r="AT384" i="1"/>
  <c r="AU384" i="1"/>
  <c r="AV384" i="1"/>
  <c r="AW384" i="1"/>
  <c r="AK385" i="1"/>
  <c r="AL385" i="1"/>
  <c r="AM385" i="1"/>
  <c r="AN385" i="1"/>
  <c r="AO385" i="1"/>
  <c r="AP385" i="1"/>
  <c r="AQ385" i="1"/>
  <c r="AR385" i="1"/>
  <c r="AS385" i="1"/>
  <c r="AT385" i="1"/>
  <c r="AU385" i="1"/>
  <c r="AV385" i="1"/>
  <c r="AW385" i="1"/>
  <c r="AK386" i="1"/>
  <c r="AL386" i="1"/>
  <c r="AM386" i="1"/>
  <c r="AN386" i="1"/>
  <c r="AO386" i="1"/>
  <c r="AP386" i="1"/>
  <c r="AQ386" i="1"/>
  <c r="AR386" i="1"/>
  <c r="AS386" i="1"/>
  <c r="AT386" i="1"/>
  <c r="AU386" i="1"/>
  <c r="AV386" i="1"/>
  <c r="AW386" i="1"/>
  <c r="AK387" i="1"/>
  <c r="AL387" i="1"/>
  <c r="AM387" i="1"/>
  <c r="AN387" i="1"/>
  <c r="AO387" i="1"/>
  <c r="AP387" i="1"/>
  <c r="AQ387" i="1"/>
  <c r="AR387" i="1"/>
  <c r="AS387" i="1"/>
  <c r="AT387" i="1"/>
  <c r="AU387" i="1"/>
  <c r="AV387" i="1"/>
  <c r="AW387" i="1"/>
  <c r="AK388" i="1"/>
  <c r="AL388" i="1"/>
  <c r="AM388" i="1"/>
  <c r="AN388" i="1"/>
  <c r="AO388" i="1"/>
  <c r="AP388" i="1"/>
  <c r="AQ388" i="1"/>
  <c r="AR388" i="1"/>
  <c r="AS388" i="1"/>
  <c r="AT388" i="1"/>
  <c r="AU388" i="1"/>
  <c r="AV388" i="1"/>
  <c r="AW388" i="1"/>
  <c r="AK389" i="1"/>
  <c r="AL389" i="1"/>
  <c r="AM389" i="1"/>
  <c r="AN389" i="1"/>
  <c r="AO389" i="1"/>
  <c r="AP389" i="1"/>
  <c r="AQ389" i="1"/>
  <c r="AR389" i="1"/>
  <c r="AS389" i="1"/>
  <c r="AT389" i="1"/>
  <c r="AU389" i="1"/>
  <c r="AV389" i="1"/>
  <c r="AW389" i="1"/>
  <c r="AK390" i="1"/>
  <c r="AL390" i="1"/>
  <c r="AM390" i="1"/>
  <c r="AN390" i="1"/>
  <c r="AO390" i="1"/>
  <c r="AP390" i="1"/>
  <c r="AQ390" i="1"/>
  <c r="AR390" i="1"/>
  <c r="AS390" i="1"/>
  <c r="AT390" i="1"/>
  <c r="AU390" i="1"/>
  <c r="AV390" i="1"/>
  <c r="AW390" i="1"/>
  <c r="AK391" i="1"/>
  <c r="AL391" i="1"/>
  <c r="AM391" i="1"/>
  <c r="AN391" i="1"/>
  <c r="AO391" i="1"/>
  <c r="AP391" i="1"/>
  <c r="AQ391" i="1"/>
  <c r="AR391" i="1"/>
  <c r="AS391" i="1"/>
  <c r="AT391" i="1"/>
  <c r="AU391" i="1"/>
  <c r="AV391" i="1"/>
  <c r="AW391" i="1"/>
  <c r="AK392" i="1"/>
  <c r="AL392" i="1"/>
  <c r="AM392" i="1"/>
  <c r="AN392" i="1"/>
  <c r="AO392" i="1"/>
  <c r="AP392" i="1"/>
  <c r="AQ392" i="1"/>
  <c r="AR392" i="1"/>
  <c r="AS392" i="1"/>
  <c r="AT392" i="1"/>
  <c r="AU392" i="1"/>
  <c r="AV392" i="1"/>
  <c r="AW392" i="1"/>
  <c r="AK393" i="1"/>
  <c r="AL393" i="1"/>
  <c r="AM393" i="1"/>
  <c r="AN393" i="1"/>
  <c r="AO393" i="1"/>
  <c r="AP393" i="1"/>
  <c r="AQ393" i="1"/>
  <c r="AR393" i="1"/>
  <c r="AS393" i="1"/>
  <c r="AT393" i="1"/>
  <c r="AU393" i="1"/>
  <c r="AV393" i="1"/>
  <c r="AW393" i="1"/>
  <c r="AK394" i="1"/>
  <c r="AL394" i="1"/>
  <c r="AM394" i="1"/>
  <c r="AN394" i="1"/>
  <c r="AO394" i="1"/>
  <c r="AP394" i="1"/>
  <c r="AQ394" i="1"/>
  <c r="AR394" i="1"/>
  <c r="AS394" i="1"/>
  <c r="AT394" i="1"/>
  <c r="AU394" i="1"/>
  <c r="AV394" i="1"/>
  <c r="AW394" i="1"/>
  <c r="AK395" i="1"/>
  <c r="AL395" i="1"/>
  <c r="AM395" i="1"/>
  <c r="AN395" i="1"/>
  <c r="AO395" i="1"/>
  <c r="AP395" i="1"/>
  <c r="AQ395" i="1"/>
  <c r="AR395" i="1"/>
  <c r="AS395" i="1"/>
  <c r="AT395" i="1"/>
  <c r="AU395" i="1"/>
  <c r="AV395" i="1"/>
  <c r="AW395" i="1"/>
  <c r="AK396" i="1"/>
  <c r="AL396" i="1"/>
  <c r="AM396" i="1"/>
  <c r="AN396" i="1"/>
  <c r="AO396" i="1"/>
  <c r="AP396" i="1"/>
  <c r="AQ396" i="1"/>
  <c r="AR396" i="1"/>
  <c r="AS396" i="1"/>
  <c r="AT396" i="1"/>
  <c r="AU396" i="1"/>
  <c r="AV396" i="1"/>
  <c r="AW396" i="1"/>
  <c r="AK397" i="1"/>
  <c r="AL397" i="1"/>
  <c r="AM397" i="1"/>
  <c r="AN397" i="1"/>
  <c r="AO397" i="1"/>
  <c r="AP397" i="1"/>
  <c r="AQ397" i="1"/>
  <c r="AR397" i="1"/>
  <c r="AS397" i="1"/>
  <c r="AT397" i="1"/>
  <c r="AU397" i="1"/>
  <c r="AV397" i="1"/>
  <c r="AW397" i="1"/>
  <c r="AK398" i="1"/>
  <c r="AL398" i="1"/>
  <c r="AM398" i="1"/>
  <c r="AN398" i="1"/>
  <c r="AO398" i="1"/>
  <c r="AP398" i="1"/>
  <c r="AQ398" i="1"/>
  <c r="AR398" i="1"/>
  <c r="AS398" i="1"/>
  <c r="AT398" i="1"/>
  <c r="AU398" i="1"/>
  <c r="AV398" i="1"/>
  <c r="AW398" i="1"/>
  <c r="AK399" i="1"/>
  <c r="AL399" i="1"/>
  <c r="AM399" i="1"/>
  <c r="AN399" i="1"/>
  <c r="AO399" i="1"/>
  <c r="AP399" i="1"/>
  <c r="AQ399" i="1"/>
  <c r="AR399" i="1"/>
  <c r="AS399" i="1"/>
  <c r="AT399" i="1"/>
  <c r="AU399" i="1"/>
  <c r="AV399" i="1"/>
  <c r="AW399" i="1"/>
  <c r="AK400" i="1"/>
  <c r="AL400" i="1"/>
  <c r="AM400" i="1"/>
  <c r="AN400" i="1"/>
  <c r="AO400" i="1"/>
  <c r="AP400" i="1"/>
  <c r="AQ400" i="1"/>
  <c r="AR400" i="1"/>
  <c r="AS400" i="1"/>
  <c r="AT400" i="1"/>
  <c r="AU400" i="1"/>
  <c r="AV400" i="1"/>
  <c r="AW400" i="1"/>
  <c r="AK401" i="1"/>
  <c r="AL401" i="1"/>
  <c r="AM401" i="1"/>
  <c r="AN401" i="1"/>
  <c r="AO401" i="1"/>
  <c r="AP401" i="1"/>
  <c r="AQ401" i="1"/>
  <c r="AR401" i="1"/>
  <c r="AS401" i="1"/>
  <c r="AT401" i="1"/>
  <c r="AU401" i="1"/>
  <c r="AV401" i="1"/>
  <c r="AW401" i="1"/>
  <c r="AK402" i="1"/>
  <c r="AL402" i="1"/>
  <c r="AM402" i="1"/>
  <c r="AN402" i="1"/>
  <c r="AO402" i="1"/>
  <c r="AP402" i="1"/>
  <c r="AQ402" i="1"/>
  <c r="AR402" i="1"/>
  <c r="AS402" i="1"/>
  <c r="AT402" i="1"/>
  <c r="AU402" i="1"/>
  <c r="AV402" i="1"/>
  <c r="AW402" i="1"/>
  <c r="AK403" i="1"/>
  <c r="AL403" i="1"/>
  <c r="AM403" i="1"/>
  <c r="AN403" i="1"/>
  <c r="AO403" i="1"/>
  <c r="AP403" i="1"/>
  <c r="AQ403" i="1"/>
  <c r="AR403" i="1"/>
  <c r="AS403" i="1"/>
  <c r="AT403" i="1"/>
  <c r="AU403" i="1"/>
  <c r="AV403" i="1"/>
  <c r="AW403" i="1"/>
  <c r="AK404" i="1"/>
  <c r="AL404" i="1"/>
  <c r="AM404" i="1"/>
  <c r="AN404" i="1"/>
  <c r="AO404" i="1"/>
  <c r="AP404" i="1"/>
  <c r="AQ404" i="1"/>
  <c r="AR404" i="1"/>
  <c r="AS404" i="1"/>
  <c r="AT404" i="1"/>
  <c r="AU404" i="1"/>
  <c r="AV404" i="1"/>
  <c r="AW404" i="1"/>
  <c r="AK405" i="1"/>
  <c r="AL405" i="1"/>
  <c r="AM405" i="1"/>
  <c r="AN405" i="1"/>
  <c r="AO405" i="1"/>
  <c r="AP405" i="1"/>
  <c r="AQ405" i="1"/>
  <c r="AR405" i="1"/>
  <c r="AS405" i="1"/>
  <c r="AT405" i="1"/>
  <c r="AU405" i="1"/>
  <c r="AV405" i="1"/>
  <c r="AW405" i="1"/>
  <c r="AK406" i="1"/>
  <c r="AL406" i="1"/>
  <c r="AM406" i="1"/>
  <c r="AN406" i="1"/>
  <c r="AO406" i="1"/>
  <c r="AP406" i="1"/>
  <c r="AQ406" i="1"/>
  <c r="AR406" i="1"/>
  <c r="AS406" i="1"/>
  <c r="AT406" i="1"/>
  <c r="AU406" i="1"/>
  <c r="AV406" i="1"/>
  <c r="AW406" i="1"/>
  <c r="AK407" i="1"/>
  <c r="AL407" i="1"/>
  <c r="AM407" i="1"/>
  <c r="AN407" i="1"/>
  <c r="AO407" i="1"/>
  <c r="AP407" i="1"/>
  <c r="AQ407" i="1"/>
  <c r="AR407" i="1"/>
  <c r="AS407" i="1"/>
  <c r="AT407" i="1"/>
  <c r="AU407" i="1"/>
  <c r="AV407" i="1"/>
  <c r="AW407" i="1"/>
  <c r="AK408" i="1"/>
  <c r="AL408" i="1"/>
  <c r="AM408" i="1"/>
  <c r="AN408" i="1"/>
  <c r="AO408" i="1"/>
  <c r="AP408" i="1"/>
  <c r="AQ408" i="1"/>
  <c r="AR408" i="1"/>
  <c r="AS408" i="1"/>
  <c r="AT408" i="1"/>
  <c r="AU408" i="1"/>
  <c r="AV408" i="1"/>
  <c r="AW408" i="1"/>
  <c r="AK409" i="1"/>
  <c r="AL409" i="1"/>
  <c r="AM409" i="1"/>
  <c r="AN409" i="1"/>
  <c r="AO409" i="1"/>
  <c r="AP409" i="1"/>
  <c r="AQ409" i="1"/>
  <c r="AR409" i="1"/>
  <c r="AS409" i="1"/>
  <c r="AT409" i="1"/>
  <c r="AU409" i="1"/>
  <c r="AV409" i="1"/>
  <c r="AW409" i="1"/>
  <c r="AK410" i="1"/>
  <c r="AL410" i="1"/>
  <c r="AM410" i="1"/>
  <c r="AN410" i="1"/>
  <c r="AO410" i="1"/>
  <c r="AP410" i="1"/>
  <c r="AQ410" i="1"/>
  <c r="AR410" i="1"/>
  <c r="AS410" i="1"/>
  <c r="AT410" i="1"/>
  <c r="AU410" i="1"/>
  <c r="AV410" i="1"/>
  <c r="AW410" i="1"/>
  <c r="AK411" i="1"/>
  <c r="AL411" i="1"/>
  <c r="AM411" i="1"/>
  <c r="AN411" i="1"/>
  <c r="AO411" i="1"/>
  <c r="AP411" i="1"/>
  <c r="AQ411" i="1"/>
  <c r="AR411" i="1"/>
  <c r="AS411" i="1"/>
  <c r="AT411" i="1"/>
  <c r="AU411" i="1"/>
  <c r="AV411" i="1"/>
  <c r="AW411" i="1"/>
  <c r="AK412" i="1"/>
  <c r="AL412" i="1"/>
  <c r="AM412" i="1"/>
  <c r="AN412" i="1"/>
  <c r="AO412" i="1"/>
  <c r="AP412" i="1"/>
  <c r="AQ412" i="1"/>
  <c r="AR412" i="1"/>
  <c r="AS412" i="1"/>
  <c r="AT412" i="1"/>
  <c r="AU412" i="1"/>
  <c r="AV412" i="1"/>
  <c r="AW412" i="1"/>
  <c r="AK413" i="1"/>
  <c r="AL413" i="1"/>
  <c r="AM413" i="1"/>
  <c r="AN413" i="1"/>
  <c r="AO413" i="1"/>
  <c r="AP413" i="1"/>
  <c r="AQ413" i="1"/>
  <c r="AR413" i="1"/>
  <c r="AS413" i="1"/>
  <c r="AT413" i="1"/>
  <c r="AU413" i="1"/>
  <c r="AV413" i="1"/>
  <c r="AW413" i="1"/>
  <c r="AK414" i="1"/>
  <c r="AL414" i="1"/>
  <c r="AM414" i="1"/>
  <c r="AN414" i="1"/>
  <c r="AO414" i="1"/>
  <c r="AP414" i="1"/>
  <c r="AQ414" i="1"/>
  <c r="AR414" i="1"/>
  <c r="AS414" i="1"/>
  <c r="AT414" i="1"/>
  <c r="AU414" i="1"/>
  <c r="AV414" i="1"/>
  <c r="AW414" i="1"/>
  <c r="AK415" i="1"/>
  <c r="AL415" i="1"/>
  <c r="AM415" i="1"/>
  <c r="AN415" i="1"/>
  <c r="AO415" i="1"/>
  <c r="AP415" i="1"/>
  <c r="AQ415" i="1"/>
  <c r="AR415" i="1"/>
  <c r="AS415" i="1"/>
  <c r="AT415" i="1"/>
  <c r="AU415" i="1"/>
  <c r="AV415" i="1"/>
  <c r="AW415" i="1"/>
  <c r="AK416" i="1"/>
  <c r="AL416" i="1"/>
  <c r="AM416" i="1"/>
  <c r="AN416" i="1"/>
  <c r="AO416" i="1"/>
  <c r="AP416" i="1"/>
  <c r="AQ416" i="1"/>
  <c r="AR416" i="1"/>
  <c r="AS416" i="1"/>
  <c r="AT416" i="1"/>
  <c r="AU416" i="1"/>
  <c r="AV416" i="1"/>
  <c r="AW416" i="1"/>
  <c r="AK417" i="1"/>
  <c r="AL417" i="1"/>
  <c r="AM417" i="1"/>
  <c r="AN417" i="1"/>
  <c r="AO417" i="1"/>
  <c r="AP417" i="1"/>
  <c r="AQ417" i="1"/>
  <c r="AR417" i="1"/>
  <c r="AS417" i="1"/>
  <c r="AT417" i="1"/>
  <c r="AU417" i="1"/>
  <c r="AV417" i="1"/>
  <c r="AW417" i="1"/>
  <c r="AK418" i="1"/>
  <c r="AL418" i="1"/>
  <c r="AM418" i="1"/>
  <c r="AN418" i="1"/>
  <c r="AO418" i="1"/>
  <c r="AP418" i="1"/>
  <c r="AQ418" i="1"/>
  <c r="AR418" i="1"/>
  <c r="AS418" i="1"/>
  <c r="AT418" i="1"/>
  <c r="AU418" i="1"/>
  <c r="AV418" i="1"/>
  <c r="AW418" i="1"/>
  <c r="AK419" i="1"/>
  <c r="AL419" i="1"/>
  <c r="AM419" i="1"/>
  <c r="AN419" i="1"/>
  <c r="AO419" i="1"/>
  <c r="AP419" i="1"/>
  <c r="AQ419" i="1"/>
  <c r="AR419" i="1"/>
  <c r="AS419" i="1"/>
  <c r="AT419" i="1"/>
  <c r="AU419" i="1"/>
  <c r="AV419" i="1"/>
  <c r="AW419" i="1"/>
  <c r="AK420" i="1"/>
  <c r="AL420" i="1"/>
  <c r="AM420" i="1"/>
  <c r="AN420" i="1"/>
  <c r="AO420" i="1"/>
  <c r="AP420" i="1"/>
  <c r="AQ420" i="1"/>
  <c r="AR420" i="1"/>
  <c r="AS420" i="1"/>
  <c r="AT420" i="1"/>
  <c r="AU420" i="1"/>
  <c r="AV420" i="1"/>
  <c r="AW420" i="1"/>
  <c r="AK421" i="1"/>
  <c r="AL421" i="1"/>
  <c r="AM421" i="1"/>
  <c r="AN421" i="1"/>
  <c r="AO421" i="1"/>
  <c r="AP421" i="1"/>
  <c r="AQ421" i="1"/>
  <c r="AR421" i="1"/>
  <c r="AS421" i="1"/>
  <c r="AT421" i="1"/>
  <c r="AU421" i="1"/>
  <c r="AV421" i="1"/>
  <c r="AW421" i="1"/>
  <c r="AK422" i="1"/>
  <c r="AL422" i="1"/>
  <c r="AM422" i="1"/>
  <c r="AN422" i="1"/>
  <c r="AO422" i="1"/>
  <c r="AP422" i="1"/>
  <c r="AQ422" i="1"/>
  <c r="AR422" i="1"/>
  <c r="AS422" i="1"/>
  <c r="AT422" i="1"/>
  <c r="AU422" i="1"/>
  <c r="AV422" i="1"/>
  <c r="AW422" i="1"/>
  <c r="AK423" i="1"/>
  <c r="AL423" i="1"/>
  <c r="AM423" i="1"/>
  <c r="AN423" i="1"/>
  <c r="AO423" i="1"/>
  <c r="AP423" i="1"/>
  <c r="AQ423" i="1"/>
  <c r="AR423" i="1"/>
  <c r="AS423" i="1"/>
  <c r="AT423" i="1"/>
  <c r="AU423" i="1"/>
  <c r="AV423" i="1"/>
  <c r="AW423" i="1"/>
  <c r="AK424" i="1"/>
  <c r="AL424" i="1"/>
  <c r="AM424" i="1"/>
  <c r="AN424" i="1"/>
  <c r="AO424" i="1"/>
  <c r="AP424" i="1"/>
  <c r="AQ424" i="1"/>
  <c r="AR424" i="1"/>
  <c r="AS424" i="1"/>
  <c r="AT424" i="1"/>
  <c r="AU424" i="1"/>
  <c r="AV424" i="1"/>
  <c r="AW424" i="1"/>
  <c r="AK425" i="1"/>
  <c r="AL425" i="1"/>
  <c r="AM425" i="1"/>
  <c r="AN425" i="1"/>
  <c r="AO425" i="1"/>
  <c r="AP425" i="1"/>
  <c r="AQ425" i="1"/>
  <c r="AR425" i="1"/>
  <c r="AS425" i="1"/>
  <c r="AT425" i="1"/>
  <c r="AU425" i="1"/>
  <c r="AV425" i="1"/>
  <c r="AW425" i="1"/>
  <c r="AK426" i="1"/>
  <c r="AL426" i="1"/>
  <c r="AM426" i="1"/>
  <c r="AN426" i="1"/>
  <c r="AO426" i="1"/>
  <c r="AP426" i="1"/>
  <c r="AQ426" i="1"/>
  <c r="AR426" i="1"/>
  <c r="AS426" i="1"/>
  <c r="AT426" i="1"/>
  <c r="AU426" i="1"/>
  <c r="AV426" i="1"/>
  <c r="AW426" i="1"/>
  <c r="AK427" i="1"/>
  <c r="AL427" i="1"/>
  <c r="AM427" i="1"/>
  <c r="AN427" i="1"/>
  <c r="AO427" i="1"/>
  <c r="AP427" i="1"/>
  <c r="AQ427" i="1"/>
  <c r="AR427" i="1"/>
  <c r="AS427" i="1"/>
  <c r="AT427" i="1"/>
  <c r="AU427" i="1"/>
  <c r="AV427" i="1"/>
  <c r="AW427" i="1"/>
  <c r="AK428" i="1"/>
  <c r="AL428" i="1"/>
  <c r="AM428" i="1"/>
  <c r="AN428" i="1"/>
  <c r="AO428" i="1"/>
  <c r="AP428" i="1"/>
  <c r="AQ428" i="1"/>
  <c r="AR428" i="1"/>
  <c r="AS428" i="1"/>
  <c r="AT428" i="1"/>
  <c r="AU428" i="1"/>
  <c r="AV428" i="1"/>
  <c r="AW428" i="1"/>
  <c r="AK429" i="1"/>
  <c r="AL429" i="1"/>
  <c r="AM429" i="1"/>
  <c r="AN429" i="1"/>
  <c r="AO429" i="1"/>
  <c r="AP429" i="1"/>
  <c r="AQ429" i="1"/>
  <c r="AR429" i="1"/>
  <c r="AS429" i="1"/>
  <c r="AT429" i="1"/>
  <c r="AU429" i="1"/>
  <c r="AV429" i="1"/>
  <c r="AW429" i="1"/>
  <c r="AK430" i="1"/>
  <c r="AL430" i="1"/>
  <c r="AM430" i="1"/>
  <c r="AN430" i="1"/>
  <c r="AO430" i="1"/>
  <c r="AP430" i="1"/>
  <c r="AQ430" i="1"/>
  <c r="AR430" i="1"/>
  <c r="AS430" i="1"/>
  <c r="AT430" i="1"/>
  <c r="AU430" i="1"/>
  <c r="AV430" i="1"/>
  <c r="AW430" i="1"/>
  <c r="AK431" i="1"/>
  <c r="AL431" i="1"/>
  <c r="AM431" i="1"/>
  <c r="AN431" i="1"/>
  <c r="AO431" i="1"/>
  <c r="AP431" i="1"/>
  <c r="AQ431" i="1"/>
  <c r="AR431" i="1"/>
  <c r="AS431" i="1"/>
  <c r="AT431" i="1"/>
  <c r="AU431" i="1"/>
  <c r="AV431" i="1"/>
  <c r="AW431" i="1"/>
  <c r="AK432" i="1"/>
  <c r="AL432" i="1"/>
  <c r="AM432" i="1"/>
  <c r="AN432" i="1"/>
  <c r="AO432" i="1"/>
  <c r="AP432" i="1"/>
  <c r="AQ432" i="1"/>
  <c r="AR432" i="1"/>
  <c r="AS432" i="1"/>
  <c r="AT432" i="1"/>
  <c r="AU432" i="1"/>
  <c r="AV432" i="1"/>
  <c r="AW432" i="1"/>
  <c r="AK433" i="1"/>
  <c r="AL433" i="1"/>
  <c r="AM433" i="1"/>
  <c r="AN433" i="1"/>
  <c r="AO433" i="1"/>
  <c r="AP433" i="1"/>
  <c r="AQ433" i="1"/>
  <c r="AR433" i="1"/>
  <c r="AS433" i="1"/>
  <c r="AT433" i="1"/>
  <c r="AU433" i="1"/>
  <c r="AV433" i="1"/>
  <c r="AW433" i="1"/>
  <c r="AK434" i="1"/>
  <c r="AL434" i="1"/>
  <c r="AM434" i="1"/>
  <c r="AN434" i="1"/>
  <c r="AO434" i="1"/>
  <c r="AP434" i="1"/>
  <c r="AQ434" i="1"/>
  <c r="AR434" i="1"/>
  <c r="AS434" i="1"/>
  <c r="AT434" i="1"/>
  <c r="AU434" i="1"/>
  <c r="AV434" i="1"/>
  <c r="AW434" i="1"/>
  <c r="AK435" i="1"/>
  <c r="AL435" i="1"/>
  <c r="AM435" i="1"/>
  <c r="AN435" i="1"/>
  <c r="AO435" i="1"/>
  <c r="AP435" i="1"/>
  <c r="AQ435" i="1"/>
  <c r="AR435" i="1"/>
  <c r="AS435" i="1"/>
  <c r="AT435" i="1"/>
  <c r="AU435" i="1"/>
  <c r="AV435" i="1"/>
  <c r="AW435" i="1"/>
  <c r="AK436" i="1"/>
  <c r="AL436" i="1"/>
  <c r="AM436" i="1"/>
  <c r="AN436" i="1"/>
  <c r="AO436" i="1"/>
  <c r="AP436" i="1"/>
  <c r="AQ436" i="1"/>
  <c r="AR436" i="1"/>
  <c r="AS436" i="1"/>
  <c r="AT436" i="1"/>
  <c r="AU436" i="1"/>
  <c r="AV436" i="1"/>
  <c r="AW436" i="1"/>
  <c r="AK437" i="1"/>
  <c r="AL437" i="1"/>
  <c r="AM437" i="1"/>
  <c r="AN437" i="1"/>
  <c r="AO437" i="1"/>
  <c r="AP437" i="1"/>
  <c r="AQ437" i="1"/>
  <c r="AR437" i="1"/>
  <c r="AS437" i="1"/>
  <c r="AT437" i="1"/>
  <c r="AU437" i="1"/>
  <c r="AV437" i="1"/>
  <c r="AW437" i="1"/>
  <c r="AK438" i="1"/>
  <c r="AL438" i="1"/>
  <c r="AM438" i="1"/>
  <c r="AN438" i="1"/>
  <c r="AO438" i="1"/>
  <c r="AP438" i="1"/>
  <c r="AQ438" i="1"/>
  <c r="AR438" i="1"/>
  <c r="AS438" i="1"/>
  <c r="AT438" i="1"/>
  <c r="AU438" i="1"/>
  <c r="AV438" i="1"/>
  <c r="AW438" i="1"/>
  <c r="AK439" i="1"/>
  <c r="AL439" i="1"/>
  <c r="AM439" i="1"/>
  <c r="AN439" i="1"/>
  <c r="AO439" i="1"/>
  <c r="AP439" i="1"/>
  <c r="AQ439" i="1"/>
  <c r="AR439" i="1"/>
  <c r="AS439" i="1"/>
  <c r="AT439" i="1"/>
  <c r="AU439" i="1"/>
  <c r="AV439" i="1"/>
  <c r="AW439" i="1"/>
  <c r="AK440" i="1"/>
  <c r="AL440" i="1"/>
  <c r="AM440" i="1"/>
  <c r="AN440" i="1"/>
  <c r="AO440" i="1"/>
  <c r="AP440" i="1"/>
  <c r="AQ440" i="1"/>
  <c r="AR440" i="1"/>
  <c r="AS440" i="1"/>
  <c r="AT440" i="1"/>
  <c r="AU440" i="1"/>
  <c r="AV440" i="1"/>
  <c r="AW440" i="1"/>
  <c r="AK441" i="1"/>
  <c r="AL441" i="1"/>
  <c r="AM441" i="1"/>
  <c r="AN441" i="1"/>
  <c r="AO441" i="1"/>
  <c r="AP441" i="1"/>
  <c r="AQ441" i="1"/>
  <c r="AR441" i="1"/>
  <c r="AS441" i="1"/>
  <c r="AT441" i="1"/>
  <c r="AU441" i="1"/>
  <c r="AV441" i="1"/>
  <c r="AW441" i="1"/>
  <c r="AK442" i="1"/>
  <c r="AL442" i="1"/>
  <c r="AM442" i="1"/>
  <c r="AN442" i="1"/>
  <c r="AO442" i="1"/>
  <c r="AP442" i="1"/>
  <c r="AQ442" i="1"/>
  <c r="AR442" i="1"/>
  <c r="AS442" i="1"/>
  <c r="AT442" i="1"/>
  <c r="AU442" i="1"/>
  <c r="AV442" i="1"/>
  <c r="AW442" i="1"/>
  <c r="AK443" i="1"/>
  <c r="AL443" i="1"/>
  <c r="AM443" i="1"/>
  <c r="AN443" i="1"/>
  <c r="AO443" i="1"/>
  <c r="AP443" i="1"/>
  <c r="AQ443" i="1"/>
  <c r="AR443" i="1"/>
  <c r="AS443" i="1"/>
  <c r="AT443" i="1"/>
  <c r="AU443" i="1"/>
  <c r="AV443" i="1"/>
  <c r="AW443" i="1"/>
  <c r="AK444" i="1"/>
  <c r="AL444" i="1"/>
  <c r="AM444" i="1"/>
  <c r="AN444" i="1"/>
  <c r="AO444" i="1"/>
  <c r="AP444" i="1"/>
  <c r="AQ444" i="1"/>
  <c r="AR444" i="1"/>
  <c r="AS444" i="1"/>
  <c r="AT444" i="1"/>
  <c r="AU444" i="1"/>
  <c r="AV444" i="1"/>
  <c r="AW444" i="1"/>
  <c r="AK445" i="1"/>
  <c r="AL445" i="1"/>
  <c r="AM445" i="1"/>
  <c r="AN445" i="1"/>
  <c r="AO445" i="1"/>
  <c r="AP445" i="1"/>
  <c r="AQ445" i="1"/>
  <c r="AR445" i="1"/>
  <c r="AS445" i="1"/>
  <c r="AT445" i="1"/>
  <c r="AU445" i="1"/>
  <c r="AV445" i="1"/>
  <c r="AW445" i="1"/>
  <c r="AK446" i="1"/>
  <c r="AL446" i="1"/>
  <c r="AM446" i="1"/>
  <c r="AN446" i="1"/>
  <c r="AO446" i="1"/>
  <c r="AP446" i="1"/>
  <c r="AQ446" i="1"/>
  <c r="AR446" i="1"/>
  <c r="AS446" i="1"/>
  <c r="AT446" i="1"/>
  <c r="AU446" i="1"/>
  <c r="AV446" i="1"/>
  <c r="AW446" i="1"/>
  <c r="AK447" i="1"/>
  <c r="AL447" i="1"/>
  <c r="AM447" i="1"/>
  <c r="AN447" i="1"/>
  <c r="AO447" i="1"/>
  <c r="AP447" i="1"/>
  <c r="AQ447" i="1"/>
  <c r="AR447" i="1"/>
  <c r="AS447" i="1"/>
  <c r="AT447" i="1"/>
  <c r="AU447" i="1"/>
  <c r="AV447" i="1"/>
  <c r="AW447" i="1"/>
  <c r="AK448" i="1"/>
  <c r="AL448" i="1"/>
  <c r="AM448" i="1"/>
  <c r="AN448" i="1"/>
  <c r="AO448" i="1"/>
  <c r="AP448" i="1"/>
  <c r="AQ448" i="1"/>
  <c r="AR448" i="1"/>
  <c r="AS448" i="1"/>
  <c r="AT448" i="1"/>
  <c r="AU448" i="1"/>
  <c r="AV448" i="1"/>
  <c r="AW448" i="1"/>
  <c r="AK449" i="1"/>
  <c r="AL449" i="1"/>
  <c r="AM449" i="1"/>
  <c r="AN449" i="1"/>
  <c r="AO449" i="1"/>
  <c r="AP449" i="1"/>
  <c r="AQ449" i="1"/>
  <c r="AR449" i="1"/>
  <c r="AS449" i="1"/>
  <c r="AT449" i="1"/>
  <c r="AU449" i="1"/>
  <c r="AV449" i="1"/>
  <c r="AW449" i="1"/>
  <c r="AK450" i="1"/>
  <c r="AL450" i="1"/>
  <c r="AM450" i="1"/>
  <c r="AN450" i="1"/>
  <c r="AO450" i="1"/>
  <c r="AP450" i="1"/>
  <c r="AQ450" i="1"/>
  <c r="AR450" i="1"/>
  <c r="AS450" i="1"/>
  <c r="AT450" i="1"/>
  <c r="AU450" i="1"/>
  <c r="AV450" i="1"/>
  <c r="AW450" i="1"/>
  <c r="AK451" i="1"/>
  <c r="AL451" i="1"/>
  <c r="AM451" i="1"/>
  <c r="AN451" i="1"/>
  <c r="AO451" i="1"/>
  <c r="AP451" i="1"/>
  <c r="AQ451" i="1"/>
  <c r="AR451" i="1"/>
  <c r="AS451" i="1"/>
  <c r="AT451" i="1"/>
  <c r="AU451" i="1"/>
  <c r="AV451" i="1"/>
  <c r="AW451" i="1"/>
  <c r="AK452" i="1"/>
  <c r="AL452" i="1"/>
  <c r="AM452" i="1"/>
  <c r="AN452" i="1"/>
  <c r="AO452" i="1"/>
  <c r="AP452" i="1"/>
  <c r="AQ452" i="1"/>
  <c r="AR452" i="1"/>
  <c r="AS452" i="1"/>
  <c r="AT452" i="1"/>
  <c r="AU452" i="1"/>
  <c r="AV452" i="1"/>
  <c r="AW452" i="1"/>
  <c r="AK453" i="1"/>
  <c r="AL453" i="1"/>
  <c r="AM453" i="1"/>
  <c r="AN453" i="1"/>
  <c r="AO453" i="1"/>
  <c r="AP453" i="1"/>
  <c r="AQ453" i="1"/>
  <c r="AR453" i="1"/>
  <c r="AS453" i="1"/>
  <c r="AT453" i="1"/>
  <c r="AU453" i="1"/>
  <c r="AV453" i="1"/>
  <c r="AW453" i="1"/>
  <c r="AK454" i="1"/>
  <c r="AL454" i="1"/>
  <c r="AM454" i="1"/>
  <c r="AN454" i="1"/>
  <c r="AO454" i="1"/>
  <c r="AP454" i="1"/>
  <c r="AQ454" i="1"/>
  <c r="AR454" i="1"/>
  <c r="AS454" i="1"/>
  <c r="AT454" i="1"/>
  <c r="AU454" i="1"/>
  <c r="AV454" i="1"/>
  <c r="AW454" i="1"/>
  <c r="AK455" i="1"/>
  <c r="AL455" i="1"/>
  <c r="AM455" i="1"/>
  <c r="AN455" i="1"/>
  <c r="AO455" i="1"/>
  <c r="AP455" i="1"/>
  <c r="AQ455" i="1"/>
  <c r="AR455" i="1"/>
  <c r="AS455" i="1"/>
  <c r="AT455" i="1"/>
  <c r="AU455" i="1"/>
  <c r="AV455" i="1"/>
  <c r="AW455" i="1"/>
  <c r="AK456" i="1"/>
  <c r="AL456" i="1"/>
  <c r="AM456" i="1"/>
  <c r="AN456" i="1"/>
  <c r="AO456" i="1"/>
  <c r="AP456" i="1"/>
  <c r="AQ456" i="1"/>
  <c r="AR456" i="1"/>
  <c r="AS456" i="1"/>
  <c r="AT456" i="1"/>
  <c r="AU456" i="1"/>
  <c r="AV456" i="1"/>
  <c r="AW456" i="1"/>
  <c r="AK457" i="1"/>
  <c r="AL457" i="1"/>
  <c r="AM457" i="1"/>
  <c r="AN457" i="1"/>
  <c r="AO457" i="1"/>
  <c r="AP457" i="1"/>
  <c r="AQ457" i="1"/>
  <c r="AR457" i="1"/>
  <c r="AS457" i="1"/>
  <c r="AT457" i="1"/>
  <c r="AU457" i="1"/>
  <c r="AV457" i="1"/>
  <c r="AW457" i="1"/>
  <c r="AK458" i="1"/>
  <c r="AL458" i="1"/>
  <c r="AM458" i="1"/>
  <c r="AN458" i="1"/>
  <c r="AO458" i="1"/>
  <c r="AP458" i="1"/>
  <c r="AQ458" i="1"/>
  <c r="AR458" i="1"/>
  <c r="AS458" i="1"/>
  <c r="AT458" i="1"/>
  <c r="AU458" i="1"/>
  <c r="AV458" i="1"/>
  <c r="AW458" i="1"/>
  <c r="AK459" i="1"/>
  <c r="AL459" i="1"/>
  <c r="AM459" i="1"/>
  <c r="AN459" i="1"/>
  <c r="AO459" i="1"/>
  <c r="AP459" i="1"/>
  <c r="AQ459" i="1"/>
  <c r="AR459" i="1"/>
  <c r="AS459" i="1"/>
  <c r="AT459" i="1"/>
  <c r="AU459" i="1"/>
  <c r="AV459" i="1"/>
  <c r="AW459" i="1"/>
  <c r="AK460" i="1"/>
  <c r="AL460" i="1"/>
  <c r="AM460" i="1"/>
  <c r="AN460" i="1"/>
  <c r="AO460" i="1"/>
  <c r="AP460" i="1"/>
  <c r="AQ460" i="1"/>
  <c r="AR460" i="1"/>
  <c r="AS460" i="1"/>
  <c r="AT460" i="1"/>
  <c r="AU460" i="1"/>
  <c r="AV460" i="1"/>
  <c r="AW460" i="1"/>
  <c r="AK461" i="1"/>
  <c r="AL461" i="1"/>
  <c r="AM461" i="1"/>
  <c r="AN461" i="1"/>
  <c r="AO461" i="1"/>
  <c r="AP461" i="1"/>
  <c r="AQ461" i="1"/>
  <c r="AR461" i="1"/>
  <c r="AS461" i="1"/>
  <c r="AT461" i="1"/>
  <c r="AU461" i="1"/>
  <c r="AV461" i="1"/>
  <c r="AW461" i="1"/>
  <c r="AK462" i="1"/>
  <c r="AL462" i="1"/>
  <c r="AM462" i="1"/>
  <c r="AN462" i="1"/>
  <c r="AO462" i="1"/>
  <c r="AP462" i="1"/>
  <c r="AQ462" i="1"/>
  <c r="AR462" i="1"/>
  <c r="AS462" i="1"/>
  <c r="AT462" i="1"/>
  <c r="AU462" i="1"/>
  <c r="AV462" i="1"/>
  <c r="AW462" i="1"/>
  <c r="AK463" i="1"/>
  <c r="AL463" i="1"/>
  <c r="AM463" i="1"/>
  <c r="AN463" i="1"/>
  <c r="AO463" i="1"/>
  <c r="AP463" i="1"/>
  <c r="AQ463" i="1"/>
  <c r="AR463" i="1"/>
  <c r="AS463" i="1"/>
  <c r="AT463" i="1"/>
  <c r="AU463" i="1"/>
  <c r="AV463" i="1"/>
  <c r="AW463" i="1"/>
  <c r="AK464" i="1"/>
  <c r="AL464" i="1"/>
  <c r="AM464" i="1"/>
  <c r="AN464" i="1"/>
  <c r="AO464" i="1"/>
  <c r="AP464" i="1"/>
  <c r="AQ464" i="1"/>
  <c r="AR464" i="1"/>
  <c r="AS464" i="1"/>
  <c r="AT464" i="1"/>
  <c r="AU464" i="1"/>
  <c r="AV464" i="1"/>
  <c r="AW464" i="1"/>
  <c r="AK465" i="1"/>
  <c r="AL465" i="1"/>
  <c r="AM465" i="1"/>
  <c r="AN465" i="1"/>
  <c r="AO465" i="1"/>
  <c r="AP465" i="1"/>
  <c r="AQ465" i="1"/>
  <c r="AR465" i="1"/>
  <c r="AS465" i="1"/>
  <c r="AT465" i="1"/>
  <c r="AU465" i="1"/>
  <c r="AV465" i="1"/>
  <c r="AW465" i="1"/>
  <c r="AK466" i="1"/>
  <c r="AL466" i="1"/>
  <c r="AM466" i="1"/>
  <c r="AN466" i="1"/>
  <c r="AO466" i="1"/>
  <c r="AP466" i="1"/>
  <c r="AQ466" i="1"/>
  <c r="AR466" i="1"/>
  <c r="AS466" i="1"/>
  <c r="AT466" i="1"/>
  <c r="AU466" i="1"/>
  <c r="AV466" i="1"/>
  <c r="AW466" i="1"/>
  <c r="AK467" i="1"/>
  <c r="AL467" i="1"/>
  <c r="AM467" i="1"/>
  <c r="AN467" i="1"/>
  <c r="AO467" i="1"/>
  <c r="AP467" i="1"/>
  <c r="AQ467" i="1"/>
  <c r="AR467" i="1"/>
  <c r="AS467" i="1"/>
  <c r="AT467" i="1"/>
  <c r="AU467" i="1"/>
  <c r="AV467" i="1"/>
  <c r="AW467" i="1"/>
  <c r="AK468" i="1"/>
  <c r="AL468" i="1"/>
  <c r="AM468" i="1"/>
  <c r="AN468" i="1"/>
  <c r="AO468" i="1"/>
  <c r="AP468" i="1"/>
  <c r="AQ468" i="1"/>
  <c r="AR468" i="1"/>
  <c r="AS468" i="1"/>
  <c r="AT468" i="1"/>
  <c r="AU468" i="1"/>
  <c r="AV468" i="1"/>
  <c r="AW468" i="1"/>
  <c r="AK469" i="1"/>
  <c r="AL469" i="1"/>
  <c r="AM469" i="1"/>
  <c r="AN469" i="1"/>
  <c r="AO469" i="1"/>
  <c r="AP469" i="1"/>
  <c r="AQ469" i="1"/>
  <c r="AR469" i="1"/>
  <c r="AS469" i="1"/>
  <c r="AT469" i="1"/>
  <c r="AU469" i="1"/>
  <c r="AV469" i="1"/>
  <c r="AW469" i="1"/>
  <c r="AK470" i="1"/>
  <c r="AL470" i="1"/>
  <c r="AM470" i="1"/>
  <c r="AN470" i="1"/>
  <c r="AO470" i="1"/>
  <c r="AP470" i="1"/>
  <c r="AQ470" i="1"/>
  <c r="AR470" i="1"/>
  <c r="AS470" i="1"/>
  <c r="AT470" i="1"/>
  <c r="AU470" i="1"/>
  <c r="AV470" i="1"/>
  <c r="AW470" i="1"/>
  <c r="AK471" i="1"/>
  <c r="AL471" i="1"/>
  <c r="AM471" i="1"/>
  <c r="AN471" i="1"/>
  <c r="AO471" i="1"/>
  <c r="AP471" i="1"/>
  <c r="AQ471" i="1"/>
  <c r="AR471" i="1"/>
  <c r="AS471" i="1"/>
  <c r="AT471" i="1"/>
  <c r="AU471" i="1"/>
  <c r="AV471" i="1"/>
  <c r="AW471" i="1"/>
  <c r="AK472" i="1"/>
  <c r="AL472" i="1"/>
  <c r="AM472" i="1"/>
  <c r="AN472" i="1"/>
  <c r="AO472" i="1"/>
  <c r="AP472" i="1"/>
  <c r="AQ472" i="1"/>
  <c r="AR472" i="1"/>
  <c r="AS472" i="1"/>
  <c r="AT472" i="1"/>
  <c r="AU472" i="1"/>
  <c r="AV472" i="1"/>
  <c r="AW472" i="1"/>
  <c r="AK473" i="1"/>
  <c r="AL473" i="1"/>
  <c r="AM473" i="1"/>
  <c r="AN473" i="1"/>
  <c r="AO473" i="1"/>
  <c r="AP473" i="1"/>
  <c r="AQ473" i="1"/>
  <c r="AR473" i="1"/>
  <c r="AS473" i="1"/>
  <c r="AT473" i="1"/>
  <c r="AU473" i="1"/>
  <c r="AV473" i="1"/>
  <c r="AW473" i="1"/>
  <c r="AK474" i="1"/>
  <c r="AL474" i="1"/>
  <c r="AM474" i="1"/>
  <c r="AN474" i="1"/>
  <c r="AO474" i="1"/>
  <c r="AP474" i="1"/>
  <c r="AQ474" i="1"/>
  <c r="AR474" i="1"/>
  <c r="AS474" i="1"/>
  <c r="AT474" i="1"/>
  <c r="AU474" i="1"/>
  <c r="AV474" i="1"/>
  <c r="AW474" i="1"/>
  <c r="AK475" i="1"/>
  <c r="AL475" i="1"/>
  <c r="AM475" i="1"/>
  <c r="AN475" i="1"/>
  <c r="AO475" i="1"/>
  <c r="AP475" i="1"/>
  <c r="AQ475" i="1"/>
  <c r="AR475" i="1"/>
  <c r="AS475" i="1"/>
  <c r="AT475" i="1"/>
  <c r="AU475" i="1"/>
  <c r="AV475" i="1"/>
  <c r="AW475" i="1"/>
  <c r="AK476" i="1"/>
  <c r="AL476" i="1"/>
  <c r="AM476" i="1"/>
  <c r="AN476" i="1"/>
  <c r="AO476" i="1"/>
  <c r="AP476" i="1"/>
  <c r="AQ476" i="1"/>
  <c r="AR476" i="1"/>
  <c r="AS476" i="1"/>
  <c r="AT476" i="1"/>
  <c r="AU476" i="1"/>
  <c r="AV476" i="1"/>
  <c r="AW476" i="1"/>
  <c r="AK477" i="1"/>
  <c r="AL477" i="1"/>
  <c r="AM477" i="1"/>
  <c r="AN477" i="1"/>
  <c r="AO477" i="1"/>
  <c r="AP477" i="1"/>
  <c r="AQ477" i="1"/>
  <c r="AR477" i="1"/>
  <c r="AS477" i="1"/>
  <c r="AT477" i="1"/>
  <c r="AU477" i="1"/>
  <c r="AV477" i="1"/>
  <c r="AW477" i="1"/>
  <c r="AK478" i="1"/>
  <c r="AL478" i="1"/>
  <c r="AM478" i="1"/>
  <c r="AN478" i="1"/>
  <c r="AO478" i="1"/>
  <c r="AP478" i="1"/>
  <c r="AQ478" i="1"/>
  <c r="AR478" i="1"/>
  <c r="AS478" i="1"/>
  <c r="AT478" i="1"/>
  <c r="AU478" i="1"/>
  <c r="AV478" i="1"/>
  <c r="AW478" i="1"/>
  <c r="AK479" i="1"/>
  <c r="AL479" i="1"/>
  <c r="AM479" i="1"/>
  <c r="AN479" i="1"/>
  <c r="AO479" i="1"/>
  <c r="AP479" i="1"/>
  <c r="AQ479" i="1"/>
  <c r="AR479" i="1"/>
  <c r="AS479" i="1"/>
  <c r="AT479" i="1"/>
  <c r="AU479" i="1"/>
  <c r="AV479" i="1"/>
  <c r="AW479" i="1"/>
  <c r="AK480" i="1"/>
  <c r="AL480" i="1"/>
  <c r="AM480" i="1"/>
  <c r="AN480" i="1"/>
  <c r="AO480" i="1"/>
  <c r="AP480" i="1"/>
  <c r="AQ480" i="1"/>
  <c r="AR480" i="1"/>
  <c r="AS480" i="1"/>
  <c r="AT480" i="1"/>
  <c r="AU480" i="1"/>
  <c r="AV480" i="1"/>
  <c r="AW480" i="1"/>
  <c r="AK481" i="1"/>
  <c r="AL481" i="1"/>
  <c r="AM481" i="1"/>
  <c r="AN481" i="1"/>
  <c r="AO481" i="1"/>
  <c r="AP481" i="1"/>
  <c r="AQ481" i="1"/>
  <c r="AR481" i="1"/>
  <c r="AS481" i="1"/>
  <c r="AT481" i="1"/>
  <c r="AU481" i="1"/>
  <c r="AV481" i="1"/>
  <c r="AW481" i="1"/>
  <c r="AK482" i="1"/>
  <c r="AL482" i="1"/>
  <c r="AM482" i="1"/>
  <c r="AN482" i="1"/>
  <c r="AO482" i="1"/>
  <c r="AP482" i="1"/>
  <c r="AQ482" i="1"/>
  <c r="AR482" i="1"/>
  <c r="AS482" i="1"/>
  <c r="AT482" i="1"/>
  <c r="AU482" i="1"/>
  <c r="AV482" i="1"/>
  <c r="AW482" i="1"/>
  <c r="AK483" i="1"/>
  <c r="AL483" i="1"/>
  <c r="AM483" i="1"/>
  <c r="AN483" i="1"/>
  <c r="AO483" i="1"/>
  <c r="AP483" i="1"/>
  <c r="AQ483" i="1"/>
  <c r="AR483" i="1"/>
  <c r="AS483" i="1"/>
  <c r="AT483" i="1"/>
  <c r="AU483" i="1"/>
  <c r="AV483" i="1"/>
  <c r="AW483" i="1"/>
  <c r="AK484" i="1"/>
  <c r="AL484" i="1"/>
  <c r="AM484" i="1"/>
  <c r="AN484" i="1"/>
  <c r="AO484" i="1"/>
  <c r="AP484" i="1"/>
  <c r="AQ484" i="1"/>
  <c r="AR484" i="1"/>
  <c r="AS484" i="1"/>
  <c r="AT484" i="1"/>
  <c r="AU484" i="1"/>
  <c r="AV484" i="1"/>
  <c r="AW484" i="1"/>
  <c r="AK485" i="1"/>
  <c r="AL485" i="1"/>
  <c r="AM485" i="1"/>
  <c r="AN485" i="1"/>
  <c r="AO485" i="1"/>
  <c r="AP485" i="1"/>
  <c r="AQ485" i="1"/>
  <c r="AR485" i="1"/>
  <c r="AS485" i="1"/>
  <c r="AT485" i="1"/>
  <c r="AU485" i="1"/>
  <c r="AV485" i="1"/>
  <c r="AW485" i="1"/>
  <c r="AK486" i="1"/>
  <c r="AL486" i="1"/>
  <c r="AM486" i="1"/>
  <c r="AN486" i="1"/>
  <c r="AO486" i="1"/>
  <c r="AP486" i="1"/>
  <c r="AQ486" i="1"/>
  <c r="AR486" i="1"/>
  <c r="AS486" i="1"/>
  <c r="AT486" i="1"/>
  <c r="AU486" i="1"/>
  <c r="AV486" i="1"/>
  <c r="AW486" i="1"/>
  <c r="AK487" i="1"/>
  <c r="AL487" i="1"/>
  <c r="AM487" i="1"/>
  <c r="AN487" i="1"/>
  <c r="AO487" i="1"/>
  <c r="AP487" i="1"/>
  <c r="AQ487" i="1"/>
  <c r="AR487" i="1"/>
  <c r="AS487" i="1"/>
  <c r="AT487" i="1"/>
  <c r="AU487" i="1"/>
  <c r="AV487" i="1"/>
  <c r="AW487" i="1"/>
  <c r="AK488" i="1"/>
  <c r="AL488" i="1"/>
  <c r="AM488" i="1"/>
  <c r="AN488" i="1"/>
  <c r="AO488" i="1"/>
  <c r="AP488" i="1"/>
  <c r="AQ488" i="1"/>
  <c r="AR488" i="1"/>
  <c r="AS488" i="1"/>
  <c r="AT488" i="1"/>
  <c r="AU488" i="1"/>
  <c r="AV488" i="1"/>
  <c r="AW488" i="1"/>
  <c r="AK489" i="1"/>
  <c r="AL489" i="1"/>
  <c r="AM489" i="1"/>
  <c r="AN489" i="1"/>
  <c r="AO489" i="1"/>
  <c r="AP489" i="1"/>
  <c r="AQ489" i="1"/>
  <c r="AR489" i="1"/>
  <c r="AS489" i="1"/>
  <c r="AT489" i="1"/>
  <c r="AU489" i="1"/>
  <c r="AV489" i="1"/>
  <c r="AW489" i="1"/>
  <c r="AK490" i="1"/>
  <c r="AL490" i="1"/>
  <c r="AM490" i="1"/>
  <c r="AN490" i="1"/>
  <c r="AO490" i="1"/>
  <c r="AP490" i="1"/>
  <c r="AQ490" i="1"/>
  <c r="AR490" i="1"/>
  <c r="AS490" i="1"/>
  <c r="AT490" i="1"/>
  <c r="AU490" i="1"/>
  <c r="AV490" i="1"/>
  <c r="AW490" i="1"/>
  <c r="AK491" i="1"/>
  <c r="AL491" i="1"/>
  <c r="AM491" i="1"/>
  <c r="AN491" i="1"/>
  <c r="AO491" i="1"/>
  <c r="AP491" i="1"/>
  <c r="AQ491" i="1"/>
  <c r="AR491" i="1"/>
  <c r="AS491" i="1"/>
  <c r="AT491" i="1"/>
  <c r="AU491" i="1"/>
  <c r="AV491" i="1"/>
  <c r="AW491" i="1"/>
  <c r="AK492" i="1"/>
  <c r="AL492" i="1"/>
  <c r="AM492" i="1"/>
  <c r="AN492" i="1"/>
  <c r="AO492" i="1"/>
  <c r="AP492" i="1"/>
  <c r="AQ492" i="1"/>
  <c r="AR492" i="1"/>
  <c r="AS492" i="1"/>
  <c r="AT492" i="1"/>
  <c r="AU492" i="1"/>
  <c r="AV492" i="1"/>
  <c r="AW492" i="1"/>
  <c r="AK493" i="1"/>
  <c r="AL493" i="1"/>
  <c r="AM493" i="1"/>
  <c r="AN493" i="1"/>
  <c r="AO493" i="1"/>
  <c r="AP493" i="1"/>
  <c r="AQ493" i="1"/>
  <c r="AR493" i="1"/>
  <c r="AS493" i="1"/>
  <c r="AT493" i="1"/>
  <c r="AU493" i="1"/>
  <c r="AV493" i="1"/>
  <c r="AW493" i="1"/>
  <c r="AK494" i="1"/>
  <c r="AL494" i="1"/>
  <c r="AM494" i="1"/>
  <c r="AN494" i="1"/>
  <c r="AO494" i="1"/>
  <c r="AP494" i="1"/>
  <c r="AQ494" i="1"/>
  <c r="AR494" i="1"/>
  <c r="AS494" i="1"/>
  <c r="AT494" i="1"/>
  <c r="AU494" i="1"/>
  <c r="AV494" i="1"/>
  <c r="AW494" i="1"/>
  <c r="AK495" i="1"/>
  <c r="AL495" i="1"/>
  <c r="AM495" i="1"/>
  <c r="AN495" i="1"/>
  <c r="AO495" i="1"/>
  <c r="AP495" i="1"/>
  <c r="AQ495" i="1"/>
  <c r="AR495" i="1"/>
  <c r="AS495" i="1"/>
  <c r="AT495" i="1"/>
  <c r="AU495" i="1"/>
  <c r="AV495" i="1"/>
  <c r="AW495" i="1"/>
  <c r="AK496" i="1"/>
  <c r="AL496" i="1"/>
  <c r="AM496" i="1"/>
  <c r="AN496" i="1"/>
  <c r="AO496" i="1"/>
  <c r="AP496" i="1"/>
  <c r="AQ496" i="1"/>
  <c r="AR496" i="1"/>
  <c r="AS496" i="1"/>
  <c r="AT496" i="1"/>
  <c r="AU496" i="1"/>
  <c r="AV496" i="1"/>
  <c r="AW496" i="1"/>
  <c r="AK497" i="1"/>
  <c r="AL497" i="1"/>
  <c r="AM497" i="1"/>
  <c r="AN497" i="1"/>
  <c r="AO497" i="1"/>
  <c r="AP497" i="1"/>
  <c r="AQ497" i="1"/>
  <c r="AR497" i="1"/>
  <c r="AS497" i="1"/>
  <c r="AT497" i="1"/>
  <c r="AU497" i="1"/>
  <c r="AV497" i="1"/>
  <c r="AW497" i="1"/>
  <c r="AK498" i="1"/>
  <c r="AL498" i="1"/>
  <c r="AM498" i="1"/>
  <c r="AN498" i="1"/>
  <c r="AO498" i="1"/>
  <c r="AP498" i="1"/>
  <c r="AQ498" i="1"/>
  <c r="AR498" i="1"/>
  <c r="AS498" i="1"/>
  <c r="AT498" i="1"/>
  <c r="AU498" i="1"/>
  <c r="AV498" i="1"/>
  <c r="AW498" i="1"/>
  <c r="AK499" i="1"/>
  <c r="AL499" i="1"/>
  <c r="AM499" i="1"/>
  <c r="AN499" i="1"/>
  <c r="AO499" i="1"/>
  <c r="AP499" i="1"/>
  <c r="AQ499" i="1"/>
  <c r="AR499" i="1"/>
  <c r="AS499" i="1"/>
  <c r="AT499" i="1"/>
  <c r="AU499" i="1"/>
  <c r="AV499" i="1"/>
  <c r="AW499" i="1"/>
  <c r="AK500" i="1"/>
  <c r="AL500" i="1"/>
  <c r="AM500" i="1"/>
  <c r="AN500" i="1"/>
  <c r="AO500" i="1"/>
  <c r="AP500" i="1"/>
  <c r="AQ500" i="1"/>
  <c r="AR500" i="1"/>
  <c r="AS500" i="1"/>
  <c r="AT500" i="1"/>
  <c r="AU500" i="1"/>
  <c r="AV500" i="1"/>
  <c r="AW500" i="1"/>
  <c r="AK501" i="1"/>
  <c r="AL501" i="1"/>
  <c r="AM501" i="1"/>
  <c r="AN501" i="1"/>
  <c r="AO501" i="1"/>
  <c r="AP501" i="1"/>
  <c r="AQ501" i="1"/>
  <c r="AR501" i="1"/>
  <c r="AS501" i="1"/>
  <c r="AT501" i="1"/>
  <c r="AU501" i="1"/>
  <c r="AV501" i="1"/>
  <c r="AW501" i="1"/>
  <c r="AK502" i="1"/>
  <c r="AL502" i="1"/>
  <c r="AM502" i="1"/>
  <c r="AN502" i="1"/>
  <c r="AO502" i="1"/>
  <c r="AP502" i="1"/>
  <c r="AQ502" i="1"/>
  <c r="AR502" i="1"/>
  <c r="AS502" i="1"/>
  <c r="AT502" i="1"/>
  <c r="AU502" i="1"/>
  <c r="AV502" i="1"/>
  <c r="AW502" i="1"/>
  <c r="AK503" i="1"/>
  <c r="AL503" i="1"/>
  <c r="AM503" i="1"/>
  <c r="AN503" i="1"/>
  <c r="AO503" i="1"/>
  <c r="AP503" i="1"/>
  <c r="AQ503" i="1"/>
  <c r="AR503" i="1"/>
  <c r="AS503" i="1"/>
  <c r="AT503" i="1"/>
  <c r="AU503" i="1"/>
  <c r="AV503" i="1"/>
  <c r="AW503" i="1"/>
  <c r="AK504" i="1"/>
  <c r="AL504" i="1"/>
  <c r="AM504" i="1"/>
  <c r="AN504" i="1"/>
  <c r="AO504" i="1"/>
  <c r="AP504" i="1"/>
  <c r="AQ504" i="1"/>
  <c r="AR504" i="1"/>
  <c r="AS504" i="1"/>
  <c r="AT504" i="1"/>
  <c r="AU504" i="1"/>
  <c r="AV504" i="1"/>
  <c r="AW504" i="1"/>
  <c r="AK505" i="1"/>
  <c r="AL505" i="1"/>
  <c r="AM505" i="1"/>
  <c r="AN505" i="1"/>
  <c r="AO505" i="1"/>
  <c r="AP505" i="1"/>
  <c r="AQ505" i="1"/>
  <c r="AR505" i="1"/>
  <c r="AS505" i="1"/>
  <c r="AT505" i="1"/>
  <c r="AU505" i="1"/>
  <c r="AV505" i="1"/>
  <c r="AW505" i="1"/>
  <c r="AK506" i="1"/>
  <c r="AL506" i="1"/>
  <c r="AM506" i="1"/>
  <c r="AN506" i="1"/>
  <c r="AO506" i="1"/>
  <c r="AP506" i="1"/>
  <c r="AQ506" i="1"/>
  <c r="AR506" i="1"/>
  <c r="AS506" i="1"/>
  <c r="AT506" i="1"/>
  <c r="AU506" i="1"/>
  <c r="AV506" i="1"/>
  <c r="AW506" i="1"/>
  <c r="AK507" i="1"/>
  <c r="AL507" i="1"/>
  <c r="AM507" i="1"/>
  <c r="AN507" i="1"/>
  <c r="AO507" i="1"/>
  <c r="AP507" i="1"/>
  <c r="AQ507" i="1"/>
  <c r="AR507" i="1"/>
  <c r="AS507" i="1"/>
  <c r="AT507" i="1"/>
  <c r="AU507" i="1"/>
  <c r="AV507" i="1"/>
  <c r="AW507" i="1"/>
  <c r="AK508" i="1"/>
  <c r="AL508" i="1"/>
  <c r="AM508" i="1"/>
  <c r="AN508" i="1"/>
  <c r="AO508" i="1"/>
  <c r="AP508" i="1"/>
  <c r="AQ508" i="1"/>
  <c r="AR508" i="1"/>
  <c r="AS508" i="1"/>
  <c r="AT508" i="1"/>
  <c r="AU508" i="1"/>
  <c r="AV508" i="1"/>
  <c r="AW508" i="1"/>
  <c r="AK509" i="1"/>
  <c r="AL509" i="1"/>
  <c r="AM509" i="1"/>
  <c r="AN509" i="1"/>
  <c r="AO509" i="1"/>
  <c r="AP509" i="1"/>
  <c r="AQ509" i="1"/>
  <c r="AR509" i="1"/>
  <c r="AS509" i="1"/>
  <c r="AT509" i="1"/>
  <c r="AU509" i="1"/>
  <c r="AV509" i="1"/>
  <c r="AW509" i="1"/>
  <c r="AK510" i="1"/>
  <c r="AL510" i="1"/>
  <c r="AM510" i="1"/>
  <c r="AN510" i="1"/>
  <c r="AO510" i="1"/>
  <c r="AP510" i="1"/>
  <c r="AQ510" i="1"/>
  <c r="AR510" i="1"/>
  <c r="AS510" i="1"/>
  <c r="AT510" i="1"/>
  <c r="AU510" i="1"/>
  <c r="AV510" i="1"/>
  <c r="AW510" i="1"/>
  <c r="AK511" i="1"/>
  <c r="AL511" i="1"/>
  <c r="AM511" i="1"/>
  <c r="AN511" i="1"/>
  <c r="AO511" i="1"/>
  <c r="AP511" i="1"/>
  <c r="AQ511" i="1"/>
  <c r="AR511" i="1"/>
  <c r="AS511" i="1"/>
  <c r="AT511" i="1"/>
  <c r="AU511" i="1"/>
  <c r="AV511" i="1"/>
  <c r="AW511" i="1"/>
  <c r="AK512" i="1"/>
  <c r="AL512" i="1"/>
  <c r="AM512" i="1"/>
  <c r="AN512" i="1"/>
  <c r="AO512" i="1"/>
  <c r="AP512" i="1"/>
  <c r="AQ512" i="1"/>
  <c r="AR512" i="1"/>
  <c r="AS512" i="1"/>
  <c r="AT512" i="1"/>
  <c r="AU512" i="1"/>
  <c r="AV512" i="1"/>
  <c r="AW512" i="1"/>
  <c r="AK513" i="1"/>
  <c r="AL513" i="1"/>
  <c r="AM513" i="1"/>
  <c r="AN513" i="1"/>
  <c r="AO513" i="1"/>
  <c r="AP513" i="1"/>
  <c r="AQ513" i="1"/>
  <c r="AR513" i="1"/>
  <c r="AS513" i="1"/>
  <c r="AT513" i="1"/>
  <c r="AU513" i="1"/>
  <c r="AV513" i="1"/>
  <c r="AW513" i="1"/>
  <c r="AK514" i="1"/>
  <c r="AL514" i="1"/>
  <c r="AM514" i="1"/>
  <c r="AN514" i="1"/>
  <c r="AO514" i="1"/>
  <c r="AP514" i="1"/>
  <c r="AQ514" i="1"/>
  <c r="AR514" i="1"/>
  <c r="AS514" i="1"/>
  <c r="AT514" i="1"/>
  <c r="AU514" i="1"/>
  <c r="AV514" i="1"/>
  <c r="AW514" i="1"/>
  <c r="AK515" i="1"/>
  <c r="AL515" i="1"/>
  <c r="AM515" i="1"/>
  <c r="AN515" i="1"/>
  <c r="AO515" i="1"/>
  <c r="AP515" i="1"/>
  <c r="AQ515" i="1"/>
  <c r="AR515" i="1"/>
  <c r="AS515" i="1"/>
  <c r="AT515" i="1"/>
  <c r="AU515" i="1"/>
  <c r="AV515" i="1"/>
  <c r="AW515" i="1"/>
  <c r="AK516" i="1"/>
  <c r="AL516" i="1"/>
  <c r="AM516" i="1"/>
  <c r="AN516" i="1"/>
  <c r="AO516" i="1"/>
  <c r="AP516" i="1"/>
  <c r="AQ516" i="1"/>
  <c r="AR516" i="1"/>
  <c r="AS516" i="1"/>
  <c r="AT516" i="1"/>
  <c r="AU516" i="1"/>
  <c r="AV516" i="1"/>
  <c r="AW516" i="1"/>
  <c r="AK517" i="1"/>
  <c r="AL517" i="1"/>
  <c r="AM517" i="1"/>
  <c r="AN517" i="1"/>
  <c r="AO517" i="1"/>
  <c r="AP517" i="1"/>
  <c r="AQ517" i="1"/>
  <c r="AR517" i="1"/>
  <c r="AS517" i="1"/>
  <c r="AT517" i="1"/>
  <c r="AU517" i="1"/>
  <c r="AV517" i="1"/>
  <c r="AW517" i="1"/>
  <c r="AK518" i="1"/>
  <c r="AL518" i="1"/>
  <c r="AM518" i="1"/>
  <c r="AN518" i="1"/>
  <c r="AO518" i="1"/>
  <c r="AP518" i="1"/>
  <c r="AQ518" i="1"/>
  <c r="AR518" i="1"/>
  <c r="AS518" i="1"/>
  <c r="AT518" i="1"/>
  <c r="AU518" i="1"/>
  <c r="AV518" i="1"/>
  <c r="AW518" i="1"/>
  <c r="AK519" i="1"/>
  <c r="AL519" i="1"/>
  <c r="AM519" i="1"/>
  <c r="AN519" i="1"/>
  <c r="AO519" i="1"/>
  <c r="AP519" i="1"/>
  <c r="AQ519" i="1"/>
  <c r="AR519" i="1"/>
  <c r="AS519" i="1"/>
  <c r="AT519" i="1"/>
  <c r="AU519" i="1"/>
  <c r="AV519" i="1"/>
  <c r="AW519" i="1"/>
  <c r="AK520" i="1"/>
  <c r="AL520" i="1"/>
  <c r="AM520" i="1"/>
  <c r="AN520" i="1"/>
  <c r="AO520" i="1"/>
  <c r="AP520" i="1"/>
  <c r="AQ520" i="1"/>
  <c r="AR520" i="1"/>
  <c r="AS520" i="1"/>
  <c r="AT520" i="1"/>
  <c r="AU520" i="1"/>
  <c r="AV520" i="1"/>
  <c r="AW520" i="1"/>
  <c r="AK521" i="1"/>
  <c r="AL521" i="1"/>
  <c r="AM521" i="1"/>
  <c r="AN521" i="1"/>
  <c r="AO521" i="1"/>
  <c r="AP521" i="1"/>
  <c r="AQ521" i="1"/>
  <c r="AR521" i="1"/>
  <c r="AS521" i="1"/>
  <c r="AT521" i="1"/>
  <c r="AU521" i="1"/>
  <c r="AV521" i="1"/>
  <c r="AW521" i="1"/>
  <c r="AK522" i="1"/>
  <c r="AL522" i="1"/>
  <c r="AM522" i="1"/>
  <c r="AN522" i="1"/>
  <c r="AO522" i="1"/>
  <c r="AP522" i="1"/>
  <c r="AQ522" i="1"/>
  <c r="AR522" i="1"/>
  <c r="AS522" i="1"/>
  <c r="AT522" i="1"/>
  <c r="AU522" i="1"/>
  <c r="AV522" i="1"/>
  <c r="AW522" i="1"/>
  <c r="AK523" i="1"/>
  <c r="AL523" i="1"/>
  <c r="AM523" i="1"/>
  <c r="AN523" i="1"/>
  <c r="AO523" i="1"/>
  <c r="AP523" i="1"/>
  <c r="AQ523" i="1"/>
  <c r="AR523" i="1"/>
  <c r="AS523" i="1"/>
  <c r="AT523" i="1"/>
  <c r="AU523" i="1"/>
  <c r="AV523" i="1"/>
  <c r="AW523" i="1"/>
  <c r="AK524" i="1"/>
  <c r="AL524" i="1"/>
  <c r="AM524" i="1"/>
  <c r="AN524" i="1"/>
  <c r="AO524" i="1"/>
  <c r="AP524" i="1"/>
  <c r="AQ524" i="1"/>
  <c r="AR524" i="1"/>
  <c r="AS524" i="1"/>
  <c r="AT524" i="1"/>
  <c r="AU524" i="1"/>
  <c r="AV524" i="1"/>
  <c r="AW524" i="1"/>
  <c r="AK525" i="1"/>
  <c r="AL525" i="1"/>
  <c r="AM525" i="1"/>
  <c r="AN525" i="1"/>
  <c r="AO525" i="1"/>
  <c r="AP525" i="1"/>
  <c r="AQ525" i="1"/>
  <c r="AR525" i="1"/>
  <c r="AS525" i="1"/>
  <c r="AT525" i="1"/>
  <c r="AU525" i="1"/>
  <c r="AV525" i="1"/>
  <c r="AW525" i="1"/>
  <c r="AK526" i="1"/>
  <c r="AL526" i="1"/>
  <c r="AM526" i="1"/>
  <c r="AN526" i="1"/>
  <c r="AO526" i="1"/>
  <c r="AP526" i="1"/>
  <c r="AQ526" i="1"/>
  <c r="AR526" i="1"/>
  <c r="AS526" i="1"/>
  <c r="AT526" i="1"/>
  <c r="AU526" i="1"/>
  <c r="AV526" i="1"/>
  <c r="AW526" i="1"/>
  <c r="AK527" i="1"/>
  <c r="AL527" i="1"/>
  <c r="AM527" i="1"/>
  <c r="AN527" i="1"/>
  <c r="AO527" i="1"/>
  <c r="AP527" i="1"/>
  <c r="AQ527" i="1"/>
  <c r="AR527" i="1"/>
  <c r="AS527" i="1"/>
  <c r="AT527" i="1"/>
  <c r="AU527" i="1"/>
  <c r="AV527" i="1"/>
  <c r="AW527" i="1"/>
  <c r="AK528" i="1"/>
  <c r="AL528" i="1"/>
  <c r="AM528" i="1"/>
  <c r="AN528" i="1"/>
  <c r="AO528" i="1"/>
  <c r="AP528" i="1"/>
  <c r="AQ528" i="1"/>
  <c r="AR528" i="1"/>
  <c r="AS528" i="1"/>
  <c r="AT528" i="1"/>
  <c r="AU528" i="1"/>
  <c r="AV528" i="1"/>
  <c r="AW528" i="1"/>
  <c r="AK529" i="1"/>
  <c r="AL529" i="1"/>
  <c r="AM529" i="1"/>
  <c r="AN529" i="1"/>
  <c r="AO529" i="1"/>
  <c r="AP529" i="1"/>
  <c r="AQ529" i="1"/>
  <c r="AR529" i="1"/>
  <c r="AS529" i="1"/>
  <c r="AT529" i="1"/>
  <c r="AU529" i="1"/>
  <c r="AV529" i="1"/>
  <c r="AW529" i="1"/>
  <c r="AK530" i="1"/>
  <c r="AL530" i="1"/>
  <c r="AM530" i="1"/>
  <c r="AN530" i="1"/>
  <c r="AO530" i="1"/>
  <c r="AP530" i="1"/>
  <c r="AQ530" i="1"/>
  <c r="AR530" i="1"/>
  <c r="AS530" i="1"/>
  <c r="AT530" i="1"/>
  <c r="AU530" i="1"/>
  <c r="AV530" i="1"/>
  <c r="AW530" i="1"/>
  <c r="AK531" i="1"/>
  <c r="AL531" i="1"/>
  <c r="AM531" i="1"/>
  <c r="AN531" i="1"/>
  <c r="AO531" i="1"/>
  <c r="AP531" i="1"/>
  <c r="AQ531" i="1"/>
  <c r="AR531" i="1"/>
  <c r="AS531" i="1"/>
  <c r="AT531" i="1"/>
  <c r="AU531" i="1"/>
  <c r="AV531" i="1"/>
  <c r="AW531" i="1"/>
  <c r="AK532" i="1"/>
  <c r="AL532" i="1"/>
  <c r="AM532" i="1"/>
  <c r="AN532" i="1"/>
  <c r="AO532" i="1"/>
  <c r="AP532" i="1"/>
  <c r="AQ532" i="1"/>
  <c r="AR532" i="1"/>
  <c r="AS532" i="1"/>
  <c r="AT532" i="1"/>
  <c r="AU532" i="1"/>
  <c r="AV532" i="1"/>
  <c r="AW532" i="1"/>
  <c r="AK533" i="1"/>
  <c r="AL533" i="1"/>
  <c r="AM533" i="1"/>
  <c r="AN533" i="1"/>
  <c r="AO533" i="1"/>
  <c r="AP533" i="1"/>
  <c r="AQ533" i="1"/>
  <c r="AR533" i="1"/>
  <c r="AS533" i="1"/>
  <c r="AT533" i="1"/>
  <c r="AU533" i="1"/>
  <c r="AV533" i="1"/>
  <c r="AW533" i="1"/>
  <c r="AK534" i="1"/>
  <c r="AL534" i="1"/>
  <c r="AM534" i="1"/>
  <c r="AN534" i="1"/>
  <c r="AO534" i="1"/>
  <c r="AP534" i="1"/>
  <c r="AQ534" i="1"/>
  <c r="AR534" i="1"/>
  <c r="AS534" i="1"/>
  <c r="AT534" i="1"/>
  <c r="AU534" i="1"/>
  <c r="AV534" i="1"/>
  <c r="AW534" i="1"/>
  <c r="AK535" i="1"/>
  <c r="AL535" i="1"/>
  <c r="AM535" i="1"/>
  <c r="AN535" i="1"/>
  <c r="AO535" i="1"/>
  <c r="AP535" i="1"/>
  <c r="AQ535" i="1"/>
  <c r="AR535" i="1"/>
  <c r="AS535" i="1"/>
  <c r="AT535" i="1"/>
  <c r="AU535" i="1"/>
  <c r="AV535" i="1"/>
  <c r="AW535" i="1"/>
  <c r="AK536" i="1"/>
  <c r="AL536" i="1"/>
  <c r="AM536" i="1"/>
  <c r="AN536" i="1"/>
  <c r="AO536" i="1"/>
  <c r="AP536" i="1"/>
  <c r="AQ536" i="1"/>
  <c r="AR536" i="1"/>
  <c r="AS536" i="1"/>
  <c r="AT536" i="1"/>
  <c r="AU536" i="1"/>
  <c r="AV536" i="1"/>
  <c r="AW536" i="1"/>
  <c r="AK537" i="1"/>
  <c r="AL537" i="1"/>
  <c r="AM537" i="1"/>
  <c r="AN537" i="1"/>
  <c r="AO537" i="1"/>
  <c r="AP537" i="1"/>
  <c r="AQ537" i="1"/>
  <c r="AR537" i="1"/>
  <c r="AS537" i="1"/>
  <c r="AT537" i="1"/>
  <c r="AU537" i="1"/>
  <c r="AV537" i="1"/>
  <c r="AW537" i="1"/>
  <c r="AK538" i="1"/>
  <c r="AL538" i="1"/>
  <c r="AM538" i="1"/>
  <c r="AN538" i="1"/>
  <c r="AO538" i="1"/>
  <c r="AP538" i="1"/>
  <c r="AQ538" i="1"/>
  <c r="AR538" i="1"/>
  <c r="AS538" i="1"/>
  <c r="AT538" i="1"/>
  <c r="AU538" i="1"/>
  <c r="AV538" i="1"/>
  <c r="AW538" i="1"/>
  <c r="AK539" i="1"/>
  <c r="AL539" i="1"/>
  <c r="AM539" i="1"/>
  <c r="AN539" i="1"/>
  <c r="AO539" i="1"/>
  <c r="AP539" i="1"/>
  <c r="AQ539" i="1"/>
  <c r="AR539" i="1"/>
  <c r="AS539" i="1"/>
  <c r="AT539" i="1"/>
  <c r="AU539" i="1"/>
  <c r="AV539" i="1"/>
  <c r="AW539" i="1"/>
  <c r="AK540" i="1"/>
  <c r="AL540" i="1"/>
  <c r="AM540" i="1"/>
  <c r="AN540" i="1"/>
  <c r="AO540" i="1"/>
  <c r="AP540" i="1"/>
  <c r="AQ540" i="1"/>
  <c r="AR540" i="1"/>
  <c r="AS540" i="1"/>
  <c r="AT540" i="1"/>
  <c r="AU540" i="1"/>
  <c r="AV540" i="1"/>
  <c r="AW540" i="1"/>
  <c r="AK541" i="1"/>
  <c r="AL541" i="1"/>
  <c r="AM541" i="1"/>
  <c r="AN541" i="1"/>
  <c r="AO541" i="1"/>
  <c r="AP541" i="1"/>
  <c r="AQ541" i="1"/>
  <c r="AR541" i="1"/>
  <c r="AS541" i="1"/>
  <c r="AT541" i="1"/>
  <c r="AU541" i="1"/>
  <c r="AV541" i="1"/>
  <c r="AW541" i="1"/>
  <c r="AK542" i="1"/>
  <c r="AL542" i="1"/>
  <c r="AM542" i="1"/>
  <c r="AN542" i="1"/>
  <c r="AO542" i="1"/>
  <c r="AP542" i="1"/>
  <c r="AQ542" i="1"/>
  <c r="AR542" i="1"/>
  <c r="AS542" i="1"/>
  <c r="AT542" i="1"/>
  <c r="AU542" i="1"/>
  <c r="AV542" i="1"/>
  <c r="AW542" i="1"/>
  <c r="AK543" i="1"/>
  <c r="AL543" i="1"/>
  <c r="AM543" i="1"/>
  <c r="AN543" i="1"/>
  <c r="AO543" i="1"/>
  <c r="AP543" i="1"/>
  <c r="AQ543" i="1"/>
  <c r="AR543" i="1"/>
  <c r="AS543" i="1"/>
  <c r="AT543" i="1"/>
  <c r="AU543" i="1"/>
  <c r="AV543" i="1"/>
  <c r="AW543" i="1"/>
  <c r="AK544" i="1"/>
  <c r="AL544" i="1"/>
  <c r="AM544" i="1"/>
  <c r="AN544" i="1"/>
  <c r="AO544" i="1"/>
  <c r="AP544" i="1"/>
  <c r="AQ544" i="1"/>
  <c r="AR544" i="1"/>
  <c r="AS544" i="1"/>
  <c r="AT544" i="1"/>
  <c r="AU544" i="1"/>
  <c r="AV544" i="1"/>
  <c r="AW544" i="1"/>
  <c r="AK545" i="1"/>
  <c r="AL545" i="1"/>
  <c r="AM545" i="1"/>
  <c r="AN545" i="1"/>
  <c r="AO545" i="1"/>
  <c r="AP545" i="1"/>
  <c r="AQ545" i="1"/>
  <c r="AR545" i="1"/>
  <c r="AS545" i="1"/>
  <c r="AT545" i="1"/>
  <c r="AU545" i="1"/>
  <c r="AV545" i="1"/>
  <c r="AW545" i="1"/>
  <c r="AK546" i="1"/>
  <c r="AL546" i="1"/>
  <c r="AM546" i="1"/>
  <c r="AN546" i="1"/>
  <c r="AO546" i="1"/>
  <c r="AP546" i="1"/>
  <c r="AQ546" i="1"/>
  <c r="AR546" i="1"/>
  <c r="AS546" i="1"/>
  <c r="AT546" i="1"/>
  <c r="AU546" i="1"/>
  <c r="AV546" i="1"/>
  <c r="AW546" i="1"/>
  <c r="AK547" i="1"/>
  <c r="AL547" i="1"/>
  <c r="AM547" i="1"/>
  <c r="AN547" i="1"/>
  <c r="AO547" i="1"/>
  <c r="AP547" i="1"/>
  <c r="AQ547" i="1"/>
  <c r="AR547" i="1"/>
  <c r="AS547" i="1"/>
  <c r="AT547" i="1"/>
  <c r="AU547" i="1"/>
  <c r="AV547" i="1"/>
  <c r="AW547" i="1"/>
  <c r="AK548" i="1"/>
  <c r="AL548" i="1"/>
  <c r="AM548" i="1"/>
  <c r="AN548" i="1"/>
  <c r="AO548" i="1"/>
  <c r="AP548" i="1"/>
  <c r="AQ548" i="1"/>
  <c r="AR548" i="1"/>
  <c r="AS548" i="1"/>
  <c r="AT548" i="1"/>
  <c r="AU548" i="1"/>
  <c r="AV548" i="1"/>
  <c r="AW548" i="1"/>
  <c r="AK549" i="1"/>
  <c r="AL549" i="1"/>
  <c r="AM549" i="1"/>
  <c r="AN549" i="1"/>
  <c r="AO549" i="1"/>
  <c r="AP549" i="1"/>
  <c r="AQ549" i="1"/>
  <c r="AR549" i="1"/>
  <c r="AS549" i="1"/>
  <c r="AT549" i="1"/>
  <c r="AU549" i="1"/>
  <c r="AV549" i="1"/>
  <c r="AW549" i="1"/>
  <c r="AK550" i="1"/>
  <c r="AL550" i="1"/>
  <c r="AM550" i="1"/>
  <c r="AN550" i="1"/>
  <c r="AO550" i="1"/>
  <c r="AP550" i="1"/>
  <c r="AQ550" i="1"/>
  <c r="AR550" i="1"/>
  <c r="AS550" i="1"/>
  <c r="AT550" i="1"/>
  <c r="AU550" i="1"/>
  <c r="AV550" i="1"/>
  <c r="AW550" i="1"/>
  <c r="AK551" i="1"/>
  <c r="AL551" i="1"/>
  <c r="AM551" i="1"/>
  <c r="AN551" i="1"/>
  <c r="AO551" i="1"/>
  <c r="AP551" i="1"/>
  <c r="AQ551" i="1"/>
  <c r="AR551" i="1"/>
  <c r="AS551" i="1"/>
  <c r="AT551" i="1"/>
  <c r="AU551" i="1"/>
  <c r="AV551" i="1"/>
  <c r="AW551" i="1"/>
  <c r="AK552" i="1"/>
  <c r="AL552" i="1"/>
  <c r="AM552" i="1"/>
  <c r="AN552" i="1"/>
  <c r="AO552" i="1"/>
  <c r="AP552" i="1"/>
  <c r="AQ552" i="1"/>
  <c r="AR552" i="1"/>
  <c r="AS552" i="1"/>
  <c r="AT552" i="1"/>
  <c r="AU552" i="1"/>
  <c r="AV552" i="1"/>
  <c r="AW552" i="1"/>
  <c r="AK553" i="1"/>
  <c r="AL553" i="1"/>
  <c r="AM553" i="1"/>
  <c r="AN553" i="1"/>
  <c r="AO553" i="1"/>
  <c r="AP553" i="1"/>
  <c r="AQ553" i="1"/>
  <c r="AR553" i="1"/>
  <c r="AS553" i="1"/>
  <c r="AT553" i="1"/>
  <c r="AU553" i="1"/>
  <c r="AV553" i="1"/>
  <c r="AW553" i="1"/>
  <c r="AK554" i="1"/>
  <c r="AL554" i="1"/>
  <c r="AM554" i="1"/>
  <c r="AN554" i="1"/>
  <c r="AO554" i="1"/>
  <c r="AP554" i="1"/>
  <c r="AQ554" i="1"/>
  <c r="AR554" i="1"/>
  <c r="AS554" i="1"/>
  <c r="AT554" i="1"/>
  <c r="AU554" i="1"/>
  <c r="AV554" i="1"/>
  <c r="AW554" i="1"/>
  <c r="AK555" i="1"/>
  <c r="AL555" i="1"/>
  <c r="AM555" i="1"/>
  <c r="AN555" i="1"/>
  <c r="AO555" i="1"/>
  <c r="AP555" i="1"/>
  <c r="AQ555" i="1"/>
  <c r="AR555" i="1"/>
  <c r="AS555" i="1"/>
  <c r="AT555" i="1"/>
  <c r="AU555" i="1"/>
  <c r="AV555" i="1"/>
  <c r="AW555" i="1"/>
  <c r="AK556" i="1"/>
  <c r="AL556" i="1"/>
  <c r="AM556" i="1"/>
  <c r="AN556" i="1"/>
  <c r="AO556" i="1"/>
  <c r="AP556" i="1"/>
  <c r="AQ556" i="1"/>
  <c r="AR556" i="1"/>
  <c r="AS556" i="1"/>
  <c r="AT556" i="1"/>
  <c r="AU556" i="1"/>
  <c r="AV556" i="1"/>
  <c r="AW556" i="1"/>
  <c r="AK557" i="1"/>
  <c r="AL557" i="1"/>
  <c r="AM557" i="1"/>
  <c r="AN557" i="1"/>
  <c r="AO557" i="1"/>
  <c r="AP557" i="1"/>
  <c r="AQ557" i="1"/>
  <c r="AR557" i="1"/>
  <c r="AS557" i="1"/>
  <c r="AT557" i="1"/>
  <c r="AU557" i="1"/>
  <c r="AV557" i="1"/>
  <c r="AW557" i="1"/>
  <c r="AK558" i="1"/>
  <c r="AL558" i="1"/>
  <c r="AM558" i="1"/>
  <c r="AN558" i="1"/>
  <c r="AO558" i="1"/>
  <c r="AP558" i="1"/>
  <c r="AQ558" i="1"/>
  <c r="AR558" i="1"/>
  <c r="AS558" i="1"/>
  <c r="AT558" i="1"/>
  <c r="AU558" i="1"/>
  <c r="AV558" i="1"/>
  <c r="AW558" i="1"/>
  <c r="AK559" i="1"/>
  <c r="AL559" i="1"/>
  <c r="AM559" i="1"/>
  <c r="AN559" i="1"/>
  <c r="AO559" i="1"/>
  <c r="AP559" i="1"/>
  <c r="AQ559" i="1"/>
  <c r="AR559" i="1"/>
  <c r="AS559" i="1"/>
  <c r="AT559" i="1"/>
  <c r="AU559" i="1"/>
  <c r="AV559" i="1"/>
  <c r="AW559" i="1"/>
  <c r="AK560" i="1"/>
  <c r="AL560" i="1"/>
  <c r="AM560" i="1"/>
  <c r="AN560" i="1"/>
  <c r="AO560" i="1"/>
  <c r="AP560" i="1"/>
  <c r="AQ560" i="1"/>
  <c r="AR560" i="1"/>
  <c r="AS560" i="1"/>
  <c r="AT560" i="1"/>
  <c r="AU560" i="1"/>
  <c r="AV560" i="1"/>
  <c r="AW560" i="1"/>
  <c r="AK561" i="1"/>
  <c r="AL561" i="1"/>
  <c r="AM561" i="1"/>
  <c r="AN561" i="1"/>
  <c r="AO561" i="1"/>
  <c r="AP561" i="1"/>
  <c r="AQ561" i="1"/>
  <c r="AR561" i="1"/>
  <c r="AS561" i="1"/>
  <c r="AT561" i="1"/>
  <c r="AU561" i="1"/>
  <c r="AV561" i="1"/>
  <c r="AW561" i="1"/>
  <c r="AK562" i="1"/>
  <c r="AL562" i="1"/>
  <c r="AM562" i="1"/>
  <c r="AN562" i="1"/>
  <c r="AO562" i="1"/>
  <c r="AP562" i="1"/>
  <c r="AQ562" i="1"/>
  <c r="AR562" i="1"/>
  <c r="AS562" i="1"/>
  <c r="AT562" i="1"/>
  <c r="AU562" i="1"/>
  <c r="AV562" i="1"/>
  <c r="AW562" i="1"/>
  <c r="AK563" i="1"/>
  <c r="AL563" i="1"/>
  <c r="AM563" i="1"/>
  <c r="AN563" i="1"/>
  <c r="AO563" i="1"/>
  <c r="AP563" i="1"/>
  <c r="AQ563" i="1"/>
  <c r="AR563" i="1"/>
  <c r="AS563" i="1"/>
  <c r="AT563" i="1"/>
  <c r="AU563" i="1"/>
  <c r="AV563" i="1"/>
  <c r="AW563" i="1"/>
  <c r="AK564" i="1"/>
  <c r="AL564" i="1"/>
  <c r="AM564" i="1"/>
  <c r="AN564" i="1"/>
  <c r="AO564" i="1"/>
  <c r="AP564" i="1"/>
  <c r="AQ564" i="1"/>
  <c r="AR564" i="1"/>
  <c r="AS564" i="1"/>
  <c r="AT564" i="1"/>
  <c r="AU564" i="1"/>
  <c r="AV564" i="1"/>
  <c r="AW564" i="1"/>
  <c r="AK565" i="1"/>
  <c r="AL565" i="1"/>
  <c r="AM565" i="1"/>
  <c r="AN565" i="1"/>
  <c r="AO565" i="1"/>
  <c r="AP565" i="1"/>
  <c r="AQ565" i="1"/>
  <c r="AR565" i="1"/>
  <c r="AS565" i="1"/>
  <c r="AT565" i="1"/>
  <c r="AU565" i="1"/>
  <c r="AV565" i="1"/>
  <c r="AW565" i="1"/>
  <c r="AK566" i="1"/>
  <c r="AL566" i="1"/>
  <c r="AM566" i="1"/>
  <c r="AN566" i="1"/>
  <c r="AO566" i="1"/>
  <c r="AP566" i="1"/>
  <c r="AQ566" i="1"/>
  <c r="AR566" i="1"/>
  <c r="AS566" i="1"/>
  <c r="AT566" i="1"/>
  <c r="AU566" i="1"/>
  <c r="AV566" i="1"/>
  <c r="AW566" i="1"/>
  <c r="AK567" i="1"/>
  <c r="AL567" i="1"/>
  <c r="AM567" i="1"/>
  <c r="AN567" i="1"/>
  <c r="AO567" i="1"/>
  <c r="AP567" i="1"/>
  <c r="AQ567" i="1"/>
  <c r="AR567" i="1"/>
  <c r="AS567" i="1"/>
  <c r="AT567" i="1"/>
  <c r="AU567" i="1"/>
  <c r="AV567" i="1"/>
  <c r="AW567" i="1"/>
  <c r="AK568" i="1"/>
  <c r="AL568" i="1"/>
  <c r="AM568" i="1"/>
  <c r="AN568" i="1"/>
  <c r="AO568" i="1"/>
  <c r="AP568" i="1"/>
  <c r="AQ568" i="1"/>
  <c r="AR568" i="1"/>
  <c r="AS568" i="1"/>
  <c r="AT568" i="1"/>
  <c r="AU568" i="1"/>
  <c r="AV568" i="1"/>
  <c r="AW568" i="1"/>
  <c r="AK569" i="1"/>
  <c r="AL569" i="1"/>
  <c r="AM569" i="1"/>
  <c r="AN569" i="1"/>
  <c r="AO569" i="1"/>
  <c r="AP569" i="1"/>
  <c r="AQ569" i="1"/>
  <c r="AR569" i="1"/>
  <c r="AS569" i="1"/>
  <c r="AT569" i="1"/>
  <c r="AU569" i="1"/>
  <c r="AV569" i="1"/>
  <c r="AW569" i="1"/>
  <c r="AK570" i="1"/>
  <c r="AL570" i="1"/>
  <c r="AM570" i="1"/>
  <c r="AN570" i="1"/>
  <c r="AO570" i="1"/>
  <c r="AP570" i="1"/>
  <c r="AQ570" i="1"/>
  <c r="AR570" i="1"/>
  <c r="AS570" i="1"/>
  <c r="AT570" i="1"/>
  <c r="AU570" i="1"/>
  <c r="AV570" i="1"/>
  <c r="AW570" i="1"/>
  <c r="AK571" i="1"/>
  <c r="AL571" i="1"/>
  <c r="AM571" i="1"/>
  <c r="AN571" i="1"/>
  <c r="AO571" i="1"/>
  <c r="AP571" i="1"/>
  <c r="AQ571" i="1"/>
  <c r="AR571" i="1"/>
  <c r="AS571" i="1"/>
  <c r="AT571" i="1"/>
  <c r="AU571" i="1"/>
  <c r="AV571" i="1"/>
  <c r="AW571" i="1"/>
  <c r="AK572" i="1"/>
  <c r="AL572" i="1"/>
  <c r="AM572" i="1"/>
  <c r="AN572" i="1"/>
  <c r="AO572" i="1"/>
  <c r="AP572" i="1"/>
  <c r="AQ572" i="1"/>
  <c r="AR572" i="1"/>
  <c r="AS572" i="1"/>
  <c r="AT572" i="1"/>
  <c r="AU572" i="1"/>
  <c r="AV572" i="1"/>
  <c r="AW572" i="1"/>
  <c r="AK573" i="1"/>
  <c r="AL573" i="1"/>
  <c r="AM573" i="1"/>
  <c r="AN573" i="1"/>
  <c r="AO573" i="1"/>
  <c r="AP573" i="1"/>
  <c r="AQ573" i="1"/>
  <c r="AR573" i="1"/>
  <c r="AS573" i="1"/>
  <c r="AT573" i="1"/>
  <c r="AU573" i="1"/>
  <c r="AV573" i="1"/>
  <c r="AW573" i="1"/>
  <c r="AK574" i="1"/>
  <c r="AL574" i="1"/>
  <c r="AM574" i="1"/>
  <c r="AN574" i="1"/>
  <c r="AO574" i="1"/>
  <c r="AP574" i="1"/>
  <c r="AQ574" i="1"/>
  <c r="AR574" i="1"/>
  <c r="AS574" i="1"/>
  <c r="AT574" i="1"/>
  <c r="AU574" i="1"/>
  <c r="AV574" i="1"/>
  <c r="AW574" i="1"/>
  <c r="AK575" i="1"/>
  <c r="AL575" i="1"/>
  <c r="AM575" i="1"/>
  <c r="AN575" i="1"/>
  <c r="AO575" i="1"/>
  <c r="AP575" i="1"/>
  <c r="AQ575" i="1"/>
  <c r="AR575" i="1"/>
  <c r="AS575" i="1"/>
  <c r="AT575" i="1"/>
  <c r="AU575" i="1"/>
  <c r="AV575" i="1"/>
  <c r="AW575" i="1"/>
  <c r="AK576" i="1"/>
  <c r="AL576" i="1"/>
  <c r="AM576" i="1"/>
  <c r="AN576" i="1"/>
  <c r="AO576" i="1"/>
  <c r="AP576" i="1"/>
  <c r="AQ576" i="1"/>
  <c r="AR576" i="1"/>
  <c r="AS576" i="1"/>
  <c r="AT576" i="1"/>
  <c r="AU576" i="1"/>
  <c r="AV576" i="1"/>
  <c r="AW576" i="1"/>
  <c r="AK577" i="1"/>
  <c r="AL577" i="1"/>
  <c r="AM577" i="1"/>
  <c r="AN577" i="1"/>
  <c r="AO577" i="1"/>
  <c r="AP577" i="1"/>
  <c r="AQ577" i="1"/>
  <c r="AR577" i="1"/>
  <c r="AS577" i="1"/>
  <c r="AT577" i="1"/>
  <c r="AU577" i="1"/>
  <c r="AV577" i="1"/>
  <c r="AW577" i="1"/>
  <c r="AK578" i="1"/>
  <c r="AL578" i="1"/>
  <c r="AM578" i="1"/>
  <c r="AN578" i="1"/>
  <c r="AO578" i="1"/>
  <c r="AP578" i="1"/>
  <c r="AQ578" i="1"/>
  <c r="AR578" i="1"/>
  <c r="AS578" i="1"/>
  <c r="AT578" i="1"/>
  <c r="AU578" i="1"/>
  <c r="AV578" i="1"/>
  <c r="AW578" i="1"/>
  <c r="AK579" i="1"/>
  <c r="AL579" i="1"/>
  <c r="AM579" i="1"/>
  <c r="AN579" i="1"/>
  <c r="AO579" i="1"/>
  <c r="AP579" i="1"/>
  <c r="AQ579" i="1"/>
  <c r="AR579" i="1"/>
  <c r="AS579" i="1"/>
  <c r="AT579" i="1"/>
  <c r="AU579" i="1"/>
  <c r="AV579" i="1"/>
  <c r="AW579" i="1"/>
  <c r="AK580" i="1"/>
  <c r="AL580" i="1"/>
  <c r="AM580" i="1"/>
  <c r="AN580" i="1"/>
  <c r="AO580" i="1"/>
  <c r="AP580" i="1"/>
  <c r="AQ580" i="1"/>
  <c r="AR580" i="1"/>
  <c r="AS580" i="1"/>
  <c r="AT580" i="1"/>
  <c r="AU580" i="1"/>
  <c r="AV580" i="1"/>
  <c r="AW580" i="1"/>
  <c r="AK581" i="1"/>
  <c r="AL581" i="1"/>
  <c r="AM581" i="1"/>
  <c r="AN581" i="1"/>
  <c r="AO581" i="1"/>
  <c r="AP581" i="1"/>
  <c r="AQ581" i="1"/>
  <c r="AR581" i="1"/>
  <c r="AS581" i="1"/>
  <c r="AT581" i="1"/>
  <c r="AU581" i="1"/>
  <c r="AV581" i="1"/>
  <c r="AW581" i="1"/>
  <c r="AK582" i="1"/>
  <c r="AL582" i="1"/>
  <c r="AM582" i="1"/>
  <c r="AN582" i="1"/>
  <c r="AO582" i="1"/>
  <c r="AP582" i="1"/>
  <c r="AQ582" i="1"/>
  <c r="AR582" i="1"/>
  <c r="AS582" i="1"/>
  <c r="AT582" i="1"/>
  <c r="AU582" i="1"/>
  <c r="AV582" i="1"/>
  <c r="AW582" i="1"/>
  <c r="AK583" i="1"/>
  <c r="AL583" i="1"/>
  <c r="AM583" i="1"/>
  <c r="AN583" i="1"/>
  <c r="AO583" i="1"/>
  <c r="AP583" i="1"/>
  <c r="AQ583" i="1"/>
  <c r="AR583" i="1"/>
  <c r="AS583" i="1"/>
  <c r="AT583" i="1"/>
  <c r="AU583" i="1"/>
  <c r="AV583" i="1"/>
  <c r="AW583" i="1"/>
  <c r="AK584" i="1"/>
  <c r="AL584" i="1"/>
  <c r="AM584" i="1"/>
  <c r="AN584" i="1"/>
  <c r="AO584" i="1"/>
  <c r="AP584" i="1"/>
  <c r="AQ584" i="1"/>
  <c r="AR584" i="1"/>
  <c r="AS584" i="1"/>
  <c r="AT584" i="1"/>
  <c r="AU584" i="1"/>
  <c r="AV584" i="1"/>
  <c r="AW584" i="1"/>
  <c r="AK585" i="1"/>
  <c r="AL585" i="1"/>
  <c r="AM585" i="1"/>
  <c r="AN585" i="1"/>
  <c r="AO585" i="1"/>
  <c r="AP585" i="1"/>
  <c r="AQ585" i="1"/>
  <c r="AR585" i="1"/>
  <c r="AS585" i="1"/>
  <c r="AT585" i="1"/>
  <c r="AU585" i="1"/>
  <c r="AV585" i="1"/>
  <c r="AW585" i="1"/>
  <c r="AK586" i="1"/>
  <c r="AL586" i="1"/>
  <c r="AM586" i="1"/>
  <c r="AN586" i="1"/>
  <c r="AO586" i="1"/>
  <c r="AP586" i="1"/>
  <c r="AQ586" i="1"/>
  <c r="AR586" i="1"/>
  <c r="AS586" i="1"/>
  <c r="AT586" i="1"/>
  <c r="AU586" i="1"/>
  <c r="AV586" i="1"/>
  <c r="AW586" i="1"/>
  <c r="AK587" i="1"/>
  <c r="AL587" i="1"/>
  <c r="AM587" i="1"/>
  <c r="AN587" i="1"/>
  <c r="AO587" i="1"/>
  <c r="AP587" i="1"/>
  <c r="AQ587" i="1"/>
  <c r="AR587" i="1"/>
  <c r="AS587" i="1"/>
  <c r="AT587" i="1"/>
  <c r="AU587" i="1"/>
  <c r="AV587" i="1"/>
  <c r="AW587" i="1"/>
  <c r="AK588" i="1"/>
  <c r="AL588" i="1"/>
  <c r="AM588" i="1"/>
  <c r="AN588" i="1"/>
  <c r="AO588" i="1"/>
  <c r="AP588" i="1"/>
  <c r="AQ588" i="1"/>
  <c r="AR588" i="1"/>
  <c r="AS588" i="1"/>
  <c r="AT588" i="1"/>
  <c r="AU588" i="1"/>
  <c r="AV588" i="1"/>
  <c r="AW588" i="1"/>
  <c r="AK589" i="1"/>
  <c r="AL589" i="1"/>
  <c r="AM589" i="1"/>
  <c r="AN589" i="1"/>
  <c r="AO589" i="1"/>
  <c r="AP589" i="1"/>
  <c r="AQ589" i="1"/>
  <c r="AR589" i="1"/>
  <c r="AS589" i="1"/>
  <c r="AT589" i="1"/>
  <c r="AU589" i="1"/>
  <c r="AV589" i="1"/>
  <c r="AW589" i="1"/>
  <c r="AK590" i="1"/>
  <c r="AL590" i="1"/>
  <c r="AM590" i="1"/>
  <c r="AN590" i="1"/>
  <c r="AO590" i="1"/>
  <c r="AP590" i="1"/>
  <c r="AQ590" i="1"/>
  <c r="AR590" i="1"/>
  <c r="AS590" i="1"/>
  <c r="AT590" i="1"/>
  <c r="AU590" i="1"/>
  <c r="AV590" i="1"/>
  <c r="AW590" i="1"/>
  <c r="AK591" i="1"/>
  <c r="AL591" i="1"/>
  <c r="AM591" i="1"/>
  <c r="AN591" i="1"/>
  <c r="AO591" i="1"/>
  <c r="AP591" i="1"/>
  <c r="AQ591" i="1"/>
  <c r="AR591" i="1"/>
  <c r="AS591" i="1"/>
  <c r="AT591" i="1"/>
  <c r="AU591" i="1"/>
  <c r="AV591" i="1"/>
  <c r="AW591" i="1"/>
  <c r="AK592" i="1"/>
  <c r="AL592" i="1"/>
  <c r="AM592" i="1"/>
  <c r="AN592" i="1"/>
  <c r="AO592" i="1"/>
  <c r="AP592" i="1"/>
  <c r="AQ592" i="1"/>
  <c r="AR592" i="1"/>
  <c r="AS592" i="1"/>
  <c r="AT592" i="1"/>
  <c r="AU592" i="1"/>
  <c r="AV592" i="1"/>
  <c r="AW592" i="1"/>
  <c r="AK593" i="1"/>
  <c r="AL593" i="1"/>
  <c r="AM593" i="1"/>
  <c r="AN593" i="1"/>
  <c r="AO593" i="1"/>
  <c r="AP593" i="1"/>
  <c r="AQ593" i="1"/>
  <c r="AR593" i="1"/>
  <c r="AS593" i="1"/>
  <c r="AT593" i="1"/>
  <c r="AU593" i="1"/>
  <c r="AV593" i="1"/>
  <c r="AW593" i="1"/>
  <c r="AK594" i="1"/>
  <c r="AL594" i="1"/>
  <c r="AM594" i="1"/>
  <c r="AN594" i="1"/>
  <c r="AO594" i="1"/>
  <c r="AP594" i="1"/>
  <c r="AQ594" i="1"/>
  <c r="AR594" i="1"/>
  <c r="AS594" i="1"/>
  <c r="AT594" i="1"/>
  <c r="AU594" i="1"/>
  <c r="AV594" i="1"/>
  <c r="AW594" i="1"/>
  <c r="AK595" i="1"/>
  <c r="AL595" i="1"/>
  <c r="AM595" i="1"/>
  <c r="AN595" i="1"/>
  <c r="AO595" i="1"/>
  <c r="AP595" i="1"/>
  <c r="AQ595" i="1"/>
  <c r="AR595" i="1"/>
  <c r="AS595" i="1"/>
  <c r="AT595" i="1"/>
  <c r="AU595" i="1"/>
  <c r="AV595" i="1"/>
  <c r="AW595" i="1"/>
  <c r="AK596" i="1"/>
  <c r="AL596" i="1"/>
  <c r="AM596" i="1"/>
  <c r="AN596" i="1"/>
  <c r="AO596" i="1"/>
  <c r="AP596" i="1"/>
  <c r="AQ596" i="1"/>
  <c r="AR596" i="1"/>
  <c r="AS596" i="1"/>
  <c r="AT596" i="1"/>
  <c r="AU596" i="1"/>
  <c r="AV596" i="1"/>
  <c r="AW596" i="1"/>
  <c r="AK597" i="1"/>
  <c r="AL597" i="1"/>
  <c r="AM597" i="1"/>
  <c r="AN597" i="1"/>
  <c r="AO597" i="1"/>
  <c r="AP597" i="1"/>
  <c r="AQ597" i="1"/>
  <c r="AR597" i="1"/>
  <c r="AS597" i="1"/>
  <c r="AT597" i="1"/>
  <c r="AU597" i="1"/>
  <c r="AV597" i="1"/>
  <c r="AW597" i="1"/>
  <c r="AK598" i="1"/>
  <c r="AL598" i="1"/>
  <c r="AM598" i="1"/>
  <c r="AN598" i="1"/>
  <c r="AO598" i="1"/>
  <c r="AP598" i="1"/>
  <c r="AQ598" i="1"/>
  <c r="AR598" i="1"/>
  <c r="AS598" i="1"/>
  <c r="AT598" i="1"/>
  <c r="AU598" i="1"/>
  <c r="AV598" i="1"/>
  <c r="AW598" i="1"/>
  <c r="AK599" i="1"/>
  <c r="AL599" i="1"/>
  <c r="AM599" i="1"/>
  <c r="AN599" i="1"/>
  <c r="AO599" i="1"/>
  <c r="AP599" i="1"/>
  <c r="AQ599" i="1"/>
  <c r="AR599" i="1"/>
  <c r="AS599" i="1"/>
  <c r="AT599" i="1"/>
  <c r="AU599" i="1"/>
  <c r="AV599" i="1"/>
  <c r="AW599" i="1"/>
  <c r="AK600" i="1"/>
  <c r="AL600" i="1"/>
  <c r="AM600" i="1"/>
  <c r="AN600" i="1"/>
  <c r="AO600" i="1"/>
  <c r="AP600" i="1"/>
  <c r="AQ600" i="1"/>
  <c r="AR600" i="1"/>
  <c r="AS600" i="1"/>
  <c r="AT600" i="1"/>
  <c r="AU600" i="1"/>
  <c r="AV600" i="1"/>
  <c r="AW600" i="1"/>
  <c r="AK601" i="1"/>
  <c r="AL601" i="1"/>
  <c r="AM601" i="1"/>
  <c r="AN601" i="1"/>
  <c r="AO601" i="1"/>
  <c r="AP601" i="1"/>
  <c r="AQ601" i="1"/>
  <c r="AR601" i="1"/>
  <c r="AS601" i="1"/>
  <c r="AT601" i="1"/>
  <c r="AU601" i="1"/>
  <c r="AV601" i="1"/>
  <c r="AW601" i="1"/>
  <c r="AK602" i="1"/>
  <c r="AL602" i="1"/>
  <c r="AM602" i="1"/>
  <c r="AN602" i="1"/>
  <c r="AO602" i="1"/>
  <c r="AP602" i="1"/>
  <c r="AQ602" i="1"/>
  <c r="AR602" i="1"/>
  <c r="AS602" i="1"/>
  <c r="AT602" i="1"/>
  <c r="AU602" i="1"/>
  <c r="AV602" i="1"/>
  <c r="AW602" i="1"/>
  <c r="AK603" i="1"/>
  <c r="AL603" i="1"/>
  <c r="AM603" i="1"/>
  <c r="AN603" i="1"/>
  <c r="AO603" i="1"/>
  <c r="AP603" i="1"/>
  <c r="AQ603" i="1"/>
  <c r="AR603" i="1"/>
  <c r="AS603" i="1"/>
  <c r="AT603" i="1"/>
  <c r="AU603" i="1"/>
  <c r="AV603" i="1"/>
  <c r="AW603" i="1"/>
  <c r="AK604" i="1"/>
  <c r="AL604" i="1"/>
  <c r="AM604" i="1"/>
  <c r="AN604" i="1"/>
  <c r="AO604" i="1"/>
  <c r="AP604" i="1"/>
  <c r="AQ604" i="1"/>
  <c r="AR604" i="1"/>
  <c r="AS604" i="1"/>
  <c r="AT604" i="1"/>
  <c r="AU604" i="1"/>
  <c r="AV604" i="1"/>
  <c r="AW604" i="1"/>
  <c r="AK605" i="1"/>
  <c r="AL605" i="1"/>
  <c r="AM605" i="1"/>
  <c r="AN605" i="1"/>
  <c r="AO605" i="1"/>
  <c r="AP605" i="1"/>
  <c r="AQ605" i="1"/>
  <c r="AR605" i="1"/>
  <c r="AS605" i="1"/>
  <c r="AT605" i="1"/>
  <c r="AU605" i="1"/>
  <c r="AV605" i="1"/>
  <c r="AW605" i="1"/>
  <c r="AK606" i="1"/>
  <c r="AL606" i="1"/>
  <c r="AM606" i="1"/>
  <c r="AN606" i="1"/>
  <c r="AO606" i="1"/>
  <c r="AP606" i="1"/>
  <c r="AQ606" i="1"/>
  <c r="AR606" i="1"/>
  <c r="AS606" i="1"/>
  <c r="AT606" i="1"/>
  <c r="AU606" i="1"/>
  <c r="AV606" i="1"/>
  <c r="AW606" i="1"/>
  <c r="AK607" i="1"/>
  <c r="AL607" i="1"/>
  <c r="AM607" i="1"/>
  <c r="AN607" i="1"/>
  <c r="AO607" i="1"/>
  <c r="AP607" i="1"/>
  <c r="AQ607" i="1"/>
  <c r="AR607" i="1"/>
  <c r="AS607" i="1"/>
  <c r="AT607" i="1"/>
  <c r="AU607" i="1"/>
  <c r="AV607" i="1"/>
  <c r="AW607" i="1"/>
  <c r="AK608" i="1"/>
  <c r="AL608" i="1"/>
  <c r="AM608" i="1"/>
  <c r="AN608" i="1"/>
  <c r="AO608" i="1"/>
  <c r="AP608" i="1"/>
  <c r="AQ608" i="1"/>
  <c r="AR608" i="1"/>
  <c r="AS608" i="1"/>
  <c r="AT608" i="1"/>
  <c r="AU608" i="1"/>
  <c r="AV608" i="1"/>
  <c r="AW608" i="1"/>
  <c r="AK609" i="1"/>
  <c r="AL609" i="1"/>
  <c r="AM609" i="1"/>
  <c r="AN609" i="1"/>
  <c r="AO609" i="1"/>
  <c r="AP609" i="1"/>
  <c r="AQ609" i="1"/>
  <c r="AR609" i="1"/>
  <c r="AS609" i="1"/>
  <c r="AT609" i="1"/>
  <c r="AU609" i="1"/>
  <c r="AV609" i="1"/>
  <c r="AW609" i="1"/>
  <c r="AK610" i="1"/>
  <c r="AL610" i="1"/>
  <c r="AM610" i="1"/>
  <c r="AN610" i="1"/>
  <c r="AO610" i="1"/>
  <c r="AP610" i="1"/>
  <c r="AQ610" i="1"/>
  <c r="AR610" i="1"/>
  <c r="AS610" i="1"/>
  <c r="AT610" i="1"/>
  <c r="AU610" i="1"/>
  <c r="AV610" i="1"/>
  <c r="AW610" i="1"/>
  <c r="AK611" i="1"/>
  <c r="AL611" i="1"/>
  <c r="AM611" i="1"/>
  <c r="AN611" i="1"/>
  <c r="AO611" i="1"/>
  <c r="AP611" i="1"/>
  <c r="AQ611" i="1"/>
  <c r="AR611" i="1"/>
  <c r="AS611" i="1"/>
  <c r="AT611" i="1"/>
  <c r="AU611" i="1"/>
  <c r="AV611" i="1"/>
  <c r="AW611" i="1"/>
  <c r="AK612" i="1"/>
  <c r="AL612" i="1"/>
  <c r="AM612" i="1"/>
  <c r="AN612" i="1"/>
  <c r="AO612" i="1"/>
  <c r="AP612" i="1"/>
  <c r="AQ612" i="1"/>
  <c r="AR612" i="1"/>
  <c r="AS612" i="1"/>
  <c r="AT612" i="1"/>
  <c r="AU612" i="1"/>
  <c r="AV612" i="1"/>
  <c r="AW612" i="1"/>
  <c r="AK613" i="1"/>
  <c r="AL613" i="1"/>
  <c r="AM613" i="1"/>
  <c r="AN613" i="1"/>
  <c r="AO613" i="1"/>
  <c r="AP613" i="1"/>
  <c r="AQ613" i="1"/>
  <c r="AR613" i="1"/>
  <c r="AS613" i="1"/>
  <c r="AT613" i="1"/>
  <c r="AU613" i="1"/>
  <c r="AV613" i="1"/>
  <c r="AW613" i="1"/>
  <c r="AK614" i="1"/>
  <c r="AL614" i="1"/>
  <c r="AM614" i="1"/>
  <c r="AN614" i="1"/>
  <c r="AO614" i="1"/>
  <c r="AP614" i="1"/>
  <c r="AQ614" i="1"/>
  <c r="AR614" i="1"/>
  <c r="AS614" i="1"/>
  <c r="AT614" i="1"/>
  <c r="AU614" i="1"/>
  <c r="AV614" i="1"/>
  <c r="AW614" i="1"/>
  <c r="AK615" i="1"/>
  <c r="AL615" i="1"/>
  <c r="AM615" i="1"/>
  <c r="AN615" i="1"/>
  <c r="AO615" i="1"/>
  <c r="AP615" i="1"/>
  <c r="AQ615" i="1"/>
  <c r="AR615" i="1"/>
  <c r="AS615" i="1"/>
  <c r="AT615" i="1"/>
  <c r="AU615" i="1"/>
  <c r="AV615" i="1"/>
  <c r="AW615" i="1"/>
  <c r="AK616" i="1"/>
  <c r="AL616" i="1"/>
  <c r="AM616" i="1"/>
  <c r="AN616" i="1"/>
  <c r="AO616" i="1"/>
  <c r="AP616" i="1"/>
  <c r="AQ616" i="1"/>
  <c r="AR616" i="1"/>
  <c r="AS616" i="1"/>
  <c r="AT616" i="1"/>
  <c r="AU616" i="1"/>
  <c r="AV616" i="1"/>
  <c r="AW616" i="1"/>
  <c r="AK617" i="1"/>
  <c r="AL617" i="1"/>
  <c r="AM617" i="1"/>
  <c r="AN617" i="1"/>
  <c r="AO617" i="1"/>
  <c r="AP617" i="1"/>
  <c r="AQ617" i="1"/>
  <c r="AR617" i="1"/>
  <c r="AS617" i="1"/>
  <c r="AT617" i="1"/>
  <c r="AU617" i="1"/>
  <c r="AV617" i="1"/>
  <c r="AW617" i="1"/>
  <c r="AK618" i="1"/>
  <c r="AL618" i="1"/>
  <c r="AM618" i="1"/>
  <c r="AN618" i="1"/>
  <c r="AO618" i="1"/>
  <c r="AP618" i="1"/>
  <c r="AQ618" i="1"/>
  <c r="AR618" i="1"/>
  <c r="AS618" i="1"/>
  <c r="AT618" i="1"/>
  <c r="AU618" i="1"/>
  <c r="AV618" i="1"/>
  <c r="AW618" i="1"/>
  <c r="AK619" i="1"/>
  <c r="AL619" i="1"/>
  <c r="AM619" i="1"/>
  <c r="AN619" i="1"/>
  <c r="AO619" i="1"/>
  <c r="AP619" i="1"/>
  <c r="AQ619" i="1"/>
  <c r="AR619" i="1"/>
  <c r="AS619" i="1"/>
  <c r="AT619" i="1"/>
  <c r="AU619" i="1"/>
  <c r="AV619" i="1"/>
  <c r="AW619" i="1"/>
  <c r="AK620" i="1"/>
  <c r="AL620" i="1"/>
  <c r="AM620" i="1"/>
  <c r="AN620" i="1"/>
  <c r="AO620" i="1"/>
  <c r="AP620" i="1"/>
  <c r="AQ620" i="1"/>
  <c r="AR620" i="1"/>
  <c r="AS620" i="1"/>
  <c r="AT620" i="1"/>
  <c r="AU620" i="1"/>
  <c r="AV620" i="1"/>
  <c r="AW620" i="1"/>
  <c r="AK621" i="1"/>
  <c r="AL621" i="1"/>
  <c r="AM621" i="1"/>
  <c r="AN621" i="1"/>
  <c r="AO621" i="1"/>
  <c r="AP621" i="1"/>
  <c r="AQ621" i="1"/>
  <c r="AR621" i="1"/>
  <c r="AS621" i="1"/>
  <c r="AT621" i="1"/>
  <c r="AU621" i="1"/>
  <c r="AV621" i="1"/>
  <c r="AW621" i="1"/>
  <c r="AK622" i="1"/>
  <c r="AL622" i="1"/>
  <c r="AM622" i="1"/>
  <c r="AN622" i="1"/>
  <c r="AO622" i="1"/>
  <c r="AP622" i="1"/>
  <c r="AQ622" i="1"/>
  <c r="AR622" i="1"/>
  <c r="AS622" i="1"/>
  <c r="AT622" i="1"/>
  <c r="AU622" i="1"/>
  <c r="AV622" i="1"/>
  <c r="AW622" i="1"/>
  <c r="AK623" i="1"/>
  <c r="AL623" i="1"/>
  <c r="AM623" i="1"/>
  <c r="AN623" i="1"/>
  <c r="AO623" i="1"/>
  <c r="AP623" i="1"/>
  <c r="AQ623" i="1"/>
  <c r="AR623" i="1"/>
  <c r="AS623" i="1"/>
  <c r="AT623" i="1"/>
  <c r="AU623" i="1"/>
  <c r="AV623" i="1"/>
  <c r="AW623" i="1"/>
  <c r="AK624" i="1"/>
  <c r="AL624" i="1"/>
  <c r="AM624" i="1"/>
  <c r="AN624" i="1"/>
  <c r="AO624" i="1"/>
  <c r="AP624" i="1"/>
  <c r="AQ624" i="1"/>
  <c r="AR624" i="1"/>
  <c r="AS624" i="1"/>
  <c r="AT624" i="1"/>
  <c r="AU624" i="1"/>
  <c r="AV624" i="1"/>
  <c r="AW624" i="1"/>
  <c r="AK625" i="1"/>
  <c r="AL625" i="1"/>
  <c r="AM625" i="1"/>
  <c r="AN625" i="1"/>
  <c r="AO625" i="1"/>
  <c r="AP625" i="1"/>
  <c r="AQ625" i="1"/>
  <c r="AR625" i="1"/>
  <c r="AS625" i="1"/>
  <c r="AT625" i="1"/>
  <c r="AU625" i="1"/>
  <c r="AV625" i="1"/>
  <c r="AW625" i="1"/>
  <c r="AK626" i="1"/>
  <c r="AL626" i="1"/>
  <c r="AM626" i="1"/>
  <c r="AN626" i="1"/>
  <c r="AO626" i="1"/>
  <c r="AP626" i="1"/>
  <c r="AQ626" i="1"/>
  <c r="AR626" i="1"/>
  <c r="AS626" i="1"/>
  <c r="AT626" i="1"/>
  <c r="AU626" i="1"/>
  <c r="AV626" i="1"/>
  <c r="AW626" i="1"/>
  <c r="AK627" i="1"/>
  <c r="AL627" i="1"/>
  <c r="AM627" i="1"/>
  <c r="AN627" i="1"/>
  <c r="AO627" i="1"/>
  <c r="AP627" i="1"/>
  <c r="AQ627" i="1"/>
  <c r="AR627" i="1"/>
  <c r="AS627" i="1"/>
  <c r="AT627" i="1"/>
  <c r="AU627" i="1"/>
  <c r="AV627" i="1"/>
  <c r="AW627" i="1"/>
  <c r="AK628" i="1"/>
  <c r="AL628" i="1"/>
  <c r="AM628" i="1"/>
  <c r="AN628" i="1"/>
  <c r="AO628" i="1"/>
  <c r="AP628" i="1"/>
  <c r="AQ628" i="1"/>
  <c r="AR628" i="1"/>
  <c r="AS628" i="1"/>
  <c r="AT628" i="1"/>
  <c r="AU628" i="1"/>
  <c r="AV628" i="1"/>
  <c r="AW628" i="1"/>
  <c r="AK629" i="1"/>
  <c r="AL629" i="1"/>
  <c r="AM629" i="1"/>
  <c r="AN629" i="1"/>
  <c r="AO629" i="1"/>
  <c r="AP629" i="1"/>
  <c r="AQ629" i="1"/>
  <c r="AR629" i="1"/>
  <c r="AS629" i="1"/>
  <c r="AT629" i="1"/>
  <c r="AU629" i="1"/>
  <c r="AV629" i="1"/>
  <c r="AW629" i="1"/>
  <c r="AK630" i="1"/>
  <c r="AL630" i="1"/>
  <c r="AM630" i="1"/>
  <c r="AN630" i="1"/>
  <c r="AO630" i="1"/>
  <c r="AP630" i="1"/>
  <c r="AQ630" i="1"/>
  <c r="AR630" i="1"/>
  <c r="AS630" i="1"/>
  <c r="AT630" i="1"/>
  <c r="AU630" i="1"/>
  <c r="AV630" i="1"/>
  <c r="AW630" i="1"/>
  <c r="AK631" i="1"/>
  <c r="AL631" i="1"/>
  <c r="AM631" i="1"/>
  <c r="AN631" i="1"/>
  <c r="AO631" i="1"/>
  <c r="AP631" i="1"/>
  <c r="AQ631" i="1"/>
  <c r="AR631" i="1"/>
  <c r="AS631" i="1"/>
  <c r="AT631" i="1"/>
  <c r="AU631" i="1"/>
  <c r="AV631" i="1"/>
  <c r="AW631" i="1"/>
  <c r="AK632" i="1"/>
  <c r="AL632" i="1"/>
  <c r="AM632" i="1"/>
  <c r="AN632" i="1"/>
  <c r="AO632" i="1"/>
  <c r="AP632" i="1"/>
  <c r="AQ632" i="1"/>
  <c r="AR632" i="1"/>
  <c r="AS632" i="1"/>
  <c r="AT632" i="1"/>
  <c r="AU632" i="1"/>
  <c r="AV632" i="1"/>
  <c r="AW632" i="1"/>
  <c r="AK633" i="1"/>
  <c r="AL633" i="1"/>
  <c r="AM633" i="1"/>
  <c r="AN633" i="1"/>
  <c r="AO633" i="1"/>
  <c r="AP633" i="1"/>
  <c r="AQ633" i="1"/>
  <c r="AR633" i="1"/>
  <c r="AS633" i="1"/>
  <c r="AT633" i="1"/>
  <c r="AU633" i="1"/>
  <c r="AV633" i="1"/>
  <c r="AW633" i="1"/>
  <c r="AK634" i="1"/>
  <c r="AL634" i="1"/>
  <c r="AM634" i="1"/>
  <c r="AN634" i="1"/>
  <c r="AO634" i="1"/>
  <c r="AP634" i="1"/>
  <c r="AQ634" i="1"/>
  <c r="AR634" i="1"/>
  <c r="AS634" i="1"/>
  <c r="AT634" i="1"/>
  <c r="AU634" i="1"/>
  <c r="AV634" i="1"/>
  <c r="AW634" i="1"/>
  <c r="AK635" i="1"/>
  <c r="AL635" i="1"/>
  <c r="AM635" i="1"/>
  <c r="AN635" i="1"/>
  <c r="AO635" i="1"/>
  <c r="AP635" i="1"/>
  <c r="AQ635" i="1"/>
  <c r="AR635" i="1"/>
  <c r="AS635" i="1"/>
  <c r="AT635" i="1"/>
  <c r="AU635" i="1"/>
  <c r="AV635" i="1"/>
  <c r="AW635" i="1"/>
  <c r="AK636" i="1"/>
  <c r="AL636" i="1"/>
  <c r="AM636" i="1"/>
  <c r="AN636" i="1"/>
  <c r="AO636" i="1"/>
  <c r="AP636" i="1"/>
  <c r="AQ636" i="1"/>
  <c r="AR636" i="1"/>
  <c r="AS636" i="1"/>
  <c r="AT636" i="1"/>
  <c r="AU636" i="1"/>
  <c r="AV636" i="1"/>
  <c r="AW636" i="1"/>
  <c r="AK637" i="1"/>
  <c r="AL637" i="1"/>
  <c r="AM637" i="1"/>
  <c r="AN637" i="1"/>
  <c r="AO637" i="1"/>
  <c r="AP637" i="1"/>
  <c r="AQ637" i="1"/>
  <c r="AR637" i="1"/>
  <c r="AS637" i="1"/>
  <c r="AT637" i="1"/>
  <c r="AU637" i="1"/>
  <c r="AV637" i="1"/>
  <c r="AW637" i="1"/>
  <c r="AK638" i="1"/>
  <c r="AL638" i="1"/>
  <c r="AM638" i="1"/>
  <c r="AN638" i="1"/>
  <c r="AO638" i="1"/>
  <c r="AP638" i="1"/>
  <c r="AQ638" i="1"/>
  <c r="AR638" i="1"/>
  <c r="AS638" i="1"/>
  <c r="AT638" i="1"/>
  <c r="AU638" i="1"/>
  <c r="AV638" i="1"/>
  <c r="AW638" i="1"/>
  <c r="AK639" i="1"/>
  <c r="AL639" i="1"/>
  <c r="AM639" i="1"/>
  <c r="AN639" i="1"/>
  <c r="AO639" i="1"/>
  <c r="AP639" i="1"/>
  <c r="AQ639" i="1"/>
  <c r="AR639" i="1"/>
  <c r="AS639" i="1"/>
  <c r="AT639" i="1"/>
  <c r="AU639" i="1"/>
  <c r="AV639" i="1"/>
  <c r="AW639" i="1"/>
  <c r="AK640" i="1"/>
  <c r="AL640" i="1"/>
  <c r="AM640" i="1"/>
  <c r="AN640" i="1"/>
  <c r="AO640" i="1"/>
  <c r="AP640" i="1"/>
  <c r="AQ640" i="1"/>
  <c r="AR640" i="1"/>
  <c r="AS640" i="1"/>
  <c r="AT640" i="1"/>
  <c r="AU640" i="1"/>
  <c r="AV640" i="1"/>
  <c r="AW640" i="1"/>
  <c r="AK641" i="1"/>
  <c r="AL641" i="1"/>
  <c r="AM641" i="1"/>
  <c r="AN641" i="1"/>
  <c r="AO641" i="1"/>
  <c r="AP641" i="1"/>
  <c r="AQ641" i="1"/>
  <c r="AR641" i="1"/>
  <c r="AS641" i="1"/>
  <c r="AT641" i="1"/>
  <c r="AU641" i="1"/>
  <c r="AV641" i="1"/>
  <c r="AW641" i="1"/>
  <c r="AK642" i="1"/>
  <c r="AL642" i="1"/>
  <c r="AM642" i="1"/>
  <c r="AN642" i="1"/>
  <c r="AO642" i="1"/>
  <c r="AP642" i="1"/>
  <c r="AQ642" i="1"/>
  <c r="AR642" i="1"/>
  <c r="AS642" i="1"/>
  <c r="AT642" i="1"/>
  <c r="AU642" i="1"/>
  <c r="AV642" i="1"/>
  <c r="AW642" i="1"/>
  <c r="AK643" i="1"/>
  <c r="AL643" i="1"/>
  <c r="AM643" i="1"/>
  <c r="AN643" i="1"/>
  <c r="AO643" i="1"/>
  <c r="AP643" i="1"/>
  <c r="AQ643" i="1"/>
  <c r="AR643" i="1"/>
  <c r="AS643" i="1"/>
  <c r="AT643" i="1"/>
  <c r="AU643" i="1"/>
  <c r="AV643" i="1"/>
  <c r="AW643" i="1"/>
  <c r="AK644" i="1"/>
  <c r="AL644" i="1"/>
  <c r="AM644" i="1"/>
  <c r="AN644" i="1"/>
  <c r="AO644" i="1"/>
  <c r="AP644" i="1"/>
  <c r="AQ644" i="1"/>
  <c r="AR644" i="1"/>
  <c r="AS644" i="1"/>
  <c r="AT644" i="1"/>
  <c r="AU644" i="1"/>
  <c r="AV644" i="1"/>
  <c r="AW644" i="1"/>
  <c r="AK645" i="1"/>
  <c r="AL645" i="1"/>
  <c r="AM645" i="1"/>
  <c r="AN645" i="1"/>
  <c r="AO645" i="1"/>
  <c r="AP645" i="1"/>
  <c r="AQ645" i="1"/>
  <c r="AR645" i="1"/>
  <c r="AS645" i="1"/>
  <c r="AT645" i="1"/>
  <c r="AU645" i="1"/>
  <c r="AV645" i="1"/>
  <c r="AW645" i="1"/>
  <c r="AK646" i="1"/>
  <c r="AL646" i="1"/>
  <c r="AM646" i="1"/>
  <c r="AN646" i="1"/>
  <c r="AO646" i="1"/>
  <c r="AP646" i="1"/>
  <c r="AQ646" i="1"/>
  <c r="AR646" i="1"/>
  <c r="AS646" i="1"/>
  <c r="AT646" i="1"/>
  <c r="AU646" i="1"/>
  <c r="AV646" i="1"/>
  <c r="AW646" i="1"/>
  <c r="AK647" i="1"/>
  <c r="AL647" i="1"/>
  <c r="AM647" i="1"/>
  <c r="AN647" i="1"/>
  <c r="AO647" i="1"/>
  <c r="AP647" i="1"/>
  <c r="AQ647" i="1"/>
  <c r="AR647" i="1"/>
  <c r="AS647" i="1"/>
  <c r="AT647" i="1"/>
  <c r="AU647" i="1"/>
  <c r="AV647" i="1"/>
  <c r="AW647" i="1"/>
  <c r="AK648" i="1"/>
  <c r="AL648" i="1"/>
  <c r="AM648" i="1"/>
  <c r="AN648" i="1"/>
  <c r="AO648" i="1"/>
  <c r="AP648" i="1"/>
  <c r="AQ648" i="1"/>
  <c r="AR648" i="1"/>
  <c r="AS648" i="1"/>
  <c r="AT648" i="1"/>
  <c r="AU648" i="1"/>
  <c r="AV648" i="1"/>
  <c r="AW648" i="1"/>
  <c r="AK649" i="1"/>
  <c r="AL649" i="1"/>
  <c r="AM649" i="1"/>
  <c r="AN649" i="1"/>
  <c r="AO649" i="1"/>
  <c r="AP649" i="1"/>
  <c r="AQ649" i="1"/>
  <c r="AR649" i="1"/>
  <c r="AS649" i="1"/>
  <c r="AT649" i="1"/>
  <c r="AU649" i="1"/>
  <c r="AV649" i="1"/>
  <c r="AW649" i="1"/>
  <c r="AK650" i="1"/>
  <c r="AL650" i="1"/>
  <c r="AM650" i="1"/>
  <c r="AN650" i="1"/>
  <c r="AO650" i="1"/>
  <c r="AP650" i="1"/>
  <c r="AQ650" i="1"/>
  <c r="AR650" i="1"/>
  <c r="AS650" i="1"/>
  <c r="AT650" i="1"/>
  <c r="AU650" i="1"/>
  <c r="AV650" i="1"/>
  <c r="AW650" i="1"/>
  <c r="AW2" i="1"/>
  <c r="AV2" i="1"/>
  <c r="AU2" i="1"/>
  <c r="AU653" i="1" s="1"/>
  <c r="AT2" i="1"/>
  <c r="AS2" i="1"/>
  <c r="AR2" i="1"/>
  <c r="AR653" i="1" s="1"/>
  <c r="AQ2" i="1"/>
  <c r="AP2" i="1"/>
  <c r="AO2" i="1"/>
  <c r="AO653" i="1" s="1"/>
  <c r="AN2" i="1"/>
  <c r="AM2" i="1"/>
  <c r="AL2" i="1"/>
  <c r="AL653" i="1" s="1"/>
  <c r="AK2" i="1"/>
  <c r="AD3" i="1"/>
  <c r="AE3" i="1"/>
  <c r="AF3" i="1"/>
  <c r="AG3" i="1"/>
  <c r="AH3" i="1"/>
  <c r="AI3" i="1"/>
  <c r="AJ3" i="1"/>
  <c r="AD4" i="1"/>
  <c r="AE4" i="1"/>
  <c r="AF4" i="1"/>
  <c r="AG4" i="1"/>
  <c r="AH4" i="1"/>
  <c r="AI4" i="1"/>
  <c r="AJ4" i="1"/>
  <c r="AD5" i="1"/>
  <c r="AE5" i="1"/>
  <c r="AF5" i="1"/>
  <c r="AG5" i="1"/>
  <c r="AH5" i="1"/>
  <c r="AI5" i="1"/>
  <c r="AJ5" i="1"/>
  <c r="AD6" i="1"/>
  <c r="AE6" i="1"/>
  <c r="AF6" i="1"/>
  <c r="AG6" i="1"/>
  <c r="AH6" i="1"/>
  <c r="AI6" i="1"/>
  <c r="AJ6" i="1"/>
  <c r="AD7" i="1"/>
  <c r="AE7" i="1"/>
  <c r="AF7" i="1"/>
  <c r="AG7" i="1"/>
  <c r="AH7" i="1"/>
  <c r="AI7" i="1"/>
  <c r="AJ7" i="1"/>
  <c r="AD8" i="1"/>
  <c r="AE8" i="1"/>
  <c r="AF8" i="1"/>
  <c r="AG8" i="1"/>
  <c r="AH8" i="1"/>
  <c r="AI8" i="1"/>
  <c r="AJ8" i="1"/>
  <c r="AD9" i="1"/>
  <c r="AE9" i="1"/>
  <c r="AF9" i="1"/>
  <c r="AG9" i="1"/>
  <c r="AH9" i="1"/>
  <c r="AI9" i="1"/>
  <c r="AJ9" i="1"/>
  <c r="AD10" i="1"/>
  <c r="AE10" i="1"/>
  <c r="AF10" i="1"/>
  <c r="AG10" i="1"/>
  <c r="AH10" i="1"/>
  <c r="AI10" i="1"/>
  <c r="AJ10" i="1"/>
  <c r="AD11" i="1"/>
  <c r="AE11" i="1"/>
  <c r="AF11" i="1"/>
  <c r="AG11" i="1"/>
  <c r="AH11" i="1"/>
  <c r="AI11" i="1"/>
  <c r="AJ11" i="1"/>
  <c r="AD12" i="1"/>
  <c r="AE12" i="1"/>
  <c r="AF12" i="1"/>
  <c r="AG12" i="1"/>
  <c r="AH12" i="1"/>
  <c r="AI12" i="1"/>
  <c r="AJ12" i="1"/>
  <c r="AD13" i="1"/>
  <c r="AE13" i="1"/>
  <c r="AF13" i="1"/>
  <c r="AG13" i="1"/>
  <c r="AH13" i="1"/>
  <c r="AI13" i="1"/>
  <c r="AJ13" i="1"/>
  <c r="AD14" i="1"/>
  <c r="AE14" i="1"/>
  <c r="AF14" i="1"/>
  <c r="AG14" i="1"/>
  <c r="AH14" i="1"/>
  <c r="AI14" i="1"/>
  <c r="AJ14" i="1"/>
  <c r="AD15" i="1"/>
  <c r="AE15" i="1"/>
  <c r="AF15" i="1"/>
  <c r="AG15" i="1"/>
  <c r="AH15" i="1"/>
  <c r="AI15" i="1"/>
  <c r="AJ15" i="1"/>
  <c r="AD16" i="1"/>
  <c r="AE16" i="1"/>
  <c r="AF16" i="1"/>
  <c r="AG16" i="1"/>
  <c r="AH16" i="1"/>
  <c r="AI16" i="1"/>
  <c r="AJ16" i="1"/>
  <c r="AD17" i="1"/>
  <c r="AE17" i="1"/>
  <c r="AF17" i="1"/>
  <c r="AG17" i="1"/>
  <c r="AH17" i="1"/>
  <c r="AI17" i="1"/>
  <c r="AJ17" i="1"/>
  <c r="AD18" i="1"/>
  <c r="AE18" i="1"/>
  <c r="AF18" i="1"/>
  <c r="AG18" i="1"/>
  <c r="AH18" i="1"/>
  <c r="AI18" i="1"/>
  <c r="AJ18" i="1"/>
  <c r="AD19" i="1"/>
  <c r="AE19" i="1"/>
  <c r="AF19" i="1"/>
  <c r="AG19" i="1"/>
  <c r="AH19" i="1"/>
  <c r="AI19" i="1"/>
  <c r="AJ19" i="1"/>
  <c r="AD20" i="1"/>
  <c r="AE20" i="1"/>
  <c r="AF20" i="1"/>
  <c r="AG20" i="1"/>
  <c r="AH20" i="1"/>
  <c r="AI20" i="1"/>
  <c r="AJ20" i="1"/>
  <c r="AD21" i="1"/>
  <c r="AE21" i="1"/>
  <c r="AF21" i="1"/>
  <c r="AG21" i="1"/>
  <c r="AH21" i="1"/>
  <c r="AI21" i="1"/>
  <c r="AJ21" i="1"/>
  <c r="AD22" i="1"/>
  <c r="AE22" i="1"/>
  <c r="AF22" i="1"/>
  <c r="AG22" i="1"/>
  <c r="AH22" i="1"/>
  <c r="AI22" i="1"/>
  <c r="AJ22" i="1"/>
  <c r="AD23" i="1"/>
  <c r="AE23" i="1"/>
  <c r="AF23" i="1"/>
  <c r="AG23" i="1"/>
  <c r="AH23" i="1"/>
  <c r="AI23" i="1"/>
  <c r="AJ23" i="1"/>
  <c r="AD24" i="1"/>
  <c r="AE24" i="1"/>
  <c r="AF24" i="1"/>
  <c r="AG24" i="1"/>
  <c r="AH24" i="1"/>
  <c r="AI24" i="1"/>
  <c r="AJ24" i="1"/>
  <c r="AD25" i="1"/>
  <c r="AE25" i="1"/>
  <c r="AF25" i="1"/>
  <c r="AG25" i="1"/>
  <c r="AH25" i="1"/>
  <c r="AI25" i="1"/>
  <c r="AJ25" i="1"/>
  <c r="AD26" i="1"/>
  <c r="AE26" i="1"/>
  <c r="AF26" i="1"/>
  <c r="AG26" i="1"/>
  <c r="AH26" i="1"/>
  <c r="AI26" i="1"/>
  <c r="AJ26" i="1"/>
  <c r="AD27" i="1"/>
  <c r="AE27" i="1"/>
  <c r="AF27" i="1"/>
  <c r="AG27" i="1"/>
  <c r="AH27" i="1"/>
  <c r="AI27" i="1"/>
  <c r="AJ27" i="1"/>
  <c r="AD28" i="1"/>
  <c r="AE28" i="1"/>
  <c r="AF28" i="1"/>
  <c r="AG28" i="1"/>
  <c r="AH28" i="1"/>
  <c r="AI28" i="1"/>
  <c r="AJ28" i="1"/>
  <c r="AD29" i="1"/>
  <c r="AE29" i="1"/>
  <c r="AF29" i="1"/>
  <c r="AG29" i="1"/>
  <c r="AH29" i="1"/>
  <c r="AI29" i="1"/>
  <c r="AJ29" i="1"/>
  <c r="AD30" i="1"/>
  <c r="AE30" i="1"/>
  <c r="AF30" i="1"/>
  <c r="AG30" i="1"/>
  <c r="AH30" i="1"/>
  <c r="AI30" i="1"/>
  <c r="AJ30" i="1"/>
  <c r="AD31" i="1"/>
  <c r="AE31" i="1"/>
  <c r="AF31" i="1"/>
  <c r="AG31" i="1"/>
  <c r="AH31" i="1"/>
  <c r="AI31" i="1"/>
  <c r="AJ31" i="1"/>
  <c r="AD32" i="1"/>
  <c r="AE32" i="1"/>
  <c r="AF32" i="1"/>
  <c r="AG32" i="1"/>
  <c r="AH32" i="1"/>
  <c r="AI32" i="1"/>
  <c r="AJ32" i="1"/>
  <c r="AD33" i="1"/>
  <c r="AE33" i="1"/>
  <c r="AF33" i="1"/>
  <c r="AG33" i="1"/>
  <c r="AH33" i="1"/>
  <c r="AI33" i="1"/>
  <c r="AJ33" i="1"/>
  <c r="AD34" i="1"/>
  <c r="AE34" i="1"/>
  <c r="AF34" i="1"/>
  <c r="AG34" i="1"/>
  <c r="AH34" i="1"/>
  <c r="AI34" i="1"/>
  <c r="AJ34" i="1"/>
  <c r="AD35" i="1"/>
  <c r="AE35" i="1"/>
  <c r="AF35" i="1"/>
  <c r="AG35" i="1"/>
  <c r="AH35" i="1"/>
  <c r="AI35" i="1"/>
  <c r="AJ35" i="1"/>
  <c r="AD36" i="1"/>
  <c r="AE36" i="1"/>
  <c r="AF36" i="1"/>
  <c r="AG36" i="1"/>
  <c r="AH36" i="1"/>
  <c r="AI36" i="1"/>
  <c r="AJ36" i="1"/>
  <c r="AD37" i="1"/>
  <c r="AE37" i="1"/>
  <c r="AF37" i="1"/>
  <c r="AG37" i="1"/>
  <c r="AH37" i="1"/>
  <c r="AI37" i="1"/>
  <c r="AJ37" i="1"/>
  <c r="AD38" i="1"/>
  <c r="AE38" i="1"/>
  <c r="AF38" i="1"/>
  <c r="AG38" i="1"/>
  <c r="AH38" i="1"/>
  <c r="AI38" i="1"/>
  <c r="AJ38" i="1"/>
  <c r="AD39" i="1"/>
  <c r="AE39" i="1"/>
  <c r="AF39" i="1"/>
  <c r="AG39" i="1"/>
  <c r="AH39" i="1"/>
  <c r="AI39" i="1"/>
  <c r="AJ39" i="1"/>
  <c r="AD40" i="1"/>
  <c r="AE40" i="1"/>
  <c r="AF40" i="1"/>
  <c r="AG40" i="1"/>
  <c r="AH40" i="1"/>
  <c r="AI40" i="1"/>
  <c r="AJ40" i="1"/>
  <c r="AD41" i="1"/>
  <c r="AE41" i="1"/>
  <c r="AF41" i="1"/>
  <c r="AG41" i="1"/>
  <c r="AH41" i="1"/>
  <c r="AI41" i="1"/>
  <c r="AJ41" i="1"/>
  <c r="AD42" i="1"/>
  <c r="AE42" i="1"/>
  <c r="AF42" i="1"/>
  <c r="AG42" i="1"/>
  <c r="AH42" i="1"/>
  <c r="AI42" i="1"/>
  <c r="AJ42" i="1"/>
  <c r="AD43" i="1"/>
  <c r="AE43" i="1"/>
  <c r="AF43" i="1"/>
  <c r="AG43" i="1"/>
  <c r="AH43" i="1"/>
  <c r="AI43" i="1"/>
  <c r="AJ43" i="1"/>
  <c r="AD44" i="1"/>
  <c r="AE44" i="1"/>
  <c r="AF44" i="1"/>
  <c r="AG44" i="1"/>
  <c r="AH44" i="1"/>
  <c r="AI44" i="1"/>
  <c r="AJ44" i="1"/>
  <c r="AD45" i="1"/>
  <c r="AE45" i="1"/>
  <c r="AF45" i="1"/>
  <c r="AG45" i="1"/>
  <c r="AH45" i="1"/>
  <c r="AI45" i="1"/>
  <c r="AJ45" i="1"/>
  <c r="AD46" i="1"/>
  <c r="AE46" i="1"/>
  <c r="AF46" i="1"/>
  <c r="AG46" i="1"/>
  <c r="AH46" i="1"/>
  <c r="AI46" i="1"/>
  <c r="AJ46" i="1"/>
  <c r="AD47" i="1"/>
  <c r="AE47" i="1"/>
  <c r="AF47" i="1"/>
  <c r="AG47" i="1"/>
  <c r="AH47" i="1"/>
  <c r="AI47" i="1"/>
  <c r="AJ47" i="1"/>
  <c r="AD48" i="1"/>
  <c r="AE48" i="1"/>
  <c r="AF48" i="1"/>
  <c r="AG48" i="1"/>
  <c r="AH48" i="1"/>
  <c r="AI48" i="1"/>
  <c r="AJ48" i="1"/>
  <c r="AD49" i="1"/>
  <c r="AE49" i="1"/>
  <c r="AF49" i="1"/>
  <c r="AG49" i="1"/>
  <c r="AH49" i="1"/>
  <c r="AI49" i="1"/>
  <c r="AJ49" i="1"/>
  <c r="AD50" i="1"/>
  <c r="AE50" i="1"/>
  <c r="AF50" i="1"/>
  <c r="AG50" i="1"/>
  <c r="AH50" i="1"/>
  <c r="AI50" i="1"/>
  <c r="AJ50" i="1"/>
  <c r="AD51" i="1"/>
  <c r="AE51" i="1"/>
  <c r="AF51" i="1"/>
  <c r="AG51" i="1"/>
  <c r="AH51" i="1"/>
  <c r="AI51" i="1"/>
  <c r="AJ51" i="1"/>
  <c r="AD52" i="1"/>
  <c r="AE52" i="1"/>
  <c r="AF52" i="1"/>
  <c r="AG52" i="1"/>
  <c r="AH52" i="1"/>
  <c r="AI52" i="1"/>
  <c r="AJ52" i="1"/>
  <c r="AD53" i="1"/>
  <c r="AE53" i="1"/>
  <c r="AF53" i="1"/>
  <c r="AG53" i="1"/>
  <c r="AH53" i="1"/>
  <c r="AI53" i="1"/>
  <c r="AJ53" i="1"/>
  <c r="AD54" i="1"/>
  <c r="AE54" i="1"/>
  <c r="AF54" i="1"/>
  <c r="AG54" i="1"/>
  <c r="AH54" i="1"/>
  <c r="AI54" i="1"/>
  <c r="AJ54" i="1"/>
  <c r="AD55" i="1"/>
  <c r="AE55" i="1"/>
  <c r="AF55" i="1"/>
  <c r="AG55" i="1"/>
  <c r="AH55" i="1"/>
  <c r="AI55" i="1"/>
  <c r="AJ55" i="1"/>
  <c r="AD56" i="1"/>
  <c r="AE56" i="1"/>
  <c r="AF56" i="1"/>
  <c r="AG56" i="1"/>
  <c r="AH56" i="1"/>
  <c r="AI56" i="1"/>
  <c r="AJ56" i="1"/>
  <c r="AD57" i="1"/>
  <c r="AE57" i="1"/>
  <c r="AF57" i="1"/>
  <c r="AG57" i="1"/>
  <c r="AH57" i="1"/>
  <c r="AI57" i="1"/>
  <c r="AJ57" i="1"/>
  <c r="AD58" i="1"/>
  <c r="AE58" i="1"/>
  <c r="AF58" i="1"/>
  <c r="AG58" i="1"/>
  <c r="AH58" i="1"/>
  <c r="AI58" i="1"/>
  <c r="AJ58" i="1"/>
  <c r="AD59" i="1"/>
  <c r="AE59" i="1"/>
  <c r="AF59" i="1"/>
  <c r="AG59" i="1"/>
  <c r="AH59" i="1"/>
  <c r="AI59" i="1"/>
  <c r="AJ59" i="1"/>
  <c r="AD60" i="1"/>
  <c r="AE60" i="1"/>
  <c r="AF60" i="1"/>
  <c r="AG60" i="1"/>
  <c r="AH60" i="1"/>
  <c r="AI60" i="1"/>
  <c r="AJ60" i="1"/>
  <c r="AD61" i="1"/>
  <c r="AE61" i="1"/>
  <c r="AF61" i="1"/>
  <c r="AG61" i="1"/>
  <c r="AH61" i="1"/>
  <c r="AI61" i="1"/>
  <c r="AJ61" i="1"/>
  <c r="AD62" i="1"/>
  <c r="AE62" i="1"/>
  <c r="AF62" i="1"/>
  <c r="AG62" i="1"/>
  <c r="AH62" i="1"/>
  <c r="AI62" i="1"/>
  <c r="AJ62" i="1"/>
  <c r="AD63" i="1"/>
  <c r="AE63" i="1"/>
  <c r="AF63" i="1"/>
  <c r="AG63" i="1"/>
  <c r="AH63" i="1"/>
  <c r="AI63" i="1"/>
  <c r="AJ63" i="1"/>
  <c r="AD64" i="1"/>
  <c r="AE64" i="1"/>
  <c r="AF64" i="1"/>
  <c r="AG64" i="1"/>
  <c r="AH64" i="1"/>
  <c r="AI64" i="1"/>
  <c r="AJ64" i="1"/>
  <c r="AD65" i="1"/>
  <c r="AE65" i="1"/>
  <c r="AF65" i="1"/>
  <c r="AG65" i="1"/>
  <c r="AH65" i="1"/>
  <c r="AI65" i="1"/>
  <c r="AJ65" i="1"/>
  <c r="AD66" i="1"/>
  <c r="AE66" i="1"/>
  <c r="AF66" i="1"/>
  <c r="AG66" i="1"/>
  <c r="AH66" i="1"/>
  <c r="AI66" i="1"/>
  <c r="AJ66" i="1"/>
  <c r="AD67" i="1"/>
  <c r="AE67" i="1"/>
  <c r="AF67" i="1"/>
  <c r="AG67" i="1"/>
  <c r="AH67" i="1"/>
  <c r="AI67" i="1"/>
  <c r="AJ67" i="1"/>
  <c r="AD68" i="1"/>
  <c r="AE68" i="1"/>
  <c r="AF68" i="1"/>
  <c r="AG68" i="1"/>
  <c r="AH68" i="1"/>
  <c r="AI68" i="1"/>
  <c r="AJ68" i="1"/>
  <c r="AD69" i="1"/>
  <c r="AE69" i="1"/>
  <c r="AF69" i="1"/>
  <c r="AG69" i="1"/>
  <c r="AH69" i="1"/>
  <c r="AI69" i="1"/>
  <c r="AJ69" i="1"/>
  <c r="AD70" i="1"/>
  <c r="AE70" i="1"/>
  <c r="AF70" i="1"/>
  <c r="AG70" i="1"/>
  <c r="AH70" i="1"/>
  <c r="AI70" i="1"/>
  <c r="AJ70" i="1"/>
  <c r="AD71" i="1"/>
  <c r="AE71" i="1"/>
  <c r="AF71" i="1"/>
  <c r="AG71" i="1"/>
  <c r="AH71" i="1"/>
  <c r="AI71" i="1"/>
  <c r="AJ71" i="1"/>
  <c r="AD72" i="1"/>
  <c r="AE72" i="1"/>
  <c r="AF72" i="1"/>
  <c r="AG72" i="1"/>
  <c r="AH72" i="1"/>
  <c r="AI72" i="1"/>
  <c r="AJ72" i="1"/>
  <c r="AD73" i="1"/>
  <c r="AE73" i="1"/>
  <c r="AF73" i="1"/>
  <c r="AG73" i="1"/>
  <c r="AH73" i="1"/>
  <c r="AI73" i="1"/>
  <c r="AJ73" i="1"/>
  <c r="AD74" i="1"/>
  <c r="AE74" i="1"/>
  <c r="AF74" i="1"/>
  <c r="AG74" i="1"/>
  <c r="AH74" i="1"/>
  <c r="AI74" i="1"/>
  <c r="AJ74" i="1"/>
  <c r="AD75" i="1"/>
  <c r="AE75" i="1"/>
  <c r="AF75" i="1"/>
  <c r="AG75" i="1"/>
  <c r="AH75" i="1"/>
  <c r="AI75" i="1"/>
  <c r="AJ75" i="1"/>
  <c r="AD76" i="1"/>
  <c r="AE76" i="1"/>
  <c r="AF76" i="1"/>
  <c r="AG76" i="1"/>
  <c r="AH76" i="1"/>
  <c r="AI76" i="1"/>
  <c r="AJ76" i="1"/>
  <c r="AD77" i="1"/>
  <c r="AE77" i="1"/>
  <c r="AF77" i="1"/>
  <c r="AG77" i="1"/>
  <c r="AH77" i="1"/>
  <c r="AI77" i="1"/>
  <c r="AJ77" i="1"/>
  <c r="AD78" i="1"/>
  <c r="AE78" i="1"/>
  <c r="AF78" i="1"/>
  <c r="AG78" i="1"/>
  <c r="AH78" i="1"/>
  <c r="AI78" i="1"/>
  <c r="AJ78" i="1"/>
  <c r="AD79" i="1"/>
  <c r="AE79" i="1"/>
  <c r="AF79" i="1"/>
  <c r="AG79" i="1"/>
  <c r="AH79" i="1"/>
  <c r="AI79" i="1"/>
  <c r="AJ79" i="1"/>
  <c r="AD80" i="1"/>
  <c r="AE80" i="1"/>
  <c r="AF80" i="1"/>
  <c r="AG80" i="1"/>
  <c r="AH80" i="1"/>
  <c r="AI80" i="1"/>
  <c r="AJ80" i="1"/>
  <c r="AD81" i="1"/>
  <c r="AE81" i="1"/>
  <c r="AF81" i="1"/>
  <c r="AG81" i="1"/>
  <c r="AH81" i="1"/>
  <c r="AI81" i="1"/>
  <c r="AJ81" i="1"/>
  <c r="AD82" i="1"/>
  <c r="AE82" i="1"/>
  <c r="AF82" i="1"/>
  <c r="AG82" i="1"/>
  <c r="AH82" i="1"/>
  <c r="AI82" i="1"/>
  <c r="AJ82" i="1"/>
  <c r="AD83" i="1"/>
  <c r="AE83" i="1"/>
  <c r="AF83" i="1"/>
  <c r="AG83" i="1"/>
  <c r="AH83" i="1"/>
  <c r="AI83" i="1"/>
  <c r="AJ83" i="1"/>
  <c r="AD84" i="1"/>
  <c r="AE84" i="1"/>
  <c r="AF84" i="1"/>
  <c r="AG84" i="1"/>
  <c r="AH84" i="1"/>
  <c r="AI84" i="1"/>
  <c r="AJ84" i="1"/>
  <c r="AD85" i="1"/>
  <c r="AE85" i="1"/>
  <c r="AF85" i="1"/>
  <c r="AG85" i="1"/>
  <c r="AH85" i="1"/>
  <c r="AI85" i="1"/>
  <c r="AJ85" i="1"/>
  <c r="AD86" i="1"/>
  <c r="AE86" i="1"/>
  <c r="AF86" i="1"/>
  <c r="AG86" i="1"/>
  <c r="AH86" i="1"/>
  <c r="AI86" i="1"/>
  <c r="AJ86" i="1"/>
  <c r="AD87" i="1"/>
  <c r="AE87" i="1"/>
  <c r="AF87" i="1"/>
  <c r="AG87" i="1"/>
  <c r="AH87" i="1"/>
  <c r="AI87" i="1"/>
  <c r="AJ87" i="1"/>
  <c r="AD88" i="1"/>
  <c r="AE88" i="1"/>
  <c r="AF88" i="1"/>
  <c r="AG88" i="1"/>
  <c r="AH88" i="1"/>
  <c r="AI88" i="1"/>
  <c r="AJ88" i="1"/>
  <c r="AD89" i="1"/>
  <c r="AE89" i="1"/>
  <c r="AF89" i="1"/>
  <c r="AG89" i="1"/>
  <c r="AH89" i="1"/>
  <c r="AI89" i="1"/>
  <c r="AJ89" i="1"/>
  <c r="AD90" i="1"/>
  <c r="AE90" i="1"/>
  <c r="AF90" i="1"/>
  <c r="AG90" i="1"/>
  <c r="AH90" i="1"/>
  <c r="AI90" i="1"/>
  <c r="AJ90" i="1"/>
  <c r="AD91" i="1"/>
  <c r="AE91" i="1"/>
  <c r="AF91" i="1"/>
  <c r="AG91" i="1"/>
  <c r="AH91" i="1"/>
  <c r="AI91" i="1"/>
  <c r="AJ91" i="1"/>
  <c r="AD92" i="1"/>
  <c r="AE92" i="1"/>
  <c r="AF92" i="1"/>
  <c r="AG92" i="1"/>
  <c r="AH92" i="1"/>
  <c r="AI92" i="1"/>
  <c r="AJ92" i="1"/>
  <c r="AD93" i="1"/>
  <c r="AE93" i="1"/>
  <c r="AF93" i="1"/>
  <c r="AG93" i="1"/>
  <c r="AH93" i="1"/>
  <c r="AI93" i="1"/>
  <c r="AJ93" i="1"/>
  <c r="AD94" i="1"/>
  <c r="AE94" i="1"/>
  <c r="AF94" i="1"/>
  <c r="AG94" i="1"/>
  <c r="AH94" i="1"/>
  <c r="AI94" i="1"/>
  <c r="AJ94" i="1"/>
  <c r="AD95" i="1"/>
  <c r="AE95" i="1"/>
  <c r="AF95" i="1"/>
  <c r="AG95" i="1"/>
  <c r="AH95" i="1"/>
  <c r="AI95" i="1"/>
  <c r="AJ95" i="1"/>
  <c r="AD96" i="1"/>
  <c r="AE96" i="1"/>
  <c r="AF96" i="1"/>
  <c r="AG96" i="1"/>
  <c r="AH96" i="1"/>
  <c r="AI96" i="1"/>
  <c r="AJ96" i="1"/>
  <c r="AD97" i="1"/>
  <c r="AE97" i="1"/>
  <c r="AF97" i="1"/>
  <c r="AG97" i="1"/>
  <c r="AH97" i="1"/>
  <c r="AI97" i="1"/>
  <c r="AJ97" i="1"/>
  <c r="AD98" i="1"/>
  <c r="AE98" i="1"/>
  <c r="AF98" i="1"/>
  <c r="AG98" i="1"/>
  <c r="AH98" i="1"/>
  <c r="AI98" i="1"/>
  <c r="AJ98" i="1"/>
  <c r="AD99" i="1"/>
  <c r="AE99" i="1"/>
  <c r="AF99" i="1"/>
  <c r="AG99" i="1"/>
  <c r="AH99" i="1"/>
  <c r="AI99" i="1"/>
  <c r="AJ99" i="1"/>
  <c r="AD100" i="1"/>
  <c r="AE100" i="1"/>
  <c r="AF100" i="1"/>
  <c r="AG100" i="1"/>
  <c r="AH100" i="1"/>
  <c r="AI100" i="1"/>
  <c r="AJ100" i="1"/>
  <c r="AD101" i="1"/>
  <c r="AE101" i="1"/>
  <c r="AF101" i="1"/>
  <c r="AG101" i="1"/>
  <c r="AH101" i="1"/>
  <c r="AI101" i="1"/>
  <c r="AJ101" i="1"/>
  <c r="AD102" i="1"/>
  <c r="AE102" i="1"/>
  <c r="AF102" i="1"/>
  <c r="AG102" i="1"/>
  <c r="AH102" i="1"/>
  <c r="AI102" i="1"/>
  <c r="AJ102" i="1"/>
  <c r="AD103" i="1"/>
  <c r="AE103" i="1"/>
  <c r="AF103" i="1"/>
  <c r="AG103" i="1"/>
  <c r="AH103" i="1"/>
  <c r="AI103" i="1"/>
  <c r="AJ103" i="1"/>
  <c r="AD104" i="1"/>
  <c r="AE104" i="1"/>
  <c r="AF104" i="1"/>
  <c r="AG104" i="1"/>
  <c r="AH104" i="1"/>
  <c r="AI104" i="1"/>
  <c r="AJ104" i="1"/>
  <c r="AD105" i="1"/>
  <c r="AE105" i="1"/>
  <c r="AF105" i="1"/>
  <c r="AG105" i="1"/>
  <c r="AH105" i="1"/>
  <c r="AI105" i="1"/>
  <c r="AJ105" i="1"/>
  <c r="AD106" i="1"/>
  <c r="AE106" i="1"/>
  <c r="AF106" i="1"/>
  <c r="AG106" i="1"/>
  <c r="AH106" i="1"/>
  <c r="AI106" i="1"/>
  <c r="AJ106" i="1"/>
  <c r="AD107" i="1"/>
  <c r="AE107" i="1"/>
  <c r="AF107" i="1"/>
  <c r="AG107" i="1"/>
  <c r="AH107" i="1"/>
  <c r="AI107" i="1"/>
  <c r="AJ107" i="1"/>
  <c r="AD108" i="1"/>
  <c r="AE108" i="1"/>
  <c r="AF108" i="1"/>
  <c r="AG108" i="1"/>
  <c r="AH108" i="1"/>
  <c r="AI108" i="1"/>
  <c r="AJ108" i="1"/>
  <c r="AD109" i="1"/>
  <c r="AE109" i="1"/>
  <c r="AF109" i="1"/>
  <c r="AG109" i="1"/>
  <c r="AH109" i="1"/>
  <c r="AI109" i="1"/>
  <c r="AJ109" i="1"/>
  <c r="AD110" i="1"/>
  <c r="AE110" i="1"/>
  <c r="AF110" i="1"/>
  <c r="AG110" i="1"/>
  <c r="AH110" i="1"/>
  <c r="AI110" i="1"/>
  <c r="AJ110" i="1"/>
  <c r="AD111" i="1"/>
  <c r="AE111" i="1"/>
  <c r="AF111" i="1"/>
  <c r="AG111" i="1"/>
  <c r="AH111" i="1"/>
  <c r="AI111" i="1"/>
  <c r="AJ111" i="1"/>
  <c r="AD112" i="1"/>
  <c r="AE112" i="1"/>
  <c r="AF112" i="1"/>
  <c r="AG112" i="1"/>
  <c r="AH112" i="1"/>
  <c r="AI112" i="1"/>
  <c r="AJ112" i="1"/>
  <c r="AD113" i="1"/>
  <c r="AE113" i="1"/>
  <c r="AF113" i="1"/>
  <c r="AG113" i="1"/>
  <c r="AH113" i="1"/>
  <c r="AI113" i="1"/>
  <c r="AJ113" i="1"/>
  <c r="AD114" i="1"/>
  <c r="AE114" i="1"/>
  <c r="AF114" i="1"/>
  <c r="AG114" i="1"/>
  <c r="AH114" i="1"/>
  <c r="AI114" i="1"/>
  <c r="AJ114" i="1"/>
  <c r="AD115" i="1"/>
  <c r="AE115" i="1"/>
  <c r="AF115" i="1"/>
  <c r="AG115" i="1"/>
  <c r="AH115" i="1"/>
  <c r="AI115" i="1"/>
  <c r="AJ115" i="1"/>
  <c r="AD116" i="1"/>
  <c r="AE116" i="1"/>
  <c r="AF116" i="1"/>
  <c r="AG116" i="1"/>
  <c r="AH116" i="1"/>
  <c r="AI116" i="1"/>
  <c r="AJ116" i="1"/>
  <c r="AD117" i="1"/>
  <c r="AE117" i="1"/>
  <c r="AF117" i="1"/>
  <c r="AG117" i="1"/>
  <c r="AH117" i="1"/>
  <c r="AI117" i="1"/>
  <c r="AJ117" i="1"/>
  <c r="AD118" i="1"/>
  <c r="AE118" i="1"/>
  <c r="AF118" i="1"/>
  <c r="AG118" i="1"/>
  <c r="AH118" i="1"/>
  <c r="AI118" i="1"/>
  <c r="AJ118" i="1"/>
  <c r="AD119" i="1"/>
  <c r="AE119" i="1"/>
  <c r="AF119" i="1"/>
  <c r="AG119" i="1"/>
  <c r="AH119" i="1"/>
  <c r="AI119" i="1"/>
  <c r="AJ119" i="1"/>
  <c r="AD120" i="1"/>
  <c r="AE120" i="1"/>
  <c r="AF120" i="1"/>
  <c r="AG120" i="1"/>
  <c r="AH120" i="1"/>
  <c r="AI120" i="1"/>
  <c r="AJ120" i="1"/>
  <c r="AD121" i="1"/>
  <c r="AE121" i="1"/>
  <c r="AF121" i="1"/>
  <c r="AG121" i="1"/>
  <c r="AH121" i="1"/>
  <c r="AI121" i="1"/>
  <c r="AJ121" i="1"/>
  <c r="AD122" i="1"/>
  <c r="AE122" i="1"/>
  <c r="AF122" i="1"/>
  <c r="AG122" i="1"/>
  <c r="AH122" i="1"/>
  <c r="AI122" i="1"/>
  <c r="AJ122" i="1"/>
  <c r="AD123" i="1"/>
  <c r="AE123" i="1"/>
  <c r="AF123" i="1"/>
  <c r="AG123" i="1"/>
  <c r="AH123" i="1"/>
  <c r="AI123" i="1"/>
  <c r="AJ123" i="1"/>
  <c r="AD124" i="1"/>
  <c r="AE124" i="1"/>
  <c r="AF124" i="1"/>
  <c r="AG124" i="1"/>
  <c r="AH124" i="1"/>
  <c r="AI124" i="1"/>
  <c r="AJ124" i="1"/>
  <c r="AD125" i="1"/>
  <c r="AE125" i="1"/>
  <c r="AF125" i="1"/>
  <c r="AG125" i="1"/>
  <c r="AH125" i="1"/>
  <c r="AI125" i="1"/>
  <c r="AJ125" i="1"/>
  <c r="AD126" i="1"/>
  <c r="AE126" i="1"/>
  <c r="AF126" i="1"/>
  <c r="AG126" i="1"/>
  <c r="AH126" i="1"/>
  <c r="AI126" i="1"/>
  <c r="AJ126" i="1"/>
  <c r="AD127" i="1"/>
  <c r="AE127" i="1"/>
  <c r="AF127" i="1"/>
  <c r="AG127" i="1"/>
  <c r="AH127" i="1"/>
  <c r="AI127" i="1"/>
  <c r="AJ127" i="1"/>
  <c r="AD128" i="1"/>
  <c r="AE128" i="1"/>
  <c r="AF128" i="1"/>
  <c r="AG128" i="1"/>
  <c r="AH128" i="1"/>
  <c r="AI128" i="1"/>
  <c r="AJ128" i="1"/>
  <c r="AD129" i="1"/>
  <c r="AE129" i="1"/>
  <c r="AF129" i="1"/>
  <c r="AG129" i="1"/>
  <c r="AH129" i="1"/>
  <c r="AI129" i="1"/>
  <c r="AJ129" i="1"/>
  <c r="AD130" i="1"/>
  <c r="AE130" i="1"/>
  <c r="AF130" i="1"/>
  <c r="AG130" i="1"/>
  <c r="AH130" i="1"/>
  <c r="AI130" i="1"/>
  <c r="AJ130" i="1"/>
  <c r="AD131" i="1"/>
  <c r="AE131" i="1"/>
  <c r="AF131" i="1"/>
  <c r="AG131" i="1"/>
  <c r="AH131" i="1"/>
  <c r="AI131" i="1"/>
  <c r="AJ131" i="1"/>
  <c r="AD132" i="1"/>
  <c r="AE132" i="1"/>
  <c r="AF132" i="1"/>
  <c r="AG132" i="1"/>
  <c r="AH132" i="1"/>
  <c r="AI132" i="1"/>
  <c r="AJ132" i="1"/>
  <c r="AD133" i="1"/>
  <c r="AE133" i="1"/>
  <c r="AF133" i="1"/>
  <c r="AG133" i="1"/>
  <c r="AH133" i="1"/>
  <c r="AI133" i="1"/>
  <c r="AJ133" i="1"/>
  <c r="AD134" i="1"/>
  <c r="AE134" i="1"/>
  <c r="AF134" i="1"/>
  <c r="AG134" i="1"/>
  <c r="AH134" i="1"/>
  <c r="AI134" i="1"/>
  <c r="AJ134" i="1"/>
  <c r="AD135" i="1"/>
  <c r="AE135" i="1"/>
  <c r="AF135" i="1"/>
  <c r="AG135" i="1"/>
  <c r="AH135" i="1"/>
  <c r="AI135" i="1"/>
  <c r="AJ135" i="1"/>
  <c r="AD136" i="1"/>
  <c r="AE136" i="1"/>
  <c r="AF136" i="1"/>
  <c r="AG136" i="1"/>
  <c r="AH136" i="1"/>
  <c r="AI136" i="1"/>
  <c r="AJ136" i="1"/>
  <c r="AD137" i="1"/>
  <c r="AE137" i="1"/>
  <c r="AF137" i="1"/>
  <c r="AG137" i="1"/>
  <c r="AH137" i="1"/>
  <c r="AI137" i="1"/>
  <c r="AJ137" i="1"/>
  <c r="AD138" i="1"/>
  <c r="AE138" i="1"/>
  <c r="AF138" i="1"/>
  <c r="AG138" i="1"/>
  <c r="AH138" i="1"/>
  <c r="AI138" i="1"/>
  <c r="AJ138" i="1"/>
  <c r="AD139" i="1"/>
  <c r="AE139" i="1"/>
  <c r="AF139" i="1"/>
  <c r="AG139" i="1"/>
  <c r="AH139" i="1"/>
  <c r="AI139" i="1"/>
  <c r="AJ139" i="1"/>
  <c r="AD140" i="1"/>
  <c r="AE140" i="1"/>
  <c r="AF140" i="1"/>
  <c r="AG140" i="1"/>
  <c r="AH140" i="1"/>
  <c r="AI140" i="1"/>
  <c r="AJ140" i="1"/>
  <c r="AD141" i="1"/>
  <c r="AE141" i="1"/>
  <c r="AF141" i="1"/>
  <c r="AG141" i="1"/>
  <c r="AH141" i="1"/>
  <c r="AI141" i="1"/>
  <c r="AJ141" i="1"/>
  <c r="AD142" i="1"/>
  <c r="AE142" i="1"/>
  <c r="AF142" i="1"/>
  <c r="AG142" i="1"/>
  <c r="AH142" i="1"/>
  <c r="AI142" i="1"/>
  <c r="AJ142" i="1"/>
  <c r="AD143" i="1"/>
  <c r="AE143" i="1"/>
  <c r="AF143" i="1"/>
  <c r="AG143" i="1"/>
  <c r="AH143" i="1"/>
  <c r="AI143" i="1"/>
  <c r="AJ143" i="1"/>
  <c r="AD144" i="1"/>
  <c r="AE144" i="1"/>
  <c r="AF144" i="1"/>
  <c r="AG144" i="1"/>
  <c r="AH144" i="1"/>
  <c r="AI144" i="1"/>
  <c r="AJ144" i="1"/>
  <c r="AD145" i="1"/>
  <c r="AE145" i="1"/>
  <c r="AF145" i="1"/>
  <c r="AG145" i="1"/>
  <c r="AH145" i="1"/>
  <c r="AI145" i="1"/>
  <c r="AJ145" i="1"/>
  <c r="AD146" i="1"/>
  <c r="AE146" i="1"/>
  <c r="AF146" i="1"/>
  <c r="AG146" i="1"/>
  <c r="AH146" i="1"/>
  <c r="AI146" i="1"/>
  <c r="AJ146" i="1"/>
  <c r="AD147" i="1"/>
  <c r="AE147" i="1"/>
  <c r="AF147" i="1"/>
  <c r="AG147" i="1"/>
  <c r="AH147" i="1"/>
  <c r="AI147" i="1"/>
  <c r="AJ147" i="1"/>
  <c r="AD148" i="1"/>
  <c r="AE148" i="1"/>
  <c r="AF148" i="1"/>
  <c r="AG148" i="1"/>
  <c r="AH148" i="1"/>
  <c r="AI148" i="1"/>
  <c r="AJ148" i="1"/>
  <c r="AD149" i="1"/>
  <c r="AE149" i="1"/>
  <c r="AF149" i="1"/>
  <c r="AG149" i="1"/>
  <c r="AH149" i="1"/>
  <c r="AI149" i="1"/>
  <c r="AJ149" i="1"/>
  <c r="AD150" i="1"/>
  <c r="AE150" i="1"/>
  <c r="AF150" i="1"/>
  <c r="AG150" i="1"/>
  <c r="AH150" i="1"/>
  <c r="AI150" i="1"/>
  <c r="AJ150" i="1"/>
  <c r="AD151" i="1"/>
  <c r="AE151" i="1"/>
  <c r="AF151" i="1"/>
  <c r="AG151" i="1"/>
  <c r="AH151" i="1"/>
  <c r="AI151" i="1"/>
  <c r="AJ151" i="1"/>
  <c r="AD152" i="1"/>
  <c r="AE152" i="1"/>
  <c r="AF152" i="1"/>
  <c r="AG152" i="1"/>
  <c r="AH152" i="1"/>
  <c r="AI152" i="1"/>
  <c r="AJ152" i="1"/>
  <c r="AD153" i="1"/>
  <c r="AE153" i="1"/>
  <c r="AF153" i="1"/>
  <c r="AG153" i="1"/>
  <c r="AH153" i="1"/>
  <c r="AI153" i="1"/>
  <c r="AJ153" i="1"/>
  <c r="AD154" i="1"/>
  <c r="AE154" i="1"/>
  <c r="AF154" i="1"/>
  <c r="AG154" i="1"/>
  <c r="AH154" i="1"/>
  <c r="AI154" i="1"/>
  <c r="AJ154" i="1"/>
  <c r="AD155" i="1"/>
  <c r="AE155" i="1"/>
  <c r="AF155" i="1"/>
  <c r="AG155" i="1"/>
  <c r="AH155" i="1"/>
  <c r="AI155" i="1"/>
  <c r="AJ155" i="1"/>
  <c r="AD156" i="1"/>
  <c r="AE156" i="1"/>
  <c r="AF156" i="1"/>
  <c r="AG156" i="1"/>
  <c r="AH156" i="1"/>
  <c r="AI156" i="1"/>
  <c r="AJ156" i="1"/>
  <c r="AD157" i="1"/>
  <c r="AE157" i="1"/>
  <c r="AF157" i="1"/>
  <c r="AG157" i="1"/>
  <c r="AH157" i="1"/>
  <c r="AI157" i="1"/>
  <c r="AJ157" i="1"/>
  <c r="AD158" i="1"/>
  <c r="AE158" i="1"/>
  <c r="AF158" i="1"/>
  <c r="AG158" i="1"/>
  <c r="AH158" i="1"/>
  <c r="AI158" i="1"/>
  <c r="AJ158" i="1"/>
  <c r="AD159" i="1"/>
  <c r="AE159" i="1"/>
  <c r="AF159" i="1"/>
  <c r="AG159" i="1"/>
  <c r="AH159" i="1"/>
  <c r="AI159" i="1"/>
  <c r="AJ159" i="1"/>
  <c r="AD160" i="1"/>
  <c r="AE160" i="1"/>
  <c r="AF160" i="1"/>
  <c r="AG160" i="1"/>
  <c r="AH160" i="1"/>
  <c r="AI160" i="1"/>
  <c r="AJ160" i="1"/>
  <c r="AD161" i="1"/>
  <c r="AE161" i="1"/>
  <c r="AF161" i="1"/>
  <c r="AG161" i="1"/>
  <c r="AH161" i="1"/>
  <c r="AI161" i="1"/>
  <c r="AJ161" i="1"/>
  <c r="AD162" i="1"/>
  <c r="AE162" i="1"/>
  <c r="AF162" i="1"/>
  <c r="AG162" i="1"/>
  <c r="AH162" i="1"/>
  <c r="AI162" i="1"/>
  <c r="AJ162" i="1"/>
  <c r="AD163" i="1"/>
  <c r="AE163" i="1"/>
  <c r="AF163" i="1"/>
  <c r="AG163" i="1"/>
  <c r="AH163" i="1"/>
  <c r="AI163" i="1"/>
  <c r="AJ163" i="1"/>
  <c r="AD164" i="1"/>
  <c r="AE164" i="1"/>
  <c r="AF164" i="1"/>
  <c r="AG164" i="1"/>
  <c r="AH164" i="1"/>
  <c r="AI164" i="1"/>
  <c r="AJ164" i="1"/>
  <c r="AD165" i="1"/>
  <c r="AE165" i="1"/>
  <c r="AF165" i="1"/>
  <c r="AG165" i="1"/>
  <c r="AH165" i="1"/>
  <c r="AI165" i="1"/>
  <c r="AJ165" i="1"/>
  <c r="AD166" i="1"/>
  <c r="AE166" i="1"/>
  <c r="AF166" i="1"/>
  <c r="AG166" i="1"/>
  <c r="AH166" i="1"/>
  <c r="AI166" i="1"/>
  <c r="AJ166" i="1"/>
  <c r="AD167" i="1"/>
  <c r="AE167" i="1"/>
  <c r="AF167" i="1"/>
  <c r="AG167" i="1"/>
  <c r="AH167" i="1"/>
  <c r="AI167" i="1"/>
  <c r="AJ167" i="1"/>
  <c r="AD168" i="1"/>
  <c r="AE168" i="1"/>
  <c r="AF168" i="1"/>
  <c r="AG168" i="1"/>
  <c r="AH168" i="1"/>
  <c r="AI168" i="1"/>
  <c r="AJ168" i="1"/>
  <c r="AD169" i="1"/>
  <c r="AE169" i="1"/>
  <c r="AF169" i="1"/>
  <c r="AG169" i="1"/>
  <c r="AH169" i="1"/>
  <c r="AI169" i="1"/>
  <c r="AJ169" i="1"/>
  <c r="AD170" i="1"/>
  <c r="AE170" i="1"/>
  <c r="AF170" i="1"/>
  <c r="AG170" i="1"/>
  <c r="AH170" i="1"/>
  <c r="AI170" i="1"/>
  <c r="AJ170" i="1"/>
  <c r="AD171" i="1"/>
  <c r="AE171" i="1"/>
  <c r="AF171" i="1"/>
  <c r="AG171" i="1"/>
  <c r="AH171" i="1"/>
  <c r="AI171" i="1"/>
  <c r="AJ171" i="1"/>
  <c r="AD172" i="1"/>
  <c r="AE172" i="1"/>
  <c r="AF172" i="1"/>
  <c r="AG172" i="1"/>
  <c r="AH172" i="1"/>
  <c r="AI172" i="1"/>
  <c r="AJ172" i="1"/>
  <c r="AD173" i="1"/>
  <c r="AE173" i="1"/>
  <c r="AF173" i="1"/>
  <c r="AG173" i="1"/>
  <c r="AH173" i="1"/>
  <c r="AI173" i="1"/>
  <c r="AJ173" i="1"/>
  <c r="AD174" i="1"/>
  <c r="AE174" i="1"/>
  <c r="AF174" i="1"/>
  <c r="AG174" i="1"/>
  <c r="AH174" i="1"/>
  <c r="AI174" i="1"/>
  <c r="AJ174" i="1"/>
  <c r="AD175" i="1"/>
  <c r="AE175" i="1"/>
  <c r="AF175" i="1"/>
  <c r="AG175" i="1"/>
  <c r="AH175" i="1"/>
  <c r="AI175" i="1"/>
  <c r="AJ175" i="1"/>
  <c r="AD176" i="1"/>
  <c r="AE176" i="1"/>
  <c r="AF176" i="1"/>
  <c r="AG176" i="1"/>
  <c r="AH176" i="1"/>
  <c r="AI176" i="1"/>
  <c r="AJ176" i="1"/>
  <c r="AD177" i="1"/>
  <c r="AE177" i="1"/>
  <c r="AF177" i="1"/>
  <c r="AG177" i="1"/>
  <c r="AH177" i="1"/>
  <c r="AI177" i="1"/>
  <c r="AJ177" i="1"/>
  <c r="AD178" i="1"/>
  <c r="AE178" i="1"/>
  <c r="AF178" i="1"/>
  <c r="AG178" i="1"/>
  <c r="AH178" i="1"/>
  <c r="AI178" i="1"/>
  <c r="AJ178" i="1"/>
  <c r="AD179" i="1"/>
  <c r="AE179" i="1"/>
  <c r="AF179" i="1"/>
  <c r="AG179" i="1"/>
  <c r="AH179" i="1"/>
  <c r="AI179" i="1"/>
  <c r="AJ179" i="1"/>
  <c r="AD180" i="1"/>
  <c r="AE180" i="1"/>
  <c r="AF180" i="1"/>
  <c r="AG180" i="1"/>
  <c r="AH180" i="1"/>
  <c r="AI180" i="1"/>
  <c r="AJ180" i="1"/>
  <c r="AD181" i="1"/>
  <c r="AE181" i="1"/>
  <c r="AF181" i="1"/>
  <c r="AG181" i="1"/>
  <c r="AH181" i="1"/>
  <c r="AI181" i="1"/>
  <c r="AJ181" i="1"/>
  <c r="AD182" i="1"/>
  <c r="AE182" i="1"/>
  <c r="AF182" i="1"/>
  <c r="AG182" i="1"/>
  <c r="AH182" i="1"/>
  <c r="AI182" i="1"/>
  <c r="AJ182" i="1"/>
  <c r="AD183" i="1"/>
  <c r="AE183" i="1"/>
  <c r="AF183" i="1"/>
  <c r="AG183" i="1"/>
  <c r="AH183" i="1"/>
  <c r="AI183" i="1"/>
  <c r="AJ183" i="1"/>
  <c r="AD184" i="1"/>
  <c r="AE184" i="1"/>
  <c r="AF184" i="1"/>
  <c r="AG184" i="1"/>
  <c r="AH184" i="1"/>
  <c r="AI184" i="1"/>
  <c r="AJ184" i="1"/>
  <c r="AD185" i="1"/>
  <c r="AE185" i="1"/>
  <c r="AF185" i="1"/>
  <c r="AG185" i="1"/>
  <c r="AH185" i="1"/>
  <c r="AI185" i="1"/>
  <c r="AJ185" i="1"/>
  <c r="AD186" i="1"/>
  <c r="AE186" i="1"/>
  <c r="AF186" i="1"/>
  <c r="AG186" i="1"/>
  <c r="AH186" i="1"/>
  <c r="AI186" i="1"/>
  <c r="AJ186" i="1"/>
  <c r="AD187" i="1"/>
  <c r="AE187" i="1"/>
  <c r="AF187" i="1"/>
  <c r="AG187" i="1"/>
  <c r="AH187" i="1"/>
  <c r="AI187" i="1"/>
  <c r="AJ187" i="1"/>
  <c r="AD188" i="1"/>
  <c r="AE188" i="1"/>
  <c r="AF188" i="1"/>
  <c r="AG188" i="1"/>
  <c r="AH188" i="1"/>
  <c r="AI188" i="1"/>
  <c r="AJ188" i="1"/>
  <c r="AD189" i="1"/>
  <c r="AE189" i="1"/>
  <c r="AF189" i="1"/>
  <c r="AG189" i="1"/>
  <c r="AH189" i="1"/>
  <c r="AI189" i="1"/>
  <c r="AJ189" i="1"/>
  <c r="AD190" i="1"/>
  <c r="AE190" i="1"/>
  <c r="AF190" i="1"/>
  <c r="AG190" i="1"/>
  <c r="AH190" i="1"/>
  <c r="AI190" i="1"/>
  <c r="AJ190" i="1"/>
  <c r="AD191" i="1"/>
  <c r="AE191" i="1"/>
  <c r="AF191" i="1"/>
  <c r="AG191" i="1"/>
  <c r="AH191" i="1"/>
  <c r="AI191" i="1"/>
  <c r="AJ191" i="1"/>
  <c r="AD192" i="1"/>
  <c r="AE192" i="1"/>
  <c r="AF192" i="1"/>
  <c r="AG192" i="1"/>
  <c r="AH192" i="1"/>
  <c r="AI192" i="1"/>
  <c r="AJ192" i="1"/>
  <c r="AD193" i="1"/>
  <c r="AE193" i="1"/>
  <c r="AF193" i="1"/>
  <c r="AG193" i="1"/>
  <c r="AH193" i="1"/>
  <c r="AI193" i="1"/>
  <c r="AJ193" i="1"/>
  <c r="AD194" i="1"/>
  <c r="AE194" i="1"/>
  <c r="AF194" i="1"/>
  <c r="AG194" i="1"/>
  <c r="AH194" i="1"/>
  <c r="AI194" i="1"/>
  <c r="AJ194" i="1"/>
  <c r="AD195" i="1"/>
  <c r="AE195" i="1"/>
  <c r="AF195" i="1"/>
  <c r="AG195" i="1"/>
  <c r="AH195" i="1"/>
  <c r="AI195" i="1"/>
  <c r="AJ195" i="1"/>
  <c r="AD196" i="1"/>
  <c r="AE196" i="1"/>
  <c r="AF196" i="1"/>
  <c r="AG196" i="1"/>
  <c r="AH196" i="1"/>
  <c r="AI196" i="1"/>
  <c r="AJ196" i="1"/>
  <c r="AD197" i="1"/>
  <c r="AE197" i="1"/>
  <c r="AF197" i="1"/>
  <c r="AG197" i="1"/>
  <c r="AH197" i="1"/>
  <c r="AI197" i="1"/>
  <c r="AJ197" i="1"/>
  <c r="AD198" i="1"/>
  <c r="AE198" i="1"/>
  <c r="AF198" i="1"/>
  <c r="AG198" i="1"/>
  <c r="AH198" i="1"/>
  <c r="AI198" i="1"/>
  <c r="AJ198" i="1"/>
  <c r="AD199" i="1"/>
  <c r="AE199" i="1"/>
  <c r="AF199" i="1"/>
  <c r="AG199" i="1"/>
  <c r="AH199" i="1"/>
  <c r="AI199" i="1"/>
  <c r="AJ199" i="1"/>
  <c r="AD200" i="1"/>
  <c r="AE200" i="1"/>
  <c r="AF200" i="1"/>
  <c r="AG200" i="1"/>
  <c r="AH200" i="1"/>
  <c r="AI200" i="1"/>
  <c r="AJ200" i="1"/>
  <c r="AD201" i="1"/>
  <c r="AE201" i="1"/>
  <c r="AF201" i="1"/>
  <c r="AG201" i="1"/>
  <c r="AH201" i="1"/>
  <c r="AI201" i="1"/>
  <c r="AJ201" i="1"/>
  <c r="AD202" i="1"/>
  <c r="AE202" i="1"/>
  <c r="AF202" i="1"/>
  <c r="AG202" i="1"/>
  <c r="AH202" i="1"/>
  <c r="AI202" i="1"/>
  <c r="AJ202" i="1"/>
  <c r="AD203" i="1"/>
  <c r="AE203" i="1"/>
  <c r="AF203" i="1"/>
  <c r="AG203" i="1"/>
  <c r="AH203" i="1"/>
  <c r="AI203" i="1"/>
  <c r="AJ203" i="1"/>
  <c r="AD204" i="1"/>
  <c r="AE204" i="1"/>
  <c r="AF204" i="1"/>
  <c r="AG204" i="1"/>
  <c r="AH204" i="1"/>
  <c r="AI204" i="1"/>
  <c r="AJ204" i="1"/>
  <c r="AD205" i="1"/>
  <c r="AE205" i="1"/>
  <c r="AF205" i="1"/>
  <c r="AG205" i="1"/>
  <c r="AH205" i="1"/>
  <c r="AI205" i="1"/>
  <c r="AJ205" i="1"/>
  <c r="AD206" i="1"/>
  <c r="AE206" i="1"/>
  <c r="AF206" i="1"/>
  <c r="AG206" i="1"/>
  <c r="AH206" i="1"/>
  <c r="AI206" i="1"/>
  <c r="AJ206" i="1"/>
  <c r="AD207" i="1"/>
  <c r="AE207" i="1"/>
  <c r="AF207" i="1"/>
  <c r="AG207" i="1"/>
  <c r="AH207" i="1"/>
  <c r="AI207" i="1"/>
  <c r="AJ207" i="1"/>
  <c r="AD208" i="1"/>
  <c r="AE208" i="1"/>
  <c r="AF208" i="1"/>
  <c r="AG208" i="1"/>
  <c r="AH208" i="1"/>
  <c r="AI208" i="1"/>
  <c r="AJ208" i="1"/>
  <c r="AD209" i="1"/>
  <c r="AE209" i="1"/>
  <c r="AF209" i="1"/>
  <c r="AG209" i="1"/>
  <c r="AH209" i="1"/>
  <c r="AI209" i="1"/>
  <c r="AJ209" i="1"/>
  <c r="AD210" i="1"/>
  <c r="AE210" i="1"/>
  <c r="AF210" i="1"/>
  <c r="AG210" i="1"/>
  <c r="AH210" i="1"/>
  <c r="AI210" i="1"/>
  <c r="AJ210" i="1"/>
  <c r="AD211" i="1"/>
  <c r="AE211" i="1"/>
  <c r="AF211" i="1"/>
  <c r="AG211" i="1"/>
  <c r="AH211" i="1"/>
  <c r="AI211" i="1"/>
  <c r="AJ211" i="1"/>
  <c r="AD212" i="1"/>
  <c r="AE212" i="1"/>
  <c r="AF212" i="1"/>
  <c r="AG212" i="1"/>
  <c r="AH212" i="1"/>
  <c r="AI212" i="1"/>
  <c r="AJ212" i="1"/>
  <c r="AD213" i="1"/>
  <c r="AE213" i="1"/>
  <c r="AF213" i="1"/>
  <c r="AG213" i="1"/>
  <c r="AH213" i="1"/>
  <c r="AI213" i="1"/>
  <c r="AJ213" i="1"/>
  <c r="AD214" i="1"/>
  <c r="AE214" i="1"/>
  <c r="AF214" i="1"/>
  <c r="AG214" i="1"/>
  <c r="AH214" i="1"/>
  <c r="AI214" i="1"/>
  <c r="AJ214" i="1"/>
  <c r="AD215" i="1"/>
  <c r="AE215" i="1"/>
  <c r="AF215" i="1"/>
  <c r="AG215" i="1"/>
  <c r="AH215" i="1"/>
  <c r="AI215" i="1"/>
  <c r="AJ215" i="1"/>
  <c r="AD216" i="1"/>
  <c r="AE216" i="1"/>
  <c r="AF216" i="1"/>
  <c r="AG216" i="1"/>
  <c r="AH216" i="1"/>
  <c r="AI216" i="1"/>
  <c r="AJ216" i="1"/>
  <c r="AD217" i="1"/>
  <c r="AE217" i="1"/>
  <c r="AF217" i="1"/>
  <c r="AG217" i="1"/>
  <c r="AH217" i="1"/>
  <c r="AI217" i="1"/>
  <c r="AJ217" i="1"/>
  <c r="AD218" i="1"/>
  <c r="AE218" i="1"/>
  <c r="AF218" i="1"/>
  <c r="AG218" i="1"/>
  <c r="AH218" i="1"/>
  <c r="AI218" i="1"/>
  <c r="AJ218" i="1"/>
  <c r="AD219" i="1"/>
  <c r="AE219" i="1"/>
  <c r="AF219" i="1"/>
  <c r="AG219" i="1"/>
  <c r="AH219" i="1"/>
  <c r="AI219" i="1"/>
  <c r="AJ219" i="1"/>
  <c r="AD220" i="1"/>
  <c r="AE220" i="1"/>
  <c r="AF220" i="1"/>
  <c r="AG220" i="1"/>
  <c r="AH220" i="1"/>
  <c r="AI220" i="1"/>
  <c r="AJ220" i="1"/>
  <c r="AD221" i="1"/>
  <c r="AE221" i="1"/>
  <c r="AF221" i="1"/>
  <c r="AG221" i="1"/>
  <c r="AH221" i="1"/>
  <c r="AI221" i="1"/>
  <c r="AJ221" i="1"/>
  <c r="AD222" i="1"/>
  <c r="AE222" i="1"/>
  <c r="AF222" i="1"/>
  <c r="AG222" i="1"/>
  <c r="AH222" i="1"/>
  <c r="AI222" i="1"/>
  <c r="AJ222" i="1"/>
  <c r="AD223" i="1"/>
  <c r="AE223" i="1"/>
  <c r="AF223" i="1"/>
  <c r="AG223" i="1"/>
  <c r="AH223" i="1"/>
  <c r="AI223" i="1"/>
  <c r="AJ223" i="1"/>
  <c r="AD224" i="1"/>
  <c r="AE224" i="1"/>
  <c r="AF224" i="1"/>
  <c r="AG224" i="1"/>
  <c r="AH224" i="1"/>
  <c r="AI224" i="1"/>
  <c r="AJ224" i="1"/>
  <c r="AD225" i="1"/>
  <c r="AE225" i="1"/>
  <c r="AF225" i="1"/>
  <c r="AG225" i="1"/>
  <c r="AH225" i="1"/>
  <c r="AI225" i="1"/>
  <c r="AJ225" i="1"/>
  <c r="AD226" i="1"/>
  <c r="AE226" i="1"/>
  <c r="AF226" i="1"/>
  <c r="AG226" i="1"/>
  <c r="AH226" i="1"/>
  <c r="AI226" i="1"/>
  <c r="AJ226" i="1"/>
  <c r="AD227" i="1"/>
  <c r="AE227" i="1"/>
  <c r="AF227" i="1"/>
  <c r="AG227" i="1"/>
  <c r="AH227" i="1"/>
  <c r="AI227" i="1"/>
  <c r="AJ227" i="1"/>
  <c r="AD228" i="1"/>
  <c r="AE228" i="1"/>
  <c r="AF228" i="1"/>
  <c r="AG228" i="1"/>
  <c r="AH228" i="1"/>
  <c r="AI228" i="1"/>
  <c r="AJ228" i="1"/>
  <c r="AD229" i="1"/>
  <c r="AE229" i="1"/>
  <c r="AF229" i="1"/>
  <c r="AG229" i="1"/>
  <c r="AH229" i="1"/>
  <c r="AI229" i="1"/>
  <c r="AJ229" i="1"/>
  <c r="AD230" i="1"/>
  <c r="AE230" i="1"/>
  <c r="AF230" i="1"/>
  <c r="AG230" i="1"/>
  <c r="AH230" i="1"/>
  <c r="AI230" i="1"/>
  <c r="AJ230" i="1"/>
  <c r="AD231" i="1"/>
  <c r="AE231" i="1"/>
  <c r="AF231" i="1"/>
  <c r="AG231" i="1"/>
  <c r="AH231" i="1"/>
  <c r="AI231" i="1"/>
  <c r="AJ231" i="1"/>
  <c r="AD232" i="1"/>
  <c r="AE232" i="1"/>
  <c r="AF232" i="1"/>
  <c r="AG232" i="1"/>
  <c r="AH232" i="1"/>
  <c r="AI232" i="1"/>
  <c r="AJ232" i="1"/>
  <c r="AD233" i="1"/>
  <c r="AE233" i="1"/>
  <c r="AF233" i="1"/>
  <c r="AG233" i="1"/>
  <c r="AH233" i="1"/>
  <c r="AI233" i="1"/>
  <c r="AJ233" i="1"/>
  <c r="AD234" i="1"/>
  <c r="AE234" i="1"/>
  <c r="AF234" i="1"/>
  <c r="AG234" i="1"/>
  <c r="AH234" i="1"/>
  <c r="AI234" i="1"/>
  <c r="AJ234" i="1"/>
  <c r="AD235" i="1"/>
  <c r="AE235" i="1"/>
  <c r="AF235" i="1"/>
  <c r="AG235" i="1"/>
  <c r="AH235" i="1"/>
  <c r="AI235" i="1"/>
  <c r="AJ235" i="1"/>
  <c r="AD236" i="1"/>
  <c r="AE236" i="1"/>
  <c r="AF236" i="1"/>
  <c r="AG236" i="1"/>
  <c r="AH236" i="1"/>
  <c r="AI236" i="1"/>
  <c r="AJ236" i="1"/>
  <c r="AD237" i="1"/>
  <c r="AE237" i="1"/>
  <c r="AF237" i="1"/>
  <c r="AG237" i="1"/>
  <c r="AH237" i="1"/>
  <c r="AI237" i="1"/>
  <c r="AJ237" i="1"/>
  <c r="AD238" i="1"/>
  <c r="AE238" i="1"/>
  <c r="AF238" i="1"/>
  <c r="AG238" i="1"/>
  <c r="AH238" i="1"/>
  <c r="AI238" i="1"/>
  <c r="AJ238" i="1"/>
  <c r="AD239" i="1"/>
  <c r="AE239" i="1"/>
  <c r="AF239" i="1"/>
  <c r="AG239" i="1"/>
  <c r="AH239" i="1"/>
  <c r="AI239" i="1"/>
  <c r="AJ239" i="1"/>
  <c r="AD240" i="1"/>
  <c r="AE240" i="1"/>
  <c r="AF240" i="1"/>
  <c r="AG240" i="1"/>
  <c r="AH240" i="1"/>
  <c r="AI240" i="1"/>
  <c r="AJ240" i="1"/>
  <c r="AD241" i="1"/>
  <c r="AE241" i="1"/>
  <c r="AF241" i="1"/>
  <c r="AG241" i="1"/>
  <c r="AH241" i="1"/>
  <c r="AI241" i="1"/>
  <c r="AJ241" i="1"/>
  <c r="AD242" i="1"/>
  <c r="AE242" i="1"/>
  <c r="AF242" i="1"/>
  <c r="AG242" i="1"/>
  <c r="AH242" i="1"/>
  <c r="AI242" i="1"/>
  <c r="AJ242" i="1"/>
  <c r="AD243" i="1"/>
  <c r="AE243" i="1"/>
  <c r="AF243" i="1"/>
  <c r="AG243" i="1"/>
  <c r="AH243" i="1"/>
  <c r="AI243" i="1"/>
  <c r="AJ243" i="1"/>
  <c r="AD244" i="1"/>
  <c r="AE244" i="1"/>
  <c r="AF244" i="1"/>
  <c r="AG244" i="1"/>
  <c r="AH244" i="1"/>
  <c r="AI244" i="1"/>
  <c r="AJ244" i="1"/>
  <c r="AD245" i="1"/>
  <c r="AE245" i="1"/>
  <c r="AF245" i="1"/>
  <c r="AG245" i="1"/>
  <c r="AH245" i="1"/>
  <c r="AI245" i="1"/>
  <c r="AJ245" i="1"/>
  <c r="AD246" i="1"/>
  <c r="AE246" i="1"/>
  <c r="AF246" i="1"/>
  <c r="AG246" i="1"/>
  <c r="AH246" i="1"/>
  <c r="AI246" i="1"/>
  <c r="AJ246" i="1"/>
  <c r="AD247" i="1"/>
  <c r="AE247" i="1"/>
  <c r="AF247" i="1"/>
  <c r="AG247" i="1"/>
  <c r="AH247" i="1"/>
  <c r="AI247" i="1"/>
  <c r="AJ247" i="1"/>
  <c r="AD248" i="1"/>
  <c r="AE248" i="1"/>
  <c r="AF248" i="1"/>
  <c r="AG248" i="1"/>
  <c r="AH248" i="1"/>
  <c r="AI248" i="1"/>
  <c r="AJ248" i="1"/>
  <c r="AD249" i="1"/>
  <c r="AE249" i="1"/>
  <c r="AF249" i="1"/>
  <c r="AG249" i="1"/>
  <c r="AH249" i="1"/>
  <c r="AI249" i="1"/>
  <c r="AJ249" i="1"/>
  <c r="AD250" i="1"/>
  <c r="AE250" i="1"/>
  <c r="AF250" i="1"/>
  <c r="AG250" i="1"/>
  <c r="AH250" i="1"/>
  <c r="AI250" i="1"/>
  <c r="AJ250" i="1"/>
  <c r="AD251" i="1"/>
  <c r="AE251" i="1"/>
  <c r="AF251" i="1"/>
  <c r="AG251" i="1"/>
  <c r="AH251" i="1"/>
  <c r="AI251" i="1"/>
  <c r="AJ251" i="1"/>
  <c r="AD252" i="1"/>
  <c r="AE252" i="1"/>
  <c r="AF252" i="1"/>
  <c r="AG252" i="1"/>
  <c r="AH252" i="1"/>
  <c r="AI252" i="1"/>
  <c r="AJ252" i="1"/>
  <c r="AD253" i="1"/>
  <c r="AE253" i="1"/>
  <c r="AF253" i="1"/>
  <c r="AG253" i="1"/>
  <c r="AH253" i="1"/>
  <c r="AI253" i="1"/>
  <c r="AJ253" i="1"/>
  <c r="AD254" i="1"/>
  <c r="AE254" i="1"/>
  <c r="AF254" i="1"/>
  <c r="AG254" i="1"/>
  <c r="AH254" i="1"/>
  <c r="AI254" i="1"/>
  <c r="AJ254" i="1"/>
  <c r="AD255" i="1"/>
  <c r="AE255" i="1"/>
  <c r="AF255" i="1"/>
  <c r="AG255" i="1"/>
  <c r="AH255" i="1"/>
  <c r="AI255" i="1"/>
  <c r="AJ255" i="1"/>
  <c r="AD256" i="1"/>
  <c r="AE256" i="1"/>
  <c r="AF256" i="1"/>
  <c r="AG256" i="1"/>
  <c r="AH256" i="1"/>
  <c r="AI256" i="1"/>
  <c r="AJ256" i="1"/>
  <c r="AD257" i="1"/>
  <c r="AE257" i="1"/>
  <c r="AF257" i="1"/>
  <c r="AG257" i="1"/>
  <c r="AH257" i="1"/>
  <c r="AI257" i="1"/>
  <c r="AJ257" i="1"/>
  <c r="AD258" i="1"/>
  <c r="AE258" i="1"/>
  <c r="AF258" i="1"/>
  <c r="AG258" i="1"/>
  <c r="AH258" i="1"/>
  <c r="AI258" i="1"/>
  <c r="AJ258" i="1"/>
  <c r="AD259" i="1"/>
  <c r="AE259" i="1"/>
  <c r="AF259" i="1"/>
  <c r="AG259" i="1"/>
  <c r="AH259" i="1"/>
  <c r="AI259" i="1"/>
  <c r="AJ259" i="1"/>
  <c r="AD260" i="1"/>
  <c r="AE260" i="1"/>
  <c r="AF260" i="1"/>
  <c r="AG260" i="1"/>
  <c r="AH260" i="1"/>
  <c r="AI260" i="1"/>
  <c r="AJ260" i="1"/>
  <c r="AD261" i="1"/>
  <c r="AE261" i="1"/>
  <c r="AF261" i="1"/>
  <c r="AG261" i="1"/>
  <c r="AH261" i="1"/>
  <c r="AI261" i="1"/>
  <c r="AJ261" i="1"/>
  <c r="AD262" i="1"/>
  <c r="AE262" i="1"/>
  <c r="AF262" i="1"/>
  <c r="AG262" i="1"/>
  <c r="AH262" i="1"/>
  <c r="AI262" i="1"/>
  <c r="AJ262" i="1"/>
  <c r="AD263" i="1"/>
  <c r="AE263" i="1"/>
  <c r="AF263" i="1"/>
  <c r="AG263" i="1"/>
  <c r="AH263" i="1"/>
  <c r="AI263" i="1"/>
  <c r="AJ263" i="1"/>
  <c r="AD264" i="1"/>
  <c r="AE264" i="1"/>
  <c r="AF264" i="1"/>
  <c r="AG264" i="1"/>
  <c r="AH264" i="1"/>
  <c r="AI264" i="1"/>
  <c r="AJ264" i="1"/>
  <c r="AD265" i="1"/>
  <c r="AE265" i="1"/>
  <c r="AF265" i="1"/>
  <c r="AG265" i="1"/>
  <c r="AH265" i="1"/>
  <c r="AI265" i="1"/>
  <c r="AJ265" i="1"/>
  <c r="AD266" i="1"/>
  <c r="AE266" i="1"/>
  <c r="AF266" i="1"/>
  <c r="AG266" i="1"/>
  <c r="AH266" i="1"/>
  <c r="AI266" i="1"/>
  <c r="AJ266" i="1"/>
  <c r="AD267" i="1"/>
  <c r="AE267" i="1"/>
  <c r="AF267" i="1"/>
  <c r="AG267" i="1"/>
  <c r="AH267" i="1"/>
  <c r="AI267" i="1"/>
  <c r="AJ267" i="1"/>
  <c r="AD268" i="1"/>
  <c r="AE268" i="1"/>
  <c r="AF268" i="1"/>
  <c r="AG268" i="1"/>
  <c r="AH268" i="1"/>
  <c r="AI268" i="1"/>
  <c r="AJ268" i="1"/>
  <c r="AD269" i="1"/>
  <c r="AE269" i="1"/>
  <c r="AF269" i="1"/>
  <c r="AG269" i="1"/>
  <c r="AH269" i="1"/>
  <c r="AI269" i="1"/>
  <c r="AJ269" i="1"/>
  <c r="AD270" i="1"/>
  <c r="AE270" i="1"/>
  <c r="AF270" i="1"/>
  <c r="AG270" i="1"/>
  <c r="AH270" i="1"/>
  <c r="AI270" i="1"/>
  <c r="AJ270" i="1"/>
  <c r="AD271" i="1"/>
  <c r="AE271" i="1"/>
  <c r="AF271" i="1"/>
  <c r="AG271" i="1"/>
  <c r="AH271" i="1"/>
  <c r="AI271" i="1"/>
  <c r="AJ271" i="1"/>
  <c r="AD272" i="1"/>
  <c r="AE272" i="1"/>
  <c r="AF272" i="1"/>
  <c r="AG272" i="1"/>
  <c r="AH272" i="1"/>
  <c r="AI272" i="1"/>
  <c r="AJ272" i="1"/>
  <c r="AD273" i="1"/>
  <c r="AE273" i="1"/>
  <c r="AF273" i="1"/>
  <c r="AG273" i="1"/>
  <c r="AH273" i="1"/>
  <c r="AI273" i="1"/>
  <c r="AJ273" i="1"/>
  <c r="AD274" i="1"/>
  <c r="AE274" i="1"/>
  <c r="AF274" i="1"/>
  <c r="AG274" i="1"/>
  <c r="AH274" i="1"/>
  <c r="AI274" i="1"/>
  <c r="AJ274" i="1"/>
  <c r="AD275" i="1"/>
  <c r="AE275" i="1"/>
  <c r="AF275" i="1"/>
  <c r="AG275" i="1"/>
  <c r="AH275" i="1"/>
  <c r="AI275" i="1"/>
  <c r="AJ275" i="1"/>
  <c r="AD276" i="1"/>
  <c r="AE276" i="1"/>
  <c r="AF276" i="1"/>
  <c r="AG276" i="1"/>
  <c r="AH276" i="1"/>
  <c r="AI276" i="1"/>
  <c r="AJ276" i="1"/>
  <c r="AD277" i="1"/>
  <c r="AE277" i="1"/>
  <c r="AF277" i="1"/>
  <c r="AG277" i="1"/>
  <c r="AH277" i="1"/>
  <c r="AI277" i="1"/>
  <c r="AJ277" i="1"/>
  <c r="AD278" i="1"/>
  <c r="AE278" i="1"/>
  <c r="AF278" i="1"/>
  <c r="AG278" i="1"/>
  <c r="AH278" i="1"/>
  <c r="AI278" i="1"/>
  <c r="AJ278" i="1"/>
  <c r="AD279" i="1"/>
  <c r="AE279" i="1"/>
  <c r="AF279" i="1"/>
  <c r="AG279" i="1"/>
  <c r="AH279" i="1"/>
  <c r="AI279" i="1"/>
  <c r="AJ279" i="1"/>
  <c r="AD280" i="1"/>
  <c r="AE280" i="1"/>
  <c r="AF280" i="1"/>
  <c r="AG280" i="1"/>
  <c r="AH280" i="1"/>
  <c r="AI280" i="1"/>
  <c r="AJ280" i="1"/>
  <c r="AD281" i="1"/>
  <c r="AE281" i="1"/>
  <c r="AF281" i="1"/>
  <c r="AG281" i="1"/>
  <c r="AH281" i="1"/>
  <c r="AI281" i="1"/>
  <c r="AJ281" i="1"/>
  <c r="AD282" i="1"/>
  <c r="AE282" i="1"/>
  <c r="AF282" i="1"/>
  <c r="AG282" i="1"/>
  <c r="AH282" i="1"/>
  <c r="AI282" i="1"/>
  <c r="AJ282" i="1"/>
  <c r="AD283" i="1"/>
  <c r="AE283" i="1"/>
  <c r="AF283" i="1"/>
  <c r="AG283" i="1"/>
  <c r="AH283" i="1"/>
  <c r="AI283" i="1"/>
  <c r="AJ283" i="1"/>
  <c r="AD284" i="1"/>
  <c r="AE284" i="1"/>
  <c r="AF284" i="1"/>
  <c r="AG284" i="1"/>
  <c r="AH284" i="1"/>
  <c r="AI284" i="1"/>
  <c r="AJ284" i="1"/>
  <c r="AD285" i="1"/>
  <c r="AE285" i="1"/>
  <c r="AF285" i="1"/>
  <c r="AG285" i="1"/>
  <c r="AH285" i="1"/>
  <c r="AI285" i="1"/>
  <c r="AJ285" i="1"/>
  <c r="AD286" i="1"/>
  <c r="AE286" i="1"/>
  <c r="AF286" i="1"/>
  <c r="AG286" i="1"/>
  <c r="AH286" i="1"/>
  <c r="AI286" i="1"/>
  <c r="AJ286" i="1"/>
  <c r="AD287" i="1"/>
  <c r="AE287" i="1"/>
  <c r="AF287" i="1"/>
  <c r="AG287" i="1"/>
  <c r="AH287" i="1"/>
  <c r="AI287" i="1"/>
  <c r="AJ287" i="1"/>
  <c r="AD288" i="1"/>
  <c r="AE288" i="1"/>
  <c r="AF288" i="1"/>
  <c r="AG288" i="1"/>
  <c r="AH288" i="1"/>
  <c r="AI288" i="1"/>
  <c r="AJ288" i="1"/>
  <c r="AD289" i="1"/>
  <c r="AE289" i="1"/>
  <c r="AF289" i="1"/>
  <c r="AG289" i="1"/>
  <c r="AH289" i="1"/>
  <c r="AI289" i="1"/>
  <c r="AJ289" i="1"/>
  <c r="AD290" i="1"/>
  <c r="AE290" i="1"/>
  <c r="AF290" i="1"/>
  <c r="AG290" i="1"/>
  <c r="AH290" i="1"/>
  <c r="AI290" i="1"/>
  <c r="AJ290" i="1"/>
  <c r="AD291" i="1"/>
  <c r="AE291" i="1"/>
  <c r="AF291" i="1"/>
  <c r="AG291" i="1"/>
  <c r="AH291" i="1"/>
  <c r="AI291" i="1"/>
  <c r="AJ291" i="1"/>
  <c r="AD292" i="1"/>
  <c r="AE292" i="1"/>
  <c r="AF292" i="1"/>
  <c r="AG292" i="1"/>
  <c r="AH292" i="1"/>
  <c r="AI292" i="1"/>
  <c r="AJ292" i="1"/>
  <c r="AD293" i="1"/>
  <c r="AE293" i="1"/>
  <c r="AF293" i="1"/>
  <c r="AG293" i="1"/>
  <c r="AH293" i="1"/>
  <c r="AI293" i="1"/>
  <c r="AJ293" i="1"/>
  <c r="AD294" i="1"/>
  <c r="AE294" i="1"/>
  <c r="AF294" i="1"/>
  <c r="AG294" i="1"/>
  <c r="AH294" i="1"/>
  <c r="AI294" i="1"/>
  <c r="AJ294" i="1"/>
  <c r="AD295" i="1"/>
  <c r="AE295" i="1"/>
  <c r="AF295" i="1"/>
  <c r="AG295" i="1"/>
  <c r="AH295" i="1"/>
  <c r="AI295" i="1"/>
  <c r="AJ295" i="1"/>
  <c r="AD296" i="1"/>
  <c r="AE296" i="1"/>
  <c r="AF296" i="1"/>
  <c r="AG296" i="1"/>
  <c r="AH296" i="1"/>
  <c r="AI296" i="1"/>
  <c r="AJ296" i="1"/>
  <c r="AD297" i="1"/>
  <c r="AE297" i="1"/>
  <c r="AF297" i="1"/>
  <c r="AG297" i="1"/>
  <c r="AH297" i="1"/>
  <c r="AI297" i="1"/>
  <c r="AJ297" i="1"/>
  <c r="AD298" i="1"/>
  <c r="AE298" i="1"/>
  <c r="AF298" i="1"/>
  <c r="AG298" i="1"/>
  <c r="AH298" i="1"/>
  <c r="AI298" i="1"/>
  <c r="AJ298" i="1"/>
  <c r="AD299" i="1"/>
  <c r="AE299" i="1"/>
  <c r="AF299" i="1"/>
  <c r="AG299" i="1"/>
  <c r="AH299" i="1"/>
  <c r="AI299" i="1"/>
  <c r="AJ299" i="1"/>
  <c r="AD300" i="1"/>
  <c r="AE300" i="1"/>
  <c r="AF300" i="1"/>
  <c r="AG300" i="1"/>
  <c r="AH300" i="1"/>
  <c r="AI300" i="1"/>
  <c r="AJ300" i="1"/>
  <c r="AD301" i="1"/>
  <c r="AE301" i="1"/>
  <c r="AF301" i="1"/>
  <c r="AG301" i="1"/>
  <c r="AH301" i="1"/>
  <c r="AI301" i="1"/>
  <c r="AJ301" i="1"/>
  <c r="AD302" i="1"/>
  <c r="AE302" i="1"/>
  <c r="AF302" i="1"/>
  <c r="AG302" i="1"/>
  <c r="AH302" i="1"/>
  <c r="AI302" i="1"/>
  <c r="AJ302" i="1"/>
  <c r="AD303" i="1"/>
  <c r="AE303" i="1"/>
  <c r="AF303" i="1"/>
  <c r="AG303" i="1"/>
  <c r="AH303" i="1"/>
  <c r="AI303" i="1"/>
  <c r="AJ303" i="1"/>
  <c r="AD304" i="1"/>
  <c r="AE304" i="1"/>
  <c r="AF304" i="1"/>
  <c r="AG304" i="1"/>
  <c r="AH304" i="1"/>
  <c r="AI304" i="1"/>
  <c r="AJ304" i="1"/>
  <c r="AD305" i="1"/>
  <c r="AE305" i="1"/>
  <c r="AF305" i="1"/>
  <c r="AG305" i="1"/>
  <c r="AH305" i="1"/>
  <c r="AI305" i="1"/>
  <c r="AJ305" i="1"/>
  <c r="AD306" i="1"/>
  <c r="AE306" i="1"/>
  <c r="AF306" i="1"/>
  <c r="AG306" i="1"/>
  <c r="AH306" i="1"/>
  <c r="AI306" i="1"/>
  <c r="AJ306" i="1"/>
  <c r="AD307" i="1"/>
  <c r="AE307" i="1"/>
  <c r="AF307" i="1"/>
  <c r="AG307" i="1"/>
  <c r="AH307" i="1"/>
  <c r="AI307" i="1"/>
  <c r="AJ307" i="1"/>
  <c r="AD308" i="1"/>
  <c r="AE308" i="1"/>
  <c r="AF308" i="1"/>
  <c r="AG308" i="1"/>
  <c r="AH308" i="1"/>
  <c r="AI308" i="1"/>
  <c r="AJ308" i="1"/>
  <c r="AD309" i="1"/>
  <c r="AE309" i="1"/>
  <c r="AF309" i="1"/>
  <c r="AG309" i="1"/>
  <c r="AH309" i="1"/>
  <c r="AI309" i="1"/>
  <c r="AJ309" i="1"/>
  <c r="AD310" i="1"/>
  <c r="AE310" i="1"/>
  <c r="AF310" i="1"/>
  <c r="AG310" i="1"/>
  <c r="AH310" i="1"/>
  <c r="AI310" i="1"/>
  <c r="AJ310" i="1"/>
  <c r="AD311" i="1"/>
  <c r="AE311" i="1"/>
  <c r="AF311" i="1"/>
  <c r="AG311" i="1"/>
  <c r="AH311" i="1"/>
  <c r="AI311" i="1"/>
  <c r="AJ311" i="1"/>
  <c r="AD312" i="1"/>
  <c r="AE312" i="1"/>
  <c r="AF312" i="1"/>
  <c r="AG312" i="1"/>
  <c r="AH312" i="1"/>
  <c r="AI312" i="1"/>
  <c r="AJ312" i="1"/>
  <c r="AD313" i="1"/>
  <c r="AE313" i="1"/>
  <c r="AF313" i="1"/>
  <c r="AG313" i="1"/>
  <c r="AH313" i="1"/>
  <c r="AI313" i="1"/>
  <c r="AJ313" i="1"/>
  <c r="AD314" i="1"/>
  <c r="AE314" i="1"/>
  <c r="AF314" i="1"/>
  <c r="AG314" i="1"/>
  <c r="AH314" i="1"/>
  <c r="AI314" i="1"/>
  <c r="AJ314" i="1"/>
  <c r="AD315" i="1"/>
  <c r="AE315" i="1"/>
  <c r="AF315" i="1"/>
  <c r="AG315" i="1"/>
  <c r="AH315" i="1"/>
  <c r="AI315" i="1"/>
  <c r="AJ315" i="1"/>
  <c r="AD316" i="1"/>
  <c r="AE316" i="1"/>
  <c r="AF316" i="1"/>
  <c r="AG316" i="1"/>
  <c r="AH316" i="1"/>
  <c r="AI316" i="1"/>
  <c r="AJ316" i="1"/>
  <c r="AD317" i="1"/>
  <c r="AE317" i="1"/>
  <c r="AF317" i="1"/>
  <c r="AG317" i="1"/>
  <c r="AH317" i="1"/>
  <c r="AI317" i="1"/>
  <c r="AJ317" i="1"/>
  <c r="AD318" i="1"/>
  <c r="AE318" i="1"/>
  <c r="AF318" i="1"/>
  <c r="AG318" i="1"/>
  <c r="AH318" i="1"/>
  <c r="AI318" i="1"/>
  <c r="AJ318" i="1"/>
  <c r="AD319" i="1"/>
  <c r="AE319" i="1"/>
  <c r="AF319" i="1"/>
  <c r="AG319" i="1"/>
  <c r="AH319" i="1"/>
  <c r="AI319" i="1"/>
  <c r="AJ319" i="1"/>
  <c r="AD320" i="1"/>
  <c r="AE320" i="1"/>
  <c r="AF320" i="1"/>
  <c r="AG320" i="1"/>
  <c r="AH320" i="1"/>
  <c r="AI320" i="1"/>
  <c r="AJ320" i="1"/>
  <c r="AD321" i="1"/>
  <c r="AE321" i="1"/>
  <c r="AF321" i="1"/>
  <c r="AG321" i="1"/>
  <c r="AH321" i="1"/>
  <c r="AI321" i="1"/>
  <c r="AJ321" i="1"/>
  <c r="AD322" i="1"/>
  <c r="AE322" i="1"/>
  <c r="AF322" i="1"/>
  <c r="AG322" i="1"/>
  <c r="AH322" i="1"/>
  <c r="AI322" i="1"/>
  <c r="AJ322" i="1"/>
  <c r="AD323" i="1"/>
  <c r="AE323" i="1"/>
  <c r="AF323" i="1"/>
  <c r="AG323" i="1"/>
  <c r="AH323" i="1"/>
  <c r="AI323" i="1"/>
  <c r="AJ323" i="1"/>
  <c r="AD324" i="1"/>
  <c r="AE324" i="1"/>
  <c r="AF324" i="1"/>
  <c r="AG324" i="1"/>
  <c r="AH324" i="1"/>
  <c r="AI324" i="1"/>
  <c r="AJ324" i="1"/>
  <c r="AD325" i="1"/>
  <c r="AE325" i="1"/>
  <c r="AF325" i="1"/>
  <c r="AG325" i="1"/>
  <c r="AH325" i="1"/>
  <c r="AI325" i="1"/>
  <c r="AJ325" i="1"/>
  <c r="AD326" i="1"/>
  <c r="AE326" i="1"/>
  <c r="AF326" i="1"/>
  <c r="AG326" i="1"/>
  <c r="AH326" i="1"/>
  <c r="AI326" i="1"/>
  <c r="AJ326" i="1"/>
  <c r="AD327" i="1"/>
  <c r="AE327" i="1"/>
  <c r="AF327" i="1"/>
  <c r="AG327" i="1"/>
  <c r="AH327" i="1"/>
  <c r="AI327" i="1"/>
  <c r="AJ327" i="1"/>
  <c r="AD328" i="1"/>
  <c r="AE328" i="1"/>
  <c r="AF328" i="1"/>
  <c r="AG328" i="1"/>
  <c r="AH328" i="1"/>
  <c r="AI328" i="1"/>
  <c r="AJ328" i="1"/>
  <c r="AD329" i="1"/>
  <c r="AE329" i="1"/>
  <c r="AF329" i="1"/>
  <c r="AG329" i="1"/>
  <c r="AH329" i="1"/>
  <c r="AI329" i="1"/>
  <c r="AJ329" i="1"/>
  <c r="AD330" i="1"/>
  <c r="AE330" i="1"/>
  <c r="AF330" i="1"/>
  <c r="AG330" i="1"/>
  <c r="AH330" i="1"/>
  <c r="AI330" i="1"/>
  <c r="AJ330" i="1"/>
  <c r="AD331" i="1"/>
  <c r="AE331" i="1"/>
  <c r="AF331" i="1"/>
  <c r="AG331" i="1"/>
  <c r="AH331" i="1"/>
  <c r="AI331" i="1"/>
  <c r="AJ331" i="1"/>
  <c r="AD332" i="1"/>
  <c r="AE332" i="1"/>
  <c r="AF332" i="1"/>
  <c r="AG332" i="1"/>
  <c r="AH332" i="1"/>
  <c r="AI332" i="1"/>
  <c r="AJ332" i="1"/>
  <c r="AD333" i="1"/>
  <c r="AE333" i="1"/>
  <c r="AF333" i="1"/>
  <c r="AG333" i="1"/>
  <c r="AH333" i="1"/>
  <c r="AI333" i="1"/>
  <c r="AJ333" i="1"/>
  <c r="AD334" i="1"/>
  <c r="AE334" i="1"/>
  <c r="AF334" i="1"/>
  <c r="AG334" i="1"/>
  <c r="AH334" i="1"/>
  <c r="AI334" i="1"/>
  <c r="AJ334" i="1"/>
  <c r="AD335" i="1"/>
  <c r="AE335" i="1"/>
  <c r="AF335" i="1"/>
  <c r="AG335" i="1"/>
  <c r="AH335" i="1"/>
  <c r="AI335" i="1"/>
  <c r="AJ335" i="1"/>
  <c r="AD336" i="1"/>
  <c r="AE336" i="1"/>
  <c r="AF336" i="1"/>
  <c r="AG336" i="1"/>
  <c r="AH336" i="1"/>
  <c r="AI336" i="1"/>
  <c r="AJ336" i="1"/>
  <c r="AD337" i="1"/>
  <c r="AE337" i="1"/>
  <c r="AF337" i="1"/>
  <c r="AG337" i="1"/>
  <c r="AH337" i="1"/>
  <c r="AI337" i="1"/>
  <c r="AJ337" i="1"/>
  <c r="AD338" i="1"/>
  <c r="AE338" i="1"/>
  <c r="AF338" i="1"/>
  <c r="AG338" i="1"/>
  <c r="AH338" i="1"/>
  <c r="AI338" i="1"/>
  <c r="AJ338" i="1"/>
  <c r="AD339" i="1"/>
  <c r="AE339" i="1"/>
  <c r="AF339" i="1"/>
  <c r="AG339" i="1"/>
  <c r="AH339" i="1"/>
  <c r="AI339" i="1"/>
  <c r="AJ339" i="1"/>
  <c r="AD340" i="1"/>
  <c r="AE340" i="1"/>
  <c r="AF340" i="1"/>
  <c r="AG340" i="1"/>
  <c r="AH340" i="1"/>
  <c r="AI340" i="1"/>
  <c r="AJ340" i="1"/>
  <c r="AD341" i="1"/>
  <c r="AE341" i="1"/>
  <c r="AF341" i="1"/>
  <c r="AG341" i="1"/>
  <c r="AH341" i="1"/>
  <c r="AI341" i="1"/>
  <c r="AJ341" i="1"/>
  <c r="AD342" i="1"/>
  <c r="AE342" i="1"/>
  <c r="AF342" i="1"/>
  <c r="AG342" i="1"/>
  <c r="AH342" i="1"/>
  <c r="AI342" i="1"/>
  <c r="AJ342" i="1"/>
  <c r="AD343" i="1"/>
  <c r="AE343" i="1"/>
  <c r="AF343" i="1"/>
  <c r="AG343" i="1"/>
  <c r="AH343" i="1"/>
  <c r="AI343" i="1"/>
  <c r="AJ343" i="1"/>
  <c r="AD344" i="1"/>
  <c r="AE344" i="1"/>
  <c r="AF344" i="1"/>
  <c r="AG344" i="1"/>
  <c r="AH344" i="1"/>
  <c r="AI344" i="1"/>
  <c r="AJ344" i="1"/>
  <c r="AD345" i="1"/>
  <c r="AE345" i="1"/>
  <c r="AF345" i="1"/>
  <c r="AG345" i="1"/>
  <c r="AH345" i="1"/>
  <c r="AI345" i="1"/>
  <c r="AJ345" i="1"/>
  <c r="AD346" i="1"/>
  <c r="AE346" i="1"/>
  <c r="AF346" i="1"/>
  <c r="AG346" i="1"/>
  <c r="AH346" i="1"/>
  <c r="AI346" i="1"/>
  <c r="AJ346" i="1"/>
  <c r="AD347" i="1"/>
  <c r="AE347" i="1"/>
  <c r="AF347" i="1"/>
  <c r="AG347" i="1"/>
  <c r="AH347" i="1"/>
  <c r="AI347" i="1"/>
  <c r="AJ347" i="1"/>
  <c r="AD348" i="1"/>
  <c r="AE348" i="1"/>
  <c r="AF348" i="1"/>
  <c r="AG348" i="1"/>
  <c r="AH348" i="1"/>
  <c r="AI348" i="1"/>
  <c r="AJ348" i="1"/>
  <c r="AD349" i="1"/>
  <c r="AE349" i="1"/>
  <c r="AF349" i="1"/>
  <c r="AG349" i="1"/>
  <c r="AH349" i="1"/>
  <c r="AI349" i="1"/>
  <c r="AJ349" i="1"/>
  <c r="AD350" i="1"/>
  <c r="AE350" i="1"/>
  <c r="AF350" i="1"/>
  <c r="AG350" i="1"/>
  <c r="AH350" i="1"/>
  <c r="AI350" i="1"/>
  <c r="AJ350" i="1"/>
  <c r="AD351" i="1"/>
  <c r="AE351" i="1"/>
  <c r="AF351" i="1"/>
  <c r="AG351" i="1"/>
  <c r="AH351" i="1"/>
  <c r="AI351" i="1"/>
  <c r="AJ351" i="1"/>
  <c r="AD352" i="1"/>
  <c r="AE352" i="1"/>
  <c r="AF352" i="1"/>
  <c r="AG352" i="1"/>
  <c r="AH352" i="1"/>
  <c r="AI352" i="1"/>
  <c r="AJ352" i="1"/>
  <c r="AD353" i="1"/>
  <c r="AE353" i="1"/>
  <c r="AF353" i="1"/>
  <c r="AG353" i="1"/>
  <c r="AH353" i="1"/>
  <c r="AI353" i="1"/>
  <c r="AJ353" i="1"/>
  <c r="AD354" i="1"/>
  <c r="AE354" i="1"/>
  <c r="AF354" i="1"/>
  <c r="AG354" i="1"/>
  <c r="AH354" i="1"/>
  <c r="AI354" i="1"/>
  <c r="AJ354" i="1"/>
  <c r="AD355" i="1"/>
  <c r="AE355" i="1"/>
  <c r="AF355" i="1"/>
  <c r="AG355" i="1"/>
  <c r="AH355" i="1"/>
  <c r="AI355" i="1"/>
  <c r="AJ355" i="1"/>
  <c r="AD356" i="1"/>
  <c r="AE356" i="1"/>
  <c r="AF356" i="1"/>
  <c r="AG356" i="1"/>
  <c r="AH356" i="1"/>
  <c r="AI356" i="1"/>
  <c r="AJ356" i="1"/>
  <c r="AD357" i="1"/>
  <c r="AE357" i="1"/>
  <c r="AF357" i="1"/>
  <c r="AG357" i="1"/>
  <c r="AH357" i="1"/>
  <c r="AI357" i="1"/>
  <c r="AJ357" i="1"/>
  <c r="AD358" i="1"/>
  <c r="AE358" i="1"/>
  <c r="AF358" i="1"/>
  <c r="AG358" i="1"/>
  <c r="AH358" i="1"/>
  <c r="AI358" i="1"/>
  <c r="AJ358" i="1"/>
  <c r="AD359" i="1"/>
  <c r="AE359" i="1"/>
  <c r="AF359" i="1"/>
  <c r="AG359" i="1"/>
  <c r="AH359" i="1"/>
  <c r="AI359" i="1"/>
  <c r="AJ359" i="1"/>
  <c r="AD360" i="1"/>
  <c r="AE360" i="1"/>
  <c r="AF360" i="1"/>
  <c r="AG360" i="1"/>
  <c r="AH360" i="1"/>
  <c r="AI360" i="1"/>
  <c r="AJ360" i="1"/>
  <c r="AD361" i="1"/>
  <c r="AE361" i="1"/>
  <c r="AF361" i="1"/>
  <c r="AG361" i="1"/>
  <c r="AH361" i="1"/>
  <c r="AI361" i="1"/>
  <c r="AJ361" i="1"/>
  <c r="AD362" i="1"/>
  <c r="AE362" i="1"/>
  <c r="AF362" i="1"/>
  <c r="AG362" i="1"/>
  <c r="AH362" i="1"/>
  <c r="AI362" i="1"/>
  <c r="AJ362" i="1"/>
  <c r="AD363" i="1"/>
  <c r="AE363" i="1"/>
  <c r="AF363" i="1"/>
  <c r="AG363" i="1"/>
  <c r="AH363" i="1"/>
  <c r="AI363" i="1"/>
  <c r="AJ363" i="1"/>
  <c r="AD364" i="1"/>
  <c r="AE364" i="1"/>
  <c r="AF364" i="1"/>
  <c r="AG364" i="1"/>
  <c r="AH364" i="1"/>
  <c r="AI364" i="1"/>
  <c r="AJ364" i="1"/>
  <c r="AD365" i="1"/>
  <c r="AE365" i="1"/>
  <c r="AF365" i="1"/>
  <c r="AG365" i="1"/>
  <c r="AH365" i="1"/>
  <c r="AI365" i="1"/>
  <c r="AJ365" i="1"/>
  <c r="AD366" i="1"/>
  <c r="AE366" i="1"/>
  <c r="AF366" i="1"/>
  <c r="AG366" i="1"/>
  <c r="AH366" i="1"/>
  <c r="AI366" i="1"/>
  <c r="AJ366" i="1"/>
  <c r="AD367" i="1"/>
  <c r="AE367" i="1"/>
  <c r="AF367" i="1"/>
  <c r="AG367" i="1"/>
  <c r="AH367" i="1"/>
  <c r="AI367" i="1"/>
  <c r="AJ367" i="1"/>
  <c r="AD368" i="1"/>
  <c r="AE368" i="1"/>
  <c r="AF368" i="1"/>
  <c r="AG368" i="1"/>
  <c r="AH368" i="1"/>
  <c r="AI368" i="1"/>
  <c r="AJ368" i="1"/>
  <c r="AD369" i="1"/>
  <c r="AE369" i="1"/>
  <c r="AF369" i="1"/>
  <c r="AG369" i="1"/>
  <c r="AH369" i="1"/>
  <c r="AI369" i="1"/>
  <c r="AJ369" i="1"/>
  <c r="AD370" i="1"/>
  <c r="AE370" i="1"/>
  <c r="AF370" i="1"/>
  <c r="AG370" i="1"/>
  <c r="AH370" i="1"/>
  <c r="AI370" i="1"/>
  <c r="AJ370" i="1"/>
  <c r="AD371" i="1"/>
  <c r="AE371" i="1"/>
  <c r="AF371" i="1"/>
  <c r="AG371" i="1"/>
  <c r="AH371" i="1"/>
  <c r="AI371" i="1"/>
  <c r="AJ371" i="1"/>
  <c r="AD372" i="1"/>
  <c r="AE372" i="1"/>
  <c r="AF372" i="1"/>
  <c r="AG372" i="1"/>
  <c r="AH372" i="1"/>
  <c r="AI372" i="1"/>
  <c r="AJ372" i="1"/>
  <c r="AD373" i="1"/>
  <c r="AE373" i="1"/>
  <c r="AF373" i="1"/>
  <c r="AG373" i="1"/>
  <c r="AH373" i="1"/>
  <c r="AI373" i="1"/>
  <c r="AJ373" i="1"/>
  <c r="AD374" i="1"/>
  <c r="AE374" i="1"/>
  <c r="AF374" i="1"/>
  <c r="AG374" i="1"/>
  <c r="AH374" i="1"/>
  <c r="AI374" i="1"/>
  <c r="AJ374" i="1"/>
  <c r="AD375" i="1"/>
  <c r="AE375" i="1"/>
  <c r="AF375" i="1"/>
  <c r="AG375" i="1"/>
  <c r="AH375" i="1"/>
  <c r="AI375" i="1"/>
  <c r="AJ375" i="1"/>
  <c r="AD376" i="1"/>
  <c r="AE376" i="1"/>
  <c r="AF376" i="1"/>
  <c r="AG376" i="1"/>
  <c r="AH376" i="1"/>
  <c r="AI376" i="1"/>
  <c r="AJ376" i="1"/>
  <c r="AD377" i="1"/>
  <c r="AE377" i="1"/>
  <c r="AF377" i="1"/>
  <c r="AG377" i="1"/>
  <c r="AH377" i="1"/>
  <c r="AI377" i="1"/>
  <c r="AJ377" i="1"/>
  <c r="AD378" i="1"/>
  <c r="AE378" i="1"/>
  <c r="AF378" i="1"/>
  <c r="AG378" i="1"/>
  <c r="AH378" i="1"/>
  <c r="AI378" i="1"/>
  <c r="AJ378" i="1"/>
  <c r="AD379" i="1"/>
  <c r="AE379" i="1"/>
  <c r="AF379" i="1"/>
  <c r="AG379" i="1"/>
  <c r="AH379" i="1"/>
  <c r="AI379" i="1"/>
  <c r="AJ379" i="1"/>
  <c r="AD380" i="1"/>
  <c r="AE380" i="1"/>
  <c r="AF380" i="1"/>
  <c r="AG380" i="1"/>
  <c r="AH380" i="1"/>
  <c r="AI380" i="1"/>
  <c r="AJ380" i="1"/>
  <c r="AD381" i="1"/>
  <c r="AE381" i="1"/>
  <c r="AF381" i="1"/>
  <c r="AG381" i="1"/>
  <c r="AH381" i="1"/>
  <c r="AI381" i="1"/>
  <c r="AJ381" i="1"/>
  <c r="AD382" i="1"/>
  <c r="AE382" i="1"/>
  <c r="AF382" i="1"/>
  <c r="AG382" i="1"/>
  <c r="AH382" i="1"/>
  <c r="AI382" i="1"/>
  <c r="AJ382" i="1"/>
  <c r="AD383" i="1"/>
  <c r="AE383" i="1"/>
  <c r="AF383" i="1"/>
  <c r="AG383" i="1"/>
  <c r="AH383" i="1"/>
  <c r="AI383" i="1"/>
  <c r="AJ383" i="1"/>
  <c r="AD384" i="1"/>
  <c r="AE384" i="1"/>
  <c r="AF384" i="1"/>
  <c r="AG384" i="1"/>
  <c r="AH384" i="1"/>
  <c r="AI384" i="1"/>
  <c r="AJ384" i="1"/>
  <c r="AD385" i="1"/>
  <c r="AE385" i="1"/>
  <c r="AF385" i="1"/>
  <c r="AG385" i="1"/>
  <c r="AH385" i="1"/>
  <c r="AI385" i="1"/>
  <c r="AJ385" i="1"/>
  <c r="AD386" i="1"/>
  <c r="AE386" i="1"/>
  <c r="AF386" i="1"/>
  <c r="AG386" i="1"/>
  <c r="AH386" i="1"/>
  <c r="AI386" i="1"/>
  <c r="AJ386" i="1"/>
  <c r="AD387" i="1"/>
  <c r="AE387" i="1"/>
  <c r="AF387" i="1"/>
  <c r="AG387" i="1"/>
  <c r="AH387" i="1"/>
  <c r="AI387" i="1"/>
  <c r="AJ387" i="1"/>
  <c r="AD388" i="1"/>
  <c r="AE388" i="1"/>
  <c r="AF388" i="1"/>
  <c r="AG388" i="1"/>
  <c r="AH388" i="1"/>
  <c r="AI388" i="1"/>
  <c r="AJ388" i="1"/>
  <c r="AD389" i="1"/>
  <c r="AE389" i="1"/>
  <c r="AF389" i="1"/>
  <c r="AG389" i="1"/>
  <c r="AH389" i="1"/>
  <c r="AI389" i="1"/>
  <c r="AJ389" i="1"/>
  <c r="AD390" i="1"/>
  <c r="AE390" i="1"/>
  <c r="AF390" i="1"/>
  <c r="AG390" i="1"/>
  <c r="AH390" i="1"/>
  <c r="AI390" i="1"/>
  <c r="AJ390" i="1"/>
  <c r="AD391" i="1"/>
  <c r="AE391" i="1"/>
  <c r="AF391" i="1"/>
  <c r="AG391" i="1"/>
  <c r="AH391" i="1"/>
  <c r="AI391" i="1"/>
  <c r="AJ391" i="1"/>
  <c r="AD392" i="1"/>
  <c r="AE392" i="1"/>
  <c r="AF392" i="1"/>
  <c r="AG392" i="1"/>
  <c r="AH392" i="1"/>
  <c r="AI392" i="1"/>
  <c r="AJ392" i="1"/>
  <c r="AD393" i="1"/>
  <c r="AE393" i="1"/>
  <c r="AF393" i="1"/>
  <c r="AG393" i="1"/>
  <c r="AH393" i="1"/>
  <c r="AI393" i="1"/>
  <c r="AJ393" i="1"/>
  <c r="AD394" i="1"/>
  <c r="AE394" i="1"/>
  <c r="AF394" i="1"/>
  <c r="AG394" i="1"/>
  <c r="AH394" i="1"/>
  <c r="AI394" i="1"/>
  <c r="AJ394" i="1"/>
  <c r="AD395" i="1"/>
  <c r="AE395" i="1"/>
  <c r="AF395" i="1"/>
  <c r="AG395" i="1"/>
  <c r="AH395" i="1"/>
  <c r="AI395" i="1"/>
  <c r="AJ395" i="1"/>
  <c r="AD396" i="1"/>
  <c r="AE396" i="1"/>
  <c r="AF396" i="1"/>
  <c r="AG396" i="1"/>
  <c r="AH396" i="1"/>
  <c r="AI396" i="1"/>
  <c r="AJ396" i="1"/>
  <c r="AD397" i="1"/>
  <c r="AE397" i="1"/>
  <c r="AF397" i="1"/>
  <c r="AG397" i="1"/>
  <c r="AH397" i="1"/>
  <c r="AI397" i="1"/>
  <c r="AJ397" i="1"/>
  <c r="AD398" i="1"/>
  <c r="AE398" i="1"/>
  <c r="AF398" i="1"/>
  <c r="AG398" i="1"/>
  <c r="AH398" i="1"/>
  <c r="AI398" i="1"/>
  <c r="AJ398" i="1"/>
  <c r="AD399" i="1"/>
  <c r="AE399" i="1"/>
  <c r="AF399" i="1"/>
  <c r="AG399" i="1"/>
  <c r="AH399" i="1"/>
  <c r="AI399" i="1"/>
  <c r="AJ399" i="1"/>
  <c r="AD400" i="1"/>
  <c r="AE400" i="1"/>
  <c r="AF400" i="1"/>
  <c r="AG400" i="1"/>
  <c r="AH400" i="1"/>
  <c r="AI400" i="1"/>
  <c r="AJ400" i="1"/>
  <c r="AD401" i="1"/>
  <c r="AE401" i="1"/>
  <c r="AF401" i="1"/>
  <c r="AG401" i="1"/>
  <c r="AH401" i="1"/>
  <c r="AI401" i="1"/>
  <c r="AJ401" i="1"/>
  <c r="AD402" i="1"/>
  <c r="AE402" i="1"/>
  <c r="AF402" i="1"/>
  <c r="AG402" i="1"/>
  <c r="AH402" i="1"/>
  <c r="AI402" i="1"/>
  <c r="AJ402" i="1"/>
  <c r="AD403" i="1"/>
  <c r="AE403" i="1"/>
  <c r="AF403" i="1"/>
  <c r="AG403" i="1"/>
  <c r="AH403" i="1"/>
  <c r="AI403" i="1"/>
  <c r="AJ403" i="1"/>
  <c r="AD404" i="1"/>
  <c r="AE404" i="1"/>
  <c r="AF404" i="1"/>
  <c r="AG404" i="1"/>
  <c r="AH404" i="1"/>
  <c r="AI404" i="1"/>
  <c r="AJ404" i="1"/>
  <c r="AD405" i="1"/>
  <c r="AE405" i="1"/>
  <c r="AF405" i="1"/>
  <c r="AG405" i="1"/>
  <c r="AH405" i="1"/>
  <c r="AI405" i="1"/>
  <c r="AJ405" i="1"/>
  <c r="AD406" i="1"/>
  <c r="AE406" i="1"/>
  <c r="AF406" i="1"/>
  <c r="AG406" i="1"/>
  <c r="AH406" i="1"/>
  <c r="AI406" i="1"/>
  <c r="AJ406" i="1"/>
  <c r="AD407" i="1"/>
  <c r="AE407" i="1"/>
  <c r="AF407" i="1"/>
  <c r="AG407" i="1"/>
  <c r="AH407" i="1"/>
  <c r="AI407" i="1"/>
  <c r="AJ407" i="1"/>
  <c r="AD408" i="1"/>
  <c r="AE408" i="1"/>
  <c r="AF408" i="1"/>
  <c r="AG408" i="1"/>
  <c r="AH408" i="1"/>
  <c r="AI408" i="1"/>
  <c r="AJ408" i="1"/>
  <c r="AD409" i="1"/>
  <c r="AE409" i="1"/>
  <c r="AF409" i="1"/>
  <c r="AG409" i="1"/>
  <c r="AH409" i="1"/>
  <c r="AI409" i="1"/>
  <c r="AJ409" i="1"/>
  <c r="AD410" i="1"/>
  <c r="AE410" i="1"/>
  <c r="AF410" i="1"/>
  <c r="AG410" i="1"/>
  <c r="AH410" i="1"/>
  <c r="AI410" i="1"/>
  <c r="AJ410" i="1"/>
  <c r="AD411" i="1"/>
  <c r="AE411" i="1"/>
  <c r="AF411" i="1"/>
  <c r="AG411" i="1"/>
  <c r="AH411" i="1"/>
  <c r="AI411" i="1"/>
  <c r="AJ411" i="1"/>
  <c r="AD412" i="1"/>
  <c r="AE412" i="1"/>
  <c r="AF412" i="1"/>
  <c r="AG412" i="1"/>
  <c r="AH412" i="1"/>
  <c r="AI412" i="1"/>
  <c r="AJ412" i="1"/>
  <c r="AD413" i="1"/>
  <c r="AE413" i="1"/>
  <c r="AF413" i="1"/>
  <c r="AG413" i="1"/>
  <c r="AH413" i="1"/>
  <c r="AI413" i="1"/>
  <c r="AJ413" i="1"/>
  <c r="AD414" i="1"/>
  <c r="AE414" i="1"/>
  <c r="AF414" i="1"/>
  <c r="AG414" i="1"/>
  <c r="AH414" i="1"/>
  <c r="AI414" i="1"/>
  <c r="AJ414" i="1"/>
  <c r="AD415" i="1"/>
  <c r="AE415" i="1"/>
  <c r="AF415" i="1"/>
  <c r="AG415" i="1"/>
  <c r="AH415" i="1"/>
  <c r="AI415" i="1"/>
  <c r="AJ415" i="1"/>
  <c r="AD416" i="1"/>
  <c r="AE416" i="1"/>
  <c r="AF416" i="1"/>
  <c r="AG416" i="1"/>
  <c r="AH416" i="1"/>
  <c r="AI416" i="1"/>
  <c r="AJ416" i="1"/>
  <c r="AD417" i="1"/>
  <c r="AE417" i="1"/>
  <c r="AF417" i="1"/>
  <c r="AG417" i="1"/>
  <c r="AH417" i="1"/>
  <c r="AI417" i="1"/>
  <c r="AJ417" i="1"/>
  <c r="AD418" i="1"/>
  <c r="AE418" i="1"/>
  <c r="AF418" i="1"/>
  <c r="AG418" i="1"/>
  <c r="AH418" i="1"/>
  <c r="AI418" i="1"/>
  <c r="AJ418" i="1"/>
  <c r="AD419" i="1"/>
  <c r="AE419" i="1"/>
  <c r="AF419" i="1"/>
  <c r="AG419" i="1"/>
  <c r="AH419" i="1"/>
  <c r="AI419" i="1"/>
  <c r="AJ419" i="1"/>
  <c r="AD420" i="1"/>
  <c r="AE420" i="1"/>
  <c r="AF420" i="1"/>
  <c r="AG420" i="1"/>
  <c r="AH420" i="1"/>
  <c r="AI420" i="1"/>
  <c r="AJ420" i="1"/>
  <c r="AD421" i="1"/>
  <c r="AE421" i="1"/>
  <c r="AF421" i="1"/>
  <c r="AG421" i="1"/>
  <c r="AH421" i="1"/>
  <c r="AI421" i="1"/>
  <c r="AJ421" i="1"/>
  <c r="AD422" i="1"/>
  <c r="AE422" i="1"/>
  <c r="AF422" i="1"/>
  <c r="AG422" i="1"/>
  <c r="AH422" i="1"/>
  <c r="AI422" i="1"/>
  <c r="AJ422" i="1"/>
  <c r="AD423" i="1"/>
  <c r="AE423" i="1"/>
  <c r="AF423" i="1"/>
  <c r="AG423" i="1"/>
  <c r="AH423" i="1"/>
  <c r="AI423" i="1"/>
  <c r="AJ423" i="1"/>
  <c r="AD424" i="1"/>
  <c r="AE424" i="1"/>
  <c r="AF424" i="1"/>
  <c r="AG424" i="1"/>
  <c r="AH424" i="1"/>
  <c r="AI424" i="1"/>
  <c r="AJ424" i="1"/>
  <c r="AD425" i="1"/>
  <c r="AE425" i="1"/>
  <c r="AF425" i="1"/>
  <c r="AG425" i="1"/>
  <c r="AH425" i="1"/>
  <c r="AI425" i="1"/>
  <c r="AJ425" i="1"/>
  <c r="AD426" i="1"/>
  <c r="AE426" i="1"/>
  <c r="AF426" i="1"/>
  <c r="AG426" i="1"/>
  <c r="AH426" i="1"/>
  <c r="AI426" i="1"/>
  <c r="AJ426" i="1"/>
  <c r="AD427" i="1"/>
  <c r="AE427" i="1"/>
  <c r="AF427" i="1"/>
  <c r="AG427" i="1"/>
  <c r="AH427" i="1"/>
  <c r="AI427" i="1"/>
  <c r="AJ427" i="1"/>
  <c r="AD428" i="1"/>
  <c r="AE428" i="1"/>
  <c r="AF428" i="1"/>
  <c r="AG428" i="1"/>
  <c r="AH428" i="1"/>
  <c r="AI428" i="1"/>
  <c r="AJ428" i="1"/>
  <c r="AD429" i="1"/>
  <c r="AE429" i="1"/>
  <c r="AF429" i="1"/>
  <c r="AG429" i="1"/>
  <c r="AH429" i="1"/>
  <c r="AI429" i="1"/>
  <c r="AJ429" i="1"/>
  <c r="AD430" i="1"/>
  <c r="AE430" i="1"/>
  <c r="AF430" i="1"/>
  <c r="AG430" i="1"/>
  <c r="AH430" i="1"/>
  <c r="AI430" i="1"/>
  <c r="AJ430" i="1"/>
  <c r="AD431" i="1"/>
  <c r="AE431" i="1"/>
  <c r="AF431" i="1"/>
  <c r="AG431" i="1"/>
  <c r="AH431" i="1"/>
  <c r="AI431" i="1"/>
  <c r="AJ431" i="1"/>
  <c r="AD432" i="1"/>
  <c r="AE432" i="1"/>
  <c r="AF432" i="1"/>
  <c r="AG432" i="1"/>
  <c r="AH432" i="1"/>
  <c r="AI432" i="1"/>
  <c r="AJ432" i="1"/>
  <c r="AD433" i="1"/>
  <c r="AE433" i="1"/>
  <c r="AF433" i="1"/>
  <c r="AG433" i="1"/>
  <c r="AH433" i="1"/>
  <c r="AI433" i="1"/>
  <c r="AJ433" i="1"/>
  <c r="AD434" i="1"/>
  <c r="AE434" i="1"/>
  <c r="AF434" i="1"/>
  <c r="AG434" i="1"/>
  <c r="AH434" i="1"/>
  <c r="AI434" i="1"/>
  <c r="AJ434" i="1"/>
  <c r="AD435" i="1"/>
  <c r="AE435" i="1"/>
  <c r="AF435" i="1"/>
  <c r="AG435" i="1"/>
  <c r="AH435" i="1"/>
  <c r="AI435" i="1"/>
  <c r="AJ435" i="1"/>
  <c r="AD436" i="1"/>
  <c r="AE436" i="1"/>
  <c r="AF436" i="1"/>
  <c r="AG436" i="1"/>
  <c r="AH436" i="1"/>
  <c r="AI436" i="1"/>
  <c r="AJ436" i="1"/>
  <c r="AD437" i="1"/>
  <c r="AE437" i="1"/>
  <c r="AF437" i="1"/>
  <c r="AG437" i="1"/>
  <c r="AH437" i="1"/>
  <c r="AI437" i="1"/>
  <c r="AJ437" i="1"/>
  <c r="AD438" i="1"/>
  <c r="AE438" i="1"/>
  <c r="AF438" i="1"/>
  <c r="AG438" i="1"/>
  <c r="AH438" i="1"/>
  <c r="AI438" i="1"/>
  <c r="AJ438" i="1"/>
  <c r="AD439" i="1"/>
  <c r="AE439" i="1"/>
  <c r="AF439" i="1"/>
  <c r="AG439" i="1"/>
  <c r="AH439" i="1"/>
  <c r="AI439" i="1"/>
  <c r="AJ439" i="1"/>
  <c r="AD440" i="1"/>
  <c r="AE440" i="1"/>
  <c r="AF440" i="1"/>
  <c r="AG440" i="1"/>
  <c r="AH440" i="1"/>
  <c r="AI440" i="1"/>
  <c r="AJ440" i="1"/>
  <c r="AD441" i="1"/>
  <c r="AE441" i="1"/>
  <c r="AF441" i="1"/>
  <c r="AG441" i="1"/>
  <c r="AH441" i="1"/>
  <c r="AI441" i="1"/>
  <c r="AJ441" i="1"/>
  <c r="AD442" i="1"/>
  <c r="AE442" i="1"/>
  <c r="AF442" i="1"/>
  <c r="AG442" i="1"/>
  <c r="AH442" i="1"/>
  <c r="AI442" i="1"/>
  <c r="AJ442" i="1"/>
  <c r="AD443" i="1"/>
  <c r="AE443" i="1"/>
  <c r="AF443" i="1"/>
  <c r="AG443" i="1"/>
  <c r="AH443" i="1"/>
  <c r="AI443" i="1"/>
  <c r="AJ443" i="1"/>
  <c r="AD444" i="1"/>
  <c r="AE444" i="1"/>
  <c r="AF444" i="1"/>
  <c r="AG444" i="1"/>
  <c r="AH444" i="1"/>
  <c r="AI444" i="1"/>
  <c r="AJ444" i="1"/>
  <c r="AD445" i="1"/>
  <c r="AE445" i="1"/>
  <c r="AF445" i="1"/>
  <c r="AG445" i="1"/>
  <c r="AH445" i="1"/>
  <c r="AI445" i="1"/>
  <c r="AJ445" i="1"/>
  <c r="AD446" i="1"/>
  <c r="AE446" i="1"/>
  <c r="AF446" i="1"/>
  <c r="AG446" i="1"/>
  <c r="AH446" i="1"/>
  <c r="AI446" i="1"/>
  <c r="AJ446" i="1"/>
  <c r="AD447" i="1"/>
  <c r="AE447" i="1"/>
  <c r="AF447" i="1"/>
  <c r="AG447" i="1"/>
  <c r="AH447" i="1"/>
  <c r="AI447" i="1"/>
  <c r="AJ447" i="1"/>
  <c r="AD448" i="1"/>
  <c r="AE448" i="1"/>
  <c r="AF448" i="1"/>
  <c r="AG448" i="1"/>
  <c r="AH448" i="1"/>
  <c r="AI448" i="1"/>
  <c r="AJ448" i="1"/>
  <c r="AD449" i="1"/>
  <c r="AE449" i="1"/>
  <c r="AF449" i="1"/>
  <c r="AG449" i="1"/>
  <c r="AH449" i="1"/>
  <c r="AI449" i="1"/>
  <c r="AJ449" i="1"/>
  <c r="AD450" i="1"/>
  <c r="AE450" i="1"/>
  <c r="AF450" i="1"/>
  <c r="AG450" i="1"/>
  <c r="AH450" i="1"/>
  <c r="AI450" i="1"/>
  <c r="AJ450" i="1"/>
  <c r="AD451" i="1"/>
  <c r="AE451" i="1"/>
  <c r="AF451" i="1"/>
  <c r="AG451" i="1"/>
  <c r="AH451" i="1"/>
  <c r="AI451" i="1"/>
  <c r="AJ451" i="1"/>
  <c r="AD452" i="1"/>
  <c r="AE452" i="1"/>
  <c r="AF452" i="1"/>
  <c r="AG452" i="1"/>
  <c r="AH452" i="1"/>
  <c r="AI452" i="1"/>
  <c r="AJ452" i="1"/>
  <c r="AD453" i="1"/>
  <c r="AE453" i="1"/>
  <c r="AF453" i="1"/>
  <c r="AG453" i="1"/>
  <c r="AH453" i="1"/>
  <c r="AI453" i="1"/>
  <c r="AJ453" i="1"/>
  <c r="AD454" i="1"/>
  <c r="AE454" i="1"/>
  <c r="AF454" i="1"/>
  <c r="AG454" i="1"/>
  <c r="AH454" i="1"/>
  <c r="AI454" i="1"/>
  <c r="AJ454" i="1"/>
  <c r="AD455" i="1"/>
  <c r="AE455" i="1"/>
  <c r="AF455" i="1"/>
  <c r="AG455" i="1"/>
  <c r="AH455" i="1"/>
  <c r="AI455" i="1"/>
  <c r="AJ455" i="1"/>
  <c r="AD456" i="1"/>
  <c r="AE456" i="1"/>
  <c r="AF456" i="1"/>
  <c r="AG456" i="1"/>
  <c r="AH456" i="1"/>
  <c r="AI456" i="1"/>
  <c r="AJ456" i="1"/>
  <c r="AD457" i="1"/>
  <c r="AE457" i="1"/>
  <c r="AF457" i="1"/>
  <c r="AG457" i="1"/>
  <c r="AH457" i="1"/>
  <c r="AI457" i="1"/>
  <c r="AJ457" i="1"/>
  <c r="AD458" i="1"/>
  <c r="AE458" i="1"/>
  <c r="AF458" i="1"/>
  <c r="AG458" i="1"/>
  <c r="AH458" i="1"/>
  <c r="AI458" i="1"/>
  <c r="AJ458" i="1"/>
  <c r="AD459" i="1"/>
  <c r="AE459" i="1"/>
  <c r="AF459" i="1"/>
  <c r="AG459" i="1"/>
  <c r="AH459" i="1"/>
  <c r="AI459" i="1"/>
  <c r="AJ459" i="1"/>
  <c r="AD460" i="1"/>
  <c r="AE460" i="1"/>
  <c r="AF460" i="1"/>
  <c r="AG460" i="1"/>
  <c r="AH460" i="1"/>
  <c r="AI460" i="1"/>
  <c r="AJ460" i="1"/>
  <c r="AD461" i="1"/>
  <c r="AE461" i="1"/>
  <c r="AF461" i="1"/>
  <c r="AG461" i="1"/>
  <c r="AH461" i="1"/>
  <c r="AI461" i="1"/>
  <c r="AJ461" i="1"/>
  <c r="AD462" i="1"/>
  <c r="AE462" i="1"/>
  <c r="AF462" i="1"/>
  <c r="AG462" i="1"/>
  <c r="AH462" i="1"/>
  <c r="AI462" i="1"/>
  <c r="AJ462" i="1"/>
  <c r="AD463" i="1"/>
  <c r="AE463" i="1"/>
  <c r="AF463" i="1"/>
  <c r="AG463" i="1"/>
  <c r="AH463" i="1"/>
  <c r="AI463" i="1"/>
  <c r="AJ463" i="1"/>
  <c r="AD464" i="1"/>
  <c r="AE464" i="1"/>
  <c r="AF464" i="1"/>
  <c r="AG464" i="1"/>
  <c r="AH464" i="1"/>
  <c r="AI464" i="1"/>
  <c r="AJ464" i="1"/>
  <c r="AD465" i="1"/>
  <c r="AE465" i="1"/>
  <c r="AF465" i="1"/>
  <c r="AG465" i="1"/>
  <c r="AH465" i="1"/>
  <c r="AI465" i="1"/>
  <c r="AJ465" i="1"/>
  <c r="AD466" i="1"/>
  <c r="AE466" i="1"/>
  <c r="AF466" i="1"/>
  <c r="AG466" i="1"/>
  <c r="AH466" i="1"/>
  <c r="AI466" i="1"/>
  <c r="AJ466" i="1"/>
  <c r="AD467" i="1"/>
  <c r="AE467" i="1"/>
  <c r="AF467" i="1"/>
  <c r="AG467" i="1"/>
  <c r="AH467" i="1"/>
  <c r="AI467" i="1"/>
  <c r="AJ467" i="1"/>
  <c r="AD468" i="1"/>
  <c r="AE468" i="1"/>
  <c r="AF468" i="1"/>
  <c r="AG468" i="1"/>
  <c r="AH468" i="1"/>
  <c r="AI468" i="1"/>
  <c r="AJ468" i="1"/>
  <c r="AD469" i="1"/>
  <c r="AE469" i="1"/>
  <c r="AF469" i="1"/>
  <c r="AG469" i="1"/>
  <c r="AH469" i="1"/>
  <c r="AI469" i="1"/>
  <c r="AJ469" i="1"/>
  <c r="AD470" i="1"/>
  <c r="AE470" i="1"/>
  <c r="AF470" i="1"/>
  <c r="AG470" i="1"/>
  <c r="AH470" i="1"/>
  <c r="AI470" i="1"/>
  <c r="AJ470" i="1"/>
  <c r="AD471" i="1"/>
  <c r="AE471" i="1"/>
  <c r="AF471" i="1"/>
  <c r="AG471" i="1"/>
  <c r="AH471" i="1"/>
  <c r="AI471" i="1"/>
  <c r="AJ471" i="1"/>
  <c r="AD472" i="1"/>
  <c r="AE472" i="1"/>
  <c r="AF472" i="1"/>
  <c r="AG472" i="1"/>
  <c r="AH472" i="1"/>
  <c r="AI472" i="1"/>
  <c r="AJ472" i="1"/>
  <c r="AD473" i="1"/>
  <c r="AE473" i="1"/>
  <c r="AF473" i="1"/>
  <c r="AG473" i="1"/>
  <c r="AH473" i="1"/>
  <c r="AI473" i="1"/>
  <c r="AJ473" i="1"/>
  <c r="AD474" i="1"/>
  <c r="AE474" i="1"/>
  <c r="AF474" i="1"/>
  <c r="AG474" i="1"/>
  <c r="AH474" i="1"/>
  <c r="AI474" i="1"/>
  <c r="AJ474" i="1"/>
  <c r="AD475" i="1"/>
  <c r="AE475" i="1"/>
  <c r="AF475" i="1"/>
  <c r="AG475" i="1"/>
  <c r="AH475" i="1"/>
  <c r="AI475" i="1"/>
  <c r="AJ475" i="1"/>
  <c r="AD476" i="1"/>
  <c r="AE476" i="1"/>
  <c r="AF476" i="1"/>
  <c r="AG476" i="1"/>
  <c r="AH476" i="1"/>
  <c r="AI476" i="1"/>
  <c r="AJ476" i="1"/>
  <c r="AD477" i="1"/>
  <c r="AE477" i="1"/>
  <c r="AF477" i="1"/>
  <c r="AG477" i="1"/>
  <c r="AH477" i="1"/>
  <c r="AI477" i="1"/>
  <c r="AJ477" i="1"/>
  <c r="AD478" i="1"/>
  <c r="AE478" i="1"/>
  <c r="AF478" i="1"/>
  <c r="AG478" i="1"/>
  <c r="AH478" i="1"/>
  <c r="AI478" i="1"/>
  <c r="AJ478" i="1"/>
  <c r="AD479" i="1"/>
  <c r="AE479" i="1"/>
  <c r="AF479" i="1"/>
  <c r="AG479" i="1"/>
  <c r="AH479" i="1"/>
  <c r="AI479" i="1"/>
  <c r="AJ479" i="1"/>
  <c r="AD480" i="1"/>
  <c r="AE480" i="1"/>
  <c r="AF480" i="1"/>
  <c r="AG480" i="1"/>
  <c r="AH480" i="1"/>
  <c r="AI480" i="1"/>
  <c r="AJ480" i="1"/>
  <c r="AD481" i="1"/>
  <c r="AE481" i="1"/>
  <c r="AF481" i="1"/>
  <c r="AG481" i="1"/>
  <c r="AH481" i="1"/>
  <c r="AI481" i="1"/>
  <c r="AJ481" i="1"/>
  <c r="AD482" i="1"/>
  <c r="AE482" i="1"/>
  <c r="AF482" i="1"/>
  <c r="AG482" i="1"/>
  <c r="AH482" i="1"/>
  <c r="AI482" i="1"/>
  <c r="AJ482" i="1"/>
  <c r="AD483" i="1"/>
  <c r="AE483" i="1"/>
  <c r="AF483" i="1"/>
  <c r="AG483" i="1"/>
  <c r="AH483" i="1"/>
  <c r="AI483" i="1"/>
  <c r="AJ483" i="1"/>
  <c r="AD484" i="1"/>
  <c r="AE484" i="1"/>
  <c r="AF484" i="1"/>
  <c r="AG484" i="1"/>
  <c r="AH484" i="1"/>
  <c r="AI484" i="1"/>
  <c r="AJ484" i="1"/>
  <c r="AD485" i="1"/>
  <c r="AE485" i="1"/>
  <c r="AF485" i="1"/>
  <c r="AG485" i="1"/>
  <c r="AH485" i="1"/>
  <c r="AI485" i="1"/>
  <c r="AJ485" i="1"/>
  <c r="AD486" i="1"/>
  <c r="AE486" i="1"/>
  <c r="AF486" i="1"/>
  <c r="AG486" i="1"/>
  <c r="AH486" i="1"/>
  <c r="AI486" i="1"/>
  <c r="AJ486" i="1"/>
  <c r="AD487" i="1"/>
  <c r="AE487" i="1"/>
  <c r="AF487" i="1"/>
  <c r="AG487" i="1"/>
  <c r="AH487" i="1"/>
  <c r="AI487" i="1"/>
  <c r="AJ487" i="1"/>
  <c r="AD488" i="1"/>
  <c r="AE488" i="1"/>
  <c r="AF488" i="1"/>
  <c r="AG488" i="1"/>
  <c r="AH488" i="1"/>
  <c r="AI488" i="1"/>
  <c r="AJ488" i="1"/>
  <c r="AD489" i="1"/>
  <c r="AE489" i="1"/>
  <c r="AF489" i="1"/>
  <c r="AG489" i="1"/>
  <c r="AH489" i="1"/>
  <c r="AI489" i="1"/>
  <c r="AJ489" i="1"/>
  <c r="AD490" i="1"/>
  <c r="AE490" i="1"/>
  <c r="AF490" i="1"/>
  <c r="AG490" i="1"/>
  <c r="AH490" i="1"/>
  <c r="AI490" i="1"/>
  <c r="AJ490" i="1"/>
  <c r="AD491" i="1"/>
  <c r="AE491" i="1"/>
  <c r="AF491" i="1"/>
  <c r="AG491" i="1"/>
  <c r="AH491" i="1"/>
  <c r="AI491" i="1"/>
  <c r="AJ491" i="1"/>
  <c r="AD492" i="1"/>
  <c r="AE492" i="1"/>
  <c r="AF492" i="1"/>
  <c r="AG492" i="1"/>
  <c r="AH492" i="1"/>
  <c r="AI492" i="1"/>
  <c r="AJ492" i="1"/>
  <c r="AD493" i="1"/>
  <c r="AE493" i="1"/>
  <c r="AF493" i="1"/>
  <c r="AG493" i="1"/>
  <c r="AH493" i="1"/>
  <c r="AI493" i="1"/>
  <c r="AJ493" i="1"/>
  <c r="AD494" i="1"/>
  <c r="AE494" i="1"/>
  <c r="AF494" i="1"/>
  <c r="AG494" i="1"/>
  <c r="AH494" i="1"/>
  <c r="AI494" i="1"/>
  <c r="AJ494" i="1"/>
  <c r="AD495" i="1"/>
  <c r="AE495" i="1"/>
  <c r="AF495" i="1"/>
  <c r="AG495" i="1"/>
  <c r="AH495" i="1"/>
  <c r="AI495" i="1"/>
  <c r="AJ495" i="1"/>
  <c r="AD496" i="1"/>
  <c r="AE496" i="1"/>
  <c r="AF496" i="1"/>
  <c r="AG496" i="1"/>
  <c r="AH496" i="1"/>
  <c r="AI496" i="1"/>
  <c r="AJ496" i="1"/>
  <c r="AD497" i="1"/>
  <c r="AE497" i="1"/>
  <c r="AF497" i="1"/>
  <c r="AG497" i="1"/>
  <c r="AH497" i="1"/>
  <c r="AI497" i="1"/>
  <c r="AJ497" i="1"/>
  <c r="AD498" i="1"/>
  <c r="AE498" i="1"/>
  <c r="AF498" i="1"/>
  <c r="AG498" i="1"/>
  <c r="AH498" i="1"/>
  <c r="AI498" i="1"/>
  <c r="AJ498" i="1"/>
  <c r="AD499" i="1"/>
  <c r="AE499" i="1"/>
  <c r="AF499" i="1"/>
  <c r="AG499" i="1"/>
  <c r="AH499" i="1"/>
  <c r="AI499" i="1"/>
  <c r="AJ499" i="1"/>
  <c r="AD500" i="1"/>
  <c r="AE500" i="1"/>
  <c r="AF500" i="1"/>
  <c r="AG500" i="1"/>
  <c r="AH500" i="1"/>
  <c r="AI500" i="1"/>
  <c r="AJ500" i="1"/>
  <c r="AD501" i="1"/>
  <c r="AE501" i="1"/>
  <c r="AF501" i="1"/>
  <c r="AG501" i="1"/>
  <c r="AH501" i="1"/>
  <c r="AI501" i="1"/>
  <c r="AJ501" i="1"/>
  <c r="AD502" i="1"/>
  <c r="AE502" i="1"/>
  <c r="AF502" i="1"/>
  <c r="AG502" i="1"/>
  <c r="AH502" i="1"/>
  <c r="AI502" i="1"/>
  <c r="AJ502" i="1"/>
  <c r="AD503" i="1"/>
  <c r="AE503" i="1"/>
  <c r="AF503" i="1"/>
  <c r="AG503" i="1"/>
  <c r="AH503" i="1"/>
  <c r="AI503" i="1"/>
  <c r="AJ503" i="1"/>
  <c r="AD504" i="1"/>
  <c r="AE504" i="1"/>
  <c r="AF504" i="1"/>
  <c r="AG504" i="1"/>
  <c r="AH504" i="1"/>
  <c r="AI504" i="1"/>
  <c r="AJ504" i="1"/>
  <c r="AD505" i="1"/>
  <c r="AE505" i="1"/>
  <c r="AF505" i="1"/>
  <c r="AG505" i="1"/>
  <c r="AH505" i="1"/>
  <c r="AI505" i="1"/>
  <c r="AJ505" i="1"/>
  <c r="AD506" i="1"/>
  <c r="AE506" i="1"/>
  <c r="AF506" i="1"/>
  <c r="AG506" i="1"/>
  <c r="AH506" i="1"/>
  <c r="AI506" i="1"/>
  <c r="AJ506" i="1"/>
  <c r="AD507" i="1"/>
  <c r="AE507" i="1"/>
  <c r="AF507" i="1"/>
  <c r="AG507" i="1"/>
  <c r="AH507" i="1"/>
  <c r="AI507" i="1"/>
  <c r="AJ507" i="1"/>
  <c r="AD508" i="1"/>
  <c r="AE508" i="1"/>
  <c r="AF508" i="1"/>
  <c r="AG508" i="1"/>
  <c r="AH508" i="1"/>
  <c r="AI508" i="1"/>
  <c r="AJ508" i="1"/>
  <c r="AD509" i="1"/>
  <c r="AE509" i="1"/>
  <c r="AF509" i="1"/>
  <c r="AG509" i="1"/>
  <c r="AH509" i="1"/>
  <c r="AI509" i="1"/>
  <c r="AJ509" i="1"/>
  <c r="AD510" i="1"/>
  <c r="AE510" i="1"/>
  <c r="AF510" i="1"/>
  <c r="AG510" i="1"/>
  <c r="AH510" i="1"/>
  <c r="AI510" i="1"/>
  <c r="AJ510" i="1"/>
  <c r="AD511" i="1"/>
  <c r="AE511" i="1"/>
  <c r="AF511" i="1"/>
  <c r="AG511" i="1"/>
  <c r="AH511" i="1"/>
  <c r="AI511" i="1"/>
  <c r="AJ511" i="1"/>
  <c r="AD512" i="1"/>
  <c r="AE512" i="1"/>
  <c r="AF512" i="1"/>
  <c r="AG512" i="1"/>
  <c r="AH512" i="1"/>
  <c r="AI512" i="1"/>
  <c r="AJ512" i="1"/>
  <c r="AD513" i="1"/>
  <c r="AE513" i="1"/>
  <c r="AF513" i="1"/>
  <c r="AG513" i="1"/>
  <c r="AH513" i="1"/>
  <c r="AI513" i="1"/>
  <c r="AJ513" i="1"/>
  <c r="AD514" i="1"/>
  <c r="AE514" i="1"/>
  <c r="AF514" i="1"/>
  <c r="AG514" i="1"/>
  <c r="AH514" i="1"/>
  <c r="AI514" i="1"/>
  <c r="AJ514" i="1"/>
  <c r="AD515" i="1"/>
  <c r="AE515" i="1"/>
  <c r="AF515" i="1"/>
  <c r="AG515" i="1"/>
  <c r="AH515" i="1"/>
  <c r="AI515" i="1"/>
  <c r="AJ515" i="1"/>
  <c r="AD516" i="1"/>
  <c r="AE516" i="1"/>
  <c r="AF516" i="1"/>
  <c r="AG516" i="1"/>
  <c r="AH516" i="1"/>
  <c r="AI516" i="1"/>
  <c r="AJ516" i="1"/>
  <c r="AD517" i="1"/>
  <c r="AE517" i="1"/>
  <c r="AF517" i="1"/>
  <c r="AG517" i="1"/>
  <c r="AH517" i="1"/>
  <c r="AI517" i="1"/>
  <c r="AJ517" i="1"/>
  <c r="AD518" i="1"/>
  <c r="AE518" i="1"/>
  <c r="AF518" i="1"/>
  <c r="AG518" i="1"/>
  <c r="AH518" i="1"/>
  <c r="AI518" i="1"/>
  <c r="AJ518" i="1"/>
  <c r="AD519" i="1"/>
  <c r="AE519" i="1"/>
  <c r="AF519" i="1"/>
  <c r="AG519" i="1"/>
  <c r="AH519" i="1"/>
  <c r="AI519" i="1"/>
  <c r="AJ519" i="1"/>
  <c r="AD520" i="1"/>
  <c r="AE520" i="1"/>
  <c r="AF520" i="1"/>
  <c r="AG520" i="1"/>
  <c r="AH520" i="1"/>
  <c r="AI520" i="1"/>
  <c r="AJ520" i="1"/>
  <c r="AD521" i="1"/>
  <c r="AE521" i="1"/>
  <c r="AF521" i="1"/>
  <c r="AG521" i="1"/>
  <c r="AH521" i="1"/>
  <c r="AI521" i="1"/>
  <c r="AJ521" i="1"/>
  <c r="AD522" i="1"/>
  <c r="AE522" i="1"/>
  <c r="AF522" i="1"/>
  <c r="AG522" i="1"/>
  <c r="AH522" i="1"/>
  <c r="AI522" i="1"/>
  <c r="AJ522" i="1"/>
  <c r="AD523" i="1"/>
  <c r="AE523" i="1"/>
  <c r="AF523" i="1"/>
  <c r="AG523" i="1"/>
  <c r="AH523" i="1"/>
  <c r="AI523" i="1"/>
  <c r="AJ523" i="1"/>
  <c r="AD524" i="1"/>
  <c r="AE524" i="1"/>
  <c r="AF524" i="1"/>
  <c r="AG524" i="1"/>
  <c r="AH524" i="1"/>
  <c r="AI524" i="1"/>
  <c r="AJ524" i="1"/>
  <c r="AD525" i="1"/>
  <c r="AE525" i="1"/>
  <c r="AF525" i="1"/>
  <c r="AG525" i="1"/>
  <c r="AH525" i="1"/>
  <c r="AI525" i="1"/>
  <c r="AJ525" i="1"/>
  <c r="AD526" i="1"/>
  <c r="AE526" i="1"/>
  <c r="AF526" i="1"/>
  <c r="AG526" i="1"/>
  <c r="AH526" i="1"/>
  <c r="AI526" i="1"/>
  <c r="AJ526" i="1"/>
  <c r="AD527" i="1"/>
  <c r="AE527" i="1"/>
  <c r="AF527" i="1"/>
  <c r="AG527" i="1"/>
  <c r="AH527" i="1"/>
  <c r="AI527" i="1"/>
  <c r="AJ527" i="1"/>
  <c r="AD528" i="1"/>
  <c r="AE528" i="1"/>
  <c r="AF528" i="1"/>
  <c r="AG528" i="1"/>
  <c r="AH528" i="1"/>
  <c r="AI528" i="1"/>
  <c r="AJ528" i="1"/>
  <c r="AD529" i="1"/>
  <c r="AE529" i="1"/>
  <c r="AF529" i="1"/>
  <c r="AG529" i="1"/>
  <c r="AH529" i="1"/>
  <c r="AI529" i="1"/>
  <c r="AJ529" i="1"/>
  <c r="AD530" i="1"/>
  <c r="AE530" i="1"/>
  <c r="AF530" i="1"/>
  <c r="AG530" i="1"/>
  <c r="AH530" i="1"/>
  <c r="AI530" i="1"/>
  <c r="AJ530" i="1"/>
  <c r="AD531" i="1"/>
  <c r="AE531" i="1"/>
  <c r="AF531" i="1"/>
  <c r="AG531" i="1"/>
  <c r="AH531" i="1"/>
  <c r="AI531" i="1"/>
  <c r="AJ531" i="1"/>
  <c r="AD532" i="1"/>
  <c r="AE532" i="1"/>
  <c r="AF532" i="1"/>
  <c r="AG532" i="1"/>
  <c r="AH532" i="1"/>
  <c r="AI532" i="1"/>
  <c r="AJ532" i="1"/>
  <c r="AD533" i="1"/>
  <c r="AE533" i="1"/>
  <c r="AF533" i="1"/>
  <c r="AG533" i="1"/>
  <c r="AH533" i="1"/>
  <c r="AI533" i="1"/>
  <c r="AJ533" i="1"/>
  <c r="AD534" i="1"/>
  <c r="AE534" i="1"/>
  <c r="AF534" i="1"/>
  <c r="AG534" i="1"/>
  <c r="AH534" i="1"/>
  <c r="AI534" i="1"/>
  <c r="AJ534" i="1"/>
  <c r="AD535" i="1"/>
  <c r="AE535" i="1"/>
  <c r="AF535" i="1"/>
  <c r="AG535" i="1"/>
  <c r="AH535" i="1"/>
  <c r="AI535" i="1"/>
  <c r="AJ535" i="1"/>
  <c r="AD536" i="1"/>
  <c r="AE536" i="1"/>
  <c r="AF536" i="1"/>
  <c r="AG536" i="1"/>
  <c r="AH536" i="1"/>
  <c r="AI536" i="1"/>
  <c r="AJ536" i="1"/>
  <c r="AD537" i="1"/>
  <c r="AE537" i="1"/>
  <c r="AF537" i="1"/>
  <c r="AG537" i="1"/>
  <c r="AH537" i="1"/>
  <c r="AI537" i="1"/>
  <c r="AJ537" i="1"/>
  <c r="AD538" i="1"/>
  <c r="AE538" i="1"/>
  <c r="AF538" i="1"/>
  <c r="AG538" i="1"/>
  <c r="AH538" i="1"/>
  <c r="AI538" i="1"/>
  <c r="AJ538" i="1"/>
  <c r="AD539" i="1"/>
  <c r="AE539" i="1"/>
  <c r="AF539" i="1"/>
  <c r="AG539" i="1"/>
  <c r="AH539" i="1"/>
  <c r="AI539" i="1"/>
  <c r="AJ539" i="1"/>
  <c r="AD540" i="1"/>
  <c r="AE540" i="1"/>
  <c r="AF540" i="1"/>
  <c r="AG540" i="1"/>
  <c r="AH540" i="1"/>
  <c r="AI540" i="1"/>
  <c r="AJ540" i="1"/>
  <c r="AD541" i="1"/>
  <c r="AE541" i="1"/>
  <c r="AF541" i="1"/>
  <c r="AG541" i="1"/>
  <c r="AH541" i="1"/>
  <c r="AI541" i="1"/>
  <c r="AJ541" i="1"/>
  <c r="AD542" i="1"/>
  <c r="AE542" i="1"/>
  <c r="AF542" i="1"/>
  <c r="AG542" i="1"/>
  <c r="AH542" i="1"/>
  <c r="AI542" i="1"/>
  <c r="AJ542" i="1"/>
  <c r="AD543" i="1"/>
  <c r="AE543" i="1"/>
  <c r="AF543" i="1"/>
  <c r="AG543" i="1"/>
  <c r="AH543" i="1"/>
  <c r="AI543" i="1"/>
  <c r="AJ543" i="1"/>
  <c r="AD544" i="1"/>
  <c r="AE544" i="1"/>
  <c r="AF544" i="1"/>
  <c r="AG544" i="1"/>
  <c r="AH544" i="1"/>
  <c r="AI544" i="1"/>
  <c r="AJ544" i="1"/>
  <c r="AD545" i="1"/>
  <c r="AE545" i="1"/>
  <c r="AF545" i="1"/>
  <c r="AG545" i="1"/>
  <c r="AH545" i="1"/>
  <c r="AI545" i="1"/>
  <c r="AJ545" i="1"/>
  <c r="AD546" i="1"/>
  <c r="AE546" i="1"/>
  <c r="AF546" i="1"/>
  <c r="AG546" i="1"/>
  <c r="AH546" i="1"/>
  <c r="AI546" i="1"/>
  <c r="AJ546" i="1"/>
  <c r="AD547" i="1"/>
  <c r="AE547" i="1"/>
  <c r="AF547" i="1"/>
  <c r="AG547" i="1"/>
  <c r="AH547" i="1"/>
  <c r="AI547" i="1"/>
  <c r="AJ547" i="1"/>
  <c r="AD548" i="1"/>
  <c r="AE548" i="1"/>
  <c r="AF548" i="1"/>
  <c r="AG548" i="1"/>
  <c r="AH548" i="1"/>
  <c r="AI548" i="1"/>
  <c r="AJ548" i="1"/>
  <c r="AD549" i="1"/>
  <c r="AE549" i="1"/>
  <c r="AF549" i="1"/>
  <c r="AG549" i="1"/>
  <c r="AH549" i="1"/>
  <c r="AI549" i="1"/>
  <c r="AJ549" i="1"/>
  <c r="AD550" i="1"/>
  <c r="AE550" i="1"/>
  <c r="AF550" i="1"/>
  <c r="AG550" i="1"/>
  <c r="AH550" i="1"/>
  <c r="AI550" i="1"/>
  <c r="AJ550" i="1"/>
  <c r="AD551" i="1"/>
  <c r="AE551" i="1"/>
  <c r="AF551" i="1"/>
  <c r="AG551" i="1"/>
  <c r="AH551" i="1"/>
  <c r="AI551" i="1"/>
  <c r="AJ551" i="1"/>
  <c r="AD552" i="1"/>
  <c r="AE552" i="1"/>
  <c r="AF552" i="1"/>
  <c r="AG552" i="1"/>
  <c r="AH552" i="1"/>
  <c r="AI552" i="1"/>
  <c r="AJ552" i="1"/>
  <c r="AD553" i="1"/>
  <c r="AE553" i="1"/>
  <c r="AF553" i="1"/>
  <c r="AG553" i="1"/>
  <c r="AH553" i="1"/>
  <c r="AI553" i="1"/>
  <c r="AJ553" i="1"/>
  <c r="AD554" i="1"/>
  <c r="AE554" i="1"/>
  <c r="AF554" i="1"/>
  <c r="AG554" i="1"/>
  <c r="AH554" i="1"/>
  <c r="AI554" i="1"/>
  <c r="AJ554" i="1"/>
  <c r="AD555" i="1"/>
  <c r="AE555" i="1"/>
  <c r="AF555" i="1"/>
  <c r="AG555" i="1"/>
  <c r="AH555" i="1"/>
  <c r="AI555" i="1"/>
  <c r="AJ555" i="1"/>
  <c r="AD556" i="1"/>
  <c r="AE556" i="1"/>
  <c r="AF556" i="1"/>
  <c r="AG556" i="1"/>
  <c r="AH556" i="1"/>
  <c r="AI556" i="1"/>
  <c r="AJ556" i="1"/>
  <c r="AD557" i="1"/>
  <c r="AE557" i="1"/>
  <c r="AF557" i="1"/>
  <c r="AG557" i="1"/>
  <c r="AH557" i="1"/>
  <c r="AI557" i="1"/>
  <c r="AJ557" i="1"/>
  <c r="AD558" i="1"/>
  <c r="AE558" i="1"/>
  <c r="AF558" i="1"/>
  <c r="AG558" i="1"/>
  <c r="AH558" i="1"/>
  <c r="AI558" i="1"/>
  <c r="AJ558" i="1"/>
  <c r="AD559" i="1"/>
  <c r="AE559" i="1"/>
  <c r="AF559" i="1"/>
  <c r="AG559" i="1"/>
  <c r="AH559" i="1"/>
  <c r="AI559" i="1"/>
  <c r="AJ559" i="1"/>
  <c r="AD560" i="1"/>
  <c r="AE560" i="1"/>
  <c r="AF560" i="1"/>
  <c r="AG560" i="1"/>
  <c r="AH560" i="1"/>
  <c r="AI560" i="1"/>
  <c r="AJ560" i="1"/>
  <c r="AD561" i="1"/>
  <c r="AE561" i="1"/>
  <c r="AF561" i="1"/>
  <c r="AG561" i="1"/>
  <c r="AH561" i="1"/>
  <c r="AI561" i="1"/>
  <c r="AJ561" i="1"/>
  <c r="AD562" i="1"/>
  <c r="AE562" i="1"/>
  <c r="AF562" i="1"/>
  <c r="AG562" i="1"/>
  <c r="AH562" i="1"/>
  <c r="AI562" i="1"/>
  <c r="AJ562" i="1"/>
  <c r="AD563" i="1"/>
  <c r="AE563" i="1"/>
  <c r="AF563" i="1"/>
  <c r="AG563" i="1"/>
  <c r="AH563" i="1"/>
  <c r="AI563" i="1"/>
  <c r="AJ563" i="1"/>
  <c r="AD564" i="1"/>
  <c r="AE564" i="1"/>
  <c r="AF564" i="1"/>
  <c r="AG564" i="1"/>
  <c r="AH564" i="1"/>
  <c r="AI564" i="1"/>
  <c r="AJ564" i="1"/>
  <c r="AD565" i="1"/>
  <c r="AE565" i="1"/>
  <c r="AF565" i="1"/>
  <c r="AG565" i="1"/>
  <c r="AH565" i="1"/>
  <c r="AI565" i="1"/>
  <c r="AJ565" i="1"/>
  <c r="AD566" i="1"/>
  <c r="AE566" i="1"/>
  <c r="AF566" i="1"/>
  <c r="AG566" i="1"/>
  <c r="AH566" i="1"/>
  <c r="AI566" i="1"/>
  <c r="AJ566" i="1"/>
  <c r="AD567" i="1"/>
  <c r="AE567" i="1"/>
  <c r="AF567" i="1"/>
  <c r="AG567" i="1"/>
  <c r="AH567" i="1"/>
  <c r="AI567" i="1"/>
  <c r="AJ567" i="1"/>
  <c r="AD568" i="1"/>
  <c r="AE568" i="1"/>
  <c r="AF568" i="1"/>
  <c r="AG568" i="1"/>
  <c r="AH568" i="1"/>
  <c r="AI568" i="1"/>
  <c r="AJ568" i="1"/>
  <c r="AD569" i="1"/>
  <c r="AE569" i="1"/>
  <c r="AF569" i="1"/>
  <c r="AG569" i="1"/>
  <c r="AH569" i="1"/>
  <c r="AI569" i="1"/>
  <c r="AJ569" i="1"/>
  <c r="AD570" i="1"/>
  <c r="AE570" i="1"/>
  <c r="AF570" i="1"/>
  <c r="AG570" i="1"/>
  <c r="AH570" i="1"/>
  <c r="AI570" i="1"/>
  <c r="AJ570" i="1"/>
  <c r="AD571" i="1"/>
  <c r="AE571" i="1"/>
  <c r="AF571" i="1"/>
  <c r="AG571" i="1"/>
  <c r="AH571" i="1"/>
  <c r="AI571" i="1"/>
  <c r="AJ571" i="1"/>
  <c r="AD572" i="1"/>
  <c r="AE572" i="1"/>
  <c r="AF572" i="1"/>
  <c r="AG572" i="1"/>
  <c r="AH572" i="1"/>
  <c r="AI572" i="1"/>
  <c r="AJ572" i="1"/>
  <c r="AD573" i="1"/>
  <c r="AE573" i="1"/>
  <c r="AF573" i="1"/>
  <c r="AG573" i="1"/>
  <c r="AH573" i="1"/>
  <c r="AI573" i="1"/>
  <c r="AJ573" i="1"/>
  <c r="AD574" i="1"/>
  <c r="AE574" i="1"/>
  <c r="AF574" i="1"/>
  <c r="AG574" i="1"/>
  <c r="AH574" i="1"/>
  <c r="AI574" i="1"/>
  <c r="AJ574" i="1"/>
  <c r="AD575" i="1"/>
  <c r="AE575" i="1"/>
  <c r="AF575" i="1"/>
  <c r="AG575" i="1"/>
  <c r="AH575" i="1"/>
  <c r="AI575" i="1"/>
  <c r="AJ575" i="1"/>
  <c r="AD576" i="1"/>
  <c r="AE576" i="1"/>
  <c r="AF576" i="1"/>
  <c r="AG576" i="1"/>
  <c r="AH576" i="1"/>
  <c r="AI576" i="1"/>
  <c r="AJ576" i="1"/>
  <c r="AD577" i="1"/>
  <c r="AE577" i="1"/>
  <c r="AF577" i="1"/>
  <c r="AG577" i="1"/>
  <c r="AH577" i="1"/>
  <c r="AI577" i="1"/>
  <c r="AJ577" i="1"/>
  <c r="AD578" i="1"/>
  <c r="AE578" i="1"/>
  <c r="AF578" i="1"/>
  <c r="AG578" i="1"/>
  <c r="AH578" i="1"/>
  <c r="AI578" i="1"/>
  <c r="AJ578" i="1"/>
  <c r="AD579" i="1"/>
  <c r="AE579" i="1"/>
  <c r="AF579" i="1"/>
  <c r="AG579" i="1"/>
  <c r="AH579" i="1"/>
  <c r="AI579" i="1"/>
  <c r="AJ579" i="1"/>
  <c r="AD580" i="1"/>
  <c r="AE580" i="1"/>
  <c r="AF580" i="1"/>
  <c r="AG580" i="1"/>
  <c r="AH580" i="1"/>
  <c r="AI580" i="1"/>
  <c r="AJ580" i="1"/>
  <c r="AD581" i="1"/>
  <c r="AE581" i="1"/>
  <c r="AF581" i="1"/>
  <c r="AG581" i="1"/>
  <c r="AH581" i="1"/>
  <c r="AI581" i="1"/>
  <c r="AJ581" i="1"/>
  <c r="AD582" i="1"/>
  <c r="AE582" i="1"/>
  <c r="AF582" i="1"/>
  <c r="AG582" i="1"/>
  <c r="AH582" i="1"/>
  <c r="AI582" i="1"/>
  <c r="AJ582" i="1"/>
  <c r="AD583" i="1"/>
  <c r="AE583" i="1"/>
  <c r="AF583" i="1"/>
  <c r="AG583" i="1"/>
  <c r="AH583" i="1"/>
  <c r="AI583" i="1"/>
  <c r="AJ583" i="1"/>
  <c r="AD584" i="1"/>
  <c r="AE584" i="1"/>
  <c r="AF584" i="1"/>
  <c r="AG584" i="1"/>
  <c r="AH584" i="1"/>
  <c r="AI584" i="1"/>
  <c r="AJ584" i="1"/>
  <c r="AD585" i="1"/>
  <c r="AE585" i="1"/>
  <c r="AF585" i="1"/>
  <c r="AG585" i="1"/>
  <c r="AH585" i="1"/>
  <c r="AI585" i="1"/>
  <c r="AJ585" i="1"/>
  <c r="AD586" i="1"/>
  <c r="AE586" i="1"/>
  <c r="AF586" i="1"/>
  <c r="AG586" i="1"/>
  <c r="AH586" i="1"/>
  <c r="AI586" i="1"/>
  <c r="AJ586" i="1"/>
  <c r="AD587" i="1"/>
  <c r="AE587" i="1"/>
  <c r="AF587" i="1"/>
  <c r="AG587" i="1"/>
  <c r="AH587" i="1"/>
  <c r="AI587" i="1"/>
  <c r="AJ587" i="1"/>
  <c r="AD588" i="1"/>
  <c r="AE588" i="1"/>
  <c r="AF588" i="1"/>
  <c r="AG588" i="1"/>
  <c r="AH588" i="1"/>
  <c r="AI588" i="1"/>
  <c r="AJ588" i="1"/>
  <c r="AD589" i="1"/>
  <c r="AE589" i="1"/>
  <c r="AF589" i="1"/>
  <c r="AG589" i="1"/>
  <c r="AH589" i="1"/>
  <c r="AI589" i="1"/>
  <c r="AJ589" i="1"/>
  <c r="AD590" i="1"/>
  <c r="AE590" i="1"/>
  <c r="AF590" i="1"/>
  <c r="AG590" i="1"/>
  <c r="AH590" i="1"/>
  <c r="AI590" i="1"/>
  <c r="AJ590" i="1"/>
  <c r="AD591" i="1"/>
  <c r="AE591" i="1"/>
  <c r="AF591" i="1"/>
  <c r="AG591" i="1"/>
  <c r="AH591" i="1"/>
  <c r="AI591" i="1"/>
  <c r="AJ591" i="1"/>
  <c r="AD592" i="1"/>
  <c r="AE592" i="1"/>
  <c r="AF592" i="1"/>
  <c r="AG592" i="1"/>
  <c r="AH592" i="1"/>
  <c r="AI592" i="1"/>
  <c r="AJ592" i="1"/>
  <c r="AD593" i="1"/>
  <c r="AE593" i="1"/>
  <c r="AF593" i="1"/>
  <c r="AG593" i="1"/>
  <c r="AH593" i="1"/>
  <c r="AI593" i="1"/>
  <c r="AJ593" i="1"/>
  <c r="AD594" i="1"/>
  <c r="AE594" i="1"/>
  <c r="AF594" i="1"/>
  <c r="AG594" i="1"/>
  <c r="AH594" i="1"/>
  <c r="AI594" i="1"/>
  <c r="AJ594" i="1"/>
  <c r="AD595" i="1"/>
  <c r="AE595" i="1"/>
  <c r="AF595" i="1"/>
  <c r="AG595" i="1"/>
  <c r="AH595" i="1"/>
  <c r="AI595" i="1"/>
  <c r="AJ595" i="1"/>
  <c r="AD596" i="1"/>
  <c r="AE596" i="1"/>
  <c r="AF596" i="1"/>
  <c r="AG596" i="1"/>
  <c r="AH596" i="1"/>
  <c r="AI596" i="1"/>
  <c r="AJ596" i="1"/>
  <c r="AD597" i="1"/>
  <c r="AE597" i="1"/>
  <c r="AF597" i="1"/>
  <c r="AG597" i="1"/>
  <c r="AH597" i="1"/>
  <c r="AI597" i="1"/>
  <c r="AJ597" i="1"/>
  <c r="AD598" i="1"/>
  <c r="AE598" i="1"/>
  <c r="AF598" i="1"/>
  <c r="AG598" i="1"/>
  <c r="AH598" i="1"/>
  <c r="AI598" i="1"/>
  <c r="AJ598" i="1"/>
  <c r="AD599" i="1"/>
  <c r="AE599" i="1"/>
  <c r="AF599" i="1"/>
  <c r="AG599" i="1"/>
  <c r="AH599" i="1"/>
  <c r="AI599" i="1"/>
  <c r="AJ599" i="1"/>
  <c r="AD600" i="1"/>
  <c r="AE600" i="1"/>
  <c r="AF600" i="1"/>
  <c r="AG600" i="1"/>
  <c r="AH600" i="1"/>
  <c r="AI600" i="1"/>
  <c r="AJ600" i="1"/>
  <c r="AD601" i="1"/>
  <c r="AE601" i="1"/>
  <c r="AF601" i="1"/>
  <c r="AG601" i="1"/>
  <c r="AH601" i="1"/>
  <c r="AI601" i="1"/>
  <c r="AJ601" i="1"/>
  <c r="AD602" i="1"/>
  <c r="AE602" i="1"/>
  <c r="AF602" i="1"/>
  <c r="AG602" i="1"/>
  <c r="AH602" i="1"/>
  <c r="AI602" i="1"/>
  <c r="AJ602" i="1"/>
  <c r="AD603" i="1"/>
  <c r="AE603" i="1"/>
  <c r="AF603" i="1"/>
  <c r="AG603" i="1"/>
  <c r="AH603" i="1"/>
  <c r="AI603" i="1"/>
  <c r="AJ603" i="1"/>
  <c r="AD604" i="1"/>
  <c r="AE604" i="1"/>
  <c r="AF604" i="1"/>
  <c r="AG604" i="1"/>
  <c r="AH604" i="1"/>
  <c r="AI604" i="1"/>
  <c r="AJ604" i="1"/>
  <c r="AD605" i="1"/>
  <c r="AE605" i="1"/>
  <c r="AF605" i="1"/>
  <c r="AG605" i="1"/>
  <c r="AH605" i="1"/>
  <c r="AI605" i="1"/>
  <c r="AJ605" i="1"/>
  <c r="AD606" i="1"/>
  <c r="AE606" i="1"/>
  <c r="AF606" i="1"/>
  <c r="AG606" i="1"/>
  <c r="AH606" i="1"/>
  <c r="AI606" i="1"/>
  <c r="AJ606" i="1"/>
  <c r="AD607" i="1"/>
  <c r="AE607" i="1"/>
  <c r="AF607" i="1"/>
  <c r="AG607" i="1"/>
  <c r="AH607" i="1"/>
  <c r="AI607" i="1"/>
  <c r="AJ607" i="1"/>
  <c r="AD608" i="1"/>
  <c r="AE608" i="1"/>
  <c r="AF608" i="1"/>
  <c r="AG608" i="1"/>
  <c r="AH608" i="1"/>
  <c r="AI608" i="1"/>
  <c r="AJ608" i="1"/>
  <c r="AD609" i="1"/>
  <c r="AE609" i="1"/>
  <c r="AF609" i="1"/>
  <c r="AG609" i="1"/>
  <c r="AH609" i="1"/>
  <c r="AI609" i="1"/>
  <c r="AJ609" i="1"/>
  <c r="AD610" i="1"/>
  <c r="AE610" i="1"/>
  <c r="AF610" i="1"/>
  <c r="AG610" i="1"/>
  <c r="AH610" i="1"/>
  <c r="AI610" i="1"/>
  <c r="AJ610" i="1"/>
  <c r="AD611" i="1"/>
  <c r="AE611" i="1"/>
  <c r="AF611" i="1"/>
  <c r="AG611" i="1"/>
  <c r="AH611" i="1"/>
  <c r="AI611" i="1"/>
  <c r="AJ611" i="1"/>
  <c r="AD612" i="1"/>
  <c r="AE612" i="1"/>
  <c r="AF612" i="1"/>
  <c r="AG612" i="1"/>
  <c r="AH612" i="1"/>
  <c r="AI612" i="1"/>
  <c r="AJ612" i="1"/>
  <c r="AD613" i="1"/>
  <c r="AE613" i="1"/>
  <c r="AF613" i="1"/>
  <c r="AG613" i="1"/>
  <c r="AH613" i="1"/>
  <c r="AI613" i="1"/>
  <c r="AJ613" i="1"/>
  <c r="AD614" i="1"/>
  <c r="AE614" i="1"/>
  <c r="AF614" i="1"/>
  <c r="AG614" i="1"/>
  <c r="AH614" i="1"/>
  <c r="AI614" i="1"/>
  <c r="AJ614" i="1"/>
  <c r="AD615" i="1"/>
  <c r="AE615" i="1"/>
  <c r="AF615" i="1"/>
  <c r="AG615" i="1"/>
  <c r="AH615" i="1"/>
  <c r="AI615" i="1"/>
  <c r="AJ615" i="1"/>
  <c r="AD616" i="1"/>
  <c r="AE616" i="1"/>
  <c r="AF616" i="1"/>
  <c r="AG616" i="1"/>
  <c r="AH616" i="1"/>
  <c r="AI616" i="1"/>
  <c r="AJ616" i="1"/>
  <c r="AD617" i="1"/>
  <c r="AE617" i="1"/>
  <c r="AF617" i="1"/>
  <c r="AG617" i="1"/>
  <c r="AH617" i="1"/>
  <c r="AI617" i="1"/>
  <c r="AJ617" i="1"/>
  <c r="AD618" i="1"/>
  <c r="AE618" i="1"/>
  <c r="AF618" i="1"/>
  <c r="AG618" i="1"/>
  <c r="AH618" i="1"/>
  <c r="AI618" i="1"/>
  <c r="AJ618" i="1"/>
  <c r="AD619" i="1"/>
  <c r="AE619" i="1"/>
  <c r="AF619" i="1"/>
  <c r="AG619" i="1"/>
  <c r="AH619" i="1"/>
  <c r="AI619" i="1"/>
  <c r="AJ619" i="1"/>
  <c r="AD620" i="1"/>
  <c r="AE620" i="1"/>
  <c r="AF620" i="1"/>
  <c r="AG620" i="1"/>
  <c r="AH620" i="1"/>
  <c r="AI620" i="1"/>
  <c r="AJ620" i="1"/>
  <c r="AD621" i="1"/>
  <c r="AE621" i="1"/>
  <c r="AF621" i="1"/>
  <c r="AG621" i="1"/>
  <c r="AH621" i="1"/>
  <c r="AI621" i="1"/>
  <c r="AJ621" i="1"/>
  <c r="AD622" i="1"/>
  <c r="AE622" i="1"/>
  <c r="AF622" i="1"/>
  <c r="AG622" i="1"/>
  <c r="AH622" i="1"/>
  <c r="AI622" i="1"/>
  <c r="AJ622" i="1"/>
  <c r="AD623" i="1"/>
  <c r="AE623" i="1"/>
  <c r="AF623" i="1"/>
  <c r="AG623" i="1"/>
  <c r="AH623" i="1"/>
  <c r="AI623" i="1"/>
  <c r="AJ623" i="1"/>
  <c r="AD624" i="1"/>
  <c r="AE624" i="1"/>
  <c r="AF624" i="1"/>
  <c r="AG624" i="1"/>
  <c r="AH624" i="1"/>
  <c r="AI624" i="1"/>
  <c r="AJ624" i="1"/>
  <c r="AD625" i="1"/>
  <c r="AE625" i="1"/>
  <c r="AF625" i="1"/>
  <c r="AG625" i="1"/>
  <c r="AH625" i="1"/>
  <c r="AI625" i="1"/>
  <c r="AJ625" i="1"/>
  <c r="AD626" i="1"/>
  <c r="AE626" i="1"/>
  <c r="AF626" i="1"/>
  <c r="AG626" i="1"/>
  <c r="AH626" i="1"/>
  <c r="AI626" i="1"/>
  <c r="AJ626" i="1"/>
  <c r="AD627" i="1"/>
  <c r="AE627" i="1"/>
  <c r="AF627" i="1"/>
  <c r="AG627" i="1"/>
  <c r="AH627" i="1"/>
  <c r="AI627" i="1"/>
  <c r="AJ627" i="1"/>
  <c r="AD628" i="1"/>
  <c r="AE628" i="1"/>
  <c r="AF628" i="1"/>
  <c r="AG628" i="1"/>
  <c r="AH628" i="1"/>
  <c r="AI628" i="1"/>
  <c r="AJ628" i="1"/>
  <c r="AD629" i="1"/>
  <c r="AE629" i="1"/>
  <c r="AF629" i="1"/>
  <c r="AG629" i="1"/>
  <c r="AH629" i="1"/>
  <c r="AI629" i="1"/>
  <c r="AJ629" i="1"/>
  <c r="AD630" i="1"/>
  <c r="AE630" i="1"/>
  <c r="AF630" i="1"/>
  <c r="AG630" i="1"/>
  <c r="AH630" i="1"/>
  <c r="AI630" i="1"/>
  <c r="AJ630" i="1"/>
  <c r="AD631" i="1"/>
  <c r="AE631" i="1"/>
  <c r="AF631" i="1"/>
  <c r="AG631" i="1"/>
  <c r="AH631" i="1"/>
  <c r="AI631" i="1"/>
  <c r="AJ631" i="1"/>
  <c r="AD632" i="1"/>
  <c r="AE632" i="1"/>
  <c r="AF632" i="1"/>
  <c r="AG632" i="1"/>
  <c r="AH632" i="1"/>
  <c r="AI632" i="1"/>
  <c r="AJ632" i="1"/>
  <c r="AD633" i="1"/>
  <c r="AE633" i="1"/>
  <c r="AF633" i="1"/>
  <c r="AG633" i="1"/>
  <c r="AH633" i="1"/>
  <c r="AI633" i="1"/>
  <c r="AJ633" i="1"/>
  <c r="AD634" i="1"/>
  <c r="AE634" i="1"/>
  <c r="AF634" i="1"/>
  <c r="AG634" i="1"/>
  <c r="AH634" i="1"/>
  <c r="AI634" i="1"/>
  <c r="AJ634" i="1"/>
  <c r="AD635" i="1"/>
  <c r="AE635" i="1"/>
  <c r="AF635" i="1"/>
  <c r="AG635" i="1"/>
  <c r="AH635" i="1"/>
  <c r="AI635" i="1"/>
  <c r="AJ635" i="1"/>
  <c r="AD636" i="1"/>
  <c r="AE636" i="1"/>
  <c r="AF636" i="1"/>
  <c r="AG636" i="1"/>
  <c r="AH636" i="1"/>
  <c r="AI636" i="1"/>
  <c r="AJ636" i="1"/>
  <c r="AD637" i="1"/>
  <c r="AE637" i="1"/>
  <c r="AF637" i="1"/>
  <c r="AG637" i="1"/>
  <c r="AH637" i="1"/>
  <c r="AI637" i="1"/>
  <c r="AJ637" i="1"/>
  <c r="AD638" i="1"/>
  <c r="AE638" i="1"/>
  <c r="AF638" i="1"/>
  <c r="AG638" i="1"/>
  <c r="AH638" i="1"/>
  <c r="AI638" i="1"/>
  <c r="AJ638" i="1"/>
  <c r="AD639" i="1"/>
  <c r="AE639" i="1"/>
  <c r="AF639" i="1"/>
  <c r="AG639" i="1"/>
  <c r="AH639" i="1"/>
  <c r="AI639" i="1"/>
  <c r="AJ639" i="1"/>
  <c r="AD640" i="1"/>
  <c r="AE640" i="1"/>
  <c r="AF640" i="1"/>
  <c r="AG640" i="1"/>
  <c r="AH640" i="1"/>
  <c r="AI640" i="1"/>
  <c r="AJ640" i="1"/>
  <c r="AD641" i="1"/>
  <c r="AE641" i="1"/>
  <c r="AF641" i="1"/>
  <c r="AG641" i="1"/>
  <c r="AH641" i="1"/>
  <c r="AI641" i="1"/>
  <c r="AJ641" i="1"/>
  <c r="AD642" i="1"/>
  <c r="AE642" i="1"/>
  <c r="AF642" i="1"/>
  <c r="AG642" i="1"/>
  <c r="AH642" i="1"/>
  <c r="AI642" i="1"/>
  <c r="AJ642" i="1"/>
  <c r="AD643" i="1"/>
  <c r="AE643" i="1"/>
  <c r="AF643" i="1"/>
  <c r="AG643" i="1"/>
  <c r="AH643" i="1"/>
  <c r="AI643" i="1"/>
  <c r="AJ643" i="1"/>
  <c r="AD644" i="1"/>
  <c r="AE644" i="1"/>
  <c r="AF644" i="1"/>
  <c r="AG644" i="1"/>
  <c r="AH644" i="1"/>
  <c r="AI644" i="1"/>
  <c r="AJ644" i="1"/>
  <c r="AD645" i="1"/>
  <c r="AE645" i="1"/>
  <c r="AF645" i="1"/>
  <c r="AG645" i="1"/>
  <c r="AH645" i="1"/>
  <c r="AI645" i="1"/>
  <c r="AJ645" i="1"/>
  <c r="AD646" i="1"/>
  <c r="AE646" i="1"/>
  <c r="AF646" i="1"/>
  <c r="AG646" i="1"/>
  <c r="AH646" i="1"/>
  <c r="AI646" i="1"/>
  <c r="AJ646" i="1"/>
  <c r="AD647" i="1"/>
  <c r="AE647" i="1"/>
  <c r="AF647" i="1"/>
  <c r="AG647" i="1"/>
  <c r="AH647" i="1"/>
  <c r="AI647" i="1"/>
  <c r="AJ647" i="1"/>
  <c r="AD648" i="1"/>
  <c r="AE648" i="1"/>
  <c r="AF648" i="1"/>
  <c r="AG648" i="1"/>
  <c r="AH648" i="1"/>
  <c r="AI648" i="1"/>
  <c r="AJ648" i="1"/>
  <c r="AD649" i="1"/>
  <c r="AE649" i="1"/>
  <c r="AF649" i="1"/>
  <c r="AG649" i="1"/>
  <c r="AH649" i="1"/>
  <c r="AI649" i="1"/>
  <c r="AJ649" i="1"/>
  <c r="AD650" i="1"/>
  <c r="AE650" i="1"/>
  <c r="AF650" i="1"/>
  <c r="AG650" i="1"/>
  <c r="AH650" i="1"/>
  <c r="AI650" i="1"/>
  <c r="AJ650" i="1"/>
  <c r="AG2" i="1"/>
  <c r="AH2" i="1"/>
  <c r="AH653" i="1" s="1"/>
  <c r="AI2" i="1"/>
  <c r="AJ2" i="1"/>
  <c r="AF2" i="1"/>
  <c r="AF653" i="1" s="1"/>
  <c r="AE2" i="1"/>
  <c r="AD2" i="1"/>
  <c r="C1" i="2"/>
  <c r="W3" i="1"/>
  <c r="X3" i="1"/>
  <c r="Y3" i="1"/>
  <c r="Z3" i="1"/>
  <c r="AA3" i="1"/>
  <c r="AB3" i="1"/>
  <c r="W4" i="1"/>
  <c r="X4" i="1"/>
  <c r="Y4" i="1"/>
  <c r="Z4" i="1"/>
  <c r="AA4" i="1"/>
  <c r="AB4" i="1"/>
  <c r="W5" i="1"/>
  <c r="X5" i="1"/>
  <c r="Y5" i="1"/>
  <c r="Z5" i="1"/>
  <c r="AA5" i="1"/>
  <c r="AB5" i="1"/>
  <c r="W6" i="1"/>
  <c r="X6" i="1"/>
  <c r="Y6" i="1"/>
  <c r="Z6" i="1"/>
  <c r="AA6" i="1"/>
  <c r="AB6" i="1"/>
  <c r="W7" i="1"/>
  <c r="X7" i="1"/>
  <c r="Y7" i="1"/>
  <c r="Z7" i="1"/>
  <c r="AA7" i="1"/>
  <c r="AB7" i="1"/>
  <c r="W8" i="1"/>
  <c r="X8" i="1"/>
  <c r="Y8" i="1"/>
  <c r="Z8" i="1"/>
  <c r="AA8" i="1"/>
  <c r="AB8" i="1"/>
  <c r="W9" i="1"/>
  <c r="X9" i="1"/>
  <c r="Y9" i="1"/>
  <c r="Z9" i="1"/>
  <c r="AA9" i="1"/>
  <c r="AB9" i="1"/>
  <c r="W10" i="1"/>
  <c r="X10" i="1"/>
  <c r="Y10" i="1"/>
  <c r="Z10" i="1"/>
  <c r="AA10" i="1"/>
  <c r="AB10" i="1"/>
  <c r="W11" i="1"/>
  <c r="X11" i="1"/>
  <c r="Y11" i="1"/>
  <c r="Z11" i="1"/>
  <c r="AA11" i="1"/>
  <c r="AB11" i="1"/>
  <c r="W12" i="1"/>
  <c r="X12" i="1"/>
  <c r="Y12" i="1"/>
  <c r="Z12" i="1"/>
  <c r="AA12" i="1"/>
  <c r="AB12" i="1"/>
  <c r="W13" i="1"/>
  <c r="X13" i="1"/>
  <c r="Y13" i="1"/>
  <c r="Z13" i="1"/>
  <c r="AA13" i="1"/>
  <c r="AB13" i="1"/>
  <c r="W14" i="1"/>
  <c r="X14" i="1"/>
  <c r="Y14" i="1"/>
  <c r="Z14" i="1"/>
  <c r="AA14" i="1"/>
  <c r="AB14" i="1"/>
  <c r="W15" i="1"/>
  <c r="X15" i="1"/>
  <c r="Y15" i="1"/>
  <c r="Z15" i="1"/>
  <c r="AA15" i="1"/>
  <c r="AB15" i="1"/>
  <c r="W16" i="1"/>
  <c r="X16" i="1"/>
  <c r="Y16" i="1"/>
  <c r="Z16" i="1"/>
  <c r="AA16" i="1"/>
  <c r="AB16" i="1"/>
  <c r="W17" i="1"/>
  <c r="X17" i="1"/>
  <c r="Y17" i="1"/>
  <c r="Z17" i="1"/>
  <c r="AA17" i="1"/>
  <c r="AB17" i="1"/>
  <c r="W18" i="1"/>
  <c r="X18" i="1"/>
  <c r="Y18" i="1"/>
  <c r="Z18" i="1"/>
  <c r="AA18" i="1"/>
  <c r="AB18" i="1"/>
  <c r="W19" i="1"/>
  <c r="X19" i="1"/>
  <c r="Y19" i="1"/>
  <c r="Z19" i="1"/>
  <c r="AA19" i="1"/>
  <c r="AB19" i="1"/>
  <c r="W20" i="1"/>
  <c r="X20" i="1"/>
  <c r="Y20" i="1"/>
  <c r="Z20" i="1"/>
  <c r="AA20" i="1"/>
  <c r="AB20" i="1"/>
  <c r="W21" i="1"/>
  <c r="X21" i="1"/>
  <c r="Y21" i="1"/>
  <c r="Z21" i="1"/>
  <c r="AA21" i="1"/>
  <c r="AB21" i="1"/>
  <c r="W22" i="1"/>
  <c r="X22" i="1"/>
  <c r="Y22" i="1"/>
  <c r="Z22" i="1"/>
  <c r="AA22" i="1"/>
  <c r="AB22" i="1"/>
  <c r="W23" i="1"/>
  <c r="X23" i="1"/>
  <c r="Y23" i="1"/>
  <c r="Z23" i="1"/>
  <c r="AA23" i="1"/>
  <c r="AB23" i="1"/>
  <c r="W24" i="1"/>
  <c r="X24" i="1"/>
  <c r="Y24" i="1"/>
  <c r="Z24" i="1"/>
  <c r="AA24" i="1"/>
  <c r="AB24" i="1"/>
  <c r="W25" i="1"/>
  <c r="X25" i="1"/>
  <c r="Y25" i="1"/>
  <c r="Z25" i="1"/>
  <c r="AA25" i="1"/>
  <c r="AB25" i="1"/>
  <c r="W26" i="1"/>
  <c r="X26" i="1"/>
  <c r="Y26" i="1"/>
  <c r="Z26" i="1"/>
  <c r="AA26" i="1"/>
  <c r="AB26" i="1"/>
  <c r="W27" i="1"/>
  <c r="X27" i="1"/>
  <c r="Y27" i="1"/>
  <c r="Z27" i="1"/>
  <c r="AA27" i="1"/>
  <c r="AB27" i="1"/>
  <c r="W28" i="1"/>
  <c r="X28" i="1"/>
  <c r="Y28" i="1"/>
  <c r="Z28" i="1"/>
  <c r="AA28" i="1"/>
  <c r="AB28" i="1"/>
  <c r="W29" i="1"/>
  <c r="X29" i="1"/>
  <c r="Y29" i="1"/>
  <c r="Z29" i="1"/>
  <c r="AA29" i="1"/>
  <c r="AB29" i="1"/>
  <c r="W30" i="1"/>
  <c r="X30" i="1"/>
  <c r="Y30" i="1"/>
  <c r="Z30" i="1"/>
  <c r="AA30" i="1"/>
  <c r="AB30" i="1"/>
  <c r="W31" i="1"/>
  <c r="X31" i="1"/>
  <c r="Y31" i="1"/>
  <c r="Z31" i="1"/>
  <c r="AA31" i="1"/>
  <c r="AB31" i="1"/>
  <c r="W32" i="1"/>
  <c r="X32" i="1"/>
  <c r="Y32" i="1"/>
  <c r="Z32" i="1"/>
  <c r="AA32" i="1"/>
  <c r="AB32" i="1"/>
  <c r="W33" i="1"/>
  <c r="X33" i="1"/>
  <c r="Y33" i="1"/>
  <c r="Z33" i="1"/>
  <c r="AA33" i="1"/>
  <c r="AB33" i="1"/>
  <c r="W34" i="1"/>
  <c r="X34" i="1"/>
  <c r="Y34" i="1"/>
  <c r="Z34" i="1"/>
  <c r="AA34" i="1"/>
  <c r="AB34" i="1"/>
  <c r="W35" i="1"/>
  <c r="X35" i="1"/>
  <c r="Y35" i="1"/>
  <c r="Z35" i="1"/>
  <c r="AA35" i="1"/>
  <c r="AB35" i="1"/>
  <c r="W36" i="1"/>
  <c r="X36" i="1"/>
  <c r="Y36" i="1"/>
  <c r="Z36" i="1"/>
  <c r="AA36" i="1"/>
  <c r="AB36" i="1"/>
  <c r="W37" i="1"/>
  <c r="X37" i="1"/>
  <c r="Y37" i="1"/>
  <c r="Z37" i="1"/>
  <c r="AA37" i="1"/>
  <c r="AB37" i="1"/>
  <c r="W38" i="1"/>
  <c r="X38" i="1"/>
  <c r="Y38" i="1"/>
  <c r="Z38" i="1"/>
  <c r="AA38" i="1"/>
  <c r="AB38" i="1"/>
  <c r="W39" i="1"/>
  <c r="X39" i="1"/>
  <c r="Y39" i="1"/>
  <c r="Z39" i="1"/>
  <c r="AA39" i="1"/>
  <c r="AB39" i="1"/>
  <c r="W40" i="1"/>
  <c r="X40" i="1"/>
  <c r="Y40" i="1"/>
  <c r="Z40" i="1"/>
  <c r="AA40" i="1"/>
  <c r="AB40" i="1"/>
  <c r="W41" i="1"/>
  <c r="X41" i="1"/>
  <c r="Y41" i="1"/>
  <c r="Z41" i="1"/>
  <c r="AA41" i="1"/>
  <c r="AB41" i="1"/>
  <c r="W42" i="1"/>
  <c r="X42" i="1"/>
  <c r="Y42" i="1"/>
  <c r="Z42" i="1"/>
  <c r="AA42" i="1"/>
  <c r="AB42" i="1"/>
  <c r="W43" i="1"/>
  <c r="X43" i="1"/>
  <c r="Y43" i="1"/>
  <c r="Z43" i="1"/>
  <c r="AA43" i="1"/>
  <c r="AB43" i="1"/>
  <c r="W44" i="1"/>
  <c r="X44" i="1"/>
  <c r="Y44" i="1"/>
  <c r="Z44" i="1"/>
  <c r="AA44" i="1"/>
  <c r="AB44" i="1"/>
  <c r="W45" i="1"/>
  <c r="X45" i="1"/>
  <c r="Y45" i="1"/>
  <c r="Z45" i="1"/>
  <c r="AA45" i="1"/>
  <c r="AB45" i="1"/>
  <c r="W46" i="1"/>
  <c r="X46" i="1"/>
  <c r="Y46" i="1"/>
  <c r="Z46" i="1"/>
  <c r="AA46" i="1"/>
  <c r="AB46" i="1"/>
  <c r="W47" i="1"/>
  <c r="X47" i="1"/>
  <c r="Y47" i="1"/>
  <c r="Z47" i="1"/>
  <c r="AA47" i="1"/>
  <c r="AB47" i="1"/>
  <c r="W48" i="1"/>
  <c r="X48" i="1"/>
  <c r="Y48" i="1"/>
  <c r="Z48" i="1"/>
  <c r="AA48" i="1"/>
  <c r="AB48" i="1"/>
  <c r="W49" i="1"/>
  <c r="X49" i="1"/>
  <c r="Y49" i="1"/>
  <c r="Z49" i="1"/>
  <c r="AA49" i="1"/>
  <c r="AB49" i="1"/>
  <c r="W50" i="1"/>
  <c r="X50" i="1"/>
  <c r="Y50" i="1"/>
  <c r="Z50" i="1"/>
  <c r="AA50" i="1"/>
  <c r="AB50" i="1"/>
  <c r="W51" i="1"/>
  <c r="X51" i="1"/>
  <c r="Y51" i="1"/>
  <c r="Z51" i="1"/>
  <c r="AA51" i="1"/>
  <c r="AB51" i="1"/>
  <c r="W52" i="1"/>
  <c r="X52" i="1"/>
  <c r="Y52" i="1"/>
  <c r="Z52" i="1"/>
  <c r="AA52" i="1"/>
  <c r="AB52" i="1"/>
  <c r="W53" i="1"/>
  <c r="X53" i="1"/>
  <c r="Y53" i="1"/>
  <c r="Z53" i="1"/>
  <c r="AA53" i="1"/>
  <c r="AB53" i="1"/>
  <c r="W54" i="1"/>
  <c r="X54" i="1"/>
  <c r="Y54" i="1"/>
  <c r="Z54" i="1"/>
  <c r="AA54" i="1"/>
  <c r="AB54" i="1"/>
  <c r="W55" i="1"/>
  <c r="X55" i="1"/>
  <c r="Y55" i="1"/>
  <c r="Z55" i="1"/>
  <c r="AA55" i="1"/>
  <c r="AB55" i="1"/>
  <c r="W56" i="1"/>
  <c r="X56" i="1"/>
  <c r="Y56" i="1"/>
  <c r="Z56" i="1"/>
  <c r="AA56" i="1"/>
  <c r="AB56" i="1"/>
  <c r="W57" i="1"/>
  <c r="X57" i="1"/>
  <c r="Y57" i="1"/>
  <c r="Z57" i="1"/>
  <c r="AA57" i="1"/>
  <c r="AB57" i="1"/>
  <c r="W58" i="1"/>
  <c r="X58" i="1"/>
  <c r="Y58" i="1"/>
  <c r="Z58" i="1"/>
  <c r="AA58" i="1"/>
  <c r="AB58" i="1"/>
  <c r="W59" i="1"/>
  <c r="X59" i="1"/>
  <c r="Y59" i="1"/>
  <c r="Z59" i="1"/>
  <c r="AA59" i="1"/>
  <c r="AB59" i="1"/>
  <c r="W60" i="1"/>
  <c r="X60" i="1"/>
  <c r="Y60" i="1"/>
  <c r="Z60" i="1"/>
  <c r="AA60" i="1"/>
  <c r="AB60" i="1"/>
  <c r="W61" i="1"/>
  <c r="X61" i="1"/>
  <c r="Y61" i="1"/>
  <c r="Z61" i="1"/>
  <c r="AA61" i="1"/>
  <c r="AB61" i="1"/>
  <c r="W62" i="1"/>
  <c r="X62" i="1"/>
  <c r="Y62" i="1"/>
  <c r="Z62" i="1"/>
  <c r="AA62" i="1"/>
  <c r="AB62" i="1"/>
  <c r="W63" i="1"/>
  <c r="X63" i="1"/>
  <c r="Y63" i="1"/>
  <c r="Z63" i="1"/>
  <c r="AA63" i="1"/>
  <c r="AB63" i="1"/>
  <c r="W64" i="1"/>
  <c r="X64" i="1"/>
  <c r="Y64" i="1"/>
  <c r="Z64" i="1"/>
  <c r="AA64" i="1"/>
  <c r="AB64" i="1"/>
  <c r="W65" i="1"/>
  <c r="X65" i="1"/>
  <c r="Y65" i="1"/>
  <c r="Z65" i="1"/>
  <c r="AA65" i="1"/>
  <c r="AB65" i="1"/>
  <c r="W66" i="1"/>
  <c r="X66" i="1"/>
  <c r="Y66" i="1"/>
  <c r="Z66" i="1"/>
  <c r="AA66" i="1"/>
  <c r="AB66" i="1"/>
  <c r="W67" i="1"/>
  <c r="X67" i="1"/>
  <c r="Y67" i="1"/>
  <c r="Z67" i="1"/>
  <c r="AA67" i="1"/>
  <c r="AB67" i="1"/>
  <c r="W68" i="1"/>
  <c r="X68" i="1"/>
  <c r="Y68" i="1"/>
  <c r="Z68" i="1"/>
  <c r="AA68" i="1"/>
  <c r="AB68" i="1"/>
  <c r="W69" i="1"/>
  <c r="X69" i="1"/>
  <c r="Y69" i="1"/>
  <c r="Z69" i="1"/>
  <c r="AA69" i="1"/>
  <c r="AB69" i="1"/>
  <c r="W70" i="1"/>
  <c r="X70" i="1"/>
  <c r="Y70" i="1"/>
  <c r="Z70" i="1"/>
  <c r="AA70" i="1"/>
  <c r="AB70" i="1"/>
  <c r="W71" i="1"/>
  <c r="X71" i="1"/>
  <c r="Y71" i="1"/>
  <c r="Z71" i="1"/>
  <c r="AA71" i="1"/>
  <c r="AB71" i="1"/>
  <c r="W72" i="1"/>
  <c r="X72" i="1"/>
  <c r="Y72" i="1"/>
  <c r="Z72" i="1"/>
  <c r="AA72" i="1"/>
  <c r="AB72" i="1"/>
  <c r="W73" i="1"/>
  <c r="X73" i="1"/>
  <c r="Y73" i="1"/>
  <c r="Z73" i="1"/>
  <c r="AA73" i="1"/>
  <c r="AB73" i="1"/>
  <c r="W74" i="1"/>
  <c r="X74" i="1"/>
  <c r="Y74" i="1"/>
  <c r="Z74" i="1"/>
  <c r="AA74" i="1"/>
  <c r="AB74" i="1"/>
  <c r="W75" i="1"/>
  <c r="X75" i="1"/>
  <c r="Y75" i="1"/>
  <c r="Z75" i="1"/>
  <c r="AA75" i="1"/>
  <c r="AB75" i="1"/>
  <c r="W76" i="1"/>
  <c r="X76" i="1"/>
  <c r="Y76" i="1"/>
  <c r="Z76" i="1"/>
  <c r="AA76" i="1"/>
  <c r="AB76" i="1"/>
  <c r="W77" i="1"/>
  <c r="X77" i="1"/>
  <c r="Y77" i="1"/>
  <c r="Z77" i="1"/>
  <c r="AA77" i="1"/>
  <c r="AB77" i="1"/>
  <c r="W78" i="1"/>
  <c r="X78" i="1"/>
  <c r="Y78" i="1"/>
  <c r="Z78" i="1"/>
  <c r="AA78" i="1"/>
  <c r="AB78" i="1"/>
  <c r="W79" i="1"/>
  <c r="X79" i="1"/>
  <c r="Y79" i="1"/>
  <c r="Z79" i="1"/>
  <c r="AA79" i="1"/>
  <c r="AB79" i="1"/>
  <c r="W80" i="1"/>
  <c r="X80" i="1"/>
  <c r="Y80" i="1"/>
  <c r="Z80" i="1"/>
  <c r="AA80" i="1"/>
  <c r="AB80" i="1"/>
  <c r="W81" i="1"/>
  <c r="X81" i="1"/>
  <c r="Y81" i="1"/>
  <c r="Z81" i="1"/>
  <c r="AA81" i="1"/>
  <c r="AB81" i="1"/>
  <c r="W82" i="1"/>
  <c r="X82" i="1"/>
  <c r="Y82" i="1"/>
  <c r="Z82" i="1"/>
  <c r="AA82" i="1"/>
  <c r="AB82" i="1"/>
  <c r="W83" i="1"/>
  <c r="X83" i="1"/>
  <c r="Y83" i="1"/>
  <c r="Z83" i="1"/>
  <c r="AA83" i="1"/>
  <c r="AB83" i="1"/>
  <c r="W84" i="1"/>
  <c r="X84" i="1"/>
  <c r="Y84" i="1"/>
  <c r="Z84" i="1"/>
  <c r="AA84" i="1"/>
  <c r="AB84" i="1"/>
  <c r="W85" i="1"/>
  <c r="X85" i="1"/>
  <c r="Y85" i="1"/>
  <c r="Z85" i="1"/>
  <c r="AA85" i="1"/>
  <c r="AB85" i="1"/>
  <c r="W86" i="1"/>
  <c r="X86" i="1"/>
  <c r="Y86" i="1"/>
  <c r="Z86" i="1"/>
  <c r="AA86" i="1"/>
  <c r="AB86" i="1"/>
  <c r="W87" i="1"/>
  <c r="X87" i="1"/>
  <c r="Y87" i="1"/>
  <c r="Z87" i="1"/>
  <c r="AA87" i="1"/>
  <c r="AB87" i="1"/>
  <c r="W88" i="1"/>
  <c r="X88" i="1"/>
  <c r="Y88" i="1"/>
  <c r="Z88" i="1"/>
  <c r="AA88" i="1"/>
  <c r="AB88" i="1"/>
  <c r="W89" i="1"/>
  <c r="X89" i="1"/>
  <c r="Y89" i="1"/>
  <c r="Z89" i="1"/>
  <c r="AA89" i="1"/>
  <c r="AB89" i="1"/>
  <c r="W90" i="1"/>
  <c r="X90" i="1"/>
  <c r="Y90" i="1"/>
  <c r="Z90" i="1"/>
  <c r="AA90" i="1"/>
  <c r="AB90" i="1"/>
  <c r="W91" i="1"/>
  <c r="X91" i="1"/>
  <c r="Y91" i="1"/>
  <c r="Z91" i="1"/>
  <c r="AA91" i="1"/>
  <c r="AB91" i="1"/>
  <c r="W92" i="1"/>
  <c r="X92" i="1"/>
  <c r="Y92" i="1"/>
  <c r="Z92" i="1"/>
  <c r="AA92" i="1"/>
  <c r="AB92" i="1"/>
  <c r="W93" i="1"/>
  <c r="X93" i="1"/>
  <c r="Y93" i="1"/>
  <c r="Z93" i="1"/>
  <c r="AA93" i="1"/>
  <c r="AB93" i="1"/>
  <c r="W94" i="1"/>
  <c r="X94" i="1"/>
  <c r="Y94" i="1"/>
  <c r="Z94" i="1"/>
  <c r="AA94" i="1"/>
  <c r="AB94" i="1"/>
  <c r="W95" i="1"/>
  <c r="X95" i="1"/>
  <c r="Y95" i="1"/>
  <c r="Z95" i="1"/>
  <c r="AA95" i="1"/>
  <c r="AB95" i="1"/>
  <c r="W96" i="1"/>
  <c r="X96" i="1"/>
  <c r="Y96" i="1"/>
  <c r="Z96" i="1"/>
  <c r="AA96" i="1"/>
  <c r="AB96" i="1"/>
  <c r="W97" i="1"/>
  <c r="X97" i="1"/>
  <c r="Y97" i="1"/>
  <c r="Z97" i="1"/>
  <c r="AA97" i="1"/>
  <c r="AB97" i="1"/>
  <c r="W98" i="1"/>
  <c r="X98" i="1"/>
  <c r="Y98" i="1"/>
  <c r="Z98" i="1"/>
  <c r="AA98" i="1"/>
  <c r="AB98" i="1"/>
  <c r="W99" i="1"/>
  <c r="X99" i="1"/>
  <c r="Y99" i="1"/>
  <c r="Z99" i="1"/>
  <c r="AA99" i="1"/>
  <c r="AB99" i="1"/>
  <c r="W100" i="1"/>
  <c r="X100" i="1"/>
  <c r="Y100" i="1"/>
  <c r="Z100" i="1"/>
  <c r="AA100" i="1"/>
  <c r="AB100" i="1"/>
  <c r="W101" i="1"/>
  <c r="X101" i="1"/>
  <c r="Y101" i="1"/>
  <c r="Z101" i="1"/>
  <c r="AA101" i="1"/>
  <c r="AB101" i="1"/>
  <c r="W102" i="1"/>
  <c r="X102" i="1"/>
  <c r="Y102" i="1"/>
  <c r="Z102" i="1"/>
  <c r="AA102" i="1"/>
  <c r="AB102" i="1"/>
  <c r="W103" i="1"/>
  <c r="X103" i="1"/>
  <c r="Y103" i="1"/>
  <c r="Z103" i="1"/>
  <c r="AA103" i="1"/>
  <c r="AB103" i="1"/>
  <c r="W104" i="1"/>
  <c r="X104" i="1"/>
  <c r="Y104" i="1"/>
  <c r="Z104" i="1"/>
  <c r="AA104" i="1"/>
  <c r="AB104" i="1"/>
  <c r="W105" i="1"/>
  <c r="X105" i="1"/>
  <c r="Y105" i="1"/>
  <c r="Z105" i="1"/>
  <c r="AA105" i="1"/>
  <c r="AB105" i="1"/>
  <c r="W106" i="1"/>
  <c r="X106" i="1"/>
  <c r="Y106" i="1"/>
  <c r="Z106" i="1"/>
  <c r="AA106" i="1"/>
  <c r="AB106" i="1"/>
  <c r="W107" i="1"/>
  <c r="X107" i="1"/>
  <c r="Y107" i="1"/>
  <c r="Z107" i="1"/>
  <c r="AA107" i="1"/>
  <c r="AB107" i="1"/>
  <c r="W108" i="1"/>
  <c r="X108" i="1"/>
  <c r="Y108" i="1"/>
  <c r="Z108" i="1"/>
  <c r="AA108" i="1"/>
  <c r="AB108" i="1"/>
  <c r="W109" i="1"/>
  <c r="X109" i="1"/>
  <c r="Y109" i="1"/>
  <c r="Z109" i="1"/>
  <c r="AA109" i="1"/>
  <c r="AB109" i="1"/>
  <c r="W110" i="1"/>
  <c r="X110" i="1"/>
  <c r="Y110" i="1"/>
  <c r="Z110" i="1"/>
  <c r="AA110" i="1"/>
  <c r="AB110" i="1"/>
  <c r="W111" i="1"/>
  <c r="X111" i="1"/>
  <c r="Y111" i="1"/>
  <c r="Z111" i="1"/>
  <c r="AA111" i="1"/>
  <c r="AB111" i="1"/>
  <c r="W112" i="1"/>
  <c r="X112" i="1"/>
  <c r="Y112" i="1"/>
  <c r="Z112" i="1"/>
  <c r="AA112" i="1"/>
  <c r="AB112" i="1"/>
  <c r="W113" i="1"/>
  <c r="X113" i="1"/>
  <c r="Y113" i="1"/>
  <c r="Z113" i="1"/>
  <c r="AA113" i="1"/>
  <c r="AB113" i="1"/>
  <c r="W114" i="1"/>
  <c r="X114" i="1"/>
  <c r="Y114" i="1"/>
  <c r="Z114" i="1"/>
  <c r="AA114" i="1"/>
  <c r="AB114" i="1"/>
  <c r="W115" i="1"/>
  <c r="X115" i="1"/>
  <c r="Y115" i="1"/>
  <c r="Z115" i="1"/>
  <c r="AA115" i="1"/>
  <c r="AB115" i="1"/>
  <c r="W116" i="1"/>
  <c r="X116" i="1"/>
  <c r="Y116" i="1"/>
  <c r="Z116" i="1"/>
  <c r="AA116" i="1"/>
  <c r="AB116" i="1"/>
  <c r="W117" i="1"/>
  <c r="X117" i="1"/>
  <c r="Y117" i="1"/>
  <c r="Z117" i="1"/>
  <c r="AA117" i="1"/>
  <c r="AB117" i="1"/>
  <c r="W118" i="1"/>
  <c r="X118" i="1"/>
  <c r="Y118" i="1"/>
  <c r="Z118" i="1"/>
  <c r="AA118" i="1"/>
  <c r="AB118" i="1"/>
  <c r="W119" i="1"/>
  <c r="X119" i="1"/>
  <c r="Y119" i="1"/>
  <c r="Z119" i="1"/>
  <c r="AA119" i="1"/>
  <c r="AB119" i="1"/>
  <c r="W120" i="1"/>
  <c r="X120" i="1"/>
  <c r="Y120" i="1"/>
  <c r="Z120" i="1"/>
  <c r="AA120" i="1"/>
  <c r="AB120" i="1"/>
  <c r="W121" i="1"/>
  <c r="X121" i="1"/>
  <c r="Y121" i="1"/>
  <c r="Z121" i="1"/>
  <c r="AA121" i="1"/>
  <c r="AB121" i="1"/>
  <c r="W122" i="1"/>
  <c r="X122" i="1"/>
  <c r="Y122" i="1"/>
  <c r="Z122" i="1"/>
  <c r="AA122" i="1"/>
  <c r="AB122" i="1"/>
  <c r="W123" i="1"/>
  <c r="X123" i="1"/>
  <c r="Y123" i="1"/>
  <c r="Z123" i="1"/>
  <c r="AA123" i="1"/>
  <c r="AB123" i="1"/>
  <c r="W124" i="1"/>
  <c r="X124" i="1"/>
  <c r="Y124" i="1"/>
  <c r="Z124" i="1"/>
  <c r="AA124" i="1"/>
  <c r="AB124" i="1"/>
  <c r="W125" i="1"/>
  <c r="X125" i="1"/>
  <c r="Y125" i="1"/>
  <c r="Z125" i="1"/>
  <c r="AA125" i="1"/>
  <c r="AB125" i="1"/>
  <c r="W126" i="1"/>
  <c r="X126" i="1"/>
  <c r="Y126" i="1"/>
  <c r="Z126" i="1"/>
  <c r="AA126" i="1"/>
  <c r="AB126" i="1"/>
  <c r="W127" i="1"/>
  <c r="X127" i="1"/>
  <c r="Y127" i="1"/>
  <c r="Z127" i="1"/>
  <c r="AA127" i="1"/>
  <c r="AB127" i="1"/>
  <c r="W128" i="1"/>
  <c r="X128" i="1"/>
  <c r="Y128" i="1"/>
  <c r="Z128" i="1"/>
  <c r="AA128" i="1"/>
  <c r="AB128" i="1"/>
  <c r="W129" i="1"/>
  <c r="X129" i="1"/>
  <c r="Y129" i="1"/>
  <c r="Z129" i="1"/>
  <c r="AA129" i="1"/>
  <c r="AB129" i="1"/>
  <c r="W130" i="1"/>
  <c r="X130" i="1"/>
  <c r="Y130" i="1"/>
  <c r="Z130" i="1"/>
  <c r="AA130" i="1"/>
  <c r="AB130" i="1"/>
  <c r="W131" i="1"/>
  <c r="X131" i="1"/>
  <c r="Y131" i="1"/>
  <c r="Z131" i="1"/>
  <c r="AA131" i="1"/>
  <c r="AB131" i="1"/>
  <c r="W132" i="1"/>
  <c r="X132" i="1"/>
  <c r="Y132" i="1"/>
  <c r="Z132" i="1"/>
  <c r="AA132" i="1"/>
  <c r="AB132" i="1"/>
  <c r="W133" i="1"/>
  <c r="X133" i="1"/>
  <c r="Y133" i="1"/>
  <c r="Z133" i="1"/>
  <c r="AA133" i="1"/>
  <c r="AB133" i="1"/>
  <c r="W134" i="1"/>
  <c r="X134" i="1"/>
  <c r="Y134" i="1"/>
  <c r="Z134" i="1"/>
  <c r="AA134" i="1"/>
  <c r="AB134" i="1"/>
  <c r="W135" i="1"/>
  <c r="X135" i="1"/>
  <c r="Y135" i="1"/>
  <c r="Z135" i="1"/>
  <c r="AA135" i="1"/>
  <c r="AB135" i="1"/>
  <c r="W136" i="1"/>
  <c r="X136" i="1"/>
  <c r="Y136" i="1"/>
  <c r="Z136" i="1"/>
  <c r="AA136" i="1"/>
  <c r="AB136" i="1"/>
  <c r="W137" i="1"/>
  <c r="X137" i="1"/>
  <c r="Y137" i="1"/>
  <c r="Z137" i="1"/>
  <c r="AA137" i="1"/>
  <c r="AB137" i="1"/>
  <c r="W138" i="1"/>
  <c r="X138" i="1"/>
  <c r="Y138" i="1"/>
  <c r="Z138" i="1"/>
  <c r="AA138" i="1"/>
  <c r="AB138" i="1"/>
  <c r="W139" i="1"/>
  <c r="X139" i="1"/>
  <c r="Y139" i="1"/>
  <c r="Z139" i="1"/>
  <c r="AA139" i="1"/>
  <c r="AB139" i="1"/>
  <c r="W140" i="1"/>
  <c r="X140" i="1"/>
  <c r="Y140" i="1"/>
  <c r="Z140" i="1"/>
  <c r="AA140" i="1"/>
  <c r="AB140" i="1"/>
  <c r="W141" i="1"/>
  <c r="X141" i="1"/>
  <c r="Y141" i="1"/>
  <c r="Z141" i="1"/>
  <c r="AA141" i="1"/>
  <c r="AB141" i="1"/>
  <c r="W142" i="1"/>
  <c r="X142" i="1"/>
  <c r="Y142" i="1"/>
  <c r="Z142" i="1"/>
  <c r="AA142" i="1"/>
  <c r="AB142" i="1"/>
  <c r="W143" i="1"/>
  <c r="X143" i="1"/>
  <c r="Y143" i="1"/>
  <c r="Z143" i="1"/>
  <c r="AA143" i="1"/>
  <c r="AB143" i="1"/>
  <c r="W144" i="1"/>
  <c r="X144" i="1"/>
  <c r="Y144" i="1"/>
  <c r="Z144" i="1"/>
  <c r="AA144" i="1"/>
  <c r="AB144" i="1"/>
  <c r="W145" i="1"/>
  <c r="X145" i="1"/>
  <c r="Y145" i="1"/>
  <c r="Z145" i="1"/>
  <c r="AA145" i="1"/>
  <c r="AB145" i="1"/>
  <c r="W146" i="1"/>
  <c r="X146" i="1"/>
  <c r="Y146" i="1"/>
  <c r="Z146" i="1"/>
  <c r="AA146" i="1"/>
  <c r="AB146" i="1"/>
  <c r="W147" i="1"/>
  <c r="X147" i="1"/>
  <c r="Y147" i="1"/>
  <c r="Z147" i="1"/>
  <c r="AA147" i="1"/>
  <c r="AB147" i="1"/>
  <c r="W148" i="1"/>
  <c r="X148" i="1"/>
  <c r="Y148" i="1"/>
  <c r="Z148" i="1"/>
  <c r="AA148" i="1"/>
  <c r="AB148" i="1"/>
  <c r="W149" i="1"/>
  <c r="X149" i="1"/>
  <c r="Y149" i="1"/>
  <c r="Z149" i="1"/>
  <c r="AA149" i="1"/>
  <c r="AB149" i="1"/>
  <c r="W150" i="1"/>
  <c r="X150" i="1"/>
  <c r="Y150" i="1"/>
  <c r="Z150" i="1"/>
  <c r="AA150" i="1"/>
  <c r="AB150" i="1"/>
  <c r="W151" i="1"/>
  <c r="X151" i="1"/>
  <c r="Y151" i="1"/>
  <c r="Z151" i="1"/>
  <c r="AA151" i="1"/>
  <c r="AB151" i="1"/>
  <c r="W152" i="1"/>
  <c r="X152" i="1"/>
  <c r="Y152" i="1"/>
  <c r="Z152" i="1"/>
  <c r="AA152" i="1"/>
  <c r="AB152" i="1"/>
  <c r="W153" i="1"/>
  <c r="X153" i="1"/>
  <c r="Y153" i="1"/>
  <c r="Z153" i="1"/>
  <c r="AA153" i="1"/>
  <c r="AB153" i="1"/>
  <c r="W154" i="1"/>
  <c r="X154" i="1"/>
  <c r="Y154" i="1"/>
  <c r="Z154" i="1"/>
  <c r="AA154" i="1"/>
  <c r="AB154" i="1"/>
  <c r="W155" i="1"/>
  <c r="X155" i="1"/>
  <c r="Y155" i="1"/>
  <c r="Z155" i="1"/>
  <c r="AA155" i="1"/>
  <c r="AB155" i="1"/>
  <c r="W156" i="1"/>
  <c r="X156" i="1"/>
  <c r="Y156" i="1"/>
  <c r="Z156" i="1"/>
  <c r="AA156" i="1"/>
  <c r="AB156" i="1"/>
  <c r="W157" i="1"/>
  <c r="X157" i="1"/>
  <c r="Y157" i="1"/>
  <c r="Z157" i="1"/>
  <c r="AA157" i="1"/>
  <c r="AB157" i="1"/>
  <c r="W158" i="1"/>
  <c r="X158" i="1"/>
  <c r="Y158" i="1"/>
  <c r="Z158" i="1"/>
  <c r="AA158" i="1"/>
  <c r="AB158" i="1"/>
  <c r="W159" i="1"/>
  <c r="X159" i="1"/>
  <c r="Y159" i="1"/>
  <c r="Z159" i="1"/>
  <c r="AA159" i="1"/>
  <c r="AB159" i="1"/>
  <c r="W160" i="1"/>
  <c r="X160" i="1"/>
  <c r="Y160" i="1"/>
  <c r="Z160" i="1"/>
  <c r="AA160" i="1"/>
  <c r="AB160" i="1"/>
  <c r="W161" i="1"/>
  <c r="X161" i="1"/>
  <c r="Y161" i="1"/>
  <c r="Z161" i="1"/>
  <c r="AA161" i="1"/>
  <c r="AB161" i="1"/>
  <c r="W162" i="1"/>
  <c r="X162" i="1"/>
  <c r="Y162" i="1"/>
  <c r="Z162" i="1"/>
  <c r="AA162" i="1"/>
  <c r="AB162" i="1"/>
  <c r="W163" i="1"/>
  <c r="X163" i="1"/>
  <c r="Y163" i="1"/>
  <c r="Z163" i="1"/>
  <c r="AA163" i="1"/>
  <c r="AB163" i="1"/>
  <c r="W164" i="1"/>
  <c r="X164" i="1"/>
  <c r="Y164" i="1"/>
  <c r="Z164" i="1"/>
  <c r="AA164" i="1"/>
  <c r="AB164" i="1"/>
  <c r="W165" i="1"/>
  <c r="X165" i="1"/>
  <c r="Y165" i="1"/>
  <c r="Z165" i="1"/>
  <c r="AA165" i="1"/>
  <c r="AB165" i="1"/>
  <c r="W166" i="1"/>
  <c r="X166" i="1"/>
  <c r="Y166" i="1"/>
  <c r="Z166" i="1"/>
  <c r="AA166" i="1"/>
  <c r="AB166" i="1"/>
  <c r="W167" i="1"/>
  <c r="X167" i="1"/>
  <c r="Y167" i="1"/>
  <c r="Z167" i="1"/>
  <c r="AA167" i="1"/>
  <c r="AB167" i="1"/>
  <c r="W168" i="1"/>
  <c r="X168" i="1"/>
  <c r="Y168" i="1"/>
  <c r="Z168" i="1"/>
  <c r="AA168" i="1"/>
  <c r="AB168" i="1"/>
  <c r="W169" i="1"/>
  <c r="X169" i="1"/>
  <c r="Y169" i="1"/>
  <c r="Z169" i="1"/>
  <c r="AA169" i="1"/>
  <c r="AB169" i="1"/>
  <c r="W170" i="1"/>
  <c r="X170" i="1"/>
  <c r="Y170" i="1"/>
  <c r="Z170" i="1"/>
  <c r="AA170" i="1"/>
  <c r="AB170" i="1"/>
  <c r="W171" i="1"/>
  <c r="X171" i="1"/>
  <c r="Y171" i="1"/>
  <c r="Z171" i="1"/>
  <c r="AA171" i="1"/>
  <c r="AB171" i="1"/>
  <c r="W172" i="1"/>
  <c r="X172" i="1"/>
  <c r="Y172" i="1"/>
  <c r="Z172" i="1"/>
  <c r="AA172" i="1"/>
  <c r="AB172" i="1"/>
  <c r="W173" i="1"/>
  <c r="X173" i="1"/>
  <c r="Y173" i="1"/>
  <c r="Z173" i="1"/>
  <c r="AA173" i="1"/>
  <c r="AB173" i="1"/>
  <c r="W174" i="1"/>
  <c r="X174" i="1"/>
  <c r="Y174" i="1"/>
  <c r="Z174" i="1"/>
  <c r="AA174" i="1"/>
  <c r="AB174" i="1"/>
  <c r="W175" i="1"/>
  <c r="X175" i="1"/>
  <c r="Y175" i="1"/>
  <c r="Z175" i="1"/>
  <c r="AA175" i="1"/>
  <c r="AB175" i="1"/>
  <c r="W176" i="1"/>
  <c r="X176" i="1"/>
  <c r="Y176" i="1"/>
  <c r="Z176" i="1"/>
  <c r="AA176" i="1"/>
  <c r="AB176" i="1"/>
  <c r="W177" i="1"/>
  <c r="X177" i="1"/>
  <c r="Y177" i="1"/>
  <c r="Z177" i="1"/>
  <c r="AA177" i="1"/>
  <c r="AB177" i="1"/>
  <c r="W178" i="1"/>
  <c r="X178" i="1"/>
  <c r="Y178" i="1"/>
  <c r="Z178" i="1"/>
  <c r="AA178" i="1"/>
  <c r="AB178" i="1"/>
  <c r="W179" i="1"/>
  <c r="X179" i="1"/>
  <c r="Y179" i="1"/>
  <c r="Z179" i="1"/>
  <c r="AA179" i="1"/>
  <c r="AB179" i="1"/>
  <c r="W180" i="1"/>
  <c r="X180" i="1"/>
  <c r="Y180" i="1"/>
  <c r="Z180" i="1"/>
  <c r="AA180" i="1"/>
  <c r="AB180" i="1"/>
  <c r="W181" i="1"/>
  <c r="X181" i="1"/>
  <c r="Y181" i="1"/>
  <c r="Z181" i="1"/>
  <c r="AA181" i="1"/>
  <c r="AB181" i="1"/>
  <c r="W182" i="1"/>
  <c r="X182" i="1"/>
  <c r="Y182" i="1"/>
  <c r="Z182" i="1"/>
  <c r="AA182" i="1"/>
  <c r="AB182" i="1"/>
  <c r="W183" i="1"/>
  <c r="X183" i="1"/>
  <c r="Y183" i="1"/>
  <c r="Z183" i="1"/>
  <c r="AA183" i="1"/>
  <c r="AB183" i="1"/>
  <c r="W184" i="1"/>
  <c r="X184" i="1"/>
  <c r="Y184" i="1"/>
  <c r="Z184" i="1"/>
  <c r="AA184" i="1"/>
  <c r="AB184" i="1"/>
  <c r="W185" i="1"/>
  <c r="X185" i="1"/>
  <c r="Y185" i="1"/>
  <c r="Z185" i="1"/>
  <c r="AA185" i="1"/>
  <c r="AB185" i="1"/>
  <c r="W186" i="1"/>
  <c r="X186" i="1"/>
  <c r="Y186" i="1"/>
  <c r="Z186" i="1"/>
  <c r="AA186" i="1"/>
  <c r="AB186" i="1"/>
  <c r="W187" i="1"/>
  <c r="X187" i="1"/>
  <c r="Y187" i="1"/>
  <c r="Z187" i="1"/>
  <c r="AA187" i="1"/>
  <c r="AB187" i="1"/>
  <c r="W188" i="1"/>
  <c r="X188" i="1"/>
  <c r="Y188" i="1"/>
  <c r="Z188" i="1"/>
  <c r="AA188" i="1"/>
  <c r="AB188" i="1"/>
  <c r="W189" i="1"/>
  <c r="X189" i="1"/>
  <c r="Y189" i="1"/>
  <c r="Z189" i="1"/>
  <c r="AA189" i="1"/>
  <c r="AB189" i="1"/>
  <c r="W190" i="1"/>
  <c r="X190" i="1"/>
  <c r="Y190" i="1"/>
  <c r="Z190" i="1"/>
  <c r="AA190" i="1"/>
  <c r="AB190" i="1"/>
  <c r="W191" i="1"/>
  <c r="X191" i="1"/>
  <c r="Y191" i="1"/>
  <c r="Z191" i="1"/>
  <c r="AA191" i="1"/>
  <c r="AB191" i="1"/>
  <c r="W192" i="1"/>
  <c r="X192" i="1"/>
  <c r="Y192" i="1"/>
  <c r="Z192" i="1"/>
  <c r="AA192" i="1"/>
  <c r="AB192" i="1"/>
  <c r="W193" i="1"/>
  <c r="X193" i="1"/>
  <c r="Y193" i="1"/>
  <c r="Z193" i="1"/>
  <c r="AA193" i="1"/>
  <c r="AB193" i="1"/>
  <c r="W194" i="1"/>
  <c r="X194" i="1"/>
  <c r="Y194" i="1"/>
  <c r="Z194" i="1"/>
  <c r="AA194" i="1"/>
  <c r="AB194" i="1"/>
  <c r="W195" i="1"/>
  <c r="X195" i="1"/>
  <c r="Y195" i="1"/>
  <c r="Z195" i="1"/>
  <c r="AA195" i="1"/>
  <c r="AB195" i="1"/>
  <c r="W196" i="1"/>
  <c r="X196" i="1"/>
  <c r="Y196" i="1"/>
  <c r="Z196" i="1"/>
  <c r="AA196" i="1"/>
  <c r="AB196" i="1"/>
  <c r="W197" i="1"/>
  <c r="X197" i="1"/>
  <c r="Y197" i="1"/>
  <c r="Z197" i="1"/>
  <c r="AA197" i="1"/>
  <c r="AB197" i="1"/>
  <c r="W198" i="1"/>
  <c r="X198" i="1"/>
  <c r="Y198" i="1"/>
  <c r="Z198" i="1"/>
  <c r="AA198" i="1"/>
  <c r="AB198" i="1"/>
  <c r="W199" i="1"/>
  <c r="X199" i="1"/>
  <c r="Y199" i="1"/>
  <c r="Z199" i="1"/>
  <c r="AA199" i="1"/>
  <c r="AB199" i="1"/>
  <c r="W200" i="1"/>
  <c r="X200" i="1"/>
  <c r="Y200" i="1"/>
  <c r="Z200" i="1"/>
  <c r="AA200" i="1"/>
  <c r="AB200" i="1"/>
  <c r="W201" i="1"/>
  <c r="X201" i="1"/>
  <c r="Y201" i="1"/>
  <c r="Z201" i="1"/>
  <c r="AA201" i="1"/>
  <c r="AB201" i="1"/>
  <c r="W202" i="1"/>
  <c r="X202" i="1"/>
  <c r="Y202" i="1"/>
  <c r="Z202" i="1"/>
  <c r="AA202" i="1"/>
  <c r="AB202" i="1"/>
  <c r="W203" i="1"/>
  <c r="X203" i="1"/>
  <c r="Y203" i="1"/>
  <c r="Z203" i="1"/>
  <c r="AA203" i="1"/>
  <c r="AB203" i="1"/>
  <c r="W204" i="1"/>
  <c r="X204" i="1"/>
  <c r="Y204" i="1"/>
  <c r="Z204" i="1"/>
  <c r="AA204" i="1"/>
  <c r="AB204" i="1"/>
  <c r="W205" i="1"/>
  <c r="X205" i="1"/>
  <c r="Y205" i="1"/>
  <c r="Z205" i="1"/>
  <c r="AA205" i="1"/>
  <c r="AB205" i="1"/>
  <c r="W206" i="1"/>
  <c r="X206" i="1"/>
  <c r="Y206" i="1"/>
  <c r="Z206" i="1"/>
  <c r="AA206" i="1"/>
  <c r="AB206" i="1"/>
  <c r="W207" i="1"/>
  <c r="X207" i="1"/>
  <c r="Y207" i="1"/>
  <c r="Z207" i="1"/>
  <c r="AA207" i="1"/>
  <c r="AB207" i="1"/>
  <c r="W208" i="1"/>
  <c r="X208" i="1"/>
  <c r="Y208" i="1"/>
  <c r="Z208" i="1"/>
  <c r="AA208" i="1"/>
  <c r="AB208" i="1"/>
  <c r="W209" i="1"/>
  <c r="X209" i="1"/>
  <c r="Y209" i="1"/>
  <c r="Z209" i="1"/>
  <c r="AA209" i="1"/>
  <c r="AB209" i="1"/>
  <c r="W210" i="1"/>
  <c r="X210" i="1"/>
  <c r="Y210" i="1"/>
  <c r="Z210" i="1"/>
  <c r="AA210" i="1"/>
  <c r="AB210" i="1"/>
  <c r="W211" i="1"/>
  <c r="X211" i="1"/>
  <c r="Y211" i="1"/>
  <c r="Z211" i="1"/>
  <c r="AA211" i="1"/>
  <c r="AB211" i="1"/>
  <c r="W212" i="1"/>
  <c r="X212" i="1"/>
  <c r="Y212" i="1"/>
  <c r="Z212" i="1"/>
  <c r="AA212" i="1"/>
  <c r="AB212" i="1"/>
  <c r="W213" i="1"/>
  <c r="X213" i="1"/>
  <c r="Y213" i="1"/>
  <c r="Z213" i="1"/>
  <c r="AA213" i="1"/>
  <c r="AB213" i="1"/>
  <c r="W214" i="1"/>
  <c r="X214" i="1"/>
  <c r="Y214" i="1"/>
  <c r="Z214" i="1"/>
  <c r="AA214" i="1"/>
  <c r="AB214" i="1"/>
  <c r="W215" i="1"/>
  <c r="X215" i="1"/>
  <c r="Y215" i="1"/>
  <c r="Z215" i="1"/>
  <c r="AA215" i="1"/>
  <c r="AB215" i="1"/>
  <c r="W216" i="1"/>
  <c r="X216" i="1"/>
  <c r="Y216" i="1"/>
  <c r="Z216" i="1"/>
  <c r="AA216" i="1"/>
  <c r="AB216" i="1"/>
  <c r="W217" i="1"/>
  <c r="X217" i="1"/>
  <c r="Y217" i="1"/>
  <c r="Z217" i="1"/>
  <c r="AA217" i="1"/>
  <c r="AB217" i="1"/>
  <c r="W218" i="1"/>
  <c r="X218" i="1"/>
  <c r="Y218" i="1"/>
  <c r="Z218" i="1"/>
  <c r="AA218" i="1"/>
  <c r="AB218" i="1"/>
  <c r="W219" i="1"/>
  <c r="X219" i="1"/>
  <c r="Y219" i="1"/>
  <c r="Z219" i="1"/>
  <c r="AA219" i="1"/>
  <c r="AB219" i="1"/>
  <c r="W220" i="1"/>
  <c r="X220" i="1"/>
  <c r="Y220" i="1"/>
  <c r="Z220" i="1"/>
  <c r="AA220" i="1"/>
  <c r="AB220" i="1"/>
  <c r="W221" i="1"/>
  <c r="X221" i="1"/>
  <c r="Y221" i="1"/>
  <c r="Z221" i="1"/>
  <c r="AA221" i="1"/>
  <c r="AB221" i="1"/>
  <c r="W222" i="1"/>
  <c r="X222" i="1"/>
  <c r="Y222" i="1"/>
  <c r="Z222" i="1"/>
  <c r="AA222" i="1"/>
  <c r="AB222" i="1"/>
  <c r="W223" i="1"/>
  <c r="X223" i="1"/>
  <c r="Y223" i="1"/>
  <c r="Z223" i="1"/>
  <c r="AA223" i="1"/>
  <c r="AB223" i="1"/>
  <c r="W224" i="1"/>
  <c r="X224" i="1"/>
  <c r="Y224" i="1"/>
  <c r="Z224" i="1"/>
  <c r="AA224" i="1"/>
  <c r="AB224" i="1"/>
  <c r="W225" i="1"/>
  <c r="X225" i="1"/>
  <c r="Y225" i="1"/>
  <c r="Z225" i="1"/>
  <c r="AA225" i="1"/>
  <c r="AB225" i="1"/>
  <c r="W226" i="1"/>
  <c r="X226" i="1"/>
  <c r="Y226" i="1"/>
  <c r="Z226" i="1"/>
  <c r="AA226" i="1"/>
  <c r="AB226" i="1"/>
  <c r="W227" i="1"/>
  <c r="X227" i="1"/>
  <c r="Y227" i="1"/>
  <c r="Z227" i="1"/>
  <c r="AA227" i="1"/>
  <c r="AB227" i="1"/>
  <c r="W228" i="1"/>
  <c r="X228" i="1"/>
  <c r="Y228" i="1"/>
  <c r="Z228" i="1"/>
  <c r="AA228" i="1"/>
  <c r="AB228" i="1"/>
  <c r="W229" i="1"/>
  <c r="X229" i="1"/>
  <c r="Y229" i="1"/>
  <c r="Z229" i="1"/>
  <c r="AA229" i="1"/>
  <c r="AB229" i="1"/>
  <c r="W230" i="1"/>
  <c r="X230" i="1"/>
  <c r="Y230" i="1"/>
  <c r="Z230" i="1"/>
  <c r="AA230" i="1"/>
  <c r="AB230" i="1"/>
  <c r="W231" i="1"/>
  <c r="X231" i="1"/>
  <c r="Y231" i="1"/>
  <c r="Z231" i="1"/>
  <c r="AA231" i="1"/>
  <c r="AB231" i="1"/>
  <c r="W232" i="1"/>
  <c r="X232" i="1"/>
  <c r="Y232" i="1"/>
  <c r="Z232" i="1"/>
  <c r="AA232" i="1"/>
  <c r="AB232" i="1"/>
  <c r="W233" i="1"/>
  <c r="X233" i="1"/>
  <c r="Y233" i="1"/>
  <c r="Z233" i="1"/>
  <c r="AA233" i="1"/>
  <c r="AB233" i="1"/>
  <c r="W234" i="1"/>
  <c r="X234" i="1"/>
  <c r="Y234" i="1"/>
  <c r="Z234" i="1"/>
  <c r="AA234" i="1"/>
  <c r="AB234" i="1"/>
  <c r="W235" i="1"/>
  <c r="X235" i="1"/>
  <c r="Y235" i="1"/>
  <c r="Z235" i="1"/>
  <c r="AA235" i="1"/>
  <c r="AB235" i="1"/>
  <c r="W236" i="1"/>
  <c r="X236" i="1"/>
  <c r="Y236" i="1"/>
  <c r="Z236" i="1"/>
  <c r="AA236" i="1"/>
  <c r="AB236" i="1"/>
  <c r="W237" i="1"/>
  <c r="X237" i="1"/>
  <c r="Y237" i="1"/>
  <c r="Z237" i="1"/>
  <c r="AA237" i="1"/>
  <c r="AB237" i="1"/>
  <c r="W238" i="1"/>
  <c r="X238" i="1"/>
  <c r="Y238" i="1"/>
  <c r="Z238" i="1"/>
  <c r="AA238" i="1"/>
  <c r="AB238" i="1"/>
  <c r="W239" i="1"/>
  <c r="X239" i="1"/>
  <c r="Y239" i="1"/>
  <c r="Z239" i="1"/>
  <c r="AA239" i="1"/>
  <c r="AB239" i="1"/>
  <c r="W240" i="1"/>
  <c r="X240" i="1"/>
  <c r="Y240" i="1"/>
  <c r="Z240" i="1"/>
  <c r="AA240" i="1"/>
  <c r="AB240" i="1"/>
  <c r="W241" i="1"/>
  <c r="X241" i="1"/>
  <c r="Y241" i="1"/>
  <c r="Z241" i="1"/>
  <c r="AA241" i="1"/>
  <c r="AB241" i="1"/>
  <c r="W242" i="1"/>
  <c r="X242" i="1"/>
  <c r="Y242" i="1"/>
  <c r="Z242" i="1"/>
  <c r="AA242" i="1"/>
  <c r="AB242" i="1"/>
  <c r="W243" i="1"/>
  <c r="X243" i="1"/>
  <c r="Y243" i="1"/>
  <c r="Z243" i="1"/>
  <c r="AA243" i="1"/>
  <c r="AB243" i="1"/>
  <c r="W244" i="1"/>
  <c r="X244" i="1"/>
  <c r="Y244" i="1"/>
  <c r="Z244" i="1"/>
  <c r="AA244" i="1"/>
  <c r="AB244" i="1"/>
  <c r="W245" i="1"/>
  <c r="X245" i="1"/>
  <c r="Y245" i="1"/>
  <c r="Z245" i="1"/>
  <c r="AA245" i="1"/>
  <c r="AB245" i="1"/>
  <c r="W246" i="1"/>
  <c r="X246" i="1"/>
  <c r="Y246" i="1"/>
  <c r="Z246" i="1"/>
  <c r="AA246" i="1"/>
  <c r="AB246" i="1"/>
  <c r="W247" i="1"/>
  <c r="X247" i="1"/>
  <c r="Y247" i="1"/>
  <c r="Z247" i="1"/>
  <c r="AA247" i="1"/>
  <c r="AB247" i="1"/>
  <c r="W248" i="1"/>
  <c r="X248" i="1"/>
  <c r="Y248" i="1"/>
  <c r="Z248" i="1"/>
  <c r="AA248" i="1"/>
  <c r="AB248" i="1"/>
  <c r="W249" i="1"/>
  <c r="X249" i="1"/>
  <c r="Y249" i="1"/>
  <c r="Z249" i="1"/>
  <c r="AA249" i="1"/>
  <c r="AB249" i="1"/>
  <c r="W250" i="1"/>
  <c r="X250" i="1"/>
  <c r="Y250" i="1"/>
  <c r="Z250" i="1"/>
  <c r="AA250" i="1"/>
  <c r="AB250" i="1"/>
  <c r="W251" i="1"/>
  <c r="X251" i="1"/>
  <c r="Y251" i="1"/>
  <c r="Z251" i="1"/>
  <c r="AA251" i="1"/>
  <c r="AB251" i="1"/>
  <c r="W252" i="1"/>
  <c r="X252" i="1"/>
  <c r="Y252" i="1"/>
  <c r="Z252" i="1"/>
  <c r="AA252" i="1"/>
  <c r="AB252" i="1"/>
  <c r="W253" i="1"/>
  <c r="X253" i="1"/>
  <c r="Y253" i="1"/>
  <c r="Z253" i="1"/>
  <c r="AA253" i="1"/>
  <c r="AB253" i="1"/>
  <c r="W254" i="1"/>
  <c r="X254" i="1"/>
  <c r="Y254" i="1"/>
  <c r="Z254" i="1"/>
  <c r="AA254" i="1"/>
  <c r="AB254" i="1"/>
  <c r="W255" i="1"/>
  <c r="X255" i="1"/>
  <c r="Y255" i="1"/>
  <c r="Z255" i="1"/>
  <c r="AA255" i="1"/>
  <c r="AB255" i="1"/>
  <c r="W256" i="1"/>
  <c r="X256" i="1"/>
  <c r="Y256" i="1"/>
  <c r="Z256" i="1"/>
  <c r="AA256" i="1"/>
  <c r="AB256" i="1"/>
  <c r="W257" i="1"/>
  <c r="X257" i="1"/>
  <c r="Y257" i="1"/>
  <c r="Z257" i="1"/>
  <c r="AA257" i="1"/>
  <c r="AB257" i="1"/>
  <c r="W258" i="1"/>
  <c r="X258" i="1"/>
  <c r="Y258" i="1"/>
  <c r="Z258" i="1"/>
  <c r="AA258" i="1"/>
  <c r="AB258" i="1"/>
  <c r="W259" i="1"/>
  <c r="X259" i="1"/>
  <c r="Y259" i="1"/>
  <c r="Z259" i="1"/>
  <c r="AA259" i="1"/>
  <c r="AB259" i="1"/>
  <c r="W260" i="1"/>
  <c r="X260" i="1"/>
  <c r="Y260" i="1"/>
  <c r="Z260" i="1"/>
  <c r="AA260" i="1"/>
  <c r="AB260" i="1"/>
  <c r="W261" i="1"/>
  <c r="X261" i="1"/>
  <c r="Y261" i="1"/>
  <c r="Z261" i="1"/>
  <c r="AA261" i="1"/>
  <c r="AB261" i="1"/>
  <c r="W262" i="1"/>
  <c r="X262" i="1"/>
  <c r="Y262" i="1"/>
  <c r="Z262" i="1"/>
  <c r="AA262" i="1"/>
  <c r="AB262" i="1"/>
  <c r="W263" i="1"/>
  <c r="X263" i="1"/>
  <c r="Y263" i="1"/>
  <c r="Z263" i="1"/>
  <c r="AA263" i="1"/>
  <c r="AB263" i="1"/>
  <c r="W264" i="1"/>
  <c r="X264" i="1"/>
  <c r="Y264" i="1"/>
  <c r="Z264" i="1"/>
  <c r="AA264" i="1"/>
  <c r="AB264" i="1"/>
  <c r="W265" i="1"/>
  <c r="X265" i="1"/>
  <c r="Y265" i="1"/>
  <c r="Z265" i="1"/>
  <c r="AA265" i="1"/>
  <c r="AB265" i="1"/>
  <c r="W266" i="1"/>
  <c r="X266" i="1"/>
  <c r="Y266" i="1"/>
  <c r="Z266" i="1"/>
  <c r="AA266" i="1"/>
  <c r="AB266" i="1"/>
  <c r="W267" i="1"/>
  <c r="X267" i="1"/>
  <c r="Y267" i="1"/>
  <c r="Z267" i="1"/>
  <c r="AA267" i="1"/>
  <c r="AB267" i="1"/>
  <c r="W268" i="1"/>
  <c r="X268" i="1"/>
  <c r="Y268" i="1"/>
  <c r="Z268" i="1"/>
  <c r="AA268" i="1"/>
  <c r="AB268" i="1"/>
  <c r="W269" i="1"/>
  <c r="X269" i="1"/>
  <c r="Y269" i="1"/>
  <c r="Z269" i="1"/>
  <c r="AA269" i="1"/>
  <c r="AB269" i="1"/>
  <c r="W270" i="1"/>
  <c r="X270" i="1"/>
  <c r="Y270" i="1"/>
  <c r="Z270" i="1"/>
  <c r="AA270" i="1"/>
  <c r="AB270" i="1"/>
  <c r="W271" i="1"/>
  <c r="X271" i="1"/>
  <c r="Y271" i="1"/>
  <c r="Z271" i="1"/>
  <c r="AA271" i="1"/>
  <c r="AB271" i="1"/>
  <c r="W272" i="1"/>
  <c r="X272" i="1"/>
  <c r="Y272" i="1"/>
  <c r="Z272" i="1"/>
  <c r="AA272" i="1"/>
  <c r="AB272" i="1"/>
  <c r="W273" i="1"/>
  <c r="X273" i="1"/>
  <c r="Y273" i="1"/>
  <c r="Z273" i="1"/>
  <c r="AA273" i="1"/>
  <c r="AB273" i="1"/>
  <c r="W274" i="1"/>
  <c r="X274" i="1"/>
  <c r="Y274" i="1"/>
  <c r="Z274" i="1"/>
  <c r="AA274" i="1"/>
  <c r="AB274" i="1"/>
  <c r="W275" i="1"/>
  <c r="X275" i="1"/>
  <c r="Y275" i="1"/>
  <c r="Z275" i="1"/>
  <c r="AA275" i="1"/>
  <c r="AB275" i="1"/>
  <c r="W276" i="1"/>
  <c r="X276" i="1"/>
  <c r="Y276" i="1"/>
  <c r="Z276" i="1"/>
  <c r="AA276" i="1"/>
  <c r="AB276" i="1"/>
  <c r="W277" i="1"/>
  <c r="X277" i="1"/>
  <c r="Y277" i="1"/>
  <c r="Z277" i="1"/>
  <c r="AA277" i="1"/>
  <c r="AB277" i="1"/>
  <c r="W278" i="1"/>
  <c r="X278" i="1"/>
  <c r="Y278" i="1"/>
  <c r="Z278" i="1"/>
  <c r="AA278" i="1"/>
  <c r="AB278" i="1"/>
  <c r="W279" i="1"/>
  <c r="X279" i="1"/>
  <c r="Y279" i="1"/>
  <c r="Z279" i="1"/>
  <c r="AA279" i="1"/>
  <c r="AB279" i="1"/>
  <c r="W280" i="1"/>
  <c r="X280" i="1"/>
  <c r="Y280" i="1"/>
  <c r="Z280" i="1"/>
  <c r="AA280" i="1"/>
  <c r="AB280" i="1"/>
  <c r="W281" i="1"/>
  <c r="X281" i="1"/>
  <c r="Y281" i="1"/>
  <c r="Z281" i="1"/>
  <c r="AA281" i="1"/>
  <c r="AB281" i="1"/>
  <c r="W282" i="1"/>
  <c r="X282" i="1"/>
  <c r="Y282" i="1"/>
  <c r="Z282" i="1"/>
  <c r="AA282" i="1"/>
  <c r="AB282" i="1"/>
  <c r="W283" i="1"/>
  <c r="X283" i="1"/>
  <c r="Y283" i="1"/>
  <c r="Z283" i="1"/>
  <c r="AA283" i="1"/>
  <c r="AB283" i="1"/>
  <c r="W284" i="1"/>
  <c r="X284" i="1"/>
  <c r="Y284" i="1"/>
  <c r="Z284" i="1"/>
  <c r="AA284" i="1"/>
  <c r="AB284" i="1"/>
  <c r="W285" i="1"/>
  <c r="X285" i="1"/>
  <c r="Y285" i="1"/>
  <c r="Z285" i="1"/>
  <c r="AA285" i="1"/>
  <c r="AB285" i="1"/>
  <c r="W286" i="1"/>
  <c r="X286" i="1"/>
  <c r="Y286" i="1"/>
  <c r="Z286" i="1"/>
  <c r="AA286" i="1"/>
  <c r="AB286" i="1"/>
  <c r="W287" i="1"/>
  <c r="X287" i="1"/>
  <c r="Y287" i="1"/>
  <c r="Z287" i="1"/>
  <c r="AA287" i="1"/>
  <c r="AB287" i="1"/>
  <c r="W288" i="1"/>
  <c r="X288" i="1"/>
  <c r="Y288" i="1"/>
  <c r="Z288" i="1"/>
  <c r="AA288" i="1"/>
  <c r="AB288" i="1"/>
  <c r="W289" i="1"/>
  <c r="X289" i="1"/>
  <c r="Y289" i="1"/>
  <c r="Z289" i="1"/>
  <c r="AA289" i="1"/>
  <c r="AB289" i="1"/>
  <c r="W290" i="1"/>
  <c r="X290" i="1"/>
  <c r="Y290" i="1"/>
  <c r="Z290" i="1"/>
  <c r="AA290" i="1"/>
  <c r="AB290" i="1"/>
  <c r="W291" i="1"/>
  <c r="X291" i="1"/>
  <c r="Y291" i="1"/>
  <c r="Z291" i="1"/>
  <c r="AA291" i="1"/>
  <c r="AB291" i="1"/>
  <c r="W292" i="1"/>
  <c r="X292" i="1"/>
  <c r="Y292" i="1"/>
  <c r="Z292" i="1"/>
  <c r="AA292" i="1"/>
  <c r="AB292" i="1"/>
  <c r="W293" i="1"/>
  <c r="X293" i="1"/>
  <c r="Y293" i="1"/>
  <c r="Z293" i="1"/>
  <c r="AA293" i="1"/>
  <c r="AB293" i="1"/>
  <c r="W294" i="1"/>
  <c r="X294" i="1"/>
  <c r="Y294" i="1"/>
  <c r="Z294" i="1"/>
  <c r="AA294" i="1"/>
  <c r="AB294" i="1"/>
  <c r="W295" i="1"/>
  <c r="X295" i="1"/>
  <c r="Y295" i="1"/>
  <c r="Z295" i="1"/>
  <c r="AA295" i="1"/>
  <c r="AB295" i="1"/>
  <c r="W296" i="1"/>
  <c r="X296" i="1"/>
  <c r="Y296" i="1"/>
  <c r="Z296" i="1"/>
  <c r="AA296" i="1"/>
  <c r="AB296" i="1"/>
  <c r="W297" i="1"/>
  <c r="X297" i="1"/>
  <c r="Y297" i="1"/>
  <c r="Z297" i="1"/>
  <c r="AA297" i="1"/>
  <c r="AB297" i="1"/>
  <c r="W298" i="1"/>
  <c r="X298" i="1"/>
  <c r="Y298" i="1"/>
  <c r="Z298" i="1"/>
  <c r="AA298" i="1"/>
  <c r="AB298" i="1"/>
  <c r="W299" i="1"/>
  <c r="X299" i="1"/>
  <c r="Y299" i="1"/>
  <c r="Z299" i="1"/>
  <c r="AA299" i="1"/>
  <c r="AB299" i="1"/>
  <c r="W300" i="1"/>
  <c r="X300" i="1"/>
  <c r="Y300" i="1"/>
  <c r="Z300" i="1"/>
  <c r="AA300" i="1"/>
  <c r="AB300" i="1"/>
  <c r="W301" i="1"/>
  <c r="X301" i="1"/>
  <c r="Y301" i="1"/>
  <c r="Z301" i="1"/>
  <c r="AA301" i="1"/>
  <c r="AB301" i="1"/>
  <c r="W302" i="1"/>
  <c r="X302" i="1"/>
  <c r="Y302" i="1"/>
  <c r="Z302" i="1"/>
  <c r="AA302" i="1"/>
  <c r="AB302" i="1"/>
  <c r="W303" i="1"/>
  <c r="X303" i="1"/>
  <c r="Y303" i="1"/>
  <c r="Z303" i="1"/>
  <c r="AA303" i="1"/>
  <c r="AB303" i="1"/>
  <c r="W304" i="1"/>
  <c r="X304" i="1"/>
  <c r="Y304" i="1"/>
  <c r="Z304" i="1"/>
  <c r="AA304" i="1"/>
  <c r="AB304" i="1"/>
  <c r="W305" i="1"/>
  <c r="X305" i="1"/>
  <c r="Y305" i="1"/>
  <c r="Z305" i="1"/>
  <c r="AA305" i="1"/>
  <c r="AB305" i="1"/>
  <c r="W306" i="1"/>
  <c r="X306" i="1"/>
  <c r="Y306" i="1"/>
  <c r="Z306" i="1"/>
  <c r="AA306" i="1"/>
  <c r="AB306" i="1"/>
  <c r="W307" i="1"/>
  <c r="X307" i="1"/>
  <c r="Y307" i="1"/>
  <c r="Z307" i="1"/>
  <c r="AA307" i="1"/>
  <c r="AB307" i="1"/>
  <c r="W308" i="1"/>
  <c r="X308" i="1"/>
  <c r="Y308" i="1"/>
  <c r="Z308" i="1"/>
  <c r="AA308" i="1"/>
  <c r="AB308" i="1"/>
  <c r="W309" i="1"/>
  <c r="X309" i="1"/>
  <c r="Y309" i="1"/>
  <c r="Z309" i="1"/>
  <c r="AA309" i="1"/>
  <c r="AB309" i="1"/>
  <c r="W310" i="1"/>
  <c r="X310" i="1"/>
  <c r="Y310" i="1"/>
  <c r="Z310" i="1"/>
  <c r="AA310" i="1"/>
  <c r="AB310" i="1"/>
  <c r="W311" i="1"/>
  <c r="X311" i="1"/>
  <c r="Y311" i="1"/>
  <c r="Z311" i="1"/>
  <c r="AA311" i="1"/>
  <c r="AB311" i="1"/>
  <c r="W312" i="1"/>
  <c r="X312" i="1"/>
  <c r="Y312" i="1"/>
  <c r="Z312" i="1"/>
  <c r="AA312" i="1"/>
  <c r="AB312" i="1"/>
  <c r="W313" i="1"/>
  <c r="X313" i="1"/>
  <c r="Y313" i="1"/>
  <c r="Z313" i="1"/>
  <c r="AA313" i="1"/>
  <c r="AB313" i="1"/>
  <c r="W314" i="1"/>
  <c r="X314" i="1"/>
  <c r="Y314" i="1"/>
  <c r="Z314" i="1"/>
  <c r="AA314" i="1"/>
  <c r="AB314" i="1"/>
  <c r="W315" i="1"/>
  <c r="X315" i="1"/>
  <c r="Y315" i="1"/>
  <c r="Z315" i="1"/>
  <c r="AA315" i="1"/>
  <c r="AB315" i="1"/>
  <c r="W316" i="1"/>
  <c r="X316" i="1"/>
  <c r="Y316" i="1"/>
  <c r="Z316" i="1"/>
  <c r="AA316" i="1"/>
  <c r="AB316" i="1"/>
  <c r="W317" i="1"/>
  <c r="X317" i="1"/>
  <c r="Y317" i="1"/>
  <c r="Z317" i="1"/>
  <c r="AA317" i="1"/>
  <c r="AB317" i="1"/>
  <c r="W318" i="1"/>
  <c r="X318" i="1"/>
  <c r="Y318" i="1"/>
  <c r="Z318" i="1"/>
  <c r="AA318" i="1"/>
  <c r="AB318" i="1"/>
  <c r="W319" i="1"/>
  <c r="X319" i="1"/>
  <c r="Y319" i="1"/>
  <c r="Z319" i="1"/>
  <c r="AA319" i="1"/>
  <c r="AB319" i="1"/>
  <c r="W320" i="1"/>
  <c r="X320" i="1"/>
  <c r="Y320" i="1"/>
  <c r="Z320" i="1"/>
  <c r="AA320" i="1"/>
  <c r="AB320" i="1"/>
  <c r="W321" i="1"/>
  <c r="X321" i="1"/>
  <c r="Y321" i="1"/>
  <c r="Z321" i="1"/>
  <c r="AA321" i="1"/>
  <c r="AB321" i="1"/>
  <c r="W322" i="1"/>
  <c r="X322" i="1"/>
  <c r="Y322" i="1"/>
  <c r="Z322" i="1"/>
  <c r="AA322" i="1"/>
  <c r="AB322" i="1"/>
  <c r="W323" i="1"/>
  <c r="X323" i="1"/>
  <c r="Y323" i="1"/>
  <c r="Z323" i="1"/>
  <c r="AA323" i="1"/>
  <c r="AB323" i="1"/>
  <c r="W324" i="1"/>
  <c r="X324" i="1"/>
  <c r="Y324" i="1"/>
  <c r="Z324" i="1"/>
  <c r="AA324" i="1"/>
  <c r="AB324" i="1"/>
  <c r="W325" i="1"/>
  <c r="X325" i="1"/>
  <c r="Y325" i="1"/>
  <c r="Z325" i="1"/>
  <c r="AA325" i="1"/>
  <c r="AB325" i="1"/>
  <c r="W326" i="1"/>
  <c r="X326" i="1"/>
  <c r="Y326" i="1"/>
  <c r="Z326" i="1"/>
  <c r="AA326" i="1"/>
  <c r="AB326" i="1"/>
  <c r="W327" i="1"/>
  <c r="X327" i="1"/>
  <c r="Y327" i="1"/>
  <c r="Z327" i="1"/>
  <c r="AA327" i="1"/>
  <c r="AB327" i="1"/>
  <c r="W328" i="1"/>
  <c r="X328" i="1"/>
  <c r="Y328" i="1"/>
  <c r="Z328" i="1"/>
  <c r="AA328" i="1"/>
  <c r="AB328" i="1"/>
  <c r="W329" i="1"/>
  <c r="X329" i="1"/>
  <c r="Y329" i="1"/>
  <c r="Z329" i="1"/>
  <c r="AA329" i="1"/>
  <c r="AB329" i="1"/>
  <c r="W330" i="1"/>
  <c r="X330" i="1"/>
  <c r="Y330" i="1"/>
  <c r="Z330" i="1"/>
  <c r="AA330" i="1"/>
  <c r="AB330" i="1"/>
  <c r="W331" i="1"/>
  <c r="X331" i="1"/>
  <c r="Y331" i="1"/>
  <c r="Z331" i="1"/>
  <c r="AA331" i="1"/>
  <c r="AB331" i="1"/>
  <c r="W332" i="1"/>
  <c r="X332" i="1"/>
  <c r="Y332" i="1"/>
  <c r="Z332" i="1"/>
  <c r="AA332" i="1"/>
  <c r="AB332" i="1"/>
  <c r="W333" i="1"/>
  <c r="X333" i="1"/>
  <c r="Y333" i="1"/>
  <c r="Z333" i="1"/>
  <c r="AA333" i="1"/>
  <c r="AB333" i="1"/>
  <c r="W334" i="1"/>
  <c r="X334" i="1"/>
  <c r="Y334" i="1"/>
  <c r="Z334" i="1"/>
  <c r="AA334" i="1"/>
  <c r="AB334" i="1"/>
  <c r="W335" i="1"/>
  <c r="X335" i="1"/>
  <c r="Y335" i="1"/>
  <c r="Z335" i="1"/>
  <c r="AA335" i="1"/>
  <c r="AB335" i="1"/>
  <c r="W336" i="1"/>
  <c r="X336" i="1"/>
  <c r="Y336" i="1"/>
  <c r="Z336" i="1"/>
  <c r="AA336" i="1"/>
  <c r="AB336" i="1"/>
  <c r="W337" i="1"/>
  <c r="X337" i="1"/>
  <c r="Y337" i="1"/>
  <c r="Z337" i="1"/>
  <c r="AA337" i="1"/>
  <c r="AB337" i="1"/>
  <c r="W338" i="1"/>
  <c r="X338" i="1"/>
  <c r="Y338" i="1"/>
  <c r="Z338" i="1"/>
  <c r="AA338" i="1"/>
  <c r="AB338" i="1"/>
  <c r="W339" i="1"/>
  <c r="X339" i="1"/>
  <c r="Y339" i="1"/>
  <c r="Z339" i="1"/>
  <c r="AA339" i="1"/>
  <c r="AB339" i="1"/>
  <c r="W340" i="1"/>
  <c r="X340" i="1"/>
  <c r="Y340" i="1"/>
  <c r="Z340" i="1"/>
  <c r="AA340" i="1"/>
  <c r="AB340" i="1"/>
  <c r="W341" i="1"/>
  <c r="X341" i="1"/>
  <c r="Y341" i="1"/>
  <c r="Z341" i="1"/>
  <c r="AA341" i="1"/>
  <c r="AB341" i="1"/>
  <c r="W342" i="1"/>
  <c r="X342" i="1"/>
  <c r="Y342" i="1"/>
  <c r="Z342" i="1"/>
  <c r="AA342" i="1"/>
  <c r="AB342" i="1"/>
  <c r="W343" i="1"/>
  <c r="X343" i="1"/>
  <c r="Y343" i="1"/>
  <c r="Z343" i="1"/>
  <c r="AA343" i="1"/>
  <c r="AB343" i="1"/>
  <c r="W344" i="1"/>
  <c r="X344" i="1"/>
  <c r="Y344" i="1"/>
  <c r="Z344" i="1"/>
  <c r="AA344" i="1"/>
  <c r="AB344" i="1"/>
  <c r="W345" i="1"/>
  <c r="X345" i="1"/>
  <c r="Y345" i="1"/>
  <c r="Z345" i="1"/>
  <c r="AA345" i="1"/>
  <c r="AB345" i="1"/>
  <c r="W346" i="1"/>
  <c r="X346" i="1"/>
  <c r="Y346" i="1"/>
  <c r="Z346" i="1"/>
  <c r="AA346" i="1"/>
  <c r="AB346" i="1"/>
  <c r="W347" i="1"/>
  <c r="X347" i="1"/>
  <c r="Y347" i="1"/>
  <c r="Z347" i="1"/>
  <c r="AA347" i="1"/>
  <c r="AB347" i="1"/>
  <c r="W348" i="1"/>
  <c r="X348" i="1"/>
  <c r="Y348" i="1"/>
  <c r="Z348" i="1"/>
  <c r="AA348" i="1"/>
  <c r="AB348" i="1"/>
  <c r="W349" i="1"/>
  <c r="X349" i="1"/>
  <c r="Y349" i="1"/>
  <c r="Z349" i="1"/>
  <c r="AA349" i="1"/>
  <c r="AB349" i="1"/>
  <c r="W350" i="1"/>
  <c r="X350" i="1"/>
  <c r="Y350" i="1"/>
  <c r="Z350" i="1"/>
  <c r="AA350" i="1"/>
  <c r="AB350" i="1"/>
  <c r="W351" i="1"/>
  <c r="X351" i="1"/>
  <c r="Y351" i="1"/>
  <c r="Z351" i="1"/>
  <c r="AA351" i="1"/>
  <c r="AB351" i="1"/>
  <c r="W352" i="1"/>
  <c r="X352" i="1"/>
  <c r="Y352" i="1"/>
  <c r="Z352" i="1"/>
  <c r="AA352" i="1"/>
  <c r="AB352" i="1"/>
  <c r="W353" i="1"/>
  <c r="X353" i="1"/>
  <c r="Y353" i="1"/>
  <c r="Z353" i="1"/>
  <c r="AA353" i="1"/>
  <c r="AB353" i="1"/>
  <c r="W354" i="1"/>
  <c r="X354" i="1"/>
  <c r="Y354" i="1"/>
  <c r="Z354" i="1"/>
  <c r="AA354" i="1"/>
  <c r="AB354" i="1"/>
  <c r="W355" i="1"/>
  <c r="X355" i="1"/>
  <c r="Y355" i="1"/>
  <c r="Z355" i="1"/>
  <c r="AA355" i="1"/>
  <c r="AB355" i="1"/>
  <c r="W356" i="1"/>
  <c r="X356" i="1"/>
  <c r="Y356" i="1"/>
  <c r="Z356" i="1"/>
  <c r="AA356" i="1"/>
  <c r="AB356" i="1"/>
  <c r="W357" i="1"/>
  <c r="X357" i="1"/>
  <c r="Y357" i="1"/>
  <c r="Z357" i="1"/>
  <c r="AA357" i="1"/>
  <c r="AB357" i="1"/>
  <c r="W358" i="1"/>
  <c r="X358" i="1"/>
  <c r="Y358" i="1"/>
  <c r="Z358" i="1"/>
  <c r="AA358" i="1"/>
  <c r="AB358" i="1"/>
  <c r="W359" i="1"/>
  <c r="X359" i="1"/>
  <c r="Y359" i="1"/>
  <c r="Z359" i="1"/>
  <c r="AA359" i="1"/>
  <c r="AB359" i="1"/>
  <c r="W360" i="1"/>
  <c r="X360" i="1"/>
  <c r="Y360" i="1"/>
  <c r="Z360" i="1"/>
  <c r="AA360" i="1"/>
  <c r="AB360" i="1"/>
  <c r="W361" i="1"/>
  <c r="X361" i="1"/>
  <c r="Y361" i="1"/>
  <c r="Z361" i="1"/>
  <c r="AA361" i="1"/>
  <c r="AB361" i="1"/>
  <c r="W362" i="1"/>
  <c r="X362" i="1"/>
  <c r="Y362" i="1"/>
  <c r="Z362" i="1"/>
  <c r="AA362" i="1"/>
  <c r="AB362" i="1"/>
  <c r="W363" i="1"/>
  <c r="X363" i="1"/>
  <c r="Y363" i="1"/>
  <c r="Z363" i="1"/>
  <c r="AA363" i="1"/>
  <c r="AB363" i="1"/>
  <c r="W364" i="1"/>
  <c r="X364" i="1"/>
  <c r="Y364" i="1"/>
  <c r="Z364" i="1"/>
  <c r="AA364" i="1"/>
  <c r="AB364" i="1"/>
  <c r="W365" i="1"/>
  <c r="X365" i="1"/>
  <c r="Y365" i="1"/>
  <c r="Z365" i="1"/>
  <c r="AA365" i="1"/>
  <c r="AB365" i="1"/>
  <c r="W366" i="1"/>
  <c r="X366" i="1"/>
  <c r="Y366" i="1"/>
  <c r="Z366" i="1"/>
  <c r="AA366" i="1"/>
  <c r="AB366" i="1"/>
  <c r="W367" i="1"/>
  <c r="X367" i="1"/>
  <c r="Y367" i="1"/>
  <c r="Z367" i="1"/>
  <c r="AA367" i="1"/>
  <c r="AB367" i="1"/>
  <c r="W368" i="1"/>
  <c r="X368" i="1"/>
  <c r="Y368" i="1"/>
  <c r="Z368" i="1"/>
  <c r="AA368" i="1"/>
  <c r="AB368" i="1"/>
  <c r="W369" i="1"/>
  <c r="X369" i="1"/>
  <c r="Y369" i="1"/>
  <c r="Z369" i="1"/>
  <c r="AA369" i="1"/>
  <c r="AB369" i="1"/>
  <c r="W370" i="1"/>
  <c r="X370" i="1"/>
  <c r="Y370" i="1"/>
  <c r="Z370" i="1"/>
  <c r="AA370" i="1"/>
  <c r="AB370" i="1"/>
  <c r="W371" i="1"/>
  <c r="X371" i="1"/>
  <c r="Y371" i="1"/>
  <c r="Z371" i="1"/>
  <c r="AA371" i="1"/>
  <c r="AB371" i="1"/>
  <c r="W372" i="1"/>
  <c r="X372" i="1"/>
  <c r="Y372" i="1"/>
  <c r="Z372" i="1"/>
  <c r="AA372" i="1"/>
  <c r="AB372" i="1"/>
  <c r="W373" i="1"/>
  <c r="X373" i="1"/>
  <c r="Y373" i="1"/>
  <c r="Z373" i="1"/>
  <c r="AA373" i="1"/>
  <c r="AB373" i="1"/>
  <c r="W374" i="1"/>
  <c r="X374" i="1"/>
  <c r="Y374" i="1"/>
  <c r="Z374" i="1"/>
  <c r="AA374" i="1"/>
  <c r="AB374" i="1"/>
  <c r="W375" i="1"/>
  <c r="X375" i="1"/>
  <c r="Y375" i="1"/>
  <c r="Z375" i="1"/>
  <c r="AA375" i="1"/>
  <c r="AB375" i="1"/>
  <c r="W376" i="1"/>
  <c r="X376" i="1"/>
  <c r="Y376" i="1"/>
  <c r="Z376" i="1"/>
  <c r="AA376" i="1"/>
  <c r="AB376" i="1"/>
  <c r="W377" i="1"/>
  <c r="X377" i="1"/>
  <c r="Y377" i="1"/>
  <c r="Z377" i="1"/>
  <c r="AA377" i="1"/>
  <c r="AB377" i="1"/>
  <c r="W378" i="1"/>
  <c r="X378" i="1"/>
  <c r="Y378" i="1"/>
  <c r="Z378" i="1"/>
  <c r="AA378" i="1"/>
  <c r="AB378" i="1"/>
  <c r="W379" i="1"/>
  <c r="X379" i="1"/>
  <c r="Y379" i="1"/>
  <c r="Z379" i="1"/>
  <c r="AA379" i="1"/>
  <c r="AB379" i="1"/>
  <c r="W380" i="1"/>
  <c r="X380" i="1"/>
  <c r="Y380" i="1"/>
  <c r="Z380" i="1"/>
  <c r="AA380" i="1"/>
  <c r="AB380" i="1"/>
  <c r="W381" i="1"/>
  <c r="X381" i="1"/>
  <c r="Y381" i="1"/>
  <c r="Z381" i="1"/>
  <c r="AA381" i="1"/>
  <c r="AB381" i="1"/>
  <c r="W382" i="1"/>
  <c r="X382" i="1"/>
  <c r="Y382" i="1"/>
  <c r="Z382" i="1"/>
  <c r="AA382" i="1"/>
  <c r="AB382" i="1"/>
  <c r="W383" i="1"/>
  <c r="X383" i="1"/>
  <c r="Y383" i="1"/>
  <c r="Z383" i="1"/>
  <c r="AA383" i="1"/>
  <c r="AB383" i="1"/>
  <c r="W384" i="1"/>
  <c r="X384" i="1"/>
  <c r="Y384" i="1"/>
  <c r="Z384" i="1"/>
  <c r="AA384" i="1"/>
  <c r="AB384" i="1"/>
  <c r="W385" i="1"/>
  <c r="X385" i="1"/>
  <c r="Y385" i="1"/>
  <c r="Z385" i="1"/>
  <c r="AA385" i="1"/>
  <c r="AB385" i="1"/>
  <c r="W386" i="1"/>
  <c r="X386" i="1"/>
  <c r="Y386" i="1"/>
  <c r="Z386" i="1"/>
  <c r="AA386" i="1"/>
  <c r="AB386" i="1"/>
  <c r="W387" i="1"/>
  <c r="X387" i="1"/>
  <c r="Y387" i="1"/>
  <c r="Z387" i="1"/>
  <c r="AA387" i="1"/>
  <c r="AB387" i="1"/>
  <c r="W388" i="1"/>
  <c r="X388" i="1"/>
  <c r="Y388" i="1"/>
  <c r="Z388" i="1"/>
  <c r="AA388" i="1"/>
  <c r="AB388" i="1"/>
  <c r="W389" i="1"/>
  <c r="X389" i="1"/>
  <c r="Y389" i="1"/>
  <c r="Z389" i="1"/>
  <c r="AA389" i="1"/>
  <c r="AB389" i="1"/>
  <c r="W390" i="1"/>
  <c r="X390" i="1"/>
  <c r="Y390" i="1"/>
  <c r="Z390" i="1"/>
  <c r="AA390" i="1"/>
  <c r="AB390" i="1"/>
  <c r="W391" i="1"/>
  <c r="X391" i="1"/>
  <c r="Y391" i="1"/>
  <c r="Z391" i="1"/>
  <c r="AA391" i="1"/>
  <c r="AB391" i="1"/>
  <c r="W392" i="1"/>
  <c r="X392" i="1"/>
  <c r="Y392" i="1"/>
  <c r="Z392" i="1"/>
  <c r="AA392" i="1"/>
  <c r="AB392" i="1"/>
  <c r="W393" i="1"/>
  <c r="X393" i="1"/>
  <c r="Y393" i="1"/>
  <c r="Z393" i="1"/>
  <c r="AA393" i="1"/>
  <c r="AB393" i="1"/>
  <c r="W394" i="1"/>
  <c r="X394" i="1"/>
  <c r="Y394" i="1"/>
  <c r="Z394" i="1"/>
  <c r="AA394" i="1"/>
  <c r="AB394" i="1"/>
  <c r="W395" i="1"/>
  <c r="X395" i="1"/>
  <c r="Y395" i="1"/>
  <c r="Z395" i="1"/>
  <c r="AA395" i="1"/>
  <c r="AB395" i="1"/>
  <c r="W396" i="1"/>
  <c r="X396" i="1"/>
  <c r="Y396" i="1"/>
  <c r="Z396" i="1"/>
  <c r="AA396" i="1"/>
  <c r="AB396" i="1"/>
  <c r="W397" i="1"/>
  <c r="X397" i="1"/>
  <c r="Y397" i="1"/>
  <c r="Z397" i="1"/>
  <c r="AA397" i="1"/>
  <c r="AB397" i="1"/>
  <c r="W398" i="1"/>
  <c r="X398" i="1"/>
  <c r="Y398" i="1"/>
  <c r="Z398" i="1"/>
  <c r="AA398" i="1"/>
  <c r="AB398" i="1"/>
  <c r="W399" i="1"/>
  <c r="X399" i="1"/>
  <c r="Y399" i="1"/>
  <c r="Z399" i="1"/>
  <c r="AA399" i="1"/>
  <c r="AB399" i="1"/>
  <c r="W400" i="1"/>
  <c r="X400" i="1"/>
  <c r="Y400" i="1"/>
  <c r="Z400" i="1"/>
  <c r="AA400" i="1"/>
  <c r="AB400" i="1"/>
  <c r="W401" i="1"/>
  <c r="X401" i="1"/>
  <c r="Y401" i="1"/>
  <c r="Z401" i="1"/>
  <c r="AA401" i="1"/>
  <c r="AB401" i="1"/>
  <c r="W402" i="1"/>
  <c r="X402" i="1"/>
  <c r="Y402" i="1"/>
  <c r="Z402" i="1"/>
  <c r="AA402" i="1"/>
  <c r="AB402" i="1"/>
  <c r="W403" i="1"/>
  <c r="X403" i="1"/>
  <c r="Y403" i="1"/>
  <c r="Z403" i="1"/>
  <c r="AA403" i="1"/>
  <c r="AB403" i="1"/>
  <c r="W404" i="1"/>
  <c r="X404" i="1"/>
  <c r="Y404" i="1"/>
  <c r="Z404" i="1"/>
  <c r="AA404" i="1"/>
  <c r="AB404" i="1"/>
  <c r="W405" i="1"/>
  <c r="X405" i="1"/>
  <c r="Y405" i="1"/>
  <c r="Z405" i="1"/>
  <c r="AA405" i="1"/>
  <c r="AB405" i="1"/>
  <c r="W406" i="1"/>
  <c r="X406" i="1"/>
  <c r="Y406" i="1"/>
  <c r="Z406" i="1"/>
  <c r="AA406" i="1"/>
  <c r="AB406" i="1"/>
  <c r="W407" i="1"/>
  <c r="X407" i="1"/>
  <c r="Y407" i="1"/>
  <c r="Z407" i="1"/>
  <c r="AA407" i="1"/>
  <c r="AB407" i="1"/>
  <c r="W408" i="1"/>
  <c r="X408" i="1"/>
  <c r="Y408" i="1"/>
  <c r="Z408" i="1"/>
  <c r="AA408" i="1"/>
  <c r="AB408" i="1"/>
  <c r="W409" i="1"/>
  <c r="X409" i="1"/>
  <c r="Y409" i="1"/>
  <c r="Z409" i="1"/>
  <c r="AA409" i="1"/>
  <c r="AB409" i="1"/>
  <c r="W410" i="1"/>
  <c r="X410" i="1"/>
  <c r="Y410" i="1"/>
  <c r="Z410" i="1"/>
  <c r="AA410" i="1"/>
  <c r="AB410" i="1"/>
  <c r="W411" i="1"/>
  <c r="X411" i="1"/>
  <c r="Y411" i="1"/>
  <c r="Z411" i="1"/>
  <c r="AA411" i="1"/>
  <c r="AB411" i="1"/>
  <c r="W412" i="1"/>
  <c r="X412" i="1"/>
  <c r="Y412" i="1"/>
  <c r="Z412" i="1"/>
  <c r="AA412" i="1"/>
  <c r="AB412" i="1"/>
  <c r="W413" i="1"/>
  <c r="X413" i="1"/>
  <c r="Y413" i="1"/>
  <c r="Z413" i="1"/>
  <c r="AA413" i="1"/>
  <c r="AB413" i="1"/>
  <c r="W414" i="1"/>
  <c r="X414" i="1"/>
  <c r="Y414" i="1"/>
  <c r="Z414" i="1"/>
  <c r="AA414" i="1"/>
  <c r="AB414" i="1"/>
  <c r="W415" i="1"/>
  <c r="X415" i="1"/>
  <c r="Y415" i="1"/>
  <c r="Z415" i="1"/>
  <c r="AA415" i="1"/>
  <c r="AB415" i="1"/>
  <c r="W416" i="1"/>
  <c r="X416" i="1"/>
  <c r="Y416" i="1"/>
  <c r="Z416" i="1"/>
  <c r="AA416" i="1"/>
  <c r="AB416" i="1"/>
  <c r="W417" i="1"/>
  <c r="X417" i="1"/>
  <c r="Y417" i="1"/>
  <c r="Z417" i="1"/>
  <c r="AA417" i="1"/>
  <c r="AB417" i="1"/>
  <c r="W418" i="1"/>
  <c r="X418" i="1"/>
  <c r="Y418" i="1"/>
  <c r="Z418" i="1"/>
  <c r="AA418" i="1"/>
  <c r="AB418" i="1"/>
  <c r="W419" i="1"/>
  <c r="X419" i="1"/>
  <c r="Y419" i="1"/>
  <c r="Z419" i="1"/>
  <c r="AA419" i="1"/>
  <c r="AB419" i="1"/>
  <c r="W420" i="1"/>
  <c r="X420" i="1"/>
  <c r="Y420" i="1"/>
  <c r="Z420" i="1"/>
  <c r="AA420" i="1"/>
  <c r="AB420" i="1"/>
  <c r="W421" i="1"/>
  <c r="X421" i="1"/>
  <c r="Y421" i="1"/>
  <c r="Z421" i="1"/>
  <c r="AA421" i="1"/>
  <c r="AB421" i="1"/>
  <c r="W422" i="1"/>
  <c r="X422" i="1"/>
  <c r="Y422" i="1"/>
  <c r="Z422" i="1"/>
  <c r="AA422" i="1"/>
  <c r="AB422" i="1"/>
  <c r="W423" i="1"/>
  <c r="X423" i="1"/>
  <c r="Y423" i="1"/>
  <c r="Z423" i="1"/>
  <c r="AA423" i="1"/>
  <c r="AB423" i="1"/>
  <c r="W424" i="1"/>
  <c r="X424" i="1"/>
  <c r="Y424" i="1"/>
  <c r="Z424" i="1"/>
  <c r="AA424" i="1"/>
  <c r="AB424" i="1"/>
  <c r="W425" i="1"/>
  <c r="X425" i="1"/>
  <c r="Y425" i="1"/>
  <c r="Z425" i="1"/>
  <c r="AA425" i="1"/>
  <c r="AB425" i="1"/>
  <c r="W426" i="1"/>
  <c r="X426" i="1"/>
  <c r="Y426" i="1"/>
  <c r="Z426" i="1"/>
  <c r="AA426" i="1"/>
  <c r="AB426" i="1"/>
  <c r="W427" i="1"/>
  <c r="X427" i="1"/>
  <c r="Y427" i="1"/>
  <c r="Z427" i="1"/>
  <c r="AA427" i="1"/>
  <c r="AB427" i="1"/>
  <c r="W428" i="1"/>
  <c r="X428" i="1"/>
  <c r="Y428" i="1"/>
  <c r="Z428" i="1"/>
  <c r="AA428" i="1"/>
  <c r="AB428" i="1"/>
  <c r="W429" i="1"/>
  <c r="X429" i="1"/>
  <c r="Y429" i="1"/>
  <c r="Z429" i="1"/>
  <c r="AA429" i="1"/>
  <c r="AB429" i="1"/>
  <c r="W430" i="1"/>
  <c r="X430" i="1"/>
  <c r="Y430" i="1"/>
  <c r="Z430" i="1"/>
  <c r="AA430" i="1"/>
  <c r="AB430" i="1"/>
  <c r="W431" i="1"/>
  <c r="X431" i="1"/>
  <c r="Y431" i="1"/>
  <c r="Z431" i="1"/>
  <c r="AA431" i="1"/>
  <c r="AB431" i="1"/>
  <c r="W432" i="1"/>
  <c r="X432" i="1"/>
  <c r="Y432" i="1"/>
  <c r="Z432" i="1"/>
  <c r="AA432" i="1"/>
  <c r="AB432" i="1"/>
  <c r="W433" i="1"/>
  <c r="X433" i="1"/>
  <c r="Y433" i="1"/>
  <c r="Z433" i="1"/>
  <c r="AA433" i="1"/>
  <c r="AB433" i="1"/>
  <c r="W434" i="1"/>
  <c r="X434" i="1"/>
  <c r="Y434" i="1"/>
  <c r="Z434" i="1"/>
  <c r="AA434" i="1"/>
  <c r="AB434" i="1"/>
  <c r="W435" i="1"/>
  <c r="X435" i="1"/>
  <c r="Y435" i="1"/>
  <c r="Z435" i="1"/>
  <c r="AA435" i="1"/>
  <c r="AB435" i="1"/>
  <c r="W436" i="1"/>
  <c r="X436" i="1"/>
  <c r="Y436" i="1"/>
  <c r="Z436" i="1"/>
  <c r="AA436" i="1"/>
  <c r="AB436" i="1"/>
  <c r="W437" i="1"/>
  <c r="X437" i="1"/>
  <c r="Y437" i="1"/>
  <c r="Z437" i="1"/>
  <c r="AA437" i="1"/>
  <c r="AB437" i="1"/>
  <c r="W438" i="1"/>
  <c r="X438" i="1"/>
  <c r="Y438" i="1"/>
  <c r="Z438" i="1"/>
  <c r="AA438" i="1"/>
  <c r="AB438" i="1"/>
  <c r="W439" i="1"/>
  <c r="X439" i="1"/>
  <c r="Y439" i="1"/>
  <c r="Z439" i="1"/>
  <c r="AA439" i="1"/>
  <c r="AB439" i="1"/>
  <c r="W440" i="1"/>
  <c r="X440" i="1"/>
  <c r="Y440" i="1"/>
  <c r="Z440" i="1"/>
  <c r="AA440" i="1"/>
  <c r="AB440" i="1"/>
  <c r="W441" i="1"/>
  <c r="X441" i="1"/>
  <c r="Y441" i="1"/>
  <c r="Z441" i="1"/>
  <c r="AA441" i="1"/>
  <c r="AB441" i="1"/>
  <c r="W442" i="1"/>
  <c r="X442" i="1"/>
  <c r="Y442" i="1"/>
  <c r="Z442" i="1"/>
  <c r="AA442" i="1"/>
  <c r="AB442" i="1"/>
  <c r="W443" i="1"/>
  <c r="X443" i="1"/>
  <c r="Y443" i="1"/>
  <c r="Z443" i="1"/>
  <c r="AA443" i="1"/>
  <c r="AB443" i="1"/>
  <c r="W444" i="1"/>
  <c r="X444" i="1"/>
  <c r="Y444" i="1"/>
  <c r="Z444" i="1"/>
  <c r="AA444" i="1"/>
  <c r="AB444" i="1"/>
  <c r="W445" i="1"/>
  <c r="X445" i="1"/>
  <c r="Y445" i="1"/>
  <c r="Z445" i="1"/>
  <c r="AA445" i="1"/>
  <c r="AB445" i="1"/>
  <c r="W446" i="1"/>
  <c r="X446" i="1"/>
  <c r="Y446" i="1"/>
  <c r="Z446" i="1"/>
  <c r="AA446" i="1"/>
  <c r="AB446" i="1"/>
  <c r="W447" i="1"/>
  <c r="X447" i="1"/>
  <c r="Y447" i="1"/>
  <c r="Z447" i="1"/>
  <c r="AA447" i="1"/>
  <c r="AB447" i="1"/>
  <c r="W448" i="1"/>
  <c r="X448" i="1"/>
  <c r="Y448" i="1"/>
  <c r="Z448" i="1"/>
  <c r="AA448" i="1"/>
  <c r="AB448" i="1"/>
  <c r="W449" i="1"/>
  <c r="X449" i="1"/>
  <c r="Y449" i="1"/>
  <c r="Z449" i="1"/>
  <c r="AA449" i="1"/>
  <c r="AB449" i="1"/>
  <c r="W450" i="1"/>
  <c r="X450" i="1"/>
  <c r="Y450" i="1"/>
  <c r="Z450" i="1"/>
  <c r="AA450" i="1"/>
  <c r="AB450" i="1"/>
  <c r="W451" i="1"/>
  <c r="X451" i="1"/>
  <c r="Y451" i="1"/>
  <c r="Z451" i="1"/>
  <c r="AA451" i="1"/>
  <c r="AB451" i="1"/>
  <c r="W452" i="1"/>
  <c r="X452" i="1"/>
  <c r="Y452" i="1"/>
  <c r="Z452" i="1"/>
  <c r="AA452" i="1"/>
  <c r="AB452" i="1"/>
  <c r="W453" i="1"/>
  <c r="X453" i="1"/>
  <c r="Y453" i="1"/>
  <c r="Z453" i="1"/>
  <c r="AA453" i="1"/>
  <c r="AB453" i="1"/>
  <c r="W454" i="1"/>
  <c r="X454" i="1"/>
  <c r="Y454" i="1"/>
  <c r="Z454" i="1"/>
  <c r="AA454" i="1"/>
  <c r="AB454" i="1"/>
  <c r="W455" i="1"/>
  <c r="X455" i="1"/>
  <c r="Y455" i="1"/>
  <c r="Z455" i="1"/>
  <c r="AA455" i="1"/>
  <c r="AB455" i="1"/>
  <c r="W456" i="1"/>
  <c r="X456" i="1"/>
  <c r="Y456" i="1"/>
  <c r="Z456" i="1"/>
  <c r="AA456" i="1"/>
  <c r="AB456" i="1"/>
  <c r="W457" i="1"/>
  <c r="X457" i="1"/>
  <c r="Y457" i="1"/>
  <c r="Z457" i="1"/>
  <c r="AA457" i="1"/>
  <c r="AB457" i="1"/>
  <c r="W458" i="1"/>
  <c r="X458" i="1"/>
  <c r="Y458" i="1"/>
  <c r="Z458" i="1"/>
  <c r="AA458" i="1"/>
  <c r="AB458" i="1"/>
  <c r="W459" i="1"/>
  <c r="X459" i="1"/>
  <c r="Y459" i="1"/>
  <c r="Z459" i="1"/>
  <c r="AA459" i="1"/>
  <c r="AB459" i="1"/>
  <c r="W460" i="1"/>
  <c r="X460" i="1"/>
  <c r="Y460" i="1"/>
  <c r="Z460" i="1"/>
  <c r="AA460" i="1"/>
  <c r="AB460" i="1"/>
  <c r="W461" i="1"/>
  <c r="X461" i="1"/>
  <c r="Y461" i="1"/>
  <c r="Z461" i="1"/>
  <c r="AA461" i="1"/>
  <c r="AB461" i="1"/>
  <c r="W462" i="1"/>
  <c r="X462" i="1"/>
  <c r="Y462" i="1"/>
  <c r="Z462" i="1"/>
  <c r="AA462" i="1"/>
  <c r="AB462" i="1"/>
  <c r="W463" i="1"/>
  <c r="X463" i="1"/>
  <c r="Y463" i="1"/>
  <c r="Z463" i="1"/>
  <c r="AA463" i="1"/>
  <c r="AB463" i="1"/>
  <c r="W464" i="1"/>
  <c r="X464" i="1"/>
  <c r="Y464" i="1"/>
  <c r="Z464" i="1"/>
  <c r="AA464" i="1"/>
  <c r="AB464" i="1"/>
  <c r="W465" i="1"/>
  <c r="X465" i="1"/>
  <c r="Y465" i="1"/>
  <c r="Z465" i="1"/>
  <c r="AA465" i="1"/>
  <c r="AB465" i="1"/>
  <c r="W466" i="1"/>
  <c r="X466" i="1"/>
  <c r="Y466" i="1"/>
  <c r="Z466" i="1"/>
  <c r="AA466" i="1"/>
  <c r="AB466" i="1"/>
  <c r="W467" i="1"/>
  <c r="X467" i="1"/>
  <c r="Y467" i="1"/>
  <c r="Z467" i="1"/>
  <c r="AA467" i="1"/>
  <c r="AB467" i="1"/>
  <c r="W468" i="1"/>
  <c r="X468" i="1"/>
  <c r="Y468" i="1"/>
  <c r="Z468" i="1"/>
  <c r="AA468" i="1"/>
  <c r="AB468" i="1"/>
  <c r="W469" i="1"/>
  <c r="X469" i="1"/>
  <c r="Y469" i="1"/>
  <c r="Z469" i="1"/>
  <c r="AA469" i="1"/>
  <c r="AB469" i="1"/>
  <c r="W470" i="1"/>
  <c r="X470" i="1"/>
  <c r="Y470" i="1"/>
  <c r="Z470" i="1"/>
  <c r="AA470" i="1"/>
  <c r="AB470" i="1"/>
  <c r="W471" i="1"/>
  <c r="X471" i="1"/>
  <c r="Y471" i="1"/>
  <c r="Z471" i="1"/>
  <c r="AA471" i="1"/>
  <c r="AB471" i="1"/>
  <c r="W472" i="1"/>
  <c r="X472" i="1"/>
  <c r="Y472" i="1"/>
  <c r="Z472" i="1"/>
  <c r="AA472" i="1"/>
  <c r="AB472" i="1"/>
  <c r="W473" i="1"/>
  <c r="X473" i="1"/>
  <c r="Y473" i="1"/>
  <c r="Z473" i="1"/>
  <c r="AA473" i="1"/>
  <c r="AB473" i="1"/>
  <c r="W474" i="1"/>
  <c r="X474" i="1"/>
  <c r="Y474" i="1"/>
  <c r="Z474" i="1"/>
  <c r="AA474" i="1"/>
  <c r="AB474" i="1"/>
  <c r="W475" i="1"/>
  <c r="X475" i="1"/>
  <c r="Y475" i="1"/>
  <c r="Z475" i="1"/>
  <c r="AA475" i="1"/>
  <c r="AB475" i="1"/>
  <c r="W476" i="1"/>
  <c r="X476" i="1"/>
  <c r="Y476" i="1"/>
  <c r="Z476" i="1"/>
  <c r="AA476" i="1"/>
  <c r="AB476" i="1"/>
  <c r="W477" i="1"/>
  <c r="X477" i="1"/>
  <c r="Y477" i="1"/>
  <c r="Z477" i="1"/>
  <c r="AA477" i="1"/>
  <c r="AB477" i="1"/>
  <c r="W478" i="1"/>
  <c r="X478" i="1"/>
  <c r="Y478" i="1"/>
  <c r="Z478" i="1"/>
  <c r="AA478" i="1"/>
  <c r="AB478" i="1"/>
  <c r="W479" i="1"/>
  <c r="X479" i="1"/>
  <c r="Y479" i="1"/>
  <c r="Z479" i="1"/>
  <c r="AA479" i="1"/>
  <c r="AB479" i="1"/>
  <c r="W480" i="1"/>
  <c r="X480" i="1"/>
  <c r="Y480" i="1"/>
  <c r="Z480" i="1"/>
  <c r="AA480" i="1"/>
  <c r="AB480" i="1"/>
  <c r="W481" i="1"/>
  <c r="X481" i="1"/>
  <c r="Y481" i="1"/>
  <c r="Z481" i="1"/>
  <c r="AA481" i="1"/>
  <c r="AB481" i="1"/>
  <c r="W482" i="1"/>
  <c r="X482" i="1"/>
  <c r="Y482" i="1"/>
  <c r="Z482" i="1"/>
  <c r="AA482" i="1"/>
  <c r="AB482" i="1"/>
  <c r="W483" i="1"/>
  <c r="X483" i="1"/>
  <c r="Y483" i="1"/>
  <c r="Z483" i="1"/>
  <c r="AA483" i="1"/>
  <c r="AB483" i="1"/>
  <c r="W484" i="1"/>
  <c r="X484" i="1"/>
  <c r="Y484" i="1"/>
  <c r="Z484" i="1"/>
  <c r="AA484" i="1"/>
  <c r="AB484" i="1"/>
  <c r="W485" i="1"/>
  <c r="X485" i="1"/>
  <c r="Y485" i="1"/>
  <c r="Z485" i="1"/>
  <c r="AA485" i="1"/>
  <c r="AB485" i="1"/>
  <c r="W486" i="1"/>
  <c r="X486" i="1"/>
  <c r="Y486" i="1"/>
  <c r="Z486" i="1"/>
  <c r="AA486" i="1"/>
  <c r="AB486" i="1"/>
  <c r="W487" i="1"/>
  <c r="X487" i="1"/>
  <c r="Y487" i="1"/>
  <c r="Z487" i="1"/>
  <c r="AA487" i="1"/>
  <c r="AB487" i="1"/>
  <c r="W488" i="1"/>
  <c r="X488" i="1"/>
  <c r="Y488" i="1"/>
  <c r="Z488" i="1"/>
  <c r="AA488" i="1"/>
  <c r="AB488" i="1"/>
  <c r="W489" i="1"/>
  <c r="X489" i="1"/>
  <c r="Y489" i="1"/>
  <c r="Z489" i="1"/>
  <c r="AA489" i="1"/>
  <c r="AB489" i="1"/>
  <c r="W490" i="1"/>
  <c r="X490" i="1"/>
  <c r="Y490" i="1"/>
  <c r="Z490" i="1"/>
  <c r="AA490" i="1"/>
  <c r="AB490" i="1"/>
  <c r="W491" i="1"/>
  <c r="X491" i="1"/>
  <c r="Y491" i="1"/>
  <c r="Z491" i="1"/>
  <c r="AA491" i="1"/>
  <c r="AB491" i="1"/>
  <c r="W492" i="1"/>
  <c r="X492" i="1"/>
  <c r="Y492" i="1"/>
  <c r="Z492" i="1"/>
  <c r="AA492" i="1"/>
  <c r="AB492" i="1"/>
  <c r="W493" i="1"/>
  <c r="X493" i="1"/>
  <c r="Y493" i="1"/>
  <c r="Z493" i="1"/>
  <c r="AA493" i="1"/>
  <c r="AB493" i="1"/>
  <c r="W494" i="1"/>
  <c r="X494" i="1"/>
  <c r="Y494" i="1"/>
  <c r="Z494" i="1"/>
  <c r="AA494" i="1"/>
  <c r="AB494" i="1"/>
  <c r="W495" i="1"/>
  <c r="X495" i="1"/>
  <c r="Y495" i="1"/>
  <c r="Z495" i="1"/>
  <c r="AA495" i="1"/>
  <c r="AB495" i="1"/>
  <c r="W496" i="1"/>
  <c r="X496" i="1"/>
  <c r="Y496" i="1"/>
  <c r="Z496" i="1"/>
  <c r="AA496" i="1"/>
  <c r="AB496" i="1"/>
  <c r="W497" i="1"/>
  <c r="X497" i="1"/>
  <c r="Y497" i="1"/>
  <c r="Z497" i="1"/>
  <c r="AA497" i="1"/>
  <c r="AB497" i="1"/>
  <c r="W498" i="1"/>
  <c r="X498" i="1"/>
  <c r="Y498" i="1"/>
  <c r="Z498" i="1"/>
  <c r="AA498" i="1"/>
  <c r="AB498" i="1"/>
  <c r="W499" i="1"/>
  <c r="X499" i="1"/>
  <c r="Y499" i="1"/>
  <c r="Z499" i="1"/>
  <c r="AA499" i="1"/>
  <c r="AB499" i="1"/>
  <c r="W500" i="1"/>
  <c r="X500" i="1"/>
  <c r="Y500" i="1"/>
  <c r="Z500" i="1"/>
  <c r="AA500" i="1"/>
  <c r="AB500" i="1"/>
  <c r="W501" i="1"/>
  <c r="X501" i="1"/>
  <c r="Y501" i="1"/>
  <c r="Z501" i="1"/>
  <c r="AA501" i="1"/>
  <c r="AB501" i="1"/>
  <c r="W502" i="1"/>
  <c r="X502" i="1"/>
  <c r="Y502" i="1"/>
  <c r="Z502" i="1"/>
  <c r="AA502" i="1"/>
  <c r="AB502" i="1"/>
  <c r="W503" i="1"/>
  <c r="X503" i="1"/>
  <c r="Y503" i="1"/>
  <c r="Z503" i="1"/>
  <c r="AA503" i="1"/>
  <c r="AB503" i="1"/>
  <c r="W504" i="1"/>
  <c r="X504" i="1"/>
  <c r="Y504" i="1"/>
  <c r="Z504" i="1"/>
  <c r="AA504" i="1"/>
  <c r="AB504" i="1"/>
  <c r="W505" i="1"/>
  <c r="X505" i="1"/>
  <c r="Y505" i="1"/>
  <c r="Z505" i="1"/>
  <c r="AA505" i="1"/>
  <c r="AB505" i="1"/>
  <c r="W506" i="1"/>
  <c r="X506" i="1"/>
  <c r="Y506" i="1"/>
  <c r="Z506" i="1"/>
  <c r="AA506" i="1"/>
  <c r="AB506" i="1"/>
  <c r="W507" i="1"/>
  <c r="X507" i="1"/>
  <c r="Y507" i="1"/>
  <c r="Z507" i="1"/>
  <c r="AA507" i="1"/>
  <c r="AB507" i="1"/>
  <c r="W508" i="1"/>
  <c r="X508" i="1"/>
  <c r="Y508" i="1"/>
  <c r="Z508" i="1"/>
  <c r="AA508" i="1"/>
  <c r="AB508" i="1"/>
  <c r="W509" i="1"/>
  <c r="X509" i="1"/>
  <c r="Y509" i="1"/>
  <c r="Z509" i="1"/>
  <c r="AA509" i="1"/>
  <c r="AB509" i="1"/>
  <c r="W510" i="1"/>
  <c r="X510" i="1"/>
  <c r="Y510" i="1"/>
  <c r="Z510" i="1"/>
  <c r="AA510" i="1"/>
  <c r="AB510" i="1"/>
  <c r="W511" i="1"/>
  <c r="X511" i="1"/>
  <c r="Y511" i="1"/>
  <c r="Z511" i="1"/>
  <c r="AA511" i="1"/>
  <c r="AB511" i="1"/>
  <c r="W512" i="1"/>
  <c r="X512" i="1"/>
  <c r="Y512" i="1"/>
  <c r="Z512" i="1"/>
  <c r="AA512" i="1"/>
  <c r="AB512" i="1"/>
  <c r="W513" i="1"/>
  <c r="X513" i="1"/>
  <c r="Y513" i="1"/>
  <c r="Z513" i="1"/>
  <c r="AA513" i="1"/>
  <c r="AB513" i="1"/>
  <c r="W514" i="1"/>
  <c r="X514" i="1"/>
  <c r="Y514" i="1"/>
  <c r="Z514" i="1"/>
  <c r="AA514" i="1"/>
  <c r="AB514" i="1"/>
  <c r="W515" i="1"/>
  <c r="X515" i="1"/>
  <c r="Y515" i="1"/>
  <c r="Z515" i="1"/>
  <c r="AA515" i="1"/>
  <c r="AB515" i="1"/>
  <c r="W516" i="1"/>
  <c r="X516" i="1"/>
  <c r="Y516" i="1"/>
  <c r="Z516" i="1"/>
  <c r="AA516" i="1"/>
  <c r="AB516" i="1"/>
  <c r="W517" i="1"/>
  <c r="X517" i="1"/>
  <c r="Y517" i="1"/>
  <c r="Z517" i="1"/>
  <c r="AA517" i="1"/>
  <c r="AB517" i="1"/>
  <c r="W518" i="1"/>
  <c r="X518" i="1"/>
  <c r="Y518" i="1"/>
  <c r="Z518" i="1"/>
  <c r="AA518" i="1"/>
  <c r="AB518" i="1"/>
  <c r="W519" i="1"/>
  <c r="X519" i="1"/>
  <c r="Y519" i="1"/>
  <c r="Z519" i="1"/>
  <c r="AA519" i="1"/>
  <c r="AB519" i="1"/>
  <c r="W520" i="1"/>
  <c r="X520" i="1"/>
  <c r="Y520" i="1"/>
  <c r="Z520" i="1"/>
  <c r="AA520" i="1"/>
  <c r="AB520" i="1"/>
  <c r="W521" i="1"/>
  <c r="X521" i="1"/>
  <c r="Y521" i="1"/>
  <c r="Z521" i="1"/>
  <c r="AA521" i="1"/>
  <c r="AB521" i="1"/>
  <c r="W522" i="1"/>
  <c r="X522" i="1"/>
  <c r="Y522" i="1"/>
  <c r="Z522" i="1"/>
  <c r="AA522" i="1"/>
  <c r="AB522" i="1"/>
  <c r="W523" i="1"/>
  <c r="X523" i="1"/>
  <c r="Y523" i="1"/>
  <c r="Z523" i="1"/>
  <c r="AA523" i="1"/>
  <c r="AB523" i="1"/>
  <c r="W524" i="1"/>
  <c r="X524" i="1"/>
  <c r="Y524" i="1"/>
  <c r="Z524" i="1"/>
  <c r="AA524" i="1"/>
  <c r="AB524" i="1"/>
  <c r="W525" i="1"/>
  <c r="X525" i="1"/>
  <c r="Y525" i="1"/>
  <c r="Z525" i="1"/>
  <c r="AA525" i="1"/>
  <c r="AB525" i="1"/>
  <c r="W526" i="1"/>
  <c r="X526" i="1"/>
  <c r="Y526" i="1"/>
  <c r="Z526" i="1"/>
  <c r="AA526" i="1"/>
  <c r="AB526" i="1"/>
  <c r="W527" i="1"/>
  <c r="X527" i="1"/>
  <c r="Y527" i="1"/>
  <c r="Z527" i="1"/>
  <c r="AA527" i="1"/>
  <c r="AB527" i="1"/>
  <c r="W528" i="1"/>
  <c r="X528" i="1"/>
  <c r="Y528" i="1"/>
  <c r="Z528" i="1"/>
  <c r="AA528" i="1"/>
  <c r="AB528" i="1"/>
  <c r="W529" i="1"/>
  <c r="X529" i="1"/>
  <c r="Y529" i="1"/>
  <c r="Z529" i="1"/>
  <c r="AA529" i="1"/>
  <c r="AB529" i="1"/>
  <c r="W530" i="1"/>
  <c r="X530" i="1"/>
  <c r="Y530" i="1"/>
  <c r="Z530" i="1"/>
  <c r="AA530" i="1"/>
  <c r="AB530" i="1"/>
  <c r="W531" i="1"/>
  <c r="X531" i="1"/>
  <c r="Y531" i="1"/>
  <c r="Z531" i="1"/>
  <c r="AA531" i="1"/>
  <c r="AB531" i="1"/>
  <c r="W532" i="1"/>
  <c r="X532" i="1"/>
  <c r="Y532" i="1"/>
  <c r="Z532" i="1"/>
  <c r="AA532" i="1"/>
  <c r="AB532" i="1"/>
  <c r="W533" i="1"/>
  <c r="X533" i="1"/>
  <c r="Y533" i="1"/>
  <c r="Z533" i="1"/>
  <c r="AA533" i="1"/>
  <c r="AB533" i="1"/>
  <c r="W534" i="1"/>
  <c r="X534" i="1"/>
  <c r="Y534" i="1"/>
  <c r="Z534" i="1"/>
  <c r="AA534" i="1"/>
  <c r="AB534" i="1"/>
  <c r="W535" i="1"/>
  <c r="X535" i="1"/>
  <c r="Y535" i="1"/>
  <c r="Z535" i="1"/>
  <c r="AA535" i="1"/>
  <c r="AB535" i="1"/>
  <c r="W536" i="1"/>
  <c r="X536" i="1"/>
  <c r="Y536" i="1"/>
  <c r="Z536" i="1"/>
  <c r="AA536" i="1"/>
  <c r="AB536" i="1"/>
  <c r="W537" i="1"/>
  <c r="X537" i="1"/>
  <c r="Y537" i="1"/>
  <c r="Z537" i="1"/>
  <c r="AA537" i="1"/>
  <c r="AB537" i="1"/>
  <c r="W538" i="1"/>
  <c r="X538" i="1"/>
  <c r="Y538" i="1"/>
  <c r="Z538" i="1"/>
  <c r="AA538" i="1"/>
  <c r="AB538" i="1"/>
  <c r="W539" i="1"/>
  <c r="X539" i="1"/>
  <c r="Y539" i="1"/>
  <c r="Z539" i="1"/>
  <c r="AA539" i="1"/>
  <c r="AB539" i="1"/>
  <c r="W540" i="1"/>
  <c r="X540" i="1"/>
  <c r="Y540" i="1"/>
  <c r="Z540" i="1"/>
  <c r="AA540" i="1"/>
  <c r="AB540" i="1"/>
  <c r="W541" i="1"/>
  <c r="X541" i="1"/>
  <c r="Y541" i="1"/>
  <c r="Z541" i="1"/>
  <c r="AA541" i="1"/>
  <c r="AB541" i="1"/>
  <c r="W542" i="1"/>
  <c r="X542" i="1"/>
  <c r="Y542" i="1"/>
  <c r="Z542" i="1"/>
  <c r="AA542" i="1"/>
  <c r="AB542" i="1"/>
  <c r="W543" i="1"/>
  <c r="X543" i="1"/>
  <c r="Y543" i="1"/>
  <c r="Z543" i="1"/>
  <c r="AA543" i="1"/>
  <c r="AB543" i="1"/>
  <c r="W544" i="1"/>
  <c r="X544" i="1"/>
  <c r="Y544" i="1"/>
  <c r="Z544" i="1"/>
  <c r="AA544" i="1"/>
  <c r="AB544" i="1"/>
  <c r="W545" i="1"/>
  <c r="X545" i="1"/>
  <c r="Y545" i="1"/>
  <c r="Z545" i="1"/>
  <c r="AA545" i="1"/>
  <c r="AB545" i="1"/>
  <c r="W546" i="1"/>
  <c r="X546" i="1"/>
  <c r="Y546" i="1"/>
  <c r="Z546" i="1"/>
  <c r="AA546" i="1"/>
  <c r="AB546" i="1"/>
  <c r="W547" i="1"/>
  <c r="X547" i="1"/>
  <c r="Y547" i="1"/>
  <c r="Z547" i="1"/>
  <c r="AA547" i="1"/>
  <c r="AB547" i="1"/>
  <c r="W548" i="1"/>
  <c r="X548" i="1"/>
  <c r="Y548" i="1"/>
  <c r="Z548" i="1"/>
  <c r="AA548" i="1"/>
  <c r="AB548" i="1"/>
  <c r="W549" i="1"/>
  <c r="X549" i="1"/>
  <c r="Y549" i="1"/>
  <c r="Z549" i="1"/>
  <c r="AA549" i="1"/>
  <c r="AB549" i="1"/>
  <c r="W550" i="1"/>
  <c r="X550" i="1"/>
  <c r="Y550" i="1"/>
  <c r="Z550" i="1"/>
  <c r="AA550" i="1"/>
  <c r="AB550" i="1"/>
  <c r="W551" i="1"/>
  <c r="X551" i="1"/>
  <c r="Y551" i="1"/>
  <c r="Z551" i="1"/>
  <c r="AA551" i="1"/>
  <c r="AB551" i="1"/>
  <c r="W552" i="1"/>
  <c r="X552" i="1"/>
  <c r="Y552" i="1"/>
  <c r="Z552" i="1"/>
  <c r="AA552" i="1"/>
  <c r="AB552" i="1"/>
  <c r="W553" i="1"/>
  <c r="X553" i="1"/>
  <c r="Y553" i="1"/>
  <c r="Z553" i="1"/>
  <c r="AA553" i="1"/>
  <c r="AB553" i="1"/>
  <c r="W554" i="1"/>
  <c r="X554" i="1"/>
  <c r="Y554" i="1"/>
  <c r="Z554" i="1"/>
  <c r="AA554" i="1"/>
  <c r="AB554" i="1"/>
  <c r="W555" i="1"/>
  <c r="X555" i="1"/>
  <c r="Y555" i="1"/>
  <c r="Z555" i="1"/>
  <c r="AA555" i="1"/>
  <c r="AB555" i="1"/>
  <c r="W556" i="1"/>
  <c r="X556" i="1"/>
  <c r="Y556" i="1"/>
  <c r="Z556" i="1"/>
  <c r="AA556" i="1"/>
  <c r="AB556" i="1"/>
  <c r="W557" i="1"/>
  <c r="X557" i="1"/>
  <c r="Y557" i="1"/>
  <c r="Z557" i="1"/>
  <c r="AA557" i="1"/>
  <c r="AB557" i="1"/>
  <c r="W558" i="1"/>
  <c r="X558" i="1"/>
  <c r="Y558" i="1"/>
  <c r="Z558" i="1"/>
  <c r="AA558" i="1"/>
  <c r="AB558" i="1"/>
  <c r="W559" i="1"/>
  <c r="X559" i="1"/>
  <c r="Y559" i="1"/>
  <c r="Z559" i="1"/>
  <c r="AA559" i="1"/>
  <c r="AB559" i="1"/>
  <c r="W560" i="1"/>
  <c r="X560" i="1"/>
  <c r="Y560" i="1"/>
  <c r="Z560" i="1"/>
  <c r="AA560" i="1"/>
  <c r="AB560" i="1"/>
  <c r="W561" i="1"/>
  <c r="X561" i="1"/>
  <c r="Y561" i="1"/>
  <c r="Z561" i="1"/>
  <c r="AA561" i="1"/>
  <c r="AB561" i="1"/>
  <c r="W562" i="1"/>
  <c r="X562" i="1"/>
  <c r="Y562" i="1"/>
  <c r="Z562" i="1"/>
  <c r="AA562" i="1"/>
  <c r="AB562" i="1"/>
  <c r="W563" i="1"/>
  <c r="X563" i="1"/>
  <c r="Y563" i="1"/>
  <c r="Z563" i="1"/>
  <c r="AA563" i="1"/>
  <c r="AB563" i="1"/>
  <c r="W564" i="1"/>
  <c r="X564" i="1"/>
  <c r="Y564" i="1"/>
  <c r="Z564" i="1"/>
  <c r="AA564" i="1"/>
  <c r="AB564" i="1"/>
  <c r="W565" i="1"/>
  <c r="X565" i="1"/>
  <c r="Y565" i="1"/>
  <c r="Z565" i="1"/>
  <c r="AA565" i="1"/>
  <c r="AB565" i="1"/>
  <c r="W566" i="1"/>
  <c r="X566" i="1"/>
  <c r="Y566" i="1"/>
  <c r="Z566" i="1"/>
  <c r="AA566" i="1"/>
  <c r="AB566" i="1"/>
  <c r="W567" i="1"/>
  <c r="X567" i="1"/>
  <c r="Y567" i="1"/>
  <c r="Z567" i="1"/>
  <c r="AA567" i="1"/>
  <c r="AB567" i="1"/>
  <c r="W568" i="1"/>
  <c r="X568" i="1"/>
  <c r="Y568" i="1"/>
  <c r="Z568" i="1"/>
  <c r="AA568" i="1"/>
  <c r="AB568" i="1"/>
  <c r="W569" i="1"/>
  <c r="X569" i="1"/>
  <c r="Y569" i="1"/>
  <c r="Z569" i="1"/>
  <c r="AA569" i="1"/>
  <c r="AB569" i="1"/>
  <c r="W570" i="1"/>
  <c r="X570" i="1"/>
  <c r="Y570" i="1"/>
  <c r="Z570" i="1"/>
  <c r="AA570" i="1"/>
  <c r="AB570" i="1"/>
  <c r="W571" i="1"/>
  <c r="X571" i="1"/>
  <c r="Y571" i="1"/>
  <c r="Z571" i="1"/>
  <c r="AA571" i="1"/>
  <c r="AB571" i="1"/>
  <c r="W572" i="1"/>
  <c r="X572" i="1"/>
  <c r="Y572" i="1"/>
  <c r="Z572" i="1"/>
  <c r="AA572" i="1"/>
  <c r="AB572" i="1"/>
  <c r="W573" i="1"/>
  <c r="X573" i="1"/>
  <c r="Y573" i="1"/>
  <c r="Z573" i="1"/>
  <c r="AA573" i="1"/>
  <c r="AB573" i="1"/>
  <c r="W574" i="1"/>
  <c r="X574" i="1"/>
  <c r="Y574" i="1"/>
  <c r="Z574" i="1"/>
  <c r="AA574" i="1"/>
  <c r="AB574" i="1"/>
  <c r="W575" i="1"/>
  <c r="X575" i="1"/>
  <c r="Y575" i="1"/>
  <c r="Z575" i="1"/>
  <c r="AA575" i="1"/>
  <c r="AB575" i="1"/>
  <c r="W576" i="1"/>
  <c r="X576" i="1"/>
  <c r="Y576" i="1"/>
  <c r="Z576" i="1"/>
  <c r="AA576" i="1"/>
  <c r="AB576" i="1"/>
  <c r="W577" i="1"/>
  <c r="X577" i="1"/>
  <c r="Y577" i="1"/>
  <c r="Z577" i="1"/>
  <c r="AA577" i="1"/>
  <c r="AB577" i="1"/>
  <c r="W578" i="1"/>
  <c r="X578" i="1"/>
  <c r="Y578" i="1"/>
  <c r="Z578" i="1"/>
  <c r="AA578" i="1"/>
  <c r="AB578" i="1"/>
  <c r="W579" i="1"/>
  <c r="X579" i="1"/>
  <c r="Y579" i="1"/>
  <c r="Z579" i="1"/>
  <c r="AA579" i="1"/>
  <c r="AB579" i="1"/>
  <c r="W580" i="1"/>
  <c r="X580" i="1"/>
  <c r="Y580" i="1"/>
  <c r="Z580" i="1"/>
  <c r="AA580" i="1"/>
  <c r="AB580" i="1"/>
  <c r="W581" i="1"/>
  <c r="X581" i="1"/>
  <c r="Y581" i="1"/>
  <c r="Z581" i="1"/>
  <c r="AA581" i="1"/>
  <c r="AB581" i="1"/>
  <c r="W582" i="1"/>
  <c r="X582" i="1"/>
  <c r="Y582" i="1"/>
  <c r="Z582" i="1"/>
  <c r="AA582" i="1"/>
  <c r="AB582" i="1"/>
  <c r="W583" i="1"/>
  <c r="X583" i="1"/>
  <c r="Y583" i="1"/>
  <c r="Z583" i="1"/>
  <c r="AA583" i="1"/>
  <c r="AB583" i="1"/>
  <c r="W584" i="1"/>
  <c r="X584" i="1"/>
  <c r="Y584" i="1"/>
  <c r="Z584" i="1"/>
  <c r="AA584" i="1"/>
  <c r="AB584" i="1"/>
  <c r="W585" i="1"/>
  <c r="X585" i="1"/>
  <c r="Y585" i="1"/>
  <c r="Z585" i="1"/>
  <c r="AA585" i="1"/>
  <c r="AB585" i="1"/>
  <c r="W586" i="1"/>
  <c r="X586" i="1"/>
  <c r="Y586" i="1"/>
  <c r="Z586" i="1"/>
  <c r="AA586" i="1"/>
  <c r="AB586" i="1"/>
  <c r="W587" i="1"/>
  <c r="X587" i="1"/>
  <c r="Y587" i="1"/>
  <c r="Z587" i="1"/>
  <c r="AA587" i="1"/>
  <c r="AB587" i="1"/>
  <c r="W588" i="1"/>
  <c r="X588" i="1"/>
  <c r="Y588" i="1"/>
  <c r="Z588" i="1"/>
  <c r="AA588" i="1"/>
  <c r="AB588" i="1"/>
  <c r="W589" i="1"/>
  <c r="X589" i="1"/>
  <c r="Y589" i="1"/>
  <c r="Z589" i="1"/>
  <c r="AA589" i="1"/>
  <c r="AB589" i="1"/>
  <c r="W590" i="1"/>
  <c r="X590" i="1"/>
  <c r="Y590" i="1"/>
  <c r="Z590" i="1"/>
  <c r="AA590" i="1"/>
  <c r="AB590" i="1"/>
  <c r="W591" i="1"/>
  <c r="X591" i="1"/>
  <c r="Y591" i="1"/>
  <c r="Z591" i="1"/>
  <c r="AA591" i="1"/>
  <c r="AB591" i="1"/>
  <c r="W592" i="1"/>
  <c r="X592" i="1"/>
  <c r="Y592" i="1"/>
  <c r="Z592" i="1"/>
  <c r="AA592" i="1"/>
  <c r="AB592" i="1"/>
  <c r="W593" i="1"/>
  <c r="X593" i="1"/>
  <c r="Y593" i="1"/>
  <c r="Z593" i="1"/>
  <c r="AA593" i="1"/>
  <c r="AB593" i="1"/>
  <c r="W594" i="1"/>
  <c r="X594" i="1"/>
  <c r="Y594" i="1"/>
  <c r="Z594" i="1"/>
  <c r="AA594" i="1"/>
  <c r="AB594" i="1"/>
  <c r="W595" i="1"/>
  <c r="X595" i="1"/>
  <c r="Y595" i="1"/>
  <c r="Z595" i="1"/>
  <c r="AA595" i="1"/>
  <c r="AB595" i="1"/>
  <c r="W596" i="1"/>
  <c r="X596" i="1"/>
  <c r="Y596" i="1"/>
  <c r="Z596" i="1"/>
  <c r="AA596" i="1"/>
  <c r="AB596" i="1"/>
  <c r="W597" i="1"/>
  <c r="X597" i="1"/>
  <c r="Y597" i="1"/>
  <c r="Z597" i="1"/>
  <c r="AA597" i="1"/>
  <c r="AB597" i="1"/>
  <c r="W598" i="1"/>
  <c r="X598" i="1"/>
  <c r="Y598" i="1"/>
  <c r="Z598" i="1"/>
  <c r="AA598" i="1"/>
  <c r="AB598" i="1"/>
  <c r="W599" i="1"/>
  <c r="X599" i="1"/>
  <c r="Y599" i="1"/>
  <c r="Z599" i="1"/>
  <c r="AA599" i="1"/>
  <c r="AB599" i="1"/>
  <c r="W600" i="1"/>
  <c r="X600" i="1"/>
  <c r="Y600" i="1"/>
  <c r="Z600" i="1"/>
  <c r="AA600" i="1"/>
  <c r="AB600" i="1"/>
  <c r="W601" i="1"/>
  <c r="X601" i="1"/>
  <c r="Y601" i="1"/>
  <c r="Z601" i="1"/>
  <c r="AA601" i="1"/>
  <c r="AB601" i="1"/>
  <c r="W602" i="1"/>
  <c r="X602" i="1"/>
  <c r="Y602" i="1"/>
  <c r="Z602" i="1"/>
  <c r="AA602" i="1"/>
  <c r="AB602" i="1"/>
  <c r="W603" i="1"/>
  <c r="X603" i="1"/>
  <c r="Y603" i="1"/>
  <c r="Z603" i="1"/>
  <c r="AA603" i="1"/>
  <c r="AB603" i="1"/>
  <c r="W604" i="1"/>
  <c r="X604" i="1"/>
  <c r="Y604" i="1"/>
  <c r="Z604" i="1"/>
  <c r="AA604" i="1"/>
  <c r="AB604" i="1"/>
  <c r="W605" i="1"/>
  <c r="X605" i="1"/>
  <c r="Y605" i="1"/>
  <c r="Z605" i="1"/>
  <c r="AA605" i="1"/>
  <c r="AB605" i="1"/>
  <c r="W606" i="1"/>
  <c r="X606" i="1"/>
  <c r="Y606" i="1"/>
  <c r="Z606" i="1"/>
  <c r="AA606" i="1"/>
  <c r="AB606" i="1"/>
  <c r="W607" i="1"/>
  <c r="X607" i="1"/>
  <c r="Y607" i="1"/>
  <c r="Z607" i="1"/>
  <c r="AA607" i="1"/>
  <c r="AB607" i="1"/>
  <c r="W608" i="1"/>
  <c r="X608" i="1"/>
  <c r="Y608" i="1"/>
  <c r="Z608" i="1"/>
  <c r="AA608" i="1"/>
  <c r="AB608" i="1"/>
  <c r="W609" i="1"/>
  <c r="X609" i="1"/>
  <c r="Y609" i="1"/>
  <c r="Z609" i="1"/>
  <c r="AA609" i="1"/>
  <c r="AB609" i="1"/>
  <c r="W610" i="1"/>
  <c r="X610" i="1"/>
  <c r="Y610" i="1"/>
  <c r="Z610" i="1"/>
  <c r="AA610" i="1"/>
  <c r="AB610" i="1"/>
  <c r="W611" i="1"/>
  <c r="X611" i="1"/>
  <c r="Y611" i="1"/>
  <c r="Z611" i="1"/>
  <c r="AA611" i="1"/>
  <c r="AB611" i="1"/>
  <c r="W612" i="1"/>
  <c r="X612" i="1"/>
  <c r="Y612" i="1"/>
  <c r="Z612" i="1"/>
  <c r="AA612" i="1"/>
  <c r="AB612" i="1"/>
  <c r="W613" i="1"/>
  <c r="X613" i="1"/>
  <c r="Y613" i="1"/>
  <c r="Z613" i="1"/>
  <c r="AA613" i="1"/>
  <c r="AB613" i="1"/>
  <c r="W614" i="1"/>
  <c r="X614" i="1"/>
  <c r="Y614" i="1"/>
  <c r="Z614" i="1"/>
  <c r="AA614" i="1"/>
  <c r="AB614" i="1"/>
  <c r="W615" i="1"/>
  <c r="X615" i="1"/>
  <c r="Y615" i="1"/>
  <c r="Z615" i="1"/>
  <c r="AA615" i="1"/>
  <c r="AB615" i="1"/>
  <c r="W616" i="1"/>
  <c r="X616" i="1"/>
  <c r="Y616" i="1"/>
  <c r="Z616" i="1"/>
  <c r="AA616" i="1"/>
  <c r="AB616" i="1"/>
  <c r="W617" i="1"/>
  <c r="X617" i="1"/>
  <c r="Y617" i="1"/>
  <c r="Z617" i="1"/>
  <c r="AA617" i="1"/>
  <c r="AB617" i="1"/>
  <c r="W618" i="1"/>
  <c r="X618" i="1"/>
  <c r="Y618" i="1"/>
  <c r="Z618" i="1"/>
  <c r="AA618" i="1"/>
  <c r="AB618" i="1"/>
  <c r="W619" i="1"/>
  <c r="X619" i="1"/>
  <c r="Y619" i="1"/>
  <c r="Z619" i="1"/>
  <c r="AA619" i="1"/>
  <c r="AB619" i="1"/>
  <c r="W620" i="1"/>
  <c r="X620" i="1"/>
  <c r="Y620" i="1"/>
  <c r="Z620" i="1"/>
  <c r="AA620" i="1"/>
  <c r="AB620" i="1"/>
  <c r="W621" i="1"/>
  <c r="X621" i="1"/>
  <c r="Y621" i="1"/>
  <c r="Z621" i="1"/>
  <c r="AA621" i="1"/>
  <c r="AB621" i="1"/>
  <c r="W622" i="1"/>
  <c r="X622" i="1"/>
  <c r="Y622" i="1"/>
  <c r="Z622" i="1"/>
  <c r="AA622" i="1"/>
  <c r="AB622" i="1"/>
  <c r="W623" i="1"/>
  <c r="X623" i="1"/>
  <c r="Y623" i="1"/>
  <c r="Z623" i="1"/>
  <c r="AA623" i="1"/>
  <c r="AB623" i="1"/>
  <c r="W624" i="1"/>
  <c r="X624" i="1"/>
  <c r="Y624" i="1"/>
  <c r="Z624" i="1"/>
  <c r="AA624" i="1"/>
  <c r="AB624" i="1"/>
  <c r="W625" i="1"/>
  <c r="X625" i="1"/>
  <c r="Y625" i="1"/>
  <c r="Z625" i="1"/>
  <c r="AA625" i="1"/>
  <c r="AB625" i="1"/>
  <c r="W626" i="1"/>
  <c r="X626" i="1"/>
  <c r="Y626" i="1"/>
  <c r="Z626" i="1"/>
  <c r="AA626" i="1"/>
  <c r="AB626" i="1"/>
  <c r="W627" i="1"/>
  <c r="X627" i="1"/>
  <c r="Y627" i="1"/>
  <c r="Z627" i="1"/>
  <c r="AA627" i="1"/>
  <c r="AB627" i="1"/>
  <c r="W628" i="1"/>
  <c r="X628" i="1"/>
  <c r="Y628" i="1"/>
  <c r="Z628" i="1"/>
  <c r="AA628" i="1"/>
  <c r="AB628" i="1"/>
  <c r="W629" i="1"/>
  <c r="X629" i="1"/>
  <c r="Y629" i="1"/>
  <c r="Z629" i="1"/>
  <c r="AA629" i="1"/>
  <c r="AB629" i="1"/>
  <c r="W630" i="1"/>
  <c r="X630" i="1"/>
  <c r="Y630" i="1"/>
  <c r="Z630" i="1"/>
  <c r="AA630" i="1"/>
  <c r="AB630" i="1"/>
  <c r="W631" i="1"/>
  <c r="X631" i="1"/>
  <c r="Y631" i="1"/>
  <c r="Z631" i="1"/>
  <c r="AA631" i="1"/>
  <c r="AB631" i="1"/>
  <c r="W632" i="1"/>
  <c r="X632" i="1"/>
  <c r="Y632" i="1"/>
  <c r="Z632" i="1"/>
  <c r="AA632" i="1"/>
  <c r="AB632" i="1"/>
  <c r="W633" i="1"/>
  <c r="X633" i="1"/>
  <c r="Y633" i="1"/>
  <c r="Z633" i="1"/>
  <c r="AA633" i="1"/>
  <c r="AB633" i="1"/>
  <c r="W634" i="1"/>
  <c r="X634" i="1"/>
  <c r="Y634" i="1"/>
  <c r="Z634" i="1"/>
  <c r="AA634" i="1"/>
  <c r="AB634" i="1"/>
  <c r="W635" i="1"/>
  <c r="X635" i="1"/>
  <c r="Y635" i="1"/>
  <c r="Z635" i="1"/>
  <c r="AA635" i="1"/>
  <c r="AB635" i="1"/>
  <c r="W636" i="1"/>
  <c r="X636" i="1"/>
  <c r="Y636" i="1"/>
  <c r="Z636" i="1"/>
  <c r="AA636" i="1"/>
  <c r="AB636" i="1"/>
  <c r="W637" i="1"/>
  <c r="X637" i="1"/>
  <c r="Y637" i="1"/>
  <c r="Z637" i="1"/>
  <c r="AA637" i="1"/>
  <c r="AB637" i="1"/>
  <c r="W638" i="1"/>
  <c r="X638" i="1"/>
  <c r="Y638" i="1"/>
  <c r="Z638" i="1"/>
  <c r="AA638" i="1"/>
  <c r="AB638" i="1"/>
  <c r="W639" i="1"/>
  <c r="X639" i="1"/>
  <c r="Y639" i="1"/>
  <c r="Z639" i="1"/>
  <c r="AA639" i="1"/>
  <c r="AB639" i="1"/>
  <c r="W640" i="1"/>
  <c r="X640" i="1"/>
  <c r="Y640" i="1"/>
  <c r="Z640" i="1"/>
  <c r="AA640" i="1"/>
  <c r="AB640" i="1"/>
  <c r="W641" i="1"/>
  <c r="X641" i="1"/>
  <c r="Y641" i="1"/>
  <c r="Z641" i="1"/>
  <c r="AA641" i="1"/>
  <c r="AB641" i="1"/>
  <c r="W642" i="1"/>
  <c r="X642" i="1"/>
  <c r="Y642" i="1"/>
  <c r="Z642" i="1"/>
  <c r="AA642" i="1"/>
  <c r="AB642" i="1"/>
  <c r="W643" i="1"/>
  <c r="X643" i="1"/>
  <c r="Y643" i="1"/>
  <c r="Z643" i="1"/>
  <c r="AA643" i="1"/>
  <c r="AB643" i="1"/>
  <c r="W644" i="1"/>
  <c r="X644" i="1"/>
  <c r="Y644" i="1"/>
  <c r="Z644" i="1"/>
  <c r="AA644" i="1"/>
  <c r="AB644" i="1"/>
  <c r="W645" i="1"/>
  <c r="X645" i="1"/>
  <c r="Y645" i="1"/>
  <c r="Z645" i="1"/>
  <c r="AA645" i="1"/>
  <c r="AB645" i="1"/>
  <c r="W646" i="1"/>
  <c r="X646" i="1"/>
  <c r="Y646" i="1"/>
  <c r="Z646" i="1"/>
  <c r="AA646" i="1"/>
  <c r="AB646" i="1"/>
  <c r="W647" i="1"/>
  <c r="X647" i="1"/>
  <c r="Y647" i="1"/>
  <c r="Z647" i="1"/>
  <c r="AA647" i="1"/>
  <c r="AB647" i="1"/>
  <c r="W648" i="1"/>
  <c r="X648" i="1"/>
  <c r="Y648" i="1"/>
  <c r="Z648" i="1"/>
  <c r="AA648" i="1"/>
  <c r="AB648" i="1"/>
  <c r="W649" i="1"/>
  <c r="X649" i="1"/>
  <c r="Y649" i="1"/>
  <c r="Z649" i="1"/>
  <c r="AA649" i="1"/>
  <c r="AB649" i="1"/>
  <c r="W650" i="1"/>
  <c r="X650" i="1"/>
  <c r="Y650" i="1"/>
  <c r="Z650" i="1"/>
  <c r="AA650" i="1"/>
  <c r="AB650" i="1"/>
  <c r="AB2" i="1"/>
  <c r="AA2" i="1"/>
  <c r="Z2" i="1"/>
  <c r="Y2" i="1"/>
  <c r="X2" i="1"/>
  <c r="W2" i="1"/>
  <c r="U3" i="1"/>
  <c r="V3" i="1" s="1"/>
  <c r="U4" i="1"/>
  <c r="V4" i="1" s="1"/>
  <c r="U5" i="1"/>
  <c r="V5" i="1" s="1"/>
  <c r="U6" i="1"/>
  <c r="V6" i="1" s="1"/>
  <c r="U7" i="1"/>
  <c r="V7" i="1" s="1"/>
  <c r="U8" i="1"/>
  <c r="V8" i="1" s="1"/>
  <c r="U9" i="1"/>
  <c r="V9" i="1" s="1"/>
  <c r="U10" i="1"/>
  <c r="V10" i="1" s="1"/>
  <c r="U11" i="1"/>
  <c r="V11" i="1" s="1"/>
  <c r="U12" i="1"/>
  <c r="V12" i="1" s="1"/>
  <c r="U13" i="1"/>
  <c r="V13" i="1" s="1"/>
  <c r="U14" i="1"/>
  <c r="V14" i="1" s="1"/>
  <c r="U15" i="1"/>
  <c r="V15" i="1" s="1"/>
  <c r="U16" i="1"/>
  <c r="V16" i="1" s="1"/>
  <c r="U17" i="1"/>
  <c r="V17" i="1" s="1"/>
  <c r="U18" i="1"/>
  <c r="V18" i="1" s="1"/>
  <c r="U19" i="1"/>
  <c r="V19" i="1" s="1"/>
  <c r="U20" i="1"/>
  <c r="V20" i="1" s="1"/>
  <c r="U21" i="1"/>
  <c r="V21" i="1" s="1"/>
  <c r="U22" i="1"/>
  <c r="V22" i="1" s="1"/>
  <c r="U23" i="1"/>
  <c r="V23" i="1" s="1"/>
  <c r="U24" i="1"/>
  <c r="V24" i="1" s="1"/>
  <c r="U25" i="1"/>
  <c r="V25" i="1" s="1"/>
  <c r="U26" i="1"/>
  <c r="V26" i="1" s="1"/>
  <c r="U27" i="1"/>
  <c r="V27" i="1" s="1"/>
  <c r="U28" i="1"/>
  <c r="V28" i="1" s="1"/>
  <c r="U29" i="1"/>
  <c r="V29" i="1" s="1"/>
  <c r="U30" i="1"/>
  <c r="V30" i="1" s="1"/>
  <c r="U31" i="1"/>
  <c r="V31" i="1" s="1"/>
  <c r="U32" i="1"/>
  <c r="V32" i="1" s="1"/>
  <c r="U33" i="1"/>
  <c r="V33" i="1" s="1"/>
  <c r="U34" i="1"/>
  <c r="V34" i="1" s="1"/>
  <c r="U35" i="1"/>
  <c r="V35" i="1" s="1"/>
  <c r="U36" i="1"/>
  <c r="V36" i="1" s="1"/>
  <c r="U37" i="1"/>
  <c r="V37" i="1" s="1"/>
  <c r="U38" i="1"/>
  <c r="V38" i="1" s="1"/>
  <c r="U39" i="1"/>
  <c r="V39" i="1" s="1"/>
  <c r="U40" i="1"/>
  <c r="V40" i="1" s="1"/>
  <c r="U41" i="1"/>
  <c r="V41" i="1" s="1"/>
  <c r="U42" i="1"/>
  <c r="V42" i="1" s="1"/>
  <c r="U43" i="1"/>
  <c r="V43" i="1" s="1"/>
  <c r="U44" i="1"/>
  <c r="V44" i="1" s="1"/>
  <c r="U45" i="1"/>
  <c r="V45" i="1" s="1"/>
  <c r="U46" i="1"/>
  <c r="V46" i="1" s="1"/>
  <c r="U47" i="1"/>
  <c r="V47" i="1" s="1"/>
  <c r="U48" i="1"/>
  <c r="V48" i="1" s="1"/>
  <c r="U49" i="1"/>
  <c r="V49" i="1" s="1"/>
  <c r="U50" i="1"/>
  <c r="V50" i="1" s="1"/>
  <c r="U51" i="1"/>
  <c r="V51" i="1" s="1"/>
  <c r="U52" i="1"/>
  <c r="V52" i="1" s="1"/>
  <c r="U53" i="1"/>
  <c r="V53" i="1" s="1"/>
  <c r="U54" i="1"/>
  <c r="V54" i="1" s="1"/>
  <c r="U55" i="1"/>
  <c r="V55" i="1" s="1"/>
  <c r="U56" i="1"/>
  <c r="V56" i="1" s="1"/>
  <c r="U57" i="1"/>
  <c r="V57" i="1" s="1"/>
  <c r="U58" i="1"/>
  <c r="V58" i="1" s="1"/>
  <c r="U59" i="1"/>
  <c r="V59" i="1" s="1"/>
  <c r="U60" i="1"/>
  <c r="V60" i="1" s="1"/>
  <c r="U61" i="1"/>
  <c r="V61" i="1" s="1"/>
  <c r="U62" i="1"/>
  <c r="V62" i="1" s="1"/>
  <c r="U63" i="1"/>
  <c r="V63" i="1" s="1"/>
  <c r="U64" i="1"/>
  <c r="V64" i="1" s="1"/>
  <c r="U65" i="1"/>
  <c r="V65" i="1" s="1"/>
  <c r="U66" i="1"/>
  <c r="V66" i="1" s="1"/>
  <c r="U67" i="1"/>
  <c r="V67" i="1" s="1"/>
  <c r="U68" i="1"/>
  <c r="V68" i="1" s="1"/>
  <c r="U69" i="1"/>
  <c r="V69" i="1" s="1"/>
  <c r="U70" i="1"/>
  <c r="V70" i="1" s="1"/>
  <c r="U71" i="1"/>
  <c r="V71" i="1" s="1"/>
  <c r="U72" i="1"/>
  <c r="V72" i="1" s="1"/>
  <c r="U73" i="1"/>
  <c r="V73" i="1" s="1"/>
  <c r="U74" i="1"/>
  <c r="V74" i="1" s="1"/>
  <c r="U75" i="1"/>
  <c r="V75" i="1" s="1"/>
  <c r="U76" i="1"/>
  <c r="V76" i="1" s="1"/>
  <c r="U77" i="1"/>
  <c r="V77" i="1" s="1"/>
  <c r="U78" i="1"/>
  <c r="V78" i="1" s="1"/>
  <c r="U79" i="1"/>
  <c r="V79" i="1" s="1"/>
  <c r="U80" i="1"/>
  <c r="V80" i="1" s="1"/>
  <c r="U81" i="1"/>
  <c r="V81" i="1" s="1"/>
  <c r="U82" i="1"/>
  <c r="V82" i="1" s="1"/>
  <c r="U83" i="1"/>
  <c r="V83" i="1" s="1"/>
  <c r="U84" i="1"/>
  <c r="V84" i="1" s="1"/>
  <c r="U85" i="1"/>
  <c r="V85" i="1" s="1"/>
  <c r="U86" i="1"/>
  <c r="V86" i="1" s="1"/>
  <c r="U87" i="1"/>
  <c r="V87" i="1" s="1"/>
  <c r="U88" i="1"/>
  <c r="V88" i="1" s="1"/>
  <c r="U89" i="1"/>
  <c r="V89" i="1" s="1"/>
  <c r="U90" i="1"/>
  <c r="V90" i="1" s="1"/>
  <c r="U91" i="1"/>
  <c r="V91" i="1" s="1"/>
  <c r="U92" i="1"/>
  <c r="V92" i="1" s="1"/>
  <c r="U93" i="1"/>
  <c r="V93" i="1" s="1"/>
  <c r="U94" i="1"/>
  <c r="V94" i="1" s="1"/>
  <c r="U95" i="1"/>
  <c r="V95" i="1" s="1"/>
  <c r="U96" i="1"/>
  <c r="V96" i="1" s="1"/>
  <c r="U97" i="1"/>
  <c r="V97" i="1" s="1"/>
  <c r="U98" i="1"/>
  <c r="V98" i="1" s="1"/>
  <c r="U99" i="1"/>
  <c r="V99" i="1" s="1"/>
  <c r="U100" i="1"/>
  <c r="V100" i="1" s="1"/>
  <c r="U101" i="1"/>
  <c r="V101" i="1" s="1"/>
  <c r="U102" i="1"/>
  <c r="V102" i="1" s="1"/>
  <c r="U103" i="1"/>
  <c r="V103" i="1" s="1"/>
  <c r="U104" i="1"/>
  <c r="V104" i="1" s="1"/>
  <c r="U105" i="1"/>
  <c r="V105" i="1" s="1"/>
  <c r="U106" i="1"/>
  <c r="V106" i="1" s="1"/>
  <c r="U107" i="1"/>
  <c r="V107" i="1" s="1"/>
  <c r="U108" i="1"/>
  <c r="V108" i="1" s="1"/>
  <c r="U109" i="1"/>
  <c r="V109" i="1" s="1"/>
  <c r="U110" i="1"/>
  <c r="V110" i="1" s="1"/>
  <c r="U111" i="1"/>
  <c r="V111" i="1" s="1"/>
  <c r="U112" i="1"/>
  <c r="V112" i="1" s="1"/>
  <c r="U113" i="1"/>
  <c r="V113" i="1" s="1"/>
  <c r="U114" i="1"/>
  <c r="V114" i="1" s="1"/>
  <c r="U115" i="1"/>
  <c r="V115" i="1" s="1"/>
  <c r="U116" i="1"/>
  <c r="V116" i="1" s="1"/>
  <c r="U117" i="1"/>
  <c r="V117" i="1" s="1"/>
  <c r="U118" i="1"/>
  <c r="V118" i="1" s="1"/>
  <c r="U119" i="1"/>
  <c r="V119" i="1" s="1"/>
  <c r="U120" i="1"/>
  <c r="V120" i="1" s="1"/>
  <c r="U121" i="1"/>
  <c r="V121" i="1" s="1"/>
  <c r="U122" i="1"/>
  <c r="V122" i="1" s="1"/>
  <c r="U123" i="1"/>
  <c r="V123" i="1" s="1"/>
  <c r="U124" i="1"/>
  <c r="V124" i="1" s="1"/>
  <c r="U125" i="1"/>
  <c r="V125" i="1" s="1"/>
  <c r="U126" i="1"/>
  <c r="V126" i="1" s="1"/>
  <c r="U127" i="1"/>
  <c r="V127" i="1" s="1"/>
  <c r="U128" i="1"/>
  <c r="V128" i="1" s="1"/>
  <c r="U129" i="1"/>
  <c r="V129" i="1" s="1"/>
  <c r="U130" i="1"/>
  <c r="V130" i="1" s="1"/>
  <c r="U131" i="1"/>
  <c r="V131" i="1" s="1"/>
  <c r="U132" i="1"/>
  <c r="V132" i="1" s="1"/>
  <c r="U133" i="1"/>
  <c r="V133" i="1" s="1"/>
  <c r="U134" i="1"/>
  <c r="V134" i="1" s="1"/>
  <c r="U135" i="1"/>
  <c r="V135" i="1" s="1"/>
  <c r="U136" i="1"/>
  <c r="V136" i="1" s="1"/>
  <c r="U137" i="1"/>
  <c r="V137" i="1" s="1"/>
  <c r="U138" i="1"/>
  <c r="V138" i="1" s="1"/>
  <c r="U139" i="1"/>
  <c r="V139" i="1" s="1"/>
  <c r="U140" i="1"/>
  <c r="V140" i="1" s="1"/>
  <c r="U141" i="1"/>
  <c r="V141" i="1" s="1"/>
  <c r="U142" i="1"/>
  <c r="V142" i="1" s="1"/>
  <c r="U143" i="1"/>
  <c r="V143" i="1" s="1"/>
  <c r="U144" i="1"/>
  <c r="V144" i="1" s="1"/>
  <c r="U145" i="1"/>
  <c r="V145" i="1" s="1"/>
  <c r="U146" i="1"/>
  <c r="V146" i="1" s="1"/>
  <c r="U147" i="1"/>
  <c r="V147" i="1" s="1"/>
  <c r="U148" i="1"/>
  <c r="V148" i="1" s="1"/>
  <c r="U149" i="1"/>
  <c r="V149" i="1" s="1"/>
  <c r="U150" i="1"/>
  <c r="V150" i="1" s="1"/>
  <c r="U151" i="1"/>
  <c r="V151" i="1" s="1"/>
  <c r="U152" i="1"/>
  <c r="V152" i="1" s="1"/>
  <c r="U153" i="1"/>
  <c r="V153" i="1" s="1"/>
  <c r="U154" i="1"/>
  <c r="V154" i="1" s="1"/>
  <c r="U155" i="1"/>
  <c r="V155" i="1" s="1"/>
  <c r="U156" i="1"/>
  <c r="V156" i="1" s="1"/>
  <c r="U157" i="1"/>
  <c r="V157" i="1" s="1"/>
  <c r="U158" i="1"/>
  <c r="V158" i="1" s="1"/>
  <c r="U159" i="1"/>
  <c r="V159" i="1" s="1"/>
  <c r="U160" i="1"/>
  <c r="V160" i="1" s="1"/>
  <c r="U161" i="1"/>
  <c r="V161" i="1" s="1"/>
  <c r="U162" i="1"/>
  <c r="V162" i="1" s="1"/>
  <c r="U163" i="1"/>
  <c r="V163" i="1" s="1"/>
  <c r="U164" i="1"/>
  <c r="V164" i="1" s="1"/>
  <c r="U165" i="1"/>
  <c r="V165" i="1" s="1"/>
  <c r="U166" i="1"/>
  <c r="V166" i="1" s="1"/>
  <c r="U167" i="1"/>
  <c r="V167" i="1" s="1"/>
  <c r="U168" i="1"/>
  <c r="V168" i="1" s="1"/>
  <c r="U169" i="1"/>
  <c r="V169" i="1" s="1"/>
  <c r="U170" i="1"/>
  <c r="V170" i="1" s="1"/>
  <c r="U171" i="1"/>
  <c r="V171" i="1" s="1"/>
  <c r="U172" i="1"/>
  <c r="V172" i="1" s="1"/>
  <c r="U173" i="1"/>
  <c r="V173" i="1" s="1"/>
  <c r="U174" i="1"/>
  <c r="V174" i="1" s="1"/>
  <c r="U175" i="1"/>
  <c r="V175" i="1" s="1"/>
  <c r="U176" i="1"/>
  <c r="V176" i="1" s="1"/>
  <c r="U177" i="1"/>
  <c r="V177" i="1" s="1"/>
  <c r="U178" i="1"/>
  <c r="V178" i="1" s="1"/>
  <c r="U179" i="1"/>
  <c r="V179" i="1" s="1"/>
  <c r="U180" i="1"/>
  <c r="V180" i="1" s="1"/>
  <c r="U181" i="1"/>
  <c r="V181" i="1" s="1"/>
  <c r="U182" i="1"/>
  <c r="V182" i="1" s="1"/>
  <c r="U183" i="1"/>
  <c r="V183" i="1" s="1"/>
  <c r="U184" i="1"/>
  <c r="V184" i="1" s="1"/>
  <c r="U185" i="1"/>
  <c r="V185" i="1" s="1"/>
  <c r="U186" i="1"/>
  <c r="V186" i="1" s="1"/>
  <c r="U187" i="1"/>
  <c r="V187" i="1" s="1"/>
  <c r="U188" i="1"/>
  <c r="V188" i="1" s="1"/>
  <c r="U189" i="1"/>
  <c r="V189" i="1" s="1"/>
  <c r="U190" i="1"/>
  <c r="V190" i="1" s="1"/>
  <c r="U191" i="1"/>
  <c r="V191" i="1" s="1"/>
  <c r="U192" i="1"/>
  <c r="V192" i="1" s="1"/>
  <c r="U193" i="1"/>
  <c r="V193" i="1" s="1"/>
  <c r="U194" i="1"/>
  <c r="V194" i="1" s="1"/>
  <c r="U195" i="1"/>
  <c r="V195" i="1" s="1"/>
  <c r="U196" i="1"/>
  <c r="V196" i="1" s="1"/>
  <c r="U197" i="1"/>
  <c r="V197" i="1" s="1"/>
  <c r="U198" i="1"/>
  <c r="V198" i="1" s="1"/>
  <c r="U199" i="1"/>
  <c r="V199" i="1" s="1"/>
  <c r="U200" i="1"/>
  <c r="V200" i="1" s="1"/>
  <c r="U201" i="1"/>
  <c r="V201" i="1" s="1"/>
  <c r="U202" i="1"/>
  <c r="V202" i="1" s="1"/>
  <c r="U203" i="1"/>
  <c r="V203" i="1" s="1"/>
  <c r="U204" i="1"/>
  <c r="V204" i="1" s="1"/>
  <c r="U205" i="1"/>
  <c r="V205" i="1" s="1"/>
  <c r="U206" i="1"/>
  <c r="V206" i="1" s="1"/>
  <c r="U207" i="1"/>
  <c r="V207" i="1" s="1"/>
  <c r="U208" i="1"/>
  <c r="V208" i="1" s="1"/>
  <c r="U209" i="1"/>
  <c r="V209" i="1" s="1"/>
  <c r="U210" i="1"/>
  <c r="V210" i="1" s="1"/>
  <c r="U211" i="1"/>
  <c r="V211" i="1" s="1"/>
  <c r="U212" i="1"/>
  <c r="V212" i="1" s="1"/>
  <c r="U213" i="1"/>
  <c r="V213" i="1" s="1"/>
  <c r="U214" i="1"/>
  <c r="V214" i="1" s="1"/>
  <c r="U215" i="1"/>
  <c r="V215" i="1" s="1"/>
  <c r="U216" i="1"/>
  <c r="V216" i="1" s="1"/>
  <c r="U217" i="1"/>
  <c r="V217" i="1" s="1"/>
  <c r="U218" i="1"/>
  <c r="V218" i="1" s="1"/>
  <c r="U219" i="1"/>
  <c r="V219" i="1" s="1"/>
  <c r="U220" i="1"/>
  <c r="V220" i="1" s="1"/>
  <c r="U221" i="1"/>
  <c r="V221" i="1" s="1"/>
  <c r="U222" i="1"/>
  <c r="V222" i="1" s="1"/>
  <c r="U223" i="1"/>
  <c r="V223" i="1" s="1"/>
  <c r="U224" i="1"/>
  <c r="V224" i="1" s="1"/>
  <c r="U225" i="1"/>
  <c r="V225" i="1" s="1"/>
  <c r="U226" i="1"/>
  <c r="V226" i="1" s="1"/>
  <c r="U227" i="1"/>
  <c r="V227" i="1" s="1"/>
  <c r="U228" i="1"/>
  <c r="V228" i="1" s="1"/>
  <c r="U229" i="1"/>
  <c r="V229" i="1" s="1"/>
  <c r="U230" i="1"/>
  <c r="V230" i="1" s="1"/>
  <c r="U231" i="1"/>
  <c r="V231" i="1" s="1"/>
  <c r="U232" i="1"/>
  <c r="V232" i="1" s="1"/>
  <c r="U233" i="1"/>
  <c r="V233" i="1" s="1"/>
  <c r="U234" i="1"/>
  <c r="V234" i="1" s="1"/>
  <c r="U235" i="1"/>
  <c r="V235" i="1" s="1"/>
  <c r="U236" i="1"/>
  <c r="V236" i="1" s="1"/>
  <c r="U237" i="1"/>
  <c r="V237" i="1" s="1"/>
  <c r="U238" i="1"/>
  <c r="V238" i="1" s="1"/>
  <c r="U239" i="1"/>
  <c r="V239" i="1" s="1"/>
  <c r="U240" i="1"/>
  <c r="V240" i="1" s="1"/>
  <c r="U241" i="1"/>
  <c r="V241" i="1" s="1"/>
  <c r="U242" i="1"/>
  <c r="V242" i="1" s="1"/>
  <c r="U243" i="1"/>
  <c r="V243" i="1" s="1"/>
  <c r="U244" i="1"/>
  <c r="V244" i="1" s="1"/>
  <c r="U245" i="1"/>
  <c r="V245" i="1" s="1"/>
  <c r="U246" i="1"/>
  <c r="V246" i="1" s="1"/>
  <c r="U247" i="1"/>
  <c r="V247" i="1" s="1"/>
  <c r="U248" i="1"/>
  <c r="V248" i="1" s="1"/>
  <c r="U249" i="1"/>
  <c r="V249" i="1" s="1"/>
  <c r="U250" i="1"/>
  <c r="V250" i="1" s="1"/>
  <c r="U251" i="1"/>
  <c r="V251" i="1" s="1"/>
  <c r="U252" i="1"/>
  <c r="V252" i="1" s="1"/>
  <c r="U253" i="1"/>
  <c r="V253" i="1" s="1"/>
  <c r="U254" i="1"/>
  <c r="V254" i="1" s="1"/>
  <c r="U255" i="1"/>
  <c r="V255" i="1" s="1"/>
  <c r="U256" i="1"/>
  <c r="V256" i="1" s="1"/>
  <c r="U257" i="1"/>
  <c r="V257" i="1" s="1"/>
  <c r="U258" i="1"/>
  <c r="V258" i="1" s="1"/>
  <c r="U259" i="1"/>
  <c r="V259" i="1" s="1"/>
  <c r="U260" i="1"/>
  <c r="V260" i="1" s="1"/>
  <c r="U261" i="1"/>
  <c r="V261" i="1" s="1"/>
  <c r="U262" i="1"/>
  <c r="V262" i="1" s="1"/>
  <c r="U263" i="1"/>
  <c r="V263" i="1" s="1"/>
  <c r="U264" i="1"/>
  <c r="V264" i="1" s="1"/>
  <c r="U265" i="1"/>
  <c r="V265" i="1" s="1"/>
  <c r="U266" i="1"/>
  <c r="V266" i="1" s="1"/>
  <c r="U267" i="1"/>
  <c r="V267" i="1" s="1"/>
  <c r="U268" i="1"/>
  <c r="V268" i="1" s="1"/>
  <c r="U269" i="1"/>
  <c r="V269" i="1" s="1"/>
  <c r="U270" i="1"/>
  <c r="V270" i="1" s="1"/>
  <c r="U271" i="1"/>
  <c r="V271" i="1" s="1"/>
  <c r="U272" i="1"/>
  <c r="V272" i="1" s="1"/>
  <c r="U273" i="1"/>
  <c r="V273" i="1" s="1"/>
  <c r="U274" i="1"/>
  <c r="V274" i="1" s="1"/>
  <c r="U275" i="1"/>
  <c r="V275" i="1" s="1"/>
  <c r="U276" i="1"/>
  <c r="V276" i="1" s="1"/>
  <c r="U277" i="1"/>
  <c r="V277" i="1" s="1"/>
  <c r="U278" i="1"/>
  <c r="V278" i="1" s="1"/>
  <c r="U279" i="1"/>
  <c r="V279" i="1" s="1"/>
  <c r="U280" i="1"/>
  <c r="V280" i="1" s="1"/>
  <c r="U281" i="1"/>
  <c r="V281" i="1" s="1"/>
  <c r="U282" i="1"/>
  <c r="V282" i="1" s="1"/>
  <c r="U283" i="1"/>
  <c r="V283" i="1" s="1"/>
  <c r="U284" i="1"/>
  <c r="V284" i="1" s="1"/>
  <c r="U285" i="1"/>
  <c r="V285" i="1" s="1"/>
  <c r="U286" i="1"/>
  <c r="V286" i="1" s="1"/>
  <c r="U287" i="1"/>
  <c r="V287" i="1" s="1"/>
  <c r="U288" i="1"/>
  <c r="V288" i="1" s="1"/>
  <c r="U289" i="1"/>
  <c r="V289" i="1" s="1"/>
  <c r="U290" i="1"/>
  <c r="V290" i="1" s="1"/>
  <c r="U291" i="1"/>
  <c r="V291" i="1" s="1"/>
  <c r="U292" i="1"/>
  <c r="V292" i="1" s="1"/>
  <c r="U293" i="1"/>
  <c r="V293" i="1" s="1"/>
  <c r="U294" i="1"/>
  <c r="V294" i="1" s="1"/>
  <c r="U295" i="1"/>
  <c r="V295" i="1" s="1"/>
  <c r="U296" i="1"/>
  <c r="V296" i="1" s="1"/>
  <c r="U297" i="1"/>
  <c r="V297" i="1" s="1"/>
  <c r="U298" i="1"/>
  <c r="V298" i="1" s="1"/>
  <c r="U299" i="1"/>
  <c r="V299" i="1" s="1"/>
  <c r="U300" i="1"/>
  <c r="V300" i="1" s="1"/>
  <c r="U301" i="1"/>
  <c r="V301" i="1" s="1"/>
  <c r="U302" i="1"/>
  <c r="V302" i="1" s="1"/>
  <c r="U303" i="1"/>
  <c r="V303" i="1" s="1"/>
  <c r="U304" i="1"/>
  <c r="V304" i="1" s="1"/>
  <c r="U305" i="1"/>
  <c r="V305" i="1" s="1"/>
  <c r="U306" i="1"/>
  <c r="V306" i="1" s="1"/>
  <c r="U307" i="1"/>
  <c r="V307" i="1" s="1"/>
  <c r="U308" i="1"/>
  <c r="V308" i="1" s="1"/>
  <c r="U309" i="1"/>
  <c r="V309" i="1" s="1"/>
  <c r="U310" i="1"/>
  <c r="V310" i="1" s="1"/>
  <c r="U311" i="1"/>
  <c r="V311" i="1" s="1"/>
  <c r="U312" i="1"/>
  <c r="V312" i="1" s="1"/>
  <c r="U313" i="1"/>
  <c r="V313" i="1" s="1"/>
  <c r="U314" i="1"/>
  <c r="V314" i="1" s="1"/>
  <c r="U315" i="1"/>
  <c r="V315" i="1" s="1"/>
  <c r="U316" i="1"/>
  <c r="V316" i="1" s="1"/>
  <c r="U317" i="1"/>
  <c r="V317" i="1" s="1"/>
  <c r="U318" i="1"/>
  <c r="V318" i="1" s="1"/>
  <c r="U319" i="1"/>
  <c r="V319" i="1" s="1"/>
  <c r="U320" i="1"/>
  <c r="V320" i="1" s="1"/>
  <c r="U321" i="1"/>
  <c r="V321" i="1" s="1"/>
  <c r="U322" i="1"/>
  <c r="V322" i="1" s="1"/>
  <c r="U323" i="1"/>
  <c r="V323" i="1" s="1"/>
  <c r="U324" i="1"/>
  <c r="V324" i="1" s="1"/>
  <c r="U325" i="1"/>
  <c r="V325" i="1" s="1"/>
  <c r="U326" i="1"/>
  <c r="V326" i="1" s="1"/>
  <c r="U327" i="1"/>
  <c r="V327" i="1" s="1"/>
  <c r="U328" i="1"/>
  <c r="V328" i="1" s="1"/>
  <c r="U329" i="1"/>
  <c r="V329" i="1" s="1"/>
  <c r="U330" i="1"/>
  <c r="V330" i="1" s="1"/>
  <c r="U331" i="1"/>
  <c r="V331" i="1" s="1"/>
  <c r="U332" i="1"/>
  <c r="V332" i="1" s="1"/>
  <c r="U333" i="1"/>
  <c r="V333" i="1" s="1"/>
  <c r="U334" i="1"/>
  <c r="V334" i="1" s="1"/>
  <c r="U335" i="1"/>
  <c r="V335" i="1" s="1"/>
  <c r="U336" i="1"/>
  <c r="V336" i="1" s="1"/>
  <c r="U337" i="1"/>
  <c r="V337" i="1" s="1"/>
  <c r="U338" i="1"/>
  <c r="V338" i="1" s="1"/>
  <c r="U339" i="1"/>
  <c r="V339" i="1" s="1"/>
  <c r="U340" i="1"/>
  <c r="V340" i="1" s="1"/>
  <c r="U341" i="1"/>
  <c r="V341" i="1" s="1"/>
  <c r="U342" i="1"/>
  <c r="V342" i="1" s="1"/>
  <c r="U343" i="1"/>
  <c r="V343" i="1" s="1"/>
  <c r="U344" i="1"/>
  <c r="V344" i="1" s="1"/>
  <c r="U345" i="1"/>
  <c r="V345" i="1" s="1"/>
  <c r="U346" i="1"/>
  <c r="V346" i="1" s="1"/>
  <c r="U347" i="1"/>
  <c r="V347" i="1" s="1"/>
  <c r="U348" i="1"/>
  <c r="V348" i="1" s="1"/>
  <c r="U349" i="1"/>
  <c r="V349" i="1" s="1"/>
  <c r="U350" i="1"/>
  <c r="V350" i="1" s="1"/>
  <c r="U351" i="1"/>
  <c r="V351" i="1" s="1"/>
  <c r="U352" i="1"/>
  <c r="V352" i="1" s="1"/>
  <c r="U353" i="1"/>
  <c r="V353" i="1" s="1"/>
  <c r="U354" i="1"/>
  <c r="V354" i="1" s="1"/>
  <c r="U355" i="1"/>
  <c r="V355" i="1" s="1"/>
  <c r="U356" i="1"/>
  <c r="V356" i="1" s="1"/>
  <c r="U357" i="1"/>
  <c r="V357" i="1" s="1"/>
  <c r="U358" i="1"/>
  <c r="V358" i="1" s="1"/>
  <c r="U359" i="1"/>
  <c r="V359" i="1" s="1"/>
  <c r="U360" i="1"/>
  <c r="V360" i="1" s="1"/>
  <c r="U361" i="1"/>
  <c r="V361" i="1" s="1"/>
  <c r="U362" i="1"/>
  <c r="V362" i="1" s="1"/>
  <c r="U363" i="1"/>
  <c r="V363" i="1" s="1"/>
  <c r="U364" i="1"/>
  <c r="V364" i="1" s="1"/>
  <c r="U365" i="1"/>
  <c r="V365" i="1" s="1"/>
  <c r="U366" i="1"/>
  <c r="V366" i="1" s="1"/>
  <c r="U367" i="1"/>
  <c r="V367" i="1" s="1"/>
  <c r="U368" i="1"/>
  <c r="V368" i="1" s="1"/>
  <c r="U369" i="1"/>
  <c r="V369" i="1" s="1"/>
  <c r="U370" i="1"/>
  <c r="V370" i="1" s="1"/>
  <c r="U371" i="1"/>
  <c r="V371" i="1" s="1"/>
  <c r="U372" i="1"/>
  <c r="V372" i="1" s="1"/>
  <c r="U373" i="1"/>
  <c r="V373" i="1" s="1"/>
  <c r="U374" i="1"/>
  <c r="V374" i="1" s="1"/>
  <c r="U375" i="1"/>
  <c r="V375" i="1" s="1"/>
  <c r="U376" i="1"/>
  <c r="V376" i="1" s="1"/>
  <c r="U377" i="1"/>
  <c r="V377" i="1" s="1"/>
  <c r="U378" i="1"/>
  <c r="V378" i="1" s="1"/>
  <c r="U379" i="1"/>
  <c r="V379" i="1" s="1"/>
  <c r="U380" i="1"/>
  <c r="V380" i="1" s="1"/>
  <c r="U381" i="1"/>
  <c r="V381" i="1" s="1"/>
  <c r="U382" i="1"/>
  <c r="V382" i="1" s="1"/>
  <c r="U383" i="1"/>
  <c r="V383" i="1" s="1"/>
  <c r="U384" i="1"/>
  <c r="V384" i="1" s="1"/>
  <c r="U385" i="1"/>
  <c r="V385" i="1" s="1"/>
  <c r="U386" i="1"/>
  <c r="V386" i="1" s="1"/>
  <c r="U387" i="1"/>
  <c r="V387" i="1" s="1"/>
  <c r="U388" i="1"/>
  <c r="V388" i="1" s="1"/>
  <c r="U389" i="1"/>
  <c r="V389" i="1" s="1"/>
  <c r="U390" i="1"/>
  <c r="V390" i="1" s="1"/>
  <c r="U391" i="1"/>
  <c r="V391" i="1" s="1"/>
  <c r="U392" i="1"/>
  <c r="V392" i="1" s="1"/>
  <c r="U393" i="1"/>
  <c r="V393" i="1" s="1"/>
  <c r="U394" i="1"/>
  <c r="V394" i="1" s="1"/>
  <c r="U395" i="1"/>
  <c r="V395" i="1" s="1"/>
  <c r="U396" i="1"/>
  <c r="V396" i="1" s="1"/>
  <c r="U397" i="1"/>
  <c r="V397" i="1" s="1"/>
  <c r="U398" i="1"/>
  <c r="V398" i="1" s="1"/>
  <c r="U399" i="1"/>
  <c r="V399" i="1" s="1"/>
  <c r="U400" i="1"/>
  <c r="V400" i="1" s="1"/>
  <c r="U401" i="1"/>
  <c r="V401" i="1" s="1"/>
  <c r="U402" i="1"/>
  <c r="V402" i="1" s="1"/>
  <c r="U403" i="1"/>
  <c r="V403" i="1" s="1"/>
  <c r="U404" i="1"/>
  <c r="V404" i="1" s="1"/>
  <c r="U405" i="1"/>
  <c r="V405" i="1" s="1"/>
  <c r="U406" i="1"/>
  <c r="V406" i="1" s="1"/>
  <c r="U407" i="1"/>
  <c r="V407" i="1" s="1"/>
  <c r="U408" i="1"/>
  <c r="V408" i="1" s="1"/>
  <c r="U409" i="1"/>
  <c r="V409" i="1" s="1"/>
  <c r="U410" i="1"/>
  <c r="V410" i="1" s="1"/>
  <c r="U411" i="1"/>
  <c r="V411" i="1" s="1"/>
  <c r="U412" i="1"/>
  <c r="V412" i="1" s="1"/>
  <c r="U413" i="1"/>
  <c r="V413" i="1" s="1"/>
  <c r="U414" i="1"/>
  <c r="V414" i="1" s="1"/>
  <c r="U415" i="1"/>
  <c r="V415" i="1" s="1"/>
  <c r="U416" i="1"/>
  <c r="V416" i="1" s="1"/>
  <c r="U417" i="1"/>
  <c r="V417" i="1" s="1"/>
  <c r="U418" i="1"/>
  <c r="V418" i="1" s="1"/>
  <c r="U419" i="1"/>
  <c r="V419" i="1" s="1"/>
  <c r="U420" i="1"/>
  <c r="V420" i="1" s="1"/>
  <c r="U421" i="1"/>
  <c r="V421" i="1" s="1"/>
  <c r="U422" i="1"/>
  <c r="V422" i="1" s="1"/>
  <c r="U423" i="1"/>
  <c r="V423" i="1" s="1"/>
  <c r="U424" i="1"/>
  <c r="V424" i="1" s="1"/>
  <c r="U425" i="1"/>
  <c r="V425" i="1" s="1"/>
  <c r="U426" i="1"/>
  <c r="V426" i="1" s="1"/>
  <c r="U427" i="1"/>
  <c r="V427" i="1" s="1"/>
  <c r="U428" i="1"/>
  <c r="V428" i="1" s="1"/>
  <c r="U429" i="1"/>
  <c r="V429" i="1" s="1"/>
  <c r="U430" i="1"/>
  <c r="V430" i="1" s="1"/>
  <c r="U431" i="1"/>
  <c r="V431" i="1" s="1"/>
  <c r="U432" i="1"/>
  <c r="V432" i="1" s="1"/>
  <c r="U433" i="1"/>
  <c r="V433" i="1" s="1"/>
  <c r="U434" i="1"/>
  <c r="V434" i="1" s="1"/>
  <c r="U435" i="1"/>
  <c r="V435" i="1" s="1"/>
  <c r="U436" i="1"/>
  <c r="V436" i="1" s="1"/>
  <c r="U437" i="1"/>
  <c r="V437" i="1" s="1"/>
  <c r="U438" i="1"/>
  <c r="V438" i="1" s="1"/>
  <c r="U439" i="1"/>
  <c r="V439" i="1" s="1"/>
  <c r="U440" i="1"/>
  <c r="V440" i="1" s="1"/>
  <c r="U441" i="1"/>
  <c r="V441" i="1" s="1"/>
  <c r="U442" i="1"/>
  <c r="V442" i="1" s="1"/>
  <c r="U443" i="1"/>
  <c r="V443" i="1" s="1"/>
  <c r="U444" i="1"/>
  <c r="V444" i="1" s="1"/>
  <c r="U445" i="1"/>
  <c r="V445" i="1" s="1"/>
  <c r="U446" i="1"/>
  <c r="V446" i="1" s="1"/>
  <c r="U447" i="1"/>
  <c r="V447" i="1" s="1"/>
  <c r="U448" i="1"/>
  <c r="V448" i="1" s="1"/>
  <c r="U449" i="1"/>
  <c r="V449" i="1" s="1"/>
  <c r="U450" i="1"/>
  <c r="V450" i="1" s="1"/>
  <c r="U451" i="1"/>
  <c r="V451" i="1" s="1"/>
  <c r="U452" i="1"/>
  <c r="V452" i="1" s="1"/>
  <c r="U453" i="1"/>
  <c r="V453" i="1" s="1"/>
  <c r="U454" i="1"/>
  <c r="V454" i="1" s="1"/>
  <c r="U455" i="1"/>
  <c r="V455" i="1" s="1"/>
  <c r="U456" i="1"/>
  <c r="V456" i="1" s="1"/>
  <c r="U457" i="1"/>
  <c r="V457" i="1" s="1"/>
  <c r="U458" i="1"/>
  <c r="V458" i="1" s="1"/>
  <c r="U459" i="1"/>
  <c r="V459" i="1" s="1"/>
  <c r="U460" i="1"/>
  <c r="V460" i="1" s="1"/>
  <c r="U461" i="1"/>
  <c r="V461" i="1" s="1"/>
  <c r="U462" i="1"/>
  <c r="V462" i="1" s="1"/>
  <c r="U463" i="1"/>
  <c r="V463" i="1" s="1"/>
  <c r="U464" i="1"/>
  <c r="V464" i="1" s="1"/>
  <c r="U465" i="1"/>
  <c r="V465" i="1" s="1"/>
  <c r="U466" i="1"/>
  <c r="V466" i="1" s="1"/>
  <c r="U467" i="1"/>
  <c r="V467" i="1" s="1"/>
  <c r="U468" i="1"/>
  <c r="V468" i="1" s="1"/>
  <c r="U469" i="1"/>
  <c r="V469" i="1" s="1"/>
  <c r="U470" i="1"/>
  <c r="V470" i="1" s="1"/>
  <c r="U471" i="1"/>
  <c r="V471" i="1" s="1"/>
  <c r="U472" i="1"/>
  <c r="V472" i="1" s="1"/>
  <c r="U473" i="1"/>
  <c r="V473" i="1" s="1"/>
  <c r="U474" i="1"/>
  <c r="V474" i="1" s="1"/>
  <c r="U475" i="1"/>
  <c r="V475" i="1" s="1"/>
  <c r="U476" i="1"/>
  <c r="V476" i="1" s="1"/>
  <c r="U477" i="1"/>
  <c r="V477" i="1" s="1"/>
  <c r="U478" i="1"/>
  <c r="V478" i="1" s="1"/>
  <c r="U479" i="1"/>
  <c r="V479" i="1" s="1"/>
  <c r="U480" i="1"/>
  <c r="V480" i="1" s="1"/>
  <c r="U481" i="1"/>
  <c r="V481" i="1" s="1"/>
  <c r="U482" i="1"/>
  <c r="V482" i="1" s="1"/>
  <c r="U483" i="1"/>
  <c r="V483" i="1" s="1"/>
  <c r="U484" i="1"/>
  <c r="V484" i="1" s="1"/>
  <c r="U485" i="1"/>
  <c r="V485" i="1" s="1"/>
  <c r="U486" i="1"/>
  <c r="V486" i="1" s="1"/>
  <c r="U487" i="1"/>
  <c r="V487" i="1" s="1"/>
  <c r="U488" i="1"/>
  <c r="V488" i="1" s="1"/>
  <c r="U489" i="1"/>
  <c r="V489" i="1" s="1"/>
  <c r="U490" i="1"/>
  <c r="V490" i="1" s="1"/>
  <c r="U491" i="1"/>
  <c r="V491" i="1" s="1"/>
  <c r="U492" i="1"/>
  <c r="V492" i="1" s="1"/>
  <c r="U493" i="1"/>
  <c r="V493" i="1" s="1"/>
  <c r="U494" i="1"/>
  <c r="V494" i="1" s="1"/>
  <c r="U495" i="1"/>
  <c r="V495" i="1" s="1"/>
  <c r="U496" i="1"/>
  <c r="V496" i="1" s="1"/>
  <c r="U497" i="1"/>
  <c r="V497" i="1" s="1"/>
  <c r="U498" i="1"/>
  <c r="V498" i="1" s="1"/>
  <c r="U499" i="1"/>
  <c r="V499" i="1" s="1"/>
  <c r="U500" i="1"/>
  <c r="V500" i="1" s="1"/>
  <c r="U501" i="1"/>
  <c r="V501" i="1" s="1"/>
  <c r="U502" i="1"/>
  <c r="V502" i="1" s="1"/>
  <c r="U503" i="1"/>
  <c r="V503" i="1" s="1"/>
  <c r="U504" i="1"/>
  <c r="V504" i="1" s="1"/>
  <c r="U505" i="1"/>
  <c r="V505" i="1" s="1"/>
  <c r="U506" i="1"/>
  <c r="V506" i="1" s="1"/>
  <c r="U507" i="1"/>
  <c r="V507" i="1" s="1"/>
  <c r="U508" i="1"/>
  <c r="V508" i="1" s="1"/>
  <c r="U509" i="1"/>
  <c r="V509" i="1" s="1"/>
  <c r="U510" i="1"/>
  <c r="V510" i="1" s="1"/>
  <c r="U511" i="1"/>
  <c r="V511" i="1" s="1"/>
  <c r="U512" i="1"/>
  <c r="V512" i="1" s="1"/>
  <c r="U513" i="1"/>
  <c r="V513" i="1" s="1"/>
  <c r="U514" i="1"/>
  <c r="V514" i="1" s="1"/>
  <c r="U515" i="1"/>
  <c r="V515" i="1" s="1"/>
  <c r="U516" i="1"/>
  <c r="V516" i="1" s="1"/>
  <c r="U517" i="1"/>
  <c r="V517" i="1" s="1"/>
  <c r="U518" i="1"/>
  <c r="V518" i="1" s="1"/>
  <c r="U519" i="1"/>
  <c r="V519" i="1" s="1"/>
  <c r="U520" i="1"/>
  <c r="V520" i="1" s="1"/>
  <c r="U521" i="1"/>
  <c r="V521" i="1" s="1"/>
  <c r="U522" i="1"/>
  <c r="V522" i="1" s="1"/>
  <c r="U523" i="1"/>
  <c r="V523" i="1" s="1"/>
  <c r="U524" i="1"/>
  <c r="V524" i="1" s="1"/>
  <c r="U525" i="1"/>
  <c r="V525" i="1" s="1"/>
  <c r="U526" i="1"/>
  <c r="V526" i="1" s="1"/>
  <c r="U527" i="1"/>
  <c r="V527" i="1" s="1"/>
  <c r="U528" i="1"/>
  <c r="V528" i="1" s="1"/>
  <c r="U529" i="1"/>
  <c r="V529" i="1" s="1"/>
  <c r="U530" i="1"/>
  <c r="V530" i="1" s="1"/>
  <c r="U531" i="1"/>
  <c r="V531" i="1" s="1"/>
  <c r="U532" i="1"/>
  <c r="V532" i="1" s="1"/>
  <c r="U533" i="1"/>
  <c r="V533" i="1" s="1"/>
  <c r="U534" i="1"/>
  <c r="V534" i="1" s="1"/>
  <c r="U535" i="1"/>
  <c r="V535" i="1" s="1"/>
  <c r="U536" i="1"/>
  <c r="V536" i="1" s="1"/>
  <c r="U537" i="1"/>
  <c r="V537" i="1" s="1"/>
  <c r="U538" i="1"/>
  <c r="V538" i="1" s="1"/>
  <c r="U539" i="1"/>
  <c r="V539" i="1" s="1"/>
  <c r="U540" i="1"/>
  <c r="V540" i="1" s="1"/>
  <c r="U541" i="1"/>
  <c r="V541" i="1" s="1"/>
  <c r="U542" i="1"/>
  <c r="V542" i="1" s="1"/>
  <c r="U543" i="1"/>
  <c r="V543" i="1" s="1"/>
  <c r="U544" i="1"/>
  <c r="V544" i="1" s="1"/>
  <c r="U545" i="1"/>
  <c r="V545" i="1" s="1"/>
  <c r="U546" i="1"/>
  <c r="V546" i="1" s="1"/>
  <c r="U547" i="1"/>
  <c r="V547" i="1" s="1"/>
  <c r="U548" i="1"/>
  <c r="V548" i="1" s="1"/>
  <c r="U549" i="1"/>
  <c r="V549" i="1" s="1"/>
  <c r="U550" i="1"/>
  <c r="V550" i="1" s="1"/>
  <c r="U551" i="1"/>
  <c r="V551" i="1" s="1"/>
  <c r="U552" i="1"/>
  <c r="V552" i="1" s="1"/>
  <c r="U553" i="1"/>
  <c r="V553" i="1" s="1"/>
  <c r="U554" i="1"/>
  <c r="V554" i="1" s="1"/>
  <c r="U555" i="1"/>
  <c r="V555" i="1" s="1"/>
  <c r="U556" i="1"/>
  <c r="V556" i="1" s="1"/>
  <c r="U557" i="1"/>
  <c r="V557" i="1" s="1"/>
  <c r="U558" i="1"/>
  <c r="V558" i="1" s="1"/>
  <c r="U559" i="1"/>
  <c r="V559" i="1" s="1"/>
  <c r="U560" i="1"/>
  <c r="V560" i="1" s="1"/>
  <c r="U561" i="1"/>
  <c r="V561" i="1" s="1"/>
  <c r="U562" i="1"/>
  <c r="V562" i="1" s="1"/>
  <c r="U563" i="1"/>
  <c r="V563" i="1" s="1"/>
  <c r="U564" i="1"/>
  <c r="V564" i="1" s="1"/>
  <c r="U565" i="1"/>
  <c r="V565" i="1" s="1"/>
  <c r="U566" i="1"/>
  <c r="V566" i="1" s="1"/>
  <c r="U567" i="1"/>
  <c r="V567" i="1" s="1"/>
  <c r="U568" i="1"/>
  <c r="V568" i="1" s="1"/>
  <c r="U569" i="1"/>
  <c r="V569" i="1" s="1"/>
  <c r="U570" i="1"/>
  <c r="V570" i="1" s="1"/>
  <c r="U571" i="1"/>
  <c r="V571" i="1" s="1"/>
  <c r="U572" i="1"/>
  <c r="V572" i="1" s="1"/>
  <c r="U573" i="1"/>
  <c r="V573" i="1" s="1"/>
  <c r="U574" i="1"/>
  <c r="V574" i="1" s="1"/>
  <c r="U575" i="1"/>
  <c r="V575" i="1" s="1"/>
  <c r="U576" i="1"/>
  <c r="V576" i="1" s="1"/>
  <c r="U577" i="1"/>
  <c r="V577" i="1" s="1"/>
  <c r="U578" i="1"/>
  <c r="V578" i="1" s="1"/>
  <c r="U579" i="1"/>
  <c r="V579" i="1" s="1"/>
  <c r="U580" i="1"/>
  <c r="V580" i="1" s="1"/>
  <c r="U581" i="1"/>
  <c r="V581" i="1" s="1"/>
  <c r="U582" i="1"/>
  <c r="V582" i="1" s="1"/>
  <c r="U583" i="1"/>
  <c r="V583" i="1" s="1"/>
  <c r="U584" i="1"/>
  <c r="V584" i="1" s="1"/>
  <c r="U585" i="1"/>
  <c r="V585" i="1" s="1"/>
  <c r="U586" i="1"/>
  <c r="V586" i="1" s="1"/>
  <c r="U587" i="1"/>
  <c r="V587" i="1" s="1"/>
  <c r="U588" i="1"/>
  <c r="V588" i="1" s="1"/>
  <c r="U589" i="1"/>
  <c r="V589" i="1" s="1"/>
  <c r="U590" i="1"/>
  <c r="V590" i="1" s="1"/>
  <c r="U591" i="1"/>
  <c r="V591" i="1" s="1"/>
  <c r="U592" i="1"/>
  <c r="V592" i="1" s="1"/>
  <c r="U593" i="1"/>
  <c r="V593" i="1" s="1"/>
  <c r="U594" i="1"/>
  <c r="V594" i="1" s="1"/>
  <c r="U595" i="1"/>
  <c r="V595" i="1" s="1"/>
  <c r="U596" i="1"/>
  <c r="V596" i="1" s="1"/>
  <c r="U597" i="1"/>
  <c r="V597" i="1" s="1"/>
  <c r="U598" i="1"/>
  <c r="V598" i="1" s="1"/>
  <c r="U599" i="1"/>
  <c r="V599" i="1" s="1"/>
  <c r="U600" i="1"/>
  <c r="V600" i="1" s="1"/>
  <c r="U601" i="1"/>
  <c r="V601" i="1" s="1"/>
  <c r="U602" i="1"/>
  <c r="V602" i="1" s="1"/>
  <c r="U603" i="1"/>
  <c r="V603" i="1" s="1"/>
  <c r="U604" i="1"/>
  <c r="V604" i="1" s="1"/>
  <c r="U605" i="1"/>
  <c r="V605" i="1" s="1"/>
  <c r="U606" i="1"/>
  <c r="V606" i="1" s="1"/>
  <c r="U607" i="1"/>
  <c r="V607" i="1" s="1"/>
  <c r="U608" i="1"/>
  <c r="V608" i="1" s="1"/>
  <c r="U609" i="1"/>
  <c r="V609" i="1" s="1"/>
  <c r="U610" i="1"/>
  <c r="V610" i="1" s="1"/>
  <c r="U611" i="1"/>
  <c r="V611" i="1" s="1"/>
  <c r="U612" i="1"/>
  <c r="V612" i="1" s="1"/>
  <c r="U613" i="1"/>
  <c r="V613" i="1" s="1"/>
  <c r="U614" i="1"/>
  <c r="V614" i="1" s="1"/>
  <c r="U615" i="1"/>
  <c r="V615" i="1" s="1"/>
  <c r="U616" i="1"/>
  <c r="V616" i="1" s="1"/>
  <c r="U617" i="1"/>
  <c r="V617" i="1" s="1"/>
  <c r="U618" i="1"/>
  <c r="V618" i="1" s="1"/>
  <c r="U619" i="1"/>
  <c r="V619" i="1" s="1"/>
  <c r="U620" i="1"/>
  <c r="V620" i="1" s="1"/>
  <c r="U621" i="1"/>
  <c r="V621" i="1" s="1"/>
  <c r="U622" i="1"/>
  <c r="V622" i="1" s="1"/>
  <c r="U623" i="1"/>
  <c r="V623" i="1" s="1"/>
  <c r="U624" i="1"/>
  <c r="V624" i="1" s="1"/>
  <c r="U625" i="1"/>
  <c r="V625" i="1" s="1"/>
  <c r="U626" i="1"/>
  <c r="V626" i="1" s="1"/>
  <c r="U627" i="1"/>
  <c r="V627" i="1" s="1"/>
  <c r="U628" i="1"/>
  <c r="V628" i="1" s="1"/>
  <c r="U629" i="1"/>
  <c r="V629" i="1" s="1"/>
  <c r="U630" i="1"/>
  <c r="V630" i="1" s="1"/>
  <c r="U631" i="1"/>
  <c r="V631" i="1" s="1"/>
  <c r="U632" i="1"/>
  <c r="V632" i="1" s="1"/>
  <c r="U633" i="1"/>
  <c r="V633" i="1" s="1"/>
  <c r="U634" i="1"/>
  <c r="V634" i="1" s="1"/>
  <c r="U635" i="1"/>
  <c r="V635" i="1" s="1"/>
  <c r="U636" i="1"/>
  <c r="V636" i="1" s="1"/>
  <c r="U637" i="1"/>
  <c r="V637" i="1" s="1"/>
  <c r="U638" i="1"/>
  <c r="V638" i="1" s="1"/>
  <c r="U639" i="1"/>
  <c r="V639" i="1" s="1"/>
  <c r="U640" i="1"/>
  <c r="V640" i="1" s="1"/>
  <c r="U641" i="1"/>
  <c r="V641" i="1" s="1"/>
  <c r="U642" i="1"/>
  <c r="V642" i="1" s="1"/>
  <c r="U643" i="1"/>
  <c r="V643" i="1" s="1"/>
  <c r="U644" i="1"/>
  <c r="V644" i="1" s="1"/>
  <c r="U645" i="1"/>
  <c r="V645" i="1" s="1"/>
  <c r="U646" i="1"/>
  <c r="V646" i="1" s="1"/>
  <c r="U647" i="1"/>
  <c r="V647" i="1" s="1"/>
  <c r="U648" i="1"/>
  <c r="V648" i="1" s="1"/>
  <c r="U649" i="1"/>
  <c r="V649" i="1" s="1"/>
  <c r="U650" i="1"/>
  <c r="V650" i="1" s="1"/>
  <c r="U2" i="1"/>
  <c r="V2" i="1" s="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2" i="1"/>
  <c r="T635" i="1"/>
  <c r="T586" i="1"/>
  <c r="T561" i="1"/>
  <c r="T589" i="1"/>
  <c r="T596" i="1"/>
  <c r="T580" i="1"/>
  <c r="T629" i="1"/>
  <c r="T583" i="1"/>
  <c r="T548" i="1"/>
  <c r="T385" i="1"/>
  <c r="T529" i="1"/>
  <c r="T482" i="1"/>
  <c r="T423" i="1"/>
  <c r="T376" i="1"/>
  <c r="T520" i="1"/>
  <c r="T461" i="1"/>
  <c r="T390" i="1"/>
  <c r="T431" i="1"/>
  <c r="T499" i="1"/>
  <c r="T464" i="1"/>
  <c r="T429" i="1"/>
  <c r="T394" i="1"/>
  <c r="T383" i="1"/>
  <c r="T369" i="1"/>
  <c r="T354" i="1"/>
  <c r="T323" i="1"/>
  <c r="T329" i="1"/>
  <c r="T306" i="1"/>
  <c r="T287" i="1"/>
  <c r="T278" i="1"/>
  <c r="T316" i="1"/>
  <c r="T238" i="1"/>
  <c r="T265" i="1"/>
  <c r="T257" i="1"/>
  <c r="T224" i="1"/>
  <c r="T205" i="1"/>
  <c r="T208" i="1"/>
  <c r="T212" i="1"/>
  <c r="T188" i="1"/>
  <c r="T643" i="1"/>
  <c r="T598" i="1"/>
  <c r="T552" i="1"/>
  <c r="T601" i="1"/>
  <c r="T621" i="1"/>
  <c r="T592" i="1"/>
  <c r="T608" i="1"/>
  <c r="T595" i="1"/>
  <c r="T537" i="1"/>
  <c r="T397" i="1"/>
  <c r="T455" i="1"/>
  <c r="T494" i="1"/>
  <c r="T435" i="1"/>
  <c r="T388" i="1"/>
  <c r="T532" i="1"/>
  <c r="T473" i="1"/>
  <c r="T402" i="1"/>
  <c r="T420" i="1"/>
  <c r="T511" i="1"/>
  <c r="T476" i="1"/>
  <c r="T441" i="1"/>
  <c r="T406" i="1"/>
  <c r="T503" i="1"/>
  <c r="T346" i="1"/>
  <c r="T350" i="1"/>
  <c r="T335" i="1"/>
  <c r="T341" i="1"/>
  <c r="T273" i="1"/>
  <c r="T299" i="1"/>
  <c r="T290" i="1"/>
  <c r="T281" i="1"/>
  <c r="T645" i="1"/>
  <c r="T637" i="1"/>
  <c r="T622" i="1"/>
  <c r="T576" i="1"/>
  <c r="T625" i="1"/>
  <c r="T567" i="1"/>
  <c r="T616" i="1"/>
  <c r="T570" i="1"/>
  <c r="T619" i="1"/>
  <c r="T538" i="1"/>
  <c r="T421" i="1"/>
  <c r="T374" i="1"/>
  <c r="T518" i="1"/>
  <c r="T459" i="1"/>
  <c r="T412" i="1"/>
  <c r="T444" i="1"/>
  <c r="T497" i="1"/>
  <c r="T426" i="1"/>
  <c r="T391" i="1"/>
  <c r="T491" i="1"/>
  <c r="T500" i="1"/>
  <c r="T465" i="1"/>
  <c r="T430" i="1"/>
  <c r="T384" i="1"/>
  <c r="T370" i="1"/>
  <c r="T366" i="1"/>
  <c r="T336" i="1"/>
  <c r="T330" i="1"/>
  <c r="T297" i="1"/>
  <c r="T276" i="1"/>
  <c r="T314" i="1"/>
  <c r="T305" i="1"/>
  <c r="T239" i="1"/>
  <c r="T266" i="1"/>
  <c r="T647" i="1"/>
  <c r="T639" i="1"/>
  <c r="T551" i="1"/>
  <c r="T600" i="1"/>
  <c r="T554" i="1"/>
  <c r="T591" i="1"/>
  <c r="T572" i="1"/>
  <c r="T594" i="1"/>
  <c r="T620" i="1"/>
  <c r="T540" i="1"/>
  <c r="T445" i="1"/>
  <c r="T398" i="1"/>
  <c r="T395" i="1"/>
  <c r="T483" i="1"/>
  <c r="T436" i="1"/>
  <c r="T377" i="1"/>
  <c r="T521" i="1"/>
  <c r="T450" i="1"/>
  <c r="T415" i="1"/>
  <c r="T380" i="1"/>
  <c r="T524" i="1"/>
  <c r="T489" i="1"/>
  <c r="T454" i="1"/>
  <c r="T355" i="1"/>
  <c r="T359" i="1"/>
  <c r="T363" i="1"/>
  <c r="T337" i="1"/>
  <c r="T331" i="1"/>
  <c r="T321" i="1"/>
  <c r="T300" i="1"/>
  <c r="T291" i="1"/>
  <c r="T283" i="1"/>
  <c r="T263" i="1"/>
  <c r="T243" i="1"/>
  <c r="T648" i="1"/>
  <c r="T640" i="1"/>
  <c r="T563" i="1"/>
  <c r="T612" i="1"/>
  <c r="T566" i="1"/>
  <c r="T603" i="1"/>
  <c r="T557" i="1"/>
  <c r="T606" i="1"/>
  <c r="T609" i="1"/>
  <c r="T541" i="1"/>
  <c r="T457" i="1"/>
  <c r="T410" i="1"/>
  <c r="T468" i="1"/>
  <c r="T495" i="1"/>
  <c r="T448" i="1"/>
  <c r="T389" i="1"/>
  <c r="T533" i="1"/>
  <c r="T462" i="1"/>
  <c r="T427" i="1"/>
  <c r="T392" i="1"/>
  <c r="T467" i="1"/>
  <c r="T501" i="1"/>
  <c r="T466" i="1"/>
  <c r="T367" i="1"/>
  <c r="T371" i="1"/>
  <c r="T352" i="1"/>
  <c r="T326" i="1"/>
  <c r="T332" i="1"/>
  <c r="T274" i="1"/>
  <c r="T312" i="1"/>
  <c r="T303" i="1"/>
  <c r="T295" i="1"/>
  <c r="T240" i="1"/>
  <c r="T255" i="1"/>
  <c r="T259" i="1"/>
  <c r="T228" i="1"/>
  <c r="T192" i="1"/>
  <c r="T221" i="1"/>
  <c r="T185" i="1"/>
  <c r="T179" i="1"/>
  <c r="T649" i="1"/>
  <c r="T641" i="1"/>
  <c r="T575" i="1"/>
  <c r="T624" i="1"/>
  <c r="T578" i="1"/>
  <c r="T615" i="1"/>
  <c r="T569" i="1"/>
  <c r="T618" i="1"/>
  <c r="T534" i="1"/>
  <c r="T545" i="1"/>
  <c r="T469" i="1"/>
  <c r="T422" i="1"/>
  <c r="T504" i="1"/>
  <c r="T507" i="1"/>
  <c r="T460" i="1"/>
  <c r="T401" i="1"/>
  <c r="T407" i="1"/>
  <c r="T474" i="1"/>
  <c r="T439" i="1"/>
  <c r="T404" i="1"/>
  <c r="T396" i="1"/>
  <c r="T513" i="1"/>
  <c r="T478" i="1"/>
  <c r="T344" i="1"/>
  <c r="T348" i="1"/>
  <c r="T364" i="1"/>
  <c r="T338" i="1"/>
  <c r="T272" i="1"/>
  <c r="T286" i="1"/>
  <c r="T282" i="1"/>
  <c r="T315" i="1"/>
  <c r="T307" i="1"/>
  <c r="T252" i="1"/>
  <c r="T650" i="1"/>
  <c r="T642" i="1"/>
  <c r="T587" i="1"/>
  <c r="T584" i="1"/>
  <c r="T590" i="1"/>
  <c r="T627" i="1"/>
  <c r="T581" i="1"/>
  <c r="T630" i="1"/>
  <c r="T546" i="1"/>
  <c r="T542" i="1"/>
  <c r="T481" i="1"/>
  <c r="T434" i="1"/>
  <c r="T375" i="1"/>
  <c r="T519" i="1"/>
  <c r="T472" i="1"/>
  <c r="T413" i="1"/>
  <c r="T527" i="1"/>
  <c r="T486" i="1"/>
  <c r="T451" i="1"/>
  <c r="T416" i="1"/>
  <c r="T381" i="1"/>
  <c r="T525" i="1"/>
  <c r="T490" i="1"/>
  <c r="T356" i="1"/>
  <c r="T360" i="1"/>
  <c r="T353" i="1"/>
  <c r="T327" i="1"/>
  <c r="T284" i="1"/>
  <c r="T298" i="1"/>
  <c r="T277" i="1"/>
  <c r="T318" i="1"/>
  <c r="T319" i="1"/>
  <c r="T264" i="1"/>
  <c r="T244" i="1"/>
  <c r="T222" i="1"/>
  <c r="T230" i="1"/>
  <c r="T207" i="1"/>
  <c r="T632" i="1"/>
  <c r="T633" i="1"/>
  <c r="T562" i="1"/>
  <c r="T611" i="1"/>
  <c r="T565" i="1"/>
  <c r="T614" i="1"/>
  <c r="T556" i="1"/>
  <c r="T605" i="1"/>
  <c r="T559" i="1"/>
  <c r="T547" i="1"/>
  <c r="T544" i="1"/>
  <c r="T505" i="1"/>
  <c r="T458" i="1"/>
  <c r="T399" i="1"/>
  <c r="T419" i="1"/>
  <c r="T496" i="1"/>
  <c r="T437" i="1"/>
  <c r="T516" i="1"/>
  <c r="T510" i="1"/>
  <c r="T475" i="1"/>
  <c r="T440" i="1"/>
  <c r="T405" i="1"/>
  <c r="T492" i="1"/>
  <c r="T514" i="1"/>
  <c r="T345" i="1"/>
  <c r="T349" i="1"/>
  <c r="T322" i="1"/>
  <c r="T328" i="1"/>
  <c r="T308" i="1"/>
  <c r="T294" i="1"/>
  <c r="T301" i="1"/>
  <c r="T292" i="1"/>
  <c r="T249" i="1"/>
  <c r="T241" i="1"/>
  <c r="T268" i="1"/>
  <c r="T223" i="1"/>
  <c r="T232" i="1"/>
  <c r="T203" i="1"/>
  <c r="T634" i="1"/>
  <c r="T574" i="1"/>
  <c r="T623" i="1"/>
  <c r="T577" i="1"/>
  <c r="T626" i="1"/>
  <c r="T568" i="1"/>
  <c r="T617" i="1"/>
  <c r="T571" i="1"/>
  <c r="T536" i="1"/>
  <c r="T373" i="1"/>
  <c r="T517" i="1"/>
  <c r="T470" i="1"/>
  <c r="T411" i="1"/>
  <c r="T408" i="1"/>
  <c r="T508" i="1"/>
  <c r="T449" i="1"/>
  <c r="T378" i="1"/>
  <c r="T522" i="1"/>
  <c r="T487" i="1"/>
  <c r="T452" i="1"/>
  <c r="T417" i="1"/>
  <c r="T382" i="1"/>
  <c r="T526" i="1"/>
  <c r="T357" i="1"/>
  <c r="T361" i="1"/>
  <c r="T334" i="1"/>
  <c r="T340" i="1"/>
  <c r="T320" i="1"/>
  <c r="T275" i="1"/>
  <c r="T313" i="1"/>
  <c r="T304" i="1"/>
  <c r="T261" i="1"/>
  <c r="T253" i="1"/>
  <c r="T245" i="1"/>
  <c r="T235" i="1"/>
  <c r="T193" i="1"/>
  <c r="T613" i="1"/>
  <c r="T607" i="1"/>
  <c r="T506" i="1"/>
  <c r="T485" i="1"/>
  <c r="T488" i="1"/>
  <c r="T358" i="1"/>
  <c r="T285" i="1"/>
  <c r="T250" i="1"/>
  <c r="T270" i="1"/>
  <c r="T194" i="1"/>
  <c r="T198" i="1"/>
  <c r="T175" i="1"/>
  <c r="T183" i="1"/>
  <c r="T172" i="1"/>
  <c r="T165" i="1"/>
  <c r="T118" i="1"/>
  <c r="T123" i="1"/>
  <c r="T114" i="1"/>
  <c r="T110" i="1"/>
  <c r="T87" i="1"/>
  <c r="T82" i="1"/>
  <c r="T56" i="1"/>
  <c r="T62" i="1"/>
  <c r="T52" i="1"/>
  <c r="T33" i="1"/>
  <c r="T12" i="1"/>
  <c r="T7" i="1"/>
  <c r="S649" i="1"/>
  <c r="S586" i="1"/>
  <c r="S600" i="1"/>
  <c r="S626" i="1"/>
  <c r="S631" i="1"/>
  <c r="S520" i="1"/>
  <c r="S569" i="1"/>
  <c r="S554" i="1"/>
  <c r="S560" i="1"/>
  <c r="S562" i="1"/>
  <c r="S543" i="1"/>
  <c r="S506" i="1"/>
  <c r="S491" i="1"/>
  <c r="S478" i="1"/>
  <c r="S475" i="1"/>
  <c r="S473" i="1"/>
  <c r="S450" i="1"/>
  <c r="S432" i="1"/>
  <c r="S430" i="1"/>
  <c r="S319" i="1"/>
  <c r="S221" i="1"/>
  <c r="S248" i="1"/>
  <c r="S392" i="1"/>
  <c r="S213" i="1"/>
  <c r="S357" i="1"/>
  <c r="S226" i="1"/>
  <c r="S370" i="1"/>
  <c r="S227" i="1"/>
  <c r="S371" i="1"/>
  <c r="S306" i="1"/>
  <c r="S300" i="1"/>
  <c r="S328" i="1"/>
  <c r="S265" i="1"/>
  <c r="S409" i="1"/>
  <c r="S254" i="1"/>
  <c r="S398" i="1"/>
  <c r="S219" i="1"/>
  <c r="S363" i="1"/>
  <c r="S390" i="1"/>
  <c r="S176" i="1"/>
  <c r="S160" i="1"/>
  <c r="S152" i="1"/>
  <c r="S137" i="1"/>
  <c r="S124" i="1"/>
  <c r="S114" i="1"/>
  <c r="S103" i="1"/>
  <c r="S93" i="1"/>
  <c r="S82" i="1"/>
  <c r="S66" i="1"/>
  <c r="S57" i="1"/>
  <c r="S46" i="1"/>
  <c r="S35" i="1"/>
  <c r="S22" i="1"/>
  <c r="S9" i="1"/>
  <c r="T644" i="1"/>
  <c r="T573" i="1"/>
  <c r="T631" i="1"/>
  <c r="T530" i="1"/>
  <c r="T509" i="1"/>
  <c r="T512" i="1"/>
  <c r="T347" i="1"/>
  <c r="T309" i="1"/>
  <c r="T262" i="1"/>
  <c r="T247" i="1"/>
  <c r="T206" i="1"/>
  <c r="T210" i="1"/>
  <c r="T187" i="1"/>
  <c r="T145" i="1"/>
  <c r="T156" i="1"/>
  <c r="T154" i="1"/>
  <c r="T130" i="1"/>
  <c r="T135" i="1"/>
  <c r="T94" i="1"/>
  <c r="T103" i="1"/>
  <c r="T76" i="1"/>
  <c r="T83" i="1"/>
  <c r="T68" i="1"/>
  <c r="T35" i="1"/>
  <c r="T46" i="1"/>
  <c r="T22" i="1"/>
  <c r="T8" i="1"/>
  <c r="S650" i="1"/>
  <c r="S598" i="1"/>
  <c r="S612" i="1"/>
  <c r="S638" i="1"/>
  <c r="S593" i="1"/>
  <c r="S532" i="1"/>
  <c r="S581" i="1"/>
  <c r="S523" i="1"/>
  <c r="S572" i="1"/>
  <c r="S574" i="1"/>
  <c r="S555" i="1"/>
  <c r="S518" i="1"/>
  <c r="S492" i="1"/>
  <c r="S479" i="1"/>
  <c r="S464" i="1"/>
  <c r="S454" i="1"/>
  <c r="S451" i="1"/>
  <c r="S433" i="1"/>
  <c r="S187" i="1"/>
  <c r="S331" i="1"/>
  <c r="S317" i="1"/>
  <c r="S260" i="1"/>
  <c r="S404" i="1"/>
  <c r="S225" i="1"/>
  <c r="S369" i="1"/>
  <c r="S238" i="1"/>
  <c r="S382" i="1"/>
  <c r="S239" i="1"/>
  <c r="S383" i="1"/>
  <c r="S330" i="1"/>
  <c r="S312" i="1"/>
  <c r="S412" i="1"/>
  <c r="S277" i="1"/>
  <c r="S421" i="1"/>
  <c r="S266" i="1"/>
  <c r="S410" i="1"/>
  <c r="S231" i="1"/>
  <c r="S375" i="1"/>
  <c r="S177" i="1"/>
  <c r="S165" i="1"/>
  <c r="S161" i="1"/>
  <c r="S153" i="1"/>
  <c r="S138" i="1"/>
  <c r="S125" i="1"/>
  <c r="S115" i="1"/>
  <c r="S104" i="1"/>
  <c r="S88" i="1"/>
  <c r="S75" i="1"/>
  <c r="S67" i="1"/>
  <c r="S58" i="1"/>
  <c r="S45" i="1"/>
  <c r="S27" i="1"/>
  <c r="S17" i="1"/>
  <c r="S10" i="1"/>
  <c r="T588" i="1"/>
  <c r="T582" i="1"/>
  <c r="T386" i="1"/>
  <c r="T528" i="1"/>
  <c r="T480" i="1"/>
  <c r="T343" i="1"/>
  <c r="T342" i="1"/>
  <c r="T317" i="1"/>
  <c r="T246" i="1"/>
  <c r="T231" i="1"/>
  <c r="T197" i="1"/>
  <c r="T174" i="1"/>
  <c r="T181" i="1"/>
  <c r="T148" i="1"/>
  <c r="T164" i="1"/>
  <c r="T129" i="1"/>
  <c r="T121" i="1"/>
  <c r="T93" i="1"/>
  <c r="T109" i="1"/>
  <c r="T92" i="1"/>
  <c r="T67" i="1"/>
  <c r="T61" i="1"/>
  <c r="T51" i="1"/>
  <c r="T32" i="1"/>
  <c r="T28" i="1"/>
  <c r="T5" i="1"/>
  <c r="S647" i="1"/>
  <c r="S621" i="1"/>
  <c r="S635" i="1"/>
  <c r="S602" i="1"/>
  <c r="S628" i="1"/>
  <c r="S630" i="1"/>
  <c r="S545" i="1"/>
  <c r="S564" i="1"/>
  <c r="S536" i="1"/>
  <c r="S538" i="1"/>
  <c r="S566" i="1"/>
  <c r="S505" i="1"/>
  <c r="S490" i="1"/>
  <c r="S477" i="1"/>
  <c r="S486" i="1"/>
  <c r="S471" i="1"/>
  <c r="S448" i="1"/>
  <c r="S447" i="1"/>
  <c r="S428" i="1"/>
  <c r="T646" i="1"/>
  <c r="T602" i="1"/>
  <c r="T535" i="1"/>
  <c r="T387" i="1"/>
  <c r="T456" i="1"/>
  <c r="T393" i="1"/>
  <c r="T372" i="1"/>
  <c r="T310" i="1"/>
  <c r="T251" i="1"/>
  <c r="T271" i="1"/>
  <c r="T218" i="1"/>
  <c r="T199" i="1"/>
  <c r="T176" i="1"/>
  <c r="T157" i="1"/>
  <c r="T149" i="1"/>
  <c r="T166" i="1"/>
  <c r="T142" i="1"/>
  <c r="T124" i="1"/>
  <c r="T106" i="1"/>
  <c r="T99" i="1"/>
  <c r="T88" i="1"/>
  <c r="T84" i="1"/>
  <c r="T57" i="1"/>
  <c r="T47" i="1"/>
  <c r="T41" i="1"/>
  <c r="T34" i="1"/>
  <c r="T13" i="1"/>
  <c r="T9" i="1"/>
  <c r="S584" i="1"/>
  <c r="S610" i="1"/>
  <c r="S624" i="1"/>
  <c r="S591" i="1"/>
  <c r="S605" i="1"/>
  <c r="S544" i="1"/>
  <c r="S529" i="1"/>
  <c r="S535" i="1"/>
  <c r="S541" i="1"/>
  <c r="S552" i="1"/>
  <c r="S567" i="1"/>
  <c r="S507" i="1"/>
  <c r="S493" i="1"/>
  <c r="S480" i="1"/>
  <c r="S476" i="1"/>
  <c r="S455" i="1"/>
  <c r="S452" i="1"/>
  <c r="S434" i="1"/>
  <c r="S199" i="1"/>
  <c r="S343" i="1"/>
  <c r="S377" i="1"/>
  <c r="S272" i="1"/>
  <c r="S416" i="1"/>
  <c r="S237" i="1"/>
  <c r="S381" i="1"/>
  <c r="S250" i="1"/>
  <c r="S394" i="1"/>
  <c r="S251" i="1"/>
  <c r="S395" i="1"/>
  <c r="S402" i="1"/>
  <c r="S324" i="1"/>
  <c r="S209" i="1"/>
  <c r="S289" i="1"/>
  <c r="S256" i="1"/>
  <c r="S278" i="1"/>
  <c r="S422" i="1"/>
  <c r="S243" i="1"/>
  <c r="S387" i="1"/>
  <c r="S178" i="1"/>
  <c r="S173" i="1"/>
  <c r="S162" i="1"/>
  <c r="S146" i="1"/>
  <c r="S139" i="1"/>
  <c r="S126" i="1"/>
  <c r="S116" i="1"/>
  <c r="S98" i="1"/>
  <c r="S89" i="1"/>
  <c r="S76" i="1"/>
  <c r="S68" i="1"/>
  <c r="S59" i="1"/>
  <c r="S44" i="1"/>
  <c r="S28" i="1"/>
  <c r="S18" i="1"/>
  <c r="S4" i="1"/>
  <c r="T636" i="1"/>
  <c r="T555" i="1"/>
  <c r="T549" i="1"/>
  <c r="T447" i="1"/>
  <c r="T414" i="1"/>
  <c r="T453" i="1"/>
  <c r="T362" i="1"/>
  <c r="T311" i="1"/>
  <c r="T260" i="1"/>
  <c r="T234" i="1"/>
  <c r="T214" i="1"/>
  <c r="T211" i="1"/>
  <c r="T184" i="1"/>
  <c r="T169" i="1"/>
  <c r="T161" i="1"/>
  <c r="T155" i="1"/>
  <c r="T122" i="1"/>
  <c r="T136" i="1"/>
  <c r="T115" i="1"/>
  <c r="T111" i="1"/>
  <c r="T77" i="1"/>
  <c r="T85" i="1"/>
  <c r="T69" i="1"/>
  <c r="T36" i="1"/>
  <c r="T42" i="1"/>
  <c r="T23" i="1"/>
  <c r="T14" i="1"/>
  <c r="T10" i="1"/>
  <c r="S596" i="1"/>
  <c r="S622" i="1"/>
  <c r="S636" i="1"/>
  <c r="S603" i="1"/>
  <c r="S617" i="1"/>
  <c r="S556" i="1"/>
  <c r="S578" i="1"/>
  <c r="S547" i="1"/>
  <c r="S525" i="1"/>
  <c r="S527" i="1"/>
  <c r="S579" i="1"/>
  <c r="S519" i="1"/>
  <c r="S494" i="1"/>
  <c r="S488" i="1"/>
  <c r="S469" i="1"/>
  <c r="S456" i="1"/>
  <c r="S453" i="1"/>
  <c r="S435" i="1"/>
  <c r="S211" i="1"/>
  <c r="S355" i="1"/>
  <c r="S198" i="1"/>
  <c r="S284" i="1"/>
  <c r="S280" i="1"/>
  <c r="S249" i="1"/>
  <c r="S393" i="1"/>
  <c r="S262" i="1"/>
  <c r="S406" i="1"/>
  <c r="S263" i="1"/>
  <c r="S407" i="1"/>
  <c r="S192" i="1"/>
  <c r="S336" i="1"/>
  <c r="S365" i="1"/>
  <c r="S301" i="1"/>
  <c r="S400" i="1"/>
  <c r="S290" i="1"/>
  <c r="S208" i="1"/>
  <c r="S255" i="1"/>
  <c r="S399" i="1"/>
  <c r="S179" i="1"/>
  <c r="S175" i="1"/>
  <c r="S163" i="1"/>
  <c r="S147" i="1"/>
  <c r="S133" i="1"/>
  <c r="S127" i="1"/>
  <c r="S109" i="1"/>
  <c r="S99" i="1"/>
  <c r="S90" i="1"/>
  <c r="S77" i="1"/>
  <c r="S69" i="1"/>
  <c r="S60" i="1"/>
  <c r="S43" i="1"/>
  <c r="S29" i="1"/>
  <c r="S5" i="1"/>
  <c r="T638" i="1"/>
  <c r="T579" i="1"/>
  <c r="T539" i="1"/>
  <c r="T471" i="1"/>
  <c r="T438" i="1"/>
  <c r="T477" i="1"/>
  <c r="T351" i="1"/>
  <c r="T288" i="1"/>
  <c r="T242" i="1"/>
  <c r="T236" i="1"/>
  <c r="T195" i="1"/>
  <c r="T200" i="1"/>
  <c r="T177" i="1"/>
  <c r="T146" i="1"/>
  <c r="T150" i="1"/>
  <c r="T167" i="1"/>
  <c r="T119" i="1"/>
  <c r="T125" i="1"/>
  <c r="T95" i="1"/>
  <c r="T100" i="1"/>
  <c r="T89" i="1"/>
  <c r="T53" i="1"/>
  <c r="T58" i="1"/>
  <c r="T48" i="1"/>
  <c r="T43" i="1"/>
  <c r="T30" i="1"/>
  <c r="T15" i="1"/>
  <c r="T2" i="1"/>
  <c r="S608" i="1"/>
  <c r="S634" i="1"/>
  <c r="S589" i="1"/>
  <c r="S615" i="1"/>
  <c r="S629" i="1"/>
  <c r="S568" i="1"/>
  <c r="S522" i="1"/>
  <c r="S559" i="1"/>
  <c r="S537" i="1"/>
  <c r="S539" i="1"/>
  <c r="S502" i="1"/>
  <c r="S508" i="1"/>
  <c r="S495" i="1"/>
  <c r="S481" i="1"/>
  <c r="S474" i="1"/>
  <c r="S457" i="1"/>
  <c r="S441" i="1"/>
  <c r="S436" i="1"/>
  <c r="S223" i="1"/>
  <c r="S367" i="1"/>
  <c r="S318" i="1"/>
  <c r="S296" i="1"/>
  <c r="S304" i="1"/>
  <c r="S261" i="1"/>
  <c r="S405" i="1"/>
  <c r="S274" i="1"/>
  <c r="S418" i="1"/>
  <c r="S275" i="1"/>
  <c r="S419" i="1"/>
  <c r="S204" i="1"/>
  <c r="S348" i="1"/>
  <c r="S222" i="1"/>
  <c r="S313" i="1"/>
  <c r="S269" i="1"/>
  <c r="S302" i="1"/>
  <c r="S352" i="1"/>
  <c r="S267" i="1"/>
  <c r="S411" i="1"/>
  <c r="S180" i="1"/>
  <c r="S166" i="1"/>
  <c r="S157" i="1"/>
  <c r="S148" i="1"/>
  <c r="S134" i="1"/>
  <c r="S120" i="1"/>
  <c r="S110" i="1"/>
  <c r="S100" i="1"/>
  <c r="S83" i="1"/>
  <c r="S78" i="1"/>
  <c r="S61" i="1"/>
  <c r="S49" i="1"/>
  <c r="S36" i="1"/>
  <c r="S30" i="1"/>
  <c r="S13" i="1"/>
  <c r="S6" i="1"/>
  <c r="T550" i="1"/>
  <c r="T560" i="1"/>
  <c r="T543" i="1"/>
  <c r="T531" i="1"/>
  <c r="T498" i="1"/>
  <c r="T479" i="1"/>
  <c r="T365" i="1"/>
  <c r="T289" i="1"/>
  <c r="T254" i="1"/>
  <c r="T225" i="1"/>
  <c r="T219" i="1"/>
  <c r="T204" i="1"/>
  <c r="T189" i="1"/>
  <c r="T158" i="1"/>
  <c r="T162" i="1"/>
  <c r="T116" i="1"/>
  <c r="T131" i="1"/>
  <c r="T137" i="1"/>
  <c r="T107" i="1"/>
  <c r="T112" i="1"/>
  <c r="T78" i="1"/>
  <c r="T65" i="1"/>
  <c r="T70" i="1"/>
  <c r="T37" i="1"/>
  <c r="T44" i="1"/>
  <c r="T24" i="1"/>
  <c r="T16" i="1"/>
  <c r="S642" i="1"/>
  <c r="S620" i="1"/>
  <c r="S619" i="1"/>
  <c r="S601" i="1"/>
  <c r="S627" i="1"/>
  <c r="S641" i="1"/>
  <c r="S580" i="1"/>
  <c r="S534" i="1"/>
  <c r="S571" i="1"/>
  <c r="S549" i="1"/>
  <c r="S551" i="1"/>
  <c r="S514" i="1"/>
  <c r="S509" i="1"/>
  <c r="S496" i="1"/>
  <c r="S482" i="1"/>
  <c r="S465" i="1"/>
  <c r="S458" i="1"/>
  <c r="S442" i="1"/>
  <c r="S437" i="1"/>
  <c r="S235" i="1"/>
  <c r="S379" i="1"/>
  <c r="S366" i="1"/>
  <c r="S308" i="1"/>
  <c r="S364" i="1"/>
  <c r="S273" i="1"/>
  <c r="S417" i="1"/>
  <c r="S286" i="1"/>
  <c r="S244" i="1"/>
  <c r="S287" i="1"/>
  <c r="S220" i="1"/>
  <c r="S216" i="1"/>
  <c r="S360" i="1"/>
  <c r="S342" i="1"/>
  <c r="S325" i="1"/>
  <c r="S270" i="1"/>
  <c r="S314" i="1"/>
  <c r="S257" i="1"/>
  <c r="S279" i="1"/>
  <c r="S423" i="1"/>
  <c r="S181" i="1"/>
  <c r="S167" i="1"/>
  <c r="S158" i="1"/>
  <c r="S149" i="1"/>
  <c r="S135" i="1"/>
  <c r="S121" i="1"/>
  <c r="S111" i="1"/>
  <c r="S101" i="1"/>
  <c r="S84" i="1"/>
  <c r="S79" i="1"/>
  <c r="S62" i="1"/>
  <c r="S50" i="1"/>
  <c r="S37" i="1"/>
  <c r="S25" i="1"/>
  <c r="S14" i="1"/>
  <c r="S3" i="1"/>
  <c r="T610" i="1"/>
  <c r="T604" i="1"/>
  <c r="T409" i="1"/>
  <c r="T400" i="1"/>
  <c r="T379" i="1"/>
  <c r="T418" i="1"/>
  <c r="T324" i="1"/>
  <c r="T302" i="1"/>
  <c r="T248" i="1"/>
  <c r="T226" i="1"/>
  <c r="T196" i="1"/>
  <c r="T201" i="1"/>
  <c r="T178" i="1"/>
  <c r="T170" i="1"/>
  <c r="T168" i="1"/>
  <c r="T128" i="1"/>
  <c r="T143" i="1"/>
  <c r="T139" i="1"/>
  <c r="T102" i="1"/>
  <c r="T101" i="1"/>
  <c r="T90" i="1"/>
  <c r="T54" i="1"/>
  <c r="T59" i="1"/>
  <c r="T49" i="1"/>
  <c r="T45" i="1"/>
  <c r="T25" i="1"/>
  <c r="T17" i="1"/>
  <c r="S643" i="1"/>
  <c r="S632" i="1"/>
  <c r="S587" i="1"/>
  <c r="S613" i="1"/>
  <c r="S639" i="1"/>
  <c r="S607" i="1"/>
  <c r="S540" i="1"/>
  <c r="S546" i="1"/>
  <c r="S583" i="1"/>
  <c r="S561" i="1"/>
  <c r="S563" i="1"/>
  <c r="S503" i="1"/>
  <c r="S510" i="1"/>
  <c r="S497" i="1"/>
  <c r="S483" i="1"/>
  <c r="S466" i="1"/>
  <c r="S459" i="1"/>
  <c r="S443" i="1"/>
  <c r="S438" i="1"/>
  <c r="S247" i="1"/>
  <c r="S391" i="1"/>
  <c r="S426" i="1"/>
  <c r="S320" i="1"/>
  <c r="S197" i="1"/>
  <c r="S285" i="1"/>
  <c r="S292" i="1"/>
  <c r="S298" i="1"/>
  <c r="S424" i="1"/>
  <c r="S299" i="1"/>
  <c r="S376" i="1"/>
  <c r="S228" i="1"/>
  <c r="S372" i="1"/>
  <c r="S193" i="1"/>
  <c r="S337" i="1"/>
  <c r="S414" i="1"/>
  <c r="S326" i="1"/>
  <c r="S353" i="1"/>
  <c r="S291" i="1"/>
  <c r="S196" i="1"/>
  <c r="S182" i="1"/>
  <c r="S168" i="1"/>
  <c r="S159" i="1"/>
  <c r="S143" i="1"/>
  <c r="S136" i="1"/>
  <c r="S122" i="1"/>
  <c r="S112" i="1"/>
  <c r="S97" i="1"/>
  <c r="S85" i="1"/>
  <c r="S80" i="1"/>
  <c r="S63" i="1"/>
  <c r="S51" i="1"/>
  <c r="S38" i="1"/>
  <c r="S26" i="1"/>
  <c r="S15" i="1"/>
  <c r="S2" i="1"/>
  <c r="T585" i="1"/>
  <c r="T628" i="1"/>
  <c r="T433" i="1"/>
  <c r="T424" i="1"/>
  <c r="T403" i="1"/>
  <c r="T442" i="1"/>
  <c r="T325" i="1"/>
  <c r="T279" i="1"/>
  <c r="T267" i="1"/>
  <c r="T227" i="1"/>
  <c r="T220" i="1"/>
  <c r="T213" i="1"/>
  <c r="T190" i="1"/>
  <c r="T147" i="1"/>
  <c r="T151" i="1"/>
  <c r="T140" i="1"/>
  <c r="T120" i="1"/>
  <c r="T126" i="1"/>
  <c r="T96" i="1"/>
  <c r="T113" i="1"/>
  <c r="T79" i="1"/>
  <c r="T66" i="1"/>
  <c r="T71" i="1"/>
  <c r="T38" i="1"/>
  <c r="T19" i="1"/>
  <c r="T26" i="1"/>
  <c r="T18" i="1"/>
  <c r="S644" i="1"/>
  <c r="S585" i="1"/>
  <c r="S599" i="1"/>
  <c r="S625" i="1"/>
  <c r="S592" i="1"/>
  <c r="S594" i="1"/>
  <c r="S542" i="1"/>
  <c r="S558" i="1"/>
  <c r="S576" i="1"/>
  <c r="S573" i="1"/>
  <c r="S575" i="1"/>
  <c r="S515" i="1"/>
  <c r="S511" i="1"/>
  <c r="S498" i="1"/>
  <c r="S484" i="1"/>
  <c r="S467" i="1"/>
  <c r="S460" i="1"/>
  <c r="S444" i="1"/>
  <c r="S439" i="1"/>
  <c r="S259" i="1"/>
  <c r="S403" i="1"/>
  <c r="S188" i="1"/>
  <c r="S332" i="1"/>
  <c r="S389" i="1"/>
  <c r="S297" i="1"/>
  <c r="S293" i="1"/>
  <c r="S310" i="1"/>
  <c r="S281" i="1"/>
  <c r="S311" i="1"/>
  <c r="S233" i="1"/>
  <c r="S240" i="1"/>
  <c r="S384" i="1"/>
  <c r="S205" i="1"/>
  <c r="S349" i="1"/>
  <c r="S194" i="1"/>
  <c r="S338" i="1"/>
  <c r="S413" i="1"/>
  <c r="S303" i="1"/>
  <c r="S340" i="1"/>
  <c r="S183" i="1"/>
  <c r="S169" i="1"/>
  <c r="S154" i="1"/>
  <c r="S144" i="1"/>
  <c r="S129" i="1"/>
  <c r="S123" i="1"/>
  <c r="S105" i="1"/>
  <c r="S94" i="1"/>
  <c r="S86" i="1"/>
  <c r="S81" i="1"/>
  <c r="S52" i="1"/>
  <c r="S47" i="1"/>
  <c r="S39" i="1"/>
  <c r="S24" i="1"/>
  <c r="S16" i="1"/>
  <c r="T599" i="1"/>
  <c r="T593" i="1"/>
  <c r="T493" i="1"/>
  <c r="T484" i="1"/>
  <c r="T463" i="1"/>
  <c r="T502" i="1"/>
  <c r="T339" i="1"/>
  <c r="T280" i="1"/>
  <c r="T256" i="1"/>
  <c r="T233" i="1"/>
  <c r="T202" i="1"/>
  <c r="T215" i="1"/>
  <c r="T191" i="1"/>
  <c r="T159" i="1"/>
  <c r="T163" i="1"/>
  <c r="T134" i="1"/>
  <c r="T132" i="1"/>
  <c r="T138" i="1"/>
  <c r="T108" i="1"/>
  <c r="T104" i="1"/>
  <c r="T91" i="1"/>
  <c r="T63" i="1"/>
  <c r="T60" i="1"/>
  <c r="T50" i="1"/>
  <c r="T31" i="1"/>
  <c r="T29" i="1"/>
  <c r="T3" i="1"/>
  <c r="S645" i="1"/>
  <c r="S597" i="1"/>
  <c r="S611" i="1"/>
  <c r="S637" i="1"/>
  <c r="S604" i="1"/>
  <c r="S606" i="1"/>
  <c r="S521" i="1"/>
  <c r="S570" i="1"/>
  <c r="S530" i="1"/>
  <c r="S577" i="1"/>
  <c r="S528" i="1"/>
  <c r="S504" i="1"/>
  <c r="S512" i="1"/>
  <c r="S499" i="1"/>
  <c r="S487" i="1"/>
  <c r="S468" i="1"/>
  <c r="S461" i="1"/>
  <c r="S445" i="1"/>
  <c r="S440" i="1"/>
  <c r="S271" i="1"/>
  <c r="S415" i="1"/>
  <c r="S200" i="1"/>
  <c r="S344" i="1"/>
  <c r="S234" i="1"/>
  <c r="S309" i="1"/>
  <c r="S294" i="1"/>
  <c r="S322" i="1"/>
  <c r="S282" i="1"/>
  <c r="S323" i="1"/>
  <c r="S305" i="1"/>
  <c r="S252" i="1"/>
  <c r="S396" i="1"/>
  <c r="S217" i="1"/>
  <c r="S361" i="1"/>
  <c r="S206" i="1"/>
  <c r="S350" i="1"/>
  <c r="S246" i="1"/>
  <c r="S315" i="1"/>
  <c r="S245" i="1"/>
  <c r="S184" i="1"/>
  <c r="S170" i="1"/>
  <c r="S155" i="1"/>
  <c r="S145" i="1"/>
  <c r="S128" i="1"/>
  <c r="S117" i="1"/>
  <c r="S106" i="1"/>
  <c r="S95" i="1"/>
  <c r="S87" i="1"/>
  <c r="S70" i="1"/>
  <c r="S53" i="1"/>
  <c r="S48" i="1"/>
  <c r="S31" i="1"/>
  <c r="S23" i="1"/>
  <c r="S11" i="1"/>
  <c r="T564" i="1"/>
  <c r="T558" i="1"/>
  <c r="T432" i="1"/>
  <c r="T443" i="1"/>
  <c r="T523" i="1"/>
  <c r="T515" i="1"/>
  <c r="T333" i="1"/>
  <c r="T293" i="1"/>
  <c r="T269" i="1"/>
  <c r="T229" i="1"/>
  <c r="T216" i="1"/>
  <c r="T173" i="1"/>
  <c r="T180" i="1"/>
  <c r="T171" i="1"/>
  <c r="T152" i="1"/>
  <c r="T117" i="1"/>
  <c r="T144" i="1"/>
  <c r="T127" i="1"/>
  <c r="T97" i="1"/>
  <c r="T74" i="1"/>
  <c r="T80" i="1"/>
  <c r="T55" i="1"/>
  <c r="T72" i="1"/>
  <c r="T39" i="1"/>
  <c r="T20" i="1"/>
  <c r="T27" i="1"/>
  <c r="T4" i="1"/>
  <c r="S646" i="1"/>
  <c r="S609" i="1"/>
  <c r="S623" i="1"/>
  <c r="S590" i="1"/>
  <c r="S616" i="1"/>
  <c r="S618" i="1"/>
  <c r="S533" i="1"/>
  <c r="S582" i="1"/>
  <c r="S524" i="1"/>
  <c r="S526" i="1"/>
  <c r="S553" i="1"/>
  <c r="S516" i="1"/>
  <c r="S513" i="1"/>
  <c r="S500" i="1"/>
  <c r="S485" i="1"/>
  <c r="S470" i="1"/>
  <c r="S462" i="1"/>
  <c r="S446" i="1"/>
  <c r="S427" i="1"/>
  <c r="S283" i="1"/>
  <c r="S268" i="1"/>
  <c r="S212" i="1"/>
  <c r="S356" i="1"/>
  <c r="S354" i="1"/>
  <c r="S321" i="1"/>
  <c r="S190" i="1"/>
  <c r="S334" i="1"/>
  <c r="S191" i="1"/>
  <c r="S335" i="1"/>
  <c r="S329" i="1"/>
  <c r="S264" i="1"/>
  <c r="S408" i="1"/>
  <c r="S229" i="1"/>
  <c r="S373" i="1"/>
  <c r="S218" i="1"/>
  <c r="S362" i="1"/>
  <c r="S378" i="1"/>
  <c r="S327" i="1"/>
  <c r="S341" i="1"/>
  <c r="S185" i="1"/>
  <c r="S171" i="1"/>
  <c r="S156" i="1"/>
  <c r="S140" i="1"/>
  <c r="S130" i="1"/>
  <c r="S118" i="1"/>
  <c r="S107" i="1"/>
  <c r="S96" i="1"/>
  <c r="S72" i="1"/>
  <c r="S71" i="1"/>
  <c r="S54" i="1"/>
  <c r="S40" i="1"/>
  <c r="S32" i="1"/>
  <c r="S19" i="1"/>
  <c r="S12" i="1"/>
  <c r="T553" i="1"/>
  <c r="T597" i="1"/>
  <c r="T446" i="1"/>
  <c r="T425" i="1"/>
  <c r="T428" i="1"/>
  <c r="T368" i="1"/>
  <c r="T296" i="1"/>
  <c r="T237" i="1"/>
  <c r="T258" i="1"/>
  <c r="T217" i="1"/>
  <c r="T209" i="1"/>
  <c r="T186" i="1"/>
  <c r="T182" i="1"/>
  <c r="T160" i="1"/>
  <c r="T153" i="1"/>
  <c r="T141" i="1"/>
  <c r="T133" i="1"/>
  <c r="T105" i="1"/>
  <c r="T98" i="1"/>
  <c r="T75" i="1"/>
  <c r="T81" i="1"/>
  <c r="T64" i="1"/>
  <c r="T73" i="1"/>
  <c r="T40" i="1"/>
  <c r="T21" i="1"/>
  <c r="T11" i="1"/>
  <c r="T6" i="1"/>
  <c r="S648" i="1"/>
  <c r="S633" i="1"/>
  <c r="S588" i="1"/>
  <c r="S614" i="1"/>
  <c r="S640" i="1"/>
  <c r="S595" i="1"/>
  <c r="S557" i="1"/>
  <c r="S565" i="1"/>
  <c r="S548" i="1"/>
  <c r="S550" i="1"/>
  <c r="S531" i="1"/>
  <c r="S517" i="1"/>
  <c r="S501" i="1"/>
  <c r="S489" i="1"/>
  <c r="S463" i="1"/>
  <c r="S472" i="1"/>
  <c r="S449" i="1"/>
  <c r="S431" i="1"/>
  <c r="S429" i="1"/>
  <c r="S307" i="1"/>
  <c r="S388" i="1"/>
  <c r="S236" i="1"/>
  <c r="S380" i="1"/>
  <c r="S201" i="1"/>
  <c r="S345" i="1"/>
  <c r="S214" i="1"/>
  <c r="S358" i="1"/>
  <c r="S215" i="1"/>
  <c r="S359" i="1"/>
  <c r="S210" i="1"/>
  <c r="S288" i="1"/>
  <c r="S232" i="1"/>
  <c r="S253" i="1"/>
  <c r="S397" i="1"/>
  <c r="S242" i="1"/>
  <c r="S386" i="1"/>
  <c r="S207" i="1"/>
  <c r="S351" i="1"/>
  <c r="S258" i="1"/>
  <c r="S164" i="1"/>
  <c r="S172" i="1"/>
  <c r="S151" i="1"/>
  <c r="S142" i="1"/>
  <c r="S132" i="1"/>
  <c r="S113" i="1"/>
  <c r="S102" i="1"/>
  <c r="S92" i="1"/>
  <c r="S74" i="1"/>
  <c r="S65" i="1"/>
  <c r="S56" i="1"/>
  <c r="S42" i="1"/>
  <c r="S34" i="1"/>
  <c r="S21" i="1"/>
  <c r="S8" i="1"/>
  <c r="S203" i="1"/>
  <c r="S186" i="1"/>
  <c r="S33" i="1"/>
  <c r="S347" i="1"/>
  <c r="S174" i="1"/>
  <c r="S20" i="1"/>
  <c r="S401" i="1"/>
  <c r="S150" i="1"/>
  <c r="S7" i="1"/>
  <c r="T86" i="1"/>
  <c r="S276" i="1"/>
  <c r="S141" i="1"/>
  <c r="S295" i="1"/>
  <c r="S420" i="1"/>
  <c r="S131" i="1"/>
  <c r="S316" i="1"/>
  <c r="S241" i="1"/>
  <c r="S119" i="1"/>
  <c r="S224" i="1"/>
  <c r="S385" i="1"/>
  <c r="S108" i="1"/>
  <c r="S368" i="1"/>
  <c r="S230" i="1"/>
  <c r="S91" i="1"/>
  <c r="S202" i="1"/>
  <c r="S425" i="1"/>
  <c r="S41" i="1"/>
  <c r="S189" i="1"/>
  <c r="S374" i="1"/>
  <c r="S73" i="1"/>
  <c r="S339" i="1"/>
  <c r="S55" i="1"/>
  <c r="S346" i="1"/>
  <c r="S333" i="1"/>
  <c r="S195" i="1"/>
  <c r="S64" i="1"/>
  <c r="AD653" i="1" l="1"/>
  <c r="AG653" i="1"/>
  <c r="AE653" i="1"/>
  <c r="AI653" i="1"/>
  <c r="AK653" i="1"/>
  <c r="AN653" i="1"/>
  <c r="AQ653" i="1"/>
  <c r="AT653" i="1"/>
  <c r="AW653" i="1"/>
  <c r="BA653" i="1"/>
  <c r="AX653" i="1"/>
  <c r="BJ653" i="1"/>
  <c r="BG653" i="1"/>
  <c r="BD653" i="1"/>
  <c r="BR653" i="1"/>
  <c r="BO653" i="1"/>
  <c r="BX653" i="1"/>
  <c r="BU653" i="1"/>
  <c r="BY653" i="1"/>
  <c r="CC653" i="1"/>
  <c r="CE653" i="1"/>
  <c r="CH653" i="1"/>
  <c r="CK653" i="1"/>
  <c r="AJ653" i="1"/>
  <c r="AM653" i="1"/>
  <c r="AP653" i="1"/>
  <c r="AS653" i="1"/>
  <c r="AV653" i="1"/>
  <c r="BB653" i="1"/>
  <c r="AY653" i="1"/>
  <c r="BH653" i="1"/>
  <c r="BE653" i="1"/>
  <c r="BK653" i="1"/>
  <c r="BP653" i="1"/>
  <c r="BM653" i="1"/>
  <c r="BT653" i="1"/>
  <c r="BW653" i="1"/>
  <c r="BZ653" i="1"/>
  <c r="CF653" i="1"/>
  <c r="CG653" i="1"/>
  <c r="CJ653" i="1"/>
</calcChain>
</file>

<file path=xl/sharedStrings.xml><?xml version="1.0" encoding="utf-8"?>
<sst xmlns="http://schemas.openxmlformats.org/spreadsheetml/2006/main" count="4341" uniqueCount="3255">
  <si>
    <t>Name</t>
  </si>
  <si>
    <t>Title</t>
  </si>
  <si>
    <t>Domain</t>
  </si>
  <si>
    <t>BreachDate</t>
  </si>
  <si>
    <t>AddedDate</t>
  </si>
  <si>
    <t>ModifiedDate</t>
  </si>
  <si>
    <t>PwnCount</t>
  </si>
  <si>
    <t>Description</t>
  </si>
  <si>
    <t>LogoPath</t>
  </si>
  <si>
    <t>DataClasses</t>
  </si>
  <si>
    <t>IsVerified</t>
  </si>
  <si>
    <t>IsFabricated</t>
  </si>
  <si>
    <t>IsSensitive</t>
  </si>
  <si>
    <t>IsRetired</t>
  </si>
  <si>
    <t>IsSpamList</t>
  </si>
  <si>
    <t>IsMalware</t>
  </si>
  <si>
    <t>WEEKDAY</t>
  </si>
  <si>
    <t>MONTH</t>
  </si>
  <si>
    <t>Current WHOIS ORG</t>
  </si>
  <si>
    <t>WHOISNAME</t>
  </si>
  <si>
    <t>DiffBD_Days</t>
  </si>
  <si>
    <t>DiffBD_Months</t>
  </si>
  <si>
    <t>'Account balances'</t>
  </si>
  <si>
    <t>'Address book contacts'</t>
  </si>
  <si>
    <t>'Age groups'</t>
  </si>
  <si>
    <t>'Apps installed on devices'</t>
  </si>
  <si>
    <t>'Astrological signs'</t>
  </si>
  <si>
    <t>'Auth tokens'</t>
  </si>
  <si>
    <t>'Avatars'</t>
  </si>
  <si>
    <t>'Bank account numbers'</t>
  </si>
  <si>
    <t>'Beauty ratings'</t>
  </si>
  <si>
    <t>'Biometric data'</t>
  </si>
  <si>
    <t>'Bios'</t>
  </si>
  <si>
    <t xml:space="preserve">'Browser user agent details' </t>
  </si>
  <si>
    <t>'Buying preferences'</t>
  </si>
  <si>
    <t>'Car ownership statuses'</t>
  </si>
  <si>
    <t>'Cellular network names'</t>
  </si>
  <si>
    <t>'Charitable donations'</t>
  </si>
  <si>
    <t>'Chat logs'</t>
  </si>
  <si>
    <t>'Credit card CVV'</t>
  </si>
  <si>
    <t>'Credit cards'</t>
  </si>
  <si>
    <t>'Credit status information'</t>
  </si>
  <si>
    <t>'Customer feedback'</t>
  </si>
  <si>
    <t xml:space="preserve">'Customer interactions'  </t>
  </si>
  <si>
    <t>'Dates of birth'</t>
  </si>
  <si>
    <t>'Deceased statuses'</t>
  </si>
  <si>
    <t>'Device information'</t>
  </si>
  <si>
    <t>'Device serial numbers'</t>
  </si>
  <si>
    <t>'Device usage tracking data'</t>
  </si>
  <si>
    <t>'Drinking habits'</t>
  </si>
  <si>
    <t xml:space="preserve">'Drinking habits' </t>
  </si>
  <si>
    <t>'Drug habits'</t>
  </si>
  <si>
    <t>'Education levels'</t>
  </si>
  <si>
    <t>'Email addresses'</t>
  </si>
  <si>
    <t>'Employers'</t>
  </si>
  <si>
    <t xml:space="preserve">'Ethnicities' </t>
  </si>
  <si>
    <t>'Family members' names'</t>
  </si>
  <si>
    <t>'Family structure</t>
  </si>
  <si>
    <t>'Financial investments'</t>
  </si>
  <si>
    <t>'Financial transactions'</t>
  </si>
  <si>
    <t>'Fitness levels'</t>
  </si>
  <si>
    <t>'Flights taken'</t>
  </si>
  <si>
    <t>'Genders'</t>
  </si>
  <si>
    <t>'Geographic locations'</t>
  </si>
  <si>
    <t>'Government issued IDs'</t>
  </si>
  <si>
    <t xml:space="preserve">'Health insurance information' </t>
  </si>
  <si>
    <t>'Historical passwords'</t>
  </si>
  <si>
    <t>'HIV statuses'</t>
  </si>
  <si>
    <t>'Home loan information'</t>
  </si>
  <si>
    <t>'Home ownership statuses</t>
  </si>
  <si>
    <t>'Homepage URLs'</t>
  </si>
  <si>
    <t>'IMEI numbers'</t>
  </si>
  <si>
    <t xml:space="preserve">'IMSI numbers' </t>
  </si>
  <si>
    <t>'Income levels'</t>
  </si>
  <si>
    <t>'Instant messenger identities'</t>
  </si>
  <si>
    <t>'IP addresses'</t>
  </si>
  <si>
    <t xml:space="preserve">'Job applications' </t>
  </si>
  <si>
    <t xml:space="preserve">'Job titles' </t>
  </si>
  <si>
    <t>'Licence plates'</t>
  </si>
  <si>
    <t>'Login histories'</t>
  </si>
  <si>
    <t>'MAC addresses'</t>
  </si>
  <si>
    <t>'Marital statuses'</t>
  </si>
  <si>
    <t>'Mnemonic phrases'</t>
  </si>
  <si>
    <t>'Names'</t>
  </si>
  <si>
    <t>'Nationalities'</t>
  </si>
  <si>
    <t>'Net worths'</t>
  </si>
  <si>
    <t xml:space="preserve">'Nicknames' </t>
  </si>
  <si>
    <t>'Occupations'</t>
  </si>
  <si>
    <t>'Parenting plans</t>
  </si>
  <si>
    <t xml:space="preserve">'Partial credit card data' </t>
  </si>
  <si>
    <t>'Partial phone numbers'</t>
  </si>
  <si>
    <t>'Passport numbers'</t>
  </si>
  <si>
    <t>'Passwords'</t>
  </si>
  <si>
    <t>'Payment histories'</t>
  </si>
  <si>
    <t>'Payment methods'</t>
  </si>
  <si>
    <t>'Personal descriptions'</t>
  </si>
  <si>
    <t>'Personal health data'</t>
  </si>
  <si>
    <t>'Phone numbers'</t>
  </si>
  <si>
    <t>'Physical addresses'</t>
  </si>
  <si>
    <t>'Physical attributes'</t>
  </si>
  <si>
    <t>'PINs'</t>
  </si>
  <si>
    <t>'Political donations'</t>
  </si>
  <si>
    <t>'Political views'</t>
  </si>
  <si>
    <t>'Private messages'</t>
  </si>
  <si>
    <t>'Professional skills'</t>
  </si>
  <si>
    <t>'Profile photos'</t>
  </si>
  <si>
    <t>'Purchases'</t>
  </si>
  <si>
    <t>'Purchasing habits'</t>
  </si>
  <si>
    <t>'Races'</t>
  </si>
  <si>
    <t>'Recovery email addresses'</t>
  </si>
  <si>
    <t>'Relationship statuses'</t>
  </si>
  <si>
    <t xml:space="preserve">'Religions' </t>
  </si>
  <si>
    <t>'Reward program balances'</t>
  </si>
  <si>
    <t>'Salutations'</t>
  </si>
  <si>
    <t>'School grades (class levels)</t>
  </si>
  <si>
    <t>'Security questions and answers'</t>
  </si>
  <si>
    <t>'Sexual fetishes'</t>
  </si>
  <si>
    <t>'Sexual orientations'</t>
  </si>
  <si>
    <t>'Smoking habits'</t>
  </si>
  <si>
    <t>'SMS messages'</t>
  </si>
  <si>
    <t>'Social connections'</t>
  </si>
  <si>
    <t>'Social media profiles'</t>
  </si>
  <si>
    <t>'Social security numbers'</t>
  </si>
  <si>
    <t>'Spoken languages'</t>
  </si>
  <si>
    <t>'Survey results'</t>
  </si>
  <si>
    <t>'Time zones'</t>
  </si>
  <si>
    <t xml:space="preserve">'Travel habits' </t>
  </si>
  <si>
    <t>'User website URLs'</t>
  </si>
  <si>
    <t>'Usernames'</t>
  </si>
  <si>
    <t>'Vehicle details'</t>
  </si>
  <si>
    <t>'Vehicle identification numbers (VINs)'</t>
  </si>
  <si>
    <t>'Website activity'</t>
  </si>
  <si>
    <t>'Work habits'</t>
  </si>
  <si>
    <t>'Years of professional experience'</t>
  </si>
  <si>
    <t>000webhost</t>
  </si>
  <si>
    <t>000webhost.com</t>
  </si>
  <si>
    <t>In approximately March 2015, the free web hosting provider &lt;a href="http://www.troyhunt.com/2015/10/breaches-traders-plain-text-passwords.html" target="_blank" rel="noopener"&gt;000webhost suffered a major data breach&lt;/a&gt; that exposed almost 15 million customer records. The data was sold and traded before 000webhost was alerted in October. The breach included names, email addresses and plain text passwords.</t>
  </si>
  <si>
    <t>https://haveibeenpwned.com/Content/Images/PwnedLogos/000webhost.png</t>
  </si>
  <si>
    <t>['Email addresses', 'IP addresses', 'Names', 'Passwords']</t>
  </si>
  <si>
    <t>123RF</t>
  </si>
  <si>
    <t>123rf.com</t>
  </si>
  <si>
    <t>In March 2020, the stock photo site &lt;a href="https://www.bleepingcomputer.com/news/security/popular-stock-photo-service-hit-by-data-breach-83m-records-for-sale/" target="_blank" rel="noopener"&gt;123RF suffered a data breach&lt;/a&gt; which impacted over 8 million subscribers and was subsequently sold online. The breach included email, IP and physical addresses, names, phone numbers and passwords stored as MD5 hashes. The data was provided to HIBP by &lt;a href="https://dehashed.com/" target="_blank" rel="noopener"&gt;dehashed.com&lt;/a&gt;.</t>
  </si>
  <si>
    <t>https://haveibeenpwned.com/Content/Images/PwnedLogos/123RF.png</t>
  </si>
  <si>
    <t>['Email addresses', 'IP addresses', 'Names', 'Passwords', 'Phone numbers', 'Physical addresses', 'Usernames']</t>
  </si>
  <si>
    <t>126.com</t>
  </si>
  <si>
    <t>In approximately 2012, it's alleged that the Chinese email service known as &lt;a href="http://126.com" target="_blank" rel="noopener"&gt;126&lt;/a&gt; suffered a data breach that impacted 6.4 million subscribers. Whilst there is evidence that the data is legitimate, due to the difficulty of emphatically verifying the Chinese breach it has been flagged as &amp;quot;unverified&amp;quot;. The data in the breach contains email addresses and plain text passwords. &lt;a href="https://www.troyhunt.com/handling-chinese-data-breaches-in-have-i-been-pwned/" target="_blank" rel="noopener"&gt;Read more about Chinese data breaches in Have I Been Pwned.&lt;/a&gt;</t>
  </si>
  <si>
    <t>https://haveibeenpwned.com/Content/Images/PwnedLogos/126.png</t>
  </si>
  <si>
    <t>['Email addresses', 'Passwords']</t>
  </si>
  <si>
    <t>17Media</t>
  </si>
  <si>
    <t>17app.co</t>
  </si>
  <si>
    <t>In April 2016, customer data obtained from the streaming app known as &amp;quot;17&amp;quot; &lt;a href="http://motherboard.vice.com/read/another-day-another-hack-millions-of-user-accounts-for-streaming-app-17" target="_blank" rel="noopener"&gt;appeared listed for sale on a Tor hidden service marketplace&lt;/a&gt;. The data contained over 4 million unique email addresses along with IP addresses, usernames and passwords stored as unsalted MD5 hashes.</t>
  </si>
  <si>
    <t>https://haveibeenpwned.com/Content/Images/PwnedLogos/17Media.png</t>
  </si>
  <si>
    <t>['Device information', 'Email addresses', 'IP addresses', 'Passwords', 'Usernames']</t>
  </si>
  <si>
    <t>17173.com</t>
  </si>
  <si>
    <t>In late 2011, &lt;a href="https://news.softpedia.com/news/China-Investigates-Hacking-Operations-That-Exposed-100-Million-Users-244312.shtml" target="_blank" rel="noopener"&gt;a series of data breaches in China affected up to 100 million users&lt;/a&gt;, including 7.5 million from the gaming site known as 17173. Whilst there is evidence that the data is legitimate, due to the difficulty of emphatically verifying the Chinese breach it has been flagged as &amp;quot;unverified&amp;quot;. The data in the breach contains usernames, email addresses and salted MD5 password hashes and was provided with support from &lt;a href="https://dehashed.com/" target="_blank" rel="noopener"&gt;dehashed.com&lt;/a&gt;. &lt;a href="https://www.troyhunt.com/handling-chinese-data-breaches-in-have-i-been-pwned/" target="_blank" rel="noopener"&gt;Read more about Chinese data breaches in Have I Been Pwned.&lt;/a&gt;</t>
  </si>
  <si>
    <t>https://haveibeenpwned.com/Content/Images/PwnedLogos/17173.png</t>
  </si>
  <si>
    <t>['Email addresses', 'Passwords', 'Usernames']</t>
  </si>
  <si>
    <t>2844Breaches</t>
  </si>
  <si>
    <t>2,844 Separate Data Breaches</t>
  </si>
  <si>
    <t>In February 2018, &lt;a href="https://www.troyhunt.com/ive-just-added-2844-new-data-breaches-with-80m-records-to-have-i-been-pwned/" target="_blank" rel="noopener"&gt;a massive collection of almost 3,000 alleged data breaches was found online&lt;/a&gt;. Whilst some of the data had previously been seen in Have I Been Pwned, 2,844 of the files consisting of more than 80 million unique email addresses had not previously been seen. Each file contained both an email address and plain text password and were consequently loaded as a single &amp;quot;unverified&amp;quot; data breach.</t>
  </si>
  <si>
    <t>https://haveibeenpwned.com/Content/Images/PwnedLogos/List.png</t>
  </si>
  <si>
    <t>2fast4u</t>
  </si>
  <si>
    <t>2fast4u.be</t>
  </si>
  <si>
    <t>In December 2017, the Belgian motorcycle forum &lt;a href="https://www.2fast4u.be" target="_blank" rel="noopener"&gt;2fast4u&lt;/a&gt; discovered a data breach of their system. The breach of the vBulletin message board impacted over 17k individual users and exposed email addresses, usersnames and salted MD5 passwords.</t>
  </si>
  <si>
    <t>https://haveibeenpwned.com/Content/Images/PwnedLogos/2fast4u.png</t>
  </si>
  <si>
    <t>500px</t>
  </si>
  <si>
    <t>500px.com</t>
  </si>
  <si>
    <t>In mid-2018, the online photography community &lt;a href="https://support.500px.com/hc/en-us/articles/360017752493-Security-Issue-February-2019-FAQ" target="_blank" rel="noopener"&gt;500px suffered a data breach&lt;/a&gt;. The incident exposed almost 15 million unique email addresses alongside names, usernames, genders, dates of birth and either an MD5 or bcrypt password hash. In 2019, &lt;a href="https://www.theregister.co.uk/2019/02/11/620_million_hacked_accounts_dark_web/" target="_blank" rel="noopener"&gt;the data appeared listed for sale on a dark web marketplace&lt;/a&gt; (along with several other large breaches) and subsequently began circulating more broadly. The data was provided to HIBP by a source who requested it to be attributed to &amp;quot;BenjaminBlue@exploit.im&amp;quot;.</t>
  </si>
  <si>
    <t>https://haveibeenpwned.com/Content/Images/PwnedLogos/500px.png</t>
  </si>
  <si>
    <t>['Dates of birth', 'Email addresses', 'Genders', 'Geographic locations', 'Names', 'Passwords', 'Usernames']</t>
  </si>
  <si>
    <t>7k7k</t>
  </si>
  <si>
    <t>7k7k.com</t>
  </si>
  <si>
    <t>In approximately 2011, it's alleged that the Chinese gaming site known as &lt;a href="http://www.7k7k.com" target="_blank" rel="noopener"&gt;7k7k&lt;/a&gt; suffered a data breach that impacted 9.1 million subscribers. Whilst there is evidence that the data is legitimate, due to the difficulty of emphatically verifying the Chinese breach it has been flagged as &amp;quot;unverified&amp;quot;. The data in the breach contains usernames, email addresses and plain text passwords. &lt;a href="https://www.troyhunt.com/handling-chinese-data-breaches-in-have-i-been-pwned/" target="_blank" rel="noopener"&gt;Read more about Chinese data breaches in Have I Been Pwned.&lt;/a&gt;</t>
  </si>
  <si>
    <t>https://haveibeenpwned.com/Content/Images/PwnedLogos/7k7k.png</t>
  </si>
  <si>
    <t>8fit</t>
  </si>
  <si>
    <t>8fit.com</t>
  </si>
  <si>
    <t>In July 2018, the health and fitness service &lt;a href="https://8fit.zendesk.com/hc/en-us/articles/360017746394-Notice" target="_blank" rel="noopener"&gt;8fit suffered a data breach&lt;/a&gt;. The data subsequently appeared for sale on a dark web marketplace in February 2019 and included over 15M unique email addresses alongside names, genders, IP addresses and passwords stored as bcrypt hashes. The data was provided to HIBP by &lt;a href="https://dehashed.com/" target="_blank" rel="noopener"&gt;dehashed.com&lt;/a&gt;.</t>
  </si>
  <si>
    <t>https://haveibeenpwned.com/Content/Images/PwnedLogos/8fit.png</t>
  </si>
  <si>
    <t>['Email addresses', 'Genders', 'Geographic locations', 'IP addresses', 'Names', 'Passwords']</t>
  </si>
  <si>
    <t>8tracks</t>
  </si>
  <si>
    <t>8tracks.com</t>
  </si>
  <si>
    <t>In June 2017, the online playlists service known as &lt;a href="https://blog.8tracks.com/2017/06/27/password-security-alert/" target="_blank" rel="noopener"&gt;8Tracks suffered a data breach&lt;/a&gt; which impacted 18 million accounts. In their disclosure, 8Tracks advised that &amp;quot;the vector for the attack was an employeeÃ¢â‚¬â„¢s GitHub account, which was not secured using two-factor authentication&amp;quot;. Salted SHA-1 password hashes for users who &lt;em&gt;didn't&lt;/em&gt; sign up with either Google or Facebook authentication were also included. The data was provided to HIBP by whitehat security researcher and data analyst Adam Davies and contained almost 8 million unique email addresses. The complete set of 18M records was later provided by JimScott.Sec@protonmail.com and updated in HIBP accordingly.</t>
  </si>
  <si>
    <t>https://haveibeenpwned.com/Content/Images/PwnedLogos/8tracks.png</t>
  </si>
  <si>
    <t>Abandonia2022</t>
  </si>
  <si>
    <t>Abandonia (2022)</t>
  </si>
  <si>
    <t>abandonia.com</t>
  </si>
  <si>
    <t>In November 2022, the gaming website dedicated to classic DOS games &lt;a href="https://twitter.com/FalconFeedsio/status/1594670215471792130" target="_blank" rel="noopener"&gt;Abandonia&lt;/a&gt; suffered a data breach resulting in the exposure of 920k unique user records. This breach was in addition to another one 7 years earlier in 2015. The data contained email and IP addresses, usernames and salted MD5 hashes of passwords.</t>
  </si>
  <si>
    <t>https://haveibeenpwned.com/Content/Images/PwnedLogos/Abandonia.png</t>
  </si>
  <si>
    <t>['Email addresses', 'IP addresses', 'Passwords', 'Usernames']</t>
  </si>
  <si>
    <t>AbuseWithUs</t>
  </si>
  <si>
    <t>AbuseWith.Us</t>
  </si>
  <si>
    <t>abusewith.us</t>
  </si>
  <si>
    <t>In 2016, the site dedicated to helping people hack email and online gaming accounts known as Abusewith.us suffered multiple data breaches. The site &lt;a href="https://krebsonsecurity.com/2017/02/who-ran-leakedsource-com/" target="_blank" rel="noopener"&gt;allegedly had an administrator in common with the nefarious LeakedSource site&lt;/a&gt;, both of which have since been shut down. The exposed data included more than 1.3 million unique email addresses, often accompanied by usernames, IP addresses and plain text or hashed passwords retrieved from various sources and intended to be used to compromise the victims' accounts.</t>
  </si>
  <si>
    <t>https://haveibeenpwned.com/Content/Images/PwnedLogos/AbuseWithUs.png</t>
  </si>
  <si>
    <t>AcneOrg</t>
  </si>
  <si>
    <t>Acne.org</t>
  </si>
  <si>
    <t>acne.org</t>
  </si>
  <si>
    <t>In November 2014, the acne website &lt;a href="http://www.acne.org/" target="_blank" rel="noopener"&gt;acne.org&lt;/a&gt; suffered a data breach that exposed over 430k forum members' accounts. The data was being actively traded on underground forums and included email addresses, birth dates and passwords.</t>
  </si>
  <si>
    <t>https://haveibeenpwned.com/Content/Images/PwnedLogos/AcneOrg.png</t>
  </si>
  <si>
    <t>['Dates of birth', 'Email addresses', 'IP addresses', 'Passwords', 'Usernames']</t>
  </si>
  <si>
    <t>ActMobile</t>
  </si>
  <si>
    <t>actmobile.com</t>
  </si>
  <si>
    <t>In October 2021, &lt;a href="https://www.comparitech.com/blog/information-security/vpn-database-leak/" target="_blank" rel="noopener"&gt;security researcher Bob Diachenko discovered an exposed database he attributed to ActMobile, the operators of Dash VPN and FreeVPN&lt;/a&gt;. The exposed data included 1.6 million unique email addresses along with IP addresses and password hashes, all of which were subsequently leaked on a popular hacking forum. Although usage of the service was verified by HIBP subscribers, &lt;a href="https://www.databreaches.net/shoot-the-messenger-monday-edition-actmobile-threatens-researcher-whose-only-sin-was-trying-to-let-them-know-they-are-leaking-data/" target="_blank" rel="noopener"&gt;ActMobile denied the data was sourced from them&lt;/a&gt; and the breach has subsequently been flagged as &amp;quot;unverified&amp;quot;.</t>
  </si>
  <si>
    <t>https://haveibeenpwned.com/Content/Images/PwnedLogos/ActMobile.png</t>
  </si>
  <si>
    <t>['Email addresses', 'IP addresses']</t>
  </si>
  <si>
    <t>Adapt</t>
  </si>
  <si>
    <t>adapt.io</t>
  </si>
  <si>
    <t>In November 2018, &lt;a href="https://blog.hackenproof.com/industry-news/another-decision-makers-database-leaked/" target="_blank" rel="noopener"&gt;security researcher Bob Diachenko identified an unprotected database hosted by data aggregator &amp;quot;Adapt&amp;quot;&lt;/a&gt;. A provider of &amp;quot;Fresh Quality Contacts&amp;quot;, the service exposed over 9.3M unique records of individuals and employer information including their names, employers, job titles, contact information and data relating to the employer including organisation description, size and revenue. No response was received from Adapt when contacted.</t>
  </si>
  <si>
    <t>https://haveibeenpwned.com/Content/Images/PwnedLogos/Adapt.png</t>
  </si>
  <si>
    <t>['Email addresses', 'Employers', 'Job titles', 'Names', 'Phone numbers', 'Physical addresses', 'Social media profiles']</t>
  </si>
  <si>
    <t>Adecco</t>
  </si>
  <si>
    <t>adecco.com</t>
  </si>
  <si>
    <t>In March 2021, &lt;a href="https://cybernews.com/security/5-million-adecco-com-users-data-leaked/" target="_blank" rel="noopener"&gt;news broke of a massive data breach impacting millions of Adecco customers in South America&lt;/a&gt; which was subsequently sold on a popular hacking forum. The breach exposed over 4M unique email addresses as well as genders, dates of birth, marital statuses, phone numbers and passwords stored as bcrypt hashes.</t>
  </si>
  <si>
    <t>https://haveibeenpwned.com/Content/Images/PwnedLogos/Adecco.png</t>
  </si>
  <si>
    <t>['Email addresses', 'Genders', 'Geographic locations', 'Marital statuses', 'Names', 'Passwords', 'Phone numbers']</t>
  </si>
  <si>
    <t>ABFRL</t>
  </si>
  <si>
    <t>Aditya Birla Fashion and Retail</t>
  </si>
  <si>
    <t>abfrl.com</t>
  </si>
  <si>
    <t>In December 2021, Indian retailer &lt;a href="https://restoreprivacy.com/aditya-birla-fashion-and-retail-ltd-abfrl-hack-2022/" target="_blank" rel="noopener"&gt;Aditya Birla Fashion and Retail Ltd was breached and ransomed&lt;/a&gt;. The ransom demand was allegedly rejected and data containing 5.4M unique email addresses was subsequently dumped publicly on a popular hacking forum the next month. The data contained extensive personal customer information including names, phone numbers, physical addresses, DoBs, order histories and passwords stored as MD5 hashes. Employee data was also dumped publicly and included salary grades, marital statuses and religions. The data was provided to HIBP by a source who requested it be attributed to &amp;quot;white_peacock@riseup.net&amp;quot;.</t>
  </si>
  <si>
    <t>https://haveibeenpwned.com/Content/Images/PwnedLogos/ABFRL.png</t>
  </si>
  <si>
    <t>['Email addresses', 'Genders', 'Income levels', 'Job titles', 'Marital statuses', 'Names', 'Passwords', 'Phone numbers', 'Physical addresses', 'Purchases', 'Religions', 'Salutations']</t>
  </si>
  <si>
    <t>Adobe</t>
  </si>
  <si>
    <t>adobe.com</t>
  </si>
  <si>
    <t>In October 2013, 153 million Adobe accounts were breached with each containing an internal ID, username, email, &lt;em&gt;encrypted&lt;/em&gt; password and a password hint in plain text. The password cryptography was poorly done and many were quickly resolved back to plain text. The unencrypted hints also &lt;a href="http://www.troyhunt.com/2013/11/adobe-credentials-and-serious.html" target="_blank" rel="noopener"&gt;disclosed much about the passwords&lt;/a&gt; adding further to the risk that hundreds of millions of Adobe customers already faced.</t>
  </si>
  <si>
    <t>https://haveibeenpwned.com/Content/Images/PwnedLogos/Adobe.png</t>
  </si>
  <si>
    <t>['Email addresses', 'Password hints', 'Passwords', 'Usernames']</t>
  </si>
  <si>
    <t>AdultFriendFinder</t>
  </si>
  <si>
    <t>Adult FriendFinder (2015)</t>
  </si>
  <si>
    <t>adultfriendfinder.com</t>
  </si>
  <si>
    <t>In May 2015, the adult hookup site &lt;a href="http://www.bbc.com/news/business-32839196" target="_blank" rel="noopener"&gt;Adult FriendFinder was hacked&lt;/a&gt; and nearly 4 million records dumped publicly. The data dump included extremely sensitive personal information about individuals and their relationship statuses and sexual preferences combined with personally identifiable information.</t>
  </si>
  <si>
    <t>https://haveibeenpwned.com/Content/Images/PwnedLogos/AdultFriendFinder.png</t>
  </si>
  <si>
    <t>['Dates of birth', 'Email addresses', 'Genders', 'Geographic locations', 'IP addresses', 'Races', 'Relationship statuses', 'Sexual orientations', 'Spoken languages', 'Usernames']</t>
  </si>
  <si>
    <t>AdultFriendFinder2016</t>
  </si>
  <si>
    <t>Adult FriendFinder (2016)</t>
  </si>
  <si>
    <t>In October 2016, the adult entertainment company &lt;a href="https://www.zdnet.com/article/adultfriendfinder-network-hack-exposes-secrets-of-412-million-users/" target="_blank" rel="noopener"&gt;Friend Finder Networks suffered a massive data breach&lt;/a&gt;. The incident impacted multiple separate online assets owned by the company, the largest of which was the Adult FriendFinder website alleged to be &amp;quot;the world's largest sex &amp;amp; swinger community&amp;quot;. Exposed data included usernames, passwords stored as SHA-1 hashes and 170 million unique email addresses. This incident is separate to the 2015 data breach Adult FriendFinder also suffered. The data was provided to HIBP by &lt;a href="https://dehashed.com/" target="_blank" rel="noopener"&gt;dehashed.com&lt;/a&gt;.</t>
  </si>
  <si>
    <t>['Email addresses', 'Passwords', 'Spoken languages', 'Usernames']</t>
  </si>
  <si>
    <t>AdultFanFiction</t>
  </si>
  <si>
    <t>Adult-FanFiction.Org</t>
  </si>
  <si>
    <t>adult-fanfiction.org</t>
  </si>
  <si>
    <t>In May 2018, the website for sharing adult-orientated works of fiction known as &lt;a href="http://www.adult-fanfiction.org" target="_blank" rel="noopener"&gt;Adult-FanFiction.Org&lt;/a&gt; had 186k records exposed in a data breach. The data contained names, email addresses, dates of birth and passwords stored as &lt;em&gt;both&lt;/em&gt; MD5 hashes and plain text. AFF did not respond when contacted about the breach and the site was previously reported as compromised on the &lt;a href="https://vigilante.pw/" target="_blank" rel="noopener"&gt;Vigilante.pw&lt;/a&gt; breached database directory.</t>
  </si>
  <si>
    <t>https://haveibeenpwned.com/Content/Images/PwnedLogos/AdultFanFiction.png</t>
  </si>
  <si>
    <t>['Dates of birth', 'Email addresses', 'Names', 'Passwords']</t>
  </si>
  <si>
    <t>AerServ</t>
  </si>
  <si>
    <t>aerserv.com</t>
  </si>
  <si>
    <t>In April 2018, the ad management platform known as &lt;a href="https://www.aerserv.com/" target="_blank" rel="noopener"&gt;AerServ&lt;/a&gt; suffered a data breach. Acquired by InMobi earlier in the year, the AerServ breach impacted over 66k unique email addresses and also included contact information and passwords stored as salted SHA-512 hashes. The data was publicly posted to Twitter later in 2018 after which InMobi was notified and advised they were aware of the incident.</t>
  </si>
  <si>
    <t>https://haveibeenpwned.com/Content/Images/PwnedLogos/AerServ.png</t>
  </si>
  <si>
    <t>['Email addresses', 'Employers', 'Job titles', 'Names', 'Passwords', 'Phone numbers', 'Physical addresses']</t>
  </si>
  <si>
    <t>AgusiQTorrents</t>
  </si>
  <si>
    <t>AgusiQ-Torrents.pl</t>
  </si>
  <si>
    <t>agusiq-torrents.pl</t>
  </si>
  <si>
    <t>In September 2019, Polish torrent site &lt;a href="http://agusiq-torrents.pl/" target="_blank" rel="noopener"&gt;AgusiQ-Torrents.pl&lt;/a&gt; suffered a data breach. The incident exposed 90k member records including email and IP addresses, usernames and passwords stored as MD5 hashes.</t>
  </si>
  <si>
    <t>https://haveibeenpwned.com/Content/Images/PwnedLogos/AgusiQTorrents.png</t>
  </si>
  <si>
    <t>AhaShare</t>
  </si>
  <si>
    <t>AhaShare.com</t>
  </si>
  <si>
    <t>ahashare.com</t>
  </si>
  <si>
    <t>In May 2013, the torrent site &lt;a href="http://www.ahashare.com"&gt;AhaShare.com&lt;/a&gt; suffered a breach which resulted in more than 180k user accounts being published publicly. The breach included a raft of personal information on registered users plus despite assertions of not distributing personally identifiable information, the site also leaked the IP addresses used by the registered identities.</t>
  </si>
  <si>
    <t>https://haveibeenpwned.com/Content/Images/PwnedLogos/AhaShare.png</t>
  </si>
  <si>
    <t>['Email addresses', 'Genders', 'Geographic locations', 'IP addresses', 'Partial dates of birth', 'Passwords', 'Usernames', 'Website activity']</t>
  </si>
  <si>
    <t>AIType</t>
  </si>
  <si>
    <t>ai.type</t>
  </si>
  <si>
    <t>aitype.com</t>
  </si>
  <si>
    <t>In December 2017, the virtual keyboard application &lt;a href="https://mackeepersecurity.com/post/virtual-keyboard-developer-leaked-31-million-of-client-records" target="_blank" rel="noopener"&gt;ai.type was found to have left a huge amount of data publicly facing in an unsecured MongoDB instance&lt;/a&gt;. Discovered by researchers at The Kromtech Security Center, the 577GB data set included extensive personal information including over 20 million unique email addresses, social media profiles and address book contacts. The email addresses alone were provided to HIBP to enable impacted users to assess their exposure.</t>
  </si>
  <si>
    <t>https://haveibeenpwned.com/Content/Images/PwnedLogos/AIType.png</t>
  </si>
  <si>
    <t>['Address book contacts', 'Apps installed on devices', 'Cellular network names', 'Dates of birth', 'Device information', 'Email addresses', 'Genders', 'Geographic locations', 'IMEI numbers', 'IMSI numbers', 'IP addresses', 'Names', 'Phone numbers', 'Profile photos', 'Social media profiles']</t>
  </si>
  <si>
    <t>Aimware</t>
  </si>
  <si>
    <t>aimware.net</t>
  </si>
  <si>
    <t>In mid-2019, the video game cheats website &amp;quot;Aimware&amp;quot; suffered a data breach that exposed hundreds of thousands of subscribers' personal information. Data included email and IP addresses, usernames, forum posts, private messages, website activity and passwords stored as salted MD5 hashes. The data was provided to HIBP by a source who requested it be attributed to &amp;quot;clerk/anthrax/soontoberichh&amp;quot;.</t>
  </si>
  <si>
    <t>https://haveibeenpwned.com/Content/Images/PwnedLogos/Aimware.png</t>
  </si>
  <si>
    <t>['Email addresses', 'IP addresses', 'Passwords', 'Private messages', 'Usernames', 'Website activity']</t>
  </si>
  <si>
    <t>Aipai</t>
  </si>
  <si>
    <t>Aipai.com</t>
  </si>
  <si>
    <t>aipai.com</t>
  </si>
  <si>
    <t>In September 2016, data allegedly obtained from the Chinese gaming website known as &lt;a href="http://aipai.com" target="_blank" rel="noopener"&gt;Aipai.com&lt;/a&gt; and containing 6.5M accounts was leaked online. Whilst there is evidence that the data is legitimate, due to the difficulty of emphatically verifying the Chinese breach it has been flagged as &amp;quot;unverified&amp;quot;. The data in the breach contains email addresses and MD5 password hashes. &lt;a href="https://www.troyhunt.com/handling-chinese-data-breaches-in-have-i-been-pwned/" target="_blank" rel="noopener"&gt;Read more about Chinese data breaches in Have I Been Pwned.&lt;/a&gt;</t>
  </si>
  <si>
    <t>https://haveibeenpwned.com/Content/Images/PwnedLogos/Aipai.png</t>
  </si>
  <si>
    <t>Ajarn</t>
  </si>
  <si>
    <t>ajarn.com</t>
  </si>
  <si>
    <t>In September 2021, the Thai-based English language teaching website &lt;a href="https://www.ajarn.com/data-breach" target="_blank" rel="noopener"&gt;Ajarn discovered they'd been the victim of a data breach dating back to December 2018&lt;/a&gt;. The breach was self-submitted to HIBP and included 266k email addresses, names, genders, phone numbers and other personal information. Hashed passwords were also impacted in the breach.</t>
  </si>
  <si>
    <t>https://haveibeenpwned.com/Content/Images/PwnedLogos/Ajarn.png</t>
  </si>
  <si>
    <t>['Dates of birth', 'Education levels', 'Email addresses', 'Genders', 'Geographic locations', 'Job applications', 'Marital statuses', 'Names', 'Nationalities', 'Passwords', 'Phone numbers', 'Profile photos']</t>
  </si>
  <si>
    <t>AKP</t>
  </si>
  <si>
    <t>AKP Emails</t>
  </si>
  <si>
    <t>akparti.org.tr</t>
  </si>
  <si>
    <t>In July 2016, a hacker known as Phineas Fisher &lt;a href="https://motherboard.vice.com/en_us/article/yp3n55/phineas-fisher-turkish-government-hack" target="_blank" rel="noopener"&gt;hacked Turkey's ruling party (Justice and Development Party or &amp;quot;AKP&amp;quot;) and gained access to 300k emails&lt;/a&gt;. The full contents of the emails were subsequently &lt;a href="https://wikileaks.org/akp-emails/" target="_blank" rel="noopener"&gt;published by WikiLeaks and made searchable&lt;/a&gt;. HIBP identified over 917k unique email address patterns in the data set, including message IDs and a number of other non-user addresses.</t>
  </si>
  <si>
    <t>https://haveibeenpwned.com/Content/Images/PwnedLogos/AKP.png</t>
  </si>
  <si>
    <t>['Email addresses', 'Email messages']</t>
  </si>
  <si>
    <t>AmartFurniture</t>
  </si>
  <si>
    <t>Amart Furniture</t>
  </si>
  <si>
    <t>amartfurniture.com.au</t>
  </si>
  <si>
    <t>In May 2022, the Australian retailer &lt;a href="https://www.ozbargain.com.au/node/701231" target="_blank" rel="noopener"&gt;Amart Furniture advised that their warranty claims database hosted on Amazon Web Services had been the target of a cyber attack&lt;/a&gt;. Over 100k records containing email and physical address, names, phone numbers and passwords stored as bcrypt hashes were exposed and shared online by the attacker.</t>
  </si>
  <si>
    <t>https://haveibeenpwned.com/Content/Images/PwnedLogos/AmartFurniture.png</t>
  </si>
  <si>
    <t>['Email addresses', 'Names', 'Passwords', 'Phone numbers', 'Physical addresses']</t>
  </si>
  <si>
    <t>Ancestry</t>
  </si>
  <si>
    <t>ancestry.com</t>
  </si>
  <si>
    <t xml:space="preserve">In November 2015, an Ancestry service known as &lt;a href="https://blogs.ancestry.com/ancestry/2017/12/23/rootsweb-security-update/" target="_blank" rel="noopener"&gt;RootsWeb suffered a data breach&lt;/a&gt;. The breach was not discovered until late 2017 when a file containing almost 300k email addresses and plain text passwords was identified. </t>
  </si>
  <si>
    <t>https://haveibeenpwned.com/Content/Images/PwnedLogos/Ancestry.png</t>
  </si>
  <si>
    <t>AndroidForums</t>
  </si>
  <si>
    <t>Android Forums</t>
  </si>
  <si>
    <t>androidforums.com</t>
  </si>
  <si>
    <t>In October 2011, the Android Forums website &lt;a href="http://www.pcworld.com/article/259201/online_android_forum_hacked_user_data_accessed.html" target="_blank" rel="noopener"&gt;was hacked&lt;/a&gt; and 745k user accounts were subsequently leaked publicly. The compromised data included email addresses, user birth dates and passwords stored as a salted MD5 hash.</t>
  </si>
  <si>
    <t>https://haveibeenpwned.com/Content/Images/PwnedLogos/AndroidForums.png</t>
  </si>
  <si>
    <t>['Dates of birth', 'Email addresses', 'Homepage URLs', 'Instant messenger identities', 'IP addresses', 'Passwords']</t>
  </si>
  <si>
    <t>AnimalJam</t>
  </si>
  <si>
    <t>Animal Jam</t>
  </si>
  <si>
    <t>animaljam.com</t>
  </si>
  <si>
    <t>In October 2020, the online game for kids &lt;a href="https://www.animaljam.com/en/2020databreach" target="_blank" rel="noopener"&gt;Animal Jam suffered a data breach&lt;/a&gt; which was subsequently shared through online hacking communities the following month. The data contained 46 million user accounts with over 7 million unique email addresses. Impacted data also included usernames, IP addresses and for some records, dates of birth (sometimes in partial form), physical addresses, parent names and passwords stored as PBKDF2 hashes.</t>
  </si>
  <si>
    <t>https://haveibeenpwned.com/Content/Images/PwnedLogos/AnimalJam.png</t>
  </si>
  <si>
    <t>['Dates of birth', 'Email addresses', 'Genders', 'IP addresses', 'Names', 'Passwords', 'Physical addresses', 'Usernames']</t>
  </si>
  <si>
    <t>AnimeGame</t>
  </si>
  <si>
    <t>animegame.me</t>
  </si>
  <si>
    <t>In February 2020, the gaming website &lt;a href="http://animegame.me/" target="_blank" rel="noopener"&gt;AnimeGame&lt;/a&gt; suffered a data breach. The incident affected 1.4M subscribers and exposed email addresses, usernames and passwords stored as salted MD5 hashes. The data was subsequently shared on a popular hacking forum and was provided to HIBP by &lt;a href="https://dehashed.com/" target="_blank" rel="noopener"&gt;dehashed.com&lt;/a&gt;.</t>
  </si>
  <si>
    <t>https://haveibeenpwned.com/Content/Images/PwnedLogos/AnimeGame.png</t>
  </si>
  <si>
    <t>AnimePlanet</t>
  </si>
  <si>
    <t>Anime-Planet</t>
  </si>
  <si>
    <t>anime-planet.com</t>
  </si>
  <si>
    <t>In approximately 2016, the anime website &lt;a href="https://www.anime-planet.com/" target="_blank" rel="noopener"&gt;Anime-Planet&lt;/a&gt; suffered a data breach that impacted 369k subscribers. The exposed data included usernames, IP and email addresses, dates of birth and passwords stored as unsalted MD5 hashes and for newer accounts, bcrypt hashes. The data was provided to HIBP by &lt;a href="https://dehashed.com/" target="_blank" rel="noopener"&gt;dehashed.com&lt;/a&gt;.</t>
  </si>
  <si>
    <t>https://haveibeenpwned.com/Content/Images/PwnedLogos/AnimePlanet.png</t>
  </si>
  <si>
    <t>Animoto</t>
  </si>
  <si>
    <t>animoto.com</t>
  </si>
  <si>
    <t>In July 2018, the cloud-based video making service &lt;a href="https://techcrunch.com/2018/08/20/animoto-hack-exposes-personal-information-geolocation-data/" target="_blank" rel="noopener"&gt;Animoto suffered a data breach&lt;/a&gt;. The breach exposed 22 million unique email addresses alongside names, dates of birth, country of origin and salted password hashes. The data was provided to HIBP by a source who requested it be attributed to &amp;quot;JimScott.Sec@protonmail.com&amp;quot;.</t>
  </si>
  <si>
    <t>https://haveibeenpwned.com/Content/Images/PwnedLogos/Animoto.png</t>
  </si>
  <si>
    <t>['Dates of birth', 'Email addresses', 'Geographic locations', 'Names', 'Passwords']</t>
  </si>
  <si>
    <t>AntiPublic</t>
  </si>
  <si>
    <t>Anti Public Combo List</t>
  </si>
  <si>
    <t>In December 2016, a huge list of email address and password pairs appeared in a &amp;quot;combo list&amp;quot; referred to as &amp;quot;Anti Public&amp;quot;. The list contained 458 million unique email addresses, many with multiple different passwords hacked from various online systems. The list was broadly circulated and used for &amp;quot;credential stuffing&amp;quot;, that is attackers employ it in an attempt to identify other online systems where the account owner had reused their password. For detailed background on this incident, read &lt;a href="https://www.troyhunt.com/password-reuse-credential-stuffing-and-another-1-billion-records-in-have-i-been-pwned" target="_blank" rel="noopener"&gt;Password reuse, credential stuffing and another billion records in Have I Been Pwned&lt;/a&gt;.</t>
  </si>
  <si>
    <t>Apollo</t>
  </si>
  <si>
    <t>apollo.io</t>
  </si>
  <si>
    <t>In July 2018, the sales engagement startup &lt;a href="https://www.wired.com/story/apollo-breach-linkedin-salesforce-data/" target="_blank" rel="noopener"&gt;Apollo left a database containing billions of data points publicly exposed without a password&lt;/a&gt;. The data was discovered by security researcher &lt;a href="http://www.vinnytroia.com/" target="_blank" rel="noopener"&gt;Vinny Troia&lt;/a&gt; who subsequently sent a subset of the data containing 126 million unique email addresses to Have I Been Pwned. The data left exposed by Apollo was used in their &amp;quot;revenue acceleration platform&amp;quot; and included personal information such as names and email addresses as well as professional information including places of employment, the roles people hold and where they're located. Apollo stressed that the exposed data did not include sensitive information such as passwords, social security numbers or financial data. &lt;a href="https://www.apollo.io/contact" target="_blank" rel="noopener"&gt;The Apollo website has a contact form&lt;/a&gt; for those looking to get in touch with the organisation.</t>
  </si>
  <si>
    <t>https://haveibeenpwned.com/Content/Images/PwnedLogos/Apollo.png</t>
  </si>
  <si>
    <t>['Email addresses', 'Employers', 'Geographic locations', 'Job titles', 'Names', 'Phone numbers', 'Salutations', 'Social media profiles']</t>
  </si>
  <si>
    <t>Appartoo</t>
  </si>
  <si>
    <t>appartoo.com</t>
  </si>
  <si>
    <t>In March 2017, the French Flatsharing site known as &lt;a href="https://www.appartoo.com" target="_blank" rel="noopener"&gt;Appartoo&lt;/a&gt; suffered a data breach. The incident exposed an extensive amount of personal information on almost 50k members including email addresses, genders, ages, private messages sent between users of the service and passwords stored as SHA-256 hashes. Appartoo advised that all subscribers were notified of the incident in early 2017.</t>
  </si>
  <si>
    <t>https://haveibeenpwned.com/Content/Images/PwnedLogos/Appartoo.png</t>
  </si>
  <si>
    <t>['Ages', 'Auth tokens', 'Email addresses', 'Employment statuses', 'Genders', 'IP addresses', 'Marital statuses', 'Names', 'Passwords', 'Physical addresses', 'Private messages', 'Social media profiles']</t>
  </si>
  <si>
    <t>Appen</t>
  </si>
  <si>
    <t>appen.com</t>
  </si>
  <si>
    <t>In June 2020, the AI training data company &lt;a href="https://www.bleepingcomputer.com/news/security/hacker-leaks-386-million-user-records-from-18-companies-for-free/" target="_blank" rel="noopener"&gt;Appen suffered a data breach&lt;/a&gt; exposing the details of almost 5.9 million users which were subsequently sold online. Included in the breach were names, email addresses and passwords stored as bcrypt hashes. Some records also contained phone numbers, employers and IP addresses. The data was provided to HIBP by &lt;a href="https://dehashed.com/" target="_blank" rel="noopener"&gt;dehashed.com&lt;/a&gt;.</t>
  </si>
  <si>
    <t>https://haveibeenpwned.com/Content/Images/PwnedLogos/Appen.png</t>
  </si>
  <si>
    <t>['Email addresses', 'Employers', 'IP addresses', 'Names', 'Passwords', 'Phone numbers']</t>
  </si>
  <si>
    <t>Aptoide</t>
  </si>
  <si>
    <t>aptoide.com</t>
  </si>
  <si>
    <t>In April 2020, the independent Android app store &lt;a href="https://blog.aptoide.com/aptoide-credentials-information/" target="_blank" rel="noopener"&gt;Aptoide suffered a data breach&lt;/a&gt;. The incident resulted in the exposure of 20M customer records which were subsequently shared online via a popular hacking forum. Impacted data included email and IP addresses, names, IP addresses and passwords stored as SHA-1 hashes without a salt.</t>
  </si>
  <si>
    <t>https://haveibeenpwned.com/Content/Images/PwnedLogos/Aptoide.png</t>
  </si>
  <si>
    <t>['Browser user agent details', 'Email addresses', 'IP addresses', 'Names', 'Passwords']</t>
  </si>
  <si>
    <t>ArmorGames</t>
  </si>
  <si>
    <t>Armor Games</t>
  </si>
  <si>
    <t>armorgames.com</t>
  </si>
  <si>
    <t>In January 2019, the game portal website &lt;a href="https://techraptor.net/content/armor-games-data-breach-january-2019" target="_blank" rel="noopener"&gt;Armor Games suffered a data breach&lt;/a&gt;. A total of 10.6 million email addresses were impacted by the breach which also exposed usernames, IP addresses, birthdays of administrator accounts and passwords stored as salted SHA-1 hashes. The data was provided to HIBP by a source who requested it be attributed to &amp;quot;JimScott.Sec@protonmail.com&amp;quot;.</t>
  </si>
  <si>
    <t>https://haveibeenpwned.com/Content/Images/PwnedLogos/ArmorGames.png</t>
  </si>
  <si>
    <t>['Bios', 'Dates of birth', 'Email addresses', 'Genders', 'Geographic locations', 'IP addresses', 'Passwords', 'Usernames']</t>
  </si>
  <si>
    <t>ArmyForceOnline</t>
  </si>
  <si>
    <t>Army Force Online</t>
  </si>
  <si>
    <t>armyforceonline.com</t>
  </si>
  <si>
    <t>In May 2016, the online gaming site &lt;a href="http://armyforceonline.com" target="_blank" rel="noopener"&gt;Army Force Online&lt;/a&gt; suffered a data breach that exposed 1.5M accounts. The breached data was found being regularly traded online and included usernames, email and IP addresses and MD5 passwords.</t>
  </si>
  <si>
    <t>https://haveibeenpwned.com/Content/Images/PwnedLogos/ArmyForceOnline.png</t>
  </si>
  <si>
    <t>['Avatars', 'Email addresses', 'Geographic locations', 'IP addresses', 'Names', 'Passwords', 'Usernames', 'Website activity']</t>
  </si>
  <si>
    <t>Artsy</t>
  </si>
  <si>
    <t>artsy.net</t>
  </si>
  <si>
    <t>In April 2018, the online arts database &lt;a href="https://www.theregister.co.uk/2019/02/11/620_million_hacked_accounts_dark_web/" target="_blank" rel="noopener"&gt;Artsy suffered a data breach which consequently appeared for sale on a dark web marketplace&lt;/a&gt;. Over 1M accounts were impacted and included IP and email addresses, names and passwords stored as salted SHA-512 hashes. The data was provided to HIBP by a source who requested it be attributed to &amp;quot;nano@databases.pw&amp;quot;.</t>
  </si>
  <si>
    <t>https://haveibeenpwned.com/Content/Images/PwnedLogos/Artsy.png</t>
  </si>
  <si>
    <t>Artvalue</t>
  </si>
  <si>
    <t>artvalue.com</t>
  </si>
  <si>
    <t>In June 2019, the France-based art valuation website &lt;a href="http://artvalue.com/" target="_blank" rel="noopener"&gt;Artvalue.com&lt;/a&gt; left their 158k member subscriber base publicly exposed in a text file on their website. The exposed data included names, usernames, email addresses and passwords stored as MD5 hashes. The site operator did not respond when contacted about the incident, although the exposed file was subsequently removed.</t>
  </si>
  <si>
    <t>https://haveibeenpwned.com/Content/Images/PwnedLogos/Artvalue.png</t>
  </si>
  <si>
    <t>['Email addresses', 'Names', 'Passwords', 'Salutations', 'Usernames']</t>
  </si>
  <si>
    <t>AshleyMadison</t>
  </si>
  <si>
    <t>Ashley Madison</t>
  </si>
  <si>
    <t>ashleymadison.com</t>
  </si>
  <si>
    <t>In July 2015, the infidelity website Ashley Madison &lt;a href="http://krebsonsecurity.com/2015/07/online-cheating-site-ashleymadison-hacked/" target="_blank" rel="noopener"&gt;suffered a serious data breach&lt;/a&gt;. The attackers threatened Ashley Madison with the full disclosure of the breach unless the service was shut down. One month later, the database was dumped including more than 30M unique email addresses. This breach has been classed as &amp;quot;sensitive&amp;quot; and is not publicly searchable, although individuals may discover if they've been impacted by &lt;a href="https://haveibeenpwned.com/NotifyMe"&gt;registering for notifications&lt;/a&gt;. &lt;a href="http://www.troyhunt.com/2015/07/heres-how-im-going-to-handle-ashley.html" target="_blank" rel="noopener"&gt;Read about this approach in detail&lt;/a&gt;.</t>
  </si>
  <si>
    <t>https://haveibeenpwned.com/Content/Images/PwnedLogos/AshleyMadison.png</t>
  </si>
  <si>
    <t>['Dates of birth', 'Email addresses', 'Ethnicities', 'Genders', 'Names', 'Passwords', 'Payment histories', 'Phone numbers', 'Physical addresses', 'Security questions and answers', 'Sexual orientations', 'Usernames', 'Website activity']</t>
  </si>
  <si>
    <t>AstroPID</t>
  </si>
  <si>
    <t>Astropid</t>
  </si>
  <si>
    <t>astropid.com</t>
  </si>
  <si>
    <t>In December 2013, the vBulletin forum for the social engineering site known as "AstroPID" was breached and &lt;a href="https://www.sinister.ly/Thread-40-Compromised-databases" target="_blank" rel="noopener"&gt;leaked publicly&lt;/a&gt;. The site provided tips on fraudulently obtaining goods and services, often by providing a legitimate "PID" or Product Information Description. The breach resulted in nearly 6k user accounts and over 220k private messages between forum members being exposed.</t>
  </si>
  <si>
    <t>https://haveibeenpwned.com/Content/Images/PwnedLogos/AstroPID.png</t>
  </si>
  <si>
    <t>['Email addresses', 'Instant messenger identities', 'IP addresses', 'Names', 'Passwords', 'Private messages', 'Usernames', 'Website activity']</t>
  </si>
  <si>
    <t>Aternos</t>
  </si>
  <si>
    <t>aternos.org</t>
  </si>
  <si>
    <t>In December 2015, the service for creating and running free Minecraft servers known as &lt;a href="https://twitter.com/AternosStatus/status/696121828360716288" target="_blank" rel="noopener"&gt;Aternos suffered a data breach that impacted 1.4 million subscribers&lt;/a&gt;. The data included usernames, email and IP addresses and hashed passwords.</t>
  </si>
  <si>
    <t>https://haveibeenpwned.com/Content/Images/PwnedLogos/Aternos.png</t>
  </si>
  <si>
    <t>['Email addresses', 'IP addresses', 'Passwords', 'Usernames', 'Website activity']</t>
  </si>
  <si>
    <t>AtlasQuantum</t>
  </si>
  <si>
    <t>Atlas Quantum</t>
  </si>
  <si>
    <t>atlasquantum.com</t>
  </si>
  <si>
    <t>In August 2018, the cryptocurrency investment platform &lt;a href="https://www.facebook.com/notes/atlas-quantum/comunicado-importante/2196456297259749/" target="_blank" rel="noopener"&gt;Atlas Quantum suffered a data breach&lt;/a&gt;. The breach leaked the personal data of 261k investors on the platform including their names, phone numbers, email addresses and account balances.</t>
  </si>
  <si>
    <t>https://haveibeenpwned.com/Content/Images/PwnedLogos/AtlasQuantum.png</t>
  </si>
  <si>
    <t>['Account balances', 'Email addresses', 'Names', 'Phone numbers']</t>
  </si>
  <si>
    <t>Audi</t>
  </si>
  <si>
    <t>audiusa.com</t>
  </si>
  <si>
    <t>In August 2019, &lt;a href="https://techcrunch.com/2021/06/11/volkswagen-says-a-vendors-security-lapse-exposed-3-3-million-drivers-details/" target="_blank" rel="noopener"&gt;Audi USA suffered a data breach after a vendor left data unsecured and exposed on the internet&lt;/a&gt;. The data contained 2.7M unique email addresses along with names, phone numbers, physical addresses and vehicle information including VIN. In &lt;a href="https://techcrunch.com/2021/06/11/volkswagen-says-a-vendors-security-lapse-exposed-3-3-million-drivers-details/" target="_blank" rel="noopener"&gt;a disclosure statement from Audi&lt;/a&gt;, they also advised some customers had driver's licenses, dates of birth, social security numbers and other personal information exposed.</t>
  </si>
  <si>
    <t>https://haveibeenpwned.com/Content/Images/PwnedLogos/Audi.png</t>
  </si>
  <si>
    <t>['Dates of birth', "Driver's licenses", 'Email addresses', 'Names', 'Phone numbers', 'Physical addresses', 'Social security numbers', 'Vehicle details']</t>
  </si>
  <si>
    <t>Autocentrum</t>
  </si>
  <si>
    <t>Autocentrum.pl</t>
  </si>
  <si>
    <t>autocentrum.pl</t>
  </si>
  <si>
    <t>In February 2018, &lt;a href="https://niebezpiecznik.pl/post/wyciek-hasel-144-000-uzytkownikow-autocentrum-pl/" target="_blank" rel="noopener"&gt;data belonging to the Polish motoring website autocentrum.pl was found online&lt;/a&gt;. The data contained 144k email addresses and plain text passwords.</t>
  </si>
  <si>
    <t>https://haveibeenpwned.com/Content/Images/PwnedLogos/Autocentrum.png</t>
  </si>
  <si>
    <t>Autotrader</t>
  </si>
  <si>
    <t>autotrader.com</t>
  </si>
  <si>
    <t>In January 2023, &lt;a href="https://thecyberexpress.com/data1-4-million-autotrader-user-exposed/" target="_blank" rel="noopener"&gt;1.4M records from the Autotrader online vehicle marketplace appeared on a popular hacking forum&lt;/a&gt;. Autotrader stated that the &amp;quot;data in question relates to aged listing data that was generally publicly available on our site at the time and open to automated collection methods&amp;quot;. The data contained 20k unique email addresses alongside physical addresses and phone numbers of dealers and vehicle details including VIN numbers. The data was provided to HIBP by a source who requested it be attributed to &amp;quot;IntelBroker&amp;quot;.</t>
  </si>
  <si>
    <t>https://haveibeenpwned.com/Content/Images/PwnedLogos/Autotrader.png</t>
  </si>
  <si>
    <t>['Email addresses', 'Phone numbers', 'Physical addresses', 'Vehicle details', 'Vehicle identification numbers (VINs)']</t>
  </si>
  <si>
    <t>Avast</t>
  </si>
  <si>
    <t>avast.com</t>
  </si>
  <si>
    <t>In May 2014, &lt;a href="https://www.grahamcluley.com/2014/05/avast-forum-hacked/" target="_blank" rel="noopener"&gt;the Avast anti-virus forum was hacked&lt;/a&gt; and 423k member records were exposed. The Simple Machines Based forum included usernames, emails and password hashes.</t>
  </si>
  <si>
    <t>https://haveibeenpwned.com/Content/Images/PwnedLogos/Avast.png</t>
  </si>
  <si>
    <t>Avvo</t>
  </si>
  <si>
    <t>avvo.com</t>
  </si>
  <si>
    <t>In approximately December 2019, an alleged data breach of the lawyer directory service Avvo was published to an online hacking forum and used in an extortion scam (it's possible the exposure dates back earlier than that). The data contained 4.1M unique email addresses alongside SHA-1 hashes, most likely representing user passwords. &lt;a href="https://troyhunt.com/breach-disclosure-blow-by-blow-heres-why-its-so-hard" target="_blank" rel="noopener"&gt;Multiple attempts at contacting Avvo over the course of a week were unsuccessful and the authenticity of the data was eventually verified with common Avvo and HIBP subscribers.&lt;/a&gt;</t>
  </si>
  <si>
    <t>https://haveibeenpwned.com/Content/Images/PwnedLogos/Avvo.png</t>
  </si>
  <si>
    <t>B2BUSABusinesses</t>
  </si>
  <si>
    <t>B2B USA Businesses</t>
  </si>
  <si>
    <t>In mid-2017, a spam list of over 105 million individuals in corporate America was discovered online. Referred to as &amp;quot;B2B USA Businesses&amp;quot;, the list categorised email addresses by employer, providing information on individuals' job titles plus their work phone numbers and physical addresses. &lt;a href="https://www.troyhunt.com/have-i-been-pwned-and-spam-lists-of-personal-information" target="_blank" rel="noopener"&gt;Read more about spam lists in HIBP.&lt;/a&gt;</t>
  </si>
  <si>
    <t>https://haveibeenpwned.com/Content/Images/PwnedLogos/Email.png</t>
  </si>
  <si>
    <t>['Email addresses', 'Employers', 'Job titles', 'Names', 'Phone numbers', 'Physical addresses']</t>
  </si>
  <si>
    <t>BabyNames</t>
  </si>
  <si>
    <t>Baby Names</t>
  </si>
  <si>
    <t>babynames.com</t>
  </si>
  <si>
    <t>In approximately 2008, the site to help parents name their children known as &lt;a href="https://www.babynames.com/" target="_blank" rel="noopener"&gt;Baby Names&lt;/a&gt; suffered a data breach. The incident exposed 846k email addresses and passwords stored as salted MD5 hashes. When contacted in October 2018, Baby Names advised that &amp;quot;the breach happened at least ten years ago&amp;quot; and that members were notified at the time.</t>
  </si>
  <si>
    <t>https://haveibeenpwned.com/Content/Images/PwnedLogos/BabyNames.png</t>
  </si>
  <si>
    <t>Badoo</t>
  </si>
  <si>
    <t>badoo.com</t>
  </si>
  <si>
    <t>In June 2016, &lt;a href="http://motherboard.vice.com/read/another-day-another-hack-user-accounts-of-dating-site-badoo" target="_blank" rel="noopener"&gt;a data breach allegedly originating from the social website Badoo was found to be circulating amongst traders&lt;/a&gt;. Likely obtained several years earlier, the data contained 112 million unique email addresses with personal data including names, birthdates and passwords stored as MD5 hashes. Whilst there are many indicators suggesting Badoo did indeed suffer a data breach, &lt;a href="https://www.troyhunt.com/introducing-unverified-breaches-to-have-i-been-pwned" target="_blank" rel="noopener"&gt;the legitimacy of the data could not be emphatically proven&lt;/a&gt; so this breach has been categorised as &amp;quot;unverified&amp;quot;.</t>
  </si>
  <si>
    <t>https://haveibeenpwned.com/Content/Images/PwnedLogos/Badoo.png</t>
  </si>
  <si>
    <t>['Dates of birth', 'Email addresses', 'Genders', 'Names', 'Passwords', 'Usernames']</t>
  </si>
  <si>
    <t>BannerBit</t>
  </si>
  <si>
    <t>bannerbit.com</t>
  </si>
  <si>
    <t>In approximately December 2018, the online ad platform &lt;a href="https://bannerbit.com/" target="_blank" rel="noopener"&gt;BannerBit&lt;/a&gt; suffered a data breach. Containing 213k unique email addresses and plain text passwords, the data was provided to HIBP by a third party. Multiple attempts were made to contact BannerBit, but no response was received.</t>
  </si>
  <si>
    <t>https://haveibeenpwned.com/Content/Images/PwnedLogos/BannerBit.png</t>
  </si>
  <si>
    <t>Banorte</t>
  </si>
  <si>
    <t>banorte.com</t>
  </si>
  <si>
    <t>In August 2022, &lt;a href="https://krebsonsecurity.com/2022/08/when-efforts-to-contain-a-data-breach-backfire/" target="_blank" rel="noopener"&gt;millions of records from Mexican bank &amp;quot;Banorte&amp;quot; were publicly dumped on a popular hacking forum&lt;/a&gt; including 2.1M unique email addresses, physical addresses, names, phone numbers, RFC (tax) numbers, genders and bank balances. Banorte have stated that the data is &amp;quot;outdated&amp;quot;, although have not yet indicated how far back it dates to. Anecdotal feedback from HIBP subscribers suggests the data may date back 8 years to 2014.</t>
  </si>
  <si>
    <t>https://haveibeenpwned.com/Content/Images/PwnedLogos/Banorte.png</t>
  </si>
  <si>
    <t>['Account balances', 'Email addresses', 'Genders', 'Government issued IDs', 'Names', 'Phone numbers', 'Physical addresses']</t>
  </si>
  <si>
    <t>BattlefieldHeroes</t>
  </si>
  <si>
    <t>Battlefield Heroes</t>
  </si>
  <si>
    <t>battlefieldheroes.com</t>
  </si>
  <si>
    <t>In June 2011 as part of a final breached data dump, the hacker collective &amp;quot;LulzSec&amp;quot; &lt;a href="http://www.rockpapershotgun.com/2011/06/26/lulzsec-over-release-battlefield-heroes-data" target="_blank" rel="noopener"&gt;obtained and released over half a million usernames and passwords from the game Battlefield Heroes&lt;/a&gt;. The passwords were stored as MD5 hashes with no salt and many were easily converted back to their plain text versions.</t>
  </si>
  <si>
    <t>https://haveibeenpwned.com/Content/Images/PwnedLogos/BattlefieldHeroes.png</t>
  </si>
  <si>
    <t>['Passwords', 'Usernames']</t>
  </si>
  <si>
    <t>Battlefy</t>
  </si>
  <si>
    <t>battlefy.com</t>
  </si>
  <si>
    <t>In January 2016, the esports website &lt;a href="https://dotesports.com/general/news/battlefy-hack-data-breach-user-credentials-2800" target="_blank" rel="noopener"&gt;Battlefy suffered a data breach that exposed 83k customer records&lt;/a&gt;. The impacted data included email addresses, usernames and passwords stored as bcrypt hashes.</t>
  </si>
  <si>
    <t>https://haveibeenpwned.com/Content/Images/PwnedLogos/Battlefy.png</t>
  </si>
  <si>
    <t>BeautifulPeople</t>
  </si>
  <si>
    <t>Beautiful People</t>
  </si>
  <si>
    <t>beautifulpeople.com</t>
  </si>
  <si>
    <t>In November 2015, the dating website &lt;a href="http://www.forbes.com/sites/thomasbrewster/2016/04/25/beautiful-people-hack-sexual-preference-location-addresses/#26a2cdf7559f" target="_blank" rel="noopener"&gt;Beautiful People was hacked&lt;/a&gt; and over 1.1M accounts were leaked. The data was being traded in underground circles and included a huge amount of personal information related to dating.</t>
  </si>
  <si>
    <t>https://haveibeenpwned.com/Content/Images/PwnedLogos/BeautifulPeople.png</t>
  </si>
  <si>
    <t>['Beauty ratings', 'Car ownership statuses', 'Dates of birth', 'Drinking habits', 'Education levels', 'Email addresses', 'Genders', 'Geographic locations', 'Home ownership statuses', 'Income levels', 'IP addresses', 'Job titles', 'Names', 'Passwords', 'Personal descriptions', 'Personal interests', 'Physical attributes', 'Sexual orientations', 'Smoking habits', 'Website activity']</t>
  </si>
  <si>
    <t>Bell</t>
  </si>
  <si>
    <t>Bell (2014 breach)</t>
  </si>
  <si>
    <t>bell.ca</t>
  </si>
  <si>
    <t>In February 2014, &lt;a href="http://news.softpedia.com/news/Hackers-Claim-to-Have-Breached-Bell-Canada-s-Systems-422952.shtml?utm_medium=twitter&amp;utm_source=FredToadster" target="_blank" rel="noopener"&gt;Bell Canada suffered a data breach via the hacker collective known as NullCrew&lt;/a&gt;. The breach included data from multiple locations within Bell and exposed email addresses, usernames, user preferences and a number of unencrypted passwords and credit card data from 40,000 records containing just over 20,000 unique email addresses and usernames.</t>
  </si>
  <si>
    <t>https://haveibeenpwned.com/Content/Images/PwnedLogos/Bell.png</t>
  </si>
  <si>
    <t>['Credit cards', 'Genders', 'Passwords', 'Usernames']</t>
  </si>
  <si>
    <t>Bell2017</t>
  </si>
  <si>
    <t>Bell (2017 breach)</t>
  </si>
  <si>
    <t>In May 2017, &lt;a href="http://www.cbc.ca/beta/news/technology/bell-data-breach-customer-names-phone-numbers-emails-leak-1.4116608" target="_blank" rel="noopener"&gt;the Bell telecommunications company in Canada suffered a data breach&lt;/a&gt; resulting in the exposure of millions of customer records. The data was consequently leaked online with a message from the attacker stating that they were &amp;quot;releasing a significant portion of Bell.ca's data due to the fact that they have failed to cooperate with us&amp;quot; and included a threat to leak more. The impacted data included over 2 million unique email addresses and 153k survey results dating back to 2011 and 2012. There were also 162 Bell employee records with more comprehensive personal data including names, phone numbers and plain text &amp;quot;passcodes&amp;quot;. Bell suffered another breach in 2014 which exposed 40k records.</t>
  </si>
  <si>
    <t>['Email addresses', 'Geographic locations', 'IP addresses', 'Job titles', 'Names', 'Passwords', 'Phone numbers', 'Spoken languages', 'Survey results', 'Usernames']</t>
  </si>
  <si>
    <t>Benchmark</t>
  </si>
  <si>
    <t>benchmark.rs</t>
  </si>
  <si>
    <t>In November 2019, the Serbian technology news website &lt;a href="https://forum.benchmark.rs/threads/benchmark-forum-kompromitovan.489760/" target="_blank" rel="noopener"&gt;Benchmark suffered a breach of its forum&lt;/a&gt; that exposed 93k customer records. The breach exposed IP and email addresses, usernames and passwords stored as salted MD5 hashes. &lt;a href="https://forum.benchmark.rs/threads/benchmark-forum-kompromitovan.489760/#post-6758095" target="_blank" rel="noopener"&gt;A forum administrator subsequently advised that the breach was due to the forum previously running on an outdated vBulletin instance&lt;/a&gt;. The data was provided to HIBP by a source who requested it be attributed to &amp;quot;ZAN @ BF&amp;quot;.</t>
  </si>
  <si>
    <t>https://haveibeenpwned.com/Content/Images/PwnedLogos/Benchmark.png</t>
  </si>
  <si>
    <t>Bestialitysextaboo</t>
  </si>
  <si>
    <t>bestialitysextaboo.com</t>
  </si>
  <si>
    <t>In March 2018, the animal bestiality website known as &lt;a href="https://motherboard.vice.com/en_us/article/evqvpz/bestiality-website-hacked-troy-hunt-have-i-been-pwned" target="_blank" rel="noopener"&gt;Bestialitysextaboo was hacked&lt;/a&gt;. A collection of various sites running on the same service were also compromised and details of the hack (including links to the data) were posted on a popular forum. In all, more than 3.2k unique email addresses were included alongside usernames, IP addresses, dates of birth, genders and bcrypt hashes of passwords.</t>
  </si>
  <si>
    <t>https://haveibeenpwned.com/Content/Images/PwnedLogos/Bestialitysextaboo.png</t>
  </si>
  <si>
    <t>['Dates of birth', 'Email addresses', 'Genders', 'Geographic locations', 'IP addresses', 'Passwords', 'Private messages', 'Usernames']</t>
  </si>
  <si>
    <t>Bhinneka</t>
  </si>
  <si>
    <t>bhinneka.com</t>
  </si>
  <si>
    <t>In early 2020, the Indonesian consumer electronics website &lt;a href="https://www.thejakartapost.com/news/2020/05/13/e-commerce-platform-bhinneka-com-reported-to-be-latest-target-of-data-theft.html" target="_blank" rel="noopener"&gt;Bhinneka suffered a data breach that exposed almost 1.3M customer records&lt;/a&gt;. The data included email and physical addresses, names, genders, dates of birth, phone numbers and salted password hashes.</t>
  </si>
  <si>
    <t>https://haveibeenpwned.com/Content/Images/PwnedLogos/Bhinneka.png</t>
  </si>
  <si>
    <t>['Dates of birth', 'Email addresses', 'Genders', 'Names', 'Passwords', 'Phone numbers', 'Physical addresses']</t>
  </si>
  <si>
    <t>bigbasket</t>
  </si>
  <si>
    <t>bigbasket.com</t>
  </si>
  <si>
    <t>In October 2020, the Indian grocery platform &lt;a href="https://indianexpress.com/article/business/business-others/bigbasket-data-breach-user-details-leaked-dark-web-cyber-crime-7009578/" target="_blank" rel="noopener"&gt;bigbasket suffered a data breach that exposed over 20 million customer records&lt;/a&gt;. The data was originally sold before being leaked publicly in April the following year and included email, IP and physical addresses, names, phones numbers, dates of birth passwords stored as Django(SHA-1) hashes.</t>
  </si>
  <si>
    <t>https://haveibeenpwned.com/Content/Images/PwnedLogos/bigbasket.png</t>
  </si>
  <si>
    <t>['Dates of birth', 'Email addresses', 'IP addresses', 'Names', 'Passwords', 'Phone numbers', 'Physical addresses']</t>
  </si>
  <si>
    <t>BigMoneyJobs</t>
  </si>
  <si>
    <t>bigmoneyjobs.com</t>
  </si>
  <si>
    <t>In April 2014, the job site &lt;a href="http://www.bigmoneyjobs.com"&gt;bigmoneyjobs.com&lt;/a&gt; was &lt;a href="https://twitter.com/ProbablyOnion2/status/451477310319779841" target="_blank" rel="noopener"&gt;hacked by an attacker known as &amp;quot;ProbablyOnion&amp;quot;&lt;/a&gt;. The attack resulted in the &lt;a href="http://news.softpedia.com/news/BigMoneyJobs-Hacked-Details-of-36-000-Users-Leaked-Online-436250.shtml?utm_source=twitterfeed&amp;utm_medium=twitter&amp;utm_campaign=information_security" target="_blank" rel="noopener"&gt;exposure of over 36,000 user accounts&lt;/a&gt; including email addresses, usernames and passwords which were stored in plain text. The attack was allegedly mounted by exploiting a SQL injection vulnerability.</t>
  </si>
  <si>
    <t>https://haveibeenpwned.com/Content/Images/PwnedLogos/BigMoneyJobs.png</t>
  </si>
  <si>
    <t>['Career levels', 'Education levels', 'Email addresses', 'Names', 'Passwords', 'Phone numbers', 'Physical addresses', 'Salutations', 'User website URLs', 'Website activity']</t>
  </si>
  <si>
    <t>BinWeevils</t>
  </si>
  <si>
    <t>Bin Weevils</t>
  </si>
  <si>
    <t>binweevils.com</t>
  </si>
  <si>
    <t>In September 2014, the online game &lt;a href="http://blog.binweevils.com/2014/09/important-security-update/" target="_blank" rel="noopener"&gt;Bin Weevils suffered a data breach&lt;/a&gt;. Whilst originally stating that only usernames and passwords had been exposed, &lt;a href="https://www.databreaches.net/data-from-2014-hack-of-childrens-online-game-bin-weevils-leaked-online-hacker-claims-20m-records/" target="_blank" rel="noopener"&gt;a subsequent story on DataBreaches.net indicated that a more extensive set of personal attributes were impacted&lt;/a&gt; (comments there also suggest the data may have come from a later breach). Data matching that pattern was later provided to Have I Been Pwned by &lt;a href="https://twitter.com/akshayindia6" target="_blank" rel="noopener"&gt;@akshayindia6&lt;/a&gt; and included almost 1.3m unique email addresses, genders, ages and plain text passwords.</t>
  </si>
  <si>
    <t>https://haveibeenpwned.com/Content/Images/PwnedLogos/BinWeevils.png</t>
  </si>
  <si>
    <t>['Ages', 'Email addresses', 'Genders', 'IP addresses', 'Passwords', 'Usernames']</t>
  </si>
  <si>
    <t>BiohackMe</t>
  </si>
  <si>
    <t>Biohack.me</t>
  </si>
  <si>
    <t>biohack.me</t>
  </si>
  <si>
    <t>In December 2016, the forum for the biohacking website &lt;a href="https://forum.biohack.me/index.php?p=/discussion/2101/critical-website-server-compromised-read-this-action-needed" target="_blank" rel="noopener"&gt;Biohack.me suffered a data breach&lt;/a&gt; that exposed 3.4k accounts. The data included usernames, email addresses and hashed passwords along with the private messages of forum members. The data was self-submitted to HIBP by the Biohack.me operators.</t>
  </si>
  <si>
    <t>https://haveibeenpwned.com/Content/Images/PwnedLogos/BiohackMe.png</t>
  </si>
  <si>
    <t>['Email addresses', 'Passwords', 'Private messages', 'Usernames']</t>
  </si>
  <si>
    <t>BTSec</t>
  </si>
  <si>
    <t>Bitcoin Security Forum Gmail Dump</t>
  </si>
  <si>
    <t>forum.btcsec.com</t>
  </si>
  <si>
    <t>In September 2014, a large dump of nearly 5M usernames and passwords was &lt;a href="https://forum.btcsec.com/index.php?/topic/9426-gmail-meniai-parol/" target="_blank" rel="noopener"&gt;posted to a Russian Bitcoin forum&lt;/a&gt;. Whilst commonly reported as 5M &amp;quot;Gmail passwords&amp;quot;, the dump also contained 123k yandex.ru addresses. Whilst the origin of the breach remains unclear, the breached credentials were &lt;a href="http://web.archive.org/web/20140910190920/http://www.reddit.com/r/netsec/comments/2fz13q/5_millions_of_gmail_passwords_leaked_rus_most/" target="_blank" rel="noopener"&gt;confirmed by multiple source as correct&lt;/a&gt;, albeit a number of years old.</t>
  </si>
  <si>
    <t>https://haveibeenpwned.com/Content/Images/PwnedLogos/BTSec.png</t>
  </si>
  <si>
    <t>BitcoinTalk</t>
  </si>
  <si>
    <t>Bitcoin Talk</t>
  </si>
  <si>
    <t>bitcointalk.org</t>
  </si>
  <si>
    <t>In May 2015, the Bitcoin forum &lt;a href="https://www.cryptocoinsnews.com/bitcoin-exchange-btc-e-bitcointalk-forum-breaches-details-revealed/" target="_blank" rel="noopener"&gt;Bitcoin Talk was hacked&lt;/a&gt; and over 500k unique email addresses were exposed. The attack led to the exposure of a raft of personal data including usernames, email and IP addresses, genders, birth dates, security questions and MD5 hashes of their answers plus hashes of the passwords themselves.</t>
  </si>
  <si>
    <t>https://haveibeenpwned.com/Content/Images/PwnedLogos/BitcoinTalk.png</t>
  </si>
  <si>
    <t>['Dates of birth', 'Email addresses', 'Genders', 'IP addresses', 'Passwords', 'Security questions and answers', 'Usernames', 'Website activity']</t>
  </si>
  <si>
    <t>Bitly</t>
  </si>
  <si>
    <t>bitly.com</t>
  </si>
  <si>
    <t>In May 2014, the link management company &lt;a href="https://bitly.com/blog/urgent-security-update-regarding-your-bitly-account/" target="_blank" rel="noopener"&gt;Bitly announced they'd suffered a data breach&lt;/a&gt;. The breach contained over 9.3 million unique email addresses, usernames and hashed passwords, most using SHA1 with a small number using bcrypt.</t>
  </si>
  <si>
    <t>https://haveibeenpwned.com/Content/Images/PwnedLogos/Bitly.png</t>
  </si>
  <si>
    <t>BitTorrent</t>
  </si>
  <si>
    <t>bittorrent.com</t>
  </si>
  <si>
    <t>In January 2016, the forum for the popular torrent software &lt;a href="https://motherboard.vice.com/read/another-day-another-hack-user-accounts-for-bittorrents-forum-hacking" target="_blank" rel="noopener"&gt;BitTorrent was hacked&lt;/a&gt;. The IP.Board based forum stored passwords as weak SHA1 salted hashes and the breached data also included usernames, email and IP addresses.</t>
  </si>
  <si>
    <t>https://haveibeenpwned.com/Content/Images/PwnedLogos/BitTorrent.png</t>
  </si>
  <si>
    <t>BlackHatWorld</t>
  </si>
  <si>
    <t>Black Hat World</t>
  </si>
  <si>
    <t>blackhatworld.com</t>
  </si>
  <si>
    <t>In June 2014, the search engine optimisation forum &lt;a href="http://www.blackhatworld.com" target="_blank" rel="noopener"&gt;Black Hat World&lt;/a&gt; had three quarters of a million accounts breached from their system. The breach included various personally identifiable attributes which were publicly released in a MySQL database script.</t>
  </si>
  <si>
    <t>https://haveibeenpwned.com/Content/Images/PwnedLogos/BlackHatWorld.png</t>
  </si>
  <si>
    <t>['Dates of birth', 'Email addresses', 'Instant messenger identities', 'IP addresses', 'Passwords', 'Usernames', 'Website activity']</t>
  </si>
  <si>
    <t>BlackBerryFans</t>
  </si>
  <si>
    <t>BlackBerry Fans</t>
  </si>
  <si>
    <t>blackberryfans.org</t>
  </si>
  <si>
    <t>In May 2022, the Chinese BlackBerry enthusiasts website &lt;a href="http://blackberryfans.org/" target="_blank" rel="noopener"&gt;BlackBerry Fans&lt;/a&gt; suffered a data breach that exposed 174k member records. The impacted data included usernames, email and IP addresses and passwords stored as salted MD5 hashes.</t>
  </si>
  <si>
    <t>https://haveibeenpwned.com/Content/Images/PwnedLogos/BlackBerryFans.png</t>
  </si>
  <si>
    <t>BlackSpigotMC</t>
  </si>
  <si>
    <t>blackspigot.com</t>
  </si>
  <si>
    <t>In July 2019, the hacking website &lt;a href="https://blackspigot.com/" target="_blank" rel="noopener"&gt;BlackSpigotMC suffered a data breach&lt;/a&gt;. The XenForo forum based site was allegedly compromised by a rival hacking website and resulted in 8.5GB of data being leaked including the database and website itself. The exposed data included 140k unique email addresses, usernames, IP addresses, genders, geographic locations and passwords stored as bcrypt hashes.</t>
  </si>
  <si>
    <t>https://haveibeenpwned.com/Content/Images/PwnedLogos/BlackSpigotMC.png</t>
  </si>
  <si>
    <t>['Device information', 'Email addresses', 'Genders', 'Geographic locations', 'IP addresses', 'Passwords', 'Usernames']</t>
  </si>
  <si>
    <t>BlankMediaGames</t>
  </si>
  <si>
    <t>blankmediagames.com</t>
  </si>
  <si>
    <t>In December 2018, the Town of Salem website produced by &lt;a href="https://blog.dehashed.com/town-of-salem-blankmediagames-hacked/" target="_blank" rel="noopener"&gt;BlankMediaGames suffered a data breach&lt;/a&gt;. Reported to HIBP by &lt;a href="https://dehashed.com/" target="_blank" rel="noopener"&gt;DeHashed&lt;/a&gt;, the data contained 7.6M unique user email addresses alongside usernames, IP addresses, purchase histories and passwords stored as phpass hashes. DeHashed made multiple attempts to contact BlankMediaGames over various channels and many days but had yet to receive a response at the time of publishing.</t>
  </si>
  <si>
    <t>https://haveibeenpwned.com/Content/Images/PwnedLogos/BlankMediaGames.png</t>
  </si>
  <si>
    <t>['Browser user agent details', 'Email addresses', 'IP addresses', 'Passwords', 'Purchases', 'Usernames', 'Website activity']</t>
  </si>
  <si>
    <t>Bolt</t>
  </si>
  <si>
    <t>bolt.cd</t>
  </si>
  <si>
    <t>In approximately March 2017, the file sharing website &lt;a href="http://bolt.cd/" target="_blank" rel="noopener"&gt;Bolt&lt;/a&gt; suffered a data breach resulting in the exposure of 995k unique user records. The data was sourced from their vBulletin forum and contained email and IP addresses, usernames and salted MD5 password hashes. The site was previously reported as compromised on the &lt;a href="https://vigilante.pw/" target="_blank" rel="noopener"&gt;Vigilante.pw&lt;/a&gt; breached database directory.</t>
  </si>
  <si>
    <t>https://haveibeenpwned.com/Content/Images/PwnedLogos/Bolt.png</t>
  </si>
  <si>
    <t>BombujEu</t>
  </si>
  <si>
    <t>Bombuj.eu</t>
  </si>
  <si>
    <t>bombuj.eu</t>
  </si>
  <si>
    <t>In December 2018, the Slovak website for watching movies online for free &lt;a href="https://www.bombuj.eu" target="_blank" rel="noopener"&gt;Bombuj.eu&lt;/a&gt; suffered a data breach. The incident exposed over 575k unique email addresses and passwords stored as unsalted MD5 hashes. No response was received from Bombuj.eu when contacted about the incident.</t>
  </si>
  <si>
    <t>https://haveibeenpwned.com/Content/Images/PwnedLogos/BombujEu.png</t>
  </si>
  <si>
    <t>Bonobos</t>
  </si>
  <si>
    <t>bonobos.com</t>
  </si>
  <si>
    <t>In August 2020, the clothing store &lt;a href="https://www.bleepingcomputer.com/news/security/bonobos-clothing-store-suffers-a-data-breach-hacker-leaks-70gb-database/" target="_blank" rel="noopener"&gt;Bonobos suffered a data breach&lt;/a&gt; that exposed almost 70GB of data containing 2.8 million unique email addresses. The breach also exposed names, physical and IP addresses, phone numbers, order histories and passwords stored as salted SHA-512 hashes, including historical passwords. The breach also exposed partial credit card data including card type, the name on the card, expiry date and the last 4 digits of the card. The data was provided to HIBP by &lt;a href="https://dehashed.com/" target="_blank" rel="noopener"&gt;dehashed.com&lt;/a&gt;.</t>
  </si>
  <si>
    <t>https://haveibeenpwned.com/Content/Images/PwnedLogos/Bonobos.png</t>
  </si>
  <si>
    <t>['Email addresses', 'Historical passwords', 'IP addresses', 'Names', 'Partial credit card data', 'Passwords', 'Phone numbers', 'Physical addresses', 'Purchases']</t>
  </si>
  <si>
    <t>Bookchor</t>
  </si>
  <si>
    <t>bookchor.com</t>
  </si>
  <si>
    <t>In January 2021, the Indian book trading website &lt;a href="https://www.opindia.com/2021/04/bookchor-data-breach-information-of-over-5-lakh-users-leaked-what-we-know-so-far/" target="_blank" rel="noopener"&gt;Bookchor suffered a data breach that exposed half a million customer records&lt;/a&gt;. The exposed data included email and IP addresses, names, genders, dates of birth, phone numbers and passwords stored as unsalted MD5 hashes. The data was subsequently traded on a popular hacking forum.</t>
  </si>
  <si>
    <t>https://haveibeenpwned.com/Content/Images/PwnedLogos/Bookchor.png</t>
  </si>
  <si>
    <t>['Dates of birth', 'Email addresses', 'Genders', 'IP addresses', 'Names', 'Passwords', 'Phone numbers', 'Social media profiles']</t>
  </si>
  <si>
    <t>Bookmate</t>
  </si>
  <si>
    <t>bookmate.com</t>
  </si>
  <si>
    <t>In mid-2018, the social ebook subscription service &lt;a href="https://www.theregister.co.uk/2019/02/11/620_million_hacked_accounts_dark_web/" target="_blank" rel="noopener"&gt;Bookmate was among a raft of sites that were breached and their data then sold in early-2019&lt;/a&gt;. The data included almost 4 million unique email addresses alongside names, genders, dates of birth and passwords stored as salted SHA-512 hashes. The data was provided to HIBP by a source who requested it to be attributed to &amp;quot;BenjaminBlue@exploit.im&amp;quot;.</t>
  </si>
  <si>
    <t>https://haveibeenpwned.com/Content/Images/PwnedLogos/Bookmate.png</t>
  </si>
  <si>
    <t>BotOfLegends</t>
  </si>
  <si>
    <t>Bot of Legends</t>
  </si>
  <si>
    <t>botoflegends.com</t>
  </si>
  <si>
    <t>In November 2014, the forum for &lt;a href="http://botoflegends.com" target="_blank" rel="noopener"&gt;Bot of Legends&lt;/a&gt; suffered a data breach. The IP.Board forum contained 238k accounts including usernames, email and IP addresses and passwords stored as salted MD5 hashes.</t>
  </si>
  <si>
    <t>https://haveibeenpwned.com/Content/Images/PwnedLogos/BotOfLegends.png</t>
  </si>
  <si>
    <t>BourseDesVols</t>
  </si>
  <si>
    <t>Bourse des Vols</t>
  </si>
  <si>
    <t>bourse-des-vols.com</t>
  </si>
  <si>
    <t>In January 2021, the French travel company &lt;a href="https://www.riskbasedsecurity.com/2021/02/19/dark-web-roundup-january-2021/" target="_blank" rel="noopener"&gt;Bourse des Vols suffered a data breach that exposed 1.46M unique email addresses&lt;/a&gt; across more than 1.2k .sql files and over 9GB of data. The impacted data exposed personal information and travel histories including names, phone numbers, IP and physical addresses, dates of birth along with flights taken and purchases.</t>
  </si>
  <si>
    <t>https://haveibeenpwned.com/Content/Images/PwnedLogos/BourseDesVols.png</t>
  </si>
  <si>
    <t>['Dates of birth', 'Email addresses', 'Flights taken', 'IP addresses', 'Names', 'Phone numbers', 'Physical addresses', 'Purchases']</t>
  </si>
  <si>
    <t>Boxee</t>
  </si>
  <si>
    <t>forums.boxee.com</t>
  </si>
  <si>
    <t>In March 2014, the home theatre PC software maker Boxee had their forums compromised in an attack. The attackers obtained the entire vBulletin MySQL database and promptly posted it for download on the Boxee forum itself. The data included 160k users, password histories, private messages and a variety of other data exposed across nearly 200 publicly exposed tables.</t>
  </si>
  <si>
    <t>https://haveibeenpwned.com/Content/Images/PwnedLogos/Boxee.png</t>
  </si>
  <si>
    <t>['Dates of birth', 'Email addresses', 'Geographic locations', 'Historical passwords', 'Instant messenger identities', 'IP addresses', 'Passwords', 'Private messages', 'User website URLs', 'Usernames']</t>
  </si>
  <si>
    <t>BrandNewTube</t>
  </si>
  <si>
    <t>Brand New Tube</t>
  </si>
  <si>
    <t>brandnewtube.com</t>
  </si>
  <si>
    <t>In August 2022, the streaming website &lt;a href="https://unitynewsnetwork.co.uk/streaming-site-brand-new-tube-sees-massive-data-breach-with-ip-addresses-and-names-of-users-revealed/" target="_blank" rel="noopener"&gt;Brand New Tube suffered a data breach that exposed the personal information of almost 350k subscribers&lt;/a&gt;. The impacted data included email and IP addresses, usernames, genders,  passwords stored as unsalted SHA-1 hashes and private messages.</t>
  </si>
  <si>
    <t>https://haveibeenpwned.com/Content/Images/PwnedLogos/BrandNewTube.png</t>
  </si>
  <si>
    <t>['Email addresses', 'Genders', 'IP addresses', 'Passwords', 'Private messages', 'Usernames']</t>
  </si>
  <si>
    <t>Brazzers</t>
  </si>
  <si>
    <t>brazzers.com</t>
  </si>
  <si>
    <t>In April 2013, the adult website known as &lt;a href="https://motherboard.vice.com/read/nearly-800000-brazzers-porn-site-accounts-exposed-in-forum-hack" target="_blank" rel="noopener"&gt;Brazzers was hacked&lt;/a&gt; and 790k accounts were exposed publicly. Each record included a username, email address and password stored in plain text. The breach was brought to light by the &lt;a href="https://vigilante.pw" target="_blank" rel="noopener"&gt;Vigilante.pw&lt;/a&gt; data breach reporting site in September 2016.</t>
  </si>
  <si>
    <t>https://haveibeenpwned.com/Content/Images/PwnedLogos/Brazzers.png</t>
  </si>
  <si>
    <t>BTCAlpha</t>
  </si>
  <si>
    <t>BTC-Alpha</t>
  </si>
  <si>
    <t>btc-alpha.com</t>
  </si>
  <si>
    <t>In November 2021, the crypto exchange platform &lt;a href="https://www.techtarget.com/searchsecurity/news/252509877/Cryptocurrency-exchange-BTC-Alpha-confirms-ransomware-attack" target="_blank" rel="noopener"&gt;BTC-Alpha suffered a ransomware attack data breach&lt;/a&gt; after which customer data was publicly dumped. The impacted data included 362k email and IP addresses, usernames and passwords stored as PBKDF2 hashes. The data was provided to HIBP by a source who requested it be attributed to &amp;quot;white_peacock@riseup.net&amp;quot;.</t>
  </si>
  <si>
    <t>https://haveibeenpwned.com/Content/Images/PwnedLogos/BTCAlpha.png</t>
  </si>
  <si>
    <t>BTCE</t>
  </si>
  <si>
    <t>BTC-E</t>
  </si>
  <si>
    <t>btc-e.com</t>
  </si>
  <si>
    <t>In October 2014, &lt;a href="https://www.databreaches.net/bitcoin-exchange-btc-e-and-bitcointalk-forum-breaches/" target="_blank" rel="noopener"&gt;the Bitcoin exchange BTC-E was hacked&lt;/a&gt; and 568k accounts were exposed. The data included email and IP addresses, wallet balances and hashed passwords.</t>
  </si>
  <si>
    <t>https://haveibeenpwned.com/Content/Images/PwnedLogos/BTCE.png</t>
  </si>
  <si>
    <t>['Account balances', 'Email addresses', 'IP addresses', 'Passwords', 'Usernames', 'Website activity']</t>
  </si>
  <si>
    <t>BtoBet</t>
  </si>
  <si>
    <t>btobet.com</t>
  </si>
  <si>
    <t>In December 2019, &lt;a href="https://www.troyhunt.com/the-difficulty-of-disclosure-surebet247-and-the-streisand-effect/" target="_blank" rel="noopener"&gt;a large collection of data from Nigerian gambling company Surebet247 was sent to HIBP&lt;/a&gt;. Alongside the Surebet247, database backups from gambling sites BetAlfa, BetWay, BongoBongo and TopBet was also included. Further investigation &lt;a href="https://www.iafrikan.com/2020/01/09/btobet-sports-betting-technology-software-neuron-platform-surebet247-gambling-data-security-breach/" target="_blank" rel="noopener"&gt;implicated betting platform provider BtoBet as being the common source of the data&lt;/a&gt;. Impacted data included user records and extensive information on gambling histories.</t>
  </si>
  <si>
    <t>https://haveibeenpwned.com/Content/Images/PwnedLogos/BtoBet.png</t>
  </si>
  <si>
    <t>['Dates of birth', 'Email addresses', 'Financial transactions', 'Geographic locations', 'IP addresses', 'Names', 'Usernames']</t>
  </si>
  <si>
    <t>Bukalapak</t>
  </si>
  <si>
    <t>bukalapak.com</t>
  </si>
  <si>
    <t>In March 2019, the Indonesian e-commerce website &lt;a href="https://www.bukalapak.com/blog/feature-updates/petunjuk-teknis-105502" target="_blank" rel="noopener"&gt;Bukalapak discovered a data breach of the organisation's backups dating back to October 2017&lt;/a&gt;. The incident exposed approximately 13 million unique email addresses alongside IP addresses, names and passwords stored as bcrypt and salted SHA-512 hashes. The data was provided to HIBP by a source who requested it to be attributed to &amp;quot;Maxime Thalet&amp;quot;.</t>
  </si>
  <si>
    <t>https://haveibeenpwned.com/Content/Images/PwnedLogos/Bukalapak.png</t>
  </si>
  <si>
    <t>['Email addresses', 'IP addresses', 'Names', 'Passwords', 'Usernames']</t>
  </si>
  <si>
    <t>BulgarianNationalRevenueAgency</t>
  </si>
  <si>
    <t>Bulgarian National Revenue Agency</t>
  </si>
  <si>
    <t>nap.bg</t>
  </si>
  <si>
    <t>In July 2019, &lt;a href="https://thenextweb.com/security/2019/07/16/bulgaria-tax-agency-data-leak-hack/" target="_blank" rel="noopener"&gt;a massive data breach of the Bulgarian National Revenue Agency began circulating with data on 5 million people&lt;/a&gt;. Allegedly obtained in June, the data was broadly shared online and included taxation information alongside names, phone numbers, physical addresses and 471 thousand unique email addresses. The breach is said to have affected &amp;quot;nearly all adults in Bulgaria&amp;quot;.</t>
  </si>
  <si>
    <t>https://haveibeenpwned.com/Content/Images/PwnedLogos/BulgarianNationalRevenueAgency.png</t>
  </si>
  <si>
    <t xml:space="preserve">['Email addresses', 'Names', 'Phone numbers', 'Physical addresses' </t>
  </si>
  <si>
    <t>BusinessAcumen</t>
  </si>
  <si>
    <t>Business Acumen Magazine</t>
  </si>
  <si>
    <t>businessacumen.biz</t>
  </si>
  <si>
    <t>In April 2014, the Australian "Business Acumen Magazine" website was &lt;a href="http://1337mir.com/cracked/2014/04/businessacumen-biz-hacked-26000-user-password-leaked/" target="_blank" rel="noopener"&gt;hacked by an attacker known as 1337MiR&lt;/a&gt;. The breach resulted in over 26,000 accounts being exposed including usernames, email addresses and password stored with a weak cryptographic hashing algorithm (MD5 with no salt).</t>
  </si>
  <si>
    <t>https://haveibeenpwned.com/Content/Images/PwnedLogos/BusinessAcumen.png</t>
  </si>
  <si>
    <t>['Email addresses', 'Names', 'Passwords', 'Usernames', 'Website activity']</t>
  </si>
  <si>
    <t>CafeMom</t>
  </si>
  <si>
    <t>cafemom.com</t>
  </si>
  <si>
    <t>In 2014, the social network for mothers &lt;a href="http://www.cafemom.com" target="_blank" rel="noopener"&gt;CafeMom&lt;/a&gt; suffered a data breach. The data surfaced alongside a number of other historical breaches including Kickstarter, Bitly and Disqus and contained 2.6 million email addresses and plain text passwords.</t>
  </si>
  <si>
    <t>https://haveibeenpwned.com/Content/Images/PwnedLogos/CafeMom.png</t>
  </si>
  <si>
    <t>CafePress</t>
  </si>
  <si>
    <t>cafepress.com</t>
  </si>
  <si>
    <t>In February 2019, the custom merchandise retailer &lt;a href="https://www.cafepress.com/" target="_blank" rel="noopener"&gt;CafePress&lt;/a&gt; suffered a data breach. The exposed data included 23 million unique email addresses with some records also containing names, physical addresses, phone numbers and passwords stored as SHA-1 hashes. The data was provided to HIBP by a source who requested it be attributed to "JimScott.Sec@protonmail.com".</t>
  </si>
  <si>
    <t>https://haveibeenpwned.com/Content/Images/PwnedLogos/CafePress.png</t>
  </si>
  <si>
    <t>CannabisForum</t>
  </si>
  <si>
    <t>Cannabis.com</t>
  </si>
  <si>
    <t>cannabis.com</t>
  </si>
  <si>
    <t>In February 2014, the vBulletin forum for the Marijuana site cannabis.com was breached and &lt;a href="https://www.google.com/search?q=%22cannabisforum.tar%22" target="_blank" rel="noopener"&gt;leaked publicly&lt;/a&gt;. Whilst there has been no public attribution of the breach, the leaked data included over 227k accounts and nearly 10k private messages between users of the forum.</t>
  </si>
  <si>
    <t>https://haveibeenpwned.com/Content/Images/PwnedLogos/CannabisForum.png</t>
  </si>
  <si>
    <t>['Dates of birth', 'Email addresses', 'Geographic locations', 'Historical passwords', 'Instant messenger identities', 'IP addresses', 'Passwords', 'Private messages', 'Usernames', 'Website activity']</t>
  </si>
  <si>
    <t>Canva</t>
  </si>
  <si>
    <t>canva.com</t>
  </si>
  <si>
    <t>In May 2019, the graphic design tool website &lt;a href="https://support.canva.com/contact/customer-support/may-24-security-incident-faqs/" target="_blank" rel="noopener"&gt;Canva suffered a data breach&lt;/a&gt; that impacted 137 million subscribers. The exposed data included email addresses, usernames, names, cities of residence and passwords stored as bcrypt hashes for users not using social logins. The data was provided to HIBP by a source who requested it be attributed to "JimScott.Sec@protonmail.com".</t>
  </si>
  <si>
    <t>https://haveibeenpwned.com/Content/Images/PwnedLogos/Canva.png</t>
  </si>
  <si>
    <t>['Email addresses', 'Geographic locations', 'Names', 'Passwords', 'Usernames']</t>
  </si>
  <si>
    <t>CapialEconomics</t>
  </si>
  <si>
    <t>Capital Economics</t>
  </si>
  <si>
    <t>capitaleconomics.com</t>
  </si>
  <si>
    <t>In December 2020, the economic research company &lt;a href="https://securityaffairs.co/wordpress/113581/deep-web/capital-economics-data-leak.html" target="_blank" rel="noopener"&gt;Capital Economics suffered a data breach that exposed 263k customer records&lt;/a&gt;. The exposed data included email and physical addresses, names, phone numbers, job titles and the employer of impacted customers.</t>
  </si>
  <si>
    <t>https://haveibeenpwned.com/Content/Images/PwnedLogos/CapialEconomics.png</t>
  </si>
  <si>
    <t>CardingMafiaDec2021</t>
  </si>
  <si>
    <t>Carding Mafia (December 2021)</t>
  </si>
  <si>
    <t>cardmafia.cc</t>
  </si>
  <si>
    <t>In December 2021, the Carding Mafia forum suffered a data breach that exposed over 300k members' email addresses. Dedicated to the theft and trading of stolen credit cards, the forum breach also exposed usernames, IP addresses and passwords stored as salted MD5 hashes. This breach came only 9 months after another breach of the forum in March 2021.</t>
  </si>
  <si>
    <t>https://haveibeenpwned.com/Content/Images/PwnedLogos/CardingMafia.png</t>
  </si>
  <si>
    <t>CardingMafia</t>
  </si>
  <si>
    <t>Carding Mafia (March 2021)</t>
  </si>
  <si>
    <t>In March 2021, the Carding Mafia forum suffered a data breach that exposed almost 300k members' email addresses. Dedicated to the theft and trading of stolen credit cards, the forum breach also exposed usernames, IP addresses and passwords stored as salted MD5 hashes.</t>
  </si>
  <si>
    <t>CashCrate</t>
  </si>
  <si>
    <t>cashcrate.com</t>
  </si>
  <si>
    <t>In June 2017, news broke that &lt;a href="https://motherboard.vice.com/en_us/article/bj8pvq/hackers-steal-6-million-user-accounts-for-cash-for-surveys-site" target="_blank" rel="noopener"&gt;CashCrate had suffered a data breach exposing 6.8 million records&lt;/a&gt;. The breach of the cash-for-surveys site dated back to November 2016 and exposed names, physical addresses, email addresses and passwords stored in plain text for older accounts along with weak MD5 hashes for newer ones.</t>
  </si>
  <si>
    <t>https://haveibeenpwned.com/Content/Images/PwnedLogos/CashCrate.png</t>
  </si>
  <si>
    <t>['Email addresses', 'Names', 'Passwords', 'Physical addresses']</t>
  </si>
  <si>
    <t>Catho</t>
  </si>
  <si>
    <t>catho.com.br</t>
  </si>
  <si>
    <t>In approximately March 2020, the Brazilian recruitment website &lt;a href="https://www.binarydefense.com/threat_watch/shinyhunters-serving-up-21-new-compromised-databases/" target="_blank" rel="noopener"&gt;Catho was compromised and subsequently appeared alongside 20 other breached websites&lt;/a&gt; listed for sale on a dark web marketplace. The breach included almost 11 million records with 1.2 million unique email addresses. Names, usernames and plain text passwords were also exposed. The data was provided to HIBP by &lt;a href="https://breachbase.pw/" target="_blank" rel="noopener"&gt;breachbase.pw&lt;/a&gt;.</t>
  </si>
  <si>
    <t>https://haveibeenpwned.com/Content/Images/PwnedLogos/Catho.png</t>
  </si>
  <si>
    <t>['Email addresses', 'Names', 'Passwords', 'Usernames']</t>
  </si>
  <si>
    <t>CDProjektRed</t>
  </si>
  <si>
    <t>CD Projekt RED</t>
  </si>
  <si>
    <t>cdprojektred.com</t>
  </si>
  <si>
    <t>In March 2016, &lt;a href="http://forums.cdprojektred.com/forum/en/the-witcher-series/news-aa/7248610-important-potential-unauthorized-access-to-the-forums%E2%80%99-data" target="_blank" rel="noopener"&gt;Polish game developer CD Projekt RED suffered a data breach&lt;/a&gt;. The hack of their forum led to the exposure of almost 1.9 million accounts along with usernames, email addresses and salted SHA1 passwords.</t>
  </si>
  <si>
    <t>https://haveibeenpwned.com/Content/Images/PwnedLogos/CDProjektRed.png</t>
  </si>
  <si>
    <t>CDEK</t>
  </si>
  <si>
    <t>cdek.ru</t>
  </si>
  <si>
    <t>In early 2022, a collective known as &lt;a href="https://www.bleepingcomputer.com/news/security/ukraine-recruits-it-army-to-hack-russian-entities-lists-31-targets/" target="_blank" rel="noopener"&gt;IT Army whose stated goal is to &amp;quot;completely de-anonymise most Russian users by leaking hundreds of gigabytes of databases&amp;quot;&lt;/a&gt; published over 30GB of data allegedly sourced from Russian courier service CDEK. The data contained over 19M unique email addresses along with names and phone numbers. The authenticity of the breach could not be independently established and has been flagged as &amp;quot;unverfieid&amp;quot;.</t>
  </si>
  <si>
    <t>https://haveibeenpwned.com/Content/Images/PwnedLogos/CDEK.png</t>
  </si>
  <si>
    <t>['Email addresses', 'Names', 'Phone numbers']</t>
  </si>
  <si>
    <t>Chatbooks</t>
  </si>
  <si>
    <t>chatbooks.com</t>
  </si>
  <si>
    <t>In March 2020, the photo print service &lt;a href="https://www.bleepingcomputer.com/news/security/chatbooks-discloses-data-breach-after-data-sold-on-dark-web/" target="_blank" rel="noopener"&gt;Chatbooks suffered a data breach&lt;/a&gt; which was subsequently put up for sale on a dark web marketplace. The breach contained 15 million user records with 2.5 million unique email addresses alongside names, phone numbers, social media profiles and salted SHA-512 password hashes. The data was provided to HIBP by &lt;a href="https://dehashed.com/" target="_blank" rel="noopener"&gt;dehashed.com&lt;/a&gt;.</t>
  </si>
  <si>
    <t>https://haveibeenpwned.com/Content/Images/PwnedLogos/Chatbooks.png</t>
  </si>
  <si>
    <t>['Email addresses', 'Names', 'Passwords', 'Phone numbers', 'Social media profiles']</t>
  </si>
  <si>
    <t>CheapAssGamer</t>
  </si>
  <si>
    <t>CheapAssGamer.com</t>
  </si>
  <si>
    <t>cheapassgamer.com</t>
  </si>
  <si>
    <t>In approximately mid-2015, the forum for &lt;a href="https://www.cheapassgamer.com" target="_blank" rel="noopener"&gt;CheapAssGamer.com&lt;/a&gt; suffered a data breach. The database from the IP.Board based forum contained 445k accounts including usernames, email and IP addresses and salted MD5 password hashes.</t>
  </si>
  <si>
    <t>https://haveibeenpwned.com/Content/Images/PwnedLogos/CheapAssGamer.png</t>
  </si>
  <si>
    <t>Chegg</t>
  </si>
  <si>
    <t>chegg.com</t>
  </si>
  <si>
    <t>In April 2018, the textbook rental service &lt;a href="https://techcrunch.com/2018/09/26/chegg-resets-40-million-user-passwords-after-data-breach/" target="_blank" rel="noopener"&gt;Chegg suffered a data breach&lt;/a&gt; that impacted 40 million subscribers. The exposed data included email addresses, usernames, names and passwords stored as unsalted MD5 hashes. The data was provided to HIBP by a source who requested it be attributed to "JimScott.Sec@protonmail.com".</t>
  </si>
  <si>
    <t>https://haveibeenpwned.com/Content/Images/PwnedLogos/Chegg.png</t>
  </si>
  <si>
    <t>Chowbus</t>
  </si>
  <si>
    <t>chowbus.com</t>
  </si>
  <si>
    <t>In October 2020, the Asian food delivery app &lt;a href="https://www.reddit.com/r/UIUC/comments/j5fcjp/chowbus_is_hacked_leaks_800000_entries_of/" target="_blank" rel="noopener"&gt;Chowbus suffered a data breach which led to over 800,000 records being emailed to customers&lt;/a&gt;. The email contained a link to a CSV file with customer data including physical addresses, names, phone numbers and over 444,000 unique email addresses.</t>
  </si>
  <si>
    <t>https://haveibeenpwned.com/Content/Images/PwnedLogos/Chowbus.png</t>
  </si>
  <si>
    <t>['Email addresses', 'Names', 'Phone numbers', 'Physical addresses']</t>
  </si>
  <si>
    <t>Cit0day</t>
  </si>
  <si>
    <t>cit0day.in</t>
  </si>
  <si>
    <t>In November 2020, &lt;a href="https://www.troyhunt.com/inside-the-cit0day-breach-collection" target="_blank" rel="noopener"&gt;a collection of more than 23,000 allegedly breached websites known as Cit0day were made available for download on several hacking forums&lt;/a&gt;. The data consisted of 226M unique email address alongside password pairs, often represented as both password hashes and the cracked, plain text versions. Independent verification of the data established it contains many legitimate, previously undisclosed breaches. The data was provided to HIBP by &lt;a href="https://dehashed.com/" target="_blank" rel="noopener"&gt;dehashed.com&lt;/a&gt;.</t>
  </si>
  <si>
    <t>CityBee</t>
  </si>
  <si>
    <t>citybee.lt</t>
  </si>
  <si>
    <t>In February 2021, the Lithuanian car-sharing service &lt;a href="https://www.reuters.com/article/us-baltic-dataprotection-idUSKBN2AG2BW" target="_blank" rel="noopener"&gt;CityBee announced they'd suffered a data breach that exposed 110k customers' personal information&lt;/a&gt;. The breach exposed names, email addresses, government issued IDs and passwords stored as unsalted SHA-1 hashes.</t>
  </si>
  <si>
    <t>https://haveibeenpwned.com/Content/Images/PwnedLogos/CityBee.png</t>
  </si>
  <si>
    <t>['Email addresses', 'Government issued IDs', 'Names', 'Passwords']</t>
  </si>
  <si>
    <t>CivilOnline</t>
  </si>
  <si>
    <t>Civil Online</t>
  </si>
  <si>
    <t>co188.com</t>
  </si>
  <si>
    <t>In mid-2011, data was allegedly obtained from the Chinese engineering website known as &lt;a href="http://www.co188.com/" target="_blank" rel="noopener"&gt;Civil Online&lt;/a&gt; and contained 7.8M accounts. Whilst there is evidence that the data is legitimate, due to the difficulty of emphatically verifying the Chinese breach it has been flagged as &amp;quot;unverified&amp;quot;. The data in the breach contains email and IP addresses, user names and MD5 password hashes. &lt;a href="https://www.troyhunt.com/handling-chinese-data-breaches-in-have-i-been-pwned/" target="_blank" rel="noopener"&gt;Read more about Chinese data breaches in Have I Been Pwned.&lt;/a&gt;</t>
  </si>
  <si>
    <t>https://haveibeenpwned.com/Content/Images/PwnedLogos/CivilOnline.png</t>
  </si>
  <si>
    <t>ClashOfKings</t>
  </si>
  <si>
    <t>Clash of Kings</t>
  </si>
  <si>
    <t>f.elex.com</t>
  </si>
  <si>
    <t>In July 2016, &lt;a href="https://www.zdnet.com/article/hacker-steals-forums-of-clash-of-kings-mobile-game/" target="_blank" rel="noopener"&gt;the forum for the game &amp;quot;Clash of Kings&amp;quot; suffered a data breach&lt;/a&gt; that impacted 1.6 million subscribers. The impacted data included usernames, IP and email addresses and passwords stored as MD5 hashes. The data was provided to HIBP by &lt;a href="https://dehashed.com/" target="_blank" rel="noopener"&gt;dehashed.com&lt;/a&gt;.</t>
  </si>
  <si>
    <t>https://haveibeenpwned.com/Content/Images/PwnedLogos/ClashOfKings.png</t>
  </si>
  <si>
    <t>ClearVoiceSurveys</t>
  </si>
  <si>
    <t>ClearVoice Surveys</t>
  </si>
  <si>
    <t>clearvoicesurveys.com</t>
  </si>
  <si>
    <t>In April 2021, the market research surveys company &lt;a href="https://www.clearvoicesurveys.com/" target="_blank" rel="noopener"&gt;ClearVoice Surveys&lt;/a&gt; had a publicly facing database backup from 2015 taken and redistributed on a popular hacking forum. The data included 15M unique email addresses across more than 17M rows of data that also included names, physical and IP addresses, genders, dates of birth and plain text passwords. ClearVoice Surveys advised they were aware of the breach and confirmed its authenticity.</t>
  </si>
  <si>
    <t>https://haveibeenpwned.com/Content/Images/PwnedLogos/ClearVoiceSurveys.png</t>
  </si>
  <si>
    <t>['Dates of birth', 'Email addresses', 'Genders', 'IP addresses', 'Names', 'Passwords', 'Phone numbers', 'Physical addresses']</t>
  </si>
  <si>
    <t>ClixSense</t>
  </si>
  <si>
    <t>clixsense.com</t>
  </si>
  <si>
    <t>In September 2016, the paid-to-click site &lt;a href="http://cybercashworldwide.com/clixsense-has-been-hacked" target="_blank" rel="noopener"&gt;ClixSense suffered a data breach&lt;/a&gt; which exposed 2.4 million subscriber identities. The breached data was then posted online by the attackers who claimed it was a subset of a larger data breach totalling 6.6 million records. The leaked data was extensive and included names, physical, email and IP addresses, genders and birth dates, account balances and passwords stored as plain text.</t>
  </si>
  <si>
    <t>https://haveibeenpwned.com/Content/Images/PwnedLogos/ClixSense.png</t>
  </si>
  <si>
    <t>['Account balances', 'Dates of birth', 'Email addresses', 'Genders', 'IP addresses', 'Names', 'Passwords', 'Payment histories', 'Payment methods', 'Physical addresses', 'Usernames', 'Website activity']</t>
  </si>
  <si>
    <t>CloudPets</t>
  </si>
  <si>
    <t>cloudpets.com</t>
  </si>
  <si>
    <t>In January, the maker of teddy bears that record children's voices and sends them to family and friends via the internet &lt;a href="https://www.troyhunt.com/data-from-connected-cloudpets-teddy-bears-leaked-and-ransomed-exposing-kids-voice-messages" target="_blank" rel="noopener"&gt;CloudPets left their database publicly exposed and it was subsequently downloaded by external parties&lt;/a&gt; (the data was also subject to 3 different ransom demands). 583k records were provided to HIBP via a data trader and included email addresses and bcrypt hashes, but the full extent of user data exposed by the system was over 821k records and also included children's names and references to portrait photos and voice recordings.</t>
  </si>
  <si>
    <t>https://haveibeenpwned.com/Content/Images/PwnedLogos/CloudPets.png</t>
  </si>
  <si>
    <t>['Email addresses', "Family members' names", 'Passwords']</t>
  </si>
  <si>
    <t>ClubPenguinRewritten</t>
  </si>
  <si>
    <t>Club Penguin Rewritten (January 2018)</t>
  </si>
  <si>
    <t>cprewritten.net</t>
  </si>
  <si>
    <t>In January 2018, the children's gaming site &lt;a href="https://community.cprewritten.net/" target="_blank" rel="noopener"&gt;Club Penguin Rewritten&lt;/a&gt; (CPRewritten) suffered a data breach (note: CPRewritten is an independent recreation of Disney's Club Penguin game). The incident exposed almost 1.7 million unique email addresses alongside IP addresses, usernames and passwords stored as bcrypt hashes. When contacted, CPRewritten advised they were aware of the breach and had &amp;quot;contacted affected users&amp;quot;.</t>
  </si>
  <si>
    <t>https://haveibeenpwned.com/Content/Images/PwnedLogos/ClubPenguinRewritten.png</t>
  </si>
  <si>
    <t>ClubPenguinRewrittenJul2019</t>
  </si>
  <si>
    <t>Club Penguin Rewritten (July 2019)</t>
  </si>
  <si>
    <t>In July 2019, the children's gaming site &lt;a href="https://community.cprewritten.net/" target="_blank" rel="noopener"&gt;Club Penguin Rewritten&lt;/a&gt; (CPRewritten) suffered a data breach (note: CPRewritten is an independent recreation of Disney's Club Penguin game). In addition to an earlier data breach that impacted 1.7 million accounts, the subsequent breach exposed 4 million unique email addresses alongside IP addresses, usernames and passwords stored as bcrypt hashes.</t>
  </si>
  <si>
    <t>Coachella</t>
  </si>
  <si>
    <t>coachella.com</t>
  </si>
  <si>
    <t>In February 2017, &lt;a href="https://motherboard.vice.com/en_us/article/mgkzkp/someone-is-selling-coachella-user-accounts-on-the-dark-web" target="_blank" rel="noopener"&gt;hundreds of thousands of records from the Coachella music festival were discovered being sold online&lt;/a&gt;. Allegedly taken from a combination of the main Coachella website and their vBulletin-based message board, the data included almost 600k usernames, IP and email addresses and salted hashes of passwords (MD5 in the case of the message board).</t>
  </si>
  <si>
    <t>https://haveibeenpwned.com/Content/Images/PwnedLogos/Coachella.png</t>
  </si>
  <si>
    <t>Coinmama</t>
  </si>
  <si>
    <t>coinmama.com</t>
  </si>
  <si>
    <t>In August 2017, the crypto coin brokerage service &lt;a href="https://cointelegraph.com/news/major-crypto-brokerage-coinmama-reports-450-000-users-affected-by-data-breach" target="_blank" rel="noopener"&gt;Coinmama suffered a data breach&lt;/a&gt; that impacted 479k subscribers. The breach was discovered in February 2019 with exposed data including email addresses, usernames and passwords stored as MD5 WordPress hashes. The data was provided to HIBP by white hat security researcher and data analyst Adam Davies.</t>
  </si>
  <si>
    <t>https://haveibeenpwned.com/Content/Images/PwnedLogos/Coinmama.png</t>
  </si>
  <si>
    <t>CoinMarketCap</t>
  </si>
  <si>
    <t>coinmarketcap.com</t>
  </si>
  <si>
    <t>During October 2021, 3.1 million email addresses with accounts on the cryptocurrency market capitalisation website &lt;a href="https://coinmarketcap.com/" target="_blank" rel="noopener"&gt;CoinMarketCap&lt;/a&gt; were discovered being traded on hacking forums. Whilst the email addresses were found to correlate with CoinMarketCap accounts, it's unclear precisely how they were obtained. CoinMarketCap has provided the following statement on the data: &amp;quot;CoinMarketCap has become aware that batches of data have shown up online purporting to be a list of user accounts. While the data lists we have seen are only email addresses (no passwords), we have found a correlation with our subscriber base. We have not found any evidence of a data leak from our own servers Ã¢â‚¬â€ we are actively investigating this issue and will update our subscribers as soon as we have any new information.&amp;quot;</t>
  </si>
  <si>
    <t>https://haveibeenpwned.com/Content/Images/PwnedLogos/CoinMarketCap.png</t>
  </si>
  <si>
    <t>['Email addresses']</t>
  </si>
  <si>
    <t>CoinTracker</t>
  </si>
  <si>
    <t>cointracker.io</t>
  </si>
  <si>
    <t>In December 2022, the Crypto &amp; NFT taxes service &lt;a href="https://www.databreaches.net/important-cointracker-security-update/" target="_blank" rel="noopener"&gt;CoinTracker reported a data breach that impacted over 1.5M of their customers&lt;/a&gt;. The company &lt;a href="https://www.cointracker.io/blog/sendgrid-data-breach" target="_blank" rel="noopener"&gt;later attributed the breach to a compromise SendGrid&lt;/a&gt; in an attack that targeted multiple customers of the email provider. The breach exposed email addresses and partially redacted phone numbers, with CoinTracker advising that the later did not originate from their service.</t>
  </si>
  <si>
    <t>https://haveibeenpwned.com/Content/Images/PwnedLogos/CoinTracker.png</t>
  </si>
  <si>
    <t>['Email addresses', 'Partial phone numbers']</t>
  </si>
  <si>
    <t>Collection1</t>
  </si>
  <si>
    <t>Collection #1</t>
  </si>
  <si>
    <t>In January 2019, a large collection of credential stuffing lists (combinations of email addresses and passwords used to hijack accounts on other services) was discovered being distributed on a popular hacking forum. The data contained almost 2.7 &lt;em&gt;billion&lt;/em&gt; records including 773 million unique email addresses alongside passwords those addresses had used on other breached services. Full details on the incident and how to search the breached passwords are provided in the blog post &lt;a href="https://www.troyhunt.com/the-773-million-record-collection-1-data-reach" target="_blank" rel="noopener"&gt;The 773 Million Record "Collection #1" Data Breach&lt;/a&gt;.</t>
  </si>
  <si>
    <t>Comcast</t>
  </si>
  <si>
    <t>comcast.net</t>
  </si>
  <si>
    <t>In November 2015, the US internet and cable TV provider Comcast &lt;a href="http://www.ibtimes.co.uk/comcast-data-breach-590000-customer-passwords-go-sale-dark-web-1528026" target="_blank" rel="noopener"&gt;suffered a data breach that exposed 590k customer email addresses and plain text passwords&lt;/a&gt;. A further 27k accounts appeared with home addresses with the entire data set being sold on underground forums.</t>
  </si>
  <si>
    <t>https://haveibeenpwned.com/Content/Images/PwnedLogos/Comcast.png</t>
  </si>
  <si>
    <t>['Email addresses', 'Passwords', 'Physical addresses']</t>
  </si>
  <si>
    <t>COMELEC</t>
  </si>
  <si>
    <t>COMELEC (Philippines Voters)</t>
  </si>
  <si>
    <t>comelec.gov.ph</t>
  </si>
  <si>
    <t>In March 2016, &lt;a href="http://www.comelec.gov.ph/" target="_blank" rel="noopener"&gt;the Philippines Commission of Elections website&lt;/a&gt; (COMELEC) was &lt;a href="http://www.rappler.com/nation/politics/elections/2016/127256-comelec-website-hacked-anonymous-philippines" target="_blank" rel="noopener"&gt;attacked and defaced&lt;/a&gt;, allegedly by Anonymous Philippines. Shortly after, &lt;a href="http://www.theregister.co.uk/2016/04/07/philippine_voter_data_breach/" target="_blank" rel="noopener"&gt;data on 55 million Filipino voters was leaked publicly&lt;/a&gt; and included sensitive information such as genders, marital statuses, height and weight and biometric fingerprint data. The breach only included 228k email addresses.</t>
  </si>
  <si>
    <t>https://haveibeenpwned.com/Content/Images/PwnedLogos/COMELEC.png</t>
  </si>
  <si>
    <t>['Biometric data', 'Dates of birth', 'Email addresses', "Family members' names", 'Genders', 'Job titles', 'Marital statuses', 'Names', 'Passport numbers', 'Phone numbers', 'Physical addresses', 'Physical attributes']</t>
  </si>
  <si>
    <t>CouponMomAndArmorGames</t>
  </si>
  <si>
    <t>Coupon Mom / Armor Games</t>
  </si>
  <si>
    <t>In 2014, a file allegedly containing data hacked from &lt;a href="https://www.couponmom.com" target="_blank" rel="noopener"&gt;Coupon Mom&lt;/a&gt; was created and included 11 million email addresses and plain text passwords. On further investigation, the file was also found to contain data indicating it had been sourced from &lt;a href="https://armorgames.com" target="_blank" rel="noopener"&gt;Armor Games&lt;/a&gt;. Subsequent verification with HIBP subscribers confirmed the passwords had previously been used and many subscribers had used either Coupon Mom or Armor Games in the past. On disclosure to both organisations, each found that the data did not represent their entire customer base and possibly includes records from other sources with common subscribers. The breach has subsequently been flagged as &amp;quot;unverified&amp;quot; as the source cannot be emphatically proven. In July 2020, &lt;a href="https://www.troyhunt.com/how-beeradvocate-learned-theyd-been-pwned/" target="_blank" rel="noopener"&gt;the data was also found to contain BeerAdvocate accounts sourced from a previously unknown breach&lt;/a&gt;.</t>
  </si>
  <si>
    <t>https://haveibeenpwned.com/Content/Images/PwnedLogos/CouponMomAndArmorGames.png</t>
  </si>
  <si>
    <t>db8151dd</t>
  </si>
  <si>
    <t>Covve</t>
  </si>
  <si>
    <t>covve.com</t>
  </si>
  <si>
    <t>In February 2020, &lt;a href="https://www.troyhunt.com/the-unattributable-db8151dd-data-breach" target="_blank" rel="noopener"&gt;a massive trove of personal information referred to as &amp;quot;db8151dd&amp;quot;&lt;/a&gt; was provided to HIBP after being found left exposed on a publicly facing Elasticsearch server. Later identified as originating from the Covve contacts app, the exposed data included extensive personal information and interactions between Covve users and their contacts. The data was provided to HIBP by &lt;a href="https://dehashed.com/" target="_blank" rel="noopener"&gt;dehashed.com&lt;/a&gt;.</t>
  </si>
  <si>
    <t>https://haveibeenpwned.com/Content/Images/PwnedLogos/Covve.png</t>
  </si>
  <si>
    <t>['Email addresses', 'Job titles', 'Names', 'Phone numbers', 'Physical addresses', 'Social media profiles']</t>
  </si>
  <si>
    <t>CrackCommunity</t>
  </si>
  <si>
    <t>Crack Community</t>
  </si>
  <si>
    <t>crackcommunity.com</t>
  </si>
  <si>
    <t>In late 2013, the &lt;a href="http://crackcommunity.com" target="_blank" rel="noopener"&gt;Crack Community&lt;/a&gt; forum specialising in cracks for games was compromised and over 19k accounts published online. Built on the MyBB forum platform, the compromised data included email addresses, IP addresses and salted MD5 passwords.</t>
  </si>
  <si>
    <t>https://haveibeenpwned.com/Content/Images/PwnedLogos/CrackCommunity.png</t>
  </si>
  <si>
    <t>CrackedTO</t>
  </si>
  <si>
    <t>Cracked.to</t>
  </si>
  <si>
    <t>cracked.to</t>
  </si>
  <si>
    <t>In July 2019, the hacking website &lt;a href="https://cracked.to" target="_blank" rel="noopener"&gt;Cracked.to&lt;/a&gt; suffered a data breach. There were 749k unique email addresses spread across 321k forum users and other tables in the database. A rival hacking website claimed responsibility for breaching the MyBB based forum which disclosed email and IP addresses, usernames, private messages and passwords stored as bcrypt hashes.</t>
  </si>
  <si>
    <t>https://haveibeenpwned.com/Content/Images/PwnedLogos/CrackedTO.png</t>
  </si>
  <si>
    <t>['Email addresses', 'IP addresses', 'Passwords', 'Private messages', 'Usernames']</t>
  </si>
  <si>
    <t>CrackingForum</t>
  </si>
  <si>
    <t>crackingforum.com</t>
  </si>
  <si>
    <t>In approximately mid-2016, the cracking community forum known as &lt;a href="http://crackingforum.com" target="_blank" rel="noopener"&gt;CrackingForum&lt;/a&gt; suffered a data breach. The vBulletin based forum exposed 660k email and IP addresses, usernames and salted MD5 hashes.</t>
  </si>
  <si>
    <t>https://haveibeenpwned.com/Content/Images/PwnedLogos/CrackingForum.png</t>
  </si>
  <si>
    <t>Creative</t>
  </si>
  <si>
    <t>creative.com</t>
  </si>
  <si>
    <t>In May 2018, &lt;a href="http://forums.creative.com/" target="_blank" rel="noopener"&gt;the forum for Singaporean hardware company Creative Technology&lt;/a&gt; suffered a data breach which resulted in the disclosure of 483k unique email addresses. Running on an old version of vBulletin, the breach also disclosed usernames, IP addresses and salted MD5 password hashes. After being notified of the incident, Creative permanently shut down the forum.</t>
  </si>
  <si>
    <t>https://haveibeenpwned.com/Content/Images/PwnedLogos/Creative.png</t>
  </si>
  <si>
    <t>CrimeAgencyVBulletin</t>
  </si>
  <si>
    <t>CrimeAgency vBulletin Hacks</t>
  </si>
  <si>
    <t>In January 2016, &lt;a href="http://news.softpedia.com/news/vbulletin-hack-exposes-820-000-accounts-from-126-forums-513416.shtml" target="_blank" rel="noopener"&gt;a large number of unpatched vBulletin forums were compromised by an actor known as &amp;quot;CrimeAgency&amp;quot;&lt;/a&gt;. A total of 140 forums had data including usernames, email addresses and passwords (predominantly stored as salted MD5 hashes), extracted and then distributed. Refer to &lt;a href="https://troyhunt.com/i-just-added-another-140-data-breaches-to-have-i-been-pwned" target="_blank" rel="noopener"&gt;the complete list of the forums&lt;/a&gt; for further information on which sites were impacted.</t>
  </si>
  <si>
    <t>https://haveibeenpwned.com/Content/Images/PwnedLogos/CrimeAgencyVBulletin.png</t>
  </si>
  <si>
    <t>CrossFire</t>
  </si>
  <si>
    <t>Cross Fire</t>
  </si>
  <si>
    <t>cfire.mail.ru</t>
  </si>
  <si>
    <t>In August 2016, &lt;a href="http://www.zdnet.com/article/over-25-million-accounts-stolen-after-mail-ru-forums-raided-by-hackers/" target="_blank" rel="noopener"&gt;the Russian gaming forum known as Cross Fire (or cfire.mail.ru) was hacked&lt;/a&gt; along with a number of other forums on the Russian mail provider, mail.ru. The vBulletin forum contained 12.8 million accounts including usernames, email addresses and passwords stored as salted MD5 hashes.</t>
  </si>
  <si>
    <t>https://haveibeenpwned.com/Content/Images/PwnedLogos/CrossFire.png</t>
  </si>
  <si>
    <t>CTARS</t>
  </si>
  <si>
    <t>ctars.com.au</t>
  </si>
  <si>
    <t>In May 2022, the client management system for the Australian government's NDIS (National Disability Insurance Scheme) &lt;a href="https://ctars.com.au/ctars-data-breach" target="_blank" rel="noopener"&gt;suffered a data breach which was subsequently posted to an online hacking forum&lt;/a&gt;. The CTARS cloud platform is used by care providers to record information about NDIS participants and often contains sensitive medical information. Impacted data includes over 12k unique email addresses, physical addresses, names, dates of birth, phone numbers and data related to patient conditions and treatments.</t>
  </si>
  <si>
    <t>https://haveibeenpwned.com/Content/Images/PwnedLogos/CTARS.png</t>
  </si>
  <si>
    <t>['Dates of birth', 'Email addresses', 'Genders', 'Names', 'Passwords', 'Personal health data', 'Phone numbers', 'Physical addresses', 'Salutations', 'Usernames']</t>
  </si>
  <si>
    <t>CyberServe</t>
  </si>
  <si>
    <t>cyberserve.co.il</t>
  </si>
  <si>
    <t>In October 2021, the Israeli hosting provider &lt;a href="https://www.timesofisrael.com/black-shadow-hackers-leak-medical-records-of-290000-israeli-patients/" target="_blank" rel="noopener"&gt;CyberServe was breached and ransomed before having a substantial amount of their customer data leaked publicly by a group known as &amp;quot;Black Shadow&amp;quot;&lt;/a&gt;. Amongst the data was the LGBTQ dating site Atraf and the Machon Mor medical institute. Due to multiple different sites being compromised, the impacted data is broad and ranges from relationship information to medical data to email addresses and passwords stored in plain text. The data was made available to HIBP with support from May Brooks-Kempler, founder of &lt;a href="https://www.facebook.com/groups/Think.Safe.Cyber/" target="_blank" rel="noopener"&gt;the Think Safe Cyber community in Israel&lt;/a&gt;.</t>
  </si>
  <si>
    <t>https://haveibeenpwned.com/Content/Images/PwnedLogos/CyberServe.png</t>
  </si>
  <si>
    <t>['Dates of birth', 'Drinking habits', 'Email addresses', 'Family structure', 'Genders', 'Geographic locations', 'HIV statuses', 'IP addresses', 'Names', 'Passwords', 'Personal health data', 'Phone numbers', 'Physical attributes', 'Private messages', 'Profile photos', 'Religions', 'Sexual orientations', 'Smoking habits', 'Usernames']</t>
  </si>
  <si>
    <t>D3scene</t>
  </si>
  <si>
    <t>D3Scene</t>
  </si>
  <si>
    <t>d3scene.com</t>
  </si>
  <si>
    <t>In January 2016, the gaming website D3Scene, suffered a data breach. The compromised vBulletin forum exposed 569k million email addresses, IP address, usernames and passwords stored as salted MD5 hashes. The data was provided to HIBP by &lt;a href="https://dehashed.com/" target="_blank" rel="noopener"&gt;dehashed.com&lt;/a&gt;.</t>
  </si>
  <si>
    <t>https://haveibeenpwned.com/Content/Images/PwnedLogos/D3scene.png</t>
  </si>
  <si>
    <t>DaFont</t>
  </si>
  <si>
    <t>dafont.com</t>
  </si>
  <si>
    <t>In May 2017, &lt;a href="http://www.zdnet.com/article/font-sharing-site-dafont-hacked-thousands-of-accounts-stolen/" target="_blank" rel="noopener"&gt;font sharing site DaFont suffered a data breach&lt;/a&gt; resulting in the exposure of 637k records. Allegedly due to a SQL injection vulnerability exploited by multiple parties, the exposed data included usernames, email addresses and passwords stored as MD5 without a salt.</t>
  </si>
  <si>
    <t>https://haveibeenpwned.com/Content/Images/PwnedLogos/DaFont.png</t>
  </si>
  <si>
    <t>DailyQuiz</t>
  </si>
  <si>
    <t>Daily Quiz</t>
  </si>
  <si>
    <t>dailyquiz.me</t>
  </si>
  <si>
    <t>In January 2021, the quiz website &lt;a href="https://dailyquiz.me/" target="_blank" rel="noopener"&gt;Daily Quiz&lt;/a&gt; suffered a data breach that exposed over 8 million unique email addresses. The data also included usernames, IP addresses and passwords stored in plain text.</t>
  </si>
  <si>
    <t>https://haveibeenpwned.com/Content/Images/PwnedLogos/DailyQuiz.png</t>
  </si>
  <si>
    <t>Dailymotion</t>
  </si>
  <si>
    <t>dailymotion.com</t>
  </si>
  <si>
    <t>In October 2016, the video sharing platform &lt;a href="http://thehackernews.com/2016/12/dailymotion-video-hacked.html" target="_blank" rel="noopener"&gt;Dailymotion suffered a data breach&lt;/a&gt;. The attack led to the exposure of more than 85 million user accounts and included email addresses, usernames and bcrypt hashes of passwords.</t>
  </si>
  <si>
    <t>https://haveibeenpwned.com/Content/Images/PwnedLogos/Dailymotion.png</t>
  </si>
  <si>
    <t>DailyObjects</t>
  </si>
  <si>
    <t>dailyobjects.com</t>
  </si>
  <si>
    <t>In approximately January 2018, a collection of more than 464k customer records from the Indian online retailer &lt;a href="https://www.dailyobjects.com/" target="_blank" rel="noopener"&gt;DailyObjects&lt;/a&gt; were leaked online. The data included names, physical and email addresses, phone numbers and &amp;quot;pincodes&amp;quot; stored in plain text. After multiple attempts to contact them, DailyObjects responded and received a copy of the data for verification, however failed to respond to multiple contact attempts following that.</t>
  </si>
  <si>
    <t>https://haveibeenpwned.com/Content/Images/PwnedLogos/DailyObjects.png</t>
  </si>
  <si>
    <t>Dangdang</t>
  </si>
  <si>
    <t>dangdang.com</t>
  </si>
  <si>
    <t>In 2011, the Chinese e-commerce site &lt;a href="https://www.marbridgeconsulting.com/marbridgedaily/2011-12-29/article/52564/rumor_dangdang_alipay_suffer_data_breaches" target="_blank" rel="noopener"&gt;Dangdang suffered a data breach&lt;/a&gt;. The incident exposed over 4.8 million unique email addresses which were subsequently traded online over the ensuing years.</t>
  </si>
  <si>
    <t>https://haveibeenpwned.com/Content/Images/PwnedLogos/Dangdang.png</t>
  </si>
  <si>
    <t>DaniWeb</t>
  </si>
  <si>
    <t>daniweb.com</t>
  </si>
  <si>
    <t>In late 2015, the technology and social site &lt;a href="https://www.daniweb.com" target="_blank" rel="noopener"&gt;DaniWeb&lt;/a&gt; suffered a data breach. The attack resulted in the disclosure of 1.1 million accounts including email and IP addresses which were also accompanied by salted MD5 hashes of passwords. However, DaniWeb have advised that &amp;quot;the breached password hashes and salts are incorrect&amp;quot; and that they have since switched to new infrastructure and software.</t>
  </si>
  <si>
    <t>https://haveibeenpwned.com/Content/Images/PwnedLogos/DaniWeb.png</t>
  </si>
  <si>
    <t>['Email addresses', 'IP addresses', 'Passwords']</t>
  </si>
  <si>
    <t>DataAndLeads</t>
  </si>
  <si>
    <t>Data &amp; Leads</t>
  </si>
  <si>
    <t>datanleads.com</t>
  </si>
  <si>
    <t>In November 2018, &lt;a href="https://blog.hackenproof.com/industry-news/new-data-breach-exposes-57-million-records" target="_blank" rel="noopener"&gt;security researcher Bob Diachenko identified an unprotected database believed to be hosted by a data aggregator&lt;/a&gt;. Upon further investigation, the data was linked to marketing company &lt;a href="http://web.archive.org/web/20180925092401/https://www.datanleads.com/" target="_blank" rel="noopener"&gt;Data &amp;amp; Leads&lt;/a&gt;. The exposed Elasticsearch instance contained over 44M unique email addresses along with names, IP and physical addresses, phone numbers and employment information. No response was received from Data &amp;amp; Leads when contacted by Bob and their site subsequently went offline.</t>
  </si>
  <si>
    <t>['Email addresses', 'Employers', 'IP addresses', 'Job titles', 'Names', 'Phone numbers', 'Physical addresses']</t>
  </si>
  <si>
    <t>PDL</t>
  </si>
  <si>
    <t>Data Enrichment Exposure From PDL Customer</t>
  </si>
  <si>
    <t>In October 2019, &lt;a href="https://www.troyhunt.com/data-enrichment-people-data-labs-and-another-622m-email-addresses" target="_blank" rel="noopener"&gt;security researchers Vinny Troia and Bob Diachenko identified an unprotected Elasticsearch server holding 1.2 billion records of personal data&lt;/a&gt;. The exposed data included an index indicating it was sourced from data enrichment company People Data Labs (PDL) and contained 622 million unique email addresses. The server was not owned by PDL and it's believed a customer failed to properly secure the database. Exposed information included email addresses, phone numbers, social media profiles and job history data.</t>
  </si>
  <si>
    <t>['Email addresses', 'Employers', 'Geographic locations', 'Job titles', 'Names', 'Phone numbers', 'Social media profiles']</t>
  </si>
  <si>
    <t>DataEnrichment</t>
  </si>
  <si>
    <t>Data Enrichment Records</t>
  </si>
  <si>
    <t>In December 2016, &lt;a href="http://www.csoonline.com/article/3149713/security/data-enrichment-records-for-200-million-people-up-for-sale-on-the-darknet.html" target="_blank" rel="noopener"&gt;more than 200 million &amp;quot;data enrichment profiles&amp;quot; were found for sale on the darknet&lt;/a&gt;. The seller claimed the data was sourced from Experian and whilst that claim was rejected by the company, the data itself was found to be legitimate suggesting it may have been sourced from other legitimate locations. In total, there were more than 8 million unique email addresses in the data which also contained a raft of other personal attributes including credit ratings, home ownership status, family structure and other fields described in the story linked to above. The email addresses alone were provided to HIBP.</t>
  </si>
  <si>
    <t>['Buying preferences', 'Charitable donations', 'Credit status information', 'Dates of birth', 'Email addresses', 'Family structure', 'Financial investments', 'Home ownership statuses', 'Income levels', 'Job titles', 'Marital statuses', 'Names', 'Net worths', 'Phone numbers', 'Physical addresses', 'Political donations']</t>
  </si>
  <si>
    <t>DataCamp</t>
  </si>
  <si>
    <t>datacamp.com</t>
  </si>
  <si>
    <t>In December 2018, the data science website &lt;a href="https://support.datacamp.com/hc/en-us/articles/360017716074-DataCamp-Security-Update-Frequently-Asked-Questions" target="_blank" rel="noopener"&gt;DataCamp suffered a data breach&lt;/a&gt; of records dating back to January 2017. The incident exposed 760k unique email and IP addresses along with names and passwords stored as bcrypt hashes. In 2019, &lt;a href="https://www.theregister.co.uk/2019/02/11/620_million_hacked_accounts_dark_web/" target="_blank" rel="noopener"&gt;the data appeared listed for sale on a dark web marketplace&lt;/a&gt; (along with several other large breaches) and subsequently began circulating more broadly. The data was provided to HIBP by a source who requested it to be attributed to &amp;quot;BenjaminBlue@exploit.im&amp;quot;.</t>
  </si>
  <si>
    <t>https://haveibeenpwned.com/Content/Images/PwnedLogos/DataCamp.png</t>
  </si>
  <si>
    <t>['Email addresses', 'Geographic locations', 'IP addresses', 'Names', 'Passwords']</t>
  </si>
  <si>
    <t>DatPiff</t>
  </si>
  <si>
    <t>datpiff.com</t>
  </si>
  <si>
    <t>In late 2021, &lt;a href="https://www.numerama.com/cyberguerre/784965-la-plateforme-de-rap-datpiff-piratee-les-mots-de-passe-dans-la-nature.html" target="_blank" rel="noopener"&gt;email address and plain text password pairs from the rap mixtape website DatPiff appeared for sale on a popular hacking forum&lt;/a&gt;. The data allegedly dated back to an earlier breach and in total, contained almost 7.5M email addresses and cracked password pairs. The original data source allegedly contained usernames, security questions and answers and passwords stored as MD5 hashes with a static salt.</t>
  </si>
  <si>
    <t>https://haveibeenpwned.com/Content/Images/PwnedLogos/DatPiff.png</t>
  </si>
  <si>
    <t>['Email addresses', 'Passwords', 'Security questions and answers', 'Usernames']</t>
  </si>
  <si>
    <t>Dave</t>
  </si>
  <si>
    <t>dave.com</t>
  </si>
  <si>
    <t>In June 2020, the digital banking app &lt;a href="https://www.zdnet.com/article/tech-unicorn-dave-admits-to-security-breach-impacting-7-5-million-users/" target="_blank" rel="noopener"&gt;Dave suffered a data breach&lt;/a&gt; which exposed 7.5 million rows of data and subsequently appeared for public download on a hacking forum. The breach exposed extensive personal information including almost 3 million unique email addresses alongside names, dates of birth, encrypted social security numbers and passwords stored as bcrypt hashes. The data was provided to HIBP by &lt;a href="https://dehashed.com/" target="_blank" rel="noopener"&gt;dehashed.com&lt;/a&gt;.</t>
  </si>
  <si>
    <t>https://haveibeenpwned.com/Content/Images/PwnedLogos/Dave.png</t>
  </si>
  <si>
    <t>['Dates of birth', 'Email addresses', 'Names', 'Passwords', 'Phone numbers', 'Physical addresses', 'Social security numbers']</t>
  </si>
  <si>
    <t>Deezer</t>
  </si>
  <si>
    <t>deezer.com</t>
  </si>
  <si>
    <t>In late 2022, the music streaming service &lt;a href="https://restoreprivacy.com/music-service-deezer-data-breach/" target="_blank" rel="noopener"&gt;Deezer disclosed a data breach that impacted over 240M customers&lt;/a&gt;. The breach dated back to a mid-2019 backup exposed by a 3rd party partner which was subsequently sold and then broadly redistributed on a popular hacking forum. Impacted data included 229M unique email addresses, IP addresses, names, usernames, genders, DoBs and the geographic location of the customer.</t>
  </si>
  <si>
    <t>https://haveibeenpwned.com/Content/Images/PwnedLogos/Deezer.png</t>
  </si>
  <si>
    <t>['Dates of birth', 'Email addresses', 'Genders', 'Geographic locations', 'IP addresses', 'Names', 'Spoken languages', 'Usernames']</t>
  </si>
  <si>
    <t>DemonForums</t>
  </si>
  <si>
    <t>Demon Forums</t>
  </si>
  <si>
    <t>demonforums.net</t>
  </si>
  <si>
    <t>In February 2019, the hacking forum &lt;a href="https://demonforums.net/" target="_blank" rel="noopener"&gt;Demon Forums&lt;/a&gt; suffered a data breach. The compromise of the vBulletin forum exposed 52k unique email addresses alongside usernames and passwords stored as salted MD5 hashes.</t>
  </si>
  <si>
    <t>https://haveibeenpwned.com/Content/Images/PwnedLogos/DemonForums.png</t>
  </si>
  <si>
    <t>Descomplica</t>
  </si>
  <si>
    <t>descomplica.com.br</t>
  </si>
  <si>
    <t>In March 2021, the Brazilian EdTech company &lt;a href="https://atendimento.descomplica.com.br/hc/pt-br/articles/1500003993042-FAQ-Ataque-cibern%C3%A9tico-14-03" target="_blank" rel="noopener"&gt;Descomplica suffered a data breach&lt;/a&gt; which was subsequently posted to a popular hacking forum. The data included almost 5 million email addresses, names, the first 6 and last 4 digits and the expiry date of credit cards, purchase histories and password hashes.</t>
  </si>
  <si>
    <t>https://haveibeenpwned.com/Content/Images/PwnedLogos/Descomplica.png</t>
  </si>
  <si>
    <t>['Email addresses', 'Names', 'Partial credit card data', 'Passwords', 'Purchases']</t>
  </si>
  <si>
    <t>DevilTorrents</t>
  </si>
  <si>
    <t>Devil-Torrents.pl</t>
  </si>
  <si>
    <t>devil-torrents.pl</t>
  </si>
  <si>
    <t>In early 2021, the Polish torrents website Devil-Torrents.pl suffered a data breach. A subset of the data including 63k unique email addresses and cracked passwords were subsequently socialised on a popular data breach sharing service.</t>
  </si>
  <si>
    <t>https://haveibeenpwned.com/Content/Images/PwnedLogos/DevilTorrents.png</t>
  </si>
  <si>
    <t>devkitPro</t>
  </si>
  <si>
    <t>devkitpro.org</t>
  </si>
  <si>
    <t>In February 2019, &lt;a href="https://devkitpro.org/viewtopic.php?f=13&amp;t=8846" target="_blank" rel="noopener"&gt;the devkitPro forum suffered a data breach&lt;/a&gt;. The phpBB based forum had 1,508 unique email addresses exposed in the breach alongside forum posts, private messages and passwords stored as weak salted hashes. The data breach was self-submitted to HIBP by the forum operator.</t>
  </si>
  <si>
    <t>https://haveibeenpwned.com/Content/Images/PwnedLogos/devkitPro.png</t>
  </si>
  <si>
    <t>['Email addresses', 'Passwords', 'Private messages']</t>
  </si>
  <si>
    <t>DietCom</t>
  </si>
  <si>
    <t>diet.com</t>
  </si>
  <si>
    <t>In August 2014, the diet and nutrition website &lt;a href="https://diet.com/" target="_blank" rel="noopener"&gt;diet.com&lt;/a&gt; suffered a data breach resulting in the exposure of 1.4 million unique user records dating back as far as 2004. The data contained email and IP addresses, usernames, plain text passwords and dietary information about the site members including eating habits, BMI and birth date. The site was previously reported as compromised on the &lt;a href="https://vigilante.pw/" target="_blank" rel="noopener"&gt;Vigilante.pw&lt;/a&gt; breached database directory.</t>
  </si>
  <si>
    <t>https://haveibeenpwned.com/Content/Images/PwnedLogos/DietCom.png</t>
  </si>
  <si>
    <t>['Dates of birth', 'Eating habits', 'Email addresses', 'IP addresses', 'Names', 'Passwords', 'Physical attributes', 'Usernames']</t>
  </si>
  <si>
    <t>Digimon</t>
  </si>
  <si>
    <t>digimon.co.in</t>
  </si>
  <si>
    <t>In September 2016, over 16GB of logs from a service indicated to be digimon.co.in were obtained, most likely from an unprotected Mongo DB instance. The service ceased running shortly afterwards and no information remains about the precise nature of it. Based on &lt;a href="https://twitter.com/troyhunt/status/1045178309926051840" target="_blank" rel="noopener"&gt;enquiries made via Twitter&lt;/a&gt;, it appears to have been a mail service possibly based on PowerMTA and used for delivering spam. The logs contained information including 7.7M unique email recipients (names and addresses), mail server IP addresses, email subjects and tracking information including mail opens and clicks.</t>
  </si>
  <si>
    <t>['Email addresses', 'Email messages', 'IP addresses', 'Names']</t>
  </si>
  <si>
    <t>Disqus</t>
  </si>
  <si>
    <t>disqus.com</t>
  </si>
  <si>
    <t>In October 2017, the blog commenting service &lt;a href="https://blog.disqus.com/security-alert-user-info-breach" target="_blank" rel="noopener"&gt;Disqus announced they'd suffered a data breach&lt;/a&gt;. The breach dated back to July 2012 but wasn't identified until years later when the data finally surfaced. The breach contained over 17.5 million unique email addresses and usernames. Users who created logins on Disqus had salted SHA1 hashes of passwords whilst users who logged in via social providers only had references to those accounts.</t>
  </si>
  <si>
    <t>https://haveibeenpwned.com/Content/Images/PwnedLogos/Disqus.png</t>
  </si>
  <si>
    <t>DivXSubTitles</t>
  </si>
  <si>
    <t>DivX SubTitles</t>
  </si>
  <si>
    <t>divxsubtitles.net</t>
  </si>
  <si>
    <t>In approximately 2010, the now defunct website DivX SubTitles suffered a data breach that exposed 783k user accounts including email addresses, usernames and plain text passwords.</t>
  </si>
  <si>
    <t>https://haveibeenpwned.com/Content/Images/PwnedLogos/DivXSubTitles.png</t>
  </si>
  <si>
    <t>DLH</t>
  </si>
  <si>
    <t>DLH.net</t>
  </si>
  <si>
    <t>dlh.net</t>
  </si>
  <si>
    <t>In July 2016, the gaming news site &lt;a href="http://www.zdnet.com/article/millions-of-steam-game-keys-stolen-after-site-hack/" target="_blank" rel="noopener"&gt;DLH.net suffered a data breach&lt;/a&gt; which exposed 3.3M subscriber identities. Along with the keys used to redeem and activate games on the Steam platform, the breach also resulted in the exposure of email addresses, birth dates and salted MD5 password hashes. The data was donated to Have I Been Pwned by data breach monitoring service &lt;a href="https://vigilante.pw/" target="_blank" rel="noopener"&gt;Vigilante.pw&lt;/a&gt;.</t>
  </si>
  <si>
    <t>https://haveibeenpwned.com/Content/Images/PwnedLogos/DLH.png</t>
  </si>
  <si>
    <t>['Dates of birth', 'Email addresses', 'Names', 'Passwords', 'Usernames', 'Website activity']</t>
  </si>
  <si>
    <t>Dodonew</t>
  </si>
  <si>
    <t>Dodonew.com</t>
  </si>
  <si>
    <t>dodonew.com</t>
  </si>
  <si>
    <t>In late 2011, data was allegedly obtained from the Chinese website known as &lt;a href="http://dodonew.com" target="_blank" rel="noopener"&gt;Dodonew.com&lt;/a&gt; and contained 8.7M accounts. Whilst there is evidence that the data is legitimate, due to the difficulty of emphatically verifying the Chinese breach it has been flagged as &amp;quot;unverified&amp;quot;. The data in the breach contains email addresses and user names. &lt;a href="https://www.troyhunt.com/handling-chinese-data-breaches-in-have-i-been-pwned/" target="_blank" rel="noopener"&gt;Read more about Chinese data breaches in Have I Been Pwned.&lt;/a&gt;</t>
  </si>
  <si>
    <t>https://haveibeenpwned.com/Content/Images/PwnedLogos/Dodonew.png</t>
  </si>
  <si>
    <t>['Email addresses', 'Usernames']</t>
  </si>
  <si>
    <t>Dominos</t>
  </si>
  <si>
    <t>Domino's</t>
  </si>
  <si>
    <t>pizza.dominos.be</t>
  </si>
  <si>
    <t>In June 2014, &lt;a href="http://www.welivesecurity.com/2014/06/16/dominos-pizza-hacked/" target="_blank" rel="noopener"&gt;Domino's Pizza in France and Belgium was hacked&lt;/a&gt; by a group going by the name &amp;quot;Rex Mundi&amp;quot; and their customer data held to ransom. Domino's refused to pay the ransom and six months later, the attackers &lt;a href="http://cyberintelligence.in/rex-mundi-hackers-leaked-data-dominos-accord-easypay/" target="_blank" rel="noopener"&gt;released the data&lt;/a&gt; along with troves of other hacked accounts. Amongst the customer data was passwords stored with a weak MD5 hashing algorithm and no salt.</t>
  </si>
  <si>
    <t>https://haveibeenpwned.com/Content/Images/PwnedLogos/Dominos.png</t>
  </si>
  <si>
    <t>DominosIndia</t>
  </si>
  <si>
    <t>Domino's India</t>
  </si>
  <si>
    <t>dominos.co.in</t>
  </si>
  <si>
    <t>In April 2021, &lt;a href="https://www.bleepingcomputer.com/news/security/dominos-india-discloses-data-breach-after-hackers-sell-data-online/" target="_blank" rel="noopener"&gt;13TB of compromised Domino's India appeared for sale on a hacking forum&lt;/a&gt; after which the company acknowledged a major data breach they dated back to March. The compromised data included 22.5 million unique email addresses, names, phone numbers, order histories and physical addresses.</t>
  </si>
  <si>
    <t>['Email addresses', 'Names', 'Phone numbers', 'Physical addresses', 'Purchases']</t>
  </si>
  <si>
    <t>Doomworld</t>
  </si>
  <si>
    <t>doomworld.com</t>
  </si>
  <si>
    <t>In October 2022, &lt;a href="https://www.doomworld.com/announcement/4-doomworld-probably-got-hacked/" target="_blank" rel="noopener"&gt;the Doomworld fourm suffered a data breach&lt;/a&gt; that exposed 34k member records. The data included email and IP addresses, usernames and bcrypt password hashes.</t>
  </si>
  <si>
    <t>https://haveibeenpwned.com/Content/Images/PwnedLogos/Doomworld.png</t>
  </si>
  <si>
    <t>DoorDash</t>
  </si>
  <si>
    <t>doordash.com</t>
  </si>
  <si>
    <t>In August 2022, the food ordering and delivery service &lt;a href="https://mashable.com/article/doordash-hack-customer-details-exposed" target="_blank" rel="noopener"&gt;DoorDash disclosed a data breach that impacted a portion of their customers&lt;/a&gt;. DoorDash attributed the breach to an unnamed &amp;quot;third-party vendor&amp;quot; they stated was the victim of a phishing campaign. The incident exposed 367k unique personal email addresses alongside names, post codes and partial card data, namely the brand, expiry data and last four digits of the card.</t>
  </si>
  <si>
    <t>https://haveibeenpwned.com/Content/Images/PwnedLogos/DoorDash.png</t>
  </si>
  <si>
    <t>['Email addresses', 'Geographic locations', 'Names', 'Partial credit card data']</t>
  </si>
  <si>
    <t>Doxbin</t>
  </si>
  <si>
    <t>doxbin.com</t>
  </si>
  <si>
    <t>In January 2022, the &amp;quot;doxing&amp;quot; website designed to disclose the personal information of targeted individuals (&amp;quot;doxes&amp;quot;) &lt;a href="https://www.flashpoint-intel.com/blog/doxbin-leak/" target="_blank" rel="noopener"&gt;Doxbin suffered a data breach&lt;/a&gt;. The breach was subsequently leaked online and included over 370k unique email addresses across user accounts and doxes. User accounts also included usernames, password hashes and browser user agents. The personal information disclosed in the doxes was often extensive including names, physical addresses, phone numbers and more.</t>
  </si>
  <si>
    <t>https://haveibeenpwned.com/Content/Images/PwnedLogos/Doxbin.png</t>
  </si>
  <si>
    <t>['Browser user agent details', 'Email addresses', 'Passwords', 'Usernames']</t>
  </si>
  <si>
    <t>DriveSure</t>
  </si>
  <si>
    <t>drivesure.com</t>
  </si>
  <si>
    <t>In December 2020, the car dealership service provider &lt;a href="https://www.riskbasedsecurity.com/2021/02/01/personal-data-of-3-million-people-exposed-in-drivesure-hack/" target="_blank" rel="noopener"&gt;DriveSure suffered a data breach&lt;/a&gt;. The incident resulted in 26GB of data being downloaded and later shared on a hacking forum. Impacted personal information included 3.6 million unique email addresses, names, phone numbers and physical addresses. Vehicle data was also exposed and included makes, models, VIN numbers and odometer readings. A small number of passwords stored as bcrypt hashes were also included in the data set.</t>
  </si>
  <si>
    <t>https://haveibeenpwned.com/Content/Images/PwnedLogos/DriveSure.png</t>
  </si>
  <si>
    <t>['Email addresses', 'Names', 'Passwords', 'Phone numbers', 'Physical addresses', 'Vehicle details']</t>
  </si>
  <si>
    <t>Drizly</t>
  </si>
  <si>
    <t>drizly.com</t>
  </si>
  <si>
    <t>In approximately July 2020, the US-based online alcohol delivery service &lt;a href="https://techcrunch.com/2020/07/28/drizly-data-breach/" target="_blank" rel="noopener"&gt;Drizly suffered a data breach&lt;/a&gt;. The data was sold online before being extensively redistributed and contained 2.5 million unique email addresses alongside names, physical and IP addresses, phone numbers, dates of birth and passwords stored as bcrypt hashes. The data was provided to HIBP by &lt;a href="https://dehashed.com/" target="_blank" rel="noopener"&gt;dehashed.com&lt;/a&gt;.</t>
  </si>
  <si>
    <t>https://haveibeenpwned.com/Content/Images/PwnedLogos/Drizly.png</t>
  </si>
  <si>
    <t>['Dates of birth', 'Device information', 'Email addresses', 'IP addresses', 'Names', 'Passwords', 'Phone numbers', 'Physical addresses']</t>
  </si>
  <si>
    <t>Dropbox</t>
  </si>
  <si>
    <t>dropbox.com</t>
  </si>
  <si>
    <t>In mid-2012, Dropbox suffered a data breach which exposed the stored credentials of tens of millions of their customers. In August 2016, &lt;a href="https://motherboard.vice.com/read/dropbox-forces-password-resets-after-user-credentials-exposed" target="_blank" rel="noopener"&gt;they forced password resets for customers they believed may be at risk&lt;/a&gt;. A large volume of data totalling over 68 million records &lt;a href="https://motherboard.vice.com/read/hackers-stole-over-60-million-dropbox-accounts" target="_blank" rel="noopener"&gt;was subsequently traded online&lt;/a&gt; and included email addresses and salted hashes of passwords (half of them SHA1, half of them bcrypt).</t>
  </si>
  <si>
    <t>https://haveibeenpwned.com/Content/Images/PwnedLogos/Dropbox.png</t>
  </si>
  <si>
    <t>Dubsmash</t>
  </si>
  <si>
    <t>dubsmash.com</t>
  </si>
  <si>
    <t>In December 2018, the video messaging service &lt;a href="https://www.theregister.co.uk/2019/02/11/620_million_hacked_accounts_dark_web/" target="_blank" rel="noopener"&gt;Dubsmash suffered a data breach&lt;/a&gt;. The incident exposed 162 million unique email addresses alongside usernames and PBKDF2 password hashes. In 2019, the data appeared listed for sale on a dark web marketplace (along with several other large breaches) and subsequently began circulating more broadly. The data was provided to HIBP by a source who requested it to be attributed to &amp;quot;BenjaminBlue@exploit.im&amp;quot;.</t>
  </si>
  <si>
    <t>https://haveibeenpwned.com/Content/Images/PwnedLogos/Dubsmash.png</t>
  </si>
  <si>
    <t>['Email addresses', 'Geographic locations', 'Names', 'Passwords', 'Phone numbers', 'Spoken languages', 'Usernames']</t>
  </si>
  <si>
    <t>DucksUnlimited</t>
  </si>
  <si>
    <t>Ducks Unlimited</t>
  </si>
  <si>
    <t>ducks.org</t>
  </si>
  <si>
    <t>In mid-2021, &lt;a href="https://www.riskbasedsecurity.com/2021/06/14/dark-web-roundup-may-2021/" target="_blank" rel="noopener"&gt;Risk Based Security reported on a database sourced from Ducks Unlimited being traded online&lt;/a&gt;. The data dated back to January 2021 and contained 1.3M unique email addresses across both a membership list and a list of website users. Impacted data included names, phones numbers, physical addresses, dates of birth and passwords stored as unsalted MD5 hashes.</t>
  </si>
  <si>
    <t>https://haveibeenpwned.com/Content/Images/PwnedLogos/DucksUnlimited.png</t>
  </si>
  <si>
    <t>['Dates of birth', 'Email addresses', 'Names', 'Passwords', 'Phone numbers', 'Physical addresses']</t>
  </si>
  <si>
    <t>DuelingNetwork</t>
  </si>
  <si>
    <t>Dueling Network</t>
  </si>
  <si>
    <t>duelingnetwork.com</t>
  </si>
  <si>
    <t>In March 2017, the Flash game based on the Yu-Gi-Oh trading card game &lt;a href="https://www.vice.com/amp/en_us/article/783dkz/hacker-steals-millions-of-accounts-from-yu-gi-oh-fan-project-dueling-network" target="_blank" rel="noopener"&gt;Dueling Network suffered a data breach&lt;/a&gt;. The site itself was taken offline in 2016 due to a cease-and-desist order but the forum remained online for another year. The data breach exposed usernames, IP and email addresses and passwords stored as MD5 hashes. The data was provided to HIBP by a source who requested it be attributed to &amp;quot;burger vault&amp;quot;.</t>
  </si>
  <si>
    <t>https://haveibeenpwned.com/Content/Images/PwnedLogos/DuelingNetwork.png</t>
  </si>
  <si>
    <t>DDO</t>
  </si>
  <si>
    <t>Dungeons &amp; Dragons Online</t>
  </si>
  <si>
    <t>ddo.com</t>
  </si>
  <si>
    <t>In April 2013, the interactive video game &lt;a href="https://www.ddo.com" target="_blank" rel="noopener"&gt;Dungeons &amp;amp; Dragons Online&lt;/a&gt; suffered a data breach that exposed almost 1.6M players' accounts. The data was being actively traded on underground forums and included email addresses, birth dates and password hashes.</t>
  </si>
  <si>
    <t>https://haveibeenpwned.com/Content/Images/PwnedLogos/DDO.png</t>
  </si>
  <si>
    <t>['Dates of birth', 'Email addresses', 'IP addresses', 'Passwords', 'Usernames', 'Website activity']</t>
  </si>
  <si>
    <t>Dunzo</t>
  </si>
  <si>
    <t>dunzo.com</t>
  </si>
  <si>
    <t>In approximately June 2019, the Indian delivery service &lt;a href="https://www.thenewsminute.com/article/dunzo-suffers-data-breach-launches-internal-investigation-128415" target="_blank" rel="noopener"&gt;Dunzo suffered a data breach&lt;/a&gt;. Exposing 3.5 million unique email addresses, the Dunzo breach also included names, phone numbers and IP addresses which were all broadly distributed online via a hacking forum. The data was provided to HIBP by &lt;a href="https://dehashed.com/" target="_blank" rel="noopener"&gt;dehashed.com&lt;/a&gt;.</t>
  </si>
  <si>
    <t>https://haveibeenpwned.com/Content/Images/PwnedLogos/Dunzo.png</t>
  </si>
  <si>
    <t>['Device information', 'Email addresses', 'Geographic locations', 'IP addresses', 'Names', 'Phone numbers']</t>
  </si>
  <si>
    <t>Duowan</t>
  </si>
  <si>
    <t>Duowan.com</t>
  </si>
  <si>
    <t>duowan.com</t>
  </si>
  <si>
    <t>In approximately 2011, data was allegedly obtained from the Chinese gaming website known as &lt;a href="http://www.duowan.com" target="_blank" rel="noopener"&gt;Duowan.com&lt;/a&gt; and contained 2.6M accounts. Whilst there is evidence that the data is legitimate, due to the difficulty of emphatically verifying the Chinese breach it has been flagged as &amp;quot;unverified&amp;quot;. The data in the breach contains email addresses, user names and plain text passwords. &lt;a href="https://www.troyhunt.com/handling-chinese-data-breaches-in-have-i-been-pwned/" target="_blank" rel="noopener"&gt;Read more about Chinese data breaches in Have I Been Pwned.&lt;/a&gt;</t>
  </si>
  <si>
    <t>https://haveibeenpwned.com/Content/Images/PwnedLogos/Duowan.png</t>
  </si>
  <si>
    <t>DVDShopCH</t>
  </si>
  <si>
    <t>dvd-shop.ch</t>
  </si>
  <si>
    <t>In December 2017, the online Swiss DVD store known as &lt;a href="https://www.melani.admin.ch/melani/de/home/dokumentation/newsletter/passwoerter-von-70000-e-mail-konten-im-umlauf.html" target="_blank" rel="noopener"&gt;dvd-shop.ch suffered a data breach&lt;/a&gt;. The incident led to the exposure of 68k email addresses and plain text passwords. The site has since been updated to indicate that it is currently closed.</t>
  </si>
  <si>
    <t>https://haveibeenpwned.com/Content/Images/PwnedLogos/DVDShopCH.png</t>
  </si>
  <si>
    <t>Eatigo</t>
  </si>
  <si>
    <t>eatigo.com</t>
  </si>
  <si>
    <t>In October 2018, the restaurant reservation service &lt;a href="https://www.channelnewsasia.com/singapore/eatigo-data-breach-personal-information-millions-account-1307916" target="_blank" rel="noopener"&gt;Eatigo suffered a data breach that exposed 2.8 million accounts&lt;/a&gt;. The data included email addresses, names, phone numbers, social media profiles, genders and passwords stored as unsalted MD5 hashes.</t>
  </si>
  <si>
    <t>https://haveibeenpwned.com/Content/Images/PwnedLogos/Eatigo.png</t>
  </si>
  <si>
    <t>['Email addresses', 'Genders', 'Names', 'Passwords', 'Phone numbers', 'Social media profiles']</t>
  </si>
  <si>
    <t>EatStreet</t>
  </si>
  <si>
    <t>eatstreet.com</t>
  </si>
  <si>
    <t>In May 2019, the online food ordering service &lt;a href="https://www.zdnet.com/article/eatstreet-food-ordering-service-discloses-security-breach/" target="_blank" rel="noopener"&gt;EatStreet suffered a data breach affecting 6.4 million customers&lt;/a&gt;. An extensive amount of personal data was obtained including names, phone numbers, addresses, partial credit card data and passwords stored as bcrypt hashes. The data was provided to HIBP by a source who requested it be attributed to &amp;quot;JimScott.Sec@protonmail.com&amp;quot;.</t>
  </si>
  <si>
    <t>https://haveibeenpwned.com/Content/Images/PwnedLogos/EatStreet.png</t>
  </si>
  <si>
    <t>['Dates of birth', 'Email addresses', 'Genders', 'Names', 'Partial credit card data', 'Passwords', 'Phone numbers', 'Physical addresses', 'Social media profiles']</t>
  </si>
  <si>
    <t>Edmodo</t>
  </si>
  <si>
    <t>edmodo.com</t>
  </si>
  <si>
    <t>In May 2017, the education platform &lt;a href="https://motherboard.vice.com/en_us/article/hacker-steals-millions-of-user-account-details-from-education-platform-edmodo" target="_blank" rel="noopener"&gt;Edmodo was hacked&lt;/a&gt; resulting in the exposure of 77 million records comprised of over 43 million unique customer email addresses. The data was consequently published to a popular hacking forum and made freely available. The records in the breach included usernames, email addresses and bcrypt hashes of passwords.</t>
  </si>
  <si>
    <t>https://haveibeenpwned.com/Content/Images/PwnedLogos/Edmodo.png</t>
  </si>
  <si>
    <t>Elance</t>
  </si>
  <si>
    <t>elance.com</t>
  </si>
  <si>
    <t>Sometime in 2009, staffing platform &lt;a href="http://www.ibtimes.co.uk/elance-data-breach-hacker-leaks-1-3-million-accounts-staffing-platform-1605368" target="_blank" rel="noopener"&gt;Elance suffered a data breach that impacted 1.3 million accounts&lt;/a&gt;. Appearing online 8 years later, the data contained usernames, email addresses, phone numbers and SHA1 hashes of passwords, amongst other personal data.</t>
  </si>
  <si>
    <t>https://haveibeenpwned.com/Content/Images/PwnedLogos/Elance.png</t>
  </si>
  <si>
    <t>['Email addresses', 'Employers', 'Geographic locations', 'Passwords', 'Phone numbers', 'Usernames']</t>
  </si>
  <si>
    <t>Elanic</t>
  </si>
  <si>
    <t>elanic.in</t>
  </si>
  <si>
    <t xml:space="preserve">In January 2020, the Indian fashion marketplace &lt;a href="https://elanic.in/" target="_blank" rel="noopener"&gt;Elanic&lt;/a&gt; had 2.8M records with 2.3M unique email addresses posted publicly to a popular hacking forum. Elanic confirmed that they had &amp;quot;verified the data and it was pulled from one of our test servers where this data was exposed publicly&amp;quot; and that the data was &amp;quot;old&amp;quot; (the hacking forum reported it as being from 2016-2018). When asked about disclosure to impacted customers, Elanic advised that they had &amp;quot;decided to not have as such any communication and public disclosure&amp;quot;. </t>
  </si>
  <si>
    <t>https://haveibeenpwned.com/Content/Images/PwnedLogos/Elanic.png</t>
  </si>
  <si>
    <t>['Email addresses', 'Geographic locations', 'Usernames']</t>
  </si>
  <si>
    <t>ElasticsearchSalesLeads</t>
  </si>
  <si>
    <t>Elasticsearch Instance of Sales Leads on AWS</t>
  </si>
  <si>
    <t>In October 2018, &lt;a href="https://blog.hacken.io/how-sensitive-is-your-non-sensitive-data" target="_blank" rel="noopener"&gt;security researcher Bob Diachenko identified multiple exposed databases with hundreds of millions of records&lt;/a&gt;. One of those datasets was an Elasticsearch instance on AWS containing sales lead data and 5.8M unique email addresses. The data contained information relating to individuals and the companies they worked for including their names, email addresses and company name and contact information. Despite best efforts, it was not possible to identify the owner of the data hence this breach as been titled &amp;quot;Elasticsearch Sales Leads&amp;quot;.</t>
  </si>
  <si>
    <t>['Email addresses', 'Employers', 'Names', 'Physical addresses']</t>
  </si>
  <si>
    <t>Emotet</t>
  </si>
  <si>
    <t>In January 2021, &lt;a href="https://www.troyhunt.com/data-from-the-emotet-malware-is-now-searchable-in-have-i-been-pwned-courtesy-of-the-fbi-and-nhtcu" target="_blank" rel="noopener"&gt;the FBI in partnership with the Dutch NHTCU, German BKA and other international law enforcement agencies brought down the world's most dangerous malware: Emotet&lt;/a&gt;. The agencies obtained data collected by the malware and provided impacted email addresses to HIBP so that impacted individuals and domain owners could assess their exposure. &lt;a href="https://www.troyhunt.com/data-from-the-emotet-malware-is-now-searchable-in-have-i-been-pwned-courtesy-of-the-fbi-and-nhtcu" target="_blank" rel="noopener"&gt;Read more about the takedown and recommended actions&lt;/a&gt;.</t>
  </si>
  <si>
    <t>Emuparadise</t>
  </si>
  <si>
    <t>emuparadise.me</t>
  </si>
  <si>
    <t>In April 2018, the self-proclaimed &amp;quot;biggest retro gaming website on earth&amp;quot;, Emuparadise, suffered a data breach. The compromised vBulletin forum exposed 1.1 million email addresses, IP address, usernames and passwords stored as salted MD5 hashes. The data was provided to HIBP by &lt;a href="https://dehashed.com/" target="_blank" rel="noopener"&gt;dehashed.com&lt;/a&gt;.</t>
  </si>
  <si>
    <t>https://haveibeenpwned.com/Content/Images/PwnedLogos/Emuparadise.png</t>
  </si>
  <si>
    <t>EPal</t>
  </si>
  <si>
    <t>E-Pal</t>
  </si>
  <si>
    <t>epal.gg</t>
  </si>
  <si>
    <t>In October 2022, the service dedicated to finding friends on Discord known as &lt;a href="https://twitter.com/PogoWasRight/status/1578496290534539264" target="_blank" rel="noopener"&gt;E-Pal disclosed a data breach&lt;/a&gt;. The compromised data included over 100k unique email addresses and usernames spanning approximately 1M orders. The data was subsequently distributed via a popular hacking forum.</t>
  </si>
  <si>
    <t>https://haveibeenpwned.com/Content/Images/PwnedLogos/EPal.png</t>
  </si>
  <si>
    <t>['Email addresses', 'Purchases', 'Usernames']</t>
  </si>
  <si>
    <t>EpicGames</t>
  </si>
  <si>
    <t>Epic Games</t>
  </si>
  <si>
    <t>epicgames.com</t>
  </si>
  <si>
    <t>In August 2016, &lt;a href="http://www.zdnet.com/article/epic-games-unreal-engine-forums-hacked-in-latest-data-breach" target="_blank" rel="noopener"&gt;the Epic Games forum suffered a data breach&lt;/a&gt;, allegedly due to a SQL injection vulnerability in vBulletin. The attack resulted in the exposure of 252k accounts including usernames, email addresses and salted MD5 hashes of passwords.</t>
  </si>
  <si>
    <t>https://haveibeenpwned.com/Content/Images/PwnedLogos/EpicGames.png</t>
  </si>
  <si>
    <t>EpicBot</t>
  </si>
  <si>
    <t>epicbot.com</t>
  </si>
  <si>
    <t>In September 2019, the RuneScape bot provider &lt;a href="https://arstechnica.com/information-technology/2019/11/password-data-dumped-online-for-2-2-million-users-of-currency-and-gaming-sites/" target="_blank" rel="noopener"&gt;EpicBot suffered a data breach that impacted 817k subscribers&lt;/a&gt;. Data from the breach was subsequently shared on a popular hacking forum and included usernames, email and IP addresses and passwords stored as either salted MD5 or bcrypt hashes. EpicBot did not respond when contacted about the incident.</t>
  </si>
  <si>
    <t>https://haveibeenpwned.com/Content/Images/PwnedLogos/EpicBot.png</t>
  </si>
  <si>
    <t>EpicNPC</t>
  </si>
  <si>
    <t>epicnpc.com</t>
  </si>
  <si>
    <t>In January 2016, the hacked account reseller &lt;a href="https://www.epicnpc.com" target="_blank" rel="noopener"&gt;EpicNPC&lt;/a&gt; suffered a data breach that impacted 409k subscribers. The impacted data included usernames, IP and email addresses and passwords stored as salted MD5 hashes. The data was provided to HIBP by &lt;a href="https://dehashed.com/" target="_blank" rel="noopener"&gt;dehashed.com&lt;/a&gt;.</t>
  </si>
  <si>
    <t>https://haveibeenpwned.com/Content/Images/PwnedLogos/EpicNPC.png</t>
  </si>
  <si>
    <t>Epik</t>
  </si>
  <si>
    <t>epik.com</t>
  </si>
  <si>
    <t>In September 2021, &lt;a href="https://arstechnica.com/information-technology/2021/09/anonymous-leaks-gigabytes-of-data-from-epik-web-host-of-gab-and-parler/" target="_blank" rel="noopener"&gt;the domain registrar and web host Epik suffered a significant data breach&lt;/a&gt;, allegedly in retaliation for hosting alt-right websites. The breach exposed a huge volume of data not just of Epik customers, but also scraped WHOIS records belonging to individuals and organisations who were not Epik customers. The data included over 15 million unique email addresses (including anonymised versions for domain privacy), names, phone numbers, physical addresses, purchases and passwords stored in various formats.</t>
  </si>
  <si>
    <t>https://haveibeenpwned.com/Content/Images/PwnedLogos/Epik.png</t>
  </si>
  <si>
    <t>Eroticy</t>
  </si>
  <si>
    <t>eroticy.com</t>
  </si>
  <si>
    <t>In mid-2016, it's alleged that the adult website known as  &lt;a href="http://eroticy.com" target="_blank" rel="noopener"&gt;Eroticy&lt;/a&gt; was hacked. Almost 1.4 million unique accounts were found circulating in late 2016 which contained a raft of personal information ranging from email addresses to phone numbers to plain text passwords. Whilst many HIBP subscribers confirmed their data was legitimate, the actual source of the breach remains inconclusive. &lt;a href="https://www.troyhunt.com/a-data-breach-investigation-blow-by-blow" target="_blank" rel="noopener"&gt;A detailed account of the data has been published&lt;/a&gt; in the hope of identifying the origin of the breach.</t>
  </si>
  <si>
    <t>https://haveibeenpwned.com/Content/Images/PwnedLogos/Eroticy.png</t>
  </si>
  <si>
    <t>['Email addresses', 'IP addresses', 'Names', 'Passwords', 'Payment histories', 'Phone numbers', 'Physical addresses', 'Usernames', 'Website activity']</t>
  </si>
  <si>
    <t>Eskimi</t>
  </si>
  <si>
    <t>eskimi.com</t>
  </si>
  <si>
    <t>In late 2020, the AdTech platform &lt;a href="https://www.riskbasedsecurity.com/2021/01/25/shinyhunters-wave-3-one-hacker-exposes-over-125-million-credentials/" target="_blank" rel="noopener"&gt;Eskimi suffered a data breach that exposed 26M records with 1.2M unique email addresses&lt;/a&gt;. The data included usernames, dates of birth, genders and passwords stored as unsalted MD5 hashes.</t>
  </si>
  <si>
    <t>https://haveibeenpwned.com/Content/Images/PwnedLogos/Eskimi.png</t>
  </si>
  <si>
    <t>['Dates of birth', 'Email addresses', 'Genders', 'Geographic locations', 'Passwords', 'Usernames']</t>
  </si>
  <si>
    <t>Estonia</t>
  </si>
  <si>
    <t>Estonian Citizens (via Estonian Cybercrime Bureau)</t>
  </si>
  <si>
    <t>In June 2018, &lt;a href="https://www.troyhunt.com/data-provided-by-the-estonian-central-criminal-police-is-now-searchable-on-have-i-been-pwned" target="_blank" rel="noopener"&gt;the Cybercrime Bureau of the Estonian Central Criminal Police contacted HIBP&lt;/a&gt; and asked for assistance in making a data set of 655k email addresses searchable. The Estonian police suspected the email addresses and passwords they obtained were being used to access mailboxes, cryptocurrency exchanges, cloud service accounts and other similar online assets. They've requested that individuals who find themselves in the data set &lt;b&gt;&lt;i&gt;and also identify that cryptocurrency has been stolen&lt;/i&gt;&lt;/b&gt; contact them at &lt;a href="mailto:cybercrime@politsei.ee"&gt;cybercrime@politsei.ee&lt;/a&gt;.</t>
  </si>
  <si>
    <t>https://haveibeenpwned.com/Content/Images/PwnedLogos/Estonia.png</t>
  </si>
  <si>
    <t>eThekwiniMunicipality</t>
  </si>
  <si>
    <t>eThekwini Municipality</t>
  </si>
  <si>
    <t>eservices.durban.gov.za</t>
  </si>
  <si>
    <t>In September 2016, &lt;a href="http://eservices.durban.gov.za" target="_blank" rel="noopener"&gt;the new eThekwini eServices website&lt;/a&gt; in South Africa was launched with a number of security holes that lead to &lt;a href="http://mybroadband.co.za/news/security/179064-ethekwini-municipality-leaking-private-details-of-over-300000-residents.html" target="_blank" rel="noopener"&gt;the leak of over 98k residents' personal information and utility bills&lt;/a&gt; across 82k unique email addresses. Emails were sent prior to launch containing passwords in plain text and the site allowed anyone to download utility bills without sufficient authentication. Various methods of customer data enumeration was possible and phishing attacks began appearing the day after launch.</t>
  </si>
  <si>
    <t>https://haveibeenpwned.com/Content/Images/PwnedLogos/eThekwiniMunicipality.png</t>
  </si>
  <si>
    <t>['Dates of birth', 'Deceased date', 'Email addresses', 'Genders', 'Government issued IDs', 'Names', 'Passport numbers', 'Passwords', 'Phone numbers', 'Physical addresses', 'Utility bills']</t>
  </si>
  <si>
    <t>Ethereum</t>
  </si>
  <si>
    <t>ethereum.org</t>
  </si>
  <si>
    <t>In December 2016, the forum for the public blockchain-based distributed computing platform &lt;a href="https://blog.ethereum.org/2016/12/19/security-alert-12192016-ethereum-org-forums-database-compromised/" target="_blank" rel="noopener"&gt;Ethereum suffered a data breach&lt;/a&gt;. The database contained over 16k unique email addresses along with IP addresses, private forum messages and (mostly) bcrypt hashed passwords. &lt;a href="https://www.troyhunt.com/the-ethereum-forum-was-hacked-and-theyve-voluntarily-submitted-the-data-to-have-i-been-pwned" target="_blank" rel="noopener"&gt;Ethereum elected to self-submit the data to HIBP&lt;/a&gt;, providing the service with a list of email addresses impacted by the incident.</t>
  </si>
  <si>
    <t>https://haveibeenpwned.com/Content/Images/PwnedLogos/Ethereum.png</t>
  </si>
  <si>
    <t>EuropaJobs</t>
  </si>
  <si>
    <t>europa.jobs</t>
  </si>
  <si>
    <t>In August 2019, the now defunct European jobs website &lt;a href="https://webcache.googleusercontent.com/search?q=cache:Qk_zaGEqx70J:https://en.europa.jobs/+&amp;cd=1&amp;hl=en&amp;ct=clnk&amp;gl=au" target="_blank" rel="noopener"&gt;europa.jobs&lt;/a&gt; (Google cache link) suffered a data breach. The incident exposed 226k unique email addresses alongside extensive personal information including names, dates of birth, job applications and passwords. The data was subsequently redistributed on a popular hacking forum.</t>
  </si>
  <si>
    <t>https://haveibeenpwned.com/Content/Images/PwnedLogos/EuropaJobs.png</t>
  </si>
  <si>
    <t>['Dates of birth', 'Email addresses', 'Geographic locations', 'Job applications', 'Names', 'Passwords', 'Phone numbers', 'Spoken languages']</t>
  </si>
  <si>
    <t>Evermotion</t>
  </si>
  <si>
    <t>evermotion.org</t>
  </si>
  <si>
    <t>In May 2015, the Polish 3D modelling website known as &lt;a href="https://evermotion.org/" target="_blank" rel="noopener"&gt;Evermotion&lt;/a&gt; suffered a data breach resulting in the exposure of 435k unique user records. The data was sourced from a vBulletin forum and contained email addresses, usernames, dates of birth and salted MD5 hashes of passwords. The site was previously reported as compromised on the &lt;a href="https://vigilante.pw/" target="_blank" rel="noopener"&gt;Vigilante.pw&lt;/a&gt; breached database directory.</t>
  </si>
  <si>
    <t>https://haveibeenpwned.com/Content/Images/PwnedLogos/Evermotion.png</t>
  </si>
  <si>
    <t>['Dates of birth', 'Email addresses', 'Passwords', 'Usernames']</t>
  </si>
  <si>
    <t>EverybodyEdits</t>
  </si>
  <si>
    <t>Everybody Edits</t>
  </si>
  <si>
    <t>everybodyedits.com</t>
  </si>
  <si>
    <t>In March 2019, the multiplayer platform game &lt;a href="https://everybodyedits.wordpress.com/2019/03/28/everybody-edits-data-security-breach/" target="_blank" rel="noopener"&gt;Everybody Edits suffered a data breach&lt;/a&gt;. The incident exposed 871k unique email addresses alongside usernames and IP addresses. The data was subsequently distributed online across a collection of files.</t>
  </si>
  <si>
    <t>https://haveibeenpwned.com/Content/Images/PwnedLogos/EverybodyEdits.png</t>
  </si>
  <si>
    <t>['Email addresses', 'IP addresses', 'Usernames']</t>
  </si>
  <si>
    <t>Evite</t>
  </si>
  <si>
    <t>evite.com</t>
  </si>
  <si>
    <t>In April 2019, the social planning website for managing online invitations &lt;a href="https://www.evite.com/security/update?usource=lc&amp;lctid=1800182" target="_blank" rel="noopener"&gt;Evite identified a data breach of their systems&lt;/a&gt;. Upon investigation, they found unauthorised access to a database archive dating back to 2013. The exposed data included a total of 101 million unique email addresses, most belonging to recipients of invitations. Members of the service also had names, phone numbers, physical addresses, dates of birth, genders and passwords stored in plain text exposed. The data was provided to HIBP by a source who requested it be attributed to &amp;quot;JimScott.Sec@protonmail.com&amp;quot;.</t>
  </si>
  <si>
    <t>https://haveibeenpwned.com/Content/Images/PwnedLogos/Evite.png</t>
  </si>
  <si>
    <t>Evony</t>
  </si>
  <si>
    <t>evony.com</t>
  </si>
  <si>
    <t>In June 2016, the online multiplayer game &lt;a href="http://securityaffairs.co/wordpress/52260/data-breach/evony-data-breach.html" target="_blank" rel="noopener"&gt;Evony was hacked&lt;/a&gt; and over 29 million unique accounts were exposed. The attack led to the exposure of usernames, email and IP addresses and MD5 hashes of passwords (without salt).</t>
  </si>
  <si>
    <t>https://haveibeenpwned.com/Content/Images/PwnedLogos/Evony.png</t>
  </si>
  <si>
    <t>Exactis</t>
  </si>
  <si>
    <t>exactis.com</t>
  </si>
  <si>
    <t>In June 2018, &lt;a href="https://www.wired.com/story/exactis-database-leak-340-million-records/" target="_blank" rel="noopener"&gt;the marketing firm Exactis inadvertently publicly leaked 340 million records of personal data&lt;/a&gt;. Security researcher &lt;a href="https://www.nightlionsecurity.com/" target="_blank" rel="noopener"&gt;Vinny Troia of Night Lion Security&lt;/a&gt; discovered the leak contained multiple terabytes of personal information spread across hundreds of separate fields including addresses, phone numbers, family structures and extensive profiling data. The data was collected as part of Exactis' service as a &amp;quot;compiler and aggregator of premium business &amp;amp; consumer data&amp;quot; which they then sell for profiling and marketing purposes. A small subset of the exposed fields were provided to Have I Been Pwned and contained 132 million unique email addresses.</t>
  </si>
  <si>
    <t>https://haveibeenpwned.com/Content/Images/PwnedLogos/Exactis.png</t>
  </si>
  <si>
    <t>['Credit status information', 'Dates of birth', 'Education levels', 'Email addresses', 'Ethnicities', 'Family structure', 'Financial investments', 'Genders', 'Home ownership statuses', 'Income levels', 'IP addresses', 'Marital statuses', 'Names', 'Net worths', 'Occupations', 'Personal interests', 'Phone numbers', 'Physical addresses', 'Religions', 'Spoken languages']</t>
  </si>
  <si>
    <t>Experian</t>
  </si>
  <si>
    <t>Experian (2015)</t>
  </si>
  <si>
    <t>experian.com</t>
  </si>
  <si>
    <t>In September 2015, the US based credit bureau and consumer data broker &lt;a href="http://krebsonsecurity.com/2015/10/experian-breach-affects-15-million-consumers/" target="_blank" rel="noopener"&gt;Experian suffered a data breach&lt;/a&gt; that impacted 15 million customers who had applied for financing from T-Mobile. An alleged data breach was subsequently circulated containing personal information including names, physical and email addresses, birth dates and various other personal attributes. Multiple Have I Been Pwned subscribers verified portions of the data as being accurate, but the actual source of it was inconclusive therefor this breach has been flagged as &amp;quot;unverified&amp;quot;.</t>
  </si>
  <si>
    <t>https://haveibeenpwned.com/Content/Images/PwnedLogos/Experian.png</t>
  </si>
  <si>
    <t>['Credit status information', 'Dates of birth', 'Email addresses', 'Ethnicities', 'Family structure', 'Genders', 'Home ownership statuses', 'Income levels', 'IP addresses', 'Names', 'Phone numbers', 'Physical addresses', 'Purchasing habits']</t>
  </si>
  <si>
    <t>Experian2020</t>
  </si>
  <si>
    <t>Experian (South Africa)</t>
  </si>
  <si>
    <t>In August 2020, &lt;a href="https://www.iafrikan.com/2020/09/01/experian-data-breach-database-public-data-information-south-africa/" target="_blank" rel="noopener"&gt;Experian South Africa suffered a data breach&lt;/a&gt; which exposed the personal information of tens of millions of individuals. Only 1.3M of the records contained email addresses, whilst most contained government issued identity numbers, names, addresses, occupations and employers, amongst other person information.</t>
  </si>
  <si>
    <t>['Email addresses', 'Employers', 'Government issued IDs', 'Names', 'Occupations', 'Phone numbers']</t>
  </si>
  <si>
    <t>ExploitIn</t>
  </si>
  <si>
    <t>Exploit.In</t>
  </si>
  <si>
    <t>In late 2016, a huge list of email address and password pairs appeared in a &amp;quot;combo list&amp;quot; referred to as &amp;quot;Exploit.In&amp;quot;. The list contained 593 million unique email addresses, many with multiple different passwords hacked from various online systems. The list was broadly circulated and used for &amp;quot;credential stuffing&amp;quot;, that is attackers employ it in an attempt to identify other online systems where the account owner had reused their password. For detailed background on this incident, read &lt;a href="https://www.troyhunt.com/password-reuse-credential-stuffing-and-another-1-billion-records-in-have-i-been-pwned" target="_blank" rel="noopener"&gt;Password reuse, credential stuffing and another billion records in Have I Been Pwned&lt;/a&gt;.</t>
  </si>
  <si>
    <t>VINs</t>
  </si>
  <si>
    <t>Exposed VINs</t>
  </si>
  <si>
    <t>In June 2017, &lt;a href="https://www.bleepingcomputer.com/news/security/car-thieves-everywhere-rejoice-as-unsecured-database-exposes-10-million-car-vins/" target="_blank" rel="noopener"&gt;an unsecured database with more than 10 million VINs (vehicle identification numbers) was discovered by researchers&lt;/a&gt;. Believed to be sourced from US car dealerships, the data included a raft of personal information and vehicle data along with 397k unique email addresses.</t>
  </si>
  <si>
    <t>['Dates of birth', 'Email addresses', 'Family structure', 'Genders', 'Names', 'Phone numbers', 'Physical addresses', 'Vehicle details']</t>
  </si>
  <si>
    <t>EyeEm</t>
  </si>
  <si>
    <t>eyeem.com</t>
  </si>
  <si>
    <t>In February 2018, &lt;a href="https://www.theregister.co.uk/2019/02/11/620_million_hacked_accounts_dark_web/" target="_blank" rel="noopener"&gt;photography website EyeEm suffered a data breach&lt;/a&gt;. The breach was identified among a collection of other large incidents and exposed almost 20M unique email addresses, names, usernames, bios and password hashes. The data was provided to HIBP by a source who asked for it to be attributed to &amp;quot;Kuroi'sh or Gabriel Kimiaie-Asadi Bildstein&amp;quot;.</t>
  </si>
  <si>
    <t>https://haveibeenpwned.com/Content/Images/PwnedLogos/EyeEm.png</t>
  </si>
  <si>
    <t>['Bios', 'Email addresses', 'Names', 'Passwords', 'Usernames']</t>
  </si>
  <si>
    <t>Facebook</t>
  </si>
  <si>
    <t>facebook.com</t>
  </si>
  <si>
    <t>In April 2021, &lt;a href="https://www.bleepingcomputer.com/news/security/533-million-facebook-users-phone-numbers-leaked-on-hacker-forum/" target="_blank" rel="noopener"&gt;a large data set of over 500 million Facebook users was made freely available for download&lt;/a&gt;. Encompassing approximately 20% of Facebook's subscribers, the data was allegedly obtained by exploiting a vulnerability Facebook advises they rectified in August 2019. The primary value of the data is the association of phone numbers to identities; whilst each record included phone, only 2.5 million contained an email address. Most records contained names and genders with many also including dates of birth, location, relationship status and employer.</t>
  </si>
  <si>
    <t>https://haveibeenpwned.com/Content/Images/PwnedLogos/Facebook.png</t>
  </si>
  <si>
    <t>['Dates of birth', 'Email addresses', 'Employers', 'Genders', 'Geographic locations', 'Names', 'Phone numbers', 'Relationship statuses']</t>
  </si>
  <si>
    <t>Facepunch</t>
  </si>
  <si>
    <t>facepunch.com</t>
  </si>
  <si>
    <t>In June 2016, the game development studio &lt;a href="https://facepunch.com/" target="_blank" rel="noopener"&gt;Facepunch&lt;/a&gt; suffered a data breach that exposed 343k users. The breached data included usernames, email and IP addresses, dates of birth and salted MD5 password hashes. Facepunch advised they were aware of the incident and had notified people at the time. The data was provided to HIBP by whitehat security researcher and data analyst Adam Davies.</t>
  </si>
  <si>
    <t>https://haveibeenpwned.com/Content/Images/PwnedLogos/Facepunch.png</t>
  </si>
  <si>
    <t>FaceUP</t>
  </si>
  <si>
    <t>faceup.dk</t>
  </si>
  <si>
    <t>In 2013, the Danish social media site &lt;a href="https://faceup.dk/" target="_blank" rel="noopener"&gt;FaceUP&lt;/a&gt; suffered a data breach. The incident exposed 87k unique email addresses alongside genders, dates of birth, names, phone numbers and passwords stored as unsalted MD5 hashes. When notified of the incident, FaceUP advised they had identified a SQL injection vulnerability at the time and forced password resets on impacted customers.</t>
  </si>
  <si>
    <t>https://haveibeenpwned.com/Content/Images/PwnedLogos/FaceUP.png</t>
  </si>
  <si>
    <t>['Dates of birth', 'Email addresses', 'Genders', 'Names', 'Passwords', 'Phone numbers', 'Usernames']</t>
  </si>
  <si>
    <t>Factual</t>
  </si>
  <si>
    <t>factual.com</t>
  </si>
  <si>
    <t>In March 2017, a file containing 8M rows of data &lt;a href="https://www.troyhunt.com/when-is-data-public-and-2-5m-public-factual-records" target="_blank" rel="noopener"&gt;allegedly sourced from data aggregator Factual&lt;/a&gt; was compiled and later exchanged on the premise it was a &amp;quot;breach&amp;quot;. The data contained 2.5M unique email addresses alongside business names, addresses and phone numbers. After consultation with Factual, they advised the data was &amp;quot;publicly available information about businesses and other points of interest that Factual makes available on its website and to customers&amp;quot;.</t>
  </si>
  <si>
    <t>https://haveibeenpwned.com/Content/Images/PwnedLogos/Factual.png</t>
  </si>
  <si>
    <t>['Email addresses', 'Employers', 'Phone numbers', 'Physical addresses']</t>
  </si>
  <si>
    <t>Famm</t>
  </si>
  <si>
    <t>famm.us</t>
  </si>
  <si>
    <t>In late 2020, the Japanese family photos website &lt;a href="https://www.riskbasedsecurity.com/2021/01/25/shinyhunters-wave-3-one-hacker-exposes-over-125-million-credentials/" target="_blank" rel="noopener"&gt;Famm suffered a data breach that subsequently exposed 1.3M customer records&lt;/a&gt;, including 535k unique email addresses. Impacted data also included names, dates of birth, genders and passwords stored as SHA-256 hashes.</t>
  </si>
  <si>
    <t>https://haveibeenpwned.com/Content/Images/PwnedLogos/Famm.png</t>
  </si>
  <si>
    <t>['Dates of birth', 'Email addresses', 'Genders', 'Names', 'Passwords']</t>
  </si>
  <si>
    <t>Fanpass</t>
  </si>
  <si>
    <t>fanpass.co.uk</t>
  </si>
  <si>
    <t>In April 2022, the UK based website for buying and selling soccer tickets &lt;a href="https://milled.com/fanpass/fanpass-incident-notification-V6odeYPOxOTPZFq-" target="_blank" rel="noopener"&gt;Fanpass suffered a data breach&lt;/a&gt; which exposed 112k customer records. Impacted data includes names, phone numbers, physical addresses, purchase histories and salted password hashes. The data was provided to HIBP by a source who requested it be attributed to &amp;quot;&lt;a href="https://breaches.net/" target="_blank" rel="noopener"&gt;breaches.net&lt;/a&gt;&amp;quot;.</t>
  </si>
  <si>
    <t>https://haveibeenpwned.com/Content/Images/PwnedLogos/Fanpass.png</t>
  </si>
  <si>
    <t>['Email addresses', 'Genders', 'Names', 'Partial dates of birth', 'Passwords', 'Phone numbers', 'Physical addresses', 'Purchases', 'Social media profiles']</t>
  </si>
  <si>
    <t>FantasyFootballHub</t>
  </si>
  <si>
    <t>Fantasy Football Hub</t>
  </si>
  <si>
    <t>fantasyfootballhub.co.uk</t>
  </si>
  <si>
    <t>In October 2021, the fantasy premier league (soccer) website &lt;a href="https://fantasyfootballhub.co.uk/we-have-suffered-a-cyber-attack/" target="_blank" rel="noopener"&gt;Fantasy Football Hub suffered a data breach that exposed 66 thousand unique email addresses&lt;/a&gt;. The data included names, usernames, IP addresses, transactions and passwords stored as WordPress MD5 hashes.</t>
  </si>
  <si>
    <t>https://haveibeenpwned.com/Content/Images/PwnedLogos/FantasyFootballHub.png</t>
  </si>
  <si>
    <t>['Email addresses', 'IP addresses', 'Names', 'Passwords', 'Purchases', 'Usernames']</t>
  </si>
  <si>
    <t>WhiteRoom</t>
  </si>
  <si>
    <t>Fashion Nexus</t>
  </si>
  <si>
    <t>fashionnexus.co.uk</t>
  </si>
  <si>
    <t>In July 2018, UK-based ecommerce company &lt;a href="https://www.grahamcluley.com/online-fashion-shoppers-exposed-ecommerce-breach/" target="_blank" rel="noopener"&gt;Fashion Nexus suffered a data breach which exposed 1.4 million records&lt;/a&gt;. Multiple websites developed by sister company White Room Solutions were impacted in the breach amongst which were sites including &lt;a href="https://jadedldn.com/" target="_blank" rel="noopener"&gt;Jaded London&lt;/a&gt; and &lt;a href="http://axparis.co.uk" target="_blank" rel="noopener"&gt;AX Paris&lt;/a&gt;. The various sites exposed in the incident included a range of different data types including names, phone numbers, addresses and passwords stored as a mix of salted MD5 and SHA-1 as well as unsalted MD5 passwords. When asked by reporter Graham Cluley if a public statement on the incident was available, a one-word response of &amp;quot;No&amp;quot; was received.</t>
  </si>
  <si>
    <t>https://haveibeenpwned.com/Content/Images/PwnedLogos/WhiteRoom.png</t>
  </si>
  <si>
    <t>['Browser user agent details', 'Dates of birth', 'Email addresses', 'Genders', 'IP addresses', 'Names', 'Passwords', 'Phone numbers', 'Physical addresses', 'Purchases']</t>
  </si>
  <si>
    <t>FashionFantasyGame</t>
  </si>
  <si>
    <t>fashionfantasygame.com</t>
  </si>
  <si>
    <t>In late 2016, the fashion gaming website &lt;a href="http://www.zdnet.com/article/amid-data-breach-responsibility-thrown-to-the-wind/" target="_blank" rel="noopener"&gt;Fashion Fantasy Game suffered a data breach&lt;/a&gt;. The incident exposed 2.3 million unique user accounts and corresponding MD5 password hashes with no salt. The data was contributed to Have I Been Pwned courtesy of rip@creep.im.</t>
  </si>
  <si>
    <t>https://haveibeenpwned.com/Content/Images/PwnedLogos/FashionFantasyGame.png</t>
  </si>
  <si>
    <t>FilmaiIn</t>
  </si>
  <si>
    <t>Filmai.in</t>
  </si>
  <si>
    <t>filmai.in</t>
  </si>
  <si>
    <t>In approximately 2019 or 2020, the Lithuanian movie streaming service &lt;a href="http://filmai.in/" target="_blank" rel="noopener"&gt;Filmai.in&lt;/a&gt; suffered a data breach exposing 645k email addresses, usernames and plain text passwords.</t>
  </si>
  <si>
    <t>https://haveibeenpwned.com/Content/Images/PwnedLogos/FilmaiIn.png</t>
  </si>
  <si>
    <t>FFShrine</t>
  </si>
  <si>
    <t>Final Fantasy Shrine</t>
  </si>
  <si>
    <t>ffshrine.org</t>
  </si>
  <si>
    <t>In September 2015, &lt;a href="http://ffshrine.org" target="_blank" rel="noopener"&gt;the Final Fantasy discussion forum known as FFShrine&lt;/a&gt; was breached and the data dumped publicly. Approximately 620k records were released containing email addresses, IP addresses and salted hashes of passwords.</t>
  </si>
  <si>
    <t>https://haveibeenpwned.com/Content/Images/PwnedLogos/FFShrine.png</t>
  </si>
  <si>
    <t>['Email addresses', 'Passwords', 'Usernames', 'Website activity']</t>
  </si>
  <si>
    <t>FlashFlashRevolution</t>
  </si>
  <si>
    <t>Flash Flash Revolution (2016 breach)</t>
  </si>
  <si>
    <t>flashflashrevolution.com</t>
  </si>
  <si>
    <t>In February 2016, the music-based rhythm game known as &lt;a href="http://www.flashflashrevolution.com" target="_blank" rel="noopener"&gt;Flash Flash Revolution&lt;/a&gt; was hacked and 1.8M accounts were exposed. Along with email and IP addresses, the vBulletin forum also exposed salted MD5 password hashes.</t>
  </si>
  <si>
    <t>https://haveibeenpwned.com/Content/Images/PwnedLogos/FlashFlashRevolution.png</t>
  </si>
  <si>
    <t>FlashFlashRevolution2019</t>
  </si>
  <si>
    <t>Flash Flash Revolution (2019 breach)</t>
  </si>
  <si>
    <t>In July 2019, the music-based rhythm game &lt;a href="http://www.flashflashrevolution.com/" target="_blank" rel="noopener"&gt;Flash Flash Revolution&lt;/a&gt; suffered a data breach. The 2019 breach imapcted almost 1.9 million members and is &lt;em&gt;in addition to&lt;/em&gt; &lt;a href="http://www.flashflashrevolution.com/ffr/information-breach/" target="_blank" rel="noopener"&gt;the 2016 data breach of the same service&lt;/a&gt;. Email and IP addesses, usernames, dates of birth and salted MD5 hashes were all exposed in the breach. The data was provided with support from &lt;a href="https://dehashed.com/" target="_blank" rel="noopener"&gt;dehashed.com&lt;/a&gt;.</t>
  </si>
  <si>
    <t>Flashback</t>
  </si>
  <si>
    <t>flashback.se</t>
  </si>
  <si>
    <t>In February 2015, &lt;a href="http://www.flashback.se/" target="_blank" rel="noopener"&gt;the Swedish forum known as Flashback&lt;/a&gt; had sensitive internal data on 40k members published via the tabloid newspaper &lt;a href="http://www.aftonbladet.se/" target="_blank" rel="noopener"&gt;Aftonbladet&lt;/a&gt;. The data was &lt;a href="http://swedishsurveyor.com/2015/02/11/the-inquisition/"&gt;allegedly sold to them via Researchgruppen&lt;/a&gt; (The Research Group) &lt;a href="http://www.technologyreview.com/photoessay/533426/the-troll-hunters/" target="_blank" rel="noopener"&gt;who have a history of exposing otherwise anonymous users&lt;/a&gt;, primarily those who they believe participate in &amp;quot;troll like&amp;quot; behaviour. The compromised data includes social security numbers, home and email addresses.</t>
  </si>
  <si>
    <t>https://haveibeenpwned.com/Content/Images/PwnedLogos/Flashback.png</t>
  </si>
  <si>
    <t>['Email addresses', 'Government issued IDs', 'Physical addresses']</t>
  </si>
  <si>
    <t>FlexBooker</t>
  </si>
  <si>
    <t>flexbooker.com</t>
  </si>
  <si>
    <t>In December 2021, the online booking service &lt;a href="https://www.flexbooker.com/" target="_blank" rel="noopener"&gt;FlexBooker&lt;/a&gt; suffered a data breach that exposed 3.7 million accounts. The data included email addresses, names, phone numbers and for a small number of accounts, password hashes and partial credit card data. FlexBooker has identified the breach as originating from a compromised account within their AWS infrastructure. The data was found being actively traded on a popular hacking forum and was provided to HIBP by a source who requested it be attributed to &amp;quot;white_peacock@riseup.net&amp;quot;.</t>
  </si>
  <si>
    <t>https://haveibeenpwned.com/Content/Images/PwnedLogos/FlexBooker.png</t>
  </si>
  <si>
    <t>['Email addresses', 'Names', 'Partial credit card data', 'Passwords', 'Phone numbers']</t>
  </si>
  <si>
    <t>Fling</t>
  </si>
  <si>
    <t>fling.com</t>
  </si>
  <si>
    <t>In 2011, the self-proclaimed &amp;quot;World's Best Adult Social Network&amp;quot; website known as Fling &lt;a href="http://motherboard.vice.com/read/another-day-another-hack-passwords-and-sexual-desires-for-dating-site-fling" target="_blank" rel="noopener"&gt;was hacked and more than 40 million accounts obtained by the attacker&lt;/a&gt;. The breached data included highly sensitive personal attributes such as sexual orientation and sexual interests as well as email addresses and passwords stored in plain text.</t>
  </si>
  <si>
    <t>https://haveibeenpwned.com/Content/Images/PwnedLogos/Fling.png</t>
  </si>
  <si>
    <t>['Dates of birth', 'Email addresses', 'Genders', 'Geographic locations', 'IP addresses', 'Passwords', 'Phone numbers', 'Sexual fetishes', 'Sexual orientations', 'Usernames', 'Website activity']</t>
  </si>
  <si>
    <t>FLVS</t>
  </si>
  <si>
    <t>Florida Virtual School</t>
  </si>
  <si>
    <t>flvs.net</t>
  </si>
  <si>
    <t>In March 2018, the Florida Virtual School (FLVS) &lt;a href="https://www.flvs.net/notices?source=homepage" target="_blank" rel="noopener"&gt;posted a data breach notification to their website&lt;/a&gt;. The school had identified a data breach which had occurred sometime between 6 May 2016 and 12 Feb 2018 and an XML file containing 368k student records was subsequently found circulating. Each record contained student name, date of birth, password, grade, email &lt;em&gt;and&lt;/em&gt; parent email resulting in a total of 543k unique email addresses. Due to the prevalence of email addresses belonging to individuals who are still legally children, the data breach has been flagged as &amp;quot;sensitive&amp;quot;.</t>
  </si>
  <si>
    <t>https://haveibeenpwned.com/Content/Images/PwnedLogos/FLVS.png</t>
  </si>
  <si>
    <t>['Dates of birth', 'Email addresses', 'Names', 'Passwords', 'School grades (class levels)', 'Usernames']</t>
  </si>
  <si>
    <t>Foodora</t>
  </si>
  <si>
    <t>foodora.com</t>
  </si>
  <si>
    <t>In April 2016, the online food delivery service &lt;a href="https://www.databreachtoday.com/delivery-hero-confirms-foodora-data-breach-a-14435" target="_blank" rel="noopener"&gt;Foodora suffered a data breach&lt;/a&gt; which was then extensively redistributed online. The breach included the personal information of hundreds of thousands of customers from multiple countries including their names, delivery addresses, phone numbers and passwords stored as either a salted MD5 or a bcrypt hash.</t>
  </si>
  <si>
    <t>https://haveibeenpwned.com/Content/Images/PwnedLogos/Foodora.png</t>
  </si>
  <si>
    <t>Forbes</t>
  </si>
  <si>
    <t>forbes.com</t>
  </si>
  <si>
    <t>In February 2014, the Forbes website &lt;a href="http://news.cnet.com/8301-1009_3-57618945-83/syrian-electronic-army-hacks-forbes-steals-user-data" target="_blank" rel="noopener"&gt;succumbed to an attack that leaked over 1 million user accounts&lt;/a&gt;. The attack was attributed to the Syrian Electronic Army, allegedly as retribution for a perceived "Hate of Syria". The attack not only leaked user credentials, but also resulted in the posting of fake news stories to forbes.com.</t>
  </si>
  <si>
    <t>https://haveibeenpwned.com/Content/Images/PwnedLogos/Forbes.png</t>
  </si>
  <si>
    <t>['Email addresses', 'Passwords', 'User website URLs', 'Usernames']</t>
  </si>
  <si>
    <t>ForumCommunity</t>
  </si>
  <si>
    <t>forumcommunity.net</t>
  </si>
  <si>
    <t>In approximately mid-2016, the Italian-based service for creating forums known as &lt;a href="https://www.forumcommunity.net/" target="_blank" rel="noopener"&gt;ForumCommunity&lt;/a&gt; suffered a data breach. The incident impacted over 776k unique email addresses along with usernames and unsalted MD5 password hashes. No response was received from ForumCommunity when contacted.</t>
  </si>
  <si>
    <t>https://haveibeenpwned.com/Content/Images/PwnedLogos/ForumCommunity.png</t>
  </si>
  <si>
    <t>Fotolog</t>
  </si>
  <si>
    <t>fotolog.com</t>
  </si>
  <si>
    <t>In December 2018, the photo sharing social network &lt;a href="https://www.theregister.com/2019/02/11/620_million_hacked_accounts_dark_web/" target="_blank" rel="noopener"&gt;Fotolog suffered a data breach&lt;/a&gt; that exposed 16.7 million unique email addresses. The data also included usernames and unsalted SHA-256 password hashes. The site was dissolved the following year and repurposed as a news website based in Brcko, Bosnia and Herzegovina.</t>
  </si>
  <si>
    <t>https://haveibeenpwned.com/Content/Images/PwnedLogos/Fotolog.png</t>
  </si>
  <si>
    <t>FoxyBingo</t>
  </si>
  <si>
    <t>Foxy Bingo</t>
  </si>
  <si>
    <t>foxybingo.com</t>
  </si>
  <si>
    <t>In April 2007, the online gambling site &lt;a href="https://www.foxybingo.com" target="_blank" rel="noopener"&gt;Foxy Bingo&lt;/a&gt; was hacked and 252,000 accounts were obtained by the hackers. The breached records &lt;a href="http://www.itpro.co.uk/637279/gambler-busted-flogging-stolen-data-to-gaming-firms" target="_blank" rel="noopener"&gt;were subsequently sold and traded&lt;/a&gt; and included personal information data such as plain text passwords, birth dates and home addresses.</t>
  </si>
  <si>
    <t>https://haveibeenpwned.com/Content/Images/PwnedLogos/FoxyBingo.png</t>
  </si>
  <si>
    <t>['Account balances', 'Browser user agent details', 'Dates of birth', 'Email addresses', 'Genders', 'Names', 'Passwords', 'Phone numbers', 'Physical addresses', 'Usernames', 'Website activity']</t>
  </si>
  <si>
    <t>FreedomHostingII</t>
  </si>
  <si>
    <t>Freedom Hosting II</t>
  </si>
  <si>
    <t>fhostingesps6bly.onion</t>
  </si>
  <si>
    <t>In January 2017, the free hidden service host &lt;a href="http://www.theverge.com/2017/2/3/14497992/freedom-hosting-ii-hacked-anonymous-dark-web-tor" target="_blank" rel="noopener"&gt;Freedom Hosting II suffered a data breach&lt;/a&gt;. The attack allegedly took down 20% of dark web sites running behind Tor hidden services with the attacker claiming that of the 10,613 impacted sites, more than 50% of the content was child pornography. The hack led to the exposure of MySQL databases for the sites which included a vast amount of information on the hidden services Freedom Hosting II was managing. The impacted data classes far exceeds those listed for the breach and differ between the thousands of impacted sites.</t>
  </si>
  <si>
    <t>https://haveibeenpwned.com/Content/Images/PwnedLogos/FreedomHostingII.png</t>
  </si>
  <si>
    <t>FreshMenu</t>
  </si>
  <si>
    <t>freshmenu.com</t>
  </si>
  <si>
    <t>In July 2016, the India-based food delivery service &lt;a href="https://www.freshmenu.com/" target="_blank" rel="noopener"&gt;FreshMenu&lt;/a&gt; suffered a data breach. The incident exposed the personal data of over 110k customers and included their names, email addresses, phone numbers, home addresses and order histories. When advised of the incident, FreshMenu acknowledged being already aware of the breach but stated they had decided not to notify impacted customers.</t>
  </si>
  <si>
    <t>https://haveibeenpwned.com/Content/Images/PwnedLogos/FreshMenu.png</t>
  </si>
  <si>
    <t>['Device information', 'Email addresses', 'Names', 'Phone numbers', 'Physical addresses', 'Purchases']</t>
  </si>
  <si>
    <t>Fridae</t>
  </si>
  <si>
    <t>fridae.asia</t>
  </si>
  <si>
    <t xml:space="preserve">In May 2014, over 25,000 user accounts were breached from the Asian lesbian, gay, bisexual and transgender website known as "Fridae". The attack which was &lt;a href="https://twitter.com/Survela/status/463327706361659392" target="_blank" rel="noopener"&gt;announced on Twitter&lt;/a&gt; appears to have been &lt;a href="http://pastebin.com/ipFKjv6z" target="_blank" rel="noopener"&gt;orchestrated by Deletesec&lt;/a&gt; who claim that "Digital weapons shall annihilate all secrecy within governments and corporations". The exposed data included password stored in plain text. </t>
  </si>
  <si>
    <t>https://haveibeenpwned.com/Content/Images/PwnedLogos/Fridae.png</t>
  </si>
  <si>
    <t>Funimation</t>
  </si>
  <si>
    <t>funimation.com</t>
  </si>
  <si>
    <t>In July 2016, the anime site &lt;a href="https://www.funimation.com/" target="_blank" rel="noopener"&gt;Funimation&lt;/a&gt; suffered a data breach that impacted 2.5 million accounts. The data contained usernames, email addresses, dates of birth and salted SHA1 hashes of passwords.</t>
  </si>
  <si>
    <t>https://haveibeenpwned.com/Content/Images/PwnedLogos/Funimation.png</t>
  </si>
  <si>
    <t>FunnyGames</t>
  </si>
  <si>
    <t>Funny Games</t>
  </si>
  <si>
    <t>funny-games.biz</t>
  </si>
  <si>
    <t>In April 2018, the online entertainment site &lt;a href="https://www.funny-games.biz/" target="_blank" rel="noopener"&gt;Funny Games&lt;/a&gt; suffered a data breach that disclosed 764k records including usernames, email and IP addresses and salted MD5 password hashes. The incident was disclosed to Funny Games in July who acknowledged the breach and identified it had been caused by legacy code no longer in use. The record count in the breach constitute approximately half of the user base.</t>
  </si>
  <si>
    <t>https://haveibeenpwned.com/Content/Images/PwnedLogos/FunnyGames.png</t>
  </si>
  <si>
    <t>FurAffinity</t>
  </si>
  <si>
    <t>Fur Affinity</t>
  </si>
  <si>
    <t>furaffinity.net</t>
  </si>
  <si>
    <t>In May 2016, the Fur Affinity website for people with an interest in anthropomorphic animal characters (also known as "furries") &lt;a href="http://motherboard.vice.com/read/another-day-another-hack-furry-site-hacked-content-deleted" target="_blank" rel="noopener"&gt;was hacked&lt;/a&gt;. The attack exposed 1.2M email addresses (many accounts had a different "first" and "last" email against them) and hashed passwords.</t>
  </si>
  <si>
    <t>https://haveibeenpwned.com/Content/Images/PwnedLogos/FurAffinity.png</t>
  </si>
  <si>
    <t>Gaadi</t>
  </si>
  <si>
    <t>gaadi.com</t>
  </si>
  <si>
    <t>In May 2015, the Indian motoring website known as &lt;a href="https://www.gaadi.com/" target="_blank" rel="noopener"&gt;Gaadi&lt;/a&gt; had 4.3 million records exposed in a data breach. The data contained usernames, email and IP addresses, genders, the city of users as well as passwords stored in both plain text and as MD5 hashes. The site was previously reported as compromised on the &lt;a href="https://vigilante.pw/" target="_blank" rel="noopener"&gt;Vigilante.pw&lt;/a&gt; breached database directory.</t>
  </si>
  <si>
    <t>https://haveibeenpwned.com/Content/Images/PwnedLogos/Gaadi.png</t>
  </si>
  <si>
    <t>['Email addresses', 'Genders', 'Geographic locations', 'IP addresses', 'Names', 'Passwords', 'Phone numbers', 'Usernames']</t>
  </si>
  <si>
    <t>Gab</t>
  </si>
  <si>
    <t>gab.com</t>
  </si>
  <si>
    <t>In February 2021, the alt-tech social network service &lt;a href="https://www.troyhunt.com/gab-has-been-breached/" target="_blank" rel="noopener"&gt;Gab suffered a data breach&lt;/a&gt;. The incident exposed almost 70GB of data including 4M user accounts, a small number of private chat logs and a list of public groups and public posts made to the service. Only a small number of accounts included email addresses and / or passwords stored as bcrypt hashes with a total of 66.5k unique email addresses being exposed across the corpus of data.</t>
  </si>
  <si>
    <t>https://haveibeenpwned.com/Content/Images/PwnedLogos/Gab.png</t>
  </si>
  <si>
    <t>['Avatars', 'Email addresses', 'Names', 'Passwords', 'Private messages', 'Usernames']</t>
  </si>
  <si>
    <t>GamerzPlanet</t>
  </si>
  <si>
    <t>Gamerzplanet</t>
  </si>
  <si>
    <t>gamerzplanet.net</t>
  </si>
  <si>
    <t>In approximately October 2015, the online gaming forum known as &lt;a href="http://gamerzplanet.net" target="_blank" rel="noopener"&gt;Gamerzplanet&lt;/a&gt; was hacked and more than 1.2M accounts were exposed. The vBulletin forum included IP addresses and passwords stored as salted hashes using a weak implementation enabling many to be rapidly cracked.</t>
  </si>
  <si>
    <t>https://haveibeenpwned.com/Content/Images/PwnedLogos/GamerzPlanet.png</t>
  </si>
  <si>
    <t>GameSalad</t>
  </si>
  <si>
    <t>gamesalad.com</t>
  </si>
  <si>
    <t>In February 2019, the education and game creation website &lt;a href="https://www.zdnet.com/article/round-4-hacker-returns-and-puts-26mil-user-records-for-sale-on-the-dark-web/" target="_blank" rel="noopener"&gt;Game Salad suffered a data breach&lt;/a&gt;. The incident impacted 1.5M accounts and exposed email addresses, usernames, IP addresses and passwords stored as SHA-256 hashes. The data was provided to HIBP by a source who requested it be attributed to &amp;quot;JimScott.Sec@protonmail.com&amp;quot;.</t>
  </si>
  <si>
    <t>https://haveibeenpwned.com/Content/Images/PwnedLogos/GameSalad.png</t>
  </si>
  <si>
    <t>GameTuts</t>
  </si>
  <si>
    <t>game-tuts.com</t>
  </si>
  <si>
    <t>Likely in early 2015, the video game website GameTuts suffered a data breach and over 2 million user accounts were exposed. The site later &lt;a href="https://twitter.com/TeamModio/status/756705841168916486" target="_blank" rel="noopener"&gt;shut down in July 2016&lt;/a&gt; but was identified as having been hosted on a vBulletin forum. The exposed data included usernames, email and IP addresses and salted MD5 hashes.</t>
  </si>
  <si>
    <t>https://haveibeenpwned.com/Content/Images/PwnedLogos/GameTuts.png</t>
  </si>
  <si>
    <t>Gamigo</t>
  </si>
  <si>
    <t>gamigo.com</t>
  </si>
  <si>
    <t>In March 2012, the German online game publisher Gamigo &lt;a href="http://www.zdnet.com/article/8-24-million-gamigo-passwords-leaked-after-hack/" target="_blank" rel="noopener"&gt;was hacked&lt;/a&gt; and more than 8 million accounts publicly leaked. The breach included email addresses and passwords stored as weak MD5 hashes with no salt.</t>
  </si>
  <si>
    <t>https://haveibeenpwned.com/Content/Images/PwnedLogos/Gamigo.png</t>
  </si>
  <si>
    <t>GateHub</t>
  </si>
  <si>
    <t>gatehub.net</t>
  </si>
  <si>
    <t>In October 2019, &lt;a href="https://arstechnica.com/information-technology/2019/11/password-data-dumped-online-for-2-2-million-users-of-currency-and-gaming-sites/" target="_blank" rel="noopener"&gt;1.4M accounts from the cryptocurrency wallet service GateHub were posted to a popular hacking forum&lt;/a&gt;. GateHub had &lt;a href="https://gatehub.net/blog/gatehub-update-investigation-continues/" target="_blank" rel="noopener"&gt;previously acknowledged a data breach in June&lt;/a&gt;, albeit with a smaller number of impacted accounts. Data from the breach included email addresses, mnemonic phrases, encrypted master keys, encrypted recovery keys and passwords stored as bcrypt hashes.</t>
  </si>
  <si>
    <t>https://haveibeenpwned.com/Content/Images/PwnedLogos/GateHub.png</t>
  </si>
  <si>
    <t>['Email addresses', 'Encrypted keys', 'Mnemonic phrases', 'Passwords']</t>
  </si>
  <si>
    <t>Gawker</t>
  </si>
  <si>
    <t>gawker.com</t>
  </si>
  <si>
    <t>In December 2010, Gawker was attacked by the hacker collective &amp;quot;Gnosis&amp;quot; in retaliation for what was reported to be a feud between Gawker and 4Chan. Information about Gawkers 1.3M users was published along with the data from Gawker's other web presences including Gizmodo and Lifehacker. Due to the prevalence of password reuse, many victims of the breach &lt;a href="http://www.troyhunt.com/2011/01/why-your-apps-security-design-could.html" target="_blank" rel="noopener"&gt;then had their Twitter accounts compromised to send Acai berry spam&lt;/a&gt;.</t>
  </si>
  <si>
    <t>https://haveibeenpwned.com/Content/Images/PwnedLogos/Gawker.png</t>
  </si>
  <si>
    <t>Gett</t>
  </si>
  <si>
    <t>Ge.tt</t>
  </si>
  <si>
    <t>ge.tt</t>
  </si>
  <si>
    <t>In May 2017, the file sharing platform &lt;a href="https://www.zdnet.com/article/127-million-user-records-from-8-companies-put-up-for-sale-on-the-dark-web/" target="_blank" rel="noopener"&gt;Ge.tt suffered a data breach&lt;/a&gt;. The data was subsequently put up for sale on a dark web marketplace in February 2019 alongside a raft of other breaches. The Ge.tt breach included names, social media profile identifiers, SHA256 password hashes and almost 2.5M unique email addresses. The data was provided to HIBP by a source who requested it be attributed to &lt;a href="https://www.linkedin.com/company/breachdirectory/" target="_blank" rel="noopener"&gt;BreachDirectory&lt;/a&gt;.</t>
  </si>
  <si>
    <t>https://haveibeenpwned.com/Content/Images/PwnedLogos/Gett.png</t>
  </si>
  <si>
    <t>['Email addresses', 'Names', 'Passwords', 'Social media profiles']</t>
  </si>
  <si>
    <t>GeekedIn</t>
  </si>
  <si>
    <t>geekedin.net</t>
  </si>
  <si>
    <t>In August 2016, the technology recruitment site GeekedIn left a MongoDB database exposed and over 8M records were extracted by an unknown third party. The breached data was originally scraped from GitHub in violation of their terms of use and contained information exposed in public profiles, including over 1 million members' email addresses. Full details on the incident (including how impacted members can see their leaked data) are covered in the blog post on &lt;a href="https://www.troyhunt.com/8-million-github-profiles-were-leaked-from-geekedins-mongodb-heres-how-to-see-yours" target="_blank" rel="noopener"&gt;8 million GitHub profiles were leaked from GeekedIn's MongoDB - here's how to see yours&lt;/a&gt;.</t>
  </si>
  <si>
    <t>https://haveibeenpwned.com/Content/Images/PwnedLogos/GeekedIn.png</t>
  </si>
  <si>
    <t>['Email addresses', 'Geographic locations', 'Names', 'Professional skills', 'Usernames', 'Years of professional experience']</t>
  </si>
  <si>
    <t>Gemini</t>
  </si>
  <si>
    <t>gemini.com</t>
  </si>
  <si>
    <t>In late 2022, &lt;a href="https://www.bleepingcomputer.com/news/security/hackers-leak-personal-info-allegedly-stolen-from-57m-gemini-users/" target="_blank" rel="noopener"&gt;data allegedly taken from the Gemini crypto exchange was posted to a public hacking forum&lt;/a&gt;. The data consisted of email addresses and partial phone numbers, which Gemini later attributed to &lt;a href="https://www.gemini.com/blog/protecting-our-customers-from-phishing-campaigns" target="_blank" rel="noopener"&gt;an incident at a third-party vendor&lt;/a&gt; (the vendor was not named). The data was provided to HIBP by a source who requested it be attributed to &amp;quot;ZAN @ BF&amp;quot;.</t>
  </si>
  <si>
    <t>https://haveibeenpwned.com/Content/Images/PwnedLogos/Gemini.png</t>
  </si>
  <si>
    <t>GeniusU</t>
  </si>
  <si>
    <t>geniusu.com</t>
  </si>
  <si>
    <t>In November 2020, &lt;a href="https://www.databreaches.net/more-drama-on-a-forum-and-a-slew-of-new-databases-dumped/" target="_blank" rel="noopener"&gt;a collection of data breaches were made public including the &amp;quot;Entrepreneur Success Platform&amp;quot;, GeniusU&lt;/a&gt;. Dating back to the previous month, the data included 1.3M names, email and IP addresses, genders, links to social media profiles and passwords stored as bcrypt hashes. The data was provided to HIBP by &lt;a href="https://dehashed.com/" target="_blank" rel="noopener"&gt;dehashed.com&lt;/a&gt;.</t>
  </si>
  <si>
    <t>https://haveibeenpwned.com/Content/Images/PwnedLogos/GeniusU.png</t>
  </si>
  <si>
    <t>['Email addresses', 'Genders', 'IP addresses', 'Names', 'Passwords', 'Social media profiles']</t>
  </si>
  <si>
    <t>GetRevengeOnYourEx</t>
  </si>
  <si>
    <t>Get Revenge On Your Ex</t>
  </si>
  <si>
    <t>getrevengeonyourex.com</t>
  </si>
  <si>
    <t>In September 2022, the revenge website &lt;a href="https://getrevengeonyourex.com/" target="_blank" rel="noopener"&gt;Get Revenge On Your Ex&lt;/a&gt; suffered a data breach that exposed almost 80k unique email addresses. The data spanned both customers and victims including names, IP and physical addresses, phone numbers, purchase histories and plain text passwords. The data was subsequently shared on a public hacking forum, Get Revenge On Your Ex did not reply when contacted.</t>
  </si>
  <si>
    <t>https://haveibeenpwned.com/Content/Images/PwnedLogos/GetRevengeOnYourEx.png</t>
  </si>
  <si>
    <t>['Email addresses', 'IP addresses', 'Names', 'Passwords', 'Phone numbers', 'Physical addresses', 'Purchases']</t>
  </si>
  <si>
    <t>GFAN</t>
  </si>
  <si>
    <t>gfan.com</t>
  </si>
  <si>
    <t>In October 2016, data surfaced that was allegedly obtained from the Chinese website known as &lt;a href="http://www.gfan.com" target="_blank" rel="noopener"&gt;GFAN&lt;/a&gt; and contained 22.5M accounts. Whilst there is evidence that the data is legitimate, due to the difficulty of emphatically verifying the Chinese breach it has been flagged as &amp;quot;unverified&amp;quot;. The data in the breach contains email and IP addresses, user names and salted and hashed passwords. &lt;a href="https://www.troyhunt.com/handling-chinese-data-breaches-in-have-i-been-pwned/" target="_blank" rel="noopener"&gt;Read more about Chinese data breaches in Have I Been Pwned.&lt;/a&gt;</t>
  </si>
  <si>
    <t>https://haveibeenpwned.com/Content/Images/PwnedLogos/GFAN.png</t>
  </si>
  <si>
    <t>GGCorp</t>
  </si>
  <si>
    <t>ggcorp.me</t>
  </si>
  <si>
    <t>In August 2022, the MMORPG website &lt;a href="https://twitter.com/FalconFeedsio/status/1558362615067250688" target="_blank" rel="noopener"&gt;GGCorp suffered a data breach that exposed almost 2.4M unique email addresses&lt;/a&gt;. The data also included IP addresses, usernames and MD5 password hashes.</t>
  </si>
  <si>
    <t>https://haveibeenpwned.com/Content/Images/PwnedLogos/GGCorp.png</t>
  </si>
  <si>
    <t>GiveSendGo</t>
  </si>
  <si>
    <t>givesendgo.com</t>
  </si>
  <si>
    <t>In February 2022, the Christian fundraising service &lt;a href="https://techcrunch.com/2022/02/14/freedom-convoy-donor-leak-givesendgo/" target="_blank" rel="noopener"&gt;GiveSendGo suffered a data breach which exposed the personal data of 90k donors to the Canadian &amp;quot;Freedom Convoy&amp;quot; protest against vaccine mandates&lt;/a&gt;. The breach exposed names, email addresses, post codes, donation amount and comments left at the time of donation.</t>
  </si>
  <si>
    <t>https://haveibeenpwned.com/Content/Images/PwnedLogos/GiveSendGo.png</t>
  </si>
  <si>
    <t>['Email addresses', 'Geographic locations', 'Names', 'Purchases']</t>
  </si>
  <si>
    <t>Glofox</t>
  </si>
  <si>
    <t>glofox.com</t>
  </si>
  <si>
    <t>In March 2020, the Irish gym management software company &lt;a href="https://www.irishtimes.com/business/technology/irish-start-up-glofox-investigates-possible-data-breach-1.4414837" target="_blank" rel="noopener"&gt;Glofox suffered a data breach which exposed 2.3M membership records&lt;/a&gt;. The data included email addresses, names, phone numbers, genders, dates of birth and passwords stored as unsalted MD5 hashes.</t>
  </si>
  <si>
    <t>https://haveibeenpwned.com/Content/Images/PwnedLogos/Glofox.png</t>
  </si>
  <si>
    <t>['Dates of birth', 'Email addresses', 'Genders', 'Names', 'Passwords', 'Phone numbers']</t>
  </si>
  <si>
    <t>GoGames</t>
  </si>
  <si>
    <t>Go Games</t>
  </si>
  <si>
    <t>gogames.me</t>
  </si>
  <si>
    <t>In approximately October 2015, the manga website &lt;a href="http://gogames.me" target="_blank" rel="noopener"&gt;Go Games&lt;/a&gt; suffered a data breach. The exposed data included 3.4M customer records including email and IP addresses, usernames and passwords stored as salted MD5 hashes. Go Games did not respond when contacted about the incident. The data was provided to HIBP by &lt;a href="https://dehashed.com/" target="_blank" rel="noopener"&gt;dehashed.com&lt;/a&gt;.</t>
  </si>
  <si>
    <t>https://haveibeenpwned.com/Content/Images/PwnedLogos/GoGames.png</t>
  </si>
  <si>
    <t>GoldSilver</t>
  </si>
  <si>
    <t>goldsilver.com</t>
  </si>
  <si>
    <t>In October 2018, the bullion education and dealer services site &lt;a href="https://goldsilver.com/" target="_blank" rel="noopener"&gt;GoldSilver&lt;/a&gt; suffered a data breach that exposed 243k unique email addresses spanning customers and mailing list subscribers. An extensive amount of personal information on customers was obtained including names, addresses, phone numbers, purchases and passwords and answers to security questions stored as MD5 hashes. In a small number of cases, passport, social security numbers and partial credit card data was also exposed. The data breach and source code belonging to GoldSilver was publicly posted on a dark web service where it remained months later. When notified about the incident, GoldSilver advised that &amp;quot;all affected customers have been directly notified&amp;quot;.</t>
  </si>
  <si>
    <t>https://haveibeenpwned.com/Content/Images/PwnedLogos/GoldSilver.png</t>
  </si>
  <si>
    <t>['Bank account numbers', 'Email addresses', 'IP addresses', 'Names', 'Partial credit card data', 'Passport numbers', 'Phone numbers', 'Physical addresses', 'Purchases', 'Security questions and answers', 'Social security numbers']</t>
  </si>
  <si>
    <t>gPotato</t>
  </si>
  <si>
    <t>gpotato.com</t>
  </si>
  <si>
    <t>In July 2007, the multiplayer game portal known as &lt;a href="https://web.archive.org/web/20070710161412/http://gpotato.com/" target="_blank" rel="noopener"&gt;gPotato&lt;/a&gt; (link to archive of the site at that time) suffered a data breach and over 2 million user accounts were exposed. The site later merged into the &lt;a href="http://www.webzen.com/" target="_blank" rel="noopener"&gt;Webzen portal&lt;/a&gt; where the original accounts still exist today. The exposed data included usernames, email and IP addresses, MD5 hashes and personal attributes such as gender, birth date, physical address and security questions and answers stored in plain text.</t>
  </si>
  <si>
    <t>https://haveibeenpwned.com/Content/Images/PwnedLogos/gPotato.png</t>
  </si>
  <si>
    <t>['Dates of birth', 'Email addresses', 'Genders', 'IP addresses', 'Names', 'Passwords', 'Physical addresses', 'Security questions and answers', 'Usernames', 'Website activity']</t>
  </si>
  <si>
    <t>GPSUnderground</t>
  </si>
  <si>
    <t>GPS Underground</t>
  </si>
  <si>
    <t>gpsunderground.com</t>
  </si>
  <si>
    <t>In early 2017, &lt;a href="https://www.hackread.com/vbulletin-forums-hacked-accounts-sold-on-dark-web/" target="_blank" rel="noopener"&gt;GPS Underground was amongst a collection of compromised vBulletin websites that were found being sold online&lt;/a&gt;. The breach dated back to mid-2016 and included 670k records with usernames, email and IP addresses, dates of birth and salted MD5 password hashes.</t>
  </si>
  <si>
    <t>https://haveibeenpwned.com/Content/Images/PwnedLogos/GPSUnderground.png</t>
  </si>
  <si>
    <t>Gravatar</t>
  </si>
  <si>
    <t>gravatar.com</t>
  </si>
  <si>
    <t>In October 2020, &lt;a href="https://www.bleepingcomputer.com/news/security/online-avatar-service-gravatar-allows-mass-collection-of-user-info/" target="_blank" rel="noopener"&gt;a security researcher published a technique for scraping large volumes of data from Gravatar, the service for providing globally unique avatars &lt;/a&gt;. 167 million names, usernames and MD5 hashes of email addresses used to reference users' avatars were subsequently scraped and distributed within the hacking community. 114 million of the MD5 hashes were cracked and distributed alongside the source hash, thus disclosing the original email address and accompanying data. Following the impacted email addresses being searchable in HIBP, &lt;a href="https://en.gravatar.com/support/data-privacy" target="_blank" rel="noopener"&gt;Gravatar release an FAQ detailing the incident&lt;/a&gt;.</t>
  </si>
  <si>
    <t>https://haveibeenpwned.com/Content/Images/PwnedLogos/Gravatar.png</t>
  </si>
  <si>
    <t>['Email addresses', 'Names', 'Usernames']</t>
  </si>
  <si>
    <t>GTAGaming</t>
  </si>
  <si>
    <t>gtagaming.com</t>
  </si>
  <si>
    <t>In August 2016, the Grand Theft Auto forum &lt;a href="https://motherboard.vice.com/read/grand-theft-auto-fan-site-hacked" target="_blank" rel="noopener"&gt;GTAGaming was hacked and nearly 200k user accounts were leaked&lt;/a&gt;. The vBulletin based forum included usernames, email addresses and password hashes.</t>
  </si>
  <si>
    <t>https://haveibeenpwned.com/Content/Images/PwnedLogos/GTAGaming.png</t>
  </si>
  <si>
    <t>Playgar</t>
  </si>
  <si>
    <t>Guns and Robots</t>
  </si>
  <si>
    <t>play-gar.com</t>
  </si>
  <si>
    <t>In approximately April 2016, the gaming website &lt;a href="https://www.play-gar.com/" target="_blank" rel="noopener"&gt;Guns and Robots&lt;/a&gt; suffered a data breach resulting in the exposure of 143k unique records. The data contained email and IP addresses, usernames and SHA-1 password hashes. The site was previously reported as compromised on the &lt;a href="https://vigilante.pw/" target="_blank" rel="noopener"&gt;Vigilante.pw&lt;/a&gt; breached database directory.</t>
  </si>
  <si>
    <t>https://haveibeenpwned.com/Content/Images/PwnedLogos/Playgar.png</t>
  </si>
  <si>
    <t>GunsDotCom</t>
  </si>
  <si>
    <t>Guns.com</t>
  </si>
  <si>
    <t>guns.com</t>
  </si>
  <si>
    <t>In January 2021, the firearms website &lt;a href="https://gizmodo.com/guns-com-gets-hacked-spilling-gun-owner-information-al-1846544734" target="_blank" rel="noopener"&gt;guns.com suffered a data breach&lt;/a&gt;. The breach exposed 376k unique email addresses along with names, phone numbers, physical addresses, gun purchases, partial credit card data, dates of birth and passwords stored as bcrypt hashes.</t>
  </si>
  <si>
    <t>https://haveibeenpwned.com/Content/Images/PwnedLogos/GunsDotCom.png</t>
  </si>
  <si>
    <t>['Dates of birth', 'Email addresses', 'Names', 'Partial credit card data', 'Passwords', 'Phone numbers', 'Physical addresses', 'Purchases']</t>
  </si>
  <si>
    <t>Guntrader</t>
  </si>
  <si>
    <t>guntrader.uk</t>
  </si>
  <si>
    <t>In July 2021, the United Kingdom based website &lt;a href="https://www.fieldsportschannel.tv/guntrader-co-uk-hacked-not-much-lost/" target="_blank" rel="noopener"&gt;Guntrader suffered a data breach that exposed 112k unique email addresses&lt;/a&gt;. Extensive personal information was also exposed including names, phone numbers, geolocation data, IP addresses and various physical address attributes (cities for all users, complete addresses for some). Passwords stored as bcrypt hashes were also exposed.</t>
  </si>
  <si>
    <t>https://haveibeenpwned.com/Content/Images/PwnedLogos/Guntrader.png</t>
  </si>
  <si>
    <t>['Browser user agent details', 'Email addresses', 'Geographic locations', 'IP addresses', 'Names', 'Passwords', 'Phone numbers', 'Physical addresses', 'Salutations']</t>
  </si>
  <si>
    <t>HackForums</t>
  </si>
  <si>
    <t>hackforums.net</t>
  </si>
  <si>
    <t>In June 2011, the hacktivist group known as "LulzSec" leaked &lt;a href="http://www.forbes.com/sites/andygreenberg/2011/06/25/lulzsec-says-goodbye-dumping-nato-att-gamer-data/" target="_blank" rel="noopener"&gt;one final large data breach they titled "50 days of lulz"&lt;/a&gt;. The compromised data came from sources such as AT&amp;T, Battlefield Heroes and the &lt;a href="http://hackforums.net" target="_blank" rel="noopener"&gt;hackforums.net website&lt;/a&gt;. The leaked Hack Forums data included credentials and personal information of nearly 200,000 registered forum users.</t>
  </si>
  <si>
    <t>https://haveibeenpwned.com/Content/Images/PwnedLogos/HackForums.png</t>
  </si>
  <si>
    <t>['Dates of birth', 'Email addresses', 'Instant messenger identities', 'IP addresses', 'Passwords', 'Social connections', 'Spoken languages', 'Time zones', 'User website URLs', 'Usernames', 'Website activity']</t>
  </si>
  <si>
    <t>HackingTeam</t>
  </si>
  <si>
    <t>Hacking Team</t>
  </si>
  <si>
    <t>hackingteam.com</t>
  </si>
  <si>
    <t>In July 2015, the Italian security firm &lt;a href="http://hackingteam.com" target="_blank" rel="noopener"&gt;Hacking Team&lt;/a&gt; suffered a major data breach that resulted in over 400GB of their data being &lt;a href="http://www.techtimes.com/articles/68204/20150711/hacking-team-hacked-400gb-data-dump-state-surveillance-exposes-dirty.htm" target="_blank" rel="noopener"&gt;posted online via a torrent&lt;/a&gt;. The data searchable on &amp;quot;Have I Been Pwned?&amp;quot; is from 189GB worth of PST mail folders in the dump. The contents of the PST files is &lt;a href="https://wikileaks.org/hackingteam/emails" target="_blank" rel="noopener"&gt;searchable on Wikileaks&lt;/a&gt;.</t>
  </si>
  <si>
    <t>https://haveibeenpwned.com/Content/Images/PwnedLogos/HackingTeam.png</t>
  </si>
  <si>
    <t>HauteLook</t>
  </si>
  <si>
    <t>hautelook.com</t>
  </si>
  <si>
    <t>In mid-2018, the fashion shopping site &lt;a href="https://www.theregister.co.uk/2019/02/11/620_million_hacked_accounts_dark_web/" target="_blank" rel="noopener"&gt;HauteLook was among a raft of sites that were breached and their data then sold in early-2019&lt;/a&gt;. The data included over 28 million unique email addresses alongside names, genders, dates of birth and passwords stored as bcrypt hashes. The data was provided to HIBP by &lt;a href="https://dehashed.com/" target="_blank" rel="noopener"&gt;dehashed.com&lt;/a&gt;.</t>
  </si>
  <si>
    <t>https://haveibeenpwned.com/Content/Images/PwnedLogos/HauteLook.png</t>
  </si>
  <si>
    <t>['Dates of birth', 'Email addresses', 'Genders', 'Geographic locations', 'Names', 'Passwords']</t>
  </si>
  <si>
    <t>Havenly</t>
  </si>
  <si>
    <t>havenly.com</t>
  </si>
  <si>
    <t>In June 2020, the interior design website &lt;a href="https://www.bleepingcomputer.com/news/security/hacker-leaks-386-million-user-records-from-18-companies-for-free/" target="_blank" rel="noopener"&gt;Havenly suffered a data breach&lt;/a&gt; which impacted almost 1.4 million members of the service. The exposed data included email addresses, names, phone numbers, geographic locations and passwords stored as SHA-1 hashes, all of which was subsequently shared extensively throughout online hacking communities. The data was provided to HIBP by &lt;a href="https://dehashed.com/" target="_blank" rel="noopener"&gt;dehashed.com&lt;/a&gt;.</t>
  </si>
  <si>
    <t>https://haveibeenpwned.com/Content/Images/PwnedLogos/Havenly.png</t>
  </si>
  <si>
    <t>['Email addresses', 'Geographic locations', 'Names', 'Passwords', 'Phone numbers']</t>
  </si>
  <si>
    <t>HealthNowNetworks</t>
  </si>
  <si>
    <t>Health Now Networks</t>
  </si>
  <si>
    <t>healthnow.co</t>
  </si>
  <si>
    <t>In March 2017, the telemarketing service &lt;a href="https://www.databreaches.net/leak-of-diabetic-patients-data-highlights-risks-of-giving-info-to-telemarketers" target="_blank" rel="noopener"&gt;Health Now Networks left a database containing hundreds of thousands of medical records exposed&lt;/a&gt;. There were over 900,000 records in total containing significant volumes of personal information including names, dates of birth, various medical conditions and operator notes on the individuals' health. The data included over 320k unique email addresses.</t>
  </si>
  <si>
    <t>https://haveibeenpwned.com/Content/Images/PwnedLogos/HealthNowNetworks.png</t>
  </si>
  <si>
    <t>['Dates of birth', 'Email addresses', 'Genders', 'Health insurance information', 'IP addresses', 'Names', 'Personal health data', 'Phone numbers', 'Physical addresses', 'Security questions and answers', 'Social connections']</t>
  </si>
  <si>
    <t>Hemmakvall</t>
  </si>
  <si>
    <t>HemmakvÃƒÂ¤ll</t>
  </si>
  <si>
    <t>hemmakvall.se</t>
  </si>
  <si>
    <t>In July 2015, the Swedish video store chain &lt;a href="http://www.hemmakvall.se/" target="_blank" rel="noopener"&gt;HemmakvÃƒÂ¤ll&lt;/a&gt; &lt;a href="http://www.dn.se/ekonomi/hemmakvall-hackat-50000-kunders-uppgifter-pa-vift/" target="_blank" rel="noopener"&gt;was hacked&lt;/a&gt; and nearly 50k records dumped publicly. The disclosed data included various attributes of their customers including email and physical addresses, names and phone numbers. Passwords were also leaked, stored with a weak MD5 hashing algorithm.</t>
  </si>
  <si>
    <t>https://haveibeenpwned.com/Content/Images/PwnedLogos/Hemmakvall.png</t>
  </si>
  <si>
    <t>Hemmelig</t>
  </si>
  <si>
    <t>hemmelig.com</t>
  </si>
  <si>
    <t>In December 2011, Norway's largest online sex shop hemmelig.com was &lt;a href="http://www.dazzlepod.com/hemmelig/?page=93" target="_blank" rel="noopener"&gt;hacked by a collective calling themselves &amp;quot;Team Appunity&amp;quot;&lt;/a&gt;. The attack exposed over 28,000 usernames and email addresses along with nicknames, gender, year of birth and unsalted MD5 password hashes.</t>
  </si>
  <si>
    <t>https://haveibeenpwned.com/Content/Images/PwnedLogos/Hemmelig.png</t>
  </si>
  <si>
    <t>['Email addresses', 'Genders', 'Nicknames', 'Partial dates of birth', 'Passwords', 'Usernames']</t>
  </si>
  <si>
    <t>HeroesOfGaia</t>
  </si>
  <si>
    <t>Heroes of Gaia</t>
  </si>
  <si>
    <t>heroesofgaia.com</t>
  </si>
  <si>
    <t>In early 2013, the online fantasy multiplayer game &lt;a href="http://hog.playsnail.com" target="_blank" rel="noopener"&gt;Heroes of Gaia&lt;/a&gt; suffered a data breach. The newest records in the data set indicate a breach date of 4 January 2013 and include usernames, IP and email addresses but no passwords.</t>
  </si>
  <si>
    <t>https://haveibeenpwned.com/Content/Images/PwnedLogos/HeroesOfGaia.png</t>
  </si>
  <si>
    <t>['Browser user agent details', 'Email addresses', 'IP addresses', 'Usernames', 'Website activity']</t>
  </si>
  <si>
    <t>HeroesOfNewerth</t>
  </si>
  <si>
    <t>Heroes of Newerth</t>
  </si>
  <si>
    <t>heroesofnewerth.com</t>
  </si>
  <si>
    <t>In December 2012, the multiplayer online battle arena game known as &lt;a href="http://www.heroesofnewerth.com/" target="_blank" rel="noopener"&gt;Heroes of Newerth&lt;/a&gt; &lt;a href="https://www.reddit.com/r/HeroesofNewerth/comments/14zj2p/i_am_the_guy_who_hacked_hon/" target="_blank" rel="noopener"&gt; was hacked&lt;/a&gt; and over 8 million accounts extracted from the system. The compromised data included usernames, email addresses and passwords.</t>
  </si>
  <si>
    <t>https://haveibeenpwned.com/Content/Images/PwnedLogos/HeroesOfNewerth.png</t>
  </si>
  <si>
    <t>HIAPK</t>
  </si>
  <si>
    <t>HiAPK</t>
  </si>
  <si>
    <t>hiapk.com</t>
  </si>
  <si>
    <t>In approximately 2014, it's alleged that the Chinese Android store known as &lt;a href="http://hiapk.com/" target="_blank" rel="noopener"&gt;HIAPK&lt;/a&gt; suffered a data breach that impacted 13.8 million unique subscribers. Whilst there is evidence that the data is legitimate, due to the difficulty of emphatically verifying the Chinese breach it has been flagged as &amp;quot;unverified&amp;quot;. The data in the breach contains usernames, email addresses and salted MD5 password hashes and was provided to HIBP by white hat security researcher and data analyst Adam Davies. &lt;a href="https://www.troyhunt.com/handling-chinese-data-breaches-in-have-i-been-pwned/" target="_blank" rel="noopener"&gt;Read more about Chinese data breaches in Have I Been Pwned.&lt;/a&gt;</t>
  </si>
  <si>
    <t>https://haveibeenpwned.com/Content/Images/PwnedLogos/HIAPK.png</t>
  </si>
  <si>
    <t>HLTV</t>
  </si>
  <si>
    <t>hltv.org</t>
  </si>
  <si>
    <t>In June 2016, the &amp;quot;home of competitive Counter Strike&amp;quot; website &lt;a href="http://www.hltv.org/news/18087-security-breach" target="_blank" rel="noopener"&gt;HLTV was hacked&lt;/a&gt; and 611k accounts were exposed. The attack led to the exposure of names, usernames, email addresses and bcrypt hashes of passwords.</t>
  </si>
  <si>
    <t>https://haveibeenpwned.com/Content/Images/PwnedLogos/HLTV.png</t>
  </si>
  <si>
    <t>HomeChef</t>
  </si>
  <si>
    <t>Home Chef</t>
  </si>
  <si>
    <t>homechef.com</t>
  </si>
  <si>
    <t>In early 2020, the food delivery service &lt;a href="https://techcrunch.com/2020/05/20/home-chef-data-breach/" target="_blank" rel="noopener"&gt;Home Chef suffered a data breach&lt;/a&gt; which was subsequently sold online. The breach exposed the personal information of almost 9 million customers including names, IP addresses, post codes, the last 4 digits of credit card numbers and passwords stored as bcrypt hashes. The data was provided to HIBP by &lt;a href="https://dehashed.com/" target="_blank" rel="noopener"&gt;dehashed.com&lt;/a&gt;.</t>
  </si>
  <si>
    <t>https://haveibeenpwned.com/Content/Images/PwnedLogos/HomeChef.png</t>
  </si>
  <si>
    <t>['Email addresses', 'Geographic locations', 'IP addresses', 'Names', 'Partial credit card data', 'Passwords', 'Phone numbers']</t>
  </si>
  <si>
    <t>HongFire</t>
  </si>
  <si>
    <t>hongfire.com</t>
  </si>
  <si>
    <t>In March 2015, the anime and manga forum &lt;a href="http://www.hongfire.com" target="_blank" rel="noopener"&gt;HongFire&lt;/a&gt; suffered a data breach. The hack of their vBulletin forum led to the exposure of 1 million accounts along with email and IP addresses, usernames, dates of birth and salted MD5 passwords.</t>
  </si>
  <si>
    <t>https://haveibeenpwned.com/Content/Images/PwnedLogos/HongFire.png</t>
  </si>
  <si>
    <t>HookersNL</t>
  </si>
  <si>
    <t>Hookers.nl</t>
  </si>
  <si>
    <t>hookers.nl</t>
  </si>
  <si>
    <t>In October 2019, the Dutch prostitution forum &lt;a href="https://www.forbes.com/sites/thomasbrewster/2019/10/10/dutch-prostitution-site-hookersnl-hacked--250000-users-data-leaked/#3e3f231522f8" target="_blank" rel="noopener"&gt;Hookers.nl suffered a data breach&lt;/a&gt; which exposed the personal information of sex workers and their customers. The IP and email addresses, usernames and either bcrypt or salted MD5 password hashes of 291k members were accessed via an unpatched vulnerability in the vBulletin forum software.</t>
  </si>
  <si>
    <t>https://haveibeenpwned.com/Content/Images/PwnedLogos/HookersNL.png</t>
  </si>
  <si>
    <t>HoundDawgs</t>
  </si>
  <si>
    <t>hounddawgs.org</t>
  </si>
  <si>
    <t>In December 2017, the Danish torrent tracker known as &lt;a href="https://torrentfreak.com/popular-danish-torrent-tracker-shuts-down-after-hack-180102/" target="_blank" rel="noopener"&gt;HoundDawgs suffered a data breach&lt;/a&gt;. More than 55GB of data was dumped publicly and whilst &lt;a href="https://www.flashback.org/p62770812" target="_blank" rel="noopener"&gt;there was initially contention as to the severity of the incident&lt;/a&gt;, the data did indeed contain more than 45k unique email addresses complete extensive logs of torrenting activity, IP addresses and SHA1 passwords.</t>
  </si>
  <si>
    <t>https://haveibeenpwned.com/Content/Images/PwnedLogos/HoundDawgs.png</t>
  </si>
  <si>
    <t>['Email addresses', 'IP addresses', 'Passwords', 'Website activity']</t>
  </si>
  <si>
    <t>Houzz</t>
  </si>
  <si>
    <t>houzz.com</t>
  </si>
  <si>
    <t>In mid-2018, the housing design website &lt;a href="https://help.houzz.com/s/article/security-update?language=en_US" target="_blank" rel="noopener"&gt;Houzz suffered a data breach&lt;/a&gt;. The company learned of the incident later that year then disclosed it to impacted members in February 2019. Almost 49 million unique email addresses were in the breach alongside names, IP addresses, geographic locations and either salted hashes of passwords or links to social media profiles used to authenticate to the service. The data was provided to HIBP by &lt;a href="https://dehashed.com/" target="_blank" rel="noopener"&gt;dehashed.com&lt;/a&gt;.</t>
  </si>
  <si>
    <t>https://haveibeenpwned.com/Content/Images/PwnedLogos/Houzz.png</t>
  </si>
  <si>
    <t>['Email addresses', 'Geographic locations', 'IP addresses', 'Names', 'Passwords', 'Social media profiles', 'Usernames']</t>
  </si>
  <si>
    <t>HTCMania</t>
  </si>
  <si>
    <t>HTC Mania</t>
  </si>
  <si>
    <t>htcmania.com</t>
  </si>
  <si>
    <t>In January 2020, the Spanish mobile phone forum &lt;a href="https://www.htcmania.com" target="_blank" rel="noopener"&gt;HTC Mania&lt;/a&gt; suffered a data breach of the vBulletin based site. The incident exposed 1.5M member email addresses, usernames, IP addresses, dates of birth and salted MD5 password hashes and password histories. Data from the breach was subsequently redistributed on popular hacking websites.</t>
  </si>
  <si>
    <t>https://haveibeenpwned.com/Content/Images/PwnedLogos/HTCMania.png</t>
  </si>
  <si>
    <t>['Dates of birth', 'Email addresses', 'Historical passwords', 'IP addresses', 'Passwords', 'Usernames']</t>
  </si>
  <si>
    <t>HTHStudios</t>
  </si>
  <si>
    <t>HTH Studios</t>
  </si>
  <si>
    <t>hthstudios.com</t>
  </si>
  <si>
    <t>In August 2018, the adult furry interactive game creator &lt;a href="https://hthstudios.com/" target="_blank" rel="noopener"&gt;HTH Studios&lt;/a&gt; suffered a data breach impacting multiple repositories of customer data. Several months later, the data surfaced on a popular hacking forum and included 411k unique email addresses along with physical and IP addresses, names, orders, salted SHA-1 and salted MD5 hashes. HTH Studios is aware of the incident.</t>
  </si>
  <si>
    <t>https://haveibeenpwned.com/Content/Images/PwnedLogos/HTHStudios.png</t>
  </si>
  <si>
    <t>['Browser user agent details', 'Dates of birth', 'Email addresses', 'IP addresses', 'Names', 'Phone numbers', 'Physical addresses', 'Purchases', 'Usernames']</t>
  </si>
  <si>
    <t>Hub4Tech</t>
  </si>
  <si>
    <t>hub4tech.com</t>
  </si>
  <si>
    <t>On an unknown date in approximately 2017, the Indian training and assessment service known as &lt;a href="https://www.forumcommunity.net/" target="_blank" rel="noopener"&gt;Hub4Tech&lt;/a&gt; suffered a data breach via a SQL injection attack. The incident exposed almost 37k unique email addresses and passwords stored as unsalted MD5 hashes. No response was received from Hub4Tech when contacted about the incident.</t>
  </si>
  <si>
    <t>https://haveibeenpwned.com/Content/Images/PwnedLogos/Hub4Tech.png</t>
  </si>
  <si>
    <t>Hurb</t>
  </si>
  <si>
    <t>hurb.com</t>
  </si>
  <si>
    <t>In approximately March 2019, the online Brazilian travel agency &lt;a href="https://cybleinc.com/2020/07/24/around-43-million-user-records-belonging-to-two-online-platforms-leaked-on-darknet-for-free/" target="_blank" rel="noopener"&gt;Hurb (formerly Hotel Urbano) suffered a data breach&lt;/a&gt;. The data subsequently appeared online for download the following year and included over 20 million customer records with email and IP addresses, names, dates of birth, phone numbers and passwords stored as unsalted MD5 hashes. The data was provided to HIBP by &lt;a href="https://dehashed.com/" target="_blank" rel="noopener"&gt;dehashed.com&lt;/a&gt;.</t>
  </si>
  <si>
    <t>https://haveibeenpwned.com/Content/Images/PwnedLogos/Hurb.png</t>
  </si>
  <si>
    <t>['Dates of birth', 'Email addresses', 'IP addresses', 'Names', 'Passwords', 'Phone numbers', 'Social media profiles']</t>
  </si>
  <si>
    <t>IDCGames</t>
  </si>
  <si>
    <t>IDC Games</t>
  </si>
  <si>
    <t>idcgames.com</t>
  </si>
  <si>
    <t>In March 2021, &lt;a href="https://socradar.io/the-week-in-dark-web-19-march-2021-us-law-firms-on-target/" target="_blank" rel="noopener"&gt;4 million records sourced from IDC Games were shared on a public hacking forum&lt;/a&gt;. The data included usernames, email addresses and passwords stored as salted MD5 hashes.</t>
  </si>
  <si>
    <t>https://haveibeenpwned.com/Content/Images/PwnedLogos/IDCGames.png</t>
  </si>
  <si>
    <t>iDressup</t>
  </si>
  <si>
    <t>i-Dressup</t>
  </si>
  <si>
    <t>i-dressup.com</t>
  </si>
  <si>
    <t>In June 2016, the teen social site known as &lt;a href="http://arstechnica.com/security/2016/09/social-hangout-site-for-teens-leaks-millions-of-plaintext-passwords/" target="_blank" rel="noopener"&gt;i-Dressup was hacked&lt;/a&gt; and over 2 million user accounts were exposed. At the time the hack was reported, the i-Dressup operators were not contactable and the underlying SQL injection flaw remained open, allegedly exposing a total of 5.5 million accounts. The breach included email addresses and passwords stored in plain text.</t>
  </si>
  <si>
    <t>https://haveibeenpwned.com/Content/Images/PwnedLogos/iDressup.png</t>
  </si>
  <si>
    <t>IIMJobs</t>
  </si>
  <si>
    <t>iimjobs.com</t>
  </si>
  <si>
    <t>In December 2018, the Indian job portal &lt;a href="https://www.hackread.com/indian-job-portal-iimjobs-hacked-database-leaked/" target="_blank" rel="noopener"&gt;IIMJobs suffered a data breach that exposed 4.1 million unique email addresses&lt;/a&gt;. The data also included names, phone numbers, geographic locations, dates of birth, job titles, job applications and cover letters plus passwords stored as unsalted MD5 hashes. The data was provided to HIBP by &lt;a href="https://dehashed.com/" target="_blank" rel="noopener"&gt;dehashed.com&lt;/a&gt;.</t>
  </si>
  <si>
    <t>https://haveibeenpwned.com/Content/Images/PwnedLogos/IIMJobs.png</t>
  </si>
  <si>
    <t>['Dates of birth', 'Email addresses', 'Geographic locations', 'IP addresses', 'Job applications', 'Job titles', 'Names', 'Passwords', 'Phone numbers']</t>
  </si>
  <si>
    <t>ILikeCheats</t>
  </si>
  <si>
    <t>ilikecheats.net</t>
  </si>
  <si>
    <t>In October 2014, the game cheats website known as ILikeCheats suffered a data breach that exposed 189k accounts. The vBulletin based forum leaked usernames, IP and email addresses and weak MD5 hashes of passwords. The data was provided with support from &lt;a href="https://dehashed.com/" target="_blank" rel="noopener"&gt;dehashed.com&lt;/a&gt;.</t>
  </si>
  <si>
    <t>https://haveibeenpwned.com/Content/Images/PwnedLogos/ILikeCheats.png</t>
  </si>
  <si>
    <t>Imavex</t>
  </si>
  <si>
    <t>imavex.com</t>
  </si>
  <si>
    <t>In August 2021, the website development company &lt;a href="https://www.imavex.com/breach-information/" target="_blank" rel="noopener"&gt;Imavex suffered a data breach that exposed 878 thousand unique email addresses&lt;/a&gt;. The data included user records containing names, usernames and password material with some records also containing genders and partial credit card data, including the last 4 digits of the card and expiry date. Hundreds of thousands of form submissions and orders via Imavex customers were also exposed and contained further personal information of submitters and the contents of the form.</t>
  </si>
  <si>
    <t>https://haveibeenpwned.com/Content/Images/PwnedLogos/Imavex.png</t>
  </si>
  <si>
    <t>['Email addresses', 'Genders', 'Names', 'Partial credit card data', 'Passwords', 'Phone numbers', 'Physical addresses', 'Purchases', 'Usernames']</t>
  </si>
  <si>
    <t>iMesh</t>
  </si>
  <si>
    <t>imesh.com</t>
  </si>
  <si>
    <t>In September 2013, the media and file sharing client known as &lt;a href="http://www.ibtimes.co.uk/imesh-hack-more-51-million-user-records-former-filesharing-site-sale-dark-web-1565185" target="_blank" rel="noopener"&gt;iMesh was hacked and approximately 50M accounts were exposed&lt;/a&gt;. The data was later put up for sale on a dark market website in mid-2016 and included email and IP addresses, usernames and salted MD5 hashes.</t>
  </si>
  <si>
    <t>https://haveibeenpwned.com/Content/Images/PwnedLogos/iMesh.png</t>
  </si>
  <si>
    <t>imgur</t>
  </si>
  <si>
    <t>imgur.com</t>
  </si>
  <si>
    <t>In September 2013, the online image sharing community &lt;a href="http://www.zdnet.com/article/imgur-reveals-hackers-stole-login-data/" target="_blank" rel="noopener"&gt;imgur suffered a data breach&lt;/a&gt;. A selection of the data containing 1.7 million email addresses and passwords surfaced more than 4 years later in November 2017. Although imgur stored passwords as SHA-256 hashes, the data in the breach contained plain text passwords suggesting that many of the original hashes had been cracked. imgur advises that they rolled over to bcrypt hashes in 2016.</t>
  </si>
  <si>
    <t>https://haveibeenpwned.com/Content/Images/PwnedLogos/imgur.png</t>
  </si>
  <si>
    <t>IndiaMART</t>
  </si>
  <si>
    <t>indiamart.com</t>
  </si>
  <si>
    <t>In August 2021, &lt;a href="https://economictimes.indiatimes.com/industry/services/retail/data-breach-or-data-scraping-with-over-38-million-records-up-for-grabs-indiamart-has-some-answering-to-do/articleshow/85563628.cms" target="_blank" rel="noopener"&gt;38 million records from Indian e-commerce company IndiaMART were found being traded on a popular hacking forum&lt;/a&gt;. Dated several months earlier, the data included over 20 million unique email addresses alongside names, phone numbers and physical addresses. It's unclear whether IndiaMART intentionally exposed the data attributes as part of the intended design of the platform or whether the data was obtained by exploiting a vulnerability in the service.</t>
  </si>
  <si>
    <t>https://haveibeenpwned.com/Content/Images/PwnedLogos/IndiaMART.png</t>
  </si>
  <si>
    <t>IndianRailways</t>
  </si>
  <si>
    <t>Indian Railways</t>
  </si>
  <si>
    <t>indianrails.in</t>
  </si>
  <si>
    <t>In November 2019, &lt;a href="https://medium.com/dvuln/why-you-should-choo-choo-choose-to-have-a-vulnerability-disclosure-policy-2m-accounts-exposed-7cd7eaec4da5" target="_blank" rel="noopener"&gt;the website for Indian Rail left more than 2M records exposed on an unprotected Firebase database instance&lt;/a&gt;. The exposed data included 583k unique email addresses alongside usernames and passwords stored in plain text.</t>
  </si>
  <si>
    <t>https://haveibeenpwned.com/Content/Images/PwnedLogos/IndianRailways.png</t>
  </si>
  <si>
    <t>Insanelyi</t>
  </si>
  <si>
    <t>insanelyi.com</t>
  </si>
  <si>
    <t>In July 2014, the iOS forum &lt;a href="http://insanelyi.com" target="_blank" rel="noopener"&gt;Insanelyi&lt;/a&gt; was &lt;a href="http://securityaffairs.co/wordpress/26835/hacking/hacked-bigboss-cydia.html?utm_content=bufferc7e16" target="_blank" rel="noopener"&gt;hacked by an attacker known as Kim Jong-Cracks&lt;/a&gt;. A popular source of information for users of jailbroken iOS devices running Cydia, the Insanelyi breach disclosed over 104k users' emails addresses, user names and weakly hashed passwords (salted MD5).</t>
  </si>
  <si>
    <t>https://haveibeenpwned.com/Content/Images/PwnedLogos/Insanelyi.png</t>
  </si>
  <si>
    <t>Intelimost</t>
  </si>
  <si>
    <t>intelimost.com</t>
  </si>
  <si>
    <t>In March 2019, &lt;a href="https://techcrunch.com/2019/04/02/inside-a-spam-operation/" target="_blank" rel="noopener"&gt;a spam operation known as &amp;quot;Intelimost&amp;quot; sent millions of emails appearing to come from people the recipients knew&lt;/a&gt;. Security researcher &lt;a href="https://securitydiscovery.com/massive-spam-operation-uncovered-in-a-database-leak/" target="_blank" rel="noopener"&gt;Bob Diachenko found over 3 million unique email addresses in an exposed Elasticsearch database&lt;/a&gt;, alongside plain text passwords used to access the victim's mailbox and customise the spam.</t>
  </si>
  <si>
    <t>Interpals</t>
  </si>
  <si>
    <t>InterPals</t>
  </si>
  <si>
    <t>interpals.net</t>
  </si>
  <si>
    <t>In late 2015, the online penpal site InterPals had their website hacked and 3.4 million accounts exposed. The compromised data included email addresses, geographical locations, birthdates and salted hashes of passwords.</t>
  </si>
  <si>
    <t>https://haveibeenpwned.com/Content/Images/PwnedLogos/Interpals.png</t>
  </si>
  <si>
    <t>['Dates of birth', 'Email addresses', 'Geographic locations', 'Names', 'Passwords', 'Usernames']</t>
  </si>
  <si>
    <t>iPmart</t>
  </si>
  <si>
    <t>ipmart-forum.com</t>
  </si>
  <si>
    <t>During 2015, the &lt;a href="http://ipmart-forum.com" target="_blank" rel="noopener"&gt;iPmart forum&lt;/a&gt; (now known as Mobi NUKE) was hacked and over 2 million forum members' details were exposed. The vBulletin forum included IP addresses, birth dates and passwords stored as salted hashes using a weak implementation enabling many to be rapidly cracked. A further 368k accounts were added to &amp;quot;Have I Been Pwned&amp;quot; in March 2016 bringing the total to over 2.4M.</t>
  </si>
  <si>
    <t>https://haveibeenpwned.com/Content/Images/PwnedLogos/iPmart.png</t>
  </si>
  <si>
    <t>ixigo</t>
  </si>
  <si>
    <t>ixigo.com</t>
  </si>
  <si>
    <t>In January 2019, the travel and hotel booking site &lt;a href="https://techcrunch.com/2019/02/14/hacker-strikes-again/" target="_blank" rel="noopener"&gt;ixigo suffered a data breach&lt;/a&gt;. The data appeared for sale on a dark web marketplace the following month and included over 17M unique email addresses alongside names, genders, phone numbers, connections to Facebook profiles and passwords stored as MD5 hashes. The data was provided to HIBP by a source who requested it to be attributed to &amp;quot;BenjaminBlue@exploit.im&amp;quot;.</t>
  </si>
  <si>
    <t>https://haveibeenpwned.com/Content/Images/PwnedLogos/ixigo.png</t>
  </si>
  <si>
    <t>['Auth tokens', 'Device information', 'Email addresses', 'Genders', 'Names', 'Passwords', 'Phone numbers', 'Salutations', 'Social media profiles', 'Usernames']</t>
  </si>
  <si>
    <t>James</t>
  </si>
  <si>
    <t>jamesdelivery.com.br</t>
  </si>
  <si>
    <t>In June 2020, &lt;a href="https://www.binarydefense.com/threat_watch/seller-floods-forums-with-stolen-data/" target="_blank" rel="noopener"&gt;14 previously undisclosed data breaches appeared for sale&lt;/a&gt; including the Brazilian delivery service, &amp;quot;James&amp;quot;. The breach occurred in March 2020 and exposed 1.5M unique email addresses, customer locations expressed in longitude and latitude and passwords stored as bcrypt hashes. The data was provided to HIBP by &lt;a href="https://dehashed.com/" target="_blank" rel="noopener"&gt;dehashed.com&lt;/a&gt;.</t>
  </si>
  <si>
    <t>https://haveibeenpwned.com/Content/Images/PwnedLogos/James.png</t>
  </si>
  <si>
    <t>['Email addresses', 'Geographic locations', 'Passwords']</t>
  </si>
  <si>
    <t>JD</t>
  </si>
  <si>
    <t>jd.com</t>
  </si>
  <si>
    <t>In 2013 (exact date unknown), the Chinese e-commerce service &lt;a href="https://ecommercechinaagency.com/jd-ecommerce-giant-made-apology-user-data-leakage/" target="_blank" rel="noopener"&gt;JD suffered a data breach&lt;/a&gt; that exposed 13GB of data containing 77 million unique email addresses. The data also included usernames, phone numbers and passwords stored as SHA-1 hashes. The data was provided to HIBP by a source who requested it be attributed to &amp;quot;white_peacock@riseup.net&amp;quot;.</t>
  </si>
  <si>
    <t>https://haveibeenpwned.com/Content/Images/PwnedLogos/JD.png</t>
  </si>
  <si>
    <t>['Email addresses', 'Passwords', 'Phone numbers', 'Usernames']</t>
  </si>
  <si>
    <t>Jefit</t>
  </si>
  <si>
    <t>jefit.com</t>
  </si>
  <si>
    <t>In August 2020, the workout tracking app &lt;a href="https://www.jefit.com/jefit-news-product-updates/jefit-data-incident-public-announcement" target="_blank" rel="noopener"&gt;Jefit suffered a data breach&lt;/a&gt;. The data was subsequently sold within the hacking community and included over 9 million email and IP addresses, usernames and passwords stored as either vBulletin or argon2 hashes. Several million cracked passwords later appeared in broad circulation.</t>
  </si>
  <si>
    <t>https://haveibeenpwned.com/Content/Images/PwnedLogos/Jefit.png</t>
  </si>
  <si>
    <t>JobAndTalent</t>
  </si>
  <si>
    <t>Jobandtalent</t>
  </si>
  <si>
    <t>jobandtalent.com</t>
  </si>
  <si>
    <t>In approximately February 2018, &lt;a href="https://www.zdnet.com/article/hacker-puts-up-for-sale-third-round-of-hacked-databases-on-the-dark-web/" target="_blank" rel="noopener"&gt;the employment website Jobandtalent suffered a data breach which then appeared for sale alongside other breaches a year later&lt;/a&gt;. The incident impacted 11 million subscribers and exposed their names, email and IP addresses and passwords stored as salted SHA-1 hashes.</t>
  </si>
  <si>
    <t>https://haveibeenpwned.com/Content/Images/PwnedLogos/JobAndTalent.png</t>
  </si>
  <si>
    <t>JobStreet</t>
  </si>
  <si>
    <t>jobstreet.com</t>
  </si>
  <si>
    <t>In October 2017, the Malaysian website &lt;a href="https://www.lowyat.net/2017/145654/personal-data-millions-malaysians-sale-source-breach-still-unknown/" target="_blank" rel="noopener"&gt;lowyat.net ran a story on a massive set of breached data affecting millions of Malaysians&lt;/a&gt; after someone posted it for sale on their forums. The data spanned multiple separate breaches including &lt;a href="https://www.jobstreet.com/" target="_blank" rel="noopener"&gt;the JobStreet jobs website&lt;/a&gt; which contained almost 4 million unique email addresses. The dates in the breach indicate the incident occurred in March 2012. The data later appeared freely downloadable on a Tor hidden service and contained extensive information on job seekers including names, genders, birth dates, phone numbers, physical addresses and passwords.</t>
  </si>
  <si>
    <t>https://haveibeenpwned.com/Content/Images/PwnedLogos/JobStreet.png</t>
  </si>
  <si>
    <t>['Dates of birth', 'Email addresses', 'Genders', 'Geographic locations', 'Government issued IDs', 'Marital statuses', 'Names', 'Nationalities', 'Passwords', 'Phone numbers', 'Physical addresses', 'Usernames']</t>
  </si>
  <si>
    <t>JoomlArt</t>
  </si>
  <si>
    <t>joomlart.com</t>
  </si>
  <si>
    <t>In January 2018, the Joomla template website &lt;a href="https://www.joomlart.com/" target="_blank" rel="noopener"&gt;JoomlArt&lt;/a&gt; inadvertently exposed more than 22k unique customer records in a Jira ticket. The exposed data was from iJoomla and JomSocial, both services that &lt;a href="https://www.joomlart.com/blog/joomlart-acquires-ijoomla-and-jomsocial" target="_blank" rel="noopener"&gt;JoomlArt acquired the previous year&lt;/a&gt;. The data included usernames, email addresses, purchases and passwords stored as MD5 hashes. When contacted, JoomlArt advised they were aware of the incident and had previously notified impacted parties.</t>
  </si>
  <si>
    <t>https://haveibeenpwned.com/Content/Images/PwnedLogos/JoomlArt.png</t>
  </si>
  <si>
    <t>['Email addresses', 'Names', 'Passwords', 'Payment histories', 'Usernames']</t>
  </si>
  <si>
    <t>JukinMedia</t>
  </si>
  <si>
    <t>jukinmedia.com</t>
  </si>
  <si>
    <t>In October 2021, the &amp;quot;global leader in user-generated entertainment&amp;quot; &lt;a href="https://www.databreaches.net/jukin-media-hacked-and-data-dumped-while-company-claims-a-password-reset-is-required-due-to-a-security-upgrade/" target="_blank" rel="noopener"&gt;Jukin Media suffered a data breach&lt;/a&gt;. The breach exposed 13GB of code, configuration and data consisting of 314k unique email addresses along with names, phone numbers, IP addresses and bcrypt password hashes.</t>
  </si>
  <si>
    <t>https://haveibeenpwned.com/Content/Images/PwnedLogos/JukinMedia.png</t>
  </si>
  <si>
    <t>['Email addresses', 'Employers', 'IP addresses', 'Names', 'Occupations', 'Passwords', 'Phone numbers']</t>
  </si>
  <si>
    <t>JustDate</t>
  </si>
  <si>
    <t>Justdate.com</t>
  </si>
  <si>
    <t>justdate.com</t>
  </si>
  <si>
    <t>An alleged breach of the dating website &lt;a href="http://www.justdate.com/" target="_blank" rel="noopener"&gt;Justdate.com&lt;/a&gt; began circulating in approximately September 2016. Comprised of over 24 million records, the data contained various personal attributes such as email addresses, dates of birth and physical locations. However, upon verification with HIBP subscribers, only a fraction of the data was found to be accurate and no account owners recalled using the Justdate.com service. This breach has consequently been flagged as &lt;a href="https://www.troyhunt.com/introducing-fabricated-data-breaches-to-have-i-been-pwned" target="_blank" rel="noopener"&gt;fabricated&lt;/a&gt;; it's highly unlikely the data was sourced from Justdate.com.</t>
  </si>
  <si>
    <t>https://haveibeenpwned.com/Content/Images/PwnedLogos/JustDate.png</t>
  </si>
  <si>
    <t>['Dates of birth', 'Email addresses', 'Geographic locations', 'Names']</t>
  </si>
  <si>
    <t>KayoMoe</t>
  </si>
  <si>
    <t>Kayo.moe Credential Stuffing List</t>
  </si>
  <si>
    <t>In September 2018, a collection of almost 42 million email address and plain text password pairs was uploaded to the anonymous file sharing service &lt;a href="https://kayo.moe/" target="_blank" rel="noopener"&gt;kayo.moe&lt;/a&gt;. The operator of the service contacted HIBP to report the data which, upon further investigation, turned out to be a large credential stuffing list. For more information, read about &lt;a href="https://www.troyhunt.com/the-42m-record-kayo-moe-credential-stuffing-data" target="_blank" rel="noopener"&gt;The 42M Record kayo.moe Credential Stuffing Data&lt;/a&gt;.</t>
  </si>
  <si>
    <t>Kickstarter</t>
  </si>
  <si>
    <t>kickstarter.com</t>
  </si>
  <si>
    <t>In February 2014, the crowdfunding platform &lt;a href="https://www.kickstarter.com/blog/important-kickstarter-security-notice" target="_blank" rel="noopener"&gt;Kickstarter announced they'd suffered a data breach&lt;/a&gt;. The breach contained almost 5.2 million unique email addresses, usernames and salted SHA1 hashes of passwords.</t>
  </si>
  <si>
    <t>https://haveibeenpwned.com/Content/Images/PwnedLogos/Kickstarter.png</t>
  </si>
  <si>
    <t>Kimsufi</t>
  </si>
  <si>
    <t>kimsufi.com</t>
  </si>
  <si>
    <t>In mid-2015, the forum for the providers of affordable dedicated servers known as &lt;a href="https://www.kimsufi.com" target="_blank" rel="noopener"&gt;Kimsufi&lt;/a&gt; suffered a data breach. The vBulletin forum contained over half a million accounts including usernames, email and IP addresses and passwords stored as salted MD5 hashes.</t>
  </si>
  <si>
    <t>https://haveibeenpwned.com/Content/Images/PwnedLogos/Kimsufi.png</t>
  </si>
  <si>
    <t>KiwiFarms</t>
  </si>
  <si>
    <t>kiwifarms.net</t>
  </si>
  <si>
    <t>In September 2019, the forum for discussing &amp;quot;lolcows&amp;quot; (people who can be milked for laughs) &lt;a href="https://kiwifarms.net/threads/dealing-with-the-compromise.60767/" target="_blank" rel="noopener"&gt;Kiwi Farms suffered a data breach&lt;/a&gt;. The disclosure notice advised that email and IP addresses, dates of birth and content created by members were all exposed in the incident.</t>
  </si>
  <si>
    <t>https://haveibeenpwned.com/Content/Images/PwnedLogos/KiwiFarms.png</t>
  </si>
  <si>
    <t>['Avatars', 'Dates of birth', 'Email addresses', 'IP addresses', 'Website activity']</t>
  </si>
  <si>
    <t>KMRU</t>
  </si>
  <si>
    <t>KM.RU</t>
  </si>
  <si>
    <t>km.ru</t>
  </si>
  <si>
    <t>In February 2016, the Russian portal and email service &lt;a href="http://km.ru" target="_blank" rel="noopener"&gt;KM.RU&lt;/a&gt; was the target of an attack which was consequently &lt;a href="https://www.reddit.com/r/pwned/comments/47u1bf/operation_wrath_of_anakin_evolved" target="_blank" rel="noopener"&gt;detailed on Reddit&lt;/a&gt;. Allegedly protesting &amp;quot;the foreign policy of Russia in regards to Ukraine&amp;quot;, KM.RU was one of several Russian sites in the breach and impacted almost 1.5M accounts including sensitive personal information.</t>
  </si>
  <si>
    <t>https://haveibeenpwned.com/Content/Images/PwnedLogos/KMRU.png</t>
  </si>
  <si>
    <t>['Dates of birth', 'Email addresses', 'Genders', 'Geographic locations', 'Recovery email addresses', 'Security questions and answers', 'Usernames']</t>
  </si>
  <si>
    <t>KnownCircle</t>
  </si>
  <si>
    <t>knowncircle.com</t>
  </si>
  <si>
    <t>In approximately April 2016, the &amp;quot;marketing automation for agents and professional service providers&amp;quot; company &lt;a href="https://web.archive.org/web/20171020171534/https://knowncircle.com/" target="_blank" rel="noopener"&gt;KnownCircle&lt;/a&gt; had a large volume of data obtained by an external party. The data belonging to the now defunct service appeared in JSON format and contained gigabytes of data related to the real estate and insurance sectors. The personal data in the breach appears to have primarily been used for marketing purposes, including logs of emails sent and tracking of gift cards. A small number of passwords for KnownCircle staff were also present and were stored as bcrypt hashes.</t>
  </si>
  <si>
    <t>https://haveibeenpwned.com/Content/Images/PwnedLogos/KnownCircle.png</t>
  </si>
  <si>
    <t>['Email addresses', 'Email messages', 'Genders', 'Names', 'Passwords', 'Phone numbers', 'Physical addresses']</t>
  </si>
  <si>
    <t>Knuddels</t>
  </si>
  <si>
    <t>knuddels.de</t>
  </si>
  <si>
    <t>In September 2018, the German social media website &lt;a href="https://forum.knuddels.de/ubbthreads.php?ubb=showflat&amp;Number=2916081" target="_blank" rel="noopener"&gt;Knuddels suffered a data breach&lt;/a&gt;. The incident exposed 808k unique email addresses alongside usernames, real names, the city of the person and their password in plain text. Knuddels was &lt;a href="https://blog.avira.com/german-flirting-network-gets-fined-20000e-for-leaking-user-information/" target="_blank" rel="noopener"&gt;subsequently fined Ã¢â€šÂ¬20k for the breach&lt;/a&gt;.</t>
  </si>
  <si>
    <t>https://haveibeenpwned.com/Content/Images/PwnedLogos/Knuddels.png</t>
  </si>
  <si>
    <t>KomplettFritid</t>
  </si>
  <si>
    <t>komplettfritid.no</t>
  </si>
  <si>
    <t>In January 2023, &lt;a href="https://www.digi.no/artikler/selger-datalekkasje-med-140-000-berorte-kunder-fra-lars-monsens-nettbutikk/525070" target="_blank" rel="noopener"&gt;the online Norwegian store KomplettFritid was reported as having had a data breach dating back to February 2021&lt;/a&gt;. The incident exposed 140k customer records including physical, email and IP addresses, names, phone numbers and passwords. Most passwords were stored as bcrypt hashes with a small number appearing in plain text.</t>
  </si>
  <si>
    <t>https://haveibeenpwned.com/Content/Images/PwnedLogos/KomplettFritid.png</t>
  </si>
  <si>
    <t>['Email addresses', 'IP addresses', 'Names', 'Passwords', 'Phone numbers', 'Physical addresses']</t>
  </si>
  <si>
    <t>Kreditplus</t>
  </si>
  <si>
    <t>kreditplus.com</t>
  </si>
  <si>
    <t>In June 2020, the Indonesian credit service &lt;a href="https://nakedsecurity.sophos.com/2020/07/02/133m-records-for-sale-as-fruits-of-data-breach-spree-keep-raining-down/" target="_blank" rel="noopener"&gt;Kreditplus suffered a data breach&lt;/a&gt; which exposed 896k records containing 769k unique email addresses. The breach exposed extensive personal information including names, family makeup, information on spouses, income and expenses, religions and employment information. The data was provided to HIBP by &lt;a href="https://breachbase.pw/" target="_blank" rel="noopener"&gt;breachbase.pw&lt;/a&gt;.</t>
  </si>
  <si>
    <t>https://haveibeenpwned.com/Content/Images/PwnedLogos/Kreditplus.png</t>
  </si>
  <si>
    <t>['Dates of birth', 'Email addresses', 'Employers', 'Family structure', 'Genders', 'Income levels', 'Living costs', 'Marital statuses', 'Mothers maiden names', 'Names', 'Phone numbers', 'Physical addresses', 'Places of birth', 'Religions', 'Spouses names']</t>
  </si>
  <si>
    <t>LaPosteMobile</t>
  </si>
  <si>
    <t>La Poste Mobile</t>
  </si>
  <si>
    <t>lapostemobile.fr</t>
  </si>
  <si>
    <t>In July 2022, the French telecommunications company &lt;a href="https://securityaffairs.co/wordpress/133080/cyber-crime/la-poste-mobile-ransomware.html" target="_blank" rel="noopener"&gt;La Poste Mobile was the target of an attack by the LockBit ransomware&lt;/a&gt; which resulted in company data being published publicly. The impacted data included 533k unique email addresses along with names, physical addresses, phone numbers, dates of births, genders and banking information. 10 days after the attack, the La Poste Mobile website remained offline.</t>
  </si>
  <si>
    <t>https://haveibeenpwned.com/Content/Images/PwnedLogos/LaPosteMobile.png</t>
  </si>
  <si>
    <t>['Bank account numbers', 'Dates of birth', 'Email addresses', 'Genders', 'Names', 'Phone numbers', 'Physical addresses']</t>
  </si>
  <si>
    <t>Lanwar</t>
  </si>
  <si>
    <t>lanwar.com</t>
  </si>
  <si>
    <t>In July 2018, staff of &lt;a href="https://lanwar.com/" target="_blank" rel="noopener"&gt;the Lanwar gaming site&lt;/a&gt; discovered a data breach they believe dates back to sometime over the previous several months. The data contained 45k names, email addresses, usernames and plain text passwords. A Lanwar staff member self-submitted the breach to HIBP and has also contacted the relevant authorities about the incident after identifying a phishing attempt to extort Bitcoin from a user.</t>
  </si>
  <si>
    <t>https://haveibeenpwned.com/Content/Images/PwnedLogos/Lanwar.png</t>
  </si>
  <si>
    <t>['Email addresses', 'Names', 'Passwords', 'Physical addresses', 'Usernames']</t>
  </si>
  <si>
    <t>Lastfm</t>
  </si>
  <si>
    <t>Last.fm</t>
  </si>
  <si>
    <t>last.fm</t>
  </si>
  <si>
    <t>In March 2012, the music website &lt;a href="https://techcrunch.com/2016/09/01/43-million-passwords-hacked-in-last-fm-breach/" target="_blank" rel="noopener"&gt;Last.fm was hacked&lt;/a&gt; and 43 million user accounts were exposed. Whilst &lt;a href="http://www.last.fm/passwordsecurity" target="_blank" rel="noopener"&gt;Last.fm knew of an incident back in 2012&lt;/a&gt;, the scale of the hack was not known until the data was released publicly in September 2016. The breach included 37 million unique email addresses, usernames and passwords stored as unsalted MD5 hashes.</t>
  </si>
  <si>
    <t>https://haveibeenpwned.com/Content/Images/PwnedLogos/Lastfm.png</t>
  </si>
  <si>
    <t>Lazada</t>
  </si>
  <si>
    <t>Lazada RedMart</t>
  </si>
  <si>
    <t>redmart.lazada.sg</t>
  </si>
  <si>
    <t>In October 2020, &lt;a href="https://www.bleepingcomputer.com/news/security/over-1m-lazada-redmart-accounts-sold-online-after-data-breach/" target="_blank" rel="noopener"&gt;news broke of Lazada RedMart data breach&lt;/a&gt; containing records as recent as July 2020 and being sold via an online marketplace. In all, the data contained 1.1 million customer email addresses alongside names, phone numbers, physical addresses, partial credit card numbers and passwords stored as SHA-1 hashes.</t>
  </si>
  <si>
    <t>https://haveibeenpwned.com/Content/Images/PwnedLogos/Lazada.png</t>
  </si>
  <si>
    <t>['Email addresses', 'Names', 'Partial credit card data', 'Passwords', 'Phone numbers', 'Physical addresses']</t>
  </si>
  <si>
    <t>LeadHunter</t>
  </si>
  <si>
    <t>Lead Hunter</t>
  </si>
  <si>
    <t>In March 2020, &lt;a href="https://www.troyhunt.com/the-unattributable-lead-hunter-data-breach" target="_blank" rel="noopener"&gt;a massive trove of personal information referred to as &amp;quot;Lead Hunter&amp;quot;&lt;/a&gt; was provided to HIBP after being found left exposed on a publicly facing Elasticsearch server. The data contained 69 million unique email addresses across 110 million rows of data accompanied by additional personal information including names, phone numbers, genders and physical addresses. At the time of publishing, the breach could not be attributed to those responsible for obtaining and exposing it. The data was provided to HIBP by &lt;a href="https://dehashed.com/" target="_blank" rel="noopener"&gt;dehashed.com&lt;/a&gt;.</t>
  </si>
  <si>
    <t>['Email addresses', 'Genders', 'IP addresses', 'Names', 'Phone numbers', 'Physical addresses']</t>
  </si>
  <si>
    <t>LeagueOfLegends</t>
  </si>
  <si>
    <t>League of Legends</t>
  </si>
  <si>
    <t>leagueoflegends.com</t>
  </si>
  <si>
    <t>In June 2012, the multiplayer online game &lt;a href="https://www.cio.com/article/2395205/security0/european-league-of-legends-game-players-have-their-account-data-compromised.html" target="_blank" rel="noopener"&gt;League of Legends suffered a data breach&lt;/a&gt;. At the time, the service had more than 32 million registered accounts and the breach affected various personal data attributes including &amp;quot;encrypted&amp;quot; passwords. In 2018, a 339k record subset of the data emerged with email addresses, usernames and plain text passwords, likely cracked from the original cryptographically protected ones.</t>
  </si>
  <si>
    <t>https://haveibeenpwned.com/Content/Images/PwnedLogos/LeagueOfLegends.png</t>
  </si>
  <si>
    <t>Ledger</t>
  </si>
  <si>
    <t>ledger.com</t>
  </si>
  <si>
    <t>In June 2020, the hardware crypto wallet manufacturer &lt;a href="https://www.ledger.com/addressing-the-july-2020-e-commerce-and-marketing-data-breach" target="_blank" rel="noopener"&gt;Ledger suffered a data breach that exposed over 1 million email addresses&lt;/a&gt;. The data was initially sold before being dumped publicly in December 2020 and included names, physical addresses and phone numbers. The data was provided to HIBP by &lt;a href="https://twitter.com/UnderTheBreach" target="_blank" rel="noopener"&gt;Alon Gal, CTO of cybercrime intelligence firm Hudson Rock&lt;/a&gt;.</t>
  </si>
  <si>
    <t>https://haveibeenpwned.com/Content/Images/PwnedLogos/Ledger.png</t>
  </si>
  <si>
    <t>Leet</t>
  </si>
  <si>
    <t>leet.cc</t>
  </si>
  <si>
    <t>In August 2016, the service for creating and running Pocket Minecraft edition servers known as &lt;a href="http://news.softpedia.com/news/data-for-6-million-minecraft-gamers-stolen-from-leet-cc-servers-507445.shtml" target="_blank" rel="noopener"&gt;Leet was reported as having suffered a data breach that impacted 6 million subscribers&lt;/a&gt;. The incident reported by Softpedia had allegedly taken place earlier in the year, although the data set sent to HIBP was dated as recently as early September but contained only 2 million subscribers. The data included usernames, email and IP addresses and SHA512 hashes. A further 3 million accounts were obtained and added to HIBP several days after the initial data was loaded bringing the total to over 5 million.</t>
  </si>
  <si>
    <t>https://haveibeenpwned.com/Content/Images/PwnedLogos/Leet.png</t>
  </si>
  <si>
    <t>Lifebear</t>
  </si>
  <si>
    <t>lifebear.com</t>
  </si>
  <si>
    <t>In early 2019, the Japanese schedule app &lt;a href="https://www.zdnet.com/article/round-4-hacker-returns-and-puts-26mil-user-records-for-sale-on-the-dark-web/" target="_blank" rel="noopener"&gt;Lifebear appeared for sale on a dark web marketplace amongst a raft of other hacked websites&lt;/a&gt;. The breach exposed almost 3.7M unique email addresses, usernames and passwords stored as salted MD5 hashes. The data was provided to HIBP by a source who requested it be attributed to &amp;quot;nano@databases.pw&amp;quot;.</t>
  </si>
  <si>
    <t>https://haveibeenpwned.com/Content/Images/PwnedLogos/Lifebear.png</t>
  </si>
  <si>
    <t>Lifeboat</t>
  </si>
  <si>
    <t>lbsg.net</t>
  </si>
  <si>
    <t>In January 2016, the Minecraft community known as Lifeboat &lt;a href="https://motherboard.vice.com/read/another-day-another-hack-7-million-emails-and-hashed-passwords-for-minecraft" target="_blank" rel="noopener"&gt;was hacked and more than 7 million accounts leaked&lt;/a&gt;. Lifeboat knew of the incident for three months before the breach was made public but elected not to advise customers. The leaked data included usernames, email addresses and passwords stored as straight MD5 hashes.</t>
  </si>
  <si>
    <t>https://haveibeenpwned.com/Content/Images/PwnedLogos/Lifeboat.png</t>
  </si>
  <si>
    <t>LightsHope</t>
  </si>
  <si>
    <t>Light's Hope</t>
  </si>
  <si>
    <t>lightshope.org</t>
  </si>
  <si>
    <t>In June 2018, the World of Warcraft service &lt;a href="https://lightshope.org/news/forum-breach-summary-of-investigation-and-final-report" target="_blank" rel="noopener"&gt;Light's Hope suffered a data breach&lt;/a&gt; which they subsequently self-submitted to HIBP. Over 30K unique users were impacted and their exposed data included email addresses, dates of birth, private messages and passwords stored as bcrypt hashes.</t>
  </si>
  <si>
    <t>https://haveibeenpwned.com/Content/Images/PwnedLogos/LightsHope.png</t>
  </si>
  <si>
    <t>['Dates of birth', 'Email addresses', 'Geographic locations', 'IP addresses', 'Passwords', 'Private messages', 'Usernames']</t>
  </si>
  <si>
    <t>Liker</t>
  </si>
  <si>
    <t>liker.com</t>
  </si>
  <si>
    <t>In March 2021, the self-proclaimed &amp;quot;kinder, smarter social network&amp;quot; &lt;a href="https://liker.com/" target="_blank" rel="noopener"&gt;Liker&lt;/a&gt; suffered a data breach, allegedly in retaliation for the Gab data breach and scraping of data from Parler. The site remained offline after the breach which exposed 465k email addresses in addition to names, dates of birth, education levels, private messages, security questions and answers in plain text, passwords stored as bcrypt hashes and other personal data attributes. Liker did not respond when contacted about the breach.</t>
  </si>
  <si>
    <t>https://haveibeenpwned.com/Content/Images/PwnedLogos/Liker.png</t>
  </si>
  <si>
    <t>['Auth tokens', 'Dates of birth', 'Education levels', 'Email addresses', 'Geographic locations', 'IP addresses', 'Names', 'Passwords', 'Phone numbers', 'Private messages', 'Security questions and answers', 'Social media profiles', 'Usernames']</t>
  </si>
  <si>
    <t>LinkedIn</t>
  </si>
  <si>
    <t>linkedin.com</t>
  </si>
  <si>
    <t>In May 2016, &lt;a href="https://www.troyhunt.com/observations-and-thoughts-on-the-linkedin-data-breach" target="_blank" rel="noopener"&gt;LinkedIn had 164 million email addresses and passwords exposed&lt;/a&gt;. Originally hacked in 2012, the data remained out of sight until being offered for sale on a dark market site 4 years later. The passwords in the breach were stored as SHA1 hashes without salt, the vast majority of which were quickly cracked in the days following the release of the data.</t>
  </si>
  <si>
    <t>https://haveibeenpwned.com/Content/Images/PwnedLogos/LinkedIn.png</t>
  </si>
  <si>
    <t>LinkedInScrape</t>
  </si>
  <si>
    <t>LinkedIn Scraped Data</t>
  </si>
  <si>
    <t>During the first half of 2021, &lt;a href="https://www.businessinsider.com.au/linkedin-data-scraped-500-million-users-for-sale-online-2021-4" target="_blank" rel="noopener"&gt;LinkedIn was targeted by attackers who scraped data from hundreds of millions of public profiles and later sold them online&lt;/a&gt;. Whilst the scraping did not constitute a data breach nor did it access any personal data not intended to be publicly accessible, the data was still monetised and later broadly circulated in hacking circles. The scraped data contains approximately 400M records with 125M unique email addresses, as well as names, geographic locations, genders and job titles. LinkedIn specifically addresses the incident in their post on &lt;a href="https://news.linkedin.com/2021/june/an-update-from-linkedin" target="_blank" rel="noopener"&gt;An update on report of scraped data&lt;/a&gt;.</t>
  </si>
  <si>
    <t>['Education levels', 'Email addresses', 'Genders', 'Geographic locations', 'Job titles', 'Names', 'Social media profiles']</t>
  </si>
  <si>
    <t>LinuxForums</t>
  </si>
  <si>
    <t>Linux Forums</t>
  </si>
  <si>
    <t>linuxforums.org</t>
  </si>
  <si>
    <t>In May 2018, &lt;a href="http://www.linuxforums.org" target="_blank" rel="noopener"&gt;the Linux Forums website&lt;/a&gt; suffered a data breach which resulted in the disclosure of 276k unique email addresses. Running on an old version of vBulletin, the breach also disclosed usernames, IP addresses and salted MD5 password hashes. Linux Forums did not respond to multiple attempts to contact them about the breach.</t>
  </si>
  <si>
    <t>https://haveibeenpwned.com/Content/Images/PwnedLogos/LinuxForums.png</t>
  </si>
  <si>
    <t>LinuxMint</t>
  </si>
  <si>
    <t>Linux Mint</t>
  </si>
  <si>
    <t>linuxmint.com</t>
  </si>
  <si>
    <t>In February 2016, the website for the Linux distro known as Linux Mint &lt;a href="http://thehackernews.com/2016/02/linux-mint-hack.html" target="_blank" rel="noopener"&gt;was hacked and the ISO infected with a backdoor&lt;/a&gt;. The site also ran a phpBB forum which was subsequently put up for sale complete with almost 145k email addresses, passwords and other personal subscriber information.</t>
  </si>
  <si>
    <t>https://haveibeenpwned.com/Content/Images/PwnedLogos/LinuxMint.png</t>
  </si>
  <si>
    <t>['Avatars', 'Dates of birth', 'Email addresses', 'Geographic locations', 'IP addresses', 'Passwords', 'Time zones', 'Website activity']</t>
  </si>
  <si>
    <t>LittleMonsters</t>
  </si>
  <si>
    <t>Little Monsters</t>
  </si>
  <si>
    <t>littlemonsters.com</t>
  </si>
  <si>
    <t>In approximately January 2017, &lt;a href="https://www.heise.de/security/meldung/Little-Monsters-Nutzerdaten-aus-Lady-Gagas-Social-Network-sollen-geleakt-sein-3646447.html" target="_blank" rel="noopener"&gt;the Lady Gaga fan site known as &amp;quot;Little Monsters&amp;quot; suffered a data breach that impacted 1 million accounts&lt;/a&gt;. The data contained usernames, email addresses, dates of birth and bcrypt hashes of passwords.</t>
  </si>
  <si>
    <t>https://haveibeenpwned.com/Content/Images/PwnedLogos/LittleMonsters.png</t>
  </si>
  <si>
    <t>LiveAuctioneers</t>
  </si>
  <si>
    <t>liveauctioneers.com</t>
  </si>
  <si>
    <t>In June 2020, the online antiques marketplace &lt;a href="https://portswigger.net/daily-swig/liveauctioneers-data-breach-millions-of-cracked-passwords-for-sale-say-researchers" target="_blank" rel="noopener"&gt;LiveAuctioneers suffered a data breach&lt;/a&gt; which was subsequently sold online then extensively redistributed in the hacking community. The data contained 3.4 million records including names, email and IP addresses, physical addresses, phones numbers and passwords stored as unsalted MD5 hashes. The data was provided to HIBP by &lt;a href="https://breachbase.pw/" target="_blank" rel="noopener"&gt;breachbase.pw&lt;/a&gt;.</t>
  </si>
  <si>
    <t>https://haveibeenpwned.com/Content/Images/PwnedLogos/LiveAuctioneers.png</t>
  </si>
  <si>
    <t>LiveJournal</t>
  </si>
  <si>
    <t>livejournal.com</t>
  </si>
  <si>
    <t>In mid-2019, &lt;a href="https://news.ycombinator.com/item?id=20426997&amp;fbclid=IwAR22KoBod2B44XzYbPziwh1RoT_M8ll3Uf8Ods7TpF8mPdSGo3PKYQEx9_k" target="_blank" rel="noopener"&gt;news broke of an alleged LiveJournal data breach&lt;/a&gt;. This followed &lt;a href="https://twitter.com/rahaeli/status/1265316773508927488" target="_blank" rel="noopener"&gt;multiple reports of credential abuse against Dreamwidth beginning in 2018&lt;/a&gt;, a fork of LiveJournal with a significant crossover in user base. The breach allegedly dates back to 2017 and contains 26M unique usernames and email addresses (both of which have been confirmed to exist on LiveJournal) alongside plain text passwords. An archive of the data was subsequently shared on a popular hacking forum in May 2020 and redistributed broadly. The data was provided to HIBP by a source who requested it be attributed to &amp;quot;nano@databases.pw&amp;quot;.</t>
  </si>
  <si>
    <t>https://haveibeenpwned.com/Content/Images/PwnedLogos/LiveJournal.png</t>
  </si>
  <si>
    <t>Livpure</t>
  </si>
  <si>
    <t>livpure.com</t>
  </si>
  <si>
    <t>In August 2020, the Indian retailer &lt;a href="https://cloudsek.com/threatintelligence/over-a-million-pii-of-livpure-customers-leak-on-cybercrime-forum/" target="_blank" rel="noopener"&gt;Livpure suffered a data breach&lt;/a&gt; which exposed over 1 million customer purchases with 270 thousand unique email addresses. The data also included names, phone numbers, physical addresses and details of purchased items. The data was provided to HIBP by a source who requested it be attributed to &amp;quot;white_peacock@riseup.net&amp;quot;.</t>
  </si>
  <si>
    <t>https://haveibeenpwned.com/Content/Images/PwnedLogos/Livpure.png</t>
  </si>
  <si>
    <t>['Email addresses', 'Names', 'Phone numbers', 'Physical addresses', 'Purchases', 'Salutations']</t>
  </si>
  <si>
    <t>LizardSquad</t>
  </si>
  <si>
    <t>Lizard Squad</t>
  </si>
  <si>
    <t>lizardstresser.su</t>
  </si>
  <si>
    <t>In January 2015, the hacker collective known as &amp;quot;Lizard Squad&amp;quot; created a DDoS service by the name of &amp;quot;Lizard Stresser&amp;quot; which could be procured to mount attacks against online targets. Shortly thereafter, the service &lt;a href="https://krebsonsecurity.com/2015/01/another-lizard-arrested-lizard-lair-hacked/"&gt;suffered a data breach&lt;/a&gt; which resulted in the public disclosure of over 13k user accounts including passwords stored in plain text.</t>
  </si>
  <si>
    <t>https://haveibeenpwned.com/Content/Images/PwnedLogos/LizardSquad.png</t>
  </si>
  <si>
    <t>Lolzteam</t>
  </si>
  <si>
    <t>lolzteam.net</t>
  </si>
  <si>
    <t>In May 2018, the Russian hacking forum &lt;a href="https://medium.com/breach-report/data-hacking-news-over-405-000-hackers-from-lolzteam-net-exposed-3121555080cc" target="_blank" rel="noopener"&gt;Lolzteam suffered a data breach that exposed 400k members&lt;/a&gt;. The impacted data included usernames and email addresses which were later redistributed via another hacking forum. The data was provided to HIBP by a source who requested it be attributed to &amp;quot;ZAN @ BF&amp;quot;.</t>
  </si>
  <si>
    <t>https://haveibeenpwned.com/Content/Images/PwnedLogos/Lolzteam.png</t>
  </si>
  <si>
    <t>Lookbook</t>
  </si>
  <si>
    <t>lookbook.nu</t>
  </si>
  <si>
    <t>In August 2012, the fashion site &lt;a href="https://www.hackread.com/hacker-selling-million-lookbook-accounts/" target="_blank" rel="noopener"&gt;Lookbook suffered a data breach&lt;/a&gt;. The data later appeared listed for sale in June 2016 and included 1.1 million usernames, email and IP addresses, birth dates and plain text passwords.</t>
  </si>
  <si>
    <t>https://haveibeenpwned.com/Content/Images/PwnedLogos/Lookbook.png</t>
  </si>
  <si>
    <t>['Dates of birth', 'Email addresses', 'IP addresses', 'Names', 'Passwords', 'Usernames', 'Website activity']</t>
  </si>
  <si>
    <t>LOTR</t>
  </si>
  <si>
    <t>Lord of the Rings Online</t>
  </si>
  <si>
    <t>lotro.com</t>
  </si>
  <si>
    <t>In August 2013, the interactive video game &lt;a href="https://www.lotro.com" target="_blank" rel="noopener"&gt;Lord of the Rings Online&lt;/a&gt; suffered a data breach that exposed over 1.1M players' accounts. The data was being actively traded on underground forums and included email addresses, birth dates and password hashes.</t>
  </si>
  <si>
    <t>https://haveibeenpwned.com/Content/Images/PwnedLogos/LOTR.png</t>
  </si>
  <si>
    <t>LoungeBoard</t>
  </si>
  <si>
    <t>Lounge Board</t>
  </si>
  <si>
    <t>loungeboard.net</t>
  </si>
  <si>
    <t>At some point in 2013, 45k accounts were &lt;a href="http://leak.sx/thread-186921" target="_blank" rel="noopener"&gt;breached from the Lounge Board "General Discussion Forum" and then dumped publicly&lt;/a&gt;. Lounge Board was a MyBB forum launched in 2012 and discontinued in mid 2013 (the last activity in the logs was from August 2013).</t>
  </si>
  <si>
    <t>https://haveibeenpwned.com/Content/Images/PwnedLogos/LoungeBoard.png</t>
  </si>
  <si>
    <t>['Email addresses', 'IP addresses', 'Names', 'Passwords', 'Private messages', 'Usernames', 'Website activity']</t>
  </si>
  <si>
    <t>LuminPDF</t>
  </si>
  <si>
    <t>Lumin PDF</t>
  </si>
  <si>
    <t>luminpdf.com</t>
  </si>
  <si>
    <t>In April 2019, the PDF management service &lt;a href="https://www.zdnet.com/article/data-of-24-3-million-lumin-pdf-users-shared-on-hacking-forum/" target="_blank" rel="noopener"&gt;Lumin PDF suffered a data breach&lt;/a&gt;. The breach wasn't publicly disclosed until September when 15.5M records of user data appeared for download on a popular hacking forum. The data had been left publicly exposed in a MongoDB instance after which Lumin PDF was allegedly been &amp;quot;contacted multiple times, but ignored all the queries&amp;quot;. The exposed data included names, email addresses, genders, spoken language and either a bcrypt password hash or Google auth token. The data was provided to HIBP by a source who requested it be attributed to &amp;quot;JimScott.Sec@protonmail.com&amp;quot;.</t>
  </si>
  <si>
    <t>https://haveibeenpwned.com/Content/Images/PwnedLogos/LuminPDF.png</t>
  </si>
  <si>
    <t>['Auth tokens', 'Email addresses', 'Genders', 'Names', 'Passwords', 'Spoken languages', 'Usernames']</t>
  </si>
  <si>
    <t>LyricsMania</t>
  </si>
  <si>
    <t>Lyrics Mania</t>
  </si>
  <si>
    <t>lyricsmania.com</t>
  </si>
  <si>
    <t>In December 2017, the song lyrics website known as &lt;a href="https://www.lyricsmania.com/" target="_blank" rel="noopener"&gt;Lyrics Mania&lt;/a&gt; suffered a data breach. The data in the breach included 109k usernames, email addresses and plain text passwords. &lt;a href="https://www.troyhunt.com/streamlining-data-breach-disclosure-a-step-by-step-process" target="_blank" rel="noopener"&gt;Numerous attempts were made to contact Lyrics Mania about the incident&lt;/a&gt;, however no responses were received.</t>
  </si>
  <si>
    <t>https://haveibeenpwned.com/Content/Images/PwnedLogos/LyricsMania.png</t>
  </si>
  <si>
    <t>MacForums</t>
  </si>
  <si>
    <t>Mac Forums</t>
  </si>
  <si>
    <t>mac-forums.com</t>
  </si>
  <si>
    <t>In July 2016, the self-proclaimed &amp;quot;Ultimate Source For Your Mac&amp;quot; website &lt;a href="https://www.mac-forums.com/" target="_blank" rel="noopener"&gt;Mac Forums&lt;/a&gt; suffered a data breach. The vBulletin-based system exposed over 326k usernames, email and IP addresses, dates of birth and passwords stored as salted MD5 hashes. The data was later discovered being traded on a popular hacking forum. Mac Forums did not respond when contacted about the incident via their contact us form.</t>
  </si>
  <si>
    <t>https://haveibeenpwned.com/Content/Images/PwnedLogos/MacForums.png</t>
  </si>
  <si>
    <t>MacGeneration</t>
  </si>
  <si>
    <t>macg.co</t>
  </si>
  <si>
    <t>In January 2022, the French Apple news website &lt;a href="https://www.macg.co/macgeneration/2022/02/macgeneration-victime-dune-attaque-informatique-127149" target="_blank" rel="noopener"&gt;MacGeneration suffered a data breach&lt;/a&gt;. The incident exposed over 100k usernames, email addresses and passwords stored as salted SHA-512 hashes. After discovering the incident, MacGeneration self-submitted data to HIBP.</t>
  </si>
  <si>
    <t>https://haveibeenpwned.com/Content/Images/PwnedLogos/MacGeneration.png</t>
  </si>
  <si>
    <t>Mac-Torrents</t>
  </si>
  <si>
    <t>mac-torrents.com</t>
  </si>
  <si>
    <t>In October 2015, the torrent site &lt;a href="http://www.mac-torrents.com" target="_blank" rel="noopener"&gt;Mac-Torrents&lt;/a&gt; was hacked and almost 94k usernames, email addresses and passwords were leaked. The passwords were hashed with MD5 and no salt.</t>
  </si>
  <si>
    <t>https://haveibeenpwned.com/Content/Images/PwnedLogos/Mac-Torrents.png</t>
  </si>
  <si>
    <t>MailRu</t>
  </si>
  <si>
    <t>mail.ru Dump</t>
  </si>
  <si>
    <t>mail.ru</t>
  </si>
  <si>
    <t>In September 2014, several large dumps of user accounts appeared on the &lt;a href="https://forum.btcsec.com/" target="_blank" rel="noopener"&gt;Russian Bitcoin Security Forum&lt;/a&gt; including one with nearly 5M email addresses and passwords, predominantly on the mail.ru domain. Whilst &lt;a href="http://globalvoicesonline.org/2014/09/10/russia-email-yandex-mailru-passwords-hacking/" target="_blank" rel="noopener"&gt;unlikely to be the result of a direct attack against mail.ru&lt;/a&gt;, the credentials were confirmed by many as legitimate for other services they had subscribed to. Further data allegedly valid for mail.ru and containing email addresses and plain text passwords was added in January 2018 bringing to total to more than 16M records. The incident was also then flagged as &amp;quot;unverified&amp;quot;, a concept that was &lt;a href="https://www.troyhunt.com/introducing-unverified-breaches-to-have-i-been-pwned/" target="_blank" rel="noopener"&gt;introduced after the initial data load in 2014&lt;/a&gt;.</t>
  </si>
  <si>
    <t>https://haveibeenpwned.com/Content/Images/PwnedLogos/MailRu.png</t>
  </si>
  <si>
    <t>MajorGeeks</t>
  </si>
  <si>
    <t>majorgeeks.com</t>
  </si>
  <si>
    <t>In November 2015, almost 270k accounts from the &lt;a href="http://www.majorgeeks.com" target="_blank" rel="noopener"&gt;MajorGeeks&lt;/a&gt; support forum were breached. The accounts were being actively sold and traded online and included email addresses, salted password hashes and IP addresses.</t>
  </si>
  <si>
    <t>https://haveibeenpwned.com/Content/Images/PwnedLogos/MajorGeeks.png</t>
  </si>
  <si>
    <t>MallCZ</t>
  </si>
  <si>
    <t>MALL.cz</t>
  </si>
  <si>
    <t>mall.cz</t>
  </si>
  <si>
    <t>In July 2017, the Czech Republic e-commerce site &lt;a href="https://blog.mall.cz/o-nas/q-a-vse-co-jste-chteli-vedet-o-bezpecnosti-na-mall-cz-451.html" target="_blank" rel="noopener"&gt;MALL.cz suffered a data breach&lt;/a&gt; after which 735k unique accounts including email addresses, names, phone numbers and passwords were later posted online. Whilst passwords were stored as hashes, &lt;a href="https://pulse.michalspacek.cz/passwords/storages/site/www.mall.cz" target="_blank" rel="noopener"&gt;a number of different  algorithms of varying strength were used over time&lt;/a&gt;. All passwords included in the publicly distributed data were in plain text and were likely just those that had been successfully cracked (members with strong passwords don't appear to be included). According to MALL.cz, the breach only impacted accounts created before 2015.</t>
  </si>
  <si>
    <t>https://haveibeenpwned.com/Content/Images/PwnedLogos/MallCZ.png</t>
  </si>
  <si>
    <t>['Email addresses', 'Names', 'Passwords', 'Phone numbers']</t>
  </si>
  <si>
    <t>Malwarebytes</t>
  </si>
  <si>
    <t>malwarebytes.org</t>
  </si>
  <si>
    <t>In November 2014, the &lt;a href="http://www.scmagazine.com/malwarebytes-forum-hacked/article/385187/" target="_blank" rel="noopener"&gt;Malwarebytes forum was hacked&lt;/a&gt; and 111k member records were exposed. The IP.Board forum included email and IP addresses, birth dates and passwords stored as salted hashes using a weak implementation enabling many to be rapidly cracked.</t>
  </si>
  <si>
    <t>https://haveibeenpwned.com/Content/Images/PwnedLogos/Malwarebytes.png</t>
  </si>
  <si>
    <t>MangaTraders</t>
  </si>
  <si>
    <t>Manga Traders</t>
  </si>
  <si>
    <t>mangatraders.com</t>
  </si>
  <si>
    <t>In June 2014, the Manga trading website &lt;a href="http://www.mangatraders.com" target="_blank" rel="noopener"&gt;Mangatraders.com&lt;/a&gt; had the usernames and passwords of over 900k users &lt;a href="http://boards.4chan.org/a/thread/108603065/mangatraders-has-been-hacked-emails-and-passwords" target="_blank" rel="noopener"&gt;leaked on the internet&lt;/a&gt; (approximately 855k of the emails were unique). The passwords were weakly hashed with a single iteration of MD5 leaving them vulnerable to being easily cracked.</t>
  </si>
  <si>
    <t>https://haveibeenpwned.com/Content/Images/PwnedLogos/MangaTraders.png</t>
  </si>
  <si>
    <t>MangaDex</t>
  </si>
  <si>
    <t>mangadex.org</t>
  </si>
  <si>
    <t>In March 2021, the manga fan site &lt;a href="https://portswigger.net/daily-swig/mangadex-website-taken-offline-following-cyber-attack-data-breach" target="_blank" rel="noopener"&gt;MangaDex suffered a data breach&lt;/a&gt; that resulted in the exposure of almost 3 million subscribers. The data included email and IP addresses, usernames and passwords stored as bcrypt hashes. The data was subsequently circulated within hacking groups.</t>
  </si>
  <si>
    <t>https://haveibeenpwned.com/Content/Images/PwnedLogos/MangaDex.png</t>
  </si>
  <si>
    <t>MangaFox</t>
  </si>
  <si>
    <t>MangaFox.me</t>
  </si>
  <si>
    <t>mangafox.me</t>
  </si>
  <si>
    <t>In approximately July 2016, the manga website known as &lt;a href="http://mangafox.me" target="_blank" rel="noopener"&gt;mangafox.me&lt;/a&gt; suffered a data breach. The vBulletin based forum exposed 1.3 million accounts including usernames, email and IP addresses, dates of birth and salted MD5 password hashes.</t>
  </si>
  <si>
    <t>https://haveibeenpwned.com/Content/Images/PwnedLogos/MangaFox.png</t>
  </si>
  <si>
    <t>Mangatoon</t>
  </si>
  <si>
    <t>mangatoon.mobi</t>
  </si>
  <si>
    <t>In May 2022, the Hong Kong based Manga service &lt;a href="https://mangatoon.mobi/" target="_blank" rel="noopener"&gt;Mangatoon&lt;/a&gt; suffered a data breach that exposed 23M subscriber records. The breach exposed names, email addresses, genders, social media account identities, auth tokens from social logins and passwords stored as salted MD5 hashes. Mangatoon did not respond to multiple attempts to make contact regarding the breach.</t>
  </si>
  <si>
    <t>https://haveibeenpwned.com/Content/Images/PwnedLogos/Mangatoon.png</t>
  </si>
  <si>
    <t>['Auth tokens', 'Avatars', 'Email addresses', 'Genders', 'Names', 'Passwords', 'Social media profiles', 'Usernames']</t>
  </si>
  <si>
    <t>Mappery</t>
  </si>
  <si>
    <t>mappery.com</t>
  </si>
  <si>
    <t>In December 2018, the mapping website &lt;a href="http://www.mappery.com" target="_blank" rel="noopener"&gt;Mappery&lt;/a&gt; suffered a data breach that exposed over 205k unique email addresses. The incident also exposed usernames, the geographic location of the user and passwords stored as unsalted SHA-1 hashes. No response was received from Mappery when contacted about the incident.</t>
  </si>
  <si>
    <t>https://haveibeenpwned.com/Content/Images/PwnedLogos/Mappery.png</t>
  </si>
  <si>
    <t>['Email addresses', 'Geographic locations', 'Passwords', 'Usernames']</t>
  </si>
  <si>
    <t>Mashable</t>
  </si>
  <si>
    <t>mashable.com</t>
  </si>
  <si>
    <t>In approximately mid-2020, &lt;a href="https://portswigger.net/daily-swig/data-breach-at-mashable-leaks-users-nbsp-personal-information-online" target="_blank" rel="noopener"&gt;Mashable suffered a data breach&lt;/a&gt; that subsequently turned up publicly in November 2020. The data included 1.4 million unique email addresses along with names, genders, expired auth tokens, physical locations, links to social media profiles and days and months of birth. The data was provided to HIBP by &lt;a href="https://dehashed.com/" target="_blank" rel="noopener"&gt;dehashed.com&lt;/a&gt;.</t>
  </si>
  <si>
    <t>https://haveibeenpwned.com/Content/Images/PwnedLogos/Mashable.png</t>
  </si>
  <si>
    <t>['Auth tokens', 'Email addresses', 'Genders', 'Geographic locations', 'IP addresses', 'Names', 'Partial dates of birth', 'Social media profiles']</t>
  </si>
  <si>
    <t>MasterDeeds</t>
  </si>
  <si>
    <t>Master Deeds</t>
  </si>
  <si>
    <t>In March 2017, a 27GB database backup file named "Master Deeds" was sent to HIBP by a supporter of the project. Upon detailed analysis later that year, the file was found to contain the personal data of tens of millions of living and deceased South African residents. The data included extensive personal attributes such as names, addresses, ethnicities, genders, birth dates, government issued personal identification numbers and 2.2 million email addresses. At the time of publishing, &lt;a href="https://www.iafrikan.com/2017/10/18/dracore-data-sciences/" target="_blank" rel="noopener"&gt;it's alleged the data was sourced from Dracore Data Sciences&lt;/a&gt; (Dracore is yet to publicly confirm or deny the data was sourced from their systems). On 18 October 2017, the file was found to have been published to a publicly accessible web server where it was located at the root of an IP address with directory listing enabled. The file was dated 8 April 2015.</t>
  </si>
  <si>
    <t>https://haveibeenpwned.com/Content/Images/PwnedLogos/MasterDeeds.png</t>
  </si>
  <si>
    <t>['Dates of birth', 'Deceased statuses', 'Email addresses', 'Employers', 'Ethnicities', 'Genders', 'Government issued IDs', 'Home ownership statuses', 'Job titles', 'Names', 'Nationalities', 'Phone numbers', 'Physical addresses']</t>
  </si>
  <si>
    <t>MastercardPricelessSpecials</t>
  </si>
  <si>
    <t>Mastercard Priceless Specials</t>
  </si>
  <si>
    <t>specials.mastercard.de</t>
  </si>
  <si>
    <t>In August 2019, &lt;a href="https://www.spiegel.de/netzwelt/web/mastercard-datenleck-bei-bonusprogramm-a-1282697.html" target="_blank" rel="noopener"&gt;the German Mastercard bonus program &amp;quot;Priceless Specials&amp;quot; suffered a data breach&lt;/a&gt;. Personal data on almost 90k program members was subsequently extensively circulated online and included names, email and IP addresses, phone numbers and partial credit card data. Following the incident, the program was subsequently suspended.</t>
  </si>
  <si>
    <t>https://haveibeenpwned.com/Content/Images/PwnedLogos/Mastercard.png</t>
  </si>
  <si>
    <t>['Email addresses', 'IP addresses', 'Names', 'Partial credit card data', 'Phone numbers', 'Salutations']</t>
  </si>
  <si>
    <t>Mate1</t>
  </si>
  <si>
    <t>Mate1.com</t>
  </si>
  <si>
    <t>mate1.com</t>
  </si>
  <si>
    <t>In February 2016, the dating site &lt;a href="http://motherboard.vice.com/read/hacker-claims-to-have-sold-27m-dating-site-passwords-mate1-com-hell-forum" target="_blank" rel="noopener"&gt;mate1.com suffered a huge data breach&lt;/a&gt; resulting in the disclosure of over 27 million subscribers' information. The data included deeply personal information about their private lives including drug and alcohol habits, incomes levels and sexual fetishes as well as passwords stored in plain text.</t>
  </si>
  <si>
    <t>https://haveibeenpwned.com/Content/Images/PwnedLogos/Mate1.png</t>
  </si>
  <si>
    <t>['Astrological signs', 'Dates of birth', 'Drinking habits', 'Drug habits', 'Education levels', 'Email addresses', 'Ethnicities', 'Fitness levels', 'Genders', 'Geographic locations', 'Income levels', 'Job titles', 'Names', 'Parenting plans', 'Passwords', 'Personal descriptions', 'Physical attributes', 'Political views', 'Relationship statuses', 'Religions', 'Sexual fetishes', 'Travel habits', 'Usernames', 'Website activity', 'Work habits']</t>
  </si>
  <si>
    <t>Mathway</t>
  </si>
  <si>
    <t>mathway.com</t>
  </si>
  <si>
    <t>In January 2020, the math solving website &lt;a href="https://www.zdnet.com/article/25-million-user-records-leak-online-from-popular-math-app-mathway/" target="_blank" rel="noopener"&gt;Mathway suffered a data breach that exposed over 25M records&lt;/a&gt;. The data was subsequently sold on a dark web marketplace and included names, Google and Facebook IDs, email addresses and salted password hashes.</t>
  </si>
  <si>
    <t>https://haveibeenpwned.com/Content/Images/PwnedLogos/Mathway.png</t>
  </si>
  <si>
    <t>['Device information', 'Email addresses', 'Names', 'Passwords', 'Social media profiles']</t>
  </si>
  <si>
    <t>MCBans</t>
  </si>
  <si>
    <t>mcbans.com</t>
  </si>
  <si>
    <t>In October 2016, the Minecraft banning service known as &lt;a href="https://www.mcbans.com/" target="_blank" rel="noopener"&gt;MCBans&lt;/a&gt; suffered a data breach resulting in the exposure of 120k unique user records. The data contained email and IP addresses, usernames and password hashes of unknown format. The site was previously reported as compromised on the &lt;a href="https://vigilante.pw/" target="_blank" rel="noopener"&gt;Vigilante.pw&lt;/a&gt; breached database directory.</t>
  </si>
  <si>
    <t>https://haveibeenpwned.com/Content/Images/PwnedLogos/MCBans.png</t>
  </si>
  <si>
    <t>MDPI</t>
  </si>
  <si>
    <t>mdpi.com</t>
  </si>
  <si>
    <t>In August 2016, the Swiss scholarly open access publisher known as &lt;a href="http://mdpi.com" target="_blank" rel="noopener"&gt;MDPI&lt;/a&gt; had 17.5GB of data obtained from an unprotected Mongo DB instance. The data contained email exchanges between MDPI and their authors and reviewers which included 845k unique email addresses. MDPI have confirmed that the system has since been protected and that no data of a sensitive nature was impacted. As such, they concluded that notification to their subscribers was not necessary due to the fact that all their authors and reviewers are available online on their website.</t>
  </si>
  <si>
    <t>https://haveibeenpwned.com/Content/Images/PwnedLogos/MDPI.png</t>
  </si>
  <si>
    <t>MechoDownload</t>
  </si>
  <si>
    <t>Mecho Download</t>
  </si>
  <si>
    <t>mechodownload.com</t>
  </si>
  <si>
    <t>In October 2013, the (now defunct) downloads website &amp;quot;Mecho Download&amp;quot; suffered a data breach that exposed 438k records. Data from the vBulletin based website included email and IP addresses, usernames and passwords stored as salted MD5 hashes.</t>
  </si>
  <si>
    <t>https://haveibeenpwned.com/Content/Images/PwnedLogos/MechoDownload.png</t>
  </si>
  <si>
    <t>MeetMindful</t>
  </si>
  <si>
    <t>meetmindful.com</t>
  </si>
  <si>
    <t>In early 2020, the online dating service &lt;a href="https://www.zdnet.com/article/hacker-leaks-data-of-2-28-million-dating-site-users/" target="_blank" rel="noopener"&gt;MeetMindful suffered a data breach&lt;/a&gt; that exposed 1.4 million unique customer email addresses. Included in the data was an extensive array of personal information used to find romantic matches including physical attributes, use of alcohol, drugs and cigarettes, marital statuses, birthdates, genders and the gender being sought. Additional personal information such as names, geographical locations and IP addresses were also exposed, along with passwords stored as bcrypt hashes.</t>
  </si>
  <si>
    <t>https://haveibeenpwned.com/Content/Images/PwnedLogos/MeetMindful.png</t>
  </si>
  <si>
    <t>['Dates of birth', 'Drinking habits', 'Drug habits', 'Email addresses', 'Genders', 'Geographic locations', 'IP addresses', 'Marital statuses', 'Names', 'Passwords', 'Physical attributes', 'Religions', 'Sexual orientations', 'Smoking habits', 'Social media profiles', 'Usernames']</t>
  </si>
  <si>
    <t>MGM</t>
  </si>
  <si>
    <t>MGM Resorts</t>
  </si>
  <si>
    <t>mgmresorts.com</t>
  </si>
  <si>
    <t>In July 2019, &lt;a href="https://www.zdnet.com/article/exclusive-details-of-10-6-million-of-mgm-hotel-guests-posted-on-a-hacking-forum/" target="_blank" rel="noopener"&gt;MGM Resorts discovered a data breach of one of their cloud services&lt;/a&gt;. The breach included 10.6M guest records with 3.1M unique email addresses stemming back to 2017. The exposed data included email and physical addresses, names, phone numbers and dates of birth and was subsequently shared on a popular hacking forum in February 2020 where it was extensively redistributed. The data was provided to HIBP by &lt;a href="https://underthebreach.com/" target="_blank" rel="noopener"&gt;Under The Breach&lt;/a&gt;.</t>
  </si>
  <si>
    <t>https://haveibeenpwned.com/Content/Images/PwnedLogos/MGM.png</t>
  </si>
  <si>
    <t>['Dates of birth', 'Email addresses', 'Names', 'Phone numbers', 'Physical addresses']</t>
  </si>
  <si>
    <t>MGM2022Update</t>
  </si>
  <si>
    <t>MGM Resorts (2022 Update)</t>
  </si>
  <si>
    <t>In July 2019, &lt;a href="https://www.zdnet.com/article/exclusive-details-of-10-6-million-of-mgm-hotel-guests-posted-on-a-hacking-forum/" target="_blank" rel="noopener"&gt;MGM Resorts discovered a data breach of one of their cloud services&lt;/a&gt;. The breach included 10.6M guest records with 3.1M unique email addresses stemming back to 2017. In May 2022, &lt;a href="https://www.vpnmentor.com/blog/mgm-leaked-on-telegram/" target="_blank" rel="noopener"&gt;a superset of the data totalling almost 25M unique email addresses across 142M rows was extensively shared on Telegram&lt;/a&gt;. On analysis, it's highly likely the data stems from the same incident &lt;a href="https://www.zdnet.com/article/a-hacker-is-selling-details-of-142-million-mgm-hotel-guests-on-the-dark-web/" target="_blank" rel="noopener"&gt;with 142M records having been discovered for sale on a dark web marketplace in mid-2020&lt;/a&gt;. The exposed data included email and physical addresses, names, phone numbers and dates of birth.</t>
  </si>
  <si>
    <t>MindJolt</t>
  </si>
  <si>
    <t>mindjolt.com</t>
  </si>
  <si>
    <t>In March 2019, the online gaming website &lt;a href="https://www.zdnet.com/article/a-hacker-has-dumped-nearly-one-billion-user-records-over-the-past-two-months/" target="_blank" rel="noopener"&gt;MindJolt suffered a data breach that exposed 28M unique email addresses&lt;/a&gt;. Also impacted were names and dates of birth, but no passwords. The data was provided to HIBP by a source who requested it be attributed to &amp;quot;JimScott.Sec@protonmail.com&amp;quot;.</t>
  </si>
  <si>
    <t>https://haveibeenpwned.com/Content/Images/PwnedLogos/MindJolt.png</t>
  </si>
  <si>
    <t>['Dates of birth', 'Email addresses', 'Names']</t>
  </si>
  <si>
    <t>MinecraftPocketEditionForum</t>
  </si>
  <si>
    <t>Minecraft Pocket Edition Forum</t>
  </si>
  <si>
    <t>minecraftpeforum.net</t>
  </si>
  <si>
    <t>In May 2015, the &lt;a href="http://www.databreaches.net/minecraft-pocket-edition-forum-hacked-dumped/" target="_blank" rel="noopener"&gt;Minecraft Pocket Edition forum was hacked&lt;/a&gt; and over 16k accounts were dumped public. Allegedly hacked by &lt;a href="https://twitter.com/rmsg0d" target="_blank" rel="noopener"&gt;@rmsg0d&lt;/a&gt;, the forum data included numerous personal pieces of data for each user. The forum has subsequently been decommissioned.</t>
  </si>
  <si>
    <t>https://haveibeenpwned.com/Content/Images/PwnedLogos/MinecraftPocketEditionForum.png</t>
  </si>
  <si>
    <t>MinecraftWorldMap</t>
  </si>
  <si>
    <t>Minecraft World Map</t>
  </si>
  <si>
    <t>minecraftworldmap.com</t>
  </si>
  <si>
    <t>In approximately January 2016, the Minecraft World Map site designed for sharing maps created for the game was hacked and over 71k user accounts were exposed. The data included usernames, email and IP addresses along with salted and hashed passwords.</t>
  </si>
  <si>
    <t>https://haveibeenpwned.com/Content/Images/PwnedLogos/MinecraftWorldMap.png</t>
  </si>
  <si>
    <t>Minefield</t>
  </si>
  <si>
    <t>minefield.fr</t>
  </si>
  <si>
    <t>In June 2015, the French Minecraft server known as &lt;a href="https://www.minefield.fr" target="_blank" rel="noopener"&gt;Minefield&lt;/a&gt; was hacked and 188k member records were exposed. The IP.Board forum included email and IP addresses, birth dates and passwords stored as salted hashes using a weak implementation enabling many to be rapidly cracked.</t>
  </si>
  <si>
    <t>https://haveibeenpwned.com/Content/Images/PwnedLogos/Minefield.png</t>
  </si>
  <si>
    <t>Minehut</t>
  </si>
  <si>
    <t>minehut.com</t>
  </si>
  <si>
    <t>In May 2019, the Minecraft server website &lt;a href="https://minehut.com/" target="_blank" rel="noopener"&gt;Minehut&lt;/a&gt; suffered a data breach. The company advised a database backup had been obtained after which they subsequently notified all impacted users. 397k email addresses from the incident were provided to HIBP. A data set with both email addresses and bcrypt password hashes was also later provided to HIBP.</t>
  </si>
  <si>
    <t>https://haveibeenpwned.com/Content/Images/PwnedLogos/Minehut.png</t>
  </si>
  <si>
    <t>Minted</t>
  </si>
  <si>
    <t>minted.com</t>
  </si>
  <si>
    <t>In May 2020, the online marketplace for independent artists &lt;a href="https://www.bleepingcomputer.com/news/security/minted-discloses-data-breach-after-5m-user-records-sold-online/" target="_blank" rel="noopener"&gt;Minted suffered a data breach&lt;/a&gt; that exposed 4.4M unique customer records subsequently sold on a dark web marketplace. Exposed data also included names, physical addresses, phone numbers and passwords stored as bcrypt hashes. The data was provided to HIBP by &lt;a href="https://dehashed.com/" target="_blank" rel="noopener"&gt;dehashed.com&lt;/a&gt;.</t>
  </si>
  <si>
    <t>https://haveibeenpwned.com/Content/Images/PwnedLogos/Minted.png</t>
  </si>
  <si>
    <t>MMGFusion</t>
  </si>
  <si>
    <t>MMG Fusion</t>
  </si>
  <si>
    <t>mmgfusion.com</t>
  </si>
  <si>
    <t>In December 2020, the dental practice management service &lt;a href="https://www.riskbasedsecurity.com/2021/02/19/dark-web-roundup-january-2021/" target="_blank" rel="noopener"&gt;MMG Fusion was the victim of a data breach&lt;/a&gt; which exposed 2.6M unique email addresses. The data also included patient appointments, names, phone numbers, dates of birth, genders and physical addresses. A small number of records also included passwords stored as bcrypt hashes.</t>
  </si>
  <si>
    <t>https://haveibeenpwned.com/Content/Images/PwnedLogos/MMGFusion.png</t>
  </si>
  <si>
    <t>['Appointments', 'Dates of birth', 'Email addresses', 'Genders', 'Marital statuses', 'Names', 'Passwords', 'Phone numbers', 'Physical addresses']</t>
  </si>
  <si>
    <t>MobiFriends</t>
  </si>
  <si>
    <t>mobifriends.com</t>
  </si>
  <si>
    <t>In January 2020, the Barcelona-based dating app &lt;a href="https://www.zdnet.com/article/dating-app-mobifriends-silent-on-security-breach-impacting-3-6-million-users/" target="_blank" rel="noopener"&gt;MobiFriends suffered a data breach&lt;/a&gt; that exposed 3.5 million unique email addresses. The data also included usernames, genders, dates of birth and MD5 password hashes. The data was provided to HIBP by a source who requested it be attributed to &amp;quot;white_peacock@riseup.net&amp;quot;.</t>
  </si>
  <si>
    <t>https://haveibeenpwned.com/Content/Images/PwnedLogos/MobiFriends.png</t>
  </si>
  <si>
    <t>['Dates of birth', 'Email addresses', 'Genders', 'Passwords', 'Usernames']</t>
  </si>
  <si>
    <t>MoDaCo</t>
  </si>
  <si>
    <t>modaco.com</t>
  </si>
  <si>
    <t>In approximately January 2016, the UK based Android community known as &lt;a href="http://www.modaco.com" target="_blank" rel="noopener"&gt;MoDaCo&lt;/a&gt; suffered a data breach which exposed 880k subscriber identities. The data included email and IP addresses, usernames and passwords stored as salted MD5 hashes.</t>
  </si>
  <si>
    <t>https://haveibeenpwned.com/Content/Images/PwnedLogos/MoDaCo.png</t>
  </si>
  <si>
    <t>ModernBusinessSolutions</t>
  </si>
  <si>
    <t>Modern Business Solutions</t>
  </si>
  <si>
    <t>modbsolutions.com</t>
  </si>
  <si>
    <t>In October 2016, a large Mongo DB file containing tens of millions of accounts &lt;a href="https://twitter.com/0x2Taylor/status/784544208879292417" target="_blank" rel="noopener"&gt;was shared publicly on Twitter&lt;/a&gt; (the file has since been removed). The database contained over 58M unique email addresses along with IP addresses, names, home addresses, genders, job titles, dates of birth and phone numbers. The data was subsequently &lt;a href="http://news.softpedia.com/news/hacker-steals-58-million-user-records-from-data-storage-provider-509190.shtml" target="_blank" rel="noopener"&gt;attributed to &amp;quot;Modern Business Solutions&amp;quot;&lt;/a&gt;, a company that provides data storage and database hosting solutions. They've yet to acknowledge the incident or explain how they came to be in possession of the data.</t>
  </si>
  <si>
    <t>https://haveibeenpwned.com/Content/Images/PwnedLogos/ModernBusinessSolutions.png</t>
  </si>
  <si>
    <t>['Dates of birth', 'Email addresses', 'Genders', 'IP addresses', 'Job titles', 'Names', 'Phone numbers', 'Physical addresses']</t>
  </si>
  <si>
    <t>MoneyBookers</t>
  </si>
  <si>
    <t>Money Bookers</t>
  </si>
  <si>
    <t>moneybookers.com</t>
  </si>
  <si>
    <t>Sometime in 2009, the e-wallet service known as Money Bookers &lt;a href="http://www.forbes.com/sites/thomasbrewster/2015/11/30/paysafe-optimal-neteller-moneybookers-gambling-cyberattacks-data-breach/" target="_blank" rel="noopener"&gt;suffered a data breach which exposed almost 4.5M customers&lt;/a&gt;. Now called Skrill, the breach was not discovered until October 2015 and included names, email addresses, home addresses and IP addresses.</t>
  </si>
  <si>
    <t>https://haveibeenpwned.com/Content/Images/PwnedLogos/MoneyBookers.png</t>
  </si>
  <si>
    <t>['Dates of birth', 'Email addresses', 'IP addresses', 'Names', 'Phone numbers', 'Physical addresses']</t>
  </si>
  <si>
    <t>Moneycontrol</t>
  </si>
  <si>
    <t>moneycontrol.com</t>
  </si>
  <si>
    <t>In April 2021, &lt;a href="https://www.opindia.com/2021/04/personal-details-of-over-seven-lakh-moneycontrol-users-up-for-sale/" target="_blank" rel="noopener"&gt;hackers posted data for sale originating from the online Indian financial platform, Moneycontrol&lt;/a&gt;. The data included 763 thousand unique email addresses (allegedly a subset of a larger 40 million account breach), alongside geographic locations, phone numbers, genders, dates of birth and plain text passwords. The date of the original breach is unclear, although the breached data indicates the file was created in September 2017 and Moneycontrol has stated that the breach is &amp;quot;an old data set&amp;quot;.</t>
  </si>
  <si>
    <t>https://haveibeenpwned.com/Content/Images/PwnedLogos/Moneycontrol.png</t>
  </si>
  <si>
    <t>['Email addresses', 'Genders', 'Geographic locations', 'Passwords', 'Phone numbers']</t>
  </si>
  <si>
    <t>MoreleNet</t>
  </si>
  <si>
    <t>Morele.net</t>
  </si>
  <si>
    <t>morele.net</t>
  </si>
  <si>
    <t>In October 2018, the Polish e-commerce website &lt;a href="https://niebezpiecznik.pl/post/morele-potwierdza-ze-wykradziono-dane-klientow/" target="_blank" rel="noopener"&gt;Morele.net suffered a data breach&lt;/a&gt;. The incident exposed almost 2.5 million unique email addresses alongside phone numbers, names and passwords stored as md5crypt hashes.</t>
  </si>
  <si>
    <t>https://haveibeenpwned.com/Content/Images/PwnedLogos/MoreleNet.png</t>
  </si>
  <si>
    <t>MortalOnline</t>
  </si>
  <si>
    <t>Mortal Online</t>
  </si>
  <si>
    <t>mortalonline.com</t>
  </si>
  <si>
    <t>In June 2018, the massively multiplayer online role-playing game (MMORPG) &lt;a href="https://account.mortalonline.com/breach.html" target="_blank" rel="noopener"&gt;Mortal Online suffered a data breach&lt;/a&gt;. A file containing 570k email addresses and cracked passwords was subsequently distributed online. A larger more complete file containing 607k email addresses with original unsalted MD5 password hashes along with names, usernames and physical addresses was later provided and the original breach in HIBP was updated accordingly. The data was provided to HIBP by whitehat security researcher and data analyst Adam Davies.</t>
  </si>
  <si>
    <t>https://haveibeenpwned.com/Content/Images/PwnedLogos/MortalOnline.png</t>
  </si>
  <si>
    <t>MPGH</t>
  </si>
  <si>
    <t>mpgh.net</t>
  </si>
  <si>
    <t>In October 2015, the multiplayer game hacking website &lt;a href="http://www.mpgh.net"&gt;MPGH was hacked&lt;/a&gt; and 3.1 million user accounts disclosed. The vBulletin forum breach contained usernames, email addresses, IP addresses and salted hashes of passwords.</t>
  </si>
  <si>
    <t>https://haveibeenpwned.com/Content/Images/PwnedLogos/MPGH.png</t>
  </si>
  <si>
    <t>MrExcel</t>
  </si>
  <si>
    <t>mrexcel.com</t>
  </si>
  <si>
    <t>In December 2016, the forum for the Microsoft Excel tips and solutions site &lt;a href="http://www.mrexcel.com/details-of-data-breach-at-mrexcel-com/" target="_blank" rel="noopener"&gt;Mr Excel suffered a data breach&lt;/a&gt;. The hack of the vBulletin forum led to the exposure of over 366k accounts along with email and IP addresses, dates of birth and salted passwords hashed with MD5. The owner of the MrExcel forum subsequently self-submitted the data to HIBP.</t>
  </si>
  <si>
    <t>https://haveibeenpwned.com/Content/Images/PwnedLogos/MrExcel.png</t>
  </si>
  <si>
    <t>['Dates of birth', 'Email addresses', 'IP addresses', 'Passwords', 'Social connections', 'Usernames', 'Website activity']</t>
  </si>
  <si>
    <t>mSpy</t>
  </si>
  <si>
    <t>mspy.com</t>
  </si>
  <si>
    <t>In May 2015, the &amp;quot;monitoring&amp;quot; software known as &lt;a href="http://www.mspy.com" target="_blank" rel="noopener"&gt;mSpy&lt;/a&gt; suffered a &lt;a href="http://krebsonsecurity.com/2015/05/mobile-spy-software-maker-mspy-hacked-customer-data-leaked/#more-30913" target="_blank" rel="noopener"&gt;major data breach&lt;/a&gt;. The software (allegedly often used to spy on unsuspecting victims), stored extensive personal information within their online service which after being breached, was made freely available on the internet.</t>
  </si>
  <si>
    <t>https://haveibeenpwned.com/Content/Images/PwnedLogos/mSpy.png</t>
  </si>
  <si>
    <t>['Device usage tracking data']</t>
  </si>
  <si>
    <t>MuslimDirectory</t>
  </si>
  <si>
    <t>Muslim Directory</t>
  </si>
  <si>
    <t>muslimdirectory.co.uk</t>
  </si>
  <si>
    <t>In February 2014, the UK guide to services and business known as the Muslim Directory was &lt;a href="http://www.cyberwarnews.info/2014/02/17/muslim-directory-hacked-38903-user-credentials-leaked/" target="_blank" rel="noopener"&gt;attacked by the hacker known as @th3inf1d3l&lt;/a&gt;. The data was consequently dumped publicly and included the web accounts of tens of thousands of users which contained data including their names, home address, age group, email, website activity and password in plain text.</t>
  </si>
  <si>
    <t>https://haveibeenpwned.com/Content/Images/PwnedLogos/MuslimDirectory.png</t>
  </si>
  <si>
    <t>['Age groups', 'Email addresses', 'Employers', 'Names', 'Passwords', 'Phone numbers', 'Physical addresses', 'Website activity']</t>
  </si>
  <si>
    <t>MuslimMatch</t>
  </si>
  <si>
    <t>Muslim Match</t>
  </si>
  <si>
    <t>muslimmatch.com</t>
  </si>
  <si>
    <t>In June 2016, &lt;a href="https://motherboard.vice.com/read/hacked-private-messages-from-dating-site-muslim-match" target="_blank" rel="noopener"&gt;the Muslim Match dating website had 150k email addresses exposed&lt;/a&gt;. The data included private chats and messages between relationship seekers and numerous other personal attributes including passwords hashed with MD5.</t>
  </si>
  <si>
    <t>https://haveibeenpwned.com/Content/Images/PwnedLogos/MuslimMatch.png</t>
  </si>
  <si>
    <t>['Chat logs', 'Email addresses', 'Geographic locations', 'IP addresses', 'Passwords', 'Private messages', 'User statuses', 'Usernames']</t>
  </si>
  <si>
    <t>MyFHA</t>
  </si>
  <si>
    <t>myfha.net</t>
  </si>
  <si>
    <t>In approximately February 2015, the home financing website &lt;a href="https://web.archive.org/web/20180324231131/http://myfha.net/" target="_blank" rel="noopener"&gt;MyFHA&lt;/a&gt; suffered a data breach which disclosed the personal information of nearly 1 million people. The data included extensive personal information relating to home financing including personal contact info, credit statuses, household incomes, loan amounts and notes on personal circumstances, often referring to legal issues, divorces and health conditions. Multiple parties contacted HIBP with the data after which MyFHA was alerted in mid-July and acknowledged the legitimacy of the breach then took the site offline.</t>
  </si>
  <si>
    <t>https://haveibeenpwned.com/Content/Images/PwnedLogos/MyFHA.png</t>
  </si>
  <si>
    <t>['Credit status information', 'Email addresses', 'Home loan information', 'Income levels', 'IP addresses', 'Names', 'Passwords', 'Personal descriptions', 'Physical addresses']</t>
  </si>
  <si>
    <t>MyFitnessPal</t>
  </si>
  <si>
    <t>myfitnesspal.com</t>
  </si>
  <si>
    <t>In February 2018, the diet and exercise service &lt;a href="https://content.myfitnesspal.com/security-information/FAQ.html" target="_blank" rel="noopener"&gt;MyFitnessPal suffered a data breach&lt;/a&gt;. The incident exposed 144 million unique email addresses alongside usernames, IP addresses and passwords stored as SHA-1 and bcrypt hashes (the former for earlier accounts, the latter for newer accounts). In 2019, &lt;a href="https://www.theregister.co.uk/2019/02/11/620_million_hacked_accounts_dark_web/" target="_blank" rel="noopener"&gt;the data appeared listed for sale on a dark web marketplace&lt;/a&gt; (along with several other large breaches) and subsequently began circulating more broadly. The data was provided to HIBP by a source who requested it to be attributed to &amp;quot;BenjaminBlue@exploit.im&amp;quot;.</t>
  </si>
  <si>
    <t>https://haveibeenpwned.com/Content/Images/PwnedLogos/MyFitnessPal.png</t>
  </si>
  <si>
    <t>MyHeritage</t>
  </si>
  <si>
    <t>myheritage.com</t>
  </si>
  <si>
    <t>In October 2017, the genealogy website &lt;a href="https://blog.myheritage.com/2018/06/myheritage-statement-about-a-cybersecurity-incident/" target="_blank" rel="noopener"&gt;MyHeritage suffered a data breach&lt;/a&gt;. The incident was reported 7 months later after a security researcher discovered the data and contacted MyHeritage. In total, more than 92M customer records were exposed and included email addresses and salted SHA-1 password hashes. In 2019, &lt;a href="https://www.theregister.co.uk/2019/02/11/620_million_hacked_accounts_dark_web/" target="_blank" rel="noopener"&gt;the data appeared listed for sale on a dark web marketplace&lt;/a&gt; (along with several other large breaches) and subsequently began circulating more broadly. The data was provided to HIBP by a source who requested it be attributed to &amp;quot;BenjaminBlue@exploit.im&amp;quot;.</t>
  </si>
  <si>
    <t>https://haveibeenpwned.com/Content/Images/PwnedLogos/MyHeritage.png</t>
  </si>
  <si>
    <t>myRepoSpace</t>
  </si>
  <si>
    <t>myrepospace.com</t>
  </si>
  <si>
    <t>In July 2015, the Cydia repository known as &lt;a href="https://myrepospace.com/" target="_blank" rel="noopener"&gt;myRepoSpace&lt;/a&gt; was hacked and &lt;a href="https://www.reddit.com/r/jailbreak/comments/3c9qr1/discussion_myrepospace_user_data_leaked/" target="_blank" rel="noopener"&gt;user data leaked publicly&lt;/a&gt;. Cydia is designed to facilitate the installation of apps on jailbroken iOS devices. The repository service was allegedly hacked by &lt;a href="https://twitter.com/its_not_herpes" target="_blank" rel="noopener"&gt;@its_not_herpes&lt;/a&gt; and &lt;a href="https://twitter.com/0x8badfl00d" target="_blank" rel="noopener"&gt;0x8badfl00d&lt;/a&gt; in retaliation for the service refusing to remove pirated tweaks.</t>
  </si>
  <si>
    <t>https://haveibeenpwned.com/Content/Images/PwnedLogos/myRepoSpace.png</t>
  </si>
  <si>
    <t>MySpace</t>
  </si>
  <si>
    <t>myspace.com</t>
  </si>
  <si>
    <t>In approximately 2008, &lt;a href="http://motherboard.vice.com/read/427-million-myspace-passwords-emails-data-breach" target="_blank" rel="noopener"&gt;MySpace suffered a data breach that exposed almost 360 million accounts&lt;/a&gt;. In May 2016 the data was offered up for sale on the &amp;quot;Real Deal&amp;quot; dark market website and included email addresses, usernames and SHA1 hashes of the first 10 characters of the password converted to lowercase and stored without a salt. The exact breach date is unknown, but &lt;a href="https://www.troyhunt.com/dating-the-ginormous-myspace-breach" target="_blank" rel="noopener"&gt;analysis of the data suggests it was 8 years before being made public&lt;/a&gt;.</t>
  </si>
  <si>
    <t>https://haveibeenpwned.com/Content/Images/PwnedLogos/MySpace.png</t>
  </si>
  <si>
    <t>MyVidster</t>
  </si>
  <si>
    <t>myvidster.com</t>
  </si>
  <si>
    <t>In August 2015, the social video sharing and bookmarking site &lt;a href="https://www.reddit.com/r/pwned/comments/3h4tud/myvidstercom_hacked_1_million_member_database/" target="_blank" rel="noopener"&gt;MyVidster was hacked&lt;/a&gt; and nearly 20,000 accounts were dumped online. The dump included usernames, email addresses and hashed passwords.</t>
  </si>
  <si>
    <t>https://haveibeenpwned.com/Content/Images/PwnedLogos/MyVidster.png</t>
  </si>
  <si>
    <t>NamelessMalware</t>
  </si>
  <si>
    <t>Nameless Malware</t>
  </si>
  <si>
    <t>In January 2021, &lt;a href="http://troyhunt.com/nameless-malware-discovered-by-nordlocker-is-now-in-have-i-been-pwned" target="_blank" rel="noopener"&gt;NordLocker provided HIBP 1.1 million email addresses collected by nameless malware&lt;/a&gt;. The malware campaign ran between 2018 and 2020 and infected 3.25 million computers, stealing files, credentials and taking screenshots and photos using the computer's webcam. &lt;a href="https://nordlocker.com/malware-analysis/" target="_blank" rel="noopener"&gt;Read more in NordLocker's writeup about the Nameless malware that stole 1.2 TB of private data.&lt;/a&gt;</t>
  </si>
  <si>
    <t>NapsGear</t>
  </si>
  <si>
    <t>napsgear.org</t>
  </si>
  <si>
    <t>In October 2015, the anabolic steroids retailer &lt;a href="https://thinksteroids.com/community/threads/warning-naps-customer-database-compromised.134375549/" target="_blank" rel="noopener"&gt;NapsGear suffered a data breach&lt;/a&gt;. An extensive amount of personal information on 287k customers was exposed including email addresses, names, addresses, phone numbers, purchase histories and salted MD5 password hashes.</t>
  </si>
  <si>
    <t>https://haveibeenpwned.com/Content/Images/PwnedLogos/NapsGear.png</t>
  </si>
  <si>
    <t>['Dates of birth', 'Email addresses', 'Genders', 'Names', 'Passwords', 'Phone numbers', 'Physical addresses', 'Purchases']</t>
  </si>
  <si>
    <t>NaughtyAmerica</t>
  </si>
  <si>
    <t>Naughty America</t>
  </si>
  <si>
    <t>naughtyamerica.com</t>
  </si>
  <si>
    <t>In March 2016, the adult website &lt;a href="http://www.forbes.com/sites/thomasbrewster/2016/04/14/naughty-america-fappening-hacked-porn-sites/" target="_blank" rel="noopener"&gt;Naughty America was hacked and the data consequently sold online&lt;/a&gt;. The breach included data from numerous systems with various personal identity attributes, the largest of which had passwords stored as easily crackable MD5 hashes. There were 1.4 million unique email addresses in the breach.</t>
  </si>
  <si>
    <t>https://haveibeenpwned.com/Content/Images/PwnedLogos/NaughtyAmerica.png</t>
  </si>
  <si>
    <t>NemoWeb</t>
  </si>
  <si>
    <t>nemoweb.net</t>
  </si>
  <si>
    <t>In September 2016, almost 21GB of data from the French website used for &amp;quot;standardised and decentralized means of exchange for publishing newsgroup articles&amp;quot; &lt;a href="http://www.nemoweb.net/" target="_blank" rel="noopener"&gt;NemoWeb&lt;/a&gt; was leaked from what appears to have been an unprotected Mongo DB. The data consisted of a large volume of emails sent to the service and included almost 3.5M unique addresses, albeit many of them auto-generated. Multiple attempts were made to contact the operators of NemoWeb but no response was received.</t>
  </si>
  <si>
    <t>https://haveibeenpwned.com/Content/Images/PwnedLogos/NemoWeb.png</t>
  </si>
  <si>
    <t>['Email addresses', 'Names']</t>
  </si>
  <si>
    <t>Neopets</t>
  </si>
  <si>
    <t>neopets.com</t>
  </si>
  <si>
    <t>In May 2016, &lt;a href="http://motherboard.vice.com/read/neopets-hack-another-day-another-hack-tens-of-millions-of-neopets-accounts" target="_blank" rel="noopener"&gt;a set of breached data originating from the virtual pet website &amp;quot;Neopets&amp;quot; was found being traded online&lt;/a&gt;. Allegedly hacked &amp;quot;several years earlier&amp;quot;, the data contains sensitive personal information including birthdates, genders and names as well as almost 27 million unique email addresses. Passwords were stored in plain text and IP addresses were also present in the breach.</t>
  </si>
  <si>
    <t>https://haveibeenpwned.com/Content/Images/PwnedLogos/Neopets.png</t>
  </si>
  <si>
    <t>['Dates of birth', 'Email addresses', 'Genders', 'Geographic locations', 'IP addresses', 'Names', 'Passwords', 'Usernames']</t>
  </si>
  <si>
    <t>NetEase</t>
  </si>
  <si>
    <t>163.com</t>
  </si>
  <si>
    <t>In October 2015, the Chinese site known as &lt;a href="http://www.163.com" target="_blank" rel="noopener"&gt;NetEase&lt;/a&gt; (located at &lt;a href="http://www.163.com" target="_blank" rel="noopener"&gt;163.com&lt;/a&gt;) was &lt;a href="http://news.mydrivers.com/1/452/452173.htm" target="_blank" rel="noopener"&gt;reported as having suffered a data breach that impacted hundreds of millions of subscribers&lt;/a&gt;. Whilst there is evidence that the data itself is legitimate (multiple HIBP subscribers confirmed a password they use is in the data), due to the difficulty of emphatically verifying the Chinese breach it has been flagged as &amp;quot;unverified&amp;quot;. The data in the breach contains email addresses and plain text passwords. &lt;a href="https://www.troyhunt.com/handling-chinese-data-breaches-in-have-i-been-pwned/" target="_blank" rel="noopener"&gt;Read more about Chinese data breaches in Have I Been Pwned.&lt;/a&gt;</t>
  </si>
  <si>
    <t>https://haveibeenpwned.com/Content/Images/PwnedLogos/NetEase.png</t>
  </si>
  <si>
    <t>Neteller</t>
  </si>
  <si>
    <t>neteller.com</t>
  </si>
  <si>
    <t>In May 2010, the e-wallet service known as Neteller &lt;a href="http://www.forbes.com/sites/thomasbrewster/2015/11/30/paysafe-optimal-neteller-moneybookers-gambling-cyberattacks-data-breach/" target="_blank" rel="noopener"&gt;suffered a data breach which exposed over 3.6M customers&lt;/a&gt;. The breach was not discovered until October 2015 and included names, email addresses, home addresses and account balances.</t>
  </si>
  <si>
    <t>https://haveibeenpwned.com/Content/Images/PwnedLogos/Neteller.png</t>
  </si>
  <si>
    <t>['Account balances', 'Dates of birth', 'Email addresses', 'Genders', 'IP addresses', 'Names', 'Phone numbers', 'Physical addresses', 'Security questions and answers', 'Website activity']</t>
  </si>
  <si>
    <t>NetGalley</t>
  </si>
  <si>
    <t>netgalley.com</t>
  </si>
  <si>
    <t>In December 2020, the book promotion site &lt;a href="https://www.bleepingcomputer.com/news/security/netgalley-discloses-data-breach-after-website-was-hacked/" target="_blank" rel="noopener"&gt;NetGalley suffered a data breach&lt;/a&gt;. The incident exposed 1.4 million unique email addresses alongside names, usernames, physical and IP addresses, phone numbers, dates of birth and passwords stored as salted SHA-1 hashes. The data was provided to HIBP by a source who requested it be attributed to pom@pompur.in.</t>
  </si>
  <si>
    <t>https://haveibeenpwned.com/Content/Images/PwnedLogos/NetGalley.png</t>
  </si>
  <si>
    <t>['Dates of birth', 'Email addresses', 'IP addresses', 'Names', 'Passwords', 'Phone numbers', 'Physical addresses', 'Usernames']</t>
  </si>
  <si>
    <t>Netlog</t>
  </si>
  <si>
    <t>netlog.com</t>
  </si>
  <si>
    <t>In July 2018, the Belgian social networking site &lt;a href="https://oag.ca.gov/system/files/Communication%20to%20Users%20-%20FINAL_0.pdf" target="_blank" rel="noopener"&gt;Netlog identified a data breach of their systems dating back to November 2012 (PDF)&lt;/a&gt;. Although the service was discontinued in 2015, the data breach still impacted 49 million subscribers for whom email addresses and plain text passwords were exposed. The data was provided to HIBP by a source who requested it be attributed to &amp;quot;JimScott.Sec@protonmail.com&amp;quot;.</t>
  </si>
  <si>
    <t>https://haveibeenpwned.com/Content/Images/PwnedLogos/Netlog.png</t>
  </si>
  <si>
    <t>NetProspex</t>
  </si>
  <si>
    <t>netprospex.com</t>
  </si>
  <si>
    <t>In 2016, a list of over 33 million individuals in corporate America sourced from Dun &amp; Bradstreet's NetProspex service &lt;a href="https://www.troyhunt.com/weve-lost-control-of-our-personal-data-including-33m-netprospex-records" target="_blank" rel="noopener"&gt;was leaked online&lt;/a&gt;. D&amp;B believe the targeted marketing data was lost by a customer who purchased it from them. It contained extensive personal and corporate information including names, email addresses, job titles and general information about the employer.</t>
  </si>
  <si>
    <t>https://haveibeenpwned.com/Content/Images/PwnedLogos/NetProspex.png</t>
  </si>
  <si>
    <t>Netshoes</t>
  </si>
  <si>
    <t>netshoes.com.br</t>
  </si>
  <si>
    <t>In December 2017, the online Brazilian retailer known as &lt;a href="https://www.databreaches.net/netshoes-customer-data-possibly-hacked-500k-customers-order-info-dumped/" target="_blank" rel="noopener"&gt;Netshoes had half a million records allegedly hacked from their system posted publicly&lt;/a&gt;. The company was contacted by local Brazilian media outlet Tecmundo and subsequently advised that &lt;a href="https://www.tecmundo.com.br/seguranca/125038-netshoes-invadida-meio-milhao-dados-clientes-vazam-internet.htm" target="_blank" rel="noopener"&gt;no indications have been identified of an invasion of the company's systems&lt;/a&gt;. However, Netshoes' own systems successfully confirm the presence of matching identifiers and email addresses from the data set, indicating a high likelihood that the data originated from them.</t>
  </si>
  <si>
    <t>https://haveibeenpwned.com/Content/Images/PwnedLogos/Netshoes.png</t>
  </si>
  <si>
    <t>['Dates of birth', 'Email addresses', 'Names', 'Purchases']</t>
  </si>
  <si>
    <t>NextGenUpdate</t>
  </si>
  <si>
    <t>nextgenupdate.com</t>
  </si>
  <si>
    <t>Early in 2014, the video game website &lt;a href="http://www.nextgenupdate.com" target="_blank" rel="noopener"&gt;NextGenUpdate&lt;/a&gt; reportedly &lt;a href="https://leakforums.org/thread-265363" target="_blank" rel="noopener"&gt;suffered a data breach&lt;/a&gt; that disclosed almost 1.2 million accounts. Amongst the data breach was usernames, email addresses, IP addresses and salted and hashed passwords.</t>
  </si>
  <si>
    <t>https://haveibeenpwned.com/Content/Images/PwnedLogos/NextGenUpdate.png</t>
  </si>
  <si>
    <t>NexusMods</t>
  </si>
  <si>
    <t>Nexus Mods</t>
  </si>
  <si>
    <t>nexusmods.com</t>
  </si>
  <si>
    <t>In December 2015, the game modding site Nexus Mods &lt;a href="http://www.nexusmods.com/games/news/12670/" target="_blank" rel="noopener"&gt;released a statement notifying users that they had been hacked&lt;/a&gt;. They subsequently dated the hack as having occurred in July 2013 although there is evidence to suggest the data was being traded months in advance of that. The breach contained usernames, email addresses and passwords stored as a salted hashes.</t>
  </si>
  <si>
    <t>https://haveibeenpwned.com/Content/Images/PwnedLogos/NexusMods.png</t>
  </si>
  <si>
    <t>Nihonomaru</t>
  </si>
  <si>
    <t>nihonomaru.net</t>
  </si>
  <si>
    <t>In late 2015, the anime community known as Nihonomaru had their vBulletin forum hacked and 1.7 million accounts exposed. The compromised data included email and IP addresses, usernames and salted hashes of passwords.</t>
  </si>
  <si>
    <t>https://haveibeenpwned.com/Content/Images/PwnedLogos/Nihonomaru.png</t>
  </si>
  <si>
    <t>Nitro</t>
  </si>
  <si>
    <t>gonitro.com</t>
  </si>
  <si>
    <t>In September 2020, &lt;a href="https://www.bleepingcomputer.com/news/security/massive-nitro-data-breach-impacts-microsoft-google-apple-more/" target="_blank" rel="noopener"&gt;the Nitro PDF service suffered a massive data breach which exposed over 70 million unique email addresses&lt;/a&gt;. The breach also exposed names, bcrypt password hashes and the titles of converted documents. The data was provided to HIBP by &lt;a href="https://dehashed.com/" target="_blank" rel="noopener"&gt;dehashed.com&lt;/a&gt;.</t>
  </si>
  <si>
    <t>https://haveibeenpwned.com/Content/Images/PwnedLogos/Nitro.png</t>
  </si>
  <si>
    <t>['Email addresses', 'Names', 'Passwords']</t>
  </si>
  <si>
    <t>Nival</t>
  </si>
  <si>
    <t>nival.com</t>
  </si>
  <si>
    <t>In February 2016, the Russian gaming company &lt;a href="http://nival.com" target="_blank" rel="noopener"&gt;Nival&lt;/a&gt; was the target of an attack which was consequently &lt;a href="https://www.reddit.com/r/pwned/comments/47u1bf/operation_wrath_of_anakin_evolved" target="_blank" rel="noopener"&gt;detailed on Reddit&lt;/a&gt;. Allegedly protesting &amp;quot;the foreign policy of Russia in regards to Ukraine&amp;quot;, Nival was one of several Russian sites in the breach and impacted over 1.5M accounts including sensitive personal information.</t>
  </si>
  <si>
    <t>https://haveibeenpwned.com/Content/Images/PwnedLogos/Nival.png</t>
  </si>
  <si>
    <t>['Avatars', 'Dates of birth', 'Email addresses', 'Genders', 'Names', 'Spoken languages', 'Usernames', 'Website activity']</t>
  </si>
  <si>
    <t>NonNudeGirls</t>
  </si>
  <si>
    <t>Non Nude Girls</t>
  </si>
  <si>
    <t>nonnudegirls.org</t>
  </si>
  <si>
    <t>In May 2013, the non-consensual voyeurism site &lt;a href="http://www.ibtimes.co.uk/upskirt-porn-website-hit-massive-data-leak-exposing-nearly-180000-voyeurs-1602756" target="_blank" rel="noopener"&gt;&amp;quot;Non Nude Girls&amp;quot; suffered a data breach&lt;/a&gt;. The hack of the vBulletin forum led to the exposure of over 75k accounts along with email and IP addresses, names and plain text passwords.</t>
  </si>
  <si>
    <t>https://haveibeenpwned.com/Content/Images/PwnedLogos/NonNudeGirls.png</t>
  </si>
  <si>
    <t>['Email addresses', 'IP addresses', 'Names', 'Passwords', 'Usernames', 'Website activity']</t>
  </si>
  <si>
    <t>NotAcxiom</t>
  </si>
  <si>
    <t>Not Acxiom</t>
  </si>
  <si>
    <t>In 2020, &lt;a href="https://www.troyhunt.com/data-breach-misattribution-acxiom-live-ramp/" target="_blank" rel="noopener"&gt;a corpus of data containing almost a quarter of a billion records spanning over 400 different fields was misattributed to database marketing company Acxiom&lt;/a&gt; and subsequently circulated within the hacking community. On review, Acxiom concluded that &amp;quot;the claims are indeed false and that the data, which has been readily available across multiple environments, does not come from Acxiom and is in no way the subject of an Acxiom breach&amp;quot;. The data contained almost 52M unique email addresses.</t>
  </si>
  <si>
    <t>['Email addresses', 'IP addresses', 'Names', 'Phone numbers', 'Physical addresses']</t>
  </si>
  <si>
    <t>NulledCH</t>
  </si>
  <si>
    <t>Nulled.ch</t>
  </si>
  <si>
    <t>nulled.ch</t>
  </si>
  <si>
    <t>In May 2020, the hacking forum &lt;a href="https://www.nulled.ch/" target="_blank" rel="noopener"&gt;Nulled.ch&lt;/a&gt; was breached and the data published to a rival hacking forum. Over 43k records were compromised and included IP and email addresses, usernames and passwords stored as salted MD5 hashes alongside the private message history of the website's admin. The data was provided to HIBP by a source who requested it be attributed to &amp;quot;Split10&amp;quot;.</t>
  </si>
  <si>
    <t>https://haveibeenpwned.com/Content/Images/PwnedLogos/NulledCH.png</t>
  </si>
  <si>
    <t>Nulled</t>
  </si>
  <si>
    <t>Nulled.cr</t>
  </si>
  <si>
    <t>nulled.cr</t>
  </si>
  <si>
    <t>In May 2016, the cracking community forum known as &lt;a href="http://nulled.cr/" target="_blank" rel="noopener"&gt;Nulled.cr&lt;/a&gt; was hacked and 599k user accounts were leaked publicly. The compromised data included email and IP addresses, weak salted MD5 password hashes and hundreds of thousands of private messages between members.</t>
  </si>
  <si>
    <t>https://haveibeenpwned.com/Content/Images/PwnedLogos/Nulled.png</t>
  </si>
  <si>
    <t>['Dates of birth', 'Email addresses', 'IP addresses', 'Passwords', 'Private messages', 'Usernames', 'Website activity']</t>
  </si>
  <si>
    <t>NurseryCam</t>
  </si>
  <si>
    <t>nurserycam.co.uk</t>
  </si>
  <si>
    <t>In February 2021, &lt;a href="https://www.theregister.com/2021/02/18/nurserycam_security_problems_footfallcam_ltd/" target="_blank" rel="noopener"&gt;a series of egregiously bad security flaws were identified in the NurseryCam system&lt;/a&gt; designed for parents to remotely monitor their children whilst attending nursery. The flaws led to the exposure of over 10k parent records before the service was shut down. The email addresses alone were provided to Have I Been Pwned to ensure parents were properly notified of the incident.</t>
  </si>
  <si>
    <t>https://haveibeenpwned.com/Content/Images/PwnedLogos/NurseryCam.png</t>
  </si>
  <si>
    <t>NVIDIA</t>
  </si>
  <si>
    <t>nvidia.com</t>
  </si>
  <si>
    <t>In February 2022, microchip company &lt;a href="https://www.zdnet.com/article/nvidia-says-employee-credentials-proprietary-information-stolen-during-cyberattack/" target="_blank" rel="noopener"&gt;NVIDIA suffered a data breach that exposed employee credentials and proprietary code&lt;/a&gt;. Impacted data included over 70k employee email addresses and NTLM password hashes, many of which were subsequently cracked and circulated within the hacking community.</t>
  </si>
  <si>
    <t>https://haveibeenpwned.com/Content/Images/PwnedLogos/NVIDIA.png</t>
  </si>
  <si>
    <t>OGUsers</t>
  </si>
  <si>
    <t>OGUsers (2019 breach)</t>
  </si>
  <si>
    <t>ogusers.com</t>
  </si>
  <si>
    <t>In May 2019, the account hijacking and SIM swapping forum &lt;a href="https://krebsonsecurity.com/2019/05/account-hijacking-forum-ogusers-hacked/" target="_blank" rel="noopener"&gt;OGusers suffered a data breach&lt;/a&gt;. The breach exposed a database backup from December 2018 which was published on a rival hacking forum. There were 161k unique email addresses spread across 113k forum users and other tables in the database. The exposed data also included usernames, IP addresses, private messages and passwords stored as salted MD5 hashes.</t>
  </si>
  <si>
    <t>https://haveibeenpwned.com/Content/Images/PwnedLogos/OGUsers.png</t>
  </si>
  <si>
    <t>OGUsers2020</t>
  </si>
  <si>
    <t>OGUsers (2020 breach)</t>
  </si>
  <si>
    <t>In April 2020, the account hijacking and SIM swapping forum &lt;a href="https://www.zdnet.com/article/hacking-forum-gets-hacked-for-the-second-time-in-a-year/" target="_blank" rel="noopener"&gt;OGUsers suffered their second data breach in less than a year&lt;/a&gt;. As with the previous breach, the exposed data included email and IP addresses, usernames, private messages and passwords stored as salted MD5 hashes. A total of 263k email addresses across user accounts and other tables were posted to a rival hacking forum.</t>
  </si>
  <si>
    <t>OGUsers2021</t>
  </si>
  <si>
    <t>OGUsers (2021 breach)</t>
  </si>
  <si>
    <t>In April 2021, the account hijacking and SIM swapping forum &lt;a href="https://www.bleepingcomputer.com/news/security/fourth-times-a-charm-ogusers-hacking-forum-hacked-again/" target="_blank" rel="noopener"&gt;OGusers suffered a data breach&lt;/a&gt;, the fourth since December 2018. The breach was subsequently sold on a rival hacking forum and contained usernames, email and IP addresses and passwords stored as either salted MD5 or argon2 hashes. A total of 348k unique email addresses appeared in the breach.</t>
  </si>
  <si>
    <t>OnlinerSpambot</t>
  </si>
  <si>
    <t>Onliner Spambot</t>
  </si>
  <si>
    <t>In August 2017, a spambot by the name of &lt;a href="https://benkowlab.blogspot.com.au/2017/08/from-onliner-spambot-to-millions-of.html" target="_blank" rel="noopener"&gt;Onliner Spambot was identified by security researcher Benkow moÃŠÅ¾uÃ†Å½q&lt;/a&gt;. The malicious software contained a server-based component located on an IP address in the Netherlands which exposed a large number of files containing personal information. In total, there were 711 million unique email addresses, many of which were also accompanied by corresponding passwords. A full write-up on what data was found is in the blog post titled &lt;a href="https://www.troyhunt.com/inside-the-massive-711-million-record-onliner-spambot-dump" target="_blank" rel="noopener"&gt;Inside the Massive 711 Million Record Onliner Spambot Dump&lt;/a&gt;.</t>
  </si>
  <si>
    <t>Onverse</t>
  </si>
  <si>
    <t>onverse.com</t>
  </si>
  <si>
    <t>In January 2016, the online virtual world known as &lt;a href="http://www.onverse.com" target="_blank" rel="noopener"&gt;Onverse&lt;/a&gt; was hacked and 800k accounts were exposed. Along with email and IP addresses, the site also exposed salted MD5 password hashes.</t>
  </si>
  <si>
    <t>https://haveibeenpwned.com/Content/Images/PwnedLogos/Onverse.png</t>
  </si>
  <si>
    <t>OpenCSGO</t>
  </si>
  <si>
    <t>Open CS:GO</t>
  </si>
  <si>
    <t>opencsgo.com</t>
  </si>
  <si>
    <t>In December 2017, the website for purchasing Counter-Strike skins known as &lt;a href="http://opencsgo.com" target="_blank" rel="noopener"&gt;Open CS:GO&lt;/a&gt; (Counter-Strike: Global Offensive) suffered a data breach (address since redirects to dropgun.com). The 10GB file contained an extensive amount of personal information including email and IP addresses, phone numbers, physical addresses and purchase histories. &lt;a href="https://www.troyhunt.com/streamlining-data-breach-disclosures-a-step-by-step-process" target="_blank" rel="noopener"&gt;Numerous attempts were made to contact Open CS:GO about the incident&lt;/a&gt;, however no responses were received.</t>
  </si>
  <si>
    <t>https://haveibeenpwned.com/Content/Images/PwnedLogos/OpenCSGO.png</t>
  </si>
  <si>
    <t>['Avatars', 'Email addresses', 'IP addresses', 'Phone numbers', 'Physical addresses', 'Purchases', 'Social media profiles', 'Usernames']</t>
  </si>
  <si>
    <t>OpenSubtitles</t>
  </si>
  <si>
    <t>Open Subtitles</t>
  </si>
  <si>
    <t>opensubtitles.org</t>
  </si>
  <si>
    <t>In August 2021, the subtitling website &lt;a href="https://forum.opensubtitles.org/viewtopic.php?f=1&amp;p=46835" target="_blank" rel="noopener"&gt;Open Subtitles suffered a data breach and subsequent ransom demand&lt;/a&gt;. The breach exposed almost 7M subscribers' personal data including email and IP addresses, usernames, the country of the user and passwords stored as unsalted MD5 hashes.</t>
  </si>
  <si>
    <t>https://haveibeenpwned.com/Content/Images/PwnedLogos/OpenSubtitles.png</t>
  </si>
  <si>
    <t>['Email addresses', 'Geographic locations', 'IP addresses', 'Passwords', 'Usernames']</t>
  </si>
  <si>
    <t>OrderSnapp</t>
  </si>
  <si>
    <t>ordersnapp.com</t>
  </si>
  <si>
    <t>In June 2020, the restaurant solutions provider &lt;a href="https://www.riskbasedsecurity.com/2021/01/25/shinyhunters-wave-3-one-hacker-exposes-over-125-million-credentials/" target="_blank" rel="noopener"&gt;OrderSnapp suffered a data breach&lt;/a&gt; which exposed 1.3M unique email addresses. Impacted data also included names, phone numbers, dates of birth and passwords stored as bcrypt hashes. The data was provided to HIBP by &lt;a href="https://dehashed.com/" target="_blank" rel="noopener"&gt;dehashed.com&lt;/a&gt;.</t>
  </si>
  <si>
    <t>https://haveibeenpwned.com/Content/Images/PwnedLogos/OrderSnapp.png</t>
  </si>
  <si>
    <t>['Dates of birth', 'Email addresses', 'Names', 'Passwords', 'Phone numbers']</t>
  </si>
  <si>
    <t>OrdineAvvocatiDiRoma</t>
  </si>
  <si>
    <t>Ordine Avvocati di Roma</t>
  </si>
  <si>
    <t>ordineavvocatiroma.it</t>
  </si>
  <si>
    <t>In May 2019, &lt;a href="https://roma.repubblica.it/cronaca/2019/05/07/news/roma_anonymus_viola_la_mail_di_30mila_avvocati_c_e_anche_quella_di_raggi-225675248/" target="_blank" rel="noopener"&gt;the Lawyers Order of Rome suffered a data breach by a group claiming to be Anonymous Italy&lt;/a&gt;. Data on tens of thousands of Roman lawyers was taken from the breached system and redistributed online. The data included contact information, email addresses and email messages themselves encompassing tens of thousands of unique email addresses. A total of 42k unique addresses appeared in the breach.</t>
  </si>
  <si>
    <t>https://haveibeenpwned.com/Content/Images/PwnedLogos/OrdineAvvocatiDiRoma.png</t>
  </si>
  <si>
    <t>['Email addresses', 'Email messages', 'Geographic locations', 'Passwords', 'Phone numbers']</t>
  </si>
  <si>
    <t>OVH</t>
  </si>
  <si>
    <t>ovh.com</t>
  </si>
  <si>
    <t>In mid-2015, the forum for the hosting provider known as &lt;a href="https://www.ovh.com" target="_blank" rel="noopener"&gt;OVH&lt;/a&gt; suffered a data breach. The vBulletin forum contained 453k accounts including usernames, email and IP addresses and passwords stored as salted MD5 hashes.</t>
  </si>
  <si>
    <t>https://haveibeenpwned.com/Content/Images/PwnedLogos/OVH.png</t>
  </si>
  <si>
    <t>OwnedCore</t>
  </si>
  <si>
    <t>OwnedCore.com</t>
  </si>
  <si>
    <t>In approximately August 2013, the World of Warcraft exploits forum known as &lt;a href="http://www.ownedcore.com" target="_blank" rel="noopener"&gt;OwnedCore&lt;/a&gt; was hacked and more than 880k accounts were exposed. The vBulletin forum included IP addresses and passwords stored as salted hashes using a weak implementation enabling many to be rapidly cracked.</t>
  </si>
  <si>
    <t>https://haveibeenpwned.com/Content/Images/PwnedLogos/OwnedCore.png</t>
  </si>
  <si>
    <t>Oxfam</t>
  </si>
  <si>
    <t>oxfam.org.au</t>
  </si>
  <si>
    <t>In January 2021, &lt;a href="https://www.oxfam.org.au/updates-suspected-data-incident/" target="_blank" rel="noopener"&gt;Oxfam Australia was the victim of a data breach&lt;/a&gt; which exposed 1.8M unique email addresses of supporters of the charity. The data was put up for sale on a popular hacking forum and also included names, phone numbers, addresses, genders and dates of birth. A small number of people also had partial credit card data exposed (the first 6 and last 3 digits of the card, plus card type and expiry) and in some cases the bank name, account number and BSB were also exposed. The data was subsequently made freely available on the hacking forum later the following month.</t>
  </si>
  <si>
    <t>https://haveibeenpwned.com/Content/Images/PwnedLogos/Oxfam.png</t>
  </si>
  <si>
    <t>['Bank account numbers', 'Dates of birth', 'Email addresses', 'Genders', 'Names', 'Partial credit card data', 'Payment histories', 'Phone numbers', 'Physical addresses']</t>
  </si>
  <si>
    <t>PaddyPower</t>
  </si>
  <si>
    <t>Paddy Power</t>
  </si>
  <si>
    <t>paddypower.com</t>
  </si>
  <si>
    <t>In October 2010, the Irish bookmaker &lt;a href="http://www.telegraph.co.uk/technology/internet-security/11005558/Irish-government-disappointed-over-Paddy-Power-hack.html" target="_blank" rel="noopener"&gt;Paddy Power suffered a data breach&lt;/a&gt; that exposed 750,000 customer records with nearly 600,000 unique email addresses. The breach was not disclosed until July 2014 and contained extensive personal information including names, addresses, phone numbers and plain text security questions and answers.</t>
  </si>
  <si>
    <t>https://haveibeenpwned.com/Content/Images/PwnedLogos/PaddyPower.png</t>
  </si>
  <si>
    <t>['Account balances', 'Dates of birth', 'Email addresses', 'IP addresses', 'Names', 'Phone numbers', 'Physical addresses', 'Security questions and answers', 'Usernames', 'Website activity']</t>
  </si>
  <si>
    <t>ParagonCheats</t>
  </si>
  <si>
    <t>Paragon Cheats</t>
  </si>
  <si>
    <t>paragoncheats.com</t>
  </si>
  <si>
    <t>In May 2021, the Grand Theft Auto Online cheats website &lt;a href="https://screenrant.com/gta-online-cheater-mod-shut-down/" target="_blank" rel="noopener"&gt;Paragon Cheats suffered a data breach that lead to the shutdown of the service&lt;/a&gt;. The breach exposed 188k customer records including usernames, email and IP addresses. The data was provided to HIBP by a source who requested it be attributed to &amp;quot;VRAirhead and xFueY&amp;quot;.</t>
  </si>
  <si>
    <t>https://haveibeenpwned.com/Content/Images/PwnedLogos/ParagonCheats.png</t>
  </si>
  <si>
    <t>['Browser user agent details', 'Email addresses', 'IP addresses', 'Usernames']</t>
  </si>
  <si>
    <t>ParkMobile</t>
  </si>
  <si>
    <t>parkmobile.io</t>
  </si>
  <si>
    <t>In March 2021, the mobile parking app service &lt;a href="https://krebsonsecurity.com/2021/04/parkmobile-breach-exposes-license-plate-data-mobile-numbers-of-21m-users/" target="_blank" rel="noopener"&gt;ParkMobile suffered a data breach which exposed 21 million customers' personal data&lt;/a&gt;. The impacted data included email addresses, names, phone numbers, vehicle licence plates and passwords stored as bcrypt hashes. The following month, the data appeared on a public hacking forum where it was extensively redistributed.</t>
  </si>
  <si>
    <t>https://haveibeenpwned.com/Content/Images/PwnedLogos/ParkMobile.png</t>
  </si>
  <si>
    <t>['Email addresses', 'Licence plates', 'Names', 'Passwords', 'Phone numbers']</t>
  </si>
  <si>
    <t>Patreon</t>
  </si>
  <si>
    <t>patreon.com</t>
  </si>
  <si>
    <t>In October 2015, the crowdfunding site &lt;a href="http://www.zdnet.com/article/patreon-hacked-anonymous-patrons-exposed/" target="_blank" rel="noopener"&gt;Patreon was hacked&lt;/a&gt; and over 16GB of data was released publicly. The dump included almost 14GB of database records with more than 2.3M unique email addresses,  millions of personal messages and passwords stored as bcrypt hashes.</t>
  </si>
  <si>
    <t>https://haveibeenpwned.com/Content/Images/PwnedLogos/Patreon.png</t>
  </si>
  <si>
    <t>['Email addresses', 'Passwords', 'Payment histories', 'Physical addresses', 'Private messages', 'Website activity']</t>
  </si>
  <si>
    <t>PayAsUGym</t>
  </si>
  <si>
    <t>payasugym.com</t>
  </si>
  <si>
    <t>In December 2016, &lt;a href="https://twitter.com/real_1x0123/status/809443917984911364" target="_blank" rel="noopener"&gt;an attacker breached PayAsUGym's website&lt;/a&gt; exposing over 400k customers' personal data. The data was consequently leaked publicly and broadly distributed via Twitter. The leaked data contained personal information including email addresses and passwords hashed using MD5 without a salt.</t>
  </si>
  <si>
    <t>https://haveibeenpwned.com/Content/Images/PwnedLogos/PayAsUGym.png</t>
  </si>
  <si>
    <t>['Browser user agent details', 'Email addresses', 'IP addresses', 'Names', 'Partial credit card data', 'Passwords', 'Phone numbers', 'Website activity']</t>
  </si>
  <si>
    <t>PayHere</t>
  </si>
  <si>
    <t>payhere.lk</t>
  </si>
  <si>
    <t>In late March 2022, the Sri Lankan payment gateway &lt;a href="https://www.yoshlk.me/technicity/payhere-hack/" target="_blank" rel="noopener"&gt;PayHere suffered a data breach that exposed more than 65GB of payment records&lt;/a&gt; including over 1.5M unique email addresses. The data also included IP and physical addresses, names, phone numbers, purchase histories and partially obfuscated credit card data (card type, first 6 and last 4 digits plus expiry date). A month later, PayHere published a blog on the incident titled &lt;a href="https://blog.payhere.lk/ensuring-integrity-on-payhere-cybersecurity-incident/" target="_blank" rel="noopener"&gt;Ensuring Integrity on PayHere Cybersecurity Incident&lt;/a&gt;.</t>
  </si>
  <si>
    <t>https://haveibeenpwned.com/Content/Images/PwnedLogos/PayHere.png</t>
  </si>
  <si>
    <t>['Email addresses', 'IP addresses', 'Names', 'Partial credit card data', 'Phone numbers', 'Physical addresses', 'Purchases']</t>
  </si>
  <si>
    <t>Paytm</t>
  </si>
  <si>
    <t>paytm.com</t>
  </si>
  <si>
    <t>In August 2020, the Indian payment provider &lt;a href="https://economictimes.indiatimes.com/tech/internet/paytm-mall-suffers-massive-breach-ransom-demanded-report/articleshow/77833664.cms" target="_blank" rel="noopener"&gt;Paytm was reported as having suffered a data breach and subsequent ransom demand&lt;/a&gt;, after which the data was circulated publicly. Further investigation into the data concluded that &lt;a href="https://twitter.com/troyhunt/status/1552808334759043073 target="_blank" rel="noopener"&gt;the breach was fabricated and did not originate from Paytm&lt;/a&gt;. The impacted data covered 3.4M unique email addresses along with names, phone numbers, genders, dates of birth, income levels and previous purchases.</t>
  </si>
  <si>
    <t>https://haveibeenpwned.com/Content/Images/PwnedLogos/Paytm.png</t>
  </si>
  <si>
    <t>['Dates of birth', 'Email addresses', 'Genders', 'Geographic locations', 'Income levels', 'Names', 'Phone numbers', 'Purchases']</t>
  </si>
  <si>
    <t>Peatix</t>
  </si>
  <si>
    <t>peatix.com</t>
  </si>
  <si>
    <t>In January 2019, the event organising platform &lt;a href="https://www.zdnet.com/article/hacker-leaks-the-user-data-of-event-management-app-peatix/" target="_blank" rel="noopener"&gt;Peatix suffered a data breach&lt;/a&gt;. The incident exposed 4.2M email addresses, names and salted password hashes. The data was provided to HIBP by &lt;a href="https://dehashed.com/" target="_blank" rel="noopener"&gt;dehashed.com&lt;/a&gt;.</t>
  </si>
  <si>
    <t>https://haveibeenpwned.com/Content/Images/PwnedLogos/Peatix.png</t>
  </si>
  <si>
    <t>Pemiblanc</t>
  </si>
  <si>
    <t>pemiblanc.com</t>
  </si>
  <si>
    <t>In April 2018, a credential stuffing list containing 111 million email addresses and passwords known as &lt;a href="https://www.troyhunt.com/the-111-million-pemiblanc-credential-stuffing-list" target="_blank" rel="noopener"&gt;Pemiblanc&lt;/a&gt; was discovered on a French server. The list contained email addresses and passwords collated from different data breaches and used to mount account takeover attacks against other services. &lt;a href="https://www.troyhunt.com/the-111-million-pemiblanc-credential-stuffing-list" target="_blank" rel="noopener"&gt;Read more about the incident.&lt;/a&gt;</t>
  </si>
  <si>
    <t>PeoplesEnergy</t>
  </si>
  <si>
    <t>People's Energy</t>
  </si>
  <si>
    <t>peoplesenergy.co.uk</t>
  </si>
  <si>
    <t>In December 2020, the UK power company &lt;a href="https://www.bbc.com/news/technology-55350995" target="_blank" rel="noopener"&gt;People's Energy suffered a data breach&lt;/a&gt;. The breach exposed almost 7GB of files containing 359k unique email addresses along with names, phones numbers, physical addresses and dates of birth. The incident also included People's Energy staff email addresses and bcrypt password hashes (no customer passwords were exposed). The data was provided to HIBP by a source who requested it be attributed to pom@pompur.in.</t>
  </si>
  <si>
    <t>https://haveibeenpwned.com/Content/Images/PwnedLogos/PeoplesEnergy.png</t>
  </si>
  <si>
    <t>PetFlow</t>
  </si>
  <si>
    <t>petflow.com</t>
  </si>
  <si>
    <t>In December 2017, the pet care delivery service &lt;a href="https://techcrunch.com/2019/02/14/hacker-strikes-again/" target="_blank" rel="noopener"&gt;PetFlow suffered a data breach which consequently appeared for sale on a dark web marketplace&lt;/a&gt;. Almost 1M accounts were impacted and exposed email addresses and passwords stored as unsalted MD5 hashes. The data was provided to HIBP by a source who requested it be attributed to &amp;quot;nano@databases.pw&amp;quot;.</t>
  </si>
  <si>
    <t>https://haveibeenpwned.com/Content/Images/PwnedLogos/PetFlow.png</t>
  </si>
  <si>
    <t>PhoneHouse</t>
  </si>
  <si>
    <t>Phone House EspaÃƒÂ±a</t>
  </si>
  <si>
    <t>phonehouse.es</t>
  </si>
  <si>
    <t>In April 2021, the Spanish retailer &lt;a href="https://thetechzone.online/cyberattack-on-phone-house-with-ransomware-and-possible-data-breach/" target="_blank" rel="noopener"&gt;Phone House allegedly suffered a ransomware attack that also exposed significant volumes of customer data&lt;/a&gt;. Attributed to the Babuk ransomware, a collection of data alleged to be a subset of a larger corpus was posted to a dark web site and contained 5.2M email addresses along with names, nationalities, genders, dates of birth, phone numbers and physical addresses. Phone House has been threatened with further releases if a ransom is not paid.</t>
  </si>
  <si>
    <t>https://haveibeenpwned.com/Content/Images/PwnedLogos/PhoneHouse.png</t>
  </si>
  <si>
    <t>['Dates of birth', 'Email addresses', 'Genders', 'Names', 'Nationalities', 'Phone numbers', 'Physical addresses']</t>
  </si>
  <si>
    <t>PHPFreaks</t>
  </si>
  <si>
    <t>PHP Freaks</t>
  </si>
  <si>
    <t>phpfreaks.com</t>
  </si>
  <si>
    <t>In October 2015, the PHP discussion board &lt;a href="http://forums.phpfreaks.com/topic/298874-alert-the-phpfreaks-forum-members-data-appears-to-have-been-stolen" target="_blank" rel="noopener"&gt;PHP Freaks was hacked&lt;/a&gt; and 173k user accounts were publicly leaked. The breach included multiple personal data attributes as well as salted and hashed passwords.</t>
  </si>
  <si>
    <t>https://haveibeenpwned.com/Content/Images/PwnedLogos/PHPFreaks.png</t>
  </si>
  <si>
    <t>PixelFederation</t>
  </si>
  <si>
    <t>Pixel Federation</t>
  </si>
  <si>
    <t>pixelfederation.com</t>
  </si>
  <si>
    <t>In December 2013, a &lt;a href="http://www.cyberwarnews.info/2013/12/04/pixel-federation-hacked-38000-user-credentials-leaked" target="_blank" rel="noopener"&gt;breach of the web-based game community based in Slovakia&lt;/a&gt; exposed over 38,000 accounts which  were promptly posted online. The breach included email addresses and unsalted MD5 hashed passwords, many of which were easily converted back to plain text.</t>
  </si>
  <si>
    <t>https://haveibeenpwned.com/Content/Images/PwnedLogos/PixelFederation.png</t>
  </si>
  <si>
    <t>Pixlr</t>
  </si>
  <si>
    <t>pixlr.com</t>
  </si>
  <si>
    <t>In October 2020, the online photo editing application &lt;a href="https://www.bleepingcomputer.com/news/security/hacker-posts-19-million-pixlr-user-records-for-free-on-forum/" target="_blank" rel="noopener"&gt;Pixlr suffered a data breach&lt;/a&gt; exposing 1.9 million subscribers. Impacted data included names, email addresses, social media profiles, the country signed up from and passwords stored as SHA-512 hashes. The data was provided to HIBP by &lt;a href="https://dehashed.com/" target="_blank" rel="noopener"&gt;dehashed.com&lt;/a&gt;.</t>
  </si>
  <si>
    <t>https://haveibeenpwned.com/Content/Images/PwnedLogos/Pixlr.png</t>
  </si>
  <si>
    <t>['Email addresses', 'Geographic locations', 'Names', 'Passwords', 'Social media profiles']</t>
  </si>
  <si>
    <t>piZap</t>
  </si>
  <si>
    <t>pizap.com</t>
  </si>
  <si>
    <t>In approximately December 2017, the online photo editing site &lt;a href="https://www.zdnet.com/article/hacker-puts-up-for-sale-third-round-of-hacked-databases-on-the-dark-web/" target="_blank" rel="noopener"&gt;piZap suffered a data breach&lt;/a&gt;. The data was later placed up for sale on a dark web marketplace along with a collection of other data breaches in February 2019. A total of 42 million unique email addresses were included in the breach alongside names, genders and links to Facebook profiles when the social media platform was used to authenticate to piZap. When accounts were created directly on piZap without using Facebook for authentication, passwords stored as SHA-1 hashes were also exposed. The data was provided to HIBP by a source who requested it be attributed to &amp;quot;JimScott.Sec@protonmail.com&amp;quot;.</t>
  </si>
  <si>
    <t>https://haveibeenpwned.com/Content/Images/PwnedLogos/piZap.png</t>
  </si>
  <si>
    <t>['Email addresses', 'Genders', 'Geographic locations', 'Names', 'Passwords', 'Social media profiles', 'Usernames', 'Website activity']</t>
  </si>
  <si>
    <t>PlanetCalypso</t>
  </si>
  <si>
    <t>Planet Calypso</t>
  </si>
  <si>
    <t>planetcalypsoforum.com</t>
  </si>
  <si>
    <t>In approximately July 2019, &lt;a href="http://www.planetcalypsoforum.com/forums/showthread.php?311854-ET-or-Planet-Forums-ever-hacked" target="_blank" rel="noopener"&gt;the forums for the Planet Calypso game suffered a data breach&lt;/a&gt;. The breach of the vBulletin based forum exposed email and IP addresses, usernames and passwords stored as salted MD5 hashes.</t>
  </si>
  <si>
    <t>https://haveibeenpwned.com/Content/Images/PwnedLogos/PlanetCalypso.png</t>
  </si>
  <si>
    <t>PlanetIce</t>
  </si>
  <si>
    <t>Planet Ice</t>
  </si>
  <si>
    <t>planet-ice.co.uk</t>
  </si>
  <si>
    <t>In January 2023, the UK-based ice skating rink booking service &lt;a href="https://www.bristolpost.co.uk/news/bristol-news/bristol-planet-ice-cyber-attack-8076491" target="_blank" rel="noopener"&gt;Planet Ice suffered a data breach&lt;/a&gt;. The incident exposed the personal data of 240k people including email and physical addresses, phone numbers, genders, dates of birth and passwords stored as MD5 hashes. The data also included the names, genders and dates of birth of children having parties.</t>
  </si>
  <si>
    <t>https://haveibeenpwned.com/Content/Images/PwnedLogos/PlanetIce.png</t>
  </si>
  <si>
    <t>['Dates of birth', 'Email addresses', 'Genders', 'IP addresses', 'Names', 'Passwords', 'Phone numbers', 'Physical addresses', 'Purchases']</t>
  </si>
  <si>
    <t>Playbook</t>
  </si>
  <si>
    <t>playbook.vc</t>
  </si>
  <si>
    <t>In September 2021, &lt;a href="https://www.bankinfosecurity.com/articles.php?art_id=17696" target="_blank" rel="noopener"&gt;a publicly accessible PostgresSQL database belonging to the Playbook service was identified&lt;/a&gt;. Run by VC firm Plug and Play Ventures, the database had been exposed since October 2020 and contained more than 50 thousand unique email addresses along with names, phone numbers, job titles and passwords stored as PBKDF2 hashes. It took more than 2 weeks after being notified of the exposed data to properly secure it. It's unknown whether Plug and Play Ventures notified impacted individuals as they ceased responding to queries from the press.</t>
  </si>
  <si>
    <t>https://haveibeenpwned.com/Content/Images/PwnedLogos/Playbook.png</t>
  </si>
  <si>
    <t>['Email addresses', 'Job titles', 'Names', 'Passwords', 'Phone numbers', 'Social media profiles']</t>
  </si>
  <si>
    <t>Plex</t>
  </si>
  <si>
    <t>plex.tv</t>
  </si>
  <si>
    <t>In July 2015, the discussion forum for Plex media centre &lt;a href="https://blog.plex.tv/2015/07/02/security-notice-forum-user-password-resets" target="_blank" rel="noopener"&gt;was hacked and over 327k accounts exposed&lt;/a&gt;. The IP.Board forum included IP addresses and passwords stored as salted hashes using a weak implementation enabling many to be rapidly cracked.</t>
  </si>
  <si>
    <t>https://haveibeenpwned.com/Content/Images/PwnedLogos/Plex.png</t>
  </si>
  <si>
    <t>PlutoTV</t>
  </si>
  <si>
    <t>Pluto TV</t>
  </si>
  <si>
    <t>pluto.tv</t>
  </si>
  <si>
    <t>In October 2018, the internet television service &lt;a href="https://www.vice.com/en/article/88a8ma/pluto-tv-hacked-data-breach" target="_blank" rel="noopener"&gt;Pluto TV suffered a data breach&lt;/a&gt; which was then shared extensively in hacking communities. Pluto TV &amp;quot;decided not to proactively inform users of the breach&amp;quot; which contained 3.2M unique email and IP addresses, names, usernames, genders, dates of birth and passwords stored as bcrypt hashes. The data was provided to HIBP by &lt;a href="https://dehashed.com/" target="_blank" rel="noopener"&gt;dehashed.com&lt;/a&gt;.</t>
  </si>
  <si>
    <t>https://haveibeenpwned.com/Content/Images/PwnedLogos/PlutoTV.png</t>
  </si>
  <si>
    <t>['Dates of birth', 'Device information', 'Email addresses', 'Genders', 'IP addresses', 'Names', 'Passwords', 'Social media profiles', 'Usernames']</t>
  </si>
  <si>
    <t>Pokebip</t>
  </si>
  <si>
    <t>PokÃƒÂ©bip</t>
  </si>
  <si>
    <t>pokebip.com</t>
  </si>
  <si>
    <t>In July 2015, the French PokÃƒÂ©mon site &lt;a href="https://www.pokebip.com/news3382__message_de_securite_de_l_equipe_pokebip_.html" target="_blank" rel="noopener"&gt;PokÃƒÂ©bip suffered a data breach&lt;/a&gt; which exposed 657k subscriber identities. The data included email and IP addresses, usernames and passwords stored as unsalted MD5 hashes.</t>
  </si>
  <si>
    <t>https://haveibeenpwned.com/Content/Images/PwnedLogos/Pokebip.png</t>
  </si>
  <si>
    <t>['Email addresses', 'IP addresses', 'Passwords', 'Time zones', 'Usernames', 'Website activity']</t>
  </si>
  <si>
    <t>PokemonCreed</t>
  </si>
  <si>
    <t>PokÃƒÂ©mon Creed</t>
  </si>
  <si>
    <t>pokemoncreed.net</t>
  </si>
  <si>
    <t>In August 2014, the PokÃƒÂ©mon RPG website &lt;a href="http://pokemoncreed.net" target="_blank" rel="noopener"&gt;PokÃƒÂ©mon Creed&lt;/a&gt; was hacked after a dispute with rival site, &lt;a href="http://pkmndusk.in" target="_blank" rel="noopener"&gt;PokÃƒÂ©mon Dusk&lt;/a&gt;. In a &lt;a href="https://www.facebook.com/ramandeep.s.dehal/posts/749666358442465" target="_blank" rel="noopener"&gt;post on Facebook&lt;/a&gt;, &amp;quot;Cruz Dusk&amp;quot; announced the hack then pasted the dumped MySQL database on &lt;a href="http://pkmndusk.in" target="_blank" rel="noopener"&gt;pkmndusk.in&lt;/a&gt;. The breached data included over 116k usernames, email addresses and plain text passwords.</t>
  </si>
  <si>
    <t>https://haveibeenpwned.com/Content/Images/PwnedLogos/PokemonCreed.png</t>
  </si>
  <si>
    <t>['Email addresses', 'Genders', 'IP addresses', 'Passwords', 'Usernames', 'Website activity']</t>
  </si>
  <si>
    <t>PokemonNegro</t>
  </si>
  <si>
    <t>PokÃƒÂ©mon Negro</t>
  </si>
  <si>
    <t>pokemonnegro.com</t>
  </si>
  <si>
    <t>In approximately October 2016, the Spanish PokÃƒÂ©mon site &lt;a href="http://pokemonnegro.com" target="_blank" rel="noopener"&gt;PokÃƒÂ©mon Negro&lt;/a&gt; suffered a data breach. The attack resulted in the disclosure of 830k accounts including email and IP addresses along with plain text passwords. PokÃƒÂ©mon Negro did not respond when contacted about the breach.</t>
  </si>
  <si>
    <t>https://haveibeenpwned.com/Content/Images/PwnedLogos/PokemonNegro.png</t>
  </si>
  <si>
    <t>PoliceOne</t>
  </si>
  <si>
    <t>policeone.com</t>
  </si>
  <si>
    <t>In February 2017, the law enforcement website &lt;a href="http://www.zdnet.com/article/police-forum-hacked-thousands-of-records-for-sale-on-dark-web/" target="_blank" rel="noopener"&gt;PoliceOne confirmed they'd suffered a data breach&lt;/a&gt;. The breach contained over 700k accounts which appeared for sale by a data broker and included email and IP addresses, usernames and salted MD5 password hashes. The file the data was contained in indicated the original breach dated back to July 2014.</t>
  </si>
  <si>
    <t>https://haveibeenpwned.com/Content/Images/PwnedLogos/PoliceOne.png</t>
  </si>
  <si>
    <t>Poshmark</t>
  </si>
  <si>
    <t>poshmark.com</t>
  </si>
  <si>
    <t>In mid-2018, social commerce marketplace &lt;a href="https://techcrunch.com/2019/08/01/poshmark-confirms-data-breach/" target="_blank" rel="noopener"&gt;Poshmark suffered a data breach&lt;/a&gt; that exposed 36M user accounts. The compromised data included email addresses, names, usernames, genders, locations and passwords stored as bcrypt hashes. The data was provided to HIBP by a source who requested it be attributed to "JimScott.Sec@protonmail.com".</t>
  </si>
  <si>
    <t>https://haveibeenpwned.com/Content/Images/PwnedLogos/Poshmark.png</t>
  </si>
  <si>
    <t>['Email addresses', 'Genders', 'Geographic locations', 'Names', 'Passwords', 'Usernames']</t>
  </si>
  <si>
    <t>Powerbot</t>
  </si>
  <si>
    <t>powerbot.org</t>
  </si>
  <si>
    <t>In approximately September 2014, the RuneScape bot website &lt;a href="https://www.powerbot.org" target="_blank" rel="noopener"&gt;Powerbot&lt;/a&gt; suffered a data breach resulting in the exposure of over half a million unique user records. The data contained email and IP addresses, usernames and salted MD5 hashes of passwords. The site was previously reported as compromised on the &lt;a href="https://vigilante.pw/" target="_blank" rel="noopener"&gt;Vigilante.pw&lt;/a&gt; breached database directory.</t>
  </si>
  <si>
    <t>https://haveibeenpwned.com/Content/Images/PwnedLogos/Powerbot.png</t>
  </si>
  <si>
    <t>PPCGeeks</t>
  </si>
  <si>
    <t>ppcgeeks.com</t>
  </si>
  <si>
    <t>In August 2016, the pocket PC fan site forum &lt;a href="https://web.archive.org/web/20210227221024/https://forum.ppcgeeks.com/site-news-announcements/153465-urgent-ppcgeeks-hacked-database-dumped.html" target="_blank" rel="noopener"&gt;PPCGeeks suffered a data breach that exposed over 490k records&lt;/a&gt;. The breach of the vBulletin forum exposed email and IP addresses, usernames, dates of birth and passwords stored as salted MD5 hashes. The data was provided to HIBP by a source who requested it be attributed to &amp;quot;fall1984@protonmail.com&amp;quot;.</t>
  </si>
  <si>
    <t>https://haveibeenpwned.com/Content/Images/PwnedLogos/PPCGeeks.png</t>
  </si>
  <si>
    <t>PreenMe</t>
  </si>
  <si>
    <t>Preen.Me</t>
  </si>
  <si>
    <t>preen.me</t>
  </si>
  <si>
    <t>In May 2020, social media marketing company &lt;a href="https://www.riskbasedsecurity.com/2020/06/24/personal-data-of-350000-social-media-influencers-and-users-compromised-following-preen-me-hack/" target="_blank" rel="noopener"&gt;Preen.Me was the target of a ransom attack that resulted in hundreds of thousands of records being publicly posted&lt;/a&gt;. Over 236k unique email addresses were exposed in the attack alongside names, usernames and links to social media profiles.</t>
  </si>
  <si>
    <t>https://haveibeenpwned.com/Content/Images/PwnedLogos/PreenMe.png</t>
  </si>
  <si>
    <t>['Email addresses', 'Names', 'Social media profiles', 'Usernames']</t>
  </si>
  <si>
    <t>ProctorU</t>
  </si>
  <si>
    <t>proctoru.com</t>
  </si>
  <si>
    <t>In June 2020, the online exam service &lt;a href="https://www.smh.com.au/national/hackers-hit-university-online-exam-tool-20200806-p55j6h.html" target="_blank" rel="noopener"&gt;ProctorU suffered a data breach&lt;/a&gt; which was subsequently shared extensively across online hacking communities. The breach contained 444k user records including names, email and physical addresses, phones numbers and passwords stored as bcrypt hashes. The data was provided to HIBP by &lt;a href="https://breachbase.pw/" target="_blank" rel="noopener"&gt;breachbase.pw&lt;/a&gt;.</t>
  </si>
  <si>
    <t>https://haveibeenpwned.com/Content/Images/PwnedLogos/ProctorU.png</t>
  </si>
  <si>
    <t>['Email addresses', 'Names', 'Passwords', 'Phone numbers', 'Physical addresses', 'Usernames']</t>
  </si>
  <si>
    <t>ProgrammingForums</t>
  </si>
  <si>
    <t>Programming Forums</t>
  </si>
  <si>
    <t>programmingforums.org</t>
  </si>
  <si>
    <t>In approximately late 2015, the programming forum at &lt;a href="http://www.programmingforums.org/" target="_blank" rel="noopener"&gt;programmingforums.org&lt;/a&gt; suffered a data breach resulting in the exposure of 707k unique user records. The data contained email and IP addresses, usernames and salted MD5 hashes of passwords. The site was previously reported as compromised on the &lt;a href="https://vigilante.pw/" target="_blank" rel="noopener"&gt;Vigilante.pw&lt;/a&gt; breached database directory.</t>
  </si>
  <si>
    <t>https://haveibeenpwned.com/Content/Images/PwnedLogos/ProgrammingForums.png</t>
  </si>
  <si>
    <t>Promo</t>
  </si>
  <si>
    <t>promo.com</t>
  </si>
  <si>
    <t>In July 2020, the self-proclaimed &amp;quot;World's #1 Marketing Video Maker&amp;quot; &lt;a href="https://support.promo.com/en/articles/4276475-promo-data-breach-faq" target="_blank" rel="noopener"&gt;Promo suffered a data breach&lt;/a&gt; which was then shared extensively on a hacking forum. The incident exposed 22 million records containing almost 15 million unique email addresses alongside IP addresses, genders, names and salted SHA-256 password hashes. The data was provided to HIBP by &lt;a href="https://dehashed.com/" target="_blank" rel="noopener"&gt;dehashed.com&lt;/a&gt;.</t>
  </si>
  <si>
    <t>https://haveibeenpwned.com/Content/Images/PwnedLogos/Promo.png</t>
  </si>
  <si>
    <t>['Email addresses', 'Genders', 'IP addresses', 'Names', 'Passwords']</t>
  </si>
  <si>
    <t>Promofarma</t>
  </si>
  <si>
    <t>promofarma.com</t>
  </si>
  <si>
    <t>In August 2019, &lt;a href="https://www.zdnet.com/article/data-of-21-million-mixcloud-users-put-up-for-sale-on-the-dark-web/" target="_blank" rel="noopener"&gt;a data breach from the Spanish online pharmacy Promofarma appeared for sale on a dark web marketplace&lt;/a&gt;. The breach exposed over 2.7M records and contained almost 1.3M unique customer email addresses. The data also included customer names and was provided to HIBP by &lt;a href="https://dehashed.com/" target="_blank" rel="noopener"&gt;dehashed.com&lt;/a&gt;.</t>
  </si>
  <si>
    <t>https://haveibeenpwned.com/Content/Images/PwnedLogos/Promofarma.png</t>
  </si>
  <si>
    <t>PropTiger</t>
  </si>
  <si>
    <t>proptiger.com</t>
  </si>
  <si>
    <t>In January 2018, the Indian property website &lt;a href="https://www.proptiger.com/" target="_blank" rel="noopener"&gt;PropTiger&lt;/a&gt; suffered a data breach which resulted in a 3.46GB database file being exposed and subsequently shared extensively on a popular hacking forum 2 years later. The exposed data contained both user records and login histories with over 2M unique customer email addresses. Exposed data also included additional personal attributes such as names, dates of birth, genders, IP addresses and passwords stored as MD5 hashes. PropTiger advised they believe the usability of the data is &amp;quot;limited&amp;quot; due to how certain data attributes were generated and stored. The data was provided to HIBP by &lt;a href="https://dehashed.com/" target="_blank" rel="noopener"&gt;dehashed.com&lt;/a&gt;.</t>
  </si>
  <si>
    <t>https://haveibeenpwned.com/Content/Images/PwnedLogos/PropTiger.png</t>
  </si>
  <si>
    <t>['Dates of birth', 'Device information', 'Email addresses', 'Genders', 'IP addresses', 'Names', 'Passwords']</t>
  </si>
  <si>
    <t>Protemps</t>
  </si>
  <si>
    <t>protemps.com.sg</t>
  </si>
  <si>
    <t>In October 2021, the Singaporean recruitment website &lt;a href="https://www.straitstimes.com/singapore/courts-crime/spore-employment-agency-hacked-ic-scans-and-salaries-of-40000-job-seekers" target="_blank" rel="noopener"&gt;Protemps suffered a data breach&lt;/a&gt; that exposed almost 50,000 unique email addresses. The impacted data includes names, email and physical addresses, phone numbers, passport numbers and passwords stored as unsalted MD5 hashes, among troves of other jobseeker data. The data was provided to HIBP by a source who requested it be attributed to &amp;quot;white_peacock@riseup.net&amp;quot;.</t>
  </si>
  <si>
    <t>https://haveibeenpwned.com/Content/Images/PwnedLogos/Protemps.png</t>
  </si>
  <si>
    <t>['Email addresses', 'Genders', 'Job applications', 'Marital statuses', 'Names', 'Nationalities', 'Passport numbers', 'Passwords', 'Phone numbers', 'Physical addresses', 'Religions', 'Salutations']</t>
  </si>
  <si>
    <t>PS3Hax</t>
  </si>
  <si>
    <t>ps3hax.net</t>
  </si>
  <si>
    <t>In approximately July 2015, the Sony Playstation hacks and mods forum known as &lt;a href="http://www.ps3hax.net" target="_blank" rel="noopener"&gt;PS3Hax&lt;/a&gt; was hacked and more than 447k accounts were exposed. The vBulletin forum included IP addresses and passwords stored as salted hashes using a weak implementation enabling many to be rapidly cracked.</t>
  </si>
  <si>
    <t>https://haveibeenpwned.com/Content/Images/PwnedLogos/PS3Hax.png</t>
  </si>
  <si>
    <t>PSPISO</t>
  </si>
  <si>
    <t>PSP ISO</t>
  </si>
  <si>
    <t>pspiso.com</t>
  </si>
  <si>
    <t>In approximately September 2015, the PlayStation PSP forum known as &lt;a href="http://www.pspiso.com" target="_blank" rel="noopener"&gt;PSP ISO&lt;/a&gt; was hacked and almost 1.3 million accounts were exposed. Along with email and IP addresses, the vBulletin forum also exposed salted MD5 password hashes.</t>
  </si>
  <si>
    <t>https://haveibeenpwned.com/Content/Images/PwnedLogos/PSPISO.png</t>
  </si>
  <si>
    <t>PSX-Scene</t>
  </si>
  <si>
    <t>psx-scene.com</t>
  </si>
  <si>
    <t>In approximately February 2015, the Sony Playstation forum known as &lt;a href="http://psx-scene.com" target="_blank" rel="noopener"&gt;PSX-Scene&lt;/a&gt; was hacked and more than 340k accounts were exposed. The vBulletin forum included IP addresses and passwords stored as salted hashes using a weak implementation enabling many to be rapidly cracked.</t>
  </si>
  <si>
    <t>https://haveibeenpwned.com/Content/Images/PwnedLogos/PSX-Scene.png</t>
  </si>
  <si>
    <t>QatarNationalBank</t>
  </si>
  <si>
    <t>Qatar National Bank</t>
  </si>
  <si>
    <t>qnb.com</t>
  </si>
  <si>
    <t>In July 2015, the Qatar National Bank &lt;a href="http://www.theregister.co.uk/2016/04/25/breaking_qatar_bank_hack/" target="_blank" rel="noopener"&gt;suffered a data breach&lt;/a&gt; which exposed 15k documents totalling 1.4GB and detailing more than 100k accounts with passwords and PINs. The incident was made public some 9 months later in April 2016 when the documents appeared publicly on a file sharing site. Analysis of the breached data suggests &lt;a href="http://blog.trendmicro.co.uk/qatar-bank-breach-lifts-the-veil-on-targeted-attack-strategies/#more-520" target="_blank" rel="noopener"&gt;the attack began by exploiting a SQL injection flaw&lt;/a&gt; in the bank's website.</t>
  </si>
  <si>
    <t>https://haveibeenpwned.com/Content/Images/PwnedLogos/QatarNationalBank.png</t>
  </si>
  <si>
    <t>['Bank account numbers', 'Customer feedback', 'Dates of birth', 'Financial transactions', 'Genders', 'Geographic locations', 'Government issued IDs', 'IP addresses', 'Marital statuses', 'Names', 'Passwords', 'Phone numbers', 'Physical addresses', 'PINs', 'Security questions and answers', 'Spoken languages']</t>
  </si>
  <si>
    <t>QIP</t>
  </si>
  <si>
    <t>qip.ru</t>
  </si>
  <si>
    <t>In mid-2011, the Russian instant messaging service known as  &lt;a href="http://securityaffairs.co/wordpress/51118/data-breach/qip-data-breach.html" target="_blank" rel="noopener"&gt;QIP (Quiet Internet Pager) suffered a data breach&lt;/a&gt;. The attack resulted in the disclosure of over 26 million unique accounts including email addresses and passwords with the data eventually appearing in public years later.</t>
  </si>
  <si>
    <t>https://haveibeenpwned.com/Content/Images/PwnedLogos/QIP.png</t>
  </si>
  <si>
    <t>QuantumBooter</t>
  </si>
  <si>
    <t>Quantum Booter</t>
  </si>
  <si>
    <t>quantumbooter.net</t>
  </si>
  <si>
    <t>In March 2014, the &lt;a href="http://www.webopedia.com/TERM/B/booter_services.html"&gt;booter service&lt;/a&gt; Quantum Booter (also referred to as Quantum Stresser) suffered a breach which lead to the disclosure of their internal database. The leaked data included private discussions relating to malicious activity Quantum Booter users were performing against online adversaries, including the IP addresses of those using the service to mount DDoS attacks.</t>
  </si>
  <si>
    <t>https://haveibeenpwned.com/Content/Images/PwnedLogos/QuantumBooter.png</t>
  </si>
  <si>
    <t>QuestionPro</t>
  </si>
  <si>
    <t>questionpro.com</t>
  </si>
  <si>
    <t>In May 2022, &lt;a href="https://www.bleepingcomputer.com/news/security/hackers-try-to-extort-survey-firm-questionpro-after-alleged-data-theft/" target="_blank" rel="noopener"&gt;the survey website QuestionPro was the target of an extortion attempt relating to an alleged data breach&lt;/a&gt;. Over 100GB of data containing 22M unique email addresses (some of which appear to be generated by the platform), are alleged to have been extracted from the service along with IP addresses, browser user agents and results relating to surveys. QuestionPro would not confirm whether a breach had occurred (although they did confirm they were the target of an extortion attempt), so the data was initially flagged as &amp;quot;unverified&amp;quot;. &lt;a href="https://twitter.com/troyhunt/status/1555696116351377410" target="_blank" rel="noopener"&gt;Subsequent verification by impacted HIBP subscribers&lt;/a&gt; later led to the removal of the unverified flag.</t>
  </si>
  <si>
    <t>https://haveibeenpwned.com/Content/Images/PwnedLogos/QuestionPro.png</t>
  </si>
  <si>
    <t>['Browser user agent details', 'Email addresses', 'IP addresses', 'Survey results']</t>
  </si>
  <si>
    <t>Quidd</t>
  </si>
  <si>
    <t>quidd.co</t>
  </si>
  <si>
    <t>In 2019, online marketplace for trading stickers, cards, toys, and other collectibles &lt;a href="https://www.zdnet.com/article/account-details-for-4-million-quidd-users-shared-on-hacking-forum/" target="_blank" rel="noopener"&gt;Quidd suffered a data breach&lt;/a&gt;. The breach exposed almost 4 million users' email addresses, usernames and passwords stored as bcrypt hashes. The data was subsequently sold then redistributed extensively via hacking forums.</t>
  </si>
  <si>
    <t>https://haveibeenpwned.com/Content/Images/PwnedLogos/Quidd.png</t>
  </si>
  <si>
    <t>QuinStreet</t>
  </si>
  <si>
    <t>quinstreet.com</t>
  </si>
  <si>
    <t>In approximately late 2015, the maker of &amp;quot;performance marketing products&amp;quot; &lt;a href="http://quinstreet.com/" target="_blank" rel="noopener"&gt;QuinStreet&lt;/a&gt; had a number of their online assets compromised. The attack impacted 28 separate sites, predominantly technology forums such as &lt;a href="http://quinstreet.com/" target="_blank" rel="noopener"&gt;flashkit.com&lt;/a&gt;, &lt;a href="http://quinstreet.com/" target="_blank" rel="noopener"&gt;codeguru.com&lt;/a&gt; and &lt;a href="http://quinstreet.com/" target="_blank" rel="noopener"&gt;webdeveloper.com&lt;/a&gt; (&lt;a href="http://pastebin.com/raw/6p50GgCV" target="_blank" rel="noopener"&gt;view a full list of sites&lt;/a&gt;). QuinStreet advised that impacted users have been notified and passwords reset. The data contained details on over 4.9 million people and included email addresses, dates of birth and salted MD5 hashes.</t>
  </si>
  <si>
    <t>https://haveibeenpwned.com/Content/Images/PwnedLogos/QuinStreet.png</t>
  </si>
  <si>
    <t>R2-2017</t>
  </si>
  <si>
    <t>R2 (2017 forum breach)</t>
  </si>
  <si>
    <t>r2games.com</t>
  </si>
  <si>
    <t>In early 2017, the forum for the gaming website &lt;a href="http://www.csoonline.com/article/3192246/security/r2games-compromised-again-over-one-million-accounts-exposed.html" target="_blank" rel="noopener"&gt;R2 Games was hacked&lt;/a&gt;. R2 had previously appeared on HIBP in 2015 after a prior incident. This one exposed over 1 million unique user accounts and corresponding MD5 password hashes with no salt.</t>
  </si>
  <si>
    <t>https://haveibeenpwned.com/Content/Images/PwnedLogos/R2Games.png</t>
  </si>
  <si>
    <t>R2Games</t>
  </si>
  <si>
    <t>In late 2015, the gaming website &lt;a href="https://www.r2games.com" target="_blank" rel="noopener"&gt;R2Games&lt;/a&gt; was hacked and more than 2.1M personal records disclosed. The vBulletin forum included IP addresses and passwords stored as salted hashes using a weak implementation enabling many to be rapidly cracked. A further 11M accounts were added to "Have I Been Pwned" in March 2016 and another 9M in July 2016 bringing the total to over 22M.</t>
  </si>
  <si>
    <t>Rambler</t>
  </si>
  <si>
    <t>rambler.ru</t>
  </si>
  <si>
    <t>In late 2016, a data dump of almost 100M accounts from Rambler, sometimes referred to as &amp;quot;The Russian Yahoo&amp;quot;, &lt;a href="http://www.zdnet.com/article/russian-portal-email-provider-rambler-hacked-98-million-accounts-leaked/" target="_blank" rel="noopener"&gt;was discovered being traded online&lt;/a&gt;. The data set provided to Have I Been Pwned included 91M unique usernames (which also form part of Rambler email addresses) and plain text passwords. According to Rambler, the data dates back to March 2014.</t>
  </si>
  <si>
    <t>https://haveibeenpwned.com/Content/Images/PwnedLogos/Rambler.png</t>
  </si>
  <si>
    <t>Rankwatch</t>
  </si>
  <si>
    <t>RankWatch</t>
  </si>
  <si>
    <t>rankwatch.com</t>
  </si>
  <si>
    <t>In approximately November 2016, the search engine optimisation management company &lt;a href="https://www.rankwatch.com/" target="_blank" rel="noopener"&gt;RankWatch&lt;/a&gt; exposed a Mongo DB with no password publicly whereupon their data was exfiltrated and posted to an online forum. The data contained 7.4 million unique email addresses along with names, employers, phone numbers and job titles in a table called &amp;quot;us_emails&amp;quot;. When contacted and advised of the incident, RankWatch would not reveal the purpose of the data, where it had been acquired from and whether the data owners had consented to its collection. The forum which originally posted the data explained it as being &amp;quot;in the same vein as the modbsolutions leak&amp;quot;, &lt;a href="https://haveibeenpwned.com/PwnedWebsites#ModernBusinessSolutions" target="_blank" rel="noopener"&gt;a large list of corporate data allegedly used for spam purposes&lt;/a&gt;.</t>
  </si>
  <si>
    <t>https://haveibeenpwned.com/Content/Images/PwnedLogos/Rankwatch.png</t>
  </si>
  <si>
    <t>['Email addresses', 'Employers', 'Job titles', 'Names', 'Phone numbers']</t>
  </si>
  <si>
    <t>Raychat</t>
  </si>
  <si>
    <t>raychat.ir</t>
  </si>
  <si>
    <t>In January 2021, the now defunct Iranian social media platform &lt;a href="https://www.gizmodo.com.au/2021/02/iranian-chat-app-gets-its-data-wiped-out-in-a-cyberattack/" target="_blank" rel="noopener"&gt;Raychat suffered a data breach that exposed 939 thousand unique email addresses&lt;/a&gt;. The data included names, IP addresses, browser user agent strings and passwords stored as bcrypt hashes. The data was provided to HIBP by &lt;a href="https://dehashed.com/" target="_blank" rel="noopener"&gt;dehashed.com&lt;/a&gt;.</t>
  </si>
  <si>
    <t>https://haveibeenpwned.com/Content/Images/PwnedLogos/Raychat.png</t>
  </si>
  <si>
    <t>RbxRocks</t>
  </si>
  <si>
    <t>Rbx.Rocks</t>
  </si>
  <si>
    <t>rbx.rocks</t>
  </si>
  <si>
    <t>In August 2018, the Roblox trading site &lt;a href="https://rbx.rocks/" target="_blank" rel="noopener"&gt;Rbx.Rocks&lt;/a&gt; suffered a data breach. Almost 25k records were sent to HIBP in November and included names, email addresses and passwords stored as bcrypt hashes. In July 2019, a further 125k records emerged bringing the total size of the incident to 150k. The website has since gone offline with a message stating that &amp;quot;Rbx.Rocks v2.0 is currently under construction&amp;quot;.</t>
  </si>
  <si>
    <t>https://haveibeenpwned.com/Content/Images/PwnedLogos/RbxRocks.png</t>
  </si>
  <si>
    <t>ReadNovel</t>
  </si>
  <si>
    <t>Read Novel</t>
  </si>
  <si>
    <t>readnovel.com</t>
  </si>
  <si>
    <t>In May 2019, the Chinese literature website &lt;a href="https://www.readnovel.com/" target="_blank" rel="noopener"&gt;Read Novel&lt;/a&gt; allegedly suffered a data breach that exposed 22M unique email addresses. Data also included usernames, genders, phone numbers and passwords stored as salted MD5 hashes. The data was provided to HIBP by a source who requested it be attributed to &amp;quot;white_peacock@riseup.net&amp;quot;. &lt;a href="https://www.troyhunt.com/handling-chinese-data-breaches-in-have-i-been-pwned/" target="_blank" rel="noopener"&gt;Read more about Chinese data breaches in Have I Been Pwned.&lt;/a&gt;</t>
  </si>
  <si>
    <t>https://haveibeenpwned.com/Content/Images/PwnedLogos/ReadNovel.png</t>
  </si>
  <si>
    <t>['Email addresses', 'Genders', 'Passwords', 'Phone numbers', 'Usernames']</t>
  </si>
  <si>
    <t>RealEstateMogul</t>
  </si>
  <si>
    <t>Real Estate Mogul</t>
  </si>
  <si>
    <t>realestatemogul.com</t>
  </si>
  <si>
    <t>In September 2016, the real estate investment site &lt;a href="https://realestatemogul.com/" target="_blank" rel="noopener"&gt;Real Estate Mogul&lt;/a&gt; had a Mongo DB instance compromised and 5GB of data downloaded by an unauthorised party. The data contained real estate listings including addresses and the names, phone numbers and 308k unique email addresses of the sellers. Real Estate Mogul was advised of the incident in September 2018 and stated that they &amp;quot;found no instance of user account credentials like usernames and passwords nor billing information within this file&amp;quot;.</t>
  </si>
  <si>
    <t>https://haveibeenpwned.com/Content/Images/PwnedLogos/RealEstateMogul.png</t>
  </si>
  <si>
    <t>RedDoorz</t>
  </si>
  <si>
    <t>reddoorz.com</t>
  </si>
  <si>
    <t>In September 2020, the hotel management &amp;amp; booking platform &lt;a href="https://www.bleepingcomputer.com/news/security/58-million-reddoorz-user-records-for-sale-on-hacking-forum/" target="_blank" rel="noopener"&gt;RedDoorz suffered a data breach that exposed over 5.8M user accounts&lt;/a&gt;. The breached data included names, email addresses, phone numbers, genders, dates of birth and passwords stored as bcrypt hashes. The data was provided to HIBP by a source who requested it be attributed to &amp;quot;white_peacock@riseup.net&amp;quot;.</t>
  </si>
  <si>
    <t>https://haveibeenpwned.com/Content/Images/PwnedLogos/RedDoorz.png</t>
  </si>
  <si>
    <t>['Dates of birth', 'Email addresses', 'Genders', 'Names', 'Occupations', 'Passwords', 'Phone numbers']</t>
  </si>
  <si>
    <t>RedLineStealer</t>
  </si>
  <si>
    <t>RedLine Stealer</t>
  </si>
  <si>
    <t>In December 2021, &lt;a href="https://twitter.com/MayhemDayOne/status/1474749233475596292" target="_blank" rel="noopener"&gt;logs from the RedLine Stealer malware were left publicly exposed and were then obtained by security researcher Bob Diachenko&lt;/a&gt;. The data included 441 thousand unique email addresses, usernames and plain text passwords.</t>
  </si>
  <si>
    <t>BlueSnapRegpack</t>
  </si>
  <si>
    <t>Regpack</t>
  </si>
  <si>
    <t>bluesnap.com</t>
  </si>
  <si>
    <t>In July 2016, a tweet was posted with a link to an alleged data breach of &lt;a href="http://bluesnap.com" target="_blank" rel="noopener"&gt;BlueSnap, a global payment gateway and merchant account provider&lt;/a&gt;. The data contained 324k payment records across 105k unique email addresses and included personal attributes such as name, home address and phone number. The data was verified with multiple Have I Been Pwned subscribers who confirmed it also contained valid transactions, partial credit card numbers, expiry dates and CVVs. A downstream consumer of BlueSnap services known as &lt;a href="http://www.regpacks.com/" target="_blank" rel="noopener"&gt;Regpack&lt;/a&gt; was subsequently identified as the source of the data after they identified human error had left the transactions exposed on a publicly facing server. A full investigation of the data and statement by Regpack is detailed in the post titled &lt;a href="https://www.troyhunt.com/someone-just-lost-324k-payment-records-complete-with-cvvs/" target="_blank" rel="noopener"&gt;Someone just lost 324k payment records, complete with CVVs&lt;/a&gt;.</t>
  </si>
  <si>
    <t>https://haveibeenpwned.com/Content/Images/PwnedLogos/BlueSnapRegpack.png</t>
  </si>
  <si>
    <t>['Browser user agent details', 'Credit card CVV', 'Email addresses', 'IP addresses', 'Names', 'Partial credit card data', 'Phone numbers', 'Physical addresses', 'Purchases']</t>
  </si>
  <si>
    <t>Reincubate</t>
  </si>
  <si>
    <t>reincubate.com</t>
  </si>
  <si>
    <t>In October 2020, the app data company &lt;a href="https://reincubate.com/blog/security-incident-oct-2020/" target="_blank" rel="noopener"&gt;Reincubate suffered a data breach&lt;/a&gt; which exposed a backup from November 2017 (the newest record in the data appeared several months earlier). The data included over 616k unique email addresses, names and passwords stored as PBKDF2 hashes.</t>
  </si>
  <si>
    <t>https://haveibeenpwned.com/Content/Images/PwnedLogos/Reincubate.png</t>
  </si>
  <si>
    <t>RepublicanPartyOfTexas</t>
  </si>
  <si>
    <t>Republican Party of Texas</t>
  </si>
  <si>
    <t>texasgop.org</t>
  </si>
  <si>
    <t>In September 2021, &lt;a href="https://www.dailydot.com/debug/anonymous-texas-gop-epik/" target="_blank" rel="noopener"&gt;the Republican Party of Texas was hacked by a group claiming to be &amp;quot;Anonymous&amp;quot; in retaliation for the state's controversial abortion ban&lt;/a&gt;. The September defacement was followed by a leak of data and documents which included material from the hosting provider Epik. Impacted data included over 72 thousand unique email addresses across various tables, some also including names, geographic location data, IP addresses and browser user agents.</t>
  </si>
  <si>
    <t>https://haveibeenpwned.com/Content/Images/PwnedLogos/RepublicanPartyOfTexas.png</t>
  </si>
  <si>
    <t>['Browser user agent details', 'Email addresses', 'Geographic locations', 'IP addresses', 'Names']</t>
  </si>
  <si>
    <t>RetinaX</t>
  </si>
  <si>
    <t>Retina-X</t>
  </si>
  <si>
    <t>retinax.com</t>
  </si>
  <si>
    <t>In February 2017, the mobile device monitoring software developer Retina-X was hacked and customer data downloaded before being wiped from their servers. The incident was covered in the Motherboard article titled &lt;a href="https://motherboard.vice.com/en_us/article/inside-stalkerware-surveillance-market-flexispy-retina-x" target="_blank" rel="noopener"&gt;Inside the 'Stalkerware' Surveillance Market, Where Ordinary People Tap Each Other's Phones&lt;/a&gt;. The service, used to monitor mobile devices, had 71k email addresses and MD5 hashes with no salt exposed. Retina-X &lt;a href="http://www.phonesheriff.com/blog/retina-x-studios-server-breached-by-hackers/" target="_blank" rel="noopener"&gt;disclosed the incident in a blog post&lt;/a&gt; on April 27, 2017.</t>
  </si>
  <si>
    <t>https://haveibeenpwned.com/Content/Images/PwnedLogos/RetinaX.png</t>
  </si>
  <si>
    <t>Reverb-Nation</t>
  </si>
  <si>
    <t>ReverbNation</t>
  </si>
  <si>
    <t>reverbnation.com</t>
  </si>
  <si>
    <t>In January 2014, the online service for assisting musicians to build their careers &lt;a href="https://www.scmagazine.com/2014-breach-prompts-reverbnation-to-notify-customers/article/532492/" target="_blank" rel="noopener"&gt;ReverbNation suffered a data breach which wasn't identified until September the following year&lt;/a&gt;. The breach contained over 7 million accounts with unique email addresses and salted SHA1 passwords.</t>
  </si>
  <si>
    <t>https://haveibeenpwned.com/Content/Images/PwnedLogos/Reverb-Nation.png</t>
  </si>
  <si>
    <t>RiverCityMedia</t>
  </si>
  <si>
    <t>River City Media Spam List</t>
  </si>
  <si>
    <t>rivercitymediaonline.com</t>
  </si>
  <si>
    <t>In January 2017, &lt;a href="https://web.archive.org/web/20170426084052/https://mackeeper.com/blog/post/339-spammergate-the-fall-of-an-empire" target="_blank" rel="noopener"&gt;a massive trove of data from River City Media was found exposed online&lt;/a&gt;. The data was found to contain almost 1.4 billion records including email and IP addresses, names and physical addresses, all of which was used as part of an enormous spam operation. Once de-duplicated, there were 393 million unique email addresses within the exposed data.</t>
  </si>
  <si>
    <t>['Email addresses', 'IP addresses', 'Names', 'Physical addresses']</t>
  </si>
  <si>
    <t>Robinhood</t>
  </si>
  <si>
    <t>robinhood.com</t>
  </si>
  <si>
    <t>In November 2021, the online trading platform &lt;a href="https://techcrunch.com/2021/11/09/robinhood-data-breach/" target="_blank" rel="noopener"&gt;Robinhood suffered a data breach&lt;/a&gt; after a customer service representative was socially engineered. The incident exposed over 5M customer email addresses and 2M customer names. The data was provided to HIBP by a source who requested it be attributed to &amp;quot;Jarand Moen Romtviet&amp;quot;.</t>
  </si>
  <si>
    <t>https://haveibeenpwned.com/Content/Images/PwnedLogos/Robinhood.png</t>
  </si>
  <si>
    <t>Roll20</t>
  </si>
  <si>
    <t>roll20.net</t>
  </si>
  <si>
    <t>In December 2018, the tabletop role-playing games website &lt;a href="https://app.roll20.net/forum/post/7209691/roll20-security-breach" target="_blank" rel="noopener"&gt;Roll20 suffered a data breach&lt;/a&gt;. Almost 4 million customers were impacted by the breach and had email and IP addresses, names, bcrypt hashes of passwords and the last 4 digits of credit cards exposed. The data was provided to HIBP by a source who requested it be attributed to &amp;quot;JimScott.Sec@protonmail.com&amp;quot;.</t>
  </si>
  <si>
    <t>https://haveibeenpwned.com/Content/Images/PwnedLogos/Roll20.png</t>
  </si>
  <si>
    <t>['Email addresses', 'IP addresses', 'Names', 'Partial credit card data', 'Passwords']</t>
  </si>
  <si>
    <t>Romwe</t>
  </si>
  <si>
    <t>romwe.com</t>
  </si>
  <si>
    <t>In mid-2018, the Hong Kong-based retailer &lt;a href="https://finance.yahoo.com/finance/news/romwe-informs-shoppers-data-security-203054849.html" target="_blank" rel="noopener"&gt;Romwe suffered a data breach which exposed almost 20 million customers&lt;/a&gt;. The data was subsequently sold online and includes names, phone numbers, email and IP addresses, customer geographic locations and passwords stored as salted SHA-1 hashes. The data was provided to HIBP by &lt;a href="https://dehashed.com/" target="_blank" rel="noopener"&gt;dehashed.com&lt;/a&gt;.</t>
  </si>
  <si>
    <t>https://haveibeenpwned.com/Content/Images/PwnedLogos/Romwe.png</t>
  </si>
  <si>
    <t>['Geographic locations', 'IP addresses', 'Names', 'Passwords', 'Phone numbers', 'Physical addresses']</t>
  </si>
  <si>
    <t>RosebuttBoard</t>
  </si>
  <si>
    <t>Rosebutt Board</t>
  </si>
  <si>
    <t>rosebuttboard.com</t>
  </si>
  <si>
    <t>Some time prior to May 2016, &lt;a href="https://motherboard.vice.com/read/rosebuttboard-ip-board" target="_blank" rel="noopener"&gt;the forum known as &amp;quot;Rosebutt Board&amp;quot; was hacked&lt;/a&gt; and 107k accounts were exposed. The self-described &amp;quot;top one board for anal fisting, prolapse, huge insertions and rosebutt fans&amp;quot; had email and IP addresses, usernames and weakly stored salted MD5 password hashes hacked from the IP.Board based forum.</t>
  </si>
  <si>
    <t>https://haveibeenpwned.com/Content/Images/PwnedLogos/RosebuttBoard.png</t>
  </si>
  <si>
    <t>RoyalEnfield</t>
  </si>
  <si>
    <t>Royal Enfield</t>
  </si>
  <si>
    <t>royalenfield.com</t>
  </si>
  <si>
    <t>In January 2020, motorcycle maker &lt;a href="https://www.thequint.com/news/india/royal-enfield-exposed-database-containing-450000-customer-data-cyber-security-expert" target="_blank" rel="noopener"&gt;Royal Enfield left a database publicly exposed that resulted in the inadvertent publication of over 400k customers&lt;/a&gt;. The impacted data included email and physical addresses, names, motorcycle information, social media profiles, passwords, and other personal information. The data was provided to HIBP by a source who requested it be attributed to &amp;quot;white_peacock@riseup.net&amp;quot;.</t>
  </si>
  <si>
    <t>https://haveibeenpwned.com/Content/Images/PwnedLogos/RoyalEnfield.png</t>
  </si>
  <si>
    <t>['Dates of birth', 'Email addresses', 'Genders', 'Names', 'Passwords', 'Phone numbers', 'Physical addresses', 'Social media profiles', 'Vehicle details']</t>
  </si>
  <si>
    <t>RussianAmerica</t>
  </si>
  <si>
    <t>Russian America</t>
  </si>
  <si>
    <t>russianamerica.com</t>
  </si>
  <si>
    <t>In approximately 2017, the website for Russian speakers in America known as &lt;a href="http://www.russianamerica.com/" target="_blank" rel="noopener"&gt;Russian America&lt;/a&gt; suffered a data breach. The incident exposed 183k unique records including names, email addresses, phone numbers and passwords stored in both plain text and as MD5 hashes. Russian America was contacted about the breach but did not respond.</t>
  </si>
  <si>
    <t>https://haveibeenpwned.com/Content/Images/PwnedLogos/RussianAmerica.png</t>
  </si>
  <si>
    <t>SaverSpy</t>
  </si>
  <si>
    <t>In September 2018, &lt;a href="https://www.linkedin.com/pulse/another-e-marketing-database-11-million-records-bob-diachenko/" target="_blank" rel="noopener"&gt;security researcher Bob Diachenko discovered a massive collection of personal details exposed in an unprotected Mongo DB instance&lt;/a&gt;. The data appears to have been used in marketing campaigns (possibly for spam purposes) but had little identifying data about it other than a description of &amp;quot;Yahoo_090618_ SaverSpy&amp;quot;. The data set provided to HIBP had almost 2.5M unique email addresses (all of which were from Yahoo!) alongside names, genders and physical addresses.</t>
  </si>
  <si>
    <t>['Email addresses', 'Genders', 'Names', 'Physical addresses']</t>
  </si>
  <si>
    <t>SCDailyPhoneSpamList</t>
  </si>
  <si>
    <t>SC Daily Phone Spam List</t>
  </si>
  <si>
    <t>data4marketers.com</t>
  </si>
  <si>
    <t>In early 2015, a spam list known as &lt;a href="http://www.data4marketers.com/2015APRspecials.html" target="_blank" rel="noopener"&gt;SC Daily Phone&lt;/a&gt; emerged containing almost 33M identities. The data includes personal attributes such as names, physical and IP addresses, genders, birth dates and phone numbers. &lt;a href="https://www.troyhunt.com/have-i-been-pwned-and-spam-lists-of-personal-information" target="_blank" rel="noopener"&gt;Read more about spam lists in HIBP.&lt;/a&gt;</t>
  </si>
  <si>
    <t>['Dates of birth', 'Email addresses', 'Genders', 'IP addresses', 'Names', 'Physical addresses']</t>
  </si>
  <si>
    <t>Scentbird</t>
  </si>
  <si>
    <t>scentbird.com</t>
  </si>
  <si>
    <t>In June 2020, the online fragrance service &lt;a href="https://www.bleepingcomputer.com/news/security/hacker-leaks-386-million-user-records-from-18-companies-for-free/" target="_blank" rel="noopener"&gt;Scentbird suffered a data breach&lt;/a&gt; that exposed the personal information of over 5.8 million customers. Personal information including names, email addresses, genders, dates of birth, passwords stored as bcrypt hashes and indicators of password strength were all exposed. The data was provided to HIBP by &lt;a href="https://breachbase.pw/" target="_blank" rel="noopener"&gt;breachbase.pw&lt;/a&gt;.</t>
  </si>
  <si>
    <t>https://haveibeenpwned.com/Content/Images/PwnedLogos/Scentbird.png</t>
  </si>
  <si>
    <t>['Dates of birth', 'Email addresses', 'Genders', 'Names', 'Password strengths', 'Passwords']</t>
  </si>
  <si>
    <t>Seedpeer</t>
  </si>
  <si>
    <t>seedpeer.eu</t>
  </si>
  <si>
    <t>In July 2015, the torrent site Seedpeer was hacked and 282k member records were exposed. The data included usernames, email addresses and passwords stored as weak MD5 hashes.</t>
  </si>
  <si>
    <t>https://haveibeenpwned.com/Content/Images/PwnedLogos/Seedpeer.png</t>
  </si>
  <si>
    <t>Sephora</t>
  </si>
  <si>
    <t>sephora.com.au</t>
  </si>
  <si>
    <t>In approximately January 2017, the beauty store &lt;a href="https://www.zdnet.com/article/sephora-data-breach-hits-southeast-asia-and-anz-customers/" target="_blank" rel="noopener"&gt;Sephora suffered a data breach&lt;/a&gt;. Impacting customers in South East Asia, Australia and New Zealand, 780k unique email addresses were included in the breach alongside names, genders, dates of birth, ethnicities and other personal information. The data was provided to HIBP by a source who requested it be attributed to &amp;quot;JimScott.Sec@protonmail.com&amp;quot;.</t>
  </si>
  <si>
    <t>https://haveibeenpwned.com/Content/Images/PwnedLogos/Sephora.png</t>
  </si>
  <si>
    <t>['Dates of birth', 'Email addresses', 'Ethnicities', 'Genders', 'Names', 'Physical attributes']</t>
  </si>
  <si>
    <t>ServerPact</t>
  </si>
  <si>
    <t>serverpact.com</t>
  </si>
  <si>
    <t>In mid-2015, the Dutch Minecraft site &lt;a href="https://twitter.com/serverpact/status/772534083788365829" target="_blank" rel="noopener"&gt;ServerPact was hacked&lt;/a&gt; and 73k accounts were exposed. Along with birth dates, email and IP addresses, the site also exposed SHA1 password hashes with the username as the salt.</t>
  </si>
  <si>
    <t>https://haveibeenpwned.com/Content/Images/PwnedLogos/ServerPact.png</t>
  </si>
  <si>
    <t>Shadi</t>
  </si>
  <si>
    <t>Shadi.com</t>
  </si>
  <si>
    <t>shadi.com</t>
  </si>
  <si>
    <t>In July 2016, the Muslim dating site &lt;a href="https://news.softpedia.com/news/data-from-two-muslim-dating-sites-two-others-dumped-online-506356.shtml" target="_blank" rel="noopener"&gt;Shadi.com suffered a data breach that exposed over 2M members' email addresses&lt;/a&gt;. The breach also exposed passwords stored as MD5 hashes alongside their plain text equivalents. The data was provided to HIBP by a source who requested it be attributed to &amp;quot;fall1984@protonmail.com&amp;quot;.</t>
  </si>
  <si>
    <t>https://haveibeenpwned.com/Content/Images/PwnedLogos/Shadi.png</t>
  </si>
  <si>
    <t>ShareThis</t>
  </si>
  <si>
    <t>sharethis.com</t>
  </si>
  <si>
    <t>In July 2018, the social bookmarking and sharing service &lt;a href="https://www.sharethis.com/data-privacy-incident/" target="_blank" rel="noopener"&gt;ShareThis suffered a data breach&lt;/a&gt;. The incident exposed 41 million unique email addresses alongside names and in some cases, dates of birth and password hashes. In 2019, &lt;a href="https://www.theregister.co.uk/2019/02/11/620_million_hacked_accounts_dark_web/" target="_blank" rel="noopener"&gt;the data appeared listed for sale on a dark web marketplace&lt;/a&gt; (along with several other large breaches) and subsequently began circulating more broadly. The data was provided to HIBP by &lt;a href="https://dehashed.com/" target="_blank" rel="noopener"&gt;dehashed.com&lt;/a&gt;.</t>
  </si>
  <si>
    <t>https://haveibeenpwned.com/Content/Images/PwnedLogos/ShareThis.png</t>
  </si>
  <si>
    <t>SHEIN</t>
  </si>
  <si>
    <t>shein.com</t>
  </si>
  <si>
    <t>In June 2018, online fashion retailer &lt;a href="https://www.zdnet.com/article/shein-fashion-retailer-announces-breach-affecting-6-42-million-users/" target="_blank" rel="noopener"&gt;SHEIN suffered a data breach&lt;/a&gt;. The company discovered the breach 2 months later in August then disclosed the incident another month after that. A total of 39 million unique email addresses were found in the breach alongside MD5 password hashes. The data was provided to HIBP by a source who requested it be attributed to &amp;quot;JimScott.Sec@protonmail.com&amp;quot;.</t>
  </si>
  <si>
    <t>https://haveibeenpwned.com/Content/Images/PwnedLogos/SHEIN.png</t>
  </si>
  <si>
    <t>Shitexpress</t>
  </si>
  <si>
    <t>shitexpress.com</t>
  </si>
  <si>
    <t>In August 2022, the online faeces delivery service &lt;a href="https://www.bleepingcomputer.com/news/security/anonymous-poop-gifting-site-hacked-customers-exposed/" target="_blank" rel="noopener"&gt;Shitexpress suffered a data breach that exposed 24k unique email addresses&lt;/a&gt;. The addresses spanned invoices, gift cards, promotions and PayPal records. The breach also exposed the IP and email addresses of senders, physical addresses of recipients and messages accompanying the shit delivery.</t>
  </si>
  <si>
    <t>https://haveibeenpwned.com/Content/Images/PwnedLogos/Shitexpress.png</t>
  </si>
  <si>
    <t>['Email addresses', 'IP addresses', 'Names', 'Physical addresses', 'Private messages', 'Purchases']</t>
  </si>
  <si>
    <t>ShockGore</t>
  </si>
  <si>
    <t>shockgore.com</t>
  </si>
  <si>
    <t>In August 2020, the website for sharing graphic videos and images of gore and animal cruelty suffered a data breach. The breach exposed 74k unique email addresses alongside usernames, IP addresses, genders and unsalted SHA-1 password hashes. Private messages were also exposed, many containing requests for material of a depraved nature. The data was provided to HIBP by a source who requested it be attributed to &amp;quot;white_peacock@riseup.net&amp;quot;.</t>
  </si>
  <si>
    <t>https://haveibeenpwned.com/Content/Images/PwnedLogos/ShockGore.png</t>
  </si>
  <si>
    <t>ShopBack</t>
  </si>
  <si>
    <t>shopback.com</t>
  </si>
  <si>
    <t>In September 2020, the cashback reward program &lt;a href="https://support.shopback.com.au/hc/en-us/articles/360054141274-Customer-Notice-FAQs" target="_blank" rel="noopener"&gt;ShopBack suffered a data breach&lt;/a&gt;. The incident exposed over 20 million unique email addresses along with names, phone numbers, country of residence and passwords stored as salted SHA-1 hashes. The data was provided to HIBP by &lt;a href="https://dehashed.com/" target="_blank" rel="noopener"&gt;dehashed.com&lt;/a&gt;.</t>
  </si>
  <si>
    <t>https://haveibeenpwned.com/Content/Images/PwnedLogos/ShopBack.png</t>
  </si>
  <si>
    <t>ShortEdition</t>
  </si>
  <si>
    <t>Short Ãƒâ€°dition</t>
  </si>
  <si>
    <t>short-edition.com</t>
  </si>
  <si>
    <t>In June 2021, the French publishing house of short literature &lt;a href="https://short-edition.com/en/p/cyber-attack" target="_blank" rel="noopener"&gt;Short Ãƒâ€°dition suffered a data breach that exposed 505k records&lt;/a&gt;. Impacted data included email and physical addresses, names, usernames, phone numbers, dates of birth, genders and passwords stored as either salted SHA-1 or salted SHA-512 hashes. Short Ãƒâ€°dition self-submitted the impacted data to HIBP.</t>
  </si>
  <si>
    <t>https://haveibeenpwned.com/Content/Images/PwnedLogos/ShortEdition.png</t>
  </si>
  <si>
    <t>['Dates of birth', 'Email addresses', 'Genders', 'Names', 'Passwords', 'Phone numbers', 'Physical addresses', 'Social media profiles', 'Usernames']</t>
  </si>
  <si>
    <t>Shotbow</t>
  </si>
  <si>
    <t>shotbow.net</t>
  </si>
  <si>
    <t>In May 2016, the multiplayer server for Minecraft service &lt;a href="https://shotbow.net/forum/threads/security-data-breach-and-information-leak.346321/" target="_blank" rel="noopener"&gt;Shotbow announced they'd suffered a data breach&lt;/a&gt;. The incident resulted in the exposure of over 1 million unique email addresses, usernames and salted SHA-256 password hashes.</t>
  </si>
  <si>
    <t>https://haveibeenpwned.com/Content/Images/PwnedLogos/Shotbow.png</t>
  </si>
  <si>
    <t>SirHurt</t>
  </si>
  <si>
    <t>sirhurt.net</t>
  </si>
  <si>
    <t>In April 2021, the the Roblox cheats website &lt;a href="https://wearedevs.net/forum/t/20397" target="_blank" rel="noopener"&gt;SirHurt suffered a data breach&lt;/a&gt; that exposed over 90k customer records. The exposed data included email and IP addresses, usernames and passwords stored as MD5 hashes.</t>
  </si>
  <si>
    <t>https://haveibeenpwned.com/Content/Images/PwnedLogos/SirHurt.png</t>
  </si>
  <si>
    <t>SitePoint</t>
  </si>
  <si>
    <t>sitepoint.com</t>
  </si>
  <si>
    <t>In June 2020, the web development site &lt;a href="https://www.bleepingcomputer.com/news/security/sitepoint-discloses-data-breach-after-stolen-info-used-in-attacks/" target="_blank" rel="noopener"&gt;SitePoint suffered a data breach that exposed over 1M customer records&lt;/a&gt;. Impacted data included email and IP addresses, names, usernames, bios and passwords stored as bcrypt hashes.</t>
  </si>
  <si>
    <t>https://haveibeenpwned.com/Content/Images/PwnedLogos/SitePoint.png</t>
  </si>
  <si>
    <t>['Bios', 'Email addresses', 'IP addresses', 'Names', 'Passwords', 'Usernames']</t>
  </si>
  <si>
    <t>SkTorrent</t>
  </si>
  <si>
    <t>sktorrent.eu</t>
  </si>
  <si>
    <t>In February 2016, the Slovak torrent tracking site SkTorrent &lt;a href="http://tech.sme.sk/c/20099331/hackeri-ukradli-na-slovensku-118-tisic-identit.html" target="_blank" rel="noopener"&gt;was hacked and over 117k records leaked online&lt;/a&gt;. The data dump included usernames, email addresses and passwords stored in plain text.</t>
  </si>
  <si>
    <t>https://haveibeenpwned.com/Content/Images/PwnedLogos/SkTorrent.png</t>
  </si>
  <si>
    <t>Slickwraps</t>
  </si>
  <si>
    <t>slickwraps.com</t>
  </si>
  <si>
    <t>In February 2020, the online store for consumer electronics wraps &lt;a href="https://www.slickwraps.com/blog/update/" target="_blank" rel="noopener"&gt;Slickwraps suffered a data breach&lt;/a&gt;. The incident resulted in the exposure of 858k unique email addresses across customer records and newsletter subscribers. Additional impacted data included names, physical addresses, phone numbers and purchase histories.</t>
  </si>
  <si>
    <t>https://haveibeenpwned.com/Content/Images/PwnedLogos/Slickwraps.png</t>
  </si>
  <si>
    <t>SlideTeam</t>
  </si>
  <si>
    <t>slideteam.net</t>
  </si>
  <si>
    <t>In April 2021, the &amp;quot;worldÃ¢â‚¬â„¢s largest collection of pre-designed presentation slides&amp;quot; &lt;a href="https://news.kaduu.ch/2022/08/25/worlds-largest-supplier-of-powerpoint-content-hacked/" target="_blank" rel="noopener"&gt;SlideTeam had 1.4M records breached and later published to a popular hacking forum the following year&lt;/a&gt;. Allegedly sourced from a compromised Magento instance, the data included names, email addresses and passwords stored as salted hashes.</t>
  </si>
  <si>
    <t>https://haveibeenpwned.com/Content/Images/PwnedLogos/SlideTeam.png</t>
  </si>
  <si>
    <t>Smogon</t>
  </si>
  <si>
    <t>smogon.com</t>
  </si>
  <si>
    <t>In April 2018, the PokÃƒÂ©mon website known as &lt;a href="https://www.smogon.com/forums/threads/we-were-hacked-recently-you-may-potentially-want-to-change-your-passwords.3632265/" target="_blank" rel="noopener"&gt;Smogon announced they'd suffered  a data breach&lt;/a&gt;. The breach dated back to September 2017 and affected their XenForo based forum. The exposed data included usernames, email addresses, genders and both bcrypt and MD5 password hashes.</t>
  </si>
  <si>
    <t>https://haveibeenpwned.com/Content/Images/PwnedLogos/Smogon.png</t>
  </si>
  <si>
    <t>['Email addresses', 'Genders', 'Geographic locations', 'Passwords', 'Usernames', 'Website activity']</t>
  </si>
  <si>
    <t>Snail</t>
  </si>
  <si>
    <t>snail.com</t>
  </si>
  <si>
    <t>In March 2015, the gaming website &lt;a href="https://www.technadu.com/emuparadise-1-1-million-user-data-breach/70025/" target="_blank" rel="noopener"&gt;Snail suffered a data breach&lt;/a&gt; that impacted 1.4 million subscribers. The impacted data included usernames, IP and email addresses and passwords stored as unsalted MD5 hashes. The data was provided to HIBP by &lt;a href="https://dehashed.com/" target="_blank" rel="noopener"&gt;dehashed.com&lt;/a&gt;.</t>
  </si>
  <si>
    <t>https://haveibeenpwned.com/Content/Images/PwnedLogos/Snail.png</t>
  </si>
  <si>
    <t>Snapchat</t>
  </si>
  <si>
    <t>snapchat.com</t>
  </si>
  <si>
    <t>In January 2014 just one week after &lt;a href="http://gibsonsec.org/snapchat/fulldisclosure/" target="_blank" rel="noopener"&gt;Gibson Security detailed vulnerabilities in the service&lt;/a&gt;, Snapchat had 4.6 million usernames and phone number exposed. The attack involved &lt;a href="http://www.troyhunt.com/2014/01/searching-snapchat-data-breach-with.html" target="_blank" rel="noopener"&gt;brute force enumeration of a large number of phone numbers&lt;/a&gt; against the Snapchat API in what appears to be a response to Snapchat's assertion that such an attack was &amp;quot;theoretical&amp;quot;. Consequently, the breach enabled individual usernames (which are often used across other services) to be resolved to phone numbers which users usually wish to keep private.</t>
  </si>
  <si>
    <t>https://haveibeenpwned.com/Content/Images/PwnedLogos/Snapchat.png</t>
  </si>
  <si>
    <t>['Geographic locations', 'Phone numbers', 'Usernames']</t>
  </si>
  <si>
    <t>SocialEngineered</t>
  </si>
  <si>
    <t>Social Engineered</t>
  </si>
  <si>
    <t>socialengineered.net</t>
  </si>
  <si>
    <t>In June 2019, the &amp;quot;Art of Human Hacking&amp;quot; site &lt;a href="https://socialengineered.net" target="_blank" rel="noopener"&gt;Social Engineered&lt;/a&gt; suffered a data breach. The breach of the MyBB forum was published on a rival hacking forum and included 89k unique email addresses spread across 55k forum users and other tables in the database. The exposed data also included usernames, IP addresses, private messages and passwords stored as salted MD5 hashes.</t>
  </si>
  <si>
    <t>https://haveibeenpwned.com/Content/Images/PwnedLogos/SocialEngineered.png</t>
  </si>
  <si>
    <t>SIAE</t>
  </si>
  <si>
    <t>SocietÃƒÂ  Italiana degli Autori ed Editori</t>
  </si>
  <si>
    <t>siae.it</t>
  </si>
  <si>
    <t>In November 2018, the SocietÃƒÂ  Italiana degli Autori ed Editori (Italian Society of Authors and Publishers, or SIAE) &lt;a href="https://www.repubblica.it/tecnologia/sicurezza/2018/11/03/news/tecnologia_altro_attacco_di_anonplus_bucato_il_sito_della_siae_e_rubati_4_giga_di_dati-210654944/?ref=search" target="_blank" rel="noopener"&gt;was hacked, defaced and almost 4GB of data leaked publicly via Twitter&lt;/a&gt;. The data included over 14k registered users' names, email addresses and passwords.</t>
  </si>
  <si>
    <t>https://haveibeenpwned.com/Content/Images/PwnedLogos/SIAE.png</t>
  </si>
  <si>
    <t>['Email addresses', 'IP addresses', 'Names', 'Passwords', 'Phone numbers']</t>
  </si>
  <si>
    <t>Sonicbids</t>
  </si>
  <si>
    <t>sonicbids.com</t>
  </si>
  <si>
    <t>In December 2019, the booking website &lt;a href="https://oag.ca.gov/system/files/Sonicbids%20-%20%20CA.pdf" target="_blank" rel="noopener"&gt;Sonicbids suffered a data breach&lt;/a&gt; which they attributed to &amp;quot;a data privacy event involving our third-party cloud hosting services&amp;quot;. The breach contained 752k user records including names and usernames, email addresses and passwords stored as PBKDF2 hashes. The data was provided to HIBP by &lt;a href="https://breachbase.pw/" target="_blank" rel="noopener"&gt;breachbase.pw&lt;/a&gt;.</t>
  </si>
  <si>
    <t>https://haveibeenpwned.com/Content/Images/PwnedLogos/Sonicbids.png</t>
  </si>
  <si>
    <t>Sony</t>
  </si>
  <si>
    <t>sony.com</t>
  </si>
  <si>
    <t>In 2011, Sony suffered breach after breach after breach &amp;mdash; it was a &lt;em&gt;very&lt;/em&gt; bad year for them. The breaches spanned various areas of the business ranging from the PlayStation network all the way through to the motion picture arm, Sony Pictures. A SQL Injection vulnerability in &lt;a href="http://www.sonypictures.com" target="_blank" rel="noopener"&gt;sonypictures.com&lt;/a&gt; lead to &lt;a href="http://www.troyhunt.com/2011/06/brief-sony-password-analysis.html" target="_blank" rel="noopener"&gt;tens of thousands of accounts across multiple systems being exposed&lt;/a&gt; complete with plain text passwords.</t>
  </si>
  <si>
    <t>https://haveibeenpwned.com/Content/Images/PwnedLogos/Sony.png</t>
  </si>
  <si>
    <t>['Dates of birth', 'Email addresses', 'Genders', 'Names', 'Passwords', 'Phone numbers', 'Physical addresses', 'Usernames']</t>
  </si>
  <si>
    <t>Soundwave</t>
  </si>
  <si>
    <t>soundwave.com</t>
  </si>
  <si>
    <t>In approximately mid 2015, the music tracking app &lt;a href="http://www.soundwave.com/help/" target="_blank" rel="noopener"&gt;Soundwave suffered a data breach&lt;/a&gt;. The breach stemmed from an incident whereby &amp;quot;production data had been used to populate the test database&amp;quot; and was then inadvertently  exposed in a MongoDB. The data contained 130k records and included email addresses, dates of birth, genders and MD5 hashes of passwords without a salt.</t>
  </si>
  <si>
    <t>https://haveibeenpwned.com/Content/Images/PwnedLogos/Soundwave.png</t>
  </si>
  <si>
    <t>['Dates of birth', 'Email addresses', 'Genders', 'Geographic locations', 'Names', 'Passwords', 'Social connections']</t>
  </si>
  <si>
    <t>SpecialKSpamList</t>
  </si>
  <si>
    <t>Special K Data Feed Spam List</t>
  </si>
  <si>
    <t>In mid to late 2015, a spam list known as the &lt;a href="http://www.data4marketers.com/d4m_SpecialKfeed2015.html" target="_blank" rel="noopener"&gt;Special K Data Feed&lt;/a&gt; was discovered containing almost 31M identities. The data includes personal attributes such as names, physical and IP addresses, genders, birth dates and phone numbers. &lt;a href="https://www.troyhunt.com/have-i-been-pwned-and-spam-lists-of-personal-information" target="_blank" rel="noopener"&gt;Read more about spam lists in HIBP.&lt;/a&gt;</t>
  </si>
  <si>
    <t>Spirol</t>
  </si>
  <si>
    <t>spirol.com</t>
  </si>
  <si>
    <t>In February 2014, Connecticut based Spirol Fastening Solutions &lt;a href="http://news.softpedia.com/news/Details-of-70-000-Users-Leaked-by-Hackers-From-Systems-of-SPIROL-International-428669.shtml" target="_blank" rel="noopener"&gt;suffered a data breach that exposed over 70,000 customer records&lt;/a&gt;. The attack was allegedly mounted by exploiting a SQL injection vulnerability which yielded data from SpirolÃ¢â‚¬â„¢s CRM system ranging from customersÃ¢â‚¬â„¢ names, companies, contact information and over 55,000 unique email addresses.</t>
  </si>
  <si>
    <t>https://haveibeenpwned.com/Content/Images/PwnedLogos/Spirol.png</t>
  </si>
  <si>
    <t>SpyFone</t>
  </si>
  <si>
    <t>spyfone.com</t>
  </si>
  <si>
    <t>In August 2018, the spyware company &lt;a href="https://motherboard.vice.com/en_us/article/9kmj4v/spyware-company-spyfone-terabytes-data-exposed-online-leak" target="_blank" rel="noopener"&gt;SpyFone left terabytes of data publicly exposed&lt;/a&gt;. Collected surreptitiously whilst the targets were using their devices, the data included photos, audio recordings, text messages and browsing history which were then exposed via a number of misconfigurations within SpyFone's systems. The data belonged the thousands of SpyFone customers and included 44k unique email addresses, many likely belonging to people the targeted phones had contact with.</t>
  </si>
  <si>
    <t>https://haveibeenpwned.com/Content/Images/PwnedLogos/SpyFone.png</t>
  </si>
  <si>
    <t>['Audio recordings', 'Browsing histories', 'Device information', 'Email addresses', 'Geographic locations', 'IMEI numbers', 'IP addresses', 'Names', 'Passwords', 'Photos', 'SMS messages']</t>
  </si>
  <si>
    <t>Staminus</t>
  </si>
  <si>
    <t>staminus.net</t>
  </si>
  <si>
    <t>In March 2016, the DDoS protection service &lt;a href="https://krebsonsecurity.com/2016/03/hackers-target-anti-ddos-firm-staminus/" target="_blank" rel="noopener"&gt;Staminus was &amp;quot;massively hacked&amp;quot;&lt;/a&gt; resulting in an outage of more than 20 hours and the disclosure of customer credentials (with unsalted MD5 hashes), support tickets, credit card numbers and other sensitive data. 27k unique email addresses were found in the data which was subsequently released to the public. Staminus is no longer in operation.</t>
  </si>
  <si>
    <t>https://haveibeenpwned.com/Content/Images/PwnedLogos/Staminus.png</t>
  </si>
  <si>
    <t>['Credit cards', 'Email addresses', 'IP addresses', 'Passwords', 'Support tickets', 'Usernames']</t>
  </si>
  <si>
    <t>StarNet</t>
  </si>
  <si>
    <t>starnet.md</t>
  </si>
  <si>
    <t>In February 2015, the Moldavian ISP &amp;quot;StarNet&amp;quot; &lt;a href="http://www.moldova.org/the-database-of-an-internet-provider-from-moldova-was-stolen-and-published/" target="_blank" rel="noopener"&gt;had it's database published online&lt;/a&gt;. The dump included nearly 140k email addresses, many with personal details including contact information, usage patterns of the ISP and even passport numbers.</t>
  </si>
  <si>
    <t>https://haveibeenpwned.com/Content/Images/PwnedLogos/StarNet.png</t>
  </si>
  <si>
    <t>['Customer interactions', 'Dates of birth', 'Email addresses', 'Genders', 'IP addresses', 'MAC addresses', 'Names', 'Passport numbers', 'Passwords', 'Phone numbers']</t>
  </si>
  <si>
    <t>Start</t>
  </si>
  <si>
    <t>START</t>
  </si>
  <si>
    <t>start.film</t>
  </si>
  <si>
    <t>In August 2022, &lt;a href="https://meduza.io/news/2022/08/28/v-set-popali-dannye-44-millionov-polzovateley-onlayn-kinoteatra-start" target="_blank" rel="noopener"&gt;news broke of an attack against the Russian streaming service &amp;quot;START&amp;quot;&lt;/a&gt;. The incident led to the exposure of 44M records containing 7.4M unique email addresses. The impacted data also included the subscriber's country and password hash. START subsequently &lt;a href="https://t.me/start_shows/1181" target="_blank" rel="noopener"&gt;acknowledged the incident in a Telegram post&lt;/a&gt; and stated that the data dated back to 2021.</t>
  </si>
  <si>
    <t>https://haveibeenpwned.com/Content/Images/PwnedLogos/Start.png</t>
  </si>
  <si>
    <t>['Email addresses', 'Geographic locations', 'Names', 'Passwords']</t>
  </si>
  <si>
    <t>StarTribune</t>
  </si>
  <si>
    <t>startribune.com</t>
  </si>
  <si>
    <t>In October 2019, the Minnesota-based news service &lt;a href="https://www.startribune.com/hacker-group-claims-to-have-stolen-star-tribune-user-information/570384542/" target="_blank" rel="noopener"&gt;StarTribune suffered a data breach&lt;/a&gt; which was subsequently sold on the dark web. The breach exposed over 2 million unique email addresses alongside names, usernames, physical addresses, dates of birth, genders and passwords stored as bcrypt hashes. The data was provided to HIBP by &lt;a href="https://dehashed.com/" target="_blank" rel="noopener"&gt;dehashed.com&lt;/a&gt;.</t>
  </si>
  <si>
    <t>https://haveibeenpwned.com/Content/Images/PwnedLogos/StarTribune.png</t>
  </si>
  <si>
    <t>['Dates of birth', 'Email addresses', 'Genders', 'Names', 'Passwords', 'Physical addresses', 'Usernames']</t>
  </si>
  <si>
    <t>SterKinekor</t>
  </si>
  <si>
    <t>Ster-Kinekor</t>
  </si>
  <si>
    <t>sterkinekor.co.za</t>
  </si>
  <si>
    <t>In 2016, the South African cinema company &lt;a href="http://blog.roguecode.co.za/sterkinekor-vulnerability-download-millions-accounts" target="_blank" rel="noopener"&gt;Ster-Kinekor had a security flaw&lt;/a&gt; which leaked a large amount of customer data via an enumeration vulnerability in the API of their old website. Whilst more than 6 million accounts were leaked by the flaw, the exposed data only contained 1.6 million unique email addresses. The data also included extensive personal information such as names, addresses, birthdates, genders and plain text passwords.</t>
  </si>
  <si>
    <t>https://haveibeenpwned.com/Content/Images/PwnedLogos/SterKinekor.png</t>
  </si>
  <si>
    <t>['Dates of birth', 'Email addresses', 'Genders', 'Names', 'Passwords', 'Phone numbers', 'Physical addresses', 'Spoken languages']</t>
  </si>
  <si>
    <t>StockX</t>
  </si>
  <si>
    <t>stockx.com</t>
  </si>
  <si>
    <t>In July 2019, the fashion and sneaker trading platform &lt;a href="https://stockx.com/news/update-on-data-security-issue/" target="_blank" rel="noopener"&gt;StockX suffered a data breach&lt;/a&gt; which was subsequently sold via a dark webmarketplace. The exposed data included 6.8 million unique email addresses, names, physical addresses, purchases and passwords stored as salted MD5 hashes. The data was provided to HIBP by &lt;a href="https://dehashed.com/" target="_blank" rel="noopener"&gt;dehashed.com&lt;/a&gt;.</t>
  </si>
  <si>
    <t>https://haveibeenpwned.com/Content/Images/PwnedLogos/StockX.png</t>
  </si>
  <si>
    <t>['Email addresses', 'Names', 'Passwords', 'Physical addresses', 'Purchases', 'Usernames']</t>
  </si>
  <si>
    <t>StoryBird</t>
  </si>
  <si>
    <t>storybird.com</t>
  </si>
  <si>
    <t>In August 2015, the storytelling service &lt;a href="https://www.zdnet.com/article/hacker-puts-up-for-sale-third-round-of-hacked-databases-on-the-dark-web/" target="_blank" rel="noopener"&gt;StoryBird suffered a data breach&lt;/a&gt; exposing 4 million records with 1 million unique email addresses. Impacted data also included names, usernames and passwords stored as PBKDF2 hashes. The data was provided to HIBP by &lt;a href="https://dehashed.com/" target="_blank" rel="noopener"&gt;dehashed.com&lt;/a&gt;.</t>
  </si>
  <si>
    <t>https://haveibeenpwned.com/Content/Images/PwnedLogos/StoryBird.png</t>
  </si>
  <si>
    <t>Straffic</t>
  </si>
  <si>
    <t>straffic.io</t>
  </si>
  <si>
    <t>In February 2020, Israeli marketing company &lt;a href="https://www.databreachtoday.com/israeli-marketing-company-exposes-contacts-database-a-13785" target="_blank" rel="noopener"&gt;Straffic exposed a database with 140GB of personal data&lt;/a&gt;. The publicly accessible Elasticsearch database contained over 300M rows with 49M unique email addresses. Exposed data also included names, phone numbers, physical addresses and genders. In &lt;a href="https://straffic.io/updates.php" target="_blank" rel="noopener"&gt;their breach disclosure message&lt;/a&gt;, Straffic stated that &amp;quot;it is impossible to create a totally immune system, and these things can occur&amp;quot;.</t>
  </si>
  <si>
    <t>https://haveibeenpwned.com/Content/Images/PwnedLogos/Straffic.png</t>
  </si>
  <si>
    <t>['Email addresses', 'Genders', 'Names', 'Phone numbers', 'Physical addresses']</t>
  </si>
  <si>
    <t>Stratfor</t>
  </si>
  <si>
    <t>stratfor.com</t>
  </si>
  <si>
    <t>In December 2011, &amp;quot;Anonymous&amp;quot; &lt;a href="http://www.troyhunt.com/2011/12/5-website-security-lessons-courtesy-of.html" target="_blank" rel="noopener"&gt;attacked the global intelligence company known as &amp;quot;Stratfor&amp;quot;&lt;/a&gt; and consequently disclosed a veritable treasure trove of data including hundreds of gigabytes of email and tens of thousands of credit card details which were promptly used by the attackers to make charitable donations (among other uses). The breach also included 860,000 user accounts complete with email address, time zone, some internal system data and MD5 hashed passwords with no salt.</t>
  </si>
  <si>
    <t>https://haveibeenpwned.com/Content/Images/PwnedLogos/Stratfor.png</t>
  </si>
  <si>
    <t>['Credit cards', 'Email addresses', 'Names', 'Passwords', 'Phone numbers', 'Physical addresses', 'Usernames']</t>
  </si>
  <si>
    <t>StreetEasy</t>
  </si>
  <si>
    <t>streeteasy.com</t>
  </si>
  <si>
    <t>In approximately June 2016, the real estate website &lt;a href="https://therealdeal.com/2019/02/19/a-million-streeteasy-accounts-hacked/" target="_blank" rel="noopener"&gt;StreetEasy suffered a data breach&lt;/a&gt;. In total, 988k unique email addresses were included in the breach alongside names, usernames and SHA-1 hashes of passwords, all of which appeared for sale on a dark web marketplace in February 2019. The data was provided to HIBP by a source who requested it be attributed to &amp;quot;JimScott.Sec@protonmail.com&amp;quot;.</t>
  </si>
  <si>
    <t>https://haveibeenpwned.com/Content/Images/PwnedLogos/StreetEasy.png</t>
  </si>
  <si>
    <t>Stripchat</t>
  </si>
  <si>
    <t>stripchat.com</t>
  </si>
  <si>
    <t>In November 2021, the live sex cams and adult chat website &lt;a href="https://www.bitdefender.com.au/blog/hotforsecurity/unsecure-server-exposed-200-million-records-of-adult-webcam-models-and-users-online/" target="_blank" rel="noopener"&gt;Stripchat left several databases exposed and unsecured&lt;/a&gt;. In June the following year, over 10M Stripchat records appeared on a popular hacking forum. The exposed data included usernames, email addresses and IP addresses.</t>
  </si>
  <si>
    <t>https://haveibeenpwned.com/Content/Images/PwnedLogos/Stripchat.png</t>
  </si>
  <si>
    <t>StrongholdKingdoms</t>
  </si>
  <si>
    <t>Stronghold Kingdoms</t>
  </si>
  <si>
    <t>strongholdkingdoms.com</t>
  </si>
  <si>
    <t>In July 2018, the massive multiplayer online game &lt;a href="https://techraptor.net/content/roll20-stronghold-kingdoms-subject-security-breach" target="_blank" rel="noopener"&gt;Stronghold Kingdoms suffered a data breach&lt;/a&gt;. Almost 5.2 million accounts were impacted by the incident which exposed emails addresses, usernames and passwords stored as salted SHA-1 hashes. The data was provided to HIBP by a source who requested it be attributed to &amp;quot;JimScott.Sec@protonmail.com&amp;quot;.</t>
  </si>
  <si>
    <t>https://haveibeenpwned.com/Content/Images/PwnedLogos/StrongholdKingdoms.png</t>
  </si>
  <si>
    <t>SubaGames</t>
  </si>
  <si>
    <t>subagames.com</t>
  </si>
  <si>
    <t>In November 2016, the game developer &lt;a href="https://www.hackread.com/vbulletin-forums-hacked-accounts-sold-on-dark-web/" target="_blank" rel="noopener"&gt;Suba Games suffered a data breach&lt;/a&gt; which led to the exposure of 6.1M unique email addresses. Impacted data also included usernames and passwords, most of which appeared circulating in the breached file in plain text after being cracked from salted MD5 hashes. The data was provided to HIBP by &lt;a href="https://dehashed.com/" target="_blank" rel="noopener"&gt;dehashed.com&lt;/a&gt;.</t>
  </si>
  <si>
    <t>https://haveibeenpwned.com/Content/Images/PwnedLogos/SubaGames.png</t>
  </si>
  <si>
    <t>SumoTorrent</t>
  </si>
  <si>
    <t>Sumo Torrent</t>
  </si>
  <si>
    <t>sumotorrent.sx</t>
  </si>
  <si>
    <t>In June 2014, the torrent site Sumo Torrent was hacked and 285k member records were exposed. The data included IP addresses, email addresses and passwords stored as weak MD5 hashes.</t>
  </si>
  <si>
    <t>https://haveibeenpwned.com/Content/Images/PwnedLogos/SumoTorrent.png</t>
  </si>
  <si>
    <t>SuperVPNGeckoVPN</t>
  </si>
  <si>
    <t>SuperVPN &amp; GeckoVPN</t>
  </si>
  <si>
    <t>In February 2021, &lt;a href="https://cybernews.com/security/one-of-the-biggest-android-vpns-hacked-data-of-21-million-users-from-3-android-vpns-put-for-sale-online/" target="_blank" rel="noopener"&gt;a series of &amp;quot;free&amp;quot; VPN services were breached including SuperVPN and GeckoVPN&lt;/a&gt;, exposing over 20M records. The data appeared together in a single file with a small number of records also included from FlashVPN, suggesting that all three brands may share the same platform. Impacted data also included email addresses, the country logged in from and the date and time each login occurred alongside device information including the make and model, IMSI number and serial number. The data was provided to HIBP by a source who requested it be attributed to redredred@riseup.net.</t>
  </si>
  <si>
    <t>https://haveibeenpwned.com/Content/Images/PwnedLogos/SuperVPNGeckoVPN.png</t>
  </si>
  <si>
    <t>['Device information', 'Device serial numbers', 'Email addresses', 'Geographic locations', 'IMSI numbers', 'Login histories']</t>
  </si>
  <si>
    <t>SvenskaMagic</t>
  </si>
  <si>
    <t>svenskamagic.com</t>
  </si>
  <si>
    <t>Sometime in 2015, the Swedish magic website &lt;a href="https://www.svenskamagic.com/" target="_blank" rel="noopener"&gt;SvenskaMagic&lt;/a&gt; suffered a data breach that exposed over 30k records. The compromised data included usernames, email addresses and MD5 password hashes. The data was self-submitted to HIBP by SvenskaMagic.</t>
  </si>
  <si>
    <t>https://haveibeenpwned.com/Content/Images/PwnedLogos/SvenskaMagic.png</t>
  </si>
  <si>
    <t>SweClockers</t>
  </si>
  <si>
    <t>SweClockers.com</t>
  </si>
  <si>
    <t>sweclockers.com</t>
  </si>
  <si>
    <t>In early 2015, the Swedish tech news site &lt;a href="http://www.sweclockers.com/nyhet/20800-sweclockers-drabbas-av-dataintrang" target="_blank" rel="noopener"&gt;SweClockers was hacked&lt;/a&gt; and 255k accounts were exposed. The attack led to the exposure of usernames, email addresses and salted hashes of passwords stored with a combination of MD5 and SHA512.</t>
  </si>
  <si>
    <t>https://haveibeenpwned.com/Content/Images/PwnedLogos/SweClockers.png</t>
  </si>
  <si>
    <t>Swvl</t>
  </si>
  <si>
    <t>swvl.com</t>
  </si>
  <si>
    <t>In June 2020, the Egyptian bus operator &lt;a href="https://portswigger.net/daily-swig/egyptian-bus-operator-swvl-hit-by-data-breach" target="_blank" rel="noopener"&gt;Swvl suffered a data breach&lt;/a&gt; which impacted over 4 million members of the service. The exposed data included names, email addresses, phone numbers, profile photos, partial credit card data (type and last 4 digits) and passwords stored as bcrypt hashes, all of which was subsequently shared extensively throughout online hacking communities. The data was provided to HIBP by &lt;a href="https://breachbase.pw/" target="_blank" rel="noopener"&gt;breachbase.pw&lt;/a&gt;.</t>
  </si>
  <si>
    <t>https://haveibeenpwned.com/Content/Images/PwnedLogos/Swvl.png</t>
  </si>
  <si>
    <t>['Email addresses', 'Names', 'Partial credit card data', 'Passwords', 'Phone numbers', 'Profile photos']</t>
  </si>
  <si>
    <t>TaiLieu</t>
  </si>
  <si>
    <t>tailieu.vn</t>
  </si>
  <si>
    <t>In November 2019, the Vietnamese education website &lt;a href="https://tailieu.vn/" target="_blank" rel="noopener"&gt;TaiLieu&lt;/a&gt; allegedly suffered a data breach exposing 7.3M customer records. Impacted data included names and usernames, email addresses, dates of birth, genders and passwords stored as unsalted MD5 hashes. The data was provided to HIBP by &lt;a href="https://dehashed.com/" target="_blank" rel="noopener"&gt;dehashed.com&lt;/a&gt; after being shared on a popular hacking forum. TaiLieu did not respond when contacted about the incident.</t>
  </si>
  <si>
    <t>https://haveibeenpwned.com/Content/Images/PwnedLogos/TaiLieu.png</t>
  </si>
  <si>
    <t>['Dates of birth', 'Email addresses', 'Genders', 'Geographic locations', 'Names', 'Passwords', 'Phone numbers', 'Usernames']</t>
  </si>
  <si>
    <t>Tamodo</t>
  </si>
  <si>
    <t>tamodo.com</t>
  </si>
  <si>
    <t>In February 2020, the affiliate marketing network &lt;a href="https://www.tamodo.com/" target="_blank" rel="noopener"&gt;Tamodo&lt;/a&gt; suffered a data breach which was subsequently shared on a popular hacking forum. The incident exposed almost 500k accounts including names, email addresses, dates of birth and passwords stored as bcrypt hashes. Tamodo failed to respond to multiple attempts to report the breach via published communication channels.</t>
  </si>
  <si>
    <t>https://haveibeenpwned.com/Content/Images/PwnedLogos/Tamodo.png</t>
  </si>
  <si>
    <t>['Dates of birth', 'Email addresses', 'Genders', 'Geographic locations', 'IP addresses', 'Names', 'Passwords']</t>
  </si>
  <si>
    <t>Taobao</t>
  </si>
  <si>
    <t>taobao.com</t>
  </si>
  <si>
    <t>In approximately 2012, it's alleged that the Chinese shopping site known as &lt;a href="https://www.taobao.com" target="_blank" rel="noopener"&gt;Taobao&lt;/a&gt; suffered a data breach that impacted over 21 million subscribers. Whilst there is evidence that the data is legitimate, due to the difficulty of emphatically verifying the Chinese breach it has been flagged as &amp;quot;unverified&amp;quot;. The data in the breach contains email addresses and plain text passwords. &lt;a href="https://www.troyhunt.com/handling-chinese-data-breaches-in-have-i-been-pwned/" target="_blank" rel="noopener"&gt;Read more about Chinese data breaches in Have I Been Pwned.&lt;/a&gt;</t>
  </si>
  <si>
    <t>https://haveibeenpwned.com/Content/Images/PwnedLogos/Taobao.png</t>
  </si>
  <si>
    <t>TAPAirPortugal</t>
  </si>
  <si>
    <t>TAP Air Portugal</t>
  </si>
  <si>
    <t>flytap.com</t>
  </si>
  <si>
    <t>In August 2022, the Portuguese airline &lt;a href="https://www.bleepingcomputer.com/news/security/ragnar-locker-ransomware-claims-attack-on-portugals-flag-airline/" target="_blank" rel="noopener"&gt;TAP Air Portugal was the target of a ransomware attack perpetrated by the Ragnar Locker gang&lt;/a&gt; who later leaked the compromised data via a public dark web site. Over 5M unique email addresses were exposed alongside other personal data including names, genders, DoBs, phone numbers and physical addresses.</t>
  </si>
  <si>
    <t>https://haveibeenpwned.com/Content/Images/PwnedLogos/TAPAirPortugal.png</t>
  </si>
  <si>
    <t>['Dates of birth', 'Email addresses', 'Genders', 'Names', 'Nationalities', 'Phone numbers', 'Physical addresses', 'Salutations', 'Spoken languages']</t>
  </si>
  <si>
    <t>Taringa</t>
  </si>
  <si>
    <t>taringa.net</t>
  </si>
  <si>
    <t>In September 2017, news broke that &lt;a href="https://thehackernews.com/2017/09/taringa-data-breach-hacking.html" target="_blank" rel="noopener"&gt;Taringa had suffered a data breach exposing 28 million records&lt;/a&gt;. Known as &amp;quot;The Latin American Reddit&amp;quot;, &lt;a href="https://www.taringa.net/posts/taringa/19972402/Un-mensaje-importante-sobre-la-seguridad-de-tu-cuenta.html" target="_blank" rel="noopener"&gt;Taringa's breach disclosure notice&lt;/a&gt; indicated the incident dated back to August that year. The exposed data included usernames, email addresses and weak MD5 hashes of passwords.</t>
  </si>
  <si>
    <t>https://haveibeenpwned.com/Content/Images/PwnedLogos/Taringa.png</t>
  </si>
  <si>
    <t>Solomid</t>
  </si>
  <si>
    <t>Team SoloMid</t>
  </si>
  <si>
    <t>solomid.net</t>
  </si>
  <si>
    <t>In December 2014, the electronic sports organisation known as &lt;a href="http://www.dailydot.com/esports/null-consolidated-team-solomid-hack/" target="_blank" rel="noopener"&gt;Team SoloMid was hacked&lt;/a&gt; and 442k members accounts were leaked. The accounts included email and IP addresses, usernames and salted hashes of passwords.</t>
  </si>
  <si>
    <t>https://haveibeenpwned.com/Content/Images/PwnedLogos/Solomid.png</t>
  </si>
  <si>
    <t>Technic</t>
  </si>
  <si>
    <t>technicpack.net</t>
  </si>
  <si>
    <t>In November 2018, the Minecraft modpack platform known as &lt;a href="https://www.technicpack.net/article/forums-database-breach.149" target="_blank" rel="noopener"&gt;Technic suffered a data breach&lt;/a&gt;. Technic promptly disclosed the breach and advised that the impacted data included over 265k unique users' email and IP addresses, chat logs, private messages and &lt;a href="https://twitter.com/PedroACunha/status/1069740224497020929" target="_blank" rel="noopener"&gt;passwords stored as bcrypt hashes with a work factor of 13&lt;/a&gt;. Technic self-submitted the breach to HIBP.</t>
  </si>
  <si>
    <t>https://haveibeenpwned.com/Content/Images/PwnedLogos/Technic.png</t>
  </si>
  <si>
    <t>['Chat logs', 'Email addresses', 'IP addresses', 'Passwords', 'Private messages', 'Time zones']</t>
  </si>
  <si>
    <t>Teespring</t>
  </si>
  <si>
    <t>teespring.com</t>
  </si>
  <si>
    <t>In April 2020, the custom printed apparel website &lt;a href="https://www.zdnet.com/article/hacker-leaks-data-of-millions-of-teespring-users/" target="_blank" rel="noopener"&gt;Teespring suffered a data breach that exposed 8.2 million customer records&lt;/a&gt;. The data included email addresses, names, geographic locations and social media IDs.</t>
  </si>
  <si>
    <t>https://haveibeenpwned.com/Content/Images/PwnedLogos/Teespring.png</t>
  </si>
  <si>
    <t>['Email addresses', 'Geographic locations', 'Names', 'Social media profiles']</t>
  </si>
  <si>
    <t>TRAI</t>
  </si>
  <si>
    <t>Telecom Regulatory Authority of India</t>
  </si>
  <si>
    <t>trai.gov.in</t>
  </si>
  <si>
    <t>In April 2015, the Telecom Regulatory Authority of India (TRAI) &lt;a href="http://www.dnaindia.com/scitech/report-email-savetheinternet-net-neutrality-campaign-public-privacy-spam-phishing-2081037" target="_blank" rel="noopener"&gt;published tens of thousand of emails&lt;/a&gt; sent by Indian citizens supporting net neutrality as part of the SaveTheInternet campaign. The published data included lists of emails including the sender's name and email address as well as the contents of the email as well, often with signatures including other personal data.</t>
  </si>
  <si>
    <t>https://haveibeenpwned.com/Content/Images/PwnedLogos/TRAI.png</t>
  </si>
  <si>
    <t>Teracod</t>
  </si>
  <si>
    <t>teracod.org</t>
  </si>
  <si>
    <t>In May 2015, almost 100k user records were extracted from the Hungarian torrent site known as Teracod. The data was later discovered being torrented itself and included email addresses, passwords, private messages between members and the peering history of IP addresses using the service.</t>
  </si>
  <si>
    <t>https://haveibeenpwned.com/Content/Images/PwnedLogos/Teracod.png</t>
  </si>
  <si>
    <t>['Avatars', 'Email addresses', 'IP addresses', 'Passwords', 'Payment histories', 'Private messages', 'Usernames', 'Website activity']</t>
  </si>
  <si>
    <t>Tesco</t>
  </si>
  <si>
    <t>tesco.com</t>
  </si>
  <si>
    <t>In February 2014, &lt;a href="http://www.bbc.co.uk/news/technology-26171130" target="_blank" rel="noopener"&gt;over 2,000 Tesco accounts with usernames, passwords and loyalty card balances appeared on Pastebin&lt;/a&gt;. Whilst the source of the breach is not clear, many confirmed the credentials were valid for Tesco and indeed &lt;a href="http://www.troyhunt.com/2012/07/lessons-in-website-security-anti.html" target="_blank" rel="noopener"&gt; they have a history of poor online security&lt;/a&gt;.</t>
  </si>
  <si>
    <t>https://haveibeenpwned.com/Content/Images/PwnedLogos/Tesco.png</t>
  </si>
  <si>
    <t>['Email addresses', 'Passwords', 'Reward program balances']</t>
  </si>
  <si>
    <t>TGBUS</t>
  </si>
  <si>
    <t>tgbus.com</t>
  </si>
  <si>
    <t>In approximately 2017, it's alleged that the Chinese gaming site known as &lt;a href="http://www.tgbus.com/" target="_blank" rel="noopener"&gt;TGBUS&lt;/a&gt; suffered a data breach that impacted over 10 million unique subscribers. Whilst there is evidence that the data is legitimate, due to the difficulty of emphatically verifying the Chinese breach it has been flagged as &amp;quot;unverified&amp;quot;. The data in the breach contains usernames, email addresses and salted MD5 password hashes and was provided with support from &lt;a href="https://dehashed.com/" target="_blank" rel="noopener"&gt;dehashed.com&lt;/a&gt;. &lt;a href="https://www.troyhunt.com/handling-chinese-data-breaches-in-have-i-been-pwned/" target="_blank" rel="noopener"&gt;Read more about Chinese data breaches in Have I Been Pwned.&lt;/a&gt;</t>
  </si>
  <si>
    <t>https://haveibeenpwned.com/Content/Images/PwnedLogos/TGBUS.png</t>
  </si>
  <si>
    <t>TheCandidBoard</t>
  </si>
  <si>
    <t>The Candid Board</t>
  </si>
  <si>
    <t>thecandidboard.com</t>
  </si>
  <si>
    <t>In September 2015, the non-consensual voyeurism site &lt;a href="http://www.ibtimes.co.uk/upskirt-porn-website-hit-massive-data-leak-exposing-nearly-180000-voyeurs-1602756" target="_blank" rel="noopener"&gt;&amp;quot;The Candid Board&amp;quot; suffered a data breach&lt;/a&gt;. The hack of the vBulletin forum led to the exposure of over 178k accounts along with email and IP addresses, dates of birth and salted passwords hashed with MD5.</t>
  </si>
  <si>
    <t>https://haveibeenpwned.com/Content/Images/PwnedLogos/TheCandidBoard.png</t>
  </si>
  <si>
    <t>['Dates of birth', 'Email addresses', 'Geographic locations', 'IP addresses', 'Passwords', 'Usernames', 'Website activity']</t>
  </si>
  <si>
    <t>TheFappening</t>
  </si>
  <si>
    <t>The Fappening</t>
  </si>
  <si>
    <t>thefappening.so</t>
  </si>
  <si>
    <t>In December 2015, the forum for discussing naked celebrity photos known as &amp;quot;The Fappening&amp;quot; (named after the iCloud leaks of 2014) was compromised and 179k accounts were leaked. Exposed member data included usernames, email addresses and salted hashes of passwords.</t>
  </si>
  <si>
    <t>https://haveibeenpwned.com/Content/Images/PwnedLogos/TheFappening.png</t>
  </si>
  <si>
    <t>TheFlyOnTheWall</t>
  </si>
  <si>
    <t>The Fly on the Wall</t>
  </si>
  <si>
    <t>theflyonthewall.com</t>
  </si>
  <si>
    <t>In December 2017, the stock market news website &lt;a href="http://theflyonthewall.com/" target="_blank" rel="noopener"&gt;The Fly on the Wall&lt;/a&gt; suffered a data breach. The data in the breach included 84k unique email addresses as well as purchase histories and credit card data. &lt;a href="https://www.troyhunt.com/streamlining-data-breach-disclosure-a-step-by-step-process" target="_blank" rel="noopener"&gt;Numerous attempts were made to contact The Fly on the Wall about the incident&lt;/a&gt;, however no responses were received.</t>
  </si>
  <si>
    <t>https://haveibeenpwned.com/Content/Images/PwnedLogos/TheFlyOnTheWall.png</t>
  </si>
  <si>
    <t>['Age groups', 'Credit cards', 'Email addresses', 'Genders', 'Names', 'Passwords', 'Phone numbers', 'Physical addresses', 'Purchases', 'Usernames']</t>
  </si>
  <si>
    <t>HalloweenSpot</t>
  </si>
  <si>
    <t>The Halloween Spot</t>
  </si>
  <si>
    <t>thehalloweenspot.com</t>
  </si>
  <si>
    <t>In September 2019, the Halloween costume store &lt;a href="https://www.thehalloweenspot.com/" target="_blank" rel="noopener"&gt;The Halloween Spot&lt;/a&gt; suffered a data breach. Originally misattributed to fancy dress store &lt;a href="https://www.smiffys.com/" target="_blank" rel="noopener"&gt;Smiffys&lt;/a&gt;, the breach contained 13GB of data with over 10k unique email addresses alongside names, physical and IP addresses, phone numbers and order histories. The Halloween Spot advised customers the breach was traced back to &amp;quot;an old shipping information database&amp;quot;.</t>
  </si>
  <si>
    <t>https://haveibeenpwned.com/Content/Images/PwnedLogos/HalloweenSpot.png</t>
  </si>
  <si>
    <t>['Email addresses', 'IP addresses', 'Names', 'Phone numbers', 'Physical addresses', 'Purchases']</t>
  </si>
  <si>
    <t>TheTVDB</t>
  </si>
  <si>
    <t>TheTVDB.com</t>
  </si>
  <si>
    <t>thetvdb.com</t>
  </si>
  <si>
    <t>In November 2017, the open television database known as &lt;a href="https://forums.thetvdb.com/viewtopic.php?f=3&amp;t=43254" target="_blank" rel="noopener"&gt;TheTVDB.com suffered a data breach&lt;/a&gt;. The breached data was posted to a hacking forum and included 182k records with usernames, email addresses and MySQL password hashes.</t>
  </si>
  <si>
    <t>https://haveibeenpwned.com/Content/Images/PwnedLogos/TheTVDB.png</t>
  </si>
  <si>
    <t>Thingiverse</t>
  </si>
  <si>
    <t>thingiverse.com</t>
  </si>
  <si>
    <t>In October 2021, a database backup taken from the 3D model sharing service &lt;a href="https://www.databreachtoday.com/thingiverse-data-leak-affects-25-million-subscribers-a-17729" target="_blank" rel="noopener"&gt;Thingiverse began extensively circulating within the hacking community&lt;/a&gt;. Dating back to October 2020, the 36GB file contained 228 thousand unique email addresses, mostly alongside comments left on 3D models. The data also included usernames, IP addresses, full names and passwords stored as either unsalted SHA-1 or bcrypt hashes. In some cases, physical addresses was also exposed. Thingiverse's owner, MakerBot, is aware of the incident but at the time of writing, is yet to issue a disclosure statement. The data was provided to HIBP by &lt;a href="https://dehashed.com/" target="_blank" rel="noopener"&gt;dehashed.com&lt;/a&gt;.</t>
  </si>
  <si>
    <t>https://haveibeenpwned.com/Content/Images/PwnedLogos/Thingiverse.png</t>
  </si>
  <si>
    <t>['Dates of birth', 'Email addresses', 'IP addresses', 'Names', 'Passwords', 'Physical addresses', 'Usernames']</t>
  </si>
  <si>
    <t>ThisHabboForum</t>
  </si>
  <si>
    <t>ThisHabbo Forum</t>
  </si>
  <si>
    <t>thishabboforum.com</t>
  </si>
  <si>
    <t>In 2014, the ThisHabbo forum (a fan site for Habbo.com, a Finnish social networking site) &lt;a href="https://www.google.com/search?q="thishabbo_forum.txt" target="_blank" rel="noopener"&gt;appeared among a list of compromised sites&lt;/a&gt; which has subsequently been removed from the internet. Whilst the actual date of the exploit is not clear, the breached data includes usernames, email addresses, IP addresses and salted hashes of passwords. A further 584k records were added from a more comprehensive breach file provided in October 2016.</t>
  </si>
  <si>
    <t>https://haveibeenpwned.com/Content/Images/PwnedLogos/ThisHabboForum.png</t>
  </si>
  <si>
    <t>Tianya</t>
  </si>
  <si>
    <t>tianya.cn</t>
  </si>
  <si>
    <t>In December 2011, &lt;a href="http://thehackernews.com/2011/12/tianya-chinas-biggest-online-forum-40.html" target="_blank" rel="noopener"&gt;China's largest online forum known as Tianya was hacked&lt;/a&gt; and tens of millions of accounts were obtained by the attacker. The leaked data included names, usernames and email addresses.</t>
  </si>
  <si>
    <t>https://haveibeenpwned.com/Content/Images/PwnedLogos/Tianya.png</t>
  </si>
  <si>
    <t>Ticketcounter</t>
  </si>
  <si>
    <t>ticketcounter.nl</t>
  </si>
  <si>
    <t>In August 2020, the Dutch ticketing service &lt;a href="https://www.bleepingcomputer.com/news/security/european-e-ticketing-platform-ticketcounter-extorted-in-data-breach/" target="_blank" rel="noopener"&gt;Ticketcounter inadvertently published a database backup to a publicly accessible location where it was then found and downloaded in February 2021&lt;/a&gt;. The data contained 1.9M unique email addresses which were offered for sale on a hacking forum alongside names, physical and IP addresses, genders, dates of birth, payment histories and in some cases, bank account numbers. Ticketcounter was later held to ransom with the threat of the breached being released publicly. The data was provided to HIBP by a source who requested it be attributed to redredred@riseup.net.</t>
  </si>
  <si>
    <t>https://haveibeenpwned.com/Content/Images/PwnedLogos/Ticketcounter.png</t>
  </si>
  <si>
    <t>['Bank account numbers', 'Dates of birth', 'Email addresses', 'Genders', 'IP addresses', 'Names', 'Payment histories', 'Phone numbers', 'Physical addresses']</t>
  </si>
  <si>
    <t>Ticketfly</t>
  </si>
  <si>
    <t>ticketfly.com</t>
  </si>
  <si>
    <t>In May 2018, the website for the ticket distribution service &lt;a href="https://motherboard.vice.com/en_us/article/mbk3nx/ticketfly-website-database-hacked-data-breach" target="_blank" rel="noopener"&gt;Ticketfly was defaced by an attacker and was subsequently taken offline&lt;/a&gt;. The attacker allegedly requested a ransom to share details of the vulnerability with Ticketfly but did not receive a reply and subsequently posted the breached data online to a publicly accessible location. The data included over 26 million unique email addresses along with names, physical addresses and phone numbers. Whilst there were no passwords in the publicly leaked data, &lt;a href="https://support.ticketfly.com/customer/en/portal/articles/2941983-ticketfly-cyber-incident-update" target="_blank" rel="noopener"&gt;Ticketfly later issued an incident update&lt;/a&gt; and stated that &amp;quot;It is possible, however, that hashed values of password credentials could have been accessed&amp;quot;.</t>
  </si>
  <si>
    <t>https://haveibeenpwned.com/Content/Images/PwnedLogos/Ticketfly.png</t>
  </si>
  <si>
    <t>Tokopedia</t>
  </si>
  <si>
    <t>tokopedia.com</t>
  </si>
  <si>
    <t>In April 2020, Indonesia's largest online store &lt;a href="https://www.zdnet.com/article/hacker-leaks-15-million-records-from-tokopedia-indonesias-largest-online-store/" target="_blank" rel="noopener"&gt;Tokopedia suffered a data breach&lt;/a&gt;. The incident resulted in 15M rows of data being posted to a popular hacking forum. An additional 76M rows were later provided to HIBP in July 2020. In total, the data included over 71M unique email addresses alongside names, genders, birth dates and passwords stored as SHA2-384 hashes.</t>
  </si>
  <si>
    <t>https://haveibeenpwned.com/Content/Images/PwnedLogos/Tokopedia.png</t>
  </si>
  <si>
    <t>ToonDoo</t>
  </si>
  <si>
    <t>toondoo.com</t>
  </si>
  <si>
    <t>In August 2019, the comic strip creation website &lt;a href="https://www.zataz.com/6-000-000-de-donnees-personnelles-piratees-pour-le-site-toondoo/" target="_blank" rel="noopener"&gt;ToonDoo suffered a data breach&lt;/a&gt;. The data was subsequently redistributed on a popular hacking forum in November where the personal information of over 6M subscribers was shared. Impacted data included email and IP addresses, usernames, genders, the location of the individual and salted password hashes.</t>
  </si>
  <si>
    <t>https://haveibeenpwned.com/Content/Images/PwnedLogos/ToonDoo.png</t>
  </si>
  <si>
    <t>['Email addresses', 'Genders', 'Geographic locations', 'IP addresses', 'Passwords', 'Usernames']</t>
  </si>
  <si>
    <t>TorrentInvites</t>
  </si>
  <si>
    <t>Torrent Invites</t>
  </si>
  <si>
    <t>torrent-invites.com</t>
  </si>
  <si>
    <t>In December 2013, the torrent site &lt;a href="https://www.reddit.com/r/trackers/comments/1sqqf7/torrentinvites_hacked/" target="_blank" rel="noopener"&gt;Torrent Invites was hacked&lt;/a&gt; and over 352k accounts were exposed. The vBulletin forum contained usernames, email and IP addresses, birth dates and salted MD5 hashes of passwords.</t>
  </si>
  <si>
    <t>https://haveibeenpwned.com/Content/Images/PwnedLogos/TorrentInvites.png</t>
  </si>
  <si>
    <t>Tout</t>
  </si>
  <si>
    <t>tout.com</t>
  </si>
  <si>
    <t>In approximately September 2014, the now defunct social networking service &lt;a href="https://en.wikipedia.org/wiki/Tout_(company)" target="_blank" rel="noopener"&gt;Tout&lt;/a&gt; suffered a data breach. The breach subsequently appeared years later and included 653k unique email addresses, names, IP addresses, the location of the user, their bio and passwords stored as bcrypt hashes. The data was provided to HIBP by a source who requested it to be attributed to &amp;quot;nmapthis@protonmail.com&amp;quot;.</t>
  </si>
  <si>
    <t>https://haveibeenpwned.com/Content/Images/PwnedLogos/Tout.png</t>
  </si>
  <si>
    <t>['Bios', 'Email addresses', 'Geographic locations', 'IP addresses', 'Names', 'Passwords', 'Usernames']</t>
  </si>
  <si>
    <t>TravelOK</t>
  </si>
  <si>
    <t>Travel Oklahoma</t>
  </si>
  <si>
    <t>travelok.com</t>
  </si>
  <si>
    <t>In December 2020, &lt;a href="https://tulsaworld.com/news/local/state-tourism-department-reports-data-breach-no-social-security-financial-data-compromised/article_105b0d18-6595-11eb-998b-1b96c12d2d14.html" target="_blank" rel="noopener"&gt;the Oklahoma state Tourism and Recreation Department suffered a data breach&lt;/a&gt;. The incident exposed 637k email addresses across a variety of tables including age ranges against brochure orders and dates of birth against contest entries. Genders, names and physical addresses were also exposed. The data was provided to HIBP by a source who requested it be attributed to &amp;quot;badhou3a&amp;quot;.</t>
  </si>
  <si>
    <t>https://haveibeenpwned.com/Content/Images/PwnedLogos/TravelOK.png</t>
  </si>
  <si>
    <t>['Age groups', 'Dates of birth', 'Email addresses', 'Genders', 'Names', 'Physical addresses']</t>
  </si>
  <si>
    <t>Travelio</t>
  </si>
  <si>
    <t>travelio.com</t>
  </si>
  <si>
    <t>In November 2021, the Indonesian real estate website &lt;a href="https://www.riskbasedsecurity.com/2021/12/14/dark-web-roundup-november-2021/" target="_blank" rel="noopener"&gt;Travelio suffered a data breach that exposed over 470k customer accounts&lt;/a&gt;. The data included email addresses, names, password hashes, phone numbers and for some accounts, dates of birth, physical address and Facebook auth tokens. The data was provided to HIBP by a source who requested it be attributed to &amp;quot;white_peacock@riseup.net&amp;quot;.</t>
  </si>
  <si>
    <t>https://haveibeenpwned.com/Content/Images/PwnedLogos/Travelio.png</t>
  </si>
  <si>
    <t>['Auth tokens', 'Dates of birth', 'Email addresses', 'Names', 'Passwords', 'Phone numbers', 'Physical addresses']</t>
  </si>
  <si>
    <t>TrikSpamBotnet</t>
  </si>
  <si>
    <t>Trik Spam Botnet</t>
  </si>
  <si>
    <t>In June 2018, the command and control server of a malicious botnet known as the &amp;quot;Trik Spam Botnet&amp;quot; &lt;a href="https://www.bleepingcomputer.com/news/security/trik-spam-botnet-leaks-43-million-email-addresses/" target="_blank" rel="noopener"&gt;was misconfigured such that it exposed the email addresses of more than 43 million people&lt;/a&gt;. The researchers who discovered the exposed Russian server believe the list of addresses was used to distribute various malware strains via malspam campaigns (emails designed to deliver malware).</t>
  </si>
  <si>
    <t>Trillian</t>
  </si>
  <si>
    <t>trillian.im</t>
  </si>
  <si>
    <t>In December 2015, the instant messaging application &lt;a href="https://www.trillian.im/help/trillian-blog-and-forums-security-incident/" target="_blank" rel="noopener"&gt;Trillian suffered a data breach&lt;/a&gt;. The breach became known in July 2016 and exposed various personal data attributes including names, email addresses and passwords stored as salted MD5 hashes.</t>
  </si>
  <si>
    <t>https://haveibeenpwned.com/Content/Images/PwnedLogos/Trillian.png</t>
  </si>
  <si>
    <t>['Dates of birth', 'Email addresses', 'IP addresses', 'Names', 'Passwords', 'Usernames']</t>
  </si>
  <si>
    <t>TruckersMP</t>
  </si>
  <si>
    <t>truckersmp.com</t>
  </si>
  <si>
    <t>In February 2016, the online trucking simulator mod &lt;a href="http://truckersmp.com/en_US/blog/8" target="_blank" rel="noopener"&gt;TruckersMP suffered a data breach&lt;/a&gt; which exposed 84k user accounts. In a first for "Have I Been Pwned", &lt;a href="https://www.troyhunt.com/100-data-breaches-later-have-i-been-pwned-gets-its-first-self-submission/" target="_blank" rel="noopener"&gt;the breached data was self-submitted directly by the organisation that was breached itself&lt;/a&gt;.</t>
  </si>
  <si>
    <t>https://haveibeenpwned.com/Content/Images/PwnedLogos/TruckersMP.png</t>
  </si>
  <si>
    <t>TrueFire</t>
  </si>
  <si>
    <t>truefire.com</t>
  </si>
  <si>
    <t>In February 2020, the guitar tuition website &lt;a href="https://guitar.com/news/industry-news/truefire-data-breach/" target="_blank" rel="noopener"&gt;TrueFire suffered a data breach&lt;/a&gt; which impacted 600k members. The breach exposed extensive personal information including names, email and physical addresses, account balances and unsalted MD5 password hashes. The data was provided to HIBP by &lt;a href="https://dehashed.com/" target="_blank" rel="noopener"&gt;dehashed.com&lt;/a&gt;.</t>
  </si>
  <si>
    <t>https://haveibeenpwned.com/Content/Images/PwnedLogos/TrueFire.png</t>
  </si>
  <si>
    <t>['Account balances', 'Dates of birth', 'Email addresses', 'Names', 'Passwords', 'Phone numbers', 'Physical addresses', 'Usernames']</t>
  </si>
  <si>
    <t>Tumblr</t>
  </si>
  <si>
    <t>tumblr</t>
  </si>
  <si>
    <t>tumblr.com</t>
  </si>
  <si>
    <t>In early 2013, &lt;a href="https://staff.tumblr.com/post/144263069415/we-recently-learned-that-a-third-party-had" target="_blank" rel="noopener"&gt;tumblr suffered a data breach&lt;/a&gt; which resulted in the exposure of over 65 million accounts. The data was later put up for sale on a dark market website and included email addresses and passwords stored as salted SHA1 hashes.</t>
  </si>
  <si>
    <t>https://haveibeenpwned.com/Content/Images/PwnedLogos/Tumblr.png</t>
  </si>
  <si>
    <t>TunedGlobal</t>
  </si>
  <si>
    <t>Tuned Global</t>
  </si>
  <si>
    <t>tunedglobal.com</t>
  </si>
  <si>
    <t>In January 2021, &lt;a href="https://siliconangle.com/2021/01/20/shinyhunters-publishes-1-9m-stolen-user-credentials-photo-editing-site-pixlr/" target="_blank" rel="noopener"&gt;data from a number of breached services including Tuned Global were released to a public hacking forum&lt;/a&gt;. The breach appears to date back to 2016 and includes 985k records containing email addresses, names, a small number of physical addresses and phone numbers and passwords stored in plain text.</t>
  </si>
  <si>
    <t>https://haveibeenpwned.com/Content/Images/PwnedLogos/TunedGlobal.png</t>
  </si>
  <si>
    <t>Twitter</t>
  </si>
  <si>
    <t>twitter.com</t>
  </si>
  <si>
    <t>In January 2022, &lt;a href="https://www.bleepingcomputer.com/news/security/hacker-selling-twitter-account-data-of-54-million-users-for-30k/" target="_blank" rel="noopener"&gt;a vulnerability in Twitter's platform allowed an attacker to build a database of the email addresses and phone numbers of millions of users of the social platform&lt;/a&gt;. In a disclosure notice later shared in August 2022, &lt;a href="https://privacy.twitter.com/en/blog/2022/an-issue-affecting-some-anonymous-accounts" target="_blank" rel="noopener"&gt;Twitter advised that the vulnerability was related to a bug introduced in June 2021&lt;/a&gt; and that they are directly notifying impacted customers. The impacted data included either email address or phone number alongside other public information including the username, display name, bio, location and profile photo. The data included 6.7M unique email addresses across both active and suspended accounts, the latter appearing in a separate list of 1.4M addresses.</t>
  </si>
  <si>
    <t>https://haveibeenpwned.com/Content/Images/PwnedLogos/Twitter.png</t>
  </si>
  <si>
    <t>['Bios', 'Email addresses', 'Geographic locations', 'Names', 'Phone numbers', 'Profile photos', 'Usernames']</t>
  </si>
  <si>
    <t>Twitter200M</t>
  </si>
  <si>
    <t>Twitter (200M)</t>
  </si>
  <si>
    <t>In early 2023, &lt;a href="https://www.bleepingcomputer.com/news/security/200-million-twitter-users-email-addresses-allegedly-leaked-online/" target="_blank" rel="noopener"&gt;over 200M records scraped from Twitter appeared on a popular hacking forum&lt;/a&gt;. The data was obtained sometime in 2021 by abusing an API that enabled email addresses to be resolved to Twitter profiles. The subsequent results were then composed into a corpus of data containing email addresses alongside public Twitter profile information including names, usernames and follower counts.</t>
  </si>
  <si>
    <t>Uiggy</t>
  </si>
  <si>
    <t>uiggy.com</t>
  </si>
  <si>
    <t>In June 2016, the Facebook application known as &lt;a href="http://www.uiggy.com" target="_blank" rel="noopener"&gt;Uiggy&lt;/a&gt; was hacked and 4.3M accounts were exposed, 2.7M of which had email addresses against them. The leaked accounts also exposed names, genders and the Facebook ID of the owners.</t>
  </si>
  <si>
    <t>https://haveibeenpwned.com/Content/Images/PwnedLogos/Uiggy.png</t>
  </si>
  <si>
    <t>['Email addresses', 'Genders', 'Names', 'Social connections', 'Website activity']</t>
  </si>
  <si>
    <t>Ulmon</t>
  </si>
  <si>
    <t>ulmon.com</t>
  </si>
  <si>
    <t>In January 2020, the travel app creator &lt;a href="https://www.ulmon.com/blogging/2020/5/4/information-on-ulmon-user-account-data-breach" target="_blank" rel="noopener"&gt;Ulmon suffered a data breach&lt;/a&gt;. The service had almost 1.3M records with 777k unique email addresses, names, passwords stored as bcrypt hashes and in some cases, social media profile IDs, telephone numbers and bios. The data was subsequently posted to a popular hacking forum.</t>
  </si>
  <si>
    <t>https://haveibeenpwned.com/Content/Images/PwnedLogos/Ulmon.png</t>
  </si>
  <si>
    <t>['Bios', 'Email addresses', 'Names', 'Passwords', 'Phone numbers', 'Social media profiles']</t>
  </si>
  <si>
    <t>IGF</t>
  </si>
  <si>
    <t>UN Internet Governance Forum</t>
  </si>
  <si>
    <t>intgovforum.org</t>
  </si>
  <si>
    <t>In February 2014, the Internet Governance Forum (formed by the United Nations for policy dialogue on issues of internet governance) was &lt;a href="http://www.cyberwarnews.info/2014/02/20/united-nations-internet-governance-forum-hacked-3215-accounts-leaked/" target="_blank" rel="noopener"&gt;attacked by hacker collective known as Deletesec&lt;/a&gt;. Although tasked with &amp;quot;ensuring the security and stability of the Internet&amp;quot;, the IGFÃ¢â‚¬â„¢s website was still breached and resulted in the leak of 3,200 email addresses, names, usernames and cryptographically stored passwords.</t>
  </si>
  <si>
    <t>https://haveibeenpwned.com/Content/Images/PwnedLogos/IGF.png</t>
  </si>
  <si>
    <t>UnderworldEmpire</t>
  </si>
  <si>
    <t>Underworld Empire</t>
  </si>
  <si>
    <t>underworldempireforums.com</t>
  </si>
  <si>
    <t>In April 2017, &lt;a href="http://underworldempireforums.com/" target="_blank" rel="noopener"&gt;the vBulletin forum for the Underworld Empire game&lt;/a&gt; suffered a data breach that exposed 429k accounts. The data was then posted to a hacking forum in mid-February 2018 where it was made available to download. The source data contained IP and email addresses, usernames and salted MD5 hashes.</t>
  </si>
  <si>
    <t>https://haveibeenpwned.com/Content/Images/PwnedLogos/UnderworldEmpire.png</t>
  </si>
  <si>
    <t>UnicoCampania</t>
  </si>
  <si>
    <t>Unico Campania</t>
  </si>
  <si>
    <t>unicocampania.it</t>
  </si>
  <si>
    <t>In August 2020, the Neapolitan public transport website &lt;a href="https://www.fanpage.it/napoli/unico-campania-hackerato-il-sito-65mila-email-e-password-di-utenti-in-rete-subito-disattivati/" target="_blank" rel="noopener"&gt;Unico Campania was hacked and the data extensively circulated&lt;/a&gt;. The breach contained 166k user records with email addresses and plain text passwords.</t>
  </si>
  <si>
    <t>https://haveibeenpwned.com/Content/Images/PwnedLogos/UnicoCampania.png</t>
  </si>
  <si>
    <t>Universarium</t>
  </si>
  <si>
    <t>universarium.org</t>
  </si>
  <si>
    <t>In approximately November 2019, the Russian &amp;quot;Remote preparatory faculty for IT specialties&amp;quot; &lt;a href="https://universarium.org/" target="_blank" rel="noopener"&gt;Universarium&lt;/a&gt; suffered a data breach. The incident exposed 565k email addresses and passwords in plain text. Universarium did not respond to multiple attempts to make contact over a period of many weeks. The data was provided to HIBP by &lt;a href="https://dehashed.com/" target="_blank" rel="noopener"&gt;dehashed.com&lt;/a&gt;.</t>
  </si>
  <si>
    <t>https://haveibeenpwned.com/Content/Images/PwnedLogos/Universarium.png</t>
  </si>
  <si>
    <t>UC</t>
  </si>
  <si>
    <t>University of California</t>
  </si>
  <si>
    <t>universityofcalifornia.edu</t>
  </si>
  <si>
    <t>In December 2020, &lt;a href="https://portswigger.net/daily-swig/uc-berkeley-confirms-data-breach-becomes-latest-victim-of-accellion-cyber-attack" target="_blank" rel="noopener"&gt;the University of California suffered a data breach due to vulnerability in in a third-party provider, Accellion&lt;/a&gt;. The breach exposed extensive personal data on both students and staff including 547 thousand unique email addresses, names, dates of birth, genders, social security numbers, ethnicities and other academic related data attributes. Further analysis is available in &lt;a href="https://cgorlla.github.io/project/uc" target="_blank" rel="noopener"&gt;Exploring the Impact of the UC Data Breach&lt;/a&gt;. The data was provided to HIBP courtesy of Cyril Gorlla.</t>
  </si>
  <si>
    <t>https://haveibeenpwned.com/Content/Images/PwnedLogos/UC.png</t>
  </si>
  <si>
    <t>['Dates of birth', 'Education levels', 'Email addresses', 'Ethnicities', 'Genders', 'Job titles', 'Names', 'Phone numbers', 'Physical addresses', 'Social security numbers']</t>
  </si>
  <si>
    <t>UnrealEngine</t>
  </si>
  <si>
    <t>Unreal Engine</t>
  </si>
  <si>
    <t>unrealengine.com</t>
  </si>
  <si>
    <t>In August 2016, &lt;a href="http://www.zdnet.com/article/epic-games-unreal-engine-forums-hacked-in-latest-data-breach" target="_blank" rel="noopener"&gt;the Unreal Engine Forum suffered a data breach&lt;/a&gt;, allegedly due to a SQL injection vulnerability in vBulletin. The attack resulted in the exposure of 530k accounts including usernames, email addresses and salted MD5 hashes of passwords.</t>
  </si>
  <si>
    <t>https://haveibeenpwned.com/Content/Images/PwnedLogos/UnrealEngine.png</t>
  </si>
  <si>
    <t>Astoria</t>
  </si>
  <si>
    <t>Unverified Data Source</t>
  </si>
  <si>
    <t>astoriacompany.com</t>
  </si>
  <si>
    <t>In January 2021, over 11M unique email addresses were discovered by Night Lion Security alongside an extensive amount of personal information including names, physical and IP addresses, phone numbers and dates of birth. Some records also contained social security numbers, driver's license details, personal financial information and health-related data, depending on where the information was sourced from. Initially attributed to Astoria Company, &lt;a href="https://astoriacompany.com/cyber-update/" target="_blank" rel="noopener"&gt;they subsequently investigated the incident and confirmed the data did not originate from their services&lt;/a&gt;.</t>
  </si>
  <si>
    <t>['Bank account numbers', 'Credit status information', 'Dates of birth', 'Email addresses', 'Employers', 'Health insurance information', 'Income levels', 'IP addresses', 'Names', 'Personal health data', 'Phone numbers', 'Physical addresses', 'Smoking habits', 'Social security numbers']</t>
  </si>
  <si>
    <t>Upstox</t>
  </si>
  <si>
    <t>upstox.com</t>
  </si>
  <si>
    <t>In April 2021, Indian brokerage firm &lt;a href="https://www.hackread.com/shinyhunters-broker-firm-upstox-database-leak/" target="_blank" rel="noopener"&gt;Upstox suffered a data breach&lt;/a&gt;. The incident exposed extensive personal information on over 100k customers including names, genders, dates of birth, physical addresses, banking information and passwords stored as bcrypt hashes. Extensive &amp;quot;know your customer&amp;quot; information was also exposed including scans of bank statements, cheques and identity documents complete with Aadhaar numbers. The data was provided to HIBP by a source who requested it be attributed to &amp;quot;white_peacock@riseup.net&amp;quot;.</t>
  </si>
  <si>
    <t>https://haveibeenpwned.com/Content/Images/PwnedLogos/Upstox.png</t>
  </si>
  <si>
    <t>['Bank account numbers', 'Dates of birth', 'Email addresses', "Family members' names", 'Genders', 'Government issued IDs', 'Income levels', 'Marital statuses', 'Nationalities', 'Occupations', 'Passwords', 'Phone numbers', 'Physical addresses']</t>
  </si>
  <si>
    <t>UtahGunExchange</t>
  </si>
  <si>
    <t>Utah Gun Exchange</t>
  </si>
  <si>
    <t>utahgunexchange.com</t>
  </si>
  <si>
    <t>In July 2020, &lt;a href="https://www.forbes.com/sites/daveywinder/2020/08/15/gun-owners-beware-hacker-offers-240000-stolen-records-on-dark-web-report-utah-gun-exchange-amazon-cloud/" target="_blank" rel="noopener"&gt;the Utah Gun Exchange website suffered a data breach&lt;/a&gt; which included several other associated websites. In total, 235k unique email addresses were exposed before being traded online alongside names, usernames, genders, IP addresses and password hashes. The data was provided to HIBP by &lt;a href="https://breachbase.pw/" target="_blank" rel="noopener"&gt;breachbase.pw&lt;/a&gt;.</t>
  </si>
  <si>
    <t>https://haveibeenpwned.com/Content/Images/PwnedLogos/UtahGunExchange.png</t>
  </si>
  <si>
    <t>['Email addresses', 'Genders', 'IP addresses', 'Passwords', 'Usernames']</t>
  </si>
  <si>
    <t>uTorrent</t>
  </si>
  <si>
    <t>utorrent.com</t>
  </si>
  <si>
    <t>In early 2016, the forum for the uTorrent BitTorrent client &lt;a href="https://torrentfreak.com/utorrent-forums-hacked-passwords-compromised-160608/" target="_blank" rel="noopener"&gt;suffered a data breach&lt;/a&gt; which came to light later in the year. The database from the IP.Board based forum contained 395k accounts including usernames, email addresses and MD5 password hashes without a salt.</t>
  </si>
  <si>
    <t>https://haveibeenpwned.com/Content/Images/PwnedLogos/uTorrent.png</t>
  </si>
  <si>
    <t>uuu9</t>
  </si>
  <si>
    <t>uuu9.com</t>
  </si>
  <si>
    <t>In September 2016, data was allegedly obtained from the Chinese website known as &lt;a href="http://www.uuu9.com" target="_blank" rel="noopener"&gt;uuu9.com&lt;/a&gt; and contained 7.5M accounts. Whilst there is evidence that the data is legitimate, due to the difficulty of emphatically verifying the Chinese breach it has been flagged as &amp;quot;unverified&amp;quot;. The data in the breach contains email addresses and user names. &lt;a href="https://www.troyhunt.com/handling-chinese-data-breaches-in-have-i-been-pwned/" target="_blank" rel="noopener"&gt;Read more about Chinese data breaches in Have I Been Pwned.&lt;/a&gt;</t>
  </si>
  <si>
    <t>https://haveibeenpwned.com/Content/Images/PwnedLogos/uuu9.png</t>
  </si>
  <si>
    <t>Vakinha</t>
  </si>
  <si>
    <t>vakinha.com.br</t>
  </si>
  <si>
    <t>In June 2020, the Brazilian fund raising service &lt;a href="https://www.bleepingcomputer.com/news/security/hacker-leaks-386-million-user-records-from-18-companies-for-free/" target="_blank" rel="noopener"&gt;Vakinha suffered a data breach&lt;/a&gt; which impacted almost 4.8 million members. The exposed data included email addresses, names, phone numbers, geographic locations and passwords stored as bcrypt hashes, all of which was subsequently shared extensively throughout online hacking communities. The data was provided to HIBP by &lt;a href="https://dehashed.com/" target="_blank" rel="noopener"&gt;dehashed.com&lt;/a&gt;.</t>
  </si>
  <si>
    <t>https://haveibeenpwned.com/Content/Images/PwnedLogos/Vakinha.png</t>
  </si>
  <si>
    <t>['Dates of birth', 'Email addresses', 'IP addresses', 'Names', 'Passwords', 'Phone numbers']</t>
  </si>
  <si>
    <t>Vastaamo</t>
  </si>
  <si>
    <t>vastaamo.fi</t>
  </si>
  <si>
    <t>In October 2020, the Finnish psychotherapy service &lt;a href="https://www.wired.com/story/vastaamo-psychotherapy-patients-hack-data-breach/" target="_blank" rel="noopener"&gt;Vastaamo was the subject of a ransomware attack targeting first the company itself, followed by their patients directly&lt;/a&gt;. The original security incident dates back to a period between late 2018 and early 2019 and exposed data including 30k unique email addresses, names, social security numbers and notes on individuals' psychotherapy sessions. This breach has been flagged as &amp;quot;sensitive&amp;quot; and is only searchable by owners of the email addresses and domains exposed in the incident.</t>
  </si>
  <si>
    <t>https://haveibeenpwned.com/Content/Images/PwnedLogos/Vastaamo.png</t>
  </si>
  <si>
    <t>['Email addresses', 'Names', 'Personal health data', 'Social security numbers']</t>
  </si>
  <si>
    <t>VBulletin</t>
  </si>
  <si>
    <t>vBulletin</t>
  </si>
  <si>
    <t>vbulletin.com</t>
  </si>
  <si>
    <t>In November 2015, the forum software maker &lt;a href="http://www.theregister.co.uk/2015/11/03/vbulletin_forum_software_hacked_defaced/" target="_blank" rel="noopener"&gt;vBulletin suffered a serious data breach&lt;/a&gt;. The attack lead to the release of both forum user and customer accounts totalling almost 519k records. The breach included email addresses, birth dates, security questions and answers for customers and salted hashes of passwords for both sources.</t>
  </si>
  <si>
    <t>https://haveibeenpwned.com/Content/Images/PwnedLogos/VBulletin.png</t>
  </si>
  <si>
    <t>['Dates of birth', 'Email addresses', 'Homepage URLs', 'Instant messenger identities', 'IP addresses', 'Passwords', 'Security questions and answers', 'Spoken languages', 'Website activity']</t>
  </si>
  <si>
    <t>Vedantu</t>
  </si>
  <si>
    <t>vedantu.com</t>
  </si>
  <si>
    <t>In mid-2019, the Indian interactive online tutoring platform &lt;a href="https://www.vedantu.com/" target="_blank" rel="noopener"&gt;Vedantu&lt;/a&gt; suffered a data breach which exposed the personal data of 687k users. The JSON formatted database dump exposed extensive personal information including email and IP address, names, phone numbers, genders and passwords stored as bcrypt hashes. When contacted about the incident, Vedantu advised that they were aware of the breach and were in the process of informing their customers.</t>
  </si>
  <si>
    <t>https://haveibeenpwned.com/Content/Images/PwnedLogos/Vedantu.png</t>
  </si>
  <si>
    <t>['Browser user agent details', 'Email addresses', 'Genders', 'IP addresses', 'Names', 'Passwords', 'Phone numbers', 'Spoken languages', 'Time zones', 'Website activity']</t>
  </si>
  <si>
    <t>VerificationsIO</t>
  </si>
  <si>
    <t>Verifications.io</t>
  </si>
  <si>
    <t>verifications.io</t>
  </si>
  <si>
    <t>In February 2019, the email address validation service &lt;a href="https://securitydiscovery.com/800-million-emails-leaked-online-by-email-verification-service" target="_blank" rel="noopener"&gt;verifications.io suffered a data breach&lt;/a&gt;. Discovered by &lt;a href="https://twitter.com/mayhemdayone" target="_blank" rel="noopener"&gt;Bob Diachenko&lt;/a&gt; and &lt;a href="https://twitter.com/vinnytroia" target="_blank" rel="noopener"&gt;Vinny Troia&lt;/a&gt;, the breach was due to the data being stored in a MongoDB instance left publicly facing without a password and resulted in 763 million unique email addresses being exposed. Many records within the data also included additional personal attributes such as names, phone numbers, IP addresses, dates of birth and genders. No passwords were included in the data. The Verifications.io website went offline during the disclosure process, although &lt;a href="https://web.archive.org/web/20190227230352/https://verifications.io/" target="_blank" rel="noopener"&gt;an archived copy remains viewable&lt;/a&gt;.</t>
  </si>
  <si>
    <t>https://haveibeenpwned.com/Content/Images/PwnedLogos/VerificationsIO.png</t>
  </si>
  <si>
    <t>['Dates of birth', 'Email addresses', 'Employers', 'Genders', 'Geographic locations', 'IP addresses', 'Job titles', 'Names', 'Phone numbers', 'Physical addresses']</t>
  </si>
  <si>
    <t>Verified</t>
  </si>
  <si>
    <t>verified.cm</t>
  </si>
  <si>
    <t>In January 2014, &lt;a href="http://securityaffairs.co/wordpress/21120/cyber-crime/verified-communities-hacked.html" target="_blank" rel="noopener"&gt;one of the largest communities of Eastern Europe cybercriminals known as "Verified" was hacked&lt;/a&gt;. The breach exposed nearly 17k users of the vBulletin forum including their personal messages and other potentially personally identifiable information.</t>
  </si>
  <si>
    <t>https://haveibeenpwned.com/Content/Images/PwnedLogos/Verified.png</t>
  </si>
  <si>
    <t>['Email addresses', 'Historical passwords', 'IP addresses', 'Passwords', 'Private messages', 'Usernames', 'Website activity']</t>
  </si>
  <si>
    <t>Vianet</t>
  </si>
  <si>
    <t>vianet.com.np</t>
  </si>
  <si>
    <t>In April 2020, the Nepalese internet service provider &lt;a href="https://myrepublica.nagariknetwork.com/news/hackers-leak-personal-info-of-vianet-users/" target="_blank" rel="noopener"&gt;Vianet suffered a data breach&lt;/a&gt;. The attack on the ISP led to the exposure of 177k customer records including 94k unique email addresses. Also exposed were names, phone numbers and physical addresses.</t>
  </si>
  <si>
    <t>https://haveibeenpwned.com/Content/Images/PwnedLogos/Vianet.png</t>
  </si>
  <si>
    <t>VictoryPhones</t>
  </si>
  <si>
    <t>Victory Phones</t>
  </si>
  <si>
    <t>victoryphones.com</t>
  </si>
  <si>
    <t>In January 2017, the automated telephony services company &lt;a href="http://www.zdnet.com/article/republican-polling-firm-hacked-exposing-donor-records/" target="_blank" rel="noopener"&gt;Victory Phones left a Mongo DB database publicly facing without a password&lt;/a&gt;. Subsequently, 213GB of data was downloaded by an unauthorised party including names, addresses, phone numbers and over 166k unique email addresses.</t>
  </si>
  <si>
    <t>https://haveibeenpwned.com/Content/Images/PwnedLogos/VictoryPhones.png</t>
  </si>
  <si>
    <t>ViewFines</t>
  </si>
  <si>
    <t>viewfines.co.za</t>
  </si>
  <si>
    <t>In May 2018, the South African website for viewing traffic fines online known as &lt;a href="https://www.iafrikan.com/2018/05/24/south-africas-viewfines-suffered-major-data-leak/" target="_blank" rel="noopener"&gt;ViewFines suffered a data breach&lt;/a&gt;. Over 934k records containing 778k unique email addresses were exposed and included names, phone numbers, government issued IDs and passwords stored in plain text.</t>
  </si>
  <si>
    <t>https://haveibeenpwned.com/Content/Images/PwnedLogos/ViewFines.png</t>
  </si>
  <si>
    <t>['Email addresses', 'Government issued IDs', 'Names', 'Passwords', 'Phone numbers']</t>
  </si>
  <si>
    <t>VK</t>
  </si>
  <si>
    <t>vk.com</t>
  </si>
  <si>
    <t>In approximately 2012, the Russian social media site known as &lt;a href="http://motherboard.vice.com/read/another-day-another-hack-100-million-accounts-for-vk-russias-facebook" target="_blank" rel="noopener"&gt;VK was hacked&lt;/a&gt; and almost 100 million accounts were exposed. The data emerged in June 2016 where it was being sold via a dark market website and included names, phone numbers email addresses and plain text passwords.</t>
  </si>
  <si>
    <t>https://haveibeenpwned.com/Content/Images/PwnedLogos/VK.png</t>
  </si>
  <si>
    <t>VNG</t>
  </si>
  <si>
    <t>zing.vn</t>
  </si>
  <si>
    <t>In April 2018, &lt;a href="https://congnghe.tuoitre.vn/lo-thong-tin-hang-tram-trieu-tai-khoan-khach-hang-vng-xin-loi-20180427225719109.htm" target="_blank" rel="noopener"&gt;news broke of a massive data breach impacting the Vietnamese company known as VNG&lt;/a&gt; after data was discovered being traded on a popular hacking forum where it was extensively redistributed. The breach dated back to an incident in May of 2015 and included of over 163 million customers. The data in the breach contained a wide range of personal attributes including usernames, birth dates, genders and home addresses along with unsalted MD5 hashes and 25 million unique email addresses. The data was provided to HIBP by &lt;a href="https://dehashed.com/" target="_blank" rel="noopener"&gt;dehashed.com&lt;/a&gt;.</t>
  </si>
  <si>
    <t>https://haveibeenpwned.com/Content/Images/PwnedLogos/VNG.png</t>
  </si>
  <si>
    <t>['Dates of birth', 'Email addresses', 'Genders', 'IP addresses', 'Marital statuses', 'Names', 'Occupations', 'Passwords', 'Phone numbers', 'Physical addresses', 'Usernames']</t>
  </si>
  <si>
    <t>Vodafone</t>
  </si>
  <si>
    <t>vodafone.is</t>
  </si>
  <si>
    <t>In November 2013, &lt;a href="http://thehackernews.com/2013/11/vodafone-iceland-hacked-and-exposed.html" target="_blank" rel="noopener"&gt;Vodafone in Iceland suffered an attack&lt;/a&gt; attributed to the Turkish hacker collective &amp;quot;Maxn3y&amp;quot;. The data was consequently publicly exposed and included user names, email addresses, social security numbers, SMS message, server logs and passwords from a variety of different internal sources.</t>
  </si>
  <si>
    <t>https://haveibeenpwned.com/Content/Images/PwnedLogos/Vodafone.png</t>
  </si>
  <si>
    <t>['Credit cards', 'Email addresses', 'Government issued IDs', 'IP addresses', 'Names', 'Passwords', 'Phone numbers', 'Physical addresses', 'Purchases', 'SMS messages', 'Usernames']</t>
  </si>
  <si>
    <t>VoidTO</t>
  </si>
  <si>
    <t>Void.to</t>
  </si>
  <si>
    <t>void.to</t>
  </si>
  <si>
    <t>In June 2019, the hacking website &lt;a href="https://void.to/" target="_blank" rel="noopener"&gt;Void.to&lt;/a&gt; suffered a data breach. There were 95k unique email addresses spread across 86k forum users and other tables in the database. A rival hacking website claimed responsibility for breaching the MyBB based forum which disclosed email and IP addresses, usernames, private messages and passwords stored as either salted MD5 or bcrypt hashes.</t>
  </si>
  <si>
    <t>https://haveibeenpwned.com/Content/Images/PwnedLogos/VoidTO.png</t>
  </si>
  <si>
    <t>VTech</t>
  </si>
  <si>
    <t>vtechda.com</t>
  </si>
  <si>
    <t>In November 2015, &lt;a href="http://www.troyhunt.com/2015/11/when-children-are-breached-inside.html" target="_blank" rel="noopener"&gt;hackers extracted more than 4.8 million parents' and 227k children's accounts from VTech's Learning Lodge website&lt;/a&gt;. The Hong Kong company produces learning products for children including software sold via the compromised website. The data breach exposed extensive personal details including home addresses, security questions and answers and passwords stored as weak MD5 hashes. Furthermore, children's details including names, ages, genders and associations to their parents' records were also exposed.</t>
  </si>
  <si>
    <t>https://haveibeenpwned.com/Content/Images/PwnedLogos/VTech.png</t>
  </si>
  <si>
    <t>['Dates of birth', 'Email addresses', "Family members' names", 'Genders', 'IP addresses', 'Names', 'Passwords', 'Physical addresses', 'Security questions and answers', 'Usernames', 'Website activity']</t>
  </si>
  <si>
    <t>VTightGel</t>
  </si>
  <si>
    <t>V-Tight Gel</t>
  </si>
  <si>
    <t>vtightgel.com</t>
  </si>
  <si>
    <t>In approximately February 2016, data surfaced which was allegedly obtained from &lt;a href="http://vtightgel.com/" target="_blank" rel="noopener"&gt;V-Tight Gel (vaginal tightening gel)&lt;/a&gt;. Whilst the data set was titled V-Tight, within there were &lt;a href="https://pastebin.com/raw/pN7nyjJ7" target="_blank" rel="noopener"&gt;50 other (predominantly wellness-related) domain names&lt;/a&gt;, most owned by the same entity. Multiple HIBP subscribers confirmed that although they couldn't recall providing data specifically to V-Tight, their personal information including name, phone and physical address was accurate. V-Tight Gel did not reply to multiple requests for comment.</t>
  </si>
  <si>
    <t>https://haveibeenpwned.com/Content/Images/PwnedLogos/VTightGel.png</t>
  </si>
  <si>
    <t>Wakanim</t>
  </si>
  <si>
    <t>wakanim.tv</t>
  </si>
  <si>
    <t>In August 2022, the European streaming service &lt;a href="https://www.animenewsnetwork.com/news/2022-09-07/wakanim-streaming-service-delays-content-after-possible-data-breach/.189234" target="_blank" rel="noopener"&gt;Wakanim suffered a data breach which was subsequently advertised and sold on a popular hacking forum&lt;/a&gt;. The breach exposed 6.7M customer records including email, IP and physical addresses, names and usernames.</t>
  </si>
  <si>
    <t>https://haveibeenpwned.com/Content/Images/PwnedLogos/Wakanim.png</t>
  </si>
  <si>
    <t>['Browser user agent details', 'Email addresses', 'IP addresses', 'Names', 'Physical addresses', 'Usernames']</t>
  </si>
  <si>
    <t>Wanelo</t>
  </si>
  <si>
    <t>wanelo.com</t>
  </si>
  <si>
    <t>In approximately December 2018, the digital mall &lt;a href="https://www.zdnet.com/article/a-hacker-has-dumped-nearly-one-billion-user-records-over-the-past-two-months/" target="_blank" rel="noopener"&gt;Wanelo suffered a data breach&lt;/a&gt;. The data was later placed up for sale on a dark web marketplace along with a collection of other data breaches in April 2019. A total of 23 million unique email addresses were included in the breach alongside passwords stored as either MD5 or bcrypt hashes. After the initial HIBP load, further data containing names, shipping addresses and IP addresses were also provided to HIBP, albeit without direct association to the email addresses and passwords. The data was provided to HIBP by a source who requested it be attributed to &amp;quot;JimScott.Sec@protonmail.com&amp;quot;.</t>
  </si>
  <si>
    <t>https://haveibeenpwned.com/Content/Images/PwnedLogos/Wanelo.png</t>
  </si>
  <si>
    <t>['Email addresses', 'IP addresses', 'Names', 'Passwords', 'Physical addresses']</t>
  </si>
  <si>
    <t>WarInc</t>
  </si>
  <si>
    <t>War Inc.</t>
  </si>
  <si>
    <t>thewarinc.com</t>
  </si>
  <si>
    <t>In mid-2012, the real-time strategy game &lt;a href="http://thewarinc.com" target="_blank" rel="noopener"&gt;War Inc.&lt;/a&gt; suffered a data breach. The attack resulted in the exposure of over 1 million accounts including usernames, email addresses and salted MD5 hashes of passwords.</t>
  </si>
  <si>
    <t>https://haveibeenpwned.com/Content/Images/PwnedLogos/WarInc.png</t>
  </si>
  <si>
    <t>Warframe</t>
  </si>
  <si>
    <t>warframe.com</t>
  </si>
  <si>
    <t>In November 2014, the online game &lt;a href="http://motherboard.vice.com/read/gaming-site-warframe-hacked" target="_blank" rel="noopener"&gt;Warframe was hacked&lt;/a&gt; and 819k unique email addresses were exposed. Allegedly due to a SQL injection flaw in Drupal, the attack exposed usernames, email addresses and data in a "pass" column which adheres to the salted SHA12 password hashing pattern used by Drupal 7. Digital Extremes (the developers of Warframe), asserts the salted hashes are of "alias names" rather than passwords.</t>
  </si>
  <si>
    <t>https://haveibeenpwned.com/Content/Images/PwnedLogos/Warframe.png</t>
  </si>
  <si>
    <t>['Email addresses', 'Usernames', 'Website activity']</t>
  </si>
  <si>
    <t>Warmane</t>
  </si>
  <si>
    <t>warmane.com</t>
  </si>
  <si>
    <t>In approximately December 2016, the online service for World of Warcraft private servers &lt;a href="https://www.warmane.com" target="_blank" rel="noopener"&gt;Warmane&lt;/a&gt; suffered a data breach. The incident exposed over 1.1M accounts including usernames, email addresses, dates of birth and salted MD5 password hashes. The data was subsequently extensively circulated online and was later provided to HIBP by whitehat security researcher and data analyst Adam Davies.</t>
  </si>
  <si>
    <t>https://haveibeenpwned.com/Content/Images/PwnedLogos/Warmane.png</t>
  </si>
  <si>
    <t>Wattpad</t>
  </si>
  <si>
    <t>wattpad.com</t>
  </si>
  <si>
    <t>In June 2020, the user-generated stories website &lt;a href="https://www.bleepingcomputer.com/news/security/wattpad-data-breach-exposes-account-info-for-millions-of-users/" target="_blank" rel="noopener"&gt;Wattpad suffered a huge data breach that exposed almost 270 million records&lt;/a&gt;. The data was initially sold then published on a public hacking forum where it was broadly shared. The incident exposed extensive personal information including names and usernames, email and IP addresses, genders, birth dates and passwords stored as bcrypt hashes.</t>
  </si>
  <si>
    <t>https://haveibeenpwned.com/Content/Images/PwnedLogos/Wattpad.png</t>
  </si>
  <si>
    <t>['Bios', 'Dates of birth', 'Email addresses', 'Genders', 'Geographic locations', 'IP addresses', 'Names', 'Passwords', 'Social media profiles', 'User website URLs', 'Usernames']</t>
  </si>
  <si>
    <t>WeHeartIt</t>
  </si>
  <si>
    <t>We Heart It</t>
  </si>
  <si>
    <t>weheartit.com</t>
  </si>
  <si>
    <t>In November 2013, the image-based social network &lt;a href="http://help.weheartit.com/customer/portal/articles/2889018" target="_blank" rel="noopener"&gt;We Heart It suffered a data breach&lt;/a&gt;. The incident wasn't discovered until October 2017 when 8.6 million user records were sent to HIBP. The data contained user names, email addresses and password hashes, 80% of which were salted SHA-256 with the remainder being MD5 with no salt.</t>
  </si>
  <si>
    <t>https://haveibeenpwned.com/Content/Images/PwnedLogos/WeHeartIt.png</t>
  </si>
  <si>
    <t>WedMeGood</t>
  </si>
  <si>
    <t>wedmegood.com</t>
  </si>
  <si>
    <t>In January 2021, the Indian wedding planning platform &lt;a href="https://www.thenewsminute.com/article/wedmegood-and-two-more-sites-hacked-103-crore-users-card-data-leaked-140996" target="_blank" rel="noopener"&gt;WedMeGood suffered a data breach that exposed 1.3 million customers&lt;/a&gt;. The breach exposed 41.5GB of data including email and physical addresses, names, genders, phone numbers and password hashes. The data was provided to HIBP by &lt;a href="https://dehashed.com/" target="_blank" rel="noopener"&gt;dehashed.com&lt;/a&gt;.</t>
  </si>
  <si>
    <t>https://haveibeenpwned.com/Content/Images/PwnedLogos/WedMeGood.png</t>
  </si>
  <si>
    <t>['Email addresses', 'Genders', 'Names', 'Passwords', 'Phone numbers', 'Physical addresses']</t>
  </si>
  <si>
    <t>WeLeakInfo</t>
  </si>
  <si>
    <t>weleakinfo.com</t>
  </si>
  <si>
    <t>In March 2021, &lt;a href="https://krebsonsecurity.com/2021/03/weleakinfo-leaked-customer-payment-info/" target="_blank" rel="noopener"&gt;the Stripe account of the now-defunct WeLeakInfo service was taken over by &amp;quot;pompompurin&amp;quot;&lt;/a&gt; after acquiring an expired domain name with an email address used to manage the account. Access to Stripe then exposed almost 12k unique email addresses from customers who'd made credit card payments in order to obtain breached data hosted by WeLeakInfo. The data was subsequently leaked publicly and also included names, payment histories, IP addresses, billing addresses, partial credit card data and the organisation making the purchase.</t>
  </si>
  <si>
    <t>https://haveibeenpwned.com/Content/Images/PwnedLogos/WeLeakInfo.png</t>
  </si>
  <si>
    <t>['Browser user agent details', 'Email addresses', 'Employers', 'IP addresses', 'Names', 'Partial credit card data', 'Physical addresses', 'Purchases']</t>
  </si>
  <si>
    <t>Wendys</t>
  </si>
  <si>
    <t>Wendy's</t>
  </si>
  <si>
    <t>wendys.com.ph</t>
  </si>
  <si>
    <t>In March 2018, &lt;a href="https://www.rappler.com/technology/202040-wendys-philippines-data-breach/" target="_blank" rel="noopener"&gt;Wendy's in the Philippines suffered a data breach&lt;/a&gt; which impacted over 52k customers and job applicants. The breach exposed extensive personal information including names, email and IP addresses, physical addresses, phone numbers and passwords stored as MD5 hashes.</t>
  </si>
  <si>
    <t>https://haveibeenpwned.com/Content/Images/PwnedLogos/Wendys.png</t>
  </si>
  <si>
    <t>['Education levels', 'Email addresses', 'IP addresses', 'Job applications', 'Names', 'Passwords', 'Phone numbers', 'Physical addresses']</t>
  </si>
  <si>
    <t>Whitepages</t>
  </si>
  <si>
    <t>whitepages.com</t>
  </si>
  <si>
    <t>In mid-2016, the telephone and address directory service &lt;a href="https://www.theregister.co.uk/2019/02/11/620_million_hacked_accounts_dark_web/" target="_blank" rel="noopener"&gt;Whitepages was among a raft of sites that were breached and their data then sold in early-2019&lt;/a&gt;. The data included over 11 million unique email addresses alongside names and passwords stored as either a SHA-1 or bcrypt hash. The data was provided to HIBP by a source who requested it to be attributed to &amp;quot;BenjaminBlue@exploit.im&amp;quot;.</t>
  </si>
  <si>
    <t>https://haveibeenpwned.com/Content/Images/PwnedLogos/Whitepages.png</t>
  </si>
  <si>
    <t>WHMCS</t>
  </si>
  <si>
    <t>whmcs.com</t>
  </si>
  <si>
    <t>In May 2012, the web hosting, billing and automation company &lt;a href="http://news.softpedia.com/news/UGNazi-Leaks-1-7-GB-of-Data-from-WHMCS-Servers-270914.shtml" target="_blank" rel="noopener"&gt;WHMCS suffered a data breach&lt;/a&gt; that exposed 134k email addresses. The breach included extensive information about customers and payment histories including partial credit card numbers.</t>
  </si>
  <si>
    <t>https://haveibeenpwned.com/Content/Images/PwnedLogos/WHMCS.png</t>
  </si>
  <si>
    <t>['Email addresses', 'Email messages', 'Employers', 'IP addresses', 'Names', 'Partial credit card data', 'Passwords', 'Payment histories', 'Physical addresses', 'Website activity']</t>
  </si>
  <si>
    <t>WienerBuchereien</t>
  </si>
  <si>
    <t>Wiener BÃƒÂ¼chereien</t>
  </si>
  <si>
    <t>In June 2019, &lt;a href="https://futurezone.at/digital-life/wiener-buechereien-gehackt-daten-von-77000-nutzern-im-netz/400524190" target="_blank" rel="noopener"&gt;the library of Vienna (Wiener BÃƒÂ¼chereien) suffered a data breach&lt;/a&gt;. The compromised data included 224k unique email addresses, names, physical addresses, phone numbers and dates of birth. The breached data was subsequently posted to Twitter by the alleged perpetrator of the breach.</t>
  </si>
  <si>
    <t>https://haveibeenpwned.com/Content/Images/PwnedLogos/WienerBuchereien.png</t>
  </si>
  <si>
    <t>WifeLovers</t>
  </si>
  <si>
    <t>Wife Lovers</t>
  </si>
  <si>
    <t>wifelovers.com</t>
  </si>
  <si>
    <t>In October 2018, the site dedicated to posting naked photos and other erotica of wives &lt;a href="https://arstechnica.com/information-technology/2018/10/hack-on-8-adult-websites-exposes-oodles-of-intimate-user-data/" target="_blank" rel="noopener"&gt;Wife Lovers suffered a data breach&lt;/a&gt;. The underlying database supported a total of 8 different adult websites and contained over 1.2M unique email addresses. &lt;a href="https://web.archive.org/web/20181020185005/http://wifelovers.com/" target="_blank" rel="noopener"&gt;Wife Lovers acknowledged the breach&lt;/a&gt; which impacted names, usernames, email and IP addresses and passwords hashed using the weak DEScrypt algorithm. The breach has been marked as &amp;quot;sensitive&amp;quot; due to the nature of the site.</t>
  </si>
  <si>
    <t>https://haveibeenpwned.com/Content/Images/PwnedLogos/WifeLovers.png</t>
  </si>
  <si>
    <t>WIIUISO</t>
  </si>
  <si>
    <t>WIIU ISO</t>
  </si>
  <si>
    <t>wiiuiso.com</t>
  </si>
  <si>
    <t>In September 2015, the Nintendo Wii U forum known as &lt;a href="http://www.wiiuiso.com" target="_blank" rel="noopener"&gt;WIIU ISO&lt;/a&gt; was hacked and 458k accounts were exposed. Along with email and IP addresses, the vBulletin forum also exposed salted MD5 password hashes.</t>
  </si>
  <si>
    <t>https://haveibeenpwned.com/Content/Images/PwnedLogos/WIIUISO.png</t>
  </si>
  <si>
    <t>WildStar</t>
  </si>
  <si>
    <t>wildstar-online.com</t>
  </si>
  <si>
    <t>In July 2015, the IP.Board forum for the gaming website &lt;a href="http://www.wildstar-online.com" target="_blank" rel="noopener"&gt;WildStar&lt;/a&gt; suffered a data breach that exposed over 738k forum members' accounts. The data was being actively traded on underground forums and included email addresses, birth dates and passwords.</t>
  </si>
  <si>
    <t>https://haveibeenpwned.com/Content/Images/PwnedLogos/WildStar.png</t>
  </si>
  <si>
    <t>Win7Vista</t>
  </si>
  <si>
    <t>Win7Vista Forum</t>
  </si>
  <si>
    <t>win7vista.com</t>
  </si>
  <si>
    <t>In September 2013, the &lt;a href="http://www.win7vista.com" target="_blank" rel="noopener"&gt;Win7Vista&lt;/a&gt; Windows forum (since renamed to the "Beyond Windows 9" forum) was hacked and later &lt;a href="http://leak.sx/thread-186933" target="_blank" rel="noopener"&gt;had its internal database dumped&lt;/a&gt;. The dump included over 200k membersÃ¢â‚¬â„¢ personal information and other internal data extracted from the forum.</t>
  </si>
  <si>
    <t>https://haveibeenpwned.com/Content/Images/PwnedLogos/Win7Vista.png</t>
  </si>
  <si>
    <t>Wishbone</t>
  </si>
  <si>
    <t>Wishbone (2016)</t>
  </si>
  <si>
    <t>wishbone.io</t>
  </si>
  <si>
    <t>In August 2016, the mobile app to &amp;quot;compare anything&amp;quot; known as &lt;a href="https://motherboard.vice.com/en_us/article/popular-teen-quiz-app-wishbone-has-been-hacked-exposing-tons-of-user-information" target="_blank" rel="noopener"&gt;Wishbone suffered a data breach&lt;/a&gt;. The data contained 9.4 million records with 2.2 million unique email addresses and was allegedly a subset of the complete data set. The exposed data included genders, birthdates, email addresses and phone numbers for an audience predominantly composed of teenagers and young adults.</t>
  </si>
  <si>
    <t>https://haveibeenpwned.com/Content/Images/PwnedLogos/Wishbone.png</t>
  </si>
  <si>
    <t>['Auth tokens', 'Dates of birth', 'Email addresses', 'Genders', 'Names', 'Phone numbers', 'Usernames']</t>
  </si>
  <si>
    <t>Wishbone2020</t>
  </si>
  <si>
    <t>Wishbone (2020)</t>
  </si>
  <si>
    <t>In January 2020, the mobile app to &amp;quot;compare anything&amp;quot; &lt;a href="https://www.infosecurity-magazine.com/news/wishbone-breach-40-million-records/" target="_blank" rel="noopener"&gt;Wishbone suffered another data breach&lt;/a&gt; which followed their breach from 2016. An extensive amount of personal information including almost 10M unique email addresses alongside names, phone numbers geographic locations and other personal attributes were leaked online and extensively redistributed. Passwords stored as unsalted MD5 hashes were also included in the breach. The data was provided to HIBP by a source who requested it be attributed to &amp;quot;All3in&amp;quot;.</t>
  </si>
  <si>
    <t>['Auth tokens', 'Dates of birth', 'Email addresses', 'Genders', 'Geographic locations', 'IP addresses', 'Names', 'Passwords', 'Phone numbers', 'Profile photos', 'Social media profiles', 'Usernames']</t>
  </si>
  <si>
    <t>WiziShop</t>
  </si>
  <si>
    <t>wizishop.fr</t>
  </si>
  <si>
    <t>In July 2020, the French e-commerce platform &lt;a href="https://www.wizishop.fr/" target="_blank" rel="noopener"&gt;WiziShop&lt;/a&gt; suffered a data breach. The breach exposed 18GB worth of data including names, phone numbers, dates of birth, physical and IP addresses, SHA-1 password hashes and almost 3 million unique email addresses. The data was provided to HIBP by a source who requested it be attributed to &amp;quot;pom@pompur.in&amp;quot;.</t>
  </si>
  <si>
    <t>https://haveibeenpwned.com/Content/Images/PwnedLogos/WiziShop.png</t>
  </si>
  <si>
    <t>Wongnai</t>
  </si>
  <si>
    <t>wongnai.com</t>
  </si>
  <si>
    <t>In October 2020, &lt;a href="https://www.bleepingcomputer.com/news/security/hacker-is-selling-34-million-user-records-stolen-from-17-companies/" target="_blank" rel="noopener"&gt;17 previously undisclosed data breaches appeared for sale&lt;/a&gt; including the Thai restaurant, hotel and attraction finding service, Wongnai. The breach exposed almost 4M unique customer records from some time during 2020 along with names, phone numbers, links to social media profiles and passwords stored as MD5 hashes. The data was self-submitted to HIBP by Wongnai.</t>
  </si>
  <si>
    <t>https://haveibeenpwned.com/Content/Images/PwnedLogos/Wongnai.png</t>
  </si>
  <si>
    <t>['Dates of birth', 'Email addresses', 'Geographic locations', 'IP addresses', 'Names', 'Passwords', 'Phone numbers', 'Social media profiles']</t>
  </si>
  <si>
    <t>WPSandbox</t>
  </si>
  <si>
    <t>wpsandbox.io</t>
  </si>
  <si>
    <t>In November 2018, the WordPress sandboxing service that allows people to create temporary websites &lt;a href="https://wpsandbox.io/" target="_blank" rel="noopener"&gt;WP Sandbox&lt;/a&gt; discovered their service was being used to host a phishing site attempting to collect Microsoft OneDrive accounts. After identifying the malicious site, WP Sandbox took it offline, contacted the 858 people who provided information to it then self-submitted their addresses to HIBP. The phishing page requested both email addresses and passwords.</t>
  </si>
  <si>
    <t>https://haveibeenpwned.com/Content/Images/PwnedLogos/WPSandbox.png</t>
  </si>
  <si>
    <t>WPT</t>
  </si>
  <si>
    <t>WPT Amateur Poker League</t>
  </si>
  <si>
    <t>wptapl.com</t>
  </si>
  <si>
    <t>In January 2014, the &lt;a href="http://www.wptapl.com" target="_blank" rel="noopener"&gt;World Poker Tour (WPT) Amateur Poker League website&lt;/a&gt; was hacked by the Twitter user @smitt3nz. The attack resulted in the public disclosure of 175,000 accounts including 148,000 email addresses. The plain text password for each account was also included in the breach.</t>
  </si>
  <si>
    <t>https://haveibeenpwned.com/Content/Images/PwnedLogos/WPT.png</t>
  </si>
  <si>
    <t>xat</t>
  </si>
  <si>
    <t>xat.com</t>
  </si>
  <si>
    <t>In November 2015, the online chatroom known as &lt;a href="http://xat.com/databreach.html" target="_blank" rel="noopener"&gt;&amp;quot;xat&amp;quot; was hacked&lt;/a&gt; and 6 million user accounts were exposed. Used as a chat engine on websites, the leaked data included usernames, email and IP addresses along with hashed passwords.</t>
  </si>
  <si>
    <t>https://haveibeenpwned.com/Content/Images/PwnedLogos/xat.png</t>
  </si>
  <si>
    <t>Xbox360ISO</t>
  </si>
  <si>
    <t>Xbox 360 ISO</t>
  </si>
  <si>
    <t>xbox360iso.com</t>
  </si>
  <si>
    <t>In approximately September 2015, the XBOX 360 forum known as &lt;a href="http://www.xbox360iso.com" target="_blank" rel="noopener"&gt;XBOX360 ISO&lt;/a&gt; was hacked and 1.2 million accounts were exposed. Along with email and IP addresses, the vBulletin forum also exposed salted MD5 password hashes.</t>
  </si>
  <si>
    <t>https://haveibeenpwned.com/Content/Images/PwnedLogos/Xbox360ISO.png</t>
  </si>
  <si>
    <t>Xbox-Scene</t>
  </si>
  <si>
    <t>xboxscene.com</t>
  </si>
  <si>
    <t>In approximately February 2015, the Xbox forum known as &lt;a href="http://xboxscene.com/" target="_blank" rel="noopener"&gt;Xbox-Scene&lt;/a&gt; was hacked and more than 432k accounts were exposed. The IP.Board forum included IP addresses and passwords stored as salted hashes using a weak implementation enabling many to be rapidly cracked.</t>
  </si>
  <si>
    <t>https://haveibeenpwned.com/Content/Images/PwnedLogos/Xbox-Scene.png</t>
  </si>
  <si>
    <t>xHamster</t>
  </si>
  <si>
    <t>xhamster.com</t>
  </si>
  <si>
    <t>In November 2016, news broke that &lt;a href="https://motherboard.vice.com/en_us/article/kb7kqx/hackers-are-trading-hundreds-of-thousands-of-xhamster-porn-account-details" target="_blank" rel="noopener"&gt;hackers were trading hundreds of thousands of xHamster porn account details&lt;/a&gt;. In total, the data contained almost 380k unique user records including email addresses, usernames and unsalted MD5 password hashes.</t>
  </si>
  <si>
    <t>https://haveibeenpwned.com/Content/Images/PwnedLogos/xHamster.png</t>
  </si>
  <si>
    <t>Xiaomi</t>
  </si>
  <si>
    <t>xiaomi.cn</t>
  </si>
  <si>
    <t>In August 2012, &lt;a href="https://thehackernews.com/2014/10/xiaomi-data-breach-hacker.html" target="_blank" rel="noopener"&gt;the Xiaomi user forum website suffered a data breach&lt;/a&gt;. In all, 7 million email addresses appeared in the breach although a significant portion of them were numeric aliases on the bbs_ml_as_uid.xiaomi.com domain. Usernames, IP addresses and passwords stored as salted MD5 hashes were also exposed. The data was provided with support from &lt;a href="https://dehashed.com/" target="_blank" rel="noopener"&gt;dehashed.com&lt;/a&gt;. &lt;a href="https://www.troyhunt.com/handling-chinese-data-breaches-in-have-i-been-pwned/" target="_blank" rel="noopener"&gt;Read more about Chinese data breaches in Have I Been Pwned.&lt;/a&gt;</t>
  </si>
  <si>
    <t>https://haveibeenpwned.com/Content/Images/PwnedLogos/Xiaomi.png</t>
  </si>
  <si>
    <t>XKCD</t>
  </si>
  <si>
    <t>xkcd.com</t>
  </si>
  <si>
    <t>In July 2019, &lt;a href="https://forums.xkcd.com/" target="_blank" rel="noopener"&gt;the forum for webcomic XKCD&lt;/a&gt; suffered a data breach that impacted 562k subscribers. The breached phpBB forum leaked usernames, email and IP addresses and passwords stored in MD5 phpBB3 format. The data was provided to HIBP by white hat security researcher and data analyst Adam Davies.</t>
  </si>
  <si>
    <t>https://haveibeenpwned.com/Content/Images/PwnedLogos/XKCD.png</t>
  </si>
  <si>
    <t>XPGameSaves</t>
  </si>
  <si>
    <t>XPG</t>
  </si>
  <si>
    <t>xpgamesaves.com</t>
  </si>
  <si>
    <t>In approximately early 2016, the gaming website &lt;a href="http://www.xpgamesaves.com/" target="_blank" rel="noopener"&gt;Xpgamesaves&lt;/a&gt; (XPG) suffered a data breach resulting in the exposure of 890k unique user records. The data contained email and IP addresses, usernames and salted MD5 hashes of passwords. The site was previously reported as compromised on the &lt;a href="https://vigilante.pw/" target="_blank" rel="noopener"&gt;Vigilante.pw&lt;/a&gt; breached database directory. This data was provided by security researcher and data analyst, Adam Davies.</t>
  </si>
  <si>
    <t>https://haveibeenpwned.com/Content/Images/PwnedLogos/XPGameSaves.png</t>
  </si>
  <si>
    <t>XSplit</t>
  </si>
  <si>
    <t>xsplit.com</t>
  </si>
  <si>
    <t>In November 2013, the makers of gaming live streaming and recording software &lt;a href="https://www.xsplit.com/blog/xsplit-password-reset-alert" target="_blank" rel="noopener"&gt;XSplit was compromised in an online attack&lt;/a&gt;. The data breach leaked almost 3M names, email addresses, usernames and hashed passwords.</t>
  </si>
  <si>
    <t>https://haveibeenpwned.com/Content/Images/PwnedLogos/XSplit.png</t>
  </si>
  <si>
    <t>Yahoo</t>
  </si>
  <si>
    <t>yahoo.com</t>
  </si>
  <si>
    <t>In July 2012, Yahoo! had their online publishing service &amp;quot;Voices&amp;quot; compromised via a SQL injection attack. The breach resulted in the disclosure of nearly half a million usernames and passwords stored in plain text. The breach showed that of the compromised accounts, a staggering &lt;a href="http://www.troyhunt.com/2012/07/what-do-sony-and-yahoo-have-in-common.html" target="_blank" rel="noopener"&gt;59% of people who also had accounts in the Sony breach reused their passwords across both services&lt;/a&gt;.</t>
  </si>
  <si>
    <t>https://haveibeenpwned.com/Content/Images/PwnedLogos/Yahoo.png</t>
  </si>
  <si>
    <t>Yam</t>
  </si>
  <si>
    <t>yam.com</t>
  </si>
  <si>
    <t>In June 2013, the Taiwanese website &lt;a href="https://twitter.com/StillAzureH/status/1383234219153846276" target="_blank" rel="noopener"&gt;Yam.com suffered a data breach which was shared to a popular hacking forum in 2021&lt;/a&gt;. The data included 13 million unique email addresses alongside names, usernames, phone numbers, physical addresses, dates of birth and unsalted MD5 password hashes.</t>
  </si>
  <si>
    <t>https://haveibeenpwned.com/Content/Images/PwnedLogos/Yam.png</t>
  </si>
  <si>
    <t>['Dates of birth', 'Email addresses', 'Names', 'Passwords', 'Phone numbers', 'Physical addresses', 'Usernames']</t>
  </si>
  <si>
    <t>Yandex</t>
  </si>
  <si>
    <t>Yandex Dump</t>
  </si>
  <si>
    <t>In September 2014, &lt;a href="http://habrahabr.ru/post/235949/" target="_blank" rel="noopener"&gt;news broke of a massive leak of accounts from Yandex&lt;/a&gt;, the Russian search engine giants who also provides email services. The purported million &amp;quot;breached&amp;quot; accounts were disclosed at the same time as nearly 5M mail.ru accounts with &lt;a href="http://globalvoicesonline.org/2014/09/10/russia-email-yandex-mailru-passwords-hacking/" target="_blank" rel="noopener"&gt;both companies claiming the credentials were acquired via phishing scams&lt;/a&gt; rather than being obtained as a result of direct attacks against their services.</t>
  </si>
  <si>
    <t>https://haveibeenpwned.com/Content/Images/PwnedLogos/Yandex.png</t>
  </si>
  <si>
    <t>Yatra</t>
  </si>
  <si>
    <t>yatra.com</t>
  </si>
  <si>
    <t>In September 2013, the Indian bookings website known as &lt;a href="https://www.yatra.com/" target="_blank" rel="noopener"&gt;Yatra&lt;/a&gt; had 5 million records exposed in a data breach. The data contained email and physical addresses, dates of birth and phone numbers along with both PINs and passwords stored in plain text. The site was previously reported as compromised on the &lt;a href="https://vigilante.pw/" target="_blank" rel="noopener"&gt;Vigilante.pw&lt;/a&gt; breached database directory.</t>
  </si>
  <si>
    <t>https://haveibeenpwned.com/Content/Images/PwnedLogos/Yatra.png</t>
  </si>
  <si>
    <t>['Dates of birth', 'Email addresses', 'Names', 'Passwords', 'Phone numbers', 'Physical addresses', 'PINs']</t>
  </si>
  <si>
    <t>YoteprestoCom</t>
  </si>
  <si>
    <t>yotepresto.com</t>
  </si>
  <si>
    <t>In June 2020, the Mexican lending platform &lt;a href="https://newsbeezer.com/mexicoeng/yotepresto-has-disclosed-the-emails-and-passwords-of-all-1-4-million-customers/" target="_blank" rel="noopener"&gt;yotepresto.com suffered a data breach&lt;/a&gt;. Over 1.4 million customers were impacted by the breach which disclosed email and IP addresses, usernames and passwords stored as bcrypt hashes. The data was provided to HIBP by &lt;a href="https://dehashed.com/" target="_blank" rel="noopener"&gt;dehashed.com&lt;/a&gt;.</t>
  </si>
  <si>
    <t>https://haveibeenpwned.com/Content/Images/PwnedLogos/YoteprestoCom.png</t>
  </si>
  <si>
    <t>Youku</t>
  </si>
  <si>
    <t>youku.com</t>
  </si>
  <si>
    <t>In late 2016, the online Chinese video service &lt;a href="http://www.youku.com" target="_blank" rel="noopener"&gt;Youku&lt;/a&gt; suffered a data breach. The incident exposed 92 million unique user accounts and corresponding MD5 password hashes. The data was contributed to Have I Been Pwned courtesy of rip@creep.im.</t>
  </si>
  <si>
    <t>https://haveibeenpwned.com/Content/Images/PwnedLogos/Youku.png</t>
  </si>
  <si>
    <t>YouNow</t>
  </si>
  <si>
    <t>younow.com</t>
  </si>
  <si>
    <t>In February 2019, &lt;a href="https://techcrunch.com/2019/02/14/hacker-strikes-again/" target="_blank" rel="noopener"&gt;data from the live broadcasting service YouNow appeared for sale on a dark web marketplace&lt;/a&gt;. Whilst it's not clear what date the actual breach occurred on, the impacted data included 18M unique email addresses, IP addresses, names, usernames and links to social media profiles. As authentication is performed via social providers, no passwords were exposed in the breach. Many records didn't have associated email addresses thus the unique number is lower than the reported total number of accounts. The data was provided to HIBP by a source who requested it be attributed to &amp;quot;JimScott.Sec@protonmail.com&amp;quot;.</t>
  </si>
  <si>
    <t>https://haveibeenpwned.com/Content/Images/PwnedLogos/YouNow.png</t>
  </si>
  <si>
    <t>['Email addresses', 'IP addresses', 'Names', 'Social media profiles', 'Usernames']</t>
  </si>
  <si>
    <t>YouPorn</t>
  </si>
  <si>
    <t>youporn.com</t>
  </si>
  <si>
    <t>In February 2012, the adult website YouPorn &lt;a href="http://www.huffingtonpost.com/2012/02/22/youporn-hacked-email-addresses-passwords_n_1294502.html" target="_blank" rel="noopener"&gt;had over 1.3M user accounts exposed in a data breach&lt;/a&gt;. The publicly released data included both email addresses and plain text passwords.</t>
  </si>
  <si>
    <t>https://haveibeenpwned.com/Content/Images/PwnedLogos/YouPorn.png</t>
  </si>
  <si>
    <t>YouveBeenScraped</t>
  </si>
  <si>
    <t>You've Been Scraped</t>
  </si>
  <si>
    <t>In October and November 2018, &lt;a href="https://blog.hackenproof.com/industry-news/new-report-unknown-data-scraper-breach/" target="_blank" rel="noopener"&gt;security researcher Bob Diachenko identified several unprotected MongoDB instances believed to be hosted by a data aggregator&lt;/a&gt;. Containing a total of over 66M records, the owner of the data couldn't be identified but it is believed to have been scraped from LinkedIn hence the title &amp;quot;You've Been Scraped&amp;quot;. The exposed records included names, both work and personal email addresses, job titles and links to the individuals' LinkedIn profiles.</t>
  </si>
  <si>
    <t>['Email addresses', 'Employers', 'Geographic locations', 'Job titles', 'Names', 'Social media profiles']</t>
  </si>
  <si>
    <t>ZAPHosting</t>
  </si>
  <si>
    <t>ZAP-Hosting</t>
  </si>
  <si>
    <t>zap-hosting.com</t>
  </si>
  <si>
    <t>In November 2021, web host &lt;a href="https://twitter.com/zaphosting/status/1503346593591873543" target="_blank" rel="noopener"&gt;ZAP-Hosting suffered a data breach&lt;/a&gt; that exposed over 60GB of data containing 746k unique email addresses. The breach also contained support chat logs, IP addresses, names, purchases, physical addresses and phone numbers.</t>
  </si>
  <si>
    <t>https://haveibeenpwned.com/Content/Images/PwnedLogos/ZAPHosting.png</t>
  </si>
  <si>
    <t>['Browser user agent details', 'Chat logs', 'Email addresses', 'IP addresses', 'Names', 'Phone numbers', 'Physical addresses', 'Purchases']</t>
  </si>
  <si>
    <t>Zhenai</t>
  </si>
  <si>
    <t>Zhenai.com</t>
  </si>
  <si>
    <t>zhenai.com</t>
  </si>
  <si>
    <t>In December 2011, the Chinese dating site known as &lt;a href="http://nic.xjtu.edu.cn/info/1018/1909.htm" target="_blank" rel="noopener"&gt;Zhenai.com suffered a data breach&lt;/a&gt; that impacted 5 million subscribers. Whilst there is evidence that the data is legitimate, due to the difficulty of emphatically verifying the Chinese breach it has been flagged as &amp;quot;unverified&amp;quot;. The data in the breach contains email addresses and plain text passwords. &lt;a href="https://www.troyhunt.com/handling-chinese-data-breaches-in-have-i-been-pwned/" target="_blank" rel="noopener"&gt;Read more about Chinese data breaches in Have I Been Pwned.&lt;/a&gt;</t>
  </si>
  <si>
    <t>https://haveibeenpwned.com/Content/Images/PwnedLogos/Zhenai.png</t>
  </si>
  <si>
    <t>Zomato</t>
  </si>
  <si>
    <t>zomato.com</t>
  </si>
  <si>
    <t>In May 2017, the restaurant guide website &lt;a href="https://www.hackread.com/zomato-hacked-17-million-accounts-sold-on-dark-web/" target="_blank" rel="noopener"&gt;Zomato was hacked&lt;/a&gt; resulting in the exposure of almost 17 million accounts. The data was consequently redistributed online and contains email addresses, usernames and salted MD5 hashes of passwords (the password hash was not present on all accounts). This data was provided to HIBP by whitehat security researcher and data analyst Adam Davies.</t>
  </si>
  <si>
    <t>https://haveibeenpwned.com/Content/Images/PwnedLogos/Zomato.png</t>
  </si>
  <si>
    <t>Zoomcar</t>
  </si>
  <si>
    <t>zoomcar.com</t>
  </si>
  <si>
    <t>In July 2018, the Indian self-drive car rental company &lt;a href="https://tech.economictimes.indiatimes.com/news/internet/data-of-3-5-million-zoomcar-customers-up-for-sale/75896086" target="_blank" rel="noopener"&gt;Zoomcar suffered a data breach which was subsequently sold on a dark web marketplace in 2020&lt;/a&gt;. The breach exposed over 3.5M records including names, email and IP addresses, phone numbers and passwords stored as bcrypt hashes. The data was provided to HIBP by &lt;a href="https://dehashed.com/" target="_blank" rel="noopener"&gt;dehashed.com&lt;/a&gt;.</t>
  </si>
  <si>
    <t>https://haveibeenpwned.com/Content/Images/PwnedLogos/Zoomcar.png</t>
  </si>
  <si>
    <t>Zoosk</t>
  </si>
  <si>
    <t>Zoosk (2011)</t>
  </si>
  <si>
    <t>zoosk.com</t>
  </si>
  <si>
    <t>In approximately 2011, an alleged breach of the dating website &lt;a href="https://www.zoosk.com/" target="_blank" rel="noopener"&gt;Zoosk&lt;/a&gt; began circulating. Comprised of almost 53 million records, the data contained email addresses and plain text passwords. However, during extensive verification in May 2016 &lt;a href="https://www.troyhunt.com/heres-how-i-verify-data-breaches/" target="_blank" rel="noopener"&gt;no evidence could be found that the data was indeed sourced from the dating service&lt;/a&gt;. This breach has consequently been flagged as &lt;a href="https://www.troyhunt.com/introducing-fabricated-data-breaches-to-have-i-been-pwned" target="_blank" rel="noopener"&gt;fabricated&lt;/a&gt;; it's highly unlikely the data was sourced from Zoosk.</t>
  </si>
  <si>
    <t>https://haveibeenpwned.com/Content/Images/PwnedLogos/Zoosk.png</t>
  </si>
  <si>
    <t>Zoosk2020</t>
  </si>
  <si>
    <t>Zoosk (2020)</t>
  </si>
  <si>
    <t>In January 2020, the online dating service &lt;a href="https://grahamcluley.com/zoosk-hacking/" target="_blank" rel="noopener"&gt;Zoosk suffered a data breach&lt;/a&gt; which was subsequently shared extensively across online hacking communities. The breach contained 24 million unique email addresses alongside extensive personal information including genders, sexualities, dates of birth, physical attributes such as height and weight, religions, ethnicities and political views. The breach also allegedly exposed MD5 password hashes, although the data circulating in hacking circles had this field nulled out. The breach was provided to HIBP by &lt;a href="https://breachbase.pw/" target="_blank" rel="noopener"&gt;breachbase.pw&lt;/a&gt;.</t>
  </si>
  <si>
    <t>['Dates of birth', 'Drinking habits', 'Education levels', 'Email addresses', 'Ethnicities', 'Family structure', 'Genders', 'Geographic locations', 'Income levels', 'Names', 'Nicknames', 'Physical attributes', 'Political views', 'Relationship statuses', 'Religions', 'Sexual orientations', 'Smoking habits']</t>
  </si>
  <si>
    <t>Zooville</t>
  </si>
  <si>
    <t>zooville.org</t>
  </si>
  <si>
    <t>In September 2019, the zoophilia and bestiality forum &lt;a href="https://www.zooville.org/threads/security-incident-and-site-rebuild-september-2019.9/" target="_blank" rel="noopener"&gt;Zooville suffered a data breach&lt;/a&gt;. The usernames and email addresses of 71k members were accessed via an unpatched vulnerability in the vBulletin forum software then subsequently distributed online. A second data set was later provided to HIBP which contained a complete vBulletin database dump including IP addresses, dates of birth and passwords stored as bcrypt hashes. The site administrator advised that following the breach, all data had been deleted from the forum and a new one had been stood up on the XenForo platform. The data was provided to HIBP by a source who requested it be attributed to &amp;quot;burger vault&amp;quot;.</t>
  </si>
  <si>
    <t>https://haveibeenpwned.com/Content/Images/PwnedLogos/Zooville.png</t>
  </si>
  <si>
    <t>Zurich</t>
  </si>
  <si>
    <t>zurich.co.jp</t>
  </si>
  <si>
    <t>In January 2023, &lt;a href="https://therecord.media/millions-of-aflac-zurich-insurance-customers-in-japan-have-data-leaked-after-breach/" target="_blank" rel="noopener"&gt;the Japanese arm of Zurich insurance suffered a data breach that exposed 2.6M customer records with over 756k unique email addresses&lt;/a&gt;. The data was subsequently posted to a popular hacking forum and also included names, genders, dates of birth and details of insured vehicles. The data was provided to HIBP by a source who requested it be attributed to &amp;quot;IntelBroker&amp;quot;.</t>
  </si>
  <si>
    <t>https://haveibeenpwned.com/Content/Images/PwnedLogos/Zurich.png</t>
  </si>
  <si>
    <t>['Dates of birth', 'Email addresses', 'Genders', 'Names', 'Vehicle details']</t>
  </si>
  <si>
    <t>Zynga</t>
  </si>
  <si>
    <t>zynga.com</t>
  </si>
  <si>
    <t>In September 2019, game developer &lt;a href="https://www.cnet.com/news/words-with-friends-hack-reportedly-exposes-data-of-more-than-200m-players/" target="_blank" rel="noopener"&gt;Zynga (the creator of Words with Friends) suffered a data breach&lt;/a&gt;. The incident exposed 173M unique email addresses alongside usernames and passwords stored as salted SHA-1 hashes. The data was provided to HIBP by &lt;a href="https://dehashed.com/" target="_blank" rel="noopener"&gt;dehashed.com&lt;/a&gt;.</t>
  </si>
  <si>
    <t>https://haveibeenpwned.com/Content/Images/PwnedLogos/Zynga.png</t>
  </si>
  <si>
    <t>Parapa</t>
  </si>
  <si>
    <t>ÃÅ¸ÃÂ°Ã‘â‚¬ÃÂ° ÃÅ¸ÃÂ°</t>
  </si>
  <si>
    <t>parapa.mail.ru</t>
  </si>
  <si>
    <t>In August 2016, &lt;a href="http://www.zdnet.com/article/over-25-million-accounts-stolen-after-mail-ru-forums-raided-by-hackers/" target="_blank" rel="noopener"&gt;the Russian gaming site known as ÃÅ¸ÃÂ°Ã‘â‚¬ÃÂ° ÃÅ¸ÃÂ° (or parapa.mail.ru) was hacked&lt;/a&gt; along with a number of other forums on the Russian mail provider, mail.ru. The vBulletin forum contained 4.9 million accounts including usernames, email addresses and passwords stored as salted MD5 hashes.</t>
  </si>
  <si>
    <t>https://haveibeenpwned.com/Content/Images/PwnedLogos/Parapa.png</t>
  </si>
  <si>
    <t>SprashivaiRu</t>
  </si>
  <si>
    <t>ÃÂ¡ÃÂ¿Ã‘â‚¬ÃÂ°Ã‘Ë†ÃÂ¸ÃÂ²ÃÂ°ÃÂ¹.Ã‘â‚¬Ã‘Æ’</t>
  </si>
  <si>
    <t>sprashivai.ru</t>
  </si>
  <si>
    <t>In May 2015, &lt;a href="http://sprashivai.ru/" target="_blank" rel="noopener"&gt;ÃÂ¡ÃÂ¿Ã‘â‚¬ÃÂ°Ã‘Ë†ÃÂ¸ÃÂ²ÃÂ°ÃÂ¹.Ã‘â‚¬Ã‘Æ’&lt;/a&gt; (a the Russian website for anonymous reviews) was &lt;a href="http://tjournal.ru/p/sprashivairu-passwords-leak" target="_blank" rel="noopener"&gt;reported to have had 6.7 million user details exposed&lt;/a&gt; by a hacker known as &amp;quot;w0rm&amp;quot;. Intended to be a site for expressing anonymous opinions, the leaked data included email addresses, birth dates and other personally identifiable data about almost 3.5 million unique email addresses found in the leak.</t>
  </si>
  <si>
    <t>https://haveibeenpwned.com/Content/Images/PwnedLogos/SprashivaiRu.png</t>
  </si>
  <si>
    <t>['Dates of birth', 'Email addresses', 'Genders', 'Geographic locations', 'IP addresses', 'Passwords', 'Spoken languages']</t>
  </si>
  <si>
    <t>DecoratingTheHouse</t>
  </si>
  <si>
    <t>Ã¬Â§â€˜ÃªÂ¾Â¸Ã«Â¯Â¸ÃªÂ¸Â°</t>
  </si>
  <si>
    <t>ggumim.co.kr</t>
  </si>
  <si>
    <t>In March 2020, the Korean interior decoration website &lt;a href="https://www.bleepingcomputer.com/news/security/hacker-leaks-386-million-user-records-from-18-companies-for-free/" target="_blank" rel="noopener"&gt;???? (Decorating the House) suffered a data breach&lt;/a&gt; which impacted almost 1.3 million members. Served via the URL &lt;a href="https://www.ggumim.co.kr/" target="_blank" rel="noopener"&gt;ggumim.co.kr&lt;/a&gt;, the exposed data included email addresses, names, usernames and phone numbers, all of which was subsequently shared extensively throughout online hacking communities. The data was provided to HIBP by &lt;a href="https://breachbase.pw/" target="_blank" rel="noopener"&gt;breachbase.pw&lt;/a&gt;.</t>
  </si>
  <si>
    <t>https://haveibeenpwned.com/Content/Images/PwnedLogos/DecoratingTheHouse.png</t>
  </si>
  <si>
    <t>['Email addresses', 'Names', 'Phone numbers', 'Usernames']</t>
  </si>
  <si>
    <t>total</t>
  </si>
  <si>
    <t xml:space="preserve"> </t>
  </si>
  <si>
    <t xml:space="preserve">'Income levels'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</si>
</sst>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3">
    <xf numFmtId="0" fontId="0" fillId="0" borderId="0" xfId="0"/>
    <xf numFmtId="14" fontId="0" fillId="0" borderId="0" xfId="0" applyNumberFormat="1"/>
    <xf numFmtId="22" fontId="0" fillId="0" borderId="0" xfId="0" applyNumberFormat="1"/>
    <xf numFmtId="0" fontId="16" fillId="0" borderId="0" xfId="0" applyFont="1"/>
    <xf numFmtId="2" fontId="0" fillId="0" borderId="0" xfId="0" applyNumberFormat="1"/>
    <xf numFmtId="0" fontId="16" fillId="33" borderId="0" xfId="0" applyFont="1" applyFill="1"/>
    <xf numFmtId="0" fontId="0" fillId="33" borderId="0" xfId="0" applyFill="1"/>
    <xf numFmtId="0" fontId="16" fillId="34" borderId="0" xfId="0" applyFont="1" applyFill="1"/>
    <xf numFmtId="0" fontId="0" fillId="34" borderId="0" xfId="0" applyFill="1"/>
    <xf numFmtId="0" fontId="16" fillId="35" borderId="0" xfId="0" applyFont="1" applyFill="1"/>
    <xf numFmtId="0" fontId="0" fillId="35" borderId="0" xfId="0" applyFill="1"/>
    <xf numFmtId="0" fontId="16" fillId="36" borderId="0" xfId="0" applyFont="1" applyFill="1"/>
    <xf numFmtId="0" fontId="0" fillId="36"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Sheet2!$A$1:$DH$1</c:f>
              <c:strCache>
                <c:ptCount val="112"/>
                <c:pt idx="0">
                  <c:v>'Account balances'</c:v>
                </c:pt>
                <c:pt idx="1">
                  <c:v>'Address book contacts'</c:v>
                </c:pt>
                <c:pt idx="2">
                  <c:v>'Age groups'</c:v>
                </c:pt>
                <c:pt idx="3">
                  <c:v>'Apps installed on devices'</c:v>
                </c:pt>
                <c:pt idx="4">
                  <c:v>'Astrological signs'</c:v>
                </c:pt>
                <c:pt idx="5">
                  <c:v>'Auth tokens'</c:v>
                </c:pt>
                <c:pt idx="6">
                  <c:v>'Avatars'</c:v>
                </c:pt>
                <c:pt idx="7">
                  <c:v>'Bank account numbers'</c:v>
                </c:pt>
                <c:pt idx="8">
                  <c:v>'Beauty ratings'</c:v>
                </c:pt>
                <c:pt idx="9">
                  <c:v>'Biometric data'</c:v>
                </c:pt>
                <c:pt idx="10">
                  <c:v>'Bios'</c:v>
                </c:pt>
                <c:pt idx="11">
                  <c:v>'Browser user agent details' </c:v>
                </c:pt>
                <c:pt idx="12">
                  <c:v>'Buying preferences'</c:v>
                </c:pt>
                <c:pt idx="13">
                  <c:v>'Car ownership statuses'</c:v>
                </c:pt>
                <c:pt idx="14">
                  <c:v>'Cellular network names'</c:v>
                </c:pt>
                <c:pt idx="15">
                  <c:v>'Charitable donations'</c:v>
                </c:pt>
                <c:pt idx="16">
                  <c:v>'Chat logs'</c:v>
                </c:pt>
                <c:pt idx="17">
                  <c:v>'Credit card CVV'</c:v>
                </c:pt>
                <c:pt idx="18">
                  <c:v>'Credit cards'</c:v>
                </c:pt>
                <c:pt idx="19">
                  <c:v>'Credit status information'</c:v>
                </c:pt>
                <c:pt idx="20">
                  <c:v>'Customer feedback'</c:v>
                </c:pt>
                <c:pt idx="21">
                  <c:v>'Customer interactions'  </c:v>
                </c:pt>
                <c:pt idx="22">
                  <c:v>'Dates of birth'</c:v>
                </c:pt>
                <c:pt idx="23">
                  <c:v>'Deceased statuses'</c:v>
                </c:pt>
                <c:pt idx="24">
                  <c:v>'Device information'</c:v>
                </c:pt>
                <c:pt idx="25">
                  <c:v>'Device serial numbers'</c:v>
                </c:pt>
                <c:pt idx="26">
                  <c:v>'Device usage tracking data'</c:v>
                </c:pt>
                <c:pt idx="27">
                  <c:v>'Drinking habits'</c:v>
                </c:pt>
                <c:pt idx="28">
                  <c:v>'Drinking habits' </c:v>
                </c:pt>
                <c:pt idx="29">
                  <c:v>'Drug habits'</c:v>
                </c:pt>
                <c:pt idx="30">
                  <c:v>'Education levels'</c:v>
                </c:pt>
                <c:pt idx="31">
                  <c:v>'Email addresses'</c:v>
                </c:pt>
                <c:pt idx="32">
                  <c:v>'Employers'</c:v>
                </c:pt>
                <c:pt idx="33">
                  <c:v>'Ethnicities' </c:v>
                </c:pt>
                <c:pt idx="34">
                  <c:v>'Family members' names'</c:v>
                </c:pt>
                <c:pt idx="35">
                  <c:v>'Family structure</c:v>
                </c:pt>
                <c:pt idx="36">
                  <c:v>'Financial investments'</c:v>
                </c:pt>
                <c:pt idx="37">
                  <c:v>'Financial transactions'</c:v>
                </c:pt>
                <c:pt idx="38">
                  <c:v>'Fitness levels'</c:v>
                </c:pt>
                <c:pt idx="39">
                  <c:v>'Flights taken'</c:v>
                </c:pt>
                <c:pt idx="40">
                  <c:v>'Genders'</c:v>
                </c:pt>
                <c:pt idx="41">
                  <c:v>'Geographic locations'</c:v>
                </c:pt>
                <c:pt idx="42">
                  <c:v>'Government issued IDs'</c:v>
                </c:pt>
                <c:pt idx="43">
                  <c:v>'Health insurance information' </c:v>
                </c:pt>
                <c:pt idx="44">
                  <c:v>'Historical passwords'</c:v>
                </c:pt>
                <c:pt idx="45">
                  <c:v>'HIV statuses'</c:v>
                </c:pt>
                <c:pt idx="46">
                  <c:v>'Home loan information'</c:v>
                </c:pt>
                <c:pt idx="47">
                  <c:v>'Home ownership statuses</c:v>
                </c:pt>
                <c:pt idx="48">
                  <c:v>'Homepage URLs'</c:v>
                </c:pt>
                <c:pt idx="49">
                  <c:v>'IMEI numbers'</c:v>
                </c:pt>
                <c:pt idx="50">
                  <c:v>'IMSI numbers' </c:v>
                </c:pt>
                <c:pt idx="51">
                  <c:v>'Income levels'</c:v>
                </c:pt>
                <c:pt idx="52">
                  <c:v>'Instant messenger identities'</c:v>
                </c:pt>
                <c:pt idx="53">
                  <c:v>'IP addresses'</c:v>
                </c:pt>
                <c:pt idx="54">
                  <c:v>'Job applications' </c:v>
                </c:pt>
                <c:pt idx="55">
                  <c:v>'Job titles' </c:v>
                </c:pt>
                <c:pt idx="56">
                  <c:v>'Licence plates'</c:v>
                </c:pt>
                <c:pt idx="57">
                  <c:v>'Login histories'</c:v>
                </c:pt>
                <c:pt idx="58">
                  <c:v>'MAC addresses'</c:v>
                </c:pt>
                <c:pt idx="59">
                  <c:v>'Marital statuses'</c:v>
                </c:pt>
                <c:pt idx="60">
                  <c:v>'Mnemonic phrases'</c:v>
                </c:pt>
                <c:pt idx="61">
                  <c:v>'Names'</c:v>
                </c:pt>
                <c:pt idx="62">
                  <c:v>'Nationalities'</c:v>
                </c:pt>
                <c:pt idx="63">
                  <c:v>'Net worths'</c:v>
                </c:pt>
                <c:pt idx="64">
                  <c:v>'Nicknames' </c:v>
                </c:pt>
                <c:pt idx="65">
                  <c:v>'Occupations'</c:v>
                </c:pt>
                <c:pt idx="66">
                  <c:v>'Parenting plans</c:v>
                </c:pt>
                <c:pt idx="67">
                  <c:v>'Partial credit card data' </c:v>
                </c:pt>
                <c:pt idx="68">
                  <c:v>'Partial phone numbers'</c:v>
                </c:pt>
                <c:pt idx="69">
                  <c:v>'Passport numbers'</c:v>
                </c:pt>
                <c:pt idx="70">
                  <c:v>'Passwords'</c:v>
                </c:pt>
                <c:pt idx="71">
                  <c:v>'Payment histories'</c:v>
                </c:pt>
                <c:pt idx="72">
                  <c:v>'Payment methods'</c:v>
                </c:pt>
                <c:pt idx="73">
                  <c:v>'Personal descriptions'</c:v>
                </c:pt>
                <c:pt idx="74">
                  <c:v>'Personal health data'</c:v>
                </c:pt>
                <c:pt idx="75">
                  <c:v>'Phone numbers'</c:v>
                </c:pt>
                <c:pt idx="76">
                  <c:v>'Physical addresses'</c:v>
                </c:pt>
                <c:pt idx="77">
                  <c:v>'Physical attributes'</c:v>
                </c:pt>
                <c:pt idx="78">
                  <c:v>'PINs'</c:v>
                </c:pt>
                <c:pt idx="79">
                  <c:v>'Political donations'</c:v>
                </c:pt>
                <c:pt idx="80">
                  <c:v>'Political views'</c:v>
                </c:pt>
                <c:pt idx="81">
                  <c:v>'Private messages'</c:v>
                </c:pt>
                <c:pt idx="82">
                  <c:v>'Professional skills'</c:v>
                </c:pt>
                <c:pt idx="83">
                  <c:v>'Profile photos'</c:v>
                </c:pt>
                <c:pt idx="84">
                  <c:v>'Purchases'</c:v>
                </c:pt>
                <c:pt idx="85">
                  <c:v>'Purchasing habits'</c:v>
                </c:pt>
                <c:pt idx="86">
                  <c:v>'Races'</c:v>
                </c:pt>
                <c:pt idx="87">
                  <c:v>'Recovery email addresses'</c:v>
                </c:pt>
                <c:pt idx="88">
                  <c:v>'Relationship statuses'</c:v>
                </c:pt>
                <c:pt idx="89">
                  <c:v>'Religions' </c:v>
                </c:pt>
                <c:pt idx="90">
                  <c:v>'Reward program balances'</c:v>
                </c:pt>
                <c:pt idx="91">
                  <c:v>'Salutations'</c:v>
                </c:pt>
                <c:pt idx="92">
                  <c:v>'School grades (class levels)</c:v>
                </c:pt>
                <c:pt idx="93">
                  <c:v>'Security questions and answers'</c:v>
                </c:pt>
                <c:pt idx="94">
                  <c:v>'Sexual fetishes'</c:v>
                </c:pt>
                <c:pt idx="95">
                  <c:v>'Sexual orientations'</c:v>
                </c:pt>
                <c:pt idx="96">
                  <c:v>'Smoking habits'</c:v>
                </c:pt>
                <c:pt idx="97">
                  <c:v>'SMS messages'</c:v>
                </c:pt>
                <c:pt idx="98">
                  <c:v>'Social connections'</c:v>
                </c:pt>
                <c:pt idx="99">
                  <c:v>'Social media profiles'</c:v>
                </c:pt>
                <c:pt idx="100">
                  <c:v>'Social security numbers'</c:v>
                </c:pt>
                <c:pt idx="101">
                  <c:v>'Spoken languages'</c:v>
                </c:pt>
                <c:pt idx="102">
                  <c:v>'Survey results'</c:v>
                </c:pt>
                <c:pt idx="103">
                  <c:v>'Time zones'</c:v>
                </c:pt>
                <c:pt idx="104">
                  <c:v>'Travel habits' </c:v>
                </c:pt>
                <c:pt idx="105">
                  <c:v>'User website URLs'</c:v>
                </c:pt>
                <c:pt idx="106">
                  <c:v>'Usernames'</c:v>
                </c:pt>
                <c:pt idx="107">
                  <c:v>'Vehicle details'</c:v>
                </c:pt>
                <c:pt idx="108">
                  <c:v>'Vehicle identification numbers (VINs)'</c:v>
                </c:pt>
                <c:pt idx="109">
                  <c:v>'Website activity'</c:v>
                </c:pt>
                <c:pt idx="110">
                  <c:v>'Work habits'</c:v>
                </c:pt>
                <c:pt idx="111">
                  <c:v>'Years of professional experience'</c:v>
                </c:pt>
              </c:strCache>
            </c:strRef>
          </c:cat>
          <c:val>
            <c:numRef>
              <c:f>Sheet2!$A$2:$DH$2</c:f>
              <c:numCache>
                <c:formatCode>General</c:formatCode>
                <c:ptCount val="112"/>
                <c:pt idx="0" formatCode="0.00">
                  <c:v>8</c:v>
                </c:pt>
                <c:pt idx="1">
                  <c:v>1</c:v>
                </c:pt>
                <c:pt idx="2">
                  <c:v>3</c:v>
                </c:pt>
                <c:pt idx="3">
                  <c:v>1</c:v>
                </c:pt>
                <c:pt idx="4">
                  <c:v>1</c:v>
                </c:pt>
                <c:pt idx="5">
                  <c:v>9</c:v>
                </c:pt>
                <c:pt idx="6">
                  <c:v>8</c:v>
                </c:pt>
                <c:pt idx="7">
                  <c:v>7</c:v>
                </c:pt>
                <c:pt idx="8">
                  <c:v>1</c:v>
                </c:pt>
                <c:pt idx="9">
                  <c:v>1</c:v>
                </c:pt>
                <c:pt idx="10">
                  <c:v>7</c:v>
                </c:pt>
                <c:pt idx="11">
                  <c:v>0</c:v>
                </c:pt>
                <c:pt idx="12">
                  <c:v>1</c:v>
                </c:pt>
                <c:pt idx="13">
                  <c:v>1</c:v>
                </c:pt>
                <c:pt idx="14">
                  <c:v>1</c:v>
                </c:pt>
                <c:pt idx="15">
                  <c:v>1</c:v>
                </c:pt>
                <c:pt idx="16">
                  <c:v>3</c:v>
                </c:pt>
                <c:pt idx="17">
                  <c:v>1</c:v>
                </c:pt>
                <c:pt idx="18">
                  <c:v>5</c:v>
                </c:pt>
                <c:pt idx="19">
                  <c:v>5</c:v>
                </c:pt>
                <c:pt idx="20">
                  <c:v>1</c:v>
                </c:pt>
                <c:pt idx="21">
                  <c:v>0</c:v>
                </c:pt>
                <c:pt idx="22">
                  <c:v>170</c:v>
                </c:pt>
                <c:pt idx="23">
                  <c:v>1</c:v>
                </c:pt>
                <c:pt idx="24">
                  <c:v>12</c:v>
                </c:pt>
                <c:pt idx="25">
                  <c:v>1</c:v>
                </c:pt>
                <c:pt idx="26">
                  <c:v>1</c:v>
                </c:pt>
                <c:pt idx="27">
                  <c:v>5</c:v>
                </c:pt>
                <c:pt idx="28">
                  <c:v>0</c:v>
                </c:pt>
                <c:pt idx="29">
                  <c:v>2</c:v>
                </c:pt>
                <c:pt idx="30">
                  <c:v>10</c:v>
                </c:pt>
                <c:pt idx="31">
                  <c:v>643</c:v>
                </c:pt>
                <c:pt idx="32">
                  <c:v>25</c:v>
                </c:pt>
                <c:pt idx="33">
                  <c:v>0</c:v>
                </c:pt>
                <c:pt idx="34">
                  <c:v>0</c:v>
                </c:pt>
                <c:pt idx="35">
                  <c:v>7</c:v>
                </c:pt>
                <c:pt idx="36">
                  <c:v>2</c:v>
                </c:pt>
                <c:pt idx="37">
                  <c:v>2</c:v>
                </c:pt>
                <c:pt idx="38">
                  <c:v>1</c:v>
                </c:pt>
                <c:pt idx="39">
                  <c:v>1</c:v>
                </c:pt>
                <c:pt idx="40">
                  <c:v>127</c:v>
                </c:pt>
                <c:pt idx="41">
                  <c:v>89</c:v>
                </c:pt>
                <c:pt idx="42">
                  <c:v>11</c:v>
                </c:pt>
                <c:pt idx="43">
                  <c:v>0</c:v>
                </c:pt>
                <c:pt idx="44">
                  <c:v>5</c:v>
                </c:pt>
                <c:pt idx="45">
                  <c:v>1</c:v>
                </c:pt>
                <c:pt idx="46">
                  <c:v>1</c:v>
                </c:pt>
                <c:pt idx="47">
                  <c:v>5</c:v>
                </c:pt>
                <c:pt idx="48">
                  <c:v>2</c:v>
                </c:pt>
                <c:pt idx="49">
                  <c:v>2</c:v>
                </c:pt>
                <c:pt idx="50">
                  <c:v>0</c:v>
                </c:pt>
                <c:pt idx="51">
                  <c:v>12</c:v>
                </c:pt>
                <c:pt idx="52">
                  <c:v>8</c:v>
                </c:pt>
                <c:pt idx="53">
                  <c:v>277</c:v>
                </c:pt>
                <c:pt idx="54">
                  <c:v>0</c:v>
                </c:pt>
                <c:pt idx="55">
                  <c:v>0</c:v>
                </c:pt>
                <c:pt idx="56">
                  <c:v>1</c:v>
                </c:pt>
                <c:pt idx="57">
                  <c:v>1</c:v>
                </c:pt>
                <c:pt idx="58">
                  <c:v>1</c:v>
                </c:pt>
                <c:pt idx="59">
                  <c:v>15</c:v>
                </c:pt>
                <c:pt idx="60">
                  <c:v>1</c:v>
                </c:pt>
                <c:pt idx="61">
                  <c:v>304</c:v>
                </c:pt>
                <c:pt idx="62">
                  <c:v>7</c:v>
                </c:pt>
                <c:pt idx="63">
                  <c:v>2</c:v>
                </c:pt>
                <c:pt idx="64">
                  <c:v>0</c:v>
                </c:pt>
                <c:pt idx="65">
                  <c:v>6</c:v>
                </c:pt>
                <c:pt idx="66">
                  <c:v>1</c:v>
                </c:pt>
                <c:pt idx="67">
                  <c:v>0</c:v>
                </c:pt>
                <c:pt idx="68">
                  <c:v>2</c:v>
                </c:pt>
                <c:pt idx="69">
                  <c:v>5</c:v>
                </c:pt>
                <c:pt idx="70">
                  <c:v>510</c:v>
                </c:pt>
                <c:pt idx="71">
                  <c:v>9</c:v>
                </c:pt>
                <c:pt idx="72">
                  <c:v>1</c:v>
                </c:pt>
                <c:pt idx="73">
                  <c:v>3</c:v>
                </c:pt>
                <c:pt idx="74">
                  <c:v>5</c:v>
                </c:pt>
                <c:pt idx="75">
                  <c:v>187</c:v>
                </c:pt>
                <c:pt idx="76">
                  <c:v>149</c:v>
                </c:pt>
                <c:pt idx="77">
                  <c:v>8</c:v>
                </c:pt>
                <c:pt idx="78">
                  <c:v>2</c:v>
                </c:pt>
                <c:pt idx="79">
                  <c:v>1</c:v>
                </c:pt>
                <c:pt idx="80">
                  <c:v>2</c:v>
                </c:pt>
                <c:pt idx="81">
                  <c:v>31</c:v>
                </c:pt>
                <c:pt idx="82">
                  <c:v>1</c:v>
                </c:pt>
                <c:pt idx="83">
                  <c:v>6</c:v>
                </c:pt>
                <c:pt idx="84">
                  <c:v>34</c:v>
                </c:pt>
                <c:pt idx="85">
                  <c:v>1</c:v>
                </c:pt>
                <c:pt idx="86">
                  <c:v>1</c:v>
                </c:pt>
                <c:pt idx="87">
                  <c:v>1</c:v>
                </c:pt>
                <c:pt idx="88">
                  <c:v>4</c:v>
                </c:pt>
                <c:pt idx="89">
                  <c:v>0</c:v>
                </c:pt>
                <c:pt idx="90">
                  <c:v>1</c:v>
                </c:pt>
                <c:pt idx="91">
                  <c:v>11</c:v>
                </c:pt>
                <c:pt idx="92">
                  <c:v>1</c:v>
                </c:pt>
                <c:pt idx="93">
                  <c:v>13</c:v>
                </c:pt>
                <c:pt idx="94">
                  <c:v>2</c:v>
                </c:pt>
                <c:pt idx="95">
                  <c:v>7</c:v>
                </c:pt>
                <c:pt idx="96">
                  <c:v>5</c:v>
                </c:pt>
                <c:pt idx="97">
                  <c:v>2</c:v>
                </c:pt>
                <c:pt idx="98">
                  <c:v>5</c:v>
                </c:pt>
                <c:pt idx="99">
                  <c:v>38</c:v>
                </c:pt>
                <c:pt idx="100">
                  <c:v>6</c:v>
                </c:pt>
                <c:pt idx="101">
                  <c:v>16</c:v>
                </c:pt>
                <c:pt idx="102">
                  <c:v>2</c:v>
                </c:pt>
                <c:pt idx="103">
                  <c:v>5</c:v>
                </c:pt>
                <c:pt idx="104">
                  <c:v>0</c:v>
                </c:pt>
                <c:pt idx="105">
                  <c:v>5</c:v>
                </c:pt>
                <c:pt idx="106">
                  <c:v>345</c:v>
                </c:pt>
                <c:pt idx="107">
                  <c:v>6</c:v>
                </c:pt>
                <c:pt idx="108">
                  <c:v>1</c:v>
                </c:pt>
                <c:pt idx="109">
                  <c:v>77</c:v>
                </c:pt>
                <c:pt idx="110">
                  <c:v>1</c:v>
                </c:pt>
                <c:pt idx="111">
                  <c:v>1</c:v>
                </c:pt>
              </c:numCache>
            </c:numRef>
          </c:val>
          <c:extLst>
            <c:ext xmlns:c16="http://schemas.microsoft.com/office/drawing/2014/chart" uri="{C3380CC4-5D6E-409C-BE32-E72D297353CC}">
              <c16:uniqueId val="{00000000-DAFB-41D7-B674-365608DC80B7}"/>
            </c:ext>
          </c:extLst>
        </c:ser>
        <c:dLbls>
          <c:showLegendKey val="0"/>
          <c:showVal val="0"/>
          <c:showCatName val="0"/>
          <c:showSerName val="0"/>
          <c:showPercent val="0"/>
          <c:showBubbleSize val="0"/>
        </c:dLbls>
        <c:gapWidth val="219"/>
        <c:overlap val="-27"/>
        <c:axId val="863179327"/>
        <c:axId val="378191423"/>
      </c:barChart>
      <c:catAx>
        <c:axId val="863179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8191423"/>
        <c:crosses val="autoZero"/>
        <c:auto val="1"/>
        <c:lblAlgn val="ctr"/>
        <c:lblOffset val="100"/>
        <c:noMultiLvlLbl val="0"/>
      </c:catAx>
      <c:valAx>
        <c:axId val="3781914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79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247650</xdr:colOff>
          <xdr:row>0</xdr:row>
          <xdr:rowOff>142875</xdr:rowOff>
        </xdr:from>
        <xdr:to>
          <xdr:col>21</xdr:col>
          <xdr:colOff>123825</xdr:colOff>
          <xdr:row>1</xdr:row>
          <xdr:rowOff>76200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609599</xdr:colOff>
      <xdr:row>4</xdr:row>
      <xdr:rowOff>0</xdr:rowOff>
    </xdr:from>
    <xdr:to>
      <xdr:col>28</xdr:col>
      <xdr:colOff>390524</xdr:colOff>
      <xdr:row>31</xdr:row>
      <xdr:rowOff>57150</xdr:rowOff>
    </xdr:to>
    <xdr:graphicFrame macro="">
      <xdr:nvGraphicFramePr>
        <xdr:cNvPr id="4" name="Chart 3">
          <a:extLst>
            <a:ext uri="{FF2B5EF4-FFF2-40B4-BE49-F238E27FC236}">
              <a16:creationId xmlns:a16="http://schemas.microsoft.com/office/drawing/2014/main" id="{ED467778-8A82-44EF-B6D9-2314916827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K653"/>
  <sheetViews>
    <sheetView tabSelected="1" topLeftCell="H129" zoomScale="145" zoomScaleNormal="145" workbookViewId="0">
      <selection activeCell="J1" sqref="J1:J1048576"/>
    </sheetView>
  </sheetViews>
  <sheetFormatPr defaultRowHeight="15"/>
  <cols>
    <col min="1" max="1" width="15.5703125" customWidth="1"/>
    <col min="2" max="2" width="23.7109375" customWidth="1"/>
    <col min="3" max="3" width="18.85546875" customWidth="1"/>
    <col min="4" max="4" width="13.7109375" customWidth="1"/>
    <col min="5" max="5" width="18.28515625" customWidth="1"/>
    <col min="6" max="6" width="17.5703125" customWidth="1"/>
    <col min="7" max="7" width="12.140625" customWidth="1"/>
    <col min="8" max="8" width="30.42578125" customWidth="1"/>
    <col min="9" max="9" width="15.140625" style="10" customWidth="1"/>
    <col min="10" max="10" width="79.85546875" customWidth="1"/>
    <col min="11" max="11" width="9.140625" style="8"/>
    <col min="12" max="12" width="14.7109375" style="10" customWidth="1"/>
    <col min="13" max="13" width="18.140625" style="12" customWidth="1"/>
    <col min="14" max="14" width="9.28515625" customWidth="1"/>
    <col min="19" max="19" width="18.28515625" customWidth="1"/>
    <col min="20" max="20" width="13.85546875" customWidth="1"/>
    <col min="21" max="21" width="11.5703125" customWidth="1"/>
    <col min="22" max="22" width="13.7109375" customWidth="1"/>
    <col min="23" max="23" width="8.42578125" customWidth="1"/>
    <col min="24" max="24" width="10.85546875" customWidth="1"/>
    <col min="25" max="25" width="10.28515625" customWidth="1"/>
    <col min="26" max="26" width="8.7109375" customWidth="1"/>
    <col min="27" max="28" width="10" customWidth="1"/>
    <col min="29" max="29" width="39.85546875" customWidth="1"/>
    <col min="30" max="49" width="7.42578125" customWidth="1"/>
    <col min="50" max="75" width="9.140625" customWidth="1"/>
    <col min="76" max="76" width="6.7109375" customWidth="1"/>
    <col min="77" max="129" width="9.140625" customWidth="1"/>
  </cols>
  <sheetData>
    <row r="1" spans="1:141">
      <c r="A1" s="3" t="s">
        <v>0</v>
      </c>
      <c r="B1" s="3" t="s">
        <v>1</v>
      </c>
      <c r="C1" s="3" t="s">
        <v>2</v>
      </c>
      <c r="D1" s="3" t="s">
        <v>3</v>
      </c>
      <c r="E1" s="3" t="s">
        <v>4</v>
      </c>
      <c r="F1" s="3" t="s">
        <v>5</v>
      </c>
      <c r="G1" s="3" t="s">
        <v>6</v>
      </c>
      <c r="H1" s="3" t="s">
        <v>7</v>
      </c>
      <c r="I1" s="9" t="s">
        <v>8</v>
      </c>
      <c r="J1" s="3" t="s">
        <v>9</v>
      </c>
      <c r="K1" s="7" t="s">
        <v>10</v>
      </c>
      <c r="L1" s="9" t="s">
        <v>11</v>
      </c>
      <c r="M1" s="11" t="s">
        <v>12</v>
      </c>
      <c r="N1" s="3" t="s">
        <v>13</v>
      </c>
      <c r="O1" s="3" t="s">
        <v>14</v>
      </c>
      <c r="P1" s="3" t="s">
        <v>15</v>
      </c>
      <c r="Q1" s="5" t="s">
        <v>16</v>
      </c>
      <c r="R1" s="5" t="s">
        <v>17</v>
      </c>
      <c r="S1" s="6" t="s">
        <v>18</v>
      </c>
      <c r="T1" s="5" t="s">
        <v>19</v>
      </c>
      <c r="U1" s="5" t="s">
        <v>20</v>
      </c>
      <c r="V1" s="5" t="s">
        <v>21</v>
      </c>
      <c r="W1" s="3" t="s">
        <v>10</v>
      </c>
      <c r="X1" s="3" t="s">
        <v>11</v>
      </c>
      <c r="Y1" s="3" t="s">
        <v>12</v>
      </c>
      <c r="Z1" s="3" t="s">
        <v>13</v>
      </c>
      <c r="AA1" s="3" t="s">
        <v>14</v>
      </c>
      <c r="AB1" s="3" t="s">
        <v>15</v>
      </c>
      <c r="AD1" t="s">
        <v>22</v>
      </c>
      <c r="AE1" t="s">
        <v>23</v>
      </c>
      <c r="AF1" t="s">
        <v>24</v>
      </c>
      <c r="AG1" t="s">
        <v>25</v>
      </c>
      <c r="AH1" t="s">
        <v>26</v>
      </c>
      <c r="AI1" t="s">
        <v>27</v>
      </c>
      <c r="AJ1" t="s">
        <v>28</v>
      </c>
      <c r="AK1" t="s">
        <v>29</v>
      </c>
      <c r="AL1" t="s">
        <v>30</v>
      </c>
      <c r="AM1" t="s">
        <v>31</v>
      </c>
      <c r="AN1" t="s">
        <v>32</v>
      </c>
      <c r="AO1" t="s">
        <v>33</v>
      </c>
      <c r="AP1" t="s">
        <v>34</v>
      </c>
      <c r="AQ1" t="s">
        <v>35</v>
      </c>
      <c r="AR1" t="s">
        <v>36</v>
      </c>
      <c r="AS1" t="s">
        <v>37</v>
      </c>
      <c r="AT1" t="s">
        <v>38</v>
      </c>
      <c r="AU1" t="s">
        <v>39</v>
      </c>
      <c r="AV1" t="s">
        <v>40</v>
      </c>
      <c r="AW1" t="s">
        <v>41</v>
      </c>
      <c r="AX1" t="s">
        <v>42</v>
      </c>
      <c r="AY1" t="s">
        <v>43</v>
      </c>
      <c r="AZ1" t="s">
        <v>44</v>
      </c>
      <c r="BA1" t="s">
        <v>45</v>
      </c>
      <c r="BB1" t="s">
        <v>46</v>
      </c>
      <c r="BC1" t="s">
        <v>47</v>
      </c>
      <c r="BD1" t="s">
        <v>48</v>
      </c>
      <c r="BE1" t="s">
        <v>49</v>
      </c>
      <c r="BF1" t="s">
        <v>50</v>
      </c>
      <c r="BG1" t="s">
        <v>51</v>
      </c>
      <c r="BH1" t="s">
        <v>52</v>
      </c>
      <c r="BI1" t="s">
        <v>53</v>
      </c>
      <c r="BJ1" t="s">
        <v>54</v>
      </c>
      <c r="BK1" t="s">
        <v>55</v>
      </c>
      <c r="BL1" t="s">
        <v>56</v>
      </c>
      <c r="BM1" t="s">
        <v>57</v>
      </c>
      <c r="BN1" t="s">
        <v>58</v>
      </c>
      <c r="BO1" t="s">
        <v>59</v>
      </c>
      <c r="BP1" t="s">
        <v>60</v>
      </c>
      <c r="BQ1" t="s">
        <v>61</v>
      </c>
      <c r="BR1" t="s">
        <v>62</v>
      </c>
      <c r="BS1" t="s">
        <v>63</v>
      </c>
      <c r="BT1" t="s">
        <v>64</v>
      </c>
      <c r="BU1" t="s">
        <v>65</v>
      </c>
      <c r="BV1" t="s">
        <v>66</v>
      </c>
      <c r="BW1" t="s">
        <v>67</v>
      </c>
      <c r="BX1" t="s">
        <v>68</v>
      </c>
      <c r="BY1" t="s">
        <v>69</v>
      </c>
      <c r="BZ1" t="s">
        <v>70</v>
      </c>
      <c r="CA1" t="s">
        <v>71</v>
      </c>
      <c r="CB1" t="s">
        <v>72</v>
      </c>
      <c r="CC1" t="s">
        <v>73</v>
      </c>
      <c r="CD1" t="s">
        <v>74</v>
      </c>
      <c r="CE1" t="s">
        <v>75</v>
      </c>
      <c r="CF1" t="s">
        <v>76</v>
      </c>
      <c r="CG1" t="s">
        <v>77</v>
      </c>
      <c r="CH1" t="s">
        <v>78</v>
      </c>
      <c r="CI1" t="s">
        <v>79</v>
      </c>
      <c r="CJ1" t="s">
        <v>80</v>
      </c>
      <c r="CK1" t="s">
        <v>81</v>
      </c>
      <c r="CL1" t="s">
        <v>82</v>
      </c>
      <c r="CM1" t="s">
        <v>83</v>
      </c>
      <c r="CN1" t="s">
        <v>84</v>
      </c>
      <c r="CO1" t="s">
        <v>85</v>
      </c>
      <c r="CP1" t="s">
        <v>86</v>
      </c>
      <c r="CQ1" t="s">
        <v>87</v>
      </c>
      <c r="CR1" t="s">
        <v>88</v>
      </c>
      <c r="CS1" t="s">
        <v>89</v>
      </c>
      <c r="CT1" t="s">
        <v>90</v>
      </c>
      <c r="CU1" t="s">
        <v>91</v>
      </c>
      <c r="CV1" t="s">
        <v>92</v>
      </c>
      <c r="CW1" t="s">
        <v>93</v>
      </c>
      <c r="CX1" t="s">
        <v>94</v>
      </c>
      <c r="CY1" t="s">
        <v>95</v>
      </c>
      <c r="CZ1" t="s">
        <v>96</v>
      </c>
      <c r="DA1" t="s">
        <v>97</v>
      </c>
      <c r="DB1" t="s">
        <v>98</v>
      </c>
      <c r="DC1" t="s">
        <v>99</v>
      </c>
      <c r="DD1" t="s">
        <v>100</v>
      </c>
      <c r="DE1" t="s">
        <v>101</v>
      </c>
      <c r="DF1" t="s">
        <v>102</v>
      </c>
      <c r="DG1" t="s">
        <v>103</v>
      </c>
      <c r="DH1" t="s">
        <v>104</v>
      </c>
      <c r="DI1" t="s">
        <v>105</v>
      </c>
      <c r="DJ1" t="s">
        <v>106</v>
      </c>
      <c r="DK1" t="s">
        <v>107</v>
      </c>
      <c r="DL1" t="s">
        <v>108</v>
      </c>
      <c r="DM1" t="s">
        <v>109</v>
      </c>
      <c r="DN1" t="s">
        <v>110</v>
      </c>
      <c r="DO1" t="s">
        <v>111</v>
      </c>
      <c r="DP1" t="s">
        <v>112</v>
      </c>
      <c r="DQ1" t="s">
        <v>113</v>
      </c>
      <c r="DR1" t="s">
        <v>114</v>
      </c>
      <c r="DS1" t="s">
        <v>115</v>
      </c>
      <c r="DT1" t="s">
        <v>116</v>
      </c>
      <c r="DU1" t="s">
        <v>117</v>
      </c>
      <c r="DV1" t="s">
        <v>118</v>
      </c>
      <c r="DW1" t="s">
        <v>119</v>
      </c>
      <c r="DX1" t="s">
        <v>120</v>
      </c>
      <c r="DY1" t="s">
        <v>121</v>
      </c>
      <c r="DZ1" t="s">
        <v>122</v>
      </c>
      <c r="EA1" t="s">
        <v>123</v>
      </c>
      <c r="EB1" t="s">
        <v>124</v>
      </c>
      <c r="EC1" t="s">
        <v>125</v>
      </c>
      <c r="ED1" t="s">
        <v>126</v>
      </c>
      <c r="EE1" t="s">
        <v>127</v>
      </c>
      <c r="EF1" t="s">
        <v>128</v>
      </c>
      <c r="EG1" t="s">
        <v>129</v>
      </c>
      <c r="EH1" t="s">
        <v>130</v>
      </c>
      <c r="EI1" t="s">
        <v>131</v>
      </c>
      <c r="EJ1" t="s">
        <v>132</v>
      </c>
      <c r="EK1" t="s">
        <v>133</v>
      </c>
    </row>
    <row r="2" spans="1:141">
      <c r="A2" t="s">
        <v>134</v>
      </c>
      <c r="B2" t="s">
        <v>134</v>
      </c>
      <c r="C2" t="s">
        <v>135</v>
      </c>
      <c r="D2" s="1">
        <v>42064</v>
      </c>
      <c r="E2" s="2">
        <v>42303.983159722222</v>
      </c>
      <c r="F2" s="2">
        <v>43079.905868055554</v>
      </c>
      <c r="G2">
        <v>14936670</v>
      </c>
      <c r="H2" t="s">
        <v>136</v>
      </c>
      <c r="I2" s="10" t="s">
        <v>137</v>
      </c>
      <c r="J2" t="s">
        <v>138</v>
      </c>
      <c r="K2" s="8" t="b">
        <v>1</v>
      </c>
      <c r="L2" s="10" t="b">
        <v>0</v>
      </c>
      <c r="M2" s="12" t="b">
        <v>0</v>
      </c>
      <c r="N2" t="b">
        <v>0</v>
      </c>
      <c r="O2" t="b">
        <v>0</v>
      </c>
      <c r="P2" t="b">
        <v>0</v>
      </c>
      <c r="Q2">
        <f>WEEKDAY(D2)</f>
        <v>1</v>
      </c>
      <c r="R2">
        <f>MONTH(D2)</f>
        <v>3</v>
      </c>
      <c r="S2" t="e">
        <f ca="1">WhoIsorganization(C2)</f>
        <v>#NAME?</v>
      </c>
      <c r="T2" t="e">
        <f ca="1">WhoIsName(C2)</f>
        <v>#NAME?</v>
      </c>
      <c r="U2" s="4">
        <f>E2-D2</f>
        <v>239.9831597222219</v>
      </c>
      <c r="V2" s="4">
        <f>U2/30</f>
        <v>7.9994386574073966</v>
      </c>
      <c r="W2" s="4">
        <f t="shared" ref="W2:AB2" si="0">IF(K2=TRUE,1,0)</f>
        <v>1</v>
      </c>
      <c r="X2" s="4">
        <f t="shared" si="0"/>
        <v>0</v>
      </c>
      <c r="Y2" s="4">
        <f t="shared" si="0"/>
        <v>0</v>
      </c>
      <c r="Z2" s="4">
        <f t="shared" si="0"/>
        <v>0</v>
      </c>
      <c r="AA2" s="4">
        <f t="shared" si="0"/>
        <v>0</v>
      </c>
      <c r="AB2" s="4">
        <f t="shared" si="0"/>
        <v>0</v>
      </c>
      <c r="AD2" s="4" t="b">
        <f>IFERROR(IF(SEARCH("'Account balances'",J2),1,0),FALSE)</f>
        <v>0</v>
      </c>
      <c r="AE2" s="4" t="b">
        <f>IFERROR(IF(SEARCH( "'Address book contacts'", J2),1,0),FALSE)</f>
        <v>0</v>
      </c>
      <c r="AF2" s="4" t="b">
        <f>IFERROR(IF(SEARCH( "'Age groups'", J2),1,0),FALSE)</f>
        <v>0</v>
      </c>
      <c r="AG2" t="b">
        <f>IFERROR(IF(SEARCH( "'Apps installed on devices'", J2),1,0),FALSE)</f>
        <v>0</v>
      </c>
      <c r="AH2" t="b">
        <f>IFERROR(IF(SEARCH( "'Astrological signs'", J2),1,0),FALSE)</f>
        <v>0</v>
      </c>
      <c r="AI2" t="b">
        <f>IFERROR(IF(SEARCH( "'Auth tokens'", J2),1,0),FALSE)</f>
        <v>0</v>
      </c>
      <c r="AJ2" t="b">
        <f>IFERROR(IF(SEARCH( "'Avatars'", J2),1,0),FALSE)</f>
        <v>0</v>
      </c>
      <c r="AK2" t="b">
        <f>IFERROR(IF(SEARCH( "'Bank account numbers'", J2),1,0),FALSE)</f>
        <v>0</v>
      </c>
      <c r="AL2" t="b">
        <f>IFERROR(IF(SEARCH( "'Beauty ratings'", J2),1,0),FALSE)</f>
        <v>0</v>
      </c>
      <c r="AM2" t="b">
        <f>IFERROR(IF(SEARCH( "'Biometric data'", J2),1,0),FALSE)</f>
        <v>0</v>
      </c>
      <c r="AN2" t="b">
        <f>IFERROR(IF(SEARCH( "'Bios'", J2),1,0),FALSE)</f>
        <v>0</v>
      </c>
      <c r="AO2" t="b">
        <f>IFERROR(IF(SEARCH( "'Browser user agent details' ", J2),1,0),FALSE)</f>
        <v>0</v>
      </c>
      <c r="AP2" t="b">
        <f>IFERROR(IF(SEARCH( "'Buying preferences'", J2),1,0),FALSE)</f>
        <v>0</v>
      </c>
      <c r="AQ2" t="b">
        <f>IFERROR(IF(SEARCH( "'Car ownership statuses'", J2),1,0),FALSE)</f>
        <v>0</v>
      </c>
      <c r="AR2" t="b">
        <f>IFERROR(IF(SEARCH( "'Cellular network names'", J2),1,0),FALSE)</f>
        <v>0</v>
      </c>
      <c r="AS2" t="b">
        <f>IFERROR(IF(SEARCH( "'Charitable donations'", J2),1,0),FALSE)</f>
        <v>0</v>
      </c>
      <c r="AT2" t="b">
        <f>IFERROR(IF(SEARCH( "'Chat logs'", J2),1,0),FALSE)</f>
        <v>0</v>
      </c>
      <c r="AU2" t="b">
        <f>IFERROR(IF(SEARCH( "'Credit card CVV'", J2),1,0),FALSE)</f>
        <v>0</v>
      </c>
      <c r="AV2" t="b">
        <f>IFERROR(IF(SEARCH( "'Credit cards'", J2),1,0),FALSE)</f>
        <v>0</v>
      </c>
      <c r="AW2" t="b">
        <f>IFERROR(IF(SEARCH( "'Credit status information'", J2),1,0),FALSE)</f>
        <v>0</v>
      </c>
      <c r="AX2" t="b">
        <f>IFERROR(IF(SEARCH( "'Customer feedback'", J2),1,0),FALSE)</f>
        <v>0</v>
      </c>
      <c r="AY2" t="b">
        <f>IFERROR(IF(SEARCH( "'Customer interactions'  ", J2),1,0),FALSE)</f>
        <v>0</v>
      </c>
      <c r="AZ2" t="b">
        <f>IFERROR(IF(SEARCH( "'Dates of birth'", J2),1,0),FALSE)</f>
        <v>0</v>
      </c>
      <c r="BA2" t="b">
        <f>IFERROR(IF(SEARCH( "'Deceased statuses'", J2),1,0),FALSE)</f>
        <v>0</v>
      </c>
      <c r="BB2" t="b">
        <f>IFERROR(IF(SEARCH( "'Device information'", J2),1,0),FALSE)</f>
        <v>0</v>
      </c>
      <c r="BC2" t="b">
        <f>IFERROR(IF(SEARCH( "'Device serial numbers'", J2),1,0),FALSE)</f>
        <v>0</v>
      </c>
      <c r="BD2" t="b">
        <f>IFERROR(IF(SEARCH( "'Device usage tracking data'", J2),1,0),FALSE)</f>
        <v>0</v>
      </c>
      <c r="BE2" t="b">
        <f>IFERROR(IF(SEARCH( "'Drinking habits'", J2),1,0),FALSE)</f>
        <v>0</v>
      </c>
      <c r="BF2" t="b">
        <f>IFERROR(IF(SEARCH( "'Drinking habits' ", J2),1,0),FALSE)</f>
        <v>0</v>
      </c>
      <c r="BG2" t="b">
        <f>IFERROR(IF(SEARCH( "'Drug habits'", J2),1,0),FALSE)</f>
        <v>0</v>
      </c>
      <c r="BH2" t="b">
        <f>IFERROR(IF(SEARCH( "'Education levels'", J2),1,0),FALSE)</f>
        <v>0</v>
      </c>
      <c r="BI2">
        <f>IFERROR(IF(SEARCH( "'Email addresses'", J2),1,0),FALSE)</f>
        <v>1</v>
      </c>
      <c r="BJ2" t="b">
        <f>IFERROR(IF(SEARCH( "'Employers'", J2),1,0),FALSE)</f>
        <v>0</v>
      </c>
      <c r="BK2" t="b">
        <f>IFERROR(IF(SEARCH( "'Ethnicities' ", J2),1,0),FALSE)</f>
        <v>0</v>
      </c>
      <c r="BL2" t="b">
        <f>IFERROR(IF(SEARCH( "'Family members' names'", J2),1,0),FALSE)</f>
        <v>0</v>
      </c>
      <c r="BM2" t="b">
        <f>IFERROR(IF(SEARCH( "'Family structure", J2),1,0),FALSE)</f>
        <v>0</v>
      </c>
      <c r="BN2" t="b">
        <f>IFERROR(IF(SEARCH( "'Financial investments'", J2),1,0),FALSE)</f>
        <v>0</v>
      </c>
      <c r="BO2" t="b">
        <f>IFERROR(IF(SEARCH( "'Financial transactions'", J2),1,0),FALSE)</f>
        <v>0</v>
      </c>
      <c r="BP2" t="b">
        <f>IFERROR(IF(SEARCH( "'Fitness levels'", J2),1,0),FALSE)</f>
        <v>0</v>
      </c>
      <c r="BQ2" t="b">
        <f>IFERROR(IF(SEARCH( "'Flights taken'", J2),1,0),FALSE)</f>
        <v>0</v>
      </c>
      <c r="BR2" t="b">
        <f>IFERROR(IF(SEARCH( "'Genders'", J2),1,0),FALSE)</f>
        <v>0</v>
      </c>
      <c r="BS2" t="b">
        <f>IFERROR(IF(SEARCH( "'Geographic locations'", J2),1,0),FALSE)</f>
        <v>0</v>
      </c>
      <c r="BT2" t="b">
        <f>IFERROR(IF(SEARCH( "'Government issued IDs'", J2),1,0),FALSE)</f>
        <v>0</v>
      </c>
      <c r="BU2" t="b">
        <f>IFERROR(IF(SEARCH( "'Health insurance information' ", J2),1,0),FALSE)</f>
        <v>0</v>
      </c>
      <c r="BV2" t="b">
        <f>IFERROR(IF(SEARCH( "'Historical passwords'", J2),1,0),FALSE)</f>
        <v>0</v>
      </c>
      <c r="BW2" t="b">
        <f>IFERROR(IF(SEARCH( "'HIV statuses'", J2),1,0),FALSE)</f>
        <v>0</v>
      </c>
      <c r="BX2" t="b">
        <f>IFERROR(IF(SEARCH( "'Home loan information'", J2),1,0),FALSE)</f>
        <v>0</v>
      </c>
      <c r="BY2" t="b">
        <f>IFERROR(IF(SEARCH( "'Home ownership statuses", J2),1,0),FALSE)</f>
        <v>0</v>
      </c>
      <c r="BZ2" t="b">
        <f>IFERROR(IF(SEARCH( "'Homepage URLs'", J2),1,0),FALSE)</f>
        <v>0</v>
      </c>
      <c r="CA2" t="b">
        <f>IFERROR(IF(SEARCH( "'IMEI numbers'", J2),1,0),FALSE)</f>
        <v>0</v>
      </c>
      <c r="CB2" t="b">
        <f>IFERROR(IF(SEARCH( "'IMSI numbers' ", J2),1,0),FALSE)</f>
        <v>0</v>
      </c>
      <c r="CC2" t="b">
        <f>IFERROR(IF(SEARCH( "'Income levels'", J2),1,0),FALSE)</f>
        <v>0</v>
      </c>
      <c r="CD2" t="b">
        <f>IFERROR(IF(SEARCH( "'Instant messenger identities'", J2),1,0),FALSE)</f>
        <v>0</v>
      </c>
      <c r="CE2">
        <f>IFERROR(IF(SEARCH( "'IP addresses'", J2),1,0),FALSE)</f>
        <v>1</v>
      </c>
      <c r="CF2" t="b">
        <f>IFERROR(IF(SEARCH( "'Job applications' ", J2),1,0),FALSE)</f>
        <v>0</v>
      </c>
      <c r="CG2" t="b">
        <f>IFERROR(IF(SEARCH( "'Job titles' ", J2),1,0),FALSE)</f>
        <v>0</v>
      </c>
      <c r="CH2" t="b">
        <f>IFERROR(IF(SEARCH( "'Licence plates'", J2),1,0),FALSE)</f>
        <v>0</v>
      </c>
      <c r="CI2" t="b">
        <f>IFERROR(IF(SEARCH( "'Login histories'", J2),1,0),FALSE)</f>
        <v>0</v>
      </c>
      <c r="CJ2" t="b">
        <f>IFERROR(IF(SEARCH( "'MAC addresses'", J2),1,0),FALSE)</f>
        <v>0</v>
      </c>
      <c r="CK2" t="b">
        <f>IFERROR(IF(SEARCH( "'Marital statuses'", J2),1,0),FALSE)</f>
        <v>0</v>
      </c>
      <c r="CL2" t="b">
        <f>IFERROR(IF(SEARCH( "'Mnemonic phrases'", J2),1,0),FALSE)</f>
        <v>0</v>
      </c>
      <c r="CM2">
        <f>IFERROR(IF(SEARCH( "'Names'", J2),1,0),FALSE)</f>
        <v>1</v>
      </c>
      <c r="CN2" t="b">
        <f>IFERROR(IF(SEARCH( "'Nationalities'", J2),1,0),FALSE)</f>
        <v>0</v>
      </c>
      <c r="CO2" t="b">
        <f>IFERROR(IF(SEARCH( "'Net worths'", J2),1,0),FALSE)</f>
        <v>0</v>
      </c>
      <c r="CP2" t="b">
        <f>IFERROR(IF(SEARCH( "'Nicknames' ", J2),1,0),FALSE)</f>
        <v>0</v>
      </c>
      <c r="CQ2" t="b">
        <f>IFERROR(IF(SEARCH( "'Occupations'", J2),1,0),FALSE)</f>
        <v>0</v>
      </c>
      <c r="CR2" t="b">
        <f>IFERROR(IF(SEARCH( "'Parenting plans", J2),1,0),FALSE)</f>
        <v>0</v>
      </c>
      <c r="CS2" t="b">
        <f>IFERROR(IF(SEARCH( "'Partial credit card data' ", J2),1,0),FALSE)</f>
        <v>0</v>
      </c>
      <c r="CT2" t="b">
        <f>IFERROR(IF(SEARCH( "'Partial phone numbers'", J2),1,0),FALSE)</f>
        <v>0</v>
      </c>
      <c r="CU2" t="b">
        <f>IFERROR(IF(SEARCH( "'Passport numbers'", J2),1,0),FALSE)</f>
        <v>0</v>
      </c>
      <c r="CV2">
        <f>IFERROR(IF(SEARCH( "'Passwords'", J2),1,0),FALSE)</f>
        <v>1</v>
      </c>
      <c r="CW2" t="b">
        <f>IFERROR(IF(SEARCH( "'Payment histories'", J2),1,0),FALSE)</f>
        <v>0</v>
      </c>
      <c r="CX2" t="b">
        <f>IFERROR(IF(SEARCH( "'Payment methods'", J2),1,0),FALSE)</f>
        <v>0</v>
      </c>
      <c r="CY2" t="b">
        <f>IFERROR(IF(SEARCH( "'Personal descriptions'", J2),1,0),FALSE)</f>
        <v>0</v>
      </c>
      <c r="CZ2" t="b">
        <f>IFERROR(IF(SEARCH( "'Personal health data'", J2),1,0),FALSE)</f>
        <v>0</v>
      </c>
      <c r="DA2" t="b">
        <f>IFERROR(IF(SEARCH( "'Phone numbers'", J2),1,0),FALSE)</f>
        <v>0</v>
      </c>
      <c r="DB2" t="b">
        <f>IFERROR(IF(SEARCH( "'Physical addresses'", J2),1,0),FALSE)</f>
        <v>0</v>
      </c>
      <c r="DC2" t="b">
        <f>IFERROR(IF(SEARCH( "'Physical attributes'", J2),1,0),FALSE)</f>
        <v>0</v>
      </c>
      <c r="DD2" t="b">
        <f>IFERROR(IF(SEARCH( "'PINs'", J2),1,0),FALSE)</f>
        <v>0</v>
      </c>
      <c r="DE2" t="b">
        <f>IFERROR(IF(SEARCH( "'Political donations'", J2),1,0),FALSE)</f>
        <v>0</v>
      </c>
      <c r="DF2" t="b">
        <f>IFERROR(IF(SEARCH( "'Political views'", J2),1,0),FALSE)</f>
        <v>0</v>
      </c>
      <c r="DG2" t="b">
        <f>IFERROR(IF(SEARCH( "'Private messages'", J2),1,0),FALSE)</f>
        <v>0</v>
      </c>
      <c r="DH2" t="b">
        <f>IFERROR(IF(SEARCH( "'Professional skills'", J2),1,0),FALSE)</f>
        <v>0</v>
      </c>
      <c r="DI2" t="b">
        <f>IFERROR(IF(SEARCH( "'Profile photos'", J2),1,0),FALSE)</f>
        <v>0</v>
      </c>
      <c r="DJ2" t="b">
        <f>IFERROR(IF(SEARCH( "'Purchases'", J2),1,0),FALSE)</f>
        <v>0</v>
      </c>
      <c r="DK2" t="b">
        <f>IFERROR(IF(SEARCH( "'Purchasing habits'", J2),1,0),FALSE)</f>
        <v>0</v>
      </c>
      <c r="DL2" t="b">
        <f>IFERROR(IF(SEARCH( "'Races'", J2),1,0),FALSE)</f>
        <v>0</v>
      </c>
      <c r="DM2" t="b">
        <f>IFERROR(IF(SEARCH( "'Recovery email addresses'", J2),1,0),FALSE)</f>
        <v>0</v>
      </c>
      <c r="DN2" t="b">
        <f>IFERROR(IF(SEARCH( "'Relationship statuses'", J2),1,0),FALSE)</f>
        <v>0</v>
      </c>
      <c r="DO2" t="b">
        <f>IFERROR(IF(SEARCH( "'Religions' ", J2),1,0),FALSE)</f>
        <v>0</v>
      </c>
      <c r="DP2" t="b">
        <f>IFERROR(IF(SEARCH( "'Reward program balances'", J2),1,0),FALSE)</f>
        <v>0</v>
      </c>
      <c r="DQ2" t="b">
        <f>IFERROR(IF(SEARCH( "'Salutations'", J2),1,0),FALSE)</f>
        <v>0</v>
      </c>
      <c r="DR2" t="b">
        <f>IFERROR(IF(SEARCH( "'School grades (class levels)", J2),1,0),FALSE)</f>
        <v>0</v>
      </c>
      <c r="DS2" t="b">
        <f>IFERROR(IF(SEARCH( "'Security questions and answers'", J2),1,0),FALSE)</f>
        <v>0</v>
      </c>
      <c r="DT2" t="b">
        <f>IFERROR(IF(SEARCH( "'Sexual fetishes'", J2),1,0),FALSE)</f>
        <v>0</v>
      </c>
      <c r="DU2" t="b">
        <f>IFERROR(IF(SEARCH( "'Sexual orientations'", J2),1,0),FALSE)</f>
        <v>0</v>
      </c>
      <c r="DV2" t="b">
        <f>IFERROR(IF(SEARCH( "'Smoking habits'", J2),1,0),FALSE)</f>
        <v>0</v>
      </c>
      <c r="DW2" t="b">
        <f>IFERROR(IF(SEARCH( "'SMS messages'", J2),1,0),FALSE)</f>
        <v>0</v>
      </c>
      <c r="DX2" t="b">
        <f>IFERROR(IF(SEARCH( "'Social connections'", J2),1,0),FALSE)</f>
        <v>0</v>
      </c>
      <c r="DY2" t="b">
        <f>IFERROR(IF(SEARCH( "'Social media profiles'", J2),1,0),FALSE)</f>
        <v>0</v>
      </c>
      <c r="DZ2" t="b">
        <f>IFERROR(IF(SEARCH( "'Social security numbers'", J2),1,0),FALSE)</f>
        <v>0</v>
      </c>
      <c r="EA2" t="b">
        <f>IFERROR(IF(SEARCH( "'Spoken languages'", J2),1,0),FALSE)</f>
        <v>0</v>
      </c>
      <c r="EB2" t="b">
        <f>IFERROR(IF(SEARCH( "'Survey results'", J2),1,0),FALSE)</f>
        <v>0</v>
      </c>
      <c r="EC2" t="b">
        <f>IFERROR(IF(SEARCH( "'Time zones'", J2),1,0),FALSE)</f>
        <v>0</v>
      </c>
      <c r="ED2" t="b">
        <f>IFERROR(IF(SEARCH( "'Travel habits' ", J2),1,0),FALSE)</f>
        <v>0</v>
      </c>
      <c r="EE2" t="b">
        <f>IFERROR(IF(SEARCH( "'User website URLs'", J2),1,0),FALSE)</f>
        <v>0</v>
      </c>
      <c r="EF2" t="b">
        <f>IFERROR(IF(SEARCH( "'Usernames'", J2),1,0),FALSE)</f>
        <v>0</v>
      </c>
      <c r="EG2" t="b">
        <f>IFERROR(IF(SEARCH( "'Vehicle details'", J2),1,0),FALSE)</f>
        <v>0</v>
      </c>
      <c r="EH2" t="b">
        <f>IFERROR(IF(SEARCH( "'Vehicle identification numbers (VINs)'", J2),1,0),FALSE)</f>
        <v>0</v>
      </c>
      <c r="EI2" t="b">
        <f>IFERROR(IF(SEARCH( "'Website activity'", J2),1,0),FALSE)</f>
        <v>0</v>
      </c>
      <c r="EJ2" t="b">
        <f>IFERROR(IF(SEARCH( "'Work habits'", J2),1,0),FALSE)</f>
        <v>0</v>
      </c>
      <c r="EK2" t="b">
        <f>IFERROR(IF(SEARCH( "'Years of professional experience'", J2),1,0),FALSE)</f>
        <v>0</v>
      </c>
    </row>
    <row r="3" spans="1:141">
      <c r="A3" t="s">
        <v>139</v>
      </c>
      <c r="B3" t="s">
        <v>139</v>
      </c>
      <c r="C3" t="s">
        <v>140</v>
      </c>
      <c r="D3" s="1">
        <v>43912</v>
      </c>
      <c r="E3" s="2">
        <v>44150.041550925926</v>
      </c>
      <c r="F3" s="2">
        <v>44150.046643518515</v>
      </c>
      <c r="G3">
        <v>8661578</v>
      </c>
      <c r="H3" t="s">
        <v>141</v>
      </c>
      <c r="I3" s="10" t="s">
        <v>142</v>
      </c>
      <c r="J3" t="s">
        <v>143</v>
      </c>
      <c r="K3" s="8" t="b">
        <v>1</v>
      </c>
      <c r="L3" s="10" t="b">
        <v>0</v>
      </c>
      <c r="M3" s="12" t="b">
        <v>0</v>
      </c>
      <c r="N3" t="b">
        <v>0</v>
      </c>
      <c r="O3" t="b">
        <v>0</v>
      </c>
      <c r="P3" t="b">
        <v>0</v>
      </c>
      <c r="Q3">
        <f t="shared" ref="Q3:Q65" si="1">WEEKDAY(D3)</f>
        <v>1</v>
      </c>
      <c r="R3">
        <f t="shared" ref="R3:R65" si="2">MONTH(D3)</f>
        <v>3</v>
      </c>
      <c r="S3" t="e">
        <f ca="1">WhoIsorganization(C3)</f>
        <v>#NAME?</v>
      </c>
      <c r="T3" t="e">
        <f t="shared" ref="T3:T65" ca="1" si="3">WhoIsName(C3)</f>
        <v>#NAME?</v>
      </c>
      <c r="U3" s="4">
        <f t="shared" ref="U3:U65" si="4">E3-D3</f>
        <v>238.04155092592555</v>
      </c>
      <c r="V3" s="4">
        <f t="shared" ref="V3:V65" si="5">U3/30</f>
        <v>7.9347183641975185</v>
      </c>
      <c r="W3" s="4">
        <f t="shared" ref="W3:W65" si="6">IF(K3=TRUE,1,0)</f>
        <v>1</v>
      </c>
      <c r="X3" s="4">
        <f t="shared" ref="X3:X65" si="7">IF(L3=TRUE,1,0)</f>
        <v>0</v>
      </c>
      <c r="Y3" s="4">
        <f t="shared" ref="Y3:Y65" si="8">IF(M3=TRUE,1,0)</f>
        <v>0</v>
      </c>
      <c r="Z3" s="4">
        <f t="shared" ref="Z3:Z65" si="9">IF(N3=TRUE,1,0)</f>
        <v>0</v>
      </c>
      <c r="AA3" s="4">
        <f t="shared" ref="AA3:AA65" si="10">IF(O3=TRUE,1,0)</f>
        <v>0</v>
      </c>
      <c r="AB3" s="4">
        <f t="shared" ref="AB3:AB65" si="11">IF(P3=TRUE,1,0)</f>
        <v>0</v>
      </c>
      <c r="AD3" s="4" t="b">
        <f t="shared" ref="AD3:AD65" si="12">IFERROR(IF(SEARCH("'Account balances'",J3),1,0),FALSE)</f>
        <v>0</v>
      </c>
      <c r="AE3" s="4" t="b">
        <f t="shared" ref="AE3:AE65" si="13">IFERROR(IF(SEARCH( "'Address book contacts'", J3),1,0),FALSE)</f>
        <v>0</v>
      </c>
      <c r="AF3" s="4" t="b">
        <f t="shared" ref="AF3:AF65" si="14">IFERROR(IF(SEARCH( "'Age groups'", J3),1,0),FALSE)</f>
        <v>0</v>
      </c>
      <c r="AG3" t="b">
        <f t="shared" ref="AG3:AG65" si="15">IFERROR(IF(SEARCH( "'Apps installed on devices'", J3),1,0),FALSE)</f>
        <v>0</v>
      </c>
      <c r="AH3" t="b">
        <f t="shared" ref="AH3:AH65" si="16">IFERROR(IF(SEARCH( "'Astrological signs'", J3),1,0),FALSE)</f>
        <v>0</v>
      </c>
      <c r="AI3" t="b">
        <f t="shared" ref="AI3:AI65" si="17">IFERROR(IF(SEARCH( "'Auth tokens'", J3),1,0),FALSE)</f>
        <v>0</v>
      </c>
      <c r="AJ3" t="b">
        <f t="shared" ref="AJ3:AJ65" si="18">IFERROR(IF(SEARCH( "'Avatars'", J3),1,0),FALSE)</f>
        <v>0</v>
      </c>
      <c r="AK3" t="b">
        <f t="shared" ref="AK3:AK65" si="19">IFERROR(IF(SEARCH( "'Bank account numbers'", J3),1,0),FALSE)</f>
        <v>0</v>
      </c>
      <c r="AL3" t="b">
        <f t="shared" ref="AL3:AL65" si="20">IFERROR(IF(SEARCH( "'Beauty ratings'", J3),1,0),FALSE)</f>
        <v>0</v>
      </c>
      <c r="AM3" t="b">
        <f t="shared" ref="AM3:AM65" si="21">IFERROR(IF(SEARCH( "'Biometric data'", J3),1,0),FALSE)</f>
        <v>0</v>
      </c>
      <c r="AN3" t="b">
        <f t="shared" ref="AN3:AN65" si="22">IFERROR(IF(SEARCH( "'Bios'", J3),1,0),FALSE)</f>
        <v>0</v>
      </c>
      <c r="AO3" t="b">
        <f t="shared" ref="AO3:AO65" si="23">IFERROR(IF(SEARCH( "'Browser user agent details' ", J3),1,0),FALSE)</f>
        <v>0</v>
      </c>
      <c r="AP3" t="b">
        <f t="shared" ref="AP3:AP65" si="24">IFERROR(IF(SEARCH( "'Buying preferences'", J3),1,0),FALSE)</f>
        <v>0</v>
      </c>
      <c r="AQ3" t="b">
        <f t="shared" ref="AQ3:AQ65" si="25">IFERROR(IF(SEARCH( "'Car ownership statuses'", J3),1,0),FALSE)</f>
        <v>0</v>
      </c>
      <c r="AR3" t="b">
        <f t="shared" ref="AR3:AR65" si="26">IFERROR(IF(SEARCH( "'Cellular network names'", J3),1,0),FALSE)</f>
        <v>0</v>
      </c>
      <c r="AS3" t="b">
        <f t="shared" ref="AS3:AS65" si="27">IFERROR(IF(SEARCH( "'Charitable donations'", J3),1,0),FALSE)</f>
        <v>0</v>
      </c>
      <c r="AT3" t="b">
        <f t="shared" ref="AT3:AT65" si="28">IFERROR(IF(SEARCH( "'Chat logs'", J3),1,0),FALSE)</f>
        <v>0</v>
      </c>
      <c r="AU3" t="b">
        <f t="shared" ref="AU3:AU65" si="29">IFERROR(IF(SEARCH( "'Credit card CVV'", J3),1,0),FALSE)</f>
        <v>0</v>
      </c>
      <c r="AV3" t="b">
        <f t="shared" ref="AV3:AV65" si="30">IFERROR(IF(SEARCH( "'Credit cards'", J3),1,0),FALSE)</f>
        <v>0</v>
      </c>
      <c r="AW3" t="b">
        <f t="shared" ref="AW3:AW65" si="31">IFERROR(IF(SEARCH( "'Credit status information'", J3),1,0),FALSE)</f>
        <v>0</v>
      </c>
      <c r="AX3" t="b">
        <f>IFERROR(IF(SEARCH( "'Customer feedback'", J3),1,0),FALSE)</f>
        <v>0</v>
      </c>
      <c r="AY3" t="b">
        <f>IFERROR(IF(SEARCH( "'Customer interactions'  ", J3),1,0),FALSE)</f>
        <v>0</v>
      </c>
      <c r="AZ3" t="b">
        <f>IFERROR(IF(SEARCH( "'Dates of birth'", J3),1,0),FALSE)</f>
        <v>0</v>
      </c>
      <c r="BA3" t="b">
        <f>IFERROR(IF(SEARCH( "'Deceased statuses'", J3),1,0),FALSE)</f>
        <v>0</v>
      </c>
      <c r="BB3" t="b">
        <f>IFERROR(IF(SEARCH( "'Device information'", J3),1,0),FALSE)</f>
        <v>0</v>
      </c>
      <c r="BC3" t="b">
        <f>IFERROR(IF(SEARCH( "'Device serial numbers'", J3),1,0),FALSE)</f>
        <v>0</v>
      </c>
      <c r="BD3" t="b">
        <f>IFERROR(IF(SEARCH( "'Device usage tracking data'", J3),1,0),FALSE)</f>
        <v>0</v>
      </c>
      <c r="BE3" t="b">
        <f>IFERROR(IF(SEARCH( "'Drinking habits'", J3),1,0),FALSE)</f>
        <v>0</v>
      </c>
      <c r="BF3" t="b">
        <f>IFERROR(IF(SEARCH( "'Drinking habits' ", J3),1,0),FALSE)</f>
        <v>0</v>
      </c>
      <c r="BG3" t="b">
        <f>IFERROR(IF(SEARCH( "'Drug habits'", J3),1,0),FALSE)</f>
        <v>0</v>
      </c>
      <c r="BH3" t="b">
        <f>IFERROR(IF(SEARCH( "'Education levels'", J3),1,0),FALSE)</f>
        <v>0</v>
      </c>
      <c r="BI3">
        <f>IFERROR(IF(SEARCH( "'Email addresses'", J3),1,0),FALSE)</f>
        <v>1</v>
      </c>
      <c r="BJ3" t="b">
        <f>IFERROR(IF(SEARCH( "'Employers'", J3),1,0),FALSE)</f>
        <v>0</v>
      </c>
      <c r="BK3" t="b">
        <f>IFERROR(IF(SEARCH( "'Ethnicities' ", J3),1,0),FALSE)</f>
        <v>0</v>
      </c>
      <c r="BL3" t="b">
        <f>IFERROR(IF(SEARCH( "'Family members' names'", J3),1,0),FALSE)</f>
        <v>0</v>
      </c>
      <c r="BM3" t="b">
        <f t="shared" ref="BM3:BM66" si="32">IFERROR(IF(SEARCH( "'Family structure", J3),1,0),FALSE)</f>
        <v>0</v>
      </c>
      <c r="BN3" t="b">
        <f t="shared" ref="BN3:BN66" si="33">IFERROR(IF(SEARCH( "'Financial investments'", J3),1,0),FALSE)</f>
        <v>0</v>
      </c>
      <c r="BO3" t="b">
        <f t="shared" ref="BO3:BO66" si="34">IFERROR(IF(SEARCH( "'Financial transactions'", J3),1,0),FALSE)</f>
        <v>0</v>
      </c>
      <c r="BP3" t="b">
        <f t="shared" ref="BP3:BP66" si="35">IFERROR(IF(SEARCH( "'Fitness levels'", J3),1,0),FALSE)</f>
        <v>0</v>
      </c>
      <c r="BQ3" t="b">
        <f t="shared" ref="BQ3:BQ66" si="36">IFERROR(IF(SEARCH( "'Flights taken'", J3),1,0),FALSE)</f>
        <v>0</v>
      </c>
      <c r="BR3" t="b">
        <f t="shared" ref="BR3:BR66" si="37">IFERROR(IF(SEARCH( "'Genders'", J3),1,0),FALSE)</f>
        <v>0</v>
      </c>
      <c r="BS3" t="b">
        <f t="shared" ref="BS3:BS66" si="38">IFERROR(IF(SEARCH( "'Geographic locations'", J3),1,0),FALSE)</f>
        <v>0</v>
      </c>
      <c r="BT3" t="b">
        <f t="shared" ref="BT3:BT66" si="39">IFERROR(IF(SEARCH( "'Government issued IDs'", J3),1,0),FALSE)</f>
        <v>0</v>
      </c>
      <c r="BU3" t="b">
        <f t="shared" ref="BU3:BU66" si="40">IFERROR(IF(SEARCH( "'Health insurance information' ", J3),1,0),FALSE)</f>
        <v>0</v>
      </c>
      <c r="BV3" t="b">
        <f t="shared" ref="BV3:BV66" si="41">IFERROR(IF(SEARCH( "'Historical passwords'", J3),1,0),FALSE)</f>
        <v>0</v>
      </c>
      <c r="BW3" t="b">
        <f t="shared" ref="BW3:BW66" si="42">IFERROR(IF(SEARCH( "'HIV statuses'", J3),1,0),FALSE)</f>
        <v>0</v>
      </c>
      <c r="BX3" t="b">
        <f t="shared" ref="BX3:BX66" si="43">IFERROR(IF(SEARCH( "'Home loan information'", J3),1,0),FALSE)</f>
        <v>0</v>
      </c>
      <c r="BY3" t="b">
        <f t="shared" ref="BY3:BY66" si="44">IFERROR(IF(SEARCH( "'Home ownership statuses", J3),1,0),FALSE)</f>
        <v>0</v>
      </c>
      <c r="BZ3" t="b">
        <f t="shared" ref="BZ3:BZ66" si="45">IFERROR(IF(SEARCH( "'Homepage URLs'", J3),1,0),FALSE)</f>
        <v>0</v>
      </c>
      <c r="CA3" t="b">
        <f t="shared" ref="CA3:CA66" si="46">IFERROR(IF(SEARCH( "'IMEI numbers'", J3),1,0),FALSE)</f>
        <v>0</v>
      </c>
      <c r="CB3" t="b">
        <f t="shared" ref="CB3:CB66" si="47">IFERROR(IF(SEARCH( "'IMSI numbers' ", J3),1,0),FALSE)</f>
        <v>0</v>
      </c>
      <c r="CC3" t="b">
        <f t="shared" ref="CC3:CC66" si="48">IFERROR(IF(SEARCH( "'Income levels'", J3),1,0),FALSE)</f>
        <v>0</v>
      </c>
      <c r="CD3" t="b">
        <f t="shared" ref="CD3:CD66" si="49">IFERROR(IF(SEARCH( "'Instant messenger identities'", J3),1,0),FALSE)</f>
        <v>0</v>
      </c>
      <c r="CE3">
        <f t="shared" ref="CE3:CE66" si="50">IFERROR(IF(SEARCH( "'IP addresses'", J3),1,0),FALSE)</f>
        <v>1</v>
      </c>
      <c r="CF3" t="b">
        <f t="shared" ref="CF3:CF66" si="51">IFERROR(IF(SEARCH( "'Job applications' ", J3),1,0),FALSE)</f>
        <v>0</v>
      </c>
      <c r="CG3" t="b">
        <f t="shared" ref="CG3:CG66" si="52">IFERROR(IF(SEARCH( "'Job titles' ", J3),1,0),FALSE)</f>
        <v>0</v>
      </c>
      <c r="CH3" t="b">
        <f t="shared" ref="CH3:CH66" si="53">IFERROR(IF(SEARCH( "'Licence plates'", J3),1,0),FALSE)</f>
        <v>0</v>
      </c>
      <c r="CI3" t="b">
        <f t="shared" ref="CI3:CI66" si="54">IFERROR(IF(SEARCH( "'Login histories'", J3),1,0),FALSE)</f>
        <v>0</v>
      </c>
      <c r="CJ3" t="b">
        <f t="shared" ref="CJ3:CJ66" si="55">IFERROR(IF(SEARCH( "'MAC addresses'", J3),1,0),FALSE)</f>
        <v>0</v>
      </c>
      <c r="CK3" t="b">
        <f t="shared" ref="CK3:CK66" si="56">IFERROR(IF(SEARCH( "'Marital statuses'", J3),1,0),FALSE)</f>
        <v>0</v>
      </c>
      <c r="CL3" t="b">
        <f t="shared" ref="CL3:CL66" si="57">IFERROR(IF(SEARCH( "'Mnemonic phrases'", J3),1,0),FALSE)</f>
        <v>0</v>
      </c>
      <c r="CM3">
        <f t="shared" ref="CM3:CM66" si="58">IFERROR(IF(SEARCH( "'Names'", J3),1,0),FALSE)</f>
        <v>1</v>
      </c>
      <c r="CN3" t="b">
        <f t="shared" ref="CN3:CN66" si="59">IFERROR(IF(SEARCH( "'Nationalities'", J3),1,0),FALSE)</f>
        <v>0</v>
      </c>
      <c r="CO3" t="b">
        <f t="shared" ref="CO3:CO66" si="60">IFERROR(IF(SEARCH( "'Net worths'", J3),1,0),FALSE)</f>
        <v>0</v>
      </c>
      <c r="CP3" t="b">
        <f t="shared" ref="CP3:CP66" si="61">IFERROR(IF(SEARCH( "'Nicknames' ", J3),1,0),FALSE)</f>
        <v>0</v>
      </c>
      <c r="CQ3" t="b">
        <f t="shared" ref="CQ3:CQ66" si="62">IFERROR(IF(SEARCH( "'Occupations'", J3),1,0),FALSE)</f>
        <v>0</v>
      </c>
      <c r="CR3" t="b">
        <f t="shared" ref="CR3:CR66" si="63">IFERROR(IF(SEARCH( "'Parenting plans", J3),1,0),FALSE)</f>
        <v>0</v>
      </c>
      <c r="CS3" t="b">
        <f t="shared" ref="CS3:CS66" si="64">IFERROR(IF(SEARCH( "'Partial credit card data' ", J3),1,0),FALSE)</f>
        <v>0</v>
      </c>
      <c r="CT3" t="b">
        <f t="shared" ref="CT3:CT66" si="65">IFERROR(IF(SEARCH( "'Partial phone numbers'", J3),1,0),FALSE)</f>
        <v>0</v>
      </c>
      <c r="CU3" t="b">
        <f t="shared" ref="CU3:CU66" si="66">IFERROR(IF(SEARCH( "'Passport numbers'", J3),1,0),FALSE)</f>
        <v>0</v>
      </c>
      <c r="CV3">
        <f t="shared" ref="CV3:CV66" si="67">IFERROR(IF(SEARCH( "'Passwords'", J3),1,0),FALSE)</f>
        <v>1</v>
      </c>
      <c r="CW3" t="b">
        <f t="shared" ref="CW3:CW66" si="68">IFERROR(IF(SEARCH( "'Payment histories'", J3),1,0),FALSE)</f>
        <v>0</v>
      </c>
      <c r="CX3" t="b">
        <f t="shared" ref="CX3:CX66" si="69">IFERROR(IF(SEARCH( "'Payment methods'", J3),1,0),FALSE)</f>
        <v>0</v>
      </c>
      <c r="CY3" t="b">
        <f t="shared" ref="CY3:CY66" si="70">IFERROR(IF(SEARCH( "'Personal descriptions'", J3),1,0),FALSE)</f>
        <v>0</v>
      </c>
      <c r="CZ3" t="b">
        <f t="shared" ref="CZ3:CZ66" si="71">IFERROR(IF(SEARCH( "'Personal health data'", J3),1,0),FALSE)</f>
        <v>0</v>
      </c>
      <c r="DA3">
        <f t="shared" ref="DA3:DA66" si="72">IFERROR(IF(SEARCH( "'Phone numbers'", J3),1,0),FALSE)</f>
        <v>1</v>
      </c>
      <c r="DB3">
        <f t="shared" ref="DB3:DB66" si="73">IFERROR(IF(SEARCH( "'Physical addresses'", J3),1,0),FALSE)</f>
        <v>1</v>
      </c>
      <c r="DC3" t="b">
        <f t="shared" ref="DC3:DC66" si="74">IFERROR(IF(SEARCH( "'Physical attributes'", J3),1,0),FALSE)</f>
        <v>0</v>
      </c>
      <c r="DD3" t="b">
        <f t="shared" ref="DD3:DD66" si="75">IFERROR(IF(SEARCH( "'PINs'", J3),1,0),FALSE)</f>
        <v>0</v>
      </c>
      <c r="DE3" t="b">
        <f t="shared" ref="DE3:DE66" si="76">IFERROR(IF(SEARCH( "'Political donations'", J3),1,0),FALSE)</f>
        <v>0</v>
      </c>
      <c r="DF3" t="b">
        <f t="shared" ref="DF3:DF66" si="77">IFERROR(IF(SEARCH( "'Political views'", J3),1,0),FALSE)</f>
        <v>0</v>
      </c>
      <c r="DG3" t="b">
        <f t="shared" ref="DG3:DG66" si="78">IFERROR(IF(SEARCH( "'Private messages'", J3),1,0),FALSE)</f>
        <v>0</v>
      </c>
      <c r="DH3" t="b">
        <f t="shared" ref="DH3:DH66" si="79">IFERROR(IF(SEARCH( "'Professional skills'", J3),1,0),FALSE)</f>
        <v>0</v>
      </c>
      <c r="DI3" t="b">
        <f t="shared" ref="DI3:DI66" si="80">IFERROR(IF(SEARCH( "'Profile photos'", J3),1,0),FALSE)</f>
        <v>0</v>
      </c>
      <c r="DJ3" t="b">
        <f t="shared" ref="DJ3:DJ66" si="81">IFERROR(IF(SEARCH( "'Purchases'", J3),1,0),FALSE)</f>
        <v>0</v>
      </c>
      <c r="DK3" t="b">
        <f t="shared" ref="DK3:DK66" si="82">IFERROR(IF(SEARCH( "'Purchasing habits'", J3),1,0),FALSE)</f>
        <v>0</v>
      </c>
      <c r="DL3" t="b">
        <f t="shared" ref="DL3:DL66" si="83">IFERROR(IF(SEARCH( "'Races'", J3),1,0),FALSE)</f>
        <v>0</v>
      </c>
      <c r="DM3" t="b">
        <f t="shared" ref="DM3:DM66" si="84">IFERROR(IF(SEARCH( "'Recovery email addresses'", J3),1,0),FALSE)</f>
        <v>0</v>
      </c>
      <c r="DN3" t="b">
        <f t="shared" ref="DN3:DN66" si="85">IFERROR(IF(SEARCH( "'Relationship statuses'", J3),1,0),FALSE)</f>
        <v>0</v>
      </c>
      <c r="DO3" t="b">
        <f t="shared" ref="DO3:DO66" si="86">IFERROR(IF(SEARCH( "'Religions' ", J3),1,0),FALSE)</f>
        <v>0</v>
      </c>
      <c r="DP3" t="b">
        <f t="shared" ref="DP3:DP66" si="87">IFERROR(IF(SEARCH( "'Reward program balances'", J3),1,0),FALSE)</f>
        <v>0</v>
      </c>
      <c r="DQ3" t="b">
        <f t="shared" ref="DQ3:DQ66" si="88">IFERROR(IF(SEARCH( "'Salutations'", J3),1,0),FALSE)</f>
        <v>0</v>
      </c>
      <c r="DR3" t="b">
        <f t="shared" ref="DR3:DR66" si="89">IFERROR(IF(SEARCH( "'School grades (class levels)", J3),1,0),FALSE)</f>
        <v>0</v>
      </c>
      <c r="DS3" t="b">
        <f t="shared" ref="DS3:DS66" si="90">IFERROR(IF(SEARCH( "'Security questions and answers'", J3),1,0),FALSE)</f>
        <v>0</v>
      </c>
      <c r="DT3" t="b">
        <f t="shared" ref="DT3:DT66" si="91">IFERROR(IF(SEARCH( "'Sexual fetishes'", J3),1,0),FALSE)</f>
        <v>0</v>
      </c>
      <c r="DU3" t="b">
        <f t="shared" ref="DU3:DU66" si="92">IFERROR(IF(SEARCH( "'Sexual orientations'", J3),1,0),FALSE)</f>
        <v>0</v>
      </c>
      <c r="DV3" t="b">
        <f t="shared" ref="DV3:DV66" si="93">IFERROR(IF(SEARCH( "'Smoking habits'", J3),1,0),FALSE)</f>
        <v>0</v>
      </c>
      <c r="DW3" t="b">
        <f t="shared" ref="DW3:DW66" si="94">IFERROR(IF(SEARCH( "'SMS messages'", J3),1,0),FALSE)</f>
        <v>0</v>
      </c>
      <c r="DX3" t="b">
        <f t="shared" ref="DX3:DX66" si="95">IFERROR(IF(SEARCH( "'Social connections'", J3),1,0),FALSE)</f>
        <v>0</v>
      </c>
      <c r="DY3" t="b">
        <f t="shared" ref="DY3:DY66" si="96">IFERROR(IF(SEARCH( "'Social media profiles'", J3),1,0),FALSE)</f>
        <v>0</v>
      </c>
      <c r="DZ3" t="b">
        <f t="shared" ref="DZ3:DZ66" si="97">IFERROR(IF(SEARCH( "'Social security numbers'", J3),1,0),FALSE)</f>
        <v>0</v>
      </c>
      <c r="EA3" t="b">
        <f t="shared" ref="EA3:EA66" si="98">IFERROR(IF(SEARCH( "'Spoken languages'", J3),1,0),FALSE)</f>
        <v>0</v>
      </c>
      <c r="EB3" t="b">
        <f t="shared" ref="EB3:EB66" si="99">IFERROR(IF(SEARCH( "'Survey results'", J3),1,0),FALSE)</f>
        <v>0</v>
      </c>
      <c r="EC3" t="b">
        <f t="shared" ref="EC3:EC66" si="100">IFERROR(IF(SEARCH( "'Time zones'", J3),1,0),FALSE)</f>
        <v>0</v>
      </c>
      <c r="ED3" t="b">
        <f t="shared" ref="ED3:ED66" si="101">IFERROR(IF(SEARCH( "'Travel habits' ", J3),1,0),FALSE)</f>
        <v>0</v>
      </c>
      <c r="EE3" t="b">
        <f t="shared" ref="EE3:EE66" si="102">IFERROR(IF(SEARCH( "'User website URLs'", J3),1,0),FALSE)</f>
        <v>0</v>
      </c>
      <c r="EF3">
        <f t="shared" ref="EF3:EF66" si="103">IFERROR(IF(SEARCH( "'Usernames'", J3),1,0),FALSE)</f>
        <v>1</v>
      </c>
      <c r="EG3" t="b">
        <f t="shared" ref="EG3:EG66" si="104">IFERROR(IF(SEARCH( "'Vehicle details'", J3),1,0),FALSE)</f>
        <v>0</v>
      </c>
      <c r="EH3" t="b">
        <f t="shared" ref="EH3:EH66" si="105">IFERROR(IF(SEARCH( "'Vehicle identification numbers (VINs)'", J3),1,0),FALSE)</f>
        <v>0</v>
      </c>
      <c r="EI3" t="b">
        <f t="shared" ref="EI3:EI66" si="106">IFERROR(IF(SEARCH( "'Website activity'", J3),1,0),FALSE)</f>
        <v>0</v>
      </c>
      <c r="EJ3" t="b">
        <f t="shared" ref="EJ3:EJ66" si="107">IFERROR(IF(SEARCH( "'Work habits'", J3),1,0),FALSE)</f>
        <v>0</v>
      </c>
      <c r="EK3" t="b">
        <f t="shared" ref="EK3:EK66" si="108">IFERROR(IF(SEARCH( "'Years of professional experience'", J3),1,0),FALSE)</f>
        <v>0</v>
      </c>
    </row>
    <row r="4" spans="1:141">
      <c r="A4">
        <v>126</v>
      </c>
      <c r="B4">
        <v>126</v>
      </c>
      <c r="C4" t="s">
        <v>144</v>
      </c>
      <c r="D4" s="1">
        <v>40909</v>
      </c>
      <c r="E4" s="2">
        <v>42651.32366898148</v>
      </c>
      <c r="F4" s="2">
        <v>42651.32366898148</v>
      </c>
      <c r="G4">
        <v>6414191</v>
      </c>
      <c r="H4" t="s">
        <v>145</v>
      </c>
      <c r="I4" s="10" t="s">
        <v>146</v>
      </c>
      <c r="J4" t="s">
        <v>147</v>
      </c>
      <c r="K4" s="8" t="b">
        <v>0</v>
      </c>
      <c r="L4" s="10" t="b">
        <v>0</v>
      </c>
      <c r="M4" s="12" t="b">
        <v>0</v>
      </c>
      <c r="N4" t="b">
        <v>0</v>
      </c>
      <c r="O4" t="b">
        <v>0</v>
      </c>
      <c r="P4" t="b">
        <v>0</v>
      </c>
      <c r="Q4">
        <f t="shared" si="1"/>
        <v>1</v>
      </c>
      <c r="R4">
        <f t="shared" si="2"/>
        <v>1</v>
      </c>
      <c r="S4" t="e">
        <f t="shared" ref="S4:S66" ca="1" si="109">WhoIsorganization(C4)</f>
        <v>#NAME?</v>
      </c>
      <c r="T4" t="e">
        <f t="shared" ca="1" si="3"/>
        <v>#NAME?</v>
      </c>
      <c r="U4" s="4">
        <f t="shared" si="4"/>
        <v>1742.3236689814803</v>
      </c>
      <c r="V4" s="4">
        <f t="shared" si="5"/>
        <v>58.07745563271601</v>
      </c>
      <c r="W4" s="4">
        <f t="shared" si="6"/>
        <v>0</v>
      </c>
      <c r="X4" s="4">
        <f t="shared" si="7"/>
        <v>0</v>
      </c>
      <c r="Y4" s="4">
        <f t="shared" si="8"/>
        <v>0</v>
      </c>
      <c r="Z4" s="4">
        <f t="shared" si="9"/>
        <v>0</v>
      </c>
      <c r="AA4" s="4">
        <f t="shared" si="10"/>
        <v>0</v>
      </c>
      <c r="AB4" s="4">
        <f t="shared" si="11"/>
        <v>0</v>
      </c>
      <c r="AD4" s="4" t="b">
        <f t="shared" si="12"/>
        <v>0</v>
      </c>
      <c r="AE4" s="4" t="b">
        <f t="shared" si="13"/>
        <v>0</v>
      </c>
      <c r="AF4" s="4" t="b">
        <f t="shared" si="14"/>
        <v>0</v>
      </c>
      <c r="AG4" t="b">
        <f t="shared" si="15"/>
        <v>0</v>
      </c>
      <c r="AH4" t="b">
        <f t="shared" si="16"/>
        <v>0</v>
      </c>
      <c r="AI4" t="b">
        <f t="shared" si="17"/>
        <v>0</v>
      </c>
      <c r="AJ4" t="b">
        <f t="shared" si="18"/>
        <v>0</v>
      </c>
      <c r="AK4" t="b">
        <f t="shared" si="19"/>
        <v>0</v>
      </c>
      <c r="AL4" t="b">
        <f t="shared" si="20"/>
        <v>0</v>
      </c>
      <c r="AM4" t="b">
        <f t="shared" si="21"/>
        <v>0</v>
      </c>
      <c r="AN4" t="b">
        <f t="shared" si="22"/>
        <v>0</v>
      </c>
      <c r="AO4" t="b">
        <f t="shared" si="23"/>
        <v>0</v>
      </c>
      <c r="AP4" t="b">
        <f t="shared" si="24"/>
        <v>0</v>
      </c>
      <c r="AQ4" t="b">
        <f t="shared" si="25"/>
        <v>0</v>
      </c>
      <c r="AR4" t="b">
        <f t="shared" si="26"/>
        <v>0</v>
      </c>
      <c r="AS4" t="b">
        <f t="shared" si="27"/>
        <v>0</v>
      </c>
      <c r="AT4" t="b">
        <f t="shared" si="28"/>
        <v>0</v>
      </c>
      <c r="AU4" t="b">
        <f t="shared" si="29"/>
        <v>0</v>
      </c>
      <c r="AV4" t="b">
        <f t="shared" si="30"/>
        <v>0</v>
      </c>
      <c r="AW4" t="b">
        <f t="shared" si="31"/>
        <v>0</v>
      </c>
      <c r="AX4" t="b">
        <f t="shared" ref="AX4:AX66" si="110">IFERROR(IF(SEARCH( "'Customer feedback'", J4),1,0),FALSE)</f>
        <v>0</v>
      </c>
      <c r="AY4" t="b">
        <f t="shared" ref="AY4:AY66" si="111">IFERROR(IF(SEARCH( "'Customer interactions'  ", J4),1,0),FALSE)</f>
        <v>0</v>
      </c>
      <c r="AZ4" t="b">
        <f t="shared" ref="AZ4:AZ66" si="112">IFERROR(IF(SEARCH( "'Dates of birth'", J4),1,0),FALSE)</f>
        <v>0</v>
      </c>
      <c r="BA4" t="b">
        <f t="shared" ref="BA4:BA66" si="113">IFERROR(IF(SEARCH( "'Deceased statuses'", J4),1,0),FALSE)</f>
        <v>0</v>
      </c>
      <c r="BB4" t="b">
        <f t="shared" ref="BB4:BB66" si="114">IFERROR(IF(SEARCH( "'Device information'", J4),1,0),FALSE)</f>
        <v>0</v>
      </c>
      <c r="BC4" t="b">
        <f t="shared" ref="BC4:BC66" si="115">IFERROR(IF(SEARCH( "'Device serial numbers'", J4),1,0),FALSE)</f>
        <v>0</v>
      </c>
      <c r="BD4" t="b">
        <f t="shared" ref="BD4:BD66" si="116">IFERROR(IF(SEARCH( "'Device usage tracking data'", J4),1,0),FALSE)</f>
        <v>0</v>
      </c>
      <c r="BE4" t="b">
        <f t="shared" ref="BE4:BE66" si="117">IFERROR(IF(SEARCH( "'Drinking habits'", J4),1,0),FALSE)</f>
        <v>0</v>
      </c>
      <c r="BF4" t="b">
        <f t="shared" ref="BF4:BF66" si="118">IFERROR(IF(SEARCH( "'Drinking habits' ", J4),1,0),FALSE)</f>
        <v>0</v>
      </c>
      <c r="BG4" t="b">
        <f t="shared" ref="BG4:BG66" si="119">IFERROR(IF(SEARCH( "'Drug habits'", J4),1,0),FALSE)</f>
        <v>0</v>
      </c>
      <c r="BH4" t="b">
        <f t="shared" ref="BH4:BH66" si="120">IFERROR(IF(SEARCH( "'Education levels'", J4),1,0),FALSE)</f>
        <v>0</v>
      </c>
      <c r="BI4">
        <f t="shared" ref="BI4:BI66" si="121">IFERROR(IF(SEARCH( "'Email addresses'", J4),1,0),FALSE)</f>
        <v>1</v>
      </c>
      <c r="BJ4" t="b">
        <f t="shared" ref="BJ4:BJ66" si="122">IFERROR(IF(SEARCH( "'Employers'", J4),1,0),FALSE)</f>
        <v>0</v>
      </c>
      <c r="BK4" t="b">
        <f t="shared" ref="BK4:BK66" si="123">IFERROR(IF(SEARCH( "'Ethnicities' ", J4),1,0),FALSE)</f>
        <v>0</v>
      </c>
      <c r="BL4" t="b">
        <f t="shared" ref="BL4:BL66" si="124">IFERROR(IF(SEARCH( "'Family members' names'", J4),1,0),FALSE)</f>
        <v>0</v>
      </c>
      <c r="BM4" t="b">
        <f t="shared" si="32"/>
        <v>0</v>
      </c>
      <c r="BN4" t="b">
        <f t="shared" si="33"/>
        <v>0</v>
      </c>
      <c r="BO4" t="b">
        <f t="shared" si="34"/>
        <v>0</v>
      </c>
      <c r="BP4" t="b">
        <f t="shared" si="35"/>
        <v>0</v>
      </c>
      <c r="BQ4" t="b">
        <f t="shared" si="36"/>
        <v>0</v>
      </c>
      <c r="BR4" t="b">
        <f t="shared" si="37"/>
        <v>0</v>
      </c>
      <c r="BS4" t="b">
        <f t="shared" si="38"/>
        <v>0</v>
      </c>
      <c r="BT4" t="b">
        <f t="shared" si="39"/>
        <v>0</v>
      </c>
      <c r="BU4" t="b">
        <f t="shared" si="40"/>
        <v>0</v>
      </c>
      <c r="BV4" t="b">
        <f t="shared" si="41"/>
        <v>0</v>
      </c>
      <c r="BW4" t="b">
        <f t="shared" si="42"/>
        <v>0</v>
      </c>
      <c r="BX4" t="b">
        <f t="shared" si="43"/>
        <v>0</v>
      </c>
      <c r="BY4" t="b">
        <f t="shared" si="44"/>
        <v>0</v>
      </c>
      <c r="BZ4" t="b">
        <f t="shared" si="45"/>
        <v>0</v>
      </c>
      <c r="CA4" t="b">
        <f t="shared" si="46"/>
        <v>0</v>
      </c>
      <c r="CB4" t="b">
        <f t="shared" si="47"/>
        <v>0</v>
      </c>
      <c r="CC4" t="b">
        <f t="shared" si="48"/>
        <v>0</v>
      </c>
      <c r="CD4" t="b">
        <f t="shared" si="49"/>
        <v>0</v>
      </c>
      <c r="CE4" t="b">
        <f t="shared" si="50"/>
        <v>0</v>
      </c>
      <c r="CF4" t="b">
        <f t="shared" si="51"/>
        <v>0</v>
      </c>
      <c r="CG4" t="b">
        <f t="shared" si="52"/>
        <v>0</v>
      </c>
      <c r="CH4" t="b">
        <f t="shared" si="53"/>
        <v>0</v>
      </c>
      <c r="CI4" t="b">
        <f t="shared" si="54"/>
        <v>0</v>
      </c>
      <c r="CJ4" t="b">
        <f t="shared" si="55"/>
        <v>0</v>
      </c>
      <c r="CK4" t="b">
        <f t="shared" si="56"/>
        <v>0</v>
      </c>
      <c r="CL4" t="b">
        <f t="shared" si="57"/>
        <v>0</v>
      </c>
      <c r="CM4" t="b">
        <f t="shared" si="58"/>
        <v>0</v>
      </c>
      <c r="CN4" t="b">
        <f t="shared" si="59"/>
        <v>0</v>
      </c>
      <c r="CO4" t="b">
        <f t="shared" si="60"/>
        <v>0</v>
      </c>
      <c r="CP4" t="b">
        <f t="shared" si="61"/>
        <v>0</v>
      </c>
      <c r="CQ4" t="b">
        <f t="shared" si="62"/>
        <v>0</v>
      </c>
      <c r="CR4" t="b">
        <f t="shared" si="63"/>
        <v>0</v>
      </c>
      <c r="CS4" t="b">
        <f t="shared" si="64"/>
        <v>0</v>
      </c>
      <c r="CT4" t="b">
        <f t="shared" si="65"/>
        <v>0</v>
      </c>
      <c r="CU4" t="b">
        <f t="shared" si="66"/>
        <v>0</v>
      </c>
      <c r="CV4">
        <f t="shared" si="67"/>
        <v>1</v>
      </c>
      <c r="CW4" t="b">
        <f t="shared" si="68"/>
        <v>0</v>
      </c>
      <c r="CX4" t="b">
        <f t="shared" si="69"/>
        <v>0</v>
      </c>
      <c r="CY4" t="b">
        <f t="shared" si="70"/>
        <v>0</v>
      </c>
      <c r="CZ4" t="b">
        <f t="shared" si="71"/>
        <v>0</v>
      </c>
      <c r="DA4" t="b">
        <f t="shared" si="72"/>
        <v>0</v>
      </c>
      <c r="DB4" t="b">
        <f t="shared" si="73"/>
        <v>0</v>
      </c>
      <c r="DC4" t="b">
        <f t="shared" si="74"/>
        <v>0</v>
      </c>
      <c r="DD4" t="b">
        <f t="shared" si="75"/>
        <v>0</v>
      </c>
      <c r="DE4" t="b">
        <f t="shared" si="76"/>
        <v>0</v>
      </c>
      <c r="DF4" t="b">
        <f t="shared" si="77"/>
        <v>0</v>
      </c>
      <c r="DG4" t="b">
        <f t="shared" si="78"/>
        <v>0</v>
      </c>
      <c r="DH4" t="b">
        <f t="shared" si="79"/>
        <v>0</v>
      </c>
      <c r="DI4" t="b">
        <f t="shared" si="80"/>
        <v>0</v>
      </c>
      <c r="DJ4" t="b">
        <f t="shared" si="81"/>
        <v>0</v>
      </c>
      <c r="DK4" t="b">
        <f t="shared" si="82"/>
        <v>0</v>
      </c>
      <c r="DL4" t="b">
        <f t="shared" si="83"/>
        <v>0</v>
      </c>
      <c r="DM4" t="b">
        <f t="shared" si="84"/>
        <v>0</v>
      </c>
      <c r="DN4" t="b">
        <f t="shared" si="85"/>
        <v>0</v>
      </c>
      <c r="DO4" t="b">
        <f t="shared" si="86"/>
        <v>0</v>
      </c>
      <c r="DP4" t="b">
        <f t="shared" si="87"/>
        <v>0</v>
      </c>
      <c r="DQ4" t="b">
        <f t="shared" si="88"/>
        <v>0</v>
      </c>
      <c r="DR4" t="b">
        <f t="shared" si="89"/>
        <v>0</v>
      </c>
      <c r="DS4" t="b">
        <f t="shared" si="90"/>
        <v>0</v>
      </c>
      <c r="DT4" t="b">
        <f t="shared" si="91"/>
        <v>0</v>
      </c>
      <c r="DU4" t="b">
        <f t="shared" si="92"/>
        <v>0</v>
      </c>
      <c r="DV4" t="b">
        <f t="shared" si="93"/>
        <v>0</v>
      </c>
      <c r="DW4" t="b">
        <f t="shared" si="94"/>
        <v>0</v>
      </c>
      <c r="DX4" t="b">
        <f t="shared" si="95"/>
        <v>0</v>
      </c>
      <c r="DY4" t="b">
        <f t="shared" si="96"/>
        <v>0</v>
      </c>
      <c r="DZ4" t="b">
        <f t="shared" si="97"/>
        <v>0</v>
      </c>
      <c r="EA4" t="b">
        <f t="shared" si="98"/>
        <v>0</v>
      </c>
      <c r="EB4" t="b">
        <f t="shared" si="99"/>
        <v>0</v>
      </c>
      <c r="EC4" t="b">
        <f t="shared" si="100"/>
        <v>0</v>
      </c>
      <c r="ED4" t="b">
        <f t="shared" si="101"/>
        <v>0</v>
      </c>
      <c r="EE4" t="b">
        <f t="shared" si="102"/>
        <v>0</v>
      </c>
      <c r="EF4" t="b">
        <f t="shared" si="103"/>
        <v>0</v>
      </c>
      <c r="EG4" t="b">
        <f t="shared" si="104"/>
        <v>0</v>
      </c>
      <c r="EH4" t="b">
        <f t="shared" si="105"/>
        <v>0</v>
      </c>
      <c r="EI4" t="b">
        <f t="shared" si="106"/>
        <v>0</v>
      </c>
      <c r="EJ4" t="b">
        <f t="shared" si="107"/>
        <v>0</v>
      </c>
      <c r="EK4" t="b">
        <f t="shared" si="108"/>
        <v>0</v>
      </c>
    </row>
    <row r="5" spans="1:141">
      <c r="A5" t="s">
        <v>148</v>
      </c>
      <c r="B5">
        <v>17</v>
      </c>
      <c r="C5" t="s">
        <v>149</v>
      </c>
      <c r="D5" s="1">
        <v>42479</v>
      </c>
      <c r="E5" s="2">
        <v>42559.079895833333</v>
      </c>
      <c r="F5" s="2">
        <v>42559.079895833333</v>
      </c>
      <c r="G5">
        <v>4009640</v>
      </c>
      <c r="H5" t="s">
        <v>150</v>
      </c>
      <c r="I5" s="10" t="s">
        <v>151</v>
      </c>
      <c r="J5" t="s">
        <v>152</v>
      </c>
      <c r="K5" s="8" t="b">
        <v>1</v>
      </c>
      <c r="L5" s="10" t="b">
        <v>0</v>
      </c>
      <c r="M5" s="12" t="b">
        <v>0</v>
      </c>
      <c r="N5" t="b">
        <v>0</v>
      </c>
      <c r="O5" t="b">
        <v>0</v>
      </c>
      <c r="P5" t="b">
        <v>0</v>
      </c>
      <c r="Q5">
        <f t="shared" si="1"/>
        <v>3</v>
      </c>
      <c r="R5">
        <f t="shared" si="2"/>
        <v>4</v>
      </c>
      <c r="S5" t="e">
        <f t="shared" ca="1" si="109"/>
        <v>#NAME?</v>
      </c>
      <c r="T5" t="e">
        <f t="shared" ca="1" si="3"/>
        <v>#NAME?</v>
      </c>
      <c r="U5" s="4">
        <f t="shared" si="4"/>
        <v>80.079895833332557</v>
      </c>
      <c r="V5" s="4">
        <f t="shared" si="5"/>
        <v>2.6693298611110854</v>
      </c>
      <c r="W5" s="4">
        <f t="shared" si="6"/>
        <v>1</v>
      </c>
      <c r="X5" s="4">
        <f t="shared" si="7"/>
        <v>0</v>
      </c>
      <c r="Y5" s="4">
        <f t="shared" si="8"/>
        <v>0</v>
      </c>
      <c r="Z5" s="4">
        <f t="shared" si="9"/>
        <v>0</v>
      </c>
      <c r="AA5" s="4">
        <f t="shared" si="10"/>
        <v>0</v>
      </c>
      <c r="AB5" s="4">
        <f t="shared" si="11"/>
        <v>0</v>
      </c>
      <c r="AD5" s="4" t="b">
        <f t="shared" si="12"/>
        <v>0</v>
      </c>
      <c r="AE5" s="4" t="b">
        <f t="shared" si="13"/>
        <v>0</v>
      </c>
      <c r="AF5" s="4" t="b">
        <f t="shared" si="14"/>
        <v>0</v>
      </c>
      <c r="AG5" t="b">
        <f t="shared" si="15"/>
        <v>0</v>
      </c>
      <c r="AH5" t="b">
        <f t="shared" si="16"/>
        <v>0</v>
      </c>
      <c r="AI5" t="b">
        <f t="shared" si="17"/>
        <v>0</v>
      </c>
      <c r="AJ5" t="b">
        <f t="shared" si="18"/>
        <v>0</v>
      </c>
      <c r="AK5" t="b">
        <f t="shared" si="19"/>
        <v>0</v>
      </c>
      <c r="AL5" t="b">
        <f t="shared" si="20"/>
        <v>0</v>
      </c>
      <c r="AM5" t="b">
        <f t="shared" si="21"/>
        <v>0</v>
      </c>
      <c r="AN5" t="b">
        <f t="shared" si="22"/>
        <v>0</v>
      </c>
      <c r="AO5" t="b">
        <f t="shared" si="23"/>
        <v>0</v>
      </c>
      <c r="AP5" t="b">
        <f t="shared" si="24"/>
        <v>0</v>
      </c>
      <c r="AQ5" t="b">
        <f t="shared" si="25"/>
        <v>0</v>
      </c>
      <c r="AR5" t="b">
        <f t="shared" si="26"/>
        <v>0</v>
      </c>
      <c r="AS5" t="b">
        <f t="shared" si="27"/>
        <v>0</v>
      </c>
      <c r="AT5" t="b">
        <f t="shared" si="28"/>
        <v>0</v>
      </c>
      <c r="AU5" t="b">
        <f t="shared" si="29"/>
        <v>0</v>
      </c>
      <c r="AV5" t="b">
        <f t="shared" si="30"/>
        <v>0</v>
      </c>
      <c r="AW5" t="b">
        <f t="shared" si="31"/>
        <v>0</v>
      </c>
      <c r="AX5" t="b">
        <f t="shared" si="110"/>
        <v>0</v>
      </c>
      <c r="AY5" t="b">
        <f t="shared" si="111"/>
        <v>0</v>
      </c>
      <c r="AZ5" t="b">
        <f t="shared" si="112"/>
        <v>0</v>
      </c>
      <c r="BA5" t="b">
        <f t="shared" si="113"/>
        <v>0</v>
      </c>
      <c r="BB5">
        <f t="shared" si="114"/>
        <v>1</v>
      </c>
      <c r="BC5" t="b">
        <f t="shared" si="115"/>
        <v>0</v>
      </c>
      <c r="BD5" t="b">
        <f t="shared" si="116"/>
        <v>0</v>
      </c>
      <c r="BE5" t="b">
        <f t="shared" si="117"/>
        <v>0</v>
      </c>
      <c r="BF5" t="b">
        <f t="shared" si="118"/>
        <v>0</v>
      </c>
      <c r="BG5" t="b">
        <f t="shared" si="119"/>
        <v>0</v>
      </c>
      <c r="BH5" t="b">
        <f t="shared" si="120"/>
        <v>0</v>
      </c>
      <c r="BI5">
        <f t="shared" si="121"/>
        <v>1</v>
      </c>
      <c r="BJ5" t="b">
        <f t="shared" si="122"/>
        <v>0</v>
      </c>
      <c r="BK5" t="b">
        <f t="shared" si="123"/>
        <v>0</v>
      </c>
      <c r="BL5" t="b">
        <f t="shared" si="124"/>
        <v>0</v>
      </c>
      <c r="BM5" t="b">
        <f t="shared" si="32"/>
        <v>0</v>
      </c>
      <c r="BN5" t="b">
        <f t="shared" si="33"/>
        <v>0</v>
      </c>
      <c r="BO5" t="b">
        <f t="shared" si="34"/>
        <v>0</v>
      </c>
      <c r="BP5" t="b">
        <f t="shared" si="35"/>
        <v>0</v>
      </c>
      <c r="BQ5" t="b">
        <f t="shared" si="36"/>
        <v>0</v>
      </c>
      <c r="BR5" t="b">
        <f t="shared" si="37"/>
        <v>0</v>
      </c>
      <c r="BS5" t="b">
        <f t="shared" si="38"/>
        <v>0</v>
      </c>
      <c r="BT5" t="b">
        <f t="shared" si="39"/>
        <v>0</v>
      </c>
      <c r="BU5" t="b">
        <f t="shared" si="40"/>
        <v>0</v>
      </c>
      <c r="BV5" t="b">
        <f t="shared" si="41"/>
        <v>0</v>
      </c>
      <c r="BW5" t="b">
        <f t="shared" si="42"/>
        <v>0</v>
      </c>
      <c r="BX5" t="b">
        <f t="shared" si="43"/>
        <v>0</v>
      </c>
      <c r="BY5" t="b">
        <f t="shared" si="44"/>
        <v>0</v>
      </c>
      <c r="BZ5" t="b">
        <f t="shared" si="45"/>
        <v>0</v>
      </c>
      <c r="CA5" t="b">
        <f t="shared" si="46"/>
        <v>0</v>
      </c>
      <c r="CB5" t="b">
        <f t="shared" si="47"/>
        <v>0</v>
      </c>
      <c r="CC5" t="b">
        <f t="shared" si="48"/>
        <v>0</v>
      </c>
      <c r="CD5" t="b">
        <f t="shared" si="49"/>
        <v>0</v>
      </c>
      <c r="CE5">
        <f t="shared" si="50"/>
        <v>1</v>
      </c>
      <c r="CF5" t="b">
        <f t="shared" si="51"/>
        <v>0</v>
      </c>
      <c r="CG5" t="b">
        <f t="shared" si="52"/>
        <v>0</v>
      </c>
      <c r="CH5" t="b">
        <f t="shared" si="53"/>
        <v>0</v>
      </c>
      <c r="CI5" t="b">
        <f t="shared" si="54"/>
        <v>0</v>
      </c>
      <c r="CJ5" t="b">
        <f t="shared" si="55"/>
        <v>0</v>
      </c>
      <c r="CK5" t="b">
        <f t="shared" si="56"/>
        <v>0</v>
      </c>
      <c r="CL5" t="b">
        <f t="shared" si="57"/>
        <v>0</v>
      </c>
      <c r="CM5" t="b">
        <f t="shared" si="58"/>
        <v>0</v>
      </c>
      <c r="CN5" t="b">
        <f t="shared" si="59"/>
        <v>0</v>
      </c>
      <c r="CO5" t="b">
        <f t="shared" si="60"/>
        <v>0</v>
      </c>
      <c r="CP5" t="b">
        <f t="shared" si="61"/>
        <v>0</v>
      </c>
      <c r="CQ5" t="b">
        <f t="shared" si="62"/>
        <v>0</v>
      </c>
      <c r="CR5" t="b">
        <f t="shared" si="63"/>
        <v>0</v>
      </c>
      <c r="CS5" t="b">
        <f t="shared" si="64"/>
        <v>0</v>
      </c>
      <c r="CT5" t="b">
        <f t="shared" si="65"/>
        <v>0</v>
      </c>
      <c r="CU5" t="b">
        <f t="shared" si="66"/>
        <v>0</v>
      </c>
      <c r="CV5">
        <f t="shared" si="67"/>
        <v>1</v>
      </c>
      <c r="CW5" t="b">
        <f t="shared" si="68"/>
        <v>0</v>
      </c>
      <c r="CX5" t="b">
        <f t="shared" si="69"/>
        <v>0</v>
      </c>
      <c r="CY5" t="b">
        <f t="shared" si="70"/>
        <v>0</v>
      </c>
      <c r="CZ5" t="b">
        <f t="shared" si="71"/>
        <v>0</v>
      </c>
      <c r="DA5" t="b">
        <f t="shared" si="72"/>
        <v>0</v>
      </c>
      <c r="DB5" t="b">
        <f t="shared" si="73"/>
        <v>0</v>
      </c>
      <c r="DC5" t="b">
        <f t="shared" si="74"/>
        <v>0</v>
      </c>
      <c r="DD5" t="b">
        <f t="shared" si="75"/>
        <v>0</v>
      </c>
      <c r="DE5" t="b">
        <f t="shared" si="76"/>
        <v>0</v>
      </c>
      <c r="DF5" t="b">
        <f t="shared" si="77"/>
        <v>0</v>
      </c>
      <c r="DG5" t="b">
        <f t="shared" si="78"/>
        <v>0</v>
      </c>
      <c r="DH5" t="b">
        <f t="shared" si="79"/>
        <v>0</v>
      </c>
      <c r="DI5" t="b">
        <f t="shared" si="80"/>
        <v>0</v>
      </c>
      <c r="DJ5" t="b">
        <f t="shared" si="81"/>
        <v>0</v>
      </c>
      <c r="DK5" t="b">
        <f t="shared" si="82"/>
        <v>0</v>
      </c>
      <c r="DL5" t="b">
        <f t="shared" si="83"/>
        <v>0</v>
      </c>
      <c r="DM5" t="b">
        <f t="shared" si="84"/>
        <v>0</v>
      </c>
      <c r="DN5" t="b">
        <f t="shared" si="85"/>
        <v>0</v>
      </c>
      <c r="DO5" t="b">
        <f t="shared" si="86"/>
        <v>0</v>
      </c>
      <c r="DP5" t="b">
        <f t="shared" si="87"/>
        <v>0</v>
      </c>
      <c r="DQ5" t="b">
        <f t="shared" si="88"/>
        <v>0</v>
      </c>
      <c r="DR5" t="b">
        <f t="shared" si="89"/>
        <v>0</v>
      </c>
      <c r="DS5" t="b">
        <f t="shared" si="90"/>
        <v>0</v>
      </c>
      <c r="DT5" t="b">
        <f t="shared" si="91"/>
        <v>0</v>
      </c>
      <c r="DU5" t="b">
        <f t="shared" si="92"/>
        <v>0</v>
      </c>
      <c r="DV5" t="b">
        <f t="shared" si="93"/>
        <v>0</v>
      </c>
      <c r="DW5" t="b">
        <f t="shared" si="94"/>
        <v>0</v>
      </c>
      <c r="DX5" t="b">
        <f t="shared" si="95"/>
        <v>0</v>
      </c>
      <c r="DY5" t="b">
        <f t="shared" si="96"/>
        <v>0</v>
      </c>
      <c r="DZ5" t="b">
        <f t="shared" si="97"/>
        <v>0</v>
      </c>
      <c r="EA5" t="b">
        <f t="shared" si="98"/>
        <v>0</v>
      </c>
      <c r="EB5" t="b">
        <f t="shared" si="99"/>
        <v>0</v>
      </c>
      <c r="EC5" t="b">
        <f t="shared" si="100"/>
        <v>0</v>
      </c>
      <c r="ED5" t="b">
        <f t="shared" si="101"/>
        <v>0</v>
      </c>
      <c r="EE5" t="b">
        <f t="shared" si="102"/>
        <v>0</v>
      </c>
      <c r="EF5">
        <f t="shared" si="103"/>
        <v>1</v>
      </c>
      <c r="EG5" t="b">
        <f t="shared" si="104"/>
        <v>0</v>
      </c>
      <c r="EH5" t="b">
        <f t="shared" si="105"/>
        <v>0</v>
      </c>
      <c r="EI5" t="b">
        <f t="shared" si="106"/>
        <v>0</v>
      </c>
      <c r="EJ5" t="b">
        <f t="shared" si="107"/>
        <v>0</v>
      </c>
      <c r="EK5" t="b">
        <f t="shared" si="108"/>
        <v>0</v>
      </c>
    </row>
    <row r="6" spans="1:141">
      <c r="A6">
        <v>17173</v>
      </c>
      <c r="B6">
        <v>17173</v>
      </c>
      <c r="C6" t="s">
        <v>153</v>
      </c>
      <c r="D6" s="1">
        <v>40905</v>
      </c>
      <c r="E6" s="2">
        <v>43218.203645833331</v>
      </c>
      <c r="F6" s="2">
        <v>43218.203645833331</v>
      </c>
      <c r="G6">
        <v>7485802</v>
      </c>
      <c r="H6" t="s">
        <v>154</v>
      </c>
      <c r="I6" s="10" t="s">
        <v>155</v>
      </c>
      <c r="J6" t="s">
        <v>156</v>
      </c>
      <c r="K6" s="8" t="b">
        <v>0</v>
      </c>
      <c r="L6" s="10" t="b">
        <v>0</v>
      </c>
      <c r="M6" s="12" t="b">
        <v>0</v>
      </c>
      <c r="N6" t="b">
        <v>0</v>
      </c>
      <c r="O6" t="b">
        <v>0</v>
      </c>
      <c r="P6" t="b">
        <v>0</v>
      </c>
      <c r="Q6">
        <f t="shared" si="1"/>
        <v>4</v>
      </c>
      <c r="R6">
        <f t="shared" si="2"/>
        <v>12</v>
      </c>
      <c r="S6" t="e">
        <f t="shared" ca="1" si="109"/>
        <v>#NAME?</v>
      </c>
      <c r="T6" t="e">
        <f t="shared" ca="1" si="3"/>
        <v>#NAME?</v>
      </c>
      <c r="U6" s="4">
        <f t="shared" si="4"/>
        <v>2313.2036458333314</v>
      </c>
      <c r="V6" s="4">
        <f t="shared" si="5"/>
        <v>77.106788194444377</v>
      </c>
      <c r="W6" s="4">
        <f t="shared" si="6"/>
        <v>0</v>
      </c>
      <c r="X6" s="4">
        <f t="shared" si="7"/>
        <v>0</v>
      </c>
      <c r="Y6" s="4">
        <f t="shared" si="8"/>
        <v>0</v>
      </c>
      <c r="Z6" s="4">
        <f t="shared" si="9"/>
        <v>0</v>
      </c>
      <c r="AA6" s="4">
        <f t="shared" si="10"/>
        <v>0</v>
      </c>
      <c r="AB6" s="4">
        <f t="shared" si="11"/>
        <v>0</v>
      </c>
      <c r="AD6" s="4" t="b">
        <f t="shared" si="12"/>
        <v>0</v>
      </c>
      <c r="AE6" s="4" t="b">
        <f t="shared" si="13"/>
        <v>0</v>
      </c>
      <c r="AF6" s="4" t="b">
        <f t="shared" si="14"/>
        <v>0</v>
      </c>
      <c r="AG6" t="b">
        <f t="shared" si="15"/>
        <v>0</v>
      </c>
      <c r="AH6" t="b">
        <f t="shared" si="16"/>
        <v>0</v>
      </c>
      <c r="AI6" t="b">
        <f t="shared" si="17"/>
        <v>0</v>
      </c>
      <c r="AJ6" t="b">
        <f t="shared" si="18"/>
        <v>0</v>
      </c>
      <c r="AK6" t="b">
        <f t="shared" si="19"/>
        <v>0</v>
      </c>
      <c r="AL6" t="b">
        <f t="shared" si="20"/>
        <v>0</v>
      </c>
      <c r="AM6" t="b">
        <f t="shared" si="21"/>
        <v>0</v>
      </c>
      <c r="AN6" t="b">
        <f t="shared" si="22"/>
        <v>0</v>
      </c>
      <c r="AO6" t="b">
        <f t="shared" si="23"/>
        <v>0</v>
      </c>
      <c r="AP6" t="b">
        <f t="shared" si="24"/>
        <v>0</v>
      </c>
      <c r="AQ6" t="b">
        <f t="shared" si="25"/>
        <v>0</v>
      </c>
      <c r="AR6" t="b">
        <f t="shared" si="26"/>
        <v>0</v>
      </c>
      <c r="AS6" t="b">
        <f t="shared" si="27"/>
        <v>0</v>
      </c>
      <c r="AT6" t="b">
        <f t="shared" si="28"/>
        <v>0</v>
      </c>
      <c r="AU6" t="b">
        <f t="shared" si="29"/>
        <v>0</v>
      </c>
      <c r="AV6" t="b">
        <f t="shared" si="30"/>
        <v>0</v>
      </c>
      <c r="AW6" t="b">
        <f t="shared" si="31"/>
        <v>0</v>
      </c>
      <c r="AX6" t="b">
        <f t="shared" si="110"/>
        <v>0</v>
      </c>
      <c r="AY6" t="b">
        <f t="shared" si="111"/>
        <v>0</v>
      </c>
      <c r="AZ6" t="b">
        <f t="shared" si="112"/>
        <v>0</v>
      </c>
      <c r="BA6" t="b">
        <f t="shared" si="113"/>
        <v>0</v>
      </c>
      <c r="BB6" t="b">
        <f t="shared" si="114"/>
        <v>0</v>
      </c>
      <c r="BC6" t="b">
        <f t="shared" si="115"/>
        <v>0</v>
      </c>
      <c r="BD6" t="b">
        <f t="shared" si="116"/>
        <v>0</v>
      </c>
      <c r="BE6" t="b">
        <f t="shared" si="117"/>
        <v>0</v>
      </c>
      <c r="BF6" t="b">
        <f t="shared" si="118"/>
        <v>0</v>
      </c>
      <c r="BG6" t="b">
        <f t="shared" si="119"/>
        <v>0</v>
      </c>
      <c r="BH6" t="b">
        <f t="shared" si="120"/>
        <v>0</v>
      </c>
      <c r="BI6">
        <f t="shared" si="121"/>
        <v>1</v>
      </c>
      <c r="BJ6" t="b">
        <f t="shared" si="122"/>
        <v>0</v>
      </c>
      <c r="BK6" t="b">
        <f t="shared" si="123"/>
        <v>0</v>
      </c>
      <c r="BL6" t="b">
        <f t="shared" si="124"/>
        <v>0</v>
      </c>
      <c r="BM6" t="b">
        <f t="shared" si="32"/>
        <v>0</v>
      </c>
      <c r="BN6" t="b">
        <f t="shared" si="33"/>
        <v>0</v>
      </c>
      <c r="BO6" t="b">
        <f t="shared" si="34"/>
        <v>0</v>
      </c>
      <c r="BP6" t="b">
        <f t="shared" si="35"/>
        <v>0</v>
      </c>
      <c r="BQ6" t="b">
        <f t="shared" si="36"/>
        <v>0</v>
      </c>
      <c r="BR6" t="b">
        <f t="shared" si="37"/>
        <v>0</v>
      </c>
      <c r="BS6" t="b">
        <f t="shared" si="38"/>
        <v>0</v>
      </c>
      <c r="BT6" t="b">
        <f t="shared" si="39"/>
        <v>0</v>
      </c>
      <c r="BU6" t="b">
        <f t="shared" si="40"/>
        <v>0</v>
      </c>
      <c r="BV6" t="b">
        <f t="shared" si="41"/>
        <v>0</v>
      </c>
      <c r="BW6" t="b">
        <f t="shared" si="42"/>
        <v>0</v>
      </c>
      <c r="BX6" t="b">
        <f t="shared" si="43"/>
        <v>0</v>
      </c>
      <c r="BY6" t="b">
        <f t="shared" si="44"/>
        <v>0</v>
      </c>
      <c r="BZ6" t="b">
        <f t="shared" si="45"/>
        <v>0</v>
      </c>
      <c r="CA6" t="b">
        <f t="shared" si="46"/>
        <v>0</v>
      </c>
      <c r="CB6" t="b">
        <f t="shared" si="47"/>
        <v>0</v>
      </c>
      <c r="CC6" t="b">
        <f t="shared" si="48"/>
        <v>0</v>
      </c>
      <c r="CD6" t="b">
        <f t="shared" si="49"/>
        <v>0</v>
      </c>
      <c r="CE6" t="b">
        <f t="shared" si="50"/>
        <v>0</v>
      </c>
      <c r="CF6" t="b">
        <f t="shared" si="51"/>
        <v>0</v>
      </c>
      <c r="CG6" t="b">
        <f t="shared" si="52"/>
        <v>0</v>
      </c>
      <c r="CH6" t="b">
        <f t="shared" si="53"/>
        <v>0</v>
      </c>
      <c r="CI6" t="b">
        <f t="shared" si="54"/>
        <v>0</v>
      </c>
      <c r="CJ6" t="b">
        <f t="shared" si="55"/>
        <v>0</v>
      </c>
      <c r="CK6" t="b">
        <f t="shared" si="56"/>
        <v>0</v>
      </c>
      <c r="CL6" t="b">
        <f t="shared" si="57"/>
        <v>0</v>
      </c>
      <c r="CM6" t="b">
        <f t="shared" si="58"/>
        <v>0</v>
      </c>
      <c r="CN6" t="b">
        <f t="shared" si="59"/>
        <v>0</v>
      </c>
      <c r="CO6" t="b">
        <f t="shared" si="60"/>
        <v>0</v>
      </c>
      <c r="CP6" t="b">
        <f t="shared" si="61"/>
        <v>0</v>
      </c>
      <c r="CQ6" t="b">
        <f t="shared" si="62"/>
        <v>0</v>
      </c>
      <c r="CR6" t="b">
        <f t="shared" si="63"/>
        <v>0</v>
      </c>
      <c r="CS6" t="b">
        <f t="shared" si="64"/>
        <v>0</v>
      </c>
      <c r="CT6" t="b">
        <f t="shared" si="65"/>
        <v>0</v>
      </c>
      <c r="CU6" t="b">
        <f t="shared" si="66"/>
        <v>0</v>
      </c>
      <c r="CV6">
        <f t="shared" si="67"/>
        <v>1</v>
      </c>
      <c r="CW6" t="b">
        <f t="shared" si="68"/>
        <v>0</v>
      </c>
      <c r="CX6" t="b">
        <f t="shared" si="69"/>
        <v>0</v>
      </c>
      <c r="CY6" t="b">
        <f t="shared" si="70"/>
        <v>0</v>
      </c>
      <c r="CZ6" t="b">
        <f t="shared" si="71"/>
        <v>0</v>
      </c>
      <c r="DA6" t="b">
        <f t="shared" si="72"/>
        <v>0</v>
      </c>
      <c r="DB6" t="b">
        <f t="shared" si="73"/>
        <v>0</v>
      </c>
      <c r="DC6" t="b">
        <f t="shared" si="74"/>
        <v>0</v>
      </c>
      <c r="DD6" t="b">
        <f t="shared" si="75"/>
        <v>0</v>
      </c>
      <c r="DE6" t="b">
        <f t="shared" si="76"/>
        <v>0</v>
      </c>
      <c r="DF6" t="b">
        <f t="shared" si="77"/>
        <v>0</v>
      </c>
      <c r="DG6" t="b">
        <f t="shared" si="78"/>
        <v>0</v>
      </c>
      <c r="DH6" t="b">
        <f t="shared" si="79"/>
        <v>0</v>
      </c>
      <c r="DI6" t="b">
        <f t="shared" si="80"/>
        <v>0</v>
      </c>
      <c r="DJ6" t="b">
        <f t="shared" si="81"/>
        <v>0</v>
      </c>
      <c r="DK6" t="b">
        <f t="shared" si="82"/>
        <v>0</v>
      </c>
      <c r="DL6" t="b">
        <f t="shared" si="83"/>
        <v>0</v>
      </c>
      <c r="DM6" t="b">
        <f t="shared" si="84"/>
        <v>0</v>
      </c>
      <c r="DN6" t="b">
        <f t="shared" si="85"/>
        <v>0</v>
      </c>
      <c r="DO6" t="b">
        <f t="shared" si="86"/>
        <v>0</v>
      </c>
      <c r="DP6" t="b">
        <f t="shared" si="87"/>
        <v>0</v>
      </c>
      <c r="DQ6" t="b">
        <f t="shared" si="88"/>
        <v>0</v>
      </c>
      <c r="DR6" t="b">
        <f t="shared" si="89"/>
        <v>0</v>
      </c>
      <c r="DS6" t="b">
        <f t="shared" si="90"/>
        <v>0</v>
      </c>
      <c r="DT6" t="b">
        <f t="shared" si="91"/>
        <v>0</v>
      </c>
      <c r="DU6" t="b">
        <f t="shared" si="92"/>
        <v>0</v>
      </c>
      <c r="DV6" t="b">
        <f t="shared" si="93"/>
        <v>0</v>
      </c>
      <c r="DW6" t="b">
        <f t="shared" si="94"/>
        <v>0</v>
      </c>
      <c r="DX6" t="b">
        <f t="shared" si="95"/>
        <v>0</v>
      </c>
      <c r="DY6" t="b">
        <f t="shared" si="96"/>
        <v>0</v>
      </c>
      <c r="DZ6" t="b">
        <f t="shared" si="97"/>
        <v>0</v>
      </c>
      <c r="EA6" t="b">
        <f t="shared" si="98"/>
        <v>0</v>
      </c>
      <c r="EB6" t="b">
        <f t="shared" si="99"/>
        <v>0</v>
      </c>
      <c r="EC6" t="b">
        <f t="shared" si="100"/>
        <v>0</v>
      </c>
      <c r="ED6" t="b">
        <f t="shared" si="101"/>
        <v>0</v>
      </c>
      <c r="EE6" t="b">
        <f t="shared" si="102"/>
        <v>0</v>
      </c>
      <c r="EF6">
        <f t="shared" si="103"/>
        <v>1</v>
      </c>
      <c r="EG6" t="b">
        <f t="shared" si="104"/>
        <v>0</v>
      </c>
      <c r="EH6" t="b">
        <f t="shared" si="105"/>
        <v>0</v>
      </c>
      <c r="EI6" t="b">
        <f t="shared" si="106"/>
        <v>0</v>
      </c>
      <c r="EJ6" t="b">
        <f t="shared" si="107"/>
        <v>0</v>
      </c>
      <c r="EK6" t="b">
        <f t="shared" si="108"/>
        <v>0</v>
      </c>
    </row>
    <row r="7" spans="1:141">
      <c r="A7" t="s">
        <v>157</v>
      </c>
      <c r="B7" t="s">
        <v>158</v>
      </c>
      <c r="D7" s="1">
        <v>43150</v>
      </c>
      <c r="E7" s="2">
        <v>43157.420856481483</v>
      </c>
      <c r="F7" s="2">
        <v>43157.420856481483</v>
      </c>
      <c r="G7">
        <v>80115532</v>
      </c>
      <c r="H7" t="s">
        <v>159</v>
      </c>
      <c r="I7" s="10" t="s">
        <v>160</v>
      </c>
      <c r="J7" t="s">
        <v>147</v>
      </c>
      <c r="K7" s="8" t="b">
        <v>0</v>
      </c>
      <c r="L7" s="10" t="b">
        <v>0</v>
      </c>
      <c r="M7" s="12" t="b">
        <v>0</v>
      </c>
      <c r="N7" t="b">
        <v>0</v>
      </c>
      <c r="O7" t="b">
        <v>0</v>
      </c>
      <c r="P7" t="b">
        <v>0</v>
      </c>
      <c r="Q7">
        <f t="shared" si="1"/>
        <v>2</v>
      </c>
      <c r="R7">
        <f t="shared" si="2"/>
        <v>2</v>
      </c>
      <c r="S7" t="e">
        <f t="shared" ca="1" si="109"/>
        <v>#NAME?</v>
      </c>
      <c r="T7" t="e">
        <f t="shared" ca="1" si="3"/>
        <v>#NAME?</v>
      </c>
      <c r="U7" s="4">
        <f t="shared" si="4"/>
        <v>7.4208564814834972</v>
      </c>
      <c r="V7" s="4">
        <f t="shared" si="5"/>
        <v>0.24736188271611656</v>
      </c>
      <c r="W7" s="4">
        <f t="shared" si="6"/>
        <v>0</v>
      </c>
      <c r="X7" s="4">
        <f t="shared" si="7"/>
        <v>0</v>
      </c>
      <c r="Y7" s="4">
        <f t="shared" si="8"/>
        <v>0</v>
      </c>
      <c r="Z7" s="4">
        <f t="shared" si="9"/>
        <v>0</v>
      </c>
      <c r="AA7" s="4">
        <f t="shared" si="10"/>
        <v>0</v>
      </c>
      <c r="AB7" s="4">
        <f t="shared" si="11"/>
        <v>0</v>
      </c>
      <c r="AD7" s="4" t="b">
        <f t="shared" si="12"/>
        <v>0</v>
      </c>
      <c r="AE7" s="4" t="b">
        <f t="shared" si="13"/>
        <v>0</v>
      </c>
      <c r="AF7" s="4" t="b">
        <f t="shared" si="14"/>
        <v>0</v>
      </c>
      <c r="AG7" t="b">
        <f t="shared" si="15"/>
        <v>0</v>
      </c>
      <c r="AH7" t="b">
        <f t="shared" si="16"/>
        <v>0</v>
      </c>
      <c r="AI7" t="b">
        <f t="shared" si="17"/>
        <v>0</v>
      </c>
      <c r="AJ7" t="b">
        <f t="shared" si="18"/>
        <v>0</v>
      </c>
      <c r="AK7" t="b">
        <f t="shared" si="19"/>
        <v>0</v>
      </c>
      <c r="AL7" t="b">
        <f t="shared" si="20"/>
        <v>0</v>
      </c>
      <c r="AM7" t="b">
        <f t="shared" si="21"/>
        <v>0</v>
      </c>
      <c r="AN7" t="b">
        <f t="shared" si="22"/>
        <v>0</v>
      </c>
      <c r="AO7" t="b">
        <f t="shared" si="23"/>
        <v>0</v>
      </c>
      <c r="AP7" t="b">
        <f t="shared" si="24"/>
        <v>0</v>
      </c>
      <c r="AQ7" t="b">
        <f t="shared" si="25"/>
        <v>0</v>
      </c>
      <c r="AR7" t="b">
        <f t="shared" si="26"/>
        <v>0</v>
      </c>
      <c r="AS7" t="b">
        <f t="shared" si="27"/>
        <v>0</v>
      </c>
      <c r="AT7" t="b">
        <f t="shared" si="28"/>
        <v>0</v>
      </c>
      <c r="AU7" t="b">
        <f t="shared" si="29"/>
        <v>0</v>
      </c>
      <c r="AV7" t="b">
        <f t="shared" si="30"/>
        <v>0</v>
      </c>
      <c r="AW7" t="b">
        <f t="shared" si="31"/>
        <v>0</v>
      </c>
      <c r="AX7" t="b">
        <f t="shared" si="110"/>
        <v>0</v>
      </c>
      <c r="AY7" t="b">
        <f t="shared" si="111"/>
        <v>0</v>
      </c>
      <c r="AZ7" t="b">
        <f t="shared" si="112"/>
        <v>0</v>
      </c>
      <c r="BA7" t="b">
        <f t="shared" si="113"/>
        <v>0</v>
      </c>
      <c r="BB7" t="b">
        <f t="shared" si="114"/>
        <v>0</v>
      </c>
      <c r="BC7" t="b">
        <f t="shared" si="115"/>
        <v>0</v>
      </c>
      <c r="BD7" t="b">
        <f t="shared" si="116"/>
        <v>0</v>
      </c>
      <c r="BE7" t="b">
        <f t="shared" si="117"/>
        <v>0</v>
      </c>
      <c r="BF7" t="b">
        <f t="shared" si="118"/>
        <v>0</v>
      </c>
      <c r="BG7" t="b">
        <f t="shared" si="119"/>
        <v>0</v>
      </c>
      <c r="BH7" t="b">
        <f t="shared" si="120"/>
        <v>0</v>
      </c>
      <c r="BI7">
        <f t="shared" si="121"/>
        <v>1</v>
      </c>
      <c r="BJ7" t="b">
        <f t="shared" si="122"/>
        <v>0</v>
      </c>
      <c r="BK7" t="b">
        <f t="shared" si="123"/>
        <v>0</v>
      </c>
      <c r="BL7" t="b">
        <f t="shared" si="124"/>
        <v>0</v>
      </c>
      <c r="BM7" t="b">
        <f t="shared" si="32"/>
        <v>0</v>
      </c>
      <c r="BN7" t="b">
        <f t="shared" si="33"/>
        <v>0</v>
      </c>
      <c r="BO7" t="b">
        <f t="shared" si="34"/>
        <v>0</v>
      </c>
      <c r="BP7" t="b">
        <f t="shared" si="35"/>
        <v>0</v>
      </c>
      <c r="BQ7" t="b">
        <f t="shared" si="36"/>
        <v>0</v>
      </c>
      <c r="BR7" t="b">
        <f t="shared" si="37"/>
        <v>0</v>
      </c>
      <c r="BS7" t="b">
        <f t="shared" si="38"/>
        <v>0</v>
      </c>
      <c r="BT7" t="b">
        <f t="shared" si="39"/>
        <v>0</v>
      </c>
      <c r="BU7" t="b">
        <f t="shared" si="40"/>
        <v>0</v>
      </c>
      <c r="BV7" t="b">
        <f t="shared" si="41"/>
        <v>0</v>
      </c>
      <c r="BW7" t="b">
        <f t="shared" si="42"/>
        <v>0</v>
      </c>
      <c r="BX7" t="b">
        <f t="shared" si="43"/>
        <v>0</v>
      </c>
      <c r="BY7" t="b">
        <f t="shared" si="44"/>
        <v>0</v>
      </c>
      <c r="BZ7" t="b">
        <f t="shared" si="45"/>
        <v>0</v>
      </c>
      <c r="CA7" t="b">
        <f t="shared" si="46"/>
        <v>0</v>
      </c>
      <c r="CB7" t="b">
        <f t="shared" si="47"/>
        <v>0</v>
      </c>
      <c r="CC7" t="b">
        <f t="shared" si="48"/>
        <v>0</v>
      </c>
      <c r="CD7" t="b">
        <f t="shared" si="49"/>
        <v>0</v>
      </c>
      <c r="CE7" t="b">
        <f t="shared" si="50"/>
        <v>0</v>
      </c>
      <c r="CF7" t="b">
        <f t="shared" si="51"/>
        <v>0</v>
      </c>
      <c r="CG7" t="b">
        <f t="shared" si="52"/>
        <v>0</v>
      </c>
      <c r="CH7" t="b">
        <f t="shared" si="53"/>
        <v>0</v>
      </c>
      <c r="CI7" t="b">
        <f t="shared" si="54"/>
        <v>0</v>
      </c>
      <c r="CJ7" t="b">
        <f t="shared" si="55"/>
        <v>0</v>
      </c>
      <c r="CK7" t="b">
        <f t="shared" si="56"/>
        <v>0</v>
      </c>
      <c r="CL7" t="b">
        <f t="shared" si="57"/>
        <v>0</v>
      </c>
      <c r="CM7" t="b">
        <f t="shared" si="58"/>
        <v>0</v>
      </c>
      <c r="CN7" t="b">
        <f t="shared" si="59"/>
        <v>0</v>
      </c>
      <c r="CO7" t="b">
        <f t="shared" si="60"/>
        <v>0</v>
      </c>
      <c r="CP7" t="b">
        <f t="shared" si="61"/>
        <v>0</v>
      </c>
      <c r="CQ7" t="b">
        <f t="shared" si="62"/>
        <v>0</v>
      </c>
      <c r="CR7" t="b">
        <f t="shared" si="63"/>
        <v>0</v>
      </c>
      <c r="CS7" t="b">
        <f t="shared" si="64"/>
        <v>0</v>
      </c>
      <c r="CT7" t="b">
        <f t="shared" si="65"/>
        <v>0</v>
      </c>
      <c r="CU7" t="b">
        <f t="shared" si="66"/>
        <v>0</v>
      </c>
      <c r="CV7">
        <f t="shared" si="67"/>
        <v>1</v>
      </c>
      <c r="CW7" t="b">
        <f t="shared" si="68"/>
        <v>0</v>
      </c>
      <c r="CX7" t="b">
        <f t="shared" si="69"/>
        <v>0</v>
      </c>
      <c r="CY7" t="b">
        <f t="shared" si="70"/>
        <v>0</v>
      </c>
      <c r="CZ7" t="b">
        <f t="shared" si="71"/>
        <v>0</v>
      </c>
      <c r="DA7" t="b">
        <f t="shared" si="72"/>
        <v>0</v>
      </c>
      <c r="DB7" t="b">
        <f t="shared" si="73"/>
        <v>0</v>
      </c>
      <c r="DC7" t="b">
        <f t="shared" si="74"/>
        <v>0</v>
      </c>
      <c r="DD7" t="b">
        <f t="shared" si="75"/>
        <v>0</v>
      </c>
      <c r="DE7" t="b">
        <f t="shared" si="76"/>
        <v>0</v>
      </c>
      <c r="DF7" t="b">
        <f t="shared" si="77"/>
        <v>0</v>
      </c>
      <c r="DG7" t="b">
        <f t="shared" si="78"/>
        <v>0</v>
      </c>
      <c r="DH7" t="b">
        <f t="shared" si="79"/>
        <v>0</v>
      </c>
      <c r="DI7" t="b">
        <f t="shared" si="80"/>
        <v>0</v>
      </c>
      <c r="DJ7" t="b">
        <f t="shared" si="81"/>
        <v>0</v>
      </c>
      <c r="DK7" t="b">
        <f t="shared" si="82"/>
        <v>0</v>
      </c>
      <c r="DL7" t="b">
        <f t="shared" si="83"/>
        <v>0</v>
      </c>
      <c r="DM7" t="b">
        <f t="shared" si="84"/>
        <v>0</v>
      </c>
      <c r="DN7" t="b">
        <f t="shared" si="85"/>
        <v>0</v>
      </c>
      <c r="DO7" t="b">
        <f t="shared" si="86"/>
        <v>0</v>
      </c>
      <c r="DP7" t="b">
        <f t="shared" si="87"/>
        <v>0</v>
      </c>
      <c r="DQ7" t="b">
        <f t="shared" si="88"/>
        <v>0</v>
      </c>
      <c r="DR7" t="b">
        <f t="shared" si="89"/>
        <v>0</v>
      </c>
      <c r="DS7" t="b">
        <f t="shared" si="90"/>
        <v>0</v>
      </c>
      <c r="DT7" t="b">
        <f t="shared" si="91"/>
        <v>0</v>
      </c>
      <c r="DU7" t="b">
        <f t="shared" si="92"/>
        <v>0</v>
      </c>
      <c r="DV7" t="b">
        <f t="shared" si="93"/>
        <v>0</v>
      </c>
      <c r="DW7" t="b">
        <f t="shared" si="94"/>
        <v>0</v>
      </c>
      <c r="DX7" t="b">
        <f t="shared" si="95"/>
        <v>0</v>
      </c>
      <c r="DY7" t="b">
        <f t="shared" si="96"/>
        <v>0</v>
      </c>
      <c r="DZ7" t="b">
        <f t="shared" si="97"/>
        <v>0</v>
      </c>
      <c r="EA7" t="b">
        <f t="shared" si="98"/>
        <v>0</v>
      </c>
      <c r="EB7" t="b">
        <f t="shared" si="99"/>
        <v>0</v>
      </c>
      <c r="EC7" t="b">
        <f t="shared" si="100"/>
        <v>0</v>
      </c>
      <c r="ED7" t="b">
        <f t="shared" si="101"/>
        <v>0</v>
      </c>
      <c r="EE7" t="b">
        <f t="shared" si="102"/>
        <v>0</v>
      </c>
      <c r="EF7" t="b">
        <f t="shared" si="103"/>
        <v>0</v>
      </c>
      <c r="EG7" t="b">
        <f t="shared" si="104"/>
        <v>0</v>
      </c>
      <c r="EH7" t="b">
        <f t="shared" si="105"/>
        <v>0</v>
      </c>
      <c r="EI7" t="b">
        <f t="shared" si="106"/>
        <v>0</v>
      </c>
      <c r="EJ7" t="b">
        <f t="shared" si="107"/>
        <v>0</v>
      </c>
      <c r="EK7" t="b">
        <f t="shared" si="108"/>
        <v>0</v>
      </c>
    </row>
    <row r="8" spans="1:141">
      <c r="A8" t="s">
        <v>161</v>
      </c>
      <c r="B8" t="s">
        <v>161</v>
      </c>
      <c r="C8" t="s">
        <v>162</v>
      </c>
      <c r="D8" s="1">
        <v>43089</v>
      </c>
      <c r="E8" s="2">
        <v>43107.346979166665</v>
      </c>
      <c r="F8" s="2">
        <v>43107.346979166665</v>
      </c>
      <c r="G8">
        <v>17706</v>
      </c>
      <c r="H8" t="s">
        <v>163</v>
      </c>
      <c r="I8" s="10" t="s">
        <v>164</v>
      </c>
      <c r="J8" t="s">
        <v>156</v>
      </c>
      <c r="K8" s="8" t="b">
        <v>1</v>
      </c>
      <c r="L8" s="10" t="b">
        <v>0</v>
      </c>
      <c r="M8" s="12" t="b">
        <v>0</v>
      </c>
      <c r="N8" t="b">
        <v>0</v>
      </c>
      <c r="O8" t="b">
        <v>0</v>
      </c>
      <c r="P8" t="b">
        <v>0</v>
      </c>
      <c r="Q8">
        <f t="shared" si="1"/>
        <v>4</v>
      </c>
      <c r="R8">
        <f t="shared" si="2"/>
        <v>12</v>
      </c>
      <c r="S8" t="e">
        <f t="shared" ca="1" si="109"/>
        <v>#NAME?</v>
      </c>
      <c r="T8" t="e">
        <f t="shared" ca="1" si="3"/>
        <v>#NAME?</v>
      </c>
      <c r="U8" s="4">
        <f t="shared" si="4"/>
        <v>18.346979166664823</v>
      </c>
      <c r="V8" s="4">
        <f t="shared" si="5"/>
        <v>0.6115659722221608</v>
      </c>
      <c r="W8" s="4">
        <f t="shared" si="6"/>
        <v>1</v>
      </c>
      <c r="X8" s="4">
        <f t="shared" si="7"/>
        <v>0</v>
      </c>
      <c r="Y8" s="4">
        <f t="shared" si="8"/>
        <v>0</v>
      </c>
      <c r="Z8" s="4">
        <f t="shared" si="9"/>
        <v>0</v>
      </c>
      <c r="AA8" s="4">
        <f t="shared" si="10"/>
        <v>0</v>
      </c>
      <c r="AB8" s="4">
        <f t="shared" si="11"/>
        <v>0</v>
      </c>
      <c r="AD8" s="4" t="b">
        <f t="shared" si="12"/>
        <v>0</v>
      </c>
      <c r="AE8" s="4" t="b">
        <f t="shared" si="13"/>
        <v>0</v>
      </c>
      <c r="AF8" s="4" t="b">
        <f t="shared" si="14"/>
        <v>0</v>
      </c>
      <c r="AG8" t="b">
        <f t="shared" si="15"/>
        <v>0</v>
      </c>
      <c r="AH8" t="b">
        <f t="shared" si="16"/>
        <v>0</v>
      </c>
      <c r="AI8" t="b">
        <f t="shared" si="17"/>
        <v>0</v>
      </c>
      <c r="AJ8" t="b">
        <f t="shared" si="18"/>
        <v>0</v>
      </c>
      <c r="AK8" t="b">
        <f t="shared" si="19"/>
        <v>0</v>
      </c>
      <c r="AL8" t="b">
        <f t="shared" si="20"/>
        <v>0</v>
      </c>
      <c r="AM8" t="b">
        <f t="shared" si="21"/>
        <v>0</v>
      </c>
      <c r="AN8" t="b">
        <f t="shared" si="22"/>
        <v>0</v>
      </c>
      <c r="AO8" t="b">
        <f t="shared" si="23"/>
        <v>0</v>
      </c>
      <c r="AP8" t="b">
        <f t="shared" si="24"/>
        <v>0</v>
      </c>
      <c r="AQ8" t="b">
        <f t="shared" si="25"/>
        <v>0</v>
      </c>
      <c r="AR8" t="b">
        <f t="shared" si="26"/>
        <v>0</v>
      </c>
      <c r="AS8" t="b">
        <f t="shared" si="27"/>
        <v>0</v>
      </c>
      <c r="AT8" t="b">
        <f t="shared" si="28"/>
        <v>0</v>
      </c>
      <c r="AU8" t="b">
        <f t="shared" si="29"/>
        <v>0</v>
      </c>
      <c r="AV8" t="b">
        <f t="shared" si="30"/>
        <v>0</v>
      </c>
      <c r="AW8" t="b">
        <f t="shared" si="31"/>
        <v>0</v>
      </c>
      <c r="AX8" t="b">
        <f t="shared" si="110"/>
        <v>0</v>
      </c>
      <c r="AY8" t="b">
        <f t="shared" si="111"/>
        <v>0</v>
      </c>
      <c r="AZ8" t="b">
        <f t="shared" si="112"/>
        <v>0</v>
      </c>
      <c r="BA8" t="b">
        <f t="shared" si="113"/>
        <v>0</v>
      </c>
      <c r="BB8" t="b">
        <f t="shared" si="114"/>
        <v>0</v>
      </c>
      <c r="BC8" t="b">
        <f t="shared" si="115"/>
        <v>0</v>
      </c>
      <c r="BD8" t="b">
        <f t="shared" si="116"/>
        <v>0</v>
      </c>
      <c r="BE8" t="b">
        <f t="shared" si="117"/>
        <v>0</v>
      </c>
      <c r="BF8" t="b">
        <f t="shared" si="118"/>
        <v>0</v>
      </c>
      <c r="BG8" t="b">
        <f t="shared" si="119"/>
        <v>0</v>
      </c>
      <c r="BH8" t="b">
        <f t="shared" si="120"/>
        <v>0</v>
      </c>
      <c r="BI8">
        <f t="shared" si="121"/>
        <v>1</v>
      </c>
      <c r="BJ8" t="b">
        <f t="shared" si="122"/>
        <v>0</v>
      </c>
      <c r="BK8" t="b">
        <f t="shared" si="123"/>
        <v>0</v>
      </c>
      <c r="BL8" t="b">
        <f t="shared" si="124"/>
        <v>0</v>
      </c>
      <c r="BM8" t="b">
        <f t="shared" si="32"/>
        <v>0</v>
      </c>
      <c r="BN8" t="b">
        <f t="shared" si="33"/>
        <v>0</v>
      </c>
      <c r="BO8" t="b">
        <f t="shared" si="34"/>
        <v>0</v>
      </c>
      <c r="BP8" t="b">
        <f t="shared" si="35"/>
        <v>0</v>
      </c>
      <c r="BQ8" t="b">
        <f t="shared" si="36"/>
        <v>0</v>
      </c>
      <c r="BR8" t="b">
        <f t="shared" si="37"/>
        <v>0</v>
      </c>
      <c r="BS8" t="b">
        <f t="shared" si="38"/>
        <v>0</v>
      </c>
      <c r="BT8" t="b">
        <f t="shared" si="39"/>
        <v>0</v>
      </c>
      <c r="BU8" t="b">
        <f t="shared" si="40"/>
        <v>0</v>
      </c>
      <c r="BV8" t="b">
        <f t="shared" si="41"/>
        <v>0</v>
      </c>
      <c r="BW8" t="b">
        <f t="shared" si="42"/>
        <v>0</v>
      </c>
      <c r="BX8" t="b">
        <f t="shared" si="43"/>
        <v>0</v>
      </c>
      <c r="BY8" t="b">
        <f t="shared" si="44"/>
        <v>0</v>
      </c>
      <c r="BZ8" t="b">
        <f t="shared" si="45"/>
        <v>0</v>
      </c>
      <c r="CA8" t="b">
        <f t="shared" si="46"/>
        <v>0</v>
      </c>
      <c r="CB8" t="b">
        <f t="shared" si="47"/>
        <v>0</v>
      </c>
      <c r="CC8" t="b">
        <f t="shared" si="48"/>
        <v>0</v>
      </c>
      <c r="CD8" t="b">
        <f t="shared" si="49"/>
        <v>0</v>
      </c>
      <c r="CE8" t="b">
        <f t="shared" si="50"/>
        <v>0</v>
      </c>
      <c r="CF8" t="b">
        <f t="shared" si="51"/>
        <v>0</v>
      </c>
      <c r="CG8" t="b">
        <f t="shared" si="52"/>
        <v>0</v>
      </c>
      <c r="CH8" t="b">
        <f t="shared" si="53"/>
        <v>0</v>
      </c>
      <c r="CI8" t="b">
        <f t="shared" si="54"/>
        <v>0</v>
      </c>
      <c r="CJ8" t="b">
        <f t="shared" si="55"/>
        <v>0</v>
      </c>
      <c r="CK8" t="b">
        <f t="shared" si="56"/>
        <v>0</v>
      </c>
      <c r="CL8" t="b">
        <f t="shared" si="57"/>
        <v>0</v>
      </c>
      <c r="CM8" t="b">
        <f t="shared" si="58"/>
        <v>0</v>
      </c>
      <c r="CN8" t="b">
        <f t="shared" si="59"/>
        <v>0</v>
      </c>
      <c r="CO8" t="b">
        <f t="shared" si="60"/>
        <v>0</v>
      </c>
      <c r="CP8" t="b">
        <f t="shared" si="61"/>
        <v>0</v>
      </c>
      <c r="CQ8" t="b">
        <f t="shared" si="62"/>
        <v>0</v>
      </c>
      <c r="CR8" t="b">
        <f t="shared" si="63"/>
        <v>0</v>
      </c>
      <c r="CS8" t="b">
        <f t="shared" si="64"/>
        <v>0</v>
      </c>
      <c r="CT8" t="b">
        <f t="shared" si="65"/>
        <v>0</v>
      </c>
      <c r="CU8" t="b">
        <f t="shared" si="66"/>
        <v>0</v>
      </c>
      <c r="CV8">
        <f t="shared" si="67"/>
        <v>1</v>
      </c>
      <c r="CW8" t="b">
        <f t="shared" si="68"/>
        <v>0</v>
      </c>
      <c r="CX8" t="b">
        <f t="shared" si="69"/>
        <v>0</v>
      </c>
      <c r="CY8" t="b">
        <f t="shared" si="70"/>
        <v>0</v>
      </c>
      <c r="CZ8" t="b">
        <f t="shared" si="71"/>
        <v>0</v>
      </c>
      <c r="DA8" t="b">
        <f t="shared" si="72"/>
        <v>0</v>
      </c>
      <c r="DB8" t="b">
        <f t="shared" si="73"/>
        <v>0</v>
      </c>
      <c r="DC8" t="b">
        <f t="shared" si="74"/>
        <v>0</v>
      </c>
      <c r="DD8" t="b">
        <f t="shared" si="75"/>
        <v>0</v>
      </c>
      <c r="DE8" t="b">
        <f t="shared" si="76"/>
        <v>0</v>
      </c>
      <c r="DF8" t="b">
        <f t="shared" si="77"/>
        <v>0</v>
      </c>
      <c r="DG8" t="b">
        <f t="shared" si="78"/>
        <v>0</v>
      </c>
      <c r="DH8" t="b">
        <f t="shared" si="79"/>
        <v>0</v>
      </c>
      <c r="DI8" t="b">
        <f t="shared" si="80"/>
        <v>0</v>
      </c>
      <c r="DJ8" t="b">
        <f t="shared" si="81"/>
        <v>0</v>
      </c>
      <c r="DK8" t="b">
        <f t="shared" si="82"/>
        <v>0</v>
      </c>
      <c r="DL8" t="b">
        <f t="shared" si="83"/>
        <v>0</v>
      </c>
      <c r="DM8" t="b">
        <f t="shared" si="84"/>
        <v>0</v>
      </c>
      <c r="DN8" t="b">
        <f t="shared" si="85"/>
        <v>0</v>
      </c>
      <c r="DO8" t="b">
        <f t="shared" si="86"/>
        <v>0</v>
      </c>
      <c r="DP8" t="b">
        <f t="shared" si="87"/>
        <v>0</v>
      </c>
      <c r="DQ8" t="b">
        <f t="shared" si="88"/>
        <v>0</v>
      </c>
      <c r="DR8" t="b">
        <f t="shared" si="89"/>
        <v>0</v>
      </c>
      <c r="DS8" t="b">
        <f t="shared" si="90"/>
        <v>0</v>
      </c>
      <c r="DT8" t="b">
        <f t="shared" si="91"/>
        <v>0</v>
      </c>
      <c r="DU8" t="b">
        <f t="shared" si="92"/>
        <v>0</v>
      </c>
      <c r="DV8" t="b">
        <f t="shared" si="93"/>
        <v>0</v>
      </c>
      <c r="DW8" t="b">
        <f t="shared" si="94"/>
        <v>0</v>
      </c>
      <c r="DX8" t="b">
        <f t="shared" si="95"/>
        <v>0</v>
      </c>
      <c r="DY8" t="b">
        <f t="shared" si="96"/>
        <v>0</v>
      </c>
      <c r="DZ8" t="b">
        <f t="shared" si="97"/>
        <v>0</v>
      </c>
      <c r="EA8" t="b">
        <f t="shared" si="98"/>
        <v>0</v>
      </c>
      <c r="EB8" t="b">
        <f t="shared" si="99"/>
        <v>0</v>
      </c>
      <c r="EC8" t="b">
        <f t="shared" si="100"/>
        <v>0</v>
      </c>
      <c r="ED8" t="b">
        <f t="shared" si="101"/>
        <v>0</v>
      </c>
      <c r="EE8" t="b">
        <f t="shared" si="102"/>
        <v>0</v>
      </c>
      <c r="EF8">
        <f t="shared" si="103"/>
        <v>1</v>
      </c>
      <c r="EG8" t="b">
        <f t="shared" si="104"/>
        <v>0</v>
      </c>
      <c r="EH8" t="b">
        <f t="shared" si="105"/>
        <v>0</v>
      </c>
      <c r="EI8" t="b">
        <f t="shared" si="106"/>
        <v>0</v>
      </c>
      <c r="EJ8" t="b">
        <f t="shared" si="107"/>
        <v>0</v>
      </c>
      <c r="EK8" t="b">
        <f t="shared" si="108"/>
        <v>0</v>
      </c>
    </row>
    <row r="9" spans="1:141">
      <c r="A9" t="s">
        <v>165</v>
      </c>
      <c r="B9" t="s">
        <v>165</v>
      </c>
      <c r="C9" t="s">
        <v>166</v>
      </c>
      <c r="D9" s="1">
        <v>43286</v>
      </c>
      <c r="E9" s="2">
        <v>43549.334131944444</v>
      </c>
      <c r="F9" s="2">
        <v>43549.334131944444</v>
      </c>
      <c r="G9">
        <v>14867999</v>
      </c>
      <c r="H9" t="s">
        <v>167</v>
      </c>
      <c r="I9" s="10" t="s">
        <v>168</v>
      </c>
      <c r="J9" t="s">
        <v>169</v>
      </c>
      <c r="K9" s="8" t="b">
        <v>1</v>
      </c>
      <c r="L9" s="10" t="b">
        <v>0</v>
      </c>
      <c r="M9" s="12" t="b">
        <v>0</v>
      </c>
      <c r="N9" t="b">
        <v>0</v>
      </c>
      <c r="O9" t="b">
        <v>0</v>
      </c>
      <c r="P9" t="b">
        <v>0</v>
      </c>
      <c r="Q9">
        <f t="shared" si="1"/>
        <v>5</v>
      </c>
      <c r="R9">
        <f t="shared" si="2"/>
        <v>7</v>
      </c>
      <c r="S9" t="e">
        <f t="shared" ca="1" si="109"/>
        <v>#NAME?</v>
      </c>
      <c r="T9" t="e">
        <f t="shared" ca="1" si="3"/>
        <v>#NAME?</v>
      </c>
      <c r="U9" s="4">
        <f t="shared" si="4"/>
        <v>263.33413194444438</v>
      </c>
      <c r="V9" s="4">
        <f t="shared" si="5"/>
        <v>8.7778043981481453</v>
      </c>
      <c r="W9" s="4">
        <f t="shared" si="6"/>
        <v>1</v>
      </c>
      <c r="X9" s="4">
        <f t="shared" si="7"/>
        <v>0</v>
      </c>
      <c r="Y9" s="4">
        <f t="shared" si="8"/>
        <v>0</v>
      </c>
      <c r="Z9" s="4">
        <f t="shared" si="9"/>
        <v>0</v>
      </c>
      <c r="AA9" s="4">
        <f t="shared" si="10"/>
        <v>0</v>
      </c>
      <c r="AB9" s="4">
        <f t="shared" si="11"/>
        <v>0</v>
      </c>
      <c r="AD9" s="4" t="b">
        <f t="shared" si="12"/>
        <v>0</v>
      </c>
      <c r="AE9" s="4" t="b">
        <f t="shared" si="13"/>
        <v>0</v>
      </c>
      <c r="AF9" s="4" t="b">
        <f t="shared" si="14"/>
        <v>0</v>
      </c>
      <c r="AG9" t="b">
        <f t="shared" si="15"/>
        <v>0</v>
      </c>
      <c r="AH9" t="b">
        <f t="shared" si="16"/>
        <v>0</v>
      </c>
      <c r="AI9" t="b">
        <f t="shared" si="17"/>
        <v>0</v>
      </c>
      <c r="AJ9" t="b">
        <f t="shared" si="18"/>
        <v>0</v>
      </c>
      <c r="AK9" t="b">
        <f t="shared" si="19"/>
        <v>0</v>
      </c>
      <c r="AL9" t="b">
        <f t="shared" si="20"/>
        <v>0</v>
      </c>
      <c r="AM9" t="b">
        <f t="shared" si="21"/>
        <v>0</v>
      </c>
      <c r="AN9" t="b">
        <f t="shared" si="22"/>
        <v>0</v>
      </c>
      <c r="AO9" t="b">
        <f t="shared" si="23"/>
        <v>0</v>
      </c>
      <c r="AP9" t="b">
        <f t="shared" si="24"/>
        <v>0</v>
      </c>
      <c r="AQ9" t="b">
        <f t="shared" si="25"/>
        <v>0</v>
      </c>
      <c r="AR9" t="b">
        <f t="shared" si="26"/>
        <v>0</v>
      </c>
      <c r="AS9" t="b">
        <f t="shared" si="27"/>
        <v>0</v>
      </c>
      <c r="AT9" t="b">
        <f t="shared" si="28"/>
        <v>0</v>
      </c>
      <c r="AU9" t="b">
        <f t="shared" si="29"/>
        <v>0</v>
      </c>
      <c r="AV9" t="b">
        <f t="shared" si="30"/>
        <v>0</v>
      </c>
      <c r="AW9" t="b">
        <f t="shared" si="31"/>
        <v>0</v>
      </c>
      <c r="AX9" t="b">
        <f t="shared" si="110"/>
        <v>0</v>
      </c>
      <c r="AY9" t="b">
        <f t="shared" si="111"/>
        <v>0</v>
      </c>
      <c r="AZ9">
        <f t="shared" si="112"/>
        <v>1</v>
      </c>
      <c r="BA9" t="b">
        <f t="shared" si="113"/>
        <v>0</v>
      </c>
      <c r="BB9" t="b">
        <f t="shared" si="114"/>
        <v>0</v>
      </c>
      <c r="BC9" t="b">
        <f t="shared" si="115"/>
        <v>0</v>
      </c>
      <c r="BD9" t="b">
        <f t="shared" si="116"/>
        <v>0</v>
      </c>
      <c r="BE9" t="b">
        <f t="shared" si="117"/>
        <v>0</v>
      </c>
      <c r="BF9" t="b">
        <f t="shared" si="118"/>
        <v>0</v>
      </c>
      <c r="BG9" t="b">
        <f t="shared" si="119"/>
        <v>0</v>
      </c>
      <c r="BH9" t="b">
        <f t="shared" si="120"/>
        <v>0</v>
      </c>
      <c r="BI9">
        <f t="shared" si="121"/>
        <v>1</v>
      </c>
      <c r="BJ9" t="b">
        <f t="shared" si="122"/>
        <v>0</v>
      </c>
      <c r="BK9" t="b">
        <f t="shared" si="123"/>
        <v>0</v>
      </c>
      <c r="BL9" t="b">
        <f t="shared" si="124"/>
        <v>0</v>
      </c>
      <c r="BM9" t="b">
        <f t="shared" si="32"/>
        <v>0</v>
      </c>
      <c r="BN9" t="b">
        <f t="shared" si="33"/>
        <v>0</v>
      </c>
      <c r="BO9" t="b">
        <f t="shared" si="34"/>
        <v>0</v>
      </c>
      <c r="BP9" t="b">
        <f t="shared" si="35"/>
        <v>0</v>
      </c>
      <c r="BQ9" t="b">
        <f t="shared" si="36"/>
        <v>0</v>
      </c>
      <c r="BR9">
        <f t="shared" si="37"/>
        <v>1</v>
      </c>
      <c r="BS9">
        <f t="shared" si="38"/>
        <v>1</v>
      </c>
      <c r="BT9" t="b">
        <f t="shared" si="39"/>
        <v>0</v>
      </c>
      <c r="BU9" t="b">
        <f t="shared" si="40"/>
        <v>0</v>
      </c>
      <c r="BV9" t="b">
        <f t="shared" si="41"/>
        <v>0</v>
      </c>
      <c r="BW9" t="b">
        <f t="shared" si="42"/>
        <v>0</v>
      </c>
      <c r="BX9" t="b">
        <f t="shared" si="43"/>
        <v>0</v>
      </c>
      <c r="BY9" t="b">
        <f t="shared" si="44"/>
        <v>0</v>
      </c>
      <c r="BZ9" t="b">
        <f t="shared" si="45"/>
        <v>0</v>
      </c>
      <c r="CA9" t="b">
        <f t="shared" si="46"/>
        <v>0</v>
      </c>
      <c r="CB9" t="b">
        <f t="shared" si="47"/>
        <v>0</v>
      </c>
      <c r="CC9" t="b">
        <f t="shared" si="48"/>
        <v>0</v>
      </c>
      <c r="CD9" t="b">
        <f t="shared" si="49"/>
        <v>0</v>
      </c>
      <c r="CE9" t="b">
        <f t="shared" si="50"/>
        <v>0</v>
      </c>
      <c r="CF9" t="b">
        <f t="shared" si="51"/>
        <v>0</v>
      </c>
      <c r="CG9" t="b">
        <f t="shared" si="52"/>
        <v>0</v>
      </c>
      <c r="CH9" t="b">
        <f t="shared" si="53"/>
        <v>0</v>
      </c>
      <c r="CI9" t="b">
        <f t="shared" si="54"/>
        <v>0</v>
      </c>
      <c r="CJ9" t="b">
        <f t="shared" si="55"/>
        <v>0</v>
      </c>
      <c r="CK9" t="b">
        <f t="shared" si="56"/>
        <v>0</v>
      </c>
      <c r="CL9" t="b">
        <f t="shared" si="57"/>
        <v>0</v>
      </c>
      <c r="CM9">
        <f t="shared" si="58"/>
        <v>1</v>
      </c>
      <c r="CN9" t="b">
        <f t="shared" si="59"/>
        <v>0</v>
      </c>
      <c r="CO9" t="b">
        <f t="shared" si="60"/>
        <v>0</v>
      </c>
      <c r="CP9" t="b">
        <f t="shared" si="61"/>
        <v>0</v>
      </c>
      <c r="CQ9" t="b">
        <f t="shared" si="62"/>
        <v>0</v>
      </c>
      <c r="CR9" t="b">
        <f t="shared" si="63"/>
        <v>0</v>
      </c>
      <c r="CS9" t="b">
        <f t="shared" si="64"/>
        <v>0</v>
      </c>
      <c r="CT9" t="b">
        <f t="shared" si="65"/>
        <v>0</v>
      </c>
      <c r="CU9" t="b">
        <f t="shared" si="66"/>
        <v>0</v>
      </c>
      <c r="CV9">
        <f t="shared" si="67"/>
        <v>1</v>
      </c>
      <c r="CW9" t="b">
        <f t="shared" si="68"/>
        <v>0</v>
      </c>
      <c r="CX9" t="b">
        <f t="shared" si="69"/>
        <v>0</v>
      </c>
      <c r="CY9" t="b">
        <f t="shared" si="70"/>
        <v>0</v>
      </c>
      <c r="CZ9" t="b">
        <f t="shared" si="71"/>
        <v>0</v>
      </c>
      <c r="DA9" t="b">
        <f t="shared" si="72"/>
        <v>0</v>
      </c>
      <c r="DB9" t="b">
        <f t="shared" si="73"/>
        <v>0</v>
      </c>
      <c r="DC9" t="b">
        <f t="shared" si="74"/>
        <v>0</v>
      </c>
      <c r="DD9" t="b">
        <f t="shared" si="75"/>
        <v>0</v>
      </c>
      <c r="DE9" t="b">
        <f t="shared" si="76"/>
        <v>0</v>
      </c>
      <c r="DF9" t="b">
        <f t="shared" si="77"/>
        <v>0</v>
      </c>
      <c r="DG9" t="b">
        <f t="shared" si="78"/>
        <v>0</v>
      </c>
      <c r="DH9" t="b">
        <f t="shared" si="79"/>
        <v>0</v>
      </c>
      <c r="DI9" t="b">
        <f t="shared" si="80"/>
        <v>0</v>
      </c>
      <c r="DJ9" t="b">
        <f t="shared" si="81"/>
        <v>0</v>
      </c>
      <c r="DK9" t="b">
        <f t="shared" si="82"/>
        <v>0</v>
      </c>
      <c r="DL9" t="b">
        <f t="shared" si="83"/>
        <v>0</v>
      </c>
      <c r="DM9" t="b">
        <f t="shared" si="84"/>
        <v>0</v>
      </c>
      <c r="DN9" t="b">
        <f t="shared" si="85"/>
        <v>0</v>
      </c>
      <c r="DO9" t="b">
        <f t="shared" si="86"/>
        <v>0</v>
      </c>
      <c r="DP9" t="b">
        <f t="shared" si="87"/>
        <v>0</v>
      </c>
      <c r="DQ9" t="b">
        <f t="shared" si="88"/>
        <v>0</v>
      </c>
      <c r="DR9" t="b">
        <f t="shared" si="89"/>
        <v>0</v>
      </c>
      <c r="DS9" t="b">
        <f t="shared" si="90"/>
        <v>0</v>
      </c>
      <c r="DT9" t="b">
        <f t="shared" si="91"/>
        <v>0</v>
      </c>
      <c r="DU9" t="b">
        <f t="shared" si="92"/>
        <v>0</v>
      </c>
      <c r="DV9" t="b">
        <f t="shared" si="93"/>
        <v>0</v>
      </c>
      <c r="DW9" t="b">
        <f t="shared" si="94"/>
        <v>0</v>
      </c>
      <c r="DX9" t="b">
        <f t="shared" si="95"/>
        <v>0</v>
      </c>
      <c r="DY9" t="b">
        <f t="shared" si="96"/>
        <v>0</v>
      </c>
      <c r="DZ9" t="b">
        <f t="shared" si="97"/>
        <v>0</v>
      </c>
      <c r="EA9" t="b">
        <f t="shared" si="98"/>
        <v>0</v>
      </c>
      <c r="EB9" t="b">
        <f t="shared" si="99"/>
        <v>0</v>
      </c>
      <c r="EC9" t="b">
        <f t="shared" si="100"/>
        <v>0</v>
      </c>
      <c r="ED9" t="b">
        <f t="shared" si="101"/>
        <v>0</v>
      </c>
      <c r="EE9" t="b">
        <f t="shared" si="102"/>
        <v>0</v>
      </c>
      <c r="EF9">
        <f t="shared" si="103"/>
        <v>1</v>
      </c>
      <c r="EG9" t="b">
        <f t="shared" si="104"/>
        <v>0</v>
      </c>
      <c r="EH9" t="b">
        <f t="shared" si="105"/>
        <v>0</v>
      </c>
      <c r="EI9" t="b">
        <f t="shared" si="106"/>
        <v>0</v>
      </c>
      <c r="EJ9" t="b">
        <f t="shared" si="107"/>
        <v>0</v>
      </c>
      <c r="EK9" t="b">
        <f t="shared" si="108"/>
        <v>0</v>
      </c>
    </row>
    <row r="10" spans="1:141">
      <c r="A10" t="s">
        <v>170</v>
      </c>
      <c r="B10" t="s">
        <v>170</v>
      </c>
      <c r="C10" t="s">
        <v>171</v>
      </c>
      <c r="D10" s="1">
        <v>40544</v>
      </c>
      <c r="E10" s="2">
        <v>43004.912511574075</v>
      </c>
      <c r="F10" s="2">
        <v>43004.912511574075</v>
      </c>
      <c r="G10">
        <v>9121434</v>
      </c>
      <c r="H10" t="s">
        <v>172</v>
      </c>
      <c r="I10" s="10" t="s">
        <v>173</v>
      </c>
      <c r="J10" t="s">
        <v>156</v>
      </c>
      <c r="K10" s="8" t="b">
        <v>0</v>
      </c>
      <c r="L10" s="10" t="b">
        <v>0</v>
      </c>
      <c r="M10" s="12" t="b">
        <v>0</v>
      </c>
      <c r="N10" t="b">
        <v>0</v>
      </c>
      <c r="O10" t="b">
        <v>0</v>
      </c>
      <c r="P10" t="b">
        <v>0</v>
      </c>
      <c r="Q10">
        <f t="shared" si="1"/>
        <v>7</v>
      </c>
      <c r="R10">
        <f t="shared" si="2"/>
        <v>1</v>
      </c>
      <c r="S10" t="e">
        <f t="shared" ca="1" si="109"/>
        <v>#NAME?</v>
      </c>
      <c r="T10" t="e">
        <f t="shared" ca="1" si="3"/>
        <v>#NAME?</v>
      </c>
      <c r="U10" s="4">
        <f t="shared" si="4"/>
        <v>2460.9125115740753</v>
      </c>
      <c r="V10" s="4">
        <f t="shared" si="5"/>
        <v>82.030417052469176</v>
      </c>
      <c r="W10" s="4">
        <f t="shared" si="6"/>
        <v>0</v>
      </c>
      <c r="X10" s="4">
        <f t="shared" si="7"/>
        <v>0</v>
      </c>
      <c r="Y10" s="4">
        <f t="shared" si="8"/>
        <v>0</v>
      </c>
      <c r="Z10" s="4">
        <f t="shared" si="9"/>
        <v>0</v>
      </c>
      <c r="AA10" s="4">
        <f t="shared" si="10"/>
        <v>0</v>
      </c>
      <c r="AB10" s="4">
        <f t="shared" si="11"/>
        <v>0</v>
      </c>
      <c r="AD10" s="4" t="b">
        <f t="shared" si="12"/>
        <v>0</v>
      </c>
      <c r="AE10" s="4" t="b">
        <f t="shared" si="13"/>
        <v>0</v>
      </c>
      <c r="AF10" s="4" t="b">
        <f t="shared" si="14"/>
        <v>0</v>
      </c>
      <c r="AG10" t="b">
        <f t="shared" si="15"/>
        <v>0</v>
      </c>
      <c r="AH10" t="b">
        <f t="shared" si="16"/>
        <v>0</v>
      </c>
      <c r="AI10" t="b">
        <f t="shared" si="17"/>
        <v>0</v>
      </c>
      <c r="AJ10" t="b">
        <f t="shared" si="18"/>
        <v>0</v>
      </c>
      <c r="AK10" t="b">
        <f t="shared" si="19"/>
        <v>0</v>
      </c>
      <c r="AL10" t="b">
        <f t="shared" si="20"/>
        <v>0</v>
      </c>
      <c r="AM10" t="b">
        <f t="shared" si="21"/>
        <v>0</v>
      </c>
      <c r="AN10" t="b">
        <f t="shared" si="22"/>
        <v>0</v>
      </c>
      <c r="AO10" t="b">
        <f t="shared" si="23"/>
        <v>0</v>
      </c>
      <c r="AP10" t="b">
        <f t="shared" si="24"/>
        <v>0</v>
      </c>
      <c r="AQ10" t="b">
        <f t="shared" si="25"/>
        <v>0</v>
      </c>
      <c r="AR10" t="b">
        <f t="shared" si="26"/>
        <v>0</v>
      </c>
      <c r="AS10" t="b">
        <f t="shared" si="27"/>
        <v>0</v>
      </c>
      <c r="AT10" t="b">
        <f t="shared" si="28"/>
        <v>0</v>
      </c>
      <c r="AU10" t="b">
        <f t="shared" si="29"/>
        <v>0</v>
      </c>
      <c r="AV10" t="b">
        <f t="shared" si="30"/>
        <v>0</v>
      </c>
      <c r="AW10" t="b">
        <f t="shared" si="31"/>
        <v>0</v>
      </c>
      <c r="AX10" t="b">
        <f t="shared" si="110"/>
        <v>0</v>
      </c>
      <c r="AY10" t="b">
        <f t="shared" si="111"/>
        <v>0</v>
      </c>
      <c r="AZ10" t="b">
        <f t="shared" si="112"/>
        <v>0</v>
      </c>
      <c r="BA10" t="b">
        <f t="shared" si="113"/>
        <v>0</v>
      </c>
      <c r="BB10" t="b">
        <f t="shared" si="114"/>
        <v>0</v>
      </c>
      <c r="BC10" t="b">
        <f t="shared" si="115"/>
        <v>0</v>
      </c>
      <c r="BD10" t="b">
        <f t="shared" si="116"/>
        <v>0</v>
      </c>
      <c r="BE10" t="b">
        <f t="shared" si="117"/>
        <v>0</v>
      </c>
      <c r="BF10" t="b">
        <f t="shared" si="118"/>
        <v>0</v>
      </c>
      <c r="BG10" t="b">
        <f t="shared" si="119"/>
        <v>0</v>
      </c>
      <c r="BH10" t="b">
        <f t="shared" si="120"/>
        <v>0</v>
      </c>
      <c r="BI10">
        <f t="shared" si="121"/>
        <v>1</v>
      </c>
      <c r="BJ10" t="b">
        <f t="shared" si="122"/>
        <v>0</v>
      </c>
      <c r="BK10" t="b">
        <f t="shared" si="123"/>
        <v>0</v>
      </c>
      <c r="BL10" t="b">
        <f t="shared" si="124"/>
        <v>0</v>
      </c>
      <c r="BM10" t="b">
        <f t="shared" si="32"/>
        <v>0</v>
      </c>
      <c r="BN10" t="b">
        <f t="shared" si="33"/>
        <v>0</v>
      </c>
      <c r="BO10" t="b">
        <f t="shared" si="34"/>
        <v>0</v>
      </c>
      <c r="BP10" t="b">
        <f t="shared" si="35"/>
        <v>0</v>
      </c>
      <c r="BQ10" t="b">
        <f t="shared" si="36"/>
        <v>0</v>
      </c>
      <c r="BR10" t="b">
        <f t="shared" si="37"/>
        <v>0</v>
      </c>
      <c r="BS10" t="b">
        <f t="shared" si="38"/>
        <v>0</v>
      </c>
      <c r="BT10" t="b">
        <f t="shared" si="39"/>
        <v>0</v>
      </c>
      <c r="BU10" t="b">
        <f t="shared" si="40"/>
        <v>0</v>
      </c>
      <c r="BV10" t="b">
        <f t="shared" si="41"/>
        <v>0</v>
      </c>
      <c r="BW10" t="b">
        <f t="shared" si="42"/>
        <v>0</v>
      </c>
      <c r="BX10" t="b">
        <f t="shared" si="43"/>
        <v>0</v>
      </c>
      <c r="BY10" t="b">
        <f t="shared" si="44"/>
        <v>0</v>
      </c>
      <c r="BZ10" t="b">
        <f t="shared" si="45"/>
        <v>0</v>
      </c>
      <c r="CA10" t="b">
        <f t="shared" si="46"/>
        <v>0</v>
      </c>
      <c r="CB10" t="b">
        <f t="shared" si="47"/>
        <v>0</v>
      </c>
      <c r="CC10" t="b">
        <f t="shared" si="48"/>
        <v>0</v>
      </c>
      <c r="CD10" t="b">
        <f t="shared" si="49"/>
        <v>0</v>
      </c>
      <c r="CE10" t="b">
        <f t="shared" si="50"/>
        <v>0</v>
      </c>
      <c r="CF10" t="b">
        <f t="shared" si="51"/>
        <v>0</v>
      </c>
      <c r="CG10" t="b">
        <f t="shared" si="52"/>
        <v>0</v>
      </c>
      <c r="CH10" t="b">
        <f t="shared" si="53"/>
        <v>0</v>
      </c>
      <c r="CI10" t="b">
        <f t="shared" si="54"/>
        <v>0</v>
      </c>
      <c r="CJ10" t="b">
        <f t="shared" si="55"/>
        <v>0</v>
      </c>
      <c r="CK10" t="b">
        <f t="shared" si="56"/>
        <v>0</v>
      </c>
      <c r="CL10" t="b">
        <f t="shared" si="57"/>
        <v>0</v>
      </c>
      <c r="CM10" t="b">
        <f t="shared" si="58"/>
        <v>0</v>
      </c>
      <c r="CN10" t="b">
        <f t="shared" si="59"/>
        <v>0</v>
      </c>
      <c r="CO10" t="b">
        <f t="shared" si="60"/>
        <v>0</v>
      </c>
      <c r="CP10" t="b">
        <f t="shared" si="61"/>
        <v>0</v>
      </c>
      <c r="CQ10" t="b">
        <f t="shared" si="62"/>
        <v>0</v>
      </c>
      <c r="CR10" t="b">
        <f t="shared" si="63"/>
        <v>0</v>
      </c>
      <c r="CS10" t="b">
        <f t="shared" si="64"/>
        <v>0</v>
      </c>
      <c r="CT10" t="b">
        <f t="shared" si="65"/>
        <v>0</v>
      </c>
      <c r="CU10" t="b">
        <f t="shared" si="66"/>
        <v>0</v>
      </c>
      <c r="CV10">
        <f t="shared" si="67"/>
        <v>1</v>
      </c>
      <c r="CW10" t="b">
        <f t="shared" si="68"/>
        <v>0</v>
      </c>
      <c r="CX10" t="b">
        <f t="shared" si="69"/>
        <v>0</v>
      </c>
      <c r="CY10" t="b">
        <f t="shared" si="70"/>
        <v>0</v>
      </c>
      <c r="CZ10" t="b">
        <f t="shared" si="71"/>
        <v>0</v>
      </c>
      <c r="DA10" t="b">
        <f t="shared" si="72"/>
        <v>0</v>
      </c>
      <c r="DB10" t="b">
        <f t="shared" si="73"/>
        <v>0</v>
      </c>
      <c r="DC10" t="b">
        <f t="shared" si="74"/>
        <v>0</v>
      </c>
      <c r="DD10" t="b">
        <f t="shared" si="75"/>
        <v>0</v>
      </c>
      <c r="DE10" t="b">
        <f t="shared" si="76"/>
        <v>0</v>
      </c>
      <c r="DF10" t="b">
        <f t="shared" si="77"/>
        <v>0</v>
      </c>
      <c r="DG10" t="b">
        <f t="shared" si="78"/>
        <v>0</v>
      </c>
      <c r="DH10" t="b">
        <f t="shared" si="79"/>
        <v>0</v>
      </c>
      <c r="DI10" t="b">
        <f t="shared" si="80"/>
        <v>0</v>
      </c>
      <c r="DJ10" t="b">
        <f t="shared" si="81"/>
        <v>0</v>
      </c>
      <c r="DK10" t="b">
        <f t="shared" si="82"/>
        <v>0</v>
      </c>
      <c r="DL10" t="b">
        <f t="shared" si="83"/>
        <v>0</v>
      </c>
      <c r="DM10" t="b">
        <f t="shared" si="84"/>
        <v>0</v>
      </c>
      <c r="DN10" t="b">
        <f t="shared" si="85"/>
        <v>0</v>
      </c>
      <c r="DO10" t="b">
        <f t="shared" si="86"/>
        <v>0</v>
      </c>
      <c r="DP10" t="b">
        <f t="shared" si="87"/>
        <v>0</v>
      </c>
      <c r="DQ10" t="b">
        <f t="shared" si="88"/>
        <v>0</v>
      </c>
      <c r="DR10" t="b">
        <f t="shared" si="89"/>
        <v>0</v>
      </c>
      <c r="DS10" t="b">
        <f t="shared" si="90"/>
        <v>0</v>
      </c>
      <c r="DT10" t="b">
        <f t="shared" si="91"/>
        <v>0</v>
      </c>
      <c r="DU10" t="b">
        <f t="shared" si="92"/>
        <v>0</v>
      </c>
      <c r="DV10" t="b">
        <f t="shared" si="93"/>
        <v>0</v>
      </c>
      <c r="DW10" t="b">
        <f t="shared" si="94"/>
        <v>0</v>
      </c>
      <c r="DX10" t="b">
        <f t="shared" si="95"/>
        <v>0</v>
      </c>
      <c r="DY10" t="b">
        <f t="shared" si="96"/>
        <v>0</v>
      </c>
      <c r="DZ10" t="b">
        <f t="shared" si="97"/>
        <v>0</v>
      </c>
      <c r="EA10" t="b">
        <f t="shared" si="98"/>
        <v>0</v>
      </c>
      <c r="EB10" t="b">
        <f t="shared" si="99"/>
        <v>0</v>
      </c>
      <c r="EC10" t="b">
        <f t="shared" si="100"/>
        <v>0</v>
      </c>
      <c r="ED10" t="b">
        <f t="shared" si="101"/>
        <v>0</v>
      </c>
      <c r="EE10" t="b">
        <f t="shared" si="102"/>
        <v>0</v>
      </c>
      <c r="EF10">
        <f t="shared" si="103"/>
        <v>1</v>
      </c>
      <c r="EG10" t="b">
        <f t="shared" si="104"/>
        <v>0</v>
      </c>
      <c r="EH10" t="b">
        <f t="shared" si="105"/>
        <v>0</v>
      </c>
      <c r="EI10" t="b">
        <f t="shared" si="106"/>
        <v>0</v>
      </c>
      <c r="EJ10" t="b">
        <f t="shared" si="107"/>
        <v>0</v>
      </c>
      <c r="EK10" t="b">
        <f t="shared" si="108"/>
        <v>0</v>
      </c>
    </row>
    <row r="11" spans="1:141">
      <c r="A11" t="s">
        <v>174</v>
      </c>
      <c r="B11" t="s">
        <v>174</v>
      </c>
      <c r="C11" t="s">
        <v>175</v>
      </c>
      <c r="D11" s="1">
        <v>43282</v>
      </c>
      <c r="E11" s="2">
        <v>43545.784722222219</v>
      </c>
      <c r="F11" s="2">
        <v>43545.784722222219</v>
      </c>
      <c r="G11">
        <v>15025407</v>
      </c>
      <c r="H11" t="s">
        <v>176</v>
      </c>
      <c r="I11" s="10" t="s">
        <v>177</v>
      </c>
      <c r="J11" t="s">
        <v>178</v>
      </c>
      <c r="K11" s="8" t="b">
        <v>1</v>
      </c>
      <c r="L11" s="10" t="b">
        <v>0</v>
      </c>
      <c r="M11" s="12" t="b">
        <v>0</v>
      </c>
      <c r="N11" t="b">
        <v>0</v>
      </c>
      <c r="O11" t="b">
        <v>0</v>
      </c>
      <c r="P11" t="b">
        <v>0</v>
      </c>
      <c r="Q11">
        <f t="shared" si="1"/>
        <v>1</v>
      </c>
      <c r="R11">
        <f t="shared" si="2"/>
        <v>7</v>
      </c>
      <c r="S11" t="e">
        <f t="shared" ca="1" si="109"/>
        <v>#NAME?</v>
      </c>
      <c r="T11" t="e">
        <f t="shared" ca="1" si="3"/>
        <v>#NAME?</v>
      </c>
      <c r="U11" s="4">
        <f t="shared" si="4"/>
        <v>263.78472222221899</v>
      </c>
      <c r="V11" s="4">
        <f t="shared" si="5"/>
        <v>8.792824074073966</v>
      </c>
      <c r="W11" s="4">
        <f t="shared" si="6"/>
        <v>1</v>
      </c>
      <c r="X11" s="4">
        <f t="shared" si="7"/>
        <v>0</v>
      </c>
      <c r="Y11" s="4">
        <f t="shared" si="8"/>
        <v>0</v>
      </c>
      <c r="Z11" s="4">
        <f t="shared" si="9"/>
        <v>0</v>
      </c>
      <c r="AA11" s="4">
        <f t="shared" si="10"/>
        <v>0</v>
      </c>
      <c r="AB11" s="4">
        <f t="shared" si="11"/>
        <v>0</v>
      </c>
      <c r="AD11" s="4" t="b">
        <f t="shared" si="12"/>
        <v>0</v>
      </c>
      <c r="AE11" s="4" t="b">
        <f t="shared" si="13"/>
        <v>0</v>
      </c>
      <c r="AF11" s="4" t="b">
        <f t="shared" si="14"/>
        <v>0</v>
      </c>
      <c r="AG11" t="b">
        <f t="shared" si="15"/>
        <v>0</v>
      </c>
      <c r="AH11" t="b">
        <f t="shared" si="16"/>
        <v>0</v>
      </c>
      <c r="AI11" t="b">
        <f t="shared" si="17"/>
        <v>0</v>
      </c>
      <c r="AJ11" t="b">
        <f t="shared" si="18"/>
        <v>0</v>
      </c>
      <c r="AK11" t="b">
        <f t="shared" si="19"/>
        <v>0</v>
      </c>
      <c r="AL11" t="b">
        <f t="shared" si="20"/>
        <v>0</v>
      </c>
      <c r="AM11" t="b">
        <f t="shared" si="21"/>
        <v>0</v>
      </c>
      <c r="AN11" t="b">
        <f t="shared" si="22"/>
        <v>0</v>
      </c>
      <c r="AO11" t="b">
        <f t="shared" si="23"/>
        <v>0</v>
      </c>
      <c r="AP11" t="b">
        <f t="shared" si="24"/>
        <v>0</v>
      </c>
      <c r="AQ11" t="b">
        <f t="shared" si="25"/>
        <v>0</v>
      </c>
      <c r="AR11" t="b">
        <f t="shared" si="26"/>
        <v>0</v>
      </c>
      <c r="AS11" t="b">
        <f t="shared" si="27"/>
        <v>0</v>
      </c>
      <c r="AT11" t="b">
        <f t="shared" si="28"/>
        <v>0</v>
      </c>
      <c r="AU11" t="b">
        <f t="shared" si="29"/>
        <v>0</v>
      </c>
      <c r="AV11" t="b">
        <f t="shared" si="30"/>
        <v>0</v>
      </c>
      <c r="AW11" t="b">
        <f t="shared" si="31"/>
        <v>0</v>
      </c>
      <c r="AX11" t="b">
        <f t="shared" si="110"/>
        <v>0</v>
      </c>
      <c r="AY11" t="b">
        <f t="shared" si="111"/>
        <v>0</v>
      </c>
      <c r="AZ11" t="b">
        <f t="shared" si="112"/>
        <v>0</v>
      </c>
      <c r="BA11" t="b">
        <f t="shared" si="113"/>
        <v>0</v>
      </c>
      <c r="BB11" t="b">
        <f t="shared" si="114"/>
        <v>0</v>
      </c>
      <c r="BC11" t="b">
        <f t="shared" si="115"/>
        <v>0</v>
      </c>
      <c r="BD11" t="b">
        <f t="shared" si="116"/>
        <v>0</v>
      </c>
      <c r="BE11" t="b">
        <f t="shared" si="117"/>
        <v>0</v>
      </c>
      <c r="BF11" t="b">
        <f t="shared" si="118"/>
        <v>0</v>
      </c>
      <c r="BG11" t="b">
        <f t="shared" si="119"/>
        <v>0</v>
      </c>
      <c r="BH11" t="b">
        <f t="shared" si="120"/>
        <v>0</v>
      </c>
      <c r="BI11">
        <f t="shared" si="121"/>
        <v>1</v>
      </c>
      <c r="BJ11" t="b">
        <f t="shared" si="122"/>
        <v>0</v>
      </c>
      <c r="BK11" t="b">
        <f t="shared" si="123"/>
        <v>0</v>
      </c>
      <c r="BL11" t="b">
        <f t="shared" si="124"/>
        <v>0</v>
      </c>
      <c r="BM11" t="b">
        <f t="shared" si="32"/>
        <v>0</v>
      </c>
      <c r="BN11" t="b">
        <f t="shared" si="33"/>
        <v>0</v>
      </c>
      <c r="BO11" t="b">
        <f t="shared" si="34"/>
        <v>0</v>
      </c>
      <c r="BP11" t="b">
        <f t="shared" si="35"/>
        <v>0</v>
      </c>
      <c r="BQ11" t="b">
        <f t="shared" si="36"/>
        <v>0</v>
      </c>
      <c r="BR11">
        <f t="shared" si="37"/>
        <v>1</v>
      </c>
      <c r="BS11">
        <f t="shared" si="38"/>
        <v>1</v>
      </c>
      <c r="BT11" t="b">
        <f t="shared" si="39"/>
        <v>0</v>
      </c>
      <c r="BU11" t="b">
        <f t="shared" si="40"/>
        <v>0</v>
      </c>
      <c r="BV11" t="b">
        <f t="shared" si="41"/>
        <v>0</v>
      </c>
      <c r="BW11" t="b">
        <f t="shared" si="42"/>
        <v>0</v>
      </c>
      <c r="BX11" t="b">
        <f t="shared" si="43"/>
        <v>0</v>
      </c>
      <c r="BY11" t="b">
        <f t="shared" si="44"/>
        <v>0</v>
      </c>
      <c r="BZ11" t="b">
        <f t="shared" si="45"/>
        <v>0</v>
      </c>
      <c r="CA11" t="b">
        <f t="shared" si="46"/>
        <v>0</v>
      </c>
      <c r="CB11" t="b">
        <f t="shared" si="47"/>
        <v>0</v>
      </c>
      <c r="CC11" t="b">
        <f t="shared" si="48"/>
        <v>0</v>
      </c>
      <c r="CD11" t="b">
        <f t="shared" si="49"/>
        <v>0</v>
      </c>
      <c r="CE11">
        <f t="shared" si="50"/>
        <v>1</v>
      </c>
      <c r="CF11" t="b">
        <f t="shared" si="51"/>
        <v>0</v>
      </c>
      <c r="CG11" t="b">
        <f t="shared" si="52"/>
        <v>0</v>
      </c>
      <c r="CH11" t="b">
        <f t="shared" si="53"/>
        <v>0</v>
      </c>
      <c r="CI11" t="b">
        <f t="shared" si="54"/>
        <v>0</v>
      </c>
      <c r="CJ11" t="b">
        <f t="shared" si="55"/>
        <v>0</v>
      </c>
      <c r="CK11" t="b">
        <f t="shared" si="56"/>
        <v>0</v>
      </c>
      <c r="CL11" t="b">
        <f t="shared" si="57"/>
        <v>0</v>
      </c>
      <c r="CM11">
        <f t="shared" si="58"/>
        <v>1</v>
      </c>
      <c r="CN11" t="b">
        <f t="shared" si="59"/>
        <v>0</v>
      </c>
      <c r="CO11" t="b">
        <f t="shared" si="60"/>
        <v>0</v>
      </c>
      <c r="CP11" t="b">
        <f t="shared" si="61"/>
        <v>0</v>
      </c>
      <c r="CQ11" t="b">
        <f t="shared" si="62"/>
        <v>0</v>
      </c>
      <c r="CR11" t="b">
        <f t="shared" si="63"/>
        <v>0</v>
      </c>
      <c r="CS11" t="b">
        <f t="shared" si="64"/>
        <v>0</v>
      </c>
      <c r="CT11" t="b">
        <f t="shared" si="65"/>
        <v>0</v>
      </c>
      <c r="CU11" t="b">
        <f t="shared" si="66"/>
        <v>0</v>
      </c>
      <c r="CV11">
        <f t="shared" si="67"/>
        <v>1</v>
      </c>
      <c r="CW11" t="b">
        <f t="shared" si="68"/>
        <v>0</v>
      </c>
      <c r="CX11" t="b">
        <f t="shared" si="69"/>
        <v>0</v>
      </c>
      <c r="CY11" t="b">
        <f t="shared" si="70"/>
        <v>0</v>
      </c>
      <c r="CZ11" t="b">
        <f t="shared" si="71"/>
        <v>0</v>
      </c>
      <c r="DA11" t="b">
        <f t="shared" si="72"/>
        <v>0</v>
      </c>
      <c r="DB11" t="b">
        <f t="shared" si="73"/>
        <v>0</v>
      </c>
      <c r="DC11" t="b">
        <f t="shared" si="74"/>
        <v>0</v>
      </c>
      <c r="DD11" t="b">
        <f t="shared" si="75"/>
        <v>0</v>
      </c>
      <c r="DE11" t="b">
        <f t="shared" si="76"/>
        <v>0</v>
      </c>
      <c r="DF11" t="b">
        <f t="shared" si="77"/>
        <v>0</v>
      </c>
      <c r="DG11" t="b">
        <f t="shared" si="78"/>
        <v>0</v>
      </c>
      <c r="DH11" t="b">
        <f t="shared" si="79"/>
        <v>0</v>
      </c>
      <c r="DI11" t="b">
        <f t="shared" si="80"/>
        <v>0</v>
      </c>
      <c r="DJ11" t="b">
        <f t="shared" si="81"/>
        <v>0</v>
      </c>
      <c r="DK11" t="b">
        <f t="shared" si="82"/>
        <v>0</v>
      </c>
      <c r="DL11" t="b">
        <f t="shared" si="83"/>
        <v>0</v>
      </c>
      <c r="DM11" t="b">
        <f t="shared" si="84"/>
        <v>0</v>
      </c>
      <c r="DN11" t="b">
        <f t="shared" si="85"/>
        <v>0</v>
      </c>
      <c r="DO11" t="b">
        <f t="shared" si="86"/>
        <v>0</v>
      </c>
      <c r="DP11" t="b">
        <f t="shared" si="87"/>
        <v>0</v>
      </c>
      <c r="DQ11" t="b">
        <f t="shared" si="88"/>
        <v>0</v>
      </c>
      <c r="DR11" t="b">
        <f t="shared" si="89"/>
        <v>0</v>
      </c>
      <c r="DS11" t="b">
        <f t="shared" si="90"/>
        <v>0</v>
      </c>
      <c r="DT11" t="b">
        <f t="shared" si="91"/>
        <v>0</v>
      </c>
      <c r="DU11" t="b">
        <f t="shared" si="92"/>
        <v>0</v>
      </c>
      <c r="DV11" t="b">
        <f t="shared" si="93"/>
        <v>0</v>
      </c>
      <c r="DW11" t="b">
        <f t="shared" si="94"/>
        <v>0</v>
      </c>
      <c r="DX11" t="b">
        <f t="shared" si="95"/>
        <v>0</v>
      </c>
      <c r="DY11" t="b">
        <f t="shared" si="96"/>
        <v>0</v>
      </c>
      <c r="DZ11" t="b">
        <f t="shared" si="97"/>
        <v>0</v>
      </c>
      <c r="EA11" t="b">
        <f t="shared" si="98"/>
        <v>0</v>
      </c>
      <c r="EB11" t="b">
        <f t="shared" si="99"/>
        <v>0</v>
      </c>
      <c r="EC11" t="b">
        <f t="shared" si="100"/>
        <v>0</v>
      </c>
      <c r="ED11" t="b">
        <f t="shared" si="101"/>
        <v>0</v>
      </c>
      <c r="EE11" t="b">
        <f t="shared" si="102"/>
        <v>0</v>
      </c>
      <c r="EF11" t="b">
        <f t="shared" si="103"/>
        <v>0</v>
      </c>
      <c r="EG11" t="b">
        <f t="shared" si="104"/>
        <v>0</v>
      </c>
      <c r="EH11" t="b">
        <f t="shared" si="105"/>
        <v>0</v>
      </c>
      <c r="EI11" t="b">
        <f t="shared" si="106"/>
        <v>0</v>
      </c>
      <c r="EJ11" t="b">
        <f t="shared" si="107"/>
        <v>0</v>
      </c>
      <c r="EK11" t="b">
        <f t="shared" si="108"/>
        <v>0</v>
      </c>
    </row>
    <row r="12" spans="1:141">
      <c r="A12" t="s">
        <v>179</v>
      </c>
      <c r="B12" t="s">
        <v>179</v>
      </c>
      <c r="C12" t="s">
        <v>180</v>
      </c>
      <c r="D12" s="1">
        <v>42913</v>
      </c>
      <c r="E12" s="2">
        <v>43147.298263888886</v>
      </c>
      <c r="F12" s="2">
        <v>43702.369687500002</v>
      </c>
      <c r="G12">
        <v>17979961</v>
      </c>
      <c r="H12" t="s">
        <v>181</v>
      </c>
      <c r="I12" s="10" t="s">
        <v>182</v>
      </c>
      <c r="J12" t="s">
        <v>147</v>
      </c>
      <c r="K12" s="8" t="b">
        <v>1</v>
      </c>
      <c r="L12" s="10" t="b">
        <v>0</v>
      </c>
      <c r="M12" s="12" t="b">
        <v>0</v>
      </c>
      <c r="N12" t="b">
        <v>0</v>
      </c>
      <c r="O12" t="b">
        <v>0</v>
      </c>
      <c r="P12" t="b">
        <v>0</v>
      </c>
      <c r="Q12">
        <f t="shared" si="1"/>
        <v>3</v>
      </c>
      <c r="R12">
        <f t="shared" si="2"/>
        <v>6</v>
      </c>
      <c r="S12" t="e">
        <f t="shared" ca="1" si="109"/>
        <v>#NAME?</v>
      </c>
      <c r="T12" t="e">
        <f t="shared" ca="1" si="3"/>
        <v>#NAME?</v>
      </c>
      <c r="U12" s="4">
        <f t="shared" si="4"/>
        <v>234.29826388888614</v>
      </c>
      <c r="V12" s="4">
        <f t="shared" si="5"/>
        <v>7.8099421296295377</v>
      </c>
      <c r="W12" s="4">
        <f t="shared" si="6"/>
        <v>1</v>
      </c>
      <c r="X12" s="4">
        <f t="shared" si="7"/>
        <v>0</v>
      </c>
      <c r="Y12" s="4">
        <f t="shared" si="8"/>
        <v>0</v>
      </c>
      <c r="Z12" s="4">
        <f t="shared" si="9"/>
        <v>0</v>
      </c>
      <c r="AA12" s="4">
        <f t="shared" si="10"/>
        <v>0</v>
      </c>
      <c r="AB12" s="4">
        <f t="shared" si="11"/>
        <v>0</v>
      </c>
      <c r="AD12" s="4" t="b">
        <f t="shared" si="12"/>
        <v>0</v>
      </c>
      <c r="AE12" s="4" t="b">
        <f t="shared" si="13"/>
        <v>0</v>
      </c>
      <c r="AF12" s="4" t="b">
        <f t="shared" si="14"/>
        <v>0</v>
      </c>
      <c r="AG12" t="b">
        <f t="shared" si="15"/>
        <v>0</v>
      </c>
      <c r="AH12" t="b">
        <f t="shared" si="16"/>
        <v>0</v>
      </c>
      <c r="AI12" t="b">
        <f t="shared" si="17"/>
        <v>0</v>
      </c>
      <c r="AJ12" t="b">
        <f t="shared" si="18"/>
        <v>0</v>
      </c>
      <c r="AK12" t="b">
        <f t="shared" si="19"/>
        <v>0</v>
      </c>
      <c r="AL12" t="b">
        <f t="shared" si="20"/>
        <v>0</v>
      </c>
      <c r="AM12" t="b">
        <f t="shared" si="21"/>
        <v>0</v>
      </c>
      <c r="AN12" t="b">
        <f t="shared" si="22"/>
        <v>0</v>
      </c>
      <c r="AO12" t="b">
        <f t="shared" si="23"/>
        <v>0</v>
      </c>
      <c r="AP12" t="b">
        <f t="shared" si="24"/>
        <v>0</v>
      </c>
      <c r="AQ12" t="b">
        <f t="shared" si="25"/>
        <v>0</v>
      </c>
      <c r="AR12" t="b">
        <f t="shared" si="26"/>
        <v>0</v>
      </c>
      <c r="AS12" t="b">
        <f t="shared" si="27"/>
        <v>0</v>
      </c>
      <c r="AT12" t="b">
        <f t="shared" si="28"/>
        <v>0</v>
      </c>
      <c r="AU12" t="b">
        <f t="shared" si="29"/>
        <v>0</v>
      </c>
      <c r="AV12" t="b">
        <f t="shared" si="30"/>
        <v>0</v>
      </c>
      <c r="AW12" t="b">
        <f t="shared" si="31"/>
        <v>0</v>
      </c>
      <c r="AX12" t="b">
        <f t="shared" si="110"/>
        <v>0</v>
      </c>
      <c r="AY12" t="b">
        <f t="shared" si="111"/>
        <v>0</v>
      </c>
      <c r="AZ12" t="b">
        <f t="shared" si="112"/>
        <v>0</v>
      </c>
      <c r="BA12" t="b">
        <f t="shared" si="113"/>
        <v>0</v>
      </c>
      <c r="BB12" t="b">
        <f t="shared" si="114"/>
        <v>0</v>
      </c>
      <c r="BC12" t="b">
        <f t="shared" si="115"/>
        <v>0</v>
      </c>
      <c r="BD12" t="b">
        <f t="shared" si="116"/>
        <v>0</v>
      </c>
      <c r="BE12" t="b">
        <f t="shared" si="117"/>
        <v>0</v>
      </c>
      <c r="BF12" t="b">
        <f t="shared" si="118"/>
        <v>0</v>
      </c>
      <c r="BG12" t="b">
        <f t="shared" si="119"/>
        <v>0</v>
      </c>
      <c r="BH12" t="b">
        <f t="shared" si="120"/>
        <v>0</v>
      </c>
      <c r="BI12">
        <f t="shared" si="121"/>
        <v>1</v>
      </c>
      <c r="BJ12" t="b">
        <f t="shared" si="122"/>
        <v>0</v>
      </c>
      <c r="BK12" t="b">
        <f t="shared" si="123"/>
        <v>0</v>
      </c>
      <c r="BL12" t="b">
        <f t="shared" si="124"/>
        <v>0</v>
      </c>
      <c r="BM12" t="b">
        <f t="shared" si="32"/>
        <v>0</v>
      </c>
      <c r="BN12" t="b">
        <f t="shared" si="33"/>
        <v>0</v>
      </c>
      <c r="BO12" t="b">
        <f t="shared" si="34"/>
        <v>0</v>
      </c>
      <c r="BP12" t="b">
        <f t="shared" si="35"/>
        <v>0</v>
      </c>
      <c r="BQ12" t="b">
        <f t="shared" si="36"/>
        <v>0</v>
      </c>
      <c r="BR12" t="b">
        <f t="shared" si="37"/>
        <v>0</v>
      </c>
      <c r="BS12" t="b">
        <f t="shared" si="38"/>
        <v>0</v>
      </c>
      <c r="BT12" t="b">
        <f t="shared" si="39"/>
        <v>0</v>
      </c>
      <c r="BU12" t="b">
        <f t="shared" si="40"/>
        <v>0</v>
      </c>
      <c r="BV12" t="b">
        <f t="shared" si="41"/>
        <v>0</v>
      </c>
      <c r="BW12" t="b">
        <f t="shared" si="42"/>
        <v>0</v>
      </c>
      <c r="BX12" t="b">
        <f t="shared" si="43"/>
        <v>0</v>
      </c>
      <c r="BY12" t="b">
        <f t="shared" si="44"/>
        <v>0</v>
      </c>
      <c r="BZ12" t="b">
        <f t="shared" si="45"/>
        <v>0</v>
      </c>
      <c r="CA12" t="b">
        <f t="shared" si="46"/>
        <v>0</v>
      </c>
      <c r="CB12" t="b">
        <f t="shared" si="47"/>
        <v>0</v>
      </c>
      <c r="CC12" t="b">
        <f t="shared" si="48"/>
        <v>0</v>
      </c>
      <c r="CD12" t="b">
        <f t="shared" si="49"/>
        <v>0</v>
      </c>
      <c r="CE12" t="b">
        <f t="shared" si="50"/>
        <v>0</v>
      </c>
      <c r="CF12" t="b">
        <f t="shared" si="51"/>
        <v>0</v>
      </c>
      <c r="CG12" t="b">
        <f t="shared" si="52"/>
        <v>0</v>
      </c>
      <c r="CH12" t="b">
        <f t="shared" si="53"/>
        <v>0</v>
      </c>
      <c r="CI12" t="b">
        <f t="shared" si="54"/>
        <v>0</v>
      </c>
      <c r="CJ12" t="b">
        <f t="shared" si="55"/>
        <v>0</v>
      </c>
      <c r="CK12" t="b">
        <f t="shared" si="56"/>
        <v>0</v>
      </c>
      <c r="CL12" t="b">
        <f t="shared" si="57"/>
        <v>0</v>
      </c>
      <c r="CM12" t="b">
        <f t="shared" si="58"/>
        <v>0</v>
      </c>
      <c r="CN12" t="b">
        <f t="shared" si="59"/>
        <v>0</v>
      </c>
      <c r="CO12" t="b">
        <f t="shared" si="60"/>
        <v>0</v>
      </c>
      <c r="CP12" t="b">
        <f t="shared" si="61"/>
        <v>0</v>
      </c>
      <c r="CQ12" t="b">
        <f t="shared" si="62"/>
        <v>0</v>
      </c>
      <c r="CR12" t="b">
        <f t="shared" si="63"/>
        <v>0</v>
      </c>
      <c r="CS12" t="b">
        <f t="shared" si="64"/>
        <v>0</v>
      </c>
      <c r="CT12" t="b">
        <f t="shared" si="65"/>
        <v>0</v>
      </c>
      <c r="CU12" t="b">
        <f t="shared" si="66"/>
        <v>0</v>
      </c>
      <c r="CV12">
        <f t="shared" si="67"/>
        <v>1</v>
      </c>
      <c r="CW12" t="b">
        <f t="shared" si="68"/>
        <v>0</v>
      </c>
      <c r="CX12" t="b">
        <f t="shared" si="69"/>
        <v>0</v>
      </c>
      <c r="CY12" t="b">
        <f t="shared" si="70"/>
        <v>0</v>
      </c>
      <c r="CZ12" t="b">
        <f t="shared" si="71"/>
        <v>0</v>
      </c>
      <c r="DA12" t="b">
        <f t="shared" si="72"/>
        <v>0</v>
      </c>
      <c r="DB12" t="b">
        <f t="shared" si="73"/>
        <v>0</v>
      </c>
      <c r="DC12" t="b">
        <f t="shared" si="74"/>
        <v>0</v>
      </c>
      <c r="DD12" t="b">
        <f t="shared" si="75"/>
        <v>0</v>
      </c>
      <c r="DE12" t="b">
        <f t="shared" si="76"/>
        <v>0</v>
      </c>
      <c r="DF12" t="b">
        <f t="shared" si="77"/>
        <v>0</v>
      </c>
      <c r="DG12" t="b">
        <f t="shared" si="78"/>
        <v>0</v>
      </c>
      <c r="DH12" t="b">
        <f t="shared" si="79"/>
        <v>0</v>
      </c>
      <c r="DI12" t="b">
        <f t="shared" si="80"/>
        <v>0</v>
      </c>
      <c r="DJ12" t="b">
        <f t="shared" si="81"/>
        <v>0</v>
      </c>
      <c r="DK12" t="b">
        <f t="shared" si="82"/>
        <v>0</v>
      </c>
      <c r="DL12" t="b">
        <f t="shared" si="83"/>
        <v>0</v>
      </c>
      <c r="DM12" t="b">
        <f t="shared" si="84"/>
        <v>0</v>
      </c>
      <c r="DN12" t="b">
        <f t="shared" si="85"/>
        <v>0</v>
      </c>
      <c r="DO12" t="b">
        <f t="shared" si="86"/>
        <v>0</v>
      </c>
      <c r="DP12" t="b">
        <f t="shared" si="87"/>
        <v>0</v>
      </c>
      <c r="DQ12" t="b">
        <f t="shared" si="88"/>
        <v>0</v>
      </c>
      <c r="DR12" t="b">
        <f t="shared" si="89"/>
        <v>0</v>
      </c>
      <c r="DS12" t="b">
        <f t="shared" si="90"/>
        <v>0</v>
      </c>
      <c r="DT12" t="b">
        <f t="shared" si="91"/>
        <v>0</v>
      </c>
      <c r="DU12" t="b">
        <f t="shared" si="92"/>
        <v>0</v>
      </c>
      <c r="DV12" t="b">
        <f t="shared" si="93"/>
        <v>0</v>
      </c>
      <c r="DW12" t="b">
        <f t="shared" si="94"/>
        <v>0</v>
      </c>
      <c r="DX12" t="b">
        <f t="shared" si="95"/>
        <v>0</v>
      </c>
      <c r="DY12" t="b">
        <f t="shared" si="96"/>
        <v>0</v>
      </c>
      <c r="DZ12" t="b">
        <f t="shared" si="97"/>
        <v>0</v>
      </c>
      <c r="EA12" t="b">
        <f t="shared" si="98"/>
        <v>0</v>
      </c>
      <c r="EB12" t="b">
        <f t="shared" si="99"/>
        <v>0</v>
      </c>
      <c r="EC12" t="b">
        <f t="shared" si="100"/>
        <v>0</v>
      </c>
      <c r="ED12" t="b">
        <f t="shared" si="101"/>
        <v>0</v>
      </c>
      <c r="EE12" t="b">
        <f t="shared" si="102"/>
        <v>0</v>
      </c>
      <c r="EF12" t="b">
        <f t="shared" si="103"/>
        <v>0</v>
      </c>
      <c r="EG12" t="b">
        <f t="shared" si="104"/>
        <v>0</v>
      </c>
      <c r="EH12" t="b">
        <f t="shared" si="105"/>
        <v>0</v>
      </c>
      <c r="EI12" t="b">
        <f t="shared" si="106"/>
        <v>0</v>
      </c>
      <c r="EJ12" t="b">
        <f t="shared" si="107"/>
        <v>0</v>
      </c>
      <c r="EK12" t="b">
        <f t="shared" si="108"/>
        <v>0</v>
      </c>
    </row>
    <row r="13" spans="1:141">
      <c r="A13" t="s">
        <v>183</v>
      </c>
      <c r="B13" t="s">
        <v>184</v>
      </c>
      <c r="C13" t="s">
        <v>185</v>
      </c>
      <c r="D13" s="1">
        <v>44880</v>
      </c>
      <c r="E13" s="2">
        <v>44902.252974537034</v>
      </c>
      <c r="F13" s="2">
        <v>44906.517442129632</v>
      </c>
      <c r="G13">
        <v>919790</v>
      </c>
      <c r="H13" t="s">
        <v>186</v>
      </c>
      <c r="I13" s="10" t="s">
        <v>187</v>
      </c>
      <c r="J13" t="s">
        <v>188</v>
      </c>
      <c r="K13" s="8" t="b">
        <v>1</v>
      </c>
      <c r="L13" s="10" t="b">
        <v>0</v>
      </c>
      <c r="M13" s="12" t="b">
        <v>0</v>
      </c>
      <c r="N13" t="b">
        <v>0</v>
      </c>
      <c r="O13" t="b">
        <v>0</v>
      </c>
      <c r="P13" t="b">
        <v>0</v>
      </c>
      <c r="Q13">
        <f t="shared" si="1"/>
        <v>3</v>
      </c>
      <c r="R13">
        <f t="shared" si="2"/>
        <v>11</v>
      </c>
      <c r="S13" t="e">
        <f t="shared" ca="1" si="109"/>
        <v>#NAME?</v>
      </c>
      <c r="T13" t="e">
        <f t="shared" ca="1" si="3"/>
        <v>#NAME?</v>
      </c>
      <c r="U13" s="4">
        <f t="shared" si="4"/>
        <v>22.252974537033879</v>
      </c>
      <c r="V13" s="4">
        <f t="shared" si="5"/>
        <v>0.74176581790112928</v>
      </c>
      <c r="W13" s="4">
        <f t="shared" si="6"/>
        <v>1</v>
      </c>
      <c r="X13" s="4">
        <f t="shared" si="7"/>
        <v>0</v>
      </c>
      <c r="Y13" s="4">
        <f t="shared" si="8"/>
        <v>0</v>
      </c>
      <c r="Z13" s="4">
        <f t="shared" si="9"/>
        <v>0</v>
      </c>
      <c r="AA13" s="4">
        <f t="shared" si="10"/>
        <v>0</v>
      </c>
      <c r="AB13" s="4">
        <f t="shared" si="11"/>
        <v>0</v>
      </c>
      <c r="AD13" s="4" t="b">
        <f t="shared" si="12"/>
        <v>0</v>
      </c>
      <c r="AE13" s="4" t="b">
        <f t="shared" si="13"/>
        <v>0</v>
      </c>
      <c r="AF13" s="4" t="b">
        <f t="shared" si="14"/>
        <v>0</v>
      </c>
      <c r="AG13" t="b">
        <f t="shared" si="15"/>
        <v>0</v>
      </c>
      <c r="AH13" t="b">
        <f t="shared" si="16"/>
        <v>0</v>
      </c>
      <c r="AI13" t="b">
        <f t="shared" si="17"/>
        <v>0</v>
      </c>
      <c r="AJ13" t="b">
        <f t="shared" si="18"/>
        <v>0</v>
      </c>
      <c r="AK13" t="b">
        <f t="shared" si="19"/>
        <v>0</v>
      </c>
      <c r="AL13" t="b">
        <f t="shared" si="20"/>
        <v>0</v>
      </c>
      <c r="AM13" t="b">
        <f t="shared" si="21"/>
        <v>0</v>
      </c>
      <c r="AN13" t="b">
        <f t="shared" si="22"/>
        <v>0</v>
      </c>
      <c r="AO13" t="b">
        <f t="shared" si="23"/>
        <v>0</v>
      </c>
      <c r="AP13" t="b">
        <f t="shared" si="24"/>
        <v>0</v>
      </c>
      <c r="AQ13" t="b">
        <f t="shared" si="25"/>
        <v>0</v>
      </c>
      <c r="AR13" t="b">
        <f t="shared" si="26"/>
        <v>0</v>
      </c>
      <c r="AS13" t="b">
        <f t="shared" si="27"/>
        <v>0</v>
      </c>
      <c r="AT13" t="b">
        <f t="shared" si="28"/>
        <v>0</v>
      </c>
      <c r="AU13" t="b">
        <f t="shared" si="29"/>
        <v>0</v>
      </c>
      <c r="AV13" t="b">
        <f t="shared" si="30"/>
        <v>0</v>
      </c>
      <c r="AW13" t="b">
        <f t="shared" si="31"/>
        <v>0</v>
      </c>
      <c r="AX13" t="b">
        <f t="shared" si="110"/>
        <v>0</v>
      </c>
      <c r="AY13" t="b">
        <f t="shared" si="111"/>
        <v>0</v>
      </c>
      <c r="AZ13" t="b">
        <f t="shared" si="112"/>
        <v>0</v>
      </c>
      <c r="BA13" t="b">
        <f t="shared" si="113"/>
        <v>0</v>
      </c>
      <c r="BB13" t="b">
        <f t="shared" si="114"/>
        <v>0</v>
      </c>
      <c r="BC13" t="b">
        <f t="shared" si="115"/>
        <v>0</v>
      </c>
      <c r="BD13" t="b">
        <f t="shared" si="116"/>
        <v>0</v>
      </c>
      <c r="BE13" t="b">
        <f t="shared" si="117"/>
        <v>0</v>
      </c>
      <c r="BF13" t="b">
        <f t="shared" si="118"/>
        <v>0</v>
      </c>
      <c r="BG13" t="b">
        <f t="shared" si="119"/>
        <v>0</v>
      </c>
      <c r="BH13" t="b">
        <f t="shared" si="120"/>
        <v>0</v>
      </c>
      <c r="BI13">
        <f t="shared" si="121"/>
        <v>1</v>
      </c>
      <c r="BJ13" t="b">
        <f t="shared" si="122"/>
        <v>0</v>
      </c>
      <c r="BK13" t="b">
        <f t="shared" si="123"/>
        <v>0</v>
      </c>
      <c r="BL13" t="b">
        <f t="shared" si="124"/>
        <v>0</v>
      </c>
      <c r="BM13" t="b">
        <f t="shared" si="32"/>
        <v>0</v>
      </c>
      <c r="BN13" t="b">
        <f t="shared" si="33"/>
        <v>0</v>
      </c>
      <c r="BO13" t="b">
        <f t="shared" si="34"/>
        <v>0</v>
      </c>
      <c r="BP13" t="b">
        <f t="shared" si="35"/>
        <v>0</v>
      </c>
      <c r="BQ13" t="b">
        <f t="shared" si="36"/>
        <v>0</v>
      </c>
      <c r="BR13" t="b">
        <f t="shared" si="37"/>
        <v>0</v>
      </c>
      <c r="BS13" t="b">
        <f t="shared" si="38"/>
        <v>0</v>
      </c>
      <c r="BT13" t="b">
        <f t="shared" si="39"/>
        <v>0</v>
      </c>
      <c r="BU13" t="b">
        <f t="shared" si="40"/>
        <v>0</v>
      </c>
      <c r="BV13" t="b">
        <f t="shared" si="41"/>
        <v>0</v>
      </c>
      <c r="BW13" t="b">
        <f t="shared" si="42"/>
        <v>0</v>
      </c>
      <c r="BX13" t="b">
        <f t="shared" si="43"/>
        <v>0</v>
      </c>
      <c r="BY13" t="b">
        <f t="shared" si="44"/>
        <v>0</v>
      </c>
      <c r="BZ13" t="b">
        <f t="shared" si="45"/>
        <v>0</v>
      </c>
      <c r="CA13" t="b">
        <f t="shared" si="46"/>
        <v>0</v>
      </c>
      <c r="CB13" t="b">
        <f t="shared" si="47"/>
        <v>0</v>
      </c>
      <c r="CC13" t="b">
        <f t="shared" si="48"/>
        <v>0</v>
      </c>
      <c r="CD13" t="b">
        <f t="shared" si="49"/>
        <v>0</v>
      </c>
      <c r="CE13">
        <f t="shared" si="50"/>
        <v>1</v>
      </c>
      <c r="CF13" t="b">
        <f t="shared" si="51"/>
        <v>0</v>
      </c>
      <c r="CG13" t="b">
        <f t="shared" si="52"/>
        <v>0</v>
      </c>
      <c r="CH13" t="b">
        <f t="shared" si="53"/>
        <v>0</v>
      </c>
      <c r="CI13" t="b">
        <f t="shared" si="54"/>
        <v>0</v>
      </c>
      <c r="CJ13" t="b">
        <f t="shared" si="55"/>
        <v>0</v>
      </c>
      <c r="CK13" t="b">
        <f t="shared" si="56"/>
        <v>0</v>
      </c>
      <c r="CL13" t="b">
        <f t="shared" si="57"/>
        <v>0</v>
      </c>
      <c r="CM13" t="b">
        <f t="shared" si="58"/>
        <v>0</v>
      </c>
      <c r="CN13" t="b">
        <f t="shared" si="59"/>
        <v>0</v>
      </c>
      <c r="CO13" t="b">
        <f t="shared" si="60"/>
        <v>0</v>
      </c>
      <c r="CP13" t="b">
        <f t="shared" si="61"/>
        <v>0</v>
      </c>
      <c r="CQ13" t="b">
        <f t="shared" si="62"/>
        <v>0</v>
      </c>
      <c r="CR13" t="b">
        <f t="shared" si="63"/>
        <v>0</v>
      </c>
      <c r="CS13" t="b">
        <f t="shared" si="64"/>
        <v>0</v>
      </c>
      <c r="CT13" t="b">
        <f t="shared" si="65"/>
        <v>0</v>
      </c>
      <c r="CU13" t="b">
        <f t="shared" si="66"/>
        <v>0</v>
      </c>
      <c r="CV13">
        <f t="shared" si="67"/>
        <v>1</v>
      </c>
      <c r="CW13" t="b">
        <f t="shared" si="68"/>
        <v>0</v>
      </c>
      <c r="CX13" t="b">
        <f t="shared" si="69"/>
        <v>0</v>
      </c>
      <c r="CY13" t="b">
        <f t="shared" si="70"/>
        <v>0</v>
      </c>
      <c r="CZ13" t="b">
        <f t="shared" si="71"/>
        <v>0</v>
      </c>
      <c r="DA13" t="b">
        <f t="shared" si="72"/>
        <v>0</v>
      </c>
      <c r="DB13" t="b">
        <f t="shared" si="73"/>
        <v>0</v>
      </c>
      <c r="DC13" t="b">
        <f t="shared" si="74"/>
        <v>0</v>
      </c>
      <c r="DD13" t="b">
        <f t="shared" si="75"/>
        <v>0</v>
      </c>
      <c r="DE13" t="b">
        <f t="shared" si="76"/>
        <v>0</v>
      </c>
      <c r="DF13" t="b">
        <f t="shared" si="77"/>
        <v>0</v>
      </c>
      <c r="DG13" t="b">
        <f t="shared" si="78"/>
        <v>0</v>
      </c>
      <c r="DH13" t="b">
        <f t="shared" si="79"/>
        <v>0</v>
      </c>
      <c r="DI13" t="b">
        <f t="shared" si="80"/>
        <v>0</v>
      </c>
      <c r="DJ13" t="b">
        <f t="shared" si="81"/>
        <v>0</v>
      </c>
      <c r="DK13" t="b">
        <f t="shared" si="82"/>
        <v>0</v>
      </c>
      <c r="DL13" t="b">
        <f t="shared" si="83"/>
        <v>0</v>
      </c>
      <c r="DM13" t="b">
        <f t="shared" si="84"/>
        <v>0</v>
      </c>
      <c r="DN13" t="b">
        <f t="shared" si="85"/>
        <v>0</v>
      </c>
      <c r="DO13" t="b">
        <f t="shared" si="86"/>
        <v>0</v>
      </c>
      <c r="DP13" t="b">
        <f t="shared" si="87"/>
        <v>0</v>
      </c>
      <c r="DQ13" t="b">
        <f t="shared" si="88"/>
        <v>0</v>
      </c>
      <c r="DR13" t="b">
        <f t="shared" si="89"/>
        <v>0</v>
      </c>
      <c r="DS13" t="b">
        <f t="shared" si="90"/>
        <v>0</v>
      </c>
      <c r="DT13" t="b">
        <f t="shared" si="91"/>
        <v>0</v>
      </c>
      <c r="DU13" t="b">
        <f t="shared" si="92"/>
        <v>0</v>
      </c>
      <c r="DV13" t="b">
        <f t="shared" si="93"/>
        <v>0</v>
      </c>
      <c r="DW13" t="b">
        <f t="shared" si="94"/>
        <v>0</v>
      </c>
      <c r="DX13" t="b">
        <f t="shared" si="95"/>
        <v>0</v>
      </c>
      <c r="DY13" t="b">
        <f t="shared" si="96"/>
        <v>0</v>
      </c>
      <c r="DZ13" t="b">
        <f t="shared" si="97"/>
        <v>0</v>
      </c>
      <c r="EA13" t="b">
        <f t="shared" si="98"/>
        <v>0</v>
      </c>
      <c r="EB13" t="b">
        <f t="shared" si="99"/>
        <v>0</v>
      </c>
      <c r="EC13" t="b">
        <f t="shared" si="100"/>
        <v>0</v>
      </c>
      <c r="ED13" t="b">
        <f t="shared" si="101"/>
        <v>0</v>
      </c>
      <c r="EE13" t="b">
        <f t="shared" si="102"/>
        <v>0</v>
      </c>
      <c r="EF13">
        <f t="shared" si="103"/>
        <v>1</v>
      </c>
      <c r="EG13" t="b">
        <f t="shared" si="104"/>
        <v>0</v>
      </c>
      <c r="EH13" t="b">
        <f t="shared" si="105"/>
        <v>0</v>
      </c>
      <c r="EI13" t="b">
        <f t="shared" si="106"/>
        <v>0</v>
      </c>
      <c r="EJ13" t="b">
        <f t="shared" si="107"/>
        <v>0</v>
      </c>
      <c r="EK13" t="b">
        <f t="shared" si="108"/>
        <v>0</v>
      </c>
    </row>
    <row r="14" spans="1:141">
      <c r="A14" t="s">
        <v>189</v>
      </c>
      <c r="B14" t="s">
        <v>190</v>
      </c>
      <c r="C14" t="s">
        <v>191</v>
      </c>
      <c r="D14" s="1">
        <v>42552</v>
      </c>
      <c r="E14" s="2">
        <v>43017.464409722219</v>
      </c>
      <c r="F14" s="2">
        <v>43017.464409722219</v>
      </c>
      <c r="G14">
        <v>1372550</v>
      </c>
      <c r="H14" t="s">
        <v>192</v>
      </c>
      <c r="I14" s="10" t="s">
        <v>193</v>
      </c>
      <c r="J14" t="s">
        <v>188</v>
      </c>
      <c r="K14" s="8" t="b">
        <v>1</v>
      </c>
      <c r="L14" s="10" t="b">
        <v>0</v>
      </c>
      <c r="M14" s="12" t="b">
        <v>0</v>
      </c>
      <c r="N14" t="b">
        <v>0</v>
      </c>
      <c r="O14" t="b">
        <v>0</v>
      </c>
      <c r="P14" t="b">
        <v>0</v>
      </c>
      <c r="Q14">
        <f t="shared" si="1"/>
        <v>6</v>
      </c>
      <c r="R14">
        <f t="shared" si="2"/>
        <v>7</v>
      </c>
      <c r="S14" t="e">
        <f t="shared" ca="1" si="109"/>
        <v>#NAME?</v>
      </c>
      <c r="T14" t="e">
        <f t="shared" ca="1" si="3"/>
        <v>#NAME?</v>
      </c>
      <c r="U14" s="4">
        <f t="shared" si="4"/>
        <v>465.46440972221899</v>
      </c>
      <c r="V14" s="4">
        <f t="shared" si="5"/>
        <v>15.515480324073966</v>
      </c>
      <c r="W14" s="4">
        <f t="shared" si="6"/>
        <v>1</v>
      </c>
      <c r="X14" s="4">
        <f t="shared" si="7"/>
        <v>0</v>
      </c>
      <c r="Y14" s="4">
        <f t="shared" si="8"/>
        <v>0</v>
      </c>
      <c r="Z14" s="4">
        <f t="shared" si="9"/>
        <v>0</v>
      </c>
      <c r="AA14" s="4">
        <f t="shared" si="10"/>
        <v>0</v>
      </c>
      <c r="AB14" s="4">
        <f t="shared" si="11"/>
        <v>0</v>
      </c>
      <c r="AD14" s="4" t="b">
        <f t="shared" si="12"/>
        <v>0</v>
      </c>
      <c r="AE14" s="4" t="b">
        <f t="shared" si="13"/>
        <v>0</v>
      </c>
      <c r="AF14" s="4" t="b">
        <f t="shared" si="14"/>
        <v>0</v>
      </c>
      <c r="AG14" t="b">
        <f t="shared" si="15"/>
        <v>0</v>
      </c>
      <c r="AH14" t="b">
        <f t="shared" si="16"/>
        <v>0</v>
      </c>
      <c r="AI14" t="b">
        <f t="shared" si="17"/>
        <v>0</v>
      </c>
      <c r="AJ14" t="b">
        <f t="shared" si="18"/>
        <v>0</v>
      </c>
      <c r="AK14" t="b">
        <f t="shared" si="19"/>
        <v>0</v>
      </c>
      <c r="AL14" t="b">
        <f t="shared" si="20"/>
        <v>0</v>
      </c>
      <c r="AM14" t="b">
        <f t="shared" si="21"/>
        <v>0</v>
      </c>
      <c r="AN14" t="b">
        <f t="shared" si="22"/>
        <v>0</v>
      </c>
      <c r="AO14" t="b">
        <f t="shared" si="23"/>
        <v>0</v>
      </c>
      <c r="AP14" t="b">
        <f t="shared" si="24"/>
        <v>0</v>
      </c>
      <c r="AQ14" t="b">
        <f t="shared" si="25"/>
        <v>0</v>
      </c>
      <c r="AR14" t="b">
        <f t="shared" si="26"/>
        <v>0</v>
      </c>
      <c r="AS14" t="b">
        <f t="shared" si="27"/>
        <v>0</v>
      </c>
      <c r="AT14" t="b">
        <f t="shared" si="28"/>
        <v>0</v>
      </c>
      <c r="AU14" t="b">
        <f t="shared" si="29"/>
        <v>0</v>
      </c>
      <c r="AV14" t="b">
        <f t="shared" si="30"/>
        <v>0</v>
      </c>
      <c r="AW14" t="b">
        <f t="shared" si="31"/>
        <v>0</v>
      </c>
      <c r="AX14" t="b">
        <f t="shared" si="110"/>
        <v>0</v>
      </c>
      <c r="AY14" t="b">
        <f t="shared" si="111"/>
        <v>0</v>
      </c>
      <c r="AZ14" t="b">
        <f t="shared" si="112"/>
        <v>0</v>
      </c>
      <c r="BA14" t="b">
        <f t="shared" si="113"/>
        <v>0</v>
      </c>
      <c r="BB14" t="b">
        <f t="shared" si="114"/>
        <v>0</v>
      </c>
      <c r="BC14" t="b">
        <f t="shared" si="115"/>
        <v>0</v>
      </c>
      <c r="BD14" t="b">
        <f t="shared" si="116"/>
        <v>0</v>
      </c>
      <c r="BE14" t="b">
        <f t="shared" si="117"/>
        <v>0</v>
      </c>
      <c r="BF14" t="b">
        <f t="shared" si="118"/>
        <v>0</v>
      </c>
      <c r="BG14" t="b">
        <f t="shared" si="119"/>
        <v>0</v>
      </c>
      <c r="BH14" t="b">
        <f t="shared" si="120"/>
        <v>0</v>
      </c>
      <c r="BI14">
        <f t="shared" si="121"/>
        <v>1</v>
      </c>
      <c r="BJ14" t="b">
        <f t="shared" si="122"/>
        <v>0</v>
      </c>
      <c r="BK14" t="b">
        <f t="shared" si="123"/>
        <v>0</v>
      </c>
      <c r="BL14" t="b">
        <f t="shared" si="124"/>
        <v>0</v>
      </c>
      <c r="BM14" t="b">
        <f t="shared" si="32"/>
        <v>0</v>
      </c>
      <c r="BN14" t="b">
        <f t="shared" si="33"/>
        <v>0</v>
      </c>
      <c r="BO14" t="b">
        <f t="shared" si="34"/>
        <v>0</v>
      </c>
      <c r="BP14" t="b">
        <f t="shared" si="35"/>
        <v>0</v>
      </c>
      <c r="BQ14" t="b">
        <f t="shared" si="36"/>
        <v>0</v>
      </c>
      <c r="BR14" t="b">
        <f t="shared" si="37"/>
        <v>0</v>
      </c>
      <c r="BS14" t="b">
        <f t="shared" si="38"/>
        <v>0</v>
      </c>
      <c r="BT14" t="b">
        <f t="shared" si="39"/>
        <v>0</v>
      </c>
      <c r="BU14" t="b">
        <f t="shared" si="40"/>
        <v>0</v>
      </c>
      <c r="BV14" t="b">
        <f t="shared" si="41"/>
        <v>0</v>
      </c>
      <c r="BW14" t="b">
        <f t="shared" si="42"/>
        <v>0</v>
      </c>
      <c r="BX14" t="b">
        <f t="shared" si="43"/>
        <v>0</v>
      </c>
      <c r="BY14" t="b">
        <f t="shared" si="44"/>
        <v>0</v>
      </c>
      <c r="BZ14" t="b">
        <f t="shared" si="45"/>
        <v>0</v>
      </c>
      <c r="CA14" t="b">
        <f t="shared" si="46"/>
        <v>0</v>
      </c>
      <c r="CB14" t="b">
        <f t="shared" si="47"/>
        <v>0</v>
      </c>
      <c r="CC14" t="b">
        <f t="shared" si="48"/>
        <v>0</v>
      </c>
      <c r="CD14" t="b">
        <f t="shared" si="49"/>
        <v>0</v>
      </c>
      <c r="CE14">
        <f t="shared" si="50"/>
        <v>1</v>
      </c>
      <c r="CF14" t="b">
        <f t="shared" si="51"/>
        <v>0</v>
      </c>
      <c r="CG14" t="b">
        <f t="shared" si="52"/>
        <v>0</v>
      </c>
      <c r="CH14" t="b">
        <f t="shared" si="53"/>
        <v>0</v>
      </c>
      <c r="CI14" t="b">
        <f t="shared" si="54"/>
        <v>0</v>
      </c>
      <c r="CJ14" t="b">
        <f t="shared" si="55"/>
        <v>0</v>
      </c>
      <c r="CK14" t="b">
        <f t="shared" si="56"/>
        <v>0</v>
      </c>
      <c r="CL14" t="b">
        <f t="shared" si="57"/>
        <v>0</v>
      </c>
      <c r="CM14" t="b">
        <f t="shared" si="58"/>
        <v>0</v>
      </c>
      <c r="CN14" t="b">
        <f t="shared" si="59"/>
        <v>0</v>
      </c>
      <c r="CO14" t="b">
        <f t="shared" si="60"/>
        <v>0</v>
      </c>
      <c r="CP14" t="b">
        <f t="shared" si="61"/>
        <v>0</v>
      </c>
      <c r="CQ14" t="b">
        <f t="shared" si="62"/>
        <v>0</v>
      </c>
      <c r="CR14" t="b">
        <f t="shared" si="63"/>
        <v>0</v>
      </c>
      <c r="CS14" t="b">
        <f t="shared" si="64"/>
        <v>0</v>
      </c>
      <c r="CT14" t="b">
        <f t="shared" si="65"/>
        <v>0</v>
      </c>
      <c r="CU14" t="b">
        <f t="shared" si="66"/>
        <v>0</v>
      </c>
      <c r="CV14">
        <f t="shared" si="67"/>
        <v>1</v>
      </c>
      <c r="CW14" t="b">
        <f t="shared" si="68"/>
        <v>0</v>
      </c>
      <c r="CX14" t="b">
        <f t="shared" si="69"/>
        <v>0</v>
      </c>
      <c r="CY14" t="b">
        <f t="shared" si="70"/>
        <v>0</v>
      </c>
      <c r="CZ14" t="b">
        <f t="shared" si="71"/>
        <v>0</v>
      </c>
      <c r="DA14" t="b">
        <f t="shared" si="72"/>
        <v>0</v>
      </c>
      <c r="DB14" t="b">
        <f t="shared" si="73"/>
        <v>0</v>
      </c>
      <c r="DC14" t="b">
        <f t="shared" si="74"/>
        <v>0</v>
      </c>
      <c r="DD14" t="b">
        <f t="shared" si="75"/>
        <v>0</v>
      </c>
      <c r="DE14" t="b">
        <f t="shared" si="76"/>
        <v>0</v>
      </c>
      <c r="DF14" t="b">
        <f t="shared" si="77"/>
        <v>0</v>
      </c>
      <c r="DG14" t="b">
        <f t="shared" si="78"/>
        <v>0</v>
      </c>
      <c r="DH14" t="b">
        <f t="shared" si="79"/>
        <v>0</v>
      </c>
      <c r="DI14" t="b">
        <f t="shared" si="80"/>
        <v>0</v>
      </c>
      <c r="DJ14" t="b">
        <f t="shared" si="81"/>
        <v>0</v>
      </c>
      <c r="DK14" t="b">
        <f t="shared" si="82"/>
        <v>0</v>
      </c>
      <c r="DL14" t="b">
        <f t="shared" si="83"/>
        <v>0</v>
      </c>
      <c r="DM14" t="b">
        <f t="shared" si="84"/>
        <v>0</v>
      </c>
      <c r="DN14" t="b">
        <f t="shared" si="85"/>
        <v>0</v>
      </c>
      <c r="DO14" t="b">
        <f t="shared" si="86"/>
        <v>0</v>
      </c>
      <c r="DP14" t="b">
        <f t="shared" si="87"/>
        <v>0</v>
      </c>
      <c r="DQ14" t="b">
        <f t="shared" si="88"/>
        <v>0</v>
      </c>
      <c r="DR14" t="b">
        <f t="shared" si="89"/>
        <v>0</v>
      </c>
      <c r="DS14" t="b">
        <f t="shared" si="90"/>
        <v>0</v>
      </c>
      <c r="DT14" t="b">
        <f t="shared" si="91"/>
        <v>0</v>
      </c>
      <c r="DU14" t="b">
        <f t="shared" si="92"/>
        <v>0</v>
      </c>
      <c r="DV14" t="b">
        <f t="shared" si="93"/>
        <v>0</v>
      </c>
      <c r="DW14" t="b">
        <f t="shared" si="94"/>
        <v>0</v>
      </c>
      <c r="DX14" t="b">
        <f t="shared" si="95"/>
        <v>0</v>
      </c>
      <c r="DY14" t="b">
        <f t="shared" si="96"/>
        <v>0</v>
      </c>
      <c r="DZ14" t="b">
        <f t="shared" si="97"/>
        <v>0</v>
      </c>
      <c r="EA14" t="b">
        <f t="shared" si="98"/>
        <v>0</v>
      </c>
      <c r="EB14" t="b">
        <f t="shared" si="99"/>
        <v>0</v>
      </c>
      <c r="EC14" t="b">
        <f t="shared" si="100"/>
        <v>0</v>
      </c>
      <c r="ED14" t="b">
        <f t="shared" si="101"/>
        <v>0</v>
      </c>
      <c r="EE14" t="b">
        <f t="shared" si="102"/>
        <v>0</v>
      </c>
      <c r="EF14">
        <f t="shared" si="103"/>
        <v>1</v>
      </c>
      <c r="EG14" t="b">
        <f t="shared" si="104"/>
        <v>0</v>
      </c>
      <c r="EH14" t="b">
        <f t="shared" si="105"/>
        <v>0</v>
      </c>
      <c r="EI14" t="b">
        <f t="shared" si="106"/>
        <v>0</v>
      </c>
      <c r="EJ14" t="b">
        <f t="shared" si="107"/>
        <v>0</v>
      </c>
      <c r="EK14" t="b">
        <f t="shared" si="108"/>
        <v>0</v>
      </c>
    </row>
    <row r="15" spans="1:141">
      <c r="A15" t="s">
        <v>194</v>
      </c>
      <c r="B15" t="s">
        <v>195</v>
      </c>
      <c r="C15" t="s">
        <v>196</v>
      </c>
      <c r="D15" s="1">
        <v>41968</v>
      </c>
      <c r="E15" s="2">
        <v>42435.46366898148</v>
      </c>
      <c r="F15" s="2">
        <v>42435.46366898148</v>
      </c>
      <c r="G15">
        <v>432943</v>
      </c>
      <c r="H15" t="s">
        <v>197</v>
      </c>
      <c r="I15" s="10" t="s">
        <v>198</v>
      </c>
      <c r="J15" t="s">
        <v>199</v>
      </c>
      <c r="K15" s="8" t="b">
        <v>1</v>
      </c>
      <c r="L15" s="10" t="b">
        <v>0</v>
      </c>
      <c r="M15" s="12" t="b">
        <v>0</v>
      </c>
      <c r="N15" t="b">
        <v>0</v>
      </c>
      <c r="O15" t="b">
        <v>0</v>
      </c>
      <c r="P15" t="b">
        <v>0</v>
      </c>
      <c r="Q15">
        <f t="shared" si="1"/>
        <v>3</v>
      </c>
      <c r="R15">
        <f t="shared" si="2"/>
        <v>11</v>
      </c>
      <c r="S15" t="e">
        <f t="shared" ca="1" si="109"/>
        <v>#NAME?</v>
      </c>
      <c r="T15" t="e">
        <f t="shared" ca="1" si="3"/>
        <v>#NAME?</v>
      </c>
      <c r="U15" s="4">
        <f t="shared" si="4"/>
        <v>467.46366898147971</v>
      </c>
      <c r="V15" s="4">
        <f t="shared" si="5"/>
        <v>15.582122299382657</v>
      </c>
      <c r="W15" s="4">
        <f t="shared" si="6"/>
        <v>1</v>
      </c>
      <c r="X15" s="4">
        <f t="shared" si="7"/>
        <v>0</v>
      </c>
      <c r="Y15" s="4">
        <f t="shared" si="8"/>
        <v>0</v>
      </c>
      <c r="Z15" s="4">
        <f t="shared" si="9"/>
        <v>0</v>
      </c>
      <c r="AA15" s="4">
        <f t="shared" si="10"/>
        <v>0</v>
      </c>
      <c r="AB15" s="4">
        <f t="shared" si="11"/>
        <v>0</v>
      </c>
      <c r="AD15" s="4" t="b">
        <f t="shared" si="12"/>
        <v>0</v>
      </c>
      <c r="AE15" s="4" t="b">
        <f t="shared" si="13"/>
        <v>0</v>
      </c>
      <c r="AF15" s="4" t="b">
        <f t="shared" si="14"/>
        <v>0</v>
      </c>
      <c r="AG15" t="b">
        <f t="shared" si="15"/>
        <v>0</v>
      </c>
      <c r="AH15" t="b">
        <f t="shared" si="16"/>
        <v>0</v>
      </c>
      <c r="AI15" t="b">
        <f t="shared" si="17"/>
        <v>0</v>
      </c>
      <c r="AJ15" t="b">
        <f t="shared" si="18"/>
        <v>0</v>
      </c>
      <c r="AK15" t="b">
        <f t="shared" si="19"/>
        <v>0</v>
      </c>
      <c r="AL15" t="b">
        <f t="shared" si="20"/>
        <v>0</v>
      </c>
      <c r="AM15" t="b">
        <f t="shared" si="21"/>
        <v>0</v>
      </c>
      <c r="AN15" t="b">
        <f t="shared" si="22"/>
        <v>0</v>
      </c>
      <c r="AO15" t="b">
        <f t="shared" si="23"/>
        <v>0</v>
      </c>
      <c r="AP15" t="b">
        <f t="shared" si="24"/>
        <v>0</v>
      </c>
      <c r="AQ15" t="b">
        <f t="shared" si="25"/>
        <v>0</v>
      </c>
      <c r="AR15" t="b">
        <f t="shared" si="26"/>
        <v>0</v>
      </c>
      <c r="AS15" t="b">
        <f t="shared" si="27"/>
        <v>0</v>
      </c>
      <c r="AT15" t="b">
        <f t="shared" si="28"/>
        <v>0</v>
      </c>
      <c r="AU15" t="b">
        <f t="shared" si="29"/>
        <v>0</v>
      </c>
      <c r="AV15" t="b">
        <f t="shared" si="30"/>
        <v>0</v>
      </c>
      <c r="AW15" t="b">
        <f t="shared" si="31"/>
        <v>0</v>
      </c>
      <c r="AX15" t="b">
        <f t="shared" si="110"/>
        <v>0</v>
      </c>
      <c r="AY15" t="b">
        <f t="shared" si="111"/>
        <v>0</v>
      </c>
      <c r="AZ15">
        <f t="shared" si="112"/>
        <v>1</v>
      </c>
      <c r="BA15" t="b">
        <f t="shared" si="113"/>
        <v>0</v>
      </c>
      <c r="BB15" t="b">
        <f t="shared" si="114"/>
        <v>0</v>
      </c>
      <c r="BC15" t="b">
        <f t="shared" si="115"/>
        <v>0</v>
      </c>
      <c r="BD15" t="b">
        <f t="shared" si="116"/>
        <v>0</v>
      </c>
      <c r="BE15" t="b">
        <f t="shared" si="117"/>
        <v>0</v>
      </c>
      <c r="BF15" t="b">
        <f t="shared" si="118"/>
        <v>0</v>
      </c>
      <c r="BG15" t="b">
        <f t="shared" si="119"/>
        <v>0</v>
      </c>
      <c r="BH15" t="b">
        <f t="shared" si="120"/>
        <v>0</v>
      </c>
      <c r="BI15">
        <f t="shared" si="121"/>
        <v>1</v>
      </c>
      <c r="BJ15" t="b">
        <f t="shared" si="122"/>
        <v>0</v>
      </c>
      <c r="BK15" t="b">
        <f t="shared" si="123"/>
        <v>0</v>
      </c>
      <c r="BL15" t="b">
        <f t="shared" si="124"/>
        <v>0</v>
      </c>
      <c r="BM15" t="b">
        <f t="shared" si="32"/>
        <v>0</v>
      </c>
      <c r="BN15" t="b">
        <f t="shared" si="33"/>
        <v>0</v>
      </c>
      <c r="BO15" t="b">
        <f t="shared" si="34"/>
        <v>0</v>
      </c>
      <c r="BP15" t="b">
        <f t="shared" si="35"/>
        <v>0</v>
      </c>
      <c r="BQ15" t="b">
        <f t="shared" si="36"/>
        <v>0</v>
      </c>
      <c r="BR15" t="b">
        <f t="shared" si="37"/>
        <v>0</v>
      </c>
      <c r="BS15" t="b">
        <f t="shared" si="38"/>
        <v>0</v>
      </c>
      <c r="BT15" t="b">
        <f t="shared" si="39"/>
        <v>0</v>
      </c>
      <c r="BU15" t="b">
        <f t="shared" si="40"/>
        <v>0</v>
      </c>
      <c r="BV15" t="b">
        <f t="shared" si="41"/>
        <v>0</v>
      </c>
      <c r="BW15" t="b">
        <f t="shared" si="42"/>
        <v>0</v>
      </c>
      <c r="BX15" t="b">
        <f t="shared" si="43"/>
        <v>0</v>
      </c>
      <c r="BY15" t="b">
        <f t="shared" si="44"/>
        <v>0</v>
      </c>
      <c r="BZ15" t="b">
        <f t="shared" si="45"/>
        <v>0</v>
      </c>
      <c r="CA15" t="b">
        <f t="shared" si="46"/>
        <v>0</v>
      </c>
      <c r="CB15" t="b">
        <f t="shared" si="47"/>
        <v>0</v>
      </c>
      <c r="CC15" t="b">
        <f t="shared" si="48"/>
        <v>0</v>
      </c>
      <c r="CD15" t="b">
        <f t="shared" si="49"/>
        <v>0</v>
      </c>
      <c r="CE15">
        <f t="shared" si="50"/>
        <v>1</v>
      </c>
      <c r="CF15" t="b">
        <f t="shared" si="51"/>
        <v>0</v>
      </c>
      <c r="CG15" t="b">
        <f t="shared" si="52"/>
        <v>0</v>
      </c>
      <c r="CH15" t="b">
        <f t="shared" si="53"/>
        <v>0</v>
      </c>
      <c r="CI15" t="b">
        <f t="shared" si="54"/>
        <v>0</v>
      </c>
      <c r="CJ15" t="b">
        <f t="shared" si="55"/>
        <v>0</v>
      </c>
      <c r="CK15" t="b">
        <f t="shared" si="56"/>
        <v>0</v>
      </c>
      <c r="CL15" t="b">
        <f t="shared" si="57"/>
        <v>0</v>
      </c>
      <c r="CM15" t="b">
        <f t="shared" si="58"/>
        <v>0</v>
      </c>
      <c r="CN15" t="b">
        <f t="shared" si="59"/>
        <v>0</v>
      </c>
      <c r="CO15" t="b">
        <f t="shared" si="60"/>
        <v>0</v>
      </c>
      <c r="CP15" t="b">
        <f t="shared" si="61"/>
        <v>0</v>
      </c>
      <c r="CQ15" t="b">
        <f t="shared" si="62"/>
        <v>0</v>
      </c>
      <c r="CR15" t="b">
        <f t="shared" si="63"/>
        <v>0</v>
      </c>
      <c r="CS15" t="b">
        <f t="shared" si="64"/>
        <v>0</v>
      </c>
      <c r="CT15" t="b">
        <f t="shared" si="65"/>
        <v>0</v>
      </c>
      <c r="CU15" t="b">
        <f t="shared" si="66"/>
        <v>0</v>
      </c>
      <c r="CV15">
        <f t="shared" si="67"/>
        <v>1</v>
      </c>
      <c r="CW15" t="b">
        <f t="shared" si="68"/>
        <v>0</v>
      </c>
      <c r="CX15" t="b">
        <f t="shared" si="69"/>
        <v>0</v>
      </c>
      <c r="CY15" t="b">
        <f t="shared" si="70"/>
        <v>0</v>
      </c>
      <c r="CZ15" t="b">
        <f t="shared" si="71"/>
        <v>0</v>
      </c>
      <c r="DA15" t="b">
        <f t="shared" si="72"/>
        <v>0</v>
      </c>
      <c r="DB15" t="b">
        <f t="shared" si="73"/>
        <v>0</v>
      </c>
      <c r="DC15" t="b">
        <f t="shared" si="74"/>
        <v>0</v>
      </c>
      <c r="DD15" t="b">
        <f t="shared" si="75"/>
        <v>0</v>
      </c>
      <c r="DE15" t="b">
        <f t="shared" si="76"/>
        <v>0</v>
      </c>
      <c r="DF15" t="b">
        <f t="shared" si="77"/>
        <v>0</v>
      </c>
      <c r="DG15" t="b">
        <f t="shared" si="78"/>
        <v>0</v>
      </c>
      <c r="DH15" t="b">
        <f t="shared" si="79"/>
        <v>0</v>
      </c>
      <c r="DI15" t="b">
        <f t="shared" si="80"/>
        <v>0</v>
      </c>
      <c r="DJ15" t="b">
        <f t="shared" si="81"/>
        <v>0</v>
      </c>
      <c r="DK15" t="b">
        <f t="shared" si="82"/>
        <v>0</v>
      </c>
      <c r="DL15" t="b">
        <f t="shared" si="83"/>
        <v>0</v>
      </c>
      <c r="DM15" t="b">
        <f t="shared" si="84"/>
        <v>0</v>
      </c>
      <c r="DN15" t="b">
        <f t="shared" si="85"/>
        <v>0</v>
      </c>
      <c r="DO15" t="b">
        <f t="shared" si="86"/>
        <v>0</v>
      </c>
      <c r="DP15" t="b">
        <f t="shared" si="87"/>
        <v>0</v>
      </c>
      <c r="DQ15" t="b">
        <f t="shared" si="88"/>
        <v>0</v>
      </c>
      <c r="DR15" t="b">
        <f t="shared" si="89"/>
        <v>0</v>
      </c>
      <c r="DS15" t="b">
        <f t="shared" si="90"/>
        <v>0</v>
      </c>
      <c r="DT15" t="b">
        <f t="shared" si="91"/>
        <v>0</v>
      </c>
      <c r="DU15" t="b">
        <f t="shared" si="92"/>
        <v>0</v>
      </c>
      <c r="DV15" t="b">
        <f t="shared" si="93"/>
        <v>0</v>
      </c>
      <c r="DW15" t="b">
        <f t="shared" si="94"/>
        <v>0</v>
      </c>
      <c r="DX15" t="b">
        <f t="shared" si="95"/>
        <v>0</v>
      </c>
      <c r="DY15" t="b">
        <f t="shared" si="96"/>
        <v>0</v>
      </c>
      <c r="DZ15" t="b">
        <f t="shared" si="97"/>
        <v>0</v>
      </c>
      <c r="EA15" t="b">
        <f t="shared" si="98"/>
        <v>0</v>
      </c>
      <c r="EB15" t="b">
        <f t="shared" si="99"/>
        <v>0</v>
      </c>
      <c r="EC15" t="b">
        <f t="shared" si="100"/>
        <v>0</v>
      </c>
      <c r="ED15" t="b">
        <f t="shared" si="101"/>
        <v>0</v>
      </c>
      <c r="EE15" t="b">
        <f t="shared" si="102"/>
        <v>0</v>
      </c>
      <c r="EF15">
        <f t="shared" si="103"/>
        <v>1</v>
      </c>
      <c r="EG15" t="b">
        <f t="shared" si="104"/>
        <v>0</v>
      </c>
      <c r="EH15" t="b">
        <f t="shared" si="105"/>
        <v>0</v>
      </c>
      <c r="EI15" t="b">
        <f t="shared" si="106"/>
        <v>0</v>
      </c>
      <c r="EJ15" t="b">
        <f t="shared" si="107"/>
        <v>0</v>
      </c>
      <c r="EK15" t="b">
        <f t="shared" si="108"/>
        <v>0</v>
      </c>
    </row>
    <row r="16" spans="1:141">
      <c r="A16" t="s">
        <v>200</v>
      </c>
      <c r="B16" t="s">
        <v>200</v>
      </c>
      <c r="C16" t="s">
        <v>201</v>
      </c>
      <c r="D16" s="1">
        <v>44477</v>
      </c>
      <c r="E16" s="2">
        <v>44509.329895833333</v>
      </c>
      <c r="F16" s="2">
        <v>44509.329895833333</v>
      </c>
      <c r="G16">
        <v>1583193</v>
      </c>
      <c r="H16" t="s">
        <v>202</v>
      </c>
      <c r="I16" s="10" t="s">
        <v>203</v>
      </c>
      <c r="J16" t="s">
        <v>204</v>
      </c>
      <c r="K16" s="8" t="b">
        <v>0</v>
      </c>
      <c r="L16" s="10" t="b">
        <v>0</v>
      </c>
      <c r="M16" s="12" t="b">
        <v>0</v>
      </c>
      <c r="N16" t="b">
        <v>0</v>
      </c>
      <c r="O16" t="b">
        <v>0</v>
      </c>
      <c r="P16" t="b">
        <v>0</v>
      </c>
      <c r="Q16">
        <f t="shared" si="1"/>
        <v>6</v>
      </c>
      <c r="R16">
        <f t="shared" si="2"/>
        <v>10</v>
      </c>
      <c r="S16" t="e">
        <f t="shared" ca="1" si="109"/>
        <v>#NAME?</v>
      </c>
      <c r="T16" t="e">
        <f t="shared" ca="1" si="3"/>
        <v>#NAME?</v>
      </c>
      <c r="U16" s="4">
        <f t="shared" si="4"/>
        <v>32.329895833332557</v>
      </c>
      <c r="V16" s="4">
        <f t="shared" si="5"/>
        <v>1.0776631944444186</v>
      </c>
      <c r="W16" s="4">
        <f t="shared" si="6"/>
        <v>0</v>
      </c>
      <c r="X16" s="4">
        <f t="shared" si="7"/>
        <v>0</v>
      </c>
      <c r="Y16" s="4">
        <f t="shared" si="8"/>
        <v>0</v>
      </c>
      <c r="Z16" s="4">
        <f t="shared" si="9"/>
        <v>0</v>
      </c>
      <c r="AA16" s="4">
        <f t="shared" si="10"/>
        <v>0</v>
      </c>
      <c r="AB16" s="4">
        <f t="shared" si="11"/>
        <v>0</v>
      </c>
      <c r="AD16" s="4" t="b">
        <f t="shared" si="12"/>
        <v>0</v>
      </c>
      <c r="AE16" s="4" t="b">
        <f t="shared" si="13"/>
        <v>0</v>
      </c>
      <c r="AF16" s="4" t="b">
        <f t="shared" si="14"/>
        <v>0</v>
      </c>
      <c r="AG16" t="b">
        <f t="shared" si="15"/>
        <v>0</v>
      </c>
      <c r="AH16" t="b">
        <f t="shared" si="16"/>
        <v>0</v>
      </c>
      <c r="AI16" t="b">
        <f t="shared" si="17"/>
        <v>0</v>
      </c>
      <c r="AJ16" t="b">
        <f t="shared" si="18"/>
        <v>0</v>
      </c>
      <c r="AK16" t="b">
        <f t="shared" si="19"/>
        <v>0</v>
      </c>
      <c r="AL16" t="b">
        <f t="shared" si="20"/>
        <v>0</v>
      </c>
      <c r="AM16" t="b">
        <f t="shared" si="21"/>
        <v>0</v>
      </c>
      <c r="AN16" t="b">
        <f t="shared" si="22"/>
        <v>0</v>
      </c>
      <c r="AO16" t="b">
        <f t="shared" si="23"/>
        <v>0</v>
      </c>
      <c r="AP16" t="b">
        <f t="shared" si="24"/>
        <v>0</v>
      </c>
      <c r="AQ16" t="b">
        <f t="shared" si="25"/>
        <v>0</v>
      </c>
      <c r="AR16" t="b">
        <f t="shared" si="26"/>
        <v>0</v>
      </c>
      <c r="AS16" t="b">
        <f t="shared" si="27"/>
        <v>0</v>
      </c>
      <c r="AT16" t="b">
        <f t="shared" si="28"/>
        <v>0</v>
      </c>
      <c r="AU16" t="b">
        <f t="shared" si="29"/>
        <v>0</v>
      </c>
      <c r="AV16" t="b">
        <f t="shared" si="30"/>
        <v>0</v>
      </c>
      <c r="AW16" t="b">
        <f t="shared" si="31"/>
        <v>0</v>
      </c>
      <c r="AX16" t="b">
        <f t="shared" si="110"/>
        <v>0</v>
      </c>
      <c r="AY16" t="b">
        <f t="shared" si="111"/>
        <v>0</v>
      </c>
      <c r="AZ16" t="b">
        <f t="shared" si="112"/>
        <v>0</v>
      </c>
      <c r="BA16" t="b">
        <f t="shared" si="113"/>
        <v>0</v>
      </c>
      <c r="BB16" t="b">
        <f t="shared" si="114"/>
        <v>0</v>
      </c>
      <c r="BC16" t="b">
        <f t="shared" si="115"/>
        <v>0</v>
      </c>
      <c r="BD16" t="b">
        <f t="shared" si="116"/>
        <v>0</v>
      </c>
      <c r="BE16" t="b">
        <f t="shared" si="117"/>
        <v>0</v>
      </c>
      <c r="BF16" t="b">
        <f t="shared" si="118"/>
        <v>0</v>
      </c>
      <c r="BG16" t="b">
        <f t="shared" si="119"/>
        <v>0</v>
      </c>
      <c r="BH16" t="b">
        <f t="shared" si="120"/>
        <v>0</v>
      </c>
      <c r="BI16">
        <f t="shared" si="121"/>
        <v>1</v>
      </c>
      <c r="BJ16" t="b">
        <f t="shared" si="122"/>
        <v>0</v>
      </c>
      <c r="BK16" t="b">
        <f t="shared" si="123"/>
        <v>0</v>
      </c>
      <c r="BL16" t="b">
        <f t="shared" si="124"/>
        <v>0</v>
      </c>
      <c r="BM16" t="b">
        <f t="shared" si="32"/>
        <v>0</v>
      </c>
      <c r="BN16" t="b">
        <f t="shared" si="33"/>
        <v>0</v>
      </c>
      <c r="BO16" t="b">
        <f t="shared" si="34"/>
        <v>0</v>
      </c>
      <c r="BP16" t="b">
        <f t="shared" si="35"/>
        <v>0</v>
      </c>
      <c r="BQ16" t="b">
        <f t="shared" si="36"/>
        <v>0</v>
      </c>
      <c r="BR16" t="b">
        <f t="shared" si="37"/>
        <v>0</v>
      </c>
      <c r="BS16" t="b">
        <f t="shared" si="38"/>
        <v>0</v>
      </c>
      <c r="BT16" t="b">
        <f t="shared" si="39"/>
        <v>0</v>
      </c>
      <c r="BU16" t="b">
        <f t="shared" si="40"/>
        <v>0</v>
      </c>
      <c r="BV16" t="b">
        <f t="shared" si="41"/>
        <v>0</v>
      </c>
      <c r="BW16" t="b">
        <f t="shared" si="42"/>
        <v>0</v>
      </c>
      <c r="BX16" t="b">
        <f t="shared" si="43"/>
        <v>0</v>
      </c>
      <c r="BY16" t="b">
        <f t="shared" si="44"/>
        <v>0</v>
      </c>
      <c r="BZ16" t="b">
        <f t="shared" si="45"/>
        <v>0</v>
      </c>
      <c r="CA16" t="b">
        <f t="shared" si="46"/>
        <v>0</v>
      </c>
      <c r="CB16" t="b">
        <f t="shared" si="47"/>
        <v>0</v>
      </c>
      <c r="CC16" t="b">
        <f t="shared" si="48"/>
        <v>0</v>
      </c>
      <c r="CD16" t="b">
        <f t="shared" si="49"/>
        <v>0</v>
      </c>
      <c r="CE16">
        <f t="shared" si="50"/>
        <v>1</v>
      </c>
      <c r="CF16" t="b">
        <f t="shared" si="51"/>
        <v>0</v>
      </c>
      <c r="CG16" t="b">
        <f t="shared" si="52"/>
        <v>0</v>
      </c>
      <c r="CH16" t="b">
        <f t="shared" si="53"/>
        <v>0</v>
      </c>
      <c r="CI16" t="b">
        <f t="shared" si="54"/>
        <v>0</v>
      </c>
      <c r="CJ16" t="b">
        <f t="shared" si="55"/>
        <v>0</v>
      </c>
      <c r="CK16" t="b">
        <f t="shared" si="56"/>
        <v>0</v>
      </c>
      <c r="CL16" t="b">
        <f t="shared" si="57"/>
        <v>0</v>
      </c>
      <c r="CM16" t="b">
        <f t="shared" si="58"/>
        <v>0</v>
      </c>
      <c r="CN16" t="b">
        <f t="shared" si="59"/>
        <v>0</v>
      </c>
      <c r="CO16" t="b">
        <f t="shared" si="60"/>
        <v>0</v>
      </c>
      <c r="CP16" t="b">
        <f t="shared" si="61"/>
        <v>0</v>
      </c>
      <c r="CQ16" t="b">
        <f t="shared" si="62"/>
        <v>0</v>
      </c>
      <c r="CR16" t="b">
        <f t="shared" si="63"/>
        <v>0</v>
      </c>
      <c r="CS16" t="b">
        <f t="shared" si="64"/>
        <v>0</v>
      </c>
      <c r="CT16" t="b">
        <f t="shared" si="65"/>
        <v>0</v>
      </c>
      <c r="CU16" t="b">
        <f t="shared" si="66"/>
        <v>0</v>
      </c>
      <c r="CV16" t="b">
        <f t="shared" si="67"/>
        <v>0</v>
      </c>
      <c r="CW16" t="b">
        <f t="shared" si="68"/>
        <v>0</v>
      </c>
      <c r="CX16" t="b">
        <f t="shared" si="69"/>
        <v>0</v>
      </c>
      <c r="CY16" t="b">
        <f t="shared" si="70"/>
        <v>0</v>
      </c>
      <c r="CZ16" t="b">
        <f t="shared" si="71"/>
        <v>0</v>
      </c>
      <c r="DA16" t="b">
        <f t="shared" si="72"/>
        <v>0</v>
      </c>
      <c r="DB16" t="b">
        <f t="shared" si="73"/>
        <v>0</v>
      </c>
      <c r="DC16" t="b">
        <f t="shared" si="74"/>
        <v>0</v>
      </c>
      <c r="DD16" t="b">
        <f t="shared" si="75"/>
        <v>0</v>
      </c>
      <c r="DE16" t="b">
        <f t="shared" si="76"/>
        <v>0</v>
      </c>
      <c r="DF16" t="b">
        <f t="shared" si="77"/>
        <v>0</v>
      </c>
      <c r="DG16" t="b">
        <f t="shared" si="78"/>
        <v>0</v>
      </c>
      <c r="DH16" t="b">
        <f t="shared" si="79"/>
        <v>0</v>
      </c>
      <c r="DI16" t="b">
        <f t="shared" si="80"/>
        <v>0</v>
      </c>
      <c r="DJ16" t="b">
        <f t="shared" si="81"/>
        <v>0</v>
      </c>
      <c r="DK16" t="b">
        <f t="shared" si="82"/>
        <v>0</v>
      </c>
      <c r="DL16" t="b">
        <f t="shared" si="83"/>
        <v>0</v>
      </c>
      <c r="DM16" t="b">
        <f t="shared" si="84"/>
        <v>0</v>
      </c>
      <c r="DN16" t="b">
        <f t="shared" si="85"/>
        <v>0</v>
      </c>
      <c r="DO16" t="b">
        <f t="shared" si="86"/>
        <v>0</v>
      </c>
      <c r="DP16" t="b">
        <f t="shared" si="87"/>
        <v>0</v>
      </c>
      <c r="DQ16" t="b">
        <f t="shared" si="88"/>
        <v>0</v>
      </c>
      <c r="DR16" t="b">
        <f t="shared" si="89"/>
        <v>0</v>
      </c>
      <c r="DS16" t="b">
        <f t="shared" si="90"/>
        <v>0</v>
      </c>
      <c r="DT16" t="b">
        <f t="shared" si="91"/>
        <v>0</v>
      </c>
      <c r="DU16" t="b">
        <f t="shared" si="92"/>
        <v>0</v>
      </c>
      <c r="DV16" t="b">
        <f t="shared" si="93"/>
        <v>0</v>
      </c>
      <c r="DW16" t="b">
        <f t="shared" si="94"/>
        <v>0</v>
      </c>
      <c r="DX16" t="b">
        <f t="shared" si="95"/>
        <v>0</v>
      </c>
      <c r="DY16" t="b">
        <f t="shared" si="96"/>
        <v>0</v>
      </c>
      <c r="DZ16" t="b">
        <f t="shared" si="97"/>
        <v>0</v>
      </c>
      <c r="EA16" t="b">
        <f t="shared" si="98"/>
        <v>0</v>
      </c>
      <c r="EB16" t="b">
        <f t="shared" si="99"/>
        <v>0</v>
      </c>
      <c r="EC16" t="b">
        <f t="shared" si="100"/>
        <v>0</v>
      </c>
      <c r="ED16" t="b">
        <f t="shared" si="101"/>
        <v>0</v>
      </c>
      <c r="EE16" t="b">
        <f t="shared" si="102"/>
        <v>0</v>
      </c>
      <c r="EF16" t="b">
        <f t="shared" si="103"/>
        <v>0</v>
      </c>
      <c r="EG16" t="b">
        <f t="shared" si="104"/>
        <v>0</v>
      </c>
      <c r="EH16" t="b">
        <f t="shared" si="105"/>
        <v>0</v>
      </c>
      <c r="EI16" t="b">
        <f t="shared" si="106"/>
        <v>0</v>
      </c>
      <c r="EJ16" t="b">
        <f t="shared" si="107"/>
        <v>0</v>
      </c>
      <c r="EK16" t="b">
        <f t="shared" si="108"/>
        <v>0</v>
      </c>
    </row>
    <row r="17" spans="1:141">
      <c r="A17" t="s">
        <v>205</v>
      </c>
      <c r="B17" t="s">
        <v>205</v>
      </c>
      <c r="C17" t="s">
        <v>206</v>
      </c>
      <c r="D17" s="1">
        <v>43409</v>
      </c>
      <c r="E17" s="2">
        <v>43426.821597222224</v>
      </c>
      <c r="F17" s="2">
        <v>43426.821597222224</v>
      </c>
      <c r="G17">
        <v>9363740</v>
      </c>
      <c r="H17" t="s">
        <v>207</v>
      </c>
      <c r="I17" s="10" t="s">
        <v>208</v>
      </c>
      <c r="J17" t="s">
        <v>209</v>
      </c>
      <c r="K17" s="8" t="b">
        <v>1</v>
      </c>
      <c r="L17" s="10" t="b">
        <v>0</v>
      </c>
      <c r="M17" s="12" t="b">
        <v>0</v>
      </c>
      <c r="N17" t="b">
        <v>0</v>
      </c>
      <c r="O17" t="b">
        <v>0</v>
      </c>
      <c r="P17" t="b">
        <v>0</v>
      </c>
      <c r="Q17">
        <f t="shared" si="1"/>
        <v>2</v>
      </c>
      <c r="R17">
        <f t="shared" si="2"/>
        <v>11</v>
      </c>
      <c r="S17" t="e">
        <f t="shared" ca="1" si="109"/>
        <v>#NAME?</v>
      </c>
      <c r="T17" t="e">
        <f t="shared" ca="1" si="3"/>
        <v>#NAME?</v>
      </c>
      <c r="U17" s="4">
        <f t="shared" si="4"/>
        <v>17.821597222224227</v>
      </c>
      <c r="V17" s="4">
        <f t="shared" si="5"/>
        <v>0.59405324074080756</v>
      </c>
      <c r="W17" s="4">
        <f t="shared" si="6"/>
        <v>1</v>
      </c>
      <c r="X17" s="4">
        <f t="shared" si="7"/>
        <v>0</v>
      </c>
      <c r="Y17" s="4">
        <f t="shared" si="8"/>
        <v>0</v>
      </c>
      <c r="Z17" s="4">
        <f t="shared" si="9"/>
        <v>0</v>
      </c>
      <c r="AA17" s="4">
        <f t="shared" si="10"/>
        <v>0</v>
      </c>
      <c r="AB17" s="4">
        <f t="shared" si="11"/>
        <v>0</v>
      </c>
      <c r="AD17" s="4" t="b">
        <f t="shared" si="12"/>
        <v>0</v>
      </c>
      <c r="AE17" s="4" t="b">
        <f t="shared" si="13"/>
        <v>0</v>
      </c>
      <c r="AF17" s="4" t="b">
        <f t="shared" si="14"/>
        <v>0</v>
      </c>
      <c r="AG17" t="b">
        <f t="shared" si="15"/>
        <v>0</v>
      </c>
      <c r="AH17" t="b">
        <f t="shared" si="16"/>
        <v>0</v>
      </c>
      <c r="AI17" t="b">
        <f t="shared" si="17"/>
        <v>0</v>
      </c>
      <c r="AJ17" t="b">
        <f t="shared" si="18"/>
        <v>0</v>
      </c>
      <c r="AK17" t="b">
        <f t="shared" si="19"/>
        <v>0</v>
      </c>
      <c r="AL17" t="b">
        <f t="shared" si="20"/>
        <v>0</v>
      </c>
      <c r="AM17" t="b">
        <f t="shared" si="21"/>
        <v>0</v>
      </c>
      <c r="AN17" t="b">
        <f t="shared" si="22"/>
        <v>0</v>
      </c>
      <c r="AO17" t="b">
        <f t="shared" si="23"/>
        <v>0</v>
      </c>
      <c r="AP17" t="b">
        <f t="shared" si="24"/>
        <v>0</v>
      </c>
      <c r="AQ17" t="b">
        <f t="shared" si="25"/>
        <v>0</v>
      </c>
      <c r="AR17" t="b">
        <f t="shared" si="26"/>
        <v>0</v>
      </c>
      <c r="AS17" t="b">
        <f t="shared" si="27"/>
        <v>0</v>
      </c>
      <c r="AT17" t="b">
        <f t="shared" si="28"/>
        <v>0</v>
      </c>
      <c r="AU17" t="b">
        <f t="shared" si="29"/>
        <v>0</v>
      </c>
      <c r="AV17" t="b">
        <f t="shared" si="30"/>
        <v>0</v>
      </c>
      <c r="AW17" t="b">
        <f t="shared" si="31"/>
        <v>0</v>
      </c>
      <c r="AX17" t="b">
        <f t="shared" si="110"/>
        <v>0</v>
      </c>
      <c r="AY17" t="b">
        <f t="shared" si="111"/>
        <v>0</v>
      </c>
      <c r="AZ17" t="b">
        <f t="shared" si="112"/>
        <v>0</v>
      </c>
      <c r="BA17" t="b">
        <f t="shared" si="113"/>
        <v>0</v>
      </c>
      <c r="BB17" t="b">
        <f t="shared" si="114"/>
        <v>0</v>
      </c>
      <c r="BC17" t="b">
        <f t="shared" si="115"/>
        <v>0</v>
      </c>
      <c r="BD17" t="b">
        <f t="shared" si="116"/>
        <v>0</v>
      </c>
      <c r="BE17" t="b">
        <f t="shared" si="117"/>
        <v>0</v>
      </c>
      <c r="BF17" t="b">
        <f t="shared" si="118"/>
        <v>0</v>
      </c>
      <c r="BG17" t="b">
        <f t="shared" si="119"/>
        <v>0</v>
      </c>
      <c r="BH17" t="b">
        <f t="shared" si="120"/>
        <v>0</v>
      </c>
      <c r="BI17">
        <f t="shared" si="121"/>
        <v>1</v>
      </c>
      <c r="BJ17">
        <f t="shared" si="122"/>
        <v>1</v>
      </c>
      <c r="BK17" t="b">
        <f t="shared" si="123"/>
        <v>0</v>
      </c>
      <c r="BL17" t="b">
        <f t="shared" si="124"/>
        <v>0</v>
      </c>
      <c r="BM17" t="b">
        <f t="shared" si="32"/>
        <v>0</v>
      </c>
      <c r="BN17" t="b">
        <f t="shared" si="33"/>
        <v>0</v>
      </c>
      <c r="BO17" t="b">
        <f t="shared" si="34"/>
        <v>0</v>
      </c>
      <c r="BP17" t="b">
        <f t="shared" si="35"/>
        <v>0</v>
      </c>
      <c r="BQ17" t="b">
        <f t="shared" si="36"/>
        <v>0</v>
      </c>
      <c r="BR17" t="b">
        <f t="shared" si="37"/>
        <v>0</v>
      </c>
      <c r="BS17" t="b">
        <f t="shared" si="38"/>
        <v>0</v>
      </c>
      <c r="BT17" t="b">
        <f t="shared" si="39"/>
        <v>0</v>
      </c>
      <c r="BU17" t="b">
        <f t="shared" si="40"/>
        <v>0</v>
      </c>
      <c r="BV17" t="b">
        <f t="shared" si="41"/>
        <v>0</v>
      </c>
      <c r="BW17" t="b">
        <f t="shared" si="42"/>
        <v>0</v>
      </c>
      <c r="BX17" t="b">
        <f t="shared" si="43"/>
        <v>0</v>
      </c>
      <c r="BY17" t="b">
        <f t="shared" si="44"/>
        <v>0</v>
      </c>
      <c r="BZ17" t="b">
        <f t="shared" si="45"/>
        <v>0</v>
      </c>
      <c r="CA17" t="b">
        <f t="shared" si="46"/>
        <v>0</v>
      </c>
      <c r="CB17" t="b">
        <f t="shared" si="47"/>
        <v>0</v>
      </c>
      <c r="CC17" t="b">
        <f t="shared" si="48"/>
        <v>0</v>
      </c>
      <c r="CD17" t="b">
        <f t="shared" si="49"/>
        <v>0</v>
      </c>
      <c r="CE17" t="b">
        <f t="shared" si="50"/>
        <v>0</v>
      </c>
      <c r="CF17" t="b">
        <f t="shared" si="51"/>
        <v>0</v>
      </c>
      <c r="CG17" t="b">
        <f t="shared" si="52"/>
        <v>0</v>
      </c>
      <c r="CH17" t="b">
        <f t="shared" si="53"/>
        <v>0</v>
      </c>
      <c r="CI17" t="b">
        <f t="shared" si="54"/>
        <v>0</v>
      </c>
      <c r="CJ17" t="b">
        <f t="shared" si="55"/>
        <v>0</v>
      </c>
      <c r="CK17" t="b">
        <f t="shared" si="56"/>
        <v>0</v>
      </c>
      <c r="CL17" t="b">
        <f t="shared" si="57"/>
        <v>0</v>
      </c>
      <c r="CM17">
        <f t="shared" si="58"/>
        <v>1</v>
      </c>
      <c r="CN17" t="b">
        <f t="shared" si="59"/>
        <v>0</v>
      </c>
      <c r="CO17" t="b">
        <f t="shared" si="60"/>
        <v>0</v>
      </c>
      <c r="CP17" t="b">
        <f t="shared" si="61"/>
        <v>0</v>
      </c>
      <c r="CQ17" t="b">
        <f t="shared" si="62"/>
        <v>0</v>
      </c>
      <c r="CR17" t="b">
        <f t="shared" si="63"/>
        <v>0</v>
      </c>
      <c r="CS17" t="b">
        <f t="shared" si="64"/>
        <v>0</v>
      </c>
      <c r="CT17" t="b">
        <f t="shared" si="65"/>
        <v>0</v>
      </c>
      <c r="CU17" t="b">
        <f t="shared" si="66"/>
        <v>0</v>
      </c>
      <c r="CV17" t="b">
        <f t="shared" si="67"/>
        <v>0</v>
      </c>
      <c r="CW17" t="b">
        <f t="shared" si="68"/>
        <v>0</v>
      </c>
      <c r="CX17" t="b">
        <f t="shared" si="69"/>
        <v>0</v>
      </c>
      <c r="CY17" t="b">
        <f t="shared" si="70"/>
        <v>0</v>
      </c>
      <c r="CZ17" t="b">
        <f t="shared" si="71"/>
        <v>0</v>
      </c>
      <c r="DA17">
        <f t="shared" si="72"/>
        <v>1</v>
      </c>
      <c r="DB17">
        <f t="shared" si="73"/>
        <v>1</v>
      </c>
      <c r="DC17" t="b">
        <f t="shared" si="74"/>
        <v>0</v>
      </c>
      <c r="DD17" t="b">
        <f t="shared" si="75"/>
        <v>0</v>
      </c>
      <c r="DE17" t="b">
        <f t="shared" si="76"/>
        <v>0</v>
      </c>
      <c r="DF17" t="b">
        <f t="shared" si="77"/>
        <v>0</v>
      </c>
      <c r="DG17" t="b">
        <f t="shared" si="78"/>
        <v>0</v>
      </c>
      <c r="DH17" t="b">
        <f t="shared" si="79"/>
        <v>0</v>
      </c>
      <c r="DI17" t="b">
        <f t="shared" si="80"/>
        <v>0</v>
      </c>
      <c r="DJ17" t="b">
        <f t="shared" si="81"/>
        <v>0</v>
      </c>
      <c r="DK17" t="b">
        <f t="shared" si="82"/>
        <v>0</v>
      </c>
      <c r="DL17" t="b">
        <f t="shared" si="83"/>
        <v>0</v>
      </c>
      <c r="DM17" t="b">
        <f t="shared" si="84"/>
        <v>0</v>
      </c>
      <c r="DN17" t="b">
        <f t="shared" si="85"/>
        <v>0</v>
      </c>
      <c r="DO17" t="b">
        <f t="shared" si="86"/>
        <v>0</v>
      </c>
      <c r="DP17" t="b">
        <f t="shared" si="87"/>
        <v>0</v>
      </c>
      <c r="DQ17" t="b">
        <f t="shared" si="88"/>
        <v>0</v>
      </c>
      <c r="DR17" t="b">
        <f t="shared" si="89"/>
        <v>0</v>
      </c>
      <c r="DS17" t="b">
        <f t="shared" si="90"/>
        <v>0</v>
      </c>
      <c r="DT17" t="b">
        <f t="shared" si="91"/>
        <v>0</v>
      </c>
      <c r="DU17" t="b">
        <f t="shared" si="92"/>
        <v>0</v>
      </c>
      <c r="DV17" t="b">
        <f t="shared" si="93"/>
        <v>0</v>
      </c>
      <c r="DW17" t="b">
        <f t="shared" si="94"/>
        <v>0</v>
      </c>
      <c r="DX17" t="b">
        <f t="shared" si="95"/>
        <v>0</v>
      </c>
      <c r="DY17">
        <f t="shared" si="96"/>
        <v>1</v>
      </c>
      <c r="DZ17" t="b">
        <f t="shared" si="97"/>
        <v>0</v>
      </c>
      <c r="EA17" t="b">
        <f t="shared" si="98"/>
        <v>0</v>
      </c>
      <c r="EB17" t="b">
        <f t="shared" si="99"/>
        <v>0</v>
      </c>
      <c r="EC17" t="b">
        <f t="shared" si="100"/>
        <v>0</v>
      </c>
      <c r="ED17" t="b">
        <f t="shared" si="101"/>
        <v>0</v>
      </c>
      <c r="EE17" t="b">
        <f t="shared" si="102"/>
        <v>0</v>
      </c>
      <c r="EF17" t="b">
        <f t="shared" si="103"/>
        <v>0</v>
      </c>
      <c r="EG17" t="b">
        <f t="shared" si="104"/>
        <v>0</v>
      </c>
      <c r="EH17" t="b">
        <f t="shared" si="105"/>
        <v>0</v>
      </c>
      <c r="EI17" t="b">
        <f t="shared" si="106"/>
        <v>0</v>
      </c>
      <c r="EJ17" t="b">
        <f t="shared" si="107"/>
        <v>0</v>
      </c>
      <c r="EK17" t="b">
        <f t="shared" si="108"/>
        <v>0</v>
      </c>
    </row>
    <row r="18" spans="1:141">
      <c r="A18" t="s">
        <v>210</v>
      </c>
      <c r="B18" t="s">
        <v>210</v>
      </c>
      <c r="C18" t="s">
        <v>211</v>
      </c>
      <c r="D18" s="1">
        <v>44199</v>
      </c>
      <c r="E18" s="2">
        <v>44712.273194444446</v>
      </c>
      <c r="F18" s="2">
        <v>44712.276307870372</v>
      </c>
      <c r="G18">
        <v>4284538</v>
      </c>
      <c r="H18" t="s">
        <v>212</v>
      </c>
      <c r="I18" s="10" t="s">
        <v>213</v>
      </c>
      <c r="J18" t="s">
        <v>214</v>
      </c>
      <c r="K18" s="8" t="b">
        <v>1</v>
      </c>
      <c r="L18" s="10" t="b">
        <v>0</v>
      </c>
      <c r="M18" s="12" t="b">
        <v>0</v>
      </c>
      <c r="N18" t="b">
        <v>0</v>
      </c>
      <c r="O18" t="b">
        <v>0</v>
      </c>
      <c r="P18" t="b">
        <v>0</v>
      </c>
      <c r="Q18">
        <f t="shared" si="1"/>
        <v>1</v>
      </c>
      <c r="R18">
        <f t="shared" si="2"/>
        <v>1</v>
      </c>
      <c r="S18" t="e">
        <f t="shared" ca="1" si="109"/>
        <v>#NAME?</v>
      </c>
      <c r="T18" t="e">
        <f t="shared" ca="1" si="3"/>
        <v>#NAME?</v>
      </c>
      <c r="U18" s="4">
        <f t="shared" si="4"/>
        <v>513.27319444444583</v>
      </c>
      <c r="V18" s="4">
        <f t="shared" si="5"/>
        <v>17.109106481481529</v>
      </c>
      <c r="W18" s="4">
        <f t="shared" si="6"/>
        <v>1</v>
      </c>
      <c r="X18" s="4">
        <f t="shared" si="7"/>
        <v>0</v>
      </c>
      <c r="Y18" s="4">
        <f t="shared" si="8"/>
        <v>0</v>
      </c>
      <c r="Z18" s="4">
        <f t="shared" si="9"/>
        <v>0</v>
      </c>
      <c r="AA18" s="4">
        <f t="shared" si="10"/>
        <v>0</v>
      </c>
      <c r="AB18" s="4">
        <f t="shared" si="11"/>
        <v>0</v>
      </c>
      <c r="AD18" s="4" t="b">
        <f t="shared" si="12"/>
        <v>0</v>
      </c>
      <c r="AE18" s="4" t="b">
        <f t="shared" si="13"/>
        <v>0</v>
      </c>
      <c r="AF18" s="4" t="b">
        <f t="shared" si="14"/>
        <v>0</v>
      </c>
      <c r="AG18" t="b">
        <f t="shared" si="15"/>
        <v>0</v>
      </c>
      <c r="AH18" t="b">
        <f t="shared" si="16"/>
        <v>0</v>
      </c>
      <c r="AI18" t="b">
        <f t="shared" si="17"/>
        <v>0</v>
      </c>
      <c r="AJ18" t="b">
        <f t="shared" si="18"/>
        <v>0</v>
      </c>
      <c r="AK18" t="b">
        <f t="shared" si="19"/>
        <v>0</v>
      </c>
      <c r="AL18" t="b">
        <f t="shared" si="20"/>
        <v>0</v>
      </c>
      <c r="AM18" t="b">
        <f t="shared" si="21"/>
        <v>0</v>
      </c>
      <c r="AN18" t="b">
        <f t="shared" si="22"/>
        <v>0</v>
      </c>
      <c r="AO18" t="b">
        <f t="shared" si="23"/>
        <v>0</v>
      </c>
      <c r="AP18" t="b">
        <f t="shared" si="24"/>
        <v>0</v>
      </c>
      <c r="AQ18" t="b">
        <f t="shared" si="25"/>
        <v>0</v>
      </c>
      <c r="AR18" t="b">
        <f t="shared" si="26"/>
        <v>0</v>
      </c>
      <c r="AS18" t="b">
        <f t="shared" si="27"/>
        <v>0</v>
      </c>
      <c r="AT18" t="b">
        <f t="shared" si="28"/>
        <v>0</v>
      </c>
      <c r="AU18" t="b">
        <f t="shared" si="29"/>
        <v>0</v>
      </c>
      <c r="AV18" t="b">
        <f t="shared" si="30"/>
        <v>0</v>
      </c>
      <c r="AW18" t="b">
        <f t="shared" si="31"/>
        <v>0</v>
      </c>
      <c r="AX18" t="b">
        <f t="shared" si="110"/>
        <v>0</v>
      </c>
      <c r="AY18" t="b">
        <f t="shared" si="111"/>
        <v>0</v>
      </c>
      <c r="AZ18" t="b">
        <f t="shared" si="112"/>
        <v>0</v>
      </c>
      <c r="BA18" t="b">
        <f t="shared" si="113"/>
        <v>0</v>
      </c>
      <c r="BB18" t="b">
        <f t="shared" si="114"/>
        <v>0</v>
      </c>
      <c r="BC18" t="b">
        <f t="shared" si="115"/>
        <v>0</v>
      </c>
      <c r="BD18" t="b">
        <f t="shared" si="116"/>
        <v>0</v>
      </c>
      <c r="BE18" t="b">
        <f t="shared" si="117"/>
        <v>0</v>
      </c>
      <c r="BF18" t="b">
        <f t="shared" si="118"/>
        <v>0</v>
      </c>
      <c r="BG18" t="b">
        <f t="shared" si="119"/>
        <v>0</v>
      </c>
      <c r="BH18" t="b">
        <f t="shared" si="120"/>
        <v>0</v>
      </c>
      <c r="BI18">
        <f t="shared" si="121"/>
        <v>1</v>
      </c>
      <c r="BJ18" t="b">
        <f t="shared" si="122"/>
        <v>0</v>
      </c>
      <c r="BK18" t="b">
        <f t="shared" si="123"/>
        <v>0</v>
      </c>
      <c r="BL18" t="b">
        <f t="shared" si="124"/>
        <v>0</v>
      </c>
      <c r="BM18" t="b">
        <f t="shared" si="32"/>
        <v>0</v>
      </c>
      <c r="BN18" t="b">
        <f t="shared" si="33"/>
        <v>0</v>
      </c>
      <c r="BO18" t="b">
        <f t="shared" si="34"/>
        <v>0</v>
      </c>
      <c r="BP18" t="b">
        <f t="shared" si="35"/>
        <v>0</v>
      </c>
      <c r="BQ18" t="b">
        <f t="shared" si="36"/>
        <v>0</v>
      </c>
      <c r="BR18">
        <f t="shared" si="37"/>
        <v>1</v>
      </c>
      <c r="BS18">
        <f t="shared" si="38"/>
        <v>1</v>
      </c>
      <c r="BT18" t="b">
        <f t="shared" si="39"/>
        <v>0</v>
      </c>
      <c r="BU18" t="b">
        <f t="shared" si="40"/>
        <v>0</v>
      </c>
      <c r="BV18" t="b">
        <f t="shared" si="41"/>
        <v>0</v>
      </c>
      <c r="BW18" t="b">
        <f t="shared" si="42"/>
        <v>0</v>
      </c>
      <c r="BX18" t="b">
        <f t="shared" si="43"/>
        <v>0</v>
      </c>
      <c r="BY18" t="b">
        <f t="shared" si="44"/>
        <v>0</v>
      </c>
      <c r="BZ18" t="b">
        <f t="shared" si="45"/>
        <v>0</v>
      </c>
      <c r="CA18" t="b">
        <f t="shared" si="46"/>
        <v>0</v>
      </c>
      <c r="CB18" t="b">
        <f t="shared" si="47"/>
        <v>0</v>
      </c>
      <c r="CC18" t="b">
        <f t="shared" si="48"/>
        <v>0</v>
      </c>
      <c r="CD18" t="b">
        <f t="shared" si="49"/>
        <v>0</v>
      </c>
      <c r="CE18" t="b">
        <f t="shared" si="50"/>
        <v>0</v>
      </c>
      <c r="CF18" t="b">
        <f t="shared" si="51"/>
        <v>0</v>
      </c>
      <c r="CG18" t="b">
        <f t="shared" si="52"/>
        <v>0</v>
      </c>
      <c r="CH18" t="b">
        <f t="shared" si="53"/>
        <v>0</v>
      </c>
      <c r="CI18" t="b">
        <f t="shared" si="54"/>
        <v>0</v>
      </c>
      <c r="CJ18" t="b">
        <f t="shared" si="55"/>
        <v>0</v>
      </c>
      <c r="CK18">
        <f t="shared" si="56"/>
        <v>1</v>
      </c>
      <c r="CL18" t="b">
        <f t="shared" si="57"/>
        <v>0</v>
      </c>
      <c r="CM18">
        <f t="shared" si="58"/>
        <v>1</v>
      </c>
      <c r="CN18" t="b">
        <f t="shared" si="59"/>
        <v>0</v>
      </c>
      <c r="CO18" t="b">
        <f t="shared" si="60"/>
        <v>0</v>
      </c>
      <c r="CP18" t="b">
        <f t="shared" si="61"/>
        <v>0</v>
      </c>
      <c r="CQ18" t="b">
        <f t="shared" si="62"/>
        <v>0</v>
      </c>
      <c r="CR18" t="b">
        <f t="shared" si="63"/>
        <v>0</v>
      </c>
      <c r="CS18" t="b">
        <f t="shared" si="64"/>
        <v>0</v>
      </c>
      <c r="CT18" t="b">
        <f t="shared" si="65"/>
        <v>0</v>
      </c>
      <c r="CU18" t="b">
        <f t="shared" si="66"/>
        <v>0</v>
      </c>
      <c r="CV18">
        <f t="shared" si="67"/>
        <v>1</v>
      </c>
      <c r="CW18" t="b">
        <f t="shared" si="68"/>
        <v>0</v>
      </c>
      <c r="CX18" t="b">
        <f t="shared" si="69"/>
        <v>0</v>
      </c>
      <c r="CY18" t="b">
        <f t="shared" si="70"/>
        <v>0</v>
      </c>
      <c r="CZ18" t="b">
        <f t="shared" si="71"/>
        <v>0</v>
      </c>
      <c r="DA18">
        <f t="shared" si="72"/>
        <v>1</v>
      </c>
      <c r="DB18" t="b">
        <f t="shared" si="73"/>
        <v>0</v>
      </c>
      <c r="DC18" t="b">
        <f t="shared" si="74"/>
        <v>0</v>
      </c>
      <c r="DD18" t="b">
        <f t="shared" si="75"/>
        <v>0</v>
      </c>
      <c r="DE18" t="b">
        <f t="shared" si="76"/>
        <v>0</v>
      </c>
      <c r="DF18" t="b">
        <f t="shared" si="77"/>
        <v>0</v>
      </c>
      <c r="DG18" t="b">
        <f t="shared" si="78"/>
        <v>0</v>
      </c>
      <c r="DH18" t="b">
        <f t="shared" si="79"/>
        <v>0</v>
      </c>
      <c r="DI18" t="b">
        <f t="shared" si="80"/>
        <v>0</v>
      </c>
      <c r="DJ18" t="b">
        <f t="shared" si="81"/>
        <v>0</v>
      </c>
      <c r="DK18" t="b">
        <f t="shared" si="82"/>
        <v>0</v>
      </c>
      <c r="DL18" t="b">
        <f t="shared" si="83"/>
        <v>0</v>
      </c>
      <c r="DM18" t="b">
        <f t="shared" si="84"/>
        <v>0</v>
      </c>
      <c r="DN18" t="b">
        <f t="shared" si="85"/>
        <v>0</v>
      </c>
      <c r="DO18" t="b">
        <f t="shared" si="86"/>
        <v>0</v>
      </c>
      <c r="DP18" t="b">
        <f t="shared" si="87"/>
        <v>0</v>
      </c>
      <c r="DQ18" t="b">
        <f t="shared" si="88"/>
        <v>0</v>
      </c>
      <c r="DR18" t="b">
        <f t="shared" si="89"/>
        <v>0</v>
      </c>
      <c r="DS18" t="b">
        <f t="shared" si="90"/>
        <v>0</v>
      </c>
      <c r="DT18" t="b">
        <f t="shared" si="91"/>
        <v>0</v>
      </c>
      <c r="DU18" t="b">
        <f t="shared" si="92"/>
        <v>0</v>
      </c>
      <c r="DV18" t="b">
        <f t="shared" si="93"/>
        <v>0</v>
      </c>
      <c r="DW18" t="b">
        <f t="shared" si="94"/>
        <v>0</v>
      </c>
      <c r="DX18" t="b">
        <f t="shared" si="95"/>
        <v>0</v>
      </c>
      <c r="DY18" t="b">
        <f t="shared" si="96"/>
        <v>0</v>
      </c>
      <c r="DZ18" t="b">
        <f t="shared" si="97"/>
        <v>0</v>
      </c>
      <c r="EA18" t="b">
        <f t="shared" si="98"/>
        <v>0</v>
      </c>
      <c r="EB18" t="b">
        <f t="shared" si="99"/>
        <v>0</v>
      </c>
      <c r="EC18" t="b">
        <f t="shared" si="100"/>
        <v>0</v>
      </c>
      <c r="ED18" t="b">
        <f t="shared" si="101"/>
        <v>0</v>
      </c>
      <c r="EE18" t="b">
        <f t="shared" si="102"/>
        <v>0</v>
      </c>
      <c r="EF18" t="b">
        <f t="shared" si="103"/>
        <v>0</v>
      </c>
      <c r="EG18" t="b">
        <f t="shared" si="104"/>
        <v>0</v>
      </c>
      <c r="EH18" t="b">
        <f t="shared" si="105"/>
        <v>0</v>
      </c>
      <c r="EI18" t="b">
        <f t="shared" si="106"/>
        <v>0</v>
      </c>
      <c r="EJ18" t="b">
        <f t="shared" si="107"/>
        <v>0</v>
      </c>
      <c r="EK18" t="b">
        <f t="shared" si="108"/>
        <v>0</v>
      </c>
    </row>
    <row r="19" spans="1:141">
      <c r="A19" t="s">
        <v>215</v>
      </c>
      <c r="B19" t="s">
        <v>216</v>
      </c>
      <c r="C19" t="s">
        <v>217</v>
      </c>
      <c r="D19" s="1">
        <v>44531</v>
      </c>
      <c r="E19" s="2">
        <v>44576.124062499999</v>
      </c>
      <c r="F19" s="2">
        <v>44576.126886574071</v>
      </c>
      <c r="G19">
        <v>5470063</v>
      </c>
      <c r="H19" t="s">
        <v>218</v>
      </c>
      <c r="I19" s="10" t="s">
        <v>219</v>
      </c>
      <c r="J19" t="s">
        <v>220</v>
      </c>
      <c r="K19" s="8" t="b">
        <v>1</v>
      </c>
      <c r="L19" s="10" t="b">
        <v>0</v>
      </c>
      <c r="M19" s="12" t="b">
        <v>0</v>
      </c>
      <c r="N19" t="b">
        <v>0</v>
      </c>
      <c r="O19" t="b">
        <v>0</v>
      </c>
      <c r="P19" t="b">
        <v>0</v>
      </c>
      <c r="Q19">
        <f t="shared" si="1"/>
        <v>4</v>
      </c>
      <c r="R19">
        <f t="shared" si="2"/>
        <v>12</v>
      </c>
      <c r="S19" t="e">
        <f t="shared" ca="1" si="109"/>
        <v>#NAME?</v>
      </c>
      <c r="T19" t="e">
        <f t="shared" ca="1" si="3"/>
        <v>#NAME?</v>
      </c>
      <c r="U19" s="4">
        <f t="shared" si="4"/>
        <v>45.124062499999127</v>
      </c>
      <c r="V19" s="4">
        <f t="shared" si="5"/>
        <v>1.5041354166666376</v>
      </c>
      <c r="W19" s="4">
        <f t="shared" si="6"/>
        <v>1</v>
      </c>
      <c r="X19" s="4">
        <f t="shared" si="7"/>
        <v>0</v>
      </c>
      <c r="Y19" s="4">
        <f t="shared" si="8"/>
        <v>0</v>
      </c>
      <c r="Z19" s="4">
        <f t="shared" si="9"/>
        <v>0</v>
      </c>
      <c r="AA19" s="4">
        <f t="shared" si="10"/>
        <v>0</v>
      </c>
      <c r="AB19" s="4">
        <f t="shared" si="11"/>
        <v>0</v>
      </c>
      <c r="AD19" s="4" t="b">
        <f t="shared" si="12"/>
        <v>0</v>
      </c>
      <c r="AE19" s="4" t="b">
        <f t="shared" si="13"/>
        <v>0</v>
      </c>
      <c r="AF19" s="4" t="b">
        <f t="shared" si="14"/>
        <v>0</v>
      </c>
      <c r="AG19" t="b">
        <f t="shared" si="15"/>
        <v>0</v>
      </c>
      <c r="AH19" t="b">
        <f t="shared" si="16"/>
        <v>0</v>
      </c>
      <c r="AI19" t="b">
        <f t="shared" si="17"/>
        <v>0</v>
      </c>
      <c r="AJ19" t="b">
        <f t="shared" si="18"/>
        <v>0</v>
      </c>
      <c r="AK19" t="b">
        <f t="shared" si="19"/>
        <v>0</v>
      </c>
      <c r="AL19" t="b">
        <f t="shared" si="20"/>
        <v>0</v>
      </c>
      <c r="AM19" t="b">
        <f t="shared" si="21"/>
        <v>0</v>
      </c>
      <c r="AN19" t="b">
        <f t="shared" si="22"/>
        <v>0</v>
      </c>
      <c r="AO19" t="b">
        <f t="shared" si="23"/>
        <v>0</v>
      </c>
      <c r="AP19" t="b">
        <f t="shared" si="24"/>
        <v>0</v>
      </c>
      <c r="AQ19" t="b">
        <f t="shared" si="25"/>
        <v>0</v>
      </c>
      <c r="AR19" t="b">
        <f t="shared" si="26"/>
        <v>0</v>
      </c>
      <c r="AS19" t="b">
        <f t="shared" si="27"/>
        <v>0</v>
      </c>
      <c r="AT19" t="b">
        <f t="shared" si="28"/>
        <v>0</v>
      </c>
      <c r="AU19" t="b">
        <f t="shared" si="29"/>
        <v>0</v>
      </c>
      <c r="AV19" t="b">
        <f t="shared" si="30"/>
        <v>0</v>
      </c>
      <c r="AW19" t="b">
        <f t="shared" si="31"/>
        <v>0</v>
      </c>
      <c r="AX19" t="b">
        <f t="shared" si="110"/>
        <v>0</v>
      </c>
      <c r="AY19" t="b">
        <f t="shared" si="111"/>
        <v>0</v>
      </c>
      <c r="AZ19" t="b">
        <f t="shared" si="112"/>
        <v>0</v>
      </c>
      <c r="BA19" t="b">
        <f t="shared" si="113"/>
        <v>0</v>
      </c>
      <c r="BB19" t="b">
        <f t="shared" si="114"/>
        <v>0</v>
      </c>
      <c r="BC19" t="b">
        <f t="shared" si="115"/>
        <v>0</v>
      </c>
      <c r="BD19" t="b">
        <f t="shared" si="116"/>
        <v>0</v>
      </c>
      <c r="BE19" t="b">
        <f t="shared" si="117"/>
        <v>0</v>
      </c>
      <c r="BF19" t="b">
        <f t="shared" si="118"/>
        <v>0</v>
      </c>
      <c r="BG19" t="b">
        <f t="shared" si="119"/>
        <v>0</v>
      </c>
      <c r="BH19" t="b">
        <f t="shared" si="120"/>
        <v>0</v>
      </c>
      <c r="BI19">
        <f t="shared" si="121"/>
        <v>1</v>
      </c>
      <c r="BJ19" t="b">
        <f t="shared" si="122"/>
        <v>0</v>
      </c>
      <c r="BK19" t="b">
        <f t="shared" si="123"/>
        <v>0</v>
      </c>
      <c r="BL19" t="b">
        <f t="shared" si="124"/>
        <v>0</v>
      </c>
      <c r="BM19" t="b">
        <f t="shared" si="32"/>
        <v>0</v>
      </c>
      <c r="BN19" t="b">
        <f t="shared" si="33"/>
        <v>0</v>
      </c>
      <c r="BO19" t="b">
        <f t="shared" si="34"/>
        <v>0</v>
      </c>
      <c r="BP19" t="b">
        <f t="shared" si="35"/>
        <v>0</v>
      </c>
      <c r="BQ19" t="b">
        <f t="shared" si="36"/>
        <v>0</v>
      </c>
      <c r="BR19">
        <f t="shared" si="37"/>
        <v>1</v>
      </c>
      <c r="BS19" t="b">
        <f t="shared" si="38"/>
        <v>0</v>
      </c>
      <c r="BT19" t="b">
        <f t="shared" si="39"/>
        <v>0</v>
      </c>
      <c r="BU19" t="b">
        <f t="shared" si="40"/>
        <v>0</v>
      </c>
      <c r="BV19" t="b">
        <f t="shared" si="41"/>
        <v>0</v>
      </c>
      <c r="BW19" t="b">
        <f t="shared" si="42"/>
        <v>0</v>
      </c>
      <c r="BX19" t="b">
        <f t="shared" si="43"/>
        <v>0</v>
      </c>
      <c r="BY19" t="b">
        <f t="shared" si="44"/>
        <v>0</v>
      </c>
      <c r="BZ19" t="b">
        <f t="shared" si="45"/>
        <v>0</v>
      </c>
      <c r="CA19" t="b">
        <f t="shared" si="46"/>
        <v>0</v>
      </c>
      <c r="CB19" t="b">
        <f t="shared" si="47"/>
        <v>0</v>
      </c>
      <c r="CC19">
        <f t="shared" si="48"/>
        <v>1</v>
      </c>
      <c r="CD19" t="b">
        <f t="shared" si="49"/>
        <v>0</v>
      </c>
      <c r="CE19" t="b">
        <f t="shared" si="50"/>
        <v>0</v>
      </c>
      <c r="CF19" t="b">
        <f t="shared" si="51"/>
        <v>0</v>
      </c>
      <c r="CG19" t="b">
        <f t="shared" si="52"/>
        <v>0</v>
      </c>
      <c r="CH19" t="b">
        <f t="shared" si="53"/>
        <v>0</v>
      </c>
      <c r="CI19" t="b">
        <f t="shared" si="54"/>
        <v>0</v>
      </c>
      <c r="CJ19" t="b">
        <f t="shared" si="55"/>
        <v>0</v>
      </c>
      <c r="CK19">
        <f t="shared" si="56"/>
        <v>1</v>
      </c>
      <c r="CL19" t="b">
        <f t="shared" si="57"/>
        <v>0</v>
      </c>
      <c r="CM19">
        <f t="shared" si="58"/>
        <v>1</v>
      </c>
      <c r="CN19" t="b">
        <f t="shared" si="59"/>
        <v>0</v>
      </c>
      <c r="CO19" t="b">
        <f t="shared" si="60"/>
        <v>0</v>
      </c>
      <c r="CP19" t="b">
        <f t="shared" si="61"/>
        <v>0</v>
      </c>
      <c r="CQ19" t="b">
        <f t="shared" si="62"/>
        <v>0</v>
      </c>
      <c r="CR19" t="b">
        <f t="shared" si="63"/>
        <v>0</v>
      </c>
      <c r="CS19" t="b">
        <f t="shared" si="64"/>
        <v>0</v>
      </c>
      <c r="CT19" t="b">
        <f t="shared" si="65"/>
        <v>0</v>
      </c>
      <c r="CU19" t="b">
        <f t="shared" si="66"/>
        <v>0</v>
      </c>
      <c r="CV19">
        <f t="shared" si="67"/>
        <v>1</v>
      </c>
      <c r="CW19" t="b">
        <f t="shared" si="68"/>
        <v>0</v>
      </c>
      <c r="CX19" t="b">
        <f t="shared" si="69"/>
        <v>0</v>
      </c>
      <c r="CY19" t="b">
        <f t="shared" si="70"/>
        <v>0</v>
      </c>
      <c r="CZ19" t="b">
        <f t="shared" si="71"/>
        <v>0</v>
      </c>
      <c r="DA19">
        <f t="shared" si="72"/>
        <v>1</v>
      </c>
      <c r="DB19">
        <f t="shared" si="73"/>
        <v>1</v>
      </c>
      <c r="DC19" t="b">
        <f t="shared" si="74"/>
        <v>0</v>
      </c>
      <c r="DD19" t="b">
        <f t="shared" si="75"/>
        <v>0</v>
      </c>
      <c r="DE19" t="b">
        <f t="shared" si="76"/>
        <v>0</v>
      </c>
      <c r="DF19" t="b">
        <f t="shared" si="77"/>
        <v>0</v>
      </c>
      <c r="DG19" t="b">
        <f t="shared" si="78"/>
        <v>0</v>
      </c>
      <c r="DH19" t="b">
        <f t="shared" si="79"/>
        <v>0</v>
      </c>
      <c r="DI19" t="b">
        <f t="shared" si="80"/>
        <v>0</v>
      </c>
      <c r="DJ19">
        <f t="shared" si="81"/>
        <v>1</v>
      </c>
      <c r="DK19" t="b">
        <f t="shared" si="82"/>
        <v>0</v>
      </c>
      <c r="DL19" t="b">
        <f t="shared" si="83"/>
        <v>0</v>
      </c>
      <c r="DM19" t="b">
        <f t="shared" si="84"/>
        <v>0</v>
      </c>
      <c r="DN19" t="b">
        <f t="shared" si="85"/>
        <v>0</v>
      </c>
      <c r="DO19" t="b">
        <f t="shared" si="86"/>
        <v>0</v>
      </c>
      <c r="DP19" t="b">
        <f t="shared" si="87"/>
        <v>0</v>
      </c>
      <c r="DQ19">
        <f t="shared" si="88"/>
        <v>1</v>
      </c>
      <c r="DR19" t="b">
        <f t="shared" si="89"/>
        <v>0</v>
      </c>
      <c r="DS19" t="b">
        <f t="shared" si="90"/>
        <v>0</v>
      </c>
      <c r="DT19" t="b">
        <f t="shared" si="91"/>
        <v>0</v>
      </c>
      <c r="DU19" t="b">
        <f t="shared" si="92"/>
        <v>0</v>
      </c>
      <c r="DV19" t="b">
        <f t="shared" si="93"/>
        <v>0</v>
      </c>
      <c r="DW19" t="b">
        <f t="shared" si="94"/>
        <v>0</v>
      </c>
      <c r="DX19" t="b">
        <f t="shared" si="95"/>
        <v>0</v>
      </c>
      <c r="DY19" t="b">
        <f t="shared" si="96"/>
        <v>0</v>
      </c>
      <c r="DZ19" t="b">
        <f t="shared" si="97"/>
        <v>0</v>
      </c>
      <c r="EA19" t="b">
        <f t="shared" si="98"/>
        <v>0</v>
      </c>
      <c r="EB19" t="b">
        <f t="shared" si="99"/>
        <v>0</v>
      </c>
      <c r="EC19" t="b">
        <f t="shared" si="100"/>
        <v>0</v>
      </c>
      <c r="ED19" t="b">
        <f t="shared" si="101"/>
        <v>0</v>
      </c>
      <c r="EE19" t="b">
        <f t="shared" si="102"/>
        <v>0</v>
      </c>
      <c r="EF19" t="b">
        <f t="shared" si="103"/>
        <v>0</v>
      </c>
      <c r="EG19" t="b">
        <f t="shared" si="104"/>
        <v>0</v>
      </c>
      <c r="EH19" t="b">
        <f t="shared" si="105"/>
        <v>0</v>
      </c>
      <c r="EI19" t="b">
        <f t="shared" si="106"/>
        <v>0</v>
      </c>
      <c r="EJ19" t="b">
        <f t="shared" si="107"/>
        <v>0</v>
      </c>
      <c r="EK19" t="b">
        <f t="shared" si="108"/>
        <v>0</v>
      </c>
    </row>
    <row r="20" spans="1:141">
      <c r="A20" t="s">
        <v>221</v>
      </c>
      <c r="B20" t="s">
        <v>221</v>
      </c>
      <c r="C20" t="s">
        <v>222</v>
      </c>
      <c r="D20" s="1">
        <v>41551</v>
      </c>
      <c r="E20" s="2">
        <v>41612</v>
      </c>
      <c r="F20" s="2">
        <v>44696.995011574072</v>
      </c>
      <c r="G20">
        <v>152445165</v>
      </c>
      <c r="H20" t="s">
        <v>223</v>
      </c>
      <c r="I20" s="10" t="s">
        <v>224</v>
      </c>
      <c r="J20" t="s">
        <v>225</v>
      </c>
      <c r="K20" s="8" t="b">
        <v>1</v>
      </c>
      <c r="L20" s="10" t="b">
        <v>0</v>
      </c>
      <c r="M20" s="12" t="b">
        <v>0</v>
      </c>
      <c r="N20" t="b">
        <v>0</v>
      </c>
      <c r="O20" t="b">
        <v>0</v>
      </c>
      <c r="P20" t="b">
        <v>0</v>
      </c>
      <c r="Q20">
        <f t="shared" si="1"/>
        <v>6</v>
      </c>
      <c r="R20">
        <f t="shared" si="2"/>
        <v>10</v>
      </c>
      <c r="S20" t="e">
        <f t="shared" ca="1" si="109"/>
        <v>#NAME?</v>
      </c>
      <c r="T20" t="e">
        <f t="shared" ca="1" si="3"/>
        <v>#NAME?</v>
      </c>
      <c r="U20" s="4">
        <f t="shared" si="4"/>
        <v>61</v>
      </c>
      <c r="V20" s="4">
        <f t="shared" si="5"/>
        <v>2.0333333333333332</v>
      </c>
      <c r="W20" s="4">
        <f t="shared" si="6"/>
        <v>1</v>
      </c>
      <c r="X20" s="4">
        <f t="shared" si="7"/>
        <v>0</v>
      </c>
      <c r="Y20" s="4">
        <f t="shared" si="8"/>
        <v>0</v>
      </c>
      <c r="Z20" s="4">
        <f t="shared" si="9"/>
        <v>0</v>
      </c>
      <c r="AA20" s="4">
        <f t="shared" si="10"/>
        <v>0</v>
      </c>
      <c r="AB20" s="4">
        <f t="shared" si="11"/>
        <v>0</v>
      </c>
      <c r="AD20" s="4" t="b">
        <f t="shared" si="12"/>
        <v>0</v>
      </c>
      <c r="AE20" s="4" t="b">
        <f t="shared" si="13"/>
        <v>0</v>
      </c>
      <c r="AF20" s="4" t="b">
        <f t="shared" si="14"/>
        <v>0</v>
      </c>
      <c r="AG20" t="b">
        <f t="shared" si="15"/>
        <v>0</v>
      </c>
      <c r="AH20" t="b">
        <f t="shared" si="16"/>
        <v>0</v>
      </c>
      <c r="AI20" t="b">
        <f t="shared" si="17"/>
        <v>0</v>
      </c>
      <c r="AJ20" t="b">
        <f t="shared" si="18"/>
        <v>0</v>
      </c>
      <c r="AK20" t="b">
        <f t="shared" si="19"/>
        <v>0</v>
      </c>
      <c r="AL20" t="b">
        <f t="shared" si="20"/>
        <v>0</v>
      </c>
      <c r="AM20" t="b">
        <f t="shared" si="21"/>
        <v>0</v>
      </c>
      <c r="AN20" t="b">
        <f t="shared" si="22"/>
        <v>0</v>
      </c>
      <c r="AO20" t="b">
        <f t="shared" si="23"/>
        <v>0</v>
      </c>
      <c r="AP20" t="b">
        <f t="shared" si="24"/>
        <v>0</v>
      </c>
      <c r="AQ20" t="b">
        <f t="shared" si="25"/>
        <v>0</v>
      </c>
      <c r="AR20" t="b">
        <f t="shared" si="26"/>
        <v>0</v>
      </c>
      <c r="AS20" t="b">
        <f t="shared" si="27"/>
        <v>0</v>
      </c>
      <c r="AT20" t="b">
        <f t="shared" si="28"/>
        <v>0</v>
      </c>
      <c r="AU20" t="b">
        <f t="shared" si="29"/>
        <v>0</v>
      </c>
      <c r="AV20" t="b">
        <f t="shared" si="30"/>
        <v>0</v>
      </c>
      <c r="AW20" t="b">
        <f t="shared" si="31"/>
        <v>0</v>
      </c>
      <c r="AX20" t="b">
        <f t="shared" si="110"/>
        <v>0</v>
      </c>
      <c r="AY20" t="b">
        <f t="shared" si="111"/>
        <v>0</v>
      </c>
      <c r="AZ20" t="b">
        <f t="shared" si="112"/>
        <v>0</v>
      </c>
      <c r="BA20" t="b">
        <f t="shared" si="113"/>
        <v>0</v>
      </c>
      <c r="BB20" t="b">
        <f t="shared" si="114"/>
        <v>0</v>
      </c>
      <c r="BC20" t="b">
        <f t="shared" si="115"/>
        <v>0</v>
      </c>
      <c r="BD20" t="b">
        <f t="shared" si="116"/>
        <v>0</v>
      </c>
      <c r="BE20" t="b">
        <f t="shared" si="117"/>
        <v>0</v>
      </c>
      <c r="BF20" t="b">
        <f t="shared" si="118"/>
        <v>0</v>
      </c>
      <c r="BG20" t="b">
        <f t="shared" si="119"/>
        <v>0</v>
      </c>
      <c r="BH20" t="b">
        <f t="shared" si="120"/>
        <v>0</v>
      </c>
      <c r="BI20">
        <f t="shared" si="121"/>
        <v>1</v>
      </c>
      <c r="BJ20" t="b">
        <f t="shared" si="122"/>
        <v>0</v>
      </c>
      <c r="BK20" t="b">
        <f t="shared" si="123"/>
        <v>0</v>
      </c>
      <c r="BL20" t="b">
        <f t="shared" si="124"/>
        <v>0</v>
      </c>
      <c r="BM20" t="b">
        <f t="shared" si="32"/>
        <v>0</v>
      </c>
      <c r="BN20" t="b">
        <f t="shared" si="33"/>
        <v>0</v>
      </c>
      <c r="BO20" t="b">
        <f t="shared" si="34"/>
        <v>0</v>
      </c>
      <c r="BP20" t="b">
        <f t="shared" si="35"/>
        <v>0</v>
      </c>
      <c r="BQ20" t="b">
        <f t="shared" si="36"/>
        <v>0</v>
      </c>
      <c r="BR20" t="b">
        <f t="shared" si="37"/>
        <v>0</v>
      </c>
      <c r="BS20" t="b">
        <f t="shared" si="38"/>
        <v>0</v>
      </c>
      <c r="BT20" t="b">
        <f t="shared" si="39"/>
        <v>0</v>
      </c>
      <c r="BU20" t="b">
        <f t="shared" si="40"/>
        <v>0</v>
      </c>
      <c r="BV20" t="b">
        <f t="shared" si="41"/>
        <v>0</v>
      </c>
      <c r="BW20" t="b">
        <f t="shared" si="42"/>
        <v>0</v>
      </c>
      <c r="BX20" t="b">
        <f t="shared" si="43"/>
        <v>0</v>
      </c>
      <c r="BY20" t="b">
        <f t="shared" si="44"/>
        <v>0</v>
      </c>
      <c r="BZ20" t="b">
        <f t="shared" si="45"/>
        <v>0</v>
      </c>
      <c r="CA20" t="b">
        <f t="shared" si="46"/>
        <v>0</v>
      </c>
      <c r="CB20" t="b">
        <f t="shared" si="47"/>
        <v>0</v>
      </c>
      <c r="CC20" t="b">
        <f t="shared" si="48"/>
        <v>0</v>
      </c>
      <c r="CD20" t="b">
        <f t="shared" si="49"/>
        <v>0</v>
      </c>
      <c r="CE20" t="b">
        <f t="shared" si="50"/>
        <v>0</v>
      </c>
      <c r="CF20" t="b">
        <f t="shared" si="51"/>
        <v>0</v>
      </c>
      <c r="CG20" t="b">
        <f t="shared" si="52"/>
        <v>0</v>
      </c>
      <c r="CH20" t="b">
        <f t="shared" si="53"/>
        <v>0</v>
      </c>
      <c r="CI20" t="b">
        <f t="shared" si="54"/>
        <v>0</v>
      </c>
      <c r="CJ20" t="b">
        <f t="shared" si="55"/>
        <v>0</v>
      </c>
      <c r="CK20" t="b">
        <f t="shared" si="56"/>
        <v>0</v>
      </c>
      <c r="CL20" t="b">
        <f t="shared" si="57"/>
        <v>0</v>
      </c>
      <c r="CM20" t="b">
        <f t="shared" si="58"/>
        <v>0</v>
      </c>
      <c r="CN20" t="b">
        <f t="shared" si="59"/>
        <v>0</v>
      </c>
      <c r="CO20" t="b">
        <f t="shared" si="60"/>
        <v>0</v>
      </c>
      <c r="CP20" t="b">
        <f t="shared" si="61"/>
        <v>0</v>
      </c>
      <c r="CQ20" t="b">
        <f t="shared" si="62"/>
        <v>0</v>
      </c>
      <c r="CR20" t="b">
        <f t="shared" si="63"/>
        <v>0</v>
      </c>
      <c r="CS20" t="b">
        <f t="shared" si="64"/>
        <v>0</v>
      </c>
      <c r="CT20" t="b">
        <f t="shared" si="65"/>
        <v>0</v>
      </c>
      <c r="CU20" t="b">
        <f t="shared" si="66"/>
        <v>0</v>
      </c>
      <c r="CV20">
        <f t="shared" si="67"/>
        <v>1</v>
      </c>
      <c r="CW20" t="b">
        <f t="shared" si="68"/>
        <v>0</v>
      </c>
      <c r="CX20" t="b">
        <f t="shared" si="69"/>
        <v>0</v>
      </c>
      <c r="CY20" t="b">
        <f t="shared" si="70"/>
        <v>0</v>
      </c>
      <c r="CZ20" t="b">
        <f t="shared" si="71"/>
        <v>0</v>
      </c>
      <c r="DA20" t="b">
        <f t="shared" si="72"/>
        <v>0</v>
      </c>
      <c r="DB20" t="b">
        <f t="shared" si="73"/>
        <v>0</v>
      </c>
      <c r="DC20" t="b">
        <f t="shared" si="74"/>
        <v>0</v>
      </c>
      <c r="DD20" t="b">
        <f t="shared" si="75"/>
        <v>0</v>
      </c>
      <c r="DE20" t="b">
        <f t="shared" si="76"/>
        <v>0</v>
      </c>
      <c r="DF20" t="b">
        <f t="shared" si="77"/>
        <v>0</v>
      </c>
      <c r="DG20" t="b">
        <f t="shared" si="78"/>
        <v>0</v>
      </c>
      <c r="DH20" t="b">
        <f t="shared" si="79"/>
        <v>0</v>
      </c>
      <c r="DI20" t="b">
        <f t="shared" si="80"/>
        <v>0</v>
      </c>
      <c r="DJ20" t="b">
        <f t="shared" si="81"/>
        <v>0</v>
      </c>
      <c r="DK20" t="b">
        <f t="shared" si="82"/>
        <v>0</v>
      </c>
      <c r="DL20" t="b">
        <f t="shared" si="83"/>
        <v>0</v>
      </c>
      <c r="DM20" t="b">
        <f t="shared" si="84"/>
        <v>0</v>
      </c>
      <c r="DN20" t="b">
        <f t="shared" si="85"/>
        <v>0</v>
      </c>
      <c r="DO20" t="b">
        <f t="shared" si="86"/>
        <v>0</v>
      </c>
      <c r="DP20" t="b">
        <f t="shared" si="87"/>
        <v>0</v>
      </c>
      <c r="DQ20" t="b">
        <f t="shared" si="88"/>
        <v>0</v>
      </c>
      <c r="DR20" t="b">
        <f t="shared" si="89"/>
        <v>0</v>
      </c>
      <c r="DS20" t="b">
        <f t="shared" si="90"/>
        <v>0</v>
      </c>
      <c r="DT20" t="b">
        <f t="shared" si="91"/>
        <v>0</v>
      </c>
      <c r="DU20" t="b">
        <f t="shared" si="92"/>
        <v>0</v>
      </c>
      <c r="DV20" t="b">
        <f t="shared" si="93"/>
        <v>0</v>
      </c>
      <c r="DW20" t="b">
        <f t="shared" si="94"/>
        <v>0</v>
      </c>
      <c r="DX20" t="b">
        <f t="shared" si="95"/>
        <v>0</v>
      </c>
      <c r="DY20" t="b">
        <f t="shared" si="96"/>
        <v>0</v>
      </c>
      <c r="DZ20" t="b">
        <f t="shared" si="97"/>
        <v>0</v>
      </c>
      <c r="EA20" t="b">
        <f t="shared" si="98"/>
        <v>0</v>
      </c>
      <c r="EB20" t="b">
        <f t="shared" si="99"/>
        <v>0</v>
      </c>
      <c r="EC20" t="b">
        <f t="shared" si="100"/>
        <v>0</v>
      </c>
      <c r="ED20" t="b">
        <f t="shared" si="101"/>
        <v>0</v>
      </c>
      <c r="EE20" t="b">
        <f t="shared" si="102"/>
        <v>0</v>
      </c>
      <c r="EF20">
        <f t="shared" si="103"/>
        <v>1</v>
      </c>
      <c r="EG20" t="b">
        <f t="shared" si="104"/>
        <v>0</v>
      </c>
      <c r="EH20" t="b">
        <f t="shared" si="105"/>
        <v>0</v>
      </c>
      <c r="EI20" t="b">
        <f t="shared" si="106"/>
        <v>0</v>
      </c>
      <c r="EJ20" t="b">
        <f t="shared" si="107"/>
        <v>0</v>
      </c>
      <c r="EK20" t="b">
        <f t="shared" si="108"/>
        <v>0</v>
      </c>
    </row>
    <row r="21" spans="1:141">
      <c r="A21" t="s">
        <v>226</v>
      </c>
      <c r="B21" t="s">
        <v>227</v>
      </c>
      <c r="C21" t="s">
        <v>228</v>
      </c>
      <c r="D21" s="1">
        <v>42145</v>
      </c>
      <c r="E21" s="2">
        <v>42146.252592592595</v>
      </c>
      <c r="F21" s="2">
        <v>43868.049456018518</v>
      </c>
      <c r="G21">
        <v>3867997</v>
      </c>
      <c r="H21" t="s">
        <v>229</v>
      </c>
      <c r="I21" s="10" t="s">
        <v>230</v>
      </c>
      <c r="J21" t="s">
        <v>231</v>
      </c>
      <c r="K21" s="8" t="b">
        <v>1</v>
      </c>
      <c r="L21" s="10" t="b">
        <v>0</v>
      </c>
      <c r="M21" s="12" t="b">
        <v>1</v>
      </c>
      <c r="N21" t="b">
        <v>0</v>
      </c>
      <c r="O21" t="b">
        <v>0</v>
      </c>
      <c r="P21" t="b">
        <v>0</v>
      </c>
      <c r="Q21">
        <f t="shared" si="1"/>
        <v>5</v>
      </c>
      <c r="R21">
        <f t="shared" si="2"/>
        <v>5</v>
      </c>
      <c r="S21" t="e">
        <f t="shared" ca="1" si="109"/>
        <v>#NAME?</v>
      </c>
      <c r="T21" t="e">
        <f t="shared" ca="1" si="3"/>
        <v>#NAME?</v>
      </c>
      <c r="U21" s="4">
        <f t="shared" si="4"/>
        <v>1.2525925925947377</v>
      </c>
      <c r="V21" s="4">
        <f t="shared" si="5"/>
        <v>4.1753086419824587E-2</v>
      </c>
      <c r="W21" s="4">
        <f t="shared" si="6"/>
        <v>1</v>
      </c>
      <c r="X21" s="4">
        <f t="shared" si="7"/>
        <v>0</v>
      </c>
      <c r="Y21" s="4">
        <f t="shared" si="8"/>
        <v>1</v>
      </c>
      <c r="Z21" s="4">
        <f t="shared" si="9"/>
        <v>0</v>
      </c>
      <c r="AA21" s="4">
        <f t="shared" si="10"/>
        <v>0</v>
      </c>
      <c r="AB21" s="4">
        <f t="shared" si="11"/>
        <v>0</v>
      </c>
      <c r="AD21" s="4" t="b">
        <f t="shared" si="12"/>
        <v>0</v>
      </c>
      <c r="AE21" s="4" t="b">
        <f t="shared" si="13"/>
        <v>0</v>
      </c>
      <c r="AF21" s="4" t="b">
        <f t="shared" si="14"/>
        <v>0</v>
      </c>
      <c r="AG21" t="b">
        <f t="shared" si="15"/>
        <v>0</v>
      </c>
      <c r="AH21" t="b">
        <f t="shared" si="16"/>
        <v>0</v>
      </c>
      <c r="AI21" t="b">
        <f t="shared" si="17"/>
        <v>0</v>
      </c>
      <c r="AJ21" t="b">
        <f t="shared" si="18"/>
        <v>0</v>
      </c>
      <c r="AK21" t="b">
        <f t="shared" si="19"/>
        <v>0</v>
      </c>
      <c r="AL21" t="b">
        <f t="shared" si="20"/>
        <v>0</v>
      </c>
      <c r="AM21" t="b">
        <f t="shared" si="21"/>
        <v>0</v>
      </c>
      <c r="AN21" t="b">
        <f t="shared" si="22"/>
        <v>0</v>
      </c>
      <c r="AO21" t="b">
        <f t="shared" si="23"/>
        <v>0</v>
      </c>
      <c r="AP21" t="b">
        <f t="shared" si="24"/>
        <v>0</v>
      </c>
      <c r="AQ21" t="b">
        <f t="shared" si="25"/>
        <v>0</v>
      </c>
      <c r="AR21" t="b">
        <f t="shared" si="26"/>
        <v>0</v>
      </c>
      <c r="AS21" t="b">
        <f t="shared" si="27"/>
        <v>0</v>
      </c>
      <c r="AT21" t="b">
        <f t="shared" si="28"/>
        <v>0</v>
      </c>
      <c r="AU21" t="b">
        <f t="shared" si="29"/>
        <v>0</v>
      </c>
      <c r="AV21" t="b">
        <f t="shared" si="30"/>
        <v>0</v>
      </c>
      <c r="AW21" t="b">
        <f t="shared" si="31"/>
        <v>0</v>
      </c>
      <c r="AX21" t="b">
        <f t="shared" si="110"/>
        <v>0</v>
      </c>
      <c r="AY21" t="b">
        <f t="shared" si="111"/>
        <v>0</v>
      </c>
      <c r="AZ21">
        <f t="shared" si="112"/>
        <v>1</v>
      </c>
      <c r="BA21" t="b">
        <f t="shared" si="113"/>
        <v>0</v>
      </c>
      <c r="BB21" t="b">
        <f t="shared" si="114"/>
        <v>0</v>
      </c>
      <c r="BC21" t="b">
        <f t="shared" si="115"/>
        <v>0</v>
      </c>
      <c r="BD21" t="b">
        <f t="shared" si="116"/>
        <v>0</v>
      </c>
      <c r="BE21" t="b">
        <f t="shared" si="117"/>
        <v>0</v>
      </c>
      <c r="BF21" t="b">
        <f t="shared" si="118"/>
        <v>0</v>
      </c>
      <c r="BG21" t="b">
        <f t="shared" si="119"/>
        <v>0</v>
      </c>
      <c r="BH21" t="b">
        <f t="shared" si="120"/>
        <v>0</v>
      </c>
      <c r="BI21">
        <f t="shared" si="121"/>
        <v>1</v>
      </c>
      <c r="BJ21" t="b">
        <f t="shared" si="122"/>
        <v>0</v>
      </c>
      <c r="BK21" t="b">
        <f t="shared" si="123"/>
        <v>0</v>
      </c>
      <c r="BL21" t="b">
        <f t="shared" si="124"/>
        <v>0</v>
      </c>
      <c r="BM21" t="b">
        <f t="shared" si="32"/>
        <v>0</v>
      </c>
      <c r="BN21" t="b">
        <f t="shared" si="33"/>
        <v>0</v>
      </c>
      <c r="BO21" t="b">
        <f t="shared" si="34"/>
        <v>0</v>
      </c>
      <c r="BP21" t="b">
        <f t="shared" si="35"/>
        <v>0</v>
      </c>
      <c r="BQ21" t="b">
        <f t="shared" si="36"/>
        <v>0</v>
      </c>
      <c r="BR21">
        <f t="shared" si="37"/>
        <v>1</v>
      </c>
      <c r="BS21">
        <f t="shared" si="38"/>
        <v>1</v>
      </c>
      <c r="BT21" t="b">
        <f t="shared" si="39"/>
        <v>0</v>
      </c>
      <c r="BU21" t="b">
        <f t="shared" si="40"/>
        <v>0</v>
      </c>
      <c r="BV21" t="b">
        <f t="shared" si="41"/>
        <v>0</v>
      </c>
      <c r="BW21" t="b">
        <f t="shared" si="42"/>
        <v>0</v>
      </c>
      <c r="BX21" t="b">
        <f t="shared" si="43"/>
        <v>0</v>
      </c>
      <c r="BY21" t="b">
        <f t="shared" si="44"/>
        <v>0</v>
      </c>
      <c r="BZ21" t="b">
        <f t="shared" si="45"/>
        <v>0</v>
      </c>
      <c r="CA21" t="b">
        <f t="shared" si="46"/>
        <v>0</v>
      </c>
      <c r="CB21" t="b">
        <f t="shared" si="47"/>
        <v>0</v>
      </c>
      <c r="CC21" t="b">
        <f t="shared" si="48"/>
        <v>0</v>
      </c>
      <c r="CD21" t="b">
        <f t="shared" si="49"/>
        <v>0</v>
      </c>
      <c r="CE21">
        <f t="shared" si="50"/>
        <v>1</v>
      </c>
      <c r="CF21" t="b">
        <f t="shared" si="51"/>
        <v>0</v>
      </c>
      <c r="CG21" t="b">
        <f t="shared" si="52"/>
        <v>0</v>
      </c>
      <c r="CH21" t="b">
        <f t="shared" si="53"/>
        <v>0</v>
      </c>
      <c r="CI21" t="b">
        <f t="shared" si="54"/>
        <v>0</v>
      </c>
      <c r="CJ21" t="b">
        <f t="shared" si="55"/>
        <v>0</v>
      </c>
      <c r="CK21" t="b">
        <f t="shared" si="56"/>
        <v>0</v>
      </c>
      <c r="CL21" t="b">
        <f t="shared" si="57"/>
        <v>0</v>
      </c>
      <c r="CM21" t="b">
        <f t="shared" si="58"/>
        <v>0</v>
      </c>
      <c r="CN21" t="b">
        <f t="shared" si="59"/>
        <v>0</v>
      </c>
      <c r="CO21" t="b">
        <f t="shared" si="60"/>
        <v>0</v>
      </c>
      <c r="CP21" t="b">
        <f t="shared" si="61"/>
        <v>0</v>
      </c>
      <c r="CQ21" t="b">
        <f t="shared" si="62"/>
        <v>0</v>
      </c>
      <c r="CR21" t="b">
        <f t="shared" si="63"/>
        <v>0</v>
      </c>
      <c r="CS21" t="b">
        <f t="shared" si="64"/>
        <v>0</v>
      </c>
      <c r="CT21" t="b">
        <f t="shared" si="65"/>
        <v>0</v>
      </c>
      <c r="CU21" t="b">
        <f t="shared" si="66"/>
        <v>0</v>
      </c>
      <c r="CV21" t="b">
        <f t="shared" si="67"/>
        <v>0</v>
      </c>
      <c r="CW21" t="b">
        <f t="shared" si="68"/>
        <v>0</v>
      </c>
      <c r="CX21" t="b">
        <f t="shared" si="69"/>
        <v>0</v>
      </c>
      <c r="CY21" t="b">
        <f t="shared" si="70"/>
        <v>0</v>
      </c>
      <c r="CZ21" t="b">
        <f t="shared" si="71"/>
        <v>0</v>
      </c>
      <c r="DA21" t="b">
        <f t="shared" si="72"/>
        <v>0</v>
      </c>
      <c r="DB21" t="b">
        <f t="shared" si="73"/>
        <v>0</v>
      </c>
      <c r="DC21" t="b">
        <f t="shared" si="74"/>
        <v>0</v>
      </c>
      <c r="DD21" t="b">
        <f t="shared" si="75"/>
        <v>0</v>
      </c>
      <c r="DE21" t="b">
        <f t="shared" si="76"/>
        <v>0</v>
      </c>
      <c r="DF21" t="b">
        <f t="shared" si="77"/>
        <v>0</v>
      </c>
      <c r="DG21" t="b">
        <f t="shared" si="78"/>
        <v>0</v>
      </c>
      <c r="DH21" t="b">
        <f t="shared" si="79"/>
        <v>0</v>
      </c>
      <c r="DI21" t="b">
        <f t="shared" si="80"/>
        <v>0</v>
      </c>
      <c r="DJ21" t="b">
        <f t="shared" si="81"/>
        <v>0</v>
      </c>
      <c r="DK21" t="b">
        <f t="shared" si="82"/>
        <v>0</v>
      </c>
      <c r="DL21">
        <f t="shared" si="83"/>
        <v>1</v>
      </c>
      <c r="DM21" t="b">
        <f t="shared" si="84"/>
        <v>0</v>
      </c>
      <c r="DN21">
        <f t="shared" si="85"/>
        <v>1</v>
      </c>
      <c r="DO21" t="b">
        <f t="shared" si="86"/>
        <v>0</v>
      </c>
      <c r="DP21" t="b">
        <f t="shared" si="87"/>
        <v>0</v>
      </c>
      <c r="DQ21" t="b">
        <f t="shared" si="88"/>
        <v>0</v>
      </c>
      <c r="DR21" t="b">
        <f t="shared" si="89"/>
        <v>0</v>
      </c>
      <c r="DS21" t="b">
        <f t="shared" si="90"/>
        <v>0</v>
      </c>
      <c r="DT21" t="b">
        <f t="shared" si="91"/>
        <v>0</v>
      </c>
      <c r="DU21">
        <f t="shared" si="92"/>
        <v>1</v>
      </c>
      <c r="DV21" t="b">
        <f t="shared" si="93"/>
        <v>0</v>
      </c>
      <c r="DW21" t="b">
        <f t="shared" si="94"/>
        <v>0</v>
      </c>
      <c r="DX21" t="b">
        <f t="shared" si="95"/>
        <v>0</v>
      </c>
      <c r="DY21" t="b">
        <f t="shared" si="96"/>
        <v>0</v>
      </c>
      <c r="DZ21" t="b">
        <f t="shared" si="97"/>
        <v>0</v>
      </c>
      <c r="EA21">
        <f t="shared" si="98"/>
        <v>1</v>
      </c>
      <c r="EB21" t="b">
        <f t="shared" si="99"/>
        <v>0</v>
      </c>
      <c r="EC21" t="b">
        <f t="shared" si="100"/>
        <v>0</v>
      </c>
      <c r="ED21" t="b">
        <f t="shared" si="101"/>
        <v>0</v>
      </c>
      <c r="EE21" t="b">
        <f t="shared" si="102"/>
        <v>0</v>
      </c>
      <c r="EF21">
        <f t="shared" si="103"/>
        <v>1</v>
      </c>
      <c r="EG21" t="b">
        <f t="shared" si="104"/>
        <v>0</v>
      </c>
      <c r="EH21" t="b">
        <f t="shared" si="105"/>
        <v>0</v>
      </c>
      <c r="EI21" t="b">
        <f t="shared" si="106"/>
        <v>0</v>
      </c>
      <c r="EJ21" t="b">
        <f t="shared" si="107"/>
        <v>0</v>
      </c>
      <c r="EK21" t="b">
        <f t="shared" si="108"/>
        <v>0</v>
      </c>
    </row>
    <row r="22" spans="1:141">
      <c r="A22" t="s">
        <v>232</v>
      </c>
      <c r="B22" t="s">
        <v>233</v>
      </c>
      <c r="C22" t="s">
        <v>228</v>
      </c>
      <c r="D22" s="1">
        <v>42659</v>
      </c>
      <c r="E22" s="2">
        <v>43867.995752314811</v>
      </c>
      <c r="F22" s="2">
        <v>43868.049629629626</v>
      </c>
      <c r="G22">
        <v>169746810</v>
      </c>
      <c r="H22" t="s">
        <v>234</v>
      </c>
      <c r="I22" s="10" t="s">
        <v>230</v>
      </c>
      <c r="J22" t="s">
        <v>235</v>
      </c>
      <c r="K22" s="8" t="b">
        <v>1</v>
      </c>
      <c r="L22" s="10" t="b">
        <v>0</v>
      </c>
      <c r="M22" s="12" t="b">
        <v>1</v>
      </c>
      <c r="N22" t="b">
        <v>0</v>
      </c>
      <c r="O22" t="b">
        <v>0</v>
      </c>
      <c r="P22" t="b">
        <v>0</v>
      </c>
      <c r="Q22">
        <f t="shared" si="1"/>
        <v>1</v>
      </c>
      <c r="R22">
        <f t="shared" si="2"/>
        <v>10</v>
      </c>
      <c r="S22" t="e">
        <f t="shared" ca="1" si="109"/>
        <v>#NAME?</v>
      </c>
      <c r="T22" t="e">
        <f t="shared" ca="1" si="3"/>
        <v>#NAME?</v>
      </c>
      <c r="U22" s="4">
        <f t="shared" si="4"/>
        <v>1208.9957523148114</v>
      </c>
      <c r="V22" s="4">
        <f t="shared" si="5"/>
        <v>40.299858410493712</v>
      </c>
      <c r="W22" s="4">
        <f t="shared" si="6"/>
        <v>1</v>
      </c>
      <c r="X22" s="4">
        <f t="shared" si="7"/>
        <v>0</v>
      </c>
      <c r="Y22" s="4">
        <f t="shared" si="8"/>
        <v>1</v>
      </c>
      <c r="Z22" s="4">
        <f t="shared" si="9"/>
        <v>0</v>
      </c>
      <c r="AA22" s="4">
        <f t="shared" si="10"/>
        <v>0</v>
      </c>
      <c r="AB22" s="4">
        <f t="shared" si="11"/>
        <v>0</v>
      </c>
      <c r="AD22" s="4" t="b">
        <f t="shared" si="12"/>
        <v>0</v>
      </c>
      <c r="AE22" s="4" t="b">
        <f t="shared" si="13"/>
        <v>0</v>
      </c>
      <c r="AF22" s="4" t="b">
        <f t="shared" si="14"/>
        <v>0</v>
      </c>
      <c r="AG22" t="b">
        <f t="shared" si="15"/>
        <v>0</v>
      </c>
      <c r="AH22" t="b">
        <f t="shared" si="16"/>
        <v>0</v>
      </c>
      <c r="AI22" t="b">
        <f t="shared" si="17"/>
        <v>0</v>
      </c>
      <c r="AJ22" t="b">
        <f t="shared" si="18"/>
        <v>0</v>
      </c>
      <c r="AK22" t="b">
        <f t="shared" si="19"/>
        <v>0</v>
      </c>
      <c r="AL22" t="b">
        <f t="shared" si="20"/>
        <v>0</v>
      </c>
      <c r="AM22" t="b">
        <f t="shared" si="21"/>
        <v>0</v>
      </c>
      <c r="AN22" t="b">
        <f t="shared" si="22"/>
        <v>0</v>
      </c>
      <c r="AO22" t="b">
        <f t="shared" si="23"/>
        <v>0</v>
      </c>
      <c r="AP22" t="b">
        <f t="shared" si="24"/>
        <v>0</v>
      </c>
      <c r="AQ22" t="b">
        <f t="shared" si="25"/>
        <v>0</v>
      </c>
      <c r="AR22" t="b">
        <f t="shared" si="26"/>
        <v>0</v>
      </c>
      <c r="AS22" t="b">
        <f t="shared" si="27"/>
        <v>0</v>
      </c>
      <c r="AT22" t="b">
        <f t="shared" si="28"/>
        <v>0</v>
      </c>
      <c r="AU22" t="b">
        <f t="shared" si="29"/>
        <v>0</v>
      </c>
      <c r="AV22" t="b">
        <f t="shared" si="30"/>
        <v>0</v>
      </c>
      <c r="AW22" t="b">
        <f t="shared" si="31"/>
        <v>0</v>
      </c>
      <c r="AX22" t="b">
        <f t="shared" si="110"/>
        <v>0</v>
      </c>
      <c r="AY22" t="b">
        <f t="shared" si="111"/>
        <v>0</v>
      </c>
      <c r="AZ22" t="b">
        <f t="shared" si="112"/>
        <v>0</v>
      </c>
      <c r="BA22" t="b">
        <f t="shared" si="113"/>
        <v>0</v>
      </c>
      <c r="BB22" t="b">
        <f t="shared" si="114"/>
        <v>0</v>
      </c>
      <c r="BC22" t="b">
        <f t="shared" si="115"/>
        <v>0</v>
      </c>
      <c r="BD22" t="b">
        <f t="shared" si="116"/>
        <v>0</v>
      </c>
      <c r="BE22" t="b">
        <f t="shared" si="117"/>
        <v>0</v>
      </c>
      <c r="BF22" t="b">
        <f t="shared" si="118"/>
        <v>0</v>
      </c>
      <c r="BG22" t="b">
        <f t="shared" si="119"/>
        <v>0</v>
      </c>
      <c r="BH22" t="b">
        <f t="shared" si="120"/>
        <v>0</v>
      </c>
      <c r="BI22">
        <f t="shared" si="121"/>
        <v>1</v>
      </c>
      <c r="BJ22" t="b">
        <f t="shared" si="122"/>
        <v>0</v>
      </c>
      <c r="BK22" t="b">
        <f t="shared" si="123"/>
        <v>0</v>
      </c>
      <c r="BL22" t="b">
        <f t="shared" si="124"/>
        <v>0</v>
      </c>
      <c r="BM22" t="b">
        <f t="shared" si="32"/>
        <v>0</v>
      </c>
      <c r="BN22" t="b">
        <f t="shared" si="33"/>
        <v>0</v>
      </c>
      <c r="BO22" t="b">
        <f t="shared" si="34"/>
        <v>0</v>
      </c>
      <c r="BP22" t="b">
        <f t="shared" si="35"/>
        <v>0</v>
      </c>
      <c r="BQ22" t="b">
        <f t="shared" si="36"/>
        <v>0</v>
      </c>
      <c r="BR22" t="b">
        <f t="shared" si="37"/>
        <v>0</v>
      </c>
      <c r="BS22" t="b">
        <f t="shared" si="38"/>
        <v>0</v>
      </c>
      <c r="BT22" t="b">
        <f t="shared" si="39"/>
        <v>0</v>
      </c>
      <c r="BU22" t="b">
        <f t="shared" si="40"/>
        <v>0</v>
      </c>
      <c r="BV22" t="b">
        <f t="shared" si="41"/>
        <v>0</v>
      </c>
      <c r="BW22" t="b">
        <f t="shared" si="42"/>
        <v>0</v>
      </c>
      <c r="BX22" t="b">
        <f t="shared" si="43"/>
        <v>0</v>
      </c>
      <c r="BY22" t="b">
        <f t="shared" si="44"/>
        <v>0</v>
      </c>
      <c r="BZ22" t="b">
        <f t="shared" si="45"/>
        <v>0</v>
      </c>
      <c r="CA22" t="b">
        <f t="shared" si="46"/>
        <v>0</v>
      </c>
      <c r="CB22" t="b">
        <f t="shared" si="47"/>
        <v>0</v>
      </c>
      <c r="CC22" t="b">
        <f t="shared" si="48"/>
        <v>0</v>
      </c>
      <c r="CD22" t="b">
        <f t="shared" si="49"/>
        <v>0</v>
      </c>
      <c r="CE22" t="b">
        <f t="shared" si="50"/>
        <v>0</v>
      </c>
      <c r="CF22" t="b">
        <f t="shared" si="51"/>
        <v>0</v>
      </c>
      <c r="CG22" t="b">
        <f t="shared" si="52"/>
        <v>0</v>
      </c>
      <c r="CH22" t="b">
        <f t="shared" si="53"/>
        <v>0</v>
      </c>
      <c r="CI22" t="b">
        <f t="shared" si="54"/>
        <v>0</v>
      </c>
      <c r="CJ22" t="b">
        <f t="shared" si="55"/>
        <v>0</v>
      </c>
      <c r="CK22" t="b">
        <f t="shared" si="56"/>
        <v>0</v>
      </c>
      <c r="CL22" t="b">
        <f t="shared" si="57"/>
        <v>0</v>
      </c>
      <c r="CM22" t="b">
        <f t="shared" si="58"/>
        <v>0</v>
      </c>
      <c r="CN22" t="b">
        <f t="shared" si="59"/>
        <v>0</v>
      </c>
      <c r="CO22" t="b">
        <f t="shared" si="60"/>
        <v>0</v>
      </c>
      <c r="CP22" t="b">
        <f t="shared" si="61"/>
        <v>0</v>
      </c>
      <c r="CQ22" t="b">
        <f t="shared" si="62"/>
        <v>0</v>
      </c>
      <c r="CR22" t="b">
        <f t="shared" si="63"/>
        <v>0</v>
      </c>
      <c r="CS22" t="b">
        <f t="shared" si="64"/>
        <v>0</v>
      </c>
      <c r="CT22" t="b">
        <f t="shared" si="65"/>
        <v>0</v>
      </c>
      <c r="CU22" t="b">
        <f t="shared" si="66"/>
        <v>0</v>
      </c>
      <c r="CV22">
        <f t="shared" si="67"/>
        <v>1</v>
      </c>
      <c r="CW22" t="b">
        <f t="shared" si="68"/>
        <v>0</v>
      </c>
      <c r="CX22" t="b">
        <f t="shared" si="69"/>
        <v>0</v>
      </c>
      <c r="CY22" t="b">
        <f t="shared" si="70"/>
        <v>0</v>
      </c>
      <c r="CZ22" t="b">
        <f t="shared" si="71"/>
        <v>0</v>
      </c>
      <c r="DA22" t="b">
        <f t="shared" si="72"/>
        <v>0</v>
      </c>
      <c r="DB22" t="b">
        <f t="shared" si="73"/>
        <v>0</v>
      </c>
      <c r="DC22" t="b">
        <f t="shared" si="74"/>
        <v>0</v>
      </c>
      <c r="DD22" t="b">
        <f t="shared" si="75"/>
        <v>0</v>
      </c>
      <c r="DE22" t="b">
        <f t="shared" si="76"/>
        <v>0</v>
      </c>
      <c r="DF22" t="b">
        <f t="shared" si="77"/>
        <v>0</v>
      </c>
      <c r="DG22" t="b">
        <f t="shared" si="78"/>
        <v>0</v>
      </c>
      <c r="DH22" t="b">
        <f t="shared" si="79"/>
        <v>0</v>
      </c>
      <c r="DI22" t="b">
        <f t="shared" si="80"/>
        <v>0</v>
      </c>
      <c r="DJ22" t="b">
        <f t="shared" si="81"/>
        <v>0</v>
      </c>
      <c r="DK22" t="b">
        <f t="shared" si="82"/>
        <v>0</v>
      </c>
      <c r="DL22" t="b">
        <f t="shared" si="83"/>
        <v>0</v>
      </c>
      <c r="DM22" t="b">
        <f t="shared" si="84"/>
        <v>0</v>
      </c>
      <c r="DN22" t="b">
        <f t="shared" si="85"/>
        <v>0</v>
      </c>
      <c r="DO22" t="b">
        <f t="shared" si="86"/>
        <v>0</v>
      </c>
      <c r="DP22" t="b">
        <f t="shared" si="87"/>
        <v>0</v>
      </c>
      <c r="DQ22" t="b">
        <f t="shared" si="88"/>
        <v>0</v>
      </c>
      <c r="DR22" t="b">
        <f t="shared" si="89"/>
        <v>0</v>
      </c>
      <c r="DS22" t="b">
        <f t="shared" si="90"/>
        <v>0</v>
      </c>
      <c r="DT22" t="b">
        <f t="shared" si="91"/>
        <v>0</v>
      </c>
      <c r="DU22" t="b">
        <f t="shared" si="92"/>
        <v>0</v>
      </c>
      <c r="DV22" t="b">
        <f t="shared" si="93"/>
        <v>0</v>
      </c>
      <c r="DW22" t="b">
        <f t="shared" si="94"/>
        <v>0</v>
      </c>
      <c r="DX22" t="b">
        <f t="shared" si="95"/>
        <v>0</v>
      </c>
      <c r="DY22" t="b">
        <f t="shared" si="96"/>
        <v>0</v>
      </c>
      <c r="DZ22" t="b">
        <f t="shared" si="97"/>
        <v>0</v>
      </c>
      <c r="EA22">
        <f t="shared" si="98"/>
        <v>1</v>
      </c>
      <c r="EB22" t="b">
        <f t="shared" si="99"/>
        <v>0</v>
      </c>
      <c r="EC22" t="b">
        <f t="shared" si="100"/>
        <v>0</v>
      </c>
      <c r="ED22" t="b">
        <f t="shared" si="101"/>
        <v>0</v>
      </c>
      <c r="EE22" t="b">
        <f t="shared" si="102"/>
        <v>0</v>
      </c>
      <c r="EF22">
        <f t="shared" si="103"/>
        <v>1</v>
      </c>
      <c r="EG22" t="b">
        <f t="shared" si="104"/>
        <v>0</v>
      </c>
      <c r="EH22" t="b">
        <f t="shared" si="105"/>
        <v>0</v>
      </c>
      <c r="EI22" t="b">
        <f t="shared" si="106"/>
        <v>0</v>
      </c>
      <c r="EJ22" t="b">
        <f t="shared" si="107"/>
        <v>0</v>
      </c>
      <c r="EK22" t="b">
        <f t="shared" si="108"/>
        <v>0</v>
      </c>
    </row>
    <row r="23" spans="1:141">
      <c r="A23" t="s">
        <v>236</v>
      </c>
      <c r="B23" t="s">
        <v>237</v>
      </c>
      <c r="C23" t="s">
        <v>238</v>
      </c>
      <c r="D23" s="1">
        <v>43250</v>
      </c>
      <c r="E23" s="2">
        <v>43318.372256944444</v>
      </c>
      <c r="F23" s="2">
        <v>43318.372256944444</v>
      </c>
      <c r="G23">
        <v>186082</v>
      </c>
      <c r="H23" t="s">
        <v>239</v>
      </c>
      <c r="I23" s="10" t="s">
        <v>240</v>
      </c>
      <c r="J23" t="s">
        <v>241</v>
      </c>
      <c r="K23" s="8" t="b">
        <v>1</v>
      </c>
      <c r="L23" s="10" t="b">
        <v>0</v>
      </c>
      <c r="M23" s="12" t="b">
        <v>1</v>
      </c>
      <c r="N23" t="b">
        <v>0</v>
      </c>
      <c r="O23" t="b">
        <v>0</v>
      </c>
      <c r="P23" t="b">
        <v>0</v>
      </c>
      <c r="Q23">
        <f t="shared" si="1"/>
        <v>4</v>
      </c>
      <c r="R23">
        <f t="shared" si="2"/>
        <v>5</v>
      </c>
      <c r="S23" t="e">
        <f t="shared" ca="1" si="109"/>
        <v>#NAME?</v>
      </c>
      <c r="T23" t="e">
        <f t="shared" ca="1" si="3"/>
        <v>#NAME?</v>
      </c>
      <c r="U23" s="4">
        <f t="shared" si="4"/>
        <v>68.372256944443507</v>
      </c>
      <c r="V23" s="4">
        <f t="shared" si="5"/>
        <v>2.2790752314814502</v>
      </c>
      <c r="W23" s="4">
        <f t="shared" si="6"/>
        <v>1</v>
      </c>
      <c r="X23" s="4">
        <f t="shared" si="7"/>
        <v>0</v>
      </c>
      <c r="Y23" s="4">
        <f t="shared" si="8"/>
        <v>1</v>
      </c>
      <c r="Z23" s="4">
        <f t="shared" si="9"/>
        <v>0</v>
      </c>
      <c r="AA23" s="4">
        <f t="shared" si="10"/>
        <v>0</v>
      </c>
      <c r="AB23" s="4">
        <f t="shared" si="11"/>
        <v>0</v>
      </c>
      <c r="AD23" s="4" t="b">
        <f t="shared" si="12"/>
        <v>0</v>
      </c>
      <c r="AE23" s="4" t="b">
        <f t="shared" si="13"/>
        <v>0</v>
      </c>
      <c r="AF23" s="4" t="b">
        <f t="shared" si="14"/>
        <v>0</v>
      </c>
      <c r="AG23" t="b">
        <f t="shared" si="15"/>
        <v>0</v>
      </c>
      <c r="AH23" t="b">
        <f t="shared" si="16"/>
        <v>0</v>
      </c>
      <c r="AI23" t="b">
        <f t="shared" si="17"/>
        <v>0</v>
      </c>
      <c r="AJ23" t="b">
        <f t="shared" si="18"/>
        <v>0</v>
      </c>
      <c r="AK23" t="b">
        <f t="shared" si="19"/>
        <v>0</v>
      </c>
      <c r="AL23" t="b">
        <f t="shared" si="20"/>
        <v>0</v>
      </c>
      <c r="AM23" t="b">
        <f t="shared" si="21"/>
        <v>0</v>
      </c>
      <c r="AN23" t="b">
        <f t="shared" si="22"/>
        <v>0</v>
      </c>
      <c r="AO23" t="b">
        <f t="shared" si="23"/>
        <v>0</v>
      </c>
      <c r="AP23" t="b">
        <f t="shared" si="24"/>
        <v>0</v>
      </c>
      <c r="AQ23" t="b">
        <f t="shared" si="25"/>
        <v>0</v>
      </c>
      <c r="AR23" t="b">
        <f t="shared" si="26"/>
        <v>0</v>
      </c>
      <c r="AS23" t="b">
        <f t="shared" si="27"/>
        <v>0</v>
      </c>
      <c r="AT23" t="b">
        <f t="shared" si="28"/>
        <v>0</v>
      </c>
      <c r="AU23" t="b">
        <f t="shared" si="29"/>
        <v>0</v>
      </c>
      <c r="AV23" t="b">
        <f t="shared" si="30"/>
        <v>0</v>
      </c>
      <c r="AW23" t="b">
        <f t="shared" si="31"/>
        <v>0</v>
      </c>
      <c r="AX23" t="b">
        <f t="shared" si="110"/>
        <v>0</v>
      </c>
      <c r="AY23" t="b">
        <f t="shared" si="111"/>
        <v>0</v>
      </c>
      <c r="AZ23">
        <f t="shared" si="112"/>
        <v>1</v>
      </c>
      <c r="BA23" t="b">
        <f t="shared" si="113"/>
        <v>0</v>
      </c>
      <c r="BB23" t="b">
        <f t="shared" si="114"/>
        <v>0</v>
      </c>
      <c r="BC23" t="b">
        <f t="shared" si="115"/>
        <v>0</v>
      </c>
      <c r="BD23" t="b">
        <f t="shared" si="116"/>
        <v>0</v>
      </c>
      <c r="BE23" t="b">
        <f t="shared" si="117"/>
        <v>0</v>
      </c>
      <c r="BF23" t="b">
        <f t="shared" si="118"/>
        <v>0</v>
      </c>
      <c r="BG23" t="b">
        <f t="shared" si="119"/>
        <v>0</v>
      </c>
      <c r="BH23" t="b">
        <f t="shared" si="120"/>
        <v>0</v>
      </c>
      <c r="BI23">
        <f t="shared" si="121"/>
        <v>1</v>
      </c>
      <c r="BJ23" t="b">
        <f t="shared" si="122"/>
        <v>0</v>
      </c>
      <c r="BK23" t="b">
        <f t="shared" si="123"/>
        <v>0</v>
      </c>
      <c r="BL23" t="b">
        <f t="shared" si="124"/>
        <v>0</v>
      </c>
      <c r="BM23" t="b">
        <f t="shared" si="32"/>
        <v>0</v>
      </c>
      <c r="BN23" t="b">
        <f t="shared" si="33"/>
        <v>0</v>
      </c>
      <c r="BO23" t="b">
        <f t="shared" si="34"/>
        <v>0</v>
      </c>
      <c r="BP23" t="b">
        <f t="shared" si="35"/>
        <v>0</v>
      </c>
      <c r="BQ23" t="b">
        <f t="shared" si="36"/>
        <v>0</v>
      </c>
      <c r="BR23" t="b">
        <f t="shared" si="37"/>
        <v>0</v>
      </c>
      <c r="BS23" t="b">
        <f t="shared" si="38"/>
        <v>0</v>
      </c>
      <c r="BT23" t="b">
        <f t="shared" si="39"/>
        <v>0</v>
      </c>
      <c r="BU23" t="b">
        <f t="shared" si="40"/>
        <v>0</v>
      </c>
      <c r="BV23" t="b">
        <f t="shared" si="41"/>
        <v>0</v>
      </c>
      <c r="BW23" t="b">
        <f t="shared" si="42"/>
        <v>0</v>
      </c>
      <c r="BX23" t="b">
        <f t="shared" si="43"/>
        <v>0</v>
      </c>
      <c r="BY23" t="b">
        <f t="shared" si="44"/>
        <v>0</v>
      </c>
      <c r="BZ23" t="b">
        <f t="shared" si="45"/>
        <v>0</v>
      </c>
      <c r="CA23" t="b">
        <f t="shared" si="46"/>
        <v>0</v>
      </c>
      <c r="CB23" t="b">
        <f t="shared" si="47"/>
        <v>0</v>
      </c>
      <c r="CC23" t="b">
        <f t="shared" si="48"/>
        <v>0</v>
      </c>
      <c r="CD23" t="b">
        <f t="shared" si="49"/>
        <v>0</v>
      </c>
      <c r="CE23" t="b">
        <f t="shared" si="50"/>
        <v>0</v>
      </c>
      <c r="CF23" t="b">
        <f t="shared" si="51"/>
        <v>0</v>
      </c>
      <c r="CG23" t="b">
        <f t="shared" si="52"/>
        <v>0</v>
      </c>
      <c r="CH23" t="b">
        <f t="shared" si="53"/>
        <v>0</v>
      </c>
      <c r="CI23" t="b">
        <f t="shared" si="54"/>
        <v>0</v>
      </c>
      <c r="CJ23" t="b">
        <f t="shared" si="55"/>
        <v>0</v>
      </c>
      <c r="CK23" t="b">
        <f t="shared" si="56"/>
        <v>0</v>
      </c>
      <c r="CL23" t="b">
        <f t="shared" si="57"/>
        <v>0</v>
      </c>
      <c r="CM23">
        <f t="shared" si="58"/>
        <v>1</v>
      </c>
      <c r="CN23" t="b">
        <f t="shared" si="59"/>
        <v>0</v>
      </c>
      <c r="CO23" t="b">
        <f t="shared" si="60"/>
        <v>0</v>
      </c>
      <c r="CP23" t="b">
        <f t="shared" si="61"/>
        <v>0</v>
      </c>
      <c r="CQ23" t="b">
        <f t="shared" si="62"/>
        <v>0</v>
      </c>
      <c r="CR23" t="b">
        <f t="shared" si="63"/>
        <v>0</v>
      </c>
      <c r="CS23" t="b">
        <f t="shared" si="64"/>
        <v>0</v>
      </c>
      <c r="CT23" t="b">
        <f t="shared" si="65"/>
        <v>0</v>
      </c>
      <c r="CU23" t="b">
        <f t="shared" si="66"/>
        <v>0</v>
      </c>
      <c r="CV23">
        <f t="shared" si="67"/>
        <v>1</v>
      </c>
      <c r="CW23" t="b">
        <f t="shared" si="68"/>
        <v>0</v>
      </c>
      <c r="CX23" t="b">
        <f t="shared" si="69"/>
        <v>0</v>
      </c>
      <c r="CY23" t="b">
        <f t="shared" si="70"/>
        <v>0</v>
      </c>
      <c r="CZ23" t="b">
        <f t="shared" si="71"/>
        <v>0</v>
      </c>
      <c r="DA23" t="b">
        <f t="shared" si="72"/>
        <v>0</v>
      </c>
      <c r="DB23" t="b">
        <f t="shared" si="73"/>
        <v>0</v>
      </c>
      <c r="DC23" t="b">
        <f t="shared" si="74"/>
        <v>0</v>
      </c>
      <c r="DD23" t="b">
        <f t="shared" si="75"/>
        <v>0</v>
      </c>
      <c r="DE23" t="b">
        <f t="shared" si="76"/>
        <v>0</v>
      </c>
      <c r="DF23" t="b">
        <f t="shared" si="77"/>
        <v>0</v>
      </c>
      <c r="DG23" t="b">
        <f t="shared" si="78"/>
        <v>0</v>
      </c>
      <c r="DH23" t="b">
        <f t="shared" si="79"/>
        <v>0</v>
      </c>
      <c r="DI23" t="b">
        <f t="shared" si="80"/>
        <v>0</v>
      </c>
      <c r="DJ23" t="b">
        <f t="shared" si="81"/>
        <v>0</v>
      </c>
      <c r="DK23" t="b">
        <f t="shared" si="82"/>
        <v>0</v>
      </c>
      <c r="DL23" t="b">
        <f t="shared" si="83"/>
        <v>0</v>
      </c>
      <c r="DM23" t="b">
        <f t="shared" si="84"/>
        <v>0</v>
      </c>
      <c r="DN23" t="b">
        <f t="shared" si="85"/>
        <v>0</v>
      </c>
      <c r="DO23" t="b">
        <f t="shared" si="86"/>
        <v>0</v>
      </c>
      <c r="DP23" t="b">
        <f t="shared" si="87"/>
        <v>0</v>
      </c>
      <c r="DQ23" t="b">
        <f t="shared" si="88"/>
        <v>0</v>
      </c>
      <c r="DR23" t="b">
        <f t="shared" si="89"/>
        <v>0</v>
      </c>
      <c r="DS23" t="b">
        <f t="shared" si="90"/>
        <v>0</v>
      </c>
      <c r="DT23" t="b">
        <f t="shared" si="91"/>
        <v>0</v>
      </c>
      <c r="DU23" t="b">
        <f t="shared" si="92"/>
        <v>0</v>
      </c>
      <c r="DV23" t="b">
        <f t="shared" si="93"/>
        <v>0</v>
      </c>
      <c r="DW23" t="b">
        <f t="shared" si="94"/>
        <v>0</v>
      </c>
      <c r="DX23" t="b">
        <f t="shared" si="95"/>
        <v>0</v>
      </c>
      <c r="DY23" t="b">
        <f t="shared" si="96"/>
        <v>0</v>
      </c>
      <c r="DZ23" t="b">
        <f t="shared" si="97"/>
        <v>0</v>
      </c>
      <c r="EA23" t="b">
        <f t="shared" si="98"/>
        <v>0</v>
      </c>
      <c r="EB23" t="b">
        <f t="shared" si="99"/>
        <v>0</v>
      </c>
      <c r="EC23" t="b">
        <f t="shared" si="100"/>
        <v>0</v>
      </c>
      <c r="ED23" t="b">
        <f t="shared" si="101"/>
        <v>0</v>
      </c>
      <c r="EE23" t="b">
        <f t="shared" si="102"/>
        <v>0</v>
      </c>
      <c r="EF23" t="b">
        <f t="shared" si="103"/>
        <v>0</v>
      </c>
      <c r="EG23" t="b">
        <f t="shared" si="104"/>
        <v>0</v>
      </c>
      <c r="EH23" t="b">
        <f t="shared" si="105"/>
        <v>0</v>
      </c>
      <c r="EI23" t="b">
        <f t="shared" si="106"/>
        <v>0</v>
      </c>
      <c r="EJ23" t="b">
        <f t="shared" si="107"/>
        <v>0</v>
      </c>
      <c r="EK23" t="b">
        <f t="shared" si="108"/>
        <v>0</v>
      </c>
    </row>
    <row r="24" spans="1:141">
      <c r="A24" t="s">
        <v>242</v>
      </c>
      <c r="B24" t="s">
        <v>242</v>
      </c>
      <c r="C24" t="s">
        <v>243</v>
      </c>
      <c r="D24" s="1">
        <v>43191</v>
      </c>
      <c r="E24" s="2">
        <v>43440.123749999999</v>
      </c>
      <c r="F24" s="2">
        <v>43440.123749999999</v>
      </c>
      <c r="G24">
        <v>66308</v>
      </c>
      <c r="H24" t="s">
        <v>244</v>
      </c>
      <c r="I24" s="10" t="s">
        <v>245</v>
      </c>
      <c r="J24" t="s">
        <v>246</v>
      </c>
      <c r="K24" s="8" t="b">
        <v>1</v>
      </c>
      <c r="L24" s="10" t="b">
        <v>0</v>
      </c>
      <c r="M24" s="12" t="b">
        <v>0</v>
      </c>
      <c r="N24" t="b">
        <v>0</v>
      </c>
      <c r="O24" t="b">
        <v>0</v>
      </c>
      <c r="P24" t="b">
        <v>0</v>
      </c>
      <c r="Q24">
        <f t="shared" si="1"/>
        <v>1</v>
      </c>
      <c r="R24">
        <f t="shared" si="2"/>
        <v>4</v>
      </c>
      <c r="S24" t="e">
        <f t="shared" ca="1" si="109"/>
        <v>#NAME?</v>
      </c>
      <c r="T24" t="e">
        <f t="shared" ca="1" si="3"/>
        <v>#NAME?</v>
      </c>
      <c r="U24" s="4">
        <f t="shared" si="4"/>
        <v>249.12374999999884</v>
      </c>
      <c r="V24" s="4">
        <f t="shared" si="5"/>
        <v>8.3041249999999618</v>
      </c>
      <c r="W24" s="4">
        <f t="shared" si="6"/>
        <v>1</v>
      </c>
      <c r="X24" s="4">
        <f t="shared" si="7"/>
        <v>0</v>
      </c>
      <c r="Y24" s="4">
        <f t="shared" si="8"/>
        <v>0</v>
      </c>
      <c r="Z24" s="4">
        <f t="shared" si="9"/>
        <v>0</v>
      </c>
      <c r="AA24" s="4">
        <f t="shared" si="10"/>
        <v>0</v>
      </c>
      <c r="AB24" s="4">
        <f t="shared" si="11"/>
        <v>0</v>
      </c>
      <c r="AD24" s="4" t="b">
        <f t="shared" si="12"/>
        <v>0</v>
      </c>
      <c r="AE24" s="4" t="b">
        <f t="shared" si="13"/>
        <v>0</v>
      </c>
      <c r="AF24" s="4" t="b">
        <f t="shared" si="14"/>
        <v>0</v>
      </c>
      <c r="AG24" t="b">
        <f t="shared" si="15"/>
        <v>0</v>
      </c>
      <c r="AH24" t="b">
        <f t="shared" si="16"/>
        <v>0</v>
      </c>
      <c r="AI24" t="b">
        <f t="shared" si="17"/>
        <v>0</v>
      </c>
      <c r="AJ24" t="b">
        <f t="shared" si="18"/>
        <v>0</v>
      </c>
      <c r="AK24" t="b">
        <f t="shared" si="19"/>
        <v>0</v>
      </c>
      <c r="AL24" t="b">
        <f t="shared" si="20"/>
        <v>0</v>
      </c>
      <c r="AM24" t="b">
        <f t="shared" si="21"/>
        <v>0</v>
      </c>
      <c r="AN24" t="b">
        <f t="shared" si="22"/>
        <v>0</v>
      </c>
      <c r="AO24" t="b">
        <f t="shared" si="23"/>
        <v>0</v>
      </c>
      <c r="AP24" t="b">
        <f t="shared" si="24"/>
        <v>0</v>
      </c>
      <c r="AQ24" t="b">
        <f t="shared" si="25"/>
        <v>0</v>
      </c>
      <c r="AR24" t="b">
        <f t="shared" si="26"/>
        <v>0</v>
      </c>
      <c r="AS24" t="b">
        <f t="shared" si="27"/>
        <v>0</v>
      </c>
      <c r="AT24" t="b">
        <f t="shared" si="28"/>
        <v>0</v>
      </c>
      <c r="AU24" t="b">
        <f t="shared" si="29"/>
        <v>0</v>
      </c>
      <c r="AV24" t="b">
        <f t="shared" si="30"/>
        <v>0</v>
      </c>
      <c r="AW24" t="b">
        <f t="shared" si="31"/>
        <v>0</v>
      </c>
      <c r="AX24" t="b">
        <f t="shared" si="110"/>
        <v>0</v>
      </c>
      <c r="AY24" t="b">
        <f t="shared" si="111"/>
        <v>0</v>
      </c>
      <c r="AZ24" t="b">
        <f t="shared" si="112"/>
        <v>0</v>
      </c>
      <c r="BA24" t="b">
        <f t="shared" si="113"/>
        <v>0</v>
      </c>
      <c r="BB24" t="b">
        <f t="shared" si="114"/>
        <v>0</v>
      </c>
      <c r="BC24" t="b">
        <f t="shared" si="115"/>
        <v>0</v>
      </c>
      <c r="BD24" t="b">
        <f t="shared" si="116"/>
        <v>0</v>
      </c>
      <c r="BE24" t="b">
        <f t="shared" si="117"/>
        <v>0</v>
      </c>
      <c r="BF24" t="b">
        <f t="shared" si="118"/>
        <v>0</v>
      </c>
      <c r="BG24" t="b">
        <f t="shared" si="119"/>
        <v>0</v>
      </c>
      <c r="BH24" t="b">
        <f t="shared" si="120"/>
        <v>0</v>
      </c>
      <c r="BI24">
        <f t="shared" si="121"/>
        <v>1</v>
      </c>
      <c r="BJ24">
        <f t="shared" si="122"/>
        <v>1</v>
      </c>
      <c r="BK24" t="b">
        <f t="shared" si="123"/>
        <v>0</v>
      </c>
      <c r="BL24" t="b">
        <f t="shared" si="124"/>
        <v>0</v>
      </c>
      <c r="BM24" t="b">
        <f t="shared" si="32"/>
        <v>0</v>
      </c>
      <c r="BN24" t="b">
        <f t="shared" si="33"/>
        <v>0</v>
      </c>
      <c r="BO24" t="b">
        <f t="shared" si="34"/>
        <v>0</v>
      </c>
      <c r="BP24" t="b">
        <f t="shared" si="35"/>
        <v>0</v>
      </c>
      <c r="BQ24" t="b">
        <f t="shared" si="36"/>
        <v>0</v>
      </c>
      <c r="BR24" t="b">
        <f t="shared" si="37"/>
        <v>0</v>
      </c>
      <c r="BS24" t="b">
        <f t="shared" si="38"/>
        <v>0</v>
      </c>
      <c r="BT24" t="b">
        <f t="shared" si="39"/>
        <v>0</v>
      </c>
      <c r="BU24" t="b">
        <f t="shared" si="40"/>
        <v>0</v>
      </c>
      <c r="BV24" t="b">
        <f t="shared" si="41"/>
        <v>0</v>
      </c>
      <c r="BW24" t="b">
        <f t="shared" si="42"/>
        <v>0</v>
      </c>
      <c r="BX24" t="b">
        <f t="shared" si="43"/>
        <v>0</v>
      </c>
      <c r="BY24" t="b">
        <f t="shared" si="44"/>
        <v>0</v>
      </c>
      <c r="BZ24" t="b">
        <f t="shared" si="45"/>
        <v>0</v>
      </c>
      <c r="CA24" t="b">
        <f t="shared" si="46"/>
        <v>0</v>
      </c>
      <c r="CB24" t="b">
        <f t="shared" si="47"/>
        <v>0</v>
      </c>
      <c r="CC24" t="b">
        <f t="shared" si="48"/>
        <v>0</v>
      </c>
      <c r="CD24" t="b">
        <f t="shared" si="49"/>
        <v>0</v>
      </c>
      <c r="CE24" t="b">
        <f t="shared" si="50"/>
        <v>0</v>
      </c>
      <c r="CF24" t="b">
        <f t="shared" si="51"/>
        <v>0</v>
      </c>
      <c r="CG24" t="b">
        <f t="shared" si="52"/>
        <v>0</v>
      </c>
      <c r="CH24" t="b">
        <f t="shared" si="53"/>
        <v>0</v>
      </c>
      <c r="CI24" t="b">
        <f t="shared" si="54"/>
        <v>0</v>
      </c>
      <c r="CJ24" t="b">
        <f t="shared" si="55"/>
        <v>0</v>
      </c>
      <c r="CK24" t="b">
        <f t="shared" si="56"/>
        <v>0</v>
      </c>
      <c r="CL24" t="b">
        <f t="shared" si="57"/>
        <v>0</v>
      </c>
      <c r="CM24">
        <f t="shared" si="58"/>
        <v>1</v>
      </c>
      <c r="CN24" t="b">
        <f t="shared" si="59"/>
        <v>0</v>
      </c>
      <c r="CO24" t="b">
        <f t="shared" si="60"/>
        <v>0</v>
      </c>
      <c r="CP24" t="b">
        <f t="shared" si="61"/>
        <v>0</v>
      </c>
      <c r="CQ24" t="b">
        <f t="shared" si="62"/>
        <v>0</v>
      </c>
      <c r="CR24" t="b">
        <f t="shared" si="63"/>
        <v>0</v>
      </c>
      <c r="CS24" t="b">
        <f t="shared" si="64"/>
        <v>0</v>
      </c>
      <c r="CT24" t="b">
        <f t="shared" si="65"/>
        <v>0</v>
      </c>
      <c r="CU24" t="b">
        <f t="shared" si="66"/>
        <v>0</v>
      </c>
      <c r="CV24">
        <f t="shared" si="67"/>
        <v>1</v>
      </c>
      <c r="CW24" t="b">
        <f t="shared" si="68"/>
        <v>0</v>
      </c>
      <c r="CX24" t="b">
        <f t="shared" si="69"/>
        <v>0</v>
      </c>
      <c r="CY24" t="b">
        <f t="shared" si="70"/>
        <v>0</v>
      </c>
      <c r="CZ24" t="b">
        <f t="shared" si="71"/>
        <v>0</v>
      </c>
      <c r="DA24">
        <f t="shared" si="72"/>
        <v>1</v>
      </c>
      <c r="DB24">
        <f t="shared" si="73"/>
        <v>1</v>
      </c>
      <c r="DC24" t="b">
        <f t="shared" si="74"/>
        <v>0</v>
      </c>
      <c r="DD24" t="b">
        <f t="shared" si="75"/>
        <v>0</v>
      </c>
      <c r="DE24" t="b">
        <f t="shared" si="76"/>
        <v>0</v>
      </c>
      <c r="DF24" t="b">
        <f t="shared" si="77"/>
        <v>0</v>
      </c>
      <c r="DG24" t="b">
        <f t="shared" si="78"/>
        <v>0</v>
      </c>
      <c r="DH24" t="b">
        <f t="shared" si="79"/>
        <v>0</v>
      </c>
      <c r="DI24" t="b">
        <f t="shared" si="80"/>
        <v>0</v>
      </c>
      <c r="DJ24" t="b">
        <f t="shared" si="81"/>
        <v>0</v>
      </c>
      <c r="DK24" t="b">
        <f t="shared" si="82"/>
        <v>0</v>
      </c>
      <c r="DL24" t="b">
        <f t="shared" si="83"/>
        <v>0</v>
      </c>
      <c r="DM24" t="b">
        <f t="shared" si="84"/>
        <v>0</v>
      </c>
      <c r="DN24" t="b">
        <f t="shared" si="85"/>
        <v>0</v>
      </c>
      <c r="DO24" t="b">
        <f t="shared" si="86"/>
        <v>0</v>
      </c>
      <c r="DP24" t="b">
        <f t="shared" si="87"/>
        <v>0</v>
      </c>
      <c r="DQ24" t="b">
        <f t="shared" si="88"/>
        <v>0</v>
      </c>
      <c r="DR24" t="b">
        <f t="shared" si="89"/>
        <v>0</v>
      </c>
      <c r="DS24" t="b">
        <f t="shared" si="90"/>
        <v>0</v>
      </c>
      <c r="DT24" t="b">
        <f t="shared" si="91"/>
        <v>0</v>
      </c>
      <c r="DU24" t="b">
        <f t="shared" si="92"/>
        <v>0</v>
      </c>
      <c r="DV24" t="b">
        <f t="shared" si="93"/>
        <v>0</v>
      </c>
      <c r="DW24" t="b">
        <f t="shared" si="94"/>
        <v>0</v>
      </c>
      <c r="DX24" t="b">
        <f t="shared" si="95"/>
        <v>0</v>
      </c>
      <c r="DY24" t="b">
        <f t="shared" si="96"/>
        <v>0</v>
      </c>
      <c r="DZ24" t="b">
        <f t="shared" si="97"/>
        <v>0</v>
      </c>
      <c r="EA24" t="b">
        <f t="shared" si="98"/>
        <v>0</v>
      </c>
      <c r="EB24" t="b">
        <f t="shared" si="99"/>
        <v>0</v>
      </c>
      <c r="EC24" t="b">
        <f t="shared" si="100"/>
        <v>0</v>
      </c>
      <c r="ED24" t="b">
        <f t="shared" si="101"/>
        <v>0</v>
      </c>
      <c r="EE24" t="b">
        <f t="shared" si="102"/>
        <v>0</v>
      </c>
      <c r="EF24" t="b">
        <f t="shared" si="103"/>
        <v>0</v>
      </c>
      <c r="EG24" t="b">
        <f t="shared" si="104"/>
        <v>0</v>
      </c>
      <c r="EH24" t="b">
        <f t="shared" si="105"/>
        <v>0</v>
      </c>
      <c r="EI24" t="b">
        <f t="shared" si="106"/>
        <v>0</v>
      </c>
      <c r="EJ24" t="b">
        <f t="shared" si="107"/>
        <v>0</v>
      </c>
      <c r="EK24" t="b">
        <f t="shared" si="108"/>
        <v>0</v>
      </c>
    </row>
    <row r="25" spans="1:141">
      <c r="A25" t="s">
        <v>247</v>
      </c>
      <c r="B25" t="s">
        <v>248</v>
      </c>
      <c r="C25" t="s">
        <v>249</v>
      </c>
      <c r="D25" s="1">
        <v>43732</v>
      </c>
      <c r="E25" s="2">
        <v>43803.913078703707</v>
      </c>
      <c r="F25" s="2">
        <v>43803.913078703707</v>
      </c>
      <c r="G25">
        <v>90478</v>
      </c>
      <c r="H25" t="s">
        <v>250</v>
      </c>
      <c r="I25" s="10" t="s">
        <v>251</v>
      </c>
      <c r="J25" t="s">
        <v>188</v>
      </c>
      <c r="K25" s="8" t="b">
        <v>1</v>
      </c>
      <c r="L25" s="10" t="b">
        <v>0</v>
      </c>
      <c r="M25" s="12" t="b">
        <v>0</v>
      </c>
      <c r="N25" t="b">
        <v>0</v>
      </c>
      <c r="O25" t="b">
        <v>0</v>
      </c>
      <c r="P25" t="b">
        <v>0</v>
      </c>
      <c r="Q25">
        <f t="shared" si="1"/>
        <v>3</v>
      </c>
      <c r="R25">
        <f t="shared" si="2"/>
        <v>9</v>
      </c>
      <c r="S25" t="e">
        <f t="shared" ca="1" si="109"/>
        <v>#NAME?</v>
      </c>
      <c r="T25" t="e">
        <f t="shared" ca="1" si="3"/>
        <v>#NAME?</v>
      </c>
      <c r="U25" s="4">
        <f t="shared" si="4"/>
        <v>71.91307870370656</v>
      </c>
      <c r="V25" s="4">
        <f t="shared" si="5"/>
        <v>2.3971026234568855</v>
      </c>
      <c r="W25" s="4">
        <f t="shared" si="6"/>
        <v>1</v>
      </c>
      <c r="X25" s="4">
        <f t="shared" si="7"/>
        <v>0</v>
      </c>
      <c r="Y25" s="4">
        <f t="shared" si="8"/>
        <v>0</v>
      </c>
      <c r="Z25" s="4">
        <f t="shared" si="9"/>
        <v>0</v>
      </c>
      <c r="AA25" s="4">
        <f t="shared" si="10"/>
        <v>0</v>
      </c>
      <c r="AB25" s="4">
        <f t="shared" si="11"/>
        <v>0</v>
      </c>
      <c r="AD25" s="4" t="b">
        <f t="shared" si="12"/>
        <v>0</v>
      </c>
      <c r="AE25" s="4" t="b">
        <f t="shared" si="13"/>
        <v>0</v>
      </c>
      <c r="AF25" s="4" t="b">
        <f t="shared" si="14"/>
        <v>0</v>
      </c>
      <c r="AG25" t="b">
        <f t="shared" si="15"/>
        <v>0</v>
      </c>
      <c r="AH25" t="b">
        <f t="shared" si="16"/>
        <v>0</v>
      </c>
      <c r="AI25" t="b">
        <f t="shared" si="17"/>
        <v>0</v>
      </c>
      <c r="AJ25" t="b">
        <f t="shared" si="18"/>
        <v>0</v>
      </c>
      <c r="AK25" t="b">
        <f t="shared" si="19"/>
        <v>0</v>
      </c>
      <c r="AL25" t="b">
        <f t="shared" si="20"/>
        <v>0</v>
      </c>
      <c r="AM25" t="b">
        <f t="shared" si="21"/>
        <v>0</v>
      </c>
      <c r="AN25" t="b">
        <f t="shared" si="22"/>
        <v>0</v>
      </c>
      <c r="AO25" t="b">
        <f t="shared" si="23"/>
        <v>0</v>
      </c>
      <c r="AP25" t="b">
        <f t="shared" si="24"/>
        <v>0</v>
      </c>
      <c r="AQ25" t="b">
        <f t="shared" si="25"/>
        <v>0</v>
      </c>
      <c r="AR25" t="b">
        <f t="shared" si="26"/>
        <v>0</v>
      </c>
      <c r="AS25" t="b">
        <f t="shared" si="27"/>
        <v>0</v>
      </c>
      <c r="AT25" t="b">
        <f t="shared" si="28"/>
        <v>0</v>
      </c>
      <c r="AU25" t="b">
        <f t="shared" si="29"/>
        <v>0</v>
      </c>
      <c r="AV25" t="b">
        <f t="shared" si="30"/>
        <v>0</v>
      </c>
      <c r="AW25" t="b">
        <f t="shared" si="31"/>
        <v>0</v>
      </c>
      <c r="AX25" t="b">
        <f t="shared" si="110"/>
        <v>0</v>
      </c>
      <c r="AY25" t="b">
        <f t="shared" si="111"/>
        <v>0</v>
      </c>
      <c r="AZ25" t="b">
        <f t="shared" si="112"/>
        <v>0</v>
      </c>
      <c r="BA25" t="b">
        <f t="shared" si="113"/>
        <v>0</v>
      </c>
      <c r="BB25" t="b">
        <f t="shared" si="114"/>
        <v>0</v>
      </c>
      <c r="BC25" t="b">
        <f t="shared" si="115"/>
        <v>0</v>
      </c>
      <c r="BD25" t="b">
        <f t="shared" si="116"/>
        <v>0</v>
      </c>
      <c r="BE25" t="b">
        <f t="shared" si="117"/>
        <v>0</v>
      </c>
      <c r="BF25" t="b">
        <f t="shared" si="118"/>
        <v>0</v>
      </c>
      <c r="BG25" t="b">
        <f t="shared" si="119"/>
        <v>0</v>
      </c>
      <c r="BH25" t="b">
        <f t="shared" si="120"/>
        <v>0</v>
      </c>
      <c r="BI25">
        <f t="shared" si="121"/>
        <v>1</v>
      </c>
      <c r="BJ25" t="b">
        <f t="shared" si="122"/>
        <v>0</v>
      </c>
      <c r="BK25" t="b">
        <f t="shared" si="123"/>
        <v>0</v>
      </c>
      <c r="BL25" t="b">
        <f t="shared" si="124"/>
        <v>0</v>
      </c>
      <c r="BM25" t="b">
        <f t="shared" si="32"/>
        <v>0</v>
      </c>
      <c r="BN25" t="b">
        <f t="shared" si="33"/>
        <v>0</v>
      </c>
      <c r="BO25" t="b">
        <f t="shared" si="34"/>
        <v>0</v>
      </c>
      <c r="BP25" t="b">
        <f t="shared" si="35"/>
        <v>0</v>
      </c>
      <c r="BQ25" t="b">
        <f t="shared" si="36"/>
        <v>0</v>
      </c>
      <c r="BR25" t="b">
        <f t="shared" si="37"/>
        <v>0</v>
      </c>
      <c r="BS25" t="b">
        <f t="shared" si="38"/>
        <v>0</v>
      </c>
      <c r="BT25" t="b">
        <f t="shared" si="39"/>
        <v>0</v>
      </c>
      <c r="BU25" t="b">
        <f t="shared" si="40"/>
        <v>0</v>
      </c>
      <c r="BV25" t="b">
        <f t="shared" si="41"/>
        <v>0</v>
      </c>
      <c r="BW25" t="b">
        <f t="shared" si="42"/>
        <v>0</v>
      </c>
      <c r="BX25" t="b">
        <f t="shared" si="43"/>
        <v>0</v>
      </c>
      <c r="BY25" t="b">
        <f t="shared" si="44"/>
        <v>0</v>
      </c>
      <c r="BZ25" t="b">
        <f t="shared" si="45"/>
        <v>0</v>
      </c>
      <c r="CA25" t="b">
        <f t="shared" si="46"/>
        <v>0</v>
      </c>
      <c r="CB25" t="b">
        <f t="shared" si="47"/>
        <v>0</v>
      </c>
      <c r="CC25" t="b">
        <f t="shared" si="48"/>
        <v>0</v>
      </c>
      <c r="CD25" t="b">
        <f t="shared" si="49"/>
        <v>0</v>
      </c>
      <c r="CE25">
        <f t="shared" si="50"/>
        <v>1</v>
      </c>
      <c r="CF25" t="b">
        <f t="shared" si="51"/>
        <v>0</v>
      </c>
      <c r="CG25" t="b">
        <f t="shared" si="52"/>
        <v>0</v>
      </c>
      <c r="CH25" t="b">
        <f t="shared" si="53"/>
        <v>0</v>
      </c>
      <c r="CI25" t="b">
        <f t="shared" si="54"/>
        <v>0</v>
      </c>
      <c r="CJ25" t="b">
        <f t="shared" si="55"/>
        <v>0</v>
      </c>
      <c r="CK25" t="b">
        <f t="shared" si="56"/>
        <v>0</v>
      </c>
      <c r="CL25" t="b">
        <f t="shared" si="57"/>
        <v>0</v>
      </c>
      <c r="CM25" t="b">
        <f t="shared" si="58"/>
        <v>0</v>
      </c>
      <c r="CN25" t="b">
        <f t="shared" si="59"/>
        <v>0</v>
      </c>
      <c r="CO25" t="b">
        <f t="shared" si="60"/>
        <v>0</v>
      </c>
      <c r="CP25" t="b">
        <f t="shared" si="61"/>
        <v>0</v>
      </c>
      <c r="CQ25" t="b">
        <f t="shared" si="62"/>
        <v>0</v>
      </c>
      <c r="CR25" t="b">
        <f t="shared" si="63"/>
        <v>0</v>
      </c>
      <c r="CS25" t="b">
        <f t="shared" si="64"/>
        <v>0</v>
      </c>
      <c r="CT25" t="b">
        <f t="shared" si="65"/>
        <v>0</v>
      </c>
      <c r="CU25" t="b">
        <f t="shared" si="66"/>
        <v>0</v>
      </c>
      <c r="CV25">
        <f t="shared" si="67"/>
        <v>1</v>
      </c>
      <c r="CW25" t="b">
        <f t="shared" si="68"/>
        <v>0</v>
      </c>
      <c r="CX25" t="b">
        <f t="shared" si="69"/>
        <v>0</v>
      </c>
      <c r="CY25" t="b">
        <f t="shared" si="70"/>
        <v>0</v>
      </c>
      <c r="CZ25" t="b">
        <f t="shared" si="71"/>
        <v>0</v>
      </c>
      <c r="DA25" t="b">
        <f t="shared" si="72"/>
        <v>0</v>
      </c>
      <c r="DB25" t="b">
        <f t="shared" si="73"/>
        <v>0</v>
      </c>
      <c r="DC25" t="b">
        <f t="shared" si="74"/>
        <v>0</v>
      </c>
      <c r="DD25" t="b">
        <f t="shared" si="75"/>
        <v>0</v>
      </c>
      <c r="DE25" t="b">
        <f t="shared" si="76"/>
        <v>0</v>
      </c>
      <c r="DF25" t="b">
        <f t="shared" si="77"/>
        <v>0</v>
      </c>
      <c r="DG25" t="b">
        <f t="shared" si="78"/>
        <v>0</v>
      </c>
      <c r="DH25" t="b">
        <f t="shared" si="79"/>
        <v>0</v>
      </c>
      <c r="DI25" t="b">
        <f t="shared" si="80"/>
        <v>0</v>
      </c>
      <c r="DJ25" t="b">
        <f t="shared" si="81"/>
        <v>0</v>
      </c>
      <c r="DK25" t="b">
        <f t="shared" si="82"/>
        <v>0</v>
      </c>
      <c r="DL25" t="b">
        <f t="shared" si="83"/>
        <v>0</v>
      </c>
      <c r="DM25" t="b">
        <f t="shared" si="84"/>
        <v>0</v>
      </c>
      <c r="DN25" t="b">
        <f t="shared" si="85"/>
        <v>0</v>
      </c>
      <c r="DO25" t="b">
        <f t="shared" si="86"/>
        <v>0</v>
      </c>
      <c r="DP25" t="b">
        <f t="shared" si="87"/>
        <v>0</v>
      </c>
      <c r="DQ25" t="b">
        <f t="shared" si="88"/>
        <v>0</v>
      </c>
      <c r="DR25" t="b">
        <f t="shared" si="89"/>
        <v>0</v>
      </c>
      <c r="DS25" t="b">
        <f t="shared" si="90"/>
        <v>0</v>
      </c>
      <c r="DT25" t="b">
        <f t="shared" si="91"/>
        <v>0</v>
      </c>
      <c r="DU25" t="b">
        <f t="shared" si="92"/>
        <v>0</v>
      </c>
      <c r="DV25" t="b">
        <f t="shared" si="93"/>
        <v>0</v>
      </c>
      <c r="DW25" t="b">
        <f t="shared" si="94"/>
        <v>0</v>
      </c>
      <c r="DX25" t="b">
        <f t="shared" si="95"/>
        <v>0</v>
      </c>
      <c r="DY25" t="b">
        <f t="shared" si="96"/>
        <v>0</v>
      </c>
      <c r="DZ25" t="b">
        <f t="shared" si="97"/>
        <v>0</v>
      </c>
      <c r="EA25" t="b">
        <f t="shared" si="98"/>
        <v>0</v>
      </c>
      <c r="EB25" t="b">
        <f t="shared" si="99"/>
        <v>0</v>
      </c>
      <c r="EC25" t="b">
        <f t="shared" si="100"/>
        <v>0</v>
      </c>
      <c r="ED25" t="b">
        <f t="shared" si="101"/>
        <v>0</v>
      </c>
      <c r="EE25" t="b">
        <f t="shared" si="102"/>
        <v>0</v>
      </c>
      <c r="EF25">
        <f t="shared" si="103"/>
        <v>1</v>
      </c>
      <c r="EG25" t="b">
        <f t="shared" si="104"/>
        <v>0</v>
      </c>
      <c r="EH25" t="b">
        <f t="shared" si="105"/>
        <v>0</v>
      </c>
      <c r="EI25" t="b">
        <f t="shared" si="106"/>
        <v>0</v>
      </c>
      <c r="EJ25" t="b">
        <f t="shared" si="107"/>
        <v>0</v>
      </c>
      <c r="EK25" t="b">
        <f t="shared" si="108"/>
        <v>0</v>
      </c>
    </row>
    <row r="26" spans="1:141">
      <c r="A26" t="s">
        <v>252</v>
      </c>
      <c r="B26" t="s">
        <v>253</v>
      </c>
      <c r="C26" t="s">
        <v>254</v>
      </c>
      <c r="D26" s="1">
        <v>41424</v>
      </c>
      <c r="E26" s="2">
        <v>41949.90824074074</v>
      </c>
      <c r="F26" s="2">
        <v>41949.90824074074</v>
      </c>
      <c r="G26">
        <v>180468</v>
      </c>
      <c r="H26" t="s">
        <v>255</v>
      </c>
      <c r="I26" s="10" t="s">
        <v>256</v>
      </c>
      <c r="J26" t="s">
        <v>257</v>
      </c>
      <c r="K26" s="8" t="b">
        <v>1</v>
      </c>
      <c r="L26" s="10" t="b">
        <v>0</v>
      </c>
      <c r="M26" s="12" t="b">
        <v>0</v>
      </c>
      <c r="N26" t="b">
        <v>0</v>
      </c>
      <c r="O26" t="b">
        <v>0</v>
      </c>
      <c r="P26" t="b">
        <v>0</v>
      </c>
      <c r="Q26">
        <f t="shared" si="1"/>
        <v>5</v>
      </c>
      <c r="R26">
        <f t="shared" si="2"/>
        <v>5</v>
      </c>
      <c r="S26" t="e">
        <f t="shared" ca="1" si="109"/>
        <v>#NAME?</v>
      </c>
      <c r="T26" t="e">
        <f t="shared" ca="1" si="3"/>
        <v>#NAME?</v>
      </c>
      <c r="U26" s="4">
        <f t="shared" si="4"/>
        <v>525.90824074074044</v>
      </c>
      <c r="V26" s="4">
        <f t="shared" si="5"/>
        <v>17.530274691358013</v>
      </c>
      <c r="W26" s="4">
        <f t="shared" si="6"/>
        <v>1</v>
      </c>
      <c r="X26" s="4">
        <f t="shared" si="7"/>
        <v>0</v>
      </c>
      <c r="Y26" s="4">
        <f t="shared" si="8"/>
        <v>0</v>
      </c>
      <c r="Z26" s="4">
        <f t="shared" si="9"/>
        <v>0</v>
      </c>
      <c r="AA26" s="4">
        <f t="shared" si="10"/>
        <v>0</v>
      </c>
      <c r="AB26" s="4">
        <f t="shared" si="11"/>
        <v>0</v>
      </c>
      <c r="AD26" s="4" t="b">
        <f t="shared" si="12"/>
        <v>0</v>
      </c>
      <c r="AE26" s="4" t="b">
        <f t="shared" si="13"/>
        <v>0</v>
      </c>
      <c r="AF26" s="4" t="b">
        <f t="shared" si="14"/>
        <v>0</v>
      </c>
      <c r="AG26" t="b">
        <f t="shared" si="15"/>
        <v>0</v>
      </c>
      <c r="AH26" t="b">
        <f t="shared" si="16"/>
        <v>0</v>
      </c>
      <c r="AI26" t="b">
        <f t="shared" si="17"/>
        <v>0</v>
      </c>
      <c r="AJ26" t="b">
        <f t="shared" si="18"/>
        <v>0</v>
      </c>
      <c r="AK26" t="b">
        <f t="shared" si="19"/>
        <v>0</v>
      </c>
      <c r="AL26" t="b">
        <f t="shared" si="20"/>
        <v>0</v>
      </c>
      <c r="AM26" t="b">
        <f t="shared" si="21"/>
        <v>0</v>
      </c>
      <c r="AN26" t="b">
        <f t="shared" si="22"/>
        <v>0</v>
      </c>
      <c r="AO26" t="b">
        <f t="shared" si="23"/>
        <v>0</v>
      </c>
      <c r="AP26" t="b">
        <f t="shared" si="24"/>
        <v>0</v>
      </c>
      <c r="AQ26" t="b">
        <f t="shared" si="25"/>
        <v>0</v>
      </c>
      <c r="AR26" t="b">
        <f t="shared" si="26"/>
        <v>0</v>
      </c>
      <c r="AS26" t="b">
        <f t="shared" si="27"/>
        <v>0</v>
      </c>
      <c r="AT26" t="b">
        <f t="shared" si="28"/>
        <v>0</v>
      </c>
      <c r="AU26" t="b">
        <f t="shared" si="29"/>
        <v>0</v>
      </c>
      <c r="AV26" t="b">
        <f t="shared" si="30"/>
        <v>0</v>
      </c>
      <c r="AW26" t="b">
        <f t="shared" si="31"/>
        <v>0</v>
      </c>
      <c r="AX26" t="b">
        <f t="shared" si="110"/>
        <v>0</v>
      </c>
      <c r="AY26" t="b">
        <f t="shared" si="111"/>
        <v>0</v>
      </c>
      <c r="AZ26" t="b">
        <f t="shared" si="112"/>
        <v>0</v>
      </c>
      <c r="BA26" t="b">
        <f t="shared" si="113"/>
        <v>0</v>
      </c>
      <c r="BB26" t="b">
        <f t="shared" si="114"/>
        <v>0</v>
      </c>
      <c r="BC26" t="b">
        <f t="shared" si="115"/>
        <v>0</v>
      </c>
      <c r="BD26" t="b">
        <f t="shared" si="116"/>
        <v>0</v>
      </c>
      <c r="BE26" t="b">
        <f t="shared" si="117"/>
        <v>0</v>
      </c>
      <c r="BF26" t="b">
        <f t="shared" si="118"/>
        <v>0</v>
      </c>
      <c r="BG26" t="b">
        <f t="shared" si="119"/>
        <v>0</v>
      </c>
      <c r="BH26" t="b">
        <f t="shared" si="120"/>
        <v>0</v>
      </c>
      <c r="BI26">
        <f t="shared" si="121"/>
        <v>1</v>
      </c>
      <c r="BJ26" t="b">
        <f t="shared" si="122"/>
        <v>0</v>
      </c>
      <c r="BK26" t="b">
        <f t="shared" si="123"/>
        <v>0</v>
      </c>
      <c r="BL26" t="b">
        <f t="shared" si="124"/>
        <v>0</v>
      </c>
      <c r="BM26" t="b">
        <f t="shared" si="32"/>
        <v>0</v>
      </c>
      <c r="BN26" t="b">
        <f t="shared" si="33"/>
        <v>0</v>
      </c>
      <c r="BO26" t="b">
        <f t="shared" si="34"/>
        <v>0</v>
      </c>
      <c r="BP26" t="b">
        <f t="shared" si="35"/>
        <v>0</v>
      </c>
      <c r="BQ26" t="b">
        <f t="shared" si="36"/>
        <v>0</v>
      </c>
      <c r="BR26">
        <f t="shared" si="37"/>
        <v>1</v>
      </c>
      <c r="BS26">
        <f t="shared" si="38"/>
        <v>1</v>
      </c>
      <c r="BT26" t="b">
        <f t="shared" si="39"/>
        <v>0</v>
      </c>
      <c r="BU26" t="b">
        <f t="shared" si="40"/>
        <v>0</v>
      </c>
      <c r="BV26" t="b">
        <f t="shared" si="41"/>
        <v>0</v>
      </c>
      <c r="BW26" t="b">
        <f t="shared" si="42"/>
        <v>0</v>
      </c>
      <c r="BX26" t="b">
        <f t="shared" si="43"/>
        <v>0</v>
      </c>
      <c r="BY26" t="b">
        <f t="shared" si="44"/>
        <v>0</v>
      </c>
      <c r="BZ26" t="b">
        <f t="shared" si="45"/>
        <v>0</v>
      </c>
      <c r="CA26" t="b">
        <f t="shared" si="46"/>
        <v>0</v>
      </c>
      <c r="CB26" t="b">
        <f t="shared" si="47"/>
        <v>0</v>
      </c>
      <c r="CC26" t="b">
        <f t="shared" si="48"/>
        <v>0</v>
      </c>
      <c r="CD26" t="b">
        <f t="shared" si="49"/>
        <v>0</v>
      </c>
      <c r="CE26">
        <f t="shared" si="50"/>
        <v>1</v>
      </c>
      <c r="CF26" t="b">
        <f t="shared" si="51"/>
        <v>0</v>
      </c>
      <c r="CG26" t="b">
        <f t="shared" si="52"/>
        <v>0</v>
      </c>
      <c r="CH26" t="b">
        <f t="shared" si="53"/>
        <v>0</v>
      </c>
      <c r="CI26" t="b">
        <f t="shared" si="54"/>
        <v>0</v>
      </c>
      <c r="CJ26" t="b">
        <f t="shared" si="55"/>
        <v>0</v>
      </c>
      <c r="CK26" t="b">
        <f t="shared" si="56"/>
        <v>0</v>
      </c>
      <c r="CL26" t="b">
        <f t="shared" si="57"/>
        <v>0</v>
      </c>
      <c r="CM26" t="b">
        <f t="shared" si="58"/>
        <v>0</v>
      </c>
      <c r="CN26" t="b">
        <f t="shared" si="59"/>
        <v>0</v>
      </c>
      <c r="CO26" t="b">
        <f t="shared" si="60"/>
        <v>0</v>
      </c>
      <c r="CP26" t="b">
        <f t="shared" si="61"/>
        <v>0</v>
      </c>
      <c r="CQ26" t="b">
        <f t="shared" si="62"/>
        <v>0</v>
      </c>
      <c r="CR26" t="b">
        <f t="shared" si="63"/>
        <v>0</v>
      </c>
      <c r="CS26" t="b">
        <f t="shared" si="64"/>
        <v>0</v>
      </c>
      <c r="CT26" t="b">
        <f t="shared" si="65"/>
        <v>0</v>
      </c>
      <c r="CU26" t="b">
        <f t="shared" si="66"/>
        <v>0</v>
      </c>
      <c r="CV26">
        <f t="shared" si="67"/>
        <v>1</v>
      </c>
      <c r="CW26" t="b">
        <f t="shared" si="68"/>
        <v>0</v>
      </c>
      <c r="CX26" t="b">
        <f t="shared" si="69"/>
        <v>0</v>
      </c>
      <c r="CY26" t="b">
        <f t="shared" si="70"/>
        <v>0</v>
      </c>
      <c r="CZ26" t="b">
        <f t="shared" si="71"/>
        <v>0</v>
      </c>
      <c r="DA26" t="b">
        <f t="shared" si="72"/>
        <v>0</v>
      </c>
      <c r="DB26" t="b">
        <f t="shared" si="73"/>
        <v>0</v>
      </c>
      <c r="DC26" t="b">
        <f t="shared" si="74"/>
        <v>0</v>
      </c>
      <c r="DD26" t="b">
        <f t="shared" si="75"/>
        <v>0</v>
      </c>
      <c r="DE26" t="b">
        <f t="shared" si="76"/>
        <v>0</v>
      </c>
      <c r="DF26" t="b">
        <f t="shared" si="77"/>
        <v>0</v>
      </c>
      <c r="DG26" t="b">
        <f t="shared" si="78"/>
        <v>0</v>
      </c>
      <c r="DH26" t="b">
        <f t="shared" si="79"/>
        <v>0</v>
      </c>
      <c r="DI26" t="b">
        <f t="shared" si="80"/>
        <v>0</v>
      </c>
      <c r="DJ26" t="b">
        <f t="shared" si="81"/>
        <v>0</v>
      </c>
      <c r="DK26" t="b">
        <f t="shared" si="82"/>
        <v>0</v>
      </c>
      <c r="DL26" t="b">
        <f t="shared" si="83"/>
        <v>0</v>
      </c>
      <c r="DM26" t="b">
        <f t="shared" si="84"/>
        <v>0</v>
      </c>
      <c r="DN26" t="b">
        <f t="shared" si="85"/>
        <v>0</v>
      </c>
      <c r="DO26" t="b">
        <f t="shared" si="86"/>
        <v>0</v>
      </c>
      <c r="DP26" t="b">
        <f t="shared" si="87"/>
        <v>0</v>
      </c>
      <c r="DQ26" t="b">
        <f t="shared" si="88"/>
        <v>0</v>
      </c>
      <c r="DR26" t="b">
        <f t="shared" si="89"/>
        <v>0</v>
      </c>
      <c r="DS26" t="b">
        <f t="shared" si="90"/>
        <v>0</v>
      </c>
      <c r="DT26" t="b">
        <f t="shared" si="91"/>
        <v>0</v>
      </c>
      <c r="DU26" t="b">
        <f t="shared" si="92"/>
        <v>0</v>
      </c>
      <c r="DV26" t="b">
        <f t="shared" si="93"/>
        <v>0</v>
      </c>
      <c r="DW26" t="b">
        <f t="shared" si="94"/>
        <v>0</v>
      </c>
      <c r="DX26" t="b">
        <f t="shared" si="95"/>
        <v>0</v>
      </c>
      <c r="DY26" t="b">
        <f t="shared" si="96"/>
        <v>0</v>
      </c>
      <c r="DZ26" t="b">
        <f t="shared" si="97"/>
        <v>0</v>
      </c>
      <c r="EA26" t="b">
        <f t="shared" si="98"/>
        <v>0</v>
      </c>
      <c r="EB26" t="b">
        <f t="shared" si="99"/>
        <v>0</v>
      </c>
      <c r="EC26" t="b">
        <f t="shared" si="100"/>
        <v>0</v>
      </c>
      <c r="ED26" t="b">
        <f t="shared" si="101"/>
        <v>0</v>
      </c>
      <c r="EE26" t="b">
        <f t="shared" si="102"/>
        <v>0</v>
      </c>
      <c r="EF26">
        <f t="shared" si="103"/>
        <v>1</v>
      </c>
      <c r="EG26" t="b">
        <f t="shared" si="104"/>
        <v>0</v>
      </c>
      <c r="EH26" t="b">
        <f t="shared" si="105"/>
        <v>0</v>
      </c>
      <c r="EI26">
        <f t="shared" si="106"/>
        <v>1</v>
      </c>
      <c r="EJ26" t="b">
        <f t="shared" si="107"/>
        <v>0</v>
      </c>
      <c r="EK26" t="b">
        <f t="shared" si="108"/>
        <v>0</v>
      </c>
    </row>
    <row r="27" spans="1:141">
      <c r="A27" t="s">
        <v>258</v>
      </c>
      <c r="B27" t="s">
        <v>259</v>
      </c>
      <c r="C27" t="s">
        <v>260</v>
      </c>
      <c r="D27" s="1">
        <v>43074</v>
      </c>
      <c r="E27" s="2">
        <v>43077.896817129629</v>
      </c>
      <c r="F27" s="2">
        <v>43077.896817129629</v>
      </c>
      <c r="G27">
        <v>20580060</v>
      </c>
      <c r="H27" t="s">
        <v>261</v>
      </c>
      <c r="I27" s="10" t="s">
        <v>262</v>
      </c>
      <c r="J27" t="s">
        <v>263</v>
      </c>
      <c r="K27" s="8" t="b">
        <v>1</v>
      </c>
      <c r="L27" s="10" t="b">
        <v>0</v>
      </c>
      <c r="M27" s="12" t="b">
        <v>0</v>
      </c>
      <c r="N27" t="b">
        <v>0</v>
      </c>
      <c r="O27" t="b">
        <v>0</v>
      </c>
      <c r="P27" t="b">
        <v>0</v>
      </c>
      <c r="Q27">
        <f t="shared" si="1"/>
        <v>3</v>
      </c>
      <c r="R27">
        <f t="shared" si="2"/>
        <v>12</v>
      </c>
      <c r="S27" t="e">
        <f t="shared" ca="1" si="109"/>
        <v>#NAME?</v>
      </c>
      <c r="T27" t="e">
        <f t="shared" ca="1" si="3"/>
        <v>#NAME?</v>
      </c>
      <c r="U27" s="4">
        <f t="shared" si="4"/>
        <v>3.8968171296291985</v>
      </c>
      <c r="V27" s="4">
        <f t="shared" si="5"/>
        <v>0.12989390432097328</v>
      </c>
      <c r="W27" s="4">
        <f t="shared" si="6"/>
        <v>1</v>
      </c>
      <c r="X27" s="4">
        <f t="shared" si="7"/>
        <v>0</v>
      </c>
      <c r="Y27" s="4">
        <f t="shared" si="8"/>
        <v>0</v>
      </c>
      <c r="Z27" s="4">
        <f t="shared" si="9"/>
        <v>0</v>
      </c>
      <c r="AA27" s="4">
        <f t="shared" si="10"/>
        <v>0</v>
      </c>
      <c r="AB27" s="4">
        <f t="shared" si="11"/>
        <v>0</v>
      </c>
      <c r="AD27" s="4" t="b">
        <f t="shared" si="12"/>
        <v>0</v>
      </c>
      <c r="AE27" s="4">
        <f t="shared" si="13"/>
        <v>1</v>
      </c>
      <c r="AF27" s="4" t="b">
        <f t="shared" si="14"/>
        <v>0</v>
      </c>
      <c r="AG27">
        <f t="shared" si="15"/>
        <v>1</v>
      </c>
      <c r="AH27" t="b">
        <f t="shared" si="16"/>
        <v>0</v>
      </c>
      <c r="AI27" t="b">
        <f t="shared" si="17"/>
        <v>0</v>
      </c>
      <c r="AJ27" t="b">
        <f t="shared" si="18"/>
        <v>0</v>
      </c>
      <c r="AK27" t="b">
        <f t="shared" si="19"/>
        <v>0</v>
      </c>
      <c r="AL27" t="b">
        <f t="shared" si="20"/>
        <v>0</v>
      </c>
      <c r="AM27" t="b">
        <f t="shared" si="21"/>
        <v>0</v>
      </c>
      <c r="AN27" t="b">
        <f t="shared" si="22"/>
        <v>0</v>
      </c>
      <c r="AO27" t="b">
        <f t="shared" si="23"/>
        <v>0</v>
      </c>
      <c r="AP27" t="b">
        <f t="shared" si="24"/>
        <v>0</v>
      </c>
      <c r="AQ27" t="b">
        <f t="shared" si="25"/>
        <v>0</v>
      </c>
      <c r="AR27">
        <f t="shared" si="26"/>
        <v>1</v>
      </c>
      <c r="AS27" t="b">
        <f t="shared" si="27"/>
        <v>0</v>
      </c>
      <c r="AT27" t="b">
        <f t="shared" si="28"/>
        <v>0</v>
      </c>
      <c r="AU27" t="b">
        <f t="shared" si="29"/>
        <v>0</v>
      </c>
      <c r="AV27" t="b">
        <f t="shared" si="30"/>
        <v>0</v>
      </c>
      <c r="AW27" t="b">
        <f t="shared" si="31"/>
        <v>0</v>
      </c>
      <c r="AX27" t="b">
        <f t="shared" si="110"/>
        <v>0</v>
      </c>
      <c r="AY27" t="b">
        <f t="shared" si="111"/>
        <v>0</v>
      </c>
      <c r="AZ27">
        <f t="shared" si="112"/>
        <v>1</v>
      </c>
      <c r="BA27" t="b">
        <f t="shared" si="113"/>
        <v>0</v>
      </c>
      <c r="BB27">
        <f t="shared" si="114"/>
        <v>1</v>
      </c>
      <c r="BC27" t="b">
        <f t="shared" si="115"/>
        <v>0</v>
      </c>
      <c r="BD27" t="b">
        <f t="shared" si="116"/>
        <v>0</v>
      </c>
      <c r="BE27" t="b">
        <f t="shared" si="117"/>
        <v>0</v>
      </c>
      <c r="BF27" t="b">
        <f t="shared" si="118"/>
        <v>0</v>
      </c>
      <c r="BG27" t="b">
        <f t="shared" si="119"/>
        <v>0</v>
      </c>
      <c r="BH27" t="b">
        <f t="shared" si="120"/>
        <v>0</v>
      </c>
      <c r="BI27">
        <f t="shared" si="121"/>
        <v>1</v>
      </c>
      <c r="BJ27" t="b">
        <f t="shared" si="122"/>
        <v>0</v>
      </c>
      <c r="BK27" t="b">
        <f t="shared" si="123"/>
        <v>0</v>
      </c>
      <c r="BL27" t="b">
        <f t="shared" si="124"/>
        <v>0</v>
      </c>
      <c r="BM27" t="b">
        <f t="shared" si="32"/>
        <v>0</v>
      </c>
      <c r="BN27" t="b">
        <f t="shared" si="33"/>
        <v>0</v>
      </c>
      <c r="BO27" t="b">
        <f t="shared" si="34"/>
        <v>0</v>
      </c>
      <c r="BP27" t="b">
        <f t="shared" si="35"/>
        <v>0</v>
      </c>
      <c r="BQ27" t="b">
        <f t="shared" si="36"/>
        <v>0</v>
      </c>
      <c r="BR27">
        <f t="shared" si="37"/>
        <v>1</v>
      </c>
      <c r="BS27">
        <f t="shared" si="38"/>
        <v>1</v>
      </c>
      <c r="BT27" t="b">
        <f t="shared" si="39"/>
        <v>0</v>
      </c>
      <c r="BU27" t="b">
        <f t="shared" si="40"/>
        <v>0</v>
      </c>
      <c r="BV27" t="b">
        <f t="shared" si="41"/>
        <v>0</v>
      </c>
      <c r="BW27" t="b">
        <f t="shared" si="42"/>
        <v>0</v>
      </c>
      <c r="BX27" t="b">
        <f t="shared" si="43"/>
        <v>0</v>
      </c>
      <c r="BY27" t="b">
        <f t="shared" si="44"/>
        <v>0</v>
      </c>
      <c r="BZ27" t="b">
        <f t="shared" si="45"/>
        <v>0</v>
      </c>
      <c r="CA27">
        <f t="shared" si="46"/>
        <v>1</v>
      </c>
      <c r="CB27" t="b">
        <f t="shared" si="47"/>
        <v>0</v>
      </c>
      <c r="CC27" t="b">
        <f t="shared" si="48"/>
        <v>0</v>
      </c>
      <c r="CD27" t="b">
        <f t="shared" si="49"/>
        <v>0</v>
      </c>
      <c r="CE27">
        <f t="shared" si="50"/>
        <v>1</v>
      </c>
      <c r="CF27" t="b">
        <f t="shared" si="51"/>
        <v>0</v>
      </c>
      <c r="CG27" t="b">
        <f t="shared" si="52"/>
        <v>0</v>
      </c>
      <c r="CH27" t="b">
        <f t="shared" si="53"/>
        <v>0</v>
      </c>
      <c r="CI27" t="b">
        <f t="shared" si="54"/>
        <v>0</v>
      </c>
      <c r="CJ27" t="b">
        <f t="shared" si="55"/>
        <v>0</v>
      </c>
      <c r="CK27" t="b">
        <f t="shared" si="56"/>
        <v>0</v>
      </c>
      <c r="CL27" t="b">
        <f t="shared" si="57"/>
        <v>0</v>
      </c>
      <c r="CM27">
        <f t="shared" si="58"/>
        <v>1</v>
      </c>
      <c r="CN27" t="b">
        <f t="shared" si="59"/>
        <v>0</v>
      </c>
      <c r="CO27" t="b">
        <f t="shared" si="60"/>
        <v>0</v>
      </c>
      <c r="CP27" t="b">
        <f t="shared" si="61"/>
        <v>0</v>
      </c>
      <c r="CQ27" t="b">
        <f t="shared" si="62"/>
        <v>0</v>
      </c>
      <c r="CR27" t="b">
        <f t="shared" si="63"/>
        <v>0</v>
      </c>
      <c r="CS27" t="b">
        <f t="shared" si="64"/>
        <v>0</v>
      </c>
      <c r="CT27" t="b">
        <f t="shared" si="65"/>
        <v>0</v>
      </c>
      <c r="CU27" t="b">
        <f t="shared" si="66"/>
        <v>0</v>
      </c>
      <c r="CV27" t="b">
        <f t="shared" si="67"/>
        <v>0</v>
      </c>
      <c r="CW27" t="b">
        <f t="shared" si="68"/>
        <v>0</v>
      </c>
      <c r="CX27" t="b">
        <f t="shared" si="69"/>
        <v>0</v>
      </c>
      <c r="CY27" t="b">
        <f t="shared" si="70"/>
        <v>0</v>
      </c>
      <c r="CZ27" t="b">
        <f t="shared" si="71"/>
        <v>0</v>
      </c>
      <c r="DA27">
        <f t="shared" si="72"/>
        <v>1</v>
      </c>
      <c r="DB27" t="b">
        <f t="shared" si="73"/>
        <v>0</v>
      </c>
      <c r="DC27" t="b">
        <f t="shared" si="74"/>
        <v>0</v>
      </c>
      <c r="DD27" t="b">
        <f t="shared" si="75"/>
        <v>0</v>
      </c>
      <c r="DE27" t="b">
        <f t="shared" si="76"/>
        <v>0</v>
      </c>
      <c r="DF27" t="b">
        <f t="shared" si="77"/>
        <v>0</v>
      </c>
      <c r="DG27" t="b">
        <f t="shared" si="78"/>
        <v>0</v>
      </c>
      <c r="DH27" t="b">
        <f t="shared" si="79"/>
        <v>0</v>
      </c>
      <c r="DI27">
        <f t="shared" si="80"/>
        <v>1</v>
      </c>
      <c r="DJ27" t="b">
        <f t="shared" si="81"/>
        <v>0</v>
      </c>
      <c r="DK27" t="b">
        <f t="shared" si="82"/>
        <v>0</v>
      </c>
      <c r="DL27" t="b">
        <f t="shared" si="83"/>
        <v>0</v>
      </c>
      <c r="DM27" t="b">
        <f t="shared" si="84"/>
        <v>0</v>
      </c>
      <c r="DN27" t="b">
        <f t="shared" si="85"/>
        <v>0</v>
      </c>
      <c r="DO27" t="b">
        <f t="shared" si="86"/>
        <v>0</v>
      </c>
      <c r="DP27" t="b">
        <f t="shared" si="87"/>
        <v>0</v>
      </c>
      <c r="DQ27" t="b">
        <f t="shared" si="88"/>
        <v>0</v>
      </c>
      <c r="DR27" t="b">
        <f t="shared" si="89"/>
        <v>0</v>
      </c>
      <c r="DS27" t="b">
        <f t="shared" si="90"/>
        <v>0</v>
      </c>
      <c r="DT27" t="b">
        <f t="shared" si="91"/>
        <v>0</v>
      </c>
      <c r="DU27" t="b">
        <f t="shared" si="92"/>
        <v>0</v>
      </c>
      <c r="DV27" t="b">
        <f t="shared" si="93"/>
        <v>0</v>
      </c>
      <c r="DW27" t="b">
        <f t="shared" si="94"/>
        <v>0</v>
      </c>
      <c r="DX27" t="b">
        <f t="shared" si="95"/>
        <v>0</v>
      </c>
      <c r="DY27">
        <f t="shared" si="96"/>
        <v>1</v>
      </c>
      <c r="DZ27" t="b">
        <f t="shared" si="97"/>
        <v>0</v>
      </c>
      <c r="EA27" t="b">
        <f t="shared" si="98"/>
        <v>0</v>
      </c>
      <c r="EB27" t="b">
        <f t="shared" si="99"/>
        <v>0</v>
      </c>
      <c r="EC27" t="b">
        <f t="shared" si="100"/>
        <v>0</v>
      </c>
      <c r="ED27" t="b">
        <f t="shared" si="101"/>
        <v>0</v>
      </c>
      <c r="EE27" t="b">
        <f t="shared" si="102"/>
        <v>0</v>
      </c>
      <c r="EF27" t="b">
        <f t="shared" si="103"/>
        <v>0</v>
      </c>
      <c r="EG27" t="b">
        <f t="shared" si="104"/>
        <v>0</v>
      </c>
      <c r="EH27" t="b">
        <f t="shared" si="105"/>
        <v>0</v>
      </c>
      <c r="EI27" t="b">
        <f t="shared" si="106"/>
        <v>0</v>
      </c>
      <c r="EJ27" t="b">
        <f t="shared" si="107"/>
        <v>0</v>
      </c>
      <c r="EK27" t="b">
        <f t="shared" si="108"/>
        <v>0</v>
      </c>
    </row>
    <row r="28" spans="1:141">
      <c r="A28" t="s">
        <v>264</v>
      </c>
      <c r="B28" t="s">
        <v>264</v>
      </c>
      <c r="C28" t="s">
        <v>265</v>
      </c>
      <c r="D28" s="1">
        <v>43583</v>
      </c>
      <c r="E28" s="2">
        <v>44683.092835648145</v>
      </c>
      <c r="F28" s="2">
        <v>44683.099618055552</v>
      </c>
      <c r="G28">
        <v>305470</v>
      </c>
      <c r="H28" t="s">
        <v>266</v>
      </c>
      <c r="I28" s="10" t="s">
        <v>267</v>
      </c>
      <c r="J28" t="s">
        <v>268</v>
      </c>
      <c r="K28" s="8" t="b">
        <v>1</v>
      </c>
      <c r="L28" s="10" t="b">
        <v>0</v>
      </c>
      <c r="M28" s="12" t="b">
        <v>0</v>
      </c>
      <c r="N28" t="b">
        <v>0</v>
      </c>
      <c r="O28" t="b">
        <v>0</v>
      </c>
      <c r="P28" t="b">
        <v>0</v>
      </c>
      <c r="Q28">
        <f t="shared" si="1"/>
        <v>1</v>
      </c>
      <c r="R28">
        <f t="shared" si="2"/>
        <v>4</v>
      </c>
      <c r="S28" t="e">
        <f t="shared" ca="1" si="109"/>
        <v>#NAME?</v>
      </c>
      <c r="T28" t="e">
        <f t="shared" ca="1" si="3"/>
        <v>#NAME?</v>
      </c>
      <c r="U28" s="4">
        <f t="shared" si="4"/>
        <v>1100.0928356481454</v>
      </c>
      <c r="V28" s="4">
        <f t="shared" si="5"/>
        <v>36.669761188271515</v>
      </c>
      <c r="W28" s="4">
        <f t="shared" si="6"/>
        <v>1</v>
      </c>
      <c r="X28" s="4">
        <f t="shared" si="7"/>
        <v>0</v>
      </c>
      <c r="Y28" s="4">
        <f t="shared" si="8"/>
        <v>0</v>
      </c>
      <c r="Z28" s="4">
        <f t="shared" si="9"/>
        <v>0</v>
      </c>
      <c r="AA28" s="4">
        <f t="shared" si="10"/>
        <v>0</v>
      </c>
      <c r="AB28" s="4">
        <f t="shared" si="11"/>
        <v>0</v>
      </c>
      <c r="AD28" s="4" t="b">
        <f t="shared" si="12"/>
        <v>0</v>
      </c>
      <c r="AE28" s="4" t="b">
        <f t="shared" si="13"/>
        <v>0</v>
      </c>
      <c r="AF28" s="4" t="b">
        <f t="shared" si="14"/>
        <v>0</v>
      </c>
      <c r="AG28" t="b">
        <f t="shared" si="15"/>
        <v>0</v>
      </c>
      <c r="AH28" t="b">
        <f t="shared" si="16"/>
        <v>0</v>
      </c>
      <c r="AI28" t="b">
        <f t="shared" si="17"/>
        <v>0</v>
      </c>
      <c r="AJ28" t="b">
        <f t="shared" si="18"/>
        <v>0</v>
      </c>
      <c r="AK28" t="b">
        <f t="shared" si="19"/>
        <v>0</v>
      </c>
      <c r="AL28" t="b">
        <f t="shared" si="20"/>
        <v>0</v>
      </c>
      <c r="AM28" t="b">
        <f t="shared" si="21"/>
        <v>0</v>
      </c>
      <c r="AN28" t="b">
        <f t="shared" si="22"/>
        <v>0</v>
      </c>
      <c r="AO28" t="b">
        <f t="shared" si="23"/>
        <v>0</v>
      </c>
      <c r="AP28" t="b">
        <f t="shared" si="24"/>
        <v>0</v>
      </c>
      <c r="AQ28" t="b">
        <f t="shared" si="25"/>
        <v>0</v>
      </c>
      <c r="AR28" t="b">
        <f t="shared" si="26"/>
        <v>0</v>
      </c>
      <c r="AS28" t="b">
        <f t="shared" si="27"/>
        <v>0</v>
      </c>
      <c r="AT28" t="b">
        <f t="shared" si="28"/>
        <v>0</v>
      </c>
      <c r="AU28" t="b">
        <f t="shared" si="29"/>
        <v>0</v>
      </c>
      <c r="AV28" t="b">
        <f t="shared" si="30"/>
        <v>0</v>
      </c>
      <c r="AW28" t="b">
        <f t="shared" si="31"/>
        <v>0</v>
      </c>
      <c r="AX28" t="b">
        <f t="shared" si="110"/>
        <v>0</v>
      </c>
      <c r="AY28" t="b">
        <f t="shared" si="111"/>
        <v>0</v>
      </c>
      <c r="AZ28" t="b">
        <f t="shared" si="112"/>
        <v>0</v>
      </c>
      <c r="BA28" t="b">
        <f t="shared" si="113"/>
        <v>0</v>
      </c>
      <c r="BB28" t="b">
        <f t="shared" si="114"/>
        <v>0</v>
      </c>
      <c r="BC28" t="b">
        <f t="shared" si="115"/>
        <v>0</v>
      </c>
      <c r="BD28" t="b">
        <f t="shared" si="116"/>
        <v>0</v>
      </c>
      <c r="BE28" t="b">
        <f t="shared" si="117"/>
        <v>0</v>
      </c>
      <c r="BF28" t="b">
        <f t="shared" si="118"/>
        <v>0</v>
      </c>
      <c r="BG28" t="b">
        <f t="shared" si="119"/>
        <v>0</v>
      </c>
      <c r="BH28" t="b">
        <f t="shared" si="120"/>
        <v>0</v>
      </c>
      <c r="BI28">
        <f t="shared" si="121"/>
        <v>1</v>
      </c>
      <c r="BJ28" t="b">
        <f t="shared" si="122"/>
        <v>0</v>
      </c>
      <c r="BK28" t="b">
        <f t="shared" si="123"/>
        <v>0</v>
      </c>
      <c r="BL28" t="b">
        <f t="shared" si="124"/>
        <v>0</v>
      </c>
      <c r="BM28" t="b">
        <f t="shared" si="32"/>
        <v>0</v>
      </c>
      <c r="BN28" t="b">
        <f t="shared" si="33"/>
        <v>0</v>
      </c>
      <c r="BO28" t="b">
        <f t="shared" si="34"/>
        <v>0</v>
      </c>
      <c r="BP28" t="b">
        <f t="shared" si="35"/>
        <v>0</v>
      </c>
      <c r="BQ28" t="b">
        <f t="shared" si="36"/>
        <v>0</v>
      </c>
      <c r="BR28" t="b">
        <f t="shared" si="37"/>
        <v>0</v>
      </c>
      <c r="BS28" t="b">
        <f t="shared" si="38"/>
        <v>0</v>
      </c>
      <c r="BT28" t="b">
        <f t="shared" si="39"/>
        <v>0</v>
      </c>
      <c r="BU28" t="b">
        <f t="shared" si="40"/>
        <v>0</v>
      </c>
      <c r="BV28" t="b">
        <f t="shared" si="41"/>
        <v>0</v>
      </c>
      <c r="BW28" t="b">
        <f t="shared" si="42"/>
        <v>0</v>
      </c>
      <c r="BX28" t="b">
        <f t="shared" si="43"/>
        <v>0</v>
      </c>
      <c r="BY28" t="b">
        <f t="shared" si="44"/>
        <v>0</v>
      </c>
      <c r="BZ28" t="b">
        <f t="shared" si="45"/>
        <v>0</v>
      </c>
      <c r="CA28" t="b">
        <f t="shared" si="46"/>
        <v>0</v>
      </c>
      <c r="CB28" t="b">
        <f t="shared" si="47"/>
        <v>0</v>
      </c>
      <c r="CC28" t="b">
        <f t="shared" si="48"/>
        <v>0</v>
      </c>
      <c r="CD28" t="b">
        <f t="shared" si="49"/>
        <v>0</v>
      </c>
      <c r="CE28">
        <f t="shared" si="50"/>
        <v>1</v>
      </c>
      <c r="CF28" t="b">
        <f t="shared" si="51"/>
        <v>0</v>
      </c>
      <c r="CG28" t="b">
        <f t="shared" si="52"/>
        <v>0</v>
      </c>
      <c r="CH28" t="b">
        <f t="shared" si="53"/>
        <v>0</v>
      </c>
      <c r="CI28" t="b">
        <f t="shared" si="54"/>
        <v>0</v>
      </c>
      <c r="CJ28" t="b">
        <f t="shared" si="55"/>
        <v>0</v>
      </c>
      <c r="CK28" t="b">
        <f t="shared" si="56"/>
        <v>0</v>
      </c>
      <c r="CL28" t="b">
        <f t="shared" si="57"/>
        <v>0</v>
      </c>
      <c r="CM28" t="b">
        <f t="shared" si="58"/>
        <v>0</v>
      </c>
      <c r="CN28" t="b">
        <f t="shared" si="59"/>
        <v>0</v>
      </c>
      <c r="CO28" t="b">
        <f t="shared" si="60"/>
        <v>0</v>
      </c>
      <c r="CP28" t="b">
        <f t="shared" si="61"/>
        <v>0</v>
      </c>
      <c r="CQ28" t="b">
        <f t="shared" si="62"/>
        <v>0</v>
      </c>
      <c r="CR28" t="b">
        <f t="shared" si="63"/>
        <v>0</v>
      </c>
      <c r="CS28" t="b">
        <f t="shared" si="64"/>
        <v>0</v>
      </c>
      <c r="CT28" t="b">
        <f t="shared" si="65"/>
        <v>0</v>
      </c>
      <c r="CU28" t="b">
        <f t="shared" si="66"/>
        <v>0</v>
      </c>
      <c r="CV28">
        <f t="shared" si="67"/>
        <v>1</v>
      </c>
      <c r="CW28" t="b">
        <f t="shared" si="68"/>
        <v>0</v>
      </c>
      <c r="CX28" t="b">
        <f t="shared" si="69"/>
        <v>0</v>
      </c>
      <c r="CY28" t="b">
        <f t="shared" si="70"/>
        <v>0</v>
      </c>
      <c r="CZ28" t="b">
        <f t="shared" si="71"/>
        <v>0</v>
      </c>
      <c r="DA28" t="b">
        <f t="shared" si="72"/>
        <v>0</v>
      </c>
      <c r="DB28" t="b">
        <f t="shared" si="73"/>
        <v>0</v>
      </c>
      <c r="DC28" t="b">
        <f t="shared" si="74"/>
        <v>0</v>
      </c>
      <c r="DD28" t="b">
        <f t="shared" si="75"/>
        <v>0</v>
      </c>
      <c r="DE28" t="b">
        <f t="shared" si="76"/>
        <v>0</v>
      </c>
      <c r="DF28" t="b">
        <f t="shared" si="77"/>
        <v>0</v>
      </c>
      <c r="DG28">
        <f t="shared" si="78"/>
        <v>1</v>
      </c>
      <c r="DH28" t="b">
        <f t="shared" si="79"/>
        <v>0</v>
      </c>
      <c r="DI28" t="b">
        <f t="shared" si="80"/>
        <v>0</v>
      </c>
      <c r="DJ28" t="b">
        <f t="shared" si="81"/>
        <v>0</v>
      </c>
      <c r="DK28" t="b">
        <f t="shared" si="82"/>
        <v>0</v>
      </c>
      <c r="DL28" t="b">
        <f t="shared" si="83"/>
        <v>0</v>
      </c>
      <c r="DM28" t="b">
        <f t="shared" si="84"/>
        <v>0</v>
      </c>
      <c r="DN28" t="b">
        <f t="shared" si="85"/>
        <v>0</v>
      </c>
      <c r="DO28" t="b">
        <f t="shared" si="86"/>
        <v>0</v>
      </c>
      <c r="DP28" t="b">
        <f t="shared" si="87"/>
        <v>0</v>
      </c>
      <c r="DQ28" t="b">
        <f t="shared" si="88"/>
        <v>0</v>
      </c>
      <c r="DR28" t="b">
        <f t="shared" si="89"/>
        <v>0</v>
      </c>
      <c r="DS28" t="b">
        <f t="shared" si="90"/>
        <v>0</v>
      </c>
      <c r="DT28" t="b">
        <f t="shared" si="91"/>
        <v>0</v>
      </c>
      <c r="DU28" t="b">
        <f t="shared" si="92"/>
        <v>0</v>
      </c>
      <c r="DV28" t="b">
        <f t="shared" si="93"/>
        <v>0</v>
      </c>
      <c r="DW28" t="b">
        <f t="shared" si="94"/>
        <v>0</v>
      </c>
      <c r="DX28" t="b">
        <f t="shared" si="95"/>
        <v>0</v>
      </c>
      <c r="DY28" t="b">
        <f t="shared" si="96"/>
        <v>0</v>
      </c>
      <c r="DZ28" t="b">
        <f t="shared" si="97"/>
        <v>0</v>
      </c>
      <c r="EA28" t="b">
        <f t="shared" si="98"/>
        <v>0</v>
      </c>
      <c r="EB28" t="b">
        <f t="shared" si="99"/>
        <v>0</v>
      </c>
      <c r="EC28" t="b">
        <f t="shared" si="100"/>
        <v>0</v>
      </c>
      <c r="ED28" t="b">
        <f t="shared" si="101"/>
        <v>0</v>
      </c>
      <c r="EE28" t="b">
        <f t="shared" si="102"/>
        <v>0</v>
      </c>
      <c r="EF28">
        <f t="shared" si="103"/>
        <v>1</v>
      </c>
      <c r="EG28" t="b">
        <f t="shared" si="104"/>
        <v>0</v>
      </c>
      <c r="EH28" t="b">
        <f t="shared" si="105"/>
        <v>0</v>
      </c>
      <c r="EI28">
        <f t="shared" si="106"/>
        <v>1</v>
      </c>
      <c r="EJ28" t="b">
        <f t="shared" si="107"/>
        <v>0</v>
      </c>
      <c r="EK28" t="b">
        <f t="shared" si="108"/>
        <v>0</v>
      </c>
    </row>
    <row r="29" spans="1:141">
      <c r="A29" t="s">
        <v>269</v>
      </c>
      <c r="B29" t="s">
        <v>270</v>
      </c>
      <c r="C29" t="s">
        <v>271</v>
      </c>
      <c r="D29" s="1">
        <v>42640</v>
      </c>
      <c r="E29" s="2">
        <v>42681.913530092592</v>
      </c>
      <c r="F29" s="2">
        <v>42681.913530092592</v>
      </c>
      <c r="G29">
        <v>6496778</v>
      </c>
      <c r="H29" t="s">
        <v>272</v>
      </c>
      <c r="I29" s="10" t="s">
        <v>273</v>
      </c>
      <c r="J29" t="s">
        <v>147</v>
      </c>
      <c r="K29" s="8" t="b">
        <v>0</v>
      </c>
      <c r="L29" s="10" t="b">
        <v>0</v>
      </c>
      <c r="M29" s="12" t="b">
        <v>0</v>
      </c>
      <c r="N29" t="b">
        <v>0</v>
      </c>
      <c r="O29" t="b">
        <v>0</v>
      </c>
      <c r="P29" t="b">
        <v>0</v>
      </c>
      <c r="Q29">
        <f t="shared" si="1"/>
        <v>3</v>
      </c>
      <c r="R29">
        <f t="shared" si="2"/>
        <v>9</v>
      </c>
      <c r="S29" t="e">
        <f t="shared" ca="1" si="109"/>
        <v>#NAME?</v>
      </c>
      <c r="T29" t="e">
        <f t="shared" ca="1" si="3"/>
        <v>#NAME?</v>
      </c>
      <c r="U29" s="4">
        <f t="shared" si="4"/>
        <v>41.913530092591827</v>
      </c>
      <c r="V29" s="4">
        <f t="shared" si="5"/>
        <v>1.397117669753061</v>
      </c>
      <c r="W29" s="4">
        <f t="shared" si="6"/>
        <v>0</v>
      </c>
      <c r="X29" s="4">
        <f t="shared" si="7"/>
        <v>0</v>
      </c>
      <c r="Y29" s="4">
        <f t="shared" si="8"/>
        <v>0</v>
      </c>
      <c r="Z29" s="4">
        <f t="shared" si="9"/>
        <v>0</v>
      </c>
      <c r="AA29" s="4">
        <f t="shared" si="10"/>
        <v>0</v>
      </c>
      <c r="AB29" s="4">
        <f t="shared" si="11"/>
        <v>0</v>
      </c>
      <c r="AD29" s="4" t="b">
        <f t="shared" si="12"/>
        <v>0</v>
      </c>
      <c r="AE29" s="4" t="b">
        <f t="shared" si="13"/>
        <v>0</v>
      </c>
      <c r="AF29" s="4" t="b">
        <f t="shared" si="14"/>
        <v>0</v>
      </c>
      <c r="AG29" t="b">
        <f t="shared" si="15"/>
        <v>0</v>
      </c>
      <c r="AH29" t="b">
        <f t="shared" si="16"/>
        <v>0</v>
      </c>
      <c r="AI29" t="b">
        <f t="shared" si="17"/>
        <v>0</v>
      </c>
      <c r="AJ29" t="b">
        <f t="shared" si="18"/>
        <v>0</v>
      </c>
      <c r="AK29" t="b">
        <f t="shared" si="19"/>
        <v>0</v>
      </c>
      <c r="AL29" t="b">
        <f t="shared" si="20"/>
        <v>0</v>
      </c>
      <c r="AM29" t="b">
        <f t="shared" si="21"/>
        <v>0</v>
      </c>
      <c r="AN29" t="b">
        <f t="shared" si="22"/>
        <v>0</v>
      </c>
      <c r="AO29" t="b">
        <f t="shared" si="23"/>
        <v>0</v>
      </c>
      <c r="AP29" t="b">
        <f t="shared" si="24"/>
        <v>0</v>
      </c>
      <c r="AQ29" t="b">
        <f t="shared" si="25"/>
        <v>0</v>
      </c>
      <c r="AR29" t="b">
        <f t="shared" si="26"/>
        <v>0</v>
      </c>
      <c r="AS29" t="b">
        <f t="shared" si="27"/>
        <v>0</v>
      </c>
      <c r="AT29" t="b">
        <f t="shared" si="28"/>
        <v>0</v>
      </c>
      <c r="AU29" t="b">
        <f t="shared" si="29"/>
        <v>0</v>
      </c>
      <c r="AV29" t="b">
        <f t="shared" si="30"/>
        <v>0</v>
      </c>
      <c r="AW29" t="b">
        <f t="shared" si="31"/>
        <v>0</v>
      </c>
      <c r="AX29" t="b">
        <f t="shared" si="110"/>
        <v>0</v>
      </c>
      <c r="AY29" t="b">
        <f t="shared" si="111"/>
        <v>0</v>
      </c>
      <c r="AZ29" t="b">
        <f t="shared" si="112"/>
        <v>0</v>
      </c>
      <c r="BA29" t="b">
        <f t="shared" si="113"/>
        <v>0</v>
      </c>
      <c r="BB29" t="b">
        <f t="shared" si="114"/>
        <v>0</v>
      </c>
      <c r="BC29" t="b">
        <f t="shared" si="115"/>
        <v>0</v>
      </c>
      <c r="BD29" t="b">
        <f t="shared" si="116"/>
        <v>0</v>
      </c>
      <c r="BE29" t="b">
        <f t="shared" si="117"/>
        <v>0</v>
      </c>
      <c r="BF29" t="b">
        <f t="shared" si="118"/>
        <v>0</v>
      </c>
      <c r="BG29" t="b">
        <f t="shared" si="119"/>
        <v>0</v>
      </c>
      <c r="BH29" t="b">
        <f t="shared" si="120"/>
        <v>0</v>
      </c>
      <c r="BI29">
        <f t="shared" si="121"/>
        <v>1</v>
      </c>
      <c r="BJ29" t="b">
        <f t="shared" si="122"/>
        <v>0</v>
      </c>
      <c r="BK29" t="b">
        <f t="shared" si="123"/>
        <v>0</v>
      </c>
      <c r="BL29" t="b">
        <f t="shared" si="124"/>
        <v>0</v>
      </c>
      <c r="BM29" t="b">
        <f t="shared" si="32"/>
        <v>0</v>
      </c>
      <c r="BN29" t="b">
        <f t="shared" si="33"/>
        <v>0</v>
      </c>
      <c r="BO29" t="b">
        <f t="shared" si="34"/>
        <v>0</v>
      </c>
      <c r="BP29" t="b">
        <f t="shared" si="35"/>
        <v>0</v>
      </c>
      <c r="BQ29" t="b">
        <f t="shared" si="36"/>
        <v>0</v>
      </c>
      <c r="BR29" t="b">
        <f t="shared" si="37"/>
        <v>0</v>
      </c>
      <c r="BS29" t="b">
        <f t="shared" si="38"/>
        <v>0</v>
      </c>
      <c r="BT29" t="b">
        <f t="shared" si="39"/>
        <v>0</v>
      </c>
      <c r="BU29" t="b">
        <f t="shared" si="40"/>
        <v>0</v>
      </c>
      <c r="BV29" t="b">
        <f t="shared" si="41"/>
        <v>0</v>
      </c>
      <c r="BW29" t="b">
        <f t="shared" si="42"/>
        <v>0</v>
      </c>
      <c r="BX29" t="b">
        <f t="shared" si="43"/>
        <v>0</v>
      </c>
      <c r="BY29" t="b">
        <f t="shared" si="44"/>
        <v>0</v>
      </c>
      <c r="BZ29" t="b">
        <f t="shared" si="45"/>
        <v>0</v>
      </c>
      <c r="CA29" t="b">
        <f t="shared" si="46"/>
        <v>0</v>
      </c>
      <c r="CB29" t="b">
        <f t="shared" si="47"/>
        <v>0</v>
      </c>
      <c r="CC29" t="b">
        <f t="shared" si="48"/>
        <v>0</v>
      </c>
      <c r="CD29" t="b">
        <f t="shared" si="49"/>
        <v>0</v>
      </c>
      <c r="CE29" t="b">
        <f t="shared" si="50"/>
        <v>0</v>
      </c>
      <c r="CF29" t="b">
        <f t="shared" si="51"/>
        <v>0</v>
      </c>
      <c r="CG29" t="b">
        <f t="shared" si="52"/>
        <v>0</v>
      </c>
      <c r="CH29" t="b">
        <f t="shared" si="53"/>
        <v>0</v>
      </c>
      <c r="CI29" t="b">
        <f t="shared" si="54"/>
        <v>0</v>
      </c>
      <c r="CJ29" t="b">
        <f t="shared" si="55"/>
        <v>0</v>
      </c>
      <c r="CK29" t="b">
        <f t="shared" si="56"/>
        <v>0</v>
      </c>
      <c r="CL29" t="b">
        <f t="shared" si="57"/>
        <v>0</v>
      </c>
      <c r="CM29" t="b">
        <f t="shared" si="58"/>
        <v>0</v>
      </c>
      <c r="CN29" t="b">
        <f t="shared" si="59"/>
        <v>0</v>
      </c>
      <c r="CO29" t="b">
        <f t="shared" si="60"/>
        <v>0</v>
      </c>
      <c r="CP29" t="b">
        <f t="shared" si="61"/>
        <v>0</v>
      </c>
      <c r="CQ29" t="b">
        <f t="shared" si="62"/>
        <v>0</v>
      </c>
      <c r="CR29" t="b">
        <f t="shared" si="63"/>
        <v>0</v>
      </c>
      <c r="CS29" t="b">
        <f t="shared" si="64"/>
        <v>0</v>
      </c>
      <c r="CT29" t="b">
        <f t="shared" si="65"/>
        <v>0</v>
      </c>
      <c r="CU29" t="b">
        <f t="shared" si="66"/>
        <v>0</v>
      </c>
      <c r="CV29">
        <f t="shared" si="67"/>
        <v>1</v>
      </c>
      <c r="CW29" t="b">
        <f t="shared" si="68"/>
        <v>0</v>
      </c>
      <c r="CX29" t="b">
        <f t="shared" si="69"/>
        <v>0</v>
      </c>
      <c r="CY29" t="b">
        <f t="shared" si="70"/>
        <v>0</v>
      </c>
      <c r="CZ29" t="b">
        <f t="shared" si="71"/>
        <v>0</v>
      </c>
      <c r="DA29" t="b">
        <f t="shared" si="72"/>
        <v>0</v>
      </c>
      <c r="DB29" t="b">
        <f t="shared" si="73"/>
        <v>0</v>
      </c>
      <c r="DC29" t="b">
        <f t="shared" si="74"/>
        <v>0</v>
      </c>
      <c r="DD29" t="b">
        <f t="shared" si="75"/>
        <v>0</v>
      </c>
      <c r="DE29" t="b">
        <f t="shared" si="76"/>
        <v>0</v>
      </c>
      <c r="DF29" t="b">
        <f t="shared" si="77"/>
        <v>0</v>
      </c>
      <c r="DG29" t="b">
        <f t="shared" si="78"/>
        <v>0</v>
      </c>
      <c r="DH29" t="b">
        <f t="shared" si="79"/>
        <v>0</v>
      </c>
      <c r="DI29" t="b">
        <f t="shared" si="80"/>
        <v>0</v>
      </c>
      <c r="DJ29" t="b">
        <f t="shared" si="81"/>
        <v>0</v>
      </c>
      <c r="DK29" t="b">
        <f t="shared" si="82"/>
        <v>0</v>
      </c>
      <c r="DL29" t="b">
        <f t="shared" si="83"/>
        <v>0</v>
      </c>
      <c r="DM29" t="b">
        <f t="shared" si="84"/>
        <v>0</v>
      </c>
      <c r="DN29" t="b">
        <f t="shared" si="85"/>
        <v>0</v>
      </c>
      <c r="DO29" t="b">
        <f t="shared" si="86"/>
        <v>0</v>
      </c>
      <c r="DP29" t="b">
        <f t="shared" si="87"/>
        <v>0</v>
      </c>
      <c r="DQ29" t="b">
        <f t="shared" si="88"/>
        <v>0</v>
      </c>
      <c r="DR29" t="b">
        <f t="shared" si="89"/>
        <v>0</v>
      </c>
      <c r="DS29" t="b">
        <f t="shared" si="90"/>
        <v>0</v>
      </c>
      <c r="DT29" t="b">
        <f t="shared" si="91"/>
        <v>0</v>
      </c>
      <c r="DU29" t="b">
        <f t="shared" si="92"/>
        <v>0</v>
      </c>
      <c r="DV29" t="b">
        <f t="shared" si="93"/>
        <v>0</v>
      </c>
      <c r="DW29" t="b">
        <f t="shared" si="94"/>
        <v>0</v>
      </c>
      <c r="DX29" t="b">
        <f t="shared" si="95"/>
        <v>0</v>
      </c>
      <c r="DY29" t="b">
        <f t="shared" si="96"/>
        <v>0</v>
      </c>
      <c r="DZ29" t="b">
        <f t="shared" si="97"/>
        <v>0</v>
      </c>
      <c r="EA29" t="b">
        <f t="shared" si="98"/>
        <v>0</v>
      </c>
      <c r="EB29" t="b">
        <f t="shared" si="99"/>
        <v>0</v>
      </c>
      <c r="EC29" t="b">
        <f t="shared" si="100"/>
        <v>0</v>
      </c>
      <c r="ED29" t="b">
        <f t="shared" si="101"/>
        <v>0</v>
      </c>
      <c r="EE29" t="b">
        <f t="shared" si="102"/>
        <v>0</v>
      </c>
      <c r="EF29" t="b">
        <f t="shared" si="103"/>
        <v>0</v>
      </c>
      <c r="EG29" t="b">
        <f t="shared" si="104"/>
        <v>0</v>
      </c>
      <c r="EH29" t="b">
        <f t="shared" si="105"/>
        <v>0</v>
      </c>
      <c r="EI29" t="b">
        <f t="shared" si="106"/>
        <v>0</v>
      </c>
      <c r="EJ29" t="b">
        <f t="shared" si="107"/>
        <v>0</v>
      </c>
      <c r="EK29" t="b">
        <f t="shared" si="108"/>
        <v>0</v>
      </c>
    </row>
    <row r="30" spans="1:141">
      <c r="A30" t="s">
        <v>274</v>
      </c>
      <c r="B30" t="s">
        <v>274</v>
      </c>
      <c r="C30" t="s">
        <v>275</v>
      </c>
      <c r="D30" s="1">
        <v>43447</v>
      </c>
      <c r="E30" s="2">
        <v>44465.156689814816</v>
      </c>
      <c r="F30" s="2">
        <v>44465.156689814816</v>
      </c>
      <c r="G30">
        <v>266399</v>
      </c>
      <c r="H30" t="s">
        <v>276</v>
      </c>
      <c r="I30" s="10" t="s">
        <v>277</v>
      </c>
      <c r="J30" t="s">
        <v>278</v>
      </c>
      <c r="K30" s="8" t="b">
        <v>1</v>
      </c>
      <c r="L30" s="10" t="b">
        <v>0</v>
      </c>
      <c r="M30" s="12" t="b">
        <v>0</v>
      </c>
      <c r="N30" t="b">
        <v>0</v>
      </c>
      <c r="O30" t="b">
        <v>0</v>
      </c>
      <c r="P30" t="b">
        <v>0</v>
      </c>
      <c r="Q30">
        <f t="shared" si="1"/>
        <v>5</v>
      </c>
      <c r="R30">
        <f t="shared" si="2"/>
        <v>12</v>
      </c>
      <c r="S30" t="e">
        <f t="shared" ca="1" si="109"/>
        <v>#NAME?</v>
      </c>
      <c r="T30" t="e">
        <f t="shared" ca="1" si="3"/>
        <v>#NAME?</v>
      </c>
      <c r="U30" s="4">
        <f t="shared" si="4"/>
        <v>1018.1566898148158</v>
      </c>
      <c r="V30" s="4">
        <f t="shared" si="5"/>
        <v>33.938556327160526</v>
      </c>
      <c r="W30" s="4">
        <f t="shared" si="6"/>
        <v>1</v>
      </c>
      <c r="X30" s="4">
        <f t="shared" si="7"/>
        <v>0</v>
      </c>
      <c r="Y30" s="4">
        <f t="shared" si="8"/>
        <v>0</v>
      </c>
      <c r="Z30" s="4">
        <f t="shared" si="9"/>
        <v>0</v>
      </c>
      <c r="AA30" s="4">
        <f t="shared" si="10"/>
        <v>0</v>
      </c>
      <c r="AB30" s="4">
        <f t="shared" si="11"/>
        <v>0</v>
      </c>
      <c r="AD30" s="4" t="b">
        <f t="shared" si="12"/>
        <v>0</v>
      </c>
      <c r="AE30" s="4" t="b">
        <f t="shared" si="13"/>
        <v>0</v>
      </c>
      <c r="AF30" s="4" t="b">
        <f t="shared" si="14"/>
        <v>0</v>
      </c>
      <c r="AG30" t="b">
        <f t="shared" si="15"/>
        <v>0</v>
      </c>
      <c r="AH30" t="b">
        <f t="shared" si="16"/>
        <v>0</v>
      </c>
      <c r="AI30" t="b">
        <f t="shared" si="17"/>
        <v>0</v>
      </c>
      <c r="AJ30" t="b">
        <f t="shared" si="18"/>
        <v>0</v>
      </c>
      <c r="AK30" t="b">
        <f t="shared" si="19"/>
        <v>0</v>
      </c>
      <c r="AL30" t="b">
        <f t="shared" si="20"/>
        <v>0</v>
      </c>
      <c r="AM30" t="b">
        <f t="shared" si="21"/>
        <v>0</v>
      </c>
      <c r="AN30" t="b">
        <f t="shared" si="22"/>
        <v>0</v>
      </c>
      <c r="AO30" t="b">
        <f t="shared" si="23"/>
        <v>0</v>
      </c>
      <c r="AP30" t="b">
        <f t="shared" si="24"/>
        <v>0</v>
      </c>
      <c r="AQ30" t="b">
        <f t="shared" si="25"/>
        <v>0</v>
      </c>
      <c r="AR30" t="b">
        <f t="shared" si="26"/>
        <v>0</v>
      </c>
      <c r="AS30" t="b">
        <f t="shared" si="27"/>
        <v>0</v>
      </c>
      <c r="AT30" t="b">
        <f t="shared" si="28"/>
        <v>0</v>
      </c>
      <c r="AU30" t="b">
        <f t="shared" si="29"/>
        <v>0</v>
      </c>
      <c r="AV30" t="b">
        <f t="shared" si="30"/>
        <v>0</v>
      </c>
      <c r="AW30" t="b">
        <f t="shared" si="31"/>
        <v>0</v>
      </c>
      <c r="AX30" t="b">
        <f t="shared" si="110"/>
        <v>0</v>
      </c>
      <c r="AY30" t="b">
        <f t="shared" si="111"/>
        <v>0</v>
      </c>
      <c r="AZ30">
        <f t="shared" si="112"/>
        <v>1</v>
      </c>
      <c r="BA30" t="b">
        <f t="shared" si="113"/>
        <v>0</v>
      </c>
      <c r="BB30" t="b">
        <f t="shared" si="114"/>
        <v>0</v>
      </c>
      <c r="BC30" t="b">
        <f t="shared" si="115"/>
        <v>0</v>
      </c>
      <c r="BD30" t="b">
        <f t="shared" si="116"/>
        <v>0</v>
      </c>
      <c r="BE30" t="b">
        <f t="shared" si="117"/>
        <v>0</v>
      </c>
      <c r="BF30" t="b">
        <f t="shared" si="118"/>
        <v>0</v>
      </c>
      <c r="BG30" t="b">
        <f t="shared" si="119"/>
        <v>0</v>
      </c>
      <c r="BH30">
        <f t="shared" si="120"/>
        <v>1</v>
      </c>
      <c r="BI30">
        <f t="shared" si="121"/>
        <v>1</v>
      </c>
      <c r="BJ30" t="b">
        <f t="shared" si="122"/>
        <v>0</v>
      </c>
      <c r="BK30" t="b">
        <f t="shared" si="123"/>
        <v>0</v>
      </c>
      <c r="BL30" t="b">
        <f t="shared" si="124"/>
        <v>0</v>
      </c>
      <c r="BM30" t="b">
        <f t="shared" si="32"/>
        <v>0</v>
      </c>
      <c r="BN30" t="b">
        <f t="shared" si="33"/>
        <v>0</v>
      </c>
      <c r="BO30" t="b">
        <f t="shared" si="34"/>
        <v>0</v>
      </c>
      <c r="BP30" t="b">
        <f t="shared" si="35"/>
        <v>0</v>
      </c>
      <c r="BQ30" t="b">
        <f t="shared" si="36"/>
        <v>0</v>
      </c>
      <c r="BR30">
        <f t="shared" si="37"/>
        <v>1</v>
      </c>
      <c r="BS30">
        <f t="shared" si="38"/>
        <v>1</v>
      </c>
      <c r="BT30" t="b">
        <f t="shared" si="39"/>
        <v>0</v>
      </c>
      <c r="BU30" t="b">
        <f t="shared" si="40"/>
        <v>0</v>
      </c>
      <c r="BV30" t="b">
        <f t="shared" si="41"/>
        <v>0</v>
      </c>
      <c r="BW30" t="b">
        <f t="shared" si="42"/>
        <v>0</v>
      </c>
      <c r="BX30" t="b">
        <f t="shared" si="43"/>
        <v>0</v>
      </c>
      <c r="BY30" t="b">
        <f t="shared" si="44"/>
        <v>0</v>
      </c>
      <c r="BZ30" t="b">
        <f t="shared" si="45"/>
        <v>0</v>
      </c>
      <c r="CA30" t="b">
        <f t="shared" si="46"/>
        <v>0</v>
      </c>
      <c r="CB30" t="b">
        <f t="shared" si="47"/>
        <v>0</v>
      </c>
      <c r="CC30" t="b">
        <f t="shared" si="48"/>
        <v>0</v>
      </c>
      <c r="CD30" t="b">
        <f t="shared" si="49"/>
        <v>0</v>
      </c>
      <c r="CE30" t="b">
        <f t="shared" si="50"/>
        <v>0</v>
      </c>
      <c r="CF30" t="b">
        <f t="shared" si="51"/>
        <v>0</v>
      </c>
      <c r="CG30" t="b">
        <f t="shared" si="52"/>
        <v>0</v>
      </c>
      <c r="CH30" t="b">
        <f t="shared" si="53"/>
        <v>0</v>
      </c>
      <c r="CI30" t="b">
        <f t="shared" si="54"/>
        <v>0</v>
      </c>
      <c r="CJ30" t="b">
        <f t="shared" si="55"/>
        <v>0</v>
      </c>
      <c r="CK30">
        <f t="shared" si="56"/>
        <v>1</v>
      </c>
      <c r="CL30" t="b">
        <f t="shared" si="57"/>
        <v>0</v>
      </c>
      <c r="CM30">
        <f t="shared" si="58"/>
        <v>1</v>
      </c>
      <c r="CN30">
        <f t="shared" si="59"/>
        <v>1</v>
      </c>
      <c r="CO30" t="b">
        <f t="shared" si="60"/>
        <v>0</v>
      </c>
      <c r="CP30" t="b">
        <f t="shared" si="61"/>
        <v>0</v>
      </c>
      <c r="CQ30" t="b">
        <f t="shared" si="62"/>
        <v>0</v>
      </c>
      <c r="CR30" t="b">
        <f t="shared" si="63"/>
        <v>0</v>
      </c>
      <c r="CS30" t="b">
        <f t="shared" si="64"/>
        <v>0</v>
      </c>
      <c r="CT30" t="b">
        <f t="shared" si="65"/>
        <v>0</v>
      </c>
      <c r="CU30" t="b">
        <f t="shared" si="66"/>
        <v>0</v>
      </c>
      <c r="CV30">
        <f t="shared" si="67"/>
        <v>1</v>
      </c>
      <c r="CW30" t="b">
        <f t="shared" si="68"/>
        <v>0</v>
      </c>
      <c r="CX30" t="b">
        <f t="shared" si="69"/>
        <v>0</v>
      </c>
      <c r="CY30" t="b">
        <f t="shared" si="70"/>
        <v>0</v>
      </c>
      <c r="CZ30" t="b">
        <f t="shared" si="71"/>
        <v>0</v>
      </c>
      <c r="DA30">
        <f t="shared" si="72"/>
        <v>1</v>
      </c>
      <c r="DB30" t="b">
        <f t="shared" si="73"/>
        <v>0</v>
      </c>
      <c r="DC30" t="b">
        <f t="shared" si="74"/>
        <v>0</v>
      </c>
      <c r="DD30" t="b">
        <f t="shared" si="75"/>
        <v>0</v>
      </c>
      <c r="DE30" t="b">
        <f t="shared" si="76"/>
        <v>0</v>
      </c>
      <c r="DF30" t="b">
        <f t="shared" si="77"/>
        <v>0</v>
      </c>
      <c r="DG30" t="b">
        <f t="shared" si="78"/>
        <v>0</v>
      </c>
      <c r="DH30" t="b">
        <f t="shared" si="79"/>
        <v>0</v>
      </c>
      <c r="DI30">
        <f t="shared" si="80"/>
        <v>1</v>
      </c>
      <c r="DJ30" t="b">
        <f t="shared" si="81"/>
        <v>0</v>
      </c>
      <c r="DK30" t="b">
        <f t="shared" si="82"/>
        <v>0</v>
      </c>
      <c r="DL30" t="b">
        <f t="shared" si="83"/>
        <v>0</v>
      </c>
      <c r="DM30" t="b">
        <f t="shared" si="84"/>
        <v>0</v>
      </c>
      <c r="DN30" t="b">
        <f t="shared" si="85"/>
        <v>0</v>
      </c>
      <c r="DO30" t="b">
        <f t="shared" si="86"/>
        <v>0</v>
      </c>
      <c r="DP30" t="b">
        <f t="shared" si="87"/>
        <v>0</v>
      </c>
      <c r="DQ30" t="b">
        <f t="shared" si="88"/>
        <v>0</v>
      </c>
      <c r="DR30" t="b">
        <f t="shared" si="89"/>
        <v>0</v>
      </c>
      <c r="DS30" t="b">
        <f t="shared" si="90"/>
        <v>0</v>
      </c>
      <c r="DT30" t="b">
        <f t="shared" si="91"/>
        <v>0</v>
      </c>
      <c r="DU30" t="b">
        <f t="shared" si="92"/>
        <v>0</v>
      </c>
      <c r="DV30" t="b">
        <f t="shared" si="93"/>
        <v>0</v>
      </c>
      <c r="DW30" t="b">
        <f t="shared" si="94"/>
        <v>0</v>
      </c>
      <c r="DX30" t="b">
        <f t="shared" si="95"/>
        <v>0</v>
      </c>
      <c r="DY30" t="b">
        <f t="shared" si="96"/>
        <v>0</v>
      </c>
      <c r="DZ30" t="b">
        <f t="shared" si="97"/>
        <v>0</v>
      </c>
      <c r="EA30" t="b">
        <f t="shared" si="98"/>
        <v>0</v>
      </c>
      <c r="EB30" t="b">
        <f t="shared" si="99"/>
        <v>0</v>
      </c>
      <c r="EC30" t="b">
        <f t="shared" si="100"/>
        <v>0</v>
      </c>
      <c r="ED30" t="b">
        <f t="shared" si="101"/>
        <v>0</v>
      </c>
      <c r="EE30" t="b">
        <f t="shared" si="102"/>
        <v>0</v>
      </c>
      <c r="EF30" t="b">
        <f t="shared" si="103"/>
        <v>0</v>
      </c>
      <c r="EG30" t="b">
        <f t="shared" si="104"/>
        <v>0</v>
      </c>
      <c r="EH30" t="b">
        <f t="shared" si="105"/>
        <v>0</v>
      </c>
      <c r="EI30" t="b">
        <f t="shared" si="106"/>
        <v>0</v>
      </c>
      <c r="EJ30" t="b">
        <f t="shared" si="107"/>
        <v>0</v>
      </c>
      <c r="EK30" t="b">
        <f t="shared" si="108"/>
        <v>0</v>
      </c>
    </row>
    <row r="31" spans="1:141">
      <c r="A31" t="s">
        <v>279</v>
      </c>
      <c r="B31" t="s">
        <v>280</v>
      </c>
      <c r="C31" t="s">
        <v>281</v>
      </c>
      <c r="D31" s="1">
        <v>42570</v>
      </c>
      <c r="E31" s="2">
        <v>43009.161539351851</v>
      </c>
      <c r="F31" s="2">
        <v>43009.161539351851</v>
      </c>
      <c r="G31">
        <v>917461</v>
      </c>
      <c r="H31" t="s">
        <v>282</v>
      </c>
      <c r="I31" s="10" t="s">
        <v>283</v>
      </c>
      <c r="J31" t="s">
        <v>284</v>
      </c>
      <c r="K31" s="8" t="b">
        <v>1</v>
      </c>
      <c r="L31" s="10" t="b">
        <v>0</v>
      </c>
      <c r="M31" s="12" t="b">
        <v>0</v>
      </c>
      <c r="N31" t="b">
        <v>0</v>
      </c>
      <c r="O31" t="b">
        <v>0</v>
      </c>
      <c r="P31" t="b">
        <v>0</v>
      </c>
      <c r="Q31">
        <f t="shared" si="1"/>
        <v>3</v>
      </c>
      <c r="R31">
        <f t="shared" si="2"/>
        <v>7</v>
      </c>
      <c r="S31" t="e">
        <f t="shared" ca="1" si="109"/>
        <v>#NAME?</v>
      </c>
      <c r="T31" t="e">
        <f t="shared" ca="1" si="3"/>
        <v>#NAME?</v>
      </c>
      <c r="U31" s="4">
        <f t="shared" si="4"/>
        <v>439.16153935185139</v>
      </c>
      <c r="V31" s="4">
        <f t="shared" si="5"/>
        <v>14.638717978395047</v>
      </c>
      <c r="W31" s="4">
        <f t="shared" si="6"/>
        <v>1</v>
      </c>
      <c r="X31" s="4">
        <f t="shared" si="7"/>
        <v>0</v>
      </c>
      <c r="Y31" s="4">
        <f t="shared" si="8"/>
        <v>0</v>
      </c>
      <c r="Z31" s="4">
        <f t="shared" si="9"/>
        <v>0</v>
      </c>
      <c r="AA31" s="4">
        <f t="shared" si="10"/>
        <v>0</v>
      </c>
      <c r="AB31" s="4">
        <f t="shared" si="11"/>
        <v>0</v>
      </c>
      <c r="AD31" s="4" t="b">
        <f t="shared" si="12"/>
        <v>0</v>
      </c>
      <c r="AE31" s="4" t="b">
        <f t="shared" si="13"/>
        <v>0</v>
      </c>
      <c r="AF31" s="4" t="b">
        <f t="shared" si="14"/>
        <v>0</v>
      </c>
      <c r="AG31" t="b">
        <f t="shared" si="15"/>
        <v>0</v>
      </c>
      <c r="AH31" t="b">
        <f t="shared" si="16"/>
        <v>0</v>
      </c>
      <c r="AI31" t="b">
        <f t="shared" si="17"/>
        <v>0</v>
      </c>
      <c r="AJ31" t="b">
        <f t="shared" si="18"/>
        <v>0</v>
      </c>
      <c r="AK31" t="b">
        <f t="shared" si="19"/>
        <v>0</v>
      </c>
      <c r="AL31" t="b">
        <f t="shared" si="20"/>
        <v>0</v>
      </c>
      <c r="AM31" t="b">
        <f t="shared" si="21"/>
        <v>0</v>
      </c>
      <c r="AN31" t="b">
        <f t="shared" si="22"/>
        <v>0</v>
      </c>
      <c r="AO31" t="b">
        <f t="shared" si="23"/>
        <v>0</v>
      </c>
      <c r="AP31" t="b">
        <f t="shared" si="24"/>
        <v>0</v>
      </c>
      <c r="AQ31" t="b">
        <f t="shared" si="25"/>
        <v>0</v>
      </c>
      <c r="AR31" t="b">
        <f t="shared" si="26"/>
        <v>0</v>
      </c>
      <c r="AS31" t="b">
        <f t="shared" si="27"/>
        <v>0</v>
      </c>
      <c r="AT31" t="b">
        <f t="shared" si="28"/>
        <v>0</v>
      </c>
      <c r="AU31" t="b">
        <f t="shared" si="29"/>
        <v>0</v>
      </c>
      <c r="AV31" t="b">
        <f t="shared" si="30"/>
        <v>0</v>
      </c>
      <c r="AW31" t="b">
        <f t="shared" si="31"/>
        <v>0</v>
      </c>
      <c r="AX31" t="b">
        <f t="shared" si="110"/>
        <v>0</v>
      </c>
      <c r="AY31" t="b">
        <f t="shared" si="111"/>
        <v>0</v>
      </c>
      <c r="AZ31" t="b">
        <f t="shared" si="112"/>
        <v>0</v>
      </c>
      <c r="BA31" t="b">
        <f t="shared" si="113"/>
        <v>0</v>
      </c>
      <c r="BB31" t="b">
        <f t="shared" si="114"/>
        <v>0</v>
      </c>
      <c r="BC31" t="b">
        <f t="shared" si="115"/>
        <v>0</v>
      </c>
      <c r="BD31" t="b">
        <f t="shared" si="116"/>
        <v>0</v>
      </c>
      <c r="BE31" t="b">
        <f t="shared" si="117"/>
        <v>0</v>
      </c>
      <c r="BF31" t="b">
        <f t="shared" si="118"/>
        <v>0</v>
      </c>
      <c r="BG31" t="b">
        <f t="shared" si="119"/>
        <v>0</v>
      </c>
      <c r="BH31" t="b">
        <f t="shared" si="120"/>
        <v>0</v>
      </c>
      <c r="BI31">
        <f t="shared" si="121"/>
        <v>1</v>
      </c>
      <c r="BJ31" t="b">
        <f t="shared" si="122"/>
        <v>0</v>
      </c>
      <c r="BK31" t="b">
        <f t="shared" si="123"/>
        <v>0</v>
      </c>
      <c r="BL31" t="b">
        <f t="shared" si="124"/>
        <v>0</v>
      </c>
      <c r="BM31" t="b">
        <f t="shared" si="32"/>
        <v>0</v>
      </c>
      <c r="BN31" t="b">
        <f t="shared" si="33"/>
        <v>0</v>
      </c>
      <c r="BO31" t="b">
        <f t="shared" si="34"/>
        <v>0</v>
      </c>
      <c r="BP31" t="b">
        <f t="shared" si="35"/>
        <v>0</v>
      </c>
      <c r="BQ31" t="b">
        <f t="shared" si="36"/>
        <v>0</v>
      </c>
      <c r="BR31" t="b">
        <f t="shared" si="37"/>
        <v>0</v>
      </c>
      <c r="BS31" t="b">
        <f t="shared" si="38"/>
        <v>0</v>
      </c>
      <c r="BT31" t="b">
        <f t="shared" si="39"/>
        <v>0</v>
      </c>
      <c r="BU31" t="b">
        <f t="shared" si="40"/>
        <v>0</v>
      </c>
      <c r="BV31" t="b">
        <f t="shared" si="41"/>
        <v>0</v>
      </c>
      <c r="BW31" t="b">
        <f t="shared" si="42"/>
        <v>0</v>
      </c>
      <c r="BX31" t="b">
        <f t="shared" si="43"/>
        <v>0</v>
      </c>
      <c r="BY31" t="b">
        <f t="shared" si="44"/>
        <v>0</v>
      </c>
      <c r="BZ31" t="b">
        <f t="shared" si="45"/>
        <v>0</v>
      </c>
      <c r="CA31" t="b">
        <f t="shared" si="46"/>
        <v>0</v>
      </c>
      <c r="CB31" t="b">
        <f t="shared" si="47"/>
        <v>0</v>
      </c>
      <c r="CC31" t="b">
        <f t="shared" si="48"/>
        <v>0</v>
      </c>
      <c r="CD31" t="b">
        <f t="shared" si="49"/>
        <v>0</v>
      </c>
      <c r="CE31" t="b">
        <f t="shared" si="50"/>
        <v>0</v>
      </c>
      <c r="CF31" t="b">
        <f t="shared" si="51"/>
        <v>0</v>
      </c>
      <c r="CG31" t="b">
        <f t="shared" si="52"/>
        <v>0</v>
      </c>
      <c r="CH31" t="b">
        <f t="shared" si="53"/>
        <v>0</v>
      </c>
      <c r="CI31" t="b">
        <f t="shared" si="54"/>
        <v>0</v>
      </c>
      <c r="CJ31" t="b">
        <f t="shared" si="55"/>
        <v>0</v>
      </c>
      <c r="CK31" t="b">
        <f t="shared" si="56"/>
        <v>0</v>
      </c>
      <c r="CL31" t="b">
        <f t="shared" si="57"/>
        <v>0</v>
      </c>
      <c r="CM31" t="b">
        <f t="shared" si="58"/>
        <v>0</v>
      </c>
      <c r="CN31" t="b">
        <f t="shared" si="59"/>
        <v>0</v>
      </c>
      <c r="CO31" t="b">
        <f t="shared" si="60"/>
        <v>0</v>
      </c>
      <c r="CP31" t="b">
        <f t="shared" si="61"/>
        <v>0</v>
      </c>
      <c r="CQ31" t="b">
        <f t="shared" si="62"/>
        <v>0</v>
      </c>
      <c r="CR31" t="b">
        <f t="shared" si="63"/>
        <v>0</v>
      </c>
      <c r="CS31" t="b">
        <f t="shared" si="64"/>
        <v>0</v>
      </c>
      <c r="CT31" t="b">
        <f t="shared" si="65"/>
        <v>0</v>
      </c>
      <c r="CU31" t="b">
        <f t="shared" si="66"/>
        <v>0</v>
      </c>
      <c r="CV31" t="b">
        <f t="shared" si="67"/>
        <v>0</v>
      </c>
      <c r="CW31" t="b">
        <f t="shared" si="68"/>
        <v>0</v>
      </c>
      <c r="CX31" t="b">
        <f t="shared" si="69"/>
        <v>0</v>
      </c>
      <c r="CY31" t="b">
        <f t="shared" si="70"/>
        <v>0</v>
      </c>
      <c r="CZ31" t="b">
        <f t="shared" si="71"/>
        <v>0</v>
      </c>
      <c r="DA31" t="b">
        <f t="shared" si="72"/>
        <v>0</v>
      </c>
      <c r="DB31" t="b">
        <f t="shared" si="73"/>
        <v>0</v>
      </c>
      <c r="DC31" t="b">
        <f t="shared" si="74"/>
        <v>0</v>
      </c>
      <c r="DD31" t="b">
        <f t="shared" si="75"/>
        <v>0</v>
      </c>
      <c r="DE31" t="b">
        <f t="shared" si="76"/>
        <v>0</v>
      </c>
      <c r="DF31" t="b">
        <f t="shared" si="77"/>
        <v>0</v>
      </c>
      <c r="DG31" t="b">
        <f t="shared" si="78"/>
        <v>0</v>
      </c>
      <c r="DH31" t="b">
        <f t="shared" si="79"/>
        <v>0</v>
      </c>
      <c r="DI31" t="b">
        <f t="shared" si="80"/>
        <v>0</v>
      </c>
      <c r="DJ31" t="b">
        <f t="shared" si="81"/>
        <v>0</v>
      </c>
      <c r="DK31" t="b">
        <f t="shared" si="82"/>
        <v>0</v>
      </c>
      <c r="DL31" t="b">
        <f t="shared" si="83"/>
        <v>0</v>
      </c>
      <c r="DM31" t="b">
        <f t="shared" si="84"/>
        <v>0</v>
      </c>
      <c r="DN31" t="b">
        <f t="shared" si="85"/>
        <v>0</v>
      </c>
      <c r="DO31" t="b">
        <f t="shared" si="86"/>
        <v>0</v>
      </c>
      <c r="DP31" t="b">
        <f t="shared" si="87"/>
        <v>0</v>
      </c>
      <c r="DQ31" t="b">
        <f t="shared" si="88"/>
        <v>0</v>
      </c>
      <c r="DR31" t="b">
        <f t="shared" si="89"/>
        <v>0</v>
      </c>
      <c r="DS31" t="b">
        <f t="shared" si="90"/>
        <v>0</v>
      </c>
      <c r="DT31" t="b">
        <f t="shared" si="91"/>
        <v>0</v>
      </c>
      <c r="DU31" t="b">
        <f t="shared" si="92"/>
        <v>0</v>
      </c>
      <c r="DV31" t="b">
        <f t="shared" si="93"/>
        <v>0</v>
      </c>
      <c r="DW31" t="b">
        <f t="shared" si="94"/>
        <v>0</v>
      </c>
      <c r="DX31" t="b">
        <f t="shared" si="95"/>
        <v>0</v>
      </c>
      <c r="DY31" t="b">
        <f t="shared" si="96"/>
        <v>0</v>
      </c>
      <c r="DZ31" t="b">
        <f t="shared" si="97"/>
        <v>0</v>
      </c>
      <c r="EA31" t="b">
        <f t="shared" si="98"/>
        <v>0</v>
      </c>
      <c r="EB31" t="b">
        <f t="shared" si="99"/>
        <v>0</v>
      </c>
      <c r="EC31" t="b">
        <f t="shared" si="100"/>
        <v>0</v>
      </c>
      <c r="ED31" t="b">
        <f t="shared" si="101"/>
        <v>0</v>
      </c>
      <c r="EE31" t="b">
        <f t="shared" si="102"/>
        <v>0</v>
      </c>
      <c r="EF31" t="b">
        <f t="shared" si="103"/>
        <v>0</v>
      </c>
      <c r="EG31" t="b">
        <f t="shared" si="104"/>
        <v>0</v>
      </c>
      <c r="EH31" t="b">
        <f t="shared" si="105"/>
        <v>0</v>
      </c>
      <c r="EI31" t="b">
        <f t="shared" si="106"/>
        <v>0</v>
      </c>
      <c r="EJ31" t="b">
        <f t="shared" si="107"/>
        <v>0</v>
      </c>
      <c r="EK31" t="b">
        <f t="shared" si="108"/>
        <v>0</v>
      </c>
    </row>
    <row r="32" spans="1:141">
      <c r="A32" t="s">
        <v>285</v>
      </c>
      <c r="B32" t="s">
        <v>286</v>
      </c>
      <c r="C32" t="s">
        <v>287</v>
      </c>
      <c r="D32" s="1">
        <v>44697</v>
      </c>
      <c r="E32" s="2">
        <v>44706.98846064815</v>
      </c>
      <c r="F32" s="2">
        <v>44706.98846064815</v>
      </c>
      <c r="G32">
        <v>108940</v>
      </c>
      <c r="H32" t="s">
        <v>288</v>
      </c>
      <c r="I32" s="10" t="s">
        <v>289</v>
      </c>
      <c r="J32" t="s">
        <v>290</v>
      </c>
      <c r="K32" s="8" t="b">
        <v>1</v>
      </c>
      <c r="L32" s="10" t="b">
        <v>0</v>
      </c>
      <c r="M32" s="12" t="b">
        <v>0</v>
      </c>
      <c r="N32" t="b">
        <v>0</v>
      </c>
      <c r="O32" t="b">
        <v>0</v>
      </c>
      <c r="P32" t="b">
        <v>0</v>
      </c>
      <c r="Q32">
        <f t="shared" si="1"/>
        <v>2</v>
      </c>
      <c r="R32">
        <f t="shared" si="2"/>
        <v>5</v>
      </c>
      <c r="S32" t="e">
        <f t="shared" ca="1" si="109"/>
        <v>#NAME?</v>
      </c>
      <c r="T32" t="e">
        <f t="shared" ca="1" si="3"/>
        <v>#NAME?</v>
      </c>
      <c r="U32" s="4">
        <f t="shared" si="4"/>
        <v>9.9884606481500668</v>
      </c>
      <c r="V32" s="4">
        <f t="shared" si="5"/>
        <v>0.3329486882716689</v>
      </c>
      <c r="W32" s="4">
        <f t="shared" si="6"/>
        <v>1</v>
      </c>
      <c r="X32" s="4">
        <f t="shared" si="7"/>
        <v>0</v>
      </c>
      <c r="Y32" s="4">
        <f t="shared" si="8"/>
        <v>0</v>
      </c>
      <c r="Z32" s="4">
        <f t="shared" si="9"/>
        <v>0</v>
      </c>
      <c r="AA32" s="4">
        <f t="shared" si="10"/>
        <v>0</v>
      </c>
      <c r="AB32" s="4">
        <f t="shared" si="11"/>
        <v>0</v>
      </c>
      <c r="AD32" s="4" t="b">
        <f t="shared" si="12"/>
        <v>0</v>
      </c>
      <c r="AE32" s="4" t="b">
        <f t="shared" si="13"/>
        <v>0</v>
      </c>
      <c r="AF32" s="4" t="b">
        <f t="shared" si="14"/>
        <v>0</v>
      </c>
      <c r="AG32" t="b">
        <f t="shared" si="15"/>
        <v>0</v>
      </c>
      <c r="AH32" t="b">
        <f t="shared" si="16"/>
        <v>0</v>
      </c>
      <c r="AI32" t="b">
        <f t="shared" si="17"/>
        <v>0</v>
      </c>
      <c r="AJ32" t="b">
        <f t="shared" si="18"/>
        <v>0</v>
      </c>
      <c r="AK32" t="b">
        <f t="shared" si="19"/>
        <v>0</v>
      </c>
      <c r="AL32" t="b">
        <f t="shared" si="20"/>
        <v>0</v>
      </c>
      <c r="AM32" t="b">
        <f t="shared" si="21"/>
        <v>0</v>
      </c>
      <c r="AN32" t="b">
        <f t="shared" si="22"/>
        <v>0</v>
      </c>
      <c r="AO32" t="b">
        <f t="shared" si="23"/>
        <v>0</v>
      </c>
      <c r="AP32" t="b">
        <f t="shared" si="24"/>
        <v>0</v>
      </c>
      <c r="AQ32" t="b">
        <f t="shared" si="25"/>
        <v>0</v>
      </c>
      <c r="AR32" t="b">
        <f t="shared" si="26"/>
        <v>0</v>
      </c>
      <c r="AS32" t="b">
        <f t="shared" si="27"/>
        <v>0</v>
      </c>
      <c r="AT32" t="b">
        <f t="shared" si="28"/>
        <v>0</v>
      </c>
      <c r="AU32" t="b">
        <f t="shared" si="29"/>
        <v>0</v>
      </c>
      <c r="AV32" t="b">
        <f t="shared" si="30"/>
        <v>0</v>
      </c>
      <c r="AW32" t="b">
        <f t="shared" si="31"/>
        <v>0</v>
      </c>
      <c r="AX32" t="b">
        <f t="shared" si="110"/>
        <v>0</v>
      </c>
      <c r="AY32" t="b">
        <f t="shared" si="111"/>
        <v>0</v>
      </c>
      <c r="AZ32" t="b">
        <f t="shared" si="112"/>
        <v>0</v>
      </c>
      <c r="BA32" t="b">
        <f t="shared" si="113"/>
        <v>0</v>
      </c>
      <c r="BB32" t="b">
        <f t="shared" si="114"/>
        <v>0</v>
      </c>
      <c r="BC32" t="b">
        <f t="shared" si="115"/>
        <v>0</v>
      </c>
      <c r="BD32" t="b">
        <f t="shared" si="116"/>
        <v>0</v>
      </c>
      <c r="BE32" t="b">
        <f t="shared" si="117"/>
        <v>0</v>
      </c>
      <c r="BF32" t="b">
        <f t="shared" si="118"/>
        <v>0</v>
      </c>
      <c r="BG32" t="b">
        <f t="shared" si="119"/>
        <v>0</v>
      </c>
      <c r="BH32" t="b">
        <f t="shared" si="120"/>
        <v>0</v>
      </c>
      <c r="BI32">
        <f t="shared" si="121"/>
        <v>1</v>
      </c>
      <c r="BJ32" t="b">
        <f t="shared" si="122"/>
        <v>0</v>
      </c>
      <c r="BK32" t="b">
        <f t="shared" si="123"/>
        <v>0</v>
      </c>
      <c r="BL32" t="b">
        <f t="shared" si="124"/>
        <v>0</v>
      </c>
      <c r="BM32" t="b">
        <f t="shared" si="32"/>
        <v>0</v>
      </c>
      <c r="BN32" t="b">
        <f t="shared" si="33"/>
        <v>0</v>
      </c>
      <c r="BO32" t="b">
        <f t="shared" si="34"/>
        <v>0</v>
      </c>
      <c r="BP32" t="b">
        <f t="shared" si="35"/>
        <v>0</v>
      </c>
      <c r="BQ32" t="b">
        <f t="shared" si="36"/>
        <v>0</v>
      </c>
      <c r="BR32" t="b">
        <f t="shared" si="37"/>
        <v>0</v>
      </c>
      <c r="BS32" t="b">
        <f t="shared" si="38"/>
        <v>0</v>
      </c>
      <c r="BT32" t="b">
        <f t="shared" si="39"/>
        <v>0</v>
      </c>
      <c r="BU32" t="b">
        <f t="shared" si="40"/>
        <v>0</v>
      </c>
      <c r="BV32" t="b">
        <f t="shared" si="41"/>
        <v>0</v>
      </c>
      <c r="BW32" t="b">
        <f t="shared" si="42"/>
        <v>0</v>
      </c>
      <c r="BX32" t="b">
        <f t="shared" si="43"/>
        <v>0</v>
      </c>
      <c r="BY32" t="b">
        <f t="shared" si="44"/>
        <v>0</v>
      </c>
      <c r="BZ32" t="b">
        <f t="shared" si="45"/>
        <v>0</v>
      </c>
      <c r="CA32" t="b">
        <f t="shared" si="46"/>
        <v>0</v>
      </c>
      <c r="CB32" t="b">
        <f t="shared" si="47"/>
        <v>0</v>
      </c>
      <c r="CC32" t="b">
        <f t="shared" si="48"/>
        <v>0</v>
      </c>
      <c r="CD32" t="b">
        <f t="shared" si="49"/>
        <v>0</v>
      </c>
      <c r="CE32" t="b">
        <f t="shared" si="50"/>
        <v>0</v>
      </c>
      <c r="CF32" t="b">
        <f t="shared" si="51"/>
        <v>0</v>
      </c>
      <c r="CG32" t="b">
        <f t="shared" si="52"/>
        <v>0</v>
      </c>
      <c r="CH32" t="b">
        <f t="shared" si="53"/>
        <v>0</v>
      </c>
      <c r="CI32" t="b">
        <f t="shared" si="54"/>
        <v>0</v>
      </c>
      <c r="CJ32" t="b">
        <f t="shared" si="55"/>
        <v>0</v>
      </c>
      <c r="CK32" t="b">
        <f t="shared" si="56"/>
        <v>0</v>
      </c>
      <c r="CL32" t="b">
        <f t="shared" si="57"/>
        <v>0</v>
      </c>
      <c r="CM32">
        <f t="shared" si="58"/>
        <v>1</v>
      </c>
      <c r="CN32" t="b">
        <f t="shared" si="59"/>
        <v>0</v>
      </c>
      <c r="CO32" t="b">
        <f t="shared" si="60"/>
        <v>0</v>
      </c>
      <c r="CP32" t="b">
        <f t="shared" si="61"/>
        <v>0</v>
      </c>
      <c r="CQ32" t="b">
        <f t="shared" si="62"/>
        <v>0</v>
      </c>
      <c r="CR32" t="b">
        <f t="shared" si="63"/>
        <v>0</v>
      </c>
      <c r="CS32" t="b">
        <f t="shared" si="64"/>
        <v>0</v>
      </c>
      <c r="CT32" t="b">
        <f t="shared" si="65"/>
        <v>0</v>
      </c>
      <c r="CU32" t="b">
        <f t="shared" si="66"/>
        <v>0</v>
      </c>
      <c r="CV32">
        <f t="shared" si="67"/>
        <v>1</v>
      </c>
      <c r="CW32" t="b">
        <f t="shared" si="68"/>
        <v>0</v>
      </c>
      <c r="CX32" t="b">
        <f t="shared" si="69"/>
        <v>0</v>
      </c>
      <c r="CY32" t="b">
        <f t="shared" si="70"/>
        <v>0</v>
      </c>
      <c r="CZ32" t="b">
        <f t="shared" si="71"/>
        <v>0</v>
      </c>
      <c r="DA32">
        <f t="shared" si="72"/>
        <v>1</v>
      </c>
      <c r="DB32">
        <f t="shared" si="73"/>
        <v>1</v>
      </c>
      <c r="DC32" t="b">
        <f t="shared" si="74"/>
        <v>0</v>
      </c>
      <c r="DD32" t="b">
        <f t="shared" si="75"/>
        <v>0</v>
      </c>
      <c r="DE32" t="b">
        <f t="shared" si="76"/>
        <v>0</v>
      </c>
      <c r="DF32" t="b">
        <f t="shared" si="77"/>
        <v>0</v>
      </c>
      <c r="DG32" t="b">
        <f t="shared" si="78"/>
        <v>0</v>
      </c>
      <c r="DH32" t="b">
        <f t="shared" si="79"/>
        <v>0</v>
      </c>
      <c r="DI32" t="b">
        <f t="shared" si="80"/>
        <v>0</v>
      </c>
      <c r="DJ32" t="b">
        <f t="shared" si="81"/>
        <v>0</v>
      </c>
      <c r="DK32" t="b">
        <f t="shared" si="82"/>
        <v>0</v>
      </c>
      <c r="DL32" t="b">
        <f t="shared" si="83"/>
        <v>0</v>
      </c>
      <c r="DM32" t="b">
        <f t="shared" si="84"/>
        <v>0</v>
      </c>
      <c r="DN32" t="b">
        <f t="shared" si="85"/>
        <v>0</v>
      </c>
      <c r="DO32" t="b">
        <f t="shared" si="86"/>
        <v>0</v>
      </c>
      <c r="DP32" t="b">
        <f t="shared" si="87"/>
        <v>0</v>
      </c>
      <c r="DQ32" t="b">
        <f t="shared" si="88"/>
        <v>0</v>
      </c>
      <c r="DR32" t="b">
        <f t="shared" si="89"/>
        <v>0</v>
      </c>
      <c r="DS32" t="b">
        <f t="shared" si="90"/>
        <v>0</v>
      </c>
      <c r="DT32" t="b">
        <f t="shared" si="91"/>
        <v>0</v>
      </c>
      <c r="DU32" t="b">
        <f t="shared" si="92"/>
        <v>0</v>
      </c>
      <c r="DV32" t="b">
        <f t="shared" si="93"/>
        <v>0</v>
      </c>
      <c r="DW32" t="b">
        <f t="shared" si="94"/>
        <v>0</v>
      </c>
      <c r="DX32" t="b">
        <f t="shared" si="95"/>
        <v>0</v>
      </c>
      <c r="DY32" t="b">
        <f t="shared" si="96"/>
        <v>0</v>
      </c>
      <c r="DZ32" t="b">
        <f t="shared" si="97"/>
        <v>0</v>
      </c>
      <c r="EA32" t="b">
        <f t="shared" si="98"/>
        <v>0</v>
      </c>
      <c r="EB32" t="b">
        <f t="shared" si="99"/>
        <v>0</v>
      </c>
      <c r="EC32" t="b">
        <f t="shared" si="100"/>
        <v>0</v>
      </c>
      <c r="ED32" t="b">
        <f t="shared" si="101"/>
        <v>0</v>
      </c>
      <c r="EE32" t="b">
        <f t="shared" si="102"/>
        <v>0</v>
      </c>
      <c r="EF32" t="b">
        <f t="shared" si="103"/>
        <v>0</v>
      </c>
      <c r="EG32" t="b">
        <f t="shared" si="104"/>
        <v>0</v>
      </c>
      <c r="EH32" t="b">
        <f t="shared" si="105"/>
        <v>0</v>
      </c>
      <c r="EI32" t="b">
        <f t="shared" si="106"/>
        <v>0</v>
      </c>
      <c r="EJ32" t="b">
        <f t="shared" si="107"/>
        <v>0</v>
      </c>
      <c r="EK32" t="b">
        <f t="shared" si="108"/>
        <v>0</v>
      </c>
    </row>
    <row r="33" spans="1:141">
      <c r="A33" t="s">
        <v>291</v>
      </c>
      <c r="B33" t="s">
        <v>291</v>
      </c>
      <c r="C33" t="s">
        <v>292</v>
      </c>
      <c r="D33" s="1">
        <v>42315</v>
      </c>
      <c r="E33" s="2">
        <v>43093.186631944445</v>
      </c>
      <c r="F33" s="2">
        <v>43093.186631944445</v>
      </c>
      <c r="G33">
        <v>297806</v>
      </c>
      <c r="H33" t="s">
        <v>293</v>
      </c>
      <c r="I33" s="10" t="s">
        <v>294</v>
      </c>
      <c r="J33" t="s">
        <v>147</v>
      </c>
      <c r="K33" s="8" t="b">
        <v>1</v>
      </c>
      <c r="L33" s="10" t="b">
        <v>0</v>
      </c>
      <c r="M33" s="12" t="b">
        <v>0</v>
      </c>
      <c r="N33" t="b">
        <v>0</v>
      </c>
      <c r="O33" t="b">
        <v>0</v>
      </c>
      <c r="P33" t="b">
        <v>0</v>
      </c>
      <c r="Q33">
        <f t="shared" si="1"/>
        <v>7</v>
      </c>
      <c r="R33">
        <f t="shared" si="2"/>
        <v>11</v>
      </c>
      <c r="S33" t="e">
        <f t="shared" ca="1" si="109"/>
        <v>#NAME?</v>
      </c>
      <c r="T33" t="e">
        <f t="shared" ca="1" si="3"/>
        <v>#NAME?</v>
      </c>
      <c r="U33" s="4">
        <f t="shared" si="4"/>
        <v>778.18663194444525</v>
      </c>
      <c r="V33" s="4">
        <f t="shared" si="5"/>
        <v>25.939554398148175</v>
      </c>
      <c r="W33" s="4">
        <f t="shared" si="6"/>
        <v>1</v>
      </c>
      <c r="X33" s="4">
        <f t="shared" si="7"/>
        <v>0</v>
      </c>
      <c r="Y33" s="4">
        <f t="shared" si="8"/>
        <v>0</v>
      </c>
      <c r="Z33" s="4">
        <f t="shared" si="9"/>
        <v>0</v>
      </c>
      <c r="AA33" s="4">
        <f t="shared" si="10"/>
        <v>0</v>
      </c>
      <c r="AB33" s="4">
        <f t="shared" si="11"/>
        <v>0</v>
      </c>
      <c r="AD33" s="4" t="b">
        <f t="shared" si="12"/>
        <v>0</v>
      </c>
      <c r="AE33" s="4" t="b">
        <f t="shared" si="13"/>
        <v>0</v>
      </c>
      <c r="AF33" s="4" t="b">
        <f t="shared" si="14"/>
        <v>0</v>
      </c>
      <c r="AG33" t="b">
        <f t="shared" si="15"/>
        <v>0</v>
      </c>
      <c r="AH33" t="b">
        <f t="shared" si="16"/>
        <v>0</v>
      </c>
      <c r="AI33" t="b">
        <f t="shared" si="17"/>
        <v>0</v>
      </c>
      <c r="AJ33" t="b">
        <f t="shared" si="18"/>
        <v>0</v>
      </c>
      <c r="AK33" t="b">
        <f t="shared" si="19"/>
        <v>0</v>
      </c>
      <c r="AL33" t="b">
        <f t="shared" si="20"/>
        <v>0</v>
      </c>
      <c r="AM33" t="b">
        <f t="shared" si="21"/>
        <v>0</v>
      </c>
      <c r="AN33" t="b">
        <f t="shared" si="22"/>
        <v>0</v>
      </c>
      <c r="AO33" t="b">
        <f t="shared" si="23"/>
        <v>0</v>
      </c>
      <c r="AP33" t="b">
        <f t="shared" si="24"/>
        <v>0</v>
      </c>
      <c r="AQ33" t="b">
        <f t="shared" si="25"/>
        <v>0</v>
      </c>
      <c r="AR33" t="b">
        <f t="shared" si="26"/>
        <v>0</v>
      </c>
      <c r="AS33" t="b">
        <f t="shared" si="27"/>
        <v>0</v>
      </c>
      <c r="AT33" t="b">
        <f t="shared" si="28"/>
        <v>0</v>
      </c>
      <c r="AU33" t="b">
        <f t="shared" si="29"/>
        <v>0</v>
      </c>
      <c r="AV33" t="b">
        <f t="shared" si="30"/>
        <v>0</v>
      </c>
      <c r="AW33" t="b">
        <f t="shared" si="31"/>
        <v>0</v>
      </c>
      <c r="AX33" t="b">
        <f t="shared" si="110"/>
        <v>0</v>
      </c>
      <c r="AY33" t="b">
        <f t="shared" si="111"/>
        <v>0</v>
      </c>
      <c r="AZ33" t="b">
        <f t="shared" si="112"/>
        <v>0</v>
      </c>
      <c r="BA33" t="b">
        <f t="shared" si="113"/>
        <v>0</v>
      </c>
      <c r="BB33" t="b">
        <f t="shared" si="114"/>
        <v>0</v>
      </c>
      <c r="BC33" t="b">
        <f t="shared" si="115"/>
        <v>0</v>
      </c>
      <c r="BD33" t="b">
        <f t="shared" si="116"/>
        <v>0</v>
      </c>
      <c r="BE33" t="b">
        <f t="shared" si="117"/>
        <v>0</v>
      </c>
      <c r="BF33" t="b">
        <f t="shared" si="118"/>
        <v>0</v>
      </c>
      <c r="BG33" t="b">
        <f t="shared" si="119"/>
        <v>0</v>
      </c>
      <c r="BH33" t="b">
        <f t="shared" si="120"/>
        <v>0</v>
      </c>
      <c r="BI33">
        <f t="shared" si="121"/>
        <v>1</v>
      </c>
      <c r="BJ33" t="b">
        <f t="shared" si="122"/>
        <v>0</v>
      </c>
      <c r="BK33" t="b">
        <f t="shared" si="123"/>
        <v>0</v>
      </c>
      <c r="BL33" t="b">
        <f t="shared" si="124"/>
        <v>0</v>
      </c>
      <c r="BM33" t="b">
        <f t="shared" si="32"/>
        <v>0</v>
      </c>
      <c r="BN33" t="b">
        <f t="shared" si="33"/>
        <v>0</v>
      </c>
      <c r="BO33" t="b">
        <f t="shared" si="34"/>
        <v>0</v>
      </c>
      <c r="BP33" t="b">
        <f t="shared" si="35"/>
        <v>0</v>
      </c>
      <c r="BQ33" t="b">
        <f t="shared" si="36"/>
        <v>0</v>
      </c>
      <c r="BR33" t="b">
        <f t="shared" si="37"/>
        <v>0</v>
      </c>
      <c r="BS33" t="b">
        <f t="shared" si="38"/>
        <v>0</v>
      </c>
      <c r="BT33" t="b">
        <f t="shared" si="39"/>
        <v>0</v>
      </c>
      <c r="BU33" t="b">
        <f t="shared" si="40"/>
        <v>0</v>
      </c>
      <c r="BV33" t="b">
        <f t="shared" si="41"/>
        <v>0</v>
      </c>
      <c r="BW33" t="b">
        <f t="shared" si="42"/>
        <v>0</v>
      </c>
      <c r="BX33" t="b">
        <f t="shared" si="43"/>
        <v>0</v>
      </c>
      <c r="BY33" t="b">
        <f t="shared" si="44"/>
        <v>0</v>
      </c>
      <c r="BZ33" t="b">
        <f t="shared" si="45"/>
        <v>0</v>
      </c>
      <c r="CA33" t="b">
        <f t="shared" si="46"/>
        <v>0</v>
      </c>
      <c r="CB33" t="b">
        <f t="shared" si="47"/>
        <v>0</v>
      </c>
      <c r="CC33" t="b">
        <f t="shared" si="48"/>
        <v>0</v>
      </c>
      <c r="CD33" t="b">
        <f t="shared" si="49"/>
        <v>0</v>
      </c>
      <c r="CE33" t="b">
        <f t="shared" si="50"/>
        <v>0</v>
      </c>
      <c r="CF33" t="b">
        <f t="shared" si="51"/>
        <v>0</v>
      </c>
      <c r="CG33" t="b">
        <f t="shared" si="52"/>
        <v>0</v>
      </c>
      <c r="CH33" t="b">
        <f t="shared" si="53"/>
        <v>0</v>
      </c>
      <c r="CI33" t="b">
        <f t="shared" si="54"/>
        <v>0</v>
      </c>
      <c r="CJ33" t="b">
        <f t="shared" si="55"/>
        <v>0</v>
      </c>
      <c r="CK33" t="b">
        <f t="shared" si="56"/>
        <v>0</v>
      </c>
      <c r="CL33" t="b">
        <f t="shared" si="57"/>
        <v>0</v>
      </c>
      <c r="CM33" t="b">
        <f t="shared" si="58"/>
        <v>0</v>
      </c>
      <c r="CN33" t="b">
        <f t="shared" si="59"/>
        <v>0</v>
      </c>
      <c r="CO33" t="b">
        <f t="shared" si="60"/>
        <v>0</v>
      </c>
      <c r="CP33" t="b">
        <f t="shared" si="61"/>
        <v>0</v>
      </c>
      <c r="CQ33" t="b">
        <f t="shared" si="62"/>
        <v>0</v>
      </c>
      <c r="CR33" t="b">
        <f t="shared" si="63"/>
        <v>0</v>
      </c>
      <c r="CS33" t="b">
        <f t="shared" si="64"/>
        <v>0</v>
      </c>
      <c r="CT33" t="b">
        <f t="shared" si="65"/>
        <v>0</v>
      </c>
      <c r="CU33" t="b">
        <f t="shared" si="66"/>
        <v>0</v>
      </c>
      <c r="CV33">
        <f t="shared" si="67"/>
        <v>1</v>
      </c>
      <c r="CW33" t="b">
        <f t="shared" si="68"/>
        <v>0</v>
      </c>
      <c r="CX33" t="b">
        <f t="shared" si="69"/>
        <v>0</v>
      </c>
      <c r="CY33" t="b">
        <f t="shared" si="70"/>
        <v>0</v>
      </c>
      <c r="CZ33" t="b">
        <f t="shared" si="71"/>
        <v>0</v>
      </c>
      <c r="DA33" t="b">
        <f t="shared" si="72"/>
        <v>0</v>
      </c>
      <c r="DB33" t="b">
        <f t="shared" si="73"/>
        <v>0</v>
      </c>
      <c r="DC33" t="b">
        <f t="shared" si="74"/>
        <v>0</v>
      </c>
      <c r="DD33" t="b">
        <f t="shared" si="75"/>
        <v>0</v>
      </c>
      <c r="DE33" t="b">
        <f t="shared" si="76"/>
        <v>0</v>
      </c>
      <c r="DF33" t="b">
        <f t="shared" si="77"/>
        <v>0</v>
      </c>
      <c r="DG33" t="b">
        <f t="shared" si="78"/>
        <v>0</v>
      </c>
      <c r="DH33" t="b">
        <f t="shared" si="79"/>
        <v>0</v>
      </c>
      <c r="DI33" t="b">
        <f t="shared" si="80"/>
        <v>0</v>
      </c>
      <c r="DJ33" t="b">
        <f t="shared" si="81"/>
        <v>0</v>
      </c>
      <c r="DK33" t="b">
        <f t="shared" si="82"/>
        <v>0</v>
      </c>
      <c r="DL33" t="b">
        <f t="shared" si="83"/>
        <v>0</v>
      </c>
      <c r="DM33" t="b">
        <f t="shared" si="84"/>
        <v>0</v>
      </c>
      <c r="DN33" t="b">
        <f t="shared" si="85"/>
        <v>0</v>
      </c>
      <c r="DO33" t="b">
        <f t="shared" si="86"/>
        <v>0</v>
      </c>
      <c r="DP33" t="b">
        <f t="shared" si="87"/>
        <v>0</v>
      </c>
      <c r="DQ33" t="b">
        <f t="shared" si="88"/>
        <v>0</v>
      </c>
      <c r="DR33" t="b">
        <f t="shared" si="89"/>
        <v>0</v>
      </c>
      <c r="DS33" t="b">
        <f t="shared" si="90"/>
        <v>0</v>
      </c>
      <c r="DT33" t="b">
        <f t="shared" si="91"/>
        <v>0</v>
      </c>
      <c r="DU33" t="b">
        <f t="shared" si="92"/>
        <v>0</v>
      </c>
      <c r="DV33" t="b">
        <f t="shared" si="93"/>
        <v>0</v>
      </c>
      <c r="DW33" t="b">
        <f t="shared" si="94"/>
        <v>0</v>
      </c>
      <c r="DX33" t="b">
        <f t="shared" si="95"/>
        <v>0</v>
      </c>
      <c r="DY33" t="b">
        <f t="shared" si="96"/>
        <v>0</v>
      </c>
      <c r="DZ33" t="b">
        <f t="shared" si="97"/>
        <v>0</v>
      </c>
      <c r="EA33" t="b">
        <f t="shared" si="98"/>
        <v>0</v>
      </c>
      <c r="EB33" t="b">
        <f t="shared" si="99"/>
        <v>0</v>
      </c>
      <c r="EC33" t="b">
        <f t="shared" si="100"/>
        <v>0</v>
      </c>
      <c r="ED33" t="b">
        <f t="shared" si="101"/>
        <v>0</v>
      </c>
      <c r="EE33" t="b">
        <f t="shared" si="102"/>
        <v>0</v>
      </c>
      <c r="EF33" t="b">
        <f t="shared" si="103"/>
        <v>0</v>
      </c>
      <c r="EG33" t="b">
        <f t="shared" si="104"/>
        <v>0</v>
      </c>
      <c r="EH33" t="b">
        <f t="shared" si="105"/>
        <v>0</v>
      </c>
      <c r="EI33" t="b">
        <f t="shared" si="106"/>
        <v>0</v>
      </c>
      <c r="EJ33" t="b">
        <f t="shared" si="107"/>
        <v>0</v>
      </c>
      <c r="EK33" t="b">
        <f t="shared" si="108"/>
        <v>0</v>
      </c>
    </row>
    <row r="34" spans="1:141">
      <c r="A34" t="s">
        <v>295</v>
      </c>
      <c r="B34" t="s">
        <v>296</v>
      </c>
      <c r="C34" t="s">
        <v>297</v>
      </c>
      <c r="D34" s="1">
        <v>40846</v>
      </c>
      <c r="E34" s="2">
        <v>42358.282858796294</v>
      </c>
      <c r="F34" s="2">
        <v>44050.978483796294</v>
      </c>
      <c r="G34">
        <v>745355</v>
      </c>
      <c r="H34" t="s">
        <v>298</v>
      </c>
      <c r="I34" s="10" t="s">
        <v>299</v>
      </c>
      <c r="J34" t="s">
        <v>300</v>
      </c>
      <c r="K34" s="8" t="b">
        <v>1</v>
      </c>
      <c r="L34" s="10" t="b">
        <v>0</v>
      </c>
      <c r="M34" s="12" t="b">
        <v>0</v>
      </c>
      <c r="N34" t="b">
        <v>0</v>
      </c>
      <c r="O34" t="b">
        <v>0</v>
      </c>
      <c r="P34" t="b">
        <v>0</v>
      </c>
      <c r="Q34">
        <f t="shared" si="1"/>
        <v>1</v>
      </c>
      <c r="R34">
        <f t="shared" si="2"/>
        <v>10</v>
      </c>
      <c r="S34" t="e">
        <f t="shared" ca="1" si="109"/>
        <v>#NAME?</v>
      </c>
      <c r="T34" t="e">
        <f t="shared" ca="1" si="3"/>
        <v>#NAME?</v>
      </c>
      <c r="U34" s="4">
        <f t="shared" si="4"/>
        <v>1512.282858796294</v>
      </c>
      <c r="V34" s="4">
        <f t="shared" si="5"/>
        <v>50.409428626543132</v>
      </c>
      <c r="W34" s="4">
        <f t="shared" si="6"/>
        <v>1</v>
      </c>
      <c r="X34" s="4">
        <f t="shared" si="7"/>
        <v>0</v>
      </c>
      <c r="Y34" s="4">
        <f t="shared" si="8"/>
        <v>0</v>
      </c>
      <c r="Z34" s="4">
        <f t="shared" si="9"/>
        <v>0</v>
      </c>
      <c r="AA34" s="4">
        <f t="shared" si="10"/>
        <v>0</v>
      </c>
      <c r="AB34" s="4">
        <f t="shared" si="11"/>
        <v>0</v>
      </c>
      <c r="AD34" s="4" t="b">
        <f t="shared" si="12"/>
        <v>0</v>
      </c>
      <c r="AE34" s="4" t="b">
        <f t="shared" si="13"/>
        <v>0</v>
      </c>
      <c r="AF34" s="4" t="b">
        <f t="shared" si="14"/>
        <v>0</v>
      </c>
      <c r="AG34" t="b">
        <f t="shared" si="15"/>
        <v>0</v>
      </c>
      <c r="AH34" t="b">
        <f t="shared" si="16"/>
        <v>0</v>
      </c>
      <c r="AI34" t="b">
        <f t="shared" si="17"/>
        <v>0</v>
      </c>
      <c r="AJ34" t="b">
        <f t="shared" si="18"/>
        <v>0</v>
      </c>
      <c r="AK34" t="b">
        <f t="shared" si="19"/>
        <v>0</v>
      </c>
      <c r="AL34" t="b">
        <f t="shared" si="20"/>
        <v>0</v>
      </c>
      <c r="AM34" t="b">
        <f t="shared" si="21"/>
        <v>0</v>
      </c>
      <c r="AN34" t="b">
        <f t="shared" si="22"/>
        <v>0</v>
      </c>
      <c r="AO34" t="b">
        <f t="shared" si="23"/>
        <v>0</v>
      </c>
      <c r="AP34" t="b">
        <f t="shared" si="24"/>
        <v>0</v>
      </c>
      <c r="AQ34" t="b">
        <f t="shared" si="25"/>
        <v>0</v>
      </c>
      <c r="AR34" t="b">
        <f t="shared" si="26"/>
        <v>0</v>
      </c>
      <c r="AS34" t="b">
        <f t="shared" si="27"/>
        <v>0</v>
      </c>
      <c r="AT34" t="b">
        <f t="shared" si="28"/>
        <v>0</v>
      </c>
      <c r="AU34" t="b">
        <f t="shared" si="29"/>
        <v>0</v>
      </c>
      <c r="AV34" t="b">
        <f t="shared" si="30"/>
        <v>0</v>
      </c>
      <c r="AW34" t="b">
        <f t="shared" si="31"/>
        <v>0</v>
      </c>
      <c r="AX34" t="b">
        <f t="shared" si="110"/>
        <v>0</v>
      </c>
      <c r="AY34" t="b">
        <f t="shared" si="111"/>
        <v>0</v>
      </c>
      <c r="AZ34">
        <f t="shared" si="112"/>
        <v>1</v>
      </c>
      <c r="BA34" t="b">
        <f t="shared" si="113"/>
        <v>0</v>
      </c>
      <c r="BB34" t="b">
        <f t="shared" si="114"/>
        <v>0</v>
      </c>
      <c r="BC34" t="b">
        <f t="shared" si="115"/>
        <v>0</v>
      </c>
      <c r="BD34" t="b">
        <f t="shared" si="116"/>
        <v>0</v>
      </c>
      <c r="BE34" t="b">
        <f t="shared" si="117"/>
        <v>0</v>
      </c>
      <c r="BF34" t="b">
        <f t="shared" si="118"/>
        <v>0</v>
      </c>
      <c r="BG34" t="b">
        <f t="shared" si="119"/>
        <v>0</v>
      </c>
      <c r="BH34" t="b">
        <f t="shared" si="120"/>
        <v>0</v>
      </c>
      <c r="BI34">
        <f t="shared" si="121"/>
        <v>1</v>
      </c>
      <c r="BJ34" t="b">
        <f t="shared" si="122"/>
        <v>0</v>
      </c>
      <c r="BK34" t="b">
        <f t="shared" si="123"/>
        <v>0</v>
      </c>
      <c r="BL34" t="b">
        <f t="shared" si="124"/>
        <v>0</v>
      </c>
      <c r="BM34" t="b">
        <f t="shared" si="32"/>
        <v>0</v>
      </c>
      <c r="BN34" t="b">
        <f t="shared" si="33"/>
        <v>0</v>
      </c>
      <c r="BO34" t="b">
        <f t="shared" si="34"/>
        <v>0</v>
      </c>
      <c r="BP34" t="b">
        <f t="shared" si="35"/>
        <v>0</v>
      </c>
      <c r="BQ34" t="b">
        <f t="shared" si="36"/>
        <v>0</v>
      </c>
      <c r="BR34" t="b">
        <f t="shared" si="37"/>
        <v>0</v>
      </c>
      <c r="BS34" t="b">
        <f t="shared" si="38"/>
        <v>0</v>
      </c>
      <c r="BT34" t="b">
        <f t="shared" si="39"/>
        <v>0</v>
      </c>
      <c r="BU34" t="b">
        <f t="shared" si="40"/>
        <v>0</v>
      </c>
      <c r="BV34" t="b">
        <f t="shared" si="41"/>
        <v>0</v>
      </c>
      <c r="BW34" t="b">
        <f t="shared" si="42"/>
        <v>0</v>
      </c>
      <c r="BX34" t="b">
        <f t="shared" si="43"/>
        <v>0</v>
      </c>
      <c r="BY34" t="b">
        <f t="shared" si="44"/>
        <v>0</v>
      </c>
      <c r="BZ34">
        <f t="shared" si="45"/>
        <v>1</v>
      </c>
      <c r="CA34" t="b">
        <f t="shared" si="46"/>
        <v>0</v>
      </c>
      <c r="CB34" t="b">
        <f t="shared" si="47"/>
        <v>0</v>
      </c>
      <c r="CC34" t="b">
        <f t="shared" si="48"/>
        <v>0</v>
      </c>
      <c r="CD34">
        <f t="shared" si="49"/>
        <v>1</v>
      </c>
      <c r="CE34">
        <f t="shared" si="50"/>
        <v>1</v>
      </c>
      <c r="CF34" t="b">
        <f t="shared" si="51"/>
        <v>0</v>
      </c>
      <c r="CG34" t="b">
        <f t="shared" si="52"/>
        <v>0</v>
      </c>
      <c r="CH34" t="b">
        <f t="shared" si="53"/>
        <v>0</v>
      </c>
      <c r="CI34" t="b">
        <f t="shared" si="54"/>
        <v>0</v>
      </c>
      <c r="CJ34" t="b">
        <f t="shared" si="55"/>
        <v>0</v>
      </c>
      <c r="CK34" t="b">
        <f t="shared" si="56"/>
        <v>0</v>
      </c>
      <c r="CL34" t="b">
        <f t="shared" si="57"/>
        <v>0</v>
      </c>
      <c r="CM34" t="b">
        <f t="shared" si="58"/>
        <v>0</v>
      </c>
      <c r="CN34" t="b">
        <f t="shared" si="59"/>
        <v>0</v>
      </c>
      <c r="CO34" t="b">
        <f t="shared" si="60"/>
        <v>0</v>
      </c>
      <c r="CP34" t="b">
        <f t="shared" si="61"/>
        <v>0</v>
      </c>
      <c r="CQ34" t="b">
        <f t="shared" si="62"/>
        <v>0</v>
      </c>
      <c r="CR34" t="b">
        <f t="shared" si="63"/>
        <v>0</v>
      </c>
      <c r="CS34" t="b">
        <f t="shared" si="64"/>
        <v>0</v>
      </c>
      <c r="CT34" t="b">
        <f t="shared" si="65"/>
        <v>0</v>
      </c>
      <c r="CU34" t="b">
        <f t="shared" si="66"/>
        <v>0</v>
      </c>
      <c r="CV34">
        <f t="shared" si="67"/>
        <v>1</v>
      </c>
      <c r="CW34" t="b">
        <f t="shared" si="68"/>
        <v>0</v>
      </c>
      <c r="CX34" t="b">
        <f t="shared" si="69"/>
        <v>0</v>
      </c>
      <c r="CY34" t="b">
        <f t="shared" si="70"/>
        <v>0</v>
      </c>
      <c r="CZ34" t="b">
        <f t="shared" si="71"/>
        <v>0</v>
      </c>
      <c r="DA34" t="b">
        <f t="shared" si="72"/>
        <v>0</v>
      </c>
      <c r="DB34" t="b">
        <f t="shared" si="73"/>
        <v>0</v>
      </c>
      <c r="DC34" t="b">
        <f t="shared" si="74"/>
        <v>0</v>
      </c>
      <c r="DD34" t="b">
        <f t="shared" si="75"/>
        <v>0</v>
      </c>
      <c r="DE34" t="b">
        <f t="shared" si="76"/>
        <v>0</v>
      </c>
      <c r="DF34" t="b">
        <f t="shared" si="77"/>
        <v>0</v>
      </c>
      <c r="DG34" t="b">
        <f t="shared" si="78"/>
        <v>0</v>
      </c>
      <c r="DH34" t="b">
        <f t="shared" si="79"/>
        <v>0</v>
      </c>
      <c r="DI34" t="b">
        <f t="shared" si="80"/>
        <v>0</v>
      </c>
      <c r="DJ34" t="b">
        <f t="shared" si="81"/>
        <v>0</v>
      </c>
      <c r="DK34" t="b">
        <f t="shared" si="82"/>
        <v>0</v>
      </c>
      <c r="DL34" t="b">
        <f t="shared" si="83"/>
        <v>0</v>
      </c>
      <c r="DM34" t="b">
        <f t="shared" si="84"/>
        <v>0</v>
      </c>
      <c r="DN34" t="b">
        <f t="shared" si="85"/>
        <v>0</v>
      </c>
      <c r="DO34" t="b">
        <f t="shared" si="86"/>
        <v>0</v>
      </c>
      <c r="DP34" t="b">
        <f t="shared" si="87"/>
        <v>0</v>
      </c>
      <c r="DQ34" t="b">
        <f t="shared" si="88"/>
        <v>0</v>
      </c>
      <c r="DR34" t="b">
        <f t="shared" si="89"/>
        <v>0</v>
      </c>
      <c r="DS34" t="b">
        <f t="shared" si="90"/>
        <v>0</v>
      </c>
      <c r="DT34" t="b">
        <f t="shared" si="91"/>
        <v>0</v>
      </c>
      <c r="DU34" t="b">
        <f t="shared" si="92"/>
        <v>0</v>
      </c>
      <c r="DV34" t="b">
        <f t="shared" si="93"/>
        <v>0</v>
      </c>
      <c r="DW34" t="b">
        <f t="shared" si="94"/>
        <v>0</v>
      </c>
      <c r="DX34" t="b">
        <f t="shared" si="95"/>
        <v>0</v>
      </c>
      <c r="DY34" t="b">
        <f t="shared" si="96"/>
        <v>0</v>
      </c>
      <c r="DZ34" t="b">
        <f t="shared" si="97"/>
        <v>0</v>
      </c>
      <c r="EA34" t="b">
        <f t="shared" si="98"/>
        <v>0</v>
      </c>
      <c r="EB34" t="b">
        <f t="shared" si="99"/>
        <v>0</v>
      </c>
      <c r="EC34" t="b">
        <f t="shared" si="100"/>
        <v>0</v>
      </c>
      <c r="ED34" t="b">
        <f t="shared" si="101"/>
        <v>0</v>
      </c>
      <c r="EE34" t="b">
        <f t="shared" si="102"/>
        <v>0</v>
      </c>
      <c r="EF34" t="b">
        <f t="shared" si="103"/>
        <v>0</v>
      </c>
      <c r="EG34" t="b">
        <f t="shared" si="104"/>
        <v>0</v>
      </c>
      <c r="EH34" t="b">
        <f t="shared" si="105"/>
        <v>0</v>
      </c>
      <c r="EI34" t="b">
        <f t="shared" si="106"/>
        <v>0</v>
      </c>
      <c r="EJ34" t="b">
        <f t="shared" si="107"/>
        <v>0</v>
      </c>
      <c r="EK34" t="b">
        <f t="shared" si="108"/>
        <v>0</v>
      </c>
    </row>
    <row r="35" spans="1:141">
      <c r="A35" t="s">
        <v>301</v>
      </c>
      <c r="B35" t="s">
        <v>302</v>
      </c>
      <c r="C35" t="s">
        <v>303</v>
      </c>
      <c r="D35" s="1">
        <v>44116</v>
      </c>
      <c r="E35" s="2">
        <v>44147.054745370369</v>
      </c>
      <c r="F35" s="2">
        <v>44147.054745370369</v>
      </c>
      <c r="G35">
        <v>7104998</v>
      </c>
      <c r="H35" t="s">
        <v>304</v>
      </c>
      <c r="I35" s="10" t="s">
        <v>305</v>
      </c>
      <c r="J35" t="s">
        <v>306</v>
      </c>
      <c r="K35" s="8" t="b">
        <v>1</v>
      </c>
      <c r="L35" s="10" t="b">
        <v>0</v>
      </c>
      <c r="M35" s="12" t="b">
        <v>0</v>
      </c>
      <c r="N35" t="b">
        <v>0</v>
      </c>
      <c r="O35" t="b">
        <v>0</v>
      </c>
      <c r="P35" t="b">
        <v>0</v>
      </c>
      <c r="Q35">
        <f t="shared" si="1"/>
        <v>2</v>
      </c>
      <c r="R35">
        <f t="shared" si="2"/>
        <v>10</v>
      </c>
      <c r="S35" t="e">
        <f t="shared" ca="1" si="109"/>
        <v>#NAME?</v>
      </c>
      <c r="T35" t="e">
        <f t="shared" ca="1" si="3"/>
        <v>#NAME?</v>
      </c>
      <c r="U35" s="4">
        <f t="shared" si="4"/>
        <v>31.054745370369346</v>
      </c>
      <c r="V35" s="4">
        <f t="shared" si="5"/>
        <v>1.0351581790123114</v>
      </c>
      <c r="W35" s="4">
        <f t="shared" si="6"/>
        <v>1</v>
      </c>
      <c r="X35" s="4">
        <f t="shared" si="7"/>
        <v>0</v>
      </c>
      <c r="Y35" s="4">
        <f t="shared" si="8"/>
        <v>0</v>
      </c>
      <c r="Z35" s="4">
        <f t="shared" si="9"/>
        <v>0</v>
      </c>
      <c r="AA35" s="4">
        <f t="shared" si="10"/>
        <v>0</v>
      </c>
      <c r="AB35" s="4">
        <f t="shared" si="11"/>
        <v>0</v>
      </c>
      <c r="AD35" s="4" t="b">
        <f t="shared" si="12"/>
        <v>0</v>
      </c>
      <c r="AE35" s="4" t="b">
        <f t="shared" si="13"/>
        <v>0</v>
      </c>
      <c r="AF35" s="4" t="b">
        <f t="shared" si="14"/>
        <v>0</v>
      </c>
      <c r="AG35" t="b">
        <f t="shared" si="15"/>
        <v>0</v>
      </c>
      <c r="AH35" t="b">
        <f t="shared" si="16"/>
        <v>0</v>
      </c>
      <c r="AI35" t="b">
        <f t="shared" si="17"/>
        <v>0</v>
      </c>
      <c r="AJ35" t="b">
        <f t="shared" si="18"/>
        <v>0</v>
      </c>
      <c r="AK35" t="b">
        <f t="shared" si="19"/>
        <v>0</v>
      </c>
      <c r="AL35" t="b">
        <f t="shared" si="20"/>
        <v>0</v>
      </c>
      <c r="AM35" t="b">
        <f t="shared" si="21"/>
        <v>0</v>
      </c>
      <c r="AN35" t="b">
        <f t="shared" si="22"/>
        <v>0</v>
      </c>
      <c r="AO35" t="b">
        <f t="shared" si="23"/>
        <v>0</v>
      </c>
      <c r="AP35" t="b">
        <f t="shared" si="24"/>
        <v>0</v>
      </c>
      <c r="AQ35" t="b">
        <f t="shared" si="25"/>
        <v>0</v>
      </c>
      <c r="AR35" t="b">
        <f t="shared" si="26"/>
        <v>0</v>
      </c>
      <c r="AS35" t="b">
        <f t="shared" si="27"/>
        <v>0</v>
      </c>
      <c r="AT35" t="b">
        <f t="shared" si="28"/>
        <v>0</v>
      </c>
      <c r="AU35" t="b">
        <f t="shared" si="29"/>
        <v>0</v>
      </c>
      <c r="AV35" t="b">
        <f t="shared" si="30"/>
        <v>0</v>
      </c>
      <c r="AW35" t="b">
        <f t="shared" si="31"/>
        <v>0</v>
      </c>
      <c r="AX35" t="b">
        <f t="shared" si="110"/>
        <v>0</v>
      </c>
      <c r="AY35" t="b">
        <f t="shared" si="111"/>
        <v>0</v>
      </c>
      <c r="AZ35">
        <f t="shared" si="112"/>
        <v>1</v>
      </c>
      <c r="BA35" t="b">
        <f t="shared" si="113"/>
        <v>0</v>
      </c>
      <c r="BB35" t="b">
        <f t="shared" si="114"/>
        <v>0</v>
      </c>
      <c r="BC35" t="b">
        <f t="shared" si="115"/>
        <v>0</v>
      </c>
      <c r="BD35" t="b">
        <f t="shared" si="116"/>
        <v>0</v>
      </c>
      <c r="BE35" t="b">
        <f t="shared" si="117"/>
        <v>0</v>
      </c>
      <c r="BF35" t="b">
        <f t="shared" si="118"/>
        <v>0</v>
      </c>
      <c r="BG35" t="b">
        <f t="shared" si="119"/>
        <v>0</v>
      </c>
      <c r="BH35" t="b">
        <f t="shared" si="120"/>
        <v>0</v>
      </c>
      <c r="BI35">
        <f t="shared" si="121"/>
        <v>1</v>
      </c>
      <c r="BJ35" t="b">
        <f t="shared" si="122"/>
        <v>0</v>
      </c>
      <c r="BK35" t="b">
        <f t="shared" si="123"/>
        <v>0</v>
      </c>
      <c r="BL35" t="b">
        <f t="shared" si="124"/>
        <v>0</v>
      </c>
      <c r="BM35" t="b">
        <f t="shared" si="32"/>
        <v>0</v>
      </c>
      <c r="BN35" t="b">
        <f t="shared" si="33"/>
        <v>0</v>
      </c>
      <c r="BO35" t="b">
        <f t="shared" si="34"/>
        <v>0</v>
      </c>
      <c r="BP35" t="b">
        <f t="shared" si="35"/>
        <v>0</v>
      </c>
      <c r="BQ35" t="b">
        <f t="shared" si="36"/>
        <v>0</v>
      </c>
      <c r="BR35">
        <f t="shared" si="37"/>
        <v>1</v>
      </c>
      <c r="BS35" t="b">
        <f t="shared" si="38"/>
        <v>0</v>
      </c>
      <c r="BT35" t="b">
        <f t="shared" si="39"/>
        <v>0</v>
      </c>
      <c r="BU35" t="b">
        <f t="shared" si="40"/>
        <v>0</v>
      </c>
      <c r="BV35" t="b">
        <f t="shared" si="41"/>
        <v>0</v>
      </c>
      <c r="BW35" t="b">
        <f t="shared" si="42"/>
        <v>0</v>
      </c>
      <c r="BX35" t="b">
        <f t="shared" si="43"/>
        <v>0</v>
      </c>
      <c r="BY35" t="b">
        <f t="shared" si="44"/>
        <v>0</v>
      </c>
      <c r="BZ35" t="b">
        <f t="shared" si="45"/>
        <v>0</v>
      </c>
      <c r="CA35" t="b">
        <f t="shared" si="46"/>
        <v>0</v>
      </c>
      <c r="CB35" t="b">
        <f t="shared" si="47"/>
        <v>0</v>
      </c>
      <c r="CC35" t="b">
        <f t="shared" si="48"/>
        <v>0</v>
      </c>
      <c r="CD35" t="b">
        <f t="shared" si="49"/>
        <v>0</v>
      </c>
      <c r="CE35">
        <f t="shared" si="50"/>
        <v>1</v>
      </c>
      <c r="CF35" t="b">
        <f t="shared" si="51"/>
        <v>0</v>
      </c>
      <c r="CG35" t="b">
        <f t="shared" si="52"/>
        <v>0</v>
      </c>
      <c r="CH35" t="b">
        <f t="shared" si="53"/>
        <v>0</v>
      </c>
      <c r="CI35" t="b">
        <f t="shared" si="54"/>
        <v>0</v>
      </c>
      <c r="CJ35" t="b">
        <f t="shared" si="55"/>
        <v>0</v>
      </c>
      <c r="CK35" t="b">
        <f t="shared" si="56"/>
        <v>0</v>
      </c>
      <c r="CL35" t="b">
        <f t="shared" si="57"/>
        <v>0</v>
      </c>
      <c r="CM35">
        <f t="shared" si="58"/>
        <v>1</v>
      </c>
      <c r="CN35" t="b">
        <f t="shared" si="59"/>
        <v>0</v>
      </c>
      <c r="CO35" t="b">
        <f t="shared" si="60"/>
        <v>0</v>
      </c>
      <c r="CP35" t="b">
        <f t="shared" si="61"/>
        <v>0</v>
      </c>
      <c r="CQ35" t="b">
        <f t="shared" si="62"/>
        <v>0</v>
      </c>
      <c r="CR35" t="b">
        <f t="shared" si="63"/>
        <v>0</v>
      </c>
      <c r="CS35" t="b">
        <f t="shared" si="64"/>
        <v>0</v>
      </c>
      <c r="CT35" t="b">
        <f t="shared" si="65"/>
        <v>0</v>
      </c>
      <c r="CU35" t="b">
        <f t="shared" si="66"/>
        <v>0</v>
      </c>
      <c r="CV35">
        <f t="shared" si="67"/>
        <v>1</v>
      </c>
      <c r="CW35" t="b">
        <f t="shared" si="68"/>
        <v>0</v>
      </c>
      <c r="CX35" t="b">
        <f t="shared" si="69"/>
        <v>0</v>
      </c>
      <c r="CY35" t="b">
        <f t="shared" si="70"/>
        <v>0</v>
      </c>
      <c r="CZ35" t="b">
        <f t="shared" si="71"/>
        <v>0</v>
      </c>
      <c r="DA35" t="b">
        <f t="shared" si="72"/>
        <v>0</v>
      </c>
      <c r="DB35">
        <f t="shared" si="73"/>
        <v>1</v>
      </c>
      <c r="DC35" t="b">
        <f t="shared" si="74"/>
        <v>0</v>
      </c>
      <c r="DD35" t="b">
        <f t="shared" si="75"/>
        <v>0</v>
      </c>
      <c r="DE35" t="b">
        <f t="shared" si="76"/>
        <v>0</v>
      </c>
      <c r="DF35" t="b">
        <f t="shared" si="77"/>
        <v>0</v>
      </c>
      <c r="DG35" t="b">
        <f t="shared" si="78"/>
        <v>0</v>
      </c>
      <c r="DH35" t="b">
        <f t="shared" si="79"/>
        <v>0</v>
      </c>
      <c r="DI35" t="b">
        <f t="shared" si="80"/>
        <v>0</v>
      </c>
      <c r="DJ35" t="b">
        <f t="shared" si="81"/>
        <v>0</v>
      </c>
      <c r="DK35" t="b">
        <f t="shared" si="82"/>
        <v>0</v>
      </c>
      <c r="DL35" t="b">
        <f t="shared" si="83"/>
        <v>0</v>
      </c>
      <c r="DM35" t="b">
        <f t="shared" si="84"/>
        <v>0</v>
      </c>
      <c r="DN35" t="b">
        <f t="shared" si="85"/>
        <v>0</v>
      </c>
      <c r="DO35" t="b">
        <f t="shared" si="86"/>
        <v>0</v>
      </c>
      <c r="DP35" t="b">
        <f t="shared" si="87"/>
        <v>0</v>
      </c>
      <c r="DQ35" t="b">
        <f t="shared" si="88"/>
        <v>0</v>
      </c>
      <c r="DR35" t="b">
        <f t="shared" si="89"/>
        <v>0</v>
      </c>
      <c r="DS35" t="b">
        <f t="shared" si="90"/>
        <v>0</v>
      </c>
      <c r="DT35" t="b">
        <f t="shared" si="91"/>
        <v>0</v>
      </c>
      <c r="DU35" t="b">
        <f t="shared" si="92"/>
        <v>0</v>
      </c>
      <c r="DV35" t="b">
        <f t="shared" si="93"/>
        <v>0</v>
      </c>
      <c r="DW35" t="b">
        <f t="shared" si="94"/>
        <v>0</v>
      </c>
      <c r="DX35" t="b">
        <f t="shared" si="95"/>
        <v>0</v>
      </c>
      <c r="DY35" t="b">
        <f t="shared" si="96"/>
        <v>0</v>
      </c>
      <c r="DZ35" t="b">
        <f t="shared" si="97"/>
        <v>0</v>
      </c>
      <c r="EA35" t="b">
        <f t="shared" si="98"/>
        <v>0</v>
      </c>
      <c r="EB35" t="b">
        <f t="shared" si="99"/>
        <v>0</v>
      </c>
      <c r="EC35" t="b">
        <f t="shared" si="100"/>
        <v>0</v>
      </c>
      <c r="ED35" t="b">
        <f t="shared" si="101"/>
        <v>0</v>
      </c>
      <c r="EE35" t="b">
        <f t="shared" si="102"/>
        <v>0</v>
      </c>
      <c r="EF35">
        <f t="shared" si="103"/>
        <v>1</v>
      </c>
      <c r="EG35" t="b">
        <f t="shared" si="104"/>
        <v>0</v>
      </c>
      <c r="EH35" t="b">
        <f t="shared" si="105"/>
        <v>0</v>
      </c>
      <c r="EI35" t="b">
        <f t="shared" si="106"/>
        <v>0</v>
      </c>
      <c r="EJ35" t="b">
        <f t="shared" si="107"/>
        <v>0</v>
      </c>
      <c r="EK35" t="b">
        <f t="shared" si="108"/>
        <v>0</v>
      </c>
    </row>
    <row r="36" spans="1:141">
      <c r="A36" t="s">
        <v>307</v>
      </c>
      <c r="B36" t="s">
        <v>307</v>
      </c>
      <c r="C36" t="s">
        <v>308</v>
      </c>
      <c r="D36" s="1">
        <v>43888</v>
      </c>
      <c r="E36" s="2">
        <v>43899.244537037041</v>
      </c>
      <c r="F36" s="2">
        <v>43899.244537037041</v>
      </c>
      <c r="G36">
        <v>1431378</v>
      </c>
      <c r="H36" t="s">
        <v>309</v>
      </c>
      <c r="I36" s="10" t="s">
        <v>310</v>
      </c>
      <c r="J36" t="s">
        <v>156</v>
      </c>
      <c r="K36" s="8" t="b">
        <v>1</v>
      </c>
      <c r="L36" s="10" t="b">
        <v>0</v>
      </c>
      <c r="M36" s="12" t="b">
        <v>0</v>
      </c>
      <c r="N36" t="b">
        <v>0</v>
      </c>
      <c r="O36" t="b">
        <v>0</v>
      </c>
      <c r="P36" t="b">
        <v>0</v>
      </c>
      <c r="Q36">
        <f t="shared" si="1"/>
        <v>5</v>
      </c>
      <c r="R36">
        <f t="shared" si="2"/>
        <v>2</v>
      </c>
      <c r="S36" t="e">
        <f t="shared" ca="1" si="109"/>
        <v>#NAME?</v>
      </c>
      <c r="T36" t="e">
        <f t="shared" ca="1" si="3"/>
        <v>#NAME?</v>
      </c>
      <c r="U36" s="4">
        <f t="shared" si="4"/>
        <v>11.244537037040573</v>
      </c>
      <c r="V36" s="4">
        <f t="shared" si="5"/>
        <v>0.37481790123468578</v>
      </c>
      <c r="W36" s="4">
        <f t="shared" si="6"/>
        <v>1</v>
      </c>
      <c r="X36" s="4">
        <f t="shared" si="7"/>
        <v>0</v>
      </c>
      <c r="Y36" s="4">
        <f t="shared" si="8"/>
        <v>0</v>
      </c>
      <c r="Z36" s="4">
        <f t="shared" si="9"/>
        <v>0</v>
      </c>
      <c r="AA36" s="4">
        <f t="shared" si="10"/>
        <v>0</v>
      </c>
      <c r="AB36" s="4">
        <f t="shared" si="11"/>
        <v>0</v>
      </c>
      <c r="AD36" s="4" t="b">
        <f t="shared" si="12"/>
        <v>0</v>
      </c>
      <c r="AE36" s="4" t="b">
        <f t="shared" si="13"/>
        <v>0</v>
      </c>
      <c r="AF36" s="4" t="b">
        <f t="shared" si="14"/>
        <v>0</v>
      </c>
      <c r="AG36" t="b">
        <f t="shared" si="15"/>
        <v>0</v>
      </c>
      <c r="AH36" t="b">
        <f t="shared" si="16"/>
        <v>0</v>
      </c>
      <c r="AI36" t="b">
        <f t="shared" si="17"/>
        <v>0</v>
      </c>
      <c r="AJ36" t="b">
        <f t="shared" si="18"/>
        <v>0</v>
      </c>
      <c r="AK36" t="b">
        <f t="shared" si="19"/>
        <v>0</v>
      </c>
      <c r="AL36" t="b">
        <f t="shared" si="20"/>
        <v>0</v>
      </c>
      <c r="AM36" t="b">
        <f t="shared" si="21"/>
        <v>0</v>
      </c>
      <c r="AN36" t="b">
        <f t="shared" si="22"/>
        <v>0</v>
      </c>
      <c r="AO36" t="b">
        <f t="shared" si="23"/>
        <v>0</v>
      </c>
      <c r="AP36" t="b">
        <f t="shared" si="24"/>
        <v>0</v>
      </c>
      <c r="AQ36" t="b">
        <f t="shared" si="25"/>
        <v>0</v>
      </c>
      <c r="AR36" t="b">
        <f t="shared" si="26"/>
        <v>0</v>
      </c>
      <c r="AS36" t="b">
        <f t="shared" si="27"/>
        <v>0</v>
      </c>
      <c r="AT36" t="b">
        <f t="shared" si="28"/>
        <v>0</v>
      </c>
      <c r="AU36" t="b">
        <f t="shared" si="29"/>
        <v>0</v>
      </c>
      <c r="AV36" t="b">
        <f t="shared" si="30"/>
        <v>0</v>
      </c>
      <c r="AW36" t="b">
        <f t="shared" si="31"/>
        <v>0</v>
      </c>
      <c r="AX36" t="b">
        <f t="shared" si="110"/>
        <v>0</v>
      </c>
      <c r="AY36" t="b">
        <f t="shared" si="111"/>
        <v>0</v>
      </c>
      <c r="AZ36" t="b">
        <f t="shared" si="112"/>
        <v>0</v>
      </c>
      <c r="BA36" t="b">
        <f t="shared" si="113"/>
        <v>0</v>
      </c>
      <c r="BB36" t="b">
        <f t="shared" si="114"/>
        <v>0</v>
      </c>
      <c r="BC36" t="b">
        <f t="shared" si="115"/>
        <v>0</v>
      </c>
      <c r="BD36" t="b">
        <f t="shared" si="116"/>
        <v>0</v>
      </c>
      <c r="BE36" t="b">
        <f t="shared" si="117"/>
        <v>0</v>
      </c>
      <c r="BF36" t="b">
        <f t="shared" si="118"/>
        <v>0</v>
      </c>
      <c r="BG36" t="b">
        <f t="shared" si="119"/>
        <v>0</v>
      </c>
      <c r="BH36" t="b">
        <f t="shared" si="120"/>
        <v>0</v>
      </c>
      <c r="BI36">
        <f t="shared" si="121"/>
        <v>1</v>
      </c>
      <c r="BJ36" t="b">
        <f t="shared" si="122"/>
        <v>0</v>
      </c>
      <c r="BK36" t="b">
        <f t="shared" si="123"/>
        <v>0</v>
      </c>
      <c r="BL36" t="b">
        <f t="shared" si="124"/>
        <v>0</v>
      </c>
      <c r="BM36" t="b">
        <f t="shared" si="32"/>
        <v>0</v>
      </c>
      <c r="BN36" t="b">
        <f t="shared" si="33"/>
        <v>0</v>
      </c>
      <c r="BO36" t="b">
        <f t="shared" si="34"/>
        <v>0</v>
      </c>
      <c r="BP36" t="b">
        <f t="shared" si="35"/>
        <v>0</v>
      </c>
      <c r="BQ36" t="b">
        <f t="shared" si="36"/>
        <v>0</v>
      </c>
      <c r="BR36" t="b">
        <f t="shared" si="37"/>
        <v>0</v>
      </c>
      <c r="BS36" t="b">
        <f t="shared" si="38"/>
        <v>0</v>
      </c>
      <c r="BT36" t="b">
        <f t="shared" si="39"/>
        <v>0</v>
      </c>
      <c r="BU36" t="b">
        <f t="shared" si="40"/>
        <v>0</v>
      </c>
      <c r="BV36" t="b">
        <f t="shared" si="41"/>
        <v>0</v>
      </c>
      <c r="BW36" t="b">
        <f t="shared" si="42"/>
        <v>0</v>
      </c>
      <c r="BX36" t="b">
        <f t="shared" si="43"/>
        <v>0</v>
      </c>
      <c r="BY36" t="b">
        <f t="shared" si="44"/>
        <v>0</v>
      </c>
      <c r="BZ36" t="b">
        <f t="shared" si="45"/>
        <v>0</v>
      </c>
      <c r="CA36" t="b">
        <f t="shared" si="46"/>
        <v>0</v>
      </c>
      <c r="CB36" t="b">
        <f t="shared" si="47"/>
        <v>0</v>
      </c>
      <c r="CC36" t="b">
        <f t="shared" si="48"/>
        <v>0</v>
      </c>
      <c r="CD36" t="b">
        <f t="shared" si="49"/>
        <v>0</v>
      </c>
      <c r="CE36" t="b">
        <f t="shared" si="50"/>
        <v>0</v>
      </c>
      <c r="CF36" t="b">
        <f t="shared" si="51"/>
        <v>0</v>
      </c>
      <c r="CG36" t="b">
        <f t="shared" si="52"/>
        <v>0</v>
      </c>
      <c r="CH36" t="b">
        <f t="shared" si="53"/>
        <v>0</v>
      </c>
      <c r="CI36" t="b">
        <f t="shared" si="54"/>
        <v>0</v>
      </c>
      <c r="CJ36" t="b">
        <f t="shared" si="55"/>
        <v>0</v>
      </c>
      <c r="CK36" t="b">
        <f t="shared" si="56"/>
        <v>0</v>
      </c>
      <c r="CL36" t="b">
        <f t="shared" si="57"/>
        <v>0</v>
      </c>
      <c r="CM36" t="b">
        <f t="shared" si="58"/>
        <v>0</v>
      </c>
      <c r="CN36" t="b">
        <f t="shared" si="59"/>
        <v>0</v>
      </c>
      <c r="CO36" t="b">
        <f t="shared" si="60"/>
        <v>0</v>
      </c>
      <c r="CP36" t="b">
        <f t="shared" si="61"/>
        <v>0</v>
      </c>
      <c r="CQ36" t="b">
        <f t="shared" si="62"/>
        <v>0</v>
      </c>
      <c r="CR36" t="b">
        <f t="shared" si="63"/>
        <v>0</v>
      </c>
      <c r="CS36" t="b">
        <f t="shared" si="64"/>
        <v>0</v>
      </c>
      <c r="CT36" t="b">
        <f t="shared" si="65"/>
        <v>0</v>
      </c>
      <c r="CU36" t="b">
        <f t="shared" si="66"/>
        <v>0</v>
      </c>
      <c r="CV36">
        <f t="shared" si="67"/>
        <v>1</v>
      </c>
      <c r="CW36" t="b">
        <f t="shared" si="68"/>
        <v>0</v>
      </c>
      <c r="CX36" t="b">
        <f t="shared" si="69"/>
        <v>0</v>
      </c>
      <c r="CY36" t="b">
        <f t="shared" si="70"/>
        <v>0</v>
      </c>
      <c r="CZ36" t="b">
        <f t="shared" si="71"/>
        <v>0</v>
      </c>
      <c r="DA36" t="b">
        <f t="shared" si="72"/>
        <v>0</v>
      </c>
      <c r="DB36" t="b">
        <f t="shared" si="73"/>
        <v>0</v>
      </c>
      <c r="DC36" t="b">
        <f t="shared" si="74"/>
        <v>0</v>
      </c>
      <c r="DD36" t="b">
        <f t="shared" si="75"/>
        <v>0</v>
      </c>
      <c r="DE36" t="b">
        <f t="shared" si="76"/>
        <v>0</v>
      </c>
      <c r="DF36" t="b">
        <f t="shared" si="77"/>
        <v>0</v>
      </c>
      <c r="DG36" t="b">
        <f t="shared" si="78"/>
        <v>0</v>
      </c>
      <c r="DH36" t="b">
        <f t="shared" si="79"/>
        <v>0</v>
      </c>
      <c r="DI36" t="b">
        <f t="shared" si="80"/>
        <v>0</v>
      </c>
      <c r="DJ36" t="b">
        <f t="shared" si="81"/>
        <v>0</v>
      </c>
      <c r="DK36" t="b">
        <f t="shared" si="82"/>
        <v>0</v>
      </c>
      <c r="DL36" t="b">
        <f t="shared" si="83"/>
        <v>0</v>
      </c>
      <c r="DM36" t="b">
        <f t="shared" si="84"/>
        <v>0</v>
      </c>
      <c r="DN36" t="b">
        <f t="shared" si="85"/>
        <v>0</v>
      </c>
      <c r="DO36" t="b">
        <f t="shared" si="86"/>
        <v>0</v>
      </c>
      <c r="DP36" t="b">
        <f t="shared" si="87"/>
        <v>0</v>
      </c>
      <c r="DQ36" t="b">
        <f t="shared" si="88"/>
        <v>0</v>
      </c>
      <c r="DR36" t="b">
        <f t="shared" si="89"/>
        <v>0</v>
      </c>
      <c r="DS36" t="b">
        <f t="shared" si="90"/>
        <v>0</v>
      </c>
      <c r="DT36" t="b">
        <f t="shared" si="91"/>
        <v>0</v>
      </c>
      <c r="DU36" t="b">
        <f t="shared" si="92"/>
        <v>0</v>
      </c>
      <c r="DV36" t="b">
        <f t="shared" si="93"/>
        <v>0</v>
      </c>
      <c r="DW36" t="b">
        <f t="shared" si="94"/>
        <v>0</v>
      </c>
      <c r="DX36" t="b">
        <f t="shared" si="95"/>
        <v>0</v>
      </c>
      <c r="DY36" t="b">
        <f t="shared" si="96"/>
        <v>0</v>
      </c>
      <c r="DZ36" t="b">
        <f t="shared" si="97"/>
        <v>0</v>
      </c>
      <c r="EA36" t="b">
        <f t="shared" si="98"/>
        <v>0</v>
      </c>
      <c r="EB36" t="b">
        <f t="shared" si="99"/>
        <v>0</v>
      </c>
      <c r="EC36" t="b">
        <f t="shared" si="100"/>
        <v>0</v>
      </c>
      <c r="ED36" t="b">
        <f t="shared" si="101"/>
        <v>0</v>
      </c>
      <c r="EE36" t="b">
        <f t="shared" si="102"/>
        <v>0</v>
      </c>
      <c r="EF36">
        <f t="shared" si="103"/>
        <v>1</v>
      </c>
      <c r="EG36" t="b">
        <f t="shared" si="104"/>
        <v>0</v>
      </c>
      <c r="EH36" t="b">
        <f t="shared" si="105"/>
        <v>0</v>
      </c>
      <c r="EI36" t="b">
        <f t="shared" si="106"/>
        <v>0</v>
      </c>
      <c r="EJ36" t="b">
        <f t="shared" si="107"/>
        <v>0</v>
      </c>
      <c r="EK36" t="b">
        <f t="shared" si="108"/>
        <v>0</v>
      </c>
    </row>
    <row r="37" spans="1:141">
      <c r="A37" t="s">
        <v>311</v>
      </c>
      <c r="B37" t="s">
        <v>312</v>
      </c>
      <c r="C37" t="s">
        <v>313</v>
      </c>
      <c r="D37" s="1">
        <v>42370</v>
      </c>
      <c r="E37" s="2">
        <v>43674.024386574078</v>
      </c>
      <c r="F37" s="2">
        <v>43674.024386574078</v>
      </c>
      <c r="G37">
        <v>368507</v>
      </c>
      <c r="H37" t="s">
        <v>314</v>
      </c>
      <c r="I37" s="10" t="s">
        <v>315</v>
      </c>
      <c r="J37" t="s">
        <v>199</v>
      </c>
      <c r="K37" s="8" t="b">
        <v>1</v>
      </c>
      <c r="L37" s="10" t="b">
        <v>0</v>
      </c>
      <c r="M37" s="12" t="b">
        <v>0</v>
      </c>
      <c r="N37" t="b">
        <v>0</v>
      </c>
      <c r="O37" t="b">
        <v>0</v>
      </c>
      <c r="P37" t="b">
        <v>0</v>
      </c>
      <c r="Q37">
        <f t="shared" si="1"/>
        <v>6</v>
      </c>
      <c r="R37">
        <f t="shared" si="2"/>
        <v>1</v>
      </c>
      <c r="S37" t="e">
        <f t="shared" ca="1" si="109"/>
        <v>#NAME?</v>
      </c>
      <c r="T37" t="e">
        <f t="shared" ca="1" si="3"/>
        <v>#NAME?</v>
      </c>
      <c r="U37" s="4">
        <f t="shared" si="4"/>
        <v>1304.0243865740777</v>
      </c>
      <c r="V37" s="4">
        <f t="shared" si="5"/>
        <v>43.467479552469257</v>
      </c>
      <c r="W37" s="4">
        <f t="shared" si="6"/>
        <v>1</v>
      </c>
      <c r="X37" s="4">
        <f t="shared" si="7"/>
        <v>0</v>
      </c>
      <c r="Y37" s="4">
        <f t="shared" si="8"/>
        <v>0</v>
      </c>
      <c r="Z37" s="4">
        <f t="shared" si="9"/>
        <v>0</v>
      </c>
      <c r="AA37" s="4">
        <f t="shared" si="10"/>
        <v>0</v>
      </c>
      <c r="AB37" s="4">
        <f t="shared" si="11"/>
        <v>0</v>
      </c>
      <c r="AD37" s="4" t="b">
        <f t="shared" si="12"/>
        <v>0</v>
      </c>
      <c r="AE37" s="4" t="b">
        <f t="shared" si="13"/>
        <v>0</v>
      </c>
      <c r="AF37" s="4" t="b">
        <f t="shared" si="14"/>
        <v>0</v>
      </c>
      <c r="AG37" t="b">
        <f t="shared" si="15"/>
        <v>0</v>
      </c>
      <c r="AH37" t="b">
        <f t="shared" si="16"/>
        <v>0</v>
      </c>
      <c r="AI37" t="b">
        <f t="shared" si="17"/>
        <v>0</v>
      </c>
      <c r="AJ37" t="b">
        <f t="shared" si="18"/>
        <v>0</v>
      </c>
      <c r="AK37" t="b">
        <f t="shared" si="19"/>
        <v>0</v>
      </c>
      <c r="AL37" t="b">
        <f t="shared" si="20"/>
        <v>0</v>
      </c>
      <c r="AM37" t="b">
        <f t="shared" si="21"/>
        <v>0</v>
      </c>
      <c r="AN37" t="b">
        <f t="shared" si="22"/>
        <v>0</v>
      </c>
      <c r="AO37" t="b">
        <f t="shared" si="23"/>
        <v>0</v>
      </c>
      <c r="AP37" t="b">
        <f t="shared" si="24"/>
        <v>0</v>
      </c>
      <c r="AQ37" t="b">
        <f t="shared" si="25"/>
        <v>0</v>
      </c>
      <c r="AR37" t="b">
        <f t="shared" si="26"/>
        <v>0</v>
      </c>
      <c r="AS37" t="b">
        <f t="shared" si="27"/>
        <v>0</v>
      </c>
      <c r="AT37" t="b">
        <f t="shared" si="28"/>
        <v>0</v>
      </c>
      <c r="AU37" t="b">
        <f t="shared" si="29"/>
        <v>0</v>
      </c>
      <c r="AV37" t="b">
        <f t="shared" si="30"/>
        <v>0</v>
      </c>
      <c r="AW37" t="b">
        <f t="shared" si="31"/>
        <v>0</v>
      </c>
      <c r="AX37" t="b">
        <f t="shared" si="110"/>
        <v>0</v>
      </c>
      <c r="AY37" t="b">
        <f t="shared" si="111"/>
        <v>0</v>
      </c>
      <c r="AZ37">
        <f t="shared" si="112"/>
        <v>1</v>
      </c>
      <c r="BA37" t="b">
        <f t="shared" si="113"/>
        <v>0</v>
      </c>
      <c r="BB37" t="b">
        <f t="shared" si="114"/>
        <v>0</v>
      </c>
      <c r="BC37" t="b">
        <f t="shared" si="115"/>
        <v>0</v>
      </c>
      <c r="BD37" t="b">
        <f t="shared" si="116"/>
        <v>0</v>
      </c>
      <c r="BE37" t="b">
        <f t="shared" si="117"/>
        <v>0</v>
      </c>
      <c r="BF37" t="b">
        <f t="shared" si="118"/>
        <v>0</v>
      </c>
      <c r="BG37" t="b">
        <f t="shared" si="119"/>
        <v>0</v>
      </c>
      <c r="BH37" t="b">
        <f t="shared" si="120"/>
        <v>0</v>
      </c>
      <c r="BI37">
        <f t="shared" si="121"/>
        <v>1</v>
      </c>
      <c r="BJ37" t="b">
        <f t="shared" si="122"/>
        <v>0</v>
      </c>
      <c r="BK37" t="b">
        <f t="shared" si="123"/>
        <v>0</v>
      </c>
      <c r="BL37" t="b">
        <f t="shared" si="124"/>
        <v>0</v>
      </c>
      <c r="BM37" t="b">
        <f t="shared" si="32"/>
        <v>0</v>
      </c>
      <c r="BN37" t="b">
        <f t="shared" si="33"/>
        <v>0</v>
      </c>
      <c r="BO37" t="b">
        <f t="shared" si="34"/>
        <v>0</v>
      </c>
      <c r="BP37" t="b">
        <f t="shared" si="35"/>
        <v>0</v>
      </c>
      <c r="BQ37" t="b">
        <f t="shared" si="36"/>
        <v>0</v>
      </c>
      <c r="BR37" t="b">
        <f t="shared" si="37"/>
        <v>0</v>
      </c>
      <c r="BS37" t="b">
        <f t="shared" si="38"/>
        <v>0</v>
      </c>
      <c r="BT37" t="b">
        <f t="shared" si="39"/>
        <v>0</v>
      </c>
      <c r="BU37" t="b">
        <f t="shared" si="40"/>
        <v>0</v>
      </c>
      <c r="BV37" t="b">
        <f t="shared" si="41"/>
        <v>0</v>
      </c>
      <c r="BW37" t="b">
        <f t="shared" si="42"/>
        <v>0</v>
      </c>
      <c r="BX37" t="b">
        <f t="shared" si="43"/>
        <v>0</v>
      </c>
      <c r="BY37" t="b">
        <f t="shared" si="44"/>
        <v>0</v>
      </c>
      <c r="BZ37" t="b">
        <f t="shared" si="45"/>
        <v>0</v>
      </c>
      <c r="CA37" t="b">
        <f t="shared" si="46"/>
        <v>0</v>
      </c>
      <c r="CB37" t="b">
        <f t="shared" si="47"/>
        <v>0</v>
      </c>
      <c r="CC37" t="b">
        <f t="shared" si="48"/>
        <v>0</v>
      </c>
      <c r="CD37" t="b">
        <f t="shared" si="49"/>
        <v>0</v>
      </c>
      <c r="CE37">
        <f t="shared" si="50"/>
        <v>1</v>
      </c>
      <c r="CF37" t="b">
        <f t="shared" si="51"/>
        <v>0</v>
      </c>
      <c r="CG37" t="b">
        <f t="shared" si="52"/>
        <v>0</v>
      </c>
      <c r="CH37" t="b">
        <f t="shared" si="53"/>
        <v>0</v>
      </c>
      <c r="CI37" t="b">
        <f t="shared" si="54"/>
        <v>0</v>
      </c>
      <c r="CJ37" t="b">
        <f t="shared" si="55"/>
        <v>0</v>
      </c>
      <c r="CK37" t="b">
        <f t="shared" si="56"/>
        <v>0</v>
      </c>
      <c r="CL37" t="b">
        <f t="shared" si="57"/>
        <v>0</v>
      </c>
      <c r="CM37" t="b">
        <f t="shared" si="58"/>
        <v>0</v>
      </c>
      <c r="CN37" t="b">
        <f t="shared" si="59"/>
        <v>0</v>
      </c>
      <c r="CO37" t="b">
        <f t="shared" si="60"/>
        <v>0</v>
      </c>
      <c r="CP37" t="b">
        <f t="shared" si="61"/>
        <v>0</v>
      </c>
      <c r="CQ37" t="b">
        <f t="shared" si="62"/>
        <v>0</v>
      </c>
      <c r="CR37" t="b">
        <f t="shared" si="63"/>
        <v>0</v>
      </c>
      <c r="CS37" t="b">
        <f t="shared" si="64"/>
        <v>0</v>
      </c>
      <c r="CT37" t="b">
        <f t="shared" si="65"/>
        <v>0</v>
      </c>
      <c r="CU37" t="b">
        <f t="shared" si="66"/>
        <v>0</v>
      </c>
      <c r="CV37">
        <f t="shared" si="67"/>
        <v>1</v>
      </c>
      <c r="CW37" t="b">
        <f t="shared" si="68"/>
        <v>0</v>
      </c>
      <c r="CX37" t="b">
        <f t="shared" si="69"/>
        <v>0</v>
      </c>
      <c r="CY37" t="b">
        <f t="shared" si="70"/>
        <v>0</v>
      </c>
      <c r="CZ37" t="b">
        <f t="shared" si="71"/>
        <v>0</v>
      </c>
      <c r="DA37" t="b">
        <f t="shared" si="72"/>
        <v>0</v>
      </c>
      <c r="DB37" t="b">
        <f t="shared" si="73"/>
        <v>0</v>
      </c>
      <c r="DC37" t="b">
        <f t="shared" si="74"/>
        <v>0</v>
      </c>
      <c r="DD37" t="b">
        <f t="shared" si="75"/>
        <v>0</v>
      </c>
      <c r="DE37" t="b">
        <f t="shared" si="76"/>
        <v>0</v>
      </c>
      <c r="DF37" t="b">
        <f t="shared" si="77"/>
        <v>0</v>
      </c>
      <c r="DG37" t="b">
        <f t="shared" si="78"/>
        <v>0</v>
      </c>
      <c r="DH37" t="b">
        <f t="shared" si="79"/>
        <v>0</v>
      </c>
      <c r="DI37" t="b">
        <f t="shared" si="80"/>
        <v>0</v>
      </c>
      <c r="DJ37" t="b">
        <f t="shared" si="81"/>
        <v>0</v>
      </c>
      <c r="DK37" t="b">
        <f t="shared" si="82"/>
        <v>0</v>
      </c>
      <c r="DL37" t="b">
        <f t="shared" si="83"/>
        <v>0</v>
      </c>
      <c r="DM37" t="b">
        <f t="shared" si="84"/>
        <v>0</v>
      </c>
      <c r="DN37" t="b">
        <f t="shared" si="85"/>
        <v>0</v>
      </c>
      <c r="DO37" t="b">
        <f t="shared" si="86"/>
        <v>0</v>
      </c>
      <c r="DP37" t="b">
        <f t="shared" si="87"/>
        <v>0</v>
      </c>
      <c r="DQ37" t="b">
        <f t="shared" si="88"/>
        <v>0</v>
      </c>
      <c r="DR37" t="b">
        <f t="shared" si="89"/>
        <v>0</v>
      </c>
      <c r="DS37" t="b">
        <f t="shared" si="90"/>
        <v>0</v>
      </c>
      <c r="DT37" t="b">
        <f t="shared" si="91"/>
        <v>0</v>
      </c>
      <c r="DU37" t="b">
        <f t="shared" si="92"/>
        <v>0</v>
      </c>
      <c r="DV37" t="b">
        <f t="shared" si="93"/>
        <v>0</v>
      </c>
      <c r="DW37" t="b">
        <f t="shared" si="94"/>
        <v>0</v>
      </c>
      <c r="DX37" t="b">
        <f t="shared" si="95"/>
        <v>0</v>
      </c>
      <c r="DY37" t="b">
        <f t="shared" si="96"/>
        <v>0</v>
      </c>
      <c r="DZ37" t="b">
        <f t="shared" si="97"/>
        <v>0</v>
      </c>
      <c r="EA37" t="b">
        <f t="shared" si="98"/>
        <v>0</v>
      </c>
      <c r="EB37" t="b">
        <f t="shared" si="99"/>
        <v>0</v>
      </c>
      <c r="EC37" t="b">
        <f t="shared" si="100"/>
        <v>0</v>
      </c>
      <c r="ED37" t="b">
        <f t="shared" si="101"/>
        <v>0</v>
      </c>
      <c r="EE37" t="b">
        <f t="shared" si="102"/>
        <v>0</v>
      </c>
      <c r="EF37">
        <f t="shared" si="103"/>
        <v>1</v>
      </c>
      <c r="EG37" t="b">
        <f t="shared" si="104"/>
        <v>0</v>
      </c>
      <c r="EH37" t="b">
        <f t="shared" si="105"/>
        <v>0</v>
      </c>
      <c r="EI37" t="b">
        <f t="shared" si="106"/>
        <v>0</v>
      </c>
      <c r="EJ37" t="b">
        <f t="shared" si="107"/>
        <v>0</v>
      </c>
      <c r="EK37" t="b">
        <f t="shared" si="108"/>
        <v>0</v>
      </c>
    </row>
    <row r="38" spans="1:141">
      <c r="A38" t="s">
        <v>316</v>
      </c>
      <c r="B38" t="s">
        <v>316</v>
      </c>
      <c r="C38" t="s">
        <v>317</v>
      </c>
      <c r="D38" s="1">
        <v>43291</v>
      </c>
      <c r="E38" s="2">
        <v>43664.2112037037</v>
      </c>
      <c r="F38" s="2">
        <v>43664.2112037037</v>
      </c>
      <c r="G38">
        <v>22437749</v>
      </c>
      <c r="H38" t="s">
        <v>318</v>
      </c>
      <c r="I38" s="10" t="s">
        <v>319</v>
      </c>
      <c r="J38" t="s">
        <v>320</v>
      </c>
      <c r="K38" s="8" t="b">
        <v>1</v>
      </c>
      <c r="L38" s="10" t="b">
        <v>0</v>
      </c>
      <c r="M38" s="12" t="b">
        <v>0</v>
      </c>
      <c r="N38" t="b">
        <v>0</v>
      </c>
      <c r="O38" t="b">
        <v>0</v>
      </c>
      <c r="P38" t="b">
        <v>0</v>
      </c>
      <c r="Q38">
        <f t="shared" si="1"/>
        <v>3</v>
      </c>
      <c r="R38">
        <f t="shared" si="2"/>
        <v>7</v>
      </c>
      <c r="S38" t="e">
        <f t="shared" ca="1" si="109"/>
        <v>#NAME?</v>
      </c>
      <c r="T38" t="e">
        <f t="shared" ca="1" si="3"/>
        <v>#NAME?</v>
      </c>
      <c r="U38" s="4">
        <f t="shared" si="4"/>
        <v>373.21120370370045</v>
      </c>
      <c r="V38" s="4">
        <f t="shared" si="5"/>
        <v>12.440373456790015</v>
      </c>
      <c r="W38" s="4">
        <f t="shared" si="6"/>
        <v>1</v>
      </c>
      <c r="X38" s="4">
        <f t="shared" si="7"/>
        <v>0</v>
      </c>
      <c r="Y38" s="4">
        <f t="shared" si="8"/>
        <v>0</v>
      </c>
      <c r="Z38" s="4">
        <f t="shared" si="9"/>
        <v>0</v>
      </c>
      <c r="AA38" s="4">
        <f t="shared" si="10"/>
        <v>0</v>
      </c>
      <c r="AB38" s="4">
        <f t="shared" si="11"/>
        <v>0</v>
      </c>
      <c r="AD38" s="4" t="b">
        <f t="shared" si="12"/>
        <v>0</v>
      </c>
      <c r="AE38" s="4" t="b">
        <f t="shared" si="13"/>
        <v>0</v>
      </c>
      <c r="AF38" s="4" t="b">
        <f t="shared" si="14"/>
        <v>0</v>
      </c>
      <c r="AG38" t="b">
        <f t="shared" si="15"/>
        <v>0</v>
      </c>
      <c r="AH38" t="b">
        <f t="shared" si="16"/>
        <v>0</v>
      </c>
      <c r="AI38" t="b">
        <f t="shared" si="17"/>
        <v>0</v>
      </c>
      <c r="AJ38" t="b">
        <f t="shared" si="18"/>
        <v>0</v>
      </c>
      <c r="AK38" t="b">
        <f t="shared" si="19"/>
        <v>0</v>
      </c>
      <c r="AL38" t="b">
        <f t="shared" si="20"/>
        <v>0</v>
      </c>
      <c r="AM38" t="b">
        <f t="shared" si="21"/>
        <v>0</v>
      </c>
      <c r="AN38" t="b">
        <f t="shared" si="22"/>
        <v>0</v>
      </c>
      <c r="AO38" t="b">
        <f t="shared" si="23"/>
        <v>0</v>
      </c>
      <c r="AP38" t="b">
        <f t="shared" si="24"/>
        <v>0</v>
      </c>
      <c r="AQ38" t="b">
        <f t="shared" si="25"/>
        <v>0</v>
      </c>
      <c r="AR38" t="b">
        <f t="shared" si="26"/>
        <v>0</v>
      </c>
      <c r="AS38" t="b">
        <f t="shared" si="27"/>
        <v>0</v>
      </c>
      <c r="AT38" t="b">
        <f t="shared" si="28"/>
        <v>0</v>
      </c>
      <c r="AU38" t="b">
        <f t="shared" si="29"/>
        <v>0</v>
      </c>
      <c r="AV38" t="b">
        <f t="shared" si="30"/>
        <v>0</v>
      </c>
      <c r="AW38" t="b">
        <f t="shared" si="31"/>
        <v>0</v>
      </c>
      <c r="AX38" t="b">
        <f t="shared" si="110"/>
        <v>0</v>
      </c>
      <c r="AY38" t="b">
        <f t="shared" si="111"/>
        <v>0</v>
      </c>
      <c r="AZ38">
        <f t="shared" si="112"/>
        <v>1</v>
      </c>
      <c r="BA38" t="b">
        <f t="shared" si="113"/>
        <v>0</v>
      </c>
      <c r="BB38" t="b">
        <f t="shared" si="114"/>
        <v>0</v>
      </c>
      <c r="BC38" t="b">
        <f t="shared" si="115"/>
        <v>0</v>
      </c>
      <c r="BD38" t="b">
        <f t="shared" si="116"/>
        <v>0</v>
      </c>
      <c r="BE38" t="b">
        <f t="shared" si="117"/>
        <v>0</v>
      </c>
      <c r="BF38" t="b">
        <f t="shared" si="118"/>
        <v>0</v>
      </c>
      <c r="BG38" t="b">
        <f t="shared" si="119"/>
        <v>0</v>
      </c>
      <c r="BH38" t="b">
        <f t="shared" si="120"/>
        <v>0</v>
      </c>
      <c r="BI38">
        <f t="shared" si="121"/>
        <v>1</v>
      </c>
      <c r="BJ38" t="b">
        <f t="shared" si="122"/>
        <v>0</v>
      </c>
      <c r="BK38" t="b">
        <f t="shared" si="123"/>
        <v>0</v>
      </c>
      <c r="BL38" t="b">
        <f t="shared" si="124"/>
        <v>0</v>
      </c>
      <c r="BM38" t="b">
        <f t="shared" si="32"/>
        <v>0</v>
      </c>
      <c r="BN38" t="b">
        <f t="shared" si="33"/>
        <v>0</v>
      </c>
      <c r="BO38" t="b">
        <f t="shared" si="34"/>
        <v>0</v>
      </c>
      <c r="BP38" t="b">
        <f t="shared" si="35"/>
        <v>0</v>
      </c>
      <c r="BQ38" t="b">
        <f t="shared" si="36"/>
        <v>0</v>
      </c>
      <c r="BR38" t="b">
        <f t="shared" si="37"/>
        <v>0</v>
      </c>
      <c r="BS38">
        <f t="shared" si="38"/>
        <v>1</v>
      </c>
      <c r="BT38" t="b">
        <f t="shared" si="39"/>
        <v>0</v>
      </c>
      <c r="BU38" t="b">
        <f t="shared" si="40"/>
        <v>0</v>
      </c>
      <c r="BV38" t="b">
        <f t="shared" si="41"/>
        <v>0</v>
      </c>
      <c r="BW38" t="b">
        <f t="shared" si="42"/>
        <v>0</v>
      </c>
      <c r="BX38" t="b">
        <f t="shared" si="43"/>
        <v>0</v>
      </c>
      <c r="BY38" t="b">
        <f t="shared" si="44"/>
        <v>0</v>
      </c>
      <c r="BZ38" t="b">
        <f t="shared" si="45"/>
        <v>0</v>
      </c>
      <c r="CA38" t="b">
        <f t="shared" si="46"/>
        <v>0</v>
      </c>
      <c r="CB38" t="b">
        <f t="shared" si="47"/>
        <v>0</v>
      </c>
      <c r="CC38" t="b">
        <f t="shared" si="48"/>
        <v>0</v>
      </c>
      <c r="CD38" t="b">
        <f t="shared" si="49"/>
        <v>0</v>
      </c>
      <c r="CE38" t="b">
        <f t="shared" si="50"/>
        <v>0</v>
      </c>
      <c r="CF38" t="b">
        <f t="shared" si="51"/>
        <v>0</v>
      </c>
      <c r="CG38" t="b">
        <f t="shared" si="52"/>
        <v>0</v>
      </c>
      <c r="CH38" t="b">
        <f t="shared" si="53"/>
        <v>0</v>
      </c>
      <c r="CI38" t="b">
        <f t="shared" si="54"/>
        <v>0</v>
      </c>
      <c r="CJ38" t="b">
        <f t="shared" si="55"/>
        <v>0</v>
      </c>
      <c r="CK38" t="b">
        <f t="shared" si="56"/>
        <v>0</v>
      </c>
      <c r="CL38" t="b">
        <f t="shared" si="57"/>
        <v>0</v>
      </c>
      <c r="CM38">
        <f t="shared" si="58"/>
        <v>1</v>
      </c>
      <c r="CN38" t="b">
        <f t="shared" si="59"/>
        <v>0</v>
      </c>
      <c r="CO38" t="b">
        <f t="shared" si="60"/>
        <v>0</v>
      </c>
      <c r="CP38" t="b">
        <f t="shared" si="61"/>
        <v>0</v>
      </c>
      <c r="CQ38" t="b">
        <f t="shared" si="62"/>
        <v>0</v>
      </c>
      <c r="CR38" t="b">
        <f t="shared" si="63"/>
        <v>0</v>
      </c>
      <c r="CS38" t="b">
        <f t="shared" si="64"/>
        <v>0</v>
      </c>
      <c r="CT38" t="b">
        <f t="shared" si="65"/>
        <v>0</v>
      </c>
      <c r="CU38" t="b">
        <f t="shared" si="66"/>
        <v>0</v>
      </c>
      <c r="CV38">
        <f t="shared" si="67"/>
        <v>1</v>
      </c>
      <c r="CW38" t="b">
        <f t="shared" si="68"/>
        <v>0</v>
      </c>
      <c r="CX38" t="b">
        <f t="shared" si="69"/>
        <v>0</v>
      </c>
      <c r="CY38" t="b">
        <f t="shared" si="70"/>
        <v>0</v>
      </c>
      <c r="CZ38" t="b">
        <f t="shared" si="71"/>
        <v>0</v>
      </c>
      <c r="DA38" t="b">
        <f t="shared" si="72"/>
        <v>0</v>
      </c>
      <c r="DB38" t="b">
        <f t="shared" si="73"/>
        <v>0</v>
      </c>
      <c r="DC38" t="b">
        <f t="shared" si="74"/>
        <v>0</v>
      </c>
      <c r="DD38" t="b">
        <f t="shared" si="75"/>
        <v>0</v>
      </c>
      <c r="DE38" t="b">
        <f t="shared" si="76"/>
        <v>0</v>
      </c>
      <c r="DF38" t="b">
        <f t="shared" si="77"/>
        <v>0</v>
      </c>
      <c r="DG38" t="b">
        <f t="shared" si="78"/>
        <v>0</v>
      </c>
      <c r="DH38" t="b">
        <f t="shared" si="79"/>
        <v>0</v>
      </c>
      <c r="DI38" t="b">
        <f t="shared" si="80"/>
        <v>0</v>
      </c>
      <c r="DJ38" t="b">
        <f t="shared" si="81"/>
        <v>0</v>
      </c>
      <c r="DK38" t="b">
        <f t="shared" si="82"/>
        <v>0</v>
      </c>
      <c r="DL38" t="b">
        <f t="shared" si="83"/>
        <v>0</v>
      </c>
      <c r="DM38" t="b">
        <f t="shared" si="84"/>
        <v>0</v>
      </c>
      <c r="DN38" t="b">
        <f t="shared" si="85"/>
        <v>0</v>
      </c>
      <c r="DO38" t="b">
        <f t="shared" si="86"/>
        <v>0</v>
      </c>
      <c r="DP38" t="b">
        <f t="shared" si="87"/>
        <v>0</v>
      </c>
      <c r="DQ38" t="b">
        <f t="shared" si="88"/>
        <v>0</v>
      </c>
      <c r="DR38" t="b">
        <f t="shared" si="89"/>
        <v>0</v>
      </c>
      <c r="DS38" t="b">
        <f t="shared" si="90"/>
        <v>0</v>
      </c>
      <c r="DT38" t="b">
        <f t="shared" si="91"/>
        <v>0</v>
      </c>
      <c r="DU38" t="b">
        <f t="shared" si="92"/>
        <v>0</v>
      </c>
      <c r="DV38" t="b">
        <f t="shared" si="93"/>
        <v>0</v>
      </c>
      <c r="DW38" t="b">
        <f t="shared" si="94"/>
        <v>0</v>
      </c>
      <c r="DX38" t="b">
        <f t="shared" si="95"/>
        <v>0</v>
      </c>
      <c r="DY38" t="b">
        <f t="shared" si="96"/>
        <v>0</v>
      </c>
      <c r="DZ38" t="b">
        <f t="shared" si="97"/>
        <v>0</v>
      </c>
      <c r="EA38" t="b">
        <f t="shared" si="98"/>
        <v>0</v>
      </c>
      <c r="EB38" t="b">
        <f t="shared" si="99"/>
        <v>0</v>
      </c>
      <c r="EC38" t="b">
        <f t="shared" si="100"/>
        <v>0</v>
      </c>
      <c r="ED38" t="b">
        <f t="shared" si="101"/>
        <v>0</v>
      </c>
      <c r="EE38" t="b">
        <f t="shared" si="102"/>
        <v>0</v>
      </c>
      <c r="EF38" t="b">
        <f t="shared" si="103"/>
        <v>0</v>
      </c>
      <c r="EG38" t="b">
        <f t="shared" si="104"/>
        <v>0</v>
      </c>
      <c r="EH38" t="b">
        <f t="shared" si="105"/>
        <v>0</v>
      </c>
      <c r="EI38" t="b">
        <f t="shared" si="106"/>
        <v>0</v>
      </c>
      <c r="EJ38" t="b">
        <f t="shared" si="107"/>
        <v>0</v>
      </c>
      <c r="EK38" t="b">
        <f t="shared" si="108"/>
        <v>0</v>
      </c>
    </row>
    <row r="39" spans="1:141">
      <c r="A39" t="s">
        <v>321</v>
      </c>
      <c r="B39" t="s">
        <v>322</v>
      </c>
      <c r="D39" s="1">
        <v>42720</v>
      </c>
      <c r="E39" s="2">
        <v>42859.921967592592</v>
      </c>
      <c r="F39" s="2">
        <v>42859.921967592592</v>
      </c>
      <c r="G39">
        <v>457962538</v>
      </c>
      <c r="H39" t="s">
        <v>323</v>
      </c>
      <c r="I39" s="10" t="s">
        <v>160</v>
      </c>
      <c r="J39" t="s">
        <v>147</v>
      </c>
      <c r="K39" s="8" t="b">
        <v>0</v>
      </c>
      <c r="L39" s="10" t="b">
        <v>0</v>
      </c>
      <c r="M39" s="12" t="b">
        <v>0</v>
      </c>
      <c r="N39" t="b">
        <v>0</v>
      </c>
      <c r="O39" t="b">
        <v>0</v>
      </c>
      <c r="P39" t="b">
        <v>0</v>
      </c>
      <c r="Q39">
        <f t="shared" si="1"/>
        <v>6</v>
      </c>
      <c r="R39">
        <f t="shared" si="2"/>
        <v>12</v>
      </c>
      <c r="S39" t="e">
        <f t="shared" ca="1" si="109"/>
        <v>#NAME?</v>
      </c>
      <c r="T39" t="e">
        <f t="shared" ca="1" si="3"/>
        <v>#NAME?</v>
      </c>
      <c r="U39" s="4">
        <f t="shared" si="4"/>
        <v>139.92196759259241</v>
      </c>
      <c r="V39" s="4">
        <f t="shared" si="5"/>
        <v>4.6640655864197473</v>
      </c>
      <c r="W39" s="4">
        <f t="shared" si="6"/>
        <v>0</v>
      </c>
      <c r="X39" s="4">
        <f t="shared" si="7"/>
        <v>0</v>
      </c>
      <c r="Y39" s="4">
        <f t="shared" si="8"/>
        <v>0</v>
      </c>
      <c r="Z39" s="4">
        <f t="shared" si="9"/>
        <v>0</v>
      </c>
      <c r="AA39" s="4">
        <f t="shared" si="10"/>
        <v>0</v>
      </c>
      <c r="AB39" s="4">
        <f t="shared" si="11"/>
        <v>0</v>
      </c>
      <c r="AD39" s="4" t="b">
        <f t="shared" si="12"/>
        <v>0</v>
      </c>
      <c r="AE39" s="4" t="b">
        <f t="shared" si="13"/>
        <v>0</v>
      </c>
      <c r="AF39" s="4" t="b">
        <f t="shared" si="14"/>
        <v>0</v>
      </c>
      <c r="AG39" t="b">
        <f t="shared" si="15"/>
        <v>0</v>
      </c>
      <c r="AH39" t="b">
        <f t="shared" si="16"/>
        <v>0</v>
      </c>
      <c r="AI39" t="b">
        <f t="shared" si="17"/>
        <v>0</v>
      </c>
      <c r="AJ39" t="b">
        <f t="shared" si="18"/>
        <v>0</v>
      </c>
      <c r="AK39" t="b">
        <f t="shared" si="19"/>
        <v>0</v>
      </c>
      <c r="AL39" t="b">
        <f t="shared" si="20"/>
        <v>0</v>
      </c>
      <c r="AM39" t="b">
        <f t="shared" si="21"/>
        <v>0</v>
      </c>
      <c r="AN39" t="b">
        <f t="shared" si="22"/>
        <v>0</v>
      </c>
      <c r="AO39" t="b">
        <f t="shared" si="23"/>
        <v>0</v>
      </c>
      <c r="AP39" t="b">
        <f t="shared" si="24"/>
        <v>0</v>
      </c>
      <c r="AQ39" t="b">
        <f t="shared" si="25"/>
        <v>0</v>
      </c>
      <c r="AR39" t="b">
        <f t="shared" si="26"/>
        <v>0</v>
      </c>
      <c r="AS39" t="b">
        <f t="shared" si="27"/>
        <v>0</v>
      </c>
      <c r="AT39" t="b">
        <f t="shared" si="28"/>
        <v>0</v>
      </c>
      <c r="AU39" t="b">
        <f t="shared" si="29"/>
        <v>0</v>
      </c>
      <c r="AV39" t="b">
        <f t="shared" si="30"/>
        <v>0</v>
      </c>
      <c r="AW39" t="b">
        <f t="shared" si="31"/>
        <v>0</v>
      </c>
      <c r="AX39" t="b">
        <f t="shared" si="110"/>
        <v>0</v>
      </c>
      <c r="AY39" t="b">
        <f t="shared" si="111"/>
        <v>0</v>
      </c>
      <c r="AZ39" t="b">
        <f t="shared" si="112"/>
        <v>0</v>
      </c>
      <c r="BA39" t="b">
        <f t="shared" si="113"/>
        <v>0</v>
      </c>
      <c r="BB39" t="b">
        <f t="shared" si="114"/>
        <v>0</v>
      </c>
      <c r="BC39" t="b">
        <f t="shared" si="115"/>
        <v>0</v>
      </c>
      <c r="BD39" t="b">
        <f t="shared" si="116"/>
        <v>0</v>
      </c>
      <c r="BE39" t="b">
        <f t="shared" si="117"/>
        <v>0</v>
      </c>
      <c r="BF39" t="b">
        <f t="shared" si="118"/>
        <v>0</v>
      </c>
      <c r="BG39" t="b">
        <f t="shared" si="119"/>
        <v>0</v>
      </c>
      <c r="BH39" t="b">
        <f t="shared" si="120"/>
        <v>0</v>
      </c>
      <c r="BI39">
        <f t="shared" si="121"/>
        <v>1</v>
      </c>
      <c r="BJ39" t="b">
        <f t="shared" si="122"/>
        <v>0</v>
      </c>
      <c r="BK39" t="b">
        <f t="shared" si="123"/>
        <v>0</v>
      </c>
      <c r="BL39" t="b">
        <f t="shared" si="124"/>
        <v>0</v>
      </c>
      <c r="BM39" t="b">
        <f t="shared" si="32"/>
        <v>0</v>
      </c>
      <c r="BN39" t="b">
        <f t="shared" si="33"/>
        <v>0</v>
      </c>
      <c r="BO39" t="b">
        <f t="shared" si="34"/>
        <v>0</v>
      </c>
      <c r="BP39" t="b">
        <f t="shared" si="35"/>
        <v>0</v>
      </c>
      <c r="BQ39" t="b">
        <f t="shared" si="36"/>
        <v>0</v>
      </c>
      <c r="BR39" t="b">
        <f t="shared" si="37"/>
        <v>0</v>
      </c>
      <c r="BS39" t="b">
        <f t="shared" si="38"/>
        <v>0</v>
      </c>
      <c r="BT39" t="b">
        <f t="shared" si="39"/>
        <v>0</v>
      </c>
      <c r="BU39" t="b">
        <f t="shared" si="40"/>
        <v>0</v>
      </c>
      <c r="BV39" t="b">
        <f t="shared" si="41"/>
        <v>0</v>
      </c>
      <c r="BW39" t="b">
        <f t="shared" si="42"/>
        <v>0</v>
      </c>
      <c r="BX39" t="b">
        <f t="shared" si="43"/>
        <v>0</v>
      </c>
      <c r="BY39" t="b">
        <f t="shared" si="44"/>
        <v>0</v>
      </c>
      <c r="BZ39" t="b">
        <f t="shared" si="45"/>
        <v>0</v>
      </c>
      <c r="CA39" t="b">
        <f t="shared" si="46"/>
        <v>0</v>
      </c>
      <c r="CB39" t="b">
        <f t="shared" si="47"/>
        <v>0</v>
      </c>
      <c r="CC39" t="b">
        <f t="shared" si="48"/>
        <v>0</v>
      </c>
      <c r="CD39" t="b">
        <f t="shared" si="49"/>
        <v>0</v>
      </c>
      <c r="CE39" t="b">
        <f t="shared" si="50"/>
        <v>0</v>
      </c>
      <c r="CF39" t="b">
        <f t="shared" si="51"/>
        <v>0</v>
      </c>
      <c r="CG39" t="b">
        <f t="shared" si="52"/>
        <v>0</v>
      </c>
      <c r="CH39" t="b">
        <f t="shared" si="53"/>
        <v>0</v>
      </c>
      <c r="CI39" t="b">
        <f t="shared" si="54"/>
        <v>0</v>
      </c>
      <c r="CJ39" t="b">
        <f t="shared" si="55"/>
        <v>0</v>
      </c>
      <c r="CK39" t="b">
        <f t="shared" si="56"/>
        <v>0</v>
      </c>
      <c r="CL39" t="b">
        <f t="shared" si="57"/>
        <v>0</v>
      </c>
      <c r="CM39" t="b">
        <f t="shared" si="58"/>
        <v>0</v>
      </c>
      <c r="CN39" t="b">
        <f t="shared" si="59"/>
        <v>0</v>
      </c>
      <c r="CO39" t="b">
        <f t="shared" si="60"/>
        <v>0</v>
      </c>
      <c r="CP39" t="b">
        <f t="shared" si="61"/>
        <v>0</v>
      </c>
      <c r="CQ39" t="b">
        <f t="shared" si="62"/>
        <v>0</v>
      </c>
      <c r="CR39" t="b">
        <f t="shared" si="63"/>
        <v>0</v>
      </c>
      <c r="CS39" t="b">
        <f t="shared" si="64"/>
        <v>0</v>
      </c>
      <c r="CT39" t="b">
        <f t="shared" si="65"/>
        <v>0</v>
      </c>
      <c r="CU39" t="b">
        <f t="shared" si="66"/>
        <v>0</v>
      </c>
      <c r="CV39">
        <f t="shared" si="67"/>
        <v>1</v>
      </c>
      <c r="CW39" t="b">
        <f t="shared" si="68"/>
        <v>0</v>
      </c>
      <c r="CX39" t="b">
        <f t="shared" si="69"/>
        <v>0</v>
      </c>
      <c r="CY39" t="b">
        <f t="shared" si="70"/>
        <v>0</v>
      </c>
      <c r="CZ39" t="b">
        <f t="shared" si="71"/>
        <v>0</v>
      </c>
      <c r="DA39" t="b">
        <f t="shared" si="72"/>
        <v>0</v>
      </c>
      <c r="DB39" t="b">
        <f t="shared" si="73"/>
        <v>0</v>
      </c>
      <c r="DC39" t="b">
        <f t="shared" si="74"/>
        <v>0</v>
      </c>
      <c r="DD39" t="b">
        <f t="shared" si="75"/>
        <v>0</v>
      </c>
      <c r="DE39" t="b">
        <f t="shared" si="76"/>
        <v>0</v>
      </c>
      <c r="DF39" t="b">
        <f t="shared" si="77"/>
        <v>0</v>
      </c>
      <c r="DG39" t="b">
        <f t="shared" si="78"/>
        <v>0</v>
      </c>
      <c r="DH39" t="b">
        <f t="shared" si="79"/>
        <v>0</v>
      </c>
      <c r="DI39" t="b">
        <f t="shared" si="80"/>
        <v>0</v>
      </c>
      <c r="DJ39" t="b">
        <f t="shared" si="81"/>
        <v>0</v>
      </c>
      <c r="DK39" t="b">
        <f t="shared" si="82"/>
        <v>0</v>
      </c>
      <c r="DL39" t="b">
        <f t="shared" si="83"/>
        <v>0</v>
      </c>
      <c r="DM39" t="b">
        <f t="shared" si="84"/>
        <v>0</v>
      </c>
      <c r="DN39" t="b">
        <f t="shared" si="85"/>
        <v>0</v>
      </c>
      <c r="DO39" t="b">
        <f t="shared" si="86"/>
        <v>0</v>
      </c>
      <c r="DP39" t="b">
        <f t="shared" si="87"/>
        <v>0</v>
      </c>
      <c r="DQ39" t="b">
        <f t="shared" si="88"/>
        <v>0</v>
      </c>
      <c r="DR39" t="b">
        <f t="shared" si="89"/>
        <v>0</v>
      </c>
      <c r="DS39" t="b">
        <f t="shared" si="90"/>
        <v>0</v>
      </c>
      <c r="DT39" t="b">
        <f t="shared" si="91"/>
        <v>0</v>
      </c>
      <c r="DU39" t="b">
        <f t="shared" si="92"/>
        <v>0</v>
      </c>
      <c r="DV39" t="b">
        <f t="shared" si="93"/>
        <v>0</v>
      </c>
      <c r="DW39" t="b">
        <f t="shared" si="94"/>
        <v>0</v>
      </c>
      <c r="DX39" t="b">
        <f t="shared" si="95"/>
        <v>0</v>
      </c>
      <c r="DY39" t="b">
        <f t="shared" si="96"/>
        <v>0</v>
      </c>
      <c r="DZ39" t="b">
        <f t="shared" si="97"/>
        <v>0</v>
      </c>
      <c r="EA39" t="b">
        <f t="shared" si="98"/>
        <v>0</v>
      </c>
      <c r="EB39" t="b">
        <f t="shared" si="99"/>
        <v>0</v>
      </c>
      <c r="EC39" t="b">
        <f t="shared" si="100"/>
        <v>0</v>
      </c>
      <c r="ED39" t="b">
        <f t="shared" si="101"/>
        <v>0</v>
      </c>
      <c r="EE39" t="b">
        <f t="shared" si="102"/>
        <v>0</v>
      </c>
      <c r="EF39" t="b">
        <f t="shared" si="103"/>
        <v>0</v>
      </c>
      <c r="EG39" t="b">
        <f t="shared" si="104"/>
        <v>0</v>
      </c>
      <c r="EH39" t="b">
        <f t="shared" si="105"/>
        <v>0</v>
      </c>
      <c r="EI39" t="b">
        <f t="shared" si="106"/>
        <v>0</v>
      </c>
      <c r="EJ39" t="b">
        <f t="shared" si="107"/>
        <v>0</v>
      </c>
      <c r="EK39" t="b">
        <f t="shared" si="108"/>
        <v>0</v>
      </c>
    </row>
    <row r="40" spans="1:141">
      <c r="A40" t="s">
        <v>324</v>
      </c>
      <c r="B40" t="s">
        <v>324</v>
      </c>
      <c r="C40" t="s">
        <v>325</v>
      </c>
      <c r="D40" s="1">
        <v>43304</v>
      </c>
      <c r="E40" s="2">
        <v>43378.801516203705</v>
      </c>
      <c r="F40" s="2">
        <v>43396.167916666665</v>
      </c>
      <c r="G40">
        <v>125929660</v>
      </c>
      <c r="H40" t="s">
        <v>326</v>
      </c>
      <c r="I40" s="10" t="s">
        <v>327</v>
      </c>
      <c r="J40" t="s">
        <v>328</v>
      </c>
      <c r="K40" s="8" t="b">
        <v>1</v>
      </c>
      <c r="L40" s="10" t="b">
        <v>0</v>
      </c>
      <c r="M40" s="12" t="b">
        <v>0</v>
      </c>
      <c r="N40" t="b">
        <v>0</v>
      </c>
      <c r="O40" t="b">
        <v>0</v>
      </c>
      <c r="P40" t="b">
        <v>0</v>
      </c>
      <c r="Q40">
        <f t="shared" si="1"/>
        <v>2</v>
      </c>
      <c r="R40">
        <f t="shared" si="2"/>
        <v>7</v>
      </c>
      <c r="S40" t="e">
        <f t="shared" ca="1" si="109"/>
        <v>#NAME?</v>
      </c>
      <c r="T40" t="e">
        <f t="shared" ca="1" si="3"/>
        <v>#NAME?</v>
      </c>
      <c r="U40" s="4">
        <f t="shared" si="4"/>
        <v>74.801516203704523</v>
      </c>
      <c r="V40" s="4">
        <f t="shared" si="5"/>
        <v>2.4933838734568172</v>
      </c>
      <c r="W40" s="4">
        <f t="shared" si="6"/>
        <v>1</v>
      </c>
      <c r="X40" s="4">
        <f t="shared" si="7"/>
        <v>0</v>
      </c>
      <c r="Y40" s="4">
        <f t="shared" si="8"/>
        <v>0</v>
      </c>
      <c r="Z40" s="4">
        <f t="shared" si="9"/>
        <v>0</v>
      </c>
      <c r="AA40" s="4">
        <f t="shared" si="10"/>
        <v>0</v>
      </c>
      <c r="AB40" s="4">
        <f t="shared" si="11"/>
        <v>0</v>
      </c>
      <c r="AC40" s="4"/>
      <c r="AD40" s="4" t="b">
        <f t="shared" si="12"/>
        <v>0</v>
      </c>
      <c r="AE40" s="4" t="b">
        <f t="shared" si="13"/>
        <v>0</v>
      </c>
      <c r="AF40" s="4" t="b">
        <f t="shared" si="14"/>
        <v>0</v>
      </c>
      <c r="AG40" t="b">
        <f t="shared" si="15"/>
        <v>0</v>
      </c>
      <c r="AH40" t="b">
        <f t="shared" si="16"/>
        <v>0</v>
      </c>
      <c r="AI40" t="b">
        <f t="shared" si="17"/>
        <v>0</v>
      </c>
      <c r="AJ40" t="b">
        <f t="shared" si="18"/>
        <v>0</v>
      </c>
      <c r="AK40" t="b">
        <f t="shared" si="19"/>
        <v>0</v>
      </c>
      <c r="AL40" t="b">
        <f t="shared" si="20"/>
        <v>0</v>
      </c>
      <c r="AM40" t="b">
        <f t="shared" si="21"/>
        <v>0</v>
      </c>
      <c r="AN40" t="b">
        <f t="shared" si="22"/>
        <v>0</v>
      </c>
      <c r="AO40" t="b">
        <f t="shared" si="23"/>
        <v>0</v>
      </c>
      <c r="AP40" t="b">
        <f t="shared" si="24"/>
        <v>0</v>
      </c>
      <c r="AQ40" t="b">
        <f t="shared" si="25"/>
        <v>0</v>
      </c>
      <c r="AR40" t="b">
        <f t="shared" si="26"/>
        <v>0</v>
      </c>
      <c r="AS40" t="b">
        <f t="shared" si="27"/>
        <v>0</v>
      </c>
      <c r="AT40" t="b">
        <f t="shared" si="28"/>
        <v>0</v>
      </c>
      <c r="AU40" t="b">
        <f t="shared" si="29"/>
        <v>0</v>
      </c>
      <c r="AV40" t="b">
        <f t="shared" si="30"/>
        <v>0</v>
      </c>
      <c r="AW40" t="b">
        <f t="shared" si="31"/>
        <v>0</v>
      </c>
      <c r="AX40" t="b">
        <f t="shared" si="110"/>
        <v>0</v>
      </c>
      <c r="AY40" t="b">
        <f t="shared" si="111"/>
        <v>0</v>
      </c>
      <c r="AZ40" t="b">
        <f t="shared" si="112"/>
        <v>0</v>
      </c>
      <c r="BA40" t="b">
        <f t="shared" si="113"/>
        <v>0</v>
      </c>
      <c r="BB40" t="b">
        <f t="shared" si="114"/>
        <v>0</v>
      </c>
      <c r="BC40" t="b">
        <f t="shared" si="115"/>
        <v>0</v>
      </c>
      <c r="BD40" t="b">
        <f t="shared" si="116"/>
        <v>0</v>
      </c>
      <c r="BE40" t="b">
        <f t="shared" si="117"/>
        <v>0</v>
      </c>
      <c r="BF40" t="b">
        <f t="shared" si="118"/>
        <v>0</v>
      </c>
      <c r="BG40" t="b">
        <f t="shared" si="119"/>
        <v>0</v>
      </c>
      <c r="BH40" t="b">
        <f t="shared" si="120"/>
        <v>0</v>
      </c>
      <c r="BI40">
        <f t="shared" si="121"/>
        <v>1</v>
      </c>
      <c r="BJ40">
        <f t="shared" si="122"/>
        <v>1</v>
      </c>
      <c r="BK40" t="b">
        <f t="shared" si="123"/>
        <v>0</v>
      </c>
      <c r="BL40" t="b">
        <f t="shared" si="124"/>
        <v>0</v>
      </c>
      <c r="BM40" t="b">
        <f t="shared" si="32"/>
        <v>0</v>
      </c>
      <c r="BN40" t="b">
        <f t="shared" si="33"/>
        <v>0</v>
      </c>
      <c r="BO40" t="b">
        <f t="shared" si="34"/>
        <v>0</v>
      </c>
      <c r="BP40" t="b">
        <f t="shared" si="35"/>
        <v>0</v>
      </c>
      <c r="BQ40" t="b">
        <f t="shared" si="36"/>
        <v>0</v>
      </c>
      <c r="BR40" t="b">
        <f t="shared" si="37"/>
        <v>0</v>
      </c>
      <c r="BS40">
        <f t="shared" si="38"/>
        <v>1</v>
      </c>
      <c r="BT40" t="b">
        <f t="shared" si="39"/>
        <v>0</v>
      </c>
      <c r="BU40" t="b">
        <f t="shared" si="40"/>
        <v>0</v>
      </c>
      <c r="BV40" t="b">
        <f t="shared" si="41"/>
        <v>0</v>
      </c>
      <c r="BW40" t="b">
        <f t="shared" si="42"/>
        <v>0</v>
      </c>
      <c r="BX40" t="b">
        <f t="shared" si="43"/>
        <v>0</v>
      </c>
      <c r="BY40" t="b">
        <f t="shared" si="44"/>
        <v>0</v>
      </c>
      <c r="BZ40" t="b">
        <f t="shared" si="45"/>
        <v>0</v>
      </c>
      <c r="CA40" t="b">
        <f t="shared" si="46"/>
        <v>0</v>
      </c>
      <c r="CB40" t="b">
        <f t="shared" si="47"/>
        <v>0</v>
      </c>
      <c r="CC40" t="b">
        <f t="shared" si="48"/>
        <v>0</v>
      </c>
      <c r="CD40" t="b">
        <f t="shared" si="49"/>
        <v>0</v>
      </c>
      <c r="CE40" t="b">
        <f t="shared" si="50"/>
        <v>0</v>
      </c>
      <c r="CF40" t="b">
        <f t="shared" si="51"/>
        <v>0</v>
      </c>
      <c r="CG40" t="b">
        <f t="shared" si="52"/>
        <v>0</v>
      </c>
      <c r="CH40" t="b">
        <f t="shared" si="53"/>
        <v>0</v>
      </c>
      <c r="CI40" t="b">
        <f t="shared" si="54"/>
        <v>0</v>
      </c>
      <c r="CJ40" t="b">
        <f t="shared" si="55"/>
        <v>0</v>
      </c>
      <c r="CK40" t="b">
        <f t="shared" si="56"/>
        <v>0</v>
      </c>
      <c r="CL40" t="b">
        <f t="shared" si="57"/>
        <v>0</v>
      </c>
      <c r="CM40">
        <f t="shared" si="58"/>
        <v>1</v>
      </c>
      <c r="CN40" t="b">
        <f t="shared" si="59"/>
        <v>0</v>
      </c>
      <c r="CO40" t="b">
        <f t="shared" si="60"/>
        <v>0</v>
      </c>
      <c r="CP40" t="b">
        <f t="shared" si="61"/>
        <v>0</v>
      </c>
      <c r="CQ40" t="b">
        <f t="shared" si="62"/>
        <v>0</v>
      </c>
      <c r="CR40" t="b">
        <f t="shared" si="63"/>
        <v>0</v>
      </c>
      <c r="CS40" t="b">
        <f t="shared" si="64"/>
        <v>0</v>
      </c>
      <c r="CT40" t="b">
        <f t="shared" si="65"/>
        <v>0</v>
      </c>
      <c r="CU40" t="b">
        <f t="shared" si="66"/>
        <v>0</v>
      </c>
      <c r="CV40" t="b">
        <f t="shared" si="67"/>
        <v>0</v>
      </c>
      <c r="CW40" t="b">
        <f t="shared" si="68"/>
        <v>0</v>
      </c>
      <c r="CX40" t="b">
        <f t="shared" si="69"/>
        <v>0</v>
      </c>
      <c r="CY40" t="b">
        <f t="shared" si="70"/>
        <v>0</v>
      </c>
      <c r="CZ40" t="b">
        <f t="shared" si="71"/>
        <v>0</v>
      </c>
      <c r="DA40">
        <f t="shared" si="72"/>
        <v>1</v>
      </c>
      <c r="DB40" t="b">
        <f t="shared" si="73"/>
        <v>0</v>
      </c>
      <c r="DC40" t="b">
        <f t="shared" si="74"/>
        <v>0</v>
      </c>
      <c r="DD40" t="b">
        <f t="shared" si="75"/>
        <v>0</v>
      </c>
      <c r="DE40" t="b">
        <f t="shared" si="76"/>
        <v>0</v>
      </c>
      <c r="DF40" t="b">
        <f t="shared" si="77"/>
        <v>0</v>
      </c>
      <c r="DG40" t="b">
        <f t="shared" si="78"/>
        <v>0</v>
      </c>
      <c r="DH40" t="b">
        <f t="shared" si="79"/>
        <v>0</v>
      </c>
      <c r="DI40" t="b">
        <f t="shared" si="80"/>
        <v>0</v>
      </c>
      <c r="DJ40" t="b">
        <f t="shared" si="81"/>
        <v>0</v>
      </c>
      <c r="DK40" t="b">
        <f t="shared" si="82"/>
        <v>0</v>
      </c>
      <c r="DL40" t="b">
        <f t="shared" si="83"/>
        <v>0</v>
      </c>
      <c r="DM40" t="b">
        <f t="shared" si="84"/>
        <v>0</v>
      </c>
      <c r="DN40" t="b">
        <f t="shared" si="85"/>
        <v>0</v>
      </c>
      <c r="DO40" t="b">
        <f t="shared" si="86"/>
        <v>0</v>
      </c>
      <c r="DP40" t="b">
        <f t="shared" si="87"/>
        <v>0</v>
      </c>
      <c r="DQ40">
        <f t="shared" si="88"/>
        <v>1</v>
      </c>
      <c r="DR40" t="b">
        <f t="shared" si="89"/>
        <v>0</v>
      </c>
      <c r="DS40" t="b">
        <f t="shared" si="90"/>
        <v>0</v>
      </c>
      <c r="DT40" t="b">
        <f t="shared" si="91"/>
        <v>0</v>
      </c>
      <c r="DU40" t="b">
        <f t="shared" si="92"/>
        <v>0</v>
      </c>
      <c r="DV40" t="b">
        <f t="shared" si="93"/>
        <v>0</v>
      </c>
      <c r="DW40" t="b">
        <f t="shared" si="94"/>
        <v>0</v>
      </c>
      <c r="DX40" t="b">
        <f t="shared" si="95"/>
        <v>0</v>
      </c>
      <c r="DY40">
        <f t="shared" si="96"/>
        <v>1</v>
      </c>
      <c r="DZ40" t="b">
        <f t="shared" si="97"/>
        <v>0</v>
      </c>
      <c r="EA40" t="b">
        <f t="shared" si="98"/>
        <v>0</v>
      </c>
      <c r="EB40" t="b">
        <f t="shared" si="99"/>
        <v>0</v>
      </c>
      <c r="EC40" t="b">
        <f t="shared" si="100"/>
        <v>0</v>
      </c>
      <c r="ED40" t="b">
        <f t="shared" si="101"/>
        <v>0</v>
      </c>
      <c r="EE40" t="b">
        <f t="shared" si="102"/>
        <v>0</v>
      </c>
      <c r="EF40" t="b">
        <f t="shared" si="103"/>
        <v>0</v>
      </c>
      <c r="EG40" t="b">
        <f t="shared" si="104"/>
        <v>0</v>
      </c>
      <c r="EH40" t="b">
        <f t="shared" si="105"/>
        <v>0</v>
      </c>
      <c r="EI40" t="b">
        <f t="shared" si="106"/>
        <v>0</v>
      </c>
      <c r="EJ40" t="b">
        <f t="shared" si="107"/>
        <v>0</v>
      </c>
      <c r="EK40" t="b">
        <f t="shared" si="108"/>
        <v>0</v>
      </c>
    </row>
    <row r="41" spans="1:141">
      <c r="A41" t="s">
        <v>329</v>
      </c>
      <c r="B41" t="s">
        <v>329</v>
      </c>
      <c r="C41" t="s">
        <v>330</v>
      </c>
      <c r="D41" s="1">
        <v>42819</v>
      </c>
      <c r="E41" s="2">
        <v>43587.296805555554</v>
      </c>
      <c r="F41" s="2">
        <v>43587.296805555554</v>
      </c>
      <c r="G41">
        <v>49681</v>
      </c>
      <c r="H41" t="s">
        <v>331</v>
      </c>
      <c r="I41" s="10" t="s">
        <v>332</v>
      </c>
      <c r="J41" t="s">
        <v>333</v>
      </c>
      <c r="K41" s="8" t="b">
        <v>1</v>
      </c>
      <c r="L41" s="10" t="b">
        <v>0</v>
      </c>
      <c r="M41" s="12" t="b">
        <v>0</v>
      </c>
      <c r="N41" t="b">
        <v>0</v>
      </c>
      <c r="O41" t="b">
        <v>0</v>
      </c>
      <c r="P41" t="b">
        <v>0</v>
      </c>
      <c r="Q41">
        <f t="shared" si="1"/>
        <v>7</v>
      </c>
      <c r="R41">
        <f t="shared" si="2"/>
        <v>3</v>
      </c>
      <c r="S41" t="e">
        <f t="shared" ca="1" si="109"/>
        <v>#NAME?</v>
      </c>
      <c r="T41" t="e">
        <f t="shared" ca="1" si="3"/>
        <v>#NAME?</v>
      </c>
      <c r="U41" s="4">
        <f t="shared" si="4"/>
        <v>768.29680555555387</v>
      </c>
      <c r="V41" s="4">
        <f t="shared" si="5"/>
        <v>25.609893518518462</v>
      </c>
      <c r="W41" s="4">
        <f t="shared" si="6"/>
        <v>1</v>
      </c>
      <c r="X41" s="4">
        <f t="shared" si="7"/>
        <v>0</v>
      </c>
      <c r="Y41" s="4">
        <f t="shared" si="8"/>
        <v>0</v>
      </c>
      <c r="Z41" s="4">
        <f t="shared" si="9"/>
        <v>0</v>
      </c>
      <c r="AA41" s="4">
        <f t="shared" si="10"/>
        <v>0</v>
      </c>
      <c r="AB41" s="4">
        <f t="shared" si="11"/>
        <v>0</v>
      </c>
      <c r="AC41" s="4"/>
      <c r="AD41" s="4" t="b">
        <f t="shared" si="12"/>
        <v>0</v>
      </c>
      <c r="AE41" s="4" t="b">
        <f t="shared" si="13"/>
        <v>0</v>
      </c>
      <c r="AF41" s="4" t="b">
        <f t="shared" si="14"/>
        <v>0</v>
      </c>
      <c r="AG41" t="b">
        <f t="shared" si="15"/>
        <v>0</v>
      </c>
      <c r="AH41" t="b">
        <f t="shared" si="16"/>
        <v>0</v>
      </c>
      <c r="AI41">
        <f t="shared" si="17"/>
        <v>1</v>
      </c>
      <c r="AJ41" t="b">
        <f t="shared" si="18"/>
        <v>0</v>
      </c>
      <c r="AK41" t="b">
        <f t="shared" si="19"/>
        <v>0</v>
      </c>
      <c r="AL41" t="b">
        <f t="shared" si="20"/>
        <v>0</v>
      </c>
      <c r="AM41" t="b">
        <f t="shared" si="21"/>
        <v>0</v>
      </c>
      <c r="AN41" t="b">
        <f t="shared" si="22"/>
        <v>0</v>
      </c>
      <c r="AO41" t="b">
        <f t="shared" si="23"/>
        <v>0</v>
      </c>
      <c r="AP41" t="b">
        <f t="shared" si="24"/>
        <v>0</v>
      </c>
      <c r="AQ41" t="b">
        <f t="shared" si="25"/>
        <v>0</v>
      </c>
      <c r="AR41" t="b">
        <f t="shared" si="26"/>
        <v>0</v>
      </c>
      <c r="AS41" t="b">
        <f t="shared" si="27"/>
        <v>0</v>
      </c>
      <c r="AT41" t="b">
        <f t="shared" si="28"/>
        <v>0</v>
      </c>
      <c r="AU41" t="b">
        <f t="shared" si="29"/>
        <v>0</v>
      </c>
      <c r="AV41" t="b">
        <f t="shared" si="30"/>
        <v>0</v>
      </c>
      <c r="AW41" t="b">
        <f t="shared" si="31"/>
        <v>0</v>
      </c>
      <c r="AX41" t="b">
        <f t="shared" si="110"/>
        <v>0</v>
      </c>
      <c r="AY41" t="b">
        <f t="shared" si="111"/>
        <v>0</v>
      </c>
      <c r="AZ41" t="b">
        <f t="shared" si="112"/>
        <v>0</v>
      </c>
      <c r="BA41" t="b">
        <f t="shared" si="113"/>
        <v>0</v>
      </c>
      <c r="BB41" t="b">
        <f t="shared" si="114"/>
        <v>0</v>
      </c>
      <c r="BC41" t="b">
        <f t="shared" si="115"/>
        <v>0</v>
      </c>
      <c r="BD41" t="b">
        <f t="shared" si="116"/>
        <v>0</v>
      </c>
      <c r="BE41" t="b">
        <f t="shared" si="117"/>
        <v>0</v>
      </c>
      <c r="BF41" t="b">
        <f t="shared" si="118"/>
        <v>0</v>
      </c>
      <c r="BG41" t="b">
        <f t="shared" si="119"/>
        <v>0</v>
      </c>
      <c r="BH41" t="b">
        <f t="shared" si="120"/>
        <v>0</v>
      </c>
      <c r="BI41">
        <f t="shared" si="121"/>
        <v>1</v>
      </c>
      <c r="BJ41" t="b">
        <f t="shared" si="122"/>
        <v>0</v>
      </c>
      <c r="BK41" t="b">
        <f t="shared" si="123"/>
        <v>0</v>
      </c>
      <c r="BL41" t="b">
        <f t="shared" si="124"/>
        <v>0</v>
      </c>
      <c r="BM41" t="b">
        <f t="shared" si="32"/>
        <v>0</v>
      </c>
      <c r="BN41" t="b">
        <f t="shared" si="33"/>
        <v>0</v>
      </c>
      <c r="BO41" t="b">
        <f t="shared" si="34"/>
        <v>0</v>
      </c>
      <c r="BP41" t="b">
        <f t="shared" si="35"/>
        <v>0</v>
      </c>
      <c r="BQ41" t="b">
        <f t="shared" si="36"/>
        <v>0</v>
      </c>
      <c r="BR41">
        <f t="shared" si="37"/>
        <v>1</v>
      </c>
      <c r="BS41" t="b">
        <f t="shared" si="38"/>
        <v>0</v>
      </c>
      <c r="BT41" t="b">
        <f t="shared" si="39"/>
        <v>0</v>
      </c>
      <c r="BU41" t="b">
        <f t="shared" si="40"/>
        <v>0</v>
      </c>
      <c r="BV41" t="b">
        <f t="shared" si="41"/>
        <v>0</v>
      </c>
      <c r="BW41" t="b">
        <f t="shared" si="42"/>
        <v>0</v>
      </c>
      <c r="BX41" t="b">
        <f t="shared" si="43"/>
        <v>0</v>
      </c>
      <c r="BY41" t="b">
        <f t="shared" si="44"/>
        <v>0</v>
      </c>
      <c r="BZ41" t="b">
        <f t="shared" si="45"/>
        <v>0</v>
      </c>
      <c r="CA41" t="b">
        <f t="shared" si="46"/>
        <v>0</v>
      </c>
      <c r="CB41" t="b">
        <f t="shared" si="47"/>
        <v>0</v>
      </c>
      <c r="CC41" t="b">
        <f t="shared" si="48"/>
        <v>0</v>
      </c>
      <c r="CD41" t="b">
        <f t="shared" si="49"/>
        <v>0</v>
      </c>
      <c r="CE41">
        <f t="shared" si="50"/>
        <v>1</v>
      </c>
      <c r="CF41" t="b">
        <f t="shared" si="51"/>
        <v>0</v>
      </c>
      <c r="CG41" t="b">
        <f t="shared" si="52"/>
        <v>0</v>
      </c>
      <c r="CH41" t="b">
        <f t="shared" si="53"/>
        <v>0</v>
      </c>
      <c r="CI41" t="b">
        <f t="shared" si="54"/>
        <v>0</v>
      </c>
      <c r="CJ41" t="b">
        <f t="shared" si="55"/>
        <v>0</v>
      </c>
      <c r="CK41">
        <f t="shared" si="56"/>
        <v>1</v>
      </c>
      <c r="CL41" t="b">
        <f t="shared" si="57"/>
        <v>0</v>
      </c>
      <c r="CM41">
        <f t="shared" si="58"/>
        <v>1</v>
      </c>
      <c r="CN41" t="b">
        <f t="shared" si="59"/>
        <v>0</v>
      </c>
      <c r="CO41" t="b">
        <f t="shared" si="60"/>
        <v>0</v>
      </c>
      <c r="CP41" t="b">
        <f t="shared" si="61"/>
        <v>0</v>
      </c>
      <c r="CQ41" t="b">
        <f t="shared" si="62"/>
        <v>0</v>
      </c>
      <c r="CR41" t="b">
        <f t="shared" si="63"/>
        <v>0</v>
      </c>
      <c r="CS41" t="b">
        <f t="shared" si="64"/>
        <v>0</v>
      </c>
      <c r="CT41" t="b">
        <f t="shared" si="65"/>
        <v>0</v>
      </c>
      <c r="CU41" t="b">
        <f t="shared" si="66"/>
        <v>0</v>
      </c>
      <c r="CV41">
        <f t="shared" si="67"/>
        <v>1</v>
      </c>
      <c r="CW41" t="b">
        <f t="shared" si="68"/>
        <v>0</v>
      </c>
      <c r="CX41" t="b">
        <f t="shared" si="69"/>
        <v>0</v>
      </c>
      <c r="CY41" t="b">
        <f t="shared" si="70"/>
        <v>0</v>
      </c>
      <c r="CZ41" t="b">
        <f t="shared" si="71"/>
        <v>0</v>
      </c>
      <c r="DA41" t="b">
        <f t="shared" si="72"/>
        <v>0</v>
      </c>
      <c r="DB41">
        <f t="shared" si="73"/>
        <v>1</v>
      </c>
      <c r="DC41" t="b">
        <f t="shared" si="74"/>
        <v>0</v>
      </c>
      <c r="DD41" t="b">
        <f t="shared" si="75"/>
        <v>0</v>
      </c>
      <c r="DE41" t="b">
        <f t="shared" si="76"/>
        <v>0</v>
      </c>
      <c r="DF41" t="b">
        <f t="shared" si="77"/>
        <v>0</v>
      </c>
      <c r="DG41">
        <f t="shared" si="78"/>
        <v>1</v>
      </c>
      <c r="DH41" t="b">
        <f t="shared" si="79"/>
        <v>0</v>
      </c>
      <c r="DI41" t="b">
        <f t="shared" si="80"/>
        <v>0</v>
      </c>
      <c r="DJ41" t="b">
        <f t="shared" si="81"/>
        <v>0</v>
      </c>
      <c r="DK41" t="b">
        <f t="shared" si="82"/>
        <v>0</v>
      </c>
      <c r="DL41" t="b">
        <f t="shared" si="83"/>
        <v>0</v>
      </c>
      <c r="DM41" t="b">
        <f t="shared" si="84"/>
        <v>0</v>
      </c>
      <c r="DN41" t="b">
        <f t="shared" si="85"/>
        <v>0</v>
      </c>
      <c r="DO41" t="b">
        <f t="shared" si="86"/>
        <v>0</v>
      </c>
      <c r="DP41" t="b">
        <f t="shared" si="87"/>
        <v>0</v>
      </c>
      <c r="DQ41" t="b">
        <f t="shared" si="88"/>
        <v>0</v>
      </c>
      <c r="DR41" t="b">
        <f t="shared" si="89"/>
        <v>0</v>
      </c>
      <c r="DS41" t="b">
        <f t="shared" si="90"/>
        <v>0</v>
      </c>
      <c r="DT41" t="b">
        <f t="shared" si="91"/>
        <v>0</v>
      </c>
      <c r="DU41" t="b">
        <f t="shared" si="92"/>
        <v>0</v>
      </c>
      <c r="DV41" t="b">
        <f t="shared" si="93"/>
        <v>0</v>
      </c>
      <c r="DW41" t="b">
        <f t="shared" si="94"/>
        <v>0</v>
      </c>
      <c r="DX41" t="b">
        <f t="shared" si="95"/>
        <v>0</v>
      </c>
      <c r="DY41">
        <f t="shared" si="96"/>
        <v>1</v>
      </c>
      <c r="DZ41" t="b">
        <f t="shared" si="97"/>
        <v>0</v>
      </c>
      <c r="EA41" t="b">
        <f t="shared" si="98"/>
        <v>0</v>
      </c>
      <c r="EB41" t="b">
        <f t="shared" si="99"/>
        <v>0</v>
      </c>
      <c r="EC41" t="b">
        <f t="shared" si="100"/>
        <v>0</v>
      </c>
      <c r="ED41" t="b">
        <f t="shared" si="101"/>
        <v>0</v>
      </c>
      <c r="EE41" t="b">
        <f t="shared" si="102"/>
        <v>0</v>
      </c>
      <c r="EF41" t="b">
        <f t="shared" si="103"/>
        <v>0</v>
      </c>
      <c r="EG41" t="b">
        <f t="shared" si="104"/>
        <v>0</v>
      </c>
      <c r="EH41" t="b">
        <f t="shared" si="105"/>
        <v>0</v>
      </c>
      <c r="EI41" t="b">
        <f t="shared" si="106"/>
        <v>0</v>
      </c>
      <c r="EJ41" t="b">
        <f t="shared" si="107"/>
        <v>0</v>
      </c>
      <c r="EK41" t="b">
        <f t="shared" si="108"/>
        <v>0</v>
      </c>
    </row>
    <row r="42" spans="1:141">
      <c r="A42" t="s">
        <v>334</v>
      </c>
      <c r="B42" t="s">
        <v>334</v>
      </c>
      <c r="C42" t="s">
        <v>335</v>
      </c>
      <c r="D42" s="1">
        <v>44004</v>
      </c>
      <c r="E42" s="2">
        <v>44042.291909722226</v>
      </c>
      <c r="F42" s="2">
        <v>44042.291909722226</v>
      </c>
      <c r="G42">
        <v>5888405</v>
      </c>
      <c r="H42" t="s">
        <v>336</v>
      </c>
      <c r="I42" s="10" t="s">
        <v>337</v>
      </c>
      <c r="J42" t="s">
        <v>338</v>
      </c>
      <c r="K42" s="8" t="b">
        <v>1</v>
      </c>
      <c r="L42" s="10" t="b">
        <v>0</v>
      </c>
      <c r="M42" s="12" t="b">
        <v>0</v>
      </c>
      <c r="N42" t="b">
        <v>0</v>
      </c>
      <c r="O42" t="b">
        <v>0</v>
      </c>
      <c r="P42" t="b">
        <v>0</v>
      </c>
      <c r="Q42">
        <f t="shared" si="1"/>
        <v>2</v>
      </c>
      <c r="R42">
        <f t="shared" si="2"/>
        <v>6</v>
      </c>
      <c r="S42" t="e">
        <f t="shared" ca="1" si="109"/>
        <v>#NAME?</v>
      </c>
      <c r="T42" t="e">
        <f t="shared" ca="1" si="3"/>
        <v>#NAME?</v>
      </c>
      <c r="U42" s="4">
        <f t="shared" si="4"/>
        <v>38.291909722225682</v>
      </c>
      <c r="V42" s="4">
        <f t="shared" si="5"/>
        <v>1.2763969907408561</v>
      </c>
      <c r="W42" s="4">
        <f t="shared" si="6"/>
        <v>1</v>
      </c>
      <c r="X42" s="4">
        <f t="shared" si="7"/>
        <v>0</v>
      </c>
      <c r="Y42" s="4">
        <f t="shared" si="8"/>
        <v>0</v>
      </c>
      <c r="Z42" s="4">
        <f t="shared" si="9"/>
        <v>0</v>
      </c>
      <c r="AA42" s="4">
        <f t="shared" si="10"/>
        <v>0</v>
      </c>
      <c r="AB42" s="4">
        <f t="shared" si="11"/>
        <v>0</v>
      </c>
      <c r="AC42" s="4"/>
      <c r="AD42" s="4" t="b">
        <f t="shared" si="12"/>
        <v>0</v>
      </c>
      <c r="AE42" s="4" t="b">
        <f t="shared" si="13"/>
        <v>0</v>
      </c>
      <c r="AF42" s="4" t="b">
        <f t="shared" si="14"/>
        <v>0</v>
      </c>
      <c r="AG42" t="b">
        <f t="shared" si="15"/>
        <v>0</v>
      </c>
      <c r="AH42" t="b">
        <f t="shared" si="16"/>
        <v>0</v>
      </c>
      <c r="AI42" t="b">
        <f t="shared" si="17"/>
        <v>0</v>
      </c>
      <c r="AJ42" t="b">
        <f t="shared" si="18"/>
        <v>0</v>
      </c>
      <c r="AK42" t="b">
        <f t="shared" si="19"/>
        <v>0</v>
      </c>
      <c r="AL42" t="b">
        <f t="shared" si="20"/>
        <v>0</v>
      </c>
      <c r="AM42" t="b">
        <f t="shared" si="21"/>
        <v>0</v>
      </c>
      <c r="AN42" t="b">
        <f t="shared" si="22"/>
        <v>0</v>
      </c>
      <c r="AO42" t="b">
        <f t="shared" si="23"/>
        <v>0</v>
      </c>
      <c r="AP42" t="b">
        <f t="shared" si="24"/>
        <v>0</v>
      </c>
      <c r="AQ42" t="b">
        <f t="shared" si="25"/>
        <v>0</v>
      </c>
      <c r="AR42" t="b">
        <f t="shared" si="26"/>
        <v>0</v>
      </c>
      <c r="AS42" t="b">
        <f t="shared" si="27"/>
        <v>0</v>
      </c>
      <c r="AT42" t="b">
        <f t="shared" si="28"/>
        <v>0</v>
      </c>
      <c r="AU42" t="b">
        <f t="shared" si="29"/>
        <v>0</v>
      </c>
      <c r="AV42" t="b">
        <f t="shared" si="30"/>
        <v>0</v>
      </c>
      <c r="AW42" t="b">
        <f t="shared" si="31"/>
        <v>0</v>
      </c>
      <c r="AX42" t="b">
        <f t="shared" si="110"/>
        <v>0</v>
      </c>
      <c r="AY42" t="b">
        <f t="shared" si="111"/>
        <v>0</v>
      </c>
      <c r="AZ42" t="b">
        <f t="shared" si="112"/>
        <v>0</v>
      </c>
      <c r="BA42" t="b">
        <f t="shared" si="113"/>
        <v>0</v>
      </c>
      <c r="BB42" t="b">
        <f t="shared" si="114"/>
        <v>0</v>
      </c>
      <c r="BC42" t="b">
        <f t="shared" si="115"/>
        <v>0</v>
      </c>
      <c r="BD42" t="b">
        <f t="shared" si="116"/>
        <v>0</v>
      </c>
      <c r="BE42" t="b">
        <f t="shared" si="117"/>
        <v>0</v>
      </c>
      <c r="BF42" t="b">
        <f t="shared" si="118"/>
        <v>0</v>
      </c>
      <c r="BG42" t="b">
        <f t="shared" si="119"/>
        <v>0</v>
      </c>
      <c r="BH42" t="b">
        <f t="shared" si="120"/>
        <v>0</v>
      </c>
      <c r="BI42">
        <f t="shared" si="121"/>
        <v>1</v>
      </c>
      <c r="BJ42">
        <f t="shared" si="122"/>
        <v>1</v>
      </c>
      <c r="BK42" t="b">
        <f t="shared" si="123"/>
        <v>0</v>
      </c>
      <c r="BL42" t="b">
        <f t="shared" si="124"/>
        <v>0</v>
      </c>
      <c r="BM42" t="b">
        <f t="shared" si="32"/>
        <v>0</v>
      </c>
      <c r="BN42" t="b">
        <f t="shared" si="33"/>
        <v>0</v>
      </c>
      <c r="BO42" t="b">
        <f t="shared" si="34"/>
        <v>0</v>
      </c>
      <c r="BP42" t="b">
        <f t="shared" si="35"/>
        <v>0</v>
      </c>
      <c r="BQ42" t="b">
        <f t="shared" si="36"/>
        <v>0</v>
      </c>
      <c r="BR42" t="b">
        <f t="shared" si="37"/>
        <v>0</v>
      </c>
      <c r="BS42" t="b">
        <f t="shared" si="38"/>
        <v>0</v>
      </c>
      <c r="BT42" t="b">
        <f t="shared" si="39"/>
        <v>0</v>
      </c>
      <c r="BU42" t="b">
        <f t="shared" si="40"/>
        <v>0</v>
      </c>
      <c r="BV42" t="b">
        <f t="shared" si="41"/>
        <v>0</v>
      </c>
      <c r="BW42" t="b">
        <f t="shared" si="42"/>
        <v>0</v>
      </c>
      <c r="BX42" t="b">
        <f t="shared" si="43"/>
        <v>0</v>
      </c>
      <c r="BY42" t="b">
        <f t="shared" si="44"/>
        <v>0</v>
      </c>
      <c r="BZ42" t="b">
        <f t="shared" si="45"/>
        <v>0</v>
      </c>
      <c r="CA42" t="b">
        <f t="shared" si="46"/>
        <v>0</v>
      </c>
      <c r="CB42" t="b">
        <f t="shared" si="47"/>
        <v>0</v>
      </c>
      <c r="CC42" t="b">
        <f t="shared" si="48"/>
        <v>0</v>
      </c>
      <c r="CD42" t="b">
        <f t="shared" si="49"/>
        <v>0</v>
      </c>
      <c r="CE42">
        <f t="shared" si="50"/>
        <v>1</v>
      </c>
      <c r="CF42" t="b">
        <f t="shared" si="51"/>
        <v>0</v>
      </c>
      <c r="CG42" t="b">
        <f t="shared" si="52"/>
        <v>0</v>
      </c>
      <c r="CH42" t="b">
        <f t="shared" si="53"/>
        <v>0</v>
      </c>
      <c r="CI42" t="b">
        <f t="shared" si="54"/>
        <v>0</v>
      </c>
      <c r="CJ42" t="b">
        <f t="shared" si="55"/>
        <v>0</v>
      </c>
      <c r="CK42" t="b">
        <f t="shared" si="56"/>
        <v>0</v>
      </c>
      <c r="CL42" t="b">
        <f t="shared" si="57"/>
        <v>0</v>
      </c>
      <c r="CM42">
        <f t="shared" si="58"/>
        <v>1</v>
      </c>
      <c r="CN42" t="b">
        <f t="shared" si="59"/>
        <v>0</v>
      </c>
      <c r="CO42" t="b">
        <f t="shared" si="60"/>
        <v>0</v>
      </c>
      <c r="CP42" t="b">
        <f t="shared" si="61"/>
        <v>0</v>
      </c>
      <c r="CQ42" t="b">
        <f t="shared" si="62"/>
        <v>0</v>
      </c>
      <c r="CR42" t="b">
        <f t="shared" si="63"/>
        <v>0</v>
      </c>
      <c r="CS42" t="b">
        <f t="shared" si="64"/>
        <v>0</v>
      </c>
      <c r="CT42" t="b">
        <f t="shared" si="65"/>
        <v>0</v>
      </c>
      <c r="CU42" t="b">
        <f t="shared" si="66"/>
        <v>0</v>
      </c>
      <c r="CV42">
        <f t="shared" si="67"/>
        <v>1</v>
      </c>
      <c r="CW42" t="b">
        <f t="shared" si="68"/>
        <v>0</v>
      </c>
      <c r="CX42" t="b">
        <f t="shared" si="69"/>
        <v>0</v>
      </c>
      <c r="CY42" t="b">
        <f t="shared" si="70"/>
        <v>0</v>
      </c>
      <c r="CZ42" t="b">
        <f t="shared" si="71"/>
        <v>0</v>
      </c>
      <c r="DA42">
        <f t="shared" si="72"/>
        <v>1</v>
      </c>
      <c r="DB42" t="b">
        <f t="shared" si="73"/>
        <v>0</v>
      </c>
      <c r="DC42" t="b">
        <f t="shared" si="74"/>
        <v>0</v>
      </c>
      <c r="DD42" t="b">
        <f t="shared" si="75"/>
        <v>0</v>
      </c>
      <c r="DE42" t="b">
        <f t="shared" si="76"/>
        <v>0</v>
      </c>
      <c r="DF42" t="b">
        <f t="shared" si="77"/>
        <v>0</v>
      </c>
      <c r="DG42" t="b">
        <f t="shared" si="78"/>
        <v>0</v>
      </c>
      <c r="DH42" t="b">
        <f t="shared" si="79"/>
        <v>0</v>
      </c>
      <c r="DI42" t="b">
        <f t="shared" si="80"/>
        <v>0</v>
      </c>
      <c r="DJ42" t="b">
        <f t="shared" si="81"/>
        <v>0</v>
      </c>
      <c r="DK42" t="b">
        <f t="shared" si="82"/>
        <v>0</v>
      </c>
      <c r="DL42" t="b">
        <f t="shared" si="83"/>
        <v>0</v>
      </c>
      <c r="DM42" t="b">
        <f t="shared" si="84"/>
        <v>0</v>
      </c>
      <c r="DN42" t="b">
        <f t="shared" si="85"/>
        <v>0</v>
      </c>
      <c r="DO42" t="b">
        <f t="shared" si="86"/>
        <v>0</v>
      </c>
      <c r="DP42" t="b">
        <f t="shared" si="87"/>
        <v>0</v>
      </c>
      <c r="DQ42" t="b">
        <f t="shared" si="88"/>
        <v>0</v>
      </c>
      <c r="DR42" t="b">
        <f t="shared" si="89"/>
        <v>0</v>
      </c>
      <c r="DS42" t="b">
        <f t="shared" si="90"/>
        <v>0</v>
      </c>
      <c r="DT42" t="b">
        <f t="shared" si="91"/>
        <v>0</v>
      </c>
      <c r="DU42" t="b">
        <f t="shared" si="92"/>
        <v>0</v>
      </c>
      <c r="DV42" t="b">
        <f t="shared" si="93"/>
        <v>0</v>
      </c>
      <c r="DW42" t="b">
        <f t="shared" si="94"/>
        <v>0</v>
      </c>
      <c r="DX42" t="b">
        <f t="shared" si="95"/>
        <v>0</v>
      </c>
      <c r="DY42" t="b">
        <f t="shared" si="96"/>
        <v>0</v>
      </c>
      <c r="DZ42" t="b">
        <f t="shared" si="97"/>
        <v>0</v>
      </c>
      <c r="EA42" t="b">
        <f t="shared" si="98"/>
        <v>0</v>
      </c>
      <c r="EB42" t="b">
        <f t="shared" si="99"/>
        <v>0</v>
      </c>
      <c r="EC42" t="b">
        <f t="shared" si="100"/>
        <v>0</v>
      </c>
      <c r="ED42" t="b">
        <f t="shared" si="101"/>
        <v>0</v>
      </c>
      <c r="EE42" t="b">
        <f t="shared" si="102"/>
        <v>0</v>
      </c>
      <c r="EF42" t="b">
        <f t="shared" si="103"/>
        <v>0</v>
      </c>
      <c r="EG42" t="b">
        <f t="shared" si="104"/>
        <v>0</v>
      </c>
      <c r="EH42" t="b">
        <f t="shared" si="105"/>
        <v>0</v>
      </c>
      <c r="EI42" t="b">
        <f t="shared" si="106"/>
        <v>0</v>
      </c>
      <c r="EJ42" t="b">
        <f t="shared" si="107"/>
        <v>0</v>
      </c>
      <c r="EK42" t="b">
        <f t="shared" si="108"/>
        <v>0</v>
      </c>
    </row>
    <row r="43" spans="1:141">
      <c r="A43" t="s">
        <v>339</v>
      </c>
      <c r="B43" t="s">
        <v>339</v>
      </c>
      <c r="C43" t="s">
        <v>340</v>
      </c>
      <c r="D43" s="1">
        <v>43934</v>
      </c>
      <c r="E43" s="2">
        <v>43940.130347222221</v>
      </c>
      <c r="F43" s="2">
        <v>43940.130347222221</v>
      </c>
      <c r="G43">
        <v>20012235</v>
      </c>
      <c r="H43" t="s">
        <v>341</v>
      </c>
      <c r="I43" s="10" t="s">
        <v>342</v>
      </c>
      <c r="J43" t="s">
        <v>343</v>
      </c>
      <c r="K43" s="8" t="b">
        <v>1</v>
      </c>
      <c r="L43" s="10" t="b">
        <v>0</v>
      </c>
      <c r="M43" s="12" t="b">
        <v>0</v>
      </c>
      <c r="N43" t="b">
        <v>0</v>
      </c>
      <c r="O43" t="b">
        <v>0</v>
      </c>
      <c r="P43" t="b">
        <v>0</v>
      </c>
      <c r="Q43">
        <f t="shared" si="1"/>
        <v>2</v>
      </c>
      <c r="R43">
        <f t="shared" si="2"/>
        <v>4</v>
      </c>
      <c r="S43" t="e">
        <f t="shared" ca="1" si="109"/>
        <v>#NAME?</v>
      </c>
      <c r="T43" t="e">
        <f t="shared" ca="1" si="3"/>
        <v>#NAME?</v>
      </c>
      <c r="U43" s="4">
        <f t="shared" si="4"/>
        <v>6.1303472222207347</v>
      </c>
      <c r="V43" s="4">
        <f t="shared" si="5"/>
        <v>0.20434490740735783</v>
      </c>
      <c r="W43" s="4">
        <f t="shared" si="6"/>
        <v>1</v>
      </c>
      <c r="X43" s="4">
        <f t="shared" si="7"/>
        <v>0</v>
      </c>
      <c r="Y43" s="4">
        <f t="shared" si="8"/>
        <v>0</v>
      </c>
      <c r="Z43" s="4">
        <f t="shared" si="9"/>
        <v>0</v>
      </c>
      <c r="AA43" s="4">
        <f t="shared" si="10"/>
        <v>0</v>
      </c>
      <c r="AB43" s="4">
        <f t="shared" si="11"/>
        <v>0</v>
      </c>
      <c r="AC43" s="4"/>
      <c r="AD43" s="4" t="b">
        <f t="shared" si="12"/>
        <v>0</v>
      </c>
      <c r="AE43" s="4" t="b">
        <f t="shared" si="13"/>
        <v>0</v>
      </c>
      <c r="AF43" s="4" t="b">
        <f t="shared" si="14"/>
        <v>0</v>
      </c>
      <c r="AG43" t="b">
        <f t="shared" si="15"/>
        <v>0</v>
      </c>
      <c r="AH43" t="b">
        <f t="shared" si="16"/>
        <v>0</v>
      </c>
      <c r="AI43" t="b">
        <f t="shared" si="17"/>
        <v>0</v>
      </c>
      <c r="AJ43" t="b">
        <f t="shared" si="18"/>
        <v>0</v>
      </c>
      <c r="AK43" t="b">
        <f t="shared" si="19"/>
        <v>0</v>
      </c>
      <c r="AL43" t="b">
        <f t="shared" si="20"/>
        <v>0</v>
      </c>
      <c r="AM43" t="b">
        <f t="shared" si="21"/>
        <v>0</v>
      </c>
      <c r="AN43" t="b">
        <f t="shared" si="22"/>
        <v>0</v>
      </c>
      <c r="AO43" t="b">
        <f t="shared" si="23"/>
        <v>0</v>
      </c>
      <c r="AP43" t="b">
        <f t="shared" si="24"/>
        <v>0</v>
      </c>
      <c r="AQ43" t="b">
        <f t="shared" si="25"/>
        <v>0</v>
      </c>
      <c r="AR43" t="b">
        <f t="shared" si="26"/>
        <v>0</v>
      </c>
      <c r="AS43" t="b">
        <f t="shared" si="27"/>
        <v>0</v>
      </c>
      <c r="AT43" t="b">
        <f t="shared" si="28"/>
        <v>0</v>
      </c>
      <c r="AU43" t="b">
        <f t="shared" si="29"/>
        <v>0</v>
      </c>
      <c r="AV43" t="b">
        <f t="shared" si="30"/>
        <v>0</v>
      </c>
      <c r="AW43" t="b">
        <f t="shared" si="31"/>
        <v>0</v>
      </c>
      <c r="AX43" t="b">
        <f t="shared" si="110"/>
        <v>0</v>
      </c>
      <c r="AY43" t="b">
        <f t="shared" si="111"/>
        <v>0</v>
      </c>
      <c r="AZ43" t="b">
        <f t="shared" si="112"/>
        <v>0</v>
      </c>
      <c r="BA43" t="b">
        <f t="shared" si="113"/>
        <v>0</v>
      </c>
      <c r="BB43" t="b">
        <f t="shared" si="114"/>
        <v>0</v>
      </c>
      <c r="BC43" t="b">
        <f t="shared" si="115"/>
        <v>0</v>
      </c>
      <c r="BD43" t="b">
        <f t="shared" si="116"/>
        <v>0</v>
      </c>
      <c r="BE43" t="b">
        <f t="shared" si="117"/>
        <v>0</v>
      </c>
      <c r="BF43" t="b">
        <f t="shared" si="118"/>
        <v>0</v>
      </c>
      <c r="BG43" t="b">
        <f t="shared" si="119"/>
        <v>0</v>
      </c>
      <c r="BH43" t="b">
        <f t="shared" si="120"/>
        <v>0</v>
      </c>
      <c r="BI43">
        <f t="shared" si="121"/>
        <v>1</v>
      </c>
      <c r="BJ43" t="b">
        <f t="shared" si="122"/>
        <v>0</v>
      </c>
      <c r="BK43" t="b">
        <f t="shared" si="123"/>
        <v>0</v>
      </c>
      <c r="BL43" t="b">
        <f t="shared" si="124"/>
        <v>0</v>
      </c>
      <c r="BM43" t="b">
        <f t="shared" si="32"/>
        <v>0</v>
      </c>
      <c r="BN43" t="b">
        <f t="shared" si="33"/>
        <v>0</v>
      </c>
      <c r="BO43" t="b">
        <f t="shared" si="34"/>
        <v>0</v>
      </c>
      <c r="BP43" t="b">
        <f t="shared" si="35"/>
        <v>0</v>
      </c>
      <c r="BQ43" t="b">
        <f t="shared" si="36"/>
        <v>0</v>
      </c>
      <c r="BR43" t="b">
        <f t="shared" si="37"/>
        <v>0</v>
      </c>
      <c r="BS43" t="b">
        <f t="shared" si="38"/>
        <v>0</v>
      </c>
      <c r="BT43" t="b">
        <f t="shared" si="39"/>
        <v>0</v>
      </c>
      <c r="BU43" t="b">
        <f t="shared" si="40"/>
        <v>0</v>
      </c>
      <c r="BV43" t="b">
        <f t="shared" si="41"/>
        <v>0</v>
      </c>
      <c r="BW43" t="b">
        <f t="shared" si="42"/>
        <v>0</v>
      </c>
      <c r="BX43" t="b">
        <f t="shared" si="43"/>
        <v>0</v>
      </c>
      <c r="BY43" t="b">
        <f t="shared" si="44"/>
        <v>0</v>
      </c>
      <c r="BZ43" t="b">
        <f t="shared" si="45"/>
        <v>0</v>
      </c>
      <c r="CA43" t="b">
        <f t="shared" si="46"/>
        <v>0</v>
      </c>
      <c r="CB43" t="b">
        <f t="shared" si="47"/>
        <v>0</v>
      </c>
      <c r="CC43" t="b">
        <f t="shared" si="48"/>
        <v>0</v>
      </c>
      <c r="CD43" t="b">
        <f t="shared" si="49"/>
        <v>0</v>
      </c>
      <c r="CE43">
        <f t="shared" si="50"/>
        <v>1</v>
      </c>
      <c r="CF43" t="b">
        <f t="shared" si="51"/>
        <v>0</v>
      </c>
      <c r="CG43" t="b">
        <f t="shared" si="52"/>
        <v>0</v>
      </c>
      <c r="CH43" t="b">
        <f t="shared" si="53"/>
        <v>0</v>
      </c>
      <c r="CI43" t="b">
        <f t="shared" si="54"/>
        <v>0</v>
      </c>
      <c r="CJ43" t="b">
        <f t="shared" si="55"/>
        <v>0</v>
      </c>
      <c r="CK43" t="b">
        <f t="shared" si="56"/>
        <v>0</v>
      </c>
      <c r="CL43" t="b">
        <f t="shared" si="57"/>
        <v>0</v>
      </c>
      <c r="CM43">
        <f t="shared" si="58"/>
        <v>1</v>
      </c>
      <c r="CN43" t="b">
        <f t="shared" si="59"/>
        <v>0</v>
      </c>
      <c r="CO43" t="b">
        <f t="shared" si="60"/>
        <v>0</v>
      </c>
      <c r="CP43" t="b">
        <f t="shared" si="61"/>
        <v>0</v>
      </c>
      <c r="CQ43" t="b">
        <f t="shared" si="62"/>
        <v>0</v>
      </c>
      <c r="CR43" t="b">
        <f t="shared" si="63"/>
        <v>0</v>
      </c>
      <c r="CS43" t="b">
        <f t="shared" si="64"/>
        <v>0</v>
      </c>
      <c r="CT43" t="b">
        <f t="shared" si="65"/>
        <v>0</v>
      </c>
      <c r="CU43" t="b">
        <f t="shared" si="66"/>
        <v>0</v>
      </c>
      <c r="CV43">
        <f t="shared" si="67"/>
        <v>1</v>
      </c>
      <c r="CW43" t="b">
        <f t="shared" si="68"/>
        <v>0</v>
      </c>
      <c r="CX43" t="b">
        <f t="shared" si="69"/>
        <v>0</v>
      </c>
      <c r="CY43" t="b">
        <f t="shared" si="70"/>
        <v>0</v>
      </c>
      <c r="CZ43" t="b">
        <f t="shared" si="71"/>
        <v>0</v>
      </c>
      <c r="DA43" t="b">
        <f t="shared" si="72"/>
        <v>0</v>
      </c>
      <c r="DB43" t="b">
        <f t="shared" si="73"/>
        <v>0</v>
      </c>
      <c r="DC43" t="b">
        <f t="shared" si="74"/>
        <v>0</v>
      </c>
      <c r="DD43" t="b">
        <f t="shared" si="75"/>
        <v>0</v>
      </c>
      <c r="DE43" t="b">
        <f t="shared" si="76"/>
        <v>0</v>
      </c>
      <c r="DF43" t="b">
        <f t="shared" si="77"/>
        <v>0</v>
      </c>
      <c r="DG43" t="b">
        <f t="shared" si="78"/>
        <v>0</v>
      </c>
      <c r="DH43" t="b">
        <f t="shared" si="79"/>
        <v>0</v>
      </c>
      <c r="DI43" t="b">
        <f t="shared" si="80"/>
        <v>0</v>
      </c>
      <c r="DJ43" t="b">
        <f t="shared" si="81"/>
        <v>0</v>
      </c>
      <c r="DK43" t="b">
        <f t="shared" si="82"/>
        <v>0</v>
      </c>
      <c r="DL43" t="b">
        <f t="shared" si="83"/>
        <v>0</v>
      </c>
      <c r="DM43" t="b">
        <f t="shared" si="84"/>
        <v>0</v>
      </c>
      <c r="DN43" t="b">
        <f t="shared" si="85"/>
        <v>0</v>
      </c>
      <c r="DO43" t="b">
        <f t="shared" si="86"/>
        <v>0</v>
      </c>
      <c r="DP43" t="b">
        <f t="shared" si="87"/>
        <v>0</v>
      </c>
      <c r="DQ43" t="b">
        <f t="shared" si="88"/>
        <v>0</v>
      </c>
      <c r="DR43" t="b">
        <f t="shared" si="89"/>
        <v>0</v>
      </c>
      <c r="DS43" t="b">
        <f t="shared" si="90"/>
        <v>0</v>
      </c>
      <c r="DT43" t="b">
        <f t="shared" si="91"/>
        <v>0</v>
      </c>
      <c r="DU43" t="b">
        <f t="shared" si="92"/>
        <v>0</v>
      </c>
      <c r="DV43" t="b">
        <f t="shared" si="93"/>
        <v>0</v>
      </c>
      <c r="DW43" t="b">
        <f t="shared" si="94"/>
        <v>0</v>
      </c>
      <c r="DX43" t="b">
        <f t="shared" si="95"/>
        <v>0</v>
      </c>
      <c r="DY43" t="b">
        <f t="shared" si="96"/>
        <v>0</v>
      </c>
      <c r="DZ43" t="b">
        <f t="shared" si="97"/>
        <v>0</v>
      </c>
      <c r="EA43" t="b">
        <f t="shared" si="98"/>
        <v>0</v>
      </c>
      <c r="EB43" t="b">
        <f t="shared" si="99"/>
        <v>0</v>
      </c>
      <c r="EC43" t="b">
        <f t="shared" si="100"/>
        <v>0</v>
      </c>
      <c r="ED43" t="b">
        <f t="shared" si="101"/>
        <v>0</v>
      </c>
      <c r="EE43" t="b">
        <f t="shared" si="102"/>
        <v>0</v>
      </c>
      <c r="EF43" t="b">
        <f t="shared" si="103"/>
        <v>0</v>
      </c>
      <c r="EG43" t="b">
        <f t="shared" si="104"/>
        <v>0</v>
      </c>
      <c r="EH43" t="b">
        <f t="shared" si="105"/>
        <v>0</v>
      </c>
      <c r="EI43" t="b">
        <f t="shared" si="106"/>
        <v>0</v>
      </c>
      <c r="EJ43" t="b">
        <f t="shared" si="107"/>
        <v>0</v>
      </c>
      <c r="EK43" t="b">
        <f t="shared" si="108"/>
        <v>0</v>
      </c>
    </row>
    <row r="44" spans="1:141">
      <c r="A44" t="s">
        <v>344</v>
      </c>
      <c r="B44" t="s">
        <v>345</v>
      </c>
      <c r="C44" t="s">
        <v>346</v>
      </c>
      <c r="D44" s="1">
        <v>43466</v>
      </c>
      <c r="E44" s="2">
        <v>43666.252442129633</v>
      </c>
      <c r="F44" s="2">
        <v>44293.27002314815</v>
      </c>
      <c r="G44">
        <v>10604307</v>
      </c>
      <c r="H44" t="s">
        <v>347</v>
      </c>
      <c r="I44" s="10" t="s">
        <v>348</v>
      </c>
      <c r="J44" t="s">
        <v>349</v>
      </c>
      <c r="K44" s="8" t="b">
        <v>1</v>
      </c>
      <c r="L44" s="10" t="b">
        <v>0</v>
      </c>
      <c r="M44" s="12" t="b">
        <v>0</v>
      </c>
      <c r="N44" t="b">
        <v>0</v>
      </c>
      <c r="O44" t="b">
        <v>0</v>
      </c>
      <c r="P44" t="b">
        <v>0</v>
      </c>
      <c r="Q44">
        <f t="shared" si="1"/>
        <v>3</v>
      </c>
      <c r="R44">
        <f t="shared" si="2"/>
        <v>1</v>
      </c>
      <c r="S44" t="e">
        <f t="shared" ca="1" si="109"/>
        <v>#NAME?</v>
      </c>
      <c r="T44" t="e">
        <f t="shared" ca="1" si="3"/>
        <v>#NAME?</v>
      </c>
      <c r="U44" s="4">
        <f t="shared" si="4"/>
        <v>200.25244212963298</v>
      </c>
      <c r="V44" s="4">
        <f t="shared" si="5"/>
        <v>6.6750814043210998</v>
      </c>
      <c r="W44" s="4">
        <f t="shared" si="6"/>
        <v>1</v>
      </c>
      <c r="X44" s="4">
        <f t="shared" si="7"/>
        <v>0</v>
      </c>
      <c r="Y44" s="4">
        <f t="shared" si="8"/>
        <v>0</v>
      </c>
      <c r="Z44" s="4">
        <f t="shared" si="9"/>
        <v>0</v>
      </c>
      <c r="AA44" s="4">
        <f t="shared" si="10"/>
        <v>0</v>
      </c>
      <c r="AB44" s="4">
        <f t="shared" si="11"/>
        <v>0</v>
      </c>
      <c r="AC44" s="4"/>
      <c r="AD44" s="4" t="b">
        <f t="shared" si="12"/>
        <v>0</v>
      </c>
      <c r="AE44" s="4" t="b">
        <f t="shared" si="13"/>
        <v>0</v>
      </c>
      <c r="AF44" s="4" t="b">
        <f t="shared" si="14"/>
        <v>0</v>
      </c>
      <c r="AG44" t="b">
        <f t="shared" si="15"/>
        <v>0</v>
      </c>
      <c r="AH44" t="b">
        <f t="shared" si="16"/>
        <v>0</v>
      </c>
      <c r="AI44" t="b">
        <f t="shared" si="17"/>
        <v>0</v>
      </c>
      <c r="AJ44" t="b">
        <f t="shared" si="18"/>
        <v>0</v>
      </c>
      <c r="AK44" t="b">
        <f t="shared" si="19"/>
        <v>0</v>
      </c>
      <c r="AL44" t="b">
        <f t="shared" si="20"/>
        <v>0</v>
      </c>
      <c r="AM44" t="b">
        <f t="shared" si="21"/>
        <v>0</v>
      </c>
      <c r="AN44">
        <f t="shared" si="22"/>
        <v>1</v>
      </c>
      <c r="AO44" t="b">
        <f t="shared" si="23"/>
        <v>0</v>
      </c>
      <c r="AP44" t="b">
        <f t="shared" si="24"/>
        <v>0</v>
      </c>
      <c r="AQ44" t="b">
        <f t="shared" si="25"/>
        <v>0</v>
      </c>
      <c r="AR44" t="b">
        <f t="shared" si="26"/>
        <v>0</v>
      </c>
      <c r="AS44" t="b">
        <f t="shared" si="27"/>
        <v>0</v>
      </c>
      <c r="AT44" t="b">
        <f t="shared" si="28"/>
        <v>0</v>
      </c>
      <c r="AU44" t="b">
        <f t="shared" si="29"/>
        <v>0</v>
      </c>
      <c r="AV44" t="b">
        <f t="shared" si="30"/>
        <v>0</v>
      </c>
      <c r="AW44" t="b">
        <f t="shared" si="31"/>
        <v>0</v>
      </c>
      <c r="AX44" t="b">
        <f t="shared" si="110"/>
        <v>0</v>
      </c>
      <c r="AY44" t="b">
        <f t="shared" si="111"/>
        <v>0</v>
      </c>
      <c r="AZ44">
        <f t="shared" si="112"/>
        <v>1</v>
      </c>
      <c r="BA44" t="b">
        <f t="shared" si="113"/>
        <v>0</v>
      </c>
      <c r="BB44" t="b">
        <f t="shared" si="114"/>
        <v>0</v>
      </c>
      <c r="BC44" t="b">
        <f t="shared" si="115"/>
        <v>0</v>
      </c>
      <c r="BD44" t="b">
        <f t="shared" si="116"/>
        <v>0</v>
      </c>
      <c r="BE44" t="b">
        <f t="shared" si="117"/>
        <v>0</v>
      </c>
      <c r="BF44" t="b">
        <f t="shared" si="118"/>
        <v>0</v>
      </c>
      <c r="BG44" t="b">
        <f t="shared" si="119"/>
        <v>0</v>
      </c>
      <c r="BH44" t="b">
        <f t="shared" si="120"/>
        <v>0</v>
      </c>
      <c r="BI44">
        <f t="shared" si="121"/>
        <v>1</v>
      </c>
      <c r="BJ44" t="b">
        <f t="shared" si="122"/>
        <v>0</v>
      </c>
      <c r="BK44" t="b">
        <f t="shared" si="123"/>
        <v>0</v>
      </c>
      <c r="BL44" t="b">
        <f t="shared" si="124"/>
        <v>0</v>
      </c>
      <c r="BM44" t="b">
        <f t="shared" si="32"/>
        <v>0</v>
      </c>
      <c r="BN44" t="b">
        <f t="shared" si="33"/>
        <v>0</v>
      </c>
      <c r="BO44" t="b">
        <f t="shared" si="34"/>
        <v>0</v>
      </c>
      <c r="BP44" t="b">
        <f t="shared" si="35"/>
        <v>0</v>
      </c>
      <c r="BQ44" t="b">
        <f t="shared" si="36"/>
        <v>0</v>
      </c>
      <c r="BR44">
        <f t="shared" si="37"/>
        <v>1</v>
      </c>
      <c r="BS44">
        <f t="shared" si="38"/>
        <v>1</v>
      </c>
      <c r="BT44" t="b">
        <f t="shared" si="39"/>
        <v>0</v>
      </c>
      <c r="BU44" t="b">
        <f t="shared" si="40"/>
        <v>0</v>
      </c>
      <c r="BV44" t="b">
        <f t="shared" si="41"/>
        <v>0</v>
      </c>
      <c r="BW44" t="b">
        <f t="shared" si="42"/>
        <v>0</v>
      </c>
      <c r="BX44" t="b">
        <f t="shared" si="43"/>
        <v>0</v>
      </c>
      <c r="BY44" t="b">
        <f t="shared" si="44"/>
        <v>0</v>
      </c>
      <c r="BZ44" t="b">
        <f t="shared" si="45"/>
        <v>0</v>
      </c>
      <c r="CA44" t="b">
        <f t="shared" si="46"/>
        <v>0</v>
      </c>
      <c r="CB44" t="b">
        <f t="shared" si="47"/>
        <v>0</v>
      </c>
      <c r="CC44" t="b">
        <f t="shared" si="48"/>
        <v>0</v>
      </c>
      <c r="CD44" t="b">
        <f t="shared" si="49"/>
        <v>0</v>
      </c>
      <c r="CE44">
        <f t="shared" si="50"/>
        <v>1</v>
      </c>
      <c r="CF44" t="b">
        <f t="shared" si="51"/>
        <v>0</v>
      </c>
      <c r="CG44" t="b">
        <f t="shared" si="52"/>
        <v>0</v>
      </c>
      <c r="CH44" t="b">
        <f t="shared" si="53"/>
        <v>0</v>
      </c>
      <c r="CI44" t="b">
        <f t="shared" si="54"/>
        <v>0</v>
      </c>
      <c r="CJ44" t="b">
        <f t="shared" si="55"/>
        <v>0</v>
      </c>
      <c r="CK44" t="b">
        <f t="shared" si="56"/>
        <v>0</v>
      </c>
      <c r="CL44" t="b">
        <f t="shared" si="57"/>
        <v>0</v>
      </c>
      <c r="CM44" t="b">
        <f t="shared" si="58"/>
        <v>0</v>
      </c>
      <c r="CN44" t="b">
        <f t="shared" si="59"/>
        <v>0</v>
      </c>
      <c r="CO44" t="b">
        <f t="shared" si="60"/>
        <v>0</v>
      </c>
      <c r="CP44" t="b">
        <f t="shared" si="61"/>
        <v>0</v>
      </c>
      <c r="CQ44" t="b">
        <f t="shared" si="62"/>
        <v>0</v>
      </c>
      <c r="CR44" t="b">
        <f t="shared" si="63"/>
        <v>0</v>
      </c>
      <c r="CS44" t="b">
        <f t="shared" si="64"/>
        <v>0</v>
      </c>
      <c r="CT44" t="b">
        <f t="shared" si="65"/>
        <v>0</v>
      </c>
      <c r="CU44" t="b">
        <f t="shared" si="66"/>
        <v>0</v>
      </c>
      <c r="CV44">
        <f t="shared" si="67"/>
        <v>1</v>
      </c>
      <c r="CW44" t="b">
        <f t="shared" si="68"/>
        <v>0</v>
      </c>
      <c r="CX44" t="b">
        <f t="shared" si="69"/>
        <v>0</v>
      </c>
      <c r="CY44" t="b">
        <f t="shared" si="70"/>
        <v>0</v>
      </c>
      <c r="CZ44" t="b">
        <f t="shared" si="71"/>
        <v>0</v>
      </c>
      <c r="DA44" t="b">
        <f t="shared" si="72"/>
        <v>0</v>
      </c>
      <c r="DB44" t="b">
        <f t="shared" si="73"/>
        <v>0</v>
      </c>
      <c r="DC44" t="b">
        <f t="shared" si="74"/>
        <v>0</v>
      </c>
      <c r="DD44" t="b">
        <f t="shared" si="75"/>
        <v>0</v>
      </c>
      <c r="DE44" t="b">
        <f t="shared" si="76"/>
        <v>0</v>
      </c>
      <c r="DF44" t="b">
        <f t="shared" si="77"/>
        <v>0</v>
      </c>
      <c r="DG44" t="b">
        <f t="shared" si="78"/>
        <v>0</v>
      </c>
      <c r="DH44" t="b">
        <f t="shared" si="79"/>
        <v>0</v>
      </c>
      <c r="DI44" t="b">
        <f t="shared" si="80"/>
        <v>0</v>
      </c>
      <c r="DJ44" t="b">
        <f t="shared" si="81"/>
        <v>0</v>
      </c>
      <c r="DK44" t="b">
        <f t="shared" si="82"/>
        <v>0</v>
      </c>
      <c r="DL44" t="b">
        <f t="shared" si="83"/>
        <v>0</v>
      </c>
      <c r="DM44" t="b">
        <f t="shared" si="84"/>
        <v>0</v>
      </c>
      <c r="DN44" t="b">
        <f t="shared" si="85"/>
        <v>0</v>
      </c>
      <c r="DO44" t="b">
        <f t="shared" si="86"/>
        <v>0</v>
      </c>
      <c r="DP44" t="b">
        <f t="shared" si="87"/>
        <v>0</v>
      </c>
      <c r="DQ44" t="b">
        <f t="shared" si="88"/>
        <v>0</v>
      </c>
      <c r="DR44" t="b">
        <f t="shared" si="89"/>
        <v>0</v>
      </c>
      <c r="DS44" t="b">
        <f t="shared" si="90"/>
        <v>0</v>
      </c>
      <c r="DT44" t="b">
        <f t="shared" si="91"/>
        <v>0</v>
      </c>
      <c r="DU44" t="b">
        <f t="shared" si="92"/>
        <v>0</v>
      </c>
      <c r="DV44" t="b">
        <f t="shared" si="93"/>
        <v>0</v>
      </c>
      <c r="DW44" t="b">
        <f t="shared" si="94"/>
        <v>0</v>
      </c>
      <c r="DX44" t="b">
        <f t="shared" si="95"/>
        <v>0</v>
      </c>
      <c r="DY44" t="b">
        <f t="shared" si="96"/>
        <v>0</v>
      </c>
      <c r="DZ44" t="b">
        <f t="shared" si="97"/>
        <v>0</v>
      </c>
      <c r="EA44" t="b">
        <f t="shared" si="98"/>
        <v>0</v>
      </c>
      <c r="EB44" t="b">
        <f t="shared" si="99"/>
        <v>0</v>
      </c>
      <c r="EC44" t="b">
        <f t="shared" si="100"/>
        <v>0</v>
      </c>
      <c r="ED44" t="b">
        <f t="shared" si="101"/>
        <v>0</v>
      </c>
      <c r="EE44" t="b">
        <f t="shared" si="102"/>
        <v>0</v>
      </c>
      <c r="EF44">
        <f t="shared" si="103"/>
        <v>1</v>
      </c>
      <c r="EG44" t="b">
        <f t="shared" si="104"/>
        <v>0</v>
      </c>
      <c r="EH44" t="b">
        <f t="shared" si="105"/>
        <v>0</v>
      </c>
      <c r="EI44" t="b">
        <f t="shared" si="106"/>
        <v>0</v>
      </c>
      <c r="EJ44" t="b">
        <f t="shared" si="107"/>
        <v>0</v>
      </c>
      <c r="EK44" t="b">
        <f t="shared" si="108"/>
        <v>0</v>
      </c>
    </row>
    <row r="45" spans="1:141">
      <c r="A45" t="s">
        <v>350</v>
      </c>
      <c r="B45" t="s">
        <v>351</v>
      </c>
      <c r="C45" t="s">
        <v>352</v>
      </c>
      <c r="D45" s="1">
        <v>42508</v>
      </c>
      <c r="E45" s="2">
        <v>42684.142106481479</v>
      </c>
      <c r="F45" s="2">
        <v>44050.138657407406</v>
      </c>
      <c r="G45">
        <v>1531235</v>
      </c>
      <c r="H45" t="s">
        <v>353</v>
      </c>
      <c r="I45" s="10" t="s">
        <v>354</v>
      </c>
      <c r="J45" t="s">
        <v>355</v>
      </c>
      <c r="K45" s="8" t="b">
        <v>1</v>
      </c>
      <c r="L45" s="10" t="b">
        <v>0</v>
      </c>
      <c r="M45" s="12" t="b">
        <v>0</v>
      </c>
      <c r="N45" t="b">
        <v>0</v>
      </c>
      <c r="O45" t="b">
        <v>0</v>
      </c>
      <c r="P45" t="b">
        <v>0</v>
      </c>
      <c r="Q45">
        <f t="shared" si="1"/>
        <v>4</v>
      </c>
      <c r="R45">
        <f t="shared" si="2"/>
        <v>5</v>
      </c>
      <c r="S45" t="e">
        <f t="shared" ca="1" si="109"/>
        <v>#NAME?</v>
      </c>
      <c r="T45" t="e">
        <f t="shared" ca="1" si="3"/>
        <v>#NAME?</v>
      </c>
      <c r="U45" s="4">
        <f t="shared" si="4"/>
        <v>176.14210648147855</v>
      </c>
      <c r="V45" s="4">
        <f t="shared" si="5"/>
        <v>5.8714035493826184</v>
      </c>
      <c r="W45" s="4">
        <f t="shared" si="6"/>
        <v>1</v>
      </c>
      <c r="X45" s="4">
        <f t="shared" si="7"/>
        <v>0</v>
      </c>
      <c r="Y45" s="4">
        <f t="shared" si="8"/>
        <v>0</v>
      </c>
      <c r="Z45" s="4">
        <f t="shared" si="9"/>
        <v>0</v>
      </c>
      <c r="AA45" s="4">
        <f t="shared" si="10"/>
        <v>0</v>
      </c>
      <c r="AB45" s="4">
        <f t="shared" si="11"/>
        <v>0</v>
      </c>
      <c r="AC45" s="4"/>
      <c r="AD45" s="4" t="b">
        <f t="shared" si="12"/>
        <v>0</v>
      </c>
      <c r="AE45" s="4" t="b">
        <f t="shared" si="13"/>
        <v>0</v>
      </c>
      <c r="AF45" s="4" t="b">
        <f t="shared" si="14"/>
        <v>0</v>
      </c>
      <c r="AG45" t="b">
        <f t="shared" si="15"/>
        <v>0</v>
      </c>
      <c r="AH45" t="b">
        <f t="shared" si="16"/>
        <v>0</v>
      </c>
      <c r="AI45" t="b">
        <f t="shared" si="17"/>
        <v>0</v>
      </c>
      <c r="AJ45">
        <f t="shared" si="18"/>
        <v>1</v>
      </c>
      <c r="AK45" t="b">
        <f t="shared" si="19"/>
        <v>0</v>
      </c>
      <c r="AL45" t="b">
        <f t="shared" si="20"/>
        <v>0</v>
      </c>
      <c r="AM45" t="b">
        <f t="shared" si="21"/>
        <v>0</v>
      </c>
      <c r="AN45" t="b">
        <f t="shared" si="22"/>
        <v>0</v>
      </c>
      <c r="AO45" t="b">
        <f t="shared" si="23"/>
        <v>0</v>
      </c>
      <c r="AP45" t="b">
        <f t="shared" si="24"/>
        <v>0</v>
      </c>
      <c r="AQ45" t="b">
        <f t="shared" si="25"/>
        <v>0</v>
      </c>
      <c r="AR45" t="b">
        <f t="shared" si="26"/>
        <v>0</v>
      </c>
      <c r="AS45" t="b">
        <f t="shared" si="27"/>
        <v>0</v>
      </c>
      <c r="AT45" t="b">
        <f t="shared" si="28"/>
        <v>0</v>
      </c>
      <c r="AU45" t="b">
        <f t="shared" si="29"/>
        <v>0</v>
      </c>
      <c r="AV45" t="b">
        <f t="shared" si="30"/>
        <v>0</v>
      </c>
      <c r="AW45" t="b">
        <f t="shared" si="31"/>
        <v>0</v>
      </c>
      <c r="AX45" t="b">
        <f t="shared" si="110"/>
        <v>0</v>
      </c>
      <c r="AY45" t="b">
        <f t="shared" si="111"/>
        <v>0</v>
      </c>
      <c r="AZ45" t="b">
        <f t="shared" si="112"/>
        <v>0</v>
      </c>
      <c r="BA45" t="b">
        <f t="shared" si="113"/>
        <v>0</v>
      </c>
      <c r="BB45" t="b">
        <f t="shared" si="114"/>
        <v>0</v>
      </c>
      <c r="BC45" t="b">
        <f t="shared" si="115"/>
        <v>0</v>
      </c>
      <c r="BD45" t="b">
        <f t="shared" si="116"/>
        <v>0</v>
      </c>
      <c r="BE45" t="b">
        <f t="shared" si="117"/>
        <v>0</v>
      </c>
      <c r="BF45" t="b">
        <f t="shared" si="118"/>
        <v>0</v>
      </c>
      <c r="BG45" t="b">
        <f t="shared" si="119"/>
        <v>0</v>
      </c>
      <c r="BH45" t="b">
        <f t="shared" si="120"/>
        <v>0</v>
      </c>
      <c r="BI45">
        <f t="shared" si="121"/>
        <v>1</v>
      </c>
      <c r="BJ45" t="b">
        <f t="shared" si="122"/>
        <v>0</v>
      </c>
      <c r="BK45" t="b">
        <f t="shared" si="123"/>
        <v>0</v>
      </c>
      <c r="BL45" t="b">
        <f t="shared" si="124"/>
        <v>0</v>
      </c>
      <c r="BM45" t="b">
        <f t="shared" si="32"/>
        <v>0</v>
      </c>
      <c r="BN45" t="b">
        <f t="shared" si="33"/>
        <v>0</v>
      </c>
      <c r="BO45" t="b">
        <f t="shared" si="34"/>
        <v>0</v>
      </c>
      <c r="BP45" t="b">
        <f t="shared" si="35"/>
        <v>0</v>
      </c>
      <c r="BQ45" t="b">
        <f t="shared" si="36"/>
        <v>0</v>
      </c>
      <c r="BR45" t="b">
        <f t="shared" si="37"/>
        <v>0</v>
      </c>
      <c r="BS45">
        <f t="shared" si="38"/>
        <v>1</v>
      </c>
      <c r="BT45" t="b">
        <f t="shared" si="39"/>
        <v>0</v>
      </c>
      <c r="BU45" t="b">
        <f t="shared" si="40"/>
        <v>0</v>
      </c>
      <c r="BV45" t="b">
        <f t="shared" si="41"/>
        <v>0</v>
      </c>
      <c r="BW45" t="b">
        <f t="shared" si="42"/>
        <v>0</v>
      </c>
      <c r="BX45" t="b">
        <f t="shared" si="43"/>
        <v>0</v>
      </c>
      <c r="BY45" t="b">
        <f t="shared" si="44"/>
        <v>0</v>
      </c>
      <c r="BZ45" t="b">
        <f t="shared" si="45"/>
        <v>0</v>
      </c>
      <c r="CA45" t="b">
        <f t="shared" si="46"/>
        <v>0</v>
      </c>
      <c r="CB45" t="b">
        <f t="shared" si="47"/>
        <v>0</v>
      </c>
      <c r="CC45" t="b">
        <f t="shared" si="48"/>
        <v>0</v>
      </c>
      <c r="CD45" t="b">
        <f t="shared" si="49"/>
        <v>0</v>
      </c>
      <c r="CE45">
        <f t="shared" si="50"/>
        <v>1</v>
      </c>
      <c r="CF45" t="b">
        <f t="shared" si="51"/>
        <v>0</v>
      </c>
      <c r="CG45" t="b">
        <f t="shared" si="52"/>
        <v>0</v>
      </c>
      <c r="CH45" t="b">
        <f t="shared" si="53"/>
        <v>0</v>
      </c>
      <c r="CI45" t="b">
        <f t="shared" si="54"/>
        <v>0</v>
      </c>
      <c r="CJ45" t="b">
        <f t="shared" si="55"/>
        <v>0</v>
      </c>
      <c r="CK45" t="b">
        <f t="shared" si="56"/>
        <v>0</v>
      </c>
      <c r="CL45" t="b">
        <f t="shared" si="57"/>
        <v>0</v>
      </c>
      <c r="CM45">
        <f t="shared" si="58"/>
        <v>1</v>
      </c>
      <c r="CN45" t="b">
        <f t="shared" si="59"/>
        <v>0</v>
      </c>
      <c r="CO45" t="b">
        <f t="shared" si="60"/>
        <v>0</v>
      </c>
      <c r="CP45" t="b">
        <f t="shared" si="61"/>
        <v>0</v>
      </c>
      <c r="CQ45" t="b">
        <f t="shared" si="62"/>
        <v>0</v>
      </c>
      <c r="CR45" t="b">
        <f t="shared" si="63"/>
        <v>0</v>
      </c>
      <c r="CS45" t="b">
        <f t="shared" si="64"/>
        <v>0</v>
      </c>
      <c r="CT45" t="b">
        <f t="shared" si="65"/>
        <v>0</v>
      </c>
      <c r="CU45" t="b">
        <f t="shared" si="66"/>
        <v>0</v>
      </c>
      <c r="CV45">
        <f t="shared" si="67"/>
        <v>1</v>
      </c>
      <c r="CW45" t="b">
        <f t="shared" si="68"/>
        <v>0</v>
      </c>
      <c r="CX45" t="b">
        <f t="shared" si="69"/>
        <v>0</v>
      </c>
      <c r="CY45" t="b">
        <f t="shared" si="70"/>
        <v>0</v>
      </c>
      <c r="CZ45" t="b">
        <f t="shared" si="71"/>
        <v>0</v>
      </c>
      <c r="DA45" t="b">
        <f t="shared" si="72"/>
        <v>0</v>
      </c>
      <c r="DB45" t="b">
        <f t="shared" si="73"/>
        <v>0</v>
      </c>
      <c r="DC45" t="b">
        <f t="shared" si="74"/>
        <v>0</v>
      </c>
      <c r="DD45" t="b">
        <f t="shared" si="75"/>
        <v>0</v>
      </c>
      <c r="DE45" t="b">
        <f t="shared" si="76"/>
        <v>0</v>
      </c>
      <c r="DF45" t="b">
        <f t="shared" si="77"/>
        <v>0</v>
      </c>
      <c r="DG45" t="b">
        <f t="shared" si="78"/>
        <v>0</v>
      </c>
      <c r="DH45" t="b">
        <f t="shared" si="79"/>
        <v>0</v>
      </c>
      <c r="DI45" t="b">
        <f t="shared" si="80"/>
        <v>0</v>
      </c>
      <c r="DJ45" t="b">
        <f t="shared" si="81"/>
        <v>0</v>
      </c>
      <c r="DK45" t="b">
        <f t="shared" si="82"/>
        <v>0</v>
      </c>
      <c r="DL45" t="b">
        <f t="shared" si="83"/>
        <v>0</v>
      </c>
      <c r="DM45" t="b">
        <f t="shared" si="84"/>
        <v>0</v>
      </c>
      <c r="DN45" t="b">
        <f t="shared" si="85"/>
        <v>0</v>
      </c>
      <c r="DO45" t="b">
        <f t="shared" si="86"/>
        <v>0</v>
      </c>
      <c r="DP45" t="b">
        <f t="shared" si="87"/>
        <v>0</v>
      </c>
      <c r="DQ45" t="b">
        <f t="shared" si="88"/>
        <v>0</v>
      </c>
      <c r="DR45" t="b">
        <f t="shared" si="89"/>
        <v>0</v>
      </c>
      <c r="DS45" t="b">
        <f t="shared" si="90"/>
        <v>0</v>
      </c>
      <c r="DT45" t="b">
        <f t="shared" si="91"/>
        <v>0</v>
      </c>
      <c r="DU45" t="b">
        <f t="shared" si="92"/>
        <v>0</v>
      </c>
      <c r="DV45" t="b">
        <f t="shared" si="93"/>
        <v>0</v>
      </c>
      <c r="DW45" t="b">
        <f t="shared" si="94"/>
        <v>0</v>
      </c>
      <c r="DX45" t="b">
        <f t="shared" si="95"/>
        <v>0</v>
      </c>
      <c r="DY45" t="b">
        <f t="shared" si="96"/>
        <v>0</v>
      </c>
      <c r="DZ45" t="b">
        <f t="shared" si="97"/>
        <v>0</v>
      </c>
      <c r="EA45" t="b">
        <f t="shared" si="98"/>
        <v>0</v>
      </c>
      <c r="EB45" t="b">
        <f t="shared" si="99"/>
        <v>0</v>
      </c>
      <c r="EC45" t="b">
        <f t="shared" si="100"/>
        <v>0</v>
      </c>
      <c r="ED45" t="b">
        <f t="shared" si="101"/>
        <v>0</v>
      </c>
      <c r="EE45" t="b">
        <f t="shared" si="102"/>
        <v>0</v>
      </c>
      <c r="EF45">
        <f t="shared" si="103"/>
        <v>1</v>
      </c>
      <c r="EG45" t="b">
        <f t="shared" si="104"/>
        <v>0</v>
      </c>
      <c r="EH45" t="b">
        <f t="shared" si="105"/>
        <v>0</v>
      </c>
      <c r="EI45">
        <f t="shared" si="106"/>
        <v>1</v>
      </c>
      <c r="EJ45" t="b">
        <f t="shared" si="107"/>
        <v>0</v>
      </c>
      <c r="EK45" t="b">
        <f t="shared" si="108"/>
        <v>0</v>
      </c>
    </row>
    <row r="46" spans="1:141">
      <c r="A46" t="s">
        <v>356</v>
      </c>
      <c r="B46" t="s">
        <v>356</v>
      </c>
      <c r="C46" t="s">
        <v>357</v>
      </c>
      <c r="D46" s="1">
        <v>43191</v>
      </c>
      <c r="E46" s="2">
        <v>43976.874421296299</v>
      </c>
      <c r="F46" s="2">
        <v>43976.880648148152</v>
      </c>
      <c r="G46">
        <v>1079970</v>
      </c>
      <c r="H46" t="s">
        <v>358</v>
      </c>
      <c r="I46" s="10" t="s">
        <v>359</v>
      </c>
      <c r="J46" t="s">
        <v>138</v>
      </c>
      <c r="K46" s="8" t="b">
        <v>1</v>
      </c>
      <c r="L46" s="10" t="b">
        <v>0</v>
      </c>
      <c r="M46" s="12" t="b">
        <v>0</v>
      </c>
      <c r="N46" t="b">
        <v>0</v>
      </c>
      <c r="O46" t="b">
        <v>0</v>
      </c>
      <c r="P46" t="b">
        <v>0</v>
      </c>
      <c r="Q46">
        <f t="shared" si="1"/>
        <v>1</v>
      </c>
      <c r="R46">
        <f t="shared" si="2"/>
        <v>4</v>
      </c>
      <c r="S46" t="e">
        <f t="shared" ca="1" si="109"/>
        <v>#NAME?</v>
      </c>
      <c r="T46" t="e">
        <f t="shared" ca="1" si="3"/>
        <v>#NAME?</v>
      </c>
      <c r="U46" s="4">
        <f t="shared" si="4"/>
        <v>785.87442129629926</v>
      </c>
      <c r="V46" s="4">
        <f t="shared" si="5"/>
        <v>26.195814043209975</v>
      </c>
      <c r="W46" s="4">
        <f t="shared" si="6"/>
        <v>1</v>
      </c>
      <c r="X46" s="4">
        <f t="shared" si="7"/>
        <v>0</v>
      </c>
      <c r="Y46" s="4">
        <f t="shared" si="8"/>
        <v>0</v>
      </c>
      <c r="Z46" s="4">
        <f t="shared" si="9"/>
        <v>0</v>
      </c>
      <c r="AA46" s="4">
        <f t="shared" si="10"/>
        <v>0</v>
      </c>
      <c r="AB46" s="4">
        <f t="shared" si="11"/>
        <v>0</v>
      </c>
      <c r="AC46" s="4"/>
      <c r="AD46" s="4" t="b">
        <f t="shared" si="12"/>
        <v>0</v>
      </c>
      <c r="AE46" s="4" t="b">
        <f t="shared" si="13"/>
        <v>0</v>
      </c>
      <c r="AF46" s="4" t="b">
        <f t="shared" si="14"/>
        <v>0</v>
      </c>
      <c r="AG46" t="b">
        <f t="shared" si="15"/>
        <v>0</v>
      </c>
      <c r="AH46" t="b">
        <f t="shared" si="16"/>
        <v>0</v>
      </c>
      <c r="AI46" t="b">
        <f t="shared" si="17"/>
        <v>0</v>
      </c>
      <c r="AJ46" t="b">
        <f t="shared" si="18"/>
        <v>0</v>
      </c>
      <c r="AK46" t="b">
        <f t="shared" si="19"/>
        <v>0</v>
      </c>
      <c r="AL46" t="b">
        <f t="shared" si="20"/>
        <v>0</v>
      </c>
      <c r="AM46" t="b">
        <f t="shared" si="21"/>
        <v>0</v>
      </c>
      <c r="AN46" t="b">
        <f t="shared" si="22"/>
        <v>0</v>
      </c>
      <c r="AO46" t="b">
        <f t="shared" si="23"/>
        <v>0</v>
      </c>
      <c r="AP46" t="b">
        <f t="shared" si="24"/>
        <v>0</v>
      </c>
      <c r="AQ46" t="b">
        <f t="shared" si="25"/>
        <v>0</v>
      </c>
      <c r="AR46" t="b">
        <f t="shared" si="26"/>
        <v>0</v>
      </c>
      <c r="AS46" t="b">
        <f t="shared" si="27"/>
        <v>0</v>
      </c>
      <c r="AT46" t="b">
        <f t="shared" si="28"/>
        <v>0</v>
      </c>
      <c r="AU46" t="b">
        <f t="shared" si="29"/>
        <v>0</v>
      </c>
      <c r="AV46" t="b">
        <f t="shared" si="30"/>
        <v>0</v>
      </c>
      <c r="AW46" t="b">
        <f t="shared" si="31"/>
        <v>0</v>
      </c>
      <c r="AX46" t="b">
        <f t="shared" si="110"/>
        <v>0</v>
      </c>
      <c r="AY46" t="b">
        <f t="shared" si="111"/>
        <v>0</v>
      </c>
      <c r="AZ46" t="b">
        <f t="shared" si="112"/>
        <v>0</v>
      </c>
      <c r="BA46" t="b">
        <f t="shared" si="113"/>
        <v>0</v>
      </c>
      <c r="BB46" t="b">
        <f t="shared" si="114"/>
        <v>0</v>
      </c>
      <c r="BC46" t="b">
        <f t="shared" si="115"/>
        <v>0</v>
      </c>
      <c r="BD46" t="b">
        <f t="shared" si="116"/>
        <v>0</v>
      </c>
      <c r="BE46" t="b">
        <f t="shared" si="117"/>
        <v>0</v>
      </c>
      <c r="BF46" t="b">
        <f t="shared" si="118"/>
        <v>0</v>
      </c>
      <c r="BG46" t="b">
        <f t="shared" si="119"/>
        <v>0</v>
      </c>
      <c r="BH46" t="b">
        <f t="shared" si="120"/>
        <v>0</v>
      </c>
      <c r="BI46">
        <f t="shared" si="121"/>
        <v>1</v>
      </c>
      <c r="BJ46" t="b">
        <f t="shared" si="122"/>
        <v>0</v>
      </c>
      <c r="BK46" t="b">
        <f t="shared" si="123"/>
        <v>0</v>
      </c>
      <c r="BL46" t="b">
        <f t="shared" si="124"/>
        <v>0</v>
      </c>
      <c r="BM46" t="b">
        <f t="shared" si="32"/>
        <v>0</v>
      </c>
      <c r="BN46" t="b">
        <f t="shared" si="33"/>
        <v>0</v>
      </c>
      <c r="BO46" t="b">
        <f t="shared" si="34"/>
        <v>0</v>
      </c>
      <c r="BP46" t="b">
        <f t="shared" si="35"/>
        <v>0</v>
      </c>
      <c r="BQ46" t="b">
        <f t="shared" si="36"/>
        <v>0</v>
      </c>
      <c r="BR46" t="b">
        <f t="shared" si="37"/>
        <v>0</v>
      </c>
      <c r="BS46" t="b">
        <f t="shared" si="38"/>
        <v>0</v>
      </c>
      <c r="BT46" t="b">
        <f t="shared" si="39"/>
        <v>0</v>
      </c>
      <c r="BU46" t="b">
        <f t="shared" si="40"/>
        <v>0</v>
      </c>
      <c r="BV46" t="b">
        <f t="shared" si="41"/>
        <v>0</v>
      </c>
      <c r="BW46" t="b">
        <f t="shared" si="42"/>
        <v>0</v>
      </c>
      <c r="BX46" t="b">
        <f t="shared" si="43"/>
        <v>0</v>
      </c>
      <c r="BY46" t="b">
        <f t="shared" si="44"/>
        <v>0</v>
      </c>
      <c r="BZ46" t="b">
        <f t="shared" si="45"/>
        <v>0</v>
      </c>
      <c r="CA46" t="b">
        <f t="shared" si="46"/>
        <v>0</v>
      </c>
      <c r="CB46" t="b">
        <f t="shared" si="47"/>
        <v>0</v>
      </c>
      <c r="CC46" t="b">
        <f t="shared" si="48"/>
        <v>0</v>
      </c>
      <c r="CD46" t="b">
        <f t="shared" si="49"/>
        <v>0</v>
      </c>
      <c r="CE46">
        <f t="shared" si="50"/>
        <v>1</v>
      </c>
      <c r="CF46" t="b">
        <f t="shared" si="51"/>
        <v>0</v>
      </c>
      <c r="CG46" t="b">
        <f t="shared" si="52"/>
        <v>0</v>
      </c>
      <c r="CH46" t="b">
        <f t="shared" si="53"/>
        <v>0</v>
      </c>
      <c r="CI46" t="b">
        <f t="shared" si="54"/>
        <v>0</v>
      </c>
      <c r="CJ46" t="b">
        <f t="shared" si="55"/>
        <v>0</v>
      </c>
      <c r="CK46" t="b">
        <f t="shared" si="56"/>
        <v>0</v>
      </c>
      <c r="CL46" t="b">
        <f t="shared" si="57"/>
        <v>0</v>
      </c>
      <c r="CM46">
        <f t="shared" si="58"/>
        <v>1</v>
      </c>
      <c r="CN46" t="b">
        <f t="shared" si="59"/>
        <v>0</v>
      </c>
      <c r="CO46" t="b">
        <f t="shared" si="60"/>
        <v>0</v>
      </c>
      <c r="CP46" t="b">
        <f t="shared" si="61"/>
        <v>0</v>
      </c>
      <c r="CQ46" t="b">
        <f t="shared" si="62"/>
        <v>0</v>
      </c>
      <c r="CR46" t="b">
        <f t="shared" si="63"/>
        <v>0</v>
      </c>
      <c r="CS46" t="b">
        <f t="shared" si="64"/>
        <v>0</v>
      </c>
      <c r="CT46" t="b">
        <f t="shared" si="65"/>
        <v>0</v>
      </c>
      <c r="CU46" t="b">
        <f t="shared" si="66"/>
        <v>0</v>
      </c>
      <c r="CV46">
        <f t="shared" si="67"/>
        <v>1</v>
      </c>
      <c r="CW46" t="b">
        <f t="shared" si="68"/>
        <v>0</v>
      </c>
      <c r="CX46" t="b">
        <f t="shared" si="69"/>
        <v>0</v>
      </c>
      <c r="CY46" t="b">
        <f t="shared" si="70"/>
        <v>0</v>
      </c>
      <c r="CZ46" t="b">
        <f t="shared" si="71"/>
        <v>0</v>
      </c>
      <c r="DA46" t="b">
        <f t="shared" si="72"/>
        <v>0</v>
      </c>
      <c r="DB46" t="b">
        <f t="shared" si="73"/>
        <v>0</v>
      </c>
      <c r="DC46" t="b">
        <f t="shared" si="74"/>
        <v>0</v>
      </c>
      <c r="DD46" t="b">
        <f t="shared" si="75"/>
        <v>0</v>
      </c>
      <c r="DE46" t="b">
        <f t="shared" si="76"/>
        <v>0</v>
      </c>
      <c r="DF46" t="b">
        <f t="shared" si="77"/>
        <v>0</v>
      </c>
      <c r="DG46" t="b">
        <f t="shared" si="78"/>
        <v>0</v>
      </c>
      <c r="DH46" t="b">
        <f t="shared" si="79"/>
        <v>0</v>
      </c>
      <c r="DI46" t="b">
        <f t="shared" si="80"/>
        <v>0</v>
      </c>
      <c r="DJ46" t="b">
        <f t="shared" si="81"/>
        <v>0</v>
      </c>
      <c r="DK46" t="b">
        <f t="shared" si="82"/>
        <v>0</v>
      </c>
      <c r="DL46" t="b">
        <f t="shared" si="83"/>
        <v>0</v>
      </c>
      <c r="DM46" t="b">
        <f t="shared" si="84"/>
        <v>0</v>
      </c>
      <c r="DN46" t="b">
        <f t="shared" si="85"/>
        <v>0</v>
      </c>
      <c r="DO46" t="b">
        <f t="shared" si="86"/>
        <v>0</v>
      </c>
      <c r="DP46" t="b">
        <f t="shared" si="87"/>
        <v>0</v>
      </c>
      <c r="DQ46" t="b">
        <f t="shared" si="88"/>
        <v>0</v>
      </c>
      <c r="DR46" t="b">
        <f t="shared" si="89"/>
        <v>0</v>
      </c>
      <c r="DS46" t="b">
        <f t="shared" si="90"/>
        <v>0</v>
      </c>
      <c r="DT46" t="b">
        <f t="shared" si="91"/>
        <v>0</v>
      </c>
      <c r="DU46" t="b">
        <f t="shared" si="92"/>
        <v>0</v>
      </c>
      <c r="DV46" t="b">
        <f t="shared" si="93"/>
        <v>0</v>
      </c>
      <c r="DW46" t="b">
        <f t="shared" si="94"/>
        <v>0</v>
      </c>
      <c r="DX46" t="b">
        <f t="shared" si="95"/>
        <v>0</v>
      </c>
      <c r="DY46" t="b">
        <f t="shared" si="96"/>
        <v>0</v>
      </c>
      <c r="DZ46" t="b">
        <f t="shared" si="97"/>
        <v>0</v>
      </c>
      <c r="EA46" t="b">
        <f t="shared" si="98"/>
        <v>0</v>
      </c>
      <c r="EB46" t="b">
        <f t="shared" si="99"/>
        <v>0</v>
      </c>
      <c r="EC46" t="b">
        <f t="shared" si="100"/>
        <v>0</v>
      </c>
      <c r="ED46" t="b">
        <f t="shared" si="101"/>
        <v>0</v>
      </c>
      <c r="EE46" t="b">
        <f t="shared" si="102"/>
        <v>0</v>
      </c>
      <c r="EF46" t="b">
        <f t="shared" si="103"/>
        <v>0</v>
      </c>
      <c r="EG46" t="b">
        <f t="shared" si="104"/>
        <v>0</v>
      </c>
      <c r="EH46" t="b">
        <f t="shared" si="105"/>
        <v>0</v>
      </c>
      <c r="EI46" t="b">
        <f t="shared" si="106"/>
        <v>0</v>
      </c>
      <c r="EJ46" t="b">
        <f t="shared" si="107"/>
        <v>0</v>
      </c>
      <c r="EK46" t="b">
        <f t="shared" si="108"/>
        <v>0</v>
      </c>
    </row>
    <row r="47" spans="1:141">
      <c r="A47" t="s">
        <v>360</v>
      </c>
      <c r="B47" t="s">
        <v>360</v>
      </c>
      <c r="C47" t="s">
        <v>361</v>
      </c>
      <c r="D47" s="1">
        <v>43635</v>
      </c>
      <c r="E47" s="2">
        <v>43665.553379629629</v>
      </c>
      <c r="F47" s="2">
        <v>43665.56622685185</v>
      </c>
      <c r="G47">
        <v>157692</v>
      </c>
      <c r="H47" t="s">
        <v>362</v>
      </c>
      <c r="I47" s="10" t="s">
        <v>363</v>
      </c>
      <c r="J47" t="s">
        <v>364</v>
      </c>
      <c r="K47" s="8" t="b">
        <v>1</v>
      </c>
      <c r="L47" s="10" t="b">
        <v>0</v>
      </c>
      <c r="M47" s="12" t="b">
        <v>0</v>
      </c>
      <c r="N47" t="b">
        <v>0</v>
      </c>
      <c r="O47" t="b">
        <v>0</v>
      </c>
      <c r="P47" t="b">
        <v>0</v>
      </c>
      <c r="Q47">
        <f t="shared" si="1"/>
        <v>4</v>
      </c>
      <c r="R47">
        <f t="shared" si="2"/>
        <v>6</v>
      </c>
      <c r="S47" t="e">
        <f t="shared" ca="1" si="109"/>
        <v>#NAME?</v>
      </c>
      <c r="T47" t="e">
        <f t="shared" ca="1" si="3"/>
        <v>#NAME?</v>
      </c>
      <c r="U47" s="4">
        <f t="shared" si="4"/>
        <v>30.55337962962949</v>
      </c>
      <c r="V47" s="4">
        <f t="shared" si="5"/>
        <v>1.0184459876543164</v>
      </c>
      <c r="W47" s="4">
        <f t="shared" si="6"/>
        <v>1</v>
      </c>
      <c r="X47" s="4">
        <f t="shared" si="7"/>
        <v>0</v>
      </c>
      <c r="Y47" s="4">
        <f t="shared" si="8"/>
        <v>0</v>
      </c>
      <c r="Z47" s="4">
        <f t="shared" si="9"/>
        <v>0</v>
      </c>
      <c r="AA47" s="4">
        <f t="shared" si="10"/>
        <v>0</v>
      </c>
      <c r="AB47" s="4">
        <f t="shared" si="11"/>
        <v>0</v>
      </c>
      <c r="AC47" s="4"/>
      <c r="AD47" s="4" t="b">
        <f t="shared" si="12"/>
        <v>0</v>
      </c>
      <c r="AE47" s="4" t="b">
        <f t="shared" si="13"/>
        <v>0</v>
      </c>
      <c r="AF47" s="4" t="b">
        <f t="shared" si="14"/>
        <v>0</v>
      </c>
      <c r="AG47" t="b">
        <f t="shared" si="15"/>
        <v>0</v>
      </c>
      <c r="AH47" t="b">
        <f t="shared" si="16"/>
        <v>0</v>
      </c>
      <c r="AI47" t="b">
        <f t="shared" si="17"/>
        <v>0</v>
      </c>
      <c r="AJ47" t="b">
        <f t="shared" si="18"/>
        <v>0</v>
      </c>
      <c r="AK47" t="b">
        <f t="shared" si="19"/>
        <v>0</v>
      </c>
      <c r="AL47" t="b">
        <f t="shared" si="20"/>
        <v>0</v>
      </c>
      <c r="AM47" t="b">
        <f t="shared" si="21"/>
        <v>0</v>
      </c>
      <c r="AN47" t="b">
        <f t="shared" si="22"/>
        <v>0</v>
      </c>
      <c r="AO47" t="b">
        <f t="shared" si="23"/>
        <v>0</v>
      </c>
      <c r="AP47" t="b">
        <f t="shared" si="24"/>
        <v>0</v>
      </c>
      <c r="AQ47" t="b">
        <f t="shared" si="25"/>
        <v>0</v>
      </c>
      <c r="AR47" t="b">
        <f t="shared" si="26"/>
        <v>0</v>
      </c>
      <c r="AS47" t="b">
        <f t="shared" si="27"/>
        <v>0</v>
      </c>
      <c r="AT47" t="b">
        <f t="shared" si="28"/>
        <v>0</v>
      </c>
      <c r="AU47" t="b">
        <f t="shared" si="29"/>
        <v>0</v>
      </c>
      <c r="AV47" t="b">
        <f t="shared" si="30"/>
        <v>0</v>
      </c>
      <c r="AW47" t="b">
        <f t="shared" si="31"/>
        <v>0</v>
      </c>
      <c r="AX47" t="b">
        <f t="shared" si="110"/>
        <v>0</v>
      </c>
      <c r="AY47" t="b">
        <f t="shared" si="111"/>
        <v>0</v>
      </c>
      <c r="AZ47" t="b">
        <f t="shared" si="112"/>
        <v>0</v>
      </c>
      <c r="BA47" t="b">
        <f t="shared" si="113"/>
        <v>0</v>
      </c>
      <c r="BB47" t="b">
        <f t="shared" si="114"/>
        <v>0</v>
      </c>
      <c r="BC47" t="b">
        <f t="shared" si="115"/>
        <v>0</v>
      </c>
      <c r="BD47" t="b">
        <f t="shared" si="116"/>
        <v>0</v>
      </c>
      <c r="BE47" t="b">
        <f t="shared" si="117"/>
        <v>0</v>
      </c>
      <c r="BF47" t="b">
        <f t="shared" si="118"/>
        <v>0</v>
      </c>
      <c r="BG47" t="b">
        <f t="shared" si="119"/>
        <v>0</v>
      </c>
      <c r="BH47" t="b">
        <f t="shared" si="120"/>
        <v>0</v>
      </c>
      <c r="BI47">
        <f t="shared" si="121"/>
        <v>1</v>
      </c>
      <c r="BJ47" t="b">
        <f t="shared" si="122"/>
        <v>0</v>
      </c>
      <c r="BK47" t="b">
        <f t="shared" si="123"/>
        <v>0</v>
      </c>
      <c r="BL47" t="b">
        <f t="shared" si="124"/>
        <v>0</v>
      </c>
      <c r="BM47" t="b">
        <f t="shared" si="32"/>
        <v>0</v>
      </c>
      <c r="BN47" t="b">
        <f t="shared" si="33"/>
        <v>0</v>
      </c>
      <c r="BO47" t="b">
        <f t="shared" si="34"/>
        <v>0</v>
      </c>
      <c r="BP47" t="b">
        <f t="shared" si="35"/>
        <v>0</v>
      </c>
      <c r="BQ47" t="b">
        <f t="shared" si="36"/>
        <v>0</v>
      </c>
      <c r="BR47" t="b">
        <f t="shared" si="37"/>
        <v>0</v>
      </c>
      <c r="BS47" t="b">
        <f t="shared" si="38"/>
        <v>0</v>
      </c>
      <c r="BT47" t="b">
        <f t="shared" si="39"/>
        <v>0</v>
      </c>
      <c r="BU47" t="b">
        <f t="shared" si="40"/>
        <v>0</v>
      </c>
      <c r="BV47" t="b">
        <f t="shared" si="41"/>
        <v>0</v>
      </c>
      <c r="BW47" t="b">
        <f t="shared" si="42"/>
        <v>0</v>
      </c>
      <c r="BX47" t="b">
        <f t="shared" si="43"/>
        <v>0</v>
      </c>
      <c r="BY47" t="b">
        <f t="shared" si="44"/>
        <v>0</v>
      </c>
      <c r="BZ47" t="b">
        <f t="shared" si="45"/>
        <v>0</v>
      </c>
      <c r="CA47" t="b">
        <f t="shared" si="46"/>
        <v>0</v>
      </c>
      <c r="CB47" t="b">
        <f t="shared" si="47"/>
        <v>0</v>
      </c>
      <c r="CC47" t="b">
        <f t="shared" si="48"/>
        <v>0</v>
      </c>
      <c r="CD47" t="b">
        <f t="shared" si="49"/>
        <v>0</v>
      </c>
      <c r="CE47" t="b">
        <f t="shared" si="50"/>
        <v>0</v>
      </c>
      <c r="CF47" t="b">
        <f t="shared" si="51"/>
        <v>0</v>
      </c>
      <c r="CG47" t="b">
        <f t="shared" si="52"/>
        <v>0</v>
      </c>
      <c r="CH47" t="b">
        <f t="shared" si="53"/>
        <v>0</v>
      </c>
      <c r="CI47" t="b">
        <f t="shared" si="54"/>
        <v>0</v>
      </c>
      <c r="CJ47" t="b">
        <f t="shared" si="55"/>
        <v>0</v>
      </c>
      <c r="CK47" t="b">
        <f t="shared" si="56"/>
        <v>0</v>
      </c>
      <c r="CL47" t="b">
        <f t="shared" si="57"/>
        <v>0</v>
      </c>
      <c r="CM47">
        <f t="shared" si="58"/>
        <v>1</v>
      </c>
      <c r="CN47" t="b">
        <f t="shared" si="59"/>
        <v>0</v>
      </c>
      <c r="CO47" t="b">
        <f t="shared" si="60"/>
        <v>0</v>
      </c>
      <c r="CP47" t="b">
        <f t="shared" si="61"/>
        <v>0</v>
      </c>
      <c r="CQ47" t="b">
        <f t="shared" si="62"/>
        <v>0</v>
      </c>
      <c r="CR47" t="b">
        <f t="shared" si="63"/>
        <v>0</v>
      </c>
      <c r="CS47" t="b">
        <f t="shared" si="64"/>
        <v>0</v>
      </c>
      <c r="CT47" t="b">
        <f t="shared" si="65"/>
        <v>0</v>
      </c>
      <c r="CU47" t="b">
        <f t="shared" si="66"/>
        <v>0</v>
      </c>
      <c r="CV47">
        <f t="shared" si="67"/>
        <v>1</v>
      </c>
      <c r="CW47" t="b">
        <f t="shared" si="68"/>
        <v>0</v>
      </c>
      <c r="CX47" t="b">
        <f t="shared" si="69"/>
        <v>0</v>
      </c>
      <c r="CY47" t="b">
        <f t="shared" si="70"/>
        <v>0</v>
      </c>
      <c r="CZ47" t="b">
        <f t="shared" si="71"/>
        <v>0</v>
      </c>
      <c r="DA47" t="b">
        <f t="shared" si="72"/>
        <v>0</v>
      </c>
      <c r="DB47" t="b">
        <f t="shared" si="73"/>
        <v>0</v>
      </c>
      <c r="DC47" t="b">
        <f t="shared" si="74"/>
        <v>0</v>
      </c>
      <c r="DD47" t="b">
        <f t="shared" si="75"/>
        <v>0</v>
      </c>
      <c r="DE47" t="b">
        <f t="shared" si="76"/>
        <v>0</v>
      </c>
      <c r="DF47" t="b">
        <f t="shared" si="77"/>
        <v>0</v>
      </c>
      <c r="DG47" t="b">
        <f t="shared" si="78"/>
        <v>0</v>
      </c>
      <c r="DH47" t="b">
        <f t="shared" si="79"/>
        <v>0</v>
      </c>
      <c r="DI47" t="b">
        <f t="shared" si="80"/>
        <v>0</v>
      </c>
      <c r="DJ47" t="b">
        <f t="shared" si="81"/>
        <v>0</v>
      </c>
      <c r="DK47" t="b">
        <f t="shared" si="82"/>
        <v>0</v>
      </c>
      <c r="DL47" t="b">
        <f t="shared" si="83"/>
        <v>0</v>
      </c>
      <c r="DM47" t="b">
        <f t="shared" si="84"/>
        <v>0</v>
      </c>
      <c r="DN47" t="b">
        <f t="shared" si="85"/>
        <v>0</v>
      </c>
      <c r="DO47" t="b">
        <f t="shared" si="86"/>
        <v>0</v>
      </c>
      <c r="DP47" t="b">
        <f t="shared" si="87"/>
        <v>0</v>
      </c>
      <c r="DQ47">
        <f t="shared" si="88"/>
        <v>1</v>
      </c>
      <c r="DR47" t="b">
        <f t="shared" si="89"/>
        <v>0</v>
      </c>
      <c r="DS47" t="b">
        <f t="shared" si="90"/>
        <v>0</v>
      </c>
      <c r="DT47" t="b">
        <f t="shared" si="91"/>
        <v>0</v>
      </c>
      <c r="DU47" t="b">
        <f t="shared" si="92"/>
        <v>0</v>
      </c>
      <c r="DV47" t="b">
        <f t="shared" si="93"/>
        <v>0</v>
      </c>
      <c r="DW47" t="b">
        <f t="shared" si="94"/>
        <v>0</v>
      </c>
      <c r="DX47" t="b">
        <f t="shared" si="95"/>
        <v>0</v>
      </c>
      <c r="DY47" t="b">
        <f t="shared" si="96"/>
        <v>0</v>
      </c>
      <c r="DZ47" t="b">
        <f t="shared" si="97"/>
        <v>0</v>
      </c>
      <c r="EA47" t="b">
        <f t="shared" si="98"/>
        <v>0</v>
      </c>
      <c r="EB47" t="b">
        <f t="shared" si="99"/>
        <v>0</v>
      </c>
      <c r="EC47" t="b">
        <f t="shared" si="100"/>
        <v>0</v>
      </c>
      <c r="ED47" t="b">
        <f t="shared" si="101"/>
        <v>0</v>
      </c>
      <c r="EE47" t="b">
        <f t="shared" si="102"/>
        <v>0</v>
      </c>
      <c r="EF47">
        <f t="shared" si="103"/>
        <v>1</v>
      </c>
      <c r="EG47" t="b">
        <f t="shared" si="104"/>
        <v>0</v>
      </c>
      <c r="EH47" t="b">
        <f t="shared" si="105"/>
        <v>0</v>
      </c>
      <c r="EI47" t="b">
        <f t="shared" si="106"/>
        <v>0</v>
      </c>
      <c r="EJ47" t="b">
        <f t="shared" si="107"/>
        <v>0</v>
      </c>
      <c r="EK47" t="b">
        <f t="shared" si="108"/>
        <v>0</v>
      </c>
    </row>
    <row r="48" spans="1:141">
      <c r="A48" t="s">
        <v>365</v>
      </c>
      <c r="B48" t="s">
        <v>366</v>
      </c>
      <c r="C48" t="s">
        <v>367</v>
      </c>
      <c r="D48" s="1">
        <v>42204</v>
      </c>
      <c r="E48" s="2">
        <v>42234.87158564815</v>
      </c>
      <c r="F48" s="2">
        <v>42234.87158564815</v>
      </c>
      <c r="G48">
        <v>30811934</v>
      </c>
      <c r="H48" t="s">
        <v>368</v>
      </c>
      <c r="I48" s="10" t="s">
        <v>369</v>
      </c>
      <c r="J48" t="s">
        <v>370</v>
      </c>
      <c r="K48" s="8" t="b">
        <v>1</v>
      </c>
      <c r="L48" s="10" t="b">
        <v>0</v>
      </c>
      <c r="M48" s="12" t="b">
        <v>1</v>
      </c>
      <c r="N48" t="b">
        <v>0</v>
      </c>
      <c r="O48" t="b">
        <v>0</v>
      </c>
      <c r="P48" t="b">
        <v>0</v>
      </c>
      <c r="Q48">
        <f t="shared" si="1"/>
        <v>1</v>
      </c>
      <c r="R48">
        <f t="shared" si="2"/>
        <v>7</v>
      </c>
      <c r="S48" t="e">
        <f t="shared" ca="1" si="109"/>
        <v>#NAME?</v>
      </c>
      <c r="T48" t="e">
        <f t="shared" ca="1" si="3"/>
        <v>#NAME?</v>
      </c>
      <c r="U48" s="4">
        <f t="shared" si="4"/>
        <v>30.871585648150358</v>
      </c>
      <c r="V48" s="4">
        <f t="shared" si="5"/>
        <v>1.0290528549383453</v>
      </c>
      <c r="W48" s="4">
        <f t="shared" si="6"/>
        <v>1</v>
      </c>
      <c r="X48" s="4">
        <f t="shared" si="7"/>
        <v>0</v>
      </c>
      <c r="Y48" s="4">
        <f t="shared" si="8"/>
        <v>1</v>
      </c>
      <c r="Z48" s="4">
        <f t="shared" si="9"/>
        <v>0</v>
      </c>
      <c r="AA48" s="4">
        <f t="shared" si="10"/>
        <v>0</v>
      </c>
      <c r="AB48" s="4">
        <f t="shared" si="11"/>
        <v>0</v>
      </c>
      <c r="AC48" s="4"/>
      <c r="AD48" s="4" t="b">
        <f t="shared" si="12"/>
        <v>0</v>
      </c>
      <c r="AE48" s="4" t="b">
        <f t="shared" si="13"/>
        <v>0</v>
      </c>
      <c r="AF48" s="4" t="b">
        <f t="shared" si="14"/>
        <v>0</v>
      </c>
      <c r="AG48" t="b">
        <f t="shared" si="15"/>
        <v>0</v>
      </c>
      <c r="AH48" t="b">
        <f t="shared" si="16"/>
        <v>0</v>
      </c>
      <c r="AI48" t="b">
        <f t="shared" si="17"/>
        <v>0</v>
      </c>
      <c r="AJ48" t="b">
        <f t="shared" si="18"/>
        <v>0</v>
      </c>
      <c r="AK48" t="b">
        <f t="shared" si="19"/>
        <v>0</v>
      </c>
      <c r="AL48" t="b">
        <f t="shared" si="20"/>
        <v>0</v>
      </c>
      <c r="AM48" t="b">
        <f t="shared" si="21"/>
        <v>0</v>
      </c>
      <c r="AN48" t="b">
        <f t="shared" si="22"/>
        <v>0</v>
      </c>
      <c r="AO48" t="b">
        <f t="shared" si="23"/>
        <v>0</v>
      </c>
      <c r="AP48" t="b">
        <f t="shared" si="24"/>
        <v>0</v>
      </c>
      <c r="AQ48" t="b">
        <f t="shared" si="25"/>
        <v>0</v>
      </c>
      <c r="AR48" t="b">
        <f t="shared" si="26"/>
        <v>0</v>
      </c>
      <c r="AS48" t="b">
        <f t="shared" si="27"/>
        <v>0</v>
      </c>
      <c r="AT48" t="b">
        <f t="shared" si="28"/>
        <v>0</v>
      </c>
      <c r="AU48" t="b">
        <f t="shared" si="29"/>
        <v>0</v>
      </c>
      <c r="AV48" t="b">
        <f t="shared" si="30"/>
        <v>0</v>
      </c>
      <c r="AW48" t="b">
        <f t="shared" si="31"/>
        <v>0</v>
      </c>
      <c r="AX48" t="b">
        <f t="shared" si="110"/>
        <v>0</v>
      </c>
      <c r="AY48" t="b">
        <f t="shared" si="111"/>
        <v>0</v>
      </c>
      <c r="AZ48">
        <f t="shared" si="112"/>
        <v>1</v>
      </c>
      <c r="BA48" t="b">
        <f t="shared" si="113"/>
        <v>0</v>
      </c>
      <c r="BB48" t="b">
        <f t="shared" si="114"/>
        <v>0</v>
      </c>
      <c r="BC48" t="b">
        <f t="shared" si="115"/>
        <v>0</v>
      </c>
      <c r="BD48" t="b">
        <f t="shared" si="116"/>
        <v>0</v>
      </c>
      <c r="BE48" t="b">
        <f t="shared" si="117"/>
        <v>0</v>
      </c>
      <c r="BF48" t="b">
        <f t="shared" si="118"/>
        <v>0</v>
      </c>
      <c r="BG48" t="b">
        <f t="shared" si="119"/>
        <v>0</v>
      </c>
      <c r="BH48" t="b">
        <f t="shared" si="120"/>
        <v>0</v>
      </c>
      <c r="BI48">
        <f t="shared" si="121"/>
        <v>1</v>
      </c>
      <c r="BJ48" t="b">
        <f t="shared" si="122"/>
        <v>0</v>
      </c>
      <c r="BK48" t="b">
        <f t="shared" si="123"/>
        <v>0</v>
      </c>
      <c r="BL48" t="b">
        <f t="shared" si="124"/>
        <v>0</v>
      </c>
      <c r="BM48" t="b">
        <f t="shared" si="32"/>
        <v>0</v>
      </c>
      <c r="BN48" t="b">
        <f t="shared" si="33"/>
        <v>0</v>
      </c>
      <c r="BO48" t="b">
        <f t="shared" si="34"/>
        <v>0</v>
      </c>
      <c r="BP48" t="b">
        <f t="shared" si="35"/>
        <v>0</v>
      </c>
      <c r="BQ48" t="b">
        <f t="shared" si="36"/>
        <v>0</v>
      </c>
      <c r="BR48">
        <f t="shared" si="37"/>
        <v>1</v>
      </c>
      <c r="BS48" t="b">
        <f t="shared" si="38"/>
        <v>0</v>
      </c>
      <c r="BT48" t="b">
        <f t="shared" si="39"/>
        <v>0</v>
      </c>
      <c r="BU48" t="b">
        <f t="shared" si="40"/>
        <v>0</v>
      </c>
      <c r="BV48" t="b">
        <f t="shared" si="41"/>
        <v>0</v>
      </c>
      <c r="BW48" t="b">
        <f t="shared" si="42"/>
        <v>0</v>
      </c>
      <c r="BX48" t="b">
        <f t="shared" si="43"/>
        <v>0</v>
      </c>
      <c r="BY48" t="b">
        <f t="shared" si="44"/>
        <v>0</v>
      </c>
      <c r="BZ48" t="b">
        <f t="shared" si="45"/>
        <v>0</v>
      </c>
      <c r="CA48" t="b">
        <f t="shared" si="46"/>
        <v>0</v>
      </c>
      <c r="CB48" t="b">
        <f t="shared" si="47"/>
        <v>0</v>
      </c>
      <c r="CC48" t="b">
        <f t="shared" si="48"/>
        <v>0</v>
      </c>
      <c r="CD48" t="b">
        <f t="shared" si="49"/>
        <v>0</v>
      </c>
      <c r="CE48" t="b">
        <f t="shared" si="50"/>
        <v>0</v>
      </c>
      <c r="CF48" t="b">
        <f t="shared" si="51"/>
        <v>0</v>
      </c>
      <c r="CG48" t="b">
        <f t="shared" si="52"/>
        <v>0</v>
      </c>
      <c r="CH48" t="b">
        <f t="shared" si="53"/>
        <v>0</v>
      </c>
      <c r="CI48" t="b">
        <f t="shared" si="54"/>
        <v>0</v>
      </c>
      <c r="CJ48" t="b">
        <f t="shared" si="55"/>
        <v>0</v>
      </c>
      <c r="CK48" t="b">
        <f t="shared" si="56"/>
        <v>0</v>
      </c>
      <c r="CL48" t="b">
        <f t="shared" si="57"/>
        <v>0</v>
      </c>
      <c r="CM48">
        <f t="shared" si="58"/>
        <v>1</v>
      </c>
      <c r="CN48" t="b">
        <f t="shared" si="59"/>
        <v>0</v>
      </c>
      <c r="CO48" t="b">
        <f t="shared" si="60"/>
        <v>0</v>
      </c>
      <c r="CP48" t="b">
        <f t="shared" si="61"/>
        <v>0</v>
      </c>
      <c r="CQ48" t="b">
        <f t="shared" si="62"/>
        <v>0</v>
      </c>
      <c r="CR48" t="b">
        <f t="shared" si="63"/>
        <v>0</v>
      </c>
      <c r="CS48" t="b">
        <f t="shared" si="64"/>
        <v>0</v>
      </c>
      <c r="CT48" t="b">
        <f t="shared" si="65"/>
        <v>0</v>
      </c>
      <c r="CU48" t="b">
        <f t="shared" si="66"/>
        <v>0</v>
      </c>
      <c r="CV48">
        <f t="shared" si="67"/>
        <v>1</v>
      </c>
      <c r="CW48">
        <f t="shared" si="68"/>
        <v>1</v>
      </c>
      <c r="CX48" t="b">
        <f t="shared" si="69"/>
        <v>0</v>
      </c>
      <c r="CY48" t="b">
        <f t="shared" si="70"/>
        <v>0</v>
      </c>
      <c r="CZ48" t="b">
        <f t="shared" si="71"/>
        <v>0</v>
      </c>
      <c r="DA48">
        <f t="shared" si="72"/>
        <v>1</v>
      </c>
      <c r="DB48">
        <f t="shared" si="73"/>
        <v>1</v>
      </c>
      <c r="DC48" t="b">
        <f t="shared" si="74"/>
        <v>0</v>
      </c>
      <c r="DD48" t="b">
        <f t="shared" si="75"/>
        <v>0</v>
      </c>
      <c r="DE48" t="b">
        <f t="shared" si="76"/>
        <v>0</v>
      </c>
      <c r="DF48" t="b">
        <f t="shared" si="77"/>
        <v>0</v>
      </c>
      <c r="DG48" t="b">
        <f t="shared" si="78"/>
        <v>0</v>
      </c>
      <c r="DH48" t="b">
        <f t="shared" si="79"/>
        <v>0</v>
      </c>
      <c r="DI48" t="b">
        <f t="shared" si="80"/>
        <v>0</v>
      </c>
      <c r="DJ48" t="b">
        <f t="shared" si="81"/>
        <v>0</v>
      </c>
      <c r="DK48" t="b">
        <f t="shared" si="82"/>
        <v>0</v>
      </c>
      <c r="DL48" t="b">
        <f t="shared" si="83"/>
        <v>0</v>
      </c>
      <c r="DM48" t="b">
        <f t="shared" si="84"/>
        <v>0</v>
      </c>
      <c r="DN48" t="b">
        <f t="shared" si="85"/>
        <v>0</v>
      </c>
      <c r="DO48" t="b">
        <f t="shared" si="86"/>
        <v>0</v>
      </c>
      <c r="DP48" t="b">
        <f t="shared" si="87"/>
        <v>0</v>
      </c>
      <c r="DQ48" t="b">
        <f t="shared" si="88"/>
        <v>0</v>
      </c>
      <c r="DR48" t="b">
        <f t="shared" si="89"/>
        <v>0</v>
      </c>
      <c r="DS48">
        <f t="shared" si="90"/>
        <v>1</v>
      </c>
      <c r="DT48" t="b">
        <f t="shared" si="91"/>
        <v>0</v>
      </c>
      <c r="DU48">
        <f t="shared" si="92"/>
        <v>1</v>
      </c>
      <c r="DV48" t="b">
        <f t="shared" si="93"/>
        <v>0</v>
      </c>
      <c r="DW48" t="b">
        <f t="shared" si="94"/>
        <v>0</v>
      </c>
      <c r="DX48" t="b">
        <f t="shared" si="95"/>
        <v>0</v>
      </c>
      <c r="DY48" t="b">
        <f t="shared" si="96"/>
        <v>0</v>
      </c>
      <c r="DZ48" t="b">
        <f t="shared" si="97"/>
        <v>0</v>
      </c>
      <c r="EA48" t="b">
        <f t="shared" si="98"/>
        <v>0</v>
      </c>
      <c r="EB48" t="b">
        <f t="shared" si="99"/>
        <v>0</v>
      </c>
      <c r="EC48" t="b">
        <f t="shared" si="100"/>
        <v>0</v>
      </c>
      <c r="ED48" t="b">
        <f t="shared" si="101"/>
        <v>0</v>
      </c>
      <c r="EE48" t="b">
        <f t="shared" si="102"/>
        <v>0</v>
      </c>
      <c r="EF48">
        <f t="shared" si="103"/>
        <v>1</v>
      </c>
      <c r="EG48" t="b">
        <f t="shared" si="104"/>
        <v>0</v>
      </c>
      <c r="EH48" t="b">
        <f t="shared" si="105"/>
        <v>0</v>
      </c>
      <c r="EI48">
        <f t="shared" si="106"/>
        <v>1</v>
      </c>
      <c r="EJ48" t="b">
        <f t="shared" si="107"/>
        <v>0</v>
      </c>
      <c r="EK48" t="b">
        <f t="shared" si="108"/>
        <v>0</v>
      </c>
    </row>
    <row r="49" spans="1:141">
      <c r="A49" t="s">
        <v>371</v>
      </c>
      <c r="B49" t="s">
        <v>372</v>
      </c>
      <c r="C49" t="s">
        <v>373</v>
      </c>
      <c r="D49" s="1">
        <v>41627</v>
      </c>
      <c r="E49" s="2">
        <v>41826.159548611111</v>
      </c>
      <c r="F49" s="2">
        <v>41826.159548611111</v>
      </c>
      <c r="G49">
        <v>5788</v>
      </c>
      <c r="H49" t="s">
        <v>374</v>
      </c>
      <c r="I49" s="10" t="s">
        <v>375</v>
      </c>
      <c r="J49" t="s">
        <v>376</v>
      </c>
      <c r="K49" s="8" t="b">
        <v>1</v>
      </c>
      <c r="L49" s="10" t="b">
        <v>0</v>
      </c>
      <c r="M49" s="12" t="b">
        <v>0</v>
      </c>
      <c r="N49" t="b">
        <v>0</v>
      </c>
      <c r="O49" t="b">
        <v>0</v>
      </c>
      <c r="P49" t="b">
        <v>0</v>
      </c>
      <c r="Q49">
        <f t="shared" si="1"/>
        <v>5</v>
      </c>
      <c r="R49">
        <f t="shared" si="2"/>
        <v>12</v>
      </c>
      <c r="S49" t="e">
        <f t="shared" ca="1" si="109"/>
        <v>#NAME?</v>
      </c>
      <c r="T49" t="e">
        <f t="shared" ca="1" si="3"/>
        <v>#NAME?</v>
      </c>
      <c r="U49" s="4">
        <f t="shared" si="4"/>
        <v>199.15954861111095</v>
      </c>
      <c r="V49" s="4">
        <f t="shared" si="5"/>
        <v>6.6386516203703652</v>
      </c>
      <c r="W49" s="4">
        <f t="shared" si="6"/>
        <v>1</v>
      </c>
      <c r="X49" s="4">
        <f t="shared" si="7"/>
        <v>0</v>
      </c>
      <c r="Y49" s="4">
        <f t="shared" si="8"/>
        <v>0</v>
      </c>
      <c r="Z49" s="4">
        <f t="shared" si="9"/>
        <v>0</v>
      </c>
      <c r="AA49" s="4">
        <f t="shared" si="10"/>
        <v>0</v>
      </c>
      <c r="AB49" s="4">
        <f t="shared" si="11"/>
        <v>0</v>
      </c>
      <c r="AC49" s="4"/>
      <c r="AD49" s="4" t="b">
        <f t="shared" si="12"/>
        <v>0</v>
      </c>
      <c r="AE49" s="4" t="b">
        <f t="shared" si="13"/>
        <v>0</v>
      </c>
      <c r="AF49" s="4" t="b">
        <f t="shared" si="14"/>
        <v>0</v>
      </c>
      <c r="AG49" t="b">
        <f t="shared" si="15"/>
        <v>0</v>
      </c>
      <c r="AH49" t="b">
        <f t="shared" si="16"/>
        <v>0</v>
      </c>
      <c r="AI49" t="b">
        <f t="shared" si="17"/>
        <v>0</v>
      </c>
      <c r="AJ49" t="b">
        <f t="shared" si="18"/>
        <v>0</v>
      </c>
      <c r="AK49" t="b">
        <f t="shared" si="19"/>
        <v>0</v>
      </c>
      <c r="AL49" t="b">
        <f t="shared" si="20"/>
        <v>0</v>
      </c>
      <c r="AM49" t="b">
        <f t="shared" si="21"/>
        <v>0</v>
      </c>
      <c r="AN49" t="b">
        <f t="shared" si="22"/>
        <v>0</v>
      </c>
      <c r="AO49" t="b">
        <f t="shared" si="23"/>
        <v>0</v>
      </c>
      <c r="AP49" t="b">
        <f t="shared" si="24"/>
        <v>0</v>
      </c>
      <c r="AQ49" t="b">
        <f t="shared" si="25"/>
        <v>0</v>
      </c>
      <c r="AR49" t="b">
        <f t="shared" si="26"/>
        <v>0</v>
      </c>
      <c r="AS49" t="b">
        <f t="shared" si="27"/>
        <v>0</v>
      </c>
      <c r="AT49" t="b">
        <f t="shared" si="28"/>
        <v>0</v>
      </c>
      <c r="AU49" t="b">
        <f t="shared" si="29"/>
        <v>0</v>
      </c>
      <c r="AV49" t="b">
        <f t="shared" si="30"/>
        <v>0</v>
      </c>
      <c r="AW49" t="b">
        <f t="shared" si="31"/>
        <v>0</v>
      </c>
      <c r="AX49" t="b">
        <f t="shared" si="110"/>
        <v>0</v>
      </c>
      <c r="AY49" t="b">
        <f t="shared" si="111"/>
        <v>0</v>
      </c>
      <c r="AZ49" t="b">
        <f t="shared" si="112"/>
        <v>0</v>
      </c>
      <c r="BA49" t="b">
        <f t="shared" si="113"/>
        <v>0</v>
      </c>
      <c r="BB49" t="b">
        <f t="shared" si="114"/>
        <v>0</v>
      </c>
      <c r="BC49" t="b">
        <f t="shared" si="115"/>
        <v>0</v>
      </c>
      <c r="BD49" t="b">
        <f t="shared" si="116"/>
        <v>0</v>
      </c>
      <c r="BE49" t="b">
        <f t="shared" si="117"/>
        <v>0</v>
      </c>
      <c r="BF49" t="b">
        <f t="shared" si="118"/>
        <v>0</v>
      </c>
      <c r="BG49" t="b">
        <f t="shared" si="119"/>
        <v>0</v>
      </c>
      <c r="BH49" t="b">
        <f t="shared" si="120"/>
        <v>0</v>
      </c>
      <c r="BI49">
        <f t="shared" si="121"/>
        <v>1</v>
      </c>
      <c r="BJ49" t="b">
        <f t="shared" si="122"/>
        <v>0</v>
      </c>
      <c r="BK49" t="b">
        <f t="shared" si="123"/>
        <v>0</v>
      </c>
      <c r="BL49" t="b">
        <f t="shared" si="124"/>
        <v>0</v>
      </c>
      <c r="BM49" t="b">
        <f t="shared" si="32"/>
        <v>0</v>
      </c>
      <c r="BN49" t="b">
        <f t="shared" si="33"/>
        <v>0</v>
      </c>
      <c r="BO49" t="b">
        <f t="shared" si="34"/>
        <v>0</v>
      </c>
      <c r="BP49" t="b">
        <f t="shared" si="35"/>
        <v>0</v>
      </c>
      <c r="BQ49" t="b">
        <f t="shared" si="36"/>
        <v>0</v>
      </c>
      <c r="BR49" t="b">
        <f t="shared" si="37"/>
        <v>0</v>
      </c>
      <c r="BS49" t="b">
        <f t="shared" si="38"/>
        <v>0</v>
      </c>
      <c r="BT49" t="b">
        <f t="shared" si="39"/>
        <v>0</v>
      </c>
      <c r="BU49" t="b">
        <f t="shared" si="40"/>
        <v>0</v>
      </c>
      <c r="BV49" t="b">
        <f t="shared" si="41"/>
        <v>0</v>
      </c>
      <c r="BW49" t="b">
        <f t="shared" si="42"/>
        <v>0</v>
      </c>
      <c r="BX49" t="b">
        <f t="shared" si="43"/>
        <v>0</v>
      </c>
      <c r="BY49" t="b">
        <f t="shared" si="44"/>
        <v>0</v>
      </c>
      <c r="BZ49" t="b">
        <f t="shared" si="45"/>
        <v>0</v>
      </c>
      <c r="CA49" t="b">
        <f t="shared" si="46"/>
        <v>0</v>
      </c>
      <c r="CB49" t="b">
        <f t="shared" si="47"/>
        <v>0</v>
      </c>
      <c r="CC49" t="b">
        <f t="shared" si="48"/>
        <v>0</v>
      </c>
      <c r="CD49">
        <f t="shared" si="49"/>
        <v>1</v>
      </c>
      <c r="CE49">
        <f t="shared" si="50"/>
        <v>1</v>
      </c>
      <c r="CF49" t="b">
        <f t="shared" si="51"/>
        <v>0</v>
      </c>
      <c r="CG49" t="b">
        <f t="shared" si="52"/>
        <v>0</v>
      </c>
      <c r="CH49" t="b">
        <f t="shared" si="53"/>
        <v>0</v>
      </c>
      <c r="CI49" t="b">
        <f t="shared" si="54"/>
        <v>0</v>
      </c>
      <c r="CJ49" t="b">
        <f t="shared" si="55"/>
        <v>0</v>
      </c>
      <c r="CK49" t="b">
        <f t="shared" si="56"/>
        <v>0</v>
      </c>
      <c r="CL49" t="b">
        <f t="shared" si="57"/>
        <v>0</v>
      </c>
      <c r="CM49">
        <f t="shared" si="58"/>
        <v>1</v>
      </c>
      <c r="CN49" t="b">
        <f t="shared" si="59"/>
        <v>0</v>
      </c>
      <c r="CO49" t="b">
        <f t="shared" si="60"/>
        <v>0</v>
      </c>
      <c r="CP49" t="b">
        <f t="shared" si="61"/>
        <v>0</v>
      </c>
      <c r="CQ49" t="b">
        <f t="shared" si="62"/>
        <v>0</v>
      </c>
      <c r="CR49" t="b">
        <f t="shared" si="63"/>
        <v>0</v>
      </c>
      <c r="CS49" t="b">
        <f t="shared" si="64"/>
        <v>0</v>
      </c>
      <c r="CT49" t="b">
        <f t="shared" si="65"/>
        <v>0</v>
      </c>
      <c r="CU49" t="b">
        <f t="shared" si="66"/>
        <v>0</v>
      </c>
      <c r="CV49">
        <f t="shared" si="67"/>
        <v>1</v>
      </c>
      <c r="CW49" t="b">
        <f t="shared" si="68"/>
        <v>0</v>
      </c>
      <c r="CX49" t="b">
        <f t="shared" si="69"/>
        <v>0</v>
      </c>
      <c r="CY49" t="b">
        <f t="shared" si="70"/>
        <v>0</v>
      </c>
      <c r="CZ49" t="b">
        <f t="shared" si="71"/>
        <v>0</v>
      </c>
      <c r="DA49" t="b">
        <f t="shared" si="72"/>
        <v>0</v>
      </c>
      <c r="DB49" t="b">
        <f t="shared" si="73"/>
        <v>0</v>
      </c>
      <c r="DC49" t="b">
        <f t="shared" si="74"/>
        <v>0</v>
      </c>
      <c r="DD49" t="b">
        <f t="shared" si="75"/>
        <v>0</v>
      </c>
      <c r="DE49" t="b">
        <f t="shared" si="76"/>
        <v>0</v>
      </c>
      <c r="DF49" t="b">
        <f t="shared" si="77"/>
        <v>0</v>
      </c>
      <c r="DG49">
        <f t="shared" si="78"/>
        <v>1</v>
      </c>
      <c r="DH49" t="b">
        <f t="shared" si="79"/>
        <v>0</v>
      </c>
      <c r="DI49" t="b">
        <f t="shared" si="80"/>
        <v>0</v>
      </c>
      <c r="DJ49" t="b">
        <f t="shared" si="81"/>
        <v>0</v>
      </c>
      <c r="DK49" t="b">
        <f t="shared" si="82"/>
        <v>0</v>
      </c>
      <c r="DL49" t="b">
        <f t="shared" si="83"/>
        <v>0</v>
      </c>
      <c r="DM49" t="b">
        <f t="shared" si="84"/>
        <v>0</v>
      </c>
      <c r="DN49" t="b">
        <f t="shared" si="85"/>
        <v>0</v>
      </c>
      <c r="DO49" t="b">
        <f t="shared" si="86"/>
        <v>0</v>
      </c>
      <c r="DP49" t="b">
        <f t="shared" si="87"/>
        <v>0</v>
      </c>
      <c r="DQ49" t="b">
        <f t="shared" si="88"/>
        <v>0</v>
      </c>
      <c r="DR49" t="b">
        <f t="shared" si="89"/>
        <v>0</v>
      </c>
      <c r="DS49" t="b">
        <f t="shared" si="90"/>
        <v>0</v>
      </c>
      <c r="DT49" t="b">
        <f t="shared" si="91"/>
        <v>0</v>
      </c>
      <c r="DU49" t="b">
        <f t="shared" si="92"/>
        <v>0</v>
      </c>
      <c r="DV49" t="b">
        <f t="shared" si="93"/>
        <v>0</v>
      </c>
      <c r="DW49" t="b">
        <f t="shared" si="94"/>
        <v>0</v>
      </c>
      <c r="DX49" t="b">
        <f t="shared" si="95"/>
        <v>0</v>
      </c>
      <c r="DY49" t="b">
        <f t="shared" si="96"/>
        <v>0</v>
      </c>
      <c r="DZ49" t="b">
        <f t="shared" si="97"/>
        <v>0</v>
      </c>
      <c r="EA49" t="b">
        <f t="shared" si="98"/>
        <v>0</v>
      </c>
      <c r="EB49" t="b">
        <f t="shared" si="99"/>
        <v>0</v>
      </c>
      <c r="EC49" t="b">
        <f t="shared" si="100"/>
        <v>0</v>
      </c>
      <c r="ED49" t="b">
        <f t="shared" si="101"/>
        <v>0</v>
      </c>
      <c r="EE49" t="b">
        <f t="shared" si="102"/>
        <v>0</v>
      </c>
      <c r="EF49">
        <f t="shared" si="103"/>
        <v>1</v>
      </c>
      <c r="EG49" t="b">
        <f t="shared" si="104"/>
        <v>0</v>
      </c>
      <c r="EH49" t="b">
        <f t="shared" si="105"/>
        <v>0</v>
      </c>
      <c r="EI49">
        <f t="shared" si="106"/>
        <v>1</v>
      </c>
      <c r="EJ49" t="b">
        <f t="shared" si="107"/>
        <v>0</v>
      </c>
      <c r="EK49" t="b">
        <f t="shared" si="108"/>
        <v>0</v>
      </c>
    </row>
    <row r="50" spans="1:141">
      <c r="A50" t="s">
        <v>377</v>
      </c>
      <c r="B50" t="s">
        <v>377</v>
      </c>
      <c r="C50" t="s">
        <v>378</v>
      </c>
      <c r="D50" s="1">
        <v>42344</v>
      </c>
      <c r="E50" s="2">
        <v>42644.98814814815</v>
      </c>
      <c r="F50" s="2">
        <v>42644.98814814815</v>
      </c>
      <c r="G50">
        <v>1436486</v>
      </c>
      <c r="H50" t="s">
        <v>379</v>
      </c>
      <c r="I50" s="10" t="s">
        <v>380</v>
      </c>
      <c r="J50" t="s">
        <v>381</v>
      </c>
      <c r="K50" s="8" t="b">
        <v>1</v>
      </c>
      <c r="L50" s="10" t="b">
        <v>0</v>
      </c>
      <c r="M50" s="12" t="b">
        <v>0</v>
      </c>
      <c r="N50" t="b">
        <v>0</v>
      </c>
      <c r="O50" t="b">
        <v>0</v>
      </c>
      <c r="P50" t="b">
        <v>0</v>
      </c>
      <c r="Q50">
        <f t="shared" si="1"/>
        <v>1</v>
      </c>
      <c r="R50">
        <f t="shared" si="2"/>
        <v>12</v>
      </c>
      <c r="S50" t="e">
        <f t="shared" ca="1" si="109"/>
        <v>#NAME?</v>
      </c>
      <c r="T50" t="e">
        <f t="shared" ca="1" si="3"/>
        <v>#NAME?</v>
      </c>
      <c r="U50" s="4">
        <f t="shared" si="4"/>
        <v>300.98814814814978</v>
      </c>
      <c r="V50" s="4">
        <f t="shared" si="5"/>
        <v>10.032938271604992</v>
      </c>
      <c r="W50" s="4">
        <f t="shared" si="6"/>
        <v>1</v>
      </c>
      <c r="X50" s="4">
        <f t="shared" si="7"/>
        <v>0</v>
      </c>
      <c r="Y50" s="4">
        <f t="shared" si="8"/>
        <v>0</v>
      </c>
      <c r="Z50" s="4">
        <f t="shared" si="9"/>
        <v>0</v>
      </c>
      <c r="AA50" s="4">
        <f t="shared" si="10"/>
        <v>0</v>
      </c>
      <c r="AB50" s="4">
        <f t="shared" si="11"/>
        <v>0</v>
      </c>
      <c r="AC50" s="4"/>
      <c r="AD50" s="4" t="b">
        <f t="shared" si="12"/>
        <v>0</v>
      </c>
      <c r="AE50" s="4" t="b">
        <f t="shared" si="13"/>
        <v>0</v>
      </c>
      <c r="AF50" s="4" t="b">
        <f t="shared" si="14"/>
        <v>0</v>
      </c>
      <c r="AG50" t="b">
        <f t="shared" si="15"/>
        <v>0</v>
      </c>
      <c r="AH50" t="b">
        <f t="shared" si="16"/>
        <v>0</v>
      </c>
      <c r="AI50" t="b">
        <f t="shared" si="17"/>
        <v>0</v>
      </c>
      <c r="AJ50" t="b">
        <f t="shared" si="18"/>
        <v>0</v>
      </c>
      <c r="AK50" t="b">
        <f t="shared" si="19"/>
        <v>0</v>
      </c>
      <c r="AL50" t="b">
        <f t="shared" si="20"/>
        <v>0</v>
      </c>
      <c r="AM50" t="b">
        <f t="shared" si="21"/>
        <v>0</v>
      </c>
      <c r="AN50" t="b">
        <f t="shared" si="22"/>
        <v>0</v>
      </c>
      <c r="AO50" t="b">
        <f t="shared" si="23"/>
        <v>0</v>
      </c>
      <c r="AP50" t="b">
        <f t="shared" si="24"/>
        <v>0</v>
      </c>
      <c r="AQ50" t="b">
        <f t="shared" si="25"/>
        <v>0</v>
      </c>
      <c r="AR50" t="b">
        <f t="shared" si="26"/>
        <v>0</v>
      </c>
      <c r="AS50" t="b">
        <f t="shared" si="27"/>
        <v>0</v>
      </c>
      <c r="AT50" t="b">
        <f t="shared" si="28"/>
        <v>0</v>
      </c>
      <c r="AU50" t="b">
        <f t="shared" si="29"/>
        <v>0</v>
      </c>
      <c r="AV50" t="b">
        <f t="shared" si="30"/>
        <v>0</v>
      </c>
      <c r="AW50" t="b">
        <f t="shared" si="31"/>
        <v>0</v>
      </c>
      <c r="AX50" t="b">
        <f t="shared" si="110"/>
        <v>0</v>
      </c>
      <c r="AY50" t="b">
        <f t="shared" si="111"/>
        <v>0</v>
      </c>
      <c r="AZ50" t="b">
        <f t="shared" si="112"/>
        <v>0</v>
      </c>
      <c r="BA50" t="b">
        <f t="shared" si="113"/>
        <v>0</v>
      </c>
      <c r="BB50" t="b">
        <f t="shared" si="114"/>
        <v>0</v>
      </c>
      <c r="BC50" t="b">
        <f t="shared" si="115"/>
        <v>0</v>
      </c>
      <c r="BD50" t="b">
        <f t="shared" si="116"/>
        <v>0</v>
      </c>
      <c r="BE50" t="b">
        <f t="shared" si="117"/>
        <v>0</v>
      </c>
      <c r="BF50" t="b">
        <f t="shared" si="118"/>
        <v>0</v>
      </c>
      <c r="BG50" t="b">
        <f t="shared" si="119"/>
        <v>0</v>
      </c>
      <c r="BH50" t="b">
        <f t="shared" si="120"/>
        <v>0</v>
      </c>
      <c r="BI50">
        <f t="shared" si="121"/>
        <v>1</v>
      </c>
      <c r="BJ50" t="b">
        <f t="shared" si="122"/>
        <v>0</v>
      </c>
      <c r="BK50" t="b">
        <f t="shared" si="123"/>
        <v>0</v>
      </c>
      <c r="BL50" t="b">
        <f t="shared" si="124"/>
        <v>0</v>
      </c>
      <c r="BM50" t="b">
        <f t="shared" si="32"/>
        <v>0</v>
      </c>
      <c r="BN50" t="b">
        <f t="shared" si="33"/>
        <v>0</v>
      </c>
      <c r="BO50" t="b">
        <f t="shared" si="34"/>
        <v>0</v>
      </c>
      <c r="BP50" t="b">
        <f t="shared" si="35"/>
        <v>0</v>
      </c>
      <c r="BQ50" t="b">
        <f t="shared" si="36"/>
        <v>0</v>
      </c>
      <c r="BR50" t="b">
        <f t="shared" si="37"/>
        <v>0</v>
      </c>
      <c r="BS50" t="b">
        <f t="shared" si="38"/>
        <v>0</v>
      </c>
      <c r="BT50" t="b">
        <f t="shared" si="39"/>
        <v>0</v>
      </c>
      <c r="BU50" t="b">
        <f t="shared" si="40"/>
        <v>0</v>
      </c>
      <c r="BV50" t="b">
        <f t="shared" si="41"/>
        <v>0</v>
      </c>
      <c r="BW50" t="b">
        <f t="shared" si="42"/>
        <v>0</v>
      </c>
      <c r="BX50" t="b">
        <f t="shared" si="43"/>
        <v>0</v>
      </c>
      <c r="BY50" t="b">
        <f t="shared" si="44"/>
        <v>0</v>
      </c>
      <c r="BZ50" t="b">
        <f t="shared" si="45"/>
        <v>0</v>
      </c>
      <c r="CA50" t="b">
        <f t="shared" si="46"/>
        <v>0</v>
      </c>
      <c r="CB50" t="b">
        <f t="shared" si="47"/>
        <v>0</v>
      </c>
      <c r="CC50" t="b">
        <f t="shared" si="48"/>
        <v>0</v>
      </c>
      <c r="CD50" t="b">
        <f t="shared" si="49"/>
        <v>0</v>
      </c>
      <c r="CE50">
        <f t="shared" si="50"/>
        <v>1</v>
      </c>
      <c r="CF50" t="b">
        <f t="shared" si="51"/>
        <v>0</v>
      </c>
      <c r="CG50" t="b">
        <f t="shared" si="52"/>
        <v>0</v>
      </c>
      <c r="CH50" t="b">
        <f t="shared" si="53"/>
        <v>0</v>
      </c>
      <c r="CI50" t="b">
        <f t="shared" si="54"/>
        <v>0</v>
      </c>
      <c r="CJ50" t="b">
        <f t="shared" si="55"/>
        <v>0</v>
      </c>
      <c r="CK50" t="b">
        <f t="shared" si="56"/>
        <v>0</v>
      </c>
      <c r="CL50" t="b">
        <f t="shared" si="57"/>
        <v>0</v>
      </c>
      <c r="CM50" t="b">
        <f t="shared" si="58"/>
        <v>0</v>
      </c>
      <c r="CN50" t="b">
        <f t="shared" si="59"/>
        <v>0</v>
      </c>
      <c r="CO50" t="b">
        <f t="shared" si="60"/>
        <v>0</v>
      </c>
      <c r="CP50" t="b">
        <f t="shared" si="61"/>
        <v>0</v>
      </c>
      <c r="CQ50" t="b">
        <f t="shared" si="62"/>
        <v>0</v>
      </c>
      <c r="CR50" t="b">
        <f t="shared" si="63"/>
        <v>0</v>
      </c>
      <c r="CS50" t="b">
        <f t="shared" si="64"/>
        <v>0</v>
      </c>
      <c r="CT50" t="b">
        <f t="shared" si="65"/>
        <v>0</v>
      </c>
      <c r="CU50" t="b">
        <f t="shared" si="66"/>
        <v>0</v>
      </c>
      <c r="CV50">
        <f t="shared" si="67"/>
        <v>1</v>
      </c>
      <c r="CW50" t="b">
        <f t="shared" si="68"/>
        <v>0</v>
      </c>
      <c r="CX50" t="b">
        <f t="shared" si="69"/>
        <v>0</v>
      </c>
      <c r="CY50" t="b">
        <f t="shared" si="70"/>
        <v>0</v>
      </c>
      <c r="CZ50" t="b">
        <f t="shared" si="71"/>
        <v>0</v>
      </c>
      <c r="DA50" t="b">
        <f t="shared" si="72"/>
        <v>0</v>
      </c>
      <c r="DB50" t="b">
        <f t="shared" si="73"/>
        <v>0</v>
      </c>
      <c r="DC50" t="b">
        <f t="shared" si="74"/>
        <v>0</v>
      </c>
      <c r="DD50" t="b">
        <f t="shared" si="75"/>
        <v>0</v>
      </c>
      <c r="DE50" t="b">
        <f t="shared" si="76"/>
        <v>0</v>
      </c>
      <c r="DF50" t="b">
        <f t="shared" si="77"/>
        <v>0</v>
      </c>
      <c r="DG50" t="b">
        <f t="shared" si="78"/>
        <v>0</v>
      </c>
      <c r="DH50" t="b">
        <f t="shared" si="79"/>
        <v>0</v>
      </c>
      <c r="DI50" t="b">
        <f t="shared" si="80"/>
        <v>0</v>
      </c>
      <c r="DJ50" t="b">
        <f t="shared" si="81"/>
        <v>0</v>
      </c>
      <c r="DK50" t="b">
        <f t="shared" si="82"/>
        <v>0</v>
      </c>
      <c r="DL50" t="b">
        <f t="shared" si="83"/>
        <v>0</v>
      </c>
      <c r="DM50" t="b">
        <f t="shared" si="84"/>
        <v>0</v>
      </c>
      <c r="DN50" t="b">
        <f t="shared" si="85"/>
        <v>0</v>
      </c>
      <c r="DO50" t="b">
        <f t="shared" si="86"/>
        <v>0</v>
      </c>
      <c r="DP50" t="b">
        <f t="shared" si="87"/>
        <v>0</v>
      </c>
      <c r="DQ50" t="b">
        <f t="shared" si="88"/>
        <v>0</v>
      </c>
      <c r="DR50" t="b">
        <f t="shared" si="89"/>
        <v>0</v>
      </c>
      <c r="DS50" t="b">
        <f t="shared" si="90"/>
        <v>0</v>
      </c>
      <c r="DT50" t="b">
        <f t="shared" si="91"/>
        <v>0</v>
      </c>
      <c r="DU50" t="b">
        <f t="shared" si="92"/>
        <v>0</v>
      </c>
      <c r="DV50" t="b">
        <f t="shared" si="93"/>
        <v>0</v>
      </c>
      <c r="DW50" t="b">
        <f t="shared" si="94"/>
        <v>0</v>
      </c>
      <c r="DX50" t="b">
        <f t="shared" si="95"/>
        <v>0</v>
      </c>
      <c r="DY50" t="b">
        <f t="shared" si="96"/>
        <v>0</v>
      </c>
      <c r="DZ50" t="b">
        <f t="shared" si="97"/>
        <v>0</v>
      </c>
      <c r="EA50" t="b">
        <f t="shared" si="98"/>
        <v>0</v>
      </c>
      <c r="EB50" t="b">
        <f t="shared" si="99"/>
        <v>0</v>
      </c>
      <c r="EC50" t="b">
        <f t="shared" si="100"/>
        <v>0</v>
      </c>
      <c r="ED50" t="b">
        <f t="shared" si="101"/>
        <v>0</v>
      </c>
      <c r="EE50" t="b">
        <f t="shared" si="102"/>
        <v>0</v>
      </c>
      <c r="EF50">
        <f t="shared" si="103"/>
        <v>1</v>
      </c>
      <c r="EG50" t="b">
        <f t="shared" si="104"/>
        <v>0</v>
      </c>
      <c r="EH50" t="b">
        <f t="shared" si="105"/>
        <v>0</v>
      </c>
      <c r="EI50">
        <f t="shared" si="106"/>
        <v>1</v>
      </c>
      <c r="EJ50" t="b">
        <f t="shared" si="107"/>
        <v>0</v>
      </c>
      <c r="EK50" t="b">
        <f t="shared" si="108"/>
        <v>0</v>
      </c>
    </row>
    <row r="51" spans="1:141">
      <c r="A51" t="s">
        <v>382</v>
      </c>
      <c r="B51" t="s">
        <v>383</v>
      </c>
      <c r="C51" t="s">
        <v>384</v>
      </c>
      <c r="D51" s="1">
        <v>43337</v>
      </c>
      <c r="E51" s="2">
        <v>43339.071226851855</v>
      </c>
      <c r="F51" s="2">
        <v>43340.887349537035</v>
      </c>
      <c r="G51">
        <v>261463</v>
      </c>
      <c r="H51" t="s">
        <v>385</v>
      </c>
      <c r="I51" s="10" t="s">
        <v>386</v>
      </c>
      <c r="J51" t="s">
        <v>387</v>
      </c>
      <c r="K51" s="8" t="b">
        <v>1</v>
      </c>
      <c r="L51" s="10" t="b">
        <v>0</v>
      </c>
      <c r="M51" s="12" t="b">
        <v>0</v>
      </c>
      <c r="N51" t="b">
        <v>0</v>
      </c>
      <c r="O51" t="b">
        <v>0</v>
      </c>
      <c r="P51" t="b">
        <v>0</v>
      </c>
      <c r="Q51">
        <f t="shared" si="1"/>
        <v>7</v>
      </c>
      <c r="R51">
        <f t="shared" si="2"/>
        <v>8</v>
      </c>
      <c r="S51" t="e">
        <f t="shared" ca="1" si="109"/>
        <v>#NAME?</v>
      </c>
      <c r="T51" t="e">
        <f t="shared" ca="1" si="3"/>
        <v>#NAME?</v>
      </c>
      <c r="U51" s="4">
        <f t="shared" si="4"/>
        <v>2.0712268518545898</v>
      </c>
      <c r="V51" s="4">
        <f t="shared" si="5"/>
        <v>6.9040895061819665E-2</v>
      </c>
      <c r="W51" s="4">
        <f t="shared" si="6"/>
        <v>1</v>
      </c>
      <c r="X51" s="4">
        <f t="shared" si="7"/>
        <v>0</v>
      </c>
      <c r="Y51" s="4">
        <f t="shared" si="8"/>
        <v>0</v>
      </c>
      <c r="Z51" s="4">
        <f t="shared" si="9"/>
        <v>0</v>
      </c>
      <c r="AA51" s="4">
        <f t="shared" si="10"/>
        <v>0</v>
      </c>
      <c r="AB51" s="4">
        <f t="shared" si="11"/>
        <v>0</v>
      </c>
      <c r="AC51" s="4"/>
      <c r="AD51" s="4">
        <f t="shared" si="12"/>
        <v>1</v>
      </c>
      <c r="AE51" s="4" t="b">
        <f t="shared" si="13"/>
        <v>0</v>
      </c>
      <c r="AF51" s="4" t="b">
        <f t="shared" si="14"/>
        <v>0</v>
      </c>
      <c r="AG51" t="b">
        <f t="shared" si="15"/>
        <v>0</v>
      </c>
      <c r="AH51" t="b">
        <f t="shared" si="16"/>
        <v>0</v>
      </c>
      <c r="AI51" t="b">
        <f t="shared" si="17"/>
        <v>0</v>
      </c>
      <c r="AJ51" t="b">
        <f t="shared" si="18"/>
        <v>0</v>
      </c>
      <c r="AK51" t="b">
        <f t="shared" si="19"/>
        <v>0</v>
      </c>
      <c r="AL51" t="b">
        <f t="shared" si="20"/>
        <v>0</v>
      </c>
      <c r="AM51" t="b">
        <f t="shared" si="21"/>
        <v>0</v>
      </c>
      <c r="AN51" t="b">
        <f t="shared" si="22"/>
        <v>0</v>
      </c>
      <c r="AO51" t="b">
        <f t="shared" si="23"/>
        <v>0</v>
      </c>
      <c r="AP51" t="b">
        <f t="shared" si="24"/>
        <v>0</v>
      </c>
      <c r="AQ51" t="b">
        <f t="shared" si="25"/>
        <v>0</v>
      </c>
      <c r="AR51" t="b">
        <f t="shared" si="26"/>
        <v>0</v>
      </c>
      <c r="AS51" t="b">
        <f t="shared" si="27"/>
        <v>0</v>
      </c>
      <c r="AT51" t="b">
        <f t="shared" si="28"/>
        <v>0</v>
      </c>
      <c r="AU51" t="b">
        <f t="shared" si="29"/>
        <v>0</v>
      </c>
      <c r="AV51" t="b">
        <f t="shared" si="30"/>
        <v>0</v>
      </c>
      <c r="AW51" t="b">
        <f t="shared" si="31"/>
        <v>0</v>
      </c>
      <c r="AX51" t="b">
        <f t="shared" si="110"/>
        <v>0</v>
      </c>
      <c r="AY51" t="b">
        <f t="shared" si="111"/>
        <v>0</v>
      </c>
      <c r="AZ51" t="b">
        <f t="shared" si="112"/>
        <v>0</v>
      </c>
      <c r="BA51" t="b">
        <f t="shared" si="113"/>
        <v>0</v>
      </c>
      <c r="BB51" t="b">
        <f t="shared" si="114"/>
        <v>0</v>
      </c>
      <c r="BC51" t="b">
        <f t="shared" si="115"/>
        <v>0</v>
      </c>
      <c r="BD51" t="b">
        <f t="shared" si="116"/>
        <v>0</v>
      </c>
      <c r="BE51" t="b">
        <f t="shared" si="117"/>
        <v>0</v>
      </c>
      <c r="BF51" t="b">
        <f t="shared" si="118"/>
        <v>0</v>
      </c>
      <c r="BG51" t="b">
        <f t="shared" si="119"/>
        <v>0</v>
      </c>
      <c r="BH51" t="b">
        <f t="shared" si="120"/>
        <v>0</v>
      </c>
      <c r="BI51">
        <f t="shared" si="121"/>
        <v>1</v>
      </c>
      <c r="BJ51" t="b">
        <f t="shared" si="122"/>
        <v>0</v>
      </c>
      <c r="BK51" t="b">
        <f t="shared" si="123"/>
        <v>0</v>
      </c>
      <c r="BL51" t="b">
        <f t="shared" si="124"/>
        <v>0</v>
      </c>
      <c r="BM51" t="b">
        <f t="shared" si="32"/>
        <v>0</v>
      </c>
      <c r="BN51" t="b">
        <f t="shared" si="33"/>
        <v>0</v>
      </c>
      <c r="BO51" t="b">
        <f t="shared" si="34"/>
        <v>0</v>
      </c>
      <c r="BP51" t="b">
        <f t="shared" si="35"/>
        <v>0</v>
      </c>
      <c r="BQ51" t="b">
        <f t="shared" si="36"/>
        <v>0</v>
      </c>
      <c r="BR51" t="b">
        <f t="shared" si="37"/>
        <v>0</v>
      </c>
      <c r="BS51" t="b">
        <f t="shared" si="38"/>
        <v>0</v>
      </c>
      <c r="BT51" t="b">
        <f t="shared" si="39"/>
        <v>0</v>
      </c>
      <c r="BU51" t="b">
        <f t="shared" si="40"/>
        <v>0</v>
      </c>
      <c r="BV51" t="b">
        <f t="shared" si="41"/>
        <v>0</v>
      </c>
      <c r="BW51" t="b">
        <f t="shared" si="42"/>
        <v>0</v>
      </c>
      <c r="BX51" t="b">
        <f t="shared" si="43"/>
        <v>0</v>
      </c>
      <c r="BY51" t="b">
        <f t="shared" si="44"/>
        <v>0</v>
      </c>
      <c r="BZ51" t="b">
        <f t="shared" si="45"/>
        <v>0</v>
      </c>
      <c r="CA51" t="b">
        <f t="shared" si="46"/>
        <v>0</v>
      </c>
      <c r="CB51" t="b">
        <f t="shared" si="47"/>
        <v>0</v>
      </c>
      <c r="CC51" t="b">
        <f t="shared" si="48"/>
        <v>0</v>
      </c>
      <c r="CD51" t="b">
        <f t="shared" si="49"/>
        <v>0</v>
      </c>
      <c r="CE51" t="b">
        <f t="shared" si="50"/>
        <v>0</v>
      </c>
      <c r="CF51" t="b">
        <f t="shared" si="51"/>
        <v>0</v>
      </c>
      <c r="CG51" t="b">
        <f t="shared" si="52"/>
        <v>0</v>
      </c>
      <c r="CH51" t="b">
        <f t="shared" si="53"/>
        <v>0</v>
      </c>
      <c r="CI51" t="b">
        <f t="shared" si="54"/>
        <v>0</v>
      </c>
      <c r="CJ51" t="b">
        <f t="shared" si="55"/>
        <v>0</v>
      </c>
      <c r="CK51" t="b">
        <f t="shared" si="56"/>
        <v>0</v>
      </c>
      <c r="CL51" t="b">
        <f t="shared" si="57"/>
        <v>0</v>
      </c>
      <c r="CM51">
        <f t="shared" si="58"/>
        <v>1</v>
      </c>
      <c r="CN51" t="b">
        <f t="shared" si="59"/>
        <v>0</v>
      </c>
      <c r="CO51" t="b">
        <f t="shared" si="60"/>
        <v>0</v>
      </c>
      <c r="CP51" t="b">
        <f t="shared" si="61"/>
        <v>0</v>
      </c>
      <c r="CQ51" t="b">
        <f t="shared" si="62"/>
        <v>0</v>
      </c>
      <c r="CR51" t="b">
        <f t="shared" si="63"/>
        <v>0</v>
      </c>
      <c r="CS51" t="b">
        <f t="shared" si="64"/>
        <v>0</v>
      </c>
      <c r="CT51" t="b">
        <f t="shared" si="65"/>
        <v>0</v>
      </c>
      <c r="CU51" t="b">
        <f t="shared" si="66"/>
        <v>0</v>
      </c>
      <c r="CV51" t="b">
        <f t="shared" si="67"/>
        <v>0</v>
      </c>
      <c r="CW51" t="b">
        <f t="shared" si="68"/>
        <v>0</v>
      </c>
      <c r="CX51" t="b">
        <f t="shared" si="69"/>
        <v>0</v>
      </c>
      <c r="CY51" t="b">
        <f t="shared" si="70"/>
        <v>0</v>
      </c>
      <c r="CZ51" t="b">
        <f t="shared" si="71"/>
        <v>0</v>
      </c>
      <c r="DA51">
        <f t="shared" si="72"/>
        <v>1</v>
      </c>
      <c r="DB51" t="b">
        <f t="shared" si="73"/>
        <v>0</v>
      </c>
      <c r="DC51" t="b">
        <f t="shared" si="74"/>
        <v>0</v>
      </c>
      <c r="DD51" t="b">
        <f t="shared" si="75"/>
        <v>0</v>
      </c>
      <c r="DE51" t="b">
        <f t="shared" si="76"/>
        <v>0</v>
      </c>
      <c r="DF51" t="b">
        <f t="shared" si="77"/>
        <v>0</v>
      </c>
      <c r="DG51" t="b">
        <f t="shared" si="78"/>
        <v>0</v>
      </c>
      <c r="DH51" t="b">
        <f t="shared" si="79"/>
        <v>0</v>
      </c>
      <c r="DI51" t="b">
        <f t="shared" si="80"/>
        <v>0</v>
      </c>
      <c r="DJ51" t="b">
        <f t="shared" si="81"/>
        <v>0</v>
      </c>
      <c r="DK51" t="b">
        <f t="shared" si="82"/>
        <v>0</v>
      </c>
      <c r="DL51" t="b">
        <f t="shared" si="83"/>
        <v>0</v>
      </c>
      <c r="DM51" t="b">
        <f t="shared" si="84"/>
        <v>0</v>
      </c>
      <c r="DN51" t="b">
        <f t="shared" si="85"/>
        <v>0</v>
      </c>
      <c r="DO51" t="b">
        <f t="shared" si="86"/>
        <v>0</v>
      </c>
      <c r="DP51" t="b">
        <f t="shared" si="87"/>
        <v>0</v>
      </c>
      <c r="DQ51" t="b">
        <f t="shared" si="88"/>
        <v>0</v>
      </c>
      <c r="DR51" t="b">
        <f t="shared" si="89"/>
        <v>0</v>
      </c>
      <c r="DS51" t="b">
        <f t="shared" si="90"/>
        <v>0</v>
      </c>
      <c r="DT51" t="b">
        <f t="shared" si="91"/>
        <v>0</v>
      </c>
      <c r="DU51" t="b">
        <f t="shared" si="92"/>
        <v>0</v>
      </c>
      <c r="DV51" t="b">
        <f t="shared" si="93"/>
        <v>0</v>
      </c>
      <c r="DW51" t="b">
        <f t="shared" si="94"/>
        <v>0</v>
      </c>
      <c r="DX51" t="b">
        <f t="shared" si="95"/>
        <v>0</v>
      </c>
      <c r="DY51" t="b">
        <f t="shared" si="96"/>
        <v>0</v>
      </c>
      <c r="DZ51" t="b">
        <f t="shared" si="97"/>
        <v>0</v>
      </c>
      <c r="EA51" t="b">
        <f t="shared" si="98"/>
        <v>0</v>
      </c>
      <c r="EB51" t="b">
        <f t="shared" si="99"/>
        <v>0</v>
      </c>
      <c r="EC51" t="b">
        <f t="shared" si="100"/>
        <v>0</v>
      </c>
      <c r="ED51" t="b">
        <f t="shared" si="101"/>
        <v>0</v>
      </c>
      <c r="EE51" t="b">
        <f t="shared" si="102"/>
        <v>0</v>
      </c>
      <c r="EF51" t="b">
        <f t="shared" si="103"/>
        <v>0</v>
      </c>
      <c r="EG51" t="b">
        <f t="shared" si="104"/>
        <v>0</v>
      </c>
      <c r="EH51" t="b">
        <f t="shared" si="105"/>
        <v>0</v>
      </c>
      <c r="EI51" t="b">
        <f t="shared" si="106"/>
        <v>0</v>
      </c>
      <c r="EJ51" t="b">
        <f t="shared" si="107"/>
        <v>0</v>
      </c>
      <c r="EK51" t="b">
        <f t="shared" si="108"/>
        <v>0</v>
      </c>
    </row>
    <row r="52" spans="1:141">
      <c r="A52" t="s">
        <v>388</v>
      </c>
      <c r="B52" t="s">
        <v>388</v>
      </c>
      <c r="C52" t="s">
        <v>389</v>
      </c>
      <c r="D52" s="1">
        <v>43691</v>
      </c>
      <c r="E52" s="2">
        <v>44400.271909722222</v>
      </c>
      <c r="F52" s="2">
        <v>44400.914965277778</v>
      </c>
      <c r="G52">
        <v>2743539</v>
      </c>
      <c r="H52" t="s">
        <v>390</v>
      </c>
      <c r="I52" s="10" t="s">
        <v>391</v>
      </c>
      <c r="J52" t="s">
        <v>392</v>
      </c>
      <c r="K52" s="8" t="b">
        <v>1</v>
      </c>
      <c r="L52" s="10" t="b">
        <v>0</v>
      </c>
      <c r="M52" s="12" t="b">
        <v>0</v>
      </c>
      <c r="N52" t="b">
        <v>0</v>
      </c>
      <c r="O52" t="b">
        <v>0</v>
      </c>
      <c r="P52" t="b">
        <v>0</v>
      </c>
      <c r="Q52">
        <f t="shared" si="1"/>
        <v>4</v>
      </c>
      <c r="R52">
        <f t="shared" si="2"/>
        <v>8</v>
      </c>
      <c r="S52" t="e">
        <f t="shared" ca="1" si="109"/>
        <v>#NAME?</v>
      </c>
      <c r="T52" t="e">
        <f t="shared" ca="1" si="3"/>
        <v>#NAME?</v>
      </c>
      <c r="U52" s="4">
        <f t="shared" si="4"/>
        <v>709.27190972222161</v>
      </c>
      <c r="V52" s="4">
        <f t="shared" si="5"/>
        <v>23.642396990740721</v>
      </c>
      <c r="W52" s="4">
        <f t="shared" si="6"/>
        <v>1</v>
      </c>
      <c r="X52" s="4">
        <f t="shared" si="7"/>
        <v>0</v>
      </c>
      <c r="Y52" s="4">
        <f t="shared" si="8"/>
        <v>0</v>
      </c>
      <c r="Z52" s="4">
        <f t="shared" si="9"/>
        <v>0</v>
      </c>
      <c r="AA52" s="4">
        <f t="shared" si="10"/>
        <v>0</v>
      </c>
      <c r="AB52" s="4">
        <f t="shared" si="11"/>
        <v>0</v>
      </c>
      <c r="AC52" s="4"/>
      <c r="AD52" s="4" t="b">
        <f t="shared" si="12"/>
        <v>0</v>
      </c>
      <c r="AE52" s="4" t="b">
        <f t="shared" si="13"/>
        <v>0</v>
      </c>
      <c r="AF52" s="4" t="b">
        <f t="shared" si="14"/>
        <v>0</v>
      </c>
      <c r="AG52" t="b">
        <f t="shared" si="15"/>
        <v>0</v>
      </c>
      <c r="AH52" t="b">
        <f t="shared" si="16"/>
        <v>0</v>
      </c>
      <c r="AI52" t="b">
        <f t="shared" si="17"/>
        <v>0</v>
      </c>
      <c r="AJ52" t="b">
        <f t="shared" si="18"/>
        <v>0</v>
      </c>
      <c r="AK52" t="b">
        <f t="shared" si="19"/>
        <v>0</v>
      </c>
      <c r="AL52" t="b">
        <f t="shared" si="20"/>
        <v>0</v>
      </c>
      <c r="AM52" t="b">
        <f t="shared" si="21"/>
        <v>0</v>
      </c>
      <c r="AN52" t="b">
        <f t="shared" si="22"/>
        <v>0</v>
      </c>
      <c r="AO52" t="b">
        <f t="shared" si="23"/>
        <v>0</v>
      </c>
      <c r="AP52" t="b">
        <f t="shared" si="24"/>
        <v>0</v>
      </c>
      <c r="AQ52" t="b">
        <f t="shared" si="25"/>
        <v>0</v>
      </c>
      <c r="AR52" t="b">
        <f t="shared" si="26"/>
        <v>0</v>
      </c>
      <c r="AS52" t="b">
        <f t="shared" si="27"/>
        <v>0</v>
      </c>
      <c r="AT52" t="b">
        <f t="shared" si="28"/>
        <v>0</v>
      </c>
      <c r="AU52" t="b">
        <f t="shared" si="29"/>
        <v>0</v>
      </c>
      <c r="AV52" t="b">
        <f t="shared" si="30"/>
        <v>0</v>
      </c>
      <c r="AW52" t="b">
        <f t="shared" si="31"/>
        <v>0</v>
      </c>
      <c r="AX52" t="b">
        <f t="shared" si="110"/>
        <v>0</v>
      </c>
      <c r="AY52" t="b">
        <f t="shared" si="111"/>
        <v>0</v>
      </c>
      <c r="AZ52">
        <f t="shared" si="112"/>
        <v>1</v>
      </c>
      <c r="BA52" t="b">
        <f t="shared" si="113"/>
        <v>0</v>
      </c>
      <c r="BB52" t="b">
        <f t="shared" si="114"/>
        <v>0</v>
      </c>
      <c r="BC52" t="b">
        <f t="shared" si="115"/>
        <v>0</v>
      </c>
      <c r="BD52" t="b">
        <f t="shared" si="116"/>
        <v>0</v>
      </c>
      <c r="BE52" t="b">
        <f t="shared" si="117"/>
        <v>0</v>
      </c>
      <c r="BF52" t="b">
        <f t="shared" si="118"/>
        <v>0</v>
      </c>
      <c r="BG52" t="b">
        <f t="shared" si="119"/>
        <v>0</v>
      </c>
      <c r="BH52" t="b">
        <f t="shared" si="120"/>
        <v>0</v>
      </c>
      <c r="BI52">
        <f t="shared" si="121"/>
        <v>1</v>
      </c>
      <c r="BJ52" t="b">
        <f t="shared" si="122"/>
        <v>0</v>
      </c>
      <c r="BK52" t="b">
        <f t="shared" si="123"/>
        <v>0</v>
      </c>
      <c r="BL52" t="b">
        <f t="shared" si="124"/>
        <v>0</v>
      </c>
      <c r="BM52" t="b">
        <f t="shared" si="32"/>
        <v>0</v>
      </c>
      <c r="BN52" t="b">
        <f t="shared" si="33"/>
        <v>0</v>
      </c>
      <c r="BO52" t="b">
        <f t="shared" si="34"/>
        <v>0</v>
      </c>
      <c r="BP52" t="b">
        <f t="shared" si="35"/>
        <v>0</v>
      </c>
      <c r="BQ52" t="b">
        <f t="shared" si="36"/>
        <v>0</v>
      </c>
      <c r="BR52" t="b">
        <f t="shared" si="37"/>
        <v>0</v>
      </c>
      <c r="BS52" t="b">
        <f t="shared" si="38"/>
        <v>0</v>
      </c>
      <c r="BT52" t="b">
        <f t="shared" si="39"/>
        <v>0</v>
      </c>
      <c r="BU52" t="b">
        <f t="shared" si="40"/>
        <v>0</v>
      </c>
      <c r="BV52" t="b">
        <f t="shared" si="41"/>
        <v>0</v>
      </c>
      <c r="BW52" t="b">
        <f t="shared" si="42"/>
        <v>0</v>
      </c>
      <c r="BX52" t="b">
        <f t="shared" si="43"/>
        <v>0</v>
      </c>
      <c r="BY52" t="b">
        <f t="shared" si="44"/>
        <v>0</v>
      </c>
      <c r="BZ52" t="b">
        <f t="shared" si="45"/>
        <v>0</v>
      </c>
      <c r="CA52" t="b">
        <f t="shared" si="46"/>
        <v>0</v>
      </c>
      <c r="CB52" t="b">
        <f t="shared" si="47"/>
        <v>0</v>
      </c>
      <c r="CC52" t="b">
        <f t="shared" si="48"/>
        <v>0</v>
      </c>
      <c r="CD52" t="b">
        <f t="shared" si="49"/>
        <v>0</v>
      </c>
      <c r="CE52" t="b">
        <f t="shared" si="50"/>
        <v>0</v>
      </c>
      <c r="CF52" t="b">
        <f t="shared" si="51"/>
        <v>0</v>
      </c>
      <c r="CG52" t="b">
        <f t="shared" si="52"/>
        <v>0</v>
      </c>
      <c r="CH52" t="b">
        <f t="shared" si="53"/>
        <v>0</v>
      </c>
      <c r="CI52" t="b">
        <f t="shared" si="54"/>
        <v>0</v>
      </c>
      <c r="CJ52" t="b">
        <f t="shared" si="55"/>
        <v>0</v>
      </c>
      <c r="CK52" t="b">
        <f t="shared" si="56"/>
        <v>0</v>
      </c>
      <c r="CL52" t="b">
        <f t="shared" si="57"/>
        <v>0</v>
      </c>
      <c r="CM52">
        <f t="shared" si="58"/>
        <v>1</v>
      </c>
      <c r="CN52" t="b">
        <f t="shared" si="59"/>
        <v>0</v>
      </c>
      <c r="CO52" t="b">
        <f t="shared" si="60"/>
        <v>0</v>
      </c>
      <c r="CP52" t="b">
        <f t="shared" si="61"/>
        <v>0</v>
      </c>
      <c r="CQ52" t="b">
        <f t="shared" si="62"/>
        <v>0</v>
      </c>
      <c r="CR52" t="b">
        <f t="shared" si="63"/>
        <v>0</v>
      </c>
      <c r="CS52" t="b">
        <f t="shared" si="64"/>
        <v>0</v>
      </c>
      <c r="CT52" t="b">
        <f t="shared" si="65"/>
        <v>0</v>
      </c>
      <c r="CU52" t="b">
        <f t="shared" si="66"/>
        <v>0</v>
      </c>
      <c r="CV52" t="b">
        <f t="shared" si="67"/>
        <v>0</v>
      </c>
      <c r="CW52" t="b">
        <f t="shared" si="68"/>
        <v>0</v>
      </c>
      <c r="CX52" t="b">
        <f t="shared" si="69"/>
        <v>0</v>
      </c>
      <c r="CY52" t="b">
        <f t="shared" si="70"/>
        <v>0</v>
      </c>
      <c r="CZ52" t="b">
        <f t="shared" si="71"/>
        <v>0</v>
      </c>
      <c r="DA52">
        <f t="shared" si="72"/>
        <v>1</v>
      </c>
      <c r="DB52">
        <f t="shared" si="73"/>
        <v>1</v>
      </c>
      <c r="DC52" t="b">
        <f t="shared" si="74"/>
        <v>0</v>
      </c>
      <c r="DD52" t="b">
        <f t="shared" si="75"/>
        <v>0</v>
      </c>
      <c r="DE52" t="b">
        <f t="shared" si="76"/>
        <v>0</v>
      </c>
      <c r="DF52" t="b">
        <f t="shared" si="77"/>
        <v>0</v>
      </c>
      <c r="DG52" t="b">
        <f t="shared" si="78"/>
        <v>0</v>
      </c>
      <c r="DH52" t="b">
        <f t="shared" si="79"/>
        <v>0</v>
      </c>
      <c r="DI52" t="b">
        <f t="shared" si="80"/>
        <v>0</v>
      </c>
      <c r="DJ52" t="b">
        <f t="shared" si="81"/>
        <v>0</v>
      </c>
      <c r="DK52" t="b">
        <f t="shared" si="82"/>
        <v>0</v>
      </c>
      <c r="DL52" t="b">
        <f t="shared" si="83"/>
        <v>0</v>
      </c>
      <c r="DM52" t="b">
        <f t="shared" si="84"/>
        <v>0</v>
      </c>
      <c r="DN52" t="b">
        <f t="shared" si="85"/>
        <v>0</v>
      </c>
      <c r="DO52" t="b">
        <f t="shared" si="86"/>
        <v>0</v>
      </c>
      <c r="DP52" t="b">
        <f t="shared" si="87"/>
        <v>0</v>
      </c>
      <c r="DQ52" t="b">
        <f t="shared" si="88"/>
        <v>0</v>
      </c>
      <c r="DR52" t="b">
        <f t="shared" si="89"/>
        <v>0</v>
      </c>
      <c r="DS52" t="b">
        <f t="shared" si="90"/>
        <v>0</v>
      </c>
      <c r="DT52" t="b">
        <f t="shared" si="91"/>
        <v>0</v>
      </c>
      <c r="DU52" t="b">
        <f t="shared" si="92"/>
        <v>0</v>
      </c>
      <c r="DV52" t="b">
        <f t="shared" si="93"/>
        <v>0</v>
      </c>
      <c r="DW52" t="b">
        <f t="shared" si="94"/>
        <v>0</v>
      </c>
      <c r="DX52" t="b">
        <f t="shared" si="95"/>
        <v>0</v>
      </c>
      <c r="DY52" t="b">
        <f t="shared" si="96"/>
        <v>0</v>
      </c>
      <c r="DZ52">
        <f t="shared" si="97"/>
        <v>1</v>
      </c>
      <c r="EA52" t="b">
        <f t="shared" si="98"/>
        <v>0</v>
      </c>
      <c r="EB52" t="b">
        <f t="shared" si="99"/>
        <v>0</v>
      </c>
      <c r="EC52" t="b">
        <f t="shared" si="100"/>
        <v>0</v>
      </c>
      <c r="ED52" t="b">
        <f t="shared" si="101"/>
        <v>0</v>
      </c>
      <c r="EE52" t="b">
        <f t="shared" si="102"/>
        <v>0</v>
      </c>
      <c r="EF52" t="b">
        <f t="shared" si="103"/>
        <v>0</v>
      </c>
      <c r="EG52">
        <f t="shared" si="104"/>
        <v>1</v>
      </c>
      <c r="EH52" t="b">
        <f t="shared" si="105"/>
        <v>0</v>
      </c>
      <c r="EI52" t="b">
        <f t="shared" si="106"/>
        <v>0</v>
      </c>
      <c r="EJ52" t="b">
        <f t="shared" si="107"/>
        <v>0</v>
      </c>
      <c r="EK52" t="b">
        <f t="shared" si="108"/>
        <v>0</v>
      </c>
    </row>
    <row r="53" spans="1:141">
      <c r="A53" t="s">
        <v>393</v>
      </c>
      <c r="B53" t="s">
        <v>394</v>
      </c>
      <c r="C53" t="s">
        <v>395</v>
      </c>
      <c r="D53" s="1">
        <v>43135</v>
      </c>
      <c r="E53" s="2">
        <v>43140.038495370369</v>
      </c>
      <c r="F53" s="2">
        <v>43140.038495370369</v>
      </c>
      <c r="G53">
        <v>143717</v>
      </c>
      <c r="H53" t="s">
        <v>396</v>
      </c>
      <c r="I53" s="10" t="s">
        <v>397</v>
      </c>
      <c r="J53" t="s">
        <v>147</v>
      </c>
      <c r="K53" s="8" t="b">
        <v>1</v>
      </c>
      <c r="L53" s="10" t="b">
        <v>0</v>
      </c>
      <c r="M53" s="12" t="b">
        <v>0</v>
      </c>
      <c r="N53" t="b">
        <v>0</v>
      </c>
      <c r="O53" t="b">
        <v>0</v>
      </c>
      <c r="P53" t="b">
        <v>0</v>
      </c>
      <c r="Q53">
        <f t="shared" si="1"/>
        <v>1</v>
      </c>
      <c r="R53">
        <f t="shared" si="2"/>
        <v>2</v>
      </c>
      <c r="S53" t="e">
        <f t="shared" ca="1" si="109"/>
        <v>#NAME?</v>
      </c>
      <c r="T53" t="e">
        <f t="shared" ca="1" si="3"/>
        <v>#NAME?</v>
      </c>
      <c r="U53" s="4">
        <f t="shared" si="4"/>
        <v>5.0384953703687643</v>
      </c>
      <c r="V53" s="4">
        <f t="shared" si="5"/>
        <v>0.16794984567895882</v>
      </c>
      <c r="W53" s="4">
        <f t="shared" si="6"/>
        <v>1</v>
      </c>
      <c r="X53" s="4">
        <f t="shared" si="7"/>
        <v>0</v>
      </c>
      <c r="Y53" s="4">
        <f t="shared" si="8"/>
        <v>0</v>
      </c>
      <c r="Z53" s="4">
        <f t="shared" si="9"/>
        <v>0</v>
      </c>
      <c r="AA53" s="4">
        <f t="shared" si="10"/>
        <v>0</v>
      </c>
      <c r="AB53" s="4">
        <f t="shared" si="11"/>
        <v>0</v>
      </c>
      <c r="AC53" s="4"/>
      <c r="AD53" s="4" t="b">
        <f t="shared" si="12"/>
        <v>0</v>
      </c>
      <c r="AE53" s="4" t="b">
        <f t="shared" si="13"/>
        <v>0</v>
      </c>
      <c r="AF53" s="4" t="b">
        <f t="shared" si="14"/>
        <v>0</v>
      </c>
      <c r="AG53" t="b">
        <f t="shared" si="15"/>
        <v>0</v>
      </c>
      <c r="AH53" t="b">
        <f t="shared" si="16"/>
        <v>0</v>
      </c>
      <c r="AI53" t="b">
        <f t="shared" si="17"/>
        <v>0</v>
      </c>
      <c r="AJ53" t="b">
        <f t="shared" si="18"/>
        <v>0</v>
      </c>
      <c r="AK53" t="b">
        <f t="shared" si="19"/>
        <v>0</v>
      </c>
      <c r="AL53" t="b">
        <f t="shared" si="20"/>
        <v>0</v>
      </c>
      <c r="AM53" t="b">
        <f t="shared" si="21"/>
        <v>0</v>
      </c>
      <c r="AN53" t="b">
        <f t="shared" si="22"/>
        <v>0</v>
      </c>
      <c r="AO53" t="b">
        <f t="shared" si="23"/>
        <v>0</v>
      </c>
      <c r="AP53" t="b">
        <f t="shared" si="24"/>
        <v>0</v>
      </c>
      <c r="AQ53" t="b">
        <f t="shared" si="25"/>
        <v>0</v>
      </c>
      <c r="AR53" t="b">
        <f t="shared" si="26"/>
        <v>0</v>
      </c>
      <c r="AS53" t="b">
        <f t="shared" si="27"/>
        <v>0</v>
      </c>
      <c r="AT53" t="b">
        <f t="shared" si="28"/>
        <v>0</v>
      </c>
      <c r="AU53" t="b">
        <f t="shared" si="29"/>
        <v>0</v>
      </c>
      <c r="AV53" t="b">
        <f t="shared" si="30"/>
        <v>0</v>
      </c>
      <c r="AW53" t="b">
        <f t="shared" si="31"/>
        <v>0</v>
      </c>
      <c r="AX53" t="b">
        <f t="shared" si="110"/>
        <v>0</v>
      </c>
      <c r="AY53" t="b">
        <f t="shared" si="111"/>
        <v>0</v>
      </c>
      <c r="AZ53" t="b">
        <f t="shared" si="112"/>
        <v>0</v>
      </c>
      <c r="BA53" t="b">
        <f t="shared" si="113"/>
        <v>0</v>
      </c>
      <c r="BB53" t="b">
        <f t="shared" si="114"/>
        <v>0</v>
      </c>
      <c r="BC53" t="b">
        <f t="shared" si="115"/>
        <v>0</v>
      </c>
      <c r="BD53" t="b">
        <f t="shared" si="116"/>
        <v>0</v>
      </c>
      <c r="BE53" t="b">
        <f t="shared" si="117"/>
        <v>0</v>
      </c>
      <c r="BF53" t="b">
        <f t="shared" si="118"/>
        <v>0</v>
      </c>
      <c r="BG53" t="b">
        <f t="shared" si="119"/>
        <v>0</v>
      </c>
      <c r="BH53" t="b">
        <f t="shared" si="120"/>
        <v>0</v>
      </c>
      <c r="BI53">
        <f t="shared" si="121"/>
        <v>1</v>
      </c>
      <c r="BJ53" t="b">
        <f t="shared" si="122"/>
        <v>0</v>
      </c>
      <c r="BK53" t="b">
        <f t="shared" si="123"/>
        <v>0</v>
      </c>
      <c r="BL53" t="b">
        <f t="shared" si="124"/>
        <v>0</v>
      </c>
      <c r="BM53" t="b">
        <f t="shared" si="32"/>
        <v>0</v>
      </c>
      <c r="BN53" t="b">
        <f t="shared" si="33"/>
        <v>0</v>
      </c>
      <c r="BO53" t="b">
        <f t="shared" si="34"/>
        <v>0</v>
      </c>
      <c r="BP53" t="b">
        <f t="shared" si="35"/>
        <v>0</v>
      </c>
      <c r="BQ53" t="b">
        <f t="shared" si="36"/>
        <v>0</v>
      </c>
      <c r="BR53" t="b">
        <f t="shared" si="37"/>
        <v>0</v>
      </c>
      <c r="BS53" t="b">
        <f t="shared" si="38"/>
        <v>0</v>
      </c>
      <c r="BT53" t="b">
        <f t="shared" si="39"/>
        <v>0</v>
      </c>
      <c r="BU53" t="b">
        <f t="shared" si="40"/>
        <v>0</v>
      </c>
      <c r="BV53" t="b">
        <f t="shared" si="41"/>
        <v>0</v>
      </c>
      <c r="BW53" t="b">
        <f t="shared" si="42"/>
        <v>0</v>
      </c>
      <c r="BX53" t="b">
        <f t="shared" si="43"/>
        <v>0</v>
      </c>
      <c r="BY53" t="b">
        <f t="shared" si="44"/>
        <v>0</v>
      </c>
      <c r="BZ53" t="b">
        <f t="shared" si="45"/>
        <v>0</v>
      </c>
      <c r="CA53" t="b">
        <f t="shared" si="46"/>
        <v>0</v>
      </c>
      <c r="CB53" t="b">
        <f t="shared" si="47"/>
        <v>0</v>
      </c>
      <c r="CC53" t="b">
        <f t="shared" si="48"/>
        <v>0</v>
      </c>
      <c r="CD53" t="b">
        <f t="shared" si="49"/>
        <v>0</v>
      </c>
      <c r="CE53" t="b">
        <f t="shared" si="50"/>
        <v>0</v>
      </c>
      <c r="CF53" t="b">
        <f t="shared" si="51"/>
        <v>0</v>
      </c>
      <c r="CG53" t="b">
        <f t="shared" si="52"/>
        <v>0</v>
      </c>
      <c r="CH53" t="b">
        <f t="shared" si="53"/>
        <v>0</v>
      </c>
      <c r="CI53" t="b">
        <f t="shared" si="54"/>
        <v>0</v>
      </c>
      <c r="CJ53" t="b">
        <f t="shared" si="55"/>
        <v>0</v>
      </c>
      <c r="CK53" t="b">
        <f t="shared" si="56"/>
        <v>0</v>
      </c>
      <c r="CL53" t="b">
        <f t="shared" si="57"/>
        <v>0</v>
      </c>
      <c r="CM53" t="b">
        <f t="shared" si="58"/>
        <v>0</v>
      </c>
      <c r="CN53" t="b">
        <f t="shared" si="59"/>
        <v>0</v>
      </c>
      <c r="CO53" t="b">
        <f t="shared" si="60"/>
        <v>0</v>
      </c>
      <c r="CP53" t="b">
        <f t="shared" si="61"/>
        <v>0</v>
      </c>
      <c r="CQ53" t="b">
        <f t="shared" si="62"/>
        <v>0</v>
      </c>
      <c r="CR53" t="b">
        <f t="shared" si="63"/>
        <v>0</v>
      </c>
      <c r="CS53" t="b">
        <f t="shared" si="64"/>
        <v>0</v>
      </c>
      <c r="CT53" t="b">
        <f t="shared" si="65"/>
        <v>0</v>
      </c>
      <c r="CU53" t="b">
        <f t="shared" si="66"/>
        <v>0</v>
      </c>
      <c r="CV53">
        <f t="shared" si="67"/>
        <v>1</v>
      </c>
      <c r="CW53" t="b">
        <f t="shared" si="68"/>
        <v>0</v>
      </c>
      <c r="CX53" t="b">
        <f t="shared" si="69"/>
        <v>0</v>
      </c>
      <c r="CY53" t="b">
        <f t="shared" si="70"/>
        <v>0</v>
      </c>
      <c r="CZ53" t="b">
        <f t="shared" si="71"/>
        <v>0</v>
      </c>
      <c r="DA53" t="b">
        <f t="shared" si="72"/>
        <v>0</v>
      </c>
      <c r="DB53" t="b">
        <f t="shared" si="73"/>
        <v>0</v>
      </c>
      <c r="DC53" t="b">
        <f t="shared" si="74"/>
        <v>0</v>
      </c>
      <c r="DD53" t="b">
        <f t="shared" si="75"/>
        <v>0</v>
      </c>
      <c r="DE53" t="b">
        <f t="shared" si="76"/>
        <v>0</v>
      </c>
      <c r="DF53" t="b">
        <f t="shared" si="77"/>
        <v>0</v>
      </c>
      <c r="DG53" t="b">
        <f t="shared" si="78"/>
        <v>0</v>
      </c>
      <c r="DH53" t="b">
        <f t="shared" si="79"/>
        <v>0</v>
      </c>
      <c r="DI53" t="b">
        <f t="shared" si="80"/>
        <v>0</v>
      </c>
      <c r="DJ53" t="b">
        <f t="shared" si="81"/>
        <v>0</v>
      </c>
      <c r="DK53" t="b">
        <f t="shared" si="82"/>
        <v>0</v>
      </c>
      <c r="DL53" t="b">
        <f t="shared" si="83"/>
        <v>0</v>
      </c>
      <c r="DM53" t="b">
        <f t="shared" si="84"/>
        <v>0</v>
      </c>
      <c r="DN53" t="b">
        <f t="shared" si="85"/>
        <v>0</v>
      </c>
      <c r="DO53" t="b">
        <f t="shared" si="86"/>
        <v>0</v>
      </c>
      <c r="DP53" t="b">
        <f t="shared" si="87"/>
        <v>0</v>
      </c>
      <c r="DQ53" t="b">
        <f t="shared" si="88"/>
        <v>0</v>
      </c>
      <c r="DR53" t="b">
        <f t="shared" si="89"/>
        <v>0</v>
      </c>
      <c r="DS53" t="b">
        <f t="shared" si="90"/>
        <v>0</v>
      </c>
      <c r="DT53" t="b">
        <f t="shared" si="91"/>
        <v>0</v>
      </c>
      <c r="DU53" t="b">
        <f t="shared" si="92"/>
        <v>0</v>
      </c>
      <c r="DV53" t="b">
        <f t="shared" si="93"/>
        <v>0</v>
      </c>
      <c r="DW53" t="b">
        <f t="shared" si="94"/>
        <v>0</v>
      </c>
      <c r="DX53" t="b">
        <f t="shared" si="95"/>
        <v>0</v>
      </c>
      <c r="DY53" t="b">
        <f t="shared" si="96"/>
        <v>0</v>
      </c>
      <c r="DZ53" t="b">
        <f t="shared" si="97"/>
        <v>0</v>
      </c>
      <c r="EA53" t="b">
        <f t="shared" si="98"/>
        <v>0</v>
      </c>
      <c r="EB53" t="b">
        <f t="shared" si="99"/>
        <v>0</v>
      </c>
      <c r="EC53" t="b">
        <f t="shared" si="100"/>
        <v>0</v>
      </c>
      <c r="ED53" t="b">
        <f t="shared" si="101"/>
        <v>0</v>
      </c>
      <c r="EE53" t="b">
        <f t="shared" si="102"/>
        <v>0</v>
      </c>
      <c r="EF53" t="b">
        <f t="shared" si="103"/>
        <v>0</v>
      </c>
      <c r="EG53" t="b">
        <f t="shared" si="104"/>
        <v>0</v>
      </c>
      <c r="EH53" t="b">
        <f t="shared" si="105"/>
        <v>0</v>
      </c>
      <c r="EI53" t="b">
        <f t="shared" si="106"/>
        <v>0</v>
      </c>
      <c r="EJ53" t="b">
        <f t="shared" si="107"/>
        <v>0</v>
      </c>
      <c r="EK53" t="b">
        <f t="shared" si="108"/>
        <v>0</v>
      </c>
    </row>
    <row r="54" spans="1:141">
      <c r="A54" t="s">
        <v>398</v>
      </c>
      <c r="B54" t="s">
        <v>398</v>
      </c>
      <c r="C54" t="s">
        <v>399</v>
      </c>
      <c r="D54" s="1">
        <v>44932</v>
      </c>
      <c r="E54" s="2">
        <v>44949.266909722224</v>
      </c>
      <c r="F54" s="2">
        <v>44949.266909722224</v>
      </c>
      <c r="G54">
        <v>20032</v>
      </c>
      <c r="H54" t="s">
        <v>400</v>
      </c>
      <c r="I54" s="10" t="s">
        <v>401</v>
      </c>
      <c r="J54" t="s">
        <v>402</v>
      </c>
      <c r="K54" s="8" t="b">
        <v>1</v>
      </c>
      <c r="L54" s="10" t="b">
        <v>0</v>
      </c>
      <c r="M54" s="12" t="b">
        <v>0</v>
      </c>
      <c r="N54" t="b">
        <v>0</v>
      </c>
      <c r="O54" t="b">
        <v>0</v>
      </c>
      <c r="P54" t="b">
        <v>0</v>
      </c>
      <c r="Q54">
        <f t="shared" si="1"/>
        <v>6</v>
      </c>
      <c r="R54">
        <f t="shared" si="2"/>
        <v>1</v>
      </c>
      <c r="S54" t="e">
        <f t="shared" ca="1" si="109"/>
        <v>#NAME?</v>
      </c>
      <c r="T54" t="e">
        <f t="shared" ca="1" si="3"/>
        <v>#NAME?</v>
      </c>
      <c r="U54" s="4">
        <f t="shared" si="4"/>
        <v>17.266909722224227</v>
      </c>
      <c r="V54" s="4">
        <f t="shared" si="5"/>
        <v>0.57556365740747428</v>
      </c>
      <c r="W54" s="4">
        <f t="shared" si="6"/>
        <v>1</v>
      </c>
      <c r="X54" s="4">
        <f t="shared" si="7"/>
        <v>0</v>
      </c>
      <c r="Y54" s="4">
        <f t="shared" si="8"/>
        <v>0</v>
      </c>
      <c r="Z54" s="4">
        <f t="shared" si="9"/>
        <v>0</v>
      </c>
      <c r="AA54" s="4">
        <f t="shared" si="10"/>
        <v>0</v>
      </c>
      <c r="AB54" s="4">
        <f t="shared" si="11"/>
        <v>0</v>
      </c>
      <c r="AC54" s="4"/>
      <c r="AD54" s="4" t="b">
        <f t="shared" si="12"/>
        <v>0</v>
      </c>
      <c r="AE54" s="4" t="b">
        <f t="shared" si="13"/>
        <v>0</v>
      </c>
      <c r="AF54" s="4" t="b">
        <f t="shared" si="14"/>
        <v>0</v>
      </c>
      <c r="AG54" t="b">
        <f t="shared" si="15"/>
        <v>0</v>
      </c>
      <c r="AH54" t="b">
        <f t="shared" si="16"/>
        <v>0</v>
      </c>
      <c r="AI54" t="b">
        <f t="shared" si="17"/>
        <v>0</v>
      </c>
      <c r="AJ54" t="b">
        <f t="shared" si="18"/>
        <v>0</v>
      </c>
      <c r="AK54" t="b">
        <f t="shared" si="19"/>
        <v>0</v>
      </c>
      <c r="AL54" t="b">
        <f t="shared" si="20"/>
        <v>0</v>
      </c>
      <c r="AM54" t="b">
        <f t="shared" si="21"/>
        <v>0</v>
      </c>
      <c r="AN54" t="b">
        <f t="shared" si="22"/>
        <v>0</v>
      </c>
      <c r="AO54" t="b">
        <f t="shared" si="23"/>
        <v>0</v>
      </c>
      <c r="AP54" t="b">
        <f t="shared" si="24"/>
        <v>0</v>
      </c>
      <c r="AQ54" t="b">
        <f t="shared" si="25"/>
        <v>0</v>
      </c>
      <c r="AR54" t="b">
        <f t="shared" si="26"/>
        <v>0</v>
      </c>
      <c r="AS54" t="b">
        <f t="shared" si="27"/>
        <v>0</v>
      </c>
      <c r="AT54" t="b">
        <f t="shared" si="28"/>
        <v>0</v>
      </c>
      <c r="AU54" t="b">
        <f t="shared" si="29"/>
        <v>0</v>
      </c>
      <c r="AV54" t="b">
        <f t="shared" si="30"/>
        <v>0</v>
      </c>
      <c r="AW54" t="b">
        <f t="shared" si="31"/>
        <v>0</v>
      </c>
      <c r="AX54" t="b">
        <f t="shared" si="110"/>
        <v>0</v>
      </c>
      <c r="AY54" t="b">
        <f t="shared" si="111"/>
        <v>0</v>
      </c>
      <c r="AZ54" t="b">
        <f t="shared" si="112"/>
        <v>0</v>
      </c>
      <c r="BA54" t="b">
        <f t="shared" si="113"/>
        <v>0</v>
      </c>
      <c r="BB54" t="b">
        <f t="shared" si="114"/>
        <v>0</v>
      </c>
      <c r="BC54" t="b">
        <f t="shared" si="115"/>
        <v>0</v>
      </c>
      <c r="BD54" t="b">
        <f t="shared" si="116"/>
        <v>0</v>
      </c>
      <c r="BE54" t="b">
        <f t="shared" si="117"/>
        <v>0</v>
      </c>
      <c r="BF54" t="b">
        <f t="shared" si="118"/>
        <v>0</v>
      </c>
      <c r="BG54" t="b">
        <f t="shared" si="119"/>
        <v>0</v>
      </c>
      <c r="BH54" t="b">
        <f t="shared" si="120"/>
        <v>0</v>
      </c>
      <c r="BI54">
        <f t="shared" si="121"/>
        <v>1</v>
      </c>
      <c r="BJ54" t="b">
        <f t="shared" si="122"/>
        <v>0</v>
      </c>
      <c r="BK54" t="b">
        <f t="shared" si="123"/>
        <v>0</v>
      </c>
      <c r="BL54" t="b">
        <f t="shared" si="124"/>
        <v>0</v>
      </c>
      <c r="BM54" t="b">
        <f t="shared" si="32"/>
        <v>0</v>
      </c>
      <c r="BN54" t="b">
        <f t="shared" si="33"/>
        <v>0</v>
      </c>
      <c r="BO54" t="b">
        <f t="shared" si="34"/>
        <v>0</v>
      </c>
      <c r="BP54" t="b">
        <f t="shared" si="35"/>
        <v>0</v>
      </c>
      <c r="BQ54" t="b">
        <f t="shared" si="36"/>
        <v>0</v>
      </c>
      <c r="BR54" t="b">
        <f t="shared" si="37"/>
        <v>0</v>
      </c>
      <c r="BS54" t="b">
        <f t="shared" si="38"/>
        <v>0</v>
      </c>
      <c r="BT54" t="b">
        <f t="shared" si="39"/>
        <v>0</v>
      </c>
      <c r="BU54" t="b">
        <f t="shared" si="40"/>
        <v>0</v>
      </c>
      <c r="BV54" t="b">
        <f t="shared" si="41"/>
        <v>0</v>
      </c>
      <c r="BW54" t="b">
        <f t="shared" si="42"/>
        <v>0</v>
      </c>
      <c r="BX54" t="b">
        <f t="shared" si="43"/>
        <v>0</v>
      </c>
      <c r="BY54" t="b">
        <f t="shared" si="44"/>
        <v>0</v>
      </c>
      <c r="BZ54" t="b">
        <f t="shared" si="45"/>
        <v>0</v>
      </c>
      <c r="CA54" t="b">
        <f t="shared" si="46"/>
        <v>0</v>
      </c>
      <c r="CB54" t="b">
        <f t="shared" si="47"/>
        <v>0</v>
      </c>
      <c r="CC54" t="b">
        <f t="shared" si="48"/>
        <v>0</v>
      </c>
      <c r="CD54" t="b">
        <f t="shared" si="49"/>
        <v>0</v>
      </c>
      <c r="CE54" t="b">
        <f t="shared" si="50"/>
        <v>0</v>
      </c>
      <c r="CF54" t="b">
        <f t="shared" si="51"/>
        <v>0</v>
      </c>
      <c r="CG54" t="b">
        <f t="shared" si="52"/>
        <v>0</v>
      </c>
      <c r="CH54" t="b">
        <f t="shared" si="53"/>
        <v>0</v>
      </c>
      <c r="CI54" t="b">
        <f t="shared" si="54"/>
        <v>0</v>
      </c>
      <c r="CJ54" t="b">
        <f t="shared" si="55"/>
        <v>0</v>
      </c>
      <c r="CK54" t="b">
        <f t="shared" si="56"/>
        <v>0</v>
      </c>
      <c r="CL54" t="b">
        <f t="shared" si="57"/>
        <v>0</v>
      </c>
      <c r="CM54" t="b">
        <f t="shared" si="58"/>
        <v>0</v>
      </c>
      <c r="CN54" t="b">
        <f t="shared" si="59"/>
        <v>0</v>
      </c>
      <c r="CO54" t="b">
        <f t="shared" si="60"/>
        <v>0</v>
      </c>
      <c r="CP54" t="b">
        <f t="shared" si="61"/>
        <v>0</v>
      </c>
      <c r="CQ54" t="b">
        <f t="shared" si="62"/>
        <v>0</v>
      </c>
      <c r="CR54" t="b">
        <f t="shared" si="63"/>
        <v>0</v>
      </c>
      <c r="CS54" t="b">
        <f t="shared" si="64"/>
        <v>0</v>
      </c>
      <c r="CT54" t="b">
        <f t="shared" si="65"/>
        <v>0</v>
      </c>
      <c r="CU54" t="b">
        <f t="shared" si="66"/>
        <v>0</v>
      </c>
      <c r="CV54" t="b">
        <f t="shared" si="67"/>
        <v>0</v>
      </c>
      <c r="CW54" t="b">
        <f t="shared" si="68"/>
        <v>0</v>
      </c>
      <c r="CX54" t="b">
        <f t="shared" si="69"/>
        <v>0</v>
      </c>
      <c r="CY54" t="b">
        <f t="shared" si="70"/>
        <v>0</v>
      </c>
      <c r="CZ54" t="b">
        <f t="shared" si="71"/>
        <v>0</v>
      </c>
      <c r="DA54">
        <f t="shared" si="72"/>
        <v>1</v>
      </c>
      <c r="DB54">
        <f t="shared" si="73"/>
        <v>1</v>
      </c>
      <c r="DC54" t="b">
        <f t="shared" si="74"/>
        <v>0</v>
      </c>
      <c r="DD54" t="b">
        <f t="shared" si="75"/>
        <v>0</v>
      </c>
      <c r="DE54" t="b">
        <f t="shared" si="76"/>
        <v>0</v>
      </c>
      <c r="DF54" t="b">
        <f t="shared" si="77"/>
        <v>0</v>
      </c>
      <c r="DG54" t="b">
        <f t="shared" si="78"/>
        <v>0</v>
      </c>
      <c r="DH54" t="b">
        <f t="shared" si="79"/>
        <v>0</v>
      </c>
      <c r="DI54" t="b">
        <f t="shared" si="80"/>
        <v>0</v>
      </c>
      <c r="DJ54" t="b">
        <f t="shared" si="81"/>
        <v>0</v>
      </c>
      <c r="DK54" t="b">
        <f t="shared" si="82"/>
        <v>0</v>
      </c>
      <c r="DL54" t="b">
        <f t="shared" si="83"/>
        <v>0</v>
      </c>
      <c r="DM54" t="b">
        <f t="shared" si="84"/>
        <v>0</v>
      </c>
      <c r="DN54" t="b">
        <f t="shared" si="85"/>
        <v>0</v>
      </c>
      <c r="DO54" t="b">
        <f t="shared" si="86"/>
        <v>0</v>
      </c>
      <c r="DP54" t="b">
        <f t="shared" si="87"/>
        <v>0</v>
      </c>
      <c r="DQ54" t="b">
        <f t="shared" si="88"/>
        <v>0</v>
      </c>
      <c r="DR54" t="b">
        <f t="shared" si="89"/>
        <v>0</v>
      </c>
      <c r="DS54" t="b">
        <f t="shared" si="90"/>
        <v>0</v>
      </c>
      <c r="DT54" t="b">
        <f t="shared" si="91"/>
        <v>0</v>
      </c>
      <c r="DU54" t="b">
        <f t="shared" si="92"/>
        <v>0</v>
      </c>
      <c r="DV54" t="b">
        <f t="shared" si="93"/>
        <v>0</v>
      </c>
      <c r="DW54" t="b">
        <f t="shared" si="94"/>
        <v>0</v>
      </c>
      <c r="DX54" t="b">
        <f t="shared" si="95"/>
        <v>0</v>
      </c>
      <c r="DY54" t="b">
        <f t="shared" si="96"/>
        <v>0</v>
      </c>
      <c r="DZ54" t="b">
        <f t="shared" si="97"/>
        <v>0</v>
      </c>
      <c r="EA54" t="b">
        <f t="shared" si="98"/>
        <v>0</v>
      </c>
      <c r="EB54" t="b">
        <f t="shared" si="99"/>
        <v>0</v>
      </c>
      <c r="EC54" t="b">
        <f t="shared" si="100"/>
        <v>0</v>
      </c>
      <c r="ED54" t="b">
        <f t="shared" si="101"/>
        <v>0</v>
      </c>
      <c r="EE54" t="b">
        <f t="shared" si="102"/>
        <v>0</v>
      </c>
      <c r="EF54" t="b">
        <f t="shared" si="103"/>
        <v>0</v>
      </c>
      <c r="EG54">
        <f t="shared" si="104"/>
        <v>1</v>
      </c>
      <c r="EH54">
        <f t="shared" si="105"/>
        <v>1</v>
      </c>
      <c r="EI54" t="b">
        <f t="shared" si="106"/>
        <v>0</v>
      </c>
      <c r="EJ54" t="b">
        <f t="shared" si="107"/>
        <v>0</v>
      </c>
      <c r="EK54" t="b">
        <f t="shared" si="108"/>
        <v>0</v>
      </c>
    </row>
    <row r="55" spans="1:141">
      <c r="A55" t="s">
        <v>403</v>
      </c>
      <c r="B55" t="s">
        <v>403</v>
      </c>
      <c r="C55" t="s">
        <v>404</v>
      </c>
      <c r="D55" s="1">
        <v>41785</v>
      </c>
      <c r="E55" s="2">
        <v>42441.922893518517</v>
      </c>
      <c r="F55" s="2">
        <v>42441.922893518517</v>
      </c>
      <c r="G55">
        <v>422959</v>
      </c>
      <c r="H55" t="s">
        <v>405</v>
      </c>
      <c r="I55" s="10" t="s">
        <v>406</v>
      </c>
      <c r="J55" t="s">
        <v>156</v>
      </c>
      <c r="K55" s="8" t="b">
        <v>1</v>
      </c>
      <c r="L55" s="10" t="b">
        <v>0</v>
      </c>
      <c r="M55" s="12" t="b">
        <v>0</v>
      </c>
      <c r="N55" t="b">
        <v>0</v>
      </c>
      <c r="O55" t="b">
        <v>0</v>
      </c>
      <c r="P55" t="b">
        <v>0</v>
      </c>
      <c r="Q55">
        <f t="shared" si="1"/>
        <v>2</v>
      </c>
      <c r="R55">
        <f t="shared" si="2"/>
        <v>5</v>
      </c>
      <c r="S55" t="e">
        <f t="shared" ca="1" si="109"/>
        <v>#NAME?</v>
      </c>
      <c r="T55" t="e">
        <f t="shared" ca="1" si="3"/>
        <v>#NAME?</v>
      </c>
      <c r="U55" s="4">
        <f t="shared" si="4"/>
        <v>656.9228935185165</v>
      </c>
      <c r="V55" s="4">
        <f t="shared" si="5"/>
        <v>21.89742978395055</v>
      </c>
      <c r="W55" s="4">
        <f t="shared" si="6"/>
        <v>1</v>
      </c>
      <c r="X55" s="4">
        <f t="shared" si="7"/>
        <v>0</v>
      </c>
      <c r="Y55" s="4">
        <f t="shared" si="8"/>
        <v>0</v>
      </c>
      <c r="Z55" s="4">
        <f t="shared" si="9"/>
        <v>0</v>
      </c>
      <c r="AA55" s="4">
        <f t="shared" si="10"/>
        <v>0</v>
      </c>
      <c r="AB55" s="4">
        <f t="shared" si="11"/>
        <v>0</v>
      </c>
      <c r="AC55" s="4"/>
      <c r="AD55" s="4" t="b">
        <f t="shared" si="12"/>
        <v>0</v>
      </c>
      <c r="AE55" s="4" t="b">
        <f t="shared" si="13"/>
        <v>0</v>
      </c>
      <c r="AF55" s="4" t="b">
        <f t="shared" si="14"/>
        <v>0</v>
      </c>
      <c r="AG55" t="b">
        <f t="shared" si="15"/>
        <v>0</v>
      </c>
      <c r="AH55" t="b">
        <f t="shared" si="16"/>
        <v>0</v>
      </c>
      <c r="AI55" t="b">
        <f t="shared" si="17"/>
        <v>0</v>
      </c>
      <c r="AJ55" t="b">
        <f t="shared" si="18"/>
        <v>0</v>
      </c>
      <c r="AK55" t="b">
        <f t="shared" si="19"/>
        <v>0</v>
      </c>
      <c r="AL55" t="b">
        <f t="shared" si="20"/>
        <v>0</v>
      </c>
      <c r="AM55" t="b">
        <f t="shared" si="21"/>
        <v>0</v>
      </c>
      <c r="AN55" t="b">
        <f t="shared" si="22"/>
        <v>0</v>
      </c>
      <c r="AO55" t="b">
        <f t="shared" si="23"/>
        <v>0</v>
      </c>
      <c r="AP55" t="b">
        <f t="shared" si="24"/>
        <v>0</v>
      </c>
      <c r="AQ55" t="b">
        <f t="shared" si="25"/>
        <v>0</v>
      </c>
      <c r="AR55" t="b">
        <f t="shared" si="26"/>
        <v>0</v>
      </c>
      <c r="AS55" t="b">
        <f t="shared" si="27"/>
        <v>0</v>
      </c>
      <c r="AT55" t="b">
        <f t="shared" si="28"/>
        <v>0</v>
      </c>
      <c r="AU55" t="b">
        <f t="shared" si="29"/>
        <v>0</v>
      </c>
      <c r="AV55" t="b">
        <f t="shared" si="30"/>
        <v>0</v>
      </c>
      <c r="AW55" t="b">
        <f t="shared" si="31"/>
        <v>0</v>
      </c>
      <c r="AX55" t="b">
        <f t="shared" si="110"/>
        <v>0</v>
      </c>
      <c r="AY55" t="b">
        <f t="shared" si="111"/>
        <v>0</v>
      </c>
      <c r="AZ55" t="b">
        <f t="shared" si="112"/>
        <v>0</v>
      </c>
      <c r="BA55" t="b">
        <f t="shared" si="113"/>
        <v>0</v>
      </c>
      <c r="BB55" t="b">
        <f t="shared" si="114"/>
        <v>0</v>
      </c>
      <c r="BC55" t="b">
        <f t="shared" si="115"/>
        <v>0</v>
      </c>
      <c r="BD55" t="b">
        <f t="shared" si="116"/>
        <v>0</v>
      </c>
      <c r="BE55" t="b">
        <f t="shared" si="117"/>
        <v>0</v>
      </c>
      <c r="BF55" t="b">
        <f t="shared" si="118"/>
        <v>0</v>
      </c>
      <c r="BG55" t="b">
        <f t="shared" si="119"/>
        <v>0</v>
      </c>
      <c r="BH55" t="b">
        <f t="shared" si="120"/>
        <v>0</v>
      </c>
      <c r="BI55">
        <f t="shared" si="121"/>
        <v>1</v>
      </c>
      <c r="BJ55" t="b">
        <f t="shared" si="122"/>
        <v>0</v>
      </c>
      <c r="BK55" t="b">
        <f t="shared" si="123"/>
        <v>0</v>
      </c>
      <c r="BL55" t="b">
        <f t="shared" si="124"/>
        <v>0</v>
      </c>
      <c r="BM55" t="b">
        <f t="shared" si="32"/>
        <v>0</v>
      </c>
      <c r="BN55" t="b">
        <f t="shared" si="33"/>
        <v>0</v>
      </c>
      <c r="BO55" t="b">
        <f t="shared" si="34"/>
        <v>0</v>
      </c>
      <c r="BP55" t="b">
        <f t="shared" si="35"/>
        <v>0</v>
      </c>
      <c r="BQ55" t="b">
        <f t="shared" si="36"/>
        <v>0</v>
      </c>
      <c r="BR55" t="b">
        <f t="shared" si="37"/>
        <v>0</v>
      </c>
      <c r="BS55" t="b">
        <f t="shared" si="38"/>
        <v>0</v>
      </c>
      <c r="BT55" t="b">
        <f t="shared" si="39"/>
        <v>0</v>
      </c>
      <c r="BU55" t="b">
        <f t="shared" si="40"/>
        <v>0</v>
      </c>
      <c r="BV55" t="b">
        <f t="shared" si="41"/>
        <v>0</v>
      </c>
      <c r="BW55" t="b">
        <f t="shared" si="42"/>
        <v>0</v>
      </c>
      <c r="BX55" t="b">
        <f t="shared" si="43"/>
        <v>0</v>
      </c>
      <c r="BY55" t="b">
        <f t="shared" si="44"/>
        <v>0</v>
      </c>
      <c r="BZ55" t="b">
        <f t="shared" si="45"/>
        <v>0</v>
      </c>
      <c r="CA55" t="b">
        <f t="shared" si="46"/>
        <v>0</v>
      </c>
      <c r="CB55" t="b">
        <f t="shared" si="47"/>
        <v>0</v>
      </c>
      <c r="CC55" t="b">
        <f t="shared" si="48"/>
        <v>0</v>
      </c>
      <c r="CD55" t="b">
        <f t="shared" si="49"/>
        <v>0</v>
      </c>
      <c r="CE55" t="b">
        <f t="shared" si="50"/>
        <v>0</v>
      </c>
      <c r="CF55" t="b">
        <f t="shared" si="51"/>
        <v>0</v>
      </c>
      <c r="CG55" t="b">
        <f t="shared" si="52"/>
        <v>0</v>
      </c>
      <c r="CH55" t="b">
        <f t="shared" si="53"/>
        <v>0</v>
      </c>
      <c r="CI55" t="b">
        <f t="shared" si="54"/>
        <v>0</v>
      </c>
      <c r="CJ55" t="b">
        <f t="shared" si="55"/>
        <v>0</v>
      </c>
      <c r="CK55" t="b">
        <f t="shared" si="56"/>
        <v>0</v>
      </c>
      <c r="CL55" t="b">
        <f t="shared" si="57"/>
        <v>0</v>
      </c>
      <c r="CM55" t="b">
        <f t="shared" si="58"/>
        <v>0</v>
      </c>
      <c r="CN55" t="b">
        <f t="shared" si="59"/>
        <v>0</v>
      </c>
      <c r="CO55" t="b">
        <f t="shared" si="60"/>
        <v>0</v>
      </c>
      <c r="CP55" t="b">
        <f t="shared" si="61"/>
        <v>0</v>
      </c>
      <c r="CQ55" t="b">
        <f t="shared" si="62"/>
        <v>0</v>
      </c>
      <c r="CR55" t="b">
        <f t="shared" si="63"/>
        <v>0</v>
      </c>
      <c r="CS55" t="b">
        <f t="shared" si="64"/>
        <v>0</v>
      </c>
      <c r="CT55" t="b">
        <f t="shared" si="65"/>
        <v>0</v>
      </c>
      <c r="CU55" t="b">
        <f t="shared" si="66"/>
        <v>0</v>
      </c>
      <c r="CV55">
        <f t="shared" si="67"/>
        <v>1</v>
      </c>
      <c r="CW55" t="b">
        <f t="shared" si="68"/>
        <v>0</v>
      </c>
      <c r="CX55" t="b">
        <f t="shared" si="69"/>
        <v>0</v>
      </c>
      <c r="CY55" t="b">
        <f t="shared" si="70"/>
        <v>0</v>
      </c>
      <c r="CZ55" t="b">
        <f t="shared" si="71"/>
        <v>0</v>
      </c>
      <c r="DA55" t="b">
        <f t="shared" si="72"/>
        <v>0</v>
      </c>
      <c r="DB55" t="b">
        <f t="shared" si="73"/>
        <v>0</v>
      </c>
      <c r="DC55" t="b">
        <f t="shared" si="74"/>
        <v>0</v>
      </c>
      <c r="DD55" t="b">
        <f t="shared" si="75"/>
        <v>0</v>
      </c>
      <c r="DE55" t="b">
        <f t="shared" si="76"/>
        <v>0</v>
      </c>
      <c r="DF55" t="b">
        <f t="shared" si="77"/>
        <v>0</v>
      </c>
      <c r="DG55" t="b">
        <f t="shared" si="78"/>
        <v>0</v>
      </c>
      <c r="DH55" t="b">
        <f t="shared" si="79"/>
        <v>0</v>
      </c>
      <c r="DI55" t="b">
        <f t="shared" si="80"/>
        <v>0</v>
      </c>
      <c r="DJ55" t="b">
        <f t="shared" si="81"/>
        <v>0</v>
      </c>
      <c r="DK55" t="b">
        <f t="shared" si="82"/>
        <v>0</v>
      </c>
      <c r="DL55" t="b">
        <f t="shared" si="83"/>
        <v>0</v>
      </c>
      <c r="DM55" t="b">
        <f t="shared" si="84"/>
        <v>0</v>
      </c>
      <c r="DN55" t="b">
        <f t="shared" si="85"/>
        <v>0</v>
      </c>
      <c r="DO55" t="b">
        <f t="shared" si="86"/>
        <v>0</v>
      </c>
      <c r="DP55" t="b">
        <f t="shared" si="87"/>
        <v>0</v>
      </c>
      <c r="DQ55" t="b">
        <f t="shared" si="88"/>
        <v>0</v>
      </c>
      <c r="DR55" t="b">
        <f t="shared" si="89"/>
        <v>0</v>
      </c>
      <c r="DS55" t="b">
        <f t="shared" si="90"/>
        <v>0</v>
      </c>
      <c r="DT55" t="b">
        <f t="shared" si="91"/>
        <v>0</v>
      </c>
      <c r="DU55" t="b">
        <f t="shared" si="92"/>
        <v>0</v>
      </c>
      <c r="DV55" t="b">
        <f t="shared" si="93"/>
        <v>0</v>
      </c>
      <c r="DW55" t="b">
        <f t="shared" si="94"/>
        <v>0</v>
      </c>
      <c r="DX55" t="b">
        <f t="shared" si="95"/>
        <v>0</v>
      </c>
      <c r="DY55" t="b">
        <f t="shared" si="96"/>
        <v>0</v>
      </c>
      <c r="DZ55" t="b">
        <f t="shared" si="97"/>
        <v>0</v>
      </c>
      <c r="EA55" t="b">
        <f t="shared" si="98"/>
        <v>0</v>
      </c>
      <c r="EB55" t="b">
        <f t="shared" si="99"/>
        <v>0</v>
      </c>
      <c r="EC55" t="b">
        <f t="shared" si="100"/>
        <v>0</v>
      </c>
      <c r="ED55" t="b">
        <f t="shared" si="101"/>
        <v>0</v>
      </c>
      <c r="EE55" t="b">
        <f t="shared" si="102"/>
        <v>0</v>
      </c>
      <c r="EF55">
        <f t="shared" si="103"/>
        <v>1</v>
      </c>
      <c r="EG55" t="b">
        <f t="shared" si="104"/>
        <v>0</v>
      </c>
      <c r="EH55" t="b">
        <f t="shared" si="105"/>
        <v>0</v>
      </c>
      <c r="EI55" t="b">
        <f t="shared" si="106"/>
        <v>0</v>
      </c>
      <c r="EJ55" t="b">
        <f t="shared" si="107"/>
        <v>0</v>
      </c>
      <c r="EK55" t="b">
        <f t="shared" si="108"/>
        <v>0</v>
      </c>
    </row>
    <row r="56" spans="1:141">
      <c r="A56" t="s">
        <v>407</v>
      </c>
      <c r="B56" t="s">
        <v>407</v>
      </c>
      <c r="C56" t="s">
        <v>408</v>
      </c>
      <c r="D56" s="1">
        <v>43816</v>
      </c>
      <c r="E56" s="2">
        <v>44666.152569444443</v>
      </c>
      <c r="F56" s="2">
        <v>44666.156261574077</v>
      </c>
      <c r="G56">
        <v>4101101</v>
      </c>
      <c r="H56" t="s">
        <v>409</v>
      </c>
      <c r="I56" s="10" t="s">
        <v>410</v>
      </c>
      <c r="J56" t="s">
        <v>147</v>
      </c>
      <c r="K56" s="8" t="b">
        <v>1</v>
      </c>
      <c r="L56" s="10" t="b">
        <v>0</v>
      </c>
      <c r="M56" s="12" t="b">
        <v>0</v>
      </c>
      <c r="N56" t="b">
        <v>0</v>
      </c>
      <c r="O56" t="b">
        <v>0</v>
      </c>
      <c r="P56" t="b">
        <v>0</v>
      </c>
      <c r="Q56">
        <f t="shared" si="1"/>
        <v>3</v>
      </c>
      <c r="R56">
        <f t="shared" si="2"/>
        <v>12</v>
      </c>
      <c r="S56" t="e">
        <f t="shared" ca="1" si="109"/>
        <v>#NAME?</v>
      </c>
      <c r="T56" t="e">
        <f t="shared" ca="1" si="3"/>
        <v>#NAME?</v>
      </c>
      <c r="U56" s="4">
        <f t="shared" si="4"/>
        <v>850.15256944444263</v>
      </c>
      <c r="V56" s="4">
        <f t="shared" si="5"/>
        <v>28.338418981481421</v>
      </c>
      <c r="W56" s="4">
        <f t="shared" si="6"/>
        <v>1</v>
      </c>
      <c r="X56" s="4">
        <f t="shared" si="7"/>
        <v>0</v>
      </c>
      <c r="Y56" s="4">
        <f t="shared" si="8"/>
        <v>0</v>
      </c>
      <c r="Z56" s="4">
        <f t="shared" si="9"/>
        <v>0</v>
      </c>
      <c r="AA56" s="4">
        <f t="shared" si="10"/>
        <v>0</v>
      </c>
      <c r="AB56" s="4">
        <f t="shared" si="11"/>
        <v>0</v>
      </c>
      <c r="AC56" s="4"/>
      <c r="AD56" s="4" t="b">
        <f t="shared" si="12"/>
        <v>0</v>
      </c>
      <c r="AE56" s="4" t="b">
        <f t="shared" si="13"/>
        <v>0</v>
      </c>
      <c r="AF56" s="4" t="b">
        <f t="shared" si="14"/>
        <v>0</v>
      </c>
      <c r="AG56" t="b">
        <f t="shared" si="15"/>
        <v>0</v>
      </c>
      <c r="AH56" t="b">
        <f t="shared" si="16"/>
        <v>0</v>
      </c>
      <c r="AI56" t="b">
        <f t="shared" si="17"/>
        <v>0</v>
      </c>
      <c r="AJ56" t="b">
        <f t="shared" si="18"/>
        <v>0</v>
      </c>
      <c r="AK56" t="b">
        <f t="shared" si="19"/>
        <v>0</v>
      </c>
      <c r="AL56" t="b">
        <f t="shared" si="20"/>
        <v>0</v>
      </c>
      <c r="AM56" t="b">
        <f t="shared" si="21"/>
        <v>0</v>
      </c>
      <c r="AN56" t="b">
        <f t="shared" si="22"/>
        <v>0</v>
      </c>
      <c r="AO56" t="b">
        <f t="shared" si="23"/>
        <v>0</v>
      </c>
      <c r="AP56" t="b">
        <f t="shared" si="24"/>
        <v>0</v>
      </c>
      <c r="AQ56" t="b">
        <f t="shared" si="25"/>
        <v>0</v>
      </c>
      <c r="AR56" t="b">
        <f t="shared" si="26"/>
        <v>0</v>
      </c>
      <c r="AS56" t="b">
        <f t="shared" si="27"/>
        <v>0</v>
      </c>
      <c r="AT56" t="b">
        <f t="shared" si="28"/>
        <v>0</v>
      </c>
      <c r="AU56" t="b">
        <f t="shared" si="29"/>
        <v>0</v>
      </c>
      <c r="AV56" t="b">
        <f t="shared" si="30"/>
        <v>0</v>
      </c>
      <c r="AW56" t="b">
        <f t="shared" si="31"/>
        <v>0</v>
      </c>
      <c r="AX56" t="b">
        <f t="shared" si="110"/>
        <v>0</v>
      </c>
      <c r="AY56" t="b">
        <f t="shared" si="111"/>
        <v>0</v>
      </c>
      <c r="AZ56" t="b">
        <f t="shared" si="112"/>
        <v>0</v>
      </c>
      <c r="BA56" t="b">
        <f t="shared" si="113"/>
        <v>0</v>
      </c>
      <c r="BB56" t="b">
        <f t="shared" si="114"/>
        <v>0</v>
      </c>
      <c r="BC56" t="b">
        <f t="shared" si="115"/>
        <v>0</v>
      </c>
      <c r="BD56" t="b">
        <f t="shared" si="116"/>
        <v>0</v>
      </c>
      <c r="BE56" t="b">
        <f t="shared" si="117"/>
        <v>0</v>
      </c>
      <c r="BF56" t="b">
        <f t="shared" si="118"/>
        <v>0</v>
      </c>
      <c r="BG56" t="b">
        <f t="shared" si="119"/>
        <v>0</v>
      </c>
      <c r="BH56" t="b">
        <f t="shared" si="120"/>
        <v>0</v>
      </c>
      <c r="BI56">
        <f t="shared" si="121"/>
        <v>1</v>
      </c>
      <c r="BJ56" t="b">
        <f t="shared" si="122"/>
        <v>0</v>
      </c>
      <c r="BK56" t="b">
        <f t="shared" si="123"/>
        <v>0</v>
      </c>
      <c r="BL56" t="b">
        <f t="shared" si="124"/>
        <v>0</v>
      </c>
      <c r="BM56" t="b">
        <f t="shared" si="32"/>
        <v>0</v>
      </c>
      <c r="BN56" t="b">
        <f t="shared" si="33"/>
        <v>0</v>
      </c>
      <c r="BO56" t="b">
        <f t="shared" si="34"/>
        <v>0</v>
      </c>
      <c r="BP56" t="b">
        <f t="shared" si="35"/>
        <v>0</v>
      </c>
      <c r="BQ56" t="b">
        <f t="shared" si="36"/>
        <v>0</v>
      </c>
      <c r="BR56" t="b">
        <f t="shared" si="37"/>
        <v>0</v>
      </c>
      <c r="BS56" t="b">
        <f t="shared" si="38"/>
        <v>0</v>
      </c>
      <c r="BT56" t="b">
        <f t="shared" si="39"/>
        <v>0</v>
      </c>
      <c r="BU56" t="b">
        <f t="shared" si="40"/>
        <v>0</v>
      </c>
      <c r="BV56" t="b">
        <f t="shared" si="41"/>
        <v>0</v>
      </c>
      <c r="BW56" t="b">
        <f t="shared" si="42"/>
        <v>0</v>
      </c>
      <c r="BX56" t="b">
        <f t="shared" si="43"/>
        <v>0</v>
      </c>
      <c r="BY56" t="b">
        <f t="shared" si="44"/>
        <v>0</v>
      </c>
      <c r="BZ56" t="b">
        <f t="shared" si="45"/>
        <v>0</v>
      </c>
      <c r="CA56" t="b">
        <f t="shared" si="46"/>
        <v>0</v>
      </c>
      <c r="CB56" t="b">
        <f t="shared" si="47"/>
        <v>0</v>
      </c>
      <c r="CC56" t="b">
        <f t="shared" si="48"/>
        <v>0</v>
      </c>
      <c r="CD56" t="b">
        <f t="shared" si="49"/>
        <v>0</v>
      </c>
      <c r="CE56" t="b">
        <f t="shared" si="50"/>
        <v>0</v>
      </c>
      <c r="CF56" t="b">
        <f t="shared" si="51"/>
        <v>0</v>
      </c>
      <c r="CG56" t="b">
        <f t="shared" si="52"/>
        <v>0</v>
      </c>
      <c r="CH56" t="b">
        <f t="shared" si="53"/>
        <v>0</v>
      </c>
      <c r="CI56" t="b">
        <f t="shared" si="54"/>
        <v>0</v>
      </c>
      <c r="CJ56" t="b">
        <f t="shared" si="55"/>
        <v>0</v>
      </c>
      <c r="CK56" t="b">
        <f t="shared" si="56"/>
        <v>0</v>
      </c>
      <c r="CL56" t="b">
        <f t="shared" si="57"/>
        <v>0</v>
      </c>
      <c r="CM56" t="b">
        <f t="shared" si="58"/>
        <v>0</v>
      </c>
      <c r="CN56" t="b">
        <f t="shared" si="59"/>
        <v>0</v>
      </c>
      <c r="CO56" t="b">
        <f t="shared" si="60"/>
        <v>0</v>
      </c>
      <c r="CP56" t="b">
        <f t="shared" si="61"/>
        <v>0</v>
      </c>
      <c r="CQ56" t="b">
        <f t="shared" si="62"/>
        <v>0</v>
      </c>
      <c r="CR56" t="b">
        <f t="shared" si="63"/>
        <v>0</v>
      </c>
      <c r="CS56" t="b">
        <f t="shared" si="64"/>
        <v>0</v>
      </c>
      <c r="CT56" t="b">
        <f t="shared" si="65"/>
        <v>0</v>
      </c>
      <c r="CU56" t="b">
        <f t="shared" si="66"/>
        <v>0</v>
      </c>
      <c r="CV56">
        <f t="shared" si="67"/>
        <v>1</v>
      </c>
      <c r="CW56" t="b">
        <f t="shared" si="68"/>
        <v>0</v>
      </c>
      <c r="CX56" t="b">
        <f t="shared" si="69"/>
        <v>0</v>
      </c>
      <c r="CY56" t="b">
        <f t="shared" si="70"/>
        <v>0</v>
      </c>
      <c r="CZ56" t="b">
        <f t="shared" si="71"/>
        <v>0</v>
      </c>
      <c r="DA56" t="b">
        <f t="shared" si="72"/>
        <v>0</v>
      </c>
      <c r="DB56" t="b">
        <f t="shared" si="73"/>
        <v>0</v>
      </c>
      <c r="DC56" t="b">
        <f t="shared" si="74"/>
        <v>0</v>
      </c>
      <c r="DD56" t="b">
        <f t="shared" si="75"/>
        <v>0</v>
      </c>
      <c r="DE56" t="b">
        <f t="shared" si="76"/>
        <v>0</v>
      </c>
      <c r="DF56" t="b">
        <f t="shared" si="77"/>
        <v>0</v>
      </c>
      <c r="DG56" t="b">
        <f t="shared" si="78"/>
        <v>0</v>
      </c>
      <c r="DH56" t="b">
        <f t="shared" si="79"/>
        <v>0</v>
      </c>
      <c r="DI56" t="b">
        <f t="shared" si="80"/>
        <v>0</v>
      </c>
      <c r="DJ56" t="b">
        <f t="shared" si="81"/>
        <v>0</v>
      </c>
      <c r="DK56" t="b">
        <f t="shared" si="82"/>
        <v>0</v>
      </c>
      <c r="DL56" t="b">
        <f t="shared" si="83"/>
        <v>0</v>
      </c>
      <c r="DM56" t="b">
        <f t="shared" si="84"/>
        <v>0</v>
      </c>
      <c r="DN56" t="b">
        <f t="shared" si="85"/>
        <v>0</v>
      </c>
      <c r="DO56" t="b">
        <f t="shared" si="86"/>
        <v>0</v>
      </c>
      <c r="DP56" t="b">
        <f t="shared" si="87"/>
        <v>0</v>
      </c>
      <c r="DQ56" t="b">
        <f t="shared" si="88"/>
        <v>0</v>
      </c>
      <c r="DR56" t="b">
        <f t="shared" si="89"/>
        <v>0</v>
      </c>
      <c r="DS56" t="b">
        <f t="shared" si="90"/>
        <v>0</v>
      </c>
      <c r="DT56" t="b">
        <f t="shared" si="91"/>
        <v>0</v>
      </c>
      <c r="DU56" t="b">
        <f t="shared" si="92"/>
        <v>0</v>
      </c>
      <c r="DV56" t="b">
        <f t="shared" si="93"/>
        <v>0</v>
      </c>
      <c r="DW56" t="b">
        <f t="shared" si="94"/>
        <v>0</v>
      </c>
      <c r="DX56" t="b">
        <f t="shared" si="95"/>
        <v>0</v>
      </c>
      <c r="DY56" t="b">
        <f t="shared" si="96"/>
        <v>0</v>
      </c>
      <c r="DZ56" t="b">
        <f t="shared" si="97"/>
        <v>0</v>
      </c>
      <c r="EA56" t="b">
        <f t="shared" si="98"/>
        <v>0</v>
      </c>
      <c r="EB56" t="b">
        <f t="shared" si="99"/>
        <v>0</v>
      </c>
      <c r="EC56" t="b">
        <f t="shared" si="100"/>
        <v>0</v>
      </c>
      <c r="ED56" t="b">
        <f t="shared" si="101"/>
        <v>0</v>
      </c>
      <c r="EE56" t="b">
        <f t="shared" si="102"/>
        <v>0</v>
      </c>
      <c r="EF56" t="b">
        <f t="shared" si="103"/>
        <v>0</v>
      </c>
      <c r="EG56" t="b">
        <f t="shared" si="104"/>
        <v>0</v>
      </c>
      <c r="EH56" t="b">
        <f t="shared" si="105"/>
        <v>0</v>
      </c>
      <c r="EI56" t="b">
        <f t="shared" si="106"/>
        <v>0</v>
      </c>
      <c r="EJ56" t="b">
        <f t="shared" si="107"/>
        <v>0</v>
      </c>
      <c r="EK56" t="b">
        <f t="shared" si="108"/>
        <v>0</v>
      </c>
    </row>
    <row r="57" spans="1:141">
      <c r="A57" t="s">
        <v>411</v>
      </c>
      <c r="B57" t="s">
        <v>412</v>
      </c>
      <c r="D57" s="1">
        <v>42934</v>
      </c>
      <c r="E57" s="2">
        <v>42934.318101851852</v>
      </c>
      <c r="F57" s="2">
        <v>42934.318101851852</v>
      </c>
      <c r="G57">
        <v>105059554</v>
      </c>
      <c r="H57" t="s">
        <v>413</v>
      </c>
      <c r="I57" s="10" t="s">
        <v>414</v>
      </c>
      <c r="J57" t="s">
        <v>415</v>
      </c>
      <c r="K57" s="8" t="b">
        <v>1</v>
      </c>
      <c r="L57" s="10" t="b">
        <v>0</v>
      </c>
      <c r="M57" s="12" t="b">
        <v>0</v>
      </c>
      <c r="N57" t="b">
        <v>0</v>
      </c>
      <c r="O57" t="b">
        <v>1</v>
      </c>
      <c r="P57" t="b">
        <v>0</v>
      </c>
      <c r="Q57">
        <f t="shared" si="1"/>
        <v>3</v>
      </c>
      <c r="R57">
        <f t="shared" si="2"/>
        <v>7</v>
      </c>
      <c r="S57" t="e">
        <f t="shared" ca="1" si="109"/>
        <v>#NAME?</v>
      </c>
      <c r="T57" t="e">
        <f t="shared" ca="1" si="3"/>
        <v>#NAME?</v>
      </c>
      <c r="U57" s="4">
        <f t="shared" si="4"/>
        <v>0.31810185185167938</v>
      </c>
      <c r="V57" s="4">
        <f t="shared" si="5"/>
        <v>1.0603395061722646E-2</v>
      </c>
      <c r="W57" s="4">
        <f t="shared" si="6"/>
        <v>1</v>
      </c>
      <c r="X57" s="4">
        <f t="shared" si="7"/>
        <v>0</v>
      </c>
      <c r="Y57" s="4">
        <f t="shared" si="8"/>
        <v>0</v>
      </c>
      <c r="Z57" s="4">
        <f t="shared" si="9"/>
        <v>0</v>
      </c>
      <c r="AA57" s="4">
        <f t="shared" si="10"/>
        <v>1</v>
      </c>
      <c r="AB57" s="4">
        <f t="shared" si="11"/>
        <v>0</v>
      </c>
      <c r="AC57" s="4"/>
      <c r="AD57" s="4" t="b">
        <f t="shared" si="12"/>
        <v>0</v>
      </c>
      <c r="AE57" s="4" t="b">
        <f t="shared" si="13"/>
        <v>0</v>
      </c>
      <c r="AF57" s="4" t="b">
        <f t="shared" si="14"/>
        <v>0</v>
      </c>
      <c r="AG57" t="b">
        <f t="shared" si="15"/>
        <v>0</v>
      </c>
      <c r="AH57" t="b">
        <f t="shared" si="16"/>
        <v>0</v>
      </c>
      <c r="AI57" t="b">
        <f t="shared" si="17"/>
        <v>0</v>
      </c>
      <c r="AJ57" t="b">
        <f t="shared" si="18"/>
        <v>0</v>
      </c>
      <c r="AK57" t="b">
        <f t="shared" si="19"/>
        <v>0</v>
      </c>
      <c r="AL57" t="b">
        <f t="shared" si="20"/>
        <v>0</v>
      </c>
      <c r="AM57" t="b">
        <f t="shared" si="21"/>
        <v>0</v>
      </c>
      <c r="AN57" t="b">
        <f t="shared" si="22"/>
        <v>0</v>
      </c>
      <c r="AO57" t="b">
        <f t="shared" si="23"/>
        <v>0</v>
      </c>
      <c r="AP57" t="b">
        <f t="shared" si="24"/>
        <v>0</v>
      </c>
      <c r="AQ57" t="b">
        <f t="shared" si="25"/>
        <v>0</v>
      </c>
      <c r="AR57" t="b">
        <f t="shared" si="26"/>
        <v>0</v>
      </c>
      <c r="AS57" t="b">
        <f t="shared" si="27"/>
        <v>0</v>
      </c>
      <c r="AT57" t="b">
        <f t="shared" si="28"/>
        <v>0</v>
      </c>
      <c r="AU57" t="b">
        <f t="shared" si="29"/>
        <v>0</v>
      </c>
      <c r="AV57" t="b">
        <f t="shared" si="30"/>
        <v>0</v>
      </c>
      <c r="AW57" t="b">
        <f t="shared" si="31"/>
        <v>0</v>
      </c>
      <c r="AX57" t="b">
        <f t="shared" si="110"/>
        <v>0</v>
      </c>
      <c r="AY57" t="b">
        <f t="shared" si="111"/>
        <v>0</v>
      </c>
      <c r="AZ57" t="b">
        <f t="shared" si="112"/>
        <v>0</v>
      </c>
      <c r="BA57" t="b">
        <f t="shared" si="113"/>
        <v>0</v>
      </c>
      <c r="BB57" t="b">
        <f t="shared" si="114"/>
        <v>0</v>
      </c>
      <c r="BC57" t="b">
        <f t="shared" si="115"/>
        <v>0</v>
      </c>
      <c r="BD57" t="b">
        <f t="shared" si="116"/>
        <v>0</v>
      </c>
      <c r="BE57" t="b">
        <f t="shared" si="117"/>
        <v>0</v>
      </c>
      <c r="BF57" t="b">
        <f t="shared" si="118"/>
        <v>0</v>
      </c>
      <c r="BG57" t="b">
        <f t="shared" si="119"/>
        <v>0</v>
      </c>
      <c r="BH57" t="b">
        <f t="shared" si="120"/>
        <v>0</v>
      </c>
      <c r="BI57">
        <f t="shared" si="121"/>
        <v>1</v>
      </c>
      <c r="BJ57">
        <f t="shared" si="122"/>
        <v>1</v>
      </c>
      <c r="BK57" t="b">
        <f t="shared" si="123"/>
        <v>0</v>
      </c>
      <c r="BL57" t="b">
        <f t="shared" si="124"/>
        <v>0</v>
      </c>
      <c r="BM57" t="b">
        <f t="shared" si="32"/>
        <v>0</v>
      </c>
      <c r="BN57" t="b">
        <f t="shared" si="33"/>
        <v>0</v>
      </c>
      <c r="BO57" t="b">
        <f t="shared" si="34"/>
        <v>0</v>
      </c>
      <c r="BP57" t="b">
        <f t="shared" si="35"/>
        <v>0</v>
      </c>
      <c r="BQ57" t="b">
        <f t="shared" si="36"/>
        <v>0</v>
      </c>
      <c r="BR57" t="b">
        <f t="shared" si="37"/>
        <v>0</v>
      </c>
      <c r="BS57" t="b">
        <f t="shared" si="38"/>
        <v>0</v>
      </c>
      <c r="BT57" t="b">
        <f t="shared" si="39"/>
        <v>0</v>
      </c>
      <c r="BU57" t="b">
        <f t="shared" si="40"/>
        <v>0</v>
      </c>
      <c r="BV57" t="b">
        <f t="shared" si="41"/>
        <v>0</v>
      </c>
      <c r="BW57" t="b">
        <f t="shared" si="42"/>
        <v>0</v>
      </c>
      <c r="BX57" t="b">
        <f t="shared" si="43"/>
        <v>0</v>
      </c>
      <c r="BY57" t="b">
        <f t="shared" si="44"/>
        <v>0</v>
      </c>
      <c r="BZ57" t="b">
        <f t="shared" si="45"/>
        <v>0</v>
      </c>
      <c r="CA57" t="b">
        <f t="shared" si="46"/>
        <v>0</v>
      </c>
      <c r="CB57" t="b">
        <f t="shared" si="47"/>
        <v>0</v>
      </c>
      <c r="CC57" t="b">
        <f t="shared" si="48"/>
        <v>0</v>
      </c>
      <c r="CD57" t="b">
        <f t="shared" si="49"/>
        <v>0</v>
      </c>
      <c r="CE57" t="b">
        <f t="shared" si="50"/>
        <v>0</v>
      </c>
      <c r="CF57" t="b">
        <f t="shared" si="51"/>
        <v>0</v>
      </c>
      <c r="CG57" t="b">
        <f t="shared" si="52"/>
        <v>0</v>
      </c>
      <c r="CH57" t="b">
        <f t="shared" si="53"/>
        <v>0</v>
      </c>
      <c r="CI57" t="b">
        <f t="shared" si="54"/>
        <v>0</v>
      </c>
      <c r="CJ57" t="b">
        <f t="shared" si="55"/>
        <v>0</v>
      </c>
      <c r="CK57" t="b">
        <f t="shared" si="56"/>
        <v>0</v>
      </c>
      <c r="CL57" t="b">
        <f t="shared" si="57"/>
        <v>0</v>
      </c>
      <c r="CM57">
        <f t="shared" si="58"/>
        <v>1</v>
      </c>
      <c r="CN57" t="b">
        <f t="shared" si="59"/>
        <v>0</v>
      </c>
      <c r="CO57" t="b">
        <f t="shared" si="60"/>
        <v>0</v>
      </c>
      <c r="CP57" t="b">
        <f t="shared" si="61"/>
        <v>0</v>
      </c>
      <c r="CQ57" t="b">
        <f t="shared" si="62"/>
        <v>0</v>
      </c>
      <c r="CR57" t="b">
        <f t="shared" si="63"/>
        <v>0</v>
      </c>
      <c r="CS57" t="b">
        <f t="shared" si="64"/>
        <v>0</v>
      </c>
      <c r="CT57" t="b">
        <f t="shared" si="65"/>
        <v>0</v>
      </c>
      <c r="CU57" t="b">
        <f t="shared" si="66"/>
        <v>0</v>
      </c>
      <c r="CV57" t="b">
        <f t="shared" si="67"/>
        <v>0</v>
      </c>
      <c r="CW57" t="b">
        <f t="shared" si="68"/>
        <v>0</v>
      </c>
      <c r="CX57" t="b">
        <f t="shared" si="69"/>
        <v>0</v>
      </c>
      <c r="CY57" t="b">
        <f t="shared" si="70"/>
        <v>0</v>
      </c>
      <c r="CZ57" t="b">
        <f t="shared" si="71"/>
        <v>0</v>
      </c>
      <c r="DA57">
        <f t="shared" si="72"/>
        <v>1</v>
      </c>
      <c r="DB57">
        <f t="shared" si="73"/>
        <v>1</v>
      </c>
      <c r="DC57" t="b">
        <f t="shared" si="74"/>
        <v>0</v>
      </c>
      <c r="DD57" t="b">
        <f t="shared" si="75"/>
        <v>0</v>
      </c>
      <c r="DE57" t="b">
        <f t="shared" si="76"/>
        <v>0</v>
      </c>
      <c r="DF57" t="b">
        <f t="shared" si="77"/>
        <v>0</v>
      </c>
      <c r="DG57" t="b">
        <f t="shared" si="78"/>
        <v>0</v>
      </c>
      <c r="DH57" t="b">
        <f t="shared" si="79"/>
        <v>0</v>
      </c>
      <c r="DI57" t="b">
        <f t="shared" si="80"/>
        <v>0</v>
      </c>
      <c r="DJ57" t="b">
        <f t="shared" si="81"/>
        <v>0</v>
      </c>
      <c r="DK57" t="b">
        <f t="shared" si="82"/>
        <v>0</v>
      </c>
      <c r="DL57" t="b">
        <f t="shared" si="83"/>
        <v>0</v>
      </c>
      <c r="DM57" t="b">
        <f t="shared" si="84"/>
        <v>0</v>
      </c>
      <c r="DN57" t="b">
        <f t="shared" si="85"/>
        <v>0</v>
      </c>
      <c r="DO57" t="b">
        <f t="shared" si="86"/>
        <v>0</v>
      </c>
      <c r="DP57" t="b">
        <f t="shared" si="87"/>
        <v>0</v>
      </c>
      <c r="DQ57" t="b">
        <f t="shared" si="88"/>
        <v>0</v>
      </c>
      <c r="DR57" t="b">
        <f t="shared" si="89"/>
        <v>0</v>
      </c>
      <c r="DS57" t="b">
        <f t="shared" si="90"/>
        <v>0</v>
      </c>
      <c r="DT57" t="b">
        <f t="shared" si="91"/>
        <v>0</v>
      </c>
      <c r="DU57" t="b">
        <f t="shared" si="92"/>
        <v>0</v>
      </c>
      <c r="DV57" t="b">
        <f t="shared" si="93"/>
        <v>0</v>
      </c>
      <c r="DW57" t="b">
        <f t="shared" si="94"/>
        <v>0</v>
      </c>
      <c r="DX57" t="b">
        <f t="shared" si="95"/>
        <v>0</v>
      </c>
      <c r="DY57" t="b">
        <f t="shared" si="96"/>
        <v>0</v>
      </c>
      <c r="DZ57" t="b">
        <f t="shared" si="97"/>
        <v>0</v>
      </c>
      <c r="EA57" t="b">
        <f t="shared" si="98"/>
        <v>0</v>
      </c>
      <c r="EB57" t="b">
        <f t="shared" si="99"/>
        <v>0</v>
      </c>
      <c r="EC57" t="b">
        <f t="shared" si="100"/>
        <v>0</v>
      </c>
      <c r="ED57" t="b">
        <f t="shared" si="101"/>
        <v>0</v>
      </c>
      <c r="EE57" t="b">
        <f t="shared" si="102"/>
        <v>0</v>
      </c>
      <c r="EF57" t="b">
        <f t="shared" si="103"/>
        <v>0</v>
      </c>
      <c r="EG57" t="b">
        <f t="shared" si="104"/>
        <v>0</v>
      </c>
      <c r="EH57" t="b">
        <f t="shared" si="105"/>
        <v>0</v>
      </c>
      <c r="EI57" t="b">
        <f t="shared" si="106"/>
        <v>0</v>
      </c>
      <c r="EJ57" t="b">
        <f t="shared" si="107"/>
        <v>0</v>
      </c>
      <c r="EK57" t="b">
        <f t="shared" si="108"/>
        <v>0</v>
      </c>
    </row>
    <row r="58" spans="1:141">
      <c r="A58" t="s">
        <v>416</v>
      </c>
      <c r="B58" t="s">
        <v>417</v>
      </c>
      <c r="C58" t="s">
        <v>418</v>
      </c>
      <c r="D58" s="1">
        <v>39745</v>
      </c>
      <c r="E58" s="2">
        <v>43397.268784722219</v>
      </c>
      <c r="F58" s="2">
        <v>43397.269097222219</v>
      </c>
      <c r="G58">
        <v>846742</v>
      </c>
      <c r="H58" t="s">
        <v>419</v>
      </c>
      <c r="I58" s="10" t="s">
        <v>420</v>
      </c>
      <c r="J58" t="s">
        <v>147</v>
      </c>
      <c r="K58" s="8" t="b">
        <v>1</v>
      </c>
      <c r="L58" s="10" t="b">
        <v>0</v>
      </c>
      <c r="M58" s="12" t="b">
        <v>0</v>
      </c>
      <c r="N58" t="b">
        <v>0</v>
      </c>
      <c r="O58" t="b">
        <v>0</v>
      </c>
      <c r="P58" t="b">
        <v>0</v>
      </c>
      <c r="Q58">
        <f t="shared" si="1"/>
        <v>6</v>
      </c>
      <c r="R58">
        <f t="shared" si="2"/>
        <v>10</v>
      </c>
      <c r="S58" t="e">
        <f t="shared" ca="1" si="109"/>
        <v>#NAME?</v>
      </c>
      <c r="T58" t="e">
        <f t="shared" ca="1" si="3"/>
        <v>#NAME?</v>
      </c>
      <c r="U58" s="4">
        <f t="shared" si="4"/>
        <v>3652.2687847222187</v>
      </c>
      <c r="V58" s="4">
        <f t="shared" si="5"/>
        <v>121.74229282407396</v>
      </c>
      <c r="W58" s="4">
        <f t="shared" si="6"/>
        <v>1</v>
      </c>
      <c r="X58" s="4">
        <f t="shared" si="7"/>
        <v>0</v>
      </c>
      <c r="Y58" s="4">
        <f t="shared" si="8"/>
        <v>0</v>
      </c>
      <c r="Z58" s="4">
        <f t="shared" si="9"/>
        <v>0</v>
      </c>
      <c r="AA58" s="4">
        <f t="shared" si="10"/>
        <v>0</v>
      </c>
      <c r="AB58" s="4">
        <f t="shared" si="11"/>
        <v>0</v>
      </c>
      <c r="AC58" s="4"/>
      <c r="AD58" s="4" t="b">
        <f t="shared" si="12"/>
        <v>0</v>
      </c>
      <c r="AE58" s="4" t="b">
        <f t="shared" si="13"/>
        <v>0</v>
      </c>
      <c r="AF58" s="4" t="b">
        <f t="shared" si="14"/>
        <v>0</v>
      </c>
      <c r="AG58" t="b">
        <f t="shared" si="15"/>
        <v>0</v>
      </c>
      <c r="AH58" t="b">
        <f t="shared" si="16"/>
        <v>0</v>
      </c>
      <c r="AI58" t="b">
        <f t="shared" si="17"/>
        <v>0</v>
      </c>
      <c r="AJ58" t="b">
        <f t="shared" si="18"/>
        <v>0</v>
      </c>
      <c r="AK58" t="b">
        <f t="shared" si="19"/>
        <v>0</v>
      </c>
      <c r="AL58" t="b">
        <f t="shared" si="20"/>
        <v>0</v>
      </c>
      <c r="AM58" t="b">
        <f t="shared" si="21"/>
        <v>0</v>
      </c>
      <c r="AN58" t="b">
        <f t="shared" si="22"/>
        <v>0</v>
      </c>
      <c r="AO58" t="b">
        <f t="shared" si="23"/>
        <v>0</v>
      </c>
      <c r="AP58" t="b">
        <f t="shared" si="24"/>
        <v>0</v>
      </c>
      <c r="AQ58" t="b">
        <f t="shared" si="25"/>
        <v>0</v>
      </c>
      <c r="AR58" t="b">
        <f t="shared" si="26"/>
        <v>0</v>
      </c>
      <c r="AS58" t="b">
        <f t="shared" si="27"/>
        <v>0</v>
      </c>
      <c r="AT58" t="b">
        <f t="shared" si="28"/>
        <v>0</v>
      </c>
      <c r="AU58" t="b">
        <f t="shared" si="29"/>
        <v>0</v>
      </c>
      <c r="AV58" t="b">
        <f t="shared" si="30"/>
        <v>0</v>
      </c>
      <c r="AW58" t="b">
        <f t="shared" si="31"/>
        <v>0</v>
      </c>
      <c r="AX58" t="b">
        <f t="shared" si="110"/>
        <v>0</v>
      </c>
      <c r="AY58" t="b">
        <f t="shared" si="111"/>
        <v>0</v>
      </c>
      <c r="AZ58" t="b">
        <f t="shared" si="112"/>
        <v>0</v>
      </c>
      <c r="BA58" t="b">
        <f t="shared" si="113"/>
        <v>0</v>
      </c>
      <c r="BB58" t="b">
        <f t="shared" si="114"/>
        <v>0</v>
      </c>
      <c r="BC58" t="b">
        <f t="shared" si="115"/>
        <v>0</v>
      </c>
      <c r="BD58" t="b">
        <f t="shared" si="116"/>
        <v>0</v>
      </c>
      <c r="BE58" t="b">
        <f t="shared" si="117"/>
        <v>0</v>
      </c>
      <c r="BF58" t="b">
        <f t="shared" si="118"/>
        <v>0</v>
      </c>
      <c r="BG58" t="b">
        <f t="shared" si="119"/>
        <v>0</v>
      </c>
      <c r="BH58" t="b">
        <f t="shared" si="120"/>
        <v>0</v>
      </c>
      <c r="BI58">
        <f t="shared" si="121"/>
        <v>1</v>
      </c>
      <c r="BJ58" t="b">
        <f t="shared" si="122"/>
        <v>0</v>
      </c>
      <c r="BK58" t="b">
        <f t="shared" si="123"/>
        <v>0</v>
      </c>
      <c r="BL58" t="b">
        <f t="shared" si="124"/>
        <v>0</v>
      </c>
      <c r="BM58" t="b">
        <f t="shared" si="32"/>
        <v>0</v>
      </c>
      <c r="BN58" t="b">
        <f t="shared" si="33"/>
        <v>0</v>
      </c>
      <c r="BO58" t="b">
        <f t="shared" si="34"/>
        <v>0</v>
      </c>
      <c r="BP58" t="b">
        <f t="shared" si="35"/>
        <v>0</v>
      </c>
      <c r="BQ58" t="b">
        <f t="shared" si="36"/>
        <v>0</v>
      </c>
      <c r="BR58" t="b">
        <f t="shared" si="37"/>
        <v>0</v>
      </c>
      <c r="BS58" t="b">
        <f t="shared" si="38"/>
        <v>0</v>
      </c>
      <c r="BT58" t="b">
        <f t="shared" si="39"/>
        <v>0</v>
      </c>
      <c r="BU58" t="b">
        <f t="shared" si="40"/>
        <v>0</v>
      </c>
      <c r="BV58" t="b">
        <f t="shared" si="41"/>
        <v>0</v>
      </c>
      <c r="BW58" t="b">
        <f t="shared" si="42"/>
        <v>0</v>
      </c>
      <c r="BX58" t="b">
        <f t="shared" si="43"/>
        <v>0</v>
      </c>
      <c r="BY58" t="b">
        <f t="shared" si="44"/>
        <v>0</v>
      </c>
      <c r="BZ58" t="b">
        <f t="shared" si="45"/>
        <v>0</v>
      </c>
      <c r="CA58" t="b">
        <f t="shared" si="46"/>
        <v>0</v>
      </c>
      <c r="CB58" t="b">
        <f t="shared" si="47"/>
        <v>0</v>
      </c>
      <c r="CC58" t="b">
        <f t="shared" si="48"/>
        <v>0</v>
      </c>
      <c r="CD58" t="b">
        <f t="shared" si="49"/>
        <v>0</v>
      </c>
      <c r="CE58" t="b">
        <f t="shared" si="50"/>
        <v>0</v>
      </c>
      <c r="CF58" t="b">
        <f t="shared" si="51"/>
        <v>0</v>
      </c>
      <c r="CG58" t="b">
        <f t="shared" si="52"/>
        <v>0</v>
      </c>
      <c r="CH58" t="b">
        <f t="shared" si="53"/>
        <v>0</v>
      </c>
      <c r="CI58" t="b">
        <f t="shared" si="54"/>
        <v>0</v>
      </c>
      <c r="CJ58" t="b">
        <f t="shared" si="55"/>
        <v>0</v>
      </c>
      <c r="CK58" t="b">
        <f t="shared" si="56"/>
        <v>0</v>
      </c>
      <c r="CL58" t="b">
        <f t="shared" si="57"/>
        <v>0</v>
      </c>
      <c r="CM58" t="b">
        <f t="shared" si="58"/>
        <v>0</v>
      </c>
      <c r="CN58" t="b">
        <f t="shared" si="59"/>
        <v>0</v>
      </c>
      <c r="CO58" t="b">
        <f t="shared" si="60"/>
        <v>0</v>
      </c>
      <c r="CP58" t="b">
        <f t="shared" si="61"/>
        <v>0</v>
      </c>
      <c r="CQ58" t="b">
        <f t="shared" si="62"/>
        <v>0</v>
      </c>
      <c r="CR58" t="b">
        <f t="shared" si="63"/>
        <v>0</v>
      </c>
      <c r="CS58" t="b">
        <f t="shared" si="64"/>
        <v>0</v>
      </c>
      <c r="CT58" t="b">
        <f t="shared" si="65"/>
        <v>0</v>
      </c>
      <c r="CU58" t="b">
        <f t="shared" si="66"/>
        <v>0</v>
      </c>
      <c r="CV58">
        <f t="shared" si="67"/>
        <v>1</v>
      </c>
      <c r="CW58" t="b">
        <f t="shared" si="68"/>
        <v>0</v>
      </c>
      <c r="CX58" t="b">
        <f t="shared" si="69"/>
        <v>0</v>
      </c>
      <c r="CY58" t="b">
        <f t="shared" si="70"/>
        <v>0</v>
      </c>
      <c r="CZ58" t="b">
        <f t="shared" si="71"/>
        <v>0</v>
      </c>
      <c r="DA58" t="b">
        <f t="shared" si="72"/>
        <v>0</v>
      </c>
      <c r="DB58" t="b">
        <f t="shared" si="73"/>
        <v>0</v>
      </c>
      <c r="DC58" t="b">
        <f t="shared" si="74"/>
        <v>0</v>
      </c>
      <c r="DD58" t="b">
        <f t="shared" si="75"/>
        <v>0</v>
      </c>
      <c r="DE58" t="b">
        <f t="shared" si="76"/>
        <v>0</v>
      </c>
      <c r="DF58" t="b">
        <f t="shared" si="77"/>
        <v>0</v>
      </c>
      <c r="DG58" t="b">
        <f t="shared" si="78"/>
        <v>0</v>
      </c>
      <c r="DH58" t="b">
        <f t="shared" si="79"/>
        <v>0</v>
      </c>
      <c r="DI58" t="b">
        <f t="shared" si="80"/>
        <v>0</v>
      </c>
      <c r="DJ58" t="b">
        <f t="shared" si="81"/>
        <v>0</v>
      </c>
      <c r="DK58" t="b">
        <f t="shared" si="82"/>
        <v>0</v>
      </c>
      <c r="DL58" t="b">
        <f t="shared" si="83"/>
        <v>0</v>
      </c>
      <c r="DM58" t="b">
        <f t="shared" si="84"/>
        <v>0</v>
      </c>
      <c r="DN58" t="b">
        <f t="shared" si="85"/>
        <v>0</v>
      </c>
      <c r="DO58" t="b">
        <f t="shared" si="86"/>
        <v>0</v>
      </c>
      <c r="DP58" t="b">
        <f t="shared" si="87"/>
        <v>0</v>
      </c>
      <c r="DQ58" t="b">
        <f t="shared" si="88"/>
        <v>0</v>
      </c>
      <c r="DR58" t="b">
        <f t="shared" si="89"/>
        <v>0</v>
      </c>
      <c r="DS58" t="b">
        <f t="shared" si="90"/>
        <v>0</v>
      </c>
      <c r="DT58" t="b">
        <f t="shared" si="91"/>
        <v>0</v>
      </c>
      <c r="DU58" t="b">
        <f t="shared" si="92"/>
        <v>0</v>
      </c>
      <c r="DV58" t="b">
        <f t="shared" si="93"/>
        <v>0</v>
      </c>
      <c r="DW58" t="b">
        <f t="shared" si="94"/>
        <v>0</v>
      </c>
      <c r="DX58" t="b">
        <f t="shared" si="95"/>
        <v>0</v>
      </c>
      <c r="DY58" t="b">
        <f t="shared" si="96"/>
        <v>0</v>
      </c>
      <c r="DZ58" t="b">
        <f t="shared" si="97"/>
        <v>0</v>
      </c>
      <c r="EA58" t="b">
        <f t="shared" si="98"/>
        <v>0</v>
      </c>
      <c r="EB58" t="b">
        <f t="shared" si="99"/>
        <v>0</v>
      </c>
      <c r="EC58" t="b">
        <f t="shared" si="100"/>
        <v>0</v>
      </c>
      <c r="ED58" t="b">
        <f t="shared" si="101"/>
        <v>0</v>
      </c>
      <c r="EE58" t="b">
        <f t="shared" si="102"/>
        <v>0</v>
      </c>
      <c r="EF58" t="b">
        <f t="shared" si="103"/>
        <v>0</v>
      </c>
      <c r="EG58" t="b">
        <f t="shared" si="104"/>
        <v>0</v>
      </c>
      <c r="EH58" t="b">
        <f t="shared" si="105"/>
        <v>0</v>
      </c>
      <c r="EI58" t="b">
        <f t="shared" si="106"/>
        <v>0</v>
      </c>
      <c r="EJ58" t="b">
        <f t="shared" si="107"/>
        <v>0</v>
      </c>
      <c r="EK58" t="b">
        <f t="shared" si="108"/>
        <v>0</v>
      </c>
    </row>
    <row r="59" spans="1:141">
      <c r="A59" t="s">
        <v>421</v>
      </c>
      <c r="B59" t="s">
        <v>421</v>
      </c>
      <c r="C59" t="s">
        <v>422</v>
      </c>
      <c r="D59" s="1">
        <v>41426</v>
      </c>
      <c r="E59" s="2">
        <v>42557.34447916667</v>
      </c>
      <c r="F59" s="2">
        <v>42557.34447916667</v>
      </c>
      <c r="G59">
        <v>112005531</v>
      </c>
      <c r="H59" t="s">
        <v>423</v>
      </c>
      <c r="I59" s="10" t="s">
        <v>424</v>
      </c>
      <c r="J59" t="s">
        <v>425</v>
      </c>
      <c r="K59" s="8" t="b">
        <v>0</v>
      </c>
      <c r="L59" s="10" t="b">
        <v>0</v>
      </c>
      <c r="M59" s="12" t="b">
        <v>1</v>
      </c>
      <c r="N59" t="b">
        <v>0</v>
      </c>
      <c r="O59" t="b">
        <v>0</v>
      </c>
      <c r="P59" t="b">
        <v>0</v>
      </c>
      <c r="Q59">
        <f t="shared" si="1"/>
        <v>7</v>
      </c>
      <c r="R59">
        <f t="shared" si="2"/>
        <v>6</v>
      </c>
      <c r="S59" t="e">
        <f t="shared" ca="1" si="109"/>
        <v>#NAME?</v>
      </c>
      <c r="T59" t="e">
        <f t="shared" ca="1" si="3"/>
        <v>#NAME?</v>
      </c>
      <c r="U59" s="4">
        <f t="shared" si="4"/>
        <v>1131.3444791666698</v>
      </c>
      <c r="V59" s="4">
        <f t="shared" si="5"/>
        <v>37.711482638888995</v>
      </c>
      <c r="W59" s="4">
        <f t="shared" si="6"/>
        <v>0</v>
      </c>
      <c r="X59" s="4">
        <f t="shared" si="7"/>
        <v>0</v>
      </c>
      <c r="Y59" s="4">
        <f t="shared" si="8"/>
        <v>1</v>
      </c>
      <c r="Z59" s="4">
        <f t="shared" si="9"/>
        <v>0</v>
      </c>
      <c r="AA59" s="4">
        <f t="shared" si="10"/>
        <v>0</v>
      </c>
      <c r="AB59" s="4">
        <f t="shared" si="11"/>
        <v>0</v>
      </c>
      <c r="AC59" s="4"/>
      <c r="AD59" s="4" t="b">
        <f t="shared" si="12"/>
        <v>0</v>
      </c>
      <c r="AE59" s="4" t="b">
        <f t="shared" si="13"/>
        <v>0</v>
      </c>
      <c r="AF59" s="4" t="b">
        <f t="shared" si="14"/>
        <v>0</v>
      </c>
      <c r="AG59" t="b">
        <f t="shared" si="15"/>
        <v>0</v>
      </c>
      <c r="AH59" t="b">
        <f t="shared" si="16"/>
        <v>0</v>
      </c>
      <c r="AI59" t="b">
        <f t="shared" si="17"/>
        <v>0</v>
      </c>
      <c r="AJ59" t="b">
        <f t="shared" si="18"/>
        <v>0</v>
      </c>
      <c r="AK59" t="b">
        <f t="shared" si="19"/>
        <v>0</v>
      </c>
      <c r="AL59" t="b">
        <f t="shared" si="20"/>
        <v>0</v>
      </c>
      <c r="AM59" t="b">
        <f t="shared" si="21"/>
        <v>0</v>
      </c>
      <c r="AN59" t="b">
        <f t="shared" si="22"/>
        <v>0</v>
      </c>
      <c r="AO59" t="b">
        <f t="shared" si="23"/>
        <v>0</v>
      </c>
      <c r="AP59" t="b">
        <f t="shared" si="24"/>
        <v>0</v>
      </c>
      <c r="AQ59" t="b">
        <f t="shared" si="25"/>
        <v>0</v>
      </c>
      <c r="AR59" t="b">
        <f t="shared" si="26"/>
        <v>0</v>
      </c>
      <c r="AS59" t="b">
        <f t="shared" si="27"/>
        <v>0</v>
      </c>
      <c r="AT59" t="b">
        <f t="shared" si="28"/>
        <v>0</v>
      </c>
      <c r="AU59" t="b">
        <f t="shared" si="29"/>
        <v>0</v>
      </c>
      <c r="AV59" t="b">
        <f t="shared" si="30"/>
        <v>0</v>
      </c>
      <c r="AW59" t="b">
        <f t="shared" si="31"/>
        <v>0</v>
      </c>
      <c r="AX59" t="b">
        <f t="shared" si="110"/>
        <v>0</v>
      </c>
      <c r="AY59" t="b">
        <f t="shared" si="111"/>
        <v>0</v>
      </c>
      <c r="AZ59">
        <f t="shared" si="112"/>
        <v>1</v>
      </c>
      <c r="BA59" t="b">
        <f t="shared" si="113"/>
        <v>0</v>
      </c>
      <c r="BB59" t="b">
        <f t="shared" si="114"/>
        <v>0</v>
      </c>
      <c r="BC59" t="b">
        <f t="shared" si="115"/>
        <v>0</v>
      </c>
      <c r="BD59" t="b">
        <f t="shared" si="116"/>
        <v>0</v>
      </c>
      <c r="BE59" t="b">
        <f t="shared" si="117"/>
        <v>0</v>
      </c>
      <c r="BF59" t="b">
        <f t="shared" si="118"/>
        <v>0</v>
      </c>
      <c r="BG59" t="b">
        <f t="shared" si="119"/>
        <v>0</v>
      </c>
      <c r="BH59" t="b">
        <f t="shared" si="120"/>
        <v>0</v>
      </c>
      <c r="BI59">
        <f t="shared" si="121"/>
        <v>1</v>
      </c>
      <c r="BJ59" t="b">
        <f t="shared" si="122"/>
        <v>0</v>
      </c>
      <c r="BK59" t="b">
        <f t="shared" si="123"/>
        <v>0</v>
      </c>
      <c r="BL59" t="b">
        <f t="shared" si="124"/>
        <v>0</v>
      </c>
      <c r="BM59" t="b">
        <f t="shared" si="32"/>
        <v>0</v>
      </c>
      <c r="BN59" t="b">
        <f t="shared" si="33"/>
        <v>0</v>
      </c>
      <c r="BO59" t="b">
        <f t="shared" si="34"/>
        <v>0</v>
      </c>
      <c r="BP59" t="b">
        <f t="shared" si="35"/>
        <v>0</v>
      </c>
      <c r="BQ59" t="b">
        <f t="shared" si="36"/>
        <v>0</v>
      </c>
      <c r="BR59">
        <f t="shared" si="37"/>
        <v>1</v>
      </c>
      <c r="BS59" t="b">
        <f t="shared" si="38"/>
        <v>0</v>
      </c>
      <c r="BT59" t="b">
        <f t="shared" si="39"/>
        <v>0</v>
      </c>
      <c r="BU59" t="b">
        <f t="shared" si="40"/>
        <v>0</v>
      </c>
      <c r="BV59" t="b">
        <f t="shared" si="41"/>
        <v>0</v>
      </c>
      <c r="BW59" t="b">
        <f t="shared" si="42"/>
        <v>0</v>
      </c>
      <c r="BX59" t="b">
        <f t="shared" si="43"/>
        <v>0</v>
      </c>
      <c r="BY59" t="b">
        <f t="shared" si="44"/>
        <v>0</v>
      </c>
      <c r="BZ59" t="b">
        <f t="shared" si="45"/>
        <v>0</v>
      </c>
      <c r="CA59" t="b">
        <f t="shared" si="46"/>
        <v>0</v>
      </c>
      <c r="CB59" t="b">
        <f t="shared" si="47"/>
        <v>0</v>
      </c>
      <c r="CC59" t="b">
        <f t="shared" si="48"/>
        <v>0</v>
      </c>
      <c r="CD59" t="b">
        <f t="shared" si="49"/>
        <v>0</v>
      </c>
      <c r="CE59" t="b">
        <f t="shared" si="50"/>
        <v>0</v>
      </c>
      <c r="CF59" t="b">
        <f t="shared" si="51"/>
        <v>0</v>
      </c>
      <c r="CG59" t="b">
        <f t="shared" si="52"/>
        <v>0</v>
      </c>
      <c r="CH59" t="b">
        <f t="shared" si="53"/>
        <v>0</v>
      </c>
      <c r="CI59" t="b">
        <f t="shared" si="54"/>
        <v>0</v>
      </c>
      <c r="CJ59" t="b">
        <f t="shared" si="55"/>
        <v>0</v>
      </c>
      <c r="CK59" t="b">
        <f t="shared" si="56"/>
        <v>0</v>
      </c>
      <c r="CL59" t="b">
        <f t="shared" si="57"/>
        <v>0</v>
      </c>
      <c r="CM59">
        <f t="shared" si="58"/>
        <v>1</v>
      </c>
      <c r="CN59" t="b">
        <f t="shared" si="59"/>
        <v>0</v>
      </c>
      <c r="CO59" t="b">
        <f t="shared" si="60"/>
        <v>0</v>
      </c>
      <c r="CP59" t="b">
        <f t="shared" si="61"/>
        <v>0</v>
      </c>
      <c r="CQ59" t="b">
        <f t="shared" si="62"/>
        <v>0</v>
      </c>
      <c r="CR59" t="b">
        <f t="shared" si="63"/>
        <v>0</v>
      </c>
      <c r="CS59" t="b">
        <f t="shared" si="64"/>
        <v>0</v>
      </c>
      <c r="CT59" t="b">
        <f t="shared" si="65"/>
        <v>0</v>
      </c>
      <c r="CU59" t="b">
        <f t="shared" si="66"/>
        <v>0</v>
      </c>
      <c r="CV59">
        <f t="shared" si="67"/>
        <v>1</v>
      </c>
      <c r="CW59" t="b">
        <f t="shared" si="68"/>
        <v>0</v>
      </c>
      <c r="CX59" t="b">
        <f t="shared" si="69"/>
        <v>0</v>
      </c>
      <c r="CY59" t="b">
        <f t="shared" si="70"/>
        <v>0</v>
      </c>
      <c r="CZ59" t="b">
        <f t="shared" si="71"/>
        <v>0</v>
      </c>
      <c r="DA59" t="b">
        <f t="shared" si="72"/>
        <v>0</v>
      </c>
      <c r="DB59" t="b">
        <f t="shared" si="73"/>
        <v>0</v>
      </c>
      <c r="DC59" t="b">
        <f t="shared" si="74"/>
        <v>0</v>
      </c>
      <c r="DD59" t="b">
        <f t="shared" si="75"/>
        <v>0</v>
      </c>
      <c r="DE59" t="b">
        <f t="shared" si="76"/>
        <v>0</v>
      </c>
      <c r="DF59" t="b">
        <f t="shared" si="77"/>
        <v>0</v>
      </c>
      <c r="DG59" t="b">
        <f t="shared" si="78"/>
        <v>0</v>
      </c>
      <c r="DH59" t="b">
        <f t="shared" si="79"/>
        <v>0</v>
      </c>
      <c r="DI59" t="b">
        <f t="shared" si="80"/>
        <v>0</v>
      </c>
      <c r="DJ59" t="b">
        <f t="shared" si="81"/>
        <v>0</v>
      </c>
      <c r="DK59" t="b">
        <f t="shared" si="82"/>
        <v>0</v>
      </c>
      <c r="DL59" t="b">
        <f t="shared" si="83"/>
        <v>0</v>
      </c>
      <c r="DM59" t="b">
        <f t="shared" si="84"/>
        <v>0</v>
      </c>
      <c r="DN59" t="b">
        <f t="shared" si="85"/>
        <v>0</v>
      </c>
      <c r="DO59" t="b">
        <f t="shared" si="86"/>
        <v>0</v>
      </c>
      <c r="DP59" t="b">
        <f t="shared" si="87"/>
        <v>0</v>
      </c>
      <c r="DQ59" t="b">
        <f t="shared" si="88"/>
        <v>0</v>
      </c>
      <c r="DR59" t="b">
        <f t="shared" si="89"/>
        <v>0</v>
      </c>
      <c r="DS59" t="b">
        <f t="shared" si="90"/>
        <v>0</v>
      </c>
      <c r="DT59" t="b">
        <f t="shared" si="91"/>
        <v>0</v>
      </c>
      <c r="DU59" t="b">
        <f t="shared" si="92"/>
        <v>0</v>
      </c>
      <c r="DV59" t="b">
        <f t="shared" si="93"/>
        <v>0</v>
      </c>
      <c r="DW59" t="b">
        <f t="shared" si="94"/>
        <v>0</v>
      </c>
      <c r="DX59" t="b">
        <f t="shared" si="95"/>
        <v>0</v>
      </c>
      <c r="DY59" t="b">
        <f t="shared" si="96"/>
        <v>0</v>
      </c>
      <c r="DZ59" t="b">
        <f t="shared" si="97"/>
        <v>0</v>
      </c>
      <c r="EA59" t="b">
        <f t="shared" si="98"/>
        <v>0</v>
      </c>
      <c r="EB59" t="b">
        <f t="shared" si="99"/>
        <v>0</v>
      </c>
      <c r="EC59" t="b">
        <f t="shared" si="100"/>
        <v>0</v>
      </c>
      <c r="ED59" t="b">
        <f t="shared" si="101"/>
        <v>0</v>
      </c>
      <c r="EE59" t="b">
        <f t="shared" si="102"/>
        <v>0</v>
      </c>
      <c r="EF59">
        <f t="shared" si="103"/>
        <v>1</v>
      </c>
      <c r="EG59" t="b">
        <f t="shared" si="104"/>
        <v>0</v>
      </c>
      <c r="EH59" t="b">
        <f t="shared" si="105"/>
        <v>0</v>
      </c>
      <c r="EI59" t="b">
        <f t="shared" si="106"/>
        <v>0</v>
      </c>
      <c r="EJ59" t="b">
        <f t="shared" si="107"/>
        <v>0</v>
      </c>
      <c r="EK59" t="b">
        <f t="shared" si="108"/>
        <v>0</v>
      </c>
    </row>
    <row r="60" spans="1:141">
      <c r="A60" t="s">
        <v>426</v>
      </c>
      <c r="B60" t="s">
        <v>426</v>
      </c>
      <c r="C60" t="s">
        <v>427</v>
      </c>
      <c r="D60" s="1">
        <v>43463</v>
      </c>
      <c r="E60" s="2">
        <v>43473.455949074072</v>
      </c>
      <c r="F60" s="2">
        <v>43473.455949074072</v>
      </c>
      <c r="G60">
        <v>213415</v>
      </c>
      <c r="H60" t="s">
        <v>428</v>
      </c>
      <c r="I60" s="10" t="s">
        <v>429</v>
      </c>
      <c r="J60" t="s">
        <v>147</v>
      </c>
      <c r="K60" s="8" t="b">
        <v>1</v>
      </c>
      <c r="L60" s="10" t="b">
        <v>0</v>
      </c>
      <c r="M60" s="12" t="b">
        <v>0</v>
      </c>
      <c r="N60" t="b">
        <v>0</v>
      </c>
      <c r="O60" t="b">
        <v>0</v>
      </c>
      <c r="P60" t="b">
        <v>0</v>
      </c>
      <c r="Q60">
        <f t="shared" si="1"/>
        <v>7</v>
      </c>
      <c r="R60">
        <f t="shared" si="2"/>
        <v>12</v>
      </c>
      <c r="S60" t="e">
        <f t="shared" ca="1" si="109"/>
        <v>#NAME?</v>
      </c>
      <c r="T60" t="e">
        <f t="shared" ca="1" si="3"/>
        <v>#NAME?</v>
      </c>
      <c r="U60" s="4">
        <f t="shared" si="4"/>
        <v>10.455949074072123</v>
      </c>
      <c r="V60" s="4">
        <f t="shared" si="5"/>
        <v>0.34853163580240409</v>
      </c>
      <c r="W60" s="4">
        <f t="shared" si="6"/>
        <v>1</v>
      </c>
      <c r="X60" s="4">
        <f t="shared" si="7"/>
        <v>0</v>
      </c>
      <c r="Y60" s="4">
        <f t="shared" si="8"/>
        <v>0</v>
      </c>
      <c r="Z60" s="4">
        <f t="shared" si="9"/>
        <v>0</v>
      </c>
      <c r="AA60" s="4">
        <f t="shared" si="10"/>
        <v>0</v>
      </c>
      <c r="AB60" s="4">
        <f t="shared" si="11"/>
        <v>0</v>
      </c>
      <c r="AC60" s="4"/>
      <c r="AD60" s="4" t="b">
        <f t="shared" si="12"/>
        <v>0</v>
      </c>
      <c r="AE60" s="4" t="b">
        <f t="shared" si="13"/>
        <v>0</v>
      </c>
      <c r="AF60" s="4" t="b">
        <f t="shared" si="14"/>
        <v>0</v>
      </c>
      <c r="AG60" t="b">
        <f t="shared" si="15"/>
        <v>0</v>
      </c>
      <c r="AH60" t="b">
        <f t="shared" si="16"/>
        <v>0</v>
      </c>
      <c r="AI60" t="b">
        <f t="shared" si="17"/>
        <v>0</v>
      </c>
      <c r="AJ60" t="b">
        <f t="shared" si="18"/>
        <v>0</v>
      </c>
      <c r="AK60" t="b">
        <f t="shared" si="19"/>
        <v>0</v>
      </c>
      <c r="AL60" t="b">
        <f t="shared" si="20"/>
        <v>0</v>
      </c>
      <c r="AM60" t="b">
        <f t="shared" si="21"/>
        <v>0</v>
      </c>
      <c r="AN60" t="b">
        <f t="shared" si="22"/>
        <v>0</v>
      </c>
      <c r="AO60" t="b">
        <f t="shared" si="23"/>
        <v>0</v>
      </c>
      <c r="AP60" t="b">
        <f t="shared" si="24"/>
        <v>0</v>
      </c>
      <c r="AQ60" t="b">
        <f t="shared" si="25"/>
        <v>0</v>
      </c>
      <c r="AR60" t="b">
        <f t="shared" si="26"/>
        <v>0</v>
      </c>
      <c r="AS60" t="b">
        <f t="shared" si="27"/>
        <v>0</v>
      </c>
      <c r="AT60" t="b">
        <f t="shared" si="28"/>
        <v>0</v>
      </c>
      <c r="AU60" t="b">
        <f t="shared" si="29"/>
        <v>0</v>
      </c>
      <c r="AV60" t="b">
        <f t="shared" si="30"/>
        <v>0</v>
      </c>
      <c r="AW60" t="b">
        <f t="shared" si="31"/>
        <v>0</v>
      </c>
      <c r="AX60" t="b">
        <f t="shared" si="110"/>
        <v>0</v>
      </c>
      <c r="AY60" t="b">
        <f t="shared" si="111"/>
        <v>0</v>
      </c>
      <c r="AZ60" t="b">
        <f t="shared" si="112"/>
        <v>0</v>
      </c>
      <c r="BA60" t="b">
        <f t="shared" si="113"/>
        <v>0</v>
      </c>
      <c r="BB60" t="b">
        <f t="shared" si="114"/>
        <v>0</v>
      </c>
      <c r="BC60" t="b">
        <f t="shared" si="115"/>
        <v>0</v>
      </c>
      <c r="BD60" t="b">
        <f t="shared" si="116"/>
        <v>0</v>
      </c>
      <c r="BE60" t="b">
        <f t="shared" si="117"/>
        <v>0</v>
      </c>
      <c r="BF60" t="b">
        <f t="shared" si="118"/>
        <v>0</v>
      </c>
      <c r="BG60" t="b">
        <f t="shared" si="119"/>
        <v>0</v>
      </c>
      <c r="BH60" t="b">
        <f t="shared" si="120"/>
        <v>0</v>
      </c>
      <c r="BI60">
        <f t="shared" si="121"/>
        <v>1</v>
      </c>
      <c r="BJ60" t="b">
        <f t="shared" si="122"/>
        <v>0</v>
      </c>
      <c r="BK60" t="b">
        <f t="shared" si="123"/>
        <v>0</v>
      </c>
      <c r="BL60" t="b">
        <f t="shared" si="124"/>
        <v>0</v>
      </c>
      <c r="BM60" t="b">
        <f t="shared" si="32"/>
        <v>0</v>
      </c>
      <c r="BN60" t="b">
        <f t="shared" si="33"/>
        <v>0</v>
      </c>
      <c r="BO60" t="b">
        <f t="shared" si="34"/>
        <v>0</v>
      </c>
      <c r="BP60" t="b">
        <f t="shared" si="35"/>
        <v>0</v>
      </c>
      <c r="BQ60" t="b">
        <f t="shared" si="36"/>
        <v>0</v>
      </c>
      <c r="BR60" t="b">
        <f t="shared" si="37"/>
        <v>0</v>
      </c>
      <c r="BS60" t="b">
        <f t="shared" si="38"/>
        <v>0</v>
      </c>
      <c r="BT60" t="b">
        <f t="shared" si="39"/>
        <v>0</v>
      </c>
      <c r="BU60" t="b">
        <f t="shared" si="40"/>
        <v>0</v>
      </c>
      <c r="BV60" t="b">
        <f t="shared" si="41"/>
        <v>0</v>
      </c>
      <c r="BW60" t="b">
        <f t="shared" si="42"/>
        <v>0</v>
      </c>
      <c r="BX60" t="b">
        <f t="shared" si="43"/>
        <v>0</v>
      </c>
      <c r="BY60" t="b">
        <f t="shared" si="44"/>
        <v>0</v>
      </c>
      <c r="BZ60" t="b">
        <f t="shared" si="45"/>
        <v>0</v>
      </c>
      <c r="CA60" t="b">
        <f t="shared" si="46"/>
        <v>0</v>
      </c>
      <c r="CB60" t="b">
        <f t="shared" si="47"/>
        <v>0</v>
      </c>
      <c r="CC60" t="b">
        <f t="shared" si="48"/>
        <v>0</v>
      </c>
      <c r="CD60" t="b">
        <f t="shared" si="49"/>
        <v>0</v>
      </c>
      <c r="CE60" t="b">
        <f t="shared" si="50"/>
        <v>0</v>
      </c>
      <c r="CF60" t="b">
        <f t="shared" si="51"/>
        <v>0</v>
      </c>
      <c r="CG60" t="b">
        <f t="shared" si="52"/>
        <v>0</v>
      </c>
      <c r="CH60" t="b">
        <f t="shared" si="53"/>
        <v>0</v>
      </c>
      <c r="CI60" t="b">
        <f t="shared" si="54"/>
        <v>0</v>
      </c>
      <c r="CJ60" t="b">
        <f t="shared" si="55"/>
        <v>0</v>
      </c>
      <c r="CK60" t="b">
        <f t="shared" si="56"/>
        <v>0</v>
      </c>
      <c r="CL60" t="b">
        <f t="shared" si="57"/>
        <v>0</v>
      </c>
      <c r="CM60" t="b">
        <f t="shared" si="58"/>
        <v>0</v>
      </c>
      <c r="CN60" t="b">
        <f t="shared" si="59"/>
        <v>0</v>
      </c>
      <c r="CO60" t="b">
        <f t="shared" si="60"/>
        <v>0</v>
      </c>
      <c r="CP60" t="b">
        <f t="shared" si="61"/>
        <v>0</v>
      </c>
      <c r="CQ60" t="b">
        <f t="shared" si="62"/>
        <v>0</v>
      </c>
      <c r="CR60" t="b">
        <f t="shared" si="63"/>
        <v>0</v>
      </c>
      <c r="CS60" t="b">
        <f t="shared" si="64"/>
        <v>0</v>
      </c>
      <c r="CT60" t="b">
        <f t="shared" si="65"/>
        <v>0</v>
      </c>
      <c r="CU60" t="b">
        <f t="shared" si="66"/>
        <v>0</v>
      </c>
      <c r="CV60">
        <f t="shared" si="67"/>
        <v>1</v>
      </c>
      <c r="CW60" t="b">
        <f t="shared" si="68"/>
        <v>0</v>
      </c>
      <c r="CX60" t="b">
        <f t="shared" si="69"/>
        <v>0</v>
      </c>
      <c r="CY60" t="b">
        <f t="shared" si="70"/>
        <v>0</v>
      </c>
      <c r="CZ60" t="b">
        <f t="shared" si="71"/>
        <v>0</v>
      </c>
      <c r="DA60" t="b">
        <f t="shared" si="72"/>
        <v>0</v>
      </c>
      <c r="DB60" t="b">
        <f t="shared" si="73"/>
        <v>0</v>
      </c>
      <c r="DC60" t="b">
        <f t="shared" si="74"/>
        <v>0</v>
      </c>
      <c r="DD60" t="b">
        <f t="shared" si="75"/>
        <v>0</v>
      </c>
      <c r="DE60" t="b">
        <f t="shared" si="76"/>
        <v>0</v>
      </c>
      <c r="DF60" t="b">
        <f t="shared" si="77"/>
        <v>0</v>
      </c>
      <c r="DG60" t="b">
        <f t="shared" si="78"/>
        <v>0</v>
      </c>
      <c r="DH60" t="b">
        <f t="shared" si="79"/>
        <v>0</v>
      </c>
      <c r="DI60" t="b">
        <f t="shared" si="80"/>
        <v>0</v>
      </c>
      <c r="DJ60" t="b">
        <f t="shared" si="81"/>
        <v>0</v>
      </c>
      <c r="DK60" t="b">
        <f t="shared" si="82"/>
        <v>0</v>
      </c>
      <c r="DL60" t="b">
        <f t="shared" si="83"/>
        <v>0</v>
      </c>
      <c r="DM60" t="b">
        <f t="shared" si="84"/>
        <v>0</v>
      </c>
      <c r="DN60" t="b">
        <f t="shared" si="85"/>
        <v>0</v>
      </c>
      <c r="DO60" t="b">
        <f t="shared" si="86"/>
        <v>0</v>
      </c>
      <c r="DP60" t="b">
        <f t="shared" si="87"/>
        <v>0</v>
      </c>
      <c r="DQ60" t="b">
        <f t="shared" si="88"/>
        <v>0</v>
      </c>
      <c r="DR60" t="b">
        <f t="shared" si="89"/>
        <v>0</v>
      </c>
      <c r="DS60" t="b">
        <f t="shared" si="90"/>
        <v>0</v>
      </c>
      <c r="DT60" t="b">
        <f t="shared" si="91"/>
        <v>0</v>
      </c>
      <c r="DU60" t="b">
        <f t="shared" si="92"/>
        <v>0</v>
      </c>
      <c r="DV60" t="b">
        <f t="shared" si="93"/>
        <v>0</v>
      </c>
      <c r="DW60" t="b">
        <f t="shared" si="94"/>
        <v>0</v>
      </c>
      <c r="DX60" t="b">
        <f t="shared" si="95"/>
        <v>0</v>
      </c>
      <c r="DY60" t="b">
        <f t="shared" si="96"/>
        <v>0</v>
      </c>
      <c r="DZ60" t="b">
        <f t="shared" si="97"/>
        <v>0</v>
      </c>
      <c r="EA60" t="b">
        <f t="shared" si="98"/>
        <v>0</v>
      </c>
      <c r="EB60" t="b">
        <f t="shared" si="99"/>
        <v>0</v>
      </c>
      <c r="EC60" t="b">
        <f t="shared" si="100"/>
        <v>0</v>
      </c>
      <c r="ED60" t="b">
        <f t="shared" si="101"/>
        <v>0</v>
      </c>
      <c r="EE60" t="b">
        <f t="shared" si="102"/>
        <v>0</v>
      </c>
      <c r="EF60" t="b">
        <f t="shared" si="103"/>
        <v>0</v>
      </c>
      <c r="EG60" t="b">
        <f t="shared" si="104"/>
        <v>0</v>
      </c>
      <c r="EH60" t="b">
        <f t="shared" si="105"/>
        <v>0</v>
      </c>
      <c r="EI60" t="b">
        <f t="shared" si="106"/>
        <v>0</v>
      </c>
      <c r="EJ60" t="b">
        <f t="shared" si="107"/>
        <v>0</v>
      </c>
      <c r="EK60" t="b">
        <f t="shared" si="108"/>
        <v>0</v>
      </c>
    </row>
    <row r="61" spans="1:141">
      <c r="A61" t="s">
        <v>430</v>
      </c>
      <c r="B61" t="s">
        <v>430</v>
      </c>
      <c r="C61" t="s">
        <v>431</v>
      </c>
      <c r="D61" s="1">
        <v>41869</v>
      </c>
      <c r="E61" s="2">
        <v>44791.983611111114</v>
      </c>
      <c r="F61" s="2">
        <v>44791.983611111114</v>
      </c>
      <c r="G61">
        <v>2107000</v>
      </c>
      <c r="H61" t="s">
        <v>432</v>
      </c>
      <c r="I61" s="10" t="s">
        <v>433</v>
      </c>
      <c r="J61" t="s">
        <v>434</v>
      </c>
      <c r="K61" s="8" t="b">
        <v>1</v>
      </c>
      <c r="L61" s="10" t="b">
        <v>0</v>
      </c>
      <c r="M61" s="12" t="b">
        <v>0</v>
      </c>
      <c r="N61" t="b">
        <v>0</v>
      </c>
      <c r="O61" t="b">
        <v>0</v>
      </c>
      <c r="P61" t="b">
        <v>0</v>
      </c>
      <c r="Q61">
        <f t="shared" si="1"/>
        <v>2</v>
      </c>
      <c r="R61">
        <f t="shared" si="2"/>
        <v>8</v>
      </c>
      <c r="S61" t="e">
        <f t="shared" ca="1" si="109"/>
        <v>#NAME?</v>
      </c>
      <c r="T61" t="e">
        <f t="shared" ca="1" si="3"/>
        <v>#NAME?</v>
      </c>
      <c r="U61" s="4">
        <f t="shared" si="4"/>
        <v>2922.9836111111144</v>
      </c>
      <c r="V61" s="4">
        <f t="shared" si="5"/>
        <v>97.432787037037144</v>
      </c>
      <c r="W61" s="4">
        <f t="shared" si="6"/>
        <v>1</v>
      </c>
      <c r="X61" s="4">
        <f t="shared" si="7"/>
        <v>0</v>
      </c>
      <c r="Y61" s="4">
        <f t="shared" si="8"/>
        <v>0</v>
      </c>
      <c r="Z61" s="4">
        <f t="shared" si="9"/>
        <v>0</v>
      </c>
      <c r="AA61" s="4">
        <f t="shared" si="10"/>
        <v>0</v>
      </c>
      <c r="AB61" s="4">
        <f t="shared" si="11"/>
        <v>0</v>
      </c>
      <c r="AC61" s="4"/>
      <c r="AD61" s="4">
        <f t="shared" si="12"/>
        <v>1</v>
      </c>
      <c r="AE61" s="4" t="b">
        <f t="shared" si="13"/>
        <v>0</v>
      </c>
      <c r="AF61" s="4" t="b">
        <f t="shared" si="14"/>
        <v>0</v>
      </c>
      <c r="AG61" t="b">
        <f t="shared" si="15"/>
        <v>0</v>
      </c>
      <c r="AH61" t="b">
        <f t="shared" si="16"/>
        <v>0</v>
      </c>
      <c r="AI61" t="b">
        <f t="shared" si="17"/>
        <v>0</v>
      </c>
      <c r="AJ61" t="b">
        <f t="shared" si="18"/>
        <v>0</v>
      </c>
      <c r="AK61" t="b">
        <f t="shared" si="19"/>
        <v>0</v>
      </c>
      <c r="AL61" t="b">
        <f t="shared" si="20"/>
        <v>0</v>
      </c>
      <c r="AM61" t="b">
        <f t="shared" si="21"/>
        <v>0</v>
      </c>
      <c r="AN61" t="b">
        <f t="shared" si="22"/>
        <v>0</v>
      </c>
      <c r="AO61" t="b">
        <f t="shared" si="23"/>
        <v>0</v>
      </c>
      <c r="AP61" t="b">
        <f t="shared" si="24"/>
        <v>0</v>
      </c>
      <c r="AQ61" t="b">
        <f t="shared" si="25"/>
        <v>0</v>
      </c>
      <c r="AR61" t="b">
        <f t="shared" si="26"/>
        <v>0</v>
      </c>
      <c r="AS61" t="b">
        <f t="shared" si="27"/>
        <v>0</v>
      </c>
      <c r="AT61" t="b">
        <f t="shared" si="28"/>
        <v>0</v>
      </c>
      <c r="AU61" t="b">
        <f t="shared" si="29"/>
        <v>0</v>
      </c>
      <c r="AV61" t="b">
        <f t="shared" si="30"/>
        <v>0</v>
      </c>
      <c r="AW61" t="b">
        <f t="shared" si="31"/>
        <v>0</v>
      </c>
      <c r="AX61" t="b">
        <f t="shared" si="110"/>
        <v>0</v>
      </c>
      <c r="AY61" t="b">
        <f t="shared" si="111"/>
        <v>0</v>
      </c>
      <c r="AZ61" t="b">
        <f t="shared" si="112"/>
        <v>0</v>
      </c>
      <c r="BA61" t="b">
        <f t="shared" si="113"/>
        <v>0</v>
      </c>
      <c r="BB61" t="b">
        <f t="shared" si="114"/>
        <v>0</v>
      </c>
      <c r="BC61" t="b">
        <f t="shared" si="115"/>
        <v>0</v>
      </c>
      <c r="BD61" t="b">
        <f t="shared" si="116"/>
        <v>0</v>
      </c>
      <c r="BE61" t="b">
        <f t="shared" si="117"/>
        <v>0</v>
      </c>
      <c r="BF61" t="b">
        <f t="shared" si="118"/>
        <v>0</v>
      </c>
      <c r="BG61" t="b">
        <f t="shared" si="119"/>
        <v>0</v>
      </c>
      <c r="BH61" t="b">
        <f t="shared" si="120"/>
        <v>0</v>
      </c>
      <c r="BI61">
        <f t="shared" si="121"/>
        <v>1</v>
      </c>
      <c r="BJ61" t="b">
        <f t="shared" si="122"/>
        <v>0</v>
      </c>
      <c r="BK61" t="b">
        <f t="shared" si="123"/>
        <v>0</v>
      </c>
      <c r="BL61" t="b">
        <f t="shared" si="124"/>
        <v>0</v>
      </c>
      <c r="BM61" t="b">
        <f t="shared" si="32"/>
        <v>0</v>
      </c>
      <c r="BN61" t="b">
        <f t="shared" si="33"/>
        <v>0</v>
      </c>
      <c r="BO61" t="b">
        <f t="shared" si="34"/>
        <v>0</v>
      </c>
      <c r="BP61" t="b">
        <f t="shared" si="35"/>
        <v>0</v>
      </c>
      <c r="BQ61" t="b">
        <f t="shared" si="36"/>
        <v>0</v>
      </c>
      <c r="BR61">
        <f t="shared" si="37"/>
        <v>1</v>
      </c>
      <c r="BS61" t="b">
        <f t="shared" si="38"/>
        <v>0</v>
      </c>
      <c r="BT61">
        <f t="shared" si="39"/>
        <v>1</v>
      </c>
      <c r="BU61" t="b">
        <f t="shared" si="40"/>
        <v>0</v>
      </c>
      <c r="BV61" t="b">
        <f t="shared" si="41"/>
        <v>0</v>
      </c>
      <c r="BW61" t="b">
        <f t="shared" si="42"/>
        <v>0</v>
      </c>
      <c r="BX61" t="b">
        <f t="shared" si="43"/>
        <v>0</v>
      </c>
      <c r="BY61" t="b">
        <f t="shared" si="44"/>
        <v>0</v>
      </c>
      <c r="BZ61" t="b">
        <f t="shared" si="45"/>
        <v>0</v>
      </c>
      <c r="CA61" t="b">
        <f t="shared" si="46"/>
        <v>0</v>
      </c>
      <c r="CB61" t="b">
        <f t="shared" si="47"/>
        <v>0</v>
      </c>
      <c r="CC61" t="b">
        <f t="shared" si="48"/>
        <v>0</v>
      </c>
      <c r="CD61" t="b">
        <f t="shared" si="49"/>
        <v>0</v>
      </c>
      <c r="CE61" t="b">
        <f t="shared" si="50"/>
        <v>0</v>
      </c>
      <c r="CF61" t="b">
        <f t="shared" si="51"/>
        <v>0</v>
      </c>
      <c r="CG61" t="b">
        <f t="shared" si="52"/>
        <v>0</v>
      </c>
      <c r="CH61" t="b">
        <f t="shared" si="53"/>
        <v>0</v>
      </c>
      <c r="CI61" t="b">
        <f t="shared" si="54"/>
        <v>0</v>
      </c>
      <c r="CJ61" t="b">
        <f t="shared" si="55"/>
        <v>0</v>
      </c>
      <c r="CK61" t="b">
        <f t="shared" si="56"/>
        <v>0</v>
      </c>
      <c r="CL61" t="b">
        <f t="shared" si="57"/>
        <v>0</v>
      </c>
      <c r="CM61">
        <f t="shared" si="58"/>
        <v>1</v>
      </c>
      <c r="CN61" t="b">
        <f t="shared" si="59"/>
        <v>0</v>
      </c>
      <c r="CO61" t="b">
        <f t="shared" si="60"/>
        <v>0</v>
      </c>
      <c r="CP61" t="b">
        <f t="shared" si="61"/>
        <v>0</v>
      </c>
      <c r="CQ61" t="b">
        <f t="shared" si="62"/>
        <v>0</v>
      </c>
      <c r="CR61" t="b">
        <f t="shared" si="63"/>
        <v>0</v>
      </c>
      <c r="CS61" t="b">
        <f t="shared" si="64"/>
        <v>0</v>
      </c>
      <c r="CT61" t="b">
        <f t="shared" si="65"/>
        <v>0</v>
      </c>
      <c r="CU61" t="b">
        <f t="shared" si="66"/>
        <v>0</v>
      </c>
      <c r="CV61" t="b">
        <f t="shared" si="67"/>
        <v>0</v>
      </c>
      <c r="CW61" t="b">
        <f t="shared" si="68"/>
        <v>0</v>
      </c>
      <c r="CX61" t="b">
        <f t="shared" si="69"/>
        <v>0</v>
      </c>
      <c r="CY61" t="b">
        <f t="shared" si="70"/>
        <v>0</v>
      </c>
      <c r="CZ61" t="b">
        <f t="shared" si="71"/>
        <v>0</v>
      </c>
      <c r="DA61">
        <f t="shared" si="72"/>
        <v>1</v>
      </c>
      <c r="DB61">
        <f t="shared" si="73"/>
        <v>1</v>
      </c>
      <c r="DC61" t="b">
        <f t="shared" si="74"/>
        <v>0</v>
      </c>
      <c r="DD61" t="b">
        <f t="shared" si="75"/>
        <v>0</v>
      </c>
      <c r="DE61" t="b">
        <f t="shared" si="76"/>
        <v>0</v>
      </c>
      <c r="DF61" t="b">
        <f t="shared" si="77"/>
        <v>0</v>
      </c>
      <c r="DG61" t="b">
        <f t="shared" si="78"/>
        <v>0</v>
      </c>
      <c r="DH61" t="b">
        <f t="shared" si="79"/>
        <v>0</v>
      </c>
      <c r="DI61" t="b">
        <f t="shared" si="80"/>
        <v>0</v>
      </c>
      <c r="DJ61" t="b">
        <f t="shared" si="81"/>
        <v>0</v>
      </c>
      <c r="DK61" t="b">
        <f t="shared" si="82"/>
        <v>0</v>
      </c>
      <c r="DL61" t="b">
        <f t="shared" si="83"/>
        <v>0</v>
      </c>
      <c r="DM61" t="b">
        <f t="shared" si="84"/>
        <v>0</v>
      </c>
      <c r="DN61" t="b">
        <f t="shared" si="85"/>
        <v>0</v>
      </c>
      <c r="DO61" t="b">
        <f t="shared" si="86"/>
        <v>0</v>
      </c>
      <c r="DP61" t="b">
        <f t="shared" si="87"/>
        <v>0</v>
      </c>
      <c r="DQ61" t="b">
        <f t="shared" si="88"/>
        <v>0</v>
      </c>
      <c r="DR61" t="b">
        <f t="shared" si="89"/>
        <v>0</v>
      </c>
      <c r="DS61" t="b">
        <f t="shared" si="90"/>
        <v>0</v>
      </c>
      <c r="DT61" t="b">
        <f t="shared" si="91"/>
        <v>0</v>
      </c>
      <c r="DU61" t="b">
        <f t="shared" si="92"/>
        <v>0</v>
      </c>
      <c r="DV61" t="b">
        <f t="shared" si="93"/>
        <v>0</v>
      </c>
      <c r="DW61" t="b">
        <f t="shared" si="94"/>
        <v>0</v>
      </c>
      <c r="DX61" t="b">
        <f t="shared" si="95"/>
        <v>0</v>
      </c>
      <c r="DY61" t="b">
        <f t="shared" si="96"/>
        <v>0</v>
      </c>
      <c r="DZ61" t="b">
        <f t="shared" si="97"/>
        <v>0</v>
      </c>
      <c r="EA61" t="b">
        <f t="shared" si="98"/>
        <v>0</v>
      </c>
      <c r="EB61" t="b">
        <f t="shared" si="99"/>
        <v>0</v>
      </c>
      <c r="EC61" t="b">
        <f t="shared" si="100"/>
        <v>0</v>
      </c>
      <c r="ED61" t="b">
        <f t="shared" si="101"/>
        <v>0</v>
      </c>
      <c r="EE61" t="b">
        <f t="shared" si="102"/>
        <v>0</v>
      </c>
      <c r="EF61" t="b">
        <f t="shared" si="103"/>
        <v>0</v>
      </c>
      <c r="EG61" t="b">
        <f t="shared" si="104"/>
        <v>0</v>
      </c>
      <c r="EH61" t="b">
        <f t="shared" si="105"/>
        <v>0</v>
      </c>
      <c r="EI61" t="b">
        <f t="shared" si="106"/>
        <v>0</v>
      </c>
      <c r="EJ61" t="b">
        <f t="shared" si="107"/>
        <v>0</v>
      </c>
      <c r="EK61" t="b">
        <f t="shared" si="108"/>
        <v>0</v>
      </c>
    </row>
    <row r="62" spans="1:141">
      <c r="A62" t="s">
        <v>435</v>
      </c>
      <c r="B62" t="s">
        <v>436</v>
      </c>
      <c r="C62" t="s">
        <v>437</v>
      </c>
      <c r="D62" s="1">
        <v>40720</v>
      </c>
      <c r="E62" s="2">
        <v>41662.548946759256</v>
      </c>
      <c r="F62" s="2">
        <v>41662.548946759256</v>
      </c>
      <c r="G62">
        <v>530270</v>
      </c>
      <c r="H62" t="s">
        <v>438</v>
      </c>
      <c r="I62" s="10" t="s">
        <v>439</v>
      </c>
      <c r="J62" t="s">
        <v>440</v>
      </c>
      <c r="K62" s="8" t="b">
        <v>1</v>
      </c>
      <c r="L62" s="10" t="b">
        <v>0</v>
      </c>
      <c r="M62" s="12" t="b">
        <v>0</v>
      </c>
      <c r="N62" t="b">
        <v>0</v>
      </c>
      <c r="O62" t="b">
        <v>0</v>
      </c>
      <c r="P62" t="b">
        <v>0</v>
      </c>
      <c r="Q62">
        <f t="shared" si="1"/>
        <v>1</v>
      </c>
      <c r="R62">
        <f t="shared" si="2"/>
        <v>6</v>
      </c>
      <c r="S62" t="e">
        <f t="shared" ca="1" si="109"/>
        <v>#NAME?</v>
      </c>
      <c r="T62" t="e">
        <f t="shared" ca="1" si="3"/>
        <v>#NAME?</v>
      </c>
      <c r="U62" s="4">
        <f t="shared" si="4"/>
        <v>942.54894675925607</v>
      </c>
      <c r="V62" s="4">
        <f t="shared" si="5"/>
        <v>31.418298225308536</v>
      </c>
      <c r="W62" s="4">
        <f t="shared" si="6"/>
        <v>1</v>
      </c>
      <c r="X62" s="4">
        <f t="shared" si="7"/>
        <v>0</v>
      </c>
      <c r="Y62" s="4">
        <f t="shared" si="8"/>
        <v>0</v>
      </c>
      <c r="Z62" s="4">
        <f t="shared" si="9"/>
        <v>0</v>
      </c>
      <c r="AA62" s="4">
        <f t="shared" si="10"/>
        <v>0</v>
      </c>
      <c r="AB62" s="4">
        <f t="shared" si="11"/>
        <v>0</v>
      </c>
      <c r="AC62" s="4"/>
      <c r="AD62" s="4" t="b">
        <f t="shared" si="12"/>
        <v>0</v>
      </c>
      <c r="AE62" s="4" t="b">
        <f t="shared" si="13"/>
        <v>0</v>
      </c>
      <c r="AF62" s="4" t="b">
        <f t="shared" si="14"/>
        <v>0</v>
      </c>
      <c r="AG62" t="b">
        <f t="shared" si="15"/>
        <v>0</v>
      </c>
      <c r="AH62" t="b">
        <f t="shared" si="16"/>
        <v>0</v>
      </c>
      <c r="AI62" t="b">
        <f t="shared" si="17"/>
        <v>0</v>
      </c>
      <c r="AJ62" t="b">
        <f t="shared" si="18"/>
        <v>0</v>
      </c>
      <c r="AK62" t="b">
        <f t="shared" si="19"/>
        <v>0</v>
      </c>
      <c r="AL62" t="b">
        <f t="shared" si="20"/>
        <v>0</v>
      </c>
      <c r="AM62" t="b">
        <f t="shared" si="21"/>
        <v>0</v>
      </c>
      <c r="AN62" t="b">
        <f t="shared" si="22"/>
        <v>0</v>
      </c>
      <c r="AO62" t="b">
        <f t="shared" si="23"/>
        <v>0</v>
      </c>
      <c r="AP62" t="b">
        <f t="shared" si="24"/>
        <v>0</v>
      </c>
      <c r="AQ62" t="b">
        <f t="shared" si="25"/>
        <v>0</v>
      </c>
      <c r="AR62" t="b">
        <f t="shared" si="26"/>
        <v>0</v>
      </c>
      <c r="AS62" t="b">
        <f t="shared" si="27"/>
        <v>0</v>
      </c>
      <c r="AT62" t="b">
        <f t="shared" si="28"/>
        <v>0</v>
      </c>
      <c r="AU62" t="b">
        <f t="shared" si="29"/>
        <v>0</v>
      </c>
      <c r="AV62" t="b">
        <f t="shared" si="30"/>
        <v>0</v>
      </c>
      <c r="AW62" t="b">
        <f t="shared" si="31"/>
        <v>0</v>
      </c>
      <c r="AX62" t="b">
        <f t="shared" si="110"/>
        <v>0</v>
      </c>
      <c r="AY62" t="b">
        <f t="shared" si="111"/>
        <v>0</v>
      </c>
      <c r="AZ62" t="b">
        <f t="shared" si="112"/>
        <v>0</v>
      </c>
      <c r="BA62" t="b">
        <f t="shared" si="113"/>
        <v>0</v>
      </c>
      <c r="BB62" t="b">
        <f t="shared" si="114"/>
        <v>0</v>
      </c>
      <c r="BC62" t="b">
        <f t="shared" si="115"/>
        <v>0</v>
      </c>
      <c r="BD62" t="b">
        <f t="shared" si="116"/>
        <v>0</v>
      </c>
      <c r="BE62" t="b">
        <f t="shared" si="117"/>
        <v>0</v>
      </c>
      <c r="BF62" t="b">
        <f t="shared" si="118"/>
        <v>0</v>
      </c>
      <c r="BG62" t="b">
        <f t="shared" si="119"/>
        <v>0</v>
      </c>
      <c r="BH62" t="b">
        <f t="shared" si="120"/>
        <v>0</v>
      </c>
      <c r="BI62" t="b">
        <f t="shared" si="121"/>
        <v>0</v>
      </c>
      <c r="BJ62" t="b">
        <f t="shared" si="122"/>
        <v>0</v>
      </c>
      <c r="BK62" t="b">
        <f t="shared" si="123"/>
        <v>0</v>
      </c>
      <c r="BL62" t="b">
        <f t="shared" si="124"/>
        <v>0</v>
      </c>
      <c r="BM62" t="b">
        <f t="shared" si="32"/>
        <v>0</v>
      </c>
      <c r="BN62" t="b">
        <f t="shared" si="33"/>
        <v>0</v>
      </c>
      <c r="BO62" t="b">
        <f t="shared" si="34"/>
        <v>0</v>
      </c>
      <c r="BP62" t="b">
        <f t="shared" si="35"/>
        <v>0</v>
      </c>
      <c r="BQ62" t="b">
        <f t="shared" si="36"/>
        <v>0</v>
      </c>
      <c r="BR62" t="b">
        <f t="shared" si="37"/>
        <v>0</v>
      </c>
      <c r="BS62" t="b">
        <f t="shared" si="38"/>
        <v>0</v>
      </c>
      <c r="BT62" t="b">
        <f t="shared" si="39"/>
        <v>0</v>
      </c>
      <c r="BU62" t="b">
        <f t="shared" si="40"/>
        <v>0</v>
      </c>
      <c r="BV62" t="b">
        <f t="shared" si="41"/>
        <v>0</v>
      </c>
      <c r="BW62" t="b">
        <f t="shared" si="42"/>
        <v>0</v>
      </c>
      <c r="BX62" t="b">
        <f t="shared" si="43"/>
        <v>0</v>
      </c>
      <c r="BY62" t="b">
        <f t="shared" si="44"/>
        <v>0</v>
      </c>
      <c r="BZ62" t="b">
        <f t="shared" si="45"/>
        <v>0</v>
      </c>
      <c r="CA62" t="b">
        <f t="shared" si="46"/>
        <v>0</v>
      </c>
      <c r="CB62" t="b">
        <f t="shared" si="47"/>
        <v>0</v>
      </c>
      <c r="CC62" t="b">
        <f t="shared" si="48"/>
        <v>0</v>
      </c>
      <c r="CD62" t="b">
        <f t="shared" si="49"/>
        <v>0</v>
      </c>
      <c r="CE62" t="b">
        <f t="shared" si="50"/>
        <v>0</v>
      </c>
      <c r="CF62" t="b">
        <f t="shared" si="51"/>
        <v>0</v>
      </c>
      <c r="CG62" t="b">
        <f t="shared" si="52"/>
        <v>0</v>
      </c>
      <c r="CH62" t="b">
        <f t="shared" si="53"/>
        <v>0</v>
      </c>
      <c r="CI62" t="b">
        <f t="shared" si="54"/>
        <v>0</v>
      </c>
      <c r="CJ62" t="b">
        <f t="shared" si="55"/>
        <v>0</v>
      </c>
      <c r="CK62" t="b">
        <f t="shared" si="56"/>
        <v>0</v>
      </c>
      <c r="CL62" t="b">
        <f t="shared" si="57"/>
        <v>0</v>
      </c>
      <c r="CM62" t="b">
        <f t="shared" si="58"/>
        <v>0</v>
      </c>
      <c r="CN62" t="b">
        <f t="shared" si="59"/>
        <v>0</v>
      </c>
      <c r="CO62" t="b">
        <f t="shared" si="60"/>
        <v>0</v>
      </c>
      <c r="CP62" t="b">
        <f t="shared" si="61"/>
        <v>0</v>
      </c>
      <c r="CQ62" t="b">
        <f t="shared" si="62"/>
        <v>0</v>
      </c>
      <c r="CR62" t="b">
        <f t="shared" si="63"/>
        <v>0</v>
      </c>
      <c r="CS62" t="b">
        <f t="shared" si="64"/>
        <v>0</v>
      </c>
      <c r="CT62" t="b">
        <f t="shared" si="65"/>
        <v>0</v>
      </c>
      <c r="CU62" t="b">
        <f t="shared" si="66"/>
        <v>0</v>
      </c>
      <c r="CV62">
        <f t="shared" si="67"/>
        <v>1</v>
      </c>
      <c r="CW62" t="b">
        <f t="shared" si="68"/>
        <v>0</v>
      </c>
      <c r="CX62" t="b">
        <f t="shared" si="69"/>
        <v>0</v>
      </c>
      <c r="CY62" t="b">
        <f t="shared" si="70"/>
        <v>0</v>
      </c>
      <c r="CZ62" t="b">
        <f t="shared" si="71"/>
        <v>0</v>
      </c>
      <c r="DA62" t="b">
        <f t="shared" si="72"/>
        <v>0</v>
      </c>
      <c r="DB62" t="b">
        <f t="shared" si="73"/>
        <v>0</v>
      </c>
      <c r="DC62" t="b">
        <f t="shared" si="74"/>
        <v>0</v>
      </c>
      <c r="DD62" t="b">
        <f t="shared" si="75"/>
        <v>0</v>
      </c>
      <c r="DE62" t="b">
        <f t="shared" si="76"/>
        <v>0</v>
      </c>
      <c r="DF62" t="b">
        <f t="shared" si="77"/>
        <v>0</v>
      </c>
      <c r="DG62" t="b">
        <f t="shared" si="78"/>
        <v>0</v>
      </c>
      <c r="DH62" t="b">
        <f t="shared" si="79"/>
        <v>0</v>
      </c>
      <c r="DI62" t="b">
        <f t="shared" si="80"/>
        <v>0</v>
      </c>
      <c r="DJ62" t="b">
        <f t="shared" si="81"/>
        <v>0</v>
      </c>
      <c r="DK62" t="b">
        <f t="shared" si="82"/>
        <v>0</v>
      </c>
      <c r="DL62" t="b">
        <f t="shared" si="83"/>
        <v>0</v>
      </c>
      <c r="DM62" t="b">
        <f t="shared" si="84"/>
        <v>0</v>
      </c>
      <c r="DN62" t="b">
        <f t="shared" si="85"/>
        <v>0</v>
      </c>
      <c r="DO62" t="b">
        <f t="shared" si="86"/>
        <v>0</v>
      </c>
      <c r="DP62" t="b">
        <f t="shared" si="87"/>
        <v>0</v>
      </c>
      <c r="DQ62" t="b">
        <f t="shared" si="88"/>
        <v>0</v>
      </c>
      <c r="DR62" t="b">
        <f t="shared" si="89"/>
        <v>0</v>
      </c>
      <c r="DS62" t="b">
        <f t="shared" si="90"/>
        <v>0</v>
      </c>
      <c r="DT62" t="b">
        <f t="shared" si="91"/>
        <v>0</v>
      </c>
      <c r="DU62" t="b">
        <f t="shared" si="92"/>
        <v>0</v>
      </c>
      <c r="DV62" t="b">
        <f t="shared" si="93"/>
        <v>0</v>
      </c>
      <c r="DW62" t="b">
        <f t="shared" si="94"/>
        <v>0</v>
      </c>
      <c r="DX62" t="b">
        <f t="shared" si="95"/>
        <v>0</v>
      </c>
      <c r="DY62" t="b">
        <f t="shared" si="96"/>
        <v>0</v>
      </c>
      <c r="DZ62" t="b">
        <f t="shared" si="97"/>
        <v>0</v>
      </c>
      <c r="EA62" t="b">
        <f t="shared" si="98"/>
        <v>0</v>
      </c>
      <c r="EB62" t="b">
        <f t="shared" si="99"/>
        <v>0</v>
      </c>
      <c r="EC62" t="b">
        <f t="shared" si="100"/>
        <v>0</v>
      </c>
      <c r="ED62" t="b">
        <f t="shared" si="101"/>
        <v>0</v>
      </c>
      <c r="EE62" t="b">
        <f t="shared" si="102"/>
        <v>0</v>
      </c>
      <c r="EF62">
        <f t="shared" si="103"/>
        <v>1</v>
      </c>
      <c r="EG62" t="b">
        <f t="shared" si="104"/>
        <v>0</v>
      </c>
      <c r="EH62" t="b">
        <f t="shared" si="105"/>
        <v>0</v>
      </c>
      <c r="EI62" t="b">
        <f t="shared" si="106"/>
        <v>0</v>
      </c>
      <c r="EJ62" t="b">
        <f t="shared" si="107"/>
        <v>0</v>
      </c>
      <c r="EK62" t="b">
        <f t="shared" si="108"/>
        <v>0</v>
      </c>
    </row>
    <row r="63" spans="1:141">
      <c r="A63" t="s">
        <v>441</v>
      </c>
      <c r="B63" t="s">
        <v>441</v>
      </c>
      <c r="C63" t="s">
        <v>442</v>
      </c>
      <c r="D63" s="1">
        <v>42380</v>
      </c>
      <c r="E63" s="2">
        <v>44771.017048611109</v>
      </c>
      <c r="F63" s="2">
        <v>44771.017048611109</v>
      </c>
      <c r="G63">
        <v>83610</v>
      </c>
      <c r="H63" t="s">
        <v>443</v>
      </c>
      <c r="I63" s="10" t="s">
        <v>444</v>
      </c>
      <c r="J63" t="s">
        <v>156</v>
      </c>
      <c r="K63" s="8" t="b">
        <v>1</v>
      </c>
      <c r="L63" s="10" t="b">
        <v>0</v>
      </c>
      <c r="M63" s="12" t="b">
        <v>0</v>
      </c>
      <c r="N63" t="b">
        <v>0</v>
      </c>
      <c r="O63" t="b">
        <v>0</v>
      </c>
      <c r="P63" t="b">
        <v>0</v>
      </c>
      <c r="Q63">
        <f t="shared" si="1"/>
        <v>2</v>
      </c>
      <c r="R63">
        <f t="shared" si="2"/>
        <v>1</v>
      </c>
      <c r="S63" t="e">
        <f t="shared" ca="1" si="109"/>
        <v>#NAME?</v>
      </c>
      <c r="T63" t="e">
        <f t="shared" ca="1" si="3"/>
        <v>#NAME?</v>
      </c>
      <c r="U63" s="4">
        <f t="shared" si="4"/>
        <v>2391.0170486111092</v>
      </c>
      <c r="V63" s="4">
        <f t="shared" si="5"/>
        <v>79.700568287036972</v>
      </c>
      <c r="W63" s="4">
        <f t="shared" si="6"/>
        <v>1</v>
      </c>
      <c r="X63" s="4">
        <f t="shared" si="7"/>
        <v>0</v>
      </c>
      <c r="Y63" s="4">
        <f t="shared" si="8"/>
        <v>0</v>
      </c>
      <c r="Z63" s="4">
        <f t="shared" si="9"/>
        <v>0</v>
      </c>
      <c r="AA63" s="4">
        <f t="shared" si="10"/>
        <v>0</v>
      </c>
      <c r="AB63" s="4">
        <f t="shared" si="11"/>
        <v>0</v>
      </c>
      <c r="AC63" s="4"/>
      <c r="AD63" s="4" t="b">
        <f t="shared" si="12"/>
        <v>0</v>
      </c>
      <c r="AE63" s="4" t="b">
        <f t="shared" si="13"/>
        <v>0</v>
      </c>
      <c r="AF63" s="4" t="b">
        <f t="shared" si="14"/>
        <v>0</v>
      </c>
      <c r="AG63" t="b">
        <f t="shared" si="15"/>
        <v>0</v>
      </c>
      <c r="AH63" t="b">
        <f t="shared" si="16"/>
        <v>0</v>
      </c>
      <c r="AI63" t="b">
        <f t="shared" si="17"/>
        <v>0</v>
      </c>
      <c r="AJ63" t="b">
        <f t="shared" si="18"/>
        <v>0</v>
      </c>
      <c r="AK63" t="b">
        <f t="shared" si="19"/>
        <v>0</v>
      </c>
      <c r="AL63" t="b">
        <f t="shared" si="20"/>
        <v>0</v>
      </c>
      <c r="AM63" t="b">
        <f t="shared" si="21"/>
        <v>0</v>
      </c>
      <c r="AN63" t="b">
        <f t="shared" si="22"/>
        <v>0</v>
      </c>
      <c r="AO63" t="b">
        <f t="shared" si="23"/>
        <v>0</v>
      </c>
      <c r="AP63" t="b">
        <f t="shared" si="24"/>
        <v>0</v>
      </c>
      <c r="AQ63" t="b">
        <f t="shared" si="25"/>
        <v>0</v>
      </c>
      <c r="AR63" t="b">
        <f t="shared" si="26"/>
        <v>0</v>
      </c>
      <c r="AS63" t="b">
        <f t="shared" si="27"/>
        <v>0</v>
      </c>
      <c r="AT63" t="b">
        <f t="shared" si="28"/>
        <v>0</v>
      </c>
      <c r="AU63" t="b">
        <f t="shared" si="29"/>
        <v>0</v>
      </c>
      <c r="AV63" t="b">
        <f t="shared" si="30"/>
        <v>0</v>
      </c>
      <c r="AW63" t="b">
        <f t="shared" si="31"/>
        <v>0</v>
      </c>
      <c r="AX63" t="b">
        <f t="shared" si="110"/>
        <v>0</v>
      </c>
      <c r="AY63" t="b">
        <f t="shared" si="111"/>
        <v>0</v>
      </c>
      <c r="AZ63" t="b">
        <f t="shared" si="112"/>
        <v>0</v>
      </c>
      <c r="BA63" t="b">
        <f t="shared" si="113"/>
        <v>0</v>
      </c>
      <c r="BB63" t="b">
        <f t="shared" si="114"/>
        <v>0</v>
      </c>
      <c r="BC63" t="b">
        <f t="shared" si="115"/>
        <v>0</v>
      </c>
      <c r="BD63" t="b">
        <f t="shared" si="116"/>
        <v>0</v>
      </c>
      <c r="BE63" t="b">
        <f t="shared" si="117"/>
        <v>0</v>
      </c>
      <c r="BF63" t="b">
        <f t="shared" si="118"/>
        <v>0</v>
      </c>
      <c r="BG63" t="b">
        <f t="shared" si="119"/>
        <v>0</v>
      </c>
      <c r="BH63" t="b">
        <f t="shared" si="120"/>
        <v>0</v>
      </c>
      <c r="BI63">
        <f t="shared" si="121"/>
        <v>1</v>
      </c>
      <c r="BJ63" t="b">
        <f t="shared" si="122"/>
        <v>0</v>
      </c>
      <c r="BK63" t="b">
        <f t="shared" si="123"/>
        <v>0</v>
      </c>
      <c r="BL63" t="b">
        <f t="shared" si="124"/>
        <v>0</v>
      </c>
      <c r="BM63" t="b">
        <f t="shared" si="32"/>
        <v>0</v>
      </c>
      <c r="BN63" t="b">
        <f t="shared" si="33"/>
        <v>0</v>
      </c>
      <c r="BO63" t="b">
        <f t="shared" si="34"/>
        <v>0</v>
      </c>
      <c r="BP63" t="b">
        <f t="shared" si="35"/>
        <v>0</v>
      </c>
      <c r="BQ63" t="b">
        <f t="shared" si="36"/>
        <v>0</v>
      </c>
      <c r="BR63" t="b">
        <f t="shared" si="37"/>
        <v>0</v>
      </c>
      <c r="BS63" t="b">
        <f t="shared" si="38"/>
        <v>0</v>
      </c>
      <c r="BT63" t="b">
        <f t="shared" si="39"/>
        <v>0</v>
      </c>
      <c r="BU63" t="b">
        <f t="shared" si="40"/>
        <v>0</v>
      </c>
      <c r="BV63" t="b">
        <f t="shared" si="41"/>
        <v>0</v>
      </c>
      <c r="BW63" t="b">
        <f t="shared" si="42"/>
        <v>0</v>
      </c>
      <c r="BX63" t="b">
        <f t="shared" si="43"/>
        <v>0</v>
      </c>
      <c r="BY63" t="b">
        <f t="shared" si="44"/>
        <v>0</v>
      </c>
      <c r="BZ63" t="b">
        <f t="shared" si="45"/>
        <v>0</v>
      </c>
      <c r="CA63" t="b">
        <f t="shared" si="46"/>
        <v>0</v>
      </c>
      <c r="CB63" t="b">
        <f t="shared" si="47"/>
        <v>0</v>
      </c>
      <c r="CC63" t="b">
        <f t="shared" si="48"/>
        <v>0</v>
      </c>
      <c r="CD63" t="b">
        <f t="shared" si="49"/>
        <v>0</v>
      </c>
      <c r="CE63" t="b">
        <f t="shared" si="50"/>
        <v>0</v>
      </c>
      <c r="CF63" t="b">
        <f t="shared" si="51"/>
        <v>0</v>
      </c>
      <c r="CG63" t="b">
        <f t="shared" si="52"/>
        <v>0</v>
      </c>
      <c r="CH63" t="b">
        <f t="shared" si="53"/>
        <v>0</v>
      </c>
      <c r="CI63" t="b">
        <f t="shared" si="54"/>
        <v>0</v>
      </c>
      <c r="CJ63" t="b">
        <f t="shared" si="55"/>
        <v>0</v>
      </c>
      <c r="CK63" t="b">
        <f t="shared" si="56"/>
        <v>0</v>
      </c>
      <c r="CL63" t="b">
        <f t="shared" si="57"/>
        <v>0</v>
      </c>
      <c r="CM63" t="b">
        <f t="shared" si="58"/>
        <v>0</v>
      </c>
      <c r="CN63" t="b">
        <f t="shared" si="59"/>
        <v>0</v>
      </c>
      <c r="CO63" t="b">
        <f t="shared" si="60"/>
        <v>0</v>
      </c>
      <c r="CP63" t="b">
        <f t="shared" si="61"/>
        <v>0</v>
      </c>
      <c r="CQ63" t="b">
        <f t="shared" si="62"/>
        <v>0</v>
      </c>
      <c r="CR63" t="b">
        <f t="shared" si="63"/>
        <v>0</v>
      </c>
      <c r="CS63" t="b">
        <f t="shared" si="64"/>
        <v>0</v>
      </c>
      <c r="CT63" t="b">
        <f t="shared" si="65"/>
        <v>0</v>
      </c>
      <c r="CU63" t="b">
        <f t="shared" si="66"/>
        <v>0</v>
      </c>
      <c r="CV63">
        <f t="shared" si="67"/>
        <v>1</v>
      </c>
      <c r="CW63" t="b">
        <f t="shared" si="68"/>
        <v>0</v>
      </c>
      <c r="CX63" t="b">
        <f t="shared" si="69"/>
        <v>0</v>
      </c>
      <c r="CY63" t="b">
        <f t="shared" si="70"/>
        <v>0</v>
      </c>
      <c r="CZ63" t="b">
        <f t="shared" si="71"/>
        <v>0</v>
      </c>
      <c r="DA63" t="b">
        <f t="shared" si="72"/>
        <v>0</v>
      </c>
      <c r="DB63" t="b">
        <f t="shared" si="73"/>
        <v>0</v>
      </c>
      <c r="DC63" t="b">
        <f t="shared" si="74"/>
        <v>0</v>
      </c>
      <c r="DD63" t="b">
        <f t="shared" si="75"/>
        <v>0</v>
      </c>
      <c r="DE63" t="b">
        <f t="shared" si="76"/>
        <v>0</v>
      </c>
      <c r="DF63" t="b">
        <f t="shared" si="77"/>
        <v>0</v>
      </c>
      <c r="DG63" t="b">
        <f t="shared" si="78"/>
        <v>0</v>
      </c>
      <c r="DH63" t="b">
        <f t="shared" si="79"/>
        <v>0</v>
      </c>
      <c r="DI63" t="b">
        <f t="shared" si="80"/>
        <v>0</v>
      </c>
      <c r="DJ63" t="b">
        <f t="shared" si="81"/>
        <v>0</v>
      </c>
      <c r="DK63" t="b">
        <f t="shared" si="82"/>
        <v>0</v>
      </c>
      <c r="DL63" t="b">
        <f t="shared" si="83"/>
        <v>0</v>
      </c>
      <c r="DM63" t="b">
        <f t="shared" si="84"/>
        <v>0</v>
      </c>
      <c r="DN63" t="b">
        <f t="shared" si="85"/>
        <v>0</v>
      </c>
      <c r="DO63" t="b">
        <f t="shared" si="86"/>
        <v>0</v>
      </c>
      <c r="DP63" t="b">
        <f t="shared" si="87"/>
        <v>0</v>
      </c>
      <c r="DQ63" t="b">
        <f t="shared" si="88"/>
        <v>0</v>
      </c>
      <c r="DR63" t="b">
        <f t="shared" si="89"/>
        <v>0</v>
      </c>
      <c r="DS63" t="b">
        <f t="shared" si="90"/>
        <v>0</v>
      </c>
      <c r="DT63" t="b">
        <f t="shared" si="91"/>
        <v>0</v>
      </c>
      <c r="DU63" t="b">
        <f t="shared" si="92"/>
        <v>0</v>
      </c>
      <c r="DV63" t="b">
        <f t="shared" si="93"/>
        <v>0</v>
      </c>
      <c r="DW63" t="b">
        <f t="shared" si="94"/>
        <v>0</v>
      </c>
      <c r="DX63" t="b">
        <f t="shared" si="95"/>
        <v>0</v>
      </c>
      <c r="DY63" t="b">
        <f t="shared" si="96"/>
        <v>0</v>
      </c>
      <c r="DZ63" t="b">
        <f t="shared" si="97"/>
        <v>0</v>
      </c>
      <c r="EA63" t="b">
        <f t="shared" si="98"/>
        <v>0</v>
      </c>
      <c r="EB63" t="b">
        <f t="shared" si="99"/>
        <v>0</v>
      </c>
      <c r="EC63" t="b">
        <f t="shared" si="100"/>
        <v>0</v>
      </c>
      <c r="ED63" t="b">
        <f t="shared" si="101"/>
        <v>0</v>
      </c>
      <c r="EE63" t="b">
        <f t="shared" si="102"/>
        <v>0</v>
      </c>
      <c r="EF63">
        <f t="shared" si="103"/>
        <v>1</v>
      </c>
      <c r="EG63" t="b">
        <f t="shared" si="104"/>
        <v>0</v>
      </c>
      <c r="EH63" t="b">
        <f t="shared" si="105"/>
        <v>0</v>
      </c>
      <c r="EI63" t="b">
        <f t="shared" si="106"/>
        <v>0</v>
      </c>
      <c r="EJ63" t="b">
        <f t="shared" si="107"/>
        <v>0</v>
      </c>
      <c r="EK63" t="b">
        <f t="shared" si="108"/>
        <v>0</v>
      </c>
    </row>
    <row r="64" spans="1:141">
      <c r="A64" t="s">
        <v>445</v>
      </c>
      <c r="B64" t="s">
        <v>446</v>
      </c>
      <c r="C64" t="s">
        <v>447</v>
      </c>
      <c r="D64" s="1">
        <v>42319</v>
      </c>
      <c r="E64" s="2">
        <v>42485.420532407406</v>
      </c>
      <c r="F64" s="2">
        <v>42485.420532407406</v>
      </c>
      <c r="G64">
        <v>1100089</v>
      </c>
      <c r="H64" t="s">
        <v>448</v>
      </c>
      <c r="I64" s="10" t="s">
        <v>449</v>
      </c>
      <c r="J64" t="s">
        <v>450</v>
      </c>
      <c r="K64" s="8" t="b">
        <v>1</v>
      </c>
      <c r="L64" s="10" t="b">
        <v>0</v>
      </c>
      <c r="M64" s="12" t="b">
        <v>1</v>
      </c>
      <c r="N64" t="b">
        <v>0</v>
      </c>
      <c r="O64" t="b">
        <v>0</v>
      </c>
      <c r="P64" t="b">
        <v>0</v>
      </c>
      <c r="Q64">
        <f t="shared" si="1"/>
        <v>4</v>
      </c>
      <c r="R64">
        <f t="shared" si="2"/>
        <v>11</v>
      </c>
      <c r="S64" t="e">
        <f t="shared" ca="1" si="109"/>
        <v>#NAME?</v>
      </c>
      <c r="T64" t="e">
        <f t="shared" ca="1" si="3"/>
        <v>#NAME?</v>
      </c>
      <c r="U64" s="4">
        <f t="shared" si="4"/>
        <v>166.42053240740643</v>
      </c>
      <c r="V64" s="4">
        <f t="shared" si="5"/>
        <v>5.5473510802468811</v>
      </c>
      <c r="W64" s="4">
        <f t="shared" si="6"/>
        <v>1</v>
      </c>
      <c r="X64" s="4">
        <f t="shared" si="7"/>
        <v>0</v>
      </c>
      <c r="Y64" s="4">
        <f t="shared" si="8"/>
        <v>1</v>
      </c>
      <c r="Z64" s="4">
        <f t="shared" si="9"/>
        <v>0</v>
      </c>
      <c r="AA64" s="4">
        <f t="shared" si="10"/>
        <v>0</v>
      </c>
      <c r="AB64" s="4">
        <f t="shared" si="11"/>
        <v>0</v>
      </c>
      <c r="AC64" s="4"/>
      <c r="AD64" s="4" t="b">
        <f t="shared" si="12"/>
        <v>0</v>
      </c>
      <c r="AE64" s="4" t="b">
        <f t="shared" si="13"/>
        <v>0</v>
      </c>
      <c r="AF64" s="4" t="b">
        <f t="shared" si="14"/>
        <v>0</v>
      </c>
      <c r="AG64" t="b">
        <f t="shared" si="15"/>
        <v>0</v>
      </c>
      <c r="AH64" t="b">
        <f t="shared" si="16"/>
        <v>0</v>
      </c>
      <c r="AI64" t="b">
        <f t="shared" si="17"/>
        <v>0</v>
      </c>
      <c r="AJ64" t="b">
        <f t="shared" si="18"/>
        <v>0</v>
      </c>
      <c r="AK64" t="b">
        <f t="shared" si="19"/>
        <v>0</v>
      </c>
      <c r="AL64">
        <f t="shared" si="20"/>
        <v>1</v>
      </c>
      <c r="AM64" t="b">
        <f t="shared" si="21"/>
        <v>0</v>
      </c>
      <c r="AN64" t="b">
        <f t="shared" si="22"/>
        <v>0</v>
      </c>
      <c r="AO64" t="b">
        <f t="shared" si="23"/>
        <v>0</v>
      </c>
      <c r="AP64" t="b">
        <f t="shared" si="24"/>
        <v>0</v>
      </c>
      <c r="AQ64">
        <f t="shared" si="25"/>
        <v>1</v>
      </c>
      <c r="AR64" t="b">
        <f t="shared" si="26"/>
        <v>0</v>
      </c>
      <c r="AS64" t="b">
        <f t="shared" si="27"/>
        <v>0</v>
      </c>
      <c r="AT64" t="b">
        <f t="shared" si="28"/>
        <v>0</v>
      </c>
      <c r="AU64" t="b">
        <f t="shared" si="29"/>
        <v>0</v>
      </c>
      <c r="AV64" t="b">
        <f t="shared" si="30"/>
        <v>0</v>
      </c>
      <c r="AW64" t="b">
        <f t="shared" si="31"/>
        <v>0</v>
      </c>
      <c r="AX64" t="b">
        <f t="shared" si="110"/>
        <v>0</v>
      </c>
      <c r="AY64" t="b">
        <f t="shared" si="111"/>
        <v>0</v>
      </c>
      <c r="AZ64">
        <f t="shared" si="112"/>
        <v>1</v>
      </c>
      <c r="BA64" t="b">
        <f t="shared" si="113"/>
        <v>0</v>
      </c>
      <c r="BB64" t="b">
        <f t="shared" si="114"/>
        <v>0</v>
      </c>
      <c r="BC64" t="b">
        <f t="shared" si="115"/>
        <v>0</v>
      </c>
      <c r="BD64" t="b">
        <f t="shared" si="116"/>
        <v>0</v>
      </c>
      <c r="BE64">
        <f t="shared" si="117"/>
        <v>1</v>
      </c>
      <c r="BF64" t="b">
        <f t="shared" si="118"/>
        <v>0</v>
      </c>
      <c r="BG64" t="b">
        <f t="shared" si="119"/>
        <v>0</v>
      </c>
      <c r="BH64">
        <f t="shared" si="120"/>
        <v>1</v>
      </c>
      <c r="BI64">
        <f t="shared" si="121"/>
        <v>1</v>
      </c>
      <c r="BJ64" t="b">
        <f t="shared" si="122"/>
        <v>0</v>
      </c>
      <c r="BK64" t="b">
        <f t="shared" si="123"/>
        <v>0</v>
      </c>
      <c r="BL64" t="b">
        <f t="shared" si="124"/>
        <v>0</v>
      </c>
      <c r="BM64" t="b">
        <f t="shared" si="32"/>
        <v>0</v>
      </c>
      <c r="BN64" t="b">
        <f t="shared" si="33"/>
        <v>0</v>
      </c>
      <c r="BO64" t="b">
        <f t="shared" si="34"/>
        <v>0</v>
      </c>
      <c r="BP64" t="b">
        <f t="shared" si="35"/>
        <v>0</v>
      </c>
      <c r="BQ64" t="b">
        <f t="shared" si="36"/>
        <v>0</v>
      </c>
      <c r="BR64">
        <f t="shared" si="37"/>
        <v>1</v>
      </c>
      <c r="BS64">
        <f t="shared" si="38"/>
        <v>1</v>
      </c>
      <c r="BT64" t="b">
        <f t="shared" si="39"/>
        <v>0</v>
      </c>
      <c r="BU64" t="b">
        <f t="shared" si="40"/>
        <v>0</v>
      </c>
      <c r="BV64" t="b">
        <f t="shared" si="41"/>
        <v>0</v>
      </c>
      <c r="BW64" t="b">
        <f t="shared" si="42"/>
        <v>0</v>
      </c>
      <c r="BX64" t="b">
        <f t="shared" si="43"/>
        <v>0</v>
      </c>
      <c r="BY64">
        <f t="shared" si="44"/>
        <v>1</v>
      </c>
      <c r="BZ64" t="b">
        <f t="shared" si="45"/>
        <v>0</v>
      </c>
      <c r="CA64" t="b">
        <f t="shared" si="46"/>
        <v>0</v>
      </c>
      <c r="CB64" t="b">
        <f t="shared" si="47"/>
        <v>0</v>
      </c>
      <c r="CC64">
        <f t="shared" si="48"/>
        <v>1</v>
      </c>
      <c r="CD64" t="b">
        <f t="shared" si="49"/>
        <v>0</v>
      </c>
      <c r="CE64">
        <f t="shared" si="50"/>
        <v>1</v>
      </c>
      <c r="CF64" t="b">
        <f t="shared" si="51"/>
        <v>0</v>
      </c>
      <c r="CG64" t="b">
        <f t="shared" si="52"/>
        <v>0</v>
      </c>
      <c r="CH64" t="b">
        <f t="shared" si="53"/>
        <v>0</v>
      </c>
      <c r="CI64" t="b">
        <f t="shared" si="54"/>
        <v>0</v>
      </c>
      <c r="CJ64" t="b">
        <f t="shared" si="55"/>
        <v>0</v>
      </c>
      <c r="CK64" t="b">
        <f t="shared" si="56"/>
        <v>0</v>
      </c>
      <c r="CL64" t="b">
        <f t="shared" si="57"/>
        <v>0</v>
      </c>
      <c r="CM64">
        <f t="shared" si="58"/>
        <v>1</v>
      </c>
      <c r="CN64" t="b">
        <f t="shared" si="59"/>
        <v>0</v>
      </c>
      <c r="CO64" t="b">
        <f t="shared" si="60"/>
        <v>0</v>
      </c>
      <c r="CP64" t="b">
        <f t="shared" si="61"/>
        <v>0</v>
      </c>
      <c r="CQ64" t="b">
        <f t="shared" si="62"/>
        <v>0</v>
      </c>
      <c r="CR64" t="b">
        <f t="shared" si="63"/>
        <v>0</v>
      </c>
      <c r="CS64" t="b">
        <f t="shared" si="64"/>
        <v>0</v>
      </c>
      <c r="CT64" t="b">
        <f t="shared" si="65"/>
        <v>0</v>
      </c>
      <c r="CU64" t="b">
        <f t="shared" si="66"/>
        <v>0</v>
      </c>
      <c r="CV64">
        <f t="shared" si="67"/>
        <v>1</v>
      </c>
      <c r="CW64" t="b">
        <f t="shared" si="68"/>
        <v>0</v>
      </c>
      <c r="CX64" t="b">
        <f t="shared" si="69"/>
        <v>0</v>
      </c>
      <c r="CY64">
        <f t="shared" si="70"/>
        <v>1</v>
      </c>
      <c r="CZ64" t="b">
        <f t="shared" si="71"/>
        <v>0</v>
      </c>
      <c r="DA64" t="b">
        <f t="shared" si="72"/>
        <v>0</v>
      </c>
      <c r="DB64" t="b">
        <f t="shared" si="73"/>
        <v>0</v>
      </c>
      <c r="DC64">
        <f t="shared" si="74"/>
        <v>1</v>
      </c>
      <c r="DD64" t="b">
        <f t="shared" si="75"/>
        <v>0</v>
      </c>
      <c r="DE64" t="b">
        <f t="shared" si="76"/>
        <v>0</v>
      </c>
      <c r="DF64" t="b">
        <f t="shared" si="77"/>
        <v>0</v>
      </c>
      <c r="DG64" t="b">
        <f t="shared" si="78"/>
        <v>0</v>
      </c>
      <c r="DH64" t="b">
        <f t="shared" si="79"/>
        <v>0</v>
      </c>
      <c r="DI64" t="b">
        <f t="shared" si="80"/>
        <v>0</v>
      </c>
      <c r="DJ64" t="b">
        <f t="shared" si="81"/>
        <v>0</v>
      </c>
      <c r="DK64" t="b">
        <f t="shared" si="82"/>
        <v>0</v>
      </c>
      <c r="DL64" t="b">
        <f t="shared" si="83"/>
        <v>0</v>
      </c>
      <c r="DM64" t="b">
        <f t="shared" si="84"/>
        <v>0</v>
      </c>
      <c r="DN64" t="b">
        <f t="shared" si="85"/>
        <v>0</v>
      </c>
      <c r="DO64" t="b">
        <f t="shared" si="86"/>
        <v>0</v>
      </c>
      <c r="DP64" t="b">
        <f t="shared" si="87"/>
        <v>0</v>
      </c>
      <c r="DQ64" t="b">
        <f t="shared" si="88"/>
        <v>0</v>
      </c>
      <c r="DR64" t="b">
        <f t="shared" si="89"/>
        <v>0</v>
      </c>
      <c r="DS64" t="b">
        <f t="shared" si="90"/>
        <v>0</v>
      </c>
      <c r="DT64" t="b">
        <f t="shared" si="91"/>
        <v>0</v>
      </c>
      <c r="DU64">
        <f t="shared" si="92"/>
        <v>1</v>
      </c>
      <c r="DV64">
        <f t="shared" si="93"/>
        <v>1</v>
      </c>
      <c r="DW64" t="b">
        <f t="shared" si="94"/>
        <v>0</v>
      </c>
      <c r="DX64" t="b">
        <f t="shared" si="95"/>
        <v>0</v>
      </c>
      <c r="DY64" t="b">
        <f t="shared" si="96"/>
        <v>0</v>
      </c>
      <c r="DZ64" t="b">
        <f t="shared" si="97"/>
        <v>0</v>
      </c>
      <c r="EA64" t="b">
        <f t="shared" si="98"/>
        <v>0</v>
      </c>
      <c r="EB64" t="b">
        <f t="shared" si="99"/>
        <v>0</v>
      </c>
      <c r="EC64" t="b">
        <f t="shared" si="100"/>
        <v>0</v>
      </c>
      <c r="ED64" t="b">
        <f t="shared" si="101"/>
        <v>0</v>
      </c>
      <c r="EE64" t="b">
        <f t="shared" si="102"/>
        <v>0</v>
      </c>
      <c r="EF64" t="b">
        <f t="shared" si="103"/>
        <v>0</v>
      </c>
      <c r="EG64" t="b">
        <f t="shared" si="104"/>
        <v>0</v>
      </c>
      <c r="EH64" t="b">
        <f t="shared" si="105"/>
        <v>0</v>
      </c>
      <c r="EI64">
        <f t="shared" si="106"/>
        <v>1</v>
      </c>
      <c r="EJ64" t="b">
        <f t="shared" si="107"/>
        <v>0</v>
      </c>
      <c r="EK64" t="b">
        <f t="shared" si="108"/>
        <v>0</v>
      </c>
    </row>
    <row r="65" spans="1:141">
      <c r="A65" t="s">
        <v>451</v>
      </c>
      <c r="B65" t="s">
        <v>452</v>
      </c>
      <c r="C65" t="s">
        <v>453</v>
      </c>
      <c r="D65" s="1">
        <v>41671</v>
      </c>
      <c r="E65" s="2">
        <v>41671.998032407406</v>
      </c>
      <c r="F65" s="2">
        <v>41671.998032407406</v>
      </c>
      <c r="G65">
        <v>20902</v>
      </c>
      <c r="H65" t="s">
        <v>454</v>
      </c>
      <c r="I65" s="10" t="s">
        <v>455</v>
      </c>
      <c r="J65" t="s">
        <v>456</v>
      </c>
      <c r="K65" s="8" t="b">
        <v>1</v>
      </c>
      <c r="L65" s="10" t="b">
        <v>0</v>
      </c>
      <c r="M65" s="12" t="b">
        <v>0</v>
      </c>
      <c r="N65" t="b">
        <v>0</v>
      </c>
      <c r="O65" t="b">
        <v>0</v>
      </c>
      <c r="P65" t="b">
        <v>0</v>
      </c>
      <c r="Q65">
        <f t="shared" si="1"/>
        <v>7</v>
      </c>
      <c r="R65">
        <f t="shared" si="2"/>
        <v>2</v>
      </c>
      <c r="S65" t="e">
        <f t="shared" ca="1" si="109"/>
        <v>#NAME?</v>
      </c>
      <c r="T65" t="e">
        <f t="shared" ca="1" si="3"/>
        <v>#NAME?</v>
      </c>
      <c r="U65" s="4">
        <f t="shared" si="4"/>
        <v>0.99803240740584442</v>
      </c>
      <c r="V65" s="4">
        <f t="shared" si="5"/>
        <v>3.326774691352815E-2</v>
      </c>
      <c r="W65" s="4">
        <f t="shared" si="6"/>
        <v>1</v>
      </c>
      <c r="X65" s="4">
        <f t="shared" si="7"/>
        <v>0</v>
      </c>
      <c r="Y65" s="4">
        <f t="shared" si="8"/>
        <v>0</v>
      </c>
      <c r="Z65" s="4">
        <f t="shared" si="9"/>
        <v>0</v>
      </c>
      <c r="AA65" s="4">
        <f t="shared" si="10"/>
        <v>0</v>
      </c>
      <c r="AB65" s="4">
        <f t="shared" si="11"/>
        <v>0</v>
      </c>
      <c r="AC65" s="4"/>
      <c r="AD65" s="4" t="b">
        <f t="shared" si="12"/>
        <v>0</v>
      </c>
      <c r="AE65" s="4" t="b">
        <f t="shared" si="13"/>
        <v>0</v>
      </c>
      <c r="AF65" s="4" t="b">
        <f t="shared" si="14"/>
        <v>0</v>
      </c>
      <c r="AG65" t="b">
        <f t="shared" si="15"/>
        <v>0</v>
      </c>
      <c r="AH65" t="b">
        <f t="shared" si="16"/>
        <v>0</v>
      </c>
      <c r="AI65" t="b">
        <f t="shared" si="17"/>
        <v>0</v>
      </c>
      <c r="AJ65" t="b">
        <f t="shared" si="18"/>
        <v>0</v>
      </c>
      <c r="AK65" t="b">
        <f t="shared" si="19"/>
        <v>0</v>
      </c>
      <c r="AL65" t="b">
        <f t="shared" si="20"/>
        <v>0</v>
      </c>
      <c r="AM65" t="b">
        <f t="shared" si="21"/>
        <v>0</v>
      </c>
      <c r="AN65" t="b">
        <f t="shared" si="22"/>
        <v>0</v>
      </c>
      <c r="AO65" t="b">
        <f t="shared" si="23"/>
        <v>0</v>
      </c>
      <c r="AP65" t="b">
        <f t="shared" si="24"/>
        <v>0</v>
      </c>
      <c r="AQ65" t="b">
        <f t="shared" si="25"/>
        <v>0</v>
      </c>
      <c r="AR65" t="b">
        <f t="shared" si="26"/>
        <v>0</v>
      </c>
      <c r="AS65" t="b">
        <f t="shared" si="27"/>
        <v>0</v>
      </c>
      <c r="AT65" t="b">
        <f t="shared" si="28"/>
        <v>0</v>
      </c>
      <c r="AU65" t="b">
        <f t="shared" si="29"/>
        <v>0</v>
      </c>
      <c r="AV65">
        <f t="shared" si="30"/>
        <v>1</v>
      </c>
      <c r="AW65" t="b">
        <f t="shared" si="31"/>
        <v>0</v>
      </c>
      <c r="AX65" t="b">
        <f t="shared" si="110"/>
        <v>0</v>
      </c>
      <c r="AY65" t="b">
        <f t="shared" si="111"/>
        <v>0</v>
      </c>
      <c r="AZ65" t="b">
        <f t="shared" si="112"/>
        <v>0</v>
      </c>
      <c r="BA65" t="b">
        <f t="shared" si="113"/>
        <v>0</v>
      </c>
      <c r="BB65" t="b">
        <f t="shared" si="114"/>
        <v>0</v>
      </c>
      <c r="BC65" t="b">
        <f t="shared" si="115"/>
        <v>0</v>
      </c>
      <c r="BD65" t="b">
        <f t="shared" si="116"/>
        <v>0</v>
      </c>
      <c r="BE65" t="b">
        <f t="shared" si="117"/>
        <v>0</v>
      </c>
      <c r="BF65" t="b">
        <f t="shared" si="118"/>
        <v>0</v>
      </c>
      <c r="BG65" t="b">
        <f t="shared" si="119"/>
        <v>0</v>
      </c>
      <c r="BH65" t="b">
        <f t="shared" si="120"/>
        <v>0</v>
      </c>
      <c r="BI65" t="b">
        <f t="shared" si="121"/>
        <v>0</v>
      </c>
      <c r="BJ65" t="b">
        <f t="shared" si="122"/>
        <v>0</v>
      </c>
      <c r="BK65" t="b">
        <f t="shared" si="123"/>
        <v>0</v>
      </c>
      <c r="BL65" t="b">
        <f t="shared" si="124"/>
        <v>0</v>
      </c>
      <c r="BM65" t="b">
        <f t="shared" si="32"/>
        <v>0</v>
      </c>
      <c r="BN65" t="b">
        <f t="shared" si="33"/>
        <v>0</v>
      </c>
      <c r="BO65" t="b">
        <f t="shared" si="34"/>
        <v>0</v>
      </c>
      <c r="BP65" t="b">
        <f t="shared" si="35"/>
        <v>0</v>
      </c>
      <c r="BQ65" t="b">
        <f t="shared" si="36"/>
        <v>0</v>
      </c>
      <c r="BR65">
        <f t="shared" si="37"/>
        <v>1</v>
      </c>
      <c r="BS65" t="b">
        <f t="shared" si="38"/>
        <v>0</v>
      </c>
      <c r="BT65" t="b">
        <f t="shared" si="39"/>
        <v>0</v>
      </c>
      <c r="BU65" t="b">
        <f t="shared" si="40"/>
        <v>0</v>
      </c>
      <c r="BV65" t="b">
        <f t="shared" si="41"/>
        <v>0</v>
      </c>
      <c r="BW65" t="b">
        <f t="shared" si="42"/>
        <v>0</v>
      </c>
      <c r="BX65" t="b">
        <f t="shared" si="43"/>
        <v>0</v>
      </c>
      <c r="BY65" t="b">
        <f t="shared" si="44"/>
        <v>0</v>
      </c>
      <c r="BZ65" t="b">
        <f t="shared" si="45"/>
        <v>0</v>
      </c>
      <c r="CA65" t="b">
        <f t="shared" si="46"/>
        <v>0</v>
      </c>
      <c r="CB65" t="b">
        <f t="shared" si="47"/>
        <v>0</v>
      </c>
      <c r="CC65" t="b">
        <f t="shared" si="48"/>
        <v>0</v>
      </c>
      <c r="CD65" t="b">
        <f t="shared" si="49"/>
        <v>0</v>
      </c>
      <c r="CE65" t="b">
        <f t="shared" si="50"/>
        <v>0</v>
      </c>
      <c r="CF65" t="b">
        <f t="shared" si="51"/>
        <v>0</v>
      </c>
      <c r="CG65" t="b">
        <f t="shared" si="52"/>
        <v>0</v>
      </c>
      <c r="CH65" t="b">
        <f t="shared" si="53"/>
        <v>0</v>
      </c>
      <c r="CI65" t="b">
        <f t="shared" si="54"/>
        <v>0</v>
      </c>
      <c r="CJ65" t="b">
        <f t="shared" si="55"/>
        <v>0</v>
      </c>
      <c r="CK65" t="b">
        <f t="shared" si="56"/>
        <v>0</v>
      </c>
      <c r="CL65" t="b">
        <f t="shared" si="57"/>
        <v>0</v>
      </c>
      <c r="CM65" t="b">
        <f t="shared" si="58"/>
        <v>0</v>
      </c>
      <c r="CN65" t="b">
        <f t="shared" si="59"/>
        <v>0</v>
      </c>
      <c r="CO65" t="b">
        <f t="shared" si="60"/>
        <v>0</v>
      </c>
      <c r="CP65" t="b">
        <f t="shared" si="61"/>
        <v>0</v>
      </c>
      <c r="CQ65" t="b">
        <f t="shared" si="62"/>
        <v>0</v>
      </c>
      <c r="CR65" t="b">
        <f t="shared" si="63"/>
        <v>0</v>
      </c>
      <c r="CS65" t="b">
        <f t="shared" si="64"/>
        <v>0</v>
      </c>
      <c r="CT65" t="b">
        <f t="shared" si="65"/>
        <v>0</v>
      </c>
      <c r="CU65" t="b">
        <f t="shared" si="66"/>
        <v>0</v>
      </c>
      <c r="CV65">
        <f t="shared" si="67"/>
        <v>1</v>
      </c>
      <c r="CW65" t="b">
        <f t="shared" si="68"/>
        <v>0</v>
      </c>
      <c r="CX65" t="b">
        <f t="shared" si="69"/>
        <v>0</v>
      </c>
      <c r="CY65" t="b">
        <f t="shared" si="70"/>
        <v>0</v>
      </c>
      <c r="CZ65" t="b">
        <f t="shared" si="71"/>
        <v>0</v>
      </c>
      <c r="DA65" t="b">
        <f t="shared" si="72"/>
        <v>0</v>
      </c>
      <c r="DB65" t="b">
        <f t="shared" si="73"/>
        <v>0</v>
      </c>
      <c r="DC65" t="b">
        <f t="shared" si="74"/>
        <v>0</v>
      </c>
      <c r="DD65" t="b">
        <f t="shared" si="75"/>
        <v>0</v>
      </c>
      <c r="DE65" t="b">
        <f t="shared" si="76"/>
        <v>0</v>
      </c>
      <c r="DF65" t="b">
        <f t="shared" si="77"/>
        <v>0</v>
      </c>
      <c r="DG65" t="b">
        <f t="shared" si="78"/>
        <v>0</v>
      </c>
      <c r="DH65" t="b">
        <f t="shared" si="79"/>
        <v>0</v>
      </c>
      <c r="DI65" t="b">
        <f t="shared" si="80"/>
        <v>0</v>
      </c>
      <c r="DJ65" t="b">
        <f t="shared" si="81"/>
        <v>0</v>
      </c>
      <c r="DK65" t="b">
        <f t="shared" si="82"/>
        <v>0</v>
      </c>
      <c r="DL65" t="b">
        <f t="shared" si="83"/>
        <v>0</v>
      </c>
      <c r="DM65" t="b">
        <f t="shared" si="84"/>
        <v>0</v>
      </c>
      <c r="DN65" t="b">
        <f t="shared" si="85"/>
        <v>0</v>
      </c>
      <c r="DO65" t="b">
        <f t="shared" si="86"/>
        <v>0</v>
      </c>
      <c r="DP65" t="b">
        <f t="shared" si="87"/>
        <v>0</v>
      </c>
      <c r="DQ65" t="b">
        <f t="shared" si="88"/>
        <v>0</v>
      </c>
      <c r="DR65" t="b">
        <f t="shared" si="89"/>
        <v>0</v>
      </c>
      <c r="DS65" t="b">
        <f t="shared" si="90"/>
        <v>0</v>
      </c>
      <c r="DT65" t="b">
        <f t="shared" si="91"/>
        <v>0</v>
      </c>
      <c r="DU65" t="b">
        <f t="shared" si="92"/>
        <v>0</v>
      </c>
      <c r="DV65" t="b">
        <f t="shared" si="93"/>
        <v>0</v>
      </c>
      <c r="DW65" t="b">
        <f t="shared" si="94"/>
        <v>0</v>
      </c>
      <c r="DX65" t="b">
        <f t="shared" si="95"/>
        <v>0</v>
      </c>
      <c r="DY65" t="b">
        <f t="shared" si="96"/>
        <v>0</v>
      </c>
      <c r="DZ65" t="b">
        <f t="shared" si="97"/>
        <v>0</v>
      </c>
      <c r="EA65" t="b">
        <f t="shared" si="98"/>
        <v>0</v>
      </c>
      <c r="EB65" t="b">
        <f t="shared" si="99"/>
        <v>0</v>
      </c>
      <c r="EC65" t="b">
        <f t="shared" si="100"/>
        <v>0</v>
      </c>
      <c r="ED65" t="b">
        <f t="shared" si="101"/>
        <v>0</v>
      </c>
      <c r="EE65" t="b">
        <f t="shared" si="102"/>
        <v>0</v>
      </c>
      <c r="EF65">
        <f t="shared" si="103"/>
        <v>1</v>
      </c>
      <c r="EG65" t="b">
        <f t="shared" si="104"/>
        <v>0</v>
      </c>
      <c r="EH65" t="b">
        <f t="shared" si="105"/>
        <v>0</v>
      </c>
      <c r="EI65" t="b">
        <f t="shared" si="106"/>
        <v>0</v>
      </c>
      <c r="EJ65" t="b">
        <f t="shared" si="107"/>
        <v>0</v>
      </c>
      <c r="EK65" t="b">
        <f t="shared" si="108"/>
        <v>0</v>
      </c>
    </row>
    <row r="66" spans="1:141">
      <c r="A66" t="s">
        <v>457</v>
      </c>
      <c r="B66" t="s">
        <v>458</v>
      </c>
      <c r="C66" t="s">
        <v>453</v>
      </c>
      <c r="D66" s="1">
        <v>42870</v>
      </c>
      <c r="E66" s="2">
        <v>42871.076053240744</v>
      </c>
      <c r="F66" s="2">
        <v>42871.076053240744</v>
      </c>
      <c r="G66">
        <v>2231256</v>
      </c>
      <c r="H66" t="s">
        <v>459</v>
      </c>
      <c r="I66" s="10" t="s">
        <v>455</v>
      </c>
      <c r="J66" t="s">
        <v>460</v>
      </c>
      <c r="K66" s="8" t="b">
        <v>1</v>
      </c>
      <c r="L66" s="10" t="b">
        <v>0</v>
      </c>
      <c r="M66" s="12" t="b">
        <v>0</v>
      </c>
      <c r="N66" t="b">
        <v>0</v>
      </c>
      <c r="O66" t="b">
        <v>0</v>
      </c>
      <c r="P66" t="b">
        <v>0</v>
      </c>
      <c r="Q66">
        <f t="shared" ref="Q66:Q129" si="125">WEEKDAY(D66)</f>
        <v>2</v>
      </c>
      <c r="R66">
        <f t="shared" ref="R66:R129" si="126">MONTH(D66)</f>
        <v>5</v>
      </c>
      <c r="S66" t="e">
        <f t="shared" ca="1" si="109"/>
        <v>#NAME?</v>
      </c>
      <c r="T66" t="e">
        <f t="shared" ref="T66:T129" ca="1" si="127">WhoIsName(C66)</f>
        <v>#NAME?</v>
      </c>
      <c r="U66" s="4">
        <f t="shared" ref="U66:U129" si="128">E66-D66</f>
        <v>1.0760532407439314</v>
      </c>
      <c r="V66" s="4">
        <f t="shared" ref="V66:V129" si="129">U66/30</f>
        <v>3.5868441358131047E-2</v>
      </c>
      <c r="W66" s="4">
        <f t="shared" ref="W66:W129" si="130">IF(K66=TRUE,1,0)</f>
        <v>1</v>
      </c>
      <c r="X66" s="4">
        <f t="shared" ref="X66:X129" si="131">IF(L66=TRUE,1,0)</f>
        <v>0</v>
      </c>
      <c r="Y66" s="4">
        <f t="shared" ref="Y66:Y129" si="132">IF(M66=TRUE,1,0)</f>
        <v>0</v>
      </c>
      <c r="Z66" s="4">
        <f t="shared" ref="Z66:Z129" si="133">IF(N66=TRUE,1,0)</f>
        <v>0</v>
      </c>
      <c r="AA66" s="4">
        <f t="shared" ref="AA66:AA129" si="134">IF(O66=TRUE,1,0)</f>
        <v>0</v>
      </c>
      <c r="AB66" s="4">
        <f t="shared" ref="AB66:AB129" si="135">IF(P66=TRUE,1,0)</f>
        <v>0</v>
      </c>
      <c r="AC66" s="4"/>
      <c r="AD66" s="4" t="b">
        <f t="shared" ref="AD66:AD129" si="136">IFERROR(IF(SEARCH("'Account balances'",J66),1,0),FALSE)</f>
        <v>0</v>
      </c>
      <c r="AE66" s="4" t="b">
        <f t="shared" ref="AE66:AE129" si="137">IFERROR(IF(SEARCH( "'Address book contacts'", J66),1,0),FALSE)</f>
        <v>0</v>
      </c>
      <c r="AF66" s="4" t="b">
        <f t="shared" ref="AF66:AF129" si="138">IFERROR(IF(SEARCH( "'Age groups'", J66),1,0),FALSE)</f>
        <v>0</v>
      </c>
      <c r="AG66" t="b">
        <f t="shared" ref="AG66:AG129" si="139">IFERROR(IF(SEARCH( "'Apps installed on devices'", J66),1,0),FALSE)</f>
        <v>0</v>
      </c>
      <c r="AH66" t="b">
        <f t="shared" ref="AH66:AH129" si="140">IFERROR(IF(SEARCH( "'Astrological signs'", J66),1,0),FALSE)</f>
        <v>0</v>
      </c>
      <c r="AI66" t="b">
        <f t="shared" ref="AI66:AI129" si="141">IFERROR(IF(SEARCH( "'Auth tokens'", J66),1,0),FALSE)</f>
        <v>0</v>
      </c>
      <c r="AJ66" t="b">
        <f t="shared" ref="AJ66:AJ129" si="142">IFERROR(IF(SEARCH( "'Avatars'", J66),1,0),FALSE)</f>
        <v>0</v>
      </c>
      <c r="AK66" t="b">
        <f t="shared" ref="AK66:AK129" si="143">IFERROR(IF(SEARCH( "'Bank account numbers'", J66),1,0),FALSE)</f>
        <v>0</v>
      </c>
      <c r="AL66" t="b">
        <f t="shared" ref="AL66:AL129" si="144">IFERROR(IF(SEARCH( "'Beauty ratings'", J66),1,0),FALSE)</f>
        <v>0</v>
      </c>
      <c r="AM66" t="b">
        <f t="shared" ref="AM66:AM129" si="145">IFERROR(IF(SEARCH( "'Biometric data'", J66),1,0),FALSE)</f>
        <v>0</v>
      </c>
      <c r="AN66" t="b">
        <f t="shared" ref="AN66:AN129" si="146">IFERROR(IF(SEARCH( "'Bios'", J66),1,0),FALSE)</f>
        <v>0</v>
      </c>
      <c r="AO66" t="b">
        <f t="shared" ref="AO66:AO129" si="147">IFERROR(IF(SEARCH( "'Browser user agent details' ", J66),1,0),FALSE)</f>
        <v>0</v>
      </c>
      <c r="AP66" t="b">
        <f t="shared" ref="AP66:AP129" si="148">IFERROR(IF(SEARCH( "'Buying preferences'", J66),1,0),FALSE)</f>
        <v>0</v>
      </c>
      <c r="AQ66" t="b">
        <f t="shared" ref="AQ66:AQ129" si="149">IFERROR(IF(SEARCH( "'Car ownership statuses'", J66),1,0),FALSE)</f>
        <v>0</v>
      </c>
      <c r="AR66" t="b">
        <f t="shared" ref="AR66:AR129" si="150">IFERROR(IF(SEARCH( "'Cellular network names'", J66),1,0),FALSE)</f>
        <v>0</v>
      </c>
      <c r="AS66" t="b">
        <f t="shared" ref="AS66:AS129" si="151">IFERROR(IF(SEARCH( "'Charitable donations'", J66),1,0),FALSE)</f>
        <v>0</v>
      </c>
      <c r="AT66" t="b">
        <f t="shared" ref="AT66:AT129" si="152">IFERROR(IF(SEARCH( "'Chat logs'", J66),1,0),FALSE)</f>
        <v>0</v>
      </c>
      <c r="AU66" t="b">
        <f t="shared" ref="AU66:AU129" si="153">IFERROR(IF(SEARCH( "'Credit card CVV'", J66),1,0),FALSE)</f>
        <v>0</v>
      </c>
      <c r="AV66" t="b">
        <f t="shared" ref="AV66:AV129" si="154">IFERROR(IF(SEARCH( "'Credit cards'", J66),1,0),FALSE)</f>
        <v>0</v>
      </c>
      <c r="AW66" t="b">
        <f t="shared" ref="AW66:AW129" si="155">IFERROR(IF(SEARCH( "'Credit status information'", J66),1,0),FALSE)</f>
        <v>0</v>
      </c>
      <c r="AX66" t="b">
        <f t="shared" si="110"/>
        <v>0</v>
      </c>
      <c r="AY66" t="b">
        <f t="shared" si="111"/>
        <v>0</v>
      </c>
      <c r="AZ66" t="b">
        <f t="shared" si="112"/>
        <v>0</v>
      </c>
      <c r="BA66" t="b">
        <f t="shared" si="113"/>
        <v>0</v>
      </c>
      <c r="BB66" t="b">
        <f t="shared" si="114"/>
        <v>0</v>
      </c>
      <c r="BC66" t="b">
        <f t="shared" si="115"/>
        <v>0</v>
      </c>
      <c r="BD66" t="b">
        <f t="shared" si="116"/>
        <v>0</v>
      </c>
      <c r="BE66" t="b">
        <f t="shared" si="117"/>
        <v>0</v>
      </c>
      <c r="BF66" t="b">
        <f t="shared" si="118"/>
        <v>0</v>
      </c>
      <c r="BG66" t="b">
        <f t="shared" si="119"/>
        <v>0</v>
      </c>
      <c r="BH66" t="b">
        <f t="shared" si="120"/>
        <v>0</v>
      </c>
      <c r="BI66">
        <f t="shared" si="121"/>
        <v>1</v>
      </c>
      <c r="BJ66" t="b">
        <f t="shared" si="122"/>
        <v>0</v>
      </c>
      <c r="BK66" t="b">
        <f t="shared" si="123"/>
        <v>0</v>
      </c>
      <c r="BL66" t="b">
        <f t="shared" si="124"/>
        <v>0</v>
      </c>
      <c r="BM66" t="b">
        <f t="shared" si="32"/>
        <v>0</v>
      </c>
      <c r="BN66" t="b">
        <f t="shared" si="33"/>
        <v>0</v>
      </c>
      <c r="BO66" t="b">
        <f t="shared" si="34"/>
        <v>0</v>
      </c>
      <c r="BP66" t="b">
        <f t="shared" si="35"/>
        <v>0</v>
      </c>
      <c r="BQ66" t="b">
        <f t="shared" si="36"/>
        <v>0</v>
      </c>
      <c r="BR66" t="b">
        <f t="shared" si="37"/>
        <v>0</v>
      </c>
      <c r="BS66">
        <f t="shared" si="38"/>
        <v>1</v>
      </c>
      <c r="BT66" t="b">
        <f t="shared" si="39"/>
        <v>0</v>
      </c>
      <c r="BU66" t="b">
        <f t="shared" si="40"/>
        <v>0</v>
      </c>
      <c r="BV66" t="b">
        <f t="shared" si="41"/>
        <v>0</v>
      </c>
      <c r="BW66" t="b">
        <f t="shared" si="42"/>
        <v>0</v>
      </c>
      <c r="BX66" t="b">
        <f t="shared" si="43"/>
        <v>0</v>
      </c>
      <c r="BY66" t="b">
        <f t="shared" si="44"/>
        <v>0</v>
      </c>
      <c r="BZ66" t="b">
        <f t="shared" si="45"/>
        <v>0</v>
      </c>
      <c r="CA66" t="b">
        <f t="shared" si="46"/>
        <v>0</v>
      </c>
      <c r="CB66" t="b">
        <f t="shared" si="47"/>
        <v>0</v>
      </c>
      <c r="CC66" t="b">
        <f t="shared" si="48"/>
        <v>0</v>
      </c>
      <c r="CD66" t="b">
        <f t="shared" si="49"/>
        <v>0</v>
      </c>
      <c r="CE66">
        <f t="shared" si="50"/>
        <v>1</v>
      </c>
      <c r="CF66" t="b">
        <f t="shared" si="51"/>
        <v>0</v>
      </c>
      <c r="CG66" t="b">
        <f t="shared" si="52"/>
        <v>0</v>
      </c>
      <c r="CH66" t="b">
        <f t="shared" si="53"/>
        <v>0</v>
      </c>
      <c r="CI66" t="b">
        <f t="shared" si="54"/>
        <v>0</v>
      </c>
      <c r="CJ66" t="b">
        <f t="shared" si="55"/>
        <v>0</v>
      </c>
      <c r="CK66" t="b">
        <f t="shared" si="56"/>
        <v>0</v>
      </c>
      <c r="CL66" t="b">
        <f t="shared" si="57"/>
        <v>0</v>
      </c>
      <c r="CM66">
        <f t="shared" si="58"/>
        <v>1</v>
      </c>
      <c r="CN66" t="b">
        <f t="shared" si="59"/>
        <v>0</v>
      </c>
      <c r="CO66" t="b">
        <f t="shared" si="60"/>
        <v>0</v>
      </c>
      <c r="CP66" t="b">
        <f t="shared" si="61"/>
        <v>0</v>
      </c>
      <c r="CQ66" t="b">
        <f t="shared" si="62"/>
        <v>0</v>
      </c>
      <c r="CR66" t="b">
        <f t="shared" si="63"/>
        <v>0</v>
      </c>
      <c r="CS66" t="b">
        <f t="shared" si="64"/>
        <v>0</v>
      </c>
      <c r="CT66" t="b">
        <f t="shared" si="65"/>
        <v>0</v>
      </c>
      <c r="CU66" t="b">
        <f t="shared" si="66"/>
        <v>0</v>
      </c>
      <c r="CV66">
        <f t="shared" si="67"/>
        <v>1</v>
      </c>
      <c r="CW66" t="b">
        <f t="shared" si="68"/>
        <v>0</v>
      </c>
      <c r="CX66" t="b">
        <f t="shared" si="69"/>
        <v>0</v>
      </c>
      <c r="CY66" t="b">
        <f t="shared" si="70"/>
        <v>0</v>
      </c>
      <c r="CZ66" t="b">
        <f t="shared" si="71"/>
        <v>0</v>
      </c>
      <c r="DA66">
        <f t="shared" si="72"/>
        <v>1</v>
      </c>
      <c r="DB66" t="b">
        <f t="shared" si="73"/>
        <v>0</v>
      </c>
      <c r="DC66" t="b">
        <f t="shared" si="74"/>
        <v>0</v>
      </c>
      <c r="DD66" t="b">
        <f t="shared" si="75"/>
        <v>0</v>
      </c>
      <c r="DE66" t="b">
        <f t="shared" si="76"/>
        <v>0</v>
      </c>
      <c r="DF66" t="b">
        <f t="shared" si="77"/>
        <v>0</v>
      </c>
      <c r="DG66" t="b">
        <f t="shared" si="78"/>
        <v>0</v>
      </c>
      <c r="DH66" t="b">
        <f t="shared" si="79"/>
        <v>0</v>
      </c>
      <c r="DI66" t="b">
        <f t="shared" si="80"/>
        <v>0</v>
      </c>
      <c r="DJ66" t="b">
        <f t="shared" si="81"/>
        <v>0</v>
      </c>
      <c r="DK66" t="b">
        <f t="shared" si="82"/>
        <v>0</v>
      </c>
      <c r="DL66" t="b">
        <f t="shared" si="83"/>
        <v>0</v>
      </c>
      <c r="DM66" t="b">
        <f t="shared" si="84"/>
        <v>0</v>
      </c>
      <c r="DN66" t="b">
        <f t="shared" si="85"/>
        <v>0</v>
      </c>
      <c r="DO66" t="b">
        <f t="shared" si="86"/>
        <v>0</v>
      </c>
      <c r="DP66" t="b">
        <f t="shared" si="87"/>
        <v>0</v>
      </c>
      <c r="DQ66" t="b">
        <f t="shared" si="88"/>
        <v>0</v>
      </c>
      <c r="DR66" t="b">
        <f t="shared" si="89"/>
        <v>0</v>
      </c>
      <c r="DS66" t="b">
        <f t="shared" si="90"/>
        <v>0</v>
      </c>
      <c r="DT66" t="b">
        <f t="shared" si="91"/>
        <v>0</v>
      </c>
      <c r="DU66" t="b">
        <f t="shared" si="92"/>
        <v>0</v>
      </c>
      <c r="DV66" t="b">
        <f t="shared" si="93"/>
        <v>0</v>
      </c>
      <c r="DW66" t="b">
        <f t="shared" si="94"/>
        <v>0</v>
      </c>
      <c r="DX66" t="b">
        <f t="shared" si="95"/>
        <v>0</v>
      </c>
      <c r="DY66" t="b">
        <f t="shared" si="96"/>
        <v>0</v>
      </c>
      <c r="DZ66" t="b">
        <f t="shared" si="97"/>
        <v>0</v>
      </c>
      <c r="EA66">
        <f t="shared" si="98"/>
        <v>1</v>
      </c>
      <c r="EB66">
        <f t="shared" si="99"/>
        <v>1</v>
      </c>
      <c r="EC66" t="b">
        <f t="shared" si="100"/>
        <v>0</v>
      </c>
      <c r="ED66" t="b">
        <f t="shared" si="101"/>
        <v>0</v>
      </c>
      <c r="EE66" t="b">
        <f t="shared" si="102"/>
        <v>0</v>
      </c>
      <c r="EF66">
        <f t="shared" si="103"/>
        <v>1</v>
      </c>
      <c r="EG66" t="b">
        <f t="shared" si="104"/>
        <v>0</v>
      </c>
      <c r="EH66" t="b">
        <f t="shared" si="105"/>
        <v>0</v>
      </c>
      <c r="EI66" t="b">
        <f t="shared" si="106"/>
        <v>0</v>
      </c>
      <c r="EJ66" t="b">
        <f t="shared" si="107"/>
        <v>0</v>
      </c>
      <c r="EK66" t="b">
        <f t="shared" si="108"/>
        <v>0</v>
      </c>
    </row>
    <row r="67" spans="1:141">
      <c r="A67" t="s">
        <v>461</v>
      </c>
      <c r="B67" t="s">
        <v>461</v>
      </c>
      <c r="C67" t="s">
        <v>462</v>
      </c>
      <c r="D67" s="1">
        <v>43770</v>
      </c>
      <c r="E67" s="2">
        <v>44927.076886574076</v>
      </c>
      <c r="F67" s="2">
        <v>44927.078020833331</v>
      </c>
      <c r="G67">
        <v>93343</v>
      </c>
      <c r="H67" t="s">
        <v>463</v>
      </c>
      <c r="I67" s="10" t="s">
        <v>464</v>
      </c>
      <c r="J67" t="s">
        <v>188</v>
      </c>
      <c r="K67" s="8" t="b">
        <v>1</v>
      </c>
      <c r="L67" s="10" t="b">
        <v>0</v>
      </c>
      <c r="M67" s="12" t="b">
        <v>0</v>
      </c>
      <c r="N67" t="b">
        <v>0</v>
      </c>
      <c r="O67" t="b">
        <v>0</v>
      </c>
      <c r="P67" t="b">
        <v>0</v>
      </c>
      <c r="Q67">
        <f t="shared" si="125"/>
        <v>6</v>
      </c>
      <c r="R67">
        <f t="shared" si="126"/>
        <v>11</v>
      </c>
      <c r="S67" t="e">
        <f t="shared" ref="S67:S130" ca="1" si="156">WhoIsorganization(C67)</f>
        <v>#NAME?</v>
      </c>
      <c r="T67" t="e">
        <f t="shared" ca="1" si="127"/>
        <v>#NAME?</v>
      </c>
      <c r="U67" s="4">
        <f t="shared" si="128"/>
        <v>1157.0768865740756</v>
      </c>
      <c r="V67" s="4">
        <f t="shared" si="129"/>
        <v>38.569229552469189</v>
      </c>
      <c r="W67" s="4">
        <f t="shared" si="130"/>
        <v>1</v>
      </c>
      <c r="X67" s="4">
        <f t="shared" si="131"/>
        <v>0</v>
      </c>
      <c r="Y67" s="4">
        <f t="shared" si="132"/>
        <v>0</v>
      </c>
      <c r="Z67" s="4">
        <f t="shared" si="133"/>
        <v>0</v>
      </c>
      <c r="AA67" s="4">
        <f t="shared" si="134"/>
        <v>0</v>
      </c>
      <c r="AB67" s="4">
        <f t="shared" si="135"/>
        <v>0</v>
      </c>
      <c r="AC67" s="4"/>
      <c r="AD67" s="4" t="b">
        <f t="shared" si="136"/>
        <v>0</v>
      </c>
      <c r="AE67" s="4" t="b">
        <f t="shared" si="137"/>
        <v>0</v>
      </c>
      <c r="AF67" s="4" t="b">
        <f t="shared" si="138"/>
        <v>0</v>
      </c>
      <c r="AG67" t="b">
        <f t="shared" si="139"/>
        <v>0</v>
      </c>
      <c r="AH67" t="b">
        <f t="shared" si="140"/>
        <v>0</v>
      </c>
      <c r="AI67" t="b">
        <f t="shared" si="141"/>
        <v>0</v>
      </c>
      <c r="AJ67" t="b">
        <f t="shared" si="142"/>
        <v>0</v>
      </c>
      <c r="AK67" t="b">
        <f t="shared" si="143"/>
        <v>0</v>
      </c>
      <c r="AL67" t="b">
        <f t="shared" si="144"/>
        <v>0</v>
      </c>
      <c r="AM67" t="b">
        <f t="shared" si="145"/>
        <v>0</v>
      </c>
      <c r="AN67" t="b">
        <f t="shared" si="146"/>
        <v>0</v>
      </c>
      <c r="AO67" t="b">
        <f t="shared" si="147"/>
        <v>0</v>
      </c>
      <c r="AP67" t="b">
        <f t="shared" si="148"/>
        <v>0</v>
      </c>
      <c r="AQ67" t="b">
        <f t="shared" si="149"/>
        <v>0</v>
      </c>
      <c r="AR67" t="b">
        <f t="shared" si="150"/>
        <v>0</v>
      </c>
      <c r="AS67" t="b">
        <f t="shared" si="151"/>
        <v>0</v>
      </c>
      <c r="AT67" t="b">
        <f t="shared" si="152"/>
        <v>0</v>
      </c>
      <c r="AU67" t="b">
        <f t="shared" si="153"/>
        <v>0</v>
      </c>
      <c r="AV67" t="b">
        <f t="shared" si="154"/>
        <v>0</v>
      </c>
      <c r="AW67" t="b">
        <f t="shared" si="155"/>
        <v>0</v>
      </c>
      <c r="AX67" t="b">
        <f t="shared" ref="AX67:AX130" si="157">IFERROR(IF(SEARCH( "'Customer feedback'", J67),1,0),FALSE)</f>
        <v>0</v>
      </c>
      <c r="AY67" t="b">
        <f t="shared" ref="AY67:AY130" si="158">IFERROR(IF(SEARCH( "'Customer interactions'  ", J67),1,0),FALSE)</f>
        <v>0</v>
      </c>
      <c r="AZ67" t="b">
        <f t="shared" ref="AZ67:AZ130" si="159">IFERROR(IF(SEARCH( "'Dates of birth'", J67),1,0),FALSE)</f>
        <v>0</v>
      </c>
      <c r="BA67" t="b">
        <f t="shared" ref="BA67:BA130" si="160">IFERROR(IF(SEARCH( "'Deceased statuses'", J67),1,0),FALSE)</f>
        <v>0</v>
      </c>
      <c r="BB67" t="b">
        <f t="shared" ref="BB67:BB130" si="161">IFERROR(IF(SEARCH( "'Device information'", J67),1,0),FALSE)</f>
        <v>0</v>
      </c>
      <c r="BC67" t="b">
        <f t="shared" ref="BC67:BC130" si="162">IFERROR(IF(SEARCH( "'Device serial numbers'", J67),1,0),FALSE)</f>
        <v>0</v>
      </c>
      <c r="BD67" t="b">
        <f t="shared" ref="BD67:BD130" si="163">IFERROR(IF(SEARCH( "'Device usage tracking data'", J67),1,0),FALSE)</f>
        <v>0</v>
      </c>
      <c r="BE67" t="b">
        <f t="shared" ref="BE67:BE130" si="164">IFERROR(IF(SEARCH( "'Drinking habits'", J67),1,0),FALSE)</f>
        <v>0</v>
      </c>
      <c r="BF67" t="b">
        <f t="shared" ref="BF67:BF130" si="165">IFERROR(IF(SEARCH( "'Drinking habits' ", J67),1,0),FALSE)</f>
        <v>0</v>
      </c>
      <c r="BG67" t="b">
        <f t="shared" ref="BG67:BG130" si="166">IFERROR(IF(SEARCH( "'Drug habits'", J67),1,0),FALSE)</f>
        <v>0</v>
      </c>
      <c r="BH67" t="b">
        <f t="shared" ref="BH67:BH130" si="167">IFERROR(IF(SEARCH( "'Education levels'", J67),1,0),FALSE)</f>
        <v>0</v>
      </c>
      <c r="BI67">
        <f t="shared" ref="BI67:BI130" si="168">IFERROR(IF(SEARCH( "'Email addresses'", J67),1,0),FALSE)</f>
        <v>1</v>
      </c>
      <c r="BJ67" t="b">
        <f t="shared" ref="BJ67:BJ130" si="169">IFERROR(IF(SEARCH( "'Employers'", J67),1,0),FALSE)</f>
        <v>0</v>
      </c>
      <c r="BK67" t="b">
        <f t="shared" ref="BK67:BK130" si="170">IFERROR(IF(SEARCH( "'Ethnicities' ", J67),1,0),FALSE)</f>
        <v>0</v>
      </c>
      <c r="BL67" t="b">
        <f t="shared" ref="BL67:BL130" si="171">IFERROR(IF(SEARCH( "'Family members' names'", J67),1,0),FALSE)</f>
        <v>0</v>
      </c>
      <c r="BM67" t="b">
        <f t="shared" ref="BM67:BM130" si="172">IFERROR(IF(SEARCH( "'Family structure", J67),1,0),FALSE)</f>
        <v>0</v>
      </c>
      <c r="BN67" t="b">
        <f t="shared" ref="BN67:BN130" si="173">IFERROR(IF(SEARCH( "'Financial investments'", J67),1,0),FALSE)</f>
        <v>0</v>
      </c>
      <c r="BO67" t="b">
        <f t="shared" ref="BO67:BO130" si="174">IFERROR(IF(SEARCH( "'Financial transactions'", J67),1,0),FALSE)</f>
        <v>0</v>
      </c>
      <c r="BP67" t="b">
        <f t="shared" ref="BP67:BP130" si="175">IFERROR(IF(SEARCH( "'Fitness levels'", J67),1,0),FALSE)</f>
        <v>0</v>
      </c>
      <c r="BQ67" t="b">
        <f t="shared" ref="BQ67:BQ130" si="176">IFERROR(IF(SEARCH( "'Flights taken'", J67),1,0),FALSE)</f>
        <v>0</v>
      </c>
      <c r="BR67" t="b">
        <f t="shared" ref="BR67:BR130" si="177">IFERROR(IF(SEARCH( "'Genders'", J67),1,0),FALSE)</f>
        <v>0</v>
      </c>
      <c r="BS67" t="b">
        <f t="shared" ref="BS67:BS130" si="178">IFERROR(IF(SEARCH( "'Geographic locations'", J67),1,0),FALSE)</f>
        <v>0</v>
      </c>
      <c r="BT67" t="b">
        <f t="shared" ref="BT67:BT130" si="179">IFERROR(IF(SEARCH( "'Government issued IDs'", J67),1,0),FALSE)</f>
        <v>0</v>
      </c>
      <c r="BU67" t="b">
        <f t="shared" ref="BU67:BU130" si="180">IFERROR(IF(SEARCH( "'Health insurance information' ", J67),1,0),FALSE)</f>
        <v>0</v>
      </c>
      <c r="BV67" t="b">
        <f t="shared" ref="BV67:BV130" si="181">IFERROR(IF(SEARCH( "'Historical passwords'", J67),1,0),FALSE)</f>
        <v>0</v>
      </c>
      <c r="BW67" t="b">
        <f t="shared" ref="BW67:BW130" si="182">IFERROR(IF(SEARCH( "'HIV statuses'", J67),1,0),FALSE)</f>
        <v>0</v>
      </c>
      <c r="BX67" t="b">
        <f t="shared" ref="BX67:BX130" si="183">IFERROR(IF(SEARCH( "'Home loan information'", J67),1,0),FALSE)</f>
        <v>0</v>
      </c>
      <c r="BY67" t="b">
        <f t="shared" ref="BY67:BY130" si="184">IFERROR(IF(SEARCH( "'Home ownership statuses", J67),1,0),FALSE)</f>
        <v>0</v>
      </c>
      <c r="BZ67" t="b">
        <f t="shared" ref="BZ67:BZ130" si="185">IFERROR(IF(SEARCH( "'Homepage URLs'", J67),1,0),FALSE)</f>
        <v>0</v>
      </c>
      <c r="CA67" t="b">
        <f t="shared" ref="CA67:CA130" si="186">IFERROR(IF(SEARCH( "'IMEI numbers'", J67),1,0),FALSE)</f>
        <v>0</v>
      </c>
      <c r="CB67" t="b">
        <f t="shared" ref="CB67:CB130" si="187">IFERROR(IF(SEARCH( "'IMSI numbers' ", J67),1,0),FALSE)</f>
        <v>0</v>
      </c>
      <c r="CC67" t="b">
        <f t="shared" ref="CC67:CC130" si="188">IFERROR(IF(SEARCH( "'Income levels'", J67),1,0),FALSE)</f>
        <v>0</v>
      </c>
      <c r="CD67" t="b">
        <f t="shared" ref="CD67:CD130" si="189">IFERROR(IF(SEARCH( "'Instant messenger identities'", J67),1,0),FALSE)</f>
        <v>0</v>
      </c>
      <c r="CE67">
        <f t="shared" ref="CE67:CE130" si="190">IFERROR(IF(SEARCH( "'IP addresses'", J67),1,0),FALSE)</f>
        <v>1</v>
      </c>
      <c r="CF67" t="b">
        <f t="shared" ref="CF67:CF130" si="191">IFERROR(IF(SEARCH( "'Job applications' ", J67),1,0),FALSE)</f>
        <v>0</v>
      </c>
      <c r="CG67" t="b">
        <f t="shared" ref="CG67:CG130" si="192">IFERROR(IF(SEARCH( "'Job titles' ", J67),1,0),FALSE)</f>
        <v>0</v>
      </c>
      <c r="CH67" t="b">
        <f t="shared" ref="CH67:CH130" si="193">IFERROR(IF(SEARCH( "'Licence plates'", J67),1,0),FALSE)</f>
        <v>0</v>
      </c>
      <c r="CI67" t="b">
        <f t="shared" ref="CI67:CI130" si="194">IFERROR(IF(SEARCH( "'Login histories'", J67),1,0),FALSE)</f>
        <v>0</v>
      </c>
      <c r="CJ67" t="b">
        <f t="shared" ref="CJ67:CJ130" si="195">IFERROR(IF(SEARCH( "'MAC addresses'", J67),1,0),FALSE)</f>
        <v>0</v>
      </c>
      <c r="CK67" t="b">
        <f t="shared" ref="CK67:CK130" si="196">IFERROR(IF(SEARCH( "'Marital statuses'", J67),1,0),FALSE)</f>
        <v>0</v>
      </c>
      <c r="CL67" t="b">
        <f t="shared" ref="CL67:CL130" si="197">IFERROR(IF(SEARCH( "'Mnemonic phrases'", J67),1,0),FALSE)</f>
        <v>0</v>
      </c>
      <c r="CM67" t="b">
        <f t="shared" ref="CM67:CM130" si="198">IFERROR(IF(SEARCH( "'Names'", J67),1,0),FALSE)</f>
        <v>0</v>
      </c>
      <c r="CN67" t="b">
        <f t="shared" ref="CN67:CN130" si="199">IFERROR(IF(SEARCH( "'Nationalities'", J67),1,0),FALSE)</f>
        <v>0</v>
      </c>
      <c r="CO67" t="b">
        <f t="shared" ref="CO67:CO130" si="200">IFERROR(IF(SEARCH( "'Net worths'", J67),1,0),FALSE)</f>
        <v>0</v>
      </c>
      <c r="CP67" t="b">
        <f t="shared" ref="CP67:CP130" si="201">IFERROR(IF(SEARCH( "'Nicknames' ", J67),1,0),FALSE)</f>
        <v>0</v>
      </c>
      <c r="CQ67" t="b">
        <f t="shared" ref="CQ67:CQ130" si="202">IFERROR(IF(SEARCH( "'Occupations'", J67),1,0),FALSE)</f>
        <v>0</v>
      </c>
      <c r="CR67" t="b">
        <f t="shared" ref="CR67:CR130" si="203">IFERROR(IF(SEARCH( "'Parenting plans", J67),1,0),FALSE)</f>
        <v>0</v>
      </c>
      <c r="CS67" t="b">
        <f t="shared" ref="CS67:CS130" si="204">IFERROR(IF(SEARCH( "'Partial credit card data' ", J67),1,0),FALSE)</f>
        <v>0</v>
      </c>
      <c r="CT67" t="b">
        <f t="shared" ref="CT67:CT130" si="205">IFERROR(IF(SEARCH( "'Partial phone numbers'", J67),1,0),FALSE)</f>
        <v>0</v>
      </c>
      <c r="CU67" t="b">
        <f t="shared" ref="CU67:CU130" si="206">IFERROR(IF(SEARCH( "'Passport numbers'", J67),1,0),FALSE)</f>
        <v>0</v>
      </c>
      <c r="CV67">
        <f t="shared" ref="CV67:CV130" si="207">IFERROR(IF(SEARCH( "'Passwords'", J67),1,0),FALSE)</f>
        <v>1</v>
      </c>
      <c r="CW67" t="b">
        <f t="shared" ref="CW67:CW130" si="208">IFERROR(IF(SEARCH( "'Payment histories'", J67),1,0),FALSE)</f>
        <v>0</v>
      </c>
      <c r="CX67" t="b">
        <f t="shared" ref="CX67:CX130" si="209">IFERROR(IF(SEARCH( "'Payment methods'", J67),1,0),FALSE)</f>
        <v>0</v>
      </c>
      <c r="CY67" t="b">
        <f t="shared" ref="CY67:CY130" si="210">IFERROR(IF(SEARCH( "'Personal descriptions'", J67),1,0),FALSE)</f>
        <v>0</v>
      </c>
      <c r="CZ67" t="b">
        <f t="shared" ref="CZ67:CZ130" si="211">IFERROR(IF(SEARCH( "'Personal health data'", J67),1,0),FALSE)</f>
        <v>0</v>
      </c>
      <c r="DA67" t="b">
        <f t="shared" ref="DA67:DA130" si="212">IFERROR(IF(SEARCH( "'Phone numbers'", J67),1,0),FALSE)</f>
        <v>0</v>
      </c>
      <c r="DB67" t="b">
        <f t="shared" ref="DB67:DB130" si="213">IFERROR(IF(SEARCH( "'Physical addresses'", J67),1,0),FALSE)</f>
        <v>0</v>
      </c>
      <c r="DC67" t="b">
        <f t="shared" ref="DC67:DC130" si="214">IFERROR(IF(SEARCH( "'Physical attributes'", J67),1,0),FALSE)</f>
        <v>0</v>
      </c>
      <c r="DD67" t="b">
        <f t="shared" ref="DD67:DD130" si="215">IFERROR(IF(SEARCH( "'PINs'", J67),1,0),FALSE)</f>
        <v>0</v>
      </c>
      <c r="DE67" t="b">
        <f t="shared" ref="DE67:DE130" si="216">IFERROR(IF(SEARCH( "'Political donations'", J67),1,0),FALSE)</f>
        <v>0</v>
      </c>
      <c r="DF67" t="b">
        <f t="shared" ref="DF67:DF130" si="217">IFERROR(IF(SEARCH( "'Political views'", J67),1,0),FALSE)</f>
        <v>0</v>
      </c>
      <c r="DG67" t="b">
        <f t="shared" ref="DG67:DG130" si="218">IFERROR(IF(SEARCH( "'Private messages'", J67),1,0),FALSE)</f>
        <v>0</v>
      </c>
      <c r="DH67" t="b">
        <f t="shared" ref="DH67:DH130" si="219">IFERROR(IF(SEARCH( "'Professional skills'", J67),1,0),FALSE)</f>
        <v>0</v>
      </c>
      <c r="DI67" t="b">
        <f t="shared" ref="DI67:DI130" si="220">IFERROR(IF(SEARCH( "'Profile photos'", J67),1,0),FALSE)</f>
        <v>0</v>
      </c>
      <c r="DJ67" t="b">
        <f t="shared" ref="DJ67:DJ130" si="221">IFERROR(IF(SEARCH( "'Purchases'", J67),1,0),FALSE)</f>
        <v>0</v>
      </c>
      <c r="DK67" t="b">
        <f t="shared" ref="DK67:DK130" si="222">IFERROR(IF(SEARCH( "'Purchasing habits'", J67),1,0),FALSE)</f>
        <v>0</v>
      </c>
      <c r="DL67" t="b">
        <f t="shared" ref="DL67:DL130" si="223">IFERROR(IF(SEARCH( "'Races'", J67),1,0),FALSE)</f>
        <v>0</v>
      </c>
      <c r="DM67" t="b">
        <f t="shared" ref="DM67:DM130" si="224">IFERROR(IF(SEARCH( "'Recovery email addresses'", J67),1,0),FALSE)</f>
        <v>0</v>
      </c>
      <c r="DN67" t="b">
        <f t="shared" ref="DN67:DN130" si="225">IFERROR(IF(SEARCH( "'Relationship statuses'", J67),1,0),FALSE)</f>
        <v>0</v>
      </c>
      <c r="DO67" t="b">
        <f t="shared" ref="DO67:DO130" si="226">IFERROR(IF(SEARCH( "'Religions' ", J67),1,0),FALSE)</f>
        <v>0</v>
      </c>
      <c r="DP67" t="b">
        <f t="shared" ref="DP67:DP130" si="227">IFERROR(IF(SEARCH( "'Reward program balances'", J67),1,0),FALSE)</f>
        <v>0</v>
      </c>
      <c r="DQ67" t="b">
        <f t="shared" ref="DQ67:DQ130" si="228">IFERROR(IF(SEARCH( "'Salutations'", J67),1,0),FALSE)</f>
        <v>0</v>
      </c>
      <c r="DR67" t="b">
        <f t="shared" ref="DR67:DR130" si="229">IFERROR(IF(SEARCH( "'School grades (class levels)", J67),1,0),FALSE)</f>
        <v>0</v>
      </c>
      <c r="DS67" t="b">
        <f t="shared" ref="DS67:DS130" si="230">IFERROR(IF(SEARCH( "'Security questions and answers'", J67),1,0),FALSE)</f>
        <v>0</v>
      </c>
      <c r="DT67" t="b">
        <f t="shared" ref="DT67:DT130" si="231">IFERROR(IF(SEARCH( "'Sexual fetishes'", J67),1,0),FALSE)</f>
        <v>0</v>
      </c>
      <c r="DU67" t="b">
        <f t="shared" ref="DU67:DU130" si="232">IFERROR(IF(SEARCH( "'Sexual orientations'", J67),1,0),FALSE)</f>
        <v>0</v>
      </c>
      <c r="DV67" t="b">
        <f t="shared" ref="DV67:DV130" si="233">IFERROR(IF(SEARCH( "'Smoking habits'", J67),1,0),FALSE)</f>
        <v>0</v>
      </c>
      <c r="DW67" t="b">
        <f t="shared" ref="DW67:DW130" si="234">IFERROR(IF(SEARCH( "'SMS messages'", J67),1,0),FALSE)</f>
        <v>0</v>
      </c>
      <c r="DX67" t="b">
        <f t="shared" ref="DX67:DX130" si="235">IFERROR(IF(SEARCH( "'Social connections'", J67),1,0),FALSE)</f>
        <v>0</v>
      </c>
      <c r="DY67" t="b">
        <f t="shared" ref="DY67:DY130" si="236">IFERROR(IF(SEARCH( "'Social media profiles'", J67),1,0),FALSE)</f>
        <v>0</v>
      </c>
      <c r="DZ67" t="b">
        <f t="shared" ref="DZ67:DZ130" si="237">IFERROR(IF(SEARCH( "'Social security numbers'", J67),1,0),FALSE)</f>
        <v>0</v>
      </c>
      <c r="EA67" t="b">
        <f t="shared" ref="EA67:EA130" si="238">IFERROR(IF(SEARCH( "'Spoken languages'", J67),1,0),FALSE)</f>
        <v>0</v>
      </c>
      <c r="EB67" t="b">
        <f t="shared" ref="EB67:EB130" si="239">IFERROR(IF(SEARCH( "'Survey results'", J67),1,0),FALSE)</f>
        <v>0</v>
      </c>
      <c r="EC67" t="b">
        <f t="shared" ref="EC67:EC130" si="240">IFERROR(IF(SEARCH( "'Time zones'", J67),1,0),FALSE)</f>
        <v>0</v>
      </c>
      <c r="ED67" t="b">
        <f t="shared" ref="ED67:ED130" si="241">IFERROR(IF(SEARCH( "'Travel habits' ", J67),1,0),FALSE)</f>
        <v>0</v>
      </c>
      <c r="EE67" t="b">
        <f t="shared" ref="EE67:EE130" si="242">IFERROR(IF(SEARCH( "'User website URLs'", J67),1,0),FALSE)</f>
        <v>0</v>
      </c>
      <c r="EF67">
        <f t="shared" ref="EF67:EF130" si="243">IFERROR(IF(SEARCH( "'Usernames'", J67),1,0),FALSE)</f>
        <v>1</v>
      </c>
      <c r="EG67" t="b">
        <f t="shared" ref="EG67:EG130" si="244">IFERROR(IF(SEARCH( "'Vehicle details'", J67),1,0),FALSE)</f>
        <v>0</v>
      </c>
      <c r="EH67" t="b">
        <f t="shared" ref="EH67:EH130" si="245">IFERROR(IF(SEARCH( "'Vehicle identification numbers (VINs)'", J67),1,0),FALSE)</f>
        <v>0</v>
      </c>
      <c r="EI67" t="b">
        <f t="shared" ref="EI67:EI130" si="246">IFERROR(IF(SEARCH( "'Website activity'", J67),1,0),FALSE)</f>
        <v>0</v>
      </c>
      <c r="EJ67" t="b">
        <f t="shared" ref="EJ67:EJ130" si="247">IFERROR(IF(SEARCH( "'Work habits'", J67),1,0),FALSE)</f>
        <v>0</v>
      </c>
      <c r="EK67" t="b">
        <f t="shared" ref="EK67:EK130" si="248">IFERROR(IF(SEARCH( "'Years of professional experience'", J67),1,0),FALSE)</f>
        <v>0</v>
      </c>
    </row>
    <row r="68" spans="1:141">
      <c r="A68" t="s">
        <v>465</v>
      </c>
      <c r="B68" t="s">
        <v>465</v>
      </c>
      <c r="C68" t="s">
        <v>466</v>
      </c>
      <c r="D68" s="1">
        <v>43178</v>
      </c>
      <c r="E68" s="2">
        <v>43188.257013888891</v>
      </c>
      <c r="F68" s="2">
        <v>43188.257013888891</v>
      </c>
      <c r="G68">
        <v>3204</v>
      </c>
      <c r="H68" t="s">
        <v>467</v>
      </c>
      <c r="I68" s="10" t="s">
        <v>468</v>
      </c>
      <c r="J68" t="s">
        <v>469</v>
      </c>
      <c r="K68" s="8" t="b">
        <v>1</v>
      </c>
      <c r="L68" s="10" t="b">
        <v>0</v>
      </c>
      <c r="M68" s="12" t="b">
        <v>1</v>
      </c>
      <c r="N68" t="b">
        <v>0</v>
      </c>
      <c r="O68" t="b">
        <v>0</v>
      </c>
      <c r="P68" t="b">
        <v>0</v>
      </c>
      <c r="Q68">
        <f t="shared" si="125"/>
        <v>2</v>
      </c>
      <c r="R68">
        <f t="shared" si="126"/>
        <v>3</v>
      </c>
      <c r="S68" t="e">
        <f t="shared" ca="1" si="156"/>
        <v>#NAME?</v>
      </c>
      <c r="T68" t="e">
        <f t="shared" ca="1" si="127"/>
        <v>#NAME?</v>
      </c>
      <c r="U68" s="4">
        <f t="shared" si="128"/>
        <v>10.257013888891379</v>
      </c>
      <c r="V68" s="4">
        <f t="shared" si="129"/>
        <v>0.34190046296304594</v>
      </c>
      <c r="W68" s="4">
        <f t="shared" si="130"/>
        <v>1</v>
      </c>
      <c r="X68" s="4">
        <f t="shared" si="131"/>
        <v>0</v>
      </c>
      <c r="Y68" s="4">
        <f t="shared" si="132"/>
        <v>1</v>
      </c>
      <c r="Z68" s="4">
        <f t="shared" si="133"/>
        <v>0</v>
      </c>
      <c r="AA68" s="4">
        <f t="shared" si="134"/>
        <v>0</v>
      </c>
      <c r="AB68" s="4">
        <f t="shared" si="135"/>
        <v>0</v>
      </c>
      <c r="AC68" s="4"/>
      <c r="AD68" s="4" t="b">
        <f t="shared" si="136"/>
        <v>0</v>
      </c>
      <c r="AE68" s="4" t="b">
        <f t="shared" si="137"/>
        <v>0</v>
      </c>
      <c r="AF68" s="4" t="b">
        <f t="shared" si="138"/>
        <v>0</v>
      </c>
      <c r="AG68" t="b">
        <f t="shared" si="139"/>
        <v>0</v>
      </c>
      <c r="AH68" t="b">
        <f t="shared" si="140"/>
        <v>0</v>
      </c>
      <c r="AI68" t="b">
        <f t="shared" si="141"/>
        <v>0</v>
      </c>
      <c r="AJ68" t="b">
        <f t="shared" si="142"/>
        <v>0</v>
      </c>
      <c r="AK68" t="b">
        <f t="shared" si="143"/>
        <v>0</v>
      </c>
      <c r="AL68" t="b">
        <f t="shared" si="144"/>
        <v>0</v>
      </c>
      <c r="AM68" t="b">
        <f t="shared" si="145"/>
        <v>0</v>
      </c>
      <c r="AN68" t="b">
        <f t="shared" si="146"/>
        <v>0</v>
      </c>
      <c r="AO68" t="b">
        <f t="shared" si="147"/>
        <v>0</v>
      </c>
      <c r="AP68" t="b">
        <f t="shared" si="148"/>
        <v>0</v>
      </c>
      <c r="AQ68" t="b">
        <f t="shared" si="149"/>
        <v>0</v>
      </c>
      <c r="AR68" t="b">
        <f t="shared" si="150"/>
        <v>0</v>
      </c>
      <c r="AS68" t="b">
        <f t="shared" si="151"/>
        <v>0</v>
      </c>
      <c r="AT68" t="b">
        <f t="shared" si="152"/>
        <v>0</v>
      </c>
      <c r="AU68" t="b">
        <f t="shared" si="153"/>
        <v>0</v>
      </c>
      <c r="AV68" t="b">
        <f t="shared" si="154"/>
        <v>0</v>
      </c>
      <c r="AW68" t="b">
        <f t="shared" si="155"/>
        <v>0</v>
      </c>
      <c r="AX68" t="b">
        <f t="shared" si="157"/>
        <v>0</v>
      </c>
      <c r="AY68" t="b">
        <f t="shared" si="158"/>
        <v>0</v>
      </c>
      <c r="AZ68">
        <f t="shared" si="159"/>
        <v>1</v>
      </c>
      <c r="BA68" t="b">
        <f t="shared" si="160"/>
        <v>0</v>
      </c>
      <c r="BB68" t="b">
        <f t="shared" si="161"/>
        <v>0</v>
      </c>
      <c r="BC68" t="b">
        <f t="shared" si="162"/>
        <v>0</v>
      </c>
      <c r="BD68" t="b">
        <f t="shared" si="163"/>
        <v>0</v>
      </c>
      <c r="BE68" t="b">
        <f t="shared" si="164"/>
        <v>0</v>
      </c>
      <c r="BF68" t="b">
        <f t="shared" si="165"/>
        <v>0</v>
      </c>
      <c r="BG68" t="b">
        <f t="shared" si="166"/>
        <v>0</v>
      </c>
      <c r="BH68" t="b">
        <f t="shared" si="167"/>
        <v>0</v>
      </c>
      <c r="BI68">
        <f t="shared" si="168"/>
        <v>1</v>
      </c>
      <c r="BJ68" t="b">
        <f t="shared" si="169"/>
        <v>0</v>
      </c>
      <c r="BK68" t="b">
        <f t="shared" si="170"/>
        <v>0</v>
      </c>
      <c r="BL68" t="b">
        <f t="shared" si="171"/>
        <v>0</v>
      </c>
      <c r="BM68" t="b">
        <f t="shared" si="172"/>
        <v>0</v>
      </c>
      <c r="BN68" t="b">
        <f t="shared" si="173"/>
        <v>0</v>
      </c>
      <c r="BO68" t="b">
        <f t="shared" si="174"/>
        <v>0</v>
      </c>
      <c r="BP68" t="b">
        <f t="shared" si="175"/>
        <v>0</v>
      </c>
      <c r="BQ68" t="b">
        <f t="shared" si="176"/>
        <v>0</v>
      </c>
      <c r="BR68">
        <f t="shared" si="177"/>
        <v>1</v>
      </c>
      <c r="BS68">
        <f t="shared" si="178"/>
        <v>1</v>
      </c>
      <c r="BT68" t="b">
        <f t="shared" si="179"/>
        <v>0</v>
      </c>
      <c r="BU68" t="b">
        <f t="shared" si="180"/>
        <v>0</v>
      </c>
      <c r="BV68" t="b">
        <f t="shared" si="181"/>
        <v>0</v>
      </c>
      <c r="BW68" t="b">
        <f t="shared" si="182"/>
        <v>0</v>
      </c>
      <c r="BX68" t="b">
        <f t="shared" si="183"/>
        <v>0</v>
      </c>
      <c r="BY68" t="b">
        <f t="shared" si="184"/>
        <v>0</v>
      </c>
      <c r="BZ68" t="b">
        <f t="shared" si="185"/>
        <v>0</v>
      </c>
      <c r="CA68" t="b">
        <f t="shared" si="186"/>
        <v>0</v>
      </c>
      <c r="CB68" t="b">
        <f t="shared" si="187"/>
        <v>0</v>
      </c>
      <c r="CC68" t="b">
        <f t="shared" si="188"/>
        <v>0</v>
      </c>
      <c r="CD68" t="b">
        <f t="shared" si="189"/>
        <v>0</v>
      </c>
      <c r="CE68">
        <f t="shared" si="190"/>
        <v>1</v>
      </c>
      <c r="CF68" t="b">
        <f t="shared" si="191"/>
        <v>0</v>
      </c>
      <c r="CG68" t="b">
        <f t="shared" si="192"/>
        <v>0</v>
      </c>
      <c r="CH68" t="b">
        <f t="shared" si="193"/>
        <v>0</v>
      </c>
      <c r="CI68" t="b">
        <f t="shared" si="194"/>
        <v>0</v>
      </c>
      <c r="CJ68" t="b">
        <f t="shared" si="195"/>
        <v>0</v>
      </c>
      <c r="CK68" t="b">
        <f t="shared" si="196"/>
        <v>0</v>
      </c>
      <c r="CL68" t="b">
        <f t="shared" si="197"/>
        <v>0</v>
      </c>
      <c r="CM68" t="b">
        <f t="shared" si="198"/>
        <v>0</v>
      </c>
      <c r="CN68" t="b">
        <f t="shared" si="199"/>
        <v>0</v>
      </c>
      <c r="CO68" t="b">
        <f t="shared" si="200"/>
        <v>0</v>
      </c>
      <c r="CP68" t="b">
        <f t="shared" si="201"/>
        <v>0</v>
      </c>
      <c r="CQ68" t="b">
        <f t="shared" si="202"/>
        <v>0</v>
      </c>
      <c r="CR68" t="b">
        <f t="shared" si="203"/>
        <v>0</v>
      </c>
      <c r="CS68" t="b">
        <f t="shared" si="204"/>
        <v>0</v>
      </c>
      <c r="CT68" t="b">
        <f t="shared" si="205"/>
        <v>0</v>
      </c>
      <c r="CU68" t="b">
        <f t="shared" si="206"/>
        <v>0</v>
      </c>
      <c r="CV68">
        <f t="shared" si="207"/>
        <v>1</v>
      </c>
      <c r="CW68" t="b">
        <f t="shared" si="208"/>
        <v>0</v>
      </c>
      <c r="CX68" t="b">
        <f t="shared" si="209"/>
        <v>0</v>
      </c>
      <c r="CY68" t="b">
        <f t="shared" si="210"/>
        <v>0</v>
      </c>
      <c r="CZ68" t="b">
        <f t="shared" si="211"/>
        <v>0</v>
      </c>
      <c r="DA68" t="b">
        <f t="shared" si="212"/>
        <v>0</v>
      </c>
      <c r="DB68" t="b">
        <f t="shared" si="213"/>
        <v>0</v>
      </c>
      <c r="DC68" t="b">
        <f t="shared" si="214"/>
        <v>0</v>
      </c>
      <c r="DD68" t="b">
        <f t="shared" si="215"/>
        <v>0</v>
      </c>
      <c r="DE68" t="b">
        <f t="shared" si="216"/>
        <v>0</v>
      </c>
      <c r="DF68" t="b">
        <f t="shared" si="217"/>
        <v>0</v>
      </c>
      <c r="DG68">
        <f t="shared" si="218"/>
        <v>1</v>
      </c>
      <c r="DH68" t="b">
        <f t="shared" si="219"/>
        <v>0</v>
      </c>
      <c r="DI68" t="b">
        <f t="shared" si="220"/>
        <v>0</v>
      </c>
      <c r="DJ68" t="b">
        <f t="shared" si="221"/>
        <v>0</v>
      </c>
      <c r="DK68" t="b">
        <f t="shared" si="222"/>
        <v>0</v>
      </c>
      <c r="DL68" t="b">
        <f t="shared" si="223"/>
        <v>0</v>
      </c>
      <c r="DM68" t="b">
        <f t="shared" si="224"/>
        <v>0</v>
      </c>
      <c r="DN68" t="b">
        <f t="shared" si="225"/>
        <v>0</v>
      </c>
      <c r="DO68" t="b">
        <f t="shared" si="226"/>
        <v>0</v>
      </c>
      <c r="DP68" t="b">
        <f t="shared" si="227"/>
        <v>0</v>
      </c>
      <c r="DQ68" t="b">
        <f t="shared" si="228"/>
        <v>0</v>
      </c>
      <c r="DR68" t="b">
        <f t="shared" si="229"/>
        <v>0</v>
      </c>
      <c r="DS68" t="b">
        <f t="shared" si="230"/>
        <v>0</v>
      </c>
      <c r="DT68" t="b">
        <f t="shared" si="231"/>
        <v>0</v>
      </c>
      <c r="DU68" t="b">
        <f t="shared" si="232"/>
        <v>0</v>
      </c>
      <c r="DV68" t="b">
        <f t="shared" si="233"/>
        <v>0</v>
      </c>
      <c r="DW68" t="b">
        <f t="shared" si="234"/>
        <v>0</v>
      </c>
      <c r="DX68" t="b">
        <f t="shared" si="235"/>
        <v>0</v>
      </c>
      <c r="DY68" t="b">
        <f t="shared" si="236"/>
        <v>0</v>
      </c>
      <c r="DZ68" t="b">
        <f t="shared" si="237"/>
        <v>0</v>
      </c>
      <c r="EA68" t="b">
        <f t="shared" si="238"/>
        <v>0</v>
      </c>
      <c r="EB68" t="b">
        <f t="shared" si="239"/>
        <v>0</v>
      </c>
      <c r="EC68" t="b">
        <f t="shared" si="240"/>
        <v>0</v>
      </c>
      <c r="ED68" t="b">
        <f t="shared" si="241"/>
        <v>0</v>
      </c>
      <c r="EE68" t="b">
        <f t="shared" si="242"/>
        <v>0</v>
      </c>
      <c r="EF68">
        <f t="shared" si="243"/>
        <v>1</v>
      </c>
      <c r="EG68" t="b">
        <f t="shared" si="244"/>
        <v>0</v>
      </c>
      <c r="EH68" t="b">
        <f t="shared" si="245"/>
        <v>0</v>
      </c>
      <c r="EI68" t="b">
        <f t="shared" si="246"/>
        <v>0</v>
      </c>
      <c r="EJ68" t="b">
        <f t="shared" si="247"/>
        <v>0</v>
      </c>
      <c r="EK68" t="b">
        <f t="shared" si="248"/>
        <v>0</v>
      </c>
    </row>
    <row r="69" spans="1:141">
      <c r="A69" t="s">
        <v>470</v>
      </c>
      <c r="B69" t="s">
        <v>470</v>
      </c>
      <c r="C69" t="s">
        <v>471</v>
      </c>
      <c r="D69" s="1">
        <v>43857</v>
      </c>
      <c r="E69" s="2">
        <v>44840.216516203705</v>
      </c>
      <c r="F69" s="2">
        <v>44840.216516203705</v>
      </c>
      <c r="G69">
        <v>1274340</v>
      </c>
      <c r="H69" t="s">
        <v>472</v>
      </c>
      <c r="I69" s="10" t="s">
        <v>473</v>
      </c>
      <c r="J69" t="s">
        <v>474</v>
      </c>
      <c r="K69" s="8" t="b">
        <v>1</v>
      </c>
      <c r="L69" s="10" t="b">
        <v>0</v>
      </c>
      <c r="M69" s="12" t="b">
        <v>0</v>
      </c>
      <c r="N69" t="b">
        <v>0</v>
      </c>
      <c r="O69" t="b">
        <v>0</v>
      </c>
      <c r="P69" t="b">
        <v>0</v>
      </c>
      <c r="Q69">
        <f t="shared" si="125"/>
        <v>2</v>
      </c>
      <c r="R69">
        <f t="shared" si="126"/>
        <v>1</v>
      </c>
      <c r="S69" t="e">
        <f t="shared" ca="1" si="156"/>
        <v>#NAME?</v>
      </c>
      <c r="T69" t="e">
        <f t="shared" ca="1" si="127"/>
        <v>#NAME?</v>
      </c>
      <c r="U69" s="4">
        <f t="shared" si="128"/>
        <v>983.2165162037054</v>
      </c>
      <c r="V69" s="4">
        <f t="shared" si="129"/>
        <v>32.773883873456846</v>
      </c>
      <c r="W69" s="4">
        <f t="shared" si="130"/>
        <v>1</v>
      </c>
      <c r="X69" s="4">
        <f t="shared" si="131"/>
        <v>0</v>
      </c>
      <c r="Y69" s="4">
        <f t="shared" si="132"/>
        <v>0</v>
      </c>
      <c r="Z69" s="4">
        <f t="shared" si="133"/>
        <v>0</v>
      </c>
      <c r="AA69" s="4">
        <f t="shared" si="134"/>
        <v>0</v>
      </c>
      <c r="AB69" s="4">
        <f t="shared" si="135"/>
        <v>0</v>
      </c>
      <c r="AC69" s="4"/>
      <c r="AD69" s="4" t="b">
        <f t="shared" si="136"/>
        <v>0</v>
      </c>
      <c r="AE69" s="4" t="b">
        <f t="shared" si="137"/>
        <v>0</v>
      </c>
      <c r="AF69" s="4" t="b">
        <f t="shared" si="138"/>
        <v>0</v>
      </c>
      <c r="AG69" t="b">
        <f t="shared" si="139"/>
        <v>0</v>
      </c>
      <c r="AH69" t="b">
        <f t="shared" si="140"/>
        <v>0</v>
      </c>
      <c r="AI69" t="b">
        <f t="shared" si="141"/>
        <v>0</v>
      </c>
      <c r="AJ69" t="b">
        <f t="shared" si="142"/>
        <v>0</v>
      </c>
      <c r="AK69" t="b">
        <f t="shared" si="143"/>
        <v>0</v>
      </c>
      <c r="AL69" t="b">
        <f t="shared" si="144"/>
        <v>0</v>
      </c>
      <c r="AM69" t="b">
        <f t="shared" si="145"/>
        <v>0</v>
      </c>
      <c r="AN69" t="b">
        <f t="shared" si="146"/>
        <v>0</v>
      </c>
      <c r="AO69" t="b">
        <f t="shared" si="147"/>
        <v>0</v>
      </c>
      <c r="AP69" t="b">
        <f t="shared" si="148"/>
        <v>0</v>
      </c>
      <c r="AQ69" t="b">
        <f t="shared" si="149"/>
        <v>0</v>
      </c>
      <c r="AR69" t="b">
        <f t="shared" si="150"/>
        <v>0</v>
      </c>
      <c r="AS69" t="b">
        <f t="shared" si="151"/>
        <v>0</v>
      </c>
      <c r="AT69" t="b">
        <f t="shared" si="152"/>
        <v>0</v>
      </c>
      <c r="AU69" t="b">
        <f t="shared" si="153"/>
        <v>0</v>
      </c>
      <c r="AV69" t="b">
        <f t="shared" si="154"/>
        <v>0</v>
      </c>
      <c r="AW69" t="b">
        <f t="shared" si="155"/>
        <v>0</v>
      </c>
      <c r="AX69" t="b">
        <f t="shared" si="157"/>
        <v>0</v>
      </c>
      <c r="AY69" t="b">
        <f t="shared" si="158"/>
        <v>0</v>
      </c>
      <c r="AZ69">
        <f t="shared" si="159"/>
        <v>1</v>
      </c>
      <c r="BA69" t="b">
        <f t="shared" si="160"/>
        <v>0</v>
      </c>
      <c r="BB69" t="b">
        <f t="shared" si="161"/>
        <v>0</v>
      </c>
      <c r="BC69" t="b">
        <f t="shared" si="162"/>
        <v>0</v>
      </c>
      <c r="BD69" t="b">
        <f t="shared" si="163"/>
        <v>0</v>
      </c>
      <c r="BE69" t="b">
        <f t="shared" si="164"/>
        <v>0</v>
      </c>
      <c r="BF69" t="b">
        <f t="shared" si="165"/>
        <v>0</v>
      </c>
      <c r="BG69" t="b">
        <f t="shared" si="166"/>
        <v>0</v>
      </c>
      <c r="BH69" t="b">
        <f t="shared" si="167"/>
        <v>0</v>
      </c>
      <c r="BI69">
        <f t="shared" si="168"/>
        <v>1</v>
      </c>
      <c r="BJ69" t="b">
        <f t="shared" si="169"/>
        <v>0</v>
      </c>
      <c r="BK69" t="b">
        <f t="shared" si="170"/>
        <v>0</v>
      </c>
      <c r="BL69" t="b">
        <f t="shared" si="171"/>
        <v>0</v>
      </c>
      <c r="BM69" t="b">
        <f t="shared" si="172"/>
        <v>0</v>
      </c>
      <c r="BN69" t="b">
        <f t="shared" si="173"/>
        <v>0</v>
      </c>
      <c r="BO69" t="b">
        <f t="shared" si="174"/>
        <v>0</v>
      </c>
      <c r="BP69" t="b">
        <f t="shared" si="175"/>
        <v>0</v>
      </c>
      <c r="BQ69" t="b">
        <f t="shared" si="176"/>
        <v>0</v>
      </c>
      <c r="BR69">
        <f t="shared" si="177"/>
        <v>1</v>
      </c>
      <c r="BS69" t="b">
        <f t="shared" si="178"/>
        <v>0</v>
      </c>
      <c r="BT69" t="b">
        <f t="shared" si="179"/>
        <v>0</v>
      </c>
      <c r="BU69" t="b">
        <f t="shared" si="180"/>
        <v>0</v>
      </c>
      <c r="BV69" t="b">
        <f t="shared" si="181"/>
        <v>0</v>
      </c>
      <c r="BW69" t="b">
        <f t="shared" si="182"/>
        <v>0</v>
      </c>
      <c r="BX69" t="b">
        <f t="shared" si="183"/>
        <v>0</v>
      </c>
      <c r="BY69" t="b">
        <f t="shared" si="184"/>
        <v>0</v>
      </c>
      <c r="BZ69" t="b">
        <f t="shared" si="185"/>
        <v>0</v>
      </c>
      <c r="CA69" t="b">
        <f t="shared" si="186"/>
        <v>0</v>
      </c>
      <c r="CB69" t="b">
        <f t="shared" si="187"/>
        <v>0</v>
      </c>
      <c r="CC69" t="b">
        <f t="shared" si="188"/>
        <v>0</v>
      </c>
      <c r="CD69" t="b">
        <f t="shared" si="189"/>
        <v>0</v>
      </c>
      <c r="CE69" t="b">
        <f t="shared" si="190"/>
        <v>0</v>
      </c>
      <c r="CF69" t="b">
        <f t="shared" si="191"/>
        <v>0</v>
      </c>
      <c r="CG69" t="b">
        <f t="shared" si="192"/>
        <v>0</v>
      </c>
      <c r="CH69" t="b">
        <f t="shared" si="193"/>
        <v>0</v>
      </c>
      <c r="CI69" t="b">
        <f t="shared" si="194"/>
        <v>0</v>
      </c>
      <c r="CJ69" t="b">
        <f t="shared" si="195"/>
        <v>0</v>
      </c>
      <c r="CK69" t="b">
        <f t="shared" si="196"/>
        <v>0</v>
      </c>
      <c r="CL69" t="b">
        <f t="shared" si="197"/>
        <v>0</v>
      </c>
      <c r="CM69">
        <f t="shared" si="198"/>
        <v>1</v>
      </c>
      <c r="CN69" t="b">
        <f t="shared" si="199"/>
        <v>0</v>
      </c>
      <c r="CO69" t="b">
        <f t="shared" si="200"/>
        <v>0</v>
      </c>
      <c r="CP69" t="b">
        <f t="shared" si="201"/>
        <v>0</v>
      </c>
      <c r="CQ69" t="b">
        <f t="shared" si="202"/>
        <v>0</v>
      </c>
      <c r="CR69" t="b">
        <f t="shared" si="203"/>
        <v>0</v>
      </c>
      <c r="CS69" t="b">
        <f t="shared" si="204"/>
        <v>0</v>
      </c>
      <c r="CT69" t="b">
        <f t="shared" si="205"/>
        <v>0</v>
      </c>
      <c r="CU69" t="b">
        <f t="shared" si="206"/>
        <v>0</v>
      </c>
      <c r="CV69">
        <f t="shared" si="207"/>
        <v>1</v>
      </c>
      <c r="CW69" t="b">
        <f t="shared" si="208"/>
        <v>0</v>
      </c>
      <c r="CX69" t="b">
        <f t="shared" si="209"/>
        <v>0</v>
      </c>
      <c r="CY69" t="b">
        <f t="shared" si="210"/>
        <v>0</v>
      </c>
      <c r="CZ69" t="b">
        <f t="shared" si="211"/>
        <v>0</v>
      </c>
      <c r="DA69">
        <f t="shared" si="212"/>
        <v>1</v>
      </c>
      <c r="DB69">
        <f t="shared" si="213"/>
        <v>1</v>
      </c>
      <c r="DC69" t="b">
        <f t="shared" si="214"/>
        <v>0</v>
      </c>
      <c r="DD69" t="b">
        <f t="shared" si="215"/>
        <v>0</v>
      </c>
      <c r="DE69" t="b">
        <f t="shared" si="216"/>
        <v>0</v>
      </c>
      <c r="DF69" t="b">
        <f t="shared" si="217"/>
        <v>0</v>
      </c>
      <c r="DG69" t="b">
        <f t="shared" si="218"/>
        <v>0</v>
      </c>
      <c r="DH69" t="b">
        <f t="shared" si="219"/>
        <v>0</v>
      </c>
      <c r="DI69" t="b">
        <f t="shared" si="220"/>
        <v>0</v>
      </c>
      <c r="DJ69" t="b">
        <f t="shared" si="221"/>
        <v>0</v>
      </c>
      <c r="DK69" t="b">
        <f t="shared" si="222"/>
        <v>0</v>
      </c>
      <c r="DL69" t="b">
        <f t="shared" si="223"/>
        <v>0</v>
      </c>
      <c r="DM69" t="b">
        <f t="shared" si="224"/>
        <v>0</v>
      </c>
      <c r="DN69" t="b">
        <f t="shared" si="225"/>
        <v>0</v>
      </c>
      <c r="DO69" t="b">
        <f t="shared" si="226"/>
        <v>0</v>
      </c>
      <c r="DP69" t="b">
        <f t="shared" si="227"/>
        <v>0</v>
      </c>
      <c r="DQ69" t="b">
        <f t="shared" si="228"/>
        <v>0</v>
      </c>
      <c r="DR69" t="b">
        <f t="shared" si="229"/>
        <v>0</v>
      </c>
      <c r="DS69" t="b">
        <f t="shared" si="230"/>
        <v>0</v>
      </c>
      <c r="DT69" t="b">
        <f t="shared" si="231"/>
        <v>0</v>
      </c>
      <c r="DU69" t="b">
        <f t="shared" si="232"/>
        <v>0</v>
      </c>
      <c r="DV69" t="b">
        <f t="shared" si="233"/>
        <v>0</v>
      </c>
      <c r="DW69" t="b">
        <f t="shared" si="234"/>
        <v>0</v>
      </c>
      <c r="DX69" t="b">
        <f t="shared" si="235"/>
        <v>0</v>
      </c>
      <c r="DY69" t="b">
        <f t="shared" si="236"/>
        <v>0</v>
      </c>
      <c r="DZ69" t="b">
        <f t="shared" si="237"/>
        <v>0</v>
      </c>
      <c r="EA69" t="b">
        <f t="shared" si="238"/>
        <v>0</v>
      </c>
      <c r="EB69" t="b">
        <f t="shared" si="239"/>
        <v>0</v>
      </c>
      <c r="EC69" t="b">
        <f t="shared" si="240"/>
        <v>0</v>
      </c>
      <c r="ED69" t="b">
        <f t="shared" si="241"/>
        <v>0</v>
      </c>
      <c r="EE69" t="b">
        <f t="shared" si="242"/>
        <v>0</v>
      </c>
      <c r="EF69" t="b">
        <f t="shared" si="243"/>
        <v>0</v>
      </c>
      <c r="EG69" t="b">
        <f t="shared" si="244"/>
        <v>0</v>
      </c>
      <c r="EH69" t="b">
        <f t="shared" si="245"/>
        <v>0</v>
      </c>
      <c r="EI69" t="b">
        <f t="shared" si="246"/>
        <v>0</v>
      </c>
      <c r="EJ69" t="b">
        <f t="shared" si="247"/>
        <v>0</v>
      </c>
      <c r="EK69" t="b">
        <f t="shared" si="248"/>
        <v>0</v>
      </c>
    </row>
    <row r="70" spans="1:141">
      <c r="A70" t="s">
        <v>475</v>
      </c>
      <c r="B70" t="s">
        <v>475</v>
      </c>
      <c r="C70" t="s">
        <v>476</v>
      </c>
      <c r="D70" s="1">
        <v>44118</v>
      </c>
      <c r="E70" s="2">
        <v>44312.16678240741</v>
      </c>
      <c r="F70" s="2">
        <v>44312.260428240741</v>
      </c>
      <c r="G70">
        <v>24500011</v>
      </c>
      <c r="H70" t="s">
        <v>477</v>
      </c>
      <c r="I70" s="10" t="s">
        <v>478</v>
      </c>
      <c r="J70" t="s">
        <v>479</v>
      </c>
      <c r="K70" s="8" t="b">
        <v>1</v>
      </c>
      <c r="L70" s="10" t="b">
        <v>0</v>
      </c>
      <c r="M70" s="12" t="b">
        <v>0</v>
      </c>
      <c r="N70" t="b">
        <v>0</v>
      </c>
      <c r="O70" t="b">
        <v>0</v>
      </c>
      <c r="P70" t="b">
        <v>0</v>
      </c>
      <c r="Q70">
        <f t="shared" si="125"/>
        <v>4</v>
      </c>
      <c r="R70">
        <f t="shared" si="126"/>
        <v>10</v>
      </c>
      <c r="S70" t="e">
        <f t="shared" ca="1" si="156"/>
        <v>#NAME?</v>
      </c>
      <c r="T70" t="e">
        <f t="shared" ca="1" si="127"/>
        <v>#NAME?</v>
      </c>
      <c r="U70" s="4">
        <f t="shared" si="128"/>
        <v>194.16678240741021</v>
      </c>
      <c r="V70" s="4">
        <f t="shared" si="129"/>
        <v>6.4722260802470073</v>
      </c>
      <c r="W70" s="4">
        <f t="shared" si="130"/>
        <v>1</v>
      </c>
      <c r="X70" s="4">
        <f t="shared" si="131"/>
        <v>0</v>
      </c>
      <c r="Y70" s="4">
        <f t="shared" si="132"/>
        <v>0</v>
      </c>
      <c r="Z70" s="4">
        <f t="shared" si="133"/>
        <v>0</v>
      </c>
      <c r="AA70" s="4">
        <f t="shared" si="134"/>
        <v>0</v>
      </c>
      <c r="AB70" s="4">
        <f t="shared" si="135"/>
        <v>0</v>
      </c>
      <c r="AC70" s="4"/>
      <c r="AD70" s="4" t="b">
        <f t="shared" si="136"/>
        <v>0</v>
      </c>
      <c r="AE70" s="4" t="b">
        <f t="shared" si="137"/>
        <v>0</v>
      </c>
      <c r="AF70" s="4" t="b">
        <f t="shared" si="138"/>
        <v>0</v>
      </c>
      <c r="AG70" t="b">
        <f t="shared" si="139"/>
        <v>0</v>
      </c>
      <c r="AH70" t="b">
        <f t="shared" si="140"/>
        <v>0</v>
      </c>
      <c r="AI70" t="b">
        <f t="shared" si="141"/>
        <v>0</v>
      </c>
      <c r="AJ70" t="b">
        <f t="shared" si="142"/>
        <v>0</v>
      </c>
      <c r="AK70" t="b">
        <f t="shared" si="143"/>
        <v>0</v>
      </c>
      <c r="AL70" t="b">
        <f t="shared" si="144"/>
        <v>0</v>
      </c>
      <c r="AM70" t="b">
        <f t="shared" si="145"/>
        <v>0</v>
      </c>
      <c r="AN70" t="b">
        <f t="shared" si="146"/>
        <v>0</v>
      </c>
      <c r="AO70" t="b">
        <f t="shared" si="147"/>
        <v>0</v>
      </c>
      <c r="AP70" t="b">
        <f t="shared" si="148"/>
        <v>0</v>
      </c>
      <c r="AQ70" t="b">
        <f t="shared" si="149"/>
        <v>0</v>
      </c>
      <c r="AR70" t="b">
        <f t="shared" si="150"/>
        <v>0</v>
      </c>
      <c r="AS70" t="b">
        <f t="shared" si="151"/>
        <v>0</v>
      </c>
      <c r="AT70" t="b">
        <f t="shared" si="152"/>
        <v>0</v>
      </c>
      <c r="AU70" t="b">
        <f t="shared" si="153"/>
        <v>0</v>
      </c>
      <c r="AV70" t="b">
        <f t="shared" si="154"/>
        <v>0</v>
      </c>
      <c r="AW70" t="b">
        <f t="shared" si="155"/>
        <v>0</v>
      </c>
      <c r="AX70" t="b">
        <f t="shared" si="157"/>
        <v>0</v>
      </c>
      <c r="AY70" t="b">
        <f t="shared" si="158"/>
        <v>0</v>
      </c>
      <c r="AZ70">
        <f t="shared" si="159"/>
        <v>1</v>
      </c>
      <c r="BA70" t="b">
        <f t="shared" si="160"/>
        <v>0</v>
      </c>
      <c r="BB70" t="b">
        <f t="shared" si="161"/>
        <v>0</v>
      </c>
      <c r="BC70" t="b">
        <f t="shared" si="162"/>
        <v>0</v>
      </c>
      <c r="BD70" t="b">
        <f t="shared" si="163"/>
        <v>0</v>
      </c>
      <c r="BE70" t="b">
        <f t="shared" si="164"/>
        <v>0</v>
      </c>
      <c r="BF70" t="b">
        <f t="shared" si="165"/>
        <v>0</v>
      </c>
      <c r="BG70" t="b">
        <f t="shared" si="166"/>
        <v>0</v>
      </c>
      <c r="BH70" t="b">
        <f t="shared" si="167"/>
        <v>0</v>
      </c>
      <c r="BI70">
        <f t="shared" si="168"/>
        <v>1</v>
      </c>
      <c r="BJ70" t="b">
        <f t="shared" si="169"/>
        <v>0</v>
      </c>
      <c r="BK70" t="b">
        <f t="shared" si="170"/>
        <v>0</v>
      </c>
      <c r="BL70" t="b">
        <f t="shared" si="171"/>
        <v>0</v>
      </c>
      <c r="BM70" t="b">
        <f t="shared" si="172"/>
        <v>0</v>
      </c>
      <c r="BN70" t="b">
        <f t="shared" si="173"/>
        <v>0</v>
      </c>
      <c r="BO70" t="b">
        <f t="shared" si="174"/>
        <v>0</v>
      </c>
      <c r="BP70" t="b">
        <f t="shared" si="175"/>
        <v>0</v>
      </c>
      <c r="BQ70" t="b">
        <f t="shared" si="176"/>
        <v>0</v>
      </c>
      <c r="BR70" t="b">
        <f t="shared" si="177"/>
        <v>0</v>
      </c>
      <c r="BS70" t="b">
        <f t="shared" si="178"/>
        <v>0</v>
      </c>
      <c r="BT70" t="b">
        <f t="shared" si="179"/>
        <v>0</v>
      </c>
      <c r="BU70" t="b">
        <f t="shared" si="180"/>
        <v>0</v>
      </c>
      <c r="BV70" t="b">
        <f t="shared" si="181"/>
        <v>0</v>
      </c>
      <c r="BW70" t="b">
        <f t="shared" si="182"/>
        <v>0</v>
      </c>
      <c r="BX70" t="b">
        <f t="shared" si="183"/>
        <v>0</v>
      </c>
      <c r="BY70" t="b">
        <f t="shared" si="184"/>
        <v>0</v>
      </c>
      <c r="BZ70" t="b">
        <f t="shared" si="185"/>
        <v>0</v>
      </c>
      <c r="CA70" t="b">
        <f t="shared" si="186"/>
        <v>0</v>
      </c>
      <c r="CB70" t="b">
        <f t="shared" si="187"/>
        <v>0</v>
      </c>
      <c r="CC70" t="b">
        <f t="shared" si="188"/>
        <v>0</v>
      </c>
      <c r="CD70" t="b">
        <f t="shared" si="189"/>
        <v>0</v>
      </c>
      <c r="CE70">
        <f t="shared" si="190"/>
        <v>1</v>
      </c>
      <c r="CF70" t="b">
        <f t="shared" si="191"/>
        <v>0</v>
      </c>
      <c r="CG70" t="b">
        <f t="shared" si="192"/>
        <v>0</v>
      </c>
      <c r="CH70" t="b">
        <f t="shared" si="193"/>
        <v>0</v>
      </c>
      <c r="CI70" t="b">
        <f t="shared" si="194"/>
        <v>0</v>
      </c>
      <c r="CJ70" t="b">
        <f t="shared" si="195"/>
        <v>0</v>
      </c>
      <c r="CK70" t="b">
        <f t="shared" si="196"/>
        <v>0</v>
      </c>
      <c r="CL70" t="b">
        <f t="shared" si="197"/>
        <v>0</v>
      </c>
      <c r="CM70">
        <f t="shared" si="198"/>
        <v>1</v>
      </c>
      <c r="CN70" t="b">
        <f t="shared" si="199"/>
        <v>0</v>
      </c>
      <c r="CO70" t="b">
        <f t="shared" si="200"/>
        <v>0</v>
      </c>
      <c r="CP70" t="b">
        <f t="shared" si="201"/>
        <v>0</v>
      </c>
      <c r="CQ70" t="b">
        <f t="shared" si="202"/>
        <v>0</v>
      </c>
      <c r="CR70" t="b">
        <f t="shared" si="203"/>
        <v>0</v>
      </c>
      <c r="CS70" t="b">
        <f t="shared" si="204"/>
        <v>0</v>
      </c>
      <c r="CT70" t="b">
        <f t="shared" si="205"/>
        <v>0</v>
      </c>
      <c r="CU70" t="b">
        <f t="shared" si="206"/>
        <v>0</v>
      </c>
      <c r="CV70">
        <f t="shared" si="207"/>
        <v>1</v>
      </c>
      <c r="CW70" t="b">
        <f t="shared" si="208"/>
        <v>0</v>
      </c>
      <c r="CX70" t="b">
        <f t="shared" si="209"/>
        <v>0</v>
      </c>
      <c r="CY70" t="b">
        <f t="shared" si="210"/>
        <v>0</v>
      </c>
      <c r="CZ70" t="b">
        <f t="shared" si="211"/>
        <v>0</v>
      </c>
      <c r="DA70">
        <f t="shared" si="212"/>
        <v>1</v>
      </c>
      <c r="DB70">
        <f t="shared" si="213"/>
        <v>1</v>
      </c>
      <c r="DC70" t="b">
        <f t="shared" si="214"/>
        <v>0</v>
      </c>
      <c r="DD70" t="b">
        <f t="shared" si="215"/>
        <v>0</v>
      </c>
      <c r="DE70" t="b">
        <f t="shared" si="216"/>
        <v>0</v>
      </c>
      <c r="DF70" t="b">
        <f t="shared" si="217"/>
        <v>0</v>
      </c>
      <c r="DG70" t="b">
        <f t="shared" si="218"/>
        <v>0</v>
      </c>
      <c r="DH70" t="b">
        <f t="shared" si="219"/>
        <v>0</v>
      </c>
      <c r="DI70" t="b">
        <f t="shared" si="220"/>
        <v>0</v>
      </c>
      <c r="DJ70" t="b">
        <f t="shared" si="221"/>
        <v>0</v>
      </c>
      <c r="DK70" t="b">
        <f t="shared" si="222"/>
        <v>0</v>
      </c>
      <c r="DL70" t="b">
        <f t="shared" si="223"/>
        <v>0</v>
      </c>
      <c r="DM70" t="b">
        <f t="shared" si="224"/>
        <v>0</v>
      </c>
      <c r="DN70" t="b">
        <f t="shared" si="225"/>
        <v>0</v>
      </c>
      <c r="DO70" t="b">
        <f t="shared" si="226"/>
        <v>0</v>
      </c>
      <c r="DP70" t="b">
        <f t="shared" si="227"/>
        <v>0</v>
      </c>
      <c r="DQ70" t="b">
        <f t="shared" si="228"/>
        <v>0</v>
      </c>
      <c r="DR70" t="b">
        <f t="shared" si="229"/>
        <v>0</v>
      </c>
      <c r="DS70" t="b">
        <f t="shared" si="230"/>
        <v>0</v>
      </c>
      <c r="DT70" t="b">
        <f t="shared" si="231"/>
        <v>0</v>
      </c>
      <c r="DU70" t="b">
        <f t="shared" si="232"/>
        <v>0</v>
      </c>
      <c r="DV70" t="b">
        <f t="shared" si="233"/>
        <v>0</v>
      </c>
      <c r="DW70" t="b">
        <f t="shared" si="234"/>
        <v>0</v>
      </c>
      <c r="DX70" t="b">
        <f t="shared" si="235"/>
        <v>0</v>
      </c>
      <c r="DY70" t="b">
        <f t="shared" si="236"/>
        <v>0</v>
      </c>
      <c r="DZ70" t="b">
        <f t="shared" si="237"/>
        <v>0</v>
      </c>
      <c r="EA70" t="b">
        <f t="shared" si="238"/>
        <v>0</v>
      </c>
      <c r="EB70" t="b">
        <f t="shared" si="239"/>
        <v>0</v>
      </c>
      <c r="EC70" t="b">
        <f t="shared" si="240"/>
        <v>0</v>
      </c>
      <c r="ED70" t="b">
        <f t="shared" si="241"/>
        <v>0</v>
      </c>
      <c r="EE70" t="b">
        <f t="shared" si="242"/>
        <v>0</v>
      </c>
      <c r="EF70" t="b">
        <f t="shared" si="243"/>
        <v>0</v>
      </c>
      <c r="EG70" t="b">
        <f t="shared" si="244"/>
        <v>0</v>
      </c>
      <c r="EH70" t="b">
        <f t="shared" si="245"/>
        <v>0</v>
      </c>
      <c r="EI70" t="b">
        <f t="shared" si="246"/>
        <v>0</v>
      </c>
      <c r="EJ70" t="b">
        <f t="shared" si="247"/>
        <v>0</v>
      </c>
      <c r="EK70" t="b">
        <f t="shared" si="248"/>
        <v>0</v>
      </c>
    </row>
    <row r="71" spans="1:141">
      <c r="A71" t="s">
        <v>480</v>
      </c>
      <c r="B71" t="s">
        <v>480</v>
      </c>
      <c r="C71" t="s">
        <v>481</v>
      </c>
      <c r="D71" s="1">
        <v>41732</v>
      </c>
      <c r="E71" s="2">
        <v>41737.239004629628</v>
      </c>
      <c r="F71" s="2">
        <v>41737.239004629628</v>
      </c>
      <c r="G71">
        <v>36789</v>
      </c>
      <c r="H71" t="s">
        <v>482</v>
      </c>
      <c r="I71" s="10" t="s">
        <v>483</v>
      </c>
      <c r="J71" t="s">
        <v>484</v>
      </c>
      <c r="K71" s="8" t="b">
        <v>1</v>
      </c>
      <c r="L71" s="10" t="b">
        <v>0</v>
      </c>
      <c r="M71" s="12" t="b">
        <v>0</v>
      </c>
      <c r="N71" t="b">
        <v>0</v>
      </c>
      <c r="O71" t="b">
        <v>0</v>
      </c>
      <c r="P71" t="b">
        <v>0</v>
      </c>
      <c r="Q71">
        <f t="shared" si="125"/>
        <v>5</v>
      </c>
      <c r="R71">
        <f t="shared" si="126"/>
        <v>4</v>
      </c>
      <c r="S71" t="e">
        <f t="shared" ca="1" si="156"/>
        <v>#NAME?</v>
      </c>
      <c r="T71" t="e">
        <f t="shared" ca="1" si="127"/>
        <v>#NAME?</v>
      </c>
      <c r="U71" s="4">
        <f t="shared" si="128"/>
        <v>5.2390046296277433</v>
      </c>
      <c r="V71" s="4">
        <f t="shared" si="129"/>
        <v>0.1746334876542581</v>
      </c>
      <c r="W71" s="4">
        <f t="shared" si="130"/>
        <v>1</v>
      </c>
      <c r="X71" s="4">
        <f t="shared" si="131"/>
        <v>0</v>
      </c>
      <c r="Y71" s="4">
        <f t="shared" si="132"/>
        <v>0</v>
      </c>
      <c r="Z71" s="4">
        <f t="shared" si="133"/>
        <v>0</v>
      </c>
      <c r="AA71" s="4">
        <f t="shared" si="134"/>
        <v>0</v>
      </c>
      <c r="AB71" s="4">
        <f t="shared" si="135"/>
        <v>0</v>
      </c>
      <c r="AC71" s="4"/>
      <c r="AD71" s="4" t="b">
        <f t="shared" si="136"/>
        <v>0</v>
      </c>
      <c r="AE71" s="4" t="b">
        <f t="shared" si="137"/>
        <v>0</v>
      </c>
      <c r="AF71" s="4" t="b">
        <f t="shared" si="138"/>
        <v>0</v>
      </c>
      <c r="AG71" t="b">
        <f t="shared" si="139"/>
        <v>0</v>
      </c>
      <c r="AH71" t="b">
        <f t="shared" si="140"/>
        <v>0</v>
      </c>
      <c r="AI71" t="b">
        <f t="shared" si="141"/>
        <v>0</v>
      </c>
      <c r="AJ71" t="b">
        <f t="shared" si="142"/>
        <v>0</v>
      </c>
      <c r="AK71" t="b">
        <f t="shared" si="143"/>
        <v>0</v>
      </c>
      <c r="AL71" t="b">
        <f t="shared" si="144"/>
        <v>0</v>
      </c>
      <c r="AM71" t="b">
        <f t="shared" si="145"/>
        <v>0</v>
      </c>
      <c r="AN71" t="b">
        <f t="shared" si="146"/>
        <v>0</v>
      </c>
      <c r="AO71" t="b">
        <f t="shared" si="147"/>
        <v>0</v>
      </c>
      <c r="AP71" t="b">
        <f t="shared" si="148"/>
        <v>0</v>
      </c>
      <c r="AQ71" t="b">
        <f t="shared" si="149"/>
        <v>0</v>
      </c>
      <c r="AR71" t="b">
        <f t="shared" si="150"/>
        <v>0</v>
      </c>
      <c r="AS71" t="b">
        <f t="shared" si="151"/>
        <v>0</v>
      </c>
      <c r="AT71" t="b">
        <f t="shared" si="152"/>
        <v>0</v>
      </c>
      <c r="AU71" t="b">
        <f t="shared" si="153"/>
        <v>0</v>
      </c>
      <c r="AV71" t="b">
        <f t="shared" si="154"/>
        <v>0</v>
      </c>
      <c r="AW71" t="b">
        <f t="shared" si="155"/>
        <v>0</v>
      </c>
      <c r="AX71" t="b">
        <f t="shared" si="157"/>
        <v>0</v>
      </c>
      <c r="AY71" t="b">
        <f t="shared" si="158"/>
        <v>0</v>
      </c>
      <c r="AZ71" t="b">
        <f t="shared" si="159"/>
        <v>0</v>
      </c>
      <c r="BA71" t="b">
        <f t="shared" si="160"/>
        <v>0</v>
      </c>
      <c r="BB71" t="b">
        <f t="shared" si="161"/>
        <v>0</v>
      </c>
      <c r="BC71" t="b">
        <f t="shared" si="162"/>
        <v>0</v>
      </c>
      <c r="BD71" t="b">
        <f t="shared" si="163"/>
        <v>0</v>
      </c>
      <c r="BE71" t="b">
        <f t="shared" si="164"/>
        <v>0</v>
      </c>
      <c r="BF71" t="b">
        <f t="shared" si="165"/>
        <v>0</v>
      </c>
      <c r="BG71" t="b">
        <f t="shared" si="166"/>
        <v>0</v>
      </c>
      <c r="BH71">
        <f t="shared" si="167"/>
        <v>1</v>
      </c>
      <c r="BI71">
        <f t="shared" si="168"/>
        <v>1</v>
      </c>
      <c r="BJ71" t="b">
        <f t="shared" si="169"/>
        <v>0</v>
      </c>
      <c r="BK71" t="b">
        <f t="shared" si="170"/>
        <v>0</v>
      </c>
      <c r="BL71" t="b">
        <f t="shared" si="171"/>
        <v>0</v>
      </c>
      <c r="BM71" t="b">
        <f t="shared" si="172"/>
        <v>0</v>
      </c>
      <c r="BN71" t="b">
        <f t="shared" si="173"/>
        <v>0</v>
      </c>
      <c r="BO71" t="b">
        <f t="shared" si="174"/>
        <v>0</v>
      </c>
      <c r="BP71" t="b">
        <f t="shared" si="175"/>
        <v>0</v>
      </c>
      <c r="BQ71" t="b">
        <f t="shared" si="176"/>
        <v>0</v>
      </c>
      <c r="BR71" t="b">
        <f t="shared" si="177"/>
        <v>0</v>
      </c>
      <c r="BS71" t="b">
        <f t="shared" si="178"/>
        <v>0</v>
      </c>
      <c r="BT71" t="b">
        <f t="shared" si="179"/>
        <v>0</v>
      </c>
      <c r="BU71" t="b">
        <f t="shared" si="180"/>
        <v>0</v>
      </c>
      <c r="BV71" t="b">
        <f t="shared" si="181"/>
        <v>0</v>
      </c>
      <c r="BW71" t="b">
        <f t="shared" si="182"/>
        <v>0</v>
      </c>
      <c r="BX71" t="b">
        <f t="shared" si="183"/>
        <v>0</v>
      </c>
      <c r="BY71" t="b">
        <f t="shared" si="184"/>
        <v>0</v>
      </c>
      <c r="BZ71" t="b">
        <f t="shared" si="185"/>
        <v>0</v>
      </c>
      <c r="CA71" t="b">
        <f t="shared" si="186"/>
        <v>0</v>
      </c>
      <c r="CB71" t="b">
        <f t="shared" si="187"/>
        <v>0</v>
      </c>
      <c r="CC71" t="b">
        <f t="shared" si="188"/>
        <v>0</v>
      </c>
      <c r="CD71" t="b">
        <f t="shared" si="189"/>
        <v>0</v>
      </c>
      <c r="CE71" t="b">
        <f t="shared" si="190"/>
        <v>0</v>
      </c>
      <c r="CF71" t="b">
        <f t="shared" si="191"/>
        <v>0</v>
      </c>
      <c r="CG71" t="b">
        <f t="shared" si="192"/>
        <v>0</v>
      </c>
      <c r="CH71" t="b">
        <f t="shared" si="193"/>
        <v>0</v>
      </c>
      <c r="CI71" t="b">
        <f t="shared" si="194"/>
        <v>0</v>
      </c>
      <c r="CJ71" t="b">
        <f t="shared" si="195"/>
        <v>0</v>
      </c>
      <c r="CK71" t="b">
        <f t="shared" si="196"/>
        <v>0</v>
      </c>
      <c r="CL71" t="b">
        <f t="shared" si="197"/>
        <v>0</v>
      </c>
      <c r="CM71">
        <f t="shared" si="198"/>
        <v>1</v>
      </c>
      <c r="CN71" t="b">
        <f t="shared" si="199"/>
        <v>0</v>
      </c>
      <c r="CO71" t="b">
        <f t="shared" si="200"/>
        <v>0</v>
      </c>
      <c r="CP71" t="b">
        <f t="shared" si="201"/>
        <v>0</v>
      </c>
      <c r="CQ71" t="b">
        <f t="shared" si="202"/>
        <v>0</v>
      </c>
      <c r="CR71" t="b">
        <f t="shared" si="203"/>
        <v>0</v>
      </c>
      <c r="CS71" t="b">
        <f t="shared" si="204"/>
        <v>0</v>
      </c>
      <c r="CT71" t="b">
        <f t="shared" si="205"/>
        <v>0</v>
      </c>
      <c r="CU71" t="b">
        <f t="shared" si="206"/>
        <v>0</v>
      </c>
      <c r="CV71">
        <f t="shared" si="207"/>
        <v>1</v>
      </c>
      <c r="CW71" t="b">
        <f t="shared" si="208"/>
        <v>0</v>
      </c>
      <c r="CX71" t="b">
        <f t="shared" si="209"/>
        <v>0</v>
      </c>
      <c r="CY71" t="b">
        <f t="shared" si="210"/>
        <v>0</v>
      </c>
      <c r="CZ71" t="b">
        <f t="shared" si="211"/>
        <v>0</v>
      </c>
      <c r="DA71">
        <f t="shared" si="212"/>
        <v>1</v>
      </c>
      <c r="DB71">
        <f t="shared" si="213"/>
        <v>1</v>
      </c>
      <c r="DC71" t="b">
        <f t="shared" si="214"/>
        <v>0</v>
      </c>
      <c r="DD71" t="b">
        <f t="shared" si="215"/>
        <v>0</v>
      </c>
      <c r="DE71" t="b">
        <f t="shared" si="216"/>
        <v>0</v>
      </c>
      <c r="DF71" t="b">
        <f t="shared" si="217"/>
        <v>0</v>
      </c>
      <c r="DG71" t="b">
        <f t="shared" si="218"/>
        <v>0</v>
      </c>
      <c r="DH71" t="b">
        <f t="shared" si="219"/>
        <v>0</v>
      </c>
      <c r="DI71" t="b">
        <f t="shared" si="220"/>
        <v>0</v>
      </c>
      <c r="DJ71" t="b">
        <f t="shared" si="221"/>
        <v>0</v>
      </c>
      <c r="DK71" t="b">
        <f t="shared" si="222"/>
        <v>0</v>
      </c>
      <c r="DL71" t="b">
        <f t="shared" si="223"/>
        <v>0</v>
      </c>
      <c r="DM71" t="b">
        <f t="shared" si="224"/>
        <v>0</v>
      </c>
      <c r="DN71" t="b">
        <f t="shared" si="225"/>
        <v>0</v>
      </c>
      <c r="DO71" t="b">
        <f t="shared" si="226"/>
        <v>0</v>
      </c>
      <c r="DP71" t="b">
        <f t="shared" si="227"/>
        <v>0</v>
      </c>
      <c r="DQ71">
        <f t="shared" si="228"/>
        <v>1</v>
      </c>
      <c r="DR71" t="b">
        <f t="shared" si="229"/>
        <v>0</v>
      </c>
      <c r="DS71" t="b">
        <f t="shared" si="230"/>
        <v>0</v>
      </c>
      <c r="DT71" t="b">
        <f t="shared" si="231"/>
        <v>0</v>
      </c>
      <c r="DU71" t="b">
        <f t="shared" si="232"/>
        <v>0</v>
      </c>
      <c r="DV71" t="b">
        <f t="shared" si="233"/>
        <v>0</v>
      </c>
      <c r="DW71" t="b">
        <f t="shared" si="234"/>
        <v>0</v>
      </c>
      <c r="DX71" t="b">
        <f t="shared" si="235"/>
        <v>0</v>
      </c>
      <c r="DY71" t="b">
        <f t="shared" si="236"/>
        <v>0</v>
      </c>
      <c r="DZ71" t="b">
        <f t="shared" si="237"/>
        <v>0</v>
      </c>
      <c r="EA71" t="b">
        <f t="shared" si="238"/>
        <v>0</v>
      </c>
      <c r="EB71" t="b">
        <f t="shared" si="239"/>
        <v>0</v>
      </c>
      <c r="EC71" t="b">
        <f t="shared" si="240"/>
        <v>0</v>
      </c>
      <c r="ED71" t="b">
        <f t="shared" si="241"/>
        <v>0</v>
      </c>
      <c r="EE71">
        <f t="shared" si="242"/>
        <v>1</v>
      </c>
      <c r="EF71" t="b">
        <f t="shared" si="243"/>
        <v>0</v>
      </c>
      <c r="EG71" t="b">
        <f t="shared" si="244"/>
        <v>0</v>
      </c>
      <c r="EH71" t="b">
        <f t="shared" si="245"/>
        <v>0</v>
      </c>
      <c r="EI71">
        <f t="shared" si="246"/>
        <v>1</v>
      </c>
      <c r="EJ71" t="b">
        <f t="shared" si="247"/>
        <v>0</v>
      </c>
      <c r="EK71" t="b">
        <f t="shared" si="248"/>
        <v>0</v>
      </c>
    </row>
    <row r="72" spans="1:141">
      <c r="A72" t="s">
        <v>485</v>
      </c>
      <c r="B72" t="s">
        <v>486</v>
      </c>
      <c r="C72" t="s">
        <v>487</v>
      </c>
      <c r="D72" s="1">
        <v>41883</v>
      </c>
      <c r="E72" s="2">
        <v>42965.299270833333</v>
      </c>
      <c r="F72" s="2">
        <v>42965.299270833333</v>
      </c>
      <c r="G72">
        <v>1287073</v>
      </c>
      <c r="H72" t="s">
        <v>488</v>
      </c>
      <c r="I72" s="10" t="s">
        <v>489</v>
      </c>
      <c r="J72" t="s">
        <v>490</v>
      </c>
      <c r="K72" s="8" t="b">
        <v>1</v>
      </c>
      <c r="L72" s="10" t="b">
        <v>0</v>
      </c>
      <c r="M72" s="12" t="b">
        <v>0</v>
      </c>
      <c r="N72" t="b">
        <v>0</v>
      </c>
      <c r="O72" t="b">
        <v>0</v>
      </c>
      <c r="P72" t="b">
        <v>0</v>
      </c>
      <c r="Q72">
        <f t="shared" si="125"/>
        <v>2</v>
      </c>
      <c r="R72">
        <f t="shared" si="126"/>
        <v>9</v>
      </c>
      <c r="S72" t="e">
        <f t="shared" ca="1" si="156"/>
        <v>#NAME?</v>
      </c>
      <c r="T72" t="e">
        <f t="shared" ca="1" si="127"/>
        <v>#NAME?</v>
      </c>
      <c r="U72" s="4">
        <f t="shared" si="128"/>
        <v>1082.2992708333331</v>
      </c>
      <c r="V72" s="4">
        <f t="shared" si="129"/>
        <v>36.076642361111105</v>
      </c>
      <c r="W72" s="4">
        <f t="shared" si="130"/>
        <v>1</v>
      </c>
      <c r="X72" s="4">
        <f t="shared" si="131"/>
        <v>0</v>
      </c>
      <c r="Y72" s="4">
        <f t="shared" si="132"/>
        <v>0</v>
      </c>
      <c r="Z72" s="4">
        <f t="shared" si="133"/>
        <v>0</v>
      </c>
      <c r="AA72" s="4">
        <f t="shared" si="134"/>
        <v>0</v>
      </c>
      <c r="AB72" s="4">
        <f t="shared" si="135"/>
        <v>0</v>
      </c>
      <c r="AC72" s="4"/>
      <c r="AD72" s="4" t="b">
        <f t="shared" si="136"/>
        <v>0</v>
      </c>
      <c r="AE72" s="4" t="b">
        <f t="shared" si="137"/>
        <v>0</v>
      </c>
      <c r="AF72" s="4" t="b">
        <f t="shared" si="138"/>
        <v>0</v>
      </c>
      <c r="AG72" t="b">
        <f t="shared" si="139"/>
        <v>0</v>
      </c>
      <c r="AH72" t="b">
        <f t="shared" si="140"/>
        <v>0</v>
      </c>
      <c r="AI72" t="b">
        <f t="shared" si="141"/>
        <v>0</v>
      </c>
      <c r="AJ72" t="b">
        <f t="shared" si="142"/>
        <v>0</v>
      </c>
      <c r="AK72" t="b">
        <f t="shared" si="143"/>
        <v>0</v>
      </c>
      <c r="AL72" t="b">
        <f t="shared" si="144"/>
        <v>0</v>
      </c>
      <c r="AM72" t="b">
        <f t="shared" si="145"/>
        <v>0</v>
      </c>
      <c r="AN72" t="b">
        <f t="shared" si="146"/>
        <v>0</v>
      </c>
      <c r="AO72" t="b">
        <f t="shared" si="147"/>
        <v>0</v>
      </c>
      <c r="AP72" t="b">
        <f t="shared" si="148"/>
        <v>0</v>
      </c>
      <c r="AQ72" t="b">
        <f t="shared" si="149"/>
        <v>0</v>
      </c>
      <c r="AR72" t="b">
        <f t="shared" si="150"/>
        <v>0</v>
      </c>
      <c r="AS72" t="b">
        <f t="shared" si="151"/>
        <v>0</v>
      </c>
      <c r="AT72" t="b">
        <f t="shared" si="152"/>
        <v>0</v>
      </c>
      <c r="AU72" t="b">
        <f t="shared" si="153"/>
        <v>0</v>
      </c>
      <c r="AV72" t="b">
        <f t="shared" si="154"/>
        <v>0</v>
      </c>
      <c r="AW72" t="b">
        <f t="shared" si="155"/>
        <v>0</v>
      </c>
      <c r="AX72" t="b">
        <f t="shared" si="157"/>
        <v>0</v>
      </c>
      <c r="AY72" t="b">
        <f t="shared" si="158"/>
        <v>0</v>
      </c>
      <c r="AZ72" t="b">
        <f t="shared" si="159"/>
        <v>0</v>
      </c>
      <c r="BA72" t="b">
        <f t="shared" si="160"/>
        <v>0</v>
      </c>
      <c r="BB72" t="b">
        <f t="shared" si="161"/>
        <v>0</v>
      </c>
      <c r="BC72" t="b">
        <f t="shared" si="162"/>
        <v>0</v>
      </c>
      <c r="BD72" t="b">
        <f t="shared" si="163"/>
        <v>0</v>
      </c>
      <c r="BE72" t="b">
        <f t="shared" si="164"/>
        <v>0</v>
      </c>
      <c r="BF72" t="b">
        <f t="shared" si="165"/>
        <v>0</v>
      </c>
      <c r="BG72" t="b">
        <f t="shared" si="166"/>
        <v>0</v>
      </c>
      <c r="BH72" t="b">
        <f t="shared" si="167"/>
        <v>0</v>
      </c>
      <c r="BI72">
        <f t="shared" si="168"/>
        <v>1</v>
      </c>
      <c r="BJ72" t="b">
        <f t="shared" si="169"/>
        <v>0</v>
      </c>
      <c r="BK72" t="b">
        <f t="shared" si="170"/>
        <v>0</v>
      </c>
      <c r="BL72" t="b">
        <f t="shared" si="171"/>
        <v>0</v>
      </c>
      <c r="BM72" t="b">
        <f t="shared" si="172"/>
        <v>0</v>
      </c>
      <c r="BN72" t="b">
        <f t="shared" si="173"/>
        <v>0</v>
      </c>
      <c r="BO72" t="b">
        <f t="shared" si="174"/>
        <v>0</v>
      </c>
      <c r="BP72" t="b">
        <f t="shared" si="175"/>
        <v>0</v>
      </c>
      <c r="BQ72" t="b">
        <f t="shared" si="176"/>
        <v>0</v>
      </c>
      <c r="BR72">
        <f t="shared" si="177"/>
        <v>1</v>
      </c>
      <c r="BS72" t="b">
        <f t="shared" si="178"/>
        <v>0</v>
      </c>
      <c r="BT72" t="b">
        <f t="shared" si="179"/>
        <v>0</v>
      </c>
      <c r="BU72" t="b">
        <f t="shared" si="180"/>
        <v>0</v>
      </c>
      <c r="BV72" t="b">
        <f t="shared" si="181"/>
        <v>0</v>
      </c>
      <c r="BW72" t="b">
        <f t="shared" si="182"/>
        <v>0</v>
      </c>
      <c r="BX72" t="b">
        <f t="shared" si="183"/>
        <v>0</v>
      </c>
      <c r="BY72" t="b">
        <f t="shared" si="184"/>
        <v>0</v>
      </c>
      <c r="BZ72" t="b">
        <f t="shared" si="185"/>
        <v>0</v>
      </c>
      <c r="CA72" t="b">
        <f t="shared" si="186"/>
        <v>0</v>
      </c>
      <c r="CB72" t="b">
        <f t="shared" si="187"/>
        <v>0</v>
      </c>
      <c r="CC72" t="b">
        <f t="shared" si="188"/>
        <v>0</v>
      </c>
      <c r="CD72" t="b">
        <f t="shared" si="189"/>
        <v>0</v>
      </c>
      <c r="CE72">
        <f t="shared" si="190"/>
        <v>1</v>
      </c>
      <c r="CF72" t="b">
        <f t="shared" si="191"/>
        <v>0</v>
      </c>
      <c r="CG72" t="b">
        <f t="shared" si="192"/>
        <v>0</v>
      </c>
      <c r="CH72" t="b">
        <f t="shared" si="193"/>
        <v>0</v>
      </c>
      <c r="CI72" t="b">
        <f t="shared" si="194"/>
        <v>0</v>
      </c>
      <c r="CJ72" t="b">
        <f t="shared" si="195"/>
        <v>0</v>
      </c>
      <c r="CK72" t="b">
        <f t="shared" si="196"/>
        <v>0</v>
      </c>
      <c r="CL72" t="b">
        <f t="shared" si="197"/>
        <v>0</v>
      </c>
      <c r="CM72" t="b">
        <f t="shared" si="198"/>
        <v>0</v>
      </c>
      <c r="CN72" t="b">
        <f t="shared" si="199"/>
        <v>0</v>
      </c>
      <c r="CO72" t="b">
        <f t="shared" si="200"/>
        <v>0</v>
      </c>
      <c r="CP72" t="b">
        <f t="shared" si="201"/>
        <v>0</v>
      </c>
      <c r="CQ72" t="b">
        <f t="shared" si="202"/>
        <v>0</v>
      </c>
      <c r="CR72" t="b">
        <f t="shared" si="203"/>
        <v>0</v>
      </c>
      <c r="CS72" t="b">
        <f t="shared" si="204"/>
        <v>0</v>
      </c>
      <c r="CT72" t="b">
        <f t="shared" si="205"/>
        <v>0</v>
      </c>
      <c r="CU72" t="b">
        <f t="shared" si="206"/>
        <v>0</v>
      </c>
      <c r="CV72">
        <f t="shared" si="207"/>
        <v>1</v>
      </c>
      <c r="CW72" t="b">
        <f t="shared" si="208"/>
        <v>0</v>
      </c>
      <c r="CX72" t="b">
        <f t="shared" si="209"/>
        <v>0</v>
      </c>
      <c r="CY72" t="b">
        <f t="shared" si="210"/>
        <v>0</v>
      </c>
      <c r="CZ72" t="b">
        <f t="shared" si="211"/>
        <v>0</v>
      </c>
      <c r="DA72" t="b">
        <f t="shared" si="212"/>
        <v>0</v>
      </c>
      <c r="DB72" t="b">
        <f t="shared" si="213"/>
        <v>0</v>
      </c>
      <c r="DC72" t="b">
        <f t="shared" si="214"/>
        <v>0</v>
      </c>
      <c r="DD72" t="b">
        <f t="shared" si="215"/>
        <v>0</v>
      </c>
      <c r="DE72" t="b">
        <f t="shared" si="216"/>
        <v>0</v>
      </c>
      <c r="DF72" t="b">
        <f t="shared" si="217"/>
        <v>0</v>
      </c>
      <c r="DG72" t="b">
        <f t="shared" si="218"/>
        <v>0</v>
      </c>
      <c r="DH72" t="b">
        <f t="shared" si="219"/>
        <v>0</v>
      </c>
      <c r="DI72" t="b">
        <f t="shared" si="220"/>
        <v>0</v>
      </c>
      <c r="DJ72" t="b">
        <f t="shared" si="221"/>
        <v>0</v>
      </c>
      <c r="DK72" t="b">
        <f t="shared" si="222"/>
        <v>0</v>
      </c>
      <c r="DL72" t="b">
        <f t="shared" si="223"/>
        <v>0</v>
      </c>
      <c r="DM72" t="b">
        <f t="shared" si="224"/>
        <v>0</v>
      </c>
      <c r="DN72" t="b">
        <f t="shared" si="225"/>
        <v>0</v>
      </c>
      <c r="DO72" t="b">
        <f t="shared" si="226"/>
        <v>0</v>
      </c>
      <c r="DP72" t="b">
        <f t="shared" si="227"/>
        <v>0</v>
      </c>
      <c r="DQ72" t="b">
        <f t="shared" si="228"/>
        <v>0</v>
      </c>
      <c r="DR72" t="b">
        <f t="shared" si="229"/>
        <v>0</v>
      </c>
      <c r="DS72" t="b">
        <f t="shared" si="230"/>
        <v>0</v>
      </c>
      <c r="DT72" t="b">
        <f t="shared" si="231"/>
        <v>0</v>
      </c>
      <c r="DU72" t="b">
        <f t="shared" si="232"/>
        <v>0</v>
      </c>
      <c r="DV72" t="b">
        <f t="shared" si="233"/>
        <v>0</v>
      </c>
      <c r="DW72" t="b">
        <f t="shared" si="234"/>
        <v>0</v>
      </c>
      <c r="DX72" t="b">
        <f t="shared" si="235"/>
        <v>0</v>
      </c>
      <c r="DY72" t="b">
        <f t="shared" si="236"/>
        <v>0</v>
      </c>
      <c r="DZ72" t="b">
        <f t="shared" si="237"/>
        <v>0</v>
      </c>
      <c r="EA72" t="b">
        <f t="shared" si="238"/>
        <v>0</v>
      </c>
      <c r="EB72" t="b">
        <f t="shared" si="239"/>
        <v>0</v>
      </c>
      <c r="EC72" t="b">
        <f t="shared" si="240"/>
        <v>0</v>
      </c>
      <c r="ED72" t="b">
        <f t="shared" si="241"/>
        <v>0</v>
      </c>
      <c r="EE72" t="b">
        <f t="shared" si="242"/>
        <v>0</v>
      </c>
      <c r="EF72">
        <f t="shared" si="243"/>
        <v>1</v>
      </c>
      <c r="EG72" t="b">
        <f t="shared" si="244"/>
        <v>0</v>
      </c>
      <c r="EH72" t="b">
        <f t="shared" si="245"/>
        <v>0</v>
      </c>
      <c r="EI72" t="b">
        <f t="shared" si="246"/>
        <v>0</v>
      </c>
      <c r="EJ72" t="b">
        <f t="shared" si="247"/>
        <v>0</v>
      </c>
      <c r="EK72" t="b">
        <f t="shared" si="248"/>
        <v>0</v>
      </c>
    </row>
    <row r="73" spans="1:141">
      <c r="A73" t="s">
        <v>491</v>
      </c>
      <c r="B73" t="s">
        <v>492</v>
      </c>
      <c r="C73" t="s">
        <v>493</v>
      </c>
      <c r="D73" s="1">
        <v>42706</v>
      </c>
      <c r="E73" s="2">
        <v>42970.866423611114</v>
      </c>
      <c r="F73" s="2">
        <v>42970.866423611114</v>
      </c>
      <c r="G73">
        <v>3402</v>
      </c>
      <c r="H73" t="s">
        <v>494</v>
      </c>
      <c r="I73" s="10" t="s">
        <v>495</v>
      </c>
      <c r="J73" t="s">
        <v>496</v>
      </c>
      <c r="K73" s="8" t="b">
        <v>1</v>
      </c>
      <c r="L73" s="10" t="b">
        <v>0</v>
      </c>
      <c r="M73" s="12" t="b">
        <v>0</v>
      </c>
      <c r="N73" t="b">
        <v>0</v>
      </c>
      <c r="O73" t="b">
        <v>0</v>
      </c>
      <c r="P73" t="b">
        <v>0</v>
      </c>
      <c r="Q73">
        <f t="shared" si="125"/>
        <v>6</v>
      </c>
      <c r="R73">
        <f t="shared" si="126"/>
        <v>12</v>
      </c>
      <c r="S73" t="e">
        <f t="shared" ca="1" si="156"/>
        <v>#NAME?</v>
      </c>
      <c r="T73" t="e">
        <f t="shared" ca="1" si="127"/>
        <v>#NAME?</v>
      </c>
      <c r="U73" s="4">
        <f t="shared" si="128"/>
        <v>264.86642361111444</v>
      </c>
      <c r="V73" s="4">
        <f t="shared" si="129"/>
        <v>8.8288807870371482</v>
      </c>
      <c r="W73" s="4">
        <f t="shared" si="130"/>
        <v>1</v>
      </c>
      <c r="X73" s="4">
        <f t="shared" si="131"/>
        <v>0</v>
      </c>
      <c r="Y73" s="4">
        <f t="shared" si="132"/>
        <v>0</v>
      </c>
      <c r="Z73" s="4">
        <f t="shared" si="133"/>
        <v>0</v>
      </c>
      <c r="AA73" s="4">
        <f t="shared" si="134"/>
        <v>0</v>
      </c>
      <c r="AB73" s="4">
        <f t="shared" si="135"/>
        <v>0</v>
      </c>
      <c r="AC73" s="4"/>
      <c r="AD73" s="4" t="b">
        <f t="shared" si="136"/>
        <v>0</v>
      </c>
      <c r="AE73" s="4" t="b">
        <f t="shared" si="137"/>
        <v>0</v>
      </c>
      <c r="AF73" s="4" t="b">
        <f t="shared" si="138"/>
        <v>0</v>
      </c>
      <c r="AG73" t="b">
        <f t="shared" si="139"/>
        <v>0</v>
      </c>
      <c r="AH73" t="b">
        <f t="shared" si="140"/>
        <v>0</v>
      </c>
      <c r="AI73" t="b">
        <f t="shared" si="141"/>
        <v>0</v>
      </c>
      <c r="AJ73" t="b">
        <f t="shared" si="142"/>
        <v>0</v>
      </c>
      <c r="AK73" t="b">
        <f t="shared" si="143"/>
        <v>0</v>
      </c>
      <c r="AL73" t="b">
        <f t="shared" si="144"/>
        <v>0</v>
      </c>
      <c r="AM73" t="b">
        <f t="shared" si="145"/>
        <v>0</v>
      </c>
      <c r="AN73" t="b">
        <f t="shared" si="146"/>
        <v>0</v>
      </c>
      <c r="AO73" t="b">
        <f t="shared" si="147"/>
        <v>0</v>
      </c>
      <c r="AP73" t="b">
        <f t="shared" si="148"/>
        <v>0</v>
      </c>
      <c r="AQ73" t="b">
        <f t="shared" si="149"/>
        <v>0</v>
      </c>
      <c r="AR73" t="b">
        <f t="shared" si="150"/>
        <v>0</v>
      </c>
      <c r="AS73" t="b">
        <f t="shared" si="151"/>
        <v>0</v>
      </c>
      <c r="AT73" t="b">
        <f t="shared" si="152"/>
        <v>0</v>
      </c>
      <c r="AU73" t="b">
        <f t="shared" si="153"/>
        <v>0</v>
      </c>
      <c r="AV73" t="b">
        <f t="shared" si="154"/>
        <v>0</v>
      </c>
      <c r="AW73" t="b">
        <f t="shared" si="155"/>
        <v>0</v>
      </c>
      <c r="AX73" t="b">
        <f t="shared" si="157"/>
        <v>0</v>
      </c>
      <c r="AY73" t="b">
        <f t="shared" si="158"/>
        <v>0</v>
      </c>
      <c r="AZ73" t="b">
        <f t="shared" si="159"/>
        <v>0</v>
      </c>
      <c r="BA73" t="b">
        <f t="shared" si="160"/>
        <v>0</v>
      </c>
      <c r="BB73" t="b">
        <f t="shared" si="161"/>
        <v>0</v>
      </c>
      <c r="BC73" t="b">
        <f t="shared" si="162"/>
        <v>0</v>
      </c>
      <c r="BD73" t="b">
        <f t="shared" si="163"/>
        <v>0</v>
      </c>
      <c r="BE73" t="b">
        <f t="shared" si="164"/>
        <v>0</v>
      </c>
      <c r="BF73" t="b">
        <f t="shared" si="165"/>
        <v>0</v>
      </c>
      <c r="BG73" t="b">
        <f t="shared" si="166"/>
        <v>0</v>
      </c>
      <c r="BH73" t="b">
        <f t="shared" si="167"/>
        <v>0</v>
      </c>
      <c r="BI73">
        <f t="shared" si="168"/>
        <v>1</v>
      </c>
      <c r="BJ73" t="b">
        <f t="shared" si="169"/>
        <v>0</v>
      </c>
      <c r="BK73" t="b">
        <f t="shared" si="170"/>
        <v>0</v>
      </c>
      <c r="BL73" t="b">
        <f t="shared" si="171"/>
        <v>0</v>
      </c>
      <c r="BM73" t="b">
        <f t="shared" si="172"/>
        <v>0</v>
      </c>
      <c r="BN73" t="b">
        <f t="shared" si="173"/>
        <v>0</v>
      </c>
      <c r="BO73" t="b">
        <f t="shared" si="174"/>
        <v>0</v>
      </c>
      <c r="BP73" t="b">
        <f t="shared" si="175"/>
        <v>0</v>
      </c>
      <c r="BQ73" t="b">
        <f t="shared" si="176"/>
        <v>0</v>
      </c>
      <c r="BR73" t="b">
        <f t="shared" si="177"/>
        <v>0</v>
      </c>
      <c r="BS73" t="b">
        <f t="shared" si="178"/>
        <v>0</v>
      </c>
      <c r="BT73" t="b">
        <f t="shared" si="179"/>
        <v>0</v>
      </c>
      <c r="BU73" t="b">
        <f t="shared" si="180"/>
        <v>0</v>
      </c>
      <c r="BV73" t="b">
        <f t="shared" si="181"/>
        <v>0</v>
      </c>
      <c r="BW73" t="b">
        <f t="shared" si="182"/>
        <v>0</v>
      </c>
      <c r="BX73" t="b">
        <f t="shared" si="183"/>
        <v>0</v>
      </c>
      <c r="BY73" t="b">
        <f t="shared" si="184"/>
        <v>0</v>
      </c>
      <c r="BZ73" t="b">
        <f t="shared" si="185"/>
        <v>0</v>
      </c>
      <c r="CA73" t="b">
        <f t="shared" si="186"/>
        <v>0</v>
      </c>
      <c r="CB73" t="b">
        <f t="shared" si="187"/>
        <v>0</v>
      </c>
      <c r="CC73" t="b">
        <f t="shared" si="188"/>
        <v>0</v>
      </c>
      <c r="CD73" t="b">
        <f t="shared" si="189"/>
        <v>0</v>
      </c>
      <c r="CE73" t="b">
        <f t="shared" si="190"/>
        <v>0</v>
      </c>
      <c r="CF73" t="b">
        <f t="shared" si="191"/>
        <v>0</v>
      </c>
      <c r="CG73" t="b">
        <f t="shared" si="192"/>
        <v>0</v>
      </c>
      <c r="CH73" t="b">
        <f t="shared" si="193"/>
        <v>0</v>
      </c>
      <c r="CI73" t="b">
        <f t="shared" si="194"/>
        <v>0</v>
      </c>
      <c r="CJ73" t="b">
        <f t="shared" si="195"/>
        <v>0</v>
      </c>
      <c r="CK73" t="b">
        <f t="shared" si="196"/>
        <v>0</v>
      </c>
      <c r="CL73" t="b">
        <f t="shared" si="197"/>
        <v>0</v>
      </c>
      <c r="CM73" t="b">
        <f t="shared" si="198"/>
        <v>0</v>
      </c>
      <c r="CN73" t="b">
        <f t="shared" si="199"/>
        <v>0</v>
      </c>
      <c r="CO73" t="b">
        <f t="shared" si="200"/>
        <v>0</v>
      </c>
      <c r="CP73" t="b">
        <f t="shared" si="201"/>
        <v>0</v>
      </c>
      <c r="CQ73" t="b">
        <f t="shared" si="202"/>
        <v>0</v>
      </c>
      <c r="CR73" t="b">
        <f t="shared" si="203"/>
        <v>0</v>
      </c>
      <c r="CS73" t="b">
        <f t="shared" si="204"/>
        <v>0</v>
      </c>
      <c r="CT73" t="b">
        <f t="shared" si="205"/>
        <v>0</v>
      </c>
      <c r="CU73" t="b">
        <f t="shared" si="206"/>
        <v>0</v>
      </c>
      <c r="CV73">
        <f t="shared" si="207"/>
        <v>1</v>
      </c>
      <c r="CW73" t="b">
        <f t="shared" si="208"/>
        <v>0</v>
      </c>
      <c r="CX73" t="b">
        <f t="shared" si="209"/>
        <v>0</v>
      </c>
      <c r="CY73" t="b">
        <f t="shared" si="210"/>
        <v>0</v>
      </c>
      <c r="CZ73" t="b">
        <f t="shared" si="211"/>
        <v>0</v>
      </c>
      <c r="DA73" t="b">
        <f t="shared" si="212"/>
        <v>0</v>
      </c>
      <c r="DB73" t="b">
        <f t="shared" si="213"/>
        <v>0</v>
      </c>
      <c r="DC73" t="b">
        <f t="shared" si="214"/>
        <v>0</v>
      </c>
      <c r="DD73" t="b">
        <f t="shared" si="215"/>
        <v>0</v>
      </c>
      <c r="DE73" t="b">
        <f t="shared" si="216"/>
        <v>0</v>
      </c>
      <c r="DF73" t="b">
        <f t="shared" si="217"/>
        <v>0</v>
      </c>
      <c r="DG73">
        <f t="shared" si="218"/>
        <v>1</v>
      </c>
      <c r="DH73" t="b">
        <f t="shared" si="219"/>
        <v>0</v>
      </c>
      <c r="DI73" t="b">
        <f t="shared" si="220"/>
        <v>0</v>
      </c>
      <c r="DJ73" t="b">
        <f t="shared" si="221"/>
        <v>0</v>
      </c>
      <c r="DK73" t="b">
        <f t="shared" si="222"/>
        <v>0</v>
      </c>
      <c r="DL73" t="b">
        <f t="shared" si="223"/>
        <v>0</v>
      </c>
      <c r="DM73" t="b">
        <f t="shared" si="224"/>
        <v>0</v>
      </c>
      <c r="DN73" t="b">
        <f t="shared" si="225"/>
        <v>0</v>
      </c>
      <c r="DO73" t="b">
        <f t="shared" si="226"/>
        <v>0</v>
      </c>
      <c r="DP73" t="b">
        <f t="shared" si="227"/>
        <v>0</v>
      </c>
      <c r="DQ73" t="b">
        <f t="shared" si="228"/>
        <v>0</v>
      </c>
      <c r="DR73" t="b">
        <f t="shared" si="229"/>
        <v>0</v>
      </c>
      <c r="DS73" t="b">
        <f t="shared" si="230"/>
        <v>0</v>
      </c>
      <c r="DT73" t="b">
        <f t="shared" si="231"/>
        <v>0</v>
      </c>
      <c r="DU73" t="b">
        <f t="shared" si="232"/>
        <v>0</v>
      </c>
      <c r="DV73" t="b">
        <f t="shared" si="233"/>
        <v>0</v>
      </c>
      <c r="DW73" t="b">
        <f t="shared" si="234"/>
        <v>0</v>
      </c>
      <c r="DX73" t="b">
        <f t="shared" si="235"/>
        <v>0</v>
      </c>
      <c r="DY73" t="b">
        <f t="shared" si="236"/>
        <v>0</v>
      </c>
      <c r="DZ73" t="b">
        <f t="shared" si="237"/>
        <v>0</v>
      </c>
      <c r="EA73" t="b">
        <f t="shared" si="238"/>
        <v>0</v>
      </c>
      <c r="EB73" t="b">
        <f t="shared" si="239"/>
        <v>0</v>
      </c>
      <c r="EC73" t="b">
        <f t="shared" si="240"/>
        <v>0</v>
      </c>
      <c r="ED73" t="b">
        <f t="shared" si="241"/>
        <v>0</v>
      </c>
      <c r="EE73" t="b">
        <f t="shared" si="242"/>
        <v>0</v>
      </c>
      <c r="EF73">
        <f t="shared" si="243"/>
        <v>1</v>
      </c>
      <c r="EG73" t="b">
        <f t="shared" si="244"/>
        <v>0</v>
      </c>
      <c r="EH73" t="b">
        <f t="shared" si="245"/>
        <v>0</v>
      </c>
      <c r="EI73" t="b">
        <f t="shared" si="246"/>
        <v>0</v>
      </c>
      <c r="EJ73" t="b">
        <f t="shared" si="247"/>
        <v>0</v>
      </c>
      <c r="EK73" t="b">
        <f t="shared" si="248"/>
        <v>0</v>
      </c>
    </row>
    <row r="74" spans="1:141">
      <c r="A74" t="s">
        <v>497</v>
      </c>
      <c r="B74" t="s">
        <v>498</v>
      </c>
      <c r="C74" t="s">
        <v>499</v>
      </c>
      <c r="D74" s="1">
        <v>41648</v>
      </c>
      <c r="E74" s="2">
        <v>41892.85429398148</v>
      </c>
      <c r="F74" s="2">
        <v>41892.85429398148</v>
      </c>
      <c r="G74">
        <v>4789599</v>
      </c>
      <c r="H74" t="s">
        <v>500</v>
      </c>
      <c r="I74" s="10" t="s">
        <v>501</v>
      </c>
      <c r="J74" t="s">
        <v>147</v>
      </c>
      <c r="K74" s="8" t="b">
        <v>1</v>
      </c>
      <c r="L74" s="10" t="b">
        <v>0</v>
      </c>
      <c r="M74" s="12" t="b">
        <v>0</v>
      </c>
      <c r="N74" t="b">
        <v>0</v>
      </c>
      <c r="O74" t="b">
        <v>0</v>
      </c>
      <c r="P74" t="b">
        <v>0</v>
      </c>
      <c r="Q74">
        <f t="shared" si="125"/>
        <v>5</v>
      </c>
      <c r="R74">
        <f t="shared" si="126"/>
        <v>1</v>
      </c>
      <c r="S74" t="e">
        <f t="shared" ca="1" si="156"/>
        <v>#NAME?</v>
      </c>
      <c r="T74" t="e">
        <f t="shared" ca="1" si="127"/>
        <v>#NAME?</v>
      </c>
      <c r="U74" s="4">
        <f t="shared" si="128"/>
        <v>244.85429398147971</v>
      </c>
      <c r="V74" s="4">
        <f t="shared" si="129"/>
        <v>8.1618097993826577</v>
      </c>
      <c r="W74" s="4">
        <f t="shared" si="130"/>
        <v>1</v>
      </c>
      <c r="X74" s="4">
        <f t="shared" si="131"/>
        <v>0</v>
      </c>
      <c r="Y74" s="4">
        <f t="shared" si="132"/>
        <v>0</v>
      </c>
      <c r="Z74" s="4">
        <f t="shared" si="133"/>
        <v>0</v>
      </c>
      <c r="AA74" s="4">
        <f t="shared" si="134"/>
        <v>0</v>
      </c>
      <c r="AB74" s="4">
        <f t="shared" si="135"/>
        <v>0</v>
      </c>
      <c r="AC74" s="4"/>
      <c r="AD74" s="4" t="b">
        <f t="shared" si="136"/>
        <v>0</v>
      </c>
      <c r="AE74" s="4" t="b">
        <f t="shared" si="137"/>
        <v>0</v>
      </c>
      <c r="AF74" s="4" t="b">
        <f t="shared" si="138"/>
        <v>0</v>
      </c>
      <c r="AG74" t="b">
        <f t="shared" si="139"/>
        <v>0</v>
      </c>
      <c r="AH74" t="b">
        <f t="shared" si="140"/>
        <v>0</v>
      </c>
      <c r="AI74" t="b">
        <f t="shared" si="141"/>
        <v>0</v>
      </c>
      <c r="AJ74" t="b">
        <f t="shared" si="142"/>
        <v>0</v>
      </c>
      <c r="AK74" t="b">
        <f t="shared" si="143"/>
        <v>0</v>
      </c>
      <c r="AL74" t="b">
        <f t="shared" si="144"/>
        <v>0</v>
      </c>
      <c r="AM74" t="b">
        <f t="shared" si="145"/>
        <v>0</v>
      </c>
      <c r="AN74" t="b">
        <f t="shared" si="146"/>
        <v>0</v>
      </c>
      <c r="AO74" t="b">
        <f t="shared" si="147"/>
        <v>0</v>
      </c>
      <c r="AP74" t="b">
        <f t="shared" si="148"/>
        <v>0</v>
      </c>
      <c r="AQ74" t="b">
        <f t="shared" si="149"/>
        <v>0</v>
      </c>
      <c r="AR74" t="b">
        <f t="shared" si="150"/>
        <v>0</v>
      </c>
      <c r="AS74" t="b">
        <f t="shared" si="151"/>
        <v>0</v>
      </c>
      <c r="AT74" t="b">
        <f t="shared" si="152"/>
        <v>0</v>
      </c>
      <c r="AU74" t="b">
        <f t="shared" si="153"/>
        <v>0</v>
      </c>
      <c r="AV74" t="b">
        <f t="shared" si="154"/>
        <v>0</v>
      </c>
      <c r="AW74" t="b">
        <f t="shared" si="155"/>
        <v>0</v>
      </c>
      <c r="AX74" t="b">
        <f t="shared" si="157"/>
        <v>0</v>
      </c>
      <c r="AY74" t="b">
        <f t="shared" si="158"/>
        <v>0</v>
      </c>
      <c r="AZ74" t="b">
        <f t="shared" si="159"/>
        <v>0</v>
      </c>
      <c r="BA74" t="b">
        <f t="shared" si="160"/>
        <v>0</v>
      </c>
      <c r="BB74" t="b">
        <f t="shared" si="161"/>
        <v>0</v>
      </c>
      <c r="BC74" t="b">
        <f t="shared" si="162"/>
        <v>0</v>
      </c>
      <c r="BD74" t="b">
        <f t="shared" si="163"/>
        <v>0</v>
      </c>
      <c r="BE74" t="b">
        <f t="shared" si="164"/>
        <v>0</v>
      </c>
      <c r="BF74" t="b">
        <f t="shared" si="165"/>
        <v>0</v>
      </c>
      <c r="BG74" t="b">
        <f t="shared" si="166"/>
        <v>0</v>
      </c>
      <c r="BH74" t="b">
        <f t="shared" si="167"/>
        <v>0</v>
      </c>
      <c r="BI74">
        <f t="shared" si="168"/>
        <v>1</v>
      </c>
      <c r="BJ74" t="b">
        <f t="shared" si="169"/>
        <v>0</v>
      </c>
      <c r="BK74" t="b">
        <f t="shared" si="170"/>
        <v>0</v>
      </c>
      <c r="BL74" t="b">
        <f t="shared" si="171"/>
        <v>0</v>
      </c>
      <c r="BM74" t="b">
        <f t="shared" si="172"/>
        <v>0</v>
      </c>
      <c r="BN74" t="b">
        <f t="shared" si="173"/>
        <v>0</v>
      </c>
      <c r="BO74" t="b">
        <f t="shared" si="174"/>
        <v>0</v>
      </c>
      <c r="BP74" t="b">
        <f t="shared" si="175"/>
        <v>0</v>
      </c>
      <c r="BQ74" t="b">
        <f t="shared" si="176"/>
        <v>0</v>
      </c>
      <c r="BR74" t="b">
        <f t="shared" si="177"/>
        <v>0</v>
      </c>
      <c r="BS74" t="b">
        <f t="shared" si="178"/>
        <v>0</v>
      </c>
      <c r="BT74" t="b">
        <f t="shared" si="179"/>
        <v>0</v>
      </c>
      <c r="BU74" t="b">
        <f t="shared" si="180"/>
        <v>0</v>
      </c>
      <c r="BV74" t="b">
        <f t="shared" si="181"/>
        <v>0</v>
      </c>
      <c r="BW74" t="b">
        <f t="shared" si="182"/>
        <v>0</v>
      </c>
      <c r="BX74" t="b">
        <f t="shared" si="183"/>
        <v>0</v>
      </c>
      <c r="BY74" t="b">
        <f t="shared" si="184"/>
        <v>0</v>
      </c>
      <c r="BZ74" t="b">
        <f t="shared" si="185"/>
        <v>0</v>
      </c>
      <c r="CA74" t="b">
        <f t="shared" si="186"/>
        <v>0</v>
      </c>
      <c r="CB74" t="b">
        <f t="shared" si="187"/>
        <v>0</v>
      </c>
      <c r="CC74" t="b">
        <f t="shared" si="188"/>
        <v>0</v>
      </c>
      <c r="CD74" t="b">
        <f t="shared" si="189"/>
        <v>0</v>
      </c>
      <c r="CE74" t="b">
        <f t="shared" si="190"/>
        <v>0</v>
      </c>
      <c r="CF74" t="b">
        <f t="shared" si="191"/>
        <v>0</v>
      </c>
      <c r="CG74" t="b">
        <f t="shared" si="192"/>
        <v>0</v>
      </c>
      <c r="CH74" t="b">
        <f t="shared" si="193"/>
        <v>0</v>
      </c>
      <c r="CI74" t="b">
        <f t="shared" si="194"/>
        <v>0</v>
      </c>
      <c r="CJ74" t="b">
        <f t="shared" si="195"/>
        <v>0</v>
      </c>
      <c r="CK74" t="b">
        <f t="shared" si="196"/>
        <v>0</v>
      </c>
      <c r="CL74" t="b">
        <f t="shared" si="197"/>
        <v>0</v>
      </c>
      <c r="CM74" t="b">
        <f t="shared" si="198"/>
        <v>0</v>
      </c>
      <c r="CN74" t="b">
        <f t="shared" si="199"/>
        <v>0</v>
      </c>
      <c r="CO74" t="b">
        <f t="shared" si="200"/>
        <v>0</v>
      </c>
      <c r="CP74" t="b">
        <f t="shared" si="201"/>
        <v>0</v>
      </c>
      <c r="CQ74" t="b">
        <f t="shared" si="202"/>
        <v>0</v>
      </c>
      <c r="CR74" t="b">
        <f t="shared" si="203"/>
        <v>0</v>
      </c>
      <c r="CS74" t="b">
        <f t="shared" si="204"/>
        <v>0</v>
      </c>
      <c r="CT74" t="b">
        <f t="shared" si="205"/>
        <v>0</v>
      </c>
      <c r="CU74" t="b">
        <f t="shared" si="206"/>
        <v>0</v>
      </c>
      <c r="CV74">
        <f t="shared" si="207"/>
        <v>1</v>
      </c>
      <c r="CW74" t="b">
        <f t="shared" si="208"/>
        <v>0</v>
      </c>
      <c r="CX74" t="b">
        <f t="shared" si="209"/>
        <v>0</v>
      </c>
      <c r="CY74" t="b">
        <f t="shared" si="210"/>
        <v>0</v>
      </c>
      <c r="CZ74" t="b">
        <f t="shared" si="211"/>
        <v>0</v>
      </c>
      <c r="DA74" t="b">
        <f t="shared" si="212"/>
        <v>0</v>
      </c>
      <c r="DB74" t="b">
        <f t="shared" si="213"/>
        <v>0</v>
      </c>
      <c r="DC74" t="b">
        <f t="shared" si="214"/>
        <v>0</v>
      </c>
      <c r="DD74" t="b">
        <f t="shared" si="215"/>
        <v>0</v>
      </c>
      <c r="DE74" t="b">
        <f t="shared" si="216"/>
        <v>0</v>
      </c>
      <c r="DF74" t="b">
        <f t="shared" si="217"/>
        <v>0</v>
      </c>
      <c r="DG74" t="b">
        <f t="shared" si="218"/>
        <v>0</v>
      </c>
      <c r="DH74" t="b">
        <f t="shared" si="219"/>
        <v>0</v>
      </c>
      <c r="DI74" t="b">
        <f t="shared" si="220"/>
        <v>0</v>
      </c>
      <c r="DJ74" t="b">
        <f t="shared" si="221"/>
        <v>0</v>
      </c>
      <c r="DK74" t="b">
        <f t="shared" si="222"/>
        <v>0</v>
      </c>
      <c r="DL74" t="b">
        <f t="shared" si="223"/>
        <v>0</v>
      </c>
      <c r="DM74" t="b">
        <f t="shared" si="224"/>
        <v>0</v>
      </c>
      <c r="DN74" t="b">
        <f t="shared" si="225"/>
        <v>0</v>
      </c>
      <c r="DO74" t="b">
        <f t="shared" si="226"/>
        <v>0</v>
      </c>
      <c r="DP74" t="b">
        <f t="shared" si="227"/>
        <v>0</v>
      </c>
      <c r="DQ74" t="b">
        <f t="shared" si="228"/>
        <v>0</v>
      </c>
      <c r="DR74" t="b">
        <f t="shared" si="229"/>
        <v>0</v>
      </c>
      <c r="DS74" t="b">
        <f t="shared" si="230"/>
        <v>0</v>
      </c>
      <c r="DT74" t="b">
        <f t="shared" si="231"/>
        <v>0</v>
      </c>
      <c r="DU74" t="b">
        <f t="shared" si="232"/>
        <v>0</v>
      </c>
      <c r="DV74" t="b">
        <f t="shared" si="233"/>
        <v>0</v>
      </c>
      <c r="DW74" t="b">
        <f t="shared" si="234"/>
        <v>0</v>
      </c>
      <c r="DX74" t="b">
        <f t="shared" si="235"/>
        <v>0</v>
      </c>
      <c r="DY74" t="b">
        <f t="shared" si="236"/>
        <v>0</v>
      </c>
      <c r="DZ74" t="b">
        <f t="shared" si="237"/>
        <v>0</v>
      </c>
      <c r="EA74" t="b">
        <f t="shared" si="238"/>
        <v>0</v>
      </c>
      <c r="EB74" t="b">
        <f t="shared" si="239"/>
        <v>0</v>
      </c>
      <c r="EC74" t="b">
        <f t="shared" si="240"/>
        <v>0</v>
      </c>
      <c r="ED74" t="b">
        <f t="shared" si="241"/>
        <v>0</v>
      </c>
      <c r="EE74" t="b">
        <f t="shared" si="242"/>
        <v>0</v>
      </c>
      <c r="EF74" t="b">
        <f t="shared" si="243"/>
        <v>0</v>
      </c>
      <c r="EG74" t="b">
        <f t="shared" si="244"/>
        <v>0</v>
      </c>
      <c r="EH74" t="b">
        <f t="shared" si="245"/>
        <v>0</v>
      </c>
      <c r="EI74" t="b">
        <f t="shared" si="246"/>
        <v>0</v>
      </c>
      <c r="EJ74" t="b">
        <f t="shared" si="247"/>
        <v>0</v>
      </c>
      <c r="EK74" t="b">
        <f t="shared" si="248"/>
        <v>0</v>
      </c>
    </row>
    <row r="75" spans="1:141">
      <c r="A75" t="s">
        <v>502</v>
      </c>
      <c r="B75" t="s">
        <v>503</v>
      </c>
      <c r="C75" t="s">
        <v>504</v>
      </c>
      <c r="D75" s="1">
        <v>42146</v>
      </c>
      <c r="E75" s="2">
        <v>42821.990057870367</v>
      </c>
      <c r="F75" s="2">
        <v>42821.990057870367</v>
      </c>
      <c r="G75">
        <v>501407</v>
      </c>
      <c r="H75" t="s">
        <v>505</v>
      </c>
      <c r="I75" s="10" t="s">
        <v>506</v>
      </c>
      <c r="J75" t="s">
        <v>507</v>
      </c>
      <c r="K75" s="8" t="b">
        <v>1</v>
      </c>
      <c r="L75" s="10" t="b">
        <v>0</v>
      </c>
      <c r="M75" s="12" t="b">
        <v>0</v>
      </c>
      <c r="N75" t="b">
        <v>0</v>
      </c>
      <c r="O75" t="b">
        <v>0</v>
      </c>
      <c r="P75" t="b">
        <v>0</v>
      </c>
      <c r="Q75">
        <f t="shared" si="125"/>
        <v>6</v>
      </c>
      <c r="R75">
        <f t="shared" si="126"/>
        <v>5</v>
      </c>
      <c r="S75" t="e">
        <f t="shared" ca="1" si="156"/>
        <v>#NAME?</v>
      </c>
      <c r="T75" t="e">
        <f t="shared" ca="1" si="127"/>
        <v>#NAME?</v>
      </c>
      <c r="U75" s="4">
        <f t="shared" si="128"/>
        <v>675.99005787036731</v>
      </c>
      <c r="V75" s="4">
        <f t="shared" si="129"/>
        <v>22.533001929012244</v>
      </c>
      <c r="W75" s="4">
        <f t="shared" si="130"/>
        <v>1</v>
      </c>
      <c r="X75" s="4">
        <f t="shared" si="131"/>
        <v>0</v>
      </c>
      <c r="Y75" s="4">
        <f t="shared" si="132"/>
        <v>0</v>
      </c>
      <c r="Z75" s="4">
        <f t="shared" si="133"/>
        <v>0</v>
      </c>
      <c r="AA75" s="4">
        <f t="shared" si="134"/>
        <v>0</v>
      </c>
      <c r="AB75" s="4">
        <f t="shared" si="135"/>
        <v>0</v>
      </c>
      <c r="AC75" s="4"/>
      <c r="AD75" s="4" t="b">
        <f t="shared" si="136"/>
        <v>0</v>
      </c>
      <c r="AE75" s="4" t="b">
        <f t="shared" si="137"/>
        <v>0</v>
      </c>
      <c r="AF75" s="4" t="b">
        <f t="shared" si="138"/>
        <v>0</v>
      </c>
      <c r="AG75" t="b">
        <f t="shared" si="139"/>
        <v>0</v>
      </c>
      <c r="AH75" t="b">
        <f t="shared" si="140"/>
        <v>0</v>
      </c>
      <c r="AI75" t="b">
        <f t="shared" si="141"/>
        <v>0</v>
      </c>
      <c r="AJ75" t="b">
        <f t="shared" si="142"/>
        <v>0</v>
      </c>
      <c r="AK75" t="b">
        <f t="shared" si="143"/>
        <v>0</v>
      </c>
      <c r="AL75" t="b">
        <f t="shared" si="144"/>
        <v>0</v>
      </c>
      <c r="AM75" t="b">
        <f t="shared" si="145"/>
        <v>0</v>
      </c>
      <c r="AN75" t="b">
        <f t="shared" si="146"/>
        <v>0</v>
      </c>
      <c r="AO75" t="b">
        <f t="shared" si="147"/>
        <v>0</v>
      </c>
      <c r="AP75" t="b">
        <f t="shared" si="148"/>
        <v>0</v>
      </c>
      <c r="AQ75" t="b">
        <f t="shared" si="149"/>
        <v>0</v>
      </c>
      <c r="AR75" t="b">
        <f t="shared" si="150"/>
        <v>0</v>
      </c>
      <c r="AS75" t="b">
        <f t="shared" si="151"/>
        <v>0</v>
      </c>
      <c r="AT75" t="b">
        <f t="shared" si="152"/>
        <v>0</v>
      </c>
      <c r="AU75" t="b">
        <f t="shared" si="153"/>
        <v>0</v>
      </c>
      <c r="AV75" t="b">
        <f t="shared" si="154"/>
        <v>0</v>
      </c>
      <c r="AW75" t="b">
        <f t="shared" si="155"/>
        <v>0</v>
      </c>
      <c r="AX75" t="b">
        <f t="shared" si="157"/>
        <v>0</v>
      </c>
      <c r="AY75" t="b">
        <f t="shared" si="158"/>
        <v>0</v>
      </c>
      <c r="AZ75">
        <f t="shared" si="159"/>
        <v>1</v>
      </c>
      <c r="BA75" t="b">
        <f t="shared" si="160"/>
        <v>0</v>
      </c>
      <c r="BB75" t="b">
        <f t="shared" si="161"/>
        <v>0</v>
      </c>
      <c r="BC75" t="b">
        <f t="shared" si="162"/>
        <v>0</v>
      </c>
      <c r="BD75" t="b">
        <f t="shared" si="163"/>
        <v>0</v>
      </c>
      <c r="BE75" t="b">
        <f t="shared" si="164"/>
        <v>0</v>
      </c>
      <c r="BF75" t="b">
        <f t="shared" si="165"/>
        <v>0</v>
      </c>
      <c r="BG75" t="b">
        <f t="shared" si="166"/>
        <v>0</v>
      </c>
      <c r="BH75" t="b">
        <f t="shared" si="167"/>
        <v>0</v>
      </c>
      <c r="BI75">
        <f t="shared" si="168"/>
        <v>1</v>
      </c>
      <c r="BJ75" t="b">
        <f t="shared" si="169"/>
        <v>0</v>
      </c>
      <c r="BK75" t="b">
        <f t="shared" si="170"/>
        <v>0</v>
      </c>
      <c r="BL75" t="b">
        <f t="shared" si="171"/>
        <v>0</v>
      </c>
      <c r="BM75" t="b">
        <f t="shared" si="172"/>
        <v>0</v>
      </c>
      <c r="BN75" t="b">
        <f t="shared" si="173"/>
        <v>0</v>
      </c>
      <c r="BO75" t="b">
        <f t="shared" si="174"/>
        <v>0</v>
      </c>
      <c r="BP75" t="b">
        <f t="shared" si="175"/>
        <v>0</v>
      </c>
      <c r="BQ75" t="b">
        <f t="shared" si="176"/>
        <v>0</v>
      </c>
      <c r="BR75">
        <f t="shared" si="177"/>
        <v>1</v>
      </c>
      <c r="BS75" t="b">
        <f t="shared" si="178"/>
        <v>0</v>
      </c>
      <c r="BT75" t="b">
        <f t="shared" si="179"/>
        <v>0</v>
      </c>
      <c r="BU75" t="b">
        <f t="shared" si="180"/>
        <v>0</v>
      </c>
      <c r="BV75" t="b">
        <f t="shared" si="181"/>
        <v>0</v>
      </c>
      <c r="BW75" t="b">
        <f t="shared" si="182"/>
        <v>0</v>
      </c>
      <c r="BX75" t="b">
        <f t="shared" si="183"/>
        <v>0</v>
      </c>
      <c r="BY75" t="b">
        <f t="shared" si="184"/>
        <v>0</v>
      </c>
      <c r="BZ75" t="b">
        <f t="shared" si="185"/>
        <v>0</v>
      </c>
      <c r="CA75" t="b">
        <f t="shared" si="186"/>
        <v>0</v>
      </c>
      <c r="CB75" t="b">
        <f t="shared" si="187"/>
        <v>0</v>
      </c>
      <c r="CC75" t="b">
        <f t="shared" si="188"/>
        <v>0</v>
      </c>
      <c r="CD75" t="b">
        <f t="shared" si="189"/>
        <v>0</v>
      </c>
      <c r="CE75">
        <f t="shared" si="190"/>
        <v>1</v>
      </c>
      <c r="CF75" t="b">
        <f t="shared" si="191"/>
        <v>0</v>
      </c>
      <c r="CG75" t="b">
        <f t="shared" si="192"/>
        <v>0</v>
      </c>
      <c r="CH75" t="b">
        <f t="shared" si="193"/>
        <v>0</v>
      </c>
      <c r="CI75" t="b">
        <f t="shared" si="194"/>
        <v>0</v>
      </c>
      <c r="CJ75" t="b">
        <f t="shared" si="195"/>
        <v>0</v>
      </c>
      <c r="CK75" t="b">
        <f t="shared" si="196"/>
        <v>0</v>
      </c>
      <c r="CL75" t="b">
        <f t="shared" si="197"/>
        <v>0</v>
      </c>
      <c r="CM75" t="b">
        <f t="shared" si="198"/>
        <v>0</v>
      </c>
      <c r="CN75" t="b">
        <f t="shared" si="199"/>
        <v>0</v>
      </c>
      <c r="CO75" t="b">
        <f t="shared" si="200"/>
        <v>0</v>
      </c>
      <c r="CP75" t="b">
        <f t="shared" si="201"/>
        <v>0</v>
      </c>
      <c r="CQ75" t="b">
        <f t="shared" si="202"/>
        <v>0</v>
      </c>
      <c r="CR75" t="b">
        <f t="shared" si="203"/>
        <v>0</v>
      </c>
      <c r="CS75" t="b">
        <f t="shared" si="204"/>
        <v>0</v>
      </c>
      <c r="CT75" t="b">
        <f t="shared" si="205"/>
        <v>0</v>
      </c>
      <c r="CU75" t="b">
        <f t="shared" si="206"/>
        <v>0</v>
      </c>
      <c r="CV75">
        <f t="shared" si="207"/>
        <v>1</v>
      </c>
      <c r="CW75" t="b">
        <f t="shared" si="208"/>
        <v>0</v>
      </c>
      <c r="CX75" t="b">
        <f t="shared" si="209"/>
        <v>0</v>
      </c>
      <c r="CY75" t="b">
        <f t="shared" si="210"/>
        <v>0</v>
      </c>
      <c r="CZ75" t="b">
        <f t="shared" si="211"/>
        <v>0</v>
      </c>
      <c r="DA75" t="b">
        <f t="shared" si="212"/>
        <v>0</v>
      </c>
      <c r="DB75" t="b">
        <f t="shared" si="213"/>
        <v>0</v>
      </c>
      <c r="DC75" t="b">
        <f t="shared" si="214"/>
        <v>0</v>
      </c>
      <c r="DD75" t="b">
        <f t="shared" si="215"/>
        <v>0</v>
      </c>
      <c r="DE75" t="b">
        <f t="shared" si="216"/>
        <v>0</v>
      </c>
      <c r="DF75" t="b">
        <f t="shared" si="217"/>
        <v>0</v>
      </c>
      <c r="DG75" t="b">
        <f t="shared" si="218"/>
        <v>0</v>
      </c>
      <c r="DH75" t="b">
        <f t="shared" si="219"/>
        <v>0</v>
      </c>
      <c r="DI75" t="b">
        <f t="shared" si="220"/>
        <v>0</v>
      </c>
      <c r="DJ75" t="b">
        <f t="shared" si="221"/>
        <v>0</v>
      </c>
      <c r="DK75" t="b">
        <f t="shared" si="222"/>
        <v>0</v>
      </c>
      <c r="DL75" t="b">
        <f t="shared" si="223"/>
        <v>0</v>
      </c>
      <c r="DM75" t="b">
        <f t="shared" si="224"/>
        <v>0</v>
      </c>
      <c r="DN75" t="b">
        <f t="shared" si="225"/>
        <v>0</v>
      </c>
      <c r="DO75" t="b">
        <f t="shared" si="226"/>
        <v>0</v>
      </c>
      <c r="DP75" t="b">
        <f t="shared" si="227"/>
        <v>0</v>
      </c>
      <c r="DQ75" t="b">
        <f t="shared" si="228"/>
        <v>0</v>
      </c>
      <c r="DR75" t="b">
        <f t="shared" si="229"/>
        <v>0</v>
      </c>
      <c r="DS75">
        <f t="shared" si="230"/>
        <v>1</v>
      </c>
      <c r="DT75" t="b">
        <f t="shared" si="231"/>
        <v>0</v>
      </c>
      <c r="DU75" t="b">
        <f t="shared" si="232"/>
        <v>0</v>
      </c>
      <c r="DV75" t="b">
        <f t="shared" si="233"/>
        <v>0</v>
      </c>
      <c r="DW75" t="b">
        <f t="shared" si="234"/>
        <v>0</v>
      </c>
      <c r="DX75" t="b">
        <f t="shared" si="235"/>
        <v>0</v>
      </c>
      <c r="DY75" t="b">
        <f t="shared" si="236"/>
        <v>0</v>
      </c>
      <c r="DZ75" t="b">
        <f t="shared" si="237"/>
        <v>0</v>
      </c>
      <c r="EA75" t="b">
        <f t="shared" si="238"/>
        <v>0</v>
      </c>
      <c r="EB75" t="b">
        <f t="shared" si="239"/>
        <v>0</v>
      </c>
      <c r="EC75" t="b">
        <f t="shared" si="240"/>
        <v>0</v>
      </c>
      <c r="ED75" t="b">
        <f t="shared" si="241"/>
        <v>0</v>
      </c>
      <c r="EE75" t="b">
        <f t="shared" si="242"/>
        <v>0</v>
      </c>
      <c r="EF75">
        <f t="shared" si="243"/>
        <v>1</v>
      </c>
      <c r="EG75" t="b">
        <f t="shared" si="244"/>
        <v>0</v>
      </c>
      <c r="EH75" t="b">
        <f t="shared" si="245"/>
        <v>0</v>
      </c>
      <c r="EI75">
        <f t="shared" si="246"/>
        <v>1</v>
      </c>
      <c r="EJ75" t="b">
        <f t="shared" si="247"/>
        <v>0</v>
      </c>
      <c r="EK75" t="b">
        <f t="shared" si="248"/>
        <v>0</v>
      </c>
    </row>
    <row r="76" spans="1:141">
      <c r="A76" t="s">
        <v>508</v>
      </c>
      <c r="B76" t="s">
        <v>508</v>
      </c>
      <c r="C76" t="s">
        <v>509</v>
      </c>
      <c r="D76" s="1">
        <v>41767</v>
      </c>
      <c r="E76" s="2">
        <v>43014.272106481483</v>
      </c>
      <c r="F76" s="2">
        <v>43014.336921296293</v>
      </c>
      <c r="G76">
        <v>9313136</v>
      </c>
      <c r="H76" t="s">
        <v>510</v>
      </c>
      <c r="I76" s="10" t="s">
        <v>511</v>
      </c>
      <c r="J76" t="s">
        <v>156</v>
      </c>
      <c r="K76" s="8" t="b">
        <v>1</v>
      </c>
      <c r="L76" s="10" t="b">
        <v>0</v>
      </c>
      <c r="M76" s="12" t="b">
        <v>0</v>
      </c>
      <c r="N76" t="b">
        <v>0</v>
      </c>
      <c r="O76" t="b">
        <v>0</v>
      </c>
      <c r="P76" t="b">
        <v>0</v>
      </c>
      <c r="Q76">
        <f t="shared" si="125"/>
        <v>5</v>
      </c>
      <c r="R76">
        <f t="shared" si="126"/>
        <v>5</v>
      </c>
      <c r="S76" t="e">
        <f t="shared" ca="1" si="156"/>
        <v>#NAME?</v>
      </c>
      <c r="T76" t="e">
        <f t="shared" ca="1" si="127"/>
        <v>#NAME?</v>
      </c>
      <c r="U76" s="4">
        <f t="shared" si="128"/>
        <v>1247.2721064814832</v>
      </c>
      <c r="V76" s="4">
        <f t="shared" si="129"/>
        <v>41.575736882716107</v>
      </c>
      <c r="W76" s="4">
        <f t="shared" si="130"/>
        <v>1</v>
      </c>
      <c r="X76" s="4">
        <f t="shared" si="131"/>
        <v>0</v>
      </c>
      <c r="Y76" s="4">
        <f t="shared" si="132"/>
        <v>0</v>
      </c>
      <c r="Z76" s="4">
        <f t="shared" si="133"/>
        <v>0</v>
      </c>
      <c r="AA76" s="4">
        <f t="shared" si="134"/>
        <v>0</v>
      </c>
      <c r="AB76" s="4">
        <f t="shared" si="135"/>
        <v>0</v>
      </c>
      <c r="AC76" s="4"/>
      <c r="AD76" s="4" t="b">
        <f t="shared" si="136"/>
        <v>0</v>
      </c>
      <c r="AE76" s="4" t="b">
        <f t="shared" si="137"/>
        <v>0</v>
      </c>
      <c r="AF76" s="4" t="b">
        <f t="shared" si="138"/>
        <v>0</v>
      </c>
      <c r="AG76" t="b">
        <f t="shared" si="139"/>
        <v>0</v>
      </c>
      <c r="AH76" t="b">
        <f t="shared" si="140"/>
        <v>0</v>
      </c>
      <c r="AI76" t="b">
        <f t="shared" si="141"/>
        <v>0</v>
      </c>
      <c r="AJ76" t="b">
        <f t="shared" si="142"/>
        <v>0</v>
      </c>
      <c r="AK76" t="b">
        <f t="shared" si="143"/>
        <v>0</v>
      </c>
      <c r="AL76" t="b">
        <f t="shared" si="144"/>
        <v>0</v>
      </c>
      <c r="AM76" t="b">
        <f t="shared" si="145"/>
        <v>0</v>
      </c>
      <c r="AN76" t="b">
        <f t="shared" si="146"/>
        <v>0</v>
      </c>
      <c r="AO76" t="b">
        <f t="shared" si="147"/>
        <v>0</v>
      </c>
      <c r="AP76" t="b">
        <f t="shared" si="148"/>
        <v>0</v>
      </c>
      <c r="AQ76" t="b">
        <f t="shared" si="149"/>
        <v>0</v>
      </c>
      <c r="AR76" t="b">
        <f t="shared" si="150"/>
        <v>0</v>
      </c>
      <c r="AS76" t="b">
        <f t="shared" si="151"/>
        <v>0</v>
      </c>
      <c r="AT76" t="b">
        <f t="shared" si="152"/>
        <v>0</v>
      </c>
      <c r="AU76" t="b">
        <f t="shared" si="153"/>
        <v>0</v>
      </c>
      <c r="AV76" t="b">
        <f t="shared" si="154"/>
        <v>0</v>
      </c>
      <c r="AW76" t="b">
        <f t="shared" si="155"/>
        <v>0</v>
      </c>
      <c r="AX76" t="b">
        <f t="shared" si="157"/>
        <v>0</v>
      </c>
      <c r="AY76" t="b">
        <f t="shared" si="158"/>
        <v>0</v>
      </c>
      <c r="AZ76" t="b">
        <f t="shared" si="159"/>
        <v>0</v>
      </c>
      <c r="BA76" t="b">
        <f t="shared" si="160"/>
        <v>0</v>
      </c>
      <c r="BB76" t="b">
        <f t="shared" si="161"/>
        <v>0</v>
      </c>
      <c r="BC76" t="b">
        <f t="shared" si="162"/>
        <v>0</v>
      </c>
      <c r="BD76" t="b">
        <f t="shared" si="163"/>
        <v>0</v>
      </c>
      <c r="BE76" t="b">
        <f t="shared" si="164"/>
        <v>0</v>
      </c>
      <c r="BF76" t="b">
        <f t="shared" si="165"/>
        <v>0</v>
      </c>
      <c r="BG76" t="b">
        <f t="shared" si="166"/>
        <v>0</v>
      </c>
      <c r="BH76" t="b">
        <f t="shared" si="167"/>
        <v>0</v>
      </c>
      <c r="BI76">
        <f t="shared" si="168"/>
        <v>1</v>
      </c>
      <c r="BJ76" t="b">
        <f t="shared" si="169"/>
        <v>0</v>
      </c>
      <c r="BK76" t="b">
        <f t="shared" si="170"/>
        <v>0</v>
      </c>
      <c r="BL76" t="b">
        <f t="shared" si="171"/>
        <v>0</v>
      </c>
      <c r="BM76" t="b">
        <f t="shared" si="172"/>
        <v>0</v>
      </c>
      <c r="BN76" t="b">
        <f t="shared" si="173"/>
        <v>0</v>
      </c>
      <c r="BO76" t="b">
        <f t="shared" si="174"/>
        <v>0</v>
      </c>
      <c r="BP76" t="b">
        <f t="shared" si="175"/>
        <v>0</v>
      </c>
      <c r="BQ76" t="b">
        <f t="shared" si="176"/>
        <v>0</v>
      </c>
      <c r="BR76" t="b">
        <f t="shared" si="177"/>
        <v>0</v>
      </c>
      <c r="BS76" t="b">
        <f t="shared" si="178"/>
        <v>0</v>
      </c>
      <c r="BT76" t="b">
        <f t="shared" si="179"/>
        <v>0</v>
      </c>
      <c r="BU76" t="b">
        <f t="shared" si="180"/>
        <v>0</v>
      </c>
      <c r="BV76" t="b">
        <f t="shared" si="181"/>
        <v>0</v>
      </c>
      <c r="BW76" t="b">
        <f t="shared" si="182"/>
        <v>0</v>
      </c>
      <c r="BX76" t="b">
        <f t="shared" si="183"/>
        <v>0</v>
      </c>
      <c r="BY76" t="b">
        <f t="shared" si="184"/>
        <v>0</v>
      </c>
      <c r="BZ76" t="b">
        <f t="shared" si="185"/>
        <v>0</v>
      </c>
      <c r="CA76" t="b">
        <f t="shared" si="186"/>
        <v>0</v>
      </c>
      <c r="CB76" t="b">
        <f t="shared" si="187"/>
        <v>0</v>
      </c>
      <c r="CC76" t="b">
        <f t="shared" si="188"/>
        <v>0</v>
      </c>
      <c r="CD76" t="b">
        <f t="shared" si="189"/>
        <v>0</v>
      </c>
      <c r="CE76" t="b">
        <f t="shared" si="190"/>
        <v>0</v>
      </c>
      <c r="CF76" t="b">
        <f t="shared" si="191"/>
        <v>0</v>
      </c>
      <c r="CG76" t="b">
        <f t="shared" si="192"/>
        <v>0</v>
      </c>
      <c r="CH76" t="b">
        <f t="shared" si="193"/>
        <v>0</v>
      </c>
      <c r="CI76" t="b">
        <f t="shared" si="194"/>
        <v>0</v>
      </c>
      <c r="CJ76" t="b">
        <f t="shared" si="195"/>
        <v>0</v>
      </c>
      <c r="CK76" t="b">
        <f t="shared" si="196"/>
        <v>0</v>
      </c>
      <c r="CL76" t="b">
        <f t="shared" si="197"/>
        <v>0</v>
      </c>
      <c r="CM76" t="b">
        <f t="shared" si="198"/>
        <v>0</v>
      </c>
      <c r="CN76" t="b">
        <f t="shared" si="199"/>
        <v>0</v>
      </c>
      <c r="CO76" t="b">
        <f t="shared" si="200"/>
        <v>0</v>
      </c>
      <c r="CP76" t="b">
        <f t="shared" si="201"/>
        <v>0</v>
      </c>
      <c r="CQ76" t="b">
        <f t="shared" si="202"/>
        <v>0</v>
      </c>
      <c r="CR76" t="b">
        <f t="shared" si="203"/>
        <v>0</v>
      </c>
      <c r="CS76" t="b">
        <f t="shared" si="204"/>
        <v>0</v>
      </c>
      <c r="CT76" t="b">
        <f t="shared" si="205"/>
        <v>0</v>
      </c>
      <c r="CU76" t="b">
        <f t="shared" si="206"/>
        <v>0</v>
      </c>
      <c r="CV76">
        <f t="shared" si="207"/>
        <v>1</v>
      </c>
      <c r="CW76" t="b">
        <f t="shared" si="208"/>
        <v>0</v>
      </c>
      <c r="CX76" t="b">
        <f t="shared" si="209"/>
        <v>0</v>
      </c>
      <c r="CY76" t="b">
        <f t="shared" si="210"/>
        <v>0</v>
      </c>
      <c r="CZ76" t="b">
        <f t="shared" si="211"/>
        <v>0</v>
      </c>
      <c r="DA76" t="b">
        <f t="shared" si="212"/>
        <v>0</v>
      </c>
      <c r="DB76" t="b">
        <f t="shared" si="213"/>
        <v>0</v>
      </c>
      <c r="DC76" t="b">
        <f t="shared" si="214"/>
        <v>0</v>
      </c>
      <c r="DD76" t="b">
        <f t="shared" si="215"/>
        <v>0</v>
      </c>
      <c r="DE76" t="b">
        <f t="shared" si="216"/>
        <v>0</v>
      </c>
      <c r="DF76" t="b">
        <f t="shared" si="217"/>
        <v>0</v>
      </c>
      <c r="DG76" t="b">
        <f t="shared" si="218"/>
        <v>0</v>
      </c>
      <c r="DH76" t="b">
        <f t="shared" si="219"/>
        <v>0</v>
      </c>
      <c r="DI76" t="b">
        <f t="shared" si="220"/>
        <v>0</v>
      </c>
      <c r="DJ76" t="b">
        <f t="shared" si="221"/>
        <v>0</v>
      </c>
      <c r="DK76" t="b">
        <f t="shared" si="222"/>
        <v>0</v>
      </c>
      <c r="DL76" t="b">
        <f t="shared" si="223"/>
        <v>0</v>
      </c>
      <c r="DM76" t="b">
        <f t="shared" si="224"/>
        <v>0</v>
      </c>
      <c r="DN76" t="b">
        <f t="shared" si="225"/>
        <v>0</v>
      </c>
      <c r="DO76" t="b">
        <f t="shared" si="226"/>
        <v>0</v>
      </c>
      <c r="DP76" t="b">
        <f t="shared" si="227"/>
        <v>0</v>
      </c>
      <c r="DQ76" t="b">
        <f t="shared" si="228"/>
        <v>0</v>
      </c>
      <c r="DR76" t="b">
        <f t="shared" si="229"/>
        <v>0</v>
      </c>
      <c r="DS76" t="b">
        <f t="shared" si="230"/>
        <v>0</v>
      </c>
      <c r="DT76" t="b">
        <f t="shared" si="231"/>
        <v>0</v>
      </c>
      <c r="DU76" t="b">
        <f t="shared" si="232"/>
        <v>0</v>
      </c>
      <c r="DV76" t="b">
        <f t="shared" si="233"/>
        <v>0</v>
      </c>
      <c r="DW76" t="b">
        <f t="shared" si="234"/>
        <v>0</v>
      </c>
      <c r="DX76" t="b">
        <f t="shared" si="235"/>
        <v>0</v>
      </c>
      <c r="DY76" t="b">
        <f t="shared" si="236"/>
        <v>0</v>
      </c>
      <c r="DZ76" t="b">
        <f t="shared" si="237"/>
        <v>0</v>
      </c>
      <c r="EA76" t="b">
        <f t="shared" si="238"/>
        <v>0</v>
      </c>
      <c r="EB76" t="b">
        <f t="shared" si="239"/>
        <v>0</v>
      </c>
      <c r="EC76" t="b">
        <f t="shared" si="240"/>
        <v>0</v>
      </c>
      <c r="ED76" t="b">
        <f t="shared" si="241"/>
        <v>0</v>
      </c>
      <c r="EE76" t="b">
        <f t="shared" si="242"/>
        <v>0</v>
      </c>
      <c r="EF76">
        <f t="shared" si="243"/>
        <v>1</v>
      </c>
      <c r="EG76" t="b">
        <f t="shared" si="244"/>
        <v>0</v>
      </c>
      <c r="EH76" t="b">
        <f t="shared" si="245"/>
        <v>0</v>
      </c>
      <c r="EI76" t="b">
        <f t="shared" si="246"/>
        <v>0</v>
      </c>
      <c r="EJ76" t="b">
        <f t="shared" si="247"/>
        <v>0</v>
      </c>
      <c r="EK76" t="b">
        <f t="shared" si="248"/>
        <v>0</v>
      </c>
    </row>
    <row r="77" spans="1:141">
      <c r="A77" t="s">
        <v>512</v>
      </c>
      <c r="B77" t="s">
        <v>512</v>
      </c>
      <c r="C77" t="s">
        <v>513</v>
      </c>
      <c r="D77" s="1">
        <v>42370</v>
      </c>
      <c r="E77" s="2">
        <v>42529.450972222221</v>
      </c>
      <c r="F77" s="2">
        <v>42529.450972222221</v>
      </c>
      <c r="G77">
        <v>34235</v>
      </c>
      <c r="H77" t="s">
        <v>514</v>
      </c>
      <c r="I77" s="10" t="s">
        <v>515</v>
      </c>
      <c r="J77" t="s">
        <v>188</v>
      </c>
      <c r="K77" s="8" t="b">
        <v>1</v>
      </c>
      <c r="L77" s="10" t="b">
        <v>0</v>
      </c>
      <c r="M77" s="12" t="b">
        <v>0</v>
      </c>
      <c r="N77" t="b">
        <v>0</v>
      </c>
      <c r="O77" t="b">
        <v>0</v>
      </c>
      <c r="P77" t="b">
        <v>0</v>
      </c>
      <c r="Q77">
        <f t="shared" si="125"/>
        <v>6</v>
      </c>
      <c r="R77">
        <f t="shared" si="126"/>
        <v>1</v>
      </c>
      <c r="S77" t="e">
        <f t="shared" ca="1" si="156"/>
        <v>#NAME?</v>
      </c>
      <c r="T77" t="e">
        <f t="shared" ca="1" si="127"/>
        <v>#NAME?</v>
      </c>
      <c r="U77" s="4">
        <f t="shared" si="128"/>
        <v>159.45097222222103</v>
      </c>
      <c r="V77" s="4">
        <f t="shared" si="129"/>
        <v>5.3150324074073678</v>
      </c>
      <c r="W77" s="4">
        <f t="shared" si="130"/>
        <v>1</v>
      </c>
      <c r="X77" s="4">
        <f t="shared" si="131"/>
        <v>0</v>
      </c>
      <c r="Y77" s="4">
        <f t="shared" si="132"/>
        <v>0</v>
      </c>
      <c r="Z77" s="4">
        <f t="shared" si="133"/>
        <v>0</v>
      </c>
      <c r="AA77" s="4">
        <f t="shared" si="134"/>
        <v>0</v>
      </c>
      <c r="AB77" s="4">
        <f t="shared" si="135"/>
        <v>0</v>
      </c>
      <c r="AC77" s="4"/>
      <c r="AD77" s="4" t="b">
        <f t="shared" si="136"/>
        <v>0</v>
      </c>
      <c r="AE77" s="4" t="b">
        <f t="shared" si="137"/>
        <v>0</v>
      </c>
      <c r="AF77" s="4" t="b">
        <f t="shared" si="138"/>
        <v>0</v>
      </c>
      <c r="AG77" t="b">
        <f t="shared" si="139"/>
        <v>0</v>
      </c>
      <c r="AH77" t="b">
        <f t="shared" si="140"/>
        <v>0</v>
      </c>
      <c r="AI77" t="b">
        <f t="shared" si="141"/>
        <v>0</v>
      </c>
      <c r="AJ77" t="b">
        <f t="shared" si="142"/>
        <v>0</v>
      </c>
      <c r="AK77" t="b">
        <f t="shared" si="143"/>
        <v>0</v>
      </c>
      <c r="AL77" t="b">
        <f t="shared" si="144"/>
        <v>0</v>
      </c>
      <c r="AM77" t="b">
        <f t="shared" si="145"/>
        <v>0</v>
      </c>
      <c r="AN77" t="b">
        <f t="shared" si="146"/>
        <v>0</v>
      </c>
      <c r="AO77" t="b">
        <f t="shared" si="147"/>
        <v>0</v>
      </c>
      <c r="AP77" t="b">
        <f t="shared" si="148"/>
        <v>0</v>
      </c>
      <c r="AQ77" t="b">
        <f t="shared" si="149"/>
        <v>0</v>
      </c>
      <c r="AR77" t="b">
        <f t="shared" si="150"/>
        <v>0</v>
      </c>
      <c r="AS77" t="b">
        <f t="shared" si="151"/>
        <v>0</v>
      </c>
      <c r="AT77" t="b">
        <f t="shared" si="152"/>
        <v>0</v>
      </c>
      <c r="AU77" t="b">
        <f t="shared" si="153"/>
        <v>0</v>
      </c>
      <c r="AV77" t="b">
        <f t="shared" si="154"/>
        <v>0</v>
      </c>
      <c r="AW77" t="b">
        <f t="shared" si="155"/>
        <v>0</v>
      </c>
      <c r="AX77" t="b">
        <f t="shared" si="157"/>
        <v>0</v>
      </c>
      <c r="AY77" t="b">
        <f t="shared" si="158"/>
        <v>0</v>
      </c>
      <c r="AZ77" t="b">
        <f t="shared" si="159"/>
        <v>0</v>
      </c>
      <c r="BA77" t="b">
        <f t="shared" si="160"/>
        <v>0</v>
      </c>
      <c r="BB77" t="b">
        <f t="shared" si="161"/>
        <v>0</v>
      </c>
      <c r="BC77" t="b">
        <f t="shared" si="162"/>
        <v>0</v>
      </c>
      <c r="BD77" t="b">
        <f t="shared" si="163"/>
        <v>0</v>
      </c>
      <c r="BE77" t="b">
        <f t="shared" si="164"/>
        <v>0</v>
      </c>
      <c r="BF77" t="b">
        <f t="shared" si="165"/>
        <v>0</v>
      </c>
      <c r="BG77" t="b">
        <f t="shared" si="166"/>
        <v>0</v>
      </c>
      <c r="BH77" t="b">
        <f t="shared" si="167"/>
        <v>0</v>
      </c>
      <c r="BI77">
        <f t="shared" si="168"/>
        <v>1</v>
      </c>
      <c r="BJ77" t="b">
        <f t="shared" si="169"/>
        <v>0</v>
      </c>
      <c r="BK77" t="b">
        <f t="shared" si="170"/>
        <v>0</v>
      </c>
      <c r="BL77" t="b">
        <f t="shared" si="171"/>
        <v>0</v>
      </c>
      <c r="BM77" t="b">
        <f t="shared" si="172"/>
        <v>0</v>
      </c>
      <c r="BN77" t="b">
        <f t="shared" si="173"/>
        <v>0</v>
      </c>
      <c r="BO77" t="b">
        <f t="shared" si="174"/>
        <v>0</v>
      </c>
      <c r="BP77" t="b">
        <f t="shared" si="175"/>
        <v>0</v>
      </c>
      <c r="BQ77" t="b">
        <f t="shared" si="176"/>
        <v>0</v>
      </c>
      <c r="BR77" t="b">
        <f t="shared" si="177"/>
        <v>0</v>
      </c>
      <c r="BS77" t="b">
        <f t="shared" si="178"/>
        <v>0</v>
      </c>
      <c r="BT77" t="b">
        <f t="shared" si="179"/>
        <v>0</v>
      </c>
      <c r="BU77" t="b">
        <f t="shared" si="180"/>
        <v>0</v>
      </c>
      <c r="BV77" t="b">
        <f t="shared" si="181"/>
        <v>0</v>
      </c>
      <c r="BW77" t="b">
        <f t="shared" si="182"/>
        <v>0</v>
      </c>
      <c r="BX77" t="b">
        <f t="shared" si="183"/>
        <v>0</v>
      </c>
      <c r="BY77" t="b">
        <f t="shared" si="184"/>
        <v>0</v>
      </c>
      <c r="BZ77" t="b">
        <f t="shared" si="185"/>
        <v>0</v>
      </c>
      <c r="CA77" t="b">
        <f t="shared" si="186"/>
        <v>0</v>
      </c>
      <c r="CB77" t="b">
        <f t="shared" si="187"/>
        <v>0</v>
      </c>
      <c r="CC77" t="b">
        <f t="shared" si="188"/>
        <v>0</v>
      </c>
      <c r="CD77" t="b">
        <f t="shared" si="189"/>
        <v>0</v>
      </c>
      <c r="CE77">
        <f t="shared" si="190"/>
        <v>1</v>
      </c>
      <c r="CF77" t="b">
        <f t="shared" si="191"/>
        <v>0</v>
      </c>
      <c r="CG77" t="b">
        <f t="shared" si="192"/>
        <v>0</v>
      </c>
      <c r="CH77" t="b">
        <f t="shared" si="193"/>
        <v>0</v>
      </c>
      <c r="CI77" t="b">
        <f t="shared" si="194"/>
        <v>0</v>
      </c>
      <c r="CJ77" t="b">
        <f t="shared" si="195"/>
        <v>0</v>
      </c>
      <c r="CK77" t="b">
        <f t="shared" si="196"/>
        <v>0</v>
      </c>
      <c r="CL77" t="b">
        <f t="shared" si="197"/>
        <v>0</v>
      </c>
      <c r="CM77" t="b">
        <f t="shared" si="198"/>
        <v>0</v>
      </c>
      <c r="CN77" t="b">
        <f t="shared" si="199"/>
        <v>0</v>
      </c>
      <c r="CO77" t="b">
        <f t="shared" si="200"/>
        <v>0</v>
      </c>
      <c r="CP77" t="b">
        <f t="shared" si="201"/>
        <v>0</v>
      </c>
      <c r="CQ77" t="b">
        <f t="shared" si="202"/>
        <v>0</v>
      </c>
      <c r="CR77" t="b">
        <f t="shared" si="203"/>
        <v>0</v>
      </c>
      <c r="CS77" t="b">
        <f t="shared" si="204"/>
        <v>0</v>
      </c>
      <c r="CT77" t="b">
        <f t="shared" si="205"/>
        <v>0</v>
      </c>
      <c r="CU77" t="b">
        <f t="shared" si="206"/>
        <v>0</v>
      </c>
      <c r="CV77">
        <f t="shared" si="207"/>
        <v>1</v>
      </c>
      <c r="CW77" t="b">
        <f t="shared" si="208"/>
        <v>0</v>
      </c>
      <c r="CX77" t="b">
        <f t="shared" si="209"/>
        <v>0</v>
      </c>
      <c r="CY77" t="b">
        <f t="shared" si="210"/>
        <v>0</v>
      </c>
      <c r="CZ77" t="b">
        <f t="shared" si="211"/>
        <v>0</v>
      </c>
      <c r="DA77" t="b">
        <f t="shared" si="212"/>
        <v>0</v>
      </c>
      <c r="DB77" t="b">
        <f t="shared" si="213"/>
        <v>0</v>
      </c>
      <c r="DC77" t="b">
        <f t="shared" si="214"/>
        <v>0</v>
      </c>
      <c r="DD77" t="b">
        <f t="shared" si="215"/>
        <v>0</v>
      </c>
      <c r="DE77" t="b">
        <f t="shared" si="216"/>
        <v>0</v>
      </c>
      <c r="DF77" t="b">
        <f t="shared" si="217"/>
        <v>0</v>
      </c>
      <c r="DG77" t="b">
        <f t="shared" si="218"/>
        <v>0</v>
      </c>
      <c r="DH77" t="b">
        <f t="shared" si="219"/>
        <v>0</v>
      </c>
      <c r="DI77" t="b">
        <f t="shared" si="220"/>
        <v>0</v>
      </c>
      <c r="DJ77" t="b">
        <f t="shared" si="221"/>
        <v>0</v>
      </c>
      <c r="DK77" t="b">
        <f t="shared" si="222"/>
        <v>0</v>
      </c>
      <c r="DL77" t="b">
        <f t="shared" si="223"/>
        <v>0</v>
      </c>
      <c r="DM77" t="b">
        <f t="shared" si="224"/>
        <v>0</v>
      </c>
      <c r="DN77" t="b">
        <f t="shared" si="225"/>
        <v>0</v>
      </c>
      <c r="DO77" t="b">
        <f t="shared" si="226"/>
        <v>0</v>
      </c>
      <c r="DP77" t="b">
        <f t="shared" si="227"/>
        <v>0</v>
      </c>
      <c r="DQ77" t="b">
        <f t="shared" si="228"/>
        <v>0</v>
      </c>
      <c r="DR77" t="b">
        <f t="shared" si="229"/>
        <v>0</v>
      </c>
      <c r="DS77" t="b">
        <f t="shared" si="230"/>
        <v>0</v>
      </c>
      <c r="DT77" t="b">
        <f t="shared" si="231"/>
        <v>0</v>
      </c>
      <c r="DU77" t="b">
        <f t="shared" si="232"/>
        <v>0</v>
      </c>
      <c r="DV77" t="b">
        <f t="shared" si="233"/>
        <v>0</v>
      </c>
      <c r="DW77" t="b">
        <f t="shared" si="234"/>
        <v>0</v>
      </c>
      <c r="DX77" t="b">
        <f t="shared" si="235"/>
        <v>0</v>
      </c>
      <c r="DY77" t="b">
        <f t="shared" si="236"/>
        <v>0</v>
      </c>
      <c r="DZ77" t="b">
        <f t="shared" si="237"/>
        <v>0</v>
      </c>
      <c r="EA77" t="b">
        <f t="shared" si="238"/>
        <v>0</v>
      </c>
      <c r="EB77" t="b">
        <f t="shared" si="239"/>
        <v>0</v>
      </c>
      <c r="EC77" t="b">
        <f t="shared" si="240"/>
        <v>0</v>
      </c>
      <c r="ED77" t="b">
        <f t="shared" si="241"/>
        <v>0</v>
      </c>
      <c r="EE77" t="b">
        <f t="shared" si="242"/>
        <v>0</v>
      </c>
      <c r="EF77">
        <f t="shared" si="243"/>
        <v>1</v>
      </c>
      <c r="EG77" t="b">
        <f t="shared" si="244"/>
        <v>0</v>
      </c>
      <c r="EH77" t="b">
        <f t="shared" si="245"/>
        <v>0</v>
      </c>
      <c r="EI77" t="b">
        <f t="shared" si="246"/>
        <v>0</v>
      </c>
      <c r="EJ77" t="b">
        <f t="shared" si="247"/>
        <v>0</v>
      </c>
      <c r="EK77" t="b">
        <f t="shared" si="248"/>
        <v>0</v>
      </c>
    </row>
    <row r="78" spans="1:141">
      <c r="A78" t="s">
        <v>516</v>
      </c>
      <c r="B78" t="s">
        <v>517</v>
      </c>
      <c r="C78" t="s">
        <v>518</v>
      </c>
      <c r="D78" s="1">
        <v>41813</v>
      </c>
      <c r="E78" s="2">
        <v>42311.930752314816</v>
      </c>
      <c r="F78" s="2">
        <v>42311.930752314816</v>
      </c>
      <c r="G78">
        <v>777387</v>
      </c>
      <c r="H78" t="s">
        <v>519</v>
      </c>
      <c r="I78" s="10" t="s">
        <v>520</v>
      </c>
      <c r="J78" t="s">
        <v>521</v>
      </c>
      <c r="K78" s="8" t="b">
        <v>1</v>
      </c>
      <c r="L78" s="10" t="b">
        <v>0</v>
      </c>
      <c r="M78" s="12" t="b">
        <v>0</v>
      </c>
      <c r="N78" t="b">
        <v>0</v>
      </c>
      <c r="O78" t="b">
        <v>0</v>
      </c>
      <c r="P78" t="b">
        <v>0</v>
      </c>
      <c r="Q78">
        <f t="shared" si="125"/>
        <v>2</v>
      </c>
      <c r="R78">
        <f t="shared" si="126"/>
        <v>6</v>
      </c>
      <c r="S78" t="e">
        <f t="shared" ca="1" si="156"/>
        <v>#NAME?</v>
      </c>
      <c r="T78" t="e">
        <f t="shared" ca="1" si="127"/>
        <v>#NAME?</v>
      </c>
      <c r="U78" s="4">
        <f t="shared" si="128"/>
        <v>498.93075231481635</v>
      </c>
      <c r="V78" s="4">
        <f t="shared" si="129"/>
        <v>16.631025077160544</v>
      </c>
      <c r="W78" s="4">
        <f t="shared" si="130"/>
        <v>1</v>
      </c>
      <c r="X78" s="4">
        <f t="shared" si="131"/>
        <v>0</v>
      </c>
      <c r="Y78" s="4">
        <f t="shared" si="132"/>
        <v>0</v>
      </c>
      <c r="Z78" s="4">
        <f t="shared" si="133"/>
        <v>0</v>
      </c>
      <c r="AA78" s="4">
        <f t="shared" si="134"/>
        <v>0</v>
      </c>
      <c r="AB78" s="4">
        <f t="shared" si="135"/>
        <v>0</v>
      </c>
      <c r="AC78" s="4"/>
      <c r="AD78" s="4" t="b">
        <f t="shared" si="136"/>
        <v>0</v>
      </c>
      <c r="AE78" s="4" t="b">
        <f t="shared" si="137"/>
        <v>0</v>
      </c>
      <c r="AF78" s="4" t="b">
        <f t="shared" si="138"/>
        <v>0</v>
      </c>
      <c r="AG78" t="b">
        <f t="shared" si="139"/>
        <v>0</v>
      </c>
      <c r="AH78" t="b">
        <f t="shared" si="140"/>
        <v>0</v>
      </c>
      <c r="AI78" t="b">
        <f t="shared" si="141"/>
        <v>0</v>
      </c>
      <c r="AJ78" t="b">
        <f t="shared" si="142"/>
        <v>0</v>
      </c>
      <c r="AK78" t="b">
        <f t="shared" si="143"/>
        <v>0</v>
      </c>
      <c r="AL78" t="b">
        <f t="shared" si="144"/>
        <v>0</v>
      </c>
      <c r="AM78" t="b">
        <f t="shared" si="145"/>
        <v>0</v>
      </c>
      <c r="AN78" t="b">
        <f t="shared" si="146"/>
        <v>0</v>
      </c>
      <c r="AO78" t="b">
        <f t="shared" si="147"/>
        <v>0</v>
      </c>
      <c r="AP78" t="b">
        <f t="shared" si="148"/>
        <v>0</v>
      </c>
      <c r="AQ78" t="b">
        <f t="shared" si="149"/>
        <v>0</v>
      </c>
      <c r="AR78" t="b">
        <f t="shared" si="150"/>
        <v>0</v>
      </c>
      <c r="AS78" t="b">
        <f t="shared" si="151"/>
        <v>0</v>
      </c>
      <c r="AT78" t="b">
        <f t="shared" si="152"/>
        <v>0</v>
      </c>
      <c r="AU78" t="b">
        <f t="shared" si="153"/>
        <v>0</v>
      </c>
      <c r="AV78" t="b">
        <f t="shared" si="154"/>
        <v>0</v>
      </c>
      <c r="AW78" t="b">
        <f t="shared" si="155"/>
        <v>0</v>
      </c>
      <c r="AX78" t="b">
        <f t="shared" si="157"/>
        <v>0</v>
      </c>
      <c r="AY78" t="b">
        <f t="shared" si="158"/>
        <v>0</v>
      </c>
      <c r="AZ78">
        <f t="shared" si="159"/>
        <v>1</v>
      </c>
      <c r="BA78" t="b">
        <f t="shared" si="160"/>
        <v>0</v>
      </c>
      <c r="BB78" t="b">
        <f t="shared" si="161"/>
        <v>0</v>
      </c>
      <c r="BC78" t="b">
        <f t="shared" si="162"/>
        <v>0</v>
      </c>
      <c r="BD78" t="b">
        <f t="shared" si="163"/>
        <v>0</v>
      </c>
      <c r="BE78" t="b">
        <f t="shared" si="164"/>
        <v>0</v>
      </c>
      <c r="BF78" t="b">
        <f t="shared" si="165"/>
        <v>0</v>
      </c>
      <c r="BG78" t="b">
        <f t="shared" si="166"/>
        <v>0</v>
      </c>
      <c r="BH78" t="b">
        <f t="shared" si="167"/>
        <v>0</v>
      </c>
      <c r="BI78">
        <f t="shared" si="168"/>
        <v>1</v>
      </c>
      <c r="BJ78" t="b">
        <f t="shared" si="169"/>
        <v>0</v>
      </c>
      <c r="BK78" t="b">
        <f t="shared" si="170"/>
        <v>0</v>
      </c>
      <c r="BL78" t="b">
        <f t="shared" si="171"/>
        <v>0</v>
      </c>
      <c r="BM78" t="b">
        <f t="shared" si="172"/>
        <v>0</v>
      </c>
      <c r="BN78" t="b">
        <f t="shared" si="173"/>
        <v>0</v>
      </c>
      <c r="BO78" t="b">
        <f t="shared" si="174"/>
        <v>0</v>
      </c>
      <c r="BP78" t="b">
        <f t="shared" si="175"/>
        <v>0</v>
      </c>
      <c r="BQ78" t="b">
        <f t="shared" si="176"/>
        <v>0</v>
      </c>
      <c r="BR78" t="b">
        <f t="shared" si="177"/>
        <v>0</v>
      </c>
      <c r="BS78" t="b">
        <f t="shared" si="178"/>
        <v>0</v>
      </c>
      <c r="BT78" t="b">
        <f t="shared" si="179"/>
        <v>0</v>
      </c>
      <c r="BU78" t="b">
        <f t="shared" si="180"/>
        <v>0</v>
      </c>
      <c r="BV78" t="b">
        <f t="shared" si="181"/>
        <v>0</v>
      </c>
      <c r="BW78" t="b">
        <f t="shared" si="182"/>
        <v>0</v>
      </c>
      <c r="BX78" t="b">
        <f t="shared" si="183"/>
        <v>0</v>
      </c>
      <c r="BY78" t="b">
        <f t="shared" si="184"/>
        <v>0</v>
      </c>
      <c r="BZ78" t="b">
        <f t="shared" si="185"/>
        <v>0</v>
      </c>
      <c r="CA78" t="b">
        <f t="shared" si="186"/>
        <v>0</v>
      </c>
      <c r="CB78" t="b">
        <f t="shared" si="187"/>
        <v>0</v>
      </c>
      <c r="CC78" t="b">
        <f t="shared" si="188"/>
        <v>0</v>
      </c>
      <c r="CD78">
        <f t="shared" si="189"/>
        <v>1</v>
      </c>
      <c r="CE78">
        <f t="shared" si="190"/>
        <v>1</v>
      </c>
      <c r="CF78" t="b">
        <f t="shared" si="191"/>
        <v>0</v>
      </c>
      <c r="CG78" t="b">
        <f t="shared" si="192"/>
        <v>0</v>
      </c>
      <c r="CH78" t="b">
        <f t="shared" si="193"/>
        <v>0</v>
      </c>
      <c r="CI78" t="b">
        <f t="shared" si="194"/>
        <v>0</v>
      </c>
      <c r="CJ78" t="b">
        <f t="shared" si="195"/>
        <v>0</v>
      </c>
      <c r="CK78" t="b">
        <f t="shared" si="196"/>
        <v>0</v>
      </c>
      <c r="CL78" t="b">
        <f t="shared" si="197"/>
        <v>0</v>
      </c>
      <c r="CM78" t="b">
        <f t="shared" si="198"/>
        <v>0</v>
      </c>
      <c r="CN78" t="b">
        <f t="shared" si="199"/>
        <v>0</v>
      </c>
      <c r="CO78" t="b">
        <f t="shared" si="200"/>
        <v>0</v>
      </c>
      <c r="CP78" t="b">
        <f t="shared" si="201"/>
        <v>0</v>
      </c>
      <c r="CQ78" t="b">
        <f t="shared" si="202"/>
        <v>0</v>
      </c>
      <c r="CR78" t="b">
        <f t="shared" si="203"/>
        <v>0</v>
      </c>
      <c r="CS78" t="b">
        <f t="shared" si="204"/>
        <v>0</v>
      </c>
      <c r="CT78" t="b">
        <f t="shared" si="205"/>
        <v>0</v>
      </c>
      <c r="CU78" t="b">
        <f t="shared" si="206"/>
        <v>0</v>
      </c>
      <c r="CV78">
        <f t="shared" si="207"/>
        <v>1</v>
      </c>
      <c r="CW78" t="b">
        <f t="shared" si="208"/>
        <v>0</v>
      </c>
      <c r="CX78" t="b">
        <f t="shared" si="209"/>
        <v>0</v>
      </c>
      <c r="CY78" t="b">
        <f t="shared" si="210"/>
        <v>0</v>
      </c>
      <c r="CZ78" t="b">
        <f t="shared" si="211"/>
        <v>0</v>
      </c>
      <c r="DA78" t="b">
        <f t="shared" si="212"/>
        <v>0</v>
      </c>
      <c r="DB78" t="b">
        <f t="shared" si="213"/>
        <v>0</v>
      </c>
      <c r="DC78" t="b">
        <f t="shared" si="214"/>
        <v>0</v>
      </c>
      <c r="DD78" t="b">
        <f t="shared" si="215"/>
        <v>0</v>
      </c>
      <c r="DE78" t="b">
        <f t="shared" si="216"/>
        <v>0</v>
      </c>
      <c r="DF78" t="b">
        <f t="shared" si="217"/>
        <v>0</v>
      </c>
      <c r="DG78" t="b">
        <f t="shared" si="218"/>
        <v>0</v>
      </c>
      <c r="DH78" t="b">
        <f t="shared" si="219"/>
        <v>0</v>
      </c>
      <c r="DI78" t="b">
        <f t="shared" si="220"/>
        <v>0</v>
      </c>
      <c r="DJ78" t="b">
        <f t="shared" si="221"/>
        <v>0</v>
      </c>
      <c r="DK78" t="b">
        <f t="shared" si="222"/>
        <v>0</v>
      </c>
      <c r="DL78" t="b">
        <f t="shared" si="223"/>
        <v>0</v>
      </c>
      <c r="DM78" t="b">
        <f t="shared" si="224"/>
        <v>0</v>
      </c>
      <c r="DN78" t="b">
        <f t="shared" si="225"/>
        <v>0</v>
      </c>
      <c r="DO78" t="b">
        <f t="shared" si="226"/>
        <v>0</v>
      </c>
      <c r="DP78" t="b">
        <f t="shared" si="227"/>
        <v>0</v>
      </c>
      <c r="DQ78" t="b">
        <f t="shared" si="228"/>
        <v>0</v>
      </c>
      <c r="DR78" t="b">
        <f t="shared" si="229"/>
        <v>0</v>
      </c>
      <c r="DS78" t="b">
        <f t="shared" si="230"/>
        <v>0</v>
      </c>
      <c r="DT78" t="b">
        <f t="shared" si="231"/>
        <v>0</v>
      </c>
      <c r="DU78" t="b">
        <f t="shared" si="232"/>
        <v>0</v>
      </c>
      <c r="DV78" t="b">
        <f t="shared" si="233"/>
        <v>0</v>
      </c>
      <c r="DW78" t="b">
        <f t="shared" si="234"/>
        <v>0</v>
      </c>
      <c r="DX78" t="b">
        <f t="shared" si="235"/>
        <v>0</v>
      </c>
      <c r="DY78" t="b">
        <f t="shared" si="236"/>
        <v>0</v>
      </c>
      <c r="DZ78" t="b">
        <f t="shared" si="237"/>
        <v>0</v>
      </c>
      <c r="EA78" t="b">
        <f t="shared" si="238"/>
        <v>0</v>
      </c>
      <c r="EB78" t="b">
        <f t="shared" si="239"/>
        <v>0</v>
      </c>
      <c r="EC78" t="b">
        <f t="shared" si="240"/>
        <v>0</v>
      </c>
      <c r="ED78" t="b">
        <f t="shared" si="241"/>
        <v>0</v>
      </c>
      <c r="EE78" t="b">
        <f t="shared" si="242"/>
        <v>0</v>
      </c>
      <c r="EF78">
        <f t="shared" si="243"/>
        <v>1</v>
      </c>
      <c r="EG78" t="b">
        <f t="shared" si="244"/>
        <v>0</v>
      </c>
      <c r="EH78" t="b">
        <f t="shared" si="245"/>
        <v>0</v>
      </c>
      <c r="EI78">
        <f t="shared" si="246"/>
        <v>1</v>
      </c>
      <c r="EJ78" t="b">
        <f t="shared" si="247"/>
        <v>0</v>
      </c>
      <c r="EK78" t="b">
        <f t="shared" si="248"/>
        <v>0</v>
      </c>
    </row>
    <row r="79" spans="1:141">
      <c r="A79" t="s">
        <v>522</v>
      </c>
      <c r="B79" t="s">
        <v>523</v>
      </c>
      <c r="C79" t="s">
        <v>524</v>
      </c>
      <c r="D79" s="1">
        <v>44687</v>
      </c>
      <c r="E79" s="2">
        <v>44697.093900462962</v>
      </c>
      <c r="F79" s="2">
        <v>44697.094618055555</v>
      </c>
      <c r="G79">
        <v>174168</v>
      </c>
      <c r="H79" t="s">
        <v>525</v>
      </c>
      <c r="I79" s="10" t="s">
        <v>526</v>
      </c>
      <c r="J79" t="s">
        <v>188</v>
      </c>
      <c r="K79" s="8" t="b">
        <v>1</v>
      </c>
      <c r="L79" s="10" t="b">
        <v>0</v>
      </c>
      <c r="M79" s="12" t="b">
        <v>0</v>
      </c>
      <c r="N79" t="b">
        <v>0</v>
      </c>
      <c r="O79" t="b">
        <v>0</v>
      </c>
      <c r="P79" t="b">
        <v>0</v>
      </c>
      <c r="Q79">
        <f t="shared" si="125"/>
        <v>6</v>
      </c>
      <c r="R79">
        <f t="shared" si="126"/>
        <v>5</v>
      </c>
      <c r="S79" t="e">
        <f t="shared" ca="1" si="156"/>
        <v>#NAME?</v>
      </c>
      <c r="T79" t="e">
        <f t="shared" ca="1" si="127"/>
        <v>#NAME?</v>
      </c>
      <c r="U79" s="4">
        <f t="shared" si="128"/>
        <v>10.093900462961756</v>
      </c>
      <c r="V79" s="4">
        <f t="shared" si="129"/>
        <v>0.33646334876539186</v>
      </c>
      <c r="W79" s="4">
        <f t="shared" si="130"/>
        <v>1</v>
      </c>
      <c r="X79" s="4">
        <f t="shared" si="131"/>
        <v>0</v>
      </c>
      <c r="Y79" s="4">
        <f t="shared" si="132"/>
        <v>0</v>
      </c>
      <c r="Z79" s="4">
        <f t="shared" si="133"/>
        <v>0</v>
      </c>
      <c r="AA79" s="4">
        <f t="shared" si="134"/>
        <v>0</v>
      </c>
      <c r="AB79" s="4">
        <f t="shared" si="135"/>
        <v>0</v>
      </c>
      <c r="AC79" s="4"/>
      <c r="AD79" s="4" t="b">
        <f t="shared" si="136"/>
        <v>0</v>
      </c>
      <c r="AE79" s="4" t="b">
        <f t="shared" si="137"/>
        <v>0</v>
      </c>
      <c r="AF79" s="4" t="b">
        <f t="shared" si="138"/>
        <v>0</v>
      </c>
      <c r="AG79" t="b">
        <f t="shared" si="139"/>
        <v>0</v>
      </c>
      <c r="AH79" t="b">
        <f t="shared" si="140"/>
        <v>0</v>
      </c>
      <c r="AI79" t="b">
        <f t="shared" si="141"/>
        <v>0</v>
      </c>
      <c r="AJ79" t="b">
        <f t="shared" si="142"/>
        <v>0</v>
      </c>
      <c r="AK79" t="b">
        <f t="shared" si="143"/>
        <v>0</v>
      </c>
      <c r="AL79" t="b">
        <f t="shared" si="144"/>
        <v>0</v>
      </c>
      <c r="AM79" t="b">
        <f t="shared" si="145"/>
        <v>0</v>
      </c>
      <c r="AN79" t="b">
        <f t="shared" si="146"/>
        <v>0</v>
      </c>
      <c r="AO79" t="b">
        <f t="shared" si="147"/>
        <v>0</v>
      </c>
      <c r="AP79" t="b">
        <f t="shared" si="148"/>
        <v>0</v>
      </c>
      <c r="AQ79" t="b">
        <f t="shared" si="149"/>
        <v>0</v>
      </c>
      <c r="AR79" t="b">
        <f t="shared" si="150"/>
        <v>0</v>
      </c>
      <c r="AS79" t="b">
        <f t="shared" si="151"/>
        <v>0</v>
      </c>
      <c r="AT79" t="b">
        <f t="shared" si="152"/>
        <v>0</v>
      </c>
      <c r="AU79" t="b">
        <f t="shared" si="153"/>
        <v>0</v>
      </c>
      <c r="AV79" t="b">
        <f t="shared" si="154"/>
        <v>0</v>
      </c>
      <c r="AW79" t="b">
        <f t="shared" si="155"/>
        <v>0</v>
      </c>
      <c r="AX79" t="b">
        <f t="shared" si="157"/>
        <v>0</v>
      </c>
      <c r="AY79" t="b">
        <f t="shared" si="158"/>
        <v>0</v>
      </c>
      <c r="AZ79" t="b">
        <f t="shared" si="159"/>
        <v>0</v>
      </c>
      <c r="BA79" t="b">
        <f t="shared" si="160"/>
        <v>0</v>
      </c>
      <c r="BB79" t="b">
        <f t="shared" si="161"/>
        <v>0</v>
      </c>
      <c r="BC79" t="b">
        <f t="shared" si="162"/>
        <v>0</v>
      </c>
      <c r="BD79" t="b">
        <f t="shared" si="163"/>
        <v>0</v>
      </c>
      <c r="BE79" t="b">
        <f t="shared" si="164"/>
        <v>0</v>
      </c>
      <c r="BF79" t="b">
        <f t="shared" si="165"/>
        <v>0</v>
      </c>
      <c r="BG79" t="b">
        <f t="shared" si="166"/>
        <v>0</v>
      </c>
      <c r="BH79" t="b">
        <f t="shared" si="167"/>
        <v>0</v>
      </c>
      <c r="BI79">
        <f t="shared" si="168"/>
        <v>1</v>
      </c>
      <c r="BJ79" t="b">
        <f t="shared" si="169"/>
        <v>0</v>
      </c>
      <c r="BK79" t="b">
        <f t="shared" si="170"/>
        <v>0</v>
      </c>
      <c r="BL79" t="b">
        <f t="shared" si="171"/>
        <v>0</v>
      </c>
      <c r="BM79" t="b">
        <f t="shared" si="172"/>
        <v>0</v>
      </c>
      <c r="BN79" t="b">
        <f t="shared" si="173"/>
        <v>0</v>
      </c>
      <c r="BO79" t="b">
        <f t="shared" si="174"/>
        <v>0</v>
      </c>
      <c r="BP79" t="b">
        <f t="shared" si="175"/>
        <v>0</v>
      </c>
      <c r="BQ79" t="b">
        <f t="shared" si="176"/>
        <v>0</v>
      </c>
      <c r="BR79" t="b">
        <f t="shared" si="177"/>
        <v>0</v>
      </c>
      <c r="BS79" t="b">
        <f t="shared" si="178"/>
        <v>0</v>
      </c>
      <c r="BT79" t="b">
        <f t="shared" si="179"/>
        <v>0</v>
      </c>
      <c r="BU79" t="b">
        <f t="shared" si="180"/>
        <v>0</v>
      </c>
      <c r="BV79" t="b">
        <f t="shared" si="181"/>
        <v>0</v>
      </c>
      <c r="BW79" t="b">
        <f t="shared" si="182"/>
        <v>0</v>
      </c>
      <c r="BX79" t="b">
        <f t="shared" si="183"/>
        <v>0</v>
      </c>
      <c r="BY79" t="b">
        <f t="shared" si="184"/>
        <v>0</v>
      </c>
      <c r="BZ79" t="b">
        <f t="shared" si="185"/>
        <v>0</v>
      </c>
      <c r="CA79" t="b">
        <f t="shared" si="186"/>
        <v>0</v>
      </c>
      <c r="CB79" t="b">
        <f t="shared" si="187"/>
        <v>0</v>
      </c>
      <c r="CC79" t="b">
        <f t="shared" si="188"/>
        <v>0</v>
      </c>
      <c r="CD79" t="b">
        <f t="shared" si="189"/>
        <v>0</v>
      </c>
      <c r="CE79">
        <f t="shared" si="190"/>
        <v>1</v>
      </c>
      <c r="CF79" t="b">
        <f t="shared" si="191"/>
        <v>0</v>
      </c>
      <c r="CG79" t="b">
        <f t="shared" si="192"/>
        <v>0</v>
      </c>
      <c r="CH79" t="b">
        <f t="shared" si="193"/>
        <v>0</v>
      </c>
      <c r="CI79" t="b">
        <f t="shared" si="194"/>
        <v>0</v>
      </c>
      <c r="CJ79" t="b">
        <f t="shared" si="195"/>
        <v>0</v>
      </c>
      <c r="CK79" t="b">
        <f t="shared" si="196"/>
        <v>0</v>
      </c>
      <c r="CL79" t="b">
        <f t="shared" si="197"/>
        <v>0</v>
      </c>
      <c r="CM79" t="b">
        <f t="shared" si="198"/>
        <v>0</v>
      </c>
      <c r="CN79" t="b">
        <f t="shared" si="199"/>
        <v>0</v>
      </c>
      <c r="CO79" t="b">
        <f t="shared" si="200"/>
        <v>0</v>
      </c>
      <c r="CP79" t="b">
        <f t="shared" si="201"/>
        <v>0</v>
      </c>
      <c r="CQ79" t="b">
        <f t="shared" si="202"/>
        <v>0</v>
      </c>
      <c r="CR79" t="b">
        <f t="shared" si="203"/>
        <v>0</v>
      </c>
      <c r="CS79" t="b">
        <f t="shared" si="204"/>
        <v>0</v>
      </c>
      <c r="CT79" t="b">
        <f t="shared" si="205"/>
        <v>0</v>
      </c>
      <c r="CU79" t="b">
        <f t="shared" si="206"/>
        <v>0</v>
      </c>
      <c r="CV79">
        <f t="shared" si="207"/>
        <v>1</v>
      </c>
      <c r="CW79" t="b">
        <f t="shared" si="208"/>
        <v>0</v>
      </c>
      <c r="CX79" t="b">
        <f t="shared" si="209"/>
        <v>0</v>
      </c>
      <c r="CY79" t="b">
        <f t="shared" si="210"/>
        <v>0</v>
      </c>
      <c r="CZ79" t="b">
        <f t="shared" si="211"/>
        <v>0</v>
      </c>
      <c r="DA79" t="b">
        <f t="shared" si="212"/>
        <v>0</v>
      </c>
      <c r="DB79" t="b">
        <f t="shared" si="213"/>
        <v>0</v>
      </c>
      <c r="DC79" t="b">
        <f t="shared" si="214"/>
        <v>0</v>
      </c>
      <c r="DD79" t="b">
        <f t="shared" si="215"/>
        <v>0</v>
      </c>
      <c r="DE79" t="b">
        <f t="shared" si="216"/>
        <v>0</v>
      </c>
      <c r="DF79" t="b">
        <f t="shared" si="217"/>
        <v>0</v>
      </c>
      <c r="DG79" t="b">
        <f t="shared" si="218"/>
        <v>0</v>
      </c>
      <c r="DH79" t="b">
        <f t="shared" si="219"/>
        <v>0</v>
      </c>
      <c r="DI79" t="b">
        <f t="shared" si="220"/>
        <v>0</v>
      </c>
      <c r="DJ79" t="b">
        <f t="shared" si="221"/>
        <v>0</v>
      </c>
      <c r="DK79" t="b">
        <f t="shared" si="222"/>
        <v>0</v>
      </c>
      <c r="DL79" t="b">
        <f t="shared" si="223"/>
        <v>0</v>
      </c>
      <c r="DM79" t="b">
        <f t="shared" si="224"/>
        <v>0</v>
      </c>
      <c r="DN79" t="b">
        <f t="shared" si="225"/>
        <v>0</v>
      </c>
      <c r="DO79" t="b">
        <f t="shared" si="226"/>
        <v>0</v>
      </c>
      <c r="DP79" t="b">
        <f t="shared" si="227"/>
        <v>0</v>
      </c>
      <c r="DQ79" t="b">
        <f t="shared" si="228"/>
        <v>0</v>
      </c>
      <c r="DR79" t="b">
        <f t="shared" si="229"/>
        <v>0</v>
      </c>
      <c r="DS79" t="b">
        <f t="shared" si="230"/>
        <v>0</v>
      </c>
      <c r="DT79" t="b">
        <f t="shared" si="231"/>
        <v>0</v>
      </c>
      <c r="DU79" t="b">
        <f t="shared" si="232"/>
        <v>0</v>
      </c>
      <c r="DV79" t="b">
        <f t="shared" si="233"/>
        <v>0</v>
      </c>
      <c r="DW79" t="b">
        <f t="shared" si="234"/>
        <v>0</v>
      </c>
      <c r="DX79" t="b">
        <f t="shared" si="235"/>
        <v>0</v>
      </c>
      <c r="DY79" t="b">
        <f t="shared" si="236"/>
        <v>0</v>
      </c>
      <c r="DZ79" t="b">
        <f t="shared" si="237"/>
        <v>0</v>
      </c>
      <c r="EA79" t="b">
        <f t="shared" si="238"/>
        <v>0</v>
      </c>
      <c r="EB79" t="b">
        <f t="shared" si="239"/>
        <v>0</v>
      </c>
      <c r="EC79" t="b">
        <f t="shared" si="240"/>
        <v>0</v>
      </c>
      <c r="ED79" t="b">
        <f t="shared" si="241"/>
        <v>0</v>
      </c>
      <c r="EE79" t="b">
        <f t="shared" si="242"/>
        <v>0</v>
      </c>
      <c r="EF79">
        <f t="shared" si="243"/>
        <v>1</v>
      </c>
      <c r="EG79" t="b">
        <f t="shared" si="244"/>
        <v>0</v>
      </c>
      <c r="EH79" t="b">
        <f t="shared" si="245"/>
        <v>0</v>
      </c>
      <c r="EI79" t="b">
        <f t="shared" si="246"/>
        <v>0</v>
      </c>
      <c r="EJ79" t="b">
        <f t="shared" si="247"/>
        <v>0</v>
      </c>
      <c r="EK79" t="b">
        <f t="shared" si="248"/>
        <v>0</v>
      </c>
    </row>
    <row r="80" spans="1:141">
      <c r="A80" t="s">
        <v>527</v>
      </c>
      <c r="B80" t="s">
        <v>527</v>
      </c>
      <c r="C80" t="s">
        <v>528</v>
      </c>
      <c r="D80" s="1">
        <v>43660</v>
      </c>
      <c r="E80" s="2">
        <v>43663.780752314815</v>
      </c>
      <c r="F80" s="2">
        <v>43663.780752314815</v>
      </c>
      <c r="G80">
        <v>140029</v>
      </c>
      <c r="H80" t="s">
        <v>529</v>
      </c>
      <c r="I80" s="10" t="s">
        <v>530</v>
      </c>
      <c r="J80" t="s">
        <v>531</v>
      </c>
      <c r="K80" s="8" t="b">
        <v>1</v>
      </c>
      <c r="L80" s="10" t="b">
        <v>0</v>
      </c>
      <c r="M80" s="12" t="b">
        <v>0</v>
      </c>
      <c r="N80" t="b">
        <v>0</v>
      </c>
      <c r="O80" t="b">
        <v>0</v>
      </c>
      <c r="P80" t="b">
        <v>0</v>
      </c>
      <c r="Q80">
        <f t="shared" si="125"/>
        <v>1</v>
      </c>
      <c r="R80">
        <f t="shared" si="126"/>
        <v>7</v>
      </c>
      <c r="S80" t="e">
        <f t="shared" ca="1" si="156"/>
        <v>#NAME?</v>
      </c>
      <c r="T80" t="e">
        <f t="shared" ca="1" si="127"/>
        <v>#NAME?</v>
      </c>
      <c r="U80" s="4">
        <f t="shared" si="128"/>
        <v>3.7807523148148903</v>
      </c>
      <c r="V80" s="4">
        <f t="shared" si="129"/>
        <v>0.12602507716049635</v>
      </c>
      <c r="W80" s="4">
        <f t="shared" si="130"/>
        <v>1</v>
      </c>
      <c r="X80" s="4">
        <f t="shared" si="131"/>
        <v>0</v>
      </c>
      <c r="Y80" s="4">
        <f t="shared" si="132"/>
        <v>0</v>
      </c>
      <c r="Z80" s="4">
        <f t="shared" si="133"/>
        <v>0</v>
      </c>
      <c r="AA80" s="4">
        <f t="shared" si="134"/>
        <v>0</v>
      </c>
      <c r="AB80" s="4">
        <f t="shared" si="135"/>
        <v>0</v>
      </c>
      <c r="AC80" s="4"/>
      <c r="AD80" s="4" t="b">
        <f t="shared" si="136"/>
        <v>0</v>
      </c>
      <c r="AE80" s="4" t="b">
        <f t="shared" si="137"/>
        <v>0</v>
      </c>
      <c r="AF80" s="4" t="b">
        <f t="shared" si="138"/>
        <v>0</v>
      </c>
      <c r="AG80" t="b">
        <f t="shared" si="139"/>
        <v>0</v>
      </c>
      <c r="AH80" t="b">
        <f t="shared" si="140"/>
        <v>0</v>
      </c>
      <c r="AI80" t="b">
        <f t="shared" si="141"/>
        <v>0</v>
      </c>
      <c r="AJ80" t="b">
        <f t="shared" si="142"/>
        <v>0</v>
      </c>
      <c r="AK80" t="b">
        <f t="shared" si="143"/>
        <v>0</v>
      </c>
      <c r="AL80" t="b">
        <f t="shared" si="144"/>
        <v>0</v>
      </c>
      <c r="AM80" t="b">
        <f t="shared" si="145"/>
        <v>0</v>
      </c>
      <c r="AN80" t="b">
        <f t="shared" si="146"/>
        <v>0</v>
      </c>
      <c r="AO80" t="b">
        <f t="shared" si="147"/>
        <v>0</v>
      </c>
      <c r="AP80" t="b">
        <f t="shared" si="148"/>
        <v>0</v>
      </c>
      <c r="AQ80" t="b">
        <f t="shared" si="149"/>
        <v>0</v>
      </c>
      <c r="AR80" t="b">
        <f t="shared" si="150"/>
        <v>0</v>
      </c>
      <c r="AS80" t="b">
        <f t="shared" si="151"/>
        <v>0</v>
      </c>
      <c r="AT80" t="b">
        <f t="shared" si="152"/>
        <v>0</v>
      </c>
      <c r="AU80" t="b">
        <f t="shared" si="153"/>
        <v>0</v>
      </c>
      <c r="AV80" t="b">
        <f t="shared" si="154"/>
        <v>0</v>
      </c>
      <c r="AW80" t="b">
        <f t="shared" si="155"/>
        <v>0</v>
      </c>
      <c r="AX80" t="b">
        <f t="shared" si="157"/>
        <v>0</v>
      </c>
      <c r="AY80" t="b">
        <f t="shared" si="158"/>
        <v>0</v>
      </c>
      <c r="AZ80" t="b">
        <f t="shared" si="159"/>
        <v>0</v>
      </c>
      <c r="BA80" t="b">
        <f t="shared" si="160"/>
        <v>0</v>
      </c>
      <c r="BB80">
        <f t="shared" si="161"/>
        <v>1</v>
      </c>
      <c r="BC80" t="b">
        <f t="shared" si="162"/>
        <v>0</v>
      </c>
      <c r="BD80" t="b">
        <f t="shared" si="163"/>
        <v>0</v>
      </c>
      <c r="BE80" t="b">
        <f t="shared" si="164"/>
        <v>0</v>
      </c>
      <c r="BF80" t="b">
        <f t="shared" si="165"/>
        <v>0</v>
      </c>
      <c r="BG80" t="b">
        <f t="shared" si="166"/>
        <v>0</v>
      </c>
      <c r="BH80" t="b">
        <f t="shared" si="167"/>
        <v>0</v>
      </c>
      <c r="BI80">
        <f t="shared" si="168"/>
        <v>1</v>
      </c>
      <c r="BJ80" t="b">
        <f t="shared" si="169"/>
        <v>0</v>
      </c>
      <c r="BK80" t="b">
        <f t="shared" si="170"/>
        <v>0</v>
      </c>
      <c r="BL80" t="b">
        <f t="shared" si="171"/>
        <v>0</v>
      </c>
      <c r="BM80" t="b">
        <f t="shared" si="172"/>
        <v>0</v>
      </c>
      <c r="BN80" t="b">
        <f t="shared" si="173"/>
        <v>0</v>
      </c>
      <c r="BO80" t="b">
        <f t="shared" si="174"/>
        <v>0</v>
      </c>
      <c r="BP80" t="b">
        <f t="shared" si="175"/>
        <v>0</v>
      </c>
      <c r="BQ80" t="b">
        <f t="shared" si="176"/>
        <v>0</v>
      </c>
      <c r="BR80">
        <f t="shared" si="177"/>
        <v>1</v>
      </c>
      <c r="BS80">
        <f t="shared" si="178"/>
        <v>1</v>
      </c>
      <c r="BT80" t="b">
        <f t="shared" si="179"/>
        <v>0</v>
      </c>
      <c r="BU80" t="b">
        <f t="shared" si="180"/>
        <v>0</v>
      </c>
      <c r="BV80" t="b">
        <f t="shared" si="181"/>
        <v>0</v>
      </c>
      <c r="BW80" t="b">
        <f t="shared" si="182"/>
        <v>0</v>
      </c>
      <c r="BX80" t="b">
        <f t="shared" si="183"/>
        <v>0</v>
      </c>
      <c r="BY80" t="b">
        <f t="shared" si="184"/>
        <v>0</v>
      </c>
      <c r="BZ80" t="b">
        <f t="shared" si="185"/>
        <v>0</v>
      </c>
      <c r="CA80" t="b">
        <f t="shared" si="186"/>
        <v>0</v>
      </c>
      <c r="CB80" t="b">
        <f t="shared" si="187"/>
        <v>0</v>
      </c>
      <c r="CC80" t="b">
        <f t="shared" si="188"/>
        <v>0</v>
      </c>
      <c r="CD80" t="b">
        <f t="shared" si="189"/>
        <v>0</v>
      </c>
      <c r="CE80">
        <f t="shared" si="190"/>
        <v>1</v>
      </c>
      <c r="CF80" t="b">
        <f t="shared" si="191"/>
        <v>0</v>
      </c>
      <c r="CG80" t="b">
        <f t="shared" si="192"/>
        <v>0</v>
      </c>
      <c r="CH80" t="b">
        <f t="shared" si="193"/>
        <v>0</v>
      </c>
      <c r="CI80" t="b">
        <f t="shared" si="194"/>
        <v>0</v>
      </c>
      <c r="CJ80" t="b">
        <f t="shared" si="195"/>
        <v>0</v>
      </c>
      <c r="CK80" t="b">
        <f t="shared" si="196"/>
        <v>0</v>
      </c>
      <c r="CL80" t="b">
        <f t="shared" si="197"/>
        <v>0</v>
      </c>
      <c r="CM80" t="b">
        <f t="shared" si="198"/>
        <v>0</v>
      </c>
      <c r="CN80" t="b">
        <f t="shared" si="199"/>
        <v>0</v>
      </c>
      <c r="CO80" t="b">
        <f t="shared" si="200"/>
        <v>0</v>
      </c>
      <c r="CP80" t="b">
        <f t="shared" si="201"/>
        <v>0</v>
      </c>
      <c r="CQ80" t="b">
        <f t="shared" si="202"/>
        <v>0</v>
      </c>
      <c r="CR80" t="b">
        <f t="shared" si="203"/>
        <v>0</v>
      </c>
      <c r="CS80" t="b">
        <f t="shared" si="204"/>
        <v>0</v>
      </c>
      <c r="CT80" t="b">
        <f t="shared" si="205"/>
        <v>0</v>
      </c>
      <c r="CU80" t="b">
        <f t="shared" si="206"/>
        <v>0</v>
      </c>
      <c r="CV80">
        <f t="shared" si="207"/>
        <v>1</v>
      </c>
      <c r="CW80" t="b">
        <f t="shared" si="208"/>
        <v>0</v>
      </c>
      <c r="CX80" t="b">
        <f t="shared" si="209"/>
        <v>0</v>
      </c>
      <c r="CY80" t="b">
        <f t="shared" si="210"/>
        <v>0</v>
      </c>
      <c r="CZ80" t="b">
        <f t="shared" si="211"/>
        <v>0</v>
      </c>
      <c r="DA80" t="b">
        <f t="shared" si="212"/>
        <v>0</v>
      </c>
      <c r="DB80" t="b">
        <f t="shared" si="213"/>
        <v>0</v>
      </c>
      <c r="DC80" t="b">
        <f t="shared" si="214"/>
        <v>0</v>
      </c>
      <c r="DD80" t="b">
        <f t="shared" si="215"/>
        <v>0</v>
      </c>
      <c r="DE80" t="b">
        <f t="shared" si="216"/>
        <v>0</v>
      </c>
      <c r="DF80" t="b">
        <f t="shared" si="217"/>
        <v>0</v>
      </c>
      <c r="DG80" t="b">
        <f t="shared" si="218"/>
        <v>0</v>
      </c>
      <c r="DH80" t="b">
        <f t="shared" si="219"/>
        <v>0</v>
      </c>
      <c r="DI80" t="b">
        <f t="shared" si="220"/>
        <v>0</v>
      </c>
      <c r="DJ80" t="b">
        <f t="shared" si="221"/>
        <v>0</v>
      </c>
      <c r="DK80" t="b">
        <f t="shared" si="222"/>
        <v>0</v>
      </c>
      <c r="DL80" t="b">
        <f t="shared" si="223"/>
        <v>0</v>
      </c>
      <c r="DM80" t="b">
        <f t="shared" si="224"/>
        <v>0</v>
      </c>
      <c r="DN80" t="b">
        <f t="shared" si="225"/>
        <v>0</v>
      </c>
      <c r="DO80" t="b">
        <f t="shared" si="226"/>
        <v>0</v>
      </c>
      <c r="DP80" t="b">
        <f t="shared" si="227"/>
        <v>0</v>
      </c>
      <c r="DQ80" t="b">
        <f t="shared" si="228"/>
        <v>0</v>
      </c>
      <c r="DR80" t="b">
        <f t="shared" si="229"/>
        <v>0</v>
      </c>
      <c r="DS80" t="b">
        <f t="shared" si="230"/>
        <v>0</v>
      </c>
      <c r="DT80" t="b">
        <f t="shared" si="231"/>
        <v>0</v>
      </c>
      <c r="DU80" t="b">
        <f t="shared" si="232"/>
        <v>0</v>
      </c>
      <c r="DV80" t="b">
        <f t="shared" si="233"/>
        <v>0</v>
      </c>
      <c r="DW80" t="b">
        <f t="shared" si="234"/>
        <v>0</v>
      </c>
      <c r="DX80" t="b">
        <f t="shared" si="235"/>
        <v>0</v>
      </c>
      <c r="DY80" t="b">
        <f t="shared" si="236"/>
        <v>0</v>
      </c>
      <c r="DZ80" t="b">
        <f t="shared" si="237"/>
        <v>0</v>
      </c>
      <c r="EA80" t="b">
        <f t="shared" si="238"/>
        <v>0</v>
      </c>
      <c r="EB80" t="b">
        <f t="shared" si="239"/>
        <v>0</v>
      </c>
      <c r="EC80" t="b">
        <f t="shared" si="240"/>
        <v>0</v>
      </c>
      <c r="ED80" t="b">
        <f t="shared" si="241"/>
        <v>0</v>
      </c>
      <c r="EE80" t="b">
        <f t="shared" si="242"/>
        <v>0</v>
      </c>
      <c r="EF80">
        <f t="shared" si="243"/>
        <v>1</v>
      </c>
      <c r="EG80" t="b">
        <f t="shared" si="244"/>
        <v>0</v>
      </c>
      <c r="EH80" t="b">
        <f t="shared" si="245"/>
        <v>0</v>
      </c>
      <c r="EI80" t="b">
        <f t="shared" si="246"/>
        <v>0</v>
      </c>
      <c r="EJ80" t="b">
        <f t="shared" si="247"/>
        <v>0</v>
      </c>
      <c r="EK80" t="b">
        <f t="shared" si="248"/>
        <v>0</v>
      </c>
    </row>
    <row r="81" spans="1:141">
      <c r="A81" t="s">
        <v>532</v>
      </c>
      <c r="B81" t="s">
        <v>532</v>
      </c>
      <c r="C81" t="s">
        <v>533</v>
      </c>
      <c r="D81" s="1">
        <v>43462</v>
      </c>
      <c r="E81" s="2">
        <v>43467.245092592595</v>
      </c>
      <c r="F81" s="2">
        <v>43467.252303240741</v>
      </c>
      <c r="G81">
        <v>7633234</v>
      </c>
      <c r="H81" t="s">
        <v>534</v>
      </c>
      <c r="I81" s="10" t="s">
        <v>535</v>
      </c>
      <c r="J81" t="s">
        <v>536</v>
      </c>
      <c r="K81" s="8" t="b">
        <v>1</v>
      </c>
      <c r="L81" s="10" t="b">
        <v>0</v>
      </c>
      <c r="M81" s="12" t="b">
        <v>0</v>
      </c>
      <c r="N81" t="b">
        <v>0</v>
      </c>
      <c r="O81" t="b">
        <v>0</v>
      </c>
      <c r="P81" t="b">
        <v>0</v>
      </c>
      <c r="Q81">
        <f t="shared" si="125"/>
        <v>6</v>
      </c>
      <c r="R81">
        <f t="shared" si="126"/>
        <v>12</v>
      </c>
      <c r="S81" t="e">
        <f t="shared" ca="1" si="156"/>
        <v>#NAME?</v>
      </c>
      <c r="T81" t="e">
        <f t="shared" ca="1" si="127"/>
        <v>#NAME?</v>
      </c>
      <c r="U81" s="4">
        <f t="shared" si="128"/>
        <v>5.2450925925950287</v>
      </c>
      <c r="V81" s="4">
        <f t="shared" si="129"/>
        <v>0.17483641975316763</v>
      </c>
      <c r="W81" s="4">
        <f t="shared" si="130"/>
        <v>1</v>
      </c>
      <c r="X81" s="4">
        <f t="shared" si="131"/>
        <v>0</v>
      </c>
      <c r="Y81" s="4">
        <f t="shared" si="132"/>
        <v>0</v>
      </c>
      <c r="Z81" s="4">
        <f t="shared" si="133"/>
        <v>0</v>
      </c>
      <c r="AA81" s="4">
        <f t="shared" si="134"/>
        <v>0</v>
      </c>
      <c r="AB81" s="4">
        <f t="shared" si="135"/>
        <v>0</v>
      </c>
      <c r="AC81" s="4"/>
      <c r="AD81" s="4" t="b">
        <f t="shared" si="136"/>
        <v>0</v>
      </c>
      <c r="AE81" s="4" t="b">
        <f t="shared" si="137"/>
        <v>0</v>
      </c>
      <c r="AF81" s="4" t="b">
        <f t="shared" si="138"/>
        <v>0</v>
      </c>
      <c r="AG81" t="b">
        <f t="shared" si="139"/>
        <v>0</v>
      </c>
      <c r="AH81" t="b">
        <f t="shared" si="140"/>
        <v>0</v>
      </c>
      <c r="AI81" t="b">
        <f t="shared" si="141"/>
        <v>0</v>
      </c>
      <c r="AJ81" t="b">
        <f t="shared" si="142"/>
        <v>0</v>
      </c>
      <c r="AK81" t="b">
        <f t="shared" si="143"/>
        <v>0</v>
      </c>
      <c r="AL81" t="b">
        <f t="shared" si="144"/>
        <v>0</v>
      </c>
      <c r="AM81" t="b">
        <f t="shared" si="145"/>
        <v>0</v>
      </c>
      <c r="AN81" t="b">
        <f t="shared" si="146"/>
        <v>0</v>
      </c>
      <c r="AO81" t="b">
        <f t="shared" si="147"/>
        <v>0</v>
      </c>
      <c r="AP81" t="b">
        <f t="shared" si="148"/>
        <v>0</v>
      </c>
      <c r="AQ81" t="b">
        <f t="shared" si="149"/>
        <v>0</v>
      </c>
      <c r="AR81" t="b">
        <f t="shared" si="150"/>
        <v>0</v>
      </c>
      <c r="AS81" t="b">
        <f t="shared" si="151"/>
        <v>0</v>
      </c>
      <c r="AT81" t="b">
        <f t="shared" si="152"/>
        <v>0</v>
      </c>
      <c r="AU81" t="b">
        <f t="shared" si="153"/>
        <v>0</v>
      </c>
      <c r="AV81" t="b">
        <f t="shared" si="154"/>
        <v>0</v>
      </c>
      <c r="AW81" t="b">
        <f t="shared" si="155"/>
        <v>0</v>
      </c>
      <c r="AX81" t="b">
        <f t="shared" si="157"/>
        <v>0</v>
      </c>
      <c r="AY81" t="b">
        <f t="shared" si="158"/>
        <v>0</v>
      </c>
      <c r="AZ81" t="b">
        <f t="shared" si="159"/>
        <v>0</v>
      </c>
      <c r="BA81" t="b">
        <f t="shared" si="160"/>
        <v>0</v>
      </c>
      <c r="BB81" t="b">
        <f t="shared" si="161"/>
        <v>0</v>
      </c>
      <c r="BC81" t="b">
        <f t="shared" si="162"/>
        <v>0</v>
      </c>
      <c r="BD81" t="b">
        <f t="shared" si="163"/>
        <v>0</v>
      </c>
      <c r="BE81" t="b">
        <f t="shared" si="164"/>
        <v>0</v>
      </c>
      <c r="BF81" t="b">
        <f t="shared" si="165"/>
        <v>0</v>
      </c>
      <c r="BG81" t="b">
        <f t="shared" si="166"/>
        <v>0</v>
      </c>
      <c r="BH81" t="b">
        <f t="shared" si="167"/>
        <v>0</v>
      </c>
      <c r="BI81">
        <f t="shared" si="168"/>
        <v>1</v>
      </c>
      <c r="BJ81" t="b">
        <f t="shared" si="169"/>
        <v>0</v>
      </c>
      <c r="BK81" t="b">
        <f t="shared" si="170"/>
        <v>0</v>
      </c>
      <c r="BL81" t="b">
        <f t="shared" si="171"/>
        <v>0</v>
      </c>
      <c r="BM81" t="b">
        <f t="shared" si="172"/>
        <v>0</v>
      </c>
      <c r="BN81" t="b">
        <f t="shared" si="173"/>
        <v>0</v>
      </c>
      <c r="BO81" t="b">
        <f t="shared" si="174"/>
        <v>0</v>
      </c>
      <c r="BP81" t="b">
        <f t="shared" si="175"/>
        <v>0</v>
      </c>
      <c r="BQ81" t="b">
        <f t="shared" si="176"/>
        <v>0</v>
      </c>
      <c r="BR81" t="b">
        <f t="shared" si="177"/>
        <v>0</v>
      </c>
      <c r="BS81" t="b">
        <f t="shared" si="178"/>
        <v>0</v>
      </c>
      <c r="BT81" t="b">
        <f t="shared" si="179"/>
        <v>0</v>
      </c>
      <c r="BU81" t="b">
        <f t="shared" si="180"/>
        <v>0</v>
      </c>
      <c r="BV81" t="b">
        <f t="shared" si="181"/>
        <v>0</v>
      </c>
      <c r="BW81" t="b">
        <f t="shared" si="182"/>
        <v>0</v>
      </c>
      <c r="BX81" t="b">
        <f t="shared" si="183"/>
        <v>0</v>
      </c>
      <c r="BY81" t="b">
        <f t="shared" si="184"/>
        <v>0</v>
      </c>
      <c r="BZ81" t="b">
        <f t="shared" si="185"/>
        <v>0</v>
      </c>
      <c r="CA81" t="b">
        <f t="shared" si="186"/>
        <v>0</v>
      </c>
      <c r="CB81" t="b">
        <f t="shared" si="187"/>
        <v>0</v>
      </c>
      <c r="CC81" t="b">
        <f t="shared" si="188"/>
        <v>0</v>
      </c>
      <c r="CD81" t="b">
        <f t="shared" si="189"/>
        <v>0</v>
      </c>
      <c r="CE81">
        <f t="shared" si="190"/>
        <v>1</v>
      </c>
      <c r="CF81" t="b">
        <f t="shared" si="191"/>
        <v>0</v>
      </c>
      <c r="CG81" t="b">
        <f t="shared" si="192"/>
        <v>0</v>
      </c>
      <c r="CH81" t="b">
        <f t="shared" si="193"/>
        <v>0</v>
      </c>
      <c r="CI81" t="b">
        <f t="shared" si="194"/>
        <v>0</v>
      </c>
      <c r="CJ81" t="b">
        <f t="shared" si="195"/>
        <v>0</v>
      </c>
      <c r="CK81" t="b">
        <f t="shared" si="196"/>
        <v>0</v>
      </c>
      <c r="CL81" t="b">
        <f t="shared" si="197"/>
        <v>0</v>
      </c>
      <c r="CM81" t="b">
        <f t="shared" si="198"/>
        <v>0</v>
      </c>
      <c r="CN81" t="b">
        <f t="shared" si="199"/>
        <v>0</v>
      </c>
      <c r="CO81" t="b">
        <f t="shared" si="200"/>
        <v>0</v>
      </c>
      <c r="CP81" t="b">
        <f t="shared" si="201"/>
        <v>0</v>
      </c>
      <c r="CQ81" t="b">
        <f t="shared" si="202"/>
        <v>0</v>
      </c>
      <c r="CR81" t="b">
        <f t="shared" si="203"/>
        <v>0</v>
      </c>
      <c r="CS81" t="b">
        <f t="shared" si="204"/>
        <v>0</v>
      </c>
      <c r="CT81" t="b">
        <f t="shared" si="205"/>
        <v>0</v>
      </c>
      <c r="CU81" t="b">
        <f t="shared" si="206"/>
        <v>0</v>
      </c>
      <c r="CV81">
        <f t="shared" si="207"/>
        <v>1</v>
      </c>
      <c r="CW81" t="b">
        <f t="shared" si="208"/>
        <v>0</v>
      </c>
      <c r="CX81" t="b">
        <f t="shared" si="209"/>
        <v>0</v>
      </c>
      <c r="CY81" t="b">
        <f t="shared" si="210"/>
        <v>0</v>
      </c>
      <c r="CZ81" t="b">
        <f t="shared" si="211"/>
        <v>0</v>
      </c>
      <c r="DA81" t="b">
        <f t="shared" si="212"/>
        <v>0</v>
      </c>
      <c r="DB81" t="b">
        <f t="shared" si="213"/>
        <v>0</v>
      </c>
      <c r="DC81" t="b">
        <f t="shared" si="214"/>
        <v>0</v>
      </c>
      <c r="DD81" t="b">
        <f t="shared" si="215"/>
        <v>0</v>
      </c>
      <c r="DE81" t="b">
        <f t="shared" si="216"/>
        <v>0</v>
      </c>
      <c r="DF81" t="b">
        <f t="shared" si="217"/>
        <v>0</v>
      </c>
      <c r="DG81" t="b">
        <f t="shared" si="218"/>
        <v>0</v>
      </c>
      <c r="DH81" t="b">
        <f t="shared" si="219"/>
        <v>0</v>
      </c>
      <c r="DI81" t="b">
        <f t="shared" si="220"/>
        <v>0</v>
      </c>
      <c r="DJ81">
        <f t="shared" si="221"/>
        <v>1</v>
      </c>
      <c r="DK81" t="b">
        <f t="shared" si="222"/>
        <v>0</v>
      </c>
      <c r="DL81" t="b">
        <f t="shared" si="223"/>
        <v>0</v>
      </c>
      <c r="DM81" t="b">
        <f t="shared" si="224"/>
        <v>0</v>
      </c>
      <c r="DN81" t="b">
        <f t="shared" si="225"/>
        <v>0</v>
      </c>
      <c r="DO81" t="b">
        <f t="shared" si="226"/>
        <v>0</v>
      </c>
      <c r="DP81" t="b">
        <f t="shared" si="227"/>
        <v>0</v>
      </c>
      <c r="DQ81" t="b">
        <f t="shared" si="228"/>
        <v>0</v>
      </c>
      <c r="DR81" t="b">
        <f t="shared" si="229"/>
        <v>0</v>
      </c>
      <c r="DS81" t="b">
        <f t="shared" si="230"/>
        <v>0</v>
      </c>
      <c r="DT81" t="b">
        <f t="shared" si="231"/>
        <v>0</v>
      </c>
      <c r="DU81" t="b">
        <f t="shared" si="232"/>
        <v>0</v>
      </c>
      <c r="DV81" t="b">
        <f t="shared" si="233"/>
        <v>0</v>
      </c>
      <c r="DW81" t="b">
        <f t="shared" si="234"/>
        <v>0</v>
      </c>
      <c r="DX81" t="b">
        <f t="shared" si="235"/>
        <v>0</v>
      </c>
      <c r="DY81" t="b">
        <f t="shared" si="236"/>
        <v>0</v>
      </c>
      <c r="DZ81" t="b">
        <f t="shared" si="237"/>
        <v>0</v>
      </c>
      <c r="EA81" t="b">
        <f t="shared" si="238"/>
        <v>0</v>
      </c>
      <c r="EB81" t="b">
        <f t="shared" si="239"/>
        <v>0</v>
      </c>
      <c r="EC81" t="b">
        <f t="shared" si="240"/>
        <v>0</v>
      </c>
      <c r="ED81" t="b">
        <f t="shared" si="241"/>
        <v>0</v>
      </c>
      <c r="EE81" t="b">
        <f t="shared" si="242"/>
        <v>0</v>
      </c>
      <c r="EF81">
        <f t="shared" si="243"/>
        <v>1</v>
      </c>
      <c r="EG81" t="b">
        <f t="shared" si="244"/>
        <v>0</v>
      </c>
      <c r="EH81" t="b">
        <f t="shared" si="245"/>
        <v>0</v>
      </c>
      <c r="EI81">
        <f t="shared" si="246"/>
        <v>1</v>
      </c>
      <c r="EJ81" t="b">
        <f t="shared" si="247"/>
        <v>0</v>
      </c>
      <c r="EK81" t="b">
        <f t="shared" si="248"/>
        <v>0</v>
      </c>
    </row>
    <row r="82" spans="1:141">
      <c r="A82" t="s">
        <v>537</v>
      </c>
      <c r="B82" t="s">
        <v>537</v>
      </c>
      <c r="C82" t="s">
        <v>538</v>
      </c>
      <c r="D82" s="1">
        <v>42795</v>
      </c>
      <c r="E82" s="2">
        <v>43063.344027777777</v>
      </c>
      <c r="F82" s="2">
        <v>43063.344965277778</v>
      </c>
      <c r="G82">
        <v>995274</v>
      </c>
      <c r="H82" t="s">
        <v>539</v>
      </c>
      <c r="I82" s="10" t="s">
        <v>540</v>
      </c>
      <c r="J82" t="s">
        <v>188</v>
      </c>
      <c r="K82" s="8" t="b">
        <v>1</v>
      </c>
      <c r="L82" s="10" t="b">
        <v>0</v>
      </c>
      <c r="M82" s="12" t="b">
        <v>0</v>
      </c>
      <c r="N82" t="b">
        <v>0</v>
      </c>
      <c r="O82" t="b">
        <v>0</v>
      </c>
      <c r="P82" t="b">
        <v>0</v>
      </c>
      <c r="Q82">
        <f t="shared" si="125"/>
        <v>4</v>
      </c>
      <c r="R82">
        <f t="shared" si="126"/>
        <v>3</v>
      </c>
      <c r="S82" t="e">
        <f t="shared" ca="1" si="156"/>
        <v>#NAME?</v>
      </c>
      <c r="T82" t="e">
        <f t="shared" ca="1" si="127"/>
        <v>#NAME?</v>
      </c>
      <c r="U82" s="4">
        <f t="shared" si="128"/>
        <v>268.34402777777723</v>
      </c>
      <c r="V82" s="4">
        <f t="shared" si="129"/>
        <v>8.9448009259259074</v>
      </c>
      <c r="W82" s="4">
        <f t="shared" si="130"/>
        <v>1</v>
      </c>
      <c r="X82" s="4">
        <f t="shared" si="131"/>
        <v>0</v>
      </c>
      <c r="Y82" s="4">
        <f t="shared" si="132"/>
        <v>0</v>
      </c>
      <c r="Z82" s="4">
        <f t="shared" si="133"/>
        <v>0</v>
      </c>
      <c r="AA82" s="4">
        <f t="shared" si="134"/>
        <v>0</v>
      </c>
      <c r="AB82" s="4">
        <f t="shared" si="135"/>
        <v>0</v>
      </c>
      <c r="AC82" s="4"/>
      <c r="AD82" s="4" t="b">
        <f t="shared" si="136"/>
        <v>0</v>
      </c>
      <c r="AE82" s="4" t="b">
        <f t="shared" si="137"/>
        <v>0</v>
      </c>
      <c r="AF82" s="4" t="b">
        <f t="shared" si="138"/>
        <v>0</v>
      </c>
      <c r="AG82" t="b">
        <f t="shared" si="139"/>
        <v>0</v>
      </c>
      <c r="AH82" t="b">
        <f t="shared" si="140"/>
        <v>0</v>
      </c>
      <c r="AI82" t="b">
        <f t="shared" si="141"/>
        <v>0</v>
      </c>
      <c r="AJ82" t="b">
        <f t="shared" si="142"/>
        <v>0</v>
      </c>
      <c r="AK82" t="b">
        <f t="shared" si="143"/>
        <v>0</v>
      </c>
      <c r="AL82" t="b">
        <f t="shared" si="144"/>
        <v>0</v>
      </c>
      <c r="AM82" t="b">
        <f t="shared" si="145"/>
        <v>0</v>
      </c>
      <c r="AN82" t="b">
        <f t="shared" si="146"/>
        <v>0</v>
      </c>
      <c r="AO82" t="b">
        <f t="shared" si="147"/>
        <v>0</v>
      </c>
      <c r="AP82" t="b">
        <f t="shared" si="148"/>
        <v>0</v>
      </c>
      <c r="AQ82" t="b">
        <f t="shared" si="149"/>
        <v>0</v>
      </c>
      <c r="AR82" t="b">
        <f t="shared" si="150"/>
        <v>0</v>
      </c>
      <c r="AS82" t="b">
        <f t="shared" si="151"/>
        <v>0</v>
      </c>
      <c r="AT82" t="b">
        <f t="shared" si="152"/>
        <v>0</v>
      </c>
      <c r="AU82" t="b">
        <f t="shared" si="153"/>
        <v>0</v>
      </c>
      <c r="AV82" t="b">
        <f t="shared" si="154"/>
        <v>0</v>
      </c>
      <c r="AW82" t="b">
        <f t="shared" si="155"/>
        <v>0</v>
      </c>
      <c r="AX82" t="b">
        <f t="shared" si="157"/>
        <v>0</v>
      </c>
      <c r="AY82" t="b">
        <f t="shared" si="158"/>
        <v>0</v>
      </c>
      <c r="AZ82" t="b">
        <f t="shared" si="159"/>
        <v>0</v>
      </c>
      <c r="BA82" t="b">
        <f t="shared" si="160"/>
        <v>0</v>
      </c>
      <c r="BB82" t="b">
        <f t="shared" si="161"/>
        <v>0</v>
      </c>
      <c r="BC82" t="b">
        <f t="shared" si="162"/>
        <v>0</v>
      </c>
      <c r="BD82" t="b">
        <f t="shared" si="163"/>
        <v>0</v>
      </c>
      <c r="BE82" t="b">
        <f t="shared" si="164"/>
        <v>0</v>
      </c>
      <c r="BF82" t="b">
        <f t="shared" si="165"/>
        <v>0</v>
      </c>
      <c r="BG82" t="b">
        <f t="shared" si="166"/>
        <v>0</v>
      </c>
      <c r="BH82" t="b">
        <f t="shared" si="167"/>
        <v>0</v>
      </c>
      <c r="BI82">
        <f t="shared" si="168"/>
        <v>1</v>
      </c>
      <c r="BJ82" t="b">
        <f t="shared" si="169"/>
        <v>0</v>
      </c>
      <c r="BK82" t="b">
        <f t="shared" si="170"/>
        <v>0</v>
      </c>
      <c r="BL82" t="b">
        <f t="shared" si="171"/>
        <v>0</v>
      </c>
      <c r="BM82" t="b">
        <f t="shared" si="172"/>
        <v>0</v>
      </c>
      <c r="BN82" t="b">
        <f t="shared" si="173"/>
        <v>0</v>
      </c>
      <c r="BO82" t="b">
        <f t="shared" si="174"/>
        <v>0</v>
      </c>
      <c r="BP82" t="b">
        <f t="shared" si="175"/>
        <v>0</v>
      </c>
      <c r="BQ82" t="b">
        <f t="shared" si="176"/>
        <v>0</v>
      </c>
      <c r="BR82" t="b">
        <f t="shared" si="177"/>
        <v>0</v>
      </c>
      <c r="BS82" t="b">
        <f t="shared" si="178"/>
        <v>0</v>
      </c>
      <c r="BT82" t="b">
        <f t="shared" si="179"/>
        <v>0</v>
      </c>
      <c r="BU82" t="b">
        <f t="shared" si="180"/>
        <v>0</v>
      </c>
      <c r="BV82" t="b">
        <f t="shared" si="181"/>
        <v>0</v>
      </c>
      <c r="BW82" t="b">
        <f t="shared" si="182"/>
        <v>0</v>
      </c>
      <c r="BX82" t="b">
        <f t="shared" si="183"/>
        <v>0</v>
      </c>
      <c r="BY82" t="b">
        <f t="shared" si="184"/>
        <v>0</v>
      </c>
      <c r="BZ82" t="b">
        <f t="shared" si="185"/>
        <v>0</v>
      </c>
      <c r="CA82" t="b">
        <f t="shared" si="186"/>
        <v>0</v>
      </c>
      <c r="CB82" t="b">
        <f t="shared" si="187"/>
        <v>0</v>
      </c>
      <c r="CC82" t="b">
        <f t="shared" si="188"/>
        <v>0</v>
      </c>
      <c r="CD82" t="b">
        <f t="shared" si="189"/>
        <v>0</v>
      </c>
      <c r="CE82">
        <f t="shared" si="190"/>
        <v>1</v>
      </c>
      <c r="CF82" t="b">
        <f t="shared" si="191"/>
        <v>0</v>
      </c>
      <c r="CG82" t="b">
        <f t="shared" si="192"/>
        <v>0</v>
      </c>
      <c r="CH82" t="b">
        <f t="shared" si="193"/>
        <v>0</v>
      </c>
      <c r="CI82" t="b">
        <f t="shared" si="194"/>
        <v>0</v>
      </c>
      <c r="CJ82" t="b">
        <f t="shared" si="195"/>
        <v>0</v>
      </c>
      <c r="CK82" t="b">
        <f t="shared" si="196"/>
        <v>0</v>
      </c>
      <c r="CL82" t="b">
        <f t="shared" si="197"/>
        <v>0</v>
      </c>
      <c r="CM82" t="b">
        <f t="shared" si="198"/>
        <v>0</v>
      </c>
      <c r="CN82" t="b">
        <f t="shared" si="199"/>
        <v>0</v>
      </c>
      <c r="CO82" t="b">
        <f t="shared" si="200"/>
        <v>0</v>
      </c>
      <c r="CP82" t="b">
        <f t="shared" si="201"/>
        <v>0</v>
      </c>
      <c r="CQ82" t="b">
        <f t="shared" si="202"/>
        <v>0</v>
      </c>
      <c r="CR82" t="b">
        <f t="shared" si="203"/>
        <v>0</v>
      </c>
      <c r="CS82" t="b">
        <f t="shared" si="204"/>
        <v>0</v>
      </c>
      <c r="CT82" t="b">
        <f t="shared" si="205"/>
        <v>0</v>
      </c>
      <c r="CU82" t="b">
        <f t="shared" si="206"/>
        <v>0</v>
      </c>
      <c r="CV82">
        <f t="shared" si="207"/>
        <v>1</v>
      </c>
      <c r="CW82" t="b">
        <f t="shared" si="208"/>
        <v>0</v>
      </c>
      <c r="CX82" t="b">
        <f t="shared" si="209"/>
        <v>0</v>
      </c>
      <c r="CY82" t="b">
        <f t="shared" si="210"/>
        <v>0</v>
      </c>
      <c r="CZ82" t="b">
        <f t="shared" si="211"/>
        <v>0</v>
      </c>
      <c r="DA82" t="b">
        <f t="shared" si="212"/>
        <v>0</v>
      </c>
      <c r="DB82" t="b">
        <f t="shared" si="213"/>
        <v>0</v>
      </c>
      <c r="DC82" t="b">
        <f t="shared" si="214"/>
        <v>0</v>
      </c>
      <c r="DD82" t="b">
        <f t="shared" si="215"/>
        <v>0</v>
      </c>
      <c r="DE82" t="b">
        <f t="shared" si="216"/>
        <v>0</v>
      </c>
      <c r="DF82" t="b">
        <f t="shared" si="217"/>
        <v>0</v>
      </c>
      <c r="DG82" t="b">
        <f t="shared" si="218"/>
        <v>0</v>
      </c>
      <c r="DH82" t="b">
        <f t="shared" si="219"/>
        <v>0</v>
      </c>
      <c r="DI82" t="b">
        <f t="shared" si="220"/>
        <v>0</v>
      </c>
      <c r="DJ82" t="b">
        <f t="shared" si="221"/>
        <v>0</v>
      </c>
      <c r="DK82" t="b">
        <f t="shared" si="222"/>
        <v>0</v>
      </c>
      <c r="DL82" t="b">
        <f t="shared" si="223"/>
        <v>0</v>
      </c>
      <c r="DM82" t="b">
        <f t="shared" si="224"/>
        <v>0</v>
      </c>
      <c r="DN82" t="b">
        <f t="shared" si="225"/>
        <v>0</v>
      </c>
      <c r="DO82" t="b">
        <f t="shared" si="226"/>
        <v>0</v>
      </c>
      <c r="DP82" t="b">
        <f t="shared" si="227"/>
        <v>0</v>
      </c>
      <c r="DQ82" t="b">
        <f t="shared" si="228"/>
        <v>0</v>
      </c>
      <c r="DR82" t="b">
        <f t="shared" si="229"/>
        <v>0</v>
      </c>
      <c r="DS82" t="b">
        <f t="shared" si="230"/>
        <v>0</v>
      </c>
      <c r="DT82" t="b">
        <f t="shared" si="231"/>
        <v>0</v>
      </c>
      <c r="DU82" t="b">
        <f t="shared" si="232"/>
        <v>0</v>
      </c>
      <c r="DV82" t="b">
        <f t="shared" si="233"/>
        <v>0</v>
      </c>
      <c r="DW82" t="b">
        <f t="shared" si="234"/>
        <v>0</v>
      </c>
      <c r="DX82" t="b">
        <f t="shared" si="235"/>
        <v>0</v>
      </c>
      <c r="DY82" t="b">
        <f t="shared" si="236"/>
        <v>0</v>
      </c>
      <c r="DZ82" t="b">
        <f t="shared" si="237"/>
        <v>0</v>
      </c>
      <c r="EA82" t="b">
        <f t="shared" si="238"/>
        <v>0</v>
      </c>
      <c r="EB82" t="b">
        <f t="shared" si="239"/>
        <v>0</v>
      </c>
      <c r="EC82" t="b">
        <f t="shared" si="240"/>
        <v>0</v>
      </c>
      <c r="ED82" t="b">
        <f t="shared" si="241"/>
        <v>0</v>
      </c>
      <c r="EE82" t="b">
        <f t="shared" si="242"/>
        <v>0</v>
      </c>
      <c r="EF82">
        <f t="shared" si="243"/>
        <v>1</v>
      </c>
      <c r="EG82" t="b">
        <f t="shared" si="244"/>
        <v>0</v>
      </c>
      <c r="EH82" t="b">
        <f t="shared" si="245"/>
        <v>0</v>
      </c>
      <c r="EI82" t="b">
        <f t="shared" si="246"/>
        <v>0</v>
      </c>
      <c r="EJ82" t="b">
        <f t="shared" si="247"/>
        <v>0</v>
      </c>
      <c r="EK82" t="b">
        <f t="shared" si="248"/>
        <v>0</v>
      </c>
    </row>
    <row r="83" spans="1:141">
      <c r="A83" t="s">
        <v>541</v>
      </c>
      <c r="B83" t="s">
        <v>542</v>
      </c>
      <c r="C83" t="s">
        <v>543</v>
      </c>
      <c r="D83" s="1">
        <v>43441</v>
      </c>
      <c r="E83" s="2">
        <v>43444.586655092593</v>
      </c>
      <c r="F83" s="2">
        <v>43444.586655092593</v>
      </c>
      <c r="G83">
        <v>575437</v>
      </c>
      <c r="H83" t="s">
        <v>544</v>
      </c>
      <c r="I83" s="10" t="s">
        <v>545</v>
      </c>
      <c r="J83" t="s">
        <v>147</v>
      </c>
      <c r="K83" s="8" t="b">
        <v>1</v>
      </c>
      <c r="L83" s="10" t="b">
        <v>0</v>
      </c>
      <c r="M83" s="12" t="b">
        <v>0</v>
      </c>
      <c r="N83" t="b">
        <v>0</v>
      </c>
      <c r="O83" t="b">
        <v>0</v>
      </c>
      <c r="P83" t="b">
        <v>0</v>
      </c>
      <c r="Q83">
        <f t="shared" si="125"/>
        <v>6</v>
      </c>
      <c r="R83">
        <f t="shared" si="126"/>
        <v>12</v>
      </c>
      <c r="S83" t="e">
        <f t="shared" ca="1" si="156"/>
        <v>#NAME?</v>
      </c>
      <c r="T83" t="e">
        <f t="shared" ca="1" si="127"/>
        <v>#NAME?</v>
      </c>
      <c r="U83" s="4">
        <f t="shared" si="128"/>
        <v>3.5866550925929914</v>
      </c>
      <c r="V83" s="4">
        <f t="shared" si="129"/>
        <v>0.11955516975309971</v>
      </c>
      <c r="W83" s="4">
        <f t="shared" si="130"/>
        <v>1</v>
      </c>
      <c r="X83" s="4">
        <f t="shared" si="131"/>
        <v>0</v>
      </c>
      <c r="Y83" s="4">
        <f t="shared" si="132"/>
        <v>0</v>
      </c>
      <c r="Z83" s="4">
        <f t="shared" si="133"/>
        <v>0</v>
      </c>
      <c r="AA83" s="4">
        <f t="shared" si="134"/>
        <v>0</v>
      </c>
      <c r="AB83" s="4">
        <f t="shared" si="135"/>
        <v>0</v>
      </c>
      <c r="AC83" s="4"/>
      <c r="AD83" s="4" t="b">
        <f t="shared" si="136"/>
        <v>0</v>
      </c>
      <c r="AE83" s="4" t="b">
        <f t="shared" si="137"/>
        <v>0</v>
      </c>
      <c r="AF83" s="4" t="b">
        <f t="shared" si="138"/>
        <v>0</v>
      </c>
      <c r="AG83" t="b">
        <f t="shared" si="139"/>
        <v>0</v>
      </c>
      <c r="AH83" t="b">
        <f t="shared" si="140"/>
        <v>0</v>
      </c>
      <c r="AI83" t="b">
        <f t="shared" si="141"/>
        <v>0</v>
      </c>
      <c r="AJ83" t="b">
        <f t="shared" si="142"/>
        <v>0</v>
      </c>
      <c r="AK83" t="b">
        <f t="shared" si="143"/>
        <v>0</v>
      </c>
      <c r="AL83" t="b">
        <f t="shared" si="144"/>
        <v>0</v>
      </c>
      <c r="AM83" t="b">
        <f t="shared" si="145"/>
        <v>0</v>
      </c>
      <c r="AN83" t="b">
        <f t="shared" si="146"/>
        <v>0</v>
      </c>
      <c r="AO83" t="b">
        <f t="shared" si="147"/>
        <v>0</v>
      </c>
      <c r="AP83" t="b">
        <f t="shared" si="148"/>
        <v>0</v>
      </c>
      <c r="AQ83" t="b">
        <f t="shared" si="149"/>
        <v>0</v>
      </c>
      <c r="AR83" t="b">
        <f t="shared" si="150"/>
        <v>0</v>
      </c>
      <c r="AS83" t="b">
        <f t="shared" si="151"/>
        <v>0</v>
      </c>
      <c r="AT83" t="b">
        <f t="shared" si="152"/>
        <v>0</v>
      </c>
      <c r="AU83" t="b">
        <f t="shared" si="153"/>
        <v>0</v>
      </c>
      <c r="AV83" t="b">
        <f t="shared" si="154"/>
        <v>0</v>
      </c>
      <c r="AW83" t="b">
        <f t="shared" si="155"/>
        <v>0</v>
      </c>
      <c r="AX83" t="b">
        <f t="shared" si="157"/>
        <v>0</v>
      </c>
      <c r="AY83" t="b">
        <f t="shared" si="158"/>
        <v>0</v>
      </c>
      <c r="AZ83" t="b">
        <f t="shared" si="159"/>
        <v>0</v>
      </c>
      <c r="BA83" t="b">
        <f t="shared" si="160"/>
        <v>0</v>
      </c>
      <c r="BB83" t="b">
        <f t="shared" si="161"/>
        <v>0</v>
      </c>
      <c r="BC83" t="b">
        <f t="shared" si="162"/>
        <v>0</v>
      </c>
      <c r="BD83" t="b">
        <f t="shared" si="163"/>
        <v>0</v>
      </c>
      <c r="BE83" t="b">
        <f t="shared" si="164"/>
        <v>0</v>
      </c>
      <c r="BF83" t="b">
        <f t="shared" si="165"/>
        <v>0</v>
      </c>
      <c r="BG83" t="b">
        <f t="shared" si="166"/>
        <v>0</v>
      </c>
      <c r="BH83" t="b">
        <f t="shared" si="167"/>
        <v>0</v>
      </c>
      <c r="BI83">
        <f t="shared" si="168"/>
        <v>1</v>
      </c>
      <c r="BJ83" t="b">
        <f t="shared" si="169"/>
        <v>0</v>
      </c>
      <c r="BK83" t="b">
        <f t="shared" si="170"/>
        <v>0</v>
      </c>
      <c r="BL83" t="b">
        <f t="shared" si="171"/>
        <v>0</v>
      </c>
      <c r="BM83" t="b">
        <f t="shared" si="172"/>
        <v>0</v>
      </c>
      <c r="BN83" t="b">
        <f t="shared" si="173"/>
        <v>0</v>
      </c>
      <c r="BO83" t="b">
        <f t="shared" si="174"/>
        <v>0</v>
      </c>
      <c r="BP83" t="b">
        <f t="shared" si="175"/>
        <v>0</v>
      </c>
      <c r="BQ83" t="b">
        <f t="shared" si="176"/>
        <v>0</v>
      </c>
      <c r="BR83" t="b">
        <f t="shared" si="177"/>
        <v>0</v>
      </c>
      <c r="BS83" t="b">
        <f t="shared" si="178"/>
        <v>0</v>
      </c>
      <c r="BT83" t="b">
        <f t="shared" si="179"/>
        <v>0</v>
      </c>
      <c r="BU83" t="b">
        <f t="shared" si="180"/>
        <v>0</v>
      </c>
      <c r="BV83" t="b">
        <f t="shared" si="181"/>
        <v>0</v>
      </c>
      <c r="BW83" t="b">
        <f t="shared" si="182"/>
        <v>0</v>
      </c>
      <c r="BX83" t="b">
        <f t="shared" si="183"/>
        <v>0</v>
      </c>
      <c r="BY83" t="b">
        <f t="shared" si="184"/>
        <v>0</v>
      </c>
      <c r="BZ83" t="b">
        <f t="shared" si="185"/>
        <v>0</v>
      </c>
      <c r="CA83" t="b">
        <f t="shared" si="186"/>
        <v>0</v>
      </c>
      <c r="CB83" t="b">
        <f t="shared" si="187"/>
        <v>0</v>
      </c>
      <c r="CC83" t="b">
        <f t="shared" si="188"/>
        <v>0</v>
      </c>
      <c r="CD83" t="b">
        <f t="shared" si="189"/>
        <v>0</v>
      </c>
      <c r="CE83" t="b">
        <f t="shared" si="190"/>
        <v>0</v>
      </c>
      <c r="CF83" t="b">
        <f t="shared" si="191"/>
        <v>0</v>
      </c>
      <c r="CG83" t="b">
        <f t="shared" si="192"/>
        <v>0</v>
      </c>
      <c r="CH83" t="b">
        <f t="shared" si="193"/>
        <v>0</v>
      </c>
      <c r="CI83" t="b">
        <f t="shared" si="194"/>
        <v>0</v>
      </c>
      <c r="CJ83" t="b">
        <f t="shared" si="195"/>
        <v>0</v>
      </c>
      <c r="CK83" t="b">
        <f t="shared" si="196"/>
        <v>0</v>
      </c>
      <c r="CL83" t="b">
        <f t="shared" si="197"/>
        <v>0</v>
      </c>
      <c r="CM83" t="b">
        <f t="shared" si="198"/>
        <v>0</v>
      </c>
      <c r="CN83" t="b">
        <f t="shared" si="199"/>
        <v>0</v>
      </c>
      <c r="CO83" t="b">
        <f t="shared" si="200"/>
        <v>0</v>
      </c>
      <c r="CP83" t="b">
        <f t="shared" si="201"/>
        <v>0</v>
      </c>
      <c r="CQ83" t="b">
        <f t="shared" si="202"/>
        <v>0</v>
      </c>
      <c r="CR83" t="b">
        <f t="shared" si="203"/>
        <v>0</v>
      </c>
      <c r="CS83" t="b">
        <f t="shared" si="204"/>
        <v>0</v>
      </c>
      <c r="CT83" t="b">
        <f t="shared" si="205"/>
        <v>0</v>
      </c>
      <c r="CU83" t="b">
        <f t="shared" si="206"/>
        <v>0</v>
      </c>
      <c r="CV83">
        <f t="shared" si="207"/>
        <v>1</v>
      </c>
      <c r="CW83" t="b">
        <f t="shared" si="208"/>
        <v>0</v>
      </c>
      <c r="CX83" t="b">
        <f t="shared" si="209"/>
        <v>0</v>
      </c>
      <c r="CY83" t="b">
        <f t="shared" si="210"/>
        <v>0</v>
      </c>
      <c r="CZ83" t="b">
        <f t="shared" si="211"/>
        <v>0</v>
      </c>
      <c r="DA83" t="b">
        <f t="shared" si="212"/>
        <v>0</v>
      </c>
      <c r="DB83" t="b">
        <f t="shared" si="213"/>
        <v>0</v>
      </c>
      <c r="DC83" t="b">
        <f t="shared" si="214"/>
        <v>0</v>
      </c>
      <c r="DD83" t="b">
        <f t="shared" si="215"/>
        <v>0</v>
      </c>
      <c r="DE83" t="b">
        <f t="shared" si="216"/>
        <v>0</v>
      </c>
      <c r="DF83" t="b">
        <f t="shared" si="217"/>
        <v>0</v>
      </c>
      <c r="DG83" t="b">
        <f t="shared" si="218"/>
        <v>0</v>
      </c>
      <c r="DH83" t="b">
        <f t="shared" si="219"/>
        <v>0</v>
      </c>
      <c r="DI83" t="b">
        <f t="shared" si="220"/>
        <v>0</v>
      </c>
      <c r="DJ83" t="b">
        <f t="shared" si="221"/>
        <v>0</v>
      </c>
      <c r="DK83" t="b">
        <f t="shared" si="222"/>
        <v>0</v>
      </c>
      <c r="DL83" t="b">
        <f t="shared" si="223"/>
        <v>0</v>
      </c>
      <c r="DM83" t="b">
        <f t="shared" si="224"/>
        <v>0</v>
      </c>
      <c r="DN83" t="b">
        <f t="shared" si="225"/>
        <v>0</v>
      </c>
      <c r="DO83" t="b">
        <f t="shared" si="226"/>
        <v>0</v>
      </c>
      <c r="DP83" t="b">
        <f t="shared" si="227"/>
        <v>0</v>
      </c>
      <c r="DQ83" t="b">
        <f t="shared" si="228"/>
        <v>0</v>
      </c>
      <c r="DR83" t="b">
        <f t="shared" si="229"/>
        <v>0</v>
      </c>
      <c r="DS83" t="b">
        <f t="shared" si="230"/>
        <v>0</v>
      </c>
      <c r="DT83" t="b">
        <f t="shared" si="231"/>
        <v>0</v>
      </c>
      <c r="DU83" t="b">
        <f t="shared" si="232"/>
        <v>0</v>
      </c>
      <c r="DV83" t="b">
        <f t="shared" si="233"/>
        <v>0</v>
      </c>
      <c r="DW83" t="b">
        <f t="shared" si="234"/>
        <v>0</v>
      </c>
      <c r="DX83" t="b">
        <f t="shared" si="235"/>
        <v>0</v>
      </c>
      <c r="DY83" t="b">
        <f t="shared" si="236"/>
        <v>0</v>
      </c>
      <c r="DZ83" t="b">
        <f t="shared" si="237"/>
        <v>0</v>
      </c>
      <c r="EA83" t="b">
        <f t="shared" si="238"/>
        <v>0</v>
      </c>
      <c r="EB83" t="b">
        <f t="shared" si="239"/>
        <v>0</v>
      </c>
      <c r="EC83" t="b">
        <f t="shared" si="240"/>
        <v>0</v>
      </c>
      <c r="ED83" t="b">
        <f t="shared" si="241"/>
        <v>0</v>
      </c>
      <c r="EE83" t="b">
        <f t="shared" si="242"/>
        <v>0</v>
      </c>
      <c r="EF83" t="b">
        <f t="shared" si="243"/>
        <v>0</v>
      </c>
      <c r="EG83" t="b">
        <f t="shared" si="244"/>
        <v>0</v>
      </c>
      <c r="EH83" t="b">
        <f t="shared" si="245"/>
        <v>0</v>
      </c>
      <c r="EI83" t="b">
        <f t="shared" si="246"/>
        <v>0</v>
      </c>
      <c r="EJ83" t="b">
        <f t="shared" si="247"/>
        <v>0</v>
      </c>
      <c r="EK83" t="b">
        <f t="shared" si="248"/>
        <v>0</v>
      </c>
    </row>
    <row r="84" spans="1:141">
      <c r="A84" t="s">
        <v>546</v>
      </c>
      <c r="B84" t="s">
        <v>546</v>
      </c>
      <c r="C84" t="s">
        <v>547</v>
      </c>
      <c r="D84" s="1">
        <v>44057</v>
      </c>
      <c r="E84" s="2">
        <v>44227.006539351853</v>
      </c>
      <c r="F84" s="2">
        <v>44227.009004629632</v>
      </c>
      <c r="G84">
        <v>2811929</v>
      </c>
      <c r="H84" t="s">
        <v>548</v>
      </c>
      <c r="I84" s="10" t="s">
        <v>549</v>
      </c>
      <c r="J84" t="s">
        <v>550</v>
      </c>
      <c r="K84" s="8" t="b">
        <v>1</v>
      </c>
      <c r="L84" s="10" t="b">
        <v>0</v>
      </c>
      <c r="M84" s="12" t="b">
        <v>0</v>
      </c>
      <c r="N84" t="b">
        <v>0</v>
      </c>
      <c r="O84" t="b">
        <v>0</v>
      </c>
      <c r="P84" t="b">
        <v>0</v>
      </c>
      <c r="Q84">
        <f t="shared" si="125"/>
        <v>6</v>
      </c>
      <c r="R84">
        <f t="shared" si="126"/>
        <v>8</v>
      </c>
      <c r="S84" t="e">
        <f t="shared" ca="1" si="156"/>
        <v>#NAME?</v>
      </c>
      <c r="T84" t="e">
        <f t="shared" ca="1" si="127"/>
        <v>#NAME?</v>
      </c>
      <c r="U84" s="4">
        <f t="shared" si="128"/>
        <v>170.00653935185255</v>
      </c>
      <c r="V84" s="4">
        <f t="shared" si="129"/>
        <v>5.666884645061752</v>
      </c>
      <c r="W84" s="4">
        <f t="shared" si="130"/>
        <v>1</v>
      </c>
      <c r="X84" s="4">
        <f t="shared" si="131"/>
        <v>0</v>
      </c>
      <c r="Y84" s="4">
        <f t="shared" si="132"/>
        <v>0</v>
      </c>
      <c r="Z84" s="4">
        <f t="shared" si="133"/>
        <v>0</v>
      </c>
      <c r="AA84" s="4">
        <f t="shared" si="134"/>
        <v>0</v>
      </c>
      <c r="AB84" s="4">
        <f t="shared" si="135"/>
        <v>0</v>
      </c>
      <c r="AC84" s="4"/>
      <c r="AD84" s="4" t="b">
        <f t="shared" si="136"/>
        <v>0</v>
      </c>
      <c r="AE84" s="4" t="b">
        <f t="shared" si="137"/>
        <v>0</v>
      </c>
      <c r="AF84" s="4" t="b">
        <f t="shared" si="138"/>
        <v>0</v>
      </c>
      <c r="AG84" t="b">
        <f t="shared" si="139"/>
        <v>0</v>
      </c>
      <c r="AH84" t="b">
        <f t="shared" si="140"/>
        <v>0</v>
      </c>
      <c r="AI84" t="b">
        <f t="shared" si="141"/>
        <v>0</v>
      </c>
      <c r="AJ84" t="b">
        <f t="shared" si="142"/>
        <v>0</v>
      </c>
      <c r="AK84" t="b">
        <f t="shared" si="143"/>
        <v>0</v>
      </c>
      <c r="AL84" t="b">
        <f t="shared" si="144"/>
        <v>0</v>
      </c>
      <c r="AM84" t="b">
        <f t="shared" si="145"/>
        <v>0</v>
      </c>
      <c r="AN84" t="b">
        <f t="shared" si="146"/>
        <v>0</v>
      </c>
      <c r="AO84" t="b">
        <f t="shared" si="147"/>
        <v>0</v>
      </c>
      <c r="AP84" t="b">
        <f t="shared" si="148"/>
        <v>0</v>
      </c>
      <c r="AQ84" t="b">
        <f t="shared" si="149"/>
        <v>0</v>
      </c>
      <c r="AR84" t="b">
        <f t="shared" si="150"/>
        <v>0</v>
      </c>
      <c r="AS84" t="b">
        <f t="shared" si="151"/>
        <v>0</v>
      </c>
      <c r="AT84" t="b">
        <f t="shared" si="152"/>
        <v>0</v>
      </c>
      <c r="AU84" t="b">
        <f t="shared" si="153"/>
        <v>0</v>
      </c>
      <c r="AV84" t="b">
        <f t="shared" si="154"/>
        <v>0</v>
      </c>
      <c r="AW84" t="b">
        <f t="shared" si="155"/>
        <v>0</v>
      </c>
      <c r="AX84" t="b">
        <f t="shared" si="157"/>
        <v>0</v>
      </c>
      <c r="AY84" t="b">
        <f t="shared" si="158"/>
        <v>0</v>
      </c>
      <c r="AZ84" t="b">
        <f t="shared" si="159"/>
        <v>0</v>
      </c>
      <c r="BA84" t="b">
        <f t="shared" si="160"/>
        <v>0</v>
      </c>
      <c r="BB84" t="b">
        <f t="shared" si="161"/>
        <v>0</v>
      </c>
      <c r="BC84" t="b">
        <f t="shared" si="162"/>
        <v>0</v>
      </c>
      <c r="BD84" t="b">
        <f t="shared" si="163"/>
        <v>0</v>
      </c>
      <c r="BE84" t="b">
        <f t="shared" si="164"/>
        <v>0</v>
      </c>
      <c r="BF84" t="b">
        <f t="shared" si="165"/>
        <v>0</v>
      </c>
      <c r="BG84" t="b">
        <f t="shared" si="166"/>
        <v>0</v>
      </c>
      <c r="BH84" t="b">
        <f t="shared" si="167"/>
        <v>0</v>
      </c>
      <c r="BI84">
        <f t="shared" si="168"/>
        <v>1</v>
      </c>
      <c r="BJ84" t="b">
        <f t="shared" si="169"/>
        <v>0</v>
      </c>
      <c r="BK84" t="b">
        <f t="shared" si="170"/>
        <v>0</v>
      </c>
      <c r="BL84" t="b">
        <f t="shared" si="171"/>
        <v>0</v>
      </c>
      <c r="BM84" t="b">
        <f t="shared" si="172"/>
        <v>0</v>
      </c>
      <c r="BN84" t="b">
        <f t="shared" si="173"/>
        <v>0</v>
      </c>
      <c r="BO84" t="b">
        <f t="shared" si="174"/>
        <v>0</v>
      </c>
      <c r="BP84" t="b">
        <f t="shared" si="175"/>
        <v>0</v>
      </c>
      <c r="BQ84" t="b">
        <f t="shared" si="176"/>
        <v>0</v>
      </c>
      <c r="BR84" t="b">
        <f t="shared" si="177"/>
        <v>0</v>
      </c>
      <c r="BS84" t="b">
        <f t="shared" si="178"/>
        <v>0</v>
      </c>
      <c r="BT84" t="b">
        <f t="shared" si="179"/>
        <v>0</v>
      </c>
      <c r="BU84" t="b">
        <f t="shared" si="180"/>
        <v>0</v>
      </c>
      <c r="BV84">
        <f t="shared" si="181"/>
        <v>1</v>
      </c>
      <c r="BW84" t="b">
        <f t="shared" si="182"/>
        <v>0</v>
      </c>
      <c r="BX84" t="b">
        <f t="shared" si="183"/>
        <v>0</v>
      </c>
      <c r="BY84" t="b">
        <f t="shared" si="184"/>
        <v>0</v>
      </c>
      <c r="BZ84" t="b">
        <f t="shared" si="185"/>
        <v>0</v>
      </c>
      <c r="CA84" t="b">
        <f t="shared" si="186"/>
        <v>0</v>
      </c>
      <c r="CB84" t="b">
        <f t="shared" si="187"/>
        <v>0</v>
      </c>
      <c r="CC84" t="b">
        <f t="shared" si="188"/>
        <v>0</v>
      </c>
      <c r="CD84" t="b">
        <f t="shared" si="189"/>
        <v>0</v>
      </c>
      <c r="CE84">
        <f t="shared" si="190"/>
        <v>1</v>
      </c>
      <c r="CF84" t="b">
        <f t="shared" si="191"/>
        <v>0</v>
      </c>
      <c r="CG84" t="b">
        <f t="shared" si="192"/>
        <v>0</v>
      </c>
      <c r="CH84" t="b">
        <f t="shared" si="193"/>
        <v>0</v>
      </c>
      <c r="CI84" t="b">
        <f t="shared" si="194"/>
        <v>0</v>
      </c>
      <c r="CJ84" t="b">
        <f t="shared" si="195"/>
        <v>0</v>
      </c>
      <c r="CK84" t="b">
        <f t="shared" si="196"/>
        <v>0</v>
      </c>
      <c r="CL84" t="b">
        <f t="shared" si="197"/>
        <v>0</v>
      </c>
      <c r="CM84">
        <f t="shared" si="198"/>
        <v>1</v>
      </c>
      <c r="CN84" t="b">
        <f t="shared" si="199"/>
        <v>0</v>
      </c>
      <c r="CO84" t="b">
        <f t="shared" si="200"/>
        <v>0</v>
      </c>
      <c r="CP84" t="b">
        <f t="shared" si="201"/>
        <v>0</v>
      </c>
      <c r="CQ84" t="b">
        <f t="shared" si="202"/>
        <v>0</v>
      </c>
      <c r="CR84" t="b">
        <f t="shared" si="203"/>
        <v>0</v>
      </c>
      <c r="CS84" t="b">
        <f t="shared" si="204"/>
        <v>0</v>
      </c>
      <c r="CT84" t="b">
        <f t="shared" si="205"/>
        <v>0</v>
      </c>
      <c r="CU84" t="b">
        <f t="shared" si="206"/>
        <v>0</v>
      </c>
      <c r="CV84">
        <f t="shared" si="207"/>
        <v>1</v>
      </c>
      <c r="CW84" t="b">
        <f t="shared" si="208"/>
        <v>0</v>
      </c>
      <c r="CX84" t="b">
        <f t="shared" si="209"/>
        <v>0</v>
      </c>
      <c r="CY84" t="b">
        <f t="shared" si="210"/>
        <v>0</v>
      </c>
      <c r="CZ84" t="b">
        <f t="shared" si="211"/>
        <v>0</v>
      </c>
      <c r="DA84">
        <f t="shared" si="212"/>
        <v>1</v>
      </c>
      <c r="DB84">
        <f t="shared" si="213"/>
        <v>1</v>
      </c>
      <c r="DC84" t="b">
        <f t="shared" si="214"/>
        <v>0</v>
      </c>
      <c r="DD84" t="b">
        <f t="shared" si="215"/>
        <v>0</v>
      </c>
      <c r="DE84" t="b">
        <f t="shared" si="216"/>
        <v>0</v>
      </c>
      <c r="DF84" t="b">
        <f t="shared" si="217"/>
        <v>0</v>
      </c>
      <c r="DG84" t="b">
        <f t="shared" si="218"/>
        <v>0</v>
      </c>
      <c r="DH84" t="b">
        <f t="shared" si="219"/>
        <v>0</v>
      </c>
      <c r="DI84" t="b">
        <f t="shared" si="220"/>
        <v>0</v>
      </c>
      <c r="DJ84">
        <f t="shared" si="221"/>
        <v>1</v>
      </c>
      <c r="DK84" t="b">
        <f t="shared" si="222"/>
        <v>0</v>
      </c>
      <c r="DL84" t="b">
        <f t="shared" si="223"/>
        <v>0</v>
      </c>
      <c r="DM84" t="b">
        <f t="shared" si="224"/>
        <v>0</v>
      </c>
      <c r="DN84" t="b">
        <f t="shared" si="225"/>
        <v>0</v>
      </c>
      <c r="DO84" t="b">
        <f t="shared" si="226"/>
        <v>0</v>
      </c>
      <c r="DP84" t="b">
        <f t="shared" si="227"/>
        <v>0</v>
      </c>
      <c r="DQ84" t="b">
        <f t="shared" si="228"/>
        <v>0</v>
      </c>
      <c r="DR84" t="b">
        <f t="shared" si="229"/>
        <v>0</v>
      </c>
      <c r="DS84" t="b">
        <f t="shared" si="230"/>
        <v>0</v>
      </c>
      <c r="DT84" t="b">
        <f t="shared" si="231"/>
        <v>0</v>
      </c>
      <c r="DU84" t="b">
        <f t="shared" si="232"/>
        <v>0</v>
      </c>
      <c r="DV84" t="b">
        <f t="shared" si="233"/>
        <v>0</v>
      </c>
      <c r="DW84" t="b">
        <f t="shared" si="234"/>
        <v>0</v>
      </c>
      <c r="DX84" t="b">
        <f t="shared" si="235"/>
        <v>0</v>
      </c>
      <c r="DY84" t="b">
        <f t="shared" si="236"/>
        <v>0</v>
      </c>
      <c r="DZ84" t="b">
        <f t="shared" si="237"/>
        <v>0</v>
      </c>
      <c r="EA84" t="b">
        <f t="shared" si="238"/>
        <v>0</v>
      </c>
      <c r="EB84" t="b">
        <f t="shared" si="239"/>
        <v>0</v>
      </c>
      <c r="EC84" t="b">
        <f t="shared" si="240"/>
        <v>0</v>
      </c>
      <c r="ED84" t="b">
        <f t="shared" si="241"/>
        <v>0</v>
      </c>
      <c r="EE84" t="b">
        <f t="shared" si="242"/>
        <v>0</v>
      </c>
      <c r="EF84" t="b">
        <f t="shared" si="243"/>
        <v>0</v>
      </c>
      <c r="EG84" t="b">
        <f t="shared" si="244"/>
        <v>0</v>
      </c>
      <c r="EH84" t="b">
        <f t="shared" si="245"/>
        <v>0</v>
      </c>
      <c r="EI84" t="b">
        <f t="shared" si="246"/>
        <v>0</v>
      </c>
      <c r="EJ84" t="b">
        <f t="shared" si="247"/>
        <v>0</v>
      </c>
      <c r="EK84" t="b">
        <f t="shared" si="248"/>
        <v>0</v>
      </c>
    </row>
    <row r="85" spans="1:141">
      <c r="A85" t="s">
        <v>551</v>
      </c>
      <c r="B85" t="s">
        <v>551</v>
      </c>
      <c r="C85" t="s">
        <v>552</v>
      </c>
      <c r="D85" s="1">
        <v>44224</v>
      </c>
      <c r="E85" s="2">
        <v>44745.987245370372</v>
      </c>
      <c r="F85" s="2">
        <v>44745.987245370372</v>
      </c>
      <c r="G85">
        <v>498297</v>
      </c>
      <c r="H85" t="s">
        <v>553</v>
      </c>
      <c r="I85" s="10" t="s">
        <v>554</v>
      </c>
      <c r="J85" t="s">
        <v>555</v>
      </c>
      <c r="K85" s="8" t="b">
        <v>1</v>
      </c>
      <c r="L85" s="10" t="b">
        <v>0</v>
      </c>
      <c r="M85" s="12" t="b">
        <v>0</v>
      </c>
      <c r="N85" t="b">
        <v>0</v>
      </c>
      <c r="O85" t="b">
        <v>0</v>
      </c>
      <c r="P85" t="b">
        <v>0</v>
      </c>
      <c r="Q85">
        <f t="shared" si="125"/>
        <v>5</v>
      </c>
      <c r="R85">
        <f t="shared" si="126"/>
        <v>1</v>
      </c>
      <c r="S85" t="e">
        <f t="shared" ca="1" si="156"/>
        <v>#NAME?</v>
      </c>
      <c r="T85" t="e">
        <f t="shared" ca="1" si="127"/>
        <v>#NAME?</v>
      </c>
      <c r="U85" s="4">
        <f t="shared" si="128"/>
        <v>521.98724537037197</v>
      </c>
      <c r="V85" s="4">
        <f t="shared" si="129"/>
        <v>17.399574845679066</v>
      </c>
      <c r="W85" s="4">
        <f t="shared" si="130"/>
        <v>1</v>
      </c>
      <c r="X85" s="4">
        <f t="shared" si="131"/>
        <v>0</v>
      </c>
      <c r="Y85" s="4">
        <f t="shared" si="132"/>
        <v>0</v>
      </c>
      <c r="Z85" s="4">
        <f t="shared" si="133"/>
        <v>0</v>
      </c>
      <c r="AA85" s="4">
        <f t="shared" si="134"/>
        <v>0</v>
      </c>
      <c r="AB85" s="4">
        <f t="shared" si="135"/>
        <v>0</v>
      </c>
      <c r="AC85" s="4"/>
      <c r="AD85" s="4" t="b">
        <f t="shared" si="136"/>
        <v>0</v>
      </c>
      <c r="AE85" s="4" t="b">
        <f t="shared" si="137"/>
        <v>0</v>
      </c>
      <c r="AF85" s="4" t="b">
        <f t="shared" si="138"/>
        <v>0</v>
      </c>
      <c r="AG85" t="b">
        <f t="shared" si="139"/>
        <v>0</v>
      </c>
      <c r="AH85" t="b">
        <f t="shared" si="140"/>
        <v>0</v>
      </c>
      <c r="AI85" t="b">
        <f t="shared" si="141"/>
        <v>0</v>
      </c>
      <c r="AJ85" t="b">
        <f t="shared" si="142"/>
        <v>0</v>
      </c>
      <c r="AK85" t="b">
        <f t="shared" si="143"/>
        <v>0</v>
      </c>
      <c r="AL85" t="b">
        <f t="shared" si="144"/>
        <v>0</v>
      </c>
      <c r="AM85" t="b">
        <f t="shared" si="145"/>
        <v>0</v>
      </c>
      <c r="AN85" t="b">
        <f t="shared" si="146"/>
        <v>0</v>
      </c>
      <c r="AO85" t="b">
        <f t="shared" si="147"/>
        <v>0</v>
      </c>
      <c r="AP85" t="b">
        <f t="shared" si="148"/>
        <v>0</v>
      </c>
      <c r="AQ85" t="b">
        <f t="shared" si="149"/>
        <v>0</v>
      </c>
      <c r="AR85" t="b">
        <f t="shared" si="150"/>
        <v>0</v>
      </c>
      <c r="AS85" t="b">
        <f t="shared" si="151"/>
        <v>0</v>
      </c>
      <c r="AT85" t="b">
        <f t="shared" si="152"/>
        <v>0</v>
      </c>
      <c r="AU85" t="b">
        <f t="shared" si="153"/>
        <v>0</v>
      </c>
      <c r="AV85" t="b">
        <f t="shared" si="154"/>
        <v>0</v>
      </c>
      <c r="AW85" t="b">
        <f t="shared" si="155"/>
        <v>0</v>
      </c>
      <c r="AX85" t="b">
        <f t="shared" si="157"/>
        <v>0</v>
      </c>
      <c r="AY85" t="b">
        <f t="shared" si="158"/>
        <v>0</v>
      </c>
      <c r="AZ85">
        <f t="shared" si="159"/>
        <v>1</v>
      </c>
      <c r="BA85" t="b">
        <f t="shared" si="160"/>
        <v>0</v>
      </c>
      <c r="BB85" t="b">
        <f t="shared" si="161"/>
        <v>0</v>
      </c>
      <c r="BC85" t="b">
        <f t="shared" si="162"/>
        <v>0</v>
      </c>
      <c r="BD85" t="b">
        <f t="shared" si="163"/>
        <v>0</v>
      </c>
      <c r="BE85" t="b">
        <f t="shared" si="164"/>
        <v>0</v>
      </c>
      <c r="BF85" t="b">
        <f t="shared" si="165"/>
        <v>0</v>
      </c>
      <c r="BG85" t="b">
        <f t="shared" si="166"/>
        <v>0</v>
      </c>
      <c r="BH85" t="b">
        <f t="shared" si="167"/>
        <v>0</v>
      </c>
      <c r="BI85">
        <f t="shared" si="168"/>
        <v>1</v>
      </c>
      <c r="BJ85" t="b">
        <f t="shared" si="169"/>
        <v>0</v>
      </c>
      <c r="BK85" t="b">
        <f t="shared" si="170"/>
        <v>0</v>
      </c>
      <c r="BL85" t="b">
        <f t="shared" si="171"/>
        <v>0</v>
      </c>
      <c r="BM85" t="b">
        <f t="shared" si="172"/>
        <v>0</v>
      </c>
      <c r="BN85" t="b">
        <f t="shared" si="173"/>
        <v>0</v>
      </c>
      <c r="BO85" t="b">
        <f t="shared" si="174"/>
        <v>0</v>
      </c>
      <c r="BP85" t="b">
        <f t="shared" si="175"/>
        <v>0</v>
      </c>
      <c r="BQ85" t="b">
        <f t="shared" si="176"/>
        <v>0</v>
      </c>
      <c r="BR85">
        <f t="shared" si="177"/>
        <v>1</v>
      </c>
      <c r="BS85" t="b">
        <f t="shared" si="178"/>
        <v>0</v>
      </c>
      <c r="BT85" t="b">
        <f t="shared" si="179"/>
        <v>0</v>
      </c>
      <c r="BU85" t="b">
        <f t="shared" si="180"/>
        <v>0</v>
      </c>
      <c r="BV85" t="b">
        <f t="shared" si="181"/>
        <v>0</v>
      </c>
      <c r="BW85" t="b">
        <f t="shared" si="182"/>
        <v>0</v>
      </c>
      <c r="BX85" t="b">
        <f t="shared" si="183"/>
        <v>0</v>
      </c>
      <c r="BY85" t="b">
        <f t="shared" si="184"/>
        <v>0</v>
      </c>
      <c r="BZ85" t="b">
        <f t="shared" si="185"/>
        <v>0</v>
      </c>
      <c r="CA85" t="b">
        <f t="shared" si="186"/>
        <v>0</v>
      </c>
      <c r="CB85" t="b">
        <f t="shared" si="187"/>
        <v>0</v>
      </c>
      <c r="CC85" t="b">
        <f t="shared" si="188"/>
        <v>0</v>
      </c>
      <c r="CD85" t="b">
        <f t="shared" si="189"/>
        <v>0</v>
      </c>
      <c r="CE85">
        <f t="shared" si="190"/>
        <v>1</v>
      </c>
      <c r="CF85" t="b">
        <f t="shared" si="191"/>
        <v>0</v>
      </c>
      <c r="CG85" t="b">
        <f t="shared" si="192"/>
        <v>0</v>
      </c>
      <c r="CH85" t="b">
        <f t="shared" si="193"/>
        <v>0</v>
      </c>
      <c r="CI85" t="b">
        <f t="shared" si="194"/>
        <v>0</v>
      </c>
      <c r="CJ85" t="b">
        <f t="shared" si="195"/>
        <v>0</v>
      </c>
      <c r="CK85" t="b">
        <f t="shared" si="196"/>
        <v>0</v>
      </c>
      <c r="CL85" t="b">
        <f t="shared" si="197"/>
        <v>0</v>
      </c>
      <c r="CM85">
        <f t="shared" si="198"/>
        <v>1</v>
      </c>
      <c r="CN85" t="b">
        <f t="shared" si="199"/>
        <v>0</v>
      </c>
      <c r="CO85" t="b">
        <f t="shared" si="200"/>
        <v>0</v>
      </c>
      <c r="CP85" t="b">
        <f t="shared" si="201"/>
        <v>0</v>
      </c>
      <c r="CQ85" t="b">
        <f t="shared" si="202"/>
        <v>0</v>
      </c>
      <c r="CR85" t="b">
        <f t="shared" si="203"/>
        <v>0</v>
      </c>
      <c r="CS85" t="b">
        <f t="shared" si="204"/>
        <v>0</v>
      </c>
      <c r="CT85" t="b">
        <f t="shared" si="205"/>
        <v>0</v>
      </c>
      <c r="CU85" t="b">
        <f t="shared" si="206"/>
        <v>0</v>
      </c>
      <c r="CV85">
        <f t="shared" si="207"/>
        <v>1</v>
      </c>
      <c r="CW85" t="b">
        <f t="shared" si="208"/>
        <v>0</v>
      </c>
      <c r="CX85" t="b">
        <f t="shared" si="209"/>
        <v>0</v>
      </c>
      <c r="CY85" t="b">
        <f t="shared" si="210"/>
        <v>0</v>
      </c>
      <c r="CZ85" t="b">
        <f t="shared" si="211"/>
        <v>0</v>
      </c>
      <c r="DA85">
        <f t="shared" si="212"/>
        <v>1</v>
      </c>
      <c r="DB85" t="b">
        <f t="shared" si="213"/>
        <v>0</v>
      </c>
      <c r="DC85" t="b">
        <f t="shared" si="214"/>
        <v>0</v>
      </c>
      <c r="DD85" t="b">
        <f t="shared" si="215"/>
        <v>0</v>
      </c>
      <c r="DE85" t="b">
        <f t="shared" si="216"/>
        <v>0</v>
      </c>
      <c r="DF85" t="b">
        <f t="shared" si="217"/>
        <v>0</v>
      </c>
      <c r="DG85" t="b">
        <f t="shared" si="218"/>
        <v>0</v>
      </c>
      <c r="DH85" t="b">
        <f t="shared" si="219"/>
        <v>0</v>
      </c>
      <c r="DI85" t="b">
        <f t="shared" si="220"/>
        <v>0</v>
      </c>
      <c r="DJ85" t="b">
        <f t="shared" si="221"/>
        <v>0</v>
      </c>
      <c r="DK85" t="b">
        <f t="shared" si="222"/>
        <v>0</v>
      </c>
      <c r="DL85" t="b">
        <f t="shared" si="223"/>
        <v>0</v>
      </c>
      <c r="DM85" t="b">
        <f t="shared" si="224"/>
        <v>0</v>
      </c>
      <c r="DN85" t="b">
        <f t="shared" si="225"/>
        <v>0</v>
      </c>
      <c r="DO85" t="b">
        <f t="shared" si="226"/>
        <v>0</v>
      </c>
      <c r="DP85" t="b">
        <f t="shared" si="227"/>
        <v>0</v>
      </c>
      <c r="DQ85" t="b">
        <f t="shared" si="228"/>
        <v>0</v>
      </c>
      <c r="DR85" t="b">
        <f t="shared" si="229"/>
        <v>0</v>
      </c>
      <c r="DS85" t="b">
        <f t="shared" si="230"/>
        <v>0</v>
      </c>
      <c r="DT85" t="b">
        <f t="shared" si="231"/>
        <v>0</v>
      </c>
      <c r="DU85" t="b">
        <f t="shared" si="232"/>
        <v>0</v>
      </c>
      <c r="DV85" t="b">
        <f t="shared" si="233"/>
        <v>0</v>
      </c>
      <c r="DW85" t="b">
        <f t="shared" si="234"/>
        <v>0</v>
      </c>
      <c r="DX85" t="b">
        <f t="shared" si="235"/>
        <v>0</v>
      </c>
      <c r="DY85">
        <f t="shared" si="236"/>
        <v>1</v>
      </c>
      <c r="DZ85" t="b">
        <f t="shared" si="237"/>
        <v>0</v>
      </c>
      <c r="EA85" t="b">
        <f t="shared" si="238"/>
        <v>0</v>
      </c>
      <c r="EB85" t="b">
        <f t="shared" si="239"/>
        <v>0</v>
      </c>
      <c r="EC85" t="b">
        <f t="shared" si="240"/>
        <v>0</v>
      </c>
      <c r="ED85" t="b">
        <f t="shared" si="241"/>
        <v>0</v>
      </c>
      <c r="EE85" t="b">
        <f t="shared" si="242"/>
        <v>0</v>
      </c>
      <c r="EF85" t="b">
        <f t="shared" si="243"/>
        <v>0</v>
      </c>
      <c r="EG85" t="b">
        <f t="shared" si="244"/>
        <v>0</v>
      </c>
      <c r="EH85" t="b">
        <f t="shared" si="245"/>
        <v>0</v>
      </c>
      <c r="EI85" t="b">
        <f t="shared" si="246"/>
        <v>0</v>
      </c>
      <c r="EJ85" t="b">
        <f t="shared" si="247"/>
        <v>0</v>
      </c>
      <c r="EK85" t="b">
        <f t="shared" si="248"/>
        <v>0</v>
      </c>
    </row>
    <row r="86" spans="1:141">
      <c r="A86" t="s">
        <v>556</v>
      </c>
      <c r="B86" t="s">
        <v>556</v>
      </c>
      <c r="C86" t="s">
        <v>557</v>
      </c>
      <c r="D86" s="1">
        <v>43289</v>
      </c>
      <c r="E86" s="2">
        <v>43546.684699074074</v>
      </c>
      <c r="F86" s="2">
        <v>43546.684699074074</v>
      </c>
      <c r="G86">
        <v>3830916</v>
      </c>
      <c r="H86" t="s">
        <v>558</v>
      </c>
      <c r="I86" s="10" t="s">
        <v>559</v>
      </c>
      <c r="J86" t="s">
        <v>169</v>
      </c>
      <c r="K86" s="8" t="b">
        <v>1</v>
      </c>
      <c r="L86" s="10" t="b">
        <v>0</v>
      </c>
      <c r="M86" s="12" t="b">
        <v>0</v>
      </c>
      <c r="N86" t="b">
        <v>0</v>
      </c>
      <c r="O86" t="b">
        <v>0</v>
      </c>
      <c r="P86" t="b">
        <v>0</v>
      </c>
      <c r="Q86">
        <f t="shared" si="125"/>
        <v>1</v>
      </c>
      <c r="R86">
        <f t="shared" si="126"/>
        <v>7</v>
      </c>
      <c r="S86" t="e">
        <f t="shared" ca="1" si="156"/>
        <v>#NAME?</v>
      </c>
      <c r="T86" t="e">
        <f t="shared" ca="1" si="127"/>
        <v>#NAME?</v>
      </c>
      <c r="U86" s="4">
        <f t="shared" si="128"/>
        <v>257.68469907407416</v>
      </c>
      <c r="V86" s="4">
        <f t="shared" si="129"/>
        <v>8.5894899691358049</v>
      </c>
      <c r="W86" s="4">
        <f t="shared" si="130"/>
        <v>1</v>
      </c>
      <c r="X86" s="4">
        <f t="shared" si="131"/>
        <v>0</v>
      </c>
      <c r="Y86" s="4">
        <f t="shared" si="132"/>
        <v>0</v>
      </c>
      <c r="Z86" s="4">
        <f t="shared" si="133"/>
        <v>0</v>
      </c>
      <c r="AA86" s="4">
        <f t="shared" si="134"/>
        <v>0</v>
      </c>
      <c r="AB86" s="4">
        <f t="shared" si="135"/>
        <v>0</v>
      </c>
      <c r="AC86" s="4"/>
      <c r="AD86" s="4" t="b">
        <f t="shared" si="136"/>
        <v>0</v>
      </c>
      <c r="AE86" s="4" t="b">
        <f t="shared" si="137"/>
        <v>0</v>
      </c>
      <c r="AF86" s="4" t="b">
        <f t="shared" si="138"/>
        <v>0</v>
      </c>
      <c r="AG86" t="b">
        <f t="shared" si="139"/>
        <v>0</v>
      </c>
      <c r="AH86" t="b">
        <f t="shared" si="140"/>
        <v>0</v>
      </c>
      <c r="AI86" t="b">
        <f t="shared" si="141"/>
        <v>0</v>
      </c>
      <c r="AJ86" t="b">
        <f t="shared" si="142"/>
        <v>0</v>
      </c>
      <c r="AK86" t="b">
        <f t="shared" si="143"/>
        <v>0</v>
      </c>
      <c r="AL86" t="b">
        <f t="shared" si="144"/>
        <v>0</v>
      </c>
      <c r="AM86" t="b">
        <f t="shared" si="145"/>
        <v>0</v>
      </c>
      <c r="AN86" t="b">
        <f t="shared" si="146"/>
        <v>0</v>
      </c>
      <c r="AO86" t="b">
        <f t="shared" si="147"/>
        <v>0</v>
      </c>
      <c r="AP86" t="b">
        <f t="shared" si="148"/>
        <v>0</v>
      </c>
      <c r="AQ86" t="b">
        <f t="shared" si="149"/>
        <v>0</v>
      </c>
      <c r="AR86" t="b">
        <f t="shared" si="150"/>
        <v>0</v>
      </c>
      <c r="AS86" t="b">
        <f t="shared" si="151"/>
        <v>0</v>
      </c>
      <c r="AT86" t="b">
        <f t="shared" si="152"/>
        <v>0</v>
      </c>
      <c r="AU86" t="b">
        <f t="shared" si="153"/>
        <v>0</v>
      </c>
      <c r="AV86" t="b">
        <f t="shared" si="154"/>
        <v>0</v>
      </c>
      <c r="AW86" t="b">
        <f t="shared" si="155"/>
        <v>0</v>
      </c>
      <c r="AX86" t="b">
        <f t="shared" si="157"/>
        <v>0</v>
      </c>
      <c r="AY86" t="b">
        <f t="shared" si="158"/>
        <v>0</v>
      </c>
      <c r="AZ86">
        <f t="shared" si="159"/>
        <v>1</v>
      </c>
      <c r="BA86" t="b">
        <f t="shared" si="160"/>
        <v>0</v>
      </c>
      <c r="BB86" t="b">
        <f t="shared" si="161"/>
        <v>0</v>
      </c>
      <c r="BC86" t="b">
        <f t="shared" si="162"/>
        <v>0</v>
      </c>
      <c r="BD86" t="b">
        <f t="shared" si="163"/>
        <v>0</v>
      </c>
      <c r="BE86" t="b">
        <f t="shared" si="164"/>
        <v>0</v>
      </c>
      <c r="BF86" t="b">
        <f t="shared" si="165"/>
        <v>0</v>
      </c>
      <c r="BG86" t="b">
        <f t="shared" si="166"/>
        <v>0</v>
      </c>
      <c r="BH86" t="b">
        <f t="shared" si="167"/>
        <v>0</v>
      </c>
      <c r="BI86">
        <f t="shared" si="168"/>
        <v>1</v>
      </c>
      <c r="BJ86" t="b">
        <f t="shared" si="169"/>
        <v>0</v>
      </c>
      <c r="BK86" t="b">
        <f t="shared" si="170"/>
        <v>0</v>
      </c>
      <c r="BL86" t="b">
        <f t="shared" si="171"/>
        <v>0</v>
      </c>
      <c r="BM86" t="b">
        <f t="shared" si="172"/>
        <v>0</v>
      </c>
      <c r="BN86" t="b">
        <f t="shared" si="173"/>
        <v>0</v>
      </c>
      <c r="BO86" t="b">
        <f t="shared" si="174"/>
        <v>0</v>
      </c>
      <c r="BP86" t="b">
        <f t="shared" si="175"/>
        <v>0</v>
      </c>
      <c r="BQ86" t="b">
        <f t="shared" si="176"/>
        <v>0</v>
      </c>
      <c r="BR86">
        <f t="shared" si="177"/>
        <v>1</v>
      </c>
      <c r="BS86">
        <f t="shared" si="178"/>
        <v>1</v>
      </c>
      <c r="BT86" t="b">
        <f t="shared" si="179"/>
        <v>0</v>
      </c>
      <c r="BU86" t="b">
        <f t="shared" si="180"/>
        <v>0</v>
      </c>
      <c r="BV86" t="b">
        <f t="shared" si="181"/>
        <v>0</v>
      </c>
      <c r="BW86" t="b">
        <f t="shared" si="182"/>
        <v>0</v>
      </c>
      <c r="BX86" t="b">
        <f t="shared" si="183"/>
        <v>0</v>
      </c>
      <c r="BY86" t="b">
        <f t="shared" si="184"/>
        <v>0</v>
      </c>
      <c r="BZ86" t="b">
        <f t="shared" si="185"/>
        <v>0</v>
      </c>
      <c r="CA86" t="b">
        <f t="shared" si="186"/>
        <v>0</v>
      </c>
      <c r="CB86" t="b">
        <f t="shared" si="187"/>
        <v>0</v>
      </c>
      <c r="CC86" t="b">
        <f t="shared" si="188"/>
        <v>0</v>
      </c>
      <c r="CD86" t="b">
        <f t="shared" si="189"/>
        <v>0</v>
      </c>
      <c r="CE86" t="b">
        <f t="shared" si="190"/>
        <v>0</v>
      </c>
      <c r="CF86" t="b">
        <f t="shared" si="191"/>
        <v>0</v>
      </c>
      <c r="CG86" t="b">
        <f t="shared" si="192"/>
        <v>0</v>
      </c>
      <c r="CH86" t="b">
        <f t="shared" si="193"/>
        <v>0</v>
      </c>
      <c r="CI86" t="b">
        <f t="shared" si="194"/>
        <v>0</v>
      </c>
      <c r="CJ86" t="b">
        <f t="shared" si="195"/>
        <v>0</v>
      </c>
      <c r="CK86" t="b">
        <f t="shared" si="196"/>
        <v>0</v>
      </c>
      <c r="CL86" t="b">
        <f t="shared" si="197"/>
        <v>0</v>
      </c>
      <c r="CM86">
        <f t="shared" si="198"/>
        <v>1</v>
      </c>
      <c r="CN86" t="b">
        <f t="shared" si="199"/>
        <v>0</v>
      </c>
      <c r="CO86" t="b">
        <f t="shared" si="200"/>
        <v>0</v>
      </c>
      <c r="CP86" t="b">
        <f t="shared" si="201"/>
        <v>0</v>
      </c>
      <c r="CQ86" t="b">
        <f t="shared" si="202"/>
        <v>0</v>
      </c>
      <c r="CR86" t="b">
        <f t="shared" si="203"/>
        <v>0</v>
      </c>
      <c r="CS86" t="b">
        <f t="shared" si="204"/>
        <v>0</v>
      </c>
      <c r="CT86" t="b">
        <f t="shared" si="205"/>
        <v>0</v>
      </c>
      <c r="CU86" t="b">
        <f t="shared" si="206"/>
        <v>0</v>
      </c>
      <c r="CV86">
        <f t="shared" si="207"/>
        <v>1</v>
      </c>
      <c r="CW86" t="b">
        <f t="shared" si="208"/>
        <v>0</v>
      </c>
      <c r="CX86" t="b">
        <f t="shared" si="209"/>
        <v>0</v>
      </c>
      <c r="CY86" t="b">
        <f t="shared" si="210"/>
        <v>0</v>
      </c>
      <c r="CZ86" t="b">
        <f t="shared" si="211"/>
        <v>0</v>
      </c>
      <c r="DA86" t="b">
        <f t="shared" si="212"/>
        <v>0</v>
      </c>
      <c r="DB86" t="b">
        <f t="shared" si="213"/>
        <v>0</v>
      </c>
      <c r="DC86" t="b">
        <f t="shared" si="214"/>
        <v>0</v>
      </c>
      <c r="DD86" t="b">
        <f t="shared" si="215"/>
        <v>0</v>
      </c>
      <c r="DE86" t="b">
        <f t="shared" si="216"/>
        <v>0</v>
      </c>
      <c r="DF86" t="b">
        <f t="shared" si="217"/>
        <v>0</v>
      </c>
      <c r="DG86" t="b">
        <f t="shared" si="218"/>
        <v>0</v>
      </c>
      <c r="DH86" t="b">
        <f t="shared" si="219"/>
        <v>0</v>
      </c>
      <c r="DI86" t="b">
        <f t="shared" si="220"/>
        <v>0</v>
      </c>
      <c r="DJ86" t="b">
        <f t="shared" si="221"/>
        <v>0</v>
      </c>
      <c r="DK86" t="b">
        <f t="shared" si="222"/>
        <v>0</v>
      </c>
      <c r="DL86" t="b">
        <f t="shared" si="223"/>
        <v>0</v>
      </c>
      <c r="DM86" t="b">
        <f t="shared" si="224"/>
        <v>0</v>
      </c>
      <c r="DN86" t="b">
        <f t="shared" si="225"/>
        <v>0</v>
      </c>
      <c r="DO86" t="b">
        <f t="shared" si="226"/>
        <v>0</v>
      </c>
      <c r="DP86" t="b">
        <f t="shared" si="227"/>
        <v>0</v>
      </c>
      <c r="DQ86" t="b">
        <f t="shared" si="228"/>
        <v>0</v>
      </c>
      <c r="DR86" t="b">
        <f t="shared" si="229"/>
        <v>0</v>
      </c>
      <c r="DS86" t="b">
        <f t="shared" si="230"/>
        <v>0</v>
      </c>
      <c r="DT86" t="b">
        <f t="shared" si="231"/>
        <v>0</v>
      </c>
      <c r="DU86" t="b">
        <f t="shared" si="232"/>
        <v>0</v>
      </c>
      <c r="DV86" t="b">
        <f t="shared" si="233"/>
        <v>0</v>
      </c>
      <c r="DW86" t="b">
        <f t="shared" si="234"/>
        <v>0</v>
      </c>
      <c r="DX86" t="b">
        <f t="shared" si="235"/>
        <v>0</v>
      </c>
      <c r="DY86" t="b">
        <f t="shared" si="236"/>
        <v>0</v>
      </c>
      <c r="DZ86" t="b">
        <f t="shared" si="237"/>
        <v>0</v>
      </c>
      <c r="EA86" t="b">
        <f t="shared" si="238"/>
        <v>0</v>
      </c>
      <c r="EB86" t="b">
        <f t="shared" si="239"/>
        <v>0</v>
      </c>
      <c r="EC86" t="b">
        <f t="shared" si="240"/>
        <v>0</v>
      </c>
      <c r="ED86" t="b">
        <f t="shared" si="241"/>
        <v>0</v>
      </c>
      <c r="EE86" t="b">
        <f t="shared" si="242"/>
        <v>0</v>
      </c>
      <c r="EF86">
        <f t="shared" si="243"/>
        <v>1</v>
      </c>
      <c r="EG86" t="b">
        <f t="shared" si="244"/>
        <v>0</v>
      </c>
      <c r="EH86" t="b">
        <f t="shared" si="245"/>
        <v>0</v>
      </c>
      <c r="EI86" t="b">
        <f t="shared" si="246"/>
        <v>0</v>
      </c>
      <c r="EJ86" t="b">
        <f t="shared" si="247"/>
        <v>0</v>
      </c>
      <c r="EK86" t="b">
        <f t="shared" si="248"/>
        <v>0</v>
      </c>
    </row>
    <row r="87" spans="1:141">
      <c r="A87" t="s">
        <v>560</v>
      </c>
      <c r="B87" t="s">
        <v>561</v>
      </c>
      <c r="C87" t="s">
        <v>562</v>
      </c>
      <c r="D87" s="1">
        <v>41956</v>
      </c>
      <c r="E87" s="2">
        <v>42731.350601851853</v>
      </c>
      <c r="F87" s="2">
        <v>42731.350601851853</v>
      </c>
      <c r="G87">
        <v>238373</v>
      </c>
      <c r="H87" t="s">
        <v>563</v>
      </c>
      <c r="I87" s="10" t="s">
        <v>564</v>
      </c>
      <c r="J87" t="s">
        <v>381</v>
      </c>
      <c r="K87" s="8" t="b">
        <v>1</v>
      </c>
      <c r="L87" s="10" t="b">
        <v>0</v>
      </c>
      <c r="M87" s="12" t="b">
        <v>0</v>
      </c>
      <c r="N87" t="b">
        <v>0</v>
      </c>
      <c r="O87" t="b">
        <v>0</v>
      </c>
      <c r="P87" t="b">
        <v>0</v>
      </c>
      <c r="Q87">
        <f t="shared" si="125"/>
        <v>5</v>
      </c>
      <c r="R87">
        <f t="shared" si="126"/>
        <v>11</v>
      </c>
      <c r="S87" t="e">
        <f t="shared" ca="1" si="156"/>
        <v>#NAME?</v>
      </c>
      <c r="T87" t="e">
        <f t="shared" ca="1" si="127"/>
        <v>#NAME?</v>
      </c>
      <c r="U87" s="4">
        <f t="shared" si="128"/>
        <v>775.35060185185284</v>
      </c>
      <c r="V87" s="4">
        <f t="shared" si="129"/>
        <v>25.845020061728427</v>
      </c>
      <c r="W87" s="4">
        <f t="shared" si="130"/>
        <v>1</v>
      </c>
      <c r="X87" s="4">
        <f t="shared" si="131"/>
        <v>0</v>
      </c>
      <c r="Y87" s="4">
        <f t="shared" si="132"/>
        <v>0</v>
      </c>
      <c r="Z87" s="4">
        <f t="shared" si="133"/>
        <v>0</v>
      </c>
      <c r="AA87" s="4">
        <f t="shared" si="134"/>
        <v>0</v>
      </c>
      <c r="AB87" s="4">
        <f t="shared" si="135"/>
        <v>0</v>
      </c>
      <c r="AC87" s="4"/>
      <c r="AD87" s="4" t="b">
        <f t="shared" si="136"/>
        <v>0</v>
      </c>
      <c r="AE87" s="4" t="b">
        <f t="shared" si="137"/>
        <v>0</v>
      </c>
      <c r="AF87" s="4" t="b">
        <f t="shared" si="138"/>
        <v>0</v>
      </c>
      <c r="AG87" t="b">
        <f t="shared" si="139"/>
        <v>0</v>
      </c>
      <c r="AH87" t="b">
        <f t="shared" si="140"/>
        <v>0</v>
      </c>
      <c r="AI87" t="b">
        <f t="shared" si="141"/>
        <v>0</v>
      </c>
      <c r="AJ87" t="b">
        <f t="shared" si="142"/>
        <v>0</v>
      </c>
      <c r="AK87" t="b">
        <f t="shared" si="143"/>
        <v>0</v>
      </c>
      <c r="AL87" t="b">
        <f t="shared" si="144"/>
        <v>0</v>
      </c>
      <c r="AM87" t="b">
        <f t="shared" si="145"/>
        <v>0</v>
      </c>
      <c r="AN87" t="b">
        <f t="shared" si="146"/>
        <v>0</v>
      </c>
      <c r="AO87" t="b">
        <f t="shared" si="147"/>
        <v>0</v>
      </c>
      <c r="AP87" t="b">
        <f t="shared" si="148"/>
        <v>0</v>
      </c>
      <c r="AQ87" t="b">
        <f t="shared" si="149"/>
        <v>0</v>
      </c>
      <c r="AR87" t="b">
        <f t="shared" si="150"/>
        <v>0</v>
      </c>
      <c r="AS87" t="b">
        <f t="shared" si="151"/>
        <v>0</v>
      </c>
      <c r="AT87" t="b">
        <f t="shared" si="152"/>
        <v>0</v>
      </c>
      <c r="AU87" t="b">
        <f t="shared" si="153"/>
        <v>0</v>
      </c>
      <c r="AV87" t="b">
        <f t="shared" si="154"/>
        <v>0</v>
      </c>
      <c r="AW87" t="b">
        <f t="shared" si="155"/>
        <v>0</v>
      </c>
      <c r="AX87" t="b">
        <f t="shared" si="157"/>
        <v>0</v>
      </c>
      <c r="AY87" t="b">
        <f t="shared" si="158"/>
        <v>0</v>
      </c>
      <c r="AZ87" t="b">
        <f t="shared" si="159"/>
        <v>0</v>
      </c>
      <c r="BA87" t="b">
        <f t="shared" si="160"/>
        <v>0</v>
      </c>
      <c r="BB87" t="b">
        <f t="shared" si="161"/>
        <v>0</v>
      </c>
      <c r="BC87" t="b">
        <f t="shared" si="162"/>
        <v>0</v>
      </c>
      <c r="BD87" t="b">
        <f t="shared" si="163"/>
        <v>0</v>
      </c>
      <c r="BE87" t="b">
        <f t="shared" si="164"/>
        <v>0</v>
      </c>
      <c r="BF87" t="b">
        <f t="shared" si="165"/>
        <v>0</v>
      </c>
      <c r="BG87" t="b">
        <f t="shared" si="166"/>
        <v>0</v>
      </c>
      <c r="BH87" t="b">
        <f t="shared" si="167"/>
        <v>0</v>
      </c>
      <c r="BI87">
        <f t="shared" si="168"/>
        <v>1</v>
      </c>
      <c r="BJ87" t="b">
        <f t="shared" si="169"/>
        <v>0</v>
      </c>
      <c r="BK87" t="b">
        <f t="shared" si="170"/>
        <v>0</v>
      </c>
      <c r="BL87" t="b">
        <f t="shared" si="171"/>
        <v>0</v>
      </c>
      <c r="BM87" t="b">
        <f t="shared" si="172"/>
        <v>0</v>
      </c>
      <c r="BN87" t="b">
        <f t="shared" si="173"/>
        <v>0</v>
      </c>
      <c r="BO87" t="b">
        <f t="shared" si="174"/>
        <v>0</v>
      </c>
      <c r="BP87" t="b">
        <f t="shared" si="175"/>
        <v>0</v>
      </c>
      <c r="BQ87" t="b">
        <f t="shared" si="176"/>
        <v>0</v>
      </c>
      <c r="BR87" t="b">
        <f t="shared" si="177"/>
        <v>0</v>
      </c>
      <c r="BS87" t="b">
        <f t="shared" si="178"/>
        <v>0</v>
      </c>
      <c r="BT87" t="b">
        <f t="shared" si="179"/>
        <v>0</v>
      </c>
      <c r="BU87" t="b">
        <f t="shared" si="180"/>
        <v>0</v>
      </c>
      <c r="BV87" t="b">
        <f t="shared" si="181"/>
        <v>0</v>
      </c>
      <c r="BW87" t="b">
        <f t="shared" si="182"/>
        <v>0</v>
      </c>
      <c r="BX87" t="b">
        <f t="shared" si="183"/>
        <v>0</v>
      </c>
      <c r="BY87" t="b">
        <f t="shared" si="184"/>
        <v>0</v>
      </c>
      <c r="BZ87" t="b">
        <f t="shared" si="185"/>
        <v>0</v>
      </c>
      <c r="CA87" t="b">
        <f t="shared" si="186"/>
        <v>0</v>
      </c>
      <c r="CB87" t="b">
        <f t="shared" si="187"/>
        <v>0</v>
      </c>
      <c r="CC87" t="b">
        <f t="shared" si="188"/>
        <v>0</v>
      </c>
      <c r="CD87" t="b">
        <f t="shared" si="189"/>
        <v>0</v>
      </c>
      <c r="CE87">
        <f t="shared" si="190"/>
        <v>1</v>
      </c>
      <c r="CF87" t="b">
        <f t="shared" si="191"/>
        <v>0</v>
      </c>
      <c r="CG87" t="b">
        <f t="shared" si="192"/>
        <v>0</v>
      </c>
      <c r="CH87" t="b">
        <f t="shared" si="193"/>
        <v>0</v>
      </c>
      <c r="CI87" t="b">
        <f t="shared" si="194"/>
        <v>0</v>
      </c>
      <c r="CJ87" t="b">
        <f t="shared" si="195"/>
        <v>0</v>
      </c>
      <c r="CK87" t="b">
        <f t="shared" si="196"/>
        <v>0</v>
      </c>
      <c r="CL87" t="b">
        <f t="shared" si="197"/>
        <v>0</v>
      </c>
      <c r="CM87" t="b">
        <f t="shared" si="198"/>
        <v>0</v>
      </c>
      <c r="CN87" t="b">
        <f t="shared" si="199"/>
        <v>0</v>
      </c>
      <c r="CO87" t="b">
        <f t="shared" si="200"/>
        <v>0</v>
      </c>
      <c r="CP87" t="b">
        <f t="shared" si="201"/>
        <v>0</v>
      </c>
      <c r="CQ87" t="b">
        <f t="shared" si="202"/>
        <v>0</v>
      </c>
      <c r="CR87" t="b">
        <f t="shared" si="203"/>
        <v>0</v>
      </c>
      <c r="CS87" t="b">
        <f t="shared" si="204"/>
        <v>0</v>
      </c>
      <c r="CT87" t="b">
        <f t="shared" si="205"/>
        <v>0</v>
      </c>
      <c r="CU87" t="b">
        <f t="shared" si="206"/>
        <v>0</v>
      </c>
      <c r="CV87">
        <f t="shared" si="207"/>
        <v>1</v>
      </c>
      <c r="CW87" t="b">
        <f t="shared" si="208"/>
        <v>0</v>
      </c>
      <c r="CX87" t="b">
        <f t="shared" si="209"/>
        <v>0</v>
      </c>
      <c r="CY87" t="b">
        <f t="shared" si="210"/>
        <v>0</v>
      </c>
      <c r="CZ87" t="b">
        <f t="shared" si="211"/>
        <v>0</v>
      </c>
      <c r="DA87" t="b">
        <f t="shared" si="212"/>
        <v>0</v>
      </c>
      <c r="DB87" t="b">
        <f t="shared" si="213"/>
        <v>0</v>
      </c>
      <c r="DC87" t="b">
        <f t="shared" si="214"/>
        <v>0</v>
      </c>
      <c r="DD87" t="b">
        <f t="shared" si="215"/>
        <v>0</v>
      </c>
      <c r="DE87" t="b">
        <f t="shared" si="216"/>
        <v>0</v>
      </c>
      <c r="DF87" t="b">
        <f t="shared" si="217"/>
        <v>0</v>
      </c>
      <c r="DG87" t="b">
        <f t="shared" si="218"/>
        <v>0</v>
      </c>
      <c r="DH87" t="b">
        <f t="shared" si="219"/>
        <v>0</v>
      </c>
      <c r="DI87" t="b">
        <f t="shared" si="220"/>
        <v>0</v>
      </c>
      <c r="DJ87" t="b">
        <f t="shared" si="221"/>
        <v>0</v>
      </c>
      <c r="DK87" t="b">
        <f t="shared" si="222"/>
        <v>0</v>
      </c>
      <c r="DL87" t="b">
        <f t="shared" si="223"/>
        <v>0</v>
      </c>
      <c r="DM87" t="b">
        <f t="shared" si="224"/>
        <v>0</v>
      </c>
      <c r="DN87" t="b">
        <f t="shared" si="225"/>
        <v>0</v>
      </c>
      <c r="DO87" t="b">
        <f t="shared" si="226"/>
        <v>0</v>
      </c>
      <c r="DP87" t="b">
        <f t="shared" si="227"/>
        <v>0</v>
      </c>
      <c r="DQ87" t="b">
        <f t="shared" si="228"/>
        <v>0</v>
      </c>
      <c r="DR87" t="b">
        <f t="shared" si="229"/>
        <v>0</v>
      </c>
      <c r="DS87" t="b">
        <f t="shared" si="230"/>
        <v>0</v>
      </c>
      <c r="DT87" t="b">
        <f t="shared" si="231"/>
        <v>0</v>
      </c>
      <c r="DU87" t="b">
        <f t="shared" si="232"/>
        <v>0</v>
      </c>
      <c r="DV87" t="b">
        <f t="shared" si="233"/>
        <v>0</v>
      </c>
      <c r="DW87" t="b">
        <f t="shared" si="234"/>
        <v>0</v>
      </c>
      <c r="DX87" t="b">
        <f t="shared" si="235"/>
        <v>0</v>
      </c>
      <c r="DY87" t="b">
        <f t="shared" si="236"/>
        <v>0</v>
      </c>
      <c r="DZ87" t="b">
        <f t="shared" si="237"/>
        <v>0</v>
      </c>
      <c r="EA87" t="b">
        <f t="shared" si="238"/>
        <v>0</v>
      </c>
      <c r="EB87" t="b">
        <f t="shared" si="239"/>
        <v>0</v>
      </c>
      <c r="EC87" t="b">
        <f t="shared" si="240"/>
        <v>0</v>
      </c>
      <c r="ED87" t="b">
        <f t="shared" si="241"/>
        <v>0</v>
      </c>
      <c r="EE87" t="b">
        <f t="shared" si="242"/>
        <v>0</v>
      </c>
      <c r="EF87">
        <f t="shared" si="243"/>
        <v>1</v>
      </c>
      <c r="EG87" t="b">
        <f t="shared" si="244"/>
        <v>0</v>
      </c>
      <c r="EH87" t="b">
        <f t="shared" si="245"/>
        <v>0</v>
      </c>
      <c r="EI87">
        <f t="shared" si="246"/>
        <v>1</v>
      </c>
      <c r="EJ87" t="b">
        <f t="shared" si="247"/>
        <v>0</v>
      </c>
      <c r="EK87" t="b">
        <f t="shared" si="248"/>
        <v>0</v>
      </c>
    </row>
    <row r="88" spans="1:141">
      <c r="A88" t="s">
        <v>565</v>
      </c>
      <c r="B88" t="s">
        <v>566</v>
      </c>
      <c r="C88" t="s">
        <v>567</v>
      </c>
      <c r="D88" s="1">
        <v>44208</v>
      </c>
      <c r="E88" s="2">
        <v>44745.22078703704</v>
      </c>
      <c r="F88" s="2">
        <v>44745.22078703704</v>
      </c>
      <c r="G88">
        <v>1460130</v>
      </c>
      <c r="H88" t="s">
        <v>568</v>
      </c>
      <c r="I88" s="10" t="s">
        <v>569</v>
      </c>
      <c r="J88" t="s">
        <v>570</v>
      </c>
      <c r="K88" s="8" t="b">
        <v>1</v>
      </c>
      <c r="L88" s="10" t="b">
        <v>0</v>
      </c>
      <c r="M88" s="12" t="b">
        <v>0</v>
      </c>
      <c r="N88" t="b">
        <v>0</v>
      </c>
      <c r="O88" t="b">
        <v>0</v>
      </c>
      <c r="P88" t="b">
        <v>0</v>
      </c>
      <c r="Q88">
        <f t="shared" si="125"/>
        <v>3</v>
      </c>
      <c r="R88">
        <f t="shared" si="126"/>
        <v>1</v>
      </c>
      <c r="S88" t="e">
        <f t="shared" ca="1" si="156"/>
        <v>#NAME?</v>
      </c>
      <c r="T88" t="e">
        <f t="shared" ca="1" si="127"/>
        <v>#NAME?</v>
      </c>
      <c r="U88" s="4">
        <f t="shared" si="128"/>
        <v>537.22078703704028</v>
      </c>
      <c r="V88" s="4">
        <f t="shared" si="129"/>
        <v>17.907359567901342</v>
      </c>
      <c r="W88" s="4">
        <f t="shared" si="130"/>
        <v>1</v>
      </c>
      <c r="X88" s="4">
        <f t="shared" si="131"/>
        <v>0</v>
      </c>
      <c r="Y88" s="4">
        <f t="shared" si="132"/>
        <v>0</v>
      </c>
      <c r="Z88" s="4">
        <f t="shared" si="133"/>
        <v>0</v>
      </c>
      <c r="AA88" s="4">
        <f t="shared" si="134"/>
        <v>0</v>
      </c>
      <c r="AB88" s="4">
        <f t="shared" si="135"/>
        <v>0</v>
      </c>
      <c r="AC88" s="4"/>
      <c r="AD88" s="4" t="b">
        <f t="shared" si="136"/>
        <v>0</v>
      </c>
      <c r="AE88" s="4" t="b">
        <f t="shared" si="137"/>
        <v>0</v>
      </c>
      <c r="AF88" s="4" t="b">
        <f t="shared" si="138"/>
        <v>0</v>
      </c>
      <c r="AG88" t="b">
        <f t="shared" si="139"/>
        <v>0</v>
      </c>
      <c r="AH88" t="b">
        <f t="shared" si="140"/>
        <v>0</v>
      </c>
      <c r="AI88" t="b">
        <f t="shared" si="141"/>
        <v>0</v>
      </c>
      <c r="AJ88" t="b">
        <f t="shared" si="142"/>
        <v>0</v>
      </c>
      <c r="AK88" t="b">
        <f t="shared" si="143"/>
        <v>0</v>
      </c>
      <c r="AL88" t="b">
        <f t="shared" si="144"/>
        <v>0</v>
      </c>
      <c r="AM88" t="b">
        <f t="shared" si="145"/>
        <v>0</v>
      </c>
      <c r="AN88" t="b">
        <f t="shared" si="146"/>
        <v>0</v>
      </c>
      <c r="AO88" t="b">
        <f t="shared" si="147"/>
        <v>0</v>
      </c>
      <c r="AP88" t="b">
        <f t="shared" si="148"/>
        <v>0</v>
      </c>
      <c r="AQ88" t="b">
        <f t="shared" si="149"/>
        <v>0</v>
      </c>
      <c r="AR88" t="b">
        <f t="shared" si="150"/>
        <v>0</v>
      </c>
      <c r="AS88" t="b">
        <f t="shared" si="151"/>
        <v>0</v>
      </c>
      <c r="AT88" t="b">
        <f t="shared" si="152"/>
        <v>0</v>
      </c>
      <c r="AU88" t="b">
        <f t="shared" si="153"/>
        <v>0</v>
      </c>
      <c r="AV88" t="b">
        <f t="shared" si="154"/>
        <v>0</v>
      </c>
      <c r="AW88" t="b">
        <f t="shared" si="155"/>
        <v>0</v>
      </c>
      <c r="AX88" t="b">
        <f t="shared" si="157"/>
        <v>0</v>
      </c>
      <c r="AY88" t="b">
        <f t="shared" si="158"/>
        <v>0</v>
      </c>
      <c r="AZ88">
        <f t="shared" si="159"/>
        <v>1</v>
      </c>
      <c r="BA88" t="b">
        <f t="shared" si="160"/>
        <v>0</v>
      </c>
      <c r="BB88" t="b">
        <f t="shared" si="161"/>
        <v>0</v>
      </c>
      <c r="BC88" t="b">
        <f t="shared" si="162"/>
        <v>0</v>
      </c>
      <c r="BD88" t="b">
        <f t="shared" si="163"/>
        <v>0</v>
      </c>
      <c r="BE88" t="b">
        <f t="shared" si="164"/>
        <v>0</v>
      </c>
      <c r="BF88" t="b">
        <f t="shared" si="165"/>
        <v>0</v>
      </c>
      <c r="BG88" t="b">
        <f t="shared" si="166"/>
        <v>0</v>
      </c>
      <c r="BH88" t="b">
        <f t="shared" si="167"/>
        <v>0</v>
      </c>
      <c r="BI88">
        <f t="shared" si="168"/>
        <v>1</v>
      </c>
      <c r="BJ88" t="b">
        <f t="shared" si="169"/>
        <v>0</v>
      </c>
      <c r="BK88" t="b">
        <f t="shared" si="170"/>
        <v>0</v>
      </c>
      <c r="BL88" t="b">
        <f t="shared" si="171"/>
        <v>0</v>
      </c>
      <c r="BM88" t="b">
        <f t="shared" si="172"/>
        <v>0</v>
      </c>
      <c r="BN88" t="b">
        <f t="shared" si="173"/>
        <v>0</v>
      </c>
      <c r="BO88" t="b">
        <f t="shared" si="174"/>
        <v>0</v>
      </c>
      <c r="BP88" t="b">
        <f t="shared" si="175"/>
        <v>0</v>
      </c>
      <c r="BQ88">
        <f t="shared" si="176"/>
        <v>1</v>
      </c>
      <c r="BR88" t="b">
        <f t="shared" si="177"/>
        <v>0</v>
      </c>
      <c r="BS88" t="b">
        <f t="shared" si="178"/>
        <v>0</v>
      </c>
      <c r="BT88" t="b">
        <f t="shared" si="179"/>
        <v>0</v>
      </c>
      <c r="BU88" t="b">
        <f t="shared" si="180"/>
        <v>0</v>
      </c>
      <c r="BV88" t="b">
        <f t="shared" si="181"/>
        <v>0</v>
      </c>
      <c r="BW88" t="b">
        <f t="shared" si="182"/>
        <v>0</v>
      </c>
      <c r="BX88" t="b">
        <f t="shared" si="183"/>
        <v>0</v>
      </c>
      <c r="BY88" t="b">
        <f t="shared" si="184"/>
        <v>0</v>
      </c>
      <c r="BZ88" t="b">
        <f t="shared" si="185"/>
        <v>0</v>
      </c>
      <c r="CA88" t="b">
        <f t="shared" si="186"/>
        <v>0</v>
      </c>
      <c r="CB88" t="b">
        <f t="shared" si="187"/>
        <v>0</v>
      </c>
      <c r="CC88" t="b">
        <f t="shared" si="188"/>
        <v>0</v>
      </c>
      <c r="CD88" t="b">
        <f t="shared" si="189"/>
        <v>0</v>
      </c>
      <c r="CE88">
        <f t="shared" si="190"/>
        <v>1</v>
      </c>
      <c r="CF88" t="b">
        <f t="shared" si="191"/>
        <v>0</v>
      </c>
      <c r="CG88" t="b">
        <f t="shared" si="192"/>
        <v>0</v>
      </c>
      <c r="CH88" t="b">
        <f t="shared" si="193"/>
        <v>0</v>
      </c>
      <c r="CI88" t="b">
        <f t="shared" si="194"/>
        <v>0</v>
      </c>
      <c r="CJ88" t="b">
        <f t="shared" si="195"/>
        <v>0</v>
      </c>
      <c r="CK88" t="b">
        <f t="shared" si="196"/>
        <v>0</v>
      </c>
      <c r="CL88" t="b">
        <f t="shared" si="197"/>
        <v>0</v>
      </c>
      <c r="CM88">
        <f t="shared" si="198"/>
        <v>1</v>
      </c>
      <c r="CN88" t="b">
        <f t="shared" si="199"/>
        <v>0</v>
      </c>
      <c r="CO88" t="b">
        <f t="shared" si="200"/>
        <v>0</v>
      </c>
      <c r="CP88" t="b">
        <f t="shared" si="201"/>
        <v>0</v>
      </c>
      <c r="CQ88" t="b">
        <f t="shared" si="202"/>
        <v>0</v>
      </c>
      <c r="CR88" t="b">
        <f t="shared" si="203"/>
        <v>0</v>
      </c>
      <c r="CS88" t="b">
        <f t="shared" si="204"/>
        <v>0</v>
      </c>
      <c r="CT88" t="b">
        <f t="shared" si="205"/>
        <v>0</v>
      </c>
      <c r="CU88" t="b">
        <f t="shared" si="206"/>
        <v>0</v>
      </c>
      <c r="CV88" t="b">
        <f t="shared" si="207"/>
        <v>0</v>
      </c>
      <c r="CW88" t="b">
        <f t="shared" si="208"/>
        <v>0</v>
      </c>
      <c r="CX88" t="b">
        <f t="shared" si="209"/>
        <v>0</v>
      </c>
      <c r="CY88" t="b">
        <f t="shared" si="210"/>
        <v>0</v>
      </c>
      <c r="CZ88" t="b">
        <f t="shared" si="211"/>
        <v>0</v>
      </c>
      <c r="DA88">
        <f t="shared" si="212"/>
        <v>1</v>
      </c>
      <c r="DB88">
        <f t="shared" si="213"/>
        <v>1</v>
      </c>
      <c r="DC88" t="b">
        <f t="shared" si="214"/>
        <v>0</v>
      </c>
      <c r="DD88" t="b">
        <f t="shared" si="215"/>
        <v>0</v>
      </c>
      <c r="DE88" t="b">
        <f t="shared" si="216"/>
        <v>0</v>
      </c>
      <c r="DF88" t="b">
        <f t="shared" si="217"/>
        <v>0</v>
      </c>
      <c r="DG88" t="b">
        <f t="shared" si="218"/>
        <v>0</v>
      </c>
      <c r="DH88" t="b">
        <f t="shared" si="219"/>
        <v>0</v>
      </c>
      <c r="DI88" t="b">
        <f t="shared" si="220"/>
        <v>0</v>
      </c>
      <c r="DJ88">
        <f t="shared" si="221"/>
        <v>1</v>
      </c>
      <c r="DK88" t="b">
        <f t="shared" si="222"/>
        <v>0</v>
      </c>
      <c r="DL88" t="b">
        <f t="shared" si="223"/>
        <v>0</v>
      </c>
      <c r="DM88" t="b">
        <f t="shared" si="224"/>
        <v>0</v>
      </c>
      <c r="DN88" t="b">
        <f t="shared" si="225"/>
        <v>0</v>
      </c>
      <c r="DO88" t="b">
        <f t="shared" si="226"/>
        <v>0</v>
      </c>
      <c r="DP88" t="b">
        <f t="shared" si="227"/>
        <v>0</v>
      </c>
      <c r="DQ88" t="b">
        <f t="shared" si="228"/>
        <v>0</v>
      </c>
      <c r="DR88" t="b">
        <f t="shared" si="229"/>
        <v>0</v>
      </c>
      <c r="DS88" t="b">
        <f t="shared" si="230"/>
        <v>0</v>
      </c>
      <c r="DT88" t="b">
        <f t="shared" si="231"/>
        <v>0</v>
      </c>
      <c r="DU88" t="b">
        <f t="shared" si="232"/>
        <v>0</v>
      </c>
      <c r="DV88" t="b">
        <f t="shared" si="233"/>
        <v>0</v>
      </c>
      <c r="DW88" t="b">
        <f t="shared" si="234"/>
        <v>0</v>
      </c>
      <c r="DX88" t="b">
        <f t="shared" si="235"/>
        <v>0</v>
      </c>
      <c r="DY88" t="b">
        <f t="shared" si="236"/>
        <v>0</v>
      </c>
      <c r="DZ88" t="b">
        <f t="shared" si="237"/>
        <v>0</v>
      </c>
      <c r="EA88" t="b">
        <f t="shared" si="238"/>
        <v>0</v>
      </c>
      <c r="EB88" t="b">
        <f t="shared" si="239"/>
        <v>0</v>
      </c>
      <c r="EC88" t="b">
        <f t="shared" si="240"/>
        <v>0</v>
      </c>
      <c r="ED88" t="b">
        <f t="shared" si="241"/>
        <v>0</v>
      </c>
      <c r="EE88" t="b">
        <f t="shared" si="242"/>
        <v>0</v>
      </c>
      <c r="EF88" t="b">
        <f t="shared" si="243"/>
        <v>0</v>
      </c>
      <c r="EG88" t="b">
        <f t="shared" si="244"/>
        <v>0</v>
      </c>
      <c r="EH88" t="b">
        <f t="shared" si="245"/>
        <v>0</v>
      </c>
      <c r="EI88" t="b">
        <f t="shared" si="246"/>
        <v>0</v>
      </c>
      <c r="EJ88" t="b">
        <f t="shared" si="247"/>
        <v>0</v>
      </c>
      <c r="EK88" t="b">
        <f t="shared" si="248"/>
        <v>0</v>
      </c>
    </row>
    <row r="89" spans="1:141">
      <c r="A89" t="s">
        <v>571</v>
      </c>
      <c r="B89" t="s">
        <v>571</v>
      </c>
      <c r="C89" t="s">
        <v>572</v>
      </c>
      <c r="D89" s="1">
        <v>41727</v>
      </c>
      <c r="E89" s="2">
        <v>41728.546712962961</v>
      </c>
      <c r="F89" s="2">
        <v>41728.546712962961</v>
      </c>
      <c r="G89">
        <v>158093</v>
      </c>
      <c r="H89" t="s">
        <v>573</v>
      </c>
      <c r="I89" s="10" t="s">
        <v>574</v>
      </c>
      <c r="J89" t="s">
        <v>575</v>
      </c>
      <c r="K89" s="8" t="b">
        <v>1</v>
      </c>
      <c r="L89" s="10" t="b">
        <v>0</v>
      </c>
      <c r="M89" s="12" t="b">
        <v>0</v>
      </c>
      <c r="N89" t="b">
        <v>0</v>
      </c>
      <c r="O89" t="b">
        <v>0</v>
      </c>
      <c r="P89" t="b">
        <v>0</v>
      </c>
      <c r="Q89">
        <f t="shared" si="125"/>
        <v>7</v>
      </c>
      <c r="R89">
        <f t="shared" si="126"/>
        <v>3</v>
      </c>
      <c r="S89" t="e">
        <f t="shared" ca="1" si="156"/>
        <v>#NAME?</v>
      </c>
      <c r="T89" t="e">
        <f t="shared" ca="1" si="127"/>
        <v>#NAME?</v>
      </c>
      <c r="U89" s="4">
        <f t="shared" si="128"/>
        <v>1.5467129629614647</v>
      </c>
      <c r="V89" s="4">
        <f t="shared" si="129"/>
        <v>5.1557098765382156E-2</v>
      </c>
      <c r="W89" s="4">
        <f t="shared" si="130"/>
        <v>1</v>
      </c>
      <c r="X89" s="4">
        <f t="shared" si="131"/>
        <v>0</v>
      </c>
      <c r="Y89" s="4">
        <f t="shared" si="132"/>
        <v>0</v>
      </c>
      <c r="Z89" s="4">
        <f t="shared" si="133"/>
        <v>0</v>
      </c>
      <c r="AA89" s="4">
        <f t="shared" si="134"/>
        <v>0</v>
      </c>
      <c r="AB89" s="4">
        <f t="shared" si="135"/>
        <v>0</v>
      </c>
      <c r="AC89" s="4"/>
      <c r="AD89" s="4" t="b">
        <f t="shared" si="136"/>
        <v>0</v>
      </c>
      <c r="AE89" s="4" t="b">
        <f t="shared" si="137"/>
        <v>0</v>
      </c>
      <c r="AF89" s="4" t="b">
        <f t="shared" si="138"/>
        <v>0</v>
      </c>
      <c r="AG89" t="b">
        <f t="shared" si="139"/>
        <v>0</v>
      </c>
      <c r="AH89" t="b">
        <f t="shared" si="140"/>
        <v>0</v>
      </c>
      <c r="AI89" t="b">
        <f t="shared" si="141"/>
        <v>0</v>
      </c>
      <c r="AJ89" t="b">
        <f t="shared" si="142"/>
        <v>0</v>
      </c>
      <c r="AK89" t="b">
        <f t="shared" si="143"/>
        <v>0</v>
      </c>
      <c r="AL89" t="b">
        <f t="shared" si="144"/>
        <v>0</v>
      </c>
      <c r="AM89" t="b">
        <f t="shared" si="145"/>
        <v>0</v>
      </c>
      <c r="AN89" t="b">
        <f t="shared" si="146"/>
        <v>0</v>
      </c>
      <c r="AO89" t="b">
        <f t="shared" si="147"/>
        <v>0</v>
      </c>
      <c r="AP89" t="b">
        <f t="shared" si="148"/>
        <v>0</v>
      </c>
      <c r="AQ89" t="b">
        <f t="shared" si="149"/>
        <v>0</v>
      </c>
      <c r="AR89" t="b">
        <f t="shared" si="150"/>
        <v>0</v>
      </c>
      <c r="AS89" t="b">
        <f t="shared" si="151"/>
        <v>0</v>
      </c>
      <c r="AT89" t="b">
        <f t="shared" si="152"/>
        <v>0</v>
      </c>
      <c r="AU89" t="b">
        <f t="shared" si="153"/>
        <v>0</v>
      </c>
      <c r="AV89" t="b">
        <f t="shared" si="154"/>
        <v>0</v>
      </c>
      <c r="AW89" t="b">
        <f t="shared" si="155"/>
        <v>0</v>
      </c>
      <c r="AX89" t="b">
        <f t="shared" si="157"/>
        <v>0</v>
      </c>
      <c r="AY89" t="b">
        <f t="shared" si="158"/>
        <v>0</v>
      </c>
      <c r="AZ89">
        <f t="shared" si="159"/>
        <v>1</v>
      </c>
      <c r="BA89" t="b">
        <f t="shared" si="160"/>
        <v>0</v>
      </c>
      <c r="BB89" t="b">
        <f t="shared" si="161"/>
        <v>0</v>
      </c>
      <c r="BC89" t="b">
        <f t="shared" si="162"/>
        <v>0</v>
      </c>
      <c r="BD89" t="b">
        <f t="shared" si="163"/>
        <v>0</v>
      </c>
      <c r="BE89" t="b">
        <f t="shared" si="164"/>
        <v>0</v>
      </c>
      <c r="BF89" t="b">
        <f t="shared" si="165"/>
        <v>0</v>
      </c>
      <c r="BG89" t="b">
        <f t="shared" si="166"/>
        <v>0</v>
      </c>
      <c r="BH89" t="b">
        <f t="shared" si="167"/>
        <v>0</v>
      </c>
      <c r="BI89">
        <f t="shared" si="168"/>
        <v>1</v>
      </c>
      <c r="BJ89" t="b">
        <f t="shared" si="169"/>
        <v>0</v>
      </c>
      <c r="BK89" t="b">
        <f t="shared" si="170"/>
        <v>0</v>
      </c>
      <c r="BL89" t="b">
        <f t="shared" si="171"/>
        <v>0</v>
      </c>
      <c r="BM89" t="b">
        <f t="shared" si="172"/>
        <v>0</v>
      </c>
      <c r="BN89" t="b">
        <f t="shared" si="173"/>
        <v>0</v>
      </c>
      <c r="BO89" t="b">
        <f t="shared" si="174"/>
        <v>0</v>
      </c>
      <c r="BP89" t="b">
        <f t="shared" si="175"/>
        <v>0</v>
      </c>
      <c r="BQ89" t="b">
        <f t="shared" si="176"/>
        <v>0</v>
      </c>
      <c r="BR89" t="b">
        <f t="shared" si="177"/>
        <v>0</v>
      </c>
      <c r="BS89">
        <f t="shared" si="178"/>
        <v>1</v>
      </c>
      <c r="BT89" t="b">
        <f t="shared" si="179"/>
        <v>0</v>
      </c>
      <c r="BU89" t="b">
        <f t="shared" si="180"/>
        <v>0</v>
      </c>
      <c r="BV89">
        <f t="shared" si="181"/>
        <v>1</v>
      </c>
      <c r="BW89" t="b">
        <f t="shared" si="182"/>
        <v>0</v>
      </c>
      <c r="BX89" t="b">
        <f t="shared" si="183"/>
        <v>0</v>
      </c>
      <c r="BY89" t="b">
        <f t="shared" si="184"/>
        <v>0</v>
      </c>
      <c r="BZ89" t="b">
        <f t="shared" si="185"/>
        <v>0</v>
      </c>
      <c r="CA89" t="b">
        <f t="shared" si="186"/>
        <v>0</v>
      </c>
      <c r="CB89" t="b">
        <f t="shared" si="187"/>
        <v>0</v>
      </c>
      <c r="CC89" t="b">
        <f t="shared" si="188"/>
        <v>0</v>
      </c>
      <c r="CD89">
        <f t="shared" si="189"/>
        <v>1</v>
      </c>
      <c r="CE89">
        <f t="shared" si="190"/>
        <v>1</v>
      </c>
      <c r="CF89" t="b">
        <f t="shared" si="191"/>
        <v>0</v>
      </c>
      <c r="CG89" t="b">
        <f t="shared" si="192"/>
        <v>0</v>
      </c>
      <c r="CH89" t="b">
        <f t="shared" si="193"/>
        <v>0</v>
      </c>
      <c r="CI89" t="b">
        <f t="shared" si="194"/>
        <v>0</v>
      </c>
      <c r="CJ89" t="b">
        <f t="shared" si="195"/>
        <v>0</v>
      </c>
      <c r="CK89" t="b">
        <f t="shared" si="196"/>
        <v>0</v>
      </c>
      <c r="CL89" t="b">
        <f t="shared" si="197"/>
        <v>0</v>
      </c>
      <c r="CM89" t="b">
        <f t="shared" si="198"/>
        <v>0</v>
      </c>
      <c r="CN89" t="b">
        <f t="shared" si="199"/>
        <v>0</v>
      </c>
      <c r="CO89" t="b">
        <f t="shared" si="200"/>
        <v>0</v>
      </c>
      <c r="CP89" t="b">
        <f t="shared" si="201"/>
        <v>0</v>
      </c>
      <c r="CQ89" t="b">
        <f t="shared" si="202"/>
        <v>0</v>
      </c>
      <c r="CR89" t="b">
        <f t="shared" si="203"/>
        <v>0</v>
      </c>
      <c r="CS89" t="b">
        <f t="shared" si="204"/>
        <v>0</v>
      </c>
      <c r="CT89" t="b">
        <f t="shared" si="205"/>
        <v>0</v>
      </c>
      <c r="CU89" t="b">
        <f t="shared" si="206"/>
        <v>0</v>
      </c>
      <c r="CV89">
        <f t="shared" si="207"/>
        <v>1</v>
      </c>
      <c r="CW89" t="b">
        <f t="shared" si="208"/>
        <v>0</v>
      </c>
      <c r="CX89" t="b">
        <f t="shared" si="209"/>
        <v>0</v>
      </c>
      <c r="CY89" t="b">
        <f t="shared" si="210"/>
        <v>0</v>
      </c>
      <c r="CZ89" t="b">
        <f t="shared" si="211"/>
        <v>0</v>
      </c>
      <c r="DA89" t="b">
        <f t="shared" si="212"/>
        <v>0</v>
      </c>
      <c r="DB89" t="b">
        <f t="shared" si="213"/>
        <v>0</v>
      </c>
      <c r="DC89" t="b">
        <f t="shared" si="214"/>
        <v>0</v>
      </c>
      <c r="DD89" t="b">
        <f t="shared" si="215"/>
        <v>0</v>
      </c>
      <c r="DE89" t="b">
        <f t="shared" si="216"/>
        <v>0</v>
      </c>
      <c r="DF89" t="b">
        <f t="shared" si="217"/>
        <v>0</v>
      </c>
      <c r="DG89">
        <f t="shared" si="218"/>
        <v>1</v>
      </c>
      <c r="DH89" t="b">
        <f t="shared" si="219"/>
        <v>0</v>
      </c>
      <c r="DI89" t="b">
        <f t="shared" si="220"/>
        <v>0</v>
      </c>
      <c r="DJ89" t="b">
        <f t="shared" si="221"/>
        <v>0</v>
      </c>
      <c r="DK89" t="b">
        <f t="shared" si="222"/>
        <v>0</v>
      </c>
      <c r="DL89" t="b">
        <f t="shared" si="223"/>
        <v>0</v>
      </c>
      <c r="DM89" t="b">
        <f t="shared" si="224"/>
        <v>0</v>
      </c>
      <c r="DN89" t="b">
        <f t="shared" si="225"/>
        <v>0</v>
      </c>
      <c r="DO89" t="b">
        <f t="shared" si="226"/>
        <v>0</v>
      </c>
      <c r="DP89" t="b">
        <f t="shared" si="227"/>
        <v>0</v>
      </c>
      <c r="DQ89" t="b">
        <f t="shared" si="228"/>
        <v>0</v>
      </c>
      <c r="DR89" t="b">
        <f t="shared" si="229"/>
        <v>0</v>
      </c>
      <c r="DS89" t="b">
        <f t="shared" si="230"/>
        <v>0</v>
      </c>
      <c r="DT89" t="b">
        <f t="shared" si="231"/>
        <v>0</v>
      </c>
      <c r="DU89" t="b">
        <f t="shared" si="232"/>
        <v>0</v>
      </c>
      <c r="DV89" t="b">
        <f t="shared" si="233"/>
        <v>0</v>
      </c>
      <c r="DW89" t="b">
        <f t="shared" si="234"/>
        <v>0</v>
      </c>
      <c r="DX89" t="b">
        <f t="shared" si="235"/>
        <v>0</v>
      </c>
      <c r="DY89" t="b">
        <f t="shared" si="236"/>
        <v>0</v>
      </c>
      <c r="DZ89" t="b">
        <f t="shared" si="237"/>
        <v>0</v>
      </c>
      <c r="EA89" t="b">
        <f t="shared" si="238"/>
        <v>0</v>
      </c>
      <c r="EB89" t="b">
        <f t="shared" si="239"/>
        <v>0</v>
      </c>
      <c r="EC89" t="b">
        <f t="shared" si="240"/>
        <v>0</v>
      </c>
      <c r="ED89" t="b">
        <f t="shared" si="241"/>
        <v>0</v>
      </c>
      <c r="EE89">
        <f t="shared" si="242"/>
        <v>1</v>
      </c>
      <c r="EF89">
        <f t="shared" si="243"/>
        <v>1</v>
      </c>
      <c r="EG89" t="b">
        <f t="shared" si="244"/>
        <v>0</v>
      </c>
      <c r="EH89" t="b">
        <f t="shared" si="245"/>
        <v>0</v>
      </c>
      <c r="EI89" t="b">
        <f t="shared" si="246"/>
        <v>0</v>
      </c>
      <c r="EJ89" t="b">
        <f t="shared" si="247"/>
        <v>0</v>
      </c>
      <c r="EK89" t="b">
        <f t="shared" si="248"/>
        <v>0</v>
      </c>
    </row>
    <row r="90" spans="1:141">
      <c r="A90" t="s">
        <v>576</v>
      </c>
      <c r="B90" t="s">
        <v>577</v>
      </c>
      <c r="C90" t="s">
        <v>578</v>
      </c>
      <c r="D90" s="1">
        <v>44787</v>
      </c>
      <c r="E90" s="2">
        <v>44812.333761574075</v>
      </c>
      <c r="F90" s="2">
        <v>44812.333761574075</v>
      </c>
      <c r="G90">
        <v>349627</v>
      </c>
      <c r="H90" t="s">
        <v>579</v>
      </c>
      <c r="I90" s="10" t="s">
        <v>580</v>
      </c>
      <c r="J90" t="s">
        <v>581</v>
      </c>
      <c r="K90" s="8" t="b">
        <v>1</v>
      </c>
      <c r="L90" s="10" t="b">
        <v>0</v>
      </c>
      <c r="M90" s="12" t="b">
        <v>0</v>
      </c>
      <c r="N90" t="b">
        <v>0</v>
      </c>
      <c r="O90" t="b">
        <v>0</v>
      </c>
      <c r="P90" t="b">
        <v>0</v>
      </c>
      <c r="Q90">
        <f t="shared" si="125"/>
        <v>1</v>
      </c>
      <c r="R90">
        <f t="shared" si="126"/>
        <v>8</v>
      </c>
      <c r="S90" t="e">
        <f t="shared" ca="1" si="156"/>
        <v>#NAME?</v>
      </c>
      <c r="T90" t="e">
        <f t="shared" ca="1" si="127"/>
        <v>#NAME?</v>
      </c>
      <c r="U90" s="4">
        <f t="shared" si="128"/>
        <v>25.333761574074742</v>
      </c>
      <c r="V90" s="4">
        <f t="shared" si="129"/>
        <v>0.84445871913582471</v>
      </c>
      <c r="W90" s="4">
        <f t="shared" si="130"/>
        <v>1</v>
      </c>
      <c r="X90" s="4">
        <f t="shared" si="131"/>
        <v>0</v>
      </c>
      <c r="Y90" s="4">
        <f t="shared" si="132"/>
        <v>0</v>
      </c>
      <c r="Z90" s="4">
        <f t="shared" si="133"/>
        <v>0</v>
      </c>
      <c r="AA90" s="4">
        <f t="shared" si="134"/>
        <v>0</v>
      </c>
      <c r="AB90" s="4">
        <f t="shared" si="135"/>
        <v>0</v>
      </c>
      <c r="AC90" s="4"/>
      <c r="AD90" s="4" t="b">
        <f t="shared" si="136"/>
        <v>0</v>
      </c>
      <c r="AE90" s="4" t="b">
        <f t="shared" si="137"/>
        <v>0</v>
      </c>
      <c r="AF90" s="4" t="b">
        <f t="shared" si="138"/>
        <v>0</v>
      </c>
      <c r="AG90" t="b">
        <f t="shared" si="139"/>
        <v>0</v>
      </c>
      <c r="AH90" t="b">
        <f t="shared" si="140"/>
        <v>0</v>
      </c>
      <c r="AI90" t="b">
        <f t="shared" si="141"/>
        <v>0</v>
      </c>
      <c r="AJ90" t="b">
        <f t="shared" si="142"/>
        <v>0</v>
      </c>
      <c r="AK90" t="b">
        <f t="shared" si="143"/>
        <v>0</v>
      </c>
      <c r="AL90" t="b">
        <f t="shared" si="144"/>
        <v>0</v>
      </c>
      <c r="AM90" t="b">
        <f t="shared" si="145"/>
        <v>0</v>
      </c>
      <c r="AN90" t="b">
        <f t="shared" si="146"/>
        <v>0</v>
      </c>
      <c r="AO90" t="b">
        <f t="shared" si="147"/>
        <v>0</v>
      </c>
      <c r="AP90" t="b">
        <f t="shared" si="148"/>
        <v>0</v>
      </c>
      <c r="AQ90" t="b">
        <f t="shared" si="149"/>
        <v>0</v>
      </c>
      <c r="AR90" t="b">
        <f t="shared" si="150"/>
        <v>0</v>
      </c>
      <c r="AS90" t="b">
        <f t="shared" si="151"/>
        <v>0</v>
      </c>
      <c r="AT90" t="b">
        <f t="shared" si="152"/>
        <v>0</v>
      </c>
      <c r="AU90" t="b">
        <f t="shared" si="153"/>
        <v>0</v>
      </c>
      <c r="AV90" t="b">
        <f t="shared" si="154"/>
        <v>0</v>
      </c>
      <c r="AW90" t="b">
        <f t="shared" si="155"/>
        <v>0</v>
      </c>
      <c r="AX90" t="b">
        <f t="shared" si="157"/>
        <v>0</v>
      </c>
      <c r="AY90" t="b">
        <f t="shared" si="158"/>
        <v>0</v>
      </c>
      <c r="AZ90" t="b">
        <f t="shared" si="159"/>
        <v>0</v>
      </c>
      <c r="BA90" t="b">
        <f t="shared" si="160"/>
        <v>0</v>
      </c>
      <c r="BB90" t="b">
        <f t="shared" si="161"/>
        <v>0</v>
      </c>
      <c r="BC90" t="b">
        <f t="shared" si="162"/>
        <v>0</v>
      </c>
      <c r="BD90" t="b">
        <f t="shared" si="163"/>
        <v>0</v>
      </c>
      <c r="BE90" t="b">
        <f t="shared" si="164"/>
        <v>0</v>
      </c>
      <c r="BF90" t="b">
        <f t="shared" si="165"/>
        <v>0</v>
      </c>
      <c r="BG90" t="b">
        <f t="shared" si="166"/>
        <v>0</v>
      </c>
      <c r="BH90" t="b">
        <f t="shared" si="167"/>
        <v>0</v>
      </c>
      <c r="BI90">
        <f t="shared" si="168"/>
        <v>1</v>
      </c>
      <c r="BJ90" t="b">
        <f t="shared" si="169"/>
        <v>0</v>
      </c>
      <c r="BK90" t="b">
        <f t="shared" si="170"/>
        <v>0</v>
      </c>
      <c r="BL90" t="b">
        <f t="shared" si="171"/>
        <v>0</v>
      </c>
      <c r="BM90" t="b">
        <f t="shared" si="172"/>
        <v>0</v>
      </c>
      <c r="BN90" t="b">
        <f t="shared" si="173"/>
        <v>0</v>
      </c>
      <c r="BO90" t="b">
        <f t="shared" si="174"/>
        <v>0</v>
      </c>
      <c r="BP90" t="b">
        <f t="shared" si="175"/>
        <v>0</v>
      </c>
      <c r="BQ90" t="b">
        <f t="shared" si="176"/>
        <v>0</v>
      </c>
      <c r="BR90">
        <f t="shared" si="177"/>
        <v>1</v>
      </c>
      <c r="BS90" t="b">
        <f t="shared" si="178"/>
        <v>0</v>
      </c>
      <c r="BT90" t="b">
        <f t="shared" si="179"/>
        <v>0</v>
      </c>
      <c r="BU90" t="b">
        <f t="shared" si="180"/>
        <v>0</v>
      </c>
      <c r="BV90" t="b">
        <f t="shared" si="181"/>
        <v>0</v>
      </c>
      <c r="BW90" t="b">
        <f t="shared" si="182"/>
        <v>0</v>
      </c>
      <c r="BX90" t="b">
        <f t="shared" si="183"/>
        <v>0</v>
      </c>
      <c r="BY90" t="b">
        <f t="shared" si="184"/>
        <v>0</v>
      </c>
      <c r="BZ90" t="b">
        <f t="shared" si="185"/>
        <v>0</v>
      </c>
      <c r="CA90" t="b">
        <f t="shared" si="186"/>
        <v>0</v>
      </c>
      <c r="CB90" t="b">
        <f t="shared" si="187"/>
        <v>0</v>
      </c>
      <c r="CC90" t="b">
        <f t="shared" si="188"/>
        <v>0</v>
      </c>
      <c r="CD90" t="b">
        <f t="shared" si="189"/>
        <v>0</v>
      </c>
      <c r="CE90">
        <f t="shared" si="190"/>
        <v>1</v>
      </c>
      <c r="CF90" t="b">
        <f t="shared" si="191"/>
        <v>0</v>
      </c>
      <c r="CG90" t="b">
        <f t="shared" si="192"/>
        <v>0</v>
      </c>
      <c r="CH90" t="b">
        <f t="shared" si="193"/>
        <v>0</v>
      </c>
      <c r="CI90" t="b">
        <f t="shared" si="194"/>
        <v>0</v>
      </c>
      <c r="CJ90" t="b">
        <f t="shared" si="195"/>
        <v>0</v>
      </c>
      <c r="CK90" t="b">
        <f t="shared" si="196"/>
        <v>0</v>
      </c>
      <c r="CL90" t="b">
        <f t="shared" si="197"/>
        <v>0</v>
      </c>
      <c r="CM90" t="b">
        <f t="shared" si="198"/>
        <v>0</v>
      </c>
      <c r="CN90" t="b">
        <f t="shared" si="199"/>
        <v>0</v>
      </c>
      <c r="CO90" t="b">
        <f t="shared" si="200"/>
        <v>0</v>
      </c>
      <c r="CP90" t="b">
        <f t="shared" si="201"/>
        <v>0</v>
      </c>
      <c r="CQ90" t="b">
        <f t="shared" si="202"/>
        <v>0</v>
      </c>
      <c r="CR90" t="b">
        <f t="shared" si="203"/>
        <v>0</v>
      </c>
      <c r="CS90" t="b">
        <f t="shared" si="204"/>
        <v>0</v>
      </c>
      <c r="CT90" t="b">
        <f t="shared" si="205"/>
        <v>0</v>
      </c>
      <c r="CU90" t="b">
        <f t="shared" si="206"/>
        <v>0</v>
      </c>
      <c r="CV90">
        <f t="shared" si="207"/>
        <v>1</v>
      </c>
      <c r="CW90" t="b">
        <f t="shared" si="208"/>
        <v>0</v>
      </c>
      <c r="CX90" t="b">
        <f t="shared" si="209"/>
        <v>0</v>
      </c>
      <c r="CY90" t="b">
        <f t="shared" si="210"/>
        <v>0</v>
      </c>
      <c r="CZ90" t="b">
        <f t="shared" si="211"/>
        <v>0</v>
      </c>
      <c r="DA90" t="b">
        <f t="shared" si="212"/>
        <v>0</v>
      </c>
      <c r="DB90" t="b">
        <f t="shared" si="213"/>
        <v>0</v>
      </c>
      <c r="DC90" t="b">
        <f t="shared" si="214"/>
        <v>0</v>
      </c>
      <c r="DD90" t="b">
        <f t="shared" si="215"/>
        <v>0</v>
      </c>
      <c r="DE90" t="b">
        <f t="shared" si="216"/>
        <v>0</v>
      </c>
      <c r="DF90" t="b">
        <f t="shared" si="217"/>
        <v>0</v>
      </c>
      <c r="DG90">
        <f t="shared" si="218"/>
        <v>1</v>
      </c>
      <c r="DH90" t="b">
        <f t="shared" si="219"/>
        <v>0</v>
      </c>
      <c r="DI90" t="b">
        <f t="shared" si="220"/>
        <v>0</v>
      </c>
      <c r="DJ90" t="b">
        <f t="shared" si="221"/>
        <v>0</v>
      </c>
      <c r="DK90" t="b">
        <f t="shared" si="222"/>
        <v>0</v>
      </c>
      <c r="DL90" t="b">
        <f t="shared" si="223"/>
        <v>0</v>
      </c>
      <c r="DM90" t="b">
        <f t="shared" si="224"/>
        <v>0</v>
      </c>
      <c r="DN90" t="b">
        <f t="shared" si="225"/>
        <v>0</v>
      </c>
      <c r="DO90" t="b">
        <f t="shared" si="226"/>
        <v>0</v>
      </c>
      <c r="DP90" t="b">
        <f t="shared" si="227"/>
        <v>0</v>
      </c>
      <c r="DQ90" t="b">
        <f t="shared" si="228"/>
        <v>0</v>
      </c>
      <c r="DR90" t="b">
        <f t="shared" si="229"/>
        <v>0</v>
      </c>
      <c r="DS90" t="b">
        <f t="shared" si="230"/>
        <v>0</v>
      </c>
      <c r="DT90" t="b">
        <f t="shared" si="231"/>
        <v>0</v>
      </c>
      <c r="DU90" t="b">
        <f t="shared" si="232"/>
        <v>0</v>
      </c>
      <c r="DV90" t="b">
        <f t="shared" si="233"/>
        <v>0</v>
      </c>
      <c r="DW90" t="b">
        <f t="shared" si="234"/>
        <v>0</v>
      </c>
      <c r="DX90" t="b">
        <f t="shared" si="235"/>
        <v>0</v>
      </c>
      <c r="DY90" t="b">
        <f t="shared" si="236"/>
        <v>0</v>
      </c>
      <c r="DZ90" t="b">
        <f t="shared" si="237"/>
        <v>0</v>
      </c>
      <c r="EA90" t="b">
        <f t="shared" si="238"/>
        <v>0</v>
      </c>
      <c r="EB90" t="b">
        <f t="shared" si="239"/>
        <v>0</v>
      </c>
      <c r="EC90" t="b">
        <f t="shared" si="240"/>
        <v>0</v>
      </c>
      <c r="ED90" t="b">
        <f t="shared" si="241"/>
        <v>0</v>
      </c>
      <c r="EE90" t="b">
        <f t="shared" si="242"/>
        <v>0</v>
      </c>
      <c r="EF90">
        <f t="shared" si="243"/>
        <v>1</v>
      </c>
      <c r="EG90" t="b">
        <f t="shared" si="244"/>
        <v>0</v>
      </c>
      <c r="EH90" t="b">
        <f t="shared" si="245"/>
        <v>0</v>
      </c>
      <c r="EI90" t="b">
        <f t="shared" si="246"/>
        <v>0</v>
      </c>
      <c r="EJ90" t="b">
        <f t="shared" si="247"/>
        <v>0</v>
      </c>
      <c r="EK90" t="b">
        <f t="shared" si="248"/>
        <v>0</v>
      </c>
    </row>
    <row r="91" spans="1:141">
      <c r="A91" t="s">
        <v>582</v>
      </c>
      <c r="B91" t="s">
        <v>582</v>
      </c>
      <c r="C91" t="s">
        <v>583</v>
      </c>
      <c r="D91" s="1">
        <v>41365</v>
      </c>
      <c r="E91" s="2">
        <v>42618.418321759258</v>
      </c>
      <c r="F91" s="2">
        <v>42618.418321759258</v>
      </c>
      <c r="G91">
        <v>790724</v>
      </c>
      <c r="H91" t="s">
        <v>584</v>
      </c>
      <c r="I91" s="10" t="s">
        <v>585</v>
      </c>
      <c r="J91" t="s">
        <v>156</v>
      </c>
      <c r="K91" s="8" t="b">
        <v>1</v>
      </c>
      <c r="L91" s="10" t="b">
        <v>0</v>
      </c>
      <c r="M91" s="12" t="b">
        <v>1</v>
      </c>
      <c r="N91" t="b">
        <v>0</v>
      </c>
      <c r="O91" t="b">
        <v>0</v>
      </c>
      <c r="P91" t="b">
        <v>0</v>
      </c>
      <c r="Q91">
        <f t="shared" si="125"/>
        <v>2</v>
      </c>
      <c r="R91">
        <f t="shared" si="126"/>
        <v>4</v>
      </c>
      <c r="S91" t="e">
        <f t="shared" ca="1" si="156"/>
        <v>#NAME?</v>
      </c>
      <c r="T91" t="e">
        <f t="shared" ca="1" si="127"/>
        <v>#NAME?</v>
      </c>
      <c r="U91" s="4">
        <f t="shared" si="128"/>
        <v>1253.4183217592581</v>
      </c>
      <c r="V91" s="4">
        <f t="shared" si="129"/>
        <v>41.780610725308605</v>
      </c>
      <c r="W91" s="4">
        <f t="shared" si="130"/>
        <v>1</v>
      </c>
      <c r="X91" s="4">
        <f t="shared" si="131"/>
        <v>0</v>
      </c>
      <c r="Y91" s="4">
        <f t="shared" si="132"/>
        <v>1</v>
      </c>
      <c r="Z91" s="4">
        <f t="shared" si="133"/>
        <v>0</v>
      </c>
      <c r="AA91" s="4">
        <f t="shared" si="134"/>
        <v>0</v>
      </c>
      <c r="AB91" s="4">
        <f t="shared" si="135"/>
        <v>0</v>
      </c>
      <c r="AC91" s="4"/>
      <c r="AD91" s="4" t="b">
        <f t="shared" si="136"/>
        <v>0</v>
      </c>
      <c r="AE91" s="4" t="b">
        <f t="shared" si="137"/>
        <v>0</v>
      </c>
      <c r="AF91" s="4" t="b">
        <f t="shared" si="138"/>
        <v>0</v>
      </c>
      <c r="AG91" t="b">
        <f t="shared" si="139"/>
        <v>0</v>
      </c>
      <c r="AH91" t="b">
        <f t="shared" si="140"/>
        <v>0</v>
      </c>
      <c r="AI91" t="b">
        <f t="shared" si="141"/>
        <v>0</v>
      </c>
      <c r="AJ91" t="b">
        <f t="shared" si="142"/>
        <v>0</v>
      </c>
      <c r="AK91" t="b">
        <f t="shared" si="143"/>
        <v>0</v>
      </c>
      <c r="AL91" t="b">
        <f t="shared" si="144"/>
        <v>0</v>
      </c>
      <c r="AM91" t="b">
        <f t="shared" si="145"/>
        <v>0</v>
      </c>
      <c r="AN91" t="b">
        <f t="shared" si="146"/>
        <v>0</v>
      </c>
      <c r="AO91" t="b">
        <f t="shared" si="147"/>
        <v>0</v>
      </c>
      <c r="AP91" t="b">
        <f t="shared" si="148"/>
        <v>0</v>
      </c>
      <c r="AQ91" t="b">
        <f t="shared" si="149"/>
        <v>0</v>
      </c>
      <c r="AR91" t="b">
        <f t="shared" si="150"/>
        <v>0</v>
      </c>
      <c r="AS91" t="b">
        <f t="shared" si="151"/>
        <v>0</v>
      </c>
      <c r="AT91" t="b">
        <f t="shared" si="152"/>
        <v>0</v>
      </c>
      <c r="AU91" t="b">
        <f t="shared" si="153"/>
        <v>0</v>
      </c>
      <c r="AV91" t="b">
        <f t="shared" si="154"/>
        <v>0</v>
      </c>
      <c r="AW91" t="b">
        <f t="shared" si="155"/>
        <v>0</v>
      </c>
      <c r="AX91" t="b">
        <f t="shared" si="157"/>
        <v>0</v>
      </c>
      <c r="AY91" t="b">
        <f t="shared" si="158"/>
        <v>0</v>
      </c>
      <c r="AZ91" t="b">
        <f t="shared" si="159"/>
        <v>0</v>
      </c>
      <c r="BA91" t="b">
        <f t="shared" si="160"/>
        <v>0</v>
      </c>
      <c r="BB91" t="b">
        <f t="shared" si="161"/>
        <v>0</v>
      </c>
      <c r="BC91" t="b">
        <f t="shared" si="162"/>
        <v>0</v>
      </c>
      <c r="BD91" t="b">
        <f t="shared" si="163"/>
        <v>0</v>
      </c>
      <c r="BE91" t="b">
        <f t="shared" si="164"/>
        <v>0</v>
      </c>
      <c r="BF91" t="b">
        <f t="shared" si="165"/>
        <v>0</v>
      </c>
      <c r="BG91" t="b">
        <f t="shared" si="166"/>
        <v>0</v>
      </c>
      <c r="BH91" t="b">
        <f t="shared" si="167"/>
        <v>0</v>
      </c>
      <c r="BI91">
        <f t="shared" si="168"/>
        <v>1</v>
      </c>
      <c r="BJ91" t="b">
        <f t="shared" si="169"/>
        <v>0</v>
      </c>
      <c r="BK91" t="b">
        <f t="shared" si="170"/>
        <v>0</v>
      </c>
      <c r="BL91" t="b">
        <f t="shared" si="171"/>
        <v>0</v>
      </c>
      <c r="BM91" t="b">
        <f t="shared" si="172"/>
        <v>0</v>
      </c>
      <c r="BN91" t="b">
        <f t="shared" si="173"/>
        <v>0</v>
      </c>
      <c r="BO91" t="b">
        <f t="shared" si="174"/>
        <v>0</v>
      </c>
      <c r="BP91" t="b">
        <f t="shared" si="175"/>
        <v>0</v>
      </c>
      <c r="BQ91" t="b">
        <f t="shared" si="176"/>
        <v>0</v>
      </c>
      <c r="BR91" t="b">
        <f t="shared" si="177"/>
        <v>0</v>
      </c>
      <c r="BS91" t="b">
        <f t="shared" si="178"/>
        <v>0</v>
      </c>
      <c r="BT91" t="b">
        <f t="shared" si="179"/>
        <v>0</v>
      </c>
      <c r="BU91" t="b">
        <f t="shared" si="180"/>
        <v>0</v>
      </c>
      <c r="BV91" t="b">
        <f t="shared" si="181"/>
        <v>0</v>
      </c>
      <c r="BW91" t="b">
        <f t="shared" si="182"/>
        <v>0</v>
      </c>
      <c r="BX91" t="b">
        <f t="shared" si="183"/>
        <v>0</v>
      </c>
      <c r="BY91" t="b">
        <f t="shared" si="184"/>
        <v>0</v>
      </c>
      <c r="BZ91" t="b">
        <f t="shared" si="185"/>
        <v>0</v>
      </c>
      <c r="CA91" t="b">
        <f t="shared" si="186"/>
        <v>0</v>
      </c>
      <c r="CB91" t="b">
        <f t="shared" si="187"/>
        <v>0</v>
      </c>
      <c r="CC91" t="b">
        <f t="shared" si="188"/>
        <v>0</v>
      </c>
      <c r="CD91" t="b">
        <f t="shared" si="189"/>
        <v>0</v>
      </c>
      <c r="CE91" t="b">
        <f t="shared" si="190"/>
        <v>0</v>
      </c>
      <c r="CF91" t="b">
        <f t="shared" si="191"/>
        <v>0</v>
      </c>
      <c r="CG91" t="b">
        <f t="shared" si="192"/>
        <v>0</v>
      </c>
      <c r="CH91" t="b">
        <f t="shared" si="193"/>
        <v>0</v>
      </c>
      <c r="CI91" t="b">
        <f t="shared" si="194"/>
        <v>0</v>
      </c>
      <c r="CJ91" t="b">
        <f t="shared" si="195"/>
        <v>0</v>
      </c>
      <c r="CK91" t="b">
        <f t="shared" si="196"/>
        <v>0</v>
      </c>
      <c r="CL91" t="b">
        <f t="shared" si="197"/>
        <v>0</v>
      </c>
      <c r="CM91" t="b">
        <f t="shared" si="198"/>
        <v>0</v>
      </c>
      <c r="CN91" t="b">
        <f t="shared" si="199"/>
        <v>0</v>
      </c>
      <c r="CO91" t="b">
        <f t="shared" si="200"/>
        <v>0</v>
      </c>
      <c r="CP91" t="b">
        <f t="shared" si="201"/>
        <v>0</v>
      </c>
      <c r="CQ91" t="b">
        <f t="shared" si="202"/>
        <v>0</v>
      </c>
      <c r="CR91" t="b">
        <f t="shared" si="203"/>
        <v>0</v>
      </c>
      <c r="CS91" t="b">
        <f t="shared" si="204"/>
        <v>0</v>
      </c>
      <c r="CT91" t="b">
        <f t="shared" si="205"/>
        <v>0</v>
      </c>
      <c r="CU91" t="b">
        <f t="shared" si="206"/>
        <v>0</v>
      </c>
      <c r="CV91">
        <f t="shared" si="207"/>
        <v>1</v>
      </c>
      <c r="CW91" t="b">
        <f t="shared" si="208"/>
        <v>0</v>
      </c>
      <c r="CX91" t="b">
        <f t="shared" si="209"/>
        <v>0</v>
      </c>
      <c r="CY91" t="b">
        <f t="shared" si="210"/>
        <v>0</v>
      </c>
      <c r="CZ91" t="b">
        <f t="shared" si="211"/>
        <v>0</v>
      </c>
      <c r="DA91" t="b">
        <f t="shared" si="212"/>
        <v>0</v>
      </c>
      <c r="DB91" t="b">
        <f t="shared" si="213"/>
        <v>0</v>
      </c>
      <c r="DC91" t="b">
        <f t="shared" si="214"/>
        <v>0</v>
      </c>
      <c r="DD91" t="b">
        <f t="shared" si="215"/>
        <v>0</v>
      </c>
      <c r="DE91" t="b">
        <f t="shared" si="216"/>
        <v>0</v>
      </c>
      <c r="DF91" t="b">
        <f t="shared" si="217"/>
        <v>0</v>
      </c>
      <c r="DG91" t="b">
        <f t="shared" si="218"/>
        <v>0</v>
      </c>
      <c r="DH91" t="b">
        <f t="shared" si="219"/>
        <v>0</v>
      </c>
      <c r="DI91" t="b">
        <f t="shared" si="220"/>
        <v>0</v>
      </c>
      <c r="DJ91" t="b">
        <f t="shared" si="221"/>
        <v>0</v>
      </c>
      <c r="DK91" t="b">
        <f t="shared" si="222"/>
        <v>0</v>
      </c>
      <c r="DL91" t="b">
        <f t="shared" si="223"/>
        <v>0</v>
      </c>
      <c r="DM91" t="b">
        <f t="shared" si="224"/>
        <v>0</v>
      </c>
      <c r="DN91" t="b">
        <f t="shared" si="225"/>
        <v>0</v>
      </c>
      <c r="DO91" t="b">
        <f t="shared" si="226"/>
        <v>0</v>
      </c>
      <c r="DP91" t="b">
        <f t="shared" si="227"/>
        <v>0</v>
      </c>
      <c r="DQ91" t="b">
        <f t="shared" si="228"/>
        <v>0</v>
      </c>
      <c r="DR91" t="b">
        <f t="shared" si="229"/>
        <v>0</v>
      </c>
      <c r="DS91" t="b">
        <f t="shared" si="230"/>
        <v>0</v>
      </c>
      <c r="DT91" t="b">
        <f t="shared" si="231"/>
        <v>0</v>
      </c>
      <c r="DU91" t="b">
        <f t="shared" si="232"/>
        <v>0</v>
      </c>
      <c r="DV91" t="b">
        <f t="shared" si="233"/>
        <v>0</v>
      </c>
      <c r="DW91" t="b">
        <f t="shared" si="234"/>
        <v>0</v>
      </c>
      <c r="DX91" t="b">
        <f t="shared" si="235"/>
        <v>0</v>
      </c>
      <c r="DY91" t="b">
        <f t="shared" si="236"/>
        <v>0</v>
      </c>
      <c r="DZ91" t="b">
        <f t="shared" si="237"/>
        <v>0</v>
      </c>
      <c r="EA91" t="b">
        <f t="shared" si="238"/>
        <v>0</v>
      </c>
      <c r="EB91" t="b">
        <f t="shared" si="239"/>
        <v>0</v>
      </c>
      <c r="EC91" t="b">
        <f t="shared" si="240"/>
        <v>0</v>
      </c>
      <c r="ED91" t="b">
        <f t="shared" si="241"/>
        <v>0</v>
      </c>
      <c r="EE91" t="b">
        <f t="shared" si="242"/>
        <v>0</v>
      </c>
      <c r="EF91">
        <f t="shared" si="243"/>
        <v>1</v>
      </c>
      <c r="EG91" t="b">
        <f t="shared" si="244"/>
        <v>0</v>
      </c>
      <c r="EH91" t="b">
        <f t="shared" si="245"/>
        <v>0</v>
      </c>
      <c r="EI91" t="b">
        <f t="shared" si="246"/>
        <v>0</v>
      </c>
      <c r="EJ91" t="b">
        <f t="shared" si="247"/>
        <v>0</v>
      </c>
      <c r="EK91" t="b">
        <f t="shared" si="248"/>
        <v>0</v>
      </c>
    </row>
    <row r="92" spans="1:141">
      <c r="A92" t="s">
        <v>586</v>
      </c>
      <c r="B92" t="s">
        <v>587</v>
      </c>
      <c r="C92" t="s">
        <v>588</v>
      </c>
      <c r="D92" s="1">
        <v>44502</v>
      </c>
      <c r="E92" s="2">
        <v>44588.985625000001</v>
      </c>
      <c r="F92" s="2">
        <v>44588.985625000001</v>
      </c>
      <c r="G92">
        <v>362426</v>
      </c>
      <c r="H92" t="s">
        <v>589</v>
      </c>
      <c r="I92" s="10" t="s">
        <v>590</v>
      </c>
      <c r="J92" t="s">
        <v>188</v>
      </c>
      <c r="K92" s="8" t="b">
        <v>1</v>
      </c>
      <c r="L92" s="10" t="b">
        <v>0</v>
      </c>
      <c r="M92" s="12" t="b">
        <v>0</v>
      </c>
      <c r="N92" t="b">
        <v>0</v>
      </c>
      <c r="O92" t="b">
        <v>0</v>
      </c>
      <c r="P92" t="b">
        <v>0</v>
      </c>
      <c r="Q92">
        <f t="shared" si="125"/>
        <v>3</v>
      </c>
      <c r="R92">
        <f t="shared" si="126"/>
        <v>11</v>
      </c>
      <c r="S92" t="e">
        <f t="shared" ca="1" si="156"/>
        <v>#NAME?</v>
      </c>
      <c r="T92" t="e">
        <f t="shared" ca="1" si="127"/>
        <v>#NAME?</v>
      </c>
      <c r="U92" s="4">
        <f t="shared" si="128"/>
        <v>86.985625000001164</v>
      </c>
      <c r="V92" s="4">
        <f t="shared" si="129"/>
        <v>2.899520833333372</v>
      </c>
      <c r="W92" s="4">
        <f t="shared" si="130"/>
        <v>1</v>
      </c>
      <c r="X92" s="4">
        <f t="shared" si="131"/>
        <v>0</v>
      </c>
      <c r="Y92" s="4">
        <f t="shared" si="132"/>
        <v>0</v>
      </c>
      <c r="Z92" s="4">
        <f t="shared" si="133"/>
        <v>0</v>
      </c>
      <c r="AA92" s="4">
        <f t="shared" si="134"/>
        <v>0</v>
      </c>
      <c r="AB92" s="4">
        <f t="shared" si="135"/>
        <v>0</v>
      </c>
      <c r="AC92" s="4"/>
      <c r="AD92" s="4" t="b">
        <f t="shared" si="136"/>
        <v>0</v>
      </c>
      <c r="AE92" s="4" t="b">
        <f t="shared" si="137"/>
        <v>0</v>
      </c>
      <c r="AF92" s="4" t="b">
        <f t="shared" si="138"/>
        <v>0</v>
      </c>
      <c r="AG92" t="b">
        <f t="shared" si="139"/>
        <v>0</v>
      </c>
      <c r="AH92" t="b">
        <f t="shared" si="140"/>
        <v>0</v>
      </c>
      <c r="AI92" t="b">
        <f t="shared" si="141"/>
        <v>0</v>
      </c>
      <c r="AJ92" t="b">
        <f t="shared" si="142"/>
        <v>0</v>
      </c>
      <c r="AK92" t="b">
        <f t="shared" si="143"/>
        <v>0</v>
      </c>
      <c r="AL92" t="b">
        <f t="shared" si="144"/>
        <v>0</v>
      </c>
      <c r="AM92" t="b">
        <f t="shared" si="145"/>
        <v>0</v>
      </c>
      <c r="AN92" t="b">
        <f t="shared" si="146"/>
        <v>0</v>
      </c>
      <c r="AO92" t="b">
        <f t="shared" si="147"/>
        <v>0</v>
      </c>
      <c r="AP92" t="b">
        <f t="shared" si="148"/>
        <v>0</v>
      </c>
      <c r="AQ92" t="b">
        <f t="shared" si="149"/>
        <v>0</v>
      </c>
      <c r="AR92" t="b">
        <f t="shared" si="150"/>
        <v>0</v>
      </c>
      <c r="AS92" t="b">
        <f t="shared" si="151"/>
        <v>0</v>
      </c>
      <c r="AT92" t="b">
        <f t="shared" si="152"/>
        <v>0</v>
      </c>
      <c r="AU92" t="b">
        <f t="shared" si="153"/>
        <v>0</v>
      </c>
      <c r="AV92" t="b">
        <f t="shared" si="154"/>
        <v>0</v>
      </c>
      <c r="AW92" t="b">
        <f t="shared" si="155"/>
        <v>0</v>
      </c>
      <c r="AX92" t="b">
        <f t="shared" si="157"/>
        <v>0</v>
      </c>
      <c r="AY92" t="b">
        <f t="shared" si="158"/>
        <v>0</v>
      </c>
      <c r="AZ92" t="b">
        <f t="shared" si="159"/>
        <v>0</v>
      </c>
      <c r="BA92" t="b">
        <f t="shared" si="160"/>
        <v>0</v>
      </c>
      <c r="BB92" t="b">
        <f t="shared" si="161"/>
        <v>0</v>
      </c>
      <c r="BC92" t="b">
        <f t="shared" si="162"/>
        <v>0</v>
      </c>
      <c r="BD92" t="b">
        <f t="shared" si="163"/>
        <v>0</v>
      </c>
      <c r="BE92" t="b">
        <f t="shared" si="164"/>
        <v>0</v>
      </c>
      <c r="BF92" t="b">
        <f t="shared" si="165"/>
        <v>0</v>
      </c>
      <c r="BG92" t="b">
        <f t="shared" si="166"/>
        <v>0</v>
      </c>
      <c r="BH92" t="b">
        <f t="shared" si="167"/>
        <v>0</v>
      </c>
      <c r="BI92">
        <f t="shared" si="168"/>
        <v>1</v>
      </c>
      <c r="BJ92" t="b">
        <f t="shared" si="169"/>
        <v>0</v>
      </c>
      <c r="BK92" t="b">
        <f t="shared" si="170"/>
        <v>0</v>
      </c>
      <c r="BL92" t="b">
        <f t="shared" si="171"/>
        <v>0</v>
      </c>
      <c r="BM92" t="b">
        <f t="shared" si="172"/>
        <v>0</v>
      </c>
      <c r="BN92" t="b">
        <f t="shared" si="173"/>
        <v>0</v>
      </c>
      <c r="BO92" t="b">
        <f t="shared" si="174"/>
        <v>0</v>
      </c>
      <c r="BP92" t="b">
        <f t="shared" si="175"/>
        <v>0</v>
      </c>
      <c r="BQ92" t="b">
        <f t="shared" si="176"/>
        <v>0</v>
      </c>
      <c r="BR92" t="b">
        <f t="shared" si="177"/>
        <v>0</v>
      </c>
      <c r="BS92" t="b">
        <f t="shared" si="178"/>
        <v>0</v>
      </c>
      <c r="BT92" t="b">
        <f t="shared" si="179"/>
        <v>0</v>
      </c>
      <c r="BU92" t="b">
        <f t="shared" si="180"/>
        <v>0</v>
      </c>
      <c r="BV92" t="b">
        <f t="shared" si="181"/>
        <v>0</v>
      </c>
      <c r="BW92" t="b">
        <f t="shared" si="182"/>
        <v>0</v>
      </c>
      <c r="BX92" t="b">
        <f t="shared" si="183"/>
        <v>0</v>
      </c>
      <c r="BY92" t="b">
        <f t="shared" si="184"/>
        <v>0</v>
      </c>
      <c r="BZ92" t="b">
        <f t="shared" si="185"/>
        <v>0</v>
      </c>
      <c r="CA92" t="b">
        <f t="shared" si="186"/>
        <v>0</v>
      </c>
      <c r="CB92" t="b">
        <f t="shared" si="187"/>
        <v>0</v>
      </c>
      <c r="CC92" t="b">
        <f t="shared" si="188"/>
        <v>0</v>
      </c>
      <c r="CD92" t="b">
        <f t="shared" si="189"/>
        <v>0</v>
      </c>
      <c r="CE92">
        <f t="shared" si="190"/>
        <v>1</v>
      </c>
      <c r="CF92" t="b">
        <f t="shared" si="191"/>
        <v>0</v>
      </c>
      <c r="CG92" t="b">
        <f t="shared" si="192"/>
        <v>0</v>
      </c>
      <c r="CH92" t="b">
        <f t="shared" si="193"/>
        <v>0</v>
      </c>
      <c r="CI92" t="b">
        <f t="shared" si="194"/>
        <v>0</v>
      </c>
      <c r="CJ92" t="b">
        <f t="shared" si="195"/>
        <v>0</v>
      </c>
      <c r="CK92" t="b">
        <f t="shared" si="196"/>
        <v>0</v>
      </c>
      <c r="CL92" t="b">
        <f t="shared" si="197"/>
        <v>0</v>
      </c>
      <c r="CM92" t="b">
        <f t="shared" si="198"/>
        <v>0</v>
      </c>
      <c r="CN92" t="b">
        <f t="shared" si="199"/>
        <v>0</v>
      </c>
      <c r="CO92" t="b">
        <f t="shared" si="200"/>
        <v>0</v>
      </c>
      <c r="CP92" t="b">
        <f t="shared" si="201"/>
        <v>0</v>
      </c>
      <c r="CQ92" t="b">
        <f t="shared" si="202"/>
        <v>0</v>
      </c>
      <c r="CR92" t="b">
        <f t="shared" si="203"/>
        <v>0</v>
      </c>
      <c r="CS92" t="b">
        <f t="shared" si="204"/>
        <v>0</v>
      </c>
      <c r="CT92" t="b">
        <f t="shared" si="205"/>
        <v>0</v>
      </c>
      <c r="CU92" t="b">
        <f t="shared" si="206"/>
        <v>0</v>
      </c>
      <c r="CV92">
        <f t="shared" si="207"/>
        <v>1</v>
      </c>
      <c r="CW92" t="b">
        <f t="shared" si="208"/>
        <v>0</v>
      </c>
      <c r="CX92" t="b">
        <f t="shared" si="209"/>
        <v>0</v>
      </c>
      <c r="CY92" t="b">
        <f t="shared" si="210"/>
        <v>0</v>
      </c>
      <c r="CZ92" t="b">
        <f t="shared" si="211"/>
        <v>0</v>
      </c>
      <c r="DA92" t="b">
        <f t="shared" si="212"/>
        <v>0</v>
      </c>
      <c r="DB92" t="b">
        <f t="shared" si="213"/>
        <v>0</v>
      </c>
      <c r="DC92" t="b">
        <f t="shared" si="214"/>
        <v>0</v>
      </c>
      <c r="DD92" t="b">
        <f t="shared" si="215"/>
        <v>0</v>
      </c>
      <c r="DE92" t="b">
        <f t="shared" si="216"/>
        <v>0</v>
      </c>
      <c r="DF92" t="b">
        <f t="shared" si="217"/>
        <v>0</v>
      </c>
      <c r="DG92" t="b">
        <f t="shared" si="218"/>
        <v>0</v>
      </c>
      <c r="DH92" t="b">
        <f t="shared" si="219"/>
        <v>0</v>
      </c>
      <c r="DI92" t="b">
        <f t="shared" si="220"/>
        <v>0</v>
      </c>
      <c r="DJ92" t="b">
        <f t="shared" si="221"/>
        <v>0</v>
      </c>
      <c r="DK92" t="b">
        <f t="shared" si="222"/>
        <v>0</v>
      </c>
      <c r="DL92" t="b">
        <f t="shared" si="223"/>
        <v>0</v>
      </c>
      <c r="DM92" t="b">
        <f t="shared" si="224"/>
        <v>0</v>
      </c>
      <c r="DN92" t="b">
        <f t="shared" si="225"/>
        <v>0</v>
      </c>
      <c r="DO92" t="b">
        <f t="shared" si="226"/>
        <v>0</v>
      </c>
      <c r="DP92" t="b">
        <f t="shared" si="227"/>
        <v>0</v>
      </c>
      <c r="DQ92" t="b">
        <f t="shared" si="228"/>
        <v>0</v>
      </c>
      <c r="DR92" t="b">
        <f t="shared" si="229"/>
        <v>0</v>
      </c>
      <c r="DS92" t="b">
        <f t="shared" si="230"/>
        <v>0</v>
      </c>
      <c r="DT92" t="b">
        <f t="shared" si="231"/>
        <v>0</v>
      </c>
      <c r="DU92" t="b">
        <f t="shared" si="232"/>
        <v>0</v>
      </c>
      <c r="DV92" t="b">
        <f t="shared" si="233"/>
        <v>0</v>
      </c>
      <c r="DW92" t="b">
        <f t="shared" si="234"/>
        <v>0</v>
      </c>
      <c r="DX92" t="b">
        <f t="shared" si="235"/>
        <v>0</v>
      </c>
      <c r="DY92" t="b">
        <f t="shared" si="236"/>
        <v>0</v>
      </c>
      <c r="DZ92" t="b">
        <f t="shared" si="237"/>
        <v>0</v>
      </c>
      <c r="EA92" t="b">
        <f t="shared" si="238"/>
        <v>0</v>
      </c>
      <c r="EB92" t="b">
        <f t="shared" si="239"/>
        <v>0</v>
      </c>
      <c r="EC92" t="b">
        <f t="shared" si="240"/>
        <v>0</v>
      </c>
      <c r="ED92" t="b">
        <f t="shared" si="241"/>
        <v>0</v>
      </c>
      <c r="EE92" t="b">
        <f t="shared" si="242"/>
        <v>0</v>
      </c>
      <c r="EF92">
        <f t="shared" si="243"/>
        <v>1</v>
      </c>
      <c r="EG92" t="b">
        <f t="shared" si="244"/>
        <v>0</v>
      </c>
      <c r="EH92" t="b">
        <f t="shared" si="245"/>
        <v>0</v>
      </c>
      <c r="EI92" t="b">
        <f t="shared" si="246"/>
        <v>0</v>
      </c>
      <c r="EJ92" t="b">
        <f t="shared" si="247"/>
        <v>0</v>
      </c>
      <c r="EK92" t="b">
        <f t="shared" si="248"/>
        <v>0</v>
      </c>
    </row>
    <row r="93" spans="1:141">
      <c r="A93" t="s">
        <v>591</v>
      </c>
      <c r="B93" t="s">
        <v>592</v>
      </c>
      <c r="C93" t="s">
        <v>593</v>
      </c>
      <c r="D93" s="1">
        <v>41913</v>
      </c>
      <c r="E93" s="2">
        <v>42806.140185185184</v>
      </c>
      <c r="F93" s="2">
        <v>42806.140185185184</v>
      </c>
      <c r="G93">
        <v>568340</v>
      </c>
      <c r="H93" t="s">
        <v>594</v>
      </c>
      <c r="I93" s="10" t="s">
        <v>595</v>
      </c>
      <c r="J93" t="s">
        <v>596</v>
      </c>
      <c r="K93" s="8" t="b">
        <v>1</v>
      </c>
      <c r="L93" s="10" t="b">
        <v>0</v>
      </c>
      <c r="M93" s="12" t="b">
        <v>0</v>
      </c>
      <c r="N93" t="b">
        <v>0</v>
      </c>
      <c r="O93" t="b">
        <v>0</v>
      </c>
      <c r="P93" t="b">
        <v>0</v>
      </c>
      <c r="Q93">
        <f t="shared" si="125"/>
        <v>4</v>
      </c>
      <c r="R93">
        <f t="shared" si="126"/>
        <v>10</v>
      </c>
      <c r="S93" t="e">
        <f t="shared" ca="1" si="156"/>
        <v>#NAME?</v>
      </c>
      <c r="T93" t="e">
        <f t="shared" ca="1" si="127"/>
        <v>#NAME?</v>
      </c>
      <c r="U93" s="4">
        <f t="shared" si="128"/>
        <v>893.14018518518424</v>
      </c>
      <c r="V93" s="4">
        <f t="shared" si="129"/>
        <v>29.771339506172808</v>
      </c>
      <c r="W93" s="4">
        <f t="shared" si="130"/>
        <v>1</v>
      </c>
      <c r="X93" s="4">
        <f t="shared" si="131"/>
        <v>0</v>
      </c>
      <c r="Y93" s="4">
        <f t="shared" si="132"/>
        <v>0</v>
      </c>
      <c r="Z93" s="4">
        <f t="shared" si="133"/>
        <v>0</v>
      </c>
      <c r="AA93" s="4">
        <f t="shared" si="134"/>
        <v>0</v>
      </c>
      <c r="AB93" s="4">
        <f t="shared" si="135"/>
        <v>0</v>
      </c>
      <c r="AC93" s="4"/>
      <c r="AD93" s="4">
        <f t="shared" si="136"/>
        <v>1</v>
      </c>
      <c r="AE93" s="4" t="b">
        <f t="shared" si="137"/>
        <v>0</v>
      </c>
      <c r="AF93" s="4" t="b">
        <f t="shared" si="138"/>
        <v>0</v>
      </c>
      <c r="AG93" t="b">
        <f t="shared" si="139"/>
        <v>0</v>
      </c>
      <c r="AH93" t="b">
        <f t="shared" si="140"/>
        <v>0</v>
      </c>
      <c r="AI93" t="b">
        <f t="shared" si="141"/>
        <v>0</v>
      </c>
      <c r="AJ93" t="b">
        <f t="shared" si="142"/>
        <v>0</v>
      </c>
      <c r="AK93" t="b">
        <f t="shared" si="143"/>
        <v>0</v>
      </c>
      <c r="AL93" t="b">
        <f t="shared" si="144"/>
        <v>0</v>
      </c>
      <c r="AM93" t="b">
        <f t="shared" si="145"/>
        <v>0</v>
      </c>
      <c r="AN93" t="b">
        <f t="shared" si="146"/>
        <v>0</v>
      </c>
      <c r="AO93" t="b">
        <f t="shared" si="147"/>
        <v>0</v>
      </c>
      <c r="AP93" t="b">
        <f t="shared" si="148"/>
        <v>0</v>
      </c>
      <c r="AQ93" t="b">
        <f t="shared" si="149"/>
        <v>0</v>
      </c>
      <c r="AR93" t="b">
        <f t="shared" si="150"/>
        <v>0</v>
      </c>
      <c r="AS93" t="b">
        <f t="shared" si="151"/>
        <v>0</v>
      </c>
      <c r="AT93" t="b">
        <f t="shared" si="152"/>
        <v>0</v>
      </c>
      <c r="AU93" t="b">
        <f t="shared" si="153"/>
        <v>0</v>
      </c>
      <c r="AV93" t="b">
        <f t="shared" si="154"/>
        <v>0</v>
      </c>
      <c r="AW93" t="b">
        <f t="shared" si="155"/>
        <v>0</v>
      </c>
      <c r="AX93" t="b">
        <f t="shared" si="157"/>
        <v>0</v>
      </c>
      <c r="AY93" t="b">
        <f t="shared" si="158"/>
        <v>0</v>
      </c>
      <c r="AZ93" t="b">
        <f t="shared" si="159"/>
        <v>0</v>
      </c>
      <c r="BA93" t="b">
        <f t="shared" si="160"/>
        <v>0</v>
      </c>
      <c r="BB93" t="b">
        <f t="shared" si="161"/>
        <v>0</v>
      </c>
      <c r="BC93" t="b">
        <f t="shared" si="162"/>
        <v>0</v>
      </c>
      <c r="BD93" t="b">
        <f t="shared" si="163"/>
        <v>0</v>
      </c>
      <c r="BE93" t="b">
        <f t="shared" si="164"/>
        <v>0</v>
      </c>
      <c r="BF93" t="b">
        <f t="shared" si="165"/>
        <v>0</v>
      </c>
      <c r="BG93" t="b">
        <f t="shared" si="166"/>
        <v>0</v>
      </c>
      <c r="BH93" t="b">
        <f t="shared" si="167"/>
        <v>0</v>
      </c>
      <c r="BI93">
        <f t="shared" si="168"/>
        <v>1</v>
      </c>
      <c r="BJ93" t="b">
        <f t="shared" si="169"/>
        <v>0</v>
      </c>
      <c r="BK93" t="b">
        <f t="shared" si="170"/>
        <v>0</v>
      </c>
      <c r="BL93" t="b">
        <f t="shared" si="171"/>
        <v>0</v>
      </c>
      <c r="BM93" t="b">
        <f t="shared" si="172"/>
        <v>0</v>
      </c>
      <c r="BN93" t="b">
        <f t="shared" si="173"/>
        <v>0</v>
      </c>
      <c r="BO93" t="b">
        <f t="shared" si="174"/>
        <v>0</v>
      </c>
      <c r="BP93" t="b">
        <f t="shared" si="175"/>
        <v>0</v>
      </c>
      <c r="BQ93" t="b">
        <f t="shared" si="176"/>
        <v>0</v>
      </c>
      <c r="BR93" t="b">
        <f t="shared" si="177"/>
        <v>0</v>
      </c>
      <c r="BS93" t="b">
        <f t="shared" si="178"/>
        <v>0</v>
      </c>
      <c r="BT93" t="b">
        <f t="shared" si="179"/>
        <v>0</v>
      </c>
      <c r="BU93" t="b">
        <f t="shared" si="180"/>
        <v>0</v>
      </c>
      <c r="BV93" t="b">
        <f t="shared" si="181"/>
        <v>0</v>
      </c>
      <c r="BW93" t="b">
        <f t="shared" si="182"/>
        <v>0</v>
      </c>
      <c r="BX93" t="b">
        <f t="shared" si="183"/>
        <v>0</v>
      </c>
      <c r="BY93" t="b">
        <f t="shared" si="184"/>
        <v>0</v>
      </c>
      <c r="BZ93" t="b">
        <f t="shared" si="185"/>
        <v>0</v>
      </c>
      <c r="CA93" t="b">
        <f t="shared" si="186"/>
        <v>0</v>
      </c>
      <c r="CB93" t="b">
        <f t="shared" si="187"/>
        <v>0</v>
      </c>
      <c r="CC93" t="b">
        <f t="shared" si="188"/>
        <v>0</v>
      </c>
      <c r="CD93" t="b">
        <f t="shared" si="189"/>
        <v>0</v>
      </c>
      <c r="CE93">
        <f t="shared" si="190"/>
        <v>1</v>
      </c>
      <c r="CF93" t="b">
        <f t="shared" si="191"/>
        <v>0</v>
      </c>
      <c r="CG93" t="b">
        <f t="shared" si="192"/>
        <v>0</v>
      </c>
      <c r="CH93" t="b">
        <f t="shared" si="193"/>
        <v>0</v>
      </c>
      <c r="CI93" t="b">
        <f t="shared" si="194"/>
        <v>0</v>
      </c>
      <c r="CJ93" t="b">
        <f t="shared" si="195"/>
        <v>0</v>
      </c>
      <c r="CK93" t="b">
        <f t="shared" si="196"/>
        <v>0</v>
      </c>
      <c r="CL93" t="b">
        <f t="shared" si="197"/>
        <v>0</v>
      </c>
      <c r="CM93" t="b">
        <f t="shared" si="198"/>
        <v>0</v>
      </c>
      <c r="CN93" t="b">
        <f t="shared" si="199"/>
        <v>0</v>
      </c>
      <c r="CO93" t="b">
        <f t="shared" si="200"/>
        <v>0</v>
      </c>
      <c r="CP93" t="b">
        <f t="shared" si="201"/>
        <v>0</v>
      </c>
      <c r="CQ93" t="b">
        <f t="shared" si="202"/>
        <v>0</v>
      </c>
      <c r="CR93" t="b">
        <f t="shared" si="203"/>
        <v>0</v>
      </c>
      <c r="CS93" t="b">
        <f t="shared" si="204"/>
        <v>0</v>
      </c>
      <c r="CT93" t="b">
        <f t="shared" si="205"/>
        <v>0</v>
      </c>
      <c r="CU93" t="b">
        <f t="shared" si="206"/>
        <v>0</v>
      </c>
      <c r="CV93">
        <f t="shared" si="207"/>
        <v>1</v>
      </c>
      <c r="CW93" t="b">
        <f t="shared" si="208"/>
        <v>0</v>
      </c>
      <c r="CX93" t="b">
        <f t="shared" si="209"/>
        <v>0</v>
      </c>
      <c r="CY93" t="b">
        <f t="shared" si="210"/>
        <v>0</v>
      </c>
      <c r="CZ93" t="b">
        <f t="shared" si="211"/>
        <v>0</v>
      </c>
      <c r="DA93" t="b">
        <f t="shared" si="212"/>
        <v>0</v>
      </c>
      <c r="DB93" t="b">
        <f t="shared" si="213"/>
        <v>0</v>
      </c>
      <c r="DC93" t="b">
        <f t="shared" si="214"/>
        <v>0</v>
      </c>
      <c r="DD93" t="b">
        <f t="shared" si="215"/>
        <v>0</v>
      </c>
      <c r="DE93" t="b">
        <f t="shared" si="216"/>
        <v>0</v>
      </c>
      <c r="DF93" t="b">
        <f t="shared" si="217"/>
        <v>0</v>
      </c>
      <c r="DG93" t="b">
        <f t="shared" si="218"/>
        <v>0</v>
      </c>
      <c r="DH93" t="b">
        <f t="shared" si="219"/>
        <v>0</v>
      </c>
      <c r="DI93" t="b">
        <f t="shared" si="220"/>
        <v>0</v>
      </c>
      <c r="DJ93" t="b">
        <f t="shared" si="221"/>
        <v>0</v>
      </c>
      <c r="DK93" t="b">
        <f t="shared" si="222"/>
        <v>0</v>
      </c>
      <c r="DL93" t="b">
        <f t="shared" si="223"/>
        <v>0</v>
      </c>
      <c r="DM93" t="b">
        <f t="shared" si="224"/>
        <v>0</v>
      </c>
      <c r="DN93" t="b">
        <f t="shared" si="225"/>
        <v>0</v>
      </c>
      <c r="DO93" t="b">
        <f t="shared" si="226"/>
        <v>0</v>
      </c>
      <c r="DP93" t="b">
        <f t="shared" si="227"/>
        <v>0</v>
      </c>
      <c r="DQ93" t="b">
        <f t="shared" si="228"/>
        <v>0</v>
      </c>
      <c r="DR93" t="b">
        <f t="shared" si="229"/>
        <v>0</v>
      </c>
      <c r="DS93" t="b">
        <f t="shared" si="230"/>
        <v>0</v>
      </c>
      <c r="DT93" t="b">
        <f t="shared" si="231"/>
        <v>0</v>
      </c>
      <c r="DU93" t="b">
        <f t="shared" si="232"/>
        <v>0</v>
      </c>
      <c r="DV93" t="b">
        <f t="shared" si="233"/>
        <v>0</v>
      </c>
      <c r="DW93" t="b">
        <f t="shared" si="234"/>
        <v>0</v>
      </c>
      <c r="DX93" t="b">
        <f t="shared" si="235"/>
        <v>0</v>
      </c>
      <c r="DY93" t="b">
        <f t="shared" si="236"/>
        <v>0</v>
      </c>
      <c r="DZ93" t="b">
        <f t="shared" si="237"/>
        <v>0</v>
      </c>
      <c r="EA93" t="b">
        <f t="shared" si="238"/>
        <v>0</v>
      </c>
      <c r="EB93" t="b">
        <f t="shared" si="239"/>
        <v>0</v>
      </c>
      <c r="EC93" t="b">
        <f t="shared" si="240"/>
        <v>0</v>
      </c>
      <c r="ED93" t="b">
        <f t="shared" si="241"/>
        <v>0</v>
      </c>
      <c r="EE93" t="b">
        <f t="shared" si="242"/>
        <v>0</v>
      </c>
      <c r="EF93">
        <f t="shared" si="243"/>
        <v>1</v>
      </c>
      <c r="EG93" t="b">
        <f t="shared" si="244"/>
        <v>0</v>
      </c>
      <c r="EH93" t="b">
        <f t="shared" si="245"/>
        <v>0</v>
      </c>
      <c r="EI93">
        <f t="shared" si="246"/>
        <v>1</v>
      </c>
      <c r="EJ93" t="b">
        <f t="shared" si="247"/>
        <v>0</v>
      </c>
      <c r="EK93" t="b">
        <f t="shared" si="248"/>
        <v>0</v>
      </c>
    </row>
    <row r="94" spans="1:141">
      <c r="A94" t="s">
        <v>597</v>
      </c>
      <c r="B94" t="s">
        <v>597</v>
      </c>
      <c r="C94" t="s">
        <v>598</v>
      </c>
      <c r="D94" s="1">
        <v>43825</v>
      </c>
      <c r="E94" s="2">
        <v>43841.844930555555</v>
      </c>
      <c r="F94" s="2">
        <v>43841.852847222224</v>
      </c>
      <c r="G94">
        <v>444241</v>
      </c>
      <c r="H94" t="s">
        <v>599</v>
      </c>
      <c r="I94" s="10" t="s">
        <v>600</v>
      </c>
      <c r="J94" t="s">
        <v>601</v>
      </c>
      <c r="K94" s="8" t="b">
        <v>1</v>
      </c>
      <c r="L94" s="10" t="b">
        <v>0</v>
      </c>
      <c r="M94" s="12" t="b">
        <v>0</v>
      </c>
      <c r="N94" t="b">
        <v>0</v>
      </c>
      <c r="O94" t="b">
        <v>0</v>
      </c>
      <c r="P94" t="b">
        <v>0</v>
      </c>
      <c r="Q94">
        <f t="shared" si="125"/>
        <v>5</v>
      </c>
      <c r="R94">
        <f t="shared" si="126"/>
        <v>12</v>
      </c>
      <c r="S94" t="e">
        <f t="shared" ca="1" si="156"/>
        <v>#NAME?</v>
      </c>
      <c r="T94" t="e">
        <f t="shared" ca="1" si="127"/>
        <v>#NAME?</v>
      </c>
      <c r="U94" s="4">
        <f t="shared" si="128"/>
        <v>16.844930555555038</v>
      </c>
      <c r="V94" s="4">
        <f t="shared" si="129"/>
        <v>0.56149768518516796</v>
      </c>
      <c r="W94" s="4">
        <f t="shared" si="130"/>
        <v>1</v>
      </c>
      <c r="X94" s="4">
        <f t="shared" si="131"/>
        <v>0</v>
      </c>
      <c r="Y94" s="4">
        <f t="shared" si="132"/>
        <v>0</v>
      </c>
      <c r="Z94" s="4">
        <f t="shared" si="133"/>
        <v>0</v>
      </c>
      <c r="AA94" s="4">
        <f t="shared" si="134"/>
        <v>0</v>
      </c>
      <c r="AB94" s="4">
        <f t="shared" si="135"/>
        <v>0</v>
      </c>
      <c r="AC94" s="4"/>
      <c r="AD94" s="4" t="b">
        <f t="shared" si="136"/>
        <v>0</v>
      </c>
      <c r="AE94" s="4" t="b">
        <f t="shared" si="137"/>
        <v>0</v>
      </c>
      <c r="AF94" s="4" t="b">
        <f t="shared" si="138"/>
        <v>0</v>
      </c>
      <c r="AG94" t="b">
        <f t="shared" si="139"/>
        <v>0</v>
      </c>
      <c r="AH94" t="b">
        <f t="shared" si="140"/>
        <v>0</v>
      </c>
      <c r="AI94" t="b">
        <f t="shared" si="141"/>
        <v>0</v>
      </c>
      <c r="AJ94" t="b">
        <f t="shared" si="142"/>
        <v>0</v>
      </c>
      <c r="AK94" t="b">
        <f t="shared" si="143"/>
        <v>0</v>
      </c>
      <c r="AL94" t="b">
        <f t="shared" si="144"/>
        <v>0</v>
      </c>
      <c r="AM94" t="b">
        <f t="shared" si="145"/>
        <v>0</v>
      </c>
      <c r="AN94" t="b">
        <f t="shared" si="146"/>
        <v>0</v>
      </c>
      <c r="AO94" t="b">
        <f t="shared" si="147"/>
        <v>0</v>
      </c>
      <c r="AP94" t="b">
        <f t="shared" si="148"/>
        <v>0</v>
      </c>
      <c r="AQ94" t="b">
        <f t="shared" si="149"/>
        <v>0</v>
      </c>
      <c r="AR94" t="b">
        <f t="shared" si="150"/>
        <v>0</v>
      </c>
      <c r="AS94" t="b">
        <f t="shared" si="151"/>
        <v>0</v>
      </c>
      <c r="AT94" t="b">
        <f t="shared" si="152"/>
        <v>0</v>
      </c>
      <c r="AU94" t="b">
        <f t="shared" si="153"/>
        <v>0</v>
      </c>
      <c r="AV94" t="b">
        <f t="shared" si="154"/>
        <v>0</v>
      </c>
      <c r="AW94" t="b">
        <f t="shared" si="155"/>
        <v>0</v>
      </c>
      <c r="AX94" t="b">
        <f t="shared" si="157"/>
        <v>0</v>
      </c>
      <c r="AY94" t="b">
        <f t="shared" si="158"/>
        <v>0</v>
      </c>
      <c r="AZ94">
        <f t="shared" si="159"/>
        <v>1</v>
      </c>
      <c r="BA94" t="b">
        <f t="shared" si="160"/>
        <v>0</v>
      </c>
      <c r="BB94" t="b">
        <f t="shared" si="161"/>
        <v>0</v>
      </c>
      <c r="BC94" t="b">
        <f t="shared" si="162"/>
        <v>0</v>
      </c>
      <c r="BD94" t="b">
        <f t="shared" si="163"/>
        <v>0</v>
      </c>
      <c r="BE94" t="b">
        <f t="shared" si="164"/>
        <v>0</v>
      </c>
      <c r="BF94" t="b">
        <f t="shared" si="165"/>
        <v>0</v>
      </c>
      <c r="BG94" t="b">
        <f t="shared" si="166"/>
        <v>0</v>
      </c>
      <c r="BH94" t="b">
        <f t="shared" si="167"/>
        <v>0</v>
      </c>
      <c r="BI94">
        <f t="shared" si="168"/>
        <v>1</v>
      </c>
      <c r="BJ94" t="b">
        <f t="shared" si="169"/>
        <v>0</v>
      </c>
      <c r="BK94" t="b">
        <f t="shared" si="170"/>
        <v>0</v>
      </c>
      <c r="BL94" t="b">
        <f t="shared" si="171"/>
        <v>0</v>
      </c>
      <c r="BM94" t="b">
        <f t="shared" si="172"/>
        <v>0</v>
      </c>
      <c r="BN94" t="b">
        <f t="shared" si="173"/>
        <v>0</v>
      </c>
      <c r="BO94">
        <f t="shared" si="174"/>
        <v>1</v>
      </c>
      <c r="BP94" t="b">
        <f t="shared" si="175"/>
        <v>0</v>
      </c>
      <c r="BQ94" t="b">
        <f t="shared" si="176"/>
        <v>0</v>
      </c>
      <c r="BR94" t="b">
        <f t="shared" si="177"/>
        <v>0</v>
      </c>
      <c r="BS94">
        <f t="shared" si="178"/>
        <v>1</v>
      </c>
      <c r="BT94" t="b">
        <f t="shared" si="179"/>
        <v>0</v>
      </c>
      <c r="BU94" t="b">
        <f t="shared" si="180"/>
        <v>0</v>
      </c>
      <c r="BV94" t="b">
        <f t="shared" si="181"/>
        <v>0</v>
      </c>
      <c r="BW94" t="b">
        <f t="shared" si="182"/>
        <v>0</v>
      </c>
      <c r="BX94" t="b">
        <f t="shared" si="183"/>
        <v>0</v>
      </c>
      <c r="BY94" t="b">
        <f t="shared" si="184"/>
        <v>0</v>
      </c>
      <c r="BZ94" t="b">
        <f t="shared" si="185"/>
        <v>0</v>
      </c>
      <c r="CA94" t="b">
        <f t="shared" si="186"/>
        <v>0</v>
      </c>
      <c r="CB94" t="b">
        <f t="shared" si="187"/>
        <v>0</v>
      </c>
      <c r="CC94" t="b">
        <f t="shared" si="188"/>
        <v>0</v>
      </c>
      <c r="CD94" t="b">
        <f t="shared" si="189"/>
        <v>0</v>
      </c>
      <c r="CE94">
        <f t="shared" si="190"/>
        <v>1</v>
      </c>
      <c r="CF94" t="b">
        <f t="shared" si="191"/>
        <v>0</v>
      </c>
      <c r="CG94" t="b">
        <f t="shared" si="192"/>
        <v>0</v>
      </c>
      <c r="CH94" t="b">
        <f t="shared" si="193"/>
        <v>0</v>
      </c>
      <c r="CI94" t="b">
        <f t="shared" si="194"/>
        <v>0</v>
      </c>
      <c r="CJ94" t="b">
        <f t="shared" si="195"/>
        <v>0</v>
      </c>
      <c r="CK94" t="b">
        <f t="shared" si="196"/>
        <v>0</v>
      </c>
      <c r="CL94" t="b">
        <f t="shared" si="197"/>
        <v>0</v>
      </c>
      <c r="CM94">
        <f t="shared" si="198"/>
        <v>1</v>
      </c>
      <c r="CN94" t="b">
        <f t="shared" si="199"/>
        <v>0</v>
      </c>
      <c r="CO94" t="b">
        <f t="shared" si="200"/>
        <v>0</v>
      </c>
      <c r="CP94" t="b">
        <f t="shared" si="201"/>
        <v>0</v>
      </c>
      <c r="CQ94" t="b">
        <f t="shared" si="202"/>
        <v>0</v>
      </c>
      <c r="CR94" t="b">
        <f t="shared" si="203"/>
        <v>0</v>
      </c>
      <c r="CS94" t="b">
        <f t="shared" si="204"/>
        <v>0</v>
      </c>
      <c r="CT94" t="b">
        <f t="shared" si="205"/>
        <v>0</v>
      </c>
      <c r="CU94" t="b">
        <f t="shared" si="206"/>
        <v>0</v>
      </c>
      <c r="CV94" t="b">
        <f t="shared" si="207"/>
        <v>0</v>
      </c>
      <c r="CW94" t="b">
        <f t="shared" si="208"/>
        <v>0</v>
      </c>
      <c r="CX94" t="b">
        <f t="shared" si="209"/>
        <v>0</v>
      </c>
      <c r="CY94" t="b">
        <f t="shared" si="210"/>
        <v>0</v>
      </c>
      <c r="CZ94" t="b">
        <f t="shared" si="211"/>
        <v>0</v>
      </c>
      <c r="DA94" t="b">
        <f t="shared" si="212"/>
        <v>0</v>
      </c>
      <c r="DB94" t="b">
        <f t="shared" si="213"/>
        <v>0</v>
      </c>
      <c r="DC94" t="b">
        <f t="shared" si="214"/>
        <v>0</v>
      </c>
      <c r="DD94" t="b">
        <f t="shared" si="215"/>
        <v>0</v>
      </c>
      <c r="DE94" t="b">
        <f t="shared" si="216"/>
        <v>0</v>
      </c>
      <c r="DF94" t="b">
        <f t="shared" si="217"/>
        <v>0</v>
      </c>
      <c r="DG94" t="b">
        <f t="shared" si="218"/>
        <v>0</v>
      </c>
      <c r="DH94" t="b">
        <f t="shared" si="219"/>
        <v>0</v>
      </c>
      <c r="DI94" t="b">
        <f t="shared" si="220"/>
        <v>0</v>
      </c>
      <c r="DJ94" t="b">
        <f t="shared" si="221"/>
        <v>0</v>
      </c>
      <c r="DK94" t="b">
        <f t="shared" si="222"/>
        <v>0</v>
      </c>
      <c r="DL94" t="b">
        <f t="shared" si="223"/>
        <v>0</v>
      </c>
      <c r="DM94" t="b">
        <f t="shared" si="224"/>
        <v>0</v>
      </c>
      <c r="DN94" t="b">
        <f t="shared" si="225"/>
        <v>0</v>
      </c>
      <c r="DO94" t="b">
        <f t="shared" si="226"/>
        <v>0</v>
      </c>
      <c r="DP94" t="b">
        <f t="shared" si="227"/>
        <v>0</v>
      </c>
      <c r="DQ94" t="b">
        <f t="shared" si="228"/>
        <v>0</v>
      </c>
      <c r="DR94" t="b">
        <f t="shared" si="229"/>
        <v>0</v>
      </c>
      <c r="DS94" t="b">
        <f t="shared" si="230"/>
        <v>0</v>
      </c>
      <c r="DT94" t="b">
        <f t="shared" si="231"/>
        <v>0</v>
      </c>
      <c r="DU94" t="b">
        <f t="shared" si="232"/>
        <v>0</v>
      </c>
      <c r="DV94" t="b">
        <f t="shared" si="233"/>
        <v>0</v>
      </c>
      <c r="DW94" t="b">
        <f t="shared" si="234"/>
        <v>0</v>
      </c>
      <c r="DX94" t="b">
        <f t="shared" si="235"/>
        <v>0</v>
      </c>
      <c r="DY94" t="b">
        <f t="shared" si="236"/>
        <v>0</v>
      </c>
      <c r="DZ94" t="b">
        <f t="shared" si="237"/>
        <v>0</v>
      </c>
      <c r="EA94" t="b">
        <f t="shared" si="238"/>
        <v>0</v>
      </c>
      <c r="EB94" t="b">
        <f t="shared" si="239"/>
        <v>0</v>
      </c>
      <c r="EC94" t="b">
        <f t="shared" si="240"/>
        <v>0</v>
      </c>
      <c r="ED94" t="b">
        <f t="shared" si="241"/>
        <v>0</v>
      </c>
      <c r="EE94" t="b">
        <f t="shared" si="242"/>
        <v>0</v>
      </c>
      <c r="EF94">
        <f t="shared" si="243"/>
        <v>1</v>
      </c>
      <c r="EG94" t="b">
        <f t="shared" si="244"/>
        <v>0</v>
      </c>
      <c r="EH94" t="b">
        <f t="shared" si="245"/>
        <v>0</v>
      </c>
      <c r="EI94" t="b">
        <f t="shared" si="246"/>
        <v>0</v>
      </c>
      <c r="EJ94" t="b">
        <f t="shared" si="247"/>
        <v>0</v>
      </c>
      <c r="EK94" t="b">
        <f t="shared" si="248"/>
        <v>0</v>
      </c>
    </row>
    <row r="95" spans="1:141">
      <c r="A95" t="s">
        <v>602</v>
      </c>
      <c r="B95" t="s">
        <v>602</v>
      </c>
      <c r="C95" t="s">
        <v>603</v>
      </c>
      <c r="D95" s="1">
        <v>43031</v>
      </c>
      <c r="E95" s="2">
        <v>43573.081655092596</v>
      </c>
      <c r="F95" s="2">
        <v>43573.090451388889</v>
      </c>
      <c r="G95">
        <v>13369666</v>
      </c>
      <c r="H95" t="s">
        <v>604</v>
      </c>
      <c r="I95" s="10" t="s">
        <v>605</v>
      </c>
      <c r="J95" t="s">
        <v>606</v>
      </c>
      <c r="K95" s="8" t="b">
        <v>1</v>
      </c>
      <c r="L95" s="10" t="b">
        <v>0</v>
      </c>
      <c r="M95" s="12" t="b">
        <v>0</v>
      </c>
      <c r="N95" t="b">
        <v>0</v>
      </c>
      <c r="O95" t="b">
        <v>0</v>
      </c>
      <c r="P95" t="b">
        <v>0</v>
      </c>
      <c r="Q95">
        <f t="shared" si="125"/>
        <v>2</v>
      </c>
      <c r="R95">
        <f t="shared" si="126"/>
        <v>10</v>
      </c>
      <c r="S95" t="e">
        <f t="shared" ca="1" si="156"/>
        <v>#NAME?</v>
      </c>
      <c r="T95" t="e">
        <f t="shared" ca="1" si="127"/>
        <v>#NAME?</v>
      </c>
      <c r="U95" s="4">
        <f t="shared" si="128"/>
        <v>542.08165509259561</v>
      </c>
      <c r="V95" s="4">
        <f t="shared" si="129"/>
        <v>18.069388503086522</v>
      </c>
      <c r="W95" s="4">
        <f t="shared" si="130"/>
        <v>1</v>
      </c>
      <c r="X95" s="4">
        <f t="shared" si="131"/>
        <v>0</v>
      </c>
      <c r="Y95" s="4">
        <f t="shared" si="132"/>
        <v>0</v>
      </c>
      <c r="Z95" s="4">
        <f t="shared" si="133"/>
        <v>0</v>
      </c>
      <c r="AA95" s="4">
        <f t="shared" si="134"/>
        <v>0</v>
      </c>
      <c r="AB95" s="4">
        <f t="shared" si="135"/>
        <v>0</v>
      </c>
      <c r="AC95" s="4"/>
      <c r="AD95" s="4" t="b">
        <f t="shared" si="136"/>
        <v>0</v>
      </c>
      <c r="AE95" s="4" t="b">
        <f t="shared" si="137"/>
        <v>0</v>
      </c>
      <c r="AF95" s="4" t="b">
        <f t="shared" si="138"/>
        <v>0</v>
      </c>
      <c r="AG95" t="b">
        <f t="shared" si="139"/>
        <v>0</v>
      </c>
      <c r="AH95" t="b">
        <f t="shared" si="140"/>
        <v>0</v>
      </c>
      <c r="AI95" t="b">
        <f t="shared" si="141"/>
        <v>0</v>
      </c>
      <c r="AJ95" t="b">
        <f t="shared" si="142"/>
        <v>0</v>
      </c>
      <c r="AK95" t="b">
        <f t="shared" si="143"/>
        <v>0</v>
      </c>
      <c r="AL95" t="b">
        <f t="shared" si="144"/>
        <v>0</v>
      </c>
      <c r="AM95" t="b">
        <f t="shared" si="145"/>
        <v>0</v>
      </c>
      <c r="AN95" t="b">
        <f t="shared" si="146"/>
        <v>0</v>
      </c>
      <c r="AO95" t="b">
        <f t="shared" si="147"/>
        <v>0</v>
      </c>
      <c r="AP95" t="b">
        <f t="shared" si="148"/>
        <v>0</v>
      </c>
      <c r="AQ95" t="b">
        <f t="shared" si="149"/>
        <v>0</v>
      </c>
      <c r="AR95" t="b">
        <f t="shared" si="150"/>
        <v>0</v>
      </c>
      <c r="AS95" t="b">
        <f t="shared" si="151"/>
        <v>0</v>
      </c>
      <c r="AT95" t="b">
        <f t="shared" si="152"/>
        <v>0</v>
      </c>
      <c r="AU95" t="b">
        <f t="shared" si="153"/>
        <v>0</v>
      </c>
      <c r="AV95" t="b">
        <f t="shared" si="154"/>
        <v>0</v>
      </c>
      <c r="AW95" t="b">
        <f t="shared" si="155"/>
        <v>0</v>
      </c>
      <c r="AX95" t="b">
        <f t="shared" si="157"/>
        <v>0</v>
      </c>
      <c r="AY95" t="b">
        <f t="shared" si="158"/>
        <v>0</v>
      </c>
      <c r="AZ95" t="b">
        <f t="shared" si="159"/>
        <v>0</v>
      </c>
      <c r="BA95" t="b">
        <f t="shared" si="160"/>
        <v>0</v>
      </c>
      <c r="BB95" t="b">
        <f t="shared" si="161"/>
        <v>0</v>
      </c>
      <c r="BC95" t="b">
        <f t="shared" si="162"/>
        <v>0</v>
      </c>
      <c r="BD95" t="b">
        <f t="shared" si="163"/>
        <v>0</v>
      </c>
      <c r="BE95" t="b">
        <f t="shared" si="164"/>
        <v>0</v>
      </c>
      <c r="BF95" t="b">
        <f t="shared" si="165"/>
        <v>0</v>
      </c>
      <c r="BG95" t="b">
        <f t="shared" si="166"/>
        <v>0</v>
      </c>
      <c r="BH95" t="b">
        <f t="shared" si="167"/>
        <v>0</v>
      </c>
      <c r="BI95">
        <f t="shared" si="168"/>
        <v>1</v>
      </c>
      <c r="BJ95" t="b">
        <f t="shared" si="169"/>
        <v>0</v>
      </c>
      <c r="BK95" t="b">
        <f t="shared" si="170"/>
        <v>0</v>
      </c>
      <c r="BL95" t="b">
        <f t="shared" si="171"/>
        <v>0</v>
      </c>
      <c r="BM95" t="b">
        <f t="shared" si="172"/>
        <v>0</v>
      </c>
      <c r="BN95" t="b">
        <f t="shared" si="173"/>
        <v>0</v>
      </c>
      <c r="BO95" t="b">
        <f t="shared" si="174"/>
        <v>0</v>
      </c>
      <c r="BP95" t="b">
        <f t="shared" si="175"/>
        <v>0</v>
      </c>
      <c r="BQ95" t="b">
        <f t="shared" si="176"/>
        <v>0</v>
      </c>
      <c r="BR95" t="b">
        <f t="shared" si="177"/>
        <v>0</v>
      </c>
      <c r="BS95" t="b">
        <f t="shared" si="178"/>
        <v>0</v>
      </c>
      <c r="BT95" t="b">
        <f t="shared" si="179"/>
        <v>0</v>
      </c>
      <c r="BU95" t="b">
        <f t="shared" si="180"/>
        <v>0</v>
      </c>
      <c r="BV95" t="b">
        <f t="shared" si="181"/>
        <v>0</v>
      </c>
      <c r="BW95" t="b">
        <f t="shared" si="182"/>
        <v>0</v>
      </c>
      <c r="BX95" t="b">
        <f t="shared" si="183"/>
        <v>0</v>
      </c>
      <c r="BY95" t="b">
        <f t="shared" si="184"/>
        <v>0</v>
      </c>
      <c r="BZ95" t="b">
        <f t="shared" si="185"/>
        <v>0</v>
      </c>
      <c r="CA95" t="b">
        <f t="shared" si="186"/>
        <v>0</v>
      </c>
      <c r="CB95" t="b">
        <f t="shared" si="187"/>
        <v>0</v>
      </c>
      <c r="CC95" t="b">
        <f t="shared" si="188"/>
        <v>0</v>
      </c>
      <c r="CD95" t="b">
        <f t="shared" si="189"/>
        <v>0</v>
      </c>
      <c r="CE95">
        <f t="shared" si="190"/>
        <v>1</v>
      </c>
      <c r="CF95" t="b">
        <f t="shared" si="191"/>
        <v>0</v>
      </c>
      <c r="CG95" t="b">
        <f t="shared" si="192"/>
        <v>0</v>
      </c>
      <c r="CH95" t="b">
        <f t="shared" si="193"/>
        <v>0</v>
      </c>
      <c r="CI95" t="b">
        <f t="shared" si="194"/>
        <v>0</v>
      </c>
      <c r="CJ95" t="b">
        <f t="shared" si="195"/>
        <v>0</v>
      </c>
      <c r="CK95" t="b">
        <f t="shared" si="196"/>
        <v>0</v>
      </c>
      <c r="CL95" t="b">
        <f t="shared" si="197"/>
        <v>0</v>
      </c>
      <c r="CM95">
        <f t="shared" si="198"/>
        <v>1</v>
      </c>
      <c r="CN95" t="b">
        <f t="shared" si="199"/>
        <v>0</v>
      </c>
      <c r="CO95" t="b">
        <f t="shared" si="200"/>
        <v>0</v>
      </c>
      <c r="CP95" t="b">
        <f t="shared" si="201"/>
        <v>0</v>
      </c>
      <c r="CQ95" t="b">
        <f t="shared" si="202"/>
        <v>0</v>
      </c>
      <c r="CR95" t="b">
        <f t="shared" si="203"/>
        <v>0</v>
      </c>
      <c r="CS95" t="b">
        <f t="shared" si="204"/>
        <v>0</v>
      </c>
      <c r="CT95" t="b">
        <f t="shared" si="205"/>
        <v>0</v>
      </c>
      <c r="CU95" t="b">
        <f t="shared" si="206"/>
        <v>0</v>
      </c>
      <c r="CV95">
        <f t="shared" si="207"/>
        <v>1</v>
      </c>
      <c r="CW95" t="b">
        <f t="shared" si="208"/>
        <v>0</v>
      </c>
      <c r="CX95" t="b">
        <f t="shared" si="209"/>
        <v>0</v>
      </c>
      <c r="CY95" t="b">
        <f t="shared" si="210"/>
        <v>0</v>
      </c>
      <c r="CZ95" t="b">
        <f t="shared" si="211"/>
        <v>0</v>
      </c>
      <c r="DA95" t="b">
        <f t="shared" si="212"/>
        <v>0</v>
      </c>
      <c r="DB95" t="b">
        <f t="shared" si="213"/>
        <v>0</v>
      </c>
      <c r="DC95" t="b">
        <f t="shared" si="214"/>
        <v>0</v>
      </c>
      <c r="DD95" t="b">
        <f t="shared" si="215"/>
        <v>0</v>
      </c>
      <c r="DE95" t="b">
        <f t="shared" si="216"/>
        <v>0</v>
      </c>
      <c r="DF95" t="b">
        <f t="shared" si="217"/>
        <v>0</v>
      </c>
      <c r="DG95" t="b">
        <f t="shared" si="218"/>
        <v>0</v>
      </c>
      <c r="DH95" t="b">
        <f t="shared" si="219"/>
        <v>0</v>
      </c>
      <c r="DI95" t="b">
        <f t="shared" si="220"/>
        <v>0</v>
      </c>
      <c r="DJ95" t="b">
        <f t="shared" si="221"/>
        <v>0</v>
      </c>
      <c r="DK95" t="b">
        <f t="shared" si="222"/>
        <v>0</v>
      </c>
      <c r="DL95" t="b">
        <f t="shared" si="223"/>
        <v>0</v>
      </c>
      <c r="DM95" t="b">
        <f t="shared" si="224"/>
        <v>0</v>
      </c>
      <c r="DN95" t="b">
        <f t="shared" si="225"/>
        <v>0</v>
      </c>
      <c r="DO95" t="b">
        <f t="shared" si="226"/>
        <v>0</v>
      </c>
      <c r="DP95" t="b">
        <f t="shared" si="227"/>
        <v>0</v>
      </c>
      <c r="DQ95" t="b">
        <f t="shared" si="228"/>
        <v>0</v>
      </c>
      <c r="DR95" t="b">
        <f t="shared" si="229"/>
        <v>0</v>
      </c>
      <c r="DS95" t="b">
        <f t="shared" si="230"/>
        <v>0</v>
      </c>
      <c r="DT95" t="b">
        <f t="shared" si="231"/>
        <v>0</v>
      </c>
      <c r="DU95" t="b">
        <f t="shared" si="232"/>
        <v>0</v>
      </c>
      <c r="DV95" t="b">
        <f t="shared" si="233"/>
        <v>0</v>
      </c>
      <c r="DW95" t="b">
        <f t="shared" si="234"/>
        <v>0</v>
      </c>
      <c r="DX95" t="b">
        <f t="shared" si="235"/>
        <v>0</v>
      </c>
      <c r="DY95" t="b">
        <f t="shared" si="236"/>
        <v>0</v>
      </c>
      <c r="DZ95" t="b">
        <f t="shared" si="237"/>
        <v>0</v>
      </c>
      <c r="EA95" t="b">
        <f t="shared" si="238"/>
        <v>0</v>
      </c>
      <c r="EB95" t="b">
        <f t="shared" si="239"/>
        <v>0</v>
      </c>
      <c r="EC95" t="b">
        <f t="shared" si="240"/>
        <v>0</v>
      </c>
      <c r="ED95" t="b">
        <f t="shared" si="241"/>
        <v>0</v>
      </c>
      <c r="EE95" t="b">
        <f t="shared" si="242"/>
        <v>0</v>
      </c>
      <c r="EF95">
        <f t="shared" si="243"/>
        <v>1</v>
      </c>
      <c r="EG95" t="b">
        <f t="shared" si="244"/>
        <v>0</v>
      </c>
      <c r="EH95" t="b">
        <f t="shared" si="245"/>
        <v>0</v>
      </c>
      <c r="EI95" t="b">
        <f t="shared" si="246"/>
        <v>0</v>
      </c>
      <c r="EJ95" t="b">
        <f t="shared" si="247"/>
        <v>0</v>
      </c>
      <c r="EK95" t="b">
        <f t="shared" si="248"/>
        <v>0</v>
      </c>
    </row>
    <row r="96" spans="1:141">
      <c r="A96" t="s">
        <v>607</v>
      </c>
      <c r="B96" t="s">
        <v>608</v>
      </c>
      <c r="C96" t="s">
        <v>609</v>
      </c>
      <c r="D96" s="1">
        <v>43661</v>
      </c>
      <c r="E96" s="2">
        <v>43664.776956018519</v>
      </c>
      <c r="F96" s="2">
        <v>43664.776956018519</v>
      </c>
      <c r="G96">
        <v>471167</v>
      </c>
      <c r="H96" t="s">
        <v>610</v>
      </c>
      <c r="I96" s="10" t="s">
        <v>611</v>
      </c>
      <c r="J96" t="s">
        <v>612</v>
      </c>
      <c r="K96" s="8" t="b">
        <v>1</v>
      </c>
      <c r="L96" s="10" t="b">
        <v>0</v>
      </c>
      <c r="M96" s="12" t="b">
        <v>0</v>
      </c>
      <c r="N96" t="b">
        <v>0</v>
      </c>
      <c r="O96" t="b">
        <v>0</v>
      </c>
      <c r="P96" t="b">
        <v>0</v>
      </c>
      <c r="Q96">
        <f t="shared" si="125"/>
        <v>2</v>
      </c>
      <c r="R96">
        <f t="shared" si="126"/>
        <v>7</v>
      </c>
      <c r="S96" t="e">
        <f t="shared" ca="1" si="156"/>
        <v>#NAME?</v>
      </c>
      <c r="T96" t="e">
        <f t="shared" ca="1" si="127"/>
        <v>#NAME?</v>
      </c>
      <c r="U96" s="4">
        <f t="shared" si="128"/>
        <v>3.7769560185188311</v>
      </c>
      <c r="V96" s="4">
        <f t="shared" si="129"/>
        <v>0.12589853395062769</v>
      </c>
      <c r="W96" s="4">
        <f t="shared" si="130"/>
        <v>1</v>
      </c>
      <c r="X96" s="4">
        <f t="shared" si="131"/>
        <v>0</v>
      </c>
      <c r="Y96" s="4">
        <f t="shared" si="132"/>
        <v>0</v>
      </c>
      <c r="Z96" s="4">
        <f t="shared" si="133"/>
        <v>0</v>
      </c>
      <c r="AA96" s="4">
        <f t="shared" si="134"/>
        <v>0</v>
      </c>
      <c r="AB96" s="4">
        <f t="shared" si="135"/>
        <v>0</v>
      </c>
      <c r="AC96" s="4"/>
      <c r="AD96" s="4" t="b">
        <f t="shared" si="136"/>
        <v>0</v>
      </c>
      <c r="AE96" s="4" t="b">
        <f t="shared" si="137"/>
        <v>0</v>
      </c>
      <c r="AF96" s="4" t="b">
        <f t="shared" si="138"/>
        <v>0</v>
      </c>
      <c r="AG96" t="b">
        <f t="shared" si="139"/>
        <v>0</v>
      </c>
      <c r="AH96" t="b">
        <f t="shared" si="140"/>
        <v>0</v>
      </c>
      <c r="AI96" t="b">
        <f t="shared" si="141"/>
        <v>0</v>
      </c>
      <c r="AJ96" t="b">
        <f t="shared" si="142"/>
        <v>0</v>
      </c>
      <c r="AK96" t="b">
        <f t="shared" si="143"/>
        <v>0</v>
      </c>
      <c r="AL96" t="b">
        <f t="shared" si="144"/>
        <v>0</v>
      </c>
      <c r="AM96" t="b">
        <f t="shared" si="145"/>
        <v>0</v>
      </c>
      <c r="AN96" t="b">
        <f t="shared" si="146"/>
        <v>0</v>
      </c>
      <c r="AO96" t="b">
        <f t="shared" si="147"/>
        <v>0</v>
      </c>
      <c r="AP96" t="b">
        <f t="shared" si="148"/>
        <v>0</v>
      </c>
      <c r="AQ96" t="b">
        <f t="shared" si="149"/>
        <v>0</v>
      </c>
      <c r="AR96" t="b">
        <f t="shared" si="150"/>
        <v>0</v>
      </c>
      <c r="AS96" t="b">
        <f t="shared" si="151"/>
        <v>0</v>
      </c>
      <c r="AT96" t="b">
        <f t="shared" si="152"/>
        <v>0</v>
      </c>
      <c r="AU96" t="b">
        <f t="shared" si="153"/>
        <v>0</v>
      </c>
      <c r="AV96" t="b">
        <f t="shared" si="154"/>
        <v>0</v>
      </c>
      <c r="AW96" t="b">
        <f t="shared" si="155"/>
        <v>0</v>
      </c>
      <c r="AX96" t="b">
        <f t="shared" si="157"/>
        <v>0</v>
      </c>
      <c r="AY96" t="b">
        <f t="shared" si="158"/>
        <v>0</v>
      </c>
      <c r="AZ96" t="b">
        <f t="shared" si="159"/>
        <v>0</v>
      </c>
      <c r="BA96" t="b">
        <f t="shared" si="160"/>
        <v>0</v>
      </c>
      <c r="BB96" t="b">
        <f t="shared" si="161"/>
        <v>0</v>
      </c>
      <c r="BC96" t="b">
        <f t="shared" si="162"/>
        <v>0</v>
      </c>
      <c r="BD96" t="b">
        <f t="shared" si="163"/>
        <v>0</v>
      </c>
      <c r="BE96" t="b">
        <f t="shared" si="164"/>
        <v>0</v>
      </c>
      <c r="BF96" t="b">
        <f t="shared" si="165"/>
        <v>0</v>
      </c>
      <c r="BG96" t="b">
        <f t="shared" si="166"/>
        <v>0</v>
      </c>
      <c r="BH96" t="b">
        <f t="shared" si="167"/>
        <v>0</v>
      </c>
      <c r="BI96">
        <f t="shared" si="168"/>
        <v>1</v>
      </c>
      <c r="BJ96" t="b">
        <f t="shared" si="169"/>
        <v>0</v>
      </c>
      <c r="BK96" t="b">
        <f t="shared" si="170"/>
        <v>0</v>
      </c>
      <c r="BL96" t="b">
        <f t="shared" si="171"/>
        <v>0</v>
      </c>
      <c r="BM96" t="b">
        <f t="shared" si="172"/>
        <v>0</v>
      </c>
      <c r="BN96" t="b">
        <f t="shared" si="173"/>
        <v>0</v>
      </c>
      <c r="BO96" t="b">
        <f t="shared" si="174"/>
        <v>0</v>
      </c>
      <c r="BP96" t="b">
        <f t="shared" si="175"/>
        <v>0</v>
      </c>
      <c r="BQ96" t="b">
        <f t="shared" si="176"/>
        <v>0</v>
      </c>
      <c r="BR96" t="b">
        <f t="shared" si="177"/>
        <v>0</v>
      </c>
      <c r="BS96" t="b">
        <f t="shared" si="178"/>
        <v>0</v>
      </c>
      <c r="BT96" t="b">
        <f t="shared" si="179"/>
        <v>0</v>
      </c>
      <c r="BU96" t="b">
        <f t="shared" si="180"/>
        <v>0</v>
      </c>
      <c r="BV96" t="b">
        <f t="shared" si="181"/>
        <v>0</v>
      </c>
      <c r="BW96" t="b">
        <f t="shared" si="182"/>
        <v>0</v>
      </c>
      <c r="BX96" t="b">
        <f t="shared" si="183"/>
        <v>0</v>
      </c>
      <c r="BY96" t="b">
        <f t="shared" si="184"/>
        <v>0</v>
      </c>
      <c r="BZ96" t="b">
        <f t="shared" si="185"/>
        <v>0</v>
      </c>
      <c r="CA96" t="b">
        <f t="shared" si="186"/>
        <v>0</v>
      </c>
      <c r="CB96" t="b">
        <f t="shared" si="187"/>
        <v>0</v>
      </c>
      <c r="CC96" t="b">
        <f t="shared" si="188"/>
        <v>0</v>
      </c>
      <c r="CD96" t="b">
        <f t="shared" si="189"/>
        <v>0</v>
      </c>
      <c r="CE96" t="b">
        <f t="shared" si="190"/>
        <v>0</v>
      </c>
      <c r="CF96" t="b">
        <f t="shared" si="191"/>
        <v>0</v>
      </c>
      <c r="CG96" t="b">
        <f t="shared" si="192"/>
        <v>0</v>
      </c>
      <c r="CH96" t="b">
        <f t="shared" si="193"/>
        <v>0</v>
      </c>
      <c r="CI96" t="b">
        <f t="shared" si="194"/>
        <v>0</v>
      </c>
      <c r="CJ96" t="b">
        <f t="shared" si="195"/>
        <v>0</v>
      </c>
      <c r="CK96" t="b">
        <f t="shared" si="196"/>
        <v>0</v>
      </c>
      <c r="CL96" t="b">
        <f t="shared" si="197"/>
        <v>0</v>
      </c>
      <c r="CM96">
        <f t="shared" si="198"/>
        <v>1</v>
      </c>
      <c r="CN96" t="b">
        <f t="shared" si="199"/>
        <v>0</v>
      </c>
      <c r="CO96" t="b">
        <f t="shared" si="200"/>
        <v>0</v>
      </c>
      <c r="CP96" t="b">
        <f t="shared" si="201"/>
        <v>0</v>
      </c>
      <c r="CQ96" t="b">
        <f t="shared" si="202"/>
        <v>0</v>
      </c>
      <c r="CR96" t="b">
        <f t="shared" si="203"/>
        <v>0</v>
      </c>
      <c r="CS96" t="b">
        <f t="shared" si="204"/>
        <v>0</v>
      </c>
      <c r="CT96" t="b">
        <f t="shared" si="205"/>
        <v>0</v>
      </c>
      <c r="CU96" t="b">
        <f t="shared" si="206"/>
        <v>0</v>
      </c>
      <c r="CV96" t="b">
        <f t="shared" si="207"/>
        <v>0</v>
      </c>
      <c r="CW96" t="b">
        <f t="shared" si="208"/>
        <v>0</v>
      </c>
      <c r="CX96" t="b">
        <f t="shared" si="209"/>
        <v>0</v>
      </c>
      <c r="CY96" t="b">
        <f t="shared" si="210"/>
        <v>0</v>
      </c>
      <c r="CZ96" t="b">
        <f t="shared" si="211"/>
        <v>0</v>
      </c>
      <c r="DA96">
        <f t="shared" si="212"/>
        <v>1</v>
      </c>
      <c r="DB96">
        <f t="shared" si="213"/>
        <v>1</v>
      </c>
      <c r="DC96" t="b">
        <f t="shared" si="214"/>
        <v>0</v>
      </c>
      <c r="DD96" t="b">
        <f t="shared" si="215"/>
        <v>0</v>
      </c>
      <c r="DE96" t="b">
        <f t="shared" si="216"/>
        <v>0</v>
      </c>
      <c r="DF96" t="b">
        <f t="shared" si="217"/>
        <v>0</v>
      </c>
      <c r="DG96" t="b">
        <f t="shared" si="218"/>
        <v>0</v>
      </c>
      <c r="DH96" t="b">
        <f t="shared" si="219"/>
        <v>0</v>
      </c>
      <c r="DI96" t="b">
        <f t="shared" si="220"/>
        <v>0</v>
      </c>
      <c r="DJ96" t="b">
        <f t="shared" si="221"/>
        <v>0</v>
      </c>
      <c r="DK96" t="b">
        <f t="shared" si="222"/>
        <v>0</v>
      </c>
      <c r="DL96" t="b">
        <f t="shared" si="223"/>
        <v>0</v>
      </c>
      <c r="DM96" t="b">
        <f t="shared" si="224"/>
        <v>0</v>
      </c>
      <c r="DN96" t="b">
        <f t="shared" si="225"/>
        <v>0</v>
      </c>
      <c r="DO96" t="b">
        <f t="shared" si="226"/>
        <v>0</v>
      </c>
      <c r="DP96" t="b">
        <f t="shared" si="227"/>
        <v>0</v>
      </c>
      <c r="DQ96" t="b">
        <f t="shared" si="228"/>
        <v>0</v>
      </c>
      <c r="DR96" t="b">
        <f t="shared" si="229"/>
        <v>0</v>
      </c>
      <c r="DS96" t="b">
        <f t="shared" si="230"/>
        <v>0</v>
      </c>
      <c r="DT96" t="b">
        <f t="shared" si="231"/>
        <v>0</v>
      </c>
      <c r="DU96" t="b">
        <f t="shared" si="232"/>
        <v>0</v>
      </c>
      <c r="DV96" t="b">
        <f t="shared" si="233"/>
        <v>0</v>
      </c>
      <c r="DW96" t="b">
        <f t="shared" si="234"/>
        <v>0</v>
      </c>
      <c r="DX96" t="b">
        <f t="shared" si="235"/>
        <v>0</v>
      </c>
      <c r="DY96" t="b">
        <f t="shared" si="236"/>
        <v>0</v>
      </c>
      <c r="DZ96" t="b">
        <f t="shared" si="237"/>
        <v>0</v>
      </c>
      <c r="EA96" t="b">
        <f t="shared" si="238"/>
        <v>0</v>
      </c>
      <c r="EB96" t="b">
        <f t="shared" si="239"/>
        <v>0</v>
      </c>
      <c r="EC96" t="b">
        <f t="shared" si="240"/>
        <v>0</v>
      </c>
      <c r="ED96" t="b">
        <f t="shared" si="241"/>
        <v>0</v>
      </c>
      <c r="EE96" t="b">
        <f t="shared" si="242"/>
        <v>0</v>
      </c>
      <c r="EF96" t="b">
        <f t="shared" si="243"/>
        <v>0</v>
      </c>
      <c r="EG96" t="b">
        <f t="shared" si="244"/>
        <v>0</v>
      </c>
      <c r="EH96" t="b">
        <f t="shared" si="245"/>
        <v>0</v>
      </c>
      <c r="EI96" t="b">
        <f t="shared" si="246"/>
        <v>0</v>
      </c>
      <c r="EJ96" t="b">
        <f t="shared" si="247"/>
        <v>0</v>
      </c>
      <c r="EK96" t="b">
        <f t="shared" si="248"/>
        <v>0</v>
      </c>
    </row>
    <row r="97" spans="1:141">
      <c r="A97" t="s">
        <v>613</v>
      </c>
      <c r="B97" t="s">
        <v>614</v>
      </c>
      <c r="C97" t="s">
        <v>615</v>
      </c>
      <c r="D97" s="1">
        <v>41754</v>
      </c>
      <c r="E97" s="2">
        <v>41770.184583333335</v>
      </c>
      <c r="F97" s="2">
        <v>41770.184583333335</v>
      </c>
      <c r="G97">
        <v>26596</v>
      </c>
      <c r="H97" t="s">
        <v>616</v>
      </c>
      <c r="I97" s="10" t="s">
        <v>617</v>
      </c>
      <c r="J97" t="s">
        <v>618</v>
      </c>
      <c r="K97" s="8" t="b">
        <v>1</v>
      </c>
      <c r="L97" s="10" t="b">
        <v>0</v>
      </c>
      <c r="M97" s="12" t="b">
        <v>0</v>
      </c>
      <c r="N97" t="b">
        <v>0</v>
      </c>
      <c r="O97" t="b">
        <v>0</v>
      </c>
      <c r="P97" t="b">
        <v>0</v>
      </c>
      <c r="Q97">
        <f t="shared" si="125"/>
        <v>6</v>
      </c>
      <c r="R97">
        <f t="shared" si="126"/>
        <v>4</v>
      </c>
      <c r="S97" t="e">
        <f t="shared" ca="1" si="156"/>
        <v>#NAME?</v>
      </c>
      <c r="T97" t="e">
        <f t="shared" ca="1" si="127"/>
        <v>#NAME?</v>
      </c>
      <c r="U97" s="4">
        <f t="shared" si="128"/>
        <v>16.184583333335468</v>
      </c>
      <c r="V97" s="4">
        <f t="shared" si="129"/>
        <v>0.53948611111118228</v>
      </c>
      <c r="W97" s="4">
        <f t="shared" si="130"/>
        <v>1</v>
      </c>
      <c r="X97" s="4">
        <f t="shared" si="131"/>
        <v>0</v>
      </c>
      <c r="Y97" s="4">
        <f t="shared" si="132"/>
        <v>0</v>
      </c>
      <c r="Z97" s="4">
        <f t="shared" si="133"/>
        <v>0</v>
      </c>
      <c r="AA97" s="4">
        <f t="shared" si="134"/>
        <v>0</v>
      </c>
      <c r="AB97" s="4">
        <f t="shared" si="135"/>
        <v>0</v>
      </c>
      <c r="AC97" s="4"/>
      <c r="AD97" s="4" t="b">
        <f t="shared" si="136"/>
        <v>0</v>
      </c>
      <c r="AE97" s="4" t="b">
        <f t="shared" si="137"/>
        <v>0</v>
      </c>
      <c r="AF97" s="4" t="b">
        <f t="shared" si="138"/>
        <v>0</v>
      </c>
      <c r="AG97" t="b">
        <f t="shared" si="139"/>
        <v>0</v>
      </c>
      <c r="AH97" t="b">
        <f t="shared" si="140"/>
        <v>0</v>
      </c>
      <c r="AI97" t="b">
        <f t="shared" si="141"/>
        <v>0</v>
      </c>
      <c r="AJ97" t="b">
        <f t="shared" si="142"/>
        <v>0</v>
      </c>
      <c r="AK97" t="b">
        <f t="shared" si="143"/>
        <v>0</v>
      </c>
      <c r="AL97" t="b">
        <f t="shared" si="144"/>
        <v>0</v>
      </c>
      <c r="AM97" t="b">
        <f t="shared" si="145"/>
        <v>0</v>
      </c>
      <c r="AN97" t="b">
        <f t="shared" si="146"/>
        <v>0</v>
      </c>
      <c r="AO97" t="b">
        <f t="shared" si="147"/>
        <v>0</v>
      </c>
      <c r="AP97" t="b">
        <f t="shared" si="148"/>
        <v>0</v>
      </c>
      <c r="AQ97" t="b">
        <f t="shared" si="149"/>
        <v>0</v>
      </c>
      <c r="AR97" t="b">
        <f t="shared" si="150"/>
        <v>0</v>
      </c>
      <c r="AS97" t="b">
        <f t="shared" si="151"/>
        <v>0</v>
      </c>
      <c r="AT97" t="b">
        <f t="shared" si="152"/>
        <v>0</v>
      </c>
      <c r="AU97" t="b">
        <f t="shared" si="153"/>
        <v>0</v>
      </c>
      <c r="AV97" t="b">
        <f t="shared" si="154"/>
        <v>0</v>
      </c>
      <c r="AW97" t="b">
        <f t="shared" si="155"/>
        <v>0</v>
      </c>
      <c r="AX97" t="b">
        <f t="shared" si="157"/>
        <v>0</v>
      </c>
      <c r="AY97" t="b">
        <f t="shared" si="158"/>
        <v>0</v>
      </c>
      <c r="AZ97" t="b">
        <f t="shared" si="159"/>
        <v>0</v>
      </c>
      <c r="BA97" t="b">
        <f t="shared" si="160"/>
        <v>0</v>
      </c>
      <c r="BB97" t="b">
        <f t="shared" si="161"/>
        <v>0</v>
      </c>
      <c r="BC97" t="b">
        <f t="shared" si="162"/>
        <v>0</v>
      </c>
      <c r="BD97" t="b">
        <f t="shared" si="163"/>
        <v>0</v>
      </c>
      <c r="BE97" t="b">
        <f t="shared" si="164"/>
        <v>0</v>
      </c>
      <c r="BF97" t="b">
        <f t="shared" si="165"/>
        <v>0</v>
      </c>
      <c r="BG97" t="b">
        <f t="shared" si="166"/>
        <v>0</v>
      </c>
      <c r="BH97" t="b">
        <f t="shared" si="167"/>
        <v>0</v>
      </c>
      <c r="BI97">
        <f t="shared" si="168"/>
        <v>1</v>
      </c>
      <c r="BJ97" t="b">
        <f t="shared" si="169"/>
        <v>0</v>
      </c>
      <c r="BK97" t="b">
        <f t="shared" si="170"/>
        <v>0</v>
      </c>
      <c r="BL97" t="b">
        <f t="shared" si="171"/>
        <v>0</v>
      </c>
      <c r="BM97" t="b">
        <f t="shared" si="172"/>
        <v>0</v>
      </c>
      <c r="BN97" t="b">
        <f t="shared" si="173"/>
        <v>0</v>
      </c>
      <c r="BO97" t="b">
        <f t="shared" si="174"/>
        <v>0</v>
      </c>
      <c r="BP97" t="b">
        <f t="shared" si="175"/>
        <v>0</v>
      </c>
      <c r="BQ97" t="b">
        <f t="shared" si="176"/>
        <v>0</v>
      </c>
      <c r="BR97" t="b">
        <f t="shared" si="177"/>
        <v>0</v>
      </c>
      <c r="BS97" t="b">
        <f t="shared" si="178"/>
        <v>0</v>
      </c>
      <c r="BT97" t="b">
        <f t="shared" si="179"/>
        <v>0</v>
      </c>
      <c r="BU97" t="b">
        <f t="shared" si="180"/>
        <v>0</v>
      </c>
      <c r="BV97" t="b">
        <f t="shared" si="181"/>
        <v>0</v>
      </c>
      <c r="BW97" t="b">
        <f t="shared" si="182"/>
        <v>0</v>
      </c>
      <c r="BX97" t="b">
        <f t="shared" si="183"/>
        <v>0</v>
      </c>
      <c r="BY97" t="b">
        <f t="shared" si="184"/>
        <v>0</v>
      </c>
      <c r="BZ97" t="b">
        <f t="shared" si="185"/>
        <v>0</v>
      </c>
      <c r="CA97" t="b">
        <f t="shared" si="186"/>
        <v>0</v>
      </c>
      <c r="CB97" t="b">
        <f t="shared" si="187"/>
        <v>0</v>
      </c>
      <c r="CC97" t="b">
        <f t="shared" si="188"/>
        <v>0</v>
      </c>
      <c r="CD97" t="b">
        <f t="shared" si="189"/>
        <v>0</v>
      </c>
      <c r="CE97" t="b">
        <f t="shared" si="190"/>
        <v>0</v>
      </c>
      <c r="CF97" t="b">
        <f t="shared" si="191"/>
        <v>0</v>
      </c>
      <c r="CG97" t="b">
        <f t="shared" si="192"/>
        <v>0</v>
      </c>
      <c r="CH97" t="b">
        <f t="shared" si="193"/>
        <v>0</v>
      </c>
      <c r="CI97" t="b">
        <f t="shared" si="194"/>
        <v>0</v>
      </c>
      <c r="CJ97" t="b">
        <f t="shared" si="195"/>
        <v>0</v>
      </c>
      <c r="CK97" t="b">
        <f t="shared" si="196"/>
        <v>0</v>
      </c>
      <c r="CL97" t="b">
        <f t="shared" si="197"/>
        <v>0</v>
      </c>
      <c r="CM97">
        <f t="shared" si="198"/>
        <v>1</v>
      </c>
      <c r="CN97" t="b">
        <f t="shared" si="199"/>
        <v>0</v>
      </c>
      <c r="CO97" t="b">
        <f t="shared" si="200"/>
        <v>0</v>
      </c>
      <c r="CP97" t="b">
        <f t="shared" si="201"/>
        <v>0</v>
      </c>
      <c r="CQ97" t="b">
        <f t="shared" si="202"/>
        <v>0</v>
      </c>
      <c r="CR97" t="b">
        <f t="shared" si="203"/>
        <v>0</v>
      </c>
      <c r="CS97" t="b">
        <f t="shared" si="204"/>
        <v>0</v>
      </c>
      <c r="CT97" t="b">
        <f t="shared" si="205"/>
        <v>0</v>
      </c>
      <c r="CU97" t="b">
        <f t="shared" si="206"/>
        <v>0</v>
      </c>
      <c r="CV97">
        <f t="shared" si="207"/>
        <v>1</v>
      </c>
      <c r="CW97" t="b">
        <f t="shared" si="208"/>
        <v>0</v>
      </c>
      <c r="CX97" t="b">
        <f t="shared" si="209"/>
        <v>0</v>
      </c>
      <c r="CY97" t="b">
        <f t="shared" si="210"/>
        <v>0</v>
      </c>
      <c r="CZ97" t="b">
        <f t="shared" si="211"/>
        <v>0</v>
      </c>
      <c r="DA97" t="b">
        <f t="shared" si="212"/>
        <v>0</v>
      </c>
      <c r="DB97" t="b">
        <f t="shared" si="213"/>
        <v>0</v>
      </c>
      <c r="DC97" t="b">
        <f t="shared" si="214"/>
        <v>0</v>
      </c>
      <c r="DD97" t="b">
        <f t="shared" si="215"/>
        <v>0</v>
      </c>
      <c r="DE97" t="b">
        <f t="shared" si="216"/>
        <v>0</v>
      </c>
      <c r="DF97" t="b">
        <f t="shared" si="217"/>
        <v>0</v>
      </c>
      <c r="DG97" t="b">
        <f t="shared" si="218"/>
        <v>0</v>
      </c>
      <c r="DH97" t="b">
        <f t="shared" si="219"/>
        <v>0</v>
      </c>
      <c r="DI97" t="b">
        <f t="shared" si="220"/>
        <v>0</v>
      </c>
      <c r="DJ97" t="b">
        <f t="shared" si="221"/>
        <v>0</v>
      </c>
      <c r="DK97" t="b">
        <f t="shared" si="222"/>
        <v>0</v>
      </c>
      <c r="DL97" t="b">
        <f t="shared" si="223"/>
        <v>0</v>
      </c>
      <c r="DM97" t="b">
        <f t="shared" si="224"/>
        <v>0</v>
      </c>
      <c r="DN97" t="b">
        <f t="shared" si="225"/>
        <v>0</v>
      </c>
      <c r="DO97" t="b">
        <f t="shared" si="226"/>
        <v>0</v>
      </c>
      <c r="DP97" t="b">
        <f t="shared" si="227"/>
        <v>0</v>
      </c>
      <c r="DQ97" t="b">
        <f t="shared" si="228"/>
        <v>0</v>
      </c>
      <c r="DR97" t="b">
        <f t="shared" si="229"/>
        <v>0</v>
      </c>
      <c r="DS97" t="b">
        <f t="shared" si="230"/>
        <v>0</v>
      </c>
      <c r="DT97" t="b">
        <f t="shared" si="231"/>
        <v>0</v>
      </c>
      <c r="DU97" t="b">
        <f t="shared" si="232"/>
        <v>0</v>
      </c>
      <c r="DV97" t="b">
        <f t="shared" si="233"/>
        <v>0</v>
      </c>
      <c r="DW97" t="b">
        <f t="shared" si="234"/>
        <v>0</v>
      </c>
      <c r="DX97" t="b">
        <f t="shared" si="235"/>
        <v>0</v>
      </c>
      <c r="DY97" t="b">
        <f t="shared" si="236"/>
        <v>0</v>
      </c>
      <c r="DZ97" t="b">
        <f t="shared" si="237"/>
        <v>0</v>
      </c>
      <c r="EA97" t="b">
        <f t="shared" si="238"/>
        <v>0</v>
      </c>
      <c r="EB97" t="b">
        <f t="shared" si="239"/>
        <v>0</v>
      </c>
      <c r="EC97" t="b">
        <f t="shared" si="240"/>
        <v>0</v>
      </c>
      <c r="ED97" t="b">
        <f t="shared" si="241"/>
        <v>0</v>
      </c>
      <c r="EE97" t="b">
        <f t="shared" si="242"/>
        <v>0</v>
      </c>
      <c r="EF97">
        <f t="shared" si="243"/>
        <v>1</v>
      </c>
      <c r="EG97" t="b">
        <f t="shared" si="244"/>
        <v>0</v>
      </c>
      <c r="EH97" t="b">
        <f t="shared" si="245"/>
        <v>0</v>
      </c>
      <c r="EI97">
        <f t="shared" si="246"/>
        <v>1</v>
      </c>
      <c r="EJ97" t="b">
        <f t="shared" si="247"/>
        <v>0</v>
      </c>
      <c r="EK97" t="b">
        <f t="shared" si="248"/>
        <v>0</v>
      </c>
    </row>
    <row r="98" spans="1:141">
      <c r="A98" t="s">
        <v>619</v>
      </c>
      <c r="B98" t="s">
        <v>619</v>
      </c>
      <c r="C98" t="s">
        <v>620</v>
      </c>
      <c r="D98" s="1">
        <v>41739</v>
      </c>
      <c r="E98" s="2">
        <v>43048.829398148147</v>
      </c>
      <c r="F98" s="2">
        <v>43048.829861111109</v>
      </c>
      <c r="G98">
        <v>2628148</v>
      </c>
      <c r="H98" t="s">
        <v>621</v>
      </c>
      <c r="I98" s="10" t="s">
        <v>622</v>
      </c>
      <c r="J98" t="s">
        <v>147</v>
      </c>
      <c r="K98" s="8" t="b">
        <v>1</v>
      </c>
      <c r="L98" s="10" t="b">
        <v>0</v>
      </c>
      <c r="M98" s="12" t="b">
        <v>0</v>
      </c>
      <c r="N98" t="b">
        <v>0</v>
      </c>
      <c r="O98" t="b">
        <v>0</v>
      </c>
      <c r="P98" t="b">
        <v>0</v>
      </c>
      <c r="Q98">
        <f t="shared" si="125"/>
        <v>5</v>
      </c>
      <c r="R98">
        <f t="shared" si="126"/>
        <v>4</v>
      </c>
      <c r="S98" t="e">
        <f t="shared" ca="1" si="156"/>
        <v>#NAME?</v>
      </c>
      <c r="T98" t="e">
        <f t="shared" ca="1" si="127"/>
        <v>#NAME?</v>
      </c>
      <c r="U98" s="4">
        <f t="shared" si="128"/>
        <v>1309.8293981481474</v>
      </c>
      <c r="V98" s="4">
        <f t="shared" si="129"/>
        <v>43.660979938271581</v>
      </c>
      <c r="W98" s="4">
        <f t="shared" si="130"/>
        <v>1</v>
      </c>
      <c r="X98" s="4">
        <f t="shared" si="131"/>
        <v>0</v>
      </c>
      <c r="Y98" s="4">
        <f t="shared" si="132"/>
        <v>0</v>
      </c>
      <c r="Z98" s="4">
        <f t="shared" si="133"/>
        <v>0</v>
      </c>
      <c r="AA98" s="4">
        <f t="shared" si="134"/>
        <v>0</v>
      </c>
      <c r="AB98" s="4">
        <f t="shared" si="135"/>
        <v>0</v>
      </c>
      <c r="AC98" s="4"/>
      <c r="AD98" s="4" t="b">
        <f t="shared" si="136"/>
        <v>0</v>
      </c>
      <c r="AE98" s="4" t="b">
        <f t="shared" si="137"/>
        <v>0</v>
      </c>
      <c r="AF98" s="4" t="b">
        <f t="shared" si="138"/>
        <v>0</v>
      </c>
      <c r="AG98" t="b">
        <f t="shared" si="139"/>
        <v>0</v>
      </c>
      <c r="AH98" t="b">
        <f t="shared" si="140"/>
        <v>0</v>
      </c>
      <c r="AI98" t="b">
        <f t="shared" si="141"/>
        <v>0</v>
      </c>
      <c r="AJ98" t="b">
        <f t="shared" si="142"/>
        <v>0</v>
      </c>
      <c r="AK98" t="b">
        <f t="shared" si="143"/>
        <v>0</v>
      </c>
      <c r="AL98" t="b">
        <f t="shared" si="144"/>
        <v>0</v>
      </c>
      <c r="AM98" t="b">
        <f t="shared" si="145"/>
        <v>0</v>
      </c>
      <c r="AN98" t="b">
        <f t="shared" si="146"/>
        <v>0</v>
      </c>
      <c r="AO98" t="b">
        <f t="shared" si="147"/>
        <v>0</v>
      </c>
      <c r="AP98" t="b">
        <f t="shared" si="148"/>
        <v>0</v>
      </c>
      <c r="AQ98" t="b">
        <f t="shared" si="149"/>
        <v>0</v>
      </c>
      <c r="AR98" t="b">
        <f t="shared" si="150"/>
        <v>0</v>
      </c>
      <c r="AS98" t="b">
        <f t="shared" si="151"/>
        <v>0</v>
      </c>
      <c r="AT98" t="b">
        <f t="shared" si="152"/>
        <v>0</v>
      </c>
      <c r="AU98" t="b">
        <f t="shared" si="153"/>
        <v>0</v>
      </c>
      <c r="AV98" t="b">
        <f t="shared" si="154"/>
        <v>0</v>
      </c>
      <c r="AW98" t="b">
        <f t="shared" si="155"/>
        <v>0</v>
      </c>
      <c r="AX98" t="b">
        <f t="shared" si="157"/>
        <v>0</v>
      </c>
      <c r="AY98" t="b">
        <f t="shared" si="158"/>
        <v>0</v>
      </c>
      <c r="AZ98" t="b">
        <f t="shared" si="159"/>
        <v>0</v>
      </c>
      <c r="BA98" t="b">
        <f t="shared" si="160"/>
        <v>0</v>
      </c>
      <c r="BB98" t="b">
        <f t="shared" si="161"/>
        <v>0</v>
      </c>
      <c r="BC98" t="b">
        <f t="shared" si="162"/>
        <v>0</v>
      </c>
      <c r="BD98" t="b">
        <f t="shared" si="163"/>
        <v>0</v>
      </c>
      <c r="BE98" t="b">
        <f t="shared" si="164"/>
        <v>0</v>
      </c>
      <c r="BF98" t="b">
        <f t="shared" si="165"/>
        <v>0</v>
      </c>
      <c r="BG98" t="b">
        <f t="shared" si="166"/>
        <v>0</v>
      </c>
      <c r="BH98" t="b">
        <f t="shared" si="167"/>
        <v>0</v>
      </c>
      <c r="BI98">
        <f t="shared" si="168"/>
        <v>1</v>
      </c>
      <c r="BJ98" t="b">
        <f t="shared" si="169"/>
        <v>0</v>
      </c>
      <c r="BK98" t="b">
        <f t="shared" si="170"/>
        <v>0</v>
      </c>
      <c r="BL98" t="b">
        <f t="shared" si="171"/>
        <v>0</v>
      </c>
      <c r="BM98" t="b">
        <f t="shared" si="172"/>
        <v>0</v>
      </c>
      <c r="BN98" t="b">
        <f t="shared" si="173"/>
        <v>0</v>
      </c>
      <c r="BO98" t="b">
        <f t="shared" si="174"/>
        <v>0</v>
      </c>
      <c r="BP98" t="b">
        <f t="shared" si="175"/>
        <v>0</v>
      </c>
      <c r="BQ98" t="b">
        <f t="shared" si="176"/>
        <v>0</v>
      </c>
      <c r="BR98" t="b">
        <f t="shared" si="177"/>
        <v>0</v>
      </c>
      <c r="BS98" t="b">
        <f t="shared" si="178"/>
        <v>0</v>
      </c>
      <c r="BT98" t="b">
        <f t="shared" si="179"/>
        <v>0</v>
      </c>
      <c r="BU98" t="b">
        <f t="shared" si="180"/>
        <v>0</v>
      </c>
      <c r="BV98" t="b">
        <f t="shared" si="181"/>
        <v>0</v>
      </c>
      <c r="BW98" t="b">
        <f t="shared" si="182"/>
        <v>0</v>
      </c>
      <c r="BX98" t="b">
        <f t="shared" si="183"/>
        <v>0</v>
      </c>
      <c r="BY98" t="b">
        <f t="shared" si="184"/>
        <v>0</v>
      </c>
      <c r="BZ98" t="b">
        <f t="shared" si="185"/>
        <v>0</v>
      </c>
      <c r="CA98" t="b">
        <f t="shared" si="186"/>
        <v>0</v>
      </c>
      <c r="CB98" t="b">
        <f t="shared" si="187"/>
        <v>0</v>
      </c>
      <c r="CC98" t="b">
        <f t="shared" si="188"/>
        <v>0</v>
      </c>
      <c r="CD98" t="b">
        <f t="shared" si="189"/>
        <v>0</v>
      </c>
      <c r="CE98" t="b">
        <f t="shared" si="190"/>
        <v>0</v>
      </c>
      <c r="CF98" t="b">
        <f t="shared" si="191"/>
        <v>0</v>
      </c>
      <c r="CG98" t="b">
        <f t="shared" si="192"/>
        <v>0</v>
      </c>
      <c r="CH98" t="b">
        <f t="shared" si="193"/>
        <v>0</v>
      </c>
      <c r="CI98" t="b">
        <f t="shared" si="194"/>
        <v>0</v>
      </c>
      <c r="CJ98" t="b">
        <f t="shared" si="195"/>
        <v>0</v>
      </c>
      <c r="CK98" t="b">
        <f t="shared" si="196"/>
        <v>0</v>
      </c>
      <c r="CL98" t="b">
        <f t="shared" si="197"/>
        <v>0</v>
      </c>
      <c r="CM98" t="b">
        <f t="shared" si="198"/>
        <v>0</v>
      </c>
      <c r="CN98" t="b">
        <f t="shared" si="199"/>
        <v>0</v>
      </c>
      <c r="CO98" t="b">
        <f t="shared" si="200"/>
        <v>0</v>
      </c>
      <c r="CP98" t="b">
        <f t="shared" si="201"/>
        <v>0</v>
      </c>
      <c r="CQ98" t="b">
        <f t="shared" si="202"/>
        <v>0</v>
      </c>
      <c r="CR98" t="b">
        <f t="shared" si="203"/>
        <v>0</v>
      </c>
      <c r="CS98" t="b">
        <f t="shared" si="204"/>
        <v>0</v>
      </c>
      <c r="CT98" t="b">
        <f t="shared" si="205"/>
        <v>0</v>
      </c>
      <c r="CU98" t="b">
        <f t="shared" si="206"/>
        <v>0</v>
      </c>
      <c r="CV98">
        <f t="shared" si="207"/>
        <v>1</v>
      </c>
      <c r="CW98" t="b">
        <f t="shared" si="208"/>
        <v>0</v>
      </c>
      <c r="CX98" t="b">
        <f t="shared" si="209"/>
        <v>0</v>
      </c>
      <c r="CY98" t="b">
        <f t="shared" si="210"/>
        <v>0</v>
      </c>
      <c r="CZ98" t="b">
        <f t="shared" si="211"/>
        <v>0</v>
      </c>
      <c r="DA98" t="b">
        <f t="shared" si="212"/>
        <v>0</v>
      </c>
      <c r="DB98" t="b">
        <f t="shared" si="213"/>
        <v>0</v>
      </c>
      <c r="DC98" t="b">
        <f t="shared" si="214"/>
        <v>0</v>
      </c>
      <c r="DD98" t="b">
        <f t="shared" si="215"/>
        <v>0</v>
      </c>
      <c r="DE98" t="b">
        <f t="shared" si="216"/>
        <v>0</v>
      </c>
      <c r="DF98" t="b">
        <f t="shared" si="217"/>
        <v>0</v>
      </c>
      <c r="DG98" t="b">
        <f t="shared" si="218"/>
        <v>0</v>
      </c>
      <c r="DH98" t="b">
        <f t="shared" si="219"/>
        <v>0</v>
      </c>
      <c r="DI98" t="b">
        <f t="shared" si="220"/>
        <v>0</v>
      </c>
      <c r="DJ98" t="b">
        <f t="shared" si="221"/>
        <v>0</v>
      </c>
      <c r="DK98" t="b">
        <f t="shared" si="222"/>
        <v>0</v>
      </c>
      <c r="DL98" t="b">
        <f t="shared" si="223"/>
        <v>0</v>
      </c>
      <c r="DM98" t="b">
        <f t="shared" si="224"/>
        <v>0</v>
      </c>
      <c r="DN98" t="b">
        <f t="shared" si="225"/>
        <v>0</v>
      </c>
      <c r="DO98" t="b">
        <f t="shared" si="226"/>
        <v>0</v>
      </c>
      <c r="DP98" t="b">
        <f t="shared" si="227"/>
        <v>0</v>
      </c>
      <c r="DQ98" t="b">
        <f t="shared" si="228"/>
        <v>0</v>
      </c>
      <c r="DR98" t="b">
        <f t="shared" si="229"/>
        <v>0</v>
      </c>
      <c r="DS98" t="b">
        <f t="shared" si="230"/>
        <v>0</v>
      </c>
      <c r="DT98" t="b">
        <f t="shared" si="231"/>
        <v>0</v>
      </c>
      <c r="DU98" t="b">
        <f t="shared" si="232"/>
        <v>0</v>
      </c>
      <c r="DV98" t="b">
        <f t="shared" si="233"/>
        <v>0</v>
      </c>
      <c r="DW98" t="b">
        <f t="shared" si="234"/>
        <v>0</v>
      </c>
      <c r="DX98" t="b">
        <f t="shared" si="235"/>
        <v>0</v>
      </c>
      <c r="DY98" t="b">
        <f t="shared" si="236"/>
        <v>0</v>
      </c>
      <c r="DZ98" t="b">
        <f t="shared" si="237"/>
        <v>0</v>
      </c>
      <c r="EA98" t="b">
        <f t="shared" si="238"/>
        <v>0</v>
      </c>
      <c r="EB98" t="b">
        <f t="shared" si="239"/>
        <v>0</v>
      </c>
      <c r="EC98" t="b">
        <f t="shared" si="240"/>
        <v>0</v>
      </c>
      <c r="ED98" t="b">
        <f t="shared" si="241"/>
        <v>0</v>
      </c>
      <c r="EE98" t="b">
        <f t="shared" si="242"/>
        <v>0</v>
      </c>
      <c r="EF98" t="b">
        <f t="shared" si="243"/>
        <v>0</v>
      </c>
      <c r="EG98" t="b">
        <f t="shared" si="244"/>
        <v>0</v>
      </c>
      <c r="EH98" t="b">
        <f t="shared" si="245"/>
        <v>0</v>
      </c>
      <c r="EI98" t="b">
        <f t="shared" si="246"/>
        <v>0</v>
      </c>
      <c r="EJ98" t="b">
        <f t="shared" si="247"/>
        <v>0</v>
      </c>
      <c r="EK98" t="b">
        <f t="shared" si="248"/>
        <v>0</v>
      </c>
    </row>
    <row r="99" spans="1:141">
      <c r="A99" t="s">
        <v>623</v>
      </c>
      <c r="B99" t="s">
        <v>623</v>
      </c>
      <c r="C99" t="s">
        <v>624</v>
      </c>
      <c r="D99" s="1">
        <v>43516</v>
      </c>
      <c r="E99" s="2">
        <v>43682.054664351854</v>
      </c>
      <c r="F99" s="2">
        <v>43682.835092592592</v>
      </c>
      <c r="G99">
        <v>23205290</v>
      </c>
      <c r="H99" t="s">
        <v>625</v>
      </c>
      <c r="I99" s="10" t="s">
        <v>626</v>
      </c>
      <c r="J99" t="s">
        <v>290</v>
      </c>
      <c r="K99" s="8" t="b">
        <v>1</v>
      </c>
      <c r="L99" s="10" t="b">
        <v>0</v>
      </c>
      <c r="M99" s="12" t="b">
        <v>0</v>
      </c>
      <c r="N99" t="b">
        <v>0</v>
      </c>
      <c r="O99" t="b">
        <v>0</v>
      </c>
      <c r="P99" t="b">
        <v>0</v>
      </c>
      <c r="Q99">
        <f t="shared" si="125"/>
        <v>4</v>
      </c>
      <c r="R99">
        <f t="shared" si="126"/>
        <v>2</v>
      </c>
      <c r="S99" t="e">
        <f t="shared" ca="1" si="156"/>
        <v>#NAME?</v>
      </c>
      <c r="T99" t="e">
        <f t="shared" ca="1" si="127"/>
        <v>#NAME?</v>
      </c>
      <c r="U99" s="4">
        <f t="shared" si="128"/>
        <v>166.05466435185372</v>
      </c>
      <c r="V99" s="4">
        <f t="shared" si="129"/>
        <v>5.535155478395124</v>
      </c>
      <c r="W99" s="4">
        <f t="shared" si="130"/>
        <v>1</v>
      </c>
      <c r="X99" s="4">
        <f t="shared" si="131"/>
        <v>0</v>
      </c>
      <c r="Y99" s="4">
        <f t="shared" si="132"/>
        <v>0</v>
      </c>
      <c r="Z99" s="4">
        <f t="shared" si="133"/>
        <v>0</v>
      </c>
      <c r="AA99" s="4">
        <f t="shared" si="134"/>
        <v>0</v>
      </c>
      <c r="AB99" s="4">
        <f t="shared" si="135"/>
        <v>0</v>
      </c>
      <c r="AC99" s="4"/>
      <c r="AD99" s="4" t="b">
        <f t="shared" si="136"/>
        <v>0</v>
      </c>
      <c r="AE99" s="4" t="b">
        <f t="shared" si="137"/>
        <v>0</v>
      </c>
      <c r="AF99" s="4" t="b">
        <f t="shared" si="138"/>
        <v>0</v>
      </c>
      <c r="AG99" t="b">
        <f t="shared" si="139"/>
        <v>0</v>
      </c>
      <c r="AH99" t="b">
        <f t="shared" si="140"/>
        <v>0</v>
      </c>
      <c r="AI99" t="b">
        <f t="shared" si="141"/>
        <v>0</v>
      </c>
      <c r="AJ99" t="b">
        <f t="shared" si="142"/>
        <v>0</v>
      </c>
      <c r="AK99" t="b">
        <f t="shared" si="143"/>
        <v>0</v>
      </c>
      <c r="AL99" t="b">
        <f t="shared" si="144"/>
        <v>0</v>
      </c>
      <c r="AM99" t="b">
        <f t="shared" si="145"/>
        <v>0</v>
      </c>
      <c r="AN99" t="b">
        <f t="shared" si="146"/>
        <v>0</v>
      </c>
      <c r="AO99" t="b">
        <f t="shared" si="147"/>
        <v>0</v>
      </c>
      <c r="AP99" t="b">
        <f t="shared" si="148"/>
        <v>0</v>
      </c>
      <c r="AQ99" t="b">
        <f t="shared" si="149"/>
        <v>0</v>
      </c>
      <c r="AR99" t="b">
        <f t="shared" si="150"/>
        <v>0</v>
      </c>
      <c r="AS99" t="b">
        <f t="shared" si="151"/>
        <v>0</v>
      </c>
      <c r="AT99" t="b">
        <f t="shared" si="152"/>
        <v>0</v>
      </c>
      <c r="AU99" t="b">
        <f t="shared" si="153"/>
        <v>0</v>
      </c>
      <c r="AV99" t="b">
        <f t="shared" si="154"/>
        <v>0</v>
      </c>
      <c r="AW99" t="b">
        <f t="shared" si="155"/>
        <v>0</v>
      </c>
      <c r="AX99" t="b">
        <f t="shared" si="157"/>
        <v>0</v>
      </c>
      <c r="AY99" t="b">
        <f t="shared" si="158"/>
        <v>0</v>
      </c>
      <c r="AZ99" t="b">
        <f t="shared" si="159"/>
        <v>0</v>
      </c>
      <c r="BA99" t="b">
        <f t="shared" si="160"/>
        <v>0</v>
      </c>
      <c r="BB99" t="b">
        <f t="shared" si="161"/>
        <v>0</v>
      </c>
      <c r="BC99" t="b">
        <f t="shared" si="162"/>
        <v>0</v>
      </c>
      <c r="BD99" t="b">
        <f t="shared" si="163"/>
        <v>0</v>
      </c>
      <c r="BE99" t="b">
        <f t="shared" si="164"/>
        <v>0</v>
      </c>
      <c r="BF99" t="b">
        <f t="shared" si="165"/>
        <v>0</v>
      </c>
      <c r="BG99" t="b">
        <f t="shared" si="166"/>
        <v>0</v>
      </c>
      <c r="BH99" t="b">
        <f t="shared" si="167"/>
        <v>0</v>
      </c>
      <c r="BI99">
        <f t="shared" si="168"/>
        <v>1</v>
      </c>
      <c r="BJ99" t="b">
        <f t="shared" si="169"/>
        <v>0</v>
      </c>
      <c r="BK99" t="b">
        <f t="shared" si="170"/>
        <v>0</v>
      </c>
      <c r="BL99" t="b">
        <f t="shared" si="171"/>
        <v>0</v>
      </c>
      <c r="BM99" t="b">
        <f t="shared" si="172"/>
        <v>0</v>
      </c>
      <c r="BN99" t="b">
        <f t="shared" si="173"/>
        <v>0</v>
      </c>
      <c r="BO99" t="b">
        <f t="shared" si="174"/>
        <v>0</v>
      </c>
      <c r="BP99" t="b">
        <f t="shared" si="175"/>
        <v>0</v>
      </c>
      <c r="BQ99" t="b">
        <f t="shared" si="176"/>
        <v>0</v>
      </c>
      <c r="BR99" t="b">
        <f t="shared" si="177"/>
        <v>0</v>
      </c>
      <c r="BS99" t="b">
        <f t="shared" si="178"/>
        <v>0</v>
      </c>
      <c r="BT99" t="b">
        <f t="shared" si="179"/>
        <v>0</v>
      </c>
      <c r="BU99" t="b">
        <f t="shared" si="180"/>
        <v>0</v>
      </c>
      <c r="BV99" t="b">
        <f t="shared" si="181"/>
        <v>0</v>
      </c>
      <c r="BW99" t="b">
        <f t="shared" si="182"/>
        <v>0</v>
      </c>
      <c r="BX99" t="b">
        <f t="shared" si="183"/>
        <v>0</v>
      </c>
      <c r="BY99" t="b">
        <f t="shared" si="184"/>
        <v>0</v>
      </c>
      <c r="BZ99" t="b">
        <f t="shared" si="185"/>
        <v>0</v>
      </c>
      <c r="CA99" t="b">
        <f t="shared" si="186"/>
        <v>0</v>
      </c>
      <c r="CB99" t="b">
        <f t="shared" si="187"/>
        <v>0</v>
      </c>
      <c r="CC99" t="b">
        <f t="shared" si="188"/>
        <v>0</v>
      </c>
      <c r="CD99" t="b">
        <f t="shared" si="189"/>
        <v>0</v>
      </c>
      <c r="CE99" t="b">
        <f t="shared" si="190"/>
        <v>0</v>
      </c>
      <c r="CF99" t="b">
        <f t="shared" si="191"/>
        <v>0</v>
      </c>
      <c r="CG99" t="b">
        <f t="shared" si="192"/>
        <v>0</v>
      </c>
      <c r="CH99" t="b">
        <f t="shared" si="193"/>
        <v>0</v>
      </c>
      <c r="CI99" t="b">
        <f t="shared" si="194"/>
        <v>0</v>
      </c>
      <c r="CJ99" t="b">
        <f t="shared" si="195"/>
        <v>0</v>
      </c>
      <c r="CK99" t="b">
        <f t="shared" si="196"/>
        <v>0</v>
      </c>
      <c r="CL99" t="b">
        <f t="shared" si="197"/>
        <v>0</v>
      </c>
      <c r="CM99">
        <f t="shared" si="198"/>
        <v>1</v>
      </c>
      <c r="CN99" t="b">
        <f t="shared" si="199"/>
        <v>0</v>
      </c>
      <c r="CO99" t="b">
        <f t="shared" si="200"/>
        <v>0</v>
      </c>
      <c r="CP99" t="b">
        <f t="shared" si="201"/>
        <v>0</v>
      </c>
      <c r="CQ99" t="b">
        <f t="shared" si="202"/>
        <v>0</v>
      </c>
      <c r="CR99" t="b">
        <f t="shared" si="203"/>
        <v>0</v>
      </c>
      <c r="CS99" t="b">
        <f t="shared" si="204"/>
        <v>0</v>
      </c>
      <c r="CT99" t="b">
        <f t="shared" si="205"/>
        <v>0</v>
      </c>
      <c r="CU99" t="b">
        <f t="shared" si="206"/>
        <v>0</v>
      </c>
      <c r="CV99">
        <f t="shared" si="207"/>
        <v>1</v>
      </c>
      <c r="CW99" t="b">
        <f t="shared" si="208"/>
        <v>0</v>
      </c>
      <c r="CX99" t="b">
        <f t="shared" si="209"/>
        <v>0</v>
      </c>
      <c r="CY99" t="b">
        <f t="shared" si="210"/>
        <v>0</v>
      </c>
      <c r="CZ99" t="b">
        <f t="shared" si="211"/>
        <v>0</v>
      </c>
      <c r="DA99">
        <f t="shared" si="212"/>
        <v>1</v>
      </c>
      <c r="DB99">
        <f t="shared" si="213"/>
        <v>1</v>
      </c>
      <c r="DC99" t="b">
        <f t="shared" si="214"/>
        <v>0</v>
      </c>
      <c r="DD99" t="b">
        <f t="shared" si="215"/>
        <v>0</v>
      </c>
      <c r="DE99" t="b">
        <f t="shared" si="216"/>
        <v>0</v>
      </c>
      <c r="DF99" t="b">
        <f t="shared" si="217"/>
        <v>0</v>
      </c>
      <c r="DG99" t="b">
        <f t="shared" si="218"/>
        <v>0</v>
      </c>
      <c r="DH99" t="b">
        <f t="shared" si="219"/>
        <v>0</v>
      </c>
      <c r="DI99" t="b">
        <f t="shared" si="220"/>
        <v>0</v>
      </c>
      <c r="DJ99" t="b">
        <f t="shared" si="221"/>
        <v>0</v>
      </c>
      <c r="DK99" t="b">
        <f t="shared" si="222"/>
        <v>0</v>
      </c>
      <c r="DL99" t="b">
        <f t="shared" si="223"/>
        <v>0</v>
      </c>
      <c r="DM99" t="b">
        <f t="shared" si="224"/>
        <v>0</v>
      </c>
      <c r="DN99" t="b">
        <f t="shared" si="225"/>
        <v>0</v>
      </c>
      <c r="DO99" t="b">
        <f t="shared" si="226"/>
        <v>0</v>
      </c>
      <c r="DP99" t="b">
        <f t="shared" si="227"/>
        <v>0</v>
      </c>
      <c r="DQ99" t="b">
        <f t="shared" si="228"/>
        <v>0</v>
      </c>
      <c r="DR99" t="b">
        <f t="shared" si="229"/>
        <v>0</v>
      </c>
      <c r="DS99" t="b">
        <f t="shared" si="230"/>
        <v>0</v>
      </c>
      <c r="DT99" t="b">
        <f t="shared" si="231"/>
        <v>0</v>
      </c>
      <c r="DU99" t="b">
        <f t="shared" si="232"/>
        <v>0</v>
      </c>
      <c r="DV99" t="b">
        <f t="shared" si="233"/>
        <v>0</v>
      </c>
      <c r="DW99" t="b">
        <f t="shared" si="234"/>
        <v>0</v>
      </c>
      <c r="DX99" t="b">
        <f t="shared" si="235"/>
        <v>0</v>
      </c>
      <c r="DY99" t="b">
        <f t="shared" si="236"/>
        <v>0</v>
      </c>
      <c r="DZ99" t="b">
        <f t="shared" si="237"/>
        <v>0</v>
      </c>
      <c r="EA99" t="b">
        <f t="shared" si="238"/>
        <v>0</v>
      </c>
      <c r="EB99" t="b">
        <f t="shared" si="239"/>
        <v>0</v>
      </c>
      <c r="EC99" t="b">
        <f t="shared" si="240"/>
        <v>0</v>
      </c>
      <c r="ED99" t="b">
        <f t="shared" si="241"/>
        <v>0</v>
      </c>
      <c r="EE99" t="b">
        <f t="shared" si="242"/>
        <v>0</v>
      </c>
      <c r="EF99" t="b">
        <f t="shared" si="243"/>
        <v>0</v>
      </c>
      <c r="EG99" t="b">
        <f t="shared" si="244"/>
        <v>0</v>
      </c>
      <c r="EH99" t="b">
        <f t="shared" si="245"/>
        <v>0</v>
      </c>
      <c r="EI99" t="b">
        <f t="shared" si="246"/>
        <v>0</v>
      </c>
      <c r="EJ99" t="b">
        <f t="shared" si="247"/>
        <v>0</v>
      </c>
      <c r="EK99" t="b">
        <f t="shared" si="248"/>
        <v>0</v>
      </c>
    </row>
    <row r="100" spans="1:141">
      <c r="A100" t="s">
        <v>627</v>
      </c>
      <c r="B100" t="s">
        <v>628</v>
      </c>
      <c r="C100" t="s">
        <v>629</v>
      </c>
      <c r="D100" s="1">
        <v>41675</v>
      </c>
      <c r="E100" s="2">
        <v>41791.330138888887</v>
      </c>
      <c r="F100" s="2">
        <v>41791.330138888887</v>
      </c>
      <c r="G100">
        <v>227746</v>
      </c>
      <c r="H100" t="s">
        <v>630</v>
      </c>
      <c r="I100" s="10" t="s">
        <v>631</v>
      </c>
      <c r="J100" t="s">
        <v>632</v>
      </c>
      <c r="K100" s="8" t="b">
        <v>1</v>
      </c>
      <c r="L100" s="10" t="b">
        <v>0</v>
      </c>
      <c r="M100" s="12" t="b">
        <v>0</v>
      </c>
      <c r="N100" t="b">
        <v>0</v>
      </c>
      <c r="O100" t="b">
        <v>0</v>
      </c>
      <c r="P100" t="b">
        <v>0</v>
      </c>
      <c r="Q100">
        <f t="shared" si="125"/>
        <v>4</v>
      </c>
      <c r="R100">
        <f t="shared" si="126"/>
        <v>2</v>
      </c>
      <c r="S100" t="e">
        <f t="shared" ca="1" si="156"/>
        <v>#NAME?</v>
      </c>
      <c r="T100" t="e">
        <f t="shared" ca="1" si="127"/>
        <v>#NAME?</v>
      </c>
      <c r="U100" s="4">
        <f t="shared" si="128"/>
        <v>116.33013888888672</v>
      </c>
      <c r="V100" s="4">
        <f t="shared" si="129"/>
        <v>3.8776712962962239</v>
      </c>
      <c r="W100" s="4">
        <f t="shared" si="130"/>
        <v>1</v>
      </c>
      <c r="X100" s="4">
        <f t="shared" si="131"/>
        <v>0</v>
      </c>
      <c r="Y100" s="4">
        <f t="shared" si="132"/>
        <v>0</v>
      </c>
      <c r="Z100" s="4">
        <f t="shared" si="133"/>
        <v>0</v>
      </c>
      <c r="AA100" s="4">
        <f t="shared" si="134"/>
        <v>0</v>
      </c>
      <c r="AB100" s="4">
        <f t="shared" si="135"/>
        <v>0</v>
      </c>
      <c r="AC100" s="4"/>
      <c r="AD100" s="4" t="b">
        <f t="shared" si="136"/>
        <v>0</v>
      </c>
      <c r="AE100" s="4" t="b">
        <f t="shared" si="137"/>
        <v>0</v>
      </c>
      <c r="AF100" s="4" t="b">
        <f t="shared" si="138"/>
        <v>0</v>
      </c>
      <c r="AG100" t="b">
        <f t="shared" si="139"/>
        <v>0</v>
      </c>
      <c r="AH100" t="b">
        <f t="shared" si="140"/>
        <v>0</v>
      </c>
      <c r="AI100" t="b">
        <f t="shared" si="141"/>
        <v>0</v>
      </c>
      <c r="AJ100" t="b">
        <f t="shared" si="142"/>
        <v>0</v>
      </c>
      <c r="AK100" t="b">
        <f t="shared" si="143"/>
        <v>0</v>
      </c>
      <c r="AL100" t="b">
        <f t="shared" si="144"/>
        <v>0</v>
      </c>
      <c r="AM100" t="b">
        <f t="shared" si="145"/>
        <v>0</v>
      </c>
      <c r="AN100" t="b">
        <f t="shared" si="146"/>
        <v>0</v>
      </c>
      <c r="AO100" t="b">
        <f t="shared" si="147"/>
        <v>0</v>
      </c>
      <c r="AP100" t="b">
        <f t="shared" si="148"/>
        <v>0</v>
      </c>
      <c r="AQ100" t="b">
        <f t="shared" si="149"/>
        <v>0</v>
      </c>
      <c r="AR100" t="b">
        <f t="shared" si="150"/>
        <v>0</v>
      </c>
      <c r="AS100" t="b">
        <f t="shared" si="151"/>
        <v>0</v>
      </c>
      <c r="AT100" t="b">
        <f t="shared" si="152"/>
        <v>0</v>
      </c>
      <c r="AU100" t="b">
        <f t="shared" si="153"/>
        <v>0</v>
      </c>
      <c r="AV100" t="b">
        <f t="shared" si="154"/>
        <v>0</v>
      </c>
      <c r="AW100" t="b">
        <f t="shared" si="155"/>
        <v>0</v>
      </c>
      <c r="AX100" t="b">
        <f t="shared" si="157"/>
        <v>0</v>
      </c>
      <c r="AY100" t="b">
        <f t="shared" si="158"/>
        <v>0</v>
      </c>
      <c r="AZ100">
        <f t="shared" si="159"/>
        <v>1</v>
      </c>
      <c r="BA100" t="b">
        <f t="shared" si="160"/>
        <v>0</v>
      </c>
      <c r="BB100" t="b">
        <f t="shared" si="161"/>
        <v>0</v>
      </c>
      <c r="BC100" t="b">
        <f t="shared" si="162"/>
        <v>0</v>
      </c>
      <c r="BD100" t="b">
        <f t="shared" si="163"/>
        <v>0</v>
      </c>
      <c r="BE100" t="b">
        <f t="shared" si="164"/>
        <v>0</v>
      </c>
      <c r="BF100" t="b">
        <f t="shared" si="165"/>
        <v>0</v>
      </c>
      <c r="BG100" t="b">
        <f t="shared" si="166"/>
        <v>0</v>
      </c>
      <c r="BH100" t="b">
        <f t="shared" si="167"/>
        <v>0</v>
      </c>
      <c r="BI100">
        <f t="shared" si="168"/>
        <v>1</v>
      </c>
      <c r="BJ100" t="b">
        <f t="shared" si="169"/>
        <v>0</v>
      </c>
      <c r="BK100" t="b">
        <f t="shared" si="170"/>
        <v>0</v>
      </c>
      <c r="BL100" t="b">
        <f t="shared" si="171"/>
        <v>0</v>
      </c>
      <c r="BM100" t="b">
        <f t="shared" si="172"/>
        <v>0</v>
      </c>
      <c r="BN100" t="b">
        <f t="shared" si="173"/>
        <v>0</v>
      </c>
      <c r="BO100" t="b">
        <f t="shared" si="174"/>
        <v>0</v>
      </c>
      <c r="BP100" t="b">
        <f t="shared" si="175"/>
        <v>0</v>
      </c>
      <c r="BQ100" t="b">
        <f t="shared" si="176"/>
        <v>0</v>
      </c>
      <c r="BR100" t="b">
        <f t="shared" si="177"/>
        <v>0</v>
      </c>
      <c r="BS100">
        <f t="shared" si="178"/>
        <v>1</v>
      </c>
      <c r="BT100" t="b">
        <f t="shared" si="179"/>
        <v>0</v>
      </c>
      <c r="BU100" t="b">
        <f t="shared" si="180"/>
        <v>0</v>
      </c>
      <c r="BV100">
        <f t="shared" si="181"/>
        <v>1</v>
      </c>
      <c r="BW100" t="b">
        <f t="shared" si="182"/>
        <v>0</v>
      </c>
      <c r="BX100" t="b">
        <f t="shared" si="183"/>
        <v>0</v>
      </c>
      <c r="BY100" t="b">
        <f t="shared" si="184"/>
        <v>0</v>
      </c>
      <c r="BZ100" t="b">
        <f t="shared" si="185"/>
        <v>0</v>
      </c>
      <c r="CA100" t="b">
        <f t="shared" si="186"/>
        <v>0</v>
      </c>
      <c r="CB100" t="b">
        <f t="shared" si="187"/>
        <v>0</v>
      </c>
      <c r="CC100" t="b">
        <f t="shared" si="188"/>
        <v>0</v>
      </c>
      <c r="CD100">
        <f t="shared" si="189"/>
        <v>1</v>
      </c>
      <c r="CE100">
        <f t="shared" si="190"/>
        <v>1</v>
      </c>
      <c r="CF100" t="b">
        <f t="shared" si="191"/>
        <v>0</v>
      </c>
      <c r="CG100" t="b">
        <f t="shared" si="192"/>
        <v>0</v>
      </c>
      <c r="CH100" t="b">
        <f t="shared" si="193"/>
        <v>0</v>
      </c>
      <c r="CI100" t="b">
        <f t="shared" si="194"/>
        <v>0</v>
      </c>
      <c r="CJ100" t="b">
        <f t="shared" si="195"/>
        <v>0</v>
      </c>
      <c r="CK100" t="b">
        <f t="shared" si="196"/>
        <v>0</v>
      </c>
      <c r="CL100" t="b">
        <f t="shared" si="197"/>
        <v>0</v>
      </c>
      <c r="CM100" t="b">
        <f t="shared" si="198"/>
        <v>0</v>
      </c>
      <c r="CN100" t="b">
        <f t="shared" si="199"/>
        <v>0</v>
      </c>
      <c r="CO100" t="b">
        <f t="shared" si="200"/>
        <v>0</v>
      </c>
      <c r="CP100" t="b">
        <f t="shared" si="201"/>
        <v>0</v>
      </c>
      <c r="CQ100" t="b">
        <f t="shared" si="202"/>
        <v>0</v>
      </c>
      <c r="CR100" t="b">
        <f t="shared" si="203"/>
        <v>0</v>
      </c>
      <c r="CS100" t="b">
        <f t="shared" si="204"/>
        <v>0</v>
      </c>
      <c r="CT100" t="b">
        <f t="shared" si="205"/>
        <v>0</v>
      </c>
      <c r="CU100" t="b">
        <f t="shared" si="206"/>
        <v>0</v>
      </c>
      <c r="CV100">
        <f t="shared" si="207"/>
        <v>1</v>
      </c>
      <c r="CW100" t="b">
        <f t="shared" si="208"/>
        <v>0</v>
      </c>
      <c r="CX100" t="b">
        <f t="shared" si="209"/>
        <v>0</v>
      </c>
      <c r="CY100" t="b">
        <f t="shared" si="210"/>
        <v>0</v>
      </c>
      <c r="CZ100" t="b">
        <f t="shared" si="211"/>
        <v>0</v>
      </c>
      <c r="DA100" t="b">
        <f t="shared" si="212"/>
        <v>0</v>
      </c>
      <c r="DB100" t="b">
        <f t="shared" si="213"/>
        <v>0</v>
      </c>
      <c r="DC100" t="b">
        <f t="shared" si="214"/>
        <v>0</v>
      </c>
      <c r="DD100" t="b">
        <f t="shared" si="215"/>
        <v>0</v>
      </c>
      <c r="DE100" t="b">
        <f t="shared" si="216"/>
        <v>0</v>
      </c>
      <c r="DF100" t="b">
        <f t="shared" si="217"/>
        <v>0</v>
      </c>
      <c r="DG100">
        <f t="shared" si="218"/>
        <v>1</v>
      </c>
      <c r="DH100" t="b">
        <f t="shared" si="219"/>
        <v>0</v>
      </c>
      <c r="DI100" t="b">
        <f t="shared" si="220"/>
        <v>0</v>
      </c>
      <c r="DJ100" t="b">
        <f t="shared" si="221"/>
        <v>0</v>
      </c>
      <c r="DK100" t="b">
        <f t="shared" si="222"/>
        <v>0</v>
      </c>
      <c r="DL100" t="b">
        <f t="shared" si="223"/>
        <v>0</v>
      </c>
      <c r="DM100" t="b">
        <f t="shared" si="224"/>
        <v>0</v>
      </c>
      <c r="DN100" t="b">
        <f t="shared" si="225"/>
        <v>0</v>
      </c>
      <c r="DO100" t="b">
        <f t="shared" si="226"/>
        <v>0</v>
      </c>
      <c r="DP100" t="b">
        <f t="shared" si="227"/>
        <v>0</v>
      </c>
      <c r="DQ100" t="b">
        <f t="shared" si="228"/>
        <v>0</v>
      </c>
      <c r="DR100" t="b">
        <f t="shared" si="229"/>
        <v>0</v>
      </c>
      <c r="DS100" t="b">
        <f t="shared" si="230"/>
        <v>0</v>
      </c>
      <c r="DT100" t="b">
        <f t="shared" si="231"/>
        <v>0</v>
      </c>
      <c r="DU100" t="b">
        <f t="shared" si="232"/>
        <v>0</v>
      </c>
      <c r="DV100" t="b">
        <f t="shared" si="233"/>
        <v>0</v>
      </c>
      <c r="DW100" t="b">
        <f t="shared" si="234"/>
        <v>0</v>
      </c>
      <c r="DX100" t="b">
        <f t="shared" si="235"/>
        <v>0</v>
      </c>
      <c r="DY100" t="b">
        <f t="shared" si="236"/>
        <v>0</v>
      </c>
      <c r="DZ100" t="b">
        <f t="shared" si="237"/>
        <v>0</v>
      </c>
      <c r="EA100" t="b">
        <f t="shared" si="238"/>
        <v>0</v>
      </c>
      <c r="EB100" t="b">
        <f t="shared" si="239"/>
        <v>0</v>
      </c>
      <c r="EC100" t="b">
        <f t="shared" si="240"/>
        <v>0</v>
      </c>
      <c r="ED100" t="b">
        <f t="shared" si="241"/>
        <v>0</v>
      </c>
      <c r="EE100" t="b">
        <f t="shared" si="242"/>
        <v>0</v>
      </c>
      <c r="EF100">
        <f t="shared" si="243"/>
        <v>1</v>
      </c>
      <c r="EG100" t="b">
        <f t="shared" si="244"/>
        <v>0</v>
      </c>
      <c r="EH100" t="b">
        <f t="shared" si="245"/>
        <v>0</v>
      </c>
      <c r="EI100">
        <f t="shared" si="246"/>
        <v>1</v>
      </c>
      <c r="EJ100" t="b">
        <f t="shared" si="247"/>
        <v>0</v>
      </c>
      <c r="EK100" t="b">
        <f t="shared" si="248"/>
        <v>0</v>
      </c>
    </row>
    <row r="101" spans="1:141">
      <c r="A101" t="s">
        <v>633</v>
      </c>
      <c r="B101" t="s">
        <v>633</v>
      </c>
      <c r="C101" t="s">
        <v>634</v>
      </c>
      <c r="D101" s="1">
        <v>43609</v>
      </c>
      <c r="E101" s="2">
        <v>43686.600011574075</v>
      </c>
      <c r="F101" s="2">
        <v>43686.600011574075</v>
      </c>
      <c r="G101">
        <v>137272116</v>
      </c>
      <c r="H101" t="s">
        <v>635</v>
      </c>
      <c r="I101" s="10" t="s">
        <v>636</v>
      </c>
      <c r="J101" t="s">
        <v>637</v>
      </c>
      <c r="K101" s="8" t="b">
        <v>1</v>
      </c>
      <c r="L101" s="10" t="b">
        <v>0</v>
      </c>
      <c r="M101" s="12" t="b">
        <v>0</v>
      </c>
      <c r="N101" t="b">
        <v>0</v>
      </c>
      <c r="O101" t="b">
        <v>0</v>
      </c>
      <c r="P101" t="b">
        <v>0</v>
      </c>
      <c r="Q101">
        <f t="shared" si="125"/>
        <v>6</v>
      </c>
      <c r="R101">
        <f t="shared" si="126"/>
        <v>5</v>
      </c>
      <c r="S101" t="e">
        <f t="shared" ca="1" si="156"/>
        <v>#NAME?</v>
      </c>
      <c r="T101" t="e">
        <f t="shared" ca="1" si="127"/>
        <v>#NAME?</v>
      </c>
      <c r="U101" s="4">
        <f t="shared" si="128"/>
        <v>77.600011574075324</v>
      </c>
      <c r="V101" s="4">
        <f t="shared" si="129"/>
        <v>2.5866670524691773</v>
      </c>
      <c r="W101" s="4">
        <f t="shared" si="130"/>
        <v>1</v>
      </c>
      <c r="X101" s="4">
        <f t="shared" si="131"/>
        <v>0</v>
      </c>
      <c r="Y101" s="4">
        <f t="shared" si="132"/>
        <v>0</v>
      </c>
      <c r="Z101" s="4">
        <f t="shared" si="133"/>
        <v>0</v>
      </c>
      <c r="AA101" s="4">
        <f t="shared" si="134"/>
        <v>0</v>
      </c>
      <c r="AB101" s="4">
        <f t="shared" si="135"/>
        <v>0</v>
      </c>
      <c r="AC101" s="4"/>
      <c r="AD101" s="4" t="b">
        <f t="shared" si="136"/>
        <v>0</v>
      </c>
      <c r="AE101" s="4" t="b">
        <f t="shared" si="137"/>
        <v>0</v>
      </c>
      <c r="AF101" s="4" t="b">
        <f t="shared" si="138"/>
        <v>0</v>
      </c>
      <c r="AG101" t="b">
        <f t="shared" si="139"/>
        <v>0</v>
      </c>
      <c r="AH101" t="b">
        <f t="shared" si="140"/>
        <v>0</v>
      </c>
      <c r="AI101" t="b">
        <f t="shared" si="141"/>
        <v>0</v>
      </c>
      <c r="AJ101" t="b">
        <f t="shared" si="142"/>
        <v>0</v>
      </c>
      <c r="AK101" t="b">
        <f t="shared" si="143"/>
        <v>0</v>
      </c>
      <c r="AL101" t="b">
        <f t="shared" si="144"/>
        <v>0</v>
      </c>
      <c r="AM101" t="b">
        <f t="shared" si="145"/>
        <v>0</v>
      </c>
      <c r="AN101" t="b">
        <f t="shared" si="146"/>
        <v>0</v>
      </c>
      <c r="AO101" t="b">
        <f t="shared" si="147"/>
        <v>0</v>
      </c>
      <c r="AP101" t="b">
        <f t="shared" si="148"/>
        <v>0</v>
      </c>
      <c r="AQ101" t="b">
        <f t="shared" si="149"/>
        <v>0</v>
      </c>
      <c r="AR101" t="b">
        <f t="shared" si="150"/>
        <v>0</v>
      </c>
      <c r="AS101" t="b">
        <f t="shared" si="151"/>
        <v>0</v>
      </c>
      <c r="AT101" t="b">
        <f t="shared" si="152"/>
        <v>0</v>
      </c>
      <c r="AU101" t="b">
        <f t="shared" si="153"/>
        <v>0</v>
      </c>
      <c r="AV101" t="b">
        <f t="shared" si="154"/>
        <v>0</v>
      </c>
      <c r="AW101" t="b">
        <f t="shared" si="155"/>
        <v>0</v>
      </c>
      <c r="AX101" t="b">
        <f t="shared" si="157"/>
        <v>0</v>
      </c>
      <c r="AY101" t="b">
        <f t="shared" si="158"/>
        <v>0</v>
      </c>
      <c r="AZ101" t="b">
        <f t="shared" si="159"/>
        <v>0</v>
      </c>
      <c r="BA101" t="b">
        <f t="shared" si="160"/>
        <v>0</v>
      </c>
      <c r="BB101" t="b">
        <f t="shared" si="161"/>
        <v>0</v>
      </c>
      <c r="BC101" t="b">
        <f t="shared" si="162"/>
        <v>0</v>
      </c>
      <c r="BD101" t="b">
        <f t="shared" si="163"/>
        <v>0</v>
      </c>
      <c r="BE101" t="b">
        <f t="shared" si="164"/>
        <v>0</v>
      </c>
      <c r="BF101" t="b">
        <f t="shared" si="165"/>
        <v>0</v>
      </c>
      <c r="BG101" t="b">
        <f t="shared" si="166"/>
        <v>0</v>
      </c>
      <c r="BH101" t="b">
        <f t="shared" si="167"/>
        <v>0</v>
      </c>
      <c r="BI101">
        <f t="shared" si="168"/>
        <v>1</v>
      </c>
      <c r="BJ101" t="b">
        <f t="shared" si="169"/>
        <v>0</v>
      </c>
      <c r="BK101" t="b">
        <f t="shared" si="170"/>
        <v>0</v>
      </c>
      <c r="BL101" t="b">
        <f t="shared" si="171"/>
        <v>0</v>
      </c>
      <c r="BM101" t="b">
        <f t="shared" si="172"/>
        <v>0</v>
      </c>
      <c r="BN101" t="b">
        <f t="shared" si="173"/>
        <v>0</v>
      </c>
      <c r="BO101" t="b">
        <f t="shared" si="174"/>
        <v>0</v>
      </c>
      <c r="BP101" t="b">
        <f t="shared" si="175"/>
        <v>0</v>
      </c>
      <c r="BQ101" t="b">
        <f t="shared" si="176"/>
        <v>0</v>
      </c>
      <c r="BR101" t="b">
        <f t="shared" si="177"/>
        <v>0</v>
      </c>
      <c r="BS101">
        <f t="shared" si="178"/>
        <v>1</v>
      </c>
      <c r="BT101" t="b">
        <f t="shared" si="179"/>
        <v>0</v>
      </c>
      <c r="BU101" t="b">
        <f t="shared" si="180"/>
        <v>0</v>
      </c>
      <c r="BV101" t="b">
        <f t="shared" si="181"/>
        <v>0</v>
      </c>
      <c r="BW101" t="b">
        <f t="shared" si="182"/>
        <v>0</v>
      </c>
      <c r="BX101" t="b">
        <f t="shared" si="183"/>
        <v>0</v>
      </c>
      <c r="BY101" t="b">
        <f t="shared" si="184"/>
        <v>0</v>
      </c>
      <c r="BZ101" t="b">
        <f t="shared" si="185"/>
        <v>0</v>
      </c>
      <c r="CA101" t="b">
        <f t="shared" si="186"/>
        <v>0</v>
      </c>
      <c r="CB101" t="b">
        <f t="shared" si="187"/>
        <v>0</v>
      </c>
      <c r="CC101" t="b">
        <f t="shared" si="188"/>
        <v>0</v>
      </c>
      <c r="CD101" t="b">
        <f t="shared" si="189"/>
        <v>0</v>
      </c>
      <c r="CE101" t="b">
        <f t="shared" si="190"/>
        <v>0</v>
      </c>
      <c r="CF101" t="b">
        <f t="shared" si="191"/>
        <v>0</v>
      </c>
      <c r="CG101" t="b">
        <f t="shared" si="192"/>
        <v>0</v>
      </c>
      <c r="CH101" t="b">
        <f t="shared" si="193"/>
        <v>0</v>
      </c>
      <c r="CI101" t="b">
        <f t="shared" si="194"/>
        <v>0</v>
      </c>
      <c r="CJ101" t="b">
        <f t="shared" si="195"/>
        <v>0</v>
      </c>
      <c r="CK101" t="b">
        <f t="shared" si="196"/>
        <v>0</v>
      </c>
      <c r="CL101" t="b">
        <f t="shared" si="197"/>
        <v>0</v>
      </c>
      <c r="CM101">
        <f t="shared" si="198"/>
        <v>1</v>
      </c>
      <c r="CN101" t="b">
        <f t="shared" si="199"/>
        <v>0</v>
      </c>
      <c r="CO101" t="b">
        <f t="shared" si="200"/>
        <v>0</v>
      </c>
      <c r="CP101" t="b">
        <f t="shared" si="201"/>
        <v>0</v>
      </c>
      <c r="CQ101" t="b">
        <f t="shared" si="202"/>
        <v>0</v>
      </c>
      <c r="CR101" t="b">
        <f t="shared" si="203"/>
        <v>0</v>
      </c>
      <c r="CS101" t="b">
        <f t="shared" si="204"/>
        <v>0</v>
      </c>
      <c r="CT101" t="b">
        <f t="shared" si="205"/>
        <v>0</v>
      </c>
      <c r="CU101" t="b">
        <f t="shared" si="206"/>
        <v>0</v>
      </c>
      <c r="CV101">
        <f t="shared" si="207"/>
        <v>1</v>
      </c>
      <c r="CW101" t="b">
        <f t="shared" si="208"/>
        <v>0</v>
      </c>
      <c r="CX101" t="b">
        <f t="shared" si="209"/>
        <v>0</v>
      </c>
      <c r="CY101" t="b">
        <f t="shared" si="210"/>
        <v>0</v>
      </c>
      <c r="CZ101" t="b">
        <f t="shared" si="211"/>
        <v>0</v>
      </c>
      <c r="DA101" t="b">
        <f t="shared" si="212"/>
        <v>0</v>
      </c>
      <c r="DB101" t="b">
        <f t="shared" si="213"/>
        <v>0</v>
      </c>
      <c r="DC101" t="b">
        <f t="shared" si="214"/>
        <v>0</v>
      </c>
      <c r="DD101" t="b">
        <f t="shared" si="215"/>
        <v>0</v>
      </c>
      <c r="DE101" t="b">
        <f t="shared" si="216"/>
        <v>0</v>
      </c>
      <c r="DF101" t="b">
        <f t="shared" si="217"/>
        <v>0</v>
      </c>
      <c r="DG101" t="b">
        <f t="shared" si="218"/>
        <v>0</v>
      </c>
      <c r="DH101" t="b">
        <f t="shared" si="219"/>
        <v>0</v>
      </c>
      <c r="DI101" t="b">
        <f t="shared" si="220"/>
        <v>0</v>
      </c>
      <c r="DJ101" t="b">
        <f t="shared" si="221"/>
        <v>0</v>
      </c>
      <c r="DK101" t="b">
        <f t="shared" si="222"/>
        <v>0</v>
      </c>
      <c r="DL101" t="b">
        <f t="shared" si="223"/>
        <v>0</v>
      </c>
      <c r="DM101" t="b">
        <f t="shared" si="224"/>
        <v>0</v>
      </c>
      <c r="DN101" t="b">
        <f t="shared" si="225"/>
        <v>0</v>
      </c>
      <c r="DO101" t="b">
        <f t="shared" si="226"/>
        <v>0</v>
      </c>
      <c r="DP101" t="b">
        <f t="shared" si="227"/>
        <v>0</v>
      </c>
      <c r="DQ101" t="b">
        <f t="shared" si="228"/>
        <v>0</v>
      </c>
      <c r="DR101" t="b">
        <f t="shared" si="229"/>
        <v>0</v>
      </c>
      <c r="DS101" t="b">
        <f t="shared" si="230"/>
        <v>0</v>
      </c>
      <c r="DT101" t="b">
        <f t="shared" si="231"/>
        <v>0</v>
      </c>
      <c r="DU101" t="b">
        <f t="shared" si="232"/>
        <v>0</v>
      </c>
      <c r="DV101" t="b">
        <f t="shared" si="233"/>
        <v>0</v>
      </c>
      <c r="DW101" t="b">
        <f t="shared" si="234"/>
        <v>0</v>
      </c>
      <c r="DX101" t="b">
        <f t="shared" si="235"/>
        <v>0</v>
      </c>
      <c r="DY101" t="b">
        <f t="shared" si="236"/>
        <v>0</v>
      </c>
      <c r="DZ101" t="b">
        <f t="shared" si="237"/>
        <v>0</v>
      </c>
      <c r="EA101" t="b">
        <f t="shared" si="238"/>
        <v>0</v>
      </c>
      <c r="EB101" t="b">
        <f t="shared" si="239"/>
        <v>0</v>
      </c>
      <c r="EC101" t="b">
        <f t="shared" si="240"/>
        <v>0</v>
      </c>
      <c r="ED101" t="b">
        <f t="shared" si="241"/>
        <v>0</v>
      </c>
      <c r="EE101" t="b">
        <f t="shared" si="242"/>
        <v>0</v>
      </c>
      <c r="EF101">
        <f t="shared" si="243"/>
        <v>1</v>
      </c>
      <c r="EG101" t="b">
        <f t="shared" si="244"/>
        <v>0</v>
      </c>
      <c r="EH101" t="b">
        <f t="shared" si="245"/>
        <v>0</v>
      </c>
      <c r="EI101" t="b">
        <f t="shared" si="246"/>
        <v>0</v>
      </c>
      <c r="EJ101" t="b">
        <f t="shared" si="247"/>
        <v>0</v>
      </c>
      <c r="EK101" t="b">
        <f t="shared" si="248"/>
        <v>0</v>
      </c>
    </row>
    <row r="102" spans="1:141">
      <c r="A102" t="s">
        <v>638</v>
      </c>
      <c r="B102" t="s">
        <v>639</v>
      </c>
      <c r="C102" t="s">
        <v>640</v>
      </c>
      <c r="D102" s="1">
        <v>44177</v>
      </c>
      <c r="E102" s="2">
        <v>44746.344861111109</v>
      </c>
      <c r="F102" s="2">
        <v>44746.344861111109</v>
      </c>
      <c r="G102">
        <v>263829</v>
      </c>
      <c r="H102" t="s">
        <v>641</v>
      </c>
      <c r="I102" s="10" t="s">
        <v>642</v>
      </c>
      <c r="J102" t="s">
        <v>415</v>
      </c>
      <c r="K102" s="8" t="b">
        <v>1</v>
      </c>
      <c r="L102" s="10" t="b">
        <v>0</v>
      </c>
      <c r="M102" s="12" t="b">
        <v>0</v>
      </c>
      <c r="N102" t="b">
        <v>0</v>
      </c>
      <c r="O102" t="b">
        <v>0</v>
      </c>
      <c r="P102" t="b">
        <v>0</v>
      </c>
      <c r="Q102">
        <f t="shared" si="125"/>
        <v>7</v>
      </c>
      <c r="R102">
        <f t="shared" si="126"/>
        <v>12</v>
      </c>
      <c r="S102" t="e">
        <f t="shared" ca="1" si="156"/>
        <v>#NAME?</v>
      </c>
      <c r="T102" t="e">
        <f t="shared" ca="1" si="127"/>
        <v>#NAME?</v>
      </c>
      <c r="U102" s="4">
        <f t="shared" si="128"/>
        <v>569.34486111110891</v>
      </c>
      <c r="V102" s="4">
        <f t="shared" si="129"/>
        <v>18.978162037036963</v>
      </c>
      <c r="W102" s="4">
        <f t="shared" si="130"/>
        <v>1</v>
      </c>
      <c r="X102" s="4">
        <f t="shared" si="131"/>
        <v>0</v>
      </c>
      <c r="Y102" s="4">
        <f t="shared" si="132"/>
        <v>0</v>
      </c>
      <c r="Z102" s="4">
        <f t="shared" si="133"/>
        <v>0</v>
      </c>
      <c r="AA102" s="4">
        <f t="shared" si="134"/>
        <v>0</v>
      </c>
      <c r="AB102" s="4">
        <f t="shared" si="135"/>
        <v>0</v>
      </c>
      <c r="AC102" s="4"/>
      <c r="AD102" s="4" t="b">
        <f t="shared" si="136"/>
        <v>0</v>
      </c>
      <c r="AE102" s="4" t="b">
        <f t="shared" si="137"/>
        <v>0</v>
      </c>
      <c r="AF102" s="4" t="b">
        <f t="shared" si="138"/>
        <v>0</v>
      </c>
      <c r="AG102" t="b">
        <f t="shared" si="139"/>
        <v>0</v>
      </c>
      <c r="AH102" t="b">
        <f t="shared" si="140"/>
        <v>0</v>
      </c>
      <c r="AI102" t="b">
        <f t="shared" si="141"/>
        <v>0</v>
      </c>
      <c r="AJ102" t="b">
        <f t="shared" si="142"/>
        <v>0</v>
      </c>
      <c r="AK102" t="b">
        <f t="shared" si="143"/>
        <v>0</v>
      </c>
      <c r="AL102" t="b">
        <f t="shared" si="144"/>
        <v>0</v>
      </c>
      <c r="AM102" t="b">
        <f t="shared" si="145"/>
        <v>0</v>
      </c>
      <c r="AN102" t="b">
        <f t="shared" si="146"/>
        <v>0</v>
      </c>
      <c r="AO102" t="b">
        <f t="shared" si="147"/>
        <v>0</v>
      </c>
      <c r="AP102" t="b">
        <f t="shared" si="148"/>
        <v>0</v>
      </c>
      <c r="AQ102" t="b">
        <f t="shared" si="149"/>
        <v>0</v>
      </c>
      <c r="AR102" t="b">
        <f t="shared" si="150"/>
        <v>0</v>
      </c>
      <c r="AS102" t="b">
        <f t="shared" si="151"/>
        <v>0</v>
      </c>
      <c r="AT102" t="b">
        <f t="shared" si="152"/>
        <v>0</v>
      </c>
      <c r="AU102" t="b">
        <f t="shared" si="153"/>
        <v>0</v>
      </c>
      <c r="AV102" t="b">
        <f t="shared" si="154"/>
        <v>0</v>
      </c>
      <c r="AW102" t="b">
        <f t="shared" si="155"/>
        <v>0</v>
      </c>
      <c r="AX102" t="b">
        <f t="shared" si="157"/>
        <v>0</v>
      </c>
      <c r="AY102" t="b">
        <f t="shared" si="158"/>
        <v>0</v>
      </c>
      <c r="AZ102" t="b">
        <f t="shared" si="159"/>
        <v>0</v>
      </c>
      <c r="BA102" t="b">
        <f t="shared" si="160"/>
        <v>0</v>
      </c>
      <c r="BB102" t="b">
        <f t="shared" si="161"/>
        <v>0</v>
      </c>
      <c r="BC102" t="b">
        <f t="shared" si="162"/>
        <v>0</v>
      </c>
      <c r="BD102" t="b">
        <f t="shared" si="163"/>
        <v>0</v>
      </c>
      <c r="BE102" t="b">
        <f t="shared" si="164"/>
        <v>0</v>
      </c>
      <c r="BF102" t="b">
        <f t="shared" si="165"/>
        <v>0</v>
      </c>
      <c r="BG102" t="b">
        <f t="shared" si="166"/>
        <v>0</v>
      </c>
      <c r="BH102" t="b">
        <f t="shared" si="167"/>
        <v>0</v>
      </c>
      <c r="BI102">
        <f t="shared" si="168"/>
        <v>1</v>
      </c>
      <c r="BJ102">
        <f t="shared" si="169"/>
        <v>1</v>
      </c>
      <c r="BK102" t="b">
        <f t="shared" si="170"/>
        <v>0</v>
      </c>
      <c r="BL102" t="b">
        <f t="shared" si="171"/>
        <v>0</v>
      </c>
      <c r="BM102" t="b">
        <f t="shared" si="172"/>
        <v>0</v>
      </c>
      <c r="BN102" t="b">
        <f t="shared" si="173"/>
        <v>0</v>
      </c>
      <c r="BO102" t="b">
        <f t="shared" si="174"/>
        <v>0</v>
      </c>
      <c r="BP102" t="b">
        <f t="shared" si="175"/>
        <v>0</v>
      </c>
      <c r="BQ102" t="b">
        <f t="shared" si="176"/>
        <v>0</v>
      </c>
      <c r="BR102" t="b">
        <f t="shared" si="177"/>
        <v>0</v>
      </c>
      <c r="BS102" t="b">
        <f t="shared" si="178"/>
        <v>0</v>
      </c>
      <c r="BT102" t="b">
        <f t="shared" si="179"/>
        <v>0</v>
      </c>
      <c r="BU102" t="b">
        <f t="shared" si="180"/>
        <v>0</v>
      </c>
      <c r="BV102" t="b">
        <f t="shared" si="181"/>
        <v>0</v>
      </c>
      <c r="BW102" t="b">
        <f t="shared" si="182"/>
        <v>0</v>
      </c>
      <c r="BX102" t="b">
        <f t="shared" si="183"/>
        <v>0</v>
      </c>
      <c r="BY102" t="b">
        <f t="shared" si="184"/>
        <v>0</v>
      </c>
      <c r="BZ102" t="b">
        <f t="shared" si="185"/>
        <v>0</v>
      </c>
      <c r="CA102" t="b">
        <f t="shared" si="186"/>
        <v>0</v>
      </c>
      <c r="CB102" t="b">
        <f t="shared" si="187"/>
        <v>0</v>
      </c>
      <c r="CC102" t="b">
        <f t="shared" si="188"/>
        <v>0</v>
      </c>
      <c r="CD102" t="b">
        <f t="shared" si="189"/>
        <v>0</v>
      </c>
      <c r="CE102" t="b">
        <f t="shared" si="190"/>
        <v>0</v>
      </c>
      <c r="CF102" t="b">
        <f t="shared" si="191"/>
        <v>0</v>
      </c>
      <c r="CG102" t="b">
        <f t="shared" si="192"/>
        <v>0</v>
      </c>
      <c r="CH102" t="b">
        <f t="shared" si="193"/>
        <v>0</v>
      </c>
      <c r="CI102" t="b">
        <f t="shared" si="194"/>
        <v>0</v>
      </c>
      <c r="CJ102" t="b">
        <f t="shared" si="195"/>
        <v>0</v>
      </c>
      <c r="CK102" t="b">
        <f t="shared" si="196"/>
        <v>0</v>
      </c>
      <c r="CL102" t="b">
        <f t="shared" si="197"/>
        <v>0</v>
      </c>
      <c r="CM102">
        <f t="shared" si="198"/>
        <v>1</v>
      </c>
      <c r="CN102" t="b">
        <f t="shared" si="199"/>
        <v>0</v>
      </c>
      <c r="CO102" t="b">
        <f t="shared" si="200"/>
        <v>0</v>
      </c>
      <c r="CP102" t="b">
        <f t="shared" si="201"/>
        <v>0</v>
      </c>
      <c r="CQ102" t="b">
        <f t="shared" si="202"/>
        <v>0</v>
      </c>
      <c r="CR102" t="b">
        <f t="shared" si="203"/>
        <v>0</v>
      </c>
      <c r="CS102" t="b">
        <f t="shared" si="204"/>
        <v>0</v>
      </c>
      <c r="CT102" t="b">
        <f t="shared" si="205"/>
        <v>0</v>
      </c>
      <c r="CU102" t="b">
        <f t="shared" si="206"/>
        <v>0</v>
      </c>
      <c r="CV102" t="b">
        <f t="shared" si="207"/>
        <v>0</v>
      </c>
      <c r="CW102" t="b">
        <f t="shared" si="208"/>
        <v>0</v>
      </c>
      <c r="CX102" t="b">
        <f t="shared" si="209"/>
        <v>0</v>
      </c>
      <c r="CY102" t="b">
        <f t="shared" si="210"/>
        <v>0</v>
      </c>
      <c r="CZ102" t="b">
        <f t="shared" si="211"/>
        <v>0</v>
      </c>
      <c r="DA102">
        <f t="shared" si="212"/>
        <v>1</v>
      </c>
      <c r="DB102">
        <f t="shared" si="213"/>
        <v>1</v>
      </c>
      <c r="DC102" t="b">
        <f t="shared" si="214"/>
        <v>0</v>
      </c>
      <c r="DD102" t="b">
        <f t="shared" si="215"/>
        <v>0</v>
      </c>
      <c r="DE102" t="b">
        <f t="shared" si="216"/>
        <v>0</v>
      </c>
      <c r="DF102" t="b">
        <f t="shared" si="217"/>
        <v>0</v>
      </c>
      <c r="DG102" t="b">
        <f t="shared" si="218"/>
        <v>0</v>
      </c>
      <c r="DH102" t="b">
        <f t="shared" si="219"/>
        <v>0</v>
      </c>
      <c r="DI102" t="b">
        <f t="shared" si="220"/>
        <v>0</v>
      </c>
      <c r="DJ102" t="b">
        <f t="shared" si="221"/>
        <v>0</v>
      </c>
      <c r="DK102" t="b">
        <f t="shared" si="222"/>
        <v>0</v>
      </c>
      <c r="DL102" t="b">
        <f t="shared" si="223"/>
        <v>0</v>
      </c>
      <c r="DM102" t="b">
        <f t="shared" si="224"/>
        <v>0</v>
      </c>
      <c r="DN102" t="b">
        <f t="shared" si="225"/>
        <v>0</v>
      </c>
      <c r="DO102" t="b">
        <f t="shared" si="226"/>
        <v>0</v>
      </c>
      <c r="DP102" t="b">
        <f t="shared" si="227"/>
        <v>0</v>
      </c>
      <c r="DQ102" t="b">
        <f t="shared" si="228"/>
        <v>0</v>
      </c>
      <c r="DR102" t="b">
        <f t="shared" si="229"/>
        <v>0</v>
      </c>
      <c r="DS102" t="b">
        <f t="shared" si="230"/>
        <v>0</v>
      </c>
      <c r="DT102" t="b">
        <f t="shared" si="231"/>
        <v>0</v>
      </c>
      <c r="DU102" t="b">
        <f t="shared" si="232"/>
        <v>0</v>
      </c>
      <c r="DV102" t="b">
        <f t="shared" si="233"/>
        <v>0</v>
      </c>
      <c r="DW102" t="b">
        <f t="shared" si="234"/>
        <v>0</v>
      </c>
      <c r="DX102" t="b">
        <f t="shared" si="235"/>
        <v>0</v>
      </c>
      <c r="DY102" t="b">
        <f t="shared" si="236"/>
        <v>0</v>
      </c>
      <c r="DZ102" t="b">
        <f t="shared" si="237"/>
        <v>0</v>
      </c>
      <c r="EA102" t="b">
        <f t="shared" si="238"/>
        <v>0</v>
      </c>
      <c r="EB102" t="b">
        <f t="shared" si="239"/>
        <v>0</v>
      </c>
      <c r="EC102" t="b">
        <f t="shared" si="240"/>
        <v>0</v>
      </c>
      <c r="ED102" t="b">
        <f t="shared" si="241"/>
        <v>0</v>
      </c>
      <c r="EE102" t="b">
        <f t="shared" si="242"/>
        <v>0</v>
      </c>
      <c r="EF102" t="b">
        <f t="shared" si="243"/>
        <v>0</v>
      </c>
      <c r="EG102" t="b">
        <f t="shared" si="244"/>
        <v>0</v>
      </c>
      <c r="EH102" t="b">
        <f t="shared" si="245"/>
        <v>0</v>
      </c>
      <c r="EI102" t="b">
        <f t="shared" si="246"/>
        <v>0</v>
      </c>
      <c r="EJ102" t="b">
        <f t="shared" si="247"/>
        <v>0</v>
      </c>
      <c r="EK102" t="b">
        <f t="shared" si="248"/>
        <v>0</v>
      </c>
    </row>
    <row r="103" spans="1:141">
      <c r="A103" t="s">
        <v>643</v>
      </c>
      <c r="B103" t="s">
        <v>644</v>
      </c>
      <c r="C103" t="s">
        <v>645</v>
      </c>
      <c r="D103" s="1">
        <v>44558</v>
      </c>
      <c r="E103" s="2">
        <v>44577.002824074072</v>
      </c>
      <c r="F103" s="2">
        <v>44577.002824074072</v>
      </c>
      <c r="G103">
        <v>303877</v>
      </c>
      <c r="H103" t="s">
        <v>646</v>
      </c>
      <c r="I103" s="10" t="s">
        <v>647</v>
      </c>
      <c r="J103" t="s">
        <v>188</v>
      </c>
      <c r="K103" s="8" t="b">
        <v>1</v>
      </c>
      <c r="L103" s="10" t="b">
        <v>0</v>
      </c>
      <c r="M103" s="12" t="b">
        <v>1</v>
      </c>
      <c r="N103" t="b">
        <v>0</v>
      </c>
      <c r="O103" t="b">
        <v>0</v>
      </c>
      <c r="P103" t="b">
        <v>0</v>
      </c>
      <c r="Q103">
        <f t="shared" si="125"/>
        <v>3</v>
      </c>
      <c r="R103">
        <f t="shared" si="126"/>
        <v>12</v>
      </c>
      <c r="S103" t="e">
        <f t="shared" ca="1" si="156"/>
        <v>#NAME?</v>
      </c>
      <c r="T103" t="e">
        <f t="shared" ca="1" si="127"/>
        <v>#NAME?</v>
      </c>
      <c r="U103" s="4">
        <f t="shared" si="128"/>
        <v>19.002824074072123</v>
      </c>
      <c r="V103" s="4">
        <f t="shared" si="129"/>
        <v>0.63342746913573744</v>
      </c>
      <c r="W103" s="4">
        <f t="shared" si="130"/>
        <v>1</v>
      </c>
      <c r="X103" s="4">
        <f t="shared" si="131"/>
        <v>0</v>
      </c>
      <c r="Y103" s="4">
        <f t="shared" si="132"/>
        <v>1</v>
      </c>
      <c r="Z103" s="4">
        <f t="shared" si="133"/>
        <v>0</v>
      </c>
      <c r="AA103" s="4">
        <f t="shared" si="134"/>
        <v>0</v>
      </c>
      <c r="AB103" s="4">
        <f t="shared" si="135"/>
        <v>0</v>
      </c>
      <c r="AC103" s="4"/>
      <c r="AD103" s="4" t="b">
        <f t="shared" si="136"/>
        <v>0</v>
      </c>
      <c r="AE103" s="4" t="b">
        <f t="shared" si="137"/>
        <v>0</v>
      </c>
      <c r="AF103" s="4" t="b">
        <f t="shared" si="138"/>
        <v>0</v>
      </c>
      <c r="AG103" t="b">
        <f t="shared" si="139"/>
        <v>0</v>
      </c>
      <c r="AH103" t="b">
        <f t="shared" si="140"/>
        <v>0</v>
      </c>
      <c r="AI103" t="b">
        <f t="shared" si="141"/>
        <v>0</v>
      </c>
      <c r="AJ103" t="b">
        <f t="shared" si="142"/>
        <v>0</v>
      </c>
      <c r="AK103" t="b">
        <f t="shared" si="143"/>
        <v>0</v>
      </c>
      <c r="AL103" t="b">
        <f t="shared" si="144"/>
        <v>0</v>
      </c>
      <c r="AM103" t="b">
        <f t="shared" si="145"/>
        <v>0</v>
      </c>
      <c r="AN103" t="b">
        <f t="shared" si="146"/>
        <v>0</v>
      </c>
      <c r="AO103" t="b">
        <f t="shared" si="147"/>
        <v>0</v>
      </c>
      <c r="AP103" t="b">
        <f t="shared" si="148"/>
        <v>0</v>
      </c>
      <c r="AQ103" t="b">
        <f t="shared" si="149"/>
        <v>0</v>
      </c>
      <c r="AR103" t="b">
        <f t="shared" si="150"/>
        <v>0</v>
      </c>
      <c r="AS103" t="b">
        <f t="shared" si="151"/>
        <v>0</v>
      </c>
      <c r="AT103" t="b">
        <f t="shared" si="152"/>
        <v>0</v>
      </c>
      <c r="AU103" t="b">
        <f t="shared" si="153"/>
        <v>0</v>
      </c>
      <c r="AV103" t="b">
        <f t="shared" si="154"/>
        <v>0</v>
      </c>
      <c r="AW103" t="b">
        <f t="shared" si="155"/>
        <v>0</v>
      </c>
      <c r="AX103" t="b">
        <f t="shared" si="157"/>
        <v>0</v>
      </c>
      <c r="AY103" t="b">
        <f t="shared" si="158"/>
        <v>0</v>
      </c>
      <c r="AZ103" t="b">
        <f t="shared" si="159"/>
        <v>0</v>
      </c>
      <c r="BA103" t="b">
        <f t="shared" si="160"/>
        <v>0</v>
      </c>
      <c r="BB103" t="b">
        <f t="shared" si="161"/>
        <v>0</v>
      </c>
      <c r="BC103" t="b">
        <f t="shared" si="162"/>
        <v>0</v>
      </c>
      <c r="BD103" t="b">
        <f t="shared" si="163"/>
        <v>0</v>
      </c>
      <c r="BE103" t="b">
        <f t="shared" si="164"/>
        <v>0</v>
      </c>
      <c r="BF103" t="b">
        <f t="shared" si="165"/>
        <v>0</v>
      </c>
      <c r="BG103" t="b">
        <f t="shared" si="166"/>
        <v>0</v>
      </c>
      <c r="BH103" t="b">
        <f t="shared" si="167"/>
        <v>0</v>
      </c>
      <c r="BI103">
        <f t="shared" si="168"/>
        <v>1</v>
      </c>
      <c r="BJ103" t="b">
        <f t="shared" si="169"/>
        <v>0</v>
      </c>
      <c r="BK103" t="b">
        <f t="shared" si="170"/>
        <v>0</v>
      </c>
      <c r="BL103" t="b">
        <f t="shared" si="171"/>
        <v>0</v>
      </c>
      <c r="BM103" t="b">
        <f t="shared" si="172"/>
        <v>0</v>
      </c>
      <c r="BN103" t="b">
        <f t="shared" si="173"/>
        <v>0</v>
      </c>
      <c r="BO103" t="b">
        <f t="shared" si="174"/>
        <v>0</v>
      </c>
      <c r="BP103" t="b">
        <f t="shared" si="175"/>
        <v>0</v>
      </c>
      <c r="BQ103" t="b">
        <f t="shared" si="176"/>
        <v>0</v>
      </c>
      <c r="BR103" t="b">
        <f t="shared" si="177"/>
        <v>0</v>
      </c>
      <c r="BS103" t="b">
        <f t="shared" si="178"/>
        <v>0</v>
      </c>
      <c r="BT103" t="b">
        <f t="shared" si="179"/>
        <v>0</v>
      </c>
      <c r="BU103" t="b">
        <f t="shared" si="180"/>
        <v>0</v>
      </c>
      <c r="BV103" t="b">
        <f t="shared" si="181"/>
        <v>0</v>
      </c>
      <c r="BW103" t="b">
        <f t="shared" si="182"/>
        <v>0</v>
      </c>
      <c r="BX103" t="b">
        <f t="shared" si="183"/>
        <v>0</v>
      </c>
      <c r="BY103" t="b">
        <f t="shared" si="184"/>
        <v>0</v>
      </c>
      <c r="BZ103" t="b">
        <f t="shared" si="185"/>
        <v>0</v>
      </c>
      <c r="CA103" t="b">
        <f t="shared" si="186"/>
        <v>0</v>
      </c>
      <c r="CB103" t="b">
        <f t="shared" si="187"/>
        <v>0</v>
      </c>
      <c r="CC103" t="b">
        <f t="shared" si="188"/>
        <v>0</v>
      </c>
      <c r="CD103" t="b">
        <f t="shared" si="189"/>
        <v>0</v>
      </c>
      <c r="CE103">
        <f t="shared" si="190"/>
        <v>1</v>
      </c>
      <c r="CF103" t="b">
        <f t="shared" si="191"/>
        <v>0</v>
      </c>
      <c r="CG103" t="b">
        <f t="shared" si="192"/>
        <v>0</v>
      </c>
      <c r="CH103" t="b">
        <f t="shared" si="193"/>
        <v>0</v>
      </c>
      <c r="CI103" t="b">
        <f t="shared" si="194"/>
        <v>0</v>
      </c>
      <c r="CJ103" t="b">
        <f t="shared" si="195"/>
        <v>0</v>
      </c>
      <c r="CK103" t="b">
        <f t="shared" si="196"/>
        <v>0</v>
      </c>
      <c r="CL103" t="b">
        <f t="shared" si="197"/>
        <v>0</v>
      </c>
      <c r="CM103" t="b">
        <f t="shared" si="198"/>
        <v>0</v>
      </c>
      <c r="CN103" t="b">
        <f t="shared" si="199"/>
        <v>0</v>
      </c>
      <c r="CO103" t="b">
        <f t="shared" si="200"/>
        <v>0</v>
      </c>
      <c r="CP103" t="b">
        <f t="shared" si="201"/>
        <v>0</v>
      </c>
      <c r="CQ103" t="b">
        <f t="shared" si="202"/>
        <v>0</v>
      </c>
      <c r="CR103" t="b">
        <f t="shared" si="203"/>
        <v>0</v>
      </c>
      <c r="CS103" t="b">
        <f t="shared" si="204"/>
        <v>0</v>
      </c>
      <c r="CT103" t="b">
        <f t="shared" si="205"/>
        <v>0</v>
      </c>
      <c r="CU103" t="b">
        <f t="shared" si="206"/>
        <v>0</v>
      </c>
      <c r="CV103">
        <f t="shared" si="207"/>
        <v>1</v>
      </c>
      <c r="CW103" t="b">
        <f t="shared" si="208"/>
        <v>0</v>
      </c>
      <c r="CX103" t="b">
        <f t="shared" si="209"/>
        <v>0</v>
      </c>
      <c r="CY103" t="b">
        <f t="shared" si="210"/>
        <v>0</v>
      </c>
      <c r="CZ103" t="b">
        <f t="shared" si="211"/>
        <v>0</v>
      </c>
      <c r="DA103" t="b">
        <f t="shared" si="212"/>
        <v>0</v>
      </c>
      <c r="DB103" t="b">
        <f t="shared" si="213"/>
        <v>0</v>
      </c>
      <c r="DC103" t="b">
        <f t="shared" si="214"/>
        <v>0</v>
      </c>
      <c r="DD103" t="b">
        <f t="shared" si="215"/>
        <v>0</v>
      </c>
      <c r="DE103" t="b">
        <f t="shared" si="216"/>
        <v>0</v>
      </c>
      <c r="DF103" t="b">
        <f t="shared" si="217"/>
        <v>0</v>
      </c>
      <c r="DG103" t="b">
        <f t="shared" si="218"/>
        <v>0</v>
      </c>
      <c r="DH103" t="b">
        <f t="shared" si="219"/>
        <v>0</v>
      </c>
      <c r="DI103" t="b">
        <f t="shared" si="220"/>
        <v>0</v>
      </c>
      <c r="DJ103" t="b">
        <f t="shared" si="221"/>
        <v>0</v>
      </c>
      <c r="DK103" t="b">
        <f t="shared" si="222"/>
        <v>0</v>
      </c>
      <c r="DL103" t="b">
        <f t="shared" si="223"/>
        <v>0</v>
      </c>
      <c r="DM103" t="b">
        <f t="shared" si="224"/>
        <v>0</v>
      </c>
      <c r="DN103" t="b">
        <f t="shared" si="225"/>
        <v>0</v>
      </c>
      <c r="DO103" t="b">
        <f t="shared" si="226"/>
        <v>0</v>
      </c>
      <c r="DP103" t="b">
        <f t="shared" si="227"/>
        <v>0</v>
      </c>
      <c r="DQ103" t="b">
        <f t="shared" si="228"/>
        <v>0</v>
      </c>
      <c r="DR103" t="b">
        <f t="shared" si="229"/>
        <v>0</v>
      </c>
      <c r="DS103" t="b">
        <f t="shared" si="230"/>
        <v>0</v>
      </c>
      <c r="DT103" t="b">
        <f t="shared" si="231"/>
        <v>0</v>
      </c>
      <c r="DU103" t="b">
        <f t="shared" si="232"/>
        <v>0</v>
      </c>
      <c r="DV103" t="b">
        <f t="shared" si="233"/>
        <v>0</v>
      </c>
      <c r="DW103" t="b">
        <f t="shared" si="234"/>
        <v>0</v>
      </c>
      <c r="DX103" t="b">
        <f t="shared" si="235"/>
        <v>0</v>
      </c>
      <c r="DY103" t="b">
        <f t="shared" si="236"/>
        <v>0</v>
      </c>
      <c r="DZ103" t="b">
        <f t="shared" si="237"/>
        <v>0</v>
      </c>
      <c r="EA103" t="b">
        <f t="shared" si="238"/>
        <v>0</v>
      </c>
      <c r="EB103" t="b">
        <f t="shared" si="239"/>
        <v>0</v>
      </c>
      <c r="EC103" t="b">
        <f t="shared" si="240"/>
        <v>0</v>
      </c>
      <c r="ED103" t="b">
        <f t="shared" si="241"/>
        <v>0</v>
      </c>
      <c r="EE103" t="b">
        <f t="shared" si="242"/>
        <v>0</v>
      </c>
      <c r="EF103">
        <f t="shared" si="243"/>
        <v>1</v>
      </c>
      <c r="EG103" t="b">
        <f t="shared" si="244"/>
        <v>0</v>
      </c>
      <c r="EH103" t="b">
        <f t="shared" si="245"/>
        <v>0</v>
      </c>
      <c r="EI103" t="b">
        <f t="shared" si="246"/>
        <v>0</v>
      </c>
      <c r="EJ103" t="b">
        <f t="shared" si="247"/>
        <v>0</v>
      </c>
      <c r="EK103" t="b">
        <f t="shared" si="248"/>
        <v>0</v>
      </c>
    </row>
    <row r="104" spans="1:141">
      <c r="A104" t="s">
        <v>648</v>
      </c>
      <c r="B104" t="s">
        <v>649</v>
      </c>
      <c r="C104" t="s">
        <v>645</v>
      </c>
      <c r="D104" s="1">
        <v>44273</v>
      </c>
      <c r="E104" s="2">
        <v>44278.208668981482</v>
      </c>
      <c r="F104" s="2">
        <v>44576.979444444441</v>
      </c>
      <c r="G104">
        <v>297744</v>
      </c>
      <c r="H104" t="s">
        <v>650</v>
      </c>
      <c r="I104" s="10" t="s">
        <v>647</v>
      </c>
      <c r="J104" t="s">
        <v>188</v>
      </c>
      <c r="K104" s="8" t="b">
        <v>1</v>
      </c>
      <c r="L104" s="10" t="b">
        <v>0</v>
      </c>
      <c r="M104" s="12" t="b">
        <v>1</v>
      </c>
      <c r="N104" t="b">
        <v>0</v>
      </c>
      <c r="O104" t="b">
        <v>0</v>
      </c>
      <c r="P104" t="b">
        <v>0</v>
      </c>
      <c r="Q104">
        <f t="shared" si="125"/>
        <v>5</v>
      </c>
      <c r="R104">
        <f t="shared" si="126"/>
        <v>3</v>
      </c>
      <c r="S104" t="e">
        <f t="shared" ca="1" si="156"/>
        <v>#NAME?</v>
      </c>
      <c r="T104" t="e">
        <f t="shared" ca="1" si="127"/>
        <v>#NAME?</v>
      </c>
      <c r="U104" s="4">
        <f t="shared" si="128"/>
        <v>5.208668981482333</v>
      </c>
      <c r="V104" s="4">
        <f t="shared" si="129"/>
        <v>0.17362229938274443</v>
      </c>
      <c r="W104" s="4">
        <f t="shared" si="130"/>
        <v>1</v>
      </c>
      <c r="X104" s="4">
        <f t="shared" si="131"/>
        <v>0</v>
      </c>
      <c r="Y104" s="4">
        <f t="shared" si="132"/>
        <v>1</v>
      </c>
      <c r="Z104" s="4">
        <f t="shared" si="133"/>
        <v>0</v>
      </c>
      <c r="AA104" s="4">
        <f t="shared" si="134"/>
        <v>0</v>
      </c>
      <c r="AB104" s="4">
        <f t="shared" si="135"/>
        <v>0</v>
      </c>
      <c r="AC104" s="4"/>
      <c r="AD104" s="4" t="b">
        <f t="shared" si="136"/>
        <v>0</v>
      </c>
      <c r="AE104" s="4" t="b">
        <f t="shared" si="137"/>
        <v>0</v>
      </c>
      <c r="AF104" s="4" t="b">
        <f t="shared" si="138"/>
        <v>0</v>
      </c>
      <c r="AG104" t="b">
        <f t="shared" si="139"/>
        <v>0</v>
      </c>
      <c r="AH104" t="b">
        <f t="shared" si="140"/>
        <v>0</v>
      </c>
      <c r="AI104" t="b">
        <f t="shared" si="141"/>
        <v>0</v>
      </c>
      <c r="AJ104" t="b">
        <f t="shared" si="142"/>
        <v>0</v>
      </c>
      <c r="AK104" t="b">
        <f t="shared" si="143"/>
        <v>0</v>
      </c>
      <c r="AL104" t="b">
        <f t="shared" si="144"/>
        <v>0</v>
      </c>
      <c r="AM104" t="b">
        <f t="shared" si="145"/>
        <v>0</v>
      </c>
      <c r="AN104" t="b">
        <f t="shared" si="146"/>
        <v>0</v>
      </c>
      <c r="AO104" t="b">
        <f t="shared" si="147"/>
        <v>0</v>
      </c>
      <c r="AP104" t="b">
        <f t="shared" si="148"/>
        <v>0</v>
      </c>
      <c r="AQ104" t="b">
        <f t="shared" si="149"/>
        <v>0</v>
      </c>
      <c r="AR104" t="b">
        <f t="shared" si="150"/>
        <v>0</v>
      </c>
      <c r="AS104" t="b">
        <f t="shared" si="151"/>
        <v>0</v>
      </c>
      <c r="AT104" t="b">
        <f t="shared" si="152"/>
        <v>0</v>
      </c>
      <c r="AU104" t="b">
        <f t="shared" si="153"/>
        <v>0</v>
      </c>
      <c r="AV104" t="b">
        <f t="shared" si="154"/>
        <v>0</v>
      </c>
      <c r="AW104" t="b">
        <f t="shared" si="155"/>
        <v>0</v>
      </c>
      <c r="AX104" t="b">
        <f t="shared" si="157"/>
        <v>0</v>
      </c>
      <c r="AY104" t="b">
        <f t="shared" si="158"/>
        <v>0</v>
      </c>
      <c r="AZ104" t="b">
        <f t="shared" si="159"/>
        <v>0</v>
      </c>
      <c r="BA104" t="b">
        <f t="shared" si="160"/>
        <v>0</v>
      </c>
      <c r="BB104" t="b">
        <f t="shared" si="161"/>
        <v>0</v>
      </c>
      <c r="BC104" t="b">
        <f t="shared" si="162"/>
        <v>0</v>
      </c>
      <c r="BD104" t="b">
        <f t="shared" si="163"/>
        <v>0</v>
      </c>
      <c r="BE104" t="b">
        <f t="shared" si="164"/>
        <v>0</v>
      </c>
      <c r="BF104" t="b">
        <f t="shared" si="165"/>
        <v>0</v>
      </c>
      <c r="BG104" t="b">
        <f t="shared" si="166"/>
        <v>0</v>
      </c>
      <c r="BH104" t="b">
        <f t="shared" si="167"/>
        <v>0</v>
      </c>
      <c r="BI104">
        <f t="shared" si="168"/>
        <v>1</v>
      </c>
      <c r="BJ104" t="b">
        <f t="shared" si="169"/>
        <v>0</v>
      </c>
      <c r="BK104" t="b">
        <f t="shared" si="170"/>
        <v>0</v>
      </c>
      <c r="BL104" t="b">
        <f t="shared" si="171"/>
        <v>0</v>
      </c>
      <c r="BM104" t="b">
        <f t="shared" si="172"/>
        <v>0</v>
      </c>
      <c r="BN104" t="b">
        <f t="shared" si="173"/>
        <v>0</v>
      </c>
      <c r="BO104" t="b">
        <f t="shared" si="174"/>
        <v>0</v>
      </c>
      <c r="BP104" t="b">
        <f t="shared" si="175"/>
        <v>0</v>
      </c>
      <c r="BQ104" t="b">
        <f t="shared" si="176"/>
        <v>0</v>
      </c>
      <c r="BR104" t="b">
        <f t="shared" si="177"/>
        <v>0</v>
      </c>
      <c r="BS104" t="b">
        <f t="shared" si="178"/>
        <v>0</v>
      </c>
      <c r="BT104" t="b">
        <f t="shared" si="179"/>
        <v>0</v>
      </c>
      <c r="BU104" t="b">
        <f t="shared" si="180"/>
        <v>0</v>
      </c>
      <c r="BV104" t="b">
        <f t="shared" si="181"/>
        <v>0</v>
      </c>
      <c r="BW104" t="b">
        <f t="shared" si="182"/>
        <v>0</v>
      </c>
      <c r="BX104" t="b">
        <f t="shared" si="183"/>
        <v>0</v>
      </c>
      <c r="BY104" t="b">
        <f t="shared" si="184"/>
        <v>0</v>
      </c>
      <c r="BZ104" t="b">
        <f t="shared" si="185"/>
        <v>0</v>
      </c>
      <c r="CA104" t="b">
        <f t="shared" si="186"/>
        <v>0</v>
      </c>
      <c r="CB104" t="b">
        <f t="shared" si="187"/>
        <v>0</v>
      </c>
      <c r="CC104" t="b">
        <f t="shared" si="188"/>
        <v>0</v>
      </c>
      <c r="CD104" t="b">
        <f t="shared" si="189"/>
        <v>0</v>
      </c>
      <c r="CE104">
        <f t="shared" si="190"/>
        <v>1</v>
      </c>
      <c r="CF104" t="b">
        <f t="shared" si="191"/>
        <v>0</v>
      </c>
      <c r="CG104" t="b">
        <f t="shared" si="192"/>
        <v>0</v>
      </c>
      <c r="CH104" t="b">
        <f t="shared" si="193"/>
        <v>0</v>
      </c>
      <c r="CI104" t="b">
        <f t="shared" si="194"/>
        <v>0</v>
      </c>
      <c r="CJ104" t="b">
        <f t="shared" si="195"/>
        <v>0</v>
      </c>
      <c r="CK104" t="b">
        <f t="shared" si="196"/>
        <v>0</v>
      </c>
      <c r="CL104" t="b">
        <f t="shared" si="197"/>
        <v>0</v>
      </c>
      <c r="CM104" t="b">
        <f t="shared" si="198"/>
        <v>0</v>
      </c>
      <c r="CN104" t="b">
        <f t="shared" si="199"/>
        <v>0</v>
      </c>
      <c r="CO104" t="b">
        <f t="shared" si="200"/>
        <v>0</v>
      </c>
      <c r="CP104" t="b">
        <f t="shared" si="201"/>
        <v>0</v>
      </c>
      <c r="CQ104" t="b">
        <f t="shared" si="202"/>
        <v>0</v>
      </c>
      <c r="CR104" t="b">
        <f t="shared" si="203"/>
        <v>0</v>
      </c>
      <c r="CS104" t="b">
        <f t="shared" si="204"/>
        <v>0</v>
      </c>
      <c r="CT104" t="b">
        <f t="shared" si="205"/>
        <v>0</v>
      </c>
      <c r="CU104" t="b">
        <f t="shared" si="206"/>
        <v>0</v>
      </c>
      <c r="CV104">
        <f t="shared" si="207"/>
        <v>1</v>
      </c>
      <c r="CW104" t="b">
        <f t="shared" si="208"/>
        <v>0</v>
      </c>
      <c r="CX104" t="b">
        <f t="shared" si="209"/>
        <v>0</v>
      </c>
      <c r="CY104" t="b">
        <f t="shared" si="210"/>
        <v>0</v>
      </c>
      <c r="CZ104" t="b">
        <f t="shared" si="211"/>
        <v>0</v>
      </c>
      <c r="DA104" t="b">
        <f t="shared" si="212"/>
        <v>0</v>
      </c>
      <c r="DB104" t="b">
        <f t="shared" si="213"/>
        <v>0</v>
      </c>
      <c r="DC104" t="b">
        <f t="shared" si="214"/>
        <v>0</v>
      </c>
      <c r="DD104" t="b">
        <f t="shared" si="215"/>
        <v>0</v>
      </c>
      <c r="DE104" t="b">
        <f t="shared" si="216"/>
        <v>0</v>
      </c>
      <c r="DF104" t="b">
        <f t="shared" si="217"/>
        <v>0</v>
      </c>
      <c r="DG104" t="b">
        <f t="shared" si="218"/>
        <v>0</v>
      </c>
      <c r="DH104" t="b">
        <f t="shared" si="219"/>
        <v>0</v>
      </c>
      <c r="DI104" t="b">
        <f t="shared" si="220"/>
        <v>0</v>
      </c>
      <c r="DJ104" t="b">
        <f t="shared" si="221"/>
        <v>0</v>
      </c>
      <c r="DK104" t="b">
        <f t="shared" si="222"/>
        <v>0</v>
      </c>
      <c r="DL104" t="b">
        <f t="shared" si="223"/>
        <v>0</v>
      </c>
      <c r="DM104" t="b">
        <f t="shared" si="224"/>
        <v>0</v>
      </c>
      <c r="DN104" t="b">
        <f t="shared" si="225"/>
        <v>0</v>
      </c>
      <c r="DO104" t="b">
        <f t="shared" si="226"/>
        <v>0</v>
      </c>
      <c r="DP104" t="b">
        <f t="shared" si="227"/>
        <v>0</v>
      </c>
      <c r="DQ104" t="b">
        <f t="shared" si="228"/>
        <v>0</v>
      </c>
      <c r="DR104" t="b">
        <f t="shared" si="229"/>
        <v>0</v>
      </c>
      <c r="DS104" t="b">
        <f t="shared" si="230"/>
        <v>0</v>
      </c>
      <c r="DT104" t="b">
        <f t="shared" si="231"/>
        <v>0</v>
      </c>
      <c r="DU104" t="b">
        <f t="shared" si="232"/>
        <v>0</v>
      </c>
      <c r="DV104" t="b">
        <f t="shared" si="233"/>
        <v>0</v>
      </c>
      <c r="DW104" t="b">
        <f t="shared" si="234"/>
        <v>0</v>
      </c>
      <c r="DX104" t="b">
        <f t="shared" si="235"/>
        <v>0</v>
      </c>
      <c r="DY104" t="b">
        <f t="shared" si="236"/>
        <v>0</v>
      </c>
      <c r="DZ104" t="b">
        <f t="shared" si="237"/>
        <v>0</v>
      </c>
      <c r="EA104" t="b">
        <f t="shared" si="238"/>
        <v>0</v>
      </c>
      <c r="EB104" t="b">
        <f t="shared" si="239"/>
        <v>0</v>
      </c>
      <c r="EC104" t="b">
        <f t="shared" si="240"/>
        <v>0</v>
      </c>
      <c r="ED104" t="b">
        <f t="shared" si="241"/>
        <v>0</v>
      </c>
      <c r="EE104" t="b">
        <f t="shared" si="242"/>
        <v>0</v>
      </c>
      <c r="EF104">
        <f t="shared" si="243"/>
        <v>1</v>
      </c>
      <c r="EG104" t="b">
        <f t="shared" si="244"/>
        <v>0</v>
      </c>
      <c r="EH104" t="b">
        <f t="shared" si="245"/>
        <v>0</v>
      </c>
      <c r="EI104" t="b">
        <f t="shared" si="246"/>
        <v>0</v>
      </c>
      <c r="EJ104" t="b">
        <f t="shared" si="247"/>
        <v>0</v>
      </c>
      <c r="EK104" t="b">
        <f t="shared" si="248"/>
        <v>0</v>
      </c>
    </row>
    <row r="105" spans="1:141">
      <c r="A105" t="s">
        <v>651</v>
      </c>
      <c r="B105" t="s">
        <v>651</v>
      </c>
      <c r="C105" t="s">
        <v>652</v>
      </c>
      <c r="D105" s="1">
        <v>42691</v>
      </c>
      <c r="E105" s="2">
        <v>43210.903217592589</v>
      </c>
      <c r="F105" s="2">
        <v>43210.903217592589</v>
      </c>
      <c r="G105">
        <v>6844490</v>
      </c>
      <c r="H105" t="s">
        <v>653</v>
      </c>
      <c r="I105" s="10" t="s">
        <v>654</v>
      </c>
      <c r="J105" t="s">
        <v>655</v>
      </c>
      <c r="K105" s="8" t="b">
        <v>1</v>
      </c>
      <c r="L105" s="10" t="b">
        <v>0</v>
      </c>
      <c r="M105" s="12" t="b">
        <v>0</v>
      </c>
      <c r="N105" t="b">
        <v>0</v>
      </c>
      <c r="O105" t="b">
        <v>0</v>
      </c>
      <c r="P105" t="b">
        <v>0</v>
      </c>
      <c r="Q105">
        <f t="shared" si="125"/>
        <v>5</v>
      </c>
      <c r="R105">
        <f t="shared" si="126"/>
        <v>11</v>
      </c>
      <c r="S105" t="e">
        <f t="shared" ca="1" si="156"/>
        <v>#NAME?</v>
      </c>
      <c r="T105" t="e">
        <f t="shared" ca="1" si="127"/>
        <v>#NAME?</v>
      </c>
      <c r="U105" s="4">
        <f t="shared" si="128"/>
        <v>519.9032175925895</v>
      </c>
      <c r="V105" s="4">
        <f t="shared" si="129"/>
        <v>17.330107253086318</v>
      </c>
      <c r="W105" s="4">
        <f t="shared" si="130"/>
        <v>1</v>
      </c>
      <c r="X105" s="4">
        <f t="shared" si="131"/>
        <v>0</v>
      </c>
      <c r="Y105" s="4">
        <f t="shared" si="132"/>
        <v>0</v>
      </c>
      <c r="Z105" s="4">
        <f t="shared" si="133"/>
        <v>0</v>
      </c>
      <c r="AA105" s="4">
        <f t="shared" si="134"/>
        <v>0</v>
      </c>
      <c r="AB105" s="4">
        <f t="shared" si="135"/>
        <v>0</v>
      </c>
      <c r="AC105" s="4"/>
      <c r="AD105" s="4" t="b">
        <f t="shared" si="136"/>
        <v>0</v>
      </c>
      <c r="AE105" s="4" t="b">
        <f t="shared" si="137"/>
        <v>0</v>
      </c>
      <c r="AF105" s="4" t="b">
        <f t="shared" si="138"/>
        <v>0</v>
      </c>
      <c r="AG105" t="b">
        <f t="shared" si="139"/>
        <v>0</v>
      </c>
      <c r="AH105" t="b">
        <f t="shared" si="140"/>
        <v>0</v>
      </c>
      <c r="AI105" t="b">
        <f t="shared" si="141"/>
        <v>0</v>
      </c>
      <c r="AJ105" t="b">
        <f t="shared" si="142"/>
        <v>0</v>
      </c>
      <c r="AK105" t="b">
        <f t="shared" si="143"/>
        <v>0</v>
      </c>
      <c r="AL105" t="b">
        <f t="shared" si="144"/>
        <v>0</v>
      </c>
      <c r="AM105" t="b">
        <f t="shared" si="145"/>
        <v>0</v>
      </c>
      <c r="AN105" t="b">
        <f t="shared" si="146"/>
        <v>0</v>
      </c>
      <c r="AO105" t="b">
        <f t="shared" si="147"/>
        <v>0</v>
      </c>
      <c r="AP105" t="b">
        <f t="shared" si="148"/>
        <v>0</v>
      </c>
      <c r="AQ105" t="b">
        <f t="shared" si="149"/>
        <v>0</v>
      </c>
      <c r="AR105" t="b">
        <f t="shared" si="150"/>
        <v>0</v>
      </c>
      <c r="AS105" t="b">
        <f t="shared" si="151"/>
        <v>0</v>
      </c>
      <c r="AT105" t="b">
        <f t="shared" si="152"/>
        <v>0</v>
      </c>
      <c r="AU105" t="b">
        <f t="shared" si="153"/>
        <v>0</v>
      </c>
      <c r="AV105" t="b">
        <f t="shared" si="154"/>
        <v>0</v>
      </c>
      <c r="AW105" t="b">
        <f t="shared" si="155"/>
        <v>0</v>
      </c>
      <c r="AX105" t="b">
        <f t="shared" si="157"/>
        <v>0</v>
      </c>
      <c r="AY105" t="b">
        <f t="shared" si="158"/>
        <v>0</v>
      </c>
      <c r="AZ105" t="b">
        <f t="shared" si="159"/>
        <v>0</v>
      </c>
      <c r="BA105" t="b">
        <f t="shared" si="160"/>
        <v>0</v>
      </c>
      <c r="BB105" t="b">
        <f t="shared" si="161"/>
        <v>0</v>
      </c>
      <c r="BC105" t="b">
        <f t="shared" si="162"/>
        <v>0</v>
      </c>
      <c r="BD105" t="b">
        <f t="shared" si="163"/>
        <v>0</v>
      </c>
      <c r="BE105" t="b">
        <f t="shared" si="164"/>
        <v>0</v>
      </c>
      <c r="BF105" t="b">
        <f t="shared" si="165"/>
        <v>0</v>
      </c>
      <c r="BG105" t="b">
        <f t="shared" si="166"/>
        <v>0</v>
      </c>
      <c r="BH105" t="b">
        <f t="shared" si="167"/>
        <v>0</v>
      </c>
      <c r="BI105">
        <f t="shared" si="168"/>
        <v>1</v>
      </c>
      <c r="BJ105" t="b">
        <f t="shared" si="169"/>
        <v>0</v>
      </c>
      <c r="BK105" t="b">
        <f t="shared" si="170"/>
        <v>0</v>
      </c>
      <c r="BL105" t="b">
        <f t="shared" si="171"/>
        <v>0</v>
      </c>
      <c r="BM105" t="b">
        <f t="shared" si="172"/>
        <v>0</v>
      </c>
      <c r="BN105" t="b">
        <f t="shared" si="173"/>
        <v>0</v>
      </c>
      <c r="BO105" t="b">
        <f t="shared" si="174"/>
        <v>0</v>
      </c>
      <c r="BP105" t="b">
        <f t="shared" si="175"/>
        <v>0</v>
      </c>
      <c r="BQ105" t="b">
        <f t="shared" si="176"/>
        <v>0</v>
      </c>
      <c r="BR105" t="b">
        <f t="shared" si="177"/>
        <v>0</v>
      </c>
      <c r="BS105" t="b">
        <f t="shared" si="178"/>
        <v>0</v>
      </c>
      <c r="BT105" t="b">
        <f t="shared" si="179"/>
        <v>0</v>
      </c>
      <c r="BU105" t="b">
        <f t="shared" si="180"/>
        <v>0</v>
      </c>
      <c r="BV105" t="b">
        <f t="shared" si="181"/>
        <v>0</v>
      </c>
      <c r="BW105" t="b">
        <f t="shared" si="182"/>
        <v>0</v>
      </c>
      <c r="BX105" t="b">
        <f t="shared" si="183"/>
        <v>0</v>
      </c>
      <c r="BY105" t="b">
        <f t="shared" si="184"/>
        <v>0</v>
      </c>
      <c r="BZ105" t="b">
        <f t="shared" si="185"/>
        <v>0</v>
      </c>
      <c r="CA105" t="b">
        <f t="shared" si="186"/>
        <v>0</v>
      </c>
      <c r="CB105" t="b">
        <f t="shared" si="187"/>
        <v>0</v>
      </c>
      <c r="CC105" t="b">
        <f t="shared" si="188"/>
        <v>0</v>
      </c>
      <c r="CD105" t="b">
        <f t="shared" si="189"/>
        <v>0</v>
      </c>
      <c r="CE105" t="b">
        <f t="shared" si="190"/>
        <v>0</v>
      </c>
      <c r="CF105" t="b">
        <f t="shared" si="191"/>
        <v>0</v>
      </c>
      <c r="CG105" t="b">
        <f t="shared" si="192"/>
        <v>0</v>
      </c>
      <c r="CH105" t="b">
        <f t="shared" si="193"/>
        <v>0</v>
      </c>
      <c r="CI105" t="b">
        <f t="shared" si="194"/>
        <v>0</v>
      </c>
      <c r="CJ105" t="b">
        <f t="shared" si="195"/>
        <v>0</v>
      </c>
      <c r="CK105" t="b">
        <f t="shared" si="196"/>
        <v>0</v>
      </c>
      <c r="CL105" t="b">
        <f t="shared" si="197"/>
        <v>0</v>
      </c>
      <c r="CM105">
        <f t="shared" si="198"/>
        <v>1</v>
      </c>
      <c r="CN105" t="b">
        <f t="shared" si="199"/>
        <v>0</v>
      </c>
      <c r="CO105" t="b">
        <f t="shared" si="200"/>
        <v>0</v>
      </c>
      <c r="CP105" t="b">
        <f t="shared" si="201"/>
        <v>0</v>
      </c>
      <c r="CQ105" t="b">
        <f t="shared" si="202"/>
        <v>0</v>
      </c>
      <c r="CR105" t="b">
        <f t="shared" si="203"/>
        <v>0</v>
      </c>
      <c r="CS105" t="b">
        <f t="shared" si="204"/>
        <v>0</v>
      </c>
      <c r="CT105" t="b">
        <f t="shared" si="205"/>
        <v>0</v>
      </c>
      <c r="CU105" t="b">
        <f t="shared" si="206"/>
        <v>0</v>
      </c>
      <c r="CV105">
        <f t="shared" si="207"/>
        <v>1</v>
      </c>
      <c r="CW105" t="b">
        <f t="shared" si="208"/>
        <v>0</v>
      </c>
      <c r="CX105" t="b">
        <f t="shared" si="209"/>
        <v>0</v>
      </c>
      <c r="CY105" t="b">
        <f t="shared" si="210"/>
        <v>0</v>
      </c>
      <c r="CZ105" t="b">
        <f t="shared" si="211"/>
        <v>0</v>
      </c>
      <c r="DA105" t="b">
        <f t="shared" si="212"/>
        <v>0</v>
      </c>
      <c r="DB105">
        <f t="shared" si="213"/>
        <v>1</v>
      </c>
      <c r="DC105" t="b">
        <f t="shared" si="214"/>
        <v>0</v>
      </c>
      <c r="DD105" t="b">
        <f t="shared" si="215"/>
        <v>0</v>
      </c>
      <c r="DE105" t="b">
        <f t="shared" si="216"/>
        <v>0</v>
      </c>
      <c r="DF105" t="b">
        <f t="shared" si="217"/>
        <v>0</v>
      </c>
      <c r="DG105" t="b">
        <f t="shared" si="218"/>
        <v>0</v>
      </c>
      <c r="DH105" t="b">
        <f t="shared" si="219"/>
        <v>0</v>
      </c>
      <c r="DI105" t="b">
        <f t="shared" si="220"/>
        <v>0</v>
      </c>
      <c r="DJ105" t="b">
        <f t="shared" si="221"/>
        <v>0</v>
      </c>
      <c r="DK105" t="b">
        <f t="shared" si="222"/>
        <v>0</v>
      </c>
      <c r="DL105" t="b">
        <f t="shared" si="223"/>
        <v>0</v>
      </c>
      <c r="DM105" t="b">
        <f t="shared" si="224"/>
        <v>0</v>
      </c>
      <c r="DN105" t="b">
        <f t="shared" si="225"/>
        <v>0</v>
      </c>
      <c r="DO105" t="b">
        <f t="shared" si="226"/>
        <v>0</v>
      </c>
      <c r="DP105" t="b">
        <f t="shared" si="227"/>
        <v>0</v>
      </c>
      <c r="DQ105" t="b">
        <f t="shared" si="228"/>
        <v>0</v>
      </c>
      <c r="DR105" t="b">
        <f t="shared" si="229"/>
        <v>0</v>
      </c>
      <c r="DS105" t="b">
        <f t="shared" si="230"/>
        <v>0</v>
      </c>
      <c r="DT105" t="b">
        <f t="shared" si="231"/>
        <v>0</v>
      </c>
      <c r="DU105" t="b">
        <f t="shared" si="232"/>
        <v>0</v>
      </c>
      <c r="DV105" t="b">
        <f t="shared" si="233"/>
        <v>0</v>
      </c>
      <c r="DW105" t="b">
        <f t="shared" si="234"/>
        <v>0</v>
      </c>
      <c r="DX105" t="b">
        <f t="shared" si="235"/>
        <v>0</v>
      </c>
      <c r="DY105" t="b">
        <f t="shared" si="236"/>
        <v>0</v>
      </c>
      <c r="DZ105" t="b">
        <f t="shared" si="237"/>
        <v>0</v>
      </c>
      <c r="EA105" t="b">
        <f t="shared" si="238"/>
        <v>0</v>
      </c>
      <c r="EB105" t="b">
        <f t="shared" si="239"/>
        <v>0</v>
      </c>
      <c r="EC105" t="b">
        <f t="shared" si="240"/>
        <v>0</v>
      </c>
      <c r="ED105" t="b">
        <f t="shared" si="241"/>
        <v>0</v>
      </c>
      <c r="EE105" t="b">
        <f t="shared" si="242"/>
        <v>0</v>
      </c>
      <c r="EF105" t="b">
        <f t="shared" si="243"/>
        <v>0</v>
      </c>
      <c r="EG105" t="b">
        <f t="shared" si="244"/>
        <v>0</v>
      </c>
      <c r="EH105" t="b">
        <f t="shared" si="245"/>
        <v>0</v>
      </c>
      <c r="EI105" t="b">
        <f t="shared" si="246"/>
        <v>0</v>
      </c>
      <c r="EJ105" t="b">
        <f t="shared" si="247"/>
        <v>0</v>
      </c>
      <c r="EK105" t="b">
        <f t="shared" si="248"/>
        <v>0</v>
      </c>
    </row>
    <row r="106" spans="1:141">
      <c r="A106" t="s">
        <v>656</v>
      </c>
      <c r="B106" t="s">
        <v>656</v>
      </c>
      <c r="C106" t="s">
        <v>657</v>
      </c>
      <c r="D106" s="1">
        <v>43891</v>
      </c>
      <c r="E106" s="2">
        <v>44061.953229166669</v>
      </c>
      <c r="F106" s="2">
        <v>44061.953229166669</v>
      </c>
      <c r="G106">
        <v>1173012</v>
      </c>
      <c r="H106" t="s">
        <v>658</v>
      </c>
      <c r="I106" s="10" t="s">
        <v>659</v>
      </c>
      <c r="J106" t="s">
        <v>660</v>
      </c>
      <c r="K106" s="8" t="b">
        <v>1</v>
      </c>
      <c r="L106" s="10" t="b">
        <v>0</v>
      </c>
      <c r="M106" s="12" t="b">
        <v>0</v>
      </c>
      <c r="N106" t="b">
        <v>0</v>
      </c>
      <c r="O106" t="b">
        <v>0</v>
      </c>
      <c r="P106" t="b">
        <v>0</v>
      </c>
      <c r="Q106">
        <f t="shared" si="125"/>
        <v>1</v>
      </c>
      <c r="R106">
        <f t="shared" si="126"/>
        <v>3</v>
      </c>
      <c r="S106" t="e">
        <f t="shared" ca="1" si="156"/>
        <v>#NAME?</v>
      </c>
      <c r="T106" t="e">
        <f t="shared" ca="1" si="127"/>
        <v>#NAME?</v>
      </c>
      <c r="U106" s="4">
        <f t="shared" si="128"/>
        <v>170.95322916666919</v>
      </c>
      <c r="V106" s="4">
        <f t="shared" si="129"/>
        <v>5.6984409722223059</v>
      </c>
      <c r="W106" s="4">
        <f t="shared" si="130"/>
        <v>1</v>
      </c>
      <c r="X106" s="4">
        <f t="shared" si="131"/>
        <v>0</v>
      </c>
      <c r="Y106" s="4">
        <f t="shared" si="132"/>
        <v>0</v>
      </c>
      <c r="Z106" s="4">
        <f t="shared" si="133"/>
        <v>0</v>
      </c>
      <c r="AA106" s="4">
        <f t="shared" si="134"/>
        <v>0</v>
      </c>
      <c r="AB106" s="4">
        <f t="shared" si="135"/>
        <v>0</v>
      </c>
      <c r="AC106" s="4"/>
      <c r="AD106" s="4" t="b">
        <f t="shared" si="136"/>
        <v>0</v>
      </c>
      <c r="AE106" s="4" t="b">
        <f t="shared" si="137"/>
        <v>0</v>
      </c>
      <c r="AF106" s="4" t="b">
        <f t="shared" si="138"/>
        <v>0</v>
      </c>
      <c r="AG106" t="b">
        <f t="shared" si="139"/>
        <v>0</v>
      </c>
      <c r="AH106" t="b">
        <f t="shared" si="140"/>
        <v>0</v>
      </c>
      <c r="AI106" t="b">
        <f t="shared" si="141"/>
        <v>0</v>
      </c>
      <c r="AJ106" t="b">
        <f t="shared" si="142"/>
        <v>0</v>
      </c>
      <c r="AK106" t="b">
        <f t="shared" si="143"/>
        <v>0</v>
      </c>
      <c r="AL106" t="b">
        <f t="shared" si="144"/>
        <v>0</v>
      </c>
      <c r="AM106" t="b">
        <f t="shared" si="145"/>
        <v>0</v>
      </c>
      <c r="AN106" t="b">
        <f t="shared" si="146"/>
        <v>0</v>
      </c>
      <c r="AO106" t="b">
        <f t="shared" si="147"/>
        <v>0</v>
      </c>
      <c r="AP106" t="b">
        <f t="shared" si="148"/>
        <v>0</v>
      </c>
      <c r="AQ106" t="b">
        <f t="shared" si="149"/>
        <v>0</v>
      </c>
      <c r="AR106" t="b">
        <f t="shared" si="150"/>
        <v>0</v>
      </c>
      <c r="AS106" t="b">
        <f t="shared" si="151"/>
        <v>0</v>
      </c>
      <c r="AT106" t="b">
        <f t="shared" si="152"/>
        <v>0</v>
      </c>
      <c r="AU106" t="b">
        <f t="shared" si="153"/>
        <v>0</v>
      </c>
      <c r="AV106" t="b">
        <f t="shared" si="154"/>
        <v>0</v>
      </c>
      <c r="AW106" t="b">
        <f t="shared" si="155"/>
        <v>0</v>
      </c>
      <c r="AX106" t="b">
        <f t="shared" si="157"/>
        <v>0</v>
      </c>
      <c r="AY106" t="b">
        <f t="shared" si="158"/>
        <v>0</v>
      </c>
      <c r="AZ106" t="b">
        <f t="shared" si="159"/>
        <v>0</v>
      </c>
      <c r="BA106" t="b">
        <f t="shared" si="160"/>
        <v>0</v>
      </c>
      <c r="BB106" t="b">
        <f t="shared" si="161"/>
        <v>0</v>
      </c>
      <c r="BC106" t="b">
        <f t="shared" si="162"/>
        <v>0</v>
      </c>
      <c r="BD106" t="b">
        <f t="shared" si="163"/>
        <v>0</v>
      </c>
      <c r="BE106" t="b">
        <f t="shared" si="164"/>
        <v>0</v>
      </c>
      <c r="BF106" t="b">
        <f t="shared" si="165"/>
        <v>0</v>
      </c>
      <c r="BG106" t="b">
        <f t="shared" si="166"/>
        <v>0</v>
      </c>
      <c r="BH106" t="b">
        <f t="shared" si="167"/>
        <v>0</v>
      </c>
      <c r="BI106">
        <f t="shared" si="168"/>
        <v>1</v>
      </c>
      <c r="BJ106" t="b">
        <f t="shared" si="169"/>
        <v>0</v>
      </c>
      <c r="BK106" t="b">
        <f t="shared" si="170"/>
        <v>0</v>
      </c>
      <c r="BL106" t="b">
        <f t="shared" si="171"/>
        <v>0</v>
      </c>
      <c r="BM106" t="b">
        <f t="shared" si="172"/>
        <v>0</v>
      </c>
      <c r="BN106" t="b">
        <f t="shared" si="173"/>
        <v>0</v>
      </c>
      <c r="BO106" t="b">
        <f t="shared" si="174"/>
        <v>0</v>
      </c>
      <c r="BP106" t="b">
        <f t="shared" si="175"/>
        <v>0</v>
      </c>
      <c r="BQ106" t="b">
        <f t="shared" si="176"/>
        <v>0</v>
      </c>
      <c r="BR106" t="b">
        <f t="shared" si="177"/>
        <v>0</v>
      </c>
      <c r="BS106" t="b">
        <f t="shared" si="178"/>
        <v>0</v>
      </c>
      <c r="BT106" t="b">
        <f t="shared" si="179"/>
        <v>0</v>
      </c>
      <c r="BU106" t="b">
        <f t="shared" si="180"/>
        <v>0</v>
      </c>
      <c r="BV106" t="b">
        <f t="shared" si="181"/>
        <v>0</v>
      </c>
      <c r="BW106" t="b">
        <f t="shared" si="182"/>
        <v>0</v>
      </c>
      <c r="BX106" t="b">
        <f t="shared" si="183"/>
        <v>0</v>
      </c>
      <c r="BY106" t="b">
        <f t="shared" si="184"/>
        <v>0</v>
      </c>
      <c r="BZ106" t="b">
        <f t="shared" si="185"/>
        <v>0</v>
      </c>
      <c r="CA106" t="b">
        <f t="shared" si="186"/>
        <v>0</v>
      </c>
      <c r="CB106" t="b">
        <f t="shared" si="187"/>
        <v>0</v>
      </c>
      <c r="CC106" t="b">
        <f t="shared" si="188"/>
        <v>0</v>
      </c>
      <c r="CD106" t="b">
        <f t="shared" si="189"/>
        <v>0</v>
      </c>
      <c r="CE106" t="b">
        <f t="shared" si="190"/>
        <v>0</v>
      </c>
      <c r="CF106" t="b">
        <f t="shared" si="191"/>
        <v>0</v>
      </c>
      <c r="CG106" t="b">
        <f t="shared" si="192"/>
        <v>0</v>
      </c>
      <c r="CH106" t="b">
        <f t="shared" si="193"/>
        <v>0</v>
      </c>
      <c r="CI106" t="b">
        <f t="shared" si="194"/>
        <v>0</v>
      </c>
      <c r="CJ106" t="b">
        <f t="shared" si="195"/>
        <v>0</v>
      </c>
      <c r="CK106" t="b">
        <f t="shared" si="196"/>
        <v>0</v>
      </c>
      <c r="CL106" t="b">
        <f t="shared" si="197"/>
        <v>0</v>
      </c>
      <c r="CM106">
        <f t="shared" si="198"/>
        <v>1</v>
      </c>
      <c r="CN106" t="b">
        <f t="shared" si="199"/>
        <v>0</v>
      </c>
      <c r="CO106" t="b">
        <f t="shared" si="200"/>
        <v>0</v>
      </c>
      <c r="CP106" t="b">
        <f t="shared" si="201"/>
        <v>0</v>
      </c>
      <c r="CQ106" t="b">
        <f t="shared" si="202"/>
        <v>0</v>
      </c>
      <c r="CR106" t="b">
        <f t="shared" si="203"/>
        <v>0</v>
      </c>
      <c r="CS106" t="b">
        <f t="shared" si="204"/>
        <v>0</v>
      </c>
      <c r="CT106" t="b">
        <f t="shared" si="205"/>
        <v>0</v>
      </c>
      <c r="CU106" t="b">
        <f t="shared" si="206"/>
        <v>0</v>
      </c>
      <c r="CV106">
        <f t="shared" si="207"/>
        <v>1</v>
      </c>
      <c r="CW106" t="b">
        <f t="shared" si="208"/>
        <v>0</v>
      </c>
      <c r="CX106" t="b">
        <f t="shared" si="209"/>
        <v>0</v>
      </c>
      <c r="CY106" t="b">
        <f t="shared" si="210"/>
        <v>0</v>
      </c>
      <c r="CZ106" t="b">
        <f t="shared" si="211"/>
        <v>0</v>
      </c>
      <c r="DA106" t="b">
        <f t="shared" si="212"/>
        <v>0</v>
      </c>
      <c r="DB106" t="b">
        <f t="shared" si="213"/>
        <v>0</v>
      </c>
      <c r="DC106" t="b">
        <f t="shared" si="214"/>
        <v>0</v>
      </c>
      <c r="DD106" t="b">
        <f t="shared" si="215"/>
        <v>0</v>
      </c>
      <c r="DE106" t="b">
        <f t="shared" si="216"/>
        <v>0</v>
      </c>
      <c r="DF106" t="b">
        <f t="shared" si="217"/>
        <v>0</v>
      </c>
      <c r="DG106" t="b">
        <f t="shared" si="218"/>
        <v>0</v>
      </c>
      <c r="DH106" t="b">
        <f t="shared" si="219"/>
        <v>0</v>
      </c>
      <c r="DI106" t="b">
        <f t="shared" si="220"/>
        <v>0</v>
      </c>
      <c r="DJ106" t="b">
        <f t="shared" si="221"/>
        <v>0</v>
      </c>
      <c r="DK106" t="b">
        <f t="shared" si="222"/>
        <v>0</v>
      </c>
      <c r="DL106" t="b">
        <f t="shared" si="223"/>
        <v>0</v>
      </c>
      <c r="DM106" t="b">
        <f t="shared" si="224"/>
        <v>0</v>
      </c>
      <c r="DN106" t="b">
        <f t="shared" si="225"/>
        <v>0</v>
      </c>
      <c r="DO106" t="b">
        <f t="shared" si="226"/>
        <v>0</v>
      </c>
      <c r="DP106" t="b">
        <f t="shared" si="227"/>
        <v>0</v>
      </c>
      <c r="DQ106" t="b">
        <f t="shared" si="228"/>
        <v>0</v>
      </c>
      <c r="DR106" t="b">
        <f t="shared" si="229"/>
        <v>0</v>
      </c>
      <c r="DS106" t="b">
        <f t="shared" si="230"/>
        <v>0</v>
      </c>
      <c r="DT106" t="b">
        <f t="shared" si="231"/>
        <v>0</v>
      </c>
      <c r="DU106" t="b">
        <f t="shared" si="232"/>
        <v>0</v>
      </c>
      <c r="DV106" t="b">
        <f t="shared" si="233"/>
        <v>0</v>
      </c>
      <c r="DW106" t="b">
        <f t="shared" si="234"/>
        <v>0</v>
      </c>
      <c r="DX106" t="b">
        <f t="shared" si="235"/>
        <v>0</v>
      </c>
      <c r="DY106" t="b">
        <f t="shared" si="236"/>
        <v>0</v>
      </c>
      <c r="DZ106" t="b">
        <f t="shared" si="237"/>
        <v>0</v>
      </c>
      <c r="EA106" t="b">
        <f t="shared" si="238"/>
        <v>0</v>
      </c>
      <c r="EB106" t="b">
        <f t="shared" si="239"/>
        <v>0</v>
      </c>
      <c r="EC106" t="b">
        <f t="shared" si="240"/>
        <v>0</v>
      </c>
      <c r="ED106" t="b">
        <f t="shared" si="241"/>
        <v>0</v>
      </c>
      <c r="EE106" t="b">
        <f t="shared" si="242"/>
        <v>0</v>
      </c>
      <c r="EF106">
        <f t="shared" si="243"/>
        <v>1</v>
      </c>
      <c r="EG106" t="b">
        <f t="shared" si="244"/>
        <v>0</v>
      </c>
      <c r="EH106" t="b">
        <f t="shared" si="245"/>
        <v>0</v>
      </c>
      <c r="EI106" t="b">
        <f t="shared" si="246"/>
        <v>0</v>
      </c>
      <c r="EJ106" t="b">
        <f t="shared" si="247"/>
        <v>0</v>
      </c>
      <c r="EK106" t="b">
        <f t="shared" si="248"/>
        <v>0</v>
      </c>
    </row>
    <row r="107" spans="1:141">
      <c r="A107" t="s">
        <v>661</v>
      </c>
      <c r="B107" t="s">
        <v>662</v>
      </c>
      <c r="C107" t="s">
        <v>663</v>
      </c>
      <c r="D107" s="1">
        <v>42430</v>
      </c>
      <c r="E107" s="2">
        <v>42766.277881944443</v>
      </c>
      <c r="F107" s="2">
        <v>42766.277881944443</v>
      </c>
      <c r="G107">
        <v>1871373</v>
      </c>
      <c r="H107" t="s">
        <v>664</v>
      </c>
      <c r="I107" s="10" t="s">
        <v>665</v>
      </c>
      <c r="J107" t="s">
        <v>156</v>
      </c>
      <c r="K107" s="8" t="b">
        <v>1</v>
      </c>
      <c r="L107" s="10" t="b">
        <v>0</v>
      </c>
      <c r="M107" s="12" t="b">
        <v>0</v>
      </c>
      <c r="N107" t="b">
        <v>0</v>
      </c>
      <c r="O107" t="b">
        <v>0</v>
      </c>
      <c r="P107" t="b">
        <v>0</v>
      </c>
      <c r="Q107">
        <f t="shared" si="125"/>
        <v>3</v>
      </c>
      <c r="R107">
        <f t="shared" si="126"/>
        <v>3</v>
      </c>
      <c r="S107" t="e">
        <f t="shared" ca="1" si="156"/>
        <v>#NAME?</v>
      </c>
      <c r="T107" t="e">
        <f t="shared" ca="1" si="127"/>
        <v>#NAME?</v>
      </c>
      <c r="U107" s="4">
        <f t="shared" si="128"/>
        <v>336.27788194444292</v>
      </c>
      <c r="V107" s="4">
        <f t="shared" si="129"/>
        <v>11.209262731481431</v>
      </c>
      <c r="W107" s="4">
        <f t="shared" si="130"/>
        <v>1</v>
      </c>
      <c r="X107" s="4">
        <f t="shared" si="131"/>
        <v>0</v>
      </c>
      <c r="Y107" s="4">
        <f t="shared" si="132"/>
        <v>0</v>
      </c>
      <c r="Z107" s="4">
        <f t="shared" si="133"/>
        <v>0</v>
      </c>
      <c r="AA107" s="4">
        <f t="shared" si="134"/>
        <v>0</v>
      </c>
      <c r="AB107" s="4">
        <f t="shared" si="135"/>
        <v>0</v>
      </c>
      <c r="AC107" s="4"/>
      <c r="AD107" s="4" t="b">
        <f t="shared" si="136"/>
        <v>0</v>
      </c>
      <c r="AE107" s="4" t="b">
        <f t="shared" si="137"/>
        <v>0</v>
      </c>
      <c r="AF107" s="4" t="b">
        <f t="shared" si="138"/>
        <v>0</v>
      </c>
      <c r="AG107" t="b">
        <f t="shared" si="139"/>
        <v>0</v>
      </c>
      <c r="AH107" t="b">
        <f t="shared" si="140"/>
        <v>0</v>
      </c>
      <c r="AI107" t="b">
        <f t="shared" si="141"/>
        <v>0</v>
      </c>
      <c r="AJ107" t="b">
        <f t="shared" si="142"/>
        <v>0</v>
      </c>
      <c r="AK107" t="b">
        <f t="shared" si="143"/>
        <v>0</v>
      </c>
      <c r="AL107" t="b">
        <f t="shared" si="144"/>
        <v>0</v>
      </c>
      <c r="AM107" t="b">
        <f t="shared" si="145"/>
        <v>0</v>
      </c>
      <c r="AN107" t="b">
        <f t="shared" si="146"/>
        <v>0</v>
      </c>
      <c r="AO107" t="b">
        <f t="shared" si="147"/>
        <v>0</v>
      </c>
      <c r="AP107" t="b">
        <f t="shared" si="148"/>
        <v>0</v>
      </c>
      <c r="AQ107" t="b">
        <f t="shared" si="149"/>
        <v>0</v>
      </c>
      <c r="AR107" t="b">
        <f t="shared" si="150"/>
        <v>0</v>
      </c>
      <c r="AS107" t="b">
        <f t="shared" si="151"/>
        <v>0</v>
      </c>
      <c r="AT107" t="b">
        <f t="shared" si="152"/>
        <v>0</v>
      </c>
      <c r="AU107" t="b">
        <f t="shared" si="153"/>
        <v>0</v>
      </c>
      <c r="AV107" t="b">
        <f t="shared" si="154"/>
        <v>0</v>
      </c>
      <c r="AW107" t="b">
        <f t="shared" si="155"/>
        <v>0</v>
      </c>
      <c r="AX107" t="b">
        <f t="shared" si="157"/>
        <v>0</v>
      </c>
      <c r="AY107" t="b">
        <f t="shared" si="158"/>
        <v>0</v>
      </c>
      <c r="AZ107" t="b">
        <f t="shared" si="159"/>
        <v>0</v>
      </c>
      <c r="BA107" t="b">
        <f t="shared" si="160"/>
        <v>0</v>
      </c>
      <c r="BB107" t="b">
        <f t="shared" si="161"/>
        <v>0</v>
      </c>
      <c r="BC107" t="b">
        <f t="shared" si="162"/>
        <v>0</v>
      </c>
      <c r="BD107" t="b">
        <f t="shared" si="163"/>
        <v>0</v>
      </c>
      <c r="BE107" t="b">
        <f t="shared" si="164"/>
        <v>0</v>
      </c>
      <c r="BF107" t="b">
        <f t="shared" si="165"/>
        <v>0</v>
      </c>
      <c r="BG107" t="b">
        <f t="shared" si="166"/>
        <v>0</v>
      </c>
      <c r="BH107" t="b">
        <f t="shared" si="167"/>
        <v>0</v>
      </c>
      <c r="BI107">
        <f t="shared" si="168"/>
        <v>1</v>
      </c>
      <c r="BJ107" t="b">
        <f t="shared" si="169"/>
        <v>0</v>
      </c>
      <c r="BK107" t="b">
        <f t="shared" si="170"/>
        <v>0</v>
      </c>
      <c r="BL107" t="b">
        <f t="shared" si="171"/>
        <v>0</v>
      </c>
      <c r="BM107" t="b">
        <f t="shared" si="172"/>
        <v>0</v>
      </c>
      <c r="BN107" t="b">
        <f t="shared" si="173"/>
        <v>0</v>
      </c>
      <c r="BO107" t="b">
        <f t="shared" si="174"/>
        <v>0</v>
      </c>
      <c r="BP107" t="b">
        <f t="shared" si="175"/>
        <v>0</v>
      </c>
      <c r="BQ107" t="b">
        <f t="shared" si="176"/>
        <v>0</v>
      </c>
      <c r="BR107" t="b">
        <f t="shared" si="177"/>
        <v>0</v>
      </c>
      <c r="BS107" t="b">
        <f t="shared" si="178"/>
        <v>0</v>
      </c>
      <c r="BT107" t="b">
        <f t="shared" si="179"/>
        <v>0</v>
      </c>
      <c r="BU107" t="b">
        <f t="shared" si="180"/>
        <v>0</v>
      </c>
      <c r="BV107" t="b">
        <f t="shared" si="181"/>
        <v>0</v>
      </c>
      <c r="BW107" t="b">
        <f t="shared" si="182"/>
        <v>0</v>
      </c>
      <c r="BX107" t="b">
        <f t="shared" si="183"/>
        <v>0</v>
      </c>
      <c r="BY107" t="b">
        <f t="shared" si="184"/>
        <v>0</v>
      </c>
      <c r="BZ107" t="b">
        <f t="shared" si="185"/>
        <v>0</v>
      </c>
      <c r="CA107" t="b">
        <f t="shared" si="186"/>
        <v>0</v>
      </c>
      <c r="CB107" t="b">
        <f t="shared" si="187"/>
        <v>0</v>
      </c>
      <c r="CC107" t="b">
        <f t="shared" si="188"/>
        <v>0</v>
      </c>
      <c r="CD107" t="b">
        <f t="shared" si="189"/>
        <v>0</v>
      </c>
      <c r="CE107" t="b">
        <f t="shared" si="190"/>
        <v>0</v>
      </c>
      <c r="CF107" t="b">
        <f t="shared" si="191"/>
        <v>0</v>
      </c>
      <c r="CG107" t="b">
        <f t="shared" si="192"/>
        <v>0</v>
      </c>
      <c r="CH107" t="b">
        <f t="shared" si="193"/>
        <v>0</v>
      </c>
      <c r="CI107" t="b">
        <f t="shared" si="194"/>
        <v>0</v>
      </c>
      <c r="CJ107" t="b">
        <f t="shared" si="195"/>
        <v>0</v>
      </c>
      <c r="CK107" t="b">
        <f t="shared" si="196"/>
        <v>0</v>
      </c>
      <c r="CL107" t="b">
        <f t="shared" si="197"/>
        <v>0</v>
      </c>
      <c r="CM107" t="b">
        <f t="shared" si="198"/>
        <v>0</v>
      </c>
      <c r="CN107" t="b">
        <f t="shared" si="199"/>
        <v>0</v>
      </c>
      <c r="CO107" t="b">
        <f t="shared" si="200"/>
        <v>0</v>
      </c>
      <c r="CP107" t="b">
        <f t="shared" si="201"/>
        <v>0</v>
      </c>
      <c r="CQ107" t="b">
        <f t="shared" si="202"/>
        <v>0</v>
      </c>
      <c r="CR107" t="b">
        <f t="shared" si="203"/>
        <v>0</v>
      </c>
      <c r="CS107" t="b">
        <f t="shared" si="204"/>
        <v>0</v>
      </c>
      <c r="CT107" t="b">
        <f t="shared" si="205"/>
        <v>0</v>
      </c>
      <c r="CU107" t="b">
        <f t="shared" si="206"/>
        <v>0</v>
      </c>
      <c r="CV107">
        <f t="shared" si="207"/>
        <v>1</v>
      </c>
      <c r="CW107" t="b">
        <f t="shared" si="208"/>
        <v>0</v>
      </c>
      <c r="CX107" t="b">
        <f t="shared" si="209"/>
        <v>0</v>
      </c>
      <c r="CY107" t="b">
        <f t="shared" si="210"/>
        <v>0</v>
      </c>
      <c r="CZ107" t="b">
        <f t="shared" si="211"/>
        <v>0</v>
      </c>
      <c r="DA107" t="b">
        <f t="shared" si="212"/>
        <v>0</v>
      </c>
      <c r="DB107" t="b">
        <f t="shared" si="213"/>
        <v>0</v>
      </c>
      <c r="DC107" t="b">
        <f t="shared" si="214"/>
        <v>0</v>
      </c>
      <c r="DD107" t="b">
        <f t="shared" si="215"/>
        <v>0</v>
      </c>
      <c r="DE107" t="b">
        <f t="shared" si="216"/>
        <v>0</v>
      </c>
      <c r="DF107" t="b">
        <f t="shared" si="217"/>
        <v>0</v>
      </c>
      <c r="DG107" t="b">
        <f t="shared" si="218"/>
        <v>0</v>
      </c>
      <c r="DH107" t="b">
        <f t="shared" si="219"/>
        <v>0</v>
      </c>
      <c r="DI107" t="b">
        <f t="shared" si="220"/>
        <v>0</v>
      </c>
      <c r="DJ107" t="b">
        <f t="shared" si="221"/>
        <v>0</v>
      </c>
      <c r="DK107" t="b">
        <f t="shared" si="222"/>
        <v>0</v>
      </c>
      <c r="DL107" t="b">
        <f t="shared" si="223"/>
        <v>0</v>
      </c>
      <c r="DM107" t="b">
        <f t="shared" si="224"/>
        <v>0</v>
      </c>
      <c r="DN107" t="b">
        <f t="shared" si="225"/>
        <v>0</v>
      </c>
      <c r="DO107" t="b">
        <f t="shared" si="226"/>
        <v>0</v>
      </c>
      <c r="DP107" t="b">
        <f t="shared" si="227"/>
        <v>0</v>
      </c>
      <c r="DQ107" t="b">
        <f t="shared" si="228"/>
        <v>0</v>
      </c>
      <c r="DR107" t="b">
        <f t="shared" si="229"/>
        <v>0</v>
      </c>
      <c r="DS107" t="b">
        <f t="shared" si="230"/>
        <v>0</v>
      </c>
      <c r="DT107" t="b">
        <f t="shared" si="231"/>
        <v>0</v>
      </c>
      <c r="DU107" t="b">
        <f t="shared" si="232"/>
        <v>0</v>
      </c>
      <c r="DV107" t="b">
        <f t="shared" si="233"/>
        <v>0</v>
      </c>
      <c r="DW107" t="b">
        <f t="shared" si="234"/>
        <v>0</v>
      </c>
      <c r="DX107" t="b">
        <f t="shared" si="235"/>
        <v>0</v>
      </c>
      <c r="DY107" t="b">
        <f t="shared" si="236"/>
        <v>0</v>
      </c>
      <c r="DZ107" t="b">
        <f t="shared" si="237"/>
        <v>0</v>
      </c>
      <c r="EA107" t="b">
        <f t="shared" si="238"/>
        <v>0</v>
      </c>
      <c r="EB107" t="b">
        <f t="shared" si="239"/>
        <v>0</v>
      </c>
      <c r="EC107" t="b">
        <f t="shared" si="240"/>
        <v>0</v>
      </c>
      <c r="ED107" t="b">
        <f t="shared" si="241"/>
        <v>0</v>
      </c>
      <c r="EE107" t="b">
        <f t="shared" si="242"/>
        <v>0</v>
      </c>
      <c r="EF107">
        <f t="shared" si="243"/>
        <v>1</v>
      </c>
      <c r="EG107" t="b">
        <f t="shared" si="244"/>
        <v>0</v>
      </c>
      <c r="EH107" t="b">
        <f t="shared" si="245"/>
        <v>0</v>
      </c>
      <c r="EI107" t="b">
        <f t="shared" si="246"/>
        <v>0</v>
      </c>
      <c r="EJ107" t="b">
        <f t="shared" si="247"/>
        <v>0</v>
      </c>
      <c r="EK107" t="b">
        <f t="shared" si="248"/>
        <v>0</v>
      </c>
    </row>
    <row r="108" spans="1:141">
      <c r="A108" t="s">
        <v>666</v>
      </c>
      <c r="B108" t="s">
        <v>666</v>
      </c>
      <c r="C108" t="s">
        <v>667</v>
      </c>
      <c r="D108" s="1">
        <v>44629</v>
      </c>
      <c r="E108" s="2">
        <v>44637.26321759259</v>
      </c>
      <c r="F108" s="2">
        <v>44637.26321759259</v>
      </c>
      <c r="G108">
        <v>19218203</v>
      </c>
      <c r="H108" t="s">
        <v>668</v>
      </c>
      <c r="I108" s="10" t="s">
        <v>669</v>
      </c>
      <c r="J108" t="s">
        <v>670</v>
      </c>
      <c r="K108" s="8" t="b">
        <v>0</v>
      </c>
      <c r="L108" s="10" t="b">
        <v>0</v>
      </c>
      <c r="M108" s="12" t="b">
        <v>0</v>
      </c>
      <c r="N108" t="b">
        <v>0</v>
      </c>
      <c r="O108" t="b">
        <v>0</v>
      </c>
      <c r="P108" t="b">
        <v>0</v>
      </c>
      <c r="Q108">
        <f t="shared" si="125"/>
        <v>4</v>
      </c>
      <c r="R108">
        <f t="shared" si="126"/>
        <v>3</v>
      </c>
      <c r="S108" t="e">
        <f t="shared" ca="1" si="156"/>
        <v>#NAME?</v>
      </c>
      <c r="T108" t="e">
        <f t="shared" ca="1" si="127"/>
        <v>#NAME?</v>
      </c>
      <c r="U108" s="4">
        <f t="shared" si="128"/>
        <v>8.263217592590081</v>
      </c>
      <c r="V108" s="4">
        <f t="shared" si="129"/>
        <v>0.27544058641966934</v>
      </c>
      <c r="W108" s="4">
        <f t="shared" si="130"/>
        <v>0</v>
      </c>
      <c r="X108" s="4">
        <f t="shared" si="131"/>
        <v>0</v>
      </c>
      <c r="Y108" s="4">
        <f t="shared" si="132"/>
        <v>0</v>
      </c>
      <c r="Z108" s="4">
        <f t="shared" si="133"/>
        <v>0</v>
      </c>
      <c r="AA108" s="4">
        <f t="shared" si="134"/>
        <v>0</v>
      </c>
      <c r="AB108" s="4">
        <f t="shared" si="135"/>
        <v>0</v>
      </c>
      <c r="AC108" s="4"/>
      <c r="AD108" s="4" t="b">
        <f t="shared" si="136"/>
        <v>0</v>
      </c>
      <c r="AE108" s="4" t="b">
        <f t="shared" si="137"/>
        <v>0</v>
      </c>
      <c r="AF108" s="4" t="b">
        <f t="shared" si="138"/>
        <v>0</v>
      </c>
      <c r="AG108" t="b">
        <f t="shared" si="139"/>
        <v>0</v>
      </c>
      <c r="AH108" t="b">
        <f t="shared" si="140"/>
        <v>0</v>
      </c>
      <c r="AI108" t="b">
        <f t="shared" si="141"/>
        <v>0</v>
      </c>
      <c r="AJ108" t="b">
        <f t="shared" si="142"/>
        <v>0</v>
      </c>
      <c r="AK108" t="b">
        <f t="shared" si="143"/>
        <v>0</v>
      </c>
      <c r="AL108" t="b">
        <f t="shared" si="144"/>
        <v>0</v>
      </c>
      <c r="AM108" t="b">
        <f t="shared" si="145"/>
        <v>0</v>
      </c>
      <c r="AN108" t="b">
        <f t="shared" si="146"/>
        <v>0</v>
      </c>
      <c r="AO108" t="b">
        <f t="shared" si="147"/>
        <v>0</v>
      </c>
      <c r="AP108" t="b">
        <f t="shared" si="148"/>
        <v>0</v>
      </c>
      <c r="AQ108" t="b">
        <f t="shared" si="149"/>
        <v>0</v>
      </c>
      <c r="AR108" t="b">
        <f t="shared" si="150"/>
        <v>0</v>
      </c>
      <c r="AS108" t="b">
        <f t="shared" si="151"/>
        <v>0</v>
      </c>
      <c r="AT108" t="b">
        <f t="shared" si="152"/>
        <v>0</v>
      </c>
      <c r="AU108" t="b">
        <f t="shared" si="153"/>
        <v>0</v>
      </c>
      <c r="AV108" t="b">
        <f t="shared" si="154"/>
        <v>0</v>
      </c>
      <c r="AW108" t="b">
        <f t="shared" si="155"/>
        <v>0</v>
      </c>
      <c r="AX108" t="b">
        <f t="shared" si="157"/>
        <v>0</v>
      </c>
      <c r="AY108" t="b">
        <f t="shared" si="158"/>
        <v>0</v>
      </c>
      <c r="AZ108" t="b">
        <f t="shared" si="159"/>
        <v>0</v>
      </c>
      <c r="BA108" t="b">
        <f t="shared" si="160"/>
        <v>0</v>
      </c>
      <c r="BB108" t="b">
        <f t="shared" si="161"/>
        <v>0</v>
      </c>
      <c r="BC108" t="b">
        <f t="shared" si="162"/>
        <v>0</v>
      </c>
      <c r="BD108" t="b">
        <f t="shared" si="163"/>
        <v>0</v>
      </c>
      <c r="BE108" t="b">
        <f t="shared" si="164"/>
        <v>0</v>
      </c>
      <c r="BF108" t="b">
        <f t="shared" si="165"/>
        <v>0</v>
      </c>
      <c r="BG108" t="b">
        <f t="shared" si="166"/>
        <v>0</v>
      </c>
      <c r="BH108" t="b">
        <f t="shared" si="167"/>
        <v>0</v>
      </c>
      <c r="BI108">
        <f t="shared" si="168"/>
        <v>1</v>
      </c>
      <c r="BJ108" t="b">
        <f t="shared" si="169"/>
        <v>0</v>
      </c>
      <c r="BK108" t="b">
        <f t="shared" si="170"/>
        <v>0</v>
      </c>
      <c r="BL108" t="b">
        <f t="shared" si="171"/>
        <v>0</v>
      </c>
      <c r="BM108" t="b">
        <f t="shared" si="172"/>
        <v>0</v>
      </c>
      <c r="BN108" t="b">
        <f t="shared" si="173"/>
        <v>0</v>
      </c>
      <c r="BO108" t="b">
        <f t="shared" si="174"/>
        <v>0</v>
      </c>
      <c r="BP108" t="b">
        <f t="shared" si="175"/>
        <v>0</v>
      </c>
      <c r="BQ108" t="b">
        <f t="shared" si="176"/>
        <v>0</v>
      </c>
      <c r="BR108" t="b">
        <f t="shared" si="177"/>
        <v>0</v>
      </c>
      <c r="BS108" t="b">
        <f t="shared" si="178"/>
        <v>0</v>
      </c>
      <c r="BT108" t="b">
        <f t="shared" si="179"/>
        <v>0</v>
      </c>
      <c r="BU108" t="b">
        <f t="shared" si="180"/>
        <v>0</v>
      </c>
      <c r="BV108" t="b">
        <f t="shared" si="181"/>
        <v>0</v>
      </c>
      <c r="BW108" t="b">
        <f t="shared" si="182"/>
        <v>0</v>
      </c>
      <c r="BX108" t="b">
        <f t="shared" si="183"/>
        <v>0</v>
      </c>
      <c r="BY108" t="b">
        <f t="shared" si="184"/>
        <v>0</v>
      </c>
      <c r="BZ108" t="b">
        <f t="shared" si="185"/>
        <v>0</v>
      </c>
      <c r="CA108" t="b">
        <f t="shared" si="186"/>
        <v>0</v>
      </c>
      <c r="CB108" t="b">
        <f t="shared" si="187"/>
        <v>0</v>
      </c>
      <c r="CC108" t="b">
        <f t="shared" si="188"/>
        <v>0</v>
      </c>
      <c r="CD108" t="b">
        <f t="shared" si="189"/>
        <v>0</v>
      </c>
      <c r="CE108" t="b">
        <f t="shared" si="190"/>
        <v>0</v>
      </c>
      <c r="CF108" t="b">
        <f t="shared" si="191"/>
        <v>0</v>
      </c>
      <c r="CG108" t="b">
        <f t="shared" si="192"/>
        <v>0</v>
      </c>
      <c r="CH108" t="b">
        <f t="shared" si="193"/>
        <v>0</v>
      </c>
      <c r="CI108" t="b">
        <f t="shared" si="194"/>
        <v>0</v>
      </c>
      <c r="CJ108" t="b">
        <f t="shared" si="195"/>
        <v>0</v>
      </c>
      <c r="CK108" t="b">
        <f t="shared" si="196"/>
        <v>0</v>
      </c>
      <c r="CL108" t="b">
        <f t="shared" si="197"/>
        <v>0</v>
      </c>
      <c r="CM108">
        <f t="shared" si="198"/>
        <v>1</v>
      </c>
      <c r="CN108" t="b">
        <f t="shared" si="199"/>
        <v>0</v>
      </c>
      <c r="CO108" t="b">
        <f t="shared" si="200"/>
        <v>0</v>
      </c>
      <c r="CP108" t="b">
        <f t="shared" si="201"/>
        <v>0</v>
      </c>
      <c r="CQ108" t="b">
        <f t="shared" si="202"/>
        <v>0</v>
      </c>
      <c r="CR108" t="b">
        <f t="shared" si="203"/>
        <v>0</v>
      </c>
      <c r="CS108" t="b">
        <f t="shared" si="204"/>
        <v>0</v>
      </c>
      <c r="CT108" t="b">
        <f t="shared" si="205"/>
        <v>0</v>
      </c>
      <c r="CU108" t="b">
        <f t="shared" si="206"/>
        <v>0</v>
      </c>
      <c r="CV108" t="b">
        <f t="shared" si="207"/>
        <v>0</v>
      </c>
      <c r="CW108" t="b">
        <f t="shared" si="208"/>
        <v>0</v>
      </c>
      <c r="CX108" t="b">
        <f t="shared" si="209"/>
        <v>0</v>
      </c>
      <c r="CY108" t="b">
        <f t="shared" si="210"/>
        <v>0</v>
      </c>
      <c r="CZ108" t="b">
        <f t="shared" si="211"/>
        <v>0</v>
      </c>
      <c r="DA108">
        <f t="shared" si="212"/>
        <v>1</v>
      </c>
      <c r="DB108" t="b">
        <f t="shared" si="213"/>
        <v>0</v>
      </c>
      <c r="DC108" t="b">
        <f t="shared" si="214"/>
        <v>0</v>
      </c>
      <c r="DD108" t="b">
        <f t="shared" si="215"/>
        <v>0</v>
      </c>
      <c r="DE108" t="b">
        <f t="shared" si="216"/>
        <v>0</v>
      </c>
      <c r="DF108" t="b">
        <f t="shared" si="217"/>
        <v>0</v>
      </c>
      <c r="DG108" t="b">
        <f t="shared" si="218"/>
        <v>0</v>
      </c>
      <c r="DH108" t="b">
        <f t="shared" si="219"/>
        <v>0</v>
      </c>
      <c r="DI108" t="b">
        <f t="shared" si="220"/>
        <v>0</v>
      </c>
      <c r="DJ108" t="b">
        <f t="shared" si="221"/>
        <v>0</v>
      </c>
      <c r="DK108" t="b">
        <f t="shared" si="222"/>
        <v>0</v>
      </c>
      <c r="DL108" t="b">
        <f t="shared" si="223"/>
        <v>0</v>
      </c>
      <c r="DM108" t="b">
        <f t="shared" si="224"/>
        <v>0</v>
      </c>
      <c r="DN108" t="b">
        <f t="shared" si="225"/>
        <v>0</v>
      </c>
      <c r="DO108" t="b">
        <f t="shared" si="226"/>
        <v>0</v>
      </c>
      <c r="DP108" t="b">
        <f t="shared" si="227"/>
        <v>0</v>
      </c>
      <c r="DQ108" t="b">
        <f t="shared" si="228"/>
        <v>0</v>
      </c>
      <c r="DR108" t="b">
        <f t="shared" si="229"/>
        <v>0</v>
      </c>
      <c r="DS108" t="b">
        <f t="shared" si="230"/>
        <v>0</v>
      </c>
      <c r="DT108" t="b">
        <f t="shared" si="231"/>
        <v>0</v>
      </c>
      <c r="DU108" t="b">
        <f t="shared" si="232"/>
        <v>0</v>
      </c>
      <c r="DV108" t="b">
        <f t="shared" si="233"/>
        <v>0</v>
      </c>
      <c r="DW108" t="b">
        <f t="shared" si="234"/>
        <v>0</v>
      </c>
      <c r="DX108" t="b">
        <f t="shared" si="235"/>
        <v>0</v>
      </c>
      <c r="DY108" t="b">
        <f t="shared" si="236"/>
        <v>0</v>
      </c>
      <c r="DZ108" t="b">
        <f t="shared" si="237"/>
        <v>0</v>
      </c>
      <c r="EA108" t="b">
        <f t="shared" si="238"/>
        <v>0</v>
      </c>
      <c r="EB108" t="b">
        <f t="shared" si="239"/>
        <v>0</v>
      </c>
      <c r="EC108" t="b">
        <f t="shared" si="240"/>
        <v>0</v>
      </c>
      <c r="ED108" t="b">
        <f t="shared" si="241"/>
        <v>0</v>
      </c>
      <c r="EE108" t="b">
        <f t="shared" si="242"/>
        <v>0</v>
      </c>
      <c r="EF108" t="b">
        <f t="shared" si="243"/>
        <v>0</v>
      </c>
      <c r="EG108" t="b">
        <f t="shared" si="244"/>
        <v>0</v>
      </c>
      <c r="EH108" t="b">
        <f t="shared" si="245"/>
        <v>0</v>
      </c>
      <c r="EI108" t="b">
        <f t="shared" si="246"/>
        <v>0</v>
      </c>
      <c r="EJ108" t="b">
        <f t="shared" si="247"/>
        <v>0</v>
      </c>
      <c r="EK108" t="b">
        <f t="shared" si="248"/>
        <v>0</v>
      </c>
    </row>
    <row r="109" spans="1:141">
      <c r="A109" t="s">
        <v>671</v>
      </c>
      <c r="B109" t="s">
        <v>671</v>
      </c>
      <c r="C109" t="s">
        <v>672</v>
      </c>
      <c r="D109" s="1">
        <v>43916</v>
      </c>
      <c r="E109" s="2">
        <v>44041.890115740738</v>
      </c>
      <c r="F109" s="2">
        <v>44041.890115740738</v>
      </c>
      <c r="G109">
        <v>2520441</v>
      </c>
      <c r="H109" t="s">
        <v>673</v>
      </c>
      <c r="I109" s="10" t="s">
        <v>674</v>
      </c>
      <c r="J109" t="s">
        <v>675</v>
      </c>
      <c r="K109" s="8" t="b">
        <v>1</v>
      </c>
      <c r="L109" s="10" t="b">
        <v>0</v>
      </c>
      <c r="M109" s="12" t="b">
        <v>0</v>
      </c>
      <c r="N109" t="b">
        <v>0</v>
      </c>
      <c r="O109" t="b">
        <v>0</v>
      </c>
      <c r="P109" t="b">
        <v>0</v>
      </c>
      <c r="Q109">
        <f t="shared" si="125"/>
        <v>5</v>
      </c>
      <c r="R109">
        <f t="shared" si="126"/>
        <v>3</v>
      </c>
      <c r="S109" t="e">
        <f t="shared" ca="1" si="156"/>
        <v>#NAME?</v>
      </c>
      <c r="T109" t="e">
        <f t="shared" ca="1" si="127"/>
        <v>#NAME?</v>
      </c>
      <c r="U109" s="4">
        <f t="shared" si="128"/>
        <v>125.89011574073811</v>
      </c>
      <c r="V109" s="4">
        <f t="shared" si="129"/>
        <v>4.1963371913579373</v>
      </c>
      <c r="W109" s="4">
        <f t="shared" si="130"/>
        <v>1</v>
      </c>
      <c r="X109" s="4">
        <f t="shared" si="131"/>
        <v>0</v>
      </c>
      <c r="Y109" s="4">
        <f t="shared" si="132"/>
        <v>0</v>
      </c>
      <c r="Z109" s="4">
        <f t="shared" si="133"/>
        <v>0</v>
      </c>
      <c r="AA109" s="4">
        <f t="shared" si="134"/>
        <v>0</v>
      </c>
      <c r="AB109" s="4">
        <f t="shared" si="135"/>
        <v>0</v>
      </c>
      <c r="AC109" s="4"/>
      <c r="AD109" s="4" t="b">
        <f t="shared" si="136"/>
        <v>0</v>
      </c>
      <c r="AE109" s="4" t="b">
        <f t="shared" si="137"/>
        <v>0</v>
      </c>
      <c r="AF109" s="4" t="b">
        <f t="shared" si="138"/>
        <v>0</v>
      </c>
      <c r="AG109" t="b">
        <f t="shared" si="139"/>
        <v>0</v>
      </c>
      <c r="AH109" t="b">
        <f t="shared" si="140"/>
        <v>0</v>
      </c>
      <c r="AI109" t="b">
        <f t="shared" si="141"/>
        <v>0</v>
      </c>
      <c r="AJ109" t="b">
        <f t="shared" si="142"/>
        <v>0</v>
      </c>
      <c r="AK109" t="b">
        <f t="shared" si="143"/>
        <v>0</v>
      </c>
      <c r="AL109" t="b">
        <f t="shared" si="144"/>
        <v>0</v>
      </c>
      <c r="AM109" t="b">
        <f t="shared" si="145"/>
        <v>0</v>
      </c>
      <c r="AN109" t="b">
        <f t="shared" si="146"/>
        <v>0</v>
      </c>
      <c r="AO109" t="b">
        <f t="shared" si="147"/>
        <v>0</v>
      </c>
      <c r="AP109" t="b">
        <f t="shared" si="148"/>
        <v>0</v>
      </c>
      <c r="AQ109" t="b">
        <f t="shared" si="149"/>
        <v>0</v>
      </c>
      <c r="AR109" t="b">
        <f t="shared" si="150"/>
        <v>0</v>
      </c>
      <c r="AS109" t="b">
        <f t="shared" si="151"/>
        <v>0</v>
      </c>
      <c r="AT109" t="b">
        <f t="shared" si="152"/>
        <v>0</v>
      </c>
      <c r="AU109" t="b">
        <f t="shared" si="153"/>
        <v>0</v>
      </c>
      <c r="AV109" t="b">
        <f t="shared" si="154"/>
        <v>0</v>
      </c>
      <c r="AW109" t="b">
        <f t="shared" si="155"/>
        <v>0</v>
      </c>
      <c r="AX109" t="b">
        <f t="shared" si="157"/>
        <v>0</v>
      </c>
      <c r="AY109" t="b">
        <f t="shared" si="158"/>
        <v>0</v>
      </c>
      <c r="AZ109" t="b">
        <f t="shared" si="159"/>
        <v>0</v>
      </c>
      <c r="BA109" t="b">
        <f t="shared" si="160"/>
        <v>0</v>
      </c>
      <c r="BB109" t="b">
        <f t="shared" si="161"/>
        <v>0</v>
      </c>
      <c r="BC109" t="b">
        <f t="shared" si="162"/>
        <v>0</v>
      </c>
      <c r="BD109" t="b">
        <f t="shared" si="163"/>
        <v>0</v>
      </c>
      <c r="BE109" t="b">
        <f t="shared" si="164"/>
        <v>0</v>
      </c>
      <c r="BF109" t="b">
        <f t="shared" si="165"/>
        <v>0</v>
      </c>
      <c r="BG109" t="b">
        <f t="shared" si="166"/>
        <v>0</v>
      </c>
      <c r="BH109" t="b">
        <f t="shared" si="167"/>
        <v>0</v>
      </c>
      <c r="BI109">
        <f t="shared" si="168"/>
        <v>1</v>
      </c>
      <c r="BJ109" t="b">
        <f t="shared" si="169"/>
        <v>0</v>
      </c>
      <c r="BK109" t="b">
        <f t="shared" si="170"/>
        <v>0</v>
      </c>
      <c r="BL109" t="b">
        <f t="shared" si="171"/>
        <v>0</v>
      </c>
      <c r="BM109" t="b">
        <f t="shared" si="172"/>
        <v>0</v>
      </c>
      <c r="BN109" t="b">
        <f t="shared" si="173"/>
        <v>0</v>
      </c>
      <c r="BO109" t="b">
        <f t="shared" si="174"/>
        <v>0</v>
      </c>
      <c r="BP109" t="b">
        <f t="shared" si="175"/>
        <v>0</v>
      </c>
      <c r="BQ109" t="b">
        <f t="shared" si="176"/>
        <v>0</v>
      </c>
      <c r="BR109" t="b">
        <f t="shared" si="177"/>
        <v>0</v>
      </c>
      <c r="BS109" t="b">
        <f t="shared" si="178"/>
        <v>0</v>
      </c>
      <c r="BT109" t="b">
        <f t="shared" si="179"/>
        <v>0</v>
      </c>
      <c r="BU109" t="b">
        <f t="shared" si="180"/>
        <v>0</v>
      </c>
      <c r="BV109" t="b">
        <f t="shared" si="181"/>
        <v>0</v>
      </c>
      <c r="BW109" t="b">
        <f t="shared" si="182"/>
        <v>0</v>
      </c>
      <c r="BX109" t="b">
        <f t="shared" si="183"/>
        <v>0</v>
      </c>
      <c r="BY109" t="b">
        <f t="shared" si="184"/>
        <v>0</v>
      </c>
      <c r="BZ109" t="b">
        <f t="shared" si="185"/>
        <v>0</v>
      </c>
      <c r="CA109" t="b">
        <f t="shared" si="186"/>
        <v>0</v>
      </c>
      <c r="CB109" t="b">
        <f t="shared" si="187"/>
        <v>0</v>
      </c>
      <c r="CC109" t="b">
        <f t="shared" si="188"/>
        <v>0</v>
      </c>
      <c r="CD109" t="b">
        <f t="shared" si="189"/>
        <v>0</v>
      </c>
      <c r="CE109" t="b">
        <f t="shared" si="190"/>
        <v>0</v>
      </c>
      <c r="CF109" t="b">
        <f t="shared" si="191"/>
        <v>0</v>
      </c>
      <c r="CG109" t="b">
        <f t="shared" si="192"/>
        <v>0</v>
      </c>
      <c r="CH109" t="b">
        <f t="shared" si="193"/>
        <v>0</v>
      </c>
      <c r="CI109" t="b">
        <f t="shared" si="194"/>
        <v>0</v>
      </c>
      <c r="CJ109" t="b">
        <f t="shared" si="195"/>
        <v>0</v>
      </c>
      <c r="CK109" t="b">
        <f t="shared" si="196"/>
        <v>0</v>
      </c>
      <c r="CL109" t="b">
        <f t="shared" si="197"/>
        <v>0</v>
      </c>
      <c r="CM109">
        <f t="shared" si="198"/>
        <v>1</v>
      </c>
      <c r="CN109" t="b">
        <f t="shared" si="199"/>
        <v>0</v>
      </c>
      <c r="CO109" t="b">
        <f t="shared" si="200"/>
        <v>0</v>
      </c>
      <c r="CP109" t="b">
        <f t="shared" si="201"/>
        <v>0</v>
      </c>
      <c r="CQ109" t="b">
        <f t="shared" si="202"/>
        <v>0</v>
      </c>
      <c r="CR109" t="b">
        <f t="shared" si="203"/>
        <v>0</v>
      </c>
      <c r="CS109" t="b">
        <f t="shared" si="204"/>
        <v>0</v>
      </c>
      <c r="CT109" t="b">
        <f t="shared" si="205"/>
        <v>0</v>
      </c>
      <c r="CU109" t="b">
        <f t="shared" si="206"/>
        <v>0</v>
      </c>
      <c r="CV109">
        <f t="shared" si="207"/>
        <v>1</v>
      </c>
      <c r="CW109" t="b">
        <f t="shared" si="208"/>
        <v>0</v>
      </c>
      <c r="CX109" t="b">
        <f t="shared" si="209"/>
        <v>0</v>
      </c>
      <c r="CY109" t="b">
        <f t="shared" si="210"/>
        <v>0</v>
      </c>
      <c r="CZ109" t="b">
        <f t="shared" si="211"/>
        <v>0</v>
      </c>
      <c r="DA109">
        <f t="shared" si="212"/>
        <v>1</v>
      </c>
      <c r="DB109" t="b">
        <f t="shared" si="213"/>
        <v>0</v>
      </c>
      <c r="DC109" t="b">
        <f t="shared" si="214"/>
        <v>0</v>
      </c>
      <c r="DD109" t="b">
        <f t="shared" si="215"/>
        <v>0</v>
      </c>
      <c r="DE109" t="b">
        <f t="shared" si="216"/>
        <v>0</v>
      </c>
      <c r="DF109" t="b">
        <f t="shared" si="217"/>
        <v>0</v>
      </c>
      <c r="DG109" t="b">
        <f t="shared" si="218"/>
        <v>0</v>
      </c>
      <c r="DH109" t="b">
        <f t="shared" si="219"/>
        <v>0</v>
      </c>
      <c r="DI109" t="b">
        <f t="shared" si="220"/>
        <v>0</v>
      </c>
      <c r="DJ109" t="b">
        <f t="shared" si="221"/>
        <v>0</v>
      </c>
      <c r="DK109" t="b">
        <f t="shared" si="222"/>
        <v>0</v>
      </c>
      <c r="DL109" t="b">
        <f t="shared" si="223"/>
        <v>0</v>
      </c>
      <c r="DM109" t="b">
        <f t="shared" si="224"/>
        <v>0</v>
      </c>
      <c r="DN109" t="b">
        <f t="shared" si="225"/>
        <v>0</v>
      </c>
      <c r="DO109" t="b">
        <f t="shared" si="226"/>
        <v>0</v>
      </c>
      <c r="DP109" t="b">
        <f t="shared" si="227"/>
        <v>0</v>
      </c>
      <c r="DQ109" t="b">
        <f t="shared" si="228"/>
        <v>0</v>
      </c>
      <c r="DR109" t="b">
        <f t="shared" si="229"/>
        <v>0</v>
      </c>
      <c r="DS109" t="b">
        <f t="shared" si="230"/>
        <v>0</v>
      </c>
      <c r="DT109" t="b">
        <f t="shared" si="231"/>
        <v>0</v>
      </c>
      <c r="DU109" t="b">
        <f t="shared" si="232"/>
        <v>0</v>
      </c>
      <c r="DV109" t="b">
        <f t="shared" si="233"/>
        <v>0</v>
      </c>
      <c r="DW109" t="b">
        <f t="shared" si="234"/>
        <v>0</v>
      </c>
      <c r="DX109" t="b">
        <f t="shared" si="235"/>
        <v>0</v>
      </c>
      <c r="DY109">
        <f t="shared" si="236"/>
        <v>1</v>
      </c>
      <c r="DZ109" t="b">
        <f t="shared" si="237"/>
        <v>0</v>
      </c>
      <c r="EA109" t="b">
        <f t="shared" si="238"/>
        <v>0</v>
      </c>
      <c r="EB109" t="b">
        <f t="shared" si="239"/>
        <v>0</v>
      </c>
      <c r="EC109" t="b">
        <f t="shared" si="240"/>
        <v>0</v>
      </c>
      <c r="ED109" t="b">
        <f t="shared" si="241"/>
        <v>0</v>
      </c>
      <c r="EE109" t="b">
        <f t="shared" si="242"/>
        <v>0</v>
      </c>
      <c r="EF109" t="b">
        <f t="shared" si="243"/>
        <v>0</v>
      </c>
      <c r="EG109" t="b">
        <f t="shared" si="244"/>
        <v>0</v>
      </c>
      <c r="EH109" t="b">
        <f t="shared" si="245"/>
        <v>0</v>
      </c>
      <c r="EI109" t="b">
        <f t="shared" si="246"/>
        <v>0</v>
      </c>
      <c r="EJ109" t="b">
        <f t="shared" si="247"/>
        <v>0</v>
      </c>
      <c r="EK109" t="b">
        <f t="shared" si="248"/>
        <v>0</v>
      </c>
    </row>
    <row r="110" spans="1:141">
      <c r="A110" t="s">
        <v>676</v>
      </c>
      <c r="B110" t="s">
        <v>677</v>
      </c>
      <c r="C110" t="s">
        <v>678</v>
      </c>
      <c r="D110" s="1">
        <v>42186</v>
      </c>
      <c r="E110" s="2">
        <v>42682.082395833335</v>
      </c>
      <c r="F110" s="2">
        <v>42682.082395833335</v>
      </c>
      <c r="G110">
        <v>444767</v>
      </c>
      <c r="H110" t="s">
        <v>679</v>
      </c>
      <c r="I110" s="10" t="s">
        <v>680</v>
      </c>
      <c r="J110" t="s">
        <v>188</v>
      </c>
      <c r="K110" s="8" t="b">
        <v>1</v>
      </c>
      <c r="L110" s="10" t="b">
        <v>0</v>
      </c>
      <c r="M110" s="12" t="b">
        <v>0</v>
      </c>
      <c r="N110" t="b">
        <v>0</v>
      </c>
      <c r="O110" t="b">
        <v>0</v>
      </c>
      <c r="P110" t="b">
        <v>0</v>
      </c>
      <c r="Q110">
        <f t="shared" si="125"/>
        <v>4</v>
      </c>
      <c r="R110">
        <f t="shared" si="126"/>
        <v>7</v>
      </c>
      <c r="S110" t="e">
        <f t="shared" ca="1" si="156"/>
        <v>#NAME?</v>
      </c>
      <c r="T110" t="e">
        <f t="shared" ca="1" si="127"/>
        <v>#NAME?</v>
      </c>
      <c r="U110" s="4">
        <f t="shared" si="128"/>
        <v>496.08239583333489</v>
      </c>
      <c r="V110" s="4">
        <f t="shared" si="129"/>
        <v>16.536079861111162</v>
      </c>
      <c r="W110" s="4">
        <f t="shared" si="130"/>
        <v>1</v>
      </c>
      <c r="X110" s="4">
        <f t="shared" si="131"/>
        <v>0</v>
      </c>
      <c r="Y110" s="4">
        <f t="shared" si="132"/>
        <v>0</v>
      </c>
      <c r="Z110" s="4">
        <f t="shared" si="133"/>
        <v>0</v>
      </c>
      <c r="AA110" s="4">
        <f t="shared" si="134"/>
        <v>0</v>
      </c>
      <c r="AB110" s="4">
        <f t="shared" si="135"/>
        <v>0</v>
      </c>
      <c r="AC110" s="4"/>
      <c r="AD110" s="4" t="b">
        <f t="shared" si="136"/>
        <v>0</v>
      </c>
      <c r="AE110" s="4" t="b">
        <f t="shared" si="137"/>
        <v>0</v>
      </c>
      <c r="AF110" s="4" t="b">
        <f t="shared" si="138"/>
        <v>0</v>
      </c>
      <c r="AG110" t="b">
        <f t="shared" si="139"/>
        <v>0</v>
      </c>
      <c r="AH110" t="b">
        <f t="shared" si="140"/>
        <v>0</v>
      </c>
      <c r="AI110" t="b">
        <f t="shared" si="141"/>
        <v>0</v>
      </c>
      <c r="AJ110" t="b">
        <f t="shared" si="142"/>
        <v>0</v>
      </c>
      <c r="AK110" t="b">
        <f t="shared" si="143"/>
        <v>0</v>
      </c>
      <c r="AL110" t="b">
        <f t="shared" si="144"/>
        <v>0</v>
      </c>
      <c r="AM110" t="b">
        <f t="shared" si="145"/>
        <v>0</v>
      </c>
      <c r="AN110" t="b">
        <f t="shared" si="146"/>
        <v>0</v>
      </c>
      <c r="AO110" t="b">
        <f t="shared" si="147"/>
        <v>0</v>
      </c>
      <c r="AP110" t="b">
        <f t="shared" si="148"/>
        <v>0</v>
      </c>
      <c r="AQ110" t="b">
        <f t="shared" si="149"/>
        <v>0</v>
      </c>
      <c r="AR110" t="b">
        <f t="shared" si="150"/>
        <v>0</v>
      </c>
      <c r="AS110" t="b">
        <f t="shared" si="151"/>
        <v>0</v>
      </c>
      <c r="AT110" t="b">
        <f t="shared" si="152"/>
        <v>0</v>
      </c>
      <c r="AU110" t="b">
        <f t="shared" si="153"/>
        <v>0</v>
      </c>
      <c r="AV110" t="b">
        <f t="shared" si="154"/>
        <v>0</v>
      </c>
      <c r="AW110" t="b">
        <f t="shared" si="155"/>
        <v>0</v>
      </c>
      <c r="AX110" t="b">
        <f t="shared" si="157"/>
        <v>0</v>
      </c>
      <c r="AY110" t="b">
        <f t="shared" si="158"/>
        <v>0</v>
      </c>
      <c r="AZ110" t="b">
        <f t="shared" si="159"/>
        <v>0</v>
      </c>
      <c r="BA110" t="b">
        <f t="shared" si="160"/>
        <v>0</v>
      </c>
      <c r="BB110" t="b">
        <f t="shared" si="161"/>
        <v>0</v>
      </c>
      <c r="BC110" t="b">
        <f t="shared" si="162"/>
        <v>0</v>
      </c>
      <c r="BD110" t="b">
        <f t="shared" si="163"/>
        <v>0</v>
      </c>
      <c r="BE110" t="b">
        <f t="shared" si="164"/>
        <v>0</v>
      </c>
      <c r="BF110" t="b">
        <f t="shared" si="165"/>
        <v>0</v>
      </c>
      <c r="BG110" t="b">
        <f t="shared" si="166"/>
        <v>0</v>
      </c>
      <c r="BH110" t="b">
        <f t="shared" si="167"/>
        <v>0</v>
      </c>
      <c r="BI110">
        <f t="shared" si="168"/>
        <v>1</v>
      </c>
      <c r="BJ110" t="b">
        <f t="shared" si="169"/>
        <v>0</v>
      </c>
      <c r="BK110" t="b">
        <f t="shared" si="170"/>
        <v>0</v>
      </c>
      <c r="BL110" t="b">
        <f t="shared" si="171"/>
        <v>0</v>
      </c>
      <c r="BM110" t="b">
        <f t="shared" si="172"/>
        <v>0</v>
      </c>
      <c r="BN110" t="b">
        <f t="shared" si="173"/>
        <v>0</v>
      </c>
      <c r="BO110" t="b">
        <f t="shared" si="174"/>
        <v>0</v>
      </c>
      <c r="BP110" t="b">
        <f t="shared" si="175"/>
        <v>0</v>
      </c>
      <c r="BQ110" t="b">
        <f t="shared" si="176"/>
        <v>0</v>
      </c>
      <c r="BR110" t="b">
        <f t="shared" si="177"/>
        <v>0</v>
      </c>
      <c r="BS110" t="b">
        <f t="shared" si="178"/>
        <v>0</v>
      </c>
      <c r="BT110" t="b">
        <f t="shared" si="179"/>
        <v>0</v>
      </c>
      <c r="BU110" t="b">
        <f t="shared" si="180"/>
        <v>0</v>
      </c>
      <c r="BV110" t="b">
        <f t="shared" si="181"/>
        <v>0</v>
      </c>
      <c r="BW110" t="b">
        <f t="shared" si="182"/>
        <v>0</v>
      </c>
      <c r="BX110" t="b">
        <f t="shared" si="183"/>
        <v>0</v>
      </c>
      <c r="BY110" t="b">
        <f t="shared" si="184"/>
        <v>0</v>
      </c>
      <c r="BZ110" t="b">
        <f t="shared" si="185"/>
        <v>0</v>
      </c>
      <c r="CA110" t="b">
        <f t="shared" si="186"/>
        <v>0</v>
      </c>
      <c r="CB110" t="b">
        <f t="shared" si="187"/>
        <v>0</v>
      </c>
      <c r="CC110" t="b">
        <f t="shared" si="188"/>
        <v>0</v>
      </c>
      <c r="CD110" t="b">
        <f t="shared" si="189"/>
        <v>0</v>
      </c>
      <c r="CE110">
        <f t="shared" si="190"/>
        <v>1</v>
      </c>
      <c r="CF110" t="b">
        <f t="shared" si="191"/>
        <v>0</v>
      </c>
      <c r="CG110" t="b">
        <f t="shared" si="192"/>
        <v>0</v>
      </c>
      <c r="CH110" t="b">
        <f t="shared" si="193"/>
        <v>0</v>
      </c>
      <c r="CI110" t="b">
        <f t="shared" si="194"/>
        <v>0</v>
      </c>
      <c r="CJ110" t="b">
        <f t="shared" si="195"/>
        <v>0</v>
      </c>
      <c r="CK110" t="b">
        <f t="shared" si="196"/>
        <v>0</v>
      </c>
      <c r="CL110" t="b">
        <f t="shared" si="197"/>
        <v>0</v>
      </c>
      <c r="CM110" t="b">
        <f t="shared" si="198"/>
        <v>0</v>
      </c>
      <c r="CN110" t="b">
        <f t="shared" si="199"/>
        <v>0</v>
      </c>
      <c r="CO110" t="b">
        <f t="shared" si="200"/>
        <v>0</v>
      </c>
      <c r="CP110" t="b">
        <f t="shared" si="201"/>
        <v>0</v>
      </c>
      <c r="CQ110" t="b">
        <f t="shared" si="202"/>
        <v>0</v>
      </c>
      <c r="CR110" t="b">
        <f t="shared" si="203"/>
        <v>0</v>
      </c>
      <c r="CS110" t="b">
        <f t="shared" si="204"/>
        <v>0</v>
      </c>
      <c r="CT110" t="b">
        <f t="shared" si="205"/>
        <v>0</v>
      </c>
      <c r="CU110" t="b">
        <f t="shared" si="206"/>
        <v>0</v>
      </c>
      <c r="CV110">
        <f t="shared" si="207"/>
        <v>1</v>
      </c>
      <c r="CW110" t="b">
        <f t="shared" si="208"/>
        <v>0</v>
      </c>
      <c r="CX110" t="b">
        <f t="shared" si="209"/>
        <v>0</v>
      </c>
      <c r="CY110" t="b">
        <f t="shared" si="210"/>
        <v>0</v>
      </c>
      <c r="CZ110" t="b">
        <f t="shared" si="211"/>
        <v>0</v>
      </c>
      <c r="DA110" t="b">
        <f t="shared" si="212"/>
        <v>0</v>
      </c>
      <c r="DB110" t="b">
        <f t="shared" si="213"/>
        <v>0</v>
      </c>
      <c r="DC110" t="b">
        <f t="shared" si="214"/>
        <v>0</v>
      </c>
      <c r="DD110" t="b">
        <f t="shared" si="215"/>
        <v>0</v>
      </c>
      <c r="DE110" t="b">
        <f t="shared" si="216"/>
        <v>0</v>
      </c>
      <c r="DF110" t="b">
        <f t="shared" si="217"/>
        <v>0</v>
      </c>
      <c r="DG110" t="b">
        <f t="shared" si="218"/>
        <v>0</v>
      </c>
      <c r="DH110" t="b">
        <f t="shared" si="219"/>
        <v>0</v>
      </c>
      <c r="DI110" t="b">
        <f t="shared" si="220"/>
        <v>0</v>
      </c>
      <c r="DJ110" t="b">
        <f t="shared" si="221"/>
        <v>0</v>
      </c>
      <c r="DK110" t="b">
        <f t="shared" si="222"/>
        <v>0</v>
      </c>
      <c r="DL110" t="b">
        <f t="shared" si="223"/>
        <v>0</v>
      </c>
      <c r="DM110" t="b">
        <f t="shared" si="224"/>
        <v>0</v>
      </c>
      <c r="DN110" t="b">
        <f t="shared" si="225"/>
        <v>0</v>
      </c>
      <c r="DO110" t="b">
        <f t="shared" si="226"/>
        <v>0</v>
      </c>
      <c r="DP110" t="b">
        <f t="shared" si="227"/>
        <v>0</v>
      </c>
      <c r="DQ110" t="b">
        <f t="shared" si="228"/>
        <v>0</v>
      </c>
      <c r="DR110" t="b">
        <f t="shared" si="229"/>
        <v>0</v>
      </c>
      <c r="DS110" t="b">
        <f t="shared" si="230"/>
        <v>0</v>
      </c>
      <c r="DT110" t="b">
        <f t="shared" si="231"/>
        <v>0</v>
      </c>
      <c r="DU110" t="b">
        <f t="shared" si="232"/>
        <v>0</v>
      </c>
      <c r="DV110" t="b">
        <f t="shared" si="233"/>
        <v>0</v>
      </c>
      <c r="DW110" t="b">
        <f t="shared" si="234"/>
        <v>0</v>
      </c>
      <c r="DX110" t="b">
        <f t="shared" si="235"/>
        <v>0</v>
      </c>
      <c r="DY110" t="b">
        <f t="shared" si="236"/>
        <v>0</v>
      </c>
      <c r="DZ110" t="b">
        <f t="shared" si="237"/>
        <v>0</v>
      </c>
      <c r="EA110" t="b">
        <f t="shared" si="238"/>
        <v>0</v>
      </c>
      <c r="EB110" t="b">
        <f t="shared" si="239"/>
        <v>0</v>
      </c>
      <c r="EC110" t="b">
        <f t="shared" si="240"/>
        <v>0</v>
      </c>
      <c r="ED110" t="b">
        <f t="shared" si="241"/>
        <v>0</v>
      </c>
      <c r="EE110" t="b">
        <f t="shared" si="242"/>
        <v>0</v>
      </c>
      <c r="EF110">
        <f t="shared" si="243"/>
        <v>1</v>
      </c>
      <c r="EG110" t="b">
        <f t="shared" si="244"/>
        <v>0</v>
      </c>
      <c r="EH110" t="b">
        <f t="shared" si="245"/>
        <v>0</v>
      </c>
      <c r="EI110" t="b">
        <f t="shared" si="246"/>
        <v>0</v>
      </c>
      <c r="EJ110" t="b">
        <f t="shared" si="247"/>
        <v>0</v>
      </c>
      <c r="EK110" t="b">
        <f t="shared" si="248"/>
        <v>0</v>
      </c>
    </row>
    <row r="111" spans="1:141">
      <c r="A111" t="s">
        <v>681</v>
      </c>
      <c r="B111" t="s">
        <v>681</v>
      </c>
      <c r="C111" t="s">
        <v>682</v>
      </c>
      <c r="D111" s="1">
        <v>43218</v>
      </c>
      <c r="E111" s="2">
        <v>43693.309004629627</v>
      </c>
      <c r="F111" s="2">
        <v>43693.309004629627</v>
      </c>
      <c r="G111">
        <v>39721127</v>
      </c>
      <c r="H111" t="s">
        <v>683</v>
      </c>
      <c r="I111" s="10" t="s">
        <v>684</v>
      </c>
      <c r="J111" t="s">
        <v>660</v>
      </c>
      <c r="K111" s="8" t="b">
        <v>1</v>
      </c>
      <c r="L111" s="10" t="b">
        <v>0</v>
      </c>
      <c r="M111" s="12" t="b">
        <v>0</v>
      </c>
      <c r="N111" t="b">
        <v>0</v>
      </c>
      <c r="O111" t="b">
        <v>0</v>
      </c>
      <c r="P111" t="b">
        <v>0</v>
      </c>
      <c r="Q111">
        <f t="shared" si="125"/>
        <v>7</v>
      </c>
      <c r="R111">
        <f t="shared" si="126"/>
        <v>4</v>
      </c>
      <c r="S111" t="e">
        <f t="shared" ca="1" si="156"/>
        <v>#NAME?</v>
      </c>
      <c r="T111" t="e">
        <f t="shared" ca="1" si="127"/>
        <v>#NAME?</v>
      </c>
      <c r="U111" s="4">
        <f t="shared" si="128"/>
        <v>475.30900462962745</v>
      </c>
      <c r="V111" s="4">
        <f t="shared" si="129"/>
        <v>15.843633487654248</v>
      </c>
      <c r="W111" s="4">
        <f t="shared" si="130"/>
        <v>1</v>
      </c>
      <c r="X111" s="4">
        <f t="shared" si="131"/>
        <v>0</v>
      </c>
      <c r="Y111" s="4">
        <f t="shared" si="132"/>
        <v>0</v>
      </c>
      <c r="Z111" s="4">
        <f t="shared" si="133"/>
        <v>0</v>
      </c>
      <c r="AA111" s="4">
        <f t="shared" si="134"/>
        <v>0</v>
      </c>
      <c r="AB111" s="4">
        <f t="shared" si="135"/>
        <v>0</v>
      </c>
      <c r="AC111" s="4"/>
      <c r="AD111" s="4" t="b">
        <f t="shared" si="136"/>
        <v>0</v>
      </c>
      <c r="AE111" s="4" t="b">
        <f t="shared" si="137"/>
        <v>0</v>
      </c>
      <c r="AF111" s="4" t="b">
        <f t="shared" si="138"/>
        <v>0</v>
      </c>
      <c r="AG111" t="b">
        <f t="shared" si="139"/>
        <v>0</v>
      </c>
      <c r="AH111" t="b">
        <f t="shared" si="140"/>
        <v>0</v>
      </c>
      <c r="AI111" t="b">
        <f t="shared" si="141"/>
        <v>0</v>
      </c>
      <c r="AJ111" t="b">
        <f t="shared" si="142"/>
        <v>0</v>
      </c>
      <c r="AK111" t="b">
        <f t="shared" si="143"/>
        <v>0</v>
      </c>
      <c r="AL111" t="b">
        <f t="shared" si="144"/>
        <v>0</v>
      </c>
      <c r="AM111" t="b">
        <f t="shared" si="145"/>
        <v>0</v>
      </c>
      <c r="AN111" t="b">
        <f t="shared" si="146"/>
        <v>0</v>
      </c>
      <c r="AO111" t="b">
        <f t="shared" si="147"/>
        <v>0</v>
      </c>
      <c r="AP111" t="b">
        <f t="shared" si="148"/>
        <v>0</v>
      </c>
      <c r="AQ111" t="b">
        <f t="shared" si="149"/>
        <v>0</v>
      </c>
      <c r="AR111" t="b">
        <f t="shared" si="150"/>
        <v>0</v>
      </c>
      <c r="AS111" t="b">
        <f t="shared" si="151"/>
        <v>0</v>
      </c>
      <c r="AT111" t="b">
        <f t="shared" si="152"/>
        <v>0</v>
      </c>
      <c r="AU111" t="b">
        <f t="shared" si="153"/>
        <v>0</v>
      </c>
      <c r="AV111" t="b">
        <f t="shared" si="154"/>
        <v>0</v>
      </c>
      <c r="AW111" t="b">
        <f t="shared" si="155"/>
        <v>0</v>
      </c>
      <c r="AX111" t="b">
        <f t="shared" si="157"/>
        <v>0</v>
      </c>
      <c r="AY111" t="b">
        <f t="shared" si="158"/>
        <v>0</v>
      </c>
      <c r="AZ111" t="b">
        <f t="shared" si="159"/>
        <v>0</v>
      </c>
      <c r="BA111" t="b">
        <f t="shared" si="160"/>
        <v>0</v>
      </c>
      <c r="BB111" t="b">
        <f t="shared" si="161"/>
        <v>0</v>
      </c>
      <c r="BC111" t="b">
        <f t="shared" si="162"/>
        <v>0</v>
      </c>
      <c r="BD111" t="b">
        <f t="shared" si="163"/>
        <v>0</v>
      </c>
      <c r="BE111" t="b">
        <f t="shared" si="164"/>
        <v>0</v>
      </c>
      <c r="BF111" t="b">
        <f t="shared" si="165"/>
        <v>0</v>
      </c>
      <c r="BG111" t="b">
        <f t="shared" si="166"/>
        <v>0</v>
      </c>
      <c r="BH111" t="b">
        <f t="shared" si="167"/>
        <v>0</v>
      </c>
      <c r="BI111">
        <f t="shared" si="168"/>
        <v>1</v>
      </c>
      <c r="BJ111" t="b">
        <f t="shared" si="169"/>
        <v>0</v>
      </c>
      <c r="BK111" t="b">
        <f t="shared" si="170"/>
        <v>0</v>
      </c>
      <c r="BL111" t="b">
        <f t="shared" si="171"/>
        <v>0</v>
      </c>
      <c r="BM111" t="b">
        <f t="shared" si="172"/>
        <v>0</v>
      </c>
      <c r="BN111" t="b">
        <f t="shared" si="173"/>
        <v>0</v>
      </c>
      <c r="BO111" t="b">
        <f t="shared" si="174"/>
        <v>0</v>
      </c>
      <c r="BP111" t="b">
        <f t="shared" si="175"/>
        <v>0</v>
      </c>
      <c r="BQ111" t="b">
        <f t="shared" si="176"/>
        <v>0</v>
      </c>
      <c r="BR111" t="b">
        <f t="shared" si="177"/>
        <v>0</v>
      </c>
      <c r="BS111" t="b">
        <f t="shared" si="178"/>
        <v>0</v>
      </c>
      <c r="BT111" t="b">
        <f t="shared" si="179"/>
        <v>0</v>
      </c>
      <c r="BU111" t="b">
        <f t="shared" si="180"/>
        <v>0</v>
      </c>
      <c r="BV111" t="b">
        <f t="shared" si="181"/>
        <v>0</v>
      </c>
      <c r="BW111" t="b">
        <f t="shared" si="182"/>
        <v>0</v>
      </c>
      <c r="BX111" t="b">
        <f t="shared" si="183"/>
        <v>0</v>
      </c>
      <c r="BY111" t="b">
        <f t="shared" si="184"/>
        <v>0</v>
      </c>
      <c r="BZ111" t="b">
        <f t="shared" si="185"/>
        <v>0</v>
      </c>
      <c r="CA111" t="b">
        <f t="shared" si="186"/>
        <v>0</v>
      </c>
      <c r="CB111" t="b">
        <f t="shared" si="187"/>
        <v>0</v>
      </c>
      <c r="CC111" t="b">
        <f t="shared" si="188"/>
        <v>0</v>
      </c>
      <c r="CD111" t="b">
        <f t="shared" si="189"/>
        <v>0</v>
      </c>
      <c r="CE111" t="b">
        <f t="shared" si="190"/>
        <v>0</v>
      </c>
      <c r="CF111" t="b">
        <f t="shared" si="191"/>
        <v>0</v>
      </c>
      <c r="CG111" t="b">
        <f t="shared" si="192"/>
        <v>0</v>
      </c>
      <c r="CH111" t="b">
        <f t="shared" si="193"/>
        <v>0</v>
      </c>
      <c r="CI111" t="b">
        <f t="shared" si="194"/>
        <v>0</v>
      </c>
      <c r="CJ111" t="b">
        <f t="shared" si="195"/>
        <v>0</v>
      </c>
      <c r="CK111" t="b">
        <f t="shared" si="196"/>
        <v>0</v>
      </c>
      <c r="CL111" t="b">
        <f t="shared" si="197"/>
        <v>0</v>
      </c>
      <c r="CM111">
        <f t="shared" si="198"/>
        <v>1</v>
      </c>
      <c r="CN111" t="b">
        <f t="shared" si="199"/>
        <v>0</v>
      </c>
      <c r="CO111" t="b">
        <f t="shared" si="200"/>
        <v>0</v>
      </c>
      <c r="CP111" t="b">
        <f t="shared" si="201"/>
        <v>0</v>
      </c>
      <c r="CQ111" t="b">
        <f t="shared" si="202"/>
        <v>0</v>
      </c>
      <c r="CR111" t="b">
        <f t="shared" si="203"/>
        <v>0</v>
      </c>
      <c r="CS111" t="b">
        <f t="shared" si="204"/>
        <v>0</v>
      </c>
      <c r="CT111" t="b">
        <f t="shared" si="205"/>
        <v>0</v>
      </c>
      <c r="CU111" t="b">
        <f t="shared" si="206"/>
        <v>0</v>
      </c>
      <c r="CV111">
        <f t="shared" si="207"/>
        <v>1</v>
      </c>
      <c r="CW111" t="b">
        <f t="shared" si="208"/>
        <v>0</v>
      </c>
      <c r="CX111" t="b">
        <f t="shared" si="209"/>
        <v>0</v>
      </c>
      <c r="CY111" t="b">
        <f t="shared" si="210"/>
        <v>0</v>
      </c>
      <c r="CZ111" t="b">
        <f t="shared" si="211"/>
        <v>0</v>
      </c>
      <c r="DA111" t="b">
        <f t="shared" si="212"/>
        <v>0</v>
      </c>
      <c r="DB111" t="b">
        <f t="shared" si="213"/>
        <v>0</v>
      </c>
      <c r="DC111" t="b">
        <f t="shared" si="214"/>
        <v>0</v>
      </c>
      <c r="DD111" t="b">
        <f t="shared" si="215"/>
        <v>0</v>
      </c>
      <c r="DE111" t="b">
        <f t="shared" si="216"/>
        <v>0</v>
      </c>
      <c r="DF111" t="b">
        <f t="shared" si="217"/>
        <v>0</v>
      </c>
      <c r="DG111" t="b">
        <f t="shared" si="218"/>
        <v>0</v>
      </c>
      <c r="DH111" t="b">
        <f t="shared" si="219"/>
        <v>0</v>
      </c>
      <c r="DI111" t="b">
        <f t="shared" si="220"/>
        <v>0</v>
      </c>
      <c r="DJ111" t="b">
        <f t="shared" si="221"/>
        <v>0</v>
      </c>
      <c r="DK111" t="b">
        <f t="shared" si="222"/>
        <v>0</v>
      </c>
      <c r="DL111" t="b">
        <f t="shared" si="223"/>
        <v>0</v>
      </c>
      <c r="DM111" t="b">
        <f t="shared" si="224"/>
        <v>0</v>
      </c>
      <c r="DN111" t="b">
        <f t="shared" si="225"/>
        <v>0</v>
      </c>
      <c r="DO111" t="b">
        <f t="shared" si="226"/>
        <v>0</v>
      </c>
      <c r="DP111" t="b">
        <f t="shared" si="227"/>
        <v>0</v>
      </c>
      <c r="DQ111" t="b">
        <f t="shared" si="228"/>
        <v>0</v>
      </c>
      <c r="DR111" t="b">
        <f t="shared" si="229"/>
        <v>0</v>
      </c>
      <c r="DS111" t="b">
        <f t="shared" si="230"/>
        <v>0</v>
      </c>
      <c r="DT111" t="b">
        <f t="shared" si="231"/>
        <v>0</v>
      </c>
      <c r="DU111" t="b">
        <f t="shared" si="232"/>
        <v>0</v>
      </c>
      <c r="DV111" t="b">
        <f t="shared" si="233"/>
        <v>0</v>
      </c>
      <c r="DW111" t="b">
        <f t="shared" si="234"/>
        <v>0</v>
      </c>
      <c r="DX111" t="b">
        <f t="shared" si="235"/>
        <v>0</v>
      </c>
      <c r="DY111" t="b">
        <f t="shared" si="236"/>
        <v>0</v>
      </c>
      <c r="DZ111" t="b">
        <f t="shared" si="237"/>
        <v>0</v>
      </c>
      <c r="EA111" t="b">
        <f t="shared" si="238"/>
        <v>0</v>
      </c>
      <c r="EB111" t="b">
        <f t="shared" si="239"/>
        <v>0</v>
      </c>
      <c r="EC111" t="b">
        <f t="shared" si="240"/>
        <v>0</v>
      </c>
      <c r="ED111" t="b">
        <f t="shared" si="241"/>
        <v>0</v>
      </c>
      <c r="EE111" t="b">
        <f t="shared" si="242"/>
        <v>0</v>
      </c>
      <c r="EF111">
        <f t="shared" si="243"/>
        <v>1</v>
      </c>
      <c r="EG111" t="b">
        <f t="shared" si="244"/>
        <v>0</v>
      </c>
      <c r="EH111" t="b">
        <f t="shared" si="245"/>
        <v>0</v>
      </c>
      <c r="EI111" t="b">
        <f t="shared" si="246"/>
        <v>0</v>
      </c>
      <c r="EJ111" t="b">
        <f t="shared" si="247"/>
        <v>0</v>
      </c>
      <c r="EK111" t="b">
        <f t="shared" si="248"/>
        <v>0</v>
      </c>
    </row>
    <row r="112" spans="1:141">
      <c r="A112" t="s">
        <v>685</v>
      </c>
      <c r="B112" t="s">
        <v>685</v>
      </c>
      <c r="C112" t="s">
        <v>686</v>
      </c>
      <c r="D112" s="1">
        <v>44109</v>
      </c>
      <c r="E112" s="2">
        <v>44110.255381944444</v>
      </c>
      <c r="F112" s="2">
        <v>44110.255381944444</v>
      </c>
      <c r="G112">
        <v>444224</v>
      </c>
      <c r="H112" t="s">
        <v>687</v>
      </c>
      <c r="I112" s="10" t="s">
        <v>688</v>
      </c>
      <c r="J112" t="s">
        <v>689</v>
      </c>
      <c r="K112" s="8" t="b">
        <v>1</v>
      </c>
      <c r="L112" s="10" t="b">
        <v>0</v>
      </c>
      <c r="M112" s="12" t="b">
        <v>0</v>
      </c>
      <c r="N112" t="b">
        <v>0</v>
      </c>
      <c r="O112" t="b">
        <v>0</v>
      </c>
      <c r="P112" t="b">
        <v>0</v>
      </c>
      <c r="Q112">
        <f t="shared" si="125"/>
        <v>2</v>
      </c>
      <c r="R112">
        <f t="shared" si="126"/>
        <v>10</v>
      </c>
      <c r="S112" t="e">
        <f t="shared" ca="1" si="156"/>
        <v>#NAME?</v>
      </c>
      <c r="T112" t="e">
        <f t="shared" ca="1" si="127"/>
        <v>#NAME?</v>
      </c>
      <c r="U112" s="4">
        <f t="shared" si="128"/>
        <v>1.2553819444437977</v>
      </c>
      <c r="V112" s="4">
        <f t="shared" si="129"/>
        <v>4.1846064814793256E-2</v>
      </c>
      <c r="W112" s="4">
        <f t="shared" si="130"/>
        <v>1</v>
      </c>
      <c r="X112" s="4">
        <f t="shared" si="131"/>
        <v>0</v>
      </c>
      <c r="Y112" s="4">
        <f t="shared" si="132"/>
        <v>0</v>
      </c>
      <c r="Z112" s="4">
        <f t="shared" si="133"/>
        <v>0</v>
      </c>
      <c r="AA112" s="4">
        <f t="shared" si="134"/>
        <v>0</v>
      </c>
      <c r="AB112" s="4">
        <f t="shared" si="135"/>
        <v>0</v>
      </c>
      <c r="AC112" s="4"/>
      <c r="AD112" s="4" t="b">
        <f t="shared" si="136"/>
        <v>0</v>
      </c>
      <c r="AE112" s="4" t="b">
        <f t="shared" si="137"/>
        <v>0</v>
      </c>
      <c r="AF112" s="4" t="b">
        <f t="shared" si="138"/>
        <v>0</v>
      </c>
      <c r="AG112" t="b">
        <f t="shared" si="139"/>
        <v>0</v>
      </c>
      <c r="AH112" t="b">
        <f t="shared" si="140"/>
        <v>0</v>
      </c>
      <c r="AI112" t="b">
        <f t="shared" si="141"/>
        <v>0</v>
      </c>
      <c r="AJ112" t="b">
        <f t="shared" si="142"/>
        <v>0</v>
      </c>
      <c r="AK112" t="b">
        <f t="shared" si="143"/>
        <v>0</v>
      </c>
      <c r="AL112" t="b">
        <f t="shared" si="144"/>
        <v>0</v>
      </c>
      <c r="AM112" t="b">
        <f t="shared" si="145"/>
        <v>0</v>
      </c>
      <c r="AN112" t="b">
        <f t="shared" si="146"/>
        <v>0</v>
      </c>
      <c r="AO112" t="b">
        <f t="shared" si="147"/>
        <v>0</v>
      </c>
      <c r="AP112" t="b">
        <f t="shared" si="148"/>
        <v>0</v>
      </c>
      <c r="AQ112" t="b">
        <f t="shared" si="149"/>
        <v>0</v>
      </c>
      <c r="AR112" t="b">
        <f t="shared" si="150"/>
        <v>0</v>
      </c>
      <c r="AS112" t="b">
        <f t="shared" si="151"/>
        <v>0</v>
      </c>
      <c r="AT112" t="b">
        <f t="shared" si="152"/>
        <v>0</v>
      </c>
      <c r="AU112" t="b">
        <f t="shared" si="153"/>
        <v>0</v>
      </c>
      <c r="AV112" t="b">
        <f t="shared" si="154"/>
        <v>0</v>
      </c>
      <c r="AW112" t="b">
        <f t="shared" si="155"/>
        <v>0</v>
      </c>
      <c r="AX112" t="b">
        <f t="shared" si="157"/>
        <v>0</v>
      </c>
      <c r="AY112" t="b">
        <f t="shared" si="158"/>
        <v>0</v>
      </c>
      <c r="AZ112" t="b">
        <f t="shared" si="159"/>
        <v>0</v>
      </c>
      <c r="BA112" t="b">
        <f t="shared" si="160"/>
        <v>0</v>
      </c>
      <c r="BB112" t="b">
        <f t="shared" si="161"/>
        <v>0</v>
      </c>
      <c r="BC112" t="b">
        <f t="shared" si="162"/>
        <v>0</v>
      </c>
      <c r="BD112" t="b">
        <f t="shared" si="163"/>
        <v>0</v>
      </c>
      <c r="BE112" t="b">
        <f t="shared" si="164"/>
        <v>0</v>
      </c>
      <c r="BF112" t="b">
        <f t="shared" si="165"/>
        <v>0</v>
      </c>
      <c r="BG112" t="b">
        <f t="shared" si="166"/>
        <v>0</v>
      </c>
      <c r="BH112" t="b">
        <f t="shared" si="167"/>
        <v>0</v>
      </c>
      <c r="BI112">
        <f t="shared" si="168"/>
        <v>1</v>
      </c>
      <c r="BJ112" t="b">
        <f t="shared" si="169"/>
        <v>0</v>
      </c>
      <c r="BK112" t="b">
        <f t="shared" si="170"/>
        <v>0</v>
      </c>
      <c r="BL112" t="b">
        <f t="shared" si="171"/>
        <v>0</v>
      </c>
      <c r="BM112" t="b">
        <f t="shared" si="172"/>
        <v>0</v>
      </c>
      <c r="BN112" t="b">
        <f t="shared" si="173"/>
        <v>0</v>
      </c>
      <c r="BO112" t="b">
        <f t="shared" si="174"/>
        <v>0</v>
      </c>
      <c r="BP112" t="b">
        <f t="shared" si="175"/>
        <v>0</v>
      </c>
      <c r="BQ112" t="b">
        <f t="shared" si="176"/>
        <v>0</v>
      </c>
      <c r="BR112" t="b">
        <f t="shared" si="177"/>
        <v>0</v>
      </c>
      <c r="BS112" t="b">
        <f t="shared" si="178"/>
        <v>0</v>
      </c>
      <c r="BT112" t="b">
        <f t="shared" si="179"/>
        <v>0</v>
      </c>
      <c r="BU112" t="b">
        <f t="shared" si="180"/>
        <v>0</v>
      </c>
      <c r="BV112" t="b">
        <f t="shared" si="181"/>
        <v>0</v>
      </c>
      <c r="BW112" t="b">
        <f t="shared" si="182"/>
        <v>0</v>
      </c>
      <c r="BX112" t="b">
        <f t="shared" si="183"/>
        <v>0</v>
      </c>
      <c r="BY112" t="b">
        <f t="shared" si="184"/>
        <v>0</v>
      </c>
      <c r="BZ112" t="b">
        <f t="shared" si="185"/>
        <v>0</v>
      </c>
      <c r="CA112" t="b">
        <f t="shared" si="186"/>
        <v>0</v>
      </c>
      <c r="CB112" t="b">
        <f t="shared" si="187"/>
        <v>0</v>
      </c>
      <c r="CC112" t="b">
        <f t="shared" si="188"/>
        <v>0</v>
      </c>
      <c r="CD112" t="b">
        <f t="shared" si="189"/>
        <v>0</v>
      </c>
      <c r="CE112" t="b">
        <f t="shared" si="190"/>
        <v>0</v>
      </c>
      <c r="CF112" t="b">
        <f t="shared" si="191"/>
        <v>0</v>
      </c>
      <c r="CG112" t="b">
        <f t="shared" si="192"/>
        <v>0</v>
      </c>
      <c r="CH112" t="b">
        <f t="shared" si="193"/>
        <v>0</v>
      </c>
      <c r="CI112" t="b">
        <f t="shared" si="194"/>
        <v>0</v>
      </c>
      <c r="CJ112" t="b">
        <f t="shared" si="195"/>
        <v>0</v>
      </c>
      <c r="CK112" t="b">
        <f t="shared" si="196"/>
        <v>0</v>
      </c>
      <c r="CL112" t="b">
        <f t="shared" si="197"/>
        <v>0</v>
      </c>
      <c r="CM112">
        <f t="shared" si="198"/>
        <v>1</v>
      </c>
      <c r="CN112" t="b">
        <f t="shared" si="199"/>
        <v>0</v>
      </c>
      <c r="CO112" t="b">
        <f t="shared" si="200"/>
        <v>0</v>
      </c>
      <c r="CP112" t="b">
        <f t="shared" si="201"/>
        <v>0</v>
      </c>
      <c r="CQ112" t="b">
        <f t="shared" si="202"/>
        <v>0</v>
      </c>
      <c r="CR112" t="b">
        <f t="shared" si="203"/>
        <v>0</v>
      </c>
      <c r="CS112" t="b">
        <f t="shared" si="204"/>
        <v>0</v>
      </c>
      <c r="CT112" t="b">
        <f t="shared" si="205"/>
        <v>0</v>
      </c>
      <c r="CU112" t="b">
        <f t="shared" si="206"/>
        <v>0</v>
      </c>
      <c r="CV112" t="b">
        <f t="shared" si="207"/>
        <v>0</v>
      </c>
      <c r="CW112" t="b">
        <f t="shared" si="208"/>
        <v>0</v>
      </c>
      <c r="CX112" t="b">
        <f t="shared" si="209"/>
        <v>0</v>
      </c>
      <c r="CY112" t="b">
        <f t="shared" si="210"/>
        <v>0</v>
      </c>
      <c r="CZ112" t="b">
        <f t="shared" si="211"/>
        <v>0</v>
      </c>
      <c r="DA112">
        <f t="shared" si="212"/>
        <v>1</v>
      </c>
      <c r="DB112">
        <f t="shared" si="213"/>
        <v>1</v>
      </c>
      <c r="DC112" t="b">
        <f t="shared" si="214"/>
        <v>0</v>
      </c>
      <c r="DD112" t="b">
        <f t="shared" si="215"/>
        <v>0</v>
      </c>
      <c r="DE112" t="b">
        <f t="shared" si="216"/>
        <v>0</v>
      </c>
      <c r="DF112" t="b">
        <f t="shared" si="217"/>
        <v>0</v>
      </c>
      <c r="DG112" t="b">
        <f t="shared" si="218"/>
        <v>0</v>
      </c>
      <c r="DH112" t="b">
        <f t="shared" si="219"/>
        <v>0</v>
      </c>
      <c r="DI112" t="b">
        <f t="shared" si="220"/>
        <v>0</v>
      </c>
      <c r="DJ112" t="b">
        <f t="shared" si="221"/>
        <v>0</v>
      </c>
      <c r="DK112" t="b">
        <f t="shared" si="222"/>
        <v>0</v>
      </c>
      <c r="DL112" t="b">
        <f t="shared" si="223"/>
        <v>0</v>
      </c>
      <c r="DM112" t="b">
        <f t="shared" si="224"/>
        <v>0</v>
      </c>
      <c r="DN112" t="b">
        <f t="shared" si="225"/>
        <v>0</v>
      </c>
      <c r="DO112" t="b">
        <f t="shared" si="226"/>
        <v>0</v>
      </c>
      <c r="DP112" t="b">
        <f t="shared" si="227"/>
        <v>0</v>
      </c>
      <c r="DQ112" t="b">
        <f t="shared" si="228"/>
        <v>0</v>
      </c>
      <c r="DR112" t="b">
        <f t="shared" si="229"/>
        <v>0</v>
      </c>
      <c r="DS112" t="b">
        <f t="shared" si="230"/>
        <v>0</v>
      </c>
      <c r="DT112" t="b">
        <f t="shared" si="231"/>
        <v>0</v>
      </c>
      <c r="DU112" t="b">
        <f t="shared" si="232"/>
        <v>0</v>
      </c>
      <c r="DV112" t="b">
        <f t="shared" si="233"/>
        <v>0</v>
      </c>
      <c r="DW112" t="b">
        <f t="shared" si="234"/>
        <v>0</v>
      </c>
      <c r="DX112" t="b">
        <f t="shared" si="235"/>
        <v>0</v>
      </c>
      <c r="DY112" t="b">
        <f t="shared" si="236"/>
        <v>0</v>
      </c>
      <c r="DZ112" t="b">
        <f t="shared" si="237"/>
        <v>0</v>
      </c>
      <c r="EA112" t="b">
        <f t="shared" si="238"/>
        <v>0</v>
      </c>
      <c r="EB112" t="b">
        <f t="shared" si="239"/>
        <v>0</v>
      </c>
      <c r="EC112" t="b">
        <f t="shared" si="240"/>
        <v>0</v>
      </c>
      <c r="ED112" t="b">
        <f t="shared" si="241"/>
        <v>0</v>
      </c>
      <c r="EE112" t="b">
        <f t="shared" si="242"/>
        <v>0</v>
      </c>
      <c r="EF112" t="b">
        <f t="shared" si="243"/>
        <v>0</v>
      </c>
      <c r="EG112" t="b">
        <f t="shared" si="244"/>
        <v>0</v>
      </c>
      <c r="EH112" t="b">
        <f t="shared" si="245"/>
        <v>0</v>
      </c>
      <c r="EI112" t="b">
        <f t="shared" si="246"/>
        <v>0</v>
      </c>
      <c r="EJ112" t="b">
        <f t="shared" si="247"/>
        <v>0</v>
      </c>
      <c r="EK112" t="b">
        <f t="shared" si="248"/>
        <v>0</v>
      </c>
    </row>
    <row r="113" spans="1:141">
      <c r="A113" t="s">
        <v>690</v>
      </c>
      <c r="B113" t="s">
        <v>690</v>
      </c>
      <c r="C113" t="s">
        <v>691</v>
      </c>
      <c r="D113" s="1">
        <v>44139</v>
      </c>
      <c r="E113" s="2">
        <v>44154.338576388887</v>
      </c>
      <c r="F113" s="2">
        <v>44154.338576388887</v>
      </c>
      <c r="G113">
        <v>226883414</v>
      </c>
      <c r="H113" t="s">
        <v>692</v>
      </c>
      <c r="I113" s="10" t="s">
        <v>160</v>
      </c>
      <c r="J113" t="s">
        <v>147</v>
      </c>
      <c r="K113" s="8" t="b">
        <v>0</v>
      </c>
      <c r="L113" s="10" t="b">
        <v>0</v>
      </c>
      <c r="M113" s="12" t="b">
        <v>0</v>
      </c>
      <c r="N113" t="b">
        <v>0</v>
      </c>
      <c r="O113" t="b">
        <v>0</v>
      </c>
      <c r="P113" t="b">
        <v>0</v>
      </c>
      <c r="Q113">
        <f t="shared" si="125"/>
        <v>4</v>
      </c>
      <c r="R113">
        <f t="shared" si="126"/>
        <v>11</v>
      </c>
      <c r="S113" t="e">
        <f t="shared" ca="1" si="156"/>
        <v>#NAME?</v>
      </c>
      <c r="T113" t="e">
        <f t="shared" ca="1" si="127"/>
        <v>#NAME?</v>
      </c>
      <c r="U113" s="4">
        <f t="shared" si="128"/>
        <v>15.338576388887304</v>
      </c>
      <c r="V113" s="4">
        <f t="shared" si="129"/>
        <v>0.51128587962957683</v>
      </c>
      <c r="W113" s="4">
        <f t="shared" si="130"/>
        <v>0</v>
      </c>
      <c r="X113" s="4">
        <f t="shared" si="131"/>
        <v>0</v>
      </c>
      <c r="Y113" s="4">
        <f t="shared" si="132"/>
        <v>0</v>
      </c>
      <c r="Z113" s="4">
        <f t="shared" si="133"/>
        <v>0</v>
      </c>
      <c r="AA113" s="4">
        <f t="shared" si="134"/>
        <v>0</v>
      </c>
      <c r="AB113" s="4">
        <f t="shared" si="135"/>
        <v>0</v>
      </c>
      <c r="AC113" s="4"/>
      <c r="AD113" s="4" t="b">
        <f t="shared" si="136"/>
        <v>0</v>
      </c>
      <c r="AE113" s="4" t="b">
        <f t="shared" si="137"/>
        <v>0</v>
      </c>
      <c r="AF113" s="4" t="b">
        <f t="shared" si="138"/>
        <v>0</v>
      </c>
      <c r="AG113" t="b">
        <f t="shared" si="139"/>
        <v>0</v>
      </c>
      <c r="AH113" t="b">
        <f t="shared" si="140"/>
        <v>0</v>
      </c>
      <c r="AI113" t="b">
        <f t="shared" si="141"/>
        <v>0</v>
      </c>
      <c r="AJ113" t="b">
        <f t="shared" si="142"/>
        <v>0</v>
      </c>
      <c r="AK113" t="b">
        <f t="shared" si="143"/>
        <v>0</v>
      </c>
      <c r="AL113" t="b">
        <f t="shared" si="144"/>
        <v>0</v>
      </c>
      <c r="AM113" t="b">
        <f t="shared" si="145"/>
        <v>0</v>
      </c>
      <c r="AN113" t="b">
        <f t="shared" si="146"/>
        <v>0</v>
      </c>
      <c r="AO113" t="b">
        <f t="shared" si="147"/>
        <v>0</v>
      </c>
      <c r="AP113" t="b">
        <f t="shared" si="148"/>
        <v>0</v>
      </c>
      <c r="AQ113" t="b">
        <f t="shared" si="149"/>
        <v>0</v>
      </c>
      <c r="AR113" t="b">
        <f t="shared" si="150"/>
        <v>0</v>
      </c>
      <c r="AS113" t="b">
        <f t="shared" si="151"/>
        <v>0</v>
      </c>
      <c r="AT113" t="b">
        <f t="shared" si="152"/>
        <v>0</v>
      </c>
      <c r="AU113" t="b">
        <f t="shared" si="153"/>
        <v>0</v>
      </c>
      <c r="AV113" t="b">
        <f t="shared" si="154"/>
        <v>0</v>
      </c>
      <c r="AW113" t="b">
        <f t="shared" si="155"/>
        <v>0</v>
      </c>
      <c r="AX113" t="b">
        <f t="shared" si="157"/>
        <v>0</v>
      </c>
      <c r="AY113" t="b">
        <f t="shared" si="158"/>
        <v>0</v>
      </c>
      <c r="AZ113" t="b">
        <f t="shared" si="159"/>
        <v>0</v>
      </c>
      <c r="BA113" t="b">
        <f t="shared" si="160"/>
        <v>0</v>
      </c>
      <c r="BB113" t="b">
        <f t="shared" si="161"/>
        <v>0</v>
      </c>
      <c r="BC113" t="b">
        <f t="shared" si="162"/>
        <v>0</v>
      </c>
      <c r="BD113" t="b">
        <f t="shared" si="163"/>
        <v>0</v>
      </c>
      <c r="BE113" t="b">
        <f t="shared" si="164"/>
        <v>0</v>
      </c>
      <c r="BF113" t="b">
        <f t="shared" si="165"/>
        <v>0</v>
      </c>
      <c r="BG113" t="b">
        <f t="shared" si="166"/>
        <v>0</v>
      </c>
      <c r="BH113" t="b">
        <f t="shared" si="167"/>
        <v>0</v>
      </c>
      <c r="BI113">
        <f t="shared" si="168"/>
        <v>1</v>
      </c>
      <c r="BJ113" t="b">
        <f t="shared" si="169"/>
        <v>0</v>
      </c>
      <c r="BK113" t="b">
        <f t="shared" si="170"/>
        <v>0</v>
      </c>
      <c r="BL113" t="b">
        <f t="shared" si="171"/>
        <v>0</v>
      </c>
      <c r="BM113" t="b">
        <f t="shared" si="172"/>
        <v>0</v>
      </c>
      <c r="BN113" t="b">
        <f t="shared" si="173"/>
        <v>0</v>
      </c>
      <c r="BO113" t="b">
        <f t="shared" si="174"/>
        <v>0</v>
      </c>
      <c r="BP113" t="b">
        <f t="shared" si="175"/>
        <v>0</v>
      </c>
      <c r="BQ113" t="b">
        <f t="shared" si="176"/>
        <v>0</v>
      </c>
      <c r="BR113" t="b">
        <f t="shared" si="177"/>
        <v>0</v>
      </c>
      <c r="BS113" t="b">
        <f t="shared" si="178"/>
        <v>0</v>
      </c>
      <c r="BT113" t="b">
        <f t="shared" si="179"/>
        <v>0</v>
      </c>
      <c r="BU113" t="b">
        <f t="shared" si="180"/>
        <v>0</v>
      </c>
      <c r="BV113" t="b">
        <f t="shared" si="181"/>
        <v>0</v>
      </c>
      <c r="BW113" t="b">
        <f t="shared" si="182"/>
        <v>0</v>
      </c>
      <c r="BX113" t="b">
        <f t="shared" si="183"/>
        <v>0</v>
      </c>
      <c r="BY113" t="b">
        <f t="shared" si="184"/>
        <v>0</v>
      </c>
      <c r="BZ113" t="b">
        <f t="shared" si="185"/>
        <v>0</v>
      </c>
      <c r="CA113" t="b">
        <f t="shared" si="186"/>
        <v>0</v>
      </c>
      <c r="CB113" t="b">
        <f t="shared" si="187"/>
        <v>0</v>
      </c>
      <c r="CC113" t="b">
        <f t="shared" si="188"/>
        <v>0</v>
      </c>
      <c r="CD113" t="b">
        <f t="shared" si="189"/>
        <v>0</v>
      </c>
      <c r="CE113" t="b">
        <f t="shared" si="190"/>
        <v>0</v>
      </c>
      <c r="CF113" t="b">
        <f t="shared" si="191"/>
        <v>0</v>
      </c>
      <c r="CG113" t="b">
        <f t="shared" si="192"/>
        <v>0</v>
      </c>
      <c r="CH113" t="b">
        <f t="shared" si="193"/>
        <v>0</v>
      </c>
      <c r="CI113" t="b">
        <f t="shared" si="194"/>
        <v>0</v>
      </c>
      <c r="CJ113" t="b">
        <f t="shared" si="195"/>
        <v>0</v>
      </c>
      <c r="CK113" t="b">
        <f t="shared" si="196"/>
        <v>0</v>
      </c>
      <c r="CL113" t="b">
        <f t="shared" si="197"/>
        <v>0</v>
      </c>
      <c r="CM113" t="b">
        <f t="shared" si="198"/>
        <v>0</v>
      </c>
      <c r="CN113" t="b">
        <f t="shared" si="199"/>
        <v>0</v>
      </c>
      <c r="CO113" t="b">
        <f t="shared" si="200"/>
        <v>0</v>
      </c>
      <c r="CP113" t="b">
        <f t="shared" si="201"/>
        <v>0</v>
      </c>
      <c r="CQ113" t="b">
        <f t="shared" si="202"/>
        <v>0</v>
      </c>
      <c r="CR113" t="b">
        <f t="shared" si="203"/>
        <v>0</v>
      </c>
      <c r="CS113" t="b">
        <f t="shared" si="204"/>
        <v>0</v>
      </c>
      <c r="CT113" t="b">
        <f t="shared" si="205"/>
        <v>0</v>
      </c>
      <c r="CU113" t="b">
        <f t="shared" si="206"/>
        <v>0</v>
      </c>
      <c r="CV113">
        <f t="shared" si="207"/>
        <v>1</v>
      </c>
      <c r="CW113" t="b">
        <f t="shared" si="208"/>
        <v>0</v>
      </c>
      <c r="CX113" t="b">
        <f t="shared" si="209"/>
        <v>0</v>
      </c>
      <c r="CY113" t="b">
        <f t="shared" si="210"/>
        <v>0</v>
      </c>
      <c r="CZ113" t="b">
        <f t="shared" si="211"/>
        <v>0</v>
      </c>
      <c r="DA113" t="b">
        <f t="shared" si="212"/>
        <v>0</v>
      </c>
      <c r="DB113" t="b">
        <f t="shared" si="213"/>
        <v>0</v>
      </c>
      <c r="DC113" t="b">
        <f t="shared" si="214"/>
        <v>0</v>
      </c>
      <c r="DD113" t="b">
        <f t="shared" si="215"/>
        <v>0</v>
      </c>
      <c r="DE113" t="b">
        <f t="shared" si="216"/>
        <v>0</v>
      </c>
      <c r="DF113" t="b">
        <f t="shared" si="217"/>
        <v>0</v>
      </c>
      <c r="DG113" t="b">
        <f t="shared" si="218"/>
        <v>0</v>
      </c>
      <c r="DH113" t="b">
        <f t="shared" si="219"/>
        <v>0</v>
      </c>
      <c r="DI113" t="b">
        <f t="shared" si="220"/>
        <v>0</v>
      </c>
      <c r="DJ113" t="b">
        <f t="shared" si="221"/>
        <v>0</v>
      </c>
      <c r="DK113" t="b">
        <f t="shared" si="222"/>
        <v>0</v>
      </c>
      <c r="DL113" t="b">
        <f t="shared" si="223"/>
        <v>0</v>
      </c>
      <c r="DM113" t="b">
        <f t="shared" si="224"/>
        <v>0</v>
      </c>
      <c r="DN113" t="b">
        <f t="shared" si="225"/>
        <v>0</v>
      </c>
      <c r="DO113" t="b">
        <f t="shared" si="226"/>
        <v>0</v>
      </c>
      <c r="DP113" t="b">
        <f t="shared" si="227"/>
        <v>0</v>
      </c>
      <c r="DQ113" t="b">
        <f t="shared" si="228"/>
        <v>0</v>
      </c>
      <c r="DR113" t="b">
        <f t="shared" si="229"/>
        <v>0</v>
      </c>
      <c r="DS113" t="b">
        <f t="shared" si="230"/>
        <v>0</v>
      </c>
      <c r="DT113" t="b">
        <f t="shared" si="231"/>
        <v>0</v>
      </c>
      <c r="DU113" t="b">
        <f t="shared" si="232"/>
        <v>0</v>
      </c>
      <c r="DV113" t="b">
        <f t="shared" si="233"/>
        <v>0</v>
      </c>
      <c r="DW113" t="b">
        <f t="shared" si="234"/>
        <v>0</v>
      </c>
      <c r="DX113" t="b">
        <f t="shared" si="235"/>
        <v>0</v>
      </c>
      <c r="DY113" t="b">
        <f t="shared" si="236"/>
        <v>0</v>
      </c>
      <c r="DZ113" t="b">
        <f t="shared" si="237"/>
        <v>0</v>
      </c>
      <c r="EA113" t="b">
        <f t="shared" si="238"/>
        <v>0</v>
      </c>
      <c r="EB113" t="b">
        <f t="shared" si="239"/>
        <v>0</v>
      </c>
      <c r="EC113" t="b">
        <f t="shared" si="240"/>
        <v>0</v>
      </c>
      <c r="ED113" t="b">
        <f t="shared" si="241"/>
        <v>0</v>
      </c>
      <c r="EE113" t="b">
        <f t="shared" si="242"/>
        <v>0</v>
      </c>
      <c r="EF113" t="b">
        <f t="shared" si="243"/>
        <v>0</v>
      </c>
      <c r="EG113" t="b">
        <f t="shared" si="244"/>
        <v>0</v>
      </c>
      <c r="EH113" t="b">
        <f t="shared" si="245"/>
        <v>0</v>
      </c>
      <c r="EI113" t="b">
        <f t="shared" si="246"/>
        <v>0</v>
      </c>
      <c r="EJ113" t="b">
        <f t="shared" si="247"/>
        <v>0</v>
      </c>
      <c r="EK113" t="b">
        <f t="shared" si="248"/>
        <v>0</v>
      </c>
    </row>
    <row r="114" spans="1:141">
      <c r="A114" t="s">
        <v>693</v>
      </c>
      <c r="B114" t="s">
        <v>693</v>
      </c>
      <c r="C114" t="s">
        <v>694</v>
      </c>
      <c r="D114" s="1">
        <v>44232</v>
      </c>
      <c r="E114" s="2">
        <v>44244.036712962959</v>
      </c>
      <c r="F114" s="2">
        <v>44244.036712962959</v>
      </c>
      <c r="G114">
        <v>110156</v>
      </c>
      <c r="H114" t="s">
        <v>695</v>
      </c>
      <c r="I114" s="10" t="s">
        <v>696</v>
      </c>
      <c r="J114" t="s">
        <v>697</v>
      </c>
      <c r="K114" s="8" t="b">
        <v>1</v>
      </c>
      <c r="L114" s="10" t="b">
        <v>0</v>
      </c>
      <c r="M114" s="12" t="b">
        <v>0</v>
      </c>
      <c r="N114" t="b">
        <v>0</v>
      </c>
      <c r="O114" t="b">
        <v>0</v>
      </c>
      <c r="P114" t="b">
        <v>0</v>
      </c>
      <c r="Q114">
        <f t="shared" si="125"/>
        <v>6</v>
      </c>
      <c r="R114">
        <f t="shared" si="126"/>
        <v>2</v>
      </c>
      <c r="S114" t="e">
        <f t="shared" ca="1" si="156"/>
        <v>#NAME?</v>
      </c>
      <c r="T114" t="e">
        <f t="shared" ca="1" si="127"/>
        <v>#NAME?</v>
      </c>
      <c r="U114" s="4">
        <f t="shared" si="128"/>
        <v>12.036712962959427</v>
      </c>
      <c r="V114" s="4">
        <f t="shared" si="129"/>
        <v>0.40122376543198091</v>
      </c>
      <c r="W114" s="4">
        <f t="shared" si="130"/>
        <v>1</v>
      </c>
      <c r="X114" s="4">
        <f t="shared" si="131"/>
        <v>0</v>
      </c>
      <c r="Y114" s="4">
        <f t="shared" si="132"/>
        <v>0</v>
      </c>
      <c r="Z114" s="4">
        <f t="shared" si="133"/>
        <v>0</v>
      </c>
      <c r="AA114" s="4">
        <f t="shared" si="134"/>
        <v>0</v>
      </c>
      <c r="AB114" s="4">
        <f t="shared" si="135"/>
        <v>0</v>
      </c>
      <c r="AC114" s="4"/>
      <c r="AD114" s="4" t="b">
        <f t="shared" si="136"/>
        <v>0</v>
      </c>
      <c r="AE114" s="4" t="b">
        <f t="shared" si="137"/>
        <v>0</v>
      </c>
      <c r="AF114" s="4" t="b">
        <f t="shared" si="138"/>
        <v>0</v>
      </c>
      <c r="AG114" t="b">
        <f t="shared" si="139"/>
        <v>0</v>
      </c>
      <c r="AH114" t="b">
        <f t="shared" si="140"/>
        <v>0</v>
      </c>
      <c r="AI114" t="b">
        <f t="shared" si="141"/>
        <v>0</v>
      </c>
      <c r="AJ114" t="b">
        <f t="shared" si="142"/>
        <v>0</v>
      </c>
      <c r="AK114" t="b">
        <f t="shared" si="143"/>
        <v>0</v>
      </c>
      <c r="AL114" t="b">
        <f t="shared" si="144"/>
        <v>0</v>
      </c>
      <c r="AM114" t="b">
        <f t="shared" si="145"/>
        <v>0</v>
      </c>
      <c r="AN114" t="b">
        <f t="shared" si="146"/>
        <v>0</v>
      </c>
      <c r="AO114" t="b">
        <f t="shared" si="147"/>
        <v>0</v>
      </c>
      <c r="AP114" t="b">
        <f t="shared" si="148"/>
        <v>0</v>
      </c>
      <c r="AQ114" t="b">
        <f t="shared" si="149"/>
        <v>0</v>
      </c>
      <c r="AR114" t="b">
        <f t="shared" si="150"/>
        <v>0</v>
      </c>
      <c r="AS114" t="b">
        <f t="shared" si="151"/>
        <v>0</v>
      </c>
      <c r="AT114" t="b">
        <f t="shared" si="152"/>
        <v>0</v>
      </c>
      <c r="AU114" t="b">
        <f t="shared" si="153"/>
        <v>0</v>
      </c>
      <c r="AV114" t="b">
        <f t="shared" si="154"/>
        <v>0</v>
      </c>
      <c r="AW114" t="b">
        <f t="shared" si="155"/>
        <v>0</v>
      </c>
      <c r="AX114" t="b">
        <f t="shared" si="157"/>
        <v>0</v>
      </c>
      <c r="AY114" t="b">
        <f t="shared" si="158"/>
        <v>0</v>
      </c>
      <c r="AZ114" t="b">
        <f t="shared" si="159"/>
        <v>0</v>
      </c>
      <c r="BA114" t="b">
        <f t="shared" si="160"/>
        <v>0</v>
      </c>
      <c r="BB114" t="b">
        <f t="shared" si="161"/>
        <v>0</v>
      </c>
      <c r="BC114" t="b">
        <f t="shared" si="162"/>
        <v>0</v>
      </c>
      <c r="BD114" t="b">
        <f t="shared" si="163"/>
        <v>0</v>
      </c>
      <c r="BE114" t="b">
        <f t="shared" si="164"/>
        <v>0</v>
      </c>
      <c r="BF114" t="b">
        <f t="shared" si="165"/>
        <v>0</v>
      </c>
      <c r="BG114" t="b">
        <f t="shared" si="166"/>
        <v>0</v>
      </c>
      <c r="BH114" t="b">
        <f t="shared" si="167"/>
        <v>0</v>
      </c>
      <c r="BI114">
        <f t="shared" si="168"/>
        <v>1</v>
      </c>
      <c r="BJ114" t="b">
        <f t="shared" si="169"/>
        <v>0</v>
      </c>
      <c r="BK114" t="b">
        <f t="shared" si="170"/>
        <v>0</v>
      </c>
      <c r="BL114" t="b">
        <f t="shared" si="171"/>
        <v>0</v>
      </c>
      <c r="BM114" t="b">
        <f t="shared" si="172"/>
        <v>0</v>
      </c>
      <c r="BN114" t="b">
        <f t="shared" si="173"/>
        <v>0</v>
      </c>
      <c r="BO114" t="b">
        <f t="shared" si="174"/>
        <v>0</v>
      </c>
      <c r="BP114" t="b">
        <f t="shared" si="175"/>
        <v>0</v>
      </c>
      <c r="BQ114" t="b">
        <f t="shared" si="176"/>
        <v>0</v>
      </c>
      <c r="BR114" t="b">
        <f t="shared" si="177"/>
        <v>0</v>
      </c>
      <c r="BS114" t="b">
        <f t="shared" si="178"/>
        <v>0</v>
      </c>
      <c r="BT114">
        <f t="shared" si="179"/>
        <v>1</v>
      </c>
      <c r="BU114" t="b">
        <f t="shared" si="180"/>
        <v>0</v>
      </c>
      <c r="BV114" t="b">
        <f t="shared" si="181"/>
        <v>0</v>
      </c>
      <c r="BW114" t="b">
        <f t="shared" si="182"/>
        <v>0</v>
      </c>
      <c r="BX114" t="b">
        <f t="shared" si="183"/>
        <v>0</v>
      </c>
      <c r="BY114" t="b">
        <f t="shared" si="184"/>
        <v>0</v>
      </c>
      <c r="BZ114" t="b">
        <f t="shared" si="185"/>
        <v>0</v>
      </c>
      <c r="CA114" t="b">
        <f t="shared" si="186"/>
        <v>0</v>
      </c>
      <c r="CB114" t="b">
        <f t="shared" si="187"/>
        <v>0</v>
      </c>
      <c r="CC114" t="b">
        <f t="shared" si="188"/>
        <v>0</v>
      </c>
      <c r="CD114" t="b">
        <f t="shared" si="189"/>
        <v>0</v>
      </c>
      <c r="CE114" t="b">
        <f t="shared" si="190"/>
        <v>0</v>
      </c>
      <c r="CF114" t="b">
        <f t="shared" si="191"/>
        <v>0</v>
      </c>
      <c r="CG114" t="b">
        <f t="shared" si="192"/>
        <v>0</v>
      </c>
      <c r="CH114" t="b">
        <f t="shared" si="193"/>
        <v>0</v>
      </c>
      <c r="CI114" t="b">
        <f t="shared" si="194"/>
        <v>0</v>
      </c>
      <c r="CJ114" t="b">
        <f t="shared" si="195"/>
        <v>0</v>
      </c>
      <c r="CK114" t="b">
        <f t="shared" si="196"/>
        <v>0</v>
      </c>
      <c r="CL114" t="b">
        <f t="shared" si="197"/>
        <v>0</v>
      </c>
      <c r="CM114">
        <f t="shared" si="198"/>
        <v>1</v>
      </c>
      <c r="CN114" t="b">
        <f t="shared" si="199"/>
        <v>0</v>
      </c>
      <c r="CO114" t="b">
        <f t="shared" si="200"/>
        <v>0</v>
      </c>
      <c r="CP114" t="b">
        <f t="shared" si="201"/>
        <v>0</v>
      </c>
      <c r="CQ114" t="b">
        <f t="shared" si="202"/>
        <v>0</v>
      </c>
      <c r="CR114" t="b">
        <f t="shared" si="203"/>
        <v>0</v>
      </c>
      <c r="CS114" t="b">
        <f t="shared" si="204"/>
        <v>0</v>
      </c>
      <c r="CT114" t="b">
        <f t="shared" si="205"/>
        <v>0</v>
      </c>
      <c r="CU114" t="b">
        <f t="shared" si="206"/>
        <v>0</v>
      </c>
      <c r="CV114">
        <f t="shared" si="207"/>
        <v>1</v>
      </c>
      <c r="CW114" t="b">
        <f t="shared" si="208"/>
        <v>0</v>
      </c>
      <c r="CX114" t="b">
        <f t="shared" si="209"/>
        <v>0</v>
      </c>
      <c r="CY114" t="b">
        <f t="shared" si="210"/>
        <v>0</v>
      </c>
      <c r="CZ114" t="b">
        <f t="shared" si="211"/>
        <v>0</v>
      </c>
      <c r="DA114" t="b">
        <f t="shared" si="212"/>
        <v>0</v>
      </c>
      <c r="DB114" t="b">
        <f t="shared" si="213"/>
        <v>0</v>
      </c>
      <c r="DC114" t="b">
        <f t="shared" si="214"/>
        <v>0</v>
      </c>
      <c r="DD114" t="b">
        <f t="shared" si="215"/>
        <v>0</v>
      </c>
      <c r="DE114" t="b">
        <f t="shared" si="216"/>
        <v>0</v>
      </c>
      <c r="DF114" t="b">
        <f t="shared" si="217"/>
        <v>0</v>
      </c>
      <c r="DG114" t="b">
        <f t="shared" si="218"/>
        <v>0</v>
      </c>
      <c r="DH114" t="b">
        <f t="shared" si="219"/>
        <v>0</v>
      </c>
      <c r="DI114" t="b">
        <f t="shared" si="220"/>
        <v>0</v>
      </c>
      <c r="DJ114" t="b">
        <f t="shared" si="221"/>
        <v>0</v>
      </c>
      <c r="DK114" t="b">
        <f t="shared" si="222"/>
        <v>0</v>
      </c>
      <c r="DL114" t="b">
        <f t="shared" si="223"/>
        <v>0</v>
      </c>
      <c r="DM114" t="b">
        <f t="shared" si="224"/>
        <v>0</v>
      </c>
      <c r="DN114" t="b">
        <f t="shared" si="225"/>
        <v>0</v>
      </c>
      <c r="DO114" t="b">
        <f t="shared" si="226"/>
        <v>0</v>
      </c>
      <c r="DP114" t="b">
        <f t="shared" si="227"/>
        <v>0</v>
      </c>
      <c r="DQ114" t="b">
        <f t="shared" si="228"/>
        <v>0</v>
      </c>
      <c r="DR114" t="b">
        <f t="shared" si="229"/>
        <v>0</v>
      </c>
      <c r="DS114" t="b">
        <f t="shared" si="230"/>
        <v>0</v>
      </c>
      <c r="DT114" t="b">
        <f t="shared" si="231"/>
        <v>0</v>
      </c>
      <c r="DU114" t="b">
        <f t="shared" si="232"/>
        <v>0</v>
      </c>
      <c r="DV114" t="b">
        <f t="shared" si="233"/>
        <v>0</v>
      </c>
      <c r="DW114" t="b">
        <f t="shared" si="234"/>
        <v>0</v>
      </c>
      <c r="DX114" t="b">
        <f t="shared" si="235"/>
        <v>0</v>
      </c>
      <c r="DY114" t="b">
        <f t="shared" si="236"/>
        <v>0</v>
      </c>
      <c r="DZ114" t="b">
        <f t="shared" si="237"/>
        <v>0</v>
      </c>
      <c r="EA114" t="b">
        <f t="shared" si="238"/>
        <v>0</v>
      </c>
      <c r="EB114" t="b">
        <f t="shared" si="239"/>
        <v>0</v>
      </c>
      <c r="EC114" t="b">
        <f t="shared" si="240"/>
        <v>0</v>
      </c>
      <c r="ED114" t="b">
        <f t="shared" si="241"/>
        <v>0</v>
      </c>
      <c r="EE114" t="b">
        <f t="shared" si="242"/>
        <v>0</v>
      </c>
      <c r="EF114" t="b">
        <f t="shared" si="243"/>
        <v>0</v>
      </c>
      <c r="EG114" t="b">
        <f t="shared" si="244"/>
        <v>0</v>
      </c>
      <c r="EH114" t="b">
        <f t="shared" si="245"/>
        <v>0</v>
      </c>
      <c r="EI114" t="b">
        <f t="shared" si="246"/>
        <v>0</v>
      </c>
      <c r="EJ114" t="b">
        <f t="shared" si="247"/>
        <v>0</v>
      </c>
      <c r="EK114" t="b">
        <f t="shared" si="248"/>
        <v>0</v>
      </c>
    </row>
    <row r="115" spans="1:141">
      <c r="A115" t="s">
        <v>698</v>
      </c>
      <c r="B115" t="s">
        <v>699</v>
      </c>
      <c r="C115" t="s">
        <v>700</v>
      </c>
      <c r="D115" s="1">
        <v>40734</v>
      </c>
      <c r="E115" s="2">
        <v>42681.862407407411</v>
      </c>
      <c r="F115" s="2">
        <v>42681.862407407411</v>
      </c>
      <c r="G115">
        <v>7830195</v>
      </c>
      <c r="H115" t="s">
        <v>701</v>
      </c>
      <c r="I115" s="10" t="s">
        <v>702</v>
      </c>
      <c r="J115" t="s">
        <v>381</v>
      </c>
      <c r="K115" s="8" t="b">
        <v>0</v>
      </c>
      <c r="L115" s="10" t="b">
        <v>0</v>
      </c>
      <c r="M115" s="12" t="b">
        <v>0</v>
      </c>
      <c r="N115" t="b">
        <v>0</v>
      </c>
      <c r="O115" t="b">
        <v>0</v>
      </c>
      <c r="P115" t="b">
        <v>0</v>
      </c>
      <c r="Q115">
        <f t="shared" si="125"/>
        <v>1</v>
      </c>
      <c r="R115">
        <f t="shared" si="126"/>
        <v>7</v>
      </c>
      <c r="S115" t="e">
        <f t="shared" ca="1" si="156"/>
        <v>#NAME?</v>
      </c>
      <c r="T115" t="e">
        <f t="shared" ca="1" si="127"/>
        <v>#NAME?</v>
      </c>
      <c r="U115" s="4">
        <f t="shared" si="128"/>
        <v>1947.8624074074105</v>
      </c>
      <c r="V115" s="4">
        <f t="shared" si="129"/>
        <v>64.928746913580355</v>
      </c>
      <c r="W115" s="4">
        <f t="shared" si="130"/>
        <v>0</v>
      </c>
      <c r="X115" s="4">
        <f t="shared" si="131"/>
        <v>0</v>
      </c>
      <c r="Y115" s="4">
        <f t="shared" si="132"/>
        <v>0</v>
      </c>
      <c r="Z115" s="4">
        <f t="shared" si="133"/>
        <v>0</v>
      </c>
      <c r="AA115" s="4">
        <f t="shared" si="134"/>
        <v>0</v>
      </c>
      <c r="AB115" s="4">
        <f t="shared" si="135"/>
        <v>0</v>
      </c>
      <c r="AC115" s="4"/>
      <c r="AD115" s="4" t="b">
        <f t="shared" si="136"/>
        <v>0</v>
      </c>
      <c r="AE115" s="4" t="b">
        <f t="shared" si="137"/>
        <v>0</v>
      </c>
      <c r="AF115" s="4" t="b">
        <f t="shared" si="138"/>
        <v>0</v>
      </c>
      <c r="AG115" t="b">
        <f t="shared" si="139"/>
        <v>0</v>
      </c>
      <c r="AH115" t="b">
        <f t="shared" si="140"/>
        <v>0</v>
      </c>
      <c r="AI115" t="b">
        <f t="shared" si="141"/>
        <v>0</v>
      </c>
      <c r="AJ115" t="b">
        <f t="shared" si="142"/>
        <v>0</v>
      </c>
      <c r="AK115" t="b">
        <f t="shared" si="143"/>
        <v>0</v>
      </c>
      <c r="AL115" t="b">
        <f t="shared" si="144"/>
        <v>0</v>
      </c>
      <c r="AM115" t="b">
        <f t="shared" si="145"/>
        <v>0</v>
      </c>
      <c r="AN115" t="b">
        <f t="shared" si="146"/>
        <v>0</v>
      </c>
      <c r="AO115" t="b">
        <f t="shared" si="147"/>
        <v>0</v>
      </c>
      <c r="AP115" t="b">
        <f t="shared" si="148"/>
        <v>0</v>
      </c>
      <c r="AQ115" t="b">
        <f t="shared" si="149"/>
        <v>0</v>
      </c>
      <c r="AR115" t="b">
        <f t="shared" si="150"/>
        <v>0</v>
      </c>
      <c r="AS115" t="b">
        <f t="shared" si="151"/>
        <v>0</v>
      </c>
      <c r="AT115" t="b">
        <f t="shared" si="152"/>
        <v>0</v>
      </c>
      <c r="AU115" t="b">
        <f t="shared" si="153"/>
        <v>0</v>
      </c>
      <c r="AV115" t="b">
        <f t="shared" si="154"/>
        <v>0</v>
      </c>
      <c r="AW115" t="b">
        <f t="shared" si="155"/>
        <v>0</v>
      </c>
      <c r="AX115" t="b">
        <f t="shared" si="157"/>
        <v>0</v>
      </c>
      <c r="AY115" t="b">
        <f t="shared" si="158"/>
        <v>0</v>
      </c>
      <c r="AZ115" t="b">
        <f t="shared" si="159"/>
        <v>0</v>
      </c>
      <c r="BA115" t="b">
        <f t="shared" si="160"/>
        <v>0</v>
      </c>
      <c r="BB115" t="b">
        <f t="shared" si="161"/>
        <v>0</v>
      </c>
      <c r="BC115" t="b">
        <f t="shared" si="162"/>
        <v>0</v>
      </c>
      <c r="BD115" t="b">
        <f t="shared" si="163"/>
        <v>0</v>
      </c>
      <c r="BE115" t="b">
        <f t="shared" si="164"/>
        <v>0</v>
      </c>
      <c r="BF115" t="b">
        <f t="shared" si="165"/>
        <v>0</v>
      </c>
      <c r="BG115" t="b">
        <f t="shared" si="166"/>
        <v>0</v>
      </c>
      <c r="BH115" t="b">
        <f t="shared" si="167"/>
        <v>0</v>
      </c>
      <c r="BI115">
        <f t="shared" si="168"/>
        <v>1</v>
      </c>
      <c r="BJ115" t="b">
        <f t="shared" si="169"/>
        <v>0</v>
      </c>
      <c r="BK115" t="b">
        <f t="shared" si="170"/>
        <v>0</v>
      </c>
      <c r="BL115" t="b">
        <f t="shared" si="171"/>
        <v>0</v>
      </c>
      <c r="BM115" t="b">
        <f t="shared" si="172"/>
        <v>0</v>
      </c>
      <c r="BN115" t="b">
        <f t="shared" si="173"/>
        <v>0</v>
      </c>
      <c r="BO115" t="b">
        <f t="shared" si="174"/>
        <v>0</v>
      </c>
      <c r="BP115" t="b">
        <f t="shared" si="175"/>
        <v>0</v>
      </c>
      <c r="BQ115" t="b">
        <f t="shared" si="176"/>
        <v>0</v>
      </c>
      <c r="BR115" t="b">
        <f t="shared" si="177"/>
        <v>0</v>
      </c>
      <c r="BS115" t="b">
        <f t="shared" si="178"/>
        <v>0</v>
      </c>
      <c r="BT115" t="b">
        <f t="shared" si="179"/>
        <v>0</v>
      </c>
      <c r="BU115" t="b">
        <f t="shared" si="180"/>
        <v>0</v>
      </c>
      <c r="BV115" t="b">
        <f t="shared" si="181"/>
        <v>0</v>
      </c>
      <c r="BW115" t="b">
        <f t="shared" si="182"/>
        <v>0</v>
      </c>
      <c r="BX115" t="b">
        <f t="shared" si="183"/>
        <v>0</v>
      </c>
      <c r="BY115" t="b">
        <f t="shared" si="184"/>
        <v>0</v>
      </c>
      <c r="BZ115" t="b">
        <f t="shared" si="185"/>
        <v>0</v>
      </c>
      <c r="CA115" t="b">
        <f t="shared" si="186"/>
        <v>0</v>
      </c>
      <c r="CB115" t="b">
        <f t="shared" si="187"/>
        <v>0</v>
      </c>
      <c r="CC115" t="b">
        <f t="shared" si="188"/>
        <v>0</v>
      </c>
      <c r="CD115" t="b">
        <f t="shared" si="189"/>
        <v>0</v>
      </c>
      <c r="CE115">
        <f t="shared" si="190"/>
        <v>1</v>
      </c>
      <c r="CF115" t="b">
        <f t="shared" si="191"/>
        <v>0</v>
      </c>
      <c r="CG115" t="b">
        <f t="shared" si="192"/>
        <v>0</v>
      </c>
      <c r="CH115" t="b">
        <f t="shared" si="193"/>
        <v>0</v>
      </c>
      <c r="CI115" t="b">
        <f t="shared" si="194"/>
        <v>0</v>
      </c>
      <c r="CJ115" t="b">
        <f t="shared" si="195"/>
        <v>0</v>
      </c>
      <c r="CK115" t="b">
        <f t="shared" si="196"/>
        <v>0</v>
      </c>
      <c r="CL115" t="b">
        <f t="shared" si="197"/>
        <v>0</v>
      </c>
      <c r="CM115" t="b">
        <f t="shared" si="198"/>
        <v>0</v>
      </c>
      <c r="CN115" t="b">
        <f t="shared" si="199"/>
        <v>0</v>
      </c>
      <c r="CO115" t="b">
        <f t="shared" si="200"/>
        <v>0</v>
      </c>
      <c r="CP115" t="b">
        <f t="shared" si="201"/>
        <v>0</v>
      </c>
      <c r="CQ115" t="b">
        <f t="shared" si="202"/>
        <v>0</v>
      </c>
      <c r="CR115" t="b">
        <f t="shared" si="203"/>
        <v>0</v>
      </c>
      <c r="CS115" t="b">
        <f t="shared" si="204"/>
        <v>0</v>
      </c>
      <c r="CT115" t="b">
        <f t="shared" si="205"/>
        <v>0</v>
      </c>
      <c r="CU115" t="b">
        <f t="shared" si="206"/>
        <v>0</v>
      </c>
      <c r="CV115">
        <f t="shared" si="207"/>
        <v>1</v>
      </c>
      <c r="CW115" t="b">
        <f t="shared" si="208"/>
        <v>0</v>
      </c>
      <c r="CX115" t="b">
        <f t="shared" si="209"/>
        <v>0</v>
      </c>
      <c r="CY115" t="b">
        <f t="shared" si="210"/>
        <v>0</v>
      </c>
      <c r="CZ115" t="b">
        <f t="shared" si="211"/>
        <v>0</v>
      </c>
      <c r="DA115" t="b">
        <f t="shared" si="212"/>
        <v>0</v>
      </c>
      <c r="DB115" t="b">
        <f t="shared" si="213"/>
        <v>0</v>
      </c>
      <c r="DC115" t="b">
        <f t="shared" si="214"/>
        <v>0</v>
      </c>
      <c r="DD115" t="b">
        <f t="shared" si="215"/>
        <v>0</v>
      </c>
      <c r="DE115" t="b">
        <f t="shared" si="216"/>
        <v>0</v>
      </c>
      <c r="DF115" t="b">
        <f t="shared" si="217"/>
        <v>0</v>
      </c>
      <c r="DG115" t="b">
        <f t="shared" si="218"/>
        <v>0</v>
      </c>
      <c r="DH115" t="b">
        <f t="shared" si="219"/>
        <v>0</v>
      </c>
      <c r="DI115" t="b">
        <f t="shared" si="220"/>
        <v>0</v>
      </c>
      <c r="DJ115" t="b">
        <f t="shared" si="221"/>
        <v>0</v>
      </c>
      <c r="DK115" t="b">
        <f t="shared" si="222"/>
        <v>0</v>
      </c>
      <c r="DL115" t="b">
        <f t="shared" si="223"/>
        <v>0</v>
      </c>
      <c r="DM115" t="b">
        <f t="shared" si="224"/>
        <v>0</v>
      </c>
      <c r="DN115" t="b">
        <f t="shared" si="225"/>
        <v>0</v>
      </c>
      <c r="DO115" t="b">
        <f t="shared" si="226"/>
        <v>0</v>
      </c>
      <c r="DP115" t="b">
        <f t="shared" si="227"/>
        <v>0</v>
      </c>
      <c r="DQ115" t="b">
        <f t="shared" si="228"/>
        <v>0</v>
      </c>
      <c r="DR115" t="b">
        <f t="shared" si="229"/>
        <v>0</v>
      </c>
      <c r="DS115" t="b">
        <f t="shared" si="230"/>
        <v>0</v>
      </c>
      <c r="DT115" t="b">
        <f t="shared" si="231"/>
        <v>0</v>
      </c>
      <c r="DU115" t="b">
        <f t="shared" si="232"/>
        <v>0</v>
      </c>
      <c r="DV115" t="b">
        <f t="shared" si="233"/>
        <v>0</v>
      </c>
      <c r="DW115" t="b">
        <f t="shared" si="234"/>
        <v>0</v>
      </c>
      <c r="DX115" t="b">
        <f t="shared" si="235"/>
        <v>0</v>
      </c>
      <c r="DY115" t="b">
        <f t="shared" si="236"/>
        <v>0</v>
      </c>
      <c r="DZ115" t="b">
        <f t="shared" si="237"/>
        <v>0</v>
      </c>
      <c r="EA115" t="b">
        <f t="shared" si="238"/>
        <v>0</v>
      </c>
      <c r="EB115" t="b">
        <f t="shared" si="239"/>
        <v>0</v>
      </c>
      <c r="EC115" t="b">
        <f t="shared" si="240"/>
        <v>0</v>
      </c>
      <c r="ED115" t="b">
        <f t="shared" si="241"/>
        <v>0</v>
      </c>
      <c r="EE115" t="b">
        <f t="shared" si="242"/>
        <v>0</v>
      </c>
      <c r="EF115">
        <f t="shared" si="243"/>
        <v>1</v>
      </c>
      <c r="EG115" t="b">
        <f t="shared" si="244"/>
        <v>0</v>
      </c>
      <c r="EH115" t="b">
        <f t="shared" si="245"/>
        <v>0</v>
      </c>
      <c r="EI115">
        <f t="shared" si="246"/>
        <v>1</v>
      </c>
      <c r="EJ115" t="b">
        <f t="shared" si="247"/>
        <v>0</v>
      </c>
      <c r="EK115" t="b">
        <f t="shared" si="248"/>
        <v>0</v>
      </c>
    </row>
    <row r="116" spans="1:141">
      <c r="A116" t="s">
        <v>703</v>
      </c>
      <c r="B116" t="s">
        <v>704</v>
      </c>
      <c r="C116" t="s">
        <v>705</v>
      </c>
      <c r="D116" s="1">
        <v>42565</v>
      </c>
      <c r="E116" s="2">
        <v>43673.91878472222</v>
      </c>
      <c r="F116" s="2">
        <v>43673.91878472222</v>
      </c>
      <c r="G116">
        <v>1604957</v>
      </c>
      <c r="H116" t="s">
        <v>706</v>
      </c>
      <c r="I116" s="10" t="s">
        <v>707</v>
      </c>
      <c r="J116" t="s">
        <v>188</v>
      </c>
      <c r="K116" s="8" t="b">
        <v>1</v>
      </c>
      <c r="L116" s="10" t="b">
        <v>0</v>
      </c>
      <c r="M116" s="12" t="b">
        <v>0</v>
      </c>
      <c r="N116" t="b">
        <v>0</v>
      </c>
      <c r="O116" t="b">
        <v>0</v>
      </c>
      <c r="P116" t="b">
        <v>0</v>
      </c>
      <c r="Q116">
        <f t="shared" si="125"/>
        <v>5</v>
      </c>
      <c r="R116">
        <f t="shared" si="126"/>
        <v>7</v>
      </c>
      <c r="S116" t="e">
        <f t="shared" ca="1" si="156"/>
        <v>#NAME?</v>
      </c>
      <c r="T116" t="e">
        <f t="shared" ca="1" si="127"/>
        <v>#NAME?</v>
      </c>
      <c r="U116" s="4">
        <f t="shared" si="128"/>
        <v>1108.9187847222202</v>
      </c>
      <c r="V116" s="4">
        <f t="shared" si="129"/>
        <v>36.96395949074067</v>
      </c>
      <c r="W116" s="4">
        <f t="shared" si="130"/>
        <v>1</v>
      </c>
      <c r="X116" s="4">
        <f t="shared" si="131"/>
        <v>0</v>
      </c>
      <c r="Y116" s="4">
        <f t="shared" si="132"/>
        <v>0</v>
      </c>
      <c r="Z116" s="4">
        <f t="shared" si="133"/>
        <v>0</v>
      </c>
      <c r="AA116" s="4">
        <f t="shared" si="134"/>
        <v>0</v>
      </c>
      <c r="AB116" s="4">
        <f t="shared" si="135"/>
        <v>0</v>
      </c>
      <c r="AC116" s="4"/>
      <c r="AD116" s="4" t="b">
        <f t="shared" si="136"/>
        <v>0</v>
      </c>
      <c r="AE116" s="4" t="b">
        <f t="shared" si="137"/>
        <v>0</v>
      </c>
      <c r="AF116" s="4" t="b">
        <f t="shared" si="138"/>
        <v>0</v>
      </c>
      <c r="AG116" t="b">
        <f t="shared" si="139"/>
        <v>0</v>
      </c>
      <c r="AH116" t="b">
        <f t="shared" si="140"/>
        <v>0</v>
      </c>
      <c r="AI116" t="b">
        <f t="shared" si="141"/>
        <v>0</v>
      </c>
      <c r="AJ116" t="b">
        <f t="shared" si="142"/>
        <v>0</v>
      </c>
      <c r="AK116" t="b">
        <f t="shared" si="143"/>
        <v>0</v>
      </c>
      <c r="AL116" t="b">
        <f t="shared" si="144"/>
        <v>0</v>
      </c>
      <c r="AM116" t="b">
        <f t="shared" si="145"/>
        <v>0</v>
      </c>
      <c r="AN116" t="b">
        <f t="shared" si="146"/>
        <v>0</v>
      </c>
      <c r="AO116" t="b">
        <f t="shared" si="147"/>
        <v>0</v>
      </c>
      <c r="AP116" t="b">
        <f t="shared" si="148"/>
        <v>0</v>
      </c>
      <c r="AQ116" t="b">
        <f t="shared" si="149"/>
        <v>0</v>
      </c>
      <c r="AR116" t="b">
        <f t="shared" si="150"/>
        <v>0</v>
      </c>
      <c r="AS116" t="b">
        <f t="shared" si="151"/>
        <v>0</v>
      </c>
      <c r="AT116" t="b">
        <f t="shared" si="152"/>
        <v>0</v>
      </c>
      <c r="AU116" t="b">
        <f t="shared" si="153"/>
        <v>0</v>
      </c>
      <c r="AV116" t="b">
        <f t="shared" si="154"/>
        <v>0</v>
      </c>
      <c r="AW116" t="b">
        <f t="shared" si="155"/>
        <v>0</v>
      </c>
      <c r="AX116" t="b">
        <f t="shared" si="157"/>
        <v>0</v>
      </c>
      <c r="AY116" t="b">
        <f t="shared" si="158"/>
        <v>0</v>
      </c>
      <c r="AZ116" t="b">
        <f t="shared" si="159"/>
        <v>0</v>
      </c>
      <c r="BA116" t="b">
        <f t="shared" si="160"/>
        <v>0</v>
      </c>
      <c r="BB116" t="b">
        <f t="shared" si="161"/>
        <v>0</v>
      </c>
      <c r="BC116" t="b">
        <f t="shared" si="162"/>
        <v>0</v>
      </c>
      <c r="BD116" t="b">
        <f t="shared" si="163"/>
        <v>0</v>
      </c>
      <c r="BE116" t="b">
        <f t="shared" si="164"/>
        <v>0</v>
      </c>
      <c r="BF116" t="b">
        <f t="shared" si="165"/>
        <v>0</v>
      </c>
      <c r="BG116" t="b">
        <f t="shared" si="166"/>
        <v>0</v>
      </c>
      <c r="BH116" t="b">
        <f t="shared" si="167"/>
        <v>0</v>
      </c>
      <c r="BI116">
        <f t="shared" si="168"/>
        <v>1</v>
      </c>
      <c r="BJ116" t="b">
        <f t="shared" si="169"/>
        <v>0</v>
      </c>
      <c r="BK116" t="b">
        <f t="shared" si="170"/>
        <v>0</v>
      </c>
      <c r="BL116" t="b">
        <f t="shared" si="171"/>
        <v>0</v>
      </c>
      <c r="BM116" t="b">
        <f t="shared" si="172"/>
        <v>0</v>
      </c>
      <c r="BN116" t="b">
        <f t="shared" si="173"/>
        <v>0</v>
      </c>
      <c r="BO116" t="b">
        <f t="shared" si="174"/>
        <v>0</v>
      </c>
      <c r="BP116" t="b">
        <f t="shared" si="175"/>
        <v>0</v>
      </c>
      <c r="BQ116" t="b">
        <f t="shared" si="176"/>
        <v>0</v>
      </c>
      <c r="BR116" t="b">
        <f t="shared" si="177"/>
        <v>0</v>
      </c>
      <c r="BS116" t="b">
        <f t="shared" si="178"/>
        <v>0</v>
      </c>
      <c r="BT116" t="b">
        <f t="shared" si="179"/>
        <v>0</v>
      </c>
      <c r="BU116" t="b">
        <f t="shared" si="180"/>
        <v>0</v>
      </c>
      <c r="BV116" t="b">
        <f t="shared" si="181"/>
        <v>0</v>
      </c>
      <c r="BW116" t="b">
        <f t="shared" si="182"/>
        <v>0</v>
      </c>
      <c r="BX116" t="b">
        <f t="shared" si="183"/>
        <v>0</v>
      </c>
      <c r="BY116" t="b">
        <f t="shared" si="184"/>
        <v>0</v>
      </c>
      <c r="BZ116" t="b">
        <f t="shared" si="185"/>
        <v>0</v>
      </c>
      <c r="CA116" t="b">
        <f t="shared" si="186"/>
        <v>0</v>
      </c>
      <c r="CB116" t="b">
        <f t="shared" si="187"/>
        <v>0</v>
      </c>
      <c r="CC116" t="b">
        <f t="shared" si="188"/>
        <v>0</v>
      </c>
      <c r="CD116" t="b">
        <f t="shared" si="189"/>
        <v>0</v>
      </c>
      <c r="CE116">
        <f t="shared" si="190"/>
        <v>1</v>
      </c>
      <c r="CF116" t="b">
        <f t="shared" si="191"/>
        <v>0</v>
      </c>
      <c r="CG116" t="b">
        <f t="shared" si="192"/>
        <v>0</v>
      </c>
      <c r="CH116" t="b">
        <f t="shared" si="193"/>
        <v>0</v>
      </c>
      <c r="CI116" t="b">
        <f t="shared" si="194"/>
        <v>0</v>
      </c>
      <c r="CJ116" t="b">
        <f t="shared" si="195"/>
        <v>0</v>
      </c>
      <c r="CK116" t="b">
        <f t="shared" si="196"/>
        <v>0</v>
      </c>
      <c r="CL116" t="b">
        <f t="shared" si="197"/>
        <v>0</v>
      </c>
      <c r="CM116" t="b">
        <f t="shared" si="198"/>
        <v>0</v>
      </c>
      <c r="CN116" t="b">
        <f t="shared" si="199"/>
        <v>0</v>
      </c>
      <c r="CO116" t="b">
        <f t="shared" si="200"/>
        <v>0</v>
      </c>
      <c r="CP116" t="b">
        <f t="shared" si="201"/>
        <v>0</v>
      </c>
      <c r="CQ116" t="b">
        <f t="shared" si="202"/>
        <v>0</v>
      </c>
      <c r="CR116" t="b">
        <f t="shared" si="203"/>
        <v>0</v>
      </c>
      <c r="CS116" t="b">
        <f t="shared" si="204"/>
        <v>0</v>
      </c>
      <c r="CT116" t="b">
        <f t="shared" si="205"/>
        <v>0</v>
      </c>
      <c r="CU116" t="b">
        <f t="shared" si="206"/>
        <v>0</v>
      </c>
      <c r="CV116">
        <f t="shared" si="207"/>
        <v>1</v>
      </c>
      <c r="CW116" t="b">
        <f t="shared" si="208"/>
        <v>0</v>
      </c>
      <c r="CX116" t="b">
        <f t="shared" si="209"/>
        <v>0</v>
      </c>
      <c r="CY116" t="b">
        <f t="shared" si="210"/>
        <v>0</v>
      </c>
      <c r="CZ116" t="b">
        <f t="shared" si="211"/>
        <v>0</v>
      </c>
      <c r="DA116" t="b">
        <f t="shared" si="212"/>
        <v>0</v>
      </c>
      <c r="DB116" t="b">
        <f t="shared" si="213"/>
        <v>0</v>
      </c>
      <c r="DC116" t="b">
        <f t="shared" si="214"/>
        <v>0</v>
      </c>
      <c r="DD116" t="b">
        <f t="shared" si="215"/>
        <v>0</v>
      </c>
      <c r="DE116" t="b">
        <f t="shared" si="216"/>
        <v>0</v>
      </c>
      <c r="DF116" t="b">
        <f t="shared" si="217"/>
        <v>0</v>
      </c>
      <c r="DG116" t="b">
        <f t="shared" si="218"/>
        <v>0</v>
      </c>
      <c r="DH116" t="b">
        <f t="shared" si="219"/>
        <v>0</v>
      </c>
      <c r="DI116" t="b">
        <f t="shared" si="220"/>
        <v>0</v>
      </c>
      <c r="DJ116" t="b">
        <f t="shared" si="221"/>
        <v>0</v>
      </c>
      <c r="DK116" t="b">
        <f t="shared" si="222"/>
        <v>0</v>
      </c>
      <c r="DL116" t="b">
        <f t="shared" si="223"/>
        <v>0</v>
      </c>
      <c r="DM116" t="b">
        <f t="shared" si="224"/>
        <v>0</v>
      </c>
      <c r="DN116" t="b">
        <f t="shared" si="225"/>
        <v>0</v>
      </c>
      <c r="DO116" t="b">
        <f t="shared" si="226"/>
        <v>0</v>
      </c>
      <c r="DP116" t="b">
        <f t="shared" si="227"/>
        <v>0</v>
      </c>
      <c r="DQ116" t="b">
        <f t="shared" si="228"/>
        <v>0</v>
      </c>
      <c r="DR116" t="b">
        <f t="shared" si="229"/>
        <v>0</v>
      </c>
      <c r="DS116" t="b">
        <f t="shared" si="230"/>
        <v>0</v>
      </c>
      <c r="DT116" t="b">
        <f t="shared" si="231"/>
        <v>0</v>
      </c>
      <c r="DU116" t="b">
        <f t="shared" si="232"/>
        <v>0</v>
      </c>
      <c r="DV116" t="b">
        <f t="shared" si="233"/>
        <v>0</v>
      </c>
      <c r="DW116" t="b">
        <f t="shared" si="234"/>
        <v>0</v>
      </c>
      <c r="DX116" t="b">
        <f t="shared" si="235"/>
        <v>0</v>
      </c>
      <c r="DY116" t="b">
        <f t="shared" si="236"/>
        <v>0</v>
      </c>
      <c r="DZ116" t="b">
        <f t="shared" si="237"/>
        <v>0</v>
      </c>
      <c r="EA116" t="b">
        <f t="shared" si="238"/>
        <v>0</v>
      </c>
      <c r="EB116" t="b">
        <f t="shared" si="239"/>
        <v>0</v>
      </c>
      <c r="EC116" t="b">
        <f t="shared" si="240"/>
        <v>0</v>
      </c>
      <c r="ED116" t="b">
        <f t="shared" si="241"/>
        <v>0</v>
      </c>
      <c r="EE116" t="b">
        <f t="shared" si="242"/>
        <v>0</v>
      </c>
      <c r="EF116">
        <f t="shared" si="243"/>
        <v>1</v>
      </c>
      <c r="EG116" t="b">
        <f t="shared" si="244"/>
        <v>0</v>
      </c>
      <c r="EH116" t="b">
        <f t="shared" si="245"/>
        <v>0</v>
      </c>
      <c r="EI116" t="b">
        <f t="shared" si="246"/>
        <v>0</v>
      </c>
      <c r="EJ116" t="b">
        <f t="shared" si="247"/>
        <v>0</v>
      </c>
      <c r="EK116" t="b">
        <f t="shared" si="248"/>
        <v>0</v>
      </c>
    </row>
    <row r="117" spans="1:141">
      <c r="A117" t="s">
        <v>708</v>
      </c>
      <c r="B117" t="s">
        <v>709</v>
      </c>
      <c r="C117" t="s">
        <v>710</v>
      </c>
      <c r="D117" s="1">
        <v>42239</v>
      </c>
      <c r="E117" s="2">
        <v>44309.208553240744</v>
      </c>
      <c r="F117" s="2">
        <v>44309.208553240744</v>
      </c>
      <c r="G117">
        <v>15074786</v>
      </c>
      <c r="H117" t="s">
        <v>711</v>
      </c>
      <c r="I117" s="10" t="s">
        <v>712</v>
      </c>
      <c r="J117" t="s">
        <v>713</v>
      </c>
      <c r="K117" s="8" t="b">
        <v>1</v>
      </c>
      <c r="L117" s="10" t="b">
        <v>0</v>
      </c>
      <c r="M117" s="12" t="b">
        <v>0</v>
      </c>
      <c r="N117" t="b">
        <v>0</v>
      </c>
      <c r="O117" t="b">
        <v>0</v>
      </c>
      <c r="P117" t="b">
        <v>0</v>
      </c>
      <c r="Q117">
        <f t="shared" si="125"/>
        <v>1</v>
      </c>
      <c r="R117">
        <f t="shared" si="126"/>
        <v>8</v>
      </c>
      <c r="S117" t="e">
        <f t="shared" ca="1" si="156"/>
        <v>#NAME?</v>
      </c>
      <c r="T117" t="e">
        <f t="shared" ca="1" si="127"/>
        <v>#NAME?</v>
      </c>
      <c r="U117" s="4">
        <f t="shared" si="128"/>
        <v>2070.2085532407436</v>
      </c>
      <c r="V117" s="4">
        <f t="shared" si="129"/>
        <v>69.006951774691458</v>
      </c>
      <c r="W117" s="4">
        <f t="shared" si="130"/>
        <v>1</v>
      </c>
      <c r="X117" s="4">
        <f t="shared" si="131"/>
        <v>0</v>
      </c>
      <c r="Y117" s="4">
        <f t="shared" si="132"/>
        <v>0</v>
      </c>
      <c r="Z117" s="4">
        <f t="shared" si="133"/>
        <v>0</v>
      </c>
      <c r="AA117" s="4">
        <f t="shared" si="134"/>
        <v>0</v>
      </c>
      <c r="AB117" s="4">
        <f t="shared" si="135"/>
        <v>0</v>
      </c>
      <c r="AC117" s="4"/>
      <c r="AD117" s="4" t="b">
        <f t="shared" si="136"/>
        <v>0</v>
      </c>
      <c r="AE117" s="4" t="b">
        <f t="shared" si="137"/>
        <v>0</v>
      </c>
      <c r="AF117" s="4" t="b">
        <f t="shared" si="138"/>
        <v>0</v>
      </c>
      <c r="AG117" t="b">
        <f t="shared" si="139"/>
        <v>0</v>
      </c>
      <c r="AH117" t="b">
        <f t="shared" si="140"/>
        <v>0</v>
      </c>
      <c r="AI117" t="b">
        <f t="shared" si="141"/>
        <v>0</v>
      </c>
      <c r="AJ117" t="b">
        <f t="shared" si="142"/>
        <v>0</v>
      </c>
      <c r="AK117" t="b">
        <f t="shared" si="143"/>
        <v>0</v>
      </c>
      <c r="AL117" t="b">
        <f t="shared" si="144"/>
        <v>0</v>
      </c>
      <c r="AM117" t="b">
        <f t="shared" si="145"/>
        <v>0</v>
      </c>
      <c r="AN117" t="b">
        <f t="shared" si="146"/>
        <v>0</v>
      </c>
      <c r="AO117" t="b">
        <f t="shared" si="147"/>
        <v>0</v>
      </c>
      <c r="AP117" t="b">
        <f t="shared" si="148"/>
        <v>0</v>
      </c>
      <c r="AQ117" t="b">
        <f t="shared" si="149"/>
        <v>0</v>
      </c>
      <c r="AR117" t="b">
        <f t="shared" si="150"/>
        <v>0</v>
      </c>
      <c r="AS117" t="b">
        <f t="shared" si="151"/>
        <v>0</v>
      </c>
      <c r="AT117" t="b">
        <f t="shared" si="152"/>
        <v>0</v>
      </c>
      <c r="AU117" t="b">
        <f t="shared" si="153"/>
        <v>0</v>
      </c>
      <c r="AV117" t="b">
        <f t="shared" si="154"/>
        <v>0</v>
      </c>
      <c r="AW117" t="b">
        <f t="shared" si="155"/>
        <v>0</v>
      </c>
      <c r="AX117" t="b">
        <f t="shared" si="157"/>
        <v>0</v>
      </c>
      <c r="AY117" t="b">
        <f t="shared" si="158"/>
        <v>0</v>
      </c>
      <c r="AZ117">
        <f t="shared" si="159"/>
        <v>1</v>
      </c>
      <c r="BA117" t="b">
        <f t="shared" si="160"/>
        <v>0</v>
      </c>
      <c r="BB117" t="b">
        <f t="shared" si="161"/>
        <v>0</v>
      </c>
      <c r="BC117" t="b">
        <f t="shared" si="162"/>
        <v>0</v>
      </c>
      <c r="BD117" t="b">
        <f t="shared" si="163"/>
        <v>0</v>
      </c>
      <c r="BE117" t="b">
        <f t="shared" si="164"/>
        <v>0</v>
      </c>
      <c r="BF117" t="b">
        <f t="shared" si="165"/>
        <v>0</v>
      </c>
      <c r="BG117" t="b">
        <f t="shared" si="166"/>
        <v>0</v>
      </c>
      <c r="BH117" t="b">
        <f t="shared" si="167"/>
        <v>0</v>
      </c>
      <c r="BI117">
        <f t="shared" si="168"/>
        <v>1</v>
      </c>
      <c r="BJ117" t="b">
        <f t="shared" si="169"/>
        <v>0</v>
      </c>
      <c r="BK117" t="b">
        <f t="shared" si="170"/>
        <v>0</v>
      </c>
      <c r="BL117" t="b">
        <f t="shared" si="171"/>
        <v>0</v>
      </c>
      <c r="BM117" t="b">
        <f t="shared" si="172"/>
        <v>0</v>
      </c>
      <c r="BN117" t="b">
        <f t="shared" si="173"/>
        <v>0</v>
      </c>
      <c r="BO117" t="b">
        <f t="shared" si="174"/>
        <v>0</v>
      </c>
      <c r="BP117" t="b">
        <f t="shared" si="175"/>
        <v>0</v>
      </c>
      <c r="BQ117" t="b">
        <f t="shared" si="176"/>
        <v>0</v>
      </c>
      <c r="BR117">
        <f t="shared" si="177"/>
        <v>1</v>
      </c>
      <c r="BS117" t="b">
        <f t="shared" si="178"/>
        <v>0</v>
      </c>
      <c r="BT117" t="b">
        <f t="shared" si="179"/>
        <v>0</v>
      </c>
      <c r="BU117" t="b">
        <f t="shared" si="180"/>
        <v>0</v>
      </c>
      <c r="BV117" t="b">
        <f t="shared" si="181"/>
        <v>0</v>
      </c>
      <c r="BW117" t="b">
        <f t="shared" si="182"/>
        <v>0</v>
      </c>
      <c r="BX117" t="b">
        <f t="shared" si="183"/>
        <v>0</v>
      </c>
      <c r="BY117" t="b">
        <f t="shared" si="184"/>
        <v>0</v>
      </c>
      <c r="BZ117" t="b">
        <f t="shared" si="185"/>
        <v>0</v>
      </c>
      <c r="CA117" t="b">
        <f t="shared" si="186"/>
        <v>0</v>
      </c>
      <c r="CB117" t="b">
        <f t="shared" si="187"/>
        <v>0</v>
      </c>
      <c r="CC117" t="b">
        <f t="shared" si="188"/>
        <v>0</v>
      </c>
      <c r="CD117" t="b">
        <f t="shared" si="189"/>
        <v>0</v>
      </c>
      <c r="CE117">
        <f t="shared" si="190"/>
        <v>1</v>
      </c>
      <c r="CF117" t="b">
        <f t="shared" si="191"/>
        <v>0</v>
      </c>
      <c r="CG117" t="b">
        <f t="shared" si="192"/>
        <v>0</v>
      </c>
      <c r="CH117" t="b">
        <f t="shared" si="193"/>
        <v>0</v>
      </c>
      <c r="CI117" t="b">
        <f t="shared" si="194"/>
        <v>0</v>
      </c>
      <c r="CJ117" t="b">
        <f t="shared" si="195"/>
        <v>0</v>
      </c>
      <c r="CK117" t="b">
        <f t="shared" si="196"/>
        <v>0</v>
      </c>
      <c r="CL117" t="b">
        <f t="shared" si="197"/>
        <v>0</v>
      </c>
      <c r="CM117">
        <f t="shared" si="198"/>
        <v>1</v>
      </c>
      <c r="CN117" t="b">
        <f t="shared" si="199"/>
        <v>0</v>
      </c>
      <c r="CO117" t="b">
        <f t="shared" si="200"/>
        <v>0</v>
      </c>
      <c r="CP117" t="b">
        <f t="shared" si="201"/>
        <v>0</v>
      </c>
      <c r="CQ117" t="b">
        <f t="shared" si="202"/>
        <v>0</v>
      </c>
      <c r="CR117" t="b">
        <f t="shared" si="203"/>
        <v>0</v>
      </c>
      <c r="CS117" t="b">
        <f t="shared" si="204"/>
        <v>0</v>
      </c>
      <c r="CT117" t="b">
        <f t="shared" si="205"/>
        <v>0</v>
      </c>
      <c r="CU117" t="b">
        <f t="shared" si="206"/>
        <v>0</v>
      </c>
      <c r="CV117">
        <f t="shared" si="207"/>
        <v>1</v>
      </c>
      <c r="CW117" t="b">
        <f t="shared" si="208"/>
        <v>0</v>
      </c>
      <c r="CX117" t="b">
        <f t="shared" si="209"/>
        <v>0</v>
      </c>
      <c r="CY117" t="b">
        <f t="shared" si="210"/>
        <v>0</v>
      </c>
      <c r="CZ117" t="b">
        <f t="shared" si="211"/>
        <v>0</v>
      </c>
      <c r="DA117">
        <f t="shared" si="212"/>
        <v>1</v>
      </c>
      <c r="DB117">
        <f t="shared" si="213"/>
        <v>1</v>
      </c>
      <c r="DC117" t="b">
        <f t="shared" si="214"/>
        <v>0</v>
      </c>
      <c r="DD117" t="b">
        <f t="shared" si="215"/>
        <v>0</v>
      </c>
      <c r="DE117" t="b">
        <f t="shared" si="216"/>
        <v>0</v>
      </c>
      <c r="DF117" t="b">
        <f t="shared" si="217"/>
        <v>0</v>
      </c>
      <c r="DG117" t="b">
        <f t="shared" si="218"/>
        <v>0</v>
      </c>
      <c r="DH117" t="b">
        <f t="shared" si="219"/>
        <v>0</v>
      </c>
      <c r="DI117" t="b">
        <f t="shared" si="220"/>
        <v>0</v>
      </c>
      <c r="DJ117" t="b">
        <f t="shared" si="221"/>
        <v>0</v>
      </c>
      <c r="DK117" t="b">
        <f t="shared" si="222"/>
        <v>0</v>
      </c>
      <c r="DL117" t="b">
        <f t="shared" si="223"/>
        <v>0</v>
      </c>
      <c r="DM117" t="b">
        <f t="shared" si="224"/>
        <v>0</v>
      </c>
      <c r="DN117" t="b">
        <f t="shared" si="225"/>
        <v>0</v>
      </c>
      <c r="DO117" t="b">
        <f t="shared" si="226"/>
        <v>0</v>
      </c>
      <c r="DP117" t="b">
        <f t="shared" si="227"/>
        <v>0</v>
      </c>
      <c r="DQ117" t="b">
        <f t="shared" si="228"/>
        <v>0</v>
      </c>
      <c r="DR117" t="b">
        <f t="shared" si="229"/>
        <v>0</v>
      </c>
      <c r="DS117" t="b">
        <f t="shared" si="230"/>
        <v>0</v>
      </c>
      <c r="DT117" t="b">
        <f t="shared" si="231"/>
        <v>0</v>
      </c>
      <c r="DU117" t="b">
        <f t="shared" si="232"/>
        <v>0</v>
      </c>
      <c r="DV117" t="b">
        <f t="shared" si="233"/>
        <v>0</v>
      </c>
      <c r="DW117" t="b">
        <f t="shared" si="234"/>
        <v>0</v>
      </c>
      <c r="DX117" t="b">
        <f t="shared" si="235"/>
        <v>0</v>
      </c>
      <c r="DY117" t="b">
        <f t="shared" si="236"/>
        <v>0</v>
      </c>
      <c r="DZ117" t="b">
        <f t="shared" si="237"/>
        <v>0</v>
      </c>
      <c r="EA117" t="b">
        <f t="shared" si="238"/>
        <v>0</v>
      </c>
      <c r="EB117" t="b">
        <f t="shared" si="239"/>
        <v>0</v>
      </c>
      <c r="EC117" t="b">
        <f t="shared" si="240"/>
        <v>0</v>
      </c>
      <c r="ED117" t="b">
        <f t="shared" si="241"/>
        <v>0</v>
      </c>
      <c r="EE117" t="b">
        <f t="shared" si="242"/>
        <v>0</v>
      </c>
      <c r="EF117" t="b">
        <f t="shared" si="243"/>
        <v>0</v>
      </c>
      <c r="EG117" t="b">
        <f t="shared" si="244"/>
        <v>0</v>
      </c>
      <c r="EH117" t="b">
        <f t="shared" si="245"/>
        <v>0</v>
      </c>
      <c r="EI117" t="b">
        <f t="shared" si="246"/>
        <v>0</v>
      </c>
      <c r="EJ117" t="b">
        <f t="shared" si="247"/>
        <v>0</v>
      </c>
      <c r="EK117" t="b">
        <f t="shared" si="248"/>
        <v>0</v>
      </c>
    </row>
    <row r="118" spans="1:141">
      <c r="A118" t="s">
        <v>714</v>
      </c>
      <c r="B118" t="s">
        <v>714</v>
      </c>
      <c r="C118" t="s">
        <v>715</v>
      </c>
      <c r="D118" s="1">
        <v>42617</v>
      </c>
      <c r="E118" s="2">
        <v>42624.275983796295</v>
      </c>
      <c r="F118" s="2">
        <v>42624.275983796295</v>
      </c>
      <c r="G118">
        <v>2424784</v>
      </c>
      <c r="H118" t="s">
        <v>716</v>
      </c>
      <c r="I118" s="10" t="s">
        <v>717</v>
      </c>
      <c r="J118" t="s">
        <v>718</v>
      </c>
      <c r="K118" s="8" t="b">
        <v>1</v>
      </c>
      <c r="L118" s="10" t="b">
        <v>0</v>
      </c>
      <c r="M118" s="12" t="b">
        <v>0</v>
      </c>
      <c r="N118" t="b">
        <v>0</v>
      </c>
      <c r="O118" t="b">
        <v>0</v>
      </c>
      <c r="P118" t="b">
        <v>0</v>
      </c>
      <c r="Q118">
        <f t="shared" si="125"/>
        <v>1</v>
      </c>
      <c r="R118">
        <f t="shared" si="126"/>
        <v>9</v>
      </c>
      <c r="S118" t="e">
        <f t="shared" ca="1" si="156"/>
        <v>#NAME?</v>
      </c>
      <c r="T118" t="e">
        <f t="shared" ca="1" si="127"/>
        <v>#NAME?</v>
      </c>
      <c r="U118" s="4">
        <f t="shared" si="128"/>
        <v>7.275983796294895</v>
      </c>
      <c r="V118" s="4">
        <f t="shared" si="129"/>
        <v>0.24253279320982984</v>
      </c>
      <c r="W118" s="4">
        <f t="shared" si="130"/>
        <v>1</v>
      </c>
      <c r="X118" s="4">
        <f t="shared" si="131"/>
        <v>0</v>
      </c>
      <c r="Y118" s="4">
        <f t="shared" si="132"/>
        <v>0</v>
      </c>
      <c r="Z118" s="4">
        <f t="shared" si="133"/>
        <v>0</v>
      </c>
      <c r="AA118" s="4">
        <f t="shared" si="134"/>
        <v>0</v>
      </c>
      <c r="AB118" s="4">
        <f t="shared" si="135"/>
        <v>0</v>
      </c>
      <c r="AC118" s="4"/>
      <c r="AD118" s="4">
        <f t="shared" si="136"/>
        <v>1</v>
      </c>
      <c r="AE118" s="4" t="b">
        <f t="shared" si="137"/>
        <v>0</v>
      </c>
      <c r="AF118" s="4" t="b">
        <f t="shared" si="138"/>
        <v>0</v>
      </c>
      <c r="AG118" t="b">
        <f t="shared" si="139"/>
        <v>0</v>
      </c>
      <c r="AH118" t="b">
        <f t="shared" si="140"/>
        <v>0</v>
      </c>
      <c r="AI118" t="b">
        <f t="shared" si="141"/>
        <v>0</v>
      </c>
      <c r="AJ118" t="b">
        <f t="shared" si="142"/>
        <v>0</v>
      </c>
      <c r="AK118" t="b">
        <f t="shared" si="143"/>
        <v>0</v>
      </c>
      <c r="AL118" t="b">
        <f t="shared" si="144"/>
        <v>0</v>
      </c>
      <c r="AM118" t="b">
        <f t="shared" si="145"/>
        <v>0</v>
      </c>
      <c r="AN118" t="b">
        <f t="shared" si="146"/>
        <v>0</v>
      </c>
      <c r="AO118" t="b">
        <f t="shared" si="147"/>
        <v>0</v>
      </c>
      <c r="AP118" t="b">
        <f t="shared" si="148"/>
        <v>0</v>
      </c>
      <c r="AQ118" t="b">
        <f t="shared" si="149"/>
        <v>0</v>
      </c>
      <c r="AR118" t="b">
        <f t="shared" si="150"/>
        <v>0</v>
      </c>
      <c r="AS118" t="b">
        <f t="shared" si="151"/>
        <v>0</v>
      </c>
      <c r="AT118" t="b">
        <f t="shared" si="152"/>
        <v>0</v>
      </c>
      <c r="AU118" t="b">
        <f t="shared" si="153"/>
        <v>0</v>
      </c>
      <c r="AV118" t="b">
        <f t="shared" si="154"/>
        <v>0</v>
      </c>
      <c r="AW118" t="b">
        <f t="shared" si="155"/>
        <v>0</v>
      </c>
      <c r="AX118" t="b">
        <f t="shared" si="157"/>
        <v>0</v>
      </c>
      <c r="AY118" t="b">
        <f t="shared" si="158"/>
        <v>0</v>
      </c>
      <c r="AZ118">
        <f t="shared" si="159"/>
        <v>1</v>
      </c>
      <c r="BA118" t="b">
        <f t="shared" si="160"/>
        <v>0</v>
      </c>
      <c r="BB118" t="b">
        <f t="shared" si="161"/>
        <v>0</v>
      </c>
      <c r="BC118" t="b">
        <f t="shared" si="162"/>
        <v>0</v>
      </c>
      <c r="BD118" t="b">
        <f t="shared" si="163"/>
        <v>0</v>
      </c>
      <c r="BE118" t="b">
        <f t="shared" si="164"/>
        <v>0</v>
      </c>
      <c r="BF118" t="b">
        <f t="shared" si="165"/>
        <v>0</v>
      </c>
      <c r="BG118" t="b">
        <f t="shared" si="166"/>
        <v>0</v>
      </c>
      <c r="BH118" t="b">
        <f t="shared" si="167"/>
        <v>0</v>
      </c>
      <c r="BI118">
        <f t="shared" si="168"/>
        <v>1</v>
      </c>
      <c r="BJ118" t="b">
        <f t="shared" si="169"/>
        <v>0</v>
      </c>
      <c r="BK118" t="b">
        <f t="shared" si="170"/>
        <v>0</v>
      </c>
      <c r="BL118" t="b">
        <f t="shared" si="171"/>
        <v>0</v>
      </c>
      <c r="BM118" t="b">
        <f t="shared" si="172"/>
        <v>0</v>
      </c>
      <c r="BN118" t="b">
        <f t="shared" si="173"/>
        <v>0</v>
      </c>
      <c r="BO118" t="b">
        <f t="shared" si="174"/>
        <v>0</v>
      </c>
      <c r="BP118" t="b">
        <f t="shared" si="175"/>
        <v>0</v>
      </c>
      <c r="BQ118" t="b">
        <f t="shared" si="176"/>
        <v>0</v>
      </c>
      <c r="BR118">
        <f t="shared" si="177"/>
        <v>1</v>
      </c>
      <c r="BS118" t="b">
        <f t="shared" si="178"/>
        <v>0</v>
      </c>
      <c r="BT118" t="b">
        <f t="shared" si="179"/>
        <v>0</v>
      </c>
      <c r="BU118" t="b">
        <f t="shared" si="180"/>
        <v>0</v>
      </c>
      <c r="BV118" t="b">
        <f t="shared" si="181"/>
        <v>0</v>
      </c>
      <c r="BW118" t="b">
        <f t="shared" si="182"/>
        <v>0</v>
      </c>
      <c r="BX118" t="b">
        <f t="shared" si="183"/>
        <v>0</v>
      </c>
      <c r="BY118" t="b">
        <f t="shared" si="184"/>
        <v>0</v>
      </c>
      <c r="BZ118" t="b">
        <f t="shared" si="185"/>
        <v>0</v>
      </c>
      <c r="CA118" t="b">
        <f t="shared" si="186"/>
        <v>0</v>
      </c>
      <c r="CB118" t="b">
        <f t="shared" si="187"/>
        <v>0</v>
      </c>
      <c r="CC118" t="b">
        <f t="shared" si="188"/>
        <v>0</v>
      </c>
      <c r="CD118" t="b">
        <f t="shared" si="189"/>
        <v>0</v>
      </c>
      <c r="CE118">
        <f t="shared" si="190"/>
        <v>1</v>
      </c>
      <c r="CF118" t="b">
        <f t="shared" si="191"/>
        <v>0</v>
      </c>
      <c r="CG118" t="b">
        <f t="shared" si="192"/>
        <v>0</v>
      </c>
      <c r="CH118" t="b">
        <f t="shared" si="193"/>
        <v>0</v>
      </c>
      <c r="CI118" t="b">
        <f t="shared" si="194"/>
        <v>0</v>
      </c>
      <c r="CJ118" t="b">
        <f t="shared" si="195"/>
        <v>0</v>
      </c>
      <c r="CK118" t="b">
        <f t="shared" si="196"/>
        <v>0</v>
      </c>
      <c r="CL118" t="b">
        <f t="shared" si="197"/>
        <v>0</v>
      </c>
      <c r="CM118">
        <f t="shared" si="198"/>
        <v>1</v>
      </c>
      <c r="CN118" t="b">
        <f t="shared" si="199"/>
        <v>0</v>
      </c>
      <c r="CO118" t="b">
        <f t="shared" si="200"/>
        <v>0</v>
      </c>
      <c r="CP118" t="b">
        <f t="shared" si="201"/>
        <v>0</v>
      </c>
      <c r="CQ118" t="b">
        <f t="shared" si="202"/>
        <v>0</v>
      </c>
      <c r="CR118" t="b">
        <f t="shared" si="203"/>
        <v>0</v>
      </c>
      <c r="CS118" t="b">
        <f t="shared" si="204"/>
        <v>0</v>
      </c>
      <c r="CT118" t="b">
        <f t="shared" si="205"/>
        <v>0</v>
      </c>
      <c r="CU118" t="b">
        <f t="shared" si="206"/>
        <v>0</v>
      </c>
      <c r="CV118">
        <f t="shared" si="207"/>
        <v>1</v>
      </c>
      <c r="CW118">
        <f t="shared" si="208"/>
        <v>1</v>
      </c>
      <c r="CX118">
        <f t="shared" si="209"/>
        <v>1</v>
      </c>
      <c r="CY118" t="b">
        <f t="shared" si="210"/>
        <v>0</v>
      </c>
      <c r="CZ118" t="b">
        <f t="shared" si="211"/>
        <v>0</v>
      </c>
      <c r="DA118" t="b">
        <f t="shared" si="212"/>
        <v>0</v>
      </c>
      <c r="DB118">
        <f t="shared" si="213"/>
        <v>1</v>
      </c>
      <c r="DC118" t="b">
        <f t="shared" si="214"/>
        <v>0</v>
      </c>
      <c r="DD118" t="b">
        <f t="shared" si="215"/>
        <v>0</v>
      </c>
      <c r="DE118" t="b">
        <f t="shared" si="216"/>
        <v>0</v>
      </c>
      <c r="DF118" t="b">
        <f t="shared" si="217"/>
        <v>0</v>
      </c>
      <c r="DG118" t="b">
        <f t="shared" si="218"/>
        <v>0</v>
      </c>
      <c r="DH118" t="b">
        <f t="shared" si="219"/>
        <v>0</v>
      </c>
      <c r="DI118" t="b">
        <f t="shared" si="220"/>
        <v>0</v>
      </c>
      <c r="DJ118" t="b">
        <f t="shared" si="221"/>
        <v>0</v>
      </c>
      <c r="DK118" t="b">
        <f t="shared" si="222"/>
        <v>0</v>
      </c>
      <c r="DL118" t="b">
        <f t="shared" si="223"/>
        <v>0</v>
      </c>
      <c r="DM118" t="b">
        <f t="shared" si="224"/>
        <v>0</v>
      </c>
      <c r="DN118" t="b">
        <f t="shared" si="225"/>
        <v>0</v>
      </c>
      <c r="DO118" t="b">
        <f t="shared" si="226"/>
        <v>0</v>
      </c>
      <c r="DP118" t="b">
        <f t="shared" si="227"/>
        <v>0</v>
      </c>
      <c r="DQ118" t="b">
        <f t="shared" si="228"/>
        <v>0</v>
      </c>
      <c r="DR118" t="b">
        <f t="shared" si="229"/>
        <v>0</v>
      </c>
      <c r="DS118" t="b">
        <f t="shared" si="230"/>
        <v>0</v>
      </c>
      <c r="DT118" t="b">
        <f t="shared" si="231"/>
        <v>0</v>
      </c>
      <c r="DU118" t="b">
        <f t="shared" si="232"/>
        <v>0</v>
      </c>
      <c r="DV118" t="b">
        <f t="shared" si="233"/>
        <v>0</v>
      </c>
      <c r="DW118" t="b">
        <f t="shared" si="234"/>
        <v>0</v>
      </c>
      <c r="DX118" t="b">
        <f t="shared" si="235"/>
        <v>0</v>
      </c>
      <c r="DY118" t="b">
        <f t="shared" si="236"/>
        <v>0</v>
      </c>
      <c r="DZ118" t="b">
        <f t="shared" si="237"/>
        <v>0</v>
      </c>
      <c r="EA118" t="b">
        <f t="shared" si="238"/>
        <v>0</v>
      </c>
      <c r="EB118" t="b">
        <f t="shared" si="239"/>
        <v>0</v>
      </c>
      <c r="EC118" t="b">
        <f t="shared" si="240"/>
        <v>0</v>
      </c>
      <c r="ED118" t="b">
        <f t="shared" si="241"/>
        <v>0</v>
      </c>
      <c r="EE118" t="b">
        <f t="shared" si="242"/>
        <v>0</v>
      </c>
      <c r="EF118">
        <f t="shared" si="243"/>
        <v>1</v>
      </c>
      <c r="EG118" t="b">
        <f t="shared" si="244"/>
        <v>0</v>
      </c>
      <c r="EH118" t="b">
        <f t="shared" si="245"/>
        <v>0</v>
      </c>
      <c r="EI118">
        <f t="shared" si="246"/>
        <v>1</v>
      </c>
      <c r="EJ118" t="b">
        <f t="shared" si="247"/>
        <v>0</v>
      </c>
      <c r="EK118" t="b">
        <f t="shared" si="248"/>
        <v>0</v>
      </c>
    </row>
    <row r="119" spans="1:141">
      <c r="A119" t="s">
        <v>719</v>
      </c>
      <c r="B119" t="s">
        <v>719</v>
      </c>
      <c r="C119" t="s">
        <v>720</v>
      </c>
      <c r="D119" s="1">
        <v>42736</v>
      </c>
      <c r="E119" s="2">
        <v>42793.873252314814</v>
      </c>
      <c r="F119" s="2">
        <v>42793.873252314814</v>
      </c>
      <c r="G119">
        <v>583503</v>
      </c>
      <c r="H119" t="s">
        <v>721</v>
      </c>
      <c r="I119" s="10" t="s">
        <v>722</v>
      </c>
      <c r="J119" t="s">
        <v>723</v>
      </c>
      <c r="K119" s="8" t="b">
        <v>1</v>
      </c>
      <c r="L119" s="10" t="b">
        <v>0</v>
      </c>
      <c r="M119" s="12" t="b">
        <v>0</v>
      </c>
      <c r="N119" t="b">
        <v>0</v>
      </c>
      <c r="O119" t="b">
        <v>0</v>
      </c>
      <c r="P119" t="b">
        <v>0</v>
      </c>
      <c r="Q119">
        <f t="shared" si="125"/>
        <v>1</v>
      </c>
      <c r="R119">
        <f t="shared" si="126"/>
        <v>1</v>
      </c>
      <c r="S119" t="e">
        <f t="shared" ca="1" si="156"/>
        <v>#NAME?</v>
      </c>
      <c r="T119" t="e">
        <f t="shared" ca="1" si="127"/>
        <v>#NAME?</v>
      </c>
      <c r="U119" s="4">
        <f t="shared" si="128"/>
        <v>57.873252314813726</v>
      </c>
      <c r="V119" s="4">
        <f t="shared" si="129"/>
        <v>1.9291084104937908</v>
      </c>
      <c r="W119" s="4">
        <f t="shared" si="130"/>
        <v>1</v>
      </c>
      <c r="X119" s="4">
        <f t="shared" si="131"/>
        <v>0</v>
      </c>
      <c r="Y119" s="4">
        <f t="shared" si="132"/>
        <v>0</v>
      </c>
      <c r="Z119" s="4">
        <f t="shared" si="133"/>
        <v>0</v>
      </c>
      <c r="AA119" s="4">
        <f t="shared" si="134"/>
        <v>0</v>
      </c>
      <c r="AB119" s="4">
        <f t="shared" si="135"/>
        <v>0</v>
      </c>
      <c r="AC119" s="4"/>
      <c r="AD119" s="4" t="b">
        <f t="shared" si="136"/>
        <v>0</v>
      </c>
      <c r="AE119" s="4" t="b">
        <f t="shared" si="137"/>
        <v>0</v>
      </c>
      <c r="AF119" s="4" t="b">
        <f t="shared" si="138"/>
        <v>0</v>
      </c>
      <c r="AG119" t="b">
        <f t="shared" si="139"/>
        <v>0</v>
      </c>
      <c r="AH119" t="b">
        <f t="shared" si="140"/>
        <v>0</v>
      </c>
      <c r="AI119" t="b">
        <f t="shared" si="141"/>
        <v>0</v>
      </c>
      <c r="AJ119" t="b">
        <f t="shared" si="142"/>
        <v>0</v>
      </c>
      <c r="AK119" t="b">
        <f t="shared" si="143"/>
        <v>0</v>
      </c>
      <c r="AL119" t="b">
        <f t="shared" si="144"/>
        <v>0</v>
      </c>
      <c r="AM119" t="b">
        <f t="shared" si="145"/>
        <v>0</v>
      </c>
      <c r="AN119" t="b">
        <f t="shared" si="146"/>
        <v>0</v>
      </c>
      <c r="AO119" t="b">
        <f t="shared" si="147"/>
        <v>0</v>
      </c>
      <c r="AP119" t="b">
        <f t="shared" si="148"/>
        <v>0</v>
      </c>
      <c r="AQ119" t="b">
        <f t="shared" si="149"/>
        <v>0</v>
      </c>
      <c r="AR119" t="b">
        <f t="shared" si="150"/>
        <v>0</v>
      </c>
      <c r="AS119" t="b">
        <f t="shared" si="151"/>
        <v>0</v>
      </c>
      <c r="AT119" t="b">
        <f t="shared" si="152"/>
        <v>0</v>
      </c>
      <c r="AU119" t="b">
        <f t="shared" si="153"/>
        <v>0</v>
      </c>
      <c r="AV119" t="b">
        <f t="shared" si="154"/>
        <v>0</v>
      </c>
      <c r="AW119" t="b">
        <f t="shared" si="155"/>
        <v>0</v>
      </c>
      <c r="AX119" t="b">
        <f t="shared" si="157"/>
        <v>0</v>
      </c>
      <c r="AY119" t="b">
        <f t="shared" si="158"/>
        <v>0</v>
      </c>
      <c r="AZ119" t="b">
        <f t="shared" si="159"/>
        <v>0</v>
      </c>
      <c r="BA119" t="b">
        <f t="shared" si="160"/>
        <v>0</v>
      </c>
      <c r="BB119" t="b">
        <f t="shared" si="161"/>
        <v>0</v>
      </c>
      <c r="BC119" t="b">
        <f t="shared" si="162"/>
        <v>0</v>
      </c>
      <c r="BD119" t="b">
        <f t="shared" si="163"/>
        <v>0</v>
      </c>
      <c r="BE119" t="b">
        <f t="shared" si="164"/>
        <v>0</v>
      </c>
      <c r="BF119" t="b">
        <f t="shared" si="165"/>
        <v>0</v>
      </c>
      <c r="BG119" t="b">
        <f t="shared" si="166"/>
        <v>0</v>
      </c>
      <c r="BH119" t="b">
        <f t="shared" si="167"/>
        <v>0</v>
      </c>
      <c r="BI119">
        <f t="shared" si="168"/>
        <v>1</v>
      </c>
      <c r="BJ119" t="b">
        <f t="shared" si="169"/>
        <v>0</v>
      </c>
      <c r="BK119" t="b">
        <f t="shared" si="170"/>
        <v>0</v>
      </c>
      <c r="BL119" t="b">
        <f t="shared" si="171"/>
        <v>0</v>
      </c>
      <c r="BM119" t="b">
        <f t="shared" si="172"/>
        <v>0</v>
      </c>
      <c r="BN119" t="b">
        <f t="shared" si="173"/>
        <v>0</v>
      </c>
      <c r="BO119" t="b">
        <f t="shared" si="174"/>
        <v>0</v>
      </c>
      <c r="BP119" t="b">
        <f t="shared" si="175"/>
        <v>0</v>
      </c>
      <c r="BQ119" t="b">
        <f t="shared" si="176"/>
        <v>0</v>
      </c>
      <c r="BR119" t="b">
        <f t="shared" si="177"/>
        <v>0</v>
      </c>
      <c r="BS119" t="b">
        <f t="shared" si="178"/>
        <v>0</v>
      </c>
      <c r="BT119" t="b">
        <f t="shared" si="179"/>
        <v>0</v>
      </c>
      <c r="BU119" t="b">
        <f t="shared" si="180"/>
        <v>0</v>
      </c>
      <c r="BV119" t="b">
        <f t="shared" si="181"/>
        <v>0</v>
      </c>
      <c r="BW119" t="b">
        <f t="shared" si="182"/>
        <v>0</v>
      </c>
      <c r="BX119" t="b">
        <f t="shared" si="183"/>
        <v>0</v>
      </c>
      <c r="BY119" t="b">
        <f t="shared" si="184"/>
        <v>0</v>
      </c>
      <c r="BZ119" t="b">
        <f t="shared" si="185"/>
        <v>0</v>
      </c>
      <c r="CA119" t="b">
        <f t="shared" si="186"/>
        <v>0</v>
      </c>
      <c r="CB119" t="b">
        <f t="shared" si="187"/>
        <v>0</v>
      </c>
      <c r="CC119" t="b">
        <f t="shared" si="188"/>
        <v>0</v>
      </c>
      <c r="CD119" t="b">
        <f t="shared" si="189"/>
        <v>0</v>
      </c>
      <c r="CE119" t="b">
        <f t="shared" si="190"/>
        <v>0</v>
      </c>
      <c r="CF119" t="b">
        <f t="shared" si="191"/>
        <v>0</v>
      </c>
      <c r="CG119" t="b">
        <f t="shared" si="192"/>
        <v>0</v>
      </c>
      <c r="CH119" t="b">
        <f t="shared" si="193"/>
        <v>0</v>
      </c>
      <c r="CI119" t="b">
        <f t="shared" si="194"/>
        <v>0</v>
      </c>
      <c r="CJ119" t="b">
        <f t="shared" si="195"/>
        <v>0</v>
      </c>
      <c r="CK119" t="b">
        <f t="shared" si="196"/>
        <v>0</v>
      </c>
      <c r="CL119" t="b">
        <f t="shared" si="197"/>
        <v>0</v>
      </c>
      <c r="CM119" t="b">
        <f t="shared" si="198"/>
        <v>0</v>
      </c>
      <c r="CN119" t="b">
        <f t="shared" si="199"/>
        <v>0</v>
      </c>
      <c r="CO119" t="b">
        <f t="shared" si="200"/>
        <v>0</v>
      </c>
      <c r="CP119" t="b">
        <f t="shared" si="201"/>
        <v>0</v>
      </c>
      <c r="CQ119" t="b">
        <f t="shared" si="202"/>
        <v>0</v>
      </c>
      <c r="CR119" t="b">
        <f t="shared" si="203"/>
        <v>0</v>
      </c>
      <c r="CS119" t="b">
        <f t="shared" si="204"/>
        <v>0</v>
      </c>
      <c r="CT119" t="b">
        <f t="shared" si="205"/>
        <v>0</v>
      </c>
      <c r="CU119" t="b">
        <f t="shared" si="206"/>
        <v>0</v>
      </c>
      <c r="CV119">
        <f t="shared" si="207"/>
        <v>1</v>
      </c>
      <c r="CW119" t="b">
        <f t="shared" si="208"/>
        <v>0</v>
      </c>
      <c r="CX119" t="b">
        <f t="shared" si="209"/>
        <v>0</v>
      </c>
      <c r="CY119" t="b">
        <f t="shared" si="210"/>
        <v>0</v>
      </c>
      <c r="CZ119" t="b">
        <f t="shared" si="211"/>
        <v>0</v>
      </c>
      <c r="DA119" t="b">
        <f t="shared" si="212"/>
        <v>0</v>
      </c>
      <c r="DB119" t="b">
        <f t="shared" si="213"/>
        <v>0</v>
      </c>
      <c r="DC119" t="b">
        <f t="shared" si="214"/>
        <v>0</v>
      </c>
      <c r="DD119" t="b">
        <f t="shared" si="215"/>
        <v>0</v>
      </c>
      <c r="DE119" t="b">
        <f t="shared" si="216"/>
        <v>0</v>
      </c>
      <c r="DF119" t="b">
        <f t="shared" si="217"/>
        <v>0</v>
      </c>
      <c r="DG119" t="b">
        <f t="shared" si="218"/>
        <v>0</v>
      </c>
      <c r="DH119" t="b">
        <f t="shared" si="219"/>
        <v>0</v>
      </c>
      <c r="DI119" t="b">
        <f t="shared" si="220"/>
        <v>0</v>
      </c>
      <c r="DJ119" t="b">
        <f t="shared" si="221"/>
        <v>0</v>
      </c>
      <c r="DK119" t="b">
        <f t="shared" si="222"/>
        <v>0</v>
      </c>
      <c r="DL119" t="b">
        <f t="shared" si="223"/>
        <v>0</v>
      </c>
      <c r="DM119" t="b">
        <f t="shared" si="224"/>
        <v>0</v>
      </c>
      <c r="DN119" t="b">
        <f t="shared" si="225"/>
        <v>0</v>
      </c>
      <c r="DO119" t="b">
        <f t="shared" si="226"/>
        <v>0</v>
      </c>
      <c r="DP119" t="b">
        <f t="shared" si="227"/>
        <v>0</v>
      </c>
      <c r="DQ119" t="b">
        <f t="shared" si="228"/>
        <v>0</v>
      </c>
      <c r="DR119" t="b">
        <f t="shared" si="229"/>
        <v>0</v>
      </c>
      <c r="DS119" t="b">
        <f t="shared" si="230"/>
        <v>0</v>
      </c>
      <c r="DT119" t="b">
        <f t="shared" si="231"/>
        <v>0</v>
      </c>
      <c r="DU119" t="b">
        <f t="shared" si="232"/>
        <v>0</v>
      </c>
      <c r="DV119" t="b">
        <f t="shared" si="233"/>
        <v>0</v>
      </c>
      <c r="DW119" t="b">
        <f t="shared" si="234"/>
        <v>0</v>
      </c>
      <c r="DX119" t="b">
        <f t="shared" si="235"/>
        <v>0</v>
      </c>
      <c r="DY119" t="b">
        <f t="shared" si="236"/>
        <v>0</v>
      </c>
      <c r="DZ119" t="b">
        <f t="shared" si="237"/>
        <v>0</v>
      </c>
      <c r="EA119" t="b">
        <f t="shared" si="238"/>
        <v>0</v>
      </c>
      <c r="EB119" t="b">
        <f t="shared" si="239"/>
        <v>0</v>
      </c>
      <c r="EC119" t="b">
        <f t="shared" si="240"/>
        <v>0</v>
      </c>
      <c r="ED119" t="b">
        <f t="shared" si="241"/>
        <v>0</v>
      </c>
      <c r="EE119" t="b">
        <f t="shared" si="242"/>
        <v>0</v>
      </c>
      <c r="EF119" t="b">
        <f t="shared" si="243"/>
        <v>0</v>
      </c>
      <c r="EG119" t="b">
        <f t="shared" si="244"/>
        <v>0</v>
      </c>
      <c r="EH119" t="b">
        <f t="shared" si="245"/>
        <v>0</v>
      </c>
      <c r="EI119" t="b">
        <f t="shared" si="246"/>
        <v>0</v>
      </c>
      <c r="EJ119" t="b">
        <f t="shared" si="247"/>
        <v>0</v>
      </c>
      <c r="EK119" t="b">
        <f t="shared" si="248"/>
        <v>0</v>
      </c>
    </row>
    <row r="120" spans="1:141">
      <c r="A120" t="s">
        <v>724</v>
      </c>
      <c r="B120" t="s">
        <v>725</v>
      </c>
      <c r="C120" t="s">
        <v>726</v>
      </c>
      <c r="D120" s="1">
        <v>43121</v>
      </c>
      <c r="E120" s="2">
        <v>43578.21199074074</v>
      </c>
      <c r="F120" s="2">
        <v>43676.587442129632</v>
      </c>
      <c r="G120">
        <v>1688176</v>
      </c>
      <c r="H120" t="s">
        <v>727</v>
      </c>
      <c r="I120" s="10" t="s">
        <v>728</v>
      </c>
      <c r="J120" t="s">
        <v>188</v>
      </c>
      <c r="K120" s="8" t="b">
        <v>1</v>
      </c>
      <c r="L120" s="10" t="b">
        <v>0</v>
      </c>
      <c r="M120" s="12" t="b">
        <v>0</v>
      </c>
      <c r="N120" t="b">
        <v>0</v>
      </c>
      <c r="O120" t="b">
        <v>0</v>
      </c>
      <c r="P120" t="b">
        <v>0</v>
      </c>
      <c r="Q120">
        <f t="shared" si="125"/>
        <v>1</v>
      </c>
      <c r="R120">
        <f t="shared" si="126"/>
        <v>1</v>
      </c>
      <c r="S120" t="e">
        <f t="shared" ca="1" si="156"/>
        <v>#NAME?</v>
      </c>
      <c r="T120" t="e">
        <f t="shared" ca="1" si="127"/>
        <v>#NAME?</v>
      </c>
      <c r="U120" s="4">
        <f t="shared" si="128"/>
        <v>457.21199074073957</v>
      </c>
      <c r="V120" s="4">
        <f t="shared" si="129"/>
        <v>15.240399691357986</v>
      </c>
      <c r="W120" s="4">
        <f t="shared" si="130"/>
        <v>1</v>
      </c>
      <c r="X120" s="4">
        <f t="shared" si="131"/>
        <v>0</v>
      </c>
      <c r="Y120" s="4">
        <f t="shared" si="132"/>
        <v>0</v>
      </c>
      <c r="Z120" s="4">
        <f t="shared" si="133"/>
        <v>0</v>
      </c>
      <c r="AA120" s="4">
        <f t="shared" si="134"/>
        <v>0</v>
      </c>
      <c r="AB120" s="4">
        <f t="shared" si="135"/>
        <v>0</v>
      </c>
      <c r="AC120" s="4"/>
      <c r="AD120" s="4" t="b">
        <f t="shared" si="136"/>
        <v>0</v>
      </c>
      <c r="AE120" s="4" t="b">
        <f t="shared" si="137"/>
        <v>0</v>
      </c>
      <c r="AF120" s="4" t="b">
        <f t="shared" si="138"/>
        <v>0</v>
      </c>
      <c r="AG120" t="b">
        <f t="shared" si="139"/>
        <v>0</v>
      </c>
      <c r="AH120" t="b">
        <f t="shared" si="140"/>
        <v>0</v>
      </c>
      <c r="AI120" t="b">
        <f t="shared" si="141"/>
        <v>0</v>
      </c>
      <c r="AJ120" t="b">
        <f t="shared" si="142"/>
        <v>0</v>
      </c>
      <c r="AK120" t="b">
        <f t="shared" si="143"/>
        <v>0</v>
      </c>
      <c r="AL120" t="b">
        <f t="shared" si="144"/>
        <v>0</v>
      </c>
      <c r="AM120" t="b">
        <f t="shared" si="145"/>
        <v>0</v>
      </c>
      <c r="AN120" t="b">
        <f t="shared" si="146"/>
        <v>0</v>
      </c>
      <c r="AO120" t="b">
        <f t="shared" si="147"/>
        <v>0</v>
      </c>
      <c r="AP120" t="b">
        <f t="shared" si="148"/>
        <v>0</v>
      </c>
      <c r="AQ120" t="b">
        <f t="shared" si="149"/>
        <v>0</v>
      </c>
      <c r="AR120" t="b">
        <f t="shared" si="150"/>
        <v>0</v>
      </c>
      <c r="AS120" t="b">
        <f t="shared" si="151"/>
        <v>0</v>
      </c>
      <c r="AT120" t="b">
        <f t="shared" si="152"/>
        <v>0</v>
      </c>
      <c r="AU120" t="b">
        <f t="shared" si="153"/>
        <v>0</v>
      </c>
      <c r="AV120" t="b">
        <f t="shared" si="154"/>
        <v>0</v>
      </c>
      <c r="AW120" t="b">
        <f t="shared" si="155"/>
        <v>0</v>
      </c>
      <c r="AX120" t="b">
        <f t="shared" si="157"/>
        <v>0</v>
      </c>
      <c r="AY120" t="b">
        <f t="shared" si="158"/>
        <v>0</v>
      </c>
      <c r="AZ120" t="b">
        <f t="shared" si="159"/>
        <v>0</v>
      </c>
      <c r="BA120" t="b">
        <f t="shared" si="160"/>
        <v>0</v>
      </c>
      <c r="BB120" t="b">
        <f t="shared" si="161"/>
        <v>0</v>
      </c>
      <c r="BC120" t="b">
        <f t="shared" si="162"/>
        <v>0</v>
      </c>
      <c r="BD120" t="b">
        <f t="shared" si="163"/>
        <v>0</v>
      </c>
      <c r="BE120" t="b">
        <f t="shared" si="164"/>
        <v>0</v>
      </c>
      <c r="BF120" t="b">
        <f t="shared" si="165"/>
        <v>0</v>
      </c>
      <c r="BG120" t="b">
        <f t="shared" si="166"/>
        <v>0</v>
      </c>
      <c r="BH120" t="b">
        <f t="shared" si="167"/>
        <v>0</v>
      </c>
      <c r="BI120">
        <f t="shared" si="168"/>
        <v>1</v>
      </c>
      <c r="BJ120" t="b">
        <f t="shared" si="169"/>
        <v>0</v>
      </c>
      <c r="BK120" t="b">
        <f t="shared" si="170"/>
        <v>0</v>
      </c>
      <c r="BL120" t="b">
        <f t="shared" si="171"/>
        <v>0</v>
      </c>
      <c r="BM120" t="b">
        <f t="shared" si="172"/>
        <v>0</v>
      </c>
      <c r="BN120" t="b">
        <f t="shared" si="173"/>
        <v>0</v>
      </c>
      <c r="BO120" t="b">
        <f t="shared" si="174"/>
        <v>0</v>
      </c>
      <c r="BP120" t="b">
        <f t="shared" si="175"/>
        <v>0</v>
      </c>
      <c r="BQ120" t="b">
        <f t="shared" si="176"/>
        <v>0</v>
      </c>
      <c r="BR120" t="b">
        <f t="shared" si="177"/>
        <v>0</v>
      </c>
      <c r="BS120" t="b">
        <f t="shared" si="178"/>
        <v>0</v>
      </c>
      <c r="BT120" t="b">
        <f t="shared" si="179"/>
        <v>0</v>
      </c>
      <c r="BU120" t="b">
        <f t="shared" si="180"/>
        <v>0</v>
      </c>
      <c r="BV120" t="b">
        <f t="shared" si="181"/>
        <v>0</v>
      </c>
      <c r="BW120" t="b">
        <f t="shared" si="182"/>
        <v>0</v>
      </c>
      <c r="BX120" t="b">
        <f t="shared" si="183"/>
        <v>0</v>
      </c>
      <c r="BY120" t="b">
        <f t="shared" si="184"/>
        <v>0</v>
      </c>
      <c r="BZ120" t="b">
        <f t="shared" si="185"/>
        <v>0</v>
      </c>
      <c r="CA120" t="b">
        <f t="shared" si="186"/>
        <v>0</v>
      </c>
      <c r="CB120" t="b">
        <f t="shared" si="187"/>
        <v>0</v>
      </c>
      <c r="CC120" t="b">
        <f t="shared" si="188"/>
        <v>0</v>
      </c>
      <c r="CD120" t="b">
        <f t="shared" si="189"/>
        <v>0</v>
      </c>
      <c r="CE120">
        <f t="shared" si="190"/>
        <v>1</v>
      </c>
      <c r="CF120" t="b">
        <f t="shared" si="191"/>
        <v>0</v>
      </c>
      <c r="CG120" t="b">
        <f t="shared" si="192"/>
        <v>0</v>
      </c>
      <c r="CH120" t="b">
        <f t="shared" si="193"/>
        <v>0</v>
      </c>
      <c r="CI120" t="b">
        <f t="shared" si="194"/>
        <v>0</v>
      </c>
      <c r="CJ120" t="b">
        <f t="shared" si="195"/>
        <v>0</v>
      </c>
      <c r="CK120" t="b">
        <f t="shared" si="196"/>
        <v>0</v>
      </c>
      <c r="CL120" t="b">
        <f t="shared" si="197"/>
        <v>0</v>
      </c>
      <c r="CM120" t="b">
        <f t="shared" si="198"/>
        <v>0</v>
      </c>
      <c r="CN120" t="b">
        <f t="shared" si="199"/>
        <v>0</v>
      </c>
      <c r="CO120" t="b">
        <f t="shared" si="200"/>
        <v>0</v>
      </c>
      <c r="CP120" t="b">
        <f t="shared" si="201"/>
        <v>0</v>
      </c>
      <c r="CQ120" t="b">
        <f t="shared" si="202"/>
        <v>0</v>
      </c>
      <c r="CR120" t="b">
        <f t="shared" si="203"/>
        <v>0</v>
      </c>
      <c r="CS120" t="b">
        <f t="shared" si="204"/>
        <v>0</v>
      </c>
      <c r="CT120" t="b">
        <f t="shared" si="205"/>
        <v>0</v>
      </c>
      <c r="CU120" t="b">
        <f t="shared" si="206"/>
        <v>0</v>
      </c>
      <c r="CV120">
        <f t="shared" si="207"/>
        <v>1</v>
      </c>
      <c r="CW120" t="b">
        <f t="shared" si="208"/>
        <v>0</v>
      </c>
      <c r="CX120" t="b">
        <f t="shared" si="209"/>
        <v>0</v>
      </c>
      <c r="CY120" t="b">
        <f t="shared" si="210"/>
        <v>0</v>
      </c>
      <c r="CZ120" t="b">
        <f t="shared" si="211"/>
        <v>0</v>
      </c>
      <c r="DA120" t="b">
        <f t="shared" si="212"/>
        <v>0</v>
      </c>
      <c r="DB120" t="b">
        <f t="shared" si="213"/>
        <v>0</v>
      </c>
      <c r="DC120" t="b">
        <f t="shared" si="214"/>
        <v>0</v>
      </c>
      <c r="DD120" t="b">
        <f t="shared" si="215"/>
        <v>0</v>
      </c>
      <c r="DE120" t="b">
        <f t="shared" si="216"/>
        <v>0</v>
      </c>
      <c r="DF120" t="b">
        <f t="shared" si="217"/>
        <v>0</v>
      </c>
      <c r="DG120" t="b">
        <f t="shared" si="218"/>
        <v>0</v>
      </c>
      <c r="DH120" t="b">
        <f t="shared" si="219"/>
        <v>0</v>
      </c>
      <c r="DI120" t="b">
        <f t="shared" si="220"/>
        <v>0</v>
      </c>
      <c r="DJ120" t="b">
        <f t="shared" si="221"/>
        <v>0</v>
      </c>
      <c r="DK120" t="b">
        <f t="shared" si="222"/>
        <v>0</v>
      </c>
      <c r="DL120" t="b">
        <f t="shared" si="223"/>
        <v>0</v>
      </c>
      <c r="DM120" t="b">
        <f t="shared" si="224"/>
        <v>0</v>
      </c>
      <c r="DN120" t="b">
        <f t="shared" si="225"/>
        <v>0</v>
      </c>
      <c r="DO120" t="b">
        <f t="shared" si="226"/>
        <v>0</v>
      </c>
      <c r="DP120" t="b">
        <f t="shared" si="227"/>
        <v>0</v>
      </c>
      <c r="DQ120" t="b">
        <f t="shared" si="228"/>
        <v>0</v>
      </c>
      <c r="DR120" t="b">
        <f t="shared" si="229"/>
        <v>0</v>
      </c>
      <c r="DS120" t="b">
        <f t="shared" si="230"/>
        <v>0</v>
      </c>
      <c r="DT120" t="b">
        <f t="shared" si="231"/>
        <v>0</v>
      </c>
      <c r="DU120" t="b">
        <f t="shared" si="232"/>
        <v>0</v>
      </c>
      <c r="DV120" t="b">
        <f t="shared" si="233"/>
        <v>0</v>
      </c>
      <c r="DW120" t="b">
        <f t="shared" si="234"/>
        <v>0</v>
      </c>
      <c r="DX120" t="b">
        <f t="shared" si="235"/>
        <v>0</v>
      </c>
      <c r="DY120" t="b">
        <f t="shared" si="236"/>
        <v>0</v>
      </c>
      <c r="DZ120" t="b">
        <f t="shared" si="237"/>
        <v>0</v>
      </c>
      <c r="EA120" t="b">
        <f t="shared" si="238"/>
        <v>0</v>
      </c>
      <c r="EB120" t="b">
        <f t="shared" si="239"/>
        <v>0</v>
      </c>
      <c r="EC120" t="b">
        <f t="shared" si="240"/>
        <v>0</v>
      </c>
      <c r="ED120" t="b">
        <f t="shared" si="241"/>
        <v>0</v>
      </c>
      <c r="EE120" t="b">
        <f t="shared" si="242"/>
        <v>0</v>
      </c>
      <c r="EF120">
        <f t="shared" si="243"/>
        <v>1</v>
      </c>
      <c r="EG120" t="b">
        <f t="shared" si="244"/>
        <v>0</v>
      </c>
      <c r="EH120" t="b">
        <f t="shared" si="245"/>
        <v>0</v>
      </c>
      <c r="EI120" t="b">
        <f t="shared" si="246"/>
        <v>0</v>
      </c>
      <c r="EJ120" t="b">
        <f t="shared" si="247"/>
        <v>0</v>
      </c>
      <c r="EK120" t="b">
        <f t="shared" si="248"/>
        <v>0</v>
      </c>
    </row>
    <row r="121" spans="1:141">
      <c r="A121" t="s">
        <v>729</v>
      </c>
      <c r="B121" t="s">
        <v>730</v>
      </c>
      <c r="C121" t="s">
        <v>726</v>
      </c>
      <c r="D121" s="1">
        <v>43673</v>
      </c>
      <c r="E121" s="2">
        <v>43676.586921296293</v>
      </c>
      <c r="F121" s="2">
        <v>43676.586921296293</v>
      </c>
      <c r="G121">
        <v>4007909</v>
      </c>
      <c r="H121" t="s">
        <v>731</v>
      </c>
      <c r="I121" s="10" t="s">
        <v>728</v>
      </c>
      <c r="J121" t="s">
        <v>188</v>
      </c>
      <c r="K121" s="8" t="b">
        <v>1</v>
      </c>
      <c r="L121" s="10" t="b">
        <v>0</v>
      </c>
      <c r="M121" s="12" t="b">
        <v>0</v>
      </c>
      <c r="N121" t="b">
        <v>0</v>
      </c>
      <c r="O121" t="b">
        <v>0</v>
      </c>
      <c r="P121" t="b">
        <v>0</v>
      </c>
      <c r="Q121">
        <f t="shared" si="125"/>
        <v>7</v>
      </c>
      <c r="R121">
        <f t="shared" si="126"/>
        <v>7</v>
      </c>
      <c r="S121" t="e">
        <f t="shared" ca="1" si="156"/>
        <v>#NAME?</v>
      </c>
      <c r="T121" t="e">
        <f t="shared" ca="1" si="127"/>
        <v>#NAME?</v>
      </c>
      <c r="U121" s="4">
        <f t="shared" si="128"/>
        <v>3.5869212962934398</v>
      </c>
      <c r="V121" s="4">
        <f t="shared" si="129"/>
        <v>0.11956404320978133</v>
      </c>
      <c r="W121" s="4">
        <f t="shared" si="130"/>
        <v>1</v>
      </c>
      <c r="X121" s="4">
        <f t="shared" si="131"/>
        <v>0</v>
      </c>
      <c r="Y121" s="4">
        <f t="shared" si="132"/>
        <v>0</v>
      </c>
      <c r="Z121" s="4">
        <f t="shared" si="133"/>
        <v>0</v>
      </c>
      <c r="AA121" s="4">
        <f t="shared" si="134"/>
        <v>0</v>
      </c>
      <c r="AB121" s="4">
        <f t="shared" si="135"/>
        <v>0</v>
      </c>
      <c r="AC121" s="4"/>
      <c r="AD121" s="4" t="b">
        <f t="shared" si="136"/>
        <v>0</v>
      </c>
      <c r="AE121" s="4" t="b">
        <f t="shared" si="137"/>
        <v>0</v>
      </c>
      <c r="AF121" s="4" t="b">
        <f t="shared" si="138"/>
        <v>0</v>
      </c>
      <c r="AG121" t="b">
        <f t="shared" si="139"/>
        <v>0</v>
      </c>
      <c r="AH121" t="b">
        <f t="shared" si="140"/>
        <v>0</v>
      </c>
      <c r="AI121" t="b">
        <f t="shared" si="141"/>
        <v>0</v>
      </c>
      <c r="AJ121" t="b">
        <f t="shared" si="142"/>
        <v>0</v>
      </c>
      <c r="AK121" t="b">
        <f t="shared" si="143"/>
        <v>0</v>
      </c>
      <c r="AL121" t="b">
        <f t="shared" si="144"/>
        <v>0</v>
      </c>
      <c r="AM121" t="b">
        <f t="shared" si="145"/>
        <v>0</v>
      </c>
      <c r="AN121" t="b">
        <f t="shared" si="146"/>
        <v>0</v>
      </c>
      <c r="AO121" t="b">
        <f t="shared" si="147"/>
        <v>0</v>
      </c>
      <c r="AP121" t="b">
        <f t="shared" si="148"/>
        <v>0</v>
      </c>
      <c r="AQ121" t="b">
        <f t="shared" si="149"/>
        <v>0</v>
      </c>
      <c r="AR121" t="b">
        <f t="shared" si="150"/>
        <v>0</v>
      </c>
      <c r="AS121" t="b">
        <f t="shared" si="151"/>
        <v>0</v>
      </c>
      <c r="AT121" t="b">
        <f t="shared" si="152"/>
        <v>0</v>
      </c>
      <c r="AU121" t="b">
        <f t="shared" si="153"/>
        <v>0</v>
      </c>
      <c r="AV121" t="b">
        <f t="shared" si="154"/>
        <v>0</v>
      </c>
      <c r="AW121" t="b">
        <f t="shared" si="155"/>
        <v>0</v>
      </c>
      <c r="AX121" t="b">
        <f t="shared" si="157"/>
        <v>0</v>
      </c>
      <c r="AY121" t="b">
        <f t="shared" si="158"/>
        <v>0</v>
      </c>
      <c r="AZ121" t="b">
        <f t="shared" si="159"/>
        <v>0</v>
      </c>
      <c r="BA121" t="b">
        <f t="shared" si="160"/>
        <v>0</v>
      </c>
      <c r="BB121" t="b">
        <f t="shared" si="161"/>
        <v>0</v>
      </c>
      <c r="BC121" t="b">
        <f t="shared" si="162"/>
        <v>0</v>
      </c>
      <c r="BD121" t="b">
        <f t="shared" si="163"/>
        <v>0</v>
      </c>
      <c r="BE121" t="b">
        <f t="shared" si="164"/>
        <v>0</v>
      </c>
      <c r="BF121" t="b">
        <f t="shared" si="165"/>
        <v>0</v>
      </c>
      <c r="BG121" t="b">
        <f t="shared" si="166"/>
        <v>0</v>
      </c>
      <c r="BH121" t="b">
        <f t="shared" si="167"/>
        <v>0</v>
      </c>
      <c r="BI121">
        <f t="shared" si="168"/>
        <v>1</v>
      </c>
      <c r="BJ121" t="b">
        <f t="shared" si="169"/>
        <v>0</v>
      </c>
      <c r="BK121" t="b">
        <f t="shared" si="170"/>
        <v>0</v>
      </c>
      <c r="BL121" t="b">
        <f t="shared" si="171"/>
        <v>0</v>
      </c>
      <c r="BM121" t="b">
        <f t="shared" si="172"/>
        <v>0</v>
      </c>
      <c r="BN121" t="b">
        <f t="shared" si="173"/>
        <v>0</v>
      </c>
      <c r="BO121" t="b">
        <f t="shared" si="174"/>
        <v>0</v>
      </c>
      <c r="BP121" t="b">
        <f t="shared" si="175"/>
        <v>0</v>
      </c>
      <c r="BQ121" t="b">
        <f t="shared" si="176"/>
        <v>0</v>
      </c>
      <c r="BR121" t="b">
        <f t="shared" si="177"/>
        <v>0</v>
      </c>
      <c r="BS121" t="b">
        <f t="shared" si="178"/>
        <v>0</v>
      </c>
      <c r="BT121" t="b">
        <f t="shared" si="179"/>
        <v>0</v>
      </c>
      <c r="BU121" t="b">
        <f t="shared" si="180"/>
        <v>0</v>
      </c>
      <c r="BV121" t="b">
        <f t="shared" si="181"/>
        <v>0</v>
      </c>
      <c r="BW121" t="b">
        <f t="shared" si="182"/>
        <v>0</v>
      </c>
      <c r="BX121" t="b">
        <f t="shared" si="183"/>
        <v>0</v>
      </c>
      <c r="BY121" t="b">
        <f t="shared" si="184"/>
        <v>0</v>
      </c>
      <c r="BZ121" t="b">
        <f t="shared" si="185"/>
        <v>0</v>
      </c>
      <c r="CA121" t="b">
        <f t="shared" si="186"/>
        <v>0</v>
      </c>
      <c r="CB121" t="b">
        <f t="shared" si="187"/>
        <v>0</v>
      </c>
      <c r="CC121" t="b">
        <f t="shared" si="188"/>
        <v>0</v>
      </c>
      <c r="CD121" t="b">
        <f t="shared" si="189"/>
        <v>0</v>
      </c>
      <c r="CE121">
        <f t="shared" si="190"/>
        <v>1</v>
      </c>
      <c r="CF121" t="b">
        <f t="shared" si="191"/>
        <v>0</v>
      </c>
      <c r="CG121" t="b">
        <f t="shared" si="192"/>
        <v>0</v>
      </c>
      <c r="CH121" t="b">
        <f t="shared" si="193"/>
        <v>0</v>
      </c>
      <c r="CI121" t="b">
        <f t="shared" si="194"/>
        <v>0</v>
      </c>
      <c r="CJ121" t="b">
        <f t="shared" si="195"/>
        <v>0</v>
      </c>
      <c r="CK121" t="b">
        <f t="shared" si="196"/>
        <v>0</v>
      </c>
      <c r="CL121" t="b">
        <f t="shared" si="197"/>
        <v>0</v>
      </c>
      <c r="CM121" t="b">
        <f t="shared" si="198"/>
        <v>0</v>
      </c>
      <c r="CN121" t="b">
        <f t="shared" si="199"/>
        <v>0</v>
      </c>
      <c r="CO121" t="b">
        <f t="shared" si="200"/>
        <v>0</v>
      </c>
      <c r="CP121" t="b">
        <f t="shared" si="201"/>
        <v>0</v>
      </c>
      <c r="CQ121" t="b">
        <f t="shared" si="202"/>
        <v>0</v>
      </c>
      <c r="CR121" t="b">
        <f t="shared" si="203"/>
        <v>0</v>
      </c>
      <c r="CS121" t="b">
        <f t="shared" si="204"/>
        <v>0</v>
      </c>
      <c r="CT121" t="b">
        <f t="shared" si="205"/>
        <v>0</v>
      </c>
      <c r="CU121" t="b">
        <f t="shared" si="206"/>
        <v>0</v>
      </c>
      <c r="CV121">
        <f t="shared" si="207"/>
        <v>1</v>
      </c>
      <c r="CW121" t="b">
        <f t="shared" si="208"/>
        <v>0</v>
      </c>
      <c r="CX121" t="b">
        <f t="shared" si="209"/>
        <v>0</v>
      </c>
      <c r="CY121" t="b">
        <f t="shared" si="210"/>
        <v>0</v>
      </c>
      <c r="CZ121" t="b">
        <f t="shared" si="211"/>
        <v>0</v>
      </c>
      <c r="DA121" t="b">
        <f t="shared" si="212"/>
        <v>0</v>
      </c>
      <c r="DB121" t="b">
        <f t="shared" si="213"/>
        <v>0</v>
      </c>
      <c r="DC121" t="b">
        <f t="shared" si="214"/>
        <v>0</v>
      </c>
      <c r="DD121" t="b">
        <f t="shared" si="215"/>
        <v>0</v>
      </c>
      <c r="DE121" t="b">
        <f t="shared" si="216"/>
        <v>0</v>
      </c>
      <c r="DF121" t="b">
        <f t="shared" si="217"/>
        <v>0</v>
      </c>
      <c r="DG121" t="b">
        <f t="shared" si="218"/>
        <v>0</v>
      </c>
      <c r="DH121" t="b">
        <f t="shared" si="219"/>
        <v>0</v>
      </c>
      <c r="DI121" t="b">
        <f t="shared" si="220"/>
        <v>0</v>
      </c>
      <c r="DJ121" t="b">
        <f t="shared" si="221"/>
        <v>0</v>
      </c>
      <c r="DK121" t="b">
        <f t="shared" si="222"/>
        <v>0</v>
      </c>
      <c r="DL121" t="b">
        <f t="shared" si="223"/>
        <v>0</v>
      </c>
      <c r="DM121" t="b">
        <f t="shared" si="224"/>
        <v>0</v>
      </c>
      <c r="DN121" t="b">
        <f t="shared" si="225"/>
        <v>0</v>
      </c>
      <c r="DO121" t="b">
        <f t="shared" si="226"/>
        <v>0</v>
      </c>
      <c r="DP121" t="b">
        <f t="shared" si="227"/>
        <v>0</v>
      </c>
      <c r="DQ121" t="b">
        <f t="shared" si="228"/>
        <v>0</v>
      </c>
      <c r="DR121" t="b">
        <f t="shared" si="229"/>
        <v>0</v>
      </c>
      <c r="DS121" t="b">
        <f t="shared" si="230"/>
        <v>0</v>
      </c>
      <c r="DT121" t="b">
        <f t="shared" si="231"/>
        <v>0</v>
      </c>
      <c r="DU121" t="b">
        <f t="shared" si="232"/>
        <v>0</v>
      </c>
      <c r="DV121" t="b">
        <f t="shared" si="233"/>
        <v>0</v>
      </c>
      <c r="DW121" t="b">
        <f t="shared" si="234"/>
        <v>0</v>
      </c>
      <c r="DX121" t="b">
        <f t="shared" si="235"/>
        <v>0</v>
      </c>
      <c r="DY121" t="b">
        <f t="shared" si="236"/>
        <v>0</v>
      </c>
      <c r="DZ121" t="b">
        <f t="shared" si="237"/>
        <v>0</v>
      </c>
      <c r="EA121" t="b">
        <f t="shared" si="238"/>
        <v>0</v>
      </c>
      <c r="EB121" t="b">
        <f t="shared" si="239"/>
        <v>0</v>
      </c>
      <c r="EC121" t="b">
        <f t="shared" si="240"/>
        <v>0</v>
      </c>
      <c r="ED121" t="b">
        <f t="shared" si="241"/>
        <v>0</v>
      </c>
      <c r="EE121" t="b">
        <f t="shared" si="242"/>
        <v>0</v>
      </c>
      <c r="EF121">
        <f t="shared" si="243"/>
        <v>1</v>
      </c>
      <c r="EG121" t="b">
        <f t="shared" si="244"/>
        <v>0</v>
      </c>
      <c r="EH121" t="b">
        <f t="shared" si="245"/>
        <v>0</v>
      </c>
      <c r="EI121" t="b">
        <f t="shared" si="246"/>
        <v>0</v>
      </c>
      <c r="EJ121" t="b">
        <f t="shared" si="247"/>
        <v>0</v>
      </c>
      <c r="EK121" t="b">
        <f t="shared" si="248"/>
        <v>0</v>
      </c>
    </row>
    <row r="122" spans="1:141">
      <c r="A122" t="s">
        <v>732</v>
      </c>
      <c r="B122" t="s">
        <v>732</v>
      </c>
      <c r="C122" t="s">
        <v>733</v>
      </c>
      <c r="D122" s="1">
        <v>42788</v>
      </c>
      <c r="E122" s="2">
        <v>42913.456284722219</v>
      </c>
      <c r="F122" s="2">
        <v>42913.456284722219</v>
      </c>
      <c r="G122">
        <v>599802</v>
      </c>
      <c r="H122" t="s">
        <v>734</v>
      </c>
      <c r="I122" s="10" t="s">
        <v>735</v>
      </c>
      <c r="J122" t="s">
        <v>188</v>
      </c>
      <c r="K122" s="8" t="b">
        <v>1</v>
      </c>
      <c r="L122" s="10" t="b">
        <v>0</v>
      </c>
      <c r="M122" s="12" t="b">
        <v>0</v>
      </c>
      <c r="N122" t="b">
        <v>0</v>
      </c>
      <c r="O122" t="b">
        <v>0</v>
      </c>
      <c r="P122" t="b">
        <v>0</v>
      </c>
      <c r="Q122">
        <f t="shared" si="125"/>
        <v>4</v>
      </c>
      <c r="R122">
        <f t="shared" si="126"/>
        <v>2</v>
      </c>
      <c r="S122" t="e">
        <f t="shared" ca="1" si="156"/>
        <v>#NAME?</v>
      </c>
      <c r="T122" t="e">
        <f t="shared" ca="1" si="127"/>
        <v>#NAME?</v>
      </c>
      <c r="U122" s="4">
        <f t="shared" si="128"/>
        <v>125.4562847222187</v>
      </c>
      <c r="V122" s="4">
        <f t="shared" si="129"/>
        <v>4.1818761574072898</v>
      </c>
      <c r="W122" s="4">
        <f t="shared" si="130"/>
        <v>1</v>
      </c>
      <c r="X122" s="4">
        <f t="shared" si="131"/>
        <v>0</v>
      </c>
      <c r="Y122" s="4">
        <f t="shared" si="132"/>
        <v>0</v>
      </c>
      <c r="Z122" s="4">
        <f t="shared" si="133"/>
        <v>0</v>
      </c>
      <c r="AA122" s="4">
        <f t="shared" si="134"/>
        <v>0</v>
      </c>
      <c r="AB122" s="4">
        <f t="shared" si="135"/>
        <v>0</v>
      </c>
      <c r="AC122" s="4"/>
      <c r="AD122" s="4" t="b">
        <f t="shared" si="136"/>
        <v>0</v>
      </c>
      <c r="AE122" s="4" t="b">
        <f t="shared" si="137"/>
        <v>0</v>
      </c>
      <c r="AF122" s="4" t="b">
        <f t="shared" si="138"/>
        <v>0</v>
      </c>
      <c r="AG122" t="b">
        <f t="shared" si="139"/>
        <v>0</v>
      </c>
      <c r="AH122" t="b">
        <f t="shared" si="140"/>
        <v>0</v>
      </c>
      <c r="AI122" t="b">
        <f t="shared" si="141"/>
        <v>0</v>
      </c>
      <c r="AJ122" t="b">
        <f t="shared" si="142"/>
        <v>0</v>
      </c>
      <c r="AK122" t="b">
        <f t="shared" si="143"/>
        <v>0</v>
      </c>
      <c r="AL122" t="b">
        <f t="shared" si="144"/>
        <v>0</v>
      </c>
      <c r="AM122" t="b">
        <f t="shared" si="145"/>
        <v>0</v>
      </c>
      <c r="AN122" t="b">
        <f t="shared" si="146"/>
        <v>0</v>
      </c>
      <c r="AO122" t="b">
        <f t="shared" si="147"/>
        <v>0</v>
      </c>
      <c r="AP122" t="b">
        <f t="shared" si="148"/>
        <v>0</v>
      </c>
      <c r="AQ122" t="b">
        <f t="shared" si="149"/>
        <v>0</v>
      </c>
      <c r="AR122" t="b">
        <f t="shared" si="150"/>
        <v>0</v>
      </c>
      <c r="AS122" t="b">
        <f t="shared" si="151"/>
        <v>0</v>
      </c>
      <c r="AT122" t="b">
        <f t="shared" si="152"/>
        <v>0</v>
      </c>
      <c r="AU122" t="b">
        <f t="shared" si="153"/>
        <v>0</v>
      </c>
      <c r="AV122" t="b">
        <f t="shared" si="154"/>
        <v>0</v>
      </c>
      <c r="AW122" t="b">
        <f t="shared" si="155"/>
        <v>0</v>
      </c>
      <c r="AX122" t="b">
        <f t="shared" si="157"/>
        <v>0</v>
      </c>
      <c r="AY122" t="b">
        <f t="shared" si="158"/>
        <v>0</v>
      </c>
      <c r="AZ122" t="b">
        <f t="shared" si="159"/>
        <v>0</v>
      </c>
      <c r="BA122" t="b">
        <f t="shared" si="160"/>
        <v>0</v>
      </c>
      <c r="BB122" t="b">
        <f t="shared" si="161"/>
        <v>0</v>
      </c>
      <c r="BC122" t="b">
        <f t="shared" si="162"/>
        <v>0</v>
      </c>
      <c r="BD122" t="b">
        <f t="shared" si="163"/>
        <v>0</v>
      </c>
      <c r="BE122" t="b">
        <f t="shared" si="164"/>
        <v>0</v>
      </c>
      <c r="BF122" t="b">
        <f t="shared" si="165"/>
        <v>0</v>
      </c>
      <c r="BG122" t="b">
        <f t="shared" si="166"/>
        <v>0</v>
      </c>
      <c r="BH122" t="b">
        <f t="shared" si="167"/>
        <v>0</v>
      </c>
      <c r="BI122">
        <f t="shared" si="168"/>
        <v>1</v>
      </c>
      <c r="BJ122" t="b">
        <f t="shared" si="169"/>
        <v>0</v>
      </c>
      <c r="BK122" t="b">
        <f t="shared" si="170"/>
        <v>0</v>
      </c>
      <c r="BL122" t="b">
        <f t="shared" si="171"/>
        <v>0</v>
      </c>
      <c r="BM122" t="b">
        <f t="shared" si="172"/>
        <v>0</v>
      </c>
      <c r="BN122" t="b">
        <f t="shared" si="173"/>
        <v>0</v>
      </c>
      <c r="BO122" t="b">
        <f t="shared" si="174"/>
        <v>0</v>
      </c>
      <c r="BP122" t="b">
        <f t="shared" si="175"/>
        <v>0</v>
      </c>
      <c r="BQ122" t="b">
        <f t="shared" si="176"/>
        <v>0</v>
      </c>
      <c r="BR122" t="b">
        <f t="shared" si="177"/>
        <v>0</v>
      </c>
      <c r="BS122" t="b">
        <f t="shared" si="178"/>
        <v>0</v>
      </c>
      <c r="BT122" t="b">
        <f t="shared" si="179"/>
        <v>0</v>
      </c>
      <c r="BU122" t="b">
        <f t="shared" si="180"/>
        <v>0</v>
      </c>
      <c r="BV122" t="b">
        <f t="shared" si="181"/>
        <v>0</v>
      </c>
      <c r="BW122" t="b">
        <f t="shared" si="182"/>
        <v>0</v>
      </c>
      <c r="BX122" t="b">
        <f t="shared" si="183"/>
        <v>0</v>
      </c>
      <c r="BY122" t="b">
        <f t="shared" si="184"/>
        <v>0</v>
      </c>
      <c r="BZ122" t="b">
        <f t="shared" si="185"/>
        <v>0</v>
      </c>
      <c r="CA122" t="b">
        <f t="shared" si="186"/>
        <v>0</v>
      </c>
      <c r="CB122" t="b">
        <f t="shared" si="187"/>
        <v>0</v>
      </c>
      <c r="CC122" t="b">
        <f t="shared" si="188"/>
        <v>0</v>
      </c>
      <c r="CD122" t="b">
        <f t="shared" si="189"/>
        <v>0</v>
      </c>
      <c r="CE122">
        <f t="shared" si="190"/>
        <v>1</v>
      </c>
      <c r="CF122" t="b">
        <f t="shared" si="191"/>
        <v>0</v>
      </c>
      <c r="CG122" t="b">
        <f t="shared" si="192"/>
        <v>0</v>
      </c>
      <c r="CH122" t="b">
        <f t="shared" si="193"/>
        <v>0</v>
      </c>
      <c r="CI122" t="b">
        <f t="shared" si="194"/>
        <v>0</v>
      </c>
      <c r="CJ122" t="b">
        <f t="shared" si="195"/>
        <v>0</v>
      </c>
      <c r="CK122" t="b">
        <f t="shared" si="196"/>
        <v>0</v>
      </c>
      <c r="CL122" t="b">
        <f t="shared" si="197"/>
        <v>0</v>
      </c>
      <c r="CM122" t="b">
        <f t="shared" si="198"/>
        <v>0</v>
      </c>
      <c r="CN122" t="b">
        <f t="shared" si="199"/>
        <v>0</v>
      </c>
      <c r="CO122" t="b">
        <f t="shared" si="200"/>
        <v>0</v>
      </c>
      <c r="CP122" t="b">
        <f t="shared" si="201"/>
        <v>0</v>
      </c>
      <c r="CQ122" t="b">
        <f t="shared" si="202"/>
        <v>0</v>
      </c>
      <c r="CR122" t="b">
        <f t="shared" si="203"/>
        <v>0</v>
      </c>
      <c r="CS122" t="b">
        <f t="shared" si="204"/>
        <v>0</v>
      </c>
      <c r="CT122" t="b">
        <f t="shared" si="205"/>
        <v>0</v>
      </c>
      <c r="CU122" t="b">
        <f t="shared" si="206"/>
        <v>0</v>
      </c>
      <c r="CV122">
        <f t="shared" si="207"/>
        <v>1</v>
      </c>
      <c r="CW122" t="b">
        <f t="shared" si="208"/>
        <v>0</v>
      </c>
      <c r="CX122" t="b">
        <f t="shared" si="209"/>
        <v>0</v>
      </c>
      <c r="CY122" t="b">
        <f t="shared" si="210"/>
        <v>0</v>
      </c>
      <c r="CZ122" t="b">
        <f t="shared" si="211"/>
        <v>0</v>
      </c>
      <c r="DA122" t="b">
        <f t="shared" si="212"/>
        <v>0</v>
      </c>
      <c r="DB122" t="b">
        <f t="shared" si="213"/>
        <v>0</v>
      </c>
      <c r="DC122" t="b">
        <f t="shared" si="214"/>
        <v>0</v>
      </c>
      <c r="DD122" t="b">
        <f t="shared" si="215"/>
        <v>0</v>
      </c>
      <c r="DE122" t="b">
        <f t="shared" si="216"/>
        <v>0</v>
      </c>
      <c r="DF122" t="b">
        <f t="shared" si="217"/>
        <v>0</v>
      </c>
      <c r="DG122" t="b">
        <f t="shared" si="218"/>
        <v>0</v>
      </c>
      <c r="DH122" t="b">
        <f t="shared" si="219"/>
        <v>0</v>
      </c>
      <c r="DI122" t="b">
        <f t="shared" si="220"/>
        <v>0</v>
      </c>
      <c r="DJ122" t="b">
        <f t="shared" si="221"/>
        <v>0</v>
      </c>
      <c r="DK122" t="b">
        <f t="shared" si="222"/>
        <v>0</v>
      </c>
      <c r="DL122" t="b">
        <f t="shared" si="223"/>
        <v>0</v>
      </c>
      <c r="DM122" t="b">
        <f t="shared" si="224"/>
        <v>0</v>
      </c>
      <c r="DN122" t="b">
        <f t="shared" si="225"/>
        <v>0</v>
      </c>
      <c r="DO122" t="b">
        <f t="shared" si="226"/>
        <v>0</v>
      </c>
      <c r="DP122" t="b">
        <f t="shared" si="227"/>
        <v>0</v>
      </c>
      <c r="DQ122" t="b">
        <f t="shared" si="228"/>
        <v>0</v>
      </c>
      <c r="DR122" t="b">
        <f t="shared" si="229"/>
        <v>0</v>
      </c>
      <c r="DS122" t="b">
        <f t="shared" si="230"/>
        <v>0</v>
      </c>
      <c r="DT122" t="b">
        <f t="shared" si="231"/>
        <v>0</v>
      </c>
      <c r="DU122" t="b">
        <f t="shared" si="232"/>
        <v>0</v>
      </c>
      <c r="DV122" t="b">
        <f t="shared" si="233"/>
        <v>0</v>
      </c>
      <c r="DW122" t="b">
        <f t="shared" si="234"/>
        <v>0</v>
      </c>
      <c r="DX122" t="b">
        <f t="shared" si="235"/>
        <v>0</v>
      </c>
      <c r="DY122" t="b">
        <f t="shared" si="236"/>
        <v>0</v>
      </c>
      <c r="DZ122" t="b">
        <f t="shared" si="237"/>
        <v>0</v>
      </c>
      <c r="EA122" t="b">
        <f t="shared" si="238"/>
        <v>0</v>
      </c>
      <c r="EB122" t="b">
        <f t="shared" si="239"/>
        <v>0</v>
      </c>
      <c r="EC122" t="b">
        <f t="shared" si="240"/>
        <v>0</v>
      </c>
      <c r="ED122" t="b">
        <f t="shared" si="241"/>
        <v>0</v>
      </c>
      <c r="EE122" t="b">
        <f t="shared" si="242"/>
        <v>0</v>
      </c>
      <c r="EF122">
        <f t="shared" si="243"/>
        <v>1</v>
      </c>
      <c r="EG122" t="b">
        <f t="shared" si="244"/>
        <v>0</v>
      </c>
      <c r="EH122" t="b">
        <f t="shared" si="245"/>
        <v>0</v>
      </c>
      <c r="EI122" t="b">
        <f t="shared" si="246"/>
        <v>0</v>
      </c>
      <c r="EJ122" t="b">
        <f t="shared" si="247"/>
        <v>0</v>
      </c>
      <c r="EK122" t="b">
        <f t="shared" si="248"/>
        <v>0</v>
      </c>
    </row>
    <row r="123" spans="1:141">
      <c r="A123" t="s">
        <v>736</v>
      </c>
      <c r="B123" t="s">
        <v>736</v>
      </c>
      <c r="C123" t="s">
        <v>737</v>
      </c>
      <c r="D123" s="1">
        <v>42950</v>
      </c>
      <c r="E123" s="2">
        <v>43707.870474537034</v>
      </c>
      <c r="F123" s="2">
        <v>43707.870474537034</v>
      </c>
      <c r="G123">
        <v>478824</v>
      </c>
      <c r="H123" t="s">
        <v>738</v>
      </c>
      <c r="I123" s="10" t="s">
        <v>739</v>
      </c>
      <c r="J123" t="s">
        <v>156</v>
      </c>
      <c r="K123" s="8" t="b">
        <v>1</v>
      </c>
      <c r="L123" s="10" t="b">
        <v>0</v>
      </c>
      <c r="M123" s="12" t="b">
        <v>0</v>
      </c>
      <c r="N123" t="b">
        <v>0</v>
      </c>
      <c r="O123" t="b">
        <v>0</v>
      </c>
      <c r="P123" t="b">
        <v>0</v>
      </c>
      <c r="Q123">
        <f t="shared" si="125"/>
        <v>5</v>
      </c>
      <c r="R123">
        <f t="shared" si="126"/>
        <v>8</v>
      </c>
      <c r="S123" t="e">
        <f t="shared" ca="1" si="156"/>
        <v>#NAME?</v>
      </c>
      <c r="T123" t="e">
        <f t="shared" ca="1" si="127"/>
        <v>#NAME?</v>
      </c>
      <c r="U123" s="4">
        <f t="shared" si="128"/>
        <v>757.87047453703417</v>
      </c>
      <c r="V123" s="4">
        <f t="shared" si="129"/>
        <v>25.262349151234471</v>
      </c>
      <c r="W123" s="4">
        <f t="shared" si="130"/>
        <v>1</v>
      </c>
      <c r="X123" s="4">
        <f t="shared" si="131"/>
        <v>0</v>
      </c>
      <c r="Y123" s="4">
        <f t="shared" si="132"/>
        <v>0</v>
      </c>
      <c r="Z123" s="4">
        <f t="shared" si="133"/>
        <v>0</v>
      </c>
      <c r="AA123" s="4">
        <f t="shared" si="134"/>
        <v>0</v>
      </c>
      <c r="AB123" s="4">
        <f t="shared" si="135"/>
        <v>0</v>
      </c>
      <c r="AC123" s="4"/>
      <c r="AD123" s="4" t="b">
        <f t="shared" si="136"/>
        <v>0</v>
      </c>
      <c r="AE123" s="4" t="b">
        <f t="shared" si="137"/>
        <v>0</v>
      </c>
      <c r="AF123" s="4" t="b">
        <f t="shared" si="138"/>
        <v>0</v>
      </c>
      <c r="AG123" t="b">
        <f t="shared" si="139"/>
        <v>0</v>
      </c>
      <c r="AH123" t="b">
        <f t="shared" si="140"/>
        <v>0</v>
      </c>
      <c r="AI123" t="b">
        <f t="shared" si="141"/>
        <v>0</v>
      </c>
      <c r="AJ123" t="b">
        <f t="shared" si="142"/>
        <v>0</v>
      </c>
      <c r="AK123" t="b">
        <f t="shared" si="143"/>
        <v>0</v>
      </c>
      <c r="AL123" t="b">
        <f t="shared" si="144"/>
        <v>0</v>
      </c>
      <c r="AM123" t="b">
        <f t="shared" si="145"/>
        <v>0</v>
      </c>
      <c r="AN123" t="b">
        <f t="shared" si="146"/>
        <v>0</v>
      </c>
      <c r="AO123" t="b">
        <f t="shared" si="147"/>
        <v>0</v>
      </c>
      <c r="AP123" t="b">
        <f t="shared" si="148"/>
        <v>0</v>
      </c>
      <c r="AQ123" t="b">
        <f t="shared" si="149"/>
        <v>0</v>
      </c>
      <c r="AR123" t="b">
        <f t="shared" si="150"/>
        <v>0</v>
      </c>
      <c r="AS123" t="b">
        <f t="shared" si="151"/>
        <v>0</v>
      </c>
      <c r="AT123" t="b">
        <f t="shared" si="152"/>
        <v>0</v>
      </c>
      <c r="AU123" t="b">
        <f t="shared" si="153"/>
        <v>0</v>
      </c>
      <c r="AV123" t="b">
        <f t="shared" si="154"/>
        <v>0</v>
      </c>
      <c r="AW123" t="b">
        <f t="shared" si="155"/>
        <v>0</v>
      </c>
      <c r="AX123" t="b">
        <f t="shared" si="157"/>
        <v>0</v>
      </c>
      <c r="AY123" t="b">
        <f t="shared" si="158"/>
        <v>0</v>
      </c>
      <c r="AZ123" t="b">
        <f t="shared" si="159"/>
        <v>0</v>
      </c>
      <c r="BA123" t="b">
        <f t="shared" si="160"/>
        <v>0</v>
      </c>
      <c r="BB123" t="b">
        <f t="shared" si="161"/>
        <v>0</v>
      </c>
      <c r="BC123" t="b">
        <f t="shared" si="162"/>
        <v>0</v>
      </c>
      <c r="BD123" t="b">
        <f t="shared" si="163"/>
        <v>0</v>
      </c>
      <c r="BE123" t="b">
        <f t="shared" si="164"/>
        <v>0</v>
      </c>
      <c r="BF123" t="b">
        <f t="shared" si="165"/>
        <v>0</v>
      </c>
      <c r="BG123" t="b">
        <f t="shared" si="166"/>
        <v>0</v>
      </c>
      <c r="BH123" t="b">
        <f t="shared" si="167"/>
        <v>0</v>
      </c>
      <c r="BI123">
        <f t="shared" si="168"/>
        <v>1</v>
      </c>
      <c r="BJ123" t="b">
        <f t="shared" si="169"/>
        <v>0</v>
      </c>
      <c r="BK123" t="b">
        <f t="shared" si="170"/>
        <v>0</v>
      </c>
      <c r="BL123" t="b">
        <f t="shared" si="171"/>
        <v>0</v>
      </c>
      <c r="BM123" t="b">
        <f t="shared" si="172"/>
        <v>0</v>
      </c>
      <c r="BN123" t="b">
        <f t="shared" si="173"/>
        <v>0</v>
      </c>
      <c r="BO123" t="b">
        <f t="shared" si="174"/>
        <v>0</v>
      </c>
      <c r="BP123" t="b">
        <f t="shared" si="175"/>
        <v>0</v>
      </c>
      <c r="BQ123" t="b">
        <f t="shared" si="176"/>
        <v>0</v>
      </c>
      <c r="BR123" t="b">
        <f t="shared" si="177"/>
        <v>0</v>
      </c>
      <c r="BS123" t="b">
        <f t="shared" si="178"/>
        <v>0</v>
      </c>
      <c r="BT123" t="b">
        <f t="shared" si="179"/>
        <v>0</v>
      </c>
      <c r="BU123" t="b">
        <f t="shared" si="180"/>
        <v>0</v>
      </c>
      <c r="BV123" t="b">
        <f t="shared" si="181"/>
        <v>0</v>
      </c>
      <c r="BW123" t="b">
        <f t="shared" si="182"/>
        <v>0</v>
      </c>
      <c r="BX123" t="b">
        <f t="shared" si="183"/>
        <v>0</v>
      </c>
      <c r="BY123" t="b">
        <f t="shared" si="184"/>
        <v>0</v>
      </c>
      <c r="BZ123" t="b">
        <f t="shared" si="185"/>
        <v>0</v>
      </c>
      <c r="CA123" t="b">
        <f t="shared" si="186"/>
        <v>0</v>
      </c>
      <c r="CB123" t="b">
        <f t="shared" si="187"/>
        <v>0</v>
      </c>
      <c r="CC123" t="b">
        <f t="shared" si="188"/>
        <v>0</v>
      </c>
      <c r="CD123" t="b">
        <f t="shared" si="189"/>
        <v>0</v>
      </c>
      <c r="CE123" t="b">
        <f t="shared" si="190"/>
        <v>0</v>
      </c>
      <c r="CF123" t="b">
        <f t="shared" si="191"/>
        <v>0</v>
      </c>
      <c r="CG123" t="b">
        <f t="shared" si="192"/>
        <v>0</v>
      </c>
      <c r="CH123" t="b">
        <f t="shared" si="193"/>
        <v>0</v>
      </c>
      <c r="CI123" t="b">
        <f t="shared" si="194"/>
        <v>0</v>
      </c>
      <c r="CJ123" t="b">
        <f t="shared" si="195"/>
        <v>0</v>
      </c>
      <c r="CK123" t="b">
        <f t="shared" si="196"/>
        <v>0</v>
      </c>
      <c r="CL123" t="b">
        <f t="shared" si="197"/>
        <v>0</v>
      </c>
      <c r="CM123" t="b">
        <f t="shared" si="198"/>
        <v>0</v>
      </c>
      <c r="CN123" t="b">
        <f t="shared" si="199"/>
        <v>0</v>
      </c>
      <c r="CO123" t="b">
        <f t="shared" si="200"/>
        <v>0</v>
      </c>
      <c r="CP123" t="b">
        <f t="shared" si="201"/>
        <v>0</v>
      </c>
      <c r="CQ123" t="b">
        <f t="shared" si="202"/>
        <v>0</v>
      </c>
      <c r="CR123" t="b">
        <f t="shared" si="203"/>
        <v>0</v>
      </c>
      <c r="CS123" t="b">
        <f t="shared" si="204"/>
        <v>0</v>
      </c>
      <c r="CT123" t="b">
        <f t="shared" si="205"/>
        <v>0</v>
      </c>
      <c r="CU123" t="b">
        <f t="shared" si="206"/>
        <v>0</v>
      </c>
      <c r="CV123">
        <f t="shared" si="207"/>
        <v>1</v>
      </c>
      <c r="CW123" t="b">
        <f t="shared" si="208"/>
        <v>0</v>
      </c>
      <c r="CX123" t="b">
        <f t="shared" si="209"/>
        <v>0</v>
      </c>
      <c r="CY123" t="b">
        <f t="shared" si="210"/>
        <v>0</v>
      </c>
      <c r="CZ123" t="b">
        <f t="shared" si="211"/>
        <v>0</v>
      </c>
      <c r="DA123" t="b">
        <f t="shared" si="212"/>
        <v>0</v>
      </c>
      <c r="DB123" t="b">
        <f t="shared" si="213"/>
        <v>0</v>
      </c>
      <c r="DC123" t="b">
        <f t="shared" si="214"/>
        <v>0</v>
      </c>
      <c r="DD123" t="b">
        <f t="shared" si="215"/>
        <v>0</v>
      </c>
      <c r="DE123" t="b">
        <f t="shared" si="216"/>
        <v>0</v>
      </c>
      <c r="DF123" t="b">
        <f t="shared" si="217"/>
        <v>0</v>
      </c>
      <c r="DG123" t="b">
        <f t="shared" si="218"/>
        <v>0</v>
      </c>
      <c r="DH123" t="b">
        <f t="shared" si="219"/>
        <v>0</v>
      </c>
      <c r="DI123" t="b">
        <f t="shared" si="220"/>
        <v>0</v>
      </c>
      <c r="DJ123" t="b">
        <f t="shared" si="221"/>
        <v>0</v>
      </c>
      <c r="DK123" t="b">
        <f t="shared" si="222"/>
        <v>0</v>
      </c>
      <c r="DL123" t="b">
        <f t="shared" si="223"/>
        <v>0</v>
      </c>
      <c r="DM123" t="b">
        <f t="shared" si="224"/>
        <v>0</v>
      </c>
      <c r="DN123" t="b">
        <f t="shared" si="225"/>
        <v>0</v>
      </c>
      <c r="DO123" t="b">
        <f t="shared" si="226"/>
        <v>0</v>
      </c>
      <c r="DP123" t="b">
        <f t="shared" si="227"/>
        <v>0</v>
      </c>
      <c r="DQ123" t="b">
        <f t="shared" si="228"/>
        <v>0</v>
      </c>
      <c r="DR123" t="b">
        <f t="shared" si="229"/>
        <v>0</v>
      </c>
      <c r="DS123" t="b">
        <f t="shared" si="230"/>
        <v>0</v>
      </c>
      <c r="DT123" t="b">
        <f t="shared" si="231"/>
        <v>0</v>
      </c>
      <c r="DU123" t="b">
        <f t="shared" si="232"/>
        <v>0</v>
      </c>
      <c r="DV123" t="b">
        <f t="shared" si="233"/>
        <v>0</v>
      </c>
      <c r="DW123" t="b">
        <f t="shared" si="234"/>
        <v>0</v>
      </c>
      <c r="DX123" t="b">
        <f t="shared" si="235"/>
        <v>0</v>
      </c>
      <c r="DY123" t="b">
        <f t="shared" si="236"/>
        <v>0</v>
      </c>
      <c r="DZ123" t="b">
        <f t="shared" si="237"/>
        <v>0</v>
      </c>
      <c r="EA123" t="b">
        <f t="shared" si="238"/>
        <v>0</v>
      </c>
      <c r="EB123" t="b">
        <f t="shared" si="239"/>
        <v>0</v>
      </c>
      <c r="EC123" t="b">
        <f t="shared" si="240"/>
        <v>0</v>
      </c>
      <c r="ED123" t="b">
        <f t="shared" si="241"/>
        <v>0</v>
      </c>
      <c r="EE123" t="b">
        <f t="shared" si="242"/>
        <v>0</v>
      </c>
      <c r="EF123">
        <f t="shared" si="243"/>
        <v>1</v>
      </c>
      <c r="EG123" t="b">
        <f t="shared" si="244"/>
        <v>0</v>
      </c>
      <c r="EH123" t="b">
        <f t="shared" si="245"/>
        <v>0</v>
      </c>
      <c r="EI123" t="b">
        <f t="shared" si="246"/>
        <v>0</v>
      </c>
      <c r="EJ123" t="b">
        <f t="shared" si="247"/>
        <v>0</v>
      </c>
      <c r="EK123" t="b">
        <f t="shared" si="248"/>
        <v>0</v>
      </c>
    </row>
    <row r="124" spans="1:141">
      <c r="A124" t="s">
        <v>740</v>
      </c>
      <c r="B124" t="s">
        <v>740</v>
      </c>
      <c r="C124" t="s">
        <v>741</v>
      </c>
      <c r="D124" s="1">
        <v>44481</v>
      </c>
      <c r="E124" s="2">
        <v>44491.856168981481</v>
      </c>
      <c r="F124" s="2">
        <v>44491.856168981481</v>
      </c>
      <c r="G124">
        <v>3117548</v>
      </c>
      <c r="H124" t="s">
        <v>742</v>
      </c>
      <c r="I124" s="10" t="s">
        <v>743</v>
      </c>
      <c r="J124" t="s">
        <v>744</v>
      </c>
      <c r="K124" s="8" t="b">
        <v>1</v>
      </c>
      <c r="L124" s="10" t="b">
        <v>0</v>
      </c>
      <c r="M124" s="12" t="b">
        <v>0</v>
      </c>
      <c r="N124" t="b">
        <v>0</v>
      </c>
      <c r="O124" t="b">
        <v>0</v>
      </c>
      <c r="P124" t="b">
        <v>0</v>
      </c>
      <c r="Q124">
        <f t="shared" si="125"/>
        <v>3</v>
      </c>
      <c r="R124">
        <f t="shared" si="126"/>
        <v>10</v>
      </c>
      <c r="S124" t="e">
        <f t="shared" ca="1" si="156"/>
        <v>#NAME?</v>
      </c>
      <c r="T124" t="e">
        <f t="shared" ca="1" si="127"/>
        <v>#NAME?</v>
      </c>
      <c r="U124" s="4">
        <f t="shared" si="128"/>
        <v>10.85616898148146</v>
      </c>
      <c r="V124" s="4">
        <f t="shared" si="129"/>
        <v>0.36187229938271531</v>
      </c>
      <c r="W124" s="4">
        <f t="shared" si="130"/>
        <v>1</v>
      </c>
      <c r="X124" s="4">
        <f t="shared" si="131"/>
        <v>0</v>
      </c>
      <c r="Y124" s="4">
        <f t="shared" si="132"/>
        <v>0</v>
      </c>
      <c r="Z124" s="4">
        <f t="shared" si="133"/>
        <v>0</v>
      </c>
      <c r="AA124" s="4">
        <f t="shared" si="134"/>
        <v>0</v>
      </c>
      <c r="AB124" s="4">
        <f t="shared" si="135"/>
        <v>0</v>
      </c>
      <c r="AC124" s="4"/>
      <c r="AD124" s="4" t="b">
        <f t="shared" si="136"/>
        <v>0</v>
      </c>
      <c r="AE124" s="4" t="b">
        <f t="shared" si="137"/>
        <v>0</v>
      </c>
      <c r="AF124" s="4" t="b">
        <f t="shared" si="138"/>
        <v>0</v>
      </c>
      <c r="AG124" t="b">
        <f t="shared" si="139"/>
        <v>0</v>
      </c>
      <c r="AH124" t="b">
        <f t="shared" si="140"/>
        <v>0</v>
      </c>
      <c r="AI124" t="b">
        <f t="shared" si="141"/>
        <v>0</v>
      </c>
      <c r="AJ124" t="b">
        <f t="shared" si="142"/>
        <v>0</v>
      </c>
      <c r="AK124" t="b">
        <f t="shared" si="143"/>
        <v>0</v>
      </c>
      <c r="AL124" t="b">
        <f t="shared" si="144"/>
        <v>0</v>
      </c>
      <c r="AM124" t="b">
        <f t="shared" si="145"/>
        <v>0</v>
      </c>
      <c r="AN124" t="b">
        <f t="shared" si="146"/>
        <v>0</v>
      </c>
      <c r="AO124" t="b">
        <f t="shared" si="147"/>
        <v>0</v>
      </c>
      <c r="AP124" t="b">
        <f t="shared" si="148"/>
        <v>0</v>
      </c>
      <c r="AQ124" t="b">
        <f t="shared" si="149"/>
        <v>0</v>
      </c>
      <c r="AR124" t="b">
        <f t="shared" si="150"/>
        <v>0</v>
      </c>
      <c r="AS124" t="b">
        <f t="shared" si="151"/>
        <v>0</v>
      </c>
      <c r="AT124" t="b">
        <f t="shared" si="152"/>
        <v>0</v>
      </c>
      <c r="AU124" t="b">
        <f t="shared" si="153"/>
        <v>0</v>
      </c>
      <c r="AV124" t="b">
        <f t="shared" si="154"/>
        <v>0</v>
      </c>
      <c r="AW124" t="b">
        <f t="shared" si="155"/>
        <v>0</v>
      </c>
      <c r="AX124" t="b">
        <f t="shared" si="157"/>
        <v>0</v>
      </c>
      <c r="AY124" t="b">
        <f t="shared" si="158"/>
        <v>0</v>
      </c>
      <c r="AZ124" t="b">
        <f t="shared" si="159"/>
        <v>0</v>
      </c>
      <c r="BA124" t="b">
        <f t="shared" si="160"/>
        <v>0</v>
      </c>
      <c r="BB124" t="b">
        <f t="shared" si="161"/>
        <v>0</v>
      </c>
      <c r="BC124" t="b">
        <f t="shared" si="162"/>
        <v>0</v>
      </c>
      <c r="BD124" t="b">
        <f t="shared" si="163"/>
        <v>0</v>
      </c>
      <c r="BE124" t="b">
        <f t="shared" si="164"/>
        <v>0</v>
      </c>
      <c r="BF124" t="b">
        <f t="shared" si="165"/>
        <v>0</v>
      </c>
      <c r="BG124" t="b">
        <f t="shared" si="166"/>
        <v>0</v>
      </c>
      <c r="BH124" t="b">
        <f t="shared" si="167"/>
        <v>0</v>
      </c>
      <c r="BI124">
        <f t="shared" si="168"/>
        <v>1</v>
      </c>
      <c r="BJ124" t="b">
        <f t="shared" si="169"/>
        <v>0</v>
      </c>
      <c r="BK124" t="b">
        <f t="shared" si="170"/>
        <v>0</v>
      </c>
      <c r="BL124" t="b">
        <f t="shared" si="171"/>
        <v>0</v>
      </c>
      <c r="BM124" t="b">
        <f t="shared" si="172"/>
        <v>0</v>
      </c>
      <c r="BN124" t="b">
        <f t="shared" si="173"/>
        <v>0</v>
      </c>
      <c r="BO124" t="b">
        <f t="shared" si="174"/>
        <v>0</v>
      </c>
      <c r="BP124" t="b">
        <f t="shared" si="175"/>
        <v>0</v>
      </c>
      <c r="BQ124" t="b">
        <f t="shared" si="176"/>
        <v>0</v>
      </c>
      <c r="BR124" t="b">
        <f t="shared" si="177"/>
        <v>0</v>
      </c>
      <c r="BS124" t="b">
        <f t="shared" si="178"/>
        <v>0</v>
      </c>
      <c r="BT124" t="b">
        <f t="shared" si="179"/>
        <v>0</v>
      </c>
      <c r="BU124" t="b">
        <f t="shared" si="180"/>
        <v>0</v>
      </c>
      <c r="BV124" t="b">
        <f t="shared" si="181"/>
        <v>0</v>
      </c>
      <c r="BW124" t="b">
        <f t="shared" si="182"/>
        <v>0</v>
      </c>
      <c r="BX124" t="b">
        <f t="shared" si="183"/>
        <v>0</v>
      </c>
      <c r="BY124" t="b">
        <f t="shared" si="184"/>
        <v>0</v>
      </c>
      <c r="BZ124" t="b">
        <f t="shared" si="185"/>
        <v>0</v>
      </c>
      <c r="CA124" t="b">
        <f t="shared" si="186"/>
        <v>0</v>
      </c>
      <c r="CB124" t="b">
        <f t="shared" si="187"/>
        <v>0</v>
      </c>
      <c r="CC124" t="b">
        <f t="shared" si="188"/>
        <v>0</v>
      </c>
      <c r="CD124" t="b">
        <f t="shared" si="189"/>
        <v>0</v>
      </c>
      <c r="CE124" t="b">
        <f t="shared" si="190"/>
        <v>0</v>
      </c>
      <c r="CF124" t="b">
        <f t="shared" si="191"/>
        <v>0</v>
      </c>
      <c r="CG124" t="b">
        <f t="shared" si="192"/>
        <v>0</v>
      </c>
      <c r="CH124" t="b">
        <f t="shared" si="193"/>
        <v>0</v>
      </c>
      <c r="CI124" t="b">
        <f t="shared" si="194"/>
        <v>0</v>
      </c>
      <c r="CJ124" t="b">
        <f t="shared" si="195"/>
        <v>0</v>
      </c>
      <c r="CK124" t="b">
        <f t="shared" si="196"/>
        <v>0</v>
      </c>
      <c r="CL124" t="b">
        <f t="shared" si="197"/>
        <v>0</v>
      </c>
      <c r="CM124" t="b">
        <f t="shared" si="198"/>
        <v>0</v>
      </c>
      <c r="CN124" t="b">
        <f t="shared" si="199"/>
        <v>0</v>
      </c>
      <c r="CO124" t="b">
        <f t="shared" si="200"/>
        <v>0</v>
      </c>
      <c r="CP124" t="b">
        <f t="shared" si="201"/>
        <v>0</v>
      </c>
      <c r="CQ124" t="b">
        <f t="shared" si="202"/>
        <v>0</v>
      </c>
      <c r="CR124" t="b">
        <f t="shared" si="203"/>
        <v>0</v>
      </c>
      <c r="CS124" t="b">
        <f t="shared" si="204"/>
        <v>0</v>
      </c>
      <c r="CT124" t="b">
        <f t="shared" si="205"/>
        <v>0</v>
      </c>
      <c r="CU124" t="b">
        <f t="shared" si="206"/>
        <v>0</v>
      </c>
      <c r="CV124" t="b">
        <f t="shared" si="207"/>
        <v>0</v>
      </c>
      <c r="CW124" t="b">
        <f t="shared" si="208"/>
        <v>0</v>
      </c>
      <c r="CX124" t="b">
        <f t="shared" si="209"/>
        <v>0</v>
      </c>
      <c r="CY124" t="b">
        <f t="shared" si="210"/>
        <v>0</v>
      </c>
      <c r="CZ124" t="b">
        <f t="shared" si="211"/>
        <v>0</v>
      </c>
      <c r="DA124" t="b">
        <f t="shared" si="212"/>
        <v>0</v>
      </c>
      <c r="DB124" t="b">
        <f t="shared" si="213"/>
        <v>0</v>
      </c>
      <c r="DC124" t="b">
        <f t="shared" si="214"/>
        <v>0</v>
      </c>
      <c r="DD124" t="b">
        <f t="shared" si="215"/>
        <v>0</v>
      </c>
      <c r="DE124" t="b">
        <f t="shared" si="216"/>
        <v>0</v>
      </c>
      <c r="DF124" t="b">
        <f t="shared" si="217"/>
        <v>0</v>
      </c>
      <c r="DG124" t="b">
        <f t="shared" si="218"/>
        <v>0</v>
      </c>
      <c r="DH124" t="b">
        <f t="shared" si="219"/>
        <v>0</v>
      </c>
      <c r="DI124" t="b">
        <f t="shared" si="220"/>
        <v>0</v>
      </c>
      <c r="DJ124" t="b">
        <f t="shared" si="221"/>
        <v>0</v>
      </c>
      <c r="DK124" t="b">
        <f t="shared" si="222"/>
        <v>0</v>
      </c>
      <c r="DL124" t="b">
        <f t="shared" si="223"/>
        <v>0</v>
      </c>
      <c r="DM124" t="b">
        <f t="shared" si="224"/>
        <v>0</v>
      </c>
      <c r="DN124" t="b">
        <f t="shared" si="225"/>
        <v>0</v>
      </c>
      <c r="DO124" t="b">
        <f t="shared" si="226"/>
        <v>0</v>
      </c>
      <c r="DP124" t="b">
        <f t="shared" si="227"/>
        <v>0</v>
      </c>
      <c r="DQ124" t="b">
        <f t="shared" si="228"/>
        <v>0</v>
      </c>
      <c r="DR124" t="b">
        <f t="shared" si="229"/>
        <v>0</v>
      </c>
      <c r="DS124" t="b">
        <f t="shared" si="230"/>
        <v>0</v>
      </c>
      <c r="DT124" t="b">
        <f t="shared" si="231"/>
        <v>0</v>
      </c>
      <c r="DU124" t="b">
        <f t="shared" si="232"/>
        <v>0</v>
      </c>
      <c r="DV124" t="b">
        <f t="shared" si="233"/>
        <v>0</v>
      </c>
      <c r="DW124" t="b">
        <f t="shared" si="234"/>
        <v>0</v>
      </c>
      <c r="DX124" t="b">
        <f t="shared" si="235"/>
        <v>0</v>
      </c>
      <c r="DY124" t="b">
        <f t="shared" si="236"/>
        <v>0</v>
      </c>
      <c r="DZ124" t="b">
        <f t="shared" si="237"/>
        <v>0</v>
      </c>
      <c r="EA124" t="b">
        <f t="shared" si="238"/>
        <v>0</v>
      </c>
      <c r="EB124" t="b">
        <f t="shared" si="239"/>
        <v>0</v>
      </c>
      <c r="EC124" t="b">
        <f t="shared" si="240"/>
        <v>0</v>
      </c>
      <c r="ED124" t="b">
        <f t="shared" si="241"/>
        <v>0</v>
      </c>
      <c r="EE124" t="b">
        <f t="shared" si="242"/>
        <v>0</v>
      </c>
      <c r="EF124" t="b">
        <f t="shared" si="243"/>
        <v>0</v>
      </c>
      <c r="EG124" t="b">
        <f t="shared" si="244"/>
        <v>0</v>
      </c>
      <c r="EH124" t="b">
        <f t="shared" si="245"/>
        <v>0</v>
      </c>
      <c r="EI124" t="b">
        <f t="shared" si="246"/>
        <v>0</v>
      </c>
      <c r="EJ124" t="b">
        <f t="shared" si="247"/>
        <v>0</v>
      </c>
      <c r="EK124" t="b">
        <f t="shared" si="248"/>
        <v>0</v>
      </c>
    </row>
    <row r="125" spans="1:141">
      <c r="A125" t="s">
        <v>745</v>
      </c>
      <c r="B125" t="s">
        <v>745</v>
      </c>
      <c r="C125" t="s">
        <v>746</v>
      </c>
      <c r="D125" s="1">
        <v>44896</v>
      </c>
      <c r="E125" s="2">
        <v>44907.372083333335</v>
      </c>
      <c r="F125" s="2">
        <v>44927.294999999998</v>
      </c>
      <c r="G125">
        <v>1557153</v>
      </c>
      <c r="H125" t="s">
        <v>747</v>
      </c>
      <c r="I125" s="10" t="s">
        <v>748</v>
      </c>
      <c r="J125" t="s">
        <v>749</v>
      </c>
      <c r="K125" s="8" t="b">
        <v>1</v>
      </c>
      <c r="L125" s="10" t="b">
        <v>0</v>
      </c>
      <c r="M125" s="12" t="b">
        <v>0</v>
      </c>
      <c r="N125" t="b">
        <v>0</v>
      </c>
      <c r="O125" t="b">
        <v>0</v>
      </c>
      <c r="P125" t="b">
        <v>0</v>
      </c>
      <c r="Q125">
        <f t="shared" si="125"/>
        <v>5</v>
      </c>
      <c r="R125">
        <f t="shared" si="126"/>
        <v>12</v>
      </c>
      <c r="S125" t="e">
        <f t="shared" ca="1" si="156"/>
        <v>#NAME?</v>
      </c>
      <c r="T125" t="e">
        <f t="shared" ca="1" si="127"/>
        <v>#NAME?</v>
      </c>
      <c r="U125" s="4">
        <f t="shared" si="128"/>
        <v>11.372083333335468</v>
      </c>
      <c r="V125" s="4">
        <f t="shared" si="129"/>
        <v>0.37906944444451557</v>
      </c>
      <c r="W125" s="4">
        <f t="shared" si="130"/>
        <v>1</v>
      </c>
      <c r="X125" s="4">
        <f t="shared" si="131"/>
        <v>0</v>
      </c>
      <c r="Y125" s="4">
        <f t="shared" si="132"/>
        <v>0</v>
      </c>
      <c r="Z125" s="4">
        <f t="shared" si="133"/>
        <v>0</v>
      </c>
      <c r="AA125" s="4">
        <f t="shared" si="134"/>
        <v>0</v>
      </c>
      <c r="AB125" s="4">
        <f t="shared" si="135"/>
        <v>0</v>
      </c>
      <c r="AC125" s="4"/>
      <c r="AD125" s="4" t="b">
        <f t="shared" si="136"/>
        <v>0</v>
      </c>
      <c r="AE125" s="4" t="b">
        <f t="shared" si="137"/>
        <v>0</v>
      </c>
      <c r="AF125" s="4" t="b">
        <f t="shared" si="138"/>
        <v>0</v>
      </c>
      <c r="AG125" t="b">
        <f t="shared" si="139"/>
        <v>0</v>
      </c>
      <c r="AH125" t="b">
        <f t="shared" si="140"/>
        <v>0</v>
      </c>
      <c r="AI125" t="b">
        <f t="shared" si="141"/>
        <v>0</v>
      </c>
      <c r="AJ125" t="b">
        <f t="shared" si="142"/>
        <v>0</v>
      </c>
      <c r="AK125" t="b">
        <f t="shared" si="143"/>
        <v>0</v>
      </c>
      <c r="AL125" t="b">
        <f t="shared" si="144"/>
        <v>0</v>
      </c>
      <c r="AM125" t="b">
        <f t="shared" si="145"/>
        <v>0</v>
      </c>
      <c r="AN125" t="b">
        <f t="shared" si="146"/>
        <v>0</v>
      </c>
      <c r="AO125" t="b">
        <f t="shared" si="147"/>
        <v>0</v>
      </c>
      <c r="AP125" t="b">
        <f t="shared" si="148"/>
        <v>0</v>
      </c>
      <c r="AQ125" t="b">
        <f t="shared" si="149"/>
        <v>0</v>
      </c>
      <c r="AR125" t="b">
        <f t="shared" si="150"/>
        <v>0</v>
      </c>
      <c r="AS125" t="b">
        <f t="shared" si="151"/>
        <v>0</v>
      </c>
      <c r="AT125" t="b">
        <f t="shared" si="152"/>
        <v>0</v>
      </c>
      <c r="AU125" t="b">
        <f t="shared" si="153"/>
        <v>0</v>
      </c>
      <c r="AV125" t="b">
        <f t="shared" si="154"/>
        <v>0</v>
      </c>
      <c r="AW125" t="b">
        <f t="shared" si="155"/>
        <v>0</v>
      </c>
      <c r="AX125" t="b">
        <f t="shared" si="157"/>
        <v>0</v>
      </c>
      <c r="AY125" t="b">
        <f t="shared" si="158"/>
        <v>0</v>
      </c>
      <c r="AZ125" t="b">
        <f t="shared" si="159"/>
        <v>0</v>
      </c>
      <c r="BA125" t="b">
        <f t="shared" si="160"/>
        <v>0</v>
      </c>
      <c r="BB125" t="b">
        <f t="shared" si="161"/>
        <v>0</v>
      </c>
      <c r="BC125" t="b">
        <f t="shared" si="162"/>
        <v>0</v>
      </c>
      <c r="BD125" t="b">
        <f t="shared" si="163"/>
        <v>0</v>
      </c>
      <c r="BE125" t="b">
        <f t="shared" si="164"/>
        <v>0</v>
      </c>
      <c r="BF125" t="b">
        <f t="shared" si="165"/>
        <v>0</v>
      </c>
      <c r="BG125" t="b">
        <f t="shared" si="166"/>
        <v>0</v>
      </c>
      <c r="BH125" t="b">
        <f t="shared" si="167"/>
        <v>0</v>
      </c>
      <c r="BI125">
        <f t="shared" si="168"/>
        <v>1</v>
      </c>
      <c r="BJ125" t="b">
        <f t="shared" si="169"/>
        <v>0</v>
      </c>
      <c r="BK125" t="b">
        <f t="shared" si="170"/>
        <v>0</v>
      </c>
      <c r="BL125" t="b">
        <f t="shared" si="171"/>
        <v>0</v>
      </c>
      <c r="BM125" t="b">
        <f t="shared" si="172"/>
        <v>0</v>
      </c>
      <c r="BN125" t="b">
        <f t="shared" si="173"/>
        <v>0</v>
      </c>
      <c r="BO125" t="b">
        <f t="shared" si="174"/>
        <v>0</v>
      </c>
      <c r="BP125" t="b">
        <f t="shared" si="175"/>
        <v>0</v>
      </c>
      <c r="BQ125" t="b">
        <f t="shared" si="176"/>
        <v>0</v>
      </c>
      <c r="BR125" t="b">
        <f t="shared" si="177"/>
        <v>0</v>
      </c>
      <c r="BS125" t="b">
        <f t="shared" si="178"/>
        <v>0</v>
      </c>
      <c r="BT125" t="b">
        <f t="shared" si="179"/>
        <v>0</v>
      </c>
      <c r="BU125" t="b">
        <f t="shared" si="180"/>
        <v>0</v>
      </c>
      <c r="BV125" t="b">
        <f t="shared" si="181"/>
        <v>0</v>
      </c>
      <c r="BW125" t="b">
        <f t="shared" si="182"/>
        <v>0</v>
      </c>
      <c r="BX125" t="b">
        <f t="shared" si="183"/>
        <v>0</v>
      </c>
      <c r="BY125" t="b">
        <f t="shared" si="184"/>
        <v>0</v>
      </c>
      <c r="BZ125" t="b">
        <f t="shared" si="185"/>
        <v>0</v>
      </c>
      <c r="CA125" t="b">
        <f t="shared" si="186"/>
        <v>0</v>
      </c>
      <c r="CB125" t="b">
        <f t="shared" si="187"/>
        <v>0</v>
      </c>
      <c r="CC125" t="b">
        <f t="shared" si="188"/>
        <v>0</v>
      </c>
      <c r="CD125" t="b">
        <f t="shared" si="189"/>
        <v>0</v>
      </c>
      <c r="CE125" t="b">
        <f t="shared" si="190"/>
        <v>0</v>
      </c>
      <c r="CF125" t="b">
        <f t="shared" si="191"/>
        <v>0</v>
      </c>
      <c r="CG125" t="b">
        <f t="shared" si="192"/>
        <v>0</v>
      </c>
      <c r="CH125" t="b">
        <f t="shared" si="193"/>
        <v>0</v>
      </c>
      <c r="CI125" t="b">
        <f t="shared" si="194"/>
        <v>0</v>
      </c>
      <c r="CJ125" t="b">
        <f t="shared" si="195"/>
        <v>0</v>
      </c>
      <c r="CK125" t="b">
        <f t="shared" si="196"/>
        <v>0</v>
      </c>
      <c r="CL125" t="b">
        <f t="shared" si="197"/>
        <v>0</v>
      </c>
      <c r="CM125" t="b">
        <f t="shared" si="198"/>
        <v>0</v>
      </c>
      <c r="CN125" t="b">
        <f t="shared" si="199"/>
        <v>0</v>
      </c>
      <c r="CO125" t="b">
        <f t="shared" si="200"/>
        <v>0</v>
      </c>
      <c r="CP125" t="b">
        <f t="shared" si="201"/>
        <v>0</v>
      </c>
      <c r="CQ125" t="b">
        <f t="shared" si="202"/>
        <v>0</v>
      </c>
      <c r="CR125" t="b">
        <f t="shared" si="203"/>
        <v>0</v>
      </c>
      <c r="CS125" t="b">
        <f t="shared" si="204"/>
        <v>0</v>
      </c>
      <c r="CT125">
        <f t="shared" si="205"/>
        <v>1</v>
      </c>
      <c r="CU125" t="b">
        <f t="shared" si="206"/>
        <v>0</v>
      </c>
      <c r="CV125" t="b">
        <f t="shared" si="207"/>
        <v>0</v>
      </c>
      <c r="CW125" t="b">
        <f t="shared" si="208"/>
        <v>0</v>
      </c>
      <c r="CX125" t="b">
        <f t="shared" si="209"/>
        <v>0</v>
      </c>
      <c r="CY125" t="b">
        <f t="shared" si="210"/>
        <v>0</v>
      </c>
      <c r="CZ125" t="b">
        <f t="shared" si="211"/>
        <v>0</v>
      </c>
      <c r="DA125" t="b">
        <f t="shared" si="212"/>
        <v>0</v>
      </c>
      <c r="DB125" t="b">
        <f t="shared" si="213"/>
        <v>0</v>
      </c>
      <c r="DC125" t="b">
        <f t="shared" si="214"/>
        <v>0</v>
      </c>
      <c r="DD125" t="b">
        <f t="shared" si="215"/>
        <v>0</v>
      </c>
      <c r="DE125" t="b">
        <f t="shared" si="216"/>
        <v>0</v>
      </c>
      <c r="DF125" t="b">
        <f t="shared" si="217"/>
        <v>0</v>
      </c>
      <c r="DG125" t="b">
        <f t="shared" si="218"/>
        <v>0</v>
      </c>
      <c r="DH125" t="b">
        <f t="shared" si="219"/>
        <v>0</v>
      </c>
      <c r="DI125" t="b">
        <f t="shared" si="220"/>
        <v>0</v>
      </c>
      <c r="DJ125" t="b">
        <f t="shared" si="221"/>
        <v>0</v>
      </c>
      <c r="DK125" t="b">
        <f t="shared" si="222"/>
        <v>0</v>
      </c>
      <c r="DL125" t="b">
        <f t="shared" si="223"/>
        <v>0</v>
      </c>
      <c r="DM125" t="b">
        <f t="shared" si="224"/>
        <v>0</v>
      </c>
      <c r="DN125" t="b">
        <f t="shared" si="225"/>
        <v>0</v>
      </c>
      <c r="DO125" t="b">
        <f t="shared" si="226"/>
        <v>0</v>
      </c>
      <c r="DP125" t="b">
        <f t="shared" si="227"/>
        <v>0</v>
      </c>
      <c r="DQ125" t="b">
        <f t="shared" si="228"/>
        <v>0</v>
      </c>
      <c r="DR125" t="b">
        <f t="shared" si="229"/>
        <v>0</v>
      </c>
      <c r="DS125" t="b">
        <f t="shared" si="230"/>
        <v>0</v>
      </c>
      <c r="DT125" t="b">
        <f t="shared" si="231"/>
        <v>0</v>
      </c>
      <c r="DU125" t="b">
        <f t="shared" si="232"/>
        <v>0</v>
      </c>
      <c r="DV125" t="b">
        <f t="shared" si="233"/>
        <v>0</v>
      </c>
      <c r="DW125" t="b">
        <f t="shared" si="234"/>
        <v>0</v>
      </c>
      <c r="DX125" t="b">
        <f t="shared" si="235"/>
        <v>0</v>
      </c>
      <c r="DY125" t="b">
        <f t="shared" si="236"/>
        <v>0</v>
      </c>
      <c r="DZ125" t="b">
        <f t="shared" si="237"/>
        <v>0</v>
      </c>
      <c r="EA125" t="b">
        <f t="shared" si="238"/>
        <v>0</v>
      </c>
      <c r="EB125" t="b">
        <f t="shared" si="239"/>
        <v>0</v>
      </c>
      <c r="EC125" t="b">
        <f t="shared" si="240"/>
        <v>0</v>
      </c>
      <c r="ED125" t="b">
        <f t="shared" si="241"/>
        <v>0</v>
      </c>
      <c r="EE125" t="b">
        <f t="shared" si="242"/>
        <v>0</v>
      </c>
      <c r="EF125" t="b">
        <f t="shared" si="243"/>
        <v>0</v>
      </c>
      <c r="EG125" t="b">
        <f t="shared" si="244"/>
        <v>0</v>
      </c>
      <c r="EH125" t="b">
        <f t="shared" si="245"/>
        <v>0</v>
      </c>
      <c r="EI125" t="b">
        <f t="shared" si="246"/>
        <v>0</v>
      </c>
      <c r="EJ125" t="b">
        <f t="shared" si="247"/>
        <v>0</v>
      </c>
      <c r="EK125" t="b">
        <f t="shared" si="248"/>
        <v>0</v>
      </c>
    </row>
    <row r="126" spans="1:141">
      <c r="A126" t="s">
        <v>750</v>
      </c>
      <c r="B126" t="s">
        <v>751</v>
      </c>
      <c r="D126" s="1">
        <v>43472</v>
      </c>
      <c r="E126" s="2">
        <v>43481.907025462962</v>
      </c>
      <c r="F126" s="2">
        <v>43481.90996527778</v>
      </c>
      <c r="G126">
        <v>772904991</v>
      </c>
      <c r="H126" t="s">
        <v>752</v>
      </c>
      <c r="I126" s="10" t="s">
        <v>160</v>
      </c>
      <c r="J126" t="s">
        <v>147</v>
      </c>
      <c r="K126" s="8" t="b">
        <v>0</v>
      </c>
      <c r="L126" s="10" t="b">
        <v>0</v>
      </c>
      <c r="M126" s="12" t="b">
        <v>0</v>
      </c>
      <c r="N126" t="b">
        <v>0</v>
      </c>
      <c r="O126" t="b">
        <v>0</v>
      </c>
      <c r="P126" t="b">
        <v>0</v>
      </c>
      <c r="Q126">
        <f t="shared" si="125"/>
        <v>2</v>
      </c>
      <c r="R126">
        <f t="shared" si="126"/>
        <v>1</v>
      </c>
      <c r="S126" t="e">
        <f t="shared" ca="1" si="156"/>
        <v>#NAME?</v>
      </c>
      <c r="T126" t="e">
        <f t="shared" ca="1" si="127"/>
        <v>#NAME?</v>
      </c>
      <c r="U126" s="4">
        <f t="shared" si="128"/>
        <v>9.9070254629623378</v>
      </c>
      <c r="V126" s="4">
        <f t="shared" si="129"/>
        <v>0.33023418209874461</v>
      </c>
      <c r="W126" s="4">
        <f t="shared" si="130"/>
        <v>0</v>
      </c>
      <c r="X126" s="4">
        <f t="shared" si="131"/>
        <v>0</v>
      </c>
      <c r="Y126" s="4">
        <f t="shared" si="132"/>
        <v>0</v>
      </c>
      <c r="Z126" s="4">
        <f t="shared" si="133"/>
        <v>0</v>
      </c>
      <c r="AA126" s="4">
        <f t="shared" si="134"/>
        <v>0</v>
      </c>
      <c r="AB126" s="4">
        <f t="shared" si="135"/>
        <v>0</v>
      </c>
      <c r="AC126" s="4"/>
      <c r="AD126" s="4" t="b">
        <f t="shared" si="136"/>
        <v>0</v>
      </c>
      <c r="AE126" s="4" t="b">
        <f t="shared" si="137"/>
        <v>0</v>
      </c>
      <c r="AF126" s="4" t="b">
        <f t="shared" si="138"/>
        <v>0</v>
      </c>
      <c r="AG126" t="b">
        <f t="shared" si="139"/>
        <v>0</v>
      </c>
      <c r="AH126" t="b">
        <f t="shared" si="140"/>
        <v>0</v>
      </c>
      <c r="AI126" t="b">
        <f t="shared" si="141"/>
        <v>0</v>
      </c>
      <c r="AJ126" t="b">
        <f t="shared" si="142"/>
        <v>0</v>
      </c>
      <c r="AK126" t="b">
        <f t="shared" si="143"/>
        <v>0</v>
      </c>
      <c r="AL126" t="b">
        <f t="shared" si="144"/>
        <v>0</v>
      </c>
      <c r="AM126" t="b">
        <f t="shared" si="145"/>
        <v>0</v>
      </c>
      <c r="AN126" t="b">
        <f t="shared" si="146"/>
        <v>0</v>
      </c>
      <c r="AO126" t="b">
        <f t="shared" si="147"/>
        <v>0</v>
      </c>
      <c r="AP126" t="b">
        <f t="shared" si="148"/>
        <v>0</v>
      </c>
      <c r="AQ126" t="b">
        <f t="shared" si="149"/>
        <v>0</v>
      </c>
      <c r="AR126" t="b">
        <f t="shared" si="150"/>
        <v>0</v>
      </c>
      <c r="AS126" t="b">
        <f t="shared" si="151"/>
        <v>0</v>
      </c>
      <c r="AT126" t="b">
        <f t="shared" si="152"/>
        <v>0</v>
      </c>
      <c r="AU126" t="b">
        <f t="shared" si="153"/>
        <v>0</v>
      </c>
      <c r="AV126" t="b">
        <f t="shared" si="154"/>
        <v>0</v>
      </c>
      <c r="AW126" t="b">
        <f t="shared" si="155"/>
        <v>0</v>
      </c>
      <c r="AX126" t="b">
        <f t="shared" si="157"/>
        <v>0</v>
      </c>
      <c r="AY126" t="b">
        <f t="shared" si="158"/>
        <v>0</v>
      </c>
      <c r="AZ126" t="b">
        <f t="shared" si="159"/>
        <v>0</v>
      </c>
      <c r="BA126" t="b">
        <f t="shared" si="160"/>
        <v>0</v>
      </c>
      <c r="BB126" t="b">
        <f t="shared" si="161"/>
        <v>0</v>
      </c>
      <c r="BC126" t="b">
        <f t="shared" si="162"/>
        <v>0</v>
      </c>
      <c r="BD126" t="b">
        <f t="shared" si="163"/>
        <v>0</v>
      </c>
      <c r="BE126" t="b">
        <f t="shared" si="164"/>
        <v>0</v>
      </c>
      <c r="BF126" t="b">
        <f t="shared" si="165"/>
        <v>0</v>
      </c>
      <c r="BG126" t="b">
        <f t="shared" si="166"/>
        <v>0</v>
      </c>
      <c r="BH126" t="b">
        <f t="shared" si="167"/>
        <v>0</v>
      </c>
      <c r="BI126">
        <f t="shared" si="168"/>
        <v>1</v>
      </c>
      <c r="BJ126" t="b">
        <f t="shared" si="169"/>
        <v>0</v>
      </c>
      <c r="BK126" t="b">
        <f t="shared" si="170"/>
        <v>0</v>
      </c>
      <c r="BL126" t="b">
        <f t="shared" si="171"/>
        <v>0</v>
      </c>
      <c r="BM126" t="b">
        <f t="shared" si="172"/>
        <v>0</v>
      </c>
      <c r="BN126" t="b">
        <f t="shared" si="173"/>
        <v>0</v>
      </c>
      <c r="BO126" t="b">
        <f t="shared" si="174"/>
        <v>0</v>
      </c>
      <c r="BP126" t="b">
        <f t="shared" si="175"/>
        <v>0</v>
      </c>
      <c r="BQ126" t="b">
        <f t="shared" si="176"/>
        <v>0</v>
      </c>
      <c r="BR126" t="b">
        <f t="shared" si="177"/>
        <v>0</v>
      </c>
      <c r="BS126" t="b">
        <f t="shared" si="178"/>
        <v>0</v>
      </c>
      <c r="BT126" t="b">
        <f t="shared" si="179"/>
        <v>0</v>
      </c>
      <c r="BU126" t="b">
        <f t="shared" si="180"/>
        <v>0</v>
      </c>
      <c r="BV126" t="b">
        <f t="shared" si="181"/>
        <v>0</v>
      </c>
      <c r="BW126" t="b">
        <f t="shared" si="182"/>
        <v>0</v>
      </c>
      <c r="BX126" t="b">
        <f t="shared" si="183"/>
        <v>0</v>
      </c>
      <c r="BY126" t="b">
        <f t="shared" si="184"/>
        <v>0</v>
      </c>
      <c r="BZ126" t="b">
        <f t="shared" si="185"/>
        <v>0</v>
      </c>
      <c r="CA126" t="b">
        <f t="shared" si="186"/>
        <v>0</v>
      </c>
      <c r="CB126" t="b">
        <f t="shared" si="187"/>
        <v>0</v>
      </c>
      <c r="CC126" t="b">
        <f t="shared" si="188"/>
        <v>0</v>
      </c>
      <c r="CD126" t="b">
        <f t="shared" si="189"/>
        <v>0</v>
      </c>
      <c r="CE126" t="b">
        <f t="shared" si="190"/>
        <v>0</v>
      </c>
      <c r="CF126" t="b">
        <f t="shared" si="191"/>
        <v>0</v>
      </c>
      <c r="CG126" t="b">
        <f t="shared" si="192"/>
        <v>0</v>
      </c>
      <c r="CH126" t="b">
        <f t="shared" si="193"/>
        <v>0</v>
      </c>
      <c r="CI126" t="b">
        <f t="shared" si="194"/>
        <v>0</v>
      </c>
      <c r="CJ126" t="b">
        <f t="shared" si="195"/>
        <v>0</v>
      </c>
      <c r="CK126" t="b">
        <f t="shared" si="196"/>
        <v>0</v>
      </c>
      <c r="CL126" t="b">
        <f t="shared" si="197"/>
        <v>0</v>
      </c>
      <c r="CM126" t="b">
        <f t="shared" si="198"/>
        <v>0</v>
      </c>
      <c r="CN126" t="b">
        <f t="shared" si="199"/>
        <v>0</v>
      </c>
      <c r="CO126" t="b">
        <f t="shared" si="200"/>
        <v>0</v>
      </c>
      <c r="CP126" t="b">
        <f t="shared" si="201"/>
        <v>0</v>
      </c>
      <c r="CQ126" t="b">
        <f t="shared" si="202"/>
        <v>0</v>
      </c>
      <c r="CR126" t="b">
        <f t="shared" si="203"/>
        <v>0</v>
      </c>
      <c r="CS126" t="b">
        <f t="shared" si="204"/>
        <v>0</v>
      </c>
      <c r="CT126" t="b">
        <f t="shared" si="205"/>
        <v>0</v>
      </c>
      <c r="CU126" t="b">
        <f t="shared" si="206"/>
        <v>0</v>
      </c>
      <c r="CV126">
        <f t="shared" si="207"/>
        <v>1</v>
      </c>
      <c r="CW126" t="b">
        <f t="shared" si="208"/>
        <v>0</v>
      </c>
      <c r="CX126" t="b">
        <f t="shared" si="209"/>
        <v>0</v>
      </c>
      <c r="CY126" t="b">
        <f t="shared" si="210"/>
        <v>0</v>
      </c>
      <c r="CZ126" t="b">
        <f t="shared" si="211"/>
        <v>0</v>
      </c>
      <c r="DA126" t="b">
        <f t="shared" si="212"/>
        <v>0</v>
      </c>
      <c r="DB126" t="b">
        <f t="shared" si="213"/>
        <v>0</v>
      </c>
      <c r="DC126" t="b">
        <f t="shared" si="214"/>
        <v>0</v>
      </c>
      <c r="DD126" t="b">
        <f t="shared" si="215"/>
        <v>0</v>
      </c>
      <c r="DE126" t="b">
        <f t="shared" si="216"/>
        <v>0</v>
      </c>
      <c r="DF126" t="b">
        <f t="shared" si="217"/>
        <v>0</v>
      </c>
      <c r="DG126" t="b">
        <f t="shared" si="218"/>
        <v>0</v>
      </c>
      <c r="DH126" t="b">
        <f t="shared" si="219"/>
        <v>0</v>
      </c>
      <c r="DI126" t="b">
        <f t="shared" si="220"/>
        <v>0</v>
      </c>
      <c r="DJ126" t="b">
        <f t="shared" si="221"/>
        <v>0</v>
      </c>
      <c r="DK126" t="b">
        <f t="shared" si="222"/>
        <v>0</v>
      </c>
      <c r="DL126" t="b">
        <f t="shared" si="223"/>
        <v>0</v>
      </c>
      <c r="DM126" t="b">
        <f t="shared" si="224"/>
        <v>0</v>
      </c>
      <c r="DN126" t="b">
        <f t="shared" si="225"/>
        <v>0</v>
      </c>
      <c r="DO126" t="b">
        <f t="shared" si="226"/>
        <v>0</v>
      </c>
      <c r="DP126" t="b">
        <f t="shared" si="227"/>
        <v>0</v>
      </c>
      <c r="DQ126" t="b">
        <f t="shared" si="228"/>
        <v>0</v>
      </c>
      <c r="DR126" t="b">
        <f t="shared" si="229"/>
        <v>0</v>
      </c>
      <c r="DS126" t="b">
        <f t="shared" si="230"/>
        <v>0</v>
      </c>
      <c r="DT126" t="b">
        <f t="shared" si="231"/>
        <v>0</v>
      </c>
      <c r="DU126" t="b">
        <f t="shared" si="232"/>
        <v>0</v>
      </c>
      <c r="DV126" t="b">
        <f t="shared" si="233"/>
        <v>0</v>
      </c>
      <c r="DW126" t="b">
        <f t="shared" si="234"/>
        <v>0</v>
      </c>
      <c r="DX126" t="b">
        <f t="shared" si="235"/>
        <v>0</v>
      </c>
      <c r="DY126" t="b">
        <f t="shared" si="236"/>
        <v>0</v>
      </c>
      <c r="DZ126" t="b">
        <f t="shared" si="237"/>
        <v>0</v>
      </c>
      <c r="EA126" t="b">
        <f t="shared" si="238"/>
        <v>0</v>
      </c>
      <c r="EB126" t="b">
        <f t="shared" si="239"/>
        <v>0</v>
      </c>
      <c r="EC126" t="b">
        <f t="shared" si="240"/>
        <v>0</v>
      </c>
      <c r="ED126" t="b">
        <f t="shared" si="241"/>
        <v>0</v>
      </c>
      <c r="EE126" t="b">
        <f t="shared" si="242"/>
        <v>0</v>
      </c>
      <c r="EF126" t="b">
        <f t="shared" si="243"/>
        <v>0</v>
      </c>
      <c r="EG126" t="b">
        <f t="shared" si="244"/>
        <v>0</v>
      </c>
      <c r="EH126" t="b">
        <f t="shared" si="245"/>
        <v>0</v>
      </c>
      <c r="EI126" t="b">
        <f t="shared" si="246"/>
        <v>0</v>
      </c>
      <c r="EJ126" t="b">
        <f t="shared" si="247"/>
        <v>0</v>
      </c>
      <c r="EK126" t="b">
        <f t="shared" si="248"/>
        <v>0</v>
      </c>
    </row>
    <row r="127" spans="1:141">
      <c r="A127" t="s">
        <v>753</v>
      </c>
      <c r="B127" t="s">
        <v>753</v>
      </c>
      <c r="C127" t="s">
        <v>754</v>
      </c>
      <c r="D127" s="1">
        <v>42316</v>
      </c>
      <c r="E127" s="2">
        <v>42408.903969907406</v>
      </c>
      <c r="F127" s="2">
        <v>42408.903969907406</v>
      </c>
      <c r="G127">
        <v>616882</v>
      </c>
      <c r="H127" t="s">
        <v>755</v>
      </c>
      <c r="I127" s="10" t="s">
        <v>756</v>
      </c>
      <c r="J127" t="s">
        <v>757</v>
      </c>
      <c r="K127" s="8" t="b">
        <v>1</v>
      </c>
      <c r="L127" s="10" t="b">
        <v>0</v>
      </c>
      <c r="M127" s="12" t="b">
        <v>0</v>
      </c>
      <c r="N127" t="b">
        <v>0</v>
      </c>
      <c r="O127" t="b">
        <v>0</v>
      </c>
      <c r="P127" t="b">
        <v>0</v>
      </c>
      <c r="Q127">
        <f t="shared" si="125"/>
        <v>1</v>
      </c>
      <c r="R127">
        <f t="shared" si="126"/>
        <v>11</v>
      </c>
      <c r="S127" t="e">
        <f t="shared" ca="1" si="156"/>
        <v>#NAME?</v>
      </c>
      <c r="T127" t="e">
        <f t="shared" ca="1" si="127"/>
        <v>#NAME?</v>
      </c>
      <c r="U127" s="4">
        <f t="shared" si="128"/>
        <v>92.903969907405553</v>
      </c>
      <c r="V127" s="4">
        <f t="shared" si="129"/>
        <v>3.0967989969135186</v>
      </c>
      <c r="W127" s="4">
        <f t="shared" si="130"/>
        <v>1</v>
      </c>
      <c r="X127" s="4">
        <f t="shared" si="131"/>
        <v>0</v>
      </c>
      <c r="Y127" s="4">
        <f t="shared" si="132"/>
        <v>0</v>
      </c>
      <c r="Z127" s="4">
        <f t="shared" si="133"/>
        <v>0</v>
      </c>
      <c r="AA127" s="4">
        <f t="shared" si="134"/>
        <v>0</v>
      </c>
      <c r="AB127" s="4">
        <f t="shared" si="135"/>
        <v>0</v>
      </c>
      <c r="AC127" s="4"/>
      <c r="AD127" s="4" t="b">
        <f t="shared" si="136"/>
        <v>0</v>
      </c>
      <c r="AE127" s="4" t="b">
        <f t="shared" si="137"/>
        <v>0</v>
      </c>
      <c r="AF127" s="4" t="b">
        <f t="shared" si="138"/>
        <v>0</v>
      </c>
      <c r="AG127" t="b">
        <f t="shared" si="139"/>
        <v>0</v>
      </c>
      <c r="AH127" t="b">
        <f t="shared" si="140"/>
        <v>0</v>
      </c>
      <c r="AI127" t="b">
        <f t="shared" si="141"/>
        <v>0</v>
      </c>
      <c r="AJ127" t="b">
        <f t="shared" si="142"/>
        <v>0</v>
      </c>
      <c r="AK127" t="b">
        <f t="shared" si="143"/>
        <v>0</v>
      </c>
      <c r="AL127" t="b">
        <f t="shared" si="144"/>
        <v>0</v>
      </c>
      <c r="AM127" t="b">
        <f t="shared" si="145"/>
        <v>0</v>
      </c>
      <c r="AN127" t="b">
        <f t="shared" si="146"/>
        <v>0</v>
      </c>
      <c r="AO127" t="b">
        <f t="shared" si="147"/>
        <v>0</v>
      </c>
      <c r="AP127" t="b">
        <f t="shared" si="148"/>
        <v>0</v>
      </c>
      <c r="AQ127" t="b">
        <f t="shared" si="149"/>
        <v>0</v>
      </c>
      <c r="AR127" t="b">
        <f t="shared" si="150"/>
        <v>0</v>
      </c>
      <c r="AS127" t="b">
        <f t="shared" si="151"/>
        <v>0</v>
      </c>
      <c r="AT127" t="b">
        <f t="shared" si="152"/>
        <v>0</v>
      </c>
      <c r="AU127" t="b">
        <f t="shared" si="153"/>
        <v>0</v>
      </c>
      <c r="AV127" t="b">
        <f t="shared" si="154"/>
        <v>0</v>
      </c>
      <c r="AW127" t="b">
        <f t="shared" si="155"/>
        <v>0</v>
      </c>
      <c r="AX127" t="b">
        <f t="shared" si="157"/>
        <v>0</v>
      </c>
      <c r="AY127" t="b">
        <f t="shared" si="158"/>
        <v>0</v>
      </c>
      <c r="AZ127" t="b">
        <f t="shared" si="159"/>
        <v>0</v>
      </c>
      <c r="BA127" t="b">
        <f t="shared" si="160"/>
        <v>0</v>
      </c>
      <c r="BB127" t="b">
        <f t="shared" si="161"/>
        <v>0</v>
      </c>
      <c r="BC127" t="b">
        <f t="shared" si="162"/>
        <v>0</v>
      </c>
      <c r="BD127" t="b">
        <f t="shared" si="163"/>
        <v>0</v>
      </c>
      <c r="BE127" t="b">
        <f t="shared" si="164"/>
        <v>0</v>
      </c>
      <c r="BF127" t="b">
        <f t="shared" si="165"/>
        <v>0</v>
      </c>
      <c r="BG127" t="b">
        <f t="shared" si="166"/>
        <v>0</v>
      </c>
      <c r="BH127" t="b">
        <f t="shared" si="167"/>
        <v>0</v>
      </c>
      <c r="BI127">
        <f t="shared" si="168"/>
        <v>1</v>
      </c>
      <c r="BJ127" t="b">
        <f t="shared" si="169"/>
        <v>0</v>
      </c>
      <c r="BK127" t="b">
        <f t="shared" si="170"/>
        <v>0</v>
      </c>
      <c r="BL127" t="b">
        <f t="shared" si="171"/>
        <v>0</v>
      </c>
      <c r="BM127" t="b">
        <f t="shared" si="172"/>
        <v>0</v>
      </c>
      <c r="BN127" t="b">
        <f t="shared" si="173"/>
        <v>0</v>
      </c>
      <c r="BO127" t="b">
        <f t="shared" si="174"/>
        <v>0</v>
      </c>
      <c r="BP127" t="b">
        <f t="shared" si="175"/>
        <v>0</v>
      </c>
      <c r="BQ127" t="b">
        <f t="shared" si="176"/>
        <v>0</v>
      </c>
      <c r="BR127" t="b">
        <f t="shared" si="177"/>
        <v>0</v>
      </c>
      <c r="BS127" t="b">
        <f t="shared" si="178"/>
        <v>0</v>
      </c>
      <c r="BT127" t="b">
        <f t="shared" si="179"/>
        <v>0</v>
      </c>
      <c r="BU127" t="b">
        <f t="shared" si="180"/>
        <v>0</v>
      </c>
      <c r="BV127" t="b">
        <f t="shared" si="181"/>
        <v>0</v>
      </c>
      <c r="BW127" t="b">
        <f t="shared" si="182"/>
        <v>0</v>
      </c>
      <c r="BX127" t="b">
        <f t="shared" si="183"/>
        <v>0</v>
      </c>
      <c r="BY127" t="b">
        <f t="shared" si="184"/>
        <v>0</v>
      </c>
      <c r="BZ127" t="b">
        <f t="shared" si="185"/>
        <v>0</v>
      </c>
      <c r="CA127" t="b">
        <f t="shared" si="186"/>
        <v>0</v>
      </c>
      <c r="CB127" t="b">
        <f t="shared" si="187"/>
        <v>0</v>
      </c>
      <c r="CC127" t="b">
        <f t="shared" si="188"/>
        <v>0</v>
      </c>
      <c r="CD127" t="b">
        <f t="shared" si="189"/>
        <v>0</v>
      </c>
      <c r="CE127" t="b">
        <f t="shared" si="190"/>
        <v>0</v>
      </c>
      <c r="CF127" t="b">
        <f t="shared" si="191"/>
        <v>0</v>
      </c>
      <c r="CG127" t="b">
        <f t="shared" si="192"/>
        <v>0</v>
      </c>
      <c r="CH127" t="b">
        <f t="shared" si="193"/>
        <v>0</v>
      </c>
      <c r="CI127" t="b">
        <f t="shared" si="194"/>
        <v>0</v>
      </c>
      <c r="CJ127" t="b">
        <f t="shared" si="195"/>
        <v>0</v>
      </c>
      <c r="CK127" t="b">
        <f t="shared" si="196"/>
        <v>0</v>
      </c>
      <c r="CL127" t="b">
        <f t="shared" si="197"/>
        <v>0</v>
      </c>
      <c r="CM127" t="b">
        <f t="shared" si="198"/>
        <v>0</v>
      </c>
      <c r="CN127" t="b">
        <f t="shared" si="199"/>
        <v>0</v>
      </c>
      <c r="CO127" t="b">
        <f t="shared" si="200"/>
        <v>0</v>
      </c>
      <c r="CP127" t="b">
        <f t="shared" si="201"/>
        <v>0</v>
      </c>
      <c r="CQ127" t="b">
        <f t="shared" si="202"/>
        <v>0</v>
      </c>
      <c r="CR127" t="b">
        <f t="shared" si="203"/>
        <v>0</v>
      </c>
      <c r="CS127" t="b">
        <f t="shared" si="204"/>
        <v>0</v>
      </c>
      <c r="CT127" t="b">
        <f t="shared" si="205"/>
        <v>0</v>
      </c>
      <c r="CU127" t="b">
        <f t="shared" si="206"/>
        <v>0</v>
      </c>
      <c r="CV127">
        <f t="shared" si="207"/>
        <v>1</v>
      </c>
      <c r="CW127" t="b">
        <f t="shared" si="208"/>
        <v>0</v>
      </c>
      <c r="CX127" t="b">
        <f t="shared" si="209"/>
        <v>0</v>
      </c>
      <c r="CY127" t="b">
        <f t="shared" si="210"/>
        <v>0</v>
      </c>
      <c r="CZ127" t="b">
        <f t="shared" si="211"/>
        <v>0</v>
      </c>
      <c r="DA127" t="b">
        <f t="shared" si="212"/>
        <v>0</v>
      </c>
      <c r="DB127">
        <f t="shared" si="213"/>
        <v>1</v>
      </c>
      <c r="DC127" t="b">
        <f t="shared" si="214"/>
        <v>0</v>
      </c>
      <c r="DD127" t="b">
        <f t="shared" si="215"/>
        <v>0</v>
      </c>
      <c r="DE127" t="b">
        <f t="shared" si="216"/>
        <v>0</v>
      </c>
      <c r="DF127" t="b">
        <f t="shared" si="217"/>
        <v>0</v>
      </c>
      <c r="DG127" t="b">
        <f t="shared" si="218"/>
        <v>0</v>
      </c>
      <c r="DH127" t="b">
        <f t="shared" si="219"/>
        <v>0</v>
      </c>
      <c r="DI127" t="b">
        <f t="shared" si="220"/>
        <v>0</v>
      </c>
      <c r="DJ127" t="b">
        <f t="shared" si="221"/>
        <v>0</v>
      </c>
      <c r="DK127" t="b">
        <f t="shared" si="222"/>
        <v>0</v>
      </c>
      <c r="DL127" t="b">
        <f t="shared" si="223"/>
        <v>0</v>
      </c>
      <c r="DM127" t="b">
        <f t="shared" si="224"/>
        <v>0</v>
      </c>
      <c r="DN127" t="b">
        <f t="shared" si="225"/>
        <v>0</v>
      </c>
      <c r="DO127" t="b">
        <f t="shared" si="226"/>
        <v>0</v>
      </c>
      <c r="DP127" t="b">
        <f t="shared" si="227"/>
        <v>0</v>
      </c>
      <c r="DQ127" t="b">
        <f t="shared" si="228"/>
        <v>0</v>
      </c>
      <c r="DR127" t="b">
        <f t="shared" si="229"/>
        <v>0</v>
      </c>
      <c r="DS127" t="b">
        <f t="shared" si="230"/>
        <v>0</v>
      </c>
      <c r="DT127" t="b">
        <f t="shared" si="231"/>
        <v>0</v>
      </c>
      <c r="DU127" t="b">
        <f t="shared" si="232"/>
        <v>0</v>
      </c>
      <c r="DV127" t="b">
        <f t="shared" si="233"/>
        <v>0</v>
      </c>
      <c r="DW127" t="b">
        <f t="shared" si="234"/>
        <v>0</v>
      </c>
      <c r="DX127" t="b">
        <f t="shared" si="235"/>
        <v>0</v>
      </c>
      <c r="DY127" t="b">
        <f t="shared" si="236"/>
        <v>0</v>
      </c>
      <c r="DZ127" t="b">
        <f t="shared" si="237"/>
        <v>0</v>
      </c>
      <c r="EA127" t="b">
        <f t="shared" si="238"/>
        <v>0</v>
      </c>
      <c r="EB127" t="b">
        <f t="shared" si="239"/>
        <v>0</v>
      </c>
      <c r="EC127" t="b">
        <f t="shared" si="240"/>
        <v>0</v>
      </c>
      <c r="ED127" t="b">
        <f t="shared" si="241"/>
        <v>0</v>
      </c>
      <c r="EE127" t="b">
        <f t="shared" si="242"/>
        <v>0</v>
      </c>
      <c r="EF127" t="b">
        <f t="shared" si="243"/>
        <v>0</v>
      </c>
      <c r="EG127" t="b">
        <f t="shared" si="244"/>
        <v>0</v>
      </c>
      <c r="EH127" t="b">
        <f t="shared" si="245"/>
        <v>0</v>
      </c>
      <c r="EI127" t="b">
        <f t="shared" si="246"/>
        <v>0</v>
      </c>
      <c r="EJ127" t="b">
        <f t="shared" si="247"/>
        <v>0</v>
      </c>
      <c r="EK127" t="b">
        <f t="shared" si="248"/>
        <v>0</v>
      </c>
    </row>
    <row r="128" spans="1:141">
      <c r="A128" t="s">
        <v>758</v>
      </c>
      <c r="B128" t="s">
        <v>759</v>
      </c>
      <c r="C128" t="s">
        <v>760</v>
      </c>
      <c r="D128" s="1">
        <v>42456</v>
      </c>
      <c r="E128" s="2">
        <v>42474.100370370368</v>
      </c>
      <c r="F128" s="2">
        <v>42474.100370370368</v>
      </c>
      <c r="G128">
        <v>228605</v>
      </c>
      <c r="H128" t="s">
        <v>761</v>
      </c>
      <c r="I128" s="10" t="s">
        <v>762</v>
      </c>
      <c r="J128" t="s">
        <v>763</v>
      </c>
      <c r="K128" s="8" t="b">
        <v>1</v>
      </c>
      <c r="L128" s="10" t="b">
        <v>0</v>
      </c>
      <c r="M128" s="12" t="b">
        <v>0</v>
      </c>
      <c r="N128" t="b">
        <v>0</v>
      </c>
      <c r="O128" t="b">
        <v>0</v>
      </c>
      <c r="P128" t="b">
        <v>0</v>
      </c>
      <c r="Q128">
        <f t="shared" si="125"/>
        <v>1</v>
      </c>
      <c r="R128">
        <f t="shared" si="126"/>
        <v>3</v>
      </c>
      <c r="S128" t="e">
        <f t="shared" ca="1" si="156"/>
        <v>#NAME?</v>
      </c>
      <c r="T128" t="e">
        <f t="shared" ca="1" si="127"/>
        <v>#NAME?</v>
      </c>
      <c r="U128" s="4">
        <f t="shared" si="128"/>
        <v>18.100370370368182</v>
      </c>
      <c r="V128" s="4">
        <f t="shared" si="129"/>
        <v>0.60334567901227276</v>
      </c>
      <c r="W128" s="4">
        <f t="shared" si="130"/>
        <v>1</v>
      </c>
      <c r="X128" s="4">
        <f t="shared" si="131"/>
        <v>0</v>
      </c>
      <c r="Y128" s="4">
        <f t="shared" si="132"/>
        <v>0</v>
      </c>
      <c r="Z128" s="4">
        <f t="shared" si="133"/>
        <v>0</v>
      </c>
      <c r="AA128" s="4">
        <f t="shared" si="134"/>
        <v>0</v>
      </c>
      <c r="AB128" s="4">
        <f t="shared" si="135"/>
        <v>0</v>
      </c>
      <c r="AC128" s="4"/>
      <c r="AD128" s="4" t="b">
        <f t="shared" si="136"/>
        <v>0</v>
      </c>
      <c r="AE128" s="4" t="b">
        <f t="shared" si="137"/>
        <v>0</v>
      </c>
      <c r="AF128" s="4" t="b">
        <f t="shared" si="138"/>
        <v>0</v>
      </c>
      <c r="AG128" t="b">
        <f t="shared" si="139"/>
        <v>0</v>
      </c>
      <c r="AH128" t="b">
        <f t="shared" si="140"/>
        <v>0</v>
      </c>
      <c r="AI128" t="b">
        <f t="shared" si="141"/>
        <v>0</v>
      </c>
      <c r="AJ128" t="b">
        <f t="shared" si="142"/>
        <v>0</v>
      </c>
      <c r="AK128" t="b">
        <f t="shared" si="143"/>
        <v>0</v>
      </c>
      <c r="AL128" t="b">
        <f t="shared" si="144"/>
        <v>0</v>
      </c>
      <c r="AM128">
        <f t="shared" si="145"/>
        <v>1</v>
      </c>
      <c r="AN128" t="b">
        <f t="shared" si="146"/>
        <v>0</v>
      </c>
      <c r="AO128" t="b">
        <f t="shared" si="147"/>
        <v>0</v>
      </c>
      <c r="AP128" t="b">
        <f t="shared" si="148"/>
        <v>0</v>
      </c>
      <c r="AQ128" t="b">
        <f t="shared" si="149"/>
        <v>0</v>
      </c>
      <c r="AR128" t="b">
        <f t="shared" si="150"/>
        <v>0</v>
      </c>
      <c r="AS128" t="b">
        <f t="shared" si="151"/>
        <v>0</v>
      </c>
      <c r="AT128" t="b">
        <f t="shared" si="152"/>
        <v>0</v>
      </c>
      <c r="AU128" t="b">
        <f t="shared" si="153"/>
        <v>0</v>
      </c>
      <c r="AV128" t="b">
        <f t="shared" si="154"/>
        <v>0</v>
      </c>
      <c r="AW128" t="b">
        <f t="shared" si="155"/>
        <v>0</v>
      </c>
      <c r="AX128" t="b">
        <f t="shared" si="157"/>
        <v>0</v>
      </c>
      <c r="AY128" t="b">
        <f t="shared" si="158"/>
        <v>0</v>
      </c>
      <c r="AZ128">
        <f t="shared" si="159"/>
        <v>1</v>
      </c>
      <c r="BA128" t="b">
        <f t="shared" si="160"/>
        <v>0</v>
      </c>
      <c r="BB128" t="b">
        <f t="shared" si="161"/>
        <v>0</v>
      </c>
      <c r="BC128" t="b">
        <f t="shared" si="162"/>
        <v>0</v>
      </c>
      <c r="BD128" t="b">
        <f t="shared" si="163"/>
        <v>0</v>
      </c>
      <c r="BE128" t="b">
        <f t="shared" si="164"/>
        <v>0</v>
      </c>
      <c r="BF128" t="b">
        <f t="shared" si="165"/>
        <v>0</v>
      </c>
      <c r="BG128" t="b">
        <f t="shared" si="166"/>
        <v>0</v>
      </c>
      <c r="BH128" t="b">
        <f t="shared" si="167"/>
        <v>0</v>
      </c>
      <c r="BI128">
        <f t="shared" si="168"/>
        <v>1</v>
      </c>
      <c r="BJ128" t="b">
        <f t="shared" si="169"/>
        <v>0</v>
      </c>
      <c r="BK128" t="b">
        <f t="shared" si="170"/>
        <v>0</v>
      </c>
      <c r="BL128" t="b">
        <f t="shared" si="171"/>
        <v>0</v>
      </c>
      <c r="BM128" t="b">
        <f t="shared" si="172"/>
        <v>0</v>
      </c>
      <c r="BN128" t="b">
        <f t="shared" si="173"/>
        <v>0</v>
      </c>
      <c r="BO128" t="b">
        <f t="shared" si="174"/>
        <v>0</v>
      </c>
      <c r="BP128" t="b">
        <f t="shared" si="175"/>
        <v>0</v>
      </c>
      <c r="BQ128" t="b">
        <f t="shared" si="176"/>
        <v>0</v>
      </c>
      <c r="BR128">
        <f t="shared" si="177"/>
        <v>1</v>
      </c>
      <c r="BS128" t="b">
        <f t="shared" si="178"/>
        <v>0</v>
      </c>
      <c r="BT128" t="b">
        <f t="shared" si="179"/>
        <v>0</v>
      </c>
      <c r="BU128" t="b">
        <f t="shared" si="180"/>
        <v>0</v>
      </c>
      <c r="BV128" t="b">
        <f t="shared" si="181"/>
        <v>0</v>
      </c>
      <c r="BW128" t="b">
        <f t="shared" si="182"/>
        <v>0</v>
      </c>
      <c r="BX128" t="b">
        <f t="shared" si="183"/>
        <v>0</v>
      </c>
      <c r="BY128" t="b">
        <f t="shared" si="184"/>
        <v>0</v>
      </c>
      <c r="BZ128" t="b">
        <f t="shared" si="185"/>
        <v>0</v>
      </c>
      <c r="CA128" t="b">
        <f t="shared" si="186"/>
        <v>0</v>
      </c>
      <c r="CB128" t="b">
        <f t="shared" si="187"/>
        <v>0</v>
      </c>
      <c r="CC128" t="b">
        <f t="shared" si="188"/>
        <v>0</v>
      </c>
      <c r="CD128" t="b">
        <f t="shared" si="189"/>
        <v>0</v>
      </c>
      <c r="CE128" t="b">
        <f t="shared" si="190"/>
        <v>0</v>
      </c>
      <c r="CF128" t="b">
        <f t="shared" si="191"/>
        <v>0</v>
      </c>
      <c r="CG128" t="b">
        <f t="shared" si="192"/>
        <v>0</v>
      </c>
      <c r="CH128" t="b">
        <f t="shared" si="193"/>
        <v>0</v>
      </c>
      <c r="CI128" t="b">
        <f t="shared" si="194"/>
        <v>0</v>
      </c>
      <c r="CJ128" t="b">
        <f t="shared" si="195"/>
        <v>0</v>
      </c>
      <c r="CK128">
        <f t="shared" si="196"/>
        <v>1</v>
      </c>
      <c r="CL128" t="b">
        <f t="shared" si="197"/>
        <v>0</v>
      </c>
      <c r="CM128">
        <f t="shared" si="198"/>
        <v>1</v>
      </c>
      <c r="CN128" t="b">
        <f t="shared" si="199"/>
        <v>0</v>
      </c>
      <c r="CO128" t="b">
        <f t="shared" si="200"/>
        <v>0</v>
      </c>
      <c r="CP128" t="b">
        <f t="shared" si="201"/>
        <v>0</v>
      </c>
      <c r="CQ128" t="b">
        <f t="shared" si="202"/>
        <v>0</v>
      </c>
      <c r="CR128" t="b">
        <f t="shared" si="203"/>
        <v>0</v>
      </c>
      <c r="CS128" t="b">
        <f t="shared" si="204"/>
        <v>0</v>
      </c>
      <c r="CT128" t="b">
        <f t="shared" si="205"/>
        <v>0</v>
      </c>
      <c r="CU128">
        <f t="shared" si="206"/>
        <v>1</v>
      </c>
      <c r="CV128" t="b">
        <f t="shared" si="207"/>
        <v>0</v>
      </c>
      <c r="CW128" t="b">
        <f t="shared" si="208"/>
        <v>0</v>
      </c>
      <c r="CX128" t="b">
        <f t="shared" si="209"/>
        <v>0</v>
      </c>
      <c r="CY128" t="b">
        <f t="shared" si="210"/>
        <v>0</v>
      </c>
      <c r="CZ128" t="b">
        <f t="shared" si="211"/>
        <v>0</v>
      </c>
      <c r="DA128">
        <f t="shared" si="212"/>
        <v>1</v>
      </c>
      <c r="DB128">
        <f t="shared" si="213"/>
        <v>1</v>
      </c>
      <c r="DC128">
        <f t="shared" si="214"/>
        <v>1</v>
      </c>
      <c r="DD128" t="b">
        <f t="shared" si="215"/>
        <v>0</v>
      </c>
      <c r="DE128" t="b">
        <f t="shared" si="216"/>
        <v>0</v>
      </c>
      <c r="DF128" t="b">
        <f t="shared" si="217"/>
        <v>0</v>
      </c>
      <c r="DG128" t="b">
        <f t="shared" si="218"/>
        <v>0</v>
      </c>
      <c r="DH128" t="b">
        <f t="shared" si="219"/>
        <v>0</v>
      </c>
      <c r="DI128" t="b">
        <f t="shared" si="220"/>
        <v>0</v>
      </c>
      <c r="DJ128" t="b">
        <f t="shared" si="221"/>
        <v>0</v>
      </c>
      <c r="DK128" t="b">
        <f t="shared" si="222"/>
        <v>0</v>
      </c>
      <c r="DL128" t="b">
        <f t="shared" si="223"/>
        <v>0</v>
      </c>
      <c r="DM128" t="b">
        <f t="shared" si="224"/>
        <v>0</v>
      </c>
      <c r="DN128" t="b">
        <f t="shared" si="225"/>
        <v>0</v>
      </c>
      <c r="DO128" t="b">
        <f t="shared" si="226"/>
        <v>0</v>
      </c>
      <c r="DP128" t="b">
        <f t="shared" si="227"/>
        <v>0</v>
      </c>
      <c r="DQ128" t="b">
        <f t="shared" si="228"/>
        <v>0</v>
      </c>
      <c r="DR128" t="b">
        <f t="shared" si="229"/>
        <v>0</v>
      </c>
      <c r="DS128" t="b">
        <f t="shared" si="230"/>
        <v>0</v>
      </c>
      <c r="DT128" t="b">
        <f t="shared" si="231"/>
        <v>0</v>
      </c>
      <c r="DU128" t="b">
        <f t="shared" si="232"/>
        <v>0</v>
      </c>
      <c r="DV128" t="b">
        <f t="shared" si="233"/>
        <v>0</v>
      </c>
      <c r="DW128" t="b">
        <f t="shared" si="234"/>
        <v>0</v>
      </c>
      <c r="DX128" t="b">
        <f t="shared" si="235"/>
        <v>0</v>
      </c>
      <c r="DY128" t="b">
        <f t="shared" si="236"/>
        <v>0</v>
      </c>
      <c r="DZ128" t="b">
        <f t="shared" si="237"/>
        <v>0</v>
      </c>
      <c r="EA128" t="b">
        <f t="shared" si="238"/>
        <v>0</v>
      </c>
      <c r="EB128" t="b">
        <f t="shared" si="239"/>
        <v>0</v>
      </c>
      <c r="EC128" t="b">
        <f t="shared" si="240"/>
        <v>0</v>
      </c>
      <c r="ED128" t="b">
        <f t="shared" si="241"/>
        <v>0</v>
      </c>
      <c r="EE128" t="b">
        <f t="shared" si="242"/>
        <v>0</v>
      </c>
      <c r="EF128" t="b">
        <f t="shared" si="243"/>
        <v>0</v>
      </c>
      <c r="EG128" t="b">
        <f t="shared" si="244"/>
        <v>0</v>
      </c>
      <c r="EH128" t="b">
        <f t="shared" si="245"/>
        <v>0</v>
      </c>
      <c r="EI128" t="b">
        <f t="shared" si="246"/>
        <v>0</v>
      </c>
      <c r="EJ128" t="b">
        <f t="shared" si="247"/>
        <v>0</v>
      </c>
      <c r="EK128" t="b">
        <f t="shared" si="248"/>
        <v>0</v>
      </c>
    </row>
    <row r="129" spans="1:141">
      <c r="A129" t="s">
        <v>764</v>
      </c>
      <c r="B129" t="s">
        <v>765</v>
      </c>
      <c r="D129" s="1">
        <v>41678</v>
      </c>
      <c r="E129" s="2">
        <v>43048.990879629629</v>
      </c>
      <c r="F129" s="2">
        <v>44033.364861111113</v>
      </c>
      <c r="G129">
        <v>11010525</v>
      </c>
      <c r="H129" t="s">
        <v>766</v>
      </c>
      <c r="I129" s="10" t="s">
        <v>767</v>
      </c>
      <c r="J129" t="s">
        <v>147</v>
      </c>
      <c r="K129" s="8" t="b">
        <v>0</v>
      </c>
      <c r="L129" s="10" t="b">
        <v>0</v>
      </c>
      <c r="M129" s="12" t="b">
        <v>0</v>
      </c>
      <c r="N129" t="b">
        <v>0</v>
      </c>
      <c r="O129" t="b">
        <v>0</v>
      </c>
      <c r="P129" t="b">
        <v>0</v>
      </c>
      <c r="Q129">
        <f t="shared" si="125"/>
        <v>7</v>
      </c>
      <c r="R129">
        <f t="shared" si="126"/>
        <v>2</v>
      </c>
      <c r="S129" t="e">
        <f t="shared" ca="1" si="156"/>
        <v>#NAME?</v>
      </c>
      <c r="T129" t="e">
        <f t="shared" ca="1" si="127"/>
        <v>#NAME?</v>
      </c>
      <c r="U129" s="4">
        <f t="shared" si="128"/>
        <v>1370.9908796296295</v>
      </c>
      <c r="V129" s="4">
        <f t="shared" si="129"/>
        <v>45.699695987654316</v>
      </c>
      <c r="W129" s="4">
        <f t="shared" si="130"/>
        <v>0</v>
      </c>
      <c r="X129" s="4">
        <f t="shared" si="131"/>
        <v>0</v>
      </c>
      <c r="Y129" s="4">
        <f t="shared" si="132"/>
        <v>0</v>
      </c>
      <c r="Z129" s="4">
        <f t="shared" si="133"/>
        <v>0</v>
      </c>
      <c r="AA129" s="4">
        <f t="shared" si="134"/>
        <v>0</v>
      </c>
      <c r="AB129" s="4">
        <f t="shared" si="135"/>
        <v>0</v>
      </c>
      <c r="AC129" s="4"/>
      <c r="AD129" s="4" t="b">
        <f t="shared" si="136"/>
        <v>0</v>
      </c>
      <c r="AE129" s="4" t="b">
        <f t="shared" si="137"/>
        <v>0</v>
      </c>
      <c r="AF129" s="4" t="b">
        <f t="shared" si="138"/>
        <v>0</v>
      </c>
      <c r="AG129" t="b">
        <f t="shared" si="139"/>
        <v>0</v>
      </c>
      <c r="AH129" t="b">
        <f t="shared" si="140"/>
        <v>0</v>
      </c>
      <c r="AI129" t="b">
        <f t="shared" si="141"/>
        <v>0</v>
      </c>
      <c r="AJ129" t="b">
        <f t="shared" si="142"/>
        <v>0</v>
      </c>
      <c r="AK129" t="b">
        <f t="shared" si="143"/>
        <v>0</v>
      </c>
      <c r="AL129" t="b">
        <f t="shared" si="144"/>
        <v>0</v>
      </c>
      <c r="AM129" t="b">
        <f t="shared" si="145"/>
        <v>0</v>
      </c>
      <c r="AN129" t="b">
        <f t="shared" si="146"/>
        <v>0</v>
      </c>
      <c r="AO129" t="b">
        <f t="shared" si="147"/>
        <v>0</v>
      </c>
      <c r="AP129" t="b">
        <f t="shared" si="148"/>
        <v>0</v>
      </c>
      <c r="AQ129" t="b">
        <f t="shared" si="149"/>
        <v>0</v>
      </c>
      <c r="AR129" t="b">
        <f t="shared" si="150"/>
        <v>0</v>
      </c>
      <c r="AS129" t="b">
        <f t="shared" si="151"/>
        <v>0</v>
      </c>
      <c r="AT129" t="b">
        <f t="shared" si="152"/>
        <v>0</v>
      </c>
      <c r="AU129" t="b">
        <f t="shared" si="153"/>
        <v>0</v>
      </c>
      <c r="AV129" t="b">
        <f t="shared" si="154"/>
        <v>0</v>
      </c>
      <c r="AW129" t="b">
        <f t="shared" si="155"/>
        <v>0</v>
      </c>
      <c r="AX129" t="b">
        <f t="shared" si="157"/>
        <v>0</v>
      </c>
      <c r="AY129" t="b">
        <f t="shared" si="158"/>
        <v>0</v>
      </c>
      <c r="AZ129" t="b">
        <f t="shared" si="159"/>
        <v>0</v>
      </c>
      <c r="BA129" t="b">
        <f t="shared" si="160"/>
        <v>0</v>
      </c>
      <c r="BB129" t="b">
        <f t="shared" si="161"/>
        <v>0</v>
      </c>
      <c r="BC129" t="b">
        <f t="shared" si="162"/>
        <v>0</v>
      </c>
      <c r="BD129" t="b">
        <f t="shared" si="163"/>
        <v>0</v>
      </c>
      <c r="BE129" t="b">
        <f t="shared" si="164"/>
        <v>0</v>
      </c>
      <c r="BF129" t="b">
        <f t="shared" si="165"/>
        <v>0</v>
      </c>
      <c r="BG129" t="b">
        <f t="shared" si="166"/>
        <v>0</v>
      </c>
      <c r="BH129" t="b">
        <f t="shared" si="167"/>
        <v>0</v>
      </c>
      <c r="BI129">
        <f t="shared" si="168"/>
        <v>1</v>
      </c>
      <c r="BJ129" t="b">
        <f t="shared" si="169"/>
        <v>0</v>
      </c>
      <c r="BK129" t="b">
        <f t="shared" si="170"/>
        <v>0</v>
      </c>
      <c r="BL129" t="b">
        <f t="shared" si="171"/>
        <v>0</v>
      </c>
      <c r="BM129" t="b">
        <f t="shared" si="172"/>
        <v>0</v>
      </c>
      <c r="BN129" t="b">
        <f t="shared" si="173"/>
        <v>0</v>
      </c>
      <c r="BO129" t="b">
        <f t="shared" si="174"/>
        <v>0</v>
      </c>
      <c r="BP129" t="b">
        <f t="shared" si="175"/>
        <v>0</v>
      </c>
      <c r="BQ129" t="b">
        <f t="shared" si="176"/>
        <v>0</v>
      </c>
      <c r="BR129" t="b">
        <f t="shared" si="177"/>
        <v>0</v>
      </c>
      <c r="BS129" t="b">
        <f t="shared" si="178"/>
        <v>0</v>
      </c>
      <c r="BT129" t="b">
        <f t="shared" si="179"/>
        <v>0</v>
      </c>
      <c r="BU129" t="b">
        <f t="shared" si="180"/>
        <v>0</v>
      </c>
      <c r="BV129" t="b">
        <f t="shared" si="181"/>
        <v>0</v>
      </c>
      <c r="BW129" t="b">
        <f t="shared" si="182"/>
        <v>0</v>
      </c>
      <c r="BX129" t="b">
        <f t="shared" si="183"/>
        <v>0</v>
      </c>
      <c r="BY129" t="b">
        <f t="shared" si="184"/>
        <v>0</v>
      </c>
      <c r="BZ129" t="b">
        <f t="shared" si="185"/>
        <v>0</v>
      </c>
      <c r="CA129" t="b">
        <f t="shared" si="186"/>
        <v>0</v>
      </c>
      <c r="CB129" t="b">
        <f t="shared" si="187"/>
        <v>0</v>
      </c>
      <c r="CC129" t="b">
        <f t="shared" si="188"/>
        <v>0</v>
      </c>
      <c r="CD129" t="b">
        <f t="shared" si="189"/>
        <v>0</v>
      </c>
      <c r="CE129" t="b">
        <f t="shared" si="190"/>
        <v>0</v>
      </c>
      <c r="CF129" t="b">
        <f t="shared" si="191"/>
        <v>0</v>
      </c>
      <c r="CG129" t="b">
        <f t="shared" si="192"/>
        <v>0</v>
      </c>
      <c r="CH129" t="b">
        <f t="shared" si="193"/>
        <v>0</v>
      </c>
      <c r="CI129" t="b">
        <f t="shared" si="194"/>
        <v>0</v>
      </c>
      <c r="CJ129" t="b">
        <f t="shared" si="195"/>
        <v>0</v>
      </c>
      <c r="CK129" t="b">
        <f t="shared" si="196"/>
        <v>0</v>
      </c>
      <c r="CL129" t="b">
        <f t="shared" si="197"/>
        <v>0</v>
      </c>
      <c r="CM129" t="b">
        <f t="shared" si="198"/>
        <v>0</v>
      </c>
      <c r="CN129" t="b">
        <f t="shared" si="199"/>
        <v>0</v>
      </c>
      <c r="CO129" t="b">
        <f t="shared" si="200"/>
        <v>0</v>
      </c>
      <c r="CP129" t="b">
        <f t="shared" si="201"/>
        <v>0</v>
      </c>
      <c r="CQ129" t="b">
        <f t="shared" si="202"/>
        <v>0</v>
      </c>
      <c r="CR129" t="b">
        <f t="shared" si="203"/>
        <v>0</v>
      </c>
      <c r="CS129" t="b">
        <f t="shared" si="204"/>
        <v>0</v>
      </c>
      <c r="CT129" t="b">
        <f t="shared" si="205"/>
        <v>0</v>
      </c>
      <c r="CU129" t="b">
        <f t="shared" si="206"/>
        <v>0</v>
      </c>
      <c r="CV129">
        <f t="shared" si="207"/>
        <v>1</v>
      </c>
      <c r="CW129" t="b">
        <f t="shared" si="208"/>
        <v>0</v>
      </c>
      <c r="CX129" t="b">
        <f t="shared" si="209"/>
        <v>0</v>
      </c>
      <c r="CY129" t="b">
        <f t="shared" si="210"/>
        <v>0</v>
      </c>
      <c r="CZ129" t="b">
        <f t="shared" si="211"/>
        <v>0</v>
      </c>
      <c r="DA129" t="b">
        <f t="shared" si="212"/>
        <v>0</v>
      </c>
      <c r="DB129" t="b">
        <f t="shared" si="213"/>
        <v>0</v>
      </c>
      <c r="DC129" t="b">
        <f t="shared" si="214"/>
        <v>0</v>
      </c>
      <c r="DD129" t="b">
        <f t="shared" si="215"/>
        <v>0</v>
      </c>
      <c r="DE129" t="b">
        <f t="shared" si="216"/>
        <v>0</v>
      </c>
      <c r="DF129" t="b">
        <f t="shared" si="217"/>
        <v>0</v>
      </c>
      <c r="DG129" t="b">
        <f t="shared" si="218"/>
        <v>0</v>
      </c>
      <c r="DH129" t="b">
        <f t="shared" si="219"/>
        <v>0</v>
      </c>
      <c r="DI129" t="b">
        <f t="shared" si="220"/>
        <v>0</v>
      </c>
      <c r="DJ129" t="b">
        <f t="shared" si="221"/>
        <v>0</v>
      </c>
      <c r="DK129" t="b">
        <f t="shared" si="222"/>
        <v>0</v>
      </c>
      <c r="DL129" t="b">
        <f t="shared" si="223"/>
        <v>0</v>
      </c>
      <c r="DM129" t="b">
        <f t="shared" si="224"/>
        <v>0</v>
      </c>
      <c r="DN129" t="b">
        <f t="shared" si="225"/>
        <v>0</v>
      </c>
      <c r="DO129" t="b">
        <f t="shared" si="226"/>
        <v>0</v>
      </c>
      <c r="DP129" t="b">
        <f t="shared" si="227"/>
        <v>0</v>
      </c>
      <c r="DQ129" t="b">
        <f t="shared" si="228"/>
        <v>0</v>
      </c>
      <c r="DR129" t="b">
        <f t="shared" si="229"/>
        <v>0</v>
      </c>
      <c r="DS129" t="b">
        <f t="shared" si="230"/>
        <v>0</v>
      </c>
      <c r="DT129" t="b">
        <f t="shared" si="231"/>
        <v>0</v>
      </c>
      <c r="DU129" t="b">
        <f t="shared" si="232"/>
        <v>0</v>
      </c>
      <c r="DV129" t="b">
        <f t="shared" si="233"/>
        <v>0</v>
      </c>
      <c r="DW129" t="b">
        <f t="shared" si="234"/>
        <v>0</v>
      </c>
      <c r="DX129" t="b">
        <f t="shared" si="235"/>
        <v>0</v>
      </c>
      <c r="DY129" t="b">
        <f t="shared" si="236"/>
        <v>0</v>
      </c>
      <c r="DZ129" t="b">
        <f t="shared" si="237"/>
        <v>0</v>
      </c>
      <c r="EA129" t="b">
        <f t="shared" si="238"/>
        <v>0</v>
      </c>
      <c r="EB129" t="b">
        <f t="shared" si="239"/>
        <v>0</v>
      </c>
      <c r="EC129" t="b">
        <f t="shared" si="240"/>
        <v>0</v>
      </c>
      <c r="ED129" t="b">
        <f t="shared" si="241"/>
        <v>0</v>
      </c>
      <c r="EE129" t="b">
        <f t="shared" si="242"/>
        <v>0</v>
      </c>
      <c r="EF129" t="b">
        <f t="shared" si="243"/>
        <v>0</v>
      </c>
      <c r="EG129" t="b">
        <f t="shared" si="244"/>
        <v>0</v>
      </c>
      <c r="EH129" t="b">
        <f t="shared" si="245"/>
        <v>0</v>
      </c>
      <c r="EI129" t="b">
        <f t="shared" si="246"/>
        <v>0</v>
      </c>
      <c r="EJ129" t="b">
        <f t="shared" si="247"/>
        <v>0</v>
      </c>
      <c r="EK129" t="b">
        <f t="shared" si="248"/>
        <v>0</v>
      </c>
    </row>
    <row r="130" spans="1:141">
      <c r="A130" t="s">
        <v>768</v>
      </c>
      <c r="B130" t="s">
        <v>769</v>
      </c>
      <c r="C130" t="s">
        <v>770</v>
      </c>
      <c r="D130" s="1">
        <v>43881</v>
      </c>
      <c r="E130" s="2">
        <v>43966.337627314817</v>
      </c>
      <c r="F130" s="2">
        <v>43970.850902777776</v>
      </c>
      <c r="G130">
        <v>22802117</v>
      </c>
      <c r="H130" t="s">
        <v>771</v>
      </c>
      <c r="I130" s="10" t="s">
        <v>772</v>
      </c>
      <c r="J130" t="s">
        <v>773</v>
      </c>
      <c r="K130" s="8" t="b">
        <v>1</v>
      </c>
      <c r="L130" s="10" t="b">
        <v>0</v>
      </c>
      <c r="M130" s="12" t="b">
        <v>0</v>
      </c>
      <c r="N130" t="b">
        <v>0</v>
      </c>
      <c r="O130" t="b">
        <v>0</v>
      </c>
      <c r="P130" t="b">
        <v>0</v>
      </c>
      <c r="Q130">
        <f t="shared" ref="Q130:Q193" si="249">WEEKDAY(D130)</f>
        <v>5</v>
      </c>
      <c r="R130">
        <f t="shared" ref="R130:R193" si="250">MONTH(D130)</f>
        <v>2</v>
      </c>
      <c r="S130" t="e">
        <f t="shared" ca="1" si="156"/>
        <v>#NAME?</v>
      </c>
      <c r="T130" t="e">
        <f t="shared" ref="T130:T193" ca="1" si="251">WhoIsName(C130)</f>
        <v>#NAME?</v>
      </c>
      <c r="U130" s="4">
        <f t="shared" ref="U130:U193" si="252">E130-D130</f>
        <v>85.337627314816928</v>
      </c>
      <c r="V130" s="4">
        <f t="shared" ref="V130:V193" si="253">U130/30</f>
        <v>2.8445875771605644</v>
      </c>
      <c r="W130" s="4">
        <f t="shared" ref="W130:W193" si="254">IF(K130=TRUE,1,0)</f>
        <v>1</v>
      </c>
      <c r="X130" s="4">
        <f t="shared" ref="X130:X193" si="255">IF(L130=TRUE,1,0)</f>
        <v>0</v>
      </c>
      <c r="Y130" s="4">
        <f t="shared" ref="Y130:Y193" si="256">IF(M130=TRUE,1,0)</f>
        <v>0</v>
      </c>
      <c r="Z130" s="4">
        <f t="shared" ref="Z130:Z193" si="257">IF(N130=TRUE,1,0)</f>
        <v>0</v>
      </c>
      <c r="AA130" s="4">
        <f t="shared" ref="AA130:AA193" si="258">IF(O130=TRUE,1,0)</f>
        <v>0</v>
      </c>
      <c r="AB130" s="4">
        <f t="shared" ref="AB130:AB193" si="259">IF(P130=TRUE,1,0)</f>
        <v>0</v>
      </c>
      <c r="AC130" s="4"/>
      <c r="AD130" s="4" t="b">
        <f t="shared" ref="AD130:AD193" si="260">IFERROR(IF(SEARCH("'Account balances'",J130),1,0),FALSE)</f>
        <v>0</v>
      </c>
      <c r="AE130" s="4" t="b">
        <f t="shared" ref="AE130:AE193" si="261">IFERROR(IF(SEARCH( "'Address book contacts'", J130),1,0),FALSE)</f>
        <v>0</v>
      </c>
      <c r="AF130" s="4" t="b">
        <f t="shared" ref="AF130:AF193" si="262">IFERROR(IF(SEARCH( "'Age groups'", J130),1,0),FALSE)</f>
        <v>0</v>
      </c>
      <c r="AG130" t="b">
        <f t="shared" ref="AG130:AG193" si="263">IFERROR(IF(SEARCH( "'Apps installed on devices'", J130),1,0),FALSE)</f>
        <v>0</v>
      </c>
      <c r="AH130" t="b">
        <f t="shared" ref="AH130:AH193" si="264">IFERROR(IF(SEARCH( "'Astrological signs'", J130),1,0),FALSE)</f>
        <v>0</v>
      </c>
      <c r="AI130" t="b">
        <f t="shared" ref="AI130:AI193" si="265">IFERROR(IF(SEARCH( "'Auth tokens'", J130),1,0),FALSE)</f>
        <v>0</v>
      </c>
      <c r="AJ130" t="b">
        <f t="shared" ref="AJ130:AJ193" si="266">IFERROR(IF(SEARCH( "'Avatars'", J130),1,0),FALSE)</f>
        <v>0</v>
      </c>
      <c r="AK130" t="b">
        <f t="shared" ref="AK130:AK193" si="267">IFERROR(IF(SEARCH( "'Bank account numbers'", J130),1,0),FALSE)</f>
        <v>0</v>
      </c>
      <c r="AL130" t="b">
        <f t="shared" ref="AL130:AL193" si="268">IFERROR(IF(SEARCH( "'Beauty ratings'", J130),1,0),FALSE)</f>
        <v>0</v>
      </c>
      <c r="AM130" t="b">
        <f t="shared" ref="AM130:AM193" si="269">IFERROR(IF(SEARCH( "'Biometric data'", J130),1,0),FALSE)</f>
        <v>0</v>
      </c>
      <c r="AN130" t="b">
        <f t="shared" ref="AN130:AN193" si="270">IFERROR(IF(SEARCH( "'Bios'", J130),1,0),FALSE)</f>
        <v>0</v>
      </c>
      <c r="AO130" t="b">
        <f t="shared" ref="AO130:AO193" si="271">IFERROR(IF(SEARCH( "'Browser user agent details' ", J130),1,0),FALSE)</f>
        <v>0</v>
      </c>
      <c r="AP130" t="b">
        <f t="shared" ref="AP130:AP193" si="272">IFERROR(IF(SEARCH( "'Buying preferences'", J130),1,0),FALSE)</f>
        <v>0</v>
      </c>
      <c r="AQ130" t="b">
        <f t="shared" ref="AQ130:AQ193" si="273">IFERROR(IF(SEARCH( "'Car ownership statuses'", J130),1,0),FALSE)</f>
        <v>0</v>
      </c>
      <c r="AR130" t="b">
        <f t="shared" ref="AR130:AR193" si="274">IFERROR(IF(SEARCH( "'Cellular network names'", J130),1,0),FALSE)</f>
        <v>0</v>
      </c>
      <c r="AS130" t="b">
        <f t="shared" ref="AS130:AS193" si="275">IFERROR(IF(SEARCH( "'Charitable donations'", J130),1,0),FALSE)</f>
        <v>0</v>
      </c>
      <c r="AT130" t="b">
        <f t="shared" ref="AT130:AT193" si="276">IFERROR(IF(SEARCH( "'Chat logs'", J130),1,0),FALSE)</f>
        <v>0</v>
      </c>
      <c r="AU130" t="b">
        <f t="shared" ref="AU130:AU193" si="277">IFERROR(IF(SEARCH( "'Credit card CVV'", J130),1,0),FALSE)</f>
        <v>0</v>
      </c>
      <c r="AV130" t="b">
        <f t="shared" ref="AV130:AV193" si="278">IFERROR(IF(SEARCH( "'Credit cards'", J130),1,0),FALSE)</f>
        <v>0</v>
      </c>
      <c r="AW130" t="b">
        <f t="shared" ref="AW130:AW193" si="279">IFERROR(IF(SEARCH( "'Credit status information'", J130),1,0),FALSE)</f>
        <v>0</v>
      </c>
      <c r="AX130" t="b">
        <f t="shared" si="157"/>
        <v>0</v>
      </c>
      <c r="AY130" t="b">
        <f t="shared" si="158"/>
        <v>0</v>
      </c>
      <c r="AZ130" t="b">
        <f t="shared" si="159"/>
        <v>0</v>
      </c>
      <c r="BA130" t="b">
        <f t="shared" si="160"/>
        <v>0</v>
      </c>
      <c r="BB130" t="b">
        <f t="shared" si="161"/>
        <v>0</v>
      </c>
      <c r="BC130" t="b">
        <f t="shared" si="162"/>
        <v>0</v>
      </c>
      <c r="BD130" t="b">
        <f t="shared" si="163"/>
        <v>0</v>
      </c>
      <c r="BE130" t="b">
        <f t="shared" si="164"/>
        <v>0</v>
      </c>
      <c r="BF130" t="b">
        <f t="shared" si="165"/>
        <v>0</v>
      </c>
      <c r="BG130" t="b">
        <f t="shared" si="166"/>
        <v>0</v>
      </c>
      <c r="BH130" t="b">
        <f t="shared" si="167"/>
        <v>0</v>
      </c>
      <c r="BI130">
        <f t="shared" si="168"/>
        <v>1</v>
      </c>
      <c r="BJ130" t="b">
        <f t="shared" si="169"/>
        <v>0</v>
      </c>
      <c r="BK130" t="b">
        <f t="shared" si="170"/>
        <v>0</v>
      </c>
      <c r="BL130" t="b">
        <f t="shared" si="171"/>
        <v>0</v>
      </c>
      <c r="BM130" t="b">
        <f t="shared" si="172"/>
        <v>0</v>
      </c>
      <c r="BN130" t="b">
        <f t="shared" si="173"/>
        <v>0</v>
      </c>
      <c r="BO130" t="b">
        <f t="shared" si="174"/>
        <v>0</v>
      </c>
      <c r="BP130" t="b">
        <f t="shared" si="175"/>
        <v>0</v>
      </c>
      <c r="BQ130" t="b">
        <f t="shared" si="176"/>
        <v>0</v>
      </c>
      <c r="BR130" t="b">
        <f t="shared" si="177"/>
        <v>0</v>
      </c>
      <c r="BS130" t="b">
        <f t="shared" si="178"/>
        <v>0</v>
      </c>
      <c r="BT130" t="b">
        <f t="shared" si="179"/>
        <v>0</v>
      </c>
      <c r="BU130" t="b">
        <f t="shared" si="180"/>
        <v>0</v>
      </c>
      <c r="BV130" t="b">
        <f t="shared" si="181"/>
        <v>0</v>
      </c>
      <c r="BW130" t="b">
        <f t="shared" si="182"/>
        <v>0</v>
      </c>
      <c r="BX130" t="b">
        <f t="shared" si="183"/>
        <v>0</v>
      </c>
      <c r="BY130" t="b">
        <f t="shared" si="184"/>
        <v>0</v>
      </c>
      <c r="BZ130" t="b">
        <f t="shared" si="185"/>
        <v>0</v>
      </c>
      <c r="CA130" t="b">
        <f t="shared" si="186"/>
        <v>0</v>
      </c>
      <c r="CB130" t="b">
        <f t="shared" si="187"/>
        <v>0</v>
      </c>
      <c r="CC130" t="b">
        <f t="shared" si="188"/>
        <v>0</v>
      </c>
      <c r="CD130" t="b">
        <f t="shared" si="189"/>
        <v>0</v>
      </c>
      <c r="CE130" t="b">
        <f t="shared" si="190"/>
        <v>0</v>
      </c>
      <c r="CF130" t="b">
        <f t="shared" si="191"/>
        <v>0</v>
      </c>
      <c r="CG130" t="b">
        <f t="shared" si="192"/>
        <v>0</v>
      </c>
      <c r="CH130" t="b">
        <f t="shared" si="193"/>
        <v>0</v>
      </c>
      <c r="CI130" t="b">
        <f t="shared" si="194"/>
        <v>0</v>
      </c>
      <c r="CJ130" t="b">
        <f t="shared" si="195"/>
        <v>0</v>
      </c>
      <c r="CK130" t="b">
        <f t="shared" si="196"/>
        <v>0</v>
      </c>
      <c r="CL130" t="b">
        <f t="shared" si="197"/>
        <v>0</v>
      </c>
      <c r="CM130">
        <f t="shared" si="198"/>
        <v>1</v>
      </c>
      <c r="CN130" t="b">
        <f t="shared" si="199"/>
        <v>0</v>
      </c>
      <c r="CO130" t="b">
        <f t="shared" si="200"/>
        <v>0</v>
      </c>
      <c r="CP130" t="b">
        <f t="shared" si="201"/>
        <v>0</v>
      </c>
      <c r="CQ130" t="b">
        <f t="shared" si="202"/>
        <v>0</v>
      </c>
      <c r="CR130" t="b">
        <f t="shared" si="203"/>
        <v>0</v>
      </c>
      <c r="CS130" t="b">
        <f t="shared" si="204"/>
        <v>0</v>
      </c>
      <c r="CT130" t="b">
        <f t="shared" si="205"/>
        <v>0</v>
      </c>
      <c r="CU130" t="b">
        <f t="shared" si="206"/>
        <v>0</v>
      </c>
      <c r="CV130" t="b">
        <f t="shared" si="207"/>
        <v>0</v>
      </c>
      <c r="CW130" t="b">
        <f t="shared" si="208"/>
        <v>0</v>
      </c>
      <c r="CX130" t="b">
        <f t="shared" si="209"/>
        <v>0</v>
      </c>
      <c r="CY130" t="b">
        <f t="shared" si="210"/>
        <v>0</v>
      </c>
      <c r="CZ130" t="b">
        <f t="shared" si="211"/>
        <v>0</v>
      </c>
      <c r="DA130">
        <f t="shared" si="212"/>
        <v>1</v>
      </c>
      <c r="DB130">
        <f t="shared" si="213"/>
        <v>1</v>
      </c>
      <c r="DC130" t="b">
        <f t="shared" si="214"/>
        <v>0</v>
      </c>
      <c r="DD130" t="b">
        <f t="shared" si="215"/>
        <v>0</v>
      </c>
      <c r="DE130" t="b">
        <f t="shared" si="216"/>
        <v>0</v>
      </c>
      <c r="DF130" t="b">
        <f t="shared" si="217"/>
        <v>0</v>
      </c>
      <c r="DG130" t="b">
        <f t="shared" si="218"/>
        <v>0</v>
      </c>
      <c r="DH130" t="b">
        <f t="shared" si="219"/>
        <v>0</v>
      </c>
      <c r="DI130" t="b">
        <f t="shared" si="220"/>
        <v>0</v>
      </c>
      <c r="DJ130" t="b">
        <f t="shared" si="221"/>
        <v>0</v>
      </c>
      <c r="DK130" t="b">
        <f t="shared" si="222"/>
        <v>0</v>
      </c>
      <c r="DL130" t="b">
        <f t="shared" si="223"/>
        <v>0</v>
      </c>
      <c r="DM130" t="b">
        <f t="shared" si="224"/>
        <v>0</v>
      </c>
      <c r="DN130" t="b">
        <f t="shared" si="225"/>
        <v>0</v>
      </c>
      <c r="DO130" t="b">
        <f t="shared" si="226"/>
        <v>0</v>
      </c>
      <c r="DP130" t="b">
        <f t="shared" si="227"/>
        <v>0</v>
      </c>
      <c r="DQ130" t="b">
        <f t="shared" si="228"/>
        <v>0</v>
      </c>
      <c r="DR130" t="b">
        <f t="shared" si="229"/>
        <v>0</v>
      </c>
      <c r="DS130" t="b">
        <f t="shared" si="230"/>
        <v>0</v>
      </c>
      <c r="DT130" t="b">
        <f t="shared" si="231"/>
        <v>0</v>
      </c>
      <c r="DU130" t="b">
        <f t="shared" si="232"/>
        <v>0</v>
      </c>
      <c r="DV130" t="b">
        <f t="shared" si="233"/>
        <v>0</v>
      </c>
      <c r="DW130" t="b">
        <f t="shared" si="234"/>
        <v>0</v>
      </c>
      <c r="DX130" t="b">
        <f t="shared" si="235"/>
        <v>0</v>
      </c>
      <c r="DY130">
        <f t="shared" si="236"/>
        <v>1</v>
      </c>
      <c r="DZ130" t="b">
        <f t="shared" si="237"/>
        <v>0</v>
      </c>
      <c r="EA130" t="b">
        <f t="shared" si="238"/>
        <v>0</v>
      </c>
      <c r="EB130" t="b">
        <f t="shared" si="239"/>
        <v>0</v>
      </c>
      <c r="EC130" t="b">
        <f t="shared" si="240"/>
        <v>0</v>
      </c>
      <c r="ED130" t="b">
        <f t="shared" si="241"/>
        <v>0</v>
      </c>
      <c r="EE130" t="b">
        <f t="shared" si="242"/>
        <v>0</v>
      </c>
      <c r="EF130" t="b">
        <f t="shared" si="243"/>
        <v>0</v>
      </c>
      <c r="EG130" t="b">
        <f t="shared" si="244"/>
        <v>0</v>
      </c>
      <c r="EH130" t="b">
        <f t="shared" si="245"/>
        <v>0</v>
      </c>
      <c r="EI130" t="b">
        <f t="shared" si="246"/>
        <v>0</v>
      </c>
      <c r="EJ130" t="b">
        <f t="shared" si="247"/>
        <v>0</v>
      </c>
      <c r="EK130" t="b">
        <f t="shared" si="248"/>
        <v>0</v>
      </c>
    </row>
    <row r="131" spans="1:141">
      <c r="A131" t="s">
        <v>774</v>
      </c>
      <c r="B131" t="s">
        <v>775</v>
      </c>
      <c r="C131" t="s">
        <v>776</v>
      </c>
      <c r="D131" s="1">
        <v>41526</v>
      </c>
      <c r="E131" s="2">
        <v>42038.270891203705</v>
      </c>
      <c r="F131" s="2">
        <v>42038.270891203705</v>
      </c>
      <c r="G131">
        <v>19210</v>
      </c>
      <c r="H131" t="s">
        <v>777</v>
      </c>
      <c r="I131" s="10" t="s">
        <v>778</v>
      </c>
      <c r="J131" t="s">
        <v>381</v>
      </c>
      <c r="K131" s="8" t="b">
        <v>1</v>
      </c>
      <c r="L131" s="10" t="b">
        <v>0</v>
      </c>
      <c r="M131" s="12" t="b">
        <v>0</v>
      </c>
      <c r="N131" t="b">
        <v>0</v>
      </c>
      <c r="O131" t="b">
        <v>0</v>
      </c>
      <c r="P131" t="b">
        <v>0</v>
      </c>
      <c r="Q131">
        <f t="shared" si="249"/>
        <v>2</v>
      </c>
      <c r="R131">
        <f t="shared" si="250"/>
        <v>9</v>
      </c>
      <c r="S131" t="e">
        <f t="shared" ref="S131:S194" ca="1" si="280">WhoIsorganization(C131)</f>
        <v>#NAME?</v>
      </c>
      <c r="T131" t="e">
        <f t="shared" ca="1" si="251"/>
        <v>#NAME?</v>
      </c>
      <c r="U131" s="4">
        <f t="shared" si="252"/>
        <v>512.2708912037051</v>
      </c>
      <c r="V131" s="4">
        <f t="shared" si="253"/>
        <v>17.075696373456836</v>
      </c>
      <c r="W131" s="4">
        <f t="shared" si="254"/>
        <v>1</v>
      </c>
      <c r="X131" s="4">
        <f t="shared" si="255"/>
        <v>0</v>
      </c>
      <c r="Y131" s="4">
        <f t="shared" si="256"/>
        <v>0</v>
      </c>
      <c r="Z131" s="4">
        <f t="shared" si="257"/>
        <v>0</v>
      </c>
      <c r="AA131" s="4">
        <f t="shared" si="258"/>
        <v>0</v>
      </c>
      <c r="AB131" s="4">
        <f t="shared" si="259"/>
        <v>0</v>
      </c>
      <c r="AC131" s="4"/>
      <c r="AD131" s="4" t="b">
        <f t="shared" si="260"/>
        <v>0</v>
      </c>
      <c r="AE131" s="4" t="b">
        <f t="shared" si="261"/>
        <v>0</v>
      </c>
      <c r="AF131" s="4" t="b">
        <f t="shared" si="262"/>
        <v>0</v>
      </c>
      <c r="AG131" t="b">
        <f t="shared" si="263"/>
        <v>0</v>
      </c>
      <c r="AH131" t="b">
        <f t="shared" si="264"/>
        <v>0</v>
      </c>
      <c r="AI131" t="b">
        <f t="shared" si="265"/>
        <v>0</v>
      </c>
      <c r="AJ131" t="b">
        <f t="shared" si="266"/>
        <v>0</v>
      </c>
      <c r="AK131" t="b">
        <f t="shared" si="267"/>
        <v>0</v>
      </c>
      <c r="AL131" t="b">
        <f t="shared" si="268"/>
        <v>0</v>
      </c>
      <c r="AM131" t="b">
        <f t="shared" si="269"/>
        <v>0</v>
      </c>
      <c r="AN131" t="b">
        <f t="shared" si="270"/>
        <v>0</v>
      </c>
      <c r="AO131" t="b">
        <f t="shared" si="271"/>
        <v>0</v>
      </c>
      <c r="AP131" t="b">
        <f t="shared" si="272"/>
        <v>0</v>
      </c>
      <c r="AQ131" t="b">
        <f t="shared" si="273"/>
        <v>0</v>
      </c>
      <c r="AR131" t="b">
        <f t="shared" si="274"/>
        <v>0</v>
      </c>
      <c r="AS131" t="b">
        <f t="shared" si="275"/>
        <v>0</v>
      </c>
      <c r="AT131" t="b">
        <f t="shared" si="276"/>
        <v>0</v>
      </c>
      <c r="AU131" t="b">
        <f t="shared" si="277"/>
        <v>0</v>
      </c>
      <c r="AV131" t="b">
        <f t="shared" si="278"/>
        <v>0</v>
      </c>
      <c r="AW131" t="b">
        <f t="shared" si="279"/>
        <v>0</v>
      </c>
      <c r="AX131" t="b">
        <f t="shared" ref="AX131:AX194" si="281">IFERROR(IF(SEARCH( "'Customer feedback'", J131),1,0),FALSE)</f>
        <v>0</v>
      </c>
      <c r="AY131" t="b">
        <f t="shared" ref="AY131:AY194" si="282">IFERROR(IF(SEARCH( "'Customer interactions'  ", J131),1,0),FALSE)</f>
        <v>0</v>
      </c>
      <c r="AZ131" t="b">
        <f t="shared" ref="AZ131:AZ194" si="283">IFERROR(IF(SEARCH( "'Dates of birth'", J131),1,0),FALSE)</f>
        <v>0</v>
      </c>
      <c r="BA131" t="b">
        <f t="shared" ref="BA131:BA194" si="284">IFERROR(IF(SEARCH( "'Deceased statuses'", J131),1,0),FALSE)</f>
        <v>0</v>
      </c>
      <c r="BB131" t="b">
        <f t="shared" ref="BB131:BB194" si="285">IFERROR(IF(SEARCH( "'Device information'", J131),1,0),FALSE)</f>
        <v>0</v>
      </c>
      <c r="BC131" t="b">
        <f t="shared" ref="BC131:BC194" si="286">IFERROR(IF(SEARCH( "'Device serial numbers'", J131),1,0),FALSE)</f>
        <v>0</v>
      </c>
      <c r="BD131" t="b">
        <f t="shared" ref="BD131:BD194" si="287">IFERROR(IF(SEARCH( "'Device usage tracking data'", J131),1,0),FALSE)</f>
        <v>0</v>
      </c>
      <c r="BE131" t="b">
        <f t="shared" ref="BE131:BE194" si="288">IFERROR(IF(SEARCH( "'Drinking habits'", J131),1,0),FALSE)</f>
        <v>0</v>
      </c>
      <c r="BF131" t="b">
        <f t="shared" ref="BF131:BF194" si="289">IFERROR(IF(SEARCH( "'Drinking habits' ", J131),1,0),FALSE)</f>
        <v>0</v>
      </c>
      <c r="BG131" t="b">
        <f t="shared" ref="BG131:BG194" si="290">IFERROR(IF(SEARCH( "'Drug habits'", J131),1,0),FALSE)</f>
        <v>0</v>
      </c>
      <c r="BH131" t="b">
        <f t="shared" ref="BH131:BH194" si="291">IFERROR(IF(SEARCH( "'Education levels'", J131),1,0),FALSE)</f>
        <v>0</v>
      </c>
      <c r="BI131">
        <f t="shared" ref="BI131:BI194" si="292">IFERROR(IF(SEARCH( "'Email addresses'", J131),1,0),FALSE)</f>
        <v>1</v>
      </c>
      <c r="BJ131" t="b">
        <f t="shared" ref="BJ131:BJ194" si="293">IFERROR(IF(SEARCH( "'Employers'", J131),1,0),FALSE)</f>
        <v>0</v>
      </c>
      <c r="BK131" t="b">
        <f t="shared" ref="BK131:BK194" si="294">IFERROR(IF(SEARCH( "'Ethnicities' ", J131),1,0),FALSE)</f>
        <v>0</v>
      </c>
      <c r="BL131" t="b">
        <f t="shared" ref="BL131:BL194" si="295">IFERROR(IF(SEARCH( "'Family members' names'", J131),1,0),FALSE)</f>
        <v>0</v>
      </c>
      <c r="BM131" t="b">
        <f t="shared" ref="BM131:BM194" si="296">IFERROR(IF(SEARCH( "'Family structure", J131),1,0),FALSE)</f>
        <v>0</v>
      </c>
      <c r="BN131" t="b">
        <f t="shared" ref="BN131:BN194" si="297">IFERROR(IF(SEARCH( "'Financial investments'", J131),1,0),FALSE)</f>
        <v>0</v>
      </c>
      <c r="BO131" t="b">
        <f t="shared" ref="BO131:BO194" si="298">IFERROR(IF(SEARCH( "'Financial transactions'", J131),1,0),FALSE)</f>
        <v>0</v>
      </c>
      <c r="BP131" t="b">
        <f t="shared" ref="BP131:BP194" si="299">IFERROR(IF(SEARCH( "'Fitness levels'", J131),1,0),FALSE)</f>
        <v>0</v>
      </c>
      <c r="BQ131" t="b">
        <f t="shared" ref="BQ131:BQ194" si="300">IFERROR(IF(SEARCH( "'Flights taken'", J131),1,0),FALSE)</f>
        <v>0</v>
      </c>
      <c r="BR131" t="b">
        <f t="shared" ref="BR131:BR194" si="301">IFERROR(IF(SEARCH( "'Genders'", J131),1,0),FALSE)</f>
        <v>0</v>
      </c>
      <c r="BS131" t="b">
        <f t="shared" ref="BS131:BS194" si="302">IFERROR(IF(SEARCH( "'Geographic locations'", J131),1,0),FALSE)</f>
        <v>0</v>
      </c>
      <c r="BT131" t="b">
        <f t="shared" ref="BT131:BT194" si="303">IFERROR(IF(SEARCH( "'Government issued IDs'", J131),1,0),FALSE)</f>
        <v>0</v>
      </c>
      <c r="BU131" t="b">
        <f t="shared" ref="BU131:BU194" si="304">IFERROR(IF(SEARCH( "'Health insurance information' ", J131),1,0),FALSE)</f>
        <v>0</v>
      </c>
      <c r="BV131" t="b">
        <f t="shared" ref="BV131:BV194" si="305">IFERROR(IF(SEARCH( "'Historical passwords'", J131),1,0),FALSE)</f>
        <v>0</v>
      </c>
      <c r="BW131" t="b">
        <f t="shared" ref="BW131:BW194" si="306">IFERROR(IF(SEARCH( "'HIV statuses'", J131),1,0),FALSE)</f>
        <v>0</v>
      </c>
      <c r="BX131" t="b">
        <f t="shared" ref="BX131:BX194" si="307">IFERROR(IF(SEARCH( "'Home loan information'", J131),1,0),FALSE)</f>
        <v>0</v>
      </c>
      <c r="BY131" t="b">
        <f t="shared" ref="BY131:BY194" si="308">IFERROR(IF(SEARCH( "'Home ownership statuses", J131),1,0),FALSE)</f>
        <v>0</v>
      </c>
      <c r="BZ131" t="b">
        <f t="shared" ref="BZ131:BZ194" si="309">IFERROR(IF(SEARCH( "'Homepage URLs'", J131),1,0),FALSE)</f>
        <v>0</v>
      </c>
      <c r="CA131" t="b">
        <f t="shared" ref="CA131:CA194" si="310">IFERROR(IF(SEARCH( "'IMEI numbers'", J131),1,0),FALSE)</f>
        <v>0</v>
      </c>
      <c r="CB131" t="b">
        <f t="shared" ref="CB131:CB194" si="311">IFERROR(IF(SEARCH( "'IMSI numbers' ", J131),1,0),FALSE)</f>
        <v>0</v>
      </c>
      <c r="CC131" t="b">
        <f t="shared" ref="CC131:CC194" si="312">IFERROR(IF(SEARCH( "'Income levels'", J131),1,0),FALSE)</f>
        <v>0</v>
      </c>
      <c r="CD131" t="b">
        <f t="shared" ref="CD131:CD194" si="313">IFERROR(IF(SEARCH( "'Instant messenger identities'", J131),1,0),FALSE)</f>
        <v>0</v>
      </c>
      <c r="CE131">
        <f t="shared" ref="CE131:CE194" si="314">IFERROR(IF(SEARCH( "'IP addresses'", J131),1,0),FALSE)</f>
        <v>1</v>
      </c>
      <c r="CF131" t="b">
        <f t="shared" ref="CF131:CF194" si="315">IFERROR(IF(SEARCH( "'Job applications' ", J131),1,0),FALSE)</f>
        <v>0</v>
      </c>
      <c r="CG131" t="b">
        <f t="shared" ref="CG131:CG194" si="316">IFERROR(IF(SEARCH( "'Job titles' ", J131),1,0),FALSE)</f>
        <v>0</v>
      </c>
      <c r="CH131" t="b">
        <f t="shared" ref="CH131:CH194" si="317">IFERROR(IF(SEARCH( "'Licence plates'", J131),1,0),FALSE)</f>
        <v>0</v>
      </c>
      <c r="CI131" t="b">
        <f t="shared" ref="CI131:CI194" si="318">IFERROR(IF(SEARCH( "'Login histories'", J131),1,0),FALSE)</f>
        <v>0</v>
      </c>
      <c r="CJ131" t="b">
        <f t="shared" ref="CJ131:CJ194" si="319">IFERROR(IF(SEARCH( "'MAC addresses'", J131),1,0),FALSE)</f>
        <v>0</v>
      </c>
      <c r="CK131" t="b">
        <f t="shared" ref="CK131:CK194" si="320">IFERROR(IF(SEARCH( "'Marital statuses'", J131),1,0),FALSE)</f>
        <v>0</v>
      </c>
      <c r="CL131" t="b">
        <f t="shared" ref="CL131:CL194" si="321">IFERROR(IF(SEARCH( "'Mnemonic phrases'", J131),1,0),FALSE)</f>
        <v>0</v>
      </c>
      <c r="CM131" t="b">
        <f t="shared" ref="CM131:CM194" si="322">IFERROR(IF(SEARCH( "'Names'", J131),1,0),FALSE)</f>
        <v>0</v>
      </c>
      <c r="CN131" t="b">
        <f t="shared" ref="CN131:CN194" si="323">IFERROR(IF(SEARCH( "'Nationalities'", J131),1,0),FALSE)</f>
        <v>0</v>
      </c>
      <c r="CO131" t="b">
        <f t="shared" ref="CO131:CO194" si="324">IFERROR(IF(SEARCH( "'Net worths'", J131),1,0),FALSE)</f>
        <v>0</v>
      </c>
      <c r="CP131" t="b">
        <f t="shared" ref="CP131:CP194" si="325">IFERROR(IF(SEARCH( "'Nicknames' ", J131),1,0),FALSE)</f>
        <v>0</v>
      </c>
      <c r="CQ131" t="b">
        <f t="shared" ref="CQ131:CQ194" si="326">IFERROR(IF(SEARCH( "'Occupations'", J131),1,0),FALSE)</f>
        <v>0</v>
      </c>
      <c r="CR131" t="b">
        <f t="shared" ref="CR131:CR194" si="327">IFERROR(IF(SEARCH( "'Parenting plans", J131),1,0),FALSE)</f>
        <v>0</v>
      </c>
      <c r="CS131" t="b">
        <f t="shared" ref="CS131:CS194" si="328">IFERROR(IF(SEARCH( "'Partial credit card data' ", J131),1,0),FALSE)</f>
        <v>0</v>
      </c>
      <c r="CT131" t="b">
        <f t="shared" ref="CT131:CT194" si="329">IFERROR(IF(SEARCH( "'Partial phone numbers'", J131),1,0),FALSE)</f>
        <v>0</v>
      </c>
      <c r="CU131" t="b">
        <f t="shared" ref="CU131:CU194" si="330">IFERROR(IF(SEARCH( "'Passport numbers'", J131),1,0),FALSE)</f>
        <v>0</v>
      </c>
      <c r="CV131">
        <f t="shared" ref="CV131:CV194" si="331">IFERROR(IF(SEARCH( "'Passwords'", J131),1,0),FALSE)</f>
        <v>1</v>
      </c>
      <c r="CW131" t="b">
        <f t="shared" ref="CW131:CW194" si="332">IFERROR(IF(SEARCH( "'Payment histories'", J131),1,0),FALSE)</f>
        <v>0</v>
      </c>
      <c r="CX131" t="b">
        <f t="shared" ref="CX131:CX194" si="333">IFERROR(IF(SEARCH( "'Payment methods'", J131),1,0),FALSE)</f>
        <v>0</v>
      </c>
      <c r="CY131" t="b">
        <f t="shared" ref="CY131:CY194" si="334">IFERROR(IF(SEARCH( "'Personal descriptions'", J131),1,0),FALSE)</f>
        <v>0</v>
      </c>
      <c r="CZ131" t="b">
        <f t="shared" ref="CZ131:CZ194" si="335">IFERROR(IF(SEARCH( "'Personal health data'", J131),1,0),FALSE)</f>
        <v>0</v>
      </c>
      <c r="DA131" t="b">
        <f t="shared" ref="DA131:DA194" si="336">IFERROR(IF(SEARCH( "'Phone numbers'", J131),1,0),FALSE)</f>
        <v>0</v>
      </c>
      <c r="DB131" t="b">
        <f t="shared" ref="DB131:DB194" si="337">IFERROR(IF(SEARCH( "'Physical addresses'", J131),1,0),FALSE)</f>
        <v>0</v>
      </c>
      <c r="DC131" t="b">
        <f t="shared" ref="DC131:DC194" si="338">IFERROR(IF(SEARCH( "'Physical attributes'", J131),1,0),FALSE)</f>
        <v>0</v>
      </c>
      <c r="DD131" t="b">
        <f t="shared" ref="DD131:DD194" si="339">IFERROR(IF(SEARCH( "'PINs'", J131),1,0),FALSE)</f>
        <v>0</v>
      </c>
      <c r="DE131" t="b">
        <f t="shared" ref="DE131:DE194" si="340">IFERROR(IF(SEARCH( "'Political donations'", J131),1,0),FALSE)</f>
        <v>0</v>
      </c>
      <c r="DF131" t="b">
        <f t="shared" ref="DF131:DF194" si="341">IFERROR(IF(SEARCH( "'Political views'", J131),1,0),FALSE)</f>
        <v>0</v>
      </c>
      <c r="DG131" t="b">
        <f t="shared" ref="DG131:DG194" si="342">IFERROR(IF(SEARCH( "'Private messages'", J131),1,0),FALSE)</f>
        <v>0</v>
      </c>
      <c r="DH131" t="b">
        <f t="shared" ref="DH131:DH194" si="343">IFERROR(IF(SEARCH( "'Professional skills'", J131),1,0),FALSE)</f>
        <v>0</v>
      </c>
      <c r="DI131" t="b">
        <f t="shared" ref="DI131:DI194" si="344">IFERROR(IF(SEARCH( "'Profile photos'", J131),1,0),FALSE)</f>
        <v>0</v>
      </c>
      <c r="DJ131" t="b">
        <f t="shared" ref="DJ131:DJ194" si="345">IFERROR(IF(SEARCH( "'Purchases'", J131),1,0),FALSE)</f>
        <v>0</v>
      </c>
      <c r="DK131" t="b">
        <f t="shared" ref="DK131:DK194" si="346">IFERROR(IF(SEARCH( "'Purchasing habits'", J131),1,0),FALSE)</f>
        <v>0</v>
      </c>
      <c r="DL131" t="b">
        <f t="shared" ref="DL131:DL194" si="347">IFERROR(IF(SEARCH( "'Races'", J131),1,0),FALSE)</f>
        <v>0</v>
      </c>
      <c r="DM131" t="b">
        <f t="shared" ref="DM131:DM194" si="348">IFERROR(IF(SEARCH( "'Recovery email addresses'", J131),1,0),FALSE)</f>
        <v>0</v>
      </c>
      <c r="DN131" t="b">
        <f t="shared" ref="DN131:DN194" si="349">IFERROR(IF(SEARCH( "'Relationship statuses'", J131),1,0),FALSE)</f>
        <v>0</v>
      </c>
      <c r="DO131" t="b">
        <f t="shared" ref="DO131:DO194" si="350">IFERROR(IF(SEARCH( "'Religions' ", J131),1,0),FALSE)</f>
        <v>0</v>
      </c>
      <c r="DP131" t="b">
        <f t="shared" ref="DP131:DP194" si="351">IFERROR(IF(SEARCH( "'Reward program balances'", J131),1,0),FALSE)</f>
        <v>0</v>
      </c>
      <c r="DQ131" t="b">
        <f t="shared" ref="DQ131:DQ194" si="352">IFERROR(IF(SEARCH( "'Salutations'", J131),1,0),FALSE)</f>
        <v>0</v>
      </c>
      <c r="DR131" t="b">
        <f t="shared" ref="DR131:DR194" si="353">IFERROR(IF(SEARCH( "'School grades (class levels)", J131),1,0),FALSE)</f>
        <v>0</v>
      </c>
      <c r="DS131" t="b">
        <f t="shared" ref="DS131:DS194" si="354">IFERROR(IF(SEARCH( "'Security questions and answers'", J131),1,0),FALSE)</f>
        <v>0</v>
      </c>
      <c r="DT131" t="b">
        <f t="shared" ref="DT131:DT194" si="355">IFERROR(IF(SEARCH( "'Sexual fetishes'", J131),1,0),FALSE)</f>
        <v>0</v>
      </c>
      <c r="DU131" t="b">
        <f t="shared" ref="DU131:DU194" si="356">IFERROR(IF(SEARCH( "'Sexual orientations'", J131),1,0),FALSE)</f>
        <v>0</v>
      </c>
      <c r="DV131" t="b">
        <f t="shared" ref="DV131:DV194" si="357">IFERROR(IF(SEARCH( "'Smoking habits'", J131),1,0),FALSE)</f>
        <v>0</v>
      </c>
      <c r="DW131" t="b">
        <f t="shared" ref="DW131:DW194" si="358">IFERROR(IF(SEARCH( "'SMS messages'", J131),1,0),FALSE)</f>
        <v>0</v>
      </c>
      <c r="DX131" t="b">
        <f t="shared" ref="DX131:DX194" si="359">IFERROR(IF(SEARCH( "'Social connections'", J131),1,0),FALSE)</f>
        <v>0</v>
      </c>
      <c r="DY131" t="b">
        <f t="shared" ref="DY131:DY194" si="360">IFERROR(IF(SEARCH( "'Social media profiles'", J131),1,0),FALSE)</f>
        <v>0</v>
      </c>
      <c r="DZ131" t="b">
        <f t="shared" ref="DZ131:DZ194" si="361">IFERROR(IF(SEARCH( "'Social security numbers'", J131),1,0),FALSE)</f>
        <v>0</v>
      </c>
      <c r="EA131" t="b">
        <f t="shared" ref="EA131:EA194" si="362">IFERROR(IF(SEARCH( "'Spoken languages'", J131),1,0),FALSE)</f>
        <v>0</v>
      </c>
      <c r="EB131" t="b">
        <f t="shared" ref="EB131:EB194" si="363">IFERROR(IF(SEARCH( "'Survey results'", J131),1,0),FALSE)</f>
        <v>0</v>
      </c>
      <c r="EC131" t="b">
        <f t="shared" ref="EC131:EC194" si="364">IFERROR(IF(SEARCH( "'Time zones'", J131),1,0),FALSE)</f>
        <v>0</v>
      </c>
      <c r="ED131" t="b">
        <f t="shared" ref="ED131:ED194" si="365">IFERROR(IF(SEARCH( "'Travel habits' ", J131),1,0),FALSE)</f>
        <v>0</v>
      </c>
      <c r="EE131" t="b">
        <f t="shared" ref="EE131:EE194" si="366">IFERROR(IF(SEARCH( "'User website URLs'", J131),1,0),FALSE)</f>
        <v>0</v>
      </c>
      <c r="EF131">
        <f t="shared" ref="EF131:EF194" si="367">IFERROR(IF(SEARCH( "'Usernames'", J131),1,0),FALSE)</f>
        <v>1</v>
      </c>
      <c r="EG131" t="b">
        <f t="shared" ref="EG131:EG194" si="368">IFERROR(IF(SEARCH( "'Vehicle details'", J131),1,0),FALSE)</f>
        <v>0</v>
      </c>
      <c r="EH131" t="b">
        <f t="shared" ref="EH131:EH194" si="369">IFERROR(IF(SEARCH( "'Vehicle identification numbers (VINs)'", J131),1,0),FALSE)</f>
        <v>0</v>
      </c>
      <c r="EI131">
        <f t="shared" ref="EI131:EI194" si="370">IFERROR(IF(SEARCH( "'Website activity'", J131),1,0),FALSE)</f>
        <v>1</v>
      </c>
      <c r="EJ131" t="b">
        <f t="shared" ref="EJ131:EJ194" si="371">IFERROR(IF(SEARCH( "'Work habits'", J131),1,0),FALSE)</f>
        <v>0</v>
      </c>
      <c r="EK131" t="b">
        <f t="shared" ref="EK131:EK194" si="372">IFERROR(IF(SEARCH( "'Years of professional experience'", J131),1,0),FALSE)</f>
        <v>0</v>
      </c>
    </row>
    <row r="132" spans="1:141">
      <c r="A132" t="s">
        <v>779</v>
      </c>
      <c r="B132" t="s">
        <v>780</v>
      </c>
      <c r="C132" t="s">
        <v>781</v>
      </c>
      <c r="D132" s="1">
        <v>43667</v>
      </c>
      <c r="E132" s="2">
        <v>43689.47148148148</v>
      </c>
      <c r="F132" s="2">
        <v>43689.47148148148</v>
      </c>
      <c r="G132">
        <v>749161</v>
      </c>
      <c r="H132" t="s">
        <v>782</v>
      </c>
      <c r="I132" s="10" t="s">
        <v>783</v>
      </c>
      <c r="J132" t="s">
        <v>784</v>
      </c>
      <c r="K132" s="8" t="b">
        <v>1</v>
      </c>
      <c r="L132" s="10" t="b">
        <v>0</v>
      </c>
      <c r="M132" s="12" t="b">
        <v>0</v>
      </c>
      <c r="N132" t="b">
        <v>0</v>
      </c>
      <c r="O132" t="b">
        <v>0</v>
      </c>
      <c r="P132" t="b">
        <v>0</v>
      </c>
      <c r="Q132">
        <f t="shared" si="249"/>
        <v>1</v>
      </c>
      <c r="R132">
        <f t="shared" si="250"/>
        <v>7</v>
      </c>
      <c r="S132" t="e">
        <f t="shared" ca="1" si="280"/>
        <v>#NAME?</v>
      </c>
      <c r="T132" t="e">
        <f t="shared" ca="1" si="251"/>
        <v>#NAME?</v>
      </c>
      <c r="U132" s="4">
        <f t="shared" si="252"/>
        <v>22.471481481479714</v>
      </c>
      <c r="V132" s="4">
        <f t="shared" si="253"/>
        <v>0.74904938271599042</v>
      </c>
      <c r="W132" s="4">
        <f t="shared" si="254"/>
        <v>1</v>
      </c>
      <c r="X132" s="4">
        <f t="shared" si="255"/>
        <v>0</v>
      </c>
      <c r="Y132" s="4">
        <f t="shared" si="256"/>
        <v>0</v>
      </c>
      <c r="Z132" s="4">
        <f t="shared" si="257"/>
        <v>0</v>
      </c>
      <c r="AA132" s="4">
        <f t="shared" si="258"/>
        <v>0</v>
      </c>
      <c r="AB132" s="4">
        <f t="shared" si="259"/>
        <v>0</v>
      </c>
      <c r="AC132" s="4"/>
      <c r="AD132" s="4" t="b">
        <f t="shared" si="260"/>
        <v>0</v>
      </c>
      <c r="AE132" s="4" t="b">
        <f t="shared" si="261"/>
        <v>0</v>
      </c>
      <c r="AF132" s="4" t="b">
        <f t="shared" si="262"/>
        <v>0</v>
      </c>
      <c r="AG132" t="b">
        <f t="shared" si="263"/>
        <v>0</v>
      </c>
      <c r="AH132" t="b">
        <f t="shared" si="264"/>
        <v>0</v>
      </c>
      <c r="AI132" t="b">
        <f t="shared" si="265"/>
        <v>0</v>
      </c>
      <c r="AJ132" t="b">
        <f t="shared" si="266"/>
        <v>0</v>
      </c>
      <c r="AK132" t="b">
        <f t="shared" si="267"/>
        <v>0</v>
      </c>
      <c r="AL132" t="b">
        <f t="shared" si="268"/>
        <v>0</v>
      </c>
      <c r="AM132" t="b">
        <f t="shared" si="269"/>
        <v>0</v>
      </c>
      <c r="AN132" t="b">
        <f t="shared" si="270"/>
        <v>0</v>
      </c>
      <c r="AO132" t="b">
        <f t="shared" si="271"/>
        <v>0</v>
      </c>
      <c r="AP132" t="b">
        <f t="shared" si="272"/>
        <v>0</v>
      </c>
      <c r="AQ132" t="b">
        <f t="shared" si="273"/>
        <v>0</v>
      </c>
      <c r="AR132" t="b">
        <f t="shared" si="274"/>
        <v>0</v>
      </c>
      <c r="AS132" t="b">
        <f t="shared" si="275"/>
        <v>0</v>
      </c>
      <c r="AT132" t="b">
        <f t="shared" si="276"/>
        <v>0</v>
      </c>
      <c r="AU132" t="b">
        <f t="shared" si="277"/>
        <v>0</v>
      </c>
      <c r="AV132" t="b">
        <f t="shared" si="278"/>
        <v>0</v>
      </c>
      <c r="AW132" t="b">
        <f t="shared" si="279"/>
        <v>0</v>
      </c>
      <c r="AX132" t="b">
        <f t="shared" si="281"/>
        <v>0</v>
      </c>
      <c r="AY132" t="b">
        <f t="shared" si="282"/>
        <v>0</v>
      </c>
      <c r="AZ132" t="b">
        <f t="shared" si="283"/>
        <v>0</v>
      </c>
      <c r="BA132" t="b">
        <f t="shared" si="284"/>
        <v>0</v>
      </c>
      <c r="BB132" t="b">
        <f t="shared" si="285"/>
        <v>0</v>
      </c>
      <c r="BC132" t="b">
        <f t="shared" si="286"/>
        <v>0</v>
      </c>
      <c r="BD132" t="b">
        <f t="shared" si="287"/>
        <v>0</v>
      </c>
      <c r="BE132" t="b">
        <f t="shared" si="288"/>
        <v>0</v>
      </c>
      <c r="BF132" t="b">
        <f t="shared" si="289"/>
        <v>0</v>
      </c>
      <c r="BG132" t="b">
        <f t="shared" si="290"/>
        <v>0</v>
      </c>
      <c r="BH132" t="b">
        <f t="shared" si="291"/>
        <v>0</v>
      </c>
      <c r="BI132">
        <f t="shared" si="292"/>
        <v>1</v>
      </c>
      <c r="BJ132" t="b">
        <f t="shared" si="293"/>
        <v>0</v>
      </c>
      <c r="BK132" t="b">
        <f t="shared" si="294"/>
        <v>0</v>
      </c>
      <c r="BL132" t="b">
        <f t="shared" si="295"/>
        <v>0</v>
      </c>
      <c r="BM132" t="b">
        <f t="shared" si="296"/>
        <v>0</v>
      </c>
      <c r="BN132" t="b">
        <f t="shared" si="297"/>
        <v>0</v>
      </c>
      <c r="BO132" t="b">
        <f t="shared" si="298"/>
        <v>0</v>
      </c>
      <c r="BP132" t="b">
        <f t="shared" si="299"/>
        <v>0</v>
      </c>
      <c r="BQ132" t="b">
        <f t="shared" si="300"/>
        <v>0</v>
      </c>
      <c r="BR132" t="b">
        <f t="shared" si="301"/>
        <v>0</v>
      </c>
      <c r="BS132" t="b">
        <f t="shared" si="302"/>
        <v>0</v>
      </c>
      <c r="BT132" t="b">
        <f t="shared" si="303"/>
        <v>0</v>
      </c>
      <c r="BU132" t="b">
        <f t="shared" si="304"/>
        <v>0</v>
      </c>
      <c r="BV132" t="b">
        <f t="shared" si="305"/>
        <v>0</v>
      </c>
      <c r="BW132" t="b">
        <f t="shared" si="306"/>
        <v>0</v>
      </c>
      <c r="BX132" t="b">
        <f t="shared" si="307"/>
        <v>0</v>
      </c>
      <c r="BY132" t="b">
        <f t="shared" si="308"/>
        <v>0</v>
      </c>
      <c r="BZ132" t="b">
        <f t="shared" si="309"/>
        <v>0</v>
      </c>
      <c r="CA132" t="b">
        <f t="shared" si="310"/>
        <v>0</v>
      </c>
      <c r="CB132" t="b">
        <f t="shared" si="311"/>
        <v>0</v>
      </c>
      <c r="CC132" t="b">
        <f t="shared" si="312"/>
        <v>0</v>
      </c>
      <c r="CD132" t="b">
        <f t="shared" si="313"/>
        <v>0</v>
      </c>
      <c r="CE132">
        <f t="shared" si="314"/>
        <v>1</v>
      </c>
      <c r="CF132" t="b">
        <f t="shared" si="315"/>
        <v>0</v>
      </c>
      <c r="CG132" t="b">
        <f t="shared" si="316"/>
        <v>0</v>
      </c>
      <c r="CH132" t="b">
        <f t="shared" si="317"/>
        <v>0</v>
      </c>
      <c r="CI132" t="b">
        <f t="shared" si="318"/>
        <v>0</v>
      </c>
      <c r="CJ132" t="b">
        <f t="shared" si="319"/>
        <v>0</v>
      </c>
      <c r="CK132" t="b">
        <f t="shared" si="320"/>
        <v>0</v>
      </c>
      <c r="CL132" t="b">
        <f t="shared" si="321"/>
        <v>0</v>
      </c>
      <c r="CM132" t="b">
        <f t="shared" si="322"/>
        <v>0</v>
      </c>
      <c r="CN132" t="b">
        <f t="shared" si="323"/>
        <v>0</v>
      </c>
      <c r="CO132" t="b">
        <f t="shared" si="324"/>
        <v>0</v>
      </c>
      <c r="CP132" t="b">
        <f t="shared" si="325"/>
        <v>0</v>
      </c>
      <c r="CQ132" t="b">
        <f t="shared" si="326"/>
        <v>0</v>
      </c>
      <c r="CR132" t="b">
        <f t="shared" si="327"/>
        <v>0</v>
      </c>
      <c r="CS132" t="b">
        <f t="shared" si="328"/>
        <v>0</v>
      </c>
      <c r="CT132" t="b">
        <f t="shared" si="329"/>
        <v>0</v>
      </c>
      <c r="CU132" t="b">
        <f t="shared" si="330"/>
        <v>0</v>
      </c>
      <c r="CV132">
        <f t="shared" si="331"/>
        <v>1</v>
      </c>
      <c r="CW132" t="b">
        <f t="shared" si="332"/>
        <v>0</v>
      </c>
      <c r="CX132" t="b">
        <f t="shared" si="333"/>
        <v>0</v>
      </c>
      <c r="CY132" t="b">
        <f t="shared" si="334"/>
        <v>0</v>
      </c>
      <c r="CZ132" t="b">
        <f t="shared" si="335"/>
        <v>0</v>
      </c>
      <c r="DA132" t="b">
        <f t="shared" si="336"/>
        <v>0</v>
      </c>
      <c r="DB132" t="b">
        <f t="shared" si="337"/>
        <v>0</v>
      </c>
      <c r="DC132" t="b">
        <f t="shared" si="338"/>
        <v>0</v>
      </c>
      <c r="DD132" t="b">
        <f t="shared" si="339"/>
        <v>0</v>
      </c>
      <c r="DE132" t="b">
        <f t="shared" si="340"/>
        <v>0</v>
      </c>
      <c r="DF132" t="b">
        <f t="shared" si="341"/>
        <v>0</v>
      </c>
      <c r="DG132">
        <f t="shared" si="342"/>
        <v>1</v>
      </c>
      <c r="DH132" t="b">
        <f t="shared" si="343"/>
        <v>0</v>
      </c>
      <c r="DI132" t="b">
        <f t="shared" si="344"/>
        <v>0</v>
      </c>
      <c r="DJ132" t="b">
        <f t="shared" si="345"/>
        <v>0</v>
      </c>
      <c r="DK132" t="b">
        <f t="shared" si="346"/>
        <v>0</v>
      </c>
      <c r="DL132" t="b">
        <f t="shared" si="347"/>
        <v>0</v>
      </c>
      <c r="DM132" t="b">
        <f t="shared" si="348"/>
        <v>0</v>
      </c>
      <c r="DN132" t="b">
        <f t="shared" si="349"/>
        <v>0</v>
      </c>
      <c r="DO132" t="b">
        <f t="shared" si="350"/>
        <v>0</v>
      </c>
      <c r="DP132" t="b">
        <f t="shared" si="351"/>
        <v>0</v>
      </c>
      <c r="DQ132" t="b">
        <f t="shared" si="352"/>
        <v>0</v>
      </c>
      <c r="DR132" t="b">
        <f t="shared" si="353"/>
        <v>0</v>
      </c>
      <c r="DS132" t="b">
        <f t="shared" si="354"/>
        <v>0</v>
      </c>
      <c r="DT132" t="b">
        <f t="shared" si="355"/>
        <v>0</v>
      </c>
      <c r="DU132" t="b">
        <f t="shared" si="356"/>
        <v>0</v>
      </c>
      <c r="DV132" t="b">
        <f t="shared" si="357"/>
        <v>0</v>
      </c>
      <c r="DW132" t="b">
        <f t="shared" si="358"/>
        <v>0</v>
      </c>
      <c r="DX132" t="b">
        <f t="shared" si="359"/>
        <v>0</v>
      </c>
      <c r="DY132" t="b">
        <f t="shared" si="360"/>
        <v>0</v>
      </c>
      <c r="DZ132" t="b">
        <f t="shared" si="361"/>
        <v>0</v>
      </c>
      <c r="EA132" t="b">
        <f t="shared" si="362"/>
        <v>0</v>
      </c>
      <c r="EB132" t="b">
        <f t="shared" si="363"/>
        <v>0</v>
      </c>
      <c r="EC132" t="b">
        <f t="shared" si="364"/>
        <v>0</v>
      </c>
      <c r="ED132" t="b">
        <f t="shared" si="365"/>
        <v>0</v>
      </c>
      <c r="EE132" t="b">
        <f t="shared" si="366"/>
        <v>0</v>
      </c>
      <c r="EF132">
        <f t="shared" si="367"/>
        <v>1</v>
      </c>
      <c r="EG132" t="b">
        <f t="shared" si="368"/>
        <v>0</v>
      </c>
      <c r="EH132" t="b">
        <f t="shared" si="369"/>
        <v>0</v>
      </c>
      <c r="EI132" t="b">
        <f t="shared" si="370"/>
        <v>0</v>
      </c>
      <c r="EJ132" t="b">
        <f t="shared" si="371"/>
        <v>0</v>
      </c>
      <c r="EK132" t="b">
        <f t="shared" si="372"/>
        <v>0</v>
      </c>
    </row>
    <row r="133" spans="1:141">
      <c r="A133" t="s">
        <v>785</v>
      </c>
      <c r="B133" t="s">
        <v>785</v>
      </c>
      <c r="C133" t="s">
        <v>786</v>
      </c>
      <c r="D133" s="1">
        <v>42552</v>
      </c>
      <c r="E133" s="2">
        <v>43079.839236111111</v>
      </c>
      <c r="F133" s="2">
        <v>43079.839236111111</v>
      </c>
      <c r="G133">
        <v>660305</v>
      </c>
      <c r="H133" t="s">
        <v>787</v>
      </c>
      <c r="I133" s="10" t="s">
        <v>788</v>
      </c>
      <c r="J133" t="s">
        <v>188</v>
      </c>
      <c r="K133" s="8" t="b">
        <v>1</v>
      </c>
      <c r="L133" s="10" t="b">
        <v>0</v>
      </c>
      <c r="M133" s="12" t="b">
        <v>0</v>
      </c>
      <c r="N133" t="b">
        <v>0</v>
      </c>
      <c r="O133" t="b">
        <v>0</v>
      </c>
      <c r="P133" t="b">
        <v>0</v>
      </c>
      <c r="Q133">
        <f t="shared" si="249"/>
        <v>6</v>
      </c>
      <c r="R133">
        <f t="shared" si="250"/>
        <v>7</v>
      </c>
      <c r="S133" t="e">
        <f t="shared" ca="1" si="280"/>
        <v>#NAME?</v>
      </c>
      <c r="T133" t="e">
        <f t="shared" ca="1" si="251"/>
        <v>#NAME?</v>
      </c>
      <c r="U133" s="4">
        <f t="shared" si="252"/>
        <v>527.83923611111095</v>
      </c>
      <c r="V133" s="4">
        <f t="shared" si="253"/>
        <v>17.594641203703699</v>
      </c>
      <c r="W133" s="4">
        <f t="shared" si="254"/>
        <v>1</v>
      </c>
      <c r="X133" s="4">
        <f t="shared" si="255"/>
        <v>0</v>
      </c>
      <c r="Y133" s="4">
        <f t="shared" si="256"/>
        <v>0</v>
      </c>
      <c r="Z133" s="4">
        <f t="shared" si="257"/>
        <v>0</v>
      </c>
      <c r="AA133" s="4">
        <f t="shared" si="258"/>
        <v>0</v>
      </c>
      <c r="AB133" s="4">
        <f t="shared" si="259"/>
        <v>0</v>
      </c>
      <c r="AC133" s="4"/>
      <c r="AD133" s="4" t="b">
        <f t="shared" si="260"/>
        <v>0</v>
      </c>
      <c r="AE133" s="4" t="b">
        <f t="shared" si="261"/>
        <v>0</v>
      </c>
      <c r="AF133" s="4" t="b">
        <f t="shared" si="262"/>
        <v>0</v>
      </c>
      <c r="AG133" t="b">
        <f t="shared" si="263"/>
        <v>0</v>
      </c>
      <c r="AH133" t="b">
        <f t="shared" si="264"/>
        <v>0</v>
      </c>
      <c r="AI133" t="b">
        <f t="shared" si="265"/>
        <v>0</v>
      </c>
      <c r="AJ133" t="b">
        <f t="shared" si="266"/>
        <v>0</v>
      </c>
      <c r="AK133" t="b">
        <f t="shared" si="267"/>
        <v>0</v>
      </c>
      <c r="AL133" t="b">
        <f t="shared" si="268"/>
        <v>0</v>
      </c>
      <c r="AM133" t="b">
        <f t="shared" si="269"/>
        <v>0</v>
      </c>
      <c r="AN133" t="b">
        <f t="shared" si="270"/>
        <v>0</v>
      </c>
      <c r="AO133" t="b">
        <f t="shared" si="271"/>
        <v>0</v>
      </c>
      <c r="AP133" t="b">
        <f t="shared" si="272"/>
        <v>0</v>
      </c>
      <c r="AQ133" t="b">
        <f t="shared" si="273"/>
        <v>0</v>
      </c>
      <c r="AR133" t="b">
        <f t="shared" si="274"/>
        <v>0</v>
      </c>
      <c r="AS133" t="b">
        <f t="shared" si="275"/>
        <v>0</v>
      </c>
      <c r="AT133" t="b">
        <f t="shared" si="276"/>
        <v>0</v>
      </c>
      <c r="AU133" t="b">
        <f t="shared" si="277"/>
        <v>0</v>
      </c>
      <c r="AV133" t="b">
        <f t="shared" si="278"/>
        <v>0</v>
      </c>
      <c r="AW133" t="b">
        <f t="shared" si="279"/>
        <v>0</v>
      </c>
      <c r="AX133" t="b">
        <f t="shared" si="281"/>
        <v>0</v>
      </c>
      <c r="AY133" t="b">
        <f t="shared" si="282"/>
        <v>0</v>
      </c>
      <c r="AZ133" t="b">
        <f t="shared" si="283"/>
        <v>0</v>
      </c>
      <c r="BA133" t="b">
        <f t="shared" si="284"/>
        <v>0</v>
      </c>
      <c r="BB133" t="b">
        <f t="shared" si="285"/>
        <v>0</v>
      </c>
      <c r="BC133" t="b">
        <f t="shared" si="286"/>
        <v>0</v>
      </c>
      <c r="BD133" t="b">
        <f t="shared" si="287"/>
        <v>0</v>
      </c>
      <c r="BE133" t="b">
        <f t="shared" si="288"/>
        <v>0</v>
      </c>
      <c r="BF133" t="b">
        <f t="shared" si="289"/>
        <v>0</v>
      </c>
      <c r="BG133" t="b">
        <f t="shared" si="290"/>
        <v>0</v>
      </c>
      <c r="BH133" t="b">
        <f t="shared" si="291"/>
        <v>0</v>
      </c>
      <c r="BI133">
        <f t="shared" si="292"/>
        <v>1</v>
      </c>
      <c r="BJ133" t="b">
        <f t="shared" si="293"/>
        <v>0</v>
      </c>
      <c r="BK133" t="b">
        <f t="shared" si="294"/>
        <v>0</v>
      </c>
      <c r="BL133" t="b">
        <f t="shared" si="295"/>
        <v>0</v>
      </c>
      <c r="BM133" t="b">
        <f t="shared" si="296"/>
        <v>0</v>
      </c>
      <c r="BN133" t="b">
        <f t="shared" si="297"/>
        <v>0</v>
      </c>
      <c r="BO133" t="b">
        <f t="shared" si="298"/>
        <v>0</v>
      </c>
      <c r="BP133" t="b">
        <f t="shared" si="299"/>
        <v>0</v>
      </c>
      <c r="BQ133" t="b">
        <f t="shared" si="300"/>
        <v>0</v>
      </c>
      <c r="BR133" t="b">
        <f t="shared" si="301"/>
        <v>0</v>
      </c>
      <c r="BS133" t="b">
        <f t="shared" si="302"/>
        <v>0</v>
      </c>
      <c r="BT133" t="b">
        <f t="shared" si="303"/>
        <v>0</v>
      </c>
      <c r="BU133" t="b">
        <f t="shared" si="304"/>
        <v>0</v>
      </c>
      <c r="BV133" t="b">
        <f t="shared" si="305"/>
        <v>0</v>
      </c>
      <c r="BW133" t="b">
        <f t="shared" si="306"/>
        <v>0</v>
      </c>
      <c r="BX133" t="b">
        <f t="shared" si="307"/>
        <v>0</v>
      </c>
      <c r="BY133" t="b">
        <f t="shared" si="308"/>
        <v>0</v>
      </c>
      <c r="BZ133" t="b">
        <f t="shared" si="309"/>
        <v>0</v>
      </c>
      <c r="CA133" t="b">
        <f t="shared" si="310"/>
        <v>0</v>
      </c>
      <c r="CB133" t="b">
        <f t="shared" si="311"/>
        <v>0</v>
      </c>
      <c r="CC133" t="b">
        <f t="shared" si="312"/>
        <v>0</v>
      </c>
      <c r="CD133" t="b">
        <f t="shared" si="313"/>
        <v>0</v>
      </c>
      <c r="CE133">
        <f t="shared" si="314"/>
        <v>1</v>
      </c>
      <c r="CF133" t="b">
        <f t="shared" si="315"/>
        <v>0</v>
      </c>
      <c r="CG133" t="b">
        <f t="shared" si="316"/>
        <v>0</v>
      </c>
      <c r="CH133" t="b">
        <f t="shared" si="317"/>
        <v>0</v>
      </c>
      <c r="CI133" t="b">
        <f t="shared" si="318"/>
        <v>0</v>
      </c>
      <c r="CJ133" t="b">
        <f t="shared" si="319"/>
        <v>0</v>
      </c>
      <c r="CK133" t="b">
        <f t="shared" si="320"/>
        <v>0</v>
      </c>
      <c r="CL133" t="b">
        <f t="shared" si="321"/>
        <v>0</v>
      </c>
      <c r="CM133" t="b">
        <f t="shared" si="322"/>
        <v>0</v>
      </c>
      <c r="CN133" t="b">
        <f t="shared" si="323"/>
        <v>0</v>
      </c>
      <c r="CO133" t="b">
        <f t="shared" si="324"/>
        <v>0</v>
      </c>
      <c r="CP133" t="b">
        <f t="shared" si="325"/>
        <v>0</v>
      </c>
      <c r="CQ133" t="b">
        <f t="shared" si="326"/>
        <v>0</v>
      </c>
      <c r="CR133" t="b">
        <f t="shared" si="327"/>
        <v>0</v>
      </c>
      <c r="CS133" t="b">
        <f t="shared" si="328"/>
        <v>0</v>
      </c>
      <c r="CT133" t="b">
        <f t="shared" si="329"/>
        <v>0</v>
      </c>
      <c r="CU133" t="b">
        <f t="shared" si="330"/>
        <v>0</v>
      </c>
      <c r="CV133">
        <f t="shared" si="331"/>
        <v>1</v>
      </c>
      <c r="CW133" t="b">
        <f t="shared" si="332"/>
        <v>0</v>
      </c>
      <c r="CX133" t="b">
        <f t="shared" si="333"/>
        <v>0</v>
      </c>
      <c r="CY133" t="b">
        <f t="shared" si="334"/>
        <v>0</v>
      </c>
      <c r="CZ133" t="b">
        <f t="shared" si="335"/>
        <v>0</v>
      </c>
      <c r="DA133" t="b">
        <f t="shared" si="336"/>
        <v>0</v>
      </c>
      <c r="DB133" t="b">
        <f t="shared" si="337"/>
        <v>0</v>
      </c>
      <c r="DC133" t="b">
        <f t="shared" si="338"/>
        <v>0</v>
      </c>
      <c r="DD133" t="b">
        <f t="shared" si="339"/>
        <v>0</v>
      </c>
      <c r="DE133" t="b">
        <f t="shared" si="340"/>
        <v>0</v>
      </c>
      <c r="DF133" t="b">
        <f t="shared" si="341"/>
        <v>0</v>
      </c>
      <c r="DG133" t="b">
        <f t="shared" si="342"/>
        <v>0</v>
      </c>
      <c r="DH133" t="b">
        <f t="shared" si="343"/>
        <v>0</v>
      </c>
      <c r="DI133" t="b">
        <f t="shared" si="344"/>
        <v>0</v>
      </c>
      <c r="DJ133" t="b">
        <f t="shared" si="345"/>
        <v>0</v>
      </c>
      <c r="DK133" t="b">
        <f t="shared" si="346"/>
        <v>0</v>
      </c>
      <c r="DL133" t="b">
        <f t="shared" si="347"/>
        <v>0</v>
      </c>
      <c r="DM133" t="b">
        <f t="shared" si="348"/>
        <v>0</v>
      </c>
      <c r="DN133" t="b">
        <f t="shared" si="349"/>
        <v>0</v>
      </c>
      <c r="DO133" t="b">
        <f t="shared" si="350"/>
        <v>0</v>
      </c>
      <c r="DP133" t="b">
        <f t="shared" si="351"/>
        <v>0</v>
      </c>
      <c r="DQ133" t="b">
        <f t="shared" si="352"/>
        <v>0</v>
      </c>
      <c r="DR133" t="b">
        <f t="shared" si="353"/>
        <v>0</v>
      </c>
      <c r="DS133" t="b">
        <f t="shared" si="354"/>
        <v>0</v>
      </c>
      <c r="DT133" t="b">
        <f t="shared" si="355"/>
        <v>0</v>
      </c>
      <c r="DU133" t="b">
        <f t="shared" si="356"/>
        <v>0</v>
      </c>
      <c r="DV133" t="b">
        <f t="shared" si="357"/>
        <v>0</v>
      </c>
      <c r="DW133" t="b">
        <f t="shared" si="358"/>
        <v>0</v>
      </c>
      <c r="DX133" t="b">
        <f t="shared" si="359"/>
        <v>0</v>
      </c>
      <c r="DY133" t="b">
        <f t="shared" si="360"/>
        <v>0</v>
      </c>
      <c r="DZ133" t="b">
        <f t="shared" si="361"/>
        <v>0</v>
      </c>
      <c r="EA133" t="b">
        <f t="shared" si="362"/>
        <v>0</v>
      </c>
      <c r="EB133" t="b">
        <f t="shared" si="363"/>
        <v>0</v>
      </c>
      <c r="EC133" t="b">
        <f t="shared" si="364"/>
        <v>0</v>
      </c>
      <c r="ED133" t="b">
        <f t="shared" si="365"/>
        <v>0</v>
      </c>
      <c r="EE133" t="b">
        <f t="shared" si="366"/>
        <v>0</v>
      </c>
      <c r="EF133">
        <f t="shared" si="367"/>
        <v>1</v>
      </c>
      <c r="EG133" t="b">
        <f t="shared" si="368"/>
        <v>0</v>
      </c>
      <c r="EH133" t="b">
        <f t="shared" si="369"/>
        <v>0</v>
      </c>
      <c r="EI133" t="b">
        <f t="shared" si="370"/>
        <v>0</v>
      </c>
      <c r="EJ133" t="b">
        <f t="shared" si="371"/>
        <v>0</v>
      </c>
      <c r="EK133" t="b">
        <f t="shared" si="372"/>
        <v>0</v>
      </c>
    </row>
    <row r="134" spans="1:141">
      <c r="A134" t="s">
        <v>789</v>
      </c>
      <c r="B134" t="s">
        <v>789</v>
      </c>
      <c r="C134" t="s">
        <v>790</v>
      </c>
      <c r="D134" s="1">
        <v>43221</v>
      </c>
      <c r="E134" s="2">
        <v>43258.875358796293</v>
      </c>
      <c r="F134" s="2">
        <v>43258.875358796293</v>
      </c>
      <c r="G134">
        <v>483015</v>
      </c>
      <c r="H134" t="s">
        <v>791</v>
      </c>
      <c r="I134" s="10" t="s">
        <v>792</v>
      </c>
      <c r="J134" t="s">
        <v>188</v>
      </c>
      <c r="K134" s="8" t="b">
        <v>1</v>
      </c>
      <c r="L134" s="10" t="b">
        <v>0</v>
      </c>
      <c r="M134" s="12" t="b">
        <v>0</v>
      </c>
      <c r="N134" t="b">
        <v>0</v>
      </c>
      <c r="O134" t="b">
        <v>0</v>
      </c>
      <c r="P134" t="b">
        <v>0</v>
      </c>
      <c r="Q134">
        <f t="shared" si="249"/>
        <v>3</v>
      </c>
      <c r="R134">
        <f t="shared" si="250"/>
        <v>5</v>
      </c>
      <c r="S134" t="e">
        <f t="shared" ca="1" si="280"/>
        <v>#NAME?</v>
      </c>
      <c r="T134" t="e">
        <f t="shared" ca="1" si="251"/>
        <v>#NAME?</v>
      </c>
      <c r="U134" s="4">
        <f t="shared" si="252"/>
        <v>37.875358796292858</v>
      </c>
      <c r="V134" s="4">
        <f t="shared" si="253"/>
        <v>1.2625119598764285</v>
      </c>
      <c r="W134" s="4">
        <f t="shared" si="254"/>
        <v>1</v>
      </c>
      <c r="X134" s="4">
        <f t="shared" si="255"/>
        <v>0</v>
      </c>
      <c r="Y134" s="4">
        <f t="shared" si="256"/>
        <v>0</v>
      </c>
      <c r="Z134" s="4">
        <f t="shared" si="257"/>
        <v>0</v>
      </c>
      <c r="AA134" s="4">
        <f t="shared" si="258"/>
        <v>0</v>
      </c>
      <c r="AB134" s="4">
        <f t="shared" si="259"/>
        <v>0</v>
      </c>
      <c r="AC134" s="4"/>
      <c r="AD134" s="4" t="b">
        <f t="shared" si="260"/>
        <v>0</v>
      </c>
      <c r="AE134" s="4" t="b">
        <f t="shared" si="261"/>
        <v>0</v>
      </c>
      <c r="AF134" s="4" t="b">
        <f t="shared" si="262"/>
        <v>0</v>
      </c>
      <c r="AG134" t="b">
        <f t="shared" si="263"/>
        <v>0</v>
      </c>
      <c r="AH134" t="b">
        <f t="shared" si="264"/>
        <v>0</v>
      </c>
      <c r="AI134" t="b">
        <f t="shared" si="265"/>
        <v>0</v>
      </c>
      <c r="AJ134" t="b">
        <f t="shared" si="266"/>
        <v>0</v>
      </c>
      <c r="AK134" t="b">
        <f t="shared" si="267"/>
        <v>0</v>
      </c>
      <c r="AL134" t="b">
        <f t="shared" si="268"/>
        <v>0</v>
      </c>
      <c r="AM134" t="b">
        <f t="shared" si="269"/>
        <v>0</v>
      </c>
      <c r="AN134" t="b">
        <f t="shared" si="270"/>
        <v>0</v>
      </c>
      <c r="AO134" t="b">
        <f t="shared" si="271"/>
        <v>0</v>
      </c>
      <c r="AP134" t="b">
        <f t="shared" si="272"/>
        <v>0</v>
      </c>
      <c r="AQ134" t="b">
        <f t="shared" si="273"/>
        <v>0</v>
      </c>
      <c r="AR134" t="b">
        <f t="shared" si="274"/>
        <v>0</v>
      </c>
      <c r="AS134" t="b">
        <f t="shared" si="275"/>
        <v>0</v>
      </c>
      <c r="AT134" t="b">
        <f t="shared" si="276"/>
        <v>0</v>
      </c>
      <c r="AU134" t="b">
        <f t="shared" si="277"/>
        <v>0</v>
      </c>
      <c r="AV134" t="b">
        <f t="shared" si="278"/>
        <v>0</v>
      </c>
      <c r="AW134" t="b">
        <f t="shared" si="279"/>
        <v>0</v>
      </c>
      <c r="AX134" t="b">
        <f t="shared" si="281"/>
        <v>0</v>
      </c>
      <c r="AY134" t="b">
        <f t="shared" si="282"/>
        <v>0</v>
      </c>
      <c r="AZ134" t="b">
        <f t="shared" si="283"/>
        <v>0</v>
      </c>
      <c r="BA134" t="b">
        <f t="shared" si="284"/>
        <v>0</v>
      </c>
      <c r="BB134" t="b">
        <f t="shared" si="285"/>
        <v>0</v>
      </c>
      <c r="BC134" t="b">
        <f t="shared" si="286"/>
        <v>0</v>
      </c>
      <c r="BD134" t="b">
        <f t="shared" si="287"/>
        <v>0</v>
      </c>
      <c r="BE134" t="b">
        <f t="shared" si="288"/>
        <v>0</v>
      </c>
      <c r="BF134" t="b">
        <f t="shared" si="289"/>
        <v>0</v>
      </c>
      <c r="BG134" t="b">
        <f t="shared" si="290"/>
        <v>0</v>
      </c>
      <c r="BH134" t="b">
        <f t="shared" si="291"/>
        <v>0</v>
      </c>
      <c r="BI134">
        <f t="shared" si="292"/>
        <v>1</v>
      </c>
      <c r="BJ134" t="b">
        <f t="shared" si="293"/>
        <v>0</v>
      </c>
      <c r="BK134" t="b">
        <f t="shared" si="294"/>
        <v>0</v>
      </c>
      <c r="BL134" t="b">
        <f t="shared" si="295"/>
        <v>0</v>
      </c>
      <c r="BM134" t="b">
        <f t="shared" si="296"/>
        <v>0</v>
      </c>
      <c r="BN134" t="b">
        <f t="shared" si="297"/>
        <v>0</v>
      </c>
      <c r="BO134" t="b">
        <f t="shared" si="298"/>
        <v>0</v>
      </c>
      <c r="BP134" t="b">
        <f t="shared" si="299"/>
        <v>0</v>
      </c>
      <c r="BQ134" t="b">
        <f t="shared" si="300"/>
        <v>0</v>
      </c>
      <c r="BR134" t="b">
        <f t="shared" si="301"/>
        <v>0</v>
      </c>
      <c r="BS134" t="b">
        <f t="shared" si="302"/>
        <v>0</v>
      </c>
      <c r="BT134" t="b">
        <f t="shared" si="303"/>
        <v>0</v>
      </c>
      <c r="BU134" t="b">
        <f t="shared" si="304"/>
        <v>0</v>
      </c>
      <c r="BV134" t="b">
        <f t="shared" si="305"/>
        <v>0</v>
      </c>
      <c r="BW134" t="b">
        <f t="shared" si="306"/>
        <v>0</v>
      </c>
      <c r="BX134" t="b">
        <f t="shared" si="307"/>
        <v>0</v>
      </c>
      <c r="BY134" t="b">
        <f t="shared" si="308"/>
        <v>0</v>
      </c>
      <c r="BZ134" t="b">
        <f t="shared" si="309"/>
        <v>0</v>
      </c>
      <c r="CA134" t="b">
        <f t="shared" si="310"/>
        <v>0</v>
      </c>
      <c r="CB134" t="b">
        <f t="shared" si="311"/>
        <v>0</v>
      </c>
      <c r="CC134" t="b">
        <f t="shared" si="312"/>
        <v>0</v>
      </c>
      <c r="CD134" t="b">
        <f t="shared" si="313"/>
        <v>0</v>
      </c>
      <c r="CE134">
        <f t="shared" si="314"/>
        <v>1</v>
      </c>
      <c r="CF134" t="b">
        <f t="shared" si="315"/>
        <v>0</v>
      </c>
      <c r="CG134" t="b">
        <f t="shared" si="316"/>
        <v>0</v>
      </c>
      <c r="CH134" t="b">
        <f t="shared" si="317"/>
        <v>0</v>
      </c>
      <c r="CI134" t="b">
        <f t="shared" si="318"/>
        <v>0</v>
      </c>
      <c r="CJ134" t="b">
        <f t="shared" si="319"/>
        <v>0</v>
      </c>
      <c r="CK134" t="b">
        <f t="shared" si="320"/>
        <v>0</v>
      </c>
      <c r="CL134" t="b">
        <f t="shared" si="321"/>
        <v>0</v>
      </c>
      <c r="CM134" t="b">
        <f t="shared" si="322"/>
        <v>0</v>
      </c>
      <c r="CN134" t="b">
        <f t="shared" si="323"/>
        <v>0</v>
      </c>
      <c r="CO134" t="b">
        <f t="shared" si="324"/>
        <v>0</v>
      </c>
      <c r="CP134" t="b">
        <f t="shared" si="325"/>
        <v>0</v>
      </c>
      <c r="CQ134" t="b">
        <f t="shared" si="326"/>
        <v>0</v>
      </c>
      <c r="CR134" t="b">
        <f t="shared" si="327"/>
        <v>0</v>
      </c>
      <c r="CS134" t="b">
        <f t="shared" si="328"/>
        <v>0</v>
      </c>
      <c r="CT134" t="b">
        <f t="shared" si="329"/>
        <v>0</v>
      </c>
      <c r="CU134" t="b">
        <f t="shared" si="330"/>
        <v>0</v>
      </c>
      <c r="CV134">
        <f t="shared" si="331"/>
        <v>1</v>
      </c>
      <c r="CW134" t="b">
        <f t="shared" si="332"/>
        <v>0</v>
      </c>
      <c r="CX134" t="b">
        <f t="shared" si="333"/>
        <v>0</v>
      </c>
      <c r="CY134" t="b">
        <f t="shared" si="334"/>
        <v>0</v>
      </c>
      <c r="CZ134" t="b">
        <f t="shared" si="335"/>
        <v>0</v>
      </c>
      <c r="DA134" t="b">
        <f t="shared" si="336"/>
        <v>0</v>
      </c>
      <c r="DB134" t="b">
        <f t="shared" si="337"/>
        <v>0</v>
      </c>
      <c r="DC134" t="b">
        <f t="shared" si="338"/>
        <v>0</v>
      </c>
      <c r="DD134" t="b">
        <f t="shared" si="339"/>
        <v>0</v>
      </c>
      <c r="DE134" t="b">
        <f t="shared" si="340"/>
        <v>0</v>
      </c>
      <c r="DF134" t="b">
        <f t="shared" si="341"/>
        <v>0</v>
      </c>
      <c r="DG134" t="b">
        <f t="shared" si="342"/>
        <v>0</v>
      </c>
      <c r="DH134" t="b">
        <f t="shared" si="343"/>
        <v>0</v>
      </c>
      <c r="DI134" t="b">
        <f t="shared" si="344"/>
        <v>0</v>
      </c>
      <c r="DJ134" t="b">
        <f t="shared" si="345"/>
        <v>0</v>
      </c>
      <c r="DK134" t="b">
        <f t="shared" si="346"/>
        <v>0</v>
      </c>
      <c r="DL134" t="b">
        <f t="shared" si="347"/>
        <v>0</v>
      </c>
      <c r="DM134" t="b">
        <f t="shared" si="348"/>
        <v>0</v>
      </c>
      <c r="DN134" t="b">
        <f t="shared" si="349"/>
        <v>0</v>
      </c>
      <c r="DO134" t="b">
        <f t="shared" si="350"/>
        <v>0</v>
      </c>
      <c r="DP134" t="b">
        <f t="shared" si="351"/>
        <v>0</v>
      </c>
      <c r="DQ134" t="b">
        <f t="shared" si="352"/>
        <v>0</v>
      </c>
      <c r="DR134" t="b">
        <f t="shared" si="353"/>
        <v>0</v>
      </c>
      <c r="DS134" t="b">
        <f t="shared" si="354"/>
        <v>0</v>
      </c>
      <c r="DT134" t="b">
        <f t="shared" si="355"/>
        <v>0</v>
      </c>
      <c r="DU134" t="b">
        <f t="shared" si="356"/>
        <v>0</v>
      </c>
      <c r="DV134" t="b">
        <f t="shared" si="357"/>
        <v>0</v>
      </c>
      <c r="DW134" t="b">
        <f t="shared" si="358"/>
        <v>0</v>
      </c>
      <c r="DX134" t="b">
        <f t="shared" si="359"/>
        <v>0</v>
      </c>
      <c r="DY134" t="b">
        <f t="shared" si="360"/>
        <v>0</v>
      </c>
      <c r="DZ134" t="b">
        <f t="shared" si="361"/>
        <v>0</v>
      </c>
      <c r="EA134" t="b">
        <f t="shared" si="362"/>
        <v>0</v>
      </c>
      <c r="EB134" t="b">
        <f t="shared" si="363"/>
        <v>0</v>
      </c>
      <c r="EC134" t="b">
        <f t="shared" si="364"/>
        <v>0</v>
      </c>
      <c r="ED134" t="b">
        <f t="shared" si="365"/>
        <v>0</v>
      </c>
      <c r="EE134" t="b">
        <f t="shared" si="366"/>
        <v>0</v>
      </c>
      <c r="EF134">
        <f t="shared" si="367"/>
        <v>1</v>
      </c>
      <c r="EG134" t="b">
        <f t="shared" si="368"/>
        <v>0</v>
      </c>
      <c r="EH134" t="b">
        <f t="shared" si="369"/>
        <v>0</v>
      </c>
      <c r="EI134" t="b">
        <f t="shared" si="370"/>
        <v>0</v>
      </c>
      <c r="EJ134" t="b">
        <f t="shared" si="371"/>
        <v>0</v>
      </c>
      <c r="EK134" t="b">
        <f t="shared" si="372"/>
        <v>0</v>
      </c>
    </row>
    <row r="135" spans="1:141">
      <c r="A135" t="s">
        <v>793</v>
      </c>
      <c r="B135" t="s">
        <v>794</v>
      </c>
      <c r="D135" s="1">
        <v>42754</v>
      </c>
      <c r="E135" s="2">
        <v>42815.133796296293</v>
      </c>
      <c r="F135" s="2">
        <v>42815.133796296293</v>
      </c>
      <c r="G135">
        <v>942044</v>
      </c>
      <c r="H135" t="s">
        <v>795</v>
      </c>
      <c r="I135" s="10" t="s">
        <v>796</v>
      </c>
      <c r="J135" t="s">
        <v>156</v>
      </c>
      <c r="K135" s="8" t="b">
        <v>1</v>
      </c>
      <c r="L135" s="10" t="b">
        <v>0</v>
      </c>
      <c r="M135" s="12" t="b">
        <v>1</v>
      </c>
      <c r="N135" t="b">
        <v>0</v>
      </c>
      <c r="O135" t="b">
        <v>0</v>
      </c>
      <c r="P135" t="b">
        <v>0</v>
      </c>
      <c r="Q135">
        <f t="shared" si="249"/>
        <v>5</v>
      </c>
      <c r="R135">
        <f t="shared" si="250"/>
        <v>1</v>
      </c>
      <c r="S135" t="e">
        <f t="shared" ca="1" si="280"/>
        <v>#NAME?</v>
      </c>
      <c r="T135" t="e">
        <f t="shared" ca="1" si="251"/>
        <v>#NAME?</v>
      </c>
      <c r="U135" s="4">
        <f t="shared" si="252"/>
        <v>61.13379629629344</v>
      </c>
      <c r="V135" s="4">
        <f t="shared" si="253"/>
        <v>2.037793209876448</v>
      </c>
      <c r="W135" s="4">
        <f t="shared" si="254"/>
        <v>1</v>
      </c>
      <c r="X135" s="4">
        <f t="shared" si="255"/>
        <v>0</v>
      </c>
      <c r="Y135" s="4">
        <f t="shared" si="256"/>
        <v>1</v>
      </c>
      <c r="Z135" s="4">
        <f t="shared" si="257"/>
        <v>0</v>
      </c>
      <c r="AA135" s="4">
        <f t="shared" si="258"/>
        <v>0</v>
      </c>
      <c r="AB135" s="4">
        <f t="shared" si="259"/>
        <v>0</v>
      </c>
      <c r="AC135" s="4"/>
      <c r="AD135" s="4" t="b">
        <f t="shared" si="260"/>
        <v>0</v>
      </c>
      <c r="AE135" s="4" t="b">
        <f t="shared" si="261"/>
        <v>0</v>
      </c>
      <c r="AF135" s="4" t="b">
        <f t="shared" si="262"/>
        <v>0</v>
      </c>
      <c r="AG135" t="b">
        <f t="shared" si="263"/>
        <v>0</v>
      </c>
      <c r="AH135" t="b">
        <f t="shared" si="264"/>
        <v>0</v>
      </c>
      <c r="AI135" t="b">
        <f t="shared" si="265"/>
        <v>0</v>
      </c>
      <c r="AJ135" t="b">
        <f t="shared" si="266"/>
        <v>0</v>
      </c>
      <c r="AK135" t="b">
        <f t="shared" si="267"/>
        <v>0</v>
      </c>
      <c r="AL135" t="b">
        <f t="shared" si="268"/>
        <v>0</v>
      </c>
      <c r="AM135" t="b">
        <f t="shared" si="269"/>
        <v>0</v>
      </c>
      <c r="AN135" t="b">
        <f t="shared" si="270"/>
        <v>0</v>
      </c>
      <c r="AO135" t="b">
        <f t="shared" si="271"/>
        <v>0</v>
      </c>
      <c r="AP135" t="b">
        <f t="shared" si="272"/>
        <v>0</v>
      </c>
      <c r="AQ135" t="b">
        <f t="shared" si="273"/>
        <v>0</v>
      </c>
      <c r="AR135" t="b">
        <f t="shared" si="274"/>
        <v>0</v>
      </c>
      <c r="AS135" t="b">
        <f t="shared" si="275"/>
        <v>0</v>
      </c>
      <c r="AT135" t="b">
        <f t="shared" si="276"/>
        <v>0</v>
      </c>
      <c r="AU135" t="b">
        <f t="shared" si="277"/>
        <v>0</v>
      </c>
      <c r="AV135" t="b">
        <f t="shared" si="278"/>
        <v>0</v>
      </c>
      <c r="AW135" t="b">
        <f t="shared" si="279"/>
        <v>0</v>
      </c>
      <c r="AX135" t="b">
        <f t="shared" si="281"/>
        <v>0</v>
      </c>
      <c r="AY135" t="b">
        <f t="shared" si="282"/>
        <v>0</v>
      </c>
      <c r="AZ135" t="b">
        <f t="shared" si="283"/>
        <v>0</v>
      </c>
      <c r="BA135" t="b">
        <f t="shared" si="284"/>
        <v>0</v>
      </c>
      <c r="BB135" t="b">
        <f t="shared" si="285"/>
        <v>0</v>
      </c>
      <c r="BC135" t="b">
        <f t="shared" si="286"/>
        <v>0</v>
      </c>
      <c r="BD135" t="b">
        <f t="shared" si="287"/>
        <v>0</v>
      </c>
      <c r="BE135" t="b">
        <f t="shared" si="288"/>
        <v>0</v>
      </c>
      <c r="BF135" t="b">
        <f t="shared" si="289"/>
        <v>0</v>
      </c>
      <c r="BG135" t="b">
        <f t="shared" si="290"/>
        <v>0</v>
      </c>
      <c r="BH135" t="b">
        <f t="shared" si="291"/>
        <v>0</v>
      </c>
      <c r="BI135">
        <f t="shared" si="292"/>
        <v>1</v>
      </c>
      <c r="BJ135" t="b">
        <f t="shared" si="293"/>
        <v>0</v>
      </c>
      <c r="BK135" t="b">
        <f t="shared" si="294"/>
        <v>0</v>
      </c>
      <c r="BL135" t="b">
        <f t="shared" si="295"/>
        <v>0</v>
      </c>
      <c r="BM135" t="b">
        <f t="shared" si="296"/>
        <v>0</v>
      </c>
      <c r="BN135" t="b">
        <f t="shared" si="297"/>
        <v>0</v>
      </c>
      <c r="BO135" t="b">
        <f t="shared" si="298"/>
        <v>0</v>
      </c>
      <c r="BP135" t="b">
        <f t="shared" si="299"/>
        <v>0</v>
      </c>
      <c r="BQ135" t="b">
        <f t="shared" si="300"/>
        <v>0</v>
      </c>
      <c r="BR135" t="b">
        <f t="shared" si="301"/>
        <v>0</v>
      </c>
      <c r="BS135" t="b">
        <f t="shared" si="302"/>
        <v>0</v>
      </c>
      <c r="BT135" t="b">
        <f t="shared" si="303"/>
        <v>0</v>
      </c>
      <c r="BU135" t="b">
        <f t="shared" si="304"/>
        <v>0</v>
      </c>
      <c r="BV135" t="b">
        <f t="shared" si="305"/>
        <v>0</v>
      </c>
      <c r="BW135" t="b">
        <f t="shared" si="306"/>
        <v>0</v>
      </c>
      <c r="BX135" t="b">
        <f t="shared" si="307"/>
        <v>0</v>
      </c>
      <c r="BY135" t="b">
        <f t="shared" si="308"/>
        <v>0</v>
      </c>
      <c r="BZ135" t="b">
        <f t="shared" si="309"/>
        <v>0</v>
      </c>
      <c r="CA135" t="b">
        <f t="shared" si="310"/>
        <v>0</v>
      </c>
      <c r="CB135" t="b">
        <f t="shared" si="311"/>
        <v>0</v>
      </c>
      <c r="CC135" t="b">
        <f t="shared" si="312"/>
        <v>0</v>
      </c>
      <c r="CD135" t="b">
        <f t="shared" si="313"/>
        <v>0</v>
      </c>
      <c r="CE135" t="b">
        <f t="shared" si="314"/>
        <v>0</v>
      </c>
      <c r="CF135" t="b">
        <f t="shared" si="315"/>
        <v>0</v>
      </c>
      <c r="CG135" t="b">
        <f t="shared" si="316"/>
        <v>0</v>
      </c>
      <c r="CH135" t="b">
        <f t="shared" si="317"/>
        <v>0</v>
      </c>
      <c r="CI135" t="b">
        <f t="shared" si="318"/>
        <v>0</v>
      </c>
      <c r="CJ135" t="b">
        <f t="shared" si="319"/>
        <v>0</v>
      </c>
      <c r="CK135" t="b">
        <f t="shared" si="320"/>
        <v>0</v>
      </c>
      <c r="CL135" t="b">
        <f t="shared" si="321"/>
        <v>0</v>
      </c>
      <c r="CM135" t="b">
        <f t="shared" si="322"/>
        <v>0</v>
      </c>
      <c r="CN135" t="b">
        <f t="shared" si="323"/>
        <v>0</v>
      </c>
      <c r="CO135" t="b">
        <f t="shared" si="324"/>
        <v>0</v>
      </c>
      <c r="CP135" t="b">
        <f t="shared" si="325"/>
        <v>0</v>
      </c>
      <c r="CQ135" t="b">
        <f t="shared" si="326"/>
        <v>0</v>
      </c>
      <c r="CR135" t="b">
        <f t="shared" si="327"/>
        <v>0</v>
      </c>
      <c r="CS135" t="b">
        <f t="shared" si="328"/>
        <v>0</v>
      </c>
      <c r="CT135" t="b">
        <f t="shared" si="329"/>
        <v>0</v>
      </c>
      <c r="CU135" t="b">
        <f t="shared" si="330"/>
        <v>0</v>
      </c>
      <c r="CV135">
        <f t="shared" si="331"/>
        <v>1</v>
      </c>
      <c r="CW135" t="b">
        <f t="shared" si="332"/>
        <v>0</v>
      </c>
      <c r="CX135" t="b">
        <f t="shared" si="333"/>
        <v>0</v>
      </c>
      <c r="CY135" t="b">
        <f t="shared" si="334"/>
        <v>0</v>
      </c>
      <c r="CZ135" t="b">
        <f t="shared" si="335"/>
        <v>0</v>
      </c>
      <c r="DA135" t="b">
        <f t="shared" si="336"/>
        <v>0</v>
      </c>
      <c r="DB135" t="b">
        <f t="shared" si="337"/>
        <v>0</v>
      </c>
      <c r="DC135" t="b">
        <f t="shared" si="338"/>
        <v>0</v>
      </c>
      <c r="DD135" t="b">
        <f t="shared" si="339"/>
        <v>0</v>
      </c>
      <c r="DE135" t="b">
        <f t="shared" si="340"/>
        <v>0</v>
      </c>
      <c r="DF135" t="b">
        <f t="shared" si="341"/>
        <v>0</v>
      </c>
      <c r="DG135" t="b">
        <f t="shared" si="342"/>
        <v>0</v>
      </c>
      <c r="DH135" t="b">
        <f t="shared" si="343"/>
        <v>0</v>
      </c>
      <c r="DI135" t="b">
        <f t="shared" si="344"/>
        <v>0</v>
      </c>
      <c r="DJ135" t="b">
        <f t="shared" si="345"/>
        <v>0</v>
      </c>
      <c r="DK135" t="b">
        <f t="shared" si="346"/>
        <v>0</v>
      </c>
      <c r="DL135" t="b">
        <f t="shared" si="347"/>
        <v>0</v>
      </c>
      <c r="DM135" t="b">
        <f t="shared" si="348"/>
        <v>0</v>
      </c>
      <c r="DN135" t="b">
        <f t="shared" si="349"/>
        <v>0</v>
      </c>
      <c r="DO135" t="b">
        <f t="shared" si="350"/>
        <v>0</v>
      </c>
      <c r="DP135" t="b">
        <f t="shared" si="351"/>
        <v>0</v>
      </c>
      <c r="DQ135" t="b">
        <f t="shared" si="352"/>
        <v>0</v>
      </c>
      <c r="DR135" t="b">
        <f t="shared" si="353"/>
        <v>0</v>
      </c>
      <c r="DS135" t="b">
        <f t="shared" si="354"/>
        <v>0</v>
      </c>
      <c r="DT135" t="b">
        <f t="shared" si="355"/>
        <v>0</v>
      </c>
      <c r="DU135" t="b">
        <f t="shared" si="356"/>
        <v>0</v>
      </c>
      <c r="DV135" t="b">
        <f t="shared" si="357"/>
        <v>0</v>
      </c>
      <c r="DW135" t="b">
        <f t="shared" si="358"/>
        <v>0</v>
      </c>
      <c r="DX135" t="b">
        <f t="shared" si="359"/>
        <v>0</v>
      </c>
      <c r="DY135" t="b">
        <f t="shared" si="360"/>
        <v>0</v>
      </c>
      <c r="DZ135" t="b">
        <f t="shared" si="361"/>
        <v>0</v>
      </c>
      <c r="EA135" t="b">
        <f t="shared" si="362"/>
        <v>0</v>
      </c>
      <c r="EB135" t="b">
        <f t="shared" si="363"/>
        <v>0</v>
      </c>
      <c r="EC135" t="b">
        <f t="shared" si="364"/>
        <v>0</v>
      </c>
      <c r="ED135" t="b">
        <f t="shared" si="365"/>
        <v>0</v>
      </c>
      <c r="EE135" t="b">
        <f t="shared" si="366"/>
        <v>0</v>
      </c>
      <c r="EF135">
        <f t="shared" si="367"/>
        <v>1</v>
      </c>
      <c r="EG135" t="b">
        <f t="shared" si="368"/>
        <v>0</v>
      </c>
      <c r="EH135" t="b">
        <f t="shared" si="369"/>
        <v>0</v>
      </c>
      <c r="EI135" t="b">
        <f t="shared" si="370"/>
        <v>0</v>
      </c>
      <c r="EJ135" t="b">
        <f t="shared" si="371"/>
        <v>0</v>
      </c>
      <c r="EK135" t="b">
        <f t="shared" si="372"/>
        <v>0</v>
      </c>
    </row>
    <row r="136" spans="1:141">
      <c r="A136" t="s">
        <v>797</v>
      </c>
      <c r="B136" t="s">
        <v>798</v>
      </c>
      <c r="C136" t="s">
        <v>799</v>
      </c>
      <c r="D136" s="1">
        <v>42590</v>
      </c>
      <c r="E136" s="2">
        <v>42732.020462962966</v>
      </c>
      <c r="F136" s="2">
        <v>42732.020462962966</v>
      </c>
      <c r="G136">
        <v>12865609</v>
      </c>
      <c r="H136" t="s">
        <v>800</v>
      </c>
      <c r="I136" s="10" t="s">
        <v>801</v>
      </c>
      <c r="J136" t="s">
        <v>156</v>
      </c>
      <c r="K136" s="8" t="b">
        <v>1</v>
      </c>
      <c r="L136" s="10" t="b">
        <v>0</v>
      </c>
      <c r="M136" s="12" t="b">
        <v>0</v>
      </c>
      <c r="N136" t="b">
        <v>0</v>
      </c>
      <c r="O136" t="b">
        <v>0</v>
      </c>
      <c r="P136" t="b">
        <v>0</v>
      </c>
      <c r="Q136">
        <f t="shared" si="249"/>
        <v>2</v>
      </c>
      <c r="R136">
        <f t="shared" si="250"/>
        <v>8</v>
      </c>
      <c r="S136" t="e">
        <f t="shared" ca="1" si="280"/>
        <v>#NAME?</v>
      </c>
      <c r="T136" t="e">
        <f t="shared" ca="1" si="251"/>
        <v>#NAME?</v>
      </c>
      <c r="U136" s="4">
        <f t="shared" si="252"/>
        <v>142.02046296296612</v>
      </c>
      <c r="V136" s="4">
        <f t="shared" si="253"/>
        <v>4.7340154320988708</v>
      </c>
      <c r="W136" s="4">
        <f t="shared" si="254"/>
        <v>1</v>
      </c>
      <c r="X136" s="4">
        <f t="shared" si="255"/>
        <v>0</v>
      </c>
      <c r="Y136" s="4">
        <f t="shared" si="256"/>
        <v>0</v>
      </c>
      <c r="Z136" s="4">
        <f t="shared" si="257"/>
        <v>0</v>
      </c>
      <c r="AA136" s="4">
        <f t="shared" si="258"/>
        <v>0</v>
      </c>
      <c r="AB136" s="4">
        <f t="shared" si="259"/>
        <v>0</v>
      </c>
      <c r="AC136" s="4"/>
      <c r="AD136" s="4" t="b">
        <f t="shared" si="260"/>
        <v>0</v>
      </c>
      <c r="AE136" s="4" t="b">
        <f t="shared" si="261"/>
        <v>0</v>
      </c>
      <c r="AF136" s="4" t="b">
        <f t="shared" si="262"/>
        <v>0</v>
      </c>
      <c r="AG136" t="b">
        <f t="shared" si="263"/>
        <v>0</v>
      </c>
      <c r="AH136" t="b">
        <f t="shared" si="264"/>
        <v>0</v>
      </c>
      <c r="AI136" t="b">
        <f t="shared" si="265"/>
        <v>0</v>
      </c>
      <c r="AJ136" t="b">
        <f t="shared" si="266"/>
        <v>0</v>
      </c>
      <c r="AK136" t="b">
        <f t="shared" si="267"/>
        <v>0</v>
      </c>
      <c r="AL136" t="b">
        <f t="shared" si="268"/>
        <v>0</v>
      </c>
      <c r="AM136" t="b">
        <f t="shared" si="269"/>
        <v>0</v>
      </c>
      <c r="AN136" t="b">
        <f t="shared" si="270"/>
        <v>0</v>
      </c>
      <c r="AO136" t="b">
        <f t="shared" si="271"/>
        <v>0</v>
      </c>
      <c r="AP136" t="b">
        <f t="shared" si="272"/>
        <v>0</v>
      </c>
      <c r="AQ136" t="b">
        <f t="shared" si="273"/>
        <v>0</v>
      </c>
      <c r="AR136" t="b">
        <f t="shared" si="274"/>
        <v>0</v>
      </c>
      <c r="AS136" t="b">
        <f t="shared" si="275"/>
        <v>0</v>
      </c>
      <c r="AT136" t="b">
        <f t="shared" si="276"/>
        <v>0</v>
      </c>
      <c r="AU136" t="b">
        <f t="shared" si="277"/>
        <v>0</v>
      </c>
      <c r="AV136" t="b">
        <f t="shared" si="278"/>
        <v>0</v>
      </c>
      <c r="AW136" t="b">
        <f t="shared" si="279"/>
        <v>0</v>
      </c>
      <c r="AX136" t="b">
        <f t="shared" si="281"/>
        <v>0</v>
      </c>
      <c r="AY136" t="b">
        <f t="shared" si="282"/>
        <v>0</v>
      </c>
      <c r="AZ136" t="b">
        <f t="shared" si="283"/>
        <v>0</v>
      </c>
      <c r="BA136" t="b">
        <f t="shared" si="284"/>
        <v>0</v>
      </c>
      <c r="BB136" t="b">
        <f t="shared" si="285"/>
        <v>0</v>
      </c>
      <c r="BC136" t="b">
        <f t="shared" si="286"/>
        <v>0</v>
      </c>
      <c r="BD136" t="b">
        <f t="shared" si="287"/>
        <v>0</v>
      </c>
      <c r="BE136" t="b">
        <f t="shared" si="288"/>
        <v>0</v>
      </c>
      <c r="BF136" t="b">
        <f t="shared" si="289"/>
        <v>0</v>
      </c>
      <c r="BG136" t="b">
        <f t="shared" si="290"/>
        <v>0</v>
      </c>
      <c r="BH136" t="b">
        <f t="shared" si="291"/>
        <v>0</v>
      </c>
      <c r="BI136">
        <f t="shared" si="292"/>
        <v>1</v>
      </c>
      <c r="BJ136" t="b">
        <f t="shared" si="293"/>
        <v>0</v>
      </c>
      <c r="BK136" t="b">
        <f t="shared" si="294"/>
        <v>0</v>
      </c>
      <c r="BL136" t="b">
        <f t="shared" si="295"/>
        <v>0</v>
      </c>
      <c r="BM136" t="b">
        <f t="shared" si="296"/>
        <v>0</v>
      </c>
      <c r="BN136" t="b">
        <f t="shared" si="297"/>
        <v>0</v>
      </c>
      <c r="BO136" t="b">
        <f t="shared" si="298"/>
        <v>0</v>
      </c>
      <c r="BP136" t="b">
        <f t="shared" si="299"/>
        <v>0</v>
      </c>
      <c r="BQ136" t="b">
        <f t="shared" si="300"/>
        <v>0</v>
      </c>
      <c r="BR136" t="b">
        <f t="shared" si="301"/>
        <v>0</v>
      </c>
      <c r="BS136" t="b">
        <f t="shared" si="302"/>
        <v>0</v>
      </c>
      <c r="BT136" t="b">
        <f t="shared" si="303"/>
        <v>0</v>
      </c>
      <c r="BU136" t="b">
        <f t="shared" si="304"/>
        <v>0</v>
      </c>
      <c r="BV136" t="b">
        <f t="shared" si="305"/>
        <v>0</v>
      </c>
      <c r="BW136" t="b">
        <f t="shared" si="306"/>
        <v>0</v>
      </c>
      <c r="BX136" t="b">
        <f t="shared" si="307"/>
        <v>0</v>
      </c>
      <c r="BY136" t="b">
        <f t="shared" si="308"/>
        <v>0</v>
      </c>
      <c r="BZ136" t="b">
        <f t="shared" si="309"/>
        <v>0</v>
      </c>
      <c r="CA136" t="b">
        <f t="shared" si="310"/>
        <v>0</v>
      </c>
      <c r="CB136" t="b">
        <f t="shared" si="311"/>
        <v>0</v>
      </c>
      <c r="CC136" t="b">
        <f t="shared" si="312"/>
        <v>0</v>
      </c>
      <c r="CD136" t="b">
        <f t="shared" si="313"/>
        <v>0</v>
      </c>
      <c r="CE136" t="b">
        <f t="shared" si="314"/>
        <v>0</v>
      </c>
      <c r="CF136" t="b">
        <f t="shared" si="315"/>
        <v>0</v>
      </c>
      <c r="CG136" t="b">
        <f t="shared" si="316"/>
        <v>0</v>
      </c>
      <c r="CH136" t="b">
        <f t="shared" si="317"/>
        <v>0</v>
      </c>
      <c r="CI136" t="b">
        <f t="shared" si="318"/>
        <v>0</v>
      </c>
      <c r="CJ136" t="b">
        <f t="shared" si="319"/>
        <v>0</v>
      </c>
      <c r="CK136" t="b">
        <f t="shared" si="320"/>
        <v>0</v>
      </c>
      <c r="CL136" t="b">
        <f t="shared" si="321"/>
        <v>0</v>
      </c>
      <c r="CM136" t="b">
        <f t="shared" si="322"/>
        <v>0</v>
      </c>
      <c r="CN136" t="b">
        <f t="shared" si="323"/>
        <v>0</v>
      </c>
      <c r="CO136" t="b">
        <f t="shared" si="324"/>
        <v>0</v>
      </c>
      <c r="CP136" t="b">
        <f t="shared" si="325"/>
        <v>0</v>
      </c>
      <c r="CQ136" t="b">
        <f t="shared" si="326"/>
        <v>0</v>
      </c>
      <c r="CR136" t="b">
        <f t="shared" si="327"/>
        <v>0</v>
      </c>
      <c r="CS136" t="b">
        <f t="shared" si="328"/>
        <v>0</v>
      </c>
      <c r="CT136" t="b">
        <f t="shared" si="329"/>
        <v>0</v>
      </c>
      <c r="CU136" t="b">
        <f t="shared" si="330"/>
        <v>0</v>
      </c>
      <c r="CV136">
        <f t="shared" si="331"/>
        <v>1</v>
      </c>
      <c r="CW136" t="b">
        <f t="shared" si="332"/>
        <v>0</v>
      </c>
      <c r="CX136" t="b">
        <f t="shared" si="333"/>
        <v>0</v>
      </c>
      <c r="CY136" t="b">
        <f t="shared" si="334"/>
        <v>0</v>
      </c>
      <c r="CZ136" t="b">
        <f t="shared" si="335"/>
        <v>0</v>
      </c>
      <c r="DA136" t="b">
        <f t="shared" si="336"/>
        <v>0</v>
      </c>
      <c r="DB136" t="b">
        <f t="shared" si="337"/>
        <v>0</v>
      </c>
      <c r="DC136" t="b">
        <f t="shared" si="338"/>
        <v>0</v>
      </c>
      <c r="DD136" t="b">
        <f t="shared" si="339"/>
        <v>0</v>
      </c>
      <c r="DE136" t="b">
        <f t="shared" si="340"/>
        <v>0</v>
      </c>
      <c r="DF136" t="b">
        <f t="shared" si="341"/>
        <v>0</v>
      </c>
      <c r="DG136" t="b">
        <f t="shared" si="342"/>
        <v>0</v>
      </c>
      <c r="DH136" t="b">
        <f t="shared" si="343"/>
        <v>0</v>
      </c>
      <c r="DI136" t="b">
        <f t="shared" si="344"/>
        <v>0</v>
      </c>
      <c r="DJ136" t="b">
        <f t="shared" si="345"/>
        <v>0</v>
      </c>
      <c r="DK136" t="b">
        <f t="shared" si="346"/>
        <v>0</v>
      </c>
      <c r="DL136" t="b">
        <f t="shared" si="347"/>
        <v>0</v>
      </c>
      <c r="DM136" t="b">
        <f t="shared" si="348"/>
        <v>0</v>
      </c>
      <c r="DN136" t="b">
        <f t="shared" si="349"/>
        <v>0</v>
      </c>
      <c r="DO136" t="b">
        <f t="shared" si="350"/>
        <v>0</v>
      </c>
      <c r="DP136" t="b">
        <f t="shared" si="351"/>
        <v>0</v>
      </c>
      <c r="DQ136" t="b">
        <f t="shared" si="352"/>
        <v>0</v>
      </c>
      <c r="DR136" t="b">
        <f t="shared" si="353"/>
        <v>0</v>
      </c>
      <c r="DS136" t="b">
        <f t="shared" si="354"/>
        <v>0</v>
      </c>
      <c r="DT136" t="b">
        <f t="shared" si="355"/>
        <v>0</v>
      </c>
      <c r="DU136" t="b">
        <f t="shared" si="356"/>
        <v>0</v>
      </c>
      <c r="DV136" t="b">
        <f t="shared" si="357"/>
        <v>0</v>
      </c>
      <c r="DW136" t="b">
        <f t="shared" si="358"/>
        <v>0</v>
      </c>
      <c r="DX136" t="b">
        <f t="shared" si="359"/>
        <v>0</v>
      </c>
      <c r="DY136" t="b">
        <f t="shared" si="360"/>
        <v>0</v>
      </c>
      <c r="DZ136" t="b">
        <f t="shared" si="361"/>
        <v>0</v>
      </c>
      <c r="EA136" t="b">
        <f t="shared" si="362"/>
        <v>0</v>
      </c>
      <c r="EB136" t="b">
        <f t="shared" si="363"/>
        <v>0</v>
      </c>
      <c r="EC136" t="b">
        <f t="shared" si="364"/>
        <v>0</v>
      </c>
      <c r="ED136" t="b">
        <f t="shared" si="365"/>
        <v>0</v>
      </c>
      <c r="EE136" t="b">
        <f t="shared" si="366"/>
        <v>0</v>
      </c>
      <c r="EF136">
        <f t="shared" si="367"/>
        <v>1</v>
      </c>
      <c r="EG136" t="b">
        <f t="shared" si="368"/>
        <v>0</v>
      </c>
      <c r="EH136" t="b">
        <f t="shared" si="369"/>
        <v>0</v>
      </c>
      <c r="EI136" t="b">
        <f t="shared" si="370"/>
        <v>0</v>
      </c>
      <c r="EJ136" t="b">
        <f t="shared" si="371"/>
        <v>0</v>
      </c>
      <c r="EK136" t="b">
        <f t="shared" si="372"/>
        <v>0</v>
      </c>
    </row>
    <row r="137" spans="1:141">
      <c r="A137" t="s">
        <v>802</v>
      </c>
      <c r="B137" t="s">
        <v>802</v>
      </c>
      <c r="C137" t="s">
        <v>803</v>
      </c>
      <c r="D137" s="1">
        <v>44337</v>
      </c>
      <c r="E137" s="2">
        <v>44712.957118055558</v>
      </c>
      <c r="F137" s="2">
        <v>44712.960347222222</v>
      </c>
      <c r="G137">
        <v>12314</v>
      </c>
      <c r="H137" t="s">
        <v>804</v>
      </c>
      <c r="I137" s="10" t="s">
        <v>805</v>
      </c>
      <c r="J137" t="s">
        <v>806</v>
      </c>
      <c r="K137" s="8" t="b">
        <v>1</v>
      </c>
      <c r="L137" s="10" t="b">
        <v>0</v>
      </c>
      <c r="M137" s="12" t="b">
        <v>1</v>
      </c>
      <c r="N137" t="b">
        <v>0</v>
      </c>
      <c r="O137" t="b">
        <v>0</v>
      </c>
      <c r="P137" t="b">
        <v>0</v>
      </c>
      <c r="Q137">
        <f t="shared" si="249"/>
        <v>6</v>
      </c>
      <c r="R137">
        <f t="shared" si="250"/>
        <v>5</v>
      </c>
      <c r="S137" t="e">
        <f t="shared" ca="1" si="280"/>
        <v>#NAME?</v>
      </c>
      <c r="T137" t="e">
        <f t="shared" ca="1" si="251"/>
        <v>#NAME?</v>
      </c>
      <c r="U137" s="4">
        <f t="shared" si="252"/>
        <v>375.95711805555766</v>
      </c>
      <c r="V137" s="4">
        <f t="shared" si="253"/>
        <v>12.531903935185255</v>
      </c>
      <c r="W137" s="4">
        <f t="shared" si="254"/>
        <v>1</v>
      </c>
      <c r="X137" s="4">
        <f t="shared" si="255"/>
        <v>0</v>
      </c>
      <c r="Y137" s="4">
        <f t="shared" si="256"/>
        <v>1</v>
      </c>
      <c r="Z137" s="4">
        <f t="shared" si="257"/>
        <v>0</v>
      </c>
      <c r="AA137" s="4">
        <f t="shared" si="258"/>
        <v>0</v>
      </c>
      <c r="AB137" s="4">
        <f t="shared" si="259"/>
        <v>0</v>
      </c>
      <c r="AC137" s="4"/>
      <c r="AD137" s="4" t="b">
        <f t="shared" si="260"/>
        <v>0</v>
      </c>
      <c r="AE137" s="4" t="b">
        <f t="shared" si="261"/>
        <v>0</v>
      </c>
      <c r="AF137" s="4" t="b">
        <f t="shared" si="262"/>
        <v>0</v>
      </c>
      <c r="AG137" t="b">
        <f t="shared" si="263"/>
        <v>0</v>
      </c>
      <c r="AH137" t="b">
        <f t="shared" si="264"/>
        <v>0</v>
      </c>
      <c r="AI137" t="b">
        <f t="shared" si="265"/>
        <v>0</v>
      </c>
      <c r="AJ137" t="b">
        <f t="shared" si="266"/>
        <v>0</v>
      </c>
      <c r="AK137" t="b">
        <f t="shared" si="267"/>
        <v>0</v>
      </c>
      <c r="AL137" t="b">
        <f t="shared" si="268"/>
        <v>0</v>
      </c>
      <c r="AM137" t="b">
        <f t="shared" si="269"/>
        <v>0</v>
      </c>
      <c r="AN137" t="b">
        <f t="shared" si="270"/>
        <v>0</v>
      </c>
      <c r="AO137" t="b">
        <f t="shared" si="271"/>
        <v>0</v>
      </c>
      <c r="AP137" t="b">
        <f t="shared" si="272"/>
        <v>0</v>
      </c>
      <c r="AQ137" t="b">
        <f t="shared" si="273"/>
        <v>0</v>
      </c>
      <c r="AR137" t="b">
        <f t="shared" si="274"/>
        <v>0</v>
      </c>
      <c r="AS137" t="b">
        <f t="shared" si="275"/>
        <v>0</v>
      </c>
      <c r="AT137" t="b">
        <f t="shared" si="276"/>
        <v>0</v>
      </c>
      <c r="AU137" t="b">
        <f t="shared" si="277"/>
        <v>0</v>
      </c>
      <c r="AV137" t="b">
        <f t="shared" si="278"/>
        <v>0</v>
      </c>
      <c r="AW137" t="b">
        <f t="shared" si="279"/>
        <v>0</v>
      </c>
      <c r="AX137" t="b">
        <f t="shared" si="281"/>
        <v>0</v>
      </c>
      <c r="AY137" t="b">
        <f t="shared" si="282"/>
        <v>0</v>
      </c>
      <c r="AZ137">
        <f t="shared" si="283"/>
        <v>1</v>
      </c>
      <c r="BA137" t="b">
        <f t="shared" si="284"/>
        <v>0</v>
      </c>
      <c r="BB137" t="b">
        <f t="shared" si="285"/>
        <v>0</v>
      </c>
      <c r="BC137" t="b">
        <f t="shared" si="286"/>
        <v>0</v>
      </c>
      <c r="BD137" t="b">
        <f t="shared" si="287"/>
        <v>0</v>
      </c>
      <c r="BE137" t="b">
        <f t="shared" si="288"/>
        <v>0</v>
      </c>
      <c r="BF137" t="b">
        <f t="shared" si="289"/>
        <v>0</v>
      </c>
      <c r="BG137" t="b">
        <f t="shared" si="290"/>
        <v>0</v>
      </c>
      <c r="BH137" t="b">
        <f t="shared" si="291"/>
        <v>0</v>
      </c>
      <c r="BI137">
        <f t="shared" si="292"/>
        <v>1</v>
      </c>
      <c r="BJ137" t="b">
        <f t="shared" si="293"/>
        <v>0</v>
      </c>
      <c r="BK137" t="b">
        <f t="shared" si="294"/>
        <v>0</v>
      </c>
      <c r="BL137" t="b">
        <f t="shared" si="295"/>
        <v>0</v>
      </c>
      <c r="BM137" t="b">
        <f t="shared" si="296"/>
        <v>0</v>
      </c>
      <c r="BN137" t="b">
        <f t="shared" si="297"/>
        <v>0</v>
      </c>
      <c r="BO137" t="b">
        <f t="shared" si="298"/>
        <v>0</v>
      </c>
      <c r="BP137" t="b">
        <f t="shared" si="299"/>
        <v>0</v>
      </c>
      <c r="BQ137" t="b">
        <f t="shared" si="300"/>
        <v>0</v>
      </c>
      <c r="BR137">
        <f t="shared" si="301"/>
        <v>1</v>
      </c>
      <c r="BS137" t="b">
        <f t="shared" si="302"/>
        <v>0</v>
      </c>
      <c r="BT137" t="b">
        <f t="shared" si="303"/>
        <v>0</v>
      </c>
      <c r="BU137" t="b">
        <f t="shared" si="304"/>
        <v>0</v>
      </c>
      <c r="BV137" t="b">
        <f t="shared" si="305"/>
        <v>0</v>
      </c>
      <c r="BW137" t="b">
        <f t="shared" si="306"/>
        <v>0</v>
      </c>
      <c r="BX137" t="b">
        <f t="shared" si="307"/>
        <v>0</v>
      </c>
      <c r="BY137" t="b">
        <f t="shared" si="308"/>
        <v>0</v>
      </c>
      <c r="BZ137" t="b">
        <f t="shared" si="309"/>
        <v>0</v>
      </c>
      <c r="CA137" t="b">
        <f t="shared" si="310"/>
        <v>0</v>
      </c>
      <c r="CB137" t="b">
        <f t="shared" si="311"/>
        <v>0</v>
      </c>
      <c r="CC137" t="b">
        <f t="shared" si="312"/>
        <v>0</v>
      </c>
      <c r="CD137" t="b">
        <f t="shared" si="313"/>
        <v>0</v>
      </c>
      <c r="CE137" t="b">
        <f t="shared" si="314"/>
        <v>0</v>
      </c>
      <c r="CF137" t="b">
        <f t="shared" si="315"/>
        <v>0</v>
      </c>
      <c r="CG137" t="b">
        <f t="shared" si="316"/>
        <v>0</v>
      </c>
      <c r="CH137" t="b">
        <f t="shared" si="317"/>
        <v>0</v>
      </c>
      <c r="CI137" t="b">
        <f t="shared" si="318"/>
        <v>0</v>
      </c>
      <c r="CJ137" t="b">
        <f t="shared" si="319"/>
        <v>0</v>
      </c>
      <c r="CK137" t="b">
        <f t="shared" si="320"/>
        <v>0</v>
      </c>
      <c r="CL137" t="b">
        <f t="shared" si="321"/>
        <v>0</v>
      </c>
      <c r="CM137">
        <f t="shared" si="322"/>
        <v>1</v>
      </c>
      <c r="CN137" t="b">
        <f t="shared" si="323"/>
        <v>0</v>
      </c>
      <c r="CO137" t="b">
        <f t="shared" si="324"/>
        <v>0</v>
      </c>
      <c r="CP137" t="b">
        <f t="shared" si="325"/>
        <v>0</v>
      </c>
      <c r="CQ137" t="b">
        <f t="shared" si="326"/>
        <v>0</v>
      </c>
      <c r="CR137" t="b">
        <f t="shared" si="327"/>
        <v>0</v>
      </c>
      <c r="CS137" t="b">
        <f t="shared" si="328"/>
        <v>0</v>
      </c>
      <c r="CT137" t="b">
        <f t="shared" si="329"/>
        <v>0</v>
      </c>
      <c r="CU137" t="b">
        <f t="shared" si="330"/>
        <v>0</v>
      </c>
      <c r="CV137">
        <f t="shared" si="331"/>
        <v>1</v>
      </c>
      <c r="CW137" t="b">
        <f t="shared" si="332"/>
        <v>0</v>
      </c>
      <c r="CX137" t="b">
        <f t="shared" si="333"/>
        <v>0</v>
      </c>
      <c r="CY137" t="b">
        <f t="shared" si="334"/>
        <v>0</v>
      </c>
      <c r="CZ137">
        <f t="shared" si="335"/>
        <v>1</v>
      </c>
      <c r="DA137">
        <f t="shared" si="336"/>
        <v>1</v>
      </c>
      <c r="DB137">
        <f t="shared" si="337"/>
        <v>1</v>
      </c>
      <c r="DC137" t="b">
        <f t="shared" si="338"/>
        <v>0</v>
      </c>
      <c r="DD137" t="b">
        <f t="shared" si="339"/>
        <v>0</v>
      </c>
      <c r="DE137" t="b">
        <f t="shared" si="340"/>
        <v>0</v>
      </c>
      <c r="DF137" t="b">
        <f t="shared" si="341"/>
        <v>0</v>
      </c>
      <c r="DG137" t="b">
        <f t="shared" si="342"/>
        <v>0</v>
      </c>
      <c r="DH137" t="b">
        <f t="shared" si="343"/>
        <v>0</v>
      </c>
      <c r="DI137" t="b">
        <f t="shared" si="344"/>
        <v>0</v>
      </c>
      <c r="DJ137" t="b">
        <f t="shared" si="345"/>
        <v>0</v>
      </c>
      <c r="DK137" t="b">
        <f t="shared" si="346"/>
        <v>0</v>
      </c>
      <c r="DL137" t="b">
        <f t="shared" si="347"/>
        <v>0</v>
      </c>
      <c r="DM137" t="b">
        <f t="shared" si="348"/>
        <v>0</v>
      </c>
      <c r="DN137" t="b">
        <f t="shared" si="349"/>
        <v>0</v>
      </c>
      <c r="DO137" t="b">
        <f t="shared" si="350"/>
        <v>0</v>
      </c>
      <c r="DP137" t="b">
        <f t="shared" si="351"/>
        <v>0</v>
      </c>
      <c r="DQ137">
        <f t="shared" si="352"/>
        <v>1</v>
      </c>
      <c r="DR137" t="b">
        <f t="shared" si="353"/>
        <v>0</v>
      </c>
      <c r="DS137" t="b">
        <f t="shared" si="354"/>
        <v>0</v>
      </c>
      <c r="DT137" t="b">
        <f t="shared" si="355"/>
        <v>0</v>
      </c>
      <c r="DU137" t="b">
        <f t="shared" si="356"/>
        <v>0</v>
      </c>
      <c r="DV137" t="b">
        <f t="shared" si="357"/>
        <v>0</v>
      </c>
      <c r="DW137" t="b">
        <f t="shared" si="358"/>
        <v>0</v>
      </c>
      <c r="DX137" t="b">
        <f t="shared" si="359"/>
        <v>0</v>
      </c>
      <c r="DY137" t="b">
        <f t="shared" si="360"/>
        <v>0</v>
      </c>
      <c r="DZ137" t="b">
        <f t="shared" si="361"/>
        <v>0</v>
      </c>
      <c r="EA137" t="b">
        <f t="shared" si="362"/>
        <v>0</v>
      </c>
      <c r="EB137" t="b">
        <f t="shared" si="363"/>
        <v>0</v>
      </c>
      <c r="EC137" t="b">
        <f t="shared" si="364"/>
        <v>0</v>
      </c>
      <c r="ED137" t="b">
        <f t="shared" si="365"/>
        <v>0</v>
      </c>
      <c r="EE137" t="b">
        <f t="shared" si="366"/>
        <v>0</v>
      </c>
      <c r="EF137">
        <f t="shared" si="367"/>
        <v>1</v>
      </c>
      <c r="EG137" t="b">
        <f t="shared" si="368"/>
        <v>0</v>
      </c>
      <c r="EH137" t="b">
        <f t="shared" si="369"/>
        <v>0</v>
      </c>
      <c r="EI137" t="b">
        <f t="shared" si="370"/>
        <v>0</v>
      </c>
      <c r="EJ137" t="b">
        <f t="shared" si="371"/>
        <v>0</v>
      </c>
      <c r="EK137" t="b">
        <f t="shared" si="372"/>
        <v>0</v>
      </c>
    </row>
    <row r="138" spans="1:141">
      <c r="A138" t="s">
        <v>807</v>
      </c>
      <c r="B138" t="s">
        <v>807</v>
      </c>
      <c r="C138" t="s">
        <v>808</v>
      </c>
      <c r="D138" s="1">
        <v>44498</v>
      </c>
      <c r="E138" s="2">
        <v>44504.415312500001</v>
      </c>
      <c r="F138" s="2">
        <v>44504.436759259261</v>
      </c>
      <c r="G138">
        <v>1107034</v>
      </c>
      <c r="H138" t="s">
        <v>809</v>
      </c>
      <c r="I138" s="10" t="s">
        <v>810</v>
      </c>
      <c r="J138" t="s">
        <v>811</v>
      </c>
      <c r="K138" s="8" t="b">
        <v>1</v>
      </c>
      <c r="L138" s="10" t="b">
        <v>0</v>
      </c>
      <c r="M138" s="12" t="b">
        <v>1</v>
      </c>
      <c r="N138" t="b">
        <v>0</v>
      </c>
      <c r="O138" t="b">
        <v>0</v>
      </c>
      <c r="P138" t="b">
        <v>0</v>
      </c>
      <c r="Q138">
        <f t="shared" si="249"/>
        <v>6</v>
      </c>
      <c r="R138">
        <f t="shared" si="250"/>
        <v>10</v>
      </c>
      <c r="S138" t="e">
        <f t="shared" ca="1" si="280"/>
        <v>#NAME?</v>
      </c>
      <c r="T138" t="e">
        <f t="shared" ca="1" si="251"/>
        <v>#NAME?</v>
      </c>
      <c r="U138" s="4">
        <f t="shared" si="252"/>
        <v>6.4153125000011642</v>
      </c>
      <c r="V138" s="4">
        <f t="shared" si="253"/>
        <v>0.2138437500000388</v>
      </c>
      <c r="W138" s="4">
        <f t="shared" si="254"/>
        <v>1</v>
      </c>
      <c r="X138" s="4">
        <f t="shared" si="255"/>
        <v>0</v>
      </c>
      <c r="Y138" s="4">
        <f t="shared" si="256"/>
        <v>1</v>
      </c>
      <c r="Z138" s="4">
        <f t="shared" si="257"/>
        <v>0</v>
      </c>
      <c r="AA138" s="4">
        <f t="shared" si="258"/>
        <v>0</v>
      </c>
      <c r="AB138" s="4">
        <f t="shared" si="259"/>
        <v>0</v>
      </c>
      <c r="AC138" s="4"/>
      <c r="AD138" s="4" t="b">
        <f t="shared" si="260"/>
        <v>0</v>
      </c>
      <c r="AE138" s="4" t="b">
        <f t="shared" si="261"/>
        <v>0</v>
      </c>
      <c r="AF138" s="4" t="b">
        <f t="shared" si="262"/>
        <v>0</v>
      </c>
      <c r="AG138" t="b">
        <f t="shared" si="263"/>
        <v>0</v>
      </c>
      <c r="AH138" t="b">
        <f t="shared" si="264"/>
        <v>0</v>
      </c>
      <c r="AI138" t="b">
        <f t="shared" si="265"/>
        <v>0</v>
      </c>
      <c r="AJ138" t="b">
        <f t="shared" si="266"/>
        <v>0</v>
      </c>
      <c r="AK138" t="b">
        <f t="shared" si="267"/>
        <v>0</v>
      </c>
      <c r="AL138" t="b">
        <f t="shared" si="268"/>
        <v>0</v>
      </c>
      <c r="AM138" t="b">
        <f t="shared" si="269"/>
        <v>0</v>
      </c>
      <c r="AN138" t="b">
        <f t="shared" si="270"/>
        <v>0</v>
      </c>
      <c r="AO138" t="b">
        <f t="shared" si="271"/>
        <v>0</v>
      </c>
      <c r="AP138" t="b">
        <f t="shared" si="272"/>
        <v>0</v>
      </c>
      <c r="AQ138" t="b">
        <f t="shared" si="273"/>
        <v>0</v>
      </c>
      <c r="AR138" t="b">
        <f t="shared" si="274"/>
        <v>0</v>
      </c>
      <c r="AS138" t="b">
        <f t="shared" si="275"/>
        <v>0</v>
      </c>
      <c r="AT138" t="b">
        <f t="shared" si="276"/>
        <v>0</v>
      </c>
      <c r="AU138" t="b">
        <f t="shared" si="277"/>
        <v>0</v>
      </c>
      <c r="AV138" t="b">
        <f t="shared" si="278"/>
        <v>0</v>
      </c>
      <c r="AW138" t="b">
        <f t="shared" si="279"/>
        <v>0</v>
      </c>
      <c r="AX138" t="b">
        <f t="shared" si="281"/>
        <v>0</v>
      </c>
      <c r="AY138" t="b">
        <f t="shared" si="282"/>
        <v>0</v>
      </c>
      <c r="AZ138">
        <f t="shared" si="283"/>
        <v>1</v>
      </c>
      <c r="BA138" t="b">
        <f t="shared" si="284"/>
        <v>0</v>
      </c>
      <c r="BB138" t="b">
        <f t="shared" si="285"/>
        <v>0</v>
      </c>
      <c r="BC138" t="b">
        <f t="shared" si="286"/>
        <v>0</v>
      </c>
      <c r="BD138" t="b">
        <f t="shared" si="287"/>
        <v>0</v>
      </c>
      <c r="BE138">
        <f t="shared" si="288"/>
        <v>1</v>
      </c>
      <c r="BF138" t="b">
        <f t="shared" si="289"/>
        <v>0</v>
      </c>
      <c r="BG138" t="b">
        <f t="shared" si="290"/>
        <v>0</v>
      </c>
      <c r="BH138" t="b">
        <f t="shared" si="291"/>
        <v>0</v>
      </c>
      <c r="BI138">
        <f t="shared" si="292"/>
        <v>1</v>
      </c>
      <c r="BJ138" t="b">
        <f t="shared" si="293"/>
        <v>0</v>
      </c>
      <c r="BK138" t="b">
        <f t="shared" si="294"/>
        <v>0</v>
      </c>
      <c r="BL138" t="b">
        <f t="shared" si="295"/>
        <v>0</v>
      </c>
      <c r="BM138">
        <f t="shared" si="296"/>
        <v>1</v>
      </c>
      <c r="BN138" t="b">
        <f t="shared" si="297"/>
        <v>0</v>
      </c>
      <c r="BO138" t="b">
        <f t="shared" si="298"/>
        <v>0</v>
      </c>
      <c r="BP138" t="b">
        <f t="shared" si="299"/>
        <v>0</v>
      </c>
      <c r="BQ138" t="b">
        <f t="shared" si="300"/>
        <v>0</v>
      </c>
      <c r="BR138">
        <f t="shared" si="301"/>
        <v>1</v>
      </c>
      <c r="BS138">
        <f t="shared" si="302"/>
        <v>1</v>
      </c>
      <c r="BT138" t="b">
        <f t="shared" si="303"/>
        <v>0</v>
      </c>
      <c r="BU138" t="b">
        <f t="shared" si="304"/>
        <v>0</v>
      </c>
      <c r="BV138" t="b">
        <f t="shared" si="305"/>
        <v>0</v>
      </c>
      <c r="BW138">
        <f t="shared" si="306"/>
        <v>1</v>
      </c>
      <c r="BX138" t="b">
        <f t="shared" si="307"/>
        <v>0</v>
      </c>
      <c r="BY138" t="b">
        <f t="shared" si="308"/>
        <v>0</v>
      </c>
      <c r="BZ138" t="b">
        <f t="shared" si="309"/>
        <v>0</v>
      </c>
      <c r="CA138" t="b">
        <f t="shared" si="310"/>
        <v>0</v>
      </c>
      <c r="CB138" t="b">
        <f t="shared" si="311"/>
        <v>0</v>
      </c>
      <c r="CC138" t="b">
        <f t="shared" si="312"/>
        <v>0</v>
      </c>
      <c r="CD138" t="b">
        <f t="shared" si="313"/>
        <v>0</v>
      </c>
      <c r="CE138">
        <f t="shared" si="314"/>
        <v>1</v>
      </c>
      <c r="CF138" t="b">
        <f t="shared" si="315"/>
        <v>0</v>
      </c>
      <c r="CG138" t="b">
        <f t="shared" si="316"/>
        <v>0</v>
      </c>
      <c r="CH138" t="b">
        <f t="shared" si="317"/>
        <v>0</v>
      </c>
      <c r="CI138" t="b">
        <f t="shared" si="318"/>
        <v>0</v>
      </c>
      <c r="CJ138" t="b">
        <f t="shared" si="319"/>
        <v>0</v>
      </c>
      <c r="CK138" t="b">
        <f t="shared" si="320"/>
        <v>0</v>
      </c>
      <c r="CL138" t="b">
        <f t="shared" si="321"/>
        <v>0</v>
      </c>
      <c r="CM138">
        <f t="shared" si="322"/>
        <v>1</v>
      </c>
      <c r="CN138" t="b">
        <f t="shared" si="323"/>
        <v>0</v>
      </c>
      <c r="CO138" t="b">
        <f t="shared" si="324"/>
        <v>0</v>
      </c>
      <c r="CP138" t="b">
        <f t="shared" si="325"/>
        <v>0</v>
      </c>
      <c r="CQ138" t="b">
        <f t="shared" si="326"/>
        <v>0</v>
      </c>
      <c r="CR138" t="b">
        <f t="shared" si="327"/>
        <v>0</v>
      </c>
      <c r="CS138" t="b">
        <f t="shared" si="328"/>
        <v>0</v>
      </c>
      <c r="CT138" t="b">
        <f t="shared" si="329"/>
        <v>0</v>
      </c>
      <c r="CU138" t="b">
        <f t="shared" si="330"/>
        <v>0</v>
      </c>
      <c r="CV138">
        <f t="shared" si="331"/>
        <v>1</v>
      </c>
      <c r="CW138" t="b">
        <f t="shared" si="332"/>
        <v>0</v>
      </c>
      <c r="CX138" t="b">
        <f t="shared" si="333"/>
        <v>0</v>
      </c>
      <c r="CY138" t="b">
        <f t="shared" si="334"/>
        <v>0</v>
      </c>
      <c r="CZ138">
        <f t="shared" si="335"/>
        <v>1</v>
      </c>
      <c r="DA138">
        <f t="shared" si="336"/>
        <v>1</v>
      </c>
      <c r="DB138" t="b">
        <f t="shared" si="337"/>
        <v>0</v>
      </c>
      <c r="DC138">
        <f t="shared" si="338"/>
        <v>1</v>
      </c>
      <c r="DD138" t="b">
        <f t="shared" si="339"/>
        <v>0</v>
      </c>
      <c r="DE138" t="b">
        <f t="shared" si="340"/>
        <v>0</v>
      </c>
      <c r="DF138" t="b">
        <f t="shared" si="341"/>
        <v>0</v>
      </c>
      <c r="DG138">
        <f t="shared" si="342"/>
        <v>1</v>
      </c>
      <c r="DH138" t="b">
        <f t="shared" si="343"/>
        <v>0</v>
      </c>
      <c r="DI138">
        <f t="shared" si="344"/>
        <v>1</v>
      </c>
      <c r="DJ138" t="b">
        <f t="shared" si="345"/>
        <v>0</v>
      </c>
      <c r="DK138" t="b">
        <f t="shared" si="346"/>
        <v>0</v>
      </c>
      <c r="DL138" t="b">
        <f t="shared" si="347"/>
        <v>0</v>
      </c>
      <c r="DM138" t="b">
        <f t="shared" si="348"/>
        <v>0</v>
      </c>
      <c r="DN138" t="b">
        <f t="shared" si="349"/>
        <v>0</v>
      </c>
      <c r="DO138" t="b">
        <f t="shared" si="350"/>
        <v>0</v>
      </c>
      <c r="DP138" t="b">
        <f t="shared" si="351"/>
        <v>0</v>
      </c>
      <c r="DQ138" t="b">
        <f t="shared" si="352"/>
        <v>0</v>
      </c>
      <c r="DR138" t="b">
        <f t="shared" si="353"/>
        <v>0</v>
      </c>
      <c r="DS138" t="b">
        <f t="shared" si="354"/>
        <v>0</v>
      </c>
      <c r="DT138" t="b">
        <f t="shared" si="355"/>
        <v>0</v>
      </c>
      <c r="DU138">
        <f t="shared" si="356"/>
        <v>1</v>
      </c>
      <c r="DV138">
        <f t="shared" si="357"/>
        <v>1</v>
      </c>
      <c r="DW138" t="b">
        <f t="shared" si="358"/>
        <v>0</v>
      </c>
      <c r="DX138" t="b">
        <f t="shared" si="359"/>
        <v>0</v>
      </c>
      <c r="DY138" t="b">
        <f t="shared" si="360"/>
        <v>0</v>
      </c>
      <c r="DZ138" t="b">
        <f t="shared" si="361"/>
        <v>0</v>
      </c>
      <c r="EA138" t="b">
        <f t="shared" si="362"/>
        <v>0</v>
      </c>
      <c r="EB138" t="b">
        <f t="shared" si="363"/>
        <v>0</v>
      </c>
      <c r="EC138" t="b">
        <f t="shared" si="364"/>
        <v>0</v>
      </c>
      <c r="ED138" t="b">
        <f t="shared" si="365"/>
        <v>0</v>
      </c>
      <c r="EE138" t="b">
        <f t="shared" si="366"/>
        <v>0</v>
      </c>
      <c r="EF138">
        <f t="shared" si="367"/>
        <v>1</v>
      </c>
      <c r="EG138" t="b">
        <f t="shared" si="368"/>
        <v>0</v>
      </c>
      <c r="EH138" t="b">
        <f t="shared" si="369"/>
        <v>0</v>
      </c>
      <c r="EI138" t="b">
        <f t="shared" si="370"/>
        <v>0</v>
      </c>
      <c r="EJ138" t="b">
        <f t="shared" si="371"/>
        <v>0</v>
      </c>
      <c r="EK138" t="b">
        <f t="shared" si="372"/>
        <v>0</v>
      </c>
    </row>
    <row r="139" spans="1:141">
      <c r="A139" t="s">
        <v>812</v>
      </c>
      <c r="B139" t="s">
        <v>813</v>
      </c>
      <c r="C139" t="s">
        <v>814</v>
      </c>
      <c r="D139" s="1">
        <v>42370</v>
      </c>
      <c r="E139" s="2">
        <v>43631.638321759259</v>
      </c>
      <c r="F139" s="2">
        <v>43631.638321759259</v>
      </c>
      <c r="G139">
        <v>568827</v>
      </c>
      <c r="H139" t="s">
        <v>815</v>
      </c>
      <c r="I139" s="10" t="s">
        <v>816</v>
      </c>
      <c r="J139" t="s">
        <v>188</v>
      </c>
      <c r="K139" s="8" t="b">
        <v>1</v>
      </c>
      <c r="L139" s="10" t="b">
        <v>0</v>
      </c>
      <c r="M139" s="12" t="b">
        <v>0</v>
      </c>
      <c r="N139" t="b">
        <v>0</v>
      </c>
      <c r="O139" t="b">
        <v>0</v>
      </c>
      <c r="P139" t="b">
        <v>0</v>
      </c>
      <c r="Q139">
        <f t="shared" si="249"/>
        <v>6</v>
      </c>
      <c r="R139">
        <f t="shared" si="250"/>
        <v>1</v>
      </c>
      <c r="S139" t="e">
        <f t="shared" ca="1" si="280"/>
        <v>#NAME?</v>
      </c>
      <c r="T139" t="e">
        <f t="shared" ca="1" si="251"/>
        <v>#NAME?</v>
      </c>
      <c r="U139" s="4">
        <f t="shared" si="252"/>
        <v>1261.6383217592593</v>
      </c>
      <c r="V139" s="4">
        <f t="shared" si="253"/>
        <v>42.054610725308642</v>
      </c>
      <c r="W139" s="4">
        <f t="shared" si="254"/>
        <v>1</v>
      </c>
      <c r="X139" s="4">
        <f t="shared" si="255"/>
        <v>0</v>
      </c>
      <c r="Y139" s="4">
        <f t="shared" si="256"/>
        <v>0</v>
      </c>
      <c r="Z139" s="4">
        <f t="shared" si="257"/>
        <v>0</v>
      </c>
      <c r="AA139" s="4">
        <f t="shared" si="258"/>
        <v>0</v>
      </c>
      <c r="AB139" s="4">
        <f t="shared" si="259"/>
        <v>0</v>
      </c>
      <c r="AC139" s="4"/>
      <c r="AD139" s="4" t="b">
        <f t="shared" si="260"/>
        <v>0</v>
      </c>
      <c r="AE139" s="4" t="b">
        <f t="shared" si="261"/>
        <v>0</v>
      </c>
      <c r="AF139" s="4" t="b">
        <f t="shared" si="262"/>
        <v>0</v>
      </c>
      <c r="AG139" t="b">
        <f t="shared" si="263"/>
        <v>0</v>
      </c>
      <c r="AH139" t="b">
        <f t="shared" si="264"/>
        <v>0</v>
      </c>
      <c r="AI139" t="b">
        <f t="shared" si="265"/>
        <v>0</v>
      </c>
      <c r="AJ139" t="b">
        <f t="shared" si="266"/>
        <v>0</v>
      </c>
      <c r="AK139" t="b">
        <f t="shared" si="267"/>
        <v>0</v>
      </c>
      <c r="AL139" t="b">
        <f t="shared" si="268"/>
        <v>0</v>
      </c>
      <c r="AM139" t="b">
        <f t="shared" si="269"/>
        <v>0</v>
      </c>
      <c r="AN139" t="b">
        <f t="shared" si="270"/>
        <v>0</v>
      </c>
      <c r="AO139" t="b">
        <f t="shared" si="271"/>
        <v>0</v>
      </c>
      <c r="AP139" t="b">
        <f t="shared" si="272"/>
        <v>0</v>
      </c>
      <c r="AQ139" t="b">
        <f t="shared" si="273"/>
        <v>0</v>
      </c>
      <c r="AR139" t="b">
        <f t="shared" si="274"/>
        <v>0</v>
      </c>
      <c r="AS139" t="b">
        <f t="shared" si="275"/>
        <v>0</v>
      </c>
      <c r="AT139" t="b">
        <f t="shared" si="276"/>
        <v>0</v>
      </c>
      <c r="AU139" t="b">
        <f t="shared" si="277"/>
        <v>0</v>
      </c>
      <c r="AV139" t="b">
        <f t="shared" si="278"/>
        <v>0</v>
      </c>
      <c r="AW139" t="b">
        <f t="shared" si="279"/>
        <v>0</v>
      </c>
      <c r="AX139" t="b">
        <f t="shared" si="281"/>
        <v>0</v>
      </c>
      <c r="AY139" t="b">
        <f t="shared" si="282"/>
        <v>0</v>
      </c>
      <c r="AZ139" t="b">
        <f t="shared" si="283"/>
        <v>0</v>
      </c>
      <c r="BA139" t="b">
        <f t="shared" si="284"/>
        <v>0</v>
      </c>
      <c r="BB139" t="b">
        <f t="shared" si="285"/>
        <v>0</v>
      </c>
      <c r="BC139" t="b">
        <f t="shared" si="286"/>
        <v>0</v>
      </c>
      <c r="BD139" t="b">
        <f t="shared" si="287"/>
        <v>0</v>
      </c>
      <c r="BE139" t="b">
        <f t="shared" si="288"/>
        <v>0</v>
      </c>
      <c r="BF139" t="b">
        <f t="shared" si="289"/>
        <v>0</v>
      </c>
      <c r="BG139" t="b">
        <f t="shared" si="290"/>
        <v>0</v>
      </c>
      <c r="BH139" t="b">
        <f t="shared" si="291"/>
        <v>0</v>
      </c>
      <c r="BI139">
        <f t="shared" si="292"/>
        <v>1</v>
      </c>
      <c r="BJ139" t="b">
        <f t="shared" si="293"/>
        <v>0</v>
      </c>
      <c r="BK139" t="b">
        <f t="shared" si="294"/>
        <v>0</v>
      </c>
      <c r="BL139" t="b">
        <f t="shared" si="295"/>
        <v>0</v>
      </c>
      <c r="BM139" t="b">
        <f t="shared" si="296"/>
        <v>0</v>
      </c>
      <c r="BN139" t="b">
        <f t="shared" si="297"/>
        <v>0</v>
      </c>
      <c r="BO139" t="b">
        <f t="shared" si="298"/>
        <v>0</v>
      </c>
      <c r="BP139" t="b">
        <f t="shared" si="299"/>
        <v>0</v>
      </c>
      <c r="BQ139" t="b">
        <f t="shared" si="300"/>
        <v>0</v>
      </c>
      <c r="BR139" t="b">
        <f t="shared" si="301"/>
        <v>0</v>
      </c>
      <c r="BS139" t="b">
        <f t="shared" si="302"/>
        <v>0</v>
      </c>
      <c r="BT139" t="b">
        <f t="shared" si="303"/>
        <v>0</v>
      </c>
      <c r="BU139" t="b">
        <f t="shared" si="304"/>
        <v>0</v>
      </c>
      <c r="BV139" t="b">
        <f t="shared" si="305"/>
        <v>0</v>
      </c>
      <c r="BW139" t="b">
        <f t="shared" si="306"/>
        <v>0</v>
      </c>
      <c r="BX139" t="b">
        <f t="shared" si="307"/>
        <v>0</v>
      </c>
      <c r="BY139" t="b">
        <f t="shared" si="308"/>
        <v>0</v>
      </c>
      <c r="BZ139" t="b">
        <f t="shared" si="309"/>
        <v>0</v>
      </c>
      <c r="CA139" t="b">
        <f t="shared" si="310"/>
        <v>0</v>
      </c>
      <c r="CB139" t="b">
        <f t="shared" si="311"/>
        <v>0</v>
      </c>
      <c r="CC139" t="b">
        <f t="shared" si="312"/>
        <v>0</v>
      </c>
      <c r="CD139" t="b">
        <f t="shared" si="313"/>
        <v>0</v>
      </c>
      <c r="CE139">
        <f t="shared" si="314"/>
        <v>1</v>
      </c>
      <c r="CF139" t="b">
        <f t="shared" si="315"/>
        <v>0</v>
      </c>
      <c r="CG139" t="b">
        <f t="shared" si="316"/>
        <v>0</v>
      </c>
      <c r="CH139" t="b">
        <f t="shared" si="317"/>
        <v>0</v>
      </c>
      <c r="CI139" t="b">
        <f t="shared" si="318"/>
        <v>0</v>
      </c>
      <c r="CJ139" t="b">
        <f t="shared" si="319"/>
        <v>0</v>
      </c>
      <c r="CK139" t="b">
        <f t="shared" si="320"/>
        <v>0</v>
      </c>
      <c r="CL139" t="b">
        <f t="shared" si="321"/>
        <v>0</v>
      </c>
      <c r="CM139" t="b">
        <f t="shared" si="322"/>
        <v>0</v>
      </c>
      <c r="CN139" t="b">
        <f t="shared" si="323"/>
        <v>0</v>
      </c>
      <c r="CO139" t="b">
        <f t="shared" si="324"/>
        <v>0</v>
      </c>
      <c r="CP139" t="b">
        <f t="shared" si="325"/>
        <v>0</v>
      </c>
      <c r="CQ139" t="b">
        <f t="shared" si="326"/>
        <v>0</v>
      </c>
      <c r="CR139" t="b">
        <f t="shared" si="327"/>
        <v>0</v>
      </c>
      <c r="CS139" t="b">
        <f t="shared" si="328"/>
        <v>0</v>
      </c>
      <c r="CT139" t="b">
        <f t="shared" si="329"/>
        <v>0</v>
      </c>
      <c r="CU139" t="b">
        <f t="shared" si="330"/>
        <v>0</v>
      </c>
      <c r="CV139">
        <f t="shared" si="331"/>
        <v>1</v>
      </c>
      <c r="CW139" t="b">
        <f t="shared" si="332"/>
        <v>0</v>
      </c>
      <c r="CX139" t="b">
        <f t="shared" si="333"/>
        <v>0</v>
      </c>
      <c r="CY139" t="b">
        <f t="shared" si="334"/>
        <v>0</v>
      </c>
      <c r="CZ139" t="b">
        <f t="shared" si="335"/>
        <v>0</v>
      </c>
      <c r="DA139" t="b">
        <f t="shared" si="336"/>
        <v>0</v>
      </c>
      <c r="DB139" t="b">
        <f t="shared" si="337"/>
        <v>0</v>
      </c>
      <c r="DC139" t="b">
        <f t="shared" si="338"/>
        <v>0</v>
      </c>
      <c r="DD139" t="b">
        <f t="shared" si="339"/>
        <v>0</v>
      </c>
      <c r="DE139" t="b">
        <f t="shared" si="340"/>
        <v>0</v>
      </c>
      <c r="DF139" t="b">
        <f t="shared" si="341"/>
        <v>0</v>
      </c>
      <c r="DG139" t="b">
        <f t="shared" si="342"/>
        <v>0</v>
      </c>
      <c r="DH139" t="b">
        <f t="shared" si="343"/>
        <v>0</v>
      </c>
      <c r="DI139" t="b">
        <f t="shared" si="344"/>
        <v>0</v>
      </c>
      <c r="DJ139" t="b">
        <f t="shared" si="345"/>
        <v>0</v>
      </c>
      <c r="DK139" t="b">
        <f t="shared" si="346"/>
        <v>0</v>
      </c>
      <c r="DL139" t="b">
        <f t="shared" si="347"/>
        <v>0</v>
      </c>
      <c r="DM139" t="b">
        <f t="shared" si="348"/>
        <v>0</v>
      </c>
      <c r="DN139" t="b">
        <f t="shared" si="349"/>
        <v>0</v>
      </c>
      <c r="DO139" t="b">
        <f t="shared" si="350"/>
        <v>0</v>
      </c>
      <c r="DP139" t="b">
        <f t="shared" si="351"/>
        <v>0</v>
      </c>
      <c r="DQ139" t="b">
        <f t="shared" si="352"/>
        <v>0</v>
      </c>
      <c r="DR139" t="b">
        <f t="shared" si="353"/>
        <v>0</v>
      </c>
      <c r="DS139" t="b">
        <f t="shared" si="354"/>
        <v>0</v>
      </c>
      <c r="DT139" t="b">
        <f t="shared" si="355"/>
        <v>0</v>
      </c>
      <c r="DU139" t="b">
        <f t="shared" si="356"/>
        <v>0</v>
      </c>
      <c r="DV139" t="b">
        <f t="shared" si="357"/>
        <v>0</v>
      </c>
      <c r="DW139" t="b">
        <f t="shared" si="358"/>
        <v>0</v>
      </c>
      <c r="DX139" t="b">
        <f t="shared" si="359"/>
        <v>0</v>
      </c>
      <c r="DY139" t="b">
        <f t="shared" si="360"/>
        <v>0</v>
      </c>
      <c r="DZ139" t="b">
        <f t="shared" si="361"/>
        <v>0</v>
      </c>
      <c r="EA139" t="b">
        <f t="shared" si="362"/>
        <v>0</v>
      </c>
      <c r="EB139" t="b">
        <f t="shared" si="363"/>
        <v>0</v>
      </c>
      <c r="EC139" t="b">
        <f t="shared" si="364"/>
        <v>0</v>
      </c>
      <c r="ED139" t="b">
        <f t="shared" si="365"/>
        <v>0</v>
      </c>
      <c r="EE139" t="b">
        <f t="shared" si="366"/>
        <v>0</v>
      </c>
      <c r="EF139">
        <f t="shared" si="367"/>
        <v>1</v>
      </c>
      <c r="EG139" t="b">
        <f t="shared" si="368"/>
        <v>0</v>
      </c>
      <c r="EH139" t="b">
        <f t="shared" si="369"/>
        <v>0</v>
      </c>
      <c r="EI139" t="b">
        <f t="shared" si="370"/>
        <v>0</v>
      </c>
      <c r="EJ139" t="b">
        <f t="shared" si="371"/>
        <v>0</v>
      </c>
      <c r="EK139" t="b">
        <f t="shared" si="372"/>
        <v>0</v>
      </c>
    </row>
    <row r="140" spans="1:141">
      <c r="A140" t="s">
        <v>817</v>
      </c>
      <c r="B140" t="s">
        <v>817</v>
      </c>
      <c r="C140" t="s">
        <v>818</v>
      </c>
      <c r="D140" s="1">
        <v>42871</v>
      </c>
      <c r="E140" s="2">
        <v>42873.837129629632</v>
      </c>
      <c r="F140" s="2">
        <v>42873.837129629632</v>
      </c>
      <c r="G140">
        <v>637340</v>
      </c>
      <c r="H140" t="s">
        <v>819</v>
      </c>
      <c r="I140" s="10" t="s">
        <v>820</v>
      </c>
      <c r="J140" t="s">
        <v>156</v>
      </c>
      <c r="K140" s="8" t="b">
        <v>1</v>
      </c>
      <c r="L140" s="10" t="b">
        <v>0</v>
      </c>
      <c r="M140" s="12" t="b">
        <v>0</v>
      </c>
      <c r="N140" t="b">
        <v>0</v>
      </c>
      <c r="O140" t="b">
        <v>0</v>
      </c>
      <c r="P140" t="b">
        <v>0</v>
      </c>
      <c r="Q140">
        <f t="shared" si="249"/>
        <v>3</v>
      </c>
      <c r="R140">
        <f t="shared" si="250"/>
        <v>5</v>
      </c>
      <c r="S140" t="e">
        <f t="shared" ca="1" si="280"/>
        <v>#NAME?</v>
      </c>
      <c r="T140" t="e">
        <f t="shared" ca="1" si="251"/>
        <v>#NAME?</v>
      </c>
      <c r="U140" s="4">
        <f t="shared" si="252"/>
        <v>2.8371296296318178</v>
      </c>
      <c r="V140" s="4">
        <f t="shared" si="253"/>
        <v>9.4570987654393923E-2</v>
      </c>
      <c r="W140" s="4">
        <f t="shared" si="254"/>
        <v>1</v>
      </c>
      <c r="X140" s="4">
        <f t="shared" si="255"/>
        <v>0</v>
      </c>
      <c r="Y140" s="4">
        <f t="shared" si="256"/>
        <v>0</v>
      </c>
      <c r="Z140" s="4">
        <f t="shared" si="257"/>
        <v>0</v>
      </c>
      <c r="AA140" s="4">
        <f t="shared" si="258"/>
        <v>0</v>
      </c>
      <c r="AB140" s="4">
        <f t="shared" si="259"/>
        <v>0</v>
      </c>
      <c r="AC140" s="4"/>
      <c r="AD140" s="4" t="b">
        <f t="shared" si="260"/>
        <v>0</v>
      </c>
      <c r="AE140" s="4" t="b">
        <f t="shared" si="261"/>
        <v>0</v>
      </c>
      <c r="AF140" s="4" t="b">
        <f t="shared" si="262"/>
        <v>0</v>
      </c>
      <c r="AG140" t="b">
        <f t="shared" si="263"/>
        <v>0</v>
      </c>
      <c r="AH140" t="b">
        <f t="shared" si="264"/>
        <v>0</v>
      </c>
      <c r="AI140" t="b">
        <f t="shared" si="265"/>
        <v>0</v>
      </c>
      <c r="AJ140" t="b">
        <f t="shared" si="266"/>
        <v>0</v>
      </c>
      <c r="AK140" t="b">
        <f t="shared" si="267"/>
        <v>0</v>
      </c>
      <c r="AL140" t="b">
        <f t="shared" si="268"/>
        <v>0</v>
      </c>
      <c r="AM140" t="b">
        <f t="shared" si="269"/>
        <v>0</v>
      </c>
      <c r="AN140" t="b">
        <f t="shared" si="270"/>
        <v>0</v>
      </c>
      <c r="AO140" t="b">
        <f t="shared" si="271"/>
        <v>0</v>
      </c>
      <c r="AP140" t="b">
        <f t="shared" si="272"/>
        <v>0</v>
      </c>
      <c r="AQ140" t="b">
        <f t="shared" si="273"/>
        <v>0</v>
      </c>
      <c r="AR140" t="b">
        <f t="shared" si="274"/>
        <v>0</v>
      </c>
      <c r="AS140" t="b">
        <f t="shared" si="275"/>
        <v>0</v>
      </c>
      <c r="AT140" t="b">
        <f t="shared" si="276"/>
        <v>0</v>
      </c>
      <c r="AU140" t="b">
        <f t="shared" si="277"/>
        <v>0</v>
      </c>
      <c r="AV140" t="b">
        <f t="shared" si="278"/>
        <v>0</v>
      </c>
      <c r="AW140" t="b">
        <f t="shared" si="279"/>
        <v>0</v>
      </c>
      <c r="AX140" t="b">
        <f t="shared" si="281"/>
        <v>0</v>
      </c>
      <c r="AY140" t="b">
        <f t="shared" si="282"/>
        <v>0</v>
      </c>
      <c r="AZ140" t="b">
        <f t="shared" si="283"/>
        <v>0</v>
      </c>
      <c r="BA140" t="b">
        <f t="shared" si="284"/>
        <v>0</v>
      </c>
      <c r="BB140" t="b">
        <f t="shared" si="285"/>
        <v>0</v>
      </c>
      <c r="BC140" t="b">
        <f t="shared" si="286"/>
        <v>0</v>
      </c>
      <c r="BD140" t="b">
        <f t="shared" si="287"/>
        <v>0</v>
      </c>
      <c r="BE140" t="b">
        <f t="shared" si="288"/>
        <v>0</v>
      </c>
      <c r="BF140" t="b">
        <f t="shared" si="289"/>
        <v>0</v>
      </c>
      <c r="BG140" t="b">
        <f t="shared" si="290"/>
        <v>0</v>
      </c>
      <c r="BH140" t="b">
        <f t="shared" si="291"/>
        <v>0</v>
      </c>
      <c r="BI140">
        <f t="shared" si="292"/>
        <v>1</v>
      </c>
      <c r="BJ140" t="b">
        <f t="shared" si="293"/>
        <v>0</v>
      </c>
      <c r="BK140" t="b">
        <f t="shared" si="294"/>
        <v>0</v>
      </c>
      <c r="BL140" t="b">
        <f t="shared" si="295"/>
        <v>0</v>
      </c>
      <c r="BM140" t="b">
        <f t="shared" si="296"/>
        <v>0</v>
      </c>
      <c r="BN140" t="b">
        <f t="shared" si="297"/>
        <v>0</v>
      </c>
      <c r="BO140" t="b">
        <f t="shared" si="298"/>
        <v>0</v>
      </c>
      <c r="BP140" t="b">
        <f t="shared" si="299"/>
        <v>0</v>
      </c>
      <c r="BQ140" t="b">
        <f t="shared" si="300"/>
        <v>0</v>
      </c>
      <c r="BR140" t="b">
        <f t="shared" si="301"/>
        <v>0</v>
      </c>
      <c r="BS140" t="b">
        <f t="shared" si="302"/>
        <v>0</v>
      </c>
      <c r="BT140" t="b">
        <f t="shared" si="303"/>
        <v>0</v>
      </c>
      <c r="BU140" t="b">
        <f t="shared" si="304"/>
        <v>0</v>
      </c>
      <c r="BV140" t="b">
        <f t="shared" si="305"/>
        <v>0</v>
      </c>
      <c r="BW140" t="b">
        <f t="shared" si="306"/>
        <v>0</v>
      </c>
      <c r="BX140" t="b">
        <f t="shared" si="307"/>
        <v>0</v>
      </c>
      <c r="BY140" t="b">
        <f t="shared" si="308"/>
        <v>0</v>
      </c>
      <c r="BZ140" t="b">
        <f t="shared" si="309"/>
        <v>0</v>
      </c>
      <c r="CA140" t="b">
        <f t="shared" si="310"/>
        <v>0</v>
      </c>
      <c r="CB140" t="b">
        <f t="shared" si="311"/>
        <v>0</v>
      </c>
      <c r="CC140" t="b">
        <f t="shared" si="312"/>
        <v>0</v>
      </c>
      <c r="CD140" t="b">
        <f t="shared" si="313"/>
        <v>0</v>
      </c>
      <c r="CE140" t="b">
        <f t="shared" si="314"/>
        <v>0</v>
      </c>
      <c r="CF140" t="b">
        <f t="shared" si="315"/>
        <v>0</v>
      </c>
      <c r="CG140" t="b">
        <f t="shared" si="316"/>
        <v>0</v>
      </c>
      <c r="CH140" t="b">
        <f t="shared" si="317"/>
        <v>0</v>
      </c>
      <c r="CI140" t="b">
        <f t="shared" si="318"/>
        <v>0</v>
      </c>
      <c r="CJ140" t="b">
        <f t="shared" si="319"/>
        <v>0</v>
      </c>
      <c r="CK140" t="b">
        <f t="shared" si="320"/>
        <v>0</v>
      </c>
      <c r="CL140" t="b">
        <f t="shared" si="321"/>
        <v>0</v>
      </c>
      <c r="CM140" t="b">
        <f t="shared" si="322"/>
        <v>0</v>
      </c>
      <c r="CN140" t="b">
        <f t="shared" si="323"/>
        <v>0</v>
      </c>
      <c r="CO140" t="b">
        <f t="shared" si="324"/>
        <v>0</v>
      </c>
      <c r="CP140" t="b">
        <f t="shared" si="325"/>
        <v>0</v>
      </c>
      <c r="CQ140" t="b">
        <f t="shared" si="326"/>
        <v>0</v>
      </c>
      <c r="CR140" t="b">
        <f t="shared" si="327"/>
        <v>0</v>
      </c>
      <c r="CS140" t="b">
        <f t="shared" si="328"/>
        <v>0</v>
      </c>
      <c r="CT140" t="b">
        <f t="shared" si="329"/>
        <v>0</v>
      </c>
      <c r="CU140" t="b">
        <f t="shared" si="330"/>
        <v>0</v>
      </c>
      <c r="CV140">
        <f t="shared" si="331"/>
        <v>1</v>
      </c>
      <c r="CW140" t="b">
        <f t="shared" si="332"/>
        <v>0</v>
      </c>
      <c r="CX140" t="b">
        <f t="shared" si="333"/>
        <v>0</v>
      </c>
      <c r="CY140" t="b">
        <f t="shared" si="334"/>
        <v>0</v>
      </c>
      <c r="CZ140" t="b">
        <f t="shared" si="335"/>
        <v>0</v>
      </c>
      <c r="DA140" t="b">
        <f t="shared" si="336"/>
        <v>0</v>
      </c>
      <c r="DB140" t="b">
        <f t="shared" si="337"/>
        <v>0</v>
      </c>
      <c r="DC140" t="b">
        <f t="shared" si="338"/>
        <v>0</v>
      </c>
      <c r="DD140" t="b">
        <f t="shared" si="339"/>
        <v>0</v>
      </c>
      <c r="DE140" t="b">
        <f t="shared" si="340"/>
        <v>0</v>
      </c>
      <c r="DF140" t="b">
        <f t="shared" si="341"/>
        <v>0</v>
      </c>
      <c r="DG140" t="b">
        <f t="shared" si="342"/>
        <v>0</v>
      </c>
      <c r="DH140" t="b">
        <f t="shared" si="343"/>
        <v>0</v>
      </c>
      <c r="DI140" t="b">
        <f t="shared" si="344"/>
        <v>0</v>
      </c>
      <c r="DJ140" t="b">
        <f t="shared" si="345"/>
        <v>0</v>
      </c>
      <c r="DK140" t="b">
        <f t="shared" si="346"/>
        <v>0</v>
      </c>
      <c r="DL140" t="b">
        <f t="shared" si="347"/>
        <v>0</v>
      </c>
      <c r="DM140" t="b">
        <f t="shared" si="348"/>
        <v>0</v>
      </c>
      <c r="DN140" t="b">
        <f t="shared" si="349"/>
        <v>0</v>
      </c>
      <c r="DO140" t="b">
        <f t="shared" si="350"/>
        <v>0</v>
      </c>
      <c r="DP140" t="b">
        <f t="shared" si="351"/>
        <v>0</v>
      </c>
      <c r="DQ140" t="b">
        <f t="shared" si="352"/>
        <v>0</v>
      </c>
      <c r="DR140" t="b">
        <f t="shared" si="353"/>
        <v>0</v>
      </c>
      <c r="DS140" t="b">
        <f t="shared" si="354"/>
        <v>0</v>
      </c>
      <c r="DT140" t="b">
        <f t="shared" si="355"/>
        <v>0</v>
      </c>
      <c r="DU140" t="b">
        <f t="shared" si="356"/>
        <v>0</v>
      </c>
      <c r="DV140" t="b">
        <f t="shared" si="357"/>
        <v>0</v>
      </c>
      <c r="DW140" t="b">
        <f t="shared" si="358"/>
        <v>0</v>
      </c>
      <c r="DX140" t="b">
        <f t="shared" si="359"/>
        <v>0</v>
      </c>
      <c r="DY140" t="b">
        <f t="shared" si="360"/>
        <v>0</v>
      </c>
      <c r="DZ140" t="b">
        <f t="shared" si="361"/>
        <v>0</v>
      </c>
      <c r="EA140" t="b">
        <f t="shared" si="362"/>
        <v>0</v>
      </c>
      <c r="EB140" t="b">
        <f t="shared" si="363"/>
        <v>0</v>
      </c>
      <c r="EC140" t="b">
        <f t="shared" si="364"/>
        <v>0</v>
      </c>
      <c r="ED140" t="b">
        <f t="shared" si="365"/>
        <v>0</v>
      </c>
      <c r="EE140" t="b">
        <f t="shared" si="366"/>
        <v>0</v>
      </c>
      <c r="EF140">
        <f t="shared" si="367"/>
        <v>1</v>
      </c>
      <c r="EG140" t="b">
        <f t="shared" si="368"/>
        <v>0</v>
      </c>
      <c r="EH140" t="b">
        <f t="shared" si="369"/>
        <v>0</v>
      </c>
      <c r="EI140" t="b">
        <f t="shared" si="370"/>
        <v>0</v>
      </c>
      <c r="EJ140" t="b">
        <f t="shared" si="371"/>
        <v>0</v>
      </c>
      <c r="EK140" t="b">
        <f t="shared" si="372"/>
        <v>0</v>
      </c>
    </row>
    <row r="141" spans="1:141">
      <c r="A141" t="s">
        <v>821</v>
      </c>
      <c r="B141" t="s">
        <v>822</v>
      </c>
      <c r="C141" t="s">
        <v>823</v>
      </c>
      <c r="D141" s="1">
        <v>44209</v>
      </c>
      <c r="E141" s="2">
        <v>44337.219201388885</v>
      </c>
      <c r="F141" s="2">
        <v>44337.489328703705</v>
      </c>
      <c r="G141">
        <v>8032404</v>
      </c>
      <c r="H141" t="s">
        <v>824</v>
      </c>
      <c r="I141" s="10" t="s">
        <v>825</v>
      </c>
      <c r="J141" t="s">
        <v>188</v>
      </c>
      <c r="K141" s="8" t="b">
        <v>1</v>
      </c>
      <c r="L141" s="10" t="b">
        <v>0</v>
      </c>
      <c r="M141" s="12" t="b">
        <v>0</v>
      </c>
      <c r="N141" t="b">
        <v>0</v>
      </c>
      <c r="O141" t="b">
        <v>0</v>
      </c>
      <c r="P141" t="b">
        <v>0</v>
      </c>
      <c r="Q141">
        <f t="shared" si="249"/>
        <v>4</v>
      </c>
      <c r="R141">
        <f t="shared" si="250"/>
        <v>1</v>
      </c>
      <c r="S141" t="e">
        <f t="shared" ca="1" si="280"/>
        <v>#NAME?</v>
      </c>
      <c r="T141" t="e">
        <f t="shared" ca="1" si="251"/>
        <v>#NAME?</v>
      </c>
      <c r="U141" s="4">
        <f t="shared" si="252"/>
        <v>128.21920138888527</v>
      </c>
      <c r="V141" s="4">
        <f t="shared" si="253"/>
        <v>4.273973379629509</v>
      </c>
      <c r="W141" s="4">
        <f t="shared" si="254"/>
        <v>1</v>
      </c>
      <c r="X141" s="4">
        <f t="shared" si="255"/>
        <v>0</v>
      </c>
      <c r="Y141" s="4">
        <f t="shared" si="256"/>
        <v>0</v>
      </c>
      <c r="Z141" s="4">
        <f t="shared" si="257"/>
        <v>0</v>
      </c>
      <c r="AA141" s="4">
        <f t="shared" si="258"/>
        <v>0</v>
      </c>
      <c r="AB141" s="4">
        <f t="shared" si="259"/>
        <v>0</v>
      </c>
      <c r="AC141" s="4"/>
      <c r="AD141" s="4" t="b">
        <f t="shared" si="260"/>
        <v>0</v>
      </c>
      <c r="AE141" s="4" t="b">
        <f t="shared" si="261"/>
        <v>0</v>
      </c>
      <c r="AF141" s="4" t="b">
        <f t="shared" si="262"/>
        <v>0</v>
      </c>
      <c r="AG141" t="b">
        <f t="shared" si="263"/>
        <v>0</v>
      </c>
      <c r="AH141" t="b">
        <f t="shared" si="264"/>
        <v>0</v>
      </c>
      <c r="AI141" t="b">
        <f t="shared" si="265"/>
        <v>0</v>
      </c>
      <c r="AJ141" t="b">
        <f t="shared" si="266"/>
        <v>0</v>
      </c>
      <c r="AK141" t="b">
        <f t="shared" si="267"/>
        <v>0</v>
      </c>
      <c r="AL141" t="b">
        <f t="shared" si="268"/>
        <v>0</v>
      </c>
      <c r="AM141" t="b">
        <f t="shared" si="269"/>
        <v>0</v>
      </c>
      <c r="AN141" t="b">
        <f t="shared" si="270"/>
        <v>0</v>
      </c>
      <c r="AO141" t="b">
        <f t="shared" si="271"/>
        <v>0</v>
      </c>
      <c r="AP141" t="b">
        <f t="shared" si="272"/>
        <v>0</v>
      </c>
      <c r="AQ141" t="b">
        <f t="shared" si="273"/>
        <v>0</v>
      </c>
      <c r="AR141" t="b">
        <f t="shared" si="274"/>
        <v>0</v>
      </c>
      <c r="AS141" t="b">
        <f t="shared" si="275"/>
        <v>0</v>
      </c>
      <c r="AT141" t="b">
        <f t="shared" si="276"/>
        <v>0</v>
      </c>
      <c r="AU141" t="b">
        <f t="shared" si="277"/>
        <v>0</v>
      </c>
      <c r="AV141" t="b">
        <f t="shared" si="278"/>
        <v>0</v>
      </c>
      <c r="AW141" t="b">
        <f t="shared" si="279"/>
        <v>0</v>
      </c>
      <c r="AX141" t="b">
        <f t="shared" si="281"/>
        <v>0</v>
      </c>
      <c r="AY141" t="b">
        <f t="shared" si="282"/>
        <v>0</v>
      </c>
      <c r="AZ141" t="b">
        <f t="shared" si="283"/>
        <v>0</v>
      </c>
      <c r="BA141" t="b">
        <f t="shared" si="284"/>
        <v>0</v>
      </c>
      <c r="BB141" t="b">
        <f t="shared" si="285"/>
        <v>0</v>
      </c>
      <c r="BC141" t="b">
        <f t="shared" si="286"/>
        <v>0</v>
      </c>
      <c r="BD141" t="b">
        <f t="shared" si="287"/>
        <v>0</v>
      </c>
      <c r="BE141" t="b">
        <f t="shared" si="288"/>
        <v>0</v>
      </c>
      <c r="BF141" t="b">
        <f t="shared" si="289"/>
        <v>0</v>
      </c>
      <c r="BG141" t="b">
        <f t="shared" si="290"/>
        <v>0</v>
      </c>
      <c r="BH141" t="b">
        <f t="shared" si="291"/>
        <v>0</v>
      </c>
      <c r="BI141">
        <f t="shared" si="292"/>
        <v>1</v>
      </c>
      <c r="BJ141" t="b">
        <f t="shared" si="293"/>
        <v>0</v>
      </c>
      <c r="BK141" t="b">
        <f t="shared" si="294"/>
        <v>0</v>
      </c>
      <c r="BL141" t="b">
        <f t="shared" si="295"/>
        <v>0</v>
      </c>
      <c r="BM141" t="b">
        <f t="shared" si="296"/>
        <v>0</v>
      </c>
      <c r="BN141" t="b">
        <f t="shared" si="297"/>
        <v>0</v>
      </c>
      <c r="BO141" t="b">
        <f t="shared" si="298"/>
        <v>0</v>
      </c>
      <c r="BP141" t="b">
        <f t="shared" si="299"/>
        <v>0</v>
      </c>
      <c r="BQ141" t="b">
        <f t="shared" si="300"/>
        <v>0</v>
      </c>
      <c r="BR141" t="b">
        <f t="shared" si="301"/>
        <v>0</v>
      </c>
      <c r="BS141" t="b">
        <f t="shared" si="302"/>
        <v>0</v>
      </c>
      <c r="BT141" t="b">
        <f t="shared" si="303"/>
        <v>0</v>
      </c>
      <c r="BU141" t="b">
        <f t="shared" si="304"/>
        <v>0</v>
      </c>
      <c r="BV141" t="b">
        <f t="shared" si="305"/>
        <v>0</v>
      </c>
      <c r="BW141" t="b">
        <f t="shared" si="306"/>
        <v>0</v>
      </c>
      <c r="BX141" t="b">
        <f t="shared" si="307"/>
        <v>0</v>
      </c>
      <c r="BY141" t="b">
        <f t="shared" si="308"/>
        <v>0</v>
      </c>
      <c r="BZ141" t="b">
        <f t="shared" si="309"/>
        <v>0</v>
      </c>
      <c r="CA141" t="b">
        <f t="shared" si="310"/>
        <v>0</v>
      </c>
      <c r="CB141" t="b">
        <f t="shared" si="311"/>
        <v>0</v>
      </c>
      <c r="CC141" t="b">
        <f t="shared" si="312"/>
        <v>0</v>
      </c>
      <c r="CD141" t="b">
        <f t="shared" si="313"/>
        <v>0</v>
      </c>
      <c r="CE141">
        <f t="shared" si="314"/>
        <v>1</v>
      </c>
      <c r="CF141" t="b">
        <f t="shared" si="315"/>
        <v>0</v>
      </c>
      <c r="CG141" t="b">
        <f t="shared" si="316"/>
        <v>0</v>
      </c>
      <c r="CH141" t="b">
        <f t="shared" si="317"/>
        <v>0</v>
      </c>
      <c r="CI141" t="b">
        <f t="shared" si="318"/>
        <v>0</v>
      </c>
      <c r="CJ141" t="b">
        <f t="shared" si="319"/>
        <v>0</v>
      </c>
      <c r="CK141" t="b">
        <f t="shared" si="320"/>
        <v>0</v>
      </c>
      <c r="CL141" t="b">
        <f t="shared" si="321"/>
        <v>0</v>
      </c>
      <c r="CM141" t="b">
        <f t="shared" si="322"/>
        <v>0</v>
      </c>
      <c r="CN141" t="b">
        <f t="shared" si="323"/>
        <v>0</v>
      </c>
      <c r="CO141" t="b">
        <f t="shared" si="324"/>
        <v>0</v>
      </c>
      <c r="CP141" t="b">
        <f t="shared" si="325"/>
        <v>0</v>
      </c>
      <c r="CQ141" t="b">
        <f t="shared" si="326"/>
        <v>0</v>
      </c>
      <c r="CR141" t="b">
        <f t="shared" si="327"/>
        <v>0</v>
      </c>
      <c r="CS141" t="b">
        <f t="shared" si="328"/>
        <v>0</v>
      </c>
      <c r="CT141" t="b">
        <f t="shared" si="329"/>
        <v>0</v>
      </c>
      <c r="CU141" t="b">
        <f t="shared" si="330"/>
        <v>0</v>
      </c>
      <c r="CV141">
        <f t="shared" si="331"/>
        <v>1</v>
      </c>
      <c r="CW141" t="b">
        <f t="shared" si="332"/>
        <v>0</v>
      </c>
      <c r="CX141" t="b">
        <f t="shared" si="333"/>
        <v>0</v>
      </c>
      <c r="CY141" t="b">
        <f t="shared" si="334"/>
        <v>0</v>
      </c>
      <c r="CZ141" t="b">
        <f t="shared" si="335"/>
        <v>0</v>
      </c>
      <c r="DA141" t="b">
        <f t="shared" si="336"/>
        <v>0</v>
      </c>
      <c r="DB141" t="b">
        <f t="shared" si="337"/>
        <v>0</v>
      </c>
      <c r="DC141" t="b">
        <f t="shared" si="338"/>
        <v>0</v>
      </c>
      <c r="DD141" t="b">
        <f t="shared" si="339"/>
        <v>0</v>
      </c>
      <c r="DE141" t="b">
        <f t="shared" si="340"/>
        <v>0</v>
      </c>
      <c r="DF141" t="b">
        <f t="shared" si="341"/>
        <v>0</v>
      </c>
      <c r="DG141" t="b">
        <f t="shared" si="342"/>
        <v>0</v>
      </c>
      <c r="DH141" t="b">
        <f t="shared" si="343"/>
        <v>0</v>
      </c>
      <c r="DI141" t="b">
        <f t="shared" si="344"/>
        <v>0</v>
      </c>
      <c r="DJ141" t="b">
        <f t="shared" si="345"/>
        <v>0</v>
      </c>
      <c r="DK141" t="b">
        <f t="shared" si="346"/>
        <v>0</v>
      </c>
      <c r="DL141" t="b">
        <f t="shared" si="347"/>
        <v>0</v>
      </c>
      <c r="DM141" t="b">
        <f t="shared" si="348"/>
        <v>0</v>
      </c>
      <c r="DN141" t="b">
        <f t="shared" si="349"/>
        <v>0</v>
      </c>
      <c r="DO141" t="b">
        <f t="shared" si="350"/>
        <v>0</v>
      </c>
      <c r="DP141" t="b">
        <f t="shared" si="351"/>
        <v>0</v>
      </c>
      <c r="DQ141" t="b">
        <f t="shared" si="352"/>
        <v>0</v>
      </c>
      <c r="DR141" t="b">
        <f t="shared" si="353"/>
        <v>0</v>
      </c>
      <c r="DS141" t="b">
        <f t="shared" si="354"/>
        <v>0</v>
      </c>
      <c r="DT141" t="b">
        <f t="shared" si="355"/>
        <v>0</v>
      </c>
      <c r="DU141" t="b">
        <f t="shared" si="356"/>
        <v>0</v>
      </c>
      <c r="DV141" t="b">
        <f t="shared" si="357"/>
        <v>0</v>
      </c>
      <c r="DW141" t="b">
        <f t="shared" si="358"/>
        <v>0</v>
      </c>
      <c r="DX141" t="b">
        <f t="shared" si="359"/>
        <v>0</v>
      </c>
      <c r="DY141" t="b">
        <f t="shared" si="360"/>
        <v>0</v>
      </c>
      <c r="DZ141" t="b">
        <f t="shared" si="361"/>
        <v>0</v>
      </c>
      <c r="EA141" t="b">
        <f t="shared" si="362"/>
        <v>0</v>
      </c>
      <c r="EB141" t="b">
        <f t="shared" si="363"/>
        <v>0</v>
      </c>
      <c r="EC141" t="b">
        <f t="shared" si="364"/>
        <v>0</v>
      </c>
      <c r="ED141" t="b">
        <f t="shared" si="365"/>
        <v>0</v>
      </c>
      <c r="EE141" t="b">
        <f t="shared" si="366"/>
        <v>0</v>
      </c>
      <c r="EF141">
        <f t="shared" si="367"/>
        <v>1</v>
      </c>
      <c r="EG141" t="b">
        <f t="shared" si="368"/>
        <v>0</v>
      </c>
      <c r="EH141" t="b">
        <f t="shared" si="369"/>
        <v>0</v>
      </c>
      <c r="EI141" t="b">
        <f t="shared" si="370"/>
        <v>0</v>
      </c>
      <c r="EJ141" t="b">
        <f t="shared" si="371"/>
        <v>0</v>
      </c>
      <c r="EK141" t="b">
        <f t="shared" si="372"/>
        <v>0</v>
      </c>
    </row>
    <row r="142" spans="1:141">
      <c r="A142" t="s">
        <v>826</v>
      </c>
      <c r="B142" t="s">
        <v>826</v>
      </c>
      <c r="C142" t="s">
        <v>827</v>
      </c>
      <c r="D142" s="1">
        <v>42663</v>
      </c>
      <c r="E142" s="2">
        <v>42954.118888888886</v>
      </c>
      <c r="F142" s="2">
        <v>42954.118888888886</v>
      </c>
      <c r="G142">
        <v>85176234</v>
      </c>
      <c r="H142" t="s">
        <v>828</v>
      </c>
      <c r="I142" s="10" t="s">
        <v>829</v>
      </c>
      <c r="J142" t="s">
        <v>156</v>
      </c>
      <c r="K142" s="8" t="b">
        <v>1</v>
      </c>
      <c r="L142" s="10" t="b">
        <v>0</v>
      </c>
      <c r="M142" s="12" t="b">
        <v>0</v>
      </c>
      <c r="N142" t="b">
        <v>0</v>
      </c>
      <c r="O142" t="b">
        <v>0</v>
      </c>
      <c r="P142" t="b">
        <v>0</v>
      </c>
      <c r="Q142">
        <f t="shared" si="249"/>
        <v>5</v>
      </c>
      <c r="R142">
        <f t="shared" si="250"/>
        <v>10</v>
      </c>
      <c r="S142" t="e">
        <f t="shared" ca="1" si="280"/>
        <v>#NAME?</v>
      </c>
      <c r="T142" t="e">
        <f t="shared" ca="1" si="251"/>
        <v>#NAME?</v>
      </c>
      <c r="U142" s="4">
        <f t="shared" si="252"/>
        <v>291.11888888888643</v>
      </c>
      <c r="V142" s="4">
        <f t="shared" si="253"/>
        <v>9.7039629629628816</v>
      </c>
      <c r="W142" s="4">
        <f t="shared" si="254"/>
        <v>1</v>
      </c>
      <c r="X142" s="4">
        <f t="shared" si="255"/>
        <v>0</v>
      </c>
      <c r="Y142" s="4">
        <f t="shared" si="256"/>
        <v>0</v>
      </c>
      <c r="Z142" s="4">
        <f t="shared" si="257"/>
        <v>0</v>
      </c>
      <c r="AA142" s="4">
        <f t="shared" si="258"/>
        <v>0</v>
      </c>
      <c r="AB142" s="4">
        <f t="shared" si="259"/>
        <v>0</v>
      </c>
      <c r="AC142" s="4"/>
      <c r="AD142" s="4" t="b">
        <f t="shared" si="260"/>
        <v>0</v>
      </c>
      <c r="AE142" s="4" t="b">
        <f t="shared" si="261"/>
        <v>0</v>
      </c>
      <c r="AF142" s="4" t="b">
        <f t="shared" si="262"/>
        <v>0</v>
      </c>
      <c r="AG142" t="b">
        <f t="shared" si="263"/>
        <v>0</v>
      </c>
      <c r="AH142" t="b">
        <f t="shared" si="264"/>
        <v>0</v>
      </c>
      <c r="AI142" t="b">
        <f t="shared" si="265"/>
        <v>0</v>
      </c>
      <c r="AJ142" t="b">
        <f t="shared" si="266"/>
        <v>0</v>
      </c>
      <c r="AK142" t="b">
        <f t="shared" si="267"/>
        <v>0</v>
      </c>
      <c r="AL142" t="b">
        <f t="shared" si="268"/>
        <v>0</v>
      </c>
      <c r="AM142" t="b">
        <f t="shared" si="269"/>
        <v>0</v>
      </c>
      <c r="AN142" t="b">
        <f t="shared" si="270"/>
        <v>0</v>
      </c>
      <c r="AO142" t="b">
        <f t="shared" si="271"/>
        <v>0</v>
      </c>
      <c r="AP142" t="b">
        <f t="shared" si="272"/>
        <v>0</v>
      </c>
      <c r="AQ142" t="b">
        <f t="shared" si="273"/>
        <v>0</v>
      </c>
      <c r="AR142" t="b">
        <f t="shared" si="274"/>
        <v>0</v>
      </c>
      <c r="AS142" t="b">
        <f t="shared" si="275"/>
        <v>0</v>
      </c>
      <c r="AT142" t="b">
        <f t="shared" si="276"/>
        <v>0</v>
      </c>
      <c r="AU142" t="b">
        <f t="shared" si="277"/>
        <v>0</v>
      </c>
      <c r="AV142" t="b">
        <f t="shared" si="278"/>
        <v>0</v>
      </c>
      <c r="AW142" t="b">
        <f t="shared" si="279"/>
        <v>0</v>
      </c>
      <c r="AX142" t="b">
        <f t="shared" si="281"/>
        <v>0</v>
      </c>
      <c r="AY142" t="b">
        <f t="shared" si="282"/>
        <v>0</v>
      </c>
      <c r="AZ142" t="b">
        <f t="shared" si="283"/>
        <v>0</v>
      </c>
      <c r="BA142" t="b">
        <f t="shared" si="284"/>
        <v>0</v>
      </c>
      <c r="BB142" t="b">
        <f t="shared" si="285"/>
        <v>0</v>
      </c>
      <c r="BC142" t="b">
        <f t="shared" si="286"/>
        <v>0</v>
      </c>
      <c r="BD142" t="b">
        <f t="shared" si="287"/>
        <v>0</v>
      </c>
      <c r="BE142" t="b">
        <f t="shared" si="288"/>
        <v>0</v>
      </c>
      <c r="BF142" t="b">
        <f t="shared" si="289"/>
        <v>0</v>
      </c>
      <c r="BG142" t="b">
        <f t="shared" si="290"/>
        <v>0</v>
      </c>
      <c r="BH142" t="b">
        <f t="shared" si="291"/>
        <v>0</v>
      </c>
      <c r="BI142">
        <f t="shared" si="292"/>
        <v>1</v>
      </c>
      <c r="BJ142" t="b">
        <f t="shared" si="293"/>
        <v>0</v>
      </c>
      <c r="BK142" t="b">
        <f t="shared" si="294"/>
        <v>0</v>
      </c>
      <c r="BL142" t="b">
        <f t="shared" si="295"/>
        <v>0</v>
      </c>
      <c r="BM142" t="b">
        <f t="shared" si="296"/>
        <v>0</v>
      </c>
      <c r="BN142" t="b">
        <f t="shared" si="297"/>
        <v>0</v>
      </c>
      <c r="BO142" t="b">
        <f t="shared" si="298"/>
        <v>0</v>
      </c>
      <c r="BP142" t="b">
        <f t="shared" si="299"/>
        <v>0</v>
      </c>
      <c r="BQ142" t="b">
        <f t="shared" si="300"/>
        <v>0</v>
      </c>
      <c r="BR142" t="b">
        <f t="shared" si="301"/>
        <v>0</v>
      </c>
      <c r="BS142" t="b">
        <f t="shared" si="302"/>
        <v>0</v>
      </c>
      <c r="BT142" t="b">
        <f t="shared" si="303"/>
        <v>0</v>
      </c>
      <c r="BU142" t="b">
        <f t="shared" si="304"/>
        <v>0</v>
      </c>
      <c r="BV142" t="b">
        <f t="shared" si="305"/>
        <v>0</v>
      </c>
      <c r="BW142" t="b">
        <f t="shared" si="306"/>
        <v>0</v>
      </c>
      <c r="BX142" t="b">
        <f t="shared" si="307"/>
        <v>0</v>
      </c>
      <c r="BY142" t="b">
        <f t="shared" si="308"/>
        <v>0</v>
      </c>
      <c r="BZ142" t="b">
        <f t="shared" si="309"/>
        <v>0</v>
      </c>
      <c r="CA142" t="b">
        <f t="shared" si="310"/>
        <v>0</v>
      </c>
      <c r="CB142" t="b">
        <f t="shared" si="311"/>
        <v>0</v>
      </c>
      <c r="CC142" t="b">
        <f t="shared" si="312"/>
        <v>0</v>
      </c>
      <c r="CD142" t="b">
        <f t="shared" si="313"/>
        <v>0</v>
      </c>
      <c r="CE142" t="b">
        <f t="shared" si="314"/>
        <v>0</v>
      </c>
      <c r="CF142" t="b">
        <f t="shared" si="315"/>
        <v>0</v>
      </c>
      <c r="CG142" t="b">
        <f t="shared" si="316"/>
        <v>0</v>
      </c>
      <c r="CH142" t="b">
        <f t="shared" si="317"/>
        <v>0</v>
      </c>
      <c r="CI142" t="b">
        <f t="shared" si="318"/>
        <v>0</v>
      </c>
      <c r="CJ142" t="b">
        <f t="shared" si="319"/>
        <v>0</v>
      </c>
      <c r="CK142" t="b">
        <f t="shared" si="320"/>
        <v>0</v>
      </c>
      <c r="CL142" t="b">
        <f t="shared" si="321"/>
        <v>0</v>
      </c>
      <c r="CM142" t="b">
        <f t="shared" si="322"/>
        <v>0</v>
      </c>
      <c r="CN142" t="b">
        <f t="shared" si="323"/>
        <v>0</v>
      </c>
      <c r="CO142" t="b">
        <f t="shared" si="324"/>
        <v>0</v>
      </c>
      <c r="CP142" t="b">
        <f t="shared" si="325"/>
        <v>0</v>
      </c>
      <c r="CQ142" t="b">
        <f t="shared" si="326"/>
        <v>0</v>
      </c>
      <c r="CR142" t="b">
        <f t="shared" si="327"/>
        <v>0</v>
      </c>
      <c r="CS142" t="b">
        <f t="shared" si="328"/>
        <v>0</v>
      </c>
      <c r="CT142" t="b">
        <f t="shared" si="329"/>
        <v>0</v>
      </c>
      <c r="CU142" t="b">
        <f t="shared" si="330"/>
        <v>0</v>
      </c>
      <c r="CV142">
        <f t="shared" si="331"/>
        <v>1</v>
      </c>
      <c r="CW142" t="b">
        <f t="shared" si="332"/>
        <v>0</v>
      </c>
      <c r="CX142" t="b">
        <f t="shared" si="333"/>
        <v>0</v>
      </c>
      <c r="CY142" t="b">
        <f t="shared" si="334"/>
        <v>0</v>
      </c>
      <c r="CZ142" t="b">
        <f t="shared" si="335"/>
        <v>0</v>
      </c>
      <c r="DA142" t="b">
        <f t="shared" si="336"/>
        <v>0</v>
      </c>
      <c r="DB142" t="b">
        <f t="shared" si="337"/>
        <v>0</v>
      </c>
      <c r="DC142" t="b">
        <f t="shared" si="338"/>
        <v>0</v>
      </c>
      <c r="DD142" t="b">
        <f t="shared" si="339"/>
        <v>0</v>
      </c>
      <c r="DE142" t="b">
        <f t="shared" si="340"/>
        <v>0</v>
      </c>
      <c r="DF142" t="b">
        <f t="shared" si="341"/>
        <v>0</v>
      </c>
      <c r="DG142" t="b">
        <f t="shared" si="342"/>
        <v>0</v>
      </c>
      <c r="DH142" t="b">
        <f t="shared" si="343"/>
        <v>0</v>
      </c>
      <c r="DI142" t="b">
        <f t="shared" si="344"/>
        <v>0</v>
      </c>
      <c r="DJ142" t="b">
        <f t="shared" si="345"/>
        <v>0</v>
      </c>
      <c r="DK142" t="b">
        <f t="shared" si="346"/>
        <v>0</v>
      </c>
      <c r="DL142" t="b">
        <f t="shared" si="347"/>
        <v>0</v>
      </c>
      <c r="DM142" t="b">
        <f t="shared" si="348"/>
        <v>0</v>
      </c>
      <c r="DN142" t="b">
        <f t="shared" si="349"/>
        <v>0</v>
      </c>
      <c r="DO142" t="b">
        <f t="shared" si="350"/>
        <v>0</v>
      </c>
      <c r="DP142" t="b">
        <f t="shared" si="351"/>
        <v>0</v>
      </c>
      <c r="DQ142" t="b">
        <f t="shared" si="352"/>
        <v>0</v>
      </c>
      <c r="DR142" t="b">
        <f t="shared" si="353"/>
        <v>0</v>
      </c>
      <c r="DS142" t="b">
        <f t="shared" si="354"/>
        <v>0</v>
      </c>
      <c r="DT142" t="b">
        <f t="shared" si="355"/>
        <v>0</v>
      </c>
      <c r="DU142" t="b">
        <f t="shared" si="356"/>
        <v>0</v>
      </c>
      <c r="DV142" t="b">
        <f t="shared" si="357"/>
        <v>0</v>
      </c>
      <c r="DW142" t="b">
        <f t="shared" si="358"/>
        <v>0</v>
      </c>
      <c r="DX142" t="b">
        <f t="shared" si="359"/>
        <v>0</v>
      </c>
      <c r="DY142" t="b">
        <f t="shared" si="360"/>
        <v>0</v>
      </c>
      <c r="DZ142" t="b">
        <f t="shared" si="361"/>
        <v>0</v>
      </c>
      <c r="EA142" t="b">
        <f t="shared" si="362"/>
        <v>0</v>
      </c>
      <c r="EB142" t="b">
        <f t="shared" si="363"/>
        <v>0</v>
      </c>
      <c r="EC142" t="b">
        <f t="shared" si="364"/>
        <v>0</v>
      </c>
      <c r="ED142" t="b">
        <f t="shared" si="365"/>
        <v>0</v>
      </c>
      <c r="EE142" t="b">
        <f t="shared" si="366"/>
        <v>0</v>
      </c>
      <c r="EF142">
        <f t="shared" si="367"/>
        <v>1</v>
      </c>
      <c r="EG142" t="b">
        <f t="shared" si="368"/>
        <v>0</v>
      </c>
      <c r="EH142" t="b">
        <f t="shared" si="369"/>
        <v>0</v>
      </c>
      <c r="EI142" t="b">
        <f t="shared" si="370"/>
        <v>0</v>
      </c>
      <c r="EJ142" t="b">
        <f t="shared" si="371"/>
        <v>0</v>
      </c>
      <c r="EK142" t="b">
        <f t="shared" si="372"/>
        <v>0</v>
      </c>
    </row>
    <row r="143" spans="1:141">
      <c r="A143" t="s">
        <v>830</v>
      </c>
      <c r="B143" t="s">
        <v>830</v>
      </c>
      <c r="C143" t="s">
        <v>831</v>
      </c>
      <c r="D143" s="1">
        <v>43101</v>
      </c>
      <c r="E143" s="2">
        <v>43858.451388888891</v>
      </c>
      <c r="F143" s="2">
        <v>43858.451388888891</v>
      </c>
      <c r="G143">
        <v>464260</v>
      </c>
      <c r="H143" t="s">
        <v>832</v>
      </c>
      <c r="I143" s="10" t="s">
        <v>833</v>
      </c>
      <c r="J143" t="s">
        <v>290</v>
      </c>
      <c r="K143" s="8" t="b">
        <v>1</v>
      </c>
      <c r="L143" s="10" t="b">
        <v>0</v>
      </c>
      <c r="M143" s="12" t="b">
        <v>0</v>
      </c>
      <c r="N143" t="b">
        <v>0</v>
      </c>
      <c r="O143" t="b">
        <v>0</v>
      </c>
      <c r="P143" t="b">
        <v>0</v>
      </c>
      <c r="Q143">
        <f t="shared" si="249"/>
        <v>2</v>
      </c>
      <c r="R143">
        <f t="shared" si="250"/>
        <v>1</v>
      </c>
      <c r="S143" t="e">
        <f t="shared" ca="1" si="280"/>
        <v>#NAME?</v>
      </c>
      <c r="T143" t="e">
        <f t="shared" ca="1" si="251"/>
        <v>#NAME?</v>
      </c>
      <c r="U143" s="4">
        <f t="shared" si="252"/>
        <v>757.45138888889051</v>
      </c>
      <c r="V143" s="4">
        <f t="shared" si="253"/>
        <v>25.248379629629685</v>
      </c>
      <c r="W143" s="4">
        <f t="shared" si="254"/>
        <v>1</v>
      </c>
      <c r="X143" s="4">
        <f t="shared" si="255"/>
        <v>0</v>
      </c>
      <c r="Y143" s="4">
        <f t="shared" si="256"/>
        <v>0</v>
      </c>
      <c r="Z143" s="4">
        <f t="shared" si="257"/>
        <v>0</v>
      </c>
      <c r="AA143" s="4">
        <f t="shared" si="258"/>
        <v>0</v>
      </c>
      <c r="AB143" s="4">
        <f t="shared" si="259"/>
        <v>0</v>
      </c>
      <c r="AC143" s="4"/>
      <c r="AD143" s="4" t="b">
        <f t="shared" si="260"/>
        <v>0</v>
      </c>
      <c r="AE143" s="4" t="b">
        <f t="shared" si="261"/>
        <v>0</v>
      </c>
      <c r="AF143" s="4" t="b">
        <f t="shared" si="262"/>
        <v>0</v>
      </c>
      <c r="AG143" t="b">
        <f t="shared" si="263"/>
        <v>0</v>
      </c>
      <c r="AH143" t="b">
        <f t="shared" si="264"/>
        <v>0</v>
      </c>
      <c r="AI143" t="b">
        <f t="shared" si="265"/>
        <v>0</v>
      </c>
      <c r="AJ143" t="b">
        <f t="shared" si="266"/>
        <v>0</v>
      </c>
      <c r="AK143" t="b">
        <f t="shared" si="267"/>
        <v>0</v>
      </c>
      <c r="AL143" t="b">
        <f t="shared" si="268"/>
        <v>0</v>
      </c>
      <c r="AM143" t="b">
        <f t="shared" si="269"/>
        <v>0</v>
      </c>
      <c r="AN143" t="b">
        <f t="shared" si="270"/>
        <v>0</v>
      </c>
      <c r="AO143" t="b">
        <f t="shared" si="271"/>
        <v>0</v>
      </c>
      <c r="AP143" t="b">
        <f t="shared" si="272"/>
        <v>0</v>
      </c>
      <c r="AQ143" t="b">
        <f t="shared" si="273"/>
        <v>0</v>
      </c>
      <c r="AR143" t="b">
        <f t="shared" si="274"/>
        <v>0</v>
      </c>
      <c r="AS143" t="b">
        <f t="shared" si="275"/>
        <v>0</v>
      </c>
      <c r="AT143" t="b">
        <f t="shared" si="276"/>
        <v>0</v>
      </c>
      <c r="AU143" t="b">
        <f t="shared" si="277"/>
        <v>0</v>
      </c>
      <c r="AV143" t="b">
        <f t="shared" si="278"/>
        <v>0</v>
      </c>
      <c r="AW143" t="b">
        <f t="shared" si="279"/>
        <v>0</v>
      </c>
      <c r="AX143" t="b">
        <f t="shared" si="281"/>
        <v>0</v>
      </c>
      <c r="AY143" t="b">
        <f t="shared" si="282"/>
        <v>0</v>
      </c>
      <c r="AZ143" t="b">
        <f t="shared" si="283"/>
        <v>0</v>
      </c>
      <c r="BA143" t="b">
        <f t="shared" si="284"/>
        <v>0</v>
      </c>
      <c r="BB143" t="b">
        <f t="shared" si="285"/>
        <v>0</v>
      </c>
      <c r="BC143" t="b">
        <f t="shared" si="286"/>
        <v>0</v>
      </c>
      <c r="BD143" t="b">
        <f t="shared" si="287"/>
        <v>0</v>
      </c>
      <c r="BE143" t="b">
        <f t="shared" si="288"/>
        <v>0</v>
      </c>
      <c r="BF143" t="b">
        <f t="shared" si="289"/>
        <v>0</v>
      </c>
      <c r="BG143" t="b">
        <f t="shared" si="290"/>
        <v>0</v>
      </c>
      <c r="BH143" t="b">
        <f t="shared" si="291"/>
        <v>0</v>
      </c>
      <c r="BI143">
        <f t="shared" si="292"/>
        <v>1</v>
      </c>
      <c r="BJ143" t="b">
        <f t="shared" si="293"/>
        <v>0</v>
      </c>
      <c r="BK143" t="b">
        <f t="shared" si="294"/>
        <v>0</v>
      </c>
      <c r="BL143" t="b">
        <f t="shared" si="295"/>
        <v>0</v>
      </c>
      <c r="BM143" t="b">
        <f t="shared" si="296"/>
        <v>0</v>
      </c>
      <c r="BN143" t="b">
        <f t="shared" si="297"/>
        <v>0</v>
      </c>
      <c r="BO143" t="b">
        <f t="shared" si="298"/>
        <v>0</v>
      </c>
      <c r="BP143" t="b">
        <f t="shared" si="299"/>
        <v>0</v>
      </c>
      <c r="BQ143" t="b">
        <f t="shared" si="300"/>
        <v>0</v>
      </c>
      <c r="BR143" t="b">
        <f t="shared" si="301"/>
        <v>0</v>
      </c>
      <c r="BS143" t="b">
        <f t="shared" si="302"/>
        <v>0</v>
      </c>
      <c r="BT143" t="b">
        <f t="shared" si="303"/>
        <v>0</v>
      </c>
      <c r="BU143" t="b">
        <f t="shared" si="304"/>
        <v>0</v>
      </c>
      <c r="BV143" t="b">
        <f t="shared" si="305"/>
        <v>0</v>
      </c>
      <c r="BW143" t="b">
        <f t="shared" si="306"/>
        <v>0</v>
      </c>
      <c r="BX143" t="b">
        <f t="shared" si="307"/>
        <v>0</v>
      </c>
      <c r="BY143" t="b">
        <f t="shared" si="308"/>
        <v>0</v>
      </c>
      <c r="BZ143" t="b">
        <f t="shared" si="309"/>
        <v>0</v>
      </c>
      <c r="CA143" t="b">
        <f t="shared" si="310"/>
        <v>0</v>
      </c>
      <c r="CB143" t="b">
        <f t="shared" si="311"/>
        <v>0</v>
      </c>
      <c r="CC143" t="b">
        <f t="shared" si="312"/>
        <v>0</v>
      </c>
      <c r="CD143" t="b">
        <f t="shared" si="313"/>
        <v>0</v>
      </c>
      <c r="CE143" t="b">
        <f t="shared" si="314"/>
        <v>0</v>
      </c>
      <c r="CF143" t="b">
        <f t="shared" si="315"/>
        <v>0</v>
      </c>
      <c r="CG143" t="b">
        <f t="shared" si="316"/>
        <v>0</v>
      </c>
      <c r="CH143" t="b">
        <f t="shared" si="317"/>
        <v>0</v>
      </c>
      <c r="CI143" t="b">
        <f t="shared" si="318"/>
        <v>0</v>
      </c>
      <c r="CJ143" t="b">
        <f t="shared" si="319"/>
        <v>0</v>
      </c>
      <c r="CK143" t="b">
        <f t="shared" si="320"/>
        <v>0</v>
      </c>
      <c r="CL143" t="b">
        <f t="shared" si="321"/>
        <v>0</v>
      </c>
      <c r="CM143">
        <f t="shared" si="322"/>
        <v>1</v>
      </c>
      <c r="CN143" t="b">
        <f t="shared" si="323"/>
        <v>0</v>
      </c>
      <c r="CO143" t="b">
        <f t="shared" si="324"/>
        <v>0</v>
      </c>
      <c r="CP143" t="b">
        <f t="shared" si="325"/>
        <v>0</v>
      </c>
      <c r="CQ143" t="b">
        <f t="shared" si="326"/>
        <v>0</v>
      </c>
      <c r="CR143" t="b">
        <f t="shared" si="327"/>
        <v>0</v>
      </c>
      <c r="CS143" t="b">
        <f t="shared" si="328"/>
        <v>0</v>
      </c>
      <c r="CT143" t="b">
        <f t="shared" si="329"/>
        <v>0</v>
      </c>
      <c r="CU143" t="b">
        <f t="shared" si="330"/>
        <v>0</v>
      </c>
      <c r="CV143">
        <f t="shared" si="331"/>
        <v>1</v>
      </c>
      <c r="CW143" t="b">
        <f t="shared" si="332"/>
        <v>0</v>
      </c>
      <c r="CX143" t="b">
        <f t="shared" si="333"/>
        <v>0</v>
      </c>
      <c r="CY143" t="b">
        <f t="shared" si="334"/>
        <v>0</v>
      </c>
      <c r="CZ143" t="b">
        <f t="shared" si="335"/>
        <v>0</v>
      </c>
      <c r="DA143">
        <f t="shared" si="336"/>
        <v>1</v>
      </c>
      <c r="DB143">
        <f t="shared" si="337"/>
        <v>1</v>
      </c>
      <c r="DC143" t="b">
        <f t="shared" si="338"/>
        <v>0</v>
      </c>
      <c r="DD143" t="b">
        <f t="shared" si="339"/>
        <v>0</v>
      </c>
      <c r="DE143" t="b">
        <f t="shared" si="340"/>
        <v>0</v>
      </c>
      <c r="DF143" t="b">
        <f t="shared" si="341"/>
        <v>0</v>
      </c>
      <c r="DG143" t="b">
        <f t="shared" si="342"/>
        <v>0</v>
      </c>
      <c r="DH143" t="b">
        <f t="shared" si="343"/>
        <v>0</v>
      </c>
      <c r="DI143" t="b">
        <f t="shared" si="344"/>
        <v>0</v>
      </c>
      <c r="DJ143" t="b">
        <f t="shared" si="345"/>
        <v>0</v>
      </c>
      <c r="DK143" t="b">
        <f t="shared" si="346"/>
        <v>0</v>
      </c>
      <c r="DL143" t="b">
        <f t="shared" si="347"/>
        <v>0</v>
      </c>
      <c r="DM143" t="b">
        <f t="shared" si="348"/>
        <v>0</v>
      </c>
      <c r="DN143" t="b">
        <f t="shared" si="349"/>
        <v>0</v>
      </c>
      <c r="DO143" t="b">
        <f t="shared" si="350"/>
        <v>0</v>
      </c>
      <c r="DP143" t="b">
        <f t="shared" si="351"/>
        <v>0</v>
      </c>
      <c r="DQ143" t="b">
        <f t="shared" si="352"/>
        <v>0</v>
      </c>
      <c r="DR143" t="b">
        <f t="shared" si="353"/>
        <v>0</v>
      </c>
      <c r="DS143" t="b">
        <f t="shared" si="354"/>
        <v>0</v>
      </c>
      <c r="DT143" t="b">
        <f t="shared" si="355"/>
        <v>0</v>
      </c>
      <c r="DU143" t="b">
        <f t="shared" si="356"/>
        <v>0</v>
      </c>
      <c r="DV143" t="b">
        <f t="shared" si="357"/>
        <v>0</v>
      </c>
      <c r="DW143" t="b">
        <f t="shared" si="358"/>
        <v>0</v>
      </c>
      <c r="DX143" t="b">
        <f t="shared" si="359"/>
        <v>0</v>
      </c>
      <c r="DY143" t="b">
        <f t="shared" si="360"/>
        <v>0</v>
      </c>
      <c r="DZ143" t="b">
        <f t="shared" si="361"/>
        <v>0</v>
      </c>
      <c r="EA143" t="b">
        <f t="shared" si="362"/>
        <v>0</v>
      </c>
      <c r="EB143" t="b">
        <f t="shared" si="363"/>
        <v>0</v>
      </c>
      <c r="EC143" t="b">
        <f t="shared" si="364"/>
        <v>0</v>
      </c>
      <c r="ED143" t="b">
        <f t="shared" si="365"/>
        <v>0</v>
      </c>
      <c r="EE143" t="b">
        <f t="shared" si="366"/>
        <v>0</v>
      </c>
      <c r="EF143" t="b">
        <f t="shared" si="367"/>
        <v>0</v>
      </c>
      <c r="EG143" t="b">
        <f t="shared" si="368"/>
        <v>0</v>
      </c>
      <c r="EH143" t="b">
        <f t="shared" si="369"/>
        <v>0</v>
      </c>
      <c r="EI143" t="b">
        <f t="shared" si="370"/>
        <v>0</v>
      </c>
      <c r="EJ143" t="b">
        <f t="shared" si="371"/>
        <v>0</v>
      </c>
      <c r="EK143" t="b">
        <f t="shared" si="372"/>
        <v>0</v>
      </c>
    </row>
    <row r="144" spans="1:141">
      <c r="A144" t="s">
        <v>834</v>
      </c>
      <c r="B144" t="s">
        <v>834</v>
      </c>
      <c r="C144" t="s">
        <v>835</v>
      </c>
      <c r="D144" s="1">
        <v>40695</v>
      </c>
      <c r="E144" s="2">
        <v>43475.469340277778</v>
      </c>
      <c r="F144" s="2">
        <v>43475.475069444445</v>
      </c>
      <c r="G144">
        <v>4848734</v>
      </c>
      <c r="H144" t="s">
        <v>836</v>
      </c>
      <c r="I144" s="10" t="s">
        <v>837</v>
      </c>
      <c r="J144" t="s">
        <v>744</v>
      </c>
      <c r="K144" s="8" t="b">
        <v>1</v>
      </c>
      <c r="L144" s="10" t="b">
        <v>0</v>
      </c>
      <c r="M144" s="12" t="b">
        <v>0</v>
      </c>
      <c r="N144" t="b">
        <v>0</v>
      </c>
      <c r="O144" t="b">
        <v>0</v>
      </c>
      <c r="P144" t="b">
        <v>0</v>
      </c>
      <c r="Q144">
        <f t="shared" si="249"/>
        <v>4</v>
      </c>
      <c r="R144">
        <f t="shared" si="250"/>
        <v>6</v>
      </c>
      <c r="S144" t="e">
        <f t="shared" ca="1" si="280"/>
        <v>#NAME?</v>
      </c>
      <c r="T144" t="e">
        <f t="shared" ca="1" si="251"/>
        <v>#NAME?</v>
      </c>
      <c r="U144" s="4">
        <f t="shared" si="252"/>
        <v>2780.4693402777775</v>
      </c>
      <c r="V144" s="4">
        <f t="shared" si="253"/>
        <v>92.682311342592584</v>
      </c>
      <c r="W144" s="4">
        <f t="shared" si="254"/>
        <v>1</v>
      </c>
      <c r="X144" s="4">
        <f t="shared" si="255"/>
        <v>0</v>
      </c>
      <c r="Y144" s="4">
        <f t="shared" si="256"/>
        <v>0</v>
      </c>
      <c r="Z144" s="4">
        <f t="shared" si="257"/>
        <v>0</v>
      </c>
      <c r="AA144" s="4">
        <f t="shared" si="258"/>
        <v>0</v>
      </c>
      <c r="AB144" s="4">
        <f t="shared" si="259"/>
        <v>0</v>
      </c>
      <c r="AC144" s="4"/>
      <c r="AD144" s="4" t="b">
        <f t="shared" si="260"/>
        <v>0</v>
      </c>
      <c r="AE144" s="4" t="b">
        <f t="shared" si="261"/>
        <v>0</v>
      </c>
      <c r="AF144" s="4" t="b">
        <f t="shared" si="262"/>
        <v>0</v>
      </c>
      <c r="AG144" t="b">
        <f t="shared" si="263"/>
        <v>0</v>
      </c>
      <c r="AH144" t="b">
        <f t="shared" si="264"/>
        <v>0</v>
      </c>
      <c r="AI144" t="b">
        <f t="shared" si="265"/>
        <v>0</v>
      </c>
      <c r="AJ144" t="b">
        <f t="shared" si="266"/>
        <v>0</v>
      </c>
      <c r="AK144" t="b">
        <f t="shared" si="267"/>
        <v>0</v>
      </c>
      <c r="AL144" t="b">
        <f t="shared" si="268"/>
        <v>0</v>
      </c>
      <c r="AM144" t="b">
        <f t="shared" si="269"/>
        <v>0</v>
      </c>
      <c r="AN144" t="b">
        <f t="shared" si="270"/>
        <v>0</v>
      </c>
      <c r="AO144" t="b">
        <f t="shared" si="271"/>
        <v>0</v>
      </c>
      <c r="AP144" t="b">
        <f t="shared" si="272"/>
        <v>0</v>
      </c>
      <c r="AQ144" t="b">
        <f t="shared" si="273"/>
        <v>0</v>
      </c>
      <c r="AR144" t="b">
        <f t="shared" si="274"/>
        <v>0</v>
      </c>
      <c r="AS144" t="b">
        <f t="shared" si="275"/>
        <v>0</v>
      </c>
      <c r="AT144" t="b">
        <f t="shared" si="276"/>
        <v>0</v>
      </c>
      <c r="AU144" t="b">
        <f t="shared" si="277"/>
        <v>0</v>
      </c>
      <c r="AV144" t="b">
        <f t="shared" si="278"/>
        <v>0</v>
      </c>
      <c r="AW144" t="b">
        <f t="shared" si="279"/>
        <v>0</v>
      </c>
      <c r="AX144" t="b">
        <f t="shared" si="281"/>
        <v>0</v>
      </c>
      <c r="AY144" t="b">
        <f t="shared" si="282"/>
        <v>0</v>
      </c>
      <c r="AZ144" t="b">
        <f t="shared" si="283"/>
        <v>0</v>
      </c>
      <c r="BA144" t="b">
        <f t="shared" si="284"/>
        <v>0</v>
      </c>
      <c r="BB144" t="b">
        <f t="shared" si="285"/>
        <v>0</v>
      </c>
      <c r="BC144" t="b">
        <f t="shared" si="286"/>
        <v>0</v>
      </c>
      <c r="BD144" t="b">
        <f t="shared" si="287"/>
        <v>0</v>
      </c>
      <c r="BE144" t="b">
        <f t="shared" si="288"/>
        <v>0</v>
      </c>
      <c r="BF144" t="b">
        <f t="shared" si="289"/>
        <v>0</v>
      </c>
      <c r="BG144" t="b">
        <f t="shared" si="290"/>
        <v>0</v>
      </c>
      <c r="BH144" t="b">
        <f t="shared" si="291"/>
        <v>0</v>
      </c>
      <c r="BI144">
        <f t="shared" si="292"/>
        <v>1</v>
      </c>
      <c r="BJ144" t="b">
        <f t="shared" si="293"/>
        <v>0</v>
      </c>
      <c r="BK144" t="b">
        <f t="shared" si="294"/>
        <v>0</v>
      </c>
      <c r="BL144" t="b">
        <f t="shared" si="295"/>
        <v>0</v>
      </c>
      <c r="BM144" t="b">
        <f t="shared" si="296"/>
        <v>0</v>
      </c>
      <c r="BN144" t="b">
        <f t="shared" si="297"/>
        <v>0</v>
      </c>
      <c r="BO144" t="b">
        <f t="shared" si="298"/>
        <v>0</v>
      </c>
      <c r="BP144" t="b">
        <f t="shared" si="299"/>
        <v>0</v>
      </c>
      <c r="BQ144" t="b">
        <f t="shared" si="300"/>
        <v>0</v>
      </c>
      <c r="BR144" t="b">
        <f t="shared" si="301"/>
        <v>0</v>
      </c>
      <c r="BS144" t="b">
        <f t="shared" si="302"/>
        <v>0</v>
      </c>
      <c r="BT144" t="b">
        <f t="shared" si="303"/>
        <v>0</v>
      </c>
      <c r="BU144" t="b">
        <f t="shared" si="304"/>
        <v>0</v>
      </c>
      <c r="BV144" t="b">
        <f t="shared" si="305"/>
        <v>0</v>
      </c>
      <c r="BW144" t="b">
        <f t="shared" si="306"/>
        <v>0</v>
      </c>
      <c r="BX144" t="b">
        <f t="shared" si="307"/>
        <v>0</v>
      </c>
      <c r="BY144" t="b">
        <f t="shared" si="308"/>
        <v>0</v>
      </c>
      <c r="BZ144" t="b">
        <f t="shared" si="309"/>
        <v>0</v>
      </c>
      <c r="CA144" t="b">
        <f t="shared" si="310"/>
        <v>0</v>
      </c>
      <c r="CB144" t="b">
        <f t="shared" si="311"/>
        <v>0</v>
      </c>
      <c r="CC144" t="b">
        <f t="shared" si="312"/>
        <v>0</v>
      </c>
      <c r="CD144" t="b">
        <f t="shared" si="313"/>
        <v>0</v>
      </c>
      <c r="CE144" t="b">
        <f t="shared" si="314"/>
        <v>0</v>
      </c>
      <c r="CF144" t="b">
        <f t="shared" si="315"/>
        <v>0</v>
      </c>
      <c r="CG144" t="b">
        <f t="shared" si="316"/>
        <v>0</v>
      </c>
      <c r="CH144" t="b">
        <f t="shared" si="317"/>
        <v>0</v>
      </c>
      <c r="CI144" t="b">
        <f t="shared" si="318"/>
        <v>0</v>
      </c>
      <c r="CJ144" t="b">
        <f t="shared" si="319"/>
        <v>0</v>
      </c>
      <c r="CK144" t="b">
        <f t="shared" si="320"/>
        <v>0</v>
      </c>
      <c r="CL144" t="b">
        <f t="shared" si="321"/>
        <v>0</v>
      </c>
      <c r="CM144" t="b">
        <f t="shared" si="322"/>
        <v>0</v>
      </c>
      <c r="CN144" t="b">
        <f t="shared" si="323"/>
        <v>0</v>
      </c>
      <c r="CO144" t="b">
        <f t="shared" si="324"/>
        <v>0</v>
      </c>
      <c r="CP144" t="b">
        <f t="shared" si="325"/>
        <v>0</v>
      </c>
      <c r="CQ144" t="b">
        <f t="shared" si="326"/>
        <v>0</v>
      </c>
      <c r="CR144" t="b">
        <f t="shared" si="327"/>
        <v>0</v>
      </c>
      <c r="CS144" t="b">
        <f t="shared" si="328"/>
        <v>0</v>
      </c>
      <c r="CT144" t="b">
        <f t="shared" si="329"/>
        <v>0</v>
      </c>
      <c r="CU144" t="b">
        <f t="shared" si="330"/>
        <v>0</v>
      </c>
      <c r="CV144" t="b">
        <f t="shared" si="331"/>
        <v>0</v>
      </c>
      <c r="CW144" t="b">
        <f t="shared" si="332"/>
        <v>0</v>
      </c>
      <c r="CX144" t="b">
        <f t="shared" si="333"/>
        <v>0</v>
      </c>
      <c r="CY144" t="b">
        <f t="shared" si="334"/>
        <v>0</v>
      </c>
      <c r="CZ144" t="b">
        <f t="shared" si="335"/>
        <v>0</v>
      </c>
      <c r="DA144" t="b">
        <f t="shared" si="336"/>
        <v>0</v>
      </c>
      <c r="DB144" t="b">
        <f t="shared" si="337"/>
        <v>0</v>
      </c>
      <c r="DC144" t="b">
        <f t="shared" si="338"/>
        <v>0</v>
      </c>
      <c r="DD144" t="b">
        <f t="shared" si="339"/>
        <v>0</v>
      </c>
      <c r="DE144" t="b">
        <f t="shared" si="340"/>
        <v>0</v>
      </c>
      <c r="DF144" t="b">
        <f t="shared" si="341"/>
        <v>0</v>
      </c>
      <c r="DG144" t="b">
        <f t="shared" si="342"/>
        <v>0</v>
      </c>
      <c r="DH144" t="b">
        <f t="shared" si="343"/>
        <v>0</v>
      </c>
      <c r="DI144" t="b">
        <f t="shared" si="344"/>
        <v>0</v>
      </c>
      <c r="DJ144" t="b">
        <f t="shared" si="345"/>
        <v>0</v>
      </c>
      <c r="DK144" t="b">
        <f t="shared" si="346"/>
        <v>0</v>
      </c>
      <c r="DL144" t="b">
        <f t="shared" si="347"/>
        <v>0</v>
      </c>
      <c r="DM144" t="b">
        <f t="shared" si="348"/>
        <v>0</v>
      </c>
      <c r="DN144" t="b">
        <f t="shared" si="349"/>
        <v>0</v>
      </c>
      <c r="DO144" t="b">
        <f t="shared" si="350"/>
        <v>0</v>
      </c>
      <c r="DP144" t="b">
        <f t="shared" si="351"/>
        <v>0</v>
      </c>
      <c r="DQ144" t="b">
        <f t="shared" si="352"/>
        <v>0</v>
      </c>
      <c r="DR144" t="b">
        <f t="shared" si="353"/>
        <v>0</v>
      </c>
      <c r="DS144" t="b">
        <f t="shared" si="354"/>
        <v>0</v>
      </c>
      <c r="DT144" t="b">
        <f t="shared" si="355"/>
        <v>0</v>
      </c>
      <c r="DU144" t="b">
        <f t="shared" si="356"/>
        <v>0</v>
      </c>
      <c r="DV144" t="b">
        <f t="shared" si="357"/>
        <v>0</v>
      </c>
      <c r="DW144" t="b">
        <f t="shared" si="358"/>
        <v>0</v>
      </c>
      <c r="DX144" t="b">
        <f t="shared" si="359"/>
        <v>0</v>
      </c>
      <c r="DY144" t="b">
        <f t="shared" si="360"/>
        <v>0</v>
      </c>
      <c r="DZ144" t="b">
        <f t="shared" si="361"/>
        <v>0</v>
      </c>
      <c r="EA144" t="b">
        <f t="shared" si="362"/>
        <v>0</v>
      </c>
      <c r="EB144" t="b">
        <f t="shared" si="363"/>
        <v>0</v>
      </c>
      <c r="EC144" t="b">
        <f t="shared" si="364"/>
        <v>0</v>
      </c>
      <c r="ED144" t="b">
        <f t="shared" si="365"/>
        <v>0</v>
      </c>
      <c r="EE144" t="b">
        <f t="shared" si="366"/>
        <v>0</v>
      </c>
      <c r="EF144" t="b">
        <f t="shared" si="367"/>
        <v>0</v>
      </c>
      <c r="EG144" t="b">
        <f t="shared" si="368"/>
        <v>0</v>
      </c>
      <c r="EH144" t="b">
        <f t="shared" si="369"/>
        <v>0</v>
      </c>
      <c r="EI144" t="b">
        <f t="shared" si="370"/>
        <v>0</v>
      </c>
      <c r="EJ144" t="b">
        <f t="shared" si="371"/>
        <v>0</v>
      </c>
      <c r="EK144" t="b">
        <f t="shared" si="372"/>
        <v>0</v>
      </c>
    </row>
    <row r="145" spans="1:141">
      <c r="A145" t="s">
        <v>838</v>
      </c>
      <c r="B145" t="s">
        <v>838</v>
      </c>
      <c r="C145" t="s">
        <v>839</v>
      </c>
      <c r="D145" s="1">
        <v>42339</v>
      </c>
      <c r="E145" s="2">
        <v>42732.966851851852</v>
      </c>
      <c r="F145" s="2">
        <v>42732.966851851852</v>
      </c>
      <c r="G145">
        <v>1131636</v>
      </c>
      <c r="H145" t="s">
        <v>840</v>
      </c>
      <c r="I145" s="10" t="s">
        <v>841</v>
      </c>
      <c r="J145" t="s">
        <v>842</v>
      </c>
      <c r="K145" s="8" t="b">
        <v>1</v>
      </c>
      <c r="L145" s="10" t="b">
        <v>0</v>
      </c>
      <c r="M145" s="12" t="b">
        <v>0</v>
      </c>
      <c r="N145" t="b">
        <v>0</v>
      </c>
      <c r="O145" t="b">
        <v>0</v>
      </c>
      <c r="P145" t="b">
        <v>0</v>
      </c>
      <c r="Q145">
        <f t="shared" si="249"/>
        <v>3</v>
      </c>
      <c r="R145">
        <f t="shared" si="250"/>
        <v>12</v>
      </c>
      <c r="S145" t="e">
        <f t="shared" ca="1" si="280"/>
        <v>#NAME?</v>
      </c>
      <c r="T145" t="e">
        <f t="shared" ca="1" si="251"/>
        <v>#NAME?</v>
      </c>
      <c r="U145" s="4">
        <f t="shared" si="252"/>
        <v>393.96685185185197</v>
      </c>
      <c r="V145" s="4">
        <f t="shared" si="253"/>
        <v>13.132228395061732</v>
      </c>
      <c r="W145" s="4">
        <f t="shared" si="254"/>
        <v>1</v>
      </c>
      <c r="X145" s="4">
        <f t="shared" si="255"/>
        <v>0</v>
      </c>
      <c r="Y145" s="4">
        <f t="shared" si="256"/>
        <v>0</v>
      </c>
      <c r="Z145" s="4">
        <f t="shared" si="257"/>
        <v>0</v>
      </c>
      <c r="AA145" s="4">
        <f t="shared" si="258"/>
        <v>0</v>
      </c>
      <c r="AB145" s="4">
        <f t="shared" si="259"/>
        <v>0</v>
      </c>
      <c r="AC145" s="4"/>
      <c r="AD145" s="4" t="b">
        <f t="shared" si="260"/>
        <v>0</v>
      </c>
      <c r="AE145" s="4" t="b">
        <f t="shared" si="261"/>
        <v>0</v>
      </c>
      <c r="AF145" s="4" t="b">
        <f t="shared" si="262"/>
        <v>0</v>
      </c>
      <c r="AG145" t="b">
        <f t="shared" si="263"/>
        <v>0</v>
      </c>
      <c r="AH145" t="b">
        <f t="shared" si="264"/>
        <v>0</v>
      </c>
      <c r="AI145" t="b">
        <f t="shared" si="265"/>
        <v>0</v>
      </c>
      <c r="AJ145" t="b">
        <f t="shared" si="266"/>
        <v>0</v>
      </c>
      <c r="AK145" t="b">
        <f t="shared" si="267"/>
        <v>0</v>
      </c>
      <c r="AL145" t="b">
        <f t="shared" si="268"/>
        <v>0</v>
      </c>
      <c r="AM145" t="b">
        <f t="shared" si="269"/>
        <v>0</v>
      </c>
      <c r="AN145" t="b">
        <f t="shared" si="270"/>
        <v>0</v>
      </c>
      <c r="AO145" t="b">
        <f t="shared" si="271"/>
        <v>0</v>
      </c>
      <c r="AP145" t="b">
        <f t="shared" si="272"/>
        <v>0</v>
      </c>
      <c r="AQ145" t="b">
        <f t="shared" si="273"/>
        <v>0</v>
      </c>
      <c r="AR145" t="b">
        <f t="shared" si="274"/>
        <v>0</v>
      </c>
      <c r="AS145" t="b">
        <f t="shared" si="275"/>
        <v>0</v>
      </c>
      <c r="AT145" t="b">
        <f t="shared" si="276"/>
        <v>0</v>
      </c>
      <c r="AU145" t="b">
        <f t="shared" si="277"/>
        <v>0</v>
      </c>
      <c r="AV145" t="b">
        <f t="shared" si="278"/>
        <v>0</v>
      </c>
      <c r="AW145" t="b">
        <f t="shared" si="279"/>
        <v>0</v>
      </c>
      <c r="AX145" t="b">
        <f t="shared" si="281"/>
        <v>0</v>
      </c>
      <c r="AY145" t="b">
        <f t="shared" si="282"/>
        <v>0</v>
      </c>
      <c r="AZ145" t="b">
        <f t="shared" si="283"/>
        <v>0</v>
      </c>
      <c r="BA145" t="b">
        <f t="shared" si="284"/>
        <v>0</v>
      </c>
      <c r="BB145" t="b">
        <f t="shared" si="285"/>
        <v>0</v>
      </c>
      <c r="BC145" t="b">
        <f t="shared" si="286"/>
        <v>0</v>
      </c>
      <c r="BD145" t="b">
        <f t="shared" si="287"/>
        <v>0</v>
      </c>
      <c r="BE145" t="b">
        <f t="shared" si="288"/>
        <v>0</v>
      </c>
      <c r="BF145" t="b">
        <f t="shared" si="289"/>
        <v>0</v>
      </c>
      <c r="BG145" t="b">
        <f t="shared" si="290"/>
        <v>0</v>
      </c>
      <c r="BH145" t="b">
        <f t="shared" si="291"/>
        <v>0</v>
      </c>
      <c r="BI145">
        <f t="shared" si="292"/>
        <v>1</v>
      </c>
      <c r="BJ145" t="b">
        <f t="shared" si="293"/>
        <v>0</v>
      </c>
      <c r="BK145" t="b">
        <f t="shared" si="294"/>
        <v>0</v>
      </c>
      <c r="BL145" t="b">
        <f t="shared" si="295"/>
        <v>0</v>
      </c>
      <c r="BM145" t="b">
        <f t="shared" si="296"/>
        <v>0</v>
      </c>
      <c r="BN145" t="b">
        <f t="shared" si="297"/>
        <v>0</v>
      </c>
      <c r="BO145" t="b">
        <f t="shared" si="298"/>
        <v>0</v>
      </c>
      <c r="BP145" t="b">
        <f t="shared" si="299"/>
        <v>0</v>
      </c>
      <c r="BQ145" t="b">
        <f t="shared" si="300"/>
        <v>0</v>
      </c>
      <c r="BR145" t="b">
        <f t="shared" si="301"/>
        <v>0</v>
      </c>
      <c r="BS145" t="b">
        <f t="shared" si="302"/>
        <v>0</v>
      </c>
      <c r="BT145" t="b">
        <f t="shared" si="303"/>
        <v>0</v>
      </c>
      <c r="BU145" t="b">
        <f t="shared" si="304"/>
        <v>0</v>
      </c>
      <c r="BV145" t="b">
        <f t="shared" si="305"/>
        <v>0</v>
      </c>
      <c r="BW145" t="b">
        <f t="shared" si="306"/>
        <v>0</v>
      </c>
      <c r="BX145" t="b">
        <f t="shared" si="307"/>
        <v>0</v>
      </c>
      <c r="BY145" t="b">
        <f t="shared" si="308"/>
        <v>0</v>
      </c>
      <c r="BZ145" t="b">
        <f t="shared" si="309"/>
        <v>0</v>
      </c>
      <c r="CA145" t="b">
        <f t="shared" si="310"/>
        <v>0</v>
      </c>
      <c r="CB145" t="b">
        <f t="shared" si="311"/>
        <v>0</v>
      </c>
      <c r="CC145" t="b">
        <f t="shared" si="312"/>
        <v>0</v>
      </c>
      <c r="CD145" t="b">
        <f t="shared" si="313"/>
        <v>0</v>
      </c>
      <c r="CE145">
        <f t="shared" si="314"/>
        <v>1</v>
      </c>
      <c r="CF145" t="b">
        <f t="shared" si="315"/>
        <v>0</v>
      </c>
      <c r="CG145" t="b">
        <f t="shared" si="316"/>
        <v>0</v>
      </c>
      <c r="CH145" t="b">
        <f t="shared" si="317"/>
        <v>0</v>
      </c>
      <c r="CI145" t="b">
        <f t="shared" si="318"/>
        <v>0</v>
      </c>
      <c r="CJ145" t="b">
        <f t="shared" si="319"/>
        <v>0</v>
      </c>
      <c r="CK145" t="b">
        <f t="shared" si="320"/>
        <v>0</v>
      </c>
      <c r="CL145" t="b">
        <f t="shared" si="321"/>
        <v>0</v>
      </c>
      <c r="CM145" t="b">
        <f t="shared" si="322"/>
        <v>0</v>
      </c>
      <c r="CN145" t="b">
        <f t="shared" si="323"/>
        <v>0</v>
      </c>
      <c r="CO145" t="b">
        <f t="shared" si="324"/>
        <v>0</v>
      </c>
      <c r="CP145" t="b">
        <f t="shared" si="325"/>
        <v>0</v>
      </c>
      <c r="CQ145" t="b">
        <f t="shared" si="326"/>
        <v>0</v>
      </c>
      <c r="CR145" t="b">
        <f t="shared" si="327"/>
        <v>0</v>
      </c>
      <c r="CS145" t="b">
        <f t="shared" si="328"/>
        <v>0</v>
      </c>
      <c r="CT145" t="b">
        <f t="shared" si="329"/>
        <v>0</v>
      </c>
      <c r="CU145" t="b">
        <f t="shared" si="330"/>
        <v>0</v>
      </c>
      <c r="CV145">
        <f t="shared" si="331"/>
        <v>1</v>
      </c>
      <c r="CW145" t="b">
        <f t="shared" si="332"/>
        <v>0</v>
      </c>
      <c r="CX145" t="b">
        <f t="shared" si="333"/>
        <v>0</v>
      </c>
      <c r="CY145" t="b">
        <f t="shared" si="334"/>
        <v>0</v>
      </c>
      <c r="CZ145" t="b">
        <f t="shared" si="335"/>
        <v>0</v>
      </c>
      <c r="DA145" t="b">
        <f t="shared" si="336"/>
        <v>0</v>
      </c>
      <c r="DB145" t="b">
        <f t="shared" si="337"/>
        <v>0</v>
      </c>
      <c r="DC145" t="b">
        <f t="shared" si="338"/>
        <v>0</v>
      </c>
      <c r="DD145" t="b">
        <f t="shared" si="339"/>
        <v>0</v>
      </c>
      <c r="DE145" t="b">
        <f t="shared" si="340"/>
        <v>0</v>
      </c>
      <c r="DF145" t="b">
        <f t="shared" si="341"/>
        <v>0</v>
      </c>
      <c r="DG145" t="b">
        <f t="shared" si="342"/>
        <v>0</v>
      </c>
      <c r="DH145" t="b">
        <f t="shared" si="343"/>
        <v>0</v>
      </c>
      <c r="DI145" t="b">
        <f t="shared" si="344"/>
        <v>0</v>
      </c>
      <c r="DJ145" t="b">
        <f t="shared" si="345"/>
        <v>0</v>
      </c>
      <c r="DK145" t="b">
        <f t="shared" si="346"/>
        <v>0</v>
      </c>
      <c r="DL145" t="b">
        <f t="shared" si="347"/>
        <v>0</v>
      </c>
      <c r="DM145" t="b">
        <f t="shared" si="348"/>
        <v>0</v>
      </c>
      <c r="DN145" t="b">
        <f t="shared" si="349"/>
        <v>0</v>
      </c>
      <c r="DO145" t="b">
        <f t="shared" si="350"/>
        <v>0</v>
      </c>
      <c r="DP145" t="b">
        <f t="shared" si="351"/>
        <v>0</v>
      </c>
      <c r="DQ145" t="b">
        <f t="shared" si="352"/>
        <v>0</v>
      </c>
      <c r="DR145" t="b">
        <f t="shared" si="353"/>
        <v>0</v>
      </c>
      <c r="DS145" t="b">
        <f t="shared" si="354"/>
        <v>0</v>
      </c>
      <c r="DT145" t="b">
        <f t="shared" si="355"/>
        <v>0</v>
      </c>
      <c r="DU145" t="b">
        <f t="shared" si="356"/>
        <v>0</v>
      </c>
      <c r="DV145" t="b">
        <f t="shared" si="357"/>
        <v>0</v>
      </c>
      <c r="DW145" t="b">
        <f t="shared" si="358"/>
        <v>0</v>
      </c>
      <c r="DX145" t="b">
        <f t="shared" si="359"/>
        <v>0</v>
      </c>
      <c r="DY145" t="b">
        <f t="shared" si="360"/>
        <v>0</v>
      </c>
      <c r="DZ145" t="b">
        <f t="shared" si="361"/>
        <v>0</v>
      </c>
      <c r="EA145" t="b">
        <f t="shared" si="362"/>
        <v>0</v>
      </c>
      <c r="EB145" t="b">
        <f t="shared" si="363"/>
        <v>0</v>
      </c>
      <c r="EC145" t="b">
        <f t="shared" si="364"/>
        <v>0</v>
      </c>
      <c r="ED145" t="b">
        <f t="shared" si="365"/>
        <v>0</v>
      </c>
      <c r="EE145" t="b">
        <f t="shared" si="366"/>
        <v>0</v>
      </c>
      <c r="EF145" t="b">
        <f t="shared" si="367"/>
        <v>0</v>
      </c>
      <c r="EG145" t="b">
        <f t="shared" si="368"/>
        <v>0</v>
      </c>
      <c r="EH145" t="b">
        <f t="shared" si="369"/>
        <v>0</v>
      </c>
      <c r="EI145" t="b">
        <f t="shared" si="370"/>
        <v>0</v>
      </c>
      <c r="EJ145" t="b">
        <f t="shared" si="371"/>
        <v>0</v>
      </c>
      <c r="EK145" t="b">
        <f t="shared" si="372"/>
        <v>0</v>
      </c>
    </row>
    <row r="146" spans="1:141">
      <c r="A146" t="s">
        <v>843</v>
      </c>
      <c r="B146" t="s">
        <v>844</v>
      </c>
      <c r="C146" t="s">
        <v>845</v>
      </c>
      <c r="D146" s="1">
        <v>43418</v>
      </c>
      <c r="E146" s="2">
        <v>43432.814108796294</v>
      </c>
      <c r="F146" s="2">
        <v>43432.814108796294</v>
      </c>
      <c r="G146">
        <v>44320330</v>
      </c>
      <c r="H146" t="s">
        <v>846</v>
      </c>
      <c r="I146" s="10" t="s">
        <v>160</v>
      </c>
      <c r="J146" t="s">
        <v>847</v>
      </c>
      <c r="K146" s="8" t="b">
        <v>1</v>
      </c>
      <c r="L146" s="10" t="b">
        <v>0</v>
      </c>
      <c r="M146" s="12" t="b">
        <v>0</v>
      </c>
      <c r="N146" t="b">
        <v>0</v>
      </c>
      <c r="O146" t="b">
        <v>0</v>
      </c>
      <c r="P146" t="b">
        <v>0</v>
      </c>
      <c r="Q146">
        <f t="shared" si="249"/>
        <v>4</v>
      </c>
      <c r="R146">
        <f t="shared" si="250"/>
        <v>11</v>
      </c>
      <c r="S146" t="e">
        <f t="shared" ca="1" si="280"/>
        <v>#NAME?</v>
      </c>
      <c r="T146" t="e">
        <f t="shared" ca="1" si="251"/>
        <v>#NAME?</v>
      </c>
      <c r="U146" s="4">
        <f t="shared" si="252"/>
        <v>14.814108796294022</v>
      </c>
      <c r="V146" s="4">
        <f t="shared" si="253"/>
        <v>0.49380362654313409</v>
      </c>
      <c r="W146" s="4">
        <f t="shared" si="254"/>
        <v>1</v>
      </c>
      <c r="X146" s="4">
        <f t="shared" si="255"/>
        <v>0</v>
      </c>
      <c r="Y146" s="4">
        <f t="shared" si="256"/>
        <v>0</v>
      </c>
      <c r="Z146" s="4">
        <f t="shared" si="257"/>
        <v>0</v>
      </c>
      <c r="AA146" s="4">
        <f t="shared" si="258"/>
        <v>0</v>
      </c>
      <c r="AB146" s="4">
        <f t="shared" si="259"/>
        <v>0</v>
      </c>
      <c r="AC146" s="4"/>
      <c r="AD146" s="4" t="b">
        <f t="shared" si="260"/>
        <v>0</v>
      </c>
      <c r="AE146" s="4" t="b">
        <f t="shared" si="261"/>
        <v>0</v>
      </c>
      <c r="AF146" s="4" t="b">
        <f t="shared" si="262"/>
        <v>0</v>
      </c>
      <c r="AG146" t="b">
        <f t="shared" si="263"/>
        <v>0</v>
      </c>
      <c r="AH146" t="b">
        <f t="shared" si="264"/>
        <v>0</v>
      </c>
      <c r="AI146" t="b">
        <f t="shared" si="265"/>
        <v>0</v>
      </c>
      <c r="AJ146" t="b">
        <f t="shared" si="266"/>
        <v>0</v>
      </c>
      <c r="AK146" t="b">
        <f t="shared" si="267"/>
        <v>0</v>
      </c>
      <c r="AL146" t="b">
        <f t="shared" si="268"/>
        <v>0</v>
      </c>
      <c r="AM146" t="b">
        <f t="shared" si="269"/>
        <v>0</v>
      </c>
      <c r="AN146" t="b">
        <f t="shared" si="270"/>
        <v>0</v>
      </c>
      <c r="AO146" t="b">
        <f t="shared" si="271"/>
        <v>0</v>
      </c>
      <c r="AP146" t="b">
        <f t="shared" si="272"/>
        <v>0</v>
      </c>
      <c r="AQ146" t="b">
        <f t="shared" si="273"/>
        <v>0</v>
      </c>
      <c r="AR146" t="b">
        <f t="shared" si="274"/>
        <v>0</v>
      </c>
      <c r="AS146" t="b">
        <f t="shared" si="275"/>
        <v>0</v>
      </c>
      <c r="AT146" t="b">
        <f t="shared" si="276"/>
        <v>0</v>
      </c>
      <c r="AU146" t="b">
        <f t="shared" si="277"/>
        <v>0</v>
      </c>
      <c r="AV146" t="b">
        <f t="shared" si="278"/>
        <v>0</v>
      </c>
      <c r="AW146" t="b">
        <f t="shared" si="279"/>
        <v>0</v>
      </c>
      <c r="AX146" t="b">
        <f t="shared" si="281"/>
        <v>0</v>
      </c>
      <c r="AY146" t="b">
        <f t="shared" si="282"/>
        <v>0</v>
      </c>
      <c r="AZ146" t="b">
        <f t="shared" si="283"/>
        <v>0</v>
      </c>
      <c r="BA146" t="b">
        <f t="shared" si="284"/>
        <v>0</v>
      </c>
      <c r="BB146" t="b">
        <f t="shared" si="285"/>
        <v>0</v>
      </c>
      <c r="BC146" t="b">
        <f t="shared" si="286"/>
        <v>0</v>
      </c>
      <c r="BD146" t="b">
        <f t="shared" si="287"/>
        <v>0</v>
      </c>
      <c r="BE146" t="b">
        <f t="shared" si="288"/>
        <v>0</v>
      </c>
      <c r="BF146" t="b">
        <f t="shared" si="289"/>
        <v>0</v>
      </c>
      <c r="BG146" t="b">
        <f t="shared" si="290"/>
        <v>0</v>
      </c>
      <c r="BH146" t="b">
        <f t="shared" si="291"/>
        <v>0</v>
      </c>
      <c r="BI146">
        <f t="shared" si="292"/>
        <v>1</v>
      </c>
      <c r="BJ146">
        <f t="shared" si="293"/>
        <v>1</v>
      </c>
      <c r="BK146" t="b">
        <f t="shared" si="294"/>
        <v>0</v>
      </c>
      <c r="BL146" t="b">
        <f t="shared" si="295"/>
        <v>0</v>
      </c>
      <c r="BM146" t="b">
        <f t="shared" si="296"/>
        <v>0</v>
      </c>
      <c r="BN146" t="b">
        <f t="shared" si="297"/>
        <v>0</v>
      </c>
      <c r="BO146" t="b">
        <f t="shared" si="298"/>
        <v>0</v>
      </c>
      <c r="BP146" t="b">
        <f t="shared" si="299"/>
        <v>0</v>
      </c>
      <c r="BQ146" t="b">
        <f t="shared" si="300"/>
        <v>0</v>
      </c>
      <c r="BR146" t="b">
        <f t="shared" si="301"/>
        <v>0</v>
      </c>
      <c r="BS146" t="b">
        <f t="shared" si="302"/>
        <v>0</v>
      </c>
      <c r="BT146" t="b">
        <f t="shared" si="303"/>
        <v>0</v>
      </c>
      <c r="BU146" t="b">
        <f t="shared" si="304"/>
        <v>0</v>
      </c>
      <c r="BV146" t="b">
        <f t="shared" si="305"/>
        <v>0</v>
      </c>
      <c r="BW146" t="b">
        <f t="shared" si="306"/>
        <v>0</v>
      </c>
      <c r="BX146" t="b">
        <f t="shared" si="307"/>
        <v>0</v>
      </c>
      <c r="BY146" t="b">
        <f t="shared" si="308"/>
        <v>0</v>
      </c>
      <c r="BZ146" t="b">
        <f t="shared" si="309"/>
        <v>0</v>
      </c>
      <c r="CA146" t="b">
        <f t="shared" si="310"/>
        <v>0</v>
      </c>
      <c r="CB146" t="b">
        <f t="shared" si="311"/>
        <v>0</v>
      </c>
      <c r="CC146" t="b">
        <f t="shared" si="312"/>
        <v>0</v>
      </c>
      <c r="CD146" t="b">
        <f t="shared" si="313"/>
        <v>0</v>
      </c>
      <c r="CE146">
        <f t="shared" si="314"/>
        <v>1</v>
      </c>
      <c r="CF146" t="b">
        <f t="shared" si="315"/>
        <v>0</v>
      </c>
      <c r="CG146" t="b">
        <f t="shared" si="316"/>
        <v>0</v>
      </c>
      <c r="CH146" t="b">
        <f t="shared" si="317"/>
        <v>0</v>
      </c>
      <c r="CI146" t="b">
        <f t="shared" si="318"/>
        <v>0</v>
      </c>
      <c r="CJ146" t="b">
        <f t="shared" si="319"/>
        <v>0</v>
      </c>
      <c r="CK146" t="b">
        <f t="shared" si="320"/>
        <v>0</v>
      </c>
      <c r="CL146" t="b">
        <f t="shared" si="321"/>
        <v>0</v>
      </c>
      <c r="CM146">
        <f t="shared" si="322"/>
        <v>1</v>
      </c>
      <c r="CN146" t="b">
        <f t="shared" si="323"/>
        <v>0</v>
      </c>
      <c r="CO146" t="b">
        <f t="shared" si="324"/>
        <v>0</v>
      </c>
      <c r="CP146" t="b">
        <f t="shared" si="325"/>
        <v>0</v>
      </c>
      <c r="CQ146" t="b">
        <f t="shared" si="326"/>
        <v>0</v>
      </c>
      <c r="CR146" t="b">
        <f t="shared" si="327"/>
        <v>0</v>
      </c>
      <c r="CS146" t="b">
        <f t="shared" si="328"/>
        <v>0</v>
      </c>
      <c r="CT146" t="b">
        <f t="shared" si="329"/>
        <v>0</v>
      </c>
      <c r="CU146" t="b">
        <f t="shared" si="330"/>
        <v>0</v>
      </c>
      <c r="CV146" t="b">
        <f t="shared" si="331"/>
        <v>0</v>
      </c>
      <c r="CW146" t="b">
        <f t="shared" si="332"/>
        <v>0</v>
      </c>
      <c r="CX146" t="b">
        <f t="shared" si="333"/>
        <v>0</v>
      </c>
      <c r="CY146" t="b">
        <f t="shared" si="334"/>
        <v>0</v>
      </c>
      <c r="CZ146" t="b">
        <f t="shared" si="335"/>
        <v>0</v>
      </c>
      <c r="DA146">
        <f t="shared" si="336"/>
        <v>1</v>
      </c>
      <c r="DB146">
        <f t="shared" si="337"/>
        <v>1</v>
      </c>
      <c r="DC146" t="b">
        <f t="shared" si="338"/>
        <v>0</v>
      </c>
      <c r="DD146" t="b">
        <f t="shared" si="339"/>
        <v>0</v>
      </c>
      <c r="DE146" t="b">
        <f t="shared" si="340"/>
        <v>0</v>
      </c>
      <c r="DF146" t="b">
        <f t="shared" si="341"/>
        <v>0</v>
      </c>
      <c r="DG146" t="b">
        <f t="shared" si="342"/>
        <v>0</v>
      </c>
      <c r="DH146" t="b">
        <f t="shared" si="343"/>
        <v>0</v>
      </c>
      <c r="DI146" t="b">
        <f t="shared" si="344"/>
        <v>0</v>
      </c>
      <c r="DJ146" t="b">
        <f t="shared" si="345"/>
        <v>0</v>
      </c>
      <c r="DK146" t="b">
        <f t="shared" si="346"/>
        <v>0</v>
      </c>
      <c r="DL146" t="b">
        <f t="shared" si="347"/>
        <v>0</v>
      </c>
      <c r="DM146" t="b">
        <f t="shared" si="348"/>
        <v>0</v>
      </c>
      <c r="DN146" t="b">
        <f t="shared" si="349"/>
        <v>0</v>
      </c>
      <c r="DO146" t="b">
        <f t="shared" si="350"/>
        <v>0</v>
      </c>
      <c r="DP146" t="b">
        <f t="shared" si="351"/>
        <v>0</v>
      </c>
      <c r="DQ146" t="b">
        <f t="shared" si="352"/>
        <v>0</v>
      </c>
      <c r="DR146" t="b">
        <f t="shared" si="353"/>
        <v>0</v>
      </c>
      <c r="DS146" t="b">
        <f t="shared" si="354"/>
        <v>0</v>
      </c>
      <c r="DT146" t="b">
        <f t="shared" si="355"/>
        <v>0</v>
      </c>
      <c r="DU146" t="b">
        <f t="shared" si="356"/>
        <v>0</v>
      </c>
      <c r="DV146" t="b">
        <f t="shared" si="357"/>
        <v>0</v>
      </c>
      <c r="DW146" t="b">
        <f t="shared" si="358"/>
        <v>0</v>
      </c>
      <c r="DX146" t="b">
        <f t="shared" si="359"/>
        <v>0</v>
      </c>
      <c r="DY146" t="b">
        <f t="shared" si="360"/>
        <v>0</v>
      </c>
      <c r="DZ146" t="b">
        <f t="shared" si="361"/>
        <v>0</v>
      </c>
      <c r="EA146" t="b">
        <f t="shared" si="362"/>
        <v>0</v>
      </c>
      <c r="EB146" t="b">
        <f t="shared" si="363"/>
        <v>0</v>
      </c>
      <c r="EC146" t="b">
        <f t="shared" si="364"/>
        <v>0</v>
      </c>
      <c r="ED146" t="b">
        <f t="shared" si="365"/>
        <v>0</v>
      </c>
      <c r="EE146" t="b">
        <f t="shared" si="366"/>
        <v>0</v>
      </c>
      <c r="EF146" t="b">
        <f t="shared" si="367"/>
        <v>0</v>
      </c>
      <c r="EG146" t="b">
        <f t="shared" si="368"/>
        <v>0</v>
      </c>
      <c r="EH146" t="b">
        <f t="shared" si="369"/>
        <v>0</v>
      </c>
      <c r="EI146" t="b">
        <f t="shared" si="370"/>
        <v>0</v>
      </c>
      <c r="EJ146" t="b">
        <f t="shared" si="371"/>
        <v>0</v>
      </c>
      <c r="EK146" t="b">
        <f t="shared" si="372"/>
        <v>0</v>
      </c>
    </row>
    <row r="147" spans="1:141">
      <c r="A147" t="s">
        <v>848</v>
      </c>
      <c r="B147" t="s">
        <v>849</v>
      </c>
      <c r="D147" s="1">
        <v>43754</v>
      </c>
      <c r="E147" s="2">
        <v>43791.842407407406</v>
      </c>
      <c r="F147" s="2">
        <v>43791.842407407406</v>
      </c>
      <c r="G147">
        <v>622161052</v>
      </c>
      <c r="H147" t="s">
        <v>850</v>
      </c>
      <c r="I147" s="10" t="s">
        <v>160</v>
      </c>
      <c r="J147" t="s">
        <v>851</v>
      </c>
      <c r="K147" s="8" t="b">
        <v>1</v>
      </c>
      <c r="L147" s="10" t="b">
        <v>0</v>
      </c>
      <c r="M147" s="12" t="b">
        <v>0</v>
      </c>
      <c r="N147" t="b">
        <v>0</v>
      </c>
      <c r="O147" t="b">
        <v>0</v>
      </c>
      <c r="P147" t="b">
        <v>0</v>
      </c>
      <c r="Q147">
        <f t="shared" si="249"/>
        <v>4</v>
      </c>
      <c r="R147">
        <f t="shared" si="250"/>
        <v>10</v>
      </c>
      <c r="S147" t="e">
        <f t="shared" ca="1" si="280"/>
        <v>#NAME?</v>
      </c>
      <c r="T147" t="e">
        <f t="shared" ca="1" si="251"/>
        <v>#NAME?</v>
      </c>
      <c r="U147" s="4">
        <f t="shared" si="252"/>
        <v>37.842407407406427</v>
      </c>
      <c r="V147" s="4">
        <f t="shared" si="253"/>
        <v>1.2614135802468809</v>
      </c>
      <c r="W147" s="4">
        <f t="shared" si="254"/>
        <v>1</v>
      </c>
      <c r="X147" s="4">
        <f t="shared" si="255"/>
        <v>0</v>
      </c>
      <c r="Y147" s="4">
        <f t="shared" si="256"/>
        <v>0</v>
      </c>
      <c r="Z147" s="4">
        <f t="shared" si="257"/>
        <v>0</v>
      </c>
      <c r="AA147" s="4">
        <f t="shared" si="258"/>
        <v>0</v>
      </c>
      <c r="AB147" s="4">
        <f t="shared" si="259"/>
        <v>0</v>
      </c>
      <c r="AC147" s="4"/>
      <c r="AD147" s="4" t="b">
        <f t="shared" si="260"/>
        <v>0</v>
      </c>
      <c r="AE147" s="4" t="b">
        <f t="shared" si="261"/>
        <v>0</v>
      </c>
      <c r="AF147" s="4" t="b">
        <f t="shared" si="262"/>
        <v>0</v>
      </c>
      <c r="AG147" t="b">
        <f t="shared" si="263"/>
        <v>0</v>
      </c>
      <c r="AH147" t="b">
        <f t="shared" si="264"/>
        <v>0</v>
      </c>
      <c r="AI147" t="b">
        <f t="shared" si="265"/>
        <v>0</v>
      </c>
      <c r="AJ147" t="b">
        <f t="shared" si="266"/>
        <v>0</v>
      </c>
      <c r="AK147" t="b">
        <f t="shared" si="267"/>
        <v>0</v>
      </c>
      <c r="AL147" t="b">
        <f t="shared" si="268"/>
        <v>0</v>
      </c>
      <c r="AM147" t="b">
        <f t="shared" si="269"/>
        <v>0</v>
      </c>
      <c r="AN147" t="b">
        <f t="shared" si="270"/>
        <v>0</v>
      </c>
      <c r="AO147" t="b">
        <f t="shared" si="271"/>
        <v>0</v>
      </c>
      <c r="AP147" t="b">
        <f t="shared" si="272"/>
        <v>0</v>
      </c>
      <c r="AQ147" t="b">
        <f t="shared" si="273"/>
        <v>0</v>
      </c>
      <c r="AR147" t="b">
        <f t="shared" si="274"/>
        <v>0</v>
      </c>
      <c r="AS147" t="b">
        <f t="shared" si="275"/>
        <v>0</v>
      </c>
      <c r="AT147" t="b">
        <f t="shared" si="276"/>
        <v>0</v>
      </c>
      <c r="AU147" t="b">
        <f t="shared" si="277"/>
        <v>0</v>
      </c>
      <c r="AV147" t="b">
        <f t="shared" si="278"/>
        <v>0</v>
      </c>
      <c r="AW147" t="b">
        <f t="shared" si="279"/>
        <v>0</v>
      </c>
      <c r="AX147" t="b">
        <f t="shared" si="281"/>
        <v>0</v>
      </c>
      <c r="AY147" t="b">
        <f t="shared" si="282"/>
        <v>0</v>
      </c>
      <c r="AZ147" t="b">
        <f t="shared" si="283"/>
        <v>0</v>
      </c>
      <c r="BA147" t="b">
        <f t="shared" si="284"/>
        <v>0</v>
      </c>
      <c r="BB147" t="b">
        <f t="shared" si="285"/>
        <v>0</v>
      </c>
      <c r="BC147" t="b">
        <f t="shared" si="286"/>
        <v>0</v>
      </c>
      <c r="BD147" t="b">
        <f t="shared" si="287"/>
        <v>0</v>
      </c>
      <c r="BE147" t="b">
        <f t="shared" si="288"/>
        <v>0</v>
      </c>
      <c r="BF147" t="b">
        <f t="shared" si="289"/>
        <v>0</v>
      </c>
      <c r="BG147" t="b">
        <f t="shared" si="290"/>
        <v>0</v>
      </c>
      <c r="BH147" t="b">
        <f t="shared" si="291"/>
        <v>0</v>
      </c>
      <c r="BI147">
        <f t="shared" si="292"/>
        <v>1</v>
      </c>
      <c r="BJ147">
        <f t="shared" si="293"/>
        <v>1</v>
      </c>
      <c r="BK147" t="b">
        <f t="shared" si="294"/>
        <v>0</v>
      </c>
      <c r="BL147" t="b">
        <f t="shared" si="295"/>
        <v>0</v>
      </c>
      <c r="BM147" t="b">
        <f t="shared" si="296"/>
        <v>0</v>
      </c>
      <c r="BN147" t="b">
        <f t="shared" si="297"/>
        <v>0</v>
      </c>
      <c r="BO147" t="b">
        <f t="shared" si="298"/>
        <v>0</v>
      </c>
      <c r="BP147" t="b">
        <f t="shared" si="299"/>
        <v>0</v>
      </c>
      <c r="BQ147" t="b">
        <f t="shared" si="300"/>
        <v>0</v>
      </c>
      <c r="BR147" t="b">
        <f t="shared" si="301"/>
        <v>0</v>
      </c>
      <c r="BS147">
        <f t="shared" si="302"/>
        <v>1</v>
      </c>
      <c r="BT147" t="b">
        <f t="shared" si="303"/>
        <v>0</v>
      </c>
      <c r="BU147" t="b">
        <f t="shared" si="304"/>
        <v>0</v>
      </c>
      <c r="BV147" t="b">
        <f t="shared" si="305"/>
        <v>0</v>
      </c>
      <c r="BW147" t="b">
        <f t="shared" si="306"/>
        <v>0</v>
      </c>
      <c r="BX147" t="b">
        <f t="shared" si="307"/>
        <v>0</v>
      </c>
      <c r="BY147" t="b">
        <f t="shared" si="308"/>
        <v>0</v>
      </c>
      <c r="BZ147" t="b">
        <f t="shared" si="309"/>
        <v>0</v>
      </c>
      <c r="CA147" t="b">
        <f t="shared" si="310"/>
        <v>0</v>
      </c>
      <c r="CB147" t="b">
        <f t="shared" si="311"/>
        <v>0</v>
      </c>
      <c r="CC147" t="b">
        <f t="shared" si="312"/>
        <v>0</v>
      </c>
      <c r="CD147" t="b">
        <f t="shared" si="313"/>
        <v>0</v>
      </c>
      <c r="CE147" t="b">
        <f t="shared" si="314"/>
        <v>0</v>
      </c>
      <c r="CF147" t="b">
        <f t="shared" si="315"/>
        <v>0</v>
      </c>
      <c r="CG147" t="b">
        <f t="shared" si="316"/>
        <v>0</v>
      </c>
      <c r="CH147" t="b">
        <f t="shared" si="317"/>
        <v>0</v>
      </c>
      <c r="CI147" t="b">
        <f t="shared" si="318"/>
        <v>0</v>
      </c>
      <c r="CJ147" t="b">
        <f t="shared" si="319"/>
        <v>0</v>
      </c>
      <c r="CK147" t="b">
        <f t="shared" si="320"/>
        <v>0</v>
      </c>
      <c r="CL147" t="b">
        <f t="shared" si="321"/>
        <v>0</v>
      </c>
      <c r="CM147">
        <f t="shared" si="322"/>
        <v>1</v>
      </c>
      <c r="CN147" t="b">
        <f t="shared" si="323"/>
        <v>0</v>
      </c>
      <c r="CO147" t="b">
        <f t="shared" si="324"/>
        <v>0</v>
      </c>
      <c r="CP147" t="b">
        <f t="shared" si="325"/>
        <v>0</v>
      </c>
      <c r="CQ147" t="b">
        <f t="shared" si="326"/>
        <v>0</v>
      </c>
      <c r="CR147" t="b">
        <f t="shared" si="327"/>
        <v>0</v>
      </c>
      <c r="CS147" t="b">
        <f t="shared" si="328"/>
        <v>0</v>
      </c>
      <c r="CT147" t="b">
        <f t="shared" si="329"/>
        <v>0</v>
      </c>
      <c r="CU147" t="b">
        <f t="shared" si="330"/>
        <v>0</v>
      </c>
      <c r="CV147" t="b">
        <f t="shared" si="331"/>
        <v>0</v>
      </c>
      <c r="CW147" t="b">
        <f t="shared" si="332"/>
        <v>0</v>
      </c>
      <c r="CX147" t="b">
        <f t="shared" si="333"/>
        <v>0</v>
      </c>
      <c r="CY147" t="b">
        <f t="shared" si="334"/>
        <v>0</v>
      </c>
      <c r="CZ147" t="b">
        <f t="shared" si="335"/>
        <v>0</v>
      </c>
      <c r="DA147">
        <f t="shared" si="336"/>
        <v>1</v>
      </c>
      <c r="DB147" t="b">
        <f t="shared" si="337"/>
        <v>0</v>
      </c>
      <c r="DC147" t="b">
        <f t="shared" si="338"/>
        <v>0</v>
      </c>
      <c r="DD147" t="b">
        <f t="shared" si="339"/>
        <v>0</v>
      </c>
      <c r="DE147" t="b">
        <f t="shared" si="340"/>
        <v>0</v>
      </c>
      <c r="DF147" t="b">
        <f t="shared" si="341"/>
        <v>0</v>
      </c>
      <c r="DG147" t="b">
        <f t="shared" si="342"/>
        <v>0</v>
      </c>
      <c r="DH147" t="b">
        <f t="shared" si="343"/>
        <v>0</v>
      </c>
      <c r="DI147" t="b">
        <f t="shared" si="344"/>
        <v>0</v>
      </c>
      <c r="DJ147" t="b">
        <f t="shared" si="345"/>
        <v>0</v>
      </c>
      <c r="DK147" t="b">
        <f t="shared" si="346"/>
        <v>0</v>
      </c>
      <c r="DL147" t="b">
        <f t="shared" si="347"/>
        <v>0</v>
      </c>
      <c r="DM147" t="b">
        <f t="shared" si="348"/>
        <v>0</v>
      </c>
      <c r="DN147" t="b">
        <f t="shared" si="349"/>
        <v>0</v>
      </c>
      <c r="DO147" t="b">
        <f t="shared" si="350"/>
        <v>0</v>
      </c>
      <c r="DP147" t="b">
        <f t="shared" si="351"/>
        <v>0</v>
      </c>
      <c r="DQ147" t="b">
        <f t="shared" si="352"/>
        <v>0</v>
      </c>
      <c r="DR147" t="b">
        <f t="shared" si="353"/>
        <v>0</v>
      </c>
      <c r="DS147" t="b">
        <f t="shared" si="354"/>
        <v>0</v>
      </c>
      <c r="DT147" t="b">
        <f t="shared" si="355"/>
        <v>0</v>
      </c>
      <c r="DU147" t="b">
        <f t="shared" si="356"/>
        <v>0</v>
      </c>
      <c r="DV147" t="b">
        <f t="shared" si="357"/>
        <v>0</v>
      </c>
      <c r="DW147" t="b">
        <f t="shared" si="358"/>
        <v>0</v>
      </c>
      <c r="DX147" t="b">
        <f t="shared" si="359"/>
        <v>0</v>
      </c>
      <c r="DY147">
        <f t="shared" si="360"/>
        <v>1</v>
      </c>
      <c r="DZ147" t="b">
        <f t="shared" si="361"/>
        <v>0</v>
      </c>
      <c r="EA147" t="b">
        <f t="shared" si="362"/>
        <v>0</v>
      </c>
      <c r="EB147" t="b">
        <f t="shared" si="363"/>
        <v>0</v>
      </c>
      <c r="EC147" t="b">
        <f t="shared" si="364"/>
        <v>0</v>
      </c>
      <c r="ED147" t="b">
        <f t="shared" si="365"/>
        <v>0</v>
      </c>
      <c r="EE147" t="b">
        <f t="shared" si="366"/>
        <v>0</v>
      </c>
      <c r="EF147" t="b">
        <f t="shared" si="367"/>
        <v>0</v>
      </c>
      <c r="EG147" t="b">
        <f t="shared" si="368"/>
        <v>0</v>
      </c>
      <c r="EH147" t="b">
        <f t="shared" si="369"/>
        <v>0</v>
      </c>
      <c r="EI147" t="b">
        <f t="shared" si="370"/>
        <v>0</v>
      </c>
      <c r="EJ147" t="b">
        <f t="shared" si="371"/>
        <v>0</v>
      </c>
      <c r="EK147" t="b">
        <f t="shared" si="372"/>
        <v>0</v>
      </c>
    </row>
    <row r="148" spans="1:141">
      <c r="A148" t="s">
        <v>852</v>
      </c>
      <c r="B148" t="s">
        <v>853</v>
      </c>
      <c r="D148" s="1">
        <v>42727</v>
      </c>
      <c r="E148" s="2">
        <v>42894.682719907411</v>
      </c>
      <c r="F148" s="2">
        <v>42894.682719907411</v>
      </c>
      <c r="G148">
        <v>8176132</v>
      </c>
      <c r="H148" t="s">
        <v>854</v>
      </c>
      <c r="I148" s="10" t="s">
        <v>160</v>
      </c>
      <c r="J148" t="s">
        <v>855</v>
      </c>
      <c r="K148" s="8" t="b">
        <v>0</v>
      </c>
      <c r="L148" s="10" t="b">
        <v>0</v>
      </c>
      <c r="M148" s="12" t="b">
        <v>0</v>
      </c>
      <c r="N148" t="b">
        <v>0</v>
      </c>
      <c r="O148" t="b">
        <v>0</v>
      </c>
      <c r="P148" t="b">
        <v>0</v>
      </c>
      <c r="Q148">
        <f t="shared" si="249"/>
        <v>6</v>
      </c>
      <c r="R148">
        <f t="shared" si="250"/>
        <v>12</v>
      </c>
      <c r="S148" t="e">
        <f t="shared" ca="1" si="280"/>
        <v>#NAME?</v>
      </c>
      <c r="T148" t="e">
        <f t="shared" ca="1" si="251"/>
        <v>#NAME?</v>
      </c>
      <c r="U148" s="4">
        <f t="shared" si="252"/>
        <v>167.6827199074105</v>
      </c>
      <c r="V148" s="4">
        <f t="shared" si="253"/>
        <v>5.5894239969136832</v>
      </c>
      <c r="W148" s="4">
        <f t="shared" si="254"/>
        <v>0</v>
      </c>
      <c r="X148" s="4">
        <f t="shared" si="255"/>
        <v>0</v>
      </c>
      <c r="Y148" s="4">
        <f t="shared" si="256"/>
        <v>0</v>
      </c>
      <c r="Z148" s="4">
        <f t="shared" si="257"/>
        <v>0</v>
      </c>
      <c r="AA148" s="4">
        <f t="shared" si="258"/>
        <v>0</v>
      </c>
      <c r="AB148" s="4">
        <f t="shared" si="259"/>
        <v>0</v>
      </c>
      <c r="AC148" s="4"/>
      <c r="AD148" s="4" t="b">
        <f t="shared" si="260"/>
        <v>0</v>
      </c>
      <c r="AE148" s="4" t="b">
        <f t="shared" si="261"/>
        <v>0</v>
      </c>
      <c r="AF148" s="4" t="b">
        <f t="shared" si="262"/>
        <v>0</v>
      </c>
      <c r="AG148" t="b">
        <f t="shared" si="263"/>
        <v>0</v>
      </c>
      <c r="AH148" t="b">
        <f t="shared" si="264"/>
        <v>0</v>
      </c>
      <c r="AI148" t="b">
        <f t="shared" si="265"/>
        <v>0</v>
      </c>
      <c r="AJ148" t="b">
        <f t="shared" si="266"/>
        <v>0</v>
      </c>
      <c r="AK148" t="b">
        <f t="shared" si="267"/>
        <v>0</v>
      </c>
      <c r="AL148" t="b">
        <f t="shared" si="268"/>
        <v>0</v>
      </c>
      <c r="AM148" t="b">
        <f t="shared" si="269"/>
        <v>0</v>
      </c>
      <c r="AN148" t="b">
        <f t="shared" si="270"/>
        <v>0</v>
      </c>
      <c r="AO148" t="b">
        <f t="shared" si="271"/>
        <v>0</v>
      </c>
      <c r="AP148">
        <f t="shared" si="272"/>
        <v>1</v>
      </c>
      <c r="AQ148" t="b">
        <f t="shared" si="273"/>
        <v>0</v>
      </c>
      <c r="AR148" t="b">
        <f t="shared" si="274"/>
        <v>0</v>
      </c>
      <c r="AS148">
        <f t="shared" si="275"/>
        <v>1</v>
      </c>
      <c r="AT148" t="b">
        <f t="shared" si="276"/>
        <v>0</v>
      </c>
      <c r="AU148" t="b">
        <f t="shared" si="277"/>
        <v>0</v>
      </c>
      <c r="AV148" t="b">
        <f t="shared" si="278"/>
        <v>0</v>
      </c>
      <c r="AW148">
        <f t="shared" si="279"/>
        <v>1</v>
      </c>
      <c r="AX148" t="b">
        <f t="shared" si="281"/>
        <v>0</v>
      </c>
      <c r="AY148" t="b">
        <f t="shared" si="282"/>
        <v>0</v>
      </c>
      <c r="AZ148">
        <f t="shared" si="283"/>
        <v>1</v>
      </c>
      <c r="BA148" t="b">
        <f t="shared" si="284"/>
        <v>0</v>
      </c>
      <c r="BB148" t="b">
        <f t="shared" si="285"/>
        <v>0</v>
      </c>
      <c r="BC148" t="b">
        <f t="shared" si="286"/>
        <v>0</v>
      </c>
      <c r="BD148" t="b">
        <f t="shared" si="287"/>
        <v>0</v>
      </c>
      <c r="BE148" t="b">
        <f t="shared" si="288"/>
        <v>0</v>
      </c>
      <c r="BF148" t="b">
        <f t="shared" si="289"/>
        <v>0</v>
      </c>
      <c r="BG148" t="b">
        <f t="shared" si="290"/>
        <v>0</v>
      </c>
      <c r="BH148" t="b">
        <f t="shared" si="291"/>
        <v>0</v>
      </c>
      <c r="BI148">
        <f t="shared" si="292"/>
        <v>1</v>
      </c>
      <c r="BJ148" t="b">
        <f t="shared" si="293"/>
        <v>0</v>
      </c>
      <c r="BK148" t="b">
        <f t="shared" si="294"/>
        <v>0</v>
      </c>
      <c r="BL148" t="b">
        <f t="shared" si="295"/>
        <v>0</v>
      </c>
      <c r="BM148">
        <f t="shared" si="296"/>
        <v>1</v>
      </c>
      <c r="BN148">
        <f t="shared" si="297"/>
        <v>1</v>
      </c>
      <c r="BO148" t="b">
        <f t="shared" si="298"/>
        <v>0</v>
      </c>
      <c r="BP148" t="b">
        <f t="shared" si="299"/>
        <v>0</v>
      </c>
      <c r="BQ148" t="b">
        <f t="shared" si="300"/>
        <v>0</v>
      </c>
      <c r="BR148" t="b">
        <f t="shared" si="301"/>
        <v>0</v>
      </c>
      <c r="BS148" t="b">
        <f t="shared" si="302"/>
        <v>0</v>
      </c>
      <c r="BT148" t="b">
        <f t="shared" si="303"/>
        <v>0</v>
      </c>
      <c r="BU148" t="b">
        <f t="shared" si="304"/>
        <v>0</v>
      </c>
      <c r="BV148" t="b">
        <f t="shared" si="305"/>
        <v>0</v>
      </c>
      <c r="BW148" t="b">
        <f t="shared" si="306"/>
        <v>0</v>
      </c>
      <c r="BX148" t="b">
        <f t="shared" si="307"/>
        <v>0</v>
      </c>
      <c r="BY148">
        <f t="shared" si="308"/>
        <v>1</v>
      </c>
      <c r="BZ148" t="b">
        <f t="shared" si="309"/>
        <v>0</v>
      </c>
      <c r="CA148" t="b">
        <f t="shared" si="310"/>
        <v>0</v>
      </c>
      <c r="CB148" t="b">
        <f t="shared" si="311"/>
        <v>0</v>
      </c>
      <c r="CC148">
        <f t="shared" si="312"/>
        <v>1</v>
      </c>
      <c r="CD148" t="b">
        <f t="shared" si="313"/>
        <v>0</v>
      </c>
      <c r="CE148" t="b">
        <f t="shared" si="314"/>
        <v>0</v>
      </c>
      <c r="CF148" t="b">
        <f t="shared" si="315"/>
        <v>0</v>
      </c>
      <c r="CG148" t="b">
        <f t="shared" si="316"/>
        <v>0</v>
      </c>
      <c r="CH148" t="b">
        <f t="shared" si="317"/>
        <v>0</v>
      </c>
      <c r="CI148" t="b">
        <f t="shared" si="318"/>
        <v>0</v>
      </c>
      <c r="CJ148" t="b">
        <f t="shared" si="319"/>
        <v>0</v>
      </c>
      <c r="CK148">
        <f t="shared" si="320"/>
        <v>1</v>
      </c>
      <c r="CL148" t="b">
        <f t="shared" si="321"/>
        <v>0</v>
      </c>
      <c r="CM148">
        <f t="shared" si="322"/>
        <v>1</v>
      </c>
      <c r="CN148" t="b">
        <f t="shared" si="323"/>
        <v>0</v>
      </c>
      <c r="CO148">
        <f t="shared" si="324"/>
        <v>1</v>
      </c>
      <c r="CP148" t="b">
        <f t="shared" si="325"/>
        <v>0</v>
      </c>
      <c r="CQ148" t="b">
        <f t="shared" si="326"/>
        <v>0</v>
      </c>
      <c r="CR148" t="b">
        <f t="shared" si="327"/>
        <v>0</v>
      </c>
      <c r="CS148" t="b">
        <f t="shared" si="328"/>
        <v>0</v>
      </c>
      <c r="CT148" t="b">
        <f t="shared" si="329"/>
        <v>0</v>
      </c>
      <c r="CU148" t="b">
        <f t="shared" si="330"/>
        <v>0</v>
      </c>
      <c r="CV148" t="b">
        <f t="shared" si="331"/>
        <v>0</v>
      </c>
      <c r="CW148" t="b">
        <f t="shared" si="332"/>
        <v>0</v>
      </c>
      <c r="CX148" t="b">
        <f t="shared" si="333"/>
        <v>0</v>
      </c>
      <c r="CY148" t="b">
        <f t="shared" si="334"/>
        <v>0</v>
      </c>
      <c r="CZ148" t="b">
        <f t="shared" si="335"/>
        <v>0</v>
      </c>
      <c r="DA148">
        <f t="shared" si="336"/>
        <v>1</v>
      </c>
      <c r="DB148">
        <f t="shared" si="337"/>
        <v>1</v>
      </c>
      <c r="DC148" t="b">
        <f t="shared" si="338"/>
        <v>0</v>
      </c>
      <c r="DD148" t="b">
        <f t="shared" si="339"/>
        <v>0</v>
      </c>
      <c r="DE148">
        <f t="shared" si="340"/>
        <v>1</v>
      </c>
      <c r="DF148" t="b">
        <f t="shared" si="341"/>
        <v>0</v>
      </c>
      <c r="DG148" t="b">
        <f t="shared" si="342"/>
        <v>0</v>
      </c>
      <c r="DH148" t="b">
        <f t="shared" si="343"/>
        <v>0</v>
      </c>
      <c r="DI148" t="b">
        <f t="shared" si="344"/>
        <v>0</v>
      </c>
      <c r="DJ148" t="b">
        <f t="shared" si="345"/>
        <v>0</v>
      </c>
      <c r="DK148" t="b">
        <f t="shared" si="346"/>
        <v>0</v>
      </c>
      <c r="DL148" t="b">
        <f t="shared" si="347"/>
        <v>0</v>
      </c>
      <c r="DM148" t="b">
        <f t="shared" si="348"/>
        <v>0</v>
      </c>
      <c r="DN148" t="b">
        <f t="shared" si="349"/>
        <v>0</v>
      </c>
      <c r="DO148" t="b">
        <f t="shared" si="350"/>
        <v>0</v>
      </c>
      <c r="DP148" t="b">
        <f t="shared" si="351"/>
        <v>0</v>
      </c>
      <c r="DQ148" t="b">
        <f t="shared" si="352"/>
        <v>0</v>
      </c>
      <c r="DR148" t="b">
        <f t="shared" si="353"/>
        <v>0</v>
      </c>
      <c r="DS148" t="b">
        <f t="shared" si="354"/>
        <v>0</v>
      </c>
      <c r="DT148" t="b">
        <f t="shared" si="355"/>
        <v>0</v>
      </c>
      <c r="DU148" t="b">
        <f t="shared" si="356"/>
        <v>0</v>
      </c>
      <c r="DV148" t="b">
        <f t="shared" si="357"/>
        <v>0</v>
      </c>
      <c r="DW148" t="b">
        <f t="shared" si="358"/>
        <v>0</v>
      </c>
      <c r="DX148" t="b">
        <f t="shared" si="359"/>
        <v>0</v>
      </c>
      <c r="DY148" t="b">
        <f t="shared" si="360"/>
        <v>0</v>
      </c>
      <c r="DZ148" t="b">
        <f t="shared" si="361"/>
        <v>0</v>
      </c>
      <c r="EA148" t="b">
        <f t="shared" si="362"/>
        <v>0</v>
      </c>
      <c r="EB148" t="b">
        <f t="shared" si="363"/>
        <v>0</v>
      </c>
      <c r="EC148" t="b">
        <f t="shared" si="364"/>
        <v>0</v>
      </c>
      <c r="ED148" t="b">
        <f t="shared" si="365"/>
        <v>0</v>
      </c>
      <c r="EE148" t="b">
        <f t="shared" si="366"/>
        <v>0</v>
      </c>
      <c r="EF148" t="b">
        <f t="shared" si="367"/>
        <v>0</v>
      </c>
      <c r="EG148" t="b">
        <f t="shared" si="368"/>
        <v>0</v>
      </c>
      <c r="EH148" t="b">
        <f t="shared" si="369"/>
        <v>0</v>
      </c>
      <c r="EI148" t="b">
        <f t="shared" si="370"/>
        <v>0</v>
      </c>
      <c r="EJ148" t="b">
        <f t="shared" si="371"/>
        <v>0</v>
      </c>
      <c r="EK148" t="b">
        <f t="shared" si="372"/>
        <v>0</v>
      </c>
    </row>
    <row r="149" spans="1:141">
      <c r="A149" t="s">
        <v>856</v>
      </c>
      <c r="B149" t="s">
        <v>856</v>
      </c>
      <c r="C149" t="s">
        <v>857</v>
      </c>
      <c r="D149" s="1">
        <v>42765</v>
      </c>
      <c r="E149" s="2">
        <v>43564.187442129631</v>
      </c>
      <c r="F149" s="2">
        <v>43564.883946759262</v>
      </c>
      <c r="G149">
        <v>760561</v>
      </c>
      <c r="H149" t="s">
        <v>858</v>
      </c>
      <c r="I149" s="10" t="s">
        <v>859</v>
      </c>
      <c r="J149" t="s">
        <v>860</v>
      </c>
      <c r="K149" s="8" t="b">
        <v>1</v>
      </c>
      <c r="L149" s="10" t="b">
        <v>0</v>
      </c>
      <c r="M149" s="12" t="b">
        <v>0</v>
      </c>
      <c r="N149" t="b">
        <v>0</v>
      </c>
      <c r="O149" t="b">
        <v>0</v>
      </c>
      <c r="P149" t="b">
        <v>0</v>
      </c>
      <c r="Q149">
        <f t="shared" si="249"/>
        <v>2</v>
      </c>
      <c r="R149">
        <f t="shared" si="250"/>
        <v>1</v>
      </c>
      <c r="S149" t="e">
        <f t="shared" ca="1" si="280"/>
        <v>#NAME?</v>
      </c>
      <c r="T149" t="e">
        <f t="shared" ca="1" si="251"/>
        <v>#NAME?</v>
      </c>
      <c r="U149" s="4">
        <f t="shared" si="252"/>
        <v>799.18744212963065</v>
      </c>
      <c r="V149" s="4">
        <f t="shared" si="253"/>
        <v>26.639581404321021</v>
      </c>
      <c r="W149" s="4">
        <f t="shared" si="254"/>
        <v>1</v>
      </c>
      <c r="X149" s="4">
        <f t="shared" si="255"/>
        <v>0</v>
      </c>
      <c r="Y149" s="4">
        <f t="shared" si="256"/>
        <v>0</v>
      </c>
      <c r="Z149" s="4">
        <f t="shared" si="257"/>
        <v>0</v>
      </c>
      <c r="AA149" s="4">
        <f t="shared" si="258"/>
        <v>0</v>
      </c>
      <c r="AB149" s="4">
        <f t="shared" si="259"/>
        <v>0</v>
      </c>
      <c r="AC149" s="4"/>
      <c r="AD149" s="4" t="b">
        <f t="shared" si="260"/>
        <v>0</v>
      </c>
      <c r="AE149" s="4" t="b">
        <f t="shared" si="261"/>
        <v>0</v>
      </c>
      <c r="AF149" s="4" t="b">
        <f t="shared" si="262"/>
        <v>0</v>
      </c>
      <c r="AG149" t="b">
        <f t="shared" si="263"/>
        <v>0</v>
      </c>
      <c r="AH149" t="b">
        <f t="shared" si="264"/>
        <v>0</v>
      </c>
      <c r="AI149" t="b">
        <f t="shared" si="265"/>
        <v>0</v>
      </c>
      <c r="AJ149" t="b">
        <f t="shared" si="266"/>
        <v>0</v>
      </c>
      <c r="AK149" t="b">
        <f t="shared" si="267"/>
        <v>0</v>
      </c>
      <c r="AL149" t="b">
        <f t="shared" si="268"/>
        <v>0</v>
      </c>
      <c r="AM149" t="b">
        <f t="shared" si="269"/>
        <v>0</v>
      </c>
      <c r="AN149" t="b">
        <f t="shared" si="270"/>
        <v>0</v>
      </c>
      <c r="AO149" t="b">
        <f t="shared" si="271"/>
        <v>0</v>
      </c>
      <c r="AP149" t="b">
        <f t="shared" si="272"/>
        <v>0</v>
      </c>
      <c r="AQ149" t="b">
        <f t="shared" si="273"/>
        <v>0</v>
      </c>
      <c r="AR149" t="b">
        <f t="shared" si="274"/>
        <v>0</v>
      </c>
      <c r="AS149" t="b">
        <f t="shared" si="275"/>
        <v>0</v>
      </c>
      <c r="AT149" t="b">
        <f t="shared" si="276"/>
        <v>0</v>
      </c>
      <c r="AU149" t="b">
        <f t="shared" si="277"/>
        <v>0</v>
      </c>
      <c r="AV149" t="b">
        <f t="shared" si="278"/>
        <v>0</v>
      </c>
      <c r="AW149" t="b">
        <f t="shared" si="279"/>
        <v>0</v>
      </c>
      <c r="AX149" t="b">
        <f t="shared" si="281"/>
        <v>0</v>
      </c>
      <c r="AY149" t="b">
        <f t="shared" si="282"/>
        <v>0</v>
      </c>
      <c r="AZ149" t="b">
        <f t="shared" si="283"/>
        <v>0</v>
      </c>
      <c r="BA149" t="b">
        <f t="shared" si="284"/>
        <v>0</v>
      </c>
      <c r="BB149" t="b">
        <f t="shared" si="285"/>
        <v>0</v>
      </c>
      <c r="BC149" t="b">
        <f t="shared" si="286"/>
        <v>0</v>
      </c>
      <c r="BD149" t="b">
        <f t="shared" si="287"/>
        <v>0</v>
      </c>
      <c r="BE149" t="b">
        <f t="shared" si="288"/>
        <v>0</v>
      </c>
      <c r="BF149" t="b">
        <f t="shared" si="289"/>
        <v>0</v>
      </c>
      <c r="BG149" t="b">
        <f t="shared" si="290"/>
        <v>0</v>
      </c>
      <c r="BH149" t="b">
        <f t="shared" si="291"/>
        <v>0</v>
      </c>
      <c r="BI149">
        <f t="shared" si="292"/>
        <v>1</v>
      </c>
      <c r="BJ149" t="b">
        <f t="shared" si="293"/>
        <v>0</v>
      </c>
      <c r="BK149" t="b">
        <f t="shared" si="294"/>
        <v>0</v>
      </c>
      <c r="BL149" t="b">
        <f t="shared" si="295"/>
        <v>0</v>
      </c>
      <c r="BM149" t="b">
        <f t="shared" si="296"/>
        <v>0</v>
      </c>
      <c r="BN149" t="b">
        <f t="shared" si="297"/>
        <v>0</v>
      </c>
      <c r="BO149" t="b">
        <f t="shared" si="298"/>
        <v>0</v>
      </c>
      <c r="BP149" t="b">
        <f t="shared" si="299"/>
        <v>0</v>
      </c>
      <c r="BQ149" t="b">
        <f t="shared" si="300"/>
        <v>0</v>
      </c>
      <c r="BR149" t="b">
        <f t="shared" si="301"/>
        <v>0</v>
      </c>
      <c r="BS149">
        <f t="shared" si="302"/>
        <v>1</v>
      </c>
      <c r="BT149" t="b">
        <f t="shared" si="303"/>
        <v>0</v>
      </c>
      <c r="BU149" t="b">
        <f t="shared" si="304"/>
        <v>0</v>
      </c>
      <c r="BV149" t="b">
        <f t="shared" si="305"/>
        <v>0</v>
      </c>
      <c r="BW149" t="b">
        <f t="shared" si="306"/>
        <v>0</v>
      </c>
      <c r="BX149" t="b">
        <f t="shared" si="307"/>
        <v>0</v>
      </c>
      <c r="BY149" t="b">
        <f t="shared" si="308"/>
        <v>0</v>
      </c>
      <c r="BZ149" t="b">
        <f t="shared" si="309"/>
        <v>0</v>
      </c>
      <c r="CA149" t="b">
        <f t="shared" si="310"/>
        <v>0</v>
      </c>
      <c r="CB149" t="b">
        <f t="shared" si="311"/>
        <v>0</v>
      </c>
      <c r="CC149" t="b">
        <f t="shared" si="312"/>
        <v>0</v>
      </c>
      <c r="CD149" t="b">
        <f t="shared" si="313"/>
        <v>0</v>
      </c>
      <c r="CE149">
        <f t="shared" si="314"/>
        <v>1</v>
      </c>
      <c r="CF149" t="b">
        <f t="shared" si="315"/>
        <v>0</v>
      </c>
      <c r="CG149" t="b">
        <f t="shared" si="316"/>
        <v>0</v>
      </c>
      <c r="CH149" t="b">
        <f t="shared" si="317"/>
        <v>0</v>
      </c>
      <c r="CI149" t="b">
        <f t="shared" si="318"/>
        <v>0</v>
      </c>
      <c r="CJ149" t="b">
        <f t="shared" si="319"/>
        <v>0</v>
      </c>
      <c r="CK149" t="b">
        <f t="shared" si="320"/>
        <v>0</v>
      </c>
      <c r="CL149" t="b">
        <f t="shared" si="321"/>
        <v>0</v>
      </c>
      <c r="CM149">
        <f t="shared" si="322"/>
        <v>1</v>
      </c>
      <c r="CN149" t="b">
        <f t="shared" si="323"/>
        <v>0</v>
      </c>
      <c r="CO149" t="b">
        <f t="shared" si="324"/>
        <v>0</v>
      </c>
      <c r="CP149" t="b">
        <f t="shared" si="325"/>
        <v>0</v>
      </c>
      <c r="CQ149" t="b">
        <f t="shared" si="326"/>
        <v>0</v>
      </c>
      <c r="CR149" t="b">
        <f t="shared" si="327"/>
        <v>0</v>
      </c>
      <c r="CS149" t="b">
        <f t="shared" si="328"/>
        <v>0</v>
      </c>
      <c r="CT149" t="b">
        <f t="shared" si="329"/>
        <v>0</v>
      </c>
      <c r="CU149" t="b">
        <f t="shared" si="330"/>
        <v>0</v>
      </c>
      <c r="CV149">
        <f t="shared" si="331"/>
        <v>1</v>
      </c>
      <c r="CW149" t="b">
        <f t="shared" si="332"/>
        <v>0</v>
      </c>
      <c r="CX149" t="b">
        <f t="shared" si="333"/>
        <v>0</v>
      </c>
      <c r="CY149" t="b">
        <f t="shared" si="334"/>
        <v>0</v>
      </c>
      <c r="CZ149" t="b">
        <f t="shared" si="335"/>
        <v>0</v>
      </c>
      <c r="DA149" t="b">
        <f t="shared" si="336"/>
        <v>0</v>
      </c>
      <c r="DB149" t="b">
        <f t="shared" si="337"/>
        <v>0</v>
      </c>
      <c r="DC149" t="b">
        <f t="shared" si="338"/>
        <v>0</v>
      </c>
      <c r="DD149" t="b">
        <f t="shared" si="339"/>
        <v>0</v>
      </c>
      <c r="DE149" t="b">
        <f t="shared" si="340"/>
        <v>0</v>
      </c>
      <c r="DF149" t="b">
        <f t="shared" si="341"/>
        <v>0</v>
      </c>
      <c r="DG149" t="b">
        <f t="shared" si="342"/>
        <v>0</v>
      </c>
      <c r="DH149" t="b">
        <f t="shared" si="343"/>
        <v>0</v>
      </c>
      <c r="DI149" t="b">
        <f t="shared" si="344"/>
        <v>0</v>
      </c>
      <c r="DJ149" t="b">
        <f t="shared" si="345"/>
        <v>0</v>
      </c>
      <c r="DK149" t="b">
        <f t="shared" si="346"/>
        <v>0</v>
      </c>
      <c r="DL149" t="b">
        <f t="shared" si="347"/>
        <v>0</v>
      </c>
      <c r="DM149" t="b">
        <f t="shared" si="348"/>
        <v>0</v>
      </c>
      <c r="DN149" t="b">
        <f t="shared" si="349"/>
        <v>0</v>
      </c>
      <c r="DO149" t="b">
        <f t="shared" si="350"/>
        <v>0</v>
      </c>
      <c r="DP149" t="b">
        <f t="shared" si="351"/>
        <v>0</v>
      </c>
      <c r="DQ149" t="b">
        <f t="shared" si="352"/>
        <v>0</v>
      </c>
      <c r="DR149" t="b">
        <f t="shared" si="353"/>
        <v>0</v>
      </c>
      <c r="DS149" t="b">
        <f t="shared" si="354"/>
        <v>0</v>
      </c>
      <c r="DT149" t="b">
        <f t="shared" si="355"/>
        <v>0</v>
      </c>
      <c r="DU149" t="b">
        <f t="shared" si="356"/>
        <v>0</v>
      </c>
      <c r="DV149" t="b">
        <f t="shared" si="357"/>
        <v>0</v>
      </c>
      <c r="DW149" t="b">
        <f t="shared" si="358"/>
        <v>0</v>
      </c>
      <c r="DX149" t="b">
        <f t="shared" si="359"/>
        <v>0</v>
      </c>
      <c r="DY149" t="b">
        <f t="shared" si="360"/>
        <v>0</v>
      </c>
      <c r="DZ149" t="b">
        <f t="shared" si="361"/>
        <v>0</v>
      </c>
      <c r="EA149" t="b">
        <f t="shared" si="362"/>
        <v>0</v>
      </c>
      <c r="EB149" t="b">
        <f t="shared" si="363"/>
        <v>0</v>
      </c>
      <c r="EC149" t="b">
        <f t="shared" si="364"/>
        <v>0</v>
      </c>
      <c r="ED149" t="b">
        <f t="shared" si="365"/>
        <v>0</v>
      </c>
      <c r="EE149" t="b">
        <f t="shared" si="366"/>
        <v>0</v>
      </c>
      <c r="EF149" t="b">
        <f t="shared" si="367"/>
        <v>0</v>
      </c>
      <c r="EG149" t="b">
        <f t="shared" si="368"/>
        <v>0</v>
      </c>
      <c r="EH149" t="b">
        <f t="shared" si="369"/>
        <v>0</v>
      </c>
      <c r="EI149" t="b">
        <f t="shared" si="370"/>
        <v>0</v>
      </c>
      <c r="EJ149" t="b">
        <f t="shared" si="371"/>
        <v>0</v>
      </c>
      <c r="EK149" t="b">
        <f t="shared" si="372"/>
        <v>0</v>
      </c>
    </row>
    <row r="150" spans="1:141">
      <c r="A150" t="s">
        <v>861</v>
      </c>
      <c r="B150" t="s">
        <v>861</v>
      </c>
      <c r="C150" t="s">
        <v>862</v>
      </c>
      <c r="D150" s="1">
        <v>44433</v>
      </c>
      <c r="E150" s="2">
        <v>44565.321145833332</v>
      </c>
      <c r="F150" s="2">
        <v>44565.321145833332</v>
      </c>
      <c r="G150">
        <v>7476940</v>
      </c>
      <c r="H150" t="s">
        <v>863</v>
      </c>
      <c r="I150" s="10" t="s">
        <v>864</v>
      </c>
      <c r="J150" t="s">
        <v>865</v>
      </c>
      <c r="K150" s="8" t="b">
        <v>1</v>
      </c>
      <c r="L150" s="10" t="b">
        <v>0</v>
      </c>
      <c r="M150" s="12" t="b">
        <v>0</v>
      </c>
      <c r="N150" t="b">
        <v>0</v>
      </c>
      <c r="O150" t="b">
        <v>0</v>
      </c>
      <c r="P150" t="b">
        <v>0</v>
      </c>
      <c r="Q150">
        <f t="shared" si="249"/>
        <v>4</v>
      </c>
      <c r="R150">
        <f t="shared" si="250"/>
        <v>8</v>
      </c>
      <c r="S150" t="e">
        <f t="shared" ca="1" si="280"/>
        <v>#NAME?</v>
      </c>
      <c r="T150" t="e">
        <f t="shared" ca="1" si="251"/>
        <v>#NAME?</v>
      </c>
      <c r="U150" s="4">
        <f t="shared" si="252"/>
        <v>132.32114583333168</v>
      </c>
      <c r="V150" s="4">
        <f t="shared" si="253"/>
        <v>4.4107048611110562</v>
      </c>
      <c r="W150" s="4">
        <f t="shared" si="254"/>
        <v>1</v>
      </c>
      <c r="X150" s="4">
        <f t="shared" si="255"/>
        <v>0</v>
      </c>
      <c r="Y150" s="4">
        <f t="shared" si="256"/>
        <v>0</v>
      </c>
      <c r="Z150" s="4">
        <f t="shared" si="257"/>
        <v>0</v>
      </c>
      <c r="AA150" s="4">
        <f t="shared" si="258"/>
        <v>0</v>
      </c>
      <c r="AB150" s="4">
        <f t="shared" si="259"/>
        <v>0</v>
      </c>
      <c r="AC150" s="4"/>
      <c r="AD150" s="4" t="b">
        <f t="shared" si="260"/>
        <v>0</v>
      </c>
      <c r="AE150" s="4" t="b">
        <f t="shared" si="261"/>
        <v>0</v>
      </c>
      <c r="AF150" s="4" t="b">
        <f t="shared" si="262"/>
        <v>0</v>
      </c>
      <c r="AG150" t="b">
        <f t="shared" si="263"/>
        <v>0</v>
      </c>
      <c r="AH150" t="b">
        <f t="shared" si="264"/>
        <v>0</v>
      </c>
      <c r="AI150" t="b">
        <f t="shared" si="265"/>
        <v>0</v>
      </c>
      <c r="AJ150" t="b">
        <f t="shared" si="266"/>
        <v>0</v>
      </c>
      <c r="AK150" t="b">
        <f t="shared" si="267"/>
        <v>0</v>
      </c>
      <c r="AL150" t="b">
        <f t="shared" si="268"/>
        <v>0</v>
      </c>
      <c r="AM150" t="b">
        <f t="shared" si="269"/>
        <v>0</v>
      </c>
      <c r="AN150" t="b">
        <f t="shared" si="270"/>
        <v>0</v>
      </c>
      <c r="AO150" t="b">
        <f t="shared" si="271"/>
        <v>0</v>
      </c>
      <c r="AP150" t="b">
        <f t="shared" si="272"/>
        <v>0</v>
      </c>
      <c r="AQ150" t="b">
        <f t="shared" si="273"/>
        <v>0</v>
      </c>
      <c r="AR150" t="b">
        <f t="shared" si="274"/>
        <v>0</v>
      </c>
      <c r="AS150" t="b">
        <f t="shared" si="275"/>
        <v>0</v>
      </c>
      <c r="AT150" t="b">
        <f t="shared" si="276"/>
        <v>0</v>
      </c>
      <c r="AU150" t="b">
        <f t="shared" si="277"/>
        <v>0</v>
      </c>
      <c r="AV150" t="b">
        <f t="shared" si="278"/>
        <v>0</v>
      </c>
      <c r="AW150" t="b">
        <f t="shared" si="279"/>
        <v>0</v>
      </c>
      <c r="AX150" t="b">
        <f t="shared" si="281"/>
        <v>0</v>
      </c>
      <c r="AY150" t="b">
        <f t="shared" si="282"/>
        <v>0</v>
      </c>
      <c r="AZ150" t="b">
        <f t="shared" si="283"/>
        <v>0</v>
      </c>
      <c r="BA150" t="b">
        <f t="shared" si="284"/>
        <v>0</v>
      </c>
      <c r="BB150" t="b">
        <f t="shared" si="285"/>
        <v>0</v>
      </c>
      <c r="BC150" t="b">
        <f t="shared" si="286"/>
        <v>0</v>
      </c>
      <c r="BD150" t="b">
        <f t="shared" si="287"/>
        <v>0</v>
      </c>
      <c r="BE150" t="b">
        <f t="shared" si="288"/>
        <v>0</v>
      </c>
      <c r="BF150" t="b">
        <f t="shared" si="289"/>
        <v>0</v>
      </c>
      <c r="BG150" t="b">
        <f t="shared" si="290"/>
        <v>0</v>
      </c>
      <c r="BH150" t="b">
        <f t="shared" si="291"/>
        <v>0</v>
      </c>
      <c r="BI150">
        <f t="shared" si="292"/>
        <v>1</v>
      </c>
      <c r="BJ150" t="b">
        <f t="shared" si="293"/>
        <v>0</v>
      </c>
      <c r="BK150" t="b">
        <f t="shared" si="294"/>
        <v>0</v>
      </c>
      <c r="BL150" t="b">
        <f t="shared" si="295"/>
        <v>0</v>
      </c>
      <c r="BM150" t="b">
        <f t="shared" si="296"/>
        <v>0</v>
      </c>
      <c r="BN150" t="b">
        <f t="shared" si="297"/>
        <v>0</v>
      </c>
      <c r="BO150" t="b">
        <f t="shared" si="298"/>
        <v>0</v>
      </c>
      <c r="BP150" t="b">
        <f t="shared" si="299"/>
        <v>0</v>
      </c>
      <c r="BQ150" t="b">
        <f t="shared" si="300"/>
        <v>0</v>
      </c>
      <c r="BR150" t="b">
        <f t="shared" si="301"/>
        <v>0</v>
      </c>
      <c r="BS150" t="b">
        <f t="shared" si="302"/>
        <v>0</v>
      </c>
      <c r="BT150" t="b">
        <f t="shared" si="303"/>
        <v>0</v>
      </c>
      <c r="BU150" t="b">
        <f t="shared" si="304"/>
        <v>0</v>
      </c>
      <c r="BV150" t="b">
        <f t="shared" si="305"/>
        <v>0</v>
      </c>
      <c r="BW150" t="b">
        <f t="shared" si="306"/>
        <v>0</v>
      </c>
      <c r="BX150" t="b">
        <f t="shared" si="307"/>
        <v>0</v>
      </c>
      <c r="BY150" t="b">
        <f t="shared" si="308"/>
        <v>0</v>
      </c>
      <c r="BZ150" t="b">
        <f t="shared" si="309"/>
        <v>0</v>
      </c>
      <c r="CA150" t="b">
        <f t="shared" si="310"/>
        <v>0</v>
      </c>
      <c r="CB150" t="b">
        <f t="shared" si="311"/>
        <v>0</v>
      </c>
      <c r="CC150" t="b">
        <f t="shared" si="312"/>
        <v>0</v>
      </c>
      <c r="CD150" t="b">
        <f t="shared" si="313"/>
        <v>0</v>
      </c>
      <c r="CE150" t="b">
        <f t="shared" si="314"/>
        <v>0</v>
      </c>
      <c r="CF150" t="b">
        <f t="shared" si="315"/>
        <v>0</v>
      </c>
      <c r="CG150" t="b">
        <f t="shared" si="316"/>
        <v>0</v>
      </c>
      <c r="CH150" t="b">
        <f t="shared" si="317"/>
        <v>0</v>
      </c>
      <c r="CI150" t="b">
        <f t="shared" si="318"/>
        <v>0</v>
      </c>
      <c r="CJ150" t="b">
        <f t="shared" si="319"/>
        <v>0</v>
      </c>
      <c r="CK150" t="b">
        <f t="shared" si="320"/>
        <v>0</v>
      </c>
      <c r="CL150" t="b">
        <f t="shared" si="321"/>
        <v>0</v>
      </c>
      <c r="CM150" t="b">
        <f t="shared" si="322"/>
        <v>0</v>
      </c>
      <c r="CN150" t="b">
        <f t="shared" si="323"/>
        <v>0</v>
      </c>
      <c r="CO150" t="b">
        <f t="shared" si="324"/>
        <v>0</v>
      </c>
      <c r="CP150" t="b">
        <f t="shared" si="325"/>
        <v>0</v>
      </c>
      <c r="CQ150" t="b">
        <f t="shared" si="326"/>
        <v>0</v>
      </c>
      <c r="CR150" t="b">
        <f t="shared" si="327"/>
        <v>0</v>
      </c>
      <c r="CS150" t="b">
        <f t="shared" si="328"/>
        <v>0</v>
      </c>
      <c r="CT150" t="b">
        <f t="shared" si="329"/>
        <v>0</v>
      </c>
      <c r="CU150" t="b">
        <f t="shared" si="330"/>
        <v>0</v>
      </c>
      <c r="CV150">
        <f t="shared" si="331"/>
        <v>1</v>
      </c>
      <c r="CW150" t="b">
        <f t="shared" si="332"/>
        <v>0</v>
      </c>
      <c r="CX150" t="b">
        <f t="shared" si="333"/>
        <v>0</v>
      </c>
      <c r="CY150" t="b">
        <f t="shared" si="334"/>
        <v>0</v>
      </c>
      <c r="CZ150" t="b">
        <f t="shared" si="335"/>
        <v>0</v>
      </c>
      <c r="DA150" t="b">
        <f t="shared" si="336"/>
        <v>0</v>
      </c>
      <c r="DB150" t="b">
        <f t="shared" si="337"/>
        <v>0</v>
      </c>
      <c r="DC150" t="b">
        <f t="shared" si="338"/>
        <v>0</v>
      </c>
      <c r="DD150" t="b">
        <f t="shared" si="339"/>
        <v>0</v>
      </c>
      <c r="DE150" t="b">
        <f t="shared" si="340"/>
        <v>0</v>
      </c>
      <c r="DF150" t="b">
        <f t="shared" si="341"/>
        <v>0</v>
      </c>
      <c r="DG150" t="b">
        <f t="shared" si="342"/>
        <v>0</v>
      </c>
      <c r="DH150" t="b">
        <f t="shared" si="343"/>
        <v>0</v>
      </c>
      <c r="DI150" t="b">
        <f t="shared" si="344"/>
        <v>0</v>
      </c>
      <c r="DJ150" t="b">
        <f t="shared" si="345"/>
        <v>0</v>
      </c>
      <c r="DK150" t="b">
        <f t="shared" si="346"/>
        <v>0</v>
      </c>
      <c r="DL150" t="b">
        <f t="shared" si="347"/>
        <v>0</v>
      </c>
      <c r="DM150" t="b">
        <f t="shared" si="348"/>
        <v>0</v>
      </c>
      <c r="DN150" t="b">
        <f t="shared" si="349"/>
        <v>0</v>
      </c>
      <c r="DO150" t="b">
        <f t="shared" si="350"/>
        <v>0</v>
      </c>
      <c r="DP150" t="b">
        <f t="shared" si="351"/>
        <v>0</v>
      </c>
      <c r="DQ150" t="b">
        <f t="shared" si="352"/>
        <v>0</v>
      </c>
      <c r="DR150" t="b">
        <f t="shared" si="353"/>
        <v>0</v>
      </c>
      <c r="DS150">
        <f t="shared" si="354"/>
        <v>1</v>
      </c>
      <c r="DT150" t="b">
        <f t="shared" si="355"/>
        <v>0</v>
      </c>
      <c r="DU150" t="b">
        <f t="shared" si="356"/>
        <v>0</v>
      </c>
      <c r="DV150" t="b">
        <f t="shared" si="357"/>
        <v>0</v>
      </c>
      <c r="DW150" t="b">
        <f t="shared" si="358"/>
        <v>0</v>
      </c>
      <c r="DX150" t="b">
        <f t="shared" si="359"/>
        <v>0</v>
      </c>
      <c r="DY150" t="b">
        <f t="shared" si="360"/>
        <v>0</v>
      </c>
      <c r="DZ150" t="b">
        <f t="shared" si="361"/>
        <v>0</v>
      </c>
      <c r="EA150" t="b">
        <f t="shared" si="362"/>
        <v>0</v>
      </c>
      <c r="EB150" t="b">
        <f t="shared" si="363"/>
        <v>0</v>
      </c>
      <c r="EC150" t="b">
        <f t="shared" si="364"/>
        <v>0</v>
      </c>
      <c r="ED150" t="b">
        <f t="shared" si="365"/>
        <v>0</v>
      </c>
      <c r="EE150" t="b">
        <f t="shared" si="366"/>
        <v>0</v>
      </c>
      <c r="EF150">
        <f t="shared" si="367"/>
        <v>1</v>
      </c>
      <c r="EG150" t="b">
        <f t="shared" si="368"/>
        <v>0</v>
      </c>
      <c r="EH150" t="b">
        <f t="shared" si="369"/>
        <v>0</v>
      </c>
      <c r="EI150" t="b">
        <f t="shared" si="370"/>
        <v>0</v>
      </c>
      <c r="EJ150" t="b">
        <f t="shared" si="371"/>
        <v>0</v>
      </c>
      <c r="EK150" t="b">
        <f t="shared" si="372"/>
        <v>0</v>
      </c>
    </row>
    <row r="151" spans="1:141">
      <c r="A151" t="s">
        <v>866</v>
      </c>
      <c r="B151" t="s">
        <v>866</v>
      </c>
      <c r="C151" t="s">
        <v>867</v>
      </c>
      <c r="D151" s="1">
        <v>44010</v>
      </c>
      <c r="E151" s="2">
        <v>44039.110196759262</v>
      </c>
      <c r="F151" s="2">
        <v>44039.110196759262</v>
      </c>
      <c r="G151">
        <v>2964182</v>
      </c>
      <c r="H151" t="s">
        <v>868</v>
      </c>
      <c r="I151" s="10" t="s">
        <v>869</v>
      </c>
      <c r="J151" t="s">
        <v>870</v>
      </c>
      <c r="K151" s="8" t="b">
        <v>1</v>
      </c>
      <c r="L151" s="10" t="b">
        <v>0</v>
      </c>
      <c r="M151" s="12" t="b">
        <v>0</v>
      </c>
      <c r="N151" t="b">
        <v>0</v>
      </c>
      <c r="O151" t="b">
        <v>0</v>
      </c>
      <c r="P151" t="b">
        <v>0</v>
      </c>
      <c r="Q151">
        <f t="shared" si="249"/>
        <v>1</v>
      </c>
      <c r="R151">
        <f t="shared" si="250"/>
        <v>6</v>
      </c>
      <c r="S151" t="e">
        <f t="shared" ca="1" si="280"/>
        <v>#NAME?</v>
      </c>
      <c r="T151" t="e">
        <f t="shared" ca="1" si="251"/>
        <v>#NAME?</v>
      </c>
      <c r="U151" s="4">
        <f t="shared" si="252"/>
        <v>29.11019675926218</v>
      </c>
      <c r="V151" s="4">
        <f t="shared" si="253"/>
        <v>0.97033989197540604</v>
      </c>
      <c r="W151" s="4">
        <f t="shared" si="254"/>
        <v>1</v>
      </c>
      <c r="X151" s="4">
        <f t="shared" si="255"/>
        <v>0</v>
      </c>
      <c r="Y151" s="4">
        <f t="shared" si="256"/>
        <v>0</v>
      </c>
      <c r="Z151" s="4">
        <f t="shared" si="257"/>
        <v>0</v>
      </c>
      <c r="AA151" s="4">
        <f t="shared" si="258"/>
        <v>0</v>
      </c>
      <c r="AB151" s="4">
        <f t="shared" si="259"/>
        <v>0</v>
      </c>
      <c r="AC151" s="4"/>
      <c r="AD151" s="4" t="b">
        <f t="shared" si="260"/>
        <v>0</v>
      </c>
      <c r="AE151" s="4" t="b">
        <f t="shared" si="261"/>
        <v>0</v>
      </c>
      <c r="AF151" s="4" t="b">
        <f t="shared" si="262"/>
        <v>0</v>
      </c>
      <c r="AG151" t="b">
        <f t="shared" si="263"/>
        <v>0</v>
      </c>
      <c r="AH151" t="b">
        <f t="shared" si="264"/>
        <v>0</v>
      </c>
      <c r="AI151" t="b">
        <f t="shared" si="265"/>
        <v>0</v>
      </c>
      <c r="AJ151" t="b">
        <f t="shared" si="266"/>
        <v>0</v>
      </c>
      <c r="AK151" t="b">
        <f t="shared" si="267"/>
        <v>0</v>
      </c>
      <c r="AL151" t="b">
        <f t="shared" si="268"/>
        <v>0</v>
      </c>
      <c r="AM151" t="b">
        <f t="shared" si="269"/>
        <v>0</v>
      </c>
      <c r="AN151" t="b">
        <f t="shared" si="270"/>
        <v>0</v>
      </c>
      <c r="AO151" t="b">
        <f t="shared" si="271"/>
        <v>0</v>
      </c>
      <c r="AP151" t="b">
        <f t="shared" si="272"/>
        <v>0</v>
      </c>
      <c r="AQ151" t="b">
        <f t="shared" si="273"/>
        <v>0</v>
      </c>
      <c r="AR151" t="b">
        <f t="shared" si="274"/>
        <v>0</v>
      </c>
      <c r="AS151" t="b">
        <f t="shared" si="275"/>
        <v>0</v>
      </c>
      <c r="AT151" t="b">
        <f t="shared" si="276"/>
        <v>0</v>
      </c>
      <c r="AU151" t="b">
        <f t="shared" si="277"/>
        <v>0</v>
      </c>
      <c r="AV151" t="b">
        <f t="shared" si="278"/>
        <v>0</v>
      </c>
      <c r="AW151" t="b">
        <f t="shared" si="279"/>
        <v>0</v>
      </c>
      <c r="AX151" t="b">
        <f t="shared" si="281"/>
        <v>0</v>
      </c>
      <c r="AY151" t="b">
        <f t="shared" si="282"/>
        <v>0</v>
      </c>
      <c r="AZ151">
        <f t="shared" si="283"/>
        <v>1</v>
      </c>
      <c r="BA151" t="b">
        <f t="shared" si="284"/>
        <v>0</v>
      </c>
      <c r="BB151" t="b">
        <f t="shared" si="285"/>
        <v>0</v>
      </c>
      <c r="BC151" t="b">
        <f t="shared" si="286"/>
        <v>0</v>
      </c>
      <c r="BD151" t="b">
        <f t="shared" si="287"/>
        <v>0</v>
      </c>
      <c r="BE151" t="b">
        <f t="shared" si="288"/>
        <v>0</v>
      </c>
      <c r="BF151" t="b">
        <f t="shared" si="289"/>
        <v>0</v>
      </c>
      <c r="BG151" t="b">
        <f t="shared" si="290"/>
        <v>0</v>
      </c>
      <c r="BH151" t="b">
        <f t="shared" si="291"/>
        <v>0</v>
      </c>
      <c r="BI151">
        <f t="shared" si="292"/>
        <v>1</v>
      </c>
      <c r="BJ151" t="b">
        <f t="shared" si="293"/>
        <v>0</v>
      </c>
      <c r="BK151" t="b">
        <f t="shared" si="294"/>
        <v>0</v>
      </c>
      <c r="BL151" t="b">
        <f t="shared" si="295"/>
        <v>0</v>
      </c>
      <c r="BM151" t="b">
        <f t="shared" si="296"/>
        <v>0</v>
      </c>
      <c r="BN151" t="b">
        <f t="shared" si="297"/>
        <v>0</v>
      </c>
      <c r="BO151" t="b">
        <f t="shared" si="298"/>
        <v>0</v>
      </c>
      <c r="BP151" t="b">
        <f t="shared" si="299"/>
        <v>0</v>
      </c>
      <c r="BQ151" t="b">
        <f t="shared" si="300"/>
        <v>0</v>
      </c>
      <c r="BR151" t="b">
        <f t="shared" si="301"/>
        <v>0</v>
      </c>
      <c r="BS151" t="b">
        <f t="shared" si="302"/>
        <v>0</v>
      </c>
      <c r="BT151" t="b">
        <f t="shared" si="303"/>
        <v>0</v>
      </c>
      <c r="BU151" t="b">
        <f t="shared" si="304"/>
        <v>0</v>
      </c>
      <c r="BV151" t="b">
        <f t="shared" si="305"/>
        <v>0</v>
      </c>
      <c r="BW151" t="b">
        <f t="shared" si="306"/>
        <v>0</v>
      </c>
      <c r="BX151" t="b">
        <f t="shared" si="307"/>
        <v>0</v>
      </c>
      <c r="BY151" t="b">
        <f t="shared" si="308"/>
        <v>0</v>
      </c>
      <c r="BZ151" t="b">
        <f t="shared" si="309"/>
        <v>0</v>
      </c>
      <c r="CA151" t="b">
        <f t="shared" si="310"/>
        <v>0</v>
      </c>
      <c r="CB151" t="b">
        <f t="shared" si="311"/>
        <v>0</v>
      </c>
      <c r="CC151" t="b">
        <f t="shared" si="312"/>
        <v>0</v>
      </c>
      <c r="CD151" t="b">
        <f t="shared" si="313"/>
        <v>0</v>
      </c>
      <c r="CE151" t="b">
        <f t="shared" si="314"/>
        <v>0</v>
      </c>
      <c r="CF151" t="b">
        <f t="shared" si="315"/>
        <v>0</v>
      </c>
      <c r="CG151" t="b">
        <f t="shared" si="316"/>
        <v>0</v>
      </c>
      <c r="CH151" t="b">
        <f t="shared" si="317"/>
        <v>0</v>
      </c>
      <c r="CI151" t="b">
        <f t="shared" si="318"/>
        <v>0</v>
      </c>
      <c r="CJ151" t="b">
        <f t="shared" si="319"/>
        <v>0</v>
      </c>
      <c r="CK151" t="b">
        <f t="shared" si="320"/>
        <v>0</v>
      </c>
      <c r="CL151" t="b">
        <f t="shared" si="321"/>
        <v>0</v>
      </c>
      <c r="CM151">
        <f t="shared" si="322"/>
        <v>1</v>
      </c>
      <c r="CN151" t="b">
        <f t="shared" si="323"/>
        <v>0</v>
      </c>
      <c r="CO151" t="b">
        <f t="shared" si="324"/>
        <v>0</v>
      </c>
      <c r="CP151" t="b">
        <f t="shared" si="325"/>
        <v>0</v>
      </c>
      <c r="CQ151" t="b">
        <f t="shared" si="326"/>
        <v>0</v>
      </c>
      <c r="CR151" t="b">
        <f t="shared" si="327"/>
        <v>0</v>
      </c>
      <c r="CS151" t="b">
        <f t="shared" si="328"/>
        <v>0</v>
      </c>
      <c r="CT151" t="b">
        <f t="shared" si="329"/>
        <v>0</v>
      </c>
      <c r="CU151" t="b">
        <f t="shared" si="330"/>
        <v>0</v>
      </c>
      <c r="CV151">
        <f t="shared" si="331"/>
        <v>1</v>
      </c>
      <c r="CW151" t="b">
        <f t="shared" si="332"/>
        <v>0</v>
      </c>
      <c r="CX151" t="b">
        <f t="shared" si="333"/>
        <v>0</v>
      </c>
      <c r="CY151" t="b">
        <f t="shared" si="334"/>
        <v>0</v>
      </c>
      <c r="CZ151" t="b">
        <f t="shared" si="335"/>
        <v>0</v>
      </c>
      <c r="DA151">
        <f t="shared" si="336"/>
        <v>1</v>
      </c>
      <c r="DB151">
        <f t="shared" si="337"/>
        <v>1</v>
      </c>
      <c r="DC151" t="b">
        <f t="shared" si="338"/>
        <v>0</v>
      </c>
      <c r="DD151" t="b">
        <f t="shared" si="339"/>
        <v>0</v>
      </c>
      <c r="DE151" t="b">
        <f t="shared" si="340"/>
        <v>0</v>
      </c>
      <c r="DF151" t="b">
        <f t="shared" si="341"/>
        <v>0</v>
      </c>
      <c r="DG151" t="b">
        <f t="shared" si="342"/>
        <v>0</v>
      </c>
      <c r="DH151" t="b">
        <f t="shared" si="343"/>
        <v>0</v>
      </c>
      <c r="DI151" t="b">
        <f t="shared" si="344"/>
        <v>0</v>
      </c>
      <c r="DJ151" t="b">
        <f t="shared" si="345"/>
        <v>0</v>
      </c>
      <c r="DK151" t="b">
        <f t="shared" si="346"/>
        <v>0</v>
      </c>
      <c r="DL151" t="b">
        <f t="shared" si="347"/>
        <v>0</v>
      </c>
      <c r="DM151" t="b">
        <f t="shared" si="348"/>
        <v>0</v>
      </c>
      <c r="DN151" t="b">
        <f t="shared" si="349"/>
        <v>0</v>
      </c>
      <c r="DO151" t="b">
        <f t="shared" si="350"/>
        <v>0</v>
      </c>
      <c r="DP151" t="b">
        <f t="shared" si="351"/>
        <v>0</v>
      </c>
      <c r="DQ151" t="b">
        <f t="shared" si="352"/>
        <v>0</v>
      </c>
      <c r="DR151" t="b">
        <f t="shared" si="353"/>
        <v>0</v>
      </c>
      <c r="DS151" t="b">
        <f t="shared" si="354"/>
        <v>0</v>
      </c>
      <c r="DT151" t="b">
        <f t="shared" si="355"/>
        <v>0</v>
      </c>
      <c r="DU151" t="b">
        <f t="shared" si="356"/>
        <v>0</v>
      </c>
      <c r="DV151" t="b">
        <f t="shared" si="357"/>
        <v>0</v>
      </c>
      <c r="DW151" t="b">
        <f t="shared" si="358"/>
        <v>0</v>
      </c>
      <c r="DX151" t="b">
        <f t="shared" si="359"/>
        <v>0</v>
      </c>
      <c r="DY151" t="b">
        <f t="shared" si="360"/>
        <v>0</v>
      </c>
      <c r="DZ151">
        <f t="shared" si="361"/>
        <v>1</v>
      </c>
      <c r="EA151" t="b">
        <f t="shared" si="362"/>
        <v>0</v>
      </c>
      <c r="EB151" t="b">
        <f t="shared" si="363"/>
        <v>0</v>
      </c>
      <c r="EC151" t="b">
        <f t="shared" si="364"/>
        <v>0</v>
      </c>
      <c r="ED151" t="b">
        <f t="shared" si="365"/>
        <v>0</v>
      </c>
      <c r="EE151" t="b">
        <f t="shared" si="366"/>
        <v>0</v>
      </c>
      <c r="EF151" t="b">
        <f t="shared" si="367"/>
        <v>0</v>
      </c>
      <c r="EG151" t="b">
        <f t="shared" si="368"/>
        <v>0</v>
      </c>
      <c r="EH151" t="b">
        <f t="shared" si="369"/>
        <v>0</v>
      </c>
      <c r="EI151" t="b">
        <f t="shared" si="370"/>
        <v>0</v>
      </c>
      <c r="EJ151" t="b">
        <f t="shared" si="371"/>
        <v>0</v>
      </c>
      <c r="EK151" t="b">
        <f t="shared" si="372"/>
        <v>0</v>
      </c>
    </row>
    <row r="152" spans="1:141">
      <c r="A152" t="s">
        <v>871</v>
      </c>
      <c r="B152" t="s">
        <v>871</v>
      </c>
      <c r="C152" t="s">
        <v>872</v>
      </c>
      <c r="D152" s="1">
        <v>43577</v>
      </c>
      <c r="E152" s="2">
        <v>44928.132523148146</v>
      </c>
      <c r="F152" s="2">
        <v>44928.132523148146</v>
      </c>
      <c r="G152">
        <v>229037936</v>
      </c>
      <c r="H152" t="s">
        <v>873</v>
      </c>
      <c r="I152" s="10" t="s">
        <v>874</v>
      </c>
      <c r="J152" t="s">
        <v>875</v>
      </c>
      <c r="K152" s="8" t="b">
        <v>1</v>
      </c>
      <c r="L152" s="10" t="b">
        <v>0</v>
      </c>
      <c r="M152" s="12" t="b">
        <v>0</v>
      </c>
      <c r="N152" t="b">
        <v>0</v>
      </c>
      <c r="O152" t="b">
        <v>0</v>
      </c>
      <c r="P152" t="b">
        <v>0</v>
      </c>
      <c r="Q152">
        <f t="shared" si="249"/>
        <v>2</v>
      </c>
      <c r="R152">
        <f t="shared" si="250"/>
        <v>4</v>
      </c>
      <c r="S152" t="e">
        <f t="shared" ca="1" si="280"/>
        <v>#NAME?</v>
      </c>
      <c r="T152" t="e">
        <f t="shared" ca="1" si="251"/>
        <v>#NAME?</v>
      </c>
      <c r="U152" s="4">
        <f t="shared" si="252"/>
        <v>1351.132523148146</v>
      </c>
      <c r="V152" s="4">
        <f t="shared" si="253"/>
        <v>45.03775077160487</v>
      </c>
      <c r="W152" s="4">
        <f t="shared" si="254"/>
        <v>1</v>
      </c>
      <c r="X152" s="4">
        <f t="shared" si="255"/>
        <v>0</v>
      </c>
      <c r="Y152" s="4">
        <f t="shared" si="256"/>
        <v>0</v>
      </c>
      <c r="Z152" s="4">
        <f t="shared" si="257"/>
        <v>0</v>
      </c>
      <c r="AA152" s="4">
        <f t="shared" si="258"/>
        <v>0</v>
      </c>
      <c r="AB152" s="4">
        <f t="shared" si="259"/>
        <v>0</v>
      </c>
      <c r="AC152" s="4"/>
      <c r="AD152" s="4" t="b">
        <f t="shared" si="260"/>
        <v>0</v>
      </c>
      <c r="AE152" s="4" t="b">
        <f t="shared" si="261"/>
        <v>0</v>
      </c>
      <c r="AF152" s="4" t="b">
        <f t="shared" si="262"/>
        <v>0</v>
      </c>
      <c r="AG152" t="b">
        <f t="shared" si="263"/>
        <v>0</v>
      </c>
      <c r="AH152" t="b">
        <f t="shared" si="264"/>
        <v>0</v>
      </c>
      <c r="AI152" t="b">
        <f t="shared" si="265"/>
        <v>0</v>
      </c>
      <c r="AJ152" t="b">
        <f t="shared" si="266"/>
        <v>0</v>
      </c>
      <c r="AK152" t="b">
        <f t="shared" si="267"/>
        <v>0</v>
      </c>
      <c r="AL152" t="b">
        <f t="shared" si="268"/>
        <v>0</v>
      </c>
      <c r="AM152" t="b">
        <f t="shared" si="269"/>
        <v>0</v>
      </c>
      <c r="AN152" t="b">
        <f t="shared" si="270"/>
        <v>0</v>
      </c>
      <c r="AO152" t="b">
        <f t="shared" si="271"/>
        <v>0</v>
      </c>
      <c r="AP152" t="b">
        <f t="shared" si="272"/>
        <v>0</v>
      </c>
      <c r="AQ152" t="b">
        <f t="shared" si="273"/>
        <v>0</v>
      </c>
      <c r="AR152" t="b">
        <f t="shared" si="274"/>
        <v>0</v>
      </c>
      <c r="AS152" t="b">
        <f t="shared" si="275"/>
        <v>0</v>
      </c>
      <c r="AT152" t="b">
        <f t="shared" si="276"/>
        <v>0</v>
      </c>
      <c r="AU152" t="b">
        <f t="shared" si="277"/>
        <v>0</v>
      </c>
      <c r="AV152" t="b">
        <f t="shared" si="278"/>
        <v>0</v>
      </c>
      <c r="AW152" t="b">
        <f t="shared" si="279"/>
        <v>0</v>
      </c>
      <c r="AX152" t="b">
        <f t="shared" si="281"/>
        <v>0</v>
      </c>
      <c r="AY152" t="b">
        <f t="shared" si="282"/>
        <v>0</v>
      </c>
      <c r="AZ152">
        <f t="shared" si="283"/>
        <v>1</v>
      </c>
      <c r="BA152" t="b">
        <f t="shared" si="284"/>
        <v>0</v>
      </c>
      <c r="BB152" t="b">
        <f t="shared" si="285"/>
        <v>0</v>
      </c>
      <c r="BC152" t="b">
        <f t="shared" si="286"/>
        <v>0</v>
      </c>
      <c r="BD152" t="b">
        <f t="shared" si="287"/>
        <v>0</v>
      </c>
      <c r="BE152" t="b">
        <f t="shared" si="288"/>
        <v>0</v>
      </c>
      <c r="BF152" t="b">
        <f t="shared" si="289"/>
        <v>0</v>
      </c>
      <c r="BG152" t="b">
        <f t="shared" si="290"/>
        <v>0</v>
      </c>
      <c r="BH152" t="b">
        <f t="shared" si="291"/>
        <v>0</v>
      </c>
      <c r="BI152">
        <f t="shared" si="292"/>
        <v>1</v>
      </c>
      <c r="BJ152" t="b">
        <f t="shared" si="293"/>
        <v>0</v>
      </c>
      <c r="BK152" t="b">
        <f t="shared" si="294"/>
        <v>0</v>
      </c>
      <c r="BL152" t="b">
        <f t="shared" si="295"/>
        <v>0</v>
      </c>
      <c r="BM152" t="b">
        <f t="shared" si="296"/>
        <v>0</v>
      </c>
      <c r="BN152" t="b">
        <f t="shared" si="297"/>
        <v>0</v>
      </c>
      <c r="BO152" t="b">
        <f t="shared" si="298"/>
        <v>0</v>
      </c>
      <c r="BP152" t="b">
        <f t="shared" si="299"/>
        <v>0</v>
      </c>
      <c r="BQ152" t="b">
        <f t="shared" si="300"/>
        <v>0</v>
      </c>
      <c r="BR152">
        <f t="shared" si="301"/>
        <v>1</v>
      </c>
      <c r="BS152">
        <f t="shared" si="302"/>
        <v>1</v>
      </c>
      <c r="BT152" t="b">
        <f t="shared" si="303"/>
        <v>0</v>
      </c>
      <c r="BU152" t="b">
        <f t="shared" si="304"/>
        <v>0</v>
      </c>
      <c r="BV152" t="b">
        <f t="shared" si="305"/>
        <v>0</v>
      </c>
      <c r="BW152" t="b">
        <f t="shared" si="306"/>
        <v>0</v>
      </c>
      <c r="BX152" t="b">
        <f t="shared" si="307"/>
        <v>0</v>
      </c>
      <c r="BY152" t="b">
        <f t="shared" si="308"/>
        <v>0</v>
      </c>
      <c r="BZ152" t="b">
        <f t="shared" si="309"/>
        <v>0</v>
      </c>
      <c r="CA152" t="b">
        <f t="shared" si="310"/>
        <v>0</v>
      </c>
      <c r="CB152" t="b">
        <f t="shared" si="311"/>
        <v>0</v>
      </c>
      <c r="CC152" t="b">
        <f t="shared" si="312"/>
        <v>0</v>
      </c>
      <c r="CD152" t="b">
        <f t="shared" si="313"/>
        <v>0</v>
      </c>
      <c r="CE152">
        <f t="shared" si="314"/>
        <v>1</v>
      </c>
      <c r="CF152" t="b">
        <f t="shared" si="315"/>
        <v>0</v>
      </c>
      <c r="CG152" t="b">
        <f t="shared" si="316"/>
        <v>0</v>
      </c>
      <c r="CH152" t="b">
        <f t="shared" si="317"/>
        <v>0</v>
      </c>
      <c r="CI152" t="b">
        <f t="shared" si="318"/>
        <v>0</v>
      </c>
      <c r="CJ152" t="b">
        <f t="shared" si="319"/>
        <v>0</v>
      </c>
      <c r="CK152" t="b">
        <f t="shared" si="320"/>
        <v>0</v>
      </c>
      <c r="CL152" t="b">
        <f t="shared" si="321"/>
        <v>0</v>
      </c>
      <c r="CM152">
        <f t="shared" si="322"/>
        <v>1</v>
      </c>
      <c r="CN152" t="b">
        <f t="shared" si="323"/>
        <v>0</v>
      </c>
      <c r="CO152" t="b">
        <f t="shared" si="324"/>
        <v>0</v>
      </c>
      <c r="CP152" t="b">
        <f t="shared" si="325"/>
        <v>0</v>
      </c>
      <c r="CQ152" t="b">
        <f t="shared" si="326"/>
        <v>0</v>
      </c>
      <c r="CR152" t="b">
        <f t="shared" si="327"/>
        <v>0</v>
      </c>
      <c r="CS152" t="b">
        <f t="shared" si="328"/>
        <v>0</v>
      </c>
      <c r="CT152" t="b">
        <f t="shared" si="329"/>
        <v>0</v>
      </c>
      <c r="CU152" t="b">
        <f t="shared" si="330"/>
        <v>0</v>
      </c>
      <c r="CV152" t="b">
        <f t="shared" si="331"/>
        <v>0</v>
      </c>
      <c r="CW152" t="b">
        <f t="shared" si="332"/>
        <v>0</v>
      </c>
      <c r="CX152" t="b">
        <f t="shared" si="333"/>
        <v>0</v>
      </c>
      <c r="CY152" t="b">
        <f t="shared" si="334"/>
        <v>0</v>
      </c>
      <c r="CZ152" t="b">
        <f t="shared" si="335"/>
        <v>0</v>
      </c>
      <c r="DA152" t="b">
        <f t="shared" si="336"/>
        <v>0</v>
      </c>
      <c r="DB152" t="b">
        <f t="shared" si="337"/>
        <v>0</v>
      </c>
      <c r="DC152" t="b">
        <f t="shared" si="338"/>
        <v>0</v>
      </c>
      <c r="DD152" t="b">
        <f t="shared" si="339"/>
        <v>0</v>
      </c>
      <c r="DE152" t="b">
        <f t="shared" si="340"/>
        <v>0</v>
      </c>
      <c r="DF152" t="b">
        <f t="shared" si="341"/>
        <v>0</v>
      </c>
      <c r="DG152" t="b">
        <f t="shared" si="342"/>
        <v>0</v>
      </c>
      <c r="DH152" t="b">
        <f t="shared" si="343"/>
        <v>0</v>
      </c>
      <c r="DI152" t="b">
        <f t="shared" si="344"/>
        <v>0</v>
      </c>
      <c r="DJ152" t="b">
        <f t="shared" si="345"/>
        <v>0</v>
      </c>
      <c r="DK152" t="b">
        <f t="shared" si="346"/>
        <v>0</v>
      </c>
      <c r="DL152" t="b">
        <f t="shared" si="347"/>
        <v>0</v>
      </c>
      <c r="DM152" t="b">
        <f t="shared" si="348"/>
        <v>0</v>
      </c>
      <c r="DN152" t="b">
        <f t="shared" si="349"/>
        <v>0</v>
      </c>
      <c r="DO152" t="b">
        <f t="shared" si="350"/>
        <v>0</v>
      </c>
      <c r="DP152" t="b">
        <f t="shared" si="351"/>
        <v>0</v>
      </c>
      <c r="DQ152" t="b">
        <f t="shared" si="352"/>
        <v>0</v>
      </c>
      <c r="DR152" t="b">
        <f t="shared" si="353"/>
        <v>0</v>
      </c>
      <c r="DS152" t="b">
        <f t="shared" si="354"/>
        <v>0</v>
      </c>
      <c r="DT152" t="b">
        <f t="shared" si="355"/>
        <v>0</v>
      </c>
      <c r="DU152" t="b">
        <f t="shared" si="356"/>
        <v>0</v>
      </c>
      <c r="DV152" t="b">
        <f t="shared" si="357"/>
        <v>0</v>
      </c>
      <c r="DW152" t="b">
        <f t="shared" si="358"/>
        <v>0</v>
      </c>
      <c r="DX152" t="b">
        <f t="shared" si="359"/>
        <v>0</v>
      </c>
      <c r="DY152" t="b">
        <f t="shared" si="360"/>
        <v>0</v>
      </c>
      <c r="DZ152" t="b">
        <f t="shared" si="361"/>
        <v>0</v>
      </c>
      <c r="EA152">
        <f t="shared" si="362"/>
        <v>1</v>
      </c>
      <c r="EB152" t="b">
        <f t="shared" si="363"/>
        <v>0</v>
      </c>
      <c r="EC152" t="b">
        <f t="shared" si="364"/>
        <v>0</v>
      </c>
      <c r="ED152" t="b">
        <f t="shared" si="365"/>
        <v>0</v>
      </c>
      <c r="EE152" t="b">
        <f t="shared" si="366"/>
        <v>0</v>
      </c>
      <c r="EF152">
        <f t="shared" si="367"/>
        <v>1</v>
      </c>
      <c r="EG152" t="b">
        <f t="shared" si="368"/>
        <v>0</v>
      </c>
      <c r="EH152" t="b">
        <f t="shared" si="369"/>
        <v>0</v>
      </c>
      <c r="EI152" t="b">
        <f t="shared" si="370"/>
        <v>0</v>
      </c>
      <c r="EJ152" t="b">
        <f t="shared" si="371"/>
        <v>0</v>
      </c>
      <c r="EK152" t="b">
        <f t="shared" si="372"/>
        <v>0</v>
      </c>
    </row>
    <row r="153" spans="1:141">
      <c r="A153" t="s">
        <v>876</v>
      </c>
      <c r="B153" t="s">
        <v>877</v>
      </c>
      <c r="C153" t="s">
        <v>878</v>
      </c>
      <c r="D153" s="1">
        <v>43516</v>
      </c>
      <c r="E153" s="2">
        <v>43559.301782407405</v>
      </c>
      <c r="F153" s="2">
        <v>43559.301782407405</v>
      </c>
      <c r="G153">
        <v>52623</v>
      </c>
      <c r="H153" t="s">
        <v>879</v>
      </c>
      <c r="I153" s="10" t="s">
        <v>880</v>
      </c>
      <c r="J153" t="s">
        <v>156</v>
      </c>
      <c r="K153" s="8" t="b">
        <v>1</v>
      </c>
      <c r="L153" s="10" t="b">
        <v>0</v>
      </c>
      <c r="M153" s="12" t="b">
        <v>0</v>
      </c>
      <c r="N153" t="b">
        <v>0</v>
      </c>
      <c r="O153" t="b">
        <v>0</v>
      </c>
      <c r="P153" t="b">
        <v>0</v>
      </c>
      <c r="Q153">
        <f t="shared" si="249"/>
        <v>4</v>
      </c>
      <c r="R153">
        <f t="shared" si="250"/>
        <v>2</v>
      </c>
      <c r="S153" t="e">
        <f t="shared" ca="1" si="280"/>
        <v>#NAME?</v>
      </c>
      <c r="T153" t="e">
        <f t="shared" ca="1" si="251"/>
        <v>#NAME?</v>
      </c>
      <c r="U153" s="4">
        <f t="shared" si="252"/>
        <v>43.301782407404971</v>
      </c>
      <c r="V153" s="4">
        <f t="shared" si="253"/>
        <v>1.4433927469134991</v>
      </c>
      <c r="W153" s="4">
        <f t="shared" si="254"/>
        <v>1</v>
      </c>
      <c r="X153" s="4">
        <f t="shared" si="255"/>
        <v>0</v>
      </c>
      <c r="Y153" s="4">
        <f t="shared" si="256"/>
        <v>0</v>
      </c>
      <c r="Z153" s="4">
        <f t="shared" si="257"/>
        <v>0</v>
      </c>
      <c r="AA153" s="4">
        <f t="shared" si="258"/>
        <v>0</v>
      </c>
      <c r="AB153" s="4">
        <f t="shared" si="259"/>
        <v>0</v>
      </c>
      <c r="AC153" s="4"/>
      <c r="AD153" s="4" t="b">
        <f t="shared" si="260"/>
        <v>0</v>
      </c>
      <c r="AE153" s="4" t="b">
        <f t="shared" si="261"/>
        <v>0</v>
      </c>
      <c r="AF153" s="4" t="b">
        <f t="shared" si="262"/>
        <v>0</v>
      </c>
      <c r="AG153" t="b">
        <f t="shared" si="263"/>
        <v>0</v>
      </c>
      <c r="AH153" t="b">
        <f t="shared" si="264"/>
        <v>0</v>
      </c>
      <c r="AI153" t="b">
        <f t="shared" si="265"/>
        <v>0</v>
      </c>
      <c r="AJ153" t="b">
        <f t="shared" si="266"/>
        <v>0</v>
      </c>
      <c r="AK153" t="b">
        <f t="shared" si="267"/>
        <v>0</v>
      </c>
      <c r="AL153" t="b">
        <f t="shared" si="268"/>
        <v>0</v>
      </c>
      <c r="AM153" t="b">
        <f t="shared" si="269"/>
        <v>0</v>
      </c>
      <c r="AN153" t="b">
        <f t="shared" si="270"/>
        <v>0</v>
      </c>
      <c r="AO153" t="b">
        <f t="shared" si="271"/>
        <v>0</v>
      </c>
      <c r="AP153" t="b">
        <f t="shared" si="272"/>
        <v>0</v>
      </c>
      <c r="AQ153" t="b">
        <f t="shared" si="273"/>
        <v>0</v>
      </c>
      <c r="AR153" t="b">
        <f t="shared" si="274"/>
        <v>0</v>
      </c>
      <c r="AS153" t="b">
        <f t="shared" si="275"/>
        <v>0</v>
      </c>
      <c r="AT153" t="b">
        <f t="shared" si="276"/>
        <v>0</v>
      </c>
      <c r="AU153" t="b">
        <f t="shared" si="277"/>
        <v>0</v>
      </c>
      <c r="AV153" t="b">
        <f t="shared" si="278"/>
        <v>0</v>
      </c>
      <c r="AW153" t="b">
        <f t="shared" si="279"/>
        <v>0</v>
      </c>
      <c r="AX153" t="b">
        <f t="shared" si="281"/>
        <v>0</v>
      </c>
      <c r="AY153" t="b">
        <f t="shared" si="282"/>
        <v>0</v>
      </c>
      <c r="AZ153" t="b">
        <f t="shared" si="283"/>
        <v>0</v>
      </c>
      <c r="BA153" t="b">
        <f t="shared" si="284"/>
        <v>0</v>
      </c>
      <c r="BB153" t="b">
        <f t="shared" si="285"/>
        <v>0</v>
      </c>
      <c r="BC153" t="b">
        <f t="shared" si="286"/>
        <v>0</v>
      </c>
      <c r="BD153" t="b">
        <f t="shared" si="287"/>
        <v>0</v>
      </c>
      <c r="BE153" t="b">
        <f t="shared" si="288"/>
        <v>0</v>
      </c>
      <c r="BF153" t="b">
        <f t="shared" si="289"/>
        <v>0</v>
      </c>
      <c r="BG153" t="b">
        <f t="shared" si="290"/>
        <v>0</v>
      </c>
      <c r="BH153" t="b">
        <f t="shared" si="291"/>
        <v>0</v>
      </c>
      <c r="BI153">
        <f t="shared" si="292"/>
        <v>1</v>
      </c>
      <c r="BJ153" t="b">
        <f t="shared" si="293"/>
        <v>0</v>
      </c>
      <c r="BK153" t="b">
        <f t="shared" si="294"/>
        <v>0</v>
      </c>
      <c r="BL153" t="b">
        <f t="shared" si="295"/>
        <v>0</v>
      </c>
      <c r="BM153" t="b">
        <f t="shared" si="296"/>
        <v>0</v>
      </c>
      <c r="BN153" t="b">
        <f t="shared" si="297"/>
        <v>0</v>
      </c>
      <c r="BO153" t="b">
        <f t="shared" si="298"/>
        <v>0</v>
      </c>
      <c r="BP153" t="b">
        <f t="shared" si="299"/>
        <v>0</v>
      </c>
      <c r="BQ153" t="b">
        <f t="shared" si="300"/>
        <v>0</v>
      </c>
      <c r="BR153" t="b">
        <f t="shared" si="301"/>
        <v>0</v>
      </c>
      <c r="BS153" t="b">
        <f t="shared" si="302"/>
        <v>0</v>
      </c>
      <c r="BT153" t="b">
        <f t="shared" si="303"/>
        <v>0</v>
      </c>
      <c r="BU153" t="b">
        <f t="shared" si="304"/>
        <v>0</v>
      </c>
      <c r="BV153" t="b">
        <f t="shared" si="305"/>
        <v>0</v>
      </c>
      <c r="BW153" t="b">
        <f t="shared" si="306"/>
        <v>0</v>
      </c>
      <c r="BX153" t="b">
        <f t="shared" si="307"/>
        <v>0</v>
      </c>
      <c r="BY153" t="b">
        <f t="shared" si="308"/>
        <v>0</v>
      </c>
      <c r="BZ153" t="b">
        <f t="shared" si="309"/>
        <v>0</v>
      </c>
      <c r="CA153" t="b">
        <f t="shared" si="310"/>
        <v>0</v>
      </c>
      <c r="CB153" t="b">
        <f t="shared" si="311"/>
        <v>0</v>
      </c>
      <c r="CC153" t="b">
        <f t="shared" si="312"/>
        <v>0</v>
      </c>
      <c r="CD153" t="b">
        <f t="shared" si="313"/>
        <v>0</v>
      </c>
      <c r="CE153" t="b">
        <f t="shared" si="314"/>
        <v>0</v>
      </c>
      <c r="CF153" t="b">
        <f t="shared" si="315"/>
        <v>0</v>
      </c>
      <c r="CG153" t="b">
        <f t="shared" si="316"/>
        <v>0</v>
      </c>
      <c r="CH153" t="b">
        <f t="shared" si="317"/>
        <v>0</v>
      </c>
      <c r="CI153" t="b">
        <f t="shared" si="318"/>
        <v>0</v>
      </c>
      <c r="CJ153" t="b">
        <f t="shared" si="319"/>
        <v>0</v>
      </c>
      <c r="CK153" t="b">
        <f t="shared" si="320"/>
        <v>0</v>
      </c>
      <c r="CL153" t="b">
        <f t="shared" si="321"/>
        <v>0</v>
      </c>
      <c r="CM153" t="b">
        <f t="shared" si="322"/>
        <v>0</v>
      </c>
      <c r="CN153" t="b">
        <f t="shared" si="323"/>
        <v>0</v>
      </c>
      <c r="CO153" t="b">
        <f t="shared" si="324"/>
        <v>0</v>
      </c>
      <c r="CP153" t="b">
        <f t="shared" si="325"/>
        <v>0</v>
      </c>
      <c r="CQ153" t="b">
        <f t="shared" si="326"/>
        <v>0</v>
      </c>
      <c r="CR153" t="b">
        <f t="shared" si="327"/>
        <v>0</v>
      </c>
      <c r="CS153" t="b">
        <f t="shared" si="328"/>
        <v>0</v>
      </c>
      <c r="CT153" t="b">
        <f t="shared" si="329"/>
        <v>0</v>
      </c>
      <c r="CU153" t="b">
        <f t="shared" si="330"/>
        <v>0</v>
      </c>
      <c r="CV153">
        <f t="shared" si="331"/>
        <v>1</v>
      </c>
      <c r="CW153" t="b">
        <f t="shared" si="332"/>
        <v>0</v>
      </c>
      <c r="CX153" t="b">
        <f t="shared" si="333"/>
        <v>0</v>
      </c>
      <c r="CY153" t="b">
        <f t="shared" si="334"/>
        <v>0</v>
      </c>
      <c r="CZ153" t="b">
        <f t="shared" si="335"/>
        <v>0</v>
      </c>
      <c r="DA153" t="b">
        <f t="shared" si="336"/>
        <v>0</v>
      </c>
      <c r="DB153" t="b">
        <f t="shared" si="337"/>
        <v>0</v>
      </c>
      <c r="DC153" t="b">
        <f t="shared" si="338"/>
        <v>0</v>
      </c>
      <c r="DD153" t="b">
        <f t="shared" si="339"/>
        <v>0</v>
      </c>
      <c r="DE153" t="b">
        <f t="shared" si="340"/>
        <v>0</v>
      </c>
      <c r="DF153" t="b">
        <f t="shared" si="341"/>
        <v>0</v>
      </c>
      <c r="DG153" t="b">
        <f t="shared" si="342"/>
        <v>0</v>
      </c>
      <c r="DH153" t="b">
        <f t="shared" si="343"/>
        <v>0</v>
      </c>
      <c r="DI153" t="b">
        <f t="shared" si="344"/>
        <v>0</v>
      </c>
      <c r="DJ153" t="b">
        <f t="shared" si="345"/>
        <v>0</v>
      </c>
      <c r="DK153" t="b">
        <f t="shared" si="346"/>
        <v>0</v>
      </c>
      <c r="DL153" t="b">
        <f t="shared" si="347"/>
        <v>0</v>
      </c>
      <c r="DM153" t="b">
        <f t="shared" si="348"/>
        <v>0</v>
      </c>
      <c r="DN153" t="b">
        <f t="shared" si="349"/>
        <v>0</v>
      </c>
      <c r="DO153" t="b">
        <f t="shared" si="350"/>
        <v>0</v>
      </c>
      <c r="DP153" t="b">
        <f t="shared" si="351"/>
        <v>0</v>
      </c>
      <c r="DQ153" t="b">
        <f t="shared" si="352"/>
        <v>0</v>
      </c>
      <c r="DR153" t="b">
        <f t="shared" si="353"/>
        <v>0</v>
      </c>
      <c r="DS153" t="b">
        <f t="shared" si="354"/>
        <v>0</v>
      </c>
      <c r="DT153" t="b">
        <f t="shared" si="355"/>
        <v>0</v>
      </c>
      <c r="DU153" t="b">
        <f t="shared" si="356"/>
        <v>0</v>
      </c>
      <c r="DV153" t="b">
        <f t="shared" si="357"/>
        <v>0</v>
      </c>
      <c r="DW153" t="b">
        <f t="shared" si="358"/>
        <v>0</v>
      </c>
      <c r="DX153" t="b">
        <f t="shared" si="359"/>
        <v>0</v>
      </c>
      <c r="DY153" t="b">
        <f t="shared" si="360"/>
        <v>0</v>
      </c>
      <c r="DZ153" t="b">
        <f t="shared" si="361"/>
        <v>0</v>
      </c>
      <c r="EA153" t="b">
        <f t="shared" si="362"/>
        <v>0</v>
      </c>
      <c r="EB153" t="b">
        <f t="shared" si="363"/>
        <v>0</v>
      </c>
      <c r="EC153" t="b">
        <f t="shared" si="364"/>
        <v>0</v>
      </c>
      <c r="ED153" t="b">
        <f t="shared" si="365"/>
        <v>0</v>
      </c>
      <c r="EE153" t="b">
        <f t="shared" si="366"/>
        <v>0</v>
      </c>
      <c r="EF153">
        <f t="shared" si="367"/>
        <v>1</v>
      </c>
      <c r="EG153" t="b">
        <f t="shared" si="368"/>
        <v>0</v>
      </c>
      <c r="EH153" t="b">
        <f t="shared" si="369"/>
        <v>0</v>
      </c>
      <c r="EI153" t="b">
        <f t="shared" si="370"/>
        <v>0</v>
      </c>
      <c r="EJ153" t="b">
        <f t="shared" si="371"/>
        <v>0</v>
      </c>
      <c r="EK153" t="b">
        <f t="shared" si="372"/>
        <v>0</v>
      </c>
    </row>
    <row r="154" spans="1:141">
      <c r="A154" t="s">
        <v>881</v>
      </c>
      <c r="B154" t="s">
        <v>881</v>
      </c>
      <c r="C154" t="s">
        <v>882</v>
      </c>
      <c r="D154" s="1">
        <v>44269</v>
      </c>
      <c r="E154" s="2">
        <v>44314.359074074076</v>
      </c>
      <c r="F154" s="2">
        <v>44314.359074074076</v>
      </c>
      <c r="G154">
        <v>4845378</v>
      </c>
      <c r="H154" t="s">
        <v>883</v>
      </c>
      <c r="I154" s="10" t="s">
        <v>884</v>
      </c>
      <c r="J154" t="s">
        <v>885</v>
      </c>
      <c r="K154" s="8" t="b">
        <v>1</v>
      </c>
      <c r="L154" s="10" t="b">
        <v>0</v>
      </c>
      <c r="M154" s="12" t="b">
        <v>0</v>
      </c>
      <c r="N154" t="b">
        <v>0</v>
      </c>
      <c r="O154" t="b">
        <v>0</v>
      </c>
      <c r="P154" t="b">
        <v>0</v>
      </c>
      <c r="Q154">
        <f t="shared" si="249"/>
        <v>1</v>
      </c>
      <c r="R154">
        <f t="shared" si="250"/>
        <v>3</v>
      </c>
      <c r="S154" t="e">
        <f t="shared" ca="1" si="280"/>
        <v>#NAME?</v>
      </c>
      <c r="T154" t="e">
        <f t="shared" ca="1" si="251"/>
        <v>#NAME?</v>
      </c>
      <c r="U154" s="4">
        <f t="shared" si="252"/>
        <v>45.359074074076489</v>
      </c>
      <c r="V154" s="4">
        <f t="shared" si="253"/>
        <v>1.5119691358025495</v>
      </c>
      <c r="W154" s="4">
        <f t="shared" si="254"/>
        <v>1</v>
      </c>
      <c r="X154" s="4">
        <f t="shared" si="255"/>
        <v>0</v>
      </c>
      <c r="Y154" s="4">
        <f t="shared" si="256"/>
        <v>0</v>
      </c>
      <c r="Z154" s="4">
        <f t="shared" si="257"/>
        <v>0</v>
      </c>
      <c r="AA154" s="4">
        <f t="shared" si="258"/>
        <v>0</v>
      </c>
      <c r="AB154" s="4">
        <f t="shared" si="259"/>
        <v>0</v>
      </c>
      <c r="AC154" s="4"/>
      <c r="AD154" s="4" t="b">
        <f t="shared" si="260"/>
        <v>0</v>
      </c>
      <c r="AE154" s="4" t="b">
        <f t="shared" si="261"/>
        <v>0</v>
      </c>
      <c r="AF154" s="4" t="b">
        <f t="shared" si="262"/>
        <v>0</v>
      </c>
      <c r="AG154" t="b">
        <f t="shared" si="263"/>
        <v>0</v>
      </c>
      <c r="AH154" t="b">
        <f t="shared" si="264"/>
        <v>0</v>
      </c>
      <c r="AI154" t="b">
        <f t="shared" si="265"/>
        <v>0</v>
      </c>
      <c r="AJ154" t="b">
        <f t="shared" si="266"/>
        <v>0</v>
      </c>
      <c r="AK154" t="b">
        <f t="shared" si="267"/>
        <v>0</v>
      </c>
      <c r="AL154" t="b">
        <f t="shared" si="268"/>
        <v>0</v>
      </c>
      <c r="AM154" t="b">
        <f t="shared" si="269"/>
        <v>0</v>
      </c>
      <c r="AN154" t="b">
        <f t="shared" si="270"/>
        <v>0</v>
      </c>
      <c r="AO154" t="b">
        <f t="shared" si="271"/>
        <v>0</v>
      </c>
      <c r="AP154" t="b">
        <f t="shared" si="272"/>
        <v>0</v>
      </c>
      <c r="AQ154" t="b">
        <f t="shared" si="273"/>
        <v>0</v>
      </c>
      <c r="AR154" t="b">
        <f t="shared" si="274"/>
        <v>0</v>
      </c>
      <c r="AS154" t="b">
        <f t="shared" si="275"/>
        <v>0</v>
      </c>
      <c r="AT154" t="b">
        <f t="shared" si="276"/>
        <v>0</v>
      </c>
      <c r="AU154" t="b">
        <f t="shared" si="277"/>
        <v>0</v>
      </c>
      <c r="AV154" t="b">
        <f t="shared" si="278"/>
        <v>0</v>
      </c>
      <c r="AW154" t="b">
        <f t="shared" si="279"/>
        <v>0</v>
      </c>
      <c r="AX154" t="b">
        <f t="shared" si="281"/>
        <v>0</v>
      </c>
      <c r="AY154" t="b">
        <f t="shared" si="282"/>
        <v>0</v>
      </c>
      <c r="AZ154" t="b">
        <f t="shared" si="283"/>
        <v>0</v>
      </c>
      <c r="BA154" t="b">
        <f t="shared" si="284"/>
        <v>0</v>
      </c>
      <c r="BB154" t="b">
        <f t="shared" si="285"/>
        <v>0</v>
      </c>
      <c r="BC154" t="b">
        <f t="shared" si="286"/>
        <v>0</v>
      </c>
      <c r="BD154" t="b">
        <f t="shared" si="287"/>
        <v>0</v>
      </c>
      <c r="BE154" t="b">
        <f t="shared" si="288"/>
        <v>0</v>
      </c>
      <c r="BF154" t="b">
        <f t="shared" si="289"/>
        <v>0</v>
      </c>
      <c r="BG154" t="b">
        <f t="shared" si="290"/>
        <v>0</v>
      </c>
      <c r="BH154" t="b">
        <f t="shared" si="291"/>
        <v>0</v>
      </c>
      <c r="BI154">
        <f t="shared" si="292"/>
        <v>1</v>
      </c>
      <c r="BJ154" t="b">
        <f t="shared" si="293"/>
        <v>0</v>
      </c>
      <c r="BK154" t="b">
        <f t="shared" si="294"/>
        <v>0</v>
      </c>
      <c r="BL154" t="b">
        <f t="shared" si="295"/>
        <v>0</v>
      </c>
      <c r="BM154" t="b">
        <f t="shared" si="296"/>
        <v>0</v>
      </c>
      <c r="BN154" t="b">
        <f t="shared" si="297"/>
        <v>0</v>
      </c>
      <c r="BO154" t="b">
        <f t="shared" si="298"/>
        <v>0</v>
      </c>
      <c r="BP154" t="b">
        <f t="shared" si="299"/>
        <v>0</v>
      </c>
      <c r="BQ154" t="b">
        <f t="shared" si="300"/>
        <v>0</v>
      </c>
      <c r="BR154" t="b">
        <f t="shared" si="301"/>
        <v>0</v>
      </c>
      <c r="BS154" t="b">
        <f t="shared" si="302"/>
        <v>0</v>
      </c>
      <c r="BT154" t="b">
        <f t="shared" si="303"/>
        <v>0</v>
      </c>
      <c r="BU154" t="b">
        <f t="shared" si="304"/>
        <v>0</v>
      </c>
      <c r="BV154" t="b">
        <f t="shared" si="305"/>
        <v>0</v>
      </c>
      <c r="BW154" t="b">
        <f t="shared" si="306"/>
        <v>0</v>
      </c>
      <c r="BX154" t="b">
        <f t="shared" si="307"/>
        <v>0</v>
      </c>
      <c r="BY154" t="b">
        <f t="shared" si="308"/>
        <v>0</v>
      </c>
      <c r="BZ154" t="b">
        <f t="shared" si="309"/>
        <v>0</v>
      </c>
      <c r="CA154" t="b">
        <f t="shared" si="310"/>
        <v>0</v>
      </c>
      <c r="CB154" t="b">
        <f t="shared" si="311"/>
        <v>0</v>
      </c>
      <c r="CC154" t="b">
        <f t="shared" si="312"/>
        <v>0</v>
      </c>
      <c r="CD154" t="b">
        <f t="shared" si="313"/>
        <v>0</v>
      </c>
      <c r="CE154" t="b">
        <f t="shared" si="314"/>
        <v>0</v>
      </c>
      <c r="CF154" t="b">
        <f t="shared" si="315"/>
        <v>0</v>
      </c>
      <c r="CG154" t="b">
        <f t="shared" si="316"/>
        <v>0</v>
      </c>
      <c r="CH154" t="b">
        <f t="shared" si="317"/>
        <v>0</v>
      </c>
      <c r="CI154" t="b">
        <f t="shared" si="318"/>
        <v>0</v>
      </c>
      <c r="CJ154" t="b">
        <f t="shared" si="319"/>
        <v>0</v>
      </c>
      <c r="CK154" t="b">
        <f t="shared" si="320"/>
        <v>0</v>
      </c>
      <c r="CL154" t="b">
        <f t="shared" si="321"/>
        <v>0</v>
      </c>
      <c r="CM154">
        <f t="shared" si="322"/>
        <v>1</v>
      </c>
      <c r="CN154" t="b">
        <f t="shared" si="323"/>
        <v>0</v>
      </c>
      <c r="CO154" t="b">
        <f t="shared" si="324"/>
        <v>0</v>
      </c>
      <c r="CP154" t="b">
        <f t="shared" si="325"/>
        <v>0</v>
      </c>
      <c r="CQ154" t="b">
        <f t="shared" si="326"/>
        <v>0</v>
      </c>
      <c r="CR154" t="b">
        <f t="shared" si="327"/>
        <v>0</v>
      </c>
      <c r="CS154" t="b">
        <f t="shared" si="328"/>
        <v>0</v>
      </c>
      <c r="CT154" t="b">
        <f t="shared" si="329"/>
        <v>0</v>
      </c>
      <c r="CU154" t="b">
        <f t="shared" si="330"/>
        <v>0</v>
      </c>
      <c r="CV154">
        <f t="shared" si="331"/>
        <v>1</v>
      </c>
      <c r="CW154" t="b">
        <f t="shared" si="332"/>
        <v>0</v>
      </c>
      <c r="CX154" t="b">
        <f t="shared" si="333"/>
        <v>0</v>
      </c>
      <c r="CY154" t="b">
        <f t="shared" si="334"/>
        <v>0</v>
      </c>
      <c r="CZ154" t="b">
        <f t="shared" si="335"/>
        <v>0</v>
      </c>
      <c r="DA154" t="b">
        <f t="shared" si="336"/>
        <v>0</v>
      </c>
      <c r="DB154" t="b">
        <f t="shared" si="337"/>
        <v>0</v>
      </c>
      <c r="DC154" t="b">
        <f t="shared" si="338"/>
        <v>0</v>
      </c>
      <c r="DD154" t="b">
        <f t="shared" si="339"/>
        <v>0</v>
      </c>
      <c r="DE154" t="b">
        <f t="shared" si="340"/>
        <v>0</v>
      </c>
      <c r="DF154" t="b">
        <f t="shared" si="341"/>
        <v>0</v>
      </c>
      <c r="DG154" t="b">
        <f t="shared" si="342"/>
        <v>0</v>
      </c>
      <c r="DH154" t="b">
        <f t="shared" si="343"/>
        <v>0</v>
      </c>
      <c r="DI154" t="b">
        <f t="shared" si="344"/>
        <v>0</v>
      </c>
      <c r="DJ154">
        <f t="shared" si="345"/>
        <v>1</v>
      </c>
      <c r="DK154" t="b">
        <f t="shared" si="346"/>
        <v>0</v>
      </c>
      <c r="DL154" t="b">
        <f t="shared" si="347"/>
        <v>0</v>
      </c>
      <c r="DM154" t="b">
        <f t="shared" si="348"/>
        <v>0</v>
      </c>
      <c r="DN154" t="b">
        <f t="shared" si="349"/>
        <v>0</v>
      </c>
      <c r="DO154" t="b">
        <f t="shared" si="350"/>
        <v>0</v>
      </c>
      <c r="DP154" t="b">
        <f t="shared" si="351"/>
        <v>0</v>
      </c>
      <c r="DQ154" t="b">
        <f t="shared" si="352"/>
        <v>0</v>
      </c>
      <c r="DR154" t="b">
        <f t="shared" si="353"/>
        <v>0</v>
      </c>
      <c r="DS154" t="b">
        <f t="shared" si="354"/>
        <v>0</v>
      </c>
      <c r="DT154" t="b">
        <f t="shared" si="355"/>
        <v>0</v>
      </c>
      <c r="DU154" t="b">
        <f t="shared" si="356"/>
        <v>0</v>
      </c>
      <c r="DV154" t="b">
        <f t="shared" si="357"/>
        <v>0</v>
      </c>
      <c r="DW154" t="b">
        <f t="shared" si="358"/>
        <v>0</v>
      </c>
      <c r="DX154" t="b">
        <f t="shared" si="359"/>
        <v>0</v>
      </c>
      <c r="DY154" t="b">
        <f t="shared" si="360"/>
        <v>0</v>
      </c>
      <c r="DZ154" t="b">
        <f t="shared" si="361"/>
        <v>0</v>
      </c>
      <c r="EA154" t="b">
        <f t="shared" si="362"/>
        <v>0</v>
      </c>
      <c r="EB154" t="b">
        <f t="shared" si="363"/>
        <v>0</v>
      </c>
      <c r="EC154" t="b">
        <f t="shared" si="364"/>
        <v>0</v>
      </c>
      <c r="ED154" t="b">
        <f t="shared" si="365"/>
        <v>0</v>
      </c>
      <c r="EE154" t="b">
        <f t="shared" si="366"/>
        <v>0</v>
      </c>
      <c r="EF154" t="b">
        <f t="shared" si="367"/>
        <v>0</v>
      </c>
      <c r="EG154" t="b">
        <f t="shared" si="368"/>
        <v>0</v>
      </c>
      <c r="EH154" t="b">
        <f t="shared" si="369"/>
        <v>0</v>
      </c>
      <c r="EI154" t="b">
        <f t="shared" si="370"/>
        <v>0</v>
      </c>
      <c r="EJ154" t="b">
        <f t="shared" si="371"/>
        <v>0</v>
      </c>
      <c r="EK154" t="b">
        <f t="shared" si="372"/>
        <v>0</v>
      </c>
    </row>
    <row r="155" spans="1:141">
      <c r="A155" t="s">
        <v>886</v>
      </c>
      <c r="B155" t="s">
        <v>887</v>
      </c>
      <c r="C155" t="s">
        <v>888</v>
      </c>
      <c r="D155" s="1">
        <v>44200</v>
      </c>
      <c r="E155" s="2">
        <v>44682.997615740744</v>
      </c>
      <c r="F155" s="2">
        <v>44682.997615740744</v>
      </c>
      <c r="G155">
        <v>63451</v>
      </c>
      <c r="H155" t="s">
        <v>889</v>
      </c>
      <c r="I155" s="10" t="s">
        <v>890</v>
      </c>
      <c r="J155" t="s">
        <v>147</v>
      </c>
      <c r="K155" s="8" t="b">
        <v>1</v>
      </c>
      <c r="L155" s="10" t="b">
        <v>0</v>
      </c>
      <c r="M155" s="12" t="b">
        <v>0</v>
      </c>
      <c r="N155" t="b">
        <v>0</v>
      </c>
      <c r="O155" t="b">
        <v>0</v>
      </c>
      <c r="P155" t="b">
        <v>0</v>
      </c>
      <c r="Q155">
        <f t="shared" si="249"/>
        <v>2</v>
      </c>
      <c r="R155">
        <f t="shared" si="250"/>
        <v>1</v>
      </c>
      <c r="S155" t="e">
        <f t="shared" ca="1" si="280"/>
        <v>#NAME?</v>
      </c>
      <c r="T155" t="e">
        <f t="shared" ca="1" si="251"/>
        <v>#NAME?</v>
      </c>
      <c r="U155" s="4">
        <f t="shared" si="252"/>
        <v>482.99761574074364</v>
      </c>
      <c r="V155" s="4">
        <f t="shared" si="253"/>
        <v>16.099920524691456</v>
      </c>
      <c r="W155" s="4">
        <f t="shared" si="254"/>
        <v>1</v>
      </c>
      <c r="X155" s="4">
        <f t="shared" si="255"/>
        <v>0</v>
      </c>
      <c r="Y155" s="4">
        <f t="shared" si="256"/>
        <v>0</v>
      </c>
      <c r="Z155" s="4">
        <f t="shared" si="257"/>
        <v>0</v>
      </c>
      <c r="AA155" s="4">
        <f t="shared" si="258"/>
        <v>0</v>
      </c>
      <c r="AB155" s="4">
        <f t="shared" si="259"/>
        <v>0</v>
      </c>
      <c r="AC155" s="4"/>
      <c r="AD155" s="4" t="b">
        <f t="shared" si="260"/>
        <v>0</v>
      </c>
      <c r="AE155" s="4" t="b">
        <f t="shared" si="261"/>
        <v>0</v>
      </c>
      <c r="AF155" s="4" t="b">
        <f t="shared" si="262"/>
        <v>0</v>
      </c>
      <c r="AG155" t="b">
        <f t="shared" si="263"/>
        <v>0</v>
      </c>
      <c r="AH155" t="b">
        <f t="shared" si="264"/>
        <v>0</v>
      </c>
      <c r="AI155" t="b">
        <f t="shared" si="265"/>
        <v>0</v>
      </c>
      <c r="AJ155" t="b">
        <f t="shared" si="266"/>
        <v>0</v>
      </c>
      <c r="AK155" t="b">
        <f t="shared" si="267"/>
        <v>0</v>
      </c>
      <c r="AL155" t="b">
        <f t="shared" si="268"/>
        <v>0</v>
      </c>
      <c r="AM155" t="b">
        <f t="shared" si="269"/>
        <v>0</v>
      </c>
      <c r="AN155" t="b">
        <f t="shared" si="270"/>
        <v>0</v>
      </c>
      <c r="AO155" t="b">
        <f t="shared" si="271"/>
        <v>0</v>
      </c>
      <c r="AP155" t="b">
        <f t="shared" si="272"/>
        <v>0</v>
      </c>
      <c r="AQ155" t="b">
        <f t="shared" si="273"/>
        <v>0</v>
      </c>
      <c r="AR155" t="b">
        <f t="shared" si="274"/>
        <v>0</v>
      </c>
      <c r="AS155" t="b">
        <f t="shared" si="275"/>
        <v>0</v>
      </c>
      <c r="AT155" t="b">
        <f t="shared" si="276"/>
        <v>0</v>
      </c>
      <c r="AU155" t="b">
        <f t="shared" si="277"/>
        <v>0</v>
      </c>
      <c r="AV155" t="b">
        <f t="shared" si="278"/>
        <v>0</v>
      </c>
      <c r="AW155" t="b">
        <f t="shared" si="279"/>
        <v>0</v>
      </c>
      <c r="AX155" t="b">
        <f t="shared" si="281"/>
        <v>0</v>
      </c>
      <c r="AY155" t="b">
        <f t="shared" si="282"/>
        <v>0</v>
      </c>
      <c r="AZ155" t="b">
        <f t="shared" si="283"/>
        <v>0</v>
      </c>
      <c r="BA155" t="b">
        <f t="shared" si="284"/>
        <v>0</v>
      </c>
      <c r="BB155" t="b">
        <f t="shared" si="285"/>
        <v>0</v>
      </c>
      <c r="BC155" t="b">
        <f t="shared" si="286"/>
        <v>0</v>
      </c>
      <c r="BD155" t="b">
        <f t="shared" si="287"/>
        <v>0</v>
      </c>
      <c r="BE155" t="b">
        <f t="shared" si="288"/>
        <v>0</v>
      </c>
      <c r="BF155" t="b">
        <f t="shared" si="289"/>
        <v>0</v>
      </c>
      <c r="BG155" t="b">
        <f t="shared" si="290"/>
        <v>0</v>
      </c>
      <c r="BH155" t="b">
        <f t="shared" si="291"/>
        <v>0</v>
      </c>
      <c r="BI155">
        <f t="shared" si="292"/>
        <v>1</v>
      </c>
      <c r="BJ155" t="b">
        <f t="shared" si="293"/>
        <v>0</v>
      </c>
      <c r="BK155" t="b">
        <f t="shared" si="294"/>
        <v>0</v>
      </c>
      <c r="BL155" t="b">
        <f t="shared" si="295"/>
        <v>0</v>
      </c>
      <c r="BM155" t="b">
        <f t="shared" si="296"/>
        <v>0</v>
      </c>
      <c r="BN155" t="b">
        <f t="shared" si="297"/>
        <v>0</v>
      </c>
      <c r="BO155" t="b">
        <f t="shared" si="298"/>
        <v>0</v>
      </c>
      <c r="BP155" t="b">
        <f t="shared" si="299"/>
        <v>0</v>
      </c>
      <c r="BQ155" t="b">
        <f t="shared" si="300"/>
        <v>0</v>
      </c>
      <c r="BR155" t="b">
        <f t="shared" si="301"/>
        <v>0</v>
      </c>
      <c r="BS155" t="b">
        <f t="shared" si="302"/>
        <v>0</v>
      </c>
      <c r="BT155" t="b">
        <f t="shared" si="303"/>
        <v>0</v>
      </c>
      <c r="BU155" t="b">
        <f t="shared" si="304"/>
        <v>0</v>
      </c>
      <c r="BV155" t="b">
        <f t="shared" si="305"/>
        <v>0</v>
      </c>
      <c r="BW155" t="b">
        <f t="shared" si="306"/>
        <v>0</v>
      </c>
      <c r="BX155" t="b">
        <f t="shared" si="307"/>
        <v>0</v>
      </c>
      <c r="BY155" t="b">
        <f t="shared" si="308"/>
        <v>0</v>
      </c>
      <c r="BZ155" t="b">
        <f t="shared" si="309"/>
        <v>0</v>
      </c>
      <c r="CA155" t="b">
        <f t="shared" si="310"/>
        <v>0</v>
      </c>
      <c r="CB155" t="b">
        <f t="shared" si="311"/>
        <v>0</v>
      </c>
      <c r="CC155" t="b">
        <f t="shared" si="312"/>
        <v>0</v>
      </c>
      <c r="CD155" t="b">
        <f t="shared" si="313"/>
        <v>0</v>
      </c>
      <c r="CE155" t="b">
        <f t="shared" si="314"/>
        <v>0</v>
      </c>
      <c r="CF155" t="b">
        <f t="shared" si="315"/>
        <v>0</v>
      </c>
      <c r="CG155" t="b">
        <f t="shared" si="316"/>
        <v>0</v>
      </c>
      <c r="CH155" t="b">
        <f t="shared" si="317"/>
        <v>0</v>
      </c>
      <c r="CI155" t="b">
        <f t="shared" si="318"/>
        <v>0</v>
      </c>
      <c r="CJ155" t="b">
        <f t="shared" si="319"/>
        <v>0</v>
      </c>
      <c r="CK155" t="b">
        <f t="shared" si="320"/>
        <v>0</v>
      </c>
      <c r="CL155" t="b">
        <f t="shared" si="321"/>
        <v>0</v>
      </c>
      <c r="CM155" t="b">
        <f t="shared" si="322"/>
        <v>0</v>
      </c>
      <c r="CN155" t="b">
        <f t="shared" si="323"/>
        <v>0</v>
      </c>
      <c r="CO155" t="b">
        <f t="shared" si="324"/>
        <v>0</v>
      </c>
      <c r="CP155" t="b">
        <f t="shared" si="325"/>
        <v>0</v>
      </c>
      <c r="CQ155" t="b">
        <f t="shared" si="326"/>
        <v>0</v>
      </c>
      <c r="CR155" t="b">
        <f t="shared" si="327"/>
        <v>0</v>
      </c>
      <c r="CS155" t="b">
        <f t="shared" si="328"/>
        <v>0</v>
      </c>
      <c r="CT155" t="b">
        <f t="shared" si="329"/>
        <v>0</v>
      </c>
      <c r="CU155" t="b">
        <f t="shared" si="330"/>
        <v>0</v>
      </c>
      <c r="CV155">
        <f t="shared" si="331"/>
        <v>1</v>
      </c>
      <c r="CW155" t="b">
        <f t="shared" si="332"/>
        <v>0</v>
      </c>
      <c r="CX155" t="b">
        <f t="shared" si="333"/>
        <v>0</v>
      </c>
      <c r="CY155" t="b">
        <f t="shared" si="334"/>
        <v>0</v>
      </c>
      <c r="CZ155" t="b">
        <f t="shared" si="335"/>
        <v>0</v>
      </c>
      <c r="DA155" t="b">
        <f t="shared" si="336"/>
        <v>0</v>
      </c>
      <c r="DB155" t="b">
        <f t="shared" si="337"/>
        <v>0</v>
      </c>
      <c r="DC155" t="b">
        <f t="shared" si="338"/>
        <v>0</v>
      </c>
      <c r="DD155" t="b">
        <f t="shared" si="339"/>
        <v>0</v>
      </c>
      <c r="DE155" t="b">
        <f t="shared" si="340"/>
        <v>0</v>
      </c>
      <c r="DF155" t="b">
        <f t="shared" si="341"/>
        <v>0</v>
      </c>
      <c r="DG155" t="b">
        <f t="shared" si="342"/>
        <v>0</v>
      </c>
      <c r="DH155" t="b">
        <f t="shared" si="343"/>
        <v>0</v>
      </c>
      <c r="DI155" t="b">
        <f t="shared" si="344"/>
        <v>0</v>
      </c>
      <c r="DJ155" t="b">
        <f t="shared" si="345"/>
        <v>0</v>
      </c>
      <c r="DK155" t="b">
        <f t="shared" si="346"/>
        <v>0</v>
      </c>
      <c r="DL155" t="b">
        <f t="shared" si="347"/>
        <v>0</v>
      </c>
      <c r="DM155" t="b">
        <f t="shared" si="348"/>
        <v>0</v>
      </c>
      <c r="DN155" t="b">
        <f t="shared" si="349"/>
        <v>0</v>
      </c>
      <c r="DO155" t="b">
        <f t="shared" si="350"/>
        <v>0</v>
      </c>
      <c r="DP155" t="b">
        <f t="shared" si="351"/>
        <v>0</v>
      </c>
      <c r="DQ155" t="b">
        <f t="shared" si="352"/>
        <v>0</v>
      </c>
      <c r="DR155" t="b">
        <f t="shared" si="353"/>
        <v>0</v>
      </c>
      <c r="DS155" t="b">
        <f t="shared" si="354"/>
        <v>0</v>
      </c>
      <c r="DT155" t="b">
        <f t="shared" si="355"/>
        <v>0</v>
      </c>
      <c r="DU155" t="b">
        <f t="shared" si="356"/>
        <v>0</v>
      </c>
      <c r="DV155" t="b">
        <f t="shared" si="357"/>
        <v>0</v>
      </c>
      <c r="DW155" t="b">
        <f t="shared" si="358"/>
        <v>0</v>
      </c>
      <c r="DX155" t="b">
        <f t="shared" si="359"/>
        <v>0</v>
      </c>
      <c r="DY155" t="b">
        <f t="shared" si="360"/>
        <v>0</v>
      </c>
      <c r="DZ155" t="b">
        <f t="shared" si="361"/>
        <v>0</v>
      </c>
      <c r="EA155" t="b">
        <f t="shared" si="362"/>
        <v>0</v>
      </c>
      <c r="EB155" t="b">
        <f t="shared" si="363"/>
        <v>0</v>
      </c>
      <c r="EC155" t="b">
        <f t="shared" si="364"/>
        <v>0</v>
      </c>
      <c r="ED155" t="b">
        <f t="shared" si="365"/>
        <v>0</v>
      </c>
      <c r="EE155" t="b">
        <f t="shared" si="366"/>
        <v>0</v>
      </c>
      <c r="EF155" t="b">
        <f t="shared" si="367"/>
        <v>0</v>
      </c>
      <c r="EG155" t="b">
        <f t="shared" si="368"/>
        <v>0</v>
      </c>
      <c r="EH155" t="b">
        <f t="shared" si="369"/>
        <v>0</v>
      </c>
      <c r="EI155" t="b">
        <f t="shared" si="370"/>
        <v>0</v>
      </c>
      <c r="EJ155" t="b">
        <f t="shared" si="371"/>
        <v>0</v>
      </c>
      <c r="EK155" t="b">
        <f t="shared" si="372"/>
        <v>0</v>
      </c>
    </row>
    <row r="156" spans="1:141">
      <c r="A156" t="s">
        <v>891</v>
      </c>
      <c r="B156" t="s">
        <v>891</v>
      </c>
      <c r="C156" t="s">
        <v>892</v>
      </c>
      <c r="D156" s="1">
        <v>43499</v>
      </c>
      <c r="E156" s="2">
        <v>43507.306759259256</v>
      </c>
      <c r="F156" s="2">
        <v>43507.306759259256</v>
      </c>
      <c r="G156">
        <v>1508</v>
      </c>
      <c r="H156" t="s">
        <v>893</v>
      </c>
      <c r="I156" s="10" t="s">
        <v>894</v>
      </c>
      <c r="J156" t="s">
        <v>895</v>
      </c>
      <c r="K156" s="8" t="b">
        <v>1</v>
      </c>
      <c r="L156" s="10" t="b">
        <v>0</v>
      </c>
      <c r="M156" s="12" t="b">
        <v>0</v>
      </c>
      <c r="N156" t="b">
        <v>0</v>
      </c>
      <c r="O156" t="b">
        <v>0</v>
      </c>
      <c r="P156" t="b">
        <v>0</v>
      </c>
      <c r="Q156">
        <f t="shared" si="249"/>
        <v>1</v>
      </c>
      <c r="R156">
        <f t="shared" si="250"/>
        <v>2</v>
      </c>
      <c r="S156" t="e">
        <f t="shared" ca="1" si="280"/>
        <v>#NAME?</v>
      </c>
      <c r="T156" t="e">
        <f t="shared" ca="1" si="251"/>
        <v>#NAME?</v>
      </c>
      <c r="U156" s="4">
        <f t="shared" si="252"/>
        <v>8.3067592592560686</v>
      </c>
      <c r="V156" s="4">
        <f t="shared" si="253"/>
        <v>0.2768919753085356</v>
      </c>
      <c r="W156" s="4">
        <f t="shared" si="254"/>
        <v>1</v>
      </c>
      <c r="X156" s="4">
        <f t="shared" si="255"/>
        <v>0</v>
      </c>
      <c r="Y156" s="4">
        <f t="shared" si="256"/>
        <v>0</v>
      </c>
      <c r="Z156" s="4">
        <f t="shared" si="257"/>
        <v>0</v>
      </c>
      <c r="AA156" s="4">
        <f t="shared" si="258"/>
        <v>0</v>
      </c>
      <c r="AB156" s="4">
        <f t="shared" si="259"/>
        <v>0</v>
      </c>
      <c r="AC156" s="4"/>
      <c r="AD156" s="4" t="b">
        <f t="shared" si="260"/>
        <v>0</v>
      </c>
      <c r="AE156" s="4" t="b">
        <f t="shared" si="261"/>
        <v>0</v>
      </c>
      <c r="AF156" s="4" t="b">
        <f t="shared" si="262"/>
        <v>0</v>
      </c>
      <c r="AG156" t="b">
        <f t="shared" si="263"/>
        <v>0</v>
      </c>
      <c r="AH156" t="b">
        <f t="shared" si="264"/>
        <v>0</v>
      </c>
      <c r="AI156" t="b">
        <f t="shared" si="265"/>
        <v>0</v>
      </c>
      <c r="AJ156" t="b">
        <f t="shared" si="266"/>
        <v>0</v>
      </c>
      <c r="AK156" t="b">
        <f t="shared" si="267"/>
        <v>0</v>
      </c>
      <c r="AL156" t="b">
        <f t="shared" si="268"/>
        <v>0</v>
      </c>
      <c r="AM156" t="b">
        <f t="shared" si="269"/>
        <v>0</v>
      </c>
      <c r="AN156" t="b">
        <f t="shared" si="270"/>
        <v>0</v>
      </c>
      <c r="AO156" t="b">
        <f t="shared" si="271"/>
        <v>0</v>
      </c>
      <c r="AP156" t="b">
        <f t="shared" si="272"/>
        <v>0</v>
      </c>
      <c r="AQ156" t="b">
        <f t="shared" si="273"/>
        <v>0</v>
      </c>
      <c r="AR156" t="b">
        <f t="shared" si="274"/>
        <v>0</v>
      </c>
      <c r="AS156" t="b">
        <f t="shared" si="275"/>
        <v>0</v>
      </c>
      <c r="AT156" t="b">
        <f t="shared" si="276"/>
        <v>0</v>
      </c>
      <c r="AU156" t="b">
        <f t="shared" si="277"/>
        <v>0</v>
      </c>
      <c r="AV156" t="b">
        <f t="shared" si="278"/>
        <v>0</v>
      </c>
      <c r="AW156" t="b">
        <f t="shared" si="279"/>
        <v>0</v>
      </c>
      <c r="AX156" t="b">
        <f t="shared" si="281"/>
        <v>0</v>
      </c>
      <c r="AY156" t="b">
        <f t="shared" si="282"/>
        <v>0</v>
      </c>
      <c r="AZ156" t="b">
        <f t="shared" si="283"/>
        <v>0</v>
      </c>
      <c r="BA156" t="b">
        <f t="shared" si="284"/>
        <v>0</v>
      </c>
      <c r="BB156" t="b">
        <f t="shared" si="285"/>
        <v>0</v>
      </c>
      <c r="BC156" t="b">
        <f t="shared" si="286"/>
        <v>0</v>
      </c>
      <c r="BD156" t="b">
        <f t="shared" si="287"/>
        <v>0</v>
      </c>
      <c r="BE156" t="b">
        <f t="shared" si="288"/>
        <v>0</v>
      </c>
      <c r="BF156" t="b">
        <f t="shared" si="289"/>
        <v>0</v>
      </c>
      <c r="BG156" t="b">
        <f t="shared" si="290"/>
        <v>0</v>
      </c>
      <c r="BH156" t="b">
        <f t="shared" si="291"/>
        <v>0</v>
      </c>
      <c r="BI156">
        <f t="shared" si="292"/>
        <v>1</v>
      </c>
      <c r="BJ156" t="b">
        <f t="shared" si="293"/>
        <v>0</v>
      </c>
      <c r="BK156" t="b">
        <f t="shared" si="294"/>
        <v>0</v>
      </c>
      <c r="BL156" t="b">
        <f t="shared" si="295"/>
        <v>0</v>
      </c>
      <c r="BM156" t="b">
        <f t="shared" si="296"/>
        <v>0</v>
      </c>
      <c r="BN156" t="b">
        <f t="shared" si="297"/>
        <v>0</v>
      </c>
      <c r="BO156" t="b">
        <f t="shared" si="298"/>
        <v>0</v>
      </c>
      <c r="BP156" t="b">
        <f t="shared" si="299"/>
        <v>0</v>
      </c>
      <c r="BQ156" t="b">
        <f t="shared" si="300"/>
        <v>0</v>
      </c>
      <c r="BR156" t="b">
        <f t="shared" si="301"/>
        <v>0</v>
      </c>
      <c r="BS156" t="b">
        <f t="shared" si="302"/>
        <v>0</v>
      </c>
      <c r="BT156" t="b">
        <f t="shared" si="303"/>
        <v>0</v>
      </c>
      <c r="BU156" t="b">
        <f t="shared" si="304"/>
        <v>0</v>
      </c>
      <c r="BV156" t="b">
        <f t="shared" si="305"/>
        <v>0</v>
      </c>
      <c r="BW156" t="b">
        <f t="shared" si="306"/>
        <v>0</v>
      </c>
      <c r="BX156" t="b">
        <f t="shared" si="307"/>
        <v>0</v>
      </c>
      <c r="BY156" t="b">
        <f t="shared" si="308"/>
        <v>0</v>
      </c>
      <c r="BZ156" t="b">
        <f t="shared" si="309"/>
        <v>0</v>
      </c>
      <c r="CA156" t="b">
        <f t="shared" si="310"/>
        <v>0</v>
      </c>
      <c r="CB156" t="b">
        <f t="shared" si="311"/>
        <v>0</v>
      </c>
      <c r="CC156" t="b">
        <f t="shared" si="312"/>
        <v>0</v>
      </c>
      <c r="CD156" t="b">
        <f t="shared" si="313"/>
        <v>0</v>
      </c>
      <c r="CE156" t="b">
        <f t="shared" si="314"/>
        <v>0</v>
      </c>
      <c r="CF156" t="b">
        <f t="shared" si="315"/>
        <v>0</v>
      </c>
      <c r="CG156" t="b">
        <f t="shared" si="316"/>
        <v>0</v>
      </c>
      <c r="CH156" t="b">
        <f t="shared" si="317"/>
        <v>0</v>
      </c>
      <c r="CI156" t="b">
        <f t="shared" si="318"/>
        <v>0</v>
      </c>
      <c r="CJ156" t="b">
        <f t="shared" si="319"/>
        <v>0</v>
      </c>
      <c r="CK156" t="b">
        <f t="shared" si="320"/>
        <v>0</v>
      </c>
      <c r="CL156" t="b">
        <f t="shared" si="321"/>
        <v>0</v>
      </c>
      <c r="CM156" t="b">
        <f t="shared" si="322"/>
        <v>0</v>
      </c>
      <c r="CN156" t="b">
        <f t="shared" si="323"/>
        <v>0</v>
      </c>
      <c r="CO156" t="b">
        <f t="shared" si="324"/>
        <v>0</v>
      </c>
      <c r="CP156" t="b">
        <f t="shared" si="325"/>
        <v>0</v>
      </c>
      <c r="CQ156" t="b">
        <f t="shared" si="326"/>
        <v>0</v>
      </c>
      <c r="CR156" t="b">
        <f t="shared" si="327"/>
        <v>0</v>
      </c>
      <c r="CS156" t="b">
        <f t="shared" si="328"/>
        <v>0</v>
      </c>
      <c r="CT156" t="b">
        <f t="shared" si="329"/>
        <v>0</v>
      </c>
      <c r="CU156" t="b">
        <f t="shared" si="330"/>
        <v>0</v>
      </c>
      <c r="CV156">
        <f t="shared" si="331"/>
        <v>1</v>
      </c>
      <c r="CW156" t="b">
        <f t="shared" si="332"/>
        <v>0</v>
      </c>
      <c r="CX156" t="b">
        <f t="shared" si="333"/>
        <v>0</v>
      </c>
      <c r="CY156" t="b">
        <f t="shared" si="334"/>
        <v>0</v>
      </c>
      <c r="CZ156" t="b">
        <f t="shared" si="335"/>
        <v>0</v>
      </c>
      <c r="DA156" t="b">
        <f t="shared" si="336"/>
        <v>0</v>
      </c>
      <c r="DB156" t="b">
        <f t="shared" si="337"/>
        <v>0</v>
      </c>
      <c r="DC156" t="b">
        <f t="shared" si="338"/>
        <v>0</v>
      </c>
      <c r="DD156" t="b">
        <f t="shared" si="339"/>
        <v>0</v>
      </c>
      <c r="DE156" t="b">
        <f t="shared" si="340"/>
        <v>0</v>
      </c>
      <c r="DF156" t="b">
        <f t="shared" si="341"/>
        <v>0</v>
      </c>
      <c r="DG156">
        <f t="shared" si="342"/>
        <v>1</v>
      </c>
      <c r="DH156" t="b">
        <f t="shared" si="343"/>
        <v>0</v>
      </c>
      <c r="DI156" t="b">
        <f t="shared" si="344"/>
        <v>0</v>
      </c>
      <c r="DJ156" t="b">
        <f t="shared" si="345"/>
        <v>0</v>
      </c>
      <c r="DK156" t="b">
        <f t="shared" si="346"/>
        <v>0</v>
      </c>
      <c r="DL156" t="b">
        <f t="shared" si="347"/>
        <v>0</v>
      </c>
      <c r="DM156" t="b">
        <f t="shared" si="348"/>
        <v>0</v>
      </c>
      <c r="DN156" t="b">
        <f t="shared" si="349"/>
        <v>0</v>
      </c>
      <c r="DO156" t="b">
        <f t="shared" si="350"/>
        <v>0</v>
      </c>
      <c r="DP156" t="b">
        <f t="shared" si="351"/>
        <v>0</v>
      </c>
      <c r="DQ156" t="b">
        <f t="shared" si="352"/>
        <v>0</v>
      </c>
      <c r="DR156" t="b">
        <f t="shared" si="353"/>
        <v>0</v>
      </c>
      <c r="DS156" t="b">
        <f t="shared" si="354"/>
        <v>0</v>
      </c>
      <c r="DT156" t="b">
        <f t="shared" si="355"/>
        <v>0</v>
      </c>
      <c r="DU156" t="b">
        <f t="shared" si="356"/>
        <v>0</v>
      </c>
      <c r="DV156" t="b">
        <f t="shared" si="357"/>
        <v>0</v>
      </c>
      <c r="DW156" t="b">
        <f t="shared" si="358"/>
        <v>0</v>
      </c>
      <c r="DX156" t="b">
        <f t="shared" si="359"/>
        <v>0</v>
      </c>
      <c r="DY156" t="b">
        <f t="shared" si="360"/>
        <v>0</v>
      </c>
      <c r="DZ156" t="b">
        <f t="shared" si="361"/>
        <v>0</v>
      </c>
      <c r="EA156" t="b">
        <f t="shared" si="362"/>
        <v>0</v>
      </c>
      <c r="EB156" t="b">
        <f t="shared" si="363"/>
        <v>0</v>
      </c>
      <c r="EC156" t="b">
        <f t="shared" si="364"/>
        <v>0</v>
      </c>
      <c r="ED156" t="b">
        <f t="shared" si="365"/>
        <v>0</v>
      </c>
      <c r="EE156" t="b">
        <f t="shared" si="366"/>
        <v>0</v>
      </c>
      <c r="EF156" t="b">
        <f t="shared" si="367"/>
        <v>0</v>
      </c>
      <c r="EG156" t="b">
        <f t="shared" si="368"/>
        <v>0</v>
      </c>
      <c r="EH156" t="b">
        <f t="shared" si="369"/>
        <v>0</v>
      </c>
      <c r="EI156" t="b">
        <f t="shared" si="370"/>
        <v>0</v>
      </c>
      <c r="EJ156" t="b">
        <f t="shared" si="371"/>
        <v>0</v>
      </c>
      <c r="EK156" t="b">
        <f t="shared" si="372"/>
        <v>0</v>
      </c>
    </row>
    <row r="157" spans="1:141">
      <c r="A157" t="s">
        <v>896</v>
      </c>
      <c r="B157" t="s">
        <v>897</v>
      </c>
      <c r="C157" t="s">
        <v>897</v>
      </c>
      <c r="D157" s="1">
        <v>41861</v>
      </c>
      <c r="E157" s="2">
        <v>43021.900810185187</v>
      </c>
      <c r="F157" s="2">
        <v>43021.900810185187</v>
      </c>
      <c r="G157">
        <v>1383759</v>
      </c>
      <c r="H157" t="s">
        <v>898</v>
      </c>
      <c r="I157" s="10" t="s">
        <v>899</v>
      </c>
      <c r="J157" t="s">
        <v>900</v>
      </c>
      <c r="K157" s="8" t="b">
        <v>1</v>
      </c>
      <c r="L157" s="10" t="b">
        <v>0</v>
      </c>
      <c r="M157" s="12" t="b">
        <v>0</v>
      </c>
      <c r="N157" t="b">
        <v>0</v>
      </c>
      <c r="O157" t="b">
        <v>0</v>
      </c>
      <c r="P157" t="b">
        <v>0</v>
      </c>
      <c r="Q157">
        <f t="shared" si="249"/>
        <v>1</v>
      </c>
      <c r="R157">
        <f t="shared" si="250"/>
        <v>8</v>
      </c>
      <c r="S157" t="e">
        <f t="shared" ca="1" si="280"/>
        <v>#NAME?</v>
      </c>
      <c r="T157" t="e">
        <f t="shared" ca="1" si="251"/>
        <v>#NAME?</v>
      </c>
      <c r="U157" s="4">
        <f t="shared" si="252"/>
        <v>1160.9008101851869</v>
      </c>
      <c r="V157" s="4">
        <f t="shared" si="253"/>
        <v>38.696693672839565</v>
      </c>
      <c r="W157" s="4">
        <f t="shared" si="254"/>
        <v>1</v>
      </c>
      <c r="X157" s="4">
        <f t="shared" si="255"/>
        <v>0</v>
      </c>
      <c r="Y157" s="4">
        <f t="shared" si="256"/>
        <v>0</v>
      </c>
      <c r="Z157" s="4">
        <f t="shared" si="257"/>
        <v>0</v>
      </c>
      <c r="AA157" s="4">
        <f t="shared" si="258"/>
        <v>0</v>
      </c>
      <c r="AB157" s="4">
        <f t="shared" si="259"/>
        <v>0</v>
      </c>
      <c r="AC157" s="4"/>
      <c r="AD157" s="4" t="b">
        <f t="shared" si="260"/>
        <v>0</v>
      </c>
      <c r="AE157" s="4" t="b">
        <f t="shared" si="261"/>
        <v>0</v>
      </c>
      <c r="AF157" s="4" t="b">
        <f t="shared" si="262"/>
        <v>0</v>
      </c>
      <c r="AG157" t="b">
        <f t="shared" si="263"/>
        <v>0</v>
      </c>
      <c r="AH157" t="b">
        <f t="shared" si="264"/>
        <v>0</v>
      </c>
      <c r="AI157" t="b">
        <f t="shared" si="265"/>
        <v>0</v>
      </c>
      <c r="AJ157" t="b">
        <f t="shared" si="266"/>
        <v>0</v>
      </c>
      <c r="AK157" t="b">
        <f t="shared" si="267"/>
        <v>0</v>
      </c>
      <c r="AL157" t="b">
        <f t="shared" si="268"/>
        <v>0</v>
      </c>
      <c r="AM157" t="b">
        <f t="shared" si="269"/>
        <v>0</v>
      </c>
      <c r="AN157" t="b">
        <f t="shared" si="270"/>
        <v>0</v>
      </c>
      <c r="AO157" t="b">
        <f t="shared" si="271"/>
        <v>0</v>
      </c>
      <c r="AP157" t="b">
        <f t="shared" si="272"/>
        <v>0</v>
      </c>
      <c r="AQ157" t="b">
        <f t="shared" si="273"/>
        <v>0</v>
      </c>
      <c r="AR157" t="b">
        <f t="shared" si="274"/>
        <v>0</v>
      </c>
      <c r="AS157" t="b">
        <f t="shared" si="275"/>
        <v>0</v>
      </c>
      <c r="AT157" t="b">
        <f t="shared" si="276"/>
        <v>0</v>
      </c>
      <c r="AU157" t="b">
        <f t="shared" si="277"/>
        <v>0</v>
      </c>
      <c r="AV157" t="b">
        <f t="shared" si="278"/>
        <v>0</v>
      </c>
      <c r="AW157" t="b">
        <f t="shared" si="279"/>
        <v>0</v>
      </c>
      <c r="AX157" t="b">
        <f t="shared" si="281"/>
        <v>0</v>
      </c>
      <c r="AY157" t="b">
        <f t="shared" si="282"/>
        <v>0</v>
      </c>
      <c r="AZ157">
        <f t="shared" si="283"/>
        <v>1</v>
      </c>
      <c r="BA157" t="b">
        <f t="shared" si="284"/>
        <v>0</v>
      </c>
      <c r="BB157" t="b">
        <f t="shared" si="285"/>
        <v>0</v>
      </c>
      <c r="BC157" t="b">
        <f t="shared" si="286"/>
        <v>0</v>
      </c>
      <c r="BD157" t="b">
        <f t="shared" si="287"/>
        <v>0</v>
      </c>
      <c r="BE157" t="b">
        <f t="shared" si="288"/>
        <v>0</v>
      </c>
      <c r="BF157" t="b">
        <f t="shared" si="289"/>
        <v>0</v>
      </c>
      <c r="BG157" t="b">
        <f t="shared" si="290"/>
        <v>0</v>
      </c>
      <c r="BH157" t="b">
        <f t="shared" si="291"/>
        <v>0</v>
      </c>
      <c r="BI157">
        <f t="shared" si="292"/>
        <v>1</v>
      </c>
      <c r="BJ157" t="b">
        <f t="shared" si="293"/>
        <v>0</v>
      </c>
      <c r="BK157" t="b">
        <f t="shared" si="294"/>
        <v>0</v>
      </c>
      <c r="BL157" t="b">
        <f t="shared" si="295"/>
        <v>0</v>
      </c>
      <c r="BM157" t="b">
        <f t="shared" si="296"/>
        <v>0</v>
      </c>
      <c r="BN157" t="b">
        <f t="shared" si="297"/>
        <v>0</v>
      </c>
      <c r="BO157" t="b">
        <f t="shared" si="298"/>
        <v>0</v>
      </c>
      <c r="BP157" t="b">
        <f t="shared" si="299"/>
        <v>0</v>
      </c>
      <c r="BQ157" t="b">
        <f t="shared" si="300"/>
        <v>0</v>
      </c>
      <c r="BR157" t="b">
        <f t="shared" si="301"/>
        <v>0</v>
      </c>
      <c r="BS157" t="b">
        <f t="shared" si="302"/>
        <v>0</v>
      </c>
      <c r="BT157" t="b">
        <f t="shared" si="303"/>
        <v>0</v>
      </c>
      <c r="BU157" t="b">
        <f t="shared" si="304"/>
        <v>0</v>
      </c>
      <c r="BV157" t="b">
        <f t="shared" si="305"/>
        <v>0</v>
      </c>
      <c r="BW157" t="b">
        <f t="shared" si="306"/>
        <v>0</v>
      </c>
      <c r="BX157" t="b">
        <f t="shared" si="307"/>
        <v>0</v>
      </c>
      <c r="BY157" t="b">
        <f t="shared" si="308"/>
        <v>0</v>
      </c>
      <c r="BZ157" t="b">
        <f t="shared" si="309"/>
        <v>0</v>
      </c>
      <c r="CA157" t="b">
        <f t="shared" si="310"/>
        <v>0</v>
      </c>
      <c r="CB157" t="b">
        <f t="shared" si="311"/>
        <v>0</v>
      </c>
      <c r="CC157" t="b">
        <f t="shared" si="312"/>
        <v>0</v>
      </c>
      <c r="CD157" t="b">
        <f t="shared" si="313"/>
        <v>0</v>
      </c>
      <c r="CE157">
        <f t="shared" si="314"/>
        <v>1</v>
      </c>
      <c r="CF157" t="b">
        <f t="shared" si="315"/>
        <v>0</v>
      </c>
      <c r="CG157" t="b">
        <f t="shared" si="316"/>
        <v>0</v>
      </c>
      <c r="CH157" t="b">
        <f t="shared" si="317"/>
        <v>0</v>
      </c>
      <c r="CI157" t="b">
        <f t="shared" si="318"/>
        <v>0</v>
      </c>
      <c r="CJ157" t="b">
        <f t="shared" si="319"/>
        <v>0</v>
      </c>
      <c r="CK157" t="b">
        <f t="shared" si="320"/>
        <v>0</v>
      </c>
      <c r="CL157" t="b">
        <f t="shared" si="321"/>
        <v>0</v>
      </c>
      <c r="CM157">
        <f t="shared" si="322"/>
        <v>1</v>
      </c>
      <c r="CN157" t="b">
        <f t="shared" si="323"/>
        <v>0</v>
      </c>
      <c r="CO157" t="b">
        <f t="shared" si="324"/>
        <v>0</v>
      </c>
      <c r="CP157" t="b">
        <f t="shared" si="325"/>
        <v>0</v>
      </c>
      <c r="CQ157" t="b">
        <f t="shared" si="326"/>
        <v>0</v>
      </c>
      <c r="CR157" t="b">
        <f t="shared" si="327"/>
        <v>0</v>
      </c>
      <c r="CS157" t="b">
        <f t="shared" si="328"/>
        <v>0</v>
      </c>
      <c r="CT157" t="b">
        <f t="shared" si="329"/>
        <v>0</v>
      </c>
      <c r="CU157" t="b">
        <f t="shared" si="330"/>
        <v>0</v>
      </c>
      <c r="CV157">
        <f t="shared" si="331"/>
        <v>1</v>
      </c>
      <c r="CW157" t="b">
        <f t="shared" si="332"/>
        <v>0</v>
      </c>
      <c r="CX157" t="b">
        <f t="shared" si="333"/>
        <v>0</v>
      </c>
      <c r="CY157" t="b">
        <f t="shared" si="334"/>
        <v>0</v>
      </c>
      <c r="CZ157" t="b">
        <f t="shared" si="335"/>
        <v>0</v>
      </c>
      <c r="DA157" t="b">
        <f t="shared" si="336"/>
        <v>0</v>
      </c>
      <c r="DB157" t="b">
        <f t="shared" si="337"/>
        <v>0</v>
      </c>
      <c r="DC157">
        <f t="shared" si="338"/>
        <v>1</v>
      </c>
      <c r="DD157" t="b">
        <f t="shared" si="339"/>
        <v>0</v>
      </c>
      <c r="DE157" t="b">
        <f t="shared" si="340"/>
        <v>0</v>
      </c>
      <c r="DF157" t="b">
        <f t="shared" si="341"/>
        <v>0</v>
      </c>
      <c r="DG157" t="b">
        <f t="shared" si="342"/>
        <v>0</v>
      </c>
      <c r="DH157" t="b">
        <f t="shared" si="343"/>
        <v>0</v>
      </c>
      <c r="DI157" t="b">
        <f t="shared" si="344"/>
        <v>0</v>
      </c>
      <c r="DJ157" t="b">
        <f t="shared" si="345"/>
        <v>0</v>
      </c>
      <c r="DK157" t="b">
        <f t="shared" si="346"/>
        <v>0</v>
      </c>
      <c r="DL157" t="b">
        <f t="shared" si="347"/>
        <v>0</v>
      </c>
      <c r="DM157" t="b">
        <f t="shared" si="348"/>
        <v>0</v>
      </c>
      <c r="DN157" t="b">
        <f t="shared" si="349"/>
        <v>0</v>
      </c>
      <c r="DO157" t="b">
        <f t="shared" si="350"/>
        <v>0</v>
      </c>
      <c r="DP157" t="b">
        <f t="shared" si="351"/>
        <v>0</v>
      </c>
      <c r="DQ157" t="b">
        <f t="shared" si="352"/>
        <v>0</v>
      </c>
      <c r="DR157" t="b">
        <f t="shared" si="353"/>
        <v>0</v>
      </c>
      <c r="DS157" t="b">
        <f t="shared" si="354"/>
        <v>0</v>
      </c>
      <c r="DT157" t="b">
        <f t="shared" si="355"/>
        <v>0</v>
      </c>
      <c r="DU157" t="b">
        <f t="shared" si="356"/>
        <v>0</v>
      </c>
      <c r="DV157" t="b">
        <f t="shared" si="357"/>
        <v>0</v>
      </c>
      <c r="DW157" t="b">
        <f t="shared" si="358"/>
        <v>0</v>
      </c>
      <c r="DX157" t="b">
        <f t="shared" si="359"/>
        <v>0</v>
      </c>
      <c r="DY157" t="b">
        <f t="shared" si="360"/>
        <v>0</v>
      </c>
      <c r="DZ157" t="b">
        <f t="shared" si="361"/>
        <v>0</v>
      </c>
      <c r="EA157" t="b">
        <f t="shared" si="362"/>
        <v>0</v>
      </c>
      <c r="EB157" t="b">
        <f t="shared" si="363"/>
        <v>0</v>
      </c>
      <c r="EC157" t="b">
        <f t="shared" si="364"/>
        <v>0</v>
      </c>
      <c r="ED157" t="b">
        <f t="shared" si="365"/>
        <v>0</v>
      </c>
      <c r="EE157" t="b">
        <f t="shared" si="366"/>
        <v>0</v>
      </c>
      <c r="EF157">
        <f t="shared" si="367"/>
        <v>1</v>
      </c>
      <c r="EG157" t="b">
        <f t="shared" si="368"/>
        <v>0</v>
      </c>
      <c r="EH157" t="b">
        <f t="shared" si="369"/>
        <v>0</v>
      </c>
      <c r="EI157" t="b">
        <f t="shared" si="370"/>
        <v>0</v>
      </c>
      <c r="EJ157" t="b">
        <f t="shared" si="371"/>
        <v>0</v>
      </c>
      <c r="EK157" t="b">
        <f t="shared" si="372"/>
        <v>0</v>
      </c>
    </row>
    <row r="158" spans="1:141">
      <c r="A158" t="s">
        <v>901</v>
      </c>
      <c r="B158" t="s">
        <v>901</v>
      </c>
      <c r="C158" t="s">
        <v>902</v>
      </c>
      <c r="D158" s="1">
        <v>42618</v>
      </c>
      <c r="E158" s="2">
        <v>43371.065925925926</v>
      </c>
      <c r="F158" s="2">
        <v>43371.065925925926</v>
      </c>
      <c r="G158">
        <v>7687679</v>
      </c>
      <c r="H158" t="s">
        <v>903</v>
      </c>
      <c r="I158" s="10" t="s">
        <v>414</v>
      </c>
      <c r="J158" t="s">
        <v>904</v>
      </c>
      <c r="K158" s="8" t="b">
        <v>1</v>
      </c>
      <c r="L158" s="10" t="b">
        <v>0</v>
      </c>
      <c r="M158" s="12" t="b">
        <v>0</v>
      </c>
      <c r="N158" t="b">
        <v>0</v>
      </c>
      <c r="O158" t="b">
        <v>1</v>
      </c>
      <c r="P158" t="b">
        <v>0</v>
      </c>
      <c r="Q158">
        <f t="shared" si="249"/>
        <v>2</v>
      </c>
      <c r="R158">
        <f t="shared" si="250"/>
        <v>9</v>
      </c>
      <c r="S158" t="e">
        <f t="shared" ca="1" si="280"/>
        <v>#NAME?</v>
      </c>
      <c r="T158" t="e">
        <f t="shared" ca="1" si="251"/>
        <v>#NAME?</v>
      </c>
      <c r="U158" s="4">
        <f t="shared" si="252"/>
        <v>753.06592592592642</v>
      </c>
      <c r="V158" s="4">
        <f t="shared" si="253"/>
        <v>25.102197530864213</v>
      </c>
      <c r="W158" s="4">
        <f t="shared" si="254"/>
        <v>1</v>
      </c>
      <c r="X158" s="4">
        <f t="shared" si="255"/>
        <v>0</v>
      </c>
      <c r="Y158" s="4">
        <f t="shared" si="256"/>
        <v>0</v>
      </c>
      <c r="Z158" s="4">
        <f t="shared" si="257"/>
        <v>0</v>
      </c>
      <c r="AA158" s="4">
        <f t="shared" si="258"/>
        <v>1</v>
      </c>
      <c r="AB158" s="4">
        <f t="shared" si="259"/>
        <v>0</v>
      </c>
      <c r="AC158" s="4"/>
      <c r="AD158" s="4" t="b">
        <f t="shared" si="260"/>
        <v>0</v>
      </c>
      <c r="AE158" s="4" t="b">
        <f t="shared" si="261"/>
        <v>0</v>
      </c>
      <c r="AF158" s="4" t="b">
        <f t="shared" si="262"/>
        <v>0</v>
      </c>
      <c r="AG158" t="b">
        <f t="shared" si="263"/>
        <v>0</v>
      </c>
      <c r="AH158" t="b">
        <f t="shared" si="264"/>
        <v>0</v>
      </c>
      <c r="AI158" t="b">
        <f t="shared" si="265"/>
        <v>0</v>
      </c>
      <c r="AJ158" t="b">
        <f t="shared" si="266"/>
        <v>0</v>
      </c>
      <c r="AK158" t="b">
        <f t="shared" si="267"/>
        <v>0</v>
      </c>
      <c r="AL158" t="b">
        <f t="shared" si="268"/>
        <v>0</v>
      </c>
      <c r="AM158" t="b">
        <f t="shared" si="269"/>
        <v>0</v>
      </c>
      <c r="AN158" t="b">
        <f t="shared" si="270"/>
        <v>0</v>
      </c>
      <c r="AO158" t="b">
        <f t="shared" si="271"/>
        <v>0</v>
      </c>
      <c r="AP158" t="b">
        <f t="shared" si="272"/>
        <v>0</v>
      </c>
      <c r="AQ158" t="b">
        <f t="shared" si="273"/>
        <v>0</v>
      </c>
      <c r="AR158" t="b">
        <f t="shared" si="274"/>
        <v>0</v>
      </c>
      <c r="AS158" t="b">
        <f t="shared" si="275"/>
        <v>0</v>
      </c>
      <c r="AT158" t="b">
        <f t="shared" si="276"/>
        <v>0</v>
      </c>
      <c r="AU158" t="b">
        <f t="shared" si="277"/>
        <v>0</v>
      </c>
      <c r="AV158" t="b">
        <f t="shared" si="278"/>
        <v>0</v>
      </c>
      <c r="AW158" t="b">
        <f t="shared" si="279"/>
        <v>0</v>
      </c>
      <c r="AX158" t="b">
        <f t="shared" si="281"/>
        <v>0</v>
      </c>
      <c r="AY158" t="b">
        <f t="shared" si="282"/>
        <v>0</v>
      </c>
      <c r="AZ158" t="b">
        <f t="shared" si="283"/>
        <v>0</v>
      </c>
      <c r="BA158" t="b">
        <f t="shared" si="284"/>
        <v>0</v>
      </c>
      <c r="BB158" t="b">
        <f t="shared" si="285"/>
        <v>0</v>
      </c>
      <c r="BC158" t="b">
        <f t="shared" si="286"/>
        <v>0</v>
      </c>
      <c r="BD158" t="b">
        <f t="shared" si="287"/>
        <v>0</v>
      </c>
      <c r="BE158" t="b">
        <f t="shared" si="288"/>
        <v>0</v>
      </c>
      <c r="BF158" t="b">
        <f t="shared" si="289"/>
        <v>0</v>
      </c>
      <c r="BG158" t="b">
        <f t="shared" si="290"/>
        <v>0</v>
      </c>
      <c r="BH158" t="b">
        <f t="shared" si="291"/>
        <v>0</v>
      </c>
      <c r="BI158">
        <f t="shared" si="292"/>
        <v>1</v>
      </c>
      <c r="BJ158" t="b">
        <f t="shared" si="293"/>
        <v>0</v>
      </c>
      <c r="BK158" t="b">
        <f t="shared" si="294"/>
        <v>0</v>
      </c>
      <c r="BL158" t="b">
        <f t="shared" si="295"/>
        <v>0</v>
      </c>
      <c r="BM158" t="b">
        <f t="shared" si="296"/>
        <v>0</v>
      </c>
      <c r="BN158" t="b">
        <f t="shared" si="297"/>
        <v>0</v>
      </c>
      <c r="BO158" t="b">
        <f t="shared" si="298"/>
        <v>0</v>
      </c>
      <c r="BP158" t="b">
        <f t="shared" si="299"/>
        <v>0</v>
      </c>
      <c r="BQ158" t="b">
        <f t="shared" si="300"/>
        <v>0</v>
      </c>
      <c r="BR158" t="b">
        <f t="shared" si="301"/>
        <v>0</v>
      </c>
      <c r="BS158" t="b">
        <f t="shared" si="302"/>
        <v>0</v>
      </c>
      <c r="BT158" t="b">
        <f t="shared" si="303"/>
        <v>0</v>
      </c>
      <c r="BU158" t="b">
        <f t="shared" si="304"/>
        <v>0</v>
      </c>
      <c r="BV158" t="b">
        <f t="shared" si="305"/>
        <v>0</v>
      </c>
      <c r="BW158" t="b">
        <f t="shared" si="306"/>
        <v>0</v>
      </c>
      <c r="BX158" t="b">
        <f t="shared" si="307"/>
        <v>0</v>
      </c>
      <c r="BY158" t="b">
        <f t="shared" si="308"/>
        <v>0</v>
      </c>
      <c r="BZ158" t="b">
        <f t="shared" si="309"/>
        <v>0</v>
      </c>
      <c r="CA158" t="b">
        <f t="shared" si="310"/>
        <v>0</v>
      </c>
      <c r="CB158" t="b">
        <f t="shared" si="311"/>
        <v>0</v>
      </c>
      <c r="CC158" t="b">
        <f t="shared" si="312"/>
        <v>0</v>
      </c>
      <c r="CD158" t="b">
        <f t="shared" si="313"/>
        <v>0</v>
      </c>
      <c r="CE158">
        <f t="shared" si="314"/>
        <v>1</v>
      </c>
      <c r="CF158" t="b">
        <f t="shared" si="315"/>
        <v>0</v>
      </c>
      <c r="CG158" t="b">
        <f t="shared" si="316"/>
        <v>0</v>
      </c>
      <c r="CH158" t="b">
        <f t="shared" si="317"/>
        <v>0</v>
      </c>
      <c r="CI158" t="b">
        <f t="shared" si="318"/>
        <v>0</v>
      </c>
      <c r="CJ158" t="b">
        <f t="shared" si="319"/>
        <v>0</v>
      </c>
      <c r="CK158" t="b">
        <f t="shared" si="320"/>
        <v>0</v>
      </c>
      <c r="CL158" t="b">
        <f t="shared" si="321"/>
        <v>0</v>
      </c>
      <c r="CM158">
        <f t="shared" si="322"/>
        <v>1</v>
      </c>
      <c r="CN158" t="b">
        <f t="shared" si="323"/>
        <v>0</v>
      </c>
      <c r="CO158" t="b">
        <f t="shared" si="324"/>
        <v>0</v>
      </c>
      <c r="CP158" t="b">
        <f t="shared" si="325"/>
        <v>0</v>
      </c>
      <c r="CQ158" t="b">
        <f t="shared" si="326"/>
        <v>0</v>
      </c>
      <c r="CR158" t="b">
        <f t="shared" si="327"/>
        <v>0</v>
      </c>
      <c r="CS158" t="b">
        <f t="shared" si="328"/>
        <v>0</v>
      </c>
      <c r="CT158" t="b">
        <f t="shared" si="329"/>
        <v>0</v>
      </c>
      <c r="CU158" t="b">
        <f t="shared" si="330"/>
        <v>0</v>
      </c>
      <c r="CV158" t="b">
        <f t="shared" si="331"/>
        <v>0</v>
      </c>
      <c r="CW158" t="b">
        <f t="shared" si="332"/>
        <v>0</v>
      </c>
      <c r="CX158" t="b">
        <f t="shared" si="333"/>
        <v>0</v>
      </c>
      <c r="CY158" t="b">
        <f t="shared" si="334"/>
        <v>0</v>
      </c>
      <c r="CZ158" t="b">
        <f t="shared" si="335"/>
        <v>0</v>
      </c>
      <c r="DA158" t="b">
        <f t="shared" si="336"/>
        <v>0</v>
      </c>
      <c r="DB158" t="b">
        <f t="shared" si="337"/>
        <v>0</v>
      </c>
      <c r="DC158" t="b">
        <f t="shared" si="338"/>
        <v>0</v>
      </c>
      <c r="DD158" t="b">
        <f t="shared" si="339"/>
        <v>0</v>
      </c>
      <c r="DE158" t="b">
        <f t="shared" si="340"/>
        <v>0</v>
      </c>
      <c r="DF158" t="b">
        <f t="shared" si="341"/>
        <v>0</v>
      </c>
      <c r="DG158" t="b">
        <f t="shared" si="342"/>
        <v>0</v>
      </c>
      <c r="DH158" t="b">
        <f t="shared" si="343"/>
        <v>0</v>
      </c>
      <c r="DI158" t="b">
        <f t="shared" si="344"/>
        <v>0</v>
      </c>
      <c r="DJ158" t="b">
        <f t="shared" si="345"/>
        <v>0</v>
      </c>
      <c r="DK158" t="b">
        <f t="shared" si="346"/>
        <v>0</v>
      </c>
      <c r="DL158" t="b">
        <f t="shared" si="347"/>
        <v>0</v>
      </c>
      <c r="DM158" t="b">
        <f t="shared" si="348"/>
        <v>0</v>
      </c>
      <c r="DN158" t="b">
        <f t="shared" si="349"/>
        <v>0</v>
      </c>
      <c r="DO158" t="b">
        <f t="shared" si="350"/>
        <v>0</v>
      </c>
      <c r="DP158" t="b">
        <f t="shared" si="351"/>
        <v>0</v>
      </c>
      <c r="DQ158" t="b">
        <f t="shared" si="352"/>
        <v>0</v>
      </c>
      <c r="DR158" t="b">
        <f t="shared" si="353"/>
        <v>0</v>
      </c>
      <c r="DS158" t="b">
        <f t="shared" si="354"/>
        <v>0</v>
      </c>
      <c r="DT158" t="b">
        <f t="shared" si="355"/>
        <v>0</v>
      </c>
      <c r="DU158" t="b">
        <f t="shared" si="356"/>
        <v>0</v>
      </c>
      <c r="DV158" t="b">
        <f t="shared" si="357"/>
        <v>0</v>
      </c>
      <c r="DW158" t="b">
        <f t="shared" si="358"/>
        <v>0</v>
      </c>
      <c r="DX158" t="b">
        <f t="shared" si="359"/>
        <v>0</v>
      </c>
      <c r="DY158" t="b">
        <f t="shared" si="360"/>
        <v>0</v>
      </c>
      <c r="DZ158" t="b">
        <f t="shared" si="361"/>
        <v>0</v>
      </c>
      <c r="EA158" t="b">
        <f t="shared" si="362"/>
        <v>0</v>
      </c>
      <c r="EB158" t="b">
        <f t="shared" si="363"/>
        <v>0</v>
      </c>
      <c r="EC158" t="b">
        <f t="shared" si="364"/>
        <v>0</v>
      </c>
      <c r="ED158" t="b">
        <f t="shared" si="365"/>
        <v>0</v>
      </c>
      <c r="EE158" t="b">
        <f t="shared" si="366"/>
        <v>0</v>
      </c>
      <c r="EF158" t="b">
        <f t="shared" si="367"/>
        <v>0</v>
      </c>
      <c r="EG158" t="b">
        <f t="shared" si="368"/>
        <v>0</v>
      </c>
      <c r="EH158" t="b">
        <f t="shared" si="369"/>
        <v>0</v>
      </c>
      <c r="EI158" t="b">
        <f t="shared" si="370"/>
        <v>0</v>
      </c>
      <c r="EJ158" t="b">
        <f t="shared" si="371"/>
        <v>0</v>
      </c>
      <c r="EK158" t="b">
        <f t="shared" si="372"/>
        <v>0</v>
      </c>
    </row>
    <row r="159" spans="1:141">
      <c r="A159" t="s">
        <v>905</v>
      </c>
      <c r="B159" t="s">
        <v>905</v>
      </c>
      <c r="C159" t="s">
        <v>906</v>
      </c>
      <c r="D159" s="1">
        <v>41091</v>
      </c>
      <c r="E159" s="2">
        <v>43014.961006944446</v>
      </c>
      <c r="F159" s="2">
        <v>43014.961006944446</v>
      </c>
      <c r="G159">
        <v>17551044</v>
      </c>
      <c r="H159" t="s">
        <v>907</v>
      </c>
      <c r="I159" s="10" t="s">
        <v>908</v>
      </c>
      <c r="J159" t="s">
        <v>156</v>
      </c>
      <c r="K159" s="8" t="b">
        <v>1</v>
      </c>
      <c r="L159" s="10" t="b">
        <v>0</v>
      </c>
      <c r="M159" s="12" t="b">
        <v>0</v>
      </c>
      <c r="N159" t="b">
        <v>0</v>
      </c>
      <c r="O159" t="b">
        <v>0</v>
      </c>
      <c r="P159" t="b">
        <v>0</v>
      </c>
      <c r="Q159">
        <f t="shared" si="249"/>
        <v>1</v>
      </c>
      <c r="R159">
        <f t="shared" si="250"/>
        <v>7</v>
      </c>
      <c r="S159" t="e">
        <f t="shared" ca="1" si="280"/>
        <v>#NAME?</v>
      </c>
      <c r="T159" t="e">
        <f t="shared" ca="1" si="251"/>
        <v>#NAME?</v>
      </c>
      <c r="U159" s="4">
        <f t="shared" si="252"/>
        <v>1923.9610069444461</v>
      </c>
      <c r="V159" s="4">
        <f t="shared" si="253"/>
        <v>64.132033564814876</v>
      </c>
      <c r="W159" s="4">
        <f t="shared" si="254"/>
        <v>1</v>
      </c>
      <c r="X159" s="4">
        <f t="shared" si="255"/>
        <v>0</v>
      </c>
      <c r="Y159" s="4">
        <f t="shared" si="256"/>
        <v>0</v>
      </c>
      <c r="Z159" s="4">
        <f t="shared" si="257"/>
        <v>0</v>
      </c>
      <c r="AA159" s="4">
        <f t="shared" si="258"/>
        <v>0</v>
      </c>
      <c r="AB159" s="4">
        <f t="shared" si="259"/>
        <v>0</v>
      </c>
      <c r="AC159" s="4"/>
      <c r="AD159" s="4" t="b">
        <f t="shared" si="260"/>
        <v>0</v>
      </c>
      <c r="AE159" s="4" t="b">
        <f t="shared" si="261"/>
        <v>0</v>
      </c>
      <c r="AF159" s="4" t="b">
        <f t="shared" si="262"/>
        <v>0</v>
      </c>
      <c r="AG159" t="b">
        <f t="shared" si="263"/>
        <v>0</v>
      </c>
      <c r="AH159" t="b">
        <f t="shared" si="264"/>
        <v>0</v>
      </c>
      <c r="AI159" t="b">
        <f t="shared" si="265"/>
        <v>0</v>
      </c>
      <c r="AJ159" t="b">
        <f t="shared" si="266"/>
        <v>0</v>
      </c>
      <c r="AK159" t="b">
        <f t="shared" si="267"/>
        <v>0</v>
      </c>
      <c r="AL159" t="b">
        <f t="shared" si="268"/>
        <v>0</v>
      </c>
      <c r="AM159" t="b">
        <f t="shared" si="269"/>
        <v>0</v>
      </c>
      <c r="AN159" t="b">
        <f t="shared" si="270"/>
        <v>0</v>
      </c>
      <c r="AO159" t="b">
        <f t="shared" si="271"/>
        <v>0</v>
      </c>
      <c r="AP159" t="b">
        <f t="shared" si="272"/>
        <v>0</v>
      </c>
      <c r="AQ159" t="b">
        <f t="shared" si="273"/>
        <v>0</v>
      </c>
      <c r="AR159" t="b">
        <f t="shared" si="274"/>
        <v>0</v>
      </c>
      <c r="AS159" t="b">
        <f t="shared" si="275"/>
        <v>0</v>
      </c>
      <c r="AT159" t="b">
        <f t="shared" si="276"/>
        <v>0</v>
      </c>
      <c r="AU159" t="b">
        <f t="shared" si="277"/>
        <v>0</v>
      </c>
      <c r="AV159" t="b">
        <f t="shared" si="278"/>
        <v>0</v>
      </c>
      <c r="AW159" t="b">
        <f t="shared" si="279"/>
        <v>0</v>
      </c>
      <c r="AX159" t="b">
        <f t="shared" si="281"/>
        <v>0</v>
      </c>
      <c r="AY159" t="b">
        <f t="shared" si="282"/>
        <v>0</v>
      </c>
      <c r="AZ159" t="b">
        <f t="shared" si="283"/>
        <v>0</v>
      </c>
      <c r="BA159" t="b">
        <f t="shared" si="284"/>
        <v>0</v>
      </c>
      <c r="BB159" t="b">
        <f t="shared" si="285"/>
        <v>0</v>
      </c>
      <c r="BC159" t="b">
        <f t="shared" si="286"/>
        <v>0</v>
      </c>
      <c r="BD159" t="b">
        <f t="shared" si="287"/>
        <v>0</v>
      </c>
      <c r="BE159" t="b">
        <f t="shared" si="288"/>
        <v>0</v>
      </c>
      <c r="BF159" t="b">
        <f t="shared" si="289"/>
        <v>0</v>
      </c>
      <c r="BG159" t="b">
        <f t="shared" si="290"/>
        <v>0</v>
      </c>
      <c r="BH159" t="b">
        <f t="shared" si="291"/>
        <v>0</v>
      </c>
      <c r="BI159">
        <f t="shared" si="292"/>
        <v>1</v>
      </c>
      <c r="BJ159" t="b">
        <f t="shared" si="293"/>
        <v>0</v>
      </c>
      <c r="BK159" t="b">
        <f t="shared" si="294"/>
        <v>0</v>
      </c>
      <c r="BL159" t="b">
        <f t="shared" si="295"/>
        <v>0</v>
      </c>
      <c r="BM159" t="b">
        <f t="shared" si="296"/>
        <v>0</v>
      </c>
      <c r="BN159" t="b">
        <f t="shared" si="297"/>
        <v>0</v>
      </c>
      <c r="BO159" t="b">
        <f t="shared" si="298"/>
        <v>0</v>
      </c>
      <c r="BP159" t="b">
        <f t="shared" si="299"/>
        <v>0</v>
      </c>
      <c r="BQ159" t="b">
        <f t="shared" si="300"/>
        <v>0</v>
      </c>
      <c r="BR159" t="b">
        <f t="shared" si="301"/>
        <v>0</v>
      </c>
      <c r="BS159" t="b">
        <f t="shared" si="302"/>
        <v>0</v>
      </c>
      <c r="BT159" t="b">
        <f t="shared" si="303"/>
        <v>0</v>
      </c>
      <c r="BU159" t="b">
        <f t="shared" si="304"/>
        <v>0</v>
      </c>
      <c r="BV159" t="b">
        <f t="shared" si="305"/>
        <v>0</v>
      </c>
      <c r="BW159" t="b">
        <f t="shared" si="306"/>
        <v>0</v>
      </c>
      <c r="BX159" t="b">
        <f t="shared" si="307"/>
        <v>0</v>
      </c>
      <c r="BY159" t="b">
        <f t="shared" si="308"/>
        <v>0</v>
      </c>
      <c r="BZ159" t="b">
        <f t="shared" si="309"/>
        <v>0</v>
      </c>
      <c r="CA159" t="b">
        <f t="shared" si="310"/>
        <v>0</v>
      </c>
      <c r="CB159" t="b">
        <f t="shared" si="311"/>
        <v>0</v>
      </c>
      <c r="CC159" t="b">
        <f t="shared" si="312"/>
        <v>0</v>
      </c>
      <c r="CD159" t="b">
        <f t="shared" si="313"/>
        <v>0</v>
      </c>
      <c r="CE159" t="b">
        <f t="shared" si="314"/>
        <v>0</v>
      </c>
      <c r="CF159" t="b">
        <f t="shared" si="315"/>
        <v>0</v>
      </c>
      <c r="CG159" t="b">
        <f t="shared" si="316"/>
        <v>0</v>
      </c>
      <c r="CH159" t="b">
        <f t="shared" si="317"/>
        <v>0</v>
      </c>
      <c r="CI159" t="b">
        <f t="shared" si="318"/>
        <v>0</v>
      </c>
      <c r="CJ159" t="b">
        <f t="shared" si="319"/>
        <v>0</v>
      </c>
      <c r="CK159" t="b">
        <f t="shared" si="320"/>
        <v>0</v>
      </c>
      <c r="CL159" t="b">
        <f t="shared" si="321"/>
        <v>0</v>
      </c>
      <c r="CM159" t="b">
        <f t="shared" si="322"/>
        <v>0</v>
      </c>
      <c r="CN159" t="b">
        <f t="shared" si="323"/>
        <v>0</v>
      </c>
      <c r="CO159" t="b">
        <f t="shared" si="324"/>
        <v>0</v>
      </c>
      <c r="CP159" t="b">
        <f t="shared" si="325"/>
        <v>0</v>
      </c>
      <c r="CQ159" t="b">
        <f t="shared" si="326"/>
        <v>0</v>
      </c>
      <c r="CR159" t="b">
        <f t="shared" si="327"/>
        <v>0</v>
      </c>
      <c r="CS159" t="b">
        <f t="shared" si="328"/>
        <v>0</v>
      </c>
      <c r="CT159" t="b">
        <f t="shared" si="329"/>
        <v>0</v>
      </c>
      <c r="CU159" t="b">
        <f t="shared" si="330"/>
        <v>0</v>
      </c>
      <c r="CV159">
        <f t="shared" si="331"/>
        <v>1</v>
      </c>
      <c r="CW159" t="b">
        <f t="shared" si="332"/>
        <v>0</v>
      </c>
      <c r="CX159" t="b">
        <f t="shared" si="333"/>
        <v>0</v>
      </c>
      <c r="CY159" t="b">
        <f t="shared" si="334"/>
        <v>0</v>
      </c>
      <c r="CZ159" t="b">
        <f t="shared" si="335"/>
        <v>0</v>
      </c>
      <c r="DA159" t="b">
        <f t="shared" si="336"/>
        <v>0</v>
      </c>
      <c r="DB159" t="b">
        <f t="shared" si="337"/>
        <v>0</v>
      </c>
      <c r="DC159" t="b">
        <f t="shared" si="338"/>
        <v>0</v>
      </c>
      <c r="DD159" t="b">
        <f t="shared" si="339"/>
        <v>0</v>
      </c>
      <c r="DE159" t="b">
        <f t="shared" si="340"/>
        <v>0</v>
      </c>
      <c r="DF159" t="b">
        <f t="shared" si="341"/>
        <v>0</v>
      </c>
      <c r="DG159" t="b">
        <f t="shared" si="342"/>
        <v>0</v>
      </c>
      <c r="DH159" t="b">
        <f t="shared" si="343"/>
        <v>0</v>
      </c>
      <c r="DI159" t="b">
        <f t="shared" si="344"/>
        <v>0</v>
      </c>
      <c r="DJ159" t="b">
        <f t="shared" si="345"/>
        <v>0</v>
      </c>
      <c r="DK159" t="b">
        <f t="shared" si="346"/>
        <v>0</v>
      </c>
      <c r="DL159" t="b">
        <f t="shared" si="347"/>
        <v>0</v>
      </c>
      <c r="DM159" t="b">
        <f t="shared" si="348"/>
        <v>0</v>
      </c>
      <c r="DN159" t="b">
        <f t="shared" si="349"/>
        <v>0</v>
      </c>
      <c r="DO159" t="b">
        <f t="shared" si="350"/>
        <v>0</v>
      </c>
      <c r="DP159" t="b">
        <f t="shared" si="351"/>
        <v>0</v>
      </c>
      <c r="DQ159" t="b">
        <f t="shared" si="352"/>
        <v>0</v>
      </c>
      <c r="DR159" t="b">
        <f t="shared" si="353"/>
        <v>0</v>
      </c>
      <c r="DS159" t="b">
        <f t="shared" si="354"/>
        <v>0</v>
      </c>
      <c r="DT159" t="b">
        <f t="shared" si="355"/>
        <v>0</v>
      </c>
      <c r="DU159" t="b">
        <f t="shared" si="356"/>
        <v>0</v>
      </c>
      <c r="DV159" t="b">
        <f t="shared" si="357"/>
        <v>0</v>
      </c>
      <c r="DW159" t="b">
        <f t="shared" si="358"/>
        <v>0</v>
      </c>
      <c r="DX159" t="b">
        <f t="shared" si="359"/>
        <v>0</v>
      </c>
      <c r="DY159" t="b">
        <f t="shared" si="360"/>
        <v>0</v>
      </c>
      <c r="DZ159" t="b">
        <f t="shared" si="361"/>
        <v>0</v>
      </c>
      <c r="EA159" t="b">
        <f t="shared" si="362"/>
        <v>0</v>
      </c>
      <c r="EB159" t="b">
        <f t="shared" si="363"/>
        <v>0</v>
      </c>
      <c r="EC159" t="b">
        <f t="shared" si="364"/>
        <v>0</v>
      </c>
      <c r="ED159" t="b">
        <f t="shared" si="365"/>
        <v>0</v>
      </c>
      <c r="EE159" t="b">
        <f t="shared" si="366"/>
        <v>0</v>
      </c>
      <c r="EF159">
        <f t="shared" si="367"/>
        <v>1</v>
      </c>
      <c r="EG159" t="b">
        <f t="shared" si="368"/>
        <v>0</v>
      </c>
      <c r="EH159" t="b">
        <f t="shared" si="369"/>
        <v>0</v>
      </c>
      <c r="EI159" t="b">
        <f t="shared" si="370"/>
        <v>0</v>
      </c>
      <c r="EJ159" t="b">
        <f t="shared" si="371"/>
        <v>0</v>
      </c>
      <c r="EK159" t="b">
        <f t="shared" si="372"/>
        <v>0</v>
      </c>
    </row>
    <row r="160" spans="1:141">
      <c r="A160" t="s">
        <v>909</v>
      </c>
      <c r="B160" t="s">
        <v>910</v>
      </c>
      <c r="C160" t="s">
        <v>911</v>
      </c>
      <c r="D160" s="1">
        <v>40179</v>
      </c>
      <c r="E160" s="2">
        <v>44726.123449074075</v>
      </c>
      <c r="F160" s="2">
        <v>44726.205324074072</v>
      </c>
      <c r="G160">
        <v>783058</v>
      </c>
      <c r="H160" t="s">
        <v>912</v>
      </c>
      <c r="I160" s="10" t="s">
        <v>913</v>
      </c>
      <c r="J160" t="s">
        <v>156</v>
      </c>
      <c r="K160" s="8" t="b">
        <v>1</v>
      </c>
      <c r="L160" s="10" t="b">
        <v>0</v>
      </c>
      <c r="M160" s="12" t="b">
        <v>0</v>
      </c>
      <c r="N160" t="b">
        <v>0</v>
      </c>
      <c r="O160" t="b">
        <v>0</v>
      </c>
      <c r="P160" t="b">
        <v>0</v>
      </c>
      <c r="Q160">
        <f t="shared" si="249"/>
        <v>6</v>
      </c>
      <c r="R160">
        <f t="shared" si="250"/>
        <v>1</v>
      </c>
      <c r="S160" t="e">
        <f t="shared" ca="1" si="280"/>
        <v>#NAME?</v>
      </c>
      <c r="T160" t="e">
        <f t="shared" ca="1" si="251"/>
        <v>#NAME?</v>
      </c>
      <c r="U160" s="4">
        <f t="shared" si="252"/>
        <v>4547.1234490740753</v>
      </c>
      <c r="V160" s="4">
        <f t="shared" si="253"/>
        <v>151.57078163580252</v>
      </c>
      <c r="W160" s="4">
        <f t="shared" si="254"/>
        <v>1</v>
      </c>
      <c r="X160" s="4">
        <f t="shared" si="255"/>
        <v>0</v>
      </c>
      <c r="Y160" s="4">
        <f t="shared" si="256"/>
        <v>0</v>
      </c>
      <c r="Z160" s="4">
        <f t="shared" si="257"/>
        <v>0</v>
      </c>
      <c r="AA160" s="4">
        <f t="shared" si="258"/>
        <v>0</v>
      </c>
      <c r="AB160" s="4">
        <f t="shared" si="259"/>
        <v>0</v>
      </c>
      <c r="AC160" s="4"/>
      <c r="AD160" s="4" t="b">
        <f t="shared" si="260"/>
        <v>0</v>
      </c>
      <c r="AE160" s="4" t="b">
        <f t="shared" si="261"/>
        <v>0</v>
      </c>
      <c r="AF160" s="4" t="b">
        <f t="shared" si="262"/>
        <v>0</v>
      </c>
      <c r="AG160" t="b">
        <f t="shared" si="263"/>
        <v>0</v>
      </c>
      <c r="AH160" t="b">
        <f t="shared" si="264"/>
        <v>0</v>
      </c>
      <c r="AI160" t="b">
        <f t="shared" si="265"/>
        <v>0</v>
      </c>
      <c r="AJ160" t="b">
        <f t="shared" si="266"/>
        <v>0</v>
      </c>
      <c r="AK160" t="b">
        <f t="shared" si="267"/>
        <v>0</v>
      </c>
      <c r="AL160" t="b">
        <f t="shared" si="268"/>
        <v>0</v>
      </c>
      <c r="AM160" t="b">
        <f t="shared" si="269"/>
        <v>0</v>
      </c>
      <c r="AN160" t="b">
        <f t="shared" si="270"/>
        <v>0</v>
      </c>
      <c r="AO160" t="b">
        <f t="shared" si="271"/>
        <v>0</v>
      </c>
      <c r="AP160" t="b">
        <f t="shared" si="272"/>
        <v>0</v>
      </c>
      <c r="AQ160" t="b">
        <f t="shared" si="273"/>
        <v>0</v>
      </c>
      <c r="AR160" t="b">
        <f t="shared" si="274"/>
        <v>0</v>
      </c>
      <c r="AS160" t="b">
        <f t="shared" si="275"/>
        <v>0</v>
      </c>
      <c r="AT160" t="b">
        <f t="shared" si="276"/>
        <v>0</v>
      </c>
      <c r="AU160" t="b">
        <f t="shared" si="277"/>
        <v>0</v>
      </c>
      <c r="AV160" t="b">
        <f t="shared" si="278"/>
        <v>0</v>
      </c>
      <c r="AW160" t="b">
        <f t="shared" si="279"/>
        <v>0</v>
      </c>
      <c r="AX160" t="b">
        <f t="shared" si="281"/>
        <v>0</v>
      </c>
      <c r="AY160" t="b">
        <f t="shared" si="282"/>
        <v>0</v>
      </c>
      <c r="AZ160" t="b">
        <f t="shared" si="283"/>
        <v>0</v>
      </c>
      <c r="BA160" t="b">
        <f t="shared" si="284"/>
        <v>0</v>
      </c>
      <c r="BB160" t="b">
        <f t="shared" si="285"/>
        <v>0</v>
      </c>
      <c r="BC160" t="b">
        <f t="shared" si="286"/>
        <v>0</v>
      </c>
      <c r="BD160" t="b">
        <f t="shared" si="287"/>
        <v>0</v>
      </c>
      <c r="BE160" t="b">
        <f t="shared" si="288"/>
        <v>0</v>
      </c>
      <c r="BF160" t="b">
        <f t="shared" si="289"/>
        <v>0</v>
      </c>
      <c r="BG160" t="b">
        <f t="shared" si="290"/>
        <v>0</v>
      </c>
      <c r="BH160" t="b">
        <f t="shared" si="291"/>
        <v>0</v>
      </c>
      <c r="BI160">
        <f t="shared" si="292"/>
        <v>1</v>
      </c>
      <c r="BJ160" t="b">
        <f t="shared" si="293"/>
        <v>0</v>
      </c>
      <c r="BK160" t="b">
        <f t="shared" si="294"/>
        <v>0</v>
      </c>
      <c r="BL160" t="b">
        <f t="shared" si="295"/>
        <v>0</v>
      </c>
      <c r="BM160" t="b">
        <f t="shared" si="296"/>
        <v>0</v>
      </c>
      <c r="BN160" t="b">
        <f t="shared" si="297"/>
        <v>0</v>
      </c>
      <c r="BO160" t="b">
        <f t="shared" si="298"/>
        <v>0</v>
      </c>
      <c r="BP160" t="b">
        <f t="shared" si="299"/>
        <v>0</v>
      </c>
      <c r="BQ160" t="b">
        <f t="shared" si="300"/>
        <v>0</v>
      </c>
      <c r="BR160" t="b">
        <f t="shared" si="301"/>
        <v>0</v>
      </c>
      <c r="BS160" t="b">
        <f t="shared" si="302"/>
        <v>0</v>
      </c>
      <c r="BT160" t="b">
        <f t="shared" si="303"/>
        <v>0</v>
      </c>
      <c r="BU160" t="b">
        <f t="shared" si="304"/>
        <v>0</v>
      </c>
      <c r="BV160" t="b">
        <f t="shared" si="305"/>
        <v>0</v>
      </c>
      <c r="BW160" t="b">
        <f t="shared" si="306"/>
        <v>0</v>
      </c>
      <c r="BX160" t="b">
        <f t="shared" si="307"/>
        <v>0</v>
      </c>
      <c r="BY160" t="b">
        <f t="shared" si="308"/>
        <v>0</v>
      </c>
      <c r="BZ160" t="b">
        <f t="shared" si="309"/>
        <v>0</v>
      </c>
      <c r="CA160" t="b">
        <f t="shared" si="310"/>
        <v>0</v>
      </c>
      <c r="CB160" t="b">
        <f t="shared" si="311"/>
        <v>0</v>
      </c>
      <c r="CC160" t="b">
        <f t="shared" si="312"/>
        <v>0</v>
      </c>
      <c r="CD160" t="b">
        <f t="shared" si="313"/>
        <v>0</v>
      </c>
      <c r="CE160" t="b">
        <f t="shared" si="314"/>
        <v>0</v>
      </c>
      <c r="CF160" t="b">
        <f t="shared" si="315"/>
        <v>0</v>
      </c>
      <c r="CG160" t="b">
        <f t="shared" si="316"/>
        <v>0</v>
      </c>
      <c r="CH160" t="b">
        <f t="shared" si="317"/>
        <v>0</v>
      </c>
      <c r="CI160" t="b">
        <f t="shared" si="318"/>
        <v>0</v>
      </c>
      <c r="CJ160" t="b">
        <f t="shared" si="319"/>
        <v>0</v>
      </c>
      <c r="CK160" t="b">
        <f t="shared" si="320"/>
        <v>0</v>
      </c>
      <c r="CL160" t="b">
        <f t="shared" si="321"/>
        <v>0</v>
      </c>
      <c r="CM160" t="b">
        <f t="shared" si="322"/>
        <v>0</v>
      </c>
      <c r="CN160" t="b">
        <f t="shared" si="323"/>
        <v>0</v>
      </c>
      <c r="CO160" t="b">
        <f t="shared" si="324"/>
        <v>0</v>
      </c>
      <c r="CP160" t="b">
        <f t="shared" si="325"/>
        <v>0</v>
      </c>
      <c r="CQ160" t="b">
        <f t="shared" si="326"/>
        <v>0</v>
      </c>
      <c r="CR160" t="b">
        <f t="shared" si="327"/>
        <v>0</v>
      </c>
      <c r="CS160" t="b">
        <f t="shared" si="328"/>
        <v>0</v>
      </c>
      <c r="CT160" t="b">
        <f t="shared" si="329"/>
        <v>0</v>
      </c>
      <c r="CU160" t="b">
        <f t="shared" si="330"/>
        <v>0</v>
      </c>
      <c r="CV160">
        <f t="shared" si="331"/>
        <v>1</v>
      </c>
      <c r="CW160" t="b">
        <f t="shared" si="332"/>
        <v>0</v>
      </c>
      <c r="CX160" t="b">
        <f t="shared" si="333"/>
        <v>0</v>
      </c>
      <c r="CY160" t="b">
        <f t="shared" si="334"/>
        <v>0</v>
      </c>
      <c r="CZ160" t="b">
        <f t="shared" si="335"/>
        <v>0</v>
      </c>
      <c r="DA160" t="b">
        <f t="shared" si="336"/>
        <v>0</v>
      </c>
      <c r="DB160" t="b">
        <f t="shared" si="337"/>
        <v>0</v>
      </c>
      <c r="DC160" t="b">
        <f t="shared" si="338"/>
        <v>0</v>
      </c>
      <c r="DD160" t="b">
        <f t="shared" si="339"/>
        <v>0</v>
      </c>
      <c r="DE160" t="b">
        <f t="shared" si="340"/>
        <v>0</v>
      </c>
      <c r="DF160" t="b">
        <f t="shared" si="341"/>
        <v>0</v>
      </c>
      <c r="DG160" t="b">
        <f t="shared" si="342"/>
        <v>0</v>
      </c>
      <c r="DH160" t="b">
        <f t="shared" si="343"/>
        <v>0</v>
      </c>
      <c r="DI160" t="b">
        <f t="shared" si="344"/>
        <v>0</v>
      </c>
      <c r="DJ160" t="b">
        <f t="shared" si="345"/>
        <v>0</v>
      </c>
      <c r="DK160" t="b">
        <f t="shared" si="346"/>
        <v>0</v>
      </c>
      <c r="DL160" t="b">
        <f t="shared" si="347"/>
        <v>0</v>
      </c>
      <c r="DM160" t="b">
        <f t="shared" si="348"/>
        <v>0</v>
      </c>
      <c r="DN160" t="b">
        <f t="shared" si="349"/>
        <v>0</v>
      </c>
      <c r="DO160" t="b">
        <f t="shared" si="350"/>
        <v>0</v>
      </c>
      <c r="DP160" t="b">
        <f t="shared" si="351"/>
        <v>0</v>
      </c>
      <c r="DQ160" t="b">
        <f t="shared" si="352"/>
        <v>0</v>
      </c>
      <c r="DR160" t="b">
        <f t="shared" si="353"/>
        <v>0</v>
      </c>
      <c r="DS160" t="b">
        <f t="shared" si="354"/>
        <v>0</v>
      </c>
      <c r="DT160" t="b">
        <f t="shared" si="355"/>
        <v>0</v>
      </c>
      <c r="DU160" t="b">
        <f t="shared" si="356"/>
        <v>0</v>
      </c>
      <c r="DV160" t="b">
        <f t="shared" si="357"/>
        <v>0</v>
      </c>
      <c r="DW160" t="b">
        <f t="shared" si="358"/>
        <v>0</v>
      </c>
      <c r="DX160" t="b">
        <f t="shared" si="359"/>
        <v>0</v>
      </c>
      <c r="DY160" t="b">
        <f t="shared" si="360"/>
        <v>0</v>
      </c>
      <c r="DZ160" t="b">
        <f t="shared" si="361"/>
        <v>0</v>
      </c>
      <c r="EA160" t="b">
        <f t="shared" si="362"/>
        <v>0</v>
      </c>
      <c r="EB160" t="b">
        <f t="shared" si="363"/>
        <v>0</v>
      </c>
      <c r="EC160" t="b">
        <f t="shared" si="364"/>
        <v>0</v>
      </c>
      <c r="ED160" t="b">
        <f t="shared" si="365"/>
        <v>0</v>
      </c>
      <c r="EE160" t="b">
        <f t="shared" si="366"/>
        <v>0</v>
      </c>
      <c r="EF160">
        <f t="shared" si="367"/>
        <v>1</v>
      </c>
      <c r="EG160" t="b">
        <f t="shared" si="368"/>
        <v>0</v>
      </c>
      <c r="EH160" t="b">
        <f t="shared" si="369"/>
        <v>0</v>
      </c>
      <c r="EI160" t="b">
        <f t="shared" si="370"/>
        <v>0</v>
      </c>
      <c r="EJ160" t="b">
        <f t="shared" si="371"/>
        <v>0</v>
      </c>
      <c r="EK160" t="b">
        <f t="shared" si="372"/>
        <v>0</v>
      </c>
    </row>
    <row r="161" spans="1:141">
      <c r="A161" t="s">
        <v>914</v>
      </c>
      <c r="B161" t="s">
        <v>915</v>
      </c>
      <c r="C161" t="s">
        <v>916</v>
      </c>
      <c r="D161" s="1">
        <v>42582</v>
      </c>
      <c r="E161" s="2">
        <v>42620.562094907407</v>
      </c>
      <c r="F161" s="2">
        <v>42620.562094907407</v>
      </c>
      <c r="G161">
        <v>3264710</v>
      </c>
      <c r="H161" t="s">
        <v>917</v>
      </c>
      <c r="I161" s="10" t="s">
        <v>918</v>
      </c>
      <c r="J161" t="s">
        <v>919</v>
      </c>
      <c r="K161" s="8" t="b">
        <v>1</v>
      </c>
      <c r="L161" s="10" t="b">
        <v>0</v>
      </c>
      <c r="M161" s="12" t="b">
        <v>0</v>
      </c>
      <c r="N161" t="b">
        <v>0</v>
      </c>
      <c r="O161" t="b">
        <v>0</v>
      </c>
      <c r="P161" t="b">
        <v>0</v>
      </c>
      <c r="Q161">
        <f t="shared" si="249"/>
        <v>1</v>
      </c>
      <c r="R161">
        <f t="shared" si="250"/>
        <v>7</v>
      </c>
      <c r="S161" t="e">
        <f t="shared" ca="1" si="280"/>
        <v>#NAME?</v>
      </c>
      <c r="T161" t="e">
        <f t="shared" ca="1" si="251"/>
        <v>#NAME?</v>
      </c>
      <c r="U161" s="4">
        <f t="shared" si="252"/>
        <v>38.5620949074073</v>
      </c>
      <c r="V161" s="4">
        <f t="shared" si="253"/>
        <v>1.2854031635802434</v>
      </c>
      <c r="W161" s="4">
        <f t="shared" si="254"/>
        <v>1</v>
      </c>
      <c r="X161" s="4">
        <f t="shared" si="255"/>
        <v>0</v>
      </c>
      <c r="Y161" s="4">
        <f t="shared" si="256"/>
        <v>0</v>
      </c>
      <c r="Z161" s="4">
        <f t="shared" si="257"/>
        <v>0</v>
      </c>
      <c r="AA161" s="4">
        <f t="shared" si="258"/>
        <v>0</v>
      </c>
      <c r="AB161" s="4">
        <f t="shared" si="259"/>
        <v>0</v>
      </c>
      <c r="AC161" s="4"/>
      <c r="AD161" s="4" t="b">
        <f t="shared" si="260"/>
        <v>0</v>
      </c>
      <c r="AE161" s="4" t="b">
        <f t="shared" si="261"/>
        <v>0</v>
      </c>
      <c r="AF161" s="4" t="b">
        <f t="shared" si="262"/>
        <v>0</v>
      </c>
      <c r="AG161" t="b">
        <f t="shared" si="263"/>
        <v>0</v>
      </c>
      <c r="AH161" t="b">
        <f t="shared" si="264"/>
        <v>0</v>
      </c>
      <c r="AI161" t="b">
        <f t="shared" si="265"/>
        <v>0</v>
      </c>
      <c r="AJ161" t="b">
        <f t="shared" si="266"/>
        <v>0</v>
      </c>
      <c r="AK161" t="b">
        <f t="shared" si="267"/>
        <v>0</v>
      </c>
      <c r="AL161" t="b">
        <f t="shared" si="268"/>
        <v>0</v>
      </c>
      <c r="AM161" t="b">
        <f t="shared" si="269"/>
        <v>0</v>
      </c>
      <c r="AN161" t="b">
        <f t="shared" si="270"/>
        <v>0</v>
      </c>
      <c r="AO161" t="b">
        <f t="shared" si="271"/>
        <v>0</v>
      </c>
      <c r="AP161" t="b">
        <f t="shared" si="272"/>
        <v>0</v>
      </c>
      <c r="AQ161" t="b">
        <f t="shared" si="273"/>
        <v>0</v>
      </c>
      <c r="AR161" t="b">
        <f t="shared" si="274"/>
        <v>0</v>
      </c>
      <c r="AS161" t="b">
        <f t="shared" si="275"/>
        <v>0</v>
      </c>
      <c r="AT161" t="b">
        <f t="shared" si="276"/>
        <v>0</v>
      </c>
      <c r="AU161" t="b">
        <f t="shared" si="277"/>
        <v>0</v>
      </c>
      <c r="AV161" t="b">
        <f t="shared" si="278"/>
        <v>0</v>
      </c>
      <c r="AW161" t="b">
        <f t="shared" si="279"/>
        <v>0</v>
      </c>
      <c r="AX161" t="b">
        <f t="shared" si="281"/>
        <v>0</v>
      </c>
      <c r="AY161" t="b">
        <f t="shared" si="282"/>
        <v>0</v>
      </c>
      <c r="AZ161">
        <f t="shared" si="283"/>
        <v>1</v>
      </c>
      <c r="BA161" t="b">
        <f t="shared" si="284"/>
        <v>0</v>
      </c>
      <c r="BB161" t="b">
        <f t="shared" si="285"/>
        <v>0</v>
      </c>
      <c r="BC161" t="b">
        <f t="shared" si="286"/>
        <v>0</v>
      </c>
      <c r="BD161" t="b">
        <f t="shared" si="287"/>
        <v>0</v>
      </c>
      <c r="BE161" t="b">
        <f t="shared" si="288"/>
        <v>0</v>
      </c>
      <c r="BF161" t="b">
        <f t="shared" si="289"/>
        <v>0</v>
      </c>
      <c r="BG161" t="b">
        <f t="shared" si="290"/>
        <v>0</v>
      </c>
      <c r="BH161" t="b">
        <f t="shared" si="291"/>
        <v>0</v>
      </c>
      <c r="BI161">
        <f t="shared" si="292"/>
        <v>1</v>
      </c>
      <c r="BJ161" t="b">
        <f t="shared" si="293"/>
        <v>0</v>
      </c>
      <c r="BK161" t="b">
        <f t="shared" si="294"/>
        <v>0</v>
      </c>
      <c r="BL161" t="b">
        <f t="shared" si="295"/>
        <v>0</v>
      </c>
      <c r="BM161" t="b">
        <f t="shared" si="296"/>
        <v>0</v>
      </c>
      <c r="BN161" t="b">
        <f t="shared" si="297"/>
        <v>0</v>
      </c>
      <c r="BO161" t="b">
        <f t="shared" si="298"/>
        <v>0</v>
      </c>
      <c r="BP161" t="b">
        <f t="shared" si="299"/>
        <v>0</v>
      </c>
      <c r="BQ161" t="b">
        <f t="shared" si="300"/>
        <v>0</v>
      </c>
      <c r="BR161" t="b">
        <f t="shared" si="301"/>
        <v>0</v>
      </c>
      <c r="BS161" t="b">
        <f t="shared" si="302"/>
        <v>0</v>
      </c>
      <c r="BT161" t="b">
        <f t="shared" si="303"/>
        <v>0</v>
      </c>
      <c r="BU161" t="b">
        <f t="shared" si="304"/>
        <v>0</v>
      </c>
      <c r="BV161" t="b">
        <f t="shared" si="305"/>
        <v>0</v>
      </c>
      <c r="BW161" t="b">
        <f t="shared" si="306"/>
        <v>0</v>
      </c>
      <c r="BX161" t="b">
        <f t="shared" si="307"/>
        <v>0</v>
      </c>
      <c r="BY161" t="b">
        <f t="shared" si="308"/>
        <v>0</v>
      </c>
      <c r="BZ161" t="b">
        <f t="shared" si="309"/>
        <v>0</v>
      </c>
      <c r="CA161" t="b">
        <f t="shared" si="310"/>
        <v>0</v>
      </c>
      <c r="CB161" t="b">
        <f t="shared" si="311"/>
        <v>0</v>
      </c>
      <c r="CC161" t="b">
        <f t="shared" si="312"/>
        <v>0</v>
      </c>
      <c r="CD161" t="b">
        <f t="shared" si="313"/>
        <v>0</v>
      </c>
      <c r="CE161" t="b">
        <f t="shared" si="314"/>
        <v>0</v>
      </c>
      <c r="CF161" t="b">
        <f t="shared" si="315"/>
        <v>0</v>
      </c>
      <c r="CG161" t="b">
        <f t="shared" si="316"/>
        <v>0</v>
      </c>
      <c r="CH161" t="b">
        <f t="shared" si="317"/>
        <v>0</v>
      </c>
      <c r="CI161" t="b">
        <f t="shared" si="318"/>
        <v>0</v>
      </c>
      <c r="CJ161" t="b">
        <f t="shared" si="319"/>
        <v>0</v>
      </c>
      <c r="CK161" t="b">
        <f t="shared" si="320"/>
        <v>0</v>
      </c>
      <c r="CL161" t="b">
        <f t="shared" si="321"/>
        <v>0</v>
      </c>
      <c r="CM161">
        <f t="shared" si="322"/>
        <v>1</v>
      </c>
      <c r="CN161" t="b">
        <f t="shared" si="323"/>
        <v>0</v>
      </c>
      <c r="CO161" t="b">
        <f t="shared" si="324"/>
        <v>0</v>
      </c>
      <c r="CP161" t="b">
        <f t="shared" si="325"/>
        <v>0</v>
      </c>
      <c r="CQ161" t="b">
        <f t="shared" si="326"/>
        <v>0</v>
      </c>
      <c r="CR161" t="b">
        <f t="shared" si="327"/>
        <v>0</v>
      </c>
      <c r="CS161" t="b">
        <f t="shared" si="328"/>
        <v>0</v>
      </c>
      <c r="CT161" t="b">
        <f t="shared" si="329"/>
        <v>0</v>
      </c>
      <c r="CU161" t="b">
        <f t="shared" si="330"/>
        <v>0</v>
      </c>
      <c r="CV161">
        <f t="shared" si="331"/>
        <v>1</v>
      </c>
      <c r="CW161" t="b">
        <f t="shared" si="332"/>
        <v>0</v>
      </c>
      <c r="CX161" t="b">
        <f t="shared" si="333"/>
        <v>0</v>
      </c>
      <c r="CY161" t="b">
        <f t="shared" si="334"/>
        <v>0</v>
      </c>
      <c r="CZ161" t="b">
        <f t="shared" si="335"/>
        <v>0</v>
      </c>
      <c r="DA161" t="b">
        <f t="shared" si="336"/>
        <v>0</v>
      </c>
      <c r="DB161" t="b">
        <f t="shared" si="337"/>
        <v>0</v>
      </c>
      <c r="DC161" t="b">
        <f t="shared" si="338"/>
        <v>0</v>
      </c>
      <c r="DD161" t="b">
        <f t="shared" si="339"/>
        <v>0</v>
      </c>
      <c r="DE161" t="b">
        <f t="shared" si="340"/>
        <v>0</v>
      </c>
      <c r="DF161" t="b">
        <f t="shared" si="341"/>
        <v>0</v>
      </c>
      <c r="DG161" t="b">
        <f t="shared" si="342"/>
        <v>0</v>
      </c>
      <c r="DH161" t="b">
        <f t="shared" si="343"/>
        <v>0</v>
      </c>
      <c r="DI161" t="b">
        <f t="shared" si="344"/>
        <v>0</v>
      </c>
      <c r="DJ161" t="b">
        <f t="shared" si="345"/>
        <v>0</v>
      </c>
      <c r="DK161" t="b">
        <f t="shared" si="346"/>
        <v>0</v>
      </c>
      <c r="DL161" t="b">
        <f t="shared" si="347"/>
        <v>0</v>
      </c>
      <c r="DM161" t="b">
        <f t="shared" si="348"/>
        <v>0</v>
      </c>
      <c r="DN161" t="b">
        <f t="shared" si="349"/>
        <v>0</v>
      </c>
      <c r="DO161" t="b">
        <f t="shared" si="350"/>
        <v>0</v>
      </c>
      <c r="DP161" t="b">
        <f t="shared" si="351"/>
        <v>0</v>
      </c>
      <c r="DQ161" t="b">
        <f t="shared" si="352"/>
        <v>0</v>
      </c>
      <c r="DR161" t="b">
        <f t="shared" si="353"/>
        <v>0</v>
      </c>
      <c r="DS161" t="b">
        <f t="shared" si="354"/>
        <v>0</v>
      </c>
      <c r="DT161" t="b">
        <f t="shared" si="355"/>
        <v>0</v>
      </c>
      <c r="DU161" t="b">
        <f t="shared" si="356"/>
        <v>0</v>
      </c>
      <c r="DV161" t="b">
        <f t="shared" si="357"/>
        <v>0</v>
      </c>
      <c r="DW161" t="b">
        <f t="shared" si="358"/>
        <v>0</v>
      </c>
      <c r="DX161" t="b">
        <f t="shared" si="359"/>
        <v>0</v>
      </c>
      <c r="DY161" t="b">
        <f t="shared" si="360"/>
        <v>0</v>
      </c>
      <c r="DZ161" t="b">
        <f t="shared" si="361"/>
        <v>0</v>
      </c>
      <c r="EA161" t="b">
        <f t="shared" si="362"/>
        <v>0</v>
      </c>
      <c r="EB161" t="b">
        <f t="shared" si="363"/>
        <v>0</v>
      </c>
      <c r="EC161" t="b">
        <f t="shared" si="364"/>
        <v>0</v>
      </c>
      <c r="ED161" t="b">
        <f t="shared" si="365"/>
        <v>0</v>
      </c>
      <c r="EE161" t="b">
        <f t="shared" si="366"/>
        <v>0</v>
      </c>
      <c r="EF161">
        <f t="shared" si="367"/>
        <v>1</v>
      </c>
      <c r="EG161" t="b">
        <f t="shared" si="368"/>
        <v>0</v>
      </c>
      <c r="EH161" t="b">
        <f t="shared" si="369"/>
        <v>0</v>
      </c>
      <c r="EI161">
        <f t="shared" si="370"/>
        <v>1</v>
      </c>
      <c r="EJ161" t="b">
        <f t="shared" si="371"/>
        <v>0</v>
      </c>
      <c r="EK161" t="b">
        <f t="shared" si="372"/>
        <v>0</v>
      </c>
    </row>
    <row r="162" spans="1:141">
      <c r="A162" t="s">
        <v>920</v>
      </c>
      <c r="B162" t="s">
        <v>921</v>
      </c>
      <c r="C162" t="s">
        <v>922</v>
      </c>
      <c r="D162" s="1">
        <v>40878</v>
      </c>
      <c r="E162" s="2">
        <v>42684.018067129633</v>
      </c>
      <c r="F162" s="2">
        <v>42684.018067129633</v>
      </c>
      <c r="G162">
        <v>8718404</v>
      </c>
      <c r="H162" t="s">
        <v>923</v>
      </c>
      <c r="I162" s="10" t="s">
        <v>924</v>
      </c>
      <c r="J162" t="s">
        <v>925</v>
      </c>
      <c r="K162" s="8" t="b">
        <v>0</v>
      </c>
      <c r="L162" s="10" t="b">
        <v>0</v>
      </c>
      <c r="M162" s="12" t="b">
        <v>0</v>
      </c>
      <c r="N162" t="b">
        <v>0</v>
      </c>
      <c r="O162" t="b">
        <v>0</v>
      </c>
      <c r="P162" t="b">
        <v>0</v>
      </c>
      <c r="Q162">
        <f t="shared" si="249"/>
        <v>5</v>
      </c>
      <c r="R162">
        <f t="shared" si="250"/>
        <v>12</v>
      </c>
      <c r="S162" t="e">
        <f t="shared" ca="1" si="280"/>
        <v>#NAME?</v>
      </c>
      <c r="T162" t="e">
        <f t="shared" ca="1" si="251"/>
        <v>#NAME?</v>
      </c>
      <c r="U162" s="4">
        <f t="shared" si="252"/>
        <v>1806.018067129633</v>
      </c>
      <c r="V162" s="4">
        <f t="shared" si="253"/>
        <v>60.200602237654429</v>
      </c>
      <c r="W162" s="4">
        <f t="shared" si="254"/>
        <v>0</v>
      </c>
      <c r="X162" s="4">
        <f t="shared" si="255"/>
        <v>0</v>
      </c>
      <c r="Y162" s="4">
        <f t="shared" si="256"/>
        <v>0</v>
      </c>
      <c r="Z162" s="4">
        <f t="shared" si="257"/>
        <v>0</v>
      </c>
      <c r="AA162" s="4">
        <f t="shared" si="258"/>
        <v>0</v>
      </c>
      <c r="AB162" s="4">
        <f t="shared" si="259"/>
        <v>0</v>
      </c>
      <c r="AC162" s="4"/>
      <c r="AD162" s="4" t="b">
        <f t="shared" si="260"/>
        <v>0</v>
      </c>
      <c r="AE162" s="4" t="b">
        <f t="shared" si="261"/>
        <v>0</v>
      </c>
      <c r="AF162" s="4" t="b">
        <f t="shared" si="262"/>
        <v>0</v>
      </c>
      <c r="AG162" t="b">
        <f t="shared" si="263"/>
        <v>0</v>
      </c>
      <c r="AH162" t="b">
        <f t="shared" si="264"/>
        <v>0</v>
      </c>
      <c r="AI162" t="b">
        <f t="shared" si="265"/>
        <v>0</v>
      </c>
      <c r="AJ162" t="b">
        <f t="shared" si="266"/>
        <v>0</v>
      </c>
      <c r="AK162" t="b">
        <f t="shared" si="267"/>
        <v>0</v>
      </c>
      <c r="AL162" t="b">
        <f t="shared" si="268"/>
        <v>0</v>
      </c>
      <c r="AM162" t="b">
        <f t="shared" si="269"/>
        <v>0</v>
      </c>
      <c r="AN162" t="b">
        <f t="shared" si="270"/>
        <v>0</v>
      </c>
      <c r="AO162" t="b">
        <f t="shared" si="271"/>
        <v>0</v>
      </c>
      <c r="AP162" t="b">
        <f t="shared" si="272"/>
        <v>0</v>
      </c>
      <c r="AQ162" t="b">
        <f t="shared" si="273"/>
        <v>0</v>
      </c>
      <c r="AR162" t="b">
        <f t="shared" si="274"/>
        <v>0</v>
      </c>
      <c r="AS162" t="b">
        <f t="shared" si="275"/>
        <v>0</v>
      </c>
      <c r="AT162" t="b">
        <f t="shared" si="276"/>
        <v>0</v>
      </c>
      <c r="AU162" t="b">
        <f t="shared" si="277"/>
        <v>0</v>
      </c>
      <c r="AV162" t="b">
        <f t="shared" si="278"/>
        <v>0</v>
      </c>
      <c r="AW162" t="b">
        <f t="shared" si="279"/>
        <v>0</v>
      </c>
      <c r="AX162" t="b">
        <f t="shared" si="281"/>
        <v>0</v>
      </c>
      <c r="AY162" t="b">
        <f t="shared" si="282"/>
        <v>0</v>
      </c>
      <c r="AZ162" t="b">
        <f t="shared" si="283"/>
        <v>0</v>
      </c>
      <c r="BA162" t="b">
        <f t="shared" si="284"/>
        <v>0</v>
      </c>
      <c r="BB162" t="b">
        <f t="shared" si="285"/>
        <v>0</v>
      </c>
      <c r="BC162" t="b">
        <f t="shared" si="286"/>
        <v>0</v>
      </c>
      <c r="BD162" t="b">
        <f t="shared" si="287"/>
        <v>0</v>
      </c>
      <c r="BE162" t="b">
        <f t="shared" si="288"/>
        <v>0</v>
      </c>
      <c r="BF162" t="b">
        <f t="shared" si="289"/>
        <v>0</v>
      </c>
      <c r="BG162" t="b">
        <f t="shared" si="290"/>
        <v>0</v>
      </c>
      <c r="BH162" t="b">
        <f t="shared" si="291"/>
        <v>0</v>
      </c>
      <c r="BI162">
        <f t="shared" si="292"/>
        <v>1</v>
      </c>
      <c r="BJ162" t="b">
        <f t="shared" si="293"/>
        <v>0</v>
      </c>
      <c r="BK162" t="b">
        <f t="shared" si="294"/>
        <v>0</v>
      </c>
      <c r="BL162" t="b">
        <f t="shared" si="295"/>
        <v>0</v>
      </c>
      <c r="BM162" t="b">
        <f t="shared" si="296"/>
        <v>0</v>
      </c>
      <c r="BN162" t="b">
        <f t="shared" si="297"/>
        <v>0</v>
      </c>
      <c r="BO162" t="b">
        <f t="shared" si="298"/>
        <v>0</v>
      </c>
      <c r="BP162" t="b">
        <f t="shared" si="299"/>
        <v>0</v>
      </c>
      <c r="BQ162" t="b">
        <f t="shared" si="300"/>
        <v>0</v>
      </c>
      <c r="BR162" t="b">
        <f t="shared" si="301"/>
        <v>0</v>
      </c>
      <c r="BS162" t="b">
        <f t="shared" si="302"/>
        <v>0</v>
      </c>
      <c r="BT162" t="b">
        <f t="shared" si="303"/>
        <v>0</v>
      </c>
      <c r="BU162" t="b">
        <f t="shared" si="304"/>
        <v>0</v>
      </c>
      <c r="BV162" t="b">
        <f t="shared" si="305"/>
        <v>0</v>
      </c>
      <c r="BW162" t="b">
        <f t="shared" si="306"/>
        <v>0</v>
      </c>
      <c r="BX162" t="b">
        <f t="shared" si="307"/>
        <v>0</v>
      </c>
      <c r="BY162" t="b">
        <f t="shared" si="308"/>
        <v>0</v>
      </c>
      <c r="BZ162" t="b">
        <f t="shared" si="309"/>
        <v>0</v>
      </c>
      <c r="CA162" t="b">
        <f t="shared" si="310"/>
        <v>0</v>
      </c>
      <c r="CB162" t="b">
        <f t="shared" si="311"/>
        <v>0</v>
      </c>
      <c r="CC162" t="b">
        <f t="shared" si="312"/>
        <v>0</v>
      </c>
      <c r="CD162" t="b">
        <f t="shared" si="313"/>
        <v>0</v>
      </c>
      <c r="CE162" t="b">
        <f t="shared" si="314"/>
        <v>0</v>
      </c>
      <c r="CF162" t="b">
        <f t="shared" si="315"/>
        <v>0</v>
      </c>
      <c r="CG162" t="b">
        <f t="shared" si="316"/>
        <v>0</v>
      </c>
      <c r="CH162" t="b">
        <f t="shared" si="317"/>
        <v>0</v>
      </c>
      <c r="CI162" t="b">
        <f t="shared" si="318"/>
        <v>0</v>
      </c>
      <c r="CJ162" t="b">
        <f t="shared" si="319"/>
        <v>0</v>
      </c>
      <c r="CK162" t="b">
        <f t="shared" si="320"/>
        <v>0</v>
      </c>
      <c r="CL162" t="b">
        <f t="shared" si="321"/>
        <v>0</v>
      </c>
      <c r="CM162" t="b">
        <f t="shared" si="322"/>
        <v>0</v>
      </c>
      <c r="CN162" t="b">
        <f t="shared" si="323"/>
        <v>0</v>
      </c>
      <c r="CO162" t="b">
        <f t="shared" si="324"/>
        <v>0</v>
      </c>
      <c r="CP162" t="b">
        <f t="shared" si="325"/>
        <v>0</v>
      </c>
      <c r="CQ162" t="b">
        <f t="shared" si="326"/>
        <v>0</v>
      </c>
      <c r="CR162" t="b">
        <f t="shared" si="327"/>
        <v>0</v>
      </c>
      <c r="CS162" t="b">
        <f t="shared" si="328"/>
        <v>0</v>
      </c>
      <c r="CT162" t="b">
        <f t="shared" si="329"/>
        <v>0</v>
      </c>
      <c r="CU162" t="b">
        <f t="shared" si="330"/>
        <v>0</v>
      </c>
      <c r="CV162" t="b">
        <f t="shared" si="331"/>
        <v>0</v>
      </c>
      <c r="CW162" t="b">
        <f t="shared" si="332"/>
        <v>0</v>
      </c>
      <c r="CX162" t="b">
        <f t="shared" si="333"/>
        <v>0</v>
      </c>
      <c r="CY162" t="b">
        <f t="shared" si="334"/>
        <v>0</v>
      </c>
      <c r="CZ162" t="b">
        <f t="shared" si="335"/>
        <v>0</v>
      </c>
      <c r="DA162" t="b">
        <f t="shared" si="336"/>
        <v>0</v>
      </c>
      <c r="DB162" t="b">
        <f t="shared" si="337"/>
        <v>0</v>
      </c>
      <c r="DC162" t="b">
        <f t="shared" si="338"/>
        <v>0</v>
      </c>
      <c r="DD162" t="b">
        <f t="shared" si="339"/>
        <v>0</v>
      </c>
      <c r="DE162" t="b">
        <f t="shared" si="340"/>
        <v>0</v>
      </c>
      <c r="DF162" t="b">
        <f t="shared" si="341"/>
        <v>0</v>
      </c>
      <c r="DG162" t="b">
        <f t="shared" si="342"/>
        <v>0</v>
      </c>
      <c r="DH162" t="b">
        <f t="shared" si="343"/>
        <v>0</v>
      </c>
      <c r="DI162" t="b">
        <f t="shared" si="344"/>
        <v>0</v>
      </c>
      <c r="DJ162" t="b">
        <f t="shared" si="345"/>
        <v>0</v>
      </c>
      <c r="DK162" t="b">
        <f t="shared" si="346"/>
        <v>0</v>
      </c>
      <c r="DL162" t="b">
        <f t="shared" si="347"/>
        <v>0</v>
      </c>
      <c r="DM162" t="b">
        <f t="shared" si="348"/>
        <v>0</v>
      </c>
      <c r="DN162" t="b">
        <f t="shared" si="349"/>
        <v>0</v>
      </c>
      <c r="DO162" t="b">
        <f t="shared" si="350"/>
        <v>0</v>
      </c>
      <c r="DP162" t="b">
        <f t="shared" si="351"/>
        <v>0</v>
      </c>
      <c r="DQ162" t="b">
        <f t="shared" si="352"/>
        <v>0</v>
      </c>
      <c r="DR162" t="b">
        <f t="shared" si="353"/>
        <v>0</v>
      </c>
      <c r="DS162" t="b">
        <f t="shared" si="354"/>
        <v>0</v>
      </c>
      <c r="DT162" t="b">
        <f t="shared" si="355"/>
        <v>0</v>
      </c>
      <c r="DU162" t="b">
        <f t="shared" si="356"/>
        <v>0</v>
      </c>
      <c r="DV162" t="b">
        <f t="shared" si="357"/>
        <v>0</v>
      </c>
      <c r="DW162" t="b">
        <f t="shared" si="358"/>
        <v>0</v>
      </c>
      <c r="DX162" t="b">
        <f t="shared" si="359"/>
        <v>0</v>
      </c>
      <c r="DY162" t="b">
        <f t="shared" si="360"/>
        <v>0</v>
      </c>
      <c r="DZ162" t="b">
        <f t="shared" si="361"/>
        <v>0</v>
      </c>
      <c r="EA162" t="b">
        <f t="shared" si="362"/>
        <v>0</v>
      </c>
      <c r="EB162" t="b">
        <f t="shared" si="363"/>
        <v>0</v>
      </c>
      <c r="EC162" t="b">
        <f t="shared" si="364"/>
        <v>0</v>
      </c>
      <c r="ED162" t="b">
        <f t="shared" si="365"/>
        <v>0</v>
      </c>
      <c r="EE162" t="b">
        <f t="shared" si="366"/>
        <v>0</v>
      </c>
      <c r="EF162">
        <f t="shared" si="367"/>
        <v>1</v>
      </c>
      <c r="EG162" t="b">
        <f t="shared" si="368"/>
        <v>0</v>
      </c>
      <c r="EH162" t="b">
        <f t="shared" si="369"/>
        <v>0</v>
      </c>
      <c r="EI162" t="b">
        <f t="shared" si="370"/>
        <v>0</v>
      </c>
      <c r="EJ162" t="b">
        <f t="shared" si="371"/>
        <v>0</v>
      </c>
      <c r="EK162" t="b">
        <f t="shared" si="372"/>
        <v>0</v>
      </c>
    </row>
    <row r="163" spans="1:141">
      <c r="A163" t="s">
        <v>926</v>
      </c>
      <c r="B163" t="s">
        <v>927</v>
      </c>
      <c r="C163" t="s">
        <v>928</v>
      </c>
      <c r="D163" s="1">
        <v>41803</v>
      </c>
      <c r="E163" s="2">
        <v>42008.127476851849</v>
      </c>
      <c r="F163" s="2">
        <v>42008.127476851849</v>
      </c>
      <c r="G163">
        <v>648231</v>
      </c>
      <c r="H163" t="s">
        <v>929</v>
      </c>
      <c r="I163" s="10" t="s">
        <v>930</v>
      </c>
      <c r="J163" t="s">
        <v>290</v>
      </c>
      <c r="K163" s="8" t="b">
        <v>1</v>
      </c>
      <c r="L163" s="10" t="b">
        <v>0</v>
      </c>
      <c r="M163" s="12" t="b">
        <v>0</v>
      </c>
      <c r="N163" t="b">
        <v>0</v>
      </c>
      <c r="O163" t="b">
        <v>0</v>
      </c>
      <c r="P163" t="b">
        <v>0</v>
      </c>
      <c r="Q163">
        <f t="shared" si="249"/>
        <v>6</v>
      </c>
      <c r="R163">
        <f t="shared" si="250"/>
        <v>6</v>
      </c>
      <c r="S163" t="e">
        <f t="shared" ca="1" si="280"/>
        <v>#NAME?</v>
      </c>
      <c r="T163" t="e">
        <f t="shared" ca="1" si="251"/>
        <v>#NAME?</v>
      </c>
      <c r="U163" s="4">
        <f t="shared" si="252"/>
        <v>205.12747685184877</v>
      </c>
      <c r="V163" s="4">
        <f t="shared" si="253"/>
        <v>6.8375825617282926</v>
      </c>
      <c r="W163" s="4">
        <f t="shared" si="254"/>
        <v>1</v>
      </c>
      <c r="X163" s="4">
        <f t="shared" si="255"/>
        <v>0</v>
      </c>
      <c r="Y163" s="4">
        <f t="shared" si="256"/>
        <v>0</v>
      </c>
      <c r="Z163" s="4">
        <f t="shared" si="257"/>
        <v>0</v>
      </c>
      <c r="AA163" s="4">
        <f t="shared" si="258"/>
        <v>0</v>
      </c>
      <c r="AB163" s="4">
        <f t="shared" si="259"/>
        <v>0</v>
      </c>
      <c r="AC163" s="4"/>
      <c r="AD163" s="4" t="b">
        <f t="shared" si="260"/>
        <v>0</v>
      </c>
      <c r="AE163" s="4" t="b">
        <f t="shared" si="261"/>
        <v>0</v>
      </c>
      <c r="AF163" s="4" t="b">
        <f t="shared" si="262"/>
        <v>0</v>
      </c>
      <c r="AG163" t="b">
        <f t="shared" si="263"/>
        <v>0</v>
      </c>
      <c r="AH163" t="b">
        <f t="shared" si="264"/>
        <v>0</v>
      </c>
      <c r="AI163" t="b">
        <f t="shared" si="265"/>
        <v>0</v>
      </c>
      <c r="AJ163" t="b">
        <f t="shared" si="266"/>
        <v>0</v>
      </c>
      <c r="AK163" t="b">
        <f t="shared" si="267"/>
        <v>0</v>
      </c>
      <c r="AL163" t="b">
        <f t="shared" si="268"/>
        <v>0</v>
      </c>
      <c r="AM163" t="b">
        <f t="shared" si="269"/>
        <v>0</v>
      </c>
      <c r="AN163" t="b">
        <f t="shared" si="270"/>
        <v>0</v>
      </c>
      <c r="AO163" t="b">
        <f t="shared" si="271"/>
        <v>0</v>
      </c>
      <c r="AP163" t="b">
        <f t="shared" si="272"/>
        <v>0</v>
      </c>
      <c r="AQ163" t="b">
        <f t="shared" si="273"/>
        <v>0</v>
      </c>
      <c r="AR163" t="b">
        <f t="shared" si="274"/>
        <v>0</v>
      </c>
      <c r="AS163" t="b">
        <f t="shared" si="275"/>
        <v>0</v>
      </c>
      <c r="AT163" t="b">
        <f t="shared" si="276"/>
        <v>0</v>
      </c>
      <c r="AU163" t="b">
        <f t="shared" si="277"/>
        <v>0</v>
      </c>
      <c r="AV163" t="b">
        <f t="shared" si="278"/>
        <v>0</v>
      </c>
      <c r="AW163" t="b">
        <f t="shared" si="279"/>
        <v>0</v>
      </c>
      <c r="AX163" t="b">
        <f t="shared" si="281"/>
        <v>0</v>
      </c>
      <c r="AY163" t="b">
        <f t="shared" si="282"/>
        <v>0</v>
      </c>
      <c r="AZ163" t="b">
        <f t="shared" si="283"/>
        <v>0</v>
      </c>
      <c r="BA163" t="b">
        <f t="shared" si="284"/>
        <v>0</v>
      </c>
      <c r="BB163" t="b">
        <f t="shared" si="285"/>
        <v>0</v>
      </c>
      <c r="BC163" t="b">
        <f t="shared" si="286"/>
        <v>0</v>
      </c>
      <c r="BD163" t="b">
        <f t="shared" si="287"/>
        <v>0</v>
      </c>
      <c r="BE163" t="b">
        <f t="shared" si="288"/>
        <v>0</v>
      </c>
      <c r="BF163" t="b">
        <f t="shared" si="289"/>
        <v>0</v>
      </c>
      <c r="BG163" t="b">
        <f t="shared" si="290"/>
        <v>0</v>
      </c>
      <c r="BH163" t="b">
        <f t="shared" si="291"/>
        <v>0</v>
      </c>
      <c r="BI163">
        <f t="shared" si="292"/>
        <v>1</v>
      </c>
      <c r="BJ163" t="b">
        <f t="shared" si="293"/>
        <v>0</v>
      </c>
      <c r="BK163" t="b">
        <f t="shared" si="294"/>
        <v>0</v>
      </c>
      <c r="BL163" t="b">
        <f t="shared" si="295"/>
        <v>0</v>
      </c>
      <c r="BM163" t="b">
        <f t="shared" si="296"/>
        <v>0</v>
      </c>
      <c r="BN163" t="b">
        <f t="shared" si="297"/>
        <v>0</v>
      </c>
      <c r="BO163" t="b">
        <f t="shared" si="298"/>
        <v>0</v>
      </c>
      <c r="BP163" t="b">
        <f t="shared" si="299"/>
        <v>0</v>
      </c>
      <c r="BQ163" t="b">
        <f t="shared" si="300"/>
        <v>0</v>
      </c>
      <c r="BR163" t="b">
        <f t="shared" si="301"/>
        <v>0</v>
      </c>
      <c r="BS163" t="b">
        <f t="shared" si="302"/>
        <v>0</v>
      </c>
      <c r="BT163" t="b">
        <f t="shared" si="303"/>
        <v>0</v>
      </c>
      <c r="BU163" t="b">
        <f t="shared" si="304"/>
        <v>0</v>
      </c>
      <c r="BV163" t="b">
        <f t="shared" si="305"/>
        <v>0</v>
      </c>
      <c r="BW163" t="b">
        <f t="shared" si="306"/>
        <v>0</v>
      </c>
      <c r="BX163" t="b">
        <f t="shared" si="307"/>
        <v>0</v>
      </c>
      <c r="BY163" t="b">
        <f t="shared" si="308"/>
        <v>0</v>
      </c>
      <c r="BZ163" t="b">
        <f t="shared" si="309"/>
        <v>0</v>
      </c>
      <c r="CA163" t="b">
        <f t="shared" si="310"/>
        <v>0</v>
      </c>
      <c r="CB163" t="b">
        <f t="shared" si="311"/>
        <v>0</v>
      </c>
      <c r="CC163" t="b">
        <f t="shared" si="312"/>
        <v>0</v>
      </c>
      <c r="CD163" t="b">
        <f t="shared" si="313"/>
        <v>0</v>
      </c>
      <c r="CE163" t="b">
        <f t="shared" si="314"/>
        <v>0</v>
      </c>
      <c r="CF163" t="b">
        <f t="shared" si="315"/>
        <v>0</v>
      </c>
      <c r="CG163" t="b">
        <f t="shared" si="316"/>
        <v>0</v>
      </c>
      <c r="CH163" t="b">
        <f t="shared" si="317"/>
        <v>0</v>
      </c>
      <c r="CI163" t="b">
        <f t="shared" si="318"/>
        <v>0</v>
      </c>
      <c r="CJ163" t="b">
        <f t="shared" si="319"/>
        <v>0</v>
      </c>
      <c r="CK163" t="b">
        <f t="shared" si="320"/>
        <v>0</v>
      </c>
      <c r="CL163" t="b">
        <f t="shared" si="321"/>
        <v>0</v>
      </c>
      <c r="CM163">
        <f t="shared" si="322"/>
        <v>1</v>
      </c>
      <c r="CN163" t="b">
        <f t="shared" si="323"/>
        <v>0</v>
      </c>
      <c r="CO163" t="b">
        <f t="shared" si="324"/>
        <v>0</v>
      </c>
      <c r="CP163" t="b">
        <f t="shared" si="325"/>
        <v>0</v>
      </c>
      <c r="CQ163" t="b">
        <f t="shared" si="326"/>
        <v>0</v>
      </c>
      <c r="CR163" t="b">
        <f t="shared" si="327"/>
        <v>0</v>
      </c>
      <c r="CS163" t="b">
        <f t="shared" si="328"/>
        <v>0</v>
      </c>
      <c r="CT163" t="b">
        <f t="shared" si="329"/>
        <v>0</v>
      </c>
      <c r="CU163" t="b">
        <f t="shared" si="330"/>
        <v>0</v>
      </c>
      <c r="CV163">
        <f t="shared" si="331"/>
        <v>1</v>
      </c>
      <c r="CW163" t="b">
        <f t="shared" si="332"/>
        <v>0</v>
      </c>
      <c r="CX163" t="b">
        <f t="shared" si="333"/>
        <v>0</v>
      </c>
      <c r="CY163" t="b">
        <f t="shared" si="334"/>
        <v>0</v>
      </c>
      <c r="CZ163" t="b">
        <f t="shared" si="335"/>
        <v>0</v>
      </c>
      <c r="DA163">
        <f t="shared" si="336"/>
        <v>1</v>
      </c>
      <c r="DB163">
        <f t="shared" si="337"/>
        <v>1</v>
      </c>
      <c r="DC163" t="b">
        <f t="shared" si="338"/>
        <v>0</v>
      </c>
      <c r="DD163" t="b">
        <f t="shared" si="339"/>
        <v>0</v>
      </c>
      <c r="DE163" t="b">
        <f t="shared" si="340"/>
        <v>0</v>
      </c>
      <c r="DF163" t="b">
        <f t="shared" si="341"/>
        <v>0</v>
      </c>
      <c r="DG163" t="b">
        <f t="shared" si="342"/>
        <v>0</v>
      </c>
      <c r="DH163" t="b">
        <f t="shared" si="343"/>
        <v>0</v>
      </c>
      <c r="DI163" t="b">
        <f t="shared" si="344"/>
        <v>0</v>
      </c>
      <c r="DJ163" t="b">
        <f t="shared" si="345"/>
        <v>0</v>
      </c>
      <c r="DK163" t="b">
        <f t="shared" si="346"/>
        <v>0</v>
      </c>
      <c r="DL163" t="b">
        <f t="shared" si="347"/>
        <v>0</v>
      </c>
      <c r="DM163" t="b">
        <f t="shared" si="348"/>
        <v>0</v>
      </c>
      <c r="DN163" t="b">
        <f t="shared" si="349"/>
        <v>0</v>
      </c>
      <c r="DO163" t="b">
        <f t="shared" si="350"/>
        <v>0</v>
      </c>
      <c r="DP163" t="b">
        <f t="shared" si="351"/>
        <v>0</v>
      </c>
      <c r="DQ163" t="b">
        <f t="shared" si="352"/>
        <v>0</v>
      </c>
      <c r="DR163" t="b">
        <f t="shared" si="353"/>
        <v>0</v>
      </c>
      <c r="DS163" t="b">
        <f t="shared" si="354"/>
        <v>0</v>
      </c>
      <c r="DT163" t="b">
        <f t="shared" si="355"/>
        <v>0</v>
      </c>
      <c r="DU163" t="b">
        <f t="shared" si="356"/>
        <v>0</v>
      </c>
      <c r="DV163" t="b">
        <f t="shared" si="357"/>
        <v>0</v>
      </c>
      <c r="DW163" t="b">
        <f t="shared" si="358"/>
        <v>0</v>
      </c>
      <c r="DX163" t="b">
        <f t="shared" si="359"/>
        <v>0</v>
      </c>
      <c r="DY163" t="b">
        <f t="shared" si="360"/>
        <v>0</v>
      </c>
      <c r="DZ163" t="b">
        <f t="shared" si="361"/>
        <v>0</v>
      </c>
      <c r="EA163" t="b">
        <f t="shared" si="362"/>
        <v>0</v>
      </c>
      <c r="EB163" t="b">
        <f t="shared" si="363"/>
        <v>0</v>
      </c>
      <c r="EC163" t="b">
        <f t="shared" si="364"/>
        <v>0</v>
      </c>
      <c r="ED163" t="b">
        <f t="shared" si="365"/>
        <v>0</v>
      </c>
      <c r="EE163" t="b">
        <f t="shared" si="366"/>
        <v>0</v>
      </c>
      <c r="EF163" t="b">
        <f t="shared" si="367"/>
        <v>0</v>
      </c>
      <c r="EG163" t="b">
        <f t="shared" si="368"/>
        <v>0</v>
      </c>
      <c r="EH163" t="b">
        <f t="shared" si="369"/>
        <v>0</v>
      </c>
      <c r="EI163" t="b">
        <f t="shared" si="370"/>
        <v>0</v>
      </c>
      <c r="EJ163" t="b">
        <f t="shared" si="371"/>
        <v>0</v>
      </c>
      <c r="EK163" t="b">
        <f t="shared" si="372"/>
        <v>0</v>
      </c>
    </row>
    <row r="164" spans="1:141">
      <c r="A164" t="s">
        <v>931</v>
      </c>
      <c r="B164" t="s">
        <v>932</v>
      </c>
      <c r="C164" t="s">
        <v>933</v>
      </c>
      <c r="D164" s="1">
        <v>44279</v>
      </c>
      <c r="E164" s="2">
        <v>44350.096284722225</v>
      </c>
      <c r="F164" s="2">
        <v>44367.139537037037</v>
      </c>
      <c r="G164">
        <v>22527655</v>
      </c>
      <c r="H164" t="s">
        <v>934</v>
      </c>
      <c r="I164" s="10" t="s">
        <v>930</v>
      </c>
      <c r="J164" t="s">
        <v>935</v>
      </c>
      <c r="K164" s="8" t="b">
        <v>1</v>
      </c>
      <c r="L164" s="10" t="b">
        <v>0</v>
      </c>
      <c r="M164" s="12" t="b">
        <v>0</v>
      </c>
      <c r="N164" t="b">
        <v>0</v>
      </c>
      <c r="O164" t="b">
        <v>0</v>
      </c>
      <c r="P164" t="b">
        <v>0</v>
      </c>
      <c r="Q164">
        <f t="shared" si="249"/>
        <v>4</v>
      </c>
      <c r="R164">
        <f t="shared" si="250"/>
        <v>3</v>
      </c>
      <c r="S164" t="e">
        <f t="shared" ca="1" si="280"/>
        <v>#NAME?</v>
      </c>
      <c r="T164" t="e">
        <f t="shared" ca="1" si="251"/>
        <v>#NAME?</v>
      </c>
      <c r="U164" s="4">
        <f t="shared" si="252"/>
        <v>71.096284722225391</v>
      </c>
      <c r="V164" s="4">
        <f t="shared" si="253"/>
        <v>2.3698761574075129</v>
      </c>
      <c r="W164" s="4">
        <f t="shared" si="254"/>
        <v>1</v>
      </c>
      <c r="X164" s="4">
        <f t="shared" si="255"/>
        <v>0</v>
      </c>
      <c r="Y164" s="4">
        <f t="shared" si="256"/>
        <v>0</v>
      </c>
      <c r="Z164" s="4">
        <f t="shared" si="257"/>
        <v>0</v>
      </c>
      <c r="AA164" s="4">
        <f t="shared" si="258"/>
        <v>0</v>
      </c>
      <c r="AB164" s="4">
        <f t="shared" si="259"/>
        <v>0</v>
      </c>
      <c r="AC164" s="4"/>
      <c r="AD164" s="4" t="b">
        <f t="shared" si="260"/>
        <v>0</v>
      </c>
      <c r="AE164" s="4" t="b">
        <f t="shared" si="261"/>
        <v>0</v>
      </c>
      <c r="AF164" s="4" t="b">
        <f t="shared" si="262"/>
        <v>0</v>
      </c>
      <c r="AG164" t="b">
        <f t="shared" si="263"/>
        <v>0</v>
      </c>
      <c r="AH164" t="b">
        <f t="shared" si="264"/>
        <v>0</v>
      </c>
      <c r="AI164" t="b">
        <f t="shared" si="265"/>
        <v>0</v>
      </c>
      <c r="AJ164" t="b">
        <f t="shared" si="266"/>
        <v>0</v>
      </c>
      <c r="AK164" t="b">
        <f t="shared" si="267"/>
        <v>0</v>
      </c>
      <c r="AL164" t="b">
        <f t="shared" si="268"/>
        <v>0</v>
      </c>
      <c r="AM164" t="b">
        <f t="shared" si="269"/>
        <v>0</v>
      </c>
      <c r="AN164" t="b">
        <f t="shared" si="270"/>
        <v>0</v>
      </c>
      <c r="AO164" t="b">
        <f t="shared" si="271"/>
        <v>0</v>
      </c>
      <c r="AP164" t="b">
        <f t="shared" si="272"/>
        <v>0</v>
      </c>
      <c r="AQ164" t="b">
        <f t="shared" si="273"/>
        <v>0</v>
      </c>
      <c r="AR164" t="b">
        <f t="shared" si="274"/>
        <v>0</v>
      </c>
      <c r="AS164" t="b">
        <f t="shared" si="275"/>
        <v>0</v>
      </c>
      <c r="AT164" t="b">
        <f t="shared" si="276"/>
        <v>0</v>
      </c>
      <c r="AU164" t="b">
        <f t="shared" si="277"/>
        <v>0</v>
      </c>
      <c r="AV164" t="b">
        <f t="shared" si="278"/>
        <v>0</v>
      </c>
      <c r="AW164" t="b">
        <f t="shared" si="279"/>
        <v>0</v>
      </c>
      <c r="AX164" t="b">
        <f t="shared" si="281"/>
        <v>0</v>
      </c>
      <c r="AY164" t="b">
        <f t="shared" si="282"/>
        <v>0</v>
      </c>
      <c r="AZ164" t="b">
        <f t="shared" si="283"/>
        <v>0</v>
      </c>
      <c r="BA164" t="b">
        <f t="shared" si="284"/>
        <v>0</v>
      </c>
      <c r="BB164" t="b">
        <f t="shared" si="285"/>
        <v>0</v>
      </c>
      <c r="BC164" t="b">
        <f t="shared" si="286"/>
        <v>0</v>
      </c>
      <c r="BD164" t="b">
        <f t="shared" si="287"/>
        <v>0</v>
      </c>
      <c r="BE164" t="b">
        <f t="shared" si="288"/>
        <v>0</v>
      </c>
      <c r="BF164" t="b">
        <f t="shared" si="289"/>
        <v>0</v>
      </c>
      <c r="BG164" t="b">
        <f t="shared" si="290"/>
        <v>0</v>
      </c>
      <c r="BH164" t="b">
        <f t="shared" si="291"/>
        <v>0</v>
      </c>
      <c r="BI164">
        <f t="shared" si="292"/>
        <v>1</v>
      </c>
      <c r="BJ164" t="b">
        <f t="shared" si="293"/>
        <v>0</v>
      </c>
      <c r="BK164" t="b">
        <f t="shared" si="294"/>
        <v>0</v>
      </c>
      <c r="BL164" t="b">
        <f t="shared" si="295"/>
        <v>0</v>
      </c>
      <c r="BM164" t="b">
        <f t="shared" si="296"/>
        <v>0</v>
      </c>
      <c r="BN164" t="b">
        <f t="shared" si="297"/>
        <v>0</v>
      </c>
      <c r="BO164" t="b">
        <f t="shared" si="298"/>
        <v>0</v>
      </c>
      <c r="BP164" t="b">
        <f t="shared" si="299"/>
        <v>0</v>
      </c>
      <c r="BQ164" t="b">
        <f t="shared" si="300"/>
        <v>0</v>
      </c>
      <c r="BR164" t="b">
        <f t="shared" si="301"/>
        <v>0</v>
      </c>
      <c r="BS164" t="b">
        <f t="shared" si="302"/>
        <v>0</v>
      </c>
      <c r="BT164" t="b">
        <f t="shared" si="303"/>
        <v>0</v>
      </c>
      <c r="BU164" t="b">
        <f t="shared" si="304"/>
        <v>0</v>
      </c>
      <c r="BV164" t="b">
        <f t="shared" si="305"/>
        <v>0</v>
      </c>
      <c r="BW164" t="b">
        <f t="shared" si="306"/>
        <v>0</v>
      </c>
      <c r="BX164" t="b">
        <f t="shared" si="307"/>
        <v>0</v>
      </c>
      <c r="BY164" t="b">
        <f t="shared" si="308"/>
        <v>0</v>
      </c>
      <c r="BZ164" t="b">
        <f t="shared" si="309"/>
        <v>0</v>
      </c>
      <c r="CA164" t="b">
        <f t="shared" si="310"/>
        <v>0</v>
      </c>
      <c r="CB164" t="b">
        <f t="shared" si="311"/>
        <v>0</v>
      </c>
      <c r="CC164" t="b">
        <f t="shared" si="312"/>
        <v>0</v>
      </c>
      <c r="CD164" t="b">
        <f t="shared" si="313"/>
        <v>0</v>
      </c>
      <c r="CE164" t="b">
        <f t="shared" si="314"/>
        <v>0</v>
      </c>
      <c r="CF164" t="b">
        <f t="shared" si="315"/>
        <v>0</v>
      </c>
      <c r="CG164" t="b">
        <f t="shared" si="316"/>
        <v>0</v>
      </c>
      <c r="CH164" t="b">
        <f t="shared" si="317"/>
        <v>0</v>
      </c>
      <c r="CI164" t="b">
        <f t="shared" si="318"/>
        <v>0</v>
      </c>
      <c r="CJ164" t="b">
        <f t="shared" si="319"/>
        <v>0</v>
      </c>
      <c r="CK164" t="b">
        <f t="shared" si="320"/>
        <v>0</v>
      </c>
      <c r="CL164" t="b">
        <f t="shared" si="321"/>
        <v>0</v>
      </c>
      <c r="CM164">
        <f t="shared" si="322"/>
        <v>1</v>
      </c>
      <c r="CN164" t="b">
        <f t="shared" si="323"/>
        <v>0</v>
      </c>
      <c r="CO164" t="b">
        <f t="shared" si="324"/>
        <v>0</v>
      </c>
      <c r="CP164" t="b">
        <f t="shared" si="325"/>
        <v>0</v>
      </c>
      <c r="CQ164" t="b">
        <f t="shared" si="326"/>
        <v>0</v>
      </c>
      <c r="CR164" t="b">
        <f t="shared" si="327"/>
        <v>0</v>
      </c>
      <c r="CS164" t="b">
        <f t="shared" si="328"/>
        <v>0</v>
      </c>
      <c r="CT164" t="b">
        <f t="shared" si="329"/>
        <v>0</v>
      </c>
      <c r="CU164" t="b">
        <f t="shared" si="330"/>
        <v>0</v>
      </c>
      <c r="CV164" t="b">
        <f t="shared" si="331"/>
        <v>0</v>
      </c>
      <c r="CW164" t="b">
        <f t="shared" si="332"/>
        <v>0</v>
      </c>
      <c r="CX164" t="b">
        <f t="shared" si="333"/>
        <v>0</v>
      </c>
      <c r="CY164" t="b">
        <f t="shared" si="334"/>
        <v>0</v>
      </c>
      <c r="CZ164" t="b">
        <f t="shared" si="335"/>
        <v>0</v>
      </c>
      <c r="DA164">
        <f t="shared" si="336"/>
        <v>1</v>
      </c>
      <c r="DB164">
        <f t="shared" si="337"/>
        <v>1</v>
      </c>
      <c r="DC164" t="b">
        <f t="shared" si="338"/>
        <v>0</v>
      </c>
      <c r="DD164" t="b">
        <f t="shared" si="339"/>
        <v>0</v>
      </c>
      <c r="DE164" t="b">
        <f t="shared" si="340"/>
        <v>0</v>
      </c>
      <c r="DF164" t="b">
        <f t="shared" si="341"/>
        <v>0</v>
      </c>
      <c r="DG164" t="b">
        <f t="shared" si="342"/>
        <v>0</v>
      </c>
      <c r="DH164" t="b">
        <f t="shared" si="343"/>
        <v>0</v>
      </c>
      <c r="DI164" t="b">
        <f t="shared" si="344"/>
        <v>0</v>
      </c>
      <c r="DJ164">
        <f t="shared" si="345"/>
        <v>1</v>
      </c>
      <c r="DK164" t="b">
        <f t="shared" si="346"/>
        <v>0</v>
      </c>
      <c r="DL164" t="b">
        <f t="shared" si="347"/>
        <v>0</v>
      </c>
      <c r="DM164" t="b">
        <f t="shared" si="348"/>
        <v>0</v>
      </c>
      <c r="DN164" t="b">
        <f t="shared" si="349"/>
        <v>0</v>
      </c>
      <c r="DO164" t="b">
        <f t="shared" si="350"/>
        <v>0</v>
      </c>
      <c r="DP164" t="b">
        <f t="shared" si="351"/>
        <v>0</v>
      </c>
      <c r="DQ164" t="b">
        <f t="shared" si="352"/>
        <v>0</v>
      </c>
      <c r="DR164" t="b">
        <f t="shared" si="353"/>
        <v>0</v>
      </c>
      <c r="DS164" t="b">
        <f t="shared" si="354"/>
        <v>0</v>
      </c>
      <c r="DT164" t="b">
        <f t="shared" si="355"/>
        <v>0</v>
      </c>
      <c r="DU164" t="b">
        <f t="shared" si="356"/>
        <v>0</v>
      </c>
      <c r="DV164" t="b">
        <f t="shared" si="357"/>
        <v>0</v>
      </c>
      <c r="DW164" t="b">
        <f t="shared" si="358"/>
        <v>0</v>
      </c>
      <c r="DX164" t="b">
        <f t="shared" si="359"/>
        <v>0</v>
      </c>
      <c r="DY164" t="b">
        <f t="shared" si="360"/>
        <v>0</v>
      </c>
      <c r="DZ164" t="b">
        <f t="shared" si="361"/>
        <v>0</v>
      </c>
      <c r="EA164" t="b">
        <f t="shared" si="362"/>
        <v>0</v>
      </c>
      <c r="EB164" t="b">
        <f t="shared" si="363"/>
        <v>0</v>
      </c>
      <c r="EC164" t="b">
        <f t="shared" si="364"/>
        <v>0</v>
      </c>
      <c r="ED164" t="b">
        <f t="shared" si="365"/>
        <v>0</v>
      </c>
      <c r="EE164" t="b">
        <f t="shared" si="366"/>
        <v>0</v>
      </c>
      <c r="EF164" t="b">
        <f t="shared" si="367"/>
        <v>0</v>
      </c>
      <c r="EG164" t="b">
        <f t="shared" si="368"/>
        <v>0</v>
      </c>
      <c r="EH164" t="b">
        <f t="shared" si="369"/>
        <v>0</v>
      </c>
      <c r="EI164" t="b">
        <f t="shared" si="370"/>
        <v>0</v>
      </c>
      <c r="EJ164" t="b">
        <f t="shared" si="371"/>
        <v>0</v>
      </c>
      <c r="EK164" t="b">
        <f t="shared" si="372"/>
        <v>0</v>
      </c>
    </row>
    <row r="165" spans="1:141">
      <c r="A165" t="s">
        <v>936</v>
      </c>
      <c r="B165" t="s">
        <v>936</v>
      </c>
      <c r="C165" t="s">
        <v>937</v>
      </c>
      <c r="D165" s="1">
        <v>44846</v>
      </c>
      <c r="E165" s="2">
        <v>44858.257222222222</v>
      </c>
      <c r="F165" s="2">
        <v>44858.257222222222</v>
      </c>
      <c r="G165">
        <v>34478</v>
      </c>
      <c r="H165" t="s">
        <v>938</v>
      </c>
      <c r="I165" s="10" t="s">
        <v>939</v>
      </c>
      <c r="J165" t="s">
        <v>188</v>
      </c>
      <c r="K165" s="8" t="b">
        <v>1</v>
      </c>
      <c r="L165" s="10" t="b">
        <v>0</v>
      </c>
      <c r="M165" s="12" t="b">
        <v>0</v>
      </c>
      <c r="N165" t="b">
        <v>0</v>
      </c>
      <c r="O165" t="b">
        <v>0</v>
      </c>
      <c r="P165" t="b">
        <v>0</v>
      </c>
      <c r="Q165">
        <f t="shared" si="249"/>
        <v>4</v>
      </c>
      <c r="R165">
        <f t="shared" si="250"/>
        <v>10</v>
      </c>
      <c r="S165" t="e">
        <f t="shared" ca="1" si="280"/>
        <v>#NAME?</v>
      </c>
      <c r="T165" t="e">
        <f t="shared" ca="1" si="251"/>
        <v>#NAME?</v>
      </c>
      <c r="U165" s="4">
        <f t="shared" si="252"/>
        <v>12.257222222222481</v>
      </c>
      <c r="V165" s="4">
        <f t="shared" si="253"/>
        <v>0.40857407407408269</v>
      </c>
      <c r="W165" s="4">
        <f t="shared" si="254"/>
        <v>1</v>
      </c>
      <c r="X165" s="4">
        <f t="shared" si="255"/>
        <v>0</v>
      </c>
      <c r="Y165" s="4">
        <f t="shared" si="256"/>
        <v>0</v>
      </c>
      <c r="Z165" s="4">
        <f t="shared" si="257"/>
        <v>0</v>
      </c>
      <c r="AA165" s="4">
        <f t="shared" si="258"/>
        <v>0</v>
      </c>
      <c r="AB165" s="4">
        <f t="shared" si="259"/>
        <v>0</v>
      </c>
      <c r="AC165" s="4"/>
      <c r="AD165" s="4" t="b">
        <f t="shared" si="260"/>
        <v>0</v>
      </c>
      <c r="AE165" s="4" t="b">
        <f t="shared" si="261"/>
        <v>0</v>
      </c>
      <c r="AF165" s="4" t="b">
        <f t="shared" si="262"/>
        <v>0</v>
      </c>
      <c r="AG165" t="b">
        <f t="shared" si="263"/>
        <v>0</v>
      </c>
      <c r="AH165" t="b">
        <f t="shared" si="264"/>
        <v>0</v>
      </c>
      <c r="AI165" t="b">
        <f t="shared" si="265"/>
        <v>0</v>
      </c>
      <c r="AJ165" t="b">
        <f t="shared" si="266"/>
        <v>0</v>
      </c>
      <c r="AK165" t="b">
        <f t="shared" si="267"/>
        <v>0</v>
      </c>
      <c r="AL165" t="b">
        <f t="shared" si="268"/>
        <v>0</v>
      </c>
      <c r="AM165" t="b">
        <f t="shared" si="269"/>
        <v>0</v>
      </c>
      <c r="AN165" t="b">
        <f t="shared" si="270"/>
        <v>0</v>
      </c>
      <c r="AO165" t="b">
        <f t="shared" si="271"/>
        <v>0</v>
      </c>
      <c r="AP165" t="b">
        <f t="shared" si="272"/>
        <v>0</v>
      </c>
      <c r="AQ165" t="b">
        <f t="shared" si="273"/>
        <v>0</v>
      </c>
      <c r="AR165" t="b">
        <f t="shared" si="274"/>
        <v>0</v>
      </c>
      <c r="AS165" t="b">
        <f t="shared" si="275"/>
        <v>0</v>
      </c>
      <c r="AT165" t="b">
        <f t="shared" si="276"/>
        <v>0</v>
      </c>
      <c r="AU165" t="b">
        <f t="shared" si="277"/>
        <v>0</v>
      </c>
      <c r="AV165" t="b">
        <f t="shared" si="278"/>
        <v>0</v>
      </c>
      <c r="AW165" t="b">
        <f t="shared" si="279"/>
        <v>0</v>
      </c>
      <c r="AX165" t="b">
        <f t="shared" si="281"/>
        <v>0</v>
      </c>
      <c r="AY165" t="b">
        <f t="shared" si="282"/>
        <v>0</v>
      </c>
      <c r="AZ165" t="b">
        <f t="shared" si="283"/>
        <v>0</v>
      </c>
      <c r="BA165" t="b">
        <f t="shared" si="284"/>
        <v>0</v>
      </c>
      <c r="BB165" t="b">
        <f t="shared" si="285"/>
        <v>0</v>
      </c>
      <c r="BC165" t="b">
        <f t="shared" si="286"/>
        <v>0</v>
      </c>
      <c r="BD165" t="b">
        <f t="shared" si="287"/>
        <v>0</v>
      </c>
      <c r="BE165" t="b">
        <f t="shared" si="288"/>
        <v>0</v>
      </c>
      <c r="BF165" t="b">
        <f t="shared" si="289"/>
        <v>0</v>
      </c>
      <c r="BG165" t="b">
        <f t="shared" si="290"/>
        <v>0</v>
      </c>
      <c r="BH165" t="b">
        <f t="shared" si="291"/>
        <v>0</v>
      </c>
      <c r="BI165">
        <f t="shared" si="292"/>
        <v>1</v>
      </c>
      <c r="BJ165" t="b">
        <f t="shared" si="293"/>
        <v>0</v>
      </c>
      <c r="BK165" t="b">
        <f t="shared" si="294"/>
        <v>0</v>
      </c>
      <c r="BL165" t="b">
        <f t="shared" si="295"/>
        <v>0</v>
      </c>
      <c r="BM165" t="b">
        <f t="shared" si="296"/>
        <v>0</v>
      </c>
      <c r="BN165" t="b">
        <f t="shared" si="297"/>
        <v>0</v>
      </c>
      <c r="BO165" t="b">
        <f t="shared" si="298"/>
        <v>0</v>
      </c>
      <c r="BP165" t="b">
        <f t="shared" si="299"/>
        <v>0</v>
      </c>
      <c r="BQ165" t="b">
        <f t="shared" si="300"/>
        <v>0</v>
      </c>
      <c r="BR165" t="b">
        <f t="shared" si="301"/>
        <v>0</v>
      </c>
      <c r="BS165" t="b">
        <f t="shared" si="302"/>
        <v>0</v>
      </c>
      <c r="BT165" t="b">
        <f t="shared" si="303"/>
        <v>0</v>
      </c>
      <c r="BU165" t="b">
        <f t="shared" si="304"/>
        <v>0</v>
      </c>
      <c r="BV165" t="b">
        <f t="shared" si="305"/>
        <v>0</v>
      </c>
      <c r="BW165" t="b">
        <f t="shared" si="306"/>
        <v>0</v>
      </c>
      <c r="BX165" t="b">
        <f t="shared" si="307"/>
        <v>0</v>
      </c>
      <c r="BY165" t="b">
        <f t="shared" si="308"/>
        <v>0</v>
      </c>
      <c r="BZ165" t="b">
        <f t="shared" si="309"/>
        <v>0</v>
      </c>
      <c r="CA165" t="b">
        <f t="shared" si="310"/>
        <v>0</v>
      </c>
      <c r="CB165" t="b">
        <f t="shared" si="311"/>
        <v>0</v>
      </c>
      <c r="CC165" t="b">
        <f t="shared" si="312"/>
        <v>0</v>
      </c>
      <c r="CD165" t="b">
        <f t="shared" si="313"/>
        <v>0</v>
      </c>
      <c r="CE165">
        <f t="shared" si="314"/>
        <v>1</v>
      </c>
      <c r="CF165" t="b">
        <f t="shared" si="315"/>
        <v>0</v>
      </c>
      <c r="CG165" t="b">
        <f t="shared" si="316"/>
        <v>0</v>
      </c>
      <c r="CH165" t="b">
        <f t="shared" si="317"/>
        <v>0</v>
      </c>
      <c r="CI165" t="b">
        <f t="shared" si="318"/>
        <v>0</v>
      </c>
      <c r="CJ165" t="b">
        <f t="shared" si="319"/>
        <v>0</v>
      </c>
      <c r="CK165" t="b">
        <f t="shared" si="320"/>
        <v>0</v>
      </c>
      <c r="CL165" t="b">
        <f t="shared" si="321"/>
        <v>0</v>
      </c>
      <c r="CM165" t="b">
        <f t="shared" si="322"/>
        <v>0</v>
      </c>
      <c r="CN165" t="b">
        <f t="shared" si="323"/>
        <v>0</v>
      </c>
      <c r="CO165" t="b">
        <f t="shared" si="324"/>
        <v>0</v>
      </c>
      <c r="CP165" t="b">
        <f t="shared" si="325"/>
        <v>0</v>
      </c>
      <c r="CQ165" t="b">
        <f t="shared" si="326"/>
        <v>0</v>
      </c>
      <c r="CR165" t="b">
        <f t="shared" si="327"/>
        <v>0</v>
      </c>
      <c r="CS165" t="b">
        <f t="shared" si="328"/>
        <v>0</v>
      </c>
      <c r="CT165" t="b">
        <f t="shared" si="329"/>
        <v>0</v>
      </c>
      <c r="CU165" t="b">
        <f t="shared" si="330"/>
        <v>0</v>
      </c>
      <c r="CV165">
        <f t="shared" si="331"/>
        <v>1</v>
      </c>
      <c r="CW165" t="b">
        <f t="shared" si="332"/>
        <v>0</v>
      </c>
      <c r="CX165" t="b">
        <f t="shared" si="333"/>
        <v>0</v>
      </c>
      <c r="CY165" t="b">
        <f t="shared" si="334"/>
        <v>0</v>
      </c>
      <c r="CZ165" t="b">
        <f t="shared" si="335"/>
        <v>0</v>
      </c>
      <c r="DA165" t="b">
        <f t="shared" si="336"/>
        <v>0</v>
      </c>
      <c r="DB165" t="b">
        <f t="shared" si="337"/>
        <v>0</v>
      </c>
      <c r="DC165" t="b">
        <f t="shared" si="338"/>
        <v>0</v>
      </c>
      <c r="DD165" t="b">
        <f t="shared" si="339"/>
        <v>0</v>
      </c>
      <c r="DE165" t="b">
        <f t="shared" si="340"/>
        <v>0</v>
      </c>
      <c r="DF165" t="b">
        <f t="shared" si="341"/>
        <v>0</v>
      </c>
      <c r="DG165" t="b">
        <f t="shared" si="342"/>
        <v>0</v>
      </c>
      <c r="DH165" t="b">
        <f t="shared" si="343"/>
        <v>0</v>
      </c>
      <c r="DI165" t="b">
        <f t="shared" si="344"/>
        <v>0</v>
      </c>
      <c r="DJ165" t="b">
        <f t="shared" si="345"/>
        <v>0</v>
      </c>
      <c r="DK165" t="b">
        <f t="shared" si="346"/>
        <v>0</v>
      </c>
      <c r="DL165" t="b">
        <f t="shared" si="347"/>
        <v>0</v>
      </c>
      <c r="DM165" t="b">
        <f t="shared" si="348"/>
        <v>0</v>
      </c>
      <c r="DN165" t="b">
        <f t="shared" si="349"/>
        <v>0</v>
      </c>
      <c r="DO165" t="b">
        <f t="shared" si="350"/>
        <v>0</v>
      </c>
      <c r="DP165" t="b">
        <f t="shared" si="351"/>
        <v>0</v>
      </c>
      <c r="DQ165" t="b">
        <f t="shared" si="352"/>
        <v>0</v>
      </c>
      <c r="DR165" t="b">
        <f t="shared" si="353"/>
        <v>0</v>
      </c>
      <c r="DS165" t="b">
        <f t="shared" si="354"/>
        <v>0</v>
      </c>
      <c r="DT165" t="b">
        <f t="shared" si="355"/>
        <v>0</v>
      </c>
      <c r="DU165" t="b">
        <f t="shared" si="356"/>
        <v>0</v>
      </c>
      <c r="DV165" t="b">
        <f t="shared" si="357"/>
        <v>0</v>
      </c>
      <c r="DW165" t="b">
        <f t="shared" si="358"/>
        <v>0</v>
      </c>
      <c r="DX165" t="b">
        <f t="shared" si="359"/>
        <v>0</v>
      </c>
      <c r="DY165" t="b">
        <f t="shared" si="360"/>
        <v>0</v>
      </c>
      <c r="DZ165" t="b">
        <f t="shared" si="361"/>
        <v>0</v>
      </c>
      <c r="EA165" t="b">
        <f t="shared" si="362"/>
        <v>0</v>
      </c>
      <c r="EB165" t="b">
        <f t="shared" si="363"/>
        <v>0</v>
      </c>
      <c r="EC165" t="b">
        <f t="shared" si="364"/>
        <v>0</v>
      </c>
      <c r="ED165" t="b">
        <f t="shared" si="365"/>
        <v>0</v>
      </c>
      <c r="EE165" t="b">
        <f t="shared" si="366"/>
        <v>0</v>
      </c>
      <c r="EF165">
        <f t="shared" si="367"/>
        <v>1</v>
      </c>
      <c r="EG165" t="b">
        <f t="shared" si="368"/>
        <v>0</v>
      </c>
      <c r="EH165" t="b">
        <f t="shared" si="369"/>
        <v>0</v>
      </c>
      <c r="EI165" t="b">
        <f t="shared" si="370"/>
        <v>0</v>
      </c>
      <c r="EJ165" t="b">
        <f t="shared" si="371"/>
        <v>0</v>
      </c>
      <c r="EK165" t="b">
        <f t="shared" si="372"/>
        <v>0</v>
      </c>
    </row>
    <row r="166" spans="1:141">
      <c r="A166" t="s">
        <v>940</v>
      </c>
      <c r="B166" t="s">
        <v>940</v>
      </c>
      <c r="C166" t="s">
        <v>941</v>
      </c>
      <c r="D166" s="1">
        <v>44775</v>
      </c>
      <c r="E166" s="2">
        <v>44933.166342592594</v>
      </c>
      <c r="F166" s="2">
        <v>44933.166342592594</v>
      </c>
      <c r="G166">
        <v>367476</v>
      </c>
      <c r="H166" t="s">
        <v>942</v>
      </c>
      <c r="I166" s="10" t="s">
        <v>943</v>
      </c>
      <c r="J166" t="s">
        <v>944</v>
      </c>
      <c r="K166" s="8" t="b">
        <v>1</v>
      </c>
      <c r="L166" s="10" t="b">
        <v>0</v>
      </c>
      <c r="M166" s="12" t="b">
        <v>0</v>
      </c>
      <c r="N166" t="b">
        <v>0</v>
      </c>
      <c r="O166" t="b">
        <v>0</v>
      </c>
      <c r="P166" t="b">
        <v>0</v>
      </c>
      <c r="Q166">
        <f t="shared" si="249"/>
        <v>3</v>
      </c>
      <c r="R166">
        <f t="shared" si="250"/>
        <v>8</v>
      </c>
      <c r="S166" t="e">
        <f t="shared" ca="1" si="280"/>
        <v>#NAME?</v>
      </c>
      <c r="T166" t="e">
        <f t="shared" ca="1" si="251"/>
        <v>#NAME?</v>
      </c>
      <c r="U166" s="4">
        <f t="shared" si="252"/>
        <v>158.16634259259445</v>
      </c>
      <c r="V166" s="4">
        <f t="shared" si="253"/>
        <v>5.2722114197531482</v>
      </c>
      <c r="W166" s="4">
        <f t="shared" si="254"/>
        <v>1</v>
      </c>
      <c r="X166" s="4">
        <f t="shared" si="255"/>
        <v>0</v>
      </c>
      <c r="Y166" s="4">
        <f t="shared" si="256"/>
        <v>0</v>
      </c>
      <c r="Z166" s="4">
        <f t="shared" si="257"/>
        <v>0</v>
      </c>
      <c r="AA166" s="4">
        <f t="shared" si="258"/>
        <v>0</v>
      </c>
      <c r="AB166" s="4">
        <f t="shared" si="259"/>
        <v>0</v>
      </c>
      <c r="AC166" s="4"/>
      <c r="AD166" s="4" t="b">
        <f t="shared" si="260"/>
        <v>0</v>
      </c>
      <c r="AE166" s="4" t="b">
        <f t="shared" si="261"/>
        <v>0</v>
      </c>
      <c r="AF166" s="4" t="b">
        <f t="shared" si="262"/>
        <v>0</v>
      </c>
      <c r="AG166" t="b">
        <f t="shared" si="263"/>
        <v>0</v>
      </c>
      <c r="AH166" t="b">
        <f t="shared" si="264"/>
        <v>0</v>
      </c>
      <c r="AI166" t="b">
        <f t="shared" si="265"/>
        <v>0</v>
      </c>
      <c r="AJ166" t="b">
        <f t="shared" si="266"/>
        <v>0</v>
      </c>
      <c r="AK166" t="b">
        <f t="shared" si="267"/>
        <v>0</v>
      </c>
      <c r="AL166" t="b">
        <f t="shared" si="268"/>
        <v>0</v>
      </c>
      <c r="AM166" t="b">
        <f t="shared" si="269"/>
        <v>0</v>
      </c>
      <c r="AN166" t="b">
        <f t="shared" si="270"/>
        <v>0</v>
      </c>
      <c r="AO166" t="b">
        <f t="shared" si="271"/>
        <v>0</v>
      </c>
      <c r="AP166" t="b">
        <f t="shared" si="272"/>
        <v>0</v>
      </c>
      <c r="AQ166" t="b">
        <f t="shared" si="273"/>
        <v>0</v>
      </c>
      <c r="AR166" t="b">
        <f t="shared" si="274"/>
        <v>0</v>
      </c>
      <c r="AS166" t="b">
        <f t="shared" si="275"/>
        <v>0</v>
      </c>
      <c r="AT166" t="b">
        <f t="shared" si="276"/>
        <v>0</v>
      </c>
      <c r="AU166" t="b">
        <f t="shared" si="277"/>
        <v>0</v>
      </c>
      <c r="AV166" t="b">
        <f t="shared" si="278"/>
        <v>0</v>
      </c>
      <c r="AW166" t="b">
        <f t="shared" si="279"/>
        <v>0</v>
      </c>
      <c r="AX166" t="b">
        <f t="shared" si="281"/>
        <v>0</v>
      </c>
      <c r="AY166" t="b">
        <f t="shared" si="282"/>
        <v>0</v>
      </c>
      <c r="AZ166" t="b">
        <f t="shared" si="283"/>
        <v>0</v>
      </c>
      <c r="BA166" t="b">
        <f t="shared" si="284"/>
        <v>0</v>
      </c>
      <c r="BB166" t="b">
        <f t="shared" si="285"/>
        <v>0</v>
      </c>
      <c r="BC166" t="b">
        <f t="shared" si="286"/>
        <v>0</v>
      </c>
      <c r="BD166" t="b">
        <f t="shared" si="287"/>
        <v>0</v>
      </c>
      <c r="BE166" t="b">
        <f t="shared" si="288"/>
        <v>0</v>
      </c>
      <c r="BF166" t="b">
        <f t="shared" si="289"/>
        <v>0</v>
      </c>
      <c r="BG166" t="b">
        <f t="shared" si="290"/>
        <v>0</v>
      </c>
      <c r="BH166" t="b">
        <f t="shared" si="291"/>
        <v>0</v>
      </c>
      <c r="BI166">
        <f t="shared" si="292"/>
        <v>1</v>
      </c>
      <c r="BJ166" t="b">
        <f t="shared" si="293"/>
        <v>0</v>
      </c>
      <c r="BK166" t="b">
        <f t="shared" si="294"/>
        <v>0</v>
      </c>
      <c r="BL166" t="b">
        <f t="shared" si="295"/>
        <v>0</v>
      </c>
      <c r="BM166" t="b">
        <f t="shared" si="296"/>
        <v>0</v>
      </c>
      <c r="BN166" t="b">
        <f t="shared" si="297"/>
        <v>0</v>
      </c>
      <c r="BO166" t="b">
        <f t="shared" si="298"/>
        <v>0</v>
      </c>
      <c r="BP166" t="b">
        <f t="shared" si="299"/>
        <v>0</v>
      </c>
      <c r="BQ166" t="b">
        <f t="shared" si="300"/>
        <v>0</v>
      </c>
      <c r="BR166" t="b">
        <f t="shared" si="301"/>
        <v>0</v>
      </c>
      <c r="BS166">
        <f t="shared" si="302"/>
        <v>1</v>
      </c>
      <c r="BT166" t="b">
        <f t="shared" si="303"/>
        <v>0</v>
      </c>
      <c r="BU166" t="b">
        <f t="shared" si="304"/>
        <v>0</v>
      </c>
      <c r="BV166" t="b">
        <f t="shared" si="305"/>
        <v>0</v>
      </c>
      <c r="BW166" t="b">
        <f t="shared" si="306"/>
        <v>0</v>
      </c>
      <c r="BX166" t="b">
        <f t="shared" si="307"/>
        <v>0</v>
      </c>
      <c r="BY166" t="b">
        <f t="shared" si="308"/>
        <v>0</v>
      </c>
      <c r="BZ166" t="b">
        <f t="shared" si="309"/>
        <v>0</v>
      </c>
      <c r="CA166" t="b">
        <f t="shared" si="310"/>
        <v>0</v>
      </c>
      <c r="CB166" t="b">
        <f t="shared" si="311"/>
        <v>0</v>
      </c>
      <c r="CC166" t="b">
        <f t="shared" si="312"/>
        <v>0</v>
      </c>
      <c r="CD166" t="b">
        <f t="shared" si="313"/>
        <v>0</v>
      </c>
      <c r="CE166" t="b">
        <f t="shared" si="314"/>
        <v>0</v>
      </c>
      <c r="CF166" t="b">
        <f t="shared" si="315"/>
        <v>0</v>
      </c>
      <c r="CG166" t="b">
        <f t="shared" si="316"/>
        <v>0</v>
      </c>
      <c r="CH166" t="b">
        <f t="shared" si="317"/>
        <v>0</v>
      </c>
      <c r="CI166" t="b">
        <f t="shared" si="318"/>
        <v>0</v>
      </c>
      <c r="CJ166" t="b">
        <f t="shared" si="319"/>
        <v>0</v>
      </c>
      <c r="CK166" t="b">
        <f t="shared" si="320"/>
        <v>0</v>
      </c>
      <c r="CL166" t="b">
        <f t="shared" si="321"/>
        <v>0</v>
      </c>
      <c r="CM166">
        <f t="shared" si="322"/>
        <v>1</v>
      </c>
      <c r="CN166" t="b">
        <f t="shared" si="323"/>
        <v>0</v>
      </c>
      <c r="CO166" t="b">
        <f t="shared" si="324"/>
        <v>0</v>
      </c>
      <c r="CP166" t="b">
        <f t="shared" si="325"/>
        <v>0</v>
      </c>
      <c r="CQ166" t="b">
        <f t="shared" si="326"/>
        <v>0</v>
      </c>
      <c r="CR166" t="b">
        <f t="shared" si="327"/>
        <v>0</v>
      </c>
      <c r="CS166" t="b">
        <f t="shared" si="328"/>
        <v>0</v>
      </c>
      <c r="CT166" t="b">
        <f t="shared" si="329"/>
        <v>0</v>
      </c>
      <c r="CU166" t="b">
        <f t="shared" si="330"/>
        <v>0</v>
      </c>
      <c r="CV166" t="b">
        <f t="shared" si="331"/>
        <v>0</v>
      </c>
      <c r="CW166" t="b">
        <f t="shared" si="332"/>
        <v>0</v>
      </c>
      <c r="CX166" t="b">
        <f t="shared" si="333"/>
        <v>0</v>
      </c>
      <c r="CY166" t="b">
        <f t="shared" si="334"/>
        <v>0</v>
      </c>
      <c r="CZ166" t="b">
        <f t="shared" si="335"/>
        <v>0</v>
      </c>
      <c r="DA166" t="b">
        <f t="shared" si="336"/>
        <v>0</v>
      </c>
      <c r="DB166" t="b">
        <f t="shared" si="337"/>
        <v>0</v>
      </c>
      <c r="DC166" t="b">
        <f t="shared" si="338"/>
        <v>0</v>
      </c>
      <c r="DD166" t="b">
        <f t="shared" si="339"/>
        <v>0</v>
      </c>
      <c r="DE166" t="b">
        <f t="shared" si="340"/>
        <v>0</v>
      </c>
      <c r="DF166" t="b">
        <f t="shared" si="341"/>
        <v>0</v>
      </c>
      <c r="DG166" t="b">
        <f t="shared" si="342"/>
        <v>0</v>
      </c>
      <c r="DH166" t="b">
        <f t="shared" si="343"/>
        <v>0</v>
      </c>
      <c r="DI166" t="b">
        <f t="shared" si="344"/>
        <v>0</v>
      </c>
      <c r="DJ166" t="b">
        <f t="shared" si="345"/>
        <v>0</v>
      </c>
      <c r="DK166" t="b">
        <f t="shared" si="346"/>
        <v>0</v>
      </c>
      <c r="DL166" t="b">
        <f t="shared" si="347"/>
        <v>0</v>
      </c>
      <c r="DM166" t="b">
        <f t="shared" si="348"/>
        <v>0</v>
      </c>
      <c r="DN166" t="b">
        <f t="shared" si="349"/>
        <v>0</v>
      </c>
      <c r="DO166" t="b">
        <f t="shared" si="350"/>
        <v>0</v>
      </c>
      <c r="DP166" t="b">
        <f t="shared" si="351"/>
        <v>0</v>
      </c>
      <c r="DQ166" t="b">
        <f t="shared" si="352"/>
        <v>0</v>
      </c>
      <c r="DR166" t="b">
        <f t="shared" si="353"/>
        <v>0</v>
      </c>
      <c r="DS166" t="b">
        <f t="shared" si="354"/>
        <v>0</v>
      </c>
      <c r="DT166" t="b">
        <f t="shared" si="355"/>
        <v>0</v>
      </c>
      <c r="DU166" t="b">
        <f t="shared" si="356"/>
        <v>0</v>
      </c>
      <c r="DV166" t="b">
        <f t="shared" si="357"/>
        <v>0</v>
      </c>
      <c r="DW166" t="b">
        <f t="shared" si="358"/>
        <v>0</v>
      </c>
      <c r="DX166" t="b">
        <f t="shared" si="359"/>
        <v>0</v>
      </c>
      <c r="DY166" t="b">
        <f t="shared" si="360"/>
        <v>0</v>
      </c>
      <c r="DZ166" t="b">
        <f t="shared" si="361"/>
        <v>0</v>
      </c>
      <c r="EA166" t="b">
        <f t="shared" si="362"/>
        <v>0</v>
      </c>
      <c r="EB166" t="b">
        <f t="shared" si="363"/>
        <v>0</v>
      </c>
      <c r="EC166" t="b">
        <f t="shared" si="364"/>
        <v>0</v>
      </c>
      <c r="ED166" t="b">
        <f t="shared" si="365"/>
        <v>0</v>
      </c>
      <c r="EE166" t="b">
        <f t="shared" si="366"/>
        <v>0</v>
      </c>
      <c r="EF166" t="b">
        <f t="shared" si="367"/>
        <v>0</v>
      </c>
      <c r="EG166" t="b">
        <f t="shared" si="368"/>
        <v>0</v>
      </c>
      <c r="EH166" t="b">
        <f t="shared" si="369"/>
        <v>0</v>
      </c>
      <c r="EI166" t="b">
        <f t="shared" si="370"/>
        <v>0</v>
      </c>
      <c r="EJ166" t="b">
        <f t="shared" si="371"/>
        <v>0</v>
      </c>
      <c r="EK166" t="b">
        <f t="shared" si="372"/>
        <v>0</v>
      </c>
    </row>
    <row r="167" spans="1:141">
      <c r="A167" t="s">
        <v>945</v>
      </c>
      <c r="B167" t="s">
        <v>945</v>
      </c>
      <c r="C167" t="s">
        <v>946</v>
      </c>
      <c r="D167" s="1">
        <v>44566</v>
      </c>
      <c r="E167" s="2">
        <v>44569.244305555556</v>
      </c>
      <c r="F167" s="2">
        <v>44570.26662037037</v>
      </c>
      <c r="G167">
        <v>370794</v>
      </c>
      <c r="H167" t="s">
        <v>947</v>
      </c>
      <c r="I167" s="10" t="s">
        <v>948</v>
      </c>
      <c r="J167" t="s">
        <v>949</v>
      </c>
      <c r="K167" s="8" t="b">
        <v>1</v>
      </c>
      <c r="L167" s="10" t="b">
        <v>0</v>
      </c>
      <c r="M167" s="12" t="b">
        <v>1</v>
      </c>
      <c r="N167" t="b">
        <v>0</v>
      </c>
      <c r="O167" t="b">
        <v>0</v>
      </c>
      <c r="P167" t="b">
        <v>0</v>
      </c>
      <c r="Q167">
        <f t="shared" si="249"/>
        <v>4</v>
      </c>
      <c r="R167">
        <f t="shared" si="250"/>
        <v>1</v>
      </c>
      <c r="S167" t="e">
        <f t="shared" ca="1" si="280"/>
        <v>#NAME?</v>
      </c>
      <c r="T167" t="e">
        <f t="shared" ca="1" si="251"/>
        <v>#NAME?</v>
      </c>
      <c r="U167" s="4">
        <f t="shared" si="252"/>
        <v>3.2443055555559113</v>
      </c>
      <c r="V167" s="4">
        <f t="shared" si="253"/>
        <v>0.10814351851853038</v>
      </c>
      <c r="W167" s="4">
        <f t="shared" si="254"/>
        <v>1</v>
      </c>
      <c r="X167" s="4">
        <f t="shared" si="255"/>
        <v>0</v>
      </c>
      <c r="Y167" s="4">
        <f t="shared" si="256"/>
        <v>1</v>
      </c>
      <c r="Z167" s="4">
        <f t="shared" si="257"/>
        <v>0</v>
      </c>
      <c r="AA167" s="4">
        <f t="shared" si="258"/>
        <v>0</v>
      </c>
      <c r="AB167" s="4">
        <f t="shared" si="259"/>
        <v>0</v>
      </c>
      <c r="AC167" s="4"/>
      <c r="AD167" s="4" t="b">
        <f t="shared" si="260"/>
        <v>0</v>
      </c>
      <c r="AE167" s="4" t="b">
        <f t="shared" si="261"/>
        <v>0</v>
      </c>
      <c r="AF167" s="4" t="b">
        <f t="shared" si="262"/>
        <v>0</v>
      </c>
      <c r="AG167" t="b">
        <f t="shared" si="263"/>
        <v>0</v>
      </c>
      <c r="AH167" t="b">
        <f t="shared" si="264"/>
        <v>0</v>
      </c>
      <c r="AI167" t="b">
        <f t="shared" si="265"/>
        <v>0</v>
      </c>
      <c r="AJ167" t="b">
        <f t="shared" si="266"/>
        <v>0</v>
      </c>
      <c r="AK167" t="b">
        <f t="shared" si="267"/>
        <v>0</v>
      </c>
      <c r="AL167" t="b">
        <f t="shared" si="268"/>
        <v>0</v>
      </c>
      <c r="AM167" t="b">
        <f t="shared" si="269"/>
        <v>0</v>
      </c>
      <c r="AN167" t="b">
        <f t="shared" si="270"/>
        <v>0</v>
      </c>
      <c r="AO167" t="b">
        <f t="shared" si="271"/>
        <v>0</v>
      </c>
      <c r="AP167" t="b">
        <f t="shared" si="272"/>
        <v>0</v>
      </c>
      <c r="AQ167" t="b">
        <f t="shared" si="273"/>
        <v>0</v>
      </c>
      <c r="AR167" t="b">
        <f t="shared" si="274"/>
        <v>0</v>
      </c>
      <c r="AS167" t="b">
        <f t="shared" si="275"/>
        <v>0</v>
      </c>
      <c r="AT167" t="b">
        <f t="shared" si="276"/>
        <v>0</v>
      </c>
      <c r="AU167" t="b">
        <f t="shared" si="277"/>
        <v>0</v>
      </c>
      <c r="AV167" t="b">
        <f t="shared" si="278"/>
        <v>0</v>
      </c>
      <c r="AW167" t="b">
        <f t="shared" si="279"/>
        <v>0</v>
      </c>
      <c r="AX167" t="b">
        <f t="shared" si="281"/>
        <v>0</v>
      </c>
      <c r="AY167" t="b">
        <f t="shared" si="282"/>
        <v>0</v>
      </c>
      <c r="AZ167" t="b">
        <f t="shared" si="283"/>
        <v>0</v>
      </c>
      <c r="BA167" t="b">
        <f t="shared" si="284"/>
        <v>0</v>
      </c>
      <c r="BB167" t="b">
        <f t="shared" si="285"/>
        <v>0</v>
      </c>
      <c r="BC167" t="b">
        <f t="shared" si="286"/>
        <v>0</v>
      </c>
      <c r="BD167" t="b">
        <f t="shared" si="287"/>
        <v>0</v>
      </c>
      <c r="BE167" t="b">
        <f t="shared" si="288"/>
        <v>0</v>
      </c>
      <c r="BF167" t="b">
        <f t="shared" si="289"/>
        <v>0</v>
      </c>
      <c r="BG167" t="b">
        <f t="shared" si="290"/>
        <v>0</v>
      </c>
      <c r="BH167" t="b">
        <f t="shared" si="291"/>
        <v>0</v>
      </c>
      <c r="BI167">
        <f t="shared" si="292"/>
        <v>1</v>
      </c>
      <c r="BJ167" t="b">
        <f t="shared" si="293"/>
        <v>0</v>
      </c>
      <c r="BK167" t="b">
        <f t="shared" si="294"/>
        <v>0</v>
      </c>
      <c r="BL167" t="b">
        <f t="shared" si="295"/>
        <v>0</v>
      </c>
      <c r="BM167" t="b">
        <f t="shared" si="296"/>
        <v>0</v>
      </c>
      <c r="BN167" t="b">
        <f t="shared" si="297"/>
        <v>0</v>
      </c>
      <c r="BO167" t="b">
        <f t="shared" si="298"/>
        <v>0</v>
      </c>
      <c r="BP167" t="b">
        <f t="shared" si="299"/>
        <v>0</v>
      </c>
      <c r="BQ167" t="b">
        <f t="shared" si="300"/>
        <v>0</v>
      </c>
      <c r="BR167" t="b">
        <f t="shared" si="301"/>
        <v>0</v>
      </c>
      <c r="BS167" t="b">
        <f t="shared" si="302"/>
        <v>0</v>
      </c>
      <c r="BT167" t="b">
        <f t="shared" si="303"/>
        <v>0</v>
      </c>
      <c r="BU167" t="b">
        <f t="shared" si="304"/>
        <v>0</v>
      </c>
      <c r="BV167" t="b">
        <f t="shared" si="305"/>
        <v>0</v>
      </c>
      <c r="BW167" t="b">
        <f t="shared" si="306"/>
        <v>0</v>
      </c>
      <c r="BX167" t="b">
        <f t="shared" si="307"/>
        <v>0</v>
      </c>
      <c r="BY167" t="b">
        <f t="shared" si="308"/>
        <v>0</v>
      </c>
      <c r="BZ167" t="b">
        <f t="shared" si="309"/>
        <v>0</v>
      </c>
      <c r="CA167" t="b">
        <f t="shared" si="310"/>
        <v>0</v>
      </c>
      <c r="CB167" t="b">
        <f t="shared" si="311"/>
        <v>0</v>
      </c>
      <c r="CC167" t="b">
        <f t="shared" si="312"/>
        <v>0</v>
      </c>
      <c r="CD167" t="b">
        <f t="shared" si="313"/>
        <v>0</v>
      </c>
      <c r="CE167" t="b">
        <f t="shared" si="314"/>
        <v>0</v>
      </c>
      <c r="CF167" t="b">
        <f t="shared" si="315"/>
        <v>0</v>
      </c>
      <c r="CG167" t="b">
        <f t="shared" si="316"/>
        <v>0</v>
      </c>
      <c r="CH167" t="b">
        <f t="shared" si="317"/>
        <v>0</v>
      </c>
      <c r="CI167" t="b">
        <f t="shared" si="318"/>
        <v>0</v>
      </c>
      <c r="CJ167" t="b">
        <f t="shared" si="319"/>
        <v>0</v>
      </c>
      <c r="CK167" t="b">
        <f t="shared" si="320"/>
        <v>0</v>
      </c>
      <c r="CL167" t="b">
        <f t="shared" si="321"/>
        <v>0</v>
      </c>
      <c r="CM167" t="b">
        <f t="shared" si="322"/>
        <v>0</v>
      </c>
      <c r="CN167" t="b">
        <f t="shared" si="323"/>
        <v>0</v>
      </c>
      <c r="CO167" t="b">
        <f t="shared" si="324"/>
        <v>0</v>
      </c>
      <c r="CP167" t="b">
        <f t="shared" si="325"/>
        <v>0</v>
      </c>
      <c r="CQ167" t="b">
        <f t="shared" si="326"/>
        <v>0</v>
      </c>
      <c r="CR167" t="b">
        <f t="shared" si="327"/>
        <v>0</v>
      </c>
      <c r="CS167" t="b">
        <f t="shared" si="328"/>
        <v>0</v>
      </c>
      <c r="CT167" t="b">
        <f t="shared" si="329"/>
        <v>0</v>
      </c>
      <c r="CU167" t="b">
        <f t="shared" si="330"/>
        <v>0</v>
      </c>
      <c r="CV167">
        <f t="shared" si="331"/>
        <v>1</v>
      </c>
      <c r="CW167" t="b">
        <f t="shared" si="332"/>
        <v>0</v>
      </c>
      <c r="CX167" t="b">
        <f t="shared" si="333"/>
        <v>0</v>
      </c>
      <c r="CY167" t="b">
        <f t="shared" si="334"/>
        <v>0</v>
      </c>
      <c r="CZ167" t="b">
        <f t="shared" si="335"/>
        <v>0</v>
      </c>
      <c r="DA167" t="b">
        <f t="shared" si="336"/>
        <v>0</v>
      </c>
      <c r="DB167" t="b">
        <f t="shared" si="337"/>
        <v>0</v>
      </c>
      <c r="DC167" t="b">
        <f t="shared" si="338"/>
        <v>0</v>
      </c>
      <c r="DD167" t="b">
        <f t="shared" si="339"/>
        <v>0</v>
      </c>
      <c r="DE167" t="b">
        <f t="shared" si="340"/>
        <v>0</v>
      </c>
      <c r="DF167" t="b">
        <f t="shared" si="341"/>
        <v>0</v>
      </c>
      <c r="DG167" t="b">
        <f t="shared" si="342"/>
        <v>0</v>
      </c>
      <c r="DH167" t="b">
        <f t="shared" si="343"/>
        <v>0</v>
      </c>
      <c r="DI167" t="b">
        <f t="shared" si="344"/>
        <v>0</v>
      </c>
      <c r="DJ167" t="b">
        <f t="shared" si="345"/>
        <v>0</v>
      </c>
      <c r="DK167" t="b">
        <f t="shared" si="346"/>
        <v>0</v>
      </c>
      <c r="DL167" t="b">
        <f t="shared" si="347"/>
        <v>0</v>
      </c>
      <c r="DM167" t="b">
        <f t="shared" si="348"/>
        <v>0</v>
      </c>
      <c r="DN167" t="b">
        <f t="shared" si="349"/>
        <v>0</v>
      </c>
      <c r="DO167" t="b">
        <f t="shared" si="350"/>
        <v>0</v>
      </c>
      <c r="DP167" t="b">
        <f t="shared" si="351"/>
        <v>0</v>
      </c>
      <c r="DQ167" t="b">
        <f t="shared" si="352"/>
        <v>0</v>
      </c>
      <c r="DR167" t="b">
        <f t="shared" si="353"/>
        <v>0</v>
      </c>
      <c r="DS167" t="b">
        <f t="shared" si="354"/>
        <v>0</v>
      </c>
      <c r="DT167" t="b">
        <f t="shared" si="355"/>
        <v>0</v>
      </c>
      <c r="DU167" t="b">
        <f t="shared" si="356"/>
        <v>0</v>
      </c>
      <c r="DV167" t="b">
        <f t="shared" si="357"/>
        <v>0</v>
      </c>
      <c r="DW167" t="b">
        <f t="shared" si="358"/>
        <v>0</v>
      </c>
      <c r="DX167" t="b">
        <f t="shared" si="359"/>
        <v>0</v>
      </c>
      <c r="DY167" t="b">
        <f t="shared" si="360"/>
        <v>0</v>
      </c>
      <c r="DZ167" t="b">
        <f t="shared" si="361"/>
        <v>0</v>
      </c>
      <c r="EA167" t="b">
        <f t="shared" si="362"/>
        <v>0</v>
      </c>
      <c r="EB167" t="b">
        <f t="shared" si="363"/>
        <v>0</v>
      </c>
      <c r="EC167" t="b">
        <f t="shared" si="364"/>
        <v>0</v>
      </c>
      <c r="ED167" t="b">
        <f t="shared" si="365"/>
        <v>0</v>
      </c>
      <c r="EE167" t="b">
        <f t="shared" si="366"/>
        <v>0</v>
      </c>
      <c r="EF167">
        <f t="shared" si="367"/>
        <v>1</v>
      </c>
      <c r="EG167" t="b">
        <f t="shared" si="368"/>
        <v>0</v>
      </c>
      <c r="EH167" t="b">
        <f t="shared" si="369"/>
        <v>0</v>
      </c>
      <c r="EI167" t="b">
        <f t="shared" si="370"/>
        <v>0</v>
      </c>
      <c r="EJ167" t="b">
        <f t="shared" si="371"/>
        <v>0</v>
      </c>
      <c r="EK167" t="b">
        <f t="shared" si="372"/>
        <v>0</v>
      </c>
    </row>
    <row r="168" spans="1:141">
      <c r="A168" t="s">
        <v>950</v>
      </c>
      <c r="B168" t="s">
        <v>950</v>
      </c>
      <c r="C168" t="s">
        <v>951</v>
      </c>
      <c r="D168" s="1">
        <v>44184</v>
      </c>
      <c r="E168" s="2">
        <v>44326.335057870368</v>
      </c>
      <c r="F168" s="2">
        <v>44326.335057870368</v>
      </c>
      <c r="G168">
        <v>3675099</v>
      </c>
      <c r="H168" t="s">
        <v>952</v>
      </c>
      <c r="I168" s="10" t="s">
        <v>953</v>
      </c>
      <c r="J168" t="s">
        <v>954</v>
      </c>
      <c r="K168" s="8" t="b">
        <v>1</v>
      </c>
      <c r="L168" s="10" t="b">
        <v>0</v>
      </c>
      <c r="M168" s="12" t="b">
        <v>0</v>
      </c>
      <c r="N168" t="b">
        <v>0</v>
      </c>
      <c r="O168" t="b">
        <v>0</v>
      </c>
      <c r="P168" t="b">
        <v>0</v>
      </c>
      <c r="Q168">
        <f t="shared" si="249"/>
        <v>7</v>
      </c>
      <c r="R168">
        <f t="shared" si="250"/>
        <v>12</v>
      </c>
      <c r="S168" t="e">
        <f t="shared" ca="1" si="280"/>
        <v>#NAME?</v>
      </c>
      <c r="T168" t="e">
        <f t="shared" ca="1" si="251"/>
        <v>#NAME?</v>
      </c>
      <c r="U168" s="4">
        <f t="shared" si="252"/>
        <v>142.33505787036847</v>
      </c>
      <c r="V168" s="4">
        <f t="shared" si="253"/>
        <v>4.7445019290122827</v>
      </c>
      <c r="W168" s="4">
        <f t="shared" si="254"/>
        <v>1</v>
      </c>
      <c r="X168" s="4">
        <f t="shared" si="255"/>
        <v>0</v>
      </c>
      <c r="Y168" s="4">
        <f t="shared" si="256"/>
        <v>0</v>
      </c>
      <c r="Z168" s="4">
        <f t="shared" si="257"/>
        <v>0</v>
      </c>
      <c r="AA168" s="4">
        <f t="shared" si="258"/>
        <v>0</v>
      </c>
      <c r="AB168" s="4">
        <f t="shared" si="259"/>
        <v>0</v>
      </c>
      <c r="AC168" s="4"/>
      <c r="AD168" s="4" t="b">
        <f t="shared" si="260"/>
        <v>0</v>
      </c>
      <c r="AE168" s="4" t="b">
        <f t="shared" si="261"/>
        <v>0</v>
      </c>
      <c r="AF168" s="4" t="b">
        <f t="shared" si="262"/>
        <v>0</v>
      </c>
      <c r="AG168" t="b">
        <f t="shared" si="263"/>
        <v>0</v>
      </c>
      <c r="AH168" t="b">
        <f t="shared" si="264"/>
        <v>0</v>
      </c>
      <c r="AI168" t="b">
        <f t="shared" si="265"/>
        <v>0</v>
      </c>
      <c r="AJ168" t="b">
        <f t="shared" si="266"/>
        <v>0</v>
      </c>
      <c r="AK168" t="b">
        <f t="shared" si="267"/>
        <v>0</v>
      </c>
      <c r="AL168" t="b">
        <f t="shared" si="268"/>
        <v>0</v>
      </c>
      <c r="AM168" t="b">
        <f t="shared" si="269"/>
        <v>0</v>
      </c>
      <c r="AN168" t="b">
        <f t="shared" si="270"/>
        <v>0</v>
      </c>
      <c r="AO168" t="b">
        <f t="shared" si="271"/>
        <v>0</v>
      </c>
      <c r="AP168" t="b">
        <f t="shared" si="272"/>
        <v>0</v>
      </c>
      <c r="AQ168" t="b">
        <f t="shared" si="273"/>
        <v>0</v>
      </c>
      <c r="AR168" t="b">
        <f t="shared" si="274"/>
        <v>0</v>
      </c>
      <c r="AS168" t="b">
        <f t="shared" si="275"/>
        <v>0</v>
      </c>
      <c r="AT168" t="b">
        <f t="shared" si="276"/>
        <v>0</v>
      </c>
      <c r="AU168" t="b">
        <f t="shared" si="277"/>
        <v>0</v>
      </c>
      <c r="AV168" t="b">
        <f t="shared" si="278"/>
        <v>0</v>
      </c>
      <c r="AW168" t="b">
        <f t="shared" si="279"/>
        <v>0</v>
      </c>
      <c r="AX168" t="b">
        <f t="shared" si="281"/>
        <v>0</v>
      </c>
      <c r="AY168" t="b">
        <f t="shared" si="282"/>
        <v>0</v>
      </c>
      <c r="AZ168" t="b">
        <f t="shared" si="283"/>
        <v>0</v>
      </c>
      <c r="BA168" t="b">
        <f t="shared" si="284"/>
        <v>0</v>
      </c>
      <c r="BB168" t="b">
        <f t="shared" si="285"/>
        <v>0</v>
      </c>
      <c r="BC168" t="b">
        <f t="shared" si="286"/>
        <v>0</v>
      </c>
      <c r="BD168" t="b">
        <f t="shared" si="287"/>
        <v>0</v>
      </c>
      <c r="BE168" t="b">
        <f t="shared" si="288"/>
        <v>0</v>
      </c>
      <c r="BF168" t="b">
        <f t="shared" si="289"/>
        <v>0</v>
      </c>
      <c r="BG168" t="b">
        <f t="shared" si="290"/>
        <v>0</v>
      </c>
      <c r="BH168" t="b">
        <f t="shared" si="291"/>
        <v>0</v>
      </c>
      <c r="BI168">
        <f t="shared" si="292"/>
        <v>1</v>
      </c>
      <c r="BJ168" t="b">
        <f t="shared" si="293"/>
        <v>0</v>
      </c>
      <c r="BK168" t="b">
        <f t="shared" si="294"/>
        <v>0</v>
      </c>
      <c r="BL168" t="b">
        <f t="shared" si="295"/>
        <v>0</v>
      </c>
      <c r="BM168" t="b">
        <f t="shared" si="296"/>
        <v>0</v>
      </c>
      <c r="BN168" t="b">
        <f t="shared" si="297"/>
        <v>0</v>
      </c>
      <c r="BO168" t="b">
        <f t="shared" si="298"/>
        <v>0</v>
      </c>
      <c r="BP168" t="b">
        <f t="shared" si="299"/>
        <v>0</v>
      </c>
      <c r="BQ168" t="b">
        <f t="shared" si="300"/>
        <v>0</v>
      </c>
      <c r="BR168" t="b">
        <f t="shared" si="301"/>
        <v>0</v>
      </c>
      <c r="BS168" t="b">
        <f t="shared" si="302"/>
        <v>0</v>
      </c>
      <c r="BT168" t="b">
        <f t="shared" si="303"/>
        <v>0</v>
      </c>
      <c r="BU168" t="b">
        <f t="shared" si="304"/>
        <v>0</v>
      </c>
      <c r="BV168" t="b">
        <f t="shared" si="305"/>
        <v>0</v>
      </c>
      <c r="BW168" t="b">
        <f t="shared" si="306"/>
        <v>0</v>
      </c>
      <c r="BX168" t="b">
        <f t="shared" si="307"/>
        <v>0</v>
      </c>
      <c r="BY168" t="b">
        <f t="shared" si="308"/>
        <v>0</v>
      </c>
      <c r="BZ168" t="b">
        <f t="shared" si="309"/>
        <v>0</v>
      </c>
      <c r="CA168" t="b">
        <f t="shared" si="310"/>
        <v>0</v>
      </c>
      <c r="CB168" t="b">
        <f t="shared" si="311"/>
        <v>0</v>
      </c>
      <c r="CC168" t="b">
        <f t="shared" si="312"/>
        <v>0</v>
      </c>
      <c r="CD168" t="b">
        <f t="shared" si="313"/>
        <v>0</v>
      </c>
      <c r="CE168" t="b">
        <f t="shared" si="314"/>
        <v>0</v>
      </c>
      <c r="CF168" t="b">
        <f t="shared" si="315"/>
        <v>0</v>
      </c>
      <c r="CG168" t="b">
        <f t="shared" si="316"/>
        <v>0</v>
      </c>
      <c r="CH168" t="b">
        <f t="shared" si="317"/>
        <v>0</v>
      </c>
      <c r="CI168" t="b">
        <f t="shared" si="318"/>
        <v>0</v>
      </c>
      <c r="CJ168" t="b">
        <f t="shared" si="319"/>
        <v>0</v>
      </c>
      <c r="CK168" t="b">
        <f t="shared" si="320"/>
        <v>0</v>
      </c>
      <c r="CL168" t="b">
        <f t="shared" si="321"/>
        <v>0</v>
      </c>
      <c r="CM168">
        <f t="shared" si="322"/>
        <v>1</v>
      </c>
      <c r="CN168" t="b">
        <f t="shared" si="323"/>
        <v>0</v>
      </c>
      <c r="CO168" t="b">
        <f t="shared" si="324"/>
        <v>0</v>
      </c>
      <c r="CP168" t="b">
        <f t="shared" si="325"/>
        <v>0</v>
      </c>
      <c r="CQ168" t="b">
        <f t="shared" si="326"/>
        <v>0</v>
      </c>
      <c r="CR168" t="b">
        <f t="shared" si="327"/>
        <v>0</v>
      </c>
      <c r="CS168" t="b">
        <f t="shared" si="328"/>
        <v>0</v>
      </c>
      <c r="CT168" t="b">
        <f t="shared" si="329"/>
        <v>0</v>
      </c>
      <c r="CU168" t="b">
        <f t="shared" si="330"/>
        <v>0</v>
      </c>
      <c r="CV168">
        <f t="shared" si="331"/>
        <v>1</v>
      </c>
      <c r="CW168" t="b">
        <f t="shared" si="332"/>
        <v>0</v>
      </c>
      <c r="CX168" t="b">
        <f t="shared" si="333"/>
        <v>0</v>
      </c>
      <c r="CY168" t="b">
        <f t="shared" si="334"/>
        <v>0</v>
      </c>
      <c r="CZ168" t="b">
        <f t="shared" si="335"/>
        <v>0</v>
      </c>
      <c r="DA168">
        <f t="shared" si="336"/>
        <v>1</v>
      </c>
      <c r="DB168">
        <f t="shared" si="337"/>
        <v>1</v>
      </c>
      <c r="DC168" t="b">
        <f t="shared" si="338"/>
        <v>0</v>
      </c>
      <c r="DD168" t="b">
        <f t="shared" si="339"/>
        <v>0</v>
      </c>
      <c r="DE168" t="b">
        <f t="shared" si="340"/>
        <v>0</v>
      </c>
      <c r="DF168" t="b">
        <f t="shared" si="341"/>
        <v>0</v>
      </c>
      <c r="DG168" t="b">
        <f t="shared" si="342"/>
        <v>0</v>
      </c>
      <c r="DH168" t="b">
        <f t="shared" si="343"/>
        <v>0</v>
      </c>
      <c r="DI168" t="b">
        <f t="shared" si="344"/>
        <v>0</v>
      </c>
      <c r="DJ168" t="b">
        <f t="shared" si="345"/>
        <v>0</v>
      </c>
      <c r="DK168" t="b">
        <f t="shared" si="346"/>
        <v>0</v>
      </c>
      <c r="DL168" t="b">
        <f t="shared" si="347"/>
        <v>0</v>
      </c>
      <c r="DM168" t="b">
        <f t="shared" si="348"/>
        <v>0</v>
      </c>
      <c r="DN168" t="b">
        <f t="shared" si="349"/>
        <v>0</v>
      </c>
      <c r="DO168" t="b">
        <f t="shared" si="350"/>
        <v>0</v>
      </c>
      <c r="DP168" t="b">
        <f t="shared" si="351"/>
        <v>0</v>
      </c>
      <c r="DQ168" t="b">
        <f t="shared" si="352"/>
        <v>0</v>
      </c>
      <c r="DR168" t="b">
        <f t="shared" si="353"/>
        <v>0</v>
      </c>
      <c r="DS168" t="b">
        <f t="shared" si="354"/>
        <v>0</v>
      </c>
      <c r="DT168" t="b">
        <f t="shared" si="355"/>
        <v>0</v>
      </c>
      <c r="DU168" t="b">
        <f t="shared" si="356"/>
        <v>0</v>
      </c>
      <c r="DV168" t="b">
        <f t="shared" si="357"/>
        <v>0</v>
      </c>
      <c r="DW168" t="b">
        <f t="shared" si="358"/>
        <v>0</v>
      </c>
      <c r="DX168" t="b">
        <f t="shared" si="359"/>
        <v>0</v>
      </c>
      <c r="DY168" t="b">
        <f t="shared" si="360"/>
        <v>0</v>
      </c>
      <c r="DZ168" t="b">
        <f t="shared" si="361"/>
        <v>0</v>
      </c>
      <c r="EA168" t="b">
        <f t="shared" si="362"/>
        <v>0</v>
      </c>
      <c r="EB168" t="b">
        <f t="shared" si="363"/>
        <v>0</v>
      </c>
      <c r="EC168" t="b">
        <f t="shared" si="364"/>
        <v>0</v>
      </c>
      <c r="ED168" t="b">
        <f t="shared" si="365"/>
        <v>0</v>
      </c>
      <c r="EE168" t="b">
        <f t="shared" si="366"/>
        <v>0</v>
      </c>
      <c r="EF168" t="b">
        <f t="shared" si="367"/>
        <v>0</v>
      </c>
      <c r="EG168">
        <f t="shared" si="368"/>
        <v>1</v>
      </c>
      <c r="EH168" t="b">
        <f t="shared" si="369"/>
        <v>0</v>
      </c>
      <c r="EI168" t="b">
        <f t="shared" si="370"/>
        <v>0</v>
      </c>
      <c r="EJ168" t="b">
        <f t="shared" si="371"/>
        <v>0</v>
      </c>
      <c r="EK168" t="b">
        <f t="shared" si="372"/>
        <v>0</v>
      </c>
    </row>
    <row r="169" spans="1:141">
      <c r="A169" t="s">
        <v>955</v>
      </c>
      <c r="B169" t="s">
        <v>955</v>
      </c>
      <c r="C169" t="s">
        <v>956</v>
      </c>
      <c r="D169" s="1">
        <v>44014</v>
      </c>
      <c r="E169" s="2">
        <v>44040.906307870369</v>
      </c>
      <c r="F169" s="2">
        <v>44040.906307870369</v>
      </c>
      <c r="G169">
        <v>2479044</v>
      </c>
      <c r="H169" t="s">
        <v>957</v>
      </c>
      <c r="I169" s="10" t="s">
        <v>958</v>
      </c>
      <c r="J169" t="s">
        <v>959</v>
      </c>
      <c r="K169" s="8" t="b">
        <v>1</v>
      </c>
      <c r="L169" s="10" t="b">
        <v>0</v>
      </c>
      <c r="M169" s="12" t="b">
        <v>0</v>
      </c>
      <c r="N169" t="b">
        <v>0</v>
      </c>
      <c r="O169" t="b">
        <v>0</v>
      </c>
      <c r="P169" t="b">
        <v>0</v>
      </c>
      <c r="Q169">
        <f t="shared" si="249"/>
        <v>5</v>
      </c>
      <c r="R169">
        <f t="shared" si="250"/>
        <v>7</v>
      </c>
      <c r="S169" t="e">
        <f t="shared" ca="1" si="280"/>
        <v>#NAME?</v>
      </c>
      <c r="T169" t="e">
        <f t="shared" ca="1" si="251"/>
        <v>#NAME?</v>
      </c>
      <c r="U169" s="4">
        <f t="shared" si="252"/>
        <v>26.906307870369346</v>
      </c>
      <c r="V169" s="4">
        <f t="shared" si="253"/>
        <v>0.89687692901231153</v>
      </c>
      <c r="W169" s="4">
        <f t="shared" si="254"/>
        <v>1</v>
      </c>
      <c r="X169" s="4">
        <f t="shared" si="255"/>
        <v>0</v>
      </c>
      <c r="Y169" s="4">
        <f t="shared" si="256"/>
        <v>0</v>
      </c>
      <c r="Z169" s="4">
        <f t="shared" si="257"/>
        <v>0</v>
      </c>
      <c r="AA169" s="4">
        <f t="shared" si="258"/>
        <v>0</v>
      </c>
      <c r="AB169" s="4">
        <f t="shared" si="259"/>
        <v>0</v>
      </c>
      <c r="AC169" s="4"/>
      <c r="AD169" s="4" t="b">
        <f t="shared" si="260"/>
        <v>0</v>
      </c>
      <c r="AE169" s="4" t="b">
        <f t="shared" si="261"/>
        <v>0</v>
      </c>
      <c r="AF169" s="4" t="b">
        <f t="shared" si="262"/>
        <v>0</v>
      </c>
      <c r="AG169" t="b">
        <f t="shared" si="263"/>
        <v>0</v>
      </c>
      <c r="AH169" t="b">
        <f t="shared" si="264"/>
        <v>0</v>
      </c>
      <c r="AI169" t="b">
        <f t="shared" si="265"/>
        <v>0</v>
      </c>
      <c r="AJ169" t="b">
        <f t="shared" si="266"/>
        <v>0</v>
      </c>
      <c r="AK169" t="b">
        <f t="shared" si="267"/>
        <v>0</v>
      </c>
      <c r="AL169" t="b">
        <f t="shared" si="268"/>
        <v>0</v>
      </c>
      <c r="AM169" t="b">
        <f t="shared" si="269"/>
        <v>0</v>
      </c>
      <c r="AN169" t="b">
        <f t="shared" si="270"/>
        <v>0</v>
      </c>
      <c r="AO169" t="b">
        <f t="shared" si="271"/>
        <v>0</v>
      </c>
      <c r="AP169" t="b">
        <f t="shared" si="272"/>
        <v>0</v>
      </c>
      <c r="AQ169" t="b">
        <f t="shared" si="273"/>
        <v>0</v>
      </c>
      <c r="AR169" t="b">
        <f t="shared" si="274"/>
        <v>0</v>
      </c>
      <c r="AS169" t="b">
        <f t="shared" si="275"/>
        <v>0</v>
      </c>
      <c r="AT169" t="b">
        <f t="shared" si="276"/>
        <v>0</v>
      </c>
      <c r="AU169" t="b">
        <f t="shared" si="277"/>
        <v>0</v>
      </c>
      <c r="AV169" t="b">
        <f t="shared" si="278"/>
        <v>0</v>
      </c>
      <c r="AW169" t="b">
        <f t="shared" si="279"/>
        <v>0</v>
      </c>
      <c r="AX169" t="b">
        <f t="shared" si="281"/>
        <v>0</v>
      </c>
      <c r="AY169" t="b">
        <f t="shared" si="282"/>
        <v>0</v>
      </c>
      <c r="AZ169">
        <f t="shared" si="283"/>
        <v>1</v>
      </c>
      <c r="BA169" t="b">
        <f t="shared" si="284"/>
        <v>0</v>
      </c>
      <c r="BB169">
        <f t="shared" si="285"/>
        <v>1</v>
      </c>
      <c r="BC169" t="b">
        <f t="shared" si="286"/>
        <v>0</v>
      </c>
      <c r="BD169" t="b">
        <f t="shared" si="287"/>
        <v>0</v>
      </c>
      <c r="BE169" t="b">
        <f t="shared" si="288"/>
        <v>0</v>
      </c>
      <c r="BF169" t="b">
        <f t="shared" si="289"/>
        <v>0</v>
      </c>
      <c r="BG169" t="b">
        <f t="shared" si="290"/>
        <v>0</v>
      </c>
      <c r="BH169" t="b">
        <f t="shared" si="291"/>
        <v>0</v>
      </c>
      <c r="BI169">
        <f t="shared" si="292"/>
        <v>1</v>
      </c>
      <c r="BJ169" t="b">
        <f t="shared" si="293"/>
        <v>0</v>
      </c>
      <c r="BK169" t="b">
        <f t="shared" si="294"/>
        <v>0</v>
      </c>
      <c r="BL169" t="b">
        <f t="shared" si="295"/>
        <v>0</v>
      </c>
      <c r="BM169" t="b">
        <f t="shared" si="296"/>
        <v>0</v>
      </c>
      <c r="BN169" t="b">
        <f t="shared" si="297"/>
        <v>0</v>
      </c>
      <c r="BO169" t="b">
        <f t="shared" si="298"/>
        <v>0</v>
      </c>
      <c r="BP169" t="b">
        <f t="shared" si="299"/>
        <v>0</v>
      </c>
      <c r="BQ169" t="b">
        <f t="shared" si="300"/>
        <v>0</v>
      </c>
      <c r="BR169" t="b">
        <f t="shared" si="301"/>
        <v>0</v>
      </c>
      <c r="BS169" t="b">
        <f t="shared" si="302"/>
        <v>0</v>
      </c>
      <c r="BT169" t="b">
        <f t="shared" si="303"/>
        <v>0</v>
      </c>
      <c r="BU169" t="b">
        <f t="shared" si="304"/>
        <v>0</v>
      </c>
      <c r="BV169" t="b">
        <f t="shared" si="305"/>
        <v>0</v>
      </c>
      <c r="BW169" t="b">
        <f t="shared" si="306"/>
        <v>0</v>
      </c>
      <c r="BX169" t="b">
        <f t="shared" si="307"/>
        <v>0</v>
      </c>
      <c r="BY169" t="b">
        <f t="shared" si="308"/>
        <v>0</v>
      </c>
      <c r="BZ169" t="b">
        <f t="shared" si="309"/>
        <v>0</v>
      </c>
      <c r="CA169" t="b">
        <f t="shared" si="310"/>
        <v>0</v>
      </c>
      <c r="CB169" t="b">
        <f t="shared" si="311"/>
        <v>0</v>
      </c>
      <c r="CC169" t="b">
        <f t="shared" si="312"/>
        <v>0</v>
      </c>
      <c r="CD169" t="b">
        <f t="shared" si="313"/>
        <v>0</v>
      </c>
      <c r="CE169">
        <f t="shared" si="314"/>
        <v>1</v>
      </c>
      <c r="CF169" t="b">
        <f t="shared" si="315"/>
        <v>0</v>
      </c>
      <c r="CG169" t="b">
        <f t="shared" si="316"/>
        <v>0</v>
      </c>
      <c r="CH169" t="b">
        <f t="shared" si="317"/>
        <v>0</v>
      </c>
      <c r="CI169" t="b">
        <f t="shared" si="318"/>
        <v>0</v>
      </c>
      <c r="CJ169" t="b">
        <f t="shared" si="319"/>
        <v>0</v>
      </c>
      <c r="CK169" t="b">
        <f t="shared" si="320"/>
        <v>0</v>
      </c>
      <c r="CL169" t="b">
        <f t="shared" si="321"/>
        <v>0</v>
      </c>
      <c r="CM169">
        <f t="shared" si="322"/>
        <v>1</v>
      </c>
      <c r="CN169" t="b">
        <f t="shared" si="323"/>
        <v>0</v>
      </c>
      <c r="CO169" t="b">
        <f t="shared" si="324"/>
        <v>0</v>
      </c>
      <c r="CP169" t="b">
        <f t="shared" si="325"/>
        <v>0</v>
      </c>
      <c r="CQ169" t="b">
        <f t="shared" si="326"/>
        <v>0</v>
      </c>
      <c r="CR169" t="b">
        <f t="shared" si="327"/>
        <v>0</v>
      </c>
      <c r="CS169" t="b">
        <f t="shared" si="328"/>
        <v>0</v>
      </c>
      <c r="CT169" t="b">
        <f t="shared" si="329"/>
        <v>0</v>
      </c>
      <c r="CU169" t="b">
        <f t="shared" si="330"/>
        <v>0</v>
      </c>
      <c r="CV169">
        <f t="shared" si="331"/>
        <v>1</v>
      </c>
      <c r="CW169" t="b">
        <f t="shared" si="332"/>
        <v>0</v>
      </c>
      <c r="CX169" t="b">
        <f t="shared" si="333"/>
        <v>0</v>
      </c>
      <c r="CY169" t="b">
        <f t="shared" si="334"/>
        <v>0</v>
      </c>
      <c r="CZ169" t="b">
        <f t="shared" si="335"/>
        <v>0</v>
      </c>
      <c r="DA169">
        <f t="shared" si="336"/>
        <v>1</v>
      </c>
      <c r="DB169">
        <f t="shared" si="337"/>
        <v>1</v>
      </c>
      <c r="DC169" t="b">
        <f t="shared" si="338"/>
        <v>0</v>
      </c>
      <c r="DD169" t="b">
        <f t="shared" si="339"/>
        <v>0</v>
      </c>
      <c r="DE169" t="b">
        <f t="shared" si="340"/>
        <v>0</v>
      </c>
      <c r="DF169" t="b">
        <f t="shared" si="341"/>
        <v>0</v>
      </c>
      <c r="DG169" t="b">
        <f t="shared" si="342"/>
        <v>0</v>
      </c>
      <c r="DH169" t="b">
        <f t="shared" si="343"/>
        <v>0</v>
      </c>
      <c r="DI169" t="b">
        <f t="shared" si="344"/>
        <v>0</v>
      </c>
      <c r="DJ169" t="b">
        <f t="shared" si="345"/>
        <v>0</v>
      </c>
      <c r="DK169" t="b">
        <f t="shared" si="346"/>
        <v>0</v>
      </c>
      <c r="DL169" t="b">
        <f t="shared" si="347"/>
        <v>0</v>
      </c>
      <c r="DM169" t="b">
        <f t="shared" si="348"/>
        <v>0</v>
      </c>
      <c r="DN169" t="b">
        <f t="shared" si="349"/>
        <v>0</v>
      </c>
      <c r="DO169" t="b">
        <f t="shared" si="350"/>
        <v>0</v>
      </c>
      <c r="DP169" t="b">
        <f t="shared" si="351"/>
        <v>0</v>
      </c>
      <c r="DQ169" t="b">
        <f t="shared" si="352"/>
        <v>0</v>
      </c>
      <c r="DR169" t="b">
        <f t="shared" si="353"/>
        <v>0</v>
      </c>
      <c r="DS169" t="b">
        <f t="shared" si="354"/>
        <v>0</v>
      </c>
      <c r="DT169" t="b">
        <f t="shared" si="355"/>
        <v>0</v>
      </c>
      <c r="DU169" t="b">
        <f t="shared" si="356"/>
        <v>0</v>
      </c>
      <c r="DV169" t="b">
        <f t="shared" si="357"/>
        <v>0</v>
      </c>
      <c r="DW169" t="b">
        <f t="shared" si="358"/>
        <v>0</v>
      </c>
      <c r="DX169" t="b">
        <f t="shared" si="359"/>
        <v>0</v>
      </c>
      <c r="DY169" t="b">
        <f t="shared" si="360"/>
        <v>0</v>
      </c>
      <c r="DZ169" t="b">
        <f t="shared" si="361"/>
        <v>0</v>
      </c>
      <c r="EA169" t="b">
        <f t="shared" si="362"/>
        <v>0</v>
      </c>
      <c r="EB169" t="b">
        <f t="shared" si="363"/>
        <v>0</v>
      </c>
      <c r="EC169" t="b">
        <f t="shared" si="364"/>
        <v>0</v>
      </c>
      <c r="ED169" t="b">
        <f t="shared" si="365"/>
        <v>0</v>
      </c>
      <c r="EE169" t="b">
        <f t="shared" si="366"/>
        <v>0</v>
      </c>
      <c r="EF169" t="b">
        <f t="shared" si="367"/>
        <v>0</v>
      </c>
      <c r="EG169" t="b">
        <f t="shared" si="368"/>
        <v>0</v>
      </c>
      <c r="EH169" t="b">
        <f t="shared" si="369"/>
        <v>0</v>
      </c>
      <c r="EI169" t="b">
        <f t="shared" si="370"/>
        <v>0</v>
      </c>
      <c r="EJ169" t="b">
        <f t="shared" si="371"/>
        <v>0</v>
      </c>
      <c r="EK169" t="b">
        <f t="shared" si="372"/>
        <v>0</v>
      </c>
    </row>
    <row r="170" spans="1:141">
      <c r="A170" t="s">
        <v>960</v>
      </c>
      <c r="B170" t="s">
        <v>960</v>
      </c>
      <c r="C170" t="s">
        <v>961</v>
      </c>
      <c r="D170" s="1">
        <v>41091</v>
      </c>
      <c r="E170" s="2">
        <v>42613.013414351852</v>
      </c>
      <c r="F170" s="2">
        <v>42613.013414351852</v>
      </c>
      <c r="G170">
        <v>68648009</v>
      </c>
      <c r="H170" t="s">
        <v>962</v>
      </c>
      <c r="I170" s="10" t="s">
        <v>963</v>
      </c>
      <c r="J170" t="s">
        <v>147</v>
      </c>
      <c r="K170" s="8" t="b">
        <v>1</v>
      </c>
      <c r="L170" s="10" t="b">
        <v>0</v>
      </c>
      <c r="M170" s="12" t="b">
        <v>0</v>
      </c>
      <c r="N170" t="b">
        <v>0</v>
      </c>
      <c r="O170" t="b">
        <v>0</v>
      </c>
      <c r="P170" t="b">
        <v>0</v>
      </c>
      <c r="Q170">
        <f t="shared" si="249"/>
        <v>1</v>
      </c>
      <c r="R170">
        <f t="shared" si="250"/>
        <v>7</v>
      </c>
      <c r="S170" t="e">
        <f t="shared" ca="1" si="280"/>
        <v>#NAME?</v>
      </c>
      <c r="T170" t="e">
        <f t="shared" ca="1" si="251"/>
        <v>#NAME?</v>
      </c>
      <c r="U170" s="4">
        <f t="shared" si="252"/>
        <v>1522.0134143518517</v>
      </c>
      <c r="V170" s="4">
        <f t="shared" si="253"/>
        <v>50.733780478395055</v>
      </c>
      <c r="W170" s="4">
        <f t="shared" si="254"/>
        <v>1</v>
      </c>
      <c r="X170" s="4">
        <f t="shared" si="255"/>
        <v>0</v>
      </c>
      <c r="Y170" s="4">
        <f t="shared" si="256"/>
        <v>0</v>
      </c>
      <c r="Z170" s="4">
        <f t="shared" si="257"/>
        <v>0</v>
      </c>
      <c r="AA170" s="4">
        <f t="shared" si="258"/>
        <v>0</v>
      </c>
      <c r="AB170" s="4">
        <f t="shared" si="259"/>
        <v>0</v>
      </c>
      <c r="AC170" s="4"/>
      <c r="AD170" s="4" t="b">
        <f t="shared" si="260"/>
        <v>0</v>
      </c>
      <c r="AE170" s="4" t="b">
        <f t="shared" si="261"/>
        <v>0</v>
      </c>
      <c r="AF170" s="4" t="b">
        <f t="shared" si="262"/>
        <v>0</v>
      </c>
      <c r="AG170" t="b">
        <f t="shared" si="263"/>
        <v>0</v>
      </c>
      <c r="AH170" t="b">
        <f t="shared" si="264"/>
        <v>0</v>
      </c>
      <c r="AI170" t="b">
        <f t="shared" si="265"/>
        <v>0</v>
      </c>
      <c r="AJ170" t="b">
        <f t="shared" si="266"/>
        <v>0</v>
      </c>
      <c r="AK170" t="b">
        <f t="shared" si="267"/>
        <v>0</v>
      </c>
      <c r="AL170" t="b">
        <f t="shared" si="268"/>
        <v>0</v>
      </c>
      <c r="AM170" t="b">
        <f t="shared" si="269"/>
        <v>0</v>
      </c>
      <c r="AN170" t="b">
        <f t="shared" si="270"/>
        <v>0</v>
      </c>
      <c r="AO170" t="b">
        <f t="shared" si="271"/>
        <v>0</v>
      </c>
      <c r="AP170" t="b">
        <f t="shared" si="272"/>
        <v>0</v>
      </c>
      <c r="AQ170" t="b">
        <f t="shared" si="273"/>
        <v>0</v>
      </c>
      <c r="AR170" t="b">
        <f t="shared" si="274"/>
        <v>0</v>
      </c>
      <c r="AS170" t="b">
        <f t="shared" si="275"/>
        <v>0</v>
      </c>
      <c r="AT170" t="b">
        <f t="shared" si="276"/>
        <v>0</v>
      </c>
      <c r="AU170" t="b">
        <f t="shared" si="277"/>
        <v>0</v>
      </c>
      <c r="AV170" t="b">
        <f t="shared" si="278"/>
        <v>0</v>
      </c>
      <c r="AW170" t="b">
        <f t="shared" si="279"/>
        <v>0</v>
      </c>
      <c r="AX170" t="b">
        <f t="shared" si="281"/>
        <v>0</v>
      </c>
      <c r="AY170" t="b">
        <f t="shared" si="282"/>
        <v>0</v>
      </c>
      <c r="AZ170" t="b">
        <f t="shared" si="283"/>
        <v>0</v>
      </c>
      <c r="BA170" t="b">
        <f t="shared" si="284"/>
        <v>0</v>
      </c>
      <c r="BB170" t="b">
        <f t="shared" si="285"/>
        <v>0</v>
      </c>
      <c r="BC170" t="b">
        <f t="shared" si="286"/>
        <v>0</v>
      </c>
      <c r="BD170" t="b">
        <f t="shared" si="287"/>
        <v>0</v>
      </c>
      <c r="BE170" t="b">
        <f t="shared" si="288"/>
        <v>0</v>
      </c>
      <c r="BF170" t="b">
        <f t="shared" si="289"/>
        <v>0</v>
      </c>
      <c r="BG170" t="b">
        <f t="shared" si="290"/>
        <v>0</v>
      </c>
      <c r="BH170" t="b">
        <f t="shared" si="291"/>
        <v>0</v>
      </c>
      <c r="BI170">
        <f t="shared" si="292"/>
        <v>1</v>
      </c>
      <c r="BJ170" t="b">
        <f t="shared" si="293"/>
        <v>0</v>
      </c>
      <c r="BK170" t="b">
        <f t="shared" si="294"/>
        <v>0</v>
      </c>
      <c r="BL170" t="b">
        <f t="shared" si="295"/>
        <v>0</v>
      </c>
      <c r="BM170" t="b">
        <f t="shared" si="296"/>
        <v>0</v>
      </c>
      <c r="BN170" t="b">
        <f t="shared" si="297"/>
        <v>0</v>
      </c>
      <c r="BO170" t="b">
        <f t="shared" si="298"/>
        <v>0</v>
      </c>
      <c r="BP170" t="b">
        <f t="shared" si="299"/>
        <v>0</v>
      </c>
      <c r="BQ170" t="b">
        <f t="shared" si="300"/>
        <v>0</v>
      </c>
      <c r="BR170" t="b">
        <f t="shared" si="301"/>
        <v>0</v>
      </c>
      <c r="BS170" t="b">
        <f t="shared" si="302"/>
        <v>0</v>
      </c>
      <c r="BT170" t="b">
        <f t="shared" si="303"/>
        <v>0</v>
      </c>
      <c r="BU170" t="b">
        <f t="shared" si="304"/>
        <v>0</v>
      </c>
      <c r="BV170" t="b">
        <f t="shared" si="305"/>
        <v>0</v>
      </c>
      <c r="BW170" t="b">
        <f t="shared" si="306"/>
        <v>0</v>
      </c>
      <c r="BX170" t="b">
        <f t="shared" si="307"/>
        <v>0</v>
      </c>
      <c r="BY170" t="b">
        <f t="shared" si="308"/>
        <v>0</v>
      </c>
      <c r="BZ170" t="b">
        <f t="shared" si="309"/>
        <v>0</v>
      </c>
      <c r="CA170" t="b">
        <f t="shared" si="310"/>
        <v>0</v>
      </c>
      <c r="CB170" t="b">
        <f t="shared" si="311"/>
        <v>0</v>
      </c>
      <c r="CC170" t="b">
        <f t="shared" si="312"/>
        <v>0</v>
      </c>
      <c r="CD170" t="b">
        <f t="shared" si="313"/>
        <v>0</v>
      </c>
      <c r="CE170" t="b">
        <f t="shared" si="314"/>
        <v>0</v>
      </c>
      <c r="CF170" t="b">
        <f t="shared" si="315"/>
        <v>0</v>
      </c>
      <c r="CG170" t="b">
        <f t="shared" si="316"/>
        <v>0</v>
      </c>
      <c r="CH170" t="b">
        <f t="shared" si="317"/>
        <v>0</v>
      </c>
      <c r="CI170" t="b">
        <f t="shared" si="318"/>
        <v>0</v>
      </c>
      <c r="CJ170" t="b">
        <f t="shared" si="319"/>
        <v>0</v>
      </c>
      <c r="CK170" t="b">
        <f t="shared" si="320"/>
        <v>0</v>
      </c>
      <c r="CL170" t="b">
        <f t="shared" si="321"/>
        <v>0</v>
      </c>
      <c r="CM170" t="b">
        <f t="shared" si="322"/>
        <v>0</v>
      </c>
      <c r="CN170" t="b">
        <f t="shared" si="323"/>
        <v>0</v>
      </c>
      <c r="CO170" t="b">
        <f t="shared" si="324"/>
        <v>0</v>
      </c>
      <c r="CP170" t="b">
        <f t="shared" si="325"/>
        <v>0</v>
      </c>
      <c r="CQ170" t="b">
        <f t="shared" si="326"/>
        <v>0</v>
      </c>
      <c r="CR170" t="b">
        <f t="shared" si="327"/>
        <v>0</v>
      </c>
      <c r="CS170" t="b">
        <f t="shared" si="328"/>
        <v>0</v>
      </c>
      <c r="CT170" t="b">
        <f t="shared" si="329"/>
        <v>0</v>
      </c>
      <c r="CU170" t="b">
        <f t="shared" si="330"/>
        <v>0</v>
      </c>
      <c r="CV170">
        <f t="shared" si="331"/>
        <v>1</v>
      </c>
      <c r="CW170" t="b">
        <f t="shared" si="332"/>
        <v>0</v>
      </c>
      <c r="CX170" t="b">
        <f t="shared" si="333"/>
        <v>0</v>
      </c>
      <c r="CY170" t="b">
        <f t="shared" si="334"/>
        <v>0</v>
      </c>
      <c r="CZ170" t="b">
        <f t="shared" si="335"/>
        <v>0</v>
      </c>
      <c r="DA170" t="b">
        <f t="shared" si="336"/>
        <v>0</v>
      </c>
      <c r="DB170" t="b">
        <f t="shared" si="337"/>
        <v>0</v>
      </c>
      <c r="DC170" t="b">
        <f t="shared" si="338"/>
        <v>0</v>
      </c>
      <c r="DD170" t="b">
        <f t="shared" si="339"/>
        <v>0</v>
      </c>
      <c r="DE170" t="b">
        <f t="shared" si="340"/>
        <v>0</v>
      </c>
      <c r="DF170" t="b">
        <f t="shared" si="341"/>
        <v>0</v>
      </c>
      <c r="DG170" t="b">
        <f t="shared" si="342"/>
        <v>0</v>
      </c>
      <c r="DH170" t="b">
        <f t="shared" si="343"/>
        <v>0</v>
      </c>
      <c r="DI170" t="b">
        <f t="shared" si="344"/>
        <v>0</v>
      </c>
      <c r="DJ170" t="b">
        <f t="shared" si="345"/>
        <v>0</v>
      </c>
      <c r="DK170" t="b">
        <f t="shared" si="346"/>
        <v>0</v>
      </c>
      <c r="DL170" t="b">
        <f t="shared" si="347"/>
        <v>0</v>
      </c>
      <c r="DM170" t="b">
        <f t="shared" si="348"/>
        <v>0</v>
      </c>
      <c r="DN170" t="b">
        <f t="shared" si="349"/>
        <v>0</v>
      </c>
      <c r="DO170" t="b">
        <f t="shared" si="350"/>
        <v>0</v>
      </c>
      <c r="DP170" t="b">
        <f t="shared" si="351"/>
        <v>0</v>
      </c>
      <c r="DQ170" t="b">
        <f t="shared" si="352"/>
        <v>0</v>
      </c>
      <c r="DR170" t="b">
        <f t="shared" si="353"/>
        <v>0</v>
      </c>
      <c r="DS170" t="b">
        <f t="shared" si="354"/>
        <v>0</v>
      </c>
      <c r="DT170" t="b">
        <f t="shared" si="355"/>
        <v>0</v>
      </c>
      <c r="DU170" t="b">
        <f t="shared" si="356"/>
        <v>0</v>
      </c>
      <c r="DV170" t="b">
        <f t="shared" si="357"/>
        <v>0</v>
      </c>
      <c r="DW170" t="b">
        <f t="shared" si="358"/>
        <v>0</v>
      </c>
      <c r="DX170" t="b">
        <f t="shared" si="359"/>
        <v>0</v>
      </c>
      <c r="DY170" t="b">
        <f t="shared" si="360"/>
        <v>0</v>
      </c>
      <c r="DZ170" t="b">
        <f t="shared" si="361"/>
        <v>0</v>
      </c>
      <c r="EA170" t="b">
        <f t="shared" si="362"/>
        <v>0</v>
      </c>
      <c r="EB170" t="b">
        <f t="shared" si="363"/>
        <v>0</v>
      </c>
      <c r="EC170" t="b">
        <f t="shared" si="364"/>
        <v>0</v>
      </c>
      <c r="ED170" t="b">
        <f t="shared" si="365"/>
        <v>0</v>
      </c>
      <c r="EE170" t="b">
        <f t="shared" si="366"/>
        <v>0</v>
      </c>
      <c r="EF170" t="b">
        <f t="shared" si="367"/>
        <v>0</v>
      </c>
      <c r="EG170" t="b">
        <f t="shared" si="368"/>
        <v>0</v>
      </c>
      <c r="EH170" t="b">
        <f t="shared" si="369"/>
        <v>0</v>
      </c>
      <c r="EI170" t="b">
        <f t="shared" si="370"/>
        <v>0</v>
      </c>
      <c r="EJ170" t="b">
        <f t="shared" si="371"/>
        <v>0</v>
      </c>
      <c r="EK170" t="b">
        <f t="shared" si="372"/>
        <v>0</v>
      </c>
    </row>
    <row r="171" spans="1:141">
      <c r="A171" t="s">
        <v>964</v>
      </c>
      <c r="B171" t="s">
        <v>964</v>
      </c>
      <c r="C171" t="s">
        <v>965</v>
      </c>
      <c r="D171" s="1">
        <v>43435</v>
      </c>
      <c r="E171" s="2">
        <v>43521.358310185184</v>
      </c>
      <c r="F171" s="2">
        <v>43521.358310185184</v>
      </c>
      <c r="G171">
        <v>161749950</v>
      </c>
      <c r="H171" t="s">
        <v>966</v>
      </c>
      <c r="I171" s="10" t="s">
        <v>967</v>
      </c>
      <c r="J171" t="s">
        <v>968</v>
      </c>
      <c r="K171" s="8" t="b">
        <v>1</v>
      </c>
      <c r="L171" s="10" t="b">
        <v>0</v>
      </c>
      <c r="M171" s="12" t="b">
        <v>0</v>
      </c>
      <c r="N171" t="b">
        <v>0</v>
      </c>
      <c r="O171" t="b">
        <v>0</v>
      </c>
      <c r="P171" t="b">
        <v>0</v>
      </c>
      <c r="Q171">
        <f t="shared" si="249"/>
        <v>7</v>
      </c>
      <c r="R171">
        <f t="shared" si="250"/>
        <v>12</v>
      </c>
      <c r="S171" t="e">
        <f t="shared" ca="1" si="280"/>
        <v>#NAME?</v>
      </c>
      <c r="T171" t="e">
        <f t="shared" ca="1" si="251"/>
        <v>#NAME?</v>
      </c>
      <c r="U171" s="4">
        <f t="shared" si="252"/>
        <v>86.358310185183655</v>
      </c>
      <c r="V171" s="4">
        <f t="shared" si="253"/>
        <v>2.878610339506122</v>
      </c>
      <c r="W171" s="4">
        <f t="shared" si="254"/>
        <v>1</v>
      </c>
      <c r="X171" s="4">
        <f t="shared" si="255"/>
        <v>0</v>
      </c>
      <c r="Y171" s="4">
        <f t="shared" si="256"/>
        <v>0</v>
      </c>
      <c r="Z171" s="4">
        <f t="shared" si="257"/>
        <v>0</v>
      </c>
      <c r="AA171" s="4">
        <f t="shared" si="258"/>
        <v>0</v>
      </c>
      <c r="AB171" s="4">
        <f t="shared" si="259"/>
        <v>0</v>
      </c>
      <c r="AC171" s="4"/>
      <c r="AD171" s="4" t="b">
        <f t="shared" si="260"/>
        <v>0</v>
      </c>
      <c r="AE171" s="4" t="b">
        <f t="shared" si="261"/>
        <v>0</v>
      </c>
      <c r="AF171" s="4" t="b">
        <f t="shared" si="262"/>
        <v>0</v>
      </c>
      <c r="AG171" t="b">
        <f t="shared" si="263"/>
        <v>0</v>
      </c>
      <c r="AH171" t="b">
        <f t="shared" si="264"/>
        <v>0</v>
      </c>
      <c r="AI171" t="b">
        <f t="shared" si="265"/>
        <v>0</v>
      </c>
      <c r="AJ171" t="b">
        <f t="shared" si="266"/>
        <v>0</v>
      </c>
      <c r="AK171" t="b">
        <f t="shared" si="267"/>
        <v>0</v>
      </c>
      <c r="AL171" t="b">
        <f t="shared" si="268"/>
        <v>0</v>
      </c>
      <c r="AM171" t="b">
        <f t="shared" si="269"/>
        <v>0</v>
      </c>
      <c r="AN171" t="b">
        <f t="shared" si="270"/>
        <v>0</v>
      </c>
      <c r="AO171" t="b">
        <f t="shared" si="271"/>
        <v>0</v>
      </c>
      <c r="AP171" t="b">
        <f t="shared" si="272"/>
        <v>0</v>
      </c>
      <c r="AQ171" t="b">
        <f t="shared" si="273"/>
        <v>0</v>
      </c>
      <c r="AR171" t="b">
        <f t="shared" si="274"/>
        <v>0</v>
      </c>
      <c r="AS171" t="b">
        <f t="shared" si="275"/>
        <v>0</v>
      </c>
      <c r="AT171" t="b">
        <f t="shared" si="276"/>
        <v>0</v>
      </c>
      <c r="AU171" t="b">
        <f t="shared" si="277"/>
        <v>0</v>
      </c>
      <c r="AV171" t="b">
        <f t="shared" si="278"/>
        <v>0</v>
      </c>
      <c r="AW171" t="b">
        <f t="shared" si="279"/>
        <v>0</v>
      </c>
      <c r="AX171" t="b">
        <f t="shared" si="281"/>
        <v>0</v>
      </c>
      <c r="AY171" t="b">
        <f t="shared" si="282"/>
        <v>0</v>
      </c>
      <c r="AZ171" t="b">
        <f t="shared" si="283"/>
        <v>0</v>
      </c>
      <c r="BA171" t="b">
        <f t="shared" si="284"/>
        <v>0</v>
      </c>
      <c r="BB171" t="b">
        <f t="shared" si="285"/>
        <v>0</v>
      </c>
      <c r="BC171" t="b">
        <f t="shared" si="286"/>
        <v>0</v>
      </c>
      <c r="BD171" t="b">
        <f t="shared" si="287"/>
        <v>0</v>
      </c>
      <c r="BE171" t="b">
        <f t="shared" si="288"/>
        <v>0</v>
      </c>
      <c r="BF171" t="b">
        <f t="shared" si="289"/>
        <v>0</v>
      </c>
      <c r="BG171" t="b">
        <f t="shared" si="290"/>
        <v>0</v>
      </c>
      <c r="BH171" t="b">
        <f t="shared" si="291"/>
        <v>0</v>
      </c>
      <c r="BI171">
        <f t="shared" si="292"/>
        <v>1</v>
      </c>
      <c r="BJ171" t="b">
        <f t="shared" si="293"/>
        <v>0</v>
      </c>
      <c r="BK171" t="b">
        <f t="shared" si="294"/>
        <v>0</v>
      </c>
      <c r="BL171" t="b">
        <f t="shared" si="295"/>
        <v>0</v>
      </c>
      <c r="BM171" t="b">
        <f t="shared" si="296"/>
        <v>0</v>
      </c>
      <c r="BN171" t="b">
        <f t="shared" si="297"/>
        <v>0</v>
      </c>
      <c r="BO171" t="b">
        <f t="shared" si="298"/>
        <v>0</v>
      </c>
      <c r="BP171" t="b">
        <f t="shared" si="299"/>
        <v>0</v>
      </c>
      <c r="BQ171" t="b">
        <f t="shared" si="300"/>
        <v>0</v>
      </c>
      <c r="BR171" t="b">
        <f t="shared" si="301"/>
        <v>0</v>
      </c>
      <c r="BS171">
        <f t="shared" si="302"/>
        <v>1</v>
      </c>
      <c r="BT171" t="b">
        <f t="shared" si="303"/>
        <v>0</v>
      </c>
      <c r="BU171" t="b">
        <f t="shared" si="304"/>
        <v>0</v>
      </c>
      <c r="BV171" t="b">
        <f t="shared" si="305"/>
        <v>0</v>
      </c>
      <c r="BW171" t="b">
        <f t="shared" si="306"/>
        <v>0</v>
      </c>
      <c r="BX171" t="b">
        <f t="shared" si="307"/>
        <v>0</v>
      </c>
      <c r="BY171" t="b">
        <f t="shared" si="308"/>
        <v>0</v>
      </c>
      <c r="BZ171" t="b">
        <f t="shared" si="309"/>
        <v>0</v>
      </c>
      <c r="CA171" t="b">
        <f t="shared" si="310"/>
        <v>0</v>
      </c>
      <c r="CB171" t="b">
        <f t="shared" si="311"/>
        <v>0</v>
      </c>
      <c r="CC171" t="b">
        <f t="shared" si="312"/>
        <v>0</v>
      </c>
      <c r="CD171" t="b">
        <f t="shared" si="313"/>
        <v>0</v>
      </c>
      <c r="CE171" t="b">
        <f t="shared" si="314"/>
        <v>0</v>
      </c>
      <c r="CF171" t="b">
        <f t="shared" si="315"/>
        <v>0</v>
      </c>
      <c r="CG171" t="b">
        <f t="shared" si="316"/>
        <v>0</v>
      </c>
      <c r="CH171" t="b">
        <f t="shared" si="317"/>
        <v>0</v>
      </c>
      <c r="CI171" t="b">
        <f t="shared" si="318"/>
        <v>0</v>
      </c>
      <c r="CJ171" t="b">
        <f t="shared" si="319"/>
        <v>0</v>
      </c>
      <c r="CK171" t="b">
        <f t="shared" si="320"/>
        <v>0</v>
      </c>
      <c r="CL171" t="b">
        <f t="shared" si="321"/>
        <v>0</v>
      </c>
      <c r="CM171">
        <f t="shared" si="322"/>
        <v>1</v>
      </c>
      <c r="CN171" t="b">
        <f t="shared" si="323"/>
        <v>0</v>
      </c>
      <c r="CO171" t="b">
        <f t="shared" si="324"/>
        <v>0</v>
      </c>
      <c r="CP171" t="b">
        <f t="shared" si="325"/>
        <v>0</v>
      </c>
      <c r="CQ171" t="b">
        <f t="shared" si="326"/>
        <v>0</v>
      </c>
      <c r="CR171" t="b">
        <f t="shared" si="327"/>
        <v>0</v>
      </c>
      <c r="CS171" t="b">
        <f t="shared" si="328"/>
        <v>0</v>
      </c>
      <c r="CT171" t="b">
        <f t="shared" si="329"/>
        <v>0</v>
      </c>
      <c r="CU171" t="b">
        <f t="shared" si="330"/>
        <v>0</v>
      </c>
      <c r="CV171">
        <f t="shared" si="331"/>
        <v>1</v>
      </c>
      <c r="CW171" t="b">
        <f t="shared" si="332"/>
        <v>0</v>
      </c>
      <c r="CX171" t="b">
        <f t="shared" si="333"/>
        <v>0</v>
      </c>
      <c r="CY171" t="b">
        <f t="shared" si="334"/>
        <v>0</v>
      </c>
      <c r="CZ171" t="b">
        <f t="shared" si="335"/>
        <v>0</v>
      </c>
      <c r="DA171">
        <f t="shared" si="336"/>
        <v>1</v>
      </c>
      <c r="DB171" t="b">
        <f t="shared" si="337"/>
        <v>0</v>
      </c>
      <c r="DC171" t="b">
        <f t="shared" si="338"/>
        <v>0</v>
      </c>
      <c r="DD171" t="b">
        <f t="shared" si="339"/>
        <v>0</v>
      </c>
      <c r="DE171" t="b">
        <f t="shared" si="340"/>
        <v>0</v>
      </c>
      <c r="DF171" t="b">
        <f t="shared" si="341"/>
        <v>0</v>
      </c>
      <c r="DG171" t="b">
        <f t="shared" si="342"/>
        <v>0</v>
      </c>
      <c r="DH171" t="b">
        <f t="shared" si="343"/>
        <v>0</v>
      </c>
      <c r="DI171" t="b">
        <f t="shared" si="344"/>
        <v>0</v>
      </c>
      <c r="DJ171" t="b">
        <f t="shared" si="345"/>
        <v>0</v>
      </c>
      <c r="DK171" t="b">
        <f t="shared" si="346"/>
        <v>0</v>
      </c>
      <c r="DL171" t="b">
        <f t="shared" si="347"/>
        <v>0</v>
      </c>
      <c r="DM171" t="b">
        <f t="shared" si="348"/>
        <v>0</v>
      </c>
      <c r="DN171" t="b">
        <f t="shared" si="349"/>
        <v>0</v>
      </c>
      <c r="DO171" t="b">
        <f t="shared" si="350"/>
        <v>0</v>
      </c>
      <c r="DP171" t="b">
        <f t="shared" si="351"/>
        <v>0</v>
      </c>
      <c r="DQ171" t="b">
        <f t="shared" si="352"/>
        <v>0</v>
      </c>
      <c r="DR171" t="b">
        <f t="shared" si="353"/>
        <v>0</v>
      </c>
      <c r="DS171" t="b">
        <f t="shared" si="354"/>
        <v>0</v>
      </c>
      <c r="DT171" t="b">
        <f t="shared" si="355"/>
        <v>0</v>
      </c>
      <c r="DU171" t="b">
        <f t="shared" si="356"/>
        <v>0</v>
      </c>
      <c r="DV171" t="b">
        <f t="shared" si="357"/>
        <v>0</v>
      </c>
      <c r="DW171" t="b">
        <f t="shared" si="358"/>
        <v>0</v>
      </c>
      <c r="DX171" t="b">
        <f t="shared" si="359"/>
        <v>0</v>
      </c>
      <c r="DY171" t="b">
        <f t="shared" si="360"/>
        <v>0</v>
      </c>
      <c r="DZ171" t="b">
        <f t="shared" si="361"/>
        <v>0</v>
      </c>
      <c r="EA171">
        <f t="shared" si="362"/>
        <v>1</v>
      </c>
      <c r="EB171" t="b">
        <f t="shared" si="363"/>
        <v>0</v>
      </c>
      <c r="EC171" t="b">
        <f t="shared" si="364"/>
        <v>0</v>
      </c>
      <c r="ED171" t="b">
        <f t="shared" si="365"/>
        <v>0</v>
      </c>
      <c r="EE171" t="b">
        <f t="shared" si="366"/>
        <v>0</v>
      </c>
      <c r="EF171">
        <f t="shared" si="367"/>
        <v>1</v>
      </c>
      <c r="EG171" t="b">
        <f t="shared" si="368"/>
        <v>0</v>
      </c>
      <c r="EH171" t="b">
        <f t="shared" si="369"/>
        <v>0</v>
      </c>
      <c r="EI171" t="b">
        <f t="shared" si="370"/>
        <v>0</v>
      </c>
      <c r="EJ171" t="b">
        <f t="shared" si="371"/>
        <v>0</v>
      </c>
      <c r="EK171" t="b">
        <f t="shared" si="372"/>
        <v>0</v>
      </c>
    </row>
    <row r="172" spans="1:141">
      <c r="A172" t="s">
        <v>969</v>
      </c>
      <c r="B172" t="s">
        <v>970</v>
      </c>
      <c r="C172" t="s">
        <v>971</v>
      </c>
      <c r="D172" s="1">
        <v>44225</v>
      </c>
      <c r="E172" s="2">
        <v>44516.058738425927</v>
      </c>
      <c r="F172" s="2">
        <v>44516.23574074074</v>
      </c>
      <c r="G172">
        <v>1324364</v>
      </c>
      <c r="H172" t="s">
        <v>972</v>
      </c>
      <c r="I172" s="10" t="s">
        <v>973</v>
      </c>
      <c r="J172" t="s">
        <v>974</v>
      </c>
      <c r="K172" s="8" t="b">
        <v>1</v>
      </c>
      <c r="L172" s="10" t="b">
        <v>0</v>
      </c>
      <c r="M172" s="12" t="b">
        <v>0</v>
      </c>
      <c r="N172" t="b">
        <v>0</v>
      </c>
      <c r="O172" t="b">
        <v>0</v>
      </c>
      <c r="P172" t="b">
        <v>0</v>
      </c>
      <c r="Q172">
        <f t="shared" si="249"/>
        <v>6</v>
      </c>
      <c r="R172">
        <f t="shared" si="250"/>
        <v>1</v>
      </c>
      <c r="S172" t="e">
        <f t="shared" ca="1" si="280"/>
        <v>#NAME?</v>
      </c>
      <c r="T172" t="e">
        <f t="shared" ca="1" si="251"/>
        <v>#NAME?</v>
      </c>
      <c r="U172" s="4">
        <f t="shared" si="252"/>
        <v>291.058738425927</v>
      </c>
      <c r="V172" s="4">
        <f t="shared" si="253"/>
        <v>9.7019579475309001</v>
      </c>
      <c r="W172" s="4">
        <f t="shared" si="254"/>
        <v>1</v>
      </c>
      <c r="X172" s="4">
        <f t="shared" si="255"/>
        <v>0</v>
      </c>
      <c r="Y172" s="4">
        <f t="shared" si="256"/>
        <v>0</v>
      </c>
      <c r="Z172" s="4">
        <f t="shared" si="257"/>
        <v>0</v>
      </c>
      <c r="AA172" s="4">
        <f t="shared" si="258"/>
        <v>0</v>
      </c>
      <c r="AB172" s="4">
        <f t="shared" si="259"/>
        <v>0</v>
      </c>
      <c r="AC172" s="4"/>
      <c r="AD172" s="4" t="b">
        <f t="shared" si="260"/>
        <v>0</v>
      </c>
      <c r="AE172" s="4" t="b">
        <f t="shared" si="261"/>
        <v>0</v>
      </c>
      <c r="AF172" s="4" t="b">
        <f t="shared" si="262"/>
        <v>0</v>
      </c>
      <c r="AG172" t="b">
        <f t="shared" si="263"/>
        <v>0</v>
      </c>
      <c r="AH172" t="b">
        <f t="shared" si="264"/>
        <v>0</v>
      </c>
      <c r="AI172" t="b">
        <f t="shared" si="265"/>
        <v>0</v>
      </c>
      <c r="AJ172" t="b">
        <f t="shared" si="266"/>
        <v>0</v>
      </c>
      <c r="AK172" t="b">
        <f t="shared" si="267"/>
        <v>0</v>
      </c>
      <c r="AL172" t="b">
        <f t="shared" si="268"/>
        <v>0</v>
      </c>
      <c r="AM172" t="b">
        <f t="shared" si="269"/>
        <v>0</v>
      </c>
      <c r="AN172" t="b">
        <f t="shared" si="270"/>
        <v>0</v>
      </c>
      <c r="AO172" t="b">
        <f t="shared" si="271"/>
        <v>0</v>
      </c>
      <c r="AP172" t="b">
        <f t="shared" si="272"/>
        <v>0</v>
      </c>
      <c r="AQ172" t="b">
        <f t="shared" si="273"/>
        <v>0</v>
      </c>
      <c r="AR172" t="b">
        <f t="shared" si="274"/>
        <v>0</v>
      </c>
      <c r="AS172" t="b">
        <f t="shared" si="275"/>
        <v>0</v>
      </c>
      <c r="AT172" t="b">
        <f t="shared" si="276"/>
        <v>0</v>
      </c>
      <c r="AU172" t="b">
        <f t="shared" si="277"/>
        <v>0</v>
      </c>
      <c r="AV172" t="b">
        <f t="shared" si="278"/>
        <v>0</v>
      </c>
      <c r="AW172" t="b">
        <f t="shared" si="279"/>
        <v>0</v>
      </c>
      <c r="AX172" t="b">
        <f t="shared" si="281"/>
        <v>0</v>
      </c>
      <c r="AY172" t="b">
        <f t="shared" si="282"/>
        <v>0</v>
      </c>
      <c r="AZ172">
        <f t="shared" si="283"/>
        <v>1</v>
      </c>
      <c r="BA172" t="b">
        <f t="shared" si="284"/>
        <v>0</v>
      </c>
      <c r="BB172" t="b">
        <f t="shared" si="285"/>
        <v>0</v>
      </c>
      <c r="BC172" t="b">
        <f t="shared" si="286"/>
        <v>0</v>
      </c>
      <c r="BD172" t="b">
        <f t="shared" si="287"/>
        <v>0</v>
      </c>
      <c r="BE172" t="b">
        <f t="shared" si="288"/>
        <v>0</v>
      </c>
      <c r="BF172" t="b">
        <f t="shared" si="289"/>
        <v>0</v>
      </c>
      <c r="BG172" t="b">
        <f t="shared" si="290"/>
        <v>0</v>
      </c>
      <c r="BH172" t="b">
        <f t="shared" si="291"/>
        <v>0</v>
      </c>
      <c r="BI172">
        <f t="shared" si="292"/>
        <v>1</v>
      </c>
      <c r="BJ172" t="b">
        <f t="shared" si="293"/>
        <v>0</v>
      </c>
      <c r="BK172" t="b">
        <f t="shared" si="294"/>
        <v>0</v>
      </c>
      <c r="BL172" t="b">
        <f t="shared" si="295"/>
        <v>0</v>
      </c>
      <c r="BM172" t="b">
        <f t="shared" si="296"/>
        <v>0</v>
      </c>
      <c r="BN172" t="b">
        <f t="shared" si="297"/>
        <v>0</v>
      </c>
      <c r="BO172" t="b">
        <f t="shared" si="298"/>
        <v>0</v>
      </c>
      <c r="BP172" t="b">
        <f t="shared" si="299"/>
        <v>0</v>
      </c>
      <c r="BQ172" t="b">
        <f t="shared" si="300"/>
        <v>0</v>
      </c>
      <c r="BR172" t="b">
        <f t="shared" si="301"/>
        <v>0</v>
      </c>
      <c r="BS172" t="b">
        <f t="shared" si="302"/>
        <v>0</v>
      </c>
      <c r="BT172" t="b">
        <f t="shared" si="303"/>
        <v>0</v>
      </c>
      <c r="BU172" t="b">
        <f t="shared" si="304"/>
        <v>0</v>
      </c>
      <c r="BV172" t="b">
        <f t="shared" si="305"/>
        <v>0</v>
      </c>
      <c r="BW172" t="b">
        <f t="shared" si="306"/>
        <v>0</v>
      </c>
      <c r="BX172" t="b">
        <f t="shared" si="307"/>
        <v>0</v>
      </c>
      <c r="BY172" t="b">
        <f t="shared" si="308"/>
        <v>0</v>
      </c>
      <c r="BZ172" t="b">
        <f t="shared" si="309"/>
        <v>0</v>
      </c>
      <c r="CA172" t="b">
        <f t="shared" si="310"/>
        <v>0</v>
      </c>
      <c r="CB172" t="b">
        <f t="shared" si="311"/>
        <v>0</v>
      </c>
      <c r="CC172" t="b">
        <f t="shared" si="312"/>
        <v>0</v>
      </c>
      <c r="CD172" t="b">
        <f t="shared" si="313"/>
        <v>0</v>
      </c>
      <c r="CE172" t="b">
        <f t="shared" si="314"/>
        <v>0</v>
      </c>
      <c r="CF172" t="b">
        <f t="shared" si="315"/>
        <v>0</v>
      </c>
      <c r="CG172" t="b">
        <f t="shared" si="316"/>
        <v>0</v>
      </c>
      <c r="CH172" t="b">
        <f t="shared" si="317"/>
        <v>0</v>
      </c>
      <c r="CI172" t="b">
        <f t="shared" si="318"/>
        <v>0</v>
      </c>
      <c r="CJ172" t="b">
        <f t="shared" si="319"/>
        <v>0</v>
      </c>
      <c r="CK172" t="b">
        <f t="shared" si="320"/>
        <v>0</v>
      </c>
      <c r="CL172" t="b">
        <f t="shared" si="321"/>
        <v>0</v>
      </c>
      <c r="CM172">
        <f t="shared" si="322"/>
        <v>1</v>
      </c>
      <c r="CN172" t="b">
        <f t="shared" si="323"/>
        <v>0</v>
      </c>
      <c r="CO172" t="b">
        <f t="shared" si="324"/>
        <v>0</v>
      </c>
      <c r="CP172" t="b">
        <f t="shared" si="325"/>
        <v>0</v>
      </c>
      <c r="CQ172" t="b">
        <f t="shared" si="326"/>
        <v>0</v>
      </c>
      <c r="CR172" t="b">
        <f t="shared" si="327"/>
        <v>0</v>
      </c>
      <c r="CS172" t="b">
        <f t="shared" si="328"/>
        <v>0</v>
      </c>
      <c r="CT172" t="b">
        <f t="shared" si="329"/>
        <v>0</v>
      </c>
      <c r="CU172" t="b">
        <f t="shared" si="330"/>
        <v>0</v>
      </c>
      <c r="CV172">
        <f t="shared" si="331"/>
        <v>1</v>
      </c>
      <c r="CW172" t="b">
        <f t="shared" si="332"/>
        <v>0</v>
      </c>
      <c r="CX172" t="b">
        <f t="shared" si="333"/>
        <v>0</v>
      </c>
      <c r="CY172" t="b">
        <f t="shared" si="334"/>
        <v>0</v>
      </c>
      <c r="CZ172" t="b">
        <f t="shared" si="335"/>
        <v>0</v>
      </c>
      <c r="DA172">
        <f t="shared" si="336"/>
        <v>1</v>
      </c>
      <c r="DB172">
        <f t="shared" si="337"/>
        <v>1</v>
      </c>
      <c r="DC172" t="b">
        <f t="shared" si="338"/>
        <v>0</v>
      </c>
      <c r="DD172" t="b">
        <f t="shared" si="339"/>
        <v>0</v>
      </c>
      <c r="DE172" t="b">
        <f t="shared" si="340"/>
        <v>0</v>
      </c>
      <c r="DF172" t="b">
        <f t="shared" si="341"/>
        <v>0</v>
      </c>
      <c r="DG172" t="b">
        <f t="shared" si="342"/>
        <v>0</v>
      </c>
      <c r="DH172" t="b">
        <f t="shared" si="343"/>
        <v>0</v>
      </c>
      <c r="DI172" t="b">
        <f t="shared" si="344"/>
        <v>0</v>
      </c>
      <c r="DJ172" t="b">
        <f t="shared" si="345"/>
        <v>0</v>
      </c>
      <c r="DK172" t="b">
        <f t="shared" si="346"/>
        <v>0</v>
      </c>
      <c r="DL172" t="b">
        <f t="shared" si="347"/>
        <v>0</v>
      </c>
      <c r="DM172" t="b">
        <f t="shared" si="348"/>
        <v>0</v>
      </c>
      <c r="DN172" t="b">
        <f t="shared" si="349"/>
        <v>0</v>
      </c>
      <c r="DO172" t="b">
        <f t="shared" si="350"/>
        <v>0</v>
      </c>
      <c r="DP172" t="b">
        <f t="shared" si="351"/>
        <v>0</v>
      </c>
      <c r="DQ172" t="b">
        <f t="shared" si="352"/>
        <v>0</v>
      </c>
      <c r="DR172" t="b">
        <f t="shared" si="353"/>
        <v>0</v>
      </c>
      <c r="DS172" t="b">
        <f t="shared" si="354"/>
        <v>0</v>
      </c>
      <c r="DT172" t="b">
        <f t="shared" si="355"/>
        <v>0</v>
      </c>
      <c r="DU172" t="b">
        <f t="shared" si="356"/>
        <v>0</v>
      </c>
      <c r="DV172" t="b">
        <f t="shared" si="357"/>
        <v>0</v>
      </c>
      <c r="DW172" t="b">
        <f t="shared" si="358"/>
        <v>0</v>
      </c>
      <c r="DX172" t="b">
        <f t="shared" si="359"/>
        <v>0</v>
      </c>
      <c r="DY172" t="b">
        <f t="shared" si="360"/>
        <v>0</v>
      </c>
      <c r="DZ172" t="b">
        <f t="shared" si="361"/>
        <v>0</v>
      </c>
      <c r="EA172" t="b">
        <f t="shared" si="362"/>
        <v>0</v>
      </c>
      <c r="EB172" t="b">
        <f t="shared" si="363"/>
        <v>0</v>
      </c>
      <c r="EC172" t="b">
        <f t="shared" si="364"/>
        <v>0</v>
      </c>
      <c r="ED172" t="b">
        <f t="shared" si="365"/>
        <v>0</v>
      </c>
      <c r="EE172" t="b">
        <f t="shared" si="366"/>
        <v>0</v>
      </c>
      <c r="EF172" t="b">
        <f t="shared" si="367"/>
        <v>0</v>
      </c>
      <c r="EG172" t="b">
        <f t="shared" si="368"/>
        <v>0</v>
      </c>
      <c r="EH172" t="b">
        <f t="shared" si="369"/>
        <v>0</v>
      </c>
      <c r="EI172" t="b">
        <f t="shared" si="370"/>
        <v>0</v>
      </c>
      <c r="EJ172" t="b">
        <f t="shared" si="371"/>
        <v>0</v>
      </c>
      <c r="EK172" t="b">
        <f t="shared" si="372"/>
        <v>0</v>
      </c>
    </row>
    <row r="173" spans="1:141">
      <c r="A173" t="s">
        <v>975</v>
      </c>
      <c r="B173" t="s">
        <v>976</v>
      </c>
      <c r="C173" t="s">
        <v>977</v>
      </c>
      <c r="D173" s="1">
        <v>42823</v>
      </c>
      <c r="E173" s="2">
        <v>43920.031122685185</v>
      </c>
      <c r="F173" s="2">
        <v>43921.304756944446</v>
      </c>
      <c r="G173">
        <v>6486626</v>
      </c>
      <c r="H173" t="s">
        <v>978</v>
      </c>
      <c r="I173" s="10" t="s">
        <v>979</v>
      </c>
      <c r="J173" t="s">
        <v>188</v>
      </c>
      <c r="K173" s="8" t="b">
        <v>1</v>
      </c>
      <c r="L173" s="10" t="b">
        <v>0</v>
      </c>
      <c r="M173" s="12" t="b">
        <v>0</v>
      </c>
      <c r="N173" t="b">
        <v>0</v>
      </c>
      <c r="O173" t="b">
        <v>0</v>
      </c>
      <c r="P173" t="b">
        <v>0</v>
      </c>
      <c r="Q173">
        <f t="shared" si="249"/>
        <v>4</v>
      </c>
      <c r="R173">
        <f t="shared" si="250"/>
        <v>3</v>
      </c>
      <c r="S173" t="e">
        <f t="shared" ca="1" si="280"/>
        <v>#NAME?</v>
      </c>
      <c r="T173" t="e">
        <f t="shared" ca="1" si="251"/>
        <v>#NAME?</v>
      </c>
      <c r="U173" s="4">
        <f t="shared" si="252"/>
        <v>1097.0311226851845</v>
      </c>
      <c r="V173" s="4">
        <f t="shared" si="253"/>
        <v>36.567704089506151</v>
      </c>
      <c r="W173" s="4">
        <f t="shared" si="254"/>
        <v>1</v>
      </c>
      <c r="X173" s="4">
        <f t="shared" si="255"/>
        <v>0</v>
      </c>
      <c r="Y173" s="4">
        <f t="shared" si="256"/>
        <v>0</v>
      </c>
      <c r="Z173" s="4">
        <f t="shared" si="257"/>
        <v>0</v>
      </c>
      <c r="AA173" s="4">
        <f t="shared" si="258"/>
        <v>0</v>
      </c>
      <c r="AB173" s="4">
        <f t="shared" si="259"/>
        <v>0</v>
      </c>
      <c r="AC173" s="4"/>
      <c r="AD173" s="4" t="b">
        <f t="shared" si="260"/>
        <v>0</v>
      </c>
      <c r="AE173" s="4" t="b">
        <f t="shared" si="261"/>
        <v>0</v>
      </c>
      <c r="AF173" s="4" t="b">
        <f t="shared" si="262"/>
        <v>0</v>
      </c>
      <c r="AG173" t="b">
        <f t="shared" si="263"/>
        <v>0</v>
      </c>
      <c r="AH173" t="b">
        <f t="shared" si="264"/>
        <v>0</v>
      </c>
      <c r="AI173" t="b">
        <f t="shared" si="265"/>
        <v>0</v>
      </c>
      <c r="AJ173" t="b">
        <f t="shared" si="266"/>
        <v>0</v>
      </c>
      <c r="AK173" t="b">
        <f t="shared" si="267"/>
        <v>0</v>
      </c>
      <c r="AL173" t="b">
        <f t="shared" si="268"/>
        <v>0</v>
      </c>
      <c r="AM173" t="b">
        <f t="shared" si="269"/>
        <v>0</v>
      </c>
      <c r="AN173" t="b">
        <f t="shared" si="270"/>
        <v>0</v>
      </c>
      <c r="AO173" t="b">
        <f t="shared" si="271"/>
        <v>0</v>
      </c>
      <c r="AP173" t="b">
        <f t="shared" si="272"/>
        <v>0</v>
      </c>
      <c r="AQ173" t="b">
        <f t="shared" si="273"/>
        <v>0</v>
      </c>
      <c r="AR173" t="b">
        <f t="shared" si="274"/>
        <v>0</v>
      </c>
      <c r="AS173" t="b">
        <f t="shared" si="275"/>
        <v>0</v>
      </c>
      <c r="AT173" t="b">
        <f t="shared" si="276"/>
        <v>0</v>
      </c>
      <c r="AU173" t="b">
        <f t="shared" si="277"/>
        <v>0</v>
      </c>
      <c r="AV173" t="b">
        <f t="shared" si="278"/>
        <v>0</v>
      </c>
      <c r="AW173" t="b">
        <f t="shared" si="279"/>
        <v>0</v>
      </c>
      <c r="AX173" t="b">
        <f t="shared" si="281"/>
        <v>0</v>
      </c>
      <c r="AY173" t="b">
        <f t="shared" si="282"/>
        <v>0</v>
      </c>
      <c r="AZ173" t="b">
        <f t="shared" si="283"/>
        <v>0</v>
      </c>
      <c r="BA173" t="b">
        <f t="shared" si="284"/>
        <v>0</v>
      </c>
      <c r="BB173" t="b">
        <f t="shared" si="285"/>
        <v>0</v>
      </c>
      <c r="BC173" t="b">
        <f t="shared" si="286"/>
        <v>0</v>
      </c>
      <c r="BD173" t="b">
        <f t="shared" si="287"/>
        <v>0</v>
      </c>
      <c r="BE173" t="b">
        <f t="shared" si="288"/>
        <v>0</v>
      </c>
      <c r="BF173" t="b">
        <f t="shared" si="289"/>
        <v>0</v>
      </c>
      <c r="BG173" t="b">
        <f t="shared" si="290"/>
        <v>0</v>
      </c>
      <c r="BH173" t="b">
        <f t="shared" si="291"/>
        <v>0</v>
      </c>
      <c r="BI173">
        <f t="shared" si="292"/>
        <v>1</v>
      </c>
      <c r="BJ173" t="b">
        <f t="shared" si="293"/>
        <v>0</v>
      </c>
      <c r="BK173" t="b">
        <f t="shared" si="294"/>
        <v>0</v>
      </c>
      <c r="BL173" t="b">
        <f t="shared" si="295"/>
        <v>0</v>
      </c>
      <c r="BM173" t="b">
        <f t="shared" si="296"/>
        <v>0</v>
      </c>
      <c r="BN173" t="b">
        <f t="shared" si="297"/>
        <v>0</v>
      </c>
      <c r="BO173" t="b">
        <f t="shared" si="298"/>
        <v>0</v>
      </c>
      <c r="BP173" t="b">
        <f t="shared" si="299"/>
        <v>0</v>
      </c>
      <c r="BQ173" t="b">
        <f t="shared" si="300"/>
        <v>0</v>
      </c>
      <c r="BR173" t="b">
        <f t="shared" si="301"/>
        <v>0</v>
      </c>
      <c r="BS173" t="b">
        <f t="shared" si="302"/>
        <v>0</v>
      </c>
      <c r="BT173" t="b">
        <f t="shared" si="303"/>
        <v>0</v>
      </c>
      <c r="BU173" t="b">
        <f t="shared" si="304"/>
        <v>0</v>
      </c>
      <c r="BV173" t="b">
        <f t="shared" si="305"/>
        <v>0</v>
      </c>
      <c r="BW173" t="b">
        <f t="shared" si="306"/>
        <v>0</v>
      </c>
      <c r="BX173" t="b">
        <f t="shared" si="307"/>
        <v>0</v>
      </c>
      <c r="BY173" t="b">
        <f t="shared" si="308"/>
        <v>0</v>
      </c>
      <c r="BZ173" t="b">
        <f t="shared" si="309"/>
        <v>0</v>
      </c>
      <c r="CA173" t="b">
        <f t="shared" si="310"/>
        <v>0</v>
      </c>
      <c r="CB173" t="b">
        <f t="shared" si="311"/>
        <v>0</v>
      </c>
      <c r="CC173" t="b">
        <f t="shared" si="312"/>
        <v>0</v>
      </c>
      <c r="CD173" t="b">
        <f t="shared" si="313"/>
        <v>0</v>
      </c>
      <c r="CE173">
        <f t="shared" si="314"/>
        <v>1</v>
      </c>
      <c r="CF173" t="b">
        <f t="shared" si="315"/>
        <v>0</v>
      </c>
      <c r="CG173" t="b">
        <f t="shared" si="316"/>
        <v>0</v>
      </c>
      <c r="CH173" t="b">
        <f t="shared" si="317"/>
        <v>0</v>
      </c>
      <c r="CI173" t="b">
        <f t="shared" si="318"/>
        <v>0</v>
      </c>
      <c r="CJ173" t="b">
        <f t="shared" si="319"/>
        <v>0</v>
      </c>
      <c r="CK173" t="b">
        <f t="shared" si="320"/>
        <v>0</v>
      </c>
      <c r="CL173" t="b">
        <f t="shared" si="321"/>
        <v>0</v>
      </c>
      <c r="CM173" t="b">
        <f t="shared" si="322"/>
        <v>0</v>
      </c>
      <c r="CN173" t="b">
        <f t="shared" si="323"/>
        <v>0</v>
      </c>
      <c r="CO173" t="b">
        <f t="shared" si="324"/>
        <v>0</v>
      </c>
      <c r="CP173" t="b">
        <f t="shared" si="325"/>
        <v>0</v>
      </c>
      <c r="CQ173" t="b">
        <f t="shared" si="326"/>
        <v>0</v>
      </c>
      <c r="CR173" t="b">
        <f t="shared" si="327"/>
        <v>0</v>
      </c>
      <c r="CS173" t="b">
        <f t="shared" si="328"/>
        <v>0</v>
      </c>
      <c r="CT173" t="b">
        <f t="shared" si="329"/>
        <v>0</v>
      </c>
      <c r="CU173" t="b">
        <f t="shared" si="330"/>
        <v>0</v>
      </c>
      <c r="CV173">
        <f t="shared" si="331"/>
        <v>1</v>
      </c>
      <c r="CW173" t="b">
        <f t="shared" si="332"/>
        <v>0</v>
      </c>
      <c r="CX173" t="b">
        <f t="shared" si="333"/>
        <v>0</v>
      </c>
      <c r="CY173" t="b">
        <f t="shared" si="334"/>
        <v>0</v>
      </c>
      <c r="CZ173" t="b">
        <f t="shared" si="335"/>
        <v>0</v>
      </c>
      <c r="DA173" t="b">
        <f t="shared" si="336"/>
        <v>0</v>
      </c>
      <c r="DB173" t="b">
        <f t="shared" si="337"/>
        <v>0</v>
      </c>
      <c r="DC173" t="b">
        <f t="shared" si="338"/>
        <v>0</v>
      </c>
      <c r="DD173" t="b">
        <f t="shared" si="339"/>
        <v>0</v>
      </c>
      <c r="DE173" t="b">
        <f t="shared" si="340"/>
        <v>0</v>
      </c>
      <c r="DF173" t="b">
        <f t="shared" si="341"/>
        <v>0</v>
      </c>
      <c r="DG173" t="b">
        <f t="shared" si="342"/>
        <v>0</v>
      </c>
      <c r="DH173" t="b">
        <f t="shared" si="343"/>
        <v>0</v>
      </c>
      <c r="DI173" t="b">
        <f t="shared" si="344"/>
        <v>0</v>
      </c>
      <c r="DJ173" t="b">
        <f t="shared" si="345"/>
        <v>0</v>
      </c>
      <c r="DK173" t="b">
        <f t="shared" si="346"/>
        <v>0</v>
      </c>
      <c r="DL173" t="b">
        <f t="shared" si="347"/>
        <v>0</v>
      </c>
      <c r="DM173" t="b">
        <f t="shared" si="348"/>
        <v>0</v>
      </c>
      <c r="DN173" t="b">
        <f t="shared" si="349"/>
        <v>0</v>
      </c>
      <c r="DO173" t="b">
        <f t="shared" si="350"/>
        <v>0</v>
      </c>
      <c r="DP173" t="b">
        <f t="shared" si="351"/>
        <v>0</v>
      </c>
      <c r="DQ173" t="b">
        <f t="shared" si="352"/>
        <v>0</v>
      </c>
      <c r="DR173" t="b">
        <f t="shared" si="353"/>
        <v>0</v>
      </c>
      <c r="DS173" t="b">
        <f t="shared" si="354"/>
        <v>0</v>
      </c>
      <c r="DT173" t="b">
        <f t="shared" si="355"/>
        <v>0</v>
      </c>
      <c r="DU173" t="b">
        <f t="shared" si="356"/>
        <v>0</v>
      </c>
      <c r="DV173" t="b">
        <f t="shared" si="357"/>
        <v>0</v>
      </c>
      <c r="DW173" t="b">
        <f t="shared" si="358"/>
        <v>0</v>
      </c>
      <c r="DX173" t="b">
        <f t="shared" si="359"/>
        <v>0</v>
      </c>
      <c r="DY173" t="b">
        <f t="shared" si="360"/>
        <v>0</v>
      </c>
      <c r="DZ173" t="b">
        <f t="shared" si="361"/>
        <v>0</v>
      </c>
      <c r="EA173" t="b">
        <f t="shared" si="362"/>
        <v>0</v>
      </c>
      <c r="EB173" t="b">
        <f t="shared" si="363"/>
        <v>0</v>
      </c>
      <c r="EC173" t="b">
        <f t="shared" si="364"/>
        <v>0</v>
      </c>
      <c r="ED173" t="b">
        <f t="shared" si="365"/>
        <v>0</v>
      </c>
      <c r="EE173" t="b">
        <f t="shared" si="366"/>
        <v>0</v>
      </c>
      <c r="EF173">
        <f t="shared" si="367"/>
        <v>1</v>
      </c>
      <c r="EG173" t="b">
        <f t="shared" si="368"/>
        <v>0</v>
      </c>
      <c r="EH173" t="b">
        <f t="shared" si="369"/>
        <v>0</v>
      </c>
      <c r="EI173" t="b">
        <f t="shared" si="370"/>
        <v>0</v>
      </c>
      <c r="EJ173" t="b">
        <f t="shared" si="371"/>
        <v>0</v>
      </c>
      <c r="EK173" t="b">
        <f t="shared" si="372"/>
        <v>0</v>
      </c>
    </row>
    <row r="174" spans="1:141">
      <c r="A174" t="s">
        <v>980</v>
      </c>
      <c r="B174" t="s">
        <v>981</v>
      </c>
      <c r="C174" t="s">
        <v>982</v>
      </c>
      <c r="D174" s="1">
        <v>41366</v>
      </c>
      <c r="E174" s="2">
        <v>42441.458287037036</v>
      </c>
      <c r="F174" s="2">
        <v>42441.458287037036</v>
      </c>
      <c r="G174">
        <v>1580933</v>
      </c>
      <c r="H174" t="s">
        <v>983</v>
      </c>
      <c r="I174" s="10" t="s">
        <v>984</v>
      </c>
      <c r="J174" t="s">
        <v>985</v>
      </c>
      <c r="K174" s="8" t="b">
        <v>1</v>
      </c>
      <c r="L174" s="10" t="b">
        <v>0</v>
      </c>
      <c r="M174" s="12" t="b">
        <v>0</v>
      </c>
      <c r="N174" t="b">
        <v>0</v>
      </c>
      <c r="O174" t="b">
        <v>0</v>
      </c>
      <c r="P174" t="b">
        <v>0</v>
      </c>
      <c r="Q174">
        <f t="shared" si="249"/>
        <v>3</v>
      </c>
      <c r="R174">
        <f t="shared" si="250"/>
        <v>4</v>
      </c>
      <c r="S174" t="e">
        <f t="shared" ca="1" si="280"/>
        <v>#NAME?</v>
      </c>
      <c r="T174" t="e">
        <f t="shared" ca="1" si="251"/>
        <v>#NAME?</v>
      </c>
      <c r="U174" s="4">
        <f t="shared" si="252"/>
        <v>1075.4582870370359</v>
      </c>
      <c r="V174" s="4">
        <f t="shared" si="253"/>
        <v>35.8486095679012</v>
      </c>
      <c r="W174" s="4">
        <f t="shared" si="254"/>
        <v>1</v>
      </c>
      <c r="X174" s="4">
        <f t="shared" si="255"/>
        <v>0</v>
      </c>
      <c r="Y174" s="4">
        <f t="shared" si="256"/>
        <v>0</v>
      </c>
      <c r="Z174" s="4">
        <f t="shared" si="257"/>
        <v>0</v>
      </c>
      <c r="AA174" s="4">
        <f t="shared" si="258"/>
        <v>0</v>
      </c>
      <c r="AB174" s="4">
        <f t="shared" si="259"/>
        <v>0</v>
      </c>
      <c r="AC174" s="4"/>
      <c r="AD174" s="4" t="b">
        <f t="shared" si="260"/>
        <v>0</v>
      </c>
      <c r="AE174" s="4" t="b">
        <f t="shared" si="261"/>
        <v>0</v>
      </c>
      <c r="AF174" s="4" t="b">
        <f t="shared" si="262"/>
        <v>0</v>
      </c>
      <c r="AG174" t="b">
        <f t="shared" si="263"/>
        <v>0</v>
      </c>
      <c r="AH174" t="b">
        <f t="shared" si="264"/>
        <v>0</v>
      </c>
      <c r="AI174" t="b">
        <f t="shared" si="265"/>
        <v>0</v>
      </c>
      <c r="AJ174" t="b">
        <f t="shared" si="266"/>
        <v>0</v>
      </c>
      <c r="AK174" t="b">
        <f t="shared" si="267"/>
        <v>0</v>
      </c>
      <c r="AL174" t="b">
        <f t="shared" si="268"/>
        <v>0</v>
      </c>
      <c r="AM174" t="b">
        <f t="shared" si="269"/>
        <v>0</v>
      </c>
      <c r="AN174" t="b">
        <f t="shared" si="270"/>
        <v>0</v>
      </c>
      <c r="AO174" t="b">
        <f t="shared" si="271"/>
        <v>0</v>
      </c>
      <c r="AP174" t="b">
        <f t="shared" si="272"/>
        <v>0</v>
      </c>
      <c r="AQ174" t="b">
        <f t="shared" si="273"/>
        <v>0</v>
      </c>
      <c r="AR174" t="b">
        <f t="shared" si="274"/>
        <v>0</v>
      </c>
      <c r="AS174" t="b">
        <f t="shared" si="275"/>
        <v>0</v>
      </c>
      <c r="AT174" t="b">
        <f t="shared" si="276"/>
        <v>0</v>
      </c>
      <c r="AU174" t="b">
        <f t="shared" si="277"/>
        <v>0</v>
      </c>
      <c r="AV174" t="b">
        <f t="shared" si="278"/>
        <v>0</v>
      </c>
      <c r="AW174" t="b">
        <f t="shared" si="279"/>
        <v>0</v>
      </c>
      <c r="AX174" t="b">
        <f t="shared" si="281"/>
        <v>0</v>
      </c>
      <c r="AY174" t="b">
        <f t="shared" si="282"/>
        <v>0</v>
      </c>
      <c r="AZ174">
        <f t="shared" si="283"/>
        <v>1</v>
      </c>
      <c r="BA174" t="b">
        <f t="shared" si="284"/>
        <v>0</v>
      </c>
      <c r="BB174" t="b">
        <f t="shared" si="285"/>
        <v>0</v>
      </c>
      <c r="BC174" t="b">
        <f t="shared" si="286"/>
        <v>0</v>
      </c>
      <c r="BD174" t="b">
        <f t="shared" si="287"/>
        <v>0</v>
      </c>
      <c r="BE174" t="b">
        <f t="shared" si="288"/>
        <v>0</v>
      </c>
      <c r="BF174" t="b">
        <f t="shared" si="289"/>
        <v>0</v>
      </c>
      <c r="BG174" t="b">
        <f t="shared" si="290"/>
        <v>0</v>
      </c>
      <c r="BH174" t="b">
        <f t="shared" si="291"/>
        <v>0</v>
      </c>
      <c r="BI174">
        <f t="shared" si="292"/>
        <v>1</v>
      </c>
      <c r="BJ174" t="b">
        <f t="shared" si="293"/>
        <v>0</v>
      </c>
      <c r="BK174" t="b">
        <f t="shared" si="294"/>
        <v>0</v>
      </c>
      <c r="BL174" t="b">
        <f t="shared" si="295"/>
        <v>0</v>
      </c>
      <c r="BM174" t="b">
        <f t="shared" si="296"/>
        <v>0</v>
      </c>
      <c r="BN174" t="b">
        <f t="shared" si="297"/>
        <v>0</v>
      </c>
      <c r="BO174" t="b">
        <f t="shared" si="298"/>
        <v>0</v>
      </c>
      <c r="BP174" t="b">
        <f t="shared" si="299"/>
        <v>0</v>
      </c>
      <c r="BQ174" t="b">
        <f t="shared" si="300"/>
        <v>0</v>
      </c>
      <c r="BR174" t="b">
        <f t="shared" si="301"/>
        <v>0</v>
      </c>
      <c r="BS174" t="b">
        <f t="shared" si="302"/>
        <v>0</v>
      </c>
      <c r="BT174" t="b">
        <f t="shared" si="303"/>
        <v>0</v>
      </c>
      <c r="BU174" t="b">
        <f t="shared" si="304"/>
        <v>0</v>
      </c>
      <c r="BV174" t="b">
        <f t="shared" si="305"/>
        <v>0</v>
      </c>
      <c r="BW174" t="b">
        <f t="shared" si="306"/>
        <v>0</v>
      </c>
      <c r="BX174" t="b">
        <f t="shared" si="307"/>
        <v>0</v>
      </c>
      <c r="BY174" t="b">
        <f t="shared" si="308"/>
        <v>0</v>
      </c>
      <c r="BZ174" t="b">
        <f t="shared" si="309"/>
        <v>0</v>
      </c>
      <c r="CA174" t="b">
        <f t="shared" si="310"/>
        <v>0</v>
      </c>
      <c r="CB174" t="b">
        <f t="shared" si="311"/>
        <v>0</v>
      </c>
      <c r="CC174" t="b">
        <f t="shared" si="312"/>
        <v>0</v>
      </c>
      <c r="CD174" t="b">
        <f t="shared" si="313"/>
        <v>0</v>
      </c>
      <c r="CE174">
        <f t="shared" si="314"/>
        <v>1</v>
      </c>
      <c r="CF174" t="b">
        <f t="shared" si="315"/>
        <v>0</v>
      </c>
      <c r="CG174" t="b">
        <f t="shared" si="316"/>
        <v>0</v>
      </c>
      <c r="CH174" t="b">
        <f t="shared" si="317"/>
        <v>0</v>
      </c>
      <c r="CI174" t="b">
        <f t="shared" si="318"/>
        <v>0</v>
      </c>
      <c r="CJ174" t="b">
        <f t="shared" si="319"/>
        <v>0</v>
      </c>
      <c r="CK174" t="b">
        <f t="shared" si="320"/>
        <v>0</v>
      </c>
      <c r="CL174" t="b">
        <f t="shared" si="321"/>
        <v>0</v>
      </c>
      <c r="CM174" t="b">
        <f t="shared" si="322"/>
        <v>0</v>
      </c>
      <c r="CN174" t="b">
        <f t="shared" si="323"/>
        <v>0</v>
      </c>
      <c r="CO174" t="b">
        <f t="shared" si="324"/>
        <v>0</v>
      </c>
      <c r="CP174" t="b">
        <f t="shared" si="325"/>
        <v>0</v>
      </c>
      <c r="CQ174" t="b">
        <f t="shared" si="326"/>
        <v>0</v>
      </c>
      <c r="CR174" t="b">
        <f t="shared" si="327"/>
        <v>0</v>
      </c>
      <c r="CS174" t="b">
        <f t="shared" si="328"/>
        <v>0</v>
      </c>
      <c r="CT174" t="b">
        <f t="shared" si="329"/>
        <v>0</v>
      </c>
      <c r="CU174" t="b">
        <f t="shared" si="330"/>
        <v>0</v>
      </c>
      <c r="CV174">
        <f t="shared" si="331"/>
        <v>1</v>
      </c>
      <c r="CW174" t="b">
        <f t="shared" si="332"/>
        <v>0</v>
      </c>
      <c r="CX174" t="b">
        <f t="shared" si="333"/>
        <v>0</v>
      </c>
      <c r="CY174" t="b">
        <f t="shared" si="334"/>
        <v>0</v>
      </c>
      <c r="CZ174" t="b">
        <f t="shared" si="335"/>
        <v>0</v>
      </c>
      <c r="DA174" t="b">
        <f t="shared" si="336"/>
        <v>0</v>
      </c>
      <c r="DB174" t="b">
        <f t="shared" si="337"/>
        <v>0</v>
      </c>
      <c r="DC174" t="b">
        <f t="shared" si="338"/>
        <v>0</v>
      </c>
      <c r="DD174" t="b">
        <f t="shared" si="339"/>
        <v>0</v>
      </c>
      <c r="DE174" t="b">
        <f t="shared" si="340"/>
        <v>0</v>
      </c>
      <c r="DF174" t="b">
        <f t="shared" si="341"/>
        <v>0</v>
      </c>
      <c r="DG174" t="b">
        <f t="shared" si="342"/>
        <v>0</v>
      </c>
      <c r="DH174" t="b">
        <f t="shared" si="343"/>
        <v>0</v>
      </c>
      <c r="DI174" t="b">
        <f t="shared" si="344"/>
        <v>0</v>
      </c>
      <c r="DJ174" t="b">
        <f t="shared" si="345"/>
        <v>0</v>
      </c>
      <c r="DK174" t="b">
        <f t="shared" si="346"/>
        <v>0</v>
      </c>
      <c r="DL174" t="b">
        <f t="shared" si="347"/>
        <v>0</v>
      </c>
      <c r="DM174" t="b">
        <f t="shared" si="348"/>
        <v>0</v>
      </c>
      <c r="DN174" t="b">
        <f t="shared" si="349"/>
        <v>0</v>
      </c>
      <c r="DO174" t="b">
        <f t="shared" si="350"/>
        <v>0</v>
      </c>
      <c r="DP174" t="b">
        <f t="shared" si="351"/>
        <v>0</v>
      </c>
      <c r="DQ174" t="b">
        <f t="shared" si="352"/>
        <v>0</v>
      </c>
      <c r="DR174" t="b">
        <f t="shared" si="353"/>
        <v>0</v>
      </c>
      <c r="DS174" t="b">
        <f t="shared" si="354"/>
        <v>0</v>
      </c>
      <c r="DT174" t="b">
        <f t="shared" si="355"/>
        <v>0</v>
      </c>
      <c r="DU174" t="b">
        <f t="shared" si="356"/>
        <v>0</v>
      </c>
      <c r="DV174" t="b">
        <f t="shared" si="357"/>
        <v>0</v>
      </c>
      <c r="DW174" t="b">
        <f t="shared" si="358"/>
        <v>0</v>
      </c>
      <c r="DX174" t="b">
        <f t="shared" si="359"/>
        <v>0</v>
      </c>
      <c r="DY174" t="b">
        <f t="shared" si="360"/>
        <v>0</v>
      </c>
      <c r="DZ174" t="b">
        <f t="shared" si="361"/>
        <v>0</v>
      </c>
      <c r="EA174" t="b">
        <f t="shared" si="362"/>
        <v>0</v>
      </c>
      <c r="EB174" t="b">
        <f t="shared" si="363"/>
        <v>0</v>
      </c>
      <c r="EC174" t="b">
        <f t="shared" si="364"/>
        <v>0</v>
      </c>
      <c r="ED174" t="b">
        <f t="shared" si="365"/>
        <v>0</v>
      </c>
      <c r="EE174" t="b">
        <f t="shared" si="366"/>
        <v>0</v>
      </c>
      <c r="EF174">
        <f t="shared" si="367"/>
        <v>1</v>
      </c>
      <c r="EG174" t="b">
        <f t="shared" si="368"/>
        <v>0</v>
      </c>
      <c r="EH174" t="b">
        <f t="shared" si="369"/>
        <v>0</v>
      </c>
      <c r="EI174">
        <f t="shared" si="370"/>
        <v>1</v>
      </c>
      <c r="EJ174" t="b">
        <f t="shared" si="371"/>
        <v>0</v>
      </c>
      <c r="EK174" t="b">
        <f t="shared" si="372"/>
        <v>0</v>
      </c>
    </row>
    <row r="175" spans="1:141">
      <c r="A175" t="s">
        <v>986</v>
      </c>
      <c r="B175" t="s">
        <v>986</v>
      </c>
      <c r="C175" t="s">
        <v>987</v>
      </c>
      <c r="D175" s="1">
        <v>44001</v>
      </c>
      <c r="E175" s="2">
        <v>44041.19332175926</v>
      </c>
      <c r="F175" s="2">
        <v>44041.19332175926</v>
      </c>
      <c r="G175">
        <v>3465259</v>
      </c>
      <c r="H175" t="s">
        <v>988</v>
      </c>
      <c r="I175" s="10" t="s">
        <v>989</v>
      </c>
      <c r="J175" t="s">
        <v>990</v>
      </c>
      <c r="K175" s="8" t="b">
        <v>1</v>
      </c>
      <c r="L175" s="10" t="b">
        <v>0</v>
      </c>
      <c r="M175" s="12" t="b">
        <v>0</v>
      </c>
      <c r="N175" t="b">
        <v>0</v>
      </c>
      <c r="O175" t="b">
        <v>0</v>
      </c>
      <c r="P175" t="b">
        <v>0</v>
      </c>
      <c r="Q175">
        <f t="shared" si="249"/>
        <v>6</v>
      </c>
      <c r="R175">
        <f t="shared" si="250"/>
        <v>6</v>
      </c>
      <c r="S175" t="e">
        <f t="shared" ca="1" si="280"/>
        <v>#NAME?</v>
      </c>
      <c r="T175" t="e">
        <f t="shared" ca="1" si="251"/>
        <v>#NAME?</v>
      </c>
      <c r="U175" s="4">
        <f t="shared" si="252"/>
        <v>40.193321759259561</v>
      </c>
      <c r="V175" s="4">
        <f t="shared" si="253"/>
        <v>1.3397773919753186</v>
      </c>
      <c r="W175" s="4">
        <f t="shared" si="254"/>
        <v>1</v>
      </c>
      <c r="X175" s="4">
        <f t="shared" si="255"/>
        <v>0</v>
      </c>
      <c r="Y175" s="4">
        <f t="shared" si="256"/>
        <v>0</v>
      </c>
      <c r="Z175" s="4">
        <f t="shared" si="257"/>
        <v>0</v>
      </c>
      <c r="AA175" s="4">
        <f t="shared" si="258"/>
        <v>0</v>
      </c>
      <c r="AB175" s="4">
        <f t="shared" si="259"/>
        <v>0</v>
      </c>
      <c r="AC175" s="4"/>
      <c r="AD175" s="4" t="b">
        <f t="shared" si="260"/>
        <v>0</v>
      </c>
      <c r="AE175" s="4" t="b">
        <f t="shared" si="261"/>
        <v>0</v>
      </c>
      <c r="AF175" s="4" t="b">
        <f t="shared" si="262"/>
        <v>0</v>
      </c>
      <c r="AG175" t="b">
        <f t="shared" si="263"/>
        <v>0</v>
      </c>
      <c r="AH175" t="b">
        <f t="shared" si="264"/>
        <v>0</v>
      </c>
      <c r="AI175" t="b">
        <f t="shared" si="265"/>
        <v>0</v>
      </c>
      <c r="AJ175" t="b">
        <f t="shared" si="266"/>
        <v>0</v>
      </c>
      <c r="AK175" t="b">
        <f t="shared" si="267"/>
        <v>0</v>
      </c>
      <c r="AL175" t="b">
        <f t="shared" si="268"/>
        <v>0</v>
      </c>
      <c r="AM175" t="b">
        <f t="shared" si="269"/>
        <v>0</v>
      </c>
      <c r="AN175" t="b">
        <f t="shared" si="270"/>
        <v>0</v>
      </c>
      <c r="AO175" t="b">
        <f t="shared" si="271"/>
        <v>0</v>
      </c>
      <c r="AP175" t="b">
        <f t="shared" si="272"/>
        <v>0</v>
      </c>
      <c r="AQ175" t="b">
        <f t="shared" si="273"/>
        <v>0</v>
      </c>
      <c r="AR175" t="b">
        <f t="shared" si="274"/>
        <v>0</v>
      </c>
      <c r="AS175" t="b">
        <f t="shared" si="275"/>
        <v>0</v>
      </c>
      <c r="AT175" t="b">
        <f t="shared" si="276"/>
        <v>0</v>
      </c>
      <c r="AU175" t="b">
        <f t="shared" si="277"/>
        <v>0</v>
      </c>
      <c r="AV175" t="b">
        <f t="shared" si="278"/>
        <v>0</v>
      </c>
      <c r="AW175" t="b">
        <f t="shared" si="279"/>
        <v>0</v>
      </c>
      <c r="AX175" t="b">
        <f t="shared" si="281"/>
        <v>0</v>
      </c>
      <c r="AY175" t="b">
        <f t="shared" si="282"/>
        <v>0</v>
      </c>
      <c r="AZ175" t="b">
        <f t="shared" si="283"/>
        <v>0</v>
      </c>
      <c r="BA175" t="b">
        <f t="shared" si="284"/>
        <v>0</v>
      </c>
      <c r="BB175">
        <f t="shared" si="285"/>
        <v>1</v>
      </c>
      <c r="BC175" t="b">
        <f t="shared" si="286"/>
        <v>0</v>
      </c>
      <c r="BD175" t="b">
        <f t="shared" si="287"/>
        <v>0</v>
      </c>
      <c r="BE175" t="b">
        <f t="shared" si="288"/>
        <v>0</v>
      </c>
      <c r="BF175" t="b">
        <f t="shared" si="289"/>
        <v>0</v>
      </c>
      <c r="BG175" t="b">
        <f t="shared" si="290"/>
        <v>0</v>
      </c>
      <c r="BH175" t="b">
        <f t="shared" si="291"/>
        <v>0</v>
      </c>
      <c r="BI175">
        <f t="shared" si="292"/>
        <v>1</v>
      </c>
      <c r="BJ175" t="b">
        <f t="shared" si="293"/>
        <v>0</v>
      </c>
      <c r="BK175" t="b">
        <f t="shared" si="294"/>
        <v>0</v>
      </c>
      <c r="BL175" t="b">
        <f t="shared" si="295"/>
        <v>0</v>
      </c>
      <c r="BM175" t="b">
        <f t="shared" si="296"/>
        <v>0</v>
      </c>
      <c r="BN175" t="b">
        <f t="shared" si="297"/>
        <v>0</v>
      </c>
      <c r="BO175" t="b">
        <f t="shared" si="298"/>
        <v>0</v>
      </c>
      <c r="BP175" t="b">
        <f t="shared" si="299"/>
        <v>0</v>
      </c>
      <c r="BQ175" t="b">
        <f t="shared" si="300"/>
        <v>0</v>
      </c>
      <c r="BR175" t="b">
        <f t="shared" si="301"/>
        <v>0</v>
      </c>
      <c r="BS175">
        <f t="shared" si="302"/>
        <v>1</v>
      </c>
      <c r="BT175" t="b">
        <f t="shared" si="303"/>
        <v>0</v>
      </c>
      <c r="BU175" t="b">
        <f t="shared" si="304"/>
        <v>0</v>
      </c>
      <c r="BV175" t="b">
        <f t="shared" si="305"/>
        <v>0</v>
      </c>
      <c r="BW175" t="b">
        <f t="shared" si="306"/>
        <v>0</v>
      </c>
      <c r="BX175" t="b">
        <f t="shared" si="307"/>
        <v>0</v>
      </c>
      <c r="BY175" t="b">
        <f t="shared" si="308"/>
        <v>0</v>
      </c>
      <c r="BZ175" t="b">
        <f t="shared" si="309"/>
        <v>0</v>
      </c>
      <c r="CA175" t="b">
        <f t="shared" si="310"/>
        <v>0</v>
      </c>
      <c r="CB175" t="b">
        <f t="shared" si="311"/>
        <v>0</v>
      </c>
      <c r="CC175" t="b">
        <f t="shared" si="312"/>
        <v>0</v>
      </c>
      <c r="CD175" t="b">
        <f t="shared" si="313"/>
        <v>0</v>
      </c>
      <c r="CE175">
        <f t="shared" si="314"/>
        <v>1</v>
      </c>
      <c r="CF175" t="b">
        <f t="shared" si="315"/>
        <v>0</v>
      </c>
      <c r="CG175" t="b">
        <f t="shared" si="316"/>
        <v>0</v>
      </c>
      <c r="CH175" t="b">
        <f t="shared" si="317"/>
        <v>0</v>
      </c>
      <c r="CI175" t="b">
        <f t="shared" si="318"/>
        <v>0</v>
      </c>
      <c r="CJ175" t="b">
        <f t="shared" si="319"/>
        <v>0</v>
      </c>
      <c r="CK175" t="b">
        <f t="shared" si="320"/>
        <v>0</v>
      </c>
      <c r="CL175" t="b">
        <f t="shared" si="321"/>
        <v>0</v>
      </c>
      <c r="CM175">
        <f t="shared" si="322"/>
        <v>1</v>
      </c>
      <c r="CN175" t="b">
        <f t="shared" si="323"/>
        <v>0</v>
      </c>
      <c r="CO175" t="b">
        <f t="shared" si="324"/>
        <v>0</v>
      </c>
      <c r="CP175" t="b">
        <f t="shared" si="325"/>
        <v>0</v>
      </c>
      <c r="CQ175" t="b">
        <f t="shared" si="326"/>
        <v>0</v>
      </c>
      <c r="CR175" t="b">
        <f t="shared" si="327"/>
        <v>0</v>
      </c>
      <c r="CS175" t="b">
        <f t="shared" si="328"/>
        <v>0</v>
      </c>
      <c r="CT175" t="b">
        <f t="shared" si="329"/>
        <v>0</v>
      </c>
      <c r="CU175" t="b">
        <f t="shared" si="330"/>
        <v>0</v>
      </c>
      <c r="CV175" t="b">
        <f t="shared" si="331"/>
        <v>0</v>
      </c>
      <c r="CW175" t="b">
        <f t="shared" si="332"/>
        <v>0</v>
      </c>
      <c r="CX175" t="b">
        <f t="shared" si="333"/>
        <v>0</v>
      </c>
      <c r="CY175" t="b">
        <f t="shared" si="334"/>
        <v>0</v>
      </c>
      <c r="CZ175" t="b">
        <f t="shared" si="335"/>
        <v>0</v>
      </c>
      <c r="DA175">
        <f t="shared" si="336"/>
        <v>1</v>
      </c>
      <c r="DB175" t="b">
        <f t="shared" si="337"/>
        <v>0</v>
      </c>
      <c r="DC175" t="b">
        <f t="shared" si="338"/>
        <v>0</v>
      </c>
      <c r="DD175" t="b">
        <f t="shared" si="339"/>
        <v>0</v>
      </c>
      <c r="DE175" t="b">
        <f t="shared" si="340"/>
        <v>0</v>
      </c>
      <c r="DF175" t="b">
        <f t="shared" si="341"/>
        <v>0</v>
      </c>
      <c r="DG175" t="b">
        <f t="shared" si="342"/>
        <v>0</v>
      </c>
      <c r="DH175" t="b">
        <f t="shared" si="343"/>
        <v>0</v>
      </c>
      <c r="DI175" t="b">
        <f t="shared" si="344"/>
        <v>0</v>
      </c>
      <c r="DJ175" t="b">
        <f t="shared" si="345"/>
        <v>0</v>
      </c>
      <c r="DK175" t="b">
        <f t="shared" si="346"/>
        <v>0</v>
      </c>
      <c r="DL175" t="b">
        <f t="shared" si="347"/>
        <v>0</v>
      </c>
      <c r="DM175" t="b">
        <f t="shared" si="348"/>
        <v>0</v>
      </c>
      <c r="DN175" t="b">
        <f t="shared" si="349"/>
        <v>0</v>
      </c>
      <c r="DO175" t="b">
        <f t="shared" si="350"/>
        <v>0</v>
      </c>
      <c r="DP175" t="b">
        <f t="shared" si="351"/>
        <v>0</v>
      </c>
      <c r="DQ175" t="b">
        <f t="shared" si="352"/>
        <v>0</v>
      </c>
      <c r="DR175" t="b">
        <f t="shared" si="353"/>
        <v>0</v>
      </c>
      <c r="DS175" t="b">
        <f t="shared" si="354"/>
        <v>0</v>
      </c>
      <c r="DT175" t="b">
        <f t="shared" si="355"/>
        <v>0</v>
      </c>
      <c r="DU175" t="b">
        <f t="shared" si="356"/>
        <v>0</v>
      </c>
      <c r="DV175" t="b">
        <f t="shared" si="357"/>
        <v>0</v>
      </c>
      <c r="DW175" t="b">
        <f t="shared" si="358"/>
        <v>0</v>
      </c>
      <c r="DX175" t="b">
        <f t="shared" si="359"/>
        <v>0</v>
      </c>
      <c r="DY175" t="b">
        <f t="shared" si="360"/>
        <v>0</v>
      </c>
      <c r="DZ175" t="b">
        <f t="shared" si="361"/>
        <v>0</v>
      </c>
      <c r="EA175" t="b">
        <f t="shared" si="362"/>
        <v>0</v>
      </c>
      <c r="EB175" t="b">
        <f t="shared" si="363"/>
        <v>0</v>
      </c>
      <c r="EC175" t="b">
        <f t="shared" si="364"/>
        <v>0</v>
      </c>
      <c r="ED175" t="b">
        <f t="shared" si="365"/>
        <v>0</v>
      </c>
      <c r="EE175" t="b">
        <f t="shared" si="366"/>
        <v>0</v>
      </c>
      <c r="EF175" t="b">
        <f t="shared" si="367"/>
        <v>0</v>
      </c>
      <c r="EG175" t="b">
        <f t="shared" si="368"/>
        <v>0</v>
      </c>
      <c r="EH175" t="b">
        <f t="shared" si="369"/>
        <v>0</v>
      </c>
      <c r="EI175" t="b">
        <f t="shared" si="370"/>
        <v>0</v>
      </c>
      <c r="EJ175" t="b">
        <f t="shared" si="371"/>
        <v>0</v>
      </c>
      <c r="EK175" t="b">
        <f t="shared" si="372"/>
        <v>0</v>
      </c>
    </row>
    <row r="176" spans="1:141">
      <c r="A176" t="s">
        <v>991</v>
      </c>
      <c r="B176" t="s">
        <v>992</v>
      </c>
      <c r="C176" t="s">
        <v>993</v>
      </c>
      <c r="D176" s="1">
        <v>40544</v>
      </c>
      <c r="E176" s="2">
        <v>42681.53702546296</v>
      </c>
      <c r="F176" s="2">
        <v>42681.53702546296</v>
      </c>
      <c r="G176">
        <v>2639894</v>
      </c>
      <c r="H176" t="s">
        <v>994</v>
      </c>
      <c r="I176" s="10" t="s">
        <v>995</v>
      </c>
      <c r="J176" t="s">
        <v>156</v>
      </c>
      <c r="K176" s="8" t="b">
        <v>0</v>
      </c>
      <c r="L176" s="10" t="b">
        <v>0</v>
      </c>
      <c r="M176" s="12" t="b">
        <v>0</v>
      </c>
      <c r="N176" t="b">
        <v>0</v>
      </c>
      <c r="O176" t="b">
        <v>0</v>
      </c>
      <c r="P176" t="b">
        <v>0</v>
      </c>
      <c r="Q176">
        <f t="shared" si="249"/>
        <v>7</v>
      </c>
      <c r="R176">
        <f t="shared" si="250"/>
        <v>1</v>
      </c>
      <c r="S176" t="e">
        <f t="shared" ca="1" si="280"/>
        <v>#NAME?</v>
      </c>
      <c r="T176" t="e">
        <f t="shared" ca="1" si="251"/>
        <v>#NAME?</v>
      </c>
      <c r="U176" s="4">
        <f t="shared" si="252"/>
        <v>2137.5370254629597</v>
      </c>
      <c r="V176" s="4">
        <f t="shared" si="253"/>
        <v>71.251234182098656</v>
      </c>
      <c r="W176" s="4">
        <f t="shared" si="254"/>
        <v>0</v>
      </c>
      <c r="X176" s="4">
        <f t="shared" si="255"/>
        <v>0</v>
      </c>
      <c r="Y176" s="4">
        <f t="shared" si="256"/>
        <v>0</v>
      </c>
      <c r="Z176" s="4">
        <f t="shared" si="257"/>
        <v>0</v>
      </c>
      <c r="AA176" s="4">
        <f t="shared" si="258"/>
        <v>0</v>
      </c>
      <c r="AB176" s="4">
        <f t="shared" si="259"/>
        <v>0</v>
      </c>
      <c r="AC176" s="4"/>
      <c r="AD176" s="4" t="b">
        <f t="shared" si="260"/>
        <v>0</v>
      </c>
      <c r="AE176" s="4" t="b">
        <f t="shared" si="261"/>
        <v>0</v>
      </c>
      <c r="AF176" s="4" t="b">
        <f t="shared" si="262"/>
        <v>0</v>
      </c>
      <c r="AG176" t="b">
        <f t="shared" si="263"/>
        <v>0</v>
      </c>
      <c r="AH176" t="b">
        <f t="shared" si="264"/>
        <v>0</v>
      </c>
      <c r="AI176" t="b">
        <f t="shared" si="265"/>
        <v>0</v>
      </c>
      <c r="AJ176" t="b">
        <f t="shared" si="266"/>
        <v>0</v>
      </c>
      <c r="AK176" t="b">
        <f t="shared" si="267"/>
        <v>0</v>
      </c>
      <c r="AL176" t="b">
        <f t="shared" si="268"/>
        <v>0</v>
      </c>
      <c r="AM176" t="b">
        <f t="shared" si="269"/>
        <v>0</v>
      </c>
      <c r="AN176" t="b">
        <f t="shared" si="270"/>
        <v>0</v>
      </c>
      <c r="AO176" t="b">
        <f t="shared" si="271"/>
        <v>0</v>
      </c>
      <c r="AP176" t="b">
        <f t="shared" si="272"/>
        <v>0</v>
      </c>
      <c r="AQ176" t="b">
        <f t="shared" si="273"/>
        <v>0</v>
      </c>
      <c r="AR176" t="b">
        <f t="shared" si="274"/>
        <v>0</v>
      </c>
      <c r="AS176" t="b">
        <f t="shared" si="275"/>
        <v>0</v>
      </c>
      <c r="AT176" t="b">
        <f t="shared" si="276"/>
        <v>0</v>
      </c>
      <c r="AU176" t="b">
        <f t="shared" si="277"/>
        <v>0</v>
      </c>
      <c r="AV176" t="b">
        <f t="shared" si="278"/>
        <v>0</v>
      </c>
      <c r="AW176" t="b">
        <f t="shared" si="279"/>
        <v>0</v>
      </c>
      <c r="AX176" t="b">
        <f t="shared" si="281"/>
        <v>0</v>
      </c>
      <c r="AY176" t="b">
        <f t="shared" si="282"/>
        <v>0</v>
      </c>
      <c r="AZ176" t="b">
        <f t="shared" si="283"/>
        <v>0</v>
      </c>
      <c r="BA176" t="b">
        <f t="shared" si="284"/>
        <v>0</v>
      </c>
      <c r="BB176" t="b">
        <f t="shared" si="285"/>
        <v>0</v>
      </c>
      <c r="BC176" t="b">
        <f t="shared" si="286"/>
        <v>0</v>
      </c>
      <c r="BD176" t="b">
        <f t="shared" si="287"/>
        <v>0</v>
      </c>
      <c r="BE176" t="b">
        <f t="shared" si="288"/>
        <v>0</v>
      </c>
      <c r="BF176" t="b">
        <f t="shared" si="289"/>
        <v>0</v>
      </c>
      <c r="BG176" t="b">
        <f t="shared" si="290"/>
        <v>0</v>
      </c>
      <c r="BH176" t="b">
        <f t="shared" si="291"/>
        <v>0</v>
      </c>
      <c r="BI176">
        <f t="shared" si="292"/>
        <v>1</v>
      </c>
      <c r="BJ176" t="b">
        <f t="shared" si="293"/>
        <v>0</v>
      </c>
      <c r="BK176" t="b">
        <f t="shared" si="294"/>
        <v>0</v>
      </c>
      <c r="BL176" t="b">
        <f t="shared" si="295"/>
        <v>0</v>
      </c>
      <c r="BM176" t="b">
        <f t="shared" si="296"/>
        <v>0</v>
      </c>
      <c r="BN176" t="b">
        <f t="shared" si="297"/>
        <v>0</v>
      </c>
      <c r="BO176" t="b">
        <f t="shared" si="298"/>
        <v>0</v>
      </c>
      <c r="BP176" t="b">
        <f t="shared" si="299"/>
        <v>0</v>
      </c>
      <c r="BQ176" t="b">
        <f t="shared" si="300"/>
        <v>0</v>
      </c>
      <c r="BR176" t="b">
        <f t="shared" si="301"/>
        <v>0</v>
      </c>
      <c r="BS176" t="b">
        <f t="shared" si="302"/>
        <v>0</v>
      </c>
      <c r="BT176" t="b">
        <f t="shared" si="303"/>
        <v>0</v>
      </c>
      <c r="BU176" t="b">
        <f t="shared" si="304"/>
        <v>0</v>
      </c>
      <c r="BV176" t="b">
        <f t="shared" si="305"/>
        <v>0</v>
      </c>
      <c r="BW176" t="b">
        <f t="shared" si="306"/>
        <v>0</v>
      </c>
      <c r="BX176" t="b">
        <f t="shared" si="307"/>
        <v>0</v>
      </c>
      <c r="BY176" t="b">
        <f t="shared" si="308"/>
        <v>0</v>
      </c>
      <c r="BZ176" t="b">
        <f t="shared" si="309"/>
        <v>0</v>
      </c>
      <c r="CA176" t="b">
        <f t="shared" si="310"/>
        <v>0</v>
      </c>
      <c r="CB176" t="b">
        <f t="shared" si="311"/>
        <v>0</v>
      </c>
      <c r="CC176" t="b">
        <f t="shared" si="312"/>
        <v>0</v>
      </c>
      <c r="CD176" t="b">
        <f t="shared" si="313"/>
        <v>0</v>
      </c>
      <c r="CE176" t="b">
        <f t="shared" si="314"/>
        <v>0</v>
      </c>
      <c r="CF176" t="b">
        <f t="shared" si="315"/>
        <v>0</v>
      </c>
      <c r="CG176" t="b">
        <f t="shared" si="316"/>
        <v>0</v>
      </c>
      <c r="CH176" t="b">
        <f t="shared" si="317"/>
        <v>0</v>
      </c>
      <c r="CI176" t="b">
        <f t="shared" si="318"/>
        <v>0</v>
      </c>
      <c r="CJ176" t="b">
        <f t="shared" si="319"/>
        <v>0</v>
      </c>
      <c r="CK176" t="b">
        <f t="shared" si="320"/>
        <v>0</v>
      </c>
      <c r="CL176" t="b">
        <f t="shared" si="321"/>
        <v>0</v>
      </c>
      <c r="CM176" t="b">
        <f t="shared" si="322"/>
        <v>0</v>
      </c>
      <c r="CN176" t="b">
        <f t="shared" si="323"/>
        <v>0</v>
      </c>
      <c r="CO176" t="b">
        <f t="shared" si="324"/>
        <v>0</v>
      </c>
      <c r="CP176" t="b">
        <f t="shared" si="325"/>
        <v>0</v>
      </c>
      <c r="CQ176" t="b">
        <f t="shared" si="326"/>
        <v>0</v>
      </c>
      <c r="CR176" t="b">
        <f t="shared" si="327"/>
        <v>0</v>
      </c>
      <c r="CS176" t="b">
        <f t="shared" si="328"/>
        <v>0</v>
      </c>
      <c r="CT176" t="b">
        <f t="shared" si="329"/>
        <v>0</v>
      </c>
      <c r="CU176" t="b">
        <f t="shared" si="330"/>
        <v>0</v>
      </c>
      <c r="CV176">
        <f t="shared" si="331"/>
        <v>1</v>
      </c>
      <c r="CW176" t="b">
        <f t="shared" si="332"/>
        <v>0</v>
      </c>
      <c r="CX176" t="b">
        <f t="shared" si="333"/>
        <v>0</v>
      </c>
      <c r="CY176" t="b">
        <f t="shared" si="334"/>
        <v>0</v>
      </c>
      <c r="CZ176" t="b">
        <f t="shared" si="335"/>
        <v>0</v>
      </c>
      <c r="DA176" t="b">
        <f t="shared" si="336"/>
        <v>0</v>
      </c>
      <c r="DB176" t="b">
        <f t="shared" si="337"/>
        <v>0</v>
      </c>
      <c r="DC176" t="b">
        <f t="shared" si="338"/>
        <v>0</v>
      </c>
      <c r="DD176" t="b">
        <f t="shared" si="339"/>
        <v>0</v>
      </c>
      <c r="DE176" t="b">
        <f t="shared" si="340"/>
        <v>0</v>
      </c>
      <c r="DF176" t="b">
        <f t="shared" si="341"/>
        <v>0</v>
      </c>
      <c r="DG176" t="b">
        <f t="shared" si="342"/>
        <v>0</v>
      </c>
      <c r="DH176" t="b">
        <f t="shared" si="343"/>
        <v>0</v>
      </c>
      <c r="DI176" t="b">
        <f t="shared" si="344"/>
        <v>0</v>
      </c>
      <c r="DJ176" t="b">
        <f t="shared" si="345"/>
        <v>0</v>
      </c>
      <c r="DK176" t="b">
        <f t="shared" si="346"/>
        <v>0</v>
      </c>
      <c r="DL176" t="b">
        <f t="shared" si="347"/>
        <v>0</v>
      </c>
      <c r="DM176" t="b">
        <f t="shared" si="348"/>
        <v>0</v>
      </c>
      <c r="DN176" t="b">
        <f t="shared" si="349"/>
        <v>0</v>
      </c>
      <c r="DO176" t="b">
        <f t="shared" si="350"/>
        <v>0</v>
      </c>
      <c r="DP176" t="b">
        <f t="shared" si="351"/>
        <v>0</v>
      </c>
      <c r="DQ176" t="b">
        <f t="shared" si="352"/>
        <v>0</v>
      </c>
      <c r="DR176" t="b">
        <f t="shared" si="353"/>
        <v>0</v>
      </c>
      <c r="DS176" t="b">
        <f t="shared" si="354"/>
        <v>0</v>
      </c>
      <c r="DT176" t="b">
        <f t="shared" si="355"/>
        <v>0</v>
      </c>
      <c r="DU176" t="b">
        <f t="shared" si="356"/>
        <v>0</v>
      </c>
      <c r="DV176" t="b">
        <f t="shared" si="357"/>
        <v>0</v>
      </c>
      <c r="DW176" t="b">
        <f t="shared" si="358"/>
        <v>0</v>
      </c>
      <c r="DX176" t="b">
        <f t="shared" si="359"/>
        <v>0</v>
      </c>
      <c r="DY176" t="b">
        <f t="shared" si="360"/>
        <v>0</v>
      </c>
      <c r="DZ176" t="b">
        <f t="shared" si="361"/>
        <v>0</v>
      </c>
      <c r="EA176" t="b">
        <f t="shared" si="362"/>
        <v>0</v>
      </c>
      <c r="EB176" t="b">
        <f t="shared" si="363"/>
        <v>0</v>
      </c>
      <c r="EC176" t="b">
        <f t="shared" si="364"/>
        <v>0</v>
      </c>
      <c r="ED176" t="b">
        <f t="shared" si="365"/>
        <v>0</v>
      </c>
      <c r="EE176" t="b">
        <f t="shared" si="366"/>
        <v>0</v>
      </c>
      <c r="EF176">
        <f t="shared" si="367"/>
        <v>1</v>
      </c>
      <c r="EG176" t="b">
        <f t="shared" si="368"/>
        <v>0</v>
      </c>
      <c r="EH176" t="b">
        <f t="shared" si="369"/>
        <v>0</v>
      </c>
      <c r="EI176" t="b">
        <f t="shared" si="370"/>
        <v>0</v>
      </c>
      <c r="EJ176" t="b">
        <f t="shared" si="371"/>
        <v>0</v>
      </c>
      <c r="EK176" t="b">
        <f t="shared" si="372"/>
        <v>0</v>
      </c>
    </row>
    <row r="177" spans="1:141">
      <c r="A177" t="s">
        <v>996</v>
      </c>
      <c r="B177" t="s">
        <v>997</v>
      </c>
      <c r="C177" t="s">
        <v>997</v>
      </c>
      <c r="D177" s="1">
        <v>43074</v>
      </c>
      <c r="E177" s="2">
        <v>43079.207048611112</v>
      </c>
      <c r="F177" s="2">
        <v>43079.207048611112</v>
      </c>
      <c r="G177">
        <v>67973</v>
      </c>
      <c r="H177" t="s">
        <v>998</v>
      </c>
      <c r="I177" s="10" t="s">
        <v>999</v>
      </c>
      <c r="J177" t="s">
        <v>147</v>
      </c>
      <c r="K177" s="8" t="b">
        <v>1</v>
      </c>
      <c r="L177" s="10" t="b">
        <v>0</v>
      </c>
      <c r="M177" s="12" t="b">
        <v>0</v>
      </c>
      <c r="N177" t="b">
        <v>0</v>
      </c>
      <c r="O177" t="b">
        <v>0</v>
      </c>
      <c r="P177" t="b">
        <v>0</v>
      </c>
      <c r="Q177">
        <f t="shared" si="249"/>
        <v>3</v>
      </c>
      <c r="R177">
        <f t="shared" si="250"/>
        <v>12</v>
      </c>
      <c r="S177" t="e">
        <f t="shared" ca="1" si="280"/>
        <v>#NAME?</v>
      </c>
      <c r="T177" t="e">
        <f t="shared" ca="1" si="251"/>
        <v>#NAME?</v>
      </c>
      <c r="U177" s="4">
        <f t="shared" si="252"/>
        <v>5.2070486111115315</v>
      </c>
      <c r="V177" s="4">
        <f t="shared" si="253"/>
        <v>0.17356828703705104</v>
      </c>
      <c r="W177" s="4">
        <f t="shared" si="254"/>
        <v>1</v>
      </c>
      <c r="X177" s="4">
        <f t="shared" si="255"/>
        <v>0</v>
      </c>
      <c r="Y177" s="4">
        <f t="shared" si="256"/>
        <v>0</v>
      </c>
      <c r="Z177" s="4">
        <f t="shared" si="257"/>
        <v>0</v>
      </c>
      <c r="AA177" s="4">
        <f t="shared" si="258"/>
        <v>0</v>
      </c>
      <c r="AB177" s="4">
        <f t="shared" si="259"/>
        <v>0</v>
      </c>
      <c r="AC177" s="4"/>
      <c r="AD177" s="4" t="b">
        <f t="shared" si="260"/>
        <v>0</v>
      </c>
      <c r="AE177" s="4" t="b">
        <f t="shared" si="261"/>
        <v>0</v>
      </c>
      <c r="AF177" s="4" t="b">
        <f t="shared" si="262"/>
        <v>0</v>
      </c>
      <c r="AG177" t="b">
        <f t="shared" si="263"/>
        <v>0</v>
      </c>
      <c r="AH177" t="b">
        <f t="shared" si="264"/>
        <v>0</v>
      </c>
      <c r="AI177" t="b">
        <f t="shared" si="265"/>
        <v>0</v>
      </c>
      <c r="AJ177" t="b">
        <f t="shared" si="266"/>
        <v>0</v>
      </c>
      <c r="AK177" t="b">
        <f t="shared" si="267"/>
        <v>0</v>
      </c>
      <c r="AL177" t="b">
        <f t="shared" si="268"/>
        <v>0</v>
      </c>
      <c r="AM177" t="b">
        <f t="shared" si="269"/>
        <v>0</v>
      </c>
      <c r="AN177" t="b">
        <f t="shared" si="270"/>
        <v>0</v>
      </c>
      <c r="AO177" t="b">
        <f t="shared" si="271"/>
        <v>0</v>
      </c>
      <c r="AP177" t="b">
        <f t="shared" si="272"/>
        <v>0</v>
      </c>
      <c r="AQ177" t="b">
        <f t="shared" si="273"/>
        <v>0</v>
      </c>
      <c r="AR177" t="b">
        <f t="shared" si="274"/>
        <v>0</v>
      </c>
      <c r="AS177" t="b">
        <f t="shared" si="275"/>
        <v>0</v>
      </c>
      <c r="AT177" t="b">
        <f t="shared" si="276"/>
        <v>0</v>
      </c>
      <c r="AU177" t="b">
        <f t="shared" si="277"/>
        <v>0</v>
      </c>
      <c r="AV177" t="b">
        <f t="shared" si="278"/>
        <v>0</v>
      </c>
      <c r="AW177" t="b">
        <f t="shared" si="279"/>
        <v>0</v>
      </c>
      <c r="AX177" t="b">
        <f t="shared" si="281"/>
        <v>0</v>
      </c>
      <c r="AY177" t="b">
        <f t="shared" si="282"/>
        <v>0</v>
      </c>
      <c r="AZ177" t="b">
        <f t="shared" si="283"/>
        <v>0</v>
      </c>
      <c r="BA177" t="b">
        <f t="shared" si="284"/>
        <v>0</v>
      </c>
      <c r="BB177" t="b">
        <f t="shared" si="285"/>
        <v>0</v>
      </c>
      <c r="BC177" t="b">
        <f t="shared" si="286"/>
        <v>0</v>
      </c>
      <c r="BD177" t="b">
        <f t="shared" si="287"/>
        <v>0</v>
      </c>
      <c r="BE177" t="b">
        <f t="shared" si="288"/>
        <v>0</v>
      </c>
      <c r="BF177" t="b">
        <f t="shared" si="289"/>
        <v>0</v>
      </c>
      <c r="BG177" t="b">
        <f t="shared" si="290"/>
        <v>0</v>
      </c>
      <c r="BH177" t="b">
        <f t="shared" si="291"/>
        <v>0</v>
      </c>
      <c r="BI177">
        <f t="shared" si="292"/>
        <v>1</v>
      </c>
      <c r="BJ177" t="b">
        <f t="shared" si="293"/>
        <v>0</v>
      </c>
      <c r="BK177" t="b">
        <f t="shared" si="294"/>
        <v>0</v>
      </c>
      <c r="BL177" t="b">
        <f t="shared" si="295"/>
        <v>0</v>
      </c>
      <c r="BM177" t="b">
        <f t="shared" si="296"/>
        <v>0</v>
      </c>
      <c r="BN177" t="b">
        <f t="shared" si="297"/>
        <v>0</v>
      </c>
      <c r="BO177" t="b">
        <f t="shared" si="298"/>
        <v>0</v>
      </c>
      <c r="BP177" t="b">
        <f t="shared" si="299"/>
        <v>0</v>
      </c>
      <c r="BQ177" t="b">
        <f t="shared" si="300"/>
        <v>0</v>
      </c>
      <c r="BR177" t="b">
        <f t="shared" si="301"/>
        <v>0</v>
      </c>
      <c r="BS177" t="b">
        <f t="shared" si="302"/>
        <v>0</v>
      </c>
      <c r="BT177" t="b">
        <f t="shared" si="303"/>
        <v>0</v>
      </c>
      <c r="BU177" t="b">
        <f t="shared" si="304"/>
        <v>0</v>
      </c>
      <c r="BV177" t="b">
        <f t="shared" si="305"/>
        <v>0</v>
      </c>
      <c r="BW177" t="b">
        <f t="shared" si="306"/>
        <v>0</v>
      </c>
      <c r="BX177" t="b">
        <f t="shared" si="307"/>
        <v>0</v>
      </c>
      <c r="BY177" t="b">
        <f t="shared" si="308"/>
        <v>0</v>
      </c>
      <c r="BZ177" t="b">
        <f t="shared" si="309"/>
        <v>0</v>
      </c>
      <c r="CA177" t="b">
        <f t="shared" si="310"/>
        <v>0</v>
      </c>
      <c r="CB177" t="b">
        <f t="shared" si="311"/>
        <v>0</v>
      </c>
      <c r="CC177" t="b">
        <f t="shared" si="312"/>
        <v>0</v>
      </c>
      <c r="CD177" t="b">
        <f t="shared" si="313"/>
        <v>0</v>
      </c>
      <c r="CE177" t="b">
        <f t="shared" si="314"/>
        <v>0</v>
      </c>
      <c r="CF177" t="b">
        <f t="shared" si="315"/>
        <v>0</v>
      </c>
      <c r="CG177" t="b">
        <f t="shared" si="316"/>
        <v>0</v>
      </c>
      <c r="CH177" t="b">
        <f t="shared" si="317"/>
        <v>0</v>
      </c>
      <c r="CI177" t="b">
        <f t="shared" si="318"/>
        <v>0</v>
      </c>
      <c r="CJ177" t="b">
        <f t="shared" si="319"/>
        <v>0</v>
      </c>
      <c r="CK177" t="b">
        <f t="shared" si="320"/>
        <v>0</v>
      </c>
      <c r="CL177" t="b">
        <f t="shared" si="321"/>
        <v>0</v>
      </c>
      <c r="CM177" t="b">
        <f t="shared" si="322"/>
        <v>0</v>
      </c>
      <c r="CN177" t="b">
        <f t="shared" si="323"/>
        <v>0</v>
      </c>
      <c r="CO177" t="b">
        <f t="shared" si="324"/>
        <v>0</v>
      </c>
      <c r="CP177" t="b">
        <f t="shared" si="325"/>
        <v>0</v>
      </c>
      <c r="CQ177" t="b">
        <f t="shared" si="326"/>
        <v>0</v>
      </c>
      <c r="CR177" t="b">
        <f t="shared" si="327"/>
        <v>0</v>
      </c>
      <c r="CS177" t="b">
        <f t="shared" si="328"/>
        <v>0</v>
      </c>
      <c r="CT177" t="b">
        <f t="shared" si="329"/>
        <v>0</v>
      </c>
      <c r="CU177" t="b">
        <f t="shared" si="330"/>
        <v>0</v>
      </c>
      <c r="CV177">
        <f t="shared" si="331"/>
        <v>1</v>
      </c>
      <c r="CW177" t="b">
        <f t="shared" si="332"/>
        <v>0</v>
      </c>
      <c r="CX177" t="b">
        <f t="shared" si="333"/>
        <v>0</v>
      </c>
      <c r="CY177" t="b">
        <f t="shared" si="334"/>
        <v>0</v>
      </c>
      <c r="CZ177" t="b">
        <f t="shared" si="335"/>
        <v>0</v>
      </c>
      <c r="DA177" t="b">
        <f t="shared" si="336"/>
        <v>0</v>
      </c>
      <c r="DB177" t="b">
        <f t="shared" si="337"/>
        <v>0</v>
      </c>
      <c r="DC177" t="b">
        <f t="shared" si="338"/>
        <v>0</v>
      </c>
      <c r="DD177" t="b">
        <f t="shared" si="339"/>
        <v>0</v>
      </c>
      <c r="DE177" t="b">
        <f t="shared" si="340"/>
        <v>0</v>
      </c>
      <c r="DF177" t="b">
        <f t="shared" si="341"/>
        <v>0</v>
      </c>
      <c r="DG177" t="b">
        <f t="shared" si="342"/>
        <v>0</v>
      </c>
      <c r="DH177" t="b">
        <f t="shared" si="343"/>
        <v>0</v>
      </c>
      <c r="DI177" t="b">
        <f t="shared" si="344"/>
        <v>0</v>
      </c>
      <c r="DJ177" t="b">
        <f t="shared" si="345"/>
        <v>0</v>
      </c>
      <c r="DK177" t="b">
        <f t="shared" si="346"/>
        <v>0</v>
      </c>
      <c r="DL177" t="b">
        <f t="shared" si="347"/>
        <v>0</v>
      </c>
      <c r="DM177" t="b">
        <f t="shared" si="348"/>
        <v>0</v>
      </c>
      <c r="DN177" t="b">
        <f t="shared" si="349"/>
        <v>0</v>
      </c>
      <c r="DO177" t="b">
        <f t="shared" si="350"/>
        <v>0</v>
      </c>
      <c r="DP177" t="b">
        <f t="shared" si="351"/>
        <v>0</v>
      </c>
      <c r="DQ177" t="b">
        <f t="shared" si="352"/>
        <v>0</v>
      </c>
      <c r="DR177" t="b">
        <f t="shared" si="353"/>
        <v>0</v>
      </c>
      <c r="DS177" t="b">
        <f t="shared" si="354"/>
        <v>0</v>
      </c>
      <c r="DT177" t="b">
        <f t="shared" si="355"/>
        <v>0</v>
      </c>
      <c r="DU177" t="b">
        <f t="shared" si="356"/>
        <v>0</v>
      </c>
      <c r="DV177" t="b">
        <f t="shared" si="357"/>
        <v>0</v>
      </c>
      <c r="DW177" t="b">
        <f t="shared" si="358"/>
        <v>0</v>
      </c>
      <c r="DX177" t="b">
        <f t="shared" si="359"/>
        <v>0</v>
      </c>
      <c r="DY177" t="b">
        <f t="shared" si="360"/>
        <v>0</v>
      </c>
      <c r="DZ177" t="b">
        <f t="shared" si="361"/>
        <v>0</v>
      </c>
      <c r="EA177" t="b">
        <f t="shared" si="362"/>
        <v>0</v>
      </c>
      <c r="EB177" t="b">
        <f t="shared" si="363"/>
        <v>0</v>
      </c>
      <c r="EC177" t="b">
        <f t="shared" si="364"/>
        <v>0</v>
      </c>
      <c r="ED177" t="b">
        <f t="shared" si="365"/>
        <v>0</v>
      </c>
      <c r="EE177" t="b">
        <f t="shared" si="366"/>
        <v>0</v>
      </c>
      <c r="EF177" t="b">
        <f t="shared" si="367"/>
        <v>0</v>
      </c>
      <c r="EG177" t="b">
        <f t="shared" si="368"/>
        <v>0</v>
      </c>
      <c r="EH177" t="b">
        <f t="shared" si="369"/>
        <v>0</v>
      </c>
      <c r="EI177" t="b">
        <f t="shared" si="370"/>
        <v>0</v>
      </c>
      <c r="EJ177" t="b">
        <f t="shared" si="371"/>
        <v>0</v>
      </c>
      <c r="EK177" t="b">
        <f t="shared" si="372"/>
        <v>0</v>
      </c>
    </row>
    <row r="178" spans="1:141">
      <c r="A178" t="s">
        <v>1000</v>
      </c>
      <c r="B178" t="s">
        <v>1000</v>
      </c>
      <c r="C178" t="s">
        <v>1001</v>
      </c>
      <c r="D178" s="1">
        <v>43389</v>
      </c>
      <c r="E178" s="2">
        <v>44433.15452546296</v>
      </c>
      <c r="F178" s="2">
        <v>44433.15452546296</v>
      </c>
      <c r="G178">
        <v>2789609</v>
      </c>
      <c r="H178" t="s">
        <v>1002</v>
      </c>
      <c r="I178" s="10" t="s">
        <v>1003</v>
      </c>
      <c r="J178" t="s">
        <v>1004</v>
      </c>
      <c r="K178" s="8" t="b">
        <v>1</v>
      </c>
      <c r="L178" s="10" t="b">
        <v>0</v>
      </c>
      <c r="M178" s="12" t="b">
        <v>0</v>
      </c>
      <c r="N178" t="b">
        <v>0</v>
      </c>
      <c r="O178" t="b">
        <v>0</v>
      </c>
      <c r="P178" t="b">
        <v>0</v>
      </c>
      <c r="Q178">
        <f t="shared" si="249"/>
        <v>3</v>
      </c>
      <c r="R178">
        <f t="shared" si="250"/>
        <v>10</v>
      </c>
      <c r="S178" t="e">
        <f t="shared" ca="1" si="280"/>
        <v>#NAME?</v>
      </c>
      <c r="T178" t="e">
        <f t="shared" ca="1" si="251"/>
        <v>#NAME?</v>
      </c>
      <c r="U178" s="4">
        <f t="shared" si="252"/>
        <v>1044.15452546296</v>
      </c>
      <c r="V178" s="4">
        <f t="shared" si="253"/>
        <v>34.805150848765336</v>
      </c>
      <c r="W178" s="4">
        <f t="shared" si="254"/>
        <v>1</v>
      </c>
      <c r="X178" s="4">
        <f t="shared" si="255"/>
        <v>0</v>
      </c>
      <c r="Y178" s="4">
        <f t="shared" si="256"/>
        <v>0</v>
      </c>
      <c r="Z178" s="4">
        <f t="shared" si="257"/>
        <v>0</v>
      </c>
      <c r="AA178" s="4">
        <f t="shared" si="258"/>
        <v>0</v>
      </c>
      <c r="AB178" s="4">
        <f t="shared" si="259"/>
        <v>0</v>
      </c>
      <c r="AC178" s="4"/>
      <c r="AD178" s="4" t="b">
        <f t="shared" si="260"/>
        <v>0</v>
      </c>
      <c r="AE178" s="4" t="b">
        <f t="shared" si="261"/>
        <v>0</v>
      </c>
      <c r="AF178" s="4" t="b">
        <f t="shared" si="262"/>
        <v>0</v>
      </c>
      <c r="AG178" t="b">
        <f t="shared" si="263"/>
        <v>0</v>
      </c>
      <c r="AH178" t="b">
        <f t="shared" si="264"/>
        <v>0</v>
      </c>
      <c r="AI178" t="b">
        <f t="shared" si="265"/>
        <v>0</v>
      </c>
      <c r="AJ178" t="b">
        <f t="shared" si="266"/>
        <v>0</v>
      </c>
      <c r="AK178" t="b">
        <f t="shared" si="267"/>
        <v>0</v>
      </c>
      <c r="AL178" t="b">
        <f t="shared" si="268"/>
        <v>0</v>
      </c>
      <c r="AM178" t="b">
        <f t="shared" si="269"/>
        <v>0</v>
      </c>
      <c r="AN178" t="b">
        <f t="shared" si="270"/>
        <v>0</v>
      </c>
      <c r="AO178" t="b">
        <f t="shared" si="271"/>
        <v>0</v>
      </c>
      <c r="AP178" t="b">
        <f t="shared" si="272"/>
        <v>0</v>
      </c>
      <c r="AQ178" t="b">
        <f t="shared" si="273"/>
        <v>0</v>
      </c>
      <c r="AR178" t="b">
        <f t="shared" si="274"/>
        <v>0</v>
      </c>
      <c r="AS178" t="b">
        <f t="shared" si="275"/>
        <v>0</v>
      </c>
      <c r="AT178" t="b">
        <f t="shared" si="276"/>
        <v>0</v>
      </c>
      <c r="AU178" t="b">
        <f t="shared" si="277"/>
        <v>0</v>
      </c>
      <c r="AV178" t="b">
        <f t="shared" si="278"/>
        <v>0</v>
      </c>
      <c r="AW178" t="b">
        <f t="shared" si="279"/>
        <v>0</v>
      </c>
      <c r="AX178" t="b">
        <f t="shared" si="281"/>
        <v>0</v>
      </c>
      <c r="AY178" t="b">
        <f t="shared" si="282"/>
        <v>0</v>
      </c>
      <c r="AZ178" t="b">
        <f t="shared" si="283"/>
        <v>0</v>
      </c>
      <c r="BA178" t="b">
        <f t="shared" si="284"/>
        <v>0</v>
      </c>
      <c r="BB178" t="b">
        <f t="shared" si="285"/>
        <v>0</v>
      </c>
      <c r="BC178" t="b">
        <f t="shared" si="286"/>
        <v>0</v>
      </c>
      <c r="BD178" t="b">
        <f t="shared" si="287"/>
        <v>0</v>
      </c>
      <c r="BE178" t="b">
        <f t="shared" si="288"/>
        <v>0</v>
      </c>
      <c r="BF178" t="b">
        <f t="shared" si="289"/>
        <v>0</v>
      </c>
      <c r="BG178" t="b">
        <f t="shared" si="290"/>
        <v>0</v>
      </c>
      <c r="BH178" t="b">
        <f t="shared" si="291"/>
        <v>0</v>
      </c>
      <c r="BI178">
        <f t="shared" si="292"/>
        <v>1</v>
      </c>
      <c r="BJ178" t="b">
        <f t="shared" si="293"/>
        <v>0</v>
      </c>
      <c r="BK178" t="b">
        <f t="shared" si="294"/>
        <v>0</v>
      </c>
      <c r="BL178" t="b">
        <f t="shared" si="295"/>
        <v>0</v>
      </c>
      <c r="BM178" t="b">
        <f t="shared" si="296"/>
        <v>0</v>
      </c>
      <c r="BN178" t="b">
        <f t="shared" si="297"/>
        <v>0</v>
      </c>
      <c r="BO178" t="b">
        <f t="shared" si="298"/>
        <v>0</v>
      </c>
      <c r="BP178" t="b">
        <f t="shared" si="299"/>
        <v>0</v>
      </c>
      <c r="BQ178" t="b">
        <f t="shared" si="300"/>
        <v>0</v>
      </c>
      <c r="BR178">
        <f t="shared" si="301"/>
        <v>1</v>
      </c>
      <c r="BS178" t="b">
        <f t="shared" si="302"/>
        <v>0</v>
      </c>
      <c r="BT178" t="b">
        <f t="shared" si="303"/>
        <v>0</v>
      </c>
      <c r="BU178" t="b">
        <f t="shared" si="304"/>
        <v>0</v>
      </c>
      <c r="BV178" t="b">
        <f t="shared" si="305"/>
        <v>0</v>
      </c>
      <c r="BW178" t="b">
        <f t="shared" si="306"/>
        <v>0</v>
      </c>
      <c r="BX178" t="b">
        <f t="shared" si="307"/>
        <v>0</v>
      </c>
      <c r="BY178" t="b">
        <f t="shared" si="308"/>
        <v>0</v>
      </c>
      <c r="BZ178" t="b">
        <f t="shared" si="309"/>
        <v>0</v>
      </c>
      <c r="CA178" t="b">
        <f t="shared" si="310"/>
        <v>0</v>
      </c>
      <c r="CB178" t="b">
        <f t="shared" si="311"/>
        <v>0</v>
      </c>
      <c r="CC178" t="b">
        <f t="shared" si="312"/>
        <v>0</v>
      </c>
      <c r="CD178" t="b">
        <f t="shared" si="313"/>
        <v>0</v>
      </c>
      <c r="CE178" t="b">
        <f t="shared" si="314"/>
        <v>0</v>
      </c>
      <c r="CF178" t="b">
        <f t="shared" si="315"/>
        <v>0</v>
      </c>
      <c r="CG178" t="b">
        <f t="shared" si="316"/>
        <v>0</v>
      </c>
      <c r="CH178" t="b">
        <f t="shared" si="317"/>
        <v>0</v>
      </c>
      <c r="CI178" t="b">
        <f t="shared" si="318"/>
        <v>0</v>
      </c>
      <c r="CJ178" t="b">
        <f t="shared" si="319"/>
        <v>0</v>
      </c>
      <c r="CK178" t="b">
        <f t="shared" si="320"/>
        <v>0</v>
      </c>
      <c r="CL178" t="b">
        <f t="shared" si="321"/>
        <v>0</v>
      </c>
      <c r="CM178">
        <f t="shared" si="322"/>
        <v>1</v>
      </c>
      <c r="CN178" t="b">
        <f t="shared" si="323"/>
        <v>0</v>
      </c>
      <c r="CO178" t="b">
        <f t="shared" si="324"/>
        <v>0</v>
      </c>
      <c r="CP178" t="b">
        <f t="shared" si="325"/>
        <v>0</v>
      </c>
      <c r="CQ178" t="b">
        <f t="shared" si="326"/>
        <v>0</v>
      </c>
      <c r="CR178" t="b">
        <f t="shared" si="327"/>
        <v>0</v>
      </c>
      <c r="CS178" t="b">
        <f t="shared" si="328"/>
        <v>0</v>
      </c>
      <c r="CT178" t="b">
        <f t="shared" si="329"/>
        <v>0</v>
      </c>
      <c r="CU178" t="b">
        <f t="shared" si="330"/>
        <v>0</v>
      </c>
      <c r="CV178">
        <f t="shared" si="331"/>
        <v>1</v>
      </c>
      <c r="CW178" t="b">
        <f t="shared" si="332"/>
        <v>0</v>
      </c>
      <c r="CX178" t="b">
        <f t="shared" si="333"/>
        <v>0</v>
      </c>
      <c r="CY178" t="b">
        <f t="shared" si="334"/>
        <v>0</v>
      </c>
      <c r="CZ178" t="b">
        <f t="shared" si="335"/>
        <v>0</v>
      </c>
      <c r="DA178">
        <f t="shared" si="336"/>
        <v>1</v>
      </c>
      <c r="DB178" t="b">
        <f t="shared" si="337"/>
        <v>0</v>
      </c>
      <c r="DC178" t="b">
        <f t="shared" si="338"/>
        <v>0</v>
      </c>
      <c r="DD178" t="b">
        <f t="shared" si="339"/>
        <v>0</v>
      </c>
      <c r="DE178" t="b">
        <f t="shared" si="340"/>
        <v>0</v>
      </c>
      <c r="DF178" t="b">
        <f t="shared" si="341"/>
        <v>0</v>
      </c>
      <c r="DG178" t="b">
        <f t="shared" si="342"/>
        <v>0</v>
      </c>
      <c r="DH178" t="b">
        <f t="shared" si="343"/>
        <v>0</v>
      </c>
      <c r="DI178" t="b">
        <f t="shared" si="344"/>
        <v>0</v>
      </c>
      <c r="DJ178" t="b">
        <f t="shared" si="345"/>
        <v>0</v>
      </c>
      <c r="DK178" t="b">
        <f t="shared" si="346"/>
        <v>0</v>
      </c>
      <c r="DL178" t="b">
        <f t="shared" si="347"/>
        <v>0</v>
      </c>
      <c r="DM178" t="b">
        <f t="shared" si="348"/>
        <v>0</v>
      </c>
      <c r="DN178" t="b">
        <f t="shared" si="349"/>
        <v>0</v>
      </c>
      <c r="DO178" t="b">
        <f t="shared" si="350"/>
        <v>0</v>
      </c>
      <c r="DP178" t="b">
        <f t="shared" si="351"/>
        <v>0</v>
      </c>
      <c r="DQ178" t="b">
        <f t="shared" si="352"/>
        <v>0</v>
      </c>
      <c r="DR178" t="b">
        <f t="shared" si="353"/>
        <v>0</v>
      </c>
      <c r="DS178" t="b">
        <f t="shared" si="354"/>
        <v>0</v>
      </c>
      <c r="DT178" t="b">
        <f t="shared" si="355"/>
        <v>0</v>
      </c>
      <c r="DU178" t="b">
        <f t="shared" si="356"/>
        <v>0</v>
      </c>
      <c r="DV178" t="b">
        <f t="shared" si="357"/>
        <v>0</v>
      </c>
      <c r="DW178" t="b">
        <f t="shared" si="358"/>
        <v>0</v>
      </c>
      <c r="DX178" t="b">
        <f t="shared" si="359"/>
        <v>0</v>
      </c>
      <c r="DY178">
        <f t="shared" si="360"/>
        <v>1</v>
      </c>
      <c r="DZ178" t="b">
        <f t="shared" si="361"/>
        <v>0</v>
      </c>
      <c r="EA178" t="b">
        <f t="shared" si="362"/>
        <v>0</v>
      </c>
      <c r="EB178" t="b">
        <f t="shared" si="363"/>
        <v>0</v>
      </c>
      <c r="EC178" t="b">
        <f t="shared" si="364"/>
        <v>0</v>
      </c>
      <c r="ED178" t="b">
        <f t="shared" si="365"/>
        <v>0</v>
      </c>
      <c r="EE178" t="b">
        <f t="shared" si="366"/>
        <v>0</v>
      </c>
      <c r="EF178" t="b">
        <f t="shared" si="367"/>
        <v>0</v>
      </c>
      <c r="EG178" t="b">
        <f t="shared" si="368"/>
        <v>0</v>
      </c>
      <c r="EH178" t="b">
        <f t="shared" si="369"/>
        <v>0</v>
      </c>
      <c r="EI178" t="b">
        <f t="shared" si="370"/>
        <v>0</v>
      </c>
      <c r="EJ178" t="b">
        <f t="shared" si="371"/>
        <v>0</v>
      </c>
      <c r="EK178" t="b">
        <f t="shared" si="372"/>
        <v>0</v>
      </c>
    </row>
    <row r="179" spans="1:141">
      <c r="A179" t="s">
        <v>1005</v>
      </c>
      <c r="B179" t="s">
        <v>1005</v>
      </c>
      <c r="C179" t="s">
        <v>1006</v>
      </c>
      <c r="D179" s="1">
        <v>43588</v>
      </c>
      <c r="E179" s="2">
        <v>43665.478877314818</v>
      </c>
      <c r="F179" s="2">
        <v>43665.478877314818</v>
      </c>
      <c r="G179">
        <v>6353564</v>
      </c>
      <c r="H179" t="s">
        <v>1007</v>
      </c>
      <c r="I179" s="10" t="s">
        <v>1008</v>
      </c>
      <c r="J179" t="s">
        <v>1009</v>
      </c>
      <c r="K179" s="8" t="b">
        <v>1</v>
      </c>
      <c r="L179" s="10" t="b">
        <v>0</v>
      </c>
      <c r="M179" s="12" t="b">
        <v>0</v>
      </c>
      <c r="N179" t="b">
        <v>0</v>
      </c>
      <c r="O179" t="b">
        <v>0</v>
      </c>
      <c r="P179" t="b">
        <v>0</v>
      </c>
      <c r="Q179">
        <f t="shared" si="249"/>
        <v>6</v>
      </c>
      <c r="R179">
        <f t="shared" si="250"/>
        <v>5</v>
      </c>
      <c r="S179" t="e">
        <f t="shared" ca="1" si="280"/>
        <v>#NAME?</v>
      </c>
      <c r="T179" t="e">
        <f t="shared" ca="1" si="251"/>
        <v>#NAME?</v>
      </c>
      <c r="U179" s="4">
        <f t="shared" si="252"/>
        <v>77.47887731481751</v>
      </c>
      <c r="V179" s="4">
        <f t="shared" si="253"/>
        <v>2.5826292438272502</v>
      </c>
      <c r="W179" s="4">
        <f t="shared" si="254"/>
        <v>1</v>
      </c>
      <c r="X179" s="4">
        <f t="shared" si="255"/>
        <v>0</v>
      </c>
      <c r="Y179" s="4">
        <f t="shared" si="256"/>
        <v>0</v>
      </c>
      <c r="Z179" s="4">
        <f t="shared" si="257"/>
        <v>0</v>
      </c>
      <c r="AA179" s="4">
        <f t="shared" si="258"/>
        <v>0</v>
      </c>
      <c r="AB179" s="4">
        <f t="shared" si="259"/>
        <v>0</v>
      </c>
      <c r="AC179" s="4"/>
      <c r="AD179" s="4" t="b">
        <f t="shared" si="260"/>
        <v>0</v>
      </c>
      <c r="AE179" s="4" t="b">
        <f t="shared" si="261"/>
        <v>0</v>
      </c>
      <c r="AF179" s="4" t="b">
        <f t="shared" si="262"/>
        <v>0</v>
      </c>
      <c r="AG179" t="b">
        <f t="shared" si="263"/>
        <v>0</v>
      </c>
      <c r="AH179" t="b">
        <f t="shared" si="264"/>
        <v>0</v>
      </c>
      <c r="AI179" t="b">
        <f t="shared" si="265"/>
        <v>0</v>
      </c>
      <c r="AJ179" t="b">
        <f t="shared" si="266"/>
        <v>0</v>
      </c>
      <c r="AK179" t="b">
        <f t="shared" si="267"/>
        <v>0</v>
      </c>
      <c r="AL179" t="b">
        <f t="shared" si="268"/>
        <v>0</v>
      </c>
      <c r="AM179" t="b">
        <f t="shared" si="269"/>
        <v>0</v>
      </c>
      <c r="AN179" t="b">
        <f t="shared" si="270"/>
        <v>0</v>
      </c>
      <c r="AO179" t="b">
        <f t="shared" si="271"/>
        <v>0</v>
      </c>
      <c r="AP179" t="b">
        <f t="shared" si="272"/>
        <v>0</v>
      </c>
      <c r="AQ179" t="b">
        <f t="shared" si="273"/>
        <v>0</v>
      </c>
      <c r="AR179" t="b">
        <f t="shared" si="274"/>
        <v>0</v>
      </c>
      <c r="AS179" t="b">
        <f t="shared" si="275"/>
        <v>0</v>
      </c>
      <c r="AT179" t="b">
        <f t="shared" si="276"/>
        <v>0</v>
      </c>
      <c r="AU179" t="b">
        <f t="shared" si="277"/>
        <v>0</v>
      </c>
      <c r="AV179" t="b">
        <f t="shared" si="278"/>
        <v>0</v>
      </c>
      <c r="AW179" t="b">
        <f t="shared" si="279"/>
        <v>0</v>
      </c>
      <c r="AX179" t="b">
        <f t="shared" si="281"/>
        <v>0</v>
      </c>
      <c r="AY179" t="b">
        <f t="shared" si="282"/>
        <v>0</v>
      </c>
      <c r="AZ179">
        <f t="shared" si="283"/>
        <v>1</v>
      </c>
      <c r="BA179" t="b">
        <f t="shared" si="284"/>
        <v>0</v>
      </c>
      <c r="BB179" t="b">
        <f t="shared" si="285"/>
        <v>0</v>
      </c>
      <c r="BC179" t="b">
        <f t="shared" si="286"/>
        <v>0</v>
      </c>
      <c r="BD179" t="b">
        <f t="shared" si="287"/>
        <v>0</v>
      </c>
      <c r="BE179" t="b">
        <f t="shared" si="288"/>
        <v>0</v>
      </c>
      <c r="BF179" t="b">
        <f t="shared" si="289"/>
        <v>0</v>
      </c>
      <c r="BG179" t="b">
        <f t="shared" si="290"/>
        <v>0</v>
      </c>
      <c r="BH179" t="b">
        <f t="shared" si="291"/>
        <v>0</v>
      </c>
      <c r="BI179">
        <f t="shared" si="292"/>
        <v>1</v>
      </c>
      <c r="BJ179" t="b">
        <f t="shared" si="293"/>
        <v>0</v>
      </c>
      <c r="BK179" t="b">
        <f t="shared" si="294"/>
        <v>0</v>
      </c>
      <c r="BL179" t="b">
        <f t="shared" si="295"/>
        <v>0</v>
      </c>
      <c r="BM179" t="b">
        <f t="shared" si="296"/>
        <v>0</v>
      </c>
      <c r="BN179" t="b">
        <f t="shared" si="297"/>
        <v>0</v>
      </c>
      <c r="BO179" t="b">
        <f t="shared" si="298"/>
        <v>0</v>
      </c>
      <c r="BP179" t="b">
        <f t="shared" si="299"/>
        <v>0</v>
      </c>
      <c r="BQ179" t="b">
        <f t="shared" si="300"/>
        <v>0</v>
      </c>
      <c r="BR179">
        <f t="shared" si="301"/>
        <v>1</v>
      </c>
      <c r="BS179" t="b">
        <f t="shared" si="302"/>
        <v>0</v>
      </c>
      <c r="BT179" t="b">
        <f t="shared" si="303"/>
        <v>0</v>
      </c>
      <c r="BU179" t="b">
        <f t="shared" si="304"/>
        <v>0</v>
      </c>
      <c r="BV179" t="b">
        <f t="shared" si="305"/>
        <v>0</v>
      </c>
      <c r="BW179" t="b">
        <f t="shared" si="306"/>
        <v>0</v>
      </c>
      <c r="BX179" t="b">
        <f t="shared" si="307"/>
        <v>0</v>
      </c>
      <c r="BY179" t="b">
        <f t="shared" si="308"/>
        <v>0</v>
      </c>
      <c r="BZ179" t="b">
        <f t="shared" si="309"/>
        <v>0</v>
      </c>
      <c r="CA179" t="b">
        <f t="shared" si="310"/>
        <v>0</v>
      </c>
      <c r="CB179" t="b">
        <f t="shared" si="311"/>
        <v>0</v>
      </c>
      <c r="CC179" t="b">
        <f t="shared" si="312"/>
        <v>0</v>
      </c>
      <c r="CD179" t="b">
        <f t="shared" si="313"/>
        <v>0</v>
      </c>
      <c r="CE179" t="b">
        <f t="shared" si="314"/>
        <v>0</v>
      </c>
      <c r="CF179" t="b">
        <f t="shared" si="315"/>
        <v>0</v>
      </c>
      <c r="CG179" t="b">
        <f t="shared" si="316"/>
        <v>0</v>
      </c>
      <c r="CH179" t="b">
        <f t="shared" si="317"/>
        <v>0</v>
      </c>
      <c r="CI179" t="b">
        <f t="shared" si="318"/>
        <v>0</v>
      </c>
      <c r="CJ179" t="b">
        <f t="shared" si="319"/>
        <v>0</v>
      </c>
      <c r="CK179" t="b">
        <f t="shared" si="320"/>
        <v>0</v>
      </c>
      <c r="CL179" t="b">
        <f t="shared" si="321"/>
        <v>0</v>
      </c>
      <c r="CM179">
        <f t="shared" si="322"/>
        <v>1</v>
      </c>
      <c r="CN179" t="b">
        <f t="shared" si="323"/>
        <v>0</v>
      </c>
      <c r="CO179" t="b">
        <f t="shared" si="324"/>
        <v>0</v>
      </c>
      <c r="CP179" t="b">
        <f t="shared" si="325"/>
        <v>0</v>
      </c>
      <c r="CQ179" t="b">
        <f t="shared" si="326"/>
        <v>0</v>
      </c>
      <c r="CR179" t="b">
        <f t="shared" si="327"/>
        <v>0</v>
      </c>
      <c r="CS179" t="b">
        <f t="shared" si="328"/>
        <v>0</v>
      </c>
      <c r="CT179" t="b">
        <f t="shared" si="329"/>
        <v>0</v>
      </c>
      <c r="CU179" t="b">
        <f t="shared" si="330"/>
        <v>0</v>
      </c>
      <c r="CV179">
        <f t="shared" si="331"/>
        <v>1</v>
      </c>
      <c r="CW179" t="b">
        <f t="shared" si="332"/>
        <v>0</v>
      </c>
      <c r="CX179" t="b">
        <f t="shared" si="333"/>
        <v>0</v>
      </c>
      <c r="CY179" t="b">
        <f t="shared" si="334"/>
        <v>0</v>
      </c>
      <c r="CZ179" t="b">
        <f t="shared" si="335"/>
        <v>0</v>
      </c>
      <c r="DA179">
        <f t="shared" si="336"/>
        <v>1</v>
      </c>
      <c r="DB179">
        <f t="shared" si="337"/>
        <v>1</v>
      </c>
      <c r="DC179" t="b">
        <f t="shared" si="338"/>
        <v>0</v>
      </c>
      <c r="DD179" t="b">
        <f t="shared" si="339"/>
        <v>0</v>
      </c>
      <c r="DE179" t="b">
        <f t="shared" si="340"/>
        <v>0</v>
      </c>
      <c r="DF179" t="b">
        <f t="shared" si="341"/>
        <v>0</v>
      </c>
      <c r="DG179" t="b">
        <f t="shared" si="342"/>
        <v>0</v>
      </c>
      <c r="DH179" t="b">
        <f t="shared" si="343"/>
        <v>0</v>
      </c>
      <c r="DI179" t="b">
        <f t="shared" si="344"/>
        <v>0</v>
      </c>
      <c r="DJ179" t="b">
        <f t="shared" si="345"/>
        <v>0</v>
      </c>
      <c r="DK179" t="b">
        <f t="shared" si="346"/>
        <v>0</v>
      </c>
      <c r="DL179" t="b">
        <f t="shared" si="347"/>
        <v>0</v>
      </c>
      <c r="DM179" t="b">
        <f t="shared" si="348"/>
        <v>0</v>
      </c>
      <c r="DN179" t="b">
        <f t="shared" si="349"/>
        <v>0</v>
      </c>
      <c r="DO179" t="b">
        <f t="shared" si="350"/>
        <v>0</v>
      </c>
      <c r="DP179" t="b">
        <f t="shared" si="351"/>
        <v>0</v>
      </c>
      <c r="DQ179" t="b">
        <f t="shared" si="352"/>
        <v>0</v>
      </c>
      <c r="DR179" t="b">
        <f t="shared" si="353"/>
        <v>0</v>
      </c>
      <c r="DS179" t="b">
        <f t="shared" si="354"/>
        <v>0</v>
      </c>
      <c r="DT179" t="b">
        <f t="shared" si="355"/>
        <v>0</v>
      </c>
      <c r="DU179" t="b">
        <f t="shared" si="356"/>
        <v>0</v>
      </c>
      <c r="DV179" t="b">
        <f t="shared" si="357"/>
        <v>0</v>
      </c>
      <c r="DW179" t="b">
        <f t="shared" si="358"/>
        <v>0</v>
      </c>
      <c r="DX179" t="b">
        <f t="shared" si="359"/>
        <v>0</v>
      </c>
      <c r="DY179">
        <f t="shared" si="360"/>
        <v>1</v>
      </c>
      <c r="DZ179" t="b">
        <f t="shared" si="361"/>
        <v>0</v>
      </c>
      <c r="EA179" t="b">
        <f t="shared" si="362"/>
        <v>0</v>
      </c>
      <c r="EB179" t="b">
        <f t="shared" si="363"/>
        <v>0</v>
      </c>
      <c r="EC179" t="b">
        <f t="shared" si="364"/>
        <v>0</v>
      </c>
      <c r="ED179" t="b">
        <f t="shared" si="365"/>
        <v>0</v>
      </c>
      <c r="EE179" t="b">
        <f t="shared" si="366"/>
        <v>0</v>
      </c>
      <c r="EF179" t="b">
        <f t="shared" si="367"/>
        <v>0</v>
      </c>
      <c r="EG179" t="b">
        <f t="shared" si="368"/>
        <v>0</v>
      </c>
      <c r="EH179" t="b">
        <f t="shared" si="369"/>
        <v>0</v>
      </c>
      <c r="EI179" t="b">
        <f t="shared" si="370"/>
        <v>0</v>
      </c>
      <c r="EJ179" t="b">
        <f t="shared" si="371"/>
        <v>0</v>
      </c>
      <c r="EK179" t="b">
        <f t="shared" si="372"/>
        <v>0</v>
      </c>
    </row>
    <row r="180" spans="1:141">
      <c r="A180" t="s">
        <v>1010</v>
      </c>
      <c r="B180" t="s">
        <v>1010</v>
      </c>
      <c r="C180" t="s">
        <v>1011</v>
      </c>
      <c r="D180" s="1">
        <v>42866</v>
      </c>
      <c r="E180" s="2">
        <v>42887.249583333331</v>
      </c>
      <c r="F180" s="2">
        <v>42887.249583333331</v>
      </c>
      <c r="G180">
        <v>43423561</v>
      </c>
      <c r="H180" t="s">
        <v>1012</v>
      </c>
      <c r="I180" s="10" t="s">
        <v>1013</v>
      </c>
      <c r="J180" t="s">
        <v>156</v>
      </c>
      <c r="K180" s="8" t="b">
        <v>1</v>
      </c>
      <c r="L180" s="10" t="b">
        <v>0</v>
      </c>
      <c r="M180" s="12" t="b">
        <v>0</v>
      </c>
      <c r="N180" t="b">
        <v>0</v>
      </c>
      <c r="O180" t="b">
        <v>0</v>
      </c>
      <c r="P180" t="b">
        <v>0</v>
      </c>
      <c r="Q180">
        <f t="shared" si="249"/>
        <v>5</v>
      </c>
      <c r="R180">
        <f t="shared" si="250"/>
        <v>5</v>
      </c>
      <c r="S180" t="e">
        <f t="shared" ca="1" si="280"/>
        <v>#NAME?</v>
      </c>
      <c r="T180" t="e">
        <f t="shared" ca="1" si="251"/>
        <v>#NAME?</v>
      </c>
      <c r="U180" s="4">
        <f t="shared" si="252"/>
        <v>21.24958333333052</v>
      </c>
      <c r="V180" s="4">
        <f t="shared" si="253"/>
        <v>0.70831944444435069</v>
      </c>
      <c r="W180" s="4">
        <f t="shared" si="254"/>
        <v>1</v>
      </c>
      <c r="X180" s="4">
        <f t="shared" si="255"/>
        <v>0</v>
      </c>
      <c r="Y180" s="4">
        <f t="shared" si="256"/>
        <v>0</v>
      </c>
      <c r="Z180" s="4">
        <f t="shared" si="257"/>
        <v>0</v>
      </c>
      <c r="AA180" s="4">
        <f t="shared" si="258"/>
        <v>0</v>
      </c>
      <c r="AB180" s="4">
        <f t="shared" si="259"/>
        <v>0</v>
      </c>
      <c r="AC180" s="4"/>
      <c r="AD180" s="4" t="b">
        <f t="shared" si="260"/>
        <v>0</v>
      </c>
      <c r="AE180" s="4" t="b">
        <f t="shared" si="261"/>
        <v>0</v>
      </c>
      <c r="AF180" s="4" t="b">
        <f t="shared" si="262"/>
        <v>0</v>
      </c>
      <c r="AG180" t="b">
        <f t="shared" si="263"/>
        <v>0</v>
      </c>
      <c r="AH180" t="b">
        <f t="shared" si="264"/>
        <v>0</v>
      </c>
      <c r="AI180" t="b">
        <f t="shared" si="265"/>
        <v>0</v>
      </c>
      <c r="AJ180" t="b">
        <f t="shared" si="266"/>
        <v>0</v>
      </c>
      <c r="AK180" t="b">
        <f t="shared" si="267"/>
        <v>0</v>
      </c>
      <c r="AL180" t="b">
        <f t="shared" si="268"/>
        <v>0</v>
      </c>
      <c r="AM180" t="b">
        <f t="shared" si="269"/>
        <v>0</v>
      </c>
      <c r="AN180" t="b">
        <f t="shared" si="270"/>
        <v>0</v>
      </c>
      <c r="AO180" t="b">
        <f t="shared" si="271"/>
        <v>0</v>
      </c>
      <c r="AP180" t="b">
        <f t="shared" si="272"/>
        <v>0</v>
      </c>
      <c r="AQ180" t="b">
        <f t="shared" si="273"/>
        <v>0</v>
      </c>
      <c r="AR180" t="b">
        <f t="shared" si="274"/>
        <v>0</v>
      </c>
      <c r="AS180" t="b">
        <f t="shared" si="275"/>
        <v>0</v>
      </c>
      <c r="AT180" t="b">
        <f t="shared" si="276"/>
        <v>0</v>
      </c>
      <c r="AU180" t="b">
        <f t="shared" si="277"/>
        <v>0</v>
      </c>
      <c r="AV180" t="b">
        <f t="shared" si="278"/>
        <v>0</v>
      </c>
      <c r="AW180" t="b">
        <f t="shared" si="279"/>
        <v>0</v>
      </c>
      <c r="AX180" t="b">
        <f t="shared" si="281"/>
        <v>0</v>
      </c>
      <c r="AY180" t="b">
        <f t="shared" si="282"/>
        <v>0</v>
      </c>
      <c r="AZ180" t="b">
        <f t="shared" si="283"/>
        <v>0</v>
      </c>
      <c r="BA180" t="b">
        <f t="shared" si="284"/>
        <v>0</v>
      </c>
      <c r="BB180" t="b">
        <f t="shared" si="285"/>
        <v>0</v>
      </c>
      <c r="BC180" t="b">
        <f t="shared" si="286"/>
        <v>0</v>
      </c>
      <c r="BD180" t="b">
        <f t="shared" si="287"/>
        <v>0</v>
      </c>
      <c r="BE180" t="b">
        <f t="shared" si="288"/>
        <v>0</v>
      </c>
      <c r="BF180" t="b">
        <f t="shared" si="289"/>
        <v>0</v>
      </c>
      <c r="BG180" t="b">
        <f t="shared" si="290"/>
        <v>0</v>
      </c>
      <c r="BH180" t="b">
        <f t="shared" si="291"/>
        <v>0</v>
      </c>
      <c r="BI180">
        <f t="shared" si="292"/>
        <v>1</v>
      </c>
      <c r="BJ180" t="b">
        <f t="shared" si="293"/>
        <v>0</v>
      </c>
      <c r="BK180" t="b">
        <f t="shared" si="294"/>
        <v>0</v>
      </c>
      <c r="BL180" t="b">
        <f t="shared" si="295"/>
        <v>0</v>
      </c>
      <c r="BM180" t="b">
        <f t="shared" si="296"/>
        <v>0</v>
      </c>
      <c r="BN180" t="b">
        <f t="shared" si="297"/>
        <v>0</v>
      </c>
      <c r="BO180" t="b">
        <f t="shared" si="298"/>
        <v>0</v>
      </c>
      <c r="BP180" t="b">
        <f t="shared" si="299"/>
        <v>0</v>
      </c>
      <c r="BQ180" t="b">
        <f t="shared" si="300"/>
        <v>0</v>
      </c>
      <c r="BR180" t="b">
        <f t="shared" si="301"/>
        <v>0</v>
      </c>
      <c r="BS180" t="b">
        <f t="shared" si="302"/>
        <v>0</v>
      </c>
      <c r="BT180" t="b">
        <f t="shared" si="303"/>
        <v>0</v>
      </c>
      <c r="BU180" t="b">
        <f t="shared" si="304"/>
        <v>0</v>
      </c>
      <c r="BV180" t="b">
        <f t="shared" si="305"/>
        <v>0</v>
      </c>
      <c r="BW180" t="b">
        <f t="shared" si="306"/>
        <v>0</v>
      </c>
      <c r="BX180" t="b">
        <f t="shared" si="307"/>
        <v>0</v>
      </c>
      <c r="BY180" t="b">
        <f t="shared" si="308"/>
        <v>0</v>
      </c>
      <c r="BZ180" t="b">
        <f t="shared" si="309"/>
        <v>0</v>
      </c>
      <c r="CA180" t="b">
        <f t="shared" si="310"/>
        <v>0</v>
      </c>
      <c r="CB180" t="b">
        <f t="shared" si="311"/>
        <v>0</v>
      </c>
      <c r="CC180" t="b">
        <f t="shared" si="312"/>
        <v>0</v>
      </c>
      <c r="CD180" t="b">
        <f t="shared" si="313"/>
        <v>0</v>
      </c>
      <c r="CE180" t="b">
        <f t="shared" si="314"/>
        <v>0</v>
      </c>
      <c r="CF180" t="b">
        <f t="shared" si="315"/>
        <v>0</v>
      </c>
      <c r="CG180" t="b">
        <f t="shared" si="316"/>
        <v>0</v>
      </c>
      <c r="CH180" t="b">
        <f t="shared" si="317"/>
        <v>0</v>
      </c>
      <c r="CI180" t="b">
        <f t="shared" si="318"/>
        <v>0</v>
      </c>
      <c r="CJ180" t="b">
        <f t="shared" si="319"/>
        <v>0</v>
      </c>
      <c r="CK180" t="b">
        <f t="shared" si="320"/>
        <v>0</v>
      </c>
      <c r="CL180" t="b">
        <f t="shared" si="321"/>
        <v>0</v>
      </c>
      <c r="CM180" t="b">
        <f t="shared" si="322"/>
        <v>0</v>
      </c>
      <c r="CN180" t="b">
        <f t="shared" si="323"/>
        <v>0</v>
      </c>
      <c r="CO180" t="b">
        <f t="shared" si="324"/>
        <v>0</v>
      </c>
      <c r="CP180" t="b">
        <f t="shared" si="325"/>
        <v>0</v>
      </c>
      <c r="CQ180" t="b">
        <f t="shared" si="326"/>
        <v>0</v>
      </c>
      <c r="CR180" t="b">
        <f t="shared" si="327"/>
        <v>0</v>
      </c>
      <c r="CS180" t="b">
        <f t="shared" si="328"/>
        <v>0</v>
      </c>
      <c r="CT180" t="b">
        <f t="shared" si="329"/>
        <v>0</v>
      </c>
      <c r="CU180" t="b">
        <f t="shared" si="330"/>
        <v>0</v>
      </c>
      <c r="CV180">
        <f t="shared" si="331"/>
        <v>1</v>
      </c>
      <c r="CW180" t="b">
        <f t="shared" si="332"/>
        <v>0</v>
      </c>
      <c r="CX180" t="b">
        <f t="shared" si="333"/>
        <v>0</v>
      </c>
      <c r="CY180" t="b">
        <f t="shared" si="334"/>
        <v>0</v>
      </c>
      <c r="CZ180" t="b">
        <f t="shared" si="335"/>
        <v>0</v>
      </c>
      <c r="DA180" t="b">
        <f t="shared" si="336"/>
        <v>0</v>
      </c>
      <c r="DB180" t="b">
        <f t="shared" si="337"/>
        <v>0</v>
      </c>
      <c r="DC180" t="b">
        <f t="shared" si="338"/>
        <v>0</v>
      </c>
      <c r="DD180" t="b">
        <f t="shared" si="339"/>
        <v>0</v>
      </c>
      <c r="DE180" t="b">
        <f t="shared" si="340"/>
        <v>0</v>
      </c>
      <c r="DF180" t="b">
        <f t="shared" si="341"/>
        <v>0</v>
      </c>
      <c r="DG180" t="b">
        <f t="shared" si="342"/>
        <v>0</v>
      </c>
      <c r="DH180" t="b">
        <f t="shared" si="343"/>
        <v>0</v>
      </c>
      <c r="DI180" t="b">
        <f t="shared" si="344"/>
        <v>0</v>
      </c>
      <c r="DJ180" t="b">
        <f t="shared" si="345"/>
        <v>0</v>
      </c>
      <c r="DK180" t="b">
        <f t="shared" si="346"/>
        <v>0</v>
      </c>
      <c r="DL180" t="b">
        <f t="shared" si="347"/>
        <v>0</v>
      </c>
      <c r="DM180" t="b">
        <f t="shared" si="348"/>
        <v>0</v>
      </c>
      <c r="DN180" t="b">
        <f t="shared" si="349"/>
        <v>0</v>
      </c>
      <c r="DO180" t="b">
        <f t="shared" si="350"/>
        <v>0</v>
      </c>
      <c r="DP180" t="b">
        <f t="shared" si="351"/>
        <v>0</v>
      </c>
      <c r="DQ180" t="b">
        <f t="shared" si="352"/>
        <v>0</v>
      </c>
      <c r="DR180" t="b">
        <f t="shared" si="353"/>
        <v>0</v>
      </c>
      <c r="DS180" t="b">
        <f t="shared" si="354"/>
        <v>0</v>
      </c>
      <c r="DT180" t="b">
        <f t="shared" si="355"/>
        <v>0</v>
      </c>
      <c r="DU180" t="b">
        <f t="shared" si="356"/>
        <v>0</v>
      </c>
      <c r="DV180" t="b">
        <f t="shared" si="357"/>
        <v>0</v>
      </c>
      <c r="DW180" t="b">
        <f t="shared" si="358"/>
        <v>0</v>
      </c>
      <c r="DX180" t="b">
        <f t="shared" si="359"/>
        <v>0</v>
      </c>
      <c r="DY180" t="b">
        <f t="shared" si="360"/>
        <v>0</v>
      </c>
      <c r="DZ180" t="b">
        <f t="shared" si="361"/>
        <v>0</v>
      </c>
      <c r="EA180" t="b">
        <f t="shared" si="362"/>
        <v>0</v>
      </c>
      <c r="EB180" t="b">
        <f t="shared" si="363"/>
        <v>0</v>
      </c>
      <c r="EC180" t="b">
        <f t="shared" si="364"/>
        <v>0</v>
      </c>
      <c r="ED180" t="b">
        <f t="shared" si="365"/>
        <v>0</v>
      </c>
      <c r="EE180" t="b">
        <f t="shared" si="366"/>
        <v>0</v>
      </c>
      <c r="EF180">
        <f t="shared" si="367"/>
        <v>1</v>
      </c>
      <c r="EG180" t="b">
        <f t="shared" si="368"/>
        <v>0</v>
      </c>
      <c r="EH180" t="b">
        <f t="shared" si="369"/>
        <v>0</v>
      </c>
      <c r="EI180" t="b">
        <f t="shared" si="370"/>
        <v>0</v>
      </c>
      <c r="EJ180" t="b">
        <f t="shared" si="371"/>
        <v>0</v>
      </c>
      <c r="EK180" t="b">
        <f t="shared" si="372"/>
        <v>0</v>
      </c>
    </row>
    <row r="181" spans="1:141">
      <c r="A181" t="s">
        <v>1014</v>
      </c>
      <c r="B181" t="s">
        <v>1014</v>
      </c>
      <c r="C181" t="s">
        <v>1015</v>
      </c>
      <c r="D181" s="1">
        <v>39814</v>
      </c>
      <c r="E181" s="2">
        <v>42784.121388888889</v>
      </c>
      <c r="F181" s="2">
        <v>42784.121388888889</v>
      </c>
      <c r="G181">
        <v>1291178</v>
      </c>
      <c r="H181" t="s">
        <v>1016</v>
      </c>
      <c r="I181" s="10" t="s">
        <v>1017</v>
      </c>
      <c r="J181" t="s">
        <v>1018</v>
      </c>
      <c r="K181" s="8" t="b">
        <v>1</v>
      </c>
      <c r="L181" s="10" t="b">
        <v>0</v>
      </c>
      <c r="M181" s="12" t="b">
        <v>0</v>
      </c>
      <c r="N181" t="b">
        <v>0</v>
      </c>
      <c r="O181" t="b">
        <v>0</v>
      </c>
      <c r="P181" t="b">
        <v>0</v>
      </c>
      <c r="Q181">
        <f t="shared" si="249"/>
        <v>5</v>
      </c>
      <c r="R181">
        <f t="shared" si="250"/>
        <v>1</v>
      </c>
      <c r="S181" t="e">
        <f t="shared" ca="1" si="280"/>
        <v>#NAME?</v>
      </c>
      <c r="T181" t="e">
        <f t="shared" ca="1" si="251"/>
        <v>#NAME?</v>
      </c>
      <c r="U181" s="4">
        <f t="shared" si="252"/>
        <v>2970.1213888888888</v>
      </c>
      <c r="V181" s="4">
        <f t="shared" si="253"/>
        <v>99.004046296296295</v>
      </c>
      <c r="W181" s="4">
        <f t="shared" si="254"/>
        <v>1</v>
      </c>
      <c r="X181" s="4">
        <f t="shared" si="255"/>
        <v>0</v>
      </c>
      <c r="Y181" s="4">
        <f t="shared" si="256"/>
        <v>0</v>
      </c>
      <c r="Z181" s="4">
        <f t="shared" si="257"/>
        <v>0</v>
      </c>
      <c r="AA181" s="4">
        <f t="shared" si="258"/>
        <v>0</v>
      </c>
      <c r="AB181" s="4">
        <f t="shared" si="259"/>
        <v>0</v>
      </c>
      <c r="AC181" s="4"/>
      <c r="AD181" s="4" t="b">
        <f t="shared" si="260"/>
        <v>0</v>
      </c>
      <c r="AE181" s="4" t="b">
        <f t="shared" si="261"/>
        <v>0</v>
      </c>
      <c r="AF181" s="4" t="b">
        <f t="shared" si="262"/>
        <v>0</v>
      </c>
      <c r="AG181" t="b">
        <f t="shared" si="263"/>
        <v>0</v>
      </c>
      <c r="AH181" t="b">
        <f t="shared" si="264"/>
        <v>0</v>
      </c>
      <c r="AI181" t="b">
        <f t="shared" si="265"/>
        <v>0</v>
      </c>
      <c r="AJ181" t="b">
        <f t="shared" si="266"/>
        <v>0</v>
      </c>
      <c r="AK181" t="b">
        <f t="shared" si="267"/>
        <v>0</v>
      </c>
      <c r="AL181" t="b">
        <f t="shared" si="268"/>
        <v>0</v>
      </c>
      <c r="AM181" t="b">
        <f t="shared" si="269"/>
        <v>0</v>
      </c>
      <c r="AN181" t="b">
        <f t="shared" si="270"/>
        <v>0</v>
      </c>
      <c r="AO181" t="b">
        <f t="shared" si="271"/>
        <v>0</v>
      </c>
      <c r="AP181" t="b">
        <f t="shared" si="272"/>
        <v>0</v>
      </c>
      <c r="AQ181" t="b">
        <f t="shared" si="273"/>
        <v>0</v>
      </c>
      <c r="AR181" t="b">
        <f t="shared" si="274"/>
        <v>0</v>
      </c>
      <c r="AS181" t="b">
        <f t="shared" si="275"/>
        <v>0</v>
      </c>
      <c r="AT181" t="b">
        <f t="shared" si="276"/>
        <v>0</v>
      </c>
      <c r="AU181" t="b">
        <f t="shared" si="277"/>
        <v>0</v>
      </c>
      <c r="AV181" t="b">
        <f t="shared" si="278"/>
        <v>0</v>
      </c>
      <c r="AW181" t="b">
        <f t="shared" si="279"/>
        <v>0</v>
      </c>
      <c r="AX181" t="b">
        <f t="shared" si="281"/>
        <v>0</v>
      </c>
      <c r="AY181" t="b">
        <f t="shared" si="282"/>
        <v>0</v>
      </c>
      <c r="AZ181" t="b">
        <f t="shared" si="283"/>
        <v>0</v>
      </c>
      <c r="BA181" t="b">
        <f t="shared" si="284"/>
        <v>0</v>
      </c>
      <c r="BB181" t="b">
        <f t="shared" si="285"/>
        <v>0</v>
      </c>
      <c r="BC181" t="b">
        <f t="shared" si="286"/>
        <v>0</v>
      </c>
      <c r="BD181" t="b">
        <f t="shared" si="287"/>
        <v>0</v>
      </c>
      <c r="BE181" t="b">
        <f t="shared" si="288"/>
        <v>0</v>
      </c>
      <c r="BF181" t="b">
        <f t="shared" si="289"/>
        <v>0</v>
      </c>
      <c r="BG181" t="b">
        <f t="shared" si="290"/>
        <v>0</v>
      </c>
      <c r="BH181" t="b">
        <f t="shared" si="291"/>
        <v>0</v>
      </c>
      <c r="BI181">
        <f t="shared" si="292"/>
        <v>1</v>
      </c>
      <c r="BJ181">
        <f t="shared" si="293"/>
        <v>1</v>
      </c>
      <c r="BK181" t="b">
        <f t="shared" si="294"/>
        <v>0</v>
      </c>
      <c r="BL181" t="b">
        <f t="shared" si="295"/>
        <v>0</v>
      </c>
      <c r="BM181" t="b">
        <f t="shared" si="296"/>
        <v>0</v>
      </c>
      <c r="BN181" t="b">
        <f t="shared" si="297"/>
        <v>0</v>
      </c>
      <c r="BO181" t="b">
        <f t="shared" si="298"/>
        <v>0</v>
      </c>
      <c r="BP181" t="b">
        <f t="shared" si="299"/>
        <v>0</v>
      </c>
      <c r="BQ181" t="b">
        <f t="shared" si="300"/>
        <v>0</v>
      </c>
      <c r="BR181" t="b">
        <f t="shared" si="301"/>
        <v>0</v>
      </c>
      <c r="BS181">
        <f t="shared" si="302"/>
        <v>1</v>
      </c>
      <c r="BT181" t="b">
        <f t="shared" si="303"/>
        <v>0</v>
      </c>
      <c r="BU181" t="b">
        <f t="shared" si="304"/>
        <v>0</v>
      </c>
      <c r="BV181" t="b">
        <f t="shared" si="305"/>
        <v>0</v>
      </c>
      <c r="BW181" t="b">
        <f t="shared" si="306"/>
        <v>0</v>
      </c>
      <c r="BX181" t="b">
        <f t="shared" si="307"/>
        <v>0</v>
      </c>
      <c r="BY181" t="b">
        <f t="shared" si="308"/>
        <v>0</v>
      </c>
      <c r="BZ181" t="b">
        <f t="shared" si="309"/>
        <v>0</v>
      </c>
      <c r="CA181" t="b">
        <f t="shared" si="310"/>
        <v>0</v>
      </c>
      <c r="CB181" t="b">
        <f t="shared" si="311"/>
        <v>0</v>
      </c>
      <c r="CC181" t="b">
        <f t="shared" si="312"/>
        <v>0</v>
      </c>
      <c r="CD181" t="b">
        <f t="shared" si="313"/>
        <v>0</v>
      </c>
      <c r="CE181" t="b">
        <f t="shared" si="314"/>
        <v>0</v>
      </c>
      <c r="CF181" t="b">
        <f t="shared" si="315"/>
        <v>0</v>
      </c>
      <c r="CG181" t="b">
        <f t="shared" si="316"/>
        <v>0</v>
      </c>
      <c r="CH181" t="b">
        <f t="shared" si="317"/>
        <v>0</v>
      </c>
      <c r="CI181" t="b">
        <f t="shared" si="318"/>
        <v>0</v>
      </c>
      <c r="CJ181" t="b">
        <f t="shared" si="319"/>
        <v>0</v>
      </c>
      <c r="CK181" t="b">
        <f t="shared" si="320"/>
        <v>0</v>
      </c>
      <c r="CL181" t="b">
        <f t="shared" si="321"/>
        <v>0</v>
      </c>
      <c r="CM181" t="b">
        <f t="shared" si="322"/>
        <v>0</v>
      </c>
      <c r="CN181" t="b">
        <f t="shared" si="323"/>
        <v>0</v>
      </c>
      <c r="CO181" t="b">
        <f t="shared" si="324"/>
        <v>0</v>
      </c>
      <c r="CP181" t="b">
        <f t="shared" si="325"/>
        <v>0</v>
      </c>
      <c r="CQ181" t="b">
        <f t="shared" si="326"/>
        <v>0</v>
      </c>
      <c r="CR181" t="b">
        <f t="shared" si="327"/>
        <v>0</v>
      </c>
      <c r="CS181" t="b">
        <f t="shared" si="328"/>
        <v>0</v>
      </c>
      <c r="CT181" t="b">
        <f t="shared" si="329"/>
        <v>0</v>
      </c>
      <c r="CU181" t="b">
        <f t="shared" si="330"/>
        <v>0</v>
      </c>
      <c r="CV181">
        <f t="shared" si="331"/>
        <v>1</v>
      </c>
      <c r="CW181" t="b">
        <f t="shared" si="332"/>
        <v>0</v>
      </c>
      <c r="CX181" t="b">
        <f t="shared" si="333"/>
        <v>0</v>
      </c>
      <c r="CY181" t="b">
        <f t="shared" si="334"/>
        <v>0</v>
      </c>
      <c r="CZ181" t="b">
        <f t="shared" si="335"/>
        <v>0</v>
      </c>
      <c r="DA181">
        <f t="shared" si="336"/>
        <v>1</v>
      </c>
      <c r="DB181" t="b">
        <f t="shared" si="337"/>
        <v>0</v>
      </c>
      <c r="DC181" t="b">
        <f t="shared" si="338"/>
        <v>0</v>
      </c>
      <c r="DD181" t="b">
        <f t="shared" si="339"/>
        <v>0</v>
      </c>
      <c r="DE181" t="b">
        <f t="shared" si="340"/>
        <v>0</v>
      </c>
      <c r="DF181" t="b">
        <f t="shared" si="341"/>
        <v>0</v>
      </c>
      <c r="DG181" t="b">
        <f t="shared" si="342"/>
        <v>0</v>
      </c>
      <c r="DH181" t="b">
        <f t="shared" si="343"/>
        <v>0</v>
      </c>
      <c r="DI181" t="b">
        <f t="shared" si="344"/>
        <v>0</v>
      </c>
      <c r="DJ181" t="b">
        <f t="shared" si="345"/>
        <v>0</v>
      </c>
      <c r="DK181" t="b">
        <f t="shared" si="346"/>
        <v>0</v>
      </c>
      <c r="DL181" t="b">
        <f t="shared" si="347"/>
        <v>0</v>
      </c>
      <c r="DM181" t="b">
        <f t="shared" si="348"/>
        <v>0</v>
      </c>
      <c r="DN181" t="b">
        <f t="shared" si="349"/>
        <v>0</v>
      </c>
      <c r="DO181" t="b">
        <f t="shared" si="350"/>
        <v>0</v>
      </c>
      <c r="DP181" t="b">
        <f t="shared" si="351"/>
        <v>0</v>
      </c>
      <c r="DQ181" t="b">
        <f t="shared" si="352"/>
        <v>0</v>
      </c>
      <c r="DR181" t="b">
        <f t="shared" si="353"/>
        <v>0</v>
      </c>
      <c r="DS181" t="b">
        <f t="shared" si="354"/>
        <v>0</v>
      </c>
      <c r="DT181" t="b">
        <f t="shared" si="355"/>
        <v>0</v>
      </c>
      <c r="DU181" t="b">
        <f t="shared" si="356"/>
        <v>0</v>
      </c>
      <c r="DV181" t="b">
        <f t="shared" si="357"/>
        <v>0</v>
      </c>
      <c r="DW181" t="b">
        <f t="shared" si="358"/>
        <v>0</v>
      </c>
      <c r="DX181" t="b">
        <f t="shared" si="359"/>
        <v>0</v>
      </c>
      <c r="DY181" t="b">
        <f t="shared" si="360"/>
        <v>0</v>
      </c>
      <c r="DZ181" t="b">
        <f t="shared" si="361"/>
        <v>0</v>
      </c>
      <c r="EA181" t="b">
        <f t="shared" si="362"/>
        <v>0</v>
      </c>
      <c r="EB181" t="b">
        <f t="shared" si="363"/>
        <v>0</v>
      </c>
      <c r="EC181" t="b">
        <f t="shared" si="364"/>
        <v>0</v>
      </c>
      <c r="ED181" t="b">
        <f t="shared" si="365"/>
        <v>0</v>
      </c>
      <c r="EE181" t="b">
        <f t="shared" si="366"/>
        <v>0</v>
      </c>
      <c r="EF181">
        <f t="shared" si="367"/>
        <v>1</v>
      </c>
      <c r="EG181" t="b">
        <f t="shared" si="368"/>
        <v>0</v>
      </c>
      <c r="EH181" t="b">
        <f t="shared" si="369"/>
        <v>0</v>
      </c>
      <c r="EI181" t="b">
        <f t="shared" si="370"/>
        <v>0</v>
      </c>
      <c r="EJ181" t="b">
        <f t="shared" si="371"/>
        <v>0</v>
      </c>
      <c r="EK181" t="b">
        <f t="shared" si="372"/>
        <v>0</v>
      </c>
    </row>
    <row r="182" spans="1:141">
      <c r="A182" t="s">
        <v>1019</v>
      </c>
      <c r="B182" t="s">
        <v>1019</v>
      </c>
      <c r="C182" t="s">
        <v>1020</v>
      </c>
      <c r="D182" s="1">
        <v>43101</v>
      </c>
      <c r="E182" s="2">
        <v>43955.976018518515</v>
      </c>
      <c r="F182" s="2">
        <v>43955.976018518515</v>
      </c>
      <c r="G182">
        <v>2325283</v>
      </c>
      <c r="H182" t="s">
        <v>1021</v>
      </c>
      <c r="I182" s="10" t="s">
        <v>1022</v>
      </c>
      <c r="J182" t="s">
        <v>1023</v>
      </c>
      <c r="K182" s="8" t="b">
        <v>1</v>
      </c>
      <c r="L182" s="10" t="b">
        <v>0</v>
      </c>
      <c r="M182" s="12" t="b">
        <v>0</v>
      </c>
      <c r="N182" t="b">
        <v>0</v>
      </c>
      <c r="O182" t="b">
        <v>0</v>
      </c>
      <c r="P182" t="b">
        <v>0</v>
      </c>
      <c r="Q182">
        <f t="shared" si="249"/>
        <v>2</v>
      </c>
      <c r="R182">
        <f t="shared" si="250"/>
        <v>1</v>
      </c>
      <c r="S182" t="e">
        <f t="shared" ca="1" si="280"/>
        <v>#NAME?</v>
      </c>
      <c r="T182" t="e">
        <f t="shared" ca="1" si="251"/>
        <v>#NAME?</v>
      </c>
      <c r="U182" s="4">
        <f t="shared" si="252"/>
        <v>854.97601851851505</v>
      </c>
      <c r="V182" s="4">
        <f t="shared" si="253"/>
        <v>28.499200617283837</v>
      </c>
      <c r="W182" s="4">
        <f t="shared" si="254"/>
        <v>1</v>
      </c>
      <c r="X182" s="4">
        <f t="shared" si="255"/>
        <v>0</v>
      </c>
      <c r="Y182" s="4">
        <f t="shared" si="256"/>
        <v>0</v>
      </c>
      <c r="Z182" s="4">
        <f t="shared" si="257"/>
        <v>0</v>
      </c>
      <c r="AA182" s="4">
        <f t="shared" si="258"/>
        <v>0</v>
      </c>
      <c r="AB182" s="4">
        <f t="shared" si="259"/>
        <v>0</v>
      </c>
      <c r="AC182" s="4"/>
      <c r="AD182" s="4" t="b">
        <f t="shared" si="260"/>
        <v>0</v>
      </c>
      <c r="AE182" s="4" t="b">
        <f t="shared" si="261"/>
        <v>0</v>
      </c>
      <c r="AF182" s="4" t="b">
        <f t="shared" si="262"/>
        <v>0</v>
      </c>
      <c r="AG182" t="b">
        <f t="shared" si="263"/>
        <v>0</v>
      </c>
      <c r="AH182" t="b">
        <f t="shared" si="264"/>
        <v>0</v>
      </c>
      <c r="AI182" t="b">
        <f t="shared" si="265"/>
        <v>0</v>
      </c>
      <c r="AJ182" t="b">
        <f t="shared" si="266"/>
        <v>0</v>
      </c>
      <c r="AK182" t="b">
        <f t="shared" si="267"/>
        <v>0</v>
      </c>
      <c r="AL182" t="b">
        <f t="shared" si="268"/>
        <v>0</v>
      </c>
      <c r="AM182" t="b">
        <f t="shared" si="269"/>
        <v>0</v>
      </c>
      <c r="AN182" t="b">
        <f t="shared" si="270"/>
        <v>0</v>
      </c>
      <c r="AO182" t="b">
        <f t="shared" si="271"/>
        <v>0</v>
      </c>
      <c r="AP182" t="b">
        <f t="shared" si="272"/>
        <v>0</v>
      </c>
      <c r="AQ182" t="b">
        <f t="shared" si="273"/>
        <v>0</v>
      </c>
      <c r="AR182" t="b">
        <f t="shared" si="274"/>
        <v>0</v>
      </c>
      <c r="AS182" t="b">
        <f t="shared" si="275"/>
        <v>0</v>
      </c>
      <c r="AT182" t="b">
        <f t="shared" si="276"/>
        <v>0</v>
      </c>
      <c r="AU182" t="b">
        <f t="shared" si="277"/>
        <v>0</v>
      </c>
      <c r="AV182" t="b">
        <f t="shared" si="278"/>
        <v>0</v>
      </c>
      <c r="AW182" t="b">
        <f t="shared" si="279"/>
        <v>0</v>
      </c>
      <c r="AX182" t="b">
        <f t="shared" si="281"/>
        <v>0</v>
      </c>
      <c r="AY182" t="b">
        <f t="shared" si="282"/>
        <v>0</v>
      </c>
      <c r="AZ182" t="b">
        <f t="shared" si="283"/>
        <v>0</v>
      </c>
      <c r="BA182" t="b">
        <f t="shared" si="284"/>
        <v>0</v>
      </c>
      <c r="BB182" t="b">
        <f t="shared" si="285"/>
        <v>0</v>
      </c>
      <c r="BC182" t="b">
        <f t="shared" si="286"/>
        <v>0</v>
      </c>
      <c r="BD182" t="b">
        <f t="shared" si="287"/>
        <v>0</v>
      </c>
      <c r="BE182" t="b">
        <f t="shared" si="288"/>
        <v>0</v>
      </c>
      <c r="BF182" t="b">
        <f t="shared" si="289"/>
        <v>0</v>
      </c>
      <c r="BG182" t="b">
        <f t="shared" si="290"/>
        <v>0</v>
      </c>
      <c r="BH182" t="b">
        <f t="shared" si="291"/>
        <v>0</v>
      </c>
      <c r="BI182">
        <f t="shared" si="292"/>
        <v>1</v>
      </c>
      <c r="BJ182" t="b">
        <f t="shared" si="293"/>
        <v>0</v>
      </c>
      <c r="BK182" t="b">
        <f t="shared" si="294"/>
        <v>0</v>
      </c>
      <c r="BL182" t="b">
        <f t="shared" si="295"/>
        <v>0</v>
      </c>
      <c r="BM182" t="b">
        <f t="shared" si="296"/>
        <v>0</v>
      </c>
      <c r="BN182" t="b">
        <f t="shared" si="297"/>
        <v>0</v>
      </c>
      <c r="BO182" t="b">
        <f t="shared" si="298"/>
        <v>0</v>
      </c>
      <c r="BP182" t="b">
        <f t="shared" si="299"/>
        <v>0</v>
      </c>
      <c r="BQ182" t="b">
        <f t="shared" si="300"/>
        <v>0</v>
      </c>
      <c r="BR182" t="b">
        <f t="shared" si="301"/>
        <v>0</v>
      </c>
      <c r="BS182">
        <f t="shared" si="302"/>
        <v>1</v>
      </c>
      <c r="BT182" t="b">
        <f t="shared" si="303"/>
        <v>0</v>
      </c>
      <c r="BU182" t="b">
        <f t="shared" si="304"/>
        <v>0</v>
      </c>
      <c r="BV182" t="b">
        <f t="shared" si="305"/>
        <v>0</v>
      </c>
      <c r="BW182" t="b">
        <f t="shared" si="306"/>
        <v>0</v>
      </c>
      <c r="BX182" t="b">
        <f t="shared" si="307"/>
        <v>0</v>
      </c>
      <c r="BY182" t="b">
        <f t="shared" si="308"/>
        <v>0</v>
      </c>
      <c r="BZ182" t="b">
        <f t="shared" si="309"/>
        <v>0</v>
      </c>
      <c r="CA182" t="b">
        <f t="shared" si="310"/>
        <v>0</v>
      </c>
      <c r="CB182" t="b">
        <f t="shared" si="311"/>
        <v>0</v>
      </c>
      <c r="CC182" t="b">
        <f t="shared" si="312"/>
        <v>0</v>
      </c>
      <c r="CD182" t="b">
        <f t="shared" si="313"/>
        <v>0</v>
      </c>
      <c r="CE182" t="b">
        <f t="shared" si="314"/>
        <v>0</v>
      </c>
      <c r="CF182" t="b">
        <f t="shared" si="315"/>
        <v>0</v>
      </c>
      <c r="CG182" t="b">
        <f t="shared" si="316"/>
        <v>0</v>
      </c>
      <c r="CH182" t="b">
        <f t="shared" si="317"/>
        <v>0</v>
      </c>
      <c r="CI182" t="b">
        <f t="shared" si="318"/>
        <v>0</v>
      </c>
      <c r="CJ182" t="b">
        <f t="shared" si="319"/>
        <v>0</v>
      </c>
      <c r="CK182" t="b">
        <f t="shared" si="320"/>
        <v>0</v>
      </c>
      <c r="CL182" t="b">
        <f t="shared" si="321"/>
        <v>0</v>
      </c>
      <c r="CM182" t="b">
        <f t="shared" si="322"/>
        <v>0</v>
      </c>
      <c r="CN182" t="b">
        <f t="shared" si="323"/>
        <v>0</v>
      </c>
      <c r="CO182" t="b">
        <f t="shared" si="324"/>
        <v>0</v>
      </c>
      <c r="CP182" t="b">
        <f t="shared" si="325"/>
        <v>0</v>
      </c>
      <c r="CQ182" t="b">
        <f t="shared" si="326"/>
        <v>0</v>
      </c>
      <c r="CR182" t="b">
        <f t="shared" si="327"/>
        <v>0</v>
      </c>
      <c r="CS182" t="b">
        <f t="shared" si="328"/>
        <v>0</v>
      </c>
      <c r="CT182" t="b">
        <f t="shared" si="329"/>
        <v>0</v>
      </c>
      <c r="CU182" t="b">
        <f t="shared" si="330"/>
        <v>0</v>
      </c>
      <c r="CV182" t="b">
        <f t="shared" si="331"/>
        <v>0</v>
      </c>
      <c r="CW182" t="b">
        <f t="shared" si="332"/>
        <v>0</v>
      </c>
      <c r="CX182" t="b">
        <f t="shared" si="333"/>
        <v>0</v>
      </c>
      <c r="CY182" t="b">
        <f t="shared" si="334"/>
        <v>0</v>
      </c>
      <c r="CZ182" t="b">
        <f t="shared" si="335"/>
        <v>0</v>
      </c>
      <c r="DA182" t="b">
        <f t="shared" si="336"/>
        <v>0</v>
      </c>
      <c r="DB182" t="b">
        <f t="shared" si="337"/>
        <v>0</v>
      </c>
      <c r="DC182" t="b">
        <f t="shared" si="338"/>
        <v>0</v>
      </c>
      <c r="DD182" t="b">
        <f t="shared" si="339"/>
        <v>0</v>
      </c>
      <c r="DE182" t="b">
        <f t="shared" si="340"/>
        <v>0</v>
      </c>
      <c r="DF182" t="b">
        <f t="shared" si="341"/>
        <v>0</v>
      </c>
      <c r="DG182" t="b">
        <f t="shared" si="342"/>
        <v>0</v>
      </c>
      <c r="DH182" t="b">
        <f t="shared" si="343"/>
        <v>0</v>
      </c>
      <c r="DI182" t="b">
        <f t="shared" si="344"/>
        <v>0</v>
      </c>
      <c r="DJ182" t="b">
        <f t="shared" si="345"/>
        <v>0</v>
      </c>
      <c r="DK182" t="b">
        <f t="shared" si="346"/>
        <v>0</v>
      </c>
      <c r="DL182" t="b">
        <f t="shared" si="347"/>
        <v>0</v>
      </c>
      <c r="DM182" t="b">
        <f t="shared" si="348"/>
        <v>0</v>
      </c>
      <c r="DN182" t="b">
        <f t="shared" si="349"/>
        <v>0</v>
      </c>
      <c r="DO182" t="b">
        <f t="shared" si="350"/>
        <v>0</v>
      </c>
      <c r="DP182" t="b">
        <f t="shared" si="351"/>
        <v>0</v>
      </c>
      <c r="DQ182" t="b">
        <f t="shared" si="352"/>
        <v>0</v>
      </c>
      <c r="DR182" t="b">
        <f t="shared" si="353"/>
        <v>0</v>
      </c>
      <c r="DS182" t="b">
        <f t="shared" si="354"/>
        <v>0</v>
      </c>
      <c r="DT182" t="b">
        <f t="shared" si="355"/>
        <v>0</v>
      </c>
      <c r="DU182" t="b">
        <f t="shared" si="356"/>
        <v>0</v>
      </c>
      <c r="DV182" t="b">
        <f t="shared" si="357"/>
        <v>0</v>
      </c>
      <c r="DW182" t="b">
        <f t="shared" si="358"/>
        <v>0</v>
      </c>
      <c r="DX182" t="b">
        <f t="shared" si="359"/>
        <v>0</v>
      </c>
      <c r="DY182" t="b">
        <f t="shared" si="360"/>
        <v>0</v>
      </c>
      <c r="DZ182" t="b">
        <f t="shared" si="361"/>
        <v>0</v>
      </c>
      <c r="EA182" t="b">
        <f t="shared" si="362"/>
        <v>0</v>
      </c>
      <c r="EB182" t="b">
        <f t="shared" si="363"/>
        <v>0</v>
      </c>
      <c r="EC182" t="b">
        <f t="shared" si="364"/>
        <v>0</v>
      </c>
      <c r="ED182" t="b">
        <f t="shared" si="365"/>
        <v>0</v>
      </c>
      <c r="EE182" t="b">
        <f t="shared" si="366"/>
        <v>0</v>
      </c>
      <c r="EF182">
        <f t="shared" si="367"/>
        <v>1</v>
      </c>
      <c r="EG182" t="b">
        <f t="shared" si="368"/>
        <v>0</v>
      </c>
      <c r="EH182" t="b">
        <f t="shared" si="369"/>
        <v>0</v>
      </c>
      <c r="EI182" t="b">
        <f t="shared" si="370"/>
        <v>0</v>
      </c>
      <c r="EJ182" t="b">
        <f t="shared" si="371"/>
        <v>0</v>
      </c>
      <c r="EK182" t="b">
        <f t="shared" si="372"/>
        <v>0</v>
      </c>
    </row>
    <row r="183" spans="1:141">
      <c r="A183" t="s">
        <v>1024</v>
      </c>
      <c r="B183" t="s">
        <v>1025</v>
      </c>
      <c r="D183" s="1">
        <v>43402</v>
      </c>
      <c r="E183" s="2">
        <v>43421.37840277778</v>
      </c>
      <c r="F183" s="2">
        <v>43422.14644675926</v>
      </c>
      <c r="G183">
        <v>5788169</v>
      </c>
      <c r="H183" t="s">
        <v>1026</v>
      </c>
      <c r="I183" s="10" t="s">
        <v>160</v>
      </c>
      <c r="J183" t="s">
        <v>1027</v>
      </c>
      <c r="K183" s="8" t="b">
        <v>1</v>
      </c>
      <c r="L183" s="10" t="b">
        <v>0</v>
      </c>
      <c r="M183" s="12" t="b">
        <v>0</v>
      </c>
      <c r="N183" t="b">
        <v>0</v>
      </c>
      <c r="O183" t="b">
        <v>0</v>
      </c>
      <c r="P183" t="b">
        <v>0</v>
      </c>
      <c r="Q183">
        <f t="shared" si="249"/>
        <v>2</v>
      </c>
      <c r="R183">
        <f t="shared" si="250"/>
        <v>10</v>
      </c>
      <c r="S183" t="e">
        <f t="shared" ca="1" si="280"/>
        <v>#NAME?</v>
      </c>
      <c r="T183" t="e">
        <f t="shared" ca="1" si="251"/>
        <v>#NAME?</v>
      </c>
      <c r="U183" s="4">
        <f t="shared" si="252"/>
        <v>19.378402777780138</v>
      </c>
      <c r="V183" s="4">
        <f t="shared" si="253"/>
        <v>0.64594675925933798</v>
      </c>
      <c r="W183" s="4">
        <f t="shared" si="254"/>
        <v>1</v>
      </c>
      <c r="X183" s="4">
        <f t="shared" si="255"/>
        <v>0</v>
      </c>
      <c r="Y183" s="4">
        <f t="shared" si="256"/>
        <v>0</v>
      </c>
      <c r="Z183" s="4">
        <f t="shared" si="257"/>
        <v>0</v>
      </c>
      <c r="AA183" s="4">
        <f t="shared" si="258"/>
        <v>0</v>
      </c>
      <c r="AB183" s="4">
        <f t="shared" si="259"/>
        <v>0</v>
      </c>
      <c r="AC183" s="4"/>
      <c r="AD183" s="4" t="b">
        <f t="shared" si="260"/>
        <v>0</v>
      </c>
      <c r="AE183" s="4" t="b">
        <f t="shared" si="261"/>
        <v>0</v>
      </c>
      <c r="AF183" s="4" t="b">
        <f t="shared" si="262"/>
        <v>0</v>
      </c>
      <c r="AG183" t="b">
        <f t="shared" si="263"/>
        <v>0</v>
      </c>
      <c r="AH183" t="b">
        <f t="shared" si="264"/>
        <v>0</v>
      </c>
      <c r="AI183" t="b">
        <f t="shared" si="265"/>
        <v>0</v>
      </c>
      <c r="AJ183" t="b">
        <f t="shared" si="266"/>
        <v>0</v>
      </c>
      <c r="AK183" t="b">
        <f t="shared" si="267"/>
        <v>0</v>
      </c>
      <c r="AL183" t="b">
        <f t="shared" si="268"/>
        <v>0</v>
      </c>
      <c r="AM183" t="b">
        <f t="shared" si="269"/>
        <v>0</v>
      </c>
      <c r="AN183" t="b">
        <f t="shared" si="270"/>
        <v>0</v>
      </c>
      <c r="AO183" t="b">
        <f t="shared" si="271"/>
        <v>0</v>
      </c>
      <c r="AP183" t="b">
        <f t="shared" si="272"/>
        <v>0</v>
      </c>
      <c r="AQ183" t="b">
        <f t="shared" si="273"/>
        <v>0</v>
      </c>
      <c r="AR183" t="b">
        <f t="shared" si="274"/>
        <v>0</v>
      </c>
      <c r="AS183" t="b">
        <f t="shared" si="275"/>
        <v>0</v>
      </c>
      <c r="AT183" t="b">
        <f t="shared" si="276"/>
        <v>0</v>
      </c>
      <c r="AU183" t="b">
        <f t="shared" si="277"/>
        <v>0</v>
      </c>
      <c r="AV183" t="b">
        <f t="shared" si="278"/>
        <v>0</v>
      </c>
      <c r="AW183" t="b">
        <f t="shared" si="279"/>
        <v>0</v>
      </c>
      <c r="AX183" t="b">
        <f t="shared" si="281"/>
        <v>0</v>
      </c>
      <c r="AY183" t="b">
        <f t="shared" si="282"/>
        <v>0</v>
      </c>
      <c r="AZ183" t="b">
        <f t="shared" si="283"/>
        <v>0</v>
      </c>
      <c r="BA183" t="b">
        <f t="shared" si="284"/>
        <v>0</v>
      </c>
      <c r="BB183" t="b">
        <f t="shared" si="285"/>
        <v>0</v>
      </c>
      <c r="BC183" t="b">
        <f t="shared" si="286"/>
        <v>0</v>
      </c>
      <c r="BD183" t="b">
        <f t="shared" si="287"/>
        <v>0</v>
      </c>
      <c r="BE183" t="b">
        <f t="shared" si="288"/>
        <v>0</v>
      </c>
      <c r="BF183" t="b">
        <f t="shared" si="289"/>
        <v>0</v>
      </c>
      <c r="BG183" t="b">
        <f t="shared" si="290"/>
        <v>0</v>
      </c>
      <c r="BH183" t="b">
        <f t="shared" si="291"/>
        <v>0</v>
      </c>
      <c r="BI183">
        <f t="shared" si="292"/>
        <v>1</v>
      </c>
      <c r="BJ183">
        <f t="shared" si="293"/>
        <v>1</v>
      </c>
      <c r="BK183" t="b">
        <f t="shared" si="294"/>
        <v>0</v>
      </c>
      <c r="BL183" t="b">
        <f t="shared" si="295"/>
        <v>0</v>
      </c>
      <c r="BM183" t="b">
        <f t="shared" si="296"/>
        <v>0</v>
      </c>
      <c r="BN183" t="b">
        <f t="shared" si="297"/>
        <v>0</v>
      </c>
      <c r="BO183" t="b">
        <f t="shared" si="298"/>
        <v>0</v>
      </c>
      <c r="BP183" t="b">
        <f t="shared" si="299"/>
        <v>0</v>
      </c>
      <c r="BQ183" t="b">
        <f t="shared" si="300"/>
        <v>0</v>
      </c>
      <c r="BR183" t="b">
        <f t="shared" si="301"/>
        <v>0</v>
      </c>
      <c r="BS183" t="b">
        <f t="shared" si="302"/>
        <v>0</v>
      </c>
      <c r="BT183" t="b">
        <f t="shared" si="303"/>
        <v>0</v>
      </c>
      <c r="BU183" t="b">
        <f t="shared" si="304"/>
        <v>0</v>
      </c>
      <c r="BV183" t="b">
        <f t="shared" si="305"/>
        <v>0</v>
      </c>
      <c r="BW183" t="b">
        <f t="shared" si="306"/>
        <v>0</v>
      </c>
      <c r="BX183" t="b">
        <f t="shared" si="307"/>
        <v>0</v>
      </c>
      <c r="BY183" t="b">
        <f t="shared" si="308"/>
        <v>0</v>
      </c>
      <c r="BZ183" t="b">
        <f t="shared" si="309"/>
        <v>0</v>
      </c>
      <c r="CA183" t="b">
        <f t="shared" si="310"/>
        <v>0</v>
      </c>
      <c r="CB183" t="b">
        <f t="shared" si="311"/>
        <v>0</v>
      </c>
      <c r="CC183" t="b">
        <f t="shared" si="312"/>
        <v>0</v>
      </c>
      <c r="CD183" t="b">
        <f t="shared" si="313"/>
        <v>0</v>
      </c>
      <c r="CE183" t="b">
        <f t="shared" si="314"/>
        <v>0</v>
      </c>
      <c r="CF183" t="b">
        <f t="shared" si="315"/>
        <v>0</v>
      </c>
      <c r="CG183" t="b">
        <f t="shared" si="316"/>
        <v>0</v>
      </c>
      <c r="CH183" t="b">
        <f t="shared" si="317"/>
        <v>0</v>
      </c>
      <c r="CI183" t="b">
        <f t="shared" si="318"/>
        <v>0</v>
      </c>
      <c r="CJ183" t="b">
        <f t="shared" si="319"/>
        <v>0</v>
      </c>
      <c r="CK183" t="b">
        <f t="shared" si="320"/>
        <v>0</v>
      </c>
      <c r="CL183" t="b">
        <f t="shared" si="321"/>
        <v>0</v>
      </c>
      <c r="CM183">
        <f t="shared" si="322"/>
        <v>1</v>
      </c>
      <c r="CN183" t="b">
        <f t="shared" si="323"/>
        <v>0</v>
      </c>
      <c r="CO183" t="b">
        <f t="shared" si="324"/>
        <v>0</v>
      </c>
      <c r="CP183" t="b">
        <f t="shared" si="325"/>
        <v>0</v>
      </c>
      <c r="CQ183" t="b">
        <f t="shared" si="326"/>
        <v>0</v>
      </c>
      <c r="CR183" t="b">
        <f t="shared" si="327"/>
        <v>0</v>
      </c>
      <c r="CS183" t="b">
        <f t="shared" si="328"/>
        <v>0</v>
      </c>
      <c r="CT183" t="b">
        <f t="shared" si="329"/>
        <v>0</v>
      </c>
      <c r="CU183" t="b">
        <f t="shared" si="330"/>
        <v>0</v>
      </c>
      <c r="CV183" t="b">
        <f t="shared" si="331"/>
        <v>0</v>
      </c>
      <c r="CW183" t="b">
        <f t="shared" si="332"/>
        <v>0</v>
      </c>
      <c r="CX183" t="b">
        <f t="shared" si="333"/>
        <v>0</v>
      </c>
      <c r="CY183" t="b">
        <f t="shared" si="334"/>
        <v>0</v>
      </c>
      <c r="CZ183" t="b">
        <f t="shared" si="335"/>
        <v>0</v>
      </c>
      <c r="DA183" t="b">
        <f t="shared" si="336"/>
        <v>0</v>
      </c>
      <c r="DB183">
        <f t="shared" si="337"/>
        <v>1</v>
      </c>
      <c r="DC183" t="b">
        <f t="shared" si="338"/>
        <v>0</v>
      </c>
      <c r="DD183" t="b">
        <f t="shared" si="339"/>
        <v>0</v>
      </c>
      <c r="DE183" t="b">
        <f t="shared" si="340"/>
        <v>0</v>
      </c>
      <c r="DF183" t="b">
        <f t="shared" si="341"/>
        <v>0</v>
      </c>
      <c r="DG183" t="b">
        <f t="shared" si="342"/>
        <v>0</v>
      </c>
      <c r="DH183" t="b">
        <f t="shared" si="343"/>
        <v>0</v>
      </c>
      <c r="DI183" t="b">
        <f t="shared" si="344"/>
        <v>0</v>
      </c>
      <c r="DJ183" t="b">
        <f t="shared" si="345"/>
        <v>0</v>
      </c>
      <c r="DK183" t="b">
        <f t="shared" si="346"/>
        <v>0</v>
      </c>
      <c r="DL183" t="b">
        <f t="shared" si="347"/>
        <v>0</v>
      </c>
      <c r="DM183" t="b">
        <f t="shared" si="348"/>
        <v>0</v>
      </c>
      <c r="DN183" t="b">
        <f t="shared" si="349"/>
        <v>0</v>
      </c>
      <c r="DO183" t="b">
        <f t="shared" si="350"/>
        <v>0</v>
      </c>
      <c r="DP183" t="b">
        <f t="shared" si="351"/>
        <v>0</v>
      </c>
      <c r="DQ183" t="b">
        <f t="shared" si="352"/>
        <v>0</v>
      </c>
      <c r="DR183" t="b">
        <f t="shared" si="353"/>
        <v>0</v>
      </c>
      <c r="DS183" t="b">
        <f t="shared" si="354"/>
        <v>0</v>
      </c>
      <c r="DT183" t="b">
        <f t="shared" si="355"/>
        <v>0</v>
      </c>
      <c r="DU183" t="b">
        <f t="shared" si="356"/>
        <v>0</v>
      </c>
      <c r="DV183" t="b">
        <f t="shared" si="357"/>
        <v>0</v>
      </c>
      <c r="DW183" t="b">
        <f t="shared" si="358"/>
        <v>0</v>
      </c>
      <c r="DX183" t="b">
        <f t="shared" si="359"/>
        <v>0</v>
      </c>
      <c r="DY183" t="b">
        <f t="shared" si="360"/>
        <v>0</v>
      </c>
      <c r="DZ183" t="b">
        <f t="shared" si="361"/>
        <v>0</v>
      </c>
      <c r="EA183" t="b">
        <f t="shared" si="362"/>
        <v>0</v>
      </c>
      <c r="EB183" t="b">
        <f t="shared" si="363"/>
        <v>0</v>
      </c>
      <c r="EC183" t="b">
        <f t="shared" si="364"/>
        <v>0</v>
      </c>
      <c r="ED183" t="b">
        <f t="shared" si="365"/>
        <v>0</v>
      </c>
      <c r="EE183" t="b">
        <f t="shared" si="366"/>
        <v>0</v>
      </c>
      <c r="EF183" t="b">
        <f t="shared" si="367"/>
        <v>0</v>
      </c>
      <c r="EG183" t="b">
        <f t="shared" si="368"/>
        <v>0</v>
      </c>
      <c r="EH183" t="b">
        <f t="shared" si="369"/>
        <v>0</v>
      </c>
      <c r="EI183" t="b">
        <f t="shared" si="370"/>
        <v>0</v>
      </c>
      <c r="EJ183" t="b">
        <f t="shared" si="371"/>
        <v>0</v>
      </c>
      <c r="EK183" t="b">
        <f t="shared" si="372"/>
        <v>0</v>
      </c>
    </row>
    <row r="184" spans="1:141">
      <c r="A184" t="s">
        <v>1028</v>
      </c>
      <c r="B184" t="s">
        <v>1028</v>
      </c>
      <c r="D184" s="1">
        <v>44223</v>
      </c>
      <c r="E184" s="2">
        <v>44312.934201388889</v>
      </c>
      <c r="F184" s="2">
        <v>44566.17465277778</v>
      </c>
      <c r="G184">
        <v>4324770</v>
      </c>
      <c r="H184" t="s">
        <v>1029</v>
      </c>
      <c r="I184" s="10" t="s">
        <v>160</v>
      </c>
      <c r="J184" t="s">
        <v>147</v>
      </c>
      <c r="K184" s="8" t="b">
        <v>1</v>
      </c>
      <c r="L184" s="10" t="b">
        <v>0</v>
      </c>
      <c r="M184" s="12" t="b">
        <v>1</v>
      </c>
      <c r="N184" t="b">
        <v>0</v>
      </c>
      <c r="O184" t="b">
        <v>0</v>
      </c>
      <c r="P184" t="b">
        <v>1</v>
      </c>
      <c r="Q184">
        <f t="shared" si="249"/>
        <v>4</v>
      </c>
      <c r="R184">
        <f t="shared" si="250"/>
        <v>1</v>
      </c>
      <c r="S184" t="e">
        <f t="shared" ca="1" si="280"/>
        <v>#NAME?</v>
      </c>
      <c r="T184" t="e">
        <f t="shared" ca="1" si="251"/>
        <v>#NAME?</v>
      </c>
      <c r="U184" s="4">
        <f t="shared" si="252"/>
        <v>89.934201388889051</v>
      </c>
      <c r="V184" s="4">
        <f t="shared" si="253"/>
        <v>2.9978067129629684</v>
      </c>
      <c r="W184" s="4">
        <f t="shared" si="254"/>
        <v>1</v>
      </c>
      <c r="X184" s="4">
        <f t="shared" si="255"/>
        <v>0</v>
      </c>
      <c r="Y184" s="4">
        <f t="shared" si="256"/>
        <v>1</v>
      </c>
      <c r="Z184" s="4">
        <f t="shared" si="257"/>
        <v>0</v>
      </c>
      <c r="AA184" s="4">
        <f t="shared" si="258"/>
        <v>0</v>
      </c>
      <c r="AB184" s="4">
        <f t="shared" si="259"/>
        <v>1</v>
      </c>
      <c r="AC184" s="4"/>
      <c r="AD184" s="4" t="b">
        <f t="shared" si="260"/>
        <v>0</v>
      </c>
      <c r="AE184" s="4" t="b">
        <f t="shared" si="261"/>
        <v>0</v>
      </c>
      <c r="AF184" s="4" t="b">
        <f t="shared" si="262"/>
        <v>0</v>
      </c>
      <c r="AG184" t="b">
        <f t="shared" si="263"/>
        <v>0</v>
      </c>
      <c r="AH184" t="b">
        <f t="shared" si="264"/>
        <v>0</v>
      </c>
      <c r="AI184" t="b">
        <f t="shared" si="265"/>
        <v>0</v>
      </c>
      <c r="AJ184" t="b">
        <f t="shared" si="266"/>
        <v>0</v>
      </c>
      <c r="AK184" t="b">
        <f t="shared" si="267"/>
        <v>0</v>
      </c>
      <c r="AL184" t="b">
        <f t="shared" si="268"/>
        <v>0</v>
      </c>
      <c r="AM184" t="b">
        <f t="shared" si="269"/>
        <v>0</v>
      </c>
      <c r="AN184" t="b">
        <f t="shared" si="270"/>
        <v>0</v>
      </c>
      <c r="AO184" t="b">
        <f t="shared" si="271"/>
        <v>0</v>
      </c>
      <c r="AP184" t="b">
        <f t="shared" si="272"/>
        <v>0</v>
      </c>
      <c r="AQ184" t="b">
        <f t="shared" si="273"/>
        <v>0</v>
      </c>
      <c r="AR184" t="b">
        <f t="shared" si="274"/>
        <v>0</v>
      </c>
      <c r="AS184" t="b">
        <f t="shared" si="275"/>
        <v>0</v>
      </c>
      <c r="AT184" t="b">
        <f t="shared" si="276"/>
        <v>0</v>
      </c>
      <c r="AU184" t="b">
        <f t="shared" si="277"/>
        <v>0</v>
      </c>
      <c r="AV184" t="b">
        <f t="shared" si="278"/>
        <v>0</v>
      </c>
      <c r="AW184" t="b">
        <f t="shared" si="279"/>
        <v>0</v>
      </c>
      <c r="AX184" t="b">
        <f t="shared" si="281"/>
        <v>0</v>
      </c>
      <c r="AY184" t="b">
        <f t="shared" si="282"/>
        <v>0</v>
      </c>
      <c r="AZ184" t="b">
        <f t="shared" si="283"/>
        <v>0</v>
      </c>
      <c r="BA184" t="b">
        <f t="shared" si="284"/>
        <v>0</v>
      </c>
      <c r="BB184" t="b">
        <f t="shared" si="285"/>
        <v>0</v>
      </c>
      <c r="BC184" t="b">
        <f t="shared" si="286"/>
        <v>0</v>
      </c>
      <c r="BD184" t="b">
        <f t="shared" si="287"/>
        <v>0</v>
      </c>
      <c r="BE184" t="b">
        <f t="shared" si="288"/>
        <v>0</v>
      </c>
      <c r="BF184" t="b">
        <f t="shared" si="289"/>
        <v>0</v>
      </c>
      <c r="BG184" t="b">
        <f t="shared" si="290"/>
        <v>0</v>
      </c>
      <c r="BH184" t="b">
        <f t="shared" si="291"/>
        <v>0</v>
      </c>
      <c r="BI184">
        <f t="shared" si="292"/>
        <v>1</v>
      </c>
      <c r="BJ184" t="b">
        <f t="shared" si="293"/>
        <v>0</v>
      </c>
      <c r="BK184" t="b">
        <f t="shared" si="294"/>
        <v>0</v>
      </c>
      <c r="BL184" t="b">
        <f t="shared" si="295"/>
        <v>0</v>
      </c>
      <c r="BM184" t="b">
        <f t="shared" si="296"/>
        <v>0</v>
      </c>
      <c r="BN184" t="b">
        <f t="shared" si="297"/>
        <v>0</v>
      </c>
      <c r="BO184" t="b">
        <f t="shared" si="298"/>
        <v>0</v>
      </c>
      <c r="BP184" t="b">
        <f t="shared" si="299"/>
        <v>0</v>
      </c>
      <c r="BQ184" t="b">
        <f t="shared" si="300"/>
        <v>0</v>
      </c>
      <c r="BR184" t="b">
        <f t="shared" si="301"/>
        <v>0</v>
      </c>
      <c r="BS184" t="b">
        <f t="shared" si="302"/>
        <v>0</v>
      </c>
      <c r="BT184" t="b">
        <f t="shared" si="303"/>
        <v>0</v>
      </c>
      <c r="BU184" t="b">
        <f t="shared" si="304"/>
        <v>0</v>
      </c>
      <c r="BV184" t="b">
        <f t="shared" si="305"/>
        <v>0</v>
      </c>
      <c r="BW184" t="b">
        <f t="shared" si="306"/>
        <v>0</v>
      </c>
      <c r="BX184" t="b">
        <f t="shared" si="307"/>
        <v>0</v>
      </c>
      <c r="BY184" t="b">
        <f t="shared" si="308"/>
        <v>0</v>
      </c>
      <c r="BZ184" t="b">
        <f t="shared" si="309"/>
        <v>0</v>
      </c>
      <c r="CA184" t="b">
        <f t="shared" si="310"/>
        <v>0</v>
      </c>
      <c r="CB184" t="b">
        <f t="shared" si="311"/>
        <v>0</v>
      </c>
      <c r="CC184" t="b">
        <f t="shared" si="312"/>
        <v>0</v>
      </c>
      <c r="CD184" t="b">
        <f t="shared" si="313"/>
        <v>0</v>
      </c>
      <c r="CE184" t="b">
        <f t="shared" si="314"/>
        <v>0</v>
      </c>
      <c r="CF184" t="b">
        <f t="shared" si="315"/>
        <v>0</v>
      </c>
      <c r="CG184" t="b">
        <f t="shared" si="316"/>
        <v>0</v>
      </c>
      <c r="CH184" t="b">
        <f t="shared" si="317"/>
        <v>0</v>
      </c>
      <c r="CI184" t="b">
        <f t="shared" si="318"/>
        <v>0</v>
      </c>
      <c r="CJ184" t="b">
        <f t="shared" si="319"/>
        <v>0</v>
      </c>
      <c r="CK184" t="b">
        <f t="shared" si="320"/>
        <v>0</v>
      </c>
      <c r="CL184" t="b">
        <f t="shared" si="321"/>
        <v>0</v>
      </c>
      <c r="CM184" t="b">
        <f t="shared" si="322"/>
        <v>0</v>
      </c>
      <c r="CN184" t="b">
        <f t="shared" si="323"/>
        <v>0</v>
      </c>
      <c r="CO184" t="b">
        <f t="shared" si="324"/>
        <v>0</v>
      </c>
      <c r="CP184" t="b">
        <f t="shared" si="325"/>
        <v>0</v>
      </c>
      <c r="CQ184" t="b">
        <f t="shared" si="326"/>
        <v>0</v>
      </c>
      <c r="CR184" t="b">
        <f t="shared" si="327"/>
        <v>0</v>
      </c>
      <c r="CS184" t="b">
        <f t="shared" si="328"/>
        <v>0</v>
      </c>
      <c r="CT184" t="b">
        <f t="shared" si="329"/>
        <v>0</v>
      </c>
      <c r="CU184" t="b">
        <f t="shared" si="330"/>
        <v>0</v>
      </c>
      <c r="CV184">
        <f t="shared" si="331"/>
        <v>1</v>
      </c>
      <c r="CW184" t="b">
        <f t="shared" si="332"/>
        <v>0</v>
      </c>
      <c r="CX184" t="b">
        <f t="shared" si="333"/>
        <v>0</v>
      </c>
      <c r="CY184" t="b">
        <f t="shared" si="334"/>
        <v>0</v>
      </c>
      <c r="CZ184" t="b">
        <f t="shared" si="335"/>
        <v>0</v>
      </c>
      <c r="DA184" t="b">
        <f t="shared" si="336"/>
        <v>0</v>
      </c>
      <c r="DB184" t="b">
        <f t="shared" si="337"/>
        <v>0</v>
      </c>
      <c r="DC184" t="b">
        <f t="shared" si="338"/>
        <v>0</v>
      </c>
      <c r="DD184" t="b">
        <f t="shared" si="339"/>
        <v>0</v>
      </c>
      <c r="DE184" t="b">
        <f t="shared" si="340"/>
        <v>0</v>
      </c>
      <c r="DF184" t="b">
        <f t="shared" si="341"/>
        <v>0</v>
      </c>
      <c r="DG184" t="b">
        <f t="shared" si="342"/>
        <v>0</v>
      </c>
      <c r="DH184" t="b">
        <f t="shared" si="343"/>
        <v>0</v>
      </c>
      <c r="DI184" t="b">
        <f t="shared" si="344"/>
        <v>0</v>
      </c>
      <c r="DJ184" t="b">
        <f t="shared" si="345"/>
        <v>0</v>
      </c>
      <c r="DK184" t="b">
        <f t="shared" si="346"/>
        <v>0</v>
      </c>
      <c r="DL184" t="b">
        <f t="shared" si="347"/>
        <v>0</v>
      </c>
      <c r="DM184" t="b">
        <f t="shared" si="348"/>
        <v>0</v>
      </c>
      <c r="DN184" t="b">
        <f t="shared" si="349"/>
        <v>0</v>
      </c>
      <c r="DO184" t="b">
        <f t="shared" si="350"/>
        <v>0</v>
      </c>
      <c r="DP184" t="b">
        <f t="shared" si="351"/>
        <v>0</v>
      </c>
      <c r="DQ184" t="b">
        <f t="shared" si="352"/>
        <v>0</v>
      </c>
      <c r="DR184" t="b">
        <f t="shared" si="353"/>
        <v>0</v>
      </c>
      <c r="DS184" t="b">
        <f t="shared" si="354"/>
        <v>0</v>
      </c>
      <c r="DT184" t="b">
        <f t="shared" si="355"/>
        <v>0</v>
      </c>
      <c r="DU184" t="b">
        <f t="shared" si="356"/>
        <v>0</v>
      </c>
      <c r="DV184" t="b">
        <f t="shared" si="357"/>
        <v>0</v>
      </c>
      <c r="DW184" t="b">
        <f t="shared" si="358"/>
        <v>0</v>
      </c>
      <c r="DX184" t="b">
        <f t="shared" si="359"/>
        <v>0</v>
      </c>
      <c r="DY184" t="b">
        <f t="shared" si="360"/>
        <v>0</v>
      </c>
      <c r="DZ184" t="b">
        <f t="shared" si="361"/>
        <v>0</v>
      </c>
      <c r="EA184" t="b">
        <f t="shared" si="362"/>
        <v>0</v>
      </c>
      <c r="EB184" t="b">
        <f t="shared" si="363"/>
        <v>0</v>
      </c>
      <c r="EC184" t="b">
        <f t="shared" si="364"/>
        <v>0</v>
      </c>
      <c r="ED184" t="b">
        <f t="shared" si="365"/>
        <v>0</v>
      </c>
      <c r="EE184" t="b">
        <f t="shared" si="366"/>
        <v>0</v>
      </c>
      <c r="EF184" t="b">
        <f t="shared" si="367"/>
        <v>0</v>
      </c>
      <c r="EG184" t="b">
        <f t="shared" si="368"/>
        <v>0</v>
      </c>
      <c r="EH184" t="b">
        <f t="shared" si="369"/>
        <v>0</v>
      </c>
      <c r="EI184" t="b">
        <f t="shared" si="370"/>
        <v>0</v>
      </c>
      <c r="EJ184" t="b">
        <f t="shared" si="371"/>
        <v>0</v>
      </c>
      <c r="EK184" t="b">
        <f t="shared" si="372"/>
        <v>0</v>
      </c>
    </row>
    <row r="185" spans="1:141">
      <c r="A185" t="s">
        <v>1030</v>
      </c>
      <c r="B185" t="s">
        <v>1030</v>
      </c>
      <c r="C185" t="s">
        <v>1031</v>
      </c>
      <c r="D185" s="1">
        <v>43191</v>
      </c>
      <c r="E185" s="2">
        <v>43625.266377314816</v>
      </c>
      <c r="F185" s="2">
        <v>43631.638807870368</v>
      </c>
      <c r="G185">
        <v>1131229</v>
      </c>
      <c r="H185" t="s">
        <v>1032</v>
      </c>
      <c r="I185" s="10" t="s">
        <v>1033</v>
      </c>
      <c r="J185" t="s">
        <v>188</v>
      </c>
      <c r="K185" s="8" t="b">
        <v>1</v>
      </c>
      <c r="L185" s="10" t="b">
        <v>0</v>
      </c>
      <c r="M185" s="12" t="b">
        <v>0</v>
      </c>
      <c r="N185" t="b">
        <v>0</v>
      </c>
      <c r="O185" t="b">
        <v>0</v>
      </c>
      <c r="P185" t="b">
        <v>0</v>
      </c>
      <c r="Q185">
        <f t="shared" si="249"/>
        <v>1</v>
      </c>
      <c r="R185">
        <f t="shared" si="250"/>
        <v>4</v>
      </c>
      <c r="S185" t="e">
        <f t="shared" ca="1" si="280"/>
        <v>#NAME?</v>
      </c>
      <c r="T185" t="e">
        <f t="shared" ca="1" si="251"/>
        <v>#NAME?</v>
      </c>
      <c r="U185" s="4">
        <f t="shared" si="252"/>
        <v>434.26637731481605</v>
      </c>
      <c r="V185" s="4">
        <f t="shared" si="253"/>
        <v>14.475545910493869</v>
      </c>
      <c r="W185" s="4">
        <f t="shared" si="254"/>
        <v>1</v>
      </c>
      <c r="X185" s="4">
        <f t="shared" si="255"/>
        <v>0</v>
      </c>
      <c r="Y185" s="4">
        <f t="shared" si="256"/>
        <v>0</v>
      </c>
      <c r="Z185" s="4">
        <f t="shared" si="257"/>
        <v>0</v>
      </c>
      <c r="AA185" s="4">
        <f t="shared" si="258"/>
        <v>0</v>
      </c>
      <c r="AB185" s="4">
        <f t="shared" si="259"/>
        <v>0</v>
      </c>
      <c r="AC185" s="4"/>
      <c r="AD185" s="4" t="b">
        <f t="shared" si="260"/>
        <v>0</v>
      </c>
      <c r="AE185" s="4" t="b">
        <f t="shared" si="261"/>
        <v>0</v>
      </c>
      <c r="AF185" s="4" t="b">
        <f t="shared" si="262"/>
        <v>0</v>
      </c>
      <c r="AG185" t="b">
        <f t="shared" si="263"/>
        <v>0</v>
      </c>
      <c r="AH185" t="b">
        <f t="shared" si="264"/>
        <v>0</v>
      </c>
      <c r="AI185" t="b">
        <f t="shared" si="265"/>
        <v>0</v>
      </c>
      <c r="AJ185" t="b">
        <f t="shared" si="266"/>
        <v>0</v>
      </c>
      <c r="AK185" t="b">
        <f t="shared" si="267"/>
        <v>0</v>
      </c>
      <c r="AL185" t="b">
        <f t="shared" si="268"/>
        <v>0</v>
      </c>
      <c r="AM185" t="b">
        <f t="shared" si="269"/>
        <v>0</v>
      </c>
      <c r="AN185" t="b">
        <f t="shared" si="270"/>
        <v>0</v>
      </c>
      <c r="AO185" t="b">
        <f t="shared" si="271"/>
        <v>0</v>
      </c>
      <c r="AP185" t="b">
        <f t="shared" si="272"/>
        <v>0</v>
      </c>
      <c r="AQ185" t="b">
        <f t="shared" si="273"/>
        <v>0</v>
      </c>
      <c r="AR185" t="b">
        <f t="shared" si="274"/>
        <v>0</v>
      </c>
      <c r="AS185" t="b">
        <f t="shared" si="275"/>
        <v>0</v>
      </c>
      <c r="AT185" t="b">
        <f t="shared" si="276"/>
        <v>0</v>
      </c>
      <c r="AU185" t="b">
        <f t="shared" si="277"/>
        <v>0</v>
      </c>
      <c r="AV185" t="b">
        <f t="shared" si="278"/>
        <v>0</v>
      </c>
      <c r="AW185" t="b">
        <f t="shared" si="279"/>
        <v>0</v>
      </c>
      <c r="AX185" t="b">
        <f t="shared" si="281"/>
        <v>0</v>
      </c>
      <c r="AY185" t="b">
        <f t="shared" si="282"/>
        <v>0</v>
      </c>
      <c r="AZ185" t="b">
        <f t="shared" si="283"/>
        <v>0</v>
      </c>
      <c r="BA185" t="b">
        <f t="shared" si="284"/>
        <v>0</v>
      </c>
      <c r="BB185" t="b">
        <f t="shared" si="285"/>
        <v>0</v>
      </c>
      <c r="BC185" t="b">
        <f t="shared" si="286"/>
        <v>0</v>
      </c>
      <c r="BD185" t="b">
        <f t="shared" si="287"/>
        <v>0</v>
      </c>
      <c r="BE185" t="b">
        <f t="shared" si="288"/>
        <v>0</v>
      </c>
      <c r="BF185" t="b">
        <f t="shared" si="289"/>
        <v>0</v>
      </c>
      <c r="BG185" t="b">
        <f t="shared" si="290"/>
        <v>0</v>
      </c>
      <c r="BH185" t="b">
        <f t="shared" si="291"/>
        <v>0</v>
      </c>
      <c r="BI185">
        <f t="shared" si="292"/>
        <v>1</v>
      </c>
      <c r="BJ185" t="b">
        <f t="shared" si="293"/>
        <v>0</v>
      </c>
      <c r="BK185" t="b">
        <f t="shared" si="294"/>
        <v>0</v>
      </c>
      <c r="BL185" t="b">
        <f t="shared" si="295"/>
        <v>0</v>
      </c>
      <c r="BM185" t="b">
        <f t="shared" si="296"/>
        <v>0</v>
      </c>
      <c r="BN185" t="b">
        <f t="shared" si="297"/>
        <v>0</v>
      </c>
      <c r="BO185" t="b">
        <f t="shared" si="298"/>
        <v>0</v>
      </c>
      <c r="BP185" t="b">
        <f t="shared" si="299"/>
        <v>0</v>
      </c>
      <c r="BQ185" t="b">
        <f t="shared" si="300"/>
        <v>0</v>
      </c>
      <c r="BR185" t="b">
        <f t="shared" si="301"/>
        <v>0</v>
      </c>
      <c r="BS185" t="b">
        <f t="shared" si="302"/>
        <v>0</v>
      </c>
      <c r="BT185" t="b">
        <f t="shared" si="303"/>
        <v>0</v>
      </c>
      <c r="BU185" t="b">
        <f t="shared" si="304"/>
        <v>0</v>
      </c>
      <c r="BV185" t="b">
        <f t="shared" si="305"/>
        <v>0</v>
      </c>
      <c r="BW185" t="b">
        <f t="shared" si="306"/>
        <v>0</v>
      </c>
      <c r="BX185" t="b">
        <f t="shared" si="307"/>
        <v>0</v>
      </c>
      <c r="BY185" t="b">
        <f t="shared" si="308"/>
        <v>0</v>
      </c>
      <c r="BZ185" t="b">
        <f t="shared" si="309"/>
        <v>0</v>
      </c>
      <c r="CA185" t="b">
        <f t="shared" si="310"/>
        <v>0</v>
      </c>
      <c r="CB185" t="b">
        <f t="shared" si="311"/>
        <v>0</v>
      </c>
      <c r="CC185" t="b">
        <f t="shared" si="312"/>
        <v>0</v>
      </c>
      <c r="CD185" t="b">
        <f t="shared" si="313"/>
        <v>0</v>
      </c>
      <c r="CE185">
        <f t="shared" si="314"/>
        <v>1</v>
      </c>
      <c r="CF185" t="b">
        <f t="shared" si="315"/>
        <v>0</v>
      </c>
      <c r="CG185" t="b">
        <f t="shared" si="316"/>
        <v>0</v>
      </c>
      <c r="CH185" t="b">
        <f t="shared" si="317"/>
        <v>0</v>
      </c>
      <c r="CI185" t="b">
        <f t="shared" si="318"/>
        <v>0</v>
      </c>
      <c r="CJ185" t="b">
        <f t="shared" si="319"/>
        <v>0</v>
      </c>
      <c r="CK185" t="b">
        <f t="shared" si="320"/>
        <v>0</v>
      </c>
      <c r="CL185" t="b">
        <f t="shared" si="321"/>
        <v>0</v>
      </c>
      <c r="CM185" t="b">
        <f t="shared" si="322"/>
        <v>0</v>
      </c>
      <c r="CN185" t="b">
        <f t="shared" si="323"/>
        <v>0</v>
      </c>
      <c r="CO185" t="b">
        <f t="shared" si="324"/>
        <v>0</v>
      </c>
      <c r="CP185" t="b">
        <f t="shared" si="325"/>
        <v>0</v>
      </c>
      <c r="CQ185" t="b">
        <f t="shared" si="326"/>
        <v>0</v>
      </c>
      <c r="CR185" t="b">
        <f t="shared" si="327"/>
        <v>0</v>
      </c>
      <c r="CS185" t="b">
        <f t="shared" si="328"/>
        <v>0</v>
      </c>
      <c r="CT185" t="b">
        <f t="shared" si="329"/>
        <v>0</v>
      </c>
      <c r="CU185" t="b">
        <f t="shared" si="330"/>
        <v>0</v>
      </c>
      <c r="CV185">
        <f t="shared" si="331"/>
        <v>1</v>
      </c>
      <c r="CW185" t="b">
        <f t="shared" si="332"/>
        <v>0</v>
      </c>
      <c r="CX185" t="b">
        <f t="shared" si="333"/>
        <v>0</v>
      </c>
      <c r="CY185" t="b">
        <f t="shared" si="334"/>
        <v>0</v>
      </c>
      <c r="CZ185" t="b">
        <f t="shared" si="335"/>
        <v>0</v>
      </c>
      <c r="DA185" t="b">
        <f t="shared" si="336"/>
        <v>0</v>
      </c>
      <c r="DB185" t="b">
        <f t="shared" si="337"/>
        <v>0</v>
      </c>
      <c r="DC185" t="b">
        <f t="shared" si="338"/>
        <v>0</v>
      </c>
      <c r="DD185" t="b">
        <f t="shared" si="339"/>
        <v>0</v>
      </c>
      <c r="DE185" t="b">
        <f t="shared" si="340"/>
        <v>0</v>
      </c>
      <c r="DF185" t="b">
        <f t="shared" si="341"/>
        <v>0</v>
      </c>
      <c r="DG185" t="b">
        <f t="shared" si="342"/>
        <v>0</v>
      </c>
      <c r="DH185" t="b">
        <f t="shared" si="343"/>
        <v>0</v>
      </c>
      <c r="DI185" t="b">
        <f t="shared" si="344"/>
        <v>0</v>
      </c>
      <c r="DJ185" t="b">
        <f t="shared" si="345"/>
        <v>0</v>
      </c>
      <c r="DK185" t="b">
        <f t="shared" si="346"/>
        <v>0</v>
      </c>
      <c r="DL185" t="b">
        <f t="shared" si="347"/>
        <v>0</v>
      </c>
      <c r="DM185" t="b">
        <f t="shared" si="348"/>
        <v>0</v>
      </c>
      <c r="DN185" t="b">
        <f t="shared" si="349"/>
        <v>0</v>
      </c>
      <c r="DO185" t="b">
        <f t="shared" si="350"/>
        <v>0</v>
      </c>
      <c r="DP185" t="b">
        <f t="shared" si="351"/>
        <v>0</v>
      </c>
      <c r="DQ185" t="b">
        <f t="shared" si="352"/>
        <v>0</v>
      </c>
      <c r="DR185" t="b">
        <f t="shared" si="353"/>
        <v>0</v>
      </c>
      <c r="DS185" t="b">
        <f t="shared" si="354"/>
        <v>0</v>
      </c>
      <c r="DT185" t="b">
        <f t="shared" si="355"/>
        <v>0</v>
      </c>
      <c r="DU185" t="b">
        <f t="shared" si="356"/>
        <v>0</v>
      </c>
      <c r="DV185" t="b">
        <f t="shared" si="357"/>
        <v>0</v>
      </c>
      <c r="DW185" t="b">
        <f t="shared" si="358"/>
        <v>0</v>
      </c>
      <c r="DX185" t="b">
        <f t="shared" si="359"/>
        <v>0</v>
      </c>
      <c r="DY185" t="b">
        <f t="shared" si="360"/>
        <v>0</v>
      </c>
      <c r="DZ185" t="b">
        <f t="shared" si="361"/>
        <v>0</v>
      </c>
      <c r="EA185" t="b">
        <f t="shared" si="362"/>
        <v>0</v>
      </c>
      <c r="EB185" t="b">
        <f t="shared" si="363"/>
        <v>0</v>
      </c>
      <c r="EC185" t="b">
        <f t="shared" si="364"/>
        <v>0</v>
      </c>
      <c r="ED185" t="b">
        <f t="shared" si="365"/>
        <v>0</v>
      </c>
      <c r="EE185" t="b">
        <f t="shared" si="366"/>
        <v>0</v>
      </c>
      <c r="EF185">
        <f t="shared" si="367"/>
        <v>1</v>
      </c>
      <c r="EG185" t="b">
        <f t="shared" si="368"/>
        <v>0</v>
      </c>
      <c r="EH185" t="b">
        <f t="shared" si="369"/>
        <v>0</v>
      </c>
      <c r="EI185" t="b">
        <f t="shared" si="370"/>
        <v>0</v>
      </c>
      <c r="EJ185" t="b">
        <f t="shared" si="371"/>
        <v>0</v>
      </c>
      <c r="EK185" t="b">
        <f t="shared" si="372"/>
        <v>0</v>
      </c>
    </row>
    <row r="186" spans="1:141">
      <c r="A186" t="s">
        <v>1034</v>
      </c>
      <c r="B186" t="s">
        <v>1035</v>
      </c>
      <c r="C186" t="s">
        <v>1036</v>
      </c>
      <c r="D186" s="1">
        <v>44666</v>
      </c>
      <c r="E186" s="2">
        <v>44858.204513888886</v>
      </c>
      <c r="F186" s="2">
        <v>44858.205578703702</v>
      </c>
      <c r="G186">
        <v>108887</v>
      </c>
      <c r="H186" t="s">
        <v>1037</v>
      </c>
      <c r="I186" s="10" t="s">
        <v>1038</v>
      </c>
      <c r="J186" t="s">
        <v>1039</v>
      </c>
      <c r="K186" s="8" t="b">
        <v>1</v>
      </c>
      <c r="L186" s="10" t="b">
        <v>0</v>
      </c>
      <c r="M186" s="12" t="b">
        <v>0</v>
      </c>
      <c r="N186" t="b">
        <v>0</v>
      </c>
      <c r="O186" t="b">
        <v>0</v>
      </c>
      <c r="P186" t="b">
        <v>0</v>
      </c>
      <c r="Q186">
        <f t="shared" si="249"/>
        <v>6</v>
      </c>
      <c r="R186">
        <f t="shared" si="250"/>
        <v>4</v>
      </c>
      <c r="S186" t="e">
        <f t="shared" ca="1" si="280"/>
        <v>#NAME?</v>
      </c>
      <c r="T186" t="e">
        <f t="shared" ca="1" si="251"/>
        <v>#NAME?</v>
      </c>
      <c r="U186" s="4">
        <f t="shared" si="252"/>
        <v>192.20451388888614</v>
      </c>
      <c r="V186" s="4">
        <f t="shared" si="253"/>
        <v>6.4068171296295384</v>
      </c>
      <c r="W186" s="4">
        <f t="shared" si="254"/>
        <v>1</v>
      </c>
      <c r="X186" s="4">
        <f t="shared" si="255"/>
        <v>0</v>
      </c>
      <c r="Y186" s="4">
        <f t="shared" si="256"/>
        <v>0</v>
      </c>
      <c r="Z186" s="4">
        <f t="shared" si="257"/>
        <v>0</v>
      </c>
      <c r="AA186" s="4">
        <f t="shared" si="258"/>
        <v>0</v>
      </c>
      <c r="AB186" s="4">
        <f t="shared" si="259"/>
        <v>0</v>
      </c>
      <c r="AC186" s="4"/>
      <c r="AD186" s="4" t="b">
        <f t="shared" si="260"/>
        <v>0</v>
      </c>
      <c r="AE186" s="4" t="b">
        <f t="shared" si="261"/>
        <v>0</v>
      </c>
      <c r="AF186" s="4" t="b">
        <f t="shared" si="262"/>
        <v>0</v>
      </c>
      <c r="AG186" t="b">
        <f t="shared" si="263"/>
        <v>0</v>
      </c>
      <c r="AH186" t="b">
        <f t="shared" si="264"/>
        <v>0</v>
      </c>
      <c r="AI186" t="b">
        <f t="shared" si="265"/>
        <v>0</v>
      </c>
      <c r="AJ186" t="b">
        <f t="shared" si="266"/>
        <v>0</v>
      </c>
      <c r="AK186" t="b">
        <f t="shared" si="267"/>
        <v>0</v>
      </c>
      <c r="AL186" t="b">
        <f t="shared" si="268"/>
        <v>0</v>
      </c>
      <c r="AM186" t="b">
        <f t="shared" si="269"/>
        <v>0</v>
      </c>
      <c r="AN186" t="b">
        <f t="shared" si="270"/>
        <v>0</v>
      </c>
      <c r="AO186" t="b">
        <f t="shared" si="271"/>
        <v>0</v>
      </c>
      <c r="AP186" t="b">
        <f t="shared" si="272"/>
        <v>0</v>
      </c>
      <c r="AQ186" t="b">
        <f t="shared" si="273"/>
        <v>0</v>
      </c>
      <c r="AR186" t="b">
        <f t="shared" si="274"/>
        <v>0</v>
      </c>
      <c r="AS186" t="b">
        <f t="shared" si="275"/>
        <v>0</v>
      </c>
      <c r="AT186" t="b">
        <f t="shared" si="276"/>
        <v>0</v>
      </c>
      <c r="AU186" t="b">
        <f t="shared" si="277"/>
        <v>0</v>
      </c>
      <c r="AV186" t="b">
        <f t="shared" si="278"/>
        <v>0</v>
      </c>
      <c r="AW186" t="b">
        <f t="shared" si="279"/>
        <v>0</v>
      </c>
      <c r="AX186" t="b">
        <f t="shared" si="281"/>
        <v>0</v>
      </c>
      <c r="AY186" t="b">
        <f t="shared" si="282"/>
        <v>0</v>
      </c>
      <c r="AZ186" t="b">
        <f t="shared" si="283"/>
        <v>0</v>
      </c>
      <c r="BA186" t="b">
        <f t="shared" si="284"/>
        <v>0</v>
      </c>
      <c r="BB186" t="b">
        <f t="shared" si="285"/>
        <v>0</v>
      </c>
      <c r="BC186" t="b">
        <f t="shared" si="286"/>
        <v>0</v>
      </c>
      <c r="BD186" t="b">
        <f t="shared" si="287"/>
        <v>0</v>
      </c>
      <c r="BE186" t="b">
        <f t="shared" si="288"/>
        <v>0</v>
      </c>
      <c r="BF186" t="b">
        <f t="shared" si="289"/>
        <v>0</v>
      </c>
      <c r="BG186" t="b">
        <f t="shared" si="290"/>
        <v>0</v>
      </c>
      <c r="BH186" t="b">
        <f t="shared" si="291"/>
        <v>0</v>
      </c>
      <c r="BI186">
        <f t="shared" si="292"/>
        <v>1</v>
      </c>
      <c r="BJ186" t="b">
        <f t="shared" si="293"/>
        <v>0</v>
      </c>
      <c r="BK186" t="b">
        <f t="shared" si="294"/>
        <v>0</v>
      </c>
      <c r="BL186" t="b">
        <f t="shared" si="295"/>
        <v>0</v>
      </c>
      <c r="BM186" t="b">
        <f t="shared" si="296"/>
        <v>0</v>
      </c>
      <c r="BN186" t="b">
        <f t="shared" si="297"/>
        <v>0</v>
      </c>
      <c r="BO186" t="b">
        <f t="shared" si="298"/>
        <v>0</v>
      </c>
      <c r="BP186" t="b">
        <f t="shared" si="299"/>
        <v>0</v>
      </c>
      <c r="BQ186" t="b">
        <f t="shared" si="300"/>
        <v>0</v>
      </c>
      <c r="BR186" t="b">
        <f t="shared" si="301"/>
        <v>0</v>
      </c>
      <c r="BS186" t="b">
        <f t="shared" si="302"/>
        <v>0</v>
      </c>
      <c r="BT186" t="b">
        <f t="shared" si="303"/>
        <v>0</v>
      </c>
      <c r="BU186" t="b">
        <f t="shared" si="304"/>
        <v>0</v>
      </c>
      <c r="BV186" t="b">
        <f t="shared" si="305"/>
        <v>0</v>
      </c>
      <c r="BW186" t="b">
        <f t="shared" si="306"/>
        <v>0</v>
      </c>
      <c r="BX186" t="b">
        <f t="shared" si="307"/>
        <v>0</v>
      </c>
      <c r="BY186" t="b">
        <f t="shared" si="308"/>
        <v>0</v>
      </c>
      <c r="BZ186" t="b">
        <f t="shared" si="309"/>
        <v>0</v>
      </c>
      <c r="CA186" t="b">
        <f t="shared" si="310"/>
        <v>0</v>
      </c>
      <c r="CB186" t="b">
        <f t="shared" si="311"/>
        <v>0</v>
      </c>
      <c r="CC186" t="b">
        <f t="shared" si="312"/>
        <v>0</v>
      </c>
      <c r="CD186" t="b">
        <f t="shared" si="313"/>
        <v>0</v>
      </c>
      <c r="CE186" t="b">
        <f t="shared" si="314"/>
        <v>0</v>
      </c>
      <c r="CF186" t="b">
        <f t="shared" si="315"/>
        <v>0</v>
      </c>
      <c r="CG186" t="b">
        <f t="shared" si="316"/>
        <v>0</v>
      </c>
      <c r="CH186" t="b">
        <f t="shared" si="317"/>
        <v>0</v>
      </c>
      <c r="CI186" t="b">
        <f t="shared" si="318"/>
        <v>0</v>
      </c>
      <c r="CJ186" t="b">
        <f t="shared" si="319"/>
        <v>0</v>
      </c>
      <c r="CK186" t="b">
        <f t="shared" si="320"/>
        <v>0</v>
      </c>
      <c r="CL186" t="b">
        <f t="shared" si="321"/>
        <v>0</v>
      </c>
      <c r="CM186" t="b">
        <f t="shared" si="322"/>
        <v>0</v>
      </c>
      <c r="CN186" t="b">
        <f t="shared" si="323"/>
        <v>0</v>
      </c>
      <c r="CO186" t="b">
        <f t="shared" si="324"/>
        <v>0</v>
      </c>
      <c r="CP186" t="b">
        <f t="shared" si="325"/>
        <v>0</v>
      </c>
      <c r="CQ186" t="b">
        <f t="shared" si="326"/>
        <v>0</v>
      </c>
      <c r="CR186" t="b">
        <f t="shared" si="327"/>
        <v>0</v>
      </c>
      <c r="CS186" t="b">
        <f t="shared" si="328"/>
        <v>0</v>
      </c>
      <c r="CT186" t="b">
        <f t="shared" si="329"/>
        <v>0</v>
      </c>
      <c r="CU186" t="b">
        <f t="shared" si="330"/>
        <v>0</v>
      </c>
      <c r="CV186" t="b">
        <f t="shared" si="331"/>
        <v>0</v>
      </c>
      <c r="CW186" t="b">
        <f t="shared" si="332"/>
        <v>0</v>
      </c>
      <c r="CX186" t="b">
        <f t="shared" si="333"/>
        <v>0</v>
      </c>
      <c r="CY186" t="b">
        <f t="shared" si="334"/>
        <v>0</v>
      </c>
      <c r="CZ186" t="b">
        <f t="shared" si="335"/>
        <v>0</v>
      </c>
      <c r="DA186" t="b">
        <f t="shared" si="336"/>
        <v>0</v>
      </c>
      <c r="DB186" t="b">
        <f t="shared" si="337"/>
        <v>0</v>
      </c>
      <c r="DC186" t="b">
        <f t="shared" si="338"/>
        <v>0</v>
      </c>
      <c r="DD186" t="b">
        <f t="shared" si="339"/>
        <v>0</v>
      </c>
      <c r="DE186" t="b">
        <f t="shared" si="340"/>
        <v>0</v>
      </c>
      <c r="DF186" t="b">
        <f t="shared" si="341"/>
        <v>0</v>
      </c>
      <c r="DG186" t="b">
        <f t="shared" si="342"/>
        <v>0</v>
      </c>
      <c r="DH186" t="b">
        <f t="shared" si="343"/>
        <v>0</v>
      </c>
      <c r="DI186" t="b">
        <f t="shared" si="344"/>
        <v>0</v>
      </c>
      <c r="DJ186">
        <f t="shared" si="345"/>
        <v>1</v>
      </c>
      <c r="DK186" t="b">
        <f t="shared" si="346"/>
        <v>0</v>
      </c>
      <c r="DL186" t="b">
        <f t="shared" si="347"/>
        <v>0</v>
      </c>
      <c r="DM186" t="b">
        <f t="shared" si="348"/>
        <v>0</v>
      </c>
      <c r="DN186" t="b">
        <f t="shared" si="349"/>
        <v>0</v>
      </c>
      <c r="DO186" t="b">
        <f t="shared" si="350"/>
        <v>0</v>
      </c>
      <c r="DP186" t="b">
        <f t="shared" si="351"/>
        <v>0</v>
      </c>
      <c r="DQ186" t="b">
        <f t="shared" si="352"/>
        <v>0</v>
      </c>
      <c r="DR186" t="b">
        <f t="shared" si="353"/>
        <v>0</v>
      </c>
      <c r="DS186" t="b">
        <f t="shared" si="354"/>
        <v>0</v>
      </c>
      <c r="DT186" t="b">
        <f t="shared" si="355"/>
        <v>0</v>
      </c>
      <c r="DU186" t="b">
        <f t="shared" si="356"/>
        <v>0</v>
      </c>
      <c r="DV186" t="b">
        <f t="shared" si="357"/>
        <v>0</v>
      </c>
      <c r="DW186" t="b">
        <f t="shared" si="358"/>
        <v>0</v>
      </c>
      <c r="DX186" t="b">
        <f t="shared" si="359"/>
        <v>0</v>
      </c>
      <c r="DY186" t="b">
        <f t="shared" si="360"/>
        <v>0</v>
      </c>
      <c r="DZ186" t="b">
        <f t="shared" si="361"/>
        <v>0</v>
      </c>
      <c r="EA186" t="b">
        <f t="shared" si="362"/>
        <v>0</v>
      </c>
      <c r="EB186" t="b">
        <f t="shared" si="363"/>
        <v>0</v>
      </c>
      <c r="EC186" t="b">
        <f t="shared" si="364"/>
        <v>0</v>
      </c>
      <c r="ED186" t="b">
        <f t="shared" si="365"/>
        <v>0</v>
      </c>
      <c r="EE186" t="b">
        <f t="shared" si="366"/>
        <v>0</v>
      </c>
      <c r="EF186">
        <f t="shared" si="367"/>
        <v>1</v>
      </c>
      <c r="EG186" t="b">
        <f t="shared" si="368"/>
        <v>0</v>
      </c>
      <c r="EH186" t="b">
        <f t="shared" si="369"/>
        <v>0</v>
      </c>
      <c r="EI186" t="b">
        <f t="shared" si="370"/>
        <v>0</v>
      </c>
      <c r="EJ186" t="b">
        <f t="shared" si="371"/>
        <v>0</v>
      </c>
      <c r="EK186" t="b">
        <f t="shared" si="372"/>
        <v>0</v>
      </c>
    </row>
    <row r="187" spans="1:141">
      <c r="A187" t="s">
        <v>1040</v>
      </c>
      <c r="B187" t="s">
        <v>1041</v>
      </c>
      <c r="C187" t="s">
        <v>1042</v>
      </c>
      <c r="D187" s="1">
        <v>42593</v>
      </c>
      <c r="E187" s="2">
        <v>42681.430254629631</v>
      </c>
      <c r="F187" s="2">
        <v>42681.430254629631</v>
      </c>
      <c r="G187">
        <v>251661</v>
      </c>
      <c r="H187" t="s">
        <v>1043</v>
      </c>
      <c r="I187" s="10" t="s">
        <v>1044</v>
      </c>
      <c r="J187" t="s">
        <v>156</v>
      </c>
      <c r="K187" s="8" t="b">
        <v>1</v>
      </c>
      <c r="L187" s="10" t="b">
        <v>0</v>
      </c>
      <c r="M187" s="12" t="b">
        <v>0</v>
      </c>
      <c r="N187" t="b">
        <v>0</v>
      </c>
      <c r="O187" t="b">
        <v>0</v>
      </c>
      <c r="P187" t="b">
        <v>0</v>
      </c>
      <c r="Q187">
        <f t="shared" si="249"/>
        <v>5</v>
      </c>
      <c r="R187">
        <f t="shared" si="250"/>
        <v>8</v>
      </c>
      <c r="S187" t="e">
        <f t="shared" ca="1" si="280"/>
        <v>#NAME?</v>
      </c>
      <c r="T187" t="e">
        <f t="shared" ca="1" si="251"/>
        <v>#NAME?</v>
      </c>
      <c r="U187" s="4">
        <f t="shared" si="252"/>
        <v>88.430254629631236</v>
      </c>
      <c r="V187" s="4">
        <f t="shared" si="253"/>
        <v>2.9476751543210411</v>
      </c>
      <c r="W187" s="4">
        <f t="shared" si="254"/>
        <v>1</v>
      </c>
      <c r="X187" s="4">
        <f t="shared" si="255"/>
        <v>0</v>
      </c>
      <c r="Y187" s="4">
        <f t="shared" si="256"/>
        <v>0</v>
      </c>
      <c r="Z187" s="4">
        <f t="shared" si="257"/>
        <v>0</v>
      </c>
      <c r="AA187" s="4">
        <f t="shared" si="258"/>
        <v>0</v>
      </c>
      <c r="AB187" s="4">
        <f t="shared" si="259"/>
        <v>0</v>
      </c>
      <c r="AC187" s="4"/>
      <c r="AD187" s="4" t="b">
        <f t="shared" si="260"/>
        <v>0</v>
      </c>
      <c r="AE187" s="4" t="b">
        <f t="shared" si="261"/>
        <v>0</v>
      </c>
      <c r="AF187" s="4" t="b">
        <f t="shared" si="262"/>
        <v>0</v>
      </c>
      <c r="AG187" t="b">
        <f t="shared" si="263"/>
        <v>0</v>
      </c>
      <c r="AH187" t="b">
        <f t="shared" si="264"/>
        <v>0</v>
      </c>
      <c r="AI187" t="b">
        <f t="shared" si="265"/>
        <v>0</v>
      </c>
      <c r="AJ187" t="b">
        <f t="shared" si="266"/>
        <v>0</v>
      </c>
      <c r="AK187" t="b">
        <f t="shared" si="267"/>
        <v>0</v>
      </c>
      <c r="AL187" t="b">
        <f t="shared" si="268"/>
        <v>0</v>
      </c>
      <c r="AM187" t="b">
        <f t="shared" si="269"/>
        <v>0</v>
      </c>
      <c r="AN187" t="b">
        <f t="shared" si="270"/>
        <v>0</v>
      </c>
      <c r="AO187" t="b">
        <f t="shared" si="271"/>
        <v>0</v>
      </c>
      <c r="AP187" t="b">
        <f t="shared" si="272"/>
        <v>0</v>
      </c>
      <c r="AQ187" t="b">
        <f t="shared" si="273"/>
        <v>0</v>
      </c>
      <c r="AR187" t="b">
        <f t="shared" si="274"/>
        <v>0</v>
      </c>
      <c r="AS187" t="b">
        <f t="shared" si="275"/>
        <v>0</v>
      </c>
      <c r="AT187" t="b">
        <f t="shared" si="276"/>
        <v>0</v>
      </c>
      <c r="AU187" t="b">
        <f t="shared" si="277"/>
        <v>0</v>
      </c>
      <c r="AV187" t="b">
        <f t="shared" si="278"/>
        <v>0</v>
      </c>
      <c r="AW187" t="b">
        <f t="shared" si="279"/>
        <v>0</v>
      </c>
      <c r="AX187" t="b">
        <f t="shared" si="281"/>
        <v>0</v>
      </c>
      <c r="AY187" t="b">
        <f t="shared" si="282"/>
        <v>0</v>
      </c>
      <c r="AZ187" t="b">
        <f t="shared" si="283"/>
        <v>0</v>
      </c>
      <c r="BA187" t="b">
        <f t="shared" si="284"/>
        <v>0</v>
      </c>
      <c r="BB187" t="b">
        <f t="shared" si="285"/>
        <v>0</v>
      </c>
      <c r="BC187" t="b">
        <f t="shared" si="286"/>
        <v>0</v>
      </c>
      <c r="BD187" t="b">
        <f t="shared" si="287"/>
        <v>0</v>
      </c>
      <c r="BE187" t="b">
        <f t="shared" si="288"/>
        <v>0</v>
      </c>
      <c r="BF187" t="b">
        <f t="shared" si="289"/>
        <v>0</v>
      </c>
      <c r="BG187" t="b">
        <f t="shared" si="290"/>
        <v>0</v>
      </c>
      <c r="BH187" t="b">
        <f t="shared" si="291"/>
        <v>0</v>
      </c>
      <c r="BI187">
        <f t="shared" si="292"/>
        <v>1</v>
      </c>
      <c r="BJ187" t="b">
        <f t="shared" si="293"/>
        <v>0</v>
      </c>
      <c r="BK187" t="b">
        <f t="shared" si="294"/>
        <v>0</v>
      </c>
      <c r="BL187" t="b">
        <f t="shared" si="295"/>
        <v>0</v>
      </c>
      <c r="BM187" t="b">
        <f t="shared" si="296"/>
        <v>0</v>
      </c>
      <c r="BN187" t="b">
        <f t="shared" si="297"/>
        <v>0</v>
      </c>
      <c r="BO187" t="b">
        <f t="shared" si="298"/>
        <v>0</v>
      </c>
      <c r="BP187" t="b">
        <f t="shared" si="299"/>
        <v>0</v>
      </c>
      <c r="BQ187" t="b">
        <f t="shared" si="300"/>
        <v>0</v>
      </c>
      <c r="BR187" t="b">
        <f t="shared" si="301"/>
        <v>0</v>
      </c>
      <c r="BS187" t="b">
        <f t="shared" si="302"/>
        <v>0</v>
      </c>
      <c r="BT187" t="b">
        <f t="shared" si="303"/>
        <v>0</v>
      </c>
      <c r="BU187" t="b">
        <f t="shared" si="304"/>
        <v>0</v>
      </c>
      <c r="BV187" t="b">
        <f t="shared" si="305"/>
        <v>0</v>
      </c>
      <c r="BW187" t="b">
        <f t="shared" si="306"/>
        <v>0</v>
      </c>
      <c r="BX187" t="b">
        <f t="shared" si="307"/>
        <v>0</v>
      </c>
      <c r="BY187" t="b">
        <f t="shared" si="308"/>
        <v>0</v>
      </c>
      <c r="BZ187" t="b">
        <f t="shared" si="309"/>
        <v>0</v>
      </c>
      <c r="CA187" t="b">
        <f t="shared" si="310"/>
        <v>0</v>
      </c>
      <c r="CB187" t="b">
        <f t="shared" si="311"/>
        <v>0</v>
      </c>
      <c r="CC187" t="b">
        <f t="shared" si="312"/>
        <v>0</v>
      </c>
      <c r="CD187" t="b">
        <f t="shared" si="313"/>
        <v>0</v>
      </c>
      <c r="CE187" t="b">
        <f t="shared" si="314"/>
        <v>0</v>
      </c>
      <c r="CF187" t="b">
        <f t="shared" si="315"/>
        <v>0</v>
      </c>
      <c r="CG187" t="b">
        <f t="shared" si="316"/>
        <v>0</v>
      </c>
      <c r="CH187" t="b">
        <f t="shared" si="317"/>
        <v>0</v>
      </c>
      <c r="CI187" t="b">
        <f t="shared" si="318"/>
        <v>0</v>
      </c>
      <c r="CJ187" t="b">
        <f t="shared" si="319"/>
        <v>0</v>
      </c>
      <c r="CK187" t="b">
        <f t="shared" si="320"/>
        <v>0</v>
      </c>
      <c r="CL187" t="b">
        <f t="shared" si="321"/>
        <v>0</v>
      </c>
      <c r="CM187" t="b">
        <f t="shared" si="322"/>
        <v>0</v>
      </c>
      <c r="CN187" t="b">
        <f t="shared" si="323"/>
        <v>0</v>
      </c>
      <c r="CO187" t="b">
        <f t="shared" si="324"/>
        <v>0</v>
      </c>
      <c r="CP187" t="b">
        <f t="shared" si="325"/>
        <v>0</v>
      </c>
      <c r="CQ187" t="b">
        <f t="shared" si="326"/>
        <v>0</v>
      </c>
      <c r="CR187" t="b">
        <f t="shared" si="327"/>
        <v>0</v>
      </c>
      <c r="CS187" t="b">
        <f t="shared" si="328"/>
        <v>0</v>
      </c>
      <c r="CT187" t="b">
        <f t="shared" si="329"/>
        <v>0</v>
      </c>
      <c r="CU187" t="b">
        <f t="shared" si="330"/>
        <v>0</v>
      </c>
      <c r="CV187">
        <f t="shared" si="331"/>
        <v>1</v>
      </c>
      <c r="CW187" t="b">
        <f t="shared" si="332"/>
        <v>0</v>
      </c>
      <c r="CX187" t="b">
        <f t="shared" si="333"/>
        <v>0</v>
      </c>
      <c r="CY187" t="b">
        <f t="shared" si="334"/>
        <v>0</v>
      </c>
      <c r="CZ187" t="b">
        <f t="shared" si="335"/>
        <v>0</v>
      </c>
      <c r="DA187" t="b">
        <f t="shared" si="336"/>
        <v>0</v>
      </c>
      <c r="DB187" t="b">
        <f t="shared" si="337"/>
        <v>0</v>
      </c>
      <c r="DC187" t="b">
        <f t="shared" si="338"/>
        <v>0</v>
      </c>
      <c r="DD187" t="b">
        <f t="shared" si="339"/>
        <v>0</v>
      </c>
      <c r="DE187" t="b">
        <f t="shared" si="340"/>
        <v>0</v>
      </c>
      <c r="DF187" t="b">
        <f t="shared" si="341"/>
        <v>0</v>
      </c>
      <c r="DG187" t="b">
        <f t="shared" si="342"/>
        <v>0</v>
      </c>
      <c r="DH187" t="b">
        <f t="shared" si="343"/>
        <v>0</v>
      </c>
      <c r="DI187" t="b">
        <f t="shared" si="344"/>
        <v>0</v>
      </c>
      <c r="DJ187" t="b">
        <f t="shared" si="345"/>
        <v>0</v>
      </c>
      <c r="DK187" t="b">
        <f t="shared" si="346"/>
        <v>0</v>
      </c>
      <c r="DL187" t="b">
        <f t="shared" si="347"/>
        <v>0</v>
      </c>
      <c r="DM187" t="b">
        <f t="shared" si="348"/>
        <v>0</v>
      </c>
      <c r="DN187" t="b">
        <f t="shared" si="349"/>
        <v>0</v>
      </c>
      <c r="DO187" t="b">
        <f t="shared" si="350"/>
        <v>0</v>
      </c>
      <c r="DP187" t="b">
        <f t="shared" si="351"/>
        <v>0</v>
      </c>
      <c r="DQ187" t="b">
        <f t="shared" si="352"/>
        <v>0</v>
      </c>
      <c r="DR187" t="b">
        <f t="shared" si="353"/>
        <v>0</v>
      </c>
      <c r="DS187" t="b">
        <f t="shared" si="354"/>
        <v>0</v>
      </c>
      <c r="DT187" t="b">
        <f t="shared" si="355"/>
        <v>0</v>
      </c>
      <c r="DU187" t="b">
        <f t="shared" si="356"/>
        <v>0</v>
      </c>
      <c r="DV187" t="b">
        <f t="shared" si="357"/>
        <v>0</v>
      </c>
      <c r="DW187" t="b">
        <f t="shared" si="358"/>
        <v>0</v>
      </c>
      <c r="DX187" t="b">
        <f t="shared" si="359"/>
        <v>0</v>
      </c>
      <c r="DY187" t="b">
        <f t="shared" si="360"/>
        <v>0</v>
      </c>
      <c r="DZ187" t="b">
        <f t="shared" si="361"/>
        <v>0</v>
      </c>
      <c r="EA187" t="b">
        <f t="shared" si="362"/>
        <v>0</v>
      </c>
      <c r="EB187" t="b">
        <f t="shared" si="363"/>
        <v>0</v>
      </c>
      <c r="EC187" t="b">
        <f t="shared" si="364"/>
        <v>0</v>
      </c>
      <c r="ED187" t="b">
        <f t="shared" si="365"/>
        <v>0</v>
      </c>
      <c r="EE187" t="b">
        <f t="shared" si="366"/>
        <v>0</v>
      </c>
      <c r="EF187">
        <f t="shared" si="367"/>
        <v>1</v>
      </c>
      <c r="EG187" t="b">
        <f t="shared" si="368"/>
        <v>0</v>
      </c>
      <c r="EH187" t="b">
        <f t="shared" si="369"/>
        <v>0</v>
      </c>
      <c r="EI187" t="b">
        <f t="shared" si="370"/>
        <v>0</v>
      </c>
      <c r="EJ187" t="b">
        <f t="shared" si="371"/>
        <v>0</v>
      </c>
      <c r="EK187" t="b">
        <f t="shared" si="372"/>
        <v>0</v>
      </c>
    </row>
    <row r="188" spans="1:141">
      <c r="A188" t="s">
        <v>1045</v>
      </c>
      <c r="B188" t="s">
        <v>1045</v>
      </c>
      <c r="C188" t="s">
        <v>1046</v>
      </c>
      <c r="D188" s="1">
        <v>43709</v>
      </c>
      <c r="E188" s="2">
        <v>43788.978958333333</v>
      </c>
      <c r="F188" s="2">
        <v>43788.981273148151</v>
      </c>
      <c r="G188">
        <v>816662</v>
      </c>
      <c r="H188" t="s">
        <v>1047</v>
      </c>
      <c r="I188" s="10" t="s">
        <v>1048</v>
      </c>
      <c r="J188" t="s">
        <v>188</v>
      </c>
      <c r="K188" s="8" t="b">
        <v>1</v>
      </c>
      <c r="L188" s="10" t="b">
        <v>0</v>
      </c>
      <c r="M188" s="12" t="b">
        <v>0</v>
      </c>
      <c r="N188" t="b">
        <v>0</v>
      </c>
      <c r="O188" t="b">
        <v>0</v>
      </c>
      <c r="P188" t="b">
        <v>0</v>
      </c>
      <c r="Q188">
        <f t="shared" si="249"/>
        <v>1</v>
      </c>
      <c r="R188">
        <f t="shared" si="250"/>
        <v>9</v>
      </c>
      <c r="S188" t="e">
        <f t="shared" ca="1" si="280"/>
        <v>#NAME?</v>
      </c>
      <c r="T188" t="e">
        <f t="shared" ca="1" si="251"/>
        <v>#NAME?</v>
      </c>
      <c r="U188" s="4">
        <f t="shared" si="252"/>
        <v>79.978958333333139</v>
      </c>
      <c r="V188" s="4">
        <f t="shared" si="253"/>
        <v>2.6659652777777714</v>
      </c>
      <c r="W188" s="4">
        <f t="shared" si="254"/>
        <v>1</v>
      </c>
      <c r="X188" s="4">
        <f t="shared" si="255"/>
        <v>0</v>
      </c>
      <c r="Y188" s="4">
        <f t="shared" si="256"/>
        <v>0</v>
      </c>
      <c r="Z188" s="4">
        <f t="shared" si="257"/>
        <v>0</v>
      </c>
      <c r="AA188" s="4">
        <f t="shared" si="258"/>
        <v>0</v>
      </c>
      <c r="AB188" s="4">
        <f t="shared" si="259"/>
        <v>0</v>
      </c>
      <c r="AC188" s="4"/>
      <c r="AD188" s="4" t="b">
        <f t="shared" si="260"/>
        <v>0</v>
      </c>
      <c r="AE188" s="4" t="b">
        <f t="shared" si="261"/>
        <v>0</v>
      </c>
      <c r="AF188" s="4" t="b">
        <f t="shared" si="262"/>
        <v>0</v>
      </c>
      <c r="AG188" t="b">
        <f t="shared" si="263"/>
        <v>0</v>
      </c>
      <c r="AH188" t="b">
        <f t="shared" si="264"/>
        <v>0</v>
      </c>
      <c r="AI188" t="b">
        <f t="shared" si="265"/>
        <v>0</v>
      </c>
      <c r="AJ188" t="b">
        <f t="shared" si="266"/>
        <v>0</v>
      </c>
      <c r="AK188" t="b">
        <f t="shared" si="267"/>
        <v>0</v>
      </c>
      <c r="AL188" t="b">
        <f t="shared" si="268"/>
        <v>0</v>
      </c>
      <c r="AM188" t="b">
        <f t="shared" si="269"/>
        <v>0</v>
      </c>
      <c r="AN188" t="b">
        <f t="shared" si="270"/>
        <v>0</v>
      </c>
      <c r="AO188" t="b">
        <f t="shared" si="271"/>
        <v>0</v>
      </c>
      <c r="AP188" t="b">
        <f t="shared" si="272"/>
        <v>0</v>
      </c>
      <c r="AQ188" t="b">
        <f t="shared" si="273"/>
        <v>0</v>
      </c>
      <c r="AR188" t="b">
        <f t="shared" si="274"/>
        <v>0</v>
      </c>
      <c r="AS188" t="b">
        <f t="shared" si="275"/>
        <v>0</v>
      </c>
      <c r="AT188" t="b">
        <f t="shared" si="276"/>
        <v>0</v>
      </c>
      <c r="AU188" t="b">
        <f t="shared" si="277"/>
        <v>0</v>
      </c>
      <c r="AV188" t="b">
        <f t="shared" si="278"/>
        <v>0</v>
      </c>
      <c r="AW188" t="b">
        <f t="shared" si="279"/>
        <v>0</v>
      </c>
      <c r="AX188" t="b">
        <f t="shared" si="281"/>
        <v>0</v>
      </c>
      <c r="AY188" t="b">
        <f t="shared" si="282"/>
        <v>0</v>
      </c>
      <c r="AZ188" t="b">
        <f t="shared" si="283"/>
        <v>0</v>
      </c>
      <c r="BA188" t="b">
        <f t="shared" si="284"/>
        <v>0</v>
      </c>
      <c r="BB188" t="b">
        <f t="shared" si="285"/>
        <v>0</v>
      </c>
      <c r="BC188" t="b">
        <f t="shared" si="286"/>
        <v>0</v>
      </c>
      <c r="BD188" t="b">
        <f t="shared" si="287"/>
        <v>0</v>
      </c>
      <c r="BE188" t="b">
        <f t="shared" si="288"/>
        <v>0</v>
      </c>
      <c r="BF188" t="b">
        <f t="shared" si="289"/>
        <v>0</v>
      </c>
      <c r="BG188" t="b">
        <f t="shared" si="290"/>
        <v>0</v>
      </c>
      <c r="BH188" t="b">
        <f t="shared" si="291"/>
        <v>0</v>
      </c>
      <c r="BI188">
        <f t="shared" si="292"/>
        <v>1</v>
      </c>
      <c r="BJ188" t="b">
        <f t="shared" si="293"/>
        <v>0</v>
      </c>
      <c r="BK188" t="b">
        <f t="shared" si="294"/>
        <v>0</v>
      </c>
      <c r="BL188" t="b">
        <f t="shared" si="295"/>
        <v>0</v>
      </c>
      <c r="BM188" t="b">
        <f t="shared" si="296"/>
        <v>0</v>
      </c>
      <c r="BN188" t="b">
        <f t="shared" si="297"/>
        <v>0</v>
      </c>
      <c r="BO188" t="b">
        <f t="shared" si="298"/>
        <v>0</v>
      </c>
      <c r="BP188" t="b">
        <f t="shared" si="299"/>
        <v>0</v>
      </c>
      <c r="BQ188" t="b">
        <f t="shared" si="300"/>
        <v>0</v>
      </c>
      <c r="BR188" t="b">
        <f t="shared" si="301"/>
        <v>0</v>
      </c>
      <c r="BS188" t="b">
        <f t="shared" si="302"/>
        <v>0</v>
      </c>
      <c r="BT188" t="b">
        <f t="shared" si="303"/>
        <v>0</v>
      </c>
      <c r="BU188" t="b">
        <f t="shared" si="304"/>
        <v>0</v>
      </c>
      <c r="BV188" t="b">
        <f t="shared" si="305"/>
        <v>0</v>
      </c>
      <c r="BW188" t="b">
        <f t="shared" si="306"/>
        <v>0</v>
      </c>
      <c r="BX188" t="b">
        <f t="shared" si="307"/>
        <v>0</v>
      </c>
      <c r="BY188" t="b">
        <f t="shared" si="308"/>
        <v>0</v>
      </c>
      <c r="BZ188" t="b">
        <f t="shared" si="309"/>
        <v>0</v>
      </c>
      <c r="CA188" t="b">
        <f t="shared" si="310"/>
        <v>0</v>
      </c>
      <c r="CB188" t="b">
        <f t="shared" si="311"/>
        <v>0</v>
      </c>
      <c r="CC188" t="b">
        <f t="shared" si="312"/>
        <v>0</v>
      </c>
      <c r="CD188" t="b">
        <f t="shared" si="313"/>
        <v>0</v>
      </c>
      <c r="CE188">
        <f t="shared" si="314"/>
        <v>1</v>
      </c>
      <c r="CF188" t="b">
        <f t="shared" si="315"/>
        <v>0</v>
      </c>
      <c r="CG188" t="b">
        <f t="shared" si="316"/>
        <v>0</v>
      </c>
      <c r="CH188" t="b">
        <f t="shared" si="317"/>
        <v>0</v>
      </c>
      <c r="CI188" t="b">
        <f t="shared" si="318"/>
        <v>0</v>
      </c>
      <c r="CJ188" t="b">
        <f t="shared" si="319"/>
        <v>0</v>
      </c>
      <c r="CK188" t="b">
        <f t="shared" si="320"/>
        <v>0</v>
      </c>
      <c r="CL188" t="b">
        <f t="shared" si="321"/>
        <v>0</v>
      </c>
      <c r="CM188" t="b">
        <f t="shared" si="322"/>
        <v>0</v>
      </c>
      <c r="CN188" t="b">
        <f t="shared" si="323"/>
        <v>0</v>
      </c>
      <c r="CO188" t="b">
        <f t="shared" si="324"/>
        <v>0</v>
      </c>
      <c r="CP188" t="b">
        <f t="shared" si="325"/>
        <v>0</v>
      </c>
      <c r="CQ188" t="b">
        <f t="shared" si="326"/>
        <v>0</v>
      </c>
      <c r="CR188" t="b">
        <f t="shared" si="327"/>
        <v>0</v>
      </c>
      <c r="CS188" t="b">
        <f t="shared" si="328"/>
        <v>0</v>
      </c>
      <c r="CT188" t="b">
        <f t="shared" si="329"/>
        <v>0</v>
      </c>
      <c r="CU188" t="b">
        <f t="shared" si="330"/>
        <v>0</v>
      </c>
      <c r="CV188">
        <f t="shared" si="331"/>
        <v>1</v>
      </c>
      <c r="CW188" t="b">
        <f t="shared" si="332"/>
        <v>0</v>
      </c>
      <c r="CX188" t="b">
        <f t="shared" si="333"/>
        <v>0</v>
      </c>
      <c r="CY188" t="b">
        <f t="shared" si="334"/>
        <v>0</v>
      </c>
      <c r="CZ188" t="b">
        <f t="shared" si="335"/>
        <v>0</v>
      </c>
      <c r="DA188" t="b">
        <f t="shared" si="336"/>
        <v>0</v>
      </c>
      <c r="DB188" t="b">
        <f t="shared" si="337"/>
        <v>0</v>
      </c>
      <c r="DC188" t="b">
        <f t="shared" si="338"/>
        <v>0</v>
      </c>
      <c r="DD188" t="b">
        <f t="shared" si="339"/>
        <v>0</v>
      </c>
      <c r="DE188" t="b">
        <f t="shared" si="340"/>
        <v>0</v>
      </c>
      <c r="DF188" t="b">
        <f t="shared" si="341"/>
        <v>0</v>
      </c>
      <c r="DG188" t="b">
        <f t="shared" si="342"/>
        <v>0</v>
      </c>
      <c r="DH188" t="b">
        <f t="shared" si="343"/>
        <v>0</v>
      </c>
      <c r="DI188" t="b">
        <f t="shared" si="344"/>
        <v>0</v>
      </c>
      <c r="DJ188" t="b">
        <f t="shared" si="345"/>
        <v>0</v>
      </c>
      <c r="DK188" t="b">
        <f t="shared" si="346"/>
        <v>0</v>
      </c>
      <c r="DL188" t="b">
        <f t="shared" si="347"/>
        <v>0</v>
      </c>
      <c r="DM188" t="b">
        <f t="shared" si="348"/>
        <v>0</v>
      </c>
      <c r="DN188" t="b">
        <f t="shared" si="349"/>
        <v>0</v>
      </c>
      <c r="DO188" t="b">
        <f t="shared" si="350"/>
        <v>0</v>
      </c>
      <c r="DP188" t="b">
        <f t="shared" si="351"/>
        <v>0</v>
      </c>
      <c r="DQ188" t="b">
        <f t="shared" si="352"/>
        <v>0</v>
      </c>
      <c r="DR188" t="b">
        <f t="shared" si="353"/>
        <v>0</v>
      </c>
      <c r="DS188" t="b">
        <f t="shared" si="354"/>
        <v>0</v>
      </c>
      <c r="DT188" t="b">
        <f t="shared" si="355"/>
        <v>0</v>
      </c>
      <c r="DU188" t="b">
        <f t="shared" si="356"/>
        <v>0</v>
      </c>
      <c r="DV188" t="b">
        <f t="shared" si="357"/>
        <v>0</v>
      </c>
      <c r="DW188" t="b">
        <f t="shared" si="358"/>
        <v>0</v>
      </c>
      <c r="DX188" t="b">
        <f t="shared" si="359"/>
        <v>0</v>
      </c>
      <c r="DY188" t="b">
        <f t="shared" si="360"/>
        <v>0</v>
      </c>
      <c r="DZ188" t="b">
        <f t="shared" si="361"/>
        <v>0</v>
      </c>
      <c r="EA188" t="b">
        <f t="shared" si="362"/>
        <v>0</v>
      </c>
      <c r="EB188" t="b">
        <f t="shared" si="363"/>
        <v>0</v>
      </c>
      <c r="EC188" t="b">
        <f t="shared" si="364"/>
        <v>0</v>
      </c>
      <c r="ED188" t="b">
        <f t="shared" si="365"/>
        <v>0</v>
      </c>
      <c r="EE188" t="b">
        <f t="shared" si="366"/>
        <v>0</v>
      </c>
      <c r="EF188">
        <f t="shared" si="367"/>
        <v>1</v>
      </c>
      <c r="EG188" t="b">
        <f t="shared" si="368"/>
        <v>0</v>
      </c>
      <c r="EH188" t="b">
        <f t="shared" si="369"/>
        <v>0</v>
      </c>
      <c r="EI188" t="b">
        <f t="shared" si="370"/>
        <v>0</v>
      </c>
      <c r="EJ188" t="b">
        <f t="shared" si="371"/>
        <v>0</v>
      </c>
      <c r="EK188" t="b">
        <f t="shared" si="372"/>
        <v>0</v>
      </c>
    </row>
    <row r="189" spans="1:141">
      <c r="A189" t="s">
        <v>1049</v>
      </c>
      <c r="B189" t="s">
        <v>1049</v>
      </c>
      <c r="C189" t="s">
        <v>1050</v>
      </c>
      <c r="D189" s="1">
        <v>42371</v>
      </c>
      <c r="E189" s="2">
        <v>43673.966319444444</v>
      </c>
      <c r="F189" s="2">
        <v>43673.972245370373</v>
      </c>
      <c r="G189">
        <v>408795</v>
      </c>
      <c r="H189" t="s">
        <v>1051</v>
      </c>
      <c r="I189" s="10" t="s">
        <v>1052</v>
      </c>
      <c r="J189" t="s">
        <v>188</v>
      </c>
      <c r="K189" s="8" t="b">
        <v>1</v>
      </c>
      <c r="L189" s="10" t="b">
        <v>0</v>
      </c>
      <c r="M189" s="12" t="b">
        <v>0</v>
      </c>
      <c r="N189" t="b">
        <v>0</v>
      </c>
      <c r="O189" t="b">
        <v>0</v>
      </c>
      <c r="P189" t="b">
        <v>0</v>
      </c>
      <c r="Q189">
        <f t="shared" si="249"/>
        <v>7</v>
      </c>
      <c r="R189">
        <f t="shared" si="250"/>
        <v>1</v>
      </c>
      <c r="S189" t="e">
        <f t="shared" ca="1" si="280"/>
        <v>#NAME?</v>
      </c>
      <c r="T189" t="e">
        <f t="shared" ca="1" si="251"/>
        <v>#NAME?</v>
      </c>
      <c r="U189" s="4">
        <f t="shared" si="252"/>
        <v>1302.9663194444438</v>
      </c>
      <c r="V189" s="4">
        <f t="shared" si="253"/>
        <v>43.432210648148128</v>
      </c>
      <c r="W189" s="4">
        <f t="shared" si="254"/>
        <v>1</v>
      </c>
      <c r="X189" s="4">
        <f t="shared" si="255"/>
        <v>0</v>
      </c>
      <c r="Y189" s="4">
        <f t="shared" si="256"/>
        <v>0</v>
      </c>
      <c r="Z189" s="4">
        <f t="shared" si="257"/>
        <v>0</v>
      </c>
      <c r="AA189" s="4">
        <f t="shared" si="258"/>
        <v>0</v>
      </c>
      <c r="AB189" s="4">
        <f t="shared" si="259"/>
        <v>0</v>
      </c>
      <c r="AC189" s="4"/>
      <c r="AD189" s="4" t="b">
        <f t="shared" si="260"/>
        <v>0</v>
      </c>
      <c r="AE189" s="4" t="b">
        <f t="shared" si="261"/>
        <v>0</v>
      </c>
      <c r="AF189" s="4" t="b">
        <f t="shared" si="262"/>
        <v>0</v>
      </c>
      <c r="AG189" t="b">
        <f t="shared" si="263"/>
        <v>0</v>
      </c>
      <c r="AH189" t="b">
        <f t="shared" si="264"/>
        <v>0</v>
      </c>
      <c r="AI189" t="b">
        <f t="shared" si="265"/>
        <v>0</v>
      </c>
      <c r="AJ189" t="b">
        <f t="shared" si="266"/>
        <v>0</v>
      </c>
      <c r="AK189" t="b">
        <f t="shared" si="267"/>
        <v>0</v>
      </c>
      <c r="AL189" t="b">
        <f t="shared" si="268"/>
        <v>0</v>
      </c>
      <c r="AM189" t="b">
        <f t="shared" si="269"/>
        <v>0</v>
      </c>
      <c r="AN189" t="b">
        <f t="shared" si="270"/>
        <v>0</v>
      </c>
      <c r="AO189" t="b">
        <f t="shared" si="271"/>
        <v>0</v>
      </c>
      <c r="AP189" t="b">
        <f t="shared" si="272"/>
        <v>0</v>
      </c>
      <c r="AQ189" t="b">
        <f t="shared" si="273"/>
        <v>0</v>
      </c>
      <c r="AR189" t="b">
        <f t="shared" si="274"/>
        <v>0</v>
      </c>
      <c r="AS189" t="b">
        <f t="shared" si="275"/>
        <v>0</v>
      </c>
      <c r="AT189" t="b">
        <f t="shared" si="276"/>
        <v>0</v>
      </c>
      <c r="AU189" t="b">
        <f t="shared" si="277"/>
        <v>0</v>
      </c>
      <c r="AV189" t="b">
        <f t="shared" si="278"/>
        <v>0</v>
      </c>
      <c r="AW189" t="b">
        <f t="shared" si="279"/>
        <v>0</v>
      </c>
      <c r="AX189" t="b">
        <f t="shared" si="281"/>
        <v>0</v>
      </c>
      <c r="AY189" t="b">
        <f t="shared" si="282"/>
        <v>0</v>
      </c>
      <c r="AZ189" t="b">
        <f t="shared" si="283"/>
        <v>0</v>
      </c>
      <c r="BA189" t="b">
        <f t="shared" si="284"/>
        <v>0</v>
      </c>
      <c r="BB189" t="b">
        <f t="shared" si="285"/>
        <v>0</v>
      </c>
      <c r="BC189" t="b">
        <f t="shared" si="286"/>
        <v>0</v>
      </c>
      <c r="BD189" t="b">
        <f t="shared" si="287"/>
        <v>0</v>
      </c>
      <c r="BE189" t="b">
        <f t="shared" si="288"/>
        <v>0</v>
      </c>
      <c r="BF189" t="b">
        <f t="shared" si="289"/>
        <v>0</v>
      </c>
      <c r="BG189" t="b">
        <f t="shared" si="290"/>
        <v>0</v>
      </c>
      <c r="BH189" t="b">
        <f t="shared" si="291"/>
        <v>0</v>
      </c>
      <c r="BI189">
        <f t="shared" si="292"/>
        <v>1</v>
      </c>
      <c r="BJ189" t="b">
        <f t="shared" si="293"/>
        <v>0</v>
      </c>
      <c r="BK189" t="b">
        <f t="shared" si="294"/>
        <v>0</v>
      </c>
      <c r="BL189" t="b">
        <f t="shared" si="295"/>
        <v>0</v>
      </c>
      <c r="BM189" t="b">
        <f t="shared" si="296"/>
        <v>0</v>
      </c>
      <c r="BN189" t="b">
        <f t="shared" si="297"/>
        <v>0</v>
      </c>
      <c r="BO189" t="b">
        <f t="shared" si="298"/>
        <v>0</v>
      </c>
      <c r="BP189" t="b">
        <f t="shared" si="299"/>
        <v>0</v>
      </c>
      <c r="BQ189" t="b">
        <f t="shared" si="300"/>
        <v>0</v>
      </c>
      <c r="BR189" t="b">
        <f t="shared" si="301"/>
        <v>0</v>
      </c>
      <c r="BS189" t="b">
        <f t="shared" si="302"/>
        <v>0</v>
      </c>
      <c r="BT189" t="b">
        <f t="shared" si="303"/>
        <v>0</v>
      </c>
      <c r="BU189" t="b">
        <f t="shared" si="304"/>
        <v>0</v>
      </c>
      <c r="BV189" t="b">
        <f t="shared" si="305"/>
        <v>0</v>
      </c>
      <c r="BW189" t="b">
        <f t="shared" si="306"/>
        <v>0</v>
      </c>
      <c r="BX189" t="b">
        <f t="shared" si="307"/>
        <v>0</v>
      </c>
      <c r="BY189" t="b">
        <f t="shared" si="308"/>
        <v>0</v>
      </c>
      <c r="BZ189" t="b">
        <f t="shared" si="309"/>
        <v>0</v>
      </c>
      <c r="CA189" t="b">
        <f t="shared" si="310"/>
        <v>0</v>
      </c>
      <c r="CB189" t="b">
        <f t="shared" si="311"/>
        <v>0</v>
      </c>
      <c r="CC189" t="b">
        <f t="shared" si="312"/>
        <v>0</v>
      </c>
      <c r="CD189" t="b">
        <f t="shared" si="313"/>
        <v>0</v>
      </c>
      <c r="CE189">
        <f t="shared" si="314"/>
        <v>1</v>
      </c>
      <c r="CF189" t="b">
        <f t="shared" si="315"/>
        <v>0</v>
      </c>
      <c r="CG189" t="b">
        <f t="shared" si="316"/>
        <v>0</v>
      </c>
      <c r="CH189" t="b">
        <f t="shared" si="317"/>
        <v>0</v>
      </c>
      <c r="CI189" t="b">
        <f t="shared" si="318"/>
        <v>0</v>
      </c>
      <c r="CJ189" t="b">
        <f t="shared" si="319"/>
        <v>0</v>
      </c>
      <c r="CK189" t="b">
        <f t="shared" si="320"/>
        <v>0</v>
      </c>
      <c r="CL189" t="b">
        <f t="shared" si="321"/>
        <v>0</v>
      </c>
      <c r="CM189" t="b">
        <f t="shared" si="322"/>
        <v>0</v>
      </c>
      <c r="CN189" t="b">
        <f t="shared" si="323"/>
        <v>0</v>
      </c>
      <c r="CO189" t="b">
        <f t="shared" si="324"/>
        <v>0</v>
      </c>
      <c r="CP189" t="b">
        <f t="shared" si="325"/>
        <v>0</v>
      </c>
      <c r="CQ189" t="b">
        <f t="shared" si="326"/>
        <v>0</v>
      </c>
      <c r="CR189" t="b">
        <f t="shared" si="327"/>
        <v>0</v>
      </c>
      <c r="CS189" t="b">
        <f t="shared" si="328"/>
        <v>0</v>
      </c>
      <c r="CT189" t="b">
        <f t="shared" si="329"/>
        <v>0</v>
      </c>
      <c r="CU189" t="b">
        <f t="shared" si="330"/>
        <v>0</v>
      </c>
      <c r="CV189">
        <f t="shared" si="331"/>
        <v>1</v>
      </c>
      <c r="CW189" t="b">
        <f t="shared" si="332"/>
        <v>0</v>
      </c>
      <c r="CX189" t="b">
        <f t="shared" si="333"/>
        <v>0</v>
      </c>
      <c r="CY189" t="b">
        <f t="shared" si="334"/>
        <v>0</v>
      </c>
      <c r="CZ189" t="b">
        <f t="shared" si="335"/>
        <v>0</v>
      </c>
      <c r="DA189" t="b">
        <f t="shared" si="336"/>
        <v>0</v>
      </c>
      <c r="DB189" t="b">
        <f t="shared" si="337"/>
        <v>0</v>
      </c>
      <c r="DC189" t="b">
        <f t="shared" si="338"/>
        <v>0</v>
      </c>
      <c r="DD189" t="b">
        <f t="shared" si="339"/>
        <v>0</v>
      </c>
      <c r="DE189" t="b">
        <f t="shared" si="340"/>
        <v>0</v>
      </c>
      <c r="DF189" t="b">
        <f t="shared" si="341"/>
        <v>0</v>
      </c>
      <c r="DG189" t="b">
        <f t="shared" si="342"/>
        <v>0</v>
      </c>
      <c r="DH189" t="b">
        <f t="shared" si="343"/>
        <v>0</v>
      </c>
      <c r="DI189" t="b">
        <f t="shared" si="344"/>
        <v>0</v>
      </c>
      <c r="DJ189" t="b">
        <f t="shared" si="345"/>
        <v>0</v>
      </c>
      <c r="DK189" t="b">
        <f t="shared" si="346"/>
        <v>0</v>
      </c>
      <c r="DL189" t="b">
        <f t="shared" si="347"/>
        <v>0</v>
      </c>
      <c r="DM189" t="b">
        <f t="shared" si="348"/>
        <v>0</v>
      </c>
      <c r="DN189" t="b">
        <f t="shared" si="349"/>
        <v>0</v>
      </c>
      <c r="DO189" t="b">
        <f t="shared" si="350"/>
        <v>0</v>
      </c>
      <c r="DP189" t="b">
        <f t="shared" si="351"/>
        <v>0</v>
      </c>
      <c r="DQ189" t="b">
        <f t="shared" si="352"/>
        <v>0</v>
      </c>
      <c r="DR189" t="b">
        <f t="shared" si="353"/>
        <v>0</v>
      </c>
      <c r="DS189" t="b">
        <f t="shared" si="354"/>
        <v>0</v>
      </c>
      <c r="DT189" t="b">
        <f t="shared" si="355"/>
        <v>0</v>
      </c>
      <c r="DU189" t="b">
        <f t="shared" si="356"/>
        <v>0</v>
      </c>
      <c r="DV189" t="b">
        <f t="shared" si="357"/>
        <v>0</v>
      </c>
      <c r="DW189" t="b">
        <f t="shared" si="358"/>
        <v>0</v>
      </c>
      <c r="DX189" t="b">
        <f t="shared" si="359"/>
        <v>0</v>
      </c>
      <c r="DY189" t="b">
        <f t="shared" si="360"/>
        <v>0</v>
      </c>
      <c r="DZ189" t="b">
        <f t="shared" si="361"/>
        <v>0</v>
      </c>
      <c r="EA189" t="b">
        <f t="shared" si="362"/>
        <v>0</v>
      </c>
      <c r="EB189" t="b">
        <f t="shared" si="363"/>
        <v>0</v>
      </c>
      <c r="EC189" t="b">
        <f t="shared" si="364"/>
        <v>0</v>
      </c>
      <c r="ED189" t="b">
        <f t="shared" si="365"/>
        <v>0</v>
      </c>
      <c r="EE189" t="b">
        <f t="shared" si="366"/>
        <v>0</v>
      </c>
      <c r="EF189">
        <f t="shared" si="367"/>
        <v>1</v>
      </c>
      <c r="EG189" t="b">
        <f t="shared" si="368"/>
        <v>0</v>
      </c>
      <c r="EH189" t="b">
        <f t="shared" si="369"/>
        <v>0</v>
      </c>
      <c r="EI189" t="b">
        <f t="shared" si="370"/>
        <v>0</v>
      </c>
      <c r="EJ189" t="b">
        <f t="shared" si="371"/>
        <v>0</v>
      </c>
      <c r="EK189" t="b">
        <f t="shared" si="372"/>
        <v>0</v>
      </c>
    </row>
    <row r="190" spans="1:141">
      <c r="A190" t="s">
        <v>1053</v>
      </c>
      <c r="B190" t="s">
        <v>1053</v>
      </c>
      <c r="C190" t="s">
        <v>1054</v>
      </c>
      <c r="D190" s="1">
        <v>44452</v>
      </c>
      <c r="E190" s="2">
        <v>44458.893946759257</v>
      </c>
      <c r="F190" s="2">
        <v>44458.893946759257</v>
      </c>
      <c r="G190">
        <v>15003961</v>
      </c>
      <c r="H190" t="s">
        <v>1055</v>
      </c>
      <c r="I190" s="10" t="s">
        <v>1056</v>
      </c>
      <c r="J190" t="s">
        <v>935</v>
      </c>
      <c r="K190" s="8" t="b">
        <v>1</v>
      </c>
      <c r="L190" s="10" t="b">
        <v>0</v>
      </c>
      <c r="M190" s="12" t="b">
        <v>0</v>
      </c>
      <c r="N190" t="b">
        <v>0</v>
      </c>
      <c r="O190" t="b">
        <v>0</v>
      </c>
      <c r="P190" t="b">
        <v>0</v>
      </c>
      <c r="Q190">
        <f t="shared" si="249"/>
        <v>2</v>
      </c>
      <c r="R190">
        <f t="shared" si="250"/>
        <v>9</v>
      </c>
      <c r="S190" t="e">
        <f t="shared" ca="1" si="280"/>
        <v>#NAME?</v>
      </c>
      <c r="T190" t="e">
        <f t="shared" ca="1" si="251"/>
        <v>#NAME?</v>
      </c>
      <c r="U190" s="4">
        <f t="shared" si="252"/>
        <v>6.8939467592572328</v>
      </c>
      <c r="V190" s="4">
        <f t="shared" si="253"/>
        <v>0.22979822530857444</v>
      </c>
      <c r="W190" s="4">
        <f t="shared" si="254"/>
        <v>1</v>
      </c>
      <c r="X190" s="4">
        <f t="shared" si="255"/>
        <v>0</v>
      </c>
      <c r="Y190" s="4">
        <f t="shared" si="256"/>
        <v>0</v>
      </c>
      <c r="Z190" s="4">
        <f t="shared" si="257"/>
        <v>0</v>
      </c>
      <c r="AA190" s="4">
        <f t="shared" si="258"/>
        <v>0</v>
      </c>
      <c r="AB190" s="4">
        <f t="shared" si="259"/>
        <v>0</v>
      </c>
      <c r="AC190" s="4"/>
      <c r="AD190" s="4" t="b">
        <f t="shared" si="260"/>
        <v>0</v>
      </c>
      <c r="AE190" s="4" t="b">
        <f t="shared" si="261"/>
        <v>0</v>
      </c>
      <c r="AF190" s="4" t="b">
        <f t="shared" si="262"/>
        <v>0</v>
      </c>
      <c r="AG190" t="b">
        <f t="shared" si="263"/>
        <v>0</v>
      </c>
      <c r="AH190" t="b">
        <f t="shared" si="264"/>
        <v>0</v>
      </c>
      <c r="AI190" t="b">
        <f t="shared" si="265"/>
        <v>0</v>
      </c>
      <c r="AJ190" t="b">
        <f t="shared" si="266"/>
        <v>0</v>
      </c>
      <c r="AK190" t="b">
        <f t="shared" si="267"/>
        <v>0</v>
      </c>
      <c r="AL190" t="b">
        <f t="shared" si="268"/>
        <v>0</v>
      </c>
      <c r="AM190" t="b">
        <f t="shared" si="269"/>
        <v>0</v>
      </c>
      <c r="AN190" t="b">
        <f t="shared" si="270"/>
        <v>0</v>
      </c>
      <c r="AO190" t="b">
        <f t="shared" si="271"/>
        <v>0</v>
      </c>
      <c r="AP190" t="b">
        <f t="shared" si="272"/>
        <v>0</v>
      </c>
      <c r="AQ190" t="b">
        <f t="shared" si="273"/>
        <v>0</v>
      </c>
      <c r="AR190" t="b">
        <f t="shared" si="274"/>
        <v>0</v>
      </c>
      <c r="AS190" t="b">
        <f t="shared" si="275"/>
        <v>0</v>
      </c>
      <c r="AT190" t="b">
        <f t="shared" si="276"/>
        <v>0</v>
      </c>
      <c r="AU190" t="b">
        <f t="shared" si="277"/>
        <v>0</v>
      </c>
      <c r="AV190" t="b">
        <f t="shared" si="278"/>
        <v>0</v>
      </c>
      <c r="AW190" t="b">
        <f t="shared" si="279"/>
        <v>0</v>
      </c>
      <c r="AX190" t="b">
        <f t="shared" si="281"/>
        <v>0</v>
      </c>
      <c r="AY190" t="b">
        <f t="shared" si="282"/>
        <v>0</v>
      </c>
      <c r="AZ190" t="b">
        <f t="shared" si="283"/>
        <v>0</v>
      </c>
      <c r="BA190" t="b">
        <f t="shared" si="284"/>
        <v>0</v>
      </c>
      <c r="BB190" t="b">
        <f t="shared" si="285"/>
        <v>0</v>
      </c>
      <c r="BC190" t="b">
        <f t="shared" si="286"/>
        <v>0</v>
      </c>
      <c r="BD190" t="b">
        <f t="shared" si="287"/>
        <v>0</v>
      </c>
      <c r="BE190" t="b">
        <f t="shared" si="288"/>
        <v>0</v>
      </c>
      <c r="BF190" t="b">
        <f t="shared" si="289"/>
        <v>0</v>
      </c>
      <c r="BG190" t="b">
        <f t="shared" si="290"/>
        <v>0</v>
      </c>
      <c r="BH190" t="b">
        <f t="shared" si="291"/>
        <v>0</v>
      </c>
      <c r="BI190">
        <f t="shared" si="292"/>
        <v>1</v>
      </c>
      <c r="BJ190" t="b">
        <f t="shared" si="293"/>
        <v>0</v>
      </c>
      <c r="BK190" t="b">
        <f t="shared" si="294"/>
        <v>0</v>
      </c>
      <c r="BL190" t="b">
        <f t="shared" si="295"/>
        <v>0</v>
      </c>
      <c r="BM190" t="b">
        <f t="shared" si="296"/>
        <v>0</v>
      </c>
      <c r="BN190" t="b">
        <f t="shared" si="297"/>
        <v>0</v>
      </c>
      <c r="BO190" t="b">
        <f t="shared" si="298"/>
        <v>0</v>
      </c>
      <c r="BP190" t="b">
        <f t="shared" si="299"/>
        <v>0</v>
      </c>
      <c r="BQ190" t="b">
        <f t="shared" si="300"/>
        <v>0</v>
      </c>
      <c r="BR190" t="b">
        <f t="shared" si="301"/>
        <v>0</v>
      </c>
      <c r="BS190" t="b">
        <f t="shared" si="302"/>
        <v>0</v>
      </c>
      <c r="BT190" t="b">
        <f t="shared" si="303"/>
        <v>0</v>
      </c>
      <c r="BU190" t="b">
        <f t="shared" si="304"/>
        <v>0</v>
      </c>
      <c r="BV190" t="b">
        <f t="shared" si="305"/>
        <v>0</v>
      </c>
      <c r="BW190" t="b">
        <f t="shared" si="306"/>
        <v>0</v>
      </c>
      <c r="BX190" t="b">
        <f t="shared" si="307"/>
        <v>0</v>
      </c>
      <c r="BY190" t="b">
        <f t="shared" si="308"/>
        <v>0</v>
      </c>
      <c r="BZ190" t="b">
        <f t="shared" si="309"/>
        <v>0</v>
      </c>
      <c r="CA190" t="b">
        <f t="shared" si="310"/>
        <v>0</v>
      </c>
      <c r="CB190" t="b">
        <f t="shared" si="311"/>
        <v>0</v>
      </c>
      <c r="CC190" t="b">
        <f t="shared" si="312"/>
        <v>0</v>
      </c>
      <c r="CD190" t="b">
        <f t="shared" si="313"/>
        <v>0</v>
      </c>
      <c r="CE190" t="b">
        <f t="shared" si="314"/>
        <v>0</v>
      </c>
      <c r="CF190" t="b">
        <f t="shared" si="315"/>
        <v>0</v>
      </c>
      <c r="CG190" t="b">
        <f t="shared" si="316"/>
        <v>0</v>
      </c>
      <c r="CH190" t="b">
        <f t="shared" si="317"/>
        <v>0</v>
      </c>
      <c r="CI190" t="b">
        <f t="shared" si="318"/>
        <v>0</v>
      </c>
      <c r="CJ190" t="b">
        <f t="shared" si="319"/>
        <v>0</v>
      </c>
      <c r="CK190" t="b">
        <f t="shared" si="320"/>
        <v>0</v>
      </c>
      <c r="CL190" t="b">
        <f t="shared" si="321"/>
        <v>0</v>
      </c>
      <c r="CM190">
        <f t="shared" si="322"/>
        <v>1</v>
      </c>
      <c r="CN190" t="b">
        <f t="shared" si="323"/>
        <v>0</v>
      </c>
      <c r="CO190" t="b">
        <f t="shared" si="324"/>
        <v>0</v>
      </c>
      <c r="CP190" t="b">
        <f t="shared" si="325"/>
        <v>0</v>
      </c>
      <c r="CQ190" t="b">
        <f t="shared" si="326"/>
        <v>0</v>
      </c>
      <c r="CR190" t="b">
        <f t="shared" si="327"/>
        <v>0</v>
      </c>
      <c r="CS190" t="b">
        <f t="shared" si="328"/>
        <v>0</v>
      </c>
      <c r="CT190" t="b">
        <f t="shared" si="329"/>
        <v>0</v>
      </c>
      <c r="CU190" t="b">
        <f t="shared" si="330"/>
        <v>0</v>
      </c>
      <c r="CV190" t="b">
        <f t="shared" si="331"/>
        <v>0</v>
      </c>
      <c r="CW190" t="b">
        <f t="shared" si="332"/>
        <v>0</v>
      </c>
      <c r="CX190" t="b">
        <f t="shared" si="333"/>
        <v>0</v>
      </c>
      <c r="CY190" t="b">
        <f t="shared" si="334"/>
        <v>0</v>
      </c>
      <c r="CZ190" t="b">
        <f t="shared" si="335"/>
        <v>0</v>
      </c>
      <c r="DA190">
        <f t="shared" si="336"/>
        <v>1</v>
      </c>
      <c r="DB190">
        <f t="shared" si="337"/>
        <v>1</v>
      </c>
      <c r="DC190" t="b">
        <f t="shared" si="338"/>
        <v>0</v>
      </c>
      <c r="DD190" t="b">
        <f t="shared" si="339"/>
        <v>0</v>
      </c>
      <c r="DE190" t="b">
        <f t="shared" si="340"/>
        <v>0</v>
      </c>
      <c r="DF190" t="b">
        <f t="shared" si="341"/>
        <v>0</v>
      </c>
      <c r="DG190" t="b">
        <f t="shared" si="342"/>
        <v>0</v>
      </c>
      <c r="DH190" t="b">
        <f t="shared" si="343"/>
        <v>0</v>
      </c>
      <c r="DI190" t="b">
        <f t="shared" si="344"/>
        <v>0</v>
      </c>
      <c r="DJ190">
        <f t="shared" si="345"/>
        <v>1</v>
      </c>
      <c r="DK190" t="b">
        <f t="shared" si="346"/>
        <v>0</v>
      </c>
      <c r="DL190" t="b">
        <f t="shared" si="347"/>
        <v>0</v>
      </c>
      <c r="DM190" t="b">
        <f t="shared" si="348"/>
        <v>0</v>
      </c>
      <c r="DN190" t="b">
        <f t="shared" si="349"/>
        <v>0</v>
      </c>
      <c r="DO190" t="b">
        <f t="shared" si="350"/>
        <v>0</v>
      </c>
      <c r="DP190" t="b">
        <f t="shared" si="351"/>
        <v>0</v>
      </c>
      <c r="DQ190" t="b">
        <f t="shared" si="352"/>
        <v>0</v>
      </c>
      <c r="DR190" t="b">
        <f t="shared" si="353"/>
        <v>0</v>
      </c>
      <c r="DS190" t="b">
        <f t="shared" si="354"/>
        <v>0</v>
      </c>
      <c r="DT190" t="b">
        <f t="shared" si="355"/>
        <v>0</v>
      </c>
      <c r="DU190" t="b">
        <f t="shared" si="356"/>
        <v>0</v>
      </c>
      <c r="DV190" t="b">
        <f t="shared" si="357"/>
        <v>0</v>
      </c>
      <c r="DW190" t="b">
        <f t="shared" si="358"/>
        <v>0</v>
      </c>
      <c r="DX190" t="b">
        <f t="shared" si="359"/>
        <v>0</v>
      </c>
      <c r="DY190" t="b">
        <f t="shared" si="360"/>
        <v>0</v>
      </c>
      <c r="DZ190" t="b">
        <f t="shared" si="361"/>
        <v>0</v>
      </c>
      <c r="EA190" t="b">
        <f t="shared" si="362"/>
        <v>0</v>
      </c>
      <c r="EB190" t="b">
        <f t="shared" si="363"/>
        <v>0</v>
      </c>
      <c r="EC190" t="b">
        <f t="shared" si="364"/>
        <v>0</v>
      </c>
      <c r="ED190" t="b">
        <f t="shared" si="365"/>
        <v>0</v>
      </c>
      <c r="EE190" t="b">
        <f t="shared" si="366"/>
        <v>0</v>
      </c>
      <c r="EF190" t="b">
        <f t="shared" si="367"/>
        <v>0</v>
      </c>
      <c r="EG190" t="b">
        <f t="shared" si="368"/>
        <v>0</v>
      </c>
      <c r="EH190" t="b">
        <f t="shared" si="369"/>
        <v>0</v>
      </c>
      <c r="EI190" t="b">
        <f t="shared" si="370"/>
        <v>0</v>
      </c>
      <c r="EJ190" t="b">
        <f t="shared" si="371"/>
        <v>0</v>
      </c>
      <c r="EK190" t="b">
        <f t="shared" si="372"/>
        <v>0</v>
      </c>
    </row>
    <row r="191" spans="1:141">
      <c r="A191" t="s">
        <v>1057</v>
      </c>
      <c r="B191" t="s">
        <v>1057</v>
      </c>
      <c r="C191" t="s">
        <v>1058</v>
      </c>
      <c r="D191" s="1">
        <v>42156</v>
      </c>
      <c r="E191" s="2">
        <v>42745.097175925926</v>
      </c>
      <c r="F191" s="2">
        <v>42745.097175925926</v>
      </c>
      <c r="G191">
        <v>1370175</v>
      </c>
      <c r="H191" t="s">
        <v>1059</v>
      </c>
      <c r="I191" s="10" t="s">
        <v>1060</v>
      </c>
      <c r="J191" t="s">
        <v>1061</v>
      </c>
      <c r="K191" s="8" t="b">
        <v>0</v>
      </c>
      <c r="L191" s="10" t="b">
        <v>0</v>
      </c>
      <c r="M191" s="12" t="b">
        <v>1</v>
      </c>
      <c r="N191" t="b">
        <v>0</v>
      </c>
      <c r="O191" t="b">
        <v>0</v>
      </c>
      <c r="P191" t="b">
        <v>0</v>
      </c>
      <c r="Q191">
        <f t="shared" si="249"/>
        <v>2</v>
      </c>
      <c r="R191">
        <f t="shared" si="250"/>
        <v>6</v>
      </c>
      <c r="S191" t="e">
        <f t="shared" ca="1" si="280"/>
        <v>#NAME?</v>
      </c>
      <c r="T191" t="e">
        <f t="shared" ca="1" si="251"/>
        <v>#NAME?</v>
      </c>
      <c r="U191" s="4">
        <f t="shared" si="252"/>
        <v>589.09717592592642</v>
      </c>
      <c r="V191" s="4">
        <f t="shared" si="253"/>
        <v>19.636572530864214</v>
      </c>
      <c r="W191" s="4">
        <f t="shared" si="254"/>
        <v>0</v>
      </c>
      <c r="X191" s="4">
        <f t="shared" si="255"/>
        <v>0</v>
      </c>
      <c r="Y191" s="4">
        <f t="shared" si="256"/>
        <v>1</v>
      </c>
      <c r="Z191" s="4">
        <f t="shared" si="257"/>
        <v>0</v>
      </c>
      <c r="AA191" s="4">
        <f t="shared" si="258"/>
        <v>0</v>
      </c>
      <c r="AB191" s="4">
        <f t="shared" si="259"/>
        <v>0</v>
      </c>
      <c r="AC191" s="4"/>
      <c r="AD191" s="4" t="b">
        <f t="shared" si="260"/>
        <v>0</v>
      </c>
      <c r="AE191" s="4" t="b">
        <f t="shared" si="261"/>
        <v>0</v>
      </c>
      <c r="AF191" s="4" t="b">
        <f t="shared" si="262"/>
        <v>0</v>
      </c>
      <c r="AG191" t="b">
        <f t="shared" si="263"/>
        <v>0</v>
      </c>
      <c r="AH191" t="b">
        <f t="shared" si="264"/>
        <v>0</v>
      </c>
      <c r="AI191" t="b">
        <f t="shared" si="265"/>
        <v>0</v>
      </c>
      <c r="AJ191" t="b">
        <f t="shared" si="266"/>
        <v>0</v>
      </c>
      <c r="AK191" t="b">
        <f t="shared" si="267"/>
        <v>0</v>
      </c>
      <c r="AL191" t="b">
        <f t="shared" si="268"/>
        <v>0</v>
      </c>
      <c r="AM191" t="b">
        <f t="shared" si="269"/>
        <v>0</v>
      </c>
      <c r="AN191" t="b">
        <f t="shared" si="270"/>
        <v>0</v>
      </c>
      <c r="AO191" t="b">
        <f t="shared" si="271"/>
        <v>0</v>
      </c>
      <c r="AP191" t="b">
        <f t="shared" si="272"/>
        <v>0</v>
      </c>
      <c r="AQ191" t="b">
        <f t="shared" si="273"/>
        <v>0</v>
      </c>
      <c r="AR191" t="b">
        <f t="shared" si="274"/>
        <v>0</v>
      </c>
      <c r="AS191" t="b">
        <f t="shared" si="275"/>
        <v>0</v>
      </c>
      <c r="AT191" t="b">
        <f t="shared" si="276"/>
        <v>0</v>
      </c>
      <c r="AU191" t="b">
        <f t="shared" si="277"/>
        <v>0</v>
      </c>
      <c r="AV191" t="b">
        <f t="shared" si="278"/>
        <v>0</v>
      </c>
      <c r="AW191" t="b">
        <f t="shared" si="279"/>
        <v>0</v>
      </c>
      <c r="AX191" t="b">
        <f t="shared" si="281"/>
        <v>0</v>
      </c>
      <c r="AY191" t="b">
        <f t="shared" si="282"/>
        <v>0</v>
      </c>
      <c r="AZ191" t="b">
        <f t="shared" si="283"/>
        <v>0</v>
      </c>
      <c r="BA191" t="b">
        <f t="shared" si="284"/>
        <v>0</v>
      </c>
      <c r="BB191" t="b">
        <f t="shared" si="285"/>
        <v>0</v>
      </c>
      <c r="BC191" t="b">
        <f t="shared" si="286"/>
        <v>0</v>
      </c>
      <c r="BD191" t="b">
        <f t="shared" si="287"/>
        <v>0</v>
      </c>
      <c r="BE191" t="b">
        <f t="shared" si="288"/>
        <v>0</v>
      </c>
      <c r="BF191" t="b">
        <f t="shared" si="289"/>
        <v>0</v>
      </c>
      <c r="BG191" t="b">
        <f t="shared" si="290"/>
        <v>0</v>
      </c>
      <c r="BH191" t="b">
        <f t="shared" si="291"/>
        <v>0</v>
      </c>
      <c r="BI191">
        <f t="shared" si="292"/>
        <v>1</v>
      </c>
      <c r="BJ191" t="b">
        <f t="shared" si="293"/>
        <v>0</v>
      </c>
      <c r="BK191" t="b">
        <f t="shared" si="294"/>
        <v>0</v>
      </c>
      <c r="BL191" t="b">
        <f t="shared" si="295"/>
        <v>0</v>
      </c>
      <c r="BM191" t="b">
        <f t="shared" si="296"/>
        <v>0</v>
      </c>
      <c r="BN191" t="b">
        <f t="shared" si="297"/>
        <v>0</v>
      </c>
      <c r="BO191" t="b">
        <f t="shared" si="298"/>
        <v>0</v>
      </c>
      <c r="BP191" t="b">
        <f t="shared" si="299"/>
        <v>0</v>
      </c>
      <c r="BQ191" t="b">
        <f t="shared" si="300"/>
        <v>0</v>
      </c>
      <c r="BR191" t="b">
        <f t="shared" si="301"/>
        <v>0</v>
      </c>
      <c r="BS191" t="b">
        <f t="shared" si="302"/>
        <v>0</v>
      </c>
      <c r="BT191" t="b">
        <f t="shared" si="303"/>
        <v>0</v>
      </c>
      <c r="BU191" t="b">
        <f t="shared" si="304"/>
        <v>0</v>
      </c>
      <c r="BV191" t="b">
        <f t="shared" si="305"/>
        <v>0</v>
      </c>
      <c r="BW191" t="b">
        <f t="shared" si="306"/>
        <v>0</v>
      </c>
      <c r="BX191" t="b">
        <f t="shared" si="307"/>
        <v>0</v>
      </c>
      <c r="BY191" t="b">
        <f t="shared" si="308"/>
        <v>0</v>
      </c>
      <c r="BZ191" t="b">
        <f t="shared" si="309"/>
        <v>0</v>
      </c>
      <c r="CA191" t="b">
        <f t="shared" si="310"/>
        <v>0</v>
      </c>
      <c r="CB191" t="b">
        <f t="shared" si="311"/>
        <v>0</v>
      </c>
      <c r="CC191" t="b">
        <f t="shared" si="312"/>
        <v>0</v>
      </c>
      <c r="CD191" t="b">
        <f t="shared" si="313"/>
        <v>0</v>
      </c>
      <c r="CE191">
        <f t="shared" si="314"/>
        <v>1</v>
      </c>
      <c r="CF191" t="b">
        <f t="shared" si="315"/>
        <v>0</v>
      </c>
      <c r="CG191" t="b">
        <f t="shared" si="316"/>
        <v>0</v>
      </c>
      <c r="CH191" t="b">
        <f t="shared" si="317"/>
        <v>0</v>
      </c>
      <c r="CI191" t="b">
        <f t="shared" si="318"/>
        <v>0</v>
      </c>
      <c r="CJ191" t="b">
        <f t="shared" si="319"/>
        <v>0</v>
      </c>
      <c r="CK191" t="b">
        <f t="shared" si="320"/>
        <v>0</v>
      </c>
      <c r="CL191" t="b">
        <f t="shared" si="321"/>
        <v>0</v>
      </c>
      <c r="CM191">
        <f t="shared" si="322"/>
        <v>1</v>
      </c>
      <c r="CN191" t="b">
        <f t="shared" si="323"/>
        <v>0</v>
      </c>
      <c r="CO191" t="b">
        <f t="shared" si="324"/>
        <v>0</v>
      </c>
      <c r="CP191" t="b">
        <f t="shared" si="325"/>
        <v>0</v>
      </c>
      <c r="CQ191" t="b">
        <f t="shared" si="326"/>
        <v>0</v>
      </c>
      <c r="CR191" t="b">
        <f t="shared" si="327"/>
        <v>0</v>
      </c>
      <c r="CS191" t="b">
        <f t="shared" si="328"/>
        <v>0</v>
      </c>
      <c r="CT191" t="b">
        <f t="shared" si="329"/>
        <v>0</v>
      </c>
      <c r="CU191" t="b">
        <f t="shared" si="330"/>
        <v>0</v>
      </c>
      <c r="CV191">
        <f t="shared" si="331"/>
        <v>1</v>
      </c>
      <c r="CW191">
        <f t="shared" si="332"/>
        <v>1</v>
      </c>
      <c r="CX191" t="b">
        <f t="shared" si="333"/>
        <v>0</v>
      </c>
      <c r="CY191" t="b">
        <f t="shared" si="334"/>
        <v>0</v>
      </c>
      <c r="CZ191" t="b">
        <f t="shared" si="335"/>
        <v>0</v>
      </c>
      <c r="DA191">
        <f t="shared" si="336"/>
        <v>1</v>
      </c>
      <c r="DB191">
        <f t="shared" si="337"/>
        <v>1</v>
      </c>
      <c r="DC191" t="b">
        <f t="shared" si="338"/>
        <v>0</v>
      </c>
      <c r="DD191" t="b">
        <f t="shared" si="339"/>
        <v>0</v>
      </c>
      <c r="DE191" t="b">
        <f t="shared" si="340"/>
        <v>0</v>
      </c>
      <c r="DF191" t="b">
        <f t="shared" si="341"/>
        <v>0</v>
      </c>
      <c r="DG191" t="b">
        <f t="shared" si="342"/>
        <v>0</v>
      </c>
      <c r="DH191" t="b">
        <f t="shared" si="343"/>
        <v>0</v>
      </c>
      <c r="DI191" t="b">
        <f t="shared" si="344"/>
        <v>0</v>
      </c>
      <c r="DJ191" t="b">
        <f t="shared" si="345"/>
        <v>0</v>
      </c>
      <c r="DK191" t="b">
        <f t="shared" si="346"/>
        <v>0</v>
      </c>
      <c r="DL191" t="b">
        <f t="shared" si="347"/>
        <v>0</v>
      </c>
      <c r="DM191" t="b">
        <f t="shared" si="348"/>
        <v>0</v>
      </c>
      <c r="DN191" t="b">
        <f t="shared" si="349"/>
        <v>0</v>
      </c>
      <c r="DO191" t="b">
        <f t="shared" si="350"/>
        <v>0</v>
      </c>
      <c r="DP191" t="b">
        <f t="shared" si="351"/>
        <v>0</v>
      </c>
      <c r="DQ191" t="b">
        <f t="shared" si="352"/>
        <v>0</v>
      </c>
      <c r="DR191" t="b">
        <f t="shared" si="353"/>
        <v>0</v>
      </c>
      <c r="DS191" t="b">
        <f t="shared" si="354"/>
        <v>0</v>
      </c>
      <c r="DT191" t="b">
        <f t="shared" si="355"/>
        <v>0</v>
      </c>
      <c r="DU191" t="b">
        <f t="shared" si="356"/>
        <v>0</v>
      </c>
      <c r="DV191" t="b">
        <f t="shared" si="357"/>
        <v>0</v>
      </c>
      <c r="DW191" t="b">
        <f t="shared" si="358"/>
        <v>0</v>
      </c>
      <c r="DX191" t="b">
        <f t="shared" si="359"/>
        <v>0</v>
      </c>
      <c r="DY191" t="b">
        <f t="shared" si="360"/>
        <v>0</v>
      </c>
      <c r="DZ191" t="b">
        <f t="shared" si="361"/>
        <v>0</v>
      </c>
      <c r="EA191" t="b">
        <f t="shared" si="362"/>
        <v>0</v>
      </c>
      <c r="EB191" t="b">
        <f t="shared" si="363"/>
        <v>0</v>
      </c>
      <c r="EC191" t="b">
        <f t="shared" si="364"/>
        <v>0</v>
      </c>
      <c r="ED191" t="b">
        <f t="shared" si="365"/>
        <v>0</v>
      </c>
      <c r="EE191" t="b">
        <f t="shared" si="366"/>
        <v>0</v>
      </c>
      <c r="EF191">
        <f t="shared" si="367"/>
        <v>1</v>
      </c>
      <c r="EG191" t="b">
        <f t="shared" si="368"/>
        <v>0</v>
      </c>
      <c r="EH191" t="b">
        <f t="shared" si="369"/>
        <v>0</v>
      </c>
      <c r="EI191">
        <f t="shared" si="370"/>
        <v>1</v>
      </c>
      <c r="EJ191" t="b">
        <f t="shared" si="371"/>
        <v>0</v>
      </c>
      <c r="EK191" t="b">
        <f t="shared" si="372"/>
        <v>0</v>
      </c>
    </row>
    <row r="192" spans="1:141">
      <c r="A192" t="s">
        <v>1062</v>
      </c>
      <c r="B192" t="s">
        <v>1062</v>
      </c>
      <c r="C192" t="s">
        <v>1063</v>
      </c>
      <c r="D192" s="1">
        <v>44099</v>
      </c>
      <c r="E192" s="2">
        <v>44758.327384259261</v>
      </c>
      <c r="F192" s="2">
        <v>44758.327384259261</v>
      </c>
      <c r="G192">
        <v>1197620</v>
      </c>
      <c r="H192" t="s">
        <v>1064</v>
      </c>
      <c r="I192" s="10" t="s">
        <v>1065</v>
      </c>
      <c r="J192" t="s">
        <v>1066</v>
      </c>
      <c r="K192" s="8" t="b">
        <v>1</v>
      </c>
      <c r="L192" s="10" t="b">
        <v>0</v>
      </c>
      <c r="M192" s="12" t="b">
        <v>0</v>
      </c>
      <c r="N192" t="b">
        <v>0</v>
      </c>
      <c r="O192" t="b">
        <v>0</v>
      </c>
      <c r="P192" t="b">
        <v>0</v>
      </c>
      <c r="Q192">
        <f t="shared" si="249"/>
        <v>6</v>
      </c>
      <c r="R192">
        <f t="shared" si="250"/>
        <v>9</v>
      </c>
      <c r="S192" t="e">
        <f t="shared" ca="1" si="280"/>
        <v>#NAME?</v>
      </c>
      <c r="T192" t="e">
        <f t="shared" ca="1" si="251"/>
        <v>#NAME?</v>
      </c>
      <c r="U192" s="4">
        <f t="shared" si="252"/>
        <v>659.32738425926073</v>
      </c>
      <c r="V192" s="4">
        <f t="shared" si="253"/>
        <v>21.977579475308691</v>
      </c>
      <c r="W192" s="4">
        <f t="shared" si="254"/>
        <v>1</v>
      </c>
      <c r="X192" s="4">
        <f t="shared" si="255"/>
        <v>0</v>
      </c>
      <c r="Y192" s="4">
        <f t="shared" si="256"/>
        <v>0</v>
      </c>
      <c r="Z192" s="4">
        <f t="shared" si="257"/>
        <v>0</v>
      </c>
      <c r="AA192" s="4">
        <f t="shared" si="258"/>
        <v>0</v>
      </c>
      <c r="AB192" s="4">
        <f t="shared" si="259"/>
        <v>0</v>
      </c>
      <c r="AC192" s="4"/>
      <c r="AD192" s="4" t="b">
        <f t="shared" si="260"/>
        <v>0</v>
      </c>
      <c r="AE192" s="4" t="b">
        <f t="shared" si="261"/>
        <v>0</v>
      </c>
      <c r="AF192" s="4" t="b">
        <f t="shared" si="262"/>
        <v>0</v>
      </c>
      <c r="AG192" t="b">
        <f t="shared" si="263"/>
        <v>0</v>
      </c>
      <c r="AH192" t="b">
        <f t="shared" si="264"/>
        <v>0</v>
      </c>
      <c r="AI192" t="b">
        <f t="shared" si="265"/>
        <v>0</v>
      </c>
      <c r="AJ192" t="b">
        <f t="shared" si="266"/>
        <v>0</v>
      </c>
      <c r="AK192" t="b">
        <f t="shared" si="267"/>
        <v>0</v>
      </c>
      <c r="AL192" t="b">
        <f t="shared" si="268"/>
        <v>0</v>
      </c>
      <c r="AM192" t="b">
        <f t="shared" si="269"/>
        <v>0</v>
      </c>
      <c r="AN192" t="b">
        <f t="shared" si="270"/>
        <v>0</v>
      </c>
      <c r="AO192" t="b">
        <f t="shared" si="271"/>
        <v>0</v>
      </c>
      <c r="AP192" t="b">
        <f t="shared" si="272"/>
        <v>0</v>
      </c>
      <c r="AQ192" t="b">
        <f t="shared" si="273"/>
        <v>0</v>
      </c>
      <c r="AR192" t="b">
        <f t="shared" si="274"/>
        <v>0</v>
      </c>
      <c r="AS192" t="b">
        <f t="shared" si="275"/>
        <v>0</v>
      </c>
      <c r="AT192" t="b">
        <f t="shared" si="276"/>
        <v>0</v>
      </c>
      <c r="AU192" t="b">
        <f t="shared" si="277"/>
        <v>0</v>
      </c>
      <c r="AV192" t="b">
        <f t="shared" si="278"/>
        <v>0</v>
      </c>
      <c r="AW192" t="b">
        <f t="shared" si="279"/>
        <v>0</v>
      </c>
      <c r="AX192" t="b">
        <f t="shared" si="281"/>
        <v>0</v>
      </c>
      <c r="AY192" t="b">
        <f t="shared" si="282"/>
        <v>0</v>
      </c>
      <c r="AZ192">
        <f t="shared" si="283"/>
        <v>1</v>
      </c>
      <c r="BA192" t="b">
        <f t="shared" si="284"/>
        <v>0</v>
      </c>
      <c r="BB192" t="b">
        <f t="shared" si="285"/>
        <v>0</v>
      </c>
      <c r="BC192" t="b">
        <f t="shared" si="286"/>
        <v>0</v>
      </c>
      <c r="BD192" t="b">
        <f t="shared" si="287"/>
        <v>0</v>
      </c>
      <c r="BE192" t="b">
        <f t="shared" si="288"/>
        <v>0</v>
      </c>
      <c r="BF192" t="b">
        <f t="shared" si="289"/>
        <v>0</v>
      </c>
      <c r="BG192" t="b">
        <f t="shared" si="290"/>
        <v>0</v>
      </c>
      <c r="BH192" t="b">
        <f t="shared" si="291"/>
        <v>0</v>
      </c>
      <c r="BI192">
        <f t="shared" si="292"/>
        <v>1</v>
      </c>
      <c r="BJ192" t="b">
        <f t="shared" si="293"/>
        <v>0</v>
      </c>
      <c r="BK192" t="b">
        <f t="shared" si="294"/>
        <v>0</v>
      </c>
      <c r="BL192" t="b">
        <f t="shared" si="295"/>
        <v>0</v>
      </c>
      <c r="BM192" t="b">
        <f t="shared" si="296"/>
        <v>0</v>
      </c>
      <c r="BN192" t="b">
        <f t="shared" si="297"/>
        <v>0</v>
      </c>
      <c r="BO192" t="b">
        <f t="shared" si="298"/>
        <v>0</v>
      </c>
      <c r="BP192" t="b">
        <f t="shared" si="299"/>
        <v>0</v>
      </c>
      <c r="BQ192" t="b">
        <f t="shared" si="300"/>
        <v>0</v>
      </c>
      <c r="BR192">
        <f t="shared" si="301"/>
        <v>1</v>
      </c>
      <c r="BS192">
        <f t="shared" si="302"/>
        <v>1</v>
      </c>
      <c r="BT192" t="b">
        <f t="shared" si="303"/>
        <v>0</v>
      </c>
      <c r="BU192" t="b">
        <f t="shared" si="304"/>
        <v>0</v>
      </c>
      <c r="BV192" t="b">
        <f t="shared" si="305"/>
        <v>0</v>
      </c>
      <c r="BW192" t="b">
        <f t="shared" si="306"/>
        <v>0</v>
      </c>
      <c r="BX192" t="b">
        <f t="shared" si="307"/>
        <v>0</v>
      </c>
      <c r="BY192" t="b">
        <f t="shared" si="308"/>
        <v>0</v>
      </c>
      <c r="BZ192" t="b">
        <f t="shared" si="309"/>
        <v>0</v>
      </c>
      <c r="CA192" t="b">
        <f t="shared" si="310"/>
        <v>0</v>
      </c>
      <c r="CB192" t="b">
        <f t="shared" si="311"/>
        <v>0</v>
      </c>
      <c r="CC192" t="b">
        <f t="shared" si="312"/>
        <v>0</v>
      </c>
      <c r="CD192" t="b">
        <f t="shared" si="313"/>
        <v>0</v>
      </c>
      <c r="CE192" t="b">
        <f t="shared" si="314"/>
        <v>0</v>
      </c>
      <c r="CF192" t="b">
        <f t="shared" si="315"/>
        <v>0</v>
      </c>
      <c r="CG192" t="b">
        <f t="shared" si="316"/>
        <v>0</v>
      </c>
      <c r="CH192" t="b">
        <f t="shared" si="317"/>
        <v>0</v>
      </c>
      <c r="CI192" t="b">
        <f t="shared" si="318"/>
        <v>0</v>
      </c>
      <c r="CJ192" t="b">
        <f t="shared" si="319"/>
        <v>0</v>
      </c>
      <c r="CK192" t="b">
        <f t="shared" si="320"/>
        <v>0</v>
      </c>
      <c r="CL192" t="b">
        <f t="shared" si="321"/>
        <v>0</v>
      </c>
      <c r="CM192" t="b">
        <f t="shared" si="322"/>
        <v>0</v>
      </c>
      <c r="CN192" t="b">
        <f t="shared" si="323"/>
        <v>0</v>
      </c>
      <c r="CO192" t="b">
        <f t="shared" si="324"/>
        <v>0</v>
      </c>
      <c r="CP192" t="b">
        <f t="shared" si="325"/>
        <v>0</v>
      </c>
      <c r="CQ192" t="b">
        <f t="shared" si="326"/>
        <v>0</v>
      </c>
      <c r="CR192" t="b">
        <f t="shared" si="327"/>
        <v>0</v>
      </c>
      <c r="CS192" t="b">
        <f t="shared" si="328"/>
        <v>0</v>
      </c>
      <c r="CT192" t="b">
        <f t="shared" si="329"/>
        <v>0</v>
      </c>
      <c r="CU192" t="b">
        <f t="shared" si="330"/>
        <v>0</v>
      </c>
      <c r="CV192">
        <f t="shared" si="331"/>
        <v>1</v>
      </c>
      <c r="CW192" t="b">
        <f t="shared" si="332"/>
        <v>0</v>
      </c>
      <c r="CX192" t="b">
        <f t="shared" si="333"/>
        <v>0</v>
      </c>
      <c r="CY192" t="b">
        <f t="shared" si="334"/>
        <v>0</v>
      </c>
      <c r="CZ192" t="b">
        <f t="shared" si="335"/>
        <v>0</v>
      </c>
      <c r="DA192" t="b">
        <f t="shared" si="336"/>
        <v>0</v>
      </c>
      <c r="DB192" t="b">
        <f t="shared" si="337"/>
        <v>0</v>
      </c>
      <c r="DC192" t="b">
        <f t="shared" si="338"/>
        <v>0</v>
      </c>
      <c r="DD192" t="b">
        <f t="shared" si="339"/>
        <v>0</v>
      </c>
      <c r="DE192" t="b">
        <f t="shared" si="340"/>
        <v>0</v>
      </c>
      <c r="DF192" t="b">
        <f t="shared" si="341"/>
        <v>0</v>
      </c>
      <c r="DG192" t="b">
        <f t="shared" si="342"/>
        <v>0</v>
      </c>
      <c r="DH192" t="b">
        <f t="shared" si="343"/>
        <v>0</v>
      </c>
      <c r="DI192" t="b">
        <f t="shared" si="344"/>
        <v>0</v>
      </c>
      <c r="DJ192" t="b">
        <f t="shared" si="345"/>
        <v>0</v>
      </c>
      <c r="DK192" t="b">
        <f t="shared" si="346"/>
        <v>0</v>
      </c>
      <c r="DL192" t="b">
        <f t="shared" si="347"/>
        <v>0</v>
      </c>
      <c r="DM192" t="b">
        <f t="shared" si="348"/>
        <v>0</v>
      </c>
      <c r="DN192" t="b">
        <f t="shared" si="349"/>
        <v>0</v>
      </c>
      <c r="DO192" t="b">
        <f t="shared" si="350"/>
        <v>0</v>
      </c>
      <c r="DP192" t="b">
        <f t="shared" si="351"/>
        <v>0</v>
      </c>
      <c r="DQ192" t="b">
        <f t="shared" si="352"/>
        <v>0</v>
      </c>
      <c r="DR192" t="b">
        <f t="shared" si="353"/>
        <v>0</v>
      </c>
      <c r="DS192" t="b">
        <f t="shared" si="354"/>
        <v>0</v>
      </c>
      <c r="DT192" t="b">
        <f t="shared" si="355"/>
        <v>0</v>
      </c>
      <c r="DU192" t="b">
        <f t="shared" si="356"/>
        <v>0</v>
      </c>
      <c r="DV192" t="b">
        <f t="shared" si="357"/>
        <v>0</v>
      </c>
      <c r="DW192" t="b">
        <f t="shared" si="358"/>
        <v>0</v>
      </c>
      <c r="DX192" t="b">
        <f t="shared" si="359"/>
        <v>0</v>
      </c>
      <c r="DY192" t="b">
        <f t="shared" si="360"/>
        <v>0</v>
      </c>
      <c r="DZ192" t="b">
        <f t="shared" si="361"/>
        <v>0</v>
      </c>
      <c r="EA192" t="b">
        <f t="shared" si="362"/>
        <v>0</v>
      </c>
      <c r="EB192" t="b">
        <f t="shared" si="363"/>
        <v>0</v>
      </c>
      <c r="EC192" t="b">
        <f t="shared" si="364"/>
        <v>0</v>
      </c>
      <c r="ED192" t="b">
        <f t="shared" si="365"/>
        <v>0</v>
      </c>
      <c r="EE192" t="b">
        <f t="shared" si="366"/>
        <v>0</v>
      </c>
      <c r="EF192">
        <f t="shared" si="367"/>
        <v>1</v>
      </c>
      <c r="EG192" t="b">
        <f t="shared" si="368"/>
        <v>0</v>
      </c>
      <c r="EH192" t="b">
        <f t="shared" si="369"/>
        <v>0</v>
      </c>
      <c r="EI192" t="b">
        <f t="shared" si="370"/>
        <v>0</v>
      </c>
      <c r="EJ192" t="b">
        <f t="shared" si="371"/>
        <v>0</v>
      </c>
      <c r="EK192" t="b">
        <f t="shared" si="372"/>
        <v>0</v>
      </c>
    </row>
    <row r="193" spans="1:141">
      <c r="A193" t="s">
        <v>1067</v>
      </c>
      <c r="B193" t="s">
        <v>1068</v>
      </c>
      <c r="D193" s="1">
        <v>43258</v>
      </c>
      <c r="E193" s="2">
        <v>43262.403668981482</v>
      </c>
      <c r="F193" s="2">
        <v>43262.403668981482</v>
      </c>
      <c r="G193">
        <v>655161</v>
      </c>
      <c r="H193" t="s">
        <v>1069</v>
      </c>
      <c r="I193" s="10" t="s">
        <v>1070</v>
      </c>
      <c r="J193" t="s">
        <v>147</v>
      </c>
      <c r="K193" s="8" t="b">
        <v>1</v>
      </c>
      <c r="L193" s="10" t="b">
        <v>0</v>
      </c>
      <c r="M193" s="12" t="b">
        <v>0</v>
      </c>
      <c r="N193" t="b">
        <v>0</v>
      </c>
      <c r="O193" t="b">
        <v>0</v>
      </c>
      <c r="P193" t="b">
        <v>0</v>
      </c>
      <c r="Q193">
        <f t="shared" si="249"/>
        <v>5</v>
      </c>
      <c r="R193">
        <f t="shared" si="250"/>
        <v>6</v>
      </c>
      <c r="S193" t="e">
        <f t="shared" ca="1" si="280"/>
        <v>#NAME?</v>
      </c>
      <c r="T193" t="e">
        <f t="shared" ca="1" si="251"/>
        <v>#NAME?</v>
      </c>
      <c r="U193" s="4">
        <f t="shared" si="252"/>
        <v>4.403668981482042</v>
      </c>
      <c r="V193" s="4">
        <f t="shared" si="253"/>
        <v>0.14678896604940139</v>
      </c>
      <c r="W193" s="4">
        <f t="shared" si="254"/>
        <v>1</v>
      </c>
      <c r="X193" s="4">
        <f t="shared" si="255"/>
        <v>0</v>
      </c>
      <c r="Y193" s="4">
        <f t="shared" si="256"/>
        <v>0</v>
      </c>
      <c r="Z193" s="4">
        <f t="shared" si="257"/>
        <v>0</v>
      </c>
      <c r="AA193" s="4">
        <f t="shared" si="258"/>
        <v>0</v>
      </c>
      <c r="AB193" s="4">
        <f t="shared" si="259"/>
        <v>0</v>
      </c>
      <c r="AC193" s="4"/>
      <c r="AD193" s="4" t="b">
        <f t="shared" si="260"/>
        <v>0</v>
      </c>
      <c r="AE193" s="4" t="b">
        <f t="shared" si="261"/>
        <v>0</v>
      </c>
      <c r="AF193" s="4" t="b">
        <f t="shared" si="262"/>
        <v>0</v>
      </c>
      <c r="AG193" t="b">
        <f t="shared" si="263"/>
        <v>0</v>
      </c>
      <c r="AH193" t="b">
        <f t="shared" si="264"/>
        <v>0</v>
      </c>
      <c r="AI193" t="b">
        <f t="shared" si="265"/>
        <v>0</v>
      </c>
      <c r="AJ193" t="b">
        <f t="shared" si="266"/>
        <v>0</v>
      </c>
      <c r="AK193" t="b">
        <f t="shared" si="267"/>
        <v>0</v>
      </c>
      <c r="AL193" t="b">
        <f t="shared" si="268"/>
        <v>0</v>
      </c>
      <c r="AM193" t="b">
        <f t="shared" si="269"/>
        <v>0</v>
      </c>
      <c r="AN193" t="b">
        <f t="shared" si="270"/>
        <v>0</v>
      </c>
      <c r="AO193" t="b">
        <f t="shared" si="271"/>
        <v>0</v>
      </c>
      <c r="AP193" t="b">
        <f t="shared" si="272"/>
        <v>0</v>
      </c>
      <c r="AQ193" t="b">
        <f t="shared" si="273"/>
        <v>0</v>
      </c>
      <c r="AR193" t="b">
        <f t="shared" si="274"/>
        <v>0</v>
      </c>
      <c r="AS193" t="b">
        <f t="shared" si="275"/>
        <v>0</v>
      </c>
      <c r="AT193" t="b">
        <f t="shared" si="276"/>
        <v>0</v>
      </c>
      <c r="AU193" t="b">
        <f t="shared" si="277"/>
        <v>0</v>
      </c>
      <c r="AV193" t="b">
        <f t="shared" si="278"/>
        <v>0</v>
      </c>
      <c r="AW193" t="b">
        <f t="shared" si="279"/>
        <v>0</v>
      </c>
      <c r="AX193" t="b">
        <f t="shared" si="281"/>
        <v>0</v>
      </c>
      <c r="AY193" t="b">
        <f t="shared" si="282"/>
        <v>0</v>
      </c>
      <c r="AZ193" t="b">
        <f t="shared" si="283"/>
        <v>0</v>
      </c>
      <c r="BA193" t="b">
        <f t="shared" si="284"/>
        <v>0</v>
      </c>
      <c r="BB193" t="b">
        <f t="shared" si="285"/>
        <v>0</v>
      </c>
      <c r="BC193" t="b">
        <f t="shared" si="286"/>
        <v>0</v>
      </c>
      <c r="BD193" t="b">
        <f t="shared" si="287"/>
        <v>0</v>
      </c>
      <c r="BE193" t="b">
        <f t="shared" si="288"/>
        <v>0</v>
      </c>
      <c r="BF193" t="b">
        <f t="shared" si="289"/>
        <v>0</v>
      </c>
      <c r="BG193" t="b">
        <f t="shared" si="290"/>
        <v>0</v>
      </c>
      <c r="BH193" t="b">
        <f t="shared" si="291"/>
        <v>0</v>
      </c>
      <c r="BI193">
        <f t="shared" si="292"/>
        <v>1</v>
      </c>
      <c r="BJ193" t="b">
        <f t="shared" si="293"/>
        <v>0</v>
      </c>
      <c r="BK193" t="b">
        <f t="shared" si="294"/>
        <v>0</v>
      </c>
      <c r="BL193" t="b">
        <f t="shared" si="295"/>
        <v>0</v>
      </c>
      <c r="BM193" t="b">
        <f t="shared" si="296"/>
        <v>0</v>
      </c>
      <c r="BN193" t="b">
        <f t="shared" si="297"/>
        <v>0</v>
      </c>
      <c r="BO193" t="b">
        <f t="shared" si="298"/>
        <v>0</v>
      </c>
      <c r="BP193" t="b">
        <f t="shared" si="299"/>
        <v>0</v>
      </c>
      <c r="BQ193" t="b">
        <f t="shared" si="300"/>
        <v>0</v>
      </c>
      <c r="BR193" t="b">
        <f t="shared" si="301"/>
        <v>0</v>
      </c>
      <c r="BS193" t="b">
        <f t="shared" si="302"/>
        <v>0</v>
      </c>
      <c r="BT193" t="b">
        <f t="shared" si="303"/>
        <v>0</v>
      </c>
      <c r="BU193" t="b">
        <f t="shared" si="304"/>
        <v>0</v>
      </c>
      <c r="BV193" t="b">
        <f t="shared" si="305"/>
        <v>0</v>
      </c>
      <c r="BW193" t="b">
        <f t="shared" si="306"/>
        <v>0</v>
      </c>
      <c r="BX193" t="b">
        <f t="shared" si="307"/>
        <v>0</v>
      </c>
      <c r="BY193" t="b">
        <f t="shared" si="308"/>
        <v>0</v>
      </c>
      <c r="BZ193" t="b">
        <f t="shared" si="309"/>
        <v>0</v>
      </c>
      <c r="CA193" t="b">
        <f t="shared" si="310"/>
        <v>0</v>
      </c>
      <c r="CB193" t="b">
        <f t="shared" si="311"/>
        <v>0</v>
      </c>
      <c r="CC193" t="b">
        <f t="shared" si="312"/>
        <v>0</v>
      </c>
      <c r="CD193" t="b">
        <f t="shared" si="313"/>
        <v>0</v>
      </c>
      <c r="CE193" t="b">
        <f t="shared" si="314"/>
        <v>0</v>
      </c>
      <c r="CF193" t="b">
        <f t="shared" si="315"/>
        <v>0</v>
      </c>
      <c r="CG193" t="b">
        <f t="shared" si="316"/>
        <v>0</v>
      </c>
      <c r="CH193" t="b">
        <f t="shared" si="317"/>
        <v>0</v>
      </c>
      <c r="CI193" t="b">
        <f t="shared" si="318"/>
        <v>0</v>
      </c>
      <c r="CJ193" t="b">
        <f t="shared" si="319"/>
        <v>0</v>
      </c>
      <c r="CK193" t="b">
        <f t="shared" si="320"/>
        <v>0</v>
      </c>
      <c r="CL193" t="b">
        <f t="shared" si="321"/>
        <v>0</v>
      </c>
      <c r="CM193" t="b">
        <f t="shared" si="322"/>
        <v>0</v>
      </c>
      <c r="CN193" t="b">
        <f t="shared" si="323"/>
        <v>0</v>
      </c>
      <c r="CO193" t="b">
        <f t="shared" si="324"/>
        <v>0</v>
      </c>
      <c r="CP193" t="b">
        <f t="shared" si="325"/>
        <v>0</v>
      </c>
      <c r="CQ193" t="b">
        <f t="shared" si="326"/>
        <v>0</v>
      </c>
      <c r="CR193" t="b">
        <f t="shared" si="327"/>
        <v>0</v>
      </c>
      <c r="CS193" t="b">
        <f t="shared" si="328"/>
        <v>0</v>
      </c>
      <c r="CT193" t="b">
        <f t="shared" si="329"/>
        <v>0</v>
      </c>
      <c r="CU193" t="b">
        <f t="shared" si="330"/>
        <v>0</v>
      </c>
      <c r="CV193">
        <f t="shared" si="331"/>
        <v>1</v>
      </c>
      <c r="CW193" t="b">
        <f t="shared" si="332"/>
        <v>0</v>
      </c>
      <c r="CX193" t="b">
        <f t="shared" si="333"/>
        <v>0</v>
      </c>
      <c r="CY193" t="b">
        <f t="shared" si="334"/>
        <v>0</v>
      </c>
      <c r="CZ193" t="b">
        <f t="shared" si="335"/>
        <v>0</v>
      </c>
      <c r="DA193" t="b">
        <f t="shared" si="336"/>
        <v>0</v>
      </c>
      <c r="DB193" t="b">
        <f t="shared" si="337"/>
        <v>0</v>
      </c>
      <c r="DC193" t="b">
        <f t="shared" si="338"/>
        <v>0</v>
      </c>
      <c r="DD193" t="b">
        <f t="shared" si="339"/>
        <v>0</v>
      </c>
      <c r="DE193" t="b">
        <f t="shared" si="340"/>
        <v>0</v>
      </c>
      <c r="DF193" t="b">
        <f t="shared" si="341"/>
        <v>0</v>
      </c>
      <c r="DG193" t="b">
        <f t="shared" si="342"/>
        <v>0</v>
      </c>
      <c r="DH193" t="b">
        <f t="shared" si="343"/>
        <v>0</v>
      </c>
      <c r="DI193" t="b">
        <f t="shared" si="344"/>
        <v>0</v>
      </c>
      <c r="DJ193" t="b">
        <f t="shared" si="345"/>
        <v>0</v>
      </c>
      <c r="DK193" t="b">
        <f t="shared" si="346"/>
        <v>0</v>
      </c>
      <c r="DL193" t="b">
        <f t="shared" si="347"/>
        <v>0</v>
      </c>
      <c r="DM193" t="b">
        <f t="shared" si="348"/>
        <v>0</v>
      </c>
      <c r="DN193" t="b">
        <f t="shared" si="349"/>
        <v>0</v>
      </c>
      <c r="DO193" t="b">
        <f t="shared" si="350"/>
        <v>0</v>
      </c>
      <c r="DP193" t="b">
        <f t="shared" si="351"/>
        <v>0</v>
      </c>
      <c r="DQ193" t="b">
        <f t="shared" si="352"/>
        <v>0</v>
      </c>
      <c r="DR193" t="b">
        <f t="shared" si="353"/>
        <v>0</v>
      </c>
      <c r="DS193" t="b">
        <f t="shared" si="354"/>
        <v>0</v>
      </c>
      <c r="DT193" t="b">
        <f t="shared" si="355"/>
        <v>0</v>
      </c>
      <c r="DU193" t="b">
        <f t="shared" si="356"/>
        <v>0</v>
      </c>
      <c r="DV193" t="b">
        <f t="shared" si="357"/>
        <v>0</v>
      </c>
      <c r="DW193" t="b">
        <f t="shared" si="358"/>
        <v>0</v>
      </c>
      <c r="DX193" t="b">
        <f t="shared" si="359"/>
        <v>0</v>
      </c>
      <c r="DY193" t="b">
        <f t="shared" si="360"/>
        <v>0</v>
      </c>
      <c r="DZ193" t="b">
        <f t="shared" si="361"/>
        <v>0</v>
      </c>
      <c r="EA193" t="b">
        <f t="shared" si="362"/>
        <v>0</v>
      </c>
      <c r="EB193" t="b">
        <f t="shared" si="363"/>
        <v>0</v>
      </c>
      <c r="EC193" t="b">
        <f t="shared" si="364"/>
        <v>0</v>
      </c>
      <c r="ED193" t="b">
        <f t="shared" si="365"/>
        <v>0</v>
      </c>
      <c r="EE193" t="b">
        <f t="shared" si="366"/>
        <v>0</v>
      </c>
      <c r="EF193" t="b">
        <f t="shared" si="367"/>
        <v>0</v>
      </c>
      <c r="EG193" t="b">
        <f t="shared" si="368"/>
        <v>0</v>
      </c>
      <c r="EH193" t="b">
        <f t="shared" si="369"/>
        <v>0</v>
      </c>
      <c r="EI193" t="b">
        <f t="shared" si="370"/>
        <v>0</v>
      </c>
      <c r="EJ193" t="b">
        <f t="shared" si="371"/>
        <v>0</v>
      </c>
      <c r="EK193" t="b">
        <f t="shared" si="372"/>
        <v>0</v>
      </c>
    </row>
    <row r="194" spans="1:141">
      <c r="A194" t="s">
        <v>1071</v>
      </c>
      <c r="B194" t="s">
        <v>1072</v>
      </c>
      <c r="C194" t="s">
        <v>1073</v>
      </c>
      <c r="D194" s="1">
        <v>42620</v>
      </c>
      <c r="E194" s="2">
        <v>42628.001238425924</v>
      </c>
      <c r="F194" s="2">
        <v>42628.001238425924</v>
      </c>
      <c r="G194">
        <v>81830</v>
      </c>
      <c r="H194" t="s">
        <v>1074</v>
      </c>
      <c r="I194" s="10" t="s">
        <v>1075</v>
      </c>
      <c r="J194" t="s">
        <v>1076</v>
      </c>
      <c r="K194" s="8" t="b">
        <v>1</v>
      </c>
      <c r="L194" s="10" t="b">
        <v>0</v>
      </c>
      <c r="M194" s="12" t="b">
        <v>0</v>
      </c>
      <c r="N194" t="b">
        <v>0</v>
      </c>
      <c r="O194" t="b">
        <v>0</v>
      </c>
      <c r="P194" t="b">
        <v>0</v>
      </c>
      <c r="Q194">
        <f t="shared" ref="Q194:Q257" si="373">WEEKDAY(D194)</f>
        <v>4</v>
      </c>
      <c r="R194">
        <f t="shared" ref="R194:R257" si="374">MONTH(D194)</f>
        <v>9</v>
      </c>
      <c r="S194" t="e">
        <f t="shared" ca="1" si="280"/>
        <v>#NAME?</v>
      </c>
      <c r="T194" t="e">
        <f t="shared" ref="T194:T257" ca="1" si="375">WhoIsName(C194)</f>
        <v>#NAME?</v>
      </c>
      <c r="U194" s="4">
        <f t="shared" ref="U194:U257" si="376">E194-D194</f>
        <v>8.0012384259243845</v>
      </c>
      <c r="V194" s="4">
        <f t="shared" ref="V194:V257" si="377">U194/30</f>
        <v>0.26670794753081284</v>
      </c>
      <c r="W194" s="4">
        <f t="shared" ref="W194:W257" si="378">IF(K194=TRUE,1,0)</f>
        <v>1</v>
      </c>
      <c r="X194" s="4">
        <f t="shared" ref="X194:X257" si="379">IF(L194=TRUE,1,0)</f>
        <v>0</v>
      </c>
      <c r="Y194" s="4">
        <f t="shared" ref="Y194:Y257" si="380">IF(M194=TRUE,1,0)</f>
        <v>0</v>
      </c>
      <c r="Z194" s="4">
        <f t="shared" ref="Z194:Z257" si="381">IF(N194=TRUE,1,0)</f>
        <v>0</v>
      </c>
      <c r="AA194" s="4">
        <f t="shared" ref="AA194:AA257" si="382">IF(O194=TRUE,1,0)</f>
        <v>0</v>
      </c>
      <c r="AB194" s="4">
        <f t="shared" ref="AB194:AB257" si="383">IF(P194=TRUE,1,0)</f>
        <v>0</v>
      </c>
      <c r="AC194" s="4"/>
      <c r="AD194" s="4" t="b">
        <f t="shared" ref="AD194:AD257" si="384">IFERROR(IF(SEARCH("'Account balances'",J194),1,0),FALSE)</f>
        <v>0</v>
      </c>
      <c r="AE194" s="4" t="b">
        <f t="shared" ref="AE194:AE257" si="385">IFERROR(IF(SEARCH( "'Address book contacts'", J194),1,0),FALSE)</f>
        <v>0</v>
      </c>
      <c r="AF194" s="4" t="b">
        <f t="shared" ref="AF194:AF257" si="386">IFERROR(IF(SEARCH( "'Age groups'", J194),1,0),FALSE)</f>
        <v>0</v>
      </c>
      <c r="AG194" t="b">
        <f t="shared" ref="AG194:AG257" si="387">IFERROR(IF(SEARCH( "'Apps installed on devices'", J194),1,0),FALSE)</f>
        <v>0</v>
      </c>
      <c r="AH194" t="b">
        <f t="shared" ref="AH194:AH257" si="388">IFERROR(IF(SEARCH( "'Astrological signs'", J194),1,0),FALSE)</f>
        <v>0</v>
      </c>
      <c r="AI194" t="b">
        <f t="shared" ref="AI194:AI257" si="389">IFERROR(IF(SEARCH( "'Auth tokens'", J194),1,0),FALSE)</f>
        <v>0</v>
      </c>
      <c r="AJ194" t="b">
        <f t="shared" ref="AJ194:AJ257" si="390">IFERROR(IF(SEARCH( "'Avatars'", J194),1,0),FALSE)</f>
        <v>0</v>
      </c>
      <c r="AK194" t="b">
        <f t="shared" ref="AK194:AK257" si="391">IFERROR(IF(SEARCH( "'Bank account numbers'", J194),1,0),FALSE)</f>
        <v>0</v>
      </c>
      <c r="AL194" t="b">
        <f t="shared" ref="AL194:AL257" si="392">IFERROR(IF(SEARCH( "'Beauty ratings'", J194),1,0),FALSE)</f>
        <v>0</v>
      </c>
      <c r="AM194" t="b">
        <f t="shared" ref="AM194:AM257" si="393">IFERROR(IF(SEARCH( "'Biometric data'", J194),1,0),FALSE)</f>
        <v>0</v>
      </c>
      <c r="AN194" t="b">
        <f t="shared" ref="AN194:AN257" si="394">IFERROR(IF(SEARCH( "'Bios'", J194),1,0),FALSE)</f>
        <v>0</v>
      </c>
      <c r="AO194" t="b">
        <f t="shared" ref="AO194:AO257" si="395">IFERROR(IF(SEARCH( "'Browser user agent details' ", J194),1,0),FALSE)</f>
        <v>0</v>
      </c>
      <c r="AP194" t="b">
        <f t="shared" ref="AP194:AP257" si="396">IFERROR(IF(SEARCH( "'Buying preferences'", J194),1,0),FALSE)</f>
        <v>0</v>
      </c>
      <c r="AQ194" t="b">
        <f t="shared" ref="AQ194:AQ257" si="397">IFERROR(IF(SEARCH( "'Car ownership statuses'", J194),1,0),FALSE)</f>
        <v>0</v>
      </c>
      <c r="AR194" t="b">
        <f t="shared" ref="AR194:AR257" si="398">IFERROR(IF(SEARCH( "'Cellular network names'", J194),1,0),FALSE)</f>
        <v>0</v>
      </c>
      <c r="AS194" t="b">
        <f t="shared" ref="AS194:AS257" si="399">IFERROR(IF(SEARCH( "'Charitable donations'", J194),1,0),FALSE)</f>
        <v>0</v>
      </c>
      <c r="AT194" t="b">
        <f t="shared" ref="AT194:AT257" si="400">IFERROR(IF(SEARCH( "'Chat logs'", J194),1,0),FALSE)</f>
        <v>0</v>
      </c>
      <c r="AU194" t="b">
        <f t="shared" ref="AU194:AU257" si="401">IFERROR(IF(SEARCH( "'Credit card CVV'", J194),1,0),FALSE)</f>
        <v>0</v>
      </c>
      <c r="AV194" t="b">
        <f t="shared" ref="AV194:AV257" si="402">IFERROR(IF(SEARCH( "'Credit cards'", J194),1,0),FALSE)</f>
        <v>0</v>
      </c>
      <c r="AW194" t="b">
        <f t="shared" ref="AW194:AW257" si="403">IFERROR(IF(SEARCH( "'Credit status information'", J194),1,0),FALSE)</f>
        <v>0</v>
      </c>
      <c r="AX194" t="b">
        <f t="shared" si="281"/>
        <v>0</v>
      </c>
      <c r="AY194" t="b">
        <f t="shared" si="282"/>
        <v>0</v>
      </c>
      <c r="AZ194">
        <f t="shared" si="283"/>
        <v>1</v>
      </c>
      <c r="BA194" t="b">
        <f t="shared" si="284"/>
        <v>0</v>
      </c>
      <c r="BB194" t="b">
        <f t="shared" si="285"/>
        <v>0</v>
      </c>
      <c r="BC194" t="b">
        <f t="shared" si="286"/>
        <v>0</v>
      </c>
      <c r="BD194" t="b">
        <f t="shared" si="287"/>
        <v>0</v>
      </c>
      <c r="BE194" t="b">
        <f t="shared" si="288"/>
        <v>0</v>
      </c>
      <c r="BF194" t="b">
        <f t="shared" si="289"/>
        <v>0</v>
      </c>
      <c r="BG194" t="b">
        <f t="shared" si="290"/>
        <v>0</v>
      </c>
      <c r="BH194" t="b">
        <f t="shared" si="291"/>
        <v>0</v>
      </c>
      <c r="BI194">
        <f t="shared" si="292"/>
        <v>1</v>
      </c>
      <c r="BJ194" t="b">
        <f t="shared" si="293"/>
        <v>0</v>
      </c>
      <c r="BK194" t="b">
        <f t="shared" si="294"/>
        <v>0</v>
      </c>
      <c r="BL194" t="b">
        <f t="shared" si="295"/>
        <v>0</v>
      </c>
      <c r="BM194" t="b">
        <f t="shared" si="296"/>
        <v>0</v>
      </c>
      <c r="BN194" t="b">
        <f t="shared" si="297"/>
        <v>0</v>
      </c>
      <c r="BO194" t="b">
        <f t="shared" si="298"/>
        <v>0</v>
      </c>
      <c r="BP194" t="b">
        <f t="shared" si="299"/>
        <v>0</v>
      </c>
      <c r="BQ194" t="b">
        <f t="shared" si="300"/>
        <v>0</v>
      </c>
      <c r="BR194">
        <f t="shared" si="301"/>
        <v>1</v>
      </c>
      <c r="BS194" t="b">
        <f t="shared" si="302"/>
        <v>0</v>
      </c>
      <c r="BT194">
        <f t="shared" si="303"/>
        <v>1</v>
      </c>
      <c r="BU194" t="b">
        <f t="shared" si="304"/>
        <v>0</v>
      </c>
      <c r="BV194" t="b">
        <f t="shared" si="305"/>
        <v>0</v>
      </c>
      <c r="BW194" t="b">
        <f t="shared" si="306"/>
        <v>0</v>
      </c>
      <c r="BX194" t="b">
        <f t="shared" si="307"/>
        <v>0</v>
      </c>
      <c r="BY194" t="b">
        <f t="shared" si="308"/>
        <v>0</v>
      </c>
      <c r="BZ194" t="b">
        <f t="shared" si="309"/>
        <v>0</v>
      </c>
      <c r="CA194" t="b">
        <f t="shared" si="310"/>
        <v>0</v>
      </c>
      <c r="CB194" t="b">
        <f t="shared" si="311"/>
        <v>0</v>
      </c>
      <c r="CC194" t="b">
        <f t="shared" si="312"/>
        <v>0</v>
      </c>
      <c r="CD194" t="b">
        <f t="shared" si="313"/>
        <v>0</v>
      </c>
      <c r="CE194" t="b">
        <f t="shared" si="314"/>
        <v>0</v>
      </c>
      <c r="CF194" t="b">
        <f t="shared" si="315"/>
        <v>0</v>
      </c>
      <c r="CG194" t="b">
        <f t="shared" si="316"/>
        <v>0</v>
      </c>
      <c r="CH194" t="b">
        <f t="shared" si="317"/>
        <v>0</v>
      </c>
      <c r="CI194" t="b">
        <f t="shared" si="318"/>
        <v>0</v>
      </c>
      <c r="CJ194" t="b">
        <f t="shared" si="319"/>
        <v>0</v>
      </c>
      <c r="CK194" t="b">
        <f t="shared" si="320"/>
        <v>0</v>
      </c>
      <c r="CL194" t="b">
        <f t="shared" si="321"/>
        <v>0</v>
      </c>
      <c r="CM194">
        <f t="shared" si="322"/>
        <v>1</v>
      </c>
      <c r="CN194" t="b">
        <f t="shared" si="323"/>
        <v>0</v>
      </c>
      <c r="CO194" t="b">
        <f t="shared" si="324"/>
        <v>0</v>
      </c>
      <c r="CP194" t="b">
        <f t="shared" si="325"/>
        <v>0</v>
      </c>
      <c r="CQ194" t="b">
        <f t="shared" si="326"/>
        <v>0</v>
      </c>
      <c r="CR194" t="b">
        <f t="shared" si="327"/>
        <v>0</v>
      </c>
      <c r="CS194" t="b">
        <f t="shared" si="328"/>
        <v>0</v>
      </c>
      <c r="CT194" t="b">
        <f t="shared" si="329"/>
        <v>0</v>
      </c>
      <c r="CU194">
        <f t="shared" si="330"/>
        <v>1</v>
      </c>
      <c r="CV194">
        <f t="shared" si="331"/>
        <v>1</v>
      </c>
      <c r="CW194" t="b">
        <f t="shared" si="332"/>
        <v>0</v>
      </c>
      <c r="CX194" t="b">
        <f t="shared" si="333"/>
        <v>0</v>
      </c>
      <c r="CY194" t="b">
        <f t="shared" si="334"/>
        <v>0</v>
      </c>
      <c r="CZ194" t="b">
        <f t="shared" si="335"/>
        <v>0</v>
      </c>
      <c r="DA194">
        <f t="shared" si="336"/>
        <v>1</v>
      </c>
      <c r="DB194">
        <f t="shared" si="337"/>
        <v>1</v>
      </c>
      <c r="DC194" t="b">
        <f t="shared" si="338"/>
        <v>0</v>
      </c>
      <c r="DD194" t="b">
        <f t="shared" si="339"/>
        <v>0</v>
      </c>
      <c r="DE194" t="b">
        <f t="shared" si="340"/>
        <v>0</v>
      </c>
      <c r="DF194" t="b">
        <f t="shared" si="341"/>
        <v>0</v>
      </c>
      <c r="DG194" t="b">
        <f t="shared" si="342"/>
        <v>0</v>
      </c>
      <c r="DH194" t="b">
        <f t="shared" si="343"/>
        <v>0</v>
      </c>
      <c r="DI194" t="b">
        <f t="shared" si="344"/>
        <v>0</v>
      </c>
      <c r="DJ194" t="b">
        <f t="shared" si="345"/>
        <v>0</v>
      </c>
      <c r="DK194" t="b">
        <f t="shared" si="346"/>
        <v>0</v>
      </c>
      <c r="DL194" t="b">
        <f t="shared" si="347"/>
        <v>0</v>
      </c>
      <c r="DM194" t="b">
        <f t="shared" si="348"/>
        <v>0</v>
      </c>
      <c r="DN194" t="b">
        <f t="shared" si="349"/>
        <v>0</v>
      </c>
      <c r="DO194" t="b">
        <f t="shared" si="350"/>
        <v>0</v>
      </c>
      <c r="DP194" t="b">
        <f t="shared" si="351"/>
        <v>0</v>
      </c>
      <c r="DQ194" t="b">
        <f t="shared" si="352"/>
        <v>0</v>
      </c>
      <c r="DR194" t="b">
        <f t="shared" si="353"/>
        <v>0</v>
      </c>
      <c r="DS194" t="b">
        <f t="shared" si="354"/>
        <v>0</v>
      </c>
      <c r="DT194" t="b">
        <f t="shared" si="355"/>
        <v>0</v>
      </c>
      <c r="DU194" t="b">
        <f t="shared" si="356"/>
        <v>0</v>
      </c>
      <c r="DV194" t="b">
        <f t="shared" si="357"/>
        <v>0</v>
      </c>
      <c r="DW194" t="b">
        <f t="shared" si="358"/>
        <v>0</v>
      </c>
      <c r="DX194" t="b">
        <f t="shared" si="359"/>
        <v>0</v>
      </c>
      <c r="DY194" t="b">
        <f t="shared" si="360"/>
        <v>0</v>
      </c>
      <c r="DZ194" t="b">
        <f t="shared" si="361"/>
        <v>0</v>
      </c>
      <c r="EA194" t="b">
        <f t="shared" si="362"/>
        <v>0</v>
      </c>
      <c r="EB194" t="b">
        <f t="shared" si="363"/>
        <v>0</v>
      </c>
      <c r="EC194" t="b">
        <f t="shared" si="364"/>
        <v>0</v>
      </c>
      <c r="ED194" t="b">
        <f t="shared" si="365"/>
        <v>0</v>
      </c>
      <c r="EE194" t="b">
        <f t="shared" si="366"/>
        <v>0</v>
      </c>
      <c r="EF194" t="b">
        <f t="shared" si="367"/>
        <v>0</v>
      </c>
      <c r="EG194" t="b">
        <f t="shared" si="368"/>
        <v>0</v>
      </c>
      <c r="EH194" t="b">
        <f t="shared" si="369"/>
        <v>0</v>
      </c>
      <c r="EI194" t="b">
        <f t="shared" si="370"/>
        <v>0</v>
      </c>
      <c r="EJ194" t="b">
        <f t="shared" si="371"/>
        <v>0</v>
      </c>
      <c r="EK194" t="b">
        <f t="shared" si="372"/>
        <v>0</v>
      </c>
    </row>
    <row r="195" spans="1:141">
      <c r="A195" t="s">
        <v>1077</v>
      </c>
      <c r="B195" t="s">
        <v>1077</v>
      </c>
      <c r="C195" t="s">
        <v>1078</v>
      </c>
      <c r="D195" s="1">
        <v>42720</v>
      </c>
      <c r="E195" s="2">
        <v>42724.997523148151</v>
      </c>
      <c r="F195" s="2">
        <v>42724.997523148151</v>
      </c>
      <c r="G195">
        <v>16431</v>
      </c>
      <c r="H195" t="s">
        <v>1079</v>
      </c>
      <c r="I195" s="10" t="s">
        <v>1080</v>
      </c>
      <c r="J195" t="s">
        <v>268</v>
      </c>
      <c r="K195" s="8" t="b">
        <v>1</v>
      </c>
      <c r="L195" s="10" t="b">
        <v>0</v>
      </c>
      <c r="M195" s="12" t="b">
        <v>0</v>
      </c>
      <c r="N195" t="b">
        <v>0</v>
      </c>
      <c r="O195" t="b">
        <v>0</v>
      </c>
      <c r="P195" t="b">
        <v>0</v>
      </c>
      <c r="Q195">
        <f t="shared" si="373"/>
        <v>6</v>
      </c>
      <c r="R195">
        <f t="shared" si="374"/>
        <v>12</v>
      </c>
      <c r="S195" t="e">
        <f t="shared" ref="S195:S258" ca="1" si="404">WhoIsorganization(C195)</f>
        <v>#NAME?</v>
      </c>
      <c r="T195" t="e">
        <f t="shared" ca="1" si="375"/>
        <v>#NAME?</v>
      </c>
      <c r="U195" s="4">
        <f t="shared" si="376"/>
        <v>4.997523148151231</v>
      </c>
      <c r="V195" s="4">
        <f t="shared" si="377"/>
        <v>0.16658410493837436</v>
      </c>
      <c r="W195" s="4">
        <f t="shared" si="378"/>
        <v>1</v>
      </c>
      <c r="X195" s="4">
        <f t="shared" si="379"/>
        <v>0</v>
      </c>
      <c r="Y195" s="4">
        <f t="shared" si="380"/>
        <v>0</v>
      </c>
      <c r="Z195" s="4">
        <f t="shared" si="381"/>
        <v>0</v>
      </c>
      <c r="AA195" s="4">
        <f t="shared" si="382"/>
        <v>0</v>
      </c>
      <c r="AB195" s="4">
        <f t="shared" si="383"/>
        <v>0</v>
      </c>
      <c r="AC195" s="4"/>
      <c r="AD195" s="4" t="b">
        <f t="shared" si="384"/>
        <v>0</v>
      </c>
      <c r="AE195" s="4" t="b">
        <f t="shared" si="385"/>
        <v>0</v>
      </c>
      <c r="AF195" s="4" t="b">
        <f t="shared" si="386"/>
        <v>0</v>
      </c>
      <c r="AG195" t="b">
        <f t="shared" si="387"/>
        <v>0</v>
      </c>
      <c r="AH195" t="b">
        <f t="shared" si="388"/>
        <v>0</v>
      </c>
      <c r="AI195" t="b">
        <f t="shared" si="389"/>
        <v>0</v>
      </c>
      <c r="AJ195" t="b">
        <f t="shared" si="390"/>
        <v>0</v>
      </c>
      <c r="AK195" t="b">
        <f t="shared" si="391"/>
        <v>0</v>
      </c>
      <c r="AL195" t="b">
        <f t="shared" si="392"/>
        <v>0</v>
      </c>
      <c r="AM195" t="b">
        <f t="shared" si="393"/>
        <v>0</v>
      </c>
      <c r="AN195" t="b">
        <f t="shared" si="394"/>
        <v>0</v>
      </c>
      <c r="AO195" t="b">
        <f t="shared" si="395"/>
        <v>0</v>
      </c>
      <c r="AP195" t="b">
        <f t="shared" si="396"/>
        <v>0</v>
      </c>
      <c r="AQ195" t="b">
        <f t="shared" si="397"/>
        <v>0</v>
      </c>
      <c r="AR195" t="b">
        <f t="shared" si="398"/>
        <v>0</v>
      </c>
      <c r="AS195" t="b">
        <f t="shared" si="399"/>
        <v>0</v>
      </c>
      <c r="AT195" t="b">
        <f t="shared" si="400"/>
        <v>0</v>
      </c>
      <c r="AU195" t="b">
        <f t="shared" si="401"/>
        <v>0</v>
      </c>
      <c r="AV195" t="b">
        <f t="shared" si="402"/>
        <v>0</v>
      </c>
      <c r="AW195" t="b">
        <f t="shared" si="403"/>
        <v>0</v>
      </c>
      <c r="AX195" t="b">
        <f t="shared" ref="AX195:AX258" si="405">IFERROR(IF(SEARCH( "'Customer feedback'", J195),1,0),FALSE)</f>
        <v>0</v>
      </c>
      <c r="AY195" t="b">
        <f t="shared" ref="AY195:AY258" si="406">IFERROR(IF(SEARCH( "'Customer interactions'  ", J195),1,0),FALSE)</f>
        <v>0</v>
      </c>
      <c r="AZ195" t="b">
        <f t="shared" ref="AZ195:AZ258" si="407">IFERROR(IF(SEARCH( "'Dates of birth'", J195),1,0),FALSE)</f>
        <v>0</v>
      </c>
      <c r="BA195" t="b">
        <f t="shared" ref="BA195:BA258" si="408">IFERROR(IF(SEARCH( "'Deceased statuses'", J195),1,0),FALSE)</f>
        <v>0</v>
      </c>
      <c r="BB195" t="b">
        <f t="shared" ref="BB195:BB258" si="409">IFERROR(IF(SEARCH( "'Device information'", J195),1,0),FALSE)</f>
        <v>0</v>
      </c>
      <c r="BC195" t="b">
        <f t="shared" ref="BC195:BC258" si="410">IFERROR(IF(SEARCH( "'Device serial numbers'", J195),1,0),FALSE)</f>
        <v>0</v>
      </c>
      <c r="BD195" t="b">
        <f t="shared" ref="BD195:BD258" si="411">IFERROR(IF(SEARCH( "'Device usage tracking data'", J195),1,0),FALSE)</f>
        <v>0</v>
      </c>
      <c r="BE195" t="b">
        <f t="shared" ref="BE195:BE258" si="412">IFERROR(IF(SEARCH( "'Drinking habits'", J195),1,0),FALSE)</f>
        <v>0</v>
      </c>
      <c r="BF195" t="b">
        <f t="shared" ref="BF195:BF258" si="413">IFERROR(IF(SEARCH( "'Drinking habits' ", J195),1,0),FALSE)</f>
        <v>0</v>
      </c>
      <c r="BG195" t="b">
        <f t="shared" ref="BG195:BG258" si="414">IFERROR(IF(SEARCH( "'Drug habits'", J195),1,0),FALSE)</f>
        <v>0</v>
      </c>
      <c r="BH195" t="b">
        <f t="shared" ref="BH195:BH258" si="415">IFERROR(IF(SEARCH( "'Education levels'", J195),1,0),FALSE)</f>
        <v>0</v>
      </c>
      <c r="BI195">
        <f t="shared" ref="BI195:BI258" si="416">IFERROR(IF(SEARCH( "'Email addresses'", J195),1,0),FALSE)</f>
        <v>1</v>
      </c>
      <c r="BJ195" t="b">
        <f t="shared" ref="BJ195:BJ258" si="417">IFERROR(IF(SEARCH( "'Employers'", J195),1,0),FALSE)</f>
        <v>0</v>
      </c>
      <c r="BK195" t="b">
        <f t="shared" ref="BK195:BK258" si="418">IFERROR(IF(SEARCH( "'Ethnicities' ", J195),1,0),FALSE)</f>
        <v>0</v>
      </c>
      <c r="BL195" t="b">
        <f t="shared" ref="BL195:BL258" si="419">IFERROR(IF(SEARCH( "'Family members' names'", J195),1,0),FALSE)</f>
        <v>0</v>
      </c>
      <c r="BM195" t="b">
        <f t="shared" ref="BM195:BM258" si="420">IFERROR(IF(SEARCH( "'Family structure", J195),1,0),FALSE)</f>
        <v>0</v>
      </c>
      <c r="BN195" t="b">
        <f t="shared" ref="BN195:BN258" si="421">IFERROR(IF(SEARCH( "'Financial investments'", J195),1,0),FALSE)</f>
        <v>0</v>
      </c>
      <c r="BO195" t="b">
        <f t="shared" ref="BO195:BO258" si="422">IFERROR(IF(SEARCH( "'Financial transactions'", J195),1,0),FALSE)</f>
        <v>0</v>
      </c>
      <c r="BP195" t="b">
        <f t="shared" ref="BP195:BP258" si="423">IFERROR(IF(SEARCH( "'Fitness levels'", J195),1,0),FALSE)</f>
        <v>0</v>
      </c>
      <c r="BQ195" t="b">
        <f t="shared" ref="BQ195:BQ258" si="424">IFERROR(IF(SEARCH( "'Flights taken'", J195),1,0),FALSE)</f>
        <v>0</v>
      </c>
      <c r="BR195" t="b">
        <f t="shared" ref="BR195:BR258" si="425">IFERROR(IF(SEARCH( "'Genders'", J195),1,0),FALSE)</f>
        <v>0</v>
      </c>
      <c r="BS195" t="b">
        <f t="shared" ref="BS195:BS258" si="426">IFERROR(IF(SEARCH( "'Geographic locations'", J195),1,0),FALSE)</f>
        <v>0</v>
      </c>
      <c r="BT195" t="b">
        <f t="shared" ref="BT195:BT258" si="427">IFERROR(IF(SEARCH( "'Government issued IDs'", J195),1,0),FALSE)</f>
        <v>0</v>
      </c>
      <c r="BU195" t="b">
        <f t="shared" ref="BU195:BU258" si="428">IFERROR(IF(SEARCH( "'Health insurance information' ", J195),1,0),FALSE)</f>
        <v>0</v>
      </c>
      <c r="BV195" t="b">
        <f t="shared" ref="BV195:BV258" si="429">IFERROR(IF(SEARCH( "'Historical passwords'", J195),1,0),FALSE)</f>
        <v>0</v>
      </c>
      <c r="BW195" t="b">
        <f t="shared" ref="BW195:BW258" si="430">IFERROR(IF(SEARCH( "'HIV statuses'", J195),1,0),FALSE)</f>
        <v>0</v>
      </c>
      <c r="BX195" t="b">
        <f t="shared" ref="BX195:BX258" si="431">IFERROR(IF(SEARCH( "'Home loan information'", J195),1,0),FALSE)</f>
        <v>0</v>
      </c>
      <c r="BY195" t="b">
        <f t="shared" ref="BY195:BY258" si="432">IFERROR(IF(SEARCH( "'Home ownership statuses", J195),1,0),FALSE)</f>
        <v>0</v>
      </c>
      <c r="BZ195" t="b">
        <f t="shared" ref="BZ195:BZ258" si="433">IFERROR(IF(SEARCH( "'Homepage URLs'", J195),1,0),FALSE)</f>
        <v>0</v>
      </c>
      <c r="CA195" t="b">
        <f t="shared" ref="CA195:CA258" si="434">IFERROR(IF(SEARCH( "'IMEI numbers'", J195),1,0),FALSE)</f>
        <v>0</v>
      </c>
      <c r="CB195" t="b">
        <f t="shared" ref="CB195:CB258" si="435">IFERROR(IF(SEARCH( "'IMSI numbers' ", J195),1,0),FALSE)</f>
        <v>0</v>
      </c>
      <c r="CC195" t="b">
        <f t="shared" ref="CC195:CC258" si="436">IFERROR(IF(SEARCH( "'Income levels'", J195),1,0),FALSE)</f>
        <v>0</v>
      </c>
      <c r="CD195" t="b">
        <f t="shared" ref="CD195:CD258" si="437">IFERROR(IF(SEARCH( "'Instant messenger identities'", J195),1,0),FALSE)</f>
        <v>0</v>
      </c>
      <c r="CE195">
        <f t="shared" ref="CE195:CE258" si="438">IFERROR(IF(SEARCH( "'IP addresses'", J195),1,0),FALSE)</f>
        <v>1</v>
      </c>
      <c r="CF195" t="b">
        <f t="shared" ref="CF195:CF258" si="439">IFERROR(IF(SEARCH( "'Job applications' ", J195),1,0),FALSE)</f>
        <v>0</v>
      </c>
      <c r="CG195" t="b">
        <f t="shared" ref="CG195:CG258" si="440">IFERROR(IF(SEARCH( "'Job titles' ", J195),1,0),FALSE)</f>
        <v>0</v>
      </c>
      <c r="CH195" t="b">
        <f t="shared" ref="CH195:CH258" si="441">IFERROR(IF(SEARCH( "'Licence plates'", J195),1,0),FALSE)</f>
        <v>0</v>
      </c>
      <c r="CI195" t="b">
        <f t="shared" ref="CI195:CI258" si="442">IFERROR(IF(SEARCH( "'Login histories'", J195),1,0),FALSE)</f>
        <v>0</v>
      </c>
      <c r="CJ195" t="b">
        <f t="shared" ref="CJ195:CJ258" si="443">IFERROR(IF(SEARCH( "'MAC addresses'", J195),1,0),FALSE)</f>
        <v>0</v>
      </c>
      <c r="CK195" t="b">
        <f t="shared" ref="CK195:CK258" si="444">IFERROR(IF(SEARCH( "'Marital statuses'", J195),1,0),FALSE)</f>
        <v>0</v>
      </c>
      <c r="CL195" t="b">
        <f t="shared" ref="CL195:CL258" si="445">IFERROR(IF(SEARCH( "'Mnemonic phrases'", J195),1,0),FALSE)</f>
        <v>0</v>
      </c>
      <c r="CM195" t="b">
        <f t="shared" ref="CM195:CM258" si="446">IFERROR(IF(SEARCH( "'Names'", J195),1,0),FALSE)</f>
        <v>0</v>
      </c>
      <c r="CN195" t="b">
        <f t="shared" ref="CN195:CN258" si="447">IFERROR(IF(SEARCH( "'Nationalities'", J195),1,0),FALSE)</f>
        <v>0</v>
      </c>
      <c r="CO195" t="b">
        <f t="shared" ref="CO195:CO258" si="448">IFERROR(IF(SEARCH( "'Net worths'", J195),1,0),FALSE)</f>
        <v>0</v>
      </c>
      <c r="CP195" t="b">
        <f t="shared" ref="CP195:CP258" si="449">IFERROR(IF(SEARCH( "'Nicknames' ", J195),1,0),FALSE)</f>
        <v>0</v>
      </c>
      <c r="CQ195" t="b">
        <f t="shared" ref="CQ195:CQ258" si="450">IFERROR(IF(SEARCH( "'Occupations'", J195),1,0),FALSE)</f>
        <v>0</v>
      </c>
      <c r="CR195" t="b">
        <f t="shared" ref="CR195:CR258" si="451">IFERROR(IF(SEARCH( "'Parenting plans", J195),1,0),FALSE)</f>
        <v>0</v>
      </c>
      <c r="CS195" t="b">
        <f t="shared" ref="CS195:CS258" si="452">IFERROR(IF(SEARCH( "'Partial credit card data' ", J195),1,0),FALSE)</f>
        <v>0</v>
      </c>
      <c r="CT195" t="b">
        <f t="shared" ref="CT195:CT258" si="453">IFERROR(IF(SEARCH( "'Partial phone numbers'", J195),1,0),FALSE)</f>
        <v>0</v>
      </c>
      <c r="CU195" t="b">
        <f t="shared" ref="CU195:CU258" si="454">IFERROR(IF(SEARCH( "'Passport numbers'", J195),1,0),FALSE)</f>
        <v>0</v>
      </c>
      <c r="CV195">
        <f t="shared" ref="CV195:CV258" si="455">IFERROR(IF(SEARCH( "'Passwords'", J195),1,0),FALSE)</f>
        <v>1</v>
      </c>
      <c r="CW195" t="b">
        <f t="shared" ref="CW195:CW258" si="456">IFERROR(IF(SEARCH( "'Payment histories'", J195),1,0),FALSE)</f>
        <v>0</v>
      </c>
      <c r="CX195" t="b">
        <f t="shared" ref="CX195:CX258" si="457">IFERROR(IF(SEARCH( "'Payment methods'", J195),1,0),FALSE)</f>
        <v>0</v>
      </c>
      <c r="CY195" t="b">
        <f t="shared" ref="CY195:CY258" si="458">IFERROR(IF(SEARCH( "'Personal descriptions'", J195),1,0),FALSE)</f>
        <v>0</v>
      </c>
      <c r="CZ195" t="b">
        <f t="shared" ref="CZ195:CZ258" si="459">IFERROR(IF(SEARCH( "'Personal health data'", J195),1,0),FALSE)</f>
        <v>0</v>
      </c>
      <c r="DA195" t="b">
        <f t="shared" ref="DA195:DA258" si="460">IFERROR(IF(SEARCH( "'Phone numbers'", J195),1,0),FALSE)</f>
        <v>0</v>
      </c>
      <c r="DB195" t="b">
        <f t="shared" ref="DB195:DB258" si="461">IFERROR(IF(SEARCH( "'Physical addresses'", J195),1,0),FALSE)</f>
        <v>0</v>
      </c>
      <c r="DC195" t="b">
        <f t="shared" ref="DC195:DC258" si="462">IFERROR(IF(SEARCH( "'Physical attributes'", J195),1,0),FALSE)</f>
        <v>0</v>
      </c>
      <c r="DD195" t="b">
        <f t="shared" ref="DD195:DD258" si="463">IFERROR(IF(SEARCH( "'PINs'", J195),1,0),FALSE)</f>
        <v>0</v>
      </c>
      <c r="DE195" t="b">
        <f t="shared" ref="DE195:DE258" si="464">IFERROR(IF(SEARCH( "'Political donations'", J195),1,0),FALSE)</f>
        <v>0</v>
      </c>
      <c r="DF195" t="b">
        <f t="shared" ref="DF195:DF258" si="465">IFERROR(IF(SEARCH( "'Political views'", J195),1,0),FALSE)</f>
        <v>0</v>
      </c>
      <c r="DG195">
        <f t="shared" ref="DG195:DG258" si="466">IFERROR(IF(SEARCH( "'Private messages'", J195),1,0),FALSE)</f>
        <v>1</v>
      </c>
      <c r="DH195" t="b">
        <f t="shared" ref="DH195:DH258" si="467">IFERROR(IF(SEARCH( "'Professional skills'", J195),1,0),FALSE)</f>
        <v>0</v>
      </c>
      <c r="DI195" t="b">
        <f t="shared" ref="DI195:DI258" si="468">IFERROR(IF(SEARCH( "'Profile photos'", J195),1,0),FALSE)</f>
        <v>0</v>
      </c>
      <c r="DJ195" t="b">
        <f t="shared" ref="DJ195:DJ258" si="469">IFERROR(IF(SEARCH( "'Purchases'", J195),1,0),FALSE)</f>
        <v>0</v>
      </c>
      <c r="DK195" t="b">
        <f t="shared" ref="DK195:DK258" si="470">IFERROR(IF(SEARCH( "'Purchasing habits'", J195),1,0),FALSE)</f>
        <v>0</v>
      </c>
      <c r="DL195" t="b">
        <f t="shared" ref="DL195:DL258" si="471">IFERROR(IF(SEARCH( "'Races'", J195),1,0),FALSE)</f>
        <v>0</v>
      </c>
      <c r="DM195" t="b">
        <f t="shared" ref="DM195:DM258" si="472">IFERROR(IF(SEARCH( "'Recovery email addresses'", J195),1,0),FALSE)</f>
        <v>0</v>
      </c>
      <c r="DN195" t="b">
        <f t="shared" ref="DN195:DN258" si="473">IFERROR(IF(SEARCH( "'Relationship statuses'", J195),1,0),FALSE)</f>
        <v>0</v>
      </c>
      <c r="DO195" t="b">
        <f t="shared" ref="DO195:DO258" si="474">IFERROR(IF(SEARCH( "'Religions' ", J195),1,0),FALSE)</f>
        <v>0</v>
      </c>
      <c r="DP195" t="b">
        <f t="shared" ref="DP195:DP258" si="475">IFERROR(IF(SEARCH( "'Reward program balances'", J195),1,0),FALSE)</f>
        <v>0</v>
      </c>
      <c r="DQ195" t="b">
        <f t="shared" ref="DQ195:DQ258" si="476">IFERROR(IF(SEARCH( "'Salutations'", J195),1,0),FALSE)</f>
        <v>0</v>
      </c>
      <c r="DR195" t="b">
        <f t="shared" ref="DR195:DR258" si="477">IFERROR(IF(SEARCH( "'School grades (class levels)", J195),1,0),FALSE)</f>
        <v>0</v>
      </c>
      <c r="DS195" t="b">
        <f t="shared" ref="DS195:DS258" si="478">IFERROR(IF(SEARCH( "'Security questions and answers'", J195),1,0),FALSE)</f>
        <v>0</v>
      </c>
      <c r="DT195" t="b">
        <f t="shared" ref="DT195:DT258" si="479">IFERROR(IF(SEARCH( "'Sexual fetishes'", J195),1,0),FALSE)</f>
        <v>0</v>
      </c>
      <c r="DU195" t="b">
        <f t="shared" ref="DU195:DU258" si="480">IFERROR(IF(SEARCH( "'Sexual orientations'", J195),1,0),FALSE)</f>
        <v>0</v>
      </c>
      <c r="DV195" t="b">
        <f t="shared" ref="DV195:DV258" si="481">IFERROR(IF(SEARCH( "'Smoking habits'", J195),1,0),FALSE)</f>
        <v>0</v>
      </c>
      <c r="DW195" t="b">
        <f t="shared" ref="DW195:DW258" si="482">IFERROR(IF(SEARCH( "'SMS messages'", J195),1,0),FALSE)</f>
        <v>0</v>
      </c>
      <c r="DX195" t="b">
        <f t="shared" ref="DX195:DX258" si="483">IFERROR(IF(SEARCH( "'Social connections'", J195),1,0),FALSE)</f>
        <v>0</v>
      </c>
      <c r="DY195" t="b">
        <f t="shared" ref="DY195:DY258" si="484">IFERROR(IF(SEARCH( "'Social media profiles'", J195),1,0),FALSE)</f>
        <v>0</v>
      </c>
      <c r="DZ195" t="b">
        <f t="shared" ref="DZ195:DZ258" si="485">IFERROR(IF(SEARCH( "'Social security numbers'", J195),1,0),FALSE)</f>
        <v>0</v>
      </c>
      <c r="EA195" t="b">
        <f t="shared" ref="EA195:EA258" si="486">IFERROR(IF(SEARCH( "'Spoken languages'", J195),1,0),FALSE)</f>
        <v>0</v>
      </c>
      <c r="EB195" t="b">
        <f t="shared" ref="EB195:EB258" si="487">IFERROR(IF(SEARCH( "'Survey results'", J195),1,0),FALSE)</f>
        <v>0</v>
      </c>
      <c r="EC195" t="b">
        <f t="shared" ref="EC195:EC258" si="488">IFERROR(IF(SEARCH( "'Time zones'", J195),1,0),FALSE)</f>
        <v>0</v>
      </c>
      <c r="ED195" t="b">
        <f t="shared" ref="ED195:ED258" si="489">IFERROR(IF(SEARCH( "'Travel habits' ", J195),1,0),FALSE)</f>
        <v>0</v>
      </c>
      <c r="EE195" t="b">
        <f t="shared" ref="EE195:EE258" si="490">IFERROR(IF(SEARCH( "'User website URLs'", J195),1,0),FALSE)</f>
        <v>0</v>
      </c>
      <c r="EF195">
        <f t="shared" ref="EF195:EF258" si="491">IFERROR(IF(SEARCH( "'Usernames'", J195),1,0),FALSE)</f>
        <v>1</v>
      </c>
      <c r="EG195" t="b">
        <f t="shared" ref="EG195:EG258" si="492">IFERROR(IF(SEARCH( "'Vehicle details'", J195),1,0),FALSE)</f>
        <v>0</v>
      </c>
      <c r="EH195" t="b">
        <f t="shared" ref="EH195:EH258" si="493">IFERROR(IF(SEARCH( "'Vehicle identification numbers (VINs)'", J195),1,0),FALSE)</f>
        <v>0</v>
      </c>
      <c r="EI195">
        <f t="shared" ref="EI195:EI258" si="494">IFERROR(IF(SEARCH( "'Website activity'", J195),1,0),FALSE)</f>
        <v>1</v>
      </c>
      <c r="EJ195" t="b">
        <f t="shared" ref="EJ195:EJ258" si="495">IFERROR(IF(SEARCH( "'Work habits'", J195),1,0),FALSE)</f>
        <v>0</v>
      </c>
      <c r="EK195" t="b">
        <f t="shared" ref="EK195:EK258" si="496">IFERROR(IF(SEARCH( "'Years of professional experience'", J195),1,0),FALSE)</f>
        <v>0</v>
      </c>
    </row>
    <row r="196" spans="1:141">
      <c r="A196" t="s">
        <v>1081</v>
      </c>
      <c r="B196" t="s">
        <v>1082</v>
      </c>
      <c r="C196" t="s">
        <v>1082</v>
      </c>
      <c r="D196" s="1">
        <v>43688</v>
      </c>
      <c r="E196" s="2">
        <v>43845.368807870371</v>
      </c>
      <c r="F196" s="2">
        <v>43845.368807870371</v>
      </c>
      <c r="G196">
        <v>226095</v>
      </c>
      <c r="H196" t="s">
        <v>1083</v>
      </c>
      <c r="I196" s="10" t="s">
        <v>1084</v>
      </c>
      <c r="J196" t="s">
        <v>1085</v>
      </c>
      <c r="K196" s="8" t="b">
        <v>1</v>
      </c>
      <c r="L196" s="10" t="b">
        <v>0</v>
      </c>
      <c r="M196" s="12" t="b">
        <v>0</v>
      </c>
      <c r="N196" t="b">
        <v>0</v>
      </c>
      <c r="O196" t="b">
        <v>0</v>
      </c>
      <c r="P196" t="b">
        <v>0</v>
      </c>
      <c r="Q196">
        <f t="shared" si="373"/>
        <v>1</v>
      </c>
      <c r="R196">
        <f t="shared" si="374"/>
        <v>8</v>
      </c>
      <c r="S196" t="e">
        <f t="shared" ca="1" si="404"/>
        <v>#NAME?</v>
      </c>
      <c r="T196" t="e">
        <f t="shared" ca="1" si="375"/>
        <v>#NAME?</v>
      </c>
      <c r="U196" s="4">
        <f t="shared" si="376"/>
        <v>157.3688078703708</v>
      </c>
      <c r="V196" s="4">
        <f t="shared" si="377"/>
        <v>5.2456269290123601</v>
      </c>
      <c r="W196" s="4">
        <f t="shared" si="378"/>
        <v>1</v>
      </c>
      <c r="X196" s="4">
        <f t="shared" si="379"/>
        <v>0</v>
      </c>
      <c r="Y196" s="4">
        <f t="shared" si="380"/>
        <v>0</v>
      </c>
      <c r="Z196" s="4">
        <f t="shared" si="381"/>
        <v>0</v>
      </c>
      <c r="AA196" s="4">
        <f t="shared" si="382"/>
        <v>0</v>
      </c>
      <c r="AB196" s="4">
        <f t="shared" si="383"/>
        <v>0</v>
      </c>
      <c r="AC196" s="4"/>
      <c r="AD196" s="4" t="b">
        <f t="shared" si="384"/>
        <v>0</v>
      </c>
      <c r="AE196" s="4" t="b">
        <f t="shared" si="385"/>
        <v>0</v>
      </c>
      <c r="AF196" s="4" t="b">
        <f t="shared" si="386"/>
        <v>0</v>
      </c>
      <c r="AG196" t="b">
        <f t="shared" si="387"/>
        <v>0</v>
      </c>
      <c r="AH196" t="b">
        <f t="shared" si="388"/>
        <v>0</v>
      </c>
      <c r="AI196" t="b">
        <f t="shared" si="389"/>
        <v>0</v>
      </c>
      <c r="AJ196" t="b">
        <f t="shared" si="390"/>
        <v>0</v>
      </c>
      <c r="AK196" t="b">
        <f t="shared" si="391"/>
        <v>0</v>
      </c>
      <c r="AL196" t="b">
        <f t="shared" si="392"/>
        <v>0</v>
      </c>
      <c r="AM196" t="b">
        <f t="shared" si="393"/>
        <v>0</v>
      </c>
      <c r="AN196" t="b">
        <f t="shared" si="394"/>
        <v>0</v>
      </c>
      <c r="AO196" t="b">
        <f t="shared" si="395"/>
        <v>0</v>
      </c>
      <c r="AP196" t="b">
        <f t="shared" si="396"/>
        <v>0</v>
      </c>
      <c r="AQ196" t="b">
        <f t="shared" si="397"/>
        <v>0</v>
      </c>
      <c r="AR196" t="b">
        <f t="shared" si="398"/>
        <v>0</v>
      </c>
      <c r="AS196" t="b">
        <f t="shared" si="399"/>
        <v>0</v>
      </c>
      <c r="AT196" t="b">
        <f t="shared" si="400"/>
        <v>0</v>
      </c>
      <c r="AU196" t="b">
        <f t="shared" si="401"/>
        <v>0</v>
      </c>
      <c r="AV196" t="b">
        <f t="shared" si="402"/>
        <v>0</v>
      </c>
      <c r="AW196" t="b">
        <f t="shared" si="403"/>
        <v>0</v>
      </c>
      <c r="AX196" t="b">
        <f t="shared" si="405"/>
        <v>0</v>
      </c>
      <c r="AY196" t="b">
        <f t="shared" si="406"/>
        <v>0</v>
      </c>
      <c r="AZ196">
        <f t="shared" si="407"/>
        <v>1</v>
      </c>
      <c r="BA196" t="b">
        <f t="shared" si="408"/>
        <v>0</v>
      </c>
      <c r="BB196" t="b">
        <f t="shared" si="409"/>
        <v>0</v>
      </c>
      <c r="BC196" t="b">
        <f t="shared" si="410"/>
        <v>0</v>
      </c>
      <c r="BD196" t="b">
        <f t="shared" si="411"/>
        <v>0</v>
      </c>
      <c r="BE196" t="b">
        <f t="shared" si="412"/>
        <v>0</v>
      </c>
      <c r="BF196" t="b">
        <f t="shared" si="413"/>
        <v>0</v>
      </c>
      <c r="BG196" t="b">
        <f t="shared" si="414"/>
        <v>0</v>
      </c>
      <c r="BH196" t="b">
        <f t="shared" si="415"/>
        <v>0</v>
      </c>
      <c r="BI196">
        <f t="shared" si="416"/>
        <v>1</v>
      </c>
      <c r="BJ196" t="b">
        <f t="shared" si="417"/>
        <v>0</v>
      </c>
      <c r="BK196" t="b">
        <f t="shared" si="418"/>
        <v>0</v>
      </c>
      <c r="BL196" t="b">
        <f t="shared" si="419"/>
        <v>0</v>
      </c>
      <c r="BM196" t="b">
        <f t="shared" si="420"/>
        <v>0</v>
      </c>
      <c r="BN196" t="b">
        <f t="shared" si="421"/>
        <v>0</v>
      </c>
      <c r="BO196" t="b">
        <f t="shared" si="422"/>
        <v>0</v>
      </c>
      <c r="BP196" t="b">
        <f t="shared" si="423"/>
        <v>0</v>
      </c>
      <c r="BQ196" t="b">
        <f t="shared" si="424"/>
        <v>0</v>
      </c>
      <c r="BR196" t="b">
        <f t="shared" si="425"/>
        <v>0</v>
      </c>
      <c r="BS196">
        <f t="shared" si="426"/>
        <v>1</v>
      </c>
      <c r="BT196" t="b">
        <f t="shared" si="427"/>
        <v>0</v>
      </c>
      <c r="BU196" t="b">
        <f t="shared" si="428"/>
        <v>0</v>
      </c>
      <c r="BV196" t="b">
        <f t="shared" si="429"/>
        <v>0</v>
      </c>
      <c r="BW196" t="b">
        <f t="shared" si="430"/>
        <v>0</v>
      </c>
      <c r="BX196" t="b">
        <f t="shared" si="431"/>
        <v>0</v>
      </c>
      <c r="BY196" t="b">
        <f t="shared" si="432"/>
        <v>0</v>
      </c>
      <c r="BZ196" t="b">
        <f t="shared" si="433"/>
        <v>0</v>
      </c>
      <c r="CA196" t="b">
        <f t="shared" si="434"/>
        <v>0</v>
      </c>
      <c r="CB196" t="b">
        <f t="shared" si="435"/>
        <v>0</v>
      </c>
      <c r="CC196" t="b">
        <f t="shared" si="436"/>
        <v>0</v>
      </c>
      <c r="CD196" t="b">
        <f t="shared" si="437"/>
        <v>0</v>
      </c>
      <c r="CE196" t="b">
        <f t="shared" si="438"/>
        <v>0</v>
      </c>
      <c r="CF196" t="b">
        <f t="shared" si="439"/>
        <v>0</v>
      </c>
      <c r="CG196" t="b">
        <f t="shared" si="440"/>
        <v>0</v>
      </c>
      <c r="CH196" t="b">
        <f t="shared" si="441"/>
        <v>0</v>
      </c>
      <c r="CI196" t="b">
        <f t="shared" si="442"/>
        <v>0</v>
      </c>
      <c r="CJ196" t="b">
        <f t="shared" si="443"/>
        <v>0</v>
      </c>
      <c r="CK196" t="b">
        <f t="shared" si="444"/>
        <v>0</v>
      </c>
      <c r="CL196" t="b">
        <f t="shared" si="445"/>
        <v>0</v>
      </c>
      <c r="CM196">
        <f t="shared" si="446"/>
        <v>1</v>
      </c>
      <c r="CN196" t="b">
        <f t="shared" si="447"/>
        <v>0</v>
      </c>
      <c r="CO196" t="b">
        <f t="shared" si="448"/>
        <v>0</v>
      </c>
      <c r="CP196" t="b">
        <f t="shared" si="449"/>
        <v>0</v>
      </c>
      <c r="CQ196" t="b">
        <f t="shared" si="450"/>
        <v>0</v>
      </c>
      <c r="CR196" t="b">
        <f t="shared" si="451"/>
        <v>0</v>
      </c>
      <c r="CS196" t="b">
        <f t="shared" si="452"/>
        <v>0</v>
      </c>
      <c r="CT196" t="b">
        <f t="shared" si="453"/>
        <v>0</v>
      </c>
      <c r="CU196" t="b">
        <f t="shared" si="454"/>
        <v>0</v>
      </c>
      <c r="CV196">
        <f t="shared" si="455"/>
        <v>1</v>
      </c>
      <c r="CW196" t="b">
        <f t="shared" si="456"/>
        <v>0</v>
      </c>
      <c r="CX196" t="b">
        <f t="shared" si="457"/>
        <v>0</v>
      </c>
      <c r="CY196" t="b">
        <f t="shared" si="458"/>
        <v>0</v>
      </c>
      <c r="CZ196" t="b">
        <f t="shared" si="459"/>
        <v>0</v>
      </c>
      <c r="DA196">
        <f t="shared" si="460"/>
        <v>1</v>
      </c>
      <c r="DB196" t="b">
        <f t="shared" si="461"/>
        <v>0</v>
      </c>
      <c r="DC196" t="b">
        <f t="shared" si="462"/>
        <v>0</v>
      </c>
      <c r="DD196" t="b">
        <f t="shared" si="463"/>
        <v>0</v>
      </c>
      <c r="DE196" t="b">
        <f t="shared" si="464"/>
        <v>0</v>
      </c>
      <c r="DF196" t="b">
        <f t="shared" si="465"/>
        <v>0</v>
      </c>
      <c r="DG196" t="b">
        <f t="shared" si="466"/>
        <v>0</v>
      </c>
      <c r="DH196" t="b">
        <f t="shared" si="467"/>
        <v>0</v>
      </c>
      <c r="DI196" t="b">
        <f t="shared" si="468"/>
        <v>0</v>
      </c>
      <c r="DJ196" t="b">
        <f t="shared" si="469"/>
        <v>0</v>
      </c>
      <c r="DK196" t="b">
        <f t="shared" si="470"/>
        <v>0</v>
      </c>
      <c r="DL196" t="b">
        <f t="shared" si="471"/>
        <v>0</v>
      </c>
      <c r="DM196" t="b">
        <f t="shared" si="472"/>
        <v>0</v>
      </c>
      <c r="DN196" t="b">
        <f t="shared" si="473"/>
        <v>0</v>
      </c>
      <c r="DO196" t="b">
        <f t="shared" si="474"/>
        <v>0</v>
      </c>
      <c r="DP196" t="b">
        <f t="shared" si="475"/>
        <v>0</v>
      </c>
      <c r="DQ196" t="b">
        <f t="shared" si="476"/>
        <v>0</v>
      </c>
      <c r="DR196" t="b">
        <f t="shared" si="477"/>
        <v>0</v>
      </c>
      <c r="DS196" t="b">
        <f t="shared" si="478"/>
        <v>0</v>
      </c>
      <c r="DT196" t="b">
        <f t="shared" si="479"/>
        <v>0</v>
      </c>
      <c r="DU196" t="b">
        <f t="shared" si="480"/>
        <v>0</v>
      </c>
      <c r="DV196" t="b">
        <f t="shared" si="481"/>
        <v>0</v>
      </c>
      <c r="DW196" t="b">
        <f t="shared" si="482"/>
        <v>0</v>
      </c>
      <c r="DX196" t="b">
        <f t="shared" si="483"/>
        <v>0</v>
      </c>
      <c r="DY196" t="b">
        <f t="shared" si="484"/>
        <v>0</v>
      </c>
      <c r="DZ196" t="b">
        <f t="shared" si="485"/>
        <v>0</v>
      </c>
      <c r="EA196">
        <f t="shared" si="486"/>
        <v>1</v>
      </c>
      <c r="EB196" t="b">
        <f t="shared" si="487"/>
        <v>0</v>
      </c>
      <c r="EC196" t="b">
        <f t="shared" si="488"/>
        <v>0</v>
      </c>
      <c r="ED196" t="b">
        <f t="shared" si="489"/>
        <v>0</v>
      </c>
      <c r="EE196" t="b">
        <f t="shared" si="490"/>
        <v>0</v>
      </c>
      <c r="EF196" t="b">
        <f t="shared" si="491"/>
        <v>0</v>
      </c>
      <c r="EG196" t="b">
        <f t="shared" si="492"/>
        <v>0</v>
      </c>
      <c r="EH196" t="b">
        <f t="shared" si="493"/>
        <v>0</v>
      </c>
      <c r="EI196" t="b">
        <f t="shared" si="494"/>
        <v>0</v>
      </c>
      <c r="EJ196" t="b">
        <f t="shared" si="495"/>
        <v>0</v>
      </c>
      <c r="EK196" t="b">
        <f t="shared" si="496"/>
        <v>0</v>
      </c>
    </row>
    <row r="197" spans="1:141">
      <c r="A197" t="s">
        <v>1086</v>
      </c>
      <c r="B197" t="s">
        <v>1086</v>
      </c>
      <c r="C197" t="s">
        <v>1087</v>
      </c>
      <c r="D197" s="1">
        <v>42131</v>
      </c>
      <c r="E197" s="2">
        <v>42918.575798611113</v>
      </c>
      <c r="F197" s="2">
        <v>42918.575798611113</v>
      </c>
      <c r="G197">
        <v>435510</v>
      </c>
      <c r="H197" t="s">
        <v>1088</v>
      </c>
      <c r="I197" s="10" t="s">
        <v>1089</v>
      </c>
      <c r="J197" t="s">
        <v>1090</v>
      </c>
      <c r="K197" s="8" t="b">
        <v>1</v>
      </c>
      <c r="L197" s="10" t="b">
        <v>0</v>
      </c>
      <c r="M197" s="12" t="b">
        <v>0</v>
      </c>
      <c r="N197" t="b">
        <v>0</v>
      </c>
      <c r="O197" t="b">
        <v>0</v>
      </c>
      <c r="P197" t="b">
        <v>0</v>
      </c>
      <c r="Q197">
        <f t="shared" si="373"/>
        <v>5</v>
      </c>
      <c r="R197">
        <f t="shared" si="374"/>
        <v>5</v>
      </c>
      <c r="S197" t="e">
        <f t="shared" ca="1" si="404"/>
        <v>#NAME?</v>
      </c>
      <c r="T197" t="e">
        <f t="shared" ca="1" si="375"/>
        <v>#NAME?</v>
      </c>
      <c r="U197" s="4">
        <f t="shared" si="376"/>
        <v>787.57579861111299</v>
      </c>
      <c r="V197" s="4">
        <f t="shared" si="377"/>
        <v>26.252526620370432</v>
      </c>
      <c r="W197" s="4">
        <f t="shared" si="378"/>
        <v>1</v>
      </c>
      <c r="X197" s="4">
        <f t="shared" si="379"/>
        <v>0</v>
      </c>
      <c r="Y197" s="4">
        <f t="shared" si="380"/>
        <v>0</v>
      </c>
      <c r="Z197" s="4">
        <f t="shared" si="381"/>
        <v>0</v>
      </c>
      <c r="AA197" s="4">
        <f t="shared" si="382"/>
        <v>0</v>
      </c>
      <c r="AB197" s="4">
        <f t="shared" si="383"/>
        <v>0</v>
      </c>
      <c r="AC197" s="4"/>
      <c r="AD197" s="4" t="b">
        <f t="shared" si="384"/>
        <v>0</v>
      </c>
      <c r="AE197" s="4" t="b">
        <f t="shared" si="385"/>
        <v>0</v>
      </c>
      <c r="AF197" s="4" t="b">
        <f t="shared" si="386"/>
        <v>0</v>
      </c>
      <c r="AG197" t="b">
        <f t="shared" si="387"/>
        <v>0</v>
      </c>
      <c r="AH197" t="b">
        <f t="shared" si="388"/>
        <v>0</v>
      </c>
      <c r="AI197" t="b">
        <f t="shared" si="389"/>
        <v>0</v>
      </c>
      <c r="AJ197" t="b">
        <f t="shared" si="390"/>
        <v>0</v>
      </c>
      <c r="AK197" t="b">
        <f t="shared" si="391"/>
        <v>0</v>
      </c>
      <c r="AL197" t="b">
        <f t="shared" si="392"/>
        <v>0</v>
      </c>
      <c r="AM197" t="b">
        <f t="shared" si="393"/>
        <v>0</v>
      </c>
      <c r="AN197" t="b">
        <f t="shared" si="394"/>
        <v>0</v>
      </c>
      <c r="AO197" t="b">
        <f t="shared" si="395"/>
        <v>0</v>
      </c>
      <c r="AP197" t="b">
        <f t="shared" si="396"/>
        <v>0</v>
      </c>
      <c r="AQ197" t="b">
        <f t="shared" si="397"/>
        <v>0</v>
      </c>
      <c r="AR197" t="b">
        <f t="shared" si="398"/>
        <v>0</v>
      </c>
      <c r="AS197" t="b">
        <f t="shared" si="399"/>
        <v>0</v>
      </c>
      <c r="AT197" t="b">
        <f t="shared" si="400"/>
        <v>0</v>
      </c>
      <c r="AU197" t="b">
        <f t="shared" si="401"/>
        <v>0</v>
      </c>
      <c r="AV197" t="b">
        <f t="shared" si="402"/>
        <v>0</v>
      </c>
      <c r="AW197" t="b">
        <f t="shared" si="403"/>
        <v>0</v>
      </c>
      <c r="AX197" t="b">
        <f t="shared" si="405"/>
        <v>0</v>
      </c>
      <c r="AY197" t="b">
        <f t="shared" si="406"/>
        <v>0</v>
      </c>
      <c r="AZ197">
        <f t="shared" si="407"/>
        <v>1</v>
      </c>
      <c r="BA197" t="b">
        <f t="shared" si="408"/>
        <v>0</v>
      </c>
      <c r="BB197" t="b">
        <f t="shared" si="409"/>
        <v>0</v>
      </c>
      <c r="BC197" t="b">
        <f t="shared" si="410"/>
        <v>0</v>
      </c>
      <c r="BD197" t="b">
        <f t="shared" si="411"/>
        <v>0</v>
      </c>
      <c r="BE197" t="b">
        <f t="shared" si="412"/>
        <v>0</v>
      </c>
      <c r="BF197" t="b">
        <f t="shared" si="413"/>
        <v>0</v>
      </c>
      <c r="BG197" t="b">
        <f t="shared" si="414"/>
        <v>0</v>
      </c>
      <c r="BH197" t="b">
        <f t="shared" si="415"/>
        <v>0</v>
      </c>
      <c r="BI197">
        <f t="shared" si="416"/>
        <v>1</v>
      </c>
      <c r="BJ197" t="b">
        <f t="shared" si="417"/>
        <v>0</v>
      </c>
      <c r="BK197" t="b">
        <f t="shared" si="418"/>
        <v>0</v>
      </c>
      <c r="BL197" t="b">
        <f t="shared" si="419"/>
        <v>0</v>
      </c>
      <c r="BM197" t="b">
        <f t="shared" si="420"/>
        <v>0</v>
      </c>
      <c r="BN197" t="b">
        <f t="shared" si="421"/>
        <v>0</v>
      </c>
      <c r="BO197" t="b">
        <f t="shared" si="422"/>
        <v>0</v>
      </c>
      <c r="BP197" t="b">
        <f t="shared" si="423"/>
        <v>0</v>
      </c>
      <c r="BQ197" t="b">
        <f t="shared" si="424"/>
        <v>0</v>
      </c>
      <c r="BR197" t="b">
        <f t="shared" si="425"/>
        <v>0</v>
      </c>
      <c r="BS197" t="b">
        <f t="shared" si="426"/>
        <v>0</v>
      </c>
      <c r="BT197" t="b">
        <f t="shared" si="427"/>
        <v>0</v>
      </c>
      <c r="BU197" t="b">
        <f t="shared" si="428"/>
        <v>0</v>
      </c>
      <c r="BV197" t="b">
        <f t="shared" si="429"/>
        <v>0</v>
      </c>
      <c r="BW197" t="b">
        <f t="shared" si="430"/>
        <v>0</v>
      </c>
      <c r="BX197" t="b">
        <f t="shared" si="431"/>
        <v>0</v>
      </c>
      <c r="BY197" t="b">
        <f t="shared" si="432"/>
        <v>0</v>
      </c>
      <c r="BZ197" t="b">
        <f t="shared" si="433"/>
        <v>0</v>
      </c>
      <c r="CA197" t="b">
        <f t="shared" si="434"/>
        <v>0</v>
      </c>
      <c r="CB197" t="b">
        <f t="shared" si="435"/>
        <v>0</v>
      </c>
      <c r="CC197" t="b">
        <f t="shared" si="436"/>
        <v>0</v>
      </c>
      <c r="CD197" t="b">
        <f t="shared" si="437"/>
        <v>0</v>
      </c>
      <c r="CE197" t="b">
        <f t="shared" si="438"/>
        <v>0</v>
      </c>
      <c r="CF197" t="b">
        <f t="shared" si="439"/>
        <v>0</v>
      </c>
      <c r="CG197" t="b">
        <f t="shared" si="440"/>
        <v>0</v>
      </c>
      <c r="CH197" t="b">
        <f t="shared" si="441"/>
        <v>0</v>
      </c>
      <c r="CI197" t="b">
        <f t="shared" si="442"/>
        <v>0</v>
      </c>
      <c r="CJ197" t="b">
        <f t="shared" si="443"/>
        <v>0</v>
      </c>
      <c r="CK197" t="b">
        <f t="shared" si="444"/>
        <v>0</v>
      </c>
      <c r="CL197" t="b">
        <f t="shared" si="445"/>
        <v>0</v>
      </c>
      <c r="CM197" t="b">
        <f t="shared" si="446"/>
        <v>0</v>
      </c>
      <c r="CN197" t="b">
        <f t="shared" si="447"/>
        <v>0</v>
      </c>
      <c r="CO197" t="b">
        <f t="shared" si="448"/>
        <v>0</v>
      </c>
      <c r="CP197" t="b">
        <f t="shared" si="449"/>
        <v>0</v>
      </c>
      <c r="CQ197" t="b">
        <f t="shared" si="450"/>
        <v>0</v>
      </c>
      <c r="CR197" t="b">
        <f t="shared" si="451"/>
        <v>0</v>
      </c>
      <c r="CS197" t="b">
        <f t="shared" si="452"/>
        <v>0</v>
      </c>
      <c r="CT197" t="b">
        <f t="shared" si="453"/>
        <v>0</v>
      </c>
      <c r="CU197" t="b">
        <f t="shared" si="454"/>
        <v>0</v>
      </c>
      <c r="CV197">
        <f t="shared" si="455"/>
        <v>1</v>
      </c>
      <c r="CW197" t="b">
        <f t="shared" si="456"/>
        <v>0</v>
      </c>
      <c r="CX197" t="b">
        <f t="shared" si="457"/>
        <v>0</v>
      </c>
      <c r="CY197" t="b">
        <f t="shared" si="458"/>
        <v>0</v>
      </c>
      <c r="CZ197" t="b">
        <f t="shared" si="459"/>
        <v>0</v>
      </c>
      <c r="DA197" t="b">
        <f t="shared" si="460"/>
        <v>0</v>
      </c>
      <c r="DB197" t="b">
        <f t="shared" si="461"/>
        <v>0</v>
      </c>
      <c r="DC197" t="b">
        <f t="shared" si="462"/>
        <v>0</v>
      </c>
      <c r="DD197" t="b">
        <f t="shared" si="463"/>
        <v>0</v>
      </c>
      <c r="DE197" t="b">
        <f t="shared" si="464"/>
        <v>0</v>
      </c>
      <c r="DF197" t="b">
        <f t="shared" si="465"/>
        <v>0</v>
      </c>
      <c r="DG197" t="b">
        <f t="shared" si="466"/>
        <v>0</v>
      </c>
      <c r="DH197" t="b">
        <f t="shared" si="467"/>
        <v>0</v>
      </c>
      <c r="DI197" t="b">
        <f t="shared" si="468"/>
        <v>0</v>
      </c>
      <c r="DJ197" t="b">
        <f t="shared" si="469"/>
        <v>0</v>
      </c>
      <c r="DK197" t="b">
        <f t="shared" si="470"/>
        <v>0</v>
      </c>
      <c r="DL197" t="b">
        <f t="shared" si="471"/>
        <v>0</v>
      </c>
      <c r="DM197" t="b">
        <f t="shared" si="472"/>
        <v>0</v>
      </c>
      <c r="DN197" t="b">
        <f t="shared" si="473"/>
        <v>0</v>
      </c>
      <c r="DO197" t="b">
        <f t="shared" si="474"/>
        <v>0</v>
      </c>
      <c r="DP197" t="b">
        <f t="shared" si="475"/>
        <v>0</v>
      </c>
      <c r="DQ197" t="b">
        <f t="shared" si="476"/>
        <v>0</v>
      </c>
      <c r="DR197" t="b">
        <f t="shared" si="477"/>
        <v>0</v>
      </c>
      <c r="DS197" t="b">
        <f t="shared" si="478"/>
        <v>0</v>
      </c>
      <c r="DT197" t="b">
        <f t="shared" si="479"/>
        <v>0</v>
      </c>
      <c r="DU197" t="b">
        <f t="shared" si="480"/>
        <v>0</v>
      </c>
      <c r="DV197" t="b">
        <f t="shared" si="481"/>
        <v>0</v>
      </c>
      <c r="DW197" t="b">
        <f t="shared" si="482"/>
        <v>0</v>
      </c>
      <c r="DX197" t="b">
        <f t="shared" si="483"/>
        <v>0</v>
      </c>
      <c r="DY197" t="b">
        <f t="shared" si="484"/>
        <v>0</v>
      </c>
      <c r="DZ197" t="b">
        <f t="shared" si="485"/>
        <v>0</v>
      </c>
      <c r="EA197" t="b">
        <f t="shared" si="486"/>
        <v>0</v>
      </c>
      <c r="EB197" t="b">
        <f t="shared" si="487"/>
        <v>0</v>
      </c>
      <c r="EC197" t="b">
        <f t="shared" si="488"/>
        <v>0</v>
      </c>
      <c r="ED197" t="b">
        <f t="shared" si="489"/>
        <v>0</v>
      </c>
      <c r="EE197" t="b">
        <f t="shared" si="490"/>
        <v>0</v>
      </c>
      <c r="EF197">
        <f t="shared" si="491"/>
        <v>1</v>
      </c>
      <c r="EG197" t="b">
        <f t="shared" si="492"/>
        <v>0</v>
      </c>
      <c r="EH197" t="b">
        <f t="shared" si="493"/>
        <v>0</v>
      </c>
      <c r="EI197" t="b">
        <f t="shared" si="494"/>
        <v>0</v>
      </c>
      <c r="EJ197" t="b">
        <f t="shared" si="495"/>
        <v>0</v>
      </c>
      <c r="EK197" t="b">
        <f t="shared" si="496"/>
        <v>0</v>
      </c>
    </row>
    <row r="198" spans="1:141">
      <c r="A198" t="s">
        <v>1091</v>
      </c>
      <c r="B198" t="s">
        <v>1092</v>
      </c>
      <c r="C198" t="s">
        <v>1093</v>
      </c>
      <c r="D198" s="1">
        <v>43547</v>
      </c>
      <c r="E198" s="2">
        <v>43558.451574074075</v>
      </c>
      <c r="F198" s="2">
        <v>43558.45553240741</v>
      </c>
      <c r="G198">
        <v>871190</v>
      </c>
      <c r="H198" t="s">
        <v>1094</v>
      </c>
      <c r="I198" s="10" t="s">
        <v>1095</v>
      </c>
      <c r="J198" t="s">
        <v>1096</v>
      </c>
      <c r="K198" s="8" t="b">
        <v>1</v>
      </c>
      <c r="L198" s="10" t="b">
        <v>0</v>
      </c>
      <c r="M198" s="12" t="b">
        <v>0</v>
      </c>
      <c r="N198" t="b">
        <v>0</v>
      </c>
      <c r="O198" t="b">
        <v>0</v>
      </c>
      <c r="P198" t="b">
        <v>0</v>
      </c>
      <c r="Q198">
        <f t="shared" si="373"/>
        <v>7</v>
      </c>
      <c r="R198">
        <f t="shared" si="374"/>
        <v>3</v>
      </c>
      <c r="S198" t="e">
        <f t="shared" ca="1" si="404"/>
        <v>#NAME?</v>
      </c>
      <c r="T198" t="e">
        <f t="shared" ca="1" si="375"/>
        <v>#NAME?</v>
      </c>
      <c r="U198" s="4">
        <f t="shared" si="376"/>
        <v>11.451574074075324</v>
      </c>
      <c r="V198" s="4">
        <f t="shared" si="377"/>
        <v>0.38171913580251082</v>
      </c>
      <c r="W198" s="4">
        <f t="shared" si="378"/>
        <v>1</v>
      </c>
      <c r="X198" s="4">
        <f t="shared" si="379"/>
        <v>0</v>
      </c>
      <c r="Y198" s="4">
        <f t="shared" si="380"/>
        <v>0</v>
      </c>
      <c r="Z198" s="4">
        <f t="shared" si="381"/>
        <v>0</v>
      </c>
      <c r="AA198" s="4">
        <f t="shared" si="382"/>
        <v>0</v>
      </c>
      <c r="AB198" s="4">
        <f t="shared" si="383"/>
        <v>0</v>
      </c>
      <c r="AC198" s="4"/>
      <c r="AD198" s="4" t="b">
        <f t="shared" si="384"/>
        <v>0</v>
      </c>
      <c r="AE198" s="4" t="b">
        <f t="shared" si="385"/>
        <v>0</v>
      </c>
      <c r="AF198" s="4" t="b">
        <f t="shared" si="386"/>
        <v>0</v>
      </c>
      <c r="AG198" t="b">
        <f t="shared" si="387"/>
        <v>0</v>
      </c>
      <c r="AH198" t="b">
        <f t="shared" si="388"/>
        <v>0</v>
      </c>
      <c r="AI198" t="b">
        <f t="shared" si="389"/>
        <v>0</v>
      </c>
      <c r="AJ198" t="b">
        <f t="shared" si="390"/>
        <v>0</v>
      </c>
      <c r="AK198" t="b">
        <f t="shared" si="391"/>
        <v>0</v>
      </c>
      <c r="AL198" t="b">
        <f t="shared" si="392"/>
        <v>0</v>
      </c>
      <c r="AM198" t="b">
        <f t="shared" si="393"/>
        <v>0</v>
      </c>
      <c r="AN198" t="b">
        <f t="shared" si="394"/>
        <v>0</v>
      </c>
      <c r="AO198" t="b">
        <f t="shared" si="395"/>
        <v>0</v>
      </c>
      <c r="AP198" t="b">
        <f t="shared" si="396"/>
        <v>0</v>
      </c>
      <c r="AQ198" t="b">
        <f t="shared" si="397"/>
        <v>0</v>
      </c>
      <c r="AR198" t="b">
        <f t="shared" si="398"/>
        <v>0</v>
      </c>
      <c r="AS198" t="b">
        <f t="shared" si="399"/>
        <v>0</v>
      </c>
      <c r="AT198" t="b">
        <f t="shared" si="400"/>
        <v>0</v>
      </c>
      <c r="AU198" t="b">
        <f t="shared" si="401"/>
        <v>0</v>
      </c>
      <c r="AV198" t="b">
        <f t="shared" si="402"/>
        <v>0</v>
      </c>
      <c r="AW198" t="b">
        <f t="shared" si="403"/>
        <v>0</v>
      </c>
      <c r="AX198" t="b">
        <f t="shared" si="405"/>
        <v>0</v>
      </c>
      <c r="AY198" t="b">
        <f t="shared" si="406"/>
        <v>0</v>
      </c>
      <c r="AZ198" t="b">
        <f t="shared" si="407"/>
        <v>0</v>
      </c>
      <c r="BA198" t="b">
        <f t="shared" si="408"/>
        <v>0</v>
      </c>
      <c r="BB198" t="b">
        <f t="shared" si="409"/>
        <v>0</v>
      </c>
      <c r="BC198" t="b">
        <f t="shared" si="410"/>
        <v>0</v>
      </c>
      <c r="BD198" t="b">
        <f t="shared" si="411"/>
        <v>0</v>
      </c>
      <c r="BE198" t="b">
        <f t="shared" si="412"/>
        <v>0</v>
      </c>
      <c r="BF198" t="b">
        <f t="shared" si="413"/>
        <v>0</v>
      </c>
      <c r="BG198" t="b">
        <f t="shared" si="414"/>
        <v>0</v>
      </c>
      <c r="BH198" t="b">
        <f t="shared" si="415"/>
        <v>0</v>
      </c>
      <c r="BI198">
        <f t="shared" si="416"/>
        <v>1</v>
      </c>
      <c r="BJ198" t="b">
        <f t="shared" si="417"/>
        <v>0</v>
      </c>
      <c r="BK198" t="b">
        <f t="shared" si="418"/>
        <v>0</v>
      </c>
      <c r="BL198" t="b">
        <f t="shared" si="419"/>
        <v>0</v>
      </c>
      <c r="BM198" t="b">
        <f t="shared" si="420"/>
        <v>0</v>
      </c>
      <c r="BN198" t="b">
        <f t="shared" si="421"/>
        <v>0</v>
      </c>
      <c r="BO198" t="b">
        <f t="shared" si="422"/>
        <v>0</v>
      </c>
      <c r="BP198" t="b">
        <f t="shared" si="423"/>
        <v>0</v>
      </c>
      <c r="BQ198" t="b">
        <f t="shared" si="424"/>
        <v>0</v>
      </c>
      <c r="BR198" t="b">
        <f t="shared" si="425"/>
        <v>0</v>
      </c>
      <c r="BS198" t="b">
        <f t="shared" si="426"/>
        <v>0</v>
      </c>
      <c r="BT198" t="b">
        <f t="shared" si="427"/>
        <v>0</v>
      </c>
      <c r="BU198" t="b">
        <f t="shared" si="428"/>
        <v>0</v>
      </c>
      <c r="BV198" t="b">
        <f t="shared" si="429"/>
        <v>0</v>
      </c>
      <c r="BW198" t="b">
        <f t="shared" si="430"/>
        <v>0</v>
      </c>
      <c r="BX198" t="b">
        <f t="shared" si="431"/>
        <v>0</v>
      </c>
      <c r="BY198" t="b">
        <f t="shared" si="432"/>
        <v>0</v>
      </c>
      <c r="BZ198" t="b">
        <f t="shared" si="433"/>
        <v>0</v>
      </c>
      <c r="CA198" t="b">
        <f t="shared" si="434"/>
        <v>0</v>
      </c>
      <c r="CB198" t="b">
        <f t="shared" si="435"/>
        <v>0</v>
      </c>
      <c r="CC198" t="b">
        <f t="shared" si="436"/>
        <v>0</v>
      </c>
      <c r="CD198" t="b">
        <f t="shared" si="437"/>
        <v>0</v>
      </c>
      <c r="CE198">
        <f t="shared" si="438"/>
        <v>1</v>
      </c>
      <c r="CF198" t="b">
        <f t="shared" si="439"/>
        <v>0</v>
      </c>
      <c r="CG198" t="b">
        <f t="shared" si="440"/>
        <v>0</v>
      </c>
      <c r="CH198" t="b">
        <f t="shared" si="441"/>
        <v>0</v>
      </c>
      <c r="CI198" t="b">
        <f t="shared" si="442"/>
        <v>0</v>
      </c>
      <c r="CJ198" t="b">
        <f t="shared" si="443"/>
        <v>0</v>
      </c>
      <c r="CK198" t="b">
        <f t="shared" si="444"/>
        <v>0</v>
      </c>
      <c r="CL198" t="b">
        <f t="shared" si="445"/>
        <v>0</v>
      </c>
      <c r="CM198" t="b">
        <f t="shared" si="446"/>
        <v>0</v>
      </c>
      <c r="CN198" t="b">
        <f t="shared" si="447"/>
        <v>0</v>
      </c>
      <c r="CO198" t="b">
        <f t="shared" si="448"/>
        <v>0</v>
      </c>
      <c r="CP198" t="b">
        <f t="shared" si="449"/>
        <v>0</v>
      </c>
      <c r="CQ198" t="b">
        <f t="shared" si="450"/>
        <v>0</v>
      </c>
      <c r="CR198" t="b">
        <f t="shared" si="451"/>
        <v>0</v>
      </c>
      <c r="CS198" t="b">
        <f t="shared" si="452"/>
        <v>0</v>
      </c>
      <c r="CT198" t="b">
        <f t="shared" si="453"/>
        <v>0</v>
      </c>
      <c r="CU198" t="b">
        <f t="shared" si="454"/>
        <v>0</v>
      </c>
      <c r="CV198" t="b">
        <f t="shared" si="455"/>
        <v>0</v>
      </c>
      <c r="CW198" t="b">
        <f t="shared" si="456"/>
        <v>0</v>
      </c>
      <c r="CX198" t="b">
        <f t="shared" si="457"/>
        <v>0</v>
      </c>
      <c r="CY198" t="b">
        <f t="shared" si="458"/>
        <v>0</v>
      </c>
      <c r="CZ198" t="b">
        <f t="shared" si="459"/>
        <v>0</v>
      </c>
      <c r="DA198" t="b">
        <f t="shared" si="460"/>
        <v>0</v>
      </c>
      <c r="DB198" t="b">
        <f t="shared" si="461"/>
        <v>0</v>
      </c>
      <c r="DC198" t="b">
        <f t="shared" si="462"/>
        <v>0</v>
      </c>
      <c r="DD198" t="b">
        <f t="shared" si="463"/>
        <v>0</v>
      </c>
      <c r="DE198" t="b">
        <f t="shared" si="464"/>
        <v>0</v>
      </c>
      <c r="DF198" t="b">
        <f t="shared" si="465"/>
        <v>0</v>
      </c>
      <c r="DG198" t="b">
        <f t="shared" si="466"/>
        <v>0</v>
      </c>
      <c r="DH198" t="b">
        <f t="shared" si="467"/>
        <v>0</v>
      </c>
      <c r="DI198" t="b">
        <f t="shared" si="468"/>
        <v>0</v>
      </c>
      <c r="DJ198" t="b">
        <f t="shared" si="469"/>
        <v>0</v>
      </c>
      <c r="DK198" t="b">
        <f t="shared" si="470"/>
        <v>0</v>
      </c>
      <c r="DL198" t="b">
        <f t="shared" si="471"/>
        <v>0</v>
      </c>
      <c r="DM198" t="b">
        <f t="shared" si="472"/>
        <v>0</v>
      </c>
      <c r="DN198" t="b">
        <f t="shared" si="473"/>
        <v>0</v>
      </c>
      <c r="DO198" t="b">
        <f t="shared" si="474"/>
        <v>0</v>
      </c>
      <c r="DP198" t="b">
        <f t="shared" si="475"/>
        <v>0</v>
      </c>
      <c r="DQ198" t="b">
        <f t="shared" si="476"/>
        <v>0</v>
      </c>
      <c r="DR198" t="b">
        <f t="shared" si="477"/>
        <v>0</v>
      </c>
      <c r="DS198" t="b">
        <f t="shared" si="478"/>
        <v>0</v>
      </c>
      <c r="DT198" t="b">
        <f t="shared" si="479"/>
        <v>0</v>
      </c>
      <c r="DU198" t="b">
        <f t="shared" si="480"/>
        <v>0</v>
      </c>
      <c r="DV198" t="b">
        <f t="shared" si="481"/>
        <v>0</v>
      </c>
      <c r="DW198" t="b">
        <f t="shared" si="482"/>
        <v>0</v>
      </c>
      <c r="DX198" t="b">
        <f t="shared" si="483"/>
        <v>0</v>
      </c>
      <c r="DY198" t="b">
        <f t="shared" si="484"/>
        <v>0</v>
      </c>
      <c r="DZ198" t="b">
        <f t="shared" si="485"/>
        <v>0</v>
      </c>
      <c r="EA198" t="b">
        <f t="shared" si="486"/>
        <v>0</v>
      </c>
      <c r="EB198" t="b">
        <f t="shared" si="487"/>
        <v>0</v>
      </c>
      <c r="EC198" t="b">
        <f t="shared" si="488"/>
        <v>0</v>
      </c>
      <c r="ED198" t="b">
        <f t="shared" si="489"/>
        <v>0</v>
      </c>
      <c r="EE198" t="b">
        <f t="shared" si="490"/>
        <v>0</v>
      </c>
      <c r="EF198">
        <f t="shared" si="491"/>
        <v>1</v>
      </c>
      <c r="EG198" t="b">
        <f t="shared" si="492"/>
        <v>0</v>
      </c>
      <c r="EH198" t="b">
        <f t="shared" si="493"/>
        <v>0</v>
      </c>
      <c r="EI198" t="b">
        <f t="shared" si="494"/>
        <v>0</v>
      </c>
      <c r="EJ198" t="b">
        <f t="shared" si="495"/>
        <v>0</v>
      </c>
      <c r="EK198" t="b">
        <f t="shared" si="496"/>
        <v>0</v>
      </c>
    </row>
    <row r="199" spans="1:141">
      <c r="A199" t="s">
        <v>1097</v>
      </c>
      <c r="B199" t="s">
        <v>1097</v>
      </c>
      <c r="C199" t="s">
        <v>1098</v>
      </c>
      <c r="D199" s="1">
        <v>41497</v>
      </c>
      <c r="E199" s="2">
        <v>43660.619340277779</v>
      </c>
      <c r="F199" s="2">
        <v>43660.619340277779</v>
      </c>
      <c r="G199">
        <v>100985047</v>
      </c>
      <c r="H199" t="s">
        <v>1099</v>
      </c>
      <c r="I199" s="10" t="s">
        <v>1100</v>
      </c>
      <c r="J199" t="s">
        <v>474</v>
      </c>
      <c r="K199" s="8" t="b">
        <v>1</v>
      </c>
      <c r="L199" s="10" t="b">
        <v>0</v>
      </c>
      <c r="M199" s="12" t="b">
        <v>0</v>
      </c>
      <c r="N199" t="b">
        <v>0</v>
      </c>
      <c r="O199" t="b">
        <v>0</v>
      </c>
      <c r="P199" t="b">
        <v>0</v>
      </c>
      <c r="Q199">
        <f t="shared" si="373"/>
        <v>1</v>
      </c>
      <c r="R199">
        <f t="shared" si="374"/>
        <v>8</v>
      </c>
      <c r="S199" t="e">
        <f t="shared" ca="1" si="404"/>
        <v>#NAME?</v>
      </c>
      <c r="T199" t="e">
        <f t="shared" ca="1" si="375"/>
        <v>#NAME?</v>
      </c>
      <c r="U199" s="4">
        <f t="shared" si="376"/>
        <v>2163.619340277779</v>
      </c>
      <c r="V199" s="4">
        <f t="shared" si="377"/>
        <v>72.120644675925959</v>
      </c>
      <c r="W199" s="4">
        <f t="shared" si="378"/>
        <v>1</v>
      </c>
      <c r="X199" s="4">
        <f t="shared" si="379"/>
        <v>0</v>
      </c>
      <c r="Y199" s="4">
        <f t="shared" si="380"/>
        <v>0</v>
      </c>
      <c r="Z199" s="4">
        <f t="shared" si="381"/>
        <v>0</v>
      </c>
      <c r="AA199" s="4">
        <f t="shared" si="382"/>
        <v>0</v>
      </c>
      <c r="AB199" s="4">
        <f t="shared" si="383"/>
        <v>0</v>
      </c>
      <c r="AC199" s="4"/>
      <c r="AD199" s="4" t="b">
        <f t="shared" si="384"/>
        <v>0</v>
      </c>
      <c r="AE199" s="4" t="b">
        <f t="shared" si="385"/>
        <v>0</v>
      </c>
      <c r="AF199" s="4" t="b">
        <f t="shared" si="386"/>
        <v>0</v>
      </c>
      <c r="AG199" t="b">
        <f t="shared" si="387"/>
        <v>0</v>
      </c>
      <c r="AH199" t="b">
        <f t="shared" si="388"/>
        <v>0</v>
      </c>
      <c r="AI199" t="b">
        <f t="shared" si="389"/>
        <v>0</v>
      </c>
      <c r="AJ199" t="b">
        <f t="shared" si="390"/>
        <v>0</v>
      </c>
      <c r="AK199" t="b">
        <f t="shared" si="391"/>
        <v>0</v>
      </c>
      <c r="AL199" t="b">
        <f t="shared" si="392"/>
        <v>0</v>
      </c>
      <c r="AM199" t="b">
        <f t="shared" si="393"/>
        <v>0</v>
      </c>
      <c r="AN199" t="b">
        <f t="shared" si="394"/>
        <v>0</v>
      </c>
      <c r="AO199" t="b">
        <f t="shared" si="395"/>
        <v>0</v>
      </c>
      <c r="AP199" t="b">
        <f t="shared" si="396"/>
        <v>0</v>
      </c>
      <c r="AQ199" t="b">
        <f t="shared" si="397"/>
        <v>0</v>
      </c>
      <c r="AR199" t="b">
        <f t="shared" si="398"/>
        <v>0</v>
      </c>
      <c r="AS199" t="b">
        <f t="shared" si="399"/>
        <v>0</v>
      </c>
      <c r="AT199" t="b">
        <f t="shared" si="400"/>
        <v>0</v>
      </c>
      <c r="AU199" t="b">
        <f t="shared" si="401"/>
        <v>0</v>
      </c>
      <c r="AV199" t="b">
        <f t="shared" si="402"/>
        <v>0</v>
      </c>
      <c r="AW199" t="b">
        <f t="shared" si="403"/>
        <v>0</v>
      </c>
      <c r="AX199" t="b">
        <f t="shared" si="405"/>
        <v>0</v>
      </c>
      <c r="AY199" t="b">
        <f t="shared" si="406"/>
        <v>0</v>
      </c>
      <c r="AZ199">
        <f t="shared" si="407"/>
        <v>1</v>
      </c>
      <c r="BA199" t="b">
        <f t="shared" si="408"/>
        <v>0</v>
      </c>
      <c r="BB199" t="b">
        <f t="shared" si="409"/>
        <v>0</v>
      </c>
      <c r="BC199" t="b">
        <f t="shared" si="410"/>
        <v>0</v>
      </c>
      <c r="BD199" t="b">
        <f t="shared" si="411"/>
        <v>0</v>
      </c>
      <c r="BE199" t="b">
        <f t="shared" si="412"/>
        <v>0</v>
      </c>
      <c r="BF199" t="b">
        <f t="shared" si="413"/>
        <v>0</v>
      </c>
      <c r="BG199" t="b">
        <f t="shared" si="414"/>
        <v>0</v>
      </c>
      <c r="BH199" t="b">
        <f t="shared" si="415"/>
        <v>0</v>
      </c>
      <c r="BI199">
        <f t="shared" si="416"/>
        <v>1</v>
      </c>
      <c r="BJ199" t="b">
        <f t="shared" si="417"/>
        <v>0</v>
      </c>
      <c r="BK199" t="b">
        <f t="shared" si="418"/>
        <v>0</v>
      </c>
      <c r="BL199" t="b">
        <f t="shared" si="419"/>
        <v>0</v>
      </c>
      <c r="BM199" t="b">
        <f t="shared" si="420"/>
        <v>0</v>
      </c>
      <c r="BN199" t="b">
        <f t="shared" si="421"/>
        <v>0</v>
      </c>
      <c r="BO199" t="b">
        <f t="shared" si="422"/>
        <v>0</v>
      </c>
      <c r="BP199" t="b">
        <f t="shared" si="423"/>
        <v>0</v>
      </c>
      <c r="BQ199" t="b">
        <f t="shared" si="424"/>
        <v>0</v>
      </c>
      <c r="BR199">
        <f t="shared" si="425"/>
        <v>1</v>
      </c>
      <c r="BS199" t="b">
        <f t="shared" si="426"/>
        <v>0</v>
      </c>
      <c r="BT199" t="b">
        <f t="shared" si="427"/>
        <v>0</v>
      </c>
      <c r="BU199" t="b">
        <f t="shared" si="428"/>
        <v>0</v>
      </c>
      <c r="BV199" t="b">
        <f t="shared" si="429"/>
        <v>0</v>
      </c>
      <c r="BW199" t="b">
        <f t="shared" si="430"/>
        <v>0</v>
      </c>
      <c r="BX199" t="b">
        <f t="shared" si="431"/>
        <v>0</v>
      </c>
      <c r="BY199" t="b">
        <f t="shared" si="432"/>
        <v>0</v>
      </c>
      <c r="BZ199" t="b">
        <f t="shared" si="433"/>
        <v>0</v>
      </c>
      <c r="CA199" t="b">
        <f t="shared" si="434"/>
        <v>0</v>
      </c>
      <c r="CB199" t="b">
        <f t="shared" si="435"/>
        <v>0</v>
      </c>
      <c r="CC199" t="b">
        <f t="shared" si="436"/>
        <v>0</v>
      </c>
      <c r="CD199" t="b">
        <f t="shared" si="437"/>
        <v>0</v>
      </c>
      <c r="CE199" t="b">
        <f t="shared" si="438"/>
        <v>0</v>
      </c>
      <c r="CF199" t="b">
        <f t="shared" si="439"/>
        <v>0</v>
      </c>
      <c r="CG199" t="b">
        <f t="shared" si="440"/>
        <v>0</v>
      </c>
      <c r="CH199" t="b">
        <f t="shared" si="441"/>
        <v>0</v>
      </c>
      <c r="CI199" t="b">
        <f t="shared" si="442"/>
        <v>0</v>
      </c>
      <c r="CJ199" t="b">
        <f t="shared" si="443"/>
        <v>0</v>
      </c>
      <c r="CK199" t="b">
        <f t="shared" si="444"/>
        <v>0</v>
      </c>
      <c r="CL199" t="b">
        <f t="shared" si="445"/>
        <v>0</v>
      </c>
      <c r="CM199">
        <f t="shared" si="446"/>
        <v>1</v>
      </c>
      <c r="CN199" t="b">
        <f t="shared" si="447"/>
        <v>0</v>
      </c>
      <c r="CO199" t="b">
        <f t="shared" si="448"/>
        <v>0</v>
      </c>
      <c r="CP199" t="b">
        <f t="shared" si="449"/>
        <v>0</v>
      </c>
      <c r="CQ199" t="b">
        <f t="shared" si="450"/>
        <v>0</v>
      </c>
      <c r="CR199" t="b">
        <f t="shared" si="451"/>
        <v>0</v>
      </c>
      <c r="CS199" t="b">
        <f t="shared" si="452"/>
        <v>0</v>
      </c>
      <c r="CT199" t="b">
        <f t="shared" si="453"/>
        <v>0</v>
      </c>
      <c r="CU199" t="b">
        <f t="shared" si="454"/>
        <v>0</v>
      </c>
      <c r="CV199">
        <f t="shared" si="455"/>
        <v>1</v>
      </c>
      <c r="CW199" t="b">
        <f t="shared" si="456"/>
        <v>0</v>
      </c>
      <c r="CX199" t="b">
        <f t="shared" si="457"/>
        <v>0</v>
      </c>
      <c r="CY199" t="b">
        <f t="shared" si="458"/>
        <v>0</v>
      </c>
      <c r="CZ199" t="b">
        <f t="shared" si="459"/>
        <v>0</v>
      </c>
      <c r="DA199">
        <f t="shared" si="460"/>
        <v>1</v>
      </c>
      <c r="DB199">
        <f t="shared" si="461"/>
        <v>1</v>
      </c>
      <c r="DC199" t="b">
        <f t="shared" si="462"/>
        <v>0</v>
      </c>
      <c r="DD199" t="b">
        <f t="shared" si="463"/>
        <v>0</v>
      </c>
      <c r="DE199" t="b">
        <f t="shared" si="464"/>
        <v>0</v>
      </c>
      <c r="DF199" t="b">
        <f t="shared" si="465"/>
        <v>0</v>
      </c>
      <c r="DG199" t="b">
        <f t="shared" si="466"/>
        <v>0</v>
      </c>
      <c r="DH199" t="b">
        <f t="shared" si="467"/>
        <v>0</v>
      </c>
      <c r="DI199" t="b">
        <f t="shared" si="468"/>
        <v>0</v>
      </c>
      <c r="DJ199" t="b">
        <f t="shared" si="469"/>
        <v>0</v>
      </c>
      <c r="DK199" t="b">
        <f t="shared" si="470"/>
        <v>0</v>
      </c>
      <c r="DL199" t="b">
        <f t="shared" si="471"/>
        <v>0</v>
      </c>
      <c r="DM199" t="b">
        <f t="shared" si="472"/>
        <v>0</v>
      </c>
      <c r="DN199" t="b">
        <f t="shared" si="473"/>
        <v>0</v>
      </c>
      <c r="DO199" t="b">
        <f t="shared" si="474"/>
        <v>0</v>
      </c>
      <c r="DP199" t="b">
        <f t="shared" si="475"/>
        <v>0</v>
      </c>
      <c r="DQ199" t="b">
        <f t="shared" si="476"/>
        <v>0</v>
      </c>
      <c r="DR199" t="b">
        <f t="shared" si="477"/>
        <v>0</v>
      </c>
      <c r="DS199" t="b">
        <f t="shared" si="478"/>
        <v>0</v>
      </c>
      <c r="DT199" t="b">
        <f t="shared" si="479"/>
        <v>0</v>
      </c>
      <c r="DU199" t="b">
        <f t="shared" si="480"/>
        <v>0</v>
      </c>
      <c r="DV199" t="b">
        <f t="shared" si="481"/>
        <v>0</v>
      </c>
      <c r="DW199" t="b">
        <f t="shared" si="482"/>
        <v>0</v>
      </c>
      <c r="DX199" t="b">
        <f t="shared" si="483"/>
        <v>0</v>
      </c>
      <c r="DY199" t="b">
        <f t="shared" si="484"/>
        <v>0</v>
      </c>
      <c r="DZ199" t="b">
        <f t="shared" si="485"/>
        <v>0</v>
      </c>
      <c r="EA199" t="b">
        <f t="shared" si="486"/>
        <v>0</v>
      </c>
      <c r="EB199" t="b">
        <f t="shared" si="487"/>
        <v>0</v>
      </c>
      <c r="EC199" t="b">
        <f t="shared" si="488"/>
        <v>0</v>
      </c>
      <c r="ED199" t="b">
        <f t="shared" si="489"/>
        <v>0</v>
      </c>
      <c r="EE199" t="b">
        <f t="shared" si="490"/>
        <v>0</v>
      </c>
      <c r="EF199" t="b">
        <f t="shared" si="491"/>
        <v>0</v>
      </c>
      <c r="EG199" t="b">
        <f t="shared" si="492"/>
        <v>0</v>
      </c>
      <c r="EH199" t="b">
        <f t="shared" si="493"/>
        <v>0</v>
      </c>
      <c r="EI199" t="b">
        <f t="shared" si="494"/>
        <v>0</v>
      </c>
      <c r="EJ199" t="b">
        <f t="shared" si="495"/>
        <v>0</v>
      </c>
      <c r="EK199" t="b">
        <f t="shared" si="496"/>
        <v>0</v>
      </c>
    </row>
    <row r="200" spans="1:141">
      <c r="A200" t="s">
        <v>1101</v>
      </c>
      <c r="B200" t="s">
        <v>1101</v>
      </c>
      <c r="C200" t="s">
        <v>1102</v>
      </c>
      <c r="D200" s="1">
        <v>42522</v>
      </c>
      <c r="E200" s="2">
        <v>42819.988715277781</v>
      </c>
      <c r="F200" s="2">
        <v>42819.988715277781</v>
      </c>
      <c r="G200">
        <v>29396116</v>
      </c>
      <c r="H200" t="s">
        <v>1103</v>
      </c>
      <c r="I200" s="10" t="s">
        <v>1104</v>
      </c>
      <c r="J200" t="s">
        <v>188</v>
      </c>
      <c r="K200" s="8" t="b">
        <v>1</v>
      </c>
      <c r="L200" s="10" t="b">
        <v>0</v>
      </c>
      <c r="M200" s="12" t="b">
        <v>0</v>
      </c>
      <c r="N200" t="b">
        <v>0</v>
      </c>
      <c r="O200" t="b">
        <v>0</v>
      </c>
      <c r="P200" t="b">
        <v>0</v>
      </c>
      <c r="Q200">
        <f t="shared" si="373"/>
        <v>4</v>
      </c>
      <c r="R200">
        <f t="shared" si="374"/>
        <v>6</v>
      </c>
      <c r="S200" t="e">
        <f t="shared" ca="1" si="404"/>
        <v>#NAME?</v>
      </c>
      <c r="T200" t="e">
        <f t="shared" ca="1" si="375"/>
        <v>#NAME?</v>
      </c>
      <c r="U200" s="4">
        <f t="shared" si="376"/>
        <v>297.98871527778101</v>
      </c>
      <c r="V200" s="4">
        <f t="shared" si="377"/>
        <v>9.9329571759260329</v>
      </c>
      <c r="W200" s="4">
        <f t="shared" si="378"/>
        <v>1</v>
      </c>
      <c r="X200" s="4">
        <f t="shared" si="379"/>
        <v>0</v>
      </c>
      <c r="Y200" s="4">
        <f t="shared" si="380"/>
        <v>0</v>
      </c>
      <c r="Z200" s="4">
        <f t="shared" si="381"/>
        <v>0</v>
      </c>
      <c r="AA200" s="4">
        <f t="shared" si="382"/>
        <v>0</v>
      </c>
      <c r="AB200" s="4">
        <f t="shared" si="383"/>
        <v>0</v>
      </c>
      <c r="AC200" s="4"/>
      <c r="AD200" s="4" t="b">
        <f t="shared" si="384"/>
        <v>0</v>
      </c>
      <c r="AE200" s="4" t="b">
        <f t="shared" si="385"/>
        <v>0</v>
      </c>
      <c r="AF200" s="4" t="b">
        <f t="shared" si="386"/>
        <v>0</v>
      </c>
      <c r="AG200" t="b">
        <f t="shared" si="387"/>
        <v>0</v>
      </c>
      <c r="AH200" t="b">
        <f t="shared" si="388"/>
        <v>0</v>
      </c>
      <c r="AI200" t="b">
        <f t="shared" si="389"/>
        <v>0</v>
      </c>
      <c r="AJ200" t="b">
        <f t="shared" si="390"/>
        <v>0</v>
      </c>
      <c r="AK200" t="b">
        <f t="shared" si="391"/>
        <v>0</v>
      </c>
      <c r="AL200" t="b">
        <f t="shared" si="392"/>
        <v>0</v>
      </c>
      <c r="AM200" t="b">
        <f t="shared" si="393"/>
        <v>0</v>
      </c>
      <c r="AN200" t="b">
        <f t="shared" si="394"/>
        <v>0</v>
      </c>
      <c r="AO200" t="b">
        <f t="shared" si="395"/>
        <v>0</v>
      </c>
      <c r="AP200" t="b">
        <f t="shared" si="396"/>
        <v>0</v>
      </c>
      <c r="AQ200" t="b">
        <f t="shared" si="397"/>
        <v>0</v>
      </c>
      <c r="AR200" t="b">
        <f t="shared" si="398"/>
        <v>0</v>
      </c>
      <c r="AS200" t="b">
        <f t="shared" si="399"/>
        <v>0</v>
      </c>
      <c r="AT200" t="b">
        <f t="shared" si="400"/>
        <v>0</v>
      </c>
      <c r="AU200" t="b">
        <f t="shared" si="401"/>
        <v>0</v>
      </c>
      <c r="AV200" t="b">
        <f t="shared" si="402"/>
        <v>0</v>
      </c>
      <c r="AW200" t="b">
        <f t="shared" si="403"/>
        <v>0</v>
      </c>
      <c r="AX200" t="b">
        <f t="shared" si="405"/>
        <v>0</v>
      </c>
      <c r="AY200" t="b">
        <f t="shared" si="406"/>
        <v>0</v>
      </c>
      <c r="AZ200" t="b">
        <f t="shared" si="407"/>
        <v>0</v>
      </c>
      <c r="BA200" t="b">
        <f t="shared" si="408"/>
        <v>0</v>
      </c>
      <c r="BB200" t="b">
        <f t="shared" si="409"/>
        <v>0</v>
      </c>
      <c r="BC200" t="b">
        <f t="shared" si="410"/>
        <v>0</v>
      </c>
      <c r="BD200" t="b">
        <f t="shared" si="411"/>
        <v>0</v>
      </c>
      <c r="BE200" t="b">
        <f t="shared" si="412"/>
        <v>0</v>
      </c>
      <c r="BF200" t="b">
        <f t="shared" si="413"/>
        <v>0</v>
      </c>
      <c r="BG200" t="b">
        <f t="shared" si="414"/>
        <v>0</v>
      </c>
      <c r="BH200" t="b">
        <f t="shared" si="415"/>
        <v>0</v>
      </c>
      <c r="BI200">
        <f t="shared" si="416"/>
        <v>1</v>
      </c>
      <c r="BJ200" t="b">
        <f t="shared" si="417"/>
        <v>0</v>
      </c>
      <c r="BK200" t="b">
        <f t="shared" si="418"/>
        <v>0</v>
      </c>
      <c r="BL200" t="b">
        <f t="shared" si="419"/>
        <v>0</v>
      </c>
      <c r="BM200" t="b">
        <f t="shared" si="420"/>
        <v>0</v>
      </c>
      <c r="BN200" t="b">
        <f t="shared" si="421"/>
        <v>0</v>
      </c>
      <c r="BO200" t="b">
        <f t="shared" si="422"/>
        <v>0</v>
      </c>
      <c r="BP200" t="b">
        <f t="shared" si="423"/>
        <v>0</v>
      </c>
      <c r="BQ200" t="b">
        <f t="shared" si="424"/>
        <v>0</v>
      </c>
      <c r="BR200" t="b">
        <f t="shared" si="425"/>
        <v>0</v>
      </c>
      <c r="BS200" t="b">
        <f t="shared" si="426"/>
        <v>0</v>
      </c>
      <c r="BT200" t="b">
        <f t="shared" si="427"/>
        <v>0</v>
      </c>
      <c r="BU200" t="b">
        <f t="shared" si="428"/>
        <v>0</v>
      </c>
      <c r="BV200" t="b">
        <f t="shared" si="429"/>
        <v>0</v>
      </c>
      <c r="BW200" t="b">
        <f t="shared" si="430"/>
        <v>0</v>
      </c>
      <c r="BX200" t="b">
        <f t="shared" si="431"/>
        <v>0</v>
      </c>
      <c r="BY200" t="b">
        <f t="shared" si="432"/>
        <v>0</v>
      </c>
      <c r="BZ200" t="b">
        <f t="shared" si="433"/>
        <v>0</v>
      </c>
      <c r="CA200" t="b">
        <f t="shared" si="434"/>
        <v>0</v>
      </c>
      <c r="CB200" t="b">
        <f t="shared" si="435"/>
        <v>0</v>
      </c>
      <c r="CC200" t="b">
        <f t="shared" si="436"/>
        <v>0</v>
      </c>
      <c r="CD200" t="b">
        <f t="shared" si="437"/>
        <v>0</v>
      </c>
      <c r="CE200">
        <f t="shared" si="438"/>
        <v>1</v>
      </c>
      <c r="CF200" t="b">
        <f t="shared" si="439"/>
        <v>0</v>
      </c>
      <c r="CG200" t="b">
        <f t="shared" si="440"/>
        <v>0</v>
      </c>
      <c r="CH200" t="b">
        <f t="shared" si="441"/>
        <v>0</v>
      </c>
      <c r="CI200" t="b">
        <f t="shared" si="442"/>
        <v>0</v>
      </c>
      <c r="CJ200" t="b">
        <f t="shared" si="443"/>
        <v>0</v>
      </c>
      <c r="CK200" t="b">
        <f t="shared" si="444"/>
        <v>0</v>
      </c>
      <c r="CL200" t="b">
        <f t="shared" si="445"/>
        <v>0</v>
      </c>
      <c r="CM200" t="b">
        <f t="shared" si="446"/>
        <v>0</v>
      </c>
      <c r="CN200" t="b">
        <f t="shared" si="447"/>
        <v>0</v>
      </c>
      <c r="CO200" t="b">
        <f t="shared" si="448"/>
        <v>0</v>
      </c>
      <c r="CP200" t="b">
        <f t="shared" si="449"/>
        <v>0</v>
      </c>
      <c r="CQ200" t="b">
        <f t="shared" si="450"/>
        <v>0</v>
      </c>
      <c r="CR200" t="b">
        <f t="shared" si="451"/>
        <v>0</v>
      </c>
      <c r="CS200" t="b">
        <f t="shared" si="452"/>
        <v>0</v>
      </c>
      <c r="CT200" t="b">
        <f t="shared" si="453"/>
        <v>0</v>
      </c>
      <c r="CU200" t="b">
        <f t="shared" si="454"/>
        <v>0</v>
      </c>
      <c r="CV200">
        <f t="shared" si="455"/>
        <v>1</v>
      </c>
      <c r="CW200" t="b">
        <f t="shared" si="456"/>
        <v>0</v>
      </c>
      <c r="CX200" t="b">
        <f t="shared" si="457"/>
        <v>0</v>
      </c>
      <c r="CY200" t="b">
        <f t="shared" si="458"/>
        <v>0</v>
      </c>
      <c r="CZ200" t="b">
        <f t="shared" si="459"/>
        <v>0</v>
      </c>
      <c r="DA200" t="b">
        <f t="shared" si="460"/>
        <v>0</v>
      </c>
      <c r="DB200" t="b">
        <f t="shared" si="461"/>
        <v>0</v>
      </c>
      <c r="DC200" t="b">
        <f t="shared" si="462"/>
        <v>0</v>
      </c>
      <c r="DD200" t="b">
        <f t="shared" si="463"/>
        <v>0</v>
      </c>
      <c r="DE200" t="b">
        <f t="shared" si="464"/>
        <v>0</v>
      </c>
      <c r="DF200" t="b">
        <f t="shared" si="465"/>
        <v>0</v>
      </c>
      <c r="DG200" t="b">
        <f t="shared" si="466"/>
        <v>0</v>
      </c>
      <c r="DH200" t="b">
        <f t="shared" si="467"/>
        <v>0</v>
      </c>
      <c r="DI200" t="b">
        <f t="shared" si="468"/>
        <v>0</v>
      </c>
      <c r="DJ200" t="b">
        <f t="shared" si="469"/>
        <v>0</v>
      </c>
      <c r="DK200" t="b">
        <f t="shared" si="470"/>
        <v>0</v>
      </c>
      <c r="DL200" t="b">
        <f t="shared" si="471"/>
        <v>0</v>
      </c>
      <c r="DM200" t="b">
        <f t="shared" si="472"/>
        <v>0</v>
      </c>
      <c r="DN200" t="b">
        <f t="shared" si="473"/>
        <v>0</v>
      </c>
      <c r="DO200" t="b">
        <f t="shared" si="474"/>
        <v>0</v>
      </c>
      <c r="DP200" t="b">
        <f t="shared" si="475"/>
        <v>0</v>
      </c>
      <c r="DQ200" t="b">
        <f t="shared" si="476"/>
        <v>0</v>
      </c>
      <c r="DR200" t="b">
        <f t="shared" si="477"/>
        <v>0</v>
      </c>
      <c r="DS200" t="b">
        <f t="shared" si="478"/>
        <v>0</v>
      </c>
      <c r="DT200" t="b">
        <f t="shared" si="479"/>
        <v>0</v>
      </c>
      <c r="DU200" t="b">
        <f t="shared" si="480"/>
        <v>0</v>
      </c>
      <c r="DV200" t="b">
        <f t="shared" si="481"/>
        <v>0</v>
      </c>
      <c r="DW200" t="b">
        <f t="shared" si="482"/>
        <v>0</v>
      </c>
      <c r="DX200" t="b">
        <f t="shared" si="483"/>
        <v>0</v>
      </c>
      <c r="DY200" t="b">
        <f t="shared" si="484"/>
        <v>0</v>
      </c>
      <c r="DZ200" t="b">
        <f t="shared" si="485"/>
        <v>0</v>
      </c>
      <c r="EA200" t="b">
        <f t="shared" si="486"/>
        <v>0</v>
      </c>
      <c r="EB200" t="b">
        <f t="shared" si="487"/>
        <v>0</v>
      </c>
      <c r="EC200" t="b">
        <f t="shared" si="488"/>
        <v>0</v>
      </c>
      <c r="ED200" t="b">
        <f t="shared" si="489"/>
        <v>0</v>
      </c>
      <c r="EE200" t="b">
        <f t="shared" si="490"/>
        <v>0</v>
      </c>
      <c r="EF200">
        <f t="shared" si="491"/>
        <v>1</v>
      </c>
      <c r="EG200" t="b">
        <f t="shared" si="492"/>
        <v>0</v>
      </c>
      <c r="EH200" t="b">
        <f t="shared" si="493"/>
        <v>0</v>
      </c>
      <c r="EI200" t="b">
        <f t="shared" si="494"/>
        <v>0</v>
      </c>
      <c r="EJ200" t="b">
        <f t="shared" si="495"/>
        <v>0</v>
      </c>
      <c r="EK200" t="b">
        <f t="shared" si="496"/>
        <v>0</v>
      </c>
    </row>
    <row r="201" spans="1:141">
      <c r="A201" t="s">
        <v>1105</v>
      </c>
      <c r="B201" t="s">
        <v>1105</v>
      </c>
      <c r="C201" t="s">
        <v>1106</v>
      </c>
      <c r="D201" s="1">
        <v>43252</v>
      </c>
      <c r="E201" s="2">
        <v>43306.83384259259</v>
      </c>
      <c r="F201" s="2">
        <v>43306.83384259259</v>
      </c>
      <c r="G201">
        <v>131577763</v>
      </c>
      <c r="H201" t="s">
        <v>1107</v>
      </c>
      <c r="I201" s="10" t="s">
        <v>1108</v>
      </c>
      <c r="J201" t="s">
        <v>1109</v>
      </c>
      <c r="K201" s="8" t="b">
        <v>1</v>
      </c>
      <c r="L201" s="10" t="b">
        <v>0</v>
      </c>
      <c r="M201" s="12" t="b">
        <v>0</v>
      </c>
      <c r="N201" t="b">
        <v>0</v>
      </c>
      <c r="O201" t="b">
        <v>0</v>
      </c>
      <c r="P201" t="b">
        <v>0</v>
      </c>
      <c r="Q201">
        <f t="shared" si="373"/>
        <v>6</v>
      </c>
      <c r="R201">
        <f t="shared" si="374"/>
        <v>6</v>
      </c>
      <c r="S201" t="e">
        <f t="shared" ca="1" si="404"/>
        <v>#NAME?</v>
      </c>
      <c r="T201" t="e">
        <f t="shared" ca="1" si="375"/>
        <v>#NAME?</v>
      </c>
      <c r="U201" s="4">
        <f t="shared" si="376"/>
        <v>54.833842592590372</v>
      </c>
      <c r="V201" s="4">
        <f t="shared" si="377"/>
        <v>1.8277947530863456</v>
      </c>
      <c r="W201" s="4">
        <f t="shared" si="378"/>
        <v>1</v>
      </c>
      <c r="X201" s="4">
        <f t="shared" si="379"/>
        <v>0</v>
      </c>
      <c r="Y201" s="4">
        <f t="shared" si="380"/>
        <v>0</v>
      </c>
      <c r="Z201" s="4">
        <f t="shared" si="381"/>
        <v>0</v>
      </c>
      <c r="AA201" s="4">
        <f t="shared" si="382"/>
        <v>0</v>
      </c>
      <c r="AB201" s="4">
        <f t="shared" si="383"/>
        <v>0</v>
      </c>
      <c r="AC201" s="4"/>
      <c r="AD201" s="4" t="b">
        <f t="shared" si="384"/>
        <v>0</v>
      </c>
      <c r="AE201" s="4" t="b">
        <f t="shared" si="385"/>
        <v>0</v>
      </c>
      <c r="AF201" s="4" t="b">
        <f t="shared" si="386"/>
        <v>0</v>
      </c>
      <c r="AG201" t="b">
        <f t="shared" si="387"/>
        <v>0</v>
      </c>
      <c r="AH201" t="b">
        <f t="shared" si="388"/>
        <v>0</v>
      </c>
      <c r="AI201" t="b">
        <f t="shared" si="389"/>
        <v>0</v>
      </c>
      <c r="AJ201" t="b">
        <f t="shared" si="390"/>
        <v>0</v>
      </c>
      <c r="AK201" t="b">
        <f t="shared" si="391"/>
        <v>0</v>
      </c>
      <c r="AL201" t="b">
        <f t="shared" si="392"/>
        <v>0</v>
      </c>
      <c r="AM201" t="b">
        <f t="shared" si="393"/>
        <v>0</v>
      </c>
      <c r="AN201" t="b">
        <f t="shared" si="394"/>
        <v>0</v>
      </c>
      <c r="AO201" t="b">
        <f t="shared" si="395"/>
        <v>0</v>
      </c>
      <c r="AP201" t="b">
        <f t="shared" si="396"/>
        <v>0</v>
      </c>
      <c r="AQ201" t="b">
        <f t="shared" si="397"/>
        <v>0</v>
      </c>
      <c r="AR201" t="b">
        <f t="shared" si="398"/>
        <v>0</v>
      </c>
      <c r="AS201" t="b">
        <f t="shared" si="399"/>
        <v>0</v>
      </c>
      <c r="AT201" t="b">
        <f t="shared" si="400"/>
        <v>0</v>
      </c>
      <c r="AU201" t="b">
        <f t="shared" si="401"/>
        <v>0</v>
      </c>
      <c r="AV201" t="b">
        <f t="shared" si="402"/>
        <v>0</v>
      </c>
      <c r="AW201">
        <f t="shared" si="403"/>
        <v>1</v>
      </c>
      <c r="AX201" t="b">
        <f t="shared" si="405"/>
        <v>0</v>
      </c>
      <c r="AY201" t="b">
        <f t="shared" si="406"/>
        <v>0</v>
      </c>
      <c r="AZ201">
        <f t="shared" si="407"/>
        <v>1</v>
      </c>
      <c r="BA201" t="b">
        <f t="shared" si="408"/>
        <v>0</v>
      </c>
      <c r="BB201" t="b">
        <f t="shared" si="409"/>
        <v>0</v>
      </c>
      <c r="BC201" t="b">
        <f t="shared" si="410"/>
        <v>0</v>
      </c>
      <c r="BD201" t="b">
        <f t="shared" si="411"/>
        <v>0</v>
      </c>
      <c r="BE201" t="b">
        <f t="shared" si="412"/>
        <v>0</v>
      </c>
      <c r="BF201" t="b">
        <f t="shared" si="413"/>
        <v>0</v>
      </c>
      <c r="BG201" t="b">
        <f t="shared" si="414"/>
        <v>0</v>
      </c>
      <c r="BH201">
        <f t="shared" si="415"/>
        <v>1</v>
      </c>
      <c r="BI201">
        <f t="shared" si="416"/>
        <v>1</v>
      </c>
      <c r="BJ201" t="b">
        <f t="shared" si="417"/>
        <v>0</v>
      </c>
      <c r="BK201" t="b">
        <f t="shared" si="418"/>
        <v>0</v>
      </c>
      <c r="BL201" t="b">
        <f t="shared" si="419"/>
        <v>0</v>
      </c>
      <c r="BM201">
        <f t="shared" si="420"/>
        <v>1</v>
      </c>
      <c r="BN201">
        <f t="shared" si="421"/>
        <v>1</v>
      </c>
      <c r="BO201" t="b">
        <f t="shared" si="422"/>
        <v>0</v>
      </c>
      <c r="BP201" t="b">
        <f t="shared" si="423"/>
        <v>0</v>
      </c>
      <c r="BQ201" t="b">
        <f t="shared" si="424"/>
        <v>0</v>
      </c>
      <c r="BR201">
        <f t="shared" si="425"/>
        <v>1</v>
      </c>
      <c r="BS201" t="b">
        <f t="shared" si="426"/>
        <v>0</v>
      </c>
      <c r="BT201" t="b">
        <f t="shared" si="427"/>
        <v>0</v>
      </c>
      <c r="BU201" t="b">
        <f t="shared" si="428"/>
        <v>0</v>
      </c>
      <c r="BV201" t="b">
        <f t="shared" si="429"/>
        <v>0</v>
      </c>
      <c r="BW201" t="b">
        <f t="shared" si="430"/>
        <v>0</v>
      </c>
      <c r="BX201" t="b">
        <f t="shared" si="431"/>
        <v>0</v>
      </c>
      <c r="BY201">
        <f t="shared" si="432"/>
        <v>1</v>
      </c>
      <c r="BZ201" t="b">
        <f t="shared" si="433"/>
        <v>0</v>
      </c>
      <c r="CA201" t="b">
        <f t="shared" si="434"/>
        <v>0</v>
      </c>
      <c r="CB201" t="b">
        <f t="shared" si="435"/>
        <v>0</v>
      </c>
      <c r="CC201">
        <f t="shared" si="436"/>
        <v>1</v>
      </c>
      <c r="CD201" t="b">
        <f t="shared" si="437"/>
        <v>0</v>
      </c>
      <c r="CE201">
        <f t="shared" si="438"/>
        <v>1</v>
      </c>
      <c r="CF201" t="b">
        <f t="shared" si="439"/>
        <v>0</v>
      </c>
      <c r="CG201" t="b">
        <f t="shared" si="440"/>
        <v>0</v>
      </c>
      <c r="CH201" t="b">
        <f t="shared" si="441"/>
        <v>0</v>
      </c>
      <c r="CI201" t="b">
        <f t="shared" si="442"/>
        <v>0</v>
      </c>
      <c r="CJ201" t="b">
        <f t="shared" si="443"/>
        <v>0</v>
      </c>
      <c r="CK201">
        <f t="shared" si="444"/>
        <v>1</v>
      </c>
      <c r="CL201" t="b">
        <f t="shared" si="445"/>
        <v>0</v>
      </c>
      <c r="CM201">
        <f t="shared" si="446"/>
        <v>1</v>
      </c>
      <c r="CN201" t="b">
        <f t="shared" si="447"/>
        <v>0</v>
      </c>
      <c r="CO201">
        <f t="shared" si="448"/>
        <v>1</v>
      </c>
      <c r="CP201" t="b">
        <f t="shared" si="449"/>
        <v>0</v>
      </c>
      <c r="CQ201">
        <f t="shared" si="450"/>
        <v>1</v>
      </c>
      <c r="CR201" t="b">
        <f t="shared" si="451"/>
        <v>0</v>
      </c>
      <c r="CS201" t="b">
        <f t="shared" si="452"/>
        <v>0</v>
      </c>
      <c r="CT201" t="b">
        <f t="shared" si="453"/>
        <v>0</v>
      </c>
      <c r="CU201" t="b">
        <f t="shared" si="454"/>
        <v>0</v>
      </c>
      <c r="CV201" t="b">
        <f t="shared" si="455"/>
        <v>0</v>
      </c>
      <c r="CW201" t="b">
        <f t="shared" si="456"/>
        <v>0</v>
      </c>
      <c r="CX201" t="b">
        <f t="shared" si="457"/>
        <v>0</v>
      </c>
      <c r="CY201" t="b">
        <f t="shared" si="458"/>
        <v>0</v>
      </c>
      <c r="CZ201" t="b">
        <f t="shared" si="459"/>
        <v>0</v>
      </c>
      <c r="DA201">
        <f t="shared" si="460"/>
        <v>1</v>
      </c>
      <c r="DB201">
        <f t="shared" si="461"/>
        <v>1</v>
      </c>
      <c r="DC201" t="b">
        <f t="shared" si="462"/>
        <v>0</v>
      </c>
      <c r="DD201" t="b">
        <f t="shared" si="463"/>
        <v>0</v>
      </c>
      <c r="DE201" t="b">
        <f t="shared" si="464"/>
        <v>0</v>
      </c>
      <c r="DF201" t="b">
        <f t="shared" si="465"/>
        <v>0</v>
      </c>
      <c r="DG201" t="b">
        <f t="shared" si="466"/>
        <v>0</v>
      </c>
      <c r="DH201" t="b">
        <f t="shared" si="467"/>
        <v>0</v>
      </c>
      <c r="DI201" t="b">
        <f t="shared" si="468"/>
        <v>0</v>
      </c>
      <c r="DJ201" t="b">
        <f t="shared" si="469"/>
        <v>0</v>
      </c>
      <c r="DK201" t="b">
        <f t="shared" si="470"/>
        <v>0</v>
      </c>
      <c r="DL201" t="b">
        <f t="shared" si="471"/>
        <v>0</v>
      </c>
      <c r="DM201" t="b">
        <f t="shared" si="472"/>
        <v>0</v>
      </c>
      <c r="DN201" t="b">
        <f t="shared" si="473"/>
        <v>0</v>
      </c>
      <c r="DO201" t="b">
        <f t="shared" si="474"/>
        <v>0</v>
      </c>
      <c r="DP201" t="b">
        <f t="shared" si="475"/>
        <v>0</v>
      </c>
      <c r="DQ201" t="b">
        <f t="shared" si="476"/>
        <v>0</v>
      </c>
      <c r="DR201" t="b">
        <f t="shared" si="477"/>
        <v>0</v>
      </c>
      <c r="DS201" t="b">
        <f t="shared" si="478"/>
        <v>0</v>
      </c>
      <c r="DT201" t="b">
        <f t="shared" si="479"/>
        <v>0</v>
      </c>
      <c r="DU201" t="b">
        <f t="shared" si="480"/>
        <v>0</v>
      </c>
      <c r="DV201" t="b">
        <f t="shared" si="481"/>
        <v>0</v>
      </c>
      <c r="DW201" t="b">
        <f t="shared" si="482"/>
        <v>0</v>
      </c>
      <c r="DX201" t="b">
        <f t="shared" si="483"/>
        <v>0</v>
      </c>
      <c r="DY201" t="b">
        <f t="shared" si="484"/>
        <v>0</v>
      </c>
      <c r="DZ201" t="b">
        <f t="shared" si="485"/>
        <v>0</v>
      </c>
      <c r="EA201">
        <f t="shared" si="486"/>
        <v>1</v>
      </c>
      <c r="EB201" t="b">
        <f t="shared" si="487"/>
        <v>0</v>
      </c>
      <c r="EC201" t="b">
        <f t="shared" si="488"/>
        <v>0</v>
      </c>
      <c r="ED201" t="b">
        <f t="shared" si="489"/>
        <v>0</v>
      </c>
      <c r="EE201" t="b">
        <f t="shared" si="490"/>
        <v>0</v>
      </c>
      <c r="EF201" t="b">
        <f t="shared" si="491"/>
        <v>0</v>
      </c>
      <c r="EG201" t="b">
        <f t="shared" si="492"/>
        <v>0</v>
      </c>
      <c r="EH201" t="b">
        <f t="shared" si="493"/>
        <v>0</v>
      </c>
      <c r="EI201" t="b">
        <f t="shared" si="494"/>
        <v>0</v>
      </c>
      <c r="EJ201" t="b">
        <f t="shared" si="495"/>
        <v>0</v>
      </c>
      <c r="EK201" t="b">
        <f t="shared" si="496"/>
        <v>0</v>
      </c>
    </row>
    <row r="202" spans="1:141">
      <c r="A202" t="s">
        <v>1110</v>
      </c>
      <c r="B202" t="s">
        <v>1111</v>
      </c>
      <c r="C202" t="s">
        <v>1112</v>
      </c>
      <c r="D202" s="1">
        <v>42263</v>
      </c>
      <c r="E202" s="2">
        <v>42619.992361111108</v>
      </c>
      <c r="F202" s="2">
        <v>44157.237500000003</v>
      </c>
      <c r="G202">
        <v>7196890</v>
      </c>
      <c r="H202" t="s">
        <v>1113</v>
      </c>
      <c r="I202" s="10" t="s">
        <v>1114</v>
      </c>
      <c r="J202" t="s">
        <v>1115</v>
      </c>
      <c r="K202" s="8" t="b">
        <v>0</v>
      </c>
      <c r="L202" s="10" t="b">
        <v>0</v>
      </c>
      <c r="M202" s="12" t="b">
        <v>0</v>
      </c>
      <c r="N202" t="b">
        <v>0</v>
      </c>
      <c r="O202" t="b">
        <v>0</v>
      </c>
      <c r="P202" t="b">
        <v>0</v>
      </c>
      <c r="Q202">
        <f t="shared" si="373"/>
        <v>4</v>
      </c>
      <c r="R202">
        <f t="shared" si="374"/>
        <v>9</v>
      </c>
      <c r="S202" t="e">
        <f t="shared" ca="1" si="404"/>
        <v>#NAME?</v>
      </c>
      <c r="T202" t="e">
        <f t="shared" ca="1" si="375"/>
        <v>#NAME?</v>
      </c>
      <c r="U202" s="4">
        <f t="shared" si="376"/>
        <v>356.99236111110804</v>
      </c>
      <c r="V202" s="4">
        <f t="shared" si="377"/>
        <v>11.899745370370267</v>
      </c>
      <c r="W202" s="4">
        <f t="shared" si="378"/>
        <v>0</v>
      </c>
      <c r="X202" s="4">
        <f t="shared" si="379"/>
        <v>0</v>
      </c>
      <c r="Y202" s="4">
        <f t="shared" si="380"/>
        <v>0</v>
      </c>
      <c r="Z202" s="4">
        <f t="shared" si="381"/>
        <v>0</v>
      </c>
      <c r="AA202" s="4">
        <f t="shared" si="382"/>
        <v>0</v>
      </c>
      <c r="AB202" s="4">
        <f t="shared" si="383"/>
        <v>0</v>
      </c>
      <c r="AC202" s="4"/>
      <c r="AD202" s="4" t="b">
        <f t="shared" si="384"/>
        <v>0</v>
      </c>
      <c r="AE202" s="4" t="b">
        <f t="shared" si="385"/>
        <v>0</v>
      </c>
      <c r="AF202" s="4" t="b">
        <f t="shared" si="386"/>
        <v>0</v>
      </c>
      <c r="AG202" t="b">
        <f t="shared" si="387"/>
        <v>0</v>
      </c>
      <c r="AH202" t="b">
        <f t="shared" si="388"/>
        <v>0</v>
      </c>
      <c r="AI202" t="b">
        <f t="shared" si="389"/>
        <v>0</v>
      </c>
      <c r="AJ202" t="b">
        <f t="shared" si="390"/>
        <v>0</v>
      </c>
      <c r="AK202" t="b">
        <f t="shared" si="391"/>
        <v>0</v>
      </c>
      <c r="AL202" t="b">
        <f t="shared" si="392"/>
        <v>0</v>
      </c>
      <c r="AM202" t="b">
        <f t="shared" si="393"/>
        <v>0</v>
      </c>
      <c r="AN202" t="b">
        <f t="shared" si="394"/>
        <v>0</v>
      </c>
      <c r="AO202" t="b">
        <f t="shared" si="395"/>
        <v>0</v>
      </c>
      <c r="AP202" t="b">
        <f t="shared" si="396"/>
        <v>0</v>
      </c>
      <c r="AQ202" t="b">
        <f t="shared" si="397"/>
        <v>0</v>
      </c>
      <c r="AR202" t="b">
        <f t="shared" si="398"/>
        <v>0</v>
      </c>
      <c r="AS202" t="b">
        <f t="shared" si="399"/>
        <v>0</v>
      </c>
      <c r="AT202" t="b">
        <f t="shared" si="400"/>
        <v>0</v>
      </c>
      <c r="AU202" t="b">
        <f t="shared" si="401"/>
        <v>0</v>
      </c>
      <c r="AV202" t="b">
        <f t="shared" si="402"/>
        <v>0</v>
      </c>
      <c r="AW202">
        <f t="shared" si="403"/>
        <v>1</v>
      </c>
      <c r="AX202" t="b">
        <f t="shared" si="405"/>
        <v>0</v>
      </c>
      <c r="AY202" t="b">
        <f t="shared" si="406"/>
        <v>0</v>
      </c>
      <c r="AZ202">
        <f t="shared" si="407"/>
        <v>1</v>
      </c>
      <c r="BA202" t="b">
        <f t="shared" si="408"/>
        <v>0</v>
      </c>
      <c r="BB202" t="b">
        <f t="shared" si="409"/>
        <v>0</v>
      </c>
      <c r="BC202" t="b">
        <f t="shared" si="410"/>
        <v>0</v>
      </c>
      <c r="BD202" t="b">
        <f t="shared" si="411"/>
        <v>0</v>
      </c>
      <c r="BE202" t="b">
        <f t="shared" si="412"/>
        <v>0</v>
      </c>
      <c r="BF202" t="b">
        <f t="shared" si="413"/>
        <v>0</v>
      </c>
      <c r="BG202" t="b">
        <f t="shared" si="414"/>
        <v>0</v>
      </c>
      <c r="BH202" t="b">
        <f t="shared" si="415"/>
        <v>0</v>
      </c>
      <c r="BI202">
        <f t="shared" si="416"/>
        <v>1</v>
      </c>
      <c r="BJ202" t="b">
        <f t="shared" si="417"/>
        <v>0</v>
      </c>
      <c r="BK202" t="b">
        <f t="shared" si="418"/>
        <v>0</v>
      </c>
      <c r="BL202" t="b">
        <f t="shared" si="419"/>
        <v>0</v>
      </c>
      <c r="BM202">
        <f t="shared" si="420"/>
        <v>1</v>
      </c>
      <c r="BN202" t="b">
        <f t="shared" si="421"/>
        <v>0</v>
      </c>
      <c r="BO202" t="b">
        <f t="shared" si="422"/>
        <v>0</v>
      </c>
      <c r="BP202" t="b">
        <f t="shared" si="423"/>
        <v>0</v>
      </c>
      <c r="BQ202" t="b">
        <f t="shared" si="424"/>
        <v>0</v>
      </c>
      <c r="BR202">
        <f t="shared" si="425"/>
        <v>1</v>
      </c>
      <c r="BS202" t="b">
        <f t="shared" si="426"/>
        <v>0</v>
      </c>
      <c r="BT202" t="b">
        <f t="shared" si="427"/>
        <v>0</v>
      </c>
      <c r="BU202" t="b">
        <f t="shared" si="428"/>
        <v>0</v>
      </c>
      <c r="BV202" t="b">
        <f t="shared" si="429"/>
        <v>0</v>
      </c>
      <c r="BW202" t="b">
        <f t="shared" si="430"/>
        <v>0</v>
      </c>
      <c r="BX202" t="b">
        <f t="shared" si="431"/>
        <v>0</v>
      </c>
      <c r="BY202">
        <f t="shared" si="432"/>
        <v>1</v>
      </c>
      <c r="BZ202" t="b">
        <f t="shared" si="433"/>
        <v>0</v>
      </c>
      <c r="CA202" t="b">
        <f t="shared" si="434"/>
        <v>0</v>
      </c>
      <c r="CB202" t="b">
        <f t="shared" si="435"/>
        <v>0</v>
      </c>
      <c r="CC202">
        <f t="shared" si="436"/>
        <v>1</v>
      </c>
      <c r="CD202" t="b">
        <f t="shared" si="437"/>
        <v>0</v>
      </c>
      <c r="CE202">
        <f t="shared" si="438"/>
        <v>1</v>
      </c>
      <c r="CF202" t="b">
        <f t="shared" si="439"/>
        <v>0</v>
      </c>
      <c r="CG202" t="b">
        <f t="shared" si="440"/>
        <v>0</v>
      </c>
      <c r="CH202" t="b">
        <f t="shared" si="441"/>
        <v>0</v>
      </c>
      <c r="CI202" t="b">
        <f t="shared" si="442"/>
        <v>0</v>
      </c>
      <c r="CJ202" t="b">
        <f t="shared" si="443"/>
        <v>0</v>
      </c>
      <c r="CK202" t="b">
        <f t="shared" si="444"/>
        <v>0</v>
      </c>
      <c r="CL202" t="b">
        <f t="shared" si="445"/>
        <v>0</v>
      </c>
      <c r="CM202">
        <f t="shared" si="446"/>
        <v>1</v>
      </c>
      <c r="CN202" t="b">
        <f t="shared" si="447"/>
        <v>0</v>
      </c>
      <c r="CO202" t="b">
        <f t="shared" si="448"/>
        <v>0</v>
      </c>
      <c r="CP202" t="b">
        <f t="shared" si="449"/>
        <v>0</v>
      </c>
      <c r="CQ202" t="b">
        <f t="shared" si="450"/>
        <v>0</v>
      </c>
      <c r="CR202" t="b">
        <f t="shared" si="451"/>
        <v>0</v>
      </c>
      <c r="CS202" t="b">
        <f t="shared" si="452"/>
        <v>0</v>
      </c>
      <c r="CT202" t="b">
        <f t="shared" si="453"/>
        <v>0</v>
      </c>
      <c r="CU202" t="b">
        <f t="shared" si="454"/>
        <v>0</v>
      </c>
      <c r="CV202" t="b">
        <f t="shared" si="455"/>
        <v>0</v>
      </c>
      <c r="CW202" t="b">
        <f t="shared" si="456"/>
        <v>0</v>
      </c>
      <c r="CX202" t="b">
        <f t="shared" si="457"/>
        <v>0</v>
      </c>
      <c r="CY202" t="b">
        <f t="shared" si="458"/>
        <v>0</v>
      </c>
      <c r="CZ202" t="b">
        <f t="shared" si="459"/>
        <v>0</v>
      </c>
      <c r="DA202">
        <f t="shared" si="460"/>
        <v>1</v>
      </c>
      <c r="DB202">
        <f t="shared" si="461"/>
        <v>1</v>
      </c>
      <c r="DC202" t="b">
        <f t="shared" si="462"/>
        <v>0</v>
      </c>
      <c r="DD202" t="b">
        <f t="shared" si="463"/>
        <v>0</v>
      </c>
      <c r="DE202" t="b">
        <f t="shared" si="464"/>
        <v>0</v>
      </c>
      <c r="DF202" t="b">
        <f t="shared" si="465"/>
        <v>0</v>
      </c>
      <c r="DG202" t="b">
        <f t="shared" si="466"/>
        <v>0</v>
      </c>
      <c r="DH202" t="b">
        <f t="shared" si="467"/>
        <v>0</v>
      </c>
      <c r="DI202" t="b">
        <f t="shared" si="468"/>
        <v>0</v>
      </c>
      <c r="DJ202" t="b">
        <f t="shared" si="469"/>
        <v>0</v>
      </c>
      <c r="DK202">
        <f t="shared" si="470"/>
        <v>1</v>
      </c>
      <c r="DL202" t="b">
        <f t="shared" si="471"/>
        <v>0</v>
      </c>
      <c r="DM202" t="b">
        <f t="shared" si="472"/>
        <v>0</v>
      </c>
      <c r="DN202" t="b">
        <f t="shared" si="473"/>
        <v>0</v>
      </c>
      <c r="DO202" t="b">
        <f t="shared" si="474"/>
        <v>0</v>
      </c>
      <c r="DP202" t="b">
        <f t="shared" si="475"/>
        <v>0</v>
      </c>
      <c r="DQ202" t="b">
        <f t="shared" si="476"/>
        <v>0</v>
      </c>
      <c r="DR202" t="b">
        <f t="shared" si="477"/>
        <v>0</v>
      </c>
      <c r="DS202" t="b">
        <f t="shared" si="478"/>
        <v>0</v>
      </c>
      <c r="DT202" t="b">
        <f t="shared" si="479"/>
        <v>0</v>
      </c>
      <c r="DU202" t="b">
        <f t="shared" si="480"/>
        <v>0</v>
      </c>
      <c r="DV202" t="b">
        <f t="shared" si="481"/>
        <v>0</v>
      </c>
      <c r="DW202" t="b">
        <f t="shared" si="482"/>
        <v>0</v>
      </c>
      <c r="DX202" t="b">
        <f t="shared" si="483"/>
        <v>0</v>
      </c>
      <c r="DY202" t="b">
        <f t="shared" si="484"/>
        <v>0</v>
      </c>
      <c r="DZ202" t="b">
        <f t="shared" si="485"/>
        <v>0</v>
      </c>
      <c r="EA202" t="b">
        <f t="shared" si="486"/>
        <v>0</v>
      </c>
      <c r="EB202" t="b">
        <f t="shared" si="487"/>
        <v>0</v>
      </c>
      <c r="EC202" t="b">
        <f t="shared" si="488"/>
        <v>0</v>
      </c>
      <c r="ED202" t="b">
        <f t="shared" si="489"/>
        <v>0</v>
      </c>
      <c r="EE202" t="b">
        <f t="shared" si="490"/>
        <v>0</v>
      </c>
      <c r="EF202" t="b">
        <f t="shared" si="491"/>
        <v>0</v>
      </c>
      <c r="EG202" t="b">
        <f t="shared" si="492"/>
        <v>0</v>
      </c>
      <c r="EH202" t="b">
        <f t="shared" si="493"/>
        <v>0</v>
      </c>
      <c r="EI202" t="b">
        <f t="shared" si="494"/>
        <v>0</v>
      </c>
      <c r="EJ202" t="b">
        <f t="shared" si="495"/>
        <v>0</v>
      </c>
      <c r="EK202" t="b">
        <f t="shared" si="496"/>
        <v>0</v>
      </c>
    </row>
    <row r="203" spans="1:141">
      <c r="A203" t="s">
        <v>1116</v>
      </c>
      <c r="B203" t="s">
        <v>1117</v>
      </c>
      <c r="D203" s="1">
        <v>44062</v>
      </c>
      <c r="E203" s="2">
        <v>44075.986018518517</v>
      </c>
      <c r="F203" s="2">
        <v>44076.000474537039</v>
      </c>
      <c r="G203">
        <v>1284637</v>
      </c>
      <c r="H203" t="s">
        <v>1118</v>
      </c>
      <c r="I203" s="10" t="s">
        <v>1114</v>
      </c>
      <c r="J203" t="s">
        <v>1119</v>
      </c>
      <c r="K203" s="8" t="b">
        <v>1</v>
      </c>
      <c r="L203" s="10" t="b">
        <v>0</v>
      </c>
      <c r="M203" s="12" t="b">
        <v>0</v>
      </c>
      <c r="N203" t="b">
        <v>0</v>
      </c>
      <c r="O203" t="b">
        <v>0</v>
      </c>
      <c r="P203" t="b">
        <v>0</v>
      </c>
      <c r="Q203">
        <f t="shared" si="373"/>
        <v>4</v>
      </c>
      <c r="R203">
        <f t="shared" si="374"/>
        <v>8</v>
      </c>
      <c r="S203" t="e">
        <f t="shared" ca="1" si="404"/>
        <v>#NAME?</v>
      </c>
      <c r="T203" t="e">
        <f t="shared" ca="1" si="375"/>
        <v>#NAME?</v>
      </c>
      <c r="U203" s="4">
        <f t="shared" si="376"/>
        <v>13.986018518517085</v>
      </c>
      <c r="V203" s="4">
        <f t="shared" si="377"/>
        <v>0.46620061728390283</v>
      </c>
      <c r="W203" s="4">
        <f t="shared" si="378"/>
        <v>1</v>
      </c>
      <c r="X203" s="4">
        <f t="shared" si="379"/>
        <v>0</v>
      </c>
      <c r="Y203" s="4">
        <f t="shared" si="380"/>
        <v>0</v>
      </c>
      <c r="Z203" s="4">
        <f t="shared" si="381"/>
        <v>0</v>
      </c>
      <c r="AA203" s="4">
        <f t="shared" si="382"/>
        <v>0</v>
      </c>
      <c r="AB203" s="4">
        <f t="shared" si="383"/>
        <v>0</v>
      </c>
      <c r="AC203" s="4"/>
      <c r="AD203" s="4" t="b">
        <f t="shared" si="384"/>
        <v>0</v>
      </c>
      <c r="AE203" s="4" t="b">
        <f t="shared" si="385"/>
        <v>0</v>
      </c>
      <c r="AF203" s="4" t="b">
        <f t="shared" si="386"/>
        <v>0</v>
      </c>
      <c r="AG203" t="b">
        <f t="shared" si="387"/>
        <v>0</v>
      </c>
      <c r="AH203" t="b">
        <f t="shared" si="388"/>
        <v>0</v>
      </c>
      <c r="AI203" t="b">
        <f t="shared" si="389"/>
        <v>0</v>
      </c>
      <c r="AJ203" t="b">
        <f t="shared" si="390"/>
        <v>0</v>
      </c>
      <c r="AK203" t="b">
        <f t="shared" si="391"/>
        <v>0</v>
      </c>
      <c r="AL203" t="b">
        <f t="shared" si="392"/>
        <v>0</v>
      </c>
      <c r="AM203" t="b">
        <f t="shared" si="393"/>
        <v>0</v>
      </c>
      <c r="AN203" t="b">
        <f t="shared" si="394"/>
        <v>0</v>
      </c>
      <c r="AO203" t="b">
        <f t="shared" si="395"/>
        <v>0</v>
      </c>
      <c r="AP203" t="b">
        <f t="shared" si="396"/>
        <v>0</v>
      </c>
      <c r="AQ203" t="b">
        <f t="shared" si="397"/>
        <v>0</v>
      </c>
      <c r="AR203" t="b">
        <f t="shared" si="398"/>
        <v>0</v>
      </c>
      <c r="AS203" t="b">
        <f t="shared" si="399"/>
        <v>0</v>
      </c>
      <c r="AT203" t="b">
        <f t="shared" si="400"/>
        <v>0</v>
      </c>
      <c r="AU203" t="b">
        <f t="shared" si="401"/>
        <v>0</v>
      </c>
      <c r="AV203" t="b">
        <f t="shared" si="402"/>
        <v>0</v>
      </c>
      <c r="AW203" t="b">
        <f t="shared" si="403"/>
        <v>0</v>
      </c>
      <c r="AX203" t="b">
        <f t="shared" si="405"/>
        <v>0</v>
      </c>
      <c r="AY203" t="b">
        <f t="shared" si="406"/>
        <v>0</v>
      </c>
      <c r="AZ203" t="b">
        <f t="shared" si="407"/>
        <v>0</v>
      </c>
      <c r="BA203" t="b">
        <f t="shared" si="408"/>
        <v>0</v>
      </c>
      <c r="BB203" t="b">
        <f t="shared" si="409"/>
        <v>0</v>
      </c>
      <c r="BC203" t="b">
        <f t="shared" si="410"/>
        <v>0</v>
      </c>
      <c r="BD203" t="b">
        <f t="shared" si="411"/>
        <v>0</v>
      </c>
      <c r="BE203" t="b">
        <f t="shared" si="412"/>
        <v>0</v>
      </c>
      <c r="BF203" t="b">
        <f t="shared" si="413"/>
        <v>0</v>
      </c>
      <c r="BG203" t="b">
        <f t="shared" si="414"/>
        <v>0</v>
      </c>
      <c r="BH203" t="b">
        <f t="shared" si="415"/>
        <v>0</v>
      </c>
      <c r="BI203">
        <f t="shared" si="416"/>
        <v>1</v>
      </c>
      <c r="BJ203">
        <f t="shared" si="417"/>
        <v>1</v>
      </c>
      <c r="BK203" t="b">
        <f t="shared" si="418"/>
        <v>0</v>
      </c>
      <c r="BL203" t="b">
        <f t="shared" si="419"/>
        <v>0</v>
      </c>
      <c r="BM203" t="b">
        <f t="shared" si="420"/>
        <v>0</v>
      </c>
      <c r="BN203" t="b">
        <f t="shared" si="421"/>
        <v>0</v>
      </c>
      <c r="BO203" t="b">
        <f t="shared" si="422"/>
        <v>0</v>
      </c>
      <c r="BP203" t="b">
        <f t="shared" si="423"/>
        <v>0</v>
      </c>
      <c r="BQ203" t="b">
        <f t="shared" si="424"/>
        <v>0</v>
      </c>
      <c r="BR203" t="b">
        <f t="shared" si="425"/>
        <v>0</v>
      </c>
      <c r="BS203" t="b">
        <f t="shared" si="426"/>
        <v>0</v>
      </c>
      <c r="BT203">
        <f t="shared" si="427"/>
        <v>1</v>
      </c>
      <c r="BU203" t="b">
        <f t="shared" si="428"/>
        <v>0</v>
      </c>
      <c r="BV203" t="b">
        <f t="shared" si="429"/>
        <v>0</v>
      </c>
      <c r="BW203" t="b">
        <f t="shared" si="430"/>
        <v>0</v>
      </c>
      <c r="BX203" t="b">
        <f t="shared" si="431"/>
        <v>0</v>
      </c>
      <c r="BY203" t="b">
        <f t="shared" si="432"/>
        <v>0</v>
      </c>
      <c r="BZ203" t="b">
        <f t="shared" si="433"/>
        <v>0</v>
      </c>
      <c r="CA203" t="b">
        <f t="shared" si="434"/>
        <v>0</v>
      </c>
      <c r="CB203" t="b">
        <f t="shared" si="435"/>
        <v>0</v>
      </c>
      <c r="CC203" t="b">
        <f t="shared" si="436"/>
        <v>0</v>
      </c>
      <c r="CD203" t="b">
        <f t="shared" si="437"/>
        <v>0</v>
      </c>
      <c r="CE203" t="b">
        <f t="shared" si="438"/>
        <v>0</v>
      </c>
      <c r="CF203" t="b">
        <f t="shared" si="439"/>
        <v>0</v>
      </c>
      <c r="CG203" t="b">
        <f t="shared" si="440"/>
        <v>0</v>
      </c>
      <c r="CH203" t="b">
        <f t="shared" si="441"/>
        <v>0</v>
      </c>
      <c r="CI203" t="b">
        <f t="shared" si="442"/>
        <v>0</v>
      </c>
      <c r="CJ203" t="b">
        <f t="shared" si="443"/>
        <v>0</v>
      </c>
      <c r="CK203" t="b">
        <f t="shared" si="444"/>
        <v>0</v>
      </c>
      <c r="CL203" t="b">
        <f t="shared" si="445"/>
        <v>0</v>
      </c>
      <c r="CM203">
        <f t="shared" si="446"/>
        <v>1</v>
      </c>
      <c r="CN203" t="b">
        <f t="shared" si="447"/>
        <v>0</v>
      </c>
      <c r="CO203" t="b">
        <f t="shared" si="448"/>
        <v>0</v>
      </c>
      <c r="CP203" t="b">
        <f t="shared" si="449"/>
        <v>0</v>
      </c>
      <c r="CQ203">
        <f t="shared" si="450"/>
        <v>1</v>
      </c>
      <c r="CR203" t="b">
        <f t="shared" si="451"/>
        <v>0</v>
      </c>
      <c r="CS203" t="b">
        <f t="shared" si="452"/>
        <v>0</v>
      </c>
      <c r="CT203" t="b">
        <f t="shared" si="453"/>
        <v>0</v>
      </c>
      <c r="CU203" t="b">
        <f t="shared" si="454"/>
        <v>0</v>
      </c>
      <c r="CV203" t="b">
        <f t="shared" si="455"/>
        <v>0</v>
      </c>
      <c r="CW203" t="b">
        <f t="shared" si="456"/>
        <v>0</v>
      </c>
      <c r="CX203" t="b">
        <f t="shared" si="457"/>
        <v>0</v>
      </c>
      <c r="CY203" t="b">
        <f t="shared" si="458"/>
        <v>0</v>
      </c>
      <c r="CZ203" t="b">
        <f t="shared" si="459"/>
        <v>0</v>
      </c>
      <c r="DA203">
        <f t="shared" si="460"/>
        <v>1</v>
      </c>
      <c r="DB203" t="b">
        <f t="shared" si="461"/>
        <v>0</v>
      </c>
      <c r="DC203" t="b">
        <f t="shared" si="462"/>
        <v>0</v>
      </c>
      <c r="DD203" t="b">
        <f t="shared" si="463"/>
        <v>0</v>
      </c>
      <c r="DE203" t="b">
        <f t="shared" si="464"/>
        <v>0</v>
      </c>
      <c r="DF203" t="b">
        <f t="shared" si="465"/>
        <v>0</v>
      </c>
      <c r="DG203" t="b">
        <f t="shared" si="466"/>
        <v>0</v>
      </c>
      <c r="DH203" t="b">
        <f t="shared" si="467"/>
        <v>0</v>
      </c>
      <c r="DI203" t="b">
        <f t="shared" si="468"/>
        <v>0</v>
      </c>
      <c r="DJ203" t="b">
        <f t="shared" si="469"/>
        <v>0</v>
      </c>
      <c r="DK203" t="b">
        <f t="shared" si="470"/>
        <v>0</v>
      </c>
      <c r="DL203" t="b">
        <f t="shared" si="471"/>
        <v>0</v>
      </c>
      <c r="DM203" t="b">
        <f t="shared" si="472"/>
        <v>0</v>
      </c>
      <c r="DN203" t="b">
        <f t="shared" si="473"/>
        <v>0</v>
      </c>
      <c r="DO203" t="b">
        <f t="shared" si="474"/>
        <v>0</v>
      </c>
      <c r="DP203" t="b">
        <f t="shared" si="475"/>
        <v>0</v>
      </c>
      <c r="DQ203" t="b">
        <f t="shared" si="476"/>
        <v>0</v>
      </c>
      <c r="DR203" t="b">
        <f t="shared" si="477"/>
        <v>0</v>
      </c>
      <c r="DS203" t="b">
        <f t="shared" si="478"/>
        <v>0</v>
      </c>
      <c r="DT203" t="b">
        <f t="shared" si="479"/>
        <v>0</v>
      </c>
      <c r="DU203" t="b">
        <f t="shared" si="480"/>
        <v>0</v>
      </c>
      <c r="DV203" t="b">
        <f t="shared" si="481"/>
        <v>0</v>
      </c>
      <c r="DW203" t="b">
        <f t="shared" si="482"/>
        <v>0</v>
      </c>
      <c r="DX203" t="b">
        <f t="shared" si="483"/>
        <v>0</v>
      </c>
      <c r="DY203" t="b">
        <f t="shared" si="484"/>
        <v>0</v>
      </c>
      <c r="DZ203" t="b">
        <f t="shared" si="485"/>
        <v>0</v>
      </c>
      <c r="EA203" t="b">
        <f t="shared" si="486"/>
        <v>0</v>
      </c>
      <c r="EB203" t="b">
        <f t="shared" si="487"/>
        <v>0</v>
      </c>
      <c r="EC203" t="b">
        <f t="shared" si="488"/>
        <v>0</v>
      </c>
      <c r="ED203" t="b">
        <f t="shared" si="489"/>
        <v>0</v>
      </c>
      <c r="EE203" t="b">
        <f t="shared" si="490"/>
        <v>0</v>
      </c>
      <c r="EF203" t="b">
        <f t="shared" si="491"/>
        <v>0</v>
      </c>
      <c r="EG203" t="b">
        <f t="shared" si="492"/>
        <v>0</v>
      </c>
      <c r="EH203" t="b">
        <f t="shared" si="493"/>
        <v>0</v>
      </c>
      <c r="EI203" t="b">
        <f t="shared" si="494"/>
        <v>0</v>
      </c>
      <c r="EJ203" t="b">
        <f t="shared" si="495"/>
        <v>0</v>
      </c>
      <c r="EK203" t="b">
        <f t="shared" si="496"/>
        <v>0</v>
      </c>
    </row>
    <row r="204" spans="1:141">
      <c r="A204" t="s">
        <v>1120</v>
      </c>
      <c r="B204" t="s">
        <v>1121</v>
      </c>
      <c r="D204" s="1">
        <v>42656</v>
      </c>
      <c r="E204" s="2">
        <v>42861.293958333335</v>
      </c>
      <c r="F204" s="2">
        <v>42861.293958333335</v>
      </c>
      <c r="G204">
        <v>593427119</v>
      </c>
      <c r="H204" t="s">
        <v>1122</v>
      </c>
      <c r="I204" s="10" t="s">
        <v>160</v>
      </c>
      <c r="J204" t="s">
        <v>147</v>
      </c>
      <c r="K204" s="8" t="b">
        <v>0</v>
      </c>
      <c r="L204" s="10" t="b">
        <v>0</v>
      </c>
      <c r="M204" s="12" t="b">
        <v>0</v>
      </c>
      <c r="N204" t="b">
        <v>0</v>
      </c>
      <c r="O204" t="b">
        <v>0</v>
      </c>
      <c r="P204" t="b">
        <v>0</v>
      </c>
      <c r="Q204">
        <f t="shared" si="373"/>
        <v>5</v>
      </c>
      <c r="R204">
        <f t="shared" si="374"/>
        <v>10</v>
      </c>
      <c r="S204" t="e">
        <f t="shared" ca="1" si="404"/>
        <v>#NAME?</v>
      </c>
      <c r="T204" t="e">
        <f t="shared" ca="1" si="375"/>
        <v>#NAME?</v>
      </c>
      <c r="U204" s="4">
        <f t="shared" si="376"/>
        <v>205.29395833333547</v>
      </c>
      <c r="V204" s="4">
        <f t="shared" si="377"/>
        <v>6.843131944444516</v>
      </c>
      <c r="W204" s="4">
        <f t="shared" si="378"/>
        <v>0</v>
      </c>
      <c r="X204" s="4">
        <f t="shared" si="379"/>
        <v>0</v>
      </c>
      <c r="Y204" s="4">
        <f t="shared" si="380"/>
        <v>0</v>
      </c>
      <c r="Z204" s="4">
        <f t="shared" si="381"/>
        <v>0</v>
      </c>
      <c r="AA204" s="4">
        <f t="shared" si="382"/>
        <v>0</v>
      </c>
      <c r="AB204" s="4">
        <f t="shared" si="383"/>
        <v>0</v>
      </c>
      <c r="AC204" s="4"/>
      <c r="AD204" s="4" t="b">
        <f t="shared" si="384"/>
        <v>0</v>
      </c>
      <c r="AE204" s="4" t="b">
        <f t="shared" si="385"/>
        <v>0</v>
      </c>
      <c r="AF204" s="4" t="b">
        <f t="shared" si="386"/>
        <v>0</v>
      </c>
      <c r="AG204" t="b">
        <f t="shared" si="387"/>
        <v>0</v>
      </c>
      <c r="AH204" t="b">
        <f t="shared" si="388"/>
        <v>0</v>
      </c>
      <c r="AI204" t="b">
        <f t="shared" si="389"/>
        <v>0</v>
      </c>
      <c r="AJ204" t="b">
        <f t="shared" si="390"/>
        <v>0</v>
      </c>
      <c r="AK204" t="b">
        <f t="shared" si="391"/>
        <v>0</v>
      </c>
      <c r="AL204" t="b">
        <f t="shared" si="392"/>
        <v>0</v>
      </c>
      <c r="AM204" t="b">
        <f t="shared" si="393"/>
        <v>0</v>
      </c>
      <c r="AN204" t="b">
        <f t="shared" si="394"/>
        <v>0</v>
      </c>
      <c r="AO204" t="b">
        <f t="shared" si="395"/>
        <v>0</v>
      </c>
      <c r="AP204" t="b">
        <f t="shared" si="396"/>
        <v>0</v>
      </c>
      <c r="AQ204" t="b">
        <f t="shared" si="397"/>
        <v>0</v>
      </c>
      <c r="AR204" t="b">
        <f t="shared" si="398"/>
        <v>0</v>
      </c>
      <c r="AS204" t="b">
        <f t="shared" si="399"/>
        <v>0</v>
      </c>
      <c r="AT204" t="b">
        <f t="shared" si="400"/>
        <v>0</v>
      </c>
      <c r="AU204" t="b">
        <f t="shared" si="401"/>
        <v>0</v>
      </c>
      <c r="AV204" t="b">
        <f t="shared" si="402"/>
        <v>0</v>
      </c>
      <c r="AW204" t="b">
        <f t="shared" si="403"/>
        <v>0</v>
      </c>
      <c r="AX204" t="b">
        <f t="shared" si="405"/>
        <v>0</v>
      </c>
      <c r="AY204" t="b">
        <f t="shared" si="406"/>
        <v>0</v>
      </c>
      <c r="AZ204" t="b">
        <f t="shared" si="407"/>
        <v>0</v>
      </c>
      <c r="BA204" t="b">
        <f t="shared" si="408"/>
        <v>0</v>
      </c>
      <c r="BB204" t="b">
        <f t="shared" si="409"/>
        <v>0</v>
      </c>
      <c r="BC204" t="b">
        <f t="shared" si="410"/>
        <v>0</v>
      </c>
      <c r="BD204" t="b">
        <f t="shared" si="411"/>
        <v>0</v>
      </c>
      <c r="BE204" t="b">
        <f t="shared" si="412"/>
        <v>0</v>
      </c>
      <c r="BF204" t="b">
        <f t="shared" si="413"/>
        <v>0</v>
      </c>
      <c r="BG204" t="b">
        <f t="shared" si="414"/>
        <v>0</v>
      </c>
      <c r="BH204" t="b">
        <f t="shared" si="415"/>
        <v>0</v>
      </c>
      <c r="BI204">
        <f t="shared" si="416"/>
        <v>1</v>
      </c>
      <c r="BJ204" t="b">
        <f t="shared" si="417"/>
        <v>0</v>
      </c>
      <c r="BK204" t="b">
        <f t="shared" si="418"/>
        <v>0</v>
      </c>
      <c r="BL204" t="b">
        <f t="shared" si="419"/>
        <v>0</v>
      </c>
      <c r="BM204" t="b">
        <f t="shared" si="420"/>
        <v>0</v>
      </c>
      <c r="BN204" t="b">
        <f t="shared" si="421"/>
        <v>0</v>
      </c>
      <c r="BO204" t="b">
        <f t="shared" si="422"/>
        <v>0</v>
      </c>
      <c r="BP204" t="b">
        <f t="shared" si="423"/>
        <v>0</v>
      </c>
      <c r="BQ204" t="b">
        <f t="shared" si="424"/>
        <v>0</v>
      </c>
      <c r="BR204" t="b">
        <f t="shared" si="425"/>
        <v>0</v>
      </c>
      <c r="BS204" t="b">
        <f t="shared" si="426"/>
        <v>0</v>
      </c>
      <c r="BT204" t="b">
        <f t="shared" si="427"/>
        <v>0</v>
      </c>
      <c r="BU204" t="b">
        <f t="shared" si="428"/>
        <v>0</v>
      </c>
      <c r="BV204" t="b">
        <f t="shared" si="429"/>
        <v>0</v>
      </c>
      <c r="BW204" t="b">
        <f t="shared" si="430"/>
        <v>0</v>
      </c>
      <c r="BX204" t="b">
        <f t="shared" si="431"/>
        <v>0</v>
      </c>
      <c r="BY204" t="b">
        <f t="shared" si="432"/>
        <v>0</v>
      </c>
      <c r="BZ204" t="b">
        <f t="shared" si="433"/>
        <v>0</v>
      </c>
      <c r="CA204" t="b">
        <f t="shared" si="434"/>
        <v>0</v>
      </c>
      <c r="CB204" t="b">
        <f t="shared" si="435"/>
        <v>0</v>
      </c>
      <c r="CC204" t="b">
        <f t="shared" si="436"/>
        <v>0</v>
      </c>
      <c r="CD204" t="b">
        <f t="shared" si="437"/>
        <v>0</v>
      </c>
      <c r="CE204" t="b">
        <f t="shared" si="438"/>
        <v>0</v>
      </c>
      <c r="CF204" t="b">
        <f t="shared" si="439"/>
        <v>0</v>
      </c>
      <c r="CG204" t="b">
        <f t="shared" si="440"/>
        <v>0</v>
      </c>
      <c r="CH204" t="b">
        <f t="shared" si="441"/>
        <v>0</v>
      </c>
      <c r="CI204" t="b">
        <f t="shared" si="442"/>
        <v>0</v>
      </c>
      <c r="CJ204" t="b">
        <f t="shared" si="443"/>
        <v>0</v>
      </c>
      <c r="CK204" t="b">
        <f t="shared" si="444"/>
        <v>0</v>
      </c>
      <c r="CL204" t="b">
        <f t="shared" si="445"/>
        <v>0</v>
      </c>
      <c r="CM204" t="b">
        <f t="shared" si="446"/>
        <v>0</v>
      </c>
      <c r="CN204" t="b">
        <f t="shared" si="447"/>
        <v>0</v>
      </c>
      <c r="CO204" t="b">
        <f t="shared" si="448"/>
        <v>0</v>
      </c>
      <c r="CP204" t="b">
        <f t="shared" si="449"/>
        <v>0</v>
      </c>
      <c r="CQ204" t="b">
        <f t="shared" si="450"/>
        <v>0</v>
      </c>
      <c r="CR204" t="b">
        <f t="shared" si="451"/>
        <v>0</v>
      </c>
      <c r="CS204" t="b">
        <f t="shared" si="452"/>
        <v>0</v>
      </c>
      <c r="CT204" t="b">
        <f t="shared" si="453"/>
        <v>0</v>
      </c>
      <c r="CU204" t="b">
        <f t="shared" si="454"/>
        <v>0</v>
      </c>
      <c r="CV204">
        <f t="shared" si="455"/>
        <v>1</v>
      </c>
      <c r="CW204" t="b">
        <f t="shared" si="456"/>
        <v>0</v>
      </c>
      <c r="CX204" t="b">
        <f t="shared" si="457"/>
        <v>0</v>
      </c>
      <c r="CY204" t="b">
        <f t="shared" si="458"/>
        <v>0</v>
      </c>
      <c r="CZ204" t="b">
        <f t="shared" si="459"/>
        <v>0</v>
      </c>
      <c r="DA204" t="b">
        <f t="shared" si="460"/>
        <v>0</v>
      </c>
      <c r="DB204" t="b">
        <f t="shared" si="461"/>
        <v>0</v>
      </c>
      <c r="DC204" t="b">
        <f t="shared" si="462"/>
        <v>0</v>
      </c>
      <c r="DD204" t="b">
        <f t="shared" si="463"/>
        <v>0</v>
      </c>
      <c r="DE204" t="b">
        <f t="shared" si="464"/>
        <v>0</v>
      </c>
      <c r="DF204" t="b">
        <f t="shared" si="465"/>
        <v>0</v>
      </c>
      <c r="DG204" t="b">
        <f t="shared" si="466"/>
        <v>0</v>
      </c>
      <c r="DH204" t="b">
        <f t="shared" si="467"/>
        <v>0</v>
      </c>
      <c r="DI204" t="b">
        <f t="shared" si="468"/>
        <v>0</v>
      </c>
      <c r="DJ204" t="b">
        <f t="shared" si="469"/>
        <v>0</v>
      </c>
      <c r="DK204" t="b">
        <f t="shared" si="470"/>
        <v>0</v>
      </c>
      <c r="DL204" t="b">
        <f t="shared" si="471"/>
        <v>0</v>
      </c>
      <c r="DM204" t="b">
        <f t="shared" si="472"/>
        <v>0</v>
      </c>
      <c r="DN204" t="b">
        <f t="shared" si="473"/>
        <v>0</v>
      </c>
      <c r="DO204" t="b">
        <f t="shared" si="474"/>
        <v>0</v>
      </c>
      <c r="DP204" t="b">
        <f t="shared" si="475"/>
        <v>0</v>
      </c>
      <c r="DQ204" t="b">
        <f t="shared" si="476"/>
        <v>0</v>
      </c>
      <c r="DR204" t="b">
        <f t="shared" si="477"/>
        <v>0</v>
      </c>
      <c r="DS204" t="b">
        <f t="shared" si="478"/>
        <v>0</v>
      </c>
      <c r="DT204" t="b">
        <f t="shared" si="479"/>
        <v>0</v>
      </c>
      <c r="DU204" t="b">
        <f t="shared" si="480"/>
        <v>0</v>
      </c>
      <c r="DV204" t="b">
        <f t="shared" si="481"/>
        <v>0</v>
      </c>
      <c r="DW204" t="b">
        <f t="shared" si="482"/>
        <v>0</v>
      </c>
      <c r="DX204" t="b">
        <f t="shared" si="483"/>
        <v>0</v>
      </c>
      <c r="DY204" t="b">
        <f t="shared" si="484"/>
        <v>0</v>
      </c>
      <c r="DZ204" t="b">
        <f t="shared" si="485"/>
        <v>0</v>
      </c>
      <c r="EA204" t="b">
        <f t="shared" si="486"/>
        <v>0</v>
      </c>
      <c r="EB204" t="b">
        <f t="shared" si="487"/>
        <v>0</v>
      </c>
      <c r="EC204" t="b">
        <f t="shared" si="488"/>
        <v>0</v>
      </c>
      <c r="ED204" t="b">
        <f t="shared" si="489"/>
        <v>0</v>
      </c>
      <c r="EE204" t="b">
        <f t="shared" si="490"/>
        <v>0</v>
      </c>
      <c r="EF204" t="b">
        <f t="shared" si="491"/>
        <v>0</v>
      </c>
      <c r="EG204" t="b">
        <f t="shared" si="492"/>
        <v>0</v>
      </c>
      <c r="EH204" t="b">
        <f t="shared" si="493"/>
        <v>0</v>
      </c>
      <c r="EI204" t="b">
        <f t="shared" si="494"/>
        <v>0</v>
      </c>
      <c r="EJ204" t="b">
        <f t="shared" si="495"/>
        <v>0</v>
      </c>
      <c r="EK204" t="b">
        <f t="shared" si="496"/>
        <v>0</v>
      </c>
    </row>
    <row r="205" spans="1:141">
      <c r="A205" t="s">
        <v>1123</v>
      </c>
      <c r="B205" t="s">
        <v>1124</v>
      </c>
      <c r="D205" s="1">
        <v>42891</v>
      </c>
      <c r="E205" s="2">
        <v>42895.232858796298</v>
      </c>
      <c r="F205" s="2">
        <v>42895.232858796298</v>
      </c>
      <c r="G205">
        <v>396650</v>
      </c>
      <c r="H205" t="s">
        <v>1125</v>
      </c>
      <c r="I205" s="10" t="s">
        <v>160</v>
      </c>
      <c r="J205" t="s">
        <v>1126</v>
      </c>
      <c r="K205" s="8" t="b">
        <v>0</v>
      </c>
      <c r="L205" s="10" t="b">
        <v>0</v>
      </c>
      <c r="M205" s="12" t="b">
        <v>0</v>
      </c>
      <c r="N205" t="b">
        <v>0</v>
      </c>
      <c r="O205" t="b">
        <v>0</v>
      </c>
      <c r="P205" t="b">
        <v>0</v>
      </c>
      <c r="Q205">
        <f t="shared" si="373"/>
        <v>2</v>
      </c>
      <c r="R205">
        <f t="shared" si="374"/>
        <v>6</v>
      </c>
      <c r="S205" t="e">
        <f t="shared" ca="1" si="404"/>
        <v>#NAME?</v>
      </c>
      <c r="T205" t="e">
        <f t="shared" ca="1" si="375"/>
        <v>#NAME?</v>
      </c>
      <c r="U205" s="4">
        <f t="shared" si="376"/>
        <v>4.2328587962983875</v>
      </c>
      <c r="V205" s="4">
        <f t="shared" si="377"/>
        <v>0.14109529320994624</v>
      </c>
      <c r="W205" s="4">
        <f t="shared" si="378"/>
        <v>0</v>
      </c>
      <c r="X205" s="4">
        <f t="shared" si="379"/>
        <v>0</v>
      </c>
      <c r="Y205" s="4">
        <f t="shared" si="380"/>
        <v>0</v>
      </c>
      <c r="Z205" s="4">
        <f t="shared" si="381"/>
        <v>0</v>
      </c>
      <c r="AA205" s="4">
        <f t="shared" si="382"/>
        <v>0</v>
      </c>
      <c r="AB205" s="4">
        <f t="shared" si="383"/>
        <v>0</v>
      </c>
      <c r="AC205" s="4"/>
      <c r="AD205" s="4" t="b">
        <f t="shared" si="384"/>
        <v>0</v>
      </c>
      <c r="AE205" s="4" t="b">
        <f t="shared" si="385"/>
        <v>0</v>
      </c>
      <c r="AF205" s="4" t="b">
        <f t="shared" si="386"/>
        <v>0</v>
      </c>
      <c r="AG205" t="b">
        <f t="shared" si="387"/>
        <v>0</v>
      </c>
      <c r="AH205" t="b">
        <f t="shared" si="388"/>
        <v>0</v>
      </c>
      <c r="AI205" t="b">
        <f t="shared" si="389"/>
        <v>0</v>
      </c>
      <c r="AJ205" t="b">
        <f t="shared" si="390"/>
        <v>0</v>
      </c>
      <c r="AK205" t="b">
        <f t="shared" si="391"/>
        <v>0</v>
      </c>
      <c r="AL205" t="b">
        <f t="shared" si="392"/>
        <v>0</v>
      </c>
      <c r="AM205" t="b">
        <f t="shared" si="393"/>
        <v>0</v>
      </c>
      <c r="AN205" t="b">
        <f t="shared" si="394"/>
        <v>0</v>
      </c>
      <c r="AO205" t="b">
        <f t="shared" si="395"/>
        <v>0</v>
      </c>
      <c r="AP205" t="b">
        <f t="shared" si="396"/>
        <v>0</v>
      </c>
      <c r="AQ205" t="b">
        <f t="shared" si="397"/>
        <v>0</v>
      </c>
      <c r="AR205" t="b">
        <f t="shared" si="398"/>
        <v>0</v>
      </c>
      <c r="AS205" t="b">
        <f t="shared" si="399"/>
        <v>0</v>
      </c>
      <c r="AT205" t="b">
        <f t="shared" si="400"/>
        <v>0</v>
      </c>
      <c r="AU205" t="b">
        <f t="shared" si="401"/>
        <v>0</v>
      </c>
      <c r="AV205" t="b">
        <f t="shared" si="402"/>
        <v>0</v>
      </c>
      <c r="AW205" t="b">
        <f t="shared" si="403"/>
        <v>0</v>
      </c>
      <c r="AX205" t="b">
        <f t="shared" si="405"/>
        <v>0</v>
      </c>
      <c r="AY205" t="b">
        <f t="shared" si="406"/>
        <v>0</v>
      </c>
      <c r="AZ205">
        <f t="shared" si="407"/>
        <v>1</v>
      </c>
      <c r="BA205" t="b">
        <f t="shared" si="408"/>
        <v>0</v>
      </c>
      <c r="BB205" t="b">
        <f t="shared" si="409"/>
        <v>0</v>
      </c>
      <c r="BC205" t="b">
        <f t="shared" si="410"/>
        <v>0</v>
      </c>
      <c r="BD205" t="b">
        <f t="shared" si="411"/>
        <v>0</v>
      </c>
      <c r="BE205" t="b">
        <f t="shared" si="412"/>
        <v>0</v>
      </c>
      <c r="BF205" t="b">
        <f t="shared" si="413"/>
        <v>0</v>
      </c>
      <c r="BG205" t="b">
        <f t="shared" si="414"/>
        <v>0</v>
      </c>
      <c r="BH205" t="b">
        <f t="shared" si="415"/>
        <v>0</v>
      </c>
      <c r="BI205">
        <f t="shared" si="416"/>
        <v>1</v>
      </c>
      <c r="BJ205" t="b">
        <f t="shared" si="417"/>
        <v>0</v>
      </c>
      <c r="BK205" t="b">
        <f t="shared" si="418"/>
        <v>0</v>
      </c>
      <c r="BL205" t="b">
        <f t="shared" si="419"/>
        <v>0</v>
      </c>
      <c r="BM205">
        <f t="shared" si="420"/>
        <v>1</v>
      </c>
      <c r="BN205" t="b">
        <f t="shared" si="421"/>
        <v>0</v>
      </c>
      <c r="BO205" t="b">
        <f t="shared" si="422"/>
        <v>0</v>
      </c>
      <c r="BP205" t="b">
        <f t="shared" si="423"/>
        <v>0</v>
      </c>
      <c r="BQ205" t="b">
        <f t="shared" si="424"/>
        <v>0</v>
      </c>
      <c r="BR205">
        <f t="shared" si="425"/>
        <v>1</v>
      </c>
      <c r="BS205" t="b">
        <f t="shared" si="426"/>
        <v>0</v>
      </c>
      <c r="BT205" t="b">
        <f t="shared" si="427"/>
        <v>0</v>
      </c>
      <c r="BU205" t="b">
        <f t="shared" si="428"/>
        <v>0</v>
      </c>
      <c r="BV205" t="b">
        <f t="shared" si="429"/>
        <v>0</v>
      </c>
      <c r="BW205" t="b">
        <f t="shared" si="430"/>
        <v>0</v>
      </c>
      <c r="BX205" t="b">
        <f t="shared" si="431"/>
        <v>0</v>
      </c>
      <c r="BY205" t="b">
        <f t="shared" si="432"/>
        <v>0</v>
      </c>
      <c r="BZ205" t="b">
        <f t="shared" si="433"/>
        <v>0</v>
      </c>
      <c r="CA205" t="b">
        <f t="shared" si="434"/>
        <v>0</v>
      </c>
      <c r="CB205" t="b">
        <f t="shared" si="435"/>
        <v>0</v>
      </c>
      <c r="CC205" t="b">
        <f t="shared" si="436"/>
        <v>0</v>
      </c>
      <c r="CD205" t="b">
        <f t="shared" si="437"/>
        <v>0</v>
      </c>
      <c r="CE205" t="b">
        <f t="shared" si="438"/>
        <v>0</v>
      </c>
      <c r="CF205" t="b">
        <f t="shared" si="439"/>
        <v>0</v>
      </c>
      <c r="CG205" t="b">
        <f t="shared" si="440"/>
        <v>0</v>
      </c>
      <c r="CH205" t="b">
        <f t="shared" si="441"/>
        <v>0</v>
      </c>
      <c r="CI205" t="b">
        <f t="shared" si="442"/>
        <v>0</v>
      </c>
      <c r="CJ205" t="b">
        <f t="shared" si="443"/>
        <v>0</v>
      </c>
      <c r="CK205" t="b">
        <f t="shared" si="444"/>
        <v>0</v>
      </c>
      <c r="CL205" t="b">
        <f t="shared" si="445"/>
        <v>0</v>
      </c>
      <c r="CM205">
        <f t="shared" si="446"/>
        <v>1</v>
      </c>
      <c r="CN205" t="b">
        <f t="shared" si="447"/>
        <v>0</v>
      </c>
      <c r="CO205" t="b">
        <f t="shared" si="448"/>
        <v>0</v>
      </c>
      <c r="CP205" t="b">
        <f t="shared" si="449"/>
        <v>0</v>
      </c>
      <c r="CQ205" t="b">
        <f t="shared" si="450"/>
        <v>0</v>
      </c>
      <c r="CR205" t="b">
        <f t="shared" si="451"/>
        <v>0</v>
      </c>
      <c r="CS205" t="b">
        <f t="shared" si="452"/>
        <v>0</v>
      </c>
      <c r="CT205" t="b">
        <f t="shared" si="453"/>
        <v>0</v>
      </c>
      <c r="CU205" t="b">
        <f t="shared" si="454"/>
        <v>0</v>
      </c>
      <c r="CV205" t="b">
        <f t="shared" si="455"/>
        <v>0</v>
      </c>
      <c r="CW205" t="b">
        <f t="shared" si="456"/>
        <v>0</v>
      </c>
      <c r="CX205" t="b">
        <f t="shared" si="457"/>
        <v>0</v>
      </c>
      <c r="CY205" t="b">
        <f t="shared" si="458"/>
        <v>0</v>
      </c>
      <c r="CZ205" t="b">
        <f t="shared" si="459"/>
        <v>0</v>
      </c>
      <c r="DA205">
        <f t="shared" si="460"/>
        <v>1</v>
      </c>
      <c r="DB205">
        <f t="shared" si="461"/>
        <v>1</v>
      </c>
      <c r="DC205" t="b">
        <f t="shared" si="462"/>
        <v>0</v>
      </c>
      <c r="DD205" t="b">
        <f t="shared" si="463"/>
        <v>0</v>
      </c>
      <c r="DE205" t="b">
        <f t="shared" si="464"/>
        <v>0</v>
      </c>
      <c r="DF205" t="b">
        <f t="shared" si="465"/>
        <v>0</v>
      </c>
      <c r="DG205" t="b">
        <f t="shared" si="466"/>
        <v>0</v>
      </c>
      <c r="DH205" t="b">
        <f t="shared" si="467"/>
        <v>0</v>
      </c>
      <c r="DI205" t="b">
        <f t="shared" si="468"/>
        <v>0</v>
      </c>
      <c r="DJ205" t="b">
        <f t="shared" si="469"/>
        <v>0</v>
      </c>
      <c r="DK205" t="b">
        <f t="shared" si="470"/>
        <v>0</v>
      </c>
      <c r="DL205" t="b">
        <f t="shared" si="471"/>
        <v>0</v>
      </c>
      <c r="DM205" t="b">
        <f t="shared" si="472"/>
        <v>0</v>
      </c>
      <c r="DN205" t="b">
        <f t="shared" si="473"/>
        <v>0</v>
      </c>
      <c r="DO205" t="b">
        <f t="shared" si="474"/>
        <v>0</v>
      </c>
      <c r="DP205" t="b">
        <f t="shared" si="475"/>
        <v>0</v>
      </c>
      <c r="DQ205" t="b">
        <f t="shared" si="476"/>
        <v>0</v>
      </c>
      <c r="DR205" t="b">
        <f t="shared" si="477"/>
        <v>0</v>
      </c>
      <c r="DS205" t="b">
        <f t="shared" si="478"/>
        <v>0</v>
      </c>
      <c r="DT205" t="b">
        <f t="shared" si="479"/>
        <v>0</v>
      </c>
      <c r="DU205" t="b">
        <f t="shared" si="480"/>
        <v>0</v>
      </c>
      <c r="DV205" t="b">
        <f t="shared" si="481"/>
        <v>0</v>
      </c>
      <c r="DW205" t="b">
        <f t="shared" si="482"/>
        <v>0</v>
      </c>
      <c r="DX205" t="b">
        <f t="shared" si="483"/>
        <v>0</v>
      </c>
      <c r="DY205" t="b">
        <f t="shared" si="484"/>
        <v>0</v>
      </c>
      <c r="DZ205" t="b">
        <f t="shared" si="485"/>
        <v>0</v>
      </c>
      <c r="EA205" t="b">
        <f t="shared" si="486"/>
        <v>0</v>
      </c>
      <c r="EB205" t="b">
        <f t="shared" si="487"/>
        <v>0</v>
      </c>
      <c r="EC205" t="b">
        <f t="shared" si="488"/>
        <v>0</v>
      </c>
      <c r="ED205" t="b">
        <f t="shared" si="489"/>
        <v>0</v>
      </c>
      <c r="EE205" t="b">
        <f t="shared" si="490"/>
        <v>0</v>
      </c>
      <c r="EF205" t="b">
        <f t="shared" si="491"/>
        <v>0</v>
      </c>
      <c r="EG205">
        <f t="shared" si="492"/>
        <v>1</v>
      </c>
      <c r="EH205" t="b">
        <f t="shared" si="493"/>
        <v>0</v>
      </c>
      <c r="EI205" t="b">
        <f t="shared" si="494"/>
        <v>0</v>
      </c>
      <c r="EJ205" t="b">
        <f t="shared" si="495"/>
        <v>0</v>
      </c>
      <c r="EK205" t="b">
        <f t="shared" si="496"/>
        <v>0</v>
      </c>
    </row>
    <row r="206" spans="1:141">
      <c r="A206" t="s">
        <v>1127</v>
      </c>
      <c r="B206" t="s">
        <v>1127</v>
      </c>
      <c r="C206" t="s">
        <v>1128</v>
      </c>
      <c r="D206" s="1">
        <v>43159</v>
      </c>
      <c r="E206" s="2">
        <v>43512.303993055553</v>
      </c>
      <c r="F206" s="2">
        <v>43512.303993055553</v>
      </c>
      <c r="G206">
        <v>19611022</v>
      </c>
      <c r="H206" t="s">
        <v>1129</v>
      </c>
      <c r="I206" s="10" t="s">
        <v>1130</v>
      </c>
      <c r="J206" t="s">
        <v>1131</v>
      </c>
      <c r="K206" s="8" t="b">
        <v>1</v>
      </c>
      <c r="L206" s="10" t="b">
        <v>0</v>
      </c>
      <c r="M206" s="12" t="b">
        <v>0</v>
      </c>
      <c r="N206" t="b">
        <v>0</v>
      </c>
      <c r="O206" t="b">
        <v>0</v>
      </c>
      <c r="P206" t="b">
        <v>0</v>
      </c>
      <c r="Q206">
        <f t="shared" si="373"/>
        <v>4</v>
      </c>
      <c r="R206">
        <f t="shared" si="374"/>
        <v>2</v>
      </c>
      <c r="S206" t="e">
        <f t="shared" ca="1" si="404"/>
        <v>#NAME?</v>
      </c>
      <c r="T206" t="e">
        <f t="shared" ca="1" si="375"/>
        <v>#NAME?</v>
      </c>
      <c r="U206" s="4">
        <f t="shared" si="376"/>
        <v>353.30399305555329</v>
      </c>
      <c r="V206" s="4">
        <f t="shared" si="377"/>
        <v>11.776799768518442</v>
      </c>
      <c r="W206" s="4">
        <f t="shared" si="378"/>
        <v>1</v>
      </c>
      <c r="X206" s="4">
        <f t="shared" si="379"/>
        <v>0</v>
      </c>
      <c r="Y206" s="4">
        <f t="shared" si="380"/>
        <v>0</v>
      </c>
      <c r="Z206" s="4">
        <f t="shared" si="381"/>
        <v>0</v>
      </c>
      <c r="AA206" s="4">
        <f t="shared" si="382"/>
        <v>0</v>
      </c>
      <c r="AB206" s="4">
        <f t="shared" si="383"/>
        <v>0</v>
      </c>
      <c r="AC206" s="4"/>
      <c r="AD206" s="4" t="b">
        <f t="shared" si="384"/>
        <v>0</v>
      </c>
      <c r="AE206" s="4" t="b">
        <f t="shared" si="385"/>
        <v>0</v>
      </c>
      <c r="AF206" s="4" t="b">
        <f t="shared" si="386"/>
        <v>0</v>
      </c>
      <c r="AG206" t="b">
        <f t="shared" si="387"/>
        <v>0</v>
      </c>
      <c r="AH206" t="b">
        <f t="shared" si="388"/>
        <v>0</v>
      </c>
      <c r="AI206" t="b">
        <f t="shared" si="389"/>
        <v>0</v>
      </c>
      <c r="AJ206" t="b">
        <f t="shared" si="390"/>
        <v>0</v>
      </c>
      <c r="AK206" t="b">
        <f t="shared" si="391"/>
        <v>0</v>
      </c>
      <c r="AL206" t="b">
        <f t="shared" si="392"/>
        <v>0</v>
      </c>
      <c r="AM206" t="b">
        <f t="shared" si="393"/>
        <v>0</v>
      </c>
      <c r="AN206">
        <f t="shared" si="394"/>
        <v>1</v>
      </c>
      <c r="AO206" t="b">
        <f t="shared" si="395"/>
        <v>0</v>
      </c>
      <c r="AP206" t="b">
        <f t="shared" si="396"/>
        <v>0</v>
      </c>
      <c r="AQ206" t="b">
        <f t="shared" si="397"/>
        <v>0</v>
      </c>
      <c r="AR206" t="b">
        <f t="shared" si="398"/>
        <v>0</v>
      </c>
      <c r="AS206" t="b">
        <f t="shared" si="399"/>
        <v>0</v>
      </c>
      <c r="AT206" t="b">
        <f t="shared" si="400"/>
        <v>0</v>
      </c>
      <c r="AU206" t="b">
        <f t="shared" si="401"/>
        <v>0</v>
      </c>
      <c r="AV206" t="b">
        <f t="shared" si="402"/>
        <v>0</v>
      </c>
      <c r="AW206" t="b">
        <f t="shared" si="403"/>
        <v>0</v>
      </c>
      <c r="AX206" t="b">
        <f t="shared" si="405"/>
        <v>0</v>
      </c>
      <c r="AY206" t="b">
        <f t="shared" si="406"/>
        <v>0</v>
      </c>
      <c r="AZ206" t="b">
        <f t="shared" si="407"/>
        <v>0</v>
      </c>
      <c r="BA206" t="b">
        <f t="shared" si="408"/>
        <v>0</v>
      </c>
      <c r="BB206" t="b">
        <f t="shared" si="409"/>
        <v>0</v>
      </c>
      <c r="BC206" t="b">
        <f t="shared" si="410"/>
        <v>0</v>
      </c>
      <c r="BD206" t="b">
        <f t="shared" si="411"/>
        <v>0</v>
      </c>
      <c r="BE206" t="b">
        <f t="shared" si="412"/>
        <v>0</v>
      </c>
      <c r="BF206" t="b">
        <f t="shared" si="413"/>
        <v>0</v>
      </c>
      <c r="BG206" t="b">
        <f t="shared" si="414"/>
        <v>0</v>
      </c>
      <c r="BH206" t="b">
        <f t="shared" si="415"/>
        <v>0</v>
      </c>
      <c r="BI206">
        <f t="shared" si="416"/>
        <v>1</v>
      </c>
      <c r="BJ206" t="b">
        <f t="shared" si="417"/>
        <v>0</v>
      </c>
      <c r="BK206" t="b">
        <f t="shared" si="418"/>
        <v>0</v>
      </c>
      <c r="BL206" t="b">
        <f t="shared" si="419"/>
        <v>0</v>
      </c>
      <c r="BM206" t="b">
        <f t="shared" si="420"/>
        <v>0</v>
      </c>
      <c r="BN206" t="b">
        <f t="shared" si="421"/>
        <v>0</v>
      </c>
      <c r="BO206" t="b">
        <f t="shared" si="422"/>
        <v>0</v>
      </c>
      <c r="BP206" t="b">
        <f t="shared" si="423"/>
        <v>0</v>
      </c>
      <c r="BQ206" t="b">
        <f t="shared" si="424"/>
        <v>0</v>
      </c>
      <c r="BR206" t="b">
        <f t="shared" si="425"/>
        <v>0</v>
      </c>
      <c r="BS206" t="b">
        <f t="shared" si="426"/>
        <v>0</v>
      </c>
      <c r="BT206" t="b">
        <f t="shared" si="427"/>
        <v>0</v>
      </c>
      <c r="BU206" t="b">
        <f t="shared" si="428"/>
        <v>0</v>
      </c>
      <c r="BV206" t="b">
        <f t="shared" si="429"/>
        <v>0</v>
      </c>
      <c r="BW206" t="b">
        <f t="shared" si="430"/>
        <v>0</v>
      </c>
      <c r="BX206" t="b">
        <f t="shared" si="431"/>
        <v>0</v>
      </c>
      <c r="BY206" t="b">
        <f t="shared" si="432"/>
        <v>0</v>
      </c>
      <c r="BZ206" t="b">
        <f t="shared" si="433"/>
        <v>0</v>
      </c>
      <c r="CA206" t="b">
        <f t="shared" si="434"/>
        <v>0</v>
      </c>
      <c r="CB206" t="b">
        <f t="shared" si="435"/>
        <v>0</v>
      </c>
      <c r="CC206" t="b">
        <f t="shared" si="436"/>
        <v>0</v>
      </c>
      <c r="CD206" t="b">
        <f t="shared" si="437"/>
        <v>0</v>
      </c>
      <c r="CE206" t="b">
        <f t="shared" si="438"/>
        <v>0</v>
      </c>
      <c r="CF206" t="b">
        <f t="shared" si="439"/>
        <v>0</v>
      </c>
      <c r="CG206" t="b">
        <f t="shared" si="440"/>
        <v>0</v>
      </c>
      <c r="CH206" t="b">
        <f t="shared" si="441"/>
        <v>0</v>
      </c>
      <c r="CI206" t="b">
        <f t="shared" si="442"/>
        <v>0</v>
      </c>
      <c r="CJ206" t="b">
        <f t="shared" si="443"/>
        <v>0</v>
      </c>
      <c r="CK206" t="b">
        <f t="shared" si="444"/>
        <v>0</v>
      </c>
      <c r="CL206" t="b">
        <f t="shared" si="445"/>
        <v>0</v>
      </c>
      <c r="CM206">
        <f t="shared" si="446"/>
        <v>1</v>
      </c>
      <c r="CN206" t="b">
        <f t="shared" si="447"/>
        <v>0</v>
      </c>
      <c r="CO206" t="b">
        <f t="shared" si="448"/>
        <v>0</v>
      </c>
      <c r="CP206" t="b">
        <f t="shared" si="449"/>
        <v>0</v>
      </c>
      <c r="CQ206" t="b">
        <f t="shared" si="450"/>
        <v>0</v>
      </c>
      <c r="CR206" t="b">
        <f t="shared" si="451"/>
        <v>0</v>
      </c>
      <c r="CS206" t="b">
        <f t="shared" si="452"/>
        <v>0</v>
      </c>
      <c r="CT206" t="b">
        <f t="shared" si="453"/>
        <v>0</v>
      </c>
      <c r="CU206" t="b">
        <f t="shared" si="454"/>
        <v>0</v>
      </c>
      <c r="CV206">
        <f t="shared" si="455"/>
        <v>1</v>
      </c>
      <c r="CW206" t="b">
        <f t="shared" si="456"/>
        <v>0</v>
      </c>
      <c r="CX206" t="b">
        <f t="shared" si="457"/>
        <v>0</v>
      </c>
      <c r="CY206" t="b">
        <f t="shared" si="458"/>
        <v>0</v>
      </c>
      <c r="CZ206" t="b">
        <f t="shared" si="459"/>
        <v>0</v>
      </c>
      <c r="DA206" t="b">
        <f t="shared" si="460"/>
        <v>0</v>
      </c>
      <c r="DB206" t="b">
        <f t="shared" si="461"/>
        <v>0</v>
      </c>
      <c r="DC206" t="b">
        <f t="shared" si="462"/>
        <v>0</v>
      </c>
      <c r="DD206" t="b">
        <f t="shared" si="463"/>
        <v>0</v>
      </c>
      <c r="DE206" t="b">
        <f t="shared" si="464"/>
        <v>0</v>
      </c>
      <c r="DF206" t="b">
        <f t="shared" si="465"/>
        <v>0</v>
      </c>
      <c r="DG206" t="b">
        <f t="shared" si="466"/>
        <v>0</v>
      </c>
      <c r="DH206" t="b">
        <f t="shared" si="467"/>
        <v>0</v>
      </c>
      <c r="DI206" t="b">
        <f t="shared" si="468"/>
        <v>0</v>
      </c>
      <c r="DJ206" t="b">
        <f t="shared" si="469"/>
        <v>0</v>
      </c>
      <c r="DK206" t="b">
        <f t="shared" si="470"/>
        <v>0</v>
      </c>
      <c r="DL206" t="b">
        <f t="shared" si="471"/>
        <v>0</v>
      </c>
      <c r="DM206" t="b">
        <f t="shared" si="472"/>
        <v>0</v>
      </c>
      <c r="DN206" t="b">
        <f t="shared" si="473"/>
        <v>0</v>
      </c>
      <c r="DO206" t="b">
        <f t="shared" si="474"/>
        <v>0</v>
      </c>
      <c r="DP206" t="b">
        <f t="shared" si="475"/>
        <v>0</v>
      </c>
      <c r="DQ206" t="b">
        <f t="shared" si="476"/>
        <v>0</v>
      </c>
      <c r="DR206" t="b">
        <f t="shared" si="477"/>
        <v>0</v>
      </c>
      <c r="DS206" t="b">
        <f t="shared" si="478"/>
        <v>0</v>
      </c>
      <c r="DT206" t="b">
        <f t="shared" si="479"/>
        <v>0</v>
      </c>
      <c r="DU206" t="b">
        <f t="shared" si="480"/>
        <v>0</v>
      </c>
      <c r="DV206" t="b">
        <f t="shared" si="481"/>
        <v>0</v>
      </c>
      <c r="DW206" t="b">
        <f t="shared" si="482"/>
        <v>0</v>
      </c>
      <c r="DX206" t="b">
        <f t="shared" si="483"/>
        <v>0</v>
      </c>
      <c r="DY206" t="b">
        <f t="shared" si="484"/>
        <v>0</v>
      </c>
      <c r="DZ206" t="b">
        <f t="shared" si="485"/>
        <v>0</v>
      </c>
      <c r="EA206" t="b">
        <f t="shared" si="486"/>
        <v>0</v>
      </c>
      <c r="EB206" t="b">
        <f t="shared" si="487"/>
        <v>0</v>
      </c>
      <c r="EC206" t="b">
        <f t="shared" si="488"/>
        <v>0</v>
      </c>
      <c r="ED206" t="b">
        <f t="shared" si="489"/>
        <v>0</v>
      </c>
      <c r="EE206" t="b">
        <f t="shared" si="490"/>
        <v>0</v>
      </c>
      <c r="EF206">
        <f t="shared" si="491"/>
        <v>1</v>
      </c>
      <c r="EG206" t="b">
        <f t="shared" si="492"/>
        <v>0</v>
      </c>
      <c r="EH206" t="b">
        <f t="shared" si="493"/>
        <v>0</v>
      </c>
      <c r="EI206" t="b">
        <f t="shared" si="494"/>
        <v>0</v>
      </c>
      <c r="EJ206" t="b">
        <f t="shared" si="495"/>
        <v>0</v>
      </c>
      <c r="EK206" t="b">
        <f t="shared" si="496"/>
        <v>0</v>
      </c>
    </row>
    <row r="207" spans="1:141">
      <c r="A207" t="s">
        <v>1132</v>
      </c>
      <c r="B207" t="s">
        <v>1132</v>
      </c>
      <c r="C207" t="s">
        <v>1133</v>
      </c>
      <c r="D207" s="1">
        <v>43678</v>
      </c>
      <c r="E207" s="2">
        <v>44290.139409722222</v>
      </c>
      <c r="F207" s="2">
        <v>44292.381493055553</v>
      </c>
      <c r="G207">
        <v>509458528</v>
      </c>
      <c r="H207" t="s">
        <v>1134</v>
      </c>
      <c r="I207" s="10" t="s">
        <v>1135</v>
      </c>
      <c r="J207" t="s">
        <v>1136</v>
      </c>
      <c r="K207" s="8" t="b">
        <v>1</v>
      </c>
      <c r="L207" s="10" t="b">
        <v>0</v>
      </c>
      <c r="M207" s="12" t="b">
        <v>0</v>
      </c>
      <c r="N207" t="b">
        <v>0</v>
      </c>
      <c r="O207" t="b">
        <v>0</v>
      </c>
      <c r="P207" t="b">
        <v>0</v>
      </c>
      <c r="Q207">
        <f t="shared" si="373"/>
        <v>5</v>
      </c>
      <c r="R207">
        <f t="shared" si="374"/>
        <v>8</v>
      </c>
      <c r="S207" t="e">
        <f t="shared" ca="1" si="404"/>
        <v>#NAME?</v>
      </c>
      <c r="T207" t="e">
        <f t="shared" ca="1" si="375"/>
        <v>#NAME?</v>
      </c>
      <c r="U207" s="4">
        <f t="shared" si="376"/>
        <v>612.1394097222219</v>
      </c>
      <c r="V207" s="4">
        <f t="shared" si="377"/>
        <v>20.40464699074073</v>
      </c>
      <c r="W207" s="4">
        <f t="shared" si="378"/>
        <v>1</v>
      </c>
      <c r="X207" s="4">
        <f t="shared" si="379"/>
        <v>0</v>
      </c>
      <c r="Y207" s="4">
        <f t="shared" si="380"/>
        <v>0</v>
      </c>
      <c r="Z207" s="4">
        <f t="shared" si="381"/>
        <v>0</v>
      </c>
      <c r="AA207" s="4">
        <f t="shared" si="382"/>
        <v>0</v>
      </c>
      <c r="AB207" s="4">
        <f t="shared" si="383"/>
        <v>0</v>
      </c>
      <c r="AC207" s="4"/>
      <c r="AD207" s="4" t="b">
        <f t="shared" si="384"/>
        <v>0</v>
      </c>
      <c r="AE207" s="4" t="b">
        <f t="shared" si="385"/>
        <v>0</v>
      </c>
      <c r="AF207" s="4" t="b">
        <f t="shared" si="386"/>
        <v>0</v>
      </c>
      <c r="AG207" t="b">
        <f t="shared" si="387"/>
        <v>0</v>
      </c>
      <c r="AH207" t="b">
        <f t="shared" si="388"/>
        <v>0</v>
      </c>
      <c r="AI207" t="b">
        <f t="shared" si="389"/>
        <v>0</v>
      </c>
      <c r="AJ207" t="b">
        <f t="shared" si="390"/>
        <v>0</v>
      </c>
      <c r="AK207" t="b">
        <f t="shared" si="391"/>
        <v>0</v>
      </c>
      <c r="AL207" t="b">
        <f t="shared" si="392"/>
        <v>0</v>
      </c>
      <c r="AM207" t="b">
        <f t="shared" si="393"/>
        <v>0</v>
      </c>
      <c r="AN207" t="b">
        <f t="shared" si="394"/>
        <v>0</v>
      </c>
      <c r="AO207" t="b">
        <f t="shared" si="395"/>
        <v>0</v>
      </c>
      <c r="AP207" t="b">
        <f t="shared" si="396"/>
        <v>0</v>
      </c>
      <c r="AQ207" t="b">
        <f t="shared" si="397"/>
        <v>0</v>
      </c>
      <c r="AR207" t="b">
        <f t="shared" si="398"/>
        <v>0</v>
      </c>
      <c r="AS207" t="b">
        <f t="shared" si="399"/>
        <v>0</v>
      </c>
      <c r="AT207" t="b">
        <f t="shared" si="400"/>
        <v>0</v>
      </c>
      <c r="AU207" t="b">
        <f t="shared" si="401"/>
        <v>0</v>
      </c>
      <c r="AV207" t="b">
        <f t="shared" si="402"/>
        <v>0</v>
      </c>
      <c r="AW207" t="b">
        <f t="shared" si="403"/>
        <v>0</v>
      </c>
      <c r="AX207" t="b">
        <f t="shared" si="405"/>
        <v>0</v>
      </c>
      <c r="AY207" t="b">
        <f t="shared" si="406"/>
        <v>0</v>
      </c>
      <c r="AZ207">
        <f t="shared" si="407"/>
        <v>1</v>
      </c>
      <c r="BA207" t="b">
        <f t="shared" si="408"/>
        <v>0</v>
      </c>
      <c r="BB207" t="b">
        <f t="shared" si="409"/>
        <v>0</v>
      </c>
      <c r="BC207" t="b">
        <f t="shared" si="410"/>
        <v>0</v>
      </c>
      <c r="BD207" t="b">
        <f t="shared" si="411"/>
        <v>0</v>
      </c>
      <c r="BE207" t="b">
        <f t="shared" si="412"/>
        <v>0</v>
      </c>
      <c r="BF207" t="b">
        <f t="shared" si="413"/>
        <v>0</v>
      </c>
      <c r="BG207" t="b">
        <f t="shared" si="414"/>
        <v>0</v>
      </c>
      <c r="BH207" t="b">
        <f t="shared" si="415"/>
        <v>0</v>
      </c>
      <c r="BI207">
        <f t="shared" si="416"/>
        <v>1</v>
      </c>
      <c r="BJ207">
        <f t="shared" si="417"/>
        <v>1</v>
      </c>
      <c r="BK207" t="b">
        <f t="shared" si="418"/>
        <v>0</v>
      </c>
      <c r="BL207" t="b">
        <f t="shared" si="419"/>
        <v>0</v>
      </c>
      <c r="BM207" t="b">
        <f t="shared" si="420"/>
        <v>0</v>
      </c>
      <c r="BN207" t="b">
        <f t="shared" si="421"/>
        <v>0</v>
      </c>
      <c r="BO207" t="b">
        <f t="shared" si="422"/>
        <v>0</v>
      </c>
      <c r="BP207" t="b">
        <f t="shared" si="423"/>
        <v>0</v>
      </c>
      <c r="BQ207" t="b">
        <f t="shared" si="424"/>
        <v>0</v>
      </c>
      <c r="BR207">
        <f t="shared" si="425"/>
        <v>1</v>
      </c>
      <c r="BS207">
        <f t="shared" si="426"/>
        <v>1</v>
      </c>
      <c r="BT207" t="b">
        <f t="shared" si="427"/>
        <v>0</v>
      </c>
      <c r="BU207" t="b">
        <f t="shared" si="428"/>
        <v>0</v>
      </c>
      <c r="BV207" t="b">
        <f t="shared" si="429"/>
        <v>0</v>
      </c>
      <c r="BW207" t="b">
        <f t="shared" si="430"/>
        <v>0</v>
      </c>
      <c r="BX207" t="b">
        <f t="shared" si="431"/>
        <v>0</v>
      </c>
      <c r="BY207" t="b">
        <f t="shared" si="432"/>
        <v>0</v>
      </c>
      <c r="BZ207" t="b">
        <f t="shared" si="433"/>
        <v>0</v>
      </c>
      <c r="CA207" t="b">
        <f t="shared" si="434"/>
        <v>0</v>
      </c>
      <c r="CB207" t="b">
        <f t="shared" si="435"/>
        <v>0</v>
      </c>
      <c r="CC207" t="b">
        <f t="shared" si="436"/>
        <v>0</v>
      </c>
      <c r="CD207" t="b">
        <f t="shared" si="437"/>
        <v>0</v>
      </c>
      <c r="CE207" t="b">
        <f t="shared" si="438"/>
        <v>0</v>
      </c>
      <c r="CF207" t="b">
        <f t="shared" si="439"/>
        <v>0</v>
      </c>
      <c r="CG207" t="b">
        <f t="shared" si="440"/>
        <v>0</v>
      </c>
      <c r="CH207" t="b">
        <f t="shared" si="441"/>
        <v>0</v>
      </c>
      <c r="CI207" t="b">
        <f t="shared" si="442"/>
        <v>0</v>
      </c>
      <c r="CJ207" t="b">
        <f t="shared" si="443"/>
        <v>0</v>
      </c>
      <c r="CK207" t="b">
        <f t="shared" si="444"/>
        <v>0</v>
      </c>
      <c r="CL207" t="b">
        <f t="shared" si="445"/>
        <v>0</v>
      </c>
      <c r="CM207">
        <f t="shared" si="446"/>
        <v>1</v>
      </c>
      <c r="CN207" t="b">
        <f t="shared" si="447"/>
        <v>0</v>
      </c>
      <c r="CO207" t="b">
        <f t="shared" si="448"/>
        <v>0</v>
      </c>
      <c r="CP207" t="b">
        <f t="shared" si="449"/>
        <v>0</v>
      </c>
      <c r="CQ207" t="b">
        <f t="shared" si="450"/>
        <v>0</v>
      </c>
      <c r="CR207" t="b">
        <f t="shared" si="451"/>
        <v>0</v>
      </c>
      <c r="CS207" t="b">
        <f t="shared" si="452"/>
        <v>0</v>
      </c>
      <c r="CT207" t="b">
        <f t="shared" si="453"/>
        <v>0</v>
      </c>
      <c r="CU207" t="b">
        <f t="shared" si="454"/>
        <v>0</v>
      </c>
      <c r="CV207" t="b">
        <f t="shared" si="455"/>
        <v>0</v>
      </c>
      <c r="CW207" t="b">
        <f t="shared" si="456"/>
        <v>0</v>
      </c>
      <c r="CX207" t="b">
        <f t="shared" si="457"/>
        <v>0</v>
      </c>
      <c r="CY207" t="b">
        <f t="shared" si="458"/>
        <v>0</v>
      </c>
      <c r="CZ207" t="b">
        <f t="shared" si="459"/>
        <v>0</v>
      </c>
      <c r="DA207">
        <f t="shared" si="460"/>
        <v>1</v>
      </c>
      <c r="DB207" t="b">
        <f t="shared" si="461"/>
        <v>0</v>
      </c>
      <c r="DC207" t="b">
        <f t="shared" si="462"/>
        <v>0</v>
      </c>
      <c r="DD207" t="b">
        <f t="shared" si="463"/>
        <v>0</v>
      </c>
      <c r="DE207" t="b">
        <f t="shared" si="464"/>
        <v>0</v>
      </c>
      <c r="DF207" t="b">
        <f t="shared" si="465"/>
        <v>0</v>
      </c>
      <c r="DG207" t="b">
        <f t="shared" si="466"/>
        <v>0</v>
      </c>
      <c r="DH207" t="b">
        <f t="shared" si="467"/>
        <v>0</v>
      </c>
      <c r="DI207" t="b">
        <f t="shared" si="468"/>
        <v>0</v>
      </c>
      <c r="DJ207" t="b">
        <f t="shared" si="469"/>
        <v>0</v>
      </c>
      <c r="DK207" t="b">
        <f t="shared" si="470"/>
        <v>0</v>
      </c>
      <c r="DL207" t="b">
        <f t="shared" si="471"/>
        <v>0</v>
      </c>
      <c r="DM207" t="b">
        <f t="shared" si="472"/>
        <v>0</v>
      </c>
      <c r="DN207">
        <f t="shared" si="473"/>
        <v>1</v>
      </c>
      <c r="DO207" t="b">
        <f t="shared" si="474"/>
        <v>0</v>
      </c>
      <c r="DP207" t="b">
        <f t="shared" si="475"/>
        <v>0</v>
      </c>
      <c r="DQ207" t="b">
        <f t="shared" si="476"/>
        <v>0</v>
      </c>
      <c r="DR207" t="b">
        <f t="shared" si="477"/>
        <v>0</v>
      </c>
      <c r="DS207" t="b">
        <f t="shared" si="478"/>
        <v>0</v>
      </c>
      <c r="DT207" t="b">
        <f t="shared" si="479"/>
        <v>0</v>
      </c>
      <c r="DU207" t="b">
        <f t="shared" si="480"/>
        <v>0</v>
      </c>
      <c r="DV207" t="b">
        <f t="shared" si="481"/>
        <v>0</v>
      </c>
      <c r="DW207" t="b">
        <f t="shared" si="482"/>
        <v>0</v>
      </c>
      <c r="DX207" t="b">
        <f t="shared" si="483"/>
        <v>0</v>
      </c>
      <c r="DY207" t="b">
        <f t="shared" si="484"/>
        <v>0</v>
      </c>
      <c r="DZ207" t="b">
        <f t="shared" si="485"/>
        <v>0</v>
      </c>
      <c r="EA207" t="b">
        <f t="shared" si="486"/>
        <v>0</v>
      </c>
      <c r="EB207" t="b">
        <f t="shared" si="487"/>
        <v>0</v>
      </c>
      <c r="EC207" t="b">
        <f t="shared" si="488"/>
        <v>0</v>
      </c>
      <c r="ED207" t="b">
        <f t="shared" si="489"/>
        <v>0</v>
      </c>
      <c r="EE207" t="b">
        <f t="shared" si="490"/>
        <v>0</v>
      </c>
      <c r="EF207" t="b">
        <f t="shared" si="491"/>
        <v>0</v>
      </c>
      <c r="EG207" t="b">
        <f t="shared" si="492"/>
        <v>0</v>
      </c>
      <c r="EH207" t="b">
        <f t="shared" si="493"/>
        <v>0</v>
      </c>
      <c r="EI207" t="b">
        <f t="shared" si="494"/>
        <v>0</v>
      </c>
      <c r="EJ207" t="b">
        <f t="shared" si="495"/>
        <v>0</v>
      </c>
      <c r="EK207" t="b">
        <f t="shared" si="496"/>
        <v>0</v>
      </c>
    </row>
    <row r="208" spans="1:141">
      <c r="A208" t="s">
        <v>1137</v>
      </c>
      <c r="B208" t="s">
        <v>1137</v>
      </c>
      <c r="C208" t="s">
        <v>1138</v>
      </c>
      <c r="D208" s="1">
        <v>42524</v>
      </c>
      <c r="E208" s="2">
        <v>43390.552534722221</v>
      </c>
      <c r="F208" s="2">
        <v>43390.563460648147</v>
      </c>
      <c r="G208">
        <v>342913</v>
      </c>
      <c r="H208" t="s">
        <v>1139</v>
      </c>
      <c r="I208" s="10" t="s">
        <v>1140</v>
      </c>
      <c r="J208" t="s">
        <v>199</v>
      </c>
      <c r="K208" s="8" t="b">
        <v>1</v>
      </c>
      <c r="L208" s="10" t="b">
        <v>0</v>
      </c>
      <c r="M208" s="12" t="b">
        <v>0</v>
      </c>
      <c r="N208" t="b">
        <v>0</v>
      </c>
      <c r="O208" t="b">
        <v>0</v>
      </c>
      <c r="P208" t="b">
        <v>0</v>
      </c>
      <c r="Q208">
        <f t="shared" si="373"/>
        <v>6</v>
      </c>
      <c r="R208">
        <f t="shared" si="374"/>
        <v>6</v>
      </c>
      <c r="S208" t="e">
        <f t="shared" ca="1" si="404"/>
        <v>#NAME?</v>
      </c>
      <c r="T208" t="e">
        <f t="shared" ca="1" si="375"/>
        <v>#NAME?</v>
      </c>
      <c r="U208" s="4">
        <f t="shared" si="376"/>
        <v>866.55253472222103</v>
      </c>
      <c r="V208" s="4">
        <f t="shared" si="377"/>
        <v>28.885084490740702</v>
      </c>
      <c r="W208" s="4">
        <f t="shared" si="378"/>
        <v>1</v>
      </c>
      <c r="X208" s="4">
        <f t="shared" si="379"/>
        <v>0</v>
      </c>
      <c r="Y208" s="4">
        <f t="shared" si="380"/>
        <v>0</v>
      </c>
      <c r="Z208" s="4">
        <f t="shared" si="381"/>
        <v>0</v>
      </c>
      <c r="AA208" s="4">
        <f t="shared" si="382"/>
        <v>0</v>
      </c>
      <c r="AB208" s="4">
        <f t="shared" si="383"/>
        <v>0</v>
      </c>
      <c r="AC208" s="4"/>
      <c r="AD208" s="4" t="b">
        <f t="shared" si="384"/>
        <v>0</v>
      </c>
      <c r="AE208" s="4" t="b">
        <f t="shared" si="385"/>
        <v>0</v>
      </c>
      <c r="AF208" s="4" t="b">
        <f t="shared" si="386"/>
        <v>0</v>
      </c>
      <c r="AG208" t="b">
        <f t="shared" si="387"/>
        <v>0</v>
      </c>
      <c r="AH208" t="b">
        <f t="shared" si="388"/>
        <v>0</v>
      </c>
      <c r="AI208" t="b">
        <f t="shared" si="389"/>
        <v>0</v>
      </c>
      <c r="AJ208" t="b">
        <f t="shared" si="390"/>
        <v>0</v>
      </c>
      <c r="AK208" t="b">
        <f t="shared" si="391"/>
        <v>0</v>
      </c>
      <c r="AL208" t="b">
        <f t="shared" si="392"/>
        <v>0</v>
      </c>
      <c r="AM208" t="b">
        <f t="shared" si="393"/>
        <v>0</v>
      </c>
      <c r="AN208" t="b">
        <f t="shared" si="394"/>
        <v>0</v>
      </c>
      <c r="AO208" t="b">
        <f t="shared" si="395"/>
        <v>0</v>
      </c>
      <c r="AP208" t="b">
        <f t="shared" si="396"/>
        <v>0</v>
      </c>
      <c r="AQ208" t="b">
        <f t="shared" si="397"/>
        <v>0</v>
      </c>
      <c r="AR208" t="b">
        <f t="shared" si="398"/>
        <v>0</v>
      </c>
      <c r="AS208" t="b">
        <f t="shared" si="399"/>
        <v>0</v>
      </c>
      <c r="AT208" t="b">
        <f t="shared" si="400"/>
        <v>0</v>
      </c>
      <c r="AU208" t="b">
        <f t="shared" si="401"/>
        <v>0</v>
      </c>
      <c r="AV208" t="b">
        <f t="shared" si="402"/>
        <v>0</v>
      </c>
      <c r="AW208" t="b">
        <f t="shared" si="403"/>
        <v>0</v>
      </c>
      <c r="AX208" t="b">
        <f t="shared" si="405"/>
        <v>0</v>
      </c>
      <c r="AY208" t="b">
        <f t="shared" si="406"/>
        <v>0</v>
      </c>
      <c r="AZ208">
        <f t="shared" si="407"/>
        <v>1</v>
      </c>
      <c r="BA208" t="b">
        <f t="shared" si="408"/>
        <v>0</v>
      </c>
      <c r="BB208" t="b">
        <f t="shared" si="409"/>
        <v>0</v>
      </c>
      <c r="BC208" t="b">
        <f t="shared" si="410"/>
        <v>0</v>
      </c>
      <c r="BD208" t="b">
        <f t="shared" si="411"/>
        <v>0</v>
      </c>
      <c r="BE208" t="b">
        <f t="shared" si="412"/>
        <v>0</v>
      </c>
      <c r="BF208" t="b">
        <f t="shared" si="413"/>
        <v>0</v>
      </c>
      <c r="BG208" t="b">
        <f t="shared" si="414"/>
        <v>0</v>
      </c>
      <c r="BH208" t="b">
        <f t="shared" si="415"/>
        <v>0</v>
      </c>
      <c r="BI208">
        <f t="shared" si="416"/>
        <v>1</v>
      </c>
      <c r="BJ208" t="b">
        <f t="shared" si="417"/>
        <v>0</v>
      </c>
      <c r="BK208" t="b">
        <f t="shared" si="418"/>
        <v>0</v>
      </c>
      <c r="BL208" t="b">
        <f t="shared" si="419"/>
        <v>0</v>
      </c>
      <c r="BM208" t="b">
        <f t="shared" si="420"/>
        <v>0</v>
      </c>
      <c r="BN208" t="b">
        <f t="shared" si="421"/>
        <v>0</v>
      </c>
      <c r="BO208" t="b">
        <f t="shared" si="422"/>
        <v>0</v>
      </c>
      <c r="BP208" t="b">
        <f t="shared" si="423"/>
        <v>0</v>
      </c>
      <c r="BQ208" t="b">
        <f t="shared" si="424"/>
        <v>0</v>
      </c>
      <c r="BR208" t="b">
        <f t="shared" si="425"/>
        <v>0</v>
      </c>
      <c r="BS208" t="b">
        <f t="shared" si="426"/>
        <v>0</v>
      </c>
      <c r="BT208" t="b">
        <f t="shared" si="427"/>
        <v>0</v>
      </c>
      <c r="BU208" t="b">
        <f t="shared" si="428"/>
        <v>0</v>
      </c>
      <c r="BV208" t="b">
        <f t="shared" si="429"/>
        <v>0</v>
      </c>
      <c r="BW208" t="b">
        <f t="shared" si="430"/>
        <v>0</v>
      </c>
      <c r="BX208" t="b">
        <f t="shared" si="431"/>
        <v>0</v>
      </c>
      <c r="BY208" t="b">
        <f t="shared" si="432"/>
        <v>0</v>
      </c>
      <c r="BZ208" t="b">
        <f t="shared" si="433"/>
        <v>0</v>
      </c>
      <c r="CA208" t="b">
        <f t="shared" si="434"/>
        <v>0</v>
      </c>
      <c r="CB208" t="b">
        <f t="shared" si="435"/>
        <v>0</v>
      </c>
      <c r="CC208" t="b">
        <f t="shared" si="436"/>
        <v>0</v>
      </c>
      <c r="CD208" t="b">
        <f t="shared" si="437"/>
        <v>0</v>
      </c>
      <c r="CE208">
        <f t="shared" si="438"/>
        <v>1</v>
      </c>
      <c r="CF208" t="b">
        <f t="shared" si="439"/>
        <v>0</v>
      </c>
      <c r="CG208" t="b">
        <f t="shared" si="440"/>
        <v>0</v>
      </c>
      <c r="CH208" t="b">
        <f t="shared" si="441"/>
        <v>0</v>
      </c>
      <c r="CI208" t="b">
        <f t="shared" si="442"/>
        <v>0</v>
      </c>
      <c r="CJ208" t="b">
        <f t="shared" si="443"/>
        <v>0</v>
      </c>
      <c r="CK208" t="b">
        <f t="shared" si="444"/>
        <v>0</v>
      </c>
      <c r="CL208" t="b">
        <f t="shared" si="445"/>
        <v>0</v>
      </c>
      <c r="CM208" t="b">
        <f t="shared" si="446"/>
        <v>0</v>
      </c>
      <c r="CN208" t="b">
        <f t="shared" si="447"/>
        <v>0</v>
      </c>
      <c r="CO208" t="b">
        <f t="shared" si="448"/>
        <v>0</v>
      </c>
      <c r="CP208" t="b">
        <f t="shared" si="449"/>
        <v>0</v>
      </c>
      <c r="CQ208" t="b">
        <f t="shared" si="450"/>
        <v>0</v>
      </c>
      <c r="CR208" t="b">
        <f t="shared" si="451"/>
        <v>0</v>
      </c>
      <c r="CS208" t="b">
        <f t="shared" si="452"/>
        <v>0</v>
      </c>
      <c r="CT208" t="b">
        <f t="shared" si="453"/>
        <v>0</v>
      </c>
      <c r="CU208" t="b">
        <f t="shared" si="454"/>
        <v>0</v>
      </c>
      <c r="CV208">
        <f t="shared" si="455"/>
        <v>1</v>
      </c>
      <c r="CW208" t="b">
        <f t="shared" si="456"/>
        <v>0</v>
      </c>
      <c r="CX208" t="b">
        <f t="shared" si="457"/>
        <v>0</v>
      </c>
      <c r="CY208" t="b">
        <f t="shared" si="458"/>
        <v>0</v>
      </c>
      <c r="CZ208" t="b">
        <f t="shared" si="459"/>
        <v>0</v>
      </c>
      <c r="DA208" t="b">
        <f t="shared" si="460"/>
        <v>0</v>
      </c>
      <c r="DB208" t="b">
        <f t="shared" si="461"/>
        <v>0</v>
      </c>
      <c r="DC208" t="b">
        <f t="shared" si="462"/>
        <v>0</v>
      </c>
      <c r="DD208" t="b">
        <f t="shared" si="463"/>
        <v>0</v>
      </c>
      <c r="DE208" t="b">
        <f t="shared" si="464"/>
        <v>0</v>
      </c>
      <c r="DF208" t="b">
        <f t="shared" si="465"/>
        <v>0</v>
      </c>
      <c r="DG208" t="b">
        <f t="shared" si="466"/>
        <v>0</v>
      </c>
      <c r="DH208" t="b">
        <f t="shared" si="467"/>
        <v>0</v>
      </c>
      <c r="DI208" t="b">
        <f t="shared" si="468"/>
        <v>0</v>
      </c>
      <c r="DJ208" t="b">
        <f t="shared" si="469"/>
        <v>0</v>
      </c>
      <c r="DK208" t="b">
        <f t="shared" si="470"/>
        <v>0</v>
      </c>
      <c r="DL208" t="b">
        <f t="shared" si="471"/>
        <v>0</v>
      </c>
      <c r="DM208" t="b">
        <f t="shared" si="472"/>
        <v>0</v>
      </c>
      <c r="DN208" t="b">
        <f t="shared" si="473"/>
        <v>0</v>
      </c>
      <c r="DO208" t="b">
        <f t="shared" si="474"/>
        <v>0</v>
      </c>
      <c r="DP208" t="b">
        <f t="shared" si="475"/>
        <v>0</v>
      </c>
      <c r="DQ208" t="b">
        <f t="shared" si="476"/>
        <v>0</v>
      </c>
      <c r="DR208" t="b">
        <f t="shared" si="477"/>
        <v>0</v>
      </c>
      <c r="DS208" t="b">
        <f t="shared" si="478"/>
        <v>0</v>
      </c>
      <c r="DT208" t="b">
        <f t="shared" si="479"/>
        <v>0</v>
      </c>
      <c r="DU208" t="b">
        <f t="shared" si="480"/>
        <v>0</v>
      </c>
      <c r="DV208" t="b">
        <f t="shared" si="481"/>
        <v>0</v>
      </c>
      <c r="DW208" t="b">
        <f t="shared" si="482"/>
        <v>0</v>
      </c>
      <c r="DX208" t="b">
        <f t="shared" si="483"/>
        <v>0</v>
      </c>
      <c r="DY208" t="b">
        <f t="shared" si="484"/>
        <v>0</v>
      </c>
      <c r="DZ208" t="b">
        <f t="shared" si="485"/>
        <v>0</v>
      </c>
      <c r="EA208" t="b">
        <f t="shared" si="486"/>
        <v>0</v>
      </c>
      <c r="EB208" t="b">
        <f t="shared" si="487"/>
        <v>0</v>
      </c>
      <c r="EC208" t="b">
        <f t="shared" si="488"/>
        <v>0</v>
      </c>
      <c r="ED208" t="b">
        <f t="shared" si="489"/>
        <v>0</v>
      </c>
      <c r="EE208" t="b">
        <f t="shared" si="490"/>
        <v>0</v>
      </c>
      <c r="EF208">
        <f t="shared" si="491"/>
        <v>1</v>
      </c>
      <c r="EG208" t="b">
        <f t="shared" si="492"/>
        <v>0</v>
      </c>
      <c r="EH208" t="b">
        <f t="shared" si="493"/>
        <v>0</v>
      </c>
      <c r="EI208" t="b">
        <f t="shared" si="494"/>
        <v>0</v>
      </c>
      <c r="EJ208" t="b">
        <f t="shared" si="495"/>
        <v>0</v>
      </c>
      <c r="EK208" t="b">
        <f t="shared" si="496"/>
        <v>0</v>
      </c>
    </row>
    <row r="209" spans="1:141">
      <c r="A209" t="s">
        <v>1141</v>
      </c>
      <c r="B209" t="s">
        <v>1141</v>
      </c>
      <c r="C209" t="s">
        <v>1142</v>
      </c>
      <c r="D209" s="1">
        <v>41275</v>
      </c>
      <c r="E209" s="2">
        <v>43478.410196759258</v>
      </c>
      <c r="F209" s="2">
        <v>43478.410196759258</v>
      </c>
      <c r="G209">
        <v>87633</v>
      </c>
      <c r="H209" t="s">
        <v>1143</v>
      </c>
      <c r="I209" s="10" t="s">
        <v>1144</v>
      </c>
      <c r="J209" t="s">
        <v>1145</v>
      </c>
      <c r="K209" s="8" t="b">
        <v>1</v>
      </c>
      <c r="L209" s="10" t="b">
        <v>0</v>
      </c>
      <c r="M209" s="12" t="b">
        <v>0</v>
      </c>
      <c r="N209" t="b">
        <v>0</v>
      </c>
      <c r="O209" t="b">
        <v>0</v>
      </c>
      <c r="P209" t="b">
        <v>0</v>
      </c>
      <c r="Q209">
        <f t="shared" si="373"/>
        <v>3</v>
      </c>
      <c r="R209">
        <f t="shared" si="374"/>
        <v>1</v>
      </c>
      <c r="S209" t="e">
        <f t="shared" ca="1" si="404"/>
        <v>#NAME?</v>
      </c>
      <c r="T209" t="e">
        <f t="shared" ca="1" si="375"/>
        <v>#NAME?</v>
      </c>
      <c r="U209" s="4">
        <f t="shared" si="376"/>
        <v>2203.4101967592578</v>
      </c>
      <c r="V209" s="4">
        <f t="shared" si="377"/>
        <v>73.447006558641931</v>
      </c>
      <c r="W209" s="4">
        <f t="shared" si="378"/>
        <v>1</v>
      </c>
      <c r="X209" s="4">
        <f t="shared" si="379"/>
        <v>0</v>
      </c>
      <c r="Y209" s="4">
        <f t="shared" si="380"/>
        <v>0</v>
      </c>
      <c r="Z209" s="4">
        <f t="shared" si="381"/>
        <v>0</v>
      </c>
      <c r="AA209" s="4">
        <f t="shared" si="382"/>
        <v>0</v>
      </c>
      <c r="AB209" s="4">
        <f t="shared" si="383"/>
        <v>0</v>
      </c>
      <c r="AC209" s="4"/>
      <c r="AD209" s="4" t="b">
        <f t="shared" si="384"/>
        <v>0</v>
      </c>
      <c r="AE209" s="4" t="b">
        <f t="shared" si="385"/>
        <v>0</v>
      </c>
      <c r="AF209" s="4" t="b">
        <f t="shared" si="386"/>
        <v>0</v>
      </c>
      <c r="AG209" t="b">
        <f t="shared" si="387"/>
        <v>0</v>
      </c>
      <c r="AH209" t="b">
        <f t="shared" si="388"/>
        <v>0</v>
      </c>
      <c r="AI209" t="b">
        <f t="shared" si="389"/>
        <v>0</v>
      </c>
      <c r="AJ209" t="b">
        <f t="shared" si="390"/>
        <v>0</v>
      </c>
      <c r="AK209" t="b">
        <f t="shared" si="391"/>
        <v>0</v>
      </c>
      <c r="AL209" t="b">
        <f t="shared" si="392"/>
        <v>0</v>
      </c>
      <c r="AM209" t="b">
        <f t="shared" si="393"/>
        <v>0</v>
      </c>
      <c r="AN209" t="b">
        <f t="shared" si="394"/>
        <v>0</v>
      </c>
      <c r="AO209" t="b">
        <f t="shared" si="395"/>
        <v>0</v>
      </c>
      <c r="AP209" t="b">
        <f t="shared" si="396"/>
        <v>0</v>
      </c>
      <c r="AQ209" t="b">
        <f t="shared" si="397"/>
        <v>0</v>
      </c>
      <c r="AR209" t="b">
        <f t="shared" si="398"/>
        <v>0</v>
      </c>
      <c r="AS209" t="b">
        <f t="shared" si="399"/>
        <v>0</v>
      </c>
      <c r="AT209" t="b">
        <f t="shared" si="400"/>
        <v>0</v>
      </c>
      <c r="AU209" t="b">
        <f t="shared" si="401"/>
        <v>0</v>
      </c>
      <c r="AV209" t="b">
        <f t="shared" si="402"/>
        <v>0</v>
      </c>
      <c r="AW209" t="b">
        <f t="shared" si="403"/>
        <v>0</v>
      </c>
      <c r="AX209" t="b">
        <f t="shared" si="405"/>
        <v>0</v>
      </c>
      <c r="AY209" t="b">
        <f t="shared" si="406"/>
        <v>0</v>
      </c>
      <c r="AZ209">
        <f t="shared" si="407"/>
        <v>1</v>
      </c>
      <c r="BA209" t="b">
        <f t="shared" si="408"/>
        <v>0</v>
      </c>
      <c r="BB209" t="b">
        <f t="shared" si="409"/>
        <v>0</v>
      </c>
      <c r="BC209" t="b">
        <f t="shared" si="410"/>
        <v>0</v>
      </c>
      <c r="BD209" t="b">
        <f t="shared" si="411"/>
        <v>0</v>
      </c>
      <c r="BE209" t="b">
        <f t="shared" si="412"/>
        <v>0</v>
      </c>
      <c r="BF209" t="b">
        <f t="shared" si="413"/>
        <v>0</v>
      </c>
      <c r="BG209" t="b">
        <f t="shared" si="414"/>
        <v>0</v>
      </c>
      <c r="BH209" t="b">
        <f t="shared" si="415"/>
        <v>0</v>
      </c>
      <c r="BI209">
        <f t="shared" si="416"/>
        <v>1</v>
      </c>
      <c r="BJ209" t="b">
        <f t="shared" si="417"/>
        <v>0</v>
      </c>
      <c r="BK209" t="b">
        <f t="shared" si="418"/>
        <v>0</v>
      </c>
      <c r="BL209" t="b">
        <f t="shared" si="419"/>
        <v>0</v>
      </c>
      <c r="BM209" t="b">
        <f t="shared" si="420"/>
        <v>0</v>
      </c>
      <c r="BN209" t="b">
        <f t="shared" si="421"/>
        <v>0</v>
      </c>
      <c r="BO209" t="b">
        <f t="shared" si="422"/>
        <v>0</v>
      </c>
      <c r="BP209" t="b">
        <f t="shared" si="423"/>
        <v>0</v>
      </c>
      <c r="BQ209" t="b">
        <f t="shared" si="424"/>
        <v>0</v>
      </c>
      <c r="BR209">
        <f t="shared" si="425"/>
        <v>1</v>
      </c>
      <c r="BS209" t="b">
        <f t="shared" si="426"/>
        <v>0</v>
      </c>
      <c r="BT209" t="b">
        <f t="shared" si="427"/>
        <v>0</v>
      </c>
      <c r="BU209" t="b">
        <f t="shared" si="428"/>
        <v>0</v>
      </c>
      <c r="BV209" t="b">
        <f t="shared" si="429"/>
        <v>0</v>
      </c>
      <c r="BW209" t="b">
        <f t="shared" si="430"/>
        <v>0</v>
      </c>
      <c r="BX209" t="b">
        <f t="shared" si="431"/>
        <v>0</v>
      </c>
      <c r="BY209" t="b">
        <f t="shared" si="432"/>
        <v>0</v>
      </c>
      <c r="BZ209" t="b">
        <f t="shared" si="433"/>
        <v>0</v>
      </c>
      <c r="CA209" t="b">
        <f t="shared" si="434"/>
        <v>0</v>
      </c>
      <c r="CB209" t="b">
        <f t="shared" si="435"/>
        <v>0</v>
      </c>
      <c r="CC209" t="b">
        <f t="shared" si="436"/>
        <v>0</v>
      </c>
      <c r="CD209" t="b">
        <f t="shared" si="437"/>
        <v>0</v>
      </c>
      <c r="CE209" t="b">
        <f t="shared" si="438"/>
        <v>0</v>
      </c>
      <c r="CF209" t="b">
        <f t="shared" si="439"/>
        <v>0</v>
      </c>
      <c r="CG209" t="b">
        <f t="shared" si="440"/>
        <v>0</v>
      </c>
      <c r="CH209" t="b">
        <f t="shared" si="441"/>
        <v>0</v>
      </c>
      <c r="CI209" t="b">
        <f t="shared" si="442"/>
        <v>0</v>
      </c>
      <c r="CJ209" t="b">
        <f t="shared" si="443"/>
        <v>0</v>
      </c>
      <c r="CK209" t="b">
        <f t="shared" si="444"/>
        <v>0</v>
      </c>
      <c r="CL209" t="b">
        <f t="shared" si="445"/>
        <v>0</v>
      </c>
      <c r="CM209">
        <f t="shared" si="446"/>
        <v>1</v>
      </c>
      <c r="CN209" t="b">
        <f t="shared" si="447"/>
        <v>0</v>
      </c>
      <c r="CO209" t="b">
        <f t="shared" si="448"/>
        <v>0</v>
      </c>
      <c r="CP209" t="b">
        <f t="shared" si="449"/>
        <v>0</v>
      </c>
      <c r="CQ209" t="b">
        <f t="shared" si="450"/>
        <v>0</v>
      </c>
      <c r="CR209" t="b">
        <f t="shared" si="451"/>
        <v>0</v>
      </c>
      <c r="CS209" t="b">
        <f t="shared" si="452"/>
        <v>0</v>
      </c>
      <c r="CT209" t="b">
        <f t="shared" si="453"/>
        <v>0</v>
      </c>
      <c r="CU209" t="b">
        <f t="shared" si="454"/>
        <v>0</v>
      </c>
      <c r="CV209">
        <f t="shared" si="455"/>
        <v>1</v>
      </c>
      <c r="CW209" t="b">
        <f t="shared" si="456"/>
        <v>0</v>
      </c>
      <c r="CX209" t="b">
        <f t="shared" si="457"/>
        <v>0</v>
      </c>
      <c r="CY209" t="b">
        <f t="shared" si="458"/>
        <v>0</v>
      </c>
      <c r="CZ209" t="b">
        <f t="shared" si="459"/>
        <v>0</v>
      </c>
      <c r="DA209">
        <f t="shared" si="460"/>
        <v>1</v>
      </c>
      <c r="DB209" t="b">
        <f t="shared" si="461"/>
        <v>0</v>
      </c>
      <c r="DC209" t="b">
        <f t="shared" si="462"/>
        <v>0</v>
      </c>
      <c r="DD209" t="b">
        <f t="shared" si="463"/>
        <v>0</v>
      </c>
      <c r="DE209" t="b">
        <f t="shared" si="464"/>
        <v>0</v>
      </c>
      <c r="DF209" t="b">
        <f t="shared" si="465"/>
        <v>0</v>
      </c>
      <c r="DG209" t="b">
        <f t="shared" si="466"/>
        <v>0</v>
      </c>
      <c r="DH209" t="b">
        <f t="shared" si="467"/>
        <v>0</v>
      </c>
      <c r="DI209" t="b">
        <f t="shared" si="468"/>
        <v>0</v>
      </c>
      <c r="DJ209" t="b">
        <f t="shared" si="469"/>
        <v>0</v>
      </c>
      <c r="DK209" t="b">
        <f t="shared" si="470"/>
        <v>0</v>
      </c>
      <c r="DL209" t="b">
        <f t="shared" si="471"/>
        <v>0</v>
      </c>
      <c r="DM209" t="b">
        <f t="shared" si="472"/>
        <v>0</v>
      </c>
      <c r="DN209" t="b">
        <f t="shared" si="473"/>
        <v>0</v>
      </c>
      <c r="DO209" t="b">
        <f t="shared" si="474"/>
        <v>0</v>
      </c>
      <c r="DP209" t="b">
        <f t="shared" si="475"/>
        <v>0</v>
      </c>
      <c r="DQ209" t="b">
        <f t="shared" si="476"/>
        <v>0</v>
      </c>
      <c r="DR209" t="b">
        <f t="shared" si="477"/>
        <v>0</v>
      </c>
      <c r="DS209" t="b">
        <f t="shared" si="478"/>
        <v>0</v>
      </c>
      <c r="DT209" t="b">
        <f t="shared" si="479"/>
        <v>0</v>
      </c>
      <c r="DU209" t="b">
        <f t="shared" si="480"/>
        <v>0</v>
      </c>
      <c r="DV209" t="b">
        <f t="shared" si="481"/>
        <v>0</v>
      </c>
      <c r="DW209" t="b">
        <f t="shared" si="482"/>
        <v>0</v>
      </c>
      <c r="DX209" t="b">
        <f t="shared" si="483"/>
        <v>0</v>
      </c>
      <c r="DY209" t="b">
        <f t="shared" si="484"/>
        <v>0</v>
      </c>
      <c r="DZ209" t="b">
        <f t="shared" si="485"/>
        <v>0</v>
      </c>
      <c r="EA209" t="b">
        <f t="shared" si="486"/>
        <v>0</v>
      </c>
      <c r="EB209" t="b">
        <f t="shared" si="487"/>
        <v>0</v>
      </c>
      <c r="EC209" t="b">
        <f t="shared" si="488"/>
        <v>0</v>
      </c>
      <c r="ED209" t="b">
        <f t="shared" si="489"/>
        <v>0</v>
      </c>
      <c r="EE209" t="b">
        <f t="shared" si="490"/>
        <v>0</v>
      </c>
      <c r="EF209">
        <f t="shared" si="491"/>
        <v>1</v>
      </c>
      <c r="EG209" t="b">
        <f t="shared" si="492"/>
        <v>0</v>
      </c>
      <c r="EH209" t="b">
        <f t="shared" si="493"/>
        <v>0</v>
      </c>
      <c r="EI209" t="b">
        <f t="shared" si="494"/>
        <v>0</v>
      </c>
      <c r="EJ209" t="b">
        <f t="shared" si="495"/>
        <v>0</v>
      </c>
      <c r="EK209" t="b">
        <f t="shared" si="496"/>
        <v>0</v>
      </c>
    </row>
    <row r="210" spans="1:141">
      <c r="A210" t="s">
        <v>1146</v>
      </c>
      <c r="B210" t="s">
        <v>1146</v>
      </c>
      <c r="C210" t="s">
        <v>1147</v>
      </c>
      <c r="D210" s="1">
        <v>42816</v>
      </c>
      <c r="E210" s="2">
        <v>43823.455763888887</v>
      </c>
      <c r="F210" s="2">
        <v>43823.455763888887</v>
      </c>
      <c r="G210">
        <v>2461696</v>
      </c>
      <c r="H210" t="s">
        <v>1148</v>
      </c>
      <c r="I210" s="10" t="s">
        <v>1149</v>
      </c>
      <c r="J210" t="s">
        <v>1150</v>
      </c>
      <c r="K210" s="8" t="b">
        <v>1</v>
      </c>
      <c r="L210" s="10" t="b">
        <v>0</v>
      </c>
      <c r="M210" s="12" t="b">
        <v>0</v>
      </c>
      <c r="N210" t="b">
        <v>0</v>
      </c>
      <c r="O210" t="b">
        <v>0</v>
      </c>
      <c r="P210" t="b">
        <v>0</v>
      </c>
      <c r="Q210">
        <f t="shared" si="373"/>
        <v>4</v>
      </c>
      <c r="R210">
        <f t="shared" si="374"/>
        <v>3</v>
      </c>
      <c r="S210" t="e">
        <f t="shared" ca="1" si="404"/>
        <v>#NAME?</v>
      </c>
      <c r="T210" t="e">
        <f t="shared" ca="1" si="375"/>
        <v>#NAME?</v>
      </c>
      <c r="U210" s="4">
        <f t="shared" si="376"/>
        <v>1007.4557638888873</v>
      </c>
      <c r="V210" s="4">
        <f t="shared" si="377"/>
        <v>33.581858796296245</v>
      </c>
      <c r="W210" s="4">
        <f t="shared" si="378"/>
        <v>1</v>
      </c>
      <c r="X210" s="4">
        <f t="shared" si="379"/>
        <v>0</v>
      </c>
      <c r="Y210" s="4">
        <f t="shared" si="380"/>
        <v>0</v>
      </c>
      <c r="Z210" s="4">
        <f t="shared" si="381"/>
        <v>0</v>
      </c>
      <c r="AA210" s="4">
        <f t="shared" si="382"/>
        <v>0</v>
      </c>
      <c r="AB210" s="4">
        <f t="shared" si="383"/>
        <v>0</v>
      </c>
      <c r="AC210" s="4"/>
      <c r="AD210" s="4" t="b">
        <f t="shared" si="384"/>
        <v>0</v>
      </c>
      <c r="AE210" s="4" t="b">
        <f t="shared" si="385"/>
        <v>0</v>
      </c>
      <c r="AF210" s="4" t="b">
        <f t="shared" si="386"/>
        <v>0</v>
      </c>
      <c r="AG210" t="b">
        <f t="shared" si="387"/>
        <v>0</v>
      </c>
      <c r="AH210" t="b">
        <f t="shared" si="388"/>
        <v>0</v>
      </c>
      <c r="AI210" t="b">
        <f t="shared" si="389"/>
        <v>0</v>
      </c>
      <c r="AJ210" t="b">
        <f t="shared" si="390"/>
        <v>0</v>
      </c>
      <c r="AK210" t="b">
        <f t="shared" si="391"/>
        <v>0</v>
      </c>
      <c r="AL210" t="b">
        <f t="shared" si="392"/>
        <v>0</v>
      </c>
      <c r="AM210" t="b">
        <f t="shared" si="393"/>
        <v>0</v>
      </c>
      <c r="AN210" t="b">
        <f t="shared" si="394"/>
        <v>0</v>
      </c>
      <c r="AO210" t="b">
        <f t="shared" si="395"/>
        <v>0</v>
      </c>
      <c r="AP210" t="b">
        <f t="shared" si="396"/>
        <v>0</v>
      </c>
      <c r="AQ210" t="b">
        <f t="shared" si="397"/>
        <v>0</v>
      </c>
      <c r="AR210" t="b">
        <f t="shared" si="398"/>
        <v>0</v>
      </c>
      <c r="AS210" t="b">
        <f t="shared" si="399"/>
        <v>0</v>
      </c>
      <c r="AT210" t="b">
        <f t="shared" si="400"/>
        <v>0</v>
      </c>
      <c r="AU210" t="b">
        <f t="shared" si="401"/>
        <v>0</v>
      </c>
      <c r="AV210" t="b">
        <f t="shared" si="402"/>
        <v>0</v>
      </c>
      <c r="AW210" t="b">
        <f t="shared" si="403"/>
        <v>0</v>
      </c>
      <c r="AX210" t="b">
        <f t="shared" si="405"/>
        <v>0</v>
      </c>
      <c r="AY210" t="b">
        <f t="shared" si="406"/>
        <v>0</v>
      </c>
      <c r="AZ210" t="b">
        <f t="shared" si="407"/>
        <v>0</v>
      </c>
      <c r="BA210" t="b">
        <f t="shared" si="408"/>
        <v>0</v>
      </c>
      <c r="BB210" t="b">
        <f t="shared" si="409"/>
        <v>0</v>
      </c>
      <c r="BC210" t="b">
        <f t="shared" si="410"/>
        <v>0</v>
      </c>
      <c r="BD210" t="b">
        <f t="shared" si="411"/>
        <v>0</v>
      </c>
      <c r="BE210" t="b">
        <f t="shared" si="412"/>
        <v>0</v>
      </c>
      <c r="BF210" t="b">
        <f t="shared" si="413"/>
        <v>0</v>
      </c>
      <c r="BG210" t="b">
        <f t="shared" si="414"/>
        <v>0</v>
      </c>
      <c r="BH210" t="b">
        <f t="shared" si="415"/>
        <v>0</v>
      </c>
      <c r="BI210">
        <f t="shared" si="416"/>
        <v>1</v>
      </c>
      <c r="BJ210">
        <f t="shared" si="417"/>
        <v>1</v>
      </c>
      <c r="BK210" t="b">
        <f t="shared" si="418"/>
        <v>0</v>
      </c>
      <c r="BL210" t="b">
        <f t="shared" si="419"/>
        <v>0</v>
      </c>
      <c r="BM210" t="b">
        <f t="shared" si="420"/>
        <v>0</v>
      </c>
      <c r="BN210" t="b">
        <f t="shared" si="421"/>
        <v>0</v>
      </c>
      <c r="BO210" t="b">
        <f t="shared" si="422"/>
        <v>0</v>
      </c>
      <c r="BP210" t="b">
        <f t="shared" si="423"/>
        <v>0</v>
      </c>
      <c r="BQ210" t="b">
        <f t="shared" si="424"/>
        <v>0</v>
      </c>
      <c r="BR210" t="b">
        <f t="shared" si="425"/>
        <v>0</v>
      </c>
      <c r="BS210" t="b">
        <f t="shared" si="426"/>
        <v>0</v>
      </c>
      <c r="BT210" t="b">
        <f t="shared" si="427"/>
        <v>0</v>
      </c>
      <c r="BU210" t="b">
        <f t="shared" si="428"/>
        <v>0</v>
      </c>
      <c r="BV210" t="b">
        <f t="shared" si="429"/>
        <v>0</v>
      </c>
      <c r="BW210" t="b">
        <f t="shared" si="430"/>
        <v>0</v>
      </c>
      <c r="BX210" t="b">
        <f t="shared" si="431"/>
        <v>0</v>
      </c>
      <c r="BY210" t="b">
        <f t="shared" si="432"/>
        <v>0</v>
      </c>
      <c r="BZ210" t="b">
        <f t="shared" si="433"/>
        <v>0</v>
      </c>
      <c r="CA210" t="b">
        <f t="shared" si="434"/>
        <v>0</v>
      </c>
      <c r="CB210" t="b">
        <f t="shared" si="435"/>
        <v>0</v>
      </c>
      <c r="CC210" t="b">
        <f t="shared" si="436"/>
        <v>0</v>
      </c>
      <c r="CD210" t="b">
        <f t="shared" si="437"/>
        <v>0</v>
      </c>
      <c r="CE210" t="b">
        <f t="shared" si="438"/>
        <v>0</v>
      </c>
      <c r="CF210" t="b">
        <f t="shared" si="439"/>
        <v>0</v>
      </c>
      <c r="CG210" t="b">
        <f t="shared" si="440"/>
        <v>0</v>
      </c>
      <c r="CH210" t="b">
        <f t="shared" si="441"/>
        <v>0</v>
      </c>
      <c r="CI210" t="b">
        <f t="shared" si="442"/>
        <v>0</v>
      </c>
      <c r="CJ210" t="b">
        <f t="shared" si="443"/>
        <v>0</v>
      </c>
      <c r="CK210" t="b">
        <f t="shared" si="444"/>
        <v>0</v>
      </c>
      <c r="CL210" t="b">
        <f t="shared" si="445"/>
        <v>0</v>
      </c>
      <c r="CM210" t="b">
        <f t="shared" si="446"/>
        <v>0</v>
      </c>
      <c r="CN210" t="b">
        <f t="shared" si="447"/>
        <v>0</v>
      </c>
      <c r="CO210" t="b">
        <f t="shared" si="448"/>
        <v>0</v>
      </c>
      <c r="CP210" t="b">
        <f t="shared" si="449"/>
        <v>0</v>
      </c>
      <c r="CQ210" t="b">
        <f t="shared" si="450"/>
        <v>0</v>
      </c>
      <c r="CR210" t="b">
        <f t="shared" si="451"/>
        <v>0</v>
      </c>
      <c r="CS210" t="b">
        <f t="shared" si="452"/>
        <v>0</v>
      </c>
      <c r="CT210" t="b">
        <f t="shared" si="453"/>
        <v>0</v>
      </c>
      <c r="CU210" t="b">
        <f t="shared" si="454"/>
        <v>0</v>
      </c>
      <c r="CV210" t="b">
        <f t="shared" si="455"/>
        <v>0</v>
      </c>
      <c r="CW210" t="b">
        <f t="shared" si="456"/>
        <v>0</v>
      </c>
      <c r="CX210" t="b">
        <f t="shared" si="457"/>
        <v>0</v>
      </c>
      <c r="CY210" t="b">
        <f t="shared" si="458"/>
        <v>0</v>
      </c>
      <c r="CZ210" t="b">
        <f t="shared" si="459"/>
        <v>0</v>
      </c>
      <c r="DA210">
        <f t="shared" si="460"/>
        <v>1</v>
      </c>
      <c r="DB210">
        <f t="shared" si="461"/>
        <v>1</v>
      </c>
      <c r="DC210" t="b">
        <f t="shared" si="462"/>
        <v>0</v>
      </c>
      <c r="DD210" t="b">
        <f t="shared" si="463"/>
        <v>0</v>
      </c>
      <c r="DE210" t="b">
        <f t="shared" si="464"/>
        <v>0</v>
      </c>
      <c r="DF210" t="b">
        <f t="shared" si="465"/>
        <v>0</v>
      </c>
      <c r="DG210" t="b">
        <f t="shared" si="466"/>
        <v>0</v>
      </c>
      <c r="DH210" t="b">
        <f t="shared" si="467"/>
        <v>0</v>
      </c>
      <c r="DI210" t="b">
        <f t="shared" si="468"/>
        <v>0</v>
      </c>
      <c r="DJ210" t="b">
        <f t="shared" si="469"/>
        <v>0</v>
      </c>
      <c r="DK210" t="b">
        <f t="shared" si="470"/>
        <v>0</v>
      </c>
      <c r="DL210" t="b">
        <f t="shared" si="471"/>
        <v>0</v>
      </c>
      <c r="DM210" t="b">
        <f t="shared" si="472"/>
        <v>0</v>
      </c>
      <c r="DN210" t="b">
        <f t="shared" si="473"/>
        <v>0</v>
      </c>
      <c r="DO210" t="b">
        <f t="shared" si="474"/>
        <v>0</v>
      </c>
      <c r="DP210" t="b">
        <f t="shared" si="475"/>
        <v>0</v>
      </c>
      <c r="DQ210" t="b">
        <f t="shared" si="476"/>
        <v>0</v>
      </c>
      <c r="DR210" t="b">
        <f t="shared" si="477"/>
        <v>0</v>
      </c>
      <c r="DS210" t="b">
        <f t="shared" si="478"/>
        <v>0</v>
      </c>
      <c r="DT210" t="b">
        <f t="shared" si="479"/>
        <v>0</v>
      </c>
      <c r="DU210" t="b">
        <f t="shared" si="480"/>
        <v>0</v>
      </c>
      <c r="DV210" t="b">
        <f t="shared" si="481"/>
        <v>0</v>
      </c>
      <c r="DW210" t="b">
        <f t="shared" si="482"/>
        <v>0</v>
      </c>
      <c r="DX210" t="b">
        <f t="shared" si="483"/>
        <v>0</v>
      </c>
      <c r="DY210" t="b">
        <f t="shared" si="484"/>
        <v>0</v>
      </c>
      <c r="DZ210" t="b">
        <f t="shared" si="485"/>
        <v>0</v>
      </c>
      <c r="EA210" t="b">
        <f t="shared" si="486"/>
        <v>0</v>
      </c>
      <c r="EB210" t="b">
        <f t="shared" si="487"/>
        <v>0</v>
      </c>
      <c r="EC210" t="b">
        <f t="shared" si="488"/>
        <v>0</v>
      </c>
      <c r="ED210" t="b">
        <f t="shared" si="489"/>
        <v>0</v>
      </c>
      <c r="EE210" t="b">
        <f t="shared" si="490"/>
        <v>0</v>
      </c>
      <c r="EF210" t="b">
        <f t="shared" si="491"/>
        <v>0</v>
      </c>
      <c r="EG210" t="b">
        <f t="shared" si="492"/>
        <v>0</v>
      </c>
      <c r="EH210" t="b">
        <f t="shared" si="493"/>
        <v>0</v>
      </c>
      <c r="EI210" t="b">
        <f t="shared" si="494"/>
        <v>0</v>
      </c>
      <c r="EJ210" t="b">
        <f t="shared" si="495"/>
        <v>0</v>
      </c>
      <c r="EK210" t="b">
        <f t="shared" si="496"/>
        <v>0</v>
      </c>
    </row>
    <row r="211" spans="1:141">
      <c r="A211" t="s">
        <v>1151</v>
      </c>
      <c r="B211" t="s">
        <v>1151</v>
      </c>
      <c r="C211" t="s">
        <v>1152</v>
      </c>
      <c r="D211" s="1">
        <v>44112</v>
      </c>
      <c r="E211" s="2">
        <v>44758.415138888886</v>
      </c>
      <c r="F211" s="2">
        <v>44758.415138888886</v>
      </c>
      <c r="G211">
        <v>535240</v>
      </c>
      <c r="H211" t="s">
        <v>1153</v>
      </c>
      <c r="I211" s="10" t="s">
        <v>1154</v>
      </c>
      <c r="J211" t="s">
        <v>1155</v>
      </c>
      <c r="K211" s="8" t="b">
        <v>1</v>
      </c>
      <c r="L211" s="10" t="b">
        <v>0</v>
      </c>
      <c r="M211" s="12" t="b">
        <v>0</v>
      </c>
      <c r="N211" t="b">
        <v>0</v>
      </c>
      <c r="O211" t="b">
        <v>0</v>
      </c>
      <c r="P211" t="b">
        <v>0</v>
      </c>
      <c r="Q211">
        <f t="shared" si="373"/>
        <v>5</v>
      </c>
      <c r="R211">
        <f t="shared" si="374"/>
        <v>10</v>
      </c>
      <c r="S211" t="e">
        <f t="shared" ca="1" si="404"/>
        <v>#NAME?</v>
      </c>
      <c r="T211" t="e">
        <f t="shared" ca="1" si="375"/>
        <v>#NAME?</v>
      </c>
      <c r="U211" s="4">
        <f t="shared" si="376"/>
        <v>646.41513888888585</v>
      </c>
      <c r="V211" s="4">
        <f t="shared" si="377"/>
        <v>21.547171296296195</v>
      </c>
      <c r="W211" s="4">
        <f t="shared" si="378"/>
        <v>1</v>
      </c>
      <c r="X211" s="4">
        <f t="shared" si="379"/>
        <v>0</v>
      </c>
      <c r="Y211" s="4">
        <f t="shared" si="380"/>
        <v>0</v>
      </c>
      <c r="Z211" s="4">
        <f t="shared" si="381"/>
        <v>0</v>
      </c>
      <c r="AA211" s="4">
        <f t="shared" si="382"/>
        <v>0</v>
      </c>
      <c r="AB211" s="4">
        <f t="shared" si="383"/>
        <v>0</v>
      </c>
      <c r="AC211" s="4"/>
      <c r="AD211" s="4" t="b">
        <f t="shared" si="384"/>
        <v>0</v>
      </c>
      <c r="AE211" s="4" t="b">
        <f t="shared" si="385"/>
        <v>0</v>
      </c>
      <c r="AF211" s="4" t="b">
        <f t="shared" si="386"/>
        <v>0</v>
      </c>
      <c r="AG211" t="b">
        <f t="shared" si="387"/>
        <v>0</v>
      </c>
      <c r="AH211" t="b">
        <f t="shared" si="388"/>
        <v>0</v>
      </c>
      <c r="AI211" t="b">
        <f t="shared" si="389"/>
        <v>0</v>
      </c>
      <c r="AJ211" t="b">
        <f t="shared" si="390"/>
        <v>0</v>
      </c>
      <c r="AK211" t="b">
        <f t="shared" si="391"/>
        <v>0</v>
      </c>
      <c r="AL211" t="b">
        <f t="shared" si="392"/>
        <v>0</v>
      </c>
      <c r="AM211" t="b">
        <f t="shared" si="393"/>
        <v>0</v>
      </c>
      <c r="AN211" t="b">
        <f t="shared" si="394"/>
        <v>0</v>
      </c>
      <c r="AO211" t="b">
        <f t="shared" si="395"/>
        <v>0</v>
      </c>
      <c r="AP211" t="b">
        <f t="shared" si="396"/>
        <v>0</v>
      </c>
      <c r="AQ211" t="b">
        <f t="shared" si="397"/>
        <v>0</v>
      </c>
      <c r="AR211" t="b">
        <f t="shared" si="398"/>
        <v>0</v>
      </c>
      <c r="AS211" t="b">
        <f t="shared" si="399"/>
        <v>0</v>
      </c>
      <c r="AT211" t="b">
        <f t="shared" si="400"/>
        <v>0</v>
      </c>
      <c r="AU211" t="b">
        <f t="shared" si="401"/>
        <v>0</v>
      </c>
      <c r="AV211" t="b">
        <f t="shared" si="402"/>
        <v>0</v>
      </c>
      <c r="AW211" t="b">
        <f t="shared" si="403"/>
        <v>0</v>
      </c>
      <c r="AX211" t="b">
        <f t="shared" si="405"/>
        <v>0</v>
      </c>
      <c r="AY211" t="b">
        <f t="shared" si="406"/>
        <v>0</v>
      </c>
      <c r="AZ211">
        <f t="shared" si="407"/>
        <v>1</v>
      </c>
      <c r="BA211" t="b">
        <f t="shared" si="408"/>
        <v>0</v>
      </c>
      <c r="BB211" t="b">
        <f t="shared" si="409"/>
        <v>0</v>
      </c>
      <c r="BC211" t="b">
        <f t="shared" si="410"/>
        <v>0</v>
      </c>
      <c r="BD211" t="b">
        <f t="shared" si="411"/>
        <v>0</v>
      </c>
      <c r="BE211" t="b">
        <f t="shared" si="412"/>
        <v>0</v>
      </c>
      <c r="BF211" t="b">
        <f t="shared" si="413"/>
        <v>0</v>
      </c>
      <c r="BG211" t="b">
        <f t="shared" si="414"/>
        <v>0</v>
      </c>
      <c r="BH211" t="b">
        <f t="shared" si="415"/>
        <v>0</v>
      </c>
      <c r="BI211">
        <f t="shared" si="416"/>
        <v>1</v>
      </c>
      <c r="BJ211" t="b">
        <f t="shared" si="417"/>
        <v>0</v>
      </c>
      <c r="BK211" t="b">
        <f t="shared" si="418"/>
        <v>0</v>
      </c>
      <c r="BL211" t="b">
        <f t="shared" si="419"/>
        <v>0</v>
      </c>
      <c r="BM211" t="b">
        <f t="shared" si="420"/>
        <v>0</v>
      </c>
      <c r="BN211" t="b">
        <f t="shared" si="421"/>
        <v>0</v>
      </c>
      <c r="BO211" t="b">
        <f t="shared" si="422"/>
        <v>0</v>
      </c>
      <c r="BP211" t="b">
        <f t="shared" si="423"/>
        <v>0</v>
      </c>
      <c r="BQ211" t="b">
        <f t="shared" si="424"/>
        <v>0</v>
      </c>
      <c r="BR211">
        <f t="shared" si="425"/>
        <v>1</v>
      </c>
      <c r="BS211" t="b">
        <f t="shared" si="426"/>
        <v>0</v>
      </c>
      <c r="BT211" t="b">
        <f t="shared" si="427"/>
        <v>0</v>
      </c>
      <c r="BU211" t="b">
        <f t="shared" si="428"/>
        <v>0</v>
      </c>
      <c r="BV211" t="b">
        <f t="shared" si="429"/>
        <v>0</v>
      </c>
      <c r="BW211" t="b">
        <f t="shared" si="430"/>
        <v>0</v>
      </c>
      <c r="BX211" t="b">
        <f t="shared" si="431"/>
        <v>0</v>
      </c>
      <c r="BY211" t="b">
        <f t="shared" si="432"/>
        <v>0</v>
      </c>
      <c r="BZ211" t="b">
        <f t="shared" si="433"/>
        <v>0</v>
      </c>
      <c r="CA211" t="b">
        <f t="shared" si="434"/>
        <v>0</v>
      </c>
      <c r="CB211" t="b">
        <f t="shared" si="435"/>
        <v>0</v>
      </c>
      <c r="CC211" t="b">
        <f t="shared" si="436"/>
        <v>0</v>
      </c>
      <c r="CD211" t="b">
        <f t="shared" si="437"/>
        <v>0</v>
      </c>
      <c r="CE211" t="b">
        <f t="shared" si="438"/>
        <v>0</v>
      </c>
      <c r="CF211" t="b">
        <f t="shared" si="439"/>
        <v>0</v>
      </c>
      <c r="CG211" t="b">
        <f t="shared" si="440"/>
        <v>0</v>
      </c>
      <c r="CH211" t="b">
        <f t="shared" si="441"/>
        <v>0</v>
      </c>
      <c r="CI211" t="b">
        <f t="shared" si="442"/>
        <v>0</v>
      </c>
      <c r="CJ211" t="b">
        <f t="shared" si="443"/>
        <v>0</v>
      </c>
      <c r="CK211" t="b">
        <f t="shared" si="444"/>
        <v>0</v>
      </c>
      <c r="CL211" t="b">
        <f t="shared" si="445"/>
        <v>0</v>
      </c>
      <c r="CM211">
        <f t="shared" si="446"/>
        <v>1</v>
      </c>
      <c r="CN211" t="b">
        <f t="shared" si="447"/>
        <v>0</v>
      </c>
      <c r="CO211" t="b">
        <f t="shared" si="448"/>
        <v>0</v>
      </c>
      <c r="CP211" t="b">
        <f t="shared" si="449"/>
        <v>0</v>
      </c>
      <c r="CQ211" t="b">
        <f t="shared" si="450"/>
        <v>0</v>
      </c>
      <c r="CR211" t="b">
        <f t="shared" si="451"/>
        <v>0</v>
      </c>
      <c r="CS211" t="b">
        <f t="shared" si="452"/>
        <v>0</v>
      </c>
      <c r="CT211" t="b">
        <f t="shared" si="453"/>
        <v>0</v>
      </c>
      <c r="CU211" t="b">
        <f t="shared" si="454"/>
        <v>0</v>
      </c>
      <c r="CV211">
        <f t="shared" si="455"/>
        <v>1</v>
      </c>
      <c r="CW211" t="b">
        <f t="shared" si="456"/>
        <v>0</v>
      </c>
      <c r="CX211" t="b">
        <f t="shared" si="457"/>
        <v>0</v>
      </c>
      <c r="CY211" t="b">
        <f t="shared" si="458"/>
        <v>0</v>
      </c>
      <c r="CZ211" t="b">
        <f t="shared" si="459"/>
        <v>0</v>
      </c>
      <c r="DA211" t="b">
        <f t="shared" si="460"/>
        <v>0</v>
      </c>
      <c r="DB211" t="b">
        <f t="shared" si="461"/>
        <v>0</v>
      </c>
      <c r="DC211" t="b">
        <f t="shared" si="462"/>
        <v>0</v>
      </c>
      <c r="DD211" t="b">
        <f t="shared" si="463"/>
        <v>0</v>
      </c>
      <c r="DE211" t="b">
        <f t="shared" si="464"/>
        <v>0</v>
      </c>
      <c r="DF211" t="b">
        <f t="shared" si="465"/>
        <v>0</v>
      </c>
      <c r="DG211" t="b">
        <f t="shared" si="466"/>
        <v>0</v>
      </c>
      <c r="DH211" t="b">
        <f t="shared" si="467"/>
        <v>0</v>
      </c>
      <c r="DI211" t="b">
        <f t="shared" si="468"/>
        <v>0</v>
      </c>
      <c r="DJ211" t="b">
        <f t="shared" si="469"/>
        <v>0</v>
      </c>
      <c r="DK211" t="b">
        <f t="shared" si="470"/>
        <v>0</v>
      </c>
      <c r="DL211" t="b">
        <f t="shared" si="471"/>
        <v>0</v>
      </c>
      <c r="DM211" t="b">
        <f t="shared" si="472"/>
        <v>0</v>
      </c>
      <c r="DN211" t="b">
        <f t="shared" si="473"/>
        <v>0</v>
      </c>
      <c r="DO211" t="b">
        <f t="shared" si="474"/>
        <v>0</v>
      </c>
      <c r="DP211" t="b">
        <f t="shared" si="475"/>
        <v>0</v>
      </c>
      <c r="DQ211" t="b">
        <f t="shared" si="476"/>
        <v>0</v>
      </c>
      <c r="DR211" t="b">
        <f t="shared" si="477"/>
        <v>0</v>
      </c>
      <c r="DS211" t="b">
        <f t="shared" si="478"/>
        <v>0</v>
      </c>
      <c r="DT211" t="b">
        <f t="shared" si="479"/>
        <v>0</v>
      </c>
      <c r="DU211" t="b">
        <f t="shared" si="480"/>
        <v>0</v>
      </c>
      <c r="DV211" t="b">
        <f t="shared" si="481"/>
        <v>0</v>
      </c>
      <c r="DW211" t="b">
        <f t="shared" si="482"/>
        <v>0</v>
      </c>
      <c r="DX211" t="b">
        <f t="shared" si="483"/>
        <v>0</v>
      </c>
      <c r="DY211" t="b">
        <f t="shared" si="484"/>
        <v>0</v>
      </c>
      <c r="DZ211" t="b">
        <f t="shared" si="485"/>
        <v>0</v>
      </c>
      <c r="EA211" t="b">
        <f t="shared" si="486"/>
        <v>0</v>
      </c>
      <c r="EB211" t="b">
        <f t="shared" si="487"/>
        <v>0</v>
      </c>
      <c r="EC211" t="b">
        <f t="shared" si="488"/>
        <v>0</v>
      </c>
      <c r="ED211" t="b">
        <f t="shared" si="489"/>
        <v>0</v>
      </c>
      <c r="EE211" t="b">
        <f t="shared" si="490"/>
        <v>0</v>
      </c>
      <c r="EF211" t="b">
        <f t="shared" si="491"/>
        <v>0</v>
      </c>
      <c r="EG211" t="b">
        <f t="shared" si="492"/>
        <v>0</v>
      </c>
      <c r="EH211" t="b">
        <f t="shared" si="493"/>
        <v>0</v>
      </c>
      <c r="EI211" t="b">
        <f t="shared" si="494"/>
        <v>0</v>
      </c>
      <c r="EJ211" t="b">
        <f t="shared" si="495"/>
        <v>0</v>
      </c>
      <c r="EK211" t="b">
        <f t="shared" si="496"/>
        <v>0</v>
      </c>
    </row>
    <row r="212" spans="1:141">
      <c r="A212" t="s">
        <v>1156</v>
      </c>
      <c r="B212" t="s">
        <v>1156</v>
      </c>
      <c r="C212" t="s">
        <v>1157</v>
      </c>
      <c r="D212" s="1">
        <v>44681</v>
      </c>
      <c r="E212" s="2">
        <v>44705.163541666669</v>
      </c>
      <c r="F212" s="2">
        <v>44705.978159722225</v>
      </c>
      <c r="G212">
        <v>112251</v>
      </c>
      <c r="H212" t="s">
        <v>1158</v>
      </c>
      <c r="I212" s="10" t="s">
        <v>1159</v>
      </c>
      <c r="J212" t="s">
        <v>1160</v>
      </c>
      <c r="K212" s="8" t="b">
        <v>1</v>
      </c>
      <c r="L212" s="10" t="b">
        <v>0</v>
      </c>
      <c r="M212" s="12" t="b">
        <v>0</v>
      </c>
      <c r="N212" t="b">
        <v>0</v>
      </c>
      <c r="O212" t="b">
        <v>0</v>
      </c>
      <c r="P212" t="b">
        <v>0</v>
      </c>
      <c r="Q212">
        <f t="shared" si="373"/>
        <v>7</v>
      </c>
      <c r="R212">
        <f t="shared" si="374"/>
        <v>4</v>
      </c>
      <c r="S212" t="e">
        <f t="shared" ca="1" si="404"/>
        <v>#NAME?</v>
      </c>
      <c r="T212" t="e">
        <f t="shared" ca="1" si="375"/>
        <v>#NAME?</v>
      </c>
      <c r="U212" s="4">
        <f t="shared" si="376"/>
        <v>24.163541666668607</v>
      </c>
      <c r="V212" s="4">
        <f t="shared" si="377"/>
        <v>0.80545138888895351</v>
      </c>
      <c r="W212" s="4">
        <f t="shared" si="378"/>
        <v>1</v>
      </c>
      <c r="X212" s="4">
        <f t="shared" si="379"/>
        <v>0</v>
      </c>
      <c r="Y212" s="4">
        <f t="shared" si="380"/>
        <v>0</v>
      </c>
      <c r="Z212" s="4">
        <f t="shared" si="381"/>
        <v>0</v>
      </c>
      <c r="AA212" s="4">
        <f t="shared" si="382"/>
        <v>0</v>
      </c>
      <c r="AB212" s="4">
        <f t="shared" si="383"/>
        <v>0</v>
      </c>
      <c r="AC212" s="4"/>
      <c r="AD212" s="4" t="b">
        <f t="shared" si="384"/>
        <v>0</v>
      </c>
      <c r="AE212" s="4" t="b">
        <f t="shared" si="385"/>
        <v>0</v>
      </c>
      <c r="AF212" s="4" t="b">
        <f t="shared" si="386"/>
        <v>0</v>
      </c>
      <c r="AG212" t="b">
        <f t="shared" si="387"/>
        <v>0</v>
      </c>
      <c r="AH212" t="b">
        <f t="shared" si="388"/>
        <v>0</v>
      </c>
      <c r="AI212" t="b">
        <f t="shared" si="389"/>
        <v>0</v>
      </c>
      <c r="AJ212" t="b">
        <f t="shared" si="390"/>
        <v>0</v>
      </c>
      <c r="AK212" t="b">
        <f t="shared" si="391"/>
        <v>0</v>
      </c>
      <c r="AL212" t="b">
        <f t="shared" si="392"/>
        <v>0</v>
      </c>
      <c r="AM212" t="b">
        <f t="shared" si="393"/>
        <v>0</v>
      </c>
      <c r="AN212" t="b">
        <f t="shared" si="394"/>
        <v>0</v>
      </c>
      <c r="AO212" t="b">
        <f t="shared" si="395"/>
        <v>0</v>
      </c>
      <c r="AP212" t="b">
        <f t="shared" si="396"/>
        <v>0</v>
      </c>
      <c r="AQ212" t="b">
        <f t="shared" si="397"/>
        <v>0</v>
      </c>
      <c r="AR212" t="b">
        <f t="shared" si="398"/>
        <v>0</v>
      </c>
      <c r="AS212" t="b">
        <f t="shared" si="399"/>
        <v>0</v>
      </c>
      <c r="AT212" t="b">
        <f t="shared" si="400"/>
        <v>0</v>
      </c>
      <c r="AU212" t="b">
        <f t="shared" si="401"/>
        <v>0</v>
      </c>
      <c r="AV212" t="b">
        <f t="shared" si="402"/>
        <v>0</v>
      </c>
      <c r="AW212" t="b">
        <f t="shared" si="403"/>
        <v>0</v>
      </c>
      <c r="AX212" t="b">
        <f t="shared" si="405"/>
        <v>0</v>
      </c>
      <c r="AY212" t="b">
        <f t="shared" si="406"/>
        <v>0</v>
      </c>
      <c r="AZ212" t="b">
        <f t="shared" si="407"/>
        <v>0</v>
      </c>
      <c r="BA212" t="b">
        <f t="shared" si="408"/>
        <v>0</v>
      </c>
      <c r="BB212" t="b">
        <f t="shared" si="409"/>
        <v>0</v>
      </c>
      <c r="BC212" t="b">
        <f t="shared" si="410"/>
        <v>0</v>
      </c>
      <c r="BD212" t="b">
        <f t="shared" si="411"/>
        <v>0</v>
      </c>
      <c r="BE212" t="b">
        <f t="shared" si="412"/>
        <v>0</v>
      </c>
      <c r="BF212" t="b">
        <f t="shared" si="413"/>
        <v>0</v>
      </c>
      <c r="BG212" t="b">
        <f t="shared" si="414"/>
        <v>0</v>
      </c>
      <c r="BH212" t="b">
        <f t="shared" si="415"/>
        <v>0</v>
      </c>
      <c r="BI212">
        <f t="shared" si="416"/>
        <v>1</v>
      </c>
      <c r="BJ212" t="b">
        <f t="shared" si="417"/>
        <v>0</v>
      </c>
      <c r="BK212" t="b">
        <f t="shared" si="418"/>
        <v>0</v>
      </c>
      <c r="BL212" t="b">
        <f t="shared" si="419"/>
        <v>0</v>
      </c>
      <c r="BM212" t="b">
        <f t="shared" si="420"/>
        <v>0</v>
      </c>
      <c r="BN212" t="b">
        <f t="shared" si="421"/>
        <v>0</v>
      </c>
      <c r="BO212" t="b">
        <f t="shared" si="422"/>
        <v>0</v>
      </c>
      <c r="BP212" t="b">
        <f t="shared" si="423"/>
        <v>0</v>
      </c>
      <c r="BQ212" t="b">
        <f t="shared" si="424"/>
        <v>0</v>
      </c>
      <c r="BR212">
        <f t="shared" si="425"/>
        <v>1</v>
      </c>
      <c r="BS212" t="b">
        <f t="shared" si="426"/>
        <v>0</v>
      </c>
      <c r="BT212" t="b">
        <f t="shared" si="427"/>
        <v>0</v>
      </c>
      <c r="BU212" t="b">
        <f t="shared" si="428"/>
        <v>0</v>
      </c>
      <c r="BV212" t="b">
        <f t="shared" si="429"/>
        <v>0</v>
      </c>
      <c r="BW212" t="b">
        <f t="shared" si="430"/>
        <v>0</v>
      </c>
      <c r="BX212" t="b">
        <f t="shared" si="431"/>
        <v>0</v>
      </c>
      <c r="BY212" t="b">
        <f t="shared" si="432"/>
        <v>0</v>
      </c>
      <c r="BZ212" t="b">
        <f t="shared" si="433"/>
        <v>0</v>
      </c>
      <c r="CA212" t="b">
        <f t="shared" si="434"/>
        <v>0</v>
      </c>
      <c r="CB212" t="b">
        <f t="shared" si="435"/>
        <v>0</v>
      </c>
      <c r="CC212" t="b">
        <f t="shared" si="436"/>
        <v>0</v>
      </c>
      <c r="CD212" t="b">
        <f t="shared" si="437"/>
        <v>0</v>
      </c>
      <c r="CE212" t="b">
        <f t="shared" si="438"/>
        <v>0</v>
      </c>
      <c r="CF212" t="b">
        <f t="shared" si="439"/>
        <v>0</v>
      </c>
      <c r="CG212" t="b">
        <f t="shared" si="440"/>
        <v>0</v>
      </c>
      <c r="CH212" t="b">
        <f t="shared" si="441"/>
        <v>0</v>
      </c>
      <c r="CI212" t="b">
        <f t="shared" si="442"/>
        <v>0</v>
      </c>
      <c r="CJ212" t="b">
        <f t="shared" si="443"/>
        <v>0</v>
      </c>
      <c r="CK212" t="b">
        <f t="shared" si="444"/>
        <v>0</v>
      </c>
      <c r="CL212" t="b">
        <f t="shared" si="445"/>
        <v>0</v>
      </c>
      <c r="CM212">
        <f t="shared" si="446"/>
        <v>1</v>
      </c>
      <c r="CN212" t="b">
        <f t="shared" si="447"/>
        <v>0</v>
      </c>
      <c r="CO212" t="b">
        <f t="shared" si="448"/>
        <v>0</v>
      </c>
      <c r="CP212" t="b">
        <f t="shared" si="449"/>
        <v>0</v>
      </c>
      <c r="CQ212" t="b">
        <f t="shared" si="450"/>
        <v>0</v>
      </c>
      <c r="CR212" t="b">
        <f t="shared" si="451"/>
        <v>0</v>
      </c>
      <c r="CS212" t="b">
        <f t="shared" si="452"/>
        <v>0</v>
      </c>
      <c r="CT212" t="b">
        <f t="shared" si="453"/>
        <v>0</v>
      </c>
      <c r="CU212" t="b">
        <f t="shared" si="454"/>
        <v>0</v>
      </c>
      <c r="CV212">
        <f t="shared" si="455"/>
        <v>1</v>
      </c>
      <c r="CW212" t="b">
        <f t="shared" si="456"/>
        <v>0</v>
      </c>
      <c r="CX212" t="b">
        <f t="shared" si="457"/>
        <v>0</v>
      </c>
      <c r="CY212" t="b">
        <f t="shared" si="458"/>
        <v>0</v>
      </c>
      <c r="CZ212" t="b">
        <f t="shared" si="459"/>
        <v>0</v>
      </c>
      <c r="DA212">
        <f t="shared" si="460"/>
        <v>1</v>
      </c>
      <c r="DB212">
        <f t="shared" si="461"/>
        <v>1</v>
      </c>
      <c r="DC212" t="b">
        <f t="shared" si="462"/>
        <v>0</v>
      </c>
      <c r="DD212" t="b">
        <f t="shared" si="463"/>
        <v>0</v>
      </c>
      <c r="DE212" t="b">
        <f t="shared" si="464"/>
        <v>0</v>
      </c>
      <c r="DF212" t="b">
        <f t="shared" si="465"/>
        <v>0</v>
      </c>
      <c r="DG212" t="b">
        <f t="shared" si="466"/>
        <v>0</v>
      </c>
      <c r="DH212" t="b">
        <f t="shared" si="467"/>
        <v>0</v>
      </c>
      <c r="DI212" t="b">
        <f t="shared" si="468"/>
        <v>0</v>
      </c>
      <c r="DJ212">
        <f t="shared" si="469"/>
        <v>1</v>
      </c>
      <c r="DK212" t="b">
        <f t="shared" si="470"/>
        <v>0</v>
      </c>
      <c r="DL212" t="b">
        <f t="shared" si="471"/>
        <v>0</v>
      </c>
      <c r="DM212" t="b">
        <f t="shared" si="472"/>
        <v>0</v>
      </c>
      <c r="DN212" t="b">
        <f t="shared" si="473"/>
        <v>0</v>
      </c>
      <c r="DO212" t="b">
        <f t="shared" si="474"/>
        <v>0</v>
      </c>
      <c r="DP212" t="b">
        <f t="shared" si="475"/>
        <v>0</v>
      </c>
      <c r="DQ212" t="b">
        <f t="shared" si="476"/>
        <v>0</v>
      </c>
      <c r="DR212" t="b">
        <f t="shared" si="477"/>
        <v>0</v>
      </c>
      <c r="DS212" t="b">
        <f t="shared" si="478"/>
        <v>0</v>
      </c>
      <c r="DT212" t="b">
        <f t="shared" si="479"/>
        <v>0</v>
      </c>
      <c r="DU212" t="b">
        <f t="shared" si="480"/>
        <v>0</v>
      </c>
      <c r="DV212" t="b">
        <f t="shared" si="481"/>
        <v>0</v>
      </c>
      <c r="DW212" t="b">
        <f t="shared" si="482"/>
        <v>0</v>
      </c>
      <c r="DX212" t="b">
        <f t="shared" si="483"/>
        <v>0</v>
      </c>
      <c r="DY212">
        <f t="shared" si="484"/>
        <v>1</v>
      </c>
      <c r="DZ212" t="b">
        <f t="shared" si="485"/>
        <v>0</v>
      </c>
      <c r="EA212" t="b">
        <f t="shared" si="486"/>
        <v>0</v>
      </c>
      <c r="EB212" t="b">
        <f t="shared" si="487"/>
        <v>0</v>
      </c>
      <c r="EC212" t="b">
        <f t="shared" si="488"/>
        <v>0</v>
      </c>
      <c r="ED212" t="b">
        <f t="shared" si="489"/>
        <v>0</v>
      </c>
      <c r="EE212" t="b">
        <f t="shared" si="490"/>
        <v>0</v>
      </c>
      <c r="EF212" t="b">
        <f t="shared" si="491"/>
        <v>0</v>
      </c>
      <c r="EG212" t="b">
        <f t="shared" si="492"/>
        <v>0</v>
      </c>
      <c r="EH212" t="b">
        <f t="shared" si="493"/>
        <v>0</v>
      </c>
      <c r="EI212" t="b">
        <f t="shared" si="494"/>
        <v>0</v>
      </c>
      <c r="EJ212" t="b">
        <f t="shared" si="495"/>
        <v>0</v>
      </c>
      <c r="EK212" t="b">
        <f t="shared" si="496"/>
        <v>0</v>
      </c>
    </row>
    <row r="213" spans="1:141">
      <c r="A213" t="s">
        <v>1161</v>
      </c>
      <c r="B213" t="s">
        <v>1162</v>
      </c>
      <c r="C213" t="s">
        <v>1163</v>
      </c>
      <c r="D213" s="1">
        <v>44471</v>
      </c>
      <c r="E213" s="2">
        <v>44476.272881944446</v>
      </c>
      <c r="F213" s="2">
        <v>44476.272881944446</v>
      </c>
      <c r="G213">
        <v>66479</v>
      </c>
      <c r="H213" t="s">
        <v>1164</v>
      </c>
      <c r="I213" s="10" t="s">
        <v>1165</v>
      </c>
      <c r="J213" t="s">
        <v>1166</v>
      </c>
      <c r="K213" s="8" t="b">
        <v>1</v>
      </c>
      <c r="L213" s="10" t="b">
        <v>0</v>
      </c>
      <c r="M213" s="12" t="b">
        <v>0</v>
      </c>
      <c r="N213" t="b">
        <v>0</v>
      </c>
      <c r="O213" t="b">
        <v>0</v>
      </c>
      <c r="P213" t="b">
        <v>0</v>
      </c>
      <c r="Q213">
        <f t="shared" si="373"/>
        <v>7</v>
      </c>
      <c r="R213">
        <f t="shared" si="374"/>
        <v>10</v>
      </c>
      <c r="S213" t="e">
        <f t="shared" ca="1" si="404"/>
        <v>#NAME?</v>
      </c>
      <c r="T213" t="e">
        <f t="shared" ca="1" si="375"/>
        <v>#NAME?</v>
      </c>
      <c r="U213" s="4">
        <f t="shared" si="376"/>
        <v>5.2728819444455439</v>
      </c>
      <c r="V213" s="4">
        <f t="shared" si="377"/>
        <v>0.17576273148151814</v>
      </c>
      <c r="W213" s="4">
        <f t="shared" si="378"/>
        <v>1</v>
      </c>
      <c r="X213" s="4">
        <f t="shared" si="379"/>
        <v>0</v>
      </c>
      <c r="Y213" s="4">
        <f t="shared" si="380"/>
        <v>0</v>
      </c>
      <c r="Z213" s="4">
        <f t="shared" si="381"/>
        <v>0</v>
      </c>
      <c r="AA213" s="4">
        <f t="shared" si="382"/>
        <v>0</v>
      </c>
      <c r="AB213" s="4">
        <f t="shared" si="383"/>
        <v>0</v>
      </c>
      <c r="AC213" s="4"/>
      <c r="AD213" s="4" t="b">
        <f t="shared" si="384"/>
        <v>0</v>
      </c>
      <c r="AE213" s="4" t="b">
        <f t="shared" si="385"/>
        <v>0</v>
      </c>
      <c r="AF213" s="4" t="b">
        <f t="shared" si="386"/>
        <v>0</v>
      </c>
      <c r="AG213" t="b">
        <f t="shared" si="387"/>
        <v>0</v>
      </c>
      <c r="AH213" t="b">
        <f t="shared" si="388"/>
        <v>0</v>
      </c>
      <c r="AI213" t="b">
        <f t="shared" si="389"/>
        <v>0</v>
      </c>
      <c r="AJ213" t="b">
        <f t="shared" si="390"/>
        <v>0</v>
      </c>
      <c r="AK213" t="b">
        <f t="shared" si="391"/>
        <v>0</v>
      </c>
      <c r="AL213" t="b">
        <f t="shared" si="392"/>
        <v>0</v>
      </c>
      <c r="AM213" t="b">
        <f t="shared" si="393"/>
        <v>0</v>
      </c>
      <c r="AN213" t="b">
        <f t="shared" si="394"/>
        <v>0</v>
      </c>
      <c r="AO213" t="b">
        <f t="shared" si="395"/>
        <v>0</v>
      </c>
      <c r="AP213" t="b">
        <f t="shared" si="396"/>
        <v>0</v>
      </c>
      <c r="AQ213" t="b">
        <f t="shared" si="397"/>
        <v>0</v>
      </c>
      <c r="AR213" t="b">
        <f t="shared" si="398"/>
        <v>0</v>
      </c>
      <c r="AS213" t="b">
        <f t="shared" si="399"/>
        <v>0</v>
      </c>
      <c r="AT213" t="b">
        <f t="shared" si="400"/>
        <v>0</v>
      </c>
      <c r="AU213" t="b">
        <f t="shared" si="401"/>
        <v>0</v>
      </c>
      <c r="AV213" t="b">
        <f t="shared" si="402"/>
        <v>0</v>
      </c>
      <c r="AW213" t="b">
        <f t="shared" si="403"/>
        <v>0</v>
      </c>
      <c r="AX213" t="b">
        <f t="shared" si="405"/>
        <v>0</v>
      </c>
      <c r="AY213" t="b">
        <f t="shared" si="406"/>
        <v>0</v>
      </c>
      <c r="AZ213" t="b">
        <f t="shared" si="407"/>
        <v>0</v>
      </c>
      <c r="BA213" t="b">
        <f t="shared" si="408"/>
        <v>0</v>
      </c>
      <c r="BB213" t="b">
        <f t="shared" si="409"/>
        <v>0</v>
      </c>
      <c r="BC213" t="b">
        <f t="shared" si="410"/>
        <v>0</v>
      </c>
      <c r="BD213" t="b">
        <f t="shared" si="411"/>
        <v>0</v>
      </c>
      <c r="BE213" t="b">
        <f t="shared" si="412"/>
        <v>0</v>
      </c>
      <c r="BF213" t="b">
        <f t="shared" si="413"/>
        <v>0</v>
      </c>
      <c r="BG213" t="b">
        <f t="shared" si="414"/>
        <v>0</v>
      </c>
      <c r="BH213" t="b">
        <f t="shared" si="415"/>
        <v>0</v>
      </c>
      <c r="BI213">
        <f t="shared" si="416"/>
        <v>1</v>
      </c>
      <c r="BJ213" t="b">
        <f t="shared" si="417"/>
        <v>0</v>
      </c>
      <c r="BK213" t="b">
        <f t="shared" si="418"/>
        <v>0</v>
      </c>
      <c r="BL213" t="b">
        <f t="shared" si="419"/>
        <v>0</v>
      </c>
      <c r="BM213" t="b">
        <f t="shared" si="420"/>
        <v>0</v>
      </c>
      <c r="BN213" t="b">
        <f t="shared" si="421"/>
        <v>0</v>
      </c>
      <c r="BO213" t="b">
        <f t="shared" si="422"/>
        <v>0</v>
      </c>
      <c r="BP213" t="b">
        <f t="shared" si="423"/>
        <v>0</v>
      </c>
      <c r="BQ213" t="b">
        <f t="shared" si="424"/>
        <v>0</v>
      </c>
      <c r="BR213" t="b">
        <f t="shared" si="425"/>
        <v>0</v>
      </c>
      <c r="BS213" t="b">
        <f t="shared" si="426"/>
        <v>0</v>
      </c>
      <c r="BT213" t="b">
        <f t="shared" si="427"/>
        <v>0</v>
      </c>
      <c r="BU213" t="b">
        <f t="shared" si="428"/>
        <v>0</v>
      </c>
      <c r="BV213" t="b">
        <f t="shared" si="429"/>
        <v>0</v>
      </c>
      <c r="BW213" t="b">
        <f t="shared" si="430"/>
        <v>0</v>
      </c>
      <c r="BX213" t="b">
        <f t="shared" si="431"/>
        <v>0</v>
      </c>
      <c r="BY213" t="b">
        <f t="shared" si="432"/>
        <v>0</v>
      </c>
      <c r="BZ213" t="b">
        <f t="shared" si="433"/>
        <v>0</v>
      </c>
      <c r="CA213" t="b">
        <f t="shared" si="434"/>
        <v>0</v>
      </c>
      <c r="CB213" t="b">
        <f t="shared" si="435"/>
        <v>0</v>
      </c>
      <c r="CC213" t="b">
        <f t="shared" si="436"/>
        <v>0</v>
      </c>
      <c r="CD213" t="b">
        <f t="shared" si="437"/>
        <v>0</v>
      </c>
      <c r="CE213">
        <f t="shared" si="438"/>
        <v>1</v>
      </c>
      <c r="CF213" t="b">
        <f t="shared" si="439"/>
        <v>0</v>
      </c>
      <c r="CG213" t="b">
        <f t="shared" si="440"/>
        <v>0</v>
      </c>
      <c r="CH213" t="b">
        <f t="shared" si="441"/>
        <v>0</v>
      </c>
      <c r="CI213" t="b">
        <f t="shared" si="442"/>
        <v>0</v>
      </c>
      <c r="CJ213" t="b">
        <f t="shared" si="443"/>
        <v>0</v>
      </c>
      <c r="CK213" t="b">
        <f t="shared" si="444"/>
        <v>0</v>
      </c>
      <c r="CL213" t="b">
        <f t="shared" si="445"/>
        <v>0</v>
      </c>
      <c r="CM213">
        <f t="shared" si="446"/>
        <v>1</v>
      </c>
      <c r="CN213" t="b">
        <f t="shared" si="447"/>
        <v>0</v>
      </c>
      <c r="CO213" t="b">
        <f t="shared" si="448"/>
        <v>0</v>
      </c>
      <c r="CP213" t="b">
        <f t="shared" si="449"/>
        <v>0</v>
      </c>
      <c r="CQ213" t="b">
        <f t="shared" si="450"/>
        <v>0</v>
      </c>
      <c r="CR213" t="b">
        <f t="shared" si="451"/>
        <v>0</v>
      </c>
      <c r="CS213" t="b">
        <f t="shared" si="452"/>
        <v>0</v>
      </c>
      <c r="CT213" t="b">
        <f t="shared" si="453"/>
        <v>0</v>
      </c>
      <c r="CU213" t="b">
        <f t="shared" si="454"/>
        <v>0</v>
      </c>
      <c r="CV213">
        <f t="shared" si="455"/>
        <v>1</v>
      </c>
      <c r="CW213" t="b">
        <f t="shared" si="456"/>
        <v>0</v>
      </c>
      <c r="CX213" t="b">
        <f t="shared" si="457"/>
        <v>0</v>
      </c>
      <c r="CY213" t="b">
        <f t="shared" si="458"/>
        <v>0</v>
      </c>
      <c r="CZ213" t="b">
        <f t="shared" si="459"/>
        <v>0</v>
      </c>
      <c r="DA213" t="b">
        <f t="shared" si="460"/>
        <v>0</v>
      </c>
      <c r="DB213" t="b">
        <f t="shared" si="461"/>
        <v>0</v>
      </c>
      <c r="DC213" t="b">
        <f t="shared" si="462"/>
        <v>0</v>
      </c>
      <c r="DD213" t="b">
        <f t="shared" si="463"/>
        <v>0</v>
      </c>
      <c r="DE213" t="b">
        <f t="shared" si="464"/>
        <v>0</v>
      </c>
      <c r="DF213" t="b">
        <f t="shared" si="465"/>
        <v>0</v>
      </c>
      <c r="DG213" t="b">
        <f t="shared" si="466"/>
        <v>0</v>
      </c>
      <c r="DH213" t="b">
        <f t="shared" si="467"/>
        <v>0</v>
      </c>
      <c r="DI213" t="b">
        <f t="shared" si="468"/>
        <v>0</v>
      </c>
      <c r="DJ213">
        <f t="shared" si="469"/>
        <v>1</v>
      </c>
      <c r="DK213" t="b">
        <f t="shared" si="470"/>
        <v>0</v>
      </c>
      <c r="DL213" t="b">
        <f t="shared" si="471"/>
        <v>0</v>
      </c>
      <c r="DM213" t="b">
        <f t="shared" si="472"/>
        <v>0</v>
      </c>
      <c r="DN213" t="b">
        <f t="shared" si="473"/>
        <v>0</v>
      </c>
      <c r="DO213" t="b">
        <f t="shared" si="474"/>
        <v>0</v>
      </c>
      <c r="DP213" t="b">
        <f t="shared" si="475"/>
        <v>0</v>
      </c>
      <c r="DQ213" t="b">
        <f t="shared" si="476"/>
        <v>0</v>
      </c>
      <c r="DR213" t="b">
        <f t="shared" si="477"/>
        <v>0</v>
      </c>
      <c r="DS213" t="b">
        <f t="shared" si="478"/>
        <v>0</v>
      </c>
      <c r="DT213" t="b">
        <f t="shared" si="479"/>
        <v>0</v>
      </c>
      <c r="DU213" t="b">
        <f t="shared" si="480"/>
        <v>0</v>
      </c>
      <c r="DV213" t="b">
        <f t="shared" si="481"/>
        <v>0</v>
      </c>
      <c r="DW213" t="b">
        <f t="shared" si="482"/>
        <v>0</v>
      </c>
      <c r="DX213" t="b">
        <f t="shared" si="483"/>
        <v>0</v>
      </c>
      <c r="DY213" t="b">
        <f t="shared" si="484"/>
        <v>0</v>
      </c>
      <c r="DZ213" t="b">
        <f t="shared" si="485"/>
        <v>0</v>
      </c>
      <c r="EA213" t="b">
        <f t="shared" si="486"/>
        <v>0</v>
      </c>
      <c r="EB213" t="b">
        <f t="shared" si="487"/>
        <v>0</v>
      </c>
      <c r="EC213" t="b">
        <f t="shared" si="488"/>
        <v>0</v>
      </c>
      <c r="ED213" t="b">
        <f t="shared" si="489"/>
        <v>0</v>
      </c>
      <c r="EE213" t="b">
        <f t="shared" si="490"/>
        <v>0</v>
      </c>
      <c r="EF213">
        <f t="shared" si="491"/>
        <v>1</v>
      </c>
      <c r="EG213" t="b">
        <f t="shared" si="492"/>
        <v>0</v>
      </c>
      <c r="EH213" t="b">
        <f t="shared" si="493"/>
        <v>0</v>
      </c>
      <c r="EI213" t="b">
        <f t="shared" si="494"/>
        <v>0</v>
      </c>
      <c r="EJ213" t="b">
        <f t="shared" si="495"/>
        <v>0</v>
      </c>
      <c r="EK213" t="b">
        <f t="shared" si="496"/>
        <v>0</v>
      </c>
    </row>
    <row r="214" spans="1:141">
      <c r="A214" t="s">
        <v>1167</v>
      </c>
      <c r="B214" t="s">
        <v>1168</v>
      </c>
      <c r="C214" t="s">
        <v>1169</v>
      </c>
      <c r="D214" s="1">
        <v>43290</v>
      </c>
      <c r="E214" s="2">
        <v>43312.34784722222</v>
      </c>
      <c r="F214" s="2">
        <v>43312.34784722222</v>
      </c>
      <c r="G214">
        <v>1279263</v>
      </c>
      <c r="H214" t="s">
        <v>1170</v>
      </c>
      <c r="I214" s="10" t="s">
        <v>1171</v>
      </c>
      <c r="J214" t="s">
        <v>1172</v>
      </c>
      <c r="K214" s="8" t="b">
        <v>1</v>
      </c>
      <c r="L214" s="10" t="b">
        <v>0</v>
      </c>
      <c r="M214" s="12" t="b">
        <v>0</v>
      </c>
      <c r="N214" t="b">
        <v>0</v>
      </c>
      <c r="O214" t="b">
        <v>0</v>
      </c>
      <c r="P214" t="b">
        <v>0</v>
      </c>
      <c r="Q214">
        <f t="shared" si="373"/>
        <v>2</v>
      </c>
      <c r="R214">
        <f t="shared" si="374"/>
        <v>7</v>
      </c>
      <c r="S214" t="e">
        <f t="shared" ca="1" si="404"/>
        <v>#NAME?</v>
      </c>
      <c r="T214" t="e">
        <f t="shared" ca="1" si="375"/>
        <v>#NAME?</v>
      </c>
      <c r="U214" s="4">
        <f t="shared" si="376"/>
        <v>22.347847222219571</v>
      </c>
      <c r="V214" s="4">
        <f t="shared" si="377"/>
        <v>0.74492824074065234</v>
      </c>
      <c r="W214" s="4">
        <f t="shared" si="378"/>
        <v>1</v>
      </c>
      <c r="X214" s="4">
        <f t="shared" si="379"/>
        <v>0</v>
      </c>
      <c r="Y214" s="4">
        <f t="shared" si="380"/>
        <v>0</v>
      </c>
      <c r="Z214" s="4">
        <f t="shared" si="381"/>
        <v>0</v>
      </c>
      <c r="AA214" s="4">
        <f t="shared" si="382"/>
        <v>0</v>
      </c>
      <c r="AB214" s="4">
        <f t="shared" si="383"/>
        <v>0</v>
      </c>
      <c r="AC214" s="4"/>
      <c r="AD214" s="4" t="b">
        <f t="shared" si="384"/>
        <v>0</v>
      </c>
      <c r="AE214" s="4" t="b">
        <f t="shared" si="385"/>
        <v>0</v>
      </c>
      <c r="AF214" s="4" t="b">
        <f t="shared" si="386"/>
        <v>0</v>
      </c>
      <c r="AG214" t="b">
        <f t="shared" si="387"/>
        <v>0</v>
      </c>
      <c r="AH214" t="b">
        <f t="shared" si="388"/>
        <v>0</v>
      </c>
      <c r="AI214" t="b">
        <f t="shared" si="389"/>
        <v>0</v>
      </c>
      <c r="AJ214" t="b">
        <f t="shared" si="390"/>
        <v>0</v>
      </c>
      <c r="AK214" t="b">
        <f t="shared" si="391"/>
        <v>0</v>
      </c>
      <c r="AL214" t="b">
        <f t="shared" si="392"/>
        <v>0</v>
      </c>
      <c r="AM214" t="b">
        <f t="shared" si="393"/>
        <v>0</v>
      </c>
      <c r="AN214" t="b">
        <f t="shared" si="394"/>
        <v>0</v>
      </c>
      <c r="AO214" t="b">
        <f t="shared" si="395"/>
        <v>0</v>
      </c>
      <c r="AP214" t="b">
        <f t="shared" si="396"/>
        <v>0</v>
      </c>
      <c r="AQ214" t="b">
        <f t="shared" si="397"/>
        <v>0</v>
      </c>
      <c r="AR214" t="b">
        <f t="shared" si="398"/>
        <v>0</v>
      </c>
      <c r="AS214" t="b">
        <f t="shared" si="399"/>
        <v>0</v>
      </c>
      <c r="AT214" t="b">
        <f t="shared" si="400"/>
        <v>0</v>
      </c>
      <c r="AU214" t="b">
        <f t="shared" si="401"/>
        <v>0</v>
      </c>
      <c r="AV214" t="b">
        <f t="shared" si="402"/>
        <v>0</v>
      </c>
      <c r="AW214" t="b">
        <f t="shared" si="403"/>
        <v>0</v>
      </c>
      <c r="AX214" t="b">
        <f t="shared" si="405"/>
        <v>0</v>
      </c>
      <c r="AY214" t="b">
        <f t="shared" si="406"/>
        <v>0</v>
      </c>
      <c r="AZ214">
        <f t="shared" si="407"/>
        <v>1</v>
      </c>
      <c r="BA214" t="b">
        <f t="shared" si="408"/>
        <v>0</v>
      </c>
      <c r="BB214" t="b">
        <f t="shared" si="409"/>
        <v>0</v>
      </c>
      <c r="BC214" t="b">
        <f t="shared" si="410"/>
        <v>0</v>
      </c>
      <c r="BD214" t="b">
        <f t="shared" si="411"/>
        <v>0</v>
      </c>
      <c r="BE214" t="b">
        <f t="shared" si="412"/>
        <v>0</v>
      </c>
      <c r="BF214" t="b">
        <f t="shared" si="413"/>
        <v>0</v>
      </c>
      <c r="BG214" t="b">
        <f t="shared" si="414"/>
        <v>0</v>
      </c>
      <c r="BH214" t="b">
        <f t="shared" si="415"/>
        <v>0</v>
      </c>
      <c r="BI214">
        <f t="shared" si="416"/>
        <v>1</v>
      </c>
      <c r="BJ214" t="b">
        <f t="shared" si="417"/>
        <v>0</v>
      </c>
      <c r="BK214" t="b">
        <f t="shared" si="418"/>
        <v>0</v>
      </c>
      <c r="BL214" t="b">
        <f t="shared" si="419"/>
        <v>0</v>
      </c>
      <c r="BM214" t="b">
        <f t="shared" si="420"/>
        <v>0</v>
      </c>
      <c r="BN214" t="b">
        <f t="shared" si="421"/>
        <v>0</v>
      </c>
      <c r="BO214" t="b">
        <f t="shared" si="422"/>
        <v>0</v>
      </c>
      <c r="BP214" t="b">
        <f t="shared" si="423"/>
        <v>0</v>
      </c>
      <c r="BQ214" t="b">
        <f t="shared" si="424"/>
        <v>0</v>
      </c>
      <c r="BR214">
        <f t="shared" si="425"/>
        <v>1</v>
      </c>
      <c r="BS214" t="b">
        <f t="shared" si="426"/>
        <v>0</v>
      </c>
      <c r="BT214" t="b">
        <f t="shared" si="427"/>
        <v>0</v>
      </c>
      <c r="BU214" t="b">
        <f t="shared" si="428"/>
        <v>0</v>
      </c>
      <c r="BV214" t="b">
        <f t="shared" si="429"/>
        <v>0</v>
      </c>
      <c r="BW214" t="b">
        <f t="shared" si="430"/>
        <v>0</v>
      </c>
      <c r="BX214" t="b">
        <f t="shared" si="431"/>
        <v>0</v>
      </c>
      <c r="BY214" t="b">
        <f t="shared" si="432"/>
        <v>0</v>
      </c>
      <c r="BZ214" t="b">
        <f t="shared" si="433"/>
        <v>0</v>
      </c>
      <c r="CA214" t="b">
        <f t="shared" si="434"/>
        <v>0</v>
      </c>
      <c r="CB214" t="b">
        <f t="shared" si="435"/>
        <v>0</v>
      </c>
      <c r="CC214" t="b">
        <f t="shared" si="436"/>
        <v>0</v>
      </c>
      <c r="CD214" t="b">
        <f t="shared" si="437"/>
        <v>0</v>
      </c>
      <c r="CE214">
        <f t="shared" si="438"/>
        <v>1</v>
      </c>
      <c r="CF214" t="b">
        <f t="shared" si="439"/>
        <v>0</v>
      </c>
      <c r="CG214" t="b">
        <f t="shared" si="440"/>
        <v>0</v>
      </c>
      <c r="CH214" t="b">
        <f t="shared" si="441"/>
        <v>0</v>
      </c>
      <c r="CI214" t="b">
        <f t="shared" si="442"/>
        <v>0</v>
      </c>
      <c r="CJ214" t="b">
        <f t="shared" si="443"/>
        <v>0</v>
      </c>
      <c r="CK214" t="b">
        <f t="shared" si="444"/>
        <v>0</v>
      </c>
      <c r="CL214" t="b">
        <f t="shared" si="445"/>
        <v>0</v>
      </c>
      <c r="CM214">
        <f t="shared" si="446"/>
        <v>1</v>
      </c>
      <c r="CN214" t="b">
        <f t="shared" si="447"/>
        <v>0</v>
      </c>
      <c r="CO214" t="b">
        <f t="shared" si="448"/>
        <v>0</v>
      </c>
      <c r="CP214" t="b">
        <f t="shared" si="449"/>
        <v>0</v>
      </c>
      <c r="CQ214" t="b">
        <f t="shared" si="450"/>
        <v>0</v>
      </c>
      <c r="CR214" t="b">
        <f t="shared" si="451"/>
        <v>0</v>
      </c>
      <c r="CS214" t="b">
        <f t="shared" si="452"/>
        <v>0</v>
      </c>
      <c r="CT214" t="b">
        <f t="shared" si="453"/>
        <v>0</v>
      </c>
      <c r="CU214" t="b">
        <f t="shared" si="454"/>
        <v>0</v>
      </c>
      <c r="CV214">
        <f t="shared" si="455"/>
        <v>1</v>
      </c>
      <c r="CW214" t="b">
        <f t="shared" si="456"/>
        <v>0</v>
      </c>
      <c r="CX214" t="b">
        <f t="shared" si="457"/>
        <v>0</v>
      </c>
      <c r="CY214" t="b">
        <f t="shared" si="458"/>
        <v>0</v>
      </c>
      <c r="CZ214" t="b">
        <f t="shared" si="459"/>
        <v>0</v>
      </c>
      <c r="DA214">
        <f t="shared" si="460"/>
        <v>1</v>
      </c>
      <c r="DB214">
        <f t="shared" si="461"/>
        <v>1</v>
      </c>
      <c r="DC214" t="b">
        <f t="shared" si="462"/>
        <v>0</v>
      </c>
      <c r="DD214" t="b">
        <f t="shared" si="463"/>
        <v>0</v>
      </c>
      <c r="DE214" t="b">
        <f t="shared" si="464"/>
        <v>0</v>
      </c>
      <c r="DF214" t="b">
        <f t="shared" si="465"/>
        <v>0</v>
      </c>
      <c r="DG214" t="b">
        <f t="shared" si="466"/>
        <v>0</v>
      </c>
      <c r="DH214" t="b">
        <f t="shared" si="467"/>
        <v>0</v>
      </c>
      <c r="DI214" t="b">
        <f t="shared" si="468"/>
        <v>0</v>
      </c>
      <c r="DJ214">
        <f t="shared" si="469"/>
        <v>1</v>
      </c>
      <c r="DK214" t="b">
        <f t="shared" si="470"/>
        <v>0</v>
      </c>
      <c r="DL214" t="b">
        <f t="shared" si="471"/>
        <v>0</v>
      </c>
      <c r="DM214" t="b">
        <f t="shared" si="472"/>
        <v>0</v>
      </c>
      <c r="DN214" t="b">
        <f t="shared" si="473"/>
        <v>0</v>
      </c>
      <c r="DO214" t="b">
        <f t="shared" si="474"/>
        <v>0</v>
      </c>
      <c r="DP214" t="b">
        <f t="shared" si="475"/>
        <v>0</v>
      </c>
      <c r="DQ214" t="b">
        <f t="shared" si="476"/>
        <v>0</v>
      </c>
      <c r="DR214" t="b">
        <f t="shared" si="477"/>
        <v>0</v>
      </c>
      <c r="DS214" t="b">
        <f t="shared" si="478"/>
        <v>0</v>
      </c>
      <c r="DT214" t="b">
        <f t="shared" si="479"/>
        <v>0</v>
      </c>
      <c r="DU214" t="b">
        <f t="shared" si="480"/>
        <v>0</v>
      </c>
      <c r="DV214" t="b">
        <f t="shared" si="481"/>
        <v>0</v>
      </c>
      <c r="DW214" t="b">
        <f t="shared" si="482"/>
        <v>0</v>
      </c>
      <c r="DX214" t="b">
        <f t="shared" si="483"/>
        <v>0</v>
      </c>
      <c r="DY214" t="b">
        <f t="shared" si="484"/>
        <v>0</v>
      </c>
      <c r="DZ214" t="b">
        <f t="shared" si="485"/>
        <v>0</v>
      </c>
      <c r="EA214" t="b">
        <f t="shared" si="486"/>
        <v>0</v>
      </c>
      <c r="EB214" t="b">
        <f t="shared" si="487"/>
        <v>0</v>
      </c>
      <c r="EC214" t="b">
        <f t="shared" si="488"/>
        <v>0</v>
      </c>
      <c r="ED214" t="b">
        <f t="shared" si="489"/>
        <v>0</v>
      </c>
      <c r="EE214" t="b">
        <f t="shared" si="490"/>
        <v>0</v>
      </c>
      <c r="EF214" t="b">
        <f t="shared" si="491"/>
        <v>0</v>
      </c>
      <c r="EG214" t="b">
        <f t="shared" si="492"/>
        <v>0</v>
      </c>
      <c r="EH214" t="b">
        <f t="shared" si="493"/>
        <v>0</v>
      </c>
      <c r="EI214" t="b">
        <f t="shared" si="494"/>
        <v>0</v>
      </c>
      <c r="EJ214" t="b">
        <f t="shared" si="495"/>
        <v>0</v>
      </c>
      <c r="EK214" t="b">
        <f t="shared" si="496"/>
        <v>0</v>
      </c>
    </row>
    <row r="215" spans="1:141">
      <c r="A215" t="s">
        <v>1173</v>
      </c>
      <c r="B215" t="s">
        <v>1173</v>
      </c>
      <c r="C215" t="s">
        <v>1174</v>
      </c>
      <c r="D215" s="1">
        <v>42705</v>
      </c>
      <c r="E215" s="2">
        <v>42845.440023148149</v>
      </c>
      <c r="F215" s="2">
        <v>42845.440023148149</v>
      </c>
      <c r="G215">
        <v>2357872</v>
      </c>
      <c r="H215" t="s">
        <v>1175</v>
      </c>
      <c r="I215" s="10" t="s">
        <v>1176</v>
      </c>
      <c r="J215" t="s">
        <v>147</v>
      </c>
      <c r="K215" s="8" t="b">
        <v>1</v>
      </c>
      <c r="L215" s="10" t="b">
        <v>0</v>
      </c>
      <c r="M215" s="12" t="b">
        <v>0</v>
      </c>
      <c r="N215" t="b">
        <v>0</v>
      </c>
      <c r="O215" t="b">
        <v>0</v>
      </c>
      <c r="P215" t="b">
        <v>0</v>
      </c>
      <c r="Q215">
        <f t="shared" si="373"/>
        <v>5</v>
      </c>
      <c r="R215">
        <f t="shared" si="374"/>
        <v>12</v>
      </c>
      <c r="S215" t="e">
        <f t="shared" ca="1" si="404"/>
        <v>#NAME?</v>
      </c>
      <c r="T215" t="e">
        <f t="shared" ca="1" si="375"/>
        <v>#NAME?</v>
      </c>
      <c r="U215" s="4">
        <f t="shared" si="376"/>
        <v>140.44002314814861</v>
      </c>
      <c r="V215" s="4">
        <f t="shared" si="377"/>
        <v>4.6813341049382871</v>
      </c>
      <c r="W215" s="4">
        <f t="shared" si="378"/>
        <v>1</v>
      </c>
      <c r="X215" s="4">
        <f t="shared" si="379"/>
        <v>0</v>
      </c>
      <c r="Y215" s="4">
        <f t="shared" si="380"/>
        <v>0</v>
      </c>
      <c r="Z215" s="4">
        <f t="shared" si="381"/>
        <v>0</v>
      </c>
      <c r="AA215" s="4">
        <f t="shared" si="382"/>
        <v>0</v>
      </c>
      <c r="AB215" s="4">
        <f t="shared" si="383"/>
        <v>0</v>
      </c>
      <c r="AC215" s="4"/>
      <c r="AD215" s="4" t="b">
        <f t="shared" si="384"/>
        <v>0</v>
      </c>
      <c r="AE215" s="4" t="b">
        <f t="shared" si="385"/>
        <v>0</v>
      </c>
      <c r="AF215" s="4" t="b">
        <f t="shared" si="386"/>
        <v>0</v>
      </c>
      <c r="AG215" t="b">
        <f t="shared" si="387"/>
        <v>0</v>
      </c>
      <c r="AH215" t="b">
        <f t="shared" si="388"/>
        <v>0</v>
      </c>
      <c r="AI215" t="b">
        <f t="shared" si="389"/>
        <v>0</v>
      </c>
      <c r="AJ215" t="b">
        <f t="shared" si="390"/>
        <v>0</v>
      </c>
      <c r="AK215" t="b">
        <f t="shared" si="391"/>
        <v>0</v>
      </c>
      <c r="AL215" t="b">
        <f t="shared" si="392"/>
        <v>0</v>
      </c>
      <c r="AM215" t="b">
        <f t="shared" si="393"/>
        <v>0</v>
      </c>
      <c r="AN215" t="b">
        <f t="shared" si="394"/>
        <v>0</v>
      </c>
      <c r="AO215" t="b">
        <f t="shared" si="395"/>
        <v>0</v>
      </c>
      <c r="AP215" t="b">
        <f t="shared" si="396"/>
        <v>0</v>
      </c>
      <c r="AQ215" t="b">
        <f t="shared" si="397"/>
        <v>0</v>
      </c>
      <c r="AR215" t="b">
        <f t="shared" si="398"/>
        <v>0</v>
      </c>
      <c r="AS215" t="b">
        <f t="shared" si="399"/>
        <v>0</v>
      </c>
      <c r="AT215" t="b">
        <f t="shared" si="400"/>
        <v>0</v>
      </c>
      <c r="AU215" t="b">
        <f t="shared" si="401"/>
        <v>0</v>
      </c>
      <c r="AV215" t="b">
        <f t="shared" si="402"/>
        <v>0</v>
      </c>
      <c r="AW215" t="b">
        <f t="shared" si="403"/>
        <v>0</v>
      </c>
      <c r="AX215" t="b">
        <f t="shared" si="405"/>
        <v>0</v>
      </c>
      <c r="AY215" t="b">
        <f t="shared" si="406"/>
        <v>0</v>
      </c>
      <c r="AZ215" t="b">
        <f t="shared" si="407"/>
        <v>0</v>
      </c>
      <c r="BA215" t="b">
        <f t="shared" si="408"/>
        <v>0</v>
      </c>
      <c r="BB215" t="b">
        <f t="shared" si="409"/>
        <v>0</v>
      </c>
      <c r="BC215" t="b">
        <f t="shared" si="410"/>
        <v>0</v>
      </c>
      <c r="BD215" t="b">
        <f t="shared" si="411"/>
        <v>0</v>
      </c>
      <c r="BE215" t="b">
        <f t="shared" si="412"/>
        <v>0</v>
      </c>
      <c r="BF215" t="b">
        <f t="shared" si="413"/>
        <v>0</v>
      </c>
      <c r="BG215" t="b">
        <f t="shared" si="414"/>
        <v>0</v>
      </c>
      <c r="BH215" t="b">
        <f t="shared" si="415"/>
        <v>0</v>
      </c>
      <c r="BI215">
        <f t="shared" si="416"/>
        <v>1</v>
      </c>
      <c r="BJ215" t="b">
        <f t="shared" si="417"/>
        <v>0</v>
      </c>
      <c r="BK215" t="b">
        <f t="shared" si="418"/>
        <v>0</v>
      </c>
      <c r="BL215" t="b">
        <f t="shared" si="419"/>
        <v>0</v>
      </c>
      <c r="BM215" t="b">
        <f t="shared" si="420"/>
        <v>0</v>
      </c>
      <c r="BN215" t="b">
        <f t="shared" si="421"/>
        <v>0</v>
      </c>
      <c r="BO215" t="b">
        <f t="shared" si="422"/>
        <v>0</v>
      </c>
      <c r="BP215" t="b">
        <f t="shared" si="423"/>
        <v>0</v>
      </c>
      <c r="BQ215" t="b">
        <f t="shared" si="424"/>
        <v>0</v>
      </c>
      <c r="BR215" t="b">
        <f t="shared" si="425"/>
        <v>0</v>
      </c>
      <c r="BS215" t="b">
        <f t="shared" si="426"/>
        <v>0</v>
      </c>
      <c r="BT215" t="b">
        <f t="shared" si="427"/>
        <v>0</v>
      </c>
      <c r="BU215" t="b">
        <f t="shared" si="428"/>
        <v>0</v>
      </c>
      <c r="BV215" t="b">
        <f t="shared" si="429"/>
        <v>0</v>
      </c>
      <c r="BW215" t="b">
        <f t="shared" si="430"/>
        <v>0</v>
      </c>
      <c r="BX215" t="b">
        <f t="shared" si="431"/>
        <v>0</v>
      </c>
      <c r="BY215" t="b">
        <f t="shared" si="432"/>
        <v>0</v>
      </c>
      <c r="BZ215" t="b">
        <f t="shared" si="433"/>
        <v>0</v>
      </c>
      <c r="CA215" t="b">
        <f t="shared" si="434"/>
        <v>0</v>
      </c>
      <c r="CB215" t="b">
        <f t="shared" si="435"/>
        <v>0</v>
      </c>
      <c r="CC215" t="b">
        <f t="shared" si="436"/>
        <v>0</v>
      </c>
      <c r="CD215" t="b">
        <f t="shared" si="437"/>
        <v>0</v>
      </c>
      <c r="CE215" t="b">
        <f t="shared" si="438"/>
        <v>0</v>
      </c>
      <c r="CF215" t="b">
        <f t="shared" si="439"/>
        <v>0</v>
      </c>
      <c r="CG215" t="b">
        <f t="shared" si="440"/>
        <v>0</v>
      </c>
      <c r="CH215" t="b">
        <f t="shared" si="441"/>
        <v>0</v>
      </c>
      <c r="CI215" t="b">
        <f t="shared" si="442"/>
        <v>0</v>
      </c>
      <c r="CJ215" t="b">
        <f t="shared" si="443"/>
        <v>0</v>
      </c>
      <c r="CK215" t="b">
        <f t="shared" si="444"/>
        <v>0</v>
      </c>
      <c r="CL215" t="b">
        <f t="shared" si="445"/>
        <v>0</v>
      </c>
      <c r="CM215" t="b">
        <f t="shared" si="446"/>
        <v>0</v>
      </c>
      <c r="CN215" t="b">
        <f t="shared" si="447"/>
        <v>0</v>
      </c>
      <c r="CO215" t="b">
        <f t="shared" si="448"/>
        <v>0</v>
      </c>
      <c r="CP215" t="b">
        <f t="shared" si="449"/>
        <v>0</v>
      </c>
      <c r="CQ215" t="b">
        <f t="shared" si="450"/>
        <v>0</v>
      </c>
      <c r="CR215" t="b">
        <f t="shared" si="451"/>
        <v>0</v>
      </c>
      <c r="CS215" t="b">
        <f t="shared" si="452"/>
        <v>0</v>
      </c>
      <c r="CT215" t="b">
        <f t="shared" si="453"/>
        <v>0</v>
      </c>
      <c r="CU215" t="b">
        <f t="shared" si="454"/>
        <v>0</v>
      </c>
      <c r="CV215">
        <f t="shared" si="455"/>
        <v>1</v>
      </c>
      <c r="CW215" t="b">
        <f t="shared" si="456"/>
        <v>0</v>
      </c>
      <c r="CX215" t="b">
        <f t="shared" si="457"/>
        <v>0</v>
      </c>
      <c r="CY215" t="b">
        <f t="shared" si="458"/>
        <v>0</v>
      </c>
      <c r="CZ215" t="b">
        <f t="shared" si="459"/>
        <v>0</v>
      </c>
      <c r="DA215" t="b">
        <f t="shared" si="460"/>
        <v>0</v>
      </c>
      <c r="DB215" t="b">
        <f t="shared" si="461"/>
        <v>0</v>
      </c>
      <c r="DC215" t="b">
        <f t="shared" si="462"/>
        <v>0</v>
      </c>
      <c r="DD215" t="b">
        <f t="shared" si="463"/>
        <v>0</v>
      </c>
      <c r="DE215" t="b">
        <f t="shared" si="464"/>
        <v>0</v>
      </c>
      <c r="DF215" t="b">
        <f t="shared" si="465"/>
        <v>0</v>
      </c>
      <c r="DG215" t="b">
        <f t="shared" si="466"/>
        <v>0</v>
      </c>
      <c r="DH215" t="b">
        <f t="shared" si="467"/>
        <v>0</v>
      </c>
      <c r="DI215" t="b">
        <f t="shared" si="468"/>
        <v>0</v>
      </c>
      <c r="DJ215" t="b">
        <f t="shared" si="469"/>
        <v>0</v>
      </c>
      <c r="DK215" t="b">
        <f t="shared" si="470"/>
        <v>0</v>
      </c>
      <c r="DL215" t="b">
        <f t="shared" si="471"/>
        <v>0</v>
      </c>
      <c r="DM215" t="b">
        <f t="shared" si="472"/>
        <v>0</v>
      </c>
      <c r="DN215" t="b">
        <f t="shared" si="473"/>
        <v>0</v>
      </c>
      <c r="DO215" t="b">
        <f t="shared" si="474"/>
        <v>0</v>
      </c>
      <c r="DP215" t="b">
        <f t="shared" si="475"/>
        <v>0</v>
      </c>
      <c r="DQ215" t="b">
        <f t="shared" si="476"/>
        <v>0</v>
      </c>
      <c r="DR215" t="b">
        <f t="shared" si="477"/>
        <v>0</v>
      </c>
      <c r="DS215" t="b">
        <f t="shared" si="478"/>
        <v>0</v>
      </c>
      <c r="DT215" t="b">
        <f t="shared" si="479"/>
        <v>0</v>
      </c>
      <c r="DU215" t="b">
        <f t="shared" si="480"/>
        <v>0</v>
      </c>
      <c r="DV215" t="b">
        <f t="shared" si="481"/>
        <v>0</v>
      </c>
      <c r="DW215" t="b">
        <f t="shared" si="482"/>
        <v>0</v>
      </c>
      <c r="DX215" t="b">
        <f t="shared" si="483"/>
        <v>0</v>
      </c>
      <c r="DY215" t="b">
        <f t="shared" si="484"/>
        <v>0</v>
      </c>
      <c r="DZ215" t="b">
        <f t="shared" si="485"/>
        <v>0</v>
      </c>
      <c r="EA215" t="b">
        <f t="shared" si="486"/>
        <v>0</v>
      </c>
      <c r="EB215" t="b">
        <f t="shared" si="487"/>
        <v>0</v>
      </c>
      <c r="EC215" t="b">
        <f t="shared" si="488"/>
        <v>0</v>
      </c>
      <c r="ED215" t="b">
        <f t="shared" si="489"/>
        <v>0</v>
      </c>
      <c r="EE215" t="b">
        <f t="shared" si="490"/>
        <v>0</v>
      </c>
      <c r="EF215" t="b">
        <f t="shared" si="491"/>
        <v>0</v>
      </c>
      <c r="EG215" t="b">
        <f t="shared" si="492"/>
        <v>0</v>
      </c>
      <c r="EH215" t="b">
        <f t="shared" si="493"/>
        <v>0</v>
      </c>
      <c r="EI215" t="b">
        <f t="shared" si="494"/>
        <v>0</v>
      </c>
      <c r="EJ215" t="b">
        <f t="shared" si="495"/>
        <v>0</v>
      </c>
      <c r="EK215" t="b">
        <f t="shared" si="496"/>
        <v>0</v>
      </c>
    </row>
    <row r="216" spans="1:141">
      <c r="A216" t="s">
        <v>1177</v>
      </c>
      <c r="B216" t="s">
        <v>1178</v>
      </c>
      <c r="C216" t="s">
        <v>1179</v>
      </c>
      <c r="D216" s="1">
        <v>43831</v>
      </c>
      <c r="E216" s="2">
        <v>44250.369745370372</v>
      </c>
      <c r="F216" s="2">
        <v>44250.369745370372</v>
      </c>
      <c r="G216">
        <v>645786</v>
      </c>
      <c r="H216" t="s">
        <v>1180</v>
      </c>
      <c r="I216" s="10" t="s">
        <v>1181</v>
      </c>
      <c r="J216" t="s">
        <v>156</v>
      </c>
      <c r="K216" s="8" t="b">
        <v>1</v>
      </c>
      <c r="L216" s="10" t="b">
        <v>0</v>
      </c>
      <c r="M216" s="12" t="b">
        <v>0</v>
      </c>
      <c r="N216" t="b">
        <v>0</v>
      </c>
      <c r="O216" t="b">
        <v>0</v>
      </c>
      <c r="P216" t="b">
        <v>0</v>
      </c>
      <c r="Q216">
        <f t="shared" si="373"/>
        <v>4</v>
      </c>
      <c r="R216">
        <f t="shared" si="374"/>
        <v>1</v>
      </c>
      <c r="S216" t="e">
        <f t="shared" ca="1" si="404"/>
        <v>#NAME?</v>
      </c>
      <c r="T216" t="e">
        <f t="shared" ca="1" si="375"/>
        <v>#NAME?</v>
      </c>
      <c r="U216" s="4">
        <f t="shared" si="376"/>
        <v>419.36974537037167</v>
      </c>
      <c r="V216" s="4">
        <f t="shared" si="377"/>
        <v>13.978991512345722</v>
      </c>
      <c r="W216" s="4">
        <f t="shared" si="378"/>
        <v>1</v>
      </c>
      <c r="X216" s="4">
        <f t="shared" si="379"/>
        <v>0</v>
      </c>
      <c r="Y216" s="4">
        <f t="shared" si="380"/>
        <v>0</v>
      </c>
      <c r="Z216" s="4">
        <f t="shared" si="381"/>
        <v>0</v>
      </c>
      <c r="AA216" s="4">
        <f t="shared" si="382"/>
        <v>0</v>
      </c>
      <c r="AB216" s="4">
        <f t="shared" si="383"/>
        <v>0</v>
      </c>
      <c r="AC216" s="4"/>
      <c r="AD216" s="4" t="b">
        <f t="shared" si="384"/>
        <v>0</v>
      </c>
      <c r="AE216" s="4" t="b">
        <f t="shared" si="385"/>
        <v>0</v>
      </c>
      <c r="AF216" s="4" t="b">
        <f t="shared" si="386"/>
        <v>0</v>
      </c>
      <c r="AG216" t="b">
        <f t="shared" si="387"/>
        <v>0</v>
      </c>
      <c r="AH216" t="b">
        <f t="shared" si="388"/>
        <v>0</v>
      </c>
      <c r="AI216" t="b">
        <f t="shared" si="389"/>
        <v>0</v>
      </c>
      <c r="AJ216" t="b">
        <f t="shared" si="390"/>
        <v>0</v>
      </c>
      <c r="AK216" t="b">
        <f t="shared" si="391"/>
        <v>0</v>
      </c>
      <c r="AL216" t="b">
        <f t="shared" si="392"/>
        <v>0</v>
      </c>
      <c r="AM216" t="b">
        <f t="shared" si="393"/>
        <v>0</v>
      </c>
      <c r="AN216" t="b">
        <f t="shared" si="394"/>
        <v>0</v>
      </c>
      <c r="AO216" t="b">
        <f t="shared" si="395"/>
        <v>0</v>
      </c>
      <c r="AP216" t="b">
        <f t="shared" si="396"/>
        <v>0</v>
      </c>
      <c r="AQ216" t="b">
        <f t="shared" si="397"/>
        <v>0</v>
      </c>
      <c r="AR216" t="b">
        <f t="shared" si="398"/>
        <v>0</v>
      </c>
      <c r="AS216" t="b">
        <f t="shared" si="399"/>
        <v>0</v>
      </c>
      <c r="AT216" t="b">
        <f t="shared" si="400"/>
        <v>0</v>
      </c>
      <c r="AU216" t="b">
        <f t="shared" si="401"/>
        <v>0</v>
      </c>
      <c r="AV216" t="b">
        <f t="shared" si="402"/>
        <v>0</v>
      </c>
      <c r="AW216" t="b">
        <f t="shared" si="403"/>
        <v>0</v>
      </c>
      <c r="AX216" t="b">
        <f t="shared" si="405"/>
        <v>0</v>
      </c>
      <c r="AY216" t="b">
        <f t="shared" si="406"/>
        <v>0</v>
      </c>
      <c r="AZ216" t="b">
        <f t="shared" si="407"/>
        <v>0</v>
      </c>
      <c r="BA216" t="b">
        <f t="shared" si="408"/>
        <v>0</v>
      </c>
      <c r="BB216" t="b">
        <f t="shared" si="409"/>
        <v>0</v>
      </c>
      <c r="BC216" t="b">
        <f t="shared" si="410"/>
        <v>0</v>
      </c>
      <c r="BD216" t="b">
        <f t="shared" si="411"/>
        <v>0</v>
      </c>
      <c r="BE216" t="b">
        <f t="shared" si="412"/>
        <v>0</v>
      </c>
      <c r="BF216" t="b">
        <f t="shared" si="413"/>
        <v>0</v>
      </c>
      <c r="BG216" t="b">
        <f t="shared" si="414"/>
        <v>0</v>
      </c>
      <c r="BH216" t="b">
        <f t="shared" si="415"/>
        <v>0</v>
      </c>
      <c r="BI216">
        <f t="shared" si="416"/>
        <v>1</v>
      </c>
      <c r="BJ216" t="b">
        <f t="shared" si="417"/>
        <v>0</v>
      </c>
      <c r="BK216" t="b">
        <f t="shared" si="418"/>
        <v>0</v>
      </c>
      <c r="BL216" t="b">
        <f t="shared" si="419"/>
        <v>0</v>
      </c>
      <c r="BM216" t="b">
        <f t="shared" si="420"/>
        <v>0</v>
      </c>
      <c r="BN216" t="b">
        <f t="shared" si="421"/>
        <v>0</v>
      </c>
      <c r="BO216" t="b">
        <f t="shared" si="422"/>
        <v>0</v>
      </c>
      <c r="BP216" t="b">
        <f t="shared" si="423"/>
        <v>0</v>
      </c>
      <c r="BQ216" t="b">
        <f t="shared" si="424"/>
        <v>0</v>
      </c>
      <c r="BR216" t="b">
        <f t="shared" si="425"/>
        <v>0</v>
      </c>
      <c r="BS216" t="b">
        <f t="shared" si="426"/>
        <v>0</v>
      </c>
      <c r="BT216" t="b">
        <f t="shared" si="427"/>
        <v>0</v>
      </c>
      <c r="BU216" t="b">
        <f t="shared" si="428"/>
        <v>0</v>
      </c>
      <c r="BV216" t="b">
        <f t="shared" si="429"/>
        <v>0</v>
      </c>
      <c r="BW216" t="b">
        <f t="shared" si="430"/>
        <v>0</v>
      </c>
      <c r="BX216" t="b">
        <f t="shared" si="431"/>
        <v>0</v>
      </c>
      <c r="BY216" t="b">
        <f t="shared" si="432"/>
        <v>0</v>
      </c>
      <c r="BZ216" t="b">
        <f t="shared" si="433"/>
        <v>0</v>
      </c>
      <c r="CA216" t="b">
        <f t="shared" si="434"/>
        <v>0</v>
      </c>
      <c r="CB216" t="b">
        <f t="shared" si="435"/>
        <v>0</v>
      </c>
      <c r="CC216" t="b">
        <f t="shared" si="436"/>
        <v>0</v>
      </c>
      <c r="CD216" t="b">
        <f t="shared" si="437"/>
        <v>0</v>
      </c>
      <c r="CE216" t="b">
        <f t="shared" si="438"/>
        <v>0</v>
      </c>
      <c r="CF216" t="b">
        <f t="shared" si="439"/>
        <v>0</v>
      </c>
      <c r="CG216" t="b">
        <f t="shared" si="440"/>
        <v>0</v>
      </c>
      <c r="CH216" t="b">
        <f t="shared" si="441"/>
        <v>0</v>
      </c>
      <c r="CI216" t="b">
        <f t="shared" si="442"/>
        <v>0</v>
      </c>
      <c r="CJ216" t="b">
        <f t="shared" si="443"/>
        <v>0</v>
      </c>
      <c r="CK216" t="b">
        <f t="shared" si="444"/>
        <v>0</v>
      </c>
      <c r="CL216" t="b">
        <f t="shared" si="445"/>
        <v>0</v>
      </c>
      <c r="CM216" t="b">
        <f t="shared" si="446"/>
        <v>0</v>
      </c>
      <c r="CN216" t="b">
        <f t="shared" si="447"/>
        <v>0</v>
      </c>
      <c r="CO216" t="b">
        <f t="shared" si="448"/>
        <v>0</v>
      </c>
      <c r="CP216" t="b">
        <f t="shared" si="449"/>
        <v>0</v>
      </c>
      <c r="CQ216" t="b">
        <f t="shared" si="450"/>
        <v>0</v>
      </c>
      <c r="CR216" t="b">
        <f t="shared" si="451"/>
        <v>0</v>
      </c>
      <c r="CS216" t="b">
        <f t="shared" si="452"/>
        <v>0</v>
      </c>
      <c r="CT216" t="b">
        <f t="shared" si="453"/>
        <v>0</v>
      </c>
      <c r="CU216" t="b">
        <f t="shared" si="454"/>
        <v>0</v>
      </c>
      <c r="CV216">
        <f t="shared" si="455"/>
        <v>1</v>
      </c>
      <c r="CW216" t="b">
        <f t="shared" si="456"/>
        <v>0</v>
      </c>
      <c r="CX216" t="b">
        <f t="shared" si="457"/>
        <v>0</v>
      </c>
      <c r="CY216" t="b">
        <f t="shared" si="458"/>
        <v>0</v>
      </c>
      <c r="CZ216" t="b">
        <f t="shared" si="459"/>
        <v>0</v>
      </c>
      <c r="DA216" t="b">
        <f t="shared" si="460"/>
        <v>0</v>
      </c>
      <c r="DB216" t="b">
        <f t="shared" si="461"/>
        <v>0</v>
      </c>
      <c r="DC216" t="b">
        <f t="shared" si="462"/>
        <v>0</v>
      </c>
      <c r="DD216" t="b">
        <f t="shared" si="463"/>
        <v>0</v>
      </c>
      <c r="DE216" t="b">
        <f t="shared" si="464"/>
        <v>0</v>
      </c>
      <c r="DF216" t="b">
        <f t="shared" si="465"/>
        <v>0</v>
      </c>
      <c r="DG216" t="b">
        <f t="shared" si="466"/>
        <v>0</v>
      </c>
      <c r="DH216" t="b">
        <f t="shared" si="467"/>
        <v>0</v>
      </c>
      <c r="DI216" t="b">
        <f t="shared" si="468"/>
        <v>0</v>
      </c>
      <c r="DJ216" t="b">
        <f t="shared" si="469"/>
        <v>0</v>
      </c>
      <c r="DK216" t="b">
        <f t="shared" si="470"/>
        <v>0</v>
      </c>
      <c r="DL216" t="b">
        <f t="shared" si="471"/>
        <v>0</v>
      </c>
      <c r="DM216" t="b">
        <f t="shared" si="472"/>
        <v>0</v>
      </c>
      <c r="DN216" t="b">
        <f t="shared" si="473"/>
        <v>0</v>
      </c>
      <c r="DO216" t="b">
        <f t="shared" si="474"/>
        <v>0</v>
      </c>
      <c r="DP216" t="b">
        <f t="shared" si="475"/>
        <v>0</v>
      </c>
      <c r="DQ216" t="b">
        <f t="shared" si="476"/>
        <v>0</v>
      </c>
      <c r="DR216" t="b">
        <f t="shared" si="477"/>
        <v>0</v>
      </c>
      <c r="DS216" t="b">
        <f t="shared" si="478"/>
        <v>0</v>
      </c>
      <c r="DT216" t="b">
        <f t="shared" si="479"/>
        <v>0</v>
      </c>
      <c r="DU216" t="b">
        <f t="shared" si="480"/>
        <v>0</v>
      </c>
      <c r="DV216" t="b">
        <f t="shared" si="481"/>
        <v>0</v>
      </c>
      <c r="DW216" t="b">
        <f t="shared" si="482"/>
        <v>0</v>
      </c>
      <c r="DX216" t="b">
        <f t="shared" si="483"/>
        <v>0</v>
      </c>
      <c r="DY216" t="b">
        <f t="shared" si="484"/>
        <v>0</v>
      </c>
      <c r="DZ216" t="b">
        <f t="shared" si="485"/>
        <v>0</v>
      </c>
      <c r="EA216" t="b">
        <f t="shared" si="486"/>
        <v>0</v>
      </c>
      <c r="EB216" t="b">
        <f t="shared" si="487"/>
        <v>0</v>
      </c>
      <c r="EC216" t="b">
        <f t="shared" si="488"/>
        <v>0</v>
      </c>
      <c r="ED216" t="b">
        <f t="shared" si="489"/>
        <v>0</v>
      </c>
      <c r="EE216" t="b">
        <f t="shared" si="490"/>
        <v>0</v>
      </c>
      <c r="EF216">
        <f t="shared" si="491"/>
        <v>1</v>
      </c>
      <c r="EG216" t="b">
        <f t="shared" si="492"/>
        <v>0</v>
      </c>
      <c r="EH216" t="b">
        <f t="shared" si="493"/>
        <v>0</v>
      </c>
      <c r="EI216" t="b">
        <f t="shared" si="494"/>
        <v>0</v>
      </c>
      <c r="EJ216" t="b">
        <f t="shared" si="495"/>
        <v>0</v>
      </c>
      <c r="EK216" t="b">
        <f t="shared" si="496"/>
        <v>0</v>
      </c>
    </row>
    <row r="217" spans="1:141">
      <c r="A217" t="s">
        <v>1182</v>
      </c>
      <c r="B217" t="s">
        <v>1183</v>
      </c>
      <c r="C217" t="s">
        <v>1184</v>
      </c>
      <c r="D217" s="1">
        <v>42265</v>
      </c>
      <c r="E217" s="2">
        <v>42308.530532407407</v>
      </c>
      <c r="F217" s="2">
        <v>42308.530532407407</v>
      </c>
      <c r="G217">
        <v>620677</v>
      </c>
      <c r="H217" t="s">
        <v>1185</v>
      </c>
      <c r="I217" s="10" t="s">
        <v>1186</v>
      </c>
      <c r="J217" t="s">
        <v>1187</v>
      </c>
      <c r="K217" s="8" t="b">
        <v>1</v>
      </c>
      <c r="L217" s="10" t="b">
        <v>0</v>
      </c>
      <c r="M217" s="12" t="b">
        <v>0</v>
      </c>
      <c r="N217" t="b">
        <v>0</v>
      </c>
      <c r="O217" t="b">
        <v>0</v>
      </c>
      <c r="P217" t="b">
        <v>0</v>
      </c>
      <c r="Q217">
        <f t="shared" si="373"/>
        <v>6</v>
      </c>
      <c r="R217">
        <f t="shared" si="374"/>
        <v>9</v>
      </c>
      <c r="S217" t="e">
        <f t="shared" ca="1" si="404"/>
        <v>#NAME?</v>
      </c>
      <c r="T217" t="e">
        <f t="shared" ca="1" si="375"/>
        <v>#NAME?</v>
      </c>
      <c r="U217" s="4">
        <f t="shared" si="376"/>
        <v>43.530532407407009</v>
      </c>
      <c r="V217" s="4">
        <f t="shared" si="377"/>
        <v>1.451017746913567</v>
      </c>
      <c r="W217" s="4">
        <f t="shared" si="378"/>
        <v>1</v>
      </c>
      <c r="X217" s="4">
        <f t="shared" si="379"/>
        <v>0</v>
      </c>
      <c r="Y217" s="4">
        <f t="shared" si="380"/>
        <v>0</v>
      </c>
      <c r="Z217" s="4">
        <f t="shared" si="381"/>
        <v>0</v>
      </c>
      <c r="AA217" s="4">
        <f t="shared" si="382"/>
        <v>0</v>
      </c>
      <c r="AB217" s="4">
        <f t="shared" si="383"/>
        <v>0</v>
      </c>
      <c r="AC217" s="4"/>
      <c r="AD217" s="4" t="b">
        <f t="shared" si="384"/>
        <v>0</v>
      </c>
      <c r="AE217" s="4" t="b">
        <f t="shared" si="385"/>
        <v>0</v>
      </c>
      <c r="AF217" s="4" t="b">
        <f t="shared" si="386"/>
        <v>0</v>
      </c>
      <c r="AG217" t="b">
        <f t="shared" si="387"/>
        <v>0</v>
      </c>
      <c r="AH217" t="b">
        <f t="shared" si="388"/>
        <v>0</v>
      </c>
      <c r="AI217" t="b">
        <f t="shared" si="389"/>
        <v>0</v>
      </c>
      <c r="AJ217" t="b">
        <f t="shared" si="390"/>
        <v>0</v>
      </c>
      <c r="AK217" t="b">
        <f t="shared" si="391"/>
        <v>0</v>
      </c>
      <c r="AL217" t="b">
        <f t="shared" si="392"/>
        <v>0</v>
      </c>
      <c r="AM217" t="b">
        <f t="shared" si="393"/>
        <v>0</v>
      </c>
      <c r="AN217" t="b">
        <f t="shared" si="394"/>
        <v>0</v>
      </c>
      <c r="AO217" t="b">
        <f t="shared" si="395"/>
        <v>0</v>
      </c>
      <c r="AP217" t="b">
        <f t="shared" si="396"/>
        <v>0</v>
      </c>
      <c r="AQ217" t="b">
        <f t="shared" si="397"/>
        <v>0</v>
      </c>
      <c r="AR217" t="b">
        <f t="shared" si="398"/>
        <v>0</v>
      </c>
      <c r="AS217" t="b">
        <f t="shared" si="399"/>
        <v>0</v>
      </c>
      <c r="AT217" t="b">
        <f t="shared" si="400"/>
        <v>0</v>
      </c>
      <c r="AU217" t="b">
        <f t="shared" si="401"/>
        <v>0</v>
      </c>
      <c r="AV217" t="b">
        <f t="shared" si="402"/>
        <v>0</v>
      </c>
      <c r="AW217" t="b">
        <f t="shared" si="403"/>
        <v>0</v>
      </c>
      <c r="AX217" t="b">
        <f t="shared" si="405"/>
        <v>0</v>
      </c>
      <c r="AY217" t="b">
        <f t="shared" si="406"/>
        <v>0</v>
      </c>
      <c r="AZ217" t="b">
        <f t="shared" si="407"/>
        <v>0</v>
      </c>
      <c r="BA217" t="b">
        <f t="shared" si="408"/>
        <v>0</v>
      </c>
      <c r="BB217" t="b">
        <f t="shared" si="409"/>
        <v>0</v>
      </c>
      <c r="BC217" t="b">
        <f t="shared" si="410"/>
        <v>0</v>
      </c>
      <c r="BD217" t="b">
        <f t="shared" si="411"/>
        <v>0</v>
      </c>
      <c r="BE217" t="b">
        <f t="shared" si="412"/>
        <v>0</v>
      </c>
      <c r="BF217" t="b">
        <f t="shared" si="413"/>
        <v>0</v>
      </c>
      <c r="BG217" t="b">
        <f t="shared" si="414"/>
        <v>0</v>
      </c>
      <c r="BH217" t="b">
        <f t="shared" si="415"/>
        <v>0</v>
      </c>
      <c r="BI217">
        <f t="shared" si="416"/>
        <v>1</v>
      </c>
      <c r="BJ217" t="b">
        <f t="shared" si="417"/>
        <v>0</v>
      </c>
      <c r="BK217" t="b">
        <f t="shared" si="418"/>
        <v>0</v>
      </c>
      <c r="BL217" t="b">
        <f t="shared" si="419"/>
        <v>0</v>
      </c>
      <c r="BM217" t="b">
        <f t="shared" si="420"/>
        <v>0</v>
      </c>
      <c r="BN217" t="b">
        <f t="shared" si="421"/>
        <v>0</v>
      </c>
      <c r="BO217" t="b">
        <f t="shared" si="422"/>
        <v>0</v>
      </c>
      <c r="BP217" t="b">
        <f t="shared" si="423"/>
        <v>0</v>
      </c>
      <c r="BQ217" t="b">
        <f t="shared" si="424"/>
        <v>0</v>
      </c>
      <c r="BR217" t="b">
        <f t="shared" si="425"/>
        <v>0</v>
      </c>
      <c r="BS217" t="b">
        <f t="shared" si="426"/>
        <v>0</v>
      </c>
      <c r="BT217" t="b">
        <f t="shared" si="427"/>
        <v>0</v>
      </c>
      <c r="BU217" t="b">
        <f t="shared" si="428"/>
        <v>0</v>
      </c>
      <c r="BV217" t="b">
        <f t="shared" si="429"/>
        <v>0</v>
      </c>
      <c r="BW217" t="b">
        <f t="shared" si="430"/>
        <v>0</v>
      </c>
      <c r="BX217" t="b">
        <f t="shared" si="431"/>
        <v>0</v>
      </c>
      <c r="BY217" t="b">
        <f t="shared" si="432"/>
        <v>0</v>
      </c>
      <c r="BZ217" t="b">
        <f t="shared" si="433"/>
        <v>0</v>
      </c>
      <c r="CA217" t="b">
        <f t="shared" si="434"/>
        <v>0</v>
      </c>
      <c r="CB217" t="b">
        <f t="shared" si="435"/>
        <v>0</v>
      </c>
      <c r="CC217" t="b">
        <f t="shared" si="436"/>
        <v>0</v>
      </c>
      <c r="CD217" t="b">
        <f t="shared" si="437"/>
        <v>0</v>
      </c>
      <c r="CE217" t="b">
        <f t="shared" si="438"/>
        <v>0</v>
      </c>
      <c r="CF217" t="b">
        <f t="shared" si="439"/>
        <v>0</v>
      </c>
      <c r="CG217" t="b">
        <f t="shared" si="440"/>
        <v>0</v>
      </c>
      <c r="CH217" t="b">
        <f t="shared" si="441"/>
        <v>0</v>
      </c>
      <c r="CI217" t="b">
        <f t="shared" si="442"/>
        <v>0</v>
      </c>
      <c r="CJ217" t="b">
        <f t="shared" si="443"/>
        <v>0</v>
      </c>
      <c r="CK217" t="b">
        <f t="shared" si="444"/>
        <v>0</v>
      </c>
      <c r="CL217" t="b">
        <f t="shared" si="445"/>
        <v>0</v>
      </c>
      <c r="CM217" t="b">
        <f t="shared" si="446"/>
        <v>0</v>
      </c>
      <c r="CN217" t="b">
        <f t="shared" si="447"/>
        <v>0</v>
      </c>
      <c r="CO217" t="b">
        <f t="shared" si="448"/>
        <v>0</v>
      </c>
      <c r="CP217" t="b">
        <f t="shared" si="449"/>
        <v>0</v>
      </c>
      <c r="CQ217" t="b">
        <f t="shared" si="450"/>
        <v>0</v>
      </c>
      <c r="CR217" t="b">
        <f t="shared" si="451"/>
        <v>0</v>
      </c>
      <c r="CS217" t="b">
        <f t="shared" si="452"/>
        <v>0</v>
      </c>
      <c r="CT217" t="b">
        <f t="shared" si="453"/>
        <v>0</v>
      </c>
      <c r="CU217" t="b">
        <f t="shared" si="454"/>
        <v>0</v>
      </c>
      <c r="CV217">
        <f t="shared" si="455"/>
        <v>1</v>
      </c>
      <c r="CW217" t="b">
        <f t="shared" si="456"/>
        <v>0</v>
      </c>
      <c r="CX217" t="b">
        <f t="shared" si="457"/>
        <v>0</v>
      </c>
      <c r="CY217" t="b">
        <f t="shared" si="458"/>
        <v>0</v>
      </c>
      <c r="CZ217" t="b">
        <f t="shared" si="459"/>
        <v>0</v>
      </c>
      <c r="DA217" t="b">
        <f t="shared" si="460"/>
        <v>0</v>
      </c>
      <c r="DB217" t="b">
        <f t="shared" si="461"/>
        <v>0</v>
      </c>
      <c r="DC217" t="b">
        <f t="shared" si="462"/>
        <v>0</v>
      </c>
      <c r="DD217" t="b">
        <f t="shared" si="463"/>
        <v>0</v>
      </c>
      <c r="DE217" t="b">
        <f t="shared" si="464"/>
        <v>0</v>
      </c>
      <c r="DF217" t="b">
        <f t="shared" si="465"/>
        <v>0</v>
      </c>
      <c r="DG217" t="b">
        <f t="shared" si="466"/>
        <v>0</v>
      </c>
      <c r="DH217" t="b">
        <f t="shared" si="467"/>
        <v>0</v>
      </c>
      <c r="DI217" t="b">
        <f t="shared" si="468"/>
        <v>0</v>
      </c>
      <c r="DJ217" t="b">
        <f t="shared" si="469"/>
        <v>0</v>
      </c>
      <c r="DK217" t="b">
        <f t="shared" si="470"/>
        <v>0</v>
      </c>
      <c r="DL217" t="b">
        <f t="shared" si="471"/>
        <v>0</v>
      </c>
      <c r="DM217" t="b">
        <f t="shared" si="472"/>
        <v>0</v>
      </c>
      <c r="DN217" t="b">
        <f t="shared" si="473"/>
        <v>0</v>
      </c>
      <c r="DO217" t="b">
        <f t="shared" si="474"/>
        <v>0</v>
      </c>
      <c r="DP217" t="b">
        <f t="shared" si="475"/>
        <v>0</v>
      </c>
      <c r="DQ217" t="b">
        <f t="shared" si="476"/>
        <v>0</v>
      </c>
      <c r="DR217" t="b">
        <f t="shared" si="477"/>
        <v>0</v>
      </c>
      <c r="DS217" t="b">
        <f t="shared" si="478"/>
        <v>0</v>
      </c>
      <c r="DT217" t="b">
        <f t="shared" si="479"/>
        <v>0</v>
      </c>
      <c r="DU217" t="b">
        <f t="shared" si="480"/>
        <v>0</v>
      </c>
      <c r="DV217" t="b">
        <f t="shared" si="481"/>
        <v>0</v>
      </c>
      <c r="DW217" t="b">
        <f t="shared" si="482"/>
        <v>0</v>
      </c>
      <c r="DX217" t="b">
        <f t="shared" si="483"/>
        <v>0</v>
      </c>
      <c r="DY217" t="b">
        <f t="shared" si="484"/>
        <v>0</v>
      </c>
      <c r="DZ217" t="b">
        <f t="shared" si="485"/>
        <v>0</v>
      </c>
      <c r="EA217" t="b">
        <f t="shared" si="486"/>
        <v>0</v>
      </c>
      <c r="EB217" t="b">
        <f t="shared" si="487"/>
        <v>0</v>
      </c>
      <c r="EC217" t="b">
        <f t="shared" si="488"/>
        <v>0</v>
      </c>
      <c r="ED217" t="b">
        <f t="shared" si="489"/>
        <v>0</v>
      </c>
      <c r="EE217" t="b">
        <f t="shared" si="490"/>
        <v>0</v>
      </c>
      <c r="EF217">
        <f t="shared" si="491"/>
        <v>1</v>
      </c>
      <c r="EG217" t="b">
        <f t="shared" si="492"/>
        <v>0</v>
      </c>
      <c r="EH217" t="b">
        <f t="shared" si="493"/>
        <v>0</v>
      </c>
      <c r="EI217">
        <f t="shared" si="494"/>
        <v>1</v>
      </c>
      <c r="EJ217" t="b">
        <f t="shared" si="495"/>
        <v>0</v>
      </c>
      <c r="EK217" t="b">
        <f t="shared" si="496"/>
        <v>0</v>
      </c>
    </row>
    <row r="218" spans="1:141">
      <c r="A218" t="s">
        <v>1188</v>
      </c>
      <c r="B218" t="s">
        <v>1189</v>
      </c>
      <c r="C218" t="s">
        <v>1190</v>
      </c>
      <c r="D218" s="1">
        <v>42401</v>
      </c>
      <c r="E218" s="2">
        <v>42619.339224537034</v>
      </c>
      <c r="F218" s="2">
        <v>43667.686793981484</v>
      </c>
      <c r="G218">
        <v>1771845</v>
      </c>
      <c r="H218" t="s">
        <v>1191</v>
      </c>
      <c r="I218" s="10" t="s">
        <v>1192</v>
      </c>
      <c r="J218" t="s">
        <v>156</v>
      </c>
      <c r="K218" s="8" t="b">
        <v>1</v>
      </c>
      <c r="L218" s="10" t="b">
        <v>0</v>
      </c>
      <c r="M218" s="12" t="b">
        <v>0</v>
      </c>
      <c r="N218" t="b">
        <v>0</v>
      </c>
      <c r="O218" t="b">
        <v>0</v>
      </c>
      <c r="P218" t="b">
        <v>0</v>
      </c>
      <c r="Q218">
        <f t="shared" si="373"/>
        <v>2</v>
      </c>
      <c r="R218">
        <f t="shared" si="374"/>
        <v>2</v>
      </c>
      <c r="S218" t="e">
        <f t="shared" ca="1" si="404"/>
        <v>#NAME?</v>
      </c>
      <c r="T218" t="e">
        <f t="shared" ca="1" si="375"/>
        <v>#NAME?</v>
      </c>
      <c r="U218" s="4">
        <f t="shared" si="376"/>
        <v>218.33922453703417</v>
      </c>
      <c r="V218" s="4">
        <f t="shared" si="377"/>
        <v>7.2779741512344724</v>
      </c>
      <c r="W218" s="4">
        <f t="shared" si="378"/>
        <v>1</v>
      </c>
      <c r="X218" s="4">
        <f t="shared" si="379"/>
        <v>0</v>
      </c>
      <c r="Y218" s="4">
        <f t="shared" si="380"/>
        <v>0</v>
      </c>
      <c r="Z218" s="4">
        <f t="shared" si="381"/>
        <v>0</v>
      </c>
      <c r="AA218" s="4">
        <f t="shared" si="382"/>
        <v>0</v>
      </c>
      <c r="AB218" s="4">
        <f t="shared" si="383"/>
        <v>0</v>
      </c>
      <c r="AC218" s="4"/>
      <c r="AD218" s="4" t="b">
        <f t="shared" si="384"/>
        <v>0</v>
      </c>
      <c r="AE218" s="4" t="b">
        <f t="shared" si="385"/>
        <v>0</v>
      </c>
      <c r="AF218" s="4" t="b">
        <f t="shared" si="386"/>
        <v>0</v>
      </c>
      <c r="AG218" t="b">
        <f t="shared" si="387"/>
        <v>0</v>
      </c>
      <c r="AH218" t="b">
        <f t="shared" si="388"/>
        <v>0</v>
      </c>
      <c r="AI218" t="b">
        <f t="shared" si="389"/>
        <v>0</v>
      </c>
      <c r="AJ218" t="b">
        <f t="shared" si="390"/>
        <v>0</v>
      </c>
      <c r="AK218" t="b">
        <f t="shared" si="391"/>
        <v>0</v>
      </c>
      <c r="AL218" t="b">
        <f t="shared" si="392"/>
        <v>0</v>
      </c>
      <c r="AM218" t="b">
        <f t="shared" si="393"/>
        <v>0</v>
      </c>
      <c r="AN218" t="b">
        <f t="shared" si="394"/>
        <v>0</v>
      </c>
      <c r="AO218" t="b">
        <f t="shared" si="395"/>
        <v>0</v>
      </c>
      <c r="AP218" t="b">
        <f t="shared" si="396"/>
        <v>0</v>
      </c>
      <c r="AQ218" t="b">
        <f t="shared" si="397"/>
        <v>0</v>
      </c>
      <c r="AR218" t="b">
        <f t="shared" si="398"/>
        <v>0</v>
      </c>
      <c r="AS218" t="b">
        <f t="shared" si="399"/>
        <v>0</v>
      </c>
      <c r="AT218" t="b">
        <f t="shared" si="400"/>
        <v>0</v>
      </c>
      <c r="AU218" t="b">
        <f t="shared" si="401"/>
        <v>0</v>
      </c>
      <c r="AV218" t="b">
        <f t="shared" si="402"/>
        <v>0</v>
      </c>
      <c r="AW218" t="b">
        <f t="shared" si="403"/>
        <v>0</v>
      </c>
      <c r="AX218" t="b">
        <f t="shared" si="405"/>
        <v>0</v>
      </c>
      <c r="AY218" t="b">
        <f t="shared" si="406"/>
        <v>0</v>
      </c>
      <c r="AZ218" t="b">
        <f t="shared" si="407"/>
        <v>0</v>
      </c>
      <c r="BA218" t="b">
        <f t="shared" si="408"/>
        <v>0</v>
      </c>
      <c r="BB218" t="b">
        <f t="shared" si="409"/>
        <v>0</v>
      </c>
      <c r="BC218" t="b">
        <f t="shared" si="410"/>
        <v>0</v>
      </c>
      <c r="BD218" t="b">
        <f t="shared" si="411"/>
        <v>0</v>
      </c>
      <c r="BE218" t="b">
        <f t="shared" si="412"/>
        <v>0</v>
      </c>
      <c r="BF218" t="b">
        <f t="shared" si="413"/>
        <v>0</v>
      </c>
      <c r="BG218" t="b">
        <f t="shared" si="414"/>
        <v>0</v>
      </c>
      <c r="BH218" t="b">
        <f t="shared" si="415"/>
        <v>0</v>
      </c>
      <c r="BI218">
        <f t="shared" si="416"/>
        <v>1</v>
      </c>
      <c r="BJ218" t="b">
        <f t="shared" si="417"/>
        <v>0</v>
      </c>
      <c r="BK218" t="b">
        <f t="shared" si="418"/>
        <v>0</v>
      </c>
      <c r="BL218" t="b">
        <f t="shared" si="419"/>
        <v>0</v>
      </c>
      <c r="BM218" t="b">
        <f t="shared" si="420"/>
        <v>0</v>
      </c>
      <c r="BN218" t="b">
        <f t="shared" si="421"/>
        <v>0</v>
      </c>
      <c r="BO218" t="b">
        <f t="shared" si="422"/>
        <v>0</v>
      </c>
      <c r="BP218" t="b">
        <f t="shared" si="423"/>
        <v>0</v>
      </c>
      <c r="BQ218" t="b">
        <f t="shared" si="424"/>
        <v>0</v>
      </c>
      <c r="BR218" t="b">
        <f t="shared" si="425"/>
        <v>0</v>
      </c>
      <c r="BS218" t="b">
        <f t="shared" si="426"/>
        <v>0</v>
      </c>
      <c r="BT218" t="b">
        <f t="shared" si="427"/>
        <v>0</v>
      </c>
      <c r="BU218" t="b">
        <f t="shared" si="428"/>
        <v>0</v>
      </c>
      <c r="BV218" t="b">
        <f t="shared" si="429"/>
        <v>0</v>
      </c>
      <c r="BW218" t="b">
        <f t="shared" si="430"/>
        <v>0</v>
      </c>
      <c r="BX218" t="b">
        <f t="shared" si="431"/>
        <v>0</v>
      </c>
      <c r="BY218" t="b">
        <f t="shared" si="432"/>
        <v>0</v>
      </c>
      <c r="BZ218" t="b">
        <f t="shared" si="433"/>
        <v>0</v>
      </c>
      <c r="CA218" t="b">
        <f t="shared" si="434"/>
        <v>0</v>
      </c>
      <c r="CB218" t="b">
        <f t="shared" si="435"/>
        <v>0</v>
      </c>
      <c r="CC218" t="b">
        <f t="shared" si="436"/>
        <v>0</v>
      </c>
      <c r="CD218" t="b">
        <f t="shared" si="437"/>
        <v>0</v>
      </c>
      <c r="CE218" t="b">
        <f t="shared" si="438"/>
        <v>0</v>
      </c>
      <c r="CF218" t="b">
        <f t="shared" si="439"/>
        <v>0</v>
      </c>
      <c r="CG218" t="b">
        <f t="shared" si="440"/>
        <v>0</v>
      </c>
      <c r="CH218" t="b">
        <f t="shared" si="441"/>
        <v>0</v>
      </c>
      <c r="CI218" t="b">
        <f t="shared" si="442"/>
        <v>0</v>
      </c>
      <c r="CJ218" t="b">
        <f t="shared" si="443"/>
        <v>0</v>
      </c>
      <c r="CK218" t="b">
        <f t="shared" si="444"/>
        <v>0</v>
      </c>
      <c r="CL218" t="b">
        <f t="shared" si="445"/>
        <v>0</v>
      </c>
      <c r="CM218" t="b">
        <f t="shared" si="446"/>
        <v>0</v>
      </c>
      <c r="CN218" t="b">
        <f t="shared" si="447"/>
        <v>0</v>
      </c>
      <c r="CO218" t="b">
        <f t="shared" si="448"/>
        <v>0</v>
      </c>
      <c r="CP218" t="b">
        <f t="shared" si="449"/>
        <v>0</v>
      </c>
      <c r="CQ218" t="b">
        <f t="shared" si="450"/>
        <v>0</v>
      </c>
      <c r="CR218" t="b">
        <f t="shared" si="451"/>
        <v>0</v>
      </c>
      <c r="CS218" t="b">
        <f t="shared" si="452"/>
        <v>0</v>
      </c>
      <c r="CT218" t="b">
        <f t="shared" si="453"/>
        <v>0</v>
      </c>
      <c r="CU218" t="b">
        <f t="shared" si="454"/>
        <v>0</v>
      </c>
      <c r="CV218">
        <f t="shared" si="455"/>
        <v>1</v>
      </c>
      <c r="CW218" t="b">
        <f t="shared" si="456"/>
        <v>0</v>
      </c>
      <c r="CX218" t="b">
        <f t="shared" si="457"/>
        <v>0</v>
      </c>
      <c r="CY218" t="b">
        <f t="shared" si="458"/>
        <v>0</v>
      </c>
      <c r="CZ218" t="b">
        <f t="shared" si="459"/>
        <v>0</v>
      </c>
      <c r="DA218" t="b">
        <f t="shared" si="460"/>
        <v>0</v>
      </c>
      <c r="DB218" t="b">
        <f t="shared" si="461"/>
        <v>0</v>
      </c>
      <c r="DC218" t="b">
        <f t="shared" si="462"/>
        <v>0</v>
      </c>
      <c r="DD218" t="b">
        <f t="shared" si="463"/>
        <v>0</v>
      </c>
      <c r="DE218" t="b">
        <f t="shared" si="464"/>
        <v>0</v>
      </c>
      <c r="DF218" t="b">
        <f t="shared" si="465"/>
        <v>0</v>
      </c>
      <c r="DG218" t="b">
        <f t="shared" si="466"/>
        <v>0</v>
      </c>
      <c r="DH218" t="b">
        <f t="shared" si="467"/>
        <v>0</v>
      </c>
      <c r="DI218" t="b">
        <f t="shared" si="468"/>
        <v>0</v>
      </c>
      <c r="DJ218" t="b">
        <f t="shared" si="469"/>
        <v>0</v>
      </c>
      <c r="DK218" t="b">
        <f t="shared" si="470"/>
        <v>0</v>
      </c>
      <c r="DL218" t="b">
        <f t="shared" si="471"/>
        <v>0</v>
      </c>
      <c r="DM218" t="b">
        <f t="shared" si="472"/>
        <v>0</v>
      </c>
      <c r="DN218" t="b">
        <f t="shared" si="473"/>
        <v>0</v>
      </c>
      <c r="DO218" t="b">
        <f t="shared" si="474"/>
        <v>0</v>
      </c>
      <c r="DP218" t="b">
        <f t="shared" si="475"/>
        <v>0</v>
      </c>
      <c r="DQ218" t="b">
        <f t="shared" si="476"/>
        <v>0</v>
      </c>
      <c r="DR218" t="b">
        <f t="shared" si="477"/>
        <v>0</v>
      </c>
      <c r="DS218" t="b">
        <f t="shared" si="478"/>
        <v>0</v>
      </c>
      <c r="DT218" t="b">
        <f t="shared" si="479"/>
        <v>0</v>
      </c>
      <c r="DU218" t="b">
        <f t="shared" si="480"/>
        <v>0</v>
      </c>
      <c r="DV218" t="b">
        <f t="shared" si="481"/>
        <v>0</v>
      </c>
      <c r="DW218" t="b">
        <f t="shared" si="482"/>
        <v>0</v>
      </c>
      <c r="DX218" t="b">
        <f t="shared" si="483"/>
        <v>0</v>
      </c>
      <c r="DY218" t="b">
        <f t="shared" si="484"/>
        <v>0</v>
      </c>
      <c r="DZ218" t="b">
        <f t="shared" si="485"/>
        <v>0</v>
      </c>
      <c r="EA218" t="b">
        <f t="shared" si="486"/>
        <v>0</v>
      </c>
      <c r="EB218" t="b">
        <f t="shared" si="487"/>
        <v>0</v>
      </c>
      <c r="EC218" t="b">
        <f t="shared" si="488"/>
        <v>0</v>
      </c>
      <c r="ED218" t="b">
        <f t="shared" si="489"/>
        <v>0</v>
      </c>
      <c r="EE218" t="b">
        <f t="shared" si="490"/>
        <v>0</v>
      </c>
      <c r="EF218">
        <f t="shared" si="491"/>
        <v>1</v>
      </c>
      <c r="EG218" t="b">
        <f t="shared" si="492"/>
        <v>0</v>
      </c>
      <c r="EH218" t="b">
        <f t="shared" si="493"/>
        <v>0</v>
      </c>
      <c r="EI218" t="b">
        <f t="shared" si="494"/>
        <v>0</v>
      </c>
      <c r="EJ218" t="b">
        <f t="shared" si="495"/>
        <v>0</v>
      </c>
      <c r="EK218" t="b">
        <f t="shared" si="496"/>
        <v>0</v>
      </c>
    </row>
    <row r="219" spans="1:141">
      <c r="A219" t="s">
        <v>1193</v>
      </c>
      <c r="B219" t="s">
        <v>1194</v>
      </c>
      <c r="C219" t="s">
        <v>1190</v>
      </c>
      <c r="D219" s="1">
        <v>43662</v>
      </c>
      <c r="E219" s="2">
        <v>43667.855486111112</v>
      </c>
      <c r="F219" s="2">
        <v>43667.855486111112</v>
      </c>
      <c r="G219">
        <v>1858124</v>
      </c>
      <c r="H219" t="s">
        <v>1195</v>
      </c>
      <c r="I219" s="10" t="s">
        <v>1192</v>
      </c>
      <c r="J219" t="s">
        <v>199</v>
      </c>
      <c r="K219" s="8" t="b">
        <v>1</v>
      </c>
      <c r="L219" s="10" t="b">
        <v>0</v>
      </c>
      <c r="M219" s="12" t="b">
        <v>0</v>
      </c>
      <c r="N219" t="b">
        <v>0</v>
      </c>
      <c r="O219" t="b">
        <v>0</v>
      </c>
      <c r="P219" t="b">
        <v>0</v>
      </c>
      <c r="Q219">
        <f t="shared" si="373"/>
        <v>3</v>
      </c>
      <c r="R219">
        <f t="shared" si="374"/>
        <v>7</v>
      </c>
      <c r="S219" t="e">
        <f t="shared" ca="1" si="404"/>
        <v>#NAME?</v>
      </c>
      <c r="T219" t="e">
        <f t="shared" ca="1" si="375"/>
        <v>#NAME?</v>
      </c>
      <c r="U219" s="4">
        <f t="shared" si="376"/>
        <v>5.8554861111115315</v>
      </c>
      <c r="V219" s="4">
        <f t="shared" si="377"/>
        <v>0.19518287037038437</v>
      </c>
      <c r="W219" s="4">
        <f t="shared" si="378"/>
        <v>1</v>
      </c>
      <c r="X219" s="4">
        <f t="shared" si="379"/>
        <v>0</v>
      </c>
      <c r="Y219" s="4">
        <f t="shared" si="380"/>
        <v>0</v>
      </c>
      <c r="Z219" s="4">
        <f t="shared" si="381"/>
        <v>0</v>
      </c>
      <c r="AA219" s="4">
        <f t="shared" si="382"/>
        <v>0</v>
      </c>
      <c r="AB219" s="4">
        <f t="shared" si="383"/>
        <v>0</v>
      </c>
      <c r="AC219" s="4"/>
      <c r="AD219" s="4" t="b">
        <f t="shared" si="384"/>
        <v>0</v>
      </c>
      <c r="AE219" s="4" t="b">
        <f t="shared" si="385"/>
        <v>0</v>
      </c>
      <c r="AF219" s="4" t="b">
        <f t="shared" si="386"/>
        <v>0</v>
      </c>
      <c r="AG219" t="b">
        <f t="shared" si="387"/>
        <v>0</v>
      </c>
      <c r="AH219" t="b">
        <f t="shared" si="388"/>
        <v>0</v>
      </c>
      <c r="AI219" t="b">
        <f t="shared" si="389"/>
        <v>0</v>
      </c>
      <c r="AJ219" t="b">
        <f t="shared" si="390"/>
        <v>0</v>
      </c>
      <c r="AK219" t="b">
        <f t="shared" si="391"/>
        <v>0</v>
      </c>
      <c r="AL219" t="b">
        <f t="shared" si="392"/>
        <v>0</v>
      </c>
      <c r="AM219" t="b">
        <f t="shared" si="393"/>
        <v>0</v>
      </c>
      <c r="AN219" t="b">
        <f t="shared" si="394"/>
        <v>0</v>
      </c>
      <c r="AO219" t="b">
        <f t="shared" si="395"/>
        <v>0</v>
      </c>
      <c r="AP219" t="b">
        <f t="shared" si="396"/>
        <v>0</v>
      </c>
      <c r="AQ219" t="b">
        <f t="shared" si="397"/>
        <v>0</v>
      </c>
      <c r="AR219" t="b">
        <f t="shared" si="398"/>
        <v>0</v>
      </c>
      <c r="AS219" t="b">
        <f t="shared" si="399"/>
        <v>0</v>
      </c>
      <c r="AT219" t="b">
        <f t="shared" si="400"/>
        <v>0</v>
      </c>
      <c r="AU219" t="b">
        <f t="shared" si="401"/>
        <v>0</v>
      </c>
      <c r="AV219" t="b">
        <f t="shared" si="402"/>
        <v>0</v>
      </c>
      <c r="AW219" t="b">
        <f t="shared" si="403"/>
        <v>0</v>
      </c>
      <c r="AX219" t="b">
        <f t="shared" si="405"/>
        <v>0</v>
      </c>
      <c r="AY219" t="b">
        <f t="shared" si="406"/>
        <v>0</v>
      </c>
      <c r="AZ219">
        <f t="shared" si="407"/>
        <v>1</v>
      </c>
      <c r="BA219" t="b">
        <f t="shared" si="408"/>
        <v>0</v>
      </c>
      <c r="BB219" t="b">
        <f t="shared" si="409"/>
        <v>0</v>
      </c>
      <c r="BC219" t="b">
        <f t="shared" si="410"/>
        <v>0</v>
      </c>
      <c r="BD219" t="b">
        <f t="shared" si="411"/>
        <v>0</v>
      </c>
      <c r="BE219" t="b">
        <f t="shared" si="412"/>
        <v>0</v>
      </c>
      <c r="BF219" t="b">
        <f t="shared" si="413"/>
        <v>0</v>
      </c>
      <c r="BG219" t="b">
        <f t="shared" si="414"/>
        <v>0</v>
      </c>
      <c r="BH219" t="b">
        <f t="shared" si="415"/>
        <v>0</v>
      </c>
      <c r="BI219">
        <f t="shared" si="416"/>
        <v>1</v>
      </c>
      <c r="BJ219" t="b">
        <f t="shared" si="417"/>
        <v>0</v>
      </c>
      <c r="BK219" t="b">
        <f t="shared" si="418"/>
        <v>0</v>
      </c>
      <c r="BL219" t="b">
        <f t="shared" si="419"/>
        <v>0</v>
      </c>
      <c r="BM219" t="b">
        <f t="shared" si="420"/>
        <v>0</v>
      </c>
      <c r="BN219" t="b">
        <f t="shared" si="421"/>
        <v>0</v>
      </c>
      <c r="BO219" t="b">
        <f t="shared" si="422"/>
        <v>0</v>
      </c>
      <c r="BP219" t="b">
        <f t="shared" si="423"/>
        <v>0</v>
      </c>
      <c r="BQ219" t="b">
        <f t="shared" si="424"/>
        <v>0</v>
      </c>
      <c r="BR219" t="b">
        <f t="shared" si="425"/>
        <v>0</v>
      </c>
      <c r="BS219" t="b">
        <f t="shared" si="426"/>
        <v>0</v>
      </c>
      <c r="BT219" t="b">
        <f t="shared" si="427"/>
        <v>0</v>
      </c>
      <c r="BU219" t="b">
        <f t="shared" si="428"/>
        <v>0</v>
      </c>
      <c r="BV219" t="b">
        <f t="shared" si="429"/>
        <v>0</v>
      </c>
      <c r="BW219" t="b">
        <f t="shared" si="430"/>
        <v>0</v>
      </c>
      <c r="BX219" t="b">
        <f t="shared" si="431"/>
        <v>0</v>
      </c>
      <c r="BY219" t="b">
        <f t="shared" si="432"/>
        <v>0</v>
      </c>
      <c r="BZ219" t="b">
        <f t="shared" si="433"/>
        <v>0</v>
      </c>
      <c r="CA219" t="b">
        <f t="shared" si="434"/>
        <v>0</v>
      </c>
      <c r="CB219" t="b">
        <f t="shared" si="435"/>
        <v>0</v>
      </c>
      <c r="CC219" t="b">
        <f t="shared" si="436"/>
        <v>0</v>
      </c>
      <c r="CD219" t="b">
        <f t="shared" si="437"/>
        <v>0</v>
      </c>
      <c r="CE219">
        <f t="shared" si="438"/>
        <v>1</v>
      </c>
      <c r="CF219" t="b">
        <f t="shared" si="439"/>
        <v>0</v>
      </c>
      <c r="CG219" t="b">
        <f t="shared" si="440"/>
        <v>0</v>
      </c>
      <c r="CH219" t="b">
        <f t="shared" si="441"/>
        <v>0</v>
      </c>
      <c r="CI219" t="b">
        <f t="shared" si="442"/>
        <v>0</v>
      </c>
      <c r="CJ219" t="b">
        <f t="shared" si="443"/>
        <v>0</v>
      </c>
      <c r="CK219" t="b">
        <f t="shared" si="444"/>
        <v>0</v>
      </c>
      <c r="CL219" t="b">
        <f t="shared" si="445"/>
        <v>0</v>
      </c>
      <c r="CM219" t="b">
        <f t="shared" si="446"/>
        <v>0</v>
      </c>
      <c r="CN219" t="b">
        <f t="shared" si="447"/>
        <v>0</v>
      </c>
      <c r="CO219" t="b">
        <f t="shared" si="448"/>
        <v>0</v>
      </c>
      <c r="CP219" t="b">
        <f t="shared" si="449"/>
        <v>0</v>
      </c>
      <c r="CQ219" t="b">
        <f t="shared" si="450"/>
        <v>0</v>
      </c>
      <c r="CR219" t="b">
        <f t="shared" si="451"/>
        <v>0</v>
      </c>
      <c r="CS219" t="b">
        <f t="shared" si="452"/>
        <v>0</v>
      </c>
      <c r="CT219" t="b">
        <f t="shared" si="453"/>
        <v>0</v>
      </c>
      <c r="CU219" t="b">
        <f t="shared" si="454"/>
        <v>0</v>
      </c>
      <c r="CV219">
        <f t="shared" si="455"/>
        <v>1</v>
      </c>
      <c r="CW219" t="b">
        <f t="shared" si="456"/>
        <v>0</v>
      </c>
      <c r="CX219" t="b">
        <f t="shared" si="457"/>
        <v>0</v>
      </c>
      <c r="CY219" t="b">
        <f t="shared" si="458"/>
        <v>0</v>
      </c>
      <c r="CZ219" t="b">
        <f t="shared" si="459"/>
        <v>0</v>
      </c>
      <c r="DA219" t="b">
        <f t="shared" si="460"/>
        <v>0</v>
      </c>
      <c r="DB219" t="b">
        <f t="shared" si="461"/>
        <v>0</v>
      </c>
      <c r="DC219" t="b">
        <f t="shared" si="462"/>
        <v>0</v>
      </c>
      <c r="DD219" t="b">
        <f t="shared" si="463"/>
        <v>0</v>
      </c>
      <c r="DE219" t="b">
        <f t="shared" si="464"/>
        <v>0</v>
      </c>
      <c r="DF219" t="b">
        <f t="shared" si="465"/>
        <v>0</v>
      </c>
      <c r="DG219" t="b">
        <f t="shared" si="466"/>
        <v>0</v>
      </c>
      <c r="DH219" t="b">
        <f t="shared" si="467"/>
        <v>0</v>
      </c>
      <c r="DI219" t="b">
        <f t="shared" si="468"/>
        <v>0</v>
      </c>
      <c r="DJ219" t="b">
        <f t="shared" si="469"/>
        <v>0</v>
      </c>
      <c r="DK219" t="b">
        <f t="shared" si="470"/>
        <v>0</v>
      </c>
      <c r="DL219" t="b">
        <f t="shared" si="471"/>
        <v>0</v>
      </c>
      <c r="DM219" t="b">
        <f t="shared" si="472"/>
        <v>0</v>
      </c>
      <c r="DN219" t="b">
        <f t="shared" si="473"/>
        <v>0</v>
      </c>
      <c r="DO219" t="b">
        <f t="shared" si="474"/>
        <v>0</v>
      </c>
      <c r="DP219" t="b">
        <f t="shared" si="475"/>
        <v>0</v>
      </c>
      <c r="DQ219" t="b">
        <f t="shared" si="476"/>
        <v>0</v>
      </c>
      <c r="DR219" t="b">
        <f t="shared" si="477"/>
        <v>0</v>
      </c>
      <c r="DS219" t="b">
        <f t="shared" si="478"/>
        <v>0</v>
      </c>
      <c r="DT219" t="b">
        <f t="shared" si="479"/>
        <v>0</v>
      </c>
      <c r="DU219" t="b">
        <f t="shared" si="480"/>
        <v>0</v>
      </c>
      <c r="DV219" t="b">
        <f t="shared" si="481"/>
        <v>0</v>
      </c>
      <c r="DW219" t="b">
        <f t="shared" si="482"/>
        <v>0</v>
      </c>
      <c r="DX219" t="b">
        <f t="shared" si="483"/>
        <v>0</v>
      </c>
      <c r="DY219" t="b">
        <f t="shared" si="484"/>
        <v>0</v>
      </c>
      <c r="DZ219" t="b">
        <f t="shared" si="485"/>
        <v>0</v>
      </c>
      <c r="EA219" t="b">
        <f t="shared" si="486"/>
        <v>0</v>
      </c>
      <c r="EB219" t="b">
        <f t="shared" si="487"/>
        <v>0</v>
      </c>
      <c r="EC219" t="b">
        <f t="shared" si="488"/>
        <v>0</v>
      </c>
      <c r="ED219" t="b">
        <f t="shared" si="489"/>
        <v>0</v>
      </c>
      <c r="EE219" t="b">
        <f t="shared" si="490"/>
        <v>0</v>
      </c>
      <c r="EF219">
        <f t="shared" si="491"/>
        <v>1</v>
      </c>
      <c r="EG219" t="b">
        <f t="shared" si="492"/>
        <v>0</v>
      </c>
      <c r="EH219" t="b">
        <f t="shared" si="493"/>
        <v>0</v>
      </c>
      <c r="EI219" t="b">
        <f t="shared" si="494"/>
        <v>0</v>
      </c>
      <c r="EJ219" t="b">
        <f t="shared" si="495"/>
        <v>0</v>
      </c>
      <c r="EK219" t="b">
        <f t="shared" si="496"/>
        <v>0</v>
      </c>
    </row>
    <row r="220" spans="1:141">
      <c r="A220" t="s">
        <v>1196</v>
      </c>
      <c r="B220" t="s">
        <v>1196</v>
      </c>
      <c r="C220" t="s">
        <v>1197</v>
      </c>
      <c r="D220" s="1">
        <v>42046</v>
      </c>
      <c r="E220" s="2">
        <v>42047.237638888888</v>
      </c>
      <c r="F220" s="2">
        <v>42047.237638888888</v>
      </c>
      <c r="G220">
        <v>40256</v>
      </c>
      <c r="H220" t="s">
        <v>1198</v>
      </c>
      <c r="I220" s="10" t="s">
        <v>1199</v>
      </c>
      <c r="J220" t="s">
        <v>1200</v>
      </c>
      <c r="K220" s="8" t="b">
        <v>1</v>
      </c>
      <c r="L220" s="10" t="b">
        <v>0</v>
      </c>
      <c r="M220" s="12" t="b">
        <v>0</v>
      </c>
      <c r="N220" t="b">
        <v>0</v>
      </c>
      <c r="O220" t="b">
        <v>0</v>
      </c>
      <c r="P220" t="b">
        <v>0</v>
      </c>
      <c r="Q220">
        <f t="shared" si="373"/>
        <v>4</v>
      </c>
      <c r="R220">
        <f t="shared" si="374"/>
        <v>2</v>
      </c>
      <c r="S220" t="e">
        <f t="shared" ca="1" si="404"/>
        <v>#NAME?</v>
      </c>
      <c r="T220" t="e">
        <f t="shared" ca="1" si="375"/>
        <v>#NAME?</v>
      </c>
      <c r="U220" s="4">
        <f t="shared" si="376"/>
        <v>1.2376388888878864</v>
      </c>
      <c r="V220" s="4">
        <f t="shared" si="377"/>
        <v>4.1254629629596216E-2</v>
      </c>
      <c r="W220" s="4">
        <f t="shared" si="378"/>
        <v>1</v>
      </c>
      <c r="X220" s="4">
        <f t="shared" si="379"/>
        <v>0</v>
      </c>
      <c r="Y220" s="4">
        <f t="shared" si="380"/>
        <v>0</v>
      </c>
      <c r="Z220" s="4">
        <f t="shared" si="381"/>
        <v>0</v>
      </c>
      <c r="AA220" s="4">
        <f t="shared" si="382"/>
        <v>0</v>
      </c>
      <c r="AB220" s="4">
        <f t="shared" si="383"/>
        <v>0</v>
      </c>
      <c r="AC220" s="4"/>
      <c r="AD220" s="4" t="b">
        <f t="shared" si="384"/>
        <v>0</v>
      </c>
      <c r="AE220" s="4" t="b">
        <f t="shared" si="385"/>
        <v>0</v>
      </c>
      <c r="AF220" s="4" t="b">
        <f t="shared" si="386"/>
        <v>0</v>
      </c>
      <c r="AG220" t="b">
        <f t="shared" si="387"/>
        <v>0</v>
      </c>
      <c r="AH220" t="b">
        <f t="shared" si="388"/>
        <v>0</v>
      </c>
      <c r="AI220" t="b">
        <f t="shared" si="389"/>
        <v>0</v>
      </c>
      <c r="AJ220" t="b">
        <f t="shared" si="390"/>
        <v>0</v>
      </c>
      <c r="AK220" t="b">
        <f t="shared" si="391"/>
        <v>0</v>
      </c>
      <c r="AL220" t="b">
        <f t="shared" si="392"/>
        <v>0</v>
      </c>
      <c r="AM220" t="b">
        <f t="shared" si="393"/>
        <v>0</v>
      </c>
      <c r="AN220" t="b">
        <f t="shared" si="394"/>
        <v>0</v>
      </c>
      <c r="AO220" t="b">
        <f t="shared" si="395"/>
        <v>0</v>
      </c>
      <c r="AP220" t="b">
        <f t="shared" si="396"/>
        <v>0</v>
      </c>
      <c r="AQ220" t="b">
        <f t="shared" si="397"/>
        <v>0</v>
      </c>
      <c r="AR220" t="b">
        <f t="shared" si="398"/>
        <v>0</v>
      </c>
      <c r="AS220" t="b">
        <f t="shared" si="399"/>
        <v>0</v>
      </c>
      <c r="AT220" t="b">
        <f t="shared" si="400"/>
        <v>0</v>
      </c>
      <c r="AU220" t="b">
        <f t="shared" si="401"/>
        <v>0</v>
      </c>
      <c r="AV220" t="b">
        <f t="shared" si="402"/>
        <v>0</v>
      </c>
      <c r="AW220" t="b">
        <f t="shared" si="403"/>
        <v>0</v>
      </c>
      <c r="AX220" t="b">
        <f t="shared" si="405"/>
        <v>0</v>
      </c>
      <c r="AY220" t="b">
        <f t="shared" si="406"/>
        <v>0</v>
      </c>
      <c r="AZ220" t="b">
        <f t="shared" si="407"/>
        <v>0</v>
      </c>
      <c r="BA220" t="b">
        <f t="shared" si="408"/>
        <v>0</v>
      </c>
      <c r="BB220" t="b">
        <f t="shared" si="409"/>
        <v>0</v>
      </c>
      <c r="BC220" t="b">
        <f t="shared" si="410"/>
        <v>0</v>
      </c>
      <c r="BD220" t="b">
        <f t="shared" si="411"/>
        <v>0</v>
      </c>
      <c r="BE220" t="b">
        <f t="shared" si="412"/>
        <v>0</v>
      </c>
      <c r="BF220" t="b">
        <f t="shared" si="413"/>
        <v>0</v>
      </c>
      <c r="BG220" t="b">
        <f t="shared" si="414"/>
        <v>0</v>
      </c>
      <c r="BH220" t="b">
        <f t="shared" si="415"/>
        <v>0</v>
      </c>
      <c r="BI220">
        <f t="shared" si="416"/>
        <v>1</v>
      </c>
      <c r="BJ220" t="b">
        <f t="shared" si="417"/>
        <v>0</v>
      </c>
      <c r="BK220" t="b">
        <f t="shared" si="418"/>
        <v>0</v>
      </c>
      <c r="BL220" t="b">
        <f t="shared" si="419"/>
        <v>0</v>
      </c>
      <c r="BM220" t="b">
        <f t="shared" si="420"/>
        <v>0</v>
      </c>
      <c r="BN220" t="b">
        <f t="shared" si="421"/>
        <v>0</v>
      </c>
      <c r="BO220" t="b">
        <f t="shared" si="422"/>
        <v>0</v>
      </c>
      <c r="BP220" t="b">
        <f t="shared" si="423"/>
        <v>0</v>
      </c>
      <c r="BQ220" t="b">
        <f t="shared" si="424"/>
        <v>0</v>
      </c>
      <c r="BR220" t="b">
        <f t="shared" si="425"/>
        <v>0</v>
      </c>
      <c r="BS220" t="b">
        <f t="shared" si="426"/>
        <v>0</v>
      </c>
      <c r="BT220">
        <f t="shared" si="427"/>
        <v>1</v>
      </c>
      <c r="BU220" t="b">
        <f t="shared" si="428"/>
        <v>0</v>
      </c>
      <c r="BV220" t="b">
        <f t="shared" si="429"/>
        <v>0</v>
      </c>
      <c r="BW220" t="b">
        <f t="shared" si="430"/>
        <v>0</v>
      </c>
      <c r="BX220" t="b">
        <f t="shared" si="431"/>
        <v>0</v>
      </c>
      <c r="BY220" t="b">
        <f t="shared" si="432"/>
        <v>0</v>
      </c>
      <c r="BZ220" t="b">
        <f t="shared" si="433"/>
        <v>0</v>
      </c>
      <c r="CA220" t="b">
        <f t="shared" si="434"/>
        <v>0</v>
      </c>
      <c r="CB220" t="b">
        <f t="shared" si="435"/>
        <v>0</v>
      </c>
      <c r="CC220" t="b">
        <f t="shared" si="436"/>
        <v>0</v>
      </c>
      <c r="CD220" t="b">
        <f t="shared" si="437"/>
        <v>0</v>
      </c>
      <c r="CE220" t="b">
        <f t="shared" si="438"/>
        <v>0</v>
      </c>
      <c r="CF220" t="b">
        <f t="shared" si="439"/>
        <v>0</v>
      </c>
      <c r="CG220" t="b">
        <f t="shared" si="440"/>
        <v>0</v>
      </c>
      <c r="CH220" t="b">
        <f t="shared" si="441"/>
        <v>0</v>
      </c>
      <c r="CI220" t="b">
        <f t="shared" si="442"/>
        <v>0</v>
      </c>
      <c r="CJ220" t="b">
        <f t="shared" si="443"/>
        <v>0</v>
      </c>
      <c r="CK220" t="b">
        <f t="shared" si="444"/>
        <v>0</v>
      </c>
      <c r="CL220" t="b">
        <f t="shared" si="445"/>
        <v>0</v>
      </c>
      <c r="CM220" t="b">
        <f t="shared" si="446"/>
        <v>0</v>
      </c>
      <c r="CN220" t="b">
        <f t="shared" si="447"/>
        <v>0</v>
      </c>
      <c r="CO220" t="b">
        <f t="shared" si="448"/>
        <v>0</v>
      </c>
      <c r="CP220" t="b">
        <f t="shared" si="449"/>
        <v>0</v>
      </c>
      <c r="CQ220" t="b">
        <f t="shared" si="450"/>
        <v>0</v>
      </c>
      <c r="CR220" t="b">
        <f t="shared" si="451"/>
        <v>0</v>
      </c>
      <c r="CS220" t="b">
        <f t="shared" si="452"/>
        <v>0</v>
      </c>
      <c r="CT220" t="b">
        <f t="shared" si="453"/>
        <v>0</v>
      </c>
      <c r="CU220" t="b">
        <f t="shared" si="454"/>
        <v>0</v>
      </c>
      <c r="CV220" t="b">
        <f t="shared" si="455"/>
        <v>0</v>
      </c>
      <c r="CW220" t="b">
        <f t="shared" si="456"/>
        <v>0</v>
      </c>
      <c r="CX220" t="b">
        <f t="shared" si="457"/>
        <v>0</v>
      </c>
      <c r="CY220" t="b">
        <f t="shared" si="458"/>
        <v>0</v>
      </c>
      <c r="CZ220" t="b">
        <f t="shared" si="459"/>
        <v>0</v>
      </c>
      <c r="DA220" t="b">
        <f t="shared" si="460"/>
        <v>0</v>
      </c>
      <c r="DB220">
        <f t="shared" si="461"/>
        <v>1</v>
      </c>
      <c r="DC220" t="b">
        <f t="shared" si="462"/>
        <v>0</v>
      </c>
      <c r="DD220" t="b">
        <f t="shared" si="463"/>
        <v>0</v>
      </c>
      <c r="DE220" t="b">
        <f t="shared" si="464"/>
        <v>0</v>
      </c>
      <c r="DF220" t="b">
        <f t="shared" si="465"/>
        <v>0</v>
      </c>
      <c r="DG220" t="b">
        <f t="shared" si="466"/>
        <v>0</v>
      </c>
      <c r="DH220" t="b">
        <f t="shared" si="467"/>
        <v>0</v>
      </c>
      <c r="DI220" t="b">
        <f t="shared" si="468"/>
        <v>0</v>
      </c>
      <c r="DJ220" t="b">
        <f t="shared" si="469"/>
        <v>0</v>
      </c>
      <c r="DK220" t="b">
        <f t="shared" si="470"/>
        <v>0</v>
      </c>
      <c r="DL220" t="b">
        <f t="shared" si="471"/>
        <v>0</v>
      </c>
      <c r="DM220" t="b">
        <f t="shared" si="472"/>
        <v>0</v>
      </c>
      <c r="DN220" t="b">
        <f t="shared" si="473"/>
        <v>0</v>
      </c>
      <c r="DO220" t="b">
        <f t="shared" si="474"/>
        <v>0</v>
      </c>
      <c r="DP220" t="b">
        <f t="shared" si="475"/>
        <v>0</v>
      </c>
      <c r="DQ220" t="b">
        <f t="shared" si="476"/>
        <v>0</v>
      </c>
      <c r="DR220" t="b">
        <f t="shared" si="477"/>
        <v>0</v>
      </c>
      <c r="DS220" t="b">
        <f t="shared" si="478"/>
        <v>0</v>
      </c>
      <c r="DT220" t="b">
        <f t="shared" si="479"/>
        <v>0</v>
      </c>
      <c r="DU220" t="b">
        <f t="shared" si="480"/>
        <v>0</v>
      </c>
      <c r="DV220" t="b">
        <f t="shared" si="481"/>
        <v>0</v>
      </c>
      <c r="DW220" t="b">
        <f t="shared" si="482"/>
        <v>0</v>
      </c>
      <c r="DX220" t="b">
        <f t="shared" si="483"/>
        <v>0</v>
      </c>
      <c r="DY220" t="b">
        <f t="shared" si="484"/>
        <v>0</v>
      </c>
      <c r="DZ220" t="b">
        <f t="shared" si="485"/>
        <v>0</v>
      </c>
      <c r="EA220" t="b">
        <f t="shared" si="486"/>
        <v>0</v>
      </c>
      <c r="EB220" t="b">
        <f t="shared" si="487"/>
        <v>0</v>
      </c>
      <c r="EC220" t="b">
        <f t="shared" si="488"/>
        <v>0</v>
      </c>
      <c r="ED220" t="b">
        <f t="shared" si="489"/>
        <v>0</v>
      </c>
      <c r="EE220" t="b">
        <f t="shared" si="490"/>
        <v>0</v>
      </c>
      <c r="EF220" t="b">
        <f t="shared" si="491"/>
        <v>0</v>
      </c>
      <c r="EG220" t="b">
        <f t="shared" si="492"/>
        <v>0</v>
      </c>
      <c r="EH220" t="b">
        <f t="shared" si="493"/>
        <v>0</v>
      </c>
      <c r="EI220" t="b">
        <f t="shared" si="494"/>
        <v>0</v>
      </c>
      <c r="EJ220" t="b">
        <f t="shared" si="495"/>
        <v>0</v>
      </c>
      <c r="EK220" t="b">
        <f t="shared" si="496"/>
        <v>0</v>
      </c>
    </row>
    <row r="221" spans="1:141">
      <c r="A221" t="s">
        <v>1201</v>
      </c>
      <c r="B221" t="s">
        <v>1201</v>
      </c>
      <c r="C221" t="s">
        <v>1202</v>
      </c>
      <c r="D221" s="1">
        <v>44553</v>
      </c>
      <c r="E221" s="2">
        <v>44567.257754629631</v>
      </c>
      <c r="F221" s="2">
        <v>44567.273912037039</v>
      </c>
      <c r="G221">
        <v>3756794</v>
      </c>
      <c r="H221" t="s">
        <v>1203</v>
      </c>
      <c r="I221" s="10" t="s">
        <v>1204</v>
      </c>
      <c r="J221" t="s">
        <v>1205</v>
      </c>
      <c r="K221" s="8" t="b">
        <v>1</v>
      </c>
      <c r="L221" s="10" t="b">
        <v>0</v>
      </c>
      <c r="M221" s="12" t="b">
        <v>0</v>
      </c>
      <c r="N221" t="b">
        <v>0</v>
      </c>
      <c r="O221" t="b">
        <v>0</v>
      </c>
      <c r="P221" t="b">
        <v>0</v>
      </c>
      <c r="Q221">
        <f t="shared" si="373"/>
        <v>5</v>
      </c>
      <c r="R221">
        <f t="shared" si="374"/>
        <v>12</v>
      </c>
      <c r="S221" t="e">
        <f t="shared" ca="1" si="404"/>
        <v>#NAME?</v>
      </c>
      <c r="T221" t="e">
        <f t="shared" ca="1" si="375"/>
        <v>#NAME?</v>
      </c>
      <c r="U221" s="4">
        <f t="shared" si="376"/>
        <v>14.257754629630654</v>
      </c>
      <c r="V221" s="4">
        <f t="shared" si="377"/>
        <v>0.47525848765435513</v>
      </c>
      <c r="W221" s="4">
        <f t="shared" si="378"/>
        <v>1</v>
      </c>
      <c r="X221" s="4">
        <f t="shared" si="379"/>
        <v>0</v>
      </c>
      <c r="Y221" s="4">
        <f t="shared" si="380"/>
        <v>0</v>
      </c>
      <c r="Z221" s="4">
        <f t="shared" si="381"/>
        <v>0</v>
      </c>
      <c r="AA221" s="4">
        <f t="shared" si="382"/>
        <v>0</v>
      </c>
      <c r="AB221" s="4">
        <f t="shared" si="383"/>
        <v>0</v>
      </c>
      <c r="AC221" s="4"/>
      <c r="AD221" s="4" t="b">
        <f t="shared" si="384"/>
        <v>0</v>
      </c>
      <c r="AE221" s="4" t="b">
        <f t="shared" si="385"/>
        <v>0</v>
      </c>
      <c r="AF221" s="4" t="b">
        <f t="shared" si="386"/>
        <v>0</v>
      </c>
      <c r="AG221" t="b">
        <f t="shared" si="387"/>
        <v>0</v>
      </c>
      <c r="AH221" t="b">
        <f t="shared" si="388"/>
        <v>0</v>
      </c>
      <c r="AI221" t="b">
        <f t="shared" si="389"/>
        <v>0</v>
      </c>
      <c r="AJ221" t="b">
        <f t="shared" si="390"/>
        <v>0</v>
      </c>
      <c r="AK221" t="b">
        <f t="shared" si="391"/>
        <v>0</v>
      </c>
      <c r="AL221" t="b">
        <f t="shared" si="392"/>
        <v>0</v>
      </c>
      <c r="AM221" t="b">
        <f t="shared" si="393"/>
        <v>0</v>
      </c>
      <c r="AN221" t="b">
        <f t="shared" si="394"/>
        <v>0</v>
      </c>
      <c r="AO221" t="b">
        <f t="shared" si="395"/>
        <v>0</v>
      </c>
      <c r="AP221" t="b">
        <f t="shared" si="396"/>
        <v>0</v>
      </c>
      <c r="AQ221" t="b">
        <f t="shared" si="397"/>
        <v>0</v>
      </c>
      <c r="AR221" t="b">
        <f t="shared" si="398"/>
        <v>0</v>
      </c>
      <c r="AS221" t="b">
        <f t="shared" si="399"/>
        <v>0</v>
      </c>
      <c r="AT221" t="b">
        <f t="shared" si="400"/>
        <v>0</v>
      </c>
      <c r="AU221" t="b">
        <f t="shared" si="401"/>
        <v>0</v>
      </c>
      <c r="AV221" t="b">
        <f t="shared" si="402"/>
        <v>0</v>
      </c>
      <c r="AW221" t="b">
        <f t="shared" si="403"/>
        <v>0</v>
      </c>
      <c r="AX221" t="b">
        <f t="shared" si="405"/>
        <v>0</v>
      </c>
      <c r="AY221" t="b">
        <f t="shared" si="406"/>
        <v>0</v>
      </c>
      <c r="AZ221" t="b">
        <f t="shared" si="407"/>
        <v>0</v>
      </c>
      <c r="BA221" t="b">
        <f t="shared" si="408"/>
        <v>0</v>
      </c>
      <c r="BB221" t="b">
        <f t="shared" si="409"/>
        <v>0</v>
      </c>
      <c r="BC221" t="b">
        <f t="shared" si="410"/>
        <v>0</v>
      </c>
      <c r="BD221" t="b">
        <f t="shared" si="411"/>
        <v>0</v>
      </c>
      <c r="BE221" t="b">
        <f t="shared" si="412"/>
        <v>0</v>
      </c>
      <c r="BF221" t="b">
        <f t="shared" si="413"/>
        <v>0</v>
      </c>
      <c r="BG221" t="b">
        <f t="shared" si="414"/>
        <v>0</v>
      </c>
      <c r="BH221" t="b">
        <f t="shared" si="415"/>
        <v>0</v>
      </c>
      <c r="BI221">
        <f t="shared" si="416"/>
        <v>1</v>
      </c>
      <c r="BJ221" t="b">
        <f t="shared" si="417"/>
        <v>0</v>
      </c>
      <c r="BK221" t="b">
        <f t="shared" si="418"/>
        <v>0</v>
      </c>
      <c r="BL221" t="b">
        <f t="shared" si="419"/>
        <v>0</v>
      </c>
      <c r="BM221" t="b">
        <f t="shared" si="420"/>
        <v>0</v>
      </c>
      <c r="BN221" t="b">
        <f t="shared" si="421"/>
        <v>0</v>
      </c>
      <c r="BO221" t="b">
        <f t="shared" si="422"/>
        <v>0</v>
      </c>
      <c r="BP221" t="b">
        <f t="shared" si="423"/>
        <v>0</v>
      </c>
      <c r="BQ221" t="b">
        <f t="shared" si="424"/>
        <v>0</v>
      </c>
      <c r="BR221" t="b">
        <f t="shared" si="425"/>
        <v>0</v>
      </c>
      <c r="BS221" t="b">
        <f t="shared" si="426"/>
        <v>0</v>
      </c>
      <c r="BT221" t="b">
        <f t="shared" si="427"/>
        <v>0</v>
      </c>
      <c r="BU221" t="b">
        <f t="shared" si="428"/>
        <v>0</v>
      </c>
      <c r="BV221" t="b">
        <f t="shared" si="429"/>
        <v>0</v>
      </c>
      <c r="BW221" t="b">
        <f t="shared" si="430"/>
        <v>0</v>
      </c>
      <c r="BX221" t="b">
        <f t="shared" si="431"/>
        <v>0</v>
      </c>
      <c r="BY221" t="b">
        <f t="shared" si="432"/>
        <v>0</v>
      </c>
      <c r="BZ221" t="b">
        <f t="shared" si="433"/>
        <v>0</v>
      </c>
      <c r="CA221" t="b">
        <f t="shared" si="434"/>
        <v>0</v>
      </c>
      <c r="CB221" t="b">
        <f t="shared" si="435"/>
        <v>0</v>
      </c>
      <c r="CC221" t="b">
        <f t="shared" si="436"/>
        <v>0</v>
      </c>
      <c r="CD221" t="b">
        <f t="shared" si="437"/>
        <v>0</v>
      </c>
      <c r="CE221" t="b">
        <f t="shared" si="438"/>
        <v>0</v>
      </c>
      <c r="CF221" t="b">
        <f t="shared" si="439"/>
        <v>0</v>
      </c>
      <c r="CG221" t="b">
        <f t="shared" si="440"/>
        <v>0</v>
      </c>
      <c r="CH221" t="b">
        <f t="shared" si="441"/>
        <v>0</v>
      </c>
      <c r="CI221" t="b">
        <f t="shared" si="442"/>
        <v>0</v>
      </c>
      <c r="CJ221" t="b">
        <f t="shared" si="443"/>
        <v>0</v>
      </c>
      <c r="CK221" t="b">
        <f t="shared" si="444"/>
        <v>0</v>
      </c>
      <c r="CL221" t="b">
        <f t="shared" si="445"/>
        <v>0</v>
      </c>
      <c r="CM221">
        <f t="shared" si="446"/>
        <v>1</v>
      </c>
      <c r="CN221" t="b">
        <f t="shared" si="447"/>
        <v>0</v>
      </c>
      <c r="CO221" t="b">
        <f t="shared" si="448"/>
        <v>0</v>
      </c>
      <c r="CP221" t="b">
        <f t="shared" si="449"/>
        <v>0</v>
      </c>
      <c r="CQ221" t="b">
        <f t="shared" si="450"/>
        <v>0</v>
      </c>
      <c r="CR221" t="b">
        <f t="shared" si="451"/>
        <v>0</v>
      </c>
      <c r="CS221" t="b">
        <f t="shared" si="452"/>
        <v>0</v>
      </c>
      <c r="CT221" t="b">
        <f t="shared" si="453"/>
        <v>0</v>
      </c>
      <c r="CU221" t="b">
        <f t="shared" si="454"/>
        <v>0</v>
      </c>
      <c r="CV221">
        <f t="shared" si="455"/>
        <v>1</v>
      </c>
      <c r="CW221" t="b">
        <f t="shared" si="456"/>
        <v>0</v>
      </c>
      <c r="CX221" t="b">
        <f t="shared" si="457"/>
        <v>0</v>
      </c>
      <c r="CY221" t="b">
        <f t="shared" si="458"/>
        <v>0</v>
      </c>
      <c r="CZ221" t="b">
        <f t="shared" si="459"/>
        <v>0</v>
      </c>
      <c r="DA221">
        <f t="shared" si="460"/>
        <v>1</v>
      </c>
      <c r="DB221" t="b">
        <f t="shared" si="461"/>
        <v>0</v>
      </c>
      <c r="DC221" t="b">
        <f t="shared" si="462"/>
        <v>0</v>
      </c>
      <c r="DD221" t="b">
        <f t="shared" si="463"/>
        <v>0</v>
      </c>
      <c r="DE221" t="b">
        <f t="shared" si="464"/>
        <v>0</v>
      </c>
      <c r="DF221" t="b">
        <f t="shared" si="465"/>
        <v>0</v>
      </c>
      <c r="DG221" t="b">
        <f t="shared" si="466"/>
        <v>0</v>
      </c>
      <c r="DH221" t="b">
        <f t="shared" si="467"/>
        <v>0</v>
      </c>
      <c r="DI221" t="b">
        <f t="shared" si="468"/>
        <v>0</v>
      </c>
      <c r="DJ221" t="b">
        <f t="shared" si="469"/>
        <v>0</v>
      </c>
      <c r="DK221" t="b">
        <f t="shared" si="470"/>
        <v>0</v>
      </c>
      <c r="DL221" t="b">
        <f t="shared" si="471"/>
        <v>0</v>
      </c>
      <c r="DM221" t="b">
        <f t="shared" si="472"/>
        <v>0</v>
      </c>
      <c r="DN221" t="b">
        <f t="shared" si="473"/>
        <v>0</v>
      </c>
      <c r="DO221" t="b">
        <f t="shared" si="474"/>
        <v>0</v>
      </c>
      <c r="DP221" t="b">
        <f t="shared" si="475"/>
        <v>0</v>
      </c>
      <c r="DQ221" t="b">
        <f t="shared" si="476"/>
        <v>0</v>
      </c>
      <c r="DR221" t="b">
        <f t="shared" si="477"/>
        <v>0</v>
      </c>
      <c r="DS221" t="b">
        <f t="shared" si="478"/>
        <v>0</v>
      </c>
      <c r="DT221" t="b">
        <f t="shared" si="479"/>
        <v>0</v>
      </c>
      <c r="DU221" t="b">
        <f t="shared" si="480"/>
        <v>0</v>
      </c>
      <c r="DV221" t="b">
        <f t="shared" si="481"/>
        <v>0</v>
      </c>
      <c r="DW221" t="b">
        <f t="shared" si="482"/>
        <v>0</v>
      </c>
      <c r="DX221" t="b">
        <f t="shared" si="483"/>
        <v>0</v>
      </c>
      <c r="DY221" t="b">
        <f t="shared" si="484"/>
        <v>0</v>
      </c>
      <c r="DZ221" t="b">
        <f t="shared" si="485"/>
        <v>0</v>
      </c>
      <c r="EA221" t="b">
        <f t="shared" si="486"/>
        <v>0</v>
      </c>
      <c r="EB221" t="b">
        <f t="shared" si="487"/>
        <v>0</v>
      </c>
      <c r="EC221" t="b">
        <f t="shared" si="488"/>
        <v>0</v>
      </c>
      <c r="ED221" t="b">
        <f t="shared" si="489"/>
        <v>0</v>
      </c>
      <c r="EE221" t="b">
        <f t="shared" si="490"/>
        <v>0</v>
      </c>
      <c r="EF221" t="b">
        <f t="shared" si="491"/>
        <v>0</v>
      </c>
      <c r="EG221" t="b">
        <f t="shared" si="492"/>
        <v>0</v>
      </c>
      <c r="EH221" t="b">
        <f t="shared" si="493"/>
        <v>0</v>
      </c>
      <c r="EI221" t="b">
        <f t="shared" si="494"/>
        <v>0</v>
      </c>
      <c r="EJ221" t="b">
        <f t="shared" si="495"/>
        <v>0</v>
      </c>
      <c r="EK221" t="b">
        <f t="shared" si="496"/>
        <v>0</v>
      </c>
    </row>
    <row r="222" spans="1:141">
      <c r="A222" t="s">
        <v>1206</v>
      </c>
      <c r="B222" t="s">
        <v>1206</v>
      </c>
      <c r="C222" t="s">
        <v>1207</v>
      </c>
      <c r="D222" s="1">
        <v>40612</v>
      </c>
      <c r="E222" s="2">
        <v>42518.963969907411</v>
      </c>
      <c r="F222" s="2">
        <v>42518.963969907411</v>
      </c>
      <c r="G222">
        <v>40767652</v>
      </c>
      <c r="H222" t="s">
        <v>1208</v>
      </c>
      <c r="I222" s="10" t="s">
        <v>1209</v>
      </c>
      <c r="J222" t="s">
        <v>1210</v>
      </c>
      <c r="K222" s="8" t="b">
        <v>1</v>
      </c>
      <c r="L222" s="10" t="b">
        <v>0</v>
      </c>
      <c r="M222" s="12" t="b">
        <v>1</v>
      </c>
      <c r="N222" t="b">
        <v>0</v>
      </c>
      <c r="O222" t="b">
        <v>0</v>
      </c>
      <c r="P222" t="b">
        <v>0</v>
      </c>
      <c r="Q222">
        <f t="shared" si="373"/>
        <v>5</v>
      </c>
      <c r="R222">
        <f t="shared" si="374"/>
        <v>3</v>
      </c>
      <c r="S222" t="e">
        <f t="shared" ca="1" si="404"/>
        <v>#NAME?</v>
      </c>
      <c r="T222" t="e">
        <f t="shared" ca="1" si="375"/>
        <v>#NAME?</v>
      </c>
      <c r="U222" s="4">
        <f t="shared" si="376"/>
        <v>1906.9639699074105</v>
      </c>
      <c r="V222" s="4">
        <f t="shared" si="377"/>
        <v>63.565465663580348</v>
      </c>
      <c r="W222" s="4">
        <f t="shared" si="378"/>
        <v>1</v>
      </c>
      <c r="X222" s="4">
        <f t="shared" si="379"/>
        <v>0</v>
      </c>
      <c r="Y222" s="4">
        <f t="shared" si="380"/>
        <v>1</v>
      </c>
      <c r="Z222" s="4">
        <f t="shared" si="381"/>
        <v>0</v>
      </c>
      <c r="AA222" s="4">
        <f t="shared" si="382"/>
        <v>0</v>
      </c>
      <c r="AB222" s="4">
        <f t="shared" si="383"/>
        <v>0</v>
      </c>
      <c r="AC222" s="4"/>
      <c r="AD222" s="4" t="b">
        <f t="shared" si="384"/>
        <v>0</v>
      </c>
      <c r="AE222" s="4" t="b">
        <f t="shared" si="385"/>
        <v>0</v>
      </c>
      <c r="AF222" s="4" t="b">
        <f t="shared" si="386"/>
        <v>0</v>
      </c>
      <c r="AG222" t="b">
        <f t="shared" si="387"/>
        <v>0</v>
      </c>
      <c r="AH222" t="b">
        <f t="shared" si="388"/>
        <v>0</v>
      </c>
      <c r="AI222" t="b">
        <f t="shared" si="389"/>
        <v>0</v>
      </c>
      <c r="AJ222" t="b">
        <f t="shared" si="390"/>
        <v>0</v>
      </c>
      <c r="AK222" t="b">
        <f t="shared" si="391"/>
        <v>0</v>
      </c>
      <c r="AL222" t="b">
        <f t="shared" si="392"/>
        <v>0</v>
      </c>
      <c r="AM222" t="b">
        <f t="shared" si="393"/>
        <v>0</v>
      </c>
      <c r="AN222" t="b">
        <f t="shared" si="394"/>
        <v>0</v>
      </c>
      <c r="AO222" t="b">
        <f t="shared" si="395"/>
        <v>0</v>
      </c>
      <c r="AP222" t="b">
        <f t="shared" si="396"/>
        <v>0</v>
      </c>
      <c r="AQ222" t="b">
        <f t="shared" si="397"/>
        <v>0</v>
      </c>
      <c r="AR222" t="b">
        <f t="shared" si="398"/>
        <v>0</v>
      </c>
      <c r="AS222" t="b">
        <f t="shared" si="399"/>
        <v>0</v>
      </c>
      <c r="AT222" t="b">
        <f t="shared" si="400"/>
        <v>0</v>
      </c>
      <c r="AU222" t="b">
        <f t="shared" si="401"/>
        <v>0</v>
      </c>
      <c r="AV222" t="b">
        <f t="shared" si="402"/>
        <v>0</v>
      </c>
      <c r="AW222" t="b">
        <f t="shared" si="403"/>
        <v>0</v>
      </c>
      <c r="AX222" t="b">
        <f t="shared" si="405"/>
        <v>0</v>
      </c>
      <c r="AY222" t="b">
        <f t="shared" si="406"/>
        <v>0</v>
      </c>
      <c r="AZ222">
        <f t="shared" si="407"/>
        <v>1</v>
      </c>
      <c r="BA222" t="b">
        <f t="shared" si="408"/>
        <v>0</v>
      </c>
      <c r="BB222" t="b">
        <f t="shared" si="409"/>
        <v>0</v>
      </c>
      <c r="BC222" t="b">
        <f t="shared" si="410"/>
        <v>0</v>
      </c>
      <c r="BD222" t="b">
        <f t="shared" si="411"/>
        <v>0</v>
      </c>
      <c r="BE222" t="b">
        <f t="shared" si="412"/>
        <v>0</v>
      </c>
      <c r="BF222" t="b">
        <f t="shared" si="413"/>
        <v>0</v>
      </c>
      <c r="BG222" t="b">
        <f t="shared" si="414"/>
        <v>0</v>
      </c>
      <c r="BH222" t="b">
        <f t="shared" si="415"/>
        <v>0</v>
      </c>
      <c r="BI222">
        <f t="shared" si="416"/>
        <v>1</v>
      </c>
      <c r="BJ222" t="b">
        <f t="shared" si="417"/>
        <v>0</v>
      </c>
      <c r="BK222" t="b">
        <f t="shared" si="418"/>
        <v>0</v>
      </c>
      <c r="BL222" t="b">
        <f t="shared" si="419"/>
        <v>0</v>
      </c>
      <c r="BM222" t="b">
        <f t="shared" si="420"/>
        <v>0</v>
      </c>
      <c r="BN222" t="b">
        <f t="shared" si="421"/>
        <v>0</v>
      </c>
      <c r="BO222" t="b">
        <f t="shared" si="422"/>
        <v>0</v>
      </c>
      <c r="BP222" t="b">
        <f t="shared" si="423"/>
        <v>0</v>
      </c>
      <c r="BQ222" t="b">
        <f t="shared" si="424"/>
        <v>0</v>
      </c>
      <c r="BR222">
        <f t="shared" si="425"/>
        <v>1</v>
      </c>
      <c r="BS222">
        <f t="shared" si="426"/>
        <v>1</v>
      </c>
      <c r="BT222" t="b">
        <f t="shared" si="427"/>
        <v>0</v>
      </c>
      <c r="BU222" t="b">
        <f t="shared" si="428"/>
        <v>0</v>
      </c>
      <c r="BV222" t="b">
        <f t="shared" si="429"/>
        <v>0</v>
      </c>
      <c r="BW222" t="b">
        <f t="shared" si="430"/>
        <v>0</v>
      </c>
      <c r="BX222" t="b">
        <f t="shared" si="431"/>
        <v>0</v>
      </c>
      <c r="BY222" t="b">
        <f t="shared" si="432"/>
        <v>0</v>
      </c>
      <c r="BZ222" t="b">
        <f t="shared" si="433"/>
        <v>0</v>
      </c>
      <c r="CA222" t="b">
        <f t="shared" si="434"/>
        <v>0</v>
      </c>
      <c r="CB222" t="b">
        <f t="shared" si="435"/>
        <v>0</v>
      </c>
      <c r="CC222" t="b">
        <f t="shared" si="436"/>
        <v>0</v>
      </c>
      <c r="CD222" t="b">
        <f t="shared" si="437"/>
        <v>0</v>
      </c>
      <c r="CE222">
        <f t="shared" si="438"/>
        <v>1</v>
      </c>
      <c r="CF222" t="b">
        <f t="shared" si="439"/>
        <v>0</v>
      </c>
      <c r="CG222" t="b">
        <f t="shared" si="440"/>
        <v>0</v>
      </c>
      <c r="CH222" t="b">
        <f t="shared" si="441"/>
        <v>0</v>
      </c>
      <c r="CI222" t="b">
        <f t="shared" si="442"/>
        <v>0</v>
      </c>
      <c r="CJ222" t="b">
        <f t="shared" si="443"/>
        <v>0</v>
      </c>
      <c r="CK222" t="b">
        <f t="shared" si="444"/>
        <v>0</v>
      </c>
      <c r="CL222" t="b">
        <f t="shared" si="445"/>
        <v>0</v>
      </c>
      <c r="CM222" t="b">
        <f t="shared" si="446"/>
        <v>0</v>
      </c>
      <c r="CN222" t="b">
        <f t="shared" si="447"/>
        <v>0</v>
      </c>
      <c r="CO222" t="b">
        <f t="shared" si="448"/>
        <v>0</v>
      </c>
      <c r="CP222" t="b">
        <f t="shared" si="449"/>
        <v>0</v>
      </c>
      <c r="CQ222" t="b">
        <f t="shared" si="450"/>
        <v>0</v>
      </c>
      <c r="CR222" t="b">
        <f t="shared" si="451"/>
        <v>0</v>
      </c>
      <c r="CS222" t="b">
        <f t="shared" si="452"/>
        <v>0</v>
      </c>
      <c r="CT222" t="b">
        <f t="shared" si="453"/>
        <v>0</v>
      </c>
      <c r="CU222" t="b">
        <f t="shared" si="454"/>
        <v>0</v>
      </c>
      <c r="CV222">
        <f t="shared" si="455"/>
        <v>1</v>
      </c>
      <c r="CW222" t="b">
        <f t="shared" si="456"/>
        <v>0</v>
      </c>
      <c r="CX222" t="b">
        <f t="shared" si="457"/>
        <v>0</v>
      </c>
      <c r="CY222" t="b">
        <f t="shared" si="458"/>
        <v>0</v>
      </c>
      <c r="CZ222" t="b">
        <f t="shared" si="459"/>
        <v>0</v>
      </c>
      <c r="DA222">
        <f t="shared" si="460"/>
        <v>1</v>
      </c>
      <c r="DB222" t="b">
        <f t="shared" si="461"/>
        <v>0</v>
      </c>
      <c r="DC222" t="b">
        <f t="shared" si="462"/>
        <v>0</v>
      </c>
      <c r="DD222" t="b">
        <f t="shared" si="463"/>
        <v>0</v>
      </c>
      <c r="DE222" t="b">
        <f t="shared" si="464"/>
        <v>0</v>
      </c>
      <c r="DF222" t="b">
        <f t="shared" si="465"/>
        <v>0</v>
      </c>
      <c r="DG222" t="b">
        <f t="shared" si="466"/>
        <v>0</v>
      </c>
      <c r="DH222" t="b">
        <f t="shared" si="467"/>
        <v>0</v>
      </c>
      <c r="DI222" t="b">
        <f t="shared" si="468"/>
        <v>0</v>
      </c>
      <c r="DJ222" t="b">
        <f t="shared" si="469"/>
        <v>0</v>
      </c>
      <c r="DK222" t="b">
        <f t="shared" si="470"/>
        <v>0</v>
      </c>
      <c r="DL222" t="b">
        <f t="shared" si="471"/>
        <v>0</v>
      </c>
      <c r="DM222" t="b">
        <f t="shared" si="472"/>
        <v>0</v>
      </c>
      <c r="DN222" t="b">
        <f t="shared" si="473"/>
        <v>0</v>
      </c>
      <c r="DO222" t="b">
        <f t="shared" si="474"/>
        <v>0</v>
      </c>
      <c r="DP222" t="b">
        <f t="shared" si="475"/>
        <v>0</v>
      </c>
      <c r="DQ222" t="b">
        <f t="shared" si="476"/>
        <v>0</v>
      </c>
      <c r="DR222" t="b">
        <f t="shared" si="477"/>
        <v>0</v>
      </c>
      <c r="DS222" t="b">
        <f t="shared" si="478"/>
        <v>0</v>
      </c>
      <c r="DT222">
        <f t="shared" si="479"/>
        <v>1</v>
      </c>
      <c r="DU222">
        <f t="shared" si="480"/>
        <v>1</v>
      </c>
      <c r="DV222" t="b">
        <f t="shared" si="481"/>
        <v>0</v>
      </c>
      <c r="DW222" t="b">
        <f t="shared" si="482"/>
        <v>0</v>
      </c>
      <c r="DX222" t="b">
        <f t="shared" si="483"/>
        <v>0</v>
      </c>
      <c r="DY222" t="b">
        <f t="shared" si="484"/>
        <v>0</v>
      </c>
      <c r="DZ222" t="b">
        <f t="shared" si="485"/>
        <v>0</v>
      </c>
      <c r="EA222" t="b">
        <f t="shared" si="486"/>
        <v>0</v>
      </c>
      <c r="EB222" t="b">
        <f t="shared" si="487"/>
        <v>0</v>
      </c>
      <c r="EC222" t="b">
        <f t="shared" si="488"/>
        <v>0</v>
      </c>
      <c r="ED222" t="b">
        <f t="shared" si="489"/>
        <v>0</v>
      </c>
      <c r="EE222" t="b">
        <f t="shared" si="490"/>
        <v>0</v>
      </c>
      <c r="EF222">
        <f t="shared" si="491"/>
        <v>1</v>
      </c>
      <c r="EG222" t="b">
        <f t="shared" si="492"/>
        <v>0</v>
      </c>
      <c r="EH222" t="b">
        <f t="shared" si="493"/>
        <v>0</v>
      </c>
      <c r="EI222">
        <f t="shared" si="494"/>
        <v>1</v>
      </c>
      <c r="EJ222" t="b">
        <f t="shared" si="495"/>
        <v>0</v>
      </c>
      <c r="EK222" t="b">
        <f t="shared" si="496"/>
        <v>0</v>
      </c>
    </row>
    <row r="223" spans="1:141">
      <c r="A223" t="s">
        <v>1211</v>
      </c>
      <c r="B223" t="s">
        <v>1212</v>
      </c>
      <c r="C223" t="s">
        <v>1213</v>
      </c>
      <c r="D223" s="1">
        <v>43143</v>
      </c>
      <c r="E223" s="2">
        <v>43177.069803240738</v>
      </c>
      <c r="F223" s="2">
        <v>43177.069803240738</v>
      </c>
      <c r="G223">
        <v>542902</v>
      </c>
      <c r="H223" t="s">
        <v>1214</v>
      </c>
      <c r="I223" s="10" t="s">
        <v>1215</v>
      </c>
      <c r="J223" t="s">
        <v>1216</v>
      </c>
      <c r="K223" s="8" t="b">
        <v>1</v>
      </c>
      <c r="L223" s="10" t="b">
        <v>0</v>
      </c>
      <c r="M223" s="12" t="b">
        <v>1</v>
      </c>
      <c r="N223" t="b">
        <v>0</v>
      </c>
      <c r="O223" t="b">
        <v>0</v>
      </c>
      <c r="P223" t="b">
        <v>0</v>
      </c>
      <c r="Q223">
        <f t="shared" si="373"/>
        <v>2</v>
      </c>
      <c r="R223">
        <f t="shared" si="374"/>
        <v>2</v>
      </c>
      <c r="S223" t="e">
        <f t="shared" ca="1" si="404"/>
        <v>#NAME?</v>
      </c>
      <c r="T223" t="e">
        <f t="shared" ca="1" si="375"/>
        <v>#NAME?</v>
      </c>
      <c r="U223" s="4">
        <f t="shared" si="376"/>
        <v>34.069803240738111</v>
      </c>
      <c r="V223" s="4">
        <f t="shared" si="377"/>
        <v>1.1356601080246036</v>
      </c>
      <c r="W223" s="4">
        <f t="shared" si="378"/>
        <v>1</v>
      </c>
      <c r="X223" s="4">
        <f t="shared" si="379"/>
        <v>0</v>
      </c>
      <c r="Y223" s="4">
        <f t="shared" si="380"/>
        <v>1</v>
      </c>
      <c r="Z223" s="4">
        <f t="shared" si="381"/>
        <v>0</v>
      </c>
      <c r="AA223" s="4">
        <f t="shared" si="382"/>
        <v>0</v>
      </c>
      <c r="AB223" s="4">
        <f t="shared" si="383"/>
        <v>0</v>
      </c>
      <c r="AC223" s="4"/>
      <c r="AD223" s="4" t="b">
        <f t="shared" si="384"/>
        <v>0</v>
      </c>
      <c r="AE223" s="4" t="b">
        <f t="shared" si="385"/>
        <v>0</v>
      </c>
      <c r="AF223" s="4" t="b">
        <f t="shared" si="386"/>
        <v>0</v>
      </c>
      <c r="AG223" t="b">
        <f t="shared" si="387"/>
        <v>0</v>
      </c>
      <c r="AH223" t="b">
        <f t="shared" si="388"/>
        <v>0</v>
      </c>
      <c r="AI223" t="b">
        <f t="shared" si="389"/>
        <v>0</v>
      </c>
      <c r="AJ223" t="b">
        <f t="shared" si="390"/>
        <v>0</v>
      </c>
      <c r="AK223" t="b">
        <f t="shared" si="391"/>
        <v>0</v>
      </c>
      <c r="AL223" t="b">
        <f t="shared" si="392"/>
        <v>0</v>
      </c>
      <c r="AM223" t="b">
        <f t="shared" si="393"/>
        <v>0</v>
      </c>
      <c r="AN223" t="b">
        <f t="shared" si="394"/>
        <v>0</v>
      </c>
      <c r="AO223" t="b">
        <f t="shared" si="395"/>
        <v>0</v>
      </c>
      <c r="AP223" t="b">
        <f t="shared" si="396"/>
        <v>0</v>
      </c>
      <c r="AQ223" t="b">
        <f t="shared" si="397"/>
        <v>0</v>
      </c>
      <c r="AR223" t="b">
        <f t="shared" si="398"/>
        <v>0</v>
      </c>
      <c r="AS223" t="b">
        <f t="shared" si="399"/>
        <v>0</v>
      </c>
      <c r="AT223" t="b">
        <f t="shared" si="400"/>
        <v>0</v>
      </c>
      <c r="AU223" t="b">
        <f t="shared" si="401"/>
        <v>0</v>
      </c>
      <c r="AV223" t="b">
        <f t="shared" si="402"/>
        <v>0</v>
      </c>
      <c r="AW223" t="b">
        <f t="shared" si="403"/>
        <v>0</v>
      </c>
      <c r="AX223" t="b">
        <f t="shared" si="405"/>
        <v>0</v>
      </c>
      <c r="AY223" t="b">
        <f t="shared" si="406"/>
        <v>0</v>
      </c>
      <c r="AZ223">
        <f t="shared" si="407"/>
        <v>1</v>
      </c>
      <c r="BA223" t="b">
        <f t="shared" si="408"/>
        <v>0</v>
      </c>
      <c r="BB223" t="b">
        <f t="shared" si="409"/>
        <v>0</v>
      </c>
      <c r="BC223" t="b">
        <f t="shared" si="410"/>
        <v>0</v>
      </c>
      <c r="BD223" t="b">
        <f t="shared" si="411"/>
        <v>0</v>
      </c>
      <c r="BE223" t="b">
        <f t="shared" si="412"/>
        <v>0</v>
      </c>
      <c r="BF223" t="b">
        <f t="shared" si="413"/>
        <v>0</v>
      </c>
      <c r="BG223" t="b">
        <f t="shared" si="414"/>
        <v>0</v>
      </c>
      <c r="BH223" t="b">
        <f t="shared" si="415"/>
        <v>0</v>
      </c>
      <c r="BI223">
        <f t="shared" si="416"/>
        <v>1</v>
      </c>
      <c r="BJ223" t="b">
        <f t="shared" si="417"/>
        <v>0</v>
      </c>
      <c r="BK223" t="b">
        <f t="shared" si="418"/>
        <v>0</v>
      </c>
      <c r="BL223" t="b">
        <f t="shared" si="419"/>
        <v>0</v>
      </c>
      <c r="BM223" t="b">
        <f t="shared" si="420"/>
        <v>0</v>
      </c>
      <c r="BN223" t="b">
        <f t="shared" si="421"/>
        <v>0</v>
      </c>
      <c r="BO223" t="b">
        <f t="shared" si="422"/>
        <v>0</v>
      </c>
      <c r="BP223" t="b">
        <f t="shared" si="423"/>
        <v>0</v>
      </c>
      <c r="BQ223" t="b">
        <f t="shared" si="424"/>
        <v>0</v>
      </c>
      <c r="BR223" t="b">
        <f t="shared" si="425"/>
        <v>0</v>
      </c>
      <c r="BS223" t="b">
        <f t="shared" si="426"/>
        <v>0</v>
      </c>
      <c r="BT223" t="b">
        <f t="shared" si="427"/>
        <v>0</v>
      </c>
      <c r="BU223" t="b">
        <f t="shared" si="428"/>
        <v>0</v>
      </c>
      <c r="BV223" t="b">
        <f t="shared" si="429"/>
        <v>0</v>
      </c>
      <c r="BW223" t="b">
        <f t="shared" si="430"/>
        <v>0</v>
      </c>
      <c r="BX223" t="b">
        <f t="shared" si="431"/>
        <v>0</v>
      </c>
      <c r="BY223" t="b">
        <f t="shared" si="432"/>
        <v>0</v>
      </c>
      <c r="BZ223" t="b">
        <f t="shared" si="433"/>
        <v>0</v>
      </c>
      <c r="CA223" t="b">
        <f t="shared" si="434"/>
        <v>0</v>
      </c>
      <c r="CB223" t="b">
        <f t="shared" si="435"/>
        <v>0</v>
      </c>
      <c r="CC223" t="b">
        <f t="shared" si="436"/>
        <v>0</v>
      </c>
      <c r="CD223" t="b">
        <f t="shared" si="437"/>
        <v>0</v>
      </c>
      <c r="CE223" t="b">
        <f t="shared" si="438"/>
        <v>0</v>
      </c>
      <c r="CF223" t="b">
        <f t="shared" si="439"/>
        <v>0</v>
      </c>
      <c r="CG223" t="b">
        <f t="shared" si="440"/>
        <v>0</v>
      </c>
      <c r="CH223" t="b">
        <f t="shared" si="441"/>
        <v>0</v>
      </c>
      <c r="CI223" t="b">
        <f t="shared" si="442"/>
        <v>0</v>
      </c>
      <c r="CJ223" t="b">
        <f t="shared" si="443"/>
        <v>0</v>
      </c>
      <c r="CK223" t="b">
        <f t="shared" si="444"/>
        <v>0</v>
      </c>
      <c r="CL223" t="b">
        <f t="shared" si="445"/>
        <v>0</v>
      </c>
      <c r="CM223">
        <f t="shared" si="446"/>
        <v>1</v>
      </c>
      <c r="CN223" t="b">
        <f t="shared" si="447"/>
        <v>0</v>
      </c>
      <c r="CO223" t="b">
        <f t="shared" si="448"/>
        <v>0</v>
      </c>
      <c r="CP223" t="b">
        <f t="shared" si="449"/>
        <v>0</v>
      </c>
      <c r="CQ223" t="b">
        <f t="shared" si="450"/>
        <v>0</v>
      </c>
      <c r="CR223" t="b">
        <f t="shared" si="451"/>
        <v>0</v>
      </c>
      <c r="CS223" t="b">
        <f t="shared" si="452"/>
        <v>0</v>
      </c>
      <c r="CT223" t="b">
        <f t="shared" si="453"/>
        <v>0</v>
      </c>
      <c r="CU223" t="b">
        <f t="shared" si="454"/>
        <v>0</v>
      </c>
      <c r="CV223">
        <f t="shared" si="455"/>
        <v>1</v>
      </c>
      <c r="CW223" t="b">
        <f t="shared" si="456"/>
        <v>0</v>
      </c>
      <c r="CX223" t="b">
        <f t="shared" si="457"/>
        <v>0</v>
      </c>
      <c r="CY223" t="b">
        <f t="shared" si="458"/>
        <v>0</v>
      </c>
      <c r="CZ223" t="b">
        <f t="shared" si="459"/>
        <v>0</v>
      </c>
      <c r="DA223" t="b">
        <f t="shared" si="460"/>
        <v>0</v>
      </c>
      <c r="DB223" t="b">
        <f t="shared" si="461"/>
        <v>0</v>
      </c>
      <c r="DC223" t="b">
        <f t="shared" si="462"/>
        <v>0</v>
      </c>
      <c r="DD223" t="b">
        <f t="shared" si="463"/>
        <v>0</v>
      </c>
      <c r="DE223" t="b">
        <f t="shared" si="464"/>
        <v>0</v>
      </c>
      <c r="DF223" t="b">
        <f t="shared" si="465"/>
        <v>0</v>
      </c>
      <c r="DG223" t="b">
        <f t="shared" si="466"/>
        <v>0</v>
      </c>
      <c r="DH223" t="b">
        <f t="shared" si="467"/>
        <v>0</v>
      </c>
      <c r="DI223" t="b">
        <f t="shared" si="468"/>
        <v>0</v>
      </c>
      <c r="DJ223" t="b">
        <f t="shared" si="469"/>
        <v>0</v>
      </c>
      <c r="DK223" t="b">
        <f t="shared" si="470"/>
        <v>0</v>
      </c>
      <c r="DL223" t="b">
        <f t="shared" si="471"/>
        <v>0</v>
      </c>
      <c r="DM223" t="b">
        <f t="shared" si="472"/>
        <v>0</v>
      </c>
      <c r="DN223" t="b">
        <f t="shared" si="473"/>
        <v>0</v>
      </c>
      <c r="DO223" t="b">
        <f t="shared" si="474"/>
        <v>0</v>
      </c>
      <c r="DP223" t="b">
        <f t="shared" si="475"/>
        <v>0</v>
      </c>
      <c r="DQ223" t="b">
        <f t="shared" si="476"/>
        <v>0</v>
      </c>
      <c r="DR223">
        <f t="shared" si="477"/>
        <v>1</v>
      </c>
      <c r="DS223" t="b">
        <f t="shared" si="478"/>
        <v>0</v>
      </c>
      <c r="DT223" t="b">
        <f t="shared" si="479"/>
        <v>0</v>
      </c>
      <c r="DU223" t="b">
        <f t="shared" si="480"/>
        <v>0</v>
      </c>
      <c r="DV223" t="b">
        <f t="shared" si="481"/>
        <v>0</v>
      </c>
      <c r="DW223" t="b">
        <f t="shared" si="482"/>
        <v>0</v>
      </c>
      <c r="DX223" t="b">
        <f t="shared" si="483"/>
        <v>0</v>
      </c>
      <c r="DY223" t="b">
        <f t="shared" si="484"/>
        <v>0</v>
      </c>
      <c r="DZ223" t="b">
        <f t="shared" si="485"/>
        <v>0</v>
      </c>
      <c r="EA223" t="b">
        <f t="shared" si="486"/>
        <v>0</v>
      </c>
      <c r="EB223" t="b">
        <f t="shared" si="487"/>
        <v>0</v>
      </c>
      <c r="EC223" t="b">
        <f t="shared" si="488"/>
        <v>0</v>
      </c>
      <c r="ED223" t="b">
        <f t="shared" si="489"/>
        <v>0</v>
      </c>
      <c r="EE223" t="b">
        <f t="shared" si="490"/>
        <v>0</v>
      </c>
      <c r="EF223">
        <f t="shared" si="491"/>
        <v>1</v>
      </c>
      <c r="EG223" t="b">
        <f t="shared" si="492"/>
        <v>0</v>
      </c>
      <c r="EH223" t="b">
        <f t="shared" si="493"/>
        <v>0</v>
      </c>
      <c r="EI223" t="b">
        <f t="shared" si="494"/>
        <v>0</v>
      </c>
      <c r="EJ223" t="b">
        <f t="shared" si="495"/>
        <v>0</v>
      </c>
      <c r="EK223" t="b">
        <f t="shared" si="496"/>
        <v>0</v>
      </c>
    </row>
    <row r="224" spans="1:141">
      <c r="A224" t="s">
        <v>1217</v>
      </c>
      <c r="B224" t="s">
        <v>1217</v>
      </c>
      <c r="C224" t="s">
        <v>1218</v>
      </c>
      <c r="D224" s="1">
        <v>42482</v>
      </c>
      <c r="E224" s="2">
        <v>43998.089965277781</v>
      </c>
      <c r="F224" s="2">
        <v>43998.089965277781</v>
      </c>
      <c r="G224">
        <v>582578</v>
      </c>
      <c r="H224" t="s">
        <v>1219</v>
      </c>
      <c r="I224" s="10" t="s">
        <v>1220</v>
      </c>
      <c r="J224" t="s">
        <v>290</v>
      </c>
      <c r="K224" s="8" t="b">
        <v>1</v>
      </c>
      <c r="L224" s="10" t="b">
        <v>0</v>
      </c>
      <c r="M224" s="12" t="b">
        <v>0</v>
      </c>
      <c r="N224" t="b">
        <v>0</v>
      </c>
      <c r="O224" t="b">
        <v>0</v>
      </c>
      <c r="P224" t="b">
        <v>0</v>
      </c>
      <c r="Q224">
        <f t="shared" si="373"/>
        <v>6</v>
      </c>
      <c r="R224">
        <f t="shared" si="374"/>
        <v>4</v>
      </c>
      <c r="S224" t="e">
        <f t="shared" ca="1" si="404"/>
        <v>#NAME?</v>
      </c>
      <c r="T224" t="e">
        <f t="shared" ca="1" si="375"/>
        <v>#NAME?</v>
      </c>
      <c r="U224" s="4">
        <f t="shared" si="376"/>
        <v>1516.0899652777807</v>
      </c>
      <c r="V224" s="4">
        <f t="shared" si="377"/>
        <v>50.536332175926027</v>
      </c>
      <c r="W224" s="4">
        <f t="shared" si="378"/>
        <v>1</v>
      </c>
      <c r="X224" s="4">
        <f t="shared" si="379"/>
        <v>0</v>
      </c>
      <c r="Y224" s="4">
        <f t="shared" si="380"/>
        <v>0</v>
      </c>
      <c r="Z224" s="4">
        <f t="shared" si="381"/>
        <v>0</v>
      </c>
      <c r="AA224" s="4">
        <f t="shared" si="382"/>
        <v>0</v>
      </c>
      <c r="AB224" s="4">
        <f t="shared" si="383"/>
        <v>0</v>
      </c>
      <c r="AC224" s="4"/>
      <c r="AD224" s="4" t="b">
        <f t="shared" si="384"/>
        <v>0</v>
      </c>
      <c r="AE224" s="4" t="b">
        <f t="shared" si="385"/>
        <v>0</v>
      </c>
      <c r="AF224" s="4" t="b">
        <f t="shared" si="386"/>
        <v>0</v>
      </c>
      <c r="AG224" t="b">
        <f t="shared" si="387"/>
        <v>0</v>
      </c>
      <c r="AH224" t="b">
        <f t="shared" si="388"/>
        <v>0</v>
      </c>
      <c r="AI224" t="b">
        <f t="shared" si="389"/>
        <v>0</v>
      </c>
      <c r="AJ224" t="b">
        <f t="shared" si="390"/>
        <v>0</v>
      </c>
      <c r="AK224" t="b">
        <f t="shared" si="391"/>
        <v>0</v>
      </c>
      <c r="AL224" t="b">
        <f t="shared" si="392"/>
        <v>0</v>
      </c>
      <c r="AM224" t="b">
        <f t="shared" si="393"/>
        <v>0</v>
      </c>
      <c r="AN224" t="b">
        <f t="shared" si="394"/>
        <v>0</v>
      </c>
      <c r="AO224" t="b">
        <f t="shared" si="395"/>
        <v>0</v>
      </c>
      <c r="AP224" t="b">
        <f t="shared" si="396"/>
        <v>0</v>
      </c>
      <c r="AQ224" t="b">
        <f t="shared" si="397"/>
        <v>0</v>
      </c>
      <c r="AR224" t="b">
        <f t="shared" si="398"/>
        <v>0</v>
      </c>
      <c r="AS224" t="b">
        <f t="shared" si="399"/>
        <v>0</v>
      </c>
      <c r="AT224" t="b">
        <f t="shared" si="400"/>
        <v>0</v>
      </c>
      <c r="AU224" t="b">
        <f t="shared" si="401"/>
        <v>0</v>
      </c>
      <c r="AV224" t="b">
        <f t="shared" si="402"/>
        <v>0</v>
      </c>
      <c r="AW224" t="b">
        <f t="shared" si="403"/>
        <v>0</v>
      </c>
      <c r="AX224" t="b">
        <f t="shared" si="405"/>
        <v>0</v>
      </c>
      <c r="AY224" t="b">
        <f t="shared" si="406"/>
        <v>0</v>
      </c>
      <c r="AZ224" t="b">
        <f t="shared" si="407"/>
        <v>0</v>
      </c>
      <c r="BA224" t="b">
        <f t="shared" si="408"/>
        <v>0</v>
      </c>
      <c r="BB224" t="b">
        <f t="shared" si="409"/>
        <v>0</v>
      </c>
      <c r="BC224" t="b">
        <f t="shared" si="410"/>
        <v>0</v>
      </c>
      <c r="BD224" t="b">
        <f t="shared" si="411"/>
        <v>0</v>
      </c>
      <c r="BE224" t="b">
        <f t="shared" si="412"/>
        <v>0</v>
      </c>
      <c r="BF224" t="b">
        <f t="shared" si="413"/>
        <v>0</v>
      </c>
      <c r="BG224" t="b">
        <f t="shared" si="414"/>
        <v>0</v>
      </c>
      <c r="BH224" t="b">
        <f t="shared" si="415"/>
        <v>0</v>
      </c>
      <c r="BI224">
        <f t="shared" si="416"/>
        <v>1</v>
      </c>
      <c r="BJ224" t="b">
        <f t="shared" si="417"/>
        <v>0</v>
      </c>
      <c r="BK224" t="b">
        <f t="shared" si="418"/>
        <v>0</v>
      </c>
      <c r="BL224" t="b">
        <f t="shared" si="419"/>
        <v>0</v>
      </c>
      <c r="BM224" t="b">
        <f t="shared" si="420"/>
        <v>0</v>
      </c>
      <c r="BN224" t="b">
        <f t="shared" si="421"/>
        <v>0</v>
      </c>
      <c r="BO224" t="b">
        <f t="shared" si="422"/>
        <v>0</v>
      </c>
      <c r="BP224" t="b">
        <f t="shared" si="423"/>
        <v>0</v>
      </c>
      <c r="BQ224" t="b">
        <f t="shared" si="424"/>
        <v>0</v>
      </c>
      <c r="BR224" t="b">
        <f t="shared" si="425"/>
        <v>0</v>
      </c>
      <c r="BS224" t="b">
        <f t="shared" si="426"/>
        <v>0</v>
      </c>
      <c r="BT224" t="b">
        <f t="shared" si="427"/>
        <v>0</v>
      </c>
      <c r="BU224" t="b">
        <f t="shared" si="428"/>
        <v>0</v>
      </c>
      <c r="BV224" t="b">
        <f t="shared" si="429"/>
        <v>0</v>
      </c>
      <c r="BW224" t="b">
        <f t="shared" si="430"/>
        <v>0</v>
      </c>
      <c r="BX224" t="b">
        <f t="shared" si="431"/>
        <v>0</v>
      </c>
      <c r="BY224" t="b">
        <f t="shared" si="432"/>
        <v>0</v>
      </c>
      <c r="BZ224" t="b">
        <f t="shared" si="433"/>
        <v>0</v>
      </c>
      <c r="CA224" t="b">
        <f t="shared" si="434"/>
        <v>0</v>
      </c>
      <c r="CB224" t="b">
        <f t="shared" si="435"/>
        <v>0</v>
      </c>
      <c r="CC224" t="b">
        <f t="shared" si="436"/>
        <v>0</v>
      </c>
      <c r="CD224" t="b">
        <f t="shared" si="437"/>
        <v>0</v>
      </c>
      <c r="CE224" t="b">
        <f t="shared" si="438"/>
        <v>0</v>
      </c>
      <c r="CF224" t="b">
        <f t="shared" si="439"/>
        <v>0</v>
      </c>
      <c r="CG224" t="b">
        <f t="shared" si="440"/>
        <v>0</v>
      </c>
      <c r="CH224" t="b">
        <f t="shared" si="441"/>
        <v>0</v>
      </c>
      <c r="CI224" t="b">
        <f t="shared" si="442"/>
        <v>0</v>
      </c>
      <c r="CJ224" t="b">
        <f t="shared" si="443"/>
        <v>0</v>
      </c>
      <c r="CK224" t="b">
        <f t="shared" si="444"/>
        <v>0</v>
      </c>
      <c r="CL224" t="b">
        <f t="shared" si="445"/>
        <v>0</v>
      </c>
      <c r="CM224">
        <f t="shared" si="446"/>
        <v>1</v>
      </c>
      <c r="CN224" t="b">
        <f t="shared" si="447"/>
        <v>0</v>
      </c>
      <c r="CO224" t="b">
        <f t="shared" si="448"/>
        <v>0</v>
      </c>
      <c r="CP224" t="b">
        <f t="shared" si="449"/>
        <v>0</v>
      </c>
      <c r="CQ224" t="b">
        <f t="shared" si="450"/>
        <v>0</v>
      </c>
      <c r="CR224" t="b">
        <f t="shared" si="451"/>
        <v>0</v>
      </c>
      <c r="CS224" t="b">
        <f t="shared" si="452"/>
        <v>0</v>
      </c>
      <c r="CT224" t="b">
        <f t="shared" si="453"/>
        <v>0</v>
      </c>
      <c r="CU224" t="b">
        <f t="shared" si="454"/>
        <v>0</v>
      </c>
      <c r="CV224">
        <f t="shared" si="455"/>
        <v>1</v>
      </c>
      <c r="CW224" t="b">
        <f t="shared" si="456"/>
        <v>0</v>
      </c>
      <c r="CX224" t="b">
        <f t="shared" si="457"/>
        <v>0</v>
      </c>
      <c r="CY224" t="b">
        <f t="shared" si="458"/>
        <v>0</v>
      </c>
      <c r="CZ224" t="b">
        <f t="shared" si="459"/>
        <v>0</v>
      </c>
      <c r="DA224">
        <f t="shared" si="460"/>
        <v>1</v>
      </c>
      <c r="DB224">
        <f t="shared" si="461"/>
        <v>1</v>
      </c>
      <c r="DC224" t="b">
        <f t="shared" si="462"/>
        <v>0</v>
      </c>
      <c r="DD224" t="b">
        <f t="shared" si="463"/>
        <v>0</v>
      </c>
      <c r="DE224" t="b">
        <f t="shared" si="464"/>
        <v>0</v>
      </c>
      <c r="DF224" t="b">
        <f t="shared" si="465"/>
        <v>0</v>
      </c>
      <c r="DG224" t="b">
        <f t="shared" si="466"/>
        <v>0</v>
      </c>
      <c r="DH224" t="b">
        <f t="shared" si="467"/>
        <v>0</v>
      </c>
      <c r="DI224" t="b">
        <f t="shared" si="468"/>
        <v>0</v>
      </c>
      <c r="DJ224" t="b">
        <f t="shared" si="469"/>
        <v>0</v>
      </c>
      <c r="DK224" t="b">
        <f t="shared" si="470"/>
        <v>0</v>
      </c>
      <c r="DL224" t="b">
        <f t="shared" si="471"/>
        <v>0</v>
      </c>
      <c r="DM224" t="b">
        <f t="shared" si="472"/>
        <v>0</v>
      </c>
      <c r="DN224" t="b">
        <f t="shared" si="473"/>
        <v>0</v>
      </c>
      <c r="DO224" t="b">
        <f t="shared" si="474"/>
        <v>0</v>
      </c>
      <c r="DP224" t="b">
        <f t="shared" si="475"/>
        <v>0</v>
      </c>
      <c r="DQ224" t="b">
        <f t="shared" si="476"/>
        <v>0</v>
      </c>
      <c r="DR224" t="b">
        <f t="shared" si="477"/>
        <v>0</v>
      </c>
      <c r="DS224" t="b">
        <f t="shared" si="478"/>
        <v>0</v>
      </c>
      <c r="DT224" t="b">
        <f t="shared" si="479"/>
        <v>0</v>
      </c>
      <c r="DU224" t="b">
        <f t="shared" si="480"/>
        <v>0</v>
      </c>
      <c r="DV224" t="b">
        <f t="shared" si="481"/>
        <v>0</v>
      </c>
      <c r="DW224" t="b">
        <f t="shared" si="482"/>
        <v>0</v>
      </c>
      <c r="DX224" t="b">
        <f t="shared" si="483"/>
        <v>0</v>
      </c>
      <c r="DY224" t="b">
        <f t="shared" si="484"/>
        <v>0</v>
      </c>
      <c r="DZ224" t="b">
        <f t="shared" si="485"/>
        <v>0</v>
      </c>
      <c r="EA224" t="b">
        <f t="shared" si="486"/>
        <v>0</v>
      </c>
      <c r="EB224" t="b">
        <f t="shared" si="487"/>
        <v>0</v>
      </c>
      <c r="EC224" t="b">
        <f t="shared" si="488"/>
        <v>0</v>
      </c>
      <c r="ED224" t="b">
        <f t="shared" si="489"/>
        <v>0</v>
      </c>
      <c r="EE224" t="b">
        <f t="shared" si="490"/>
        <v>0</v>
      </c>
      <c r="EF224" t="b">
        <f t="shared" si="491"/>
        <v>0</v>
      </c>
      <c r="EG224" t="b">
        <f t="shared" si="492"/>
        <v>0</v>
      </c>
      <c r="EH224" t="b">
        <f t="shared" si="493"/>
        <v>0</v>
      </c>
      <c r="EI224" t="b">
        <f t="shared" si="494"/>
        <v>0</v>
      </c>
      <c r="EJ224" t="b">
        <f t="shared" si="495"/>
        <v>0</v>
      </c>
      <c r="EK224" t="b">
        <f t="shared" si="496"/>
        <v>0</v>
      </c>
    </row>
    <row r="225" spans="1:141">
      <c r="A225" t="s">
        <v>1221</v>
      </c>
      <c r="B225" t="s">
        <v>1221</v>
      </c>
      <c r="C225" t="s">
        <v>1222</v>
      </c>
      <c r="D225" s="1">
        <v>41685</v>
      </c>
      <c r="E225" s="2">
        <v>41685.475486111114</v>
      </c>
      <c r="F225" s="2">
        <v>41685.475486111114</v>
      </c>
      <c r="G225">
        <v>1057819</v>
      </c>
      <c r="H225" t="s">
        <v>1223</v>
      </c>
      <c r="I225" s="10" t="s">
        <v>1224</v>
      </c>
      <c r="J225" t="s">
        <v>1225</v>
      </c>
      <c r="K225" s="8" t="b">
        <v>1</v>
      </c>
      <c r="L225" s="10" t="b">
        <v>0</v>
      </c>
      <c r="M225" s="12" t="b">
        <v>0</v>
      </c>
      <c r="N225" t="b">
        <v>0</v>
      </c>
      <c r="O225" t="b">
        <v>0</v>
      </c>
      <c r="P225" t="b">
        <v>0</v>
      </c>
      <c r="Q225">
        <f t="shared" si="373"/>
        <v>7</v>
      </c>
      <c r="R225">
        <f t="shared" si="374"/>
        <v>2</v>
      </c>
      <c r="S225" t="e">
        <f t="shared" ca="1" si="404"/>
        <v>#NAME?</v>
      </c>
      <c r="T225" t="e">
        <f t="shared" ca="1" si="375"/>
        <v>#NAME?</v>
      </c>
      <c r="U225" s="4">
        <f t="shared" si="376"/>
        <v>0.47548611111415084</v>
      </c>
      <c r="V225" s="4">
        <f t="shared" si="377"/>
        <v>1.5849537037138362E-2</v>
      </c>
      <c r="W225" s="4">
        <f t="shared" si="378"/>
        <v>1</v>
      </c>
      <c r="X225" s="4">
        <f t="shared" si="379"/>
        <v>0</v>
      </c>
      <c r="Y225" s="4">
        <f t="shared" si="380"/>
        <v>0</v>
      </c>
      <c r="Z225" s="4">
        <f t="shared" si="381"/>
        <v>0</v>
      </c>
      <c r="AA225" s="4">
        <f t="shared" si="382"/>
        <v>0</v>
      </c>
      <c r="AB225" s="4">
        <f t="shared" si="383"/>
        <v>0</v>
      </c>
      <c r="AC225" s="4"/>
      <c r="AD225" s="4" t="b">
        <f t="shared" si="384"/>
        <v>0</v>
      </c>
      <c r="AE225" s="4" t="b">
        <f t="shared" si="385"/>
        <v>0</v>
      </c>
      <c r="AF225" s="4" t="b">
        <f t="shared" si="386"/>
        <v>0</v>
      </c>
      <c r="AG225" t="b">
        <f t="shared" si="387"/>
        <v>0</v>
      </c>
      <c r="AH225" t="b">
        <f t="shared" si="388"/>
        <v>0</v>
      </c>
      <c r="AI225" t="b">
        <f t="shared" si="389"/>
        <v>0</v>
      </c>
      <c r="AJ225" t="b">
        <f t="shared" si="390"/>
        <v>0</v>
      </c>
      <c r="AK225" t="b">
        <f t="shared" si="391"/>
        <v>0</v>
      </c>
      <c r="AL225" t="b">
        <f t="shared" si="392"/>
        <v>0</v>
      </c>
      <c r="AM225" t="b">
        <f t="shared" si="393"/>
        <v>0</v>
      </c>
      <c r="AN225" t="b">
        <f t="shared" si="394"/>
        <v>0</v>
      </c>
      <c r="AO225" t="b">
        <f t="shared" si="395"/>
        <v>0</v>
      </c>
      <c r="AP225" t="b">
        <f t="shared" si="396"/>
        <v>0</v>
      </c>
      <c r="AQ225" t="b">
        <f t="shared" si="397"/>
        <v>0</v>
      </c>
      <c r="AR225" t="b">
        <f t="shared" si="398"/>
        <v>0</v>
      </c>
      <c r="AS225" t="b">
        <f t="shared" si="399"/>
        <v>0</v>
      </c>
      <c r="AT225" t="b">
        <f t="shared" si="400"/>
        <v>0</v>
      </c>
      <c r="AU225" t="b">
        <f t="shared" si="401"/>
        <v>0</v>
      </c>
      <c r="AV225" t="b">
        <f t="shared" si="402"/>
        <v>0</v>
      </c>
      <c r="AW225" t="b">
        <f t="shared" si="403"/>
        <v>0</v>
      </c>
      <c r="AX225" t="b">
        <f t="shared" si="405"/>
        <v>0</v>
      </c>
      <c r="AY225" t="b">
        <f t="shared" si="406"/>
        <v>0</v>
      </c>
      <c r="AZ225" t="b">
        <f t="shared" si="407"/>
        <v>0</v>
      </c>
      <c r="BA225" t="b">
        <f t="shared" si="408"/>
        <v>0</v>
      </c>
      <c r="BB225" t="b">
        <f t="shared" si="409"/>
        <v>0</v>
      </c>
      <c r="BC225" t="b">
        <f t="shared" si="410"/>
        <v>0</v>
      </c>
      <c r="BD225" t="b">
        <f t="shared" si="411"/>
        <v>0</v>
      </c>
      <c r="BE225" t="b">
        <f t="shared" si="412"/>
        <v>0</v>
      </c>
      <c r="BF225" t="b">
        <f t="shared" si="413"/>
        <v>0</v>
      </c>
      <c r="BG225" t="b">
        <f t="shared" si="414"/>
        <v>0</v>
      </c>
      <c r="BH225" t="b">
        <f t="shared" si="415"/>
        <v>0</v>
      </c>
      <c r="BI225">
        <f t="shared" si="416"/>
        <v>1</v>
      </c>
      <c r="BJ225" t="b">
        <f t="shared" si="417"/>
        <v>0</v>
      </c>
      <c r="BK225" t="b">
        <f t="shared" si="418"/>
        <v>0</v>
      </c>
      <c r="BL225" t="b">
        <f t="shared" si="419"/>
        <v>0</v>
      </c>
      <c r="BM225" t="b">
        <f t="shared" si="420"/>
        <v>0</v>
      </c>
      <c r="BN225" t="b">
        <f t="shared" si="421"/>
        <v>0</v>
      </c>
      <c r="BO225" t="b">
        <f t="shared" si="422"/>
        <v>0</v>
      </c>
      <c r="BP225" t="b">
        <f t="shared" si="423"/>
        <v>0</v>
      </c>
      <c r="BQ225" t="b">
        <f t="shared" si="424"/>
        <v>0</v>
      </c>
      <c r="BR225" t="b">
        <f t="shared" si="425"/>
        <v>0</v>
      </c>
      <c r="BS225" t="b">
        <f t="shared" si="426"/>
        <v>0</v>
      </c>
      <c r="BT225" t="b">
        <f t="shared" si="427"/>
        <v>0</v>
      </c>
      <c r="BU225" t="b">
        <f t="shared" si="428"/>
        <v>0</v>
      </c>
      <c r="BV225" t="b">
        <f t="shared" si="429"/>
        <v>0</v>
      </c>
      <c r="BW225" t="b">
        <f t="shared" si="430"/>
        <v>0</v>
      </c>
      <c r="BX225" t="b">
        <f t="shared" si="431"/>
        <v>0</v>
      </c>
      <c r="BY225" t="b">
        <f t="shared" si="432"/>
        <v>0</v>
      </c>
      <c r="BZ225" t="b">
        <f t="shared" si="433"/>
        <v>0</v>
      </c>
      <c r="CA225" t="b">
        <f t="shared" si="434"/>
        <v>0</v>
      </c>
      <c r="CB225" t="b">
        <f t="shared" si="435"/>
        <v>0</v>
      </c>
      <c r="CC225" t="b">
        <f t="shared" si="436"/>
        <v>0</v>
      </c>
      <c r="CD225" t="b">
        <f t="shared" si="437"/>
        <v>0</v>
      </c>
      <c r="CE225" t="b">
        <f t="shared" si="438"/>
        <v>0</v>
      </c>
      <c r="CF225" t="b">
        <f t="shared" si="439"/>
        <v>0</v>
      </c>
      <c r="CG225" t="b">
        <f t="shared" si="440"/>
        <v>0</v>
      </c>
      <c r="CH225" t="b">
        <f t="shared" si="441"/>
        <v>0</v>
      </c>
      <c r="CI225" t="b">
        <f t="shared" si="442"/>
        <v>0</v>
      </c>
      <c r="CJ225" t="b">
        <f t="shared" si="443"/>
        <v>0</v>
      </c>
      <c r="CK225" t="b">
        <f t="shared" si="444"/>
        <v>0</v>
      </c>
      <c r="CL225" t="b">
        <f t="shared" si="445"/>
        <v>0</v>
      </c>
      <c r="CM225" t="b">
        <f t="shared" si="446"/>
        <v>0</v>
      </c>
      <c r="CN225" t="b">
        <f t="shared" si="447"/>
        <v>0</v>
      </c>
      <c r="CO225" t="b">
        <f t="shared" si="448"/>
        <v>0</v>
      </c>
      <c r="CP225" t="b">
        <f t="shared" si="449"/>
        <v>0</v>
      </c>
      <c r="CQ225" t="b">
        <f t="shared" si="450"/>
        <v>0</v>
      </c>
      <c r="CR225" t="b">
        <f t="shared" si="451"/>
        <v>0</v>
      </c>
      <c r="CS225" t="b">
        <f t="shared" si="452"/>
        <v>0</v>
      </c>
      <c r="CT225" t="b">
        <f t="shared" si="453"/>
        <v>0</v>
      </c>
      <c r="CU225" t="b">
        <f t="shared" si="454"/>
        <v>0</v>
      </c>
      <c r="CV225">
        <f t="shared" si="455"/>
        <v>1</v>
      </c>
      <c r="CW225" t="b">
        <f t="shared" si="456"/>
        <v>0</v>
      </c>
      <c r="CX225" t="b">
        <f t="shared" si="457"/>
        <v>0</v>
      </c>
      <c r="CY225" t="b">
        <f t="shared" si="458"/>
        <v>0</v>
      </c>
      <c r="CZ225" t="b">
        <f t="shared" si="459"/>
        <v>0</v>
      </c>
      <c r="DA225" t="b">
        <f t="shared" si="460"/>
        <v>0</v>
      </c>
      <c r="DB225" t="b">
        <f t="shared" si="461"/>
        <v>0</v>
      </c>
      <c r="DC225" t="b">
        <f t="shared" si="462"/>
        <v>0</v>
      </c>
      <c r="DD225" t="b">
        <f t="shared" si="463"/>
        <v>0</v>
      </c>
      <c r="DE225" t="b">
        <f t="shared" si="464"/>
        <v>0</v>
      </c>
      <c r="DF225" t="b">
        <f t="shared" si="465"/>
        <v>0</v>
      </c>
      <c r="DG225" t="b">
        <f t="shared" si="466"/>
        <v>0</v>
      </c>
      <c r="DH225" t="b">
        <f t="shared" si="467"/>
        <v>0</v>
      </c>
      <c r="DI225" t="b">
        <f t="shared" si="468"/>
        <v>0</v>
      </c>
      <c r="DJ225" t="b">
        <f t="shared" si="469"/>
        <v>0</v>
      </c>
      <c r="DK225" t="b">
        <f t="shared" si="470"/>
        <v>0</v>
      </c>
      <c r="DL225" t="b">
        <f t="shared" si="471"/>
        <v>0</v>
      </c>
      <c r="DM225" t="b">
        <f t="shared" si="472"/>
        <v>0</v>
      </c>
      <c r="DN225" t="b">
        <f t="shared" si="473"/>
        <v>0</v>
      </c>
      <c r="DO225" t="b">
        <f t="shared" si="474"/>
        <v>0</v>
      </c>
      <c r="DP225" t="b">
        <f t="shared" si="475"/>
        <v>0</v>
      </c>
      <c r="DQ225" t="b">
        <f t="shared" si="476"/>
        <v>0</v>
      </c>
      <c r="DR225" t="b">
        <f t="shared" si="477"/>
        <v>0</v>
      </c>
      <c r="DS225" t="b">
        <f t="shared" si="478"/>
        <v>0</v>
      </c>
      <c r="DT225" t="b">
        <f t="shared" si="479"/>
        <v>0</v>
      </c>
      <c r="DU225" t="b">
        <f t="shared" si="480"/>
        <v>0</v>
      </c>
      <c r="DV225" t="b">
        <f t="shared" si="481"/>
        <v>0</v>
      </c>
      <c r="DW225" t="b">
        <f t="shared" si="482"/>
        <v>0</v>
      </c>
      <c r="DX225" t="b">
        <f t="shared" si="483"/>
        <v>0</v>
      </c>
      <c r="DY225" t="b">
        <f t="shared" si="484"/>
        <v>0</v>
      </c>
      <c r="DZ225" t="b">
        <f t="shared" si="485"/>
        <v>0</v>
      </c>
      <c r="EA225" t="b">
        <f t="shared" si="486"/>
        <v>0</v>
      </c>
      <c r="EB225" t="b">
        <f t="shared" si="487"/>
        <v>0</v>
      </c>
      <c r="EC225" t="b">
        <f t="shared" si="488"/>
        <v>0</v>
      </c>
      <c r="ED225" t="b">
        <f t="shared" si="489"/>
        <v>0</v>
      </c>
      <c r="EE225">
        <f t="shared" si="490"/>
        <v>1</v>
      </c>
      <c r="EF225">
        <f t="shared" si="491"/>
        <v>1</v>
      </c>
      <c r="EG225" t="b">
        <f t="shared" si="492"/>
        <v>0</v>
      </c>
      <c r="EH225" t="b">
        <f t="shared" si="493"/>
        <v>0</v>
      </c>
      <c r="EI225" t="b">
        <f t="shared" si="494"/>
        <v>0</v>
      </c>
      <c r="EJ225" t="b">
        <f t="shared" si="495"/>
        <v>0</v>
      </c>
      <c r="EK225" t="b">
        <f t="shared" si="496"/>
        <v>0</v>
      </c>
    </row>
    <row r="226" spans="1:141">
      <c r="A226" t="s">
        <v>1226</v>
      </c>
      <c r="B226" t="s">
        <v>1226</v>
      </c>
      <c r="C226" t="s">
        <v>1227</v>
      </c>
      <c r="D226" s="1">
        <v>42522</v>
      </c>
      <c r="E226" s="2">
        <v>43439.211631944447</v>
      </c>
      <c r="F226" s="2">
        <v>43439.312037037038</v>
      </c>
      <c r="G226">
        <v>776648</v>
      </c>
      <c r="H226" t="s">
        <v>1228</v>
      </c>
      <c r="I226" s="10" t="s">
        <v>1229</v>
      </c>
      <c r="J226" t="s">
        <v>156</v>
      </c>
      <c r="K226" s="8" t="b">
        <v>1</v>
      </c>
      <c r="L226" s="10" t="b">
        <v>0</v>
      </c>
      <c r="M226" s="12" t="b">
        <v>0</v>
      </c>
      <c r="N226" t="b">
        <v>0</v>
      </c>
      <c r="O226" t="b">
        <v>0</v>
      </c>
      <c r="P226" t="b">
        <v>0</v>
      </c>
      <c r="Q226">
        <f t="shared" si="373"/>
        <v>4</v>
      </c>
      <c r="R226">
        <f t="shared" si="374"/>
        <v>6</v>
      </c>
      <c r="S226" t="e">
        <f t="shared" ca="1" si="404"/>
        <v>#NAME?</v>
      </c>
      <c r="T226" t="e">
        <f t="shared" ca="1" si="375"/>
        <v>#NAME?</v>
      </c>
      <c r="U226" s="4">
        <f t="shared" si="376"/>
        <v>917.21163194444671</v>
      </c>
      <c r="V226" s="4">
        <f t="shared" si="377"/>
        <v>30.57372106481489</v>
      </c>
      <c r="W226" s="4">
        <f t="shared" si="378"/>
        <v>1</v>
      </c>
      <c r="X226" s="4">
        <f t="shared" si="379"/>
        <v>0</v>
      </c>
      <c r="Y226" s="4">
        <f t="shared" si="380"/>
        <v>0</v>
      </c>
      <c r="Z226" s="4">
        <f t="shared" si="381"/>
        <v>0</v>
      </c>
      <c r="AA226" s="4">
        <f t="shared" si="382"/>
        <v>0</v>
      </c>
      <c r="AB226" s="4">
        <f t="shared" si="383"/>
        <v>0</v>
      </c>
      <c r="AC226" s="4"/>
      <c r="AD226" s="4" t="b">
        <f t="shared" si="384"/>
        <v>0</v>
      </c>
      <c r="AE226" s="4" t="b">
        <f t="shared" si="385"/>
        <v>0</v>
      </c>
      <c r="AF226" s="4" t="b">
        <f t="shared" si="386"/>
        <v>0</v>
      </c>
      <c r="AG226" t="b">
        <f t="shared" si="387"/>
        <v>0</v>
      </c>
      <c r="AH226" t="b">
        <f t="shared" si="388"/>
        <v>0</v>
      </c>
      <c r="AI226" t="b">
        <f t="shared" si="389"/>
        <v>0</v>
      </c>
      <c r="AJ226" t="b">
        <f t="shared" si="390"/>
        <v>0</v>
      </c>
      <c r="AK226" t="b">
        <f t="shared" si="391"/>
        <v>0</v>
      </c>
      <c r="AL226" t="b">
        <f t="shared" si="392"/>
        <v>0</v>
      </c>
      <c r="AM226" t="b">
        <f t="shared" si="393"/>
        <v>0</v>
      </c>
      <c r="AN226" t="b">
        <f t="shared" si="394"/>
        <v>0</v>
      </c>
      <c r="AO226" t="b">
        <f t="shared" si="395"/>
        <v>0</v>
      </c>
      <c r="AP226" t="b">
        <f t="shared" si="396"/>
        <v>0</v>
      </c>
      <c r="AQ226" t="b">
        <f t="shared" si="397"/>
        <v>0</v>
      </c>
      <c r="AR226" t="b">
        <f t="shared" si="398"/>
        <v>0</v>
      </c>
      <c r="AS226" t="b">
        <f t="shared" si="399"/>
        <v>0</v>
      </c>
      <c r="AT226" t="b">
        <f t="shared" si="400"/>
        <v>0</v>
      </c>
      <c r="AU226" t="b">
        <f t="shared" si="401"/>
        <v>0</v>
      </c>
      <c r="AV226" t="b">
        <f t="shared" si="402"/>
        <v>0</v>
      </c>
      <c r="AW226" t="b">
        <f t="shared" si="403"/>
        <v>0</v>
      </c>
      <c r="AX226" t="b">
        <f t="shared" si="405"/>
        <v>0</v>
      </c>
      <c r="AY226" t="b">
        <f t="shared" si="406"/>
        <v>0</v>
      </c>
      <c r="AZ226" t="b">
        <f t="shared" si="407"/>
        <v>0</v>
      </c>
      <c r="BA226" t="b">
        <f t="shared" si="408"/>
        <v>0</v>
      </c>
      <c r="BB226" t="b">
        <f t="shared" si="409"/>
        <v>0</v>
      </c>
      <c r="BC226" t="b">
        <f t="shared" si="410"/>
        <v>0</v>
      </c>
      <c r="BD226" t="b">
        <f t="shared" si="411"/>
        <v>0</v>
      </c>
      <c r="BE226" t="b">
        <f t="shared" si="412"/>
        <v>0</v>
      </c>
      <c r="BF226" t="b">
        <f t="shared" si="413"/>
        <v>0</v>
      </c>
      <c r="BG226" t="b">
        <f t="shared" si="414"/>
        <v>0</v>
      </c>
      <c r="BH226" t="b">
        <f t="shared" si="415"/>
        <v>0</v>
      </c>
      <c r="BI226">
        <f t="shared" si="416"/>
        <v>1</v>
      </c>
      <c r="BJ226" t="b">
        <f t="shared" si="417"/>
        <v>0</v>
      </c>
      <c r="BK226" t="b">
        <f t="shared" si="418"/>
        <v>0</v>
      </c>
      <c r="BL226" t="b">
        <f t="shared" si="419"/>
        <v>0</v>
      </c>
      <c r="BM226" t="b">
        <f t="shared" si="420"/>
        <v>0</v>
      </c>
      <c r="BN226" t="b">
        <f t="shared" si="421"/>
        <v>0</v>
      </c>
      <c r="BO226" t="b">
        <f t="shared" si="422"/>
        <v>0</v>
      </c>
      <c r="BP226" t="b">
        <f t="shared" si="423"/>
        <v>0</v>
      </c>
      <c r="BQ226" t="b">
        <f t="shared" si="424"/>
        <v>0</v>
      </c>
      <c r="BR226" t="b">
        <f t="shared" si="425"/>
        <v>0</v>
      </c>
      <c r="BS226" t="b">
        <f t="shared" si="426"/>
        <v>0</v>
      </c>
      <c r="BT226" t="b">
        <f t="shared" si="427"/>
        <v>0</v>
      </c>
      <c r="BU226" t="b">
        <f t="shared" si="428"/>
        <v>0</v>
      </c>
      <c r="BV226" t="b">
        <f t="shared" si="429"/>
        <v>0</v>
      </c>
      <c r="BW226" t="b">
        <f t="shared" si="430"/>
        <v>0</v>
      </c>
      <c r="BX226" t="b">
        <f t="shared" si="431"/>
        <v>0</v>
      </c>
      <c r="BY226" t="b">
        <f t="shared" si="432"/>
        <v>0</v>
      </c>
      <c r="BZ226" t="b">
        <f t="shared" si="433"/>
        <v>0</v>
      </c>
      <c r="CA226" t="b">
        <f t="shared" si="434"/>
        <v>0</v>
      </c>
      <c r="CB226" t="b">
        <f t="shared" si="435"/>
        <v>0</v>
      </c>
      <c r="CC226" t="b">
        <f t="shared" si="436"/>
        <v>0</v>
      </c>
      <c r="CD226" t="b">
        <f t="shared" si="437"/>
        <v>0</v>
      </c>
      <c r="CE226" t="b">
        <f t="shared" si="438"/>
        <v>0</v>
      </c>
      <c r="CF226" t="b">
        <f t="shared" si="439"/>
        <v>0</v>
      </c>
      <c r="CG226" t="b">
        <f t="shared" si="440"/>
        <v>0</v>
      </c>
      <c r="CH226" t="b">
        <f t="shared" si="441"/>
        <v>0</v>
      </c>
      <c r="CI226" t="b">
        <f t="shared" si="442"/>
        <v>0</v>
      </c>
      <c r="CJ226" t="b">
        <f t="shared" si="443"/>
        <v>0</v>
      </c>
      <c r="CK226" t="b">
        <f t="shared" si="444"/>
        <v>0</v>
      </c>
      <c r="CL226" t="b">
        <f t="shared" si="445"/>
        <v>0</v>
      </c>
      <c r="CM226" t="b">
        <f t="shared" si="446"/>
        <v>0</v>
      </c>
      <c r="CN226" t="b">
        <f t="shared" si="447"/>
        <v>0</v>
      </c>
      <c r="CO226" t="b">
        <f t="shared" si="448"/>
        <v>0</v>
      </c>
      <c r="CP226" t="b">
        <f t="shared" si="449"/>
        <v>0</v>
      </c>
      <c r="CQ226" t="b">
        <f t="shared" si="450"/>
        <v>0</v>
      </c>
      <c r="CR226" t="b">
        <f t="shared" si="451"/>
        <v>0</v>
      </c>
      <c r="CS226" t="b">
        <f t="shared" si="452"/>
        <v>0</v>
      </c>
      <c r="CT226" t="b">
        <f t="shared" si="453"/>
        <v>0</v>
      </c>
      <c r="CU226" t="b">
        <f t="shared" si="454"/>
        <v>0</v>
      </c>
      <c r="CV226">
        <f t="shared" si="455"/>
        <v>1</v>
      </c>
      <c r="CW226" t="b">
        <f t="shared" si="456"/>
        <v>0</v>
      </c>
      <c r="CX226" t="b">
        <f t="shared" si="457"/>
        <v>0</v>
      </c>
      <c r="CY226" t="b">
        <f t="shared" si="458"/>
        <v>0</v>
      </c>
      <c r="CZ226" t="b">
        <f t="shared" si="459"/>
        <v>0</v>
      </c>
      <c r="DA226" t="b">
        <f t="shared" si="460"/>
        <v>0</v>
      </c>
      <c r="DB226" t="b">
        <f t="shared" si="461"/>
        <v>0</v>
      </c>
      <c r="DC226" t="b">
        <f t="shared" si="462"/>
        <v>0</v>
      </c>
      <c r="DD226" t="b">
        <f t="shared" si="463"/>
        <v>0</v>
      </c>
      <c r="DE226" t="b">
        <f t="shared" si="464"/>
        <v>0</v>
      </c>
      <c r="DF226" t="b">
        <f t="shared" si="465"/>
        <v>0</v>
      </c>
      <c r="DG226" t="b">
        <f t="shared" si="466"/>
        <v>0</v>
      </c>
      <c r="DH226" t="b">
        <f t="shared" si="467"/>
        <v>0</v>
      </c>
      <c r="DI226" t="b">
        <f t="shared" si="468"/>
        <v>0</v>
      </c>
      <c r="DJ226" t="b">
        <f t="shared" si="469"/>
        <v>0</v>
      </c>
      <c r="DK226" t="b">
        <f t="shared" si="470"/>
        <v>0</v>
      </c>
      <c r="DL226" t="b">
        <f t="shared" si="471"/>
        <v>0</v>
      </c>
      <c r="DM226" t="b">
        <f t="shared" si="472"/>
        <v>0</v>
      </c>
      <c r="DN226" t="b">
        <f t="shared" si="473"/>
        <v>0</v>
      </c>
      <c r="DO226" t="b">
        <f t="shared" si="474"/>
        <v>0</v>
      </c>
      <c r="DP226" t="b">
        <f t="shared" si="475"/>
        <v>0</v>
      </c>
      <c r="DQ226" t="b">
        <f t="shared" si="476"/>
        <v>0</v>
      </c>
      <c r="DR226" t="b">
        <f t="shared" si="477"/>
        <v>0</v>
      </c>
      <c r="DS226" t="b">
        <f t="shared" si="478"/>
        <v>0</v>
      </c>
      <c r="DT226" t="b">
        <f t="shared" si="479"/>
        <v>0</v>
      </c>
      <c r="DU226" t="b">
        <f t="shared" si="480"/>
        <v>0</v>
      </c>
      <c r="DV226" t="b">
        <f t="shared" si="481"/>
        <v>0</v>
      </c>
      <c r="DW226" t="b">
        <f t="shared" si="482"/>
        <v>0</v>
      </c>
      <c r="DX226" t="b">
        <f t="shared" si="483"/>
        <v>0</v>
      </c>
      <c r="DY226" t="b">
        <f t="shared" si="484"/>
        <v>0</v>
      </c>
      <c r="DZ226" t="b">
        <f t="shared" si="485"/>
        <v>0</v>
      </c>
      <c r="EA226" t="b">
        <f t="shared" si="486"/>
        <v>0</v>
      </c>
      <c r="EB226" t="b">
        <f t="shared" si="487"/>
        <v>0</v>
      </c>
      <c r="EC226" t="b">
        <f t="shared" si="488"/>
        <v>0</v>
      </c>
      <c r="ED226" t="b">
        <f t="shared" si="489"/>
        <v>0</v>
      </c>
      <c r="EE226" t="b">
        <f t="shared" si="490"/>
        <v>0</v>
      </c>
      <c r="EF226">
        <f t="shared" si="491"/>
        <v>1</v>
      </c>
      <c r="EG226" t="b">
        <f t="shared" si="492"/>
        <v>0</v>
      </c>
      <c r="EH226" t="b">
        <f t="shared" si="493"/>
        <v>0</v>
      </c>
      <c r="EI226" t="b">
        <f t="shared" si="494"/>
        <v>0</v>
      </c>
      <c r="EJ226" t="b">
        <f t="shared" si="495"/>
        <v>0</v>
      </c>
      <c r="EK226" t="b">
        <f t="shared" si="496"/>
        <v>0</v>
      </c>
    </row>
    <row r="227" spans="1:141">
      <c r="A227" t="s">
        <v>1230</v>
      </c>
      <c r="B227" t="s">
        <v>1230</v>
      </c>
      <c r="C227" t="s">
        <v>1231</v>
      </c>
      <c r="D227" s="1">
        <v>43435</v>
      </c>
      <c r="E227" s="2">
        <v>44362.139386574076</v>
      </c>
      <c r="F227" s="2">
        <v>44362.139386574076</v>
      </c>
      <c r="G227">
        <v>16717854</v>
      </c>
      <c r="H227" t="s">
        <v>1232</v>
      </c>
      <c r="I227" s="10" t="s">
        <v>1233</v>
      </c>
      <c r="J227" t="s">
        <v>156</v>
      </c>
      <c r="K227" s="8" t="b">
        <v>1</v>
      </c>
      <c r="L227" s="10" t="b">
        <v>0</v>
      </c>
      <c r="M227" s="12" t="b">
        <v>0</v>
      </c>
      <c r="N227" t="b">
        <v>0</v>
      </c>
      <c r="O227" t="b">
        <v>0</v>
      </c>
      <c r="P227" t="b">
        <v>0</v>
      </c>
      <c r="Q227">
        <f t="shared" si="373"/>
        <v>7</v>
      </c>
      <c r="R227">
        <f t="shared" si="374"/>
        <v>12</v>
      </c>
      <c r="S227" t="e">
        <f t="shared" ca="1" si="404"/>
        <v>#NAME?</v>
      </c>
      <c r="T227" t="e">
        <f t="shared" ca="1" si="375"/>
        <v>#NAME?</v>
      </c>
      <c r="U227" s="4">
        <f t="shared" si="376"/>
        <v>927.13938657407562</v>
      </c>
      <c r="V227" s="4">
        <f t="shared" si="377"/>
        <v>30.904646219135852</v>
      </c>
      <c r="W227" s="4">
        <f t="shared" si="378"/>
        <v>1</v>
      </c>
      <c r="X227" s="4">
        <f t="shared" si="379"/>
        <v>0</v>
      </c>
      <c r="Y227" s="4">
        <f t="shared" si="380"/>
        <v>0</v>
      </c>
      <c r="Z227" s="4">
        <f t="shared" si="381"/>
        <v>0</v>
      </c>
      <c r="AA227" s="4">
        <f t="shared" si="382"/>
        <v>0</v>
      </c>
      <c r="AB227" s="4">
        <f t="shared" si="383"/>
        <v>0</v>
      </c>
      <c r="AC227" s="4"/>
      <c r="AD227" s="4" t="b">
        <f t="shared" si="384"/>
        <v>0</v>
      </c>
      <c r="AE227" s="4" t="b">
        <f t="shared" si="385"/>
        <v>0</v>
      </c>
      <c r="AF227" s="4" t="b">
        <f t="shared" si="386"/>
        <v>0</v>
      </c>
      <c r="AG227" t="b">
        <f t="shared" si="387"/>
        <v>0</v>
      </c>
      <c r="AH227" t="b">
        <f t="shared" si="388"/>
        <v>0</v>
      </c>
      <c r="AI227" t="b">
        <f t="shared" si="389"/>
        <v>0</v>
      </c>
      <c r="AJ227" t="b">
        <f t="shared" si="390"/>
        <v>0</v>
      </c>
      <c r="AK227" t="b">
        <f t="shared" si="391"/>
        <v>0</v>
      </c>
      <c r="AL227" t="b">
        <f t="shared" si="392"/>
        <v>0</v>
      </c>
      <c r="AM227" t="b">
        <f t="shared" si="393"/>
        <v>0</v>
      </c>
      <c r="AN227" t="b">
        <f t="shared" si="394"/>
        <v>0</v>
      </c>
      <c r="AO227" t="b">
        <f t="shared" si="395"/>
        <v>0</v>
      </c>
      <c r="AP227" t="b">
        <f t="shared" si="396"/>
        <v>0</v>
      </c>
      <c r="AQ227" t="b">
        <f t="shared" si="397"/>
        <v>0</v>
      </c>
      <c r="AR227" t="b">
        <f t="shared" si="398"/>
        <v>0</v>
      </c>
      <c r="AS227" t="b">
        <f t="shared" si="399"/>
        <v>0</v>
      </c>
      <c r="AT227" t="b">
        <f t="shared" si="400"/>
        <v>0</v>
      </c>
      <c r="AU227" t="b">
        <f t="shared" si="401"/>
        <v>0</v>
      </c>
      <c r="AV227" t="b">
        <f t="shared" si="402"/>
        <v>0</v>
      </c>
      <c r="AW227" t="b">
        <f t="shared" si="403"/>
        <v>0</v>
      </c>
      <c r="AX227" t="b">
        <f t="shared" si="405"/>
        <v>0</v>
      </c>
      <c r="AY227" t="b">
        <f t="shared" si="406"/>
        <v>0</v>
      </c>
      <c r="AZ227" t="b">
        <f t="shared" si="407"/>
        <v>0</v>
      </c>
      <c r="BA227" t="b">
        <f t="shared" si="408"/>
        <v>0</v>
      </c>
      <c r="BB227" t="b">
        <f t="shared" si="409"/>
        <v>0</v>
      </c>
      <c r="BC227" t="b">
        <f t="shared" si="410"/>
        <v>0</v>
      </c>
      <c r="BD227" t="b">
        <f t="shared" si="411"/>
        <v>0</v>
      </c>
      <c r="BE227" t="b">
        <f t="shared" si="412"/>
        <v>0</v>
      </c>
      <c r="BF227" t="b">
        <f t="shared" si="413"/>
        <v>0</v>
      </c>
      <c r="BG227" t="b">
        <f t="shared" si="414"/>
        <v>0</v>
      </c>
      <c r="BH227" t="b">
        <f t="shared" si="415"/>
        <v>0</v>
      </c>
      <c r="BI227">
        <f t="shared" si="416"/>
        <v>1</v>
      </c>
      <c r="BJ227" t="b">
        <f t="shared" si="417"/>
        <v>0</v>
      </c>
      <c r="BK227" t="b">
        <f t="shared" si="418"/>
        <v>0</v>
      </c>
      <c r="BL227" t="b">
        <f t="shared" si="419"/>
        <v>0</v>
      </c>
      <c r="BM227" t="b">
        <f t="shared" si="420"/>
        <v>0</v>
      </c>
      <c r="BN227" t="b">
        <f t="shared" si="421"/>
        <v>0</v>
      </c>
      <c r="BO227" t="b">
        <f t="shared" si="422"/>
        <v>0</v>
      </c>
      <c r="BP227" t="b">
        <f t="shared" si="423"/>
        <v>0</v>
      </c>
      <c r="BQ227" t="b">
        <f t="shared" si="424"/>
        <v>0</v>
      </c>
      <c r="BR227" t="b">
        <f t="shared" si="425"/>
        <v>0</v>
      </c>
      <c r="BS227" t="b">
        <f t="shared" si="426"/>
        <v>0</v>
      </c>
      <c r="BT227" t="b">
        <f t="shared" si="427"/>
        <v>0</v>
      </c>
      <c r="BU227" t="b">
        <f t="shared" si="428"/>
        <v>0</v>
      </c>
      <c r="BV227" t="b">
        <f t="shared" si="429"/>
        <v>0</v>
      </c>
      <c r="BW227" t="b">
        <f t="shared" si="430"/>
        <v>0</v>
      </c>
      <c r="BX227" t="b">
        <f t="shared" si="431"/>
        <v>0</v>
      </c>
      <c r="BY227" t="b">
        <f t="shared" si="432"/>
        <v>0</v>
      </c>
      <c r="BZ227" t="b">
        <f t="shared" si="433"/>
        <v>0</v>
      </c>
      <c r="CA227" t="b">
        <f t="shared" si="434"/>
        <v>0</v>
      </c>
      <c r="CB227" t="b">
        <f t="shared" si="435"/>
        <v>0</v>
      </c>
      <c r="CC227" t="b">
        <f t="shared" si="436"/>
        <v>0</v>
      </c>
      <c r="CD227" t="b">
        <f t="shared" si="437"/>
        <v>0</v>
      </c>
      <c r="CE227" t="b">
        <f t="shared" si="438"/>
        <v>0</v>
      </c>
      <c r="CF227" t="b">
        <f t="shared" si="439"/>
        <v>0</v>
      </c>
      <c r="CG227" t="b">
        <f t="shared" si="440"/>
        <v>0</v>
      </c>
      <c r="CH227" t="b">
        <f t="shared" si="441"/>
        <v>0</v>
      </c>
      <c r="CI227" t="b">
        <f t="shared" si="442"/>
        <v>0</v>
      </c>
      <c r="CJ227" t="b">
        <f t="shared" si="443"/>
        <v>0</v>
      </c>
      <c r="CK227" t="b">
        <f t="shared" si="444"/>
        <v>0</v>
      </c>
      <c r="CL227" t="b">
        <f t="shared" si="445"/>
        <v>0</v>
      </c>
      <c r="CM227" t="b">
        <f t="shared" si="446"/>
        <v>0</v>
      </c>
      <c r="CN227" t="b">
        <f t="shared" si="447"/>
        <v>0</v>
      </c>
      <c r="CO227" t="b">
        <f t="shared" si="448"/>
        <v>0</v>
      </c>
      <c r="CP227" t="b">
        <f t="shared" si="449"/>
        <v>0</v>
      </c>
      <c r="CQ227" t="b">
        <f t="shared" si="450"/>
        <v>0</v>
      </c>
      <c r="CR227" t="b">
        <f t="shared" si="451"/>
        <v>0</v>
      </c>
      <c r="CS227" t="b">
        <f t="shared" si="452"/>
        <v>0</v>
      </c>
      <c r="CT227" t="b">
        <f t="shared" si="453"/>
        <v>0</v>
      </c>
      <c r="CU227" t="b">
        <f t="shared" si="454"/>
        <v>0</v>
      </c>
      <c r="CV227">
        <f t="shared" si="455"/>
        <v>1</v>
      </c>
      <c r="CW227" t="b">
        <f t="shared" si="456"/>
        <v>0</v>
      </c>
      <c r="CX227" t="b">
        <f t="shared" si="457"/>
        <v>0</v>
      </c>
      <c r="CY227" t="b">
        <f t="shared" si="458"/>
        <v>0</v>
      </c>
      <c r="CZ227" t="b">
        <f t="shared" si="459"/>
        <v>0</v>
      </c>
      <c r="DA227" t="b">
        <f t="shared" si="460"/>
        <v>0</v>
      </c>
      <c r="DB227" t="b">
        <f t="shared" si="461"/>
        <v>0</v>
      </c>
      <c r="DC227" t="b">
        <f t="shared" si="462"/>
        <v>0</v>
      </c>
      <c r="DD227" t="b">
        <f t="shared" si="463"/>
        <v>0</v>
      </c>
      <c r="DE227" t="b">
        <f t="shared" si="464"/>
        <v>0</v>
      </c>
      <c r="DF227" t="b">
        <f t="shared" si="465"/>
        <v>0</v>
      </c>
      <c r="DG227" t="b">
        <f t="shared" si="466"/>
        <v>0</v>
      </c>
      <c r="DH227" t="b">
        <f t="shared" si="467"/>
        <v>0</v>
      </c>
      <c r="DI227" t="b">
        <f t="shared" si="468"/>
        <v>0</v>
      </c>
      <c r="DJ227" t="b">
        <f t="shared" si="469"/>
        <v>0</v>
      </c>
      <c r="DK227" t="b">
        <f t="shared" si="470"/>
        <v>0</v>
      </c>
      <c r="DL227" t="b">
        <f t="shared" si="471"/>
        <v>0</v>
      </c>
      <c r="DM227" t="b">
        <f t="shared" si="472"/>
        <v>0</v>
      </c>
      <c r="DN227" t="b">
        <f t="shared" si="473"/>
        <v>0</v>
      </c>
      <c r="DO227" t="b">
        <f t="shared" si="474"/>
        <v>0</v>
      </c>
      <c r="DP227" t="b">
        <f t="shared" si="475"/>
        <v>0</v>
      </c>
      <c r="DQ227" t="b">
        <f t="shared" si="476"/>
        <v>0</v>
      </c>
      <c r="DR227" t="b">
        <f t="shared" si="477"/>
        <v>0</v>
      </c>
      <c r="DS227" t="b">
        <f t="shared" si="478"/>
        <v>0</v>
      </c>
      <c r="DT227" t="b">
        <f t="shared" si="479"/>
        <v>0</v>
      </c>
      <c r="DU227" t="b">
        <f t="shared" si="480"/>
        <v>0</v>
      </c>
      <c r="DV227" t="b">
        <f t="shared" si="481"/>
        <v>0</v>
      </c>
      <c r="DW227" t="b">
        <f t="shared" si="482"/>
        <v>0</v>
      </c>
      <c r="DX227" t="b">
        <f t="shared" si="483"/>
        <v>0</v>
      </c>
      <c r="DY227" t="b">
        <f t="shared" si="484"/>
        <v>0</v>
      </c>
      <c r="DZ227" t="b">
        <f t="shared" si="485"/>
        <v>0</v>
      </c>
      <c r="EA227" t="b">
        <f t="shared" si="486"/>
        <v>0</v>
      </c>
      <c r="EB227" t="b">
        <f t="shared" si="487"/>
        <v>0</v>
      </c>
      <c r="EC227" t="b">
        <f t="shared" si="488"/>
        <v>0</v>
      </c>
      <c r="ED227" t="b">
        <f t="shared" si="489"/>
        <v>0</v>
      </c>
      <c r="EE227" t="b">
        <f t="shared" si="490"/>
        <v>0</v>
      </c>
      <c r="EF227">
        <f t="shared" si="491"/>
        <v>1</v>
      </c>
      <c r="EG227" t="b">
        <f t="shared" si="492"/>
        <v>0</v>
      </c>
      <c r="EH227" t="b">
        <f t="shared" si="493"/>
        <v>0</v>
      </c>
      <c r="EI227" t="b">
        <f t="shared" si="494"/>
        <v>0</v>
      </c>
      <c r="EJ227" t="b">
        <f t="shared" si="495"/>
        <v>0</v>
      </c>
      <c r="EK227" t="b">
        <f t="shared" si="496"/>
        <v>0</v>
      </c>
    </row>
    <row r="228" spans="1:141">
      <c r="A228" t="s">
        <v>1234</v>
      </c>
      <c r="B228" t="s">
        <v>1235</v>
      </c>
      <c r="C228" t="s">
        <v>1236</v>
      </c>
      <c r="D228" s="1">
        <v>39542</v>
      </c>
      <c r="E228" s="2">
        <v>42330.04519675926</v>
      </c>
      <c r="F228" s="2">
        <v>42330.04519675926</v>
      </c>
      <c r="G228">
        <v>252216</v>
      </c>
      <c r="H228" t="s">
        <v>1237</v>
      </c>
      <c r="I228" s="10" t="s">
        <v>1238</v>
      </c>
      <c r="J228" t="s">
        <v>1239</v>
      </c>
      <c r="K228" s="8" t="b">
        <v>1</v>
      </c>
      <c r="L228" s="10" t="b">
        <v>0</v>
      </c>
      <c r="M228" s="12" t="b">
        <v>0</v>
      </c>
      <c r="N228" t="b">
        <v>0</v>
      </c>
      <c r="O228" t="b">
        <v>0</v>
      </c>
      <c r="P228" t="b">
        <v>0</v>
      </c>
      <c r="Q228">
        <f t="shared" si="373"/>
        <v>6</v>
      </c>
      <c r="R228">
        <f t="shared" si="374"/>
        <v>4</v>
      </c>
      <c r="S228" t="e">
        <f t="shared" ca="1" si="404"/>
        <v>#NAME?</v>
      </c>
      <c r="T228" t="e">
        <f t="shared" ca="1" si="375"/>
        <v>#NAME?</v>
      </c>
      <c r="U228" s="4">
        <f t="shared" si="376"/>
        <v>2788.0451967592599</v>
      </c>
      <c r="V228" s="4">
        <f t="shared" si="377"/>
        <v>92.934839891975329</v>
      </c>
      <c r="W228" s="4">
        <f t="shared" si="378"/>
        <v>1</v>
      </c>
      <c r="X228" s="4">
        <f t="shared" si="379"/>
        <v>0</v>
      </c>
      <c r="Y228" s="4">
        <f t="shared" si="380"/>
        <v>0</v>
      </c>
      <c r="Z228" s="4">
        <f t="shared" si="381"/>
        <v>0</v>
      </c>
      <c r="AA228" s="4">
        <f t="shared" si="382"/>
        <v>0</v>
      </c>
      <c r="AB228" s="4">
        <f t="shared" si="383"/>
        <v>0</v>
      </c>
      <c r="AC228" s="4"/>
      <c r="AD228" s="4">
        <f t="shared" si="384"/>
        <v>1</v>
      </c>
      <c r="AE228" s="4" t="b">
        <f t="shared" si="385"/>
        <v>0</v>
      </c>
      <c r="AF228" s="4" t="b">
        <f t="shared" si="386"/>
        <v>0</v>
      </c>
      <c r="AG228" t="b">
        <f t="shared" si="387"/>
        <v>0</v>
      </c>
      <c r="AH228" t="b">
        <f t="shared" si="388"/>
        <v>0</v>
      </c>
      <c r="AI228" t="b">
        <f t="shared" si="389"/>
        <v>0</v>
      </c>
      <c r="AJ228" t="b">
        <f t="shared" si="390"/>
        <v>0</v>
      </c>
      <c r="AK228" t="b">
        <f t="shared" si="391"/>
        <v>0</v>
      </c>
      <c r="AL228" t="b">
        <f t="shared" si="392"/>
        <v>0</v>
      </c>
      <c r="AM228" t="b">
        <f t="shared" si="393"/>
        <v>0</v>
      </c>
      <c r="AN228" t="b">
        <f t="shared" si="394"/>
        <v>0</v>
      </c>
      <c r="AO228" t="b">
        <f t="shared" si="395"/>
        <v>0</v>
      </c>
      <c r="AP228" t="b">
        <f t="shared" si="396"/>
        <v>0</v>
      </c>
      <c r="AQ228" t="b">
        <f t="shared" si="397"/>
        <v>0</v>
      </c>
      <c r="AR228" t="b">
        <f t="shared" si="398"/>
        <v>0</v>
      </c>
      <c r="AS228" t="b">
        <f t="shared" si="399"/>
        <v>0</v>
      </c>
      <c r="AT228" t="b">
        <f t="shared" si="400"/>
        <v>0</v>
      </c>
      <c r="AU228" t="b">
        <f t="shared" si="401"/>
        <v>0</v>
      </c>
      <c r="AV228" t="b">
        <f t="shared" si="402"/>
        <v>0</v>
      </c>
      <c r="AW228" t="b">
        <f t="shared" si="403"/>
        <v>0</v>
      </c>
      <c r="AX228" t="b">
        <f t="shared" si="405"/>
        <v>0</v>
      </c>
      <c r="AY228" t="b">
        <f t="shared" si="406"/>
        <v>0</v>
      </c>
      <c r="AZ228">
        <f t="shared" si="407"/>
        <v>1</v>
      </c>
      <c r="BA228" t="b">
        <f t="shared" si="408"/>
        <v>0</v>
      </c>
      <c r="BB228" t="b">
        <f t="shared" si="409"/>
        <v>0</v>
      </c>
      <c r="BC228" t="b">
        <f t="shared" si="410"/>
        <v>0</v>
      </c>
      <c r="BD228" t="b">
        <f t="shared" si="411"/>
        <v>0</v>
      </c>
      <c r="BE228" t="b">
        <f t="shared" si="412"/>
        <v>0</v>
      </c>
      <c r="BF228" t="b">
        <f t="shared" si="413"/>
        <v>0</v>
      </c>
      <c r="BG228" t="b">
        <f t="shared" si="414"/>
        <v>0</v>
      </c>
      <c r="BH228" t="b">
        <f t="shared" si="415"/>
        <v>0</v>
      </c>
      <c r="BI228">
        <f t="shared" si="416"/>
        <v>1</v>
      </c>
      <c r="BJ228" t="b">
        <f t="shared" si="417"/>
        <v>0</v>
      </c>
      <c r="BK228" t="b">
        <f t="shared" si="418"/>
        <v>0</v>
      </c>
      <c r="BL228" t="b">
        <f t="shared" si="419"/>
        <v>0</v>
      </c>
      <c r="BM228" t="b">
        <f t="shared" si="420"/>
        <v>0</v>
      </c>
      <c r="BN228" t="b">
        <f t="shared" si="421"/>
        <v>0</v>
      </c>
      <c r="BO228" t="b">
        <f t="shared" si="422"/>
        <v>0</v>
      </c>
      <c r="BP228" t="b">
        <f t="shared" si="423"/>
        <v>0</v>
      </c>
      <c r="BQ228" t="b">
        <f t="shared" si="424"/>
        <v>0</v>
      </c>
      <c r="BR228">
        <f t="shared" si="425"/>
        <v>1</v>
      </c>
      <c r="BS228" t="b">
        <f t="shared" si="426"/>
        <v>0</v>
      </c>
      <c r="BT228" t="b">
        <f t="shared" si="427"/>
        <v>0</v>
      </c>
      <c r="BU228" t="b">
        <f t="shared" si="428"/>
        <v>0</v>
      </c>
      <c r="BV228" t="b">
        <f t="shared" si="429"/>
        <v>0</v>
      </c>
      <c r="BW228" t="b">
        <f t="shared" si="430"/>
        <v>0</v>
      </c>
      <c r="BX228" t="b">
        <f t="shared" si="431"/>
        <v>0</v>
      </c>
      <c r="BY228" t="b">
        <f t="shared" si="432"/>
        <v>0</v>
      </c>
      <c r="BZ228" t="b">
        <f t="shared" si="433"/>
        <v>0</v>
      </c>
      <c r="CA228" t="b">
        <f t="shared" si="434"/>
        <v>0</v>
      </c>
      <c r="CB228" t="b">
        <f t="shared" si="435"/>
        <v>0</v>
      </c>
      <c r="CC228" t="b">
        <f t="shared" si="436"/>
        <v>0</v>
      </c>
      <c r="CD228" t="b">
        <f t="shared" si="437"/>
        <v>0</v>
      </c>
      <c r="CE228" t="b">
        <f t="shared" si="438"/>
        <v>0</v>
      </c>
      <c r="CF228" t="b">
        <f t="shared" si="439"/>
        <v>0</v>
      </c>
      <c r="CG228" t="b">
        <f t="shared" si="440"/>
        <v>0</v>
      </c>
      <c r="CH228" t="b">
        <f t="shared" si="441"/>
        <v>0</v>
      </c>
      <c r="CI228" t="b">
        <f t="shared" si="442"/>
        <v>0</v>
      </c>
      <c r="CJ228" t="b">
        <f t="shared" si="443"/>
        <v>0</v>
      </c>
      <c r="CK228" t="b">
        <f t="shared" si="444"/>
        <v>0</v>
      </c>
      <c r="CL228" t="b">
        <f t="shared" si="445"/>
        <v>0</v>
      </c>
      <c r="CM228">
        <f t="shared" si="446"/>
        <v>1</v>
      </c>
      <c r="CN228" t="b">
        <f t="shared" si="447"/>
        <v>0</v>
      </c>
      <c r="CO228" t="b">
        <f t="shared" si="448"/>
        <v>0</v>
      </c>
      <c r="CP228" t="b">
        <f t="shared" si="449"/>
        <v>0</v>
      </c>
      <c r="CQ228" t="b">
        <f t="shared" si="450"/>
        <v>0</v>
      </c>
      <c r="CR228" t="b">
        <f t="shared" si="451"/>
        <v>0</v>
      </c>
      <c r="CS228" t="b">
        <f t="shared" si="452"/>
        <v>0</v>
      </c>
      <c r="CT228" t="b">
        <f t="shared" si="453"/>
        <v>0</v>
      </c>
      <c r="CU228" t="b">
        <f t="shared" si="454"/>
        <v>0</v>
      </c>
      <c r="CV228">
        <f t="shared" si="455"/>
        <v>1</v>
      </c>
      <c r="CW228" t="b">
        <f t="shared" si="456"/>
        <v>0</v>
      </c>
      <c r="CX228" t="b">
        <f t="shared" si="457"/>
        <v>0</v>
      </c>
      <c r="CY228" t="b">
        <f t="shared" si="458"/>
        <v>0</v>
      </c>
      <c r="CZ228" t="b">
        <f t="shared" si="459"/>
        <v>0</v>
      </c>
      <c r="DA228">
        <f t="shared" si="460"/>
        <v>1</v>
      </c>
      <c r="DB228">
        <f t="shared" si="461"/>
        <v>1</v>
      </c>
      <c r="DC228" t="b">
        <f t="shared" si="462"/>
        <v>0</v>
      </c>
      <c r="DD228" t="b">
        <f t="shared" si="463"/>
        <v>0</v>
      </c>
      <c r="DE228" t="b">
        <f t="shared" si="464"/>
        <v>0</v>
      </c>
      <c r="DF228" t="b">
        <f t="shared" si="465"/>
        <v>0</v>
      </c>
      <c r="DG228" t="b">
        <f t="shared" si="466"/>
        <v>0</v>
      </c>
      <c r="DH228" t="b">
        <f t="shared" si="467"/>
        <v>0</v>
      </c>
      <c r="DI228" t="b">
        <f t="shared" si="468"/>
        <v>0</v>
      </c>
      <c r="DJ228" t="b">
        <f t="shared" si="469"/>
        <v>0</v>
      </c>
      <c r="DK228" t="b">
        <f t="shared" si="470"/>
        <v>0</v>
      </c>
      <c r="DL228" t="b">
        <f t="shared" si="471"/>
        <v>0</v>
      </c>
      <c r="DM228" t="b">
        <f t="shared" si="472"/>
        <v>0</v>
      </c>
      <c r="DN228" t="b">
        <f t="shared" si="473"/>
        <v>0</v>
      </c>
      <c r="DO228" t="b">
        <f t="shared" si="474"/>
        <v>0</v>
      </c>
      <c r="DP228" t="b">
        <f t="shared" si="475"/>
        <v>0</v>
      </c>
      <c r="DQ228" t="b">
        <f t="shared" si="476"/>
        <v>0</v>
      </c>
      <c r="DR228" t="b">
        <f t="shared" si="477"/>
        <v>0</v>
      </c>
      <c r="DS228" t="b">
        <f t="shared" si="478"/>
        <v>0</v>
      </c>
      <c r="DT228" t="b">
        <f t="shared" si="479"/>
        <v>0</v>
      </c>
      <c r="DU228" t="b">
        <f t="shared" si="480"/>
        <v>0</v>
      </c>
      <c r="DV228" t="b">
        <f t="shared" si="481"/>
        <v>0</v>
      </c>
      <c r="DW228" t="b">
        <f t="shared" si="482"/>
        <v>0</v>
      </c>
      <c r="DX228" t="b">
        <f t="shared" si="483"/>
        <v>0</v>
      </c>
      <c r="DY228" t="b">
        <f t="shared" si="484"/>
        <v>0</v>
      </c>
      <c r="DZ228" t="b">
        <f t="shared" si="485"/>
        <v>0</v>
      </c>
      <c r="EA228" t="b">
        <f t="shared" si="486"/>
        <v>0</v>
      </c>
      <c r="EB228" t="b">
        <f t="shared" si="487"/>
        <v>0</v>
      </c>
      <c r="EC228" t="b">
        <f t="shared" si="488"/>
        <v>0</v>
      </c>
      <c r="ED228" t="b">
        <f t="shared" si="489"/>
        <v>0</v>
      </c>
      <c r="EE228" t="b">
        <f t="shared" si="490"/>
        <v>0</v>
      </c>
      <c r="EF228">
        <f t="shared" si="491"/>
        <v>1</v>
      </c>
      <c r="EG228" t="b">
        <f t="shared" si="492"/>
        <v>0</v>
      </c>
      <c r="EH228" t="b">
        <f t="shared" si="493"/>
        <v>0</v>
      </c>
      <c r="EI228">
        <f t="shared" si="494"/>
        <v>1</v>
      </c>
      <c r="EJ228" t="b">
        <f t="shared" si="495"/>
        <v>0</v>
      </c>
      <c r="EK228" t="b">
        <f t="shared" si="496"/>
        <v>0</v>
      </c>
    </row>
    <row r="229" spans="1:141">
      <c r="A229" t="s">
        <v>1240</v>
      </c>
      <c r="B229" t="s">
        <v>1241</v>
      </c>
      <c r="C229" t="s">
        <v>1242</v>
      </c>
      <c r="D229" s="1">
        <v>42766</v>
      </c>
      <c r="E229" s="2">
        <v>42771.42150462963</v>
      </c>
      <c r="F229" s="2">
        <v>42771.42150462963</v>
      </c>
      <c r="G229">
        <v>380830</v>
      </c>
      <c r="H229" t="s">
        <v>1243</v>
      </c>
      <c r="I229" s="10" t="s">
        <v>1244</v>
      </c>
      <c r="J229" t="s">
        <v>156</v>
      </c>
      <c r="K229" s="8" t="b">
        <v>1</v>
      </c>
      <c r="L229" s="10" t="b">
        <v>0</v>
      </c>
      <c r="M229" s="12" t="b">
        <v>1</v>
      </c>
      <c r="N229" t="b">
        <v>0</v>
      </c>
      <c r="O229" t="b">
        <v>0</v>
      </c>
      <c r="P229" t="b">
        <v>0</v>
      </c>
      <c r="Q229">
        <f t="shared" si="373"/>
        <v>3</v>
      </c>
      <c r="R229">
        <f t="shared" si="374"/>
        <v>1</v>
      </c>
      <c r="S229" t="e">
        <f t="shared" ca="1" si="404"/>
        <v>#NAME?</v>
      </c>
      <c r="T229" t="e">
        <f t="shared" ca="1" si="375"/>
        <v>#NAME?</v>
      </c>
      <c r="U229" s="4">
        <f t="shared" si="376"/>
        <v>5.4215046296303626</v>
      </c>
      <c r="V229" s="4">
        <f t="shared" si="377"/>
        <v>0.18071682098767874</v>
      </c>
      <c r="W229" s="4">
        <f t="shared" si="378"/>
        <v>1</v>
      </c>
      <c r="X229" s="4">
        <f t="shared" si="379"/>
        <v>0</v>
      </c>
      <c r="Y229" s="4">
        <f t="shared" si="380"/>
        <v>1</v>
      </c>
      <c r="Z229" s="4">
        <f t="shared" si="381"/>
        <v>0</v>
      </c>
      <c r="AA229" s="4">
        <f t="shared" si="382"/>
        <v>0</v>
      </c>
      <c r="AB229" s="4">
        <f t="shared" si="383"/>
        <v>0</v>
      </c>
      <c r="AC229" s="4"/>
      <c r="AD229" s="4" t="b">
        <f t="shared" si="384"/>
        <v>0</v>
      </c>
      <c r="AE229" s="4" t="b">
        <f t="shared" si="385"/>
        <v>0</v>
      </c>
      <c r="AF229" s="4" t="b">
        <f t="shared" si="386"/>
        <v>0</v>
      </c>
      <c r="AG229" t="b">
        <f t="shared" si="387"/>
        <v>0</v>
      </c>
      <c r="AH229" t="b">
        <f t="shared" si="388"/>
        <v>0</v>
      </c>
      <c r="AI229" t="b">
        <f t="shared" si="389"/>
        <v>0</v>
      </c>
      <c r="AJ229" t="b">
        <f t="shared" si="390"/>
        <v>0</v>
      </c>
      <c r="AK229" t="b">
        <f t="shared" si="391"/>
        <v>0</v>
      </c>
      <c r="AL229" t="b">
        <f t="shared" si="392"/>
        <v>0</v>
      </c>
      <c r="AM229" t="b">
        <f t="shared" si="393"/>
        <v>0</v>
      </c>
      <c r="AN229" t="b">
        <f t="shared" si="394"/>
        <v>0</v>
      </c>
      <c r="AO229" t="b">
        <f t="shared" si="395"/>
        <v>0</v>
      </c>
      <c r="AP229" t="b">
        <f t="shared" si="396"/>
        <v>0</v>
      </c>
      <c r="AQ229" t="b">
        <f t="shared" si="397"/>
        <v>0</v>
      </c>
      <c r="AR229" t="b">
        <f t="shared" si="398"/>
        <v>0</v>
      </c>
      <c r="AS229" t="b">
        <f t="shared" si="399"/>
        <v>0</v>
      </c>
      <c r="AT229" t="b">
        <f t="shared" si="400"/>
        <v>0</v>
      </c>
      <c r="AU229" t="b">
        <f t="shared" si="401"/>
        <v>0</v>
      </c>
      <c r="AV229" t="b">
        <f t="shared" si="402"/>
        <v>0</v>
      </c>
      <c r="AW229" t="b">
        <f t="shared" si="403"/>
        <v>0</v>
      </c>
      <c r="AX229" t="b">
        <f t="shared" si="405"/>
        <v>0</v>
      </c>
      <c r="AY229" t="b">
        <f t="shared" si="406"/>
        <v>0</v>
      </c>
      <c r="AZ229" t="b">
        <f t="shared" si="407"/>
        <v>0</v>
      </c>
      <c r="BA229" t="b">
        <f t="shared" si="408"/>
        <v>0</v>
      </c>
      <c r="BB229" t="b">
        <f t="shared" si="409"/>
        <v>0</v>
      </c>
      <c r="BC229" t="b">
        <f t="shared" si="410"/>
        <v>0</v>
      </c>
      <c r="BD229" t="b">
        <f t="shared" si="411"/>
        <v>0</v>
      </c>
      <c r="BE229" t="b">
        <f t="shared" si="412"/>
        <v>0</v>
      </c>
      <c r="BF229" t="b">
        <f t="shared" si="413"/>
        <v>0</v>
      </c>
      <c r="BG229" t="b">
        <f t="shared" si="414"/>
        <v>0</v>
      </c>
      <c r="BH229" t="b">
        <f t="shared" si="415"/>
        <v>0</v>
      </c>
      <c r="BI229">
        <f t="shared" si="416"/>
        <v>1</v>
      </c>
      <c r="BJ229" t="b">
        <f t="shared" si="417"/>
        <v>0</v>
      </c>
      <c r="BK229" t="b">
        <f t="shared" si="418"/>
        <v>0</v>
      </c>
      <c r="BL229" t="b">
        <f t="shared" si="419"/>
        <v>0</v>
      </c>
      <c r="BM229" t="b">
        <f t="shared" si="420"/>
        <v>0</v>
      </c>
      <c r="BN229" t="b">
        <f t="shared" si="421"/>
        <v>0</v>
      </c>
      <c r="BO229" t="b">
        <f t="shared" si="422"/>
        <v>0</v>
      </c>
      <c r="BP229" t="b">
        <f t="shared" si="423"/>
        <v>0</v>
      </c>
      <c r="BQ229" t="b">
        <f t="shared" si="424"/>
        <v>0</v>
      </c>
      <c r="BR229" t="b">
        <f t="shared" si="425"/>
        <v>0</v>
      </c>
      <c r="BS229" t="b">
        <f t="shared" si="426"/>
        <v>0</v>
      </c>
      <c r="BT229" t="b">
        <f t="shared" si="427"/>
        <v>0</v>
      </c>
      <c r="BU229" t="b">
        <f t="shared" si="428"/>
        <v>0</v>
      </c>
      <c r="BV229" t="b">
        <f t="shared" si="429"/>
        <v>0</v>
      </c>
      <c r="BW229" t="b">
        <f t="shared" si="430"/>
        <v>0</v>
      </c>
      <c r="BX229" t="b">
        <f t="shared" si="431"/>
        <v>0</v>
      </c>
      <c r="BY229" t="b">
        <f t="shared" si="432"/>
        <v>0</v>
      </c>
      <c r="BZ229" t="b">
        <f t="shared" si="433"/>
        <v>0</v>
      </c>
      <c r="CA229" t="b">
        <f t="shared" si="434"/>
        <v>0</v>
      </c>
      <c r="CB229" t="b">
        <f t="shared" si="435"/>
        <v>0</v>
      </c>
      <c r="CC229" t="b">
        <f t="shared" si="436"/>
        <v>0</v>
      </c>
      <c r="CD229" t="b">
        <f t="shared" si="437"/>
        <v>0</v>
      </c>
      <c r="CE229" t="b">
        <f t="shared" si="438"/>
        <v>0</v>
      </c>
      <c r="CF229" t="b">
        <f t="shared" si="439"/>
        <v>0</v>
      </c>
      <c r="CG229" t="b">
        <f t="shared" si="440"/>
        <v>0</v>
      </c>
      <c r="CH229" t="b">
        <f t="shared" si="441"/>
        <v>0</v>
      </c>
      <c r="CI229" t="b">
        <f t="shared" si="442"/>
        <v>0</v>
      </c>
      <c r="CJ229" t="b">
        <f t="shared" si="443"/>
        <v>0</v>
      </c>
      <c r="CK229" t="b">
        <f t="shared" si="444"/>
        <v>0</v>
      </c>
      <c r="CL229" t="b">
        <f t="shared" si="445"/>
        <v>0</v>
      </c>
      <c r="CM229" t="b">
        <f t="shared" si="446"/>
        <v>0</v>
      </c>
      <c r="CN229" t="b">
        <f t="shared" si="447"/>
        <v>0</v>
      </c>
      <c r="CO229" t="b">
        <f t="shared" si="448"/>
        <v>0</v>
      </c>
      <c r="CP229" t="b">
        <f t="shared" si="449"/>
        <v>0</v>
      </c>
      <c r="CQ229" t="b">
        <f t="shared" si="450"/>
        <v>0</v>
      </c>
      <c r="CR229" t="b">
        <f t="shared" si="451"/>
        <v>0</v>
      </c>
      <c r="CS229" t="b">
        <f t="shared" si="452"/>
        <v>0</v>
      </c>
      <c r="CT229" t="b">
        <f t="shared" si="453"/>
        <v>0</v>
      </c>
      <c r="CU229" t="b">
        <f t="shared" si="454"/>
        <v>0</v>
      </c>
      <c r="CV229">
        <f t="shared" si="455"/>
        <v>1</v>
      </c>
      <c r="CW229" t="b">
        <f t="shared" si="456"/>
        <v>0</v>
      </c>
      <c r="CX229" t="b">
        <f t="shared" si="457"/>
        <v>0</v>
      </c>
      <c r="CY229" t="b">
        <f t="shared" si="458"/>
        <v>0</v>
      </c>
      <c r="CZ229" t="b">
        <f t="shared" si="459"/>
        <v>0</v>
      </c>
      <c r="DA229" t="b">
        <f t="shared" si="460"/>
        <v>0</v>
      </c>
      <c r="DB229" t="b">
        <f t="shared" si="461"/>
        <v>0</v>
      </c>
      <c r="DC229" t="b">
        <f t="shared" si="462"/>
        <v>0</v>
      </c>
      <c r="DD229" t="b">
        <f t="shared" si="463"/>
        <v>0</v>
      </c>
      <c r="DE229" t="b">
        <f t="shared" si="464"/>
        <v>0</v>
      </c>
      <c r="DF229" t="b">
        <f t="shared" si="465"/>
        <v>0</v>
      </c>
      <c r="DG229" t="b">
        <f t="shared" si="466"/>
        <v>0</v>
      </c>
      <c r="DH229" t="b">
        <f t="shared" si="467"/>
        <v>0</v>
      </c>
      <c r="DI229" t="b">
        <f t="shared" si="468"/>
        <v>0</v>
      </c>
      <c r="DJ229" t="b">
        <f t="shared" si="469"/>
        <v>0</v>
      </c>
      <c r="DK229" t="b">
        <f t="shared" si="470"/>
        <v>0</v>
      </c>
      <c r="DL229" t="b">
        <f t="shared" si="471"/>
        <v>0</v>
      </c>
      <c r="DM229" t="b">
        <f t="shared" si="472"/>
        <v>0</v>
      </c>
      <c r="DN229" t="b">
        <f t="shared" si="473"/>
        <v>0</v>
      </c>
      <c r="DO229" t="b">
        <f t="shared" si="474"/>
        <v>0</v>
      </c>
      <c r="DP229" t="b">
        <f t="shared" si="475"/>
        <v>0</v>
      </c>
      <c r="DQ229" t="b">
        <f t="shared" si="476"/>
        <v>0</v>
      </c>
      <c r="DR229" t="b">
        <f t="shared" si="477"/>
        <v>0</v>
      </c>
      <c r="DS229" t="b">
        <f t="shared" si="478"/>
        <v>0</v>
      </c>
      <c r="DT229" t="b">
        <f t="shared" si="479"/>
        <v>0</v>
      </c>
      <c r="DU229" t="b">
        <f t="shared" si="480"/>
        <v>0</v>
      </c>
      <c r="DV229" t="b">
        <f t="shared" si="481"/>
        <v>0</v>
      </c>
      <c r="DW229" t="b">
        <f t="shared" si="482"/>
        <v>0</v>
      </c>
      <c r="DX229" t="b">
        <f t="shared" si="483"/>
        <v>0</v>
      </c>
      <c r="DY229" t="b">
        <f t="shared" si="484"/>
        <v>0</v>
      </c>
      <c r="DZ229" t="b">
        <f t="shared" si="485"/>
        <v>0</v>
      </c>
      <c r="EA229" t="b">
        <f t="shared" si="486"/>
        <v>0</v>
      </c>
      <c r="EB229" t="b">
        <f t="shared" si="487"/>
        <v>0</v>
      </c>
      <c r="EC229" t="b">
        <f t="shared" si="488"/>
        <v>0</v>
      </c>
      <c r="ED229" t="b">
        <f t="shared" si="489"/>
        <v>0</v>
      </c>
      <c r="EE229" t="b">
        <f t="shared" si="490"/>
        <v>0</v>
      </c>
      <c r="EF229">
        <f t="shared" si="491"/>
        <v>1</v>
      </c>
      <c r="EG229" t="b">
        <f t="shared" si="492"/>
        <v>0</v>
      </c>
      <c r="EH229" t="b">
        <f t="shared" si="493"/>
        <v>0</v>
      </c>
      <c r="EI229" t="b">
        <f t="shared" si="494"/>
        <v>0</v>
      </c>
      <c r="EJ229" t="b">
        <f t="shared" si="495"/>
        <v>0</v>
      </c>
      <c r="EK229" t="b">
        <f t="shared" si="496"/>
        <v>0</v>
      </c>
    </row>
    <row r="230" spans="1:141">
      <c r="A230" t="s">
        <v>1245</v>
      </c>
      <c r="B230" t="s">
        <v>1245</v>
      </c>
      <c r="C230" t="s">
        <v>1246</v>
      </c>
      <c r="D230" s="1">
        <v>42552</v>
      </c>
      <c r="E230" s="2">
        <v>43353.518969907411</v>
      </c>
      <c r="F230" s="2">
        <v>43353.518969907411</v>
      </c>
      <c r="G230">
        <v>110355</v>
      </c>
      <c r="H230" t="s">
        <v>1247</v>
      </c>
      <c r="I230" s="10" t="s">
        <v>1248</v>
      </c>
      <c r="J230" t="s">
        <v>1249</v>
      </c>
      <c r="K230" s="8" t="b">
        <v>1</v>
      </c>
      <c r="L230" s="10" t="b">
        <v>0</v>
      </c>
      <c r="M230" s="12" t="b">
        <v>0</v>
      </c>
      <c r="N230" t="b">
        <v>0</v>
      </c>
      <c r="O230" t="b">
        <v>0</v>
      </c>
      <c r="P230" t="b">
        <v>0</v>
      </c>
      <c r="Q230">
        <f t="shared" si="373"/>
        <v>6</v>
      </c>
      <c r="R230">
        <f t="shared" si="374"/>
        <v>7</v>
      </c>
      <c r="S230" t="e">
        <f t="shared" ca="1" si="404"/>
        <v>#NAME?</v>
      </c>
      <c r="T230" t="e">
        <f t="shared" ca="1" si="375"/>
        <v>#NAME?</v>
      </c>
      <c r="U230" s="4">
        <f t="shared" si="376"/>
        <v>801.51896990741079</v>
      </c>
      <c r="V230" s="4">
        <f t="shared" si="377"/>
        <v>26.717298996913694</v>
      </c>
      <c r="W230" s="4">
        <f t="shared" si="378"/>
        <v>1</v>
      </c>
      <c r="X230" s="4">
        <f t="shared" si="379"/>
        <v>0</v>
      </c>
      <c r="Y230" s="4">
        <f t="shared" si="380"/>
        <v>0</v>
      </c>
      <c r="Z230" s="4">
        <f t="shared" si="381"/>
        <v>0</v>
      </c>
      <c r="AA230" s="4">
        <f t="shared" si="382"/>
        <v>0</v>
      </c>
      <c r="AB230" s="4">
        <f t="shared" si="383"/>
        <v>0</v>
      </c>
      <c r="AC230" s="4"/>
      <c r="AD230" s="4" t="b">
        <f t="shared" si="384"/>
        <v>0</v>
      </c>
      <c r="AE230" s="4" t="b">
        <f t="shared" si="385"/>
        <v>0</v>
      </c>
      <c r="AF230" s="4" t="b">
        <f t="shared" si="386"/>
        <v>0</v>
      </c>
      <c r="AG230" t="b">
        <f t="shared" si="387"/>
        <v>0</v>
      </c>
      <c r="AH230" t="b">
        <f t="shared" si="388"/>
        <v>0</v>
      </c>
      <c r="AI230" t="b">
        <f t="shared" si="389"/>
        <v>0</v>
      </c>
      <c r="AJ230" t="b">
        <f t="shared" si="390"/>
        <v>0</v>
      </c>
      <c r="AK230" t="b">
        <f t="shared" si="391"/>
        <v>0</v>
      </c>
      <c r="AL230" t="b">
        <f t="shared" si="392"/>
        <v>0</v>
      </c>
      <c r="AM230" t="b">
        <f t="shared" si="393"/>
        <v>0</v>
      </c>
      <c r="AN230" t="b">
        <f t="shared" si="394"/>
        <v>0</v>
      </c>
      <c r="AO230" t="b">
        <f t="shared" si="395"/>
        <v>0</v>
      </c>
      <c r="AP230" t="b">
        <f t="shared" si="396"/>
        <v>0</v>
      </c>
      <c r="AQ230" t="b">
        <f t="shared" si="397"/>
        <v>0</v>
      </c>
      <c r="AR230" t="b">
        <f t="shared" si="398"/>
        <v>0</v>
      </c>
      <c r="AS230" t="b">
        <f t="shared" si="399"/>
        <v>0</v>
      </c>
      <c r="AT230" t="b">
        <f t="shared" si="400"/>
        <v>0</v>
      </c>
      <c r="AU230" t="b">
        <f t="shared" si="401"/>
        <v>0</v>
      </c>
      <c r="AV230" t="b">
        <f t="shared" si="402"/>
        <v>0</v>
      </c>
      <c r="AW230" t="b">
        <f t="shared" si="403"/>
        <v>0</v>
      </c>
      <c r="AX230" t="b">
        <f t="shared" si="405"/>
        <v>0</v>
      </c>
      <c r="AY230" t="b">
        <f t="shared" si="406"/>
        <v>0</v>
      </c>
      <c r="AZ230" t="b">
        <f t="shared" si="407"/>
        <v>0</v>
      </c>
      <c r="BA230" t="b">
        <f t="shared" si="408"/>
        <v>0</v>
      </c>
      <c r="BB230">
        <f t="shared" si="409"/>
        <v>1</v>
      </c>
      <c r="BC230" t="b">
        <f t="shared" si="410"/>
        <v>0</v>
      </c>
      <c r="BD230" t="b">
        <f t="shared" si="411"/>
        <v>0</v>
      </c>
      <c r="BE230" t="b">
        <f t="shared" si="412"/>
        <v>0</v>
      </c>
      <c r="BF230" t="b">
        <f t="shared" si="413"/>
        <v>0</v>
      </c>
      <c r="BG230" t="b">
        <f t="shared" si="414"/>
        <v>0</v>
      </c>
      <c r="BH230" t="b">
        <f t="shared" si="415"/>
        <v>0</v>
      </c>
      <c r="BI230">
        <f t="shared" si="416"/>
        <v>1</v>
      </c>
      <c r="BJ230" t="b">
        <f t="shared" si="417"/>
        <v>0</v>
      </c>
      <c r="BK230" t="b">
        <f t="shared" si="418"/>
        <v>0</v>
      </c>
      <c r="BL230" t="b">
        <f t="shared" si="419"/>
        <v>0</v>
      </c>
      <c r="BM230" t="b">
        <f t="shared" si="420"/>
        <v>0</v>
      </c>
      <c r="BN230" t="b">
        <f t="shared" si="421"/>
        <v>0</v>
      </c>
      <c r="BO230" t="b">
        <f t="shared" si="422"/>
        <v>0</v>
      </c>
      <c r="BP230" t="b">
        <f t="shared" si="423"/>
        <v>0</v>
      </c>
      <c r="BQ230" t="b">
        <f t="shared" si="424"/>
        <v>0</v>
      </c>
      <c r="BR230" t="b">
        <f t="shared" si="425"/>
        <v>0</v>
      </c>
      <c r="BS230" t="b">
        <f t="shared" si="426"/>
        <v>0</v>
      </c>
      <c r="BT230" t="b">
        <f t="shared" si="427"/>
        <v>0</v>
      </c>
      <c r="BU230" t="b">
        <f t="shared" si="428"/>
        <v>0</v>
      </c>
      <c r="BV230" t="b">
        <f t="shared" si="429"/>
        <v>0</v>
      </c>
      <c r="BW230" t="b">
        <f t="shared" si="430"/>
        <v>0</v>
      </c>
      <c r="BX230" t="b">
        <f t="shared" si="431"/>
        <v>0</v>
      </c>
      <c r="BY230" t="b">
        <f t="shared" si="432"/>
        <v>0</v>
      </c>
      <c r="BZ230" t="b">
        <f t="shared" si="433"/>
        <v>0</v>
      </c>
      <c r="CA230" t="b">
        <f t="shared" si="434"/>
        <v>0</v>
      </c>
      <c r="CB230" t="b">
        <f t="shared" si="435"/>
        <v>0</v>
      </c>
      <c r="CC230" t="b">
        <f t="shared" si="436"/>
        <v>0</v>
      </c>
      <c r="CD230" t="b">
        <f t="shared" si="437"/>
        <v>0</v>
      </c>
      <c r="CE230" t="b">
        <f t="shared" si="438"/>
        <v>0</v>
      </c>
      <c r="CF230" t="b">
        <f t="shared" si="439"/>
        <v>0</v>
      </c>
      <c r="CG230" t="b">
        <f t="shared" si="440"/>
        <v>0</v>
      </c>
      <c r="CH230" t="b">
        <f t="shared" si="441"/>
        <v>0</v>
      </c>
      <c r="CI230" t="b">
        <f t="shared" si="442"/>
        <v>0</v>
      </c>
      <c r="CJ230" t="b">
        <f t="shared" si="443"/>
        <v>0</v>
      </c>
      <c r="CK230" t="b">
        <f t="shared" si="444"/>
        <v>0</v>
      </c>
      <c r="CL230" t="b">
        <f t="shared" si="445"/>
        <v>0</v>
      </c>
      <c r="CM230">
        <f t="shared" si="446"/>
        <v>1</v>
      </c>
      <c r="CN230" t="b">
        <f t="shared" si="447"/>
        <v>0</v>
      </c>
      <c r="CO230" t="b">
        <f t="shared" si="448"/>
        <v>0</v>
      </c>
      <c r="CP230" t="b">
        <f t="shared" si="449"/>
        <v>0</v>
      </c>
      <c r="CQ230" t="b">
        <f t="shared" si="450"/>
        <v>0</v>
      </c>
      <c r="CR230" t="b">
        <f t="shared" si="451"/>
        <v>0</v>
      </c>
      <c r="CS230" t="b">
        <f t="shared" si="452"/>
        <v>0</v>
      </c>
      <c r="CT230" t="b">
        <f t="shared" si="453"/>
        <v>0</v>
      </c>
      <c r="CU230" t="b">
        <f t="shared" si="454"/>
        <v>0</v>
      </c>
      <c r="CV230" t="b">
        <f t="shared" si="455"/>
        <v>0</v>
      </c>
      <c r="CW230" t="b">
        <f t="shared" si="456"/>
        <v>0</v>
      </c>
      <c r="CX230" t="b">
        <f t="shared" si="457"/>
        <v>0</v>
      </c>
      <c r="CY230" t="b">
        <f t="shared" si="458"/>
        <v>0</v>
      </c>
      <c r="CZ230" t="b">
        <f t="shared" si="459"/>
        <v>0</v>
      </c>
      <c r="DA230">
        <f t="shared" si="460"/>
        <v>1</v>
      </c>
      <c r="DB230">
        <f t="shared" si="461"/>
        <v>1</v>
      </c>
      <c r="DC230" t="b">
        <f t="shared" si="462"/>
        <v>0</v>
      </c>
      <c r="DD230" t="b">
        <f t="shared" si="463"/>
        <v>0</v>
      </c>
      <c r="DE230" t="b">
        <f t="shared" si="464"/>
        <v>0</v>
      </c>
      <c r="DF230" t="b">
        <f t="shared" si="465"/>
        <v>0</v>
      </c>
      <c r="DG230" t="b">
        <f t="shared" si="466"/>
        <v>0</v>
      </c>
      <c r="DH230" t="b">
        <f t="shared" si="467"/>
        <v>0</v>
      </c>
      <c r="DI230" t="b">
        <f t="shared" si="468"/>
        <v>0</v>
      </c>
      <c r="DJ230">
        <f t="shared" si="469"/>
        <v>1</v>
      </c>
      <c r="DK230" t="b">
        <f t="shared" si="470"/>
        <v>0</v>
      </c>
      <c r="DL230" t="b">
        <f t="shared" si="471"/>
        <v>0</v>
      </c>
      <c r="DM230" t="b">
        <f t="shared" si="472"/>
        <v>0</v>
      </c>
      <c r="DN230" t="b">
        <f t="shared" si="473"/>
        <v>0</v>
      </c>
      <c r="DO230" t="b">
        <f t="shared" si="474"/>
        <v>0</v>
      </c>
      <c r="DP230" t="b">
        <f t="shared" si="475"/>
        <v>0</v>
      </c>
      <c r="DQ230" t="b">
        <f t="shared" si="476"/>
        <v>0</v>
      </c>
      <c r="DR230" t="b">
        <f t="shared" si="477"/>
        <v>0</v>
      </c>
      <c r="DS230" t="b">
        <f t="shared" si="478"/>
        <v>0</v>
      </c>
      <c r="DT230" t="b">
        <f t="shared" si="479"/>
        <v>0</v>
      </c>
      <c r="DU230" t="b">
        <f t="shared" si="480"/>
        <v>0</v>
      </c>
      <c r="DV230" t="b">
        <f t="shared" si="481"/>
        <v>0</v>
      </c>
      <c r="DW230" t="b">
        <f t="shared" si="482"/>
        <v>0</v>
      </c>
      <c r="DX230" t="b">
        <f t="shared" si="483"/>
        <v>0</v>
      </c>
      <c r="DY230" t="b">
        <f t="shared" si="484"/>
        <v>0</v>
      </c>
      <c r="DZ230" t="b">
        <f t="shared" si="485"/>
        <v>0</v>
      </c>
      <c r="EA230" t="b">
        <f t="shared" si="486"/>
        <v>0</v>
      </c>
      <c r="EB230" t="b">
        <f t="shared" si="487"/>
        <v>0</v>
      </c>
      <c r="EC230" t="b">
        <f t="shared" si="488"/>
        <v>0</v>
      </c>
      <c r="ED230" t="b">
        <f t="shared" si="489"/>
        <v>0</v>
      </c>
      <c r="EE230" t="b">
        <f t="shared" si="490"/>
        <v>0</v>
      </c>
      <c r="EF230" t="b">
        <f t="shared" si="491"/>
        <v>0</v>
      </c>
      <c r="EG230" t="b">
        <f t="shared" si="492"/>
        <v>0</v>
      </c>
      <c r="EH230" t="b">
        <f t="shared" si="493"/>
        <v>0</v>
      </c>
      <c r="EI230" t="b">
        <f t="shared" si="494"/>
        <v>0</v>
      </c>
      <c r="EJ230" t="b">
        <f t="shared" si="495"/>
        <v>0</v>
      </c>
      <c r="EK230" t="b">
        <f t="shared" si="496"/>
        <v>0</v>
      </c>
    </row>
    <row r="231" spans="1:141">
      <c r="A231" t="s">
        <v>1250</v>
      </c>
      <c r="B231" t="s">
        <v>1250</v>
      </c>
      <c r="C231" t="s">
        <v>1251</v>
      </c>
      <c r="D231" s="1">
        <v>41761</v>
      </c>
      <c r="E231" s="2">
        <v>41765.117071759261</v>
      </c>
      <c r="F231" s="2">
        <v>41765.117071759261</v>
      </c>
      <c r="G231">
        <v>35368</v>
      </c>
      <c r="H231" t="s">
        <v>1252</v>
      </c>
      <c r="I231" s="10" t="s">
        <v>1253</v>
      </c>
      <c r="J231" t="s">
        <v>1187</v>
      </c>
      <c r="K231" s="8" t="b">
        <v>1</v>
      </c>
      <c r="L231" s="10" t="b">
        <v>0</v>
      </c>
      <c r="M231" s="12" t="b">
        <v>1</v>
      </c>
      <c r="N231" t="b">
        <v>0</v>
      </c>
      <c r="O231" t="b">
        <v>0</v>
      </c>
      <c r="P231" t="b">
        <v>0</v>
      </c>
      <c r="Q231">
        <f t="shared" si="373"/>
        <v>6</v>
      </c>
      <c r="R231">
        <f t="shared" si="374"/>
        <v>5</v>
      </c>
      <c r="S231" t="e">
        <f t="shared" ca="1" si="404"/>
        <v>#NAME?</v>
      </c>
      <c r="T231" t="e">
        <f t="shared" ca="1" si="375"/>
        <v>#NAME?</v>
      </c>
      <c r="U231" s="4">
        <f t="shared" si="376"/>
        <v>4.1170717592613073</v>
      </c>
      <c r="V231" s="4">
        <f t="shared" si="377"/>
        <v>0.13723572530871025</v>
      </c>
      <c r="W231" s="4">
        <f t="shared" si="378"/>
        <v>1</v>
      </c>
      <c r="X231" s="4">
        <f t="shared" si="379"/>
        <v>0</v>
      </c>
      <c r="Y231" s="4">
        <f t="shared" si="380"/>
        <v>1</v>
      </c>
      <c r="Z231" s="4">
        <f t="shared" si="381"/>
        <v>0</v>
      </c>
      <c r="AA231" s="4">
        <f t="shared" si="382"/>
        <v>0</v>
      </c>
      <c r="AB231" s="4">
        <f t="shared" si="383"/>
        <v>0</v>
      </c>
      <c r="AC231" s="4"/>
      <c r="AD231" s="4" t="b">
        <f t="shared" si="384"/>
        <v>0</v>
      </c>
      <c r="AE231" s="4" t="b">
        <f t="shared" si="385"/>
        <v>0</v>
      </c>
      <c r="AF231" s="4" t="b">
        <f t="shared" si="386"/>
        <v>0</v>
      </c>
      <c r="AG231" t="b">
        <f t="shared" si="387"/>
        <v>0</v>
      </c>
      <c r="AH231" t="b">
        <f t="shared" si="388"/>
        <v>0</v>
      </c>
      <c r="AI231" t="b">
        <f t="shared" si="389"/>
        <v>0</v>
      </c>
      <c r="AJ231" t="b">
        <f t="shared" si="390"/>
        <v>0</v>
      </c>
      <c r="AK231" t="b">
        <f t="shared" si="391"/>
        <v>0</v>
      </c>
      <c r="AL231" t="b">
        <f t="shared" si="392"/>
        <v>0</v>
      </c>
      <c r="AM231" t="b">
        <f t="shared" si="393"/>
        <v>0</v>
      </c>
      <c r="AN231" t="b">
        <f t="shared" si="394"/>
        <v>0</v>
      </c>
      <c r="AO231" t="b">
        <f t="shared" si="395"/>
        <v>0</v>
      </c>
      <c r="AP231" t="b">
        <f t="shared" si="396"/>
        <v>0</v>
      </c>
      <c r="AQ231" t="b">
        <f t="shared" si="397"/>
        <v>0</v>
      </c>
      <c r="AR231" t="b">
        <f t="shared" si="398"/>
        <v>0</v>
      </c>
      <c r="AS231" t="b">
        <f t="shared" si="399"/>
        <v>0</v>
      </c>
      <c r="AT231" t="b">
        <f t="shared" si="400"/>
        <v>0</v>
      </c>
      <c r="AU231" t="b">
        <f t="shared" si="401"/>
        <v>0</v>
      </c>
      <c r="AV231" t="b">
        <f t="shared" si="402"/>
        <v>0</v>
      </c>
      <c r="AW231" t="b">
        <f t="shared" si="403"/>
        <v>0</v>
      </c>
      <c r="AX231" t="b">
        <f t="shared" si="405"/>
        <v>0</v>
      </c>
      <c r="AY231" t="b">
        <f t="shared" si="406"/>
        <v>0</v>
      </c>
      <c r="AZ231" t="b">
        <f t="shared" si="407"/>
        <v>0</v>
      </c>
      <c r="BA231" t="b">
        <f t="shared" si="408"/>
        <v>0</v>
      </c>
      <c r="BB231" t="b">
        <f t="shared" si="409"/>
        <v>0</v>
      </c>
      <c r="BC231" t="b">
        <f t="shared" si="410"/>
        <v>0</v>
      </c>
      <c r="BD231" t="b">
        <f t="shared" si="411"/>
        <v>0</v>
      </c>
      <c r="BE231" t="b">
        <f t="shared" si="412"/>
        <v>0</v>
      </c>
      <c r="BF231" t="b">
        <f t="shared" si="413"/>
        <v>0</v>
      </c>
      <c r="BG231" t="b">
        <f t="shared" si="414"/>
        <v>0</v>
      </c>
      <c r="BH231" t="b">
        <f t="shared" si="415"/>
        <v>0</v>
      </c>
      <c r="BI231">
        <f t="shared" si="416"/>
        <v>1</v>
      </c>
      <c r="BJ231" t="b">
        <f t="shared" si="417"/>
        <v>0</v>
      </c>
      <c r="BK231" t="b">
        <f t="shared" si="418"/>
        <v>0</v>
      </c>
      <c r="BL231" t="b">
        <f t="shared" si="419"/>
        <v>0</v>
      </c>
      <c r="BM231" t="b">
        <f t="shared" si="420"/>
        <v>0</v>
      </c>
      <c r="BN231" t="b">
        <f t="shared" si="421"/>
        <v>0</v>
      </c>
      <c r="BO231" t="b">
        <f t="shared" si="422"/>
        <v>0</v>
      </c>
      <c r="BP231" t="b">
        <f t="shared" si="423"/>
        <v>0</v>
      </c>
      <c r="BQ231" t="b">
        <f t="shared" si="424"/>
        <v>0</v>
      </c>
      <c r="BR231" t="b">
        <f t="shared" si="425"/>
        <v>0</v>
      </c>
      <c r="BS231" t="b">
        <f t="shared" si="426"/>
        <v>0</v>
      </c>
      <c r="BT231" t="b">
        <f t="shared" si="427"/>
        <v>0</v>
      </c>
      <c r="BU231" t="b">
        <f t="shared" si="428"/>
        <v>0</v>
      </c>
      <c r="BV231" t="b">
        <f t="shared" si="429"/>
        <v>0</v>
      </c>
      <c r="BW231" t="b">
        <f t="shared" si="430"/>
        <v>0</v>
      </c>
      <c r="BX231" t="b">
        <f t="shared" si="431"/>
        <v>0</v>
      </c>
      <c r="BY231" t="b">
        <f t="shared" si="432"/>
        <v>0</v>
      </c>
      <c r="BZ231" t="b">
        <f t="shared" si="433"/>
        <v>0</v>
      </c>
      <c r="CA231" t="b">
        <f t="shared" si="434"/>
        <v>0</v>
      </c>
      <c r="CB231" t="b">
        <f t="shared" si="435"/>
        <v>0</v>
      </c>
      <c r="CC231" t="b">
        <f t="shared" si="436"/>
        <v>0</v>
      </c>
      <c r="CD231" t="b">
        <f t="shared" si="437"/>
        <v>0</v>
      </c>
      <c r="CE231" t="b">
        <f t="shared" si="438"/>
        <v>0</v>
      </c>
      <c r="CF231" t="b">
        <f t="shared" si="439"/>
        <v>0</v>
      </c>
      <c r="CG231" t="b">
        <f t="shared" si="440"/>
        <v>0</v>
      </c>
      <c r="CH231" t="b">
        <f t="shared" si="441"/>
        <v>0</v>
      </c>
      <c r="CI231" t="b">
        <f t="shared" si="442"/>
        <v>0</v>
      </c>
      <c r="CJ231" t="b">
        <f t="shared" si="443"/>
        <v>0</v>
      </c>
      <c r="CK231" t="b">
        <f t="shared" si="444"/>
        <v>0</v>
      </c>
      <c r="CL231" t="b">
        <f t="shared" si="445"/>
        <v>0</v>
      </c>
      <c r="CM231" t="b">
        <f t="shared" si="446"/>
        <v>0</v>
      </c>
      <c r="CN231" t="b">
        <f t="shared" si="447"/>
        <v>0</v>
      </c>
      <c r="CO231" t="b">
        <f t="shared" si="448"/>
        <v>0</v>
      </c>
      <c r="CP231" t="b">
        <f t="shared" si="449"/>
        <v>0</v>
      </c>
      <c r="CQ231" t="b">
        <f t="shared" si="450"/>
        <v>0</v>
      </c>
      <c r="CR231" t="b">
        <f t="shared" si="451"/>
        <v>0</v>
      </c>
      <c r="CS231" t="b">
        <f t="shared" si="452"/>
        <v>0</v>
      </c>
      <c r="CT231" t="b">
        <f t="shared" si="453"/>
        <v>0</v>
      </c>
      <c r="CU231" t="b">
        <f t="shared" si="454"/>
        <v>0</v>
      </c>
      <c r="CV231">
        <f t="shared" si="455"/>
        <v>1</v>
      </c>
      <c r="CW231" t="b">
        <f t="shared" si="456"/>
        <v>0</v>
      </c>
      <c r="CX231" t="b">
        <f t="shared" si="457"/>
        <v>0</v>
      </c>
      <c r="CY231" t="b">
        <f t="shared" si="458"/>
        <v>0</v>
      </c>
      <c r="CZ231" t="b">
        <f t="shared" si="459"/>
        <v>0</v>
      </c>
      <c r="DA231" t="b">
        <f t="shared" si="460"/>
        <v>0</v>
      </c>
      <c r="DB231" t="b">
        <f t="shared" si="461"/>
        <v>0</v>
      </c>
      <c r="DC231" t="b">
        <f t="shared" si="462"/>
        <v>0</v>
      </c>
      <c r="DD231" t="b">
        <f t="shared" si="463"/>
        <v>0</v>
      </c>
      <c r="DE231" t="b">
        <f t="shared" si="464"/>
        <v>0</v>
      </c>
      <c r="DF231" t="b">
        <f t="shared" si="465"/>
        <v>0</v>
      </c>
      <c r="DG231" t="b">
        <f t="shared" si="466"/>
        <v>0</v>
      </c>
      <c r="DH231" t="b">
        <f t="shared" si="467"/>
        <v>0</v>
      </c>
      <c r="DI231" t="b">
        <f t="shared" si="468"/>
        <v>0</v>
      </c>
      <c r="DJ231" t="b">
        <f t="shared" si="469"/>
        <v>0</v>
      </c>
      <c r="DK231" t="b">
        <f t="shared" si="470"/>
        <v>0</v>
      </c>
      <c r="DL231" t="b">
        <f t="shared" si="471"/>
        <v>0</v>
      </c>
      <c r="DM231" t="b">
        <f t="shared" si="472"/>
        <v>0</v>
      </c>
      <c r="DN231" t="b">
        <f t="shared" si="473"/>
        <v>0</v>
      </c>
      <c r="DO231" t="b">
        <f t="shared" si="474"/>
        <v>0</v>
      </c>
      <c r="DP231" t="b">
        <f t="shared" si="475"/>
        <v>0</v>
      </c>
      <c r="DQ231" t="b">
        <f t="shared" si="476"/>
        <v>0</v>
      </c>
      <c r="DR231" t="b">
        <f t="shared" si="477"/>
        <v>0</v>
      </c>
      <c r="DS231" t="b">
        <f t="shared" si="478"/>
        <v>0</v>
      </c>
      <c r="DT231" t="b">
        <f t="shared" si="479"/>
        <v>0</v>
      </c>
      <c r="DU231" t="b">
        <f t="shared" si="480"/>
        <v>0</v>
      </c>
      <c r="DV231" t="b">
        <f t="shared" si="481"/>
        <v>0</v>
      </c>
      <c r="DW231" t="b">
        <f t="shared" si="482"/>
        <v>0</v>
      </c>
      <c r="DX231" t="b">
        <f t="shared" si="483"/>
        <v>0</v>
      </c>
      <c r="DY231" t="b">
        <f t="shared" si="484"/>
        <v>0</v>
      </c>
      <c r="DZ231" t="b">
        <f t="shared" si="485"/>
        <v>0</v>
      </c>
      <c r="EA231" t="b">
        <f t="shared" si="486"/>
        <v>0</v>
      </c>
      <c r="EB231" t="b">
        <f t="shared" si="487"/>
        <v>0</v>
      </c>
      <c r="EC231" t="b">
        <f t="shared" si="488"/>
        <v>0</v>
      </c>
      <c r="ED231" t="b">
        <f t="shared" si="489"/>
        <v>0</v>
      </c>
      <c r="EE231" t="b">
        <f t="shared" si="490"/>
        <v>0</v>
      </c>
      <c r="EF231">
        <f t="shared" si="491"/>
        <v>1</v>
      </c>
      <c r="EG231" t="b">
        <f t="shared" si="492"/>
        <v>0</v>
      </c>
      <c r="EH231" t="b">
        <f t="shared" si="493"/>
        <v>0</v>
      </c>
      <c r="EI231">
        <f t="shared" si="494"/>
        <v>1</v>
      </c>
      <c r="EJ231" t="b">
        <f t="shared" si="495"/>
        <v>0</v>
      </c>
      <c r="EK231" t="b">
        <f t="shared" si="496"/>
        <v>0</v>
      </c>
    </row>
    <row r="232" spans="1:141">
      <c r="A232" t="s">
        <v>1254</v>
      </c>
      <c r="B232" t="s">
        <v>1254</v>
      </c>
      <c r="C232" t="s">
        <v>1255</v>
      </c>
      <c r="D232" s="1">
        <v>42552</v>
      </c>
      <c r="E232" s="2">
        <v>42786.030162037037</v>
      </c>
      <c r="F232" s="2">
        <v>42786.030162037037</v>
      </c>
      <c r="G232">
        <v>2491103</v>
      </c>
      <c r="H232" t="s">
        <v>1256</v>
      </c>
      <c r="I232" s="10" t="s">
        <v>1257</v>
      </c>
      <c r="J232" t="s">
        <v>1090</v>
      </c>
      <c r="K232" s="8" t="b">
        <v>1</v>
      </c>
      <c r="L232" s="10" t="b">
        <v>0</v>
      </c>
      <c r="M232" s="12" t="b">
        <v>0</v>
      </c>
      <c r="N232" t="b">
        <v>0</v>
      </c>
      <c r="O232" t="b">
        <v>0</v>
      </c>
      <c r="P232" t="b">
        <v>0</v>
      </c>
      <c r="Q232">
        <f t="shared" si="373"/>
        <v>6</v>
      </c>
      <c r="R232">
        <f t="shared" si="374"/>
        <v>7</v>
      </c>
      <c r="S232" t="e">
        <f t="shared" ca="1" si="404"/>
        <v>#NAME?</v>
      </c>
      <c r="T232" t="e">
        <f t="shared" ca="1" si="375"/>
        <v>#NAME?</v>
      </c>
      <c r="U232" s="4">
        <f t="shared" si="376"/>
        <v>234.03016203703737</v>
      </c>
      <c r="V232" s="4">
        <f t="shared" si="377"/>
        <v>7.8010054012345789</v>
      </c>
      <c r="W232" s="4">
        <f t="shared" si="378"/>
        <v>1</v>
      </c>
      <c r="X232" s="4">
        <f t="shared" si="379"/>
        <v>0</v>
      </c>
      <c r="Y232" s="4">
        <f t="shared" si="380"/>
        <v>0</v>
      </c>
      <c r="Z232" s="4">
        <f t="shared" si="381"/>
        <v>0</v>
      </c>
      <c r="AA232" s="4">
        <f t="shared" si="382"/>
        <v>0</v>
      </c>
      <c r="AB232" s="4">
        <f t="shared" si="383"/>
        <v>0</v>
      </c>
      <c r="AC232" s="4"/>
      <c r="AD232" s="4" t="b">
        <f t="shared" si="384"/>
        <v>0</v>
      </c>
      <c r="AE232" s="4" t="b">
        <f t="shared" si="385"/>
        <v>0</v>
      </c>
      <c r="AF232" s="4" t="b">
        <f t="shared" si="386"/>
        <v>0</v>
      </c>
      <c r="AG232" t="b">
        <f t="shared" si="387"/>
        <v>0</v>
      </c>
      <c r="AH232" t="b">
        <f t="shared" si="388"/>
        <v>0</v>
      </c>
      <c r="AI232" t="b">
        <f t="shared" si="389"/>
        <v>0</v>
      </c>
      <c r="AJ232" t="b">
        <f t="shared" si="390"/>
        <v>0</v>
      </c>
      <c r="AK232" t="b">
        <f t="shared" si="391"/>
        <v>0</v>
      </c>
      <c r="AL232" t="b">
        <f t="shared" si="392"/>
        <v>0</v>
      </c>
      <c r="AM232" t="b">
        <f t="shared" si="393"/>
        <v>0</v>
      </c>
      <c r="AN232" t="b">
        <f t="shared" si="394"/>
        <v>0</v>
      </c>
      <c r="AO232" t="b">
        <f t="shared" si="395"/>
        <v>0</v>
      </c>
      <c r="AP232" t="b">
        <f t="shared" si="396"/>
        <v>0</v>
      </c>
      <c r="AQ232" t="b">
        <f t="shared" si="397"/>
        <v>0</v>
      </c>
      <c r="AR232" t="b">
        <f t="shared" si="398"/>
        <v>0</v>
      </c>
      <c r="AS232" t="b">
        <f t="shared" si="399"/>
        <v>0</v>
      </c>
      <c r="AT232" t="b">
        <f t="shared" si="400"/>
        <v>0</v>
      </c>
      <c r="AU232" t="b">
        <f t="shared" si="401"/>
        <v>0</v>
      </c>
      <c r="AV232" t="b">
        <f t="shared" si="402"/>
        <v>0</v>
      </c>
      <c r="AW232" t="b">
        <f t="shared" si="403"/>
        <v>0</v>
      </c>
      <c r="AX232" t="b">
        <f t="shared" si="405"/>
        <v>0</v>
      </c>
      <c r="AY232" t="b">
        <f t="shared" si="406"/>
        <v>0</v>
      </c>
      <c r="AZ232">
        <f t="shared" si="407"/>
        <v>1</v>
      </c>
      <c r="BA232" t="b">
        <f t="shared" si="408"/>
        <v>0</v>
      </c>
      <c r="BB232" t="b">
        <f t="shared" si="409"/>
        <v>0</v>
      </c>
      <c r="BC232" t="b">
        <f t="shared" si="410"/>
        <v>0</v>
      </c>
      <c r="BD232" t="b">
        <f t="shared" si="411"/>
        <v>0</v>
      </c>
      <c r="BE232" t="b">
        <f t="shared" si="412"/>
        <v>0</v>
      </c>
      <c r="BF232" t="b">
        <f t="shared" si="413"/>
        <v>0</v>
      </c>
      <c r="BG232" t="b">
        <f t="shared" si="414"/>
        <v>0</v>
      </c>
      <c r="BH232" t="b">
        <f t="shared" si="415"/>
        <v>0</v>
      </c>
      <c r="BI232">
        <f t="shared" si="416"/>
        <v>1</v>
      </c>
      <c r="BJ232" t="b">
        <f t="shared" si="417"/>
        <v>0</v>
      </c>
      <c r="BK232" t="b">
        <f t="shared" si="418"/>
        <v>0</v>
      </c>
      <c r="BL232" t="b">
        <f t="shared" si="419"/>
        <v>0</v>
      </c>
      <c r="BM232" t="b">
        <f t="shared" si="420"/>
        <v>0</v>
      </c>
      <c r="BN232" t="b">
        <f t="shared" si="421"/>
        <v>0</v>
      </c>
      <c r="BO232" t="b">
        <f t="shared" si="422"/>
        <v>0</v>
      </c>
      <c r="BP232" t="b">
        <f t="shared" si="423"/>
        <v>0</v>
      </c>
      <c r="BQ232" t="b">
        <f t="shared" si="424"/>
        <v>0</v>
      </c>
      <c r="BR232" t="b">
        <f t="shared" si="425"/>
        <v>0</v>
      </c>
      <c r="BS232" t="b">
        <f t="shared" si="426"/>
        <v>0</v>
      </c>
      <c r="BT232" t="b">
        <f t="shared" si="427"/>
        <v>0</v>
      </c>
      <c r="BU232" t="b">
        <f t="shared" si="428"/>
        <v>0</v>
      </c>
      <c r="BV232" t="b">
        <f t="shared" si="429"/>
        <v>0</v>
      </c>
      <c r="BW232" t="b">
        <f t="shared" si="430"/>
        <v>0</v>
      </c>
      <c r="BX232" t="b">
        <f t="shared" si="431"/>
        <v>0</v>
      </c>
      <c r="BY232" t="b">
        <f t="shared" si="432"/>
        <v>0</v>
      </c>
      <c r="BZ232" t="b">
        <f t="shared" si="433"/>
        <v>0</v>
      </c>
      <c r="CA232" t="b">
        <f t="shared" si="434"/>
        <v>0</v>
      </c>
      <c r="CB232" t="b">
        <f t="shared" si="435"/>
        <v>0</v>
      </c>
      <c r="CC232" t="b">
        <f t="shared" si="436"/>
        <v>0</v>
      </c>
      <c r="CD232" t="b">
        <f t="shared" si="437"/>
        <v>0</v>
      </c>
      <c r="CE232" t="b">
        <f t="shared" si="438"/>
        <v>0</v>
      </c>
      <c r="CF232" t="b">
        <f t="shared" si="439"/>
        <v>0</v>
      </c>
      <c r="CG232" t="b">
        <f t="shared" si="440"/>
        <v>0</v>
      </c>
      <c r="CH232" t="b">
        <f t="shared" si="441"/>
        <v>0</v>
      </c>
      <c r="CI232" t="b">
        <f t="shared" si="442"/>
        <v>0</v>
      </c>
      <c r="CJ232" t="b">
        <f t="shared" si="443"/>
        <v>0</v>
      </c>
      <c r="CK232" t="b">
        <f t="shared" si="444"/>
        <v>0</v>
      </c>
      <c r="CL232" t="b">
        <f t="shared" si="445"/>
        <v>0</v>
      </c>
      <c r="CM232" t="b">
        <f t="shared" si="446"/>
        <v>0</v>
      </c>
      <c r="CN232" t="b">
        <f t="shared" si="447"/>
        <v>0</v>
      </c>
      <c r="CO232" t="b">
        <f t="shared" si="448"/>
        <v>0</v>
      </c>
      <c r="CP232" t="b">
        <f t="shared" si="449"/>
        <v>0</v>
      </c>
      <c r="CQ232" t="b">
        <f t="shared" si="450"/>
        <v>0</v>
      </c>
      <c r="CR232" t="b">
        <f t="shared" si="451"/>
        <v>0</v>
      </c>
      <c r="CS232" t="b">
        <f t="shared" si="452"/>
        <v>0</v>
      </c>
      <c r="CT232" t="b">
        <f t="shared" si="453"/>
        <v>0</v>
      </c>
      <c r="CU232" t="b">
        <f t="shared" si="454"/>
        <v>0</v>
      </c>
      <c r="CV232">
        <f t="shared" si="455"/>
        <v>1</v>
      </c>
      <c r="CW232" t="b">
        <f t="shared" si="456"/>
        <v>0</v>
      </c>
      <c r="CX232" t="b">
        <f t="shared" si="457"/>
        <v>0</v>
      </c>
      <c r="CY232" t="b">
        <f t="shared" si="458"/>
        <v>0</v>
      </c>
      <c r="CZ232" t="b">
        <f t="shared" si="459"/>
        <v>0</v>
      </c>
      <c r="DA232" t="b">
        <f t="shared" si="460"/>
        <v>0</v>
      </c>
      <c r="DB232" t="b">
        <f t="shared" si="461"/>
        <v>0</v>
      </c>
      <c r="DC232" t="b">
        <f t="shared" si="462"/>
        <v>0</v>
      </c>
      <c r="DD232" t="b">
        <f t="shared" si="463"/>
        <v>0</v>
      </c>
      <c r="DE232" t="b">
        <f t="shared" si="464"/>
        <v>0</v>
      </c>
      <c r="DF232" t="b">
        <f t="shared" si="465"/>
        <v>0</v>
      </c>
      <c r="DG232" t="b">
        <f t="shared" si="466"/>
        <v>0</v>
      </c>
      <c r="DH232" t="b">
        <f t="shared" si="467"/>
        <v>0</v>
      </c>
      <c r="DI232" t="b">
        <f t="shared" si="468"/>
        <v>0</v>
      </c>
      <c r="DJ232" t="b">
        <f t="shared" si="469"/>
        <v>0</v>
      </c>
      <c r="DK232" t="b">
        <f t="shared" si="470"/>
        <v>0</v>
      </c>
      <c r="DL232" t="b">
        <f t="shared" si="471"/>
        <v>0</v>
      </c>
      <c r="DM232" t="b">
        <f t="shared" si="472"/>
        <v>0</v>
      </c>
      <c r="DN232" t="b">
        <f t="shared" si="473"/>
        <v>0</v>
      </c>
      <c r="DO232" t="b">
        <f t="shared" si="474"/>
        <v>0</v>
      </c>
      <c r="DP232" t="b">
        <f t="shared" si="475"/>
        <v>0</v>
      </c>
      <c r="DQ232" t="b">
        <f t="shared" si="476"/>
        <v>0</v>
      </c>
      <c r="DR232" t="b">
        <f t="shared" si="477"/>
        <v>0</v>
      </c>
      <c r="DS232" t="b">
        <f t="shared" si="478"/>
        <v>0</v>
      </c>
      <c r="DT232" t="b">
        <f t="shared" si="479"/>
        <v>0</v>
      </c>
      <c r="DU232" t="b">
        <f t="shared" si="480"/>
        <v>0</v>
      </c>
      <c r="DV232" t="b">
        <f t="shared" si="481"/>
        <v>0</v>
      </c>
      <c r="DW232" t="b">
        <f t="shared" si="482"/>
        <v>0</v>
      </c>
      <c r="DX232" t="b">
        <f t="shared" si="483"/>
        <v>0</v>
      </c>
      <c r="DY232" t="b">
        <f t="shared" si="484"/>
        <v>0</v>
      </c>
      <c r="DZ232" t="b">
        <f t="shared" si="485"/>
        <v>0</v>
      </c>
      <c r="EA232" t="b">
        <f t="shared" si="486"/>
        <v>0</v>
      </c>
      <c r="EB232" t="b">
        <f t="shared" si="487"/>
        <v>0</v>
      </c>
      <c r="EC232" t="b">
        <f t="shared" si="488"/>
        <v>0</v>
      </c>
      <c r="ED232" t="b">
        <f t="shared" si="489"/>
        <v>0</v>
      </c>
      <c r="EE232" t="b">
        <f t="shared" si="490"/>
        <v>0</v>
      </c>
      <c r="EF232">
        <f t="shared" si="491"/>
        <v>1</v>
      </c>
      <c r="EG232" t="b">
        <f t="shared" si="492"/>
        <v>0</v>
      </c>
      <c r="EH232" t="b">
        <f t="shared" si="493"/>
        <v>0</v>
      </c>
      <c r="EI232" t="b">
        <f t="shared" si="494"/>
        <v>0</v>
      </c>
      <c r="EJ232" t="b">
        <f t="shared" si="495"/>
        <v>0</v>
      </c>
      <c r="EK232" t="b">
        <f t="shared" si="496"/>
        <v>0</v>
      </c>
    </row>
    <row r="233" spans="1:141">
      <c r="A233" t="s">
        <v>1258</v>
      </c>
      <c r="B233" t="s">
        <v>1259</v>
      </c>
      <c r="C233" t="s">
        <v>1260</v>
      </c>
      <c r="D233" s="1">
        <v>43218</v>
      </c>
      <c r="E233" s="2">
        <v>43305.126099537039</v>
      </c>
      <c r="F233" s="2">
        <v>43305.126099537039</v>
      </c>
      <c r="G233">
        <v>764357</v>
      </c>
      <c r="H233" t="s">
        <v>1261</v>
      </c>
      <c r="I233" s="10" t="s">
        <v>1262</v>
      </c>
      <c r="J233" t="s">
        <v>188</v>
      </c>
      <c r="K233" s="8" t="b">
        <v>1</v>
      </c>
      <c r="L233" s="10" t="b">
        <v>0</v>
      </c>
      <c r="M233" s="12" t="b">
        <v>0</v>
      </c>
      <c r="N233" t="b">
        <v>0</v>
      </c>
      <c r="O233" t="b">
        <v>0</v>
      </c>
      <c r="P233" t="b">
        <v>0</v>
      </c>
      <c r="Q233">
        <f t="shared" si="373"/>
        <v>7</v>
      </c>
      <c r="R233">
        <f t="shared" si="374"/>
        <v>4</v>
      </c>
      <c r="S233" t="e">
        <f t="shared" ca="1" si="404"/>
        <v>#NAME?</v>
      </c>
      <c r="T233" t="e">
        <f t="shared" ca="1" si="375"/>
        <v>#NAME?</v>
      </c>
      <c r="U233" s="4">
        <f t="shared" si="376"/>
        <v>87.126099537039408</v>
      </c>
      <c r="V233" s="4">
        <f t="shared" si="377"/>
        <v>2.9042033179013136</v>
      </c>
      <c r="W233" s="4">
        <f t="shared" si="378"/>
        <v>1</v>
      </c>
      <c r="X233" s="4">
        <f t="shared" si="379"/>
        <v>0</v>
      </c>
      <c r="Y233" s="4">
        <f t="shared" si="380"/>
        <v>0</v>
      </c>
      <c r="Z233" s="4">
        <f t="shared" si="381"/>
        <v>0</v>
      </c>
      <c r="AA233" s="4">
        <f t="shared" si="382"/>
        <v>0</v>
      </c>
      <c r="AB233" s="4">
        <f t="shared" si="383"/>
        <v>0</v>
      </c>
      <c r="AC233" s="4"/>
      <c r="AD233" s="4" t="b">
        <f t="shared" si="384"/>
        <v>0</v>
      </c>
      <c r="AE233" s="4" t="b">
        <f t="shared" si="385"/>
        <v>0</v>
      </c>
      <c r="AF233" s="4" t="b">
        <f t="shared" si="386"/>
        <v>0</v>
      </c>
      <c r="AG233" t="b">
        <f t="shared" si="387"/>
        <v>0</v>
      </c>
      <c r="AH233" t="b">
        <f t="shared" si="388"/>
        <v>0</v>
      </c>
      <c r="AI233" t="b">
        <f t="shared" si="389"/>
        <v>0</v>
      </c>
      <c r="AJ233" t="b">
        <f t="shared" si="390"/>
        <v>0</v>
      </c>
      <c r="AK233" t="b">
        <f t="shared" si="391"/>
        <v>0</v>
      </c>
      <c r="AL233" t="b">
        <f t="shared" si="392"/>
        <v>0</v>
      </c>
      <c r="AM233" t="b">
        <f t="shared" si="393"/>
        <v>0</v>
      </c>
      <c r="AN233" t="b">
        <f t="shared" si="394"/>
        <v>0</v>
      </c>
      <c r="AO233" t="b">
        <f t="shared" si="395"/>
        <v>0</v>
      </c>
      <c r="AP233" t="b">
        <f t="shared" si="396"/>
        <v>0</v>
      </c>
      <c r="AQ233" t="b">
        <f t="shared" si="397"/>
        <v>0</v>
      </c>
      <c r="AR233" t="b">
        <f t="shared" si="398"/>
        <v>0</v>
      </c>
      <c r="AS233" t="b">
        <f t="shared" si="399"/>
        <v>0</v>
      </c>
      <c r="AT233" t="b">
        <f t="shared" si="400"/>
        <v>0</v>
      </c>
      <c r="AU233" t="b">
        <f t="shared" si="401"/>
        <v>0</v>
      </c>
      <c r="AV233" t="b">
        <f t="shared" si="402"/>
        <v>0</v>
      </c>
      <c r="AW233" t="b">
        <f t="shared" si="403"/>
        <v>0</v>
      </c>
      <c r="AX233" t="b">
        <f t="shared" si="405"/>
        <v>0</v>
      </c>
      <c r="AY233" t="b">
        <f t="shared" si="406"/>
        <v>0</v>
      </c>
      <c r="AZ233" t="b">
        <f t="shared" si="407"/>
        <v>0</v>
      </c>
      <c r="BA233" t="b">
        <f t="shared" si="408"/>
        <v>0</v>
      </c>
      <c r="BB233" t="b">
        <f t="shared" si="409"/>
        <v>0</v>
      </c>
      <c r="BC233" t="b">
        <f t="shared" si="410"/>
        <v>0</v>
      </c>
      <c r="BD233" t="b">
        <f t="shared" si="411"/>
        <v>0</v>
      </c>
      <c r="BE233" t="b">
        <f t="shared" si="412"/>
        <v>0</v>
      </c>
      <c r="BF233" t="b">
        <f t="shared" si="413"/>
        <v>0</v>
      </c>
      <c r="BG233" t="b">
        <f t="shared" si="414"/>
        <v>0</v>
      </c>
      <c r="BH233" t="b">
        <f t="shared" si="415"/>
        <v>0</v>
      </c>
      <c r="BI233">
        <f t="shared" si="416"/>
        <v>1</v>
      </c>
      <c r="BJ233" t="b">
        <f t="shared" si="417"/>
        <v>0</v>
      </c>
      <c r="BK233" t="b">
        <f t="shared" si="418"/>
        <v>0</v>
      </c>
      <c r="BL233" t="b">
        <f t="shared" si="419"/>
        <v>0</v>
      </c>
      <c r="BM233" t="b">
        <f t="shared" si="420"/>
        <v>0</v>
      </c>
      <c r="BN233" t="b">
        <f t="shared" si="421"/>
        <v>0</v>
      </c>
      <c r="BO233" t="b">
        <f t="shared" si="422"/>
        <v>0</v>
      </c>
      <c r="BP233" t="b">
        <f t="shared" si="423"/>
        <v>0</v>
      </c>
      <c r="BQ233" t="b">
        <f t="shared" si="424"/>
        <v>0</v>
      </c>
      <c r="BR233" t="b">
        <f t="shared" si="425"/>
        <v>0</v>
      </c>
      <c r="BS233" t="b">
        <f t="shared" si="426"/>
        <v>0</v>
      </c>
      <c r="BT233" t="b">
        <f t="shared" si="427"/>
        <v>0</v>
      </c>
      <c r="BU233" t="b">
        <f t="shared" si="428"/>
        <v>0</v>
      </c>
      <c r="BV233" t="b">
        <f t="shared" si="429"/>
        <v>0</v>
      </c>
      <c r="BW233" t="b">
        <f t="shared" si="430"/>
        <v>0</v>
      </c>
      <c r="BX233" t="b">
        <f t="shared" si="431"/>
        <v>0</v>
      </c>
      <c r="BY233" t="b">
        <f t="shared" si="432"/>
        <v>0</v>
      </c>
      <c r="BZ233" t="b">
        <f t="shared" si="433"/>
        <v>0</v>
      </c>
      <c r="CA233" t="b">
        <f t="shared" si="434"/>
        <v>0</v>
      </c>
      <c r="CB233" t="b">
        <f t="shared" si="435"/>
        <v>0</v>
      </c>
      <c r="CC233" t="b">
        <f t="shared" si="436"/>
        <v>0</v>
      </c>
      <c r="CD233" t="b">
        <f t="shared" si="437"/>
        <v>0</v>
      </c>
      <c r="CE233">
        <f t="shared" si="438"/>
        <v>1</v>
      </c>
      <c r="CF233" t="b">
        <f t="shared" si="439"/>
        <v>0</v>
      </c>
      <c r="CG233" t="b">
        <f t="shared" si="440"/>
        <v>0</v>
      </c>
      <c r="CH233" t="b">
        <f t="shared" si="441"/>
        <v>0</v>
      </c>
      <c r="CI233" t="b">
        <f t="shared" si="442"/>
        <v>0</v>
      </c>
      <c r="CJ233" t="b">
        <f t="shared" si="443"/>
        <v>0</v>
      </c>
      <c r="CK233" t="b">
        <f t="shared" si="444"/>
        <v>0</v>
      </c>
      <c r="CL233" t="b">
        <f t="shared" si="445"/>
        <v>0</v>
      </c>
      <c r="CM233" t="b">
        <f t="shared" si="446"/>
        <v>0</v>
      </c>
      <c r="CN233" t="b">
        <f t="shared" si="447"/>
        <v>0</v>
      </c>
      <c r="CO233" t="b">
        <f t="shared" si="448"/>
        <v>0</v>
      </c>
      <c r="CP233" t="b">
        <f t="shared" si="449"/>
        <v>0</v>
      </c>
      <c r="CQ233" t="b">
        <f t="shared" si="450"/>
        <v>0</v>
      </c>
      <c r="CR233" t="b">
        <f t="shared" si="451"/>
        <v>0</v>
      </c>
      <c r="CS233" t="b">
        <f t="shared" si="452"/>
        <v>0</v>
      </c>
      <c r="CT233" t="b">
        <f t="shared" si="453"/>
        <v>0</v>
      </c>
      <c r="CU233" t="b">
        <f t="shared" si="454"/>
        <v>0</v>
      </c>
      <c r="CV233">
        <f t="shared" si="455"/>
        <v>1</v>
      </c>
      <c r="CW233" t="b">
        <f t="shared" si="456"/>
        <v>0</v>
      </c>
      <c r="CX233" t="b">
        <f t="shared" si="457"/>
        <v>0</v>
      </c>
      <c r="CY233" t="b">
        <f t="shared" si="458"/>
        <v>0</v>
      </c>
      <c r="CZ233" t="b">
        <f t="shared" si="459"/>
        <v>0</v>
      </c>
      <c r="DA233" t="b">
        <f t="shared" si="460"/>
        <v>0</v>
      </c>
      <c r="DB233" t="b">
        <f t="shared" si="461"/>
        <v>0</v>
      </c>
      <c r="DC233" t="b">
        <f t="shared" si="462"/>
        <v>0</v>
      </c>
      <c r="DD233" t="b">
        <f t="shared" si="463"/>
        <v>0</v>
      </c>
      <c r="DE233" t="b">
        <f t="shared" si="464"/>
        <v>0</v>
      </c>
      <c r="DF233" t="b">
        <f t="shared" si="465"/>
        <v>0</v>
      </c>
      <c r="DG233" t="b">
        <f t="shared" si="466"/>
        <v>0</v>
      </c>
      <c r="DH233" t="b">
        <f t="shared" si="467"/>
        <v>0</v>
      </c>
      <c r="DI233" t="b">
        <f t="shared" si="468"/>
        <v>0</v>
      </c>
      <c r="DJ233" t="b">
        <f t="shared" si="469"/>
        <v>0</v>
      </c>
      <c r="DK233" t="b">
        <f t="shared" si="470"/>
        <v>0</v>
      </c>
      <c r="DL233" t="b">
        <f t="shared" si="471"/>
        <v>0</v>
      </c>
      <c r="DM233" t="b">
        <f t="shared" si="472"/>
        <v>0</v>
      </c>
      <c r="DN233" t="b">
        <f t="shared" si="473"/>
        <v>0</v>
      </c>
      <c r="DO233" t="b">
        <f t="shared" si="474"/>
        <v>0</v>
      </c>
      <c r="DP233" t="b">
        <f t="shared" si="475"/>
        <v>0</v>
      </c>
      <c r="DQ233" t="b">
        <f t="shared" si="476"/>
        <v>0</v>
      </c>
      <c r="DR233" t="b">
        <f t="shared" si="477"/>
        <v>0</v>
      </c>
      <c r="DS233" t="b">
        <f t="shared" si="478"/>
        <v>0</v>
      </c>
      <c r="DT233" t="b">
        <f t="shared" si="479"/>
        <v>0</v>
      </c>
      <c r="DU233" t="b">
        <f t="shared" si="480"/>
        <v>0</v>
      </c>
      <c r="DV233" t="b">
        <f t="shared" si="481"/>
        <v>0</v>
      </c>
      <c r="DW233" t="b">
        <f t="shared" si="482"/>
        <v>0</v>
      </c>
      <c r="DX233" t="b">
        <f t="shared" si="483"/>
        <v>0</v>
      </c>
      <c r="DY233" t="b">
        <f t="shared" si="484"/>
        <v>0</v>
      </c>
      <c r="DZ233" t="b">
        <f t="shared" si="485"/>
        <v>0</v>
      </c>
      <c r="EA233" t="b">
        <f t="shared" si="486"/>
        <v>0</v>
      </c>
      <c r="EB233" t="b">
        <f t="shared" si="487"/>
        <v>0</v>
      </c>
      <c r="EC233" t="b">
        <f t="shared" si="488"/>
        <v>0</v>
      </c>
      <c r="ED233" t="b">
        <f t="shared" si="489"/>
        <v>0</v>
      </c>
      <c r="EE233" t="b">
        <f t="shared" si="490"/>
        <v>0</v>
      </c>
      <c r="EF233">
        <f t="shared" si="491"/>
        <v>1</v>
      </c>
      <c r="EG233" t="b">
        <f t="shared" si="492"/>
        <v>0</v>
      </c>
      <c r="EH233" t="b">
        <f t="shared" si="493"/>
        <v>0</v>
      </c>
      <c r="EI233" t="b">
        <f t="shared" si="494"/>
        <v>0</v>
      </c>
      <c r="EJ233" t="b">
        <f t="shared" si="495"/>
        <v>0</v>
      </c>
      <c r="EK233" t="b">
        <f t="shared" si="496"/>
        <v>0</v>
      </c>
    </row>
    <row r="234" spans="1:141">
      <c r="A234" t="s">
        <v>1263</v>
      </c>
      <c r="B234" t="s">
        <v>1264</v>
      </c>
      <c r="C234" t="s">
        <v>1265</v>
      </c>
      <c r="D234" s="1">
        <v>42507</v>
      </c>
      <c r="E234" s="2">
        <v>42517.400208333333</v>
      </c>
      <c r="F234" s="2">
        <v>42517.400208333333</v>
      </c>
      <c r="G234">
        <v>1270564</v>
      </c>
      <c r="H234" t="s">
        <v>1266</v>
      </c>
      <c r="I234" s="10" t="s">
        <v>1267</v>
      </c>
      <c r="J234" t="s">
        <v>156</v>
      </c>
      <c r="K234" s="8" t="b">
        <v>1</v>
      </c>
      <c r="L234" s="10" t="b">
        <v>0</v>
      </c>
      <c r="M234" s="12" t="b">
        <v>1</v>
      </c>
      <c r="N234" t="b">
        <v>0</v>
      </c>
      <c r="O234" t="b">
        <v>0</v>
      </c>
      <c r="P234" t="b">
        <v>0</v>
      </c>
      <c r="Q234">
        <f t="shared" si="373"/>
        <v>3</v>
      </c>
      <c r="R234">
        <f t="shared" si="374"/>
        <v>5</v>
      </c>
      <c r="S234" t="e">
        <f t="shared" ca="1" si="404"/>
        <v>#NAME?</v>
      </c>
      <c r="T234" t="e">
        <f t="shared" ca="1" si="375"/>
        <v>#NAME?</v>
      </c>
      <c r="U234" s="4">
        <f t="shared" si="376"/>
        <v>10.400208333332557</v>
      </c>
      <c r="V234" s="4">
        <f t="shared" si="377"/>
        <v>0.34667361111108524</v>
      </c>
      <c r="W234" s="4">
        <f t="shared" si="378"/>
        <v>1</v>
      </c>
      <c r="X234" s="4">
        <f t="shared" si="379"/>
        <v>0</v>
      </c>
      <c r="Y234" s="4">
        <f t="shared" si="380"/>
        <v>1</v>
      </c>
      <c r="Z234" s="4">
        <f t="shared" si="381"/>
        <v>0</v>
      </c>
      <c r="AA234" s="4">
        <f t="shared" si="382"/>
        <v>0</v>
      </c>
      <c r="AB234" s="4">
        <f t="shared" si="383"/>
        <v>0</v>
      </c>
      <c r="AC234" s="4"/>
      <c r="AD234" s="4" t="b">
        <f t="shared" si="384"/>
        <v>0</v>
      </c>
      <c r="AE234" s="4" t="b">
        <f t="shared" si="385"/>
        <v>0</v>
      </c>
      <c r="AF234" s="4" t="b">
        <f t="shared" si="386"/>
        <v>0</v>
      </c>
      <c r="AG234" t="b">
        <f t="shared" si="387"/>
        <v>0</v>
      </c>
      <c r="AH234" t="b">
        <f t="shared" si="388"/>
        <v>0</v>
      </c>
      <c r="AI234" t="b">
        <f t="shared" si="389"/>
        <v>0</v>
      </c>
      <c r="AJ234" t="b">
        <f t="shared" si="390"/>
        <v>0</v>
      </c>
      <c r="AK234" t="b">
        <f t="shared" si="391"/>
        <v>0</v>
      </c>
      <c r="AL234" t="b">
        <f t="shared" si="392"/>
        <v>0</v>
      </c>
      <c r="AM234" t="b">
        <f t="shared" si="393"/>
        <v>0</v>
      </c>
      <c r="AN234" t="b">
        <f t="shared" si="394"/>
        <v>0</v>
      </c>
      <c r="AO234" t="b">
        <f t="shared" si="395"/>
        <v>0</v>
      </c>
      <c r="AP234" t="b">
        <f t="shared" si="396"/>
        <v>0</v>
      </c>
      <c r="AQ234" t="b">
        <f t="shared" si="397"/>
        <v>0</v>
      </c>
      <c r="AR234" t="b">
        <f t="shared" si="398"/>
        <v>0</v>
      </c>
      <c r="AS234" t="b">
        <f t="shared" si="399"/>
        <v>0</v>
      </c>
      <c r="AT234" t="b">
        <f t="shared" si="400"/>
        <v>0</v>
      </c>
      <c r="AU234" t="b">
        <f t="shared" si="401"/>
        <v>0</v>
      </c>
      <c r="AV234" t="b">
        <f t="shared" si="402"/>
        <v>0</v>
      </c>
      <c r="AW234" t="b">
        <f t="shared" si="403"/>
        <v>0</v>
      </c>
      <c r="AX234" t="b">
        <f t="shared" si="405"/>
        <v>0</v>
      </c>
      <c r="AY234" t="b">
        <f t="shared" si="406"/>
        <v>0</v>
      </c>
      <c r="AZ234" t="b">
        <f t="shared" si="407"/>
        <v>0</v>
      </c>
      <c r="BA234" t="b">
        <f t="shared" si="408"/>
        <v>0</v>
      </c>
      <c r="BB234" t="b">
        <f t="shared" si="409"/>
        <v>0</v>
      </c>
      <c r="BC234" t="b">
        <f t="shared" si="410"/>
        <v>0</v>
      </c>
      <c r="BD234" t="b">
        <f t="shared" si="411"/>
        <v>0</v>
      </c>
      <c r="BE234" t="b">
        <f t="shared" si="412"/>
        <v>0</v>
      </c>
      <c r="BF234" t="b">
        <f t="shared" si="413"/>
        <v>0</v>
      </c>
      <c r="BG234" t="b">
        <f t="shared" si="414"/>
        <v>0</v>
      </c>
      <c r="BH234" t="b">
        <f t="shared" si="415"/>
        <v>0</v>
      </c>
      <c r="BI234">
        <f t="shared" si="416"/>
        <v>1</v>
      </c>
      <c r="BJ234" t="b">
        <f t="shared" si="417"/>
        <v>0</v>
      </c>
      <c r="BK234" t="b">
        <f t="shared" si="418"/>
        <v>0</v>
      </c>
      <c r="BL234" t="b">
        <f t="shared" si="419"/>
        <v>0</v>
      </c>
      <c r="BM234" t="b">
        <f t="shared" si="420"/>
        <v>0</v>
      </c>
      <c r="BN234" t="b">
        <f t="shared" si="421"/>
        <v>0</v>
      </c>
      <c r="BO234" t="b">
        <f t="shared" si="422"/>
        <v>0</v>
      </c>
      <c r="BP234" t="b">
        <f t="shared" si="423"/>
        <v>0</v>
      </c>
      <c r="BQ234" t="b">
        <f t="shared" si="424"/>
        <v>0</v>
      </c>
      <c r="BR234" t="b">
        <f t="shared" si="425"/>
        <v>0</v>
      </c>
      <c r="BS234" t="b">
        <f t="shared" si="426"/>
        <v>0</v>
      </c>
      <c r="BT234" t="b">
        <f t="shared" si="427"/>
        <v>0</v>
      </c>
      <c r="BU234" t="b">
        <f t="shared" si="428"/>
        <v>0</v>
      </c>
      <c r="BV234" t="b">
        <f t="shared" si="429"/>
        <v>0</v>
      </c>
      <c r="BW234" t="b">
        <f t="shared" si="430"/>
        <v>0</v>
      </c>
      <c r="BX234" t="b">
        <f t="shared" si="431"/>
        <v>0</v>
      </c>
      <c r="BY234" t="b">
        <f t="shared" si="432"/>
        <v>0</v>
      </c>
      <c r="BZ234" t="b">
        <f t="shared" si="433"/>
        <v>0</v>
      </c>
      <c r="CA234" t="b">
        <f t="shared" si="434"/>
        <v>0</v>
      </c>
      <c r="CB234" t="b">
        <f t="shared" si="435"/>
        <v>0</v>
      </c>
      <c r="CC234" t="b">
        <f t="shared" si="436"/>
        <v>0</v>
      </c>
      <c r="CD234" t="b">
        <f t="shared" si="437"/>
        <v>0</v>
      </c>
      <c r="CE234" t="b">
        <f t="shared" si="438"/>
        <v>0</v>
      </c>
      <c r="CF234" t="b">
        <f t="shared" si="439"/>
        <v>0</v>
      </c>
      <c r="CG234" t="b">
        <f t="shared" si="440"/>
        <v>0</v>
      </c>
      <c r="CH234" t="b">
        <f t="shared" si="441"/>
        <v>0</v>
      </c>
      <c r="CI234" t="b">
        <f t="shared" si="442"/>
        <v>0</v>
      </c>
      <c r="CJ234" t="b">
        <f t="shared" si="443"/>
        <v>0</v>
      </c>
      <c r="CK234" t="b">
        <f t="shared" si="444"/>
        <v>0</v>
      </c>
      <c r="CL234" t="b">
        <f t="shared" si="445"/>
        <v>0</v>
      </c>
      <c r="CM234" t="b">
        <f t="shared" si="446"/>
        <v>0</v>
      </c>
      <c r="CN234" t="b">
        <f t="shared" si="447"/>
        <v>0</v>
      </c>
      <c r="CO234" t="b">
        <f t="shared" si="448"/>
        <v>0</v>
      </c>
      <c r="CP234" t="b">
        <f t="shared" si="449"/>
        <v>0</v>
      </c>
      <c r="CQ234" t="b">
        <f t="shared" si="450"/>
        <v>0</v>
      </c>
      <c r="CR234" t="b">
        <f t="shared" si="451"/>
        <v>0</v>
      </c>
      <c r="CS234" t="b">
        <f t="shared" si="452"/>
        <v>0</v>
      </c>
      <c r="CT234" t="b">
        <f t="shared" si="453"/>
        <v>0</v>
      </c>
      <c r="CU234" t="b">
        <f t="shared" si="454"/>
        <v>0</v>
      </c>
      <c r="CV234">
        <f t="shared" si="455"/>
        <v>1</v>
      </c>
      <c r="CW234" t="b">
        <f t="shared" si="456"/>
        <v>0</v>
      </c>
      <c r="CX234" t="b">
        <f t="shared" si="457"/>
        <v>0</v>
      </c>
      <c r="CY234" t="b">
        <f t="shared" si="458"/>
        <v>0</v>
      </c>
      <c r="CZ234" t="b">
        <f t="shared" si="459"/>
        <v>0</v>
      </c>
      <c r="DA234" t="b">
        <f t="shared" si="460"/>
        <v>0</v>
      </c>
      <c r="DB234" t="b">
        <f t="shared" si="461"/>
        <v>0</v>
      </c>
      <c r="DC234" t="b">
        <f t="shared" si="462"/>
        <v>0</v>
      </c>
      <c r="DD234" t="b">
        <f t="shared" si="463"/>
        <v>0</v>
      </c>
      <c r="DE234" t="b">
        <f t="shared" si="464"/>
        <v>0</v>
      </c>
      <c r="DF234" t="b">
        <f t="shared" si="465"/>
        <v>0</v>
      </c>
      <c r="DG234" t="b">
        <f t="shared" si="466"/>
        <v>0</v>
      </c>
      <c r="DH234" t="b">
        <f t="shared" si="467"/>
        <v>0</v>
      </c>
      <c r="DI234" t="b">
        <f t="shared" si="468"/>
        <v>0</v>
      </c>
      <c r="DJ234" t="b">
        <f t="shared" si="469"/>
        <v>0</v>
      </c>
      <c r="DK234" t="b">
        <f t="shared" si="470"/>
        <v>0</v>
      </c>
      <c r="DL234" t="b">
        <f t="shared" si="471"/>
        <v>0</v>
      </c>
      <c r="DM234" t="b">
        <f t="shared" si="472"/>
        <v>0</v>
      </c>
      <c r="DN234" t="b">
        <f t="shared" si="473"/>
        <v>0</v>
      </c>
      <c r="DO234" t="b">
        <f t="shared" si="474"/>
        <v>0</v>
      </c>
      <c r="DP234" t="b">
        <f t="shared" si="475"/>
        <v>0</v>
      </c>
      <c r="DQ234" t="b">
        <f t="shared" si="476"/>
        <v>0</v>
      </c>
      <c r="DR234" t="b">
        <f t="shared" si="477"/>
        <v>0</v>
      </c>
      <c r="DS234" t="b">
        <f t="shared" si="478"/>
        <v>0</v>
      </c>
      <c r="DT234" t="b">
        <f t="shared" si="479"/>
        <v>0</v>
      </c>
      <c r="DU234" t="b">
        <f t="shared" si="480"/>
        <v>0</v>
      </c>
      <c r="DV234" t="b">
        <f t="shared" si="481"/>
        <v>0</v>
      </c>
      <c r="DW234" t="b">
        <f t="shared" si="482"/>
        <v>0</v>
      </c>
      <c r="DX234" t="b">
        <f t="shared" si="483"/>
        <v>0</v>
      </c>
      <c r="DY234" t="b">
        <f t="shared" si="484"/>
        <v>0</v>
      </c>
      <c r="DZ234" t="b">
        <f t="shared" si="485"/>
        <v>0</v>
      </c>
      <c r="EA234" t="b">
        <f t="shared" si="486"/>
        <v>0</v>
      </c>
      <c r="EB234" t="b">
        <f t="shared" si="487"/>
        <v>0</v>
      </c>
      <c r="EC234" t="b">
        <f t="shared" si="488"/>
        <v>0</v>
      </c>
      <c r="ED234" t="b">
        <f t="shared" si="489"/>
        <v>0</v>
      </c>
      <c r="EE234" t="b">
        <f t="shared" si="490"/>
        <v>0</v>
      </c>
      <c r="EF234">
        <f t="shared" si="491"/>
        <v>1</v>
      </c>
      <c r="EG234" t="b">
        <f t="shared" si="492"/>
        <v>0</v>
      </c>
      <c r="EH234" t="b">
        <f t="shared" si="493"/>
        <v>0</v>
      </c>
      <c r="EI234" t="b">
        <f t="shared" si="494"/>
        <v>0</v>
      </c>
      <c r="EJ234" t="b">
        <f t="shared" si="495"/>
        <v>0</v>
      </c>
      <c r="EK234" t="b">
        <f t="shared" si="496"/>
        <v>0</v>
      </c>
    </row>
    <row r="235" spans="1:141">
      <c r="A235" t="s">
        <v>1268</v>
      </c>
      <c r="B235" t="s">
        <v>1268</v>
      </c>
      <c r="C235" t="s">
        <v>1269</v>
      </c>
      <c r="D235" s="1">
        <v>42138</v>
      </c>
      <c r="E235" s="2">
        <v>43282.303495370368</v>
      </c>
      <c r="F235" s="2">
        <v>43282.303495370368</v>
      </c>
      <c r="G235">
        <v>4261179</v>
      </c>
      <c r="H235" t="s">
        <v>1270</v>
      </c>
      <c r="I235" s="10" t="s">
        <v>1271</v>
      </c>
      <c r="J235" t="s">
        <v>1272</v>
      </c>
      <c r="K235" s="8" t="b">
        <v>1</v>
      </c>
      <c r="L235" s="10" t="b">
        <v>0</v>
      </c>
      <c r="M235" s="12" t="b">
        <v>0</v>
      </c>
      <c r="N235" t="b">
        <v>0</v>
      </c>
      <c r="O235" t="b">
        <v>0</v>
      </c>
      <c r="P235" t="b">
        <v>0</v>
      </c>
      <c r="Q235">
        <f t="shared" si="373"/>
        <v>5</v>
      </c>
      <c r="R235">
        <f t="shared" si="374"/>
        <v>5</v>
      </c>
      <c r="S235" t="e">
        <f t="shared" ca="1" si="404"/>
        <v>#NAME?</v>
      </c>
      <c r="T235" t="e">
        <f t="shared" ca="1" si="375"/>
        <v>#NAME?</v>
      </c>
      <c r="U235" s="4">
        <f t="shared" si="376"/>
        <v>1144.3034953703682</v>
      </c>
      <c r="V235" s="4">
        <f t="shared" si="377"/>
        <v>38.143449845678937</v>
      </c>
      <c r="W235" s="4">
        <f t="shared" si="378"/>
        <v>1</v>
      </c>
      <c r="X235" s="4">
        <f t="shared" si="379"/>
        <v>0</v>
      </c>
      <c r="Y235" s="4">
        <f t="shared" si="380"/>
        <v>0</v>
      </c>
      <c r="Z235" s="4">
        <f t="shared" si="381"/>
        <v>0</v>
      </c>
      <c r="AA235" s="4">
        <f t="shared" si="382"/>
        <v>0</v>
      </c>
      <c r="AB235" s="4">
        <f t="shared" si="383"/>
        <v>0</v>
      </c>
      <c r="AC235" s="4"/>
      <c r="AD235" s="4" t="b">
        <f t="shared" si="384"/>
        <v>0</v>
      </c>
      <c r="AE235" s="4" t="b">
        <f t="shared" si="385"/>
        <v>0</v>
      </c>
      <c r="AF235" s="4" t="b">
        <f t="shared" si="386"/>
        <v>0</v>
      </c>
      <c r="AG235" t="b">
        <f t="shared" si="387"/>
        <v>0</v>
      </c>
      <c r="AH235" t="b">
        <f t="shared" si="388"/>
        <v>0</v>
      </c>
      <c r="AI235" t="b">
        <f t="shared" si="389"/>
        <v>0</v>
      </c>
      <c r="AJ235" t="b">
        <f t="shared" si="390"/>
        <v>0</v>
      </c>
      <c r="AK235" t="b">
        <f t="shared" si="391"/>
        <v>0</v>
      </c>
      <c r="AL235" t="b">
        <f t="shared" si="392"/>
        <v>0</v>
      </c>
      <c r="AM235" t="b">
        <f t="shared" si="393"/>
        <v>0</v>
      </c>
      <c r="AN235" t="b">
        <f t="shared" si="394"/>
        <v>0</v>
      </c>
      <c r="AO235" t="b">
        <f t="shared" si="395"/>
        <v>0</v>
      </c>
      <c r="AP235" t="b">
        <f t="shared" si="396"/>
        <v>0</v>
      </c>
      <c r="AQ235" t="b">
        <f t="shared" si="397"/>
        <v>0</v>
      </c>
      <c r="AR235" t="b">
        <f t="shared" si="398"/>
        <v>0</v>
      </c>
      <c r="AS235" t="b">
        <f t="shared" si="399"/>
        <v>0</v>
      </c>
      <c r="AT235" t="b">
        <f t="shared" si="400"/>
        <v>0</v>
      </c>
      <c r="AU235" t="b">
        <f t="shared" si="401"/>
        <v>0</v>
      </c>
      <c r="AV235" t="b">
        <f t="shared" si="402"/>
        <v>0</v>
      </c>
      <c r="AW235" t="b">
        <f t="shared" si="403"/>
        <v>0</v>
      </c>
      <c r="AX235" t="b">
        <f t="shared" si="405"/>
        <v>0</v>
      </c>
      <c r="AY235" t="b">
        <f t="shared" si="406"/>
        <v>0</v>
      </c>
      <c r="AZ235" t="b">
        <f t="shared" si="407"/>
        <v>0</v>
      </c>
      <c r="BA235" t="b">
        <f t="shared" si="408"/>
        <v>0</v>
      </c>
      <c r="BB235" t="b">
        <f t="shared" si="409"/>
        <v>0</v>
      </c>
      <c r="BC235" t="b">
        <f t="shared" si="410"/>
        <v>0</v>
      </c>
      <c r="BD235" t="b">
        <f t="shared" si="411"/>
        <v>0</v>
      </c>
      <c r="BE235" t="b">
        <f t="shared" si="412"/>
        <v>0</v>
      </c>
      <c r="BF235" t="b">
        <f t="shared" si="413"/>
        <v>0</v>
      </c>
      <c r="BG235" t="b">
        <f t="shared" si="414"/>
        <v>0</v>
      </c>
      <c r="BH235" t="b">
        <f t="shared" si="415"/>
        <v>0</v>
      </c>
      <c r="BI235">
        <f t="shared" si="416"/>
        <v>1</v>
      </c>
      <c r="BJ235" t="b">
        <f t="shared" si="417"/>
        <v>0</v>
      </c>
      <c r="BK235" t="b">
        <f t="shared" si="418"/>
        <v>0</v>
      </c>
      <c r="BL235" t="b">
        <f t="shared" si="419"/>
        <v>0</v>
      </c>
      <c r="BM235" t="b">
        <f t="shared" si="420"/>
        <v>0</v>
      </c>
      <c r="BN235" t="b">
        <f t="shared" si="421"/>
        <v>0</v>
      </c>
      <c r="BO235" t="b">
        <f t="shared" si="422"/>
        <v>0</v>
      </c>
      <c r="BP235" t="b">
        <f t="shared" si="423"/>
        <v>0</v>
      </c>
      <c r="BQ235" t="b">
        <f t="shared" si="424"/>
        <v>0</v>
      </c>
      <c r="BR235">
        <f t="shared" si="425"/>
        <v>1</v>
      </c>
      <c r="BS235">
        <f t="shared" si="426"/>
        <v>1</v>
      </c>
      <c r="BT235" t="b">
        <f t="shared" si="427"/>
        <v>0</v>
      </c>
      <c r="BU235" t="b">
        <f t="shared" si="428"/>
        <v>0</v>
      </c>
      <c r="BV235" t="b">
        <f t="shared" si="429"/>
        <v>0</v>
      </c>
      <c r="BW235" t="b">
        <f t="shared" si="430"/>
        <v>0</v>
      </c>
      <c r="BX235" t="b">
        <f t="shared" si="431"/>
        <v>0</v>
      </c>
      <c r="BY235" t="b">
        <f t="shared" si="432"/>
        <v>0</v>
      </c>
      <c r="BZ235" t="b">
        <f t="shared" si="433"/>
        <v>0</v>
      </c>
      <c r="CA235" t="b">
        <f t="shared" si="434"/>
        <v>0</v>
      </c>
      <c r="CB235" t="b">
        <f t="shared" si="435"/>
        <v>0</v>
      </c>
      <c r="CC235" t="b">
        <f t="shared" si="436"/>
        <v>0</v>
      </c>
      <c r="CD235" t="b">
        <f t="shared" si="437"/>
        <v>0</v>
      </c>
      <c r="CE235">
        <f t="shared" si="438"/>
        <v>1</v>
      </c>
      <c r="CF235" t="b">
        <f t="shared" si="439"/>
        <v>0</v>
      </c>
      <c r="CG235" t="b">
        <f t="shared" si="440"/>
        <v>0</v>
      </c>
      <c r="CH235" t="b">
        <f t="shared" si="441"/>
        <v>0</v>
      </c>
      <c r="CI235" t="b">
        <f t="shared" si="442"/>
        <v>0</v>
      </c>
      <c r="CJ235" t="b">
        <f t="shared" si="443"/>
        <v>0</v>
      </c>
      <c r="CK235" t="b">
        <f t="shared" si="444"/>
        <v>0</v>
      </c>
      <c r="CL235" t="b">
        <f t="shared" si="445"/>
        <v>0</v>
      </c>
      <c r="CM235">
        <f t="shared" si="446"/>
        <v>1</v>
      </c>
      <c r="CN235" t="b">
        <f t="shared" si="447"/>
        <v>0</v>
      </c>
      <c r="CO235" t="b">
        <f t="shared" si="448"/>
        <v>0</v>
      </c>
      <c r="CP235" t="b">
        <f t="shared" si="449"/>
        <v>0</v>
      </c>
      <c r="CQ235" t="b">
        <f t="shared" si="450"/>
        <v>0</v>
      </c>
      <c r="CR235" t="b">
        <f t="shared" si="451"/>
        <v>0</v>
      </c>
      <c r="CS235" t="b">
        <f t="shared" si="452"/>
        <v>0</v>
      </c>
      <c r="CT235" t="b">
        <f t="shared" si="453"/>
        <v>0</v>
      </c>
      <c r="CU235" t="b">
        <f t="shared" si="454"/>
        <v>0</v>
      </c>
      <c r="CV235">
        <f t="shared" si="455"/>
        <v>1</v>
      </c>
      <c r="CW235" t="b">
        <f t="shared" si="456"/>
        <v>0</v>
      </c>
      <c r="CX235" t="b">
        <f t="shared" si="457"/>
        <v>0</v>
      </c>
      <c r="CY235" t="b">
        <f t="shared" si="458"/>
        <v>0</v>
      </c>
      <c r="CZ235" t="b">
        <f t="shared" si="459"/>
        <v>0</v>
      </c>
      <c r="DA235">
        <f t="shared" si="460"/>
        <v>1</v>
      </c>
      <c r="DB235" t="b">
        <f t="shared" si="461"/>
        <v>0</v>
      </c>
      <c r="DC235" t="b">
        <f t="shared" si="462"/>
        <v>0</v>
      </c>
      <c r="DD235" t="b">
        <f t="shared" si="463"/>
        <v>0</v>
      </c>
      <c r="DE235" t="b">
        <f t="shared" si="464"/>
        <v>0</v>
      </c>
      <c r="DF235" t="b">
        <f t="shared" si="465"/>
        <v>0</v>
      </c>
      <c r="DG235" t="b">
        <f t="shared" si="466"/>
        <v>0</v>
      </c>
      <c r="DH235" t="b">
        <f t="shared" si="467"/>
        <v>0</v>
      </c>
      <c r="DI235" t="b">
        <f t="shared" si="468"/>
        <v>0</v>
      </c>
      <c r="DJ235" t="b">
        <f t="shared" si="469"/>
        <v>0</v>
      </c>
      <c r="DK235" t="b">
        <f t="shared" si="470"/>
        <v>0</v>
      </c>
      <c r="DL235" t="b">
        <f t="shared" si="471"/>
        <v>0</v>
      </c>
      <c r="DM235" t="b">
        <f t="shared" si="472"/>
        <v>0</v>
      </c>
      <c r="DN235" t="b">
        <f t="shared" si="473"/>
        <v>0</v>
      </c>
      <c r="DO235" t="b">
        <f t="shared" si="474"/>
        <v>0</v>
      </c>
      <c r="DP235" t="b">
        <f t="shared" si="475"/>
        <v>0</v>
      </c>
      <c r="DQ235" t="b">
        <f t="shared" si="476"/>
        <v>0</v>
      </c>
      <c r="DR235" t="b">
        <f t="shared" si="477"/>
        <v>0</v>
      </c>
      <c r="DS235" t="b">
        <f t="shared" si="478"/>
        <v>0</v>
      </c>
      <c r="DT235" t="b">
        <f t="shared" si="479"/>
        <v>0</v>
      </c>
      <c r="DU235" t="b">
        <f t="shared" si="480"/>
        <v>0</v>
      </c>
      <c r="DV235" t="b">
        <f t="shared" si="481"/>
        <v>0</v>
      </c>
      <c r="DW235" t="b">
        <f t="shared" si="482"/>
        <v>0</v>
      </c>
      <c r="DX235" t="b">
        <f t="shared" si="483"/>
        <v>0</v>
      </c>
      <c r="DY235" t="b">
        <f t="shared" si="484"/>
        <v>0</v>
      </c>
      <c r="DZ235" t="b">
        <f t="shared" si="485"/>
        <v>0</v>
      </c>
      <c r="EA235" t="b">
        <f t="shared" si="486"/>
        <v>0</v>
      </c>
      <c r="EB235" t="b">
        <f t="shared" si="487"/>
        <v>0</v>
      </c>
      <c r="EC235" t="b">
        <f t="shared" si="488"/>
        <v>0</v>
      </c>
      <c r="ED235" t="b">
        <f t="shared" si="489"/>
        <v>0</v>
      </c>
      <c r="EE235" t="b">
        <f t="shared" si="490"/>
        <v>0</v>
      </c>
      <c r="EF235">
        <f t="shared" si="491"/>
        <v>1</v>
      </c>
      <c r="EG235" t="b">
        <f t="shared" si="492"/>
        <v>0</v>
      </c>
      <c r="EH235" t="b">
        <f t="shared" si="493"/>
        <v>0</v>
      </c>
      <c r="EI235" t="b">
        <f t="shared" si="494"/>
        <v>0</v>
      </c>
      <c r="EJ235" t="b">
        <f t="shared" si="495"/>
        <v>0</v>
      </c>
      <c r="EK235" t="b">
        <f t="shared" si="496"/>
        <v>0</v>
      </c>
    </row>
    <row r="236" spans="1:141">
      <c r="A236" t="s">
        <v>1273</v>
      </c>
      <c r="B236" t="s">
        <v>1273</v>
      </c>
      <c r="C236" t="s">
        <v>1274</v>
      </c>
      <c r="D236" s="1">
        <v>44253</v>
      </c>
      <c r="E236" s="2">
        <v>44258.960763888892</v>
      </c>
      <c r="F236" s="2">
        <v>44258.960763888892</v>
      </c>
      <c r="G236">
        <v>66521</v>
      </c>
      <c r="H236" t="s">
        <v>1275</v>
      </c>
      <c r="I236" s="10" t="s">
        <v>1276</v>
      </c>
      <c r="J236" t="s">
        <v>1277</v>
      </c>
      <c r="K236" s="8" t="b">
        <v>1</v>
      </c>
      <c r="L236" s="10" t="b">
        <v>0</v>
      </c>
      <c r="M236" s="12" t="b">
        <v>1</v>
      </c>
      <c r="N236" t="b">
        <v>0</v>
      </c>
      <c r="O236" t="b">
        <v>0</v>
      </c>
      <c r="P236" t="b">
        <v>0</v>
      </c>
      <c r="Q236">
        <f t="shared" si="373"/>
        <v>6</v>
      </c>
      <c r="R236">
        <f t="shared" si="374"/>
        <v>2</v>
      </c>
      <c r="S236" t="e">
        <f t="shared" ca="1" si="404"/>
        <v>#NAME?</v>
      </c>
      <c r="T236" t="e">
        <f t="shared" ca="1" si="375"/>
        <v>#NAME?</v>
      </c>
      <c r="U236" s="4">
        <f t="shared" si="376"/>
        <v>5.960763888891961</v>
      </c>
      <c r="V236" s="4">
        <f t="shared" si="377"/>
        <v>0.19869212962973204</v>
      </c>
      <c r="W236" s="4">
        <f t="shared" si="378"/>
        <v>1</v>
      </c>
      <c r="X236" s="4">
        <f t="shared" si="379"/>
        <v>0</v>
      </c>
      <c r="Y236" s="4">
        <f t="shared" si="380"/>
        <v>1</v>
      </c>
      <c r="Z236" s="4">
        <f t="shared" si="381"/>
        <v>0</v>
      </c>
      <c r="AA236" s="4">
        <f t="shared" si="382"/>
        <v>0</v>
      </c>
      <c r="AB236" s="4">
        <f t="shared" si="383"/>
        <v>0</v>
      </c>
      <c r="AC236" s="4"/>
      <c r="AD236" s="4" t="b">
        <f t="shared" si="384"/>
        <v>0</v>
      </c>
      <c r="AE236" s="4" t="b">
        <f t="shared" si="385"/>
        <v>0</v>
      </c>
      <c r="AF236" s="4" t="b">
        <f t="shared" si="386"/>
        <v>0</v>
      </c>
      <c r="AG236" t="b">
        <f t="shared" si="387"/>
        <v>0</v>
      </c>
      <c r="AH236" t="b">
        <f t="shared" si="388"/>
        <v>0</v>
      </c>
      <c r="AI236" t="b">
        <f t="shared" si="389"/>
        <v>0</v>
      </c>
      <c r="AJ236">
        <f t="shared" si="390"/>
        <v>1</v>
      </c>
      <c r="AK236" t="b">
        <f t="shared" si="391"/>
        <v>0</v>
      </c>
      <c r="AL236" t="b">
        <f t="shared" si="392"/>
        <v>0</v>
      </c>
      <c r="AM236" t="b">
        <f t="shared" si="393"/>
        <v>0</v>
      </c>
      <c r="AN236" t="b">
        <f t="shared" si="394"/>
        <v>0</v>
      </c>
      <c r="AO236" t="b">
        <f t="shared" si="395"/>
        <v>0</v>
      </c>
      <c r="AP236" t="b">
        <f t="shared" si="396"/>
        <v>0</v>
      </c>
      <c r="AQ236" t="b">
        <f t="shared" si="397"/>
        <v>0</v>
      </c>
      <c r="AR236" t="b">
        <f t="shared" si="398"/>
        <v>0</v>
      </c>
      <c r="AS236" t="b">
        <f t="shared" si="399"/>
        <v>0</v>
      </c>
      <c r="AT236" t="b">
        <f t="shared" si="400"/>
        <v>0</v>
      </c>
      <c r="AU236" t="b">
        <f t="shared" si="401"/>
        <v>0</v>
      </c>
      <c r="AV236" t="b">
        <f t="shared" si="402"/>
        <v>0</v>
      </c>
      <c r="AW236" t="b">
        <f t="shared" si="403"/>
        <v>0</v>
      </c>
      <c r="AX236" t="b">
        <f t="shared" si="405"/>
        <v>0</v>
      </c>
      <c r="AY236" t="b">
        <f t="shared" si="406"/>
        <v>0</v>
      </c>
      <c r="AZ236" t="b">
        <f t="shared" si="407"/>
        <v>0</v>
      </c>
      <c r="BA236" t="b">
        <f t="shared" si="408"/>
        <v>0</v>
      </c>
      <c r="BB236" t="b">
        <f t="shared" si="409"/>
        <v>0</v>
      </c>
      <c r="BC236" t="b">
        <f t="shared" si="410"/>
        <v>0</v>
      </c>
      <c r="BD236" t="b">
        <f t="shared" si="411"/>
        <v>0</v>
      </c>
      <c r="BE236" t="b">
        <f t="shared" si="412"/>
        <v>0</v>
      </c>
      <c r="BF236" t="b">
        <f t="shared" si="413"/>
        <v>0</v>
      </c>
      <c r="BG236" t="b">
        <f t="shared" si="414"/>
        <v>0</v>
      </c>
      <c r="BH236" t="b">
        <f t="shared" si="415"/>
        <v>0</v>
      </c>
      <c r="BI236">
        <f t="shared" si="416"/>
        <v>1</v>
      </c>
      <c r="BJ236" t="b">
        <f t="shared" si="417"/>
        <v>0</v>
      </c>
      <c r="BK236" t="b">
        <f t="shared" si="418"/>
        <v>0</v>
      </c>
      <c r="BL236" t="b">
        <f t="shared" si="419"/>
        <v>0</v>
      </c>
      <c r="BM236" t="b">
        <f t="shared" si="420"/>
        <v>0</v>
      </c>
      <c r="BN236" t="b">
        <f t="shared" si="421"/>
        <v>0</v>
      </c>
      <c r="BO236" t="b">
        <f t="shared" si="422"/>
        <v>0</v>
      </c>
      <c r="BP236" t="b">
        <f t="shared" si="423"/>
        <v>0</v>
      </c>
      <c r="BQ236" t="b">
        <f t="shared" si="424"/>
        <v>0</v>
      </c>
      <c r="BR236" t="b">
        <f t="shared" si="425"/>
        <v>0</v>
      </c>
      <c r="BS236" t="b">
        <f t="shared" si="426"/>
        <v>0</v>
      </c>
      <c r="BT236" t="b">
        <f t="shared" si="427"/>
        <v>0</v>
      </c>
      <c r="BU236" t="b">
        <f t="shared" si="428"/>
        <v>0</v>
      </c>
      <c r="BV236" t="b">
        <f t="shared" si="429"/>
        <v>0</v>
      </c>
      <c r="BW236" t="b">
        <f t="shared" si="430"/>
        <v>0</v>
      </c>
      <c r="BX236" t="b">
        <f t="shared" si="431"/>
        <v>0</v>
      </c>
      <c r="BY236" t="b">
        <f t="shared" si="432"/>
        <v>0</v>
      </c>
      <c r="BZ236" t="b">
        <f t="shared" si="433"/>
        <v>0</v>
      </c>
      <c r="CA236" t="b">
        <f t="shared" si="434"/>
        <v>0</v>
      </c>
      <c r="CB236" t="b">
        <f t="shared" si="435"/>
        <v>0</v>
      </c>
      <c r="CC236" t="b">
        <f t="shared" si="436"/>
        <v>0</v>
      </c>
      <c r="CD236" t="b">
        <f t="shared" si="437"/>
        <v>0</v>
      </c>
      <c r="CE236" t="b">
        <f t="shared" si="438"/>
        <v>0</v>
      </c>
      <c r="CF236" t="b">
        <f t="shared" si="439"/>
        <v>0</v>
      </c>
      <c r="CG236" t="b">
        <f t="shared" si="440"/>
        <v>0</v>
      </c>
      <c r="CH236" t="b">
        <f t="shared" si="441"/>
        <v>0</v>
      </c>
      <c r="CI236" t="b">
        <f t="shared" si="442"/>
        <v>0</v>
      </c>
      <c r="CJ236" t="b">
        <f t="shared" si="443"/>
        <v>0</v>
      </c>
      <c r="CK236" t="b">
        <f t="shared" si="444"/>
        <v>0</v>
      </c>
      <c r="CL236" t="b">
        <f t="shared" si="445"/>
        <v>0</v>
      </c>
      <c r="CM236">
        <f t="shared" si="446"/>
        <v>1</v>
      </c>
      <c r="CN236" t="b">
        <f t="shared" si="447"/>
        <v>0</v>
      </c>
      <c r="CO236" t="b">
        <f t="shared" si="448"/>
        <v>0</v>
      </c>
      <c r="CP236" t="b">
        <f t="shared" si="449"/>
        <v>0</v>
      </c>
      <c r="CQ236" t="b">
        <f t="shared" si="450"/>
        <v>0</v>
      </c>
      <c r="CR236" t="b">
        <f t="shared" si="451"/>
        <v>0</v>
      </c>
      <c r="CS236" t="b">
        <f t="shared" si="452"/>
        <v>0</v>
      </c>
      <c r="CT236" t="b">
        <f t="shared" si="453"/>
        <v>0</v>
      </c>
      <c r="CU236" t="b">
        <f t="shared" si="454"/>
        <v>0</v>
      </c>
      <c r="CV236">
        <f t="shared" si="455"/>
        <v>1</v>
      </c>
      <c r="CW236" t="b">
        <f t="shared" si="456"/>
        <v>0</v>
      </c>
      <c r="CX236" t="b">
        <f t="shared" si="457"/>
        <v>0</v>
      </c>
      <c r="CY236" t="b">
        <f t="shared" si="458"/>
        <v>0</v>
      </c>
      <c r="CZ236" t="b">
        <f t="shared" si="459"/>
        <v>0</v>
      </c>
      <c r="DA236" t="b">
        <f t="shared" si="460"/>
        <v>0</v>
      </c>
      <c r="DB236" t="b">
        <f t="shared" si="461"/>
        <v>0</v>
      </c>
      <c r="DC236" t="b">
        <f t="shared" si="462"/>
        <v>0</v>
      </c>
      <c r="DD236" t="b">
        <f t="shared" si="463"/>
        <v>0</v>
      </c>
      <c r="DE236" t="b">
        <f t="shared" si="464"/>
        <v>0</v>
      </c>
      <c r="DF236" t="b">
        <f t="shared" si="465"/>
        <v>0</v>
      </c>
      <c r="DG236">
        <f t="shared" si="466"/>
        <v>1</v>
      </c>
      <c r="DH236" t="b">
        <f t="shared" si="467"/>
        <v>0</v>
      </c>
      <c r="DI236" t="b">
        <f t="shared" si="468"/>
        <v>0</v>
      </c>
      <c r="DJ236" t="b">
        <f t="shared" si="469"/>
        <v>0</v>
      </c>
      <c r="DK236" t="b">
        <f t="shared" si="470"/>
        <v>0</v>
      </c>
      <c r="DL236" t="b">
        <f t="shared" si="471"/>
        <v>0</v>
      </c>
      <c r="DM236" t="b">
        <f t="shared" si="472"/>
        <v>0</v>
      </c>
      <c r="DN236" t="b">
        <f t="shared" si="473"/>
        <v>0</v>
      </c>
      <c r="DO236" t="b">
        <f t="shared" si="474"/>
        <v>0</v>
      </c>
      <c r="DP236" t="b">
        <f t="shared" si="475"/>
        <v>0</v>
      </c>
      <c r="DQ236" t="b">
        <f t="shared" si="476"/>
        <v>0</v>
      </c>
      <c r="DR236" t="b">
        <f t="shared" si="477"/>
        <v>0</v>
      </c>
      <c r="DS236" t="b">
        <f t="shared" si="478"/>
        <v>0</v>
      </c>
      <c r="DT236" t="b">
        <f t="shared" si="479"/>
        <v>0</v>
      </c>
      <c r="DU236" t="b">
        <f t="shared" si="480"/>
        <v>0</v>
      </c>
      <c r="DV236" t="b">
        <f t="shared" si="481"/>
        <v>0</v>
      </c>
      <c r="DW236" t="b">
        <f t="shared" si="482"/>
        <v>0</v>
      </c>
      <c r="DX236" t="b">
        <f t="shared" si="483"/>
        <v>0</v>
      </c>
      <c r="DY236" t="b">
        <f t="shared" si="484"/>
        <v>0</v>
      </c>
      <c r="DZ236" t="b">
        <f t="shared" si="485"/>
        <v>0</v>
      </c>
      <c r="EA236" t="b">
        <f t="shared" si="486"/>
        <v>0</v>
      </c>
      <c r="EB236" t="b">
        <f t="shared" si="487"/>
        <v>0</v>
      </c>
      <c r="EC236" t="b">
        <f t="shared" si="488"/>
        <v>0</v>
      </c>
      <c r="ED236" t="b">
        <f t="shared" si="489"/>
        <v>0</v>
      </c>
      <c r="EE236" t="b">
        <f t="shared" si="490"/>
        <v>0</v>
      </c>
      <c r="EF236">
        <f t="shared" si="491"/>
        <v>1</v>
      </c>
      <c r="EG236" t="b">
        <f t="shared" si="492"/>
        <v>0</v>
      </c>
      <c r="EH236" t="b">
        <f t="shared" si="493"/>
        <v>0</v>
      </c>
      <c r="EI236" t="b">
        <f t="shared" si="494"/>
        <v>0</v>
      </c>
      <c r="EJ236" t="b">
        <f t="shared" si="495"/>
        <v>0</v>
      </c>
      <c r="EK236" t="b">
        <f t="shared" si="496"/>
        <v>0</v>
      </c>
    </row>
    <row r="237" spans="1:141">
      <c r="A237" t="s">
        <v>1278</v>
      </c>
      <c r="B237" t="s">
        <v>1279</v>
      </c>
      <c r="C237" t="s">
        <v>1280</v>
      </c>
      <c r="D237" s="1">
        <v>42300</v>
      </c>
      <c r="E237" s="2">
        <v>42405.841967592591</v>
      </c>
      <c r="F237" s="2">
        <v>42405.841967592591</v>
      </c>
      <c r="G237">
        <v>1217166</v>
      </c>
      <c r="H237" t="s">
        <v>1281</v>
      </c>
      <c r="I237" s="10" t="s">
        <v>1282</v>
      </c>
      <c r="J237" t="s">
        <v>188</v>
      </c>
      <c r="K237" s="8" t="b">
        <v>1</v>
      </c>
      <c r="L237" s="10" t="b">
        <v>0</v>
      </c>
      <c r="M237" s="12" t="b">
        <v>0</v>
      </c>
      <c r="N237" t="b">
        <v>0</v>
      </c>
      <c r="O237" t="b">
        <v>0</v>
      </c>
      <c r="P237" t="b">
        <v>0</v>
      </c>
      <c r="Q237">
        <f t="shared" si="373"/>
        <v>6</v>
      </c>
      <c r="R237">
        <f t="shared" si="374"/>
        <v>10</v>
      </c>
      <c r="S237" t="e">
        <f t="shared" ca="1" si="404"/>
        <v>#NAME?</v>
      </c>
      <c r="T237" t="e">
        <f t="shared" ca="1" si="375"/>
        <v>#NAME?</v>
      </c>
      <c r="U237" s="4">
        <f t="shared" si="376"/>
        <v>105.84196759259066</v>
      </c>
      <c r="V237" s="4">
        <f t="shared" si="377"/>
        <v>3.5280655864196886</v>
      </c>
      <c r="W237" s="4">
        <f t="shared" si="378"/>
        <v>1</v>
      </c>
      <c r="X237" s="4">
        <f t="shared" si="379"/>
        <v>0</v>
      </c>
      <c r="Y237" s="4">
        <f t="shared" si="380"/>
        <v>0</v>
      </c>
      <c r="Z237" s="4">
        <f t="shared" si="381"/>
        <v>0</v>
      </c>
      <c r="AA237" s="4">
        <f t="shared" si="382"/>
        <v>0</v>
      </c>
      <c r="AB237" s="4">
        <f t="shared" si="383"/>
        <v>0</v>
      </c>
      <c r="AC237" s="4"/>
      <c r="AD237" s="4" t="b">
        <f t="shared" si="384"/>
        <v>0</v>
      </c>
      <c r="AE237" s="4" t="b">
        <f t="shared" si="385"/>
        <v>0</v>
      </c>
      <c r="AF237" s="4" t="b">
        <f t="shared" si="386"/>
        <v>0</v>
      </c>
      <c r="AG237" t="b">
        <f t="shared" si="387"/>
        <v>0</v>
      </c>
      <c r="AH237" t="b">
        <f t="shared" si="388"/>
        <v>0</v>
      </c>
      <c r="AI237" t="b">
        <f t="shared" si="389"/>
        <v>0</v>
      </c>
      <c r="AJ237" t="b">
        <f t="shared" si="390"/>
        <v>0</v>
      </c>
      <c r="AK237" t="b">
        <f t="shared" si="391"/>
        <v>0</v>
      </c>
      <c r="AL237" t="b">
        <f t="shared" si="392"/>
        <v>0</v>
      </c>
      <c r="AM237" t="b">
        <f t="shared" si="393"/>
        <v>0</v>
      </c>
      <c r="AN237" t="b">
        <f t="shared" si="394"/>
        <v>0</v>
      </c>
      <c r="AO237" t="b">
        <f t="shared" si="395"/>
        <v>0</v>
      </c>
      <c r="AP237" t="b">
        <f t="shared" si="396"/>
        <v>0</v>
      </c>
      <c r="AQ237" t="b">
        <f t="shared" si="397"/>
        <v>0</v>
      </c>
      <c r="AR237" t="b">
        <f t="shared" si="398"/>
        <v>0</v>
      </c>
      <c r="AS237" t="b">
        <f t="shared" si="399"/>
        <v>0</v>
      </c>
      <c r="AT237" t="b">
        <f t="shared" si="400"/>
        <v>0</v>
      </c>
      <c r="AU237" t="b">
        <f t="shared" si="401"/>
        <v>0</v>
      </c>
      <c r="AV237" t="b">
        <f t="shared" si="402"/>
        <v>0</v>
      </c>
      <c r="AW237" t="b">
        <f t="shared" si="403"/>
        <v>0</v>
      </c>
      <c r="AX237" t="b">
        <f t="shared" si="405"/>
        <v>0</v>
      </c>
      <c r="AY237" t="b">
        <f t="shared" si="406"/>
        <v>0</v>
      </c>
      <c r="AZ237" t="b">
        <f t="shared" si="407"/>
        <v>0</v>
      </c>
      <c r="BA237" t="b">
        <f t="shared" si="408"/>
        <v>0</v>
      </c>
      <c r="BB237" t="b">
        <f t="shared" si="409"/>
        <v>0</v>
      </c>
      <c r="BC237" t="b">
        <f t="shared" si="410"/>
        <v>0</v>
      </c>
      <c r="BD237" t="b">
        <f t="shared" si="411"/>
        <v>0</v>
      </c>
      <c r="BE237" t="b">
        <f t="shared" si="412"/>
        <v>0</v>
      </c>
      <c r="BF237" t="b">
        <f t="shared" si="413"/>
        <v>0</v>
      </c>
      <c r="BG237" t="b">
        <f t="shared" si="414"/>
        <v>0</v>
      </c>
      <c r="BH237" t="b">
        <f t="shared" si="415"/>
        <v>0</v>
      </c>
      <c r="BI237">
        <f t="shared" si="416"/>
        <v>1</v>
      </c>
      <c r="BJ237" t="b">
        <f t="shared" si="417"/>
        <v>0</v>
      </c>
      <c r="BK237" t="b">
        <f t="shared" si="418"/>
        <v>0</v>
      </c>
      <c r="BL237" t="b">
        <f t="shared" si="419"/>
        <v>0</v>
      </c>
      <c r="BM237" t="b">
        <f t="shared" si="420"/>
        <v>0</v>
      </c>
      <c r="BN237" t="b">
        <f t="shared" si="421"/>
        <v>0</v>
      </c>
      <c r="BO237" t="b">
        <f t="shared" si="422"/>
        <v>0</v>
      </c>
      <c r="BP237" t="b">
        <f t="shared" si="423"/>
        <v>0</v>
      </c>
      <c r="BQ237" t="b">
        <f t="shared" si="424"/>
        <v>0</v>
      </c>
      <c r="BR237" t="b">
        <f t="shared" si="425"/>
        <v>0</v>
      </c>
      <c r="BS237" t="b">
        <f t="shared" si="426"/>
        <v>0</v>
      </c>
      <c r="BT237" t="b">
        <f t="shared" si="427"/>
        <v>0</v>
      </c>
      <c r="BU237" t="b">
        <f t="shared" si="428"/>
        <v>0</v>
      </c>
      <c r="BV237" t="b">
        <f t="shared" si="429"/>
        <v>0</v>
      </c>
      <c r="BW237" t="b">
        <f t="shared" si="430"/>
        <v>0</v>
      </c>
      <c r="BX237" t="b">
        <f t="shared" si="431"/>
        <v>0</v>
      </c>
      <c r="BY237" t="b">
        <f t="shared" si="432"/>
        <v>0</v>
      </c>
      <c r="BZ237" t="b">
        <f t="shared" si="433"/>
        <v>0</v>
      </c>
      <c r="CA237" t="b">
        <f t="shared" si="434"/>
        <v>0</v>
      </c>
      <c r="CB237" t="b">
        <f t="shared" si="435"/>
        <v>0</v>
      </c>
      <c r="CC237" t="b">
        <f t="shared" si="436"/>
        <v>0</v>
      </c>
      <c r="CD237" t="b">
        <f t="shared" si="437"/>
        <v>0</v>
      </c>
      <c r="CE237">
        <f t="shared" si="438"/>
        <v>1</v>
      </c>
      <c r="CF237" t="b">
        <f t="shared" si="439"/>
        <v>0</v>
      </c>
      <c r="CG237" t="b">
        <f t="shared" si="440"/>
        <v>0</v>
      </c>
      <c r="CH237" t="b">
        <f t="shared" si="441"/>
        <v>0</v>
      </c>
      <c r="CI237" t="b">
        <f t="shared" si="442"/>
        <v>0</v>
      </c>
      <c r="CJ237" t="b">
        <f t="shared" si="443"/>
        <v>0</v>
      </c>
      <c r="CK237" t="b">
        <f t="shared" si="444"/>
        <v>0</v>
      </c>
      <c r="CL237" t="b">
        <f t="shared" si="445"/>
        <v>0</v>
      </c>
      <c r="CM237" t="b">
        <f t="shared" si="446"/>
        <v>0</v>
      </c>
      <c r="CN237" t="b">
        <f t="shared" si="447"/>
        <v>0</v>
      </c>
      <c r="CO237" t="b">
        <f t="shared" si="448"/>
        <v>0</v>
      </c>
      <c r="CP237" t="b">
        <f t="shared" si="449"/>
        <v>0</v>
      </c>
      <c r="CQ237" t="b">
        <f t="shared" si="450"/>
        <v>0</v>
      </c>
      <c r="CR237" t="b">
        <f t="shared" si="451"/>
        <v>0</v>
      </c>
      <c r="CS237" t="b">
        <f t="shared" si="452"/>
        <v>0</v>
      </c>
      <c r="CT237" t="b">
        <f t="shared" si="453"/>
        <v>0</v>
      </c>
      <c r="CU237" t="b">
        <f t="shared" si="454"/>
        <v>0</v>
      </c>
      <c r="CV237">
        <f t="shared" si="455"/>
        <v>1</v>
      </c>
      <c r="CW237" t="b">
        <f t="shared" si="456"/>
        <v>0</v>
      </c>
      <c r="CX237" t="b">
        <f t="shared" si="457"/>
        <v>0</v>
      </c>
      <c r="CY237" t="b">
        <f t="shared" si="458"/>
        <v>0</v>
      </c>
      <c r="CZ237" t="b">
        <f t="shared" si="459"/>
        <v>0</v>
      </c>
      <c r="DA237" t="b">
        <f t="shared" si="460"/>
        <v>0</v>
      </c>
      <c r="DB237" t="b">
        <f t="shared" si="461"/>
        <v>0</v>
      </c>
      <c r="DC237" t="b">
        <f t="shared" si="462"/>
        <v>0</v>
      </c>
      <c r="DD237" t="b">
        <f t="shared" si="463"/>
        <v>0</v>
      </c>
      <c r="DE237" t="b">
        <f t="shared" si="464"/>
        <v>0</v>
      </c>
      <c r="DF237" t="b">
        <f t="shared" si="465"/>
        <v>0</v>
      </c>
      <c r="DG237" t="b">
        <f t="shared" si="466"/>
        <v>0</v>
      </c>
      <c r="DH237" t="b">
        <f t="shared" si="467"/>
        <v>0</v>
      </c>
      <c r="DI237" t="b">
        <f t="shared" si="468"/>
        <v>0</v>
      </c>
      <c r="DJ237" t="b">
        <f t="shared" si="469"/>
        <v>0</v>
      </c>
      <c r="DK237" t="b">
        <f t="shared" si="470"/>
        <v>0</v>
      </c>
      <c r="DL237" t="b">
        <f t="shared" si="471"/>
        <v>0</v>
      </c>
      <c r="DM237" t="b">
        <f t="shared" si="472"/>
        <v>0</v>
      </c>
      <c r="DN237" t="b">
        <f t="shared" si="473"/>
        <v>0</v>
      </c>
      <c r="DO237" t="b">
        <f t="shared" si="474"/>
        <v>0</v>
      </c>
      <c r="DP237" t="b">
        <f t="shared" si="475"/>
        <v>0</v>
      </c>
      <c r="DQ237" t="b">
        <f t="shared" si="476"/>
        <v>0</v>
      </c>
      <c r="DR237" t="b">
        <f t="shared" si="477"/>
        <v>0</v>
      </c>
      <c r="DS237" t="b">
        <f t="shared" si="478"/>
        <v>0</v>
      </c>
      <c r="DT237" t="b">
        <f t="shared" si="479"/>
        <v>0</v>
      </c>
      <c r="DU237" t="b">
        <f t="shared" si="480"/>
        <v>0</v>
      </c>
      <c r="DV237" t="b">
        <f t="shared" si="481"/>
        <v>0</v>
      </c>
      <c r="DW237" t="b">
        <f t="shared" si="482"/>
        <v>0</v>
      </c>
      <c r="DX237" t="b">
        <f t="shared" si="483"/>
        <v>0</v>
      </c>
      <c r="DY237" t="b">
        <f t="shared" si="484"/>
        <v>0</v>
      </c>
      <c r="DZ237" t="b">
        <f t="shared" si="485"/>
        <v>0</v>
      </c>
      <c r="EA237" t="b">
        <f t="shared" si="486"/>
        <v>0</v>
      </c>
      <c r="EB237" t="b">
        <f t="shared" si="487"/>
        <v>0</v>
      </c>
      <c r="EC237" t="b">
        <f t="shared" si="488"/>
        <v>0</v>
      </c>
      <c r="ED237" t="b">
        <f t="shared" si="489"/>
        <v>0</v>
      </c>
      <c r="EE237" t="b">
        <f t="shared" si="490"/>
        <v>0</v>
      </c>
      <c r="EF237">
        <f t="shared" si="491"/>
        <v>1</v>
      </c>
      <c r="EG237" t="b">
        <f t="shared" si="492"/>
        <v>0</v>
      </c>
      <c r="EH237" t="b">
        <f t="shared" si="493"/>
        <v>0</v>
      </c>
      <c r="EI237" t="b">
        <f t="shared" si="494"/>
        <v>0</v>
      </c>
      <c r="EJ237" t="b">
        <f t="shared" si="495"/>
        <v>0</v>
      </c>
      <c r="EK237" t="b">
        <f t="shared" si="496"/>
        <v>0</v>
      </c>
    </row>
    <row r="238" spans="1:141">
      <c r="A238" t="s">
        <v>1283</v>
      </c>
      <c r="B238" t="s">
        <v>1283</v>
      </c>
      <c r="C238" t="s">
        <v>1284</v>
      </c>
      <c r="D238" s="1">
        <v>43520</v>
      </c>
      <c r="E238" s="2">
        <v>43667.596365740741</v>
      </c>
      <c r="F238" s="2">
        <v>43667.59983796296</v>
      </c>
      <c r="G238">
        <v>1506242</v>
      </c>
      <c r="H238" t="s">
        <v>1285</v>
      </c>
      <c r="I238" s="10" t="s">
        <v>1286</v>
      </c>
      <c r="J238" t="s">
        <v>188</v>
      </c>
      <c r="K238" s="8" t="b">
        <v>1</v>
      </c>
      <c r="L238" s="10" t="b">
        <v>0</v>
      </c>
      <c r="M238" s="12" t="b">
        <v>0</v>
      </c>
      <c r="N238" t="b">
        <v>0</v>
      </c>
      <c r="O238" t="b">
        <v>0</v>
      </c>
      <c r="P238" t="b">
        <v>0</v>
      </c>
      <c r="Q238">
        <f t="shared" si="373"/>
        <v>1</v>
      </c>
      <c r="R238">
        <f t="shared" si="374"/>
        <v>2</v>
      </c>
      <c r="S238" t="e">
        <f t="shared" ca="1" si="404"/>
        <v>#NAME?</v>
      </c>
      <c r="T238" t="e">
        <f t="shared" ca="1" si="375"/>
        <v>#NAME?</v>
      </c>
      <c r="U238" s="4">
        <f t="shared" si="376"/>
        <v>147.59636574074102</v>
      </c>
      <c r="V238" s="4">
        <f t="shared" si="377"/>
        <v>4.9198788580247008</v>
      </c>
      <c r="W238" s="4">
        <f t="shared" si="378"/>
        <v>1</v>
      </c>
      <c r="X238" s="4">
        <f t="shared" si="379"/>
        <v>0</v>
      </c>
      <c r="Y238" s="4">
        <f t="shared" si="380"/>
        <v>0</v>
      </c>
      <c r="Z238" s="4">
        <f t="shared" si="381"/>
        <v>0</v>
      </c>
      <c r="AA238" s="4">
        <f t="shared" si="382"/>
        <v>0</v>
      </c>
      <c r="AB238" s="4">
        <f t="shared" si="383"/>
        <v>0</v>
      </c>
      <c r="AC238" s="4"/>
      <c r="AD238" s="4" t="b">
        <f t="shared" si="384"/>
        <v>0</v>
      </c>
      <c r="AE238" s="4" t="b">
        <f t="shared" si="385"/>
        <v>0</v>
      </c>
      <c r="AF238" s="4" t="b">
        <f t="shared" si="386"/>
        <v>0</v>
      </c>
      <c r="AG238" t="b">
        <f t="shared" si="387"/>
        <v>0</v>
      </c>
      <c r="AH238" t="b">
        <f t="shared" si="388"/>
        <v>0</v>
      </c>
      <c r="AI238" t="b">
        <f t="shared" si="389"/>
        <v>0</v>
      </c>
      <c r="AJ238" t="b">
        <f t="shared" si="390"/>
        <v>0</v>
      </c>
      <c r="AK238" t="b">
        <f t="shared" si="391"/>
        <v>0</v>
      </c>
      <c r="AL238" t="b">
        <f t="shared" si="392"/>
        <v>0</v>
      </c>
      <c r="AM238" t="b">
        <f t="shared" si="393"/>
        <v>0</v>
      </c>
      <c r="AN238" t="b">
        <f t="shared" si="394"/>
        <v>0</v>
      </c>
      <c r="AO238" t="b">
        <f t="shared" si="395"/>
        <v>0</v>
      </c>
      <c r="AP238" t="b">
        <f t="shared" si="396"/>
        <v>0</v>
      </c>
      <c r="AQ238" t="b">
        <f t="shared" si="397"/>
        <v>0</v>
      </c>
      <c r="AR238" t="b">
        <f t="shared" si="398"/>
        <v>0</v>
      </c>
      <c r="AS238" t="b">
        <f t="shared" si="399"/>
        <v>0</v>
      </c>
      <c r="AT238" t="b">
        <f t="shared" si="400"/>
        <v>0</v>
      </c>
      <c r="AU238" t="b">
        <f t="shared" si="401"/>
        <v>0</v>
      </c>
      <c r="AV238" t="b">
        <f t="shared" si="402"/>
        <v>0</v>
      </c>
      <c r="AW238" t="b">
        <f t="shared" si="403"/>
        <v>0</v>
      </c>
      <c r="AX238" t="b">
        <f t="shared" si="405"/>
        <v>0</v>
      </c>
      <c r="AY238" t="b">
        <f t="shared" si="406"/>
        <v>0</v>
      </c>
      <c r="AZ238" t="b">
        <f t="shared" si="407"/>
        <v>0</v>
      </c>
      <c r="BA238" t="b">
        <f t="shared" si="408"/>
        <v>0</v>
      </c>
      <c r="BB238" t="b">
        <f t="shared" si="409"/>
        <v>0</v>
      </c>
      <c r="BC238" t="b">
        <f t="shared" si="410"/>
        <v>0</v>
      </c>
      <c r="BD238" t="b">
        <f t="shared" si="411"/>
        <v>0</v>
      </c>
      <c r="BE238" t="b">
        <f t="shared" si="412"/>
        <v>0</v>
      </c>
      <c r="BF238" t="b">
        <f t="shared" si="413"/>
        <v>0</v>
      </c>
      <c r="BG238" t="b">
        <f t="shared" si="414"/>
        <v>0</v>
      </c>
      <c r="BH238" t="b">
        <f t="shared" si="415"/>
        <v>0</v>
      </c>
      <c r="BI238">
        <f t="shared" si="416"/>
        <v>1</v>
      </c>
      <c r="BJ238" t="b">
        <f t="shared" si="417"/>
        <v>0</v>
      </c>
      <c r="BK238" t="b">
        <f t="shared" si="418"/>
        <v>0</v>
      </c>
      <c r="BL238" t="b">
        <f t="shared" si="419"/>
        <v>0</v>
      </c>
      <c r="BM238" t="b">
        <f t="shared" si="420"/>
        <v>0</v>
      </c>
      <c r="BN238" t="b">
        <f t="shared" si="421"/>
        <v>0</v>
      </c>
      <c r="BO238" t="b">
        <f t="shared" si="422"/>
        <v>0</v>
      </c>
      <c r="BP238" t="b">
        <f t="shared" si="423"/>
        <v>0</v>
      </c>
      <c r="BQ238" t="b">
        <f t="shared" si="424"/>
        <v>0</v>
      </c>
      <c r="BR238" t="b">
        <f t="shared" si="425"/>
        <v>0</v>
      </c>
      <c r="BS238" t="b">
        <f t="shared" si="426"/>
        <v>0</v>
      </c>
      <c r="BT238" t="b">
        <f t="shared" si="427"/>
        <v>0</v>
      </c>
      <c r="BU238" t="b">
        <f t="shared" si="428"/>
        <v>0</v>
      </c>
      <c r="BV238" t="b">
        <f t="shared" si="429"/>
        <v>0</v>
      </c>
      <c r="BW238" t="b">
        <f t="shared" si="430"/>
        <v>0</v>
      </c>
      <c r="BX238" t="b">
        <f t="shared" si="431"/>
        <v>0</v>
      </c>
      <c r="BY238" t="b">
        <f t="shared" si="432"/>
        <v>0</v>
      </c>
      <c r="BZ238" t="b">
        <f t="shared" si="433"/>
        <v>0</v>
      </c>
      <c r="CA238" t="b">
        <f t="shared" si="434"/>
        <v>0</v>
      </c>
      <c r="CB238" t="b">
        <f t="shared" si="435"/>
        <v>0</v>
      </c>
      <c r="CC238" t="b">
        <f t="shared" si="436"/>
        <v>0</v>
      </c>
      <c r="CD238" t="b">
        <f t="shared" si="437"/>
        <v>0</v>
      </c>
      <c r="CE238">
        <f t="shared" si="438"/>
        <v>1</v>
      </c>
      <c r="CF238" t="b">
        <f t="shared" si="439"/>
        <v>0</v>
      </c>
      <c r="CG238" t="b">
        <f t="shared" si="440"/>
        <v>0</v>
      </c>
      <c r="CH238" t="b">
        <f t="shared" si="441"/>
        <v>0</v>
      </c>
      <c r="CI238" t="b">
        <f t="shared" si="442"/>
        <v>0</v>
      </c>
      <c r="CJ238" t="b">
        <f t="shared" si="443"/>
        <v>0</v>
      </c>
      <c r="CK238" t="b">
        <f t="shared" si="444"/>
        <v>0</v>
      </c>
      <c r="CL238" t="b">
        <f t="shared" si="445"/>
        <v>0</v>
      </c>
      <c r="CM238" t="b">
        <f t="shared" si="446"/>
        <v>0</v>
      </c>
      <c r="CN238" t="b">
        <f t="shared" si="447"/>
        <v>0</v>
      </c>
      <c r="CO238" t="b">
        <f t="shared" si="448"/>
        <v>0</v>
      </c>
      <c r="CP238" t="b">
        <f t="shared" si="449"/>
        <v>0</v>
      </c>
      <c r="CQ238" t="b">
        <f t="shared" si="450"/>
        <v>0</v>
      </c>
      <c r="CR238" t="b">
        <f t="shared" si="451"/>
        <v>0</v>
      </c>
      <c r="CS238" t="b">
        <f t="shared" si="452"/>
        <v>0</v>
      </c>
      <c r="CT238" t="b">
        <f t="shared" si="453"/>
        <v>0</v>
      </c>
      <c r="CU238" t="b">
        <f t="shared" si="454"/>
        <v>0</v>
      </c>
      <c r="CV238">
        <f t="shared" si="455"/>
        <v>1</v>
      </c>
      <c r="CW238" t="b">
        <f t="shared" si="456"/>
        <v>0</v>
      </c>
      <c r="CX238" t="b">
        <f t="shared" si="457"/>
        <v>0</v>
      </c>
      <c r="CY238" t="b">
        <f t="shared" si="458"/>
        <v>0</v>
      </c>
      <c r="CZ238" t="b">
        <f t="shared" si="459"/>
        <v>0</v>
      </c>
      <c r="DA238" t="b">
        <f t="shared" si="460"/>
        <v>0</v>
      </c>
      <c r="DB238" t="b">
        <f t="shared" si="461"/>
        <v>0</v>
      </c>
      <c r="DC238" t="b">
        <f t="shared" si="462"/>
        <v>0</v>
      </c>
      <c r="DD238" t="b">
        <f t="shared" si="463"/>
        <v>0</v>
      </c>
      <c r="DE238" t="b">
        <f t="shared" si="464"/>
        <v>0</v>
      </c>
      <c r="DF238" t="b">
        <f t="shared" si="465"/>
        <v>0</v>
      </c>
      <c r="DG238" t="b">
        <f t="shared" si="466"/>
        <v>0</v>
      </c>
      <c r="DH238" t="b">
        <f t="shared" si="467"/>
        <v>0</v>
      </c>
      <c r="DI238" t="b">
        <f t="shared" si="468"/>
        <v>0</v>
      </c>
      <c r="DJ238" t="b">
        <f t="shared" si="469"/>
        <v>0</v>
      </c>
      <c r="DK238" t="b">
        <f t="shared" si="470"/>
        <v>0</v>
      </c>
      <c r="DL238" t="b">
        <f t="shared" si="471"/>
        <v>0</v>
      </c>
      <c r="DM238" t="b">
        <f t="shared" si="472"/>
        <v>0</v>
      </c>
      <c r="DN238" t="b">
        <f t="shared" si="473"/>
        <v>0</v>
      </c>
      <c r="DO238" t="b">
        <f t="shared" si="474"/>
        <v>0</v>
      </c>
      <c r="DP238" t="b">
        <f t="shared" si="475"/>
        <v>0</v>
      </c>
      <c r="DQ238" t="b">
        <f t="shared" si="476"/>
        <v>0</v>
      </c>
      <c r="DR238" t="b">
        <f t="shared" si="477"/>
        <v>0</v>
      </c>
      <c r="DS238" t="b">
        <f t="shared" si="478"/>
        <v>0</v>
      </c>
      <c r="DT238" t="b">
        <f t="shared" si="479"/>
        <v>0</v>
      </c>
      <c r="DU238" t="b">
        <f t="shared" si="480"/>
        <v>0</v>
      </c>
      <c r="DV238" t="b">
        <f t="shared" si="481"/>
        <v>0</v>
      </c>
      <c r="DW238" t="b">
        <f t="shared" si="482"/>
        <v>0</v>
      </c>
      <c r="DX238" t="b">
        <f t="shared" si="483"/>
        <v>0</v>
      </c>
      <c r="DY238" t="b">
        <f t="shared" si="484"/>
        <v>0</v>
      </c>
      <c r="DZ238" t="b">
        <f t="shared" si="485"/>
        <v>0</v>
      </c>
      <c r="EA238" t="b">
        <f t="shared" si="486"/>
        <v>0</v>
      </c>
      <c r="EB238" t="b">
        <f t="shared" si="487"/>
        <v>0</v>
      </c>
      <c r="EC238" t="b">
        <f t="shared" si="488"/>
        <v>0</v>
      </c>
      <c r="ED238" t="b">
        <f t="shared" si="489"/>
        <v>0</v>
      </c>
      <c r="EE238" t="b">
        <f t="shared" si="490"/>
        <v>0</v>
      </c>
      <c r="EF238">
        <f t="shared" si="491"/>
        <v>1</v>
      </c>
      <c r="EG238" t="b">
        <f t="shared" si="492"/>
        <v>0</v>
      </c>
      <c r="EH238" t="b">
        <f t="shared" si="493"/>
        <v>0</v>
      </c>
      <c r="EI238" t="b">
        <f t="shared" si="494"/>
        <v>0</v>
      </c>
      <c r="EJ238" t="b">
        <f t="shared" si="495"/>
        <v>0</v>
      </c>
      <c r="EK238" t="b">
        <f t="shared" si="496"/>
        <v>0</v>
      </c>
    </row>
    <row r="239" spans="1:141">
      <c r="A239" t="s">
        <v>1287</v>
      </c>
      <c r="B239" t="s">
        <v>1287</v>
      </c>
      <c r="C239" t="s">
        <v>1288</v>
      </c>
      <c r="D239" s="1">
        <v>42064</v>
      </c>
      <c r="E239" s="2">
        <v>42636.999745370369</v>
      </c>
      <c r="F239" s="2">
        <v>42636.999745370369</v>
      </c>
      <c r="G239">
        <v>2064274</v>
      </c>
      <c r="H239" t="s">
        <v>1289</v>
      </c>
      <c r="I239" s="10" t="s">
        <v>1290</v>
      </c>
      <c r="J239" t="s">
        <v>188</v>
      </c>
      <c r="K239" s="8" t="b">
        <v>1</v>
      </c>
      <c r="L239" s="10" t="b">
        <v>0</v>
      </c>
      <c r="M239" s="12" t="b">
        <v>0</v>
      </c>
      <c r="N239" t="b">
        <v>0</v>
      </c>
      <c r="O239" t="b">
        <v>0</v>
      </c>
      <c r="P239" t="b">
        <v>0</v>
      </c>
      <c r="Q239">
        <f t="shared" si="373"/>
        <v>1</v>
      </c>
      <c r="R239">
        <f t="shared" si="374"/>
        <v>3</v>
      </c>
      <c r="S239" t="e">
        <f t="shared" ca="1" si="404"/>
        <v>#NAME?</v>
      </c>
      <c r="T239" t="e">
        <f t="shared" ca="1" si="375"/>
        <v>#NAME?</v>
      </c>
      <c r="U239" s="4">
        <f t="shared" si="376"/>
        <v>572.99974537036906</v>
      </c>
      <c r="V239" s="4">
        <f t="shared" si="377"/>
        <v>19.099991512345635</v>
      </c>
      <c r="W239" s="4">
        <f t="shared" si="378"/>
        <v>1</v>
      </c>
      <c r="X239" s="4">
        <f t="shared" si="379"/>
        <v>0</v>
      </c>
      <c r="Y239" s="4">
        <f t="shared" si="380"/>
        <v>0</v>
      </c>
      <c r="Z239" s="4">
        <f t="shared" si="381"/>
        <v>0</v>
      </c>
      <c r="AA239" s="4">
        <f t="shared" si="382"/>
        <v>0</v>
      </c>
      <c r="AB239" s="4">
        <f t="shared" si="383"/>
        <v>0</v>
      </c>
      <c r="AC239" s="4"/>
      <c r="AD239" s="4" t="b">
        <f t="shared" si="384"/>
        <v>0</v>
      </c>
      <c r="AE239" s="4" t="b">
        <f t="shared" si="385"/>
        <v>0</v>
      </c>
      <c r="AF239" s="4" t="b">
        <f t="shared" si="386"/>
        <v>0</v>
      </c>
      <c r="AG239" t="b">
        <f t="shared" si="387"/>
        <v>0</v>
      </c>
      <c r="AH239" t="b">
        <f t="shared" si="388"/>
        <v>0</v>
      </c>
      <c r="AI239" t="b">
        <f t="shared" si="389"/>
        <v>0</v>
      </c>
      <c r="AJ239" t="b">
        <f t="shared" si="390"/>
        <v>0</v>
      </c>
      <c r="AK239" t="b">
        <f t="shared" si="391"/>
        <v>0</v>
      </c>
      <c r="AL239" t="b">
        <f t="shared" si="392"/>
        <v>0</v>
      </c>
      <c r="AM239" t="b">
        <f t="shared" si="393"/>
        <v>0</v>
      </c>
      <c r="AN239" t="b">
        <f t="shared" si="394"/>
        <v>0</v>
      </c>
      <c r="AO239" t="b">
        <f t="shared" si="395"/>
        <v>0</v>
      </c>
      <c r="AP239" t="b">
        <f t="shared" si="396"/>
        <v>0</v>
      </c>
      <c r="AQ239" t="b">
        <f t="shared" si="397"/>
        <v>0</v>
      </c>
      <c r="AR239" t="b">
        <f t="shared" si="398"/>
        <v>0</v>
      </c>
      <c r="AS239" t="b">
        <f t="shared" si="399"/>
        <v>0</v>
      </c>
      <c r="AT239" t="b">
        <f t="shared" si="400"/>
        <v>0</v>
      </c>
      <c r="AU239" t="b">
        <f t="shared" si="401"/>
        <v>0</v>
      </c>
      <c r="AV239" t="b">
        <f t="shared" si="402"/>
        <v>0</v>
      </c>
      <c r="AW239" t="b">
        <f t="shared" si="403"/>
        <v>0</v>
      </c>
      <c r="AX239" t="b">
        <f t="shared" si="405"/>
        <v>0</v>
      </c>
      <c r="AY239" t="b">
        <f t="shared" si="406"/>
        <v>0</v>
      </c>
      <c r="AZ239" t="b">
        <f t="shared" si="407"/>
        <v>0</v>
      </c>
      <c r="BA239" t="b">
        <f t="shared" si="408"/>
        <v>0</v>
      </c>
      <c r="BB239" t="b">
        <f t="shared" si="409"/>
        <v>0</v>
      </c>
      <c r="BC239" t="b">
        <f t="shared" si="410"/>
        <v>0</v>
      </c>
      <c r="BD239" t="b">
        <f t="shared" si="411"/>
        <v>0</v>
      </c>
      <c r="BE239" t="b">
        <f t="shared" si="412"/>
        <v>0</v>
      </c>
      <c r="BF239" t="b">
        <f t="shared" si="413"/>
        <v>0</v>
      </c>
      <c r="BG239" t="b">
        <f t="shared" si="414"/>
        <v>0</v>
      </c>
      <c r="BH239" t="b">
        <f t="shared" si="415"/>
        <v>0</v>
      </c>
      <c r="BI239">
        <f t="shared" si="416"/>
        <v>1</v>
      </c>
      <c r="BJ239" t="b">
        <f t="shared" si="417"/>
        <v>0</v>
      </c>
      <c r="BK239" t="b">
        <f t="shared" si="418"/>
        <v>0</v>
      </c>
      <c r="BL239" t="b">
        <f t="shared" si="419"/>
        <v>0</v>
      </c>
      <c r="BM239" t="b">
        <f t="shared" si="420"/>
        <v>0</v>
      </c>
      <c r="BN239" t="b">
        <f t="shared" si="421"/>
        <v>0</v>
      </c>
      <c r="BO239" t="b">
        <f t="shared" si="422"/>
        <v>0</v>
      </c>
      <c r="BP239" t="b">
        <f t="shared" si="423"/>
        <v>0</v>
      </c>
      <c r="BQ239" t="b">
        <f t="shared" si="424"/>
        <v>0</v>
      </c>
      <c r="BR239" t="b">
        <f t="shared" si="425"/>
        <v>0</v>
      </c>
      <c r="BS239" t="b">
        <f t="shared" si="426"/>
        <v>0</v>
      </c>
      <c r="BT239" t="b">
        <f t="shared" si="427"/>
        <v>0</v>
      </c>
      <c r="BU239" t="b">
        <f t="shared" si="428"/>
        <v>0</v>
      </c>
      <c r="BV239" t="b">
        <f t="shared" si="429"/>
        <v>0</v>
      </c>
      <c r="BW239" t="b">
        <f t="shared" si="430"/>
        <v>0</v>
      </c>
      <c r="BX239" t="b">
        <f t="shared" si="431"/>
        <v>0</v>
      </c>
      <c r="BY239" t="b">
        <f t="shared" si="432"/>
        <v>0</v>
      </c>
      <c r="BZ239" t="b">
        <f t="shared" si="433"/>
        <v>0</v>
      </c>
      <c r="CA239" t="b">
        <f t="shared" si="434"/>
        <v>0</v>
      </c>
      <c r="CB239" t="b">
        <f t="shared" si="435"/>
        <v>0</v>
      </c>
      <c r="CC239" t="b">
        <f t="shared" si="436"/>
        <v>0</v>
      </c>
      <c r="CD239" t="b">
        <f t="shared" si="437"/>
        <v>0</v>
      </c>
      <c r="CE239">
        <f t="shared" si="438"/>
        <v>1</v>
      </c>
      <c r="CF239" t="b">
        <f t="shared" si="439"/>
        <v>0</v>
      </c>
      <c r="CG239" t="b">
        <f t="shared" si="440"/>
        <v>0</v>
      </c>
      <c r="CH239" t="b">
        <f t="shared" si="441"/>
        <v>0</v>
      </c>
      <c r="CI239" t="b">
        <f t="shared" si="442"/>
        <v>0</v>
      </c>
      <c r="CJ239" t="b">
        <f t="shared" si="443"/>
        <v>0</v>
      </c>
      <c r="CK239" t="b">
        <f t="shared" si="444"/>
        <v>0</v>
      </c>
      <c r="CL239" t="b">
        <f t="shared" si="445"/>
        <v>0</v>
      </c>
      <c r="CM239" t="b">
        <f t="shared" si="446"/>
        <v>0</v>
      </c>
      <c r="CN239" t="b">
        <f t="shared" si="447"/>
        <v>0</v>
      </c>
      <c r="CO239" t="b">
        <f t="shared" si="448"/>
        <v>0</v>
      </c>
      <c r="CP239" t="b">
        <f t="shared" si="449"/>
        <v>0</v>
      </c>
      <c r="CQ239" t="b">
        <f t="shared" si="450"/>
        <v>0</v>
      </c>
      <c r="CR239" t="b">
        <f t="shared" si="451"/>
        <v>0</v>
      </c>
      <c r="CS239" t="b">
        <f t="shared" si="452"/>
        <v>0</v>
      </c>
      <c r="CT239" t="b">
        <f t="shared" si="453"/>
        <v>0</v>
      </c>
      <c r="CU239" t="b">
        <f t="shared" si="454"/>
        <v>0</v>
      </c>
      <c r="CV239">
        <f t="shared" si="455"/>
        <v>1</v>
      </c>
      <c r="CW239" t="b">
        <f t="shared" si="456"/>
        <v>0</v>
      </c>
      <c r="CX239" t="b">
        <f t="shared" si="457"/>
        <v>0</v>
      </c>
      <c r="CY239" t="b">
        <f t="shared" si="458"/>
        <v>0</v>
      </c>
      <c r="CZ239" t="b">
        <f t="shared" si="459"/>
        <v>0</v>
      </c>
      <c r="DA239" t="b">
        <f t="shared" si="460"/>
        <v>0</v>
      </c>
      <c r="DB239" t="b">
        <f t="shared" si="461"/>
        <v>0</v>
      </c>
      <c r="DC239" t="b">
        <f t="shared" si="462"/>
        <v>0</v>
      </c>
      <c r="DD239" t="b">
        <f t="shared" si="463"/>
        <v>0</v>
      </c>
      <c r="DE239" t="b">
        <f t="shared" si="464"/>
        <v>0</v>
      </c>
      <c r="DF239" t="b">
        <f t="shared" si="465"/>
        <v>0</v>
      </c>
      <c r="DG239" t="b">
        <f t="shared" si="466"/>
        <v>0</v>
      </c>
      <c r="DH239" t="b">
        <f t="shared" si="467"/>
        <v>0</v>
      </c>
      <c r="DI239" t="b">
        <f t="shared" si="468"/>
        <v>0</v>
      </c>
      <c r="DJ239" t="b">
        <f t="shared" si="469"/>
        <v>0</v>
      </c>
      <c r="DK239" t="b">
        <f t="shared" si="470"/>
        <v>0</v>
      </c>
      <c r="DL239" t="b">
        <f t="shared" si="471"/>
        <v>0</v>
      </c>
      <c r="DM239" t="b">
        <f t="shared" si="472"/>
        <v>0</v>
      </c>
      <c r="DN239" t="b">
        <f t="shared" si="473"/>
        <v>0</v>
      </c>
      <c r="DO239" t="b">
        <f t="shared" si="474"/>
        <v>0</v>
      </c>
      <c r="DP239" t="b">
        <f t="shared" si="475"/>
        <v>0</v>
      </c>
      <c r="DQ239" t="b">
        <f t="shared" si="476"/>
        <v>0</v>
      </c>
      <c r="DR239" t="b">
        <f t="shared" si="477"/>
        <v>0</v>
      </c>
      <c r="DS239" t="b">
        <f t="shared" si="478"/>
        <v>0</v>
      </c>
      <c r="DT239" t="b">
        <f t="shared" si="479"/>
        <v>0</v>
      </c>
      <c r="DU239" t="b">
        <f t="shared" si="480"/>
        <v>0</v>
      </c>
      <c r="DV239" t="b">
        <f t="shared" si="481"/>
        <v>0</v>
      </c>
      <c r="DW239" t="b">
        <f t="shared" si="482"/>
        <v>0</v>
      </c>
      <c r="DX239" t="b">
        <f t="shared" si="483"/>
        <v>0</v>
      </c>
      <c r="DY239" t="b">
        <f t="shared" si="484"/>
        <v>0</v>
      </c>
      <c r="DZ239" t="b">
        <f t="shared" si="485"/>
        <v>0</v>
      </c>
      <c r="EA239" t="b">
        <f t="shared" si="486"/>
        <v>0</v>
      </c>
      <c r="EB239" t="b">
        <f t="shared" si="487"/>
        <v>0</v>
      </c>
      <c r="EC239" t="b">
        <f t="shared" si="488"/>
        <v>0</v>
      </c>
      <c r="ED239" t="b">
        <f t="shared" si="489"/>
        <v>0</v>
      </c>
      <c r="EE239" t="b">
        <f t="shared" si="490"/>
        <v>0</v>
      </c>
      <c r="EF239">
        <f t="shared" si="491"/>
        <v>1</v>
      </c>
      <c r="EG239" t="b">
        <f t="shared" si="492"/>
        <v>0</v>
      </c>
      <c r="EH239" t="b">
        <f t="shared" si="493"/>
        <v>0</v>
      </c>
      <c r="EI239" t="b">
        <f t="shared" si="494"/>
        <v>0</v>
      </c>
      <c r="EJ239" t="b">
        <f t="shared" si="495"/>
        <v>0</v>
      </c>
      <c r="EK239" t="b">
        <f t="shared" si="496"/>
        <v>0</v>
      </c>
    </row>
    <row r="240" spans="1:141">
      <c r="A240" t="s">
        <v>1291</v>
      </c>
      <c r="B240" t="s">
        <v>1291</v>
      </c>
      <c r="C240" t="s">
        <v>1292</v>
      </c>
      <c r="D240" s="1">
        <v>40969</v>
      </c>
      <c r="E240" s="2">
        <v>42387.684999999998</v>
      </c>
      <c r="F240" s="2">
        <v>42387.684999999998</v>
      </c>
      <c r="G240">
        <v>8243604</v>
      </c>
      <c r="H240" t="s">
        <v>1293</v>
      </c>
      <c r="I240" s="10" t="s">
        <v>1294</v>
      </c>
      <c r="J240" t="s">
        <v>147</v>
      </c>
      <c r="K240" s="8" t="b">
        <v>1</v>
      </c>
      <c r="L240" s="10" t="b">
        <v>0</v>
      </c>
      <c r="M240" s="12" t="b">
        <v>0</v>
      </c>
      <c r="N240" t="b">
        <v>0</v>
      </c>
      <c r="O240" t="b">
        <v>0</v>
      </c>
      <c r="P240" t="b">
        <v>0</v>
      </c>
      <c r="Q240">
        <f t="shared" si="373"/>
        <v>5</v>
      </c>
      <c r="R240">
        <f t="shared" si="374"/>
        <v>3</v>
      </c>
      <c r="S240" t="e">
        <f t="shared" ca="1" si="404"/>
        <v>#NAME?</v>
      </c>
      <c r="T240" t="e">
        <f t="shared" ca="1" si="375"/>
        <v>#NAME?</v>
      </c>
      <c r="U240" s="4">
        <f t="shared" si="376"/>
        <v>1418.6849999999977</v>
      </c>
      <c r="V240" s="4">
        <f t="shared" si="377"/>
        <v>47.289499999999926</v>
      </c>
      <c r="W240" s="4">
        <f t="shared" si="378"/>
        <v>1</v>
      </c>
      <c r="X240" s="4">
        <f t="shared" si="379"/>
        <v>0</v>
      </c>
      <c r="Y240" s="4">
        <f t="shared" si="380"/>
        <v>0</v>
      </c>
      <c r="Z240" s="4">
        <f t="shared" si="381"/>
        <v>0</v>
      </c>
      <c r="AA240" s="4">
        <f t="shared" si="382"/>
        <v>0</v>
      </c>
      <c r="AB240" s="4">
        <f t="shared" si="383"/>
        <v>0</v>
      </c>
      <c r="AC240" s="4"/>
      <c r="AD240" s="4" t="b">
        <f t="shared" si="384"/>
        <v>0</v>
      </c>
      <c r="AE240" s="4" t="b">
        <f t="shared" si="385"/>
        <v>0</v>
      </c>
      <c r="AF240" s="4" t="b">
        <f t="shared" si="386"/>
        <v>0</v>
      </c>
      <c r="AG240" t="b">
        <f t="shared" si="387"/>
        <v>0</v>
      </c>
      <c r="AH240" t="b">
        <f t="shared" si="388"/>
        <v>0</v>
      </c>
      <c r="AI240" t="b">
        <f t="shared" si="389"/>
        <v>0</v>
      </c>
      <c r="AJ240" t="b">
        <f t="shared" si="390"/>
        <v>0</v>
      </c>
      <c r="AK240" t="b">
        <f t="shared" si="391"/>
        <v>0</v>
      </c>
      <c r="AL240" t="b">
        <f t="shared" si="392"/>
        <v>0</v>
      </c>
      <c r="AM240" t="b">
        <f t="shared" si="393"/>
        <v>0</v>
      </c>
      <c r="AN240" t="b">
        <f t="shared" si="394"/>
        <v>0</v>
      </c>
      <c r="AO240" t="b">
        <f t="shared" si="395"/>
        <v>0</v>
      </c>
      <c r="AP240" t="b">
        <f t="shared" si="396"/>
        <v>0</v>
      </c>
      <c r="AQ240" t="b">
        <f t="shared" si="397"/>
        <v>0</v>
      </c>
      <c r="AR240" t="b">
        <f t="shared" si="398"/>
        <v>0</v>
      </c>
      <c r="AS240" t="b">
        <f t="shared" si="399"/>
        <v>0</v>
      </c>
      <c r="AT240" t="b">
        <f t="shared" si="400"/>
        <v>0</v>
      </c>
      <c r="AU240" t="b">
        <f t="shared" si="401"/>
        <v>0</v>
      </c>
      <c r="AV240" t="b">
        <f t="shared" si="402"/>
        <v>0</v>
      </c>
      <c r="AW240" t="b">
        <f t="shared" si="403"/>
        <v>0</v>
      </c>
      <c r="AX240" t="b">
        <f t="shared" si="405"/>
        <v>0</v>
      </c>
      <c r="AY240" t="b">
        <f t="shared" si="406"/>
        <v>0</v>
      </c>
      <c r="AZ240" t="b">
        <f t="shared" si="407"/>
        <v>0</v>
      </c>
      <c r="BA240" t="b">
        <f t="shared" si="408"/>
        <v>0</v>
      </c>
      <c r="BB240" t="b">
        <f t="shared" si="409"/>
        <v>0</v>
      </c>
      <c r="BC240" t="b">
        <f t="shared" si="410"/>
        <v>0</v>
      </c>
      <c r="BD240" t="b">
        <f t="shared" si="411"/>
        <v>0</v>
      </c>
      <c r="BE240" t="b">
        <f t="shared" si="412"/>
        <v>0</v>
      </c>
      <c r="BF240" t="b">
        <f t="shared" si="413"/>
        <v>0</v>
      </c>
      <c r="BG240" t="b">
        <f t="shared" si="414"/>
        <v>0</v>
      </c>
      <c r="BH240" t="b">
        <f t="shared" si="415"/>
        <v>0</v>
      </c>
      <c r="BI240">
        <f t="shared" si="416"/>
        <v>1</v>
      </c>
      <c r="BJ240" t="b">
        <f t="shared" si="417"/>
        <v>0</v>
      </c>
      <c r="BK240" t="b">
        <f t="shared" si="418"/>
        <v>0</v>
      </c>
      <c r="BL240" t="b">
        <f t="shared" si="419"/>
        <v>0</v>
      </c>
      <c r="BM240" t="b">
        <f t="shared" si="420"/>
        <v>0</v>
      </c>
      <c r="BN240" t="b">
        <f t="shared" si="421"/>
        <v>0</v>
      </c>
      <c r="BO240" t="b">
        <f t="shared" si="422"/>
        <v>0</v>
      </c>
      <c r="BP240" t="b">
        <f t="shared" si="423"/>
        <v>0</v>
      </c>
      <c r="BQ240" t="b">
        <f t="shared" si="424"/>
        <v>0</v>
      </c>
      <c r="BR240" t="b">
        <f t="shared" si="425"/>
        <v>0</v>
      </c>
      <c r="BS240" t="b">
        <f t="shared" si="426"/>
        <v>0</v>
      </c>
      <c r="BT240" t="b">
        <f t="shared" si="427"/>
        <v>0</v>
      </c>
      <c r="BU240" t="b">
        <f t="shared" si="428"/>
        <v>0</v>
      </c>
      <c r="BV240" t="b">
        <f t="shared" si="429"/>
        <v>0</v>
      </c>
      <c r="BW240" t="b">
        <f t="shared" si="430"/>
        <v>0</v>
      </c>
      <c r="BX240" t="b">
        <f t="shared" si="431"/>
        <v>0</v>
      </c>
      <c r="BY240" t="b">
        <f t="shared" si="432"/>
        <v>0</v>
      </c>
      <c r="BZ240" t="b">
        <f t="shared" si="433"/>
        <v>0</v>
      </c>
      <c r="CA240" t="b">
        <f t="shared" si="434"/>
        <v>0</v>
      </c>
      <c r="CB240" t="b">
        <f t="shared" si="435"/>
        <v>0</v>
      </c>
      <c r="CC240" t="b">
        <f t="shared" si="436"/>
        <v>0</v>
      </c>
      <c r="CD240" t="b">
        <f t="shared" si="437"/>
        <v>0</v>
      </c>
      <c r="CE240" t="b">
        <f t="shared" si="438"/>
        <v>0</v>
      </c>
      <c r="CF240" t="b">
        <f t="shared" si="439"/>
        <v>0</v>
      </c>
      <c r="CG240" t="b">
        <f t="shared" si="440"/>
        <v>0</v>
      </c>
      <c r="CH240" t="b">
        <f t="shared" si="441"/>
        <v>0</v>
      </c>
      <c r="CI240" t="b">
        <f t="shared" si="442"/>
        <v>0</v>
      </c>
      <c r="CJ240" t="b">
        <f t="shared" si="443"/>
        <v>0</v>
      </c>
      <c r="CK240" t="b">
        <f t="shared" si="444"/>
        <v>0</v>
      </c>
      <c r="CL240" t="b">
        <f t="shared" si="445"/>
        <v>0</v>
      </c>
      <c r="CM240" t="b">
        <f t="shared" si="446"/>
        <v>0</v>
      </c>
      <c r="CN240" t="b">
        <f t="shared" si="447"/>
        <v>0</v>
      </c>
      <c r="CO240" t="b">
        <f t="shared" si="448"/>
        <v>0</v>
      </c>
      <c r="CP240" t="b">
        <f t="shared" si="449"/>
        <v>0</v>
      </c>
      <c r="CQ240" t="b">
        <f t="shared" si="450"/>
        <v>0</v>
      </c>
      <c r="CR240" t="b">
        <f t="shared" si="451"/>
        <v>0</v>
      </c>
      <c r="CS240" t="b">
        <f t="shared" si="452"/>
        <v>0</v>
      </c>
      <c r="CT240" t="b">
        <f t="shared" si="453"/>
        <v>0</v>
      </c>
      <c r="CU240" t="b">
        <f t="shared" si="454"/>
        <v>0</v>
      </c>
      <c r="CV240">
        <f t="shared" si="455"/>
        <v>1</v>
      </c>
      <c r="CW240" t="b">
        <f t="shared" si="456"/>
        <v>0</v>
      </c>
      <c r="CX240" t="b">
        <f t="shared" si="457"/>
        <v>0</v>
      </c>
      <c r="CY240" t="b">
        <f t="shared" si="458"/>
        <v>0</v>
      </c>
      <c r="CZ240" t="b">
        <f t="shared" si="459"/>
        <v>0</v>
      </c>
      <c r="DA240" t="b">
        <f t="shared" si="460"/>
        <v>0</v>
      </c>
      <c r="DB240" t="b">
        <f t="shared" si="461"/>
        <v>0</v>
      </c>
      <c r="DC240" t="b">
        <f t="shared" si="462"/>
        <v>0</v>
      </c>
      <c r="DD240" t="b">
        <f t="shared" si="463"/>
        <v>0</v>
      </c>
      <c r="DE240" t="b">
        <f t="shared" si="464"/>
        <v>0</v>
      </c>
      <c r="DF240" t="b">
        <f t="shared" si="465"/>
        <v>0</v>
      </c>
      <c r="DG240" t="b">
        <f t="shared" si="466"/>
        <v>0</v>
      </c>
      <c r="DH240" t="b">
        <f t="shared" si="467"/>
        <v>0</v>
      </c>
      <c r="DI240" t="b">
        <f t="shared" si="468"/>
        <v>0</v>
      </c>
      <c r="DJ240" t="b">
        <f t="shared" si="469"/>
        <v>0</v>
      </c>
      <c r="DK240" t="b">
        <f t="shared" si="470"/>
        <v>0</v>
      </c>
      <c r="DL240" t="b">
        <f t="shared" si="471"/>
        <v>0</v>
      </c>
      <c r="DM240" t="b">
        <f t="shared" si="472"/>
        <v>0</v>
      </c>
      <c r="DN240" t="b">
        <f t="shared" si="473"/>
        <v>0</v>
      </c>
      <c r="DO240" t="b">
        <f t="shared" si="474"/>
        <v>0</v>
      </c>
      <c r="DP240" t="b">
        <f t="shared" si="475"/>
        <v>0</v>
      </c>
      <c r="DQ240" t="b">
        <f t="shared" si="476"/>
        <v>0</v>
      </c>
      <c r="DR240" t="b">
        <f t="shared" si="477"/>
        <v>0</v>
      </c>
      <c r="DS240" t="b">
        <f t="shared" si="478"/>
        <v>0</v>
      </c>
      <c r="DT240" t="b">
        <f t="shared" si="479"/>
        <v>0</v>
      </c>
      <c r="DU240" t="b">
        <f t="shared" si="480"/>
        <v>0</v>
      </c>
      <c r="DV240" t="b">
        <f t="shared" si="481"/>
        <v>0</v>
      </c>
      <c r="DW240" t="b">
        <f t="shared" si="482"/>
        <v>0</v>
      </c>
      <c r="DX240" t="b">
        <f t="shared" si="483"/>
        <v>0</v>
      </c>
      <c r="DY240" t="b">
        <f t="shared" si="484"/>
        <v>0</v>
      </c>
      <c r="DZ240" t="b">
        <f t="shared" si="485"/>
        <v>0</v>
      </c>
      <c r="EA240" t="b">
        <f t="shared" si="486"/>
        <v>0</v>
      </c>
      <c r="EB240" t="b">
        <f t="shared" si="487"/>
        <v>0</v>
      </c>
      <c r="EC240" t="b">
        <f t="shared" si="488"/>
        <v>0</v>
      </c>
      <c r="ED240" t="b">
        <f t="shared" si="489"/>
        <v>0</v>
      </c>
      <c r="EE240" t="b">
        <f t="shared" si="490"/>
        <v>0</v>
      </c>
      <c r="EF240" t="b">
        <f t="shared" si="491"/>
        <v>0</v>
      </c>
      <c r="EG240" t="b">
        <f t="shared" si="492"/>
        <v>0</v>
      </c>
      <c r="EH240" t="b">
        <f t="shared" si="493"/>
        <v>0</v>
      </c>
      <c r="EI240" t="b">
        <f t="shared" si="494"/>
        <v>0</v>
      </c>
      <c r="EJ240" t="b">
        <f t="shared" si="495"/>
        <v>0</v>
      </c>
      <c r="EK240" t="b">
        <f t="shared" si="496"/>
        <v>0</v>
      </c>
    </row>
    <row r="241" spans="1:141">
      <c r="A241" t="s">
        <v>1295</v>
      </c>
      <c r="B241" t="s">
        <v>1295</v>
      </c>
      <c r="C241" t="s">
        <v>1296</v>
      </c>
      <c r="D241" s="1">
        <v>43620</v>
      </c>
      <c r="E241" s="2">
        <v>43789.020474537036</v>
      </c>
      <c r="F241" s="2">
        <v>43823.548182870371</v>
      </c>
      <c r="G241">
        <v>1408078</v>
      </c>
      <c r="H241" t="s">
        <v>1297</v>
      </c>
      <c r="I241" s="10" t="s">
        <v>1298</v>
      </c>
      <c r="J241" t="s">
        <v>1299</v>
      </c>
      <c r="K241" s="8" t="b">
        <v>1</v>
      </c>
      <c r="L241" s="10" t="b">
        <v>0</v>
      </c>
      <c r="M241" s="12" t="b">
        <v>0</v>
      </c>
      <c r="N241" t="b">
        <v>0</v>
      </c>
      <c r="O241" t="b">
        <v>0</v>
      </c>
      <c r="P241" t="b">
        <v>0</v>
      </c>
      <c r="Q241">
        <f t="shared" si="373"/>
        <v>3</v>
      </c>
      <c r="R241">
        <f t="shared" si="374"/>
        <v>6</v>
      </c>
      <c r="S241" t="e">
        <f t="shared" ca="1" si="404"/>
        <v>#NAME?</v>
      </c>
      <c r="T241" t="e">
        <f t="shared" ca="1" si="375"/>
        <v>#NAME?</v>
      </c>
      <c r="U241" s="4">
        <f t="shared" si="376"/>
        <v>169.02047453703562</v>
      </c>
      <c r="V241" s="4">
        <f t="shared" si="377"/>
        <v>5.6340158179011874</v>
      </c>
      <c r="W241" s="4">
        <f t="shared" si="378"/>
        <v>1</v>
      </c>
      <c r="X241" s="4">
        <f t="shared" si="379"/>
        <v>0</v>
      </c>
      <c r="Y241" s="4">
        <f t="shared" si="380"/>
        <v>0</v>
      </c>
      <c r="Z241" s="4">
        <f t="shared" si="381"/>
        <v>0</v>
      </c>
      <c r="AA241" s="4">
        <f t="shared" si="382"/>
        <v>0</v>
      </c>
      <c r="AB241" s="4">
        <f t="shared" si="383"/>
        <v>0</v>
      </c>
      <c r="AC241" s="4"/>
      <c r="AD241" s="4" t="b">
        <f t="shared" si="384"/>
        <v>0</v>
      </c>
      <c r="AE241" s="4" t="b">
        <f t="shared" si="385"/>
        <v>0</v>
      </c>
      <c r="AF241" s="4" t="b">
        <f t="shared" si="386"/>
        <v>0</v>
      </c>
      <c r="AG241" t="b">
        <f t="shared" si="387"/>
        <v>0</v>
      </c>
      <c r="AH241" t="b">
        <f t="shared" si="388"/>
        <v>0</v>
      </c>
      <c r="AI241" t="b">
        <f t="shared" si="389"/>
        <v>0</v>
      </c>
      <c r="AJ241" t="b">
        <f t="shared" si="390"/>
        <v>0</v>
      </c>
      <c r="AK241" t="b">
        <f t="shared" si="391"/>
        <v>0</v>
      </c>
      <c r="AL241" t="b">
        <f t="shared" si="392"/>
        <v>0</v>
      </c>
      <c r="AM241" t="b">
        <f t="shared" si="393"/>
        <v>0</v>
      </c>
      <c r="AN241" t="b">
        <f t="shared" si="394"/>
        <v>0</v>
      </c>
      <c r="AO241" t="b">
        <f t="shared" si="395"/>
        <v>0</v>
      </c>
      <c r="AP241" t="b">
        <f t="shared" si="396"/>
        <v>0</v>
      </c>
      <c r="AQ241" t="b">
        <f t="shared" si="397"/>
        <v>0</v>
      </c>
      <c r="AR241" t="b">
        <f t="shared" si="398"/>
        <v>0</v>
      </c>
      <c r="AS241" t="b">
        <f t="shared" si="399"/>
        <v>0</v>
      </c>
      <c r="AT241" t="b">
        <f t="shared" si="400"/>
        <v>0</v>
      </c>
      <c r="AU241" t="b">
        <f t="shared" si="401"/>
        <v>0</v>
      </c>
      <c r="AV241" t="b">
        <f t="shared" si="402"/>
        <v>0</v>
      </c>
      <c r="AW241" t="b">
        <f t="shared" si="403"/>
        <v>0</v>
      </c>
      <c r="AX241" t="b">
        <f t="shared" si="405"/>
        <v>0</v>
      </c>
      <c r="AY241" t="b">
        <f t="shared" si="406"/>
        <v>0</v>
      </c>
      <c r="AZ241" t="b">
        <f t="shared" si="407"/>
        <v>0</v>
      </c>
      <c r="BA241" t="b">
        <f t="shared" si="408"/>
        <v>0</v>
      </c>
      <c r="BB241" t="b">
        <f t="shared" si="409"/>
        <v>0</v>
      </c>
      <c r="BC241" t="b">
        <f t="shared" si="410"/>
        <v>0</v>
      </c>
      <c r="BD241" t="b">
        <f t="shared" si="411"/>
        <v>0</v>
      </c>
      <c r="BE241" t="b">
        <f t="shared" si="412"/>
        <v>0</v>
      </c>
      <c r="BF241" t="b">
        <f t="shared" si="413"/>
        <v>0</v>
      </c>
      <c r="BG241" t="b">
        <f t="shared" si="414"/>
        <v>0</v>
      </c>
      <c r="BH241" t="b">
        <f t="shared" si="415"/>
        <v>0</v>
      </c>
      <c r="BI241">
        <f t="shared" si="416"/>
        <v>1</v>
      </c>
      <c r="BJ241" t="b">
        <f t="shared" si="417"/>
        <v>0</v>
      </c>
      <c r="BK241" t="b">
        <f t="shared" si="418"/>
        <v>0</v>
      </c>
      <c r="BL241" t="b">
        <f t="shared" si="419"/>
        <v>0</v>
      </c>
      <c r="BM241" t="b">
        <f t="shared" si="420"/>
        <v>0</v>
      </c>
      <c r="BN241" t="b">
        <f t="shared" si="421"/>
        <v>0</v>
      </c>
      <c r="BO241" t="b">
        <f t="shared" si="422"/>
        <v>0</v>
      </c>
      <c r="BP241" t="b">
        <f t="shared" si="423"/>
        <v>0</v>
      </c>
      <c r="BQ241" t="b">
        <f t="shared" si="424"/>
        <v>0</v>
      </c>
      <c r="BR241" t="b">
        <f t="shared" si="425"/>
        <v>0</v>
      </c>
      <c r="BS241" t="b">
        <f t="shared" si="426"/>
        <v>0</v>
      </c>
      <c r="BT241" t="b">
        <f t="shared" si="427"/>
        <v>0</v>
      </c>
      <c r="BU241" t="b">
        <f t="shared" si="428"/>
        <v>0</v>
      </c>
      <c r="BV241" t="b">
        <f t="shared" si="429"/>
        <v>0</v>
      </c>
      <c r="BW241" t="b">
        <f t="shared" si="430"/>
        <v>0</v>
      </c>
      <c r="BX241" t="b">
        <f t="shared" si="431"/>
        <v>0</v>
      </c>
      <c r="BY241" t="b">
        <f t="shared" si="432"/>
        <v>0</v>
      </c>
      <c r="BZ241" t="b">
        <f t="shared" si="433"/>
        <v>0</v>
      </c>
      <c r="CA241" t="b">
        <f t="shared" si="434"/>
        <v>0</v>
      </c>
      <c r="CB241" t="b">
        <f t="shared" si="435"/>
        <v>0</v>
      </c>
      <c r="CC241" t="b">
        <f t="shared" si="436"/>
        <v>0</v>
      </c>
      <c r="CD241" t="b">
        <f t="shared" si="437"/>
        <v>0</v>
      </c>
      <c r="CE241" t="b">
        <f t="shared" si="438"/>
        <v>0</v>
      </c>
      <c r="CF241" t="b">
        <f t="shared" si="439"/>
        <v>0</v>
      </c>
      <c r="CG241" t="b">
        <f t="shared" si="440"/>
        <v>0</v>
      </c>
      <c r="CH241" t="b">
        <f t="shared" si="441"/>
        <v>0</v>
      </c>
      <c r="CI241" t="b">
        <f t="shared" si="442"/>
        <v>0</v>
      </c>
      <c r="CJ241" t="b">
        <f t="shared" si="443"/>
        <v>0</v>
      </c>
      <c r="CK241" t="b">
        <f t="shared" si="444"/>
        <v>0</v>
      </c>
      <c r="CL241">
        <f t="shared" si="445"/>
        <v>1</v>
      </c>
      <c r="CM241" t="b">
        <f t="shared" si="446"/>
        <v>0</v>
      </c>
      <c r="CN241" t="b">
        <f t="shared" si="447"/>
        <v>0</v>
      </c>
      <c r="CO241" t="b">
        <f t="shared" si="448"/>
        <v>0</v>
      </c>
      <c r="CP241" t="b">
        <f t="shared" si="449"/>
        <v>0</v>
      </c>
      <c r="CQ241" t="b">
        <f t="shared" si="450"/>
        <v>0</v>
      </c>
      <c r="CR241" t="b">
        <f t="shared" si="451"/>
        <v>0</v>
      </c>
      <c r="CS241" t="b">
        <f t="shared" si="452"/>
        <v>0</v>
      </c>
      <c r="CT241" t="b">
        <f t="shared" si="453"/>
        <v>0</v>
      </c>
      <c r="CU241" t="b">
        <f t="shared" si="454"/>
        <v>0</v>
      </c>
      <c r="CV241">
        <f t="shared" si="455"/>
        <v>1</v>
      </c>
      <c r="CW241" t="b">
        <f t="shared" si="456"/>
        <v>0</v>
      </c>
      <c r="CX241" t="b">
        <f t="shared" si="457"/>
        <v>0</v>
      </c>
      <c r="CY241" t="b">
        <f t="shared" si="458"/>
        <v>0</v>
      </c>
      <c r="CZ241" t="b">
        <f t="shared" si="459"/>
        <v>0</v>
      </c>
      <c r="DA241" t="b">
        <f t="shared" si="460"/>
        <v>0</v>
      </c>
      <c r="DB241" t="b">
        <f t="shared" si="461"/>
        <v>0</v>
      </c>
      <c r="DC241" t="b">
        <f t="shared" si="462"/>
        <v>0</v>
      </c>
      <c r="DD241" t="b">
        <f t="shared" si="463"/>
        <v>0</v>
      </c>
      <c r="DE241" t="b">
        <f t="shared" si="464"/>
        <v>0</v>
      </c>
      <c r="DF241" t="b">
        <f t="shared" si="465"/>
        <v>0</v>
      </c>
      <c r="DG241" t="b">
        <f t="shared" si="466"/>
        <v>0</v>
      </c>
      <c r="DH241" t="b">
        <f t="shared" si="467"/>
        <v>0</v>
      </c>
      <c r="DI241" t="b">
        <f t="shared" si="468"/>
        <v>0</v>
      </c>
      <c r="DJ241" t="b">
        <f t="shared" si="469"/>
        <v>0</v>
      </c>
      <c r="DK241" t="b">
        <f t="shared" si="470"/>
        <v>0</v>
      </c>
      <c r="DL241" t="b">
        <f t="shared" si="471"/>
        <v>0</v>
      </c>
      <c r="DM241" t="b">
        <f t="shared" si="472"/>
        <v>0</v>
      </c>
      <c r="DN241" t="b">
        <f t="shared" si="473"/>
        <v>0</v>
      </c>
      <c r="DO241" t="b">
        <f t="shared" si="474"/>
        <v>0</v>
      </c>
      <c r="DP241" t="b">
        <f t="shared" si="475"/>
        <v>0</v>
      </c>
      <c r="DQ241" t="b">
        <f t="shared" si="476"/>
        <v>0</v>
      </c>
      <c r="DR241" t="b">
        <f t="shared" si="477"/>
        <v>0</v>
      </c>
      <c r="DS241" t="b">
        <f t="shared" si="478"/>
        <v>0</v>
      </c>
      <c r="DT241" t="b">
        <f t="shared" si="479"/>
        <v>0</v>
      </c>
      <c r="DU241" t="b">
        <f t="shared" si="480"/>
        <v>0</v>
      </c>
      <c r="DV241" t="b">
        <f t="shared" si="481"/>
        <v>0</v>
      </c>
      <c r="DW241" t="b">
        <f t="shared" si="482"/>
        <v>0</v>
      </c>
      <c r="DX241" t="b">
        <f t="shared" si="483"/>
        <v>0</v>
      </c>
      <c r="DY241" t="b">
        <f t="shared" si="484"/>
        <v>0</v>
      </c>
      <c r="DZ241" t="b">
        <f t="shared" si="485"/>
        <v>0</v>
      </c>
      <c r="EA241" t="b">
        <f t="shared" si="486"/>
        <v>0</v>
      </c>
      <c r="EB241" t="b">
        <f t="shared" si="487"/>
        <v>0</v>
      </c>
      <c r="EC241" t="b">
        <f t="shared" si="488"/>
        <v>0</v>
      </c>
      <c r="ED241" t="b">
        <f t="shared" si="489"/>
        <v>0</v>
      </c>
      <c r="EE241" t="b">
        <f t="shared" si="490"/>
        <v>0</v>
      </c>
      <c r="EF241" t="b">
        <f t="shared" si="491"/>
        <v>0</v>
      </c>
      <c r="EG241" t="b">
        <f t="shared" si="492"/>
        <v>0</v>
      </c>
      <c r="EH241" t="b">
        <f t="shared" si="493"/>
        <v>0</v>
      </c>
      <c r="EI241" t="b">
        <f t="shared" si="494"/>
        <v>0</v>
      </c>
      <c r="EJ241" t="b">
        <f t="shared" si="495"/>
        <v>0</v>
      </c>
      <c r="EK241" t="b">
        <f t="shared" si="496"/>
        <v>0</v>
      </c>
    </row>
    <row r="242" spans="1:141">
      <c r="A242" t="s">
        <v>1300</v>
      </c>
      <c r="B242" t="s">
        <v>1300</v>
      </c>
      <c r="C242" t="s">
        <v>1301</v>
      </c>
      <c r="D242" s="1">
        <v>40523</v>
      </c>
      <c r="E242" s="2">
        <v>41612</v>
      </c>
      <c r="F242" s="2">
        <v>41612</v>
      </c>
      <c r="G242">
        <v>1247574</v>
      </c>
      <c r="H242" t="s">
        <v>1302</v>
      </c>
      <c r="I242" s="10" t="s">
        <v>1303</v>
      </c>
      <c r="J242" t="s">
        <v>156</v>
      </c>
      <c r="K242" s="8" t="b">
        <v>1</v>
      </c>
      <c r="L242" s="10" t="b">
        <v>0</v>
      </c>
      <c r="M242" s="12" t="b">
        <v>0</v>
      </c>
      <c r="N242" t="b">
        <v>0</v>
      </c>
      <c r="O242" t="b">
        <v>0</v>
      </c>
      <c r="P242" t="b">
        <v>0</v>
      </c>
      <c r="Q242">
        <f t="shared" si="373"/>
        <v>7</v>
      </c>
      <c r="R242">
        <f t="shared" si="374"/>
        <v>12</v>
      </c>
      <c r="S242" t="e">
        <f t="shared" ca="1" si="404"/>
        <v>#NAME?</v>
      </c>
      <c r="T242" t="e">
        <f t="shared" ca="1" si="375"/>
        <v>#NAME?</v>
      </c>
      <c r="U242" s="4">
        <f t="shared" si="376"/>
        <v>1089</v>
      </c>
      <c r="V242" s="4">
        <f t="shared" si="377"/>
        <v>36.299999999999997</v>
      </c>
      <c r="W242" s="4">
        <f t="shared" si="378"/>
        <v>1</v>
      </c>
      <c r="X242" s="4">
        <f t="shared" si="379"/>
        <v>0</v>
      </c>
      <c r="Y242" s="4">
        <f t="shared" si="380"/>
        <v>0</v>
      </c>
      <c r="Z242" s="4">
        <f t="shared" si="381"/>
        <v>0</v>
      </c>
      <c r="AA242" s="4">
        <f t="shared" si="382"/>
        <v>0</v>
      </c>
      <c r="AB242" s="4">
        <f t="shared" si="383"/>
        <v>0</v>
      </c>
      <c r="AC242" s="4"/>
      <c r="AD242" s="4" t="b">
        <f t="shared" si="384"/>
        <v>0</v>
      </c>
      <c r="AE242" s="4" t="b">
        <f t="shared" si="385"/>
        <v>0</v>
      </c>
      <c r="AF242" s="4" t="b">
        <f t="shared" si="386"/>
        <v>0</v>
      </c>
      <c r="AG242" t="b">
        <f t="shared" si="387"/>
        <v>0</v>
      </c>
      <c r="AH242" t="b">
        <f t="shared" si="388"/>
        <v>0</v>
      </c>
      <c r="AI242" t="b">
        <f t="shared" si="389"/>
        <v>0</v>
      </c>
      <c r="AJ242" t="b">
        <f t="shared" si="390"/>
        <v>0</v>
      </c>
      <c r="AK242" t="b">
        <f t="shared" si="391"/>
        <v>0</v>
      </c>
      <c r="AL242" t="b">
        <f t="shared" si="392"/>
        <v>0</v>
      </c>
      <c r="AM242" t="b">
        <f t="shared" si="393"/>
        <v>0</v>
      </c>
      <c r="AN242" t="b">
        <f t="shared" si="394"/>
        <v>0</v>
      </c>
      <c r="AO242" t="b">
        <f t="shared" si="395"/>
        <v>0</v>
      </c>
      <c r="AP242" t="b">
        <f t="shared" si="396"/>
        <v>0</v>
      </c>
      <c r="AQ242" t="b">
        <f t="shared" si="397"/>
        <v>0</v>
      </c>
      <c r="AR242" t="b">
        <f t="shared" si="398"/>
        <v>0</v>
      </c>
      <c r="AS242" t="b">
        <f t="shared" si="399"/>
        <v>0</v>
      </c>
      <c r="AT242" t="b">
        <f t="shared" si="400"/>
        <v>0</v>
      </c>
      <c r="AU242" t="b">
        <f t="shared" si="401"/>
        <v>0</v>
      </c>
      <c r="AV242" t="b">
        <f t="shared" si="402"/>
        <v>0</v>
      </c>
      <c r="AW242" t="b">
        <f t="shared" si="403"/>
        <v>0</v>
      </c>
      <c r="AX242" t="b">
        <f t="shared" si="405"/>
        <v>0</v>
      </c>
      <c r="AY242" t="b">
        <f t="shared" si="406"/>
        <v>0</v>
      </c>
      <c r="AZ242" t="b">
        <f t="shared" si="407"/>
        <v>0</v>
      </c>
      <c r="BA242" t="b">
        <f t="shared" si="408"/>
        <v>0</v>
      </c>
      <c r="BB242" t="b">
        <f t="shared" si="409"/>
        <v>0</v>
      </c>
      <c r="BC242" t="b">
        <f t="shared" si="410"/>
        <v>0</v>
      </c>
      <c r="BD242" t="b">
        <f t="shared" si="411"/>
        <v>0</v>
      </c>
      <c r="BE242" t="b">
        <f t="shared" si="412"/>
        <v>0</v>
      </c>
      <c r="BF242" t="b">
        <f t="shared" si="413"/>
        <v>0</v>
      </c>
      <c r="BG242" t="b">
        <f t="shared" si="414"/>
        <v>0</v>
      </c>
      <c r="BH242" t="b">
        <f t="shared" si="415"/>
        <v>0</v>
      </c>
      <c r="BI242">
        <f t="shared" si="416"/>
        <v>1</v>
      </c>
      <c r="BJ242" t="b">
        <f t="shared" si="417"/>
        <v>0</v>
      </c>
      <c r="BK242" t="b">
        <f t="shared" si="418"/>
        <v>0</v>
      </c>
      <c r="BL242" t="b">
        <f t="shared" si="419"/>
        <v>0</v>
      </c>
      <c r="BM242" t="b">
        <f t="shared" si="420"/>
        <v>0</v>
      </c>
      <c r="BN242" t="b">
        <f t="shared" si="421"/>
        <v>0</v>
      </c>
      <c r="BO242" t="b">
        <f t="shared" si="422"/>
        <v>0</v>
      </c>
      <c r="BP242" t="b">
        <f t="shared" si="423"/>
        <v>0</v>
      </c>
      <c r="BQ242" t="b">
        <f t="shared" si="424"/>
        <v>0</v>
      </c>
      <c r="BR242" t="b">
        <f t="shared" si="425"/>
        <v>0</v>
      </c>
      <c r="BS242" t="b">
        <f t="shared" si="426"/>
        <v>0</v>
      </c>
      <c r="BT242" t="b">
        <f t="shared" si="427"/>
        <v>0</v>
      </c>
      <c r="BU242" t="b">
        <f t="shared" si="428"/>
        <v>0</v>
      </c>
      <c r="BV242" t="b">
        <f t="shared" si="429"/>
        <v>0</v>
      </c>
      <c r="BW242" t="b">
        <f t="shared" si="430"/>
        <v>0</v>
      </c>
      <c r="BX242" t="b">
        <f t="shared" si="431"/>
        <v>0</v>
      </c>
      <c r="BY242" t="b">
        <f t="shared" si="432"/>
        <v>0</v>
      </c>
      <c r="BZ242" t="b">
        <f t="shared" si="433"/>
        <v>0</v>
      </c>
      <c r="CA242" t="b">
        <f t="shared" si="434"/>
        <v>0</v>
      </c>
      <c r="CB242" t="b">
        <f t="shared" si="435"/>
        <v>0</v>
      </c>
      <c r="CC242" t="b">
        <f t="shared" si="436"/>
        <v>0</v>
      </c>
      <c r="CD242" t="b">
        <f t="shared" si="437"/>
        <v>0</v>
      </c>
      <c r="CE242" t="b">
        <f t="shared" si="438"/>
        <v>0</v>
      </c>
      <c r="CF242" t="b">
        <f t="shared" si="439"/>
        <v>0</v>
      </c>
      <c r="CG242" t="b">
        <f t="shared" si="440"/>
        <v>0</v>
      </c>
      <c r="CH242" t="b">
        <f t="shared" si="441"/>
        <v>0</v>
      </c>
      <c r="CI242" t="b">
        <f t="shared" si="442"/>
        <v>0</v>
      </c>
      <c r="CJ242" t="b">
        <f t="shared" si="443"/>
        <v>0</v>
      </c>
      <c r="CK242" t="b">
        <f t="shared" si="444"/>
        <v>0</v>
      </c>
      <c r="CL242" t="b">
        <f t="shared" si="445"/>
        <v>0</v>
      </c>
      <c r="CM242" t="b">
        <f t="shared" si="446"/>
        <v>0</v>
      </c>
      <c r="CN242" t="b">
        <f t="shared" si="447"/>
        <v>0</v>
      </c>
      <c r="CO242" t="b">
        <f t="shared" si="448"/>
        <v>0</v>
      </c>
      <c r="CP242" t="b">
        <f t="shared" si="449"/>
        <v>0</v>
      </c>
      <c r="CQ242" t="b">
        <f t="shared" si="450"/>
        <v>0</v>
      </c>
      <c r="CR242" t="b">
        <f t="shared" si="451"/>
        <v>0</v>
      </c>
      <c r="CS242" t="b">
        <f t="shared" si="452"/>
        <v>0</v>
      </c>
      <c r="CT242" t="b">
        <f t="shared" si="453"/>
        <v>0</v>
      </c>
      <c r="CU242" t="b">
        <f t="shared" si="454"/>
        <v>0</v>
      </c>
      <c r="CV242">
        <f t="shared" si="455"/>
        <v>1</v>
      </c>
      <c r="CW242" t="b">
        <f t="shared" si="456"/>
        <v>0</v>
      </c>
      <c r="CX242" t="b">
        <f t="shared" si="457"/>
        <v>0</v>
      </c>
      <c r="CY242" t="b">
        <f t="shared" si="458"/>
        <v>0</v>
      </c>
      <c r="CZ242" t="b">
        <f t="shared" si="459"/>
        <v>0</v>
      </c>
      <c r="DA242" t="b">
        <f t="shared" si="460"/>
        <v>0</v>
      </c>
      <c r="DB242" t="b">
        <f t="shared" si="461"/>
        <v>0</v>
      </c>
      <c r="DC242" t="b">
        <f t="shared" si="462"/>
        <v>0</v>
      </c>
      <c r="DD242" t="b">
        <f t="shared" si="463"/>
        <v>0</v>
      </c>
      <c r="DE242" t="b">
        <f t="shared" si="464"/>
        <v>0</v>
      </c>
      <c r="DF242" t="b">
        <f t="shared" si="465"/>
        <v>0</v>
      </c>
      <c r="DG242" t="b">
        <f t="shared" si="466"/>
        <v>0</v>
      </c>
      <c r="DH242" t="b">
        <f t="shared" si="467"/>
        <v>0</v>
      </c>
      <c r="DI242" t="b">
        <f t="shared" si="468"/>
        <v>0</v>
      </c>
      <c r="DJ242" t="b">
        <f t="shared" si="469"/>
        <v>0</v>
      </c>
      <c r="DK242" t="b">
        <f t="shared" si="470"/>
        <v>0</v>
      </c>
      <c r="DL242" t="b">
        <f t="shared" si="471"/>
        <v>0</v>
      </c>
      <c r="DM242" t="b">
        <f t="shared" si="472"/>
        <v>0</v>
      </c>
      <c r="DN242" t="b">
        <f t="shared" si="473"/>
        <v>0</v>
      </c>
      <c r="DO242" t="b">
        <f t="shared" si="474"/>
        <v>0</v>
      </c>
      <c r="DP242" t="b">
        <f t="shared" si="475"/>
        <v>0</v>
      </c>
      <c r="DQ242" t="b">
        <f t="shared" si="476"/>
        <v>0</v>
      </c>
      <c r="DR242" t="b">
        <f t="shared" si="477"/>
        <v>0</v>
      </c>
      <c r="DS242" t="b">
        <f t="shared" si="478"/>
        <v>0</v>
      </c>
      <c r="DT242" t="b">
        <f t="shared" si="479"/>
        <v>0</v>
      </c>
      <c r="DU242" t="b">
        <f t="shared" si="480"/>
        <v>0</v>
      </c>
      <c r="DV242" t="b">
        <f t="shared" si="481"/>
        <v>0</v>
      </c>
      <c r="DW242" t="b">
        <f t="shared" si="482"/>
        <v>0</v>
      </c>
      <c r="DX242" t="b">
        <f t="shared" si="483"/>
        <v>0</v>
      </c>
      <c r="DY242" t="b">
        <f t="shared" si="484"/>
        <v>0</v>
      </c>
      <c r="DZ242" t="b">
        <f t="shared" si="485"/>
        <v>0</v>
      </c>
      <c r="EA242" t="b">
        <f t="shared" si="486"/>
        <v>0</v>
      </c>
      <c r="EB242" t="b">
        <f t="shared" si="487"/>
        <v>0</v>
      </c>
      <c r="EC242" t="b">
        <f t="shared" si="488"/>
        <v>0</v>
      </c>
      <c r="ED242" t="b">
        <f t="shared" si="489"/>
        <v>0</v>
      </c>
      <c r="EE242" t="b">
        <f t="shared" si="490"/>
        <v>0</v>
      </c>
      <c r="EF242">
        <f t="shared" si="491"/>
        <v>1</v>
      </c>
      <c r="EG242" t="b">
        <f t="shared" si="492"/>
        <v>0</v>
      </c>
      <c r="EH242" t="b">
        <f t="shared" si="493"/>
        <v>0</v>
      </c>
      <c r="EI242" t="b">
        <f t="shared" si="494"/>
        <v>0</v>
      </c>
      <c r="EJ242" t="b">
        <f t="shared" si="495"/>
        <v>0</v>
      </c>
      <c r="EK242" t="b">
        <f t="shared" si="496"/>
        <v>0</v>
      </c>
    </row>
    <row r="243" spans="1:141">
      <c r="A243" t="s">
        <v>1304</v>
      </c>
      <c r="B243" t="s">
        <v>1305</v>
      </c>
      <c r="C243" t="s">
        <v>1306</v>
      </c>
      <c r="D243" s="1">
        <v>42859</v>
      </c>
      <c r="E243" s="2">
        <v>44243.265509259261</v>
      </c>
      <c r="F243" s="2">
        <v>44249.511620370373</v>
      </c>
      <c r="G243">
        <v>2481121</v>
      </c>
      <c r="H243" t="s">
        <v>1307</v>
      </c>
      <c r="I243" s="10" t="s">
        <v>1308</v>
      </c>
      <c r="J243" t="s">
        <v>1309</v>
      </c>
      <c r="K243" s="8" t="b">
        <v>1</v>
      </c>
      <c r="L243" s="10" t="b">
        <v>0</v>
      </c>
      <c r="M243" s="12" t="b">
        <v>0</v>
      </c>
      <c r="N243" t="b">
        <v>0</v>
      </c>
      <c r="O243" t="b">
        <v>0</v>
      </c>
      <c r="P243" t="b">
        <v>0</v>
      </c>
      <c r="Q243">
        <f t="shared" si="373"/>
        <v>5</v>
      </c>
      <c r="R243">
        <f t="shared" si="374"/>
        <v>5</v>
      </c>
      <c r="S243" t="e">
        <f t="shared" ca="1" si="404"/>
        <v>#NAME?</v>
      </c>
      <c r="T243" t="e">
        <f t="shared" ca="1" si="375"/>
        <v>#NAME?</v>
      </c>
      <c r="U243" s="4">
        <f t="shared" si="376"/>
        <v>1384.2655092592613</v>
      </c>
      <c r="V243" s="4">
        <f t="shared" si="377"/>
        <v>46.142183641975379</v>
      </c>
      <c r="W243" s="4">
        <f t="shared" si="378"/>
        <v>1</v>
      </c>
      <c r="X243" s="4">
        <f t="shared" si="379"/>
        <v>0</v>
      </c>
      <c r="Y243" s="4">
        <f t="shared" si="380"/>
        <v>0</v>
      </c>
      <c r="Z243" s="4">
        <f t="shared" si="381"/>
        <v>0</v>
      </c>
      <c r="AA243" s="4">
        <f t="shared" si="382"/>
        <v>0</v>
      </c>
      <c r="AB243" s="4">
        <f t="shared" si="383"/>
        <v>0</v>
      </c>
      <c r="AC243" s="4"/>
      <c r="AD243" s="4" t="b">
        <f t="shared" si="384"/>
        <v>0</v>
      </c>
      <c r="AE243" s="4" t="b">
        <f t="shared" si="385"/>
        <v>0</v>
      </c>
      <c r="AF243" s="4" t="b">
        <f t="shared" si="386"/>
        <v>0</v>
      </c>
      <c r="AG243" t="b">
        <f t="shared" si="387"/>
        <v>0</v>
      </c>
      <c r="AH243" t="b">
        <f t="shared" si="388"/>
        <v>0</v>
      </c>
      <c r="AI243" t="b">
        <f t="shared" si="389"/>
        <v>0</v>
      </c>
      <c r="AJ243" t="b">
        <f t="shared" si="390"/>
        <v>0</v>
      </c>
      <c r="AK243" t="b">
        <f t="shared" si="391"/>
        <v>0</v>
      </c>
      <c r="AL243" t="b">
        <f t="shared" si="392"/>
        <v>0</v>
      </c>
      <c r="AM243" t="b">
        <f t="shared" si="393"/>
        <v>0</v>
      </c>
      <c r="AN243" t="b">
        <f t="shared" si="394"/>
        <v>0</v>
      </c>
      <c r="AO243" t="b">
        <f t="shared" si="395"/>
        <v>0</v>
      </c>
      <c r="AP243" t="b">
        <f t="shared" si="396"/>
        <v>0</v>
      </c>
      <c r="AQ243" t="b">
        <f t="shared" si="397"/>
        <v>0</v>
      </c>
      <c r="AR243" t="b">
        <f t="shared" si="398"/>
        <v>0</v>
      </c>
      <c r="AS243" t="b">
        <f t="shared" si="399"/>
        <v>0</v>
      </c>
      <c r="AT243" t="b">
        <f t="shared" si="400"/>
        <v>0</v>
      </c>
      <c r="AU243" t="b">
        <f t="shared" si="401"/>
        <v>0</v>
      </c>
      <c r="AV243" t="b">
        <f t="shared" si="402"/>
        <v>0</v>
      </c>
      <c r="AW243" t="b">
        <f t="shared" si="403"/>
        <v>0</v>
      </c>
      <c r="AX243" t="b">
        <f t="shared" si="405"/>
        <v>0</v>
      </c>
      <c r="AY243" t="b">
        <f t="shared" si="406"/>
        <v>0</v>
      </c>
      <c r="AZ243" t="b">
        <f t="shared" si="407"/>
        <v>0</v>
      </c>
      <c r="BA243" t="b">
        <f t="shared" si="408"/>
        <v>0</v>
      </c>
      <c r="BB243" t="b">
        <f t="shared" si="409"/>
        <v>0</v>
      </c>
      <c r="BC243" t="b">
        <f t="shared" si="410"/>
        <v>0</v>
      </c>
      <c r="BD243" t="b">
        <f t="shared" si="411"/>
        <v>0</v>
      </c>
      <c r="BE243" t="b">
        <f t="shared" si="412"/>
        <v>0</v>
      </c>
      <c r="BF243" t="b">
        <f t="shared" si="413"/>
        <v>0</v>
      </c>
      <c r="BG243" t="b">
        <f t="shared" si="414"/>
        <v>0</v>
      </c>
      <c r="BH243" t="b">
        <f t="shared" si="415"/>
        <v>0</v>
      </c>
      <c r="BI243">
        <f t="shared" si="416"/>
        <v>1</v>
      </c>
      <c r="BJ243" t="b">
        <f t="shared" si="417"/>
        <v>0</v>
      </c>
      <c r="BK243" t="b">
        <f t="shared" si="418"/>
        <v>0</v>
      </c>
      <c r="BL243" t="b">
        <f t="shared" si="419"/>
        <v>0</v>
      </c>
      <c r="BM243" t="b">
        <f t="shared" si="420"/>
        <v>0</v>
      </c>
      <c r="BN243" t="b">
        <f t="shared" si="421"/>
        <v>0</v>
      </c>
      <c r="BO243" t="b">
        <f t="shared" si="422"/>
        <v>0</v>
      </c>
      <c r="BP243" t="b">
        <f t="shared" si="423"/>
        <v>0</v>
      </c>
      <c r="BQ243" t="b">
        <f t="shared" si="424"/>
        <v>0</v>
      </c>
      <c r="BR243" t="b">
        <f t="shared" si="425"/>
        <v>0</v>
      </c>
      <c r="BS243" t="b">
        <f t="shared" si="426"/>
        <v>0</v>
      </c>
      <c r="BT243" t="b">
        <f t="shared" si="427"/>
        <v>0</v>
      </c>
      <c r="BU243" t="b">
        <f t="shared" si="428"/>
        <v>0</v>
      </c>
      <c r="BV243" t="b">
        <f t="shared" si="429"/>
        <v>0</v>
      </c>
      <c r="BW243" t="b">
        <f t="shared" si="430"/>
        <v>0</v>
      </c>
      <c r="BX243" t="b">
        <f t="shared" si="431"/>
        <v>0</v>
      </c>
      <c r="BY243" t="b">
        <f t="shared" si="432"/>
        <v>0</v>
      </c>
      <c r="BZ243" t="b">
        <f t="shared" si="433"/>
        <v>0</v>
      </c>
      <c r="CA243" t="b">
        <f t="shared" si="434"/>
        <v>0</v>
      </c>
      <c r="CB243" t="b">
        <f t="shared" si="435"/>
        <v>0</v>
      </c>
      <c r="CC243" t="b">
        <f t="shared" si="436"/>
        <v>0</v>
      </c>
      <c r="CD243" t="b">
        <f t="shared" si="437"/>
        <v>0</v>
      </c>
      <c r="CE243" t="b">
        <f t="shared" si="438"/>
        <v>0</v>
      </c>
      <c r="CF243" t="b">
        <f t="shared" si="439"/>
        <v>0</v>
      </c>
      <c r="CG243" t="b">
        <f t="shared" si="440"/>
        <v>0</v>
      </c>
      <c r="CH243" t="b">
        <f t="shared" si="441"/>
        <v>0</v>
      </c>
      <c r="CI243" t="b">
        <f t="shared" si="442"/>
        <v>0</v>
      </c>
      <c r="CJ243" t="b">
        <f t="shared" si="443"/>
        <v>0</v>
      </c>
      <c r="CK243" t="b">
        <f t="shared" si="444"/>
        <v>0</v>
      </c>
      <c r="CL243" t="b">
        <f t="shared" si="445"/>
        <v>0</v>
      </c>
      <c r="CM243">
        <f t="shared" si="446"/>
        <v>1</v>
      </c>
      <c r="CN243" t="b">
        <f t="shared" si="447"/>
        <v>0</v>
      </c>
      <c r="CO243" t="b">
        <f t="shared" si="448"/>
        <v>0</v>
      </c>
      <c r="CP243" t="b">
        <f t="shared" si="449"/>
        <v>0</v>
      </c>
      <c r="CQ243" t="b">
        <f t="shared" si="450"/>
        <v>0</v>
      </c>
      <c r="CR243" t="b">
        <f t="shared" si="451"/>
        <v>0</v>
      </c>
      <c r="CS243" t="b">
        <f t="shared" si="452"/>
        <v>0</v>
      </c>
      <c r="CT243" t="b">
        <f t="shared" si="453"/>
        <v>0</v>
      </c>
      <c r="CU243" t="b">
        <f t="shared" si="454"/>
        <v>0</v>
      </c>
      <c r="CV243">
        <f t="shared" si="455"/>
        <v>1</v>
      </c>
      <c r="CW243" t="b">
        <f t="shared" si="456"/>
        <v>0</v>
      </c>
      <c r="CX243" t="b">
        <f t="shared" si="457"/>
        <v>0</v>
      </c>
      <c r="CY243" t="b">
        <f t="shared" si="458"/>
        <v>0</v>
      </c>
      <c r="CZ243" t="b">
        <f t="shared" si="459"/>
        <v>0</v>
      </c>
      <c r="DA243" t="b">
        <f t="shared" si="460"/>
        <v>0</v>
      </c>
      <c r="DB243" t="b">
        <f t="shared" si="461"/>
        <v>0</v>
      </c>
      <c r="DC243" t="b">
        <f t="shared" si="462"/>
        <v>0</v>
      </c>
      <c r="DD243" t="b">
        <f t="shared" si="463"/>
        <v>0</v>
      </c>
      <c r="DE243" t="b">
        <f t="shared" si="464"/>
        <v>0</v>
      </c>
      <c r="DF243" t="b">
        <f t="shared" si="465"/>
        <v>0</v>
      </c>
      <c r="DG243" t="b">
        <f t="shared" si="466"/>
        <v>0</v>
      </c>
      <c r="DH243" t="b">
        <f t="shared" si="467"/>
        <v>0</v>
      </c>
      <c r="DI243" t="b">
        <f t="shared" si="468"/>
        <v>0</v>
      </c>
      <c r="DJ243" t="b">
        <f t="shared" si="469"/>
        <v>0</v>
      </c>
      <c r="DK243" t="b">
        <f t="shared" si="470"/>
        <v>0</v>
      </c>
      <c r="DL243" t="b">
        <f t="shared" si="471"/>
        <v>0</v>
      </c>
      <c r="DM243" t="b">
        <f t="shared" si="472"/>
        <v>0</v>
      </c>
      <c r="DN243" t="b">
        <f t="shared" si="473"/>
        <v>0</v>
      </c>
      <c r="DO243" t="b">
        <f t="shared" si="474"/>
        <v>0</v>
      </c>
      <c r="DP243" t="b">
        <f t="shared" si="475"/>
        <v>0</v>
      </c>
      <c r="DQ243" t="b">
        <f t="shared" si="476"/>
        <v>0</v>
      </c>
      <c r="DR243" t="b">
        <f t="shared" si="477"/>
        <v>0</v>
      </c>
      <c r="DS243" t="b">
        <f t="shared" si="478"/>
        <v>0</v>
      </c>
      <c r="DT243" t="b">
        <f t="shared" si="479"/>
        <v>0</v>
      </c>
      <c r="DU243" t="b">
        <f t="shared" si="480"/>
        <v>0</v>
      </c>
      <c r="DV243" t="b">
        <f t="shared" si="481"/>
        <v>0</v>
      </c>
      <c r="DW243" t="b">
        <f t="shared" si="482"/>
        <v>0</v>
      </c>
      <c r="DX243" t="b">
        <f t="shared" si="483"/>
        <v>0</v>
      </c>
      <c r="DY243">
        <f t="shared" si="484"/>
        <v>1</v>
      </c>
      <c r="DZ243" t="b">
        <f t="shared" si="485"/>
        <v>0</v>
      </c>
      <c r="EA243" t="b">
        <f t="shared" si="486"/>
        <v>0</v>
      </c>
      <c r="EB243" t="b">
        <f t="shared" si="487"/>
        <v>0</v>
      </c>
      <c r="EC243" t="b">
        <f t="shared" si="488"/>
        <v>0</v>
      </c>
      <c r="ED243" t="b">
        <f t="shared" si="489"/>
        <v>0</v>
      </c>
      <c r="EE243" t="b">
        <f t="shared" si="490"/>
        <v>0</v>
      </c>
      <c r="EF243" t="b">
        <f t="shared" si="491"/>
        <v>0</v>
      </c>
      <c r="EG243" t="b">
        <f t="shared" si="492"/>
        <v>0</v>
      </c>
      <c r="EH243" t="b">
        <f t="shared" si="493"/>
        <v>0</v>
      </c>
      <c r="EI243" t="b">
        <f t="shared" si="494"/>
        <v>0</v>
      </c>
      <c r="EJ243" t="b">
        <f t="shared" si="495"/>
        <v>0</v>
      </c>
      <c r="EK243" t="b">
        <f t="shared" si="496"/>
        <v>0</v>
      </c>
    </row>
    <row r="244" spans="1:141">
      <c r="A244" t="s">
        <v>1310</v>
      </c>
      <c r="B244" t="s">
        <v>1310</v>
      </c>
      <c r="C244" t="s">
        <v>1311</v>
      </c>
      <c r="D244" s="1">
        <v>42597</v>
      </c>
      <c r="E244" s="2">
        <v>42691.822500000002</v>
      </c>
      <c r="F244" s="2">
        <v>44626.223229166666</v>
      </c>
      <c r="G244">
        <v>1073164</v>
      </c>
      <c r="H244" t="s">
        <v>1312</v>
      </c>
      <c r="I244" s="10" t="s">
        <v>1313</v>
      </c>
      <c r="J244" t="s">
        <v>1314</v>
      </c>
      <c r="K244" s="8" t="b">
        <v>1</v>
      </c>
      <c r="L244" s="10" t="b">
        <v>0</v>
      </c>
      <c r="M244" s="12" t="b">
        <v>0</v>
      </c>
      <c r="N244" t="b">
        <v>0</v>
      </c>
      <c r="O244" t="b">
        <v>0</v>
      </c>
      <c r="P244" t="b">
        <v>0</v>
      </c>
      <c r="Q244">
        <f t="shared" si="373"/>
        <v>2</v>
      </c>
      <c r="R244">
        <f t="shared" si="374"/>
        <v>8</v>
      </c>
      <c r="S244" t="e">
        <f t="shared" ca="1" si="404"/>
        <v>#NAME?</v>
      </c>
      <c r="T244" t="e">
        <f t="shared" ca="1" si="375"/>
        <v>#NAME?</v>
      </c>
      <c r="U244" s="4">
        <f t="shared" si="376"/>
        <v>94.822500000002037</v>
      </c>
      <c r="V244" s="4">
        <f t="shared" si="377"/>
        <v>3.1607500000000681</v>
      </c>
      <c r="W244" s="4">
        <f t="shared" si="378"/>
        <v>1</v>
      </c>
      <c r="X244" s="4">
        <f t="shared" si="379"/>
        <v>0</v>
      </c>
      <c r="Y244" s="4">
        <f t="shared" si="380"/>
        <v>0</v>
      </c>
      <c r="Z244" s="4">
        <f t="shared" si="381"/>
        <v>0</v>
      </c>
      <c r="AA244" s="4">
        <f t="shared" si="382"/>
        <v>0</v>
      </c>
      <c r="AB244" s="4">
        <f t="shared" si="383"/>
        <v>0</v>
      </c>
      <c r="AC244" s="4"/>
      <c r="AD244" s="4" t="b">
        <f t="shared" si="384"/>
        <v>0</v>
      </c>
      <c r="AE244" s="4" t="b">
        <f t="shared" si="385"/>
        <v>0</v>
      </c>
      <c r="AF244" s="4" t="b">
        <f t="shared" si="386"/>
        <v>0</v>
      </c>
      <c r="AG244" t="b">
        <f t="shared" si="387"/>
        <v>0</v>
      </c>
      <c r="AH244" t="b">
        <f t="shared" si="388"/>
        <v>0</v>
      </c>
      <c r="AI244" t="b">
        <f t="shared" si="389"/>
        <v>0</v>
      </c>
      <c r="AJ244" t="b">
        <f t="shared" si="390"/>
        <v>0</v>
      </c>
      <c r="AK244" t="b">
        <f t="shared" si="391"/>
        <v>0</v>
      </c>
      <c r="AL244" t="b">
        <f t="shared" si="392"/>
        <v>0</v>
      </c>
      <c r="AM244" t="b">
        <f t="shared" si="393"/>
        <v>0</v>
      </c>
      <c r="AN244" t="b">
        <f t="shared" si="394"/>
        <v>0</v>
      </c>
      <c r="AO244" t="b">
        <f t="shared" si="395"/>
        <v>0</v>
      </c>
      <c r="AP244" t="b">
        <f t="shared" si="396"/>
        <v>0</v>
      </c>
      <c r="AQ244" t="b">
        <f t="shared" si="397"/>
        <v>0</v>
      </c>
      <c r="AR244" t="b">
        <f t="shared" si="398"/>
        <v>0</v>
      </c>
      <c r="AS244" t="b">
        <f t="shared" si="399"/>
        <v>0</v>
      </c>
      <c r="AT244" t="b">
        <f t="shared" si="400"/>
        <v>0</v>
      </c>
      <c r="AU244" t="b">
        <f t="shared" si="401"/>
        <v>0</v>
      </c>
      <c r="AV244" t="b">
        <f t="shared" si="402"/>
        <v>0</v>
      </c>
      <c r="AW244" t="b">
        <f t="shared" si="403"/>
        <v>0</v>
      </c>
      <c r="AX244" t="b">
        <f t="shared" si="405"/>
        <v>0</v>
      </c>
      <c r="AY244" t="b">
        <f t="shared" si="406"/>
        <v>0</v>
      </c>
      <c r="AZ244" t="b">
        <f t="shared" si="407"/>
        <v>0</v>
      </c>
      <c r="BA244" t="b">
        <f t="shared" si="408"/>
        <v>0</v>
      </c>
      <c r="BB244" t="b">
        <f t="shared" si="409"/>
        <v>0</v>
      </c>
      <c r="BC244" t="b">
        <f t="shared" si="410"/>
        <v>0</v>
      </c>
      <c r="BD244" t="b">
        <f t="shared" si="411"/>
        <v>0</v>
      </c>
      <c r="BE244" t="b">
        <f t="shared" si="412"/>
        <v>0</v>
      </c>
      <c r="BF244" t="b">
        <f t="shared" si="413"/>
        <v>0</v>
      </c>
      <c r="BG244" t="b">
        <f t="shared" si="414"/>
        <v>0</v>
      </c>
      <c r="BH244" t="b">
        <f t="shared" si="415"/>
        <v>0</v>
      </c>
      <c r="BI244">
        <f t="shared" si="416"/>
        <v>1</v>
      </c>
      <c r="BJ244" t="b">
        <f t="shared" si="417"/>
        <v>0</v>
      </c>
      <c r="BK244" t="b">
        <f t="shared" si="418"/>
        <v>0</v>
      </c>
      <c r="BL244" t="b">
        <f t="shared" si="419"/>
        <v>0</v>
      </c>
      <c r="BM244" t="b">
        <f t="shared" si="420"/>
        <v>0</v>
      </c>
      <c r="BN244" t="b">
        <f t="shared" si="421"/>
        <v>0</v>
      </c>
      <c r="BO244" t="b">
        <f t="shared" si="422"/>
        <v>0</v>
      </c>
      <c r="BP244" t="b">
        <f t="shared" si="423"/>
        <v>0</v>
      </c>
      <c r="BQ244" t="b">
        <f t="shared" si="424"/>
        <v>0</v>
      </c>
      <c r="BR244" t="b">
        <f t="shared" si="425"/>
        <v>0</v>
      </c>
      <c r="BS244">
        <f t="shared" si="426"/>
        <v>1</v>
      </c>
      <c r="BT244" t="b">
        <f t="shared" si="427"/>
        <v>0</v>
      </c>
      <c r="BU244" t="b">
        <f t="shared" si="428"/>
        <v>0</v>
      </c>
      <c r="BV244" t="b">
        <f t="shared" si="429"/>
        <v>0</v>
      </c>
      <c r="BW244" t="b">
        <f t="shared" si="430"/>
        <v>0</v>
      </c>
      <c r="BX244" t="b">
        <f t="shared" si="431"/>
        <v>0</v>
      </c>
      <c r="BY244" t="b">
        <f t="shared" si="432"/>
        <v>0</v>
      </c>
      <c r="BZ244" t="b">
        <f t="shared" si="433"/>
        <v>0</v>
      </c>
      <c r="CA244" t="b">
        <f t="shared" si="434"/>
        <v>0</v>
      </c>
      <c r="CB244" t="b">
        <f t="shared" si="435"/>
        <v>0</v>
      </c>
      <c r="CC244" t="b">
        <f t="shared" si="436"/>
        <v>0</v>
      </c>
      <c r="CD244" t="b">
        <f t="shared" si="437"/>
        <v>0</v>
      </c>
      <c r="CE244" t="b">
        <f t="shared" si="438"/>
        <v>0</v>
      </c>
      <c r="CF244" t="b">
        <f t="shared" si="439"/>
        <v>0</v>
      </c>
      <c r="CG244" t="b">
        <f t="shared" si="440"/>
        <v>0</v>
      </c>
      <c r="CH244" t="b">
        <f t="shared" si="441"/>
        <v>0</v>
      </c>
      <c r="CI244" t="b">
        <f t="shared" si="442"/>
        <v>0</v>
      </c>
      <c r="CJ244" t="b">
        <f t="shared" si="443"/>
        <v>0</v>
      </c>
      <c r="CK244" t="b">
        <f t="shared" si="444"/>
        <v>0</v>
      </c>
      <c r="CL244" t="b">
        <f t="shared" si="445"/>
        <v>0</v>
      </c>
      <c r="CM244">
        <f t="shared" si="446"/>
        <v>1</v>
      </c>
      <c r="CN244" t="b">
        <f t="shared" si="447"/>
        <v>0</v>
      </c>
      <c r="CO244" t="b">
        <f t="shared" si="448"/>
        <v>0</v>
      </c>
      <c r="CP244" t="b">
        <f t="shared" si="449"/>
        <v>0</v>
      </c>
      <c r="CQ244" t="b">
        <f t="shared" si="450"/>
        <v>0</v>
      </c>
      <c r="CR244" t="b">
        <f t="shared" si="451"/>
        <v>0</v>
      </c>
      <c r="CS244" t="b">
        <f t="shared" si="452"/>
        <v>0</v>
      </c>
      <c r="CT244" t="b">
        <f t="shared" si="453"/>
        <v>0</v>
      </c>
      <c r="CU244" t="b">
        <f t="shared" si="454"/>
        <v>0</v>
      </c>
      <c r="CV244" t="b">
        <f t="shared" si="455"/>
        <v>0</v>
      </c>
      <c r="CW244" t="b">
        <f t="shared" si="456"/>
        <v>0</v>
      </c>
      <c r="CX244" t="b">
        <f t="shared" si="457"/>
        <v>0</v>
      </c>
      <c r="CY244" t="b">
        <f t="shared" si="458"/>
        <v>0</v>
      </c>
      <c r="CZ244" t="b">
        <f t="shared" si="459"/>
        <v>0</v>
      </c>
      <c r="DA244" t="b">
        <f t="shared" si="460"/>
        <v>0</v>
      </c>
      <c r="DB244" t="b">
        <f t="shared" si="461"/>
        <v>0</v>
      </c>
      <c r="DC244" t="b">
        <f t="shared" si="462"/>
        <v>0</v>
      </c>
      <c r="DD244" t="b">
        <f t="shared" si="463"/>
        <v>0</v>
      </c>
      <c r="DE244" t="b">
        <f t="shared" si="464"/>
        <v>0</v>
      </c>
      <c r="DF244" t="b">
        <f t="shared" si="465"/>
        <v>0</v>
      </c>
      <c r="DG244" t="b">
        <f t="shared" si="466"/>
        <v>0</v>
      </c>
      <c r="DH244">
        <f t="shared" si="467"/>
        <v>1</v>
      </c>
      <c r="DI244" t="b">
        <f t="shared" si="468"/>
        <v>0</v>
      </c>
      <c r="DJ244" t="b">
        <f t="shared" si="469"/>
        <v>0</v>
      </c>
      <c r="DK244" t="b">
        <f t="shared" si="470"/>
        <v>0</v>
      </c>
      <c r="DL244" t="b">
        <f t="shared" si="471"/>
        <v>0</v>
      </c>
      <c r="DM244" t="b">
        <f t="shared" si="472"/>
        <v>0</v>
      </c>
      <c r="DN244" t="b">
        <f t="shared" si="473"/>
        <v>0</v>
      </c>
      <c r="DO244" t="b">
        <f t="shared" si="474"/>
        <v>0</v>
      </c>
      <c r="DP244" t="b">
        <f t="shared" si="475"/>
        <v>0</v>
      </c>
      <c r="DQ244" t="b">
        <f t="shared" si="476"/>
        <v>0</v>
      </c>
      <c r="DR244" t="b">
        <f t="shared" si="477"/>
        <v>0</v>
      </c>
      <c r="DS244" t="b">
        <f t="shared" si="478"/>
        <v>0</v>
      </c>
      <c r="DT244" t="b">
        <f t="shared" si="479"/>
        <v>0</v>
      </c>
      <c r="DU244" t="b">
        <f t="shared" si="480"/>
        <v>0</v>
      </c>
      <c r="DV244" t="b">
        <f t="shared" si="481"/>
        <v>0</v>
      </c>
      <c r="DW244" t="b">
        <f t="shared" si="482"/>
        <v>0</v>
      </c>
      <c r="DX244" t="b">
        <f t="shared" si="483"/>
        <v>0</v>
      </c>
      <c r="DY244" t="b">
        <f t="shared" si="484"/>
        <v>0</v>
      </c>
      <c r="DZ244" t="b">
        <f t="shared" si="485"/>
        <v>0</v>
      </c>
      <c r="EA244" t="b">
        <f t="shared" si="486"/>
        <v>0</v>
      </c>
      <c r="EB244" t="b">
        <f t="shared" si="487"/>
        <v>0</v>
      </c>
      <c r="EC244" t="b">
        <f t="shared" si="488"/>
        <v>0</v>
      </c>
      <c r="ED244" t="b">
        <f t="shared" si="489"/>
        <v>0</v>
      </c>
      <c r="EE244" t="b">
        <f t="shared" si="490"/>
        <v>0</v>
      </c>
      <c r="EF244">
        <f t="shared" si="491"/>
        <v>1</v>
      </c>
      <c r="EG244" t="b">
        <f t="shared" si="492"/>
        <v>0</v>
      </c>
      <c r="EH244" t="b">
        <f t="shared" si="493"/>
        <v>0</v>
      </c>
      <c r="EI244" t="b">
        <f t="shared" si="494"/>
        <v>0</v>
      </c>
      <c r="EJ244" t="b">
        <f t="shared" si="495"/>
        <v>0</v>
      </c>
      <c r="EK244">
        <f t="shared" si="496"/>
        <v>1</v>
      </c>
    </row>
    <row r="245" spans="1:141">
      <c r="A245" t="s">
        <v>1315</v>
      </c>
      <c r="B245" t="s">
        <v>1315</v>
      </c>
      <c r="C245" t="s">
        <v>1316</v>
      </c>
      <c r="D245" s="1">
        <v>44908</v>
      </c>
      <c r="E245" s="2">
        <v>44911.699803240743</v>
      </c>
      <c r="F245" s="2">
        <v>44911.699803240743</v>
      </c>
      <c r="G245">
        <v>5274214</v>
      </c>
      <c r="H245" t="s">
        <v>1317</v>
      </c>
      <c r="I245" s="10" t="s">
        <v>1318</v>
      </c>
      <c r="J245" t="s">
        <v>749</v>
      </c>
      <c r="K245" s="8" t="b">
        <v>1</v>
      </c>
      <c r="L245" s="10" t="b">
        <v>0</v>
      </c>
      <c r="M245" s="12" t="b">
        <v>0</v>
      </c>
      <c r="N245" t="b">
        <v>0</v>
      </c>
      <c r="O245" t="b">
        <v>0</v>
      </c>
      <c r="P245" t="b">
        <v>0</v>
      </c>
      <c r="Q245">
        <f t="shared" si="373"/>
        <v>3</v>
      </c>
      <c r="R245">
        <f t="shared" si="374"/>
        <v>12</v>
      </c>
      <c r="S245" t="e">
        <f t="shared" ca="1" si="404"/>
        <v>#NAME?</v>
      </c>
      <c r="T245" t="e">
        <f t="shared" ca="1" si="375"/>
        <v>#NAME?</v>
      </c>
      <c r="U245" s="4">
        <f t="shared" si="376"/>
        <v>3.6998032407427672</v>
      </c>
      <c r="V245" s="4">
        <f t="shared" si="377"/>
        <v>0.12332677469142557</v>
      </c>
      <c r="W245" s="4">
        <f t="shared" si="378"/>
        <v>1</v>
      </c>
      <c r="X245" s="4">
        <f t="shared" si="379"/>
        <v>0</v>
      </c>
      <c r="Y245" s="4">
        <f t="shared" si="380"/>
        <v>0</v>
      </c>
      <c r="Z245" s="4">
        <f t="shared" si="381"/>
        <v>0</v>
      </c>
      <c r="AA245" s="4">
        <f t="shared" si="382"/>
        <v>0</v>
      </c>
      <c r="AB245" s="4">
        <f t="shared" si="383"/>
        <v>0</v>
      </c>
      <c r="AC245" s="4"/>
      <c r="AD245" s="4" t="b">
        <f t="shared" si="384"/>
        <v>0</v>
      </c>
      <c r="AE245" s="4" t="b">
        <f t="shared" si="385"/>
        <v>0</v>
      </c>
      <c r="AF245" s="4" t="b">
        <f t="shared" si="386"/>
        <v>0</v>
      </c>
      <c r="AG245" t="b">
        <f t="shared" si="387"/>
        <v>0</v>
      </c>
      <c r="AH245" t="b">
        <f t="shared" si="388"/>
        <v>0</v>
      </c>
      <c r="AI245" t="b">
        <f t="shared" si="389"/>
        <v>0</v>
      </c>
      <c r="AJ245" t="b">
        <f t="shared" si="390"/>
        <v>0</v>
      </c>
      <c r="AK245" t="b">
        <f t="shared" si="391"/>
        <v>0</v>
      </c>
      <c r="AL245" t="b">
        <f t="shared" si="392"/>
        <v>0</v>
      </c>
      <c r="AM245" t="b">
        <f t="shared" si="393"/>
        <v>0</v>
      </c>
      <c r="AN245" t="b">
        <f t="shared" si="394"/>
        <v>0</v>
      </c>
      <c r="AO245" t="b">
        <f t="shared" si="395"/>
        <v>0</v>
      </c>
      <c r="AP245" t="b">
        <f t="shared" si="396"/>
        <v>0</v>
      </c>
      <c r="AQ245" t="b">
        <f t="shared" si="397"/>
        <v>0</v>
      </c>
      <c r="AR245" t="b">
        <f t="shared" si="398"/>
        <v>0</v>
      </c>
      <c r="AS245" t="b">
        <f t="shared" si="399"/>
        <v>0</v>
      </c>
      <c r="AT245" t="b">
        <f t="shared" si="400"/>
        <v>0</v>
      </c>
      <c r="AU245" t="b">
        <f t="shared" si="401"/>
        <v>0</v>
      </c>
      <c r="AV245" t="b">
        <f t="shared" si="402"/>
        <v>0</v>
      </c>
      <c r="AW245" t="b">
        <f t="shared" si="403"/>
        <v>0</v>
      </c>
      <c r="AX245" t="b">
        <f t="shared" si="405"/>
        <v>0</v>
      </c>
      <c r="AY245" t="b">
        <f t="shared" si="406"/>
        <v>0</v>
      </c>
      <c r="AZ245" t="b">
        <f t="shared" si="407"/>
        <v>0</v>
      </c>
      <c r="BA245" t="b">
        <f t="shared" si="408"/>
        <v>0</v>
      </c>
      <c r="BB245" t="b">
        <f t="shared" si="409"/>
        <v>0</v>
      </c>
      <c r="BC245" t="b">
        <f t="shared" si="410"/>
        <v>0</v>
      </c>
      <c r="BD245" t="b">
        <f t="shared" si="411"/>
        <v>0</v>
      </c>
      <c r="BE245" t="b">
        <f t="shared" si="412"/>
        <v>0</v>
      </c>
      <c r="BF245" t="b">
        <f t="shared" si="413"/>
        <v>0</v>
      </c>
      <c r="BG245" t="b">
        <f t="shared" si="414"/>
        <v>0</v>
      </c>
      <c r="BH245" t="b">
        <f t="shared" si="415"/>
        <v>0</v>
      </c>
      <c r="BI245">
        <f t="shared" si="416"/>
        <v>1</v>
      </c>
      <c r="BJ245" t="b">
        <f t="shared" si="417"/>
        <v>0</v>
      </c>
      <c r="BK245" t="b">
        <f t="shared" si="418"/>
        <v>0</v>
      </c>
      <c r="BL245" t="b">
        <f t="shared" si="419"/>
        <v>0</v>
      </c>
      <c r="BM245" t="b">
        <f t="shared" si="420"/>
        <v>0</v>
      </c>
      <c r="BN245" t="b">
        <f t="shared" si="421"/>
        <v>0</v>
      </c>
      <c r="BO245" t="b">
        <f t="shared" si="422"/>
        <v>0</v>
      </c>
      <c r="BP245" t="b">
        <f t="shared" si="423"/>
        <v>0</v>
      </c>
      <c r="BQ245" t="b">
        <f t="shared" si="424"/>
        <v>0</v>
      </c>
      <c r="BR245" t="b">
        <f t="shared" si="425"/>
        <v>0</v>
      </c>
      <c r="BS245" t="b">
        <f t="shared" si="426"/>
        <v>0</v>
      </c>
      <c r="BT245" t="b">
        <f t="shared" si="427"/>
        <v>0</v>
      </c>
      <c r="BU245" t="b">
        <f t="shared" si="428"/>
        <v>0</v>
      </c>
      <c r="BV245" t="b">
        <f t="shared" si="429"/>
        <v>0</v>
      </c>
      <c r="BW245" t="b">
        <f t="shared" si="430"/>
        <v>0</v>
      </c>
      <c r="BX245" t="b">
        <f t="shared" si="431"/>
        <v>0</v>
      </c>
      <c r="BY245" t="b">
        <f t="shared" si="432"/>
        <v>0</v>
      </c>
      <c r="BZ245" t="b">
        <f t="shared" si="433"/>
        <v>0</v>
      </c>
      <c r="CA245" t="b">
        <f t="shared" si="434"/>
        <v>0</v>
      </c>
      <c r="CB245" t="b">
        <f t="shared" si="435"/>
        <v>0</v>
      </c>
      <c r="CC245" t="b">
        <f t="shared" si="436"/>
        <v>0</v>
      </c>
      <c r="CD245" t="b">
        <f t="shared" si="437"/>
        <v>0</v>
      </c>
      <c r="CE245" t="b">
        <f t="shared" si="438"/>
        <v>0</v>
      </c>
      <c r="CF245" t="b">
        <f t="shared" si="439"/>
        <v>0</v>
      </c>
      <c r="CG245" t="b">
        <f t="shared" si="440"/>
        <v>0</v>
      </c>
      <c r="CH245" t="b">
        <f t="shared" si="441"/>
        <v>0</v>
      </c>
      <c r="CI245" t="b">
        <f t="shared" si="442"/>
        <v>0</v>
      </c>
      <c r="CJ245" t="b">
        <f t="shared" si="443"/>
        <v>0</v>
      </c>
      <c r="CK245" t="b">
        <f t="shared" si="444"/>
        <v>0</v>
      </c>
      <c r="CL245" t="b">
        <f t="shared" si="445"/>
        <v>0</v>
      </c>
      <c r="CM245" t="b">
        <f t="shared" si="446"/>
        <v>0</v>
      </c>
      <c r="CN245" t="b">
        <f t="shared" si="447"/>
        <v>0</v>
      </c>
      <c r="CO245" t="b">
        <f t="shared" si="448"/>
        <v>0</v>
      </c>
      <c r="CP245" t="b">
        <f t="shared" si="449"/>
        <v>0</v>
      </c>
      <c r="CQ245" t="b">
        <f t="shared" si="450"/>
        <v>0</v>
      </c>
      <c r="CR245" t="b">
        <f t="shared" si="451"/>
        <v>0</v>
      </c>
      <c r="CS245" t="b">
        <f t="shared" si="452"/>
        <v>0</v>
      </c>
      <c r="CT245">
        <f t="shared" si="453"/>
        <v>1</v>
      </c>
      <c r="CU245" t="b">
        <f t="shared" si="454"/>
        <v>0</v>
      </c>
      <c r="CV245" t="b">
        <f t="shared" si="455"/>
        <v>0</v>
      </c>
      <c r="CW245" t="b">
        <f t="shared" si="456"/>
        <v>0</v>
      </c>
      <c r="CX245" t="b">
        <f t="shared" si="457"/>
        <v>0</v>
      </c>
      <c r="CY245" t="b">
        <f t="shared" si="458"/>
        <v>0</v>
      </c>
      <c r="CZ245" t="b">
        <f t="shared" si="459"/>
        <v>0</v>
      </c>
      <c r="DA245" t="b">
        <f t="shared" si="460"/>
        <v>0</v>
      </c>
      <c r="DB245" t="b">
        <f t="shared" si="461"/>
        <v>0</v>
      </c>
      <c r="DC245" t="b">
        <f t="shared" si="462"/>
        <v>0</v>
      </c>
      <c r="DD245" t="b">
        <f t="shared" si="463"/>
        <v>0</v>
      </c>
      <c r="DE245" t="b">
        <f t="shared" si="464"/>
        <v>0</v>
      </c>
      <c r="DF245" t="b">
        <f t="shared" si="465"/>
        <v>0</v>
      </c>
      <c r="DG245" t="b">
        <f t="shared" si="466"/>
        <v>0</v>
      </c>
      <c r="DH245" t="b">
        <f t="shared" si="467"/>
        <v>0</v>
      </c>
      <c r="DI245" t="b">
        <f t="shared" si="468"/>
        <v>0</v>
      </c>
      <c r="DJ245" t="b">
        <f t="shared" si="469"/>
        <v>0</v>
      </c>
      <c r="DK245" t="b">
        <f t="shared" si="470"/>
        <v>0</v>
      </c>
      <c r="DL245" t="b">
        <f t="shared" si="471"/>
        <v>0</v>
      </c>
      <c r="DM245" t="b">
        <f t="shared" si="472"/>
        <v>0</v>
      </c>
      <c r="DN245" t="b">
        <f t="shared" si="473"/>
        <v>0</v>
      </c>
      <c r="DO245" t="b">
        <f t="shared" si="474"/>
        <v>0</v>
      </c>
      <c r="DP245" t="b">
        <f t="shared" si="475"/>
        <v>0</v>
      </c>
      <c r="DQ245" t="b">
        <f t="shared" si="476"/>
        <v>0</v>
      </c>
      <c r="DR245" t="b">
        <f t="shared" si="477"/>
        <v>0</v>
      </c>
      <c r="DS245" t="b">
        <f t="shared" si="478"/>
        <v>0</v>
      </c>
      <c r="DT245" t="b">
        <f t="shared" si="479"/>
        <v>0</v>
      </c>
      <c r="DU245" t="b">
        <f t="shared" si="480"/>
        <v>0</v>
      </c>
      <c r="DV245" t="b">
        <f t="shared" si="481"/>
        <v>0</v>
      </c>
      <c r="DW245" t="b">
        <f t="shared" si="482"/>
        <v>0</v>
      </c>
      <c r="DX245" t="b">
        <f t="shared" si="483"/>
        <v>0</v>
      </c>
      <c r="DY245" t="b">
        <f t="shared" si="484"/>
        <v>0</v>
      </c>
      <c r="DZ245" t="b">
        <f t="shared" si="485"/>
        <v>0</v>
      </c>
      <c r="EA245" t="b">
        <f t="shared" si="486"/>
        <v>0</v>
      </c>
      <c r="EB245" t="b">
        <f t="shared" si="487"/>
        <v>0</v>
      </c>
      <c r="EC245" t="b">
        <f t="shared" si="488"/>
        <v>0</v>
      </c>
      <c r="ED245" t="b">
        <f t="shared" si="489"/>
        <v>0</v>
      </c>
      <c r="EE245" t="b">
        <f t="shared" si="490"/>
        <v>0</v>
      </c>
      <c r="EF245" t="b">
        <f t="shared" si="491"/>
        <v>0</v>
      </c>
      <c r="EG245" t="b">
        <f t="shared" si="492"/>
        <v>0</v>
      </c>
      <c r="EH245" t="b">
        <f t="shared" si="493"/>
        <v>0</v>
      </c>
      <c r="EI245" t="b">
        <f t="shared" si="494"/>
        <v>0</v>
      </c>
      <c r="EJ245" t="b">
        <f t="shared" si="495"/>
        <v>0</v>
      </c>
      <c r="EK245" t="b">
        <f t="shared" si="496"/>
        <v>0</v>
      </c>
    </row>
    <row r="246" spans="1:141">
      <c r="A246" t="s">
        <v>1319</v>
      </c>
      <c r="B246" t="s">
        <v>1319</v>
      </c>
      <c r="C246" t="s">
        <v>1320</v>
      </c>
      <c r="D246" s="1">
        <v>44106</v>
      </c>
      <c r="E246" s="2">
        <v>44204.909270833334</v>
      </c>
      <c r="F246" s="2">
        <v>44206.031851851854</v>
      </c>
      <c r="G246">
        <v>1301460</v>
      </c>
      <c r="H246" t="s">
        <v>1321</v>
      </c>
      <c r="I246" s="10" t="s">
        <v>1322</v>
      </c>
      <c r="J246" t="s">
        <v>1323</v>
      </c>
      <c r="K246" s="8" t="b">
        <v>1</v>
      </c>
      <c r="L246" s="10" t="b">
        <v>0</v>
      </c>
      <c r="M246" s="12" t="b">
        <v>0</v>
      </c>
      <c r="N246" t="b">
        <v>0</v>
      </c>
      <c r="O246" t="b">
        <v>0</v>
      </c>
      <c r="P246" t="b">
        <v>0</v>
      </c>
      <c r="Q246">
        <f t="shared" si="373"/>
        <v>6</v>
      </c>
      <c r="R246">
        <f t="shared" si="374"/>
        <v>10</v>
      </c>
      <c r="S246" t="e">
        <f t="shared" ca="1" si="404"/>
        <v>#NAME?</v>
      </c>
      <c r="T246" t="e">
        <f t="shared" ca="1" si="375"/>
        <v>#NAME?</v>
      </c>
      <c r="U246" s="4">
        <f t="shared" si="376"/>
        <v>98.909270833333721</v>
      </c>
      <c r="V246" s="4">
        <f t="shared" si="377"/>
        <v>3.2969756944444573</v>
      </c>
      <c r="W246" s="4">
        <f t="shared" si="378"/>
        <v>1</v>
      </c>
      <c r="X246" s="4">
        <f t="shared" si="379"/>
        <v>0</v>
      </c>
      <c r="Y246" s="4">
        <f t="shared" si="380"/>
        <v>0</v>
      </c>
      <c r="Z246" s="4">
        <f t="shared" si="381"/>
        <v>0</v>
      </c>
      <c r="AA246" s="4">
        <f t="shared" si="382"/>
        <v>0</v>
      </c>
      <c r="AB246" s="4">
        <f t="shared" si="383"/>
        <v>0</v>
      </c>
      <c r="AC246" s="4"/>
      <c r="AD246" s="4" t="b">
        <f t="shared" si="384"/>
        <v>0</v>
      </c>
      <c r="AE246" s="4" t="b">
        <f t="shared" si="385"/>
        <v>0</v>
      </c>
      <c r="AF246" s="4" t="b">
        <f t="shared" si="386"/>
        <v>0</v>
      </c>
      <c r="AG246" t="b">
        <f t="shared" si="387"/>
        <v>0</v>
      </c>
      <c r="AH246" t="b">
        <f t="shared" si="388"/>
        <v>0</v>
      </c>
      <c r="AI246" t="b">
        <f t="shared" si="389"/>
        <v>0</v>
      </c>
      <c r="AJ246" t="b">
        <f t="shared" si="390"/>
        <v>0</v>
      </c>
      <c r="AK246" t="b">
        <f t="shared" si="391"/>
        <v>0</v>
      </c>
      <c r="AL246" t="b">
        <f t="shared" si="392"/>
        <v>0</v>
      </c>
      <c r="AM246" t="b">
        <f t="shared" si="393"/>
        <v>0</v>
      </c>
      <c r="AN246" t="b">
        <f t="shared" si="394"/>
        <v>0</v>
      </c>
      <c r="AO246" t="b">
        <f t="shared" si="395"/>
        <v>0</v>
      </c>
      <c r="AP246" t="b">
        <f t="shared" si="396"/>
        <v>0</v>
      </c>
      <c r="AQ246" t="b">
        <f t="shared" si="397"/>
        <v>0</v>
      </c>
      <c r="AR246" t="b">
        <f t="shared" si="398"/>
        <v>0</v>
      </c>
      <c r="AS246" t="b">
        <f t="shared" si="399"/>
        <v>0</v>
      </c>
      <c r="AT246" t="b">
        <f t="shared" si="400"/>
        <v>0</v>
      </c>
      <c r="AU246" t="b">
        <f t="shared" si="401"/>
        <v>0</v>
      </c>
      <c r="AV246" t="b">
        <f t="shared" si="402"/>
        <v>0</v>
      </c>
      <c r="AW246" t="b">
        <f t="shared" si="403"/>
        <v>0</v>
      </c>
      <c r="AX246" t="b">
        <f t="shared" si="405"/>
        <v>0</v>
      </c>
      <c r="AY246" t="b">
        <f t="shared" si="406"/>
        <v>0</v>
      </c>
      <c r="AZ246" t="b">
        <f t="shared" si="407"/>
        <v>0</v>
      </c>
      <c r="BA246" t="b">
        <f t="shared" si="408"/>
        <v>0</v>
      </c>
      <c r="BB246" t="b">
        <f t="shared" si="409"/>
        <v>0</v>
      </c>
      <c r="BC246" t="b">
        <f t="shared" si="410"/>
        <v>0</v>
      </c>
      <c r="BD246" t="b">
        <f t="shared" si="411"/>
        <v>0</v>
      </c>
      <c r="BE246" t="b">
        <f t="shared" si="412"/>
        <v>0</v>
      </c>
      <c r="BF246" t="b">
        <f t="shared" si="413"/>
        <v>0</v>
      </c>
      <c r="BG246" t="b">
        <f t="shared" si="414"/>
        <v>0</v>
      </c>
      <c r="BH246" t="b">
        <f t="shared" si="415"/>
        <v>0</v>
      </c>
      <c r="BI246">
        <f t="shared" si="416"/>
        <v>1</v>
      </c>
      <c r="BJ246" t="b">
        <f t="shared" si="417"/>
        <v>0</v>
      </c>
      <c r="BK246" t="b">
        <f t="shared" si="418"/>
        <v>0</v>
      </c>
      <c r="BL246" t="b">
        <f t="shared" si="419"/>
        <v>0</v>
      </c>
      <c r="BM246" t="b">
        <f t="shared" si="420"/>
        <v>0</v>
      </c>
      <c r="BN246" t="b">
        <f t="shared" si="421"/>
        <v>0</v>
      </c>
      <c r="BO246" t="b">
        <f t="shared" si="422"/>
        <v>0</v>
      </c>
      <c r="BP246" t="b">
        <f t="shared" si="423"/>
        <v>0</v>
      </c>
      <c r="BQ246" t="b">
        <f t="shared" si="424"/>
        <v>0</v>
      </c>
      <c r="BR246">
        <f t="shared" si="425"/>
        <v>1</v>
      </c>
      <c r="BS246" t="b">
        <f t="shared" si="426"/>
        <v>0</v>
      </c>
      <c r="BT246" t="b">
        <f t="shared" si="427"/>
        <v>0</v>
      </c>
      <c r="BU246" t="b">
        <f t="shared" si="428"/>
        <v>0</v>
      </c>
      <c r="BV246" t="b">
        <f t="shared" si="429"/>
        <v>0</v>
      </c>
      <c r="BW246" t="b">
        <f t="shared" si="430"/>
        <v>0</v>
      </c>
      <c r="BX246" t="b">
        <f t="shared" si="431"/>
        <v>0</v>
      </c>
      <c r="BY246" t="b">
        <f t="shared" si="432"/>
        <v>0</v>
      </c>
      <c r="BZ246" t="b">
        <f t="shared" si="433"/>
        <v>0</v>
      </c>
      <c r="CA246" t="b">
        <f t="shared" si="434"/>
        <v>0</v>
      </c>
      <c r="CB246" t="b">
        <f t="shared" si="435"/>
        <v>0</v>
      </c>
      <c r="CC246" t="b">
        <f t="shared" si="436"/>
        <v>0</v>
      </c>
      <c r="CD246" t="b">
        <f t="shared" si="437"/>
        <v>0</v>
      </c>
      <c r="CE246">
        <f t="shared" si="438"/>
        <v>1</v>
      </c>
      <c r="CF246" t="b">
        <f t="shared" si="439"/>
        <v>0</v>
      </c>
      <c r="CG246" t="b">
        <f t="shared" si="440"/>
        <v>0</v>
      </c>
      <c r="CH246" t="b">
        <f t="shared" si="441"/>
        <v>0</v>
      </c>
      <c r="CI246" t="b">
        <f t="shared" si="442"/>
        <v>0</v>
      </c>
      <c r="CJ246" t="b">
        <f t="shared" si="443"/>
        <v>0</v>
      </c>
      <c r="CK246" t="b">
        <f t="shared" si="444"/>
        <v>0</v>
      </c>
      <c r="CL246" t="b">
        <f t="shared" si="445"/>
        <v>0</v>
      </c>
      <c r="CM246">
        <f t="shared" si="446"/>
        <v>1</v>
      </c>
      <c r="CN246" t="b">
        <f t="shared" si="447"/>
        <v>0</v>
      </c>
      <c r="CO246" t="b">
        <f t="shared" si="448"/>
        <v>0</v>
      </c>
      <c r="CP246" t="b">
        <f t="shared" si="449"/>
        <v>0</v>
      </c>
      <c r="CQ246" t="b">
        <f t="shared" si="450"/>
        <v>0</v>
      </c>
      <c r="CR246" t="b">
        <f t="shared" si="451"/>
        <v>0</v>
      </c>
      <c r="CS246" t="b">
        <f t="shared" si="452"/>
        <v>0</v>
      </c>
      <c r="CT246" t="b">
        <f t="shared" si="453"/>
        <v>0</v>
      </c>
      <c r="CU246" t="b">
        <f t="shared" si="454"/>
        <v>0</v>
      </c>
      <c r="CV246">
        <f t="shared" si="455"/>
        <v>1</v>
      </c>
      <c r="CW246" t="b">
        <f t="shared" si="456"/>
        <v>0</v>
      </c>
      <c r="CX246" t="b">
        <f t="shared" si="457"/>
        <v>0</v>
      </c>
      <c r="CY246" t="b">
        <f t="shared" si="458"/>
        <v>0</v>
      </c>
      <c r="CZ246" t="b">
        <f t="shared" si="459"/>
        <v>0</v>
      </c>
      <c r="DA246" t="b">
        <f t="shared" si="460"/>
        <v>0</v>
      </c>
      <c r="DB246" t="b">
        <f t="shared" si="461"/>
        <v>0</v>
      </c>
      <c r="DC246" t="b">
        <f t="shared" si="462"/>
        <v>0</v>
      </c>
      <c r="DD246" t="b">
        <f t="shared" si="463"/>
        <v>0</v>
      </c>
      <c r="DE246" t="b">
        <f t="shared" si="464"/>
        <v>0</v>
      </c>
      <c r="DF246" t="b">
        <f t="shared" si="465"/>
        <v>0</v>
      </c>
      <c r="DG246" t="b">
        <f t="shared" si="466"/>
        <v>0</v>
      </c>
      <c r="DH246" t="b">
        <f t="shared" si="467"/>
        <v>0</v>
      </c>
      <c r="DI246" t="b">
        <f t="shared" si="468"/>
        <v>0</v>
      </c>
      <c r="DJ246" t="b">
        <f t="shared" si="469"/>
        <v>0</v>
      </c>
      <c r="DK246" t="b">
        <f t="shared" si="470"/>
        <v>0</v>
      </c>
      <c r="DL246" t="b">
        <f t="shared" si="471"/>
        <v>0</v>
      </c>
      <c r="DM246" t="b">
        <f t="shared" si="472"/>
        <v>0</v>
      </c>
      <c r="DN246" t="b">
        <f t="shared" si="473"/>
        <v>0</v>
      </c>
      <c r="DO246" t="b">
        <f t="shared" si="474"/>
        <v>0</v>
      </c>
      <c r="DP246" t="b">
        <f t="shared" si="475"/>
        <v>0</v>
      </c>
      <c r="DQ246" t="b">
        <f t="shared" si="476"/>
        <v>0</v>
      </c>
      <c r="DR246" t="b">
        <f t="shared" si="477"/>
        <v>0</v>
      </c>
      <c r="DS246" t="b">
        <f t="shared" si="478"/>
        <v>0</v>
      </c>
      <c r="DT246" t="b">
        <f t="shared" si="479"/>
        <v>0</v>
      </c>
      <c r="DU246" t="b">
        <f t="shared" si="480"/>
        <v>0</v>
      </c>
      <c r="DV246" t="b">
        <f t="shared" si="481"/>
        <v>0</v>
      </c>
      <c r="DW246" t="b">
        <f t="shared" si="482"/>
        <v>0</v>
      </c>
      <c r="DX246" t="b">
        <f t="shared" si="483"/>
        <v>0</v>
      </c>
      <c r="DY246">
        <f t="shared" si="484"/>
        <v>1</v>
      </c>
      <c r="DZ246" t="b">
        <f t="shared" si="485"/>
        <v>0</v>
      </c>
      <c r="EA246" t="b">
        <f t="shared" si="486"/>
        <v>0</v>
      </c>
      <c r="EB246" t="b">
        <f t="shared" si="487"/>
        <v>0</v>
      </c>
      <c r="EC246" t="b">
        <f t="shared" si="488"/>
        <v>0</v>
      </c>
      <c r="ED246" t="b">
        <f t="shared" si="489"/>
        <v>0</v>
      </c>
      <c r="EE246" t="b">
        <f t="shared" si="490"/>
        <v>0</v>
      </c>
      <c r="EF246" t="b">
        <f t="shared" si="491"/>
        <v>0</v>
      </c>
      <c r="EG246" t="b">
        <f t="shared" si="492"/>
        <v>0</v>
      </c>
      <c r="EH246" t="b">
        <f t="shared" si="493"/>
        <v>0</v>
      </c>
      <c r="EI246" t="b">
        <f t="shared" si="494"/>
        <v>0</v>
      </c>
      <c r="EJ246" t="b">
        <f t="shared" si="495"/>
        <v>0</v>
      </c>
      <c r="EK246" t="b">
        <f t="shared" si="496"/>
        <v>0</v>
      </c>
    </row>
    <row r="247" spans="1:141">
      <c r="A247" t="s">
        <v>1324</v>
      </c>
      <c r="B247" t="s">
        <v>1325</v>
      </c>
      <c r="C247" t="s">
        <v>1326</v>
      </c>
      <c r="D247" s="1">
        <v>44813</v>
      </c>
      <c r="E247" s="2">
        <v>44880.081446759257</v>
      </c>
      <c r="F247" s="2">
        <v>44906.517291666663</v>
      </c>
      <c r="G247">
        <v>79195</v>
      </c>
      <c r="H247" t="s">
        <v>1327</v>
      </c>
      <c r="I247" s="10" t="s">
        <v>1328</v>
      </c>
      <c r="J247" t="s">
        <v>1329</v>
      </c>
      <c r="K247" s="8" t="b">
        <v>1</v>
      </c>
      <c r="L247" s="10" t="b">
        <v>0</v>
      </c>
      <c r="M247" s="12" t="b">
        <v>1</v>
      </c>
      <c r="N247" t="b">
        <v>0</v>
      </c>
      <c r="O247" t="b">
        <v>0</v>
      </c>
      <c r="P247" t="b">
        <v>0</v>
      </c>
      <c r="Q247">
        <f t="shared" si="373"/>
        <v>6</v>
      </c>
      <c r="R247">
        <f t="shared" si="374"/>
        <v>9</v>
      </c>
      <c r="S247" t="e">
        <f t="shared" ca="1" si="404"/>
        <v>#NAME?</v>
      </c>
      <c r="T247" t="e">
        <f t="shared" ca="1" si="375"/>
        <v>#NAME?</v>
      </c>
      <c r="U247" s="4">
        <f t="shared" si="376"/>
        <v>67.081446759257233</v>
      </c>
      <c r="V247" s="4">
        <f t="shared" si="377"/>
        <v>2.2360482253085743</v>
      </c>
      <c r="W247" s="4">
        <f t="shared" si="378"/>
        <v>1</v>
      </c>
      <c r="X247" s="4">
        <f t="shared" si="379"/>
        <v>0</v>
      </c>
      <c r="Y247" s="4">
        <f t="shared" si="380"/>
        <v>1</v>
      </c>
      <c r="Z247" s="4">
        <f t="shared" si="381"/>
        <v>0</v>
      </c>
      <c r="AA247" s="4">
        <f t="shared" si="382"/>
        <v>0</v>
      </c>
      <c r="AB247" s="4">
        <f t="shared" si="383"/>
        <v>0</v>
      </c>
      <c r="AC247" s="4"/>
      <c r="AD247" s="4" t="b">
        <f t="shared" si="384"/>
        <v>0</v>
      </c>
      <c r="AE247" s="4" t="b">
        <f t="shared" si="385"/>
        <v>0</v>
      </c>
      <c r="AF247" s="4" t="b">
        <f t="shared" si="386"/>
        <v>0</v>
      </c>
      <c r="AG247" t="b">
        <f t="shared" si="387"/>
        <v>0</v>
      </c>
      <c r="AH247" t="b">
        <f t="shared" si="388"/>
        <v>0</v>
      </c>
      <c r="AI247" t="b">
        <f t="shared" si="389"/>
        <v>0</v>
      </c>
      <c r="AJ247" t="b">
        <f t="shared" si="390"/>
        <v>0</v>
      </c>
      <c r="AK247" t="b">
        <f t="shared" si="391"/>
        <v>0</v>
      </c>
      <c r="AL247" t="b">
        <f t="shared" si="392"/>
        <v>0</v>
      </c>
      <c r="AM247" t="b">
        <f t="shared" si="393"/>
        <v>0</v>
      </c>
      <c r="AN247" t="b">
        <f t="shared" si="394"/>
        <v>0</v>
      </c>
      <c r="AO247" t="b">
        <f t="shared" si="395"/>
        <v>0</v>
      </c>
      <c r="AP247" t="b">
        <f t="shared" si="396"/>
        <v>0</v>
      </c>
      <c r="AQ247" t="b">
        <f t="shared" si="397"/>
        <v>0</v>
      </c>
      <c r="AR247" t="b">
        <f t="shared" si="398"/>
        <v>0</v>
      </c>
      <c r="AS247" t="b">
        <f t="shared" si="399"/>
        <v>0</v>
      </c>
      <c r="AT247" t="b">
        <f t="shared" si="400"/>
        <v>0</v>
      </c>
      <c r="AU247" t="b">
        <f t="shared" si="401"/>
        <v>0</v>
      </c>
      <c r="AV247" t="b">
        <f t="shared" si="402"/>
        <v>0</v>
      </c>
      <c r="AW247" t="b">
        <f t="shared" si="403"/>
        <v>0</v>
      </c>
      <c r="AX247" t="b">
        <f t="shared" si="405"/>
        <v>0</v>
      </c>
      <c r="AY247" t="b">
        <f t="shared" si="406"/>
        <v>0</v>
      </c>
      <c r="AZ247" t="b">
        <f t="shared" si="407"/>
        <v>0</v>
      </c>
      <c r="BA247" t="b">
        <f t="shared" si="408"/>
        <v>0</v>
      </c>
      <c r="BB247" t="b">
        <f t="shared" si="409"/>
        <v>0</v>
      </c>
      <c r="BC247" t="b">
        <f t="shared" si="410"/>
        <v>0</v>
      </c>
      <c r="BD247" t="b">
        <f t="shared" si="411"/>
        <v>0</v>
      </c>
      <c r="BE247" t="b">
        <f t="shared" si="412"/>
        <v>0</v>
      </c>
      <c r="BF247" t="b">
        <f t="shared" si="413"/>
        <v>0</v>
      </c>
      <c r="BG247" t="b">
        <f t="shared" si="414"/>
        <v>0</v>
      </c>
      <c r="BH247" t="b">
        <f t="shared" si="415"/>
        <v>0</v>
      </c>
      <c r="BI247">
        <f t="shared" si="416"/>
        <v>1</v>
      </c>
      <c r="BJ247" t="b">
        <f t="shared" si="417"/>
        <v>0</v>
      </c>
      <c r="BK247" t="b">
        <f t="shared" si="418"/>
        <v>0</v>
      </c>
      <c r="BL247" t="b">
        <f t="shared" si="419"/>
        <v>0</v>
      </c>
      <c r="BM247" t="b">
        <f t="shared" si="420"/>
        <v>0</v>
      </c>
      <c r="BN247" t="b">
        <f t="shared" si="421"/>
        <v>0</v>
      </c>
      <c r="BO247" t="b">
        <f t="shared" si="422"/>
        <v>0</v>
      </c>
      <c r="BP247" t="b">
        <f t="shared" si="423"/>
        <v>0</v>
      </c>
      <c r="BQ247" t="b">
        <f t="shared" si="424"/>
        <v>0</v>
      </c>
      <c r="BR247" t="b">
        <f t="shared" si="425"/>
        <v>0</v>
      </c>
      <c r="BS247" t="b">
        <f t="shared" si="426"/>
        <v>0</v>
      </c>
      <c r="BT247" t="b">
        <f t="shared" si="427"/>
        <v>0</v>
      </c>
      <c r="BU247" t="b">
        <f t="shared" si="428"/>
        <v>0</v>
      </c>
      <c r="BV247" t="b">
        <f t="shared" si="429"/>
        <v>0</v>
      </c>
      <c r="BW247" t="b">
        <f t="shared" si="430"/>
        <v>0</v>
      </c>
      <c r="BX247" t="b">
        <f t="shared" si="431"/>
        <v>0</v>
      </c>
      <c r="BY247" t="b">
        <f t="shared" si="432"/>
        <v>0</v>
      </c>
      <c r="BZ247" t="b">
        <f t="shared" si="433"/>
        <v>0</v>
      </c>
      <c r="CA247" t="b">
        <f t="shared" si="434"/>
        <v>0</v>
      </c>
      <c r="CB247" t="b">
        <f t="shared" si="435"/>
        <v>0</v>
      </c>
      <c r="CC247" t="b">
        <f t="shared" si="436"/>
        <v>0</v>
      </c>
      <c r="CD247" t="b">
        <f t="shared" si="437"/>
        <v>0</v>
      </c>
      <c r="CE247">
        <f t="shared" si="438"/>
        <v>1</v>
      </c>
      <c r="CF247" t="b">
        <f t="shared" si="439"/>
        <v>0</v>
      </c>
      <c r="CG247" t="b">
        <f t="shared" si="440"/>
        <v>0</v>
      </c>
      <c r="CH247" t="b">
        <f t="shared" si="441"/>
        <v>0</v>
      </c>
      <c r="CI247" t="b">
        <f t="shared" si="442"/>
        <v>0</v>
      </c>
      <c r="CJ247" t="b">
        <f t="shared" si="443"/>
        <v>0</v>
      </c>
      <c r="CK247" t="b">
        <f t="shared" si="444"/>
        <v>0</v>
      </c>
      <c r="CL247" t="b">
        <f t="shared" si="445"/>
        <v>0</v>
      </c>
      <c r="CM247">
        <f t="shared" si="446"/>
        <v>1</v>
      </c>
      <c r="CN247" t="b">
        <f t="shared" si="447"/>
        <v>0</v>
      </c>
      <c r="CO247" t="b">
        <f t="shared" si="448"/>
        <v>0</v>
      </c>
      <c r="CP247" t="b">
        <f t="shared" si="449"/>
        <v>0</v>
      </c>
      <c r="CQ247" t="b">
        <f t="shared" si="450"/>
        <v>0</v>
      </c>
      <c r="CR247" t="b">
        <f t="shared" si="451"/>
        <v>0</v>
      </c>
      <c r="CS247" t="b">
        <f t="shared" si="452"/>
        <v>0</v>
      </c>
      <c r="CT247" t="b">
        <f t="shared" si="453"/>
        <v>0</v>
      </c>
      <c r="CU247" t="b">
        <f t="shared" si="454"/>
        <v>0</v>
      </c>
      <c r="CV247">
        <f t="shared" si="455"/>
        <v>1</v>
      </c>
      <c r="CW247" t="b">
        <f t="shared" si="456"/>
        <v>0</v>
      </c>
      <c r="CX247" t="b">
        <f t="shared" si="457"/>
        <v>0</v>
      </c>
      <c r="CY247" t="b">
        <f t="shared" si="458"/>
        <v>0</v>
      </c>
      <c r="CZ247" t="b">
        <f t="shared" si="459"/>
        <v>0</v>
      </c>
      <c r="DA247">
        <f t="shared" si="460"/>
        <v>1</v>
      </c>
      <c r="DB247">
        <f t="shared" si="461"/>
        <v>1</v>
      </c>
      <c r="DC247" t="b">
        <f t="shared" si="462"/>
        <v>0</v>
      </c>
      <c r="DD247" t="b">
        <f t="shared" si="463"/>
        <v>0</v>
      </c>
      <c r="DE247" t="b">
        <f t="shared" si="464"/>
        <v>0</v>
      </c>
      <c r="DF247" t="b">
        <f t="shared" si="465"/>
        <v>0</v>
      </c>
      <c r="DG247" t="b">
        <f t="shared" si="466"/>
        <v>0</v>
      </c>
      <c r="DH247" t="b">
        <f t="shared" si="467"/>
        <v>0</v>
      </c>
      <c r="DI247" t="b">
        <f t="shared" si="468"/>
        <v>0</v>
      </c>
      <c r="DJ247">
        <f t="shared" si="469"/>
        <v>1</v>
      </c>
      <c r="DK247" t="b">
        <f t="shared" si="470"/>
        <v>0</v>
      </c>
      <c r="DL247" t="b">
        <f t="shared" si="471"/>
        <v>0</v>
      </c>
      <c r="DM247" t="b">
        <f t="shared" si="472"/>
        <v>0</v>
      </c>
      <c r="DN247" t="b">
        <f t="shared" si="473"/>
        <v>0</v>
      </c>
      <c r="DO247" t="b">
        <f t="shared" si="474"/>
        <v>0</v>
      </c>
      <c r="DP247" t="b">
        <f t="shared" si="475"/>
        <v>0</v>
      </c>
      <c r="DQ247" t="b">
        <f t="shared" si="476"/>
        <v>0</v>
      </c>
      <c r="DR247" t="b">
        <f t="shared" si="477"/>
        <v>0</v>
      </c>
      <c r="DS247" t="b">
        <f t="shared" si="478"/>
        <v>0</v>
      </c>
      <c r="DT247" t="b">
        <f t="shared" si="479"/>
        <v>0</v>
      </c>
      <c r="DU247" t="b">
        <f t="shared" si="480"/>
        <v>0</v>
      </c>
      <c r="DV247" t="b">
        <f t="shared" si="481"/>
        <v>0</v>
      </c>
      <c r="DW247" t="b">
        <f t="shared" si="482"/>
        <v>0</v>
      </c>
      <c r="DX247" t="b">
        <f t="shared" si="483"/>
        <v>0</v>
      </c>
      <c r="DY247" t="b">
        <f t="shared" si="484"/>
        <v>0</v>
      </c>
      <c r="DZ247" t="b">
        <f t="shared" si="485"/>
        <v>0</v>
      </c>
      <c r="EA247" t="b">
        <f t="shared" si="486"/>
        <v>0</v>
      </c>
      <c r="EB247" t="b">
        <f t="shared" si="487"/>
        <v>0</v>
      </c>
      <c r="EC247" t="b">
        <f t="shared" si="488"/>
        <v>0</v>
      </c>
      <c r="ED247" t="b">
        <f t="shared" si="489"/>
        <v>0</v>
      </c>
      <c r="EE247" t="b">
        <f t="shared" si="490"/>
        <v>0</v>
      </c>
      <c r="EF247" t="b">
        <f t="shared" si="491"/>
        <v>0</v>
      </c>
      <c r="EG247" t="b">
        <f t="shared" si="492"/>
        <v>0</v>
      </c>
      <c r="EH247" t="b">
        <f t="shared" si="493"/>
        <v>0</v>
      </c>
      <c r="EI247" t="b">
        <f t="shared" si="494"/>
        <v>0</v>
      </c>
      <c r="EJ247" t="b">
        <f t="shared" si="495"/>
        <v>0</v>
      </c>
      <c r="EK247" t="b">
        <f t="shared" si="496"/>
        <v>0</v>
      </c>
    </row>
    <row r="248" spans="1:141">
      <c r="A248" t="s">
        <v>1330</v>
      </c>
      <c r="B248" t="s">
        <v>1330</v>
      </c>
      <c r="C248" t="s">
        <v>1331</v>
      </c>
      <c r="D248" s="1">
        <v>42653</v>
      </c>
      <c r="E248" s="2">
        <v>42653.689282407409</v>
      </c>
      <c r="F248" s="2">
        <v>42653.689282407409</v>
      </c>
      <c r="G248">
        <v>22526334</v>
      </c>
      <c r="H248" t="s">
        <v>1332</v>
      </c>
      <c r="I248" s="10" t="s">
        <v>1333</v>
      </c>
      <c r="J248" t="s">
        <v>188</v>
      </c>
      <c r="K248" s="8" t="b">
        <v>0</v>
      </c>
      <c r="L248" s="10" t="b">
        <v>0</v>
      </c>
      <c r="M248" s="12" t="b">
        <v>0</v>
      </c>
      <c r="N248" t="b">
        <v>0</v>
      </c>
      <c r="O248" t="b">
        <v>0</v>
      </c>
      <c r="P248" t="b">
        <v>0</v>
      </c>
      <c r="Q248">
        <f t="shared" si="373"/>
        <v>2</v>
      </c>
      <c r="R248">
        <f t="shared" si="374"/>
        <v>10</v>
      </c>
      <c r="S248" t="e">
        <f t="shared" ca="1" si="404"/>
        <v>#NAME?</v>
      </c>
      <c r="T248" t="e">
        <f t="shared" ca="1" si="375"/>
        <v>#NAME?</v>
      </c>
      <c r="U248" s="4">
        <f t="shared" si="376"/>
        <v>0.68928240740933688</v>
      </c>
      <c r="V248" s="4">
        <f t="shared" si="377"/>
        <v>2.2976080246977896E-2</v>
      </c>
      <c r="W248" s="4">
        <f t="shared" si="378"/>
        <v>0</v>
      </c>
      <c r="X248" s="4">
        <f t="shared" si="379"/>
        <v>0</v>
      </c>
      <c r="Y248" s="4">
        <f t="shared" si="380"/>
        <v>0</v>
      </c>
      <c r="Z248" s="4">
        <f t="shared" si="381"/>
        <v>0</v>
      </c>
      <c r="AA248" s="4">
        <f t="shared" si="382"/>
        <v>0</v>
      </c>
      <c r="AB248" s="4">
        <f t="shared" si="383"/>
        <v>0</v>
      </c>
      <c r="AC248" s="4"/>
      <c r="AD248" s="4" t="b">
        <f t="shared" si="384"/>
        <v>0</v>
      </c>
      <c r="AE248" s="4" t="b">
        <f t="shared" si="385"/>
        <v>0</v>
      </c>
      <c r="AF248" s="4" t="b">
        <f t="shared" si="386"/>
        <v>0</v>
      </c>
      <c r="AG248" t="b">
        <f t="shared" si="387"/>
        <v>0</v>
      </c>
      <c r="AH248" t="b">
        <f t="shared" si="388"/>
        <v>0</v>
      </c>
      <c r="AI248" t="b">
        <f t="shared" si="389"/>
        <v>0</v>
      </c>
      <c r="AJ248" t="b">
        <f t="shared" si="390"/>
        <v>0</v>
      </c>
      <c r="AK248" t="b">
        <f t="shared" si="391"/>
        <v>0</v>
      </c>
      <c r="AL248" t="b">
        <f t="shared" si="392"/>
        <v>0</v>
      </c>
      <c r="AM248" t="b">
        <f t="shared" si="393"/>
        <v>0</v>
      </c>
      <c r="AN248" t="b">
        <f t="shared" si="394"/>
        <v>0</v>
      </c>
      <c r="AO248" t="b">
        <f t="shared" si="395"/>
        <v>0</v>
      </c>
      <c r="AP248" t="b">
        <f t="shared" si="396"/>
        <v>0</v>
      </c>
      <c r="AQ248" t="b">
        <f t="shared" si="397"/>
        <v>0</v>
      </c>
      <c r="AR248" t="b">
        <f t="shared" si="398"/>
        <v>0</v>
      </c>
      <c r="AS248" t="b">
        <f t="shared" si="399"/>
        <v>0</v>
      </c>
      <c r="AT248" t="b">
        <f t="shared" si="400"/>
        <v>0</v>
      </c>
      <c r="AU248" t="b">
        <f t="shared" si="401"/>
        <v>0</v>
      </c>
      <c r="AV248" t="b">
        <f t="shared" si="402"/>
        <v>0</v>
      </c>
      <c r="AW248" t="b">
        <f t="shared" si="403"/>
        <v>0</v>
      </c>
      <c r="AX248" t="b">
        <f t="shared" si="405"/>
        <v>0</v>
      </c>
      <c r="AY248" t="b">
        <f t="shared" si="406"/>
        <v>0</v>
      </c>
      <c r="AZ248" t="b">
        <f t="shared" si="407"/>
        <v>0</v>
      </c>
      <c r="BA248" t="b">
        <f t="shared" si="408"/>
        <v>0</v>
      </c>
      <c r="BB248" t="b">
        <f t="shared" si="409"/>
        <v>0</v>
      </c>
      <c r="BC248" t="b">
        <f t="shared" si="410"/>
        <v>0</v>
      </c>
      <c r="BD248" t="b">
        <f t="shared" si="411"/>
        <v>0</v>
      </c>
      <c r="BE248" t="b">
        <f t="shared" si="412"/>
        <v>0</v>
      </c>
      <c r="BF248" t="b">
        <f t="shared" si="413"/>
        <v>0</v>
      </c>
      <c r="BG248" t="b">
        <f t="shared" si="414"/>
        <v>0</v>
      </c>
      <c r="BH248" t="b">
        <f t="shared" si="415"/>
        <v>0</v>
      </c>
      <c r="BI248">
        <f t="shared" si="416"/>
        <v>1</v>
      </c>
      <c r="BJ248" t="b">
        <f t="shared" si="417"/>
        <v>0</v>
      </c>
      <c r="BK248" t="b">
        <f t="shared" si="418"/>
        <v>0</v>
      </c>
      <c r="BL248" t="b">
        <f t="shared" si="419"/>
        <v>0</v>
      </c>
      <c r="BM248" t="b">
        <f t="shared" si="420"/>
        <v>0</v>
      </c>
      <c r="BN248" t="b">
        <f t="shared" si="421"/>
        <v>0</v>
      </c>
      <c r="BO248" t="b">
        <f t="shared" si="422"/>
        <v>0</v>
      </c>
      <c r="BP248" t="b">
        <f t="shared" si="423"/>
        <v>0</v>
      </c>
      <c r="BQ248" t="b">
        <f t="shared" si="424"/>
        <v>0</v>
      </c>
      <c r="BR248" t="b">
        <f t="shared" si="425"/>
        <v>0</v>
      </c>
      <c r="BS248" t="b">
        <f t="shared" si="426"/>
        <v>0</v>
      </c>
      <c r="BT248" t="b">
        <f t="shared" si="427"/>
        <v>0</v>
      </c>
      <c r="BU248" t="b">
        <f t="shared" si="428"/>
        <v>0</v>
      </c>
      <c r="BV248" t="b">
        <f t="shared" si="429"/>
        <v>0</v>
      </c>
      <c r="BW248" t="b">
        <f t="shared" si="430"/>
        <v>0</v>
      </c>
      <c r="BX248" t="b">
        <f t="shared" si="431"/>
        <v>0</v>
      </c>
      <c r="BY248" t="b">
        <f t="shared" si="432"/>
        <v>0</v>
      </c>
      <c r="BZ248" t="b">
        <f t="shared" si="433"/>
        <v>0</v>
      </c>
      <c r="CA248" t="b">
        <f t="shared" si="434"/>
        <v>0</v>
      </c>
      <c r="CB248" t="b">
        <f t="shared" si="435"/>
        <v>0</v>
      </c>
      <c r="CC248" t="b">
        <f t="shared" si="436"/>
        <v>0</v>
      </c>
      <c r="CD248" t="b">
        <f t="shared" si="437"/>
        <v>0</v>
      </c>
      <c r="CE248">
        <f t="shared" si="438"/>
        <v>1</v>
      </c>
      <c r="CF248" t="b">
        <f t="shared" si="439"/>
        <v>0</v>
      </c>
      <c r="CG248" t="b">
        <f t="shared" si="440"/>
        <v>0</v>
      </c>
      <c r="CH248" t="b">
        <f t="shared" si="441"/>
        <v>0</v>
      </c>
      <c r="CI248" t="b">
        <f t="shared" si="442"/>
        <v>0</v>
      </c>
      <c r="CJ248" t="b">
        <f t="shared" si="443"/>
        <v>0</v>
      </c>
      <c r="CK248" t="b">
        <f t="shared" si="444"/>
        <v>0</v>
      </c>
      <c r="CL248" t="b">
        <f t="shared" si="445"/>
        <v>0</v>
      </c>
      <c r="CM248" t="b">
        <f t="shared" si="446"/>
        <v>0</v>
      </c>
      <c r="CN248" t="b">
        <f t="shared" si="447"/>
        <v>0</v>
      </c>
      <c r="CO248" t="b">
        <f t="shared" si="448"/>
        <v>0</v>
      </c>
      <c r="CP248" t="b">
        <f t="shared" si="449"/>
        <v>0</v>
      </c>
      <c r="CQ248" t="b">
        <f t="shared" si="450"/>
        <v>0</v>
      </c>
      <c r="CR248" t="b">
        <f t="shared" si="451"/>
        <v>0</v>
      </c>
      <c r="CS248" t="b">
        <f t="shared" si="452"/>
        <v>0</v>
      </c>
      <c r="CT248" t="b">
        <f t="shared" si="453"/>
        <v>0</v>
      </c>
      <c r="CU248" t="b">
        <f t="shared" si="454"/>
        <v>0</v>
      </c>
      <c r="CV248">
        <f t="shared" si="455"/>
        <v>1</v>
      </c>
      <c r="CW248" t="b">
        <f t="shared" si="456"/>
        <v>0</v>
      </c>
      <c r="CX248" t="b">
        <f t="shared" si="457"/>
        <v>0</v>
      </c>
      <c r="CY248" t="b">
        <f t="shared" si="458"/>
        <v>0</v>
      </c>
      <c r="CZ248" t="b">
        <f t="shared" si="459"/>
        <v>0</v>
      </c>
      <c r="DA248" t="b">
        <f t="shared" si="460"/>
        <v>0</v>
      </c>
      <c r="DB248" t="b">
        <f t="shared" si="461"/>
        <v>0</v>
      </c>
      <c r="DC248" t="b">
        <f t="shared" si="462"/>
        <v>0</v>
      </c>
      <c r="DD248" t="b">
        <f t="shared" si="463"/>
        <v>0</v>
      </c>
      <c r="DE248" t="b">
        <f t="shared" si="464"/>
        <v>0</v>
      </c>
      <c r="DF248" t="b">
        <f t="shared" si="465"/>
        <v>0</v>
      </c>
      <c r="DG248" t="b">
        <f t="shared" si="466"/>
        <v>0</v>
      </c>
      <c r="DH248" t="b">
        <f t="shared" si="467"/>
        <v>0</v>
      </c>
      <c r="DI248" t="b">
        <f t="shared" si="468"/>
        <v>0</v>
      </c>
      <c r="DJ248" t="b">
        <f t="shared" si="469"/>
        <v>0</v>
      </c>
      <c r="DK248" t="b">
        <f t="shared" si="470"/>
        <v>0</v>
      </c>
      <c r="DL248" t="b">
        <f t="shared" si="471"/>
        <v>0</v>
      </c>
      <c r="DM248" t="b">
        <f t="shared" si="472"/>
        <v>0</v>
      </c>
      <c r="DN248" t="b">
        <f t="shared" si="473"/>
        <v>0</v>
      </c>
      <c r="DO248" t="b">
        <f t="shared" si="474"/>
        <v>0</v>
      </c>
      <c r="DP248" t="b">
        <f t="shared" si="475"/>
        <v>0</v>
      </c>
      <c r="DQ248" t="b">
        <f t="shared" si="476"/>
        <v>0</v>
      </c>
      <c r="DR248" t="b">
        <f t="shared" si="477"/>
        <v>0</v>
      </c>
      <c r="DS248" t="b">
        <f t="shared" si="478"/>
        <v>0</v>
      </c>
      <c r="DT248" t="b">
        <f t="shared" si="479"/>
        <v>0</v>
      </c>
      <c r="DU248" t="b">
        <f t="shared" si="480"/>
        <v>0</v>
      </c>
      <c r="DV248" t="b">
        <f t="shared" si="481"/>
        <v>0</v>
      </c>
      <c r="DW248" t="b">
        <f t="shared" si="482"/>
        <v>0</v>
      </c>
      <c r="DX248" t="b">
        <f t="shared" si="483"/>
        <v>0</v>
      </c>
      <c r="DY248" t="b">
        <f t="shared" si="484"/>
        <v>0</v>
      </c>
      <c r="DZ248" t="b">
        <f t="shared" si="485"/>
        <v>0</v>
      </c>
      <c r="EA248" t="b">
        <f t="shared" si="486"/>
        <v>0</v>
      </c>
      <c r="EB248" t="b">
        <f t="shared" si="487"/>
        <v>0</v>
      </c>
      <c r="EC248" t="b">
        <f t="shared" si="488"/>
        <v>0</v>
      </c>
      <c r="ED248" t="b">
        <f t="shared" si="489"/>
        <v>0</v>
      </c>
      <c r="EE248" t="b">
        <f t="shared" si="490"/>
        <v>0</v>
      </c>
      <c r="EF248">
        <f t="shared" si="491"/>
        <v>1</v>
      </c>
      <c r="EG248" t="b">
        <f t="shared" si="492"/>
        <v>0</v>
      </c>
      <c r="EH248" t="b">
        <f t="shared" si="493"/>
        <v>0</v>
      </c>
      <c r="EI248" t="b">
        <f t="shared" si="494"/>
        <v>0</v>
      </c>
      <c r="EJ248" t="b">
        <f t="shared" si="495"/>
        <v>0</v>
      </c>
      <c r="EK248" t="b">
        <f t="shared" si="496"/>
        <v>0</v>
      </c>
    </row>
    <row r="249" spans="1:141">
      <c r="A249" t="s">
        <v>1334</v>
      </c>
      <c r="B249" t="s">
        <v>1334</v>
      </c>
      <c r="C249" t="s">
        <v>1335</v>
      </c>
      <c r="D249" s="1">
        <v>44784</v>
      </c>
      <c r="E249" s="2">
        <v>44873.316122685188</v>
      </c>
      <c r="F249" s="2">
        <v>44873.316122685188</v>
      </c>
      <c r="G249">
        <v>2376330</v>
      </c>
      <c r="H249" t="s">
        <v>1336</v>
      </c>
      <c r="I249" s="10" t="s">
        <v>1337</v>
      </c>
      <c r="J249" t="s">
        <v>188</v>
      </c>
      <c r="K249" s="8" t="b">
        <v>1</v>
      </c>
      <c r="L249" s="10" t="b">
        <v>0</v>
      </c>
      <c r="M249" s="12" t="b">
        <v>0</v>
      </c>
      <c r="N249" t="b">
        <v>0</v>
      </c>
      <c r="O249" t="b">
        <v>0</v>
      </c>
      <c r="P249" t="b">
        <v>0</v>
      </c>
      <c r="Q249">
        <f t="shared" si="373"/>
        <v>5</v>
      </c>
      <c r="R249">
        <f t="shared" si="374"/>
        <v>8</v>
      </c>
      <c r="S249" t="e">
        <f t="shared" ca="1" si="404"/>
        <v>#NAME?</v>
      </c>
      <c r="T249" t="e">
        <f t="shared" ca="1" si="375"/>
        <v>#NAME?</v>
      </c>
      <c r="U249" s="4">
        <f t="shared" si="376"/>
        <v>89.31612268518802</v>
      </c>
      <c r="V249" s="4">
        <f t="shared" si="377"/>
        <v>2.9772040895062672</v>
      </c>
      <c r="W249" s="4">
        <f t="shared" si="378"/>
        <v>1</v>
      </c>
      <c r="X249" s="4">
        <f t="shared" si="379"/>
        <v>0</v>
      </c>
      <c r="Y249" s="4">
        <f t="shared" si="380"/>
        <v>0</v>
      </c>
      <c r="Z249" s="4">
        <f t="shared" si="381"/>
        <v>0</v>
      </c>
      <c r="AA249" s="4">
        <f t="shared" si="382"/>
        <v>0</v>
      </c>
      <c r="AB249" s="4">
        <f t="shared" si="383"/>
        <v>0</v>
      </c>
      <c r="AC249" s="4"/>
      <c r="AD249" s="4" t="b">
        <f t="shared" si="384"/>
        <v>0</v>
      </c>
      <c r="AE249" s="4" t="b">
        <f t="shared" si="385"/>
        <v>0</v>
      </c>
      <c r="AF249" s="4" t="b">
        <f t="shared" si="386"/>
        <v>0</v>
      </c>
      <c r="AG249" t="b">
        <f t="shared" si="387"/>
        <v>0</v>
      </c>
      <c r="AH249" t="b">
        <f t="shared" si="388"/>
        <v>0</v>
      </c>
      <c r="AI249" t="b">
        <f t="shared" si="389"/>
        <v>0</v>
      </c>
      <c r="AJ249" t="b">
        <f t="shared" si="390"/>
        <v>0</v>
      </c>
      <c r="AK249" t="b">
        <f t="shared" si="391"/>
        <v>0</v>
      </c>
      <c r="AL249" t="b">
        <f t="shared" si="392"/>
        <v>0</v>
      </c>
      <c r="AM249" t="b">
        <f t="shared" si="393"/>
        <v>0</v>
      </c>
      <c r="AN249" t="b">
        <f t="shared" si="394"/>
        <v>0</v>
      </c>
      <c r="AO249" t="b">
        <f t="shared" si="395"/>
        <v>0</v>
      </c>
      <c r="AP249" t="b">
        <f t="shared" si="396"/>
        <v>0</v>
      </c>
      <c r="AQ249" t="b">
        <f t="shared" si="397"/>
        <v>0</v>
      </c>
      <c r="AR249" t="b">
        <f t="shared" si="398"/>
        <v>0</v>
      </c>
      <c r="AS249" t="b">
        <f t="shared" si="399"/>
        <v>0</v>
      </c>
      <c r="AT249" t="b">
        <f t="shared" si="400"/>
        <v>0</v>
      </c>
      <c r="AU249" t="b">
        <f t="shared" si="401"/>
        <v>0</v>
      </c>
      <c r="AV249" t="b">
        <f t="shared" si="402"/>
        <v>0</v>
      </c>
      <c r="AW249" t="b">
        <f t="shared" si="403"/>
        <v>0</v>
      </c>
      <c r="AX249" t="b">
        <f t="shared" si="405"/>
        <v>0</v>
      </c>
      <c r="AY249" t="b">
        <f t="shared" si="406"/>
        <v>0</v>
      </c>
      <c r="AZ249" t="b">
        <f t="shared" si="407"/>
        <v>0</v>
      </c>
      <c r="BA249" t="b">
        <f t="shared" si="408"/>
        <v>0</v>
      </c>
      <c r="BB249" t="b">
        <f t="shared" si="409"/>
        <v>0</v>
      </c>
      <c r="BC249" t="b">
        <f t="shared" si="410"/>
        <v>0</v>
      </c>
      <c r="BD249" t="b">
        <f t="shared" si="411"/>
        <v>0</v>
      </c>
      <c r="BE249" t="b">
        <f t="shared" si="412"/>
        <v>0</v>
      </c>
      <c r="BF249" t="b">
        <f t="shared" si="413"/>
        <v>0</v>
      </c>
      <c r="BG249" t="b">
        <f t="shared" si="414"/>
        <v>0</v>
      </c>
      <c r="BH249" t="b">
        <f t="shared" si="415"/>
        <v>0</v>
      </c>
      <c r="BI249">
        <f t="shared" si="416"/>
        <v>1</v>
      </c>
      <c r="BJ249" t="b">
        <f t="shared" si="417"/>
        <v>0</v>
      </c>
      <c r="BK249" t="b">
        <f t="shared" si="418"/>
        <v>0</v>
      </c>
      <c r="BL249" t="b">
        <f t="shared" si="419"/>
        <v>0</v>
      </c>
      <c r="BM249" t="b">
        <f t="shared" si="420"/>
        <v>0</v>
      </c>
      <c r="BN249" t="b">
        <f t="shared" si="421"/>
        <v>0</v>
      </c>
      <c r="BO249" t="b">
        <f t="shared" si="422"/>
        <v>0</v>
      </c>
      <c r="BP249" t="b">
        <f t="shared" si="423"/>
        <v>0</v>
      </c>
      <c r="BQ249" t="b">
        <f t="shared" si="424"/>
        <v>0</v>
      </c>
      <c r="BR249" t="b">
        <f t="shared" si="425"/>
        <v>0</v>
      </c>
      <c r="BS249" t="b">
        <f t="shared" si="426"/>
        <v>0</v>
      </c>
      <c r="BT249" t="b">
        <f t="shared" si="427"/>
        <v>0</v>
      </c>
      <c r="BU249" t="b">
        <f t="shared" si="428"/>
        <v>0</v>
      </c>
      <c r="BV249" t="b">
        <f t="shared" si="429"/>
        <v>0</v>
      </c>
      <c r="BW249" t="b">
        <f t="shared" si="430"/>
        <v>0</v>
      </c>
      <c r="BX249" t="b">
        <f t="shared" si="431"/>
        <v>0</v>
      </c>
      <c r="BY249" t="b">
        <f t="shared" si="432"/>
        <v>0</v>
      </c>
      <c r="BZ249" t="b">
        <f t="shared" si="433"/>
        <v>0</v>
      </c>
      <c r="CA249" t="b">
        <f t="shared" si="434"/>
        <v>0</v>
      </c>
      <c r="CB249" t="b">
        <f t="shared" si="435"/>
        <v>0</v>
      </c>
      <c r="CC249" t="b">
        <f t="shared" si="436"/>
        <v>0</v>
      </c>
      <c r="CD249" t="b">
        <f t="shared" si="437"/>
        <v>0</v>
      </c>
      <c r="CE249">
        <f t="shared" si="438"/>
        <v>1</v>
      </c>
      <c r="CF249" t="b">
        <f t="shared" si="439"/>
        <v>0</v>
      </c>
      <c r="CG249" t="b">
        <f t="shared" si="440"/>
        <v>0</v>
      </c>
      <c r="CH249" t="b">
        <f t="shared" si="441"/>
        <v>0</v>
      </c>
      <c r="CI249" t="b">
        <f t="shared" si="442"/>
        <v>0</v>
      </c>
      <c r="CJ249" t="b">
        <f t="shared" si="443"/>
        <v>0</v>
      </c>
      <c r="CK249" t="b">
        <f t="shared" si="444"/>
        <v>0</v>
      </c>
      <c r="CL249" t="b">
        <f t="shared" si="445"/>
        <v>0</v>
      </c>
      <c r="CM249" t="b">
        <f t="shared" si="446"/>
        <v>0</v>
      </c>
      <c r="CN249" t="b">
        <f t="shared" si="447"/>
        <v>0</v>
      </c>
      <c r="CO249" t="b">
        <f t="shared" si="448"/>
        <v>0</v>
      </c>
      <c r="CP249" t="b">
        <f t="shared" si="449"/>
        <v>0</v>
      </c>
      <c r="CQ249" t="b">
        <f t="shared" si="450"/>
        <v>0</v>
      </c>
      <c r="CR249" t="b">
        <f t="shared" si="451"/>
        <v>0</v>
      </c>
      <c r="CS249" t="b">
        <f t="shared" si="452"/>
        <v>0</v>
      </c>
      <c r="CT249" t="b">
        <f t="shared" si="453"/>
        <v>0</v>
      </c>
      <c r="CU249" t="b">
        <f t="shared" si="454"/>
        <v>0</v>
      </c>
      <c r="CV249">
        <f t="shared" si="455"/>
        <v>1</v>
      </c>
      <c r="CW249" t="b">
        <f t="shared" si="456"/>
        <v>0</v>
      </c>
      <c r="CX249" t="b">
        <f t="shared" si="457"/>
        <v>0</v>
      </c>
      <c r="CY249" t="b">
        <f t="shared" si="458"/>
        <v>0</v>
      </c>
      <c r="CZ249" t="b">
        <f t="shared" si="459"/>
        <v>0</v>
      </c>
      <c r="DA249" t="b">
        <f t="shared" si="460"/>
        <v>0</v>
      </c>
      <c r="DB249" t="b">
        <f t="shared" si="461"/>
        <v>0</v>
      </c>
      <c r="DC249" t="b">
        <f t="shared" si="462"/>
        <v>0</v>
      </c>
      <c r="DD249" t="b">
        <f t="shared" si="463"/>
        <v>0</v>
      </c>
      <c r="DE249" t="b">
        <f t="shared" si="464"/>
        <v>0</v>
      </c>
      <c r="DF249" t="b">
        <f t="shared" si="465"/>
        <v>0</v>
      </c>
      <c r="DG249" t="b">
        <f t="shared" si="466"/>
        <v>0</v>
      </c>
      <c r="DH249" t="b">
        <f t="shared" si="467"/>
        <v>0</v>
      </c>
      <c r="DI249" t="b">
        <f t="shared" si="468"/>
        <v>0</v>
      </c>
      <c r="DJ249" t="b">
        <f t="shared" si="469"/>
        <v>0</v>
      </c>
      <c r="DK249" t="b">
        <f t="shared" si="470"/>
        <v>0</v>
      </c>
      <c r="DL249" t="b">
        <f t="shared" si="471"/>
        <v>0</v>
      </c>
      <c r="DM249" t="b">
        <f t="shared" si="472"/>
        <v>0</v>
      </c>
      <c r="DN249" t="b">
        <f t="shared" si="473"/>
        <v>0</v>
      </c>
      <c r="DO249" t="b">
        <f t="shared" si="474"/>
        <v>0</v>
      </c>
      <c r="DP249" t="b">
        <f t="shared" si="475"/>
        <v>0</v>
      </c>
      <c r="DQ249" t="b">
        <f t="shared" si="476"/>
        <v>0</v>
      </c>
      <c r="DR249" t="b">
        <f t="shared" si="477"/>
        <v>0</v>
      </c>
      <c r="DS249" t="b">
        <f t="shared" si="478"/>
        <v>0</v>
      </c>
      <c r="DT249" t="b">
        <f t="shared" si="479"/>
        <v>0</v>
      </c>
      <c r="DU249" t="b">
        <f t="shared" si="480"/>
        <v>0</v>
      </c>
      <c r="DV249" t="b">
        <f t="shared" si="481"/>
        <v>0</v>
      </c>
      <c r="DW249" t="b">
        <f t="shared" si="482"/>
        <v>0</v>
      </c>
      <c r="DX249" t="b">
        <f t="shared" si="483"/>
        <v>0</v>
      </c>
      <c r="DY249" t="b">
        <f t="shared" si="484"/>
        <v>0</v>
      </c>
      <c r="DZ249" t="b">
        <f t="shared" si="485"/>
        <v>0</v>
      </c>
      <c r="EA249" t="b">
        <f t="shared" si="486"/>
        <v>0</v>
      </c>
      <c r="EB249" t="b">
        <f t="shared" si="487"/>
        <v>0</v>
      </c>
      <c r="EC249" t="b">
        <f t="shared" si="488"/>
        <v>0</v>
      </c>
      <c r="ED249" t="b">
        <f t="shared" si="489"/>
        <v>0</v>
      </c>
      <c r="EE249" t="b">
        <f t="shared" si="490"/>
        <v>0</v>
      </c>
      <c r="EF249">
        <f t="shared" si="491"/>
        <v>1</v>
      </c>
      <c r="EG249" t="b">
        <f t="shared" si="492"/>
        <v>0</v>
      </c>
      <c r="EH249" t="b">
        <f t="shared" si="493"/>
        <v>0</v>
      </c>
      <c r="EI249" t="b">
        <f t="shared" si="494"/>
        <v>0</v>
      </c>
      <c r="EJ249" t="b">
        <f t="shared" si="495"/>
        <v>0</v>
      </c>
      <c r="EK249" t="b">
        <f t="shared" si="496"/>
        <v>0</v>
      </c>
    </row>
    <row r="250" spans="1:141">
      <c r="A250" t="s">
        <v>1338</v>
      </c>
      <c r="B250" t="s">
        <v>1338</v>
      </c>
      <c r="C250" t="s">
        <v>1339</v>
      </c>
      <c r="D250" s="1">
        <v>44599</v>
      </c>
      <c r="E250" s="2">
        <v>44607.000856481478</v>
      </c>
      <c r="F250" s="2">
        <v>44607.000856481478</v>
      </c>
      <c r="G250">
        <v>89966</v>
      </c>
      <c r="H250" t="s">
        <v>1340</v>
      </c>
      <c r="I250" s="10" t="s">
        <v>1341</v>
      </c>
      <c r="J250" t="s">
        <v>1342</v>
      </c>
      <c r="K250" s="8" t="b">
        <v>1</v>
      </c>
      <c r="L250" s="10" t="b">
        <v>0</v>
      </c>
      <c r="M250" s="12" t="b">
        <v>0</v>
      </c>
      <c r="N250" t="b">
        <v>0</v>
      </c>
      <c r="O250" t="b">
        <v>0</v>
      </c>
      <c r="P250" t="b">
        <v>0</v>
      </c>
      <c r="Q250">
        <f t="shared" si="373"/>
        <v>2</v>
      </c>
      <c r="R250">
        <f t="shared" si="374"/>
        <v>2</v>
      </c>
      <c r="S250" t="e">
        <f t="shared" ca="1" si="404"/>
        <v>#NAME?</v>
      </c>
      <c r="T250" t="e">
        <f t="shared" ca="1" si="375"/>
        <v>#NAME?</v>
      </c>
      <c r="U250" s="4">
        <f t="shared" si="376"/>
        <v>8.0008564814779675</v>
      </c>
      <c r="V250" s="4">
        <f t="shared" si="377"/>
        <v>0.2666952160492656</v>
      </c>
      <c r="W250" s="4">
        <f t="shared" si="378"/>
        <v>1</v>
      </c>
      <c r="X250" s="4">
        <f t="shared" si="379"/>
        <v>0</v>
      </c>
      <c r="Y250" s="4">
        <f t="shared" si="380"/>
        <v>0</v>
      </c>
      <c r="Z250" s="4">
        <f t="shared" si="381"/>
        <v>0</v>
      </c>
      <c r="AA250" s="4">
        <f t="shared" si="382"/>
        <v>0</v>
      </c>
      <c r="AB250" s="4">
        <f t="shared" si="383"/>
        <v>0</v>
      </c>
      <c r="AC250" s="4"/>
      <c r="AD250" s="4" t="b">
        <f t="shared" si="384"/>
        <v>0</v>
      </c>
      <c r="AE250" s="4" t="b">
        <f t="shared" si="385"/>
        <v>0</v>
      </c>
      <c r="AF250" s="4" t="b">
        <f t="shared" si="386"/>
        <v>0</v>
      </c>
      <c r="AG250" t="b">
        <f t="shared" si="387"/>
        <v>0</v>
      </c>
      <c r="AH250" t="b">
        <f t="shared" si="388"/>
        <v>0</v>
      </c>
      <c r="AI250" t="b">
        <f t="shared" si="389"/>
        <v>0</v>
      </c>
      <c r="AJ250" t="b">
        <f t="shared" si="390"/>
        <v>0</v>
      </c>
      <c r="AK250" t="b">
        <f t="shared" si="391"/>
        <v>0</v>
      </c>
      <c r="AL250" t="b">
        <f t="shared" si="392"/>
        <v>0</v>
      </c>
      <c r="AM250" t="b">
        <f t="shared" si="393"/>
        <v>0</v>
      </c>
      <c r="AN250" t="b">
        <f t="shared" si="394"/>
        <v>0</v>
      </c>
      <c r="AO250" t="b">
        <f t="shared" si="395"/>
        <v>0</v>
      </c>
      <c r="AP250" t="b">
        <f t="shared" si="396"/>
        <v>0</v>
      </c>
      <c r="AQ250" t="b">
        <f t="shared" si="397"/>
        <v>0</v>
      </c>
      <c r="AR250" t="b">
        <f t="shared" si="398"/>
        <v>0</v>
      </c>
      <c r="AS250" t="b">
        <f t="shared" si="399"/>
        <v>0</v>
      </c>
      <c r="AT250" t="b">
        <f t="shared" si="400"/>
        <v>0</v>
      </c>
      <c r="AU250" t="b">
        <f t="shared" si="401"/>
        <v>0</v>
      </c>
      <c r="AV250" t="b">
        <f t="shared" si="402"/>
        <v>0</v>
      </c>
      <c r="AW250" t="b">
        <f t="shared" si="403"/>
        <v>0</v>
      </c>
      <c r="AX250" t="b">
        <f t="shared" si="405"/>
        <v>0</v>
      </c>
      <c r="AY250" t="b">
        <f t="shared" si="406"/>
        <v>0</v>
      </c>
      <c r="AZ250" t="b">
        <f t="shared" si="407"/>
        <v>0</v>
      </c>
      <c r="BA250" t="b">
        <f t="shared" si="408"/>
        <v>0</v>
      </c>
      <c r="BB250" t="b">
        <f t="shared" si="409"/>
        <v>0</v>
      </c>
      <c r="BC250" t="b">
        <f t="shared" si="410"/>
        <v>0</v>
      </c>
      <c r="BD250" t="b">
        <f t="shared" si="411"/>
        <v>0</v>
      </c>
      <c r="BE250" t="b">
        <f t="shared" si="412"/>
        <v>0</v>
      </c>
      <c r="BF250" t="b">
        <f t="shared" si="413"/>
        <v>0</v>
      </c>
      <c r="BG250" t="b">
        <f t="shared" si="414"/>
        <v>0</v>
      </c>
      <c r="BH250" t="b">
        <f t="shared" si="415"/>
        <v>0</v>
      </c>
      <c r="BI250">
        <f t="shared" si="416"/>
        <v>1</v>
      </c>
      <c r="BJ250" t="b">
        <f t="shared" si="417"/>
        <v>0</v>
      </c>
      <c r="BK250" t="b">
        <f t="shared" si="418"/>
        <v>0</v>
      </c>
      <c r="BL250" t="b">
        <f t="shared" si="419"/>
        <v>0</v>
      </c>
      <c r="BM250" t="b">
        <f t="shared" si="420"/>
        <v>0</v>
      </c>
      <c r="BN250" t="b">
        <f t="shared" si="421"/>
        <v>0</v>
      </c>
      <c r="BO250" t="b">
        <f t="shared" si="422"/>
        <v>0</v>
      </c>
      <c r="BP250" t="b">
        <f t="shared" si="423"/>
        <v>0</v>
      </c>
      <c r="BQ250" t="b">
        <f t="shared" si="424"/>
        <v>0</v>
      </c>
      <c r="BR250" t="b">
        <f t="shared" si="425"/>
        <v>0</v>
      </c>
      <c r="BS250">
        <f t="shared" si="426"/>
        <v>1</v>
      </c>
      <c r="BT250" t="b">
        <f t="shared" si="427"/>
        <v>0</v>
      </c>
      <c r="BU250" t="b">
        <f t="shared" si="428"/>
        <v>0</v>
      </c>
      <c r="BV250" t="b">
        <f t="shared" si="429"/>
        <v>0</v>
      </c>
      <c r="BW250" t="b">
        <f t="shared" si="430"/>
        <v>0</v>
      </c>
      <c r="BX250" t="b">
        <f t="shared" si="431"/>
        <v>0</v>
      </c>
      <c r="BY250" t="b">
        <f t="shared" si="432"/>
        <v>0</v>
      </c>
      <c r="BZ250" t="b">
        <f t="shared" si="433"/>
        <v>0</v>
      </c>
      <c r="CA250" t="b">
        <f t="shared" si="434"/>
        <v>0</v>
      </c>
      <c r="CB250" t="b">
        <f t="shared" si="435"/>
        <v>0</v>
      </c>
      <c r="CC250" t="b">
        <f t="shared" si="436"/>
        <v>0</v>
      </c>
      <c r="CD250" t="b">
        <f t="shared" si="437"/>
        <v>0</v>
      </c>
      <c r="CE250" t="b">
        <f t="shared" si="438"/>
        <v>0</v>
      </c>
      <c r="CF250" t="b">
        <f t="shared" si="439"/>
        <v>0</v>
      </c>
      <c r="CG250" t="b">
        <f t="shared" si="440"/>
        <v>0</v>
      </c>
      <c r="CH250" t="b">
        <f t="shared" si="441"/>
        <v>0</v>
      </c>
      <c r="CI250" t="b">
        <f t="shared" si="442"/>
        <v>0</v>
      </c>
      <c r="CJ250" t="b">
        <f t="shared" si="443"/>
        <v>0</v>
      </c>
      <c r="CK250" t="b">
        <f t="shared" si="444"/>
        <v>0</v>
      </c>
      <c r="CL250" t="b">
        <f t="shared" si="445"/>
        <v>0</v>
      </c>
      <c r="CM250">
        <f t="shared" si="446"/>
        <v>1</v>
      </c>
      <c r="CN250" t="b">
        <f t="shared" si="447"/>
        <v>0</v>
      </c>
      <c r="CO250" t="b">
        <f t="shared" si="448"/>
        <v>0</v>
      </c>
      <c r="CP250" t="b">
        <f t="shared" si="449"/>
        <v>0</v>
      </c>
      <c r="CQ250" t="b">
        <f t="shared" si="450"/>
        <v>0</v>
      </c>
      <c r="CR250" t="b">
        <f t="shared" si="451"/>
        <v>0</v>
      </c>
      <c r="CS250" t="b">
        <f t="shared" si="452"/>
        <v>0</v>
      </c>
      <c r="CT250" t="b">
        <f t="shared" si="453"/>
        <v>0</v>
      </c>
      <c r="CU250" t="b">
        <f t="shared" si="454"/>
        <v>0</v>
      </c>
      <c r="CV250" t="b">
        <f t="shared" si="455"/>
        <v>0</v>
      </c>
      <c r="CW250" t="b">
        <f t="shared" si="456"/>
        <v>0</v>
      </c>
      <c r="CX250" t="b">
        <f t="shared" si="457"/>
        <v>0</v>
      </c>
      <c r="CY250" t="b">
        <f t="shared" si="458"/>
        <v>0</v>
      </c>
      <c r="CZ250" t="b">
        <f t="shared" si="459"/>
        <v>0</v>
      </c>
      <c r="DA250" t="b">
        <f t="shared" si="460"/>
        <v>0</v>
      </c>
      <c r="DB250" t="b">
        <f t="shared" si="461"/>
        <v>0</v>
      </c>
      <c r="DC250" t="b">
        <f t="shared" si="462"/>
        <v>0</v>
      </c>
      <c r="DD250" t="b">
        <f t="shared" si="463"/>
        <v>0</v>
      </c>
      <c r="DE250" t="b">
        <f t="shared" si="464"/>
        <v>0</v>
      </c>
      <c r="DF250" t="b">
        <f t="shared" si="465"/>
        <v>0</v>
      </c>
      <c r="DG250" t="b">
        <f t="shared" si="466"/>
        <v>0</v>
      </c>
      <c r="DH250" t="b">
        <f t="shared" si="467"/>
        <v>0</v>
      </c>
      <c r="DI250" t="b">
        <f t="shared" si="468"/>
        <v>0</v>
      </c>
      <c r="DJ250">
        <f t="shared" si="469"/>
        <v>1</v>
      </c>
      <c r="DK250" t="b">
        <f t="shared" si="470"/>
        <v>0</v>
      </c>
      <c r="DL250" t="b">
        <f t="shared" si="471"/>
        <v>0</v>
      </c>
      <c r="DM250" t="b">
        <f t="shared" si="472"/>
        <v>0</v>
      </c>
      <c r="DN250" t="b">
        <f t="shared" si="473"/>
        <v>0</v>
      </c>
      <c r="DO250" t="b">
        <f t="shared" si="474"/>
        <v>0</v>
      </c>
      <c r="DP250" t="b">
        <f t="shared" si="475"/>
        <v>0</v>
      </c>
      <c r="DQ250" t="b">
        <f t="shared" si="476"/>
        <v>0</v>
      </c>
      <c r="DR250" t="b">
        <f t="shared" si="477"/>
        <v>0</v>
      </c>
      <c r="DS250" t="b">
        <f t="shared" si="478"/>
        <v>0</v>
      </c>
      <c r="DT250" t="b">
        <f t="shared" si="479"/>
        <v>0</v>
      </c>
      <c r="DU250" t="b">
        <f t="shared" si="480"/>
        <v>0</v>
      </c>
      <c r="DV250" t="b">
        <f t="shared" si="481"/>
        <v>0</v>
      </c>
      <c r="DW250" t="b">
        <f t="shared" si="482"/>
        <v>0</v>
      </c>
      <c r="DX250" t="b">
        <f t="shared" si="483"/>
        <v>0</v>
      </c>
      <c r="DY250" t="b">
        <f t="shared" si="484"/>
        <v>0</v>
      </c>
      <c r="DZ250" t="b">
        <f t="shared" si="485"/>
        <v>0</v>
      </c>
      <c r="EA250" t="b">
        <f t="shared" si="486"/>
        <v>0</v>
      </c>
      <c r="EB250" t="b">
        <f t="shared" si="487"/>
        <v>0</v>
      </c>
      <c r="EC250" t="b">
        <f t="shared" si="488"/>
        <v>0</v>
      </c>
      <c r="ED250" t="b">
        <f t="shared" si="489"/>
        <v>0</v>
      </c>
      <c r="EE250" t="b">
        <f t="shared" si="490"/>
        <v>0</v>
      </c>
      <c r="EF250" t="b">
        <f t="shared" si="491"/>
        <v>0</v>
      </c>
      <c r="EG250" t="b">
        <f t="shared" si="492"/>
        <v>0</v>
      </c>
      <c r="EH250" t="b">
        <f t="shared" si="493"/>
        <v>0</v>
      </c>
      <c r="EI250" t="b">
        <f t="shared" si="494"/>
        <v>0</v>
      </c>
      <c r="EJ250" t="b">
        <f t="shared" si="495"/>
        <v>0</v>
      </c>
      <c r="EK250" t="b">
        <f t="shared" si="496"/>
        <v>0</v>
      </c>
    </row>
    <row r="251" spans="1:141">
      <c r="A251" t="s">
        <v>1343</v>
      </c>
      <c r="B251" t="s">
        <v>1343</v>
      </c>
      <c r="C251" t="s">
        <v>1344</v>
      </c>
      <c r="D251" s="1">
        <v>43917</v>
      </c>
      <c r="E251" s="2">
        <v>44206.063055555554</v>
      </c>
      <c r="F251" s="2">
        <v>44206.063055555554</v>
      </c>
      <c r="G251">
        <v>2330735</v>
      </c>
      <c r="H251" t="s">
        <v>1345</v>
      </c>
      <c r="I251" s="10" t="s">
        <v>1346</v>
      </c>
      <c r="J251" t="s">
        <v>1347</v>
      </c>
      <c r="K251" s="8" t="b">
        <v>1</v>
      </c>
      <c r="L251" s="10" t="b">
        <v>0</v>
      </c>
      <c r="M251" s="12" t="b">
        <v>0</v>
      </c>
      <c r="N251" t="b">
        <v>0</v>
      </c>
      <c r="O251" t="b">
        <v>0</v>
      </c>
      <c r="P251" t="b">
        <v>0</v>
      </c>
      <c r="Q251">
        <f t="shared" si="373"/>
        <v>6</v>
      </c>
      <c r="R251">
        <f t="shared" si="374"/>
        <v>3</v>
      </c>
      <c r="S251" t="e">
        <f t="shared" ca="1" si="404"/>
        <v>#NAME?</v>
      </c>
      <c r="T251" t="e">
        <f t="shared" ca="1" si="375"/>
        <v>#NAME?</v>
      </c>
      <c r="U251" s="4">
        <f t="shared" si="376"/>
        <v>289.06305555555446</v>
      </c>
      <c r="V251" s="4">
        <f t="shared" si="377"/>
        <v>9.6354351851851483</v>
      </c>
      <c r="W251" s="4">
        <f t="shared" si="378"/>
        <v>1</v>
      </c>
      <c r="X251" s="4">
        <f t="shared" si="379"/>
        <v>0</v>
      </c>
      <c r="Y251" s="4">
        <f t="shared" si="380"/>
        <v>0</v>
      </c>
      <c r="Z251" s="4">
        <f t="shared" si="381"/>
        <v>0</v>
      </c>
      <c r="AA251" s="4">
        <f t="shared" si="382"/>
        <v>0</v>
      </c>
      <c r="AB251" s="4">
        <f t="shared" si="383"/>
        <v>0</v>
      </c>
      <c r="AC251" s="4"/>
      <c r="AD251" s="4" t="b">
        <f t="shared" si="384"/>
        <v>0</v>
      </c>
      <c r="AE251" s="4" t="b">
        <f t="shared" si="385"/>
        <v>0</v>
      </c>
      <c r="AF251" s="4" t="b">
        <f t="shared" si="386"/>
        <v>0</v>
      </c>
      <c r="AG251" t="b">
        <f t="shared" si="387"/>
        <v>0</v>
      </c>
      <c r="AH251" t="b">
        <f t="shared" si="388"/>
        <v>0</v>
      </c>
      <c r="AI251" t="b">
        <f t="shared" si="389"/>
        <v>0</v>
      </c>
      <c r="AJ251" t="b">
        <f t="shared" si="390"/>
        <v>0</v>
      </c>
      <c r="AK251" t="b">
        <f t="shared" si="391"/>
        <v>0</v>
      </c>
      <c r="AL251" t="b">
        <f t="shared" si="392"/>
        <v>0</v>
      </c>
      <c r="AM251" t="b">
        <f t="shared" si="393"/>
        <v>0</v>
      </c>
      <c r="AN251" t="b">
        <f t="shared" si="394"/>
        <v>0</v>
      </c>
      <c r="AO251" t="b">
        <f t="shared" si="395"/>
        <v>0</v>
      </c>
      <c r="AP251" t="b">
        <f t="shared" si="396"/>
        <v>0</v>
      </c>
      <c r="AQ251" t="b">
        <f t="shared" si="397"/>
        <v>0</v>
      </c>
      <c r="AR251" t="b">
        <f t="shared" si="398"/>
        <v>0</v>
      </c>
      <c r="AS251" t="b">
        <f t="shared" si="399"/>
        <v>0</v>
      </c>
      <c r="AT251" t="b">
        <f t="shared" si="400"/>
        <v>0</v>
      </c>
      <c r="AU251" t="b">
        <f t="shared" si="401"/>
        <v>0</v>
      </c>
      <c r="AV251" t="b">
        <f t="shared" si="402"/>
        <v>0</v>
      </c>
      <c r="AW251" t="b">
        <f t="shared" si="403"/>
        <v>0</v>
      </c>
      <c r="AX251" t="b">
        <f t="shared" si="405"/>
        <v>0</v>
      </c>
      <c r="AY251" t="b">
        <f t="shared" si="406"/>
        <v>0</v>
      </c>
      <c r="AZ251">
        <f t="shared" si="407"/>
        <v>1</v>
      </c>
      <c r="BA251" t="b">
        <f t="shared" si="408"/>
        <v>0</v>
      </c>
      <c r="BB251" t="b">
        <f t="shared" si="409"/>
        <v>0</v>
      </c>
      <c r="BC251" t="b">
        <f t="shared" si="410"/>
        <v>0</v>
      </c>
      <c r="BD251" t="b">
        <f t="shared" si="411"/>
        <v>0</v>
      </c>
      <c r="BE251" t="b">
        <f t="shared" si="412"/>
        <v>0</v>
      </c>
      <c r="BF251" t="b">
        <f t="shared" si="413"/>
        <v>0</v>
      </c>
      <c r="BG251" t="b">
        <f t="shared" si="414"/>
        <v>0</v>
      </c>
      <c r="BH251" t="b">
        <f t="shared" si="415"/>
        <v>0</v>
      </c>
      <c r="BI251">
        <f t="shared" si="416"/>
        <v>1</v>
      </c>
      <c r="BJ251" t="b">
        <f t="shared" si="417"/>
        <v>0</v>
      </c>
      <c r="BK251" t="b">
        <f t="shared" si="418"/>
        <v>0</v>
      </c>
      <c r="BL251" t="b">
        <f t="shared" si="419"/>
        <v>0</v>
      </c>
      <c r="BM251" t="b">
        <f t="shared" si="420"/>
        <v>0</v>
      </c>
      <c r="BN251" t="b">
        <f t="shared" si="421"/>
        <v>0</v>
      </c>
      <c r="BO251" t="b">
        <f t="shared" si="422"/>
        <v>0</v>
      </c>
      <c r="BP251" t="b">
        <f t="shared" si="423"/>
        <v>0</v>
      </c>
      <c r="BQ251" t="b">
        <f t="shared" si="424"/>
        <v>0</v>
      </c>
      <c r="BR251">
        <f t="shared" si="425"/>
        <v>1</v>
      </c>
      <c r="BS251" t="b">
        <f t="shared" si="426"/>
        <v>0</v>
      </c>
      <c r="BT251" t="b">
        <f t="shared" si="427"/>
        <v>0</v>
      </c>
      <c r="BU251" t="b">
        <f t="shared" si="428"/>
        <v>0</v>
      </c>
      <c r="BV251" t="b">
        <f t="shared" si="429"/>
        <v>0</v>
      </c>
      <c r="BW251" t="b">
        <f t="shared" si="430"/>
        <v>0</v>
      </c>
      <c r="BX251" t="b">
        <f t="shared" si="431"/>
        <v>0</v>
      </c>
      <c r="BY251" t="b">
        <f t="shared" si="432"/>
        <v>0</v>
      </c>
      <c r="BZ251" t="b">
        <f t="shared" si="433"/>
        <v>0</v>
      </c>
      <c r="CA251" t="b">
        <f t="shared" si="434"/>
        <v>0</v>
      </c>
      <c r="CB251" t="b">
        <f t="shared" si="435"/>
        <v>0</v>
      </c>
      <c r="CC251" t="b">
        <f t="shared" si="436"/>
        <v>0</v>
      </c>
      <c r="CD251" t="b">
        <f t="shared" si="437"/>
        <v>0</v>
      </c>
      <c r="CE251" t="b">
        <f t="shared" si="438"/>
        <v>0</v>
      </c>
      <c r="CF251" t="b">
        <f t="shared" si="439"/>
        <v>0</v>
      </c>
      <c r="CG251" t="b">
        <f t="shared" si="440"/>
        <v>0</v>
      </c>
      <c r="CH251" t="b">
        <f t="shared" si="441"/>
        <v>0</v>
      </c>
      <c r="CI251" t="b">
        <f t="shared" si="442"/>
        <v>0</v>
      </c>
      <c r="CJ251" t="b">
        <f t="shared" si="443"/>
        <v>0</v>
      </c>
      <c r="CK251" t="b">
        <f t="shared" si="444"/>
        <v>0</v>
      </c>
      <c r="CL251" t="b">
        <f t="shared" si="445"/>
        <v>0</v>
      </c>
      <c r="CM251">
        <f t="shared" si="446"/>
        <v>1</v>
      </c>
      <c r="CN251" t="b">
        <f t="shared" si="447"/>
        <v>0</v>
      </c>
      <c r="CO251" t="b">
        <f t="shared" si="448"/>
        <v>0</v>
      </c>
      <c r="CP251" t="b">
        <f t="shared" si="449"/>
        <v>0</v>
      </c>
      <c r="CQ251" t="b">
        <f t="shared" si="450"/>
        <v>0</v>
      </c>
      <c r="CR251" t="b">
        <f t="shared" si="451"/>
        <v>0</v>
      </c>
      <c r="CS251" t="b">
        <f t="shared" si="452"/>
        <v>0</v>
      </c>
      <c r="CT251" t="b">
        <f t="shared" si="453"/>
        <v>0</v>
      </c>
      <c r="CU251" t="b">
        <f t="shared" si="454"/>
        <v>0</v>
      </c>
      <c r="CV251">
        <f t="shared" si="455"/>
        <v>1</v>
      </c>
      <c r="CW251" t="b">
        <f t="shared" si="456"/>
        <v>0</v>
      </c>
      <c r="CX251" t="b">
        <f t="shared" si="457"/>
        <v>0</v>
      </c>
      <c r="CY251" t="b">
        <f t="shared" si="458"/>
        <v>0</v>
      </c>
      <c r="CZ251" t="b">
        <f t="shared" si="459"/>
        <v>0</v>
      </c>
      <c r="DA251">
        <f t="shared" si="460"/>
        <v>1</v>
      </c>
      <c r="DB251" t="b">
        <f t="shared" si="461"/>
        <v>0</v>
      </c>
      <c r="DC251" t="b">
        <f t="shared" si="462"/>
        <v>0</v>
      </c>
      <c r="DD251" t="b">
        <f t="shared" si="463"/>
        <v>0</v>
      </c>
      <c r="DE251" t="b">
        <f t="shared" si="464"/>
        <v>0</v>
      </c>
      <c r="DF251" t="b">
        <f t="shared" si="465"/>
        <v>0</v>
      </c>
      <c r="DG251" t="b">
        <f t="shared" si="466"/>
        <v>0</v>
      </c>
      <c r="DH251" t="b">
        <f t="shared" si="467"/>
        <v>0</v>
      </c>
      <c r="DI251" t="b">
        <f t="shared" si="468"/>
        <v>0</v>
      </c>
      <c r="DJ251" t="b">
        <f t="shared" si="469"/>
        <v>0</v>
      </c>
      <c r="DK251" t="b">
        <f t="shared" si="470"/>
        <v>0</v>
      </c>
      <c r="DL251" t="b">
        <f t="shared" si="471"/>
        <v>0</v>
      </c>
      <c r="DM251" t="b">
        <f t="shared" si="472"/>
        <v>0</v>
      </c>
      <c r="DN251" t="b">
        <f t="shared" si="473"/>
        <v>0</v>
      </c>
      <c r="DO251" t="b">
        <f t="shared" si="474"/>
        <v>0</v>
      </c>
      <c r="DP251" t="b">
        <f t="shared" si="475"/>
        <v>0</v>
      </c>
      <c r="DQ251" t="b">
        <f t="shared" si="476"/>
        <v>0</v>
      </c>
      <c r="DR251" t="b">
        <f t="shared" si="477"/>
        <v>0</v>
      </c>
      <c r="DS251" t="b">
        <f t="shared" si="478"/>
        <v>0</v>
      </c>
      <c r="DT251" t="b">
        <f t="shared" si="479"/>
        <v>0</v>
      </c>
      <c r="DU251" t="b">
        <f t="shared" si="480"/>
        <v>0</v>
      </c>
      <c r="DV251" t="b">
        <f t="shared" si="481"/>
        <v>0</v>
      </c>
      <c r="DW251" t="b">
        <f t="shared" si="482"/>
        <v>0</v>
      </c>
      <c r="DX251" t="b">
        <f t="shared" si="483"/>
        <v>0</v>
      </c>
      <c r="DY251" t="b">
        <f t="shared" si="484"/>
        <v>0</v>
      </c>
      <c r="DZ251" t="b">
        <f t="shared" si="485"/>
        <v>0</v>
      </c>
      <c r="EA251" t="b">
        <f t="shared" si="486"/>
        <v>0</v>
      </c>
      <c r="EB251" t="b">
        <f t="shared" si="487"/>
        <v>0</v>
      </c>
      <c r="EC251" t="b">
        <f t="shared" si="488"/>
        <v>0</v>
      </c>
      <c r="ED251" t="b">
        <f t="shared" si="489"/>
        <v>0</v>
      </c>
      <c r="EE251" t="b">
        <f t="shared" si="490"/>
        <v>0</v>
      </c>
      <c r="EF251" t="b">
        <f t="shared" si="491"/>
        <v>0</v>
      </c>
      <c r="EG251" t="b">
        <f t="shared" si="492"/>
        <v>0</v>
      </c>
      <c r="EH251" t="b">
        <f t="shared" si="493"/>
        <v>0</v>
      </c>
      <c r="EI251" t="b">
        <f t="shared" si="494"/>
        <v>0</v>
      </c>
      <c r="EJ251" t="b">
        <f t="shared" si="495"/>
        <v>0</v>
      </c>
      <c r="EK251" t="b">
        <f t="shared" si="496"/>
        <v>0</v>
      </c>
    </row>
    <row r="252" spans="1:141">
      <c r="A252" t="s">
        <v>1348</v>
      </c>
      <c r="B252" t="s">
        <v>1349</v>
      </c>
      <c r="C252" t="s">
        <v>1350</v>
      </c>
      <c r="D252" s="1">
        <v>42301</v>
      </c>
      <c r="E252" s="2">
        <v>43841.004548611112</v>
      </c>
      <c r="F252" s="2">
        <v>43841.004548611112</v>
      </c>
      <c r="G252">
        <v>3430083</v>
      </c>
      <c r="H252" t="s">
        <v>1351</v>
      </c>
      <c r="I252" s="10" t="s">
        <v>1352</v>
      </c>
      <c r="J252" t="s">
        <v>188</v>
      </c>
      <c r="K252" s="8" t="b">
        <v>1</v>
      </c>
      <c r="L252" s="10" t="b">
        <v>0</v>
      </c>
      <c r="M252" s="12" t="b">
        <v>0</v>
      </c>
      <c r="N252" t="b">
        <v>0</v>
      </c>
      <c r="O252" t="b">
        <v>0</v>
      </c>
      <c r="P252" t="b">
        <v>0</v>
      </c>
      <c r="Q252">
        <f t="shared" si="373"/>
        <v>7</v>
      </c>
      <c r="R252">
        <f t="shared" si="374"/>
        <v>10</v>
      </c>
      <c r="S252" t="e">
        <f t="shared" ca="1" si="404"/>
        <v>#NAME?</v>
      </c>
      <c r="T252" t="e">
        <f t="shared" ca="1" si="375"/>
        <v>#NAME?</v>
      </c>
      <c r="U252" s="4">
        <f t="shared" si="376"/>
        <v>1540.0045486111121</v>
      </c>
      <c r="V252" s="4">
        <f t="shared" si="377"/>
        <v>51.333484953703739</v>
      </c>
      <c r="W252" s="4">
        <f t="shared" si="378"/>
        <v>1</v>
      </c>
      <c r="X252" s="4">
        <f t="shared" si="379"/>
        <v>0</v>
      </c>
      <c r="Y252" s="4">
        <f t="shared" si="380"/>
        <v>0</v>
      </c>
      <c r="Z252" s="4">
        <f t="shared" si="381"/>
        <v>0</v>
      </c>
      <c r="AA252" s="4">
        <f t="shared" si="382"/>
        <v>0</v>
      </c>
      <c r="AB252" s="4">
        <f t="shared" si="383"/>
        <v>0</v>
      </c>
      <c r="AC252" s="4"/>
      <c r="AD252" s="4" t="b">
        <f t="shared" si="384"/>
        <v>0</v>
      </c>
      <c r="AE252" s="4" t="b">
        <f t="shared" si="385"/>
        <v>0</v>
      </c>
      <c r="AF252" s="4" t="b">
        <f t="shared" si="386"/>
        <v>0</v>
      </c>
      <c r="AG252" t="b">
        <f t="shared" si="387"/>
        <v>0</v>
      </c>
      <c r="AH252" t="b">
        <f t="shared" si="388"/>
        <v>0</v>
      </c>
      <c r="AI252" t="b">
        <f t="shared" si="389"/>
        <v>0</v>
      </c>
      <c r="AJ252" t="b">
        <f t="shared" si="390"/>
        <v>0</v>
      </c>
      <c r="AK252" t="b">
        <f t="shared" si="391"/>
        <v>0</v>
      </c>
      <c r="AL252" t="b">
        <f t="shared" si="392"/>
        <v>0</v>
      </c>
      <c r="AM252" t="b">
        <f t="shared" si="393"/>
        <v>0</v>
      </c>
      <c r="AN252" t="b">
        <f t="shared" si="394"/>
        <v>0</v>
      </c>
      <c r="AO252" t="b">
        <f t="shared" si="395"/>
        <v>0</v>
      </c>
      <c r="AP252" t="b">
        <f t="shared" si="396"/>
        <v>0</v>
      </c>
      <c r="AQ252" t="b">
        <f t="shared" si="397"/>
        <v>0</v>
      </c>
      <c r="AR252" t="b">
        <f t="shared" si="398"/>
        <v>0</v>
      </c>
      <c r="AS252" t="b">
        <f t="shared" si="399"/>
        <v>0</v>
      </c>
      <c r="AT252" t="b">
        <f t="shared" si="400"/>
        <v>0</v>
      </c>
      <c r="AU252" t="b">
        <f t="shared" si="401"/>
        <v>0</v>
      </c>
      <c r="AV252" t="b">
        <f t="shared" si="402"/>
        <v>0</v>
      </c>
      <c r="AW252" t="b">
        <f t="shared" si="403"/>
        <v>0</v>
      </c>
      <c r="AX252" t="b">
        <f t="shared" si="405"/>
        <v>0</v>
      </c>
      <c r="AY252" t="b">
        <f t="shared" si="406"/>
        <v>0</v>
      </c>
      <c r="AZ252" t="b">
        <f t="shared" si="407"/>
        <v>0</v>
      </c>
      <c r="BA252" t="b">
        <f t="shared" si="408"/>
        <v>0</v>
      </c>
      <c r="BB252" t="b">
        <f t="shared" si="409"/>
        <v>0</v>
      </c>
      <c r="BC252" t="b">
        <f t="shared" si="410"/>
        <v>0</v>
      </c>
      <c r="BD252" t="b">
        <f t="shared" si="411"/>
        <v>0</v>
      </c>
      <c r="BE252" t="b">
        <f t="shared" si="412"/>
        <v>0</v>
      </c>
      <c r="BF252" t="b">
        <f t="shared" si="413"/>
        <v>0</v>
      </c>
      <c r="BG252" t="b">
        <f t="shared" si="414"/>
        <v>0</v>
      </c>
      <c r="BH252" t="b">
        <f t="shared" si="415"/>
        <v>0</v>
      </c>
      <c r="BI252">
        <f t="shared" si="416"/>
        <v>1</v>
      </c>
      <c r="BJ252" t="b">
        <f t="shared" si="417"/>
        <v>0</v>
      </c>
      <c r="BK252" t="b">
        <f t="shared" si="418"/>
        <v>0</v>
      </c>
      <c r="BL252" t="b">
        <f t="shared" si="419"/>
        <v>0</v>
      </c>
      <c r="BM252" t="b">
        <f t="shared" si="420"/>
        <v>0</v>
      </c>
      <c r="BN252" t="b">
        <f t="shared" si="421"/>
        <v>0</v>
      </c>
      <c r="BO252" t="b">
        <f t="shared" si="422"/>
        <v>0</v>
      </c>
      <c r="BP252" t="b">
        <f t="shared" si="423"/>
        <v>0</v>
      </c>
      <c r="BQ252" t="b">
        <f t="shared" si="424"/>
        <v>0</v>
      </c>
      <c r="BR252" t="b">
        <f t="shared" si="425"/>
        <v>0</v>
      </c>
      <c r="BS252" t="b">
        <f t="shared" si="426"/>
        <v>0</v>
      </c>
      <c r="BT252" t="b">
        <f t="shared" si="427"/>
        <v>0</v>
      </c>
      <c r="BU252" t="b">
        <f t="shared" si="428"/>
        <v>0</v>
      </c>
      <c r="BV252" t="b">
        <f t="shared" si="429"/>
        <v>0</v>
      </c>
      <c r="BW252" t="b">
        <f t="shared" si="430"/>
        <v>0</v>
      </c>
      <c r="BX252" t="b">
        <f t="shared" si="431"/>
        <v>0</v>
      </c>
      <c r="BY252" t="b">
        <f t="shared" si="432"/>
        <v>0</v>
      </c>
      <c r="BZ252" t="b">
        <f t="shared" si="433"/>
        <v>0</v>
      </c>
      <c r="CA252" t="b">
        <f t="shared" si="434"/>
        <v>0</v>
      </c>
      <c r="CB252" t="b">
        <f t="shared" si="435"/>
        <v>0</v>
      </c>
      <c r="CC252" t="b">
        <f t="shared" si="436"/>
        <v>0</v>
      </c>
      <c r="CD252" t="b">
        <f t="shared" si="437"/>
        <v>0</v>
      </c>
      <c r="CE252">
        <f t="shared" si="438"/>
        <v>1</v>
      </c>
      <c r="CF252" t="b">
        <f t="shared" si="439"/>
        <v>0</v>
      </c>
      <c r="CG252" t="b">
        <f t="shared" si="440"/>
        <v>0</v>
      </c>
      <c r="CH252" t="b">
        <f t="shared" si="441"/>
        <v>0</v>
      </c>
      <c r="CI252" t="b">
        <f t="shared" si="442"/>
        <v>0</v>
      </c>
      <c r="CJ252" t="b">
        <f t="shared" si="443"/>
        <v>0</v>
      </c>
      <c r="CK252" t="b">
        <f t="shared" si="444"/>
        <v>0</v>
      </c>
      <c r="CL252" t="b">
        <f t="shared" si="445"/>
        <v>0</v>
      </c>
      <c r="CM252" t="b">
        <f t="shared" si="446"/>
        <v>0</v>
      </c>
      <c r="CN252" t="b">
        <f t="shared" si="447"/>
        <v>0</v>
      </c>
      <c r="CO252" t="b">
        <f t="shared" si="448"/>
        <v>0</v>
      </c>
      <c r="CP252" t="b">
        <f t="shared" si="449"/>
        <v>0</v>
      </c>
      <c r="CQ252" t="b">
        <f t="shared" si="450"/>
        <v>0</v>
      </c>
      <c r="CR252" t="b">
        <f t="shared" si="451"/>
        <v>0</v>
      </c>
      <c r="CS252" t="b">
        <f t="shared" si="452"/>
        <v>0</v>
      </c>
      <c r="CT252" t="b">
        <f t="shared" si="453"/>
        <v>0</v>
      </c>
      <c r="CU252" t="b">
        <f t="shared" si="454"/>
        <v>0</v>
      </c>
      <c r="CV252">
        <f t="shared" si="455"/>
        <v>1</v>
      </c>
      <c r="CW252" t="b">
        <f t="shared" si="456"/>
        <v>0</v>
      </c>
      <c r="CX252" t="b">
        <f t="shared" si="457"/>
        <v>0</v>
      </c>
      <c r="CY252" t="b">
        <f t="shared" si="458"/>
        <v>0</v>
      </c>
      <c r="CZ252" t="b">
        <f t="shared" si="459"/>
        <v>0</v>
      </c>
      <c r="DA252" t="b">
        <f t="shared" si="460"/>
        <v>0</v>
      </c>
      <c r="DB252" t="b">
        <f t="shared" si="461"/>
        <v>0</v>
      </c>
      <c r="DC252" t="b">
        <f t="shared" si="462"/>
        <v>0</v>
      </c>
      <c r="DD252" t="b">
        <f t="shared" si="463"/>
        <v>0</v>
      </c>
      <c r="DE252" t="b">
        <f t="shared" si="464"/>
        <v>0</v>
      </c>
      <c r="DF252" t="b">
        <f t="shared" si="465"/>
        <v>0</v>
      </c>
      <c r="DG252" t="b">
        <f t="shared" si="466"/>
        <v>0</v>
      </c>
      <c r="DH252" t="b">
        <f t="shared" si="467"/>
        <v>0</v>
      </c>
      <c r="DI252" t="b">
        <f t="shared" si="468"/>
        <v>0</v>
      </c>
      <c r="DJ252" t="b">
        <f t="shared" si="469"/>
        <v>0</v>
      </c>
      <c r="DK252" t="b">
        <f t="shared" si="470"/>
        <v>0</v>
      </c>
      <c r="DL252" t="b">
        <f t="shared" si="471"/>
        <v>0</v>
      </c>
      <c r="DM252" t="b">
        <f t="shared" si="472"/>
        <v>0</v>
      </c>
      <c r="DN252" t="b">
        <f t="shared" si="473"/>
        <v>0</v>
      </c>
      <c r="DO252" t="b">
        <f t="shared" si="474"/>
        <v>0</v>
      </c>
      <c r="DP252" t="b">
        <f t="shared" si="475"/>
        <v>0</v>
      </c>
      <c r="DQ252" t="b">
        <f t="shared" si="476"/>
        <v>0</v>
      </c>
      <c r="DR252" t="b">
        <f t="shared" si="477"/>
        <v>0</v>
      </c>
      <c r="DS252" t="b">
        <f t="shared" si="478"/>
        <v>0</v>
      </c>
      <c r="DT252" t="b">
        <f t="shared" si="479"/>
        <v>0</v>
      </c>
      <c r="DU252" t="b">
        <f t="shared" si="480"/>
        <v>0</v>
      </c>
      <c r="DV252" t="b">
        <f t="shared" si="481"/>
        <v>0</v>
      </c>
      <c r="DW252" t="b">
        <f t="shared" si="482"/>
        <v>0</v>
      </c>
      <c r="DX252" t="b">
        <f t="shared" si="483"/>
        <v>0</v>
      </c>
      <c r="DY252" t="b">
        <f t="shared" si="484"/>
        <v>0</v>
      </c>
      <c r="DZ252" t="b">
        <f t="shared" si="485"/>
        <v>0</v>
      </c>
      <c r="EA252" t="b">
        <f t="shared" si="486"/>
        <v>0</v>
      </c>
      <c r="EB252" t="b">
        <f t="shared" si="487"/>
        <v>0</v>
      </c>
      <c r="EC252" t="b">
        <f t="shared" si="488"/>
        <v>0</v>
      </c>
      <c r="ED252" t="b">
        <f t="shared" si="489"/>
        <v>0</v>
      </c>
      <c r="EE252" t="b">
        <f t="shared" si="490"/>
        <v>0</v>
      </c>
      <c r="EF252">
        <f t="shared" si="491"/>
        <v>1</v>
      </c>
      <c r="EG252" t="b">
        <f t="shared" si="492"/>
        <v>0</v>
      </c>
      <c r="EH252" t="b">
        <f t="shared" si="493"/>
        <v>0</v>
      </c>
      <c r="EI252" t="b">
        <f t="shared" si="494"/>
        <v>0</v>
      </c>
      <c r="EJ252" t="b">
        <f t="shared" si="495"/>
        <v>0</v>
      </c>
      <c r="EK252" t="b">
        <f t="shared" si="496"/>
        <v>0</v>
      </c>
    </row>
    <row r="253" spans="1:141">
      <c r="A253" t="s">
        <v>1353</v>
      </c>
      <c r="B253" t="s">
        <v>1353</v>
      </c>
      <c r="C253" t="s">
        <v>1354</v>
      </c>
      <c r="D253" s="1">
        <v>43394</v>
      </c>
      <c r="E253" s="2">
        <v>43461.367569444446</v>
      </c>
      <c r="F253" s="2">
        <v>43461.369328703702</v>
      </c>
      <c r="G253">
        <v>242715</v>
      </c>
      <c r="H253" t="s">
        <v>1355</v>
      </c>
      <c r="I253" s="10" t="s">
        <v>1356</v>
      </c>
      <c r="J253" t="s">
        <v>1357</v>
      </c>
      <c r="K253" s="8" t="b">
        <v>1</v>
      </c>
      <c r="L253" s="10" t="b">
        <v>0</v>
      </c>
      <c r="M253" s="12" t="b">
        <v>0</v>
      </c>
      <c r="N253" t="b">
        <v>0</v>
      </c>
      <c r="O253" t="b">
        <v>0</v>
      </c>
      <c r="P253" t="b">
        <v>0</v>
      </c>
      <c r="Q253">
        <f t="shared" si="373"/>
        <v>1</v>
      </c>
      <c r="R253">
        <f t="shared" si="374"/>
        <v>10</v>
      </c>
      <c r="S253" t="e">
        <f t="shared" ca="1" si="404"/>
        <v>#NAME?</v>
      </c>
      <c r="T253" t="e">
        <f t="shared" ca="1" si="375"/>
        <v>#NAME?</v>
      </c>
      <c r="U253" s="4">
        <f t="shared" si="376"/>
        <v>67.367569444446417</v>
      </c>
      <c r="V253" s="4">
        <f t="shared" si="377"/>
        <v>2.2455856481482139</v>
      </c>
      <c r="W253" s="4">
        <f t="shared" si="378"/>
        <v>1</v>
      </c>
      <c r="X253" s="4">
        <f t="shared" si="379"/>
        <v>0</v>
      </c>
      <c r="Y253" s="4">
        <f t="shared" si="380"/>
        <v>0</v>
      </c>
      <c r="Z253" s="4">
        <f t="shared" si="381"/>
        <v>0</v>
      </c>
      <c r="AA253" s="4">
        <f t="shared" si="382"/>
        <v>0</v>
      </c>
      <c r="AB253" s="4">
        <f t="shared" si="383"/>
        <v>0</v>
      </c>
      <c r="AC253" s="4"/>
      <c r="AD253" s="4" t="b">
        <f t="shared" si="384"/>
        <v>0</v>
      </c>
      <c r="AE253" s="4" t="b">
        <f t="shared" si="385"/>
        <v>0</v>
      </c>
      <c r="AF253" s="4" t="b">
        <f t="shared" si="386"/>
        <v>0</v>
      </c>
      <c r="AG253" t="b">
        <f t="shared" si="387"/>
        <v>0</v>
      </c>
      <c r="AH253" t="b">
        <f t="shared" si="388"/>
        <v>0</v>
      </c>
      <c r="AI253" t="b">
        <f t="shared" si="389"/>
        <v>0</v>
      </c>
      <c r="AJ253" t="b">
        <f t="shared" si="390"/>
        <v>0</v>
      </c>
      <c r="AK253">
        <f t="shared" si="391"/>
        <v>1</v>
      </c>
      <c r="AL253" t="b">
        <f t="shared" si="392"/>
        <v>0</v>
      </c>
      <c r="AM253" t="b">
        <f t="shared" si="393"/>
        <v>0</v>
      </c>
      <c r="AN253" t="b">
        <f t="shared" si="394"/>
        <v>0</v>
      </c>
      <c r="AO253" t="b">
        <f t="shared" si="395"/>
        <v>0</v>
      </c>
      <c r="AP253" t="b">
        <f t="shared" si="396"/>
        <v>0</v>
      </c>
      <c r="AQ253" t="b">
        <f t="shared" si="397"/>
        <v>0</v>
      </c>
      <c r="AR253" t="b">
        <f t="shared" si="398"/>
        <v>0</v>
      </c>
      <c r="AS253" t="b">
        <f t="shared" si="399"/>
        <v>0</v>
      </c>
      <c r="AT253" t="b">
        <f t="shared" si="400"/>
        <v>0</v>
      </c>
      <c r="AU253" t="b">
        <f t="shared" si="401"/>
        <v>0</v>
      </c>
      <c r="AV253" t="b">
        <f t="shared" si="402"/>
        <v>0</v>
      </c>
      <c r="AW253" t="b">
        <f t="shared" si="403"/>
        <v>0</v>
      </c>
      <c r="AX253" t="b">
        <f t="shared" si="405"/>
        <v>0</v>
      </c>
      <c r="AY253" t="b">
        <f t="shared" si="406"/>
        <v>0</v>
      </c>
      <c r="AZ253" t="b">
        <f t="shared" si="407"/>
        <v>0</v>
      </c>
      <c r="BA253" t="b">
        <f t="shared" si="408"/>
        <v>0</v>
      </c>
      <c r="BB253" t="b">
        <f t="shared" si="409"/>
        <v>0</v>
      </c>
      <c r="BC253" t="b">
        <f t="shared" si="410"/>
        <v>0</v>
      </c>
      <c r="BD253" t="b">
        <f t="shared" si="411"/>
        <v>0</v>
      </c>
      <c r="BE253" t="b">
        <f t="shared" si="412"/>
        <v>0</v>
      </c>
      <c r="BF253" t="b">
        <f t="shared" si="413"/>
        <v>0</v>
      </c>
      <c r="BG253" t="b">
        <f t="shared" si="414"/>
        <v>0</v>
      </c>
      <c r="BH253" t="b">
        <f t="shared" si="415"/>
        <v>0</v>
      </c>
      <c r="BI253">
        <f t="shared" si="416"/>
        <v>1</v>
      </c>
      <c r="BJ253" t="b">
        <f t="shared" si="417"/>
        <v>0</v>
      </c>
      <c r="BK253" t="b">
        <f t="shared" si="418"/>
        <v>0</v>
      </c>
      <c r="BL253" t="b">
        <f t="shared" si="419"/>
        <v>0</v>
      </c>
      <c r="BM253" t="b">
        <f t="shared" si="420"/>
        <v>0</v>
      </c>
      <c r="BN253" t="b">
        <f t="shared" si="421"/>
        <v>0</v>
      </c>
      <c r="BO253" t="b">
        <f t="shared" si="422"/>
        <v>0</v>
      </c>
      <c r="BP253" t="b">
        <f t="shared" si="423"/>
        <v>0</v>
      </c>
      <c r="BQ253" t="b">
        <f t="shared" si="424"/>
        <v>0</v>
      </c>
      <c r="BR253" t="b">
        <f t="shared" si="425"/>
        <v>0</v>
      </c>
      <c r="BS253" t="b">
        <f t="shared" si="426"/>
        <v>0</v>
      </c>
      <c r="BT253" t="b">
        <f t="shared" si="427"/>
        <v>0</v>
      </c>
      <c r="BU253" t="b">
        <f t="shared" si="428"/>
        <v>0</v>
      </c>
      <c r="BV253" t="b">
        <f t="shared" si="429"/>
        <v>0</v>
      </c>
      <c r="BW253" t="b">
        <f t="shared" si="430"/>
        <v>0</v>
      </c>
      <c r="BX253" t="b">
        <f t="shared" si="431"/>
        <v>0</v>
      </c>
      <c r="BY253" t="b">
        <f t="shared" si="432"/>
        <v>0</v>
      </c>
      <c r="BZ253" t="b">
        <f t="shared" si="433"/>
        <v>0</v>
      </c>
      <c r="CA253" t="b">
        <f t="shared" si="434"/>
        <v>0</v>
      </c>
      <c r="CB253" t="b">
        <f t="shared" si="435"/>
        <v>0</v>
      </c>
      <c r="CC253" t="b">
        <f t="shared" si="436"/>
        <v>0</v>
      </c>
      <c r="CD253" t="b">
        <f t="shared" si="437"/>
        <v>0</v>
      </c>
      <c r="CE253">
        <f t="shared" si="438"/>
        <v>1</v>
      </c>
      <c r="CF253" t="b">
        <f t="shared" si="439"/>
        <v>0</v>
      </c>
      <c r="CG253" t="b">
        <f t="shared" si="440"/>
        <v>0</v>
      </c>
      <c r="CH253" t="b">
        <f t="shared" si="441"/>
        <v>0</v>
      </c>
      <c r="CI253" t="b">
        <f t="shared" si="442"/>
        <v>0</v>
      </c>
      <c r="CJ253" t="b">
        <f t="shared" si="443"/>
        <v>0</v>
      </c>
      <c r="CK253" t="b">
        <f t="shared" si="444"/>
        <v>0</v>
      </c>
      <c r="CL253" t="b">
        <f t="shared" si="445"/>
        <v>0</v>
      </c>
      <c r="CM253">
        <f t="shared" si="446"/>
        <v>1</v>
      </c>
      <c r="CN253" t="b">
        <f t="shared" si="447"/>
        <v>0</v>
      </c>
      <c r="CO253" t="b">
        <f t="shared" si="448"/>
        <v>0</v>
      </c>
      <c r="CP253" t="b">
        <f t="shared" si="449"/>
        <v>0</v>
      </c>
      <c r="CQ253" t="b">
        <f t="shared" si="450"/>
        <v>0</v>
      </c>
      <c r="CR253" t="b">
        <f t="shared" si="451"/>
        <v>0</v>
      </c>
      <c r="CS253" t="b">
        <f t="shared" si="452"/>
        <v>0</v>
      </c>
      <c r="CT253" t="b">
        <f t="shared" si="453"/>
        <v>0</v>
      </c>
      <c r="CU253">
        <f t="shared" si="454"/>
        <v>1</v>
      </c>
      <c r="CV253" t="b">
        <f t="shared" si="455"/>
        <v>0</v>
      </c>
      <c r="CW253" t="b">
        <f t="shared" si="456"/>
        <v>0</v>
      </c>
      <c r="CX253" t="b">
        <f t="shared" si="457"/>
        <v>0</v>
      </c>
      <c r="CY253" t="b">
        <f t="shared" si="458"/>
        <v>0</v>
      </c>
      <c r="CZ253" t="b">
        <f t="shared" si="459"/>
        <v>0</v>
      </c>
      <c r="DA253">
        <f t="shared" si="460"/>
        <v>1</v>
      </c>
      <c r="DB253">
        <f t="shared" si="461"/>
        <v>1</v>
      </c>
      <c r="DC253" t="b">
        <f t="shared" si="462"/>
        <v>0</v>
      </c>
      <c r="DD253" t="b">
        <f t="shared" si="463"/>
        <v>0</v>
      </c>
      <c r="DE253" t="b">
        <f t="shared" si="464"/>
        <v>0</v>
      </c>
      <c r="DF253" t="b">
        <f t="shared" si="465"/>
        <v>0</v>
      </c>
      <c r="DG253" t="b">
        <f t="shared" si="466"/>
        <v>0</v>
      </c>
      <c r="DH253" t="b">
        <f t="shared" si="467"/>
        <v>0</v>
      </c>
      <c r="DI253" t="b">
        <f t="shared" si="468"/>
        <v>0</v>
      </c>
      <c r="DJ253">
        <f t="shared" si="469"/>
        <v>1</v>
      </c>
      <c r="DK253" t="b">
        <f t="shared" si="470"/>
        <v>0</v>
      </c>
      <c r="DL253" t="b">
        <f t="shared" si="471"/>
        <v>0</v>
      </c>
      <c r="DM253" t="b">
        <f t="shared" si="472"/>
        <v>0</v>
      </c>
      <c r="DN253" t="b">
        <f t="shared" si="473"/>
        <v>0</v>
      </c>
      <c r="DO253" t="b">
        <f t="shared" si="474"/>
        <v>0</v>
      </c>
      <c r="DP253" t="b">
        <f t="shared" si="475"/>
        <v>0</v>
      </c>
      <c r="DQ253" t="b">
        <f t="shared" si="476"/>
        <v>0</v>
      </c>
      <c r="DR253" t="b">
        <f t="shared" si="477"/>
        <v>0</v>
      </c>
      <c r="DS253">
        <f t="shared" si="478"/>
        <v>1</v>
      </c>
      <c r="DT253" t="b">
        <f t="shared" si="479"/>
        <v>0</v>
      </c>
      <c r="DU253" t="b">
        <f t="shared" si="480"/>
        <v>0</v>
      </c>
      <c r="DV253" t="b">
        <f t="shared" si="481"/>
        <v>0</v>
      </c>
      <c r="DW253" t="b">
        <f t="shared" si="482"/>
        <v>0</v>
      </c>
      <c r="DX253" t="b">
        <f t="shared" si="483"/>
        <v>0</v>
      </c>
      <c r="DY253" t="b">
        <f t="shared" si="484"/>
        <v>0</v>
      </c>
      <c r="DZ253">
        <f t="shared" si="485"/>
        <v>1</v>
      </c>
      <c r="EA253" t="b">
        <f t="shared" si="486"/>
        <v>0</v>
      </c>
      <c r="EB253" t="b">
        <f t="shared" si="487"/>
        <v>0</v>
      </c>
      <c r="EC253" t="b">
        <f t="shared" si="488"/>
        <v>0</v>
      </c>
      <c r="ED253" t="b">
        <f t="shared" si="489"/>
        <v>0</v>
      </c>
      <c r="EE253" t="b">
        <f t="shared" si="490"/>
        <v>0</v>
      </c>
      <c r="EF253" t="b">
        <f t="shared" si="491"/>
        <v>0</v>
      </c>
      <c r="EG253" t="b">
        <f t="shared" si="492"/>
        <v>0</v>
      </c>
      <c r="EH253" t="b">
        <f t="shared" si="493"/>
        <v>0</v>
      </c>
      <c r="EI253" t="b">
        <f t="shared" si="494"/>
        <v>0</v>
      </c>
      <c r="EJ253" t="b">
        <f t="shared" si="495"/>
        <v>0</v>
      </c>
      <c r="EK253" t="b">
        <f t="shared" si="496"/>
        <v>0</v>
      </c>
    </row>
    <row r="254" spans="1:141">
      <c r="A254" t="s">
        <v>1358</v>
      </c>
      <c r="B254" t="s">
        <v>1358</v>
      </c>
      <c r="C254" t="s">
        <v>1359</v>
      </c>
      <c r="D254" s="1">
        <v>39275</v>
      </c>
      <c r="E254" s="2">
        <v>42637.901192129626</v>
      </c>
      <c r="F254" s="2">
        <v>42637.901192129626</v>
      </c>
      <c r="G254">
        <v>2136520</v>
      </c>
      <c r="H254" t="s">
        <v>1360</v>
      </c>
      <c r="I254" s="10" t="s">
        <v>1361</v>
      </c>
      <c r="J254" t="s">
        <v>1362</v>
      </c>
      <c r="K254" s="8" t="b">
        <v>1</v>
      </c>
      <c r="L254" s="10" t="b">
        <v>0</v>
      </c>
      <c r="M254" s="12" t="b">
        <v>0</v>
      </c>
      <c r="N254" t="b">
        <v>0</v>
      </c>
      <c r="O254" t="b">
        <v>0</v>
      </c>
      <c r="P254" t="b">
        <v>0</v>
      </c>
      <c r="Q254">
        <f t="shared" si="373"/>
        <v>5</v>
      </c>
      <c r="R254">
        <f t="shared" si="374"/>
        <v>7</v>
      </c>
      <c r="S254" t="e">
        <f t="shared" ca="1" si="404"/>
        <v>#NAME?</v>
      </c>
      <c r="T254" t="e">
        <f t="shared" ca="1" si="375"/>
        <v>#NAME?</v>
      </c>
      <c r="U254" s="4">
        <f t="shared" si="376"/>
        <v>3362.901192129626</v>
      </c>
      <c r="V254" s="4">
        <f t="shared" si="377"/>
        <v>112.09670640432087</v>
      </c>
      <c r="W254" s="4">
        <f t="shared" si="378"/>
        <v>1</v>
      </c>
      <c r="X254" s="4">
        <f t="shared" si="379"/>
        <v>0</v>
      </c>
      <c r="Y254" s="4">
        <f t="shared" si="380"/>
        <v>0</v>
      </c>
      <c r="Z254" s="4">
        <f t="shared" si="381"/>
        <v>0</v>
      </c>
      <c r="AA254" s="4">
        <f t="shared" si="382"/>
        <v>0</v>
      </c>
      <c r="AB254" s="4">
        <f t="shared" si="383"/>
        <v>0</v>
      </c>
      <c r="AC254" s="4"/>
      <c r="AD254" s="4" t="b">
        <f t="shared" si="384"/>
        <v>0</v>
      </c>
      <c r="AE254" s="4" t="b">
        <f t="shared" si="385"/>
        <v>0</v>
      </c>
      <c r="AF254" s="4" t="b">
        <f t="shared" si="386"/>
        <v>0</v>
      </c>
      <c r="AG254" t="b">
        <f t="shared" si="387"/>
        <v>0</v>
      </c>
      <c r="AH254" t="b">
        <f t="shared" si="388"/>
        <v>0</v>
      </c>
      <c r="AI254" t="b">
        <f t="shared" si="389"/>
        <v>0</v>
      </c>
      <c r="AJ254" t="b">
        <f t="shared" si="390"/>
        <v>0</v>
      </c>
      <c r="AK254" t="b">
        <f t="shared" si="391"/>
        <v>0</v>
      </c>
      <c r="AL254" t="b">
        <f t="shared" si="392"/>
        <v>0</v>
      </c>
      <c r="AM254" t="b">
        <f t="shared" si="393"/>
        <v>0</v>
      </c>
      <c r="AN254" t="b">
        <f t="shared" si="394"/>
        <v>0</v>
      </c>
      <c r="AO254" t="b">
        <f t="shared" si="395"/>
        <v>0</v>
      </c>
      <c r="AP254" t="b">
        <f t="shared" si="396"/>
        <v>0</v>
      </c>
      <c r="AQ254" t="b">
        <f t="shared" si="397"/>
        <v>0</v>
      </c>
      <c r="AR254" t="b">
        <f t="shared" si="398"/>
        <v>0</v>
      </c>
      <c r="AS254" t="b">
        <f t="shared" si="399"/>
        <v>0</v>
      </c>
      <c r="AT254" t="b">
        <f t="shared" si="400"/>
        <v>0</v>
      </c>
      <c r="AU254" t="b">
        <f t="shared" si="401"/>
        <v>0</v>
      </c>
      <c r="AV254" t="b">
        <f t="shared" si="402"/>
        <v>0</v>
      </c>
      <c r="AW254" t="b">
        <f t="shared" si="403"/>
        <v>0</v>
      </c>
      <c r="AX254" t="b">
        <f t="shared" si="405"/>
        <v>0</v>
      </c>
      <c r="AY254" t="b">
        <f t="shared" si="406"/>
        <v>0</v>
      </c>
      <c r="AZ254">
        <f t="shared" si="407"/>
        <v>1</v>
      </c>
      <c r="BA254" t="b">
        <f t="shared" si="408"/>
        <v>0</v>
      </c>
      <c r="BB254" t="b">
        <f t="shared" si="409"/>
        <v>0</v>
      </c>
      <c r="BC254" t="b">
        <f t="shared" si="410"/>
        <v>0</v>
      </c>
      <c r="BD254" t="b">
        <f t="shared" si="411"/>
        <v>0</v>
      </c>
      <c r="BE254" t="b">
        <f t="shared" si="412"/>
        <v>0</v>
      </c>
      <c r="BF254" t="b">
        <f t="shared" si="413"/>
        <v>0</v>
      </c>
      <c r="BG254" t="b">
        <f t="shared" si="414"/>
        <v>0</v>
      </c>
      <c r="BH254" t="b">
        <f t="shared" si="415"/>
        <v>0</v>
      </c>
      <c r="BI254">
        <f t="shared" si="416"/>
        <v>1</v>
      </c>
      <c r="BJ254" t="b">
        <f t="shared" si="417"/>
        <v>0</v>
      </c>
      <c r="BK254" t="b">
        <f t="shared" si="418"/>
        <v>0</v>
      </c>
      <c r="BL254" t="b">
        <f t="shared" si="419"/>
        <v>0</v>
      </c>
      <c r="BM254" t="b">
        <f t="shared" si="420"/>
        <v>0</v>
      </c>
      <c r="BN254" t="b">
        <f t="shared" si="421"/>
        <v>0</v>
      </c>
      <c r="BO254" t="b">
        <f t="shared" si="422"/>
        <v>0</v>
      </c>
      <c r="BP254" t="b">
        <f t="shared" si="423"/>
        <v>0</v>
      </c>
      <c r="BQ254" t="b">
        <f t="shared" si="424"/>
        <v>0</v>
      </c>
      <c r="BR254">
        <f t="shared" si="425"/>
        <v>1</v>
      </c>
      <c r="BS254" t="b">
        <f t="shared" si="426"/>
        <v>0</v>
      </c>
      <c r="BT254" t="b">
        <f t="shared" si="427"/>
        <v>0</v>
      </c>
      <c r="BU254" t="b">
        <f t="shared" si="428"/>
        <v>0</v>
      </c>
      <c r="BV254" t="b">
        <f t="shared" si="429"/>
        <v>0</v>
      </c>
      <c r="BW254" t="b">
        <f t="shared" si="430"/>
        <v>0</v>
      </c>
      <c r="BX254" t="b">
        <f t="shared" si="431"/>
        <v>0</v>
      </c>
      <c r="BY254" t="b">
        <f t="shared" si="432"/>
        <v>0</v>
      </c>
      <c r="BZ254" t="b">
        <f t="shared" si="433"/>
        <v>0</v>
      </c>
      <c r="CA254" t="b">
        <f t="shared" si="434"/>
        <v>0</v>
      </c>
      <c r="CB254" t="b">
        <f t="shared" si="435"/>
        <v>0</v>
      </c>
      <c r="CC254" t="b">
        <f t="shared" si="436"/>
        <v>0</v>
      </c>
      <c r="CD254" t="b">
        <f t="shared" si="437"/>
        <v>0</v>
      </c>
      <c r="CE254">
        <f t="shared" si="438"/>
        <v>1</v>
      </c>
      <c r="CF254" t="b">
        <f t="shared" si="439"/>
        <v>0</v>
      </c>
      <c r="CG254" t="b">
        <f t="shared" si="440"/>
        <v>0</v>
      </c>
      <c r="CH254" t="b">
        <f t="shared" si="441"/>
        <v>0</v>
      </c>
      <c r="CI254" t="b">
        <f t="shared" si="442"/>
        <v>0</v>
      </c>
      <c r="CJ254" t="b">
        <f t="shared" si="443"/>
        <v>0</v>
      </c>
      <c r="CK254" t="b">
        <f t="shared" si="444"/>
        <v>0</v>
      </c>
      <c r="CL254" t="b">
        <f t="shared" si="445"/>
        <v>0</v>
      </c>
      <c r="CM254">
        <f t="shared" si="446"/>
        <v>1</v>
      </c>
      <c r="CN254" t="b">
        <f t="shared" si="447"/>
        <v>0</v>
      </c>
      <c r="CO254" t="b">
        <f t="shared" si="448"/>
        <v>0</v>
      </c>
      <c r="CP254" t="b">
        <f t="shared" si="449"/>
        <v>0</v>
      </c>
      <c r="CQ254" t="b">
        <f t="shared" si="450"/>
        <v>0</v>
      </c>
      <c r="CR254" t="b">
        <f t="shared" si="451"/>
        <v>0</v>
      </c>
      <c r="CS254" t="b">
        <f t="shared" si="452"/>
        <v>0</v>
      </c>
      <c r="CT254" t="b">
        <f t="shared" si="453"/>
        <v>0</v>
      </c>
      <c r="CU254" t="b">
        <f t="shared" si="454"/>
        <v>0</v>
      </c>
      <c r="CV254">
        <f t="shared" si="455"/>
        <v>1</v>
      </c>
      <c r="CW254" t="b">
        <f t="shared" si="456"/>
        <v>0</v>
      </c>
      <c r="CX254" t="b">
        <f t="shared" si="457"/>
        <v>0</v>
      </c>
      <c r="CY254" t="b">
        <f t="shared" si="458"/>
        <v>0</v>
      </c>
      <c r="CZ254" t="b">
        <f t="shared" si="459"/>
        <v>0</v>
      </c>
      <c r="DA254" t="b">
        <f t="shared" si="460"/>
        <v>0</v>
      </c>
      <c r="DB254">
        <f t="shared" si="461"/>
        <v>1</v>
      </c>
      <c r="DC254" t="b">
        <f t="shared" si="462"/>
        <v>0</v>
      </c>
      <c r="DD254" t="b">
        <f t="shared" si="463"/>
        <v>0</v>
      </c>
      <c r="DE254" t="b">
        <f t="shared" si="464"/>
        <v>0</v>
      </c>
      <c r="DF254" t="b">
        <f t="shared" si="465"/>
        <v>0</v>
      </c>
      <c r="DG254" t="b">
        <f t="shared" si="466"/>
        <v>0</v>
      </c>
      <c r="DH254" t="b">
        <f t="shared" si="467"/>
        <v>0</v>
      </c>
      <c r="DI254" t="b">
        <f t="shared" si="468"/>
        <v>0</v>
      </c>
      <c r="DJ254" t="b">
        <f t="shared" si="469"/>
        <v>0</v>
      </c>
      <c r="DK254" t="b">
        <f t="shared" si="470"/>
        <v>0</v>
      </c>
      <c r="DL254" t="b">
        <f t="shared" si="471"/>
        <v>0</v>
      </c>
      <c r="DM254" t="b">
        <f t="shared" si="472"/>
        <v>0</v>
      </c>
      <c r="DN254" t="b">
        <f t="shared" si="473"/>
        <v>0</v>
      </c>
      <c r="DO254" t="b">
        <f t="shared" si="474"/>
        <v>0</v>
      </c>
      <c r="DP254" t="b">
        <f t="shared" si="475"/>
        <v>0</v>
      </c>
      <c r="DQ254" t="b">
        <f t="shared" si="476"/>
        <v>0</v>
      </c>
      <c r="DR254" t="b">
        <f t="shared" si="477"/>
        <v>0</v>
      </c>
      <c r="DS254">
        <f t="shared" si="478"/>
        <v>1</v>
      </c>
      <c r="DT254" t="b">
        <f t="shared" si="479"/>
        <v>0</v>
      </c>
      <c r="DU254" t="b">
        <f t="shared" si="480"/>
        <v>0</v>
      </c>
      <c r="DV254" t="b">
        <f t="shared" si="481"/>
        <v>0</v>
      </c>
      <c r="DW254" t="b">
        <f t="shared" si="482"/>
        <v>0</v>
      </c>
      <c r="DX254" t="b">
        <f t="shared" si="483"/>
        <v>0</v>
      </c>
      <c r="DY254" t="b">
        <f t="shared" si="484"/>
        <v>0</v>
      </c>
      <c r="DZ254" t="b">
        <f t="shared" si="485"/>
        <v>0</v>
      </c>
      <c r="EA254" t="b">
        <f t="shared" si="486"/>
        <v>0</v>
      </c>
      <c r="EB254" t="b">
        <f t="shared" si="487"/>
        <v>0</v>
      </c>
      <c r="EC254" t="b">
        <f t="shared" si="488"/>
        <v>0</v>
      </c>
      <c r="ED254" t="b">
        <f t="shared" si="489"/>
        <v>0</v>
      </c>
      <c r="EE254" t="b">
        <f t="shared" si="490"/>
        <v>0</v>
      </c>
      <c r="EF254">
        <f t="shared" si="491"/>
        <v>1</v>
      </c>
      <c r="EG254" t="b">
        <f t="shared" si="492"/>
        <v>0</v>
      </c>
      <c r="EH254" t="b">
        <f t="shared" si="493"/>
        <v>0</v>
      </c>
      <c r="EI254">
        <f t="shared" si="494"/>
        <v>1</v>
      </c>
      <c r="EJ254" t="b">
        <f t="shared" si="495"/>
        <v>0</v>
      </c>
      <c r="EK254" t="b">
        <f t="shared" si="496"/>
        <v>0</v>
      </c>
    </row>
    <row r="255" spans="1:141">
      <c r="A255" t="s">
        <v>1363</v>
      </c>
      <c r="B255" t="s">
        <v>1364</v>
      </c>
      <c r="C255" t="s">
        <v>1365</v>
      </c>
      <c r="D255" s="1">
        <v>42552</v>
      </c>
      <c r="E255" s="2">
        <v>43788.259513888886</v>
      </c>
      <c r="F255" s="2">
        <v>43788.259513888886</v>
      </c>
      <c r="G255">
        <v>669584</v>
      </c>
      <c r="H255" t="s">
        <v>1366</v>
      </c>
      <c r="I255" s="10" t="s">
        <v>1367</v>
      </c>
      <c r="J255" t="s">
        <v>199</v>
      </c>
      <c r="K255" s="8" t="b">
        <v>1</v>
      </c>
      <c r="L255" s="10" t="b">
        <v>0</v>
      </c>
      <c r="M255" s="12" t="b">
        <v>0</v>
      </c>
      <c r="N255" t="b">
        <v>0</v>
      </c>
      <c r="O255" t="b">
        <v>0</v>
      </c>
      <c r="P255" t="b">
        <v>0</v>
      </c>
      <c r="Q255">
        <f t="shared" si="373"/>
        <v>6</v>
      </c>
      <c r="R255">
        <f t="shared" si="374"/>
        <v>7</v>
      </c>
      <c r="S255" t="e">
        <f t="shared" ca="1" si="404"/>
        <v>#NAME?</v>
      </c>
      <c r="T255" t="e">
        <f t="shared" ca="1" si="375"/>
        <v>#NAME?</v>
      </c>
      <c r="U255" s="4">
        <f t="shared" si="376"/>
        <v>1236.2595138888864</v>
      </c>
      <c r="V255" s="4">
        <f t="shared" si="377"/>
        <v>41.208650462962879</v>
      </c>
      <c r="W255" s="4">
        <f t="shared" si="378"/>
        <v>1</v>
      </c>
      <c r="X255" s="4">
        <f t="shared" si="379"/>
        <v>0</v>
      </c>
      <c r="Y255" s="4">
        <f t="shared" si="380"/>
        <v>0</v>
      </c>
      <c r="Z255" s="4">
        <f t="shared" si="381"/>
        <v>0</v>
      </c>
      <c r="AA255" s="4">
        <f t="shared" si="382"/>
        <v>0</v>
      </c>
      <c r="AB255" s="4">
        <f t="shared" si="383"/>
        <v>0</v>
      </c>
      <c r="AC255" s="4"/>
      <c r="AD255" s="4" t="b">
        <f t="shared" si="384"/>
        <v>0</v>
      </c>
      <c r="AE255" s="4" t="b">
        <f t="shared" si="385"/>
        <v>0</v>
      </c>
      <c r="AF255" s="4" t="b">
        <f t="shared" si="386"/>
        <v>0</v>
      </c>
      <c r="AG255" t="b">
        <f t="shared" si="387"/>
        <v>0</v>
      </c>
      <c r="AH255" t="b">
        <f t="shared" si="388"/>
        <v>0</v>
      </c>
      <c r="AI255" t="b">
        <f t="shared" si="389"/>
        <v>0</v>
      </c>
      <c r="AJ255" t="b">
        <f t="shared" si="390"/>
        <v>0</v>
      </c>
      <c r="AK255" t="b">
        <f t="shared" si="391"/>
        <v>0</v>
      </c>
      <c r="AL255" t="b">
        <f t="shared" si="392"/>
        <v>0</v>
      </c>
      <c r="AM255" t="b">
        <f t="shared" si="393"/>
        <v>0</v>
      </c>
      <c r="AN255" t="b">
        <f t="shared" si="394"/>
        <v>0</v>
      </c>
      <c r="AO255" t="b">
        <f t="shared" si="395"/>
        <v>0</v>
      </c>
      <c r="AP255" t="b">
        <f t="shared" si="396"/>
        <v>0</v>
      </c>
      <c r="AQ255" t="b">
        <f t="shared" si="397"/>
        <v>0</v>
      </c>
      <c r="AR255" t="b">
        <f t="shared" si="398"/>
        <v>0</v>
      </c>
      <c r="AS255" t="b">
        <f t="shared" si="399"/>
        <v>0</v>
      </c>
      <c r="AT255" t="b">
        <f t="shared" si="400"/>
        <v>0</v>
      </c>
      <c r="AU255" t="b">
        <f t="shared" si="401"/>
        <v>0</v>
      </c>
      <c r="AV255" t="b">
        <f t="shared" si="402"/>
        <v>0</v>
      </c>
      <c r="AW255" t="b">
        <f t="shared" si="403"/>
        <v>0</v>
      </c>
      <c r="AX255" t="b">
        <f t="shared" si="405"/>
        <v>0</v>
      </c>
      <c r="AY255" t="b">
        <f t="shared" si="406"/>
        <v>0</v>
      </c>
      <c r="AZ255">
        <f t="shared" si="407"/>
        <v>1</v>
      </c>
      <c r="BA255" t="b">
        <f t="shared" si="408"/>
        <v>0</v>
      </c>
      <c r="BB255" t="b">
        <f t="shared" si="409"/>
        <v>0</v>
      </c>
      <c r="BC255" t="b">
        <f t="shared" si="410"/>
        <v>0</v>
      </c>
      <c r="BD255" t="b">
        <f t="shared" si="411"/>
        <v>0</v>
      </c>
      <c r="BE255" t="b">
        <f t="shared" si="412"/>
        <v>0</v>
      </c>
      <c r="BF255" t="b">
        <f t="shared" si="413"/>
        <v>0</v>
      </c>
      <c r="BG255" t="b">
        <f t="shared" si="414"/>
        <v>0</v>
      </c>
      <c r="BH255" t="b">
        <f t="shared" si="415"/>
        <v>0</v>
      </c>
      <c r="BI255">
        <f t="shared" si="416"/>
        <v>1</v>
      </c>
      <c r="BJ255" t="b">
        <f t="shared" si="417"/>
        <v>0</v>
      </c>
      <c r="BK255" t="b">
        <f t="shared" si="418"/>
        <v>0</v>
      </c>
      <c r="BL255" t="b">
        <f t="shared" si="419"/>
        <v>0</v>
      </c>
      <c r="BM255" t="b">
        <f t="shared" si="420"/>
        <v>0</v>
      </c>
      <c r="BN255" t="b">
        <f t="shared" si="421"/>
        <v>0</v>
      </c>
      <c r="BO255" t="b">
        <f t="shared" si="422"/>
        <v>0</v>
      </c>
      <c r="BP255" t="b">
        <f t="shared" si="423"/>
        <v>0</v>
      </c>
      <c r="BQ255" t="b">
        <f t="shared" si="424"/>
        <v>0</v>
      </c>
      <c r="BR255" t="b">
        <f t="shared" si="425"/>
        <v>0</v>
      </c>
      <c r="BS255" t="b">
        <f t="shared" si="426"/>
        <v>0</v>
      </c>
      <c r="BT255" t="b">
        <f t="shared" si="427"/>
        <v>0</v>
      </c>
      <c r="BU255" t="b">
        <f t="shared" si="428"/>
        <v>0</v>
      </c>
      <c r="BV255" t="b">
        <f t="shared" si="429"/>
        <v>0</v>
      </c>
      <c r="BW255" t="b">
        <f t="shared" si="430"/>
        <v>0</v>
      </c>
      <c r="BX255" t="b">
        <f t="shared" si="431"/>
        <v>0</v>
      </c>
      <c r="BY255" t="b">
        <f t="shared" si="432"/>
        <v>0</v>
      </c>
      <c r="BZ255" t="b">
        <f t="shared" si="433"/>
        <v>0</v>
      </c>
      <c r="CA255" t="b">
        <f t="shared" si="434"/>
        <v>0</v>
      </c>
      <c r="CB255" t="b">
        <f t="shared" si="435"/>
        <v>0</v>
      </c>
      <c r="CC255" t="b">
        <f t="shared" si="436"/>
        <v>0</v>
      </c>
      <c r="CD255" t="b">
        <f t="shared" si="437"/>
        <v>0</v>
      </c>
      <c r="CE255">
        <f t="shared" si="438"/>
        <v>1</v>
      </c>
      <c r="CF255" t="b">
        <f t="shared" si="439"/>
        <v>0</v>
      </c>
      <c r="CG255" t="b">
        <f t="shared" si="440"/>
        <v>0</v>
      </c>
      <c r="CH255" t="b">
        <f t="shared" si="441"/>
        <v>0</v>
      </c>
      <c r="CI255" t="b">
        <f t="shared" si="442"/>
        <v>0</v>
      </c>
      <c r="CJ255" t="b">
        <f t="shared" si="443"/>
        <v>0</v>
      </c>
      <c r="CK255" t="b">
        <f t="shared" si="444"/>
        <v>0</v>
      </c>
      <c r="CL255" t="b">
        <f t="shared" si="445"/>
        <v>0</v>
      </c>
      <c r="CM255" t="b">
        <f t="shared" si="446"/>
        <v>0</v>
      </c>
      <c r="CN255" t="b">
        <f t="shared" si="447"/>
        <v>0</v>
      </c>
      <c r="CO255" t="b">
        <f t="shared" si="448"/>
        <v>0</v>
      </c>
      <c r="CP255" t="b">
        <f t="shared" si="449"/>
        <v>0</v>
      </c>
      <c r="CQ255" t="b">
        <f t="shared" si="450"/>
        <v>0</v>
      </c>
      <c r="CR255" t="b">
        <f t="shared" si="451"/>
        <v>0</v>
      </c>
      <c r="CS255" t="b">
        <f t="shared" si="452"/>
        <v>0</v>
      </c>
      <c r="CT255" t="b">
        <f t="shared" si="453"/>
        <v>0</v>
      </c>
      <c r="CU255" t="b">
        <f t="shared" si="454"/>
        <v>0</v>
      </c>
      <c r="CV255">
        <f t="shared" si="455"/>
        <v>1</v>
      </c>
      <c r="CW255" t="b">
        <f t="shared" si="456"/>
        <v>0</v>
      </c>
      <c r="CX255" t="b">
        <f t="shared" si="457"/>
        <v>0</v>
      </c>
      <c r="CY255" t="b">
        <f t="shared" si="458"/>
        <v>0</v>
      </c>
      <c r="CZ255" t="b">
        <f t="shared" si="459"/>
        <v>0</v>
      </c>
      <c r="DA255" t="b">
        <f t="shared" si="460"/>
        <v>0</v>
      </c>
      <c r="DB255" t="b">
        <f t="shared" si="461"/>
        <v>0</v>
      </c>
      <c r="DC255" t="b">
        <f t="shared" si="462"/>
        <v>0</v>
      </c>
      <c r="DD255" t="b">
        <f t="shared" si="463"/>
        <v>0</v>
      </c>
      <c r="DE255" t="b">
        <f t="shared" si="464"/>
        <v>0</v>
      </c>
      <c r="DF255" t="b">
        <f t="shared" si="465"/>
        <v>0</v>
      </c>
      <c r="DG255" t="b">
        <f t="shared" si="466"/>
        <v>0</v>
      </c>
      <c r="DH255" t="b">
        <f t="shared" si="467"/>
        <v>0</v>
      </c>
      <c r="DI255" t="b">
        <f t="shared" si="468"/>
        <v>0</v>
      </c>
      <c r="DJ255" t="b">
        <f t="shared" si="469"/>
        <v>0</v>
      </c>
      <c r="DK255" t="b">
        <f t="shared" si="470"/>
        <v>0</v>
      </c>
      <c r="DL255" t="b">
        <f t="shared" si="471"/>
        <v>0</v>
      </c>
      <c r="DM255" t="b">
        <f t="shared" si="472"/>
        <v>0</v>
      </c>
      <c r="DN255" t="b">
        <f t="shared" si="473"/>
        <v>0</v>
      </c>
      <c r="DO255" t="b">
        <f t="shared" si="474"/>
        <v>0</v>
      </c>
      <c r="DP255" t="b">
        <f t="shared" si="475"/>
        <v>0</v>
      </c>
      <c r="DQ255" t="b">
        <f t="shared" si="476"/>
        <v>0</v>
      </c>
      <c r="DR255" t="b">
        <f t="shared" si="477"/>
        <v>0</v>
      </c>
      <c r="DS255" t="b">
        <f t="shared" si="478"/>
        <v>0</v>
      </c>
      <c r="DT255" t="b">
        <f t="shared" si="479"/>
        <v>0</v>
      </c>
      <c r="DU255" t="b">
        <f t="shared" si="480"/>
        <v>0</v>
      </c>
      <c r="DV255" t="b">
        <f t="shared" si="481"/>
        <v>0</v>
      </c>
      <c r="DW255" t="b">
        <f t="shared" si="482"/>
        <v>0</v>
      </c>
      <c r="DX255" t="b">
        <f t="shared" si="483"/>
        <v>0</v>
      </c>
      <c r="DY255" t="b">
        <f t="shared" si="484"/>
        <v>0</v>
      </c>
      <c r="DZ255" t="b">
        <f t="shared" si="485"/>
        <v>0</v>
      </c>
      <c r="EA255" t="b">
        <f t="shared" si="486"/>
        <v>0</v>
      </c>
      <c r="EB255" t="b">
        <f t="shared" si="487"/>
        <v>0</v>
      </c>
      <c r="EC255" t="b">
        <f t="shared" si="488"/>
        <v>0</v>
      </c>
      <c r="ED255" t="b">
        <f t="shared" si="489"/>
        <v>0</v>
      </c>
      <c r="EE255" t="b">
        <f t="shared" si="490"/>
        <v>0</v>
      </c>
      <c r="EF255">
        <f t="shared" si="491"/>
        <v>1</v>
      </c>
      <c r="EG255" t="b">
        <f t="shared" si="492"/>
        <v>0</v>
      </c>
      <c r="EH255" t="b">
        <f t="shared" si="493"/>
        <v>0</v>
      </c>
      <c r="EI255" t="b">
        <f t="shared" si="494"/>
        <v>0</v>
      </c>
      <c r="EJ255" t="b">
        <f t="shared" si="495"/>
        <v>0</v>
      </c>
      <c r="EK255" t="b">
        <f t="shared" si="496"/>
        <v>0</v>
      </c>
    </row>
    <row r="256" spans="1:141">
      <c r="A256" t="s">
        <v>1368</v>
      </c>
      <c r="B256" t="s">
        <v>1368</v>
      </c>
      <c r="C256" t="s">
        <v>1369</v>
      </c>
      <c r="D256" s="1">
        <v>44107</v>
      </c>
      <c r="E256" s="2">
        <v>44535.948587962965</v>
      </c>
      <c r="F256" s="2">
        <v>44538.074328703704</v>
      </c>
      <c r="G256">
        <v>113990759</v>
      </c>
      <c r="H256" t="s">
        <v>1370</v>
      </c>
      <c r="I256" s="10" t="s">
        <v>1371</v>
      </c>
      <c r="J256" t="s">
        <v>1372</v>
      </c>
      <c r="K256" s="8" t="b">
        <v>1</v>
      </c>
      <c r="L256" s="10" t="b">
        <v>0</v>
      </c>
      <c r="M256" s="12" t="b">
        <v>0</v>
      </c>
      <c r="N256" t="b">
        <v>0</v>
      </c>
      <c r="O256" t="b">
        <v>0</v>
      </c>
      <c r="P256" t="b">
        <v>0</v>
      </c>
      <c r="Q256">
        <f t="shared" si="373"/>
        <v>7</v>
      </c>
      <c r="R256">
        <f t="shared" si="374"/>
        <v>10</v>
      </c>
      <c r="S256" t="e">
        <f t="shared" ca="1" si="404"/>
        <v>#NAME?</v>
      </c>
      <c r="T256" t="e">
        <f t="shared" ca="1" si="375"/>
        <v>#NAME?</v>
      </c>
      <c r="U256" s="4">
        <f t="shared" si="376"/>
        <v>428.94858796296467</v>
      </c>
      <c r="V256" s="4">
        <f t="shared" si="377"/>
        <v>14.298286265432155</v>
      </c>
      <c r="W256" s="4">
        <f t="shared" si="378"/>
        <v>1</v>
      </c>
      <c r="X256" s="4">
        <f t="shared" si="379"/>
        <v>0</v>
      </c>
      <c r="Y256" s="4">
        <f t="shared" si="380"/>
        <v>0</v>
      </c>
      <c r="Z256" s="4">
        <f t="shared" si="381"/>
        <v>0</v>
      </c>
      <c r="AA256" s="4">
        <f t="shared" si="382"/>
        <v>0</v>
      </c>
      <c r="AB256" s="4">
        <f t="shared" si="383"/>
        <v>0</v>
      </c>
      <c r="AC256" s="4"/>
      <c r="AD256" s="4" t="b">
        <f t="shared" si="384"/>
        <v>0</v>
      </c>
      <c r="AE256" s="4" t="b">
        <f t="shared" si="385"/>
        <v>0</v>
      </c>
      <c r="AF256" s="4" t="b">
        <f t="shared" si="386"/>
        <v>0</v>
      </c>
      <c r="AG256" t="b">
        <f t="shared" si="387"/>
        <v>0</v>
      </c>
      <c r="AH256" t="b">
        <f t="shared" si="388"/>
        <v>0</v>
      </c>
      <c r="AI256" t="b">
        <f t="shared" si="389"/>
        <v>0</v>
      </c>
      <c r="AJ256" t="b">
        <f t="shared" si="390"/>
        <v>0</v>
      </c>
      <c r="AK256" t="b">
        <f t="shared" si="391"/>
        <v>0</v>
      </c>
      <c r="AL256" t="b">
        <f t="shared" si="392"/>
        <v>0</v>
      </c>
      <c r="AM256" t="b">
        <f t="shared" si="393"/>
        <v>0</v>
      </c>
      <c r="AN256" t="b">
        <f t="shared" si="394"/>
        <v>0</v>
      </c>
      <c r="AO256" t="b">
        <f t="shared" si="395"/>
        <v>0</v>
      </c>
      <c r="AP256" t="b">
        <f t="shared" si="396"/>
        <v>0</v>
      </c>
      <c r="AQ256" t="b">
        <f t="shared" si="397"/>
        <v>0</v>
      </c>
      <c r="AR256" t="b">
        <f t="shared" si="398"/>
        <v>0</v>
      </c>
      <c r="AS256" t="b">
        <f t="shared" si="399"/>
        <v>0</v>
      </c>
      <c r="AT256" t="b">
        <f t="shared" si="400"/>
        <v>0</v>
      </c>
      <c r="AU256" t="b">
        <f t="shared" si="401"/>
        <v>0</v>
      </c>
      <c r="AV256" t="b">
        <f t="shared" si="402"/>
        <v>0</v>
      </c>
      <c r="AW256" t="b">
        <f t="shared" si="403"/>
        <v>0</v>
      </c>
      <c r="AX256" t="b">
        <f t="shared" si="405"/>
        <v>0</v>
      </c>
      <c r="AY256" t="b">
        <f t="shared" si="406"/>
        <v>0</v>
      </c>
      <c r="AZ256" t="b">
        <f t="shared" si="407"/>
        <v>0</v>
      </c>
      <c r="BA256" t="b">
        <f t="shared" si="408"/>
        <v>0</v>
      </c>
      <c r="BB256" t="b">
        <f t="shared" si="409"/>
        <v>0</v>
      </c>
      <c r="BC256" t="b">
        <f t="shared" si="410"/>
        <v>0</v>
      </c>
      <c r="BD256" t="b">
        <f t="shared" si="411"/>
        <v>0</v>
      </c>
      <c r="BE256" t="b">
        <f t="shared" si="412"/>
        <v>0</v>
      </c>
      <c r="BF256" t="b">
        <f t="shared" si="413"/>
        <v>0</v>
      </c>
      <c r="BG256" t="b">
        <f t="shared" si="414"/>
        <v>0</v>
      </c>
      <c r="BH256" t="b">
        <f t="shared" si="415"/>
        <v>0</v>
      </c>
      <c r="BI256">
        <f t="shared" si="416"/>
        <v>1</v>
      </c>
      <c r="BJ256" t="b">
        <f t="shared" si="417"/>
        <v>0</v>
      </c>
      <c r="BK256" t="b">
        <f t="shared" si="418"/>
        <v>0</v>
      </c>
      <c r="BL256" t="b">
        <f t="shared" si="419"/>
        <v>0</v>
      </c>
      <c r="BM256" t="b">
        <f t="shared" si="420"/>
        <v>0</v>
      </c>
      <c r="BN256" t="b">
        <f t="shared" si="421"/>
        <v>0</v>
      </c>
      <c r="BO256" t="b">
        <f t="shared" si="422"/>
        <v>0</v>
      </c>
      <c r="BP256" t="b">
        <f t="shared" si="423"/>
        <v>0</v>
      </c>
      <c r="BQ256" t="b">
        <f t="shared" si="424"/>
        <v>0</v>
      </c>
      <c r="BR256" t="b">
        <f t="shared" si="425"/>
        <v>0</v>
      </c>
      <c r="BS256" t="b">
        <f t="shared" si="426"/>
        <v>0</v>
      </c>
      <c r="BT256" t="b">
        <f t="shared" si="427"/>
        <v>0</v>
      </c>
      <c r="BU256" t="b">
        <f t="shared" si="428"/>
        <v>0</v>
      </c>
      <c r="BV256" t="b">
        <f t="shared" si="429"/>
        <v>0</v>
      </c>
      <c r="BW256" t="b">
        <f t="shared" si="430"/>
        <v>0</v>
      </c>
      <c r="BX256" t="b">
        <f t="shared" si="431"/>
        <v>0</v>
      </c>
      <c r="BY256" t="b">
        <f t="shared" si="432"/>
        <v>0</v>
      </c>
      <c r="BZ256" t="b">
        <f t="shared" si="433"/>
        <v>0</v>
      </c>
      <c r="CA256" t="b">
        <f t="shared" si="434"/>
        <v>0</v>
      </c>
      <c r="CB256" t="b">
        <f t="shared" si="435"/>
        <v>0</v>
      </c>
      <c r="CC256" t="b">
        <f t="shared" si="436"/>
        <v>0</v>
      </c>
      <c r="CD256" t="b">
        <f t="shared" si="437"/>
        <v>0</v>
      </c>
      <c r="CE256" t="b">
        <f t="shared" si="438"/>
        <v>0</v>
      </c>
      <c r="CF256" t="b">
        <f t="shared" si="439"/>
        <v>0</v>
      </c>
      <c r="CG256" t="b">
        <f t="shared" si="440"/>
        <v>0</v>
      </c>
      <c r="CH256" t="b">
        <f t="shared" si="441"/>
        <v>0</v>
      </c>
      <c r="CI256" t="b">
        <f t="shared" si="442"/>
        <v>0</v>
      </c>
      <c r="CJ256" t="b">
        <f t="shared" si="443"/>
        <v>0</v>
      </c>
      <c r="CK256" t="b">
        <f t="shared" si="444"/>
        <v>0</v>
      </c>
      <c r="CL256" t="b">
        <f t="shared" si="445"/>
        <v>0</v>
      </c>
      <c r="CM256">
        <f t="shared" si="446"/>
        <v>1</v>
      </c>
      <c r="CN256" t="b">
        <f t="shared" si="447"/>
        <v>0</v>
      </c>
      <c r="CO256" t="b">
        <f t="shared" si="448"/>
        <v>0</v>
      </c>
      <c r="CP256" t="b">
        <f t="shared" si="449"/>
        <v>0</v>
      </c>
      <c r="CQ256" t="b">
        <f t="shared" si="450"/>
        <v>0</v>
      </c>
      <c r="CR256" t="b">
        <f t="shared" si="451"/>
        <v>0</v>
      </c>
      <c r="CS256" t="b">
        <f t="shared" si="452"/>
        <v>0</v>
      </c>
      <c r="CT256" t="b">
        <f t="shared" si="453"/>
        <v>0</v>
      </c>
      <c r="CU256" t="b">
        <f t="shared" si="454"/>
        <v>0</v>
      </c>
      <c r="CV256" t="b">
        <f t="shared" si="455"/>
        <v>0</v>
      </c>
      <c r="CW256" t="b">
        <f t="shared" si="456"/>
        <v>0</v>
      </c>
      <c r="CX256" t="b">
        <f t="shared" si="457"/>
        <v>0</v>
      </c>
      <c r="CY256" t="b">
        <f t="shared" si="458"/>
        <v>0</v>
      </c>
      <c r="CZ256" t="b">
        <f t="shared" si="459"/>
        <v>0</v>
      </c>
      <c r="DA256" t="b">
        <f t="shared" si="460"/>
        <v>0</v>
      </c>
      <c r="DB256" t="b">
        <f t="shared" si="461"/>
        <v>0</v>
      </c>
      <c r="DC256" t="b">
        <f t="shared" si="462"/>
        <v>0</v>
      </c>
      <c r="DD256" t="b">
        <f t="shared" si="463"/>
        <v>0</v>
      </c>
      <c r="DE256" t="b">
        <f t="shared" si="464"/>
        <v>0</v>
      </c>
      <c r="DF256" t="b">
        <f t="shared" si="465"/>
        <v>0</v>
      </c>
      <c r="DG256" t="b">
        <f t="shared" si="466"/>
        <v>0</v>
      </c>
      <c r="DH256" t="b">
        <f t="shared" si="467"/>
        <v>0</v>
      </c>
      <c r="DI256" t="b">
        <f t="shared" si="468"/>
        <v>0</v>
      </c>
      <c r="DJ256" t="b">
        <f t="shared" si="469"/>
        <v>0</v>
      </c>
      <c r="DK256" t="b">
        <f t="shared" si="470"/>
        <v>0</v>
      </c>
      <c r="DL256" t="b">
        <f t="shared" si="471"/>
        <v>0</v>
      </c>
      <c r="DM256" t="b">
        <f t="shared" si="472"/>
        <v>0</v>
      </c>
      <c r="DN256" t="b">
        <f t="shared" si="473"/>
        <v>0</v>
      </c>
      <c r="DO256" t="b">
        <f t="shared" si="474"/>
        <v>0</v>
      </c>
      <c r="DP256" t="b">
        <f t="shared" si="475"/>
        <v>0</v>
      </c>
      <c r="DQ256" t="b">
        <f t="shared" si="476"/>
        <v>0</v>
      </c>
      <c r="DR256" t="b">
        <f t="shared" si="477"/>
        <v>0</v>
      </c>
      <c r="DS256" t="b">
        <f t="shared" si="478"/>
        <v>0</v>
      </c>
      <c r="DT256" t="b">
        <f t="shared" si="479"/>
        <v>0</v>
      </c>
      <c r="DU256" t="b">
        <f t="shared" si="480"/>
        <v>0</v>
      </c>
      <c r="DV256" t="b">
        <f t="shared" si="481"/>
        <v>0</v>
      </c>
      <c r="DW256" t="b">
        <f t="shared" si="482"/>
        <v>0</v>
      </c>
      <c r="DX256" t="b">
        <f t="shared" si="483"/>
        <v>0</v>
      </c>
      <c r="DY256" t="b">
        <f t="shared" si="484"/>
        <v>0</v>
      </c>
      <c r="DZ256" t="b">
        <f t="shared" si="485"/>
        <v>0</v>
      </c>
      <c r="EA256" t="b">
        <f t="shared" si="486"/>
        <v>0</v>
      </c>
      <c r="EB256" t="b">
        <f t="shared" si="487"/>
        <v>0</v>
      </c>
      <c r="EC256" t="b">
        <f t="shared" si="488"/>
        <v>0</v>
      </c>
      <c r="ED256" t="b">
        <f t="shared" si="489"/>
        <v>0</v>
      </c>
      <c r="EE256" t="b">
        <f t="shared" si="490"/>
        <v>0</v>
      </c>
      <c r="EF256">
        <f t="shared" si="491"/>
        <v>1</v>
      </c>
      <c r="EG256" t="b">
        <f t="shared" si="492"/>
        <v>0</v>
      </c>
      <c r="EH256" t="b">
        <f t="shared" si="493"/>
        <v>0</v>
      </c>
      <c r="EI256" t="b">
        <f t="shared" si="494"/>
        <v>0</v>
      </c>
      <c r="EJ256" t="b">
        <f t="shared" si="495"/>
        <v>0</v>
      </c>
      <c r="EK256" t="b">
        <f t="shared" si="496"/>
        <v>0</v>
      </c>
    </row>
    <row r="257" spans="1:141">
      <c r="A257" t="s">
        <v>1373</v>
      </c>
      <c r="B257" t="s">
        <v>1373</v>
      </c>
      <c r="C257" t="s">
        <v>1374</v>
      </c>
      <c r="D257" s="1">
        <v>42583</v>
      </c>
      <c r="E257" s="2">
        <v>42605.862002314818</v>
      </c>
      <c r="F257" s="2">
        <v>42605.862002314818</v>
      </c>
      <c r="G257">
        <v>197184</v>
      </c>
      <c r="H257" t="s">
        <v>1375</v>
      </c>
      <c r="I257" s="10" t="s">
        <v>1376</v>
      </c>
      <c r="J257" t="s">
        <v>985</v>
      </c>
      <c r="K257" s="8" t="b">
        <v>1</v>
      </c>
      <c r="L257" s="10" t="b">
        <v>0</v>
      </c>
      <c r="M257" s="12" t="b">
        <v>0</v>
      </c>
      <c r="N257" t="b">
        <v>0</v>
      </c>
      <c r="O257" t="b">
        <v>0</v>
      </c>
      <c r="P257" t="b">
        <v>0</v>
      </c>
      <c r="Q257">
        <f t="shared" si="373"/>
        <v>2</v>
      </c>
      <c r="R257">
        <f t="shared" si="374"/>
        <v>8</v>
      </c>
      <c r="S257" t="e">
        <f t="shared" ca="1" si="404"/>
        <v>#NAME?</v>
      </c>
      <c r="T257" t="e">
        <f t="shared" ca="1" si="375"/>
        <v>#NAME?</v>
      </c>
      <c r="U257" s="4">
        <f t="shared" si="376"/>
        <v>22.862002314817801</v>
      </c>
      <c r="V257" s="4">
        <f t="shared" si="377"/>
        <v>0.76206674382726003</v>
      </c>
      <c r="W257" s="4">
        <f t="shared" si="378"/>
        <v>1</v>
      </c>
      <c r="X257" s="4">
        <f t="shared" si="379"/>
        <v>0</v>
      </c>
      <c r="Y257" s="4">
        <f t="shared" si="380"/>
        <v>0</v>
      </c>
      <c r="Z257" s="4">
        <f t="shared" si="381"/>
        <v>0</v>
      </c>
      <c r="AA257" s="4">
        <f t="shared" si="382"/>
        <v>0</v>
      </c>
      <c r="AB257" s="4">
        <f t="shared" si="383"/>
        <v>0</v>
      </c>
      <c r="AC257" s="4"/>
      <c r="AD257" s="4" t="b">
        <f t="shared" si="384"/>
        <v>0</v>
      </c>
      <c r="AE257" s="4" t="b">
        <f t="shared" si="385"/>
        <v>0</v>
      </c>
      <c r="AF257" s="4" t="b">
        <f t="shared" si="386"/>
        <v>0</v>
      </c>
      <c r="AG257" t="b">
        <f t="shared" si="387"/>
        <v>0</v>
      </c>
      <c r="AH257" t="b">
        <f t="shared" si="388"/>
        <v>0</v>
      </c>
      <c r="AI257" t="b">
        <f t="shared" si="389"/>
        <v>0</v>
      </c>
      <c r="AJ257" t="b">
        <f t="shared" si="390"/>
        <v>0</v>
      </c>
      <c r="AK257" t="b">
        <f t="shared" si="391"/>
        <v>0</v>
      </c>
      <c r="AL257" t="b">
        <f t="shared" si="392"/>
        <v>0</v>
      </c>
      <c r="AM257" t="b">
        <f t="shared" si="393"/>
        <v>0</v>
      </c>
      <c r="AN257" t="b">
        <f t="shared" si="394"/>
        <v>0</v>
      </c>
      <c r="AO257" t="b">
        <f t="shared" si="395"/>
        <v>0</v>
      </c>
      <c r="AP257" t="b">
        <f t="shared" si="396"/>
        <v>0</v>
      </c>
      <c r="AQ257" t="b">
        <f t="shared" si="397"/>
        <v>0</v>
      </c>
      <c r="AR257" t="b">
        <f t="shared" si="398"/>
        <v>0</v>
      </c>
      <c r="AS257" t="b">
        <f t="shared" si="399"/>
        <v>0</v>
      </c>
      <c r="AT257" t="b">
        <f t="shared" si="400"/>
        <v>0</v>
      </c>
      <c r="AU257" t="b">
        <f t="shared" si="401"/>
        <v>0</v>
      </c>
      <c r="AV257" t="b">
        <f t="shared" si="402"/>
        <v>0</v>
      </c>
      <c r="AW257" t="b">
        <f t="shared" si="403"/>
        <v>0</v>
      </c>
      <c r="AX257" t="b">
        <f t="shared" si="405"/>
        <v>0</v>
      </c>
      <c r="AY257" t="b">
        <f t="shared" si="406"/>
        <v>0</v>
      </c>
      <c r="AZ257">
        <f t="shared" si="407"/>
        <v>1</v>
      </c>
      <c r="BA257" t="b">
        <f t="shared" si="408"/>
        <v>0</v>
      </c>
      <c r="BB257" t="b">
        <f t="shared" si="409"/>
        <v>0</v>
      </c>
      <c r="BC257" t="b">
        <f t="shared" si="410"/>
        <v>0</v>
      </c>
      <c r="BD257" t="b">
        <f t="shared" si="411"/>
        <v>0</v>
      </c>
      <c r="BE257" t="b">
        <f t="shared" si="412"/>
        <v>0</v>
      </c>
      <c r="BF257" t="b">
        <f t="shared" si="413"/>
        <v>0</v>
      </c>
      <c r="BG257" t="b">
        <f t="shared" si="414"/>
        <v>0</v>
      </c>
      <c r="BH257" t="b">
        <f t="shared" si="415"/>
        <v>0</v>
      </c>
      <c r="BI257">
        <f t="shared" si="416"/>
        <v>1</v>
      </c>
      <c r="BJ257" t="b">
        <f t="shared" si="417"/>
        <v>0</v>
      </c>
      <c r="BK257" t="b">
        <f t="shared" si="418"/>
        <v>0</v>
      </c>
      <c r="BL257" t="b">
        <f t="shared" si="419"/>
        <v>0</v>
      </c>
      <c r="BM257" t="b">
        <f t="shared" si="420"/>
        <v>0</v>
      </c>
      <c r="BN257" t="b">
        <f t="shared" si="421"/>
        <v>0</v>
      </c>
      <c r="BO257" t="b">
        <f t="shared" si="422"/>
        <v>0</v>
      </c>
      <c r="BP257" t="b">
        <f t="shared" si="423"/>
        <v>0</v>
      </c>
      <c r="BQ257" t="b">
        <f t="shared" si="424"/>
        <v>0</v>
      </c>
      <c r="BR257" t="b">
        <f t="shared" si="425"/>
        <v>0</v>
      </c>
      <c r="BS257" t="b">
        <f t="shared" si="426"/>
        <v>0</v>
      </c>
      <c r="BT257" t="b">
        <f t="shared" si="427"/>
        <v>0</v>
      </c>
      <c r="BU257" t="b">
        <f t="shared" si="428"/>
        <v>0</v>
      </c>
      <c r="BV257" t="b">
        <f t="shared" si="429"/>
        <v>0</v>
      </c>
      <c r="BW257" t="b">
        <f t="shared" si="430"/>
        <v>0</v>
      </c>
      <c r="BX257" t="b">
        <f t="shared" si="431"/>
        <v>0</v>
      </c>
      <c r="BY257" t="b">
        <f t="shared" si="432"/>
        <v>0</v>
      </c>
      <c r="BZ257" t="b">
        <f t="shared" si="433"/>
        <v>0</v>
      </c>
      <c r="CA257" t="b">
        <f t="shared" si="434"/>
        <v>0</v>
      </c>
      <c r="CB257" t="b">
        <f t="shared" si="435"/>
        <v>0</v>
      </c>
      <c r="CC257" t="b">
        <f t="shared" si="436"/>
        <v>0</v>
      </c>
      <c r="CD257" t="b">
        <f t="shared" si="437"/>
        <v>0</v>
      </c>
      <c r="CE257">
        <f t="shared" si="438"/>
        <v>1</v>
      </c>
      <c r="CF257" t="b">
        <f t="shared" si="439"/>
        <v>0</v>
      </c>
      <c r="CG257" t="b">
        <f t="shared" si="440"/>
        <v>0</v>
      </c>
      <c r="CH257" t="b">
        <f t="shared" si="441"/>
        <v>0</v>
      </c>
      <c r="CI257" t="b">
        <f t="shared" si="442"/>
        <v>0</v>
      </c>
      <c r="CJ257" t="b">
        <f t="shared" si="443"/>
        <v>0</v>
      </c>
      <c r="CK257" t="b">
        <f t="shared" si="444"/>
        <v>0</v>
      </c>
      <c r="CL257" t="b">
        <f t="shared" si="445"/>
        <v>0</v>
      </c>
      <c r="CM257" t="b">
        <f t="shared" si="446"/>
        <v>0</v>
      </c>
      <c r="CN257" t="b">
        <f t="shared" si="447"/>
        <v>0</v>
      </c>
      <c r="CO257" t="b">
        <f t="shared" si="448"/>
        <v>0</v>
      </c>
      <c r="CP257" t="b">
        <f t="shared" si="449"/>
        <v>0</v>
      </c>
      <c r="CQ257" t="b">
        <f t="shared" si="450"/>
        <v>0</v>
      </c>
      <c r="CR257" t="b">
        <f t="shared" si="451"/>
        <v>0</v>
      </c>
      <c r="CS257" t="b">
        <f t="shared" si="452"/>
        <v>0</v>
      </c>
      <c r="CT257" t="b">
        <f t="shared" si="453"/>
        <v>0</v>
      </c>
      <c r="CU257" t="b">
        <f t="shared" si="454"/>
        <v>0</v>
      </c>
      <c r="CV257">
        <f t="shared" si="455"/>
        <v>1</v>
      </c>
      <c r="CW257" t="b">
        <f t="shared" si="456"/>
        <v>0</v>
      </c>
      <c r="CX257" t="b">
        <f t="shared" si="457"/>
        <v>0</v>
      </c>
      <c r="CY257" t="b">
        <f t="shared" si="458"/>
        <v>0</v>
      </c>
      <c r="CZ257" t="b">
        <f t="shared" si="459"/>
        <v>0</v>
      </c>
      <c r="DA257" t="b">
        <f t="shared" si="460"/>
        <v>0</v>
      </c>
      <c r="DB257" t="b">
        <f t="shared" si="461"/>
        <v>0</v>
      </c>
      <c r="DC257" t="b">
        <f t="shared" si="462"/>
        <v>0</v>
      </c>
      <c r="DD257" t="b">
        <f t="shared" si="463"/>
        <v>0</v>
      </c>
      <c r="DE257" t="b">
        <f t="shared" si="464"/>
        <v>0</v>
      </c>
      <c r="DF257" t="b">
        <f t="shared" si="465"/>
        <v>0</v>
      </c>
      <c r="DG257" t="b">
        <f t="shared" si="466"/>
        <v>0</v>
      </c>
      <c r="DH257" t="b">
        <f t="shared" si="467"/>
        <v>0</v>
      </c>
      <c r="DI257" t="b">
        <f t="shared" si="468"/>
        <v>0</v>
      </c>
      <c r="DJ257" t="b">
        <f t="shared" si="469"/>
        <v>0</v>
      </c>
      <c r="DK257" t="b">
        <f t="shared" si="470"/>
        <v>0</v>
      </c>
      <c r="DL257" t="b">
        <f t="shared" si="471"/>
        <v>0</v>
      </c>
      <c r="DM257" t="b">
        <f t="shared" si="472"/>
        <v>0</v>
      </c>
      <c r="DN257" t="b">
        <f t="shared" si="473"/>
        <v>0</v>
      </c>
      <c r="DO257" t="b">
        <f t="shared" si="474"/>
        <v>0</v>
      </c>
      <c r="DP257" t="b">
        <f t="shared" si="475"/>
        <v>0</v>
      </c>
      <c r="DQ257" t="b">
        <f t="shared" si="476"/>
        <v>0</v>
      </c>
      <c r="DR257" t="b">
        <f t="shared" si="477"/>
        <v>0</v>
      </c>
      <c r="DS257" t="b">
        <f t="shared" si="478"/>
        <v>0</v>
      </c>
      <c r="DT257" t="b">
        <f t="shared" si="479"/>
        <v>0</v>
      </c>
      <c r="DU257" t="b">
        <f t="shared" si="480"/>
        <v>0</v>
      </c>
      <c r="DV257" t="b">
        <f t="shared" si="481"/>
        <v>0</v>
      </c>
      <c r="DW257" t="b">
        <f t="shared" si="482"/>
        <v>0</v>
      </c>
      <c r="DX257" t="b">
        <f t="shared" si="483"/>
        <v>0</v>
      </c>
      <c r="DY257" t="b">
        <f t="shared" si="484"/>
        <v>0</v>
      </c>
      <c r="DZ257" t="b">
        <f t="shared" si="485"/>
        <v>0</v>
      </c>
      <c r="EA257" t="b">
        <f t="shared" si="486"/>
        <v>0</v>
      </c>
      <c r="EB257" t="b">
        <f t="shared" si="487"/>
        <v>0</v>
      </c>
      <c r="EC257" t="b">
        <f t="shared" si="488"/>
        <v>0</v>
      </c>
      <c r="ED257" t="b">
        <f t="shared" si="489"/>
        <v>0</v>
      </c>
      <c r="EE257" t="b">
        <f t="shared" si="490"/>
        <v>0</v>
      </c>
      <c r="EF257">
        <f t="shared" si="491"/>
        <v>1</v>
      </c>
      <c r="EG257" t="b">
        <f t="shared" si="492"/>
        <v>0</v>
      </c>
      <c r="EH257" t="b">
        <f t="shared" si="493"/>
        <v>0</v>
      </c>
      <c r="EI257">
        <f t="shared" si="494"/>
        <v>1</v>
      </c>
      <c r="EJ257" t="b">
        <f t="shared" si="495"/>
        <v>0</v>
      </c>
      <c r="EK257" t="b">
        <f t="shared" si="496"/>
        <v>0</v>
      </c>
    </row>
    <row r="258" spans="1:141">
      <c r="A258" t="s">
        <v>1377</v>
      </c>
      <c r="B258" t="s">
        <v>1378</v>
      </c>
      <c r="C258" t="s">
        <v>1379</v>
      </c>
      <c r="D258" s="1">
        <v>42461</v>
      </c>
      <c r="E258" s="2">
        <v>43145.93917824074</v>
      </c>
      <c r="F258" s="2">
        <v>43145.93917824074</v>
      </c>
      <c r="G258">
        <v>143569</v>
      </c>
      <c r="H258" t="s">
        <v>1380</v>
      </c>
      <c r="I258" s="10" t="s">
        <v>1381</v>
      </c>
      <c r="J258" t="s">
        <v>188</v>
      </c>
      <c r="K258" s="8" t="b">
        <v>1</v>
      </c>
      <c r="L258" s="10" t="b">
        <v>0</v>
      </c>
      <c r="M258" s="12" t="b">
        <v>0</v>
      </c>
      <c r="N258" t="b">
        <v>0</v>
      </c>
      <c r="O258" t="b">
        <v>0</v>
      </c>
      <c r="P258" t="b">
        <v>0</v>
      </c>
      <c r="Q258">
        <f t="shared" ref="Q258:Q321" si="497">WEEKDAY(D258)</f>
        <v>6</v>
      </c>
      <c r="R258">
        <f t="shared" ref="R258:R321" si="498">MONTH(D258)</f>
        <v>4</v>
      </c>
      <c r="S258" t="e">
        <f t="shared" ca="1" si="404"/>
        <v>#NAME?</v>
      </c>
      <c r="T258" t="e">
        <f t="shared" ref="T258:T321" ca="1" si="499">WhoIsName(C258)</f>
        <v>#NAME?</v>
      </c>
      <c r="U258" s="4">
        <f t="shared" ref="U258:U321" si="500">E258-D258</f>
        <v>684.93917824074015</v>
      </c>
      <c r="V258" s="4">
        <f t="shared" ref="V258:V321" si="501">U258/30</f>
        <v>22.831305941358004</v>
      </c>
      <c r="W258" s="4">
        <f t="shared" ref="W258:W321" si="502">IF(K258=TRUE,1,0)</f>
        <v>1</v>
      </c>
      <c r="X258" s="4">
        <f t="shared" ref="X258:X321" si="503">IF(L258=TRUE,1,0)</f>
        <v>0</v>
      </c>
      <c r="Y258" s="4">
        <f t="shared" ref="Y258:Y321" si="504">IF(M258=TRUE,1,0)</f>
        <v>0</v>
      </c>
      <c r="Z258" s="4">
        <f t="shared" ref="Z258:Z321" si="505">IF(N258=TRUE,1,0)</f>
        <v>0</v>
      </c>
      <c r="AA258" s="4">
        <f t="shared" ref="AA258:AA321" si="506">IF(O258=TRUE,1,0)</f>
        <v>0</v>
      </c>
      <c r="AB258" s="4">
        <f t="shared" ref="AB258:AB321" si="507">IF(P258=TRUE,1,0)</f>
        <v>0</v>
      </c>
      <c r="AC258" s="4"/>
      <c r="AD258" s="4" t="b">
        <f t="shared" ref="AD258:AD321" si="508">IFERROR(IF(SEARCH("'Account balances'",J258),1,0),FALSE)</f>
        <v>0</v>
      </c>
      <c r="AE258" s="4" t="b">
        <f t="shared" ref="AE258:AE321" si="509">IFERROR(IF(SEARCH( "'Address book contacts'", J258),1,0),FALSE)</f>
        <v>0</v>
      </c>
      <c r="AF258" s="4" t="b">
        <f t="shared" ref="AF258:AF321" si="510">IFERROR(IF(SEARCH( "'Age groups'", J258),1,0),FALSE)</f>
        <v>0</v>
      </c>
      <c r="AG258" t="b">
        <f t="shared" ref="AG258:AG321" si="511">IFERROR(IF(SEARCH( "'Apps installed on devices'", J258),1,0),FALSE)</f>
        <v>0</v>
      </c>
      <c r="AH258" t="b">
        <f t="shared" ref="AH258:AH321" si="512">IFERROR(IF(SEARCH( "'Astrological signs'", J258),1,0),FALSE)</f>
        <v>0</v>
      </c>
      <c r="AI258" t="b">
        <f t="shared" ref="AI258:AI321" si="513">IFERROR(IF(SEARCH( "'Auth tokens'", J258),1,0),FALSE)</f>
        <v>0</v>
      </c>
      <c r="AJ258" t="b">
        <f t="shared" ref="AJ258:AJ321" si="514">IFERROR(IF(SEARCH( "'Avatars'", J258),1,0),FALSE)</f>
        <v>0</v>
      </c>
      <c r="AK258" t="b">
        <f t="shared" ref="AK258:AK321" si="515">IFERROR(IF(SEARCH( "'Bank account numbers'", J258),1,0),FALSE)</f>
        <v>0</v>
      </c>
      <c r="AL258" t="b">
        <f t="shared" ref="AL258:AL321" si="516">IFERROR(IF(SEARCH( "'Beauty ratings'", J258),1,0),FALSE)</f>
        <v>0</v>
      </c>
      <c r="AM258" t="b">
        <f t="shared" ref="AM258:AM321" si="517">IFERROR(IF(SEARCH( "'Biometric data'", J258),1,0),FALSE)</f>
        <v>0</v>
      </c>
      <c r="AN258" t="b">
        <f t="shared" ref="AN258:AN321" si="518">IFERROR(IF(SEARCH( "'Bios'", J258),1,0),FALSE)</f>
        <v>0</v>
      </c>
      <c r="AO258" t="b">
        <f t="shared" ref="AO258:AO321" si="519">IFERROR(IF(SEARCH( "'Browser user agent details' ", J258),1,0),FALSE)</f>
        <v>0</v>
      </c>
      <c r="AP258" t="b">
        <f t="shared" ref="AP258:AP321" si="520">IFERROR(IF(SEARCH( "'Buying preferences'", J258),1,0),FALSE)</f>
        <v>0</v>
      </c>
      <c r="AQ258" t="b">
        <f t="shared" ref="AQ258:AQ321" si="521">IFERROR(IF(SEARCH( "'Car ownership statuses'", J258),1,0),FALSE)</f>
        <v>0</v>
      </c>
      <c r="AR258" t="b">
        <f t="shared" ref="AR258:AR321" si="522">IFERROR(IF(SEARCH( "'Cellular network names'", J258),1,0),FALSE)</f>
        <v>0</v>
      </c>
      <c r="AS258" t="b">
        <f t="shared" ref="AS258:AS321" si="523">IFERROR(IF(SEARCH( "'Charitable donations'", J258),1,0),FALSE)</f>
        <v>0</v>
      </c>
      <c r="AT258" t="b">
        <f t="shared" ref="AT258:AT321" si="524">IFERROR(IF(SEARCH( "'Chat logs'", J258),1,0),FALSE)</f>
        <v>0</v>
      </c>
      <c r="AU258" t="b">
        <f t="shared" ref="AU258:AU321" si="525">IFERROR(IF(SEARCH( "'Credit card CVV'", J258),1,0),FALSE)</f>
        <v>0</v>
      </c>
      <c r="AV258" t="b">
        <f t="shared" ref="AV258:AV321" si="526">IFERROR(IF(SEARCH( "'Credit cards'", J258),1,0),FALSE)</f>
        <v>0</v>
      </c>
      <c r="AW258" t="b">
        <f t="shared" ref="AW258:AW321" si="527">IFERROR(IF(SEARCH( "'Credit status information'", J258),1,0),FALSE)</f>
        <v>0</v>
      </c>
      <c r="AX258" t="b">
        <f t="shared" si="405"/>
        <v>0</v>
      </c>
      <c r="AY258" t="b">
        <f t="shared" si="406"/>
        <v>0</v>
      </c>
      <c r="AZ258" t="b">
        <f t="shared" si="407"/>
        <v>0</v>
      </c>
      <c r="BA258" t="b">
        <f t="shared" si="408"/>
        <v>0</v>
      </c>
      <c r="BB258" t="b">
        <f t="shared" si="409"/>
        <v>0</v>
      </c>
      <c r="BC258" t="b">
        <f t="shared" si="410"/>
        <v>0</v>
      </c>
      <c r="BD258" t="b">
        <f t="shared" si="411"/>
        <v>0</v>
      </c>
      <c r="BE258" t="b">
        <f t="shared" si="412"/>
        <v>0</v>
      </c>
      <c r="BF258" t="b">
        <f t="shared" si="413"/>
        <v>0</v>
      </c>
      <c r="BG258" t="b">
        <f t="shared" si="414"/>
        <v>0</v>
      </c>
      <c r="BH258" t="b">
        <f t="shared" si="415"/>
        <v>0</v>
      </c>
      <c r="BI258">
        <f t="shared" si="416"/>
        <v>1</v>
      </c>
      <c r="BJ258" t="b">
        <f t="shared" si="417"/>
        <v>0</v>
      </c>
      <c r="BK258" t="b">
        <f t="shared" si="418"/>
        <v>0</v>
      </c>
      <c r="BL258" t="b">
        <f t="shared" si="419"/>
        <v>0</v>
      </c>
      <c r="BM258" t="b">
        <f t="shared" si="420"/>
        <v>0</v>
      </c>
      <c r="BN258" t="b">
        <f t="shared" si="421"/>
        <v>0</v>
      </c>
      <c r="BO258" t="b">
        <f t="shared" si="422"/>
        <v>0</v>
      </c>
      <c r="BP258" t="b">
        <f t="shared" si="423"/>
        <v>0</v>
      </c>
      <c r="BQ258" t="b">
        <f t="shared" si="424"/>
        <v>0</v>
      </c>
      <c r="BR258" t="b">
        <f t="shared" si="425"/>
        <v>0</v>
      </c>
      <c r="BS258" t="b">
        <f t="shared" si="426"/>
        <v>0</v>
      </c>
      <c r="BT258" t="b">
        <f t="shared" si="427"/>
        <v>0</v>
      </c>
      <c r="BU258" t="b">
        <f t="shared" si="428"/>
        <v>0</v>
      </c>
      <c r="BV258" t="b">
        <f t="shared" si="429"/>
        <v>0</v>
      </c>
      <c r="BW258" t="b">
        <f t="shared" si="430"/>
        <v>0</v>
      </c>
      <c r="BX258" t="b">
        <f t="shared" si="431"/>
        <v>0</v>
      </c>
      <c r="BY258" t="b">
        <f t="shared" si="432"/>
        <v>0</v>
      </c>
      <c r="BZ258" t="b">
        <f t="shared" si="433"/>
        <v>0</v>
      </c>
      <c r="CA258" t="b">
        <f t="shared" si="434"/>
        <v>0</v>
      </c>
      <c r="CB258" t="b">
        <f t="shared" si="435"/>
        <v>0</v>
      </c>
      <c r="CC258" t="b">
        <f t="shared" si="436"/>
        <v>0</v>
      </c>
      <c r="CD258" t="b">
        <f t="shared" si="437"/>
        <v>0</v>
      </c>
      <c r="CE258">
        <f t="shared" si="438"/>
        <v>1</v>
      </c>
      <c r="CF258" t="b">
        <f t="shared" si="439"/>
        <v>0</v>
      </c>
      <c r="CG258" t="b">
        <f t="shared" si="440"/>
        <v>0</v>
      </c>
      <c r="CH258" t="b">
        <f t="shared" si="441"/>
        <v>0</v>
      </c>
      <c r="CI258" t="b">
        <f t="shared" si="442"/>
        <v>0</v>
      </c>
      <c r="CJ258" t="b">
        <f t="shared" si="443"/>
        <v>0</v>
      </c>
      <c r="CK258" t="b">
        <f t="shared" si="444"/>
        <v>0</v>
      </c>
      <c r="CL258" t="b">
        <f t="shared" si="445"/>
        <v>0</v>
      </c>
      <c r="CM258" t="b">
        <f t="shared" si="446"/>
        <v>0</v>
      </c>
      <c r="CN258" t="b">
        <f t="shared" si="447"/>
        <v>0</v>
      </c>
      <c r="CO258" t="b">
        <f t="shared" si="448"/>
        <v>0</v>
      </c>
      <c r="CP258" t="b">
        <f t="shared" si="449"/>
        <v>0</v>
      </c>
      <c r="CQ258" t="b">
        <f t="shared" si="450"/>
        <v>0</v>
      </c>
      <c r="CR258" t="b">
        <f t="shared" si="451"/>
        <v>0</v>
      </c>
      <c r="CS258" t="b">
        <f t="shared" si="452"/>
        <v>0</v>
      </c>
      <c r="CT258" t="b">
        <f t="shared" si="453"/>
        <v>0</v>
      </c>
      <c r="CU258" t="b">
        <f t="shared" si="454"/>
        <v>0</v>
      </c>
      <c r="CV258">
        <f t="shared" si="455"/>
        <v>1</v>
      </c>
      <c r="CW258" t="b">
        <f t="shared" si="456"/>
        <v>0</v>
      </c>
      <c r="CX258" t="b">
        <f t="shared" si="457"/>
        <v>0</v>
      </c>
      <c r="CY258" t="b">
        <f t="shared" si="458"/>
        <v>0</v>
      </c>
      <c r="CZ258" t="b">
        <f t="shared" si="459"/>
        <v>0</v>
      </c>
      <c r="DA258" t="b">
        <f t="shared" si="460"/>
        <v>0</v>
      </c>
      <c r="DB258" t="b">
        <f t="shared" si="461"/>
        <v>0</v>
      </c>
      <c r="DC258" t="b">
        <f t="shared" si="462"/>
        <v>0</v>
      </c>
      <c r="DD258" t="b">
        <f t="shared" si="463"/>
        <v>0</v>
      </c>
      <c r="DE258" t="b">
        <f t="shared" si="464"/>
        <v>0</v>
      </c>
      <c r="DF258" t="b">
        <f t="shared" si="465"/>
        <v>0</v>
      </c>
      <c r="DG258" t="b">
        <f t="shared" si="466"/>
        <v>0</v>
      </c>
      <c r="DH258" t="b">
        <f t="shared" si="467"/>
        <v>0</v>
      </c>
      <c r="DI258" t="b">
        <f t="shared" si="468"/>
        <v>0</v>
      </c>
      <c r="DJ258" t="b">
        <f t="shared" si="469"/>
        <v>0</v>
      </c>
      <c r="DK258" t="b">
        <f t="shared" si="470"/>
        <v>0</v>
      </c>
      <c r="DL258" t="b">
        <f t="shared" si="471"/>
        <v>0</v>
      </c>
      <c r="DM258" t="b">
        <f t="shared" si="472"/>
        <v>0</v>
      </c>
      <c r="DN258" t="b">
        <f t="shared" si="473"/>
        <v>0</v>
      </c>
      <c r="DO258" t="b">
        <f t="shared" si="474"/>
        <v>0</v>
      </c>
      <c r="DP258" t="b">
        <f t="shared" si="475"/>
        <v>0</v>
      </c>
      <c r="DQ258" t="b">
        <f t="shared" si="476"/>
        <v>0</v>
      </c>
      <c r="DR258" t="b">
        <f t="shared" si="477"/>
        <v>0</v>
      </c>
      <c r="DS258" t="b">
        <f t="shared" si="478"/>
        <v>0</v>
      </c>
      <c r="DT258" t="b">
        <f t="shared" si="479"/>
        <v>0</v>
      </c>
      <c r="DU258" t="b">
        <f t="shared" si="480"/>
        <v>0</v>
      </c>
      <c r="DV258" t="b">
        <f t="shared" si="481"/>
        <v>0</v>
      </c>
      <c r="DW258" t="b">
        <f t="shared" si="482"/>
        <v>0</v>
      </c>
      <c r="DX258" t="b">
        <f t="shared" si="483"/>
        <v>0</v>
      </c>
      <c r="DY258" t="b">
        <f t="shared" si="484"/>
        <v>0</v>
      </c>
      <c r="DZ258" t="b">
        <f t="shared" si="485"/>
        <v>0</v>
      </c>
      <c r="EA258" t="b">
        <f t="shared" si="486"/>
        <v>0</v>
      </c>
      <c r="EB258" t="b">
        <f t="shared" si="487"/>
        <v>0</v>
      </c>
      <c r="EC258" t="b">
        <f t="shared" si="488"/>
        <v>0</v>
      </c>
      <c r="ED258" t="b">
        <f t="shared" si="489"/>
        <v>0</v>
      </c>
      <c r="EE258" t="b">
        <f t="shared" si="490"/>
        <v>0</v>
      </c>
      <c r="EF258">
        <f t="shared" si="491"/>
        <v>1</v>
      </c>
      <c r="EG258" t="b">
        <f t="shared" si="492"/>
        <v>0</v>
      </c>
      <c r="EH258" t="b">
        <f t="shared" si="493"/>
        <v>0</v>
      </c>
      <c r="EI258" t="b">
        <f t="shared" si="494"/>
        <v>0</v>
      </c>
      <c r="EJ258" t="b">
        <f t="shared" si="495"/>
        <v>0</v>
      </c>
      <c r="EK258" t="b">
        <f t="shared" si="496"/>
        <v>0</v>
      </c>
    </row>
    <row r="259" spans="1:141">
      <c r="A259" t="s">
        <v>1382</v>
      </c>
      <c r="B259" t="s">
        <v>1383</v>
      </c>
      <c r="C259" t="s">
        <v>1384</v>
      </c>
      <c r="D259" s="1">
        <v>44208</v>
      </c>
      <c r="E259" s="2">
        <v>44574.218668981484</v>
      </c>
      <c r="F259" s="2">
        <v>44574.272777777776</v>
      </c>
      <c r="G259">
        <v>375928</v>
      </c>
      <c r="H259" t="s">
        <v>1385</v>
      </c>
      <c r="I259" s="10" t="s">
        <v>1386</v>
      </c>
      <c r="J259" t="s">
        <v>1387</v>
      </c>
      <c r="K259" s="8" t="b">
        <v>1</v>
      </c>
      <c r="L259" s="10" t="b">
        <v>0</v>
      </c>
      <c r="M259" s="12" t="b">
        <v>1</v>
      </c>
      <c r="N259" t="b">
        <v>0</v>
      </c>
      <c r="O259" t="b">
        <v>0</v>
      </c>
      <c r="P259" t="b">
        <v>0</v>
      </c>
      <c r="Q259">
        <f t="shared" si="497"/>
        <v>3</v>
      </c>
      <c r="R259">
        <f t="shared" si="498"/>
        <v>1</v>
      </c>
      <c r="S259" t="e">
        <f t="shared" ref="S259:S322" ca="1" si="528">WhoIsorganization(C259)</f>
        <v>#NAME?</v>
      </c>
      <c r="T259" t="e">
        <f t="shared" ca="1" si="499"/>
        <v>#NAME?</v>
      </c>
      <c r="U259" s="4">
        <f t="shared" si="500"/>
        <v>366.21866898148437</v>
      </c>
      <c r="V259" s="4">
        <f t="shared" si="501"/>
        <v>12.207288966049479</v>
      </c>
      <c r="W259" s="4">
        <f t="shared" si="502"/>
        <v>1</v>
      </c>
      <c r="X259" s="4">
        <f t="shared" si="503"/>
        <v>0</v>
      </c>
      <c r="Y259" s="4">
        <f t="shared" si="504"/>
        <v>1</v>
      </c>
      <c r="Z259" s="4">
        <f t="shared" si="505"/>
        <v>0</v>
      </c>
      <c r="AA259" s="4">
        <f t="shared" si="506"/>
        <v>0</v>
      </c>
      <c r="AB259" s="4">
        <f t="shared" si="507"/>
        <v>0</v>
      </c>
      <c r="AC259" s="4"/>
      <c r="AD259" s="4" t="b">
        <f t="shared" si="508"/>
        <v>0</v>
      </c>
      <c r="AE259" s="4" t="b">
        <f t="shared" si="509"/>
        <v>0</v>
      </c>
      <c r="AF259" s="4" t="b">
        <f t="shared" si="510"/>
        <v>0</v>
      </c>
      <c r="AG259" t="b">
        <f t="shared" si="511"/>
        <v>0</v>
      </c>
      <c r="AH259" t="b">
        <f t="shared" si="512"/>
        <v>0</v>
      </c>
      <c r="AI259" t="b">
        <f t="shared" si="513"/>
        <v>0</v>
      </c>
      <c r="AJ259" t="b">
        <f t="shared" si="514"/>
        <v>0</v>
      </c>
      <c r="AK259" t="b">
        <f t="shared" si="515"/>
        <v>0</v>
      </c>
      <c r="AL259" t="b">
        <f t="shared" si="516"/>
        <v>0</v>
      </c>
      <c r="AM259" t="b">
        <f t="shared" si="517"/>
        <v>0</v>
      </c>
      <c r="AN259" t="b">
        <f t="shared" si="518"/>
        <v>0</v>
      </c>
      <c r="AO259" t="b">
        <f t="shared" si="519"/>
        <v>0</v>
      </c>
      <c r="AP259" t="b">
        <f t="shared" si="520"/>
        <v>0</v>
      </c>
      <c r="AQ259" t="b">
        <f t="shared" si="521"/>
        <v>0</v>
      </c>
      <c r="AR259" t="b">
        <f t="shared" si="522"/>
        <v>0</v>
      </c>
      <c r="AS259" t="b">
        <f t="shared" si="523"/>
        <v>0</v>
      </c>
      <c r="AT259" t="b">
        <f t="shared" si="524"/>
        <v>0</v>
      </c>
      <c r="AU259" t="b">
        <f t="shared" si="525"/>
        <v>0</v>
      </c>
      <c r="AV259" t="b">
        <f t="shared" si="526"/>
        <v>0</v>
      </c>
      <c r="AW259" t="b">
        <f t="shared" si="527"/>
        <v>0</v>
      </c>
      <c r="AX259" t="b">
        <f t="shared" ref="AX259:AX322" si="529">IFERROR(IF(SEARCH( "'Customer feedback'", J259),1,0),FALSE)</f>
        <v>0</v>
      </c>
      <c r="AY259" t="b">
        <f t="shared" ref="AY259:AY322" si="530">IFERROR(IF(SEARCH( "'Customer interactions'  ", J259),1,0),FALSE)</f>
        <v>0</v>
      </c>
      <c r="AZ259">
        <f t="shared" ref="AZ259:AZ322" si="531">IFERROR(IF(SEARCH( "'Dates of birth'", J259),1,0),FALSE)</f>
        <v>1</v>
      </c>
      <c r="BA259" t="b">
        <f t="shared" ref="BA259:BA322" si="532">IFERROR(IF(SEARCH( "'Deceased statuses'", J259),1,0),FALSE)</f>
        <v>0</v>
      </c>
      <c r="BB259" t="b">
        <f t="shared" ref="BB259:BB322" si="533">IFERROR(IF(SEARCH( "'Device information'", J259),1,0),FALSE)</f>
        <v>0</v>
      </c>
      <c r="BC259" t="b">
        <f t="shared" ref="BC259:BC322" si="534">IFERROR(IF(SEARCH( "'Device serial numbers'", J259),1,0),FALSE)</f>
        <v>0</v>
      </c>
      <c r="BD259" t="b">
        <f t="shared" ref="BD259:BD322" si="535">IFERROR(IF(SEARCH( "'Device usage tracking data'", J259),1,0),FALSE)</f>
        <v>0</v>
      </c>
      <c r="BE259" t="b">
        <f t="shared" ref="BE259:BE322" si="536">IFERROR(IF(SEARCH( "'Drinking habits'", J259),1,0),FALSE)</f>
        <v>0</v>
      </c>
      <c r="BF259" t="b">
        <f t="shared" ref="BF259:BF322" si="537">IFERROR(IF(SEARCH( "'Drinking habits' ", J259),1,0),FALSE)</f>
        <v>0</v>
      </c>
      <c r="BG259" t="b">
        <f t="shared" ref="BG259:BG322" si="538">IFERROR(IF(SEARCH( "'Drug habits'", J259),1,0),FALSE)</f>
        <v>0</v>
      </c>
      <c r="BH259" t="b">
        <f t="shared" ref="BH259:BH322" si="539">IFERROR(IF(SEARCH( "'Education levels'", J259),1,0),FALSE)</f>
        <v>0</v>
      </c>
      <c r="BI259">
        <f t="shared" ref="BI259:BI322" si="540">IFERROR(IF(SEARCH( "'Email addresses'", J259),1,0),FALSE)</f>
        <v>1</v>
      </c>
      <c r="BJ259" t="b">
        <f t="shared" ref="BJ259:BJ322" si="541">IFERROR(IF(SEARCH( "'Employers'", J259),1,0),FALSE)</f>
        <v>0</v>
      </c>
      <c r="BK259" t="b">
        <f t="shared" ref="BK259:BK322" si="542">IFERROR(IF(SEARCH( "'Ethnicities' ", J259),1,0),FALSE)</f>
        <v>0</v>
      </c>
      <c r="BL259" t="b">
        <f t="shared" ref="BL259:BL322" si="543">IFERROR(IF(SEARCH( "'Family members' names'", J259),1,0),FALSE)</f>
        <v>0</v>
      </c>
      <c r="BM259" t="b">
        <f t="shared" ref="BM259:BM322" si="544">IFERROR(IF(SEARCH( "'Family structure", J259),1,0),FALSE)</f>
        <v>0</v>
      </c>
      <c r="BN259" t="b">
        <f t="shared" ref="BN259:BN322" si="545">IFERROR(IF(SEARCH( "'Financial investments'", J259),1,0),FALSE)</f>
        <v>0</v>
      </c>
      <c r="BO259" t="b">
        <f t="shared" ref="BO259:BO322" si="546">IFERROR(IF(SEARCH( "'Financial transactions'", J259),1,0),FALSE)</f>
        <v>0</v>
      </c>
      <c r="BP259" t="b">
        <f t="shared" ref="BP259:BP322" si="547">IFERROR(IF(SEARCH( "'Fitness levels'", J259),1,0),FALSE)</f>
        <v>0</v>
      </c>
      <c r="BQ259" t="b">
        <f t="shared" ref="BQ259:BQ322" si="548">IFERROR(IF(SEARCH( "'Flights taken'", J259),1,0),FALSE)</f>
        <v>0</v>
      </c>
      <c r="BR259" t="b">
        <f t="shared" ref="BR259:BR322" si="549">IFERROR(IF(SEARCH( "'Genders'", J259),1,0),FALSE)</f>
        <v>0</v>
      </c>
      <c r="BS259" t="b">
        <f t="shared" ref="BS259:BS322" si="550">IFERROR(IF(SEARCH( "'Geographic locations'", J259),1,0),FALSE)</f>
        <v>0</v>
      </c>
      <c r="BT259" t="b">
        <f t="shared" ref="BT259:BT322" si="551">IFERROR(IF(SEARCH( "'Government issued IDs'", J259),1,0),FALSE)</f>
        <v>0</v>
      </c>
      <c r="BU259" t="b">
        <f t="shared" ref="BU259:BU322" si="552">IFERROR(IF(SEARCH( "'Health insurance information' ", J259),1,0),FALSE)</f>
        <v>0</v>
      </c>
      <c r="BV259" t="b">
        <f t="shared" ref="BV259:BV322" si="553">IFERROR(IF(SEARCH( "'Historical passwords'", J259),1,0),FALSE)</f>
        <v>0</v>
      </c>
      <c r="BW259" t="b">
        <f t="shared" ref="BW259:BW322" si="554">IFERROR(IF(SEARCH( "'HIV statuses'", J259),1,0),FALSE)</f>
        <v>0</v>
      </c>
      <c r="BX259" t="b">
        <f t="shared" ref="BX259:BX322" si="555">IFERROR(IF(SEARCH( "'Home loan information'", J259),1,0),FALSE)</f>
        <v>0</v>
      </c>
      <c r="BY259" t="b">
        <f t="shared" ref="BY259:BY322" si="556">IFERROR(IF(SEARCH( "'Home ownership statuses", J259),1,0),FALSE)</f>
        <v>0</v>
      </c>
      <c r="BZ259" t="b">
        <f t="shared" ref="BZ259:BZ322" si="557">IFERROR(IF(SEARCH( "'Homepage URLs'", J259),1,0),FALSE)</f>
        <v>0</v>
      </c>
      <c r="CA259" t="b">
        <f t="shared" ref="CA259:CA322" si="558">IFERROR(IF(SEARCH( "'IMEI numbers'", J259),1,0),FALSE)</f>
        <v>0</v>
      </c>
      <c r="CB259" t="b">
        <f t="shared" ref="CB259:CB322" si="559">IFERROR(IF(SEARCH( "'IMSI numbers' ", J259),1,0),FALSE)</f>
        <v>0</v>
      </c>
      <c r="CC259" t="b">
        <f t="shared" ref="CC259:CC322" si="560">IFERROR(IF(SEARCH( "'Income levels'", J259),1,0),FALSE)</f>
        <v>0</v>
      </c>
      <c r="CD259" t="b">
        <f t="shared" ref="CD259:CD322" si="561">IFERROR(IF(SEARCH( "'Instant messenger identities'", J259),1,0),FALSE)</f>
        <v>0</v>
      </c>
      <c r="CE259" t="b">
        <f t="shared" ref="CE259:CE322" si="562">IFERROR(IF(SEARCH( "'IP addresses'", J259),1,0),FALSE)</f>
        <v>0</v>
      </c>
      <c r="CF259" t="b">
        <f t="shared" ref="CF259:CF322" si="563">IFERROR(IF(SEARCH( "'Job applications' ", J259),1,0),FALSE)</f>
        <v>0</v>
      </c>
      <c r="CG259" t="b">
        <f t="shared" ref="CG259:CG322" si="564">IFERROR(IF(SEARCH( "'Job titles' ", J259),1,0),FALSE)</f>
        <v>0</v>
      </c>
      <c r="CH259" t="b">
        <f t="shared" ref="CH259:CH322" si="565">IFERROR(IF(SEARCH( "'Licence plates'", J259),1,0),FALSE)</f>
        <v>0</v>
      </c>
      <c r="CI259" t="b">
        <f t="shared" ref="CI259:CI322" si="566">IFERROR(IF(SEARCH( "'Login histories'", J259),1,0),FALSE)</f>
        <v>0</v>
      </c>
      <c r="CJ259" t="b">
        <f t="shared" ref="CJ259:CJ322" si="567">IFERROR(IF(SEARCH( "'MAC addresses'", J259),1,0),FALSE)</f>
        <v>0</v>
      </c>
      <c r="CK259" t="b">
        <f t="shared" ref="CK259:CK322" si="568">IFERROR(IF(SEARCH( "'Marital statuses'", J259),1,0),FALSE)</f>
        <v>0</v>
      </c>
      <c r="CL259" t="b">
        <f t="shared" ref="CL259:CL322" si="569">IFERROR(IF(SEARCH( "'Mnemonic phrases'", J259),1,0),FALSE)</f>
        <v>0</v>
      </c>
      <c r="CM259">
        <f t="shared" ref="CM259:CM322" si="570">IFERROR(IF(SEARCH( "'Names'", J259),1,0),FALSE)</f>
        <v>1</v>
      </c>
      <c r="CN259" t="b">
        <f t="shared" ref="CN259:CN322" si="571">IFERROR(IF(SEARCH( "'Nationalities'", J259),1,0),FALSE)</f>
        <v>0</v>
      </c>
      <c r="CO259" t="b">
        <f t="shared" ref="CO259:CO322" si="572">IFERROR(IF(SEARCH( "'Net worths'", J259),1,0),FALSE)</f>
        <v>0</v>
      </c>
      <c r="CP259" t="b">
        <f t="shared" ref="CP259:CP322" si="573">IFERROR(IF(SEARCH( "'Nicknames' ", J259),1,0),FALSE)</f>
        <v>0</v>
      </c>
      <c r="CQ259" t="b">
        <f t="shared" ref="CQ259:CQ322" si="574">IFERROR(IF(SEARCH( "'Occupations'", J259),1,0),FALSE)</f>
        <v>0</v>
      </c>
      <c r="CR259" t="b">
        <f t="shared" ref="CR259:CR322" si="575">IFERROR(IF(SEARCH( "'Parenting plans", J259),1,0),FALSE)</f>
        <v>0</v>
      </c>
      <c r="CS259" t="b">
        <f t="shared" ref="CS259:CS322" si="576">IFERROR(IF(SEARCH( "'Partial credit card data' ", J259),1,0),FALSE)</f>
        <v>0</v>
      </c>
      <c r="CT259" t="b">
        <f t="shared" ref="CT259:CT322" si="577">IFERROR(IF(SEARCH( "'Partial phone numbers'", J259),1,0),FALSE)</f>
        <v>0</v>
      </c>
      <c r="CU259" t="b">
        <f t="shared" ref="CU259:CU322" si="578">IFERROR(IF(SEARCH( "'Passport numbers'", J259),1,0),FALSE)</f>
        <v>0</v>
      </c>
      <c r="CV259">
        <f t="shared" ref="CV259:CV322" si="579">IFERROR(IF(SEARCH( "'Passwords'", J259),1,0),FALSE)</f>
        <v>1</v>
      </c>
      <c r="CW259" t="b">
        <f t="shared" ref="CW259:CW322" si="580">IFERROR(IF(SEARCH( "'Payment histories'", J259),1,0),FALSE)</f>
        <v>0</v>
      </c>
      <c r="CX259" t="b">
        <f t="shared" ref="CX259:CX322" si="581">IFERROR(IF(SEARCH( "'Payment methods'", J259),1,0),FALSE)</f>
        <v>0</v>
      </c>
      <c r="CY259" t="b">
        <f t="shared" ref="CY259:CY322" si="582">IFERROR(IF(SEARCH( "'Personal descriptions'", J259),1,0),FALSE)</f>
        <v>0</v>
      </c>
      <c r="CZ259" t="b">
        <f t="shared" ref="CZ259:CZ322" si="583">IFERROR(IF(SEARCH( "'Personal health data'", J259),1,0),FALSE)</f>
        <v>0</v>
      </c>
      <c r="DA259">
        <f t="shared" ref="DA259:DA322" si="584">IFERROR(IF(SEARCH( "'Phone numbers'", J259),1,0),FALSE)</f>
        <v>1</v>
      </c>
      <c r="DB259">
        <f t="shared" ref="DB259:DB322" si="585">IFERROR(IF(SEARCH( "'Physical addresses'", J259),1,0),FALSE)</f>
        <v>1</v>
      </c>
      <c r="DC259" t="b">
        <f t="shared" ref="DC259:DC322" si="586">IFERROR(IF(SEARCH( "'Physical attributes'", J259),1,0),FALSE)</f>
        <v>0</v>
      </c>
      <c r="DD259" t="b">
        <f t="shared" ref="DD259:DD322" si="587">IFERROR(IF(SEARCH( "'PINs'", J259),1,0),FALSE)</f>
        <v>0</v>
      </c>
      <c r="DE259" t="b">
        <f t="shared" ref="DE259:DE322" si="588">IFERROR(IF(SEARCH( "'Political donations'", J259),1,0),FALSE)</f>
        <v>0</v>
      </c>
      <c r="DF259" t="b">
        <f t="shared" ref="DF259:DF322" si="589">IFERROR(IF(SEARCH( "'Political views'", J259),1,0),FALSE)</f>
        <v>0</v>
      </c>
      <c r="DG259" t="b">
        <f t="shared" ref="DG259:DG322" si="590">IFERROR(IF(SEARCH( "'Private messages'", J259),1,0),FALSE)</f>
        <v>0</v>
      </c>
      <c r="DH259" t="b">
        <f t="shared" ref="DH259:DH322" si="591">IFERROR(IF(SEARCH( "'Professional skills'", J259),1,0),FALSE)</f>
        <v>0</v>
      </c>
      <c r="DI259" t="b">
        <f t="shared" ref="DI259:DI322" si="592">IFERROR(IF(SEARCH( "'Profile photos'", J259),1,0),FALSE)</f>
        <v>0</v>
      </c>
      <c r="DJ259">
        <f t="shared" ref="DJ259:DJ322" si="593">IFERROR(IF(SEARCH( "'Purchases'", J259),1,0),FALSE)</f>
        <v>1</v>
      </c>
      <c r="DK259" t="b">
        <f t="shared" ref="DK259:DK322" si="594">IFERROR(IF(SEARCH( "'Purchasing habits'", J259),1,0),FALSE)</f>
        <v>0</v>
      </c>
      <c r="DL259" t="b">
        <f t="shared" ref="DL259:DL322" si="595">IFERROR(IF(SEARCH( "'Races'", J259),1,0),FALSE)</f>
        <v>0</v>
      </c>
      <c r="DM259" t="b">
        <f t="shared" ref="DM259:DM322" si="596">IFERROR(IF(SEARCH( "'Recovery email addresses'", J259),1,0),FALSE)</f>
        <v>0</v>
      </c>
      <c r="DN259" t="b">
        <f t="shared" ref="DN259:DN322" si="597">IFERROR(IF(SEARCH( "'Relationship statuses'", J259),1,0),FALSE)</f>
        <v>0</v>
      </c>
      <c r="DO259" t="b">
        <f t="shared" ref="DO259:DO322" si="598">IFERROR(IF(SEARCH( "'Religions' ", J259),1,0),FALSE)</f>
        <v>0</v>
      </c>
      <c r="DP259" t="b">
        <f t="shared" ref="DP259:DP322" si="599">IFERROR(IF(SEARCH( "'Reward program balances'", J259),1,0),FALSE)</f>
        <v>0</v>
      </c>
      <c r="DQ259" t="b">
        <f t="shared" ref="DQ259:DQ322" si="600">IFERROR(IF(SEARCH( "'Salutations'", J259),1,0),FALSE)</f>
        <v>0</v>
      </c>
      <c r="DR259" t="b">
        <f t="shared" ref="DR259:DR322" si="601">IFERROR(IF(SEARCH( "'School grades (class levels)", J259),1,0),FALSE)</f>
        <v>0</v>
      </c>
      <c r="DS259" t="b">
        <f t="shared" ref="DS259:DS322" si="602">IFERROR(IF(SEARCH( "'Security questions and answers'", J259),1,0),FALSE)</f>
        <v>0</v>
      </c>
      <c r="DT259" t="b">
        <f t="shared" ref="DT259:DT322" si="603">IFERROR(IF(SEARCH( "'Sexual fetishes'", J259),1,0),FALSE)</f>
        <v>0</v>
      </c>
      <c r="DU259" t="b">
        <f t="shared" ref="DU259:DU322" si="604">IFERROR(IF(SEARCH( "'Sexual orientations'", J259),1,0),FALSE)</f>
        <v>0</v>
      </c>
      <c r="DV259" t="b">
        <f t="shared" ref="DV259:DV322" si="605">IFERROR(IF(SEARCH( "'Smoking habits'", J259),1,0),FALSE)</f>
        <v>0</v>
      </c>
      <c r="DW259" t="b">
        <f t="shared" ref="DW259:DW322" si="606">IFERROR(IF(SEARCH( "'SMS messages'", J259),1,0),FALSE)</f>
        <v>0</v>
      </c>
      <c r="DX259" t="b">
        <f t="shared" ref="DX259:DX322" si="607">IFERROR(IF(SEARCH( "'Social connections'", J259),1,0),FALSE)</f>
        <v>0</v>
      </c>
      <c r="DY259" t="b">
        <f t="shared" ref="DY259:DY322" si="608">IFERROR(IF(SEARCH( "'Social media profiles'", J259),1,0),FALSE)</f>
        <v>0</v>
      </c>
      <c r="DZ259" t="b">
        <f t="shared" ref="DZ259:DZ322" si="609">IFERROR(IF(SEARCH( "'Social security numbers'", J259),1,0),FALSE)</f>
        <v>0</v>
      </c>
      <c r="EA259" t="b">
        <f t="shared" ref="EA259:EA322" si="610">IFERROR(IF(SEARCH( "'Spoken languages'", J259),1,0),FALSE)</f>
        <v>0</v>
      </c>
      <c r="EB259" t="b">
        <f t="shared" ref="EB259:EB322" si="611">IFERROR(IF(SEARCH( "'Survey results'", J259),1,0),FALSE)</f>
        <v>0</v>
      </c>
      <c r="EC259" t="b">
        <f t="shared" ref="EC259:EC322" si="612">IFERROR(IF(SEARCH( "'Time zones'", J259),1,0),FALSE)</f>
        <v>0</v>
      </c>
      <c r="ED259" t="b">
        <f t="shared" ref="ED259:ED322" si="613">IFERROR(IF(SEARCH( "'Travel habits' ", J259),1,0),FALSE)</f>
        <v>0</v>
      </c>
      <c r="EE259" t="b">
        <f t="shared" ref="EE259:EE322" si="614">IFERROR(IF(SEARCH( "'User website URLs'", J259),1,0),FALSE)</f>
        <v>0</v>
      </c>
      <c r="EF259" t="b">
        <f t="shared" ref="EF259:EF322" si="615">IFERROR(IF(SEARCH( "'Usernames'", J259),1,0),FALSE)</f>
        <v>0</v>
      </c>
      <c r="EG259" t="b">
        <f t="shared" ref="EG259:EG322" si="616">IFERROR(IF(SEARCH( "'Vehicle details'", J259),1,0),FALSE)</f>
        <v>0</v>
      </c>
      <c r="EH259" t="b">
        <f t="shared" ref="EH259:EH322" si="617">IFERROR(IF(SEARCH( "'Vehicle identification numbers (VINs)'", J259),1,0),FALSE)</f>
        <v>0</v>
      </c>
      <c r="EI259" t="b">
        <f t="shared" ref="EI259:EI322" si="618">IFERROR(IF(SEARCH( "'Website activity'", J259),1,0),FALSE)</f>
        <v>0</v>
      </c>
      <c r="EJ259" t="b">
        <f t="shared" ref="EJ259:EJ322" si="619">IFERROR(IF(SEARCH( "'Work habits'", J259),1,0),FALSE)</f>
        <v>0</v>
      </c>
      <c r="EK259" t="b">
        <f t="shared" ref="EK259:EK322" si="620">IFERROR(IF(SEARCH( "'Years of professional experience'", J259),1,0),FALSE)</f>
        <v>0</v>
      </c>
    </row>
    <row r="260" spans="1:141">
      <c r="A260" t="s">
        <v>1388</v>
      </c>
      <c r="B260" t="s">
        <v>1388</v>
      </c>
      <c r="C260" t="s">
        <v>1389</v>
      </c>
      <c r="D260" s="1">
        <v>44394</v>
      </c>
      <c r="E260" s="2">
        <v>44398.850277777776</v>
      </c>
      <c r="F260" s="2">
        <v>44398.850277777776</v>
      </c>
      <c r="G260">
        <v>112031</v>
      </c>
      <c r="H260" t="s">
        <v>1390</v>
      </c>
      <c r="I260" s="10" t="s">
        <v>1391</v>
      </c>
      <c r="J260" t="s">
        <v>1392</v>
      </c>
      <c r="K260" s="8" t="b">
        <v>1</v>
      </c>
      <c r="L260" s="10" t="b">
        <v>0</v>
      </c>
      <c r="M260" s="12" t="b">
        <v>0</v>
      </c>
      <c r="N260" t="b">
        <v>0</v>
      </c>
      <c r="O260" t="b">
        <v>0</v>
      </c>
      <c r="P260" t="b">
        <v>0</v>
      </c>
      <c r="Q260">
        <f t="shared" si="497"/>
        <v>7</v>
      </c>
      <c r="R260">
        <f t="shared" si="498"/>
        <v>7</v>
      </c>
      <c r="S260" t="e">
        <f t="shared" ca="1" si="528"/>
        <v>#NAME?</v>
      </c>
      <c r="T260" t="e">
        <f t="shared" ca="1" si="499"/>
        <v>#NAME?</v>
      </c>
      <c r="U260" s="4">
        <f t="shared" si="500"/>
        <v>4.8502777777757728</v>
      </c>
      <c r="V260" s="4">
        <f t="shared" si="501"/>
        <v>0.16167592592585908</v>
      </c>
      <c r="W260" s="4">
        <f t="shared" si="502"/>
        <v>1</v>
      </c>
      <c r="X260" s="4">
        <f t="shared" si="503"/>
        <v>0</v>
      </c>
      <c r="Y260" s="4">
        <f t="shared" si="504"/>
        <v>0</v>
      </c>
      <c r="Z260" s="4">
        <f t="shared" si="505"/>
        <v>0</v>
      </c>
      <c r="AA260" s="4">
        <f t="shared" si="506"/>
        <v>0</v>
      </c>
      <c r="AB260" s="4">
        <f t="shared" si="507"/>
        <v>0</v>
      </c>
      <c r="AC260" s="4"/>
      <c r="AD260" s="4" t="b">
        <f t="shared" si="508"/>
        <v>0</v>
      </c>
      <c r="AE260" s="4" t="b">
        <f t="shared" si="509"/>
        <v>0</v>
      </c>
      <c r="AF260" s="4" t="b">
        <f t="shared" si="510"/>
        <v>0</v>
      </c>
      <c r="AG260" t="b">
        <f t="shared" si="511"/>
        <v>0</v>
      </c>
      <c r="AH260" t="b">
        <f t="shared" si="512"/>
        <v>0</v>
      </c>
      <c r="AI260" t="b">
        <f t="shared" si="513"/>
        <v>0</v>
      </c>
      <c r="AJ260" t="b">
        <f t="shared" si="514"/>
        <v>0</v>
      </c>
      <c r="AK260" t="b">
        <f t="shared" si="515"/>
        <v>0</v>
      </c>
      <c r="AL260" t="b">
        <f t="shared" si="516"/>
        <v>0</v>
      </c>
      <c r="AM260" t="b">
        <f t="shared" si="517"/>
        <v>0</v>
      </c>
      <c r="AN260" t="b">
        <f t="shared" si="518"/>
        <v>0</v>
      </c>
      <c r="AO260" t="b">
        <f t="shared" si="519"/>
        <v>0</v>
      </c>
      <c r="AP260" t="b">
        <f t="shared" si="520"/>
        <v>0</v>
      </c>
      <c r="AQ260" t="b">
        <f t="shared" si="521"/>
        <v>0</v>
      </c>
      <c r="AR260" t="b">
        <f t="shared" si="522"/>
        <v>0</v>
      </c>
      <c r="AS260" t="b">
        <f t="shared" si="523"/>
        <v>0</v>
      </c>
      <c r="AT260" t="b">
        <f t="shared" si="524"/>
        <v>0</v>
      </c>
      <c r="AU260" t="b">
        <f t="shared" si="525"/>
        <v>0</v>
      </c>
      <c r="AV260" t="b">
        <f t="shared" si="526"/>
        <v>0</v>
      </c>
      <c r="AW260" t="b">
        <f t="shared" si="527"/>
        <v>0</v>
      </c>
      <c r="AX260" t="b">
        <f t="shared" si="529"/>
        <v>0</v>
      </c>
      <c r="AY260" t="b">
        <f t="shared" si="530"/>
        <v>0</v>
      </c>
      <c r="AZ260" t="b">
        <f t="shared" si="531"/>
        <v>0</v>
      </c>
      <c r="BA260" t="b">
        <f t="shared" si="532"/>
        <v>0</v>
      </c>
      <c r="BB260" t="b">
        <f t="shared" si="533"/>
        <v>0</v>
      </c>
      <c r="BC260" t="b">
        <f t="shared" si="534"/>
        <v>0</v>
      </c>
      <c r="BD260" t="b">
        <f t="shared" si="535"/>
        <v>0</v>
      </c>
      <c r="BE260" t="b">
        <f t="shared" si="536"/>
        <v>0</v>
      </c>
      <c r="BF260" t="b">
        <f t="shared" si="537"/>
        <v>0</v>
      </c>
      <c r="BG260" t="b">
        <f t="shared" si="538"/>
        <v>0</v>
      </c>
      <c r="BH260" t="b">
        <f t="shared" si="539"/>
        <v>0</v>
      </c>
      <c r="BI260">
        <f t="shared" si="540"/>
        <v>1</v>
      </c>
      <c r="BJ260" t="b">
        <f t="shared" si="541"/>
        <v>0</v>
      </c>
      <c r="BK260" t="b">
        <f t="shared" si="542"/>
        <v>0</v>
      </c>
      <c r="BL260" t="b">
        <f t="shared" si="543"/>
        <v>0</v>
      </c>
      <c r="BM260" t="b">
        <f t="shared" si="544"/>
        <v>0</v>
      </c>
      <c r="BN260" t="b">
        <f t="shared" si="545"/>
        <v>0</v>
      </c>
      <c r="BO260" t="b">
        <f t="shared" si="546"/>
        <v>0</v>
      </c>
      <c r="BP260" t="b">
        <f t="shared" si="547"/>
        <v>0</v>
      </c>
      <c r="BQ260" t="b">
        <f t="shared" si="548"/>
        <v>0</v>
      </c>
      <c r="BR260" t="b">
        <f t="shared" si="549"/>
        <v>0</v>
      </c>
      <c r="BS260">
        <f t="shared" si="550"/>
        <v>1</v>
      </c>
      <c r="BT260" t="b">
        <f t="shared" si="551"/>
        <v>0</v>
      </c>
      <c r="BU260" t="b">
        <f t="shared" si="552"/>
        <v>0</v>
      </c>
      <c r="BV260" t="b">
        <f t="shared" si="553"/>
        <v>0</v>
      </c>
      <c r="BW260" t="b">
        <f t="shared" si="554"/>
        <v>0</v>
      </c>
      <c r="BX260" t="b">
        <f t="shared" si="555"/>
        <v>0</v>
      </c>
      <c r="BY260" t="b">
        <f t="shared" si="556"/>
        <v>0</v>
      </c>
      <c r="BZ260" t="b">
        <f t="shared" si="557"/>
        <v>0</v>
      </c>
      <c r="CA260" t="b">
        <f t="shared" si="558"/>
        <v>0</v>
      </c>
      <c r="CB260" t="b">
        <f t="shared" si="559"/>
        <v>0</v>
      </c>
      <c r="CC260" t="b">
        <f t="shared" si="560"/>
        <v>0</v>
      </c>
      <c r="CD260" t="b">
        <f t="shared" si="561"/>
        <v>0</v>
      </c>
      <c r="CE260">
        <f t="shared" si="562"/>
        <v>1</v>
      </c>
      <c r="CF260" t="b">
        <f t="shared" si="563"/>
        <v>0</v>
      </c>
      <c r="CG260" t="b">
        <f t="shared" si="564"/>
        <v>0</v>
      </c>
      <c r="CH260" t="b">
        <f t="shared" si="565"/>
        <v>0</v>
      </c>
      <c r="CI260" t="b">
        <f t="shared" si="566"/>
        <v>0</v>
      </c>
      <c r="CJ260" t="b">
        <f t="shared" si="567"/>
        <v>0</v>
      </c>
      <c r="CK260" t="b">
        <f t="shared" si="568"/>
        <v>0</v>
      </c>
      <c r="CL260" t="b">
        <f t="shared" si="569"/>
        <v>0</v>
      </c>
      <c r="CM260">
        <f t="shared" si="570"/>
        <v>1</v>
      </c>
      <c r="CN260" t="b">
        <f t="shared" si="571"/>
        <v>0</v>
      </c>
      <c r="CO260" t="b">
        <f t="shared" si="572"/>
        <v>0</v>
      </c>
      <c r="CP260" t="b">
        <f t="shared" si="573"/>
        <v>0</v>
      </c>
      <c r="CQ260" t="b">
        <f t="shared" si="574"/>
        <v>0</v>
      </c>
      <c r="CR260" t="b">
        <f t="shared" si="575"/>
        <v>0</v>
      </c>
      <c r="CS260" t="b">
        <f t="shared" si="576"/>
        <v>0</v>
      </c>
      <c r="CT260" t="b">
        <f t="shared" si="577"/>
        <v>0</v>
      </c>
      <c r="CU260" t="b">
        <f t="shared" si="578"/>
        <v>0</v>
      </c>
      <c r="CV260">
        <f t="shared" si="579"/>
        <v>1</v>
      </c>
      <c r="CW260" t="b">
        <f t="shared" si="580"/>
        <v>0</v>
      </c>
      <c r="CX260" t="b">
        <f t="shared" si="581"/>
        <v>0</v>
      </c>
      <c r="CY260" t="b">
        <f t="shared" si="582"/>
        <v>0</v>
      </c>
      <c r="CZ260" t="b">
        <f t="shared" si="583"/>
        <v>0</v>
      </c>
      <c r="DA260">
        <f t="shared" si="584"/>
        <v>1</v>
      </c>
      <c r="DB260">
        <f t="shared" si="585"/>
        <v>1</v>
      </c>
      <c r="DC260" t="b">
        <f t="shared" si="586"/>
        <v>0</v>
      </c>
      <c r="DD260" t="b">
        <f t="shared" si="587"/>
        <v>0</v>
      </c>
      <c r="DE260" t="b">
        <f t="shared" si="588"/>
        <v>0</v>
      </c>
      <c r="DF260" t="b">
        <f t="shared" si="589"/>
        <v>0</v>
      </c>
      <c r="DG260" t="b">
        <f t="shared" si="590"/>
        <v>0</v>
      </c>
      <c r="DH260" t="b">
        <f t="shared" si="591"/>
        <v>0</v>
      </c>
      <c r="DI260" t="b">
        <f t="shared" si="592"/>
        <v>0</v>
      </c>
      <c r="DJ260" t="b">
        <f t="shared" si="593"/>
        <v>0</v>
      </c>
      <c r="DK260" t="b">
        <f t="shared" si="594"/>
        <v>0</v>
      </c>
      <c r="DL260" t="b">
        <f t="shared" si="595"/>
        <v>0</v>
      </c>
      <c r="DM260" t="b">
        <f t="shared" si="596"/>
        <v>0</v>
      </c>
      <c r="DN260" t="b">
        <f t="shared" si="597"/>
        <v>0</v>
      </c>
      <c r="DO260" t="b">
        <f t="shared" si="598"/>
        <v>0</v>
      </c>
      <c r="DP260" t="b">
        <f t="shared" si="599"/>
        <v>0</v>
      </c>
      <c r="DQ260">
        <f t="shared" si="600"/>
        <v>1</v>
      </c>
      <c r="DR260" t="b">
        <f t="shared" si="601"/>
        <v>0</v>
      </c>
      <c r="DS260" t="b">
        <f t="shared" si="602"/>
        <v>0</v>
      </c>
      <c r="DT260" t="b">
        <f t="shared" si="603"/>
        <v>0</v>
      </c>
      <c r="DU260" t="b">
        <f t="shared" si="604"/>
        <v>0</v>
      </c>
      <c r="DV260" t="b">
        <f t="shared" si="605"/>
        <v>0</v>
      </c>
      <c r="DW260" t="b">
        <f t="shared" si="606"/>
        <v>0</v>
      </c>
      <c r="DX260" t="b">
        <f t="shared" si="607"/>
        <v>0</v>
      </c>
      <c r="DY260" t="b">
        <f t="shared" si="608"/>
        <v>0</v>
      </c>
      <c r="DZ260" t="b">
        <f t="shared" si="609"/>
        <v>0</v>
      </c>
      <c r="EA260" t="b">
        <f t="shared" si="610"/>
        <v>0</v>
      </c>
      <c r="EB260" t="b">
        <f t="shared" si="611"/>
        <v>0</v>
      </c>
      <c r="EC260" t="b">
        <f t="shared" si="612"/>
        <v>0</v>
      </c>
      <c r="ED260" t="b">
        <f t="shared" si="613"/>
        <v>0</v>
      </c>
      <c r="EE260" t="b">
        <f t="shared" si="614"/>
        <v>0</v>
      </c>
      <c r="EF260" t="b">
        <f t="shared" si="615"/>
        <v>0</v>
      </c>
      <c r="EG260" t="b">
        <f t="shared" si="616"/>
        <v>0</v>
      </c>
      <c r="EH260" t="b">
        <f t="shared" si="617"/>
        <v>0</v>
      </c>
      <c r="EI260" t="b">
        <f t="shared" si="618"/>
        <v>0</v>
      </c>
      <c r="EJ260" t="b">
        <f t="shared" si="619"/>
        <v>0</v>
      </c>
      <c r="EK260" t="b">
        <f t="shared" si="620"/>
        <v>0</v>
      </c>
    </row>
    <row r="261" spans="1:141">
      <c r="A261" t="s">
        <v>1393</v>
      </c>
      <c r="B261" t="s">
        <v>1394</v>
      </c>
      <c r="C261" t="s">
        <v>1394</v>
      </c>
      <c r="D261" s="1">
        <v>40719</v>
      </c>
      <c r="E261" s="2">
        <v>41770.437997685185</v>
      </c>
      <c r="F261" s="2">
        <v>41770.437997685185</v>
      </c>
      <c r="G261">
        <v>191540</v>
      </c>
      <c r="H261" t="s">
        <v>1395</v>
      </c>
      <c r="I261" s="10" t="s">
        <v>1396</v>
      </c>
      <c r="J261" t="s">
        <v>1397</v>
      </c>
      <c r="K261" s="8" t="b">
        <v>1</v>
      </c>
      <c r="L261" s="10" t="b">
        <v>0</v>
      </c>
      <c r="M261" s="12" t="b">
        <v>0</v>
      </c>
      <c r="N261" t="b">
        <v>0</v>
      </c>
      <c r="O261" t="b">
        <v>0</v>
      </c>
      <c r="P261" t="b">
        <v>0</v>
      </c>
      <c r="Q261">
        <f t="shared" si="497"/>
        <v>7</v>
      </c>
      <c r="R261">
        <f t="shared" si="498"/>
        <v>6</v>
      </c>
      <c r="S261" t="e">
        <f t="shared" ca="1" si="528"/>
        <v>#NAME?</v>
      </c>
      <c r="T261" t="e">
        <f t="shared" ca="1" si="499"/>
        <v>#NAME?</v>
      </c>
      <c r="U261" s="4">
        <f t="shared" si="500"/>
        <v>1051.4379976851851</v>
      </c>
      <c r="V261" s="4">
        <f t="shared" si="501"/>
        <v>35.04793325617284</v>
      </c>
      <c r="W261" s="4">
        <f t="shared" si="502"/>
        <v>1</v>
      </c>
      <c r="X261" s="4">
        <f t="shared" si="503"/>
        <v>0</v>
      </c>
      <c r="Y261" s="4">
        <f t="shared" si="504"/>
        <v>0</v>
      </c>
      <c r="Z261" s="4">
        <f t="shared" si="505"/>
        <v>0</v>
      </c>
      <c r="AA261" s="4">
        <f t="shared" si="506"/>
        <v>0</v>
      </c>
      <c r="AB261" s="4">
        <f t="shared" si="507"/>
        <v>0</v>
      </c>
      <c r="AC261" s="4"/>
      <c r="AD261" s="4" t="b">
        <f t="shared" si="508"/>
        <v>0</v>
      </c>
      <c r="AE261" s="4" t="b">
        <f t="shared" si="509"/>
        <v>0</v>
      </c>
      <c r="AF261" s="4" t="b">
        <f t="shared" si="510"/>
        <v>0</v>
      </c>
      <c r="AG261" t="b">
        <f t="shared" si="511"/>
        <v>0</v>
      </c>
      <c r="AH261" t="b">
        <f t="shared" si="512"/>
        <v>0</v>
      </c>
      <c r="AI261" t="b">
        <f t="shared" si="513"/>
        <v>0</v>
      </c>
      <c r="AJ261" t="b">
        <f t="shared" si="514"/>
        <v>0</v>
      </c>
      <c r="AK261" t="b">
        <f t="shared" si="515"/>
        <v>0</v>
      </c>
      <c r="AL261" t="b">
        <f t="shared" si="516"/>
        <v>0</v>
      </c>
      <c r="AM261" t="b">
        <f t="shared" si="517"/>
        <v>0</v>
      </c>
      <c r="AN261" t="b">
        <f t="shared" si="518"/>
        <v>0</v>
      </c>
      <c r="AO261" t="b">
        <f t="shared" si="519"/>
        <v>0</v>
      </c>
      <c r="AP261" t="b">
        <f t="shared" si="520"/>
        <v>0</v>
      </c>
      <c r="AQ261" t="b">
        <f t="shared" si="521"/>
        <v>0</v>
      </c>
      <c r="AR261" t="b">
        <f t="shared" si="522"/>
        <v>0</v>
      </c>
      <c r="AS261" t="b">
        <f t="shared" si="523"/>
        <v>0</v>
      </c>
      <c r="AT261" t="b">
        <f t="shared" si="524"/>
        <v>0</v>
      </c>
      <c r="AU261" t="b">
        <f t="shared" si="525"/>
        <v>0</v>
      </c>
      <c r="AV261" t="b">
        <f t="shared" si="526"/>
        <v>0</v>
      </c>
      <c r="AW261" t="b">
        <f t="shared" si="527"/>
        <v>0</v>
      </c>
      <c r="AX261" t="b">
        <f t="shared" si="529"/>
        <v>0</v>
      </c>
      <c r="AY261" t="b">
        <f t="shared" si="530"/>
        <v>0</v>
      </c>
      <c r="AZ261">
        <f t="shared" si="531"/>
        <v>1</v>
      </c>
      <c r="BA261" t="b">
        <f t="shared" si="532"/>
        <v>0</v>
      </c>
      <c r="BB261" t="b">
        <f t="shared" si="533"/>
        <v>0</v>
      </c>
      <c r="BC261" t="b">
        <f t="shared" si="534"/>
        <v>0</v>
      </c>
      <c r="BD261" t="b">
        <f t="shared" si="535"/>
        <v>0</v>
      </c>
      <c r="BE261" t="b">
        <f t="shared" si="536"/>
        <v>0</v>
      </c>
      <c r="BF261" t="b">
        <f t="shared" si="537"/>
        <v>0</v>
      </c>
      <c r="BG261" t="b">
        <f t="shared" si="538"/>
        <v>0</v>
      </c>
      <c r="BH261" t="b">
        <f t="shared" si="539"/>
        <v>0</v>
      </c>
      <c r="BI261">
        <f t="shared" si="540"/>
        <v>1</v>
      </c>
      <c r="BJ261" t="b">
        <f t="shared" si="541"/>
        <v>0</v>
      </c>
      <c r="BK261" t="b">
        <f t="shared" si="542"/>
        <v>0</v>
      </c>
      <c r="BL261" t="b">
        <f t="shared" si="543"/>
        <v>0</v>
      </c>
      <c r="BM261" t="b">
        <f t="shared" si="544"/>
        <v>0</v>
      </c>
      <c r="BN261" t="b">
        <f t="shared" si="545"/>
        <v>0</v>
      </c>
      <c r="BO261" t="b">
        <f t="shared" si="546"/>
        <v>0</v>
      </c>
      <c r="BP261" t="b">
        <f t="shared" si="547"/>
        <v>0</v>
      </c>
      <c r="BQ261" t="b">
        <f t="shared" si="548"/>
        <v>0</v>
      </c>
      <c r="BR261" t="b">
        <f t="shared" si="549"/>
        <v>0</v>
      </c>
      <c r="BS261" t="b">
        <f t="shared" si="550"/>
        <v>0</v>
      </c>
      <c r="BT261" t="b">
        <f t="shared" si="551"/>
        <v>0</v>
      </c>
      <c r="BU261" t="b">
        <f t="shared" si="552"/>
        <v>0</v>
      </c>
      <c r="BV261" t="b">
        <f t="shared" si="553"/>
        <v>0</v>
      </c>
      <c r="BW261" t="b">
        <f t="shared" si="554"/>
        <v>0</v>
      </c>
      <c r="BX261" t="b">
        <f t="shared" si="555"/>
        <v>0</v>
      </c>
      <c r="BY261" t="b">
        <f t="shared" si="556"/>
        <v>0</v>
      </c>
      <c r="BZ261" t="b">
        <f t="shared" si="557"/>
        <v>0</v>
      </c>
      <c r="CA261" t="b">
        <f t="shared" si="558"/>
        <v>0</v>
      </c>
      <c r="CB261" t="b">
        <f t="shared" si="559"/>
        <v>0</v>
      </c>
      <c r="CC261" t="b">
        <f t="shared" si="560"/>
        <v>0</v>
      </c>
      <c r="CD261">
        <f t="shared" si="561"/>
        <v>1</v>
      </c>
      <c r="CE261">
        <f t="shared" si="562"/>
        <v>1</v>
      </c>
      <c r="CF261" t="b">
        <f t="shared" si="563"/>
        <v>0</v>
      </c>
      <c r="CG261" t="b">
        <f t="shared" si="564"/>
        <v>0</v>
      </c>
      <c r="CH261" t="b">
        <f t="shared" si="565"/>
        <v>0</v>
      </c>
      <c r="CI261" t="b">
        <f t="shared" si="566"/>
        <v>0</v>
      </c>
      <c r="CJ261" t="b">
        <f t="shared" si="567"/>
        <v>0</v>
      </c>
      <c r="CK261" t="b">
        <f t="shared" si="568"/>
        <v>0</v>
      </c>
      <c r="CL261" t="b">
        <f t="shared" si="569"/>
        <v>0</v>
      </c>
      <c r="CM261" t="b">
        <f t="shared" si="570"/>
        <v>0</v>
      </c>
      <c r="CN261" t="b">
        <f t="shared" si="571"/>
        <v>0</v>
      </c>
      <c r="CO261" t="b">
        <f t="shared" si="572"/>
        <v>0</v>
      </c>
      <c r="CP261" t="b">
        <f t="shared" si="573"/>
        <v>0</v>
      </c>
      <c r="CQ261" t="b">
        <f t="shared" si="574"/>
        <v>0</v>
      </c>
      <c r="CR261" t="b">
        <f t="shared" si="575"/>
        <v>0</v>
      </c>
      <c r="CS261" t="b">
        <f t="shared" si="576"/>
        <v>0</v>
      </c>
      <c r="CT261" t="b">
        <f t="shared" si="577"/>
        <v>0</v>
      </c>
      <c r="CU261" t="b">
        <f t="shared" si="578"/>
        <v>0</v>
      </c>
      <c r="CV261">
        <f t="shared" si="579"/>
        <v>1</v>
      </c>
      <c r="CW261" t="b">
        <f t="shared" si="580"/>
        <v>0</v>
      </c>
      <c r="CX261" t="b">
        <f t="shared" si="581"/>
        <v>0</v>
      </c>
      <c r="CY261" t="b">
        <f t="shared" si="582"/>
        <v>0</v>
      </c>
      <c r="CZ261" t="b">
        <f t="shared" si="583"/>
        <v>0</v>
      </c>
      <c r="DA261" t="b">
        <f t="shared" si="584"/>
        <v>0</v>
      </c>
      <c r="DB261" t="b">
        <f t="shared" si="585"/>
        <v>0</v>
      </c>
      <c r="DC261" t="b">
        <f t="shared" si="586"/>
        <v>0</v>
      </c>
      <c r="DD261" t="b">
        <f t="shared" si="587"/>
        <v>0</v>
      </c>
      <c r="DE261" t="b">
        <f t="shared" si="588"/>
        <v>0</v>
      </c>
      <c r="DF261" t="b">
        <f t="shared" si="589"/>
        <v>0</v>
      </c>
      <c r="DG261" t="b">
        <f t="shared" si="590"/>
        <v>0</v>
      </c>
      <c r="DH261" t="b">
        <f t="shared" si="591"/>
        <v>0</v>
      </c>
      <c r="DI261" t="b">
        <f t="shared" si="592"/>
        <v>0</v>
      </c>
      <c r="DJ261" t="b">
        <f t="shared" si="593"/>
        <v>0</v>
      </c>
      <c r="DK261" t="b">
        <f t="shared" si="594"/>
        <v>0</v>
      </c>
      <c r="DL261" t="b">
        <f t="shared" si="595"/>
        <v>0</v>
      </c>
      <c r="DM261" t="b">
        <f t="shared" si="596"/>
        <v>0</v>
      </c>
      <c r="DN261" t="b">
        <f t="shared" si="597"/>
        <v>0</v>
      </c>
      <c r="DO261" t="b">
        <f t="shared" si="598"/>
        <v>0</v>
      </c>
      <c r="DP261" t="b">
        <f t="shared" si="599"/>
        <v>0</v>
      </c>
      <c r="DQ261" t="b">
        <f t="shared" si="600"/>
        <v>0</v>
      </c>
      <c r="DR261" t="b">
        <f t="shared" si="601"/>
        <v>0</v>
      </c>
      <c r="DS261" t="b">
        <f t="shared" si="602"/>
        <v>0</v>
      </c>
      <c r="DT261" t="b">
        <f t="shared" si="603"/>
        <v>0</v>
      </c>
      <c r="DU261" t="b">
        <f t="shared" si="604"/>
        <v>0</v>
      </c>
      <c r="DV261" t="b">
        <f t="shared" si="605"/>
        <v>0</v>
      </c>
      <c r="DW261" t="b">
        <f t="shared" si="606"/>
        <v>0</v>
      </c>
      <c r="DX261">
        <f t="shared" si="607"/>
        <v>1</v>
      </c>
      <c r="DY261" t="b">
        <f t="shared" si="608"/>
        <v>0</v>
      </c>
      <c r="DZ261" t="b">
        <f t="shared" si="609"/>
        <v>0</v>
      </c>
      <c r="EA261">
        <f t="shared" si="610"/>
        <v>1</v>
      </c>
      <c r="EB261" t="b">
        <f t="shared" si="611"/>
        <v>0</v>
      </c>
      <c r="EC261">
        <f t="shared" si="612"/>
        <v>1</v>
      </c>
      <c r="ED261" t="b">
        <f t="shared" si="613"/>
        <v>0</v>
      </c>
      <c r="EE261">
        <f t="shared" si="614"/>
        <v>1</v>
      </c>
      <c r="EF261">
        <f t="shared" si="615"/>
        <v>1</v>
      </c>
      <c r="EG261" t="b">
        <f t="shared" si="616"/>
        <v>0</v>
      </c>
      <c r="EH261" t="b">
        <f t="shared" si="617"/>
        <v>0</v>
      </c>
      <c r="EI261">
        <f t="shared" si="618"/>
        <v>1</v>
      </c>
      <c r="EJ261" t="b">
        <f t="shared" si="619"/>
        <v>0</v>
      </c>
      <c r="EK261" t="b">
        <f t="shared" si="620"/>
        <v>0</v>
      </c>
    </row>
    <row r="262" spans="1:141">
      <c r="A262" t="s">
        <v>1398</v>
      </c>
      <c r="B262" t="s">
        <v>1399</v>
      </c>
      <c r="C262" t="s">
        <v>1400</v>
      </c>
      <c r="D262" s="1">
        <v>42191</v>
      </c>
      <c r="E262" s="2">
        <v>42197.994756944441</v>
      </c>
      <c r="F262" s="2">
        <v>42197.994756944441</v>
      </c>
      <c r="G262">
        <v>32310</v>
      </c>
      <c r="H262" t="s">
        <v>1401</v>
      </c>
      <c r="I262" s="10" t="s">
        <v>1402</v>
      </c>
      <c r="J262" t="s">
        <v>284</v>
      </c>
      <c r="K262" s="8" t="b">
        <v>1</v>
      </c>
      <c r="L262" s="10" t="b">
        <v>0</v>
      </c>
      <c r="M262" s="12" t="b">
        <v>0</v>
      </c>
      <c r="N262" t="b">
        <v>0</v>
      </c>
      <c r="O262" t="b">
        <v>0</v>
      </c>
      <c r="P262" t="b">
        <v>0</v>
      </c>
      <c r="Q262">
        <f t="shared" si="497"/>
        <v>2</v>
      </c>
      <c r="R262">
        <f t="shared" si="498"/>
        <v>7</v>
      </c>
      <c r="S262" t="e">
        <f t="shared" ca="1" si="528"/>
        <v>#NAME?</v>
      </c>
      <c r="T262" t="e">
        <f t="shared" ca="1" si="499"/>
        <v>#NAME?</v>
      </c>
      <c r="U262" s="4">
        <f t="shared" si="500"/>
        <v>6.9947569444411783</v>
      </c>
      <c r="V262" s="4">
        <f t="shared" si="501"/>
        <v>0.23315856481470595</v>
      </c>
      <c r="W262" s="4">
        <f t="shared" si="502"/>
        <v>1</v>
      </c>
      <c r="X262" s="4">
        <f t="shared" si="503"/>
        <v>0</v>
      </c>
      <c r="Y262" s="4">
        <f t="shared" si="504"/>
        <v>0</v>
      </c>
      <c r="Z262" s="4">
        <f t="shared" si="505"/>
        <v>0</v>
      </c>
      <c r="AA262" s="4">
        <f t="shared" si="506"/>
        <v>0</v>
      </c>
      <c r="AB262" s="4">
        <f t="shared" si="507"/>
        <v>0</v>
      </c>
      <c r="AC262" s="4"/>
      <c r="AD262" s="4" t="b">
        <f t="shared" si="508"/>
        <v>0</v>
      </c>
      <c r="AE262" s="4" t="b">
        <f t="shared" si="509"/>
        <v>0</v>
      </c>
      <c r="AF262" s="4" t="b">
        <f t="shared" si="510"/>
        <v>0</v>
      </c>
      <c r="AG262" t="b">
        <f t="shared" si="511"/>
        <v>0</v>
      </c>
      <c r="AH262" t="b">
        <f t="shared" si="512"/>
        <v>0</v>
      </c>
      <c r="AI262" t="b">
        <f t="shared" si="513"/>
        <v>0</v>
      </c>
      <c r="AJ262" t="b">
        <f t="shared" si="514"/>
        <v>0</v>
      </c>
      <c r="AK262" t="b">
        <f t="shared" si="515"/>
        <v>0</v>
      </c>
      <c r="AL262" t="b">
        <f t="shared" si="516"/>
        <v>0</v>
      </c>
      <c r="AM262" t="b">
        <f t="shared" si="517"/>
        <v>0</v>
      </c>
      <c r="AN262" t="b">
        <f t="shared" si="518"/>
        <v>0</v>
      </c>
      <c r="AO262" t="b">
        <f t="shared" si="519"/>
        <v>0</v>
      </c>
      <c r="AP262" t="b">
        <f t="shared" si="520"/>
        <v>0</v>
      </c>
      <c r="AQ262" t="b">
        <f t="shared" si="521"/>
        <v>0</v>
      </c>
      <c r="AR262" t="b">
        <f t="shared" si="522"/>
        <v>0</v>
      </c>
      <c r="AS262" t="b">
        <f t="shared" si="523"/>
        <v>0</v>
      </c>
      <c r="AT262" t="b">
        <f t="shared" si="524"/>
        <v>0</v>
      </c>
      <c r="AU262" t="b">
        <f t="shared" si="525"/>
        <v>0</v>
      </c>
      <c r="AV262" t="b">
        <f t="shared" si="526"/>
        <v>0</v>
      </c>
      <c r="AW262" t="b">
        <f t="shared" si="527"/>
        <v>0</v>
      </c>
      <c r="AX262" t="b">
        <f t="shared" si="529"/>
        <v>0</v>
      </c>
      <c r="AY262" t="b">
        <f t="shared" si="530"/>
        <v>0</v>
      </c>
      <c r="AZ262" t="b">
        <f t="shared" si="531"/>
        <v>0</v>
      </c>
      <c r="BA262" t="b">
        <f t="shared" si="532"/>
        <v>0</v>
      </c>
      <c r="BB262" t="b">
        <f t="shared" si="533"/>
        <v>0</v>
      </c>
      <c r="BC262" t="b">
        <f t="shared" si="534"/>
        <v>0</v>
      </c>
      <c r="BD262" t="b">
        <f t="shared" si="535"/>
        <v>0</v>
      </c>
      <c r="BE262" t="b">
        <f t="shared" si="536"/>
        <v>0</v>
      </c>
      <c r="BF262" t="b">
        <f t="shared" si="537"/>
        <v>0</v>
      </c>
      <c r="BG262" t="b">
        <f t="shared" si="538"/>
        <v>0</v>
      </c>
      <c r="BH262" t="b">
        <f t="shared" si="539"/>
        <v>0</v>
      </c>
      <c r="BI262">
        <f t="shared" si="540"/>
        <v>1</v>
      </c>
      <c r="BJ262" t="b">
        <f t="shared" si="541"/>
        <v>0</v>
      </c>
      <c r="BK262" t="b">
        <f t="shared" si="542"/>
        <v>0</v>
      </c>
      <c r="BL262" t="b">
        <f t="shared" si="543"/>
        <v>0</v>
      </c>
      <c r="BM262" t="b">
        <f t="shared" si="544"/>
        <v>0</v>
      </c>
      <c r="BN262" t="b">
        <f t="shared" si="545"/>
        <v>0</v>
      </c>
      <c r="BO262" t="b">
        <f t="shared" si="546"/>
        <v>0</v>
      </c>
      <c r="BP262" t="b">
        <f t="shared" si="547"/>
        <v>0</v>
      </c>
      <c r="BQ262" t="b">
        <f t="shared" si="548"/>
        <v>0</v>
      </c>
      <c r="BR262" t="b">
        <f t="shared" si="549"/>
        <v>0</v>
      </c>
      <c r="BS262" t="b">
        <f t="shared" si="550"/>
        <v>0</v>
      </c>
      <c r="BT262" t="b">
        <f t="shared" si="551"/>
        <v>0</v>
      </c>
      <c r="BU262" t="b">
        <f t="shared" si="552"/>
        <v>0</v>
      </c>
      <c r="BV262" t="b">
        <f t="shared" si="553"/>
        <v>0</v>
      </c>
      <c r="BW262" t="b">
        <f t="shared" si="554"/>
        <v>0</v>
      </c>
      <c r="BX262" t="b">
        <f t="shared" si="555"/>
        <v>0</v>
      </c>
      <c r="BY262" t="b">
        <f t="shared" si="556"/>
        <v>0</v>
      </c>
      <c r="BZ262" t="b">
        <f t="shared" si="557"/>
        <v>0</v>
      </c>
      <c r="CA262" t="b">
        <f t="shared" si="558"/>
        <v>0</v>
      </c>
      <c r="CB262" t="b">
        <f t="shared" si="559"/>
        <v>0</v>
      </c>
      <c r="CC262" t="b">
        <f t="shared" si="560"/>
        <v>0</v>
      </c>
      <c r="CD262" t="b">
        <f t="shared" si="561"/>
        <v>0</v>
      </c>
      <c r="CE262" t="b">
        <f t="shared" si="562"/>
        <v>0</v>
      </c>
      <c r="CF262" t="b">
        <f t="shared" si="563"/>
        <v>0</v>
      </c>
      <c r="CG262" t="b">
        <f t="shared" si="564"/>
        <v>0</v>
      </c>
      <c r="CH262" t="b">
        <f t="shared" si="565"/>
        <v>0</v>
      </c>
      <c r="CI262" t="b">
        <f t="shared" si="566"/>
        <v>0</v>
      </c>
      <c r="CJ262" t="b">
        <f t="shared" si="567"/>
        <v>0</v>
      </c>
      <c r="CK262" t="b">
        <f t="shared" si="568"/>
        <v>0</v>
      </c>
      <c r="CL262" t="b">
        <f t="shared" si="569"/>
        <v>0</v>
      </c>
      <c r="CM262" t="b">
        <f t="shared" si="570"/>
        <v>0</v>
      </c>
      <c r="CN262" t="b">
        <f t="shared" si="571"/>
        <v>0</v>
      </c>
      <c r="CO262" t="b">
        <f t="shared" si="572"/>
        <v>0</v>
      </c>
      <c r="CP262" t="b">
        <f t="shared" si="573"/>
        <v>0</v>
      </c>
      <c r="CQ262" t="b">
        <f t="shared" si="574"/>
        <v>0</v>
      </c>
      <c r="CR262" t="b">
        <f t="shared" si="575"/>
        <v>0</v>
      </c>
      <c r="CS262" t="b">
        <f t="shared" si="576"/>
        <v>0</v>
      </c>
      <c r="CT262" t="b">
        <f t="shared" si="577"/>
        <v>0</v>
      </c>
      <c r="CU262" t="b">
        <f t="shared" si="578"/>
        <v>0</v>
      </c>
      <c r="CV262" t="b">
        <f t="shared" si="579"/>
        <v>0</v>
      </c>
      <c r="CW262" t="b">
        <f t="shared" si="580"/>
        <v>0</v>
      </c>
      <c r="CX262" t="b">
        <f t="shared" si="581"/>
        <v>0</v>
      </c>
      <c r="CY262" t="b">
        <f t="shared" si="582"/>
        <v>0</v>
      </c>
      <c r="CZ262" t="b">
        <f t="shared" si="583"/>
        <v>0</v>
      </c>
      <c r="DA262" t="b">
        <f t="shared" si="584"/>
        <v>0</v>
      </c>
      <c r="DB262" t="b">
        <f t="shared" si="585"/>
        <v>0</v>
      </c>
      <c r="DC262" t="b">
        <f t="shared" si="586"/>
        <v>0</v>
      </c>
      <c r="DD262" t="b">
        <f t="shared" si="587"/>
        <v>0</v>
      </c>
      <c r="DE262" t="b">
        <f t="shared" si="588"/>
        <v>0</v>
      </c>
      <c r="DF262" t="b">
        <f t="shared" si="589"/>
        <v>0</v>
      </c>
      <c r="DG262" t="b">
        <f t="shared" si="590"/>
        <v>0</v>
      </c>
      <c r="DH262" t="b">
        <f t="shared" si="591"/>
        <v>0</v>
      </c>
      <c r="DI262" t="b">
        <f t="shared" si="592"/>
        <v>0</v>
      </c>
      <c r="DJ262" t="b">
        <f t="shared" si="593"/>
        <v>0</v>
      </c>
      <c r="DK262" t="b">
        <f t="shared" si="594"/>
        <v>0</v>
      </c>
      <c r="DL262" t="b">
        <f t="shared" si="595"/>
        <v>0</v>
      </c>
      <c r="DM262" t="b">
        <f t="shared" si="596"/>
        <v>0</v>
      </c>
      <c r="DN262" t="b">
        <f t="shared" si="597"/>
        <v>0</v>
      </c>
      <c r="DO262" t="b">
        <f t="shared" si="598"/>
        <v>0</v>
      </c>
      <c r="DP262" t="b">
        <f t="shared" si="599"/>
        <v>0</v>
      </c>
      <c r="DQ262" t="b">
        <f t="shared" si="600"/>
        <v>0</v>
      </c>
      <c r="DR262" t="b">
        <f t="shared" si="601"/>
        <v>0</v>
      </c>
      <c r="DS262" t="b">
        <f t="shared" si="602"/>
        <v>0</v>
      </c>
      <c r="DT262" t="b">
        <f t="shared" si="603"/>
        <v>0</v>
      </c>
      <c r="DU262" t="b">
        <f t="shared" si="604"/>
        <v>0</v>
      </c>
      <c r="DV262" t="b">
        <f t="shared" si="605"/>
        <v>0</v>
      </c>
      <c r="DW262" t="b">
        <f t="shared" si="606"/>
        <v>0</v>
      </c>
      <c r="DX262" t="b">
        <f t="shared" si="607"/>
        <v>0</v>
      </c>
      <c r="DY262" t="b">
        <f t="shared" si="608"/>
        <v>0</v>
      </c>
      <c r="DZ262" t="b">
        <f t="shared" si="609"/>
        <v>0</v>
      </c>
      <c r="EA262" t="b">
        <f t="shared" si="610"/>
        <v>0</v>
      </c>
      <c r="EB262" t="b">
        <f t="shared" si="611"/>
        <v>0</v>
      </c>
      <c r="EC262" t="b">
        <f t="shared" si="612"/>
        <v>0</v>
      </c>
      <c r="ED262" t="b">
        <f t="shared" si="613"/>
        <v>0</v>
      </c>
      <c r="EE262" t="b">
        <f t="shared" si="614"/>
        <v>0</v>
      </c>
      <c r="EF262" t="b">
        <f t="shared" si="615"/>
        <v>0</v>
      </c>
      <c r="EG262" t="b">
        <f t="shared" si="616"/>
        <v>0</v>
      </c>
      <c r="EH262" t="b">
        <f t="shared" si="617"/>
        <v>0</v>
      </c>
      <c r="EI262" t="b">
        <f t="shared" si="618"/>
        <v>0</v>
      </c>
      <c r="EJ262" t="b">
        <f t="shared" si="619"/>
        <v>0</v>
      </c>
      <c r="EK262" t="b">
        <f t="shared" si="620"/>
        <v>0</v>
      </c>
    </row>
    <row r="263" spans="1:141">
      <c r="A263" t="s">
        <v>1403</v>
      </c>
      <c r="B263" t="s">
        <v>1403</v>
      </c>
      <c r="C263" t="s">
        <v>1404</v>
      </c>
      <c r="D263" s="1">
        <v>43319</v>
      </c>
      <c r="E263" s="2">
        <v>43545.914953703701</v>
      </c>
      <c r="F263" s="2">
        <v>43545.914953703701</v>
      </c>
      <c r="G263">
        <v>28510459</v>
      </c>
      <c r="H263" t="s">
        <v>1405</v>
      </c>
      <c r="I263" s="10" t="s">
        <v>1406</v>
      </c>
      <c r="J263" t="s">
        <v>1407</v>
      </c>
      <c r="K263" s="8" t="b">
        <v>1</v>
      </c>
      <c r="L263" s="10" t="b">
        <v>0</v>
      </c>
      <c r="M263" s="12" t="b">
        <v>0</v>
      </c>
      <c r="N263" t="b">
        <v>0</v>
      </c>
      <c r="O263" t="b">
        <v>0</v>
      </c>
      <c r="P263" t="b">
        <v>0</v>
      </c>
      <c r="Q263">
        <f t="shared" si="497"/>
        <v>3</v>
      </c>
      <c r="R263">
        <f t="shared" si="498"/>
        <v>8</v>
      </c>
      <c r="S263" t="e">
        <f t="shared" ca="1" si="528"/>
        <v>#NAME?</v>
      </c>
      <c r="T263" t="e">
        <f t="shared" ca="1" si="499"/>
        <v>#NAME?</v>
      </c>
      <c r="U263" s="4">
        <f t="shared" si="500"/>
        <v>226.91495370370103</v>
      </c>
      <c r="V263" s="4">
        <f t="shared" si="501"/>
        <v>7.563831790123368</v>
      </c>
      <c r="W263" s="4">
        <f t="shared" si="502"/>
        <v>1</v>
      </c>
      <c r="X263" s="4">
        <f t="shared" si="503"/>
        <v>0</v>
      </c>
      <c r="Y263" s="4">
        <f t="shared" si="504"/>
        <v>0</v>
      </c>
      <c r="Z263" s="4">
        <f t="shared" si="505"/>
        <v>0</v>
      </c>
      <c r="AA263" s="4">
        <f t="shared" si="506"/>
        <v>0</v>
      </c>
      <c r="AB263" s="4">
        <f t="shared" si="507"/>
        <v>0</v>
      </c>
      <c r="AC263" s="4"/>
      <c r="AD263" s="4" t="b">
        <f t="shared" si="508"/>
        <v>0</v>
      </c>
      <c r="AE263" s="4" t="b">
        <f t="shared" si="509"/>
        <v>0</v>
      </c>
      <c r="AF263" s="4" t="b">
        <f t="shared" si="510"/>
        <v>0</v>
      </c>
      <c r="AG263" t="b">
        <f t="shared" si="511"/>
        <v>0</v>
      </c>
      <c r="AH263" t="b">
        <f t="shared" si="512"/>
        <v>0</v>
      </c>
      <c r="AI263" t="b">
        <f t="shared" si="513"/>
        <v>0</v>
      </c>
      <c r="AJ263" t="b">
        <f t="shared" si="514"/>
        <v>0</v>
      </c>
      <c r="AK263" t="b">
        <f t="shared" si="515"/>
        <v>0</v>
      </c>
      <c r="AL263" t="b">
        <f t="shared" si="516"/>
        <v>0</v>
      </c>
      <c r="AM263" t="b">
        <f t="shared" si="517"/>
        <v>0</v>
      </c>
      <c r="AN263" t="b">
        <f t="shared" si="518"/>
        <v>0</v>
      </c>
      <c r="AO263" t="b">
        <f t="shared" si="519"/>
        <v>0</v>
      </c>
      <c r="AP263" t="b">
        <f t="shared" si="520"/>
        <v>0</v>
      </c>
      <c r="AQ263" t="b">
        <f t="shared" si="521"/>
        <v>0</v>
      </c>
      <c r="AR263" t="b">
        <f t="shared" si="522"/>
        <v>0</v>
      </c>
      <c r="AS263" t="b">
        <f t="shared" si="523"/>
        <v>0</v>
      </c>
      <c r="AT263" t="b">
        <f t="shared" si="524"/>
        <v>0</v>
      </c>
      <c r="AU263" t="b">
        <f t="shared" si="525"/>
        <v>0</v>
      </c>
      <c r="AV263" t="b">
        <f t="shared" si="526"/>
        <v>0</v>
      </c>
      <c r="AW263" t="b">
        <f t="shared" si="527"/>
        <v>0</v>
      </c>
      <c r="AX263" t="b">
        <f t="shared" si="529"/>
        <v>0</v>
      </c>
      <c r="AY263" t="b">
        <f t="shared" si="530"/>
        <v>0</v>
      </c>
      <c r="AZ263">
        <f t="shared" si="531"/>
        <v>1</v>
      </c>
      <c r="BA263" t="b">
        <f t="shared" si="532"/>
        <v>0</v>
      </c>
      <c r="BB263" t="b">
        <f t="shared" si="533"/>
        <v>0</v>
      </c>
      <c r="BC263" t="b">
        <f t="shared" si="534"/>
        <v>0</v>
      </c>
      <c r="BD263" t="b">
        <f t="shared" si="535"/>
        <v>0</v>
      </c>
      <c r="BE263" t="b">
        <f t="shared" si="536"/>
        <v>0</v>
      </c>
      <c r="BF263" t="b">
        <f t="shared" si="537"/>
        <v>0</v>
      </c>
      <c r="BG263" t="b">
        <f t="shared" si="538"/>
        <v>0</v>
      </c>
      <c r="BH263" t="b">
        <f t="shared" si="539"/>
        <v>0</v>
      </c>
      <c r="BI263">
        <f t="shared" si="540"/>
        <v>1</v>
      </c>
      <c r="BJ263" t="b">
        <f t="shared" si="541"/>
        <v>0</v>
      </c>
      <c r="BK263" t="b">
        <f t="shared" si="542"/>
        <v>0</v>
      </c>
      <c r="BL263" t="b">
        <f t="shared" si="543"/>
        <v>0</v>
      </c>
      <c r="BM263" t="b">
        <f t="shared" si="544"/>
        <v>0</v>
      </c>
      <c r="BN263" t="b">
        <f t="shared" si="545"/>
        <v>0</v>
      </c>
      <c r="BO263" t="b">
        <f t="shared" si="546"/>
        <v>0</v>
      </c>
      <c r="BP263" t="b">
        <f t="shared" si="547"/>
        <v>0</v>
      </c>
      <c r="BQ263" t="b">
        <f t="shared" si="548"/>
        <v>0</v>
      </c>
      <c r="BR263">
        <f t="shared" si="549"/>
        <v>1</v>
      </c>
      <c r="BS263">
        <f t="shared" si="550"/>
        <v>1</v>
      </c>
      <c r="BT263" t="b">
        <f t="shared" si="551"/>
        <v>0</v>
      </c>
      <c r="BU263" t="b">
        <f t="shared" si="552"/>
        <v>0</v>
      </c>
      <c r="BV263" t="b">
        <f t="shared" si="553"/>
        <v>0</v>
      </c>
      <c r="BW263" t="b">
        <f t="shared" si="554"/>
        <v>0</v>
      </c>
      <c r="BX263" t="b">
        <f t="shared" si="555"/>
        <v>0</v>
      </c>
      <c r="BY263" t="b">
        <f t="shared" si="556"/>
        <v>0</v>
      </c>
      <c r="BZ263" t="b">
        <f t="shared" si="557"/>
        <v>0</v>
      </c>
      <c r="CA263" t="b">
        <f t="shared" si="558"/>
        <v>0</v>
      </c>
      <c r="CB263" t="b">
        <f t="shared" si="559"/>
        <v>0</v>
      </c>
      <c r="CC263" t="b">
        <f t="shared" si="560"/>
        <v>0</v>
      </c>
      <c r="CD263" t="b">
        <f t="shared" si="561"/>
        <v>0</v>
      </c>
      <c r="CE263" t="b">
        <f t="shared" si="562"/>
        <v>0</v>
      </c>
      <c r="CF263" t="b">
        <f t="shared" si="563"/>
        <v>0</v>
      </c>
      <c r="CG263" t="b">
        <f t="shared" si="564"/>
        <v>0</v>
      </c>
      <c r="CH263" t="b">
        <f t="shared" si="565"/>
        <v>0</v>
      </c>
      <c r="CI263" t="b">
        <f t="shared" si="566"/>
        <v>0</v>
      </c>
      <c r="CJ263" t="b">
        <f t="shared" si="567"/>
        <v>0</v>
      </c>
      <c r="CK263" t="b">
        <f t="shared" si="568"/>
        <v>0</v>
      </c>
      <c r="CL263" t="b">
        <f t="shared" si="569"/>
        <v>0</v>
      </c>
      <c r="CM263">
        <f t="shared" si="570"/>
        <v>1</v>
      </c>
      <c r="CN263" t="b">
        <f t="shared" si="571"/>
        <v>0</v>
      </c>
      <c r="CO263" t="b">
        <f t="shared" si="572"/>
        <v>0</v>
      </c>
      <c r="CP263" t="b">
        <f t="shared" si="573"/>
        <v>0</v>
      </c>
      <c r="CQ263" t="b">
        <f t="shared" si="574"/>
        <v>0</v>
      </c>
      <c r="CR263" t="b">
        <f t="shared" si="575"/>
        <v>0</v>
      </c>
      <c r="CS263" t="b">
        <f t="shared" si="576"/>
        <v>0</v>
      </c>
      <c r="CT263" t="b">
        <f t="shared" si="577"/>
        <v>0</v>
      </c>
      <c r="CU263" t="b">
        <f t="shared" si="578"/>
        <v>0</v>
      </c>
      <c r="CV263">
        <f t="shared" si="579"/>
        <v>1</v>
      </c>
      <c r="CW263" t="b">
        <f t="shared" si="580"/>
        <v>0</v>
      </c>
      <c r="CX263" t="b">
        <f t="shared" si="581"/>
        <v>0</v>
      </c>
      <c r="CY263" t="b">
        <f t="shared" si="582"/>
        <v>0</v>
      </c>
      <c r="CZ263" t="b">
        <f t="shared" si="583"/>
        <v>0</v>
      </c>
      <c r="DA263" t="b">
        <f t="shared" si="584"/>
        <v>0</v>
      </c>
      <c r="DB263" t="b">
        <f t="shared" si="585"/>
        <v>0</v>
      </c>
      <c r="DC263" t="b">
        <f t="shared" si="586"/>
        <v>0</v>
      </c>
      <c r="DD263" t="b">
        <f t="shared" si="587"/>
        <v>0</v>
      </c>
      <c r="DE263" t="b">
        <f t="shared" si="588"/>
        <v>0</v>
      </c>
      <c r="DF263" t="b">
        <f t="shared" si="589"/>
        <v>0</v>
      </c>
      <c r="DG263" t="b">
        <f t="shared" si="590"/>
        <v>0</v>
      </c>
      <c r="DH263" t="b">
        <f t="shared" si="591"/>
        <v>0</v>
      </c>
      <c r="DI263" t="b">
        <f t="shared" si="592"/>
        <v>0</v>
      </c>
      <c r="DJ263" t="b">
        <f t="shared" si="593"/>
        <v>0</v>
      </c>
      <c r="DK263" t="b">
        <f t="shared" si="594"/>
        <v>0</v>
      </c>
      <c r="DL263" t="b">
        <f t="shared" si="595"/>
        <v>0</v>
      </c>
      <c r="DM263" t="b">
        <f t="shared" si="596"/>
        <v>0</v>
      </c>
      <c r="DN263" t="b">
        <f t="shared" si="597"/>
        <v>0</v>
      </c>
      <c r="DO263" t="b">
        <f t="shared" si="598"/>
        <v>0</v>
      </c>
      <c r="DP263" t="b">
        <f t="shared" si="599"/>
        <v>0</v>
      </c>
      <c r="DQ263" t="b">
        <f t="shared" si="600"/>
        <v>0</v>
      </c>
      <c r="DR263" t="b">
        <f t="shared" si="601"/>
        <v>0</v>
      </c>
      <c r="DS263" t="b">
        <f t="shared" si="602"/>
        <v>0</v>
      </c>
      <c r="DT263" t="b">
        <f t="shared" si="603"/>
        <v>0</v>
      </c>
      <c r="DU263" t="b">
        <f t="shared" si="604"/>
        <v>0</v>
      </c>
      <c r="DV263" t="b">
        <f t="shared" si="605"/>
        <v>0</v>
      </c>
      <c r="DW263" t="b">
        <f t="shared" si="606"/>
        <v>0</v>
      </c>
      <c r="DX263" t="b">
        <f t="shared" si="607"/>
        <v>0</v>
      </c>
      <c r="DY263" t="b">
        <f t="shared" si="608"/>
        <v>0</v>
      </c>
      <c r="DZ263" t="b">
        <f t="shared" si="609"/>
        <v>0</v>
      </c>
      <c r="EA263" t="b">
        <f t="shared" si="610"/>
        <v>0</v>
      </c>
      <c r="EB263" t="b">
        <f t="shared" si="611"/>
        <v>0</v>
      </c>
      <c r="EC263" t="b">
        <f t="shared" si="612"/>
        <v>0</v>
      </c>
      <c r="ED263" t="b">
        <f t="shared" si="613"/>
        <v>0</v>
      </c>
      <c r="EE263" t="b">
        <f t="shared" si="614"/>
        <v>0</v>
      </c>
      <c r="EF263" t="b">
        <f t="shared" si="615"/>
        <v>0</v>
      </c>
      <c r="EG263" t="b">
        <f t="shared" si="616"/>
        <v>0</v>
      </c>
      <c r="EH263" t="b">
        <f t="shared" si="617"/>
        <v>0</v>
      </c>
      <c r="EI263" t="b">
        <f t="shared" si="618"/>
        <v>0</v>
      </c>
      <c r="EJ263" t="b">
        <f t="shared" si="619"/>
        <v>0</v>
      </c>
      <c r="EK263" t="b">
        <f t="shared" si="620"/>
        <v>0</v>
      </c>
    </row>
    <row r="264" spans="1:141">
      <c r="A264" t="s">
        <v>1408</v>
      </c>
      <c r="B264" t="s">
        <v>1408</v>
      </c>
      <c r="C264" t="s">
        <v>1409</v>
      </c>
      <c r="D264" s="1">
        <v>44007</v>
      </c>
      <c r="E264" s="2">
        <v>44044.078935185185</v>
      </c>
      <c r="F264" s="2">
        <v>44044.078935185185</v>
      </c>
      <c r="G264">
        <v>1369180</v>
      </c>
      <c r="H264" t="s">
        <v>1410</v>
      </c>
      <c r="I264" s="10" t="s">
        <v>1411</v>
      </c>
      <c r="J264" t="s">
        <v>1412</v>
      </c>
      <c r="K264" s="8" t="b">
        <v>1</v>
      </c>
      <c r="L264" s="10" t="b">
        <v>0</v>
      </c>
      <c r="M264" s="12" t="b">
        <v>0</v>
      </c>
      <c r="N264" t="b">
        <v>0</v>
      </c>
      <c r="O264" t="b">
        <v>0</v>
      </c>
      <c r="P264" t="b">
        <v>0</v>
      </c>
      <c r="Q264">
        <f t="shared" si="497"/>
        <v>5</v>
      </c>
      <c r="R264">
        <f t="shared" si="498"/>
        <v>6</v>
      </c>
      <c r="S264" t="e">
        <f t="shared" ca="1" si="528"/>
        <v>#NAME?</v>
      </c>
      <c r="T264" t="e">
        <f t="shared" ca="1" si="499"/>
        <v>#NAME?</v>
      </c>
      <c r="U264" s="4">
        <f t="shared" si="500"/>
        <v>37.078935185185401</v>
      </c>
      <c r="V264" s="4">
        <f t="shared" si="501"/>
        <v>1.2359645061728466</v>
      </c>
      <c r="W264" s="4">
        <f t="shared" si="502"/>
        <v>1</v>
      </c>
      <c r="X264" s="4">
        <f t="shared" si="503"/>
        <v>0</v>
      </c>
      <c r="Y264" s="4">
        <f t="shared" si="504"/>
        <v>0</v>
      </c>
      <c r="Z264" s="4">
        <f t="shared" si="505"/>
        <v>0</v>
      </c>
      <c r="AA264" s="4">
        <f t="shared" si="506"/>
        <v>0</v>
      </c>
      <c r="AB264" s="4">
        <f t="shared" si="507"/>
        <v>0</v>
      </c>
      <c r="AC264" s="4"/>
      <c r="AD264" s="4" t="b">
        <f t="shared" si="508"/>
        <v>0</v>
      </c>
      <c r="AE264" s="4" t="b">
        <f t="shared" si="509"/>
        <v>0</v>
      </c>
      <c r="AF264" s="4" t="b">
        <f t="shared" si="510"/>
        <v>0</v>
      </c>
      <c r="AG264" t="b">
        <f t="shared" si="511"/>
        <v>0</v>
      </c>
      <c r="AH264" t="b">
        <f t="shared" si="512"/>
        <v>0</v>
      </c>
      <c r="AI264" t="b">
        <f t="shared" si="513"/>
        <v>0</v>
      </c>
      <c r="AJ264" t="b">
        <f t="shared" si="514"/>
        <v>0</v>
      </c>
      <c r="AK264" t="b">
        <f t="shared" si="515"/>
        <v>0</v>
      </c>
      <c r="AL264" t="b">
        <f t="shared" si="516"/>
        <v>0</v>
      </c>
      <c r="AM264" t="b">
        <f t="shared" si="517"/>
        <v>0</v>
      </c>
      <c r="AN264" t="b">
        <f t="shared" si="518"/>
        <v>0</v>
      </c>
      <c r="AO264" t="b">
        <f t="shared" si="519"/>
        <v>0</v>
      </c>
      <c r="AP264" t="b">
        <f t="shared" si="520"/>
        <v>0</v>
      </c>
      <c r="AQ264" t="b">
        <f t="shared" si="521"/>
        <v>0</v>
      </c>
      <c r="AR264" t="b">
        <f t="shared" si="522"/>
        <v>0</v>
      </c>
      <c r="AS264" t="b">
        <f t="shared" si="523"/>
        <v>0</v>
      </c>
      <c r="AT264" t="b">
        <f t="shared" si="524"/>
        <v>0</v>
      </c>
      <c r="AU264" t="b">
        <f t="shared" si="525"/>
        <v>0</v>
      </c>
      <c r="AV264" t="b">
        <f t="shared" si="526"/>
        <v>0</v>
      </c>
      <c r="AW264" t="b">
        <f t="shared" si="527"/>
        <v>0</v>
      </c>
      <c r="AX264" t="b">
        <f t="shared" si="529"/>
        <v>0</v>
      </c>
      <c r="AY264" t="b">
        <f t="shared" si="530"/>
        <v>0</v>
      </c>
      <c r="AZ264" t="b">
        <f t="shared" si="531"/>
        <v>0</v>
      </c>
      <c r="BA264" t="b">
        <f t="shared" si="532"/>
        <v>0</v>
      </c>
      <c r="BB264" t="b">
        <f t="shared" si="533"/>
        <v>0</v>
      </c>
      <c r="BC264" t="b">
        <f t="shared" si="534"/>
        <v>0</v>
      </c>
      <c r="BD264" t="b">
        <f t="shared" si="535"/>
        <v>0</v>
      </c>
      <c r="BE264" t="b">
        <f t="shared" si="536"/>
        <v>0</v>
      </c>
      <c r="BF264" t="b">
        <f t="shared" si="537"/>
        <v>0</v>
      </c>
      <c r="BG264" t="b">
        <f t="shared" si="538"/>
        <v>0</v>
      </c>
      <c r="BH264" t="b">
        <f t="shared" si="539"/>
        <v>0</v>
      </c>
      <c r="BI264">
        <f t="shared" si="540"/>
        <v>1</v>
      </c>
      <c r="BJ264" t="b">
        <f t="shared" si="541"/>
        <v>0</v>
      </c>
      <c r="BK264" t="b">
        <f t="shared" si="542"/>
        <v>0</v>
      </c>
      <c r="BL264" t="b">
        <f t="shared" si="543"/>
        <v>0</v>
      </c>
      <c r="BM264" t="b">
        <f t="shared" si="544"/>
        <v>0</v>
      </c>
      <c r="BN264" t="b">
        <f t="shared" si="545"/>
        <v>0</v>
      </c>
      <c r="BO264" t="b">
        <f t="shared" si="546"/>
        <v>0</v>
      </c>
      <c r="BP264" t="b">
        <f t="shared" si="547"/>
        <v>0</v>
      </c>
      <c r="BQ264" t="b">
        <f t="shared" si="548"/>
        <v>0</v>
      </c>
      <c r="BR264" t="b">
        <f t="shared" si="549"/>
        <v>0</v>
      </c>
      <c r="BS264">
        <f t="shared" si="550"/>
        <v>1</v>
      </c>
      <c r="BT264" t="b">
        <f t="shared" si="551"/>
        <v>0</v>
      </c>
      <c r="BU264" t="b">
        <f t="shared" si="552"/>
        <v>0</v>
      </c>
      <c r="BV264" t="b">
        <f t="shared" si="553"/>
        <v>0</v>
      </c>
      <c r="BW264" t="b">
        <f t="shared" si="554"/>
        <v>0</v>
      </c>
      <c r="BX264" t="b">
        <f t="shared" si="555"/>
        <v>0</v>
      </c>
      <c r="BY264" t="b">
        <f t="shared" si="556"/>
        <v>0</v>
      </c>
      <c r="BZ264" t="b">
        <f t="shared" si="557"/>
        <v>0</v>
      </c>
      <c r="CA264" t="b">
        <f t="shared" si="558"/>
        <v>0</v>
      </c>
      <c r="CB264" t="b">
        <f t="shared" si="559"/>
        <v>0</v>
      </c>
      <c r="CC264" t="b">
        <f t="shared" si="560"/>
        <v>0</v>
      </c>
      <c r="CD264" t="b">
        <f t="shared" si="561"/>
        <v>0</v>
      </c>
      <c r="CE264" t="b">
        <f t="shared" si="562"/>
        <v>0</v>
      </c>
      <c r="CF264" t="b">
        <f t="shared" si="563"/>
        <v>0</v>
      </c>
      <c r="CG264" t="b">
        <f t="shared" si="564"/>
        <v>0</v>
      </c>
      <c r="CH264" t="b">
        <f t="shared" si="565"/>
        <v>0</v>
      </c>
      <c r="CI264" t="b">
        <f t="shared" si="566"/>
        <v>0</v>
      </c>
      <c r="CJ264" t="b">
        <f t="shared" si="567"/>
        <v>0</v>
      </c>
      <c r="CK264" t="b">
        <f t="shared" si="568"/>
        <v>0</v>
      </c>
      <c r="CL264" t="b">
        <f t="shared" si="569"/>
        <v>0</v>
      </c>
      <c r="CM264">
        <f t="shared" si="570"/>
        <v>1</v>
      </c>
      <c r="CN264" t="b">
        <f t="shared" si="571"/>
        <v>0</v>
      </c>
      <c r="CO264" t="b">
        <f t="shared" si="572"/>
        <v>0</v>
      </c>
      <c r="CP264" t="b">
        <f t="shared" si="573"/>
        <v>0</v>
      </c>
      <c r="CQ264" t="b">
        <f t="shared" si="574"/>
        <v>0</v>
      </c>
      <c r="CR264" t="b">
        <f t="shared" si="575"/>
        <v>0</v>
      </c>
      <c r="CS264" t="b">
        <f t="shared" si="576"/>
        <v>0</v>
      </c>
      <c r="CT264" t="b">
        <f t="shared" si="577"/>
        <v>0</v>
      </c>
      <c r="CU264" t="b">
        <f t="shared" si="578"/>
        <v>0</v>
      </c>
      <c r="CV264">
        <f t="shared" si="579"/>
        <v>1</v>
      </c>
      <c r="CW264" t="b">
        <f t="shared" si="580"/>
        <v>0</v>
      </c>
      <c r="CX264" t="b">
        <f t="shared" si="581"/>
        <v>0</v>
      </c>
      <c r="CY264" t="b">
        <f t="shared" si="582"/>
        <v>0</v>
      </c>
      <c r="CZ264" t="b">
        <f t="shared" si="583"/>
        <v>0</v>
      </c>
      <c r="DA264">
        <f t="shared" si="584"/>
        <v>1</v>
      </c>
      <c r="DB264" t="b">
        <f t="shared" si="585"/>
        <v>0</v>
      </c>
      <c r="DC264" t="b">
        <f t="shared" si="586"/>
        <v>0</v>
      </c>
      <c r="DD264" t="b">
        <f t="shared" si="587"/>
        <v>0</v>
      </c>
      <c r="DE264" t="b">
        <f t="shared" si="588"/>
        <v>0</v>
      </c>
      <c r="DF264" t="b">
        <f t="shared" si="589"/>
        <v>0</v>
      </c>
      <c r="DG264" t="b">
        <f t="shared" si="590"/>
        <v>0</v>
      </c>
      <c r="DH264" t="b">
        <f t="shared" si="591"/>
        <v>0</v>
      </c>
      <c r="DI264" t="b">
        <f t="shared" si="592"/>
        <v>0</v>
      </c>
      <c r="DJ264" t="b">
        <f t="shared" si="593"/>
        <v>0</v>
      </c>
      <c r="DK264" t="b">
        <f t="shared" si="594"/>
        <v>0</v>
      </c>
      <c r="DL264" t="b">
        <f t="shared" si="595"/>
        <v>0</v>
      </c>
      <c r="DM264" t="b">
        <f t="shared" si="596"/>
        <v>0</v>
      </c>
      <c r="DN264" t="b">
        <f t="shared" si="597"/>
        <v>0</v>
      </c>
      <c r="DO264" t="b">
        <f t="shared" si="598"/>
        <v>0</v>
      </c>
      <c r="DP264" t="b">
        <f t="shared" si="599"/>
        <v>0</v>
      </c>
      <c r="DQ264" t="b">
        <f t="shared" si="600"/>
        <v>0</v>
      </c>
      <c r="DR264" t="b">
        <f t="shared" si="601"/>
        <v>0</v>
      </c>
      <c r="DS264" t="b">
        <f t="shared" si="602"/>
        <v>0</v>
      </c>
      <c r="DT264" t="b">
        <f t="shared" si="603"/>
        <v>0</v>
      </c>
      <c r="DU264" t="b">
        <f t="shared" si="604"/>
        <v>0</v>
      </c>
      <c r="DV264" t="b">
        <f t="shared" si="605"/>
        <v>0</v>
      </c>
      <c r="DW264" t="b">
        <f t="shared" si="606"/>
        <v>0</v>
      </c>
      <c r="DX264" t="b">
        <f t="shared" si="607"/>
        <v>0</v>
      </c>
      <c r="DY264" t="b">
        <f t="shared" si="608"/>
        <v>0</v>
      </c>
      <c r="DZ264" t="b">
        <f t="shared" si="609"/>
        <v>0</v>
      </c>
      <c r="EA264" t="b">
        <f t="shared" si="610"/>
        <v>0</v>
      </c>
      <c r="EB264" t="b">
        <f t="shared" si="611"/>
        <v>0</v>
      </c>
      <c r="EC264" t="b">
        <f t="shared" si="612"/>
        <v>0</v>
      </c>
      <c r="ED264" t="b">
        <f t="shared" si="613"/>
        <v>0</v>
      </c>
      <c r="EE264" t="b">
        <f t="shared" si="614"/>
        <v>0</v>
      </c>
      <c r="EF264" t="b">
        <f t="shared" si="615"/>
        <v>0</v>
      </c>
      <c r="EG264" t="b">
        <f t="shared" si="616"/>
        <v>0</v>
      </c>
      <c r="EH264" t="b">
        <f t="shared" si="617"/>
        <v>0</v>
      </c>
      <c r="EI264" t="b">
        <f t="shared" si="618"/>
        <v>0</v>
      </c>
      <c r="EJ264" t="b">
        <f t="shared" si="619"/>
        <v>0</v>
      </c>
      <c r="EK264" t="b">
        <f t="shared" si="620"/>
        <v>0</v>
      </c>
    </row>
    <row r="265" spans="1:141">
      <c r="A265" t="s">
        <v>1413</v>
      </c>
      <c r="B265" t="s">
        <v>1414</v>
      </c>
      <c r="C265" t="s">
        <v>1415</v>
      </c>
      <c r="D265" s="1">
        <v>42819</v>
      </c>
      <c r="E265" s="2">
        <v>42832.775868055556</v>
      </c>
      <c r="F265" s="2">
        <v>42832.775868055556</v>
      </c>
      <c r="G265">
        <v>321920</v>
      </c>
      <c r="H265" t="s">
        <v>1416</v>
      </c>
      <c r="I265" s="10" t="s">
        <v>1417</v>
      </c>
      <c r="J265" t="s">
        <v>1418</v>
      </c>
      <c r="K265" s="8" t="b">
        <v>1</v>
      </c>
      <c r="L265" s="10" t="b">
        <v>0</v>
      </c>
      <c r="M265" s="12" t="b">
        <v>0</v>
      </c>
      <c r="N265" t="b">
        <v>0</v>
      </c>
      <c r="O265" t="b">
        <v>0</v>
      </c>
      <c r="P265" t="b">
        <v>0</v>
      </c>
      <c r="Q265">
        <f t="shared" si="497"/>
        <v>7</v>
      </c>
      <c r="R265">
        <f t="shared" si="498"/>
        <v>3</v>
      </c>
      <c r="S265" t="e">
        <f t="shared" ca="1" si="528"/>
        <v>#NAME?</v>
      </c>
      <c r="T265" t="e">
        <f t="shared" ca="1" si="499"/>
        <v>#NAME?</v>
      </c>
      <c r="U265" s="4">
        <f t="shared" si="500"/>
        <v>13.775868055556202</v>
      </c>
      <c r="V265" s="4">
        <f t="shared" si="501"/>
        <v>0.45919560185187341</v>
      </c>
      <c r="W265" s="4">
        <f t="shared" si="502"/>
        <v>1</v>
      </c>
      <c r="X265" s="4">
        <f t="shared" si="503"/>
        <v>0</v>
      </c>
      <c r="Y265" s="4">
        <f t="shared" si="504"/>
        <v>0</v>
      </c>
      <c r="Z265" s="4">
        <f t="shared" si="505"/>
        <v>0</v>
      </c>
      <c r="AA265" s="4">
        <f t="shared" si="506"/>
        <v>0</v>
      </c>
      <c r="AB265" s="4">
        <f t="shared" si="507"/>
        <v>0</v>
      </c>
      <c r="AC265" s="4"/>
      <c r="AD265" s="4" t="b">
        <f t="shared" si="508"/>
        <v>0</v>
      </c>
      <c r="AE265" s="4" t="b">
        <f t="shared" si="509"/>
        <v>0</v>
      </c>
      <c r="AF265" s="4" t="b">
        <f t="shared" si="510"/>
        <v>0</v>
      </c>
      <c r="AG265" t="b">
        <f t="shared" si="511"/>
        <v>0</v>
      </c>
      <c r="AH265" t="b">
        <f t="shared" si="512"/>
        <v>0</v>
      </c>
      <c r="AI265" t="b">
        <f t="shared" si="513"/>
        <v>0</v>
      </c>
      <c r="AJ265" t="b">
        <f t="shared" si="514"/>
        <v>0</v>
      </c>
      <c r="AK265" t="b">
        <f t="shared" si="515"/>
        <v>0</v>
      </c>
      <c r="AL265" t="b">
        <f t="shared" si="516"/>
        <v>0</v>
      </c>
      <c r="AM265" t="b">
        <f t="shared" si="517"/>
        <v>0</v>
      </c>
      <c r="AN265" t="b">
        <f t="shared" si="518"/>
        <v>0</v>
      </c>
      <c r="AO265" t="b">
        <f t="shared" si="519"/>
        <v>0</v>
      </c>
      <c r="AP265" t="b">
        <f t="shared" si="520"/>
        <v>0</v>
      </c>
      <c r="AQ265" t="b">
        <f t="shared" si="521"/>
        <v>0</v>
      </c>
      <c r="AR265" t="b">
        <f t="shared" si="522"/>
        <v>0</v>
      </c>
      <c r="AS265" t="b">
        <f t="shared" si="523"/>
        <v>0</v>
      </c>
      <c r="AT265" t="b">
        <f t="shared" si="524"/>
        <v>0</v>
      </c>
      <c r="AU265" t="b">
        <f t="shared" si="525"/>
        <v>0</v>
      </c>
      <c r="AV265" t="b">
        <f t="shared" si="526"/>
        <v>0</v>
      </c>
      <c r="AW265" t="b">
        <f t="shared" si="527"/>
        <v>0</v>
      </c>
      <c r="AX265" t="b">
        <f t="shared" si="529"/>
        <v>0</v>
      </c>
      <c r="AY265" t="b">
        <f t="shared" si="530"/>
        <v>0</v>
      </c>
      <c r="AZ265">
        <f t="shared" si="531"/>
        <v>1</v>
      </c>
      <c r="BA265" t="b">
        <f t="shared" si="532"/>
        <v>0</v>
      </c>
      <c r="BB265" t="b">
        <f t="shared" si="533"/>
        <v>0</v>
      </c>
      <c r="BC265" t="b">
        <f t="shared" si="534"/>
        <v>0</v>
      </c>
      <c r="BD265" t="b">
        <f t="shared" si="535"/>
        <v>0</v>
      </c>
      <c r="BE265" t="b">
        <f t="shared" si="536"/>
        <v>0</v>
      </c>
      <c r="BF265" t="b">
        <f t="shared" si="537"/>
        <v>0</v>
      </c>
      <c r="BG265" t="b">
        <f t="shared" si="538"/>
        <v>0</v>
      </c>
      <c r="BH265" t="b">
        <f t="shared" si="539"/>
        <v>0</v>
      </c>
      <c r="BI265">
        <f t="shared" si="540"/>
        <v>1</v>
      </c>
      <c r="BJ265" t="b">
        <f t="shared" si="541"/>
        <v>0</v>
      </c>
      <c r="BK265" t="b">
        <f t="shared" si="542"/>
        <v>0</v>
      </c>
      <c r="BL265" t="b">
        <f t="shared" si="543"/>
        <v>0</v>
      </c>
      <c r="BM265" t="b">
        <f t="shared" si="544"/>
        <v>0</v>
      </c>
      <c r="BN265" t="b">
        <f t="shared" si="545"/>
        <v>0</v>
      </c>
      <c r="BO265" t="b">
        <f t="shared" si="546"/>
        <v>0</v>
      </c>
      <c r="BP265" t="b">
        <f t="shared" si="547"/>
        <v>0</v>
      </c>
      <c r="BQ265" t="b">
        <f t="shared" si="548"/>
        <v>0</v>
      </c>
      <c r="BR265">
        <f t="shared" si="549"/>
        <v>1</v>
      </c>
      <c r="BS265" t="b">
        <f t="shared" si="550"/>
        <v>0</v>
      </c>
      <c r="BT265" t="b">
        <f t="shared" si="551"/>
        <v>0</v>
      </c>
      <c r="BU265" t="b">
        <f t="shared" si="552"/>
        <v>0</v>
      </c>
      <c r="BV265" t="b">
        <f t="shared" si="553"/>
        <v>0</v>
      </c>
      <c r="BW265" t="b">
        <f t="shared" si="554"/>
        <v>0</v>
      </c>
      <c r="BX265" t="b">
        <f t="shared" si="555"/>
        <v>0</v>
      </c>
      <c r="BY265" t="b">
        <f t="shared" si="556"/>
        <v>0</v>
      </c>
      <c r="BZ265" t="b">
        <f t="shared" si="557"/>
        <v>0</v>
      </c>
      <c r="CA265" t="b">
        <f t="shared" si="558"/>
        <v>0</v>
      </c>
      <c r="CB265" t="b">
        <f t="shared" si="559"/>
        <v>0</v>
      </c>
      <c r="CC265" t="b">
        <f t="shared" si="560"/>
        <v>0</v>
      </c>
      <c r="CD265" t="b">
        <f t="shared" si="561"/>
        <v>0</v>
      </c>
      <c r="CE265">
        <f t="shared" si="562"/>
        <v>1</v>
      </c>
      <c r="CF265" t="b">
        <f t="shared" si="563"/>
        <v>0</v>
      </c>
      <c r="CG265" t="b">
        <f t="shared" si="564"/>
        <v>0</v>
      </c>
      <c r="CH265" t="b">
        <f t="shared" si="565"/>
        <v>0</v>
      </c>
      <c r="CI265" t="b">
        <f t="shared" si="566"/>
        <v>0</v>
      </c>
      <c r="CJ265" t="b">
        <f t="shared" si="567"/>
        <v>0</v>
      </c>
      <c r="CK265" t="b">
        <f t="shared" si="568"/>
        <v>0</v>
      </c>
      <c r="CL265" t="b">
        <f t="shared" si="569"/>
        <v>0</v>
      </c>
      <c r="CM265">
        <f t="shared" si="570"/>
        <v>1</v>
      </c>
      <c r="CN265" t="b">
        <f t="shared" si="571"/>
        <v>0</v>
      </c>
      <c r="CO265" t="b">
        <f t="shared" si="572"/>
        <v>0</v>
      </c>
      <c r="CP265" t="b">
        <f t="shared" si="573"/>
        <v>0</v>
      </c>
      <c r="CQ265" t="b">
        <f t="shared" si="574"/>
        <v>0</v>
      </c>
      <c r="CR265" t="b">
        <f t="shared" si="575"/>
        <v>0</v>
      </c>
      <c r="CS265" t="b">
        <f t="shared" si="576"/>
        <v>0</v>
      </c>
      <c r="CT265" t="b">
        <f t="shared" si="577"/>
        <v>0</v>
      </c>
      <c r="CU265" t="b">
        <f t="shared" si="578"/>
        <v>0</v>
      </c>
      <c r="CV265" t="b">
        <f t="shared" si="579"/>
        <v>0</v>
      </c>
      <c r="CW265" t="b">
        <f t="shared" si="580"/>
        <v>0</v>
      </c>
      <c r="CX265" t="b">
        <f t="shared" si="581"/>
        <v>0</v>
      </c>
      <c r="CY265" t="b">
        <f t="shared" si="582"/>
        <v>0</v>
      </c>
      <c r="CZ265">
        <f t="shared" si="583"/>
        <v>1</v>
      </c>
      <c r="DA265">
        <f t="shared" si="584"/>
        <v>1</v>
      </c>
      <c r="DB265">
        <f t="shared" si="585"/>
        <v>1</v>
      </c>
      <c r="DC265" t="b">
        <f t="shared" si="586"/>
        <v>0</v>
      </c>
      <c r="DD265" t="b">
        <f t="shared" si="587"/>
        <v>0</v>
      </c>
      <c r="DE265" t="b">
        <f t="shared" si="588"/>
        <v>0</v>
      </c>
      <c r="DF265" t="b">
        <f t="shared" si="589"/>
        <v>0</v>
      </c>
      <c r="DG265" t="b">
        <f t="shared" si="590"/>
        <v>0</v>
      </c>
      <c r="DH265" t="b">
        <f t="shared" si="591"/>
        <v>0</v>
      </c>
      <c r="DI265" t="b">
        <f t="shared" si="592"/>
        <v>0</v>
      </c>
      <c r="DJ265" t="b">
        <f t="shared" si="593"/>
        <v>0</v>
      </c>
      <c r="DK265" t="b">
        <f t="shared" si="594"/>
        <v>0</v>
      </c>
      <c r="DL265" t="b">
        <f t="shared" si="595"/>
        <v>0</v>
      </c>
      <c r="DM265" t="b">
        <f t="shared" si="596"/>
        <v>0</v>
      </c>
      <c r="DN265" t="b">
        <f t="shared" si="597"/>
        <v>0</v>
      </c>
      <c r="DO265" t="b">
        <f t="shared" si="598"/>
        <v>0</v>
      </c>
      <c r="DP265" t="b">
        <f t="shared" si="599"/>
        <v>0</v>
      </c>
      <c r="DQ265" t="b">
        <f t="shared" si="600"/>
        <v>0</v>
      </c>
      <c r="DR265" t="b">
        <f t="shared" si="601"/>
        <v>0</v>
      </c>
      <c r="DS265">
        <f t="shared" si="602"/>
        <v>1</v>
      </c>
      <c r="DT265" t="b">
        <f t="shared" si="603"/>
        <v>0</v>
      </c>
      <c r="DU265" t="b">
        <f t="shared" si="604"/>
        <v>0</v>
      </c>
      <c r="DV265" t="b">
        <f t="shared" si="605"/>
        <v>0</v>
      </c>
      <c r="DW265" t="b">
        <f t="shared" si="606"/>
        <v>0</v>
      </c>
      <c r="DX265">
        <f t="shared" si="607"/>
        <v>1</v>
      </c>
      <c r="DY265" t="b">
        <f t="shared" si="608"/>
        <v>0</v>
      </c>
      <c r="DZ265" t="b">
        <f t="shared" si="609"/>
        <v>0</v>
      </c>
      <c r="EA265" t="b">
        <f t="shared" si="610"/>
        <v>0</v>
      </c>
      <c r="EB265" t="b">
        <f t="shared" si="611"/>
        <v>0</v>
      </c>
      <c r="EC265" t="b">
        <f t="shared" si="612"/>
        <v>0</v>
      </c>
      <c r="ED265" t="b">
        <f t="shared" si="613"/>
        <v>0</v>
      </c>
      <c r="EE265" t="b">
        <f t="shared" si="614"/>
        <v>0</v>
      </c>
      <c r="EF265" t="b">
        <f t="shared" si="615"/>
        <v>0</v>
      </c>
      <c r="EG265" t="b">
        <f t="shared" si="616"/>
        <v>0</v>
      </c>
      <c r="EH265" t="b">
        <f t="shared" si="617"/>
        <v>0</v>
      </c>
      <c r="EI265" t="b">
        <f t="shared" si="618"/>
        <v>0</v>
      </c>
      <c r="EJ265" t="b">
        <f t="shared" si="619"/>
        <v>0</v>
      </c>
      <c r="EK265" t="b">
        <f t="shared" si="620"/>
        <v>0</v>
      </c>
    </row>
    <row r="266" spans="1:141">
      <c r="A266" t="s">
        <v>1419</v>
      </c>
      <c r="B266" t="s">
        <v>1420</v>
      </c>
      <c r="C266" t="s">
        <v>1421</v>
      </c>
      <c r="D266" s="1">
        <v>42193</v>
      </c>
      <c r="E266" s="2">
        <v>42194.391574074078</v>
      </c>
      <c r="F266" s="2">
        <v>42194.391574074078</v>
      </c>
      <c r="G266">
        <v>47297</v>
      </c>
      <c r="H266" t="s">
        <v>1422</v>
      </c>
      <c r="I266" s="10" t="s">
        <v>1423</v>
      </c>
      <c r="J266" t="s">
        <v>290</v>
      </c>
      <c r="K266" s="8" t="b">
        <v>1</v>
      </c>
      <c r="L266" s="10" t="b">
        <v>0</v>
      </c>
      <c r="M266" s="12" t="b">
        <v>0</v>
      </c>
      <c r="N266" t="b">
        <v>0</v>
      </c>
      <c r="O266" t="b">
        <v>0</v>
      </c>
      <c r="P266" t="b">
        <v>0</v>
      </c>
      <c r="Q266">
        <f t="shared" si="497"/>
        <v>4</v>
      </c>
      <c r="R266">
        <f t="shared" si="498"/>
        <v>7</v>
      </c>
      <c r="S266" t="e">
        <f t="shared" ca="1" si="528"/>
        <v>#NAME?</v>
      </c>
      <c r="T266" t="e">
        <f t="shared" ca="1" si="499"/>
        <v>#NAME?</v>
      </c>
      <c r="U266" s="4">
        <f t="shared" si="500"/>
        <v>1.3915740740776528</v>
      </c>
      <c r="V266" s="4">
        <f t="shared" si="501"/>
        <v>4.638580246925509E-2</v>
      </c>
      <c r="W266" s="4">
        <f t="shared" si="502"/>
        <v>1</v>
      </c>
      <c r="X266" s="4">
        <f t="shared" si="503"/>
        <v>0</v>
      </c>
      <c r="Y266" s="4">
        <f t="shared" si="504"/>
        <v>0</v>
      </c>
      <c r="Z266" s="4">
        <f t="shared" si="505"/>
        <v>0</v>
      </c>
      <c r="AA266" s="4">
        <f t="shared" si="506"/>
        <v>0</v>
      </c>
      <c r="AB266" s="4">
        <f t="shared" si="507"/>
        <v>0</v>
      </c>
      <c r="AC266" s="4"/>
      <c r="AD266" s="4" t="b">
        <f t="shared" si="508"/>
        <v>0</v>
      </c>
      <c r="AE266" s="4" t="b">
        <f t="shared" si="509"/>
        <v>0</v>
      </c>
      <c r="AF266" s="4" t="b">
        <f t="shared" si="510"/>
        <v>0</v>
      </c>
      <c r="AG266" t="b">
        <f t="shared" si="511"/>
        <v>0</v>
      </c>
      <c r="AH266" t="b">
        <f t="shared" si="512"/>
        <v>0</v>
      </c>
      <c r="AI266" t="b">
        <f t="shared" si="513"/>
        <v>0</v>
      </c>
      <c r="AJ266" t="b">
        <f t="shared" si="514"/>
        <v>0</v>
      </c>
      <c r="AK266" t="b">
        <f t="shared" si="515"/>
        <v>0</v>
      </c>
      <c r="AL266" t="b">
        <f t="shared" si="516"/>
        <v>0</v>
      </c>
      <c r="AM266" t="b">
        <f t="shared" si="517"/>
        <v>0</v>
      </c>
      <c r="AN266" t="b">
        <f t="shared" si="518"/>
        <v>0</v>
      </c>
      <c r="AO266" t="b">
        <f t="shared" si="519"/>
        <v>0</v>
      </c>
      <c r="AP266" t="b">
        <f t="shared" si="520"/>
        <v>0</v>
      </c>
      <c r="AQ266" t="b">
        <f t="shared" si="521"/>
        <v>0</v>
      </c>
      <c r="AR266" t="b">
        <f t="shared" si="522"/>
        <v>0</v>
      </c>
      <c r="AS266" t="b">
        <f t="shared" si="523"/>
        <v>0</v>
      </c>
      <c r="AT266" t="b">
        <f t="shared" si="524"/>
        <v>0</v>
      </c>
      <c r="AU266" t="b">
        <f t="shared" si="525"/>
        <v>0</v>
      </c>
      <c r="AV266" t="b">
        <f t="shared" si="526"/>
        <v>0</v>
      </c>
      <c r="AW266" t="b">
        <f t="shared" si="527"/>
        <v>0</v>
      </c>
      <c r="AX266" t="b">
        <f t="shared" si="529"/>
        <v>0</v>
      </c>
      <c r="AY266" t="b">
        <f t="shared" si="530"/>
        <v>0</v>
      </c>
      <c r="AZ266" t="b">
        <f t="shared" si="531"/>
        <v>0</v>
      </c>
      <c r="BA266" t="b">
        <f t="shared" si="532"/>
        <v>0</v>
      </c>
      <c r="BB266" t="b">
        <f t="shared" si="533"/>
        <v>0</v>
      </c>
      <c r="BC266" t="b">
        <f t="shared" si="534"/>
        <v>0</v>
      </c>
      <c r="BD266" t="b">
        <f t="shared" si="535"/>
        <v>0</v>
      </c>
      <c r="BE266" t="b">
        <f t="shared" si="536"/>
        <v>0</v>
      </c>
      <c r="BF266" t="b">
        <f t="shared" si="537"/>
        <v>0</v>
      </c>
      <c r="BG266" t="b">
        <f t="shared" si="538"/>
        <v>0</v>
      </c>
      <c r="BH266" t="b">
        <f t="shared" si="539"/>
        <v>0</v>
      </c>
      <c r="BI266">
        <f t="shared" si="540"/>
        <v>1</v>
      </c>
      <c r="BJ266" t="b">
        <f t="shared" si="541"/>
        <v>0</v>
      </c>
      <c r="BK266" t="b">
        <f t="shared" si="542"/>
        <v>0</v>
      </c>
      <c r="BL266" t="b">
        <f t="shared" si="543"/>
        <v>0</v>
      </c>
      <c r="BM266" t="b">
        <f t="shared" si="544"/>
        <v>0</v>
      </c>
      <c r="BN266" t="b">
        <f t="shared" si="545"/>
        <v>0</v>
      </c>
      <c r="BO266" t="b">
        <f t="shared" si="546"/>
        <v>0</v>
      </c>
      <c r="BP266" t="b">
        <f t="shared" si="547"/>
        <v>0</v>
      </c>
      <c r="BQ266" t="b">
        <f t="shared" si="548"/>
        <v>0</v>
      </c>
      <c r="BR266" t="b">
        <f t="shared" si="549"/>
        <v>0</v>
      </c>
      <c r="BS266" t="b">
        <f t="shared" si="550"/>
        <v>0</v>
      </c>
      <c r="BT266" t="b">
        <f t="shared" si="551"/>
        <v>0</v>
      </c>
      <c r="BU266" t="b">
        <f t="shared" si="552"/>
        <v>0</v>
      </c>
      <c r="BV266" t="b">
        <f t="shared" si="553"/>
        <v>0</v>
      </c>
      <c r="BW266" t="b">
        <f t="shared" si="554"/>
        <v>0</v>
      </c>
      <c r="BX266" t="b">
        <f t="shared" si="555"/>
        <v>0</v>
      </c>
      <c r="BY266" t="b">
        <f t="shared" si="556"/>
        <v>0</v>
      </c>
      <c r="BZ266" t="b">
        <f t="shared" si="557"/>
        <v>0</v>
      </c>
      <c r="CA266" t="b">
        <f t="shared" si="558"/>
        <v>0</v>
      </c>
      <c r="CB266" t="b">
        <f t="shared" si="559"/>
        <v>0</v>
      </c>
      <c r="CC266" t="b">
        <f t="shared" si="560"/>
        <v>0</v>
      </c>
      <c r="CD266" t="b">
        <f t="shared" si="561"/>
        <v>0</v>
      </c>
      <c r="CE266" t="b">
        <f t="shared" si="562"/>
        <v>0</v>
      </c>
      <c r="CF266" t="b">
        <f t="shared" si="563"/>
        <v>0</v>
      </c>
      <c r="CG266" t="b">
        <f t="shared" si="564"/>
        <v>0</v>
      </c>
      <c r="CH266" t="b">
        <f t="shared" si="565"/>
        <v>0</v>
      </c>
      <c r="CI266" t="b">
        <f t="shared" si="566"/>
        <v>0</v>
      </c>
      <c r="CJ266" t="b">
        <f t="shared" si="567"/>
        <v>0</v>
      </c>
      <c r="CK266" t="b">
        <f t="shared" si="568"/>
        <v>0</v>
      </c>
      <c r="CL266" t="b">
        <f t="shared" si="569"/>
        <v>0</v>
      </c>
      <c r="CM266">
        <f t="shared" si="570"/>
        <v>1</v>
      </c>
      <c r="CN266" t="b">
        <f t="shared" si="571"/>
        <v>0</v>
      </c>
      <c r="CO266" t="b">
        <f t="shared" si="572"/>
        <v>0</v>
      </c>
      <c r="CP266" t="b">
        <f t="shared" si="573"/>
        <v>0</v>
      </c>
      <c r="CQ266" t="b">
        <f t="shared" si="574"/>
        <v>0</v>
      </c>
      <c r="CR266" t="b">
        <f t="shared" si="575"/>
        <v>0</v>
      </c>
      <c r="CS266" t="b">
        <f t="shared" si="576"/>
        <v>0</v>
      </c>
      <c r="CT266" t="b">
        <f t="shared" si="577"/>
        <v>0</v>
      </c>
      <c r="CU266" t="b">
        <f t="shared" si="578"/>
        <v>0</v>
      </c>
      <c r="CV266">
        <f t="shared" si="579"/>
        <v>1</v>
      </c>
      <c r="CW266" t="b">
        <f t="shared" si="580"/>
        <v>0</v>
      </c>
      <c r="CX266" t="b">
        <f t="shared" si="581"/>
        <v>0</v>
      </c>
      <c r="CY266" t="b">
        <f t="shared" si="582"/>
        <v>0</v>
      </c>
      <c r="CZ266" t="b">
        <f t="shared" si="583"/>
        <v>0</v>
      </c>
      <c r="DA266">
        <f t="shared" si="584"/>
        <v>1</v>
      </c>
      <c r="DB266">
        <f t="shared" si="585"/>
        <v>1</v>
      </c>
      <c r="DC266" t="b">
        <f t="shared" si="586"/>
        <v>0</v>
      </c>
      <c r="DD266" t="b">
        <f t="shared" si="587"/>
        <v>0</v>
      </c>
      <c r="DE266" t="b">
        <f t="shared" si="588"/>
        <v>0</v>
      </c>
      <c r="DF266" t="b">
        <f t="shared" si="589"/>
        <v>0</v>
      </c>
      <c r="DG266" t="b">
        <f t="shared" si="590"/>
        <v>0</v>
      </c>
      <c r="DH266" t="b">
        <f t="shared" si="591"/>
        <v>0</v>
      </c>
      <c r="DI266" t="b">
        <f t="shared" si="592"/>
        <v>0</v>
      </c>
      <c r="DJ266" t="b">
        <f t="shared" si="593"/>
        <v>0</v>
      </c>
      <c r="DK266" t="b">
        <f t="shared" si="594"/>
        <v>0</v>
      </c>
      <c r="DL266" t="b">
        <f t="shared" si="595"/>
        <v>0</v>
      </c>
      <c r="DM266" t="b">
        <f t="shared" si="596"/>
        <v>0</v>
      </c>
      <c r="DN266" t="b">
        <f t="shared" si="597"/>
        <v>0</v>
      </c>
      <c r="DO266" t="b">
        <f t="shared" si="598"/>
        <v>0</v>
      </c>
      <c r="DP266" t="b">
        <f t="shared" si="599"/>
        <v>0</v>
      </c>
      <c r="DQ266" t="b">
        <f t="shared" si="600"/>
        <v>0</v>
      </c>
      <c r="DR266" t="b">
        <f t="shared" si="601"/>
        <v>0</v>
      </c>
      <c r="DS266" t="b">
        <f t="shared" si="602"/>
        <v>0</v>
      </c>
      <c r="DT266" t="b">
        <f t="shared" si="603"/>
        <v>0</v>
      </c>
      <c r="DU266" t="b">
        <f t="shared" si="604"/>
        <v>0</v>
      </c>
      <c r="DV266" t="b">
        <f t="shared" si="605"/>
        <v>0</v>
      </c>
      <c r="DW266" t="b">
        <f t="shared" si="606"/>
        <v>0</v>
      </c>
      <c r="DX266" t="b">
        <f t="shared" si="607"/>
        <v>0</v>
      </c>
      <c r="DY266" t="b">
        <f t="shared" si="608"/>
        <v>0</v>
      </c>
      <c r="DZ266" t="b">
        <f t="shared" si="609"/>
        <v>0</v>
      </c>
      <c r="EA266" t="b">
        <f t="shared" si="610"/>
        <v>0</v>
      </c>
      <c r="EB266" t="b">
        <f t="shared" si="611"/>
        <v>0</v>
      </c>
      <c r="EC266" t="b">
        <f t="shared" si="612"/>
        <v>0</v>
      </c>
      <c r="ED266" t="b">
        <f t="shared" si="613"/>
        <v>0</v>
      </c>
      <c r="EE266" t="b">
        <f t="shared" si="614"/>
        <v>0</v>
      </c>
      <c r="EF266" t="b">
        <f t="shared" si="615"/>
        <v>0</v>
      </c>
      <c r="EG266" t="b">
        <f t="shared" si="616"/>
        <v>0</v>
      </c>
      <c r="EH266" t="b">
        <f t="shared" si="617"/>
        <v>0</v>
      </c>
      <c r="EI266" t="b">
        <f t="shared" si="618"/>
        <v>0</v>
      </c>
      <c r="EJ266" t="b">
        <f t="shared" si="619"/>
        <v>0</v>
      </c>
      <c r="EK266" t="b">
        <f t="shared" si="620"/>
        <v>0</v>
      </c>
    </row>
    <row r="267" spans="1:141">
      <c r="A267" t="s">
        <v>1424</v>
      </c>
      <c r="B267" t="s">
        <v>1425</v>
      </c>
      <c r="C267" t="s">
        <v>1425</v>
      </c>
      <c r="D267" s="1">
        <v>40898</v>
      </c>
      <c r="E267" s="2">
        <v>41723.308240740742</v>
      </c>
      <c r="F267" s="2">
        <v>41723.308240740742</v>
      </c>
      <c r="G267">
        <v>28641</v>
      </c>
      <c r="H267" t="s">
        <v>1426</v>
      </c>
      <c r="I267" s="10" t="s">
        <v>1427</v>
      </c>
      <c r="J267" t="s">
        <v>1428</v>
      </c>
      <c r="K267" s="8" t="b">
        <v>1</v>
      </c>
      <c r="L267" s="10" t="b">
        <v>0</v>
      </c>
      <c r="M267" s="12" t="b">
        <v>1</v>
      </c>
      <c r="N267" t="b">
        <v>0</v>
      </c>
      <c r="O267" t="b">
        <v>0</v>
      </c>
      <c r="P267" t="b">
        <v>0</v>
      </c>
      <c r="Q267">
        <f t="shared" si="497"/>
        <v>4</v>
      </c>
      <c r="R267">
        <f t="shared" si="498"/>
        <v>12</v>
      </c>
      <c r="S267" t="e">
        <f t="shared" ca="1" si="528"/>
        <v>#NAME?</v>
      </c>
      <c r="T267" t="e">
        <f t="shared" ca="1" si="499"/>
        <v>#NAME?</v>
      </c>
      <c r="U267" s="4">
        <f t="shared" si="500"/>
        <v>825.30824074074189</v>
      </c>
      <c r="V267" s="4">
        <f t="shared" si="501"/>
        <v>27.510274691358063</v>
      </c>
      <c r="W267" s="4">
        <f t="shared" si="502"/>
        <v>1</v>
      </c>
      <c r="X267" s="4">
        <f t="shared" si="503"/>
        <v>0</v>
      </c>
      <c r="Y267" s="4">
        <f t="shared" si="504"/>
        <v>1</v>
      </c>
      <c r="Z267" s="4">
        <f t="shared" si="505"/>
        <v>0</v>
      </c>
      <c r="AA267" s="4">
        <f t="shared" si="506"/>
        <v>0</v>
      </c>
      <c r="AB267" s="4">
        <f t="shared" si="507"/>
        <v>0</v>
      </c>
      <c r="AC267" s="4"/>
      <c r="AD267" s="4" t="b">
        <f t="shared" si="508"/>
        <v>0</v>
      </c>
      <c r="AE267" s="4" t="b">
        <f t="shared" si="509"/>
        <v>0</v>
      </c>
      <c r="AF267" s="4" t="b">
        <f t="shared" si="510"/>
        <v>0</v>
      </c>
      <c r="AG267" t="b">
        <f t="shared" si="511"/>
        <v>0</v>
      </c>
      <c r="AH267" t="b">
        <f t="shared" si="512"/>
        <v>0</v>
      </c>
      <c r="AI267" t="b">
        <f t="shared" si="513"/>
        <v>0</v>
      </c>
      <c r="AJ267" t="b">
        <f t="shared" si="514"/>
        <v>0</v>
      </c>
      <c r="AK267" t="b">
        <f t="shared" si="515"/>
        <v>0</v>
      </c>
      <c r="AL267" t="b">
        <f t="shared" si="516"/>
        <v>0</v>
      </c>
      <c r="AM267" t="b">
        <f t="shared" si="517"/>
        <v>0</v>
      </c>
      <c r="AN267" t="b">
        <f t="shared" si="518"/>
        <v>0</v>
      </c>
      <c r="AO267" t="b">
        <f t="shared" si="519"/>
        <v>0</v>
      </c>
      <c r="AP267" t="b">
        <f t="shared" si="520"/>
        <v>0</v>
      </c>
      <c r="AQ267" t="b">
        <f t="shared" si="521"/>
        <v>0</v>
      </c>
      <c r="AR267" t="b">
        <f t="shared" si="522"/>
        <v>0</v>
      </c>
      <c r="AS267" t="b">
        <f t="shared" si="523"/>
        <v>0</v>
      </c>
      <c r="AT267" t="b">
        <f t="shared" si="524"/>
        <v>0</v>
      </c>
      <c r="AU267" t="b">
        <f t="shared" si="525"/>
        <v>0</v>
      </c>
      <c r="AV267" t="b">
        <f t="shared" si="526"/>
        <v>0</v>
      </c>
      <c r="AW267" t="b">
        <f t="shared" si="527"/>
        <v>0</v>
      </c>
      <c r="AX267" t="b">
        <f t="shared" si="529"/>
        <v>0</v>
      </c>
      <c r="AY267" t="b">
        <f t="shared" si="530"/>
        <v>0</v>
      </c>
      <c r="AZ267" t="b">
        <f t="shared" si="531"/>
        <v>0</v>
      </c>
      <c r="BA267" t="b">
        <f t="shared" si="532"/>
        <v>0</v>
      </c>
      <c r="BB267" t="b">
        <f t="shared" si="533"/>
        <v>0</v>
      </c>
      <c r="BC267" t="b">
        <f t="shared" si="534"/>
        <v>0</v>
      </c>
      <c r="BD267" t="b">
        <f t="shared" si="535"/>
        <v>0</v>
      </c>
      <c r="BE267" t="b">
        <f t="shared" si="536"/>
        <v>0</v>
      </c>
      <c r="BF267" t="b">
        <f t="shared" si="537"/>
        <v>0</v>
      </c>
      <c r="BG267" t="b">
        <f t="shared" si="538"/>
        <v>0</v>
      </c>
      <c r="BH267" t="b">
        <f t="shared" si="539"/>
        <v>0</v>
      </c>
      <c r="BI267">
        <f t="shared" si="540"/>
        <v>1</v>
      </c>
      <c r="BJ267" t="b">
        <f t="shared" si="541"/>
        <v>0</v>
      </c>
      <c r="BK267" t="b">
        <f t="shared" si="542"/>
        <v>0</v>
      </c>
      <c r="BL267" t="b">
        <f t="shared" si="543"/>
        <v>0</v>
      </c>
      <c r="BM267" t="b">
        <f t="shared" si="544"/>
        <v>0</v>
      </c>
      <c r="BN267" t="b">
        <f t="shared" si="545"/>
        <v>0</v>
      </c>
      <c r="BO267" t="b">
        <f t="shared" si="546"/>
        <v>0</v>
      </c>
      <c r="BP267" t="b">
        <f t="shared" si="547"/>
        <v>0</v>
      </c>
      <c r="BQ267" t="b">
        <f t="shared" si="548"/>
        <v>0</v>
      </c>
      <c r="BR267">
        <f t="shared" si="549"/>
        <v>1</v>
      </c>
      <c r="BS267" t="b">
        <f t="shared" si="550"/>
        <v>0</v>
      </c>
      <c r="BT267" t="b">
        <f t="shared" si="551"/>
        <v>0</v>
      </c>
      <c r="BU267" t="b">
        <f t="shared" si="552"/>
        <v>0</v>
      </c>
      <c r="BV267" t="b">
        <f t="shared" si="553"/>
        <v>0</v>
      </c>
      <c r="BW267" t="b">
        <f t="shared" si="554"/>
        <v>0</v>
      </c>
      <c r="BX267" t="b">
        <f t="shared" si="555"/>
        <v>0</v>
      </c>
      <c r="BY267" t="b">
        <f t="shared" si="556"/>
        <v>0</v>
      </c>
      <c r="BZ267" t="b">
        <f t="shared" si="557"/>
        <v>0</v>
      </c>
      <c r="CA267" t="b">
        <f t="shared" si="558"/>
        <v>0</v>
      </c>
      <c r="CB267" t="b">
        <f t="shared" si="559"/>
        <v>0</v>
      </c>
      <c r="CC267" t="b">
        <f t="shared" si="560"/>
        <v>0</v>
      </c>
      <c r="CD267" t="b">
        <f t="shared" si="561"/>
        <v>0</v>
      </c>
      <c r="CE267" t="b">
        <f t="shared" si="562"/>
        <v>0</v>
      </c>
      <c r="CF267" t="b">
        <f t="shared" si="563"/>
        <v>0</v>
      </c>
      <c r="CG267" t="b">
        <f t="shared" si="564"/>
        <v>0</v>
      </c>
      <c r="CH267" t="b">
        <f t="shared" si="565"/>
        <v>0</v>
      </c>
      <c r="CI267" t="b">
        <f t="shared" si="566"/>
        <v>0</v>
      </c>
      <c r="CJ267" t="b">
        <f t="shared" si="567"/>
        <v>0</v>
      </c>
      <c r="CK267" t="b">
        <f t="shared" si="568"/>
        <v>0</v>
      </c>
      <c r="CL267" t="b">
        <f t="shared" si="569"/>
        <v>0</v>
      </c>
      <c r="CM267" t="b">
        <f t="shared" si="570"/>
        <v>0</v>
      </c>
      <c r="CN267" t="b">
        <f t="shared" si="571"/>
        <v>0</v>
      </c>
      <c r="CO267" t="b">
        <f t="shared" si="572"/>
        <v>0</v>
      </c>
      <c r="CP267" t="b">
        <f t="shared" si="573"/>
        <v>0</v>
      </c>
      <c r="CQ267" t="b">
        <f t="shared" si="574"/>
        <v>0</v>
      </c>
      <c r="CR267" t="b">
        <f t="shared" si="575"/>
        <v>0</v>
      </c>
      <c r="CS267" t="b">
        <f t="shared" si="576"/>
        <v>0</v>
      </c>
      <c r="CT267" t="b">
        <f t="shared" si="577"/>
        <v>0</v>
      </c>
      <c r="CU267" t="b">
        <f t="shared" si="578"/>
        <v>0</v>
      </c>
      <c r="CV267">
        <f t="shared" si="579"/>
        <v>1</v>
      </c>
      <c r="CW267" t="b">
        <f t="shared" si="580"/>
        <v>0</v>
      </c>
      <c r="CX267" t="b">
        <f t="shared" si="581"/>
        <v>0</v>
      </c>
      <c r="CY267" t="b">
        <f t="shared" si="582"/>
        <v>0</v>
      </c>
      <c r="CZ267" t="b">
        <f t="shared" si="583"/>
        <v>0</v>
      </c>
      <c r="DA267" t="b">
        <f t="shared" si="584"/>
        <v>0</v>
      </c>
      <c r="DB267" t="b">
        <f t="shared" si="585"/>
        <v>0</v>
      </c>
      <c r="DC267" t="b">
        <f t="shared" si="586"/>
        <v>0</v>
      </c>
      <c r="DD267" t="b">
        <f t="shared" si="587"/>
        <v>0</v>
      </c>
      <c r="DE267" t="b">
        <f t="shared" si="588"/>
        <v>0</v>
      </c>
      <c r="DF267" t="b">
        <f t="shared" si="589"/>
        <v>0</v>
      </c>
      <c r="DG267" t="b">
        <f t="shared" si="590"/>
        <v>0</v>
      </c>
      <c r="DH267" t="b">
        <f t="shared" si="591"/>
        <v>0</v>
      </c>
      <c r="DI267" t="b">
        <f t="shared" si="592"/>
        <v>0</v>
      </c>
      <c r="DJ267" t="b">
        <f t="shared" si="593"/>
        <v>0</v>
      </c>
      <c r="DK267" t="b">
        <f t="shared" si="594"/>
        <v>0</v>
      </c>
      <c r="DL267" t="b">
        <f t="shared" si="595"/>
        <v>0</v>
      </c>
      <c r="DM267" t="b">
        <f t="shared" si="596"/>
        <v>0</v>
      </c>
      <c r="DN267" t="b">
        <f t="shared" si="597"/>
        <v>0</v>
      </c>
      <c r="DO267" t="b">
        <f t="shared" si="598"/>
        <v>0</v>
      </c>
      <c r="DP267" t="b">
        <f t="shared" si="599"/>
        <v>0</v>
      </c>
      <c r="DQ267" t="b">
        <f t="shared" si="600"/>
        <v>0</v>
      </c>
      <c r="DR267" t="b">
        <f t="shared" si="601"/>
        <v>0</v>
      </c>
      <c r="DS267" t="b">
        <f t="shared" si="602"/>
        <v>0</v>
      </c>
      <c r="DT267" t="b">
        <f t="shared" si="603"/>
        <v>0</v>
      </c>
      <c r="DU267" t="b">
        <f t="shared" si="604"/>
        <v>0</v>
      </c>
      <c r="DV267" t="b">
        <f t="shared" si="605"/>
        <v>0</v>
      </c>
      <c r="DW267" t="b">
        <f t="shared" si="606"/>
        <v>0</v>
      </c>
      <c r="DX267" t="b">
        <f t="shared" si="607"/>
        <v>0</v>
      </c>
      <c r="DY267" t="b">
        <f t="shared" si="608"/>
        <v>0</v>
      </c>
      <c r="DZ267" t="b">
        <f t="shared" si="609"/>
        <v>0</v>
      </c>
      <c r="EA267" t="b">
        <f t="shared" si="610"/>
        <v>0</v>
      </c>
      <c r="EB267" t="b">
        <f t="shared" si="611"/>
        <v>0</v>
      </c>
      <c r="EC267" t="b">
        <f t="shared" si="612"/>
        <v>0</v>
      </c>
      <c r="ED267" t="b">
        <f t="shared" si="613"/>
        <v>0</v>
      </c>
      <c r="EE267" t="b">
        <f t="shared" si="614"/>
        <v>0</v>
      </c>
      <c r="EF267">
        <f t="shared" si="615"/>
        <v>1</v>
      </c>
      <c r="EG267" t="b">
        <f t="shared" si="616"/>
        <v>0</v>
      </c>
      <c r="EH267" t="b">
        <f t="shared" si="617"/>
        <v>0</v>
      </c>
      <c r="EI267" t="b">
        <f t="shared" si="618"/>
        <v>0</v>
      </c>
      <c r="EJ267" t="b">
        <f t="shared" si="619"/>
        <v>0</v>
      </c>
      <c r="EK267" t="b">
        <f t="shared" si="620"/>
        <v>0</v>
      </c>
    </row>
    <row r="268" spans="1:141">
      <c r="A268" t="s">
        <v>1429</v>
      </c>
      <c r="B268" t="s">
        <v>1430</v>
      </c>
      <c r="C268" t="s">
        <v>1431</v>
      </c>
      <c r="D268" s="1">
        <v>41278</v>
      </c>
      <c r="E268" s="2">
        <v>42681.341006944444</v>
      </c>
      <c r="F268" s="2">
        <v>42681.341006944444</v>
      </c>
      <c r="G268">
        <v>179967</v>
      </c>
      <c r="H268" t="s">
        <v>1432</v>
      </c>
      <c r="I268" s="10" t="s">
        <v>1433</v>
      </c>
      <c r="J268" t="s">
        <v>1434</v>
      </c>
      <c r="K268" s="8" t="b">
        <v>1</v>
      </c>
      <c r="L268" s="10" t="b">
        <v>0</v>
      </c>
      <c r="M268" s="12" t="b">
        <v>0</v>
      </c>
      <c r="N268" t="b">
        <v>0</v>
      </c>
      <c r="O268" t="b">
        <v>0</v>
      </c>
      <c r="P268" t="b">
        <v>0</v>
      </c>
      <c r="Q268">
        <f t="shared" si="497"/>
        <v>6</v>
      </c>
      <c r="R268">
        <f t="shared" si="498"/>
        <v>1</v>
      </c>
      <c r="S268" t="e">
        <f t="shared" ca="1" si="528"/>
        <v>#NAME?</v>
      </c>
      <c r="T268" t="e">
        <f t="shared" ca="1" si="499"/>
        <v>#NAME?</v>
      </c>
      <c r="U268" s="4">
        <f t="shared" si="500"/>
        <v>1403.3410069444435</v>
      </c>
      <c r="V268" s="4">
        <f t="shared" si="501"/>
        <v>46.778033564814784</v>
      </c>
      <c r="W268" s="4">
        <f t="shared" si="502"/>
        <v>1</v>
      </c>
      <c r="X268" s="4">
        <f t="shared" si="503"/>
        <v>0</v>
      </c>
      <c r="Y268" s="4">
        <f t="shared" si="504"/>
        <v>0</v>
      </c>
      <c r="Z268" s="4">
        <f t="shared" si="505"/>
        <v>0</v>
      </c>
      <c r="AA268" s="4">
        <f t="shared" si="506"/>
        <v>0</v>
      </c>
      <c r="AB268" s="4">
        <f t="shared" si="507"/>
        <v>0</v>
      </c>
      <c r="AC268" s="4"/>
      <c r="AD268" s="4" t="b">
        <f t="shared" si="508"/>
        <v>0</v>
      </c>
      <c r="AE268" s="4" t="b">
        <f t="shared" si="509"/>
        <v>0</v>
      </c>
      <c r="AF268" s="4" t="b">
        <f t="shared" si="510"/>
        <v>0</v>
      </c>
      <c r="AG268" t="b">
        <f t="shared" si="511"/>
        <v>0</v>
      </c>
      <c r="AH268" t="b">
        <f t="shared" si="512"/>
        <v>0</v>
      </c>
      <c r="AI268" t="b">
        <f t="shared" si="513"/>
        <v>0</v>
      </c>
      <c r="AJ268" t="b">
        <f t="shared" si="514"/>
        <v>0</v>
      </c>
      <c r="AK268" t="b">
        <f t="shared" si="515"/>
        <v>0</v>
      </c>
      <c r="AL268" t="b">
        <f t="shared" si="516"/>
        <v>0</v>
      </c>
      <c r="AM268" t="b">
        <f t="shared" si="517"/>
        <v>0</v>
      </c>
      <c r="AN268" t="b">
        <f t="shared" si="518"/>
        <v>0</v>
      </c>
      <c r="AO268" t="b">
        <f t="shared" si="519"/>
        <v>0</v>
      </c>
      <c r="AP268" t="b">
        <f t="shared" si="520"/>
        <v>0</v>
      </c>
      <c r="AQ268" t="b">
        <f t="shared" si="521"/>
        <v>0</v>
      </c>
      <c r="AR268" t="b">
        <f t="shared" si="522"/>
        <v>0</v>
      </c>
      <c r="AS268" t="b">
        <f t="shared" si="523"/>
        <v>0</v>
      </c>
      <c r="AT268" t="b">
        <f t="shared" si="524"/>
        <v>0</v>
      </c>
      <c r="AU268" t="b">
        <f t="shared" si="525"/>
        <v>0</v>
      </c>
      <c r="AV268" t="b">
        <f t="shared" si="526"/>
        <v>0</v>
      </c>
      <c r="AW268" t="b">
        <f t="shared" si="527"/>
        <v>0</v>
      </c>
      <c r="AX268" t="b">
        <f t="shared" si="529"/>
        <v>0</v>
      </c>
      <c r="AY268" t="b">
        <f t="shared" si="530"/>
        <v>0</v>
      </c>
      <c r="AZ268" t="b">
        <f t="shared" si="531"/>
        <v>0</v>
      </c>
      <c r="BA268" t="b">
        <f t="shared" si="532"/>
        <v>0</v>
      </c>
      <c r="BB268" t="b">
        <f t="shared" si="533"/>
        <v>0</v>
      </c>
      <c r="BC268" t="b">
        <f t="shared" si="534"/>
        <v>0</v>
      </c>
      <c r="BD268" t="b">
        <f t="shared" si="535"/>
        <v>0</v>
      </c>
      <c r="BE268" t="b">
        <f t="shared" si="536"/>
        <v>0</v>
      </c>
      <c r="BF268" t="b">
        <f t="shared" si="537"/>
        <v>0</v>
      </c>
      <c r="BG268" t="b">
        <f t="shared" si="538"/>
        <v>0</v>
      </c>
      <c r="BH268" t="b">
        <f t="shared" si="539"/>
        <v>0</v>
      </c>
      <c r="BI268">
        <f t="shared" si="540"/>
        <v>1</v>
      </c>
      <c r="BJ268" t="b">
        <f t="shared" si="541"/>
        <v>0</v>
      </c>
      <c r="BK268" t="b">
        <f t="shared" si="542"/>
        <v>0</v>
      </c>
      <c r="BL268" t="b">
        <f t="shared" si="543"/>
        <v>0</v>
      </c>
      <c r="BM268" t="b">
        <f t="shared" si="544"/>
        <v>0</v>
      </c>
      <c r="BN268" t="b">
        <f t="shared" si="545"/>
        <v>0</v>
      </c>
      <c r="BO268" t="b">
        <f t="shared" si="546"/>
        <v>0</v>
      </c>
      <c r="BP268" t="b">
        <f t="shared" si="547"/>
        <v>0</v>
      </c>
      <c r="BQ268" t="b">
        <f t="shared" si="548"/>
        <v>0</v>
      </c>
      <c r="BR268" t="b">
        <f t="shared" si="549"/>
        <v>0</v>
      </c>
      <c r="BS268" t="b">
        <f t="shared" si="550"/>
        <v>0</v>
      </c>
      <c r="BT268" t="b">
        <f t="shared" si="551"/>
        <v>0</v>
      </c>
      <c r="BU268" t="b">
        <f t="shared" si="552"/>
        <v>0</v>
      </c>
      <c r="BV268" t="b">
        <f t="shared" si="553"/>
        <v>0</v>
      </c>
      <c r="BW268" t="b">
        <f t="shared" si="554"/>
        <v>0</v>
      </c>
      <c r="BX268" t="b">
        <f t="shared" si="555"/>
        <v>0</v>
      </c>
      <c r="BY268" t="b">
        <f t="shared" si="556"/>
        <v>0</v>
      </c>
      <c r="BZ268" t="b">
        <f t="shared" si="557"/>
        <v>0</v>
      </c>
      <c r="CA268" t="b">
        <f t="shared" si="558"/>
        <v>0</v>
      </c>
      <c r="CB268" t="b">
        <f t="shared" si="559"/>
        <v>0</v>
      </c>
      <c r="CC268" t="b">
        <f t="shared" si="560"/>
        <v>0</v>
      </c>
      <c r="CD268" t="b">
        <f t="shared" si="561"/>
        <v>0</v>
      </c>
      <c r="CE268">
        <f t="shared" si="562"/>
        <v>1</v>
      </c>
      <c r="CF268" t="b">
        <f t="shared" si="563"/>
        <v>0</v>
      </c>
      <c r="CG268" t="b">
        <f t="shared" si="564"/>
        <v>0</v>
      </c>
      <c r="CH268" t="b">
        <f t="shared" si="565"/>
        <v>0</v>
      </c>
      <c r="CI268" t="b">
        <f t="shared" si="566"/>
        <v>0</v>
      </c>
      <c r="CJ268" t="b">
        <f t="shared" si="567"/>
        <v>0</v>
      </c>
      <c r="CK268" t="b">
        <f t="shared" si="568"/>
        <v>0</v>
      </c>
      <c r="CL268" t="b">
        <f t="shared" si="569"/>
        <v>0</v>
      </c>
      <c r="CM268" t="b">
        <f t="shared" si="570"/>
        <v>0</v>
      </c>
      <c r="CN268" t="b">
        <f t="shared" si="571"/>
        <v>0</v>
      </c>
      <c r="CO268" t="b">
        <f t="shared" si="572"/>
        <v>0</v>
      </c>
      <c r="CP268" t="b">
        <f t="shared" si="573"/>
        <v>0</v>
      </c>
      <c r="CQ268" t="b">
        <f t="shared" si="574"/>
        <v>0</v>
      </c>
      <c r="CR268" t="b">
        <f t="shared" si="575"/>
        <v>0</v>
      </c>
      <c r="CS268" t="b">
        <f t="shared" si="576"/>
        <v>0</v>
      </c>
      <c r="CT268" t="b">
        <f t="shared" si="577"/>
        <v>0</v>
      </c>
      <c r="CU268" t="b">
        <f t="shared" si="578"/>
        <v>0</v>
      </c>
      <c r="CV268" t="b">
        <f t="shared" si="579"/>
        <v>0</v>
      </c>
      <c r="CW268" t="b">
        <f t="shared" si="580"/>
        <v>0</v>
      </c>
      <c r="CX268" t="b">
        <f t="shared" si="581"/>
        <v>0</v>
      </c>
      <c r="CY268" t="b">
        <f t="shared" si="582"/>
        <v>0</v>
      </c>
      <c r="CZ268" t="b">
        <f t="shared" si="583"/>
        <v>0</v>
      </c>
      <c r="DA268" t="b">
        <f t="shared" si="584"/>
        <v>0</v>
      </c>
      <c r="DB268" t="b">
        <f t="shared" si="585"/>
        <v>0</v>
      </c>
      <c r="DC268" t="b">
        <f t="shared" si="586"/>
        <v>0</v>
      </c>
      <c r="DD268" t="b">
        <f t="shared" si="587"/>
        <v>0</v>
      </c>
      <c r="DE268" t="b">
        <f t="shared" si="588"/>
        <v>0</v>
      </c>
      <c r="DF268" t="b">
        <f t="shared" si="589"/>
        <v>0</v>
      </c>
      <c r="DG268" t="b">
        <f t="shared" si="590"/>
        <v>0</v>
      </c>
      <c r="DH268" t="b">
        <f t="shared" si="591"/>
        <v>0</v>
      </c>
      <c r="DI268" t="b">
        <f t="shared" si="592"/>
        <v>0</v>
      </c>
      <c r="DJ268" t="b">
        <f t="shared" si="593"/>
        <v>0</v>
      </c>
      <c r="DK268" t="b">
        <f t="shared" si="594"/>
        <v>0</v>
      </c>
      <c r="DL268" t="b">
        <f t="shared" si="595"/>
        <v>0</v>
      </c>
      <c r="DM268" t="b">
        <f t="shared" si="596"/>
        <v>0</v>
      </c>
      <c r="DN268" t="b">
        <f t="shared" si="597"/>
        <v>0</v>
      </c>
      <c r="DO268" t="b">
        <f t="shared" si="598"/>
        <v>0</v>
      </c>
      <c r="DP268" t="b">
        <f t="shared" si="599"/>
        <v>0</v>
      </c>
      <c r="DQ268" t="b">
        <f t="shared" si="600"/>
        <v>0</v>
      </c>
      <c r="DR268" t="b">
        <f t="shared" si="601"/>
        <v>0</v>
      </c>
      <c r="DS268" t="b">
        <f t="shared" si="602"/>
        <v>0</v>
      </c>
      <c r="DT268" t="b">
        <f t="shared" si="603"/>
        <v>0</v>
      </c>
      <c r="DU268" t="b">
        <f t="shared" si="604"/>
        <v>0</v>
      </c>
      <c r="DV268" t="b">
        <f t="shared" si="605"/>
        <v>0</v>
      </c>
      <c r="DW268" t="b">
        <f t="shared" si="606"/>
        <v>0</v>
      </c>
      <c r="DX268" t="b">
        <f t="shared" si="607"/>
        <v>0</v>
      </c>
      <c r="DY268" t="b">
        <f t="shared" si="608"/>
        <v>0</v>
      </c>
      <c r="DZ268" t="b">
        <f t="shared" si="609"/>
        <v>0</v>
      </c>
      <c r="EA268" t="b">
        <f t="shared" si="610"/>
        <v>0</v>
      </c>
      <c r="EB268" t="b">
        <f t="shared" si="611"/>
        <v>0</v>
      </c>
      <c r="EC268" t="b">
        <f t="shared" si="612"/>
        <v>0</v>
      </c>
      <c r="ED268" t="b">
        <f t="shared" si="613"/>
        <v>0</v>
      </c>
      <c r="EE268" t="b">
        <f t="shared" si="614"/>
        <v>0</v>
      </c>
      <c r="EF268">
        <f t="shared" si="615"/>
        <v>1</v>
      </c>
      <c r="EG268" t="b">
        <f t="shared" si="616"/>
        <v>0</v>
      </c>
      <c r="EH268" t="b">
        <f t="shared" si="617"/>
        <v>0</v>
      </c>
      <c r="EI268">
        <f t="shared" si="618"/>
        <v>1</v>
      </c>
      <c r="EJ268" t="b">
        <f t="shared" si="619"/>
        <v>0</v>
      </c>
      <c r="EK268" t="b">
        <f t="shared" si="620"/>
        <v>0</v>
      </c>
    </row>
    <row r="269" spans="1:141">
      <c r="A269" t="s">
        <v>1435</v>
      </c>
      <c r="B269" t="s">
        <v>1436</v>
      </c>
      <c r="C269" t="s">
        <v>1437</v>
      </c>
      <c r="D269" s="1">
        <v>41260</v>
      </c>
      <c r="E269" s="2">
        <v>42393.685682870368</v>
      </c>
      <c r="F269" s="2">
        <v>42393.685682870368</v>
      </c>
      <c r="G269">
        <v>8089103</v>
      </c>
      <c r="H269" t="s">
        <v>1438</v>
      </c>
      <c r="I269" s="10" t="s">
        <v>1439</v>
      </c>
      <c r="J269" t="s">
        <v>156</v>
      </c>
      <c r="K269" s="8" t="b">
        <v>1</v>
      </c>
      <c r="L269" s="10" t="b">
        <v>0</v>
      </c>
      <c r="M269" s="12" t="b">
        <v>0</v>
      </c>
      <c r="N269" t="b">
        <v>0</v>
      </c>
      <c r="O269" t="b">
        <v>0</v>
      </c>
      <c r="P269" t="b">
        <v>0</v>
      </c>
      <c r="Q269">
        <f t="shared" si="497"/>
        <v>2</v>
      </c>
      <c r="R269">
        <f t="shared" si="498"/>
        <v>12</v>
      </c>
      <c r="S269" t="e">
        <f t="shared" ca="1" si="528"/>
        <v>#NAME?</v>
      </c>
      <c r="T269" t="e">
        <f t="shared" ca="1" si="499"/>
        <v>#NAME?</v>
      </c>
      <c r="U269" s="4">
        <f t="shared" si="500"/>
        <v>1133.6856828703676</v>
      </c>
      <c r="V269" s="4">
        <f t="shared" si="501"/>
        <v>37.789522762345584</v>
      </c>
      <c r="W269" s="4">
        <f t="shared" si="502"/>
        <v>1</v>
      </c>
      <c r="X269" s="4">
        <f t="shared" si="503"/>
        <v>0</v>
      </c>
      <c r="Y269" s="4">
        <f t="shared" si="504"/>
        <v>0</v>
      </c>
      <c r="Z269" s="4">
        <f t="shared" si="505"/>
        <v>0</v>
      </c>
      <c r="AA269" s="4">
        <f t="shared" si="506"/>
        <v>0</v>
      </c>
      <c r="AB269" s="4">
        <f t="shared" si="507"/>
        <v>0</v>
      </c>
      <c r="AC269" s="4"/>
      <c r="AD269" s="4" t="b">
        <f t="shared" si="508"/>
        <v>0</v>
      </c>
      <c r="AE269" s="4" t="b">
        <f t="shared" si="509"/>
        <v>0</v>
      </c>
      <c r="AF269" s="4" t="b">
        <f t="shared" si="510"/>
        <v>0</v>
      </c>
      <c r="AG269" t="b">
        <f t="shared" si="511"/>
        <v>0</v>
      </c>
      <c r="AH269" t="b">
        <f t="shared" si="512"/>
        <v>0</v>
      </c>
      <c r="AI269" t="b">
        <f t="shared" si="513"/>
        <v>0</v>
      </c>
      <c r="AJ269" t="b">
        <f t="shared" si="514"/>
        <v>0</v>
      </c>
      <c r="AK269" t="b">
        <f t="shared" si="515"/>
        <v>0</v>
      </c>
      <c r="AL269" t="b">
        <f t="shared" si="516"/>
        <v>0</v>
      </c>
      <c r="AM269" t="b">
        <f t="shared" si="517"/>
        <v>0</v>
      </c>
      <c r="AN269" t="b">
        <f t="shared" si="518"/>
        <v>0</v>
      </c>
      <c r="AO269" t="b">
        <f t="shared" si="519"/>
        <v>0</v>
      </c>
      <c r="AP269" t="b">
        <f t="shared" si="520"/>
        <v>0</v>
      </c>
      <c r="AQ269" t="b">
        <f t="shared" si="521"/>
        <v>0</v>
      </c>
      <c r="AR269" t="b">
        <f t="shared" si="522"/>
        <v>0</v>
      </c>
      <c r="AS269" t="b">
        <f t="shared" si="523"/>
        <v>0</v>
      </c>
      <c r="AT269" t="b">
        <f t="shared" si="524"/>
        <v>0</v>
      </c>
      <c r="AU269" t="b">
        <f t="shared" si="525"/>
        <v>0</v>
      </c>
      <c r="AV269" t="b">
        <f t="shared" si="526"/>
        <v>0</v>
      </c>
      <c r="AW269" t="b">
        <f t="shared" si="527"/>
        <v>0</v>
      </c>
      <c r="AX269" t="b">
        <f t="shared" si="529"/>
        <v>0</v>
      </c>
      <c r="AY269" t="b">
        <f t="shared" si="530"/>
        <v>0</v>
      </c>
      <c r="AZ269" t="b">
        <f t="shared" si="531"/>
        <v>0</v>
      </c>
      <c r="BA269" t="b">
        <f t="shared" si="532"/>
        <v>0</v>
      </c>
      <c r="BB269" t="b">
        <f t="shared" si="533"/>
        <v>0</v>
      </c>
      <c r="BC269" t="b">
        <f t="shared" si="534"/>
        <v>0</v>
      </c>
      <c r="BD269" t="b">
        <f t="shared" si="535"/>
        <v>0</v>
      </c>
      <c r="BE269" t="b">
        <f t="shared" si="536"/>
        <v>0</v>
      </c>
      <c r="BF269" t="b">
        <f t="shared" si="537"/>
        <v>0</v>
      </c>
      <c r="BG269" t="b">
        <f t="shared" si="538"/>
        <v>0</v>
      </c>
      <c r="BH269" t="b">
        <f t="shared" si="539"/>
        <v>0</v>
      </c>
      <c r="BI269">
        <f t="shared" si="540"/>
        <v>1</v>
      </c>
      <c r="BJ269" t="b">
        <f t="shared" si="541"/>
        <v>0</v>
      </c>
      <c r="BK269" t="b">
        <f t="shared" si="542"/>
        <v>0</v>
      </c>
      <c r="BL269" t="b">
        <f t="shared" si="543"/>
        <v>0</v>
      </c>
      <c r="BM269" t="b">
        <f t="shared" si="544"/>
        <v>0</v>
      </c>
      <c r="BN269" t="b">
        <f t="shared" si="545"/>
        <v>0</v>
      </c>
      <c r="BO269" t="b">
        <f t="shared" si="546"/>
        <v>0</v>
      </c>
      <c r="BP269" t="b">
        <f t="shared" si="547"/>
        <v>0</v>
      </c>
      <c r="BQ269" t="b">
        <f t="shared" si="548"/>
        <v>0</v>
      </c>
      <c r="BR269" t="b">
        <f t="shared" si="549"/>
        <v>0</v>
      </c>
      <c r="BS269" t="b">
        <f t="shared" si="550"/>
        <v>0</v>
      </c>
      <c r="BT269" t="b">
        <f t="shared" si="551"/>
        <v>0</v>
      </c>
      <c r="BU269" t="b">
        <f t="shared" si="552"/>
        <v>0</v>
      </c>
      <c r="BV269" t="b">
        <f t="shared" si="553"/>
        <v>0</v>
      </c>
      <c r="BW269" t="b">
        <f t="shared" si="554"/>
        <v>0</v>
      </c>
      <c r="BX269" t="b">
        <f t="shared" si="555"/>
        <v>0</v>
      </c>
      <c r="BY269" t="b">
        <f t="shared" si="556"/>
        <v>0</v>
      </c>
      <c r="BZ269" t="b">
        <f t="shared" si="557"/>
        <v>0</v>
      </c>
      <c r="CA269" t="b">
        <f t="shared" si="558"/>
        <v>0</v>
      </c>
      <c r="CB269" t="b">
        <f t="shared" si="559"/>
        <v>0</v>
      </c>
      <c r="CC269" t="b">
        <f t="shared" si="560"/>
        <v>0</v>
      </c>
      <c r="CD269" t="b">
        <f t="shared" si="561"/>
        <v>0</v>
      </c>
      <c r="CE269" t="b">
        <f t="shared" si="562"/>
        <v>0</v>
      </c>
      <c r="CF269" t="b">
        <f t="shared" si="563"/>
        <v>0</v>
      </c>
      <c r="CG269" t="b">
        <f t="shared" si="564"/>
        <v>0</v>
      </c>
      <c r="CH269" t="b">
        <f t="shared" si="565"/>
        <v>0</v>
      </c>
      <c r="CI269" t="b">
        <f t="shared" si="566"/>
        <v>0</v>
      </c>
      <c r="CJ269" t="b">
        <f t="shared" si="567"/>
        <v>0</v>
      </c>
      <c r="CK269" t="b">
        <f t="shared" si="568"/>
        <v>0</v>
      </c>
      <c r="CL269" t="b">
        <f t="shared" si="569"/>
        <v>0</v>
      </c>
      <c r="CM269" t="b">
        <f t="shared" si="570"/>
        <v>0</v>
      </c>
      <c r="CN269" t="b">
        <f t="shared" si="571"/>
        <v>0</v>
      </c>
      <c r="CO269" t="b">
        <f t="shared" si="572"/>
        <v>0</v>
      </c>
      <c r="CP269" t="b">
        <f t="shared" si="573"/>
        <v>0</v>
      </c>
      <c r="CQ269" t="b">
        <f t="shared" si="574"/>
        <v>0</v>
      </c>
      <c r="CR269" t="b">
        <f t="shared" si="575"/>
        <v>0</v>
      </c>
      <c r="CS269" t="b">
        <f t="shared" si="576"/>
        <v>0</v>
      </c>
      <c r="CT269" t="b">
        <f t="shared" si="577"/>
        <v>0</v>
      </c>
      <c r="CU269" t="b">
        <f t="shared" si="578"/>
        <v>0</v>
      </c>
      <c r="CV269">
        <f t="shared" si="579"/>
        <v>1</v>
      </c>
      <c r="CW269" t="b">
        <f t="shared" si="580"/>
        <v>0</v>
      </c>
      <c r="CX269" t="b">
        <f t="shared" si="581"/>
        <v>0</v>
      </c>
      <c r="CY269" t="b">
        <f t="shared" si="582"/>
        <v>0</v>
      </c>
      <c r="CZ269" t="b">
        <f t="shared" si="583"/>
        <v>0</v>
      </c>
      <c r="DA269" t="b">
        <f t="shared" si="584"/>
        <v>0</v>
      </c>
      <c r="DB269" t="b">
        <f t="shared" si="585"/>
        <v>0</v>
      </c>
      <c r="DC269" t="b">
        <f t="shared" si="586"/>
        <v>0</v>
      </c>
      <c r="DD269" t="b">
        <f t="shared" si="587"/>
        <v>0</v>
      </c>
      <c r="DE269" t="b">
        <f t="shared" si="588"/>
        <v>0</v>
      </c>
      <c r="DF269" t="b">
        <f t="shared" si="589"/>
        <v>0</v>
      </c>
      <c r="DG269" t="b">
        <f t="shared" si="590"/>
        <v>0</v>
      </c>
      <c r="DH269" t="b">
        <f t="shared" si="591"/>
        <v>0</v>
      </c>
      <c r="DI269" t="b">
        <f t="shared" si="592"/>
        <v>0</v>
      </c>
      <c r="DJ269" t="b">
        <f t="shared" si="593"/>
        <v>0</v>
      </c>
      <c r="DK269" t="b">
        <f t="shared" si="594"/>
        <v>0</v>
      </c>
      <c r="DL269" t="b">
        <f t="shared" si="595"/>
        <v>0</v>
      </c>
      <c r="DM269" t="b">
        <f t="shared" si="596"/>
        <v>0</v>
      </c>
      <c r="DN269" t="b">
        <f t="shared" si="597"/>
        <v>0</v>
      </c>
      <c r="DO269" t="b">
        <f t="shared" si="598"/>
        <v>0</v>
      </c>
      <c r="DP269" t="b">
        <f t="shared" si="599"/>
        <v>0</v>
      </c>
      <c r="DQ269" t="b">
        <f t="shared" si="600"/>
        <v>0</v>
      </c>
      <c r="DR269" t="b">
        <f t="shared" si="601"/>
        <v>0</v>
      </c>
      <c r="DS269" t="b">
        <f t="shared" si="602"/>
        <v>0</v>
      </c>
      <c r="DT269" t="b">
        <f t="shared" si="603"/>
        <v>0</v>
      </c>
      <c r="DU269" t="b">
        <f t="shared" si="604"/>
        <v>0</v>
      </c>
      <c r="DV269" t="b">
        <f t="shared" si="605"/>
        <v>0</v>
      </c>
      <c r="DW269" t="b">
        <f t="shared" si="606"/>
        <v>0</v>
      </c>
      <c r="DX269" t="b">
        <f t="shared" si="607"/>
        <v>0</v>
      </c>
      <c r="DY269" t="b">
        <f t="shared" si="608"/>
        <v>0</v>
      </c>
      <c r="DZ269" t="b">
        <f t="shared" si="609"/>
        <v>0</v>
      </c>
      <c r="EA269" t="b">
        <f t="shared" si="610"/>
        <v>0</v>
      </c>
      <c r="EB269" t="b">
        <f t="shared" si="611"/>
        <v>0</v>
      </c>
      <c r="EC269" t="b">
        <f t="shared" si="612"/>
        <v>0</v>
      </c>
      <c r="ED269" t="b">
        <f t="shared" si="613"/>
        <v>0</v>
      </c>
      <c r="EE269" t="b">
        <f t="shared" si="614"/>
        <v>0</v>
      </c>
      <c r="EF269">
        <f t="shared" si="615"/>
        <v>1</v>
      </c>
      <c r="EG269" t="b">
        <f t="shared" si="616"/>
        <v>0</v>
      </c>
      <c r="EH269" t="b">
        <f t="shared" si="617"/>
        <v>0</v>
      </c>
      <c r="EI269" t="b">
        <f t="shared" si="618"/>
        <v>0</v>
      </c>
      <c r="EJ269" t="b">
        <f t="shared" si="619"/>
        <v>0</v>
      </c>
      <c r="EK269" t="b">
        <f t="shared" si="620"/>
        <v>0</v>
      </c>
    </row>
    <row r="270" spans="1:141">
      <c r="A270" t="s">
        <v>1440</v>
      </c>
      <c r="B270" t="s">
        <v>1441</v>
      </c>
      <c r="C270" t="s">
        <v>1442</v>
      </c>
      <c r="D270" s="1">
        <v>41640</v>
      </c>
      <c r="E270" s="2">
        <v>43191.301203703704</v>
      </c>
      <c r="F270" s="2">
        <v>43191.301203703704</v>
      </c>
      <c r="G270">
        <v>13873674</v>
      </c>
      <c r="H270" t="s">
        <v>1443</v>
      </c>
      <c r="I270" s="10" t="s">
        <v>1444</v>
      </c>
      <c r="J270" t="s">
        <v>156</v>
      </c>
      <c r="K270" s="8" t="b">
        <v>0</v>
      </c>
      <c r="L270" s="10" t="b">
        <v>0</v>
      </c>
      <c r="M270" s="12" t="b">
        <v>0</v>
      </c>
      <c r="N270" t="b">
        <v>0</v>
      </c>
      <c r="O270" t="b">
        <v>0</v>
      </c>
      <c r="P270" t="b">
        <v>0</v>
      </c>
      <c r="Q270">
        <f t="shared" si="497"/>
        <v>4</v>
      </c>
      <c r="R270">
        <f t="shared" si="498"/>
        <v>1</v>
      </c>
      <c r="S270" t="e">
        <f t="shared" ca="1" si="528"/>
        <v>#NAME?</v>
      </c>
      <c r="T270" t="e">
        <f t="shared" ca="1" si="499"/>
        <v>#NAME?</v>
      </c>
      <c r="U270" s="4">
        <f t="shared" si="500"/>
        <v>1551.3012037037042</v>
      </c>
      <c r="V270" s="4">
        <f t="shared" si="501"/>
        <v>51.710040123456807</v>
      </c>
      <c r="W270" s="4">
        <f t="shared" si="502"/>
        <v>0</v>
      </c>
      <c r="X270" s="4">
        <f t="shared" si="503"/>
        <v>0</v>
      </c>
      <c r="Y270" s="4">
        <f t="shared" si="504"/>
        <v>0</v>
      </c>
      <c r="Z270" s="4">
        <f t="shared" si="505"/>
        <v>0</v>
      </c>
      <c r="AA270" s="4">
        <f t="shared" si="506"/>
        <v>0</v>
      </c>
      <c r="AB270" s="4">
        <f t="shared" si="507"/>
        <v>0</v>
      </c>
      <c r="AC270" s="4"/>
      <c r="AD270" s="4" t="b">
        <f t="shared" si="508"/>
        <v>0</v>
      </c>
      <c r="AE270" s="4" t="b">
        <f t="shared" si="509"/>
        <v>0</v>
      </c>
      <c r="AF270" s="4" t="b">
        <f t="shared" si="510"/>
        <v>0</v>
      </c>
      <c r="AG270" t="b">
        <f t="shared" si="511"/>
        <v>0</v>
      </c>
      <c r="AH270" t="b">
        <f t="shared" si="512"/>
        <v>0</v>
      </c>
      <c r="AI270" t="b">
        <f t="shared" si="513"/>
        <v>0</v>
      </c>
      <c r="AJ270" t="b">
        <f t="shared" si="514"/>
        <v>0</v>
      </c>
      <c r="AK270" t="b">
        <f t="shared" si="515"/>
        <v>0</v>
      </c>
      <c r="AL270" t="b">
        <f t="shared" si="516"/>
        <v>0</v>
      </c>
      <c r="AM270" t="b">
        <f t="shared" si="517"/>
        <v>0</v>
      </c>
      <c r="AN270" t="b">
        <f t="shared" si="518"/>
        <v>0</v>
      </c>
      <c r="AO270" t="b">
        <f t="shared" si="519"/>
        <v>0</v>
      </c>
      <c r="AP270" t="b">
        <f t="shared" si="520"/>
        <v>0</v>
      </c>
      <c r="AQ270" t="b">
        <f t="shared" si="521"/>
        <v>0</v>
      </c>
      <c r="AR270" t="b">
        <f t="shared" si="522"/>
        <v>0</v>
      </c>
      <c r="AS270" t="b">
        <f t="shared" si="523"/>
        <v>0</v>
      </c>
      <c r="AT270" t="b">
        <f t="shared" si="524"/>
        <v>0</v>
      </c>
      <c r="AU270" t="b">
        <f t="shared" si="525"/>
        <v>0</v>
      </c>
      <c r="AV270" t="b">
        <f t="shared" si="526"/>
        <v>0</v>
      </c>
      <c r="AW270" t="b">
        <f t="shared" si="527"/>
        <v>0</v>
      </c>
      <c r="AX270" t="b">
        <f t="shared" si="529"/>
        <v>0</v>
      </c>
      <c r="AY270" t="b">
        <f t="shared" si="530"/>
        <v>0</v>
      </c>
      <c r="AZ270" t="b">
        <f t="shared" si="531"/>
        <v>0</v>
      </c>
      <c r="BA270" t="b">
        <f t="shared" si="532"/>
        <v>0</v>
      </c>
      <c r="BB270" t="b">
        <f t="shared" si="533"/>
        <v>0</v>
      </c>
      <c r="BC270" t="b">
        <f t="shared" si="534"/>
        <v>0</v>
      </c>
      <c r="BD270" t="b">
        <f t="shared" si="535"/>
        <v>0</v>
      </c>
      <c r="BE270" t="b">
        <f t="shared" si="536"/>
        <v>0</v>
      </c>
      <c r="BF270" t="b">
        <f t="shared" si="537"/>
        <v>0</v>
      </c>
      <c r="BG270" t="b">
        <f t="shared" si="538"/>
        <v>0</v>
      </c>
      <c r="BH270" t="b">
        <f t="shared" si="539"/>
        <v>0</v>
      </c>
      <c r="BI270">
        <f t="shared" si="540"/>
        <v>1</v>
      </c>
      <c r="BJ270" t="b">
        <f t="shared" si="541"/>
        <v>0</v>
      </c>
      <c r="BK270" t="b">
        <f t="shared" si="542"/>
        <v>0</v>
      </c>
      <c r="BL270" t="b">
        <f t="shared" si="543"/>
        <v>0</v>
      </c>
      <c r="BM270" t="b">
        <f t="shared" si="544"/>
        <v>0</v>
      </c>
      <c r="BN270" t="b">
        <f t="shared" si="545"/>
        <v>0</v>
      </c>
      <c r="BO270" t="b">
        <f t="shared" si="546"/>
        <v>0</v>
      </c>
      <c r="BP270" t="b">
        <f t="shared" si="547"/>
        <v>0</v>
      </c>
      <c r="BQ270" t="b">
        <f t="shared" si="548"/>
        <v>0</v>
      </c>
      <c r="BR270" t="b">
        <f t="shared" si="549"/>
        <v>0</v>
      </c>
      <c r="BS270" t="b">
        <f t="shared" si="550"/>
        <v>0</v>
      </c>
      <c r="BT270" t="b">
        <f t="shared" si="551"/>
        <v>0</v>
      </c>
      <c r="BU270" t="b">
        <f t="shared" si="552"/>
        <v>0</v>
      </c>
      <c r="BV270" t="b">
        <f t="shared" si="553"/>
        <v>0</v>
      </c>
      <c r="BW270" t="b">
        <f t="shared" si="554"/>
        <v>0</v>
      </c>
      <c r="BX270" t="b">
        <f t="shared" si="555"/>
        <v>0</v>
      </c>
      <c r="BY270" t="b">
        <f t="shared" si="556"/>
        <v>0</v>
      </c>
      <c r="BZ270" t="b">
        <f t="shared" si="557"/>
        <v>0</v>
      </c>
      <c r="CA270" t="b">
        <f t="shared" si="558"/>
        <v>0</v>
      </c>
      <c r="CB270" t="b">
        <f t="shared" si="559"/>
        <v>0</v>
      </c>
      <c r="CC270" t="b">
        <f t="shared" si="560"/>
        <v>0</v>
      </c>
      <c r="CD270" t="b">
        <f t="shared" si="561"/>
        <v>0</v>
      </c>
      <c r="CE270" t="b">
        <f t="shared" si="562"/>
        <v>0</v>
      </c>
      <c r="CF270" t="b">
        <f t="shared" si="563"/>
        <v>0</v>
      </c>
      <c r="CG270" t="b">
        <f t="shared" si="564"/>
        <v>0</v>
      </c>
      <c r="CH270" t="b">
        <f t="shared" si="565"/>
        <v>0</v>
      </c>
      <c r="CI270" t="b">
        <f t="shared" si="566"/>
        <v>0</v>
      </c>
      <c r="CJ270" t="b">
        <f t="shared" si="567"/>
        <v>0</v>
      </c>
      <c r="CK270" t="b">
        <f t="shared" si="568"/>
        <v>0</v>
      </c>
      <c r="CL270" t="b">
        <f t="shared" si="569"/>
        <v>0</v>
      </c>
      <c r="CM270" t="b">
        <f t="shared" si="570"/>
        <v>0</v>
      </c>
      <c r="CN270" t="b">
        <f t="shared" si="571"/>
        <v>0</v>
      </c>
      <c r="CO270" t="b">
        <f t="shared" si="572"/>
        <v>0</v>
      </c>
      <c r="CP270" t="b">
        <f t="shared" si="573"/>
        <v>0</v>
      </c>
      <c r="CQ270" t="b">
        <f t="shared" si="574"/>
        <v>0</v>
      </c>
      <c r="CR270" t="b">
        <f t="shared" si="575"/>
        <v>0</v>
      </c>
      <c r="CS270" t="b">
        <f t="shared" si="576"/>
        <v>0</v>
      </c>
      <c r="CT270" t="b">
        <f t="shared" si="577"/>
        <v>0</v>
      </c>
      <c r="CU270" t="b">
        <f t="shared" si="578"/>
        <v>0</v>
      </c>
      <c r="CV270">
        <f t="shared" si="579"/>
        <v>1</v>
      </c>
      <c r="CW270" t="b">
        <f t="shared" si="580"/>
        <v>0</v>
      </c>
      <c r="CX270" t="b">
        <f t="shared" si="581"/>
        <v>0</v>
      </c>
      <c r="CY270" t="b">
        <f t="shared" si="582"/>
        <v>0</v>
      </c>
      <c r="CZ270" t="b">
        <f t="shared" si="583"/>
        <v>0</v>
      </c>
      <c r="DA270" t="b">
        <f t="shared" si="584"/>
        <v>0</v>
      </c>
      <c r="DB270" t="b">
        <f t="shared" si="585"/>
        <v>0</v>
      </c>
      <c r="DC270" t="b">
        <f t="shared" si="586"/>
        <v>0</v>
      </c>
      <c r="DD270" t="b">
        <f t="shared" si="587"/>
        <v>0</v>
      </c>
      <c r="DE270" t="b">
        <f t="shared" si="588"/>
        <v>0</v>
      </c>
      <c r="DF270" t="b">
        <f t="shared" si="589"/>
        <v>0</v>
      </c>
      <c r="DG270" t="b">
        <f t="shared" si="590"/>
        <v>0</v>
      </c>
      <c r="DH270" t="b">
        <f t="shared" si="591"/>
        <v>0</v>
      </c>
      <c r="DI270" t="b">
        <f t="shared" si="592"/>
        <v>0</v>
      </c>
      <c r="DJ270" t="b">
        <f t="shared" si="593"/>
        <v>0</v>
      </c>
      <c r="DK270" t="b">
        <f t="shared" si="594"/>
        <v>0</v>
      </c>
      <c r="DL270" t="b">
        <f t="shared" si="595"/>
        <v>0</v>
      </c>
      <c r="DM270" t="b">
        <f t="shared" si="596"/>
        <v>0</v>
      </c>
      <c r="DN270" t="b">
        <f t="shared" si="597"/>
        <v>0</v>
      </c>
      <c r="DO270" t="b">
        <f t="shared" si="598"/>
        <v>0</v>
      </c>
      <c r="DP270" t="b">
        <f t="shared" si="599"/>
        <v>0</v>
      </c>
      <c r="DQ270" t="b">
        <f t="shared" si="600"/>
        <v>0</v>
      </c>
      <c r="DR270" t="b">
        <f t="shared" si="601"/>
        <v>0</v>
      </c>
      <c r="DS270" t="b">
        <f t="shared" si="602"/>
        <v>0</v>
      </c>
      <c r="DT270" t="b">
        <f t="shared" si="603"/>
        <v>0</v>
      </c>
      <c r="DU270" t="b">
        <f t="shared" si="604"/>
        <v>0</v>
      </c>
      <c r="DV270" t="b">
        <f t="shared" si="605"/>
        <v>0</v>
      </c>
      <c r="DW270" t="b">
        <f t="shared" si="606"/>
        <v>0</v>
      </c>
      <c r="DX270" t="b">
        <f t="shared" si="607"/>
        <v>0</v>
      </c>
      <c r="DY270" t="b">
        <f t="shared" si="608"/>
        <v>0</v>
      </c>
      <c r="DZ270" t="b">
        <f t="shared" si="609"/>
        <v>0</v>
      </c>
      <c r="EA270" t="b">
        <f t="shared" si="610"/>
        <v>0</v>
      </c>
      <c r="EB270" t="b">
        <f t="shared" si="611"/>
        <v>0</v>
      </c>
      <c r="EC270" t="b">
        <f t="shared" si="612"/>
        <v>0</v>
      </c>
      <c r="ED270" t="b">
        <f t="shared" si="613"/>
        <v>0</v>
      </c>
      <c r="EE270" t="b">
        <f t="shared" si="614"/>
        <v>0</v>
      </c>
      <c r="EF270">
        <f t="shared" si="615"/>
        <v>1</v>
      </c>
      <c r="EG270" t="b">
        <f t="shared" si="616"/>
        <v>0</v>
      </c>
      <c r="EH270" t="b">
        <f t="shared" si="617"/>
        <v>0</v>
      </c>
      <c r="EI270" t="b">
        <f t="shared" si="618"/>
        <v>0</v>
      </c>
      <c r="EJ270" t="b">
        <f t="shared" si="619"/>
        <v>0</v>
      </c>
      <c r="EK270" t="b">
        <f t="shared" si="620"/>
        <v>0</v>
      </c>
    </row>
    <row r="271" spans="1:141">
      <c r="A271" t="s">
        <v>1445</v>
      </c>
      <c r="B271" t="s">
        <v>1445</v>
      </c>
      <c r="C271" t="s">
        <v>1446</v>
      </c>
      <c r="D271" s="1">
        <v>42540</v>
      </c>
      <c r="E271" s="2">
        <v>42816.373726851853</v>
      </c>
      <c r="F271" s="2">
        <v>42816.373726851853</v>
      </c>
      <c r="G271">
        <v>611070</v>
      </c>
      <c r="H271" t="s">
        <v>1447</v>
      </c>
      <c r="I271" s="10" t="s">
        <v>1448</v>
      </c>
      <c r="J271" t="s">
        <v>618</v>
      </c>
      <c r="K271" s="8" t="b">
        <v>1</v>
      </c>
      <c r="L271" s="10" t="b">
        <v>0</v>
      </c>
      <c r="M271" s="12" t="b">
        <v>0</v>
      </c>
      <c r="N271" t="b">
        <v>0</v>
      </c>
      <c r="O271" t="b">
        <v>0</v>
      </c>
      <c r="P271" t="b">
        <v>0</v>
      </c>
      <c r="Q271">
        <f t="shared" si="497"/>
        <v>1</v>
      </c>
      <c r="R271">
        <f t="shared" si="498"/>
        <v>6</v>
      </c>
      <c r="S271" t="e">
        <f t="shared" ca="1" si="528"/>
        <v>#NAME?</v>
      </c>
      <c r="T271" t="e">
        <f t="shared" ca="1" si="499"/>
        <v>#NAME?</v>
      </c>
      <c r="U271" s="4">
        <f t="shared" si="500"/>
        <v>276.37372685185255</v>
      </c>
      <c r="V271" s="4">
        <f t="shared" si="501"/>
        <v>9.212457561728419</v>
      </c>
      <c r="W271" s="4">
        <f t="shared" si="502"/>
        <v>1</v>
      </c>
      <c r="X271" s="4">
        <f t="shared" si="503"/>
        <v>0</v>
      </c>
      <c r="Y271" s="4">
        <f t="shared" si="504"/>
        <v>0</v>
      </c>
      <c r="Z271" s="4">
        <f t="shared" si="505"/>
        <v>0</v>
      </c>
      <c r="AA271" s="4">
        <f t="shared" si="506"/>
        <v>0</v>
      </c>
      <c r="AB271" s="4">
        <f t="shared" si="507"/>
        <v>0</v>
      </c>
      <c r="AC271" s="4"/>
      <c r="AD271" s="4" t="b">
        <f t="shared" si="508"/>
        <v>0</v>
      </c>
      <c r="AE271" s="4" t="b">
        <f t="shared" si="509"/>
        <v>0</v>
      </c>
      <c r="AF271" s="4" t="b">
        <f t="shared" si="510"/>
        <v>0</v>
      </c>
      <c r="AG271" t="b">
        <f t="shared" si="511"/>
        <v>0</v>
      </c>
      <c r="AH271" t="b">
        <f t="shared" si="512"/>
        <v>0</v>
      </c>
      <c r="AI271" t="b">
        <f t="shared" si="513"/>
        <v>0</v>
      </c>
      <c r="AJ271" t="b">
        <f t="shared" si="514"/>
        <v>0</v>
      </c>
      <c r="AK271" t="b">
        <f t="shared" si="515"/>
        <v>0</v>
      </c>
      <c r="AL271" t="b">
        <f t="shared" si="516"/>
        <v>0</v>
      </c>
      <c r="AM271" t="b">
        <f t="shared" si="517"/>
        <v>0</v>
      </c>
      <c r="AN271" t="b">
        <f t="shared" si="518"/>
        <v>0</v>
      </c>
      <c r="AO271" t="b">
        <f t="shared" si="519"/>
        <v>0</v>
      </c>
      <c r="AP271" t="b">
        <f t="shared" si="520"/>
        <v>0</v>
      </c>
      <c r="AQ271" t="b">
        <f t="shared" si="521"/>
        <v>0</v>
      </c>
      <c r="AR271" t="b">
        <f t="shared" si="522"/>
        <v>0</v>
      </c>
      <c r="AS271" t="b">
        <f t="shared" si="523"/>
        <v>0</v>
      </c>
      <c r="AT271" t="b">
        <f t="shared" si="524"/>
        <v>0</v>
      </c>
      <c r="AU271" t="b">
        <f t="shared" si="525"/>
        <v>0</v>
      </c>
      <c r="AV271" t="b">
        <f t="shared" si="526"/>
        <v>0</v>
      </c>
      <c r="AW271" t="b">
        <f t="shared" si="527"/>
        <v>0</v>
      </c>
      <c r="AX271" t="b">
        <f t="shared" si="529"/>
        <v>0</v>
      </c>
      <c r="AY271" t="b">
        <f t="shared" si="530"/>
        <v>0</v>
      </c>
      <c r="AZ271" t="b">
        <f t="shared" si="531"/>
        <v>0</v>
      </c>
      <c r="BA271" t="b">
        <f t="shared" si="532"/>
        <v>0</v>
      </c>
      <c r="BB271" t="b">
        <f t="shared" si="533"/>
        <v>0</v>
      </c>
      <c r="BC271" t="b">
        <f t="shared" si="534"/>
        <v>0</v>
      </c>
      <c r="BD271" t="b">
        <f t="shared" si="535"/>
        <v>0</v>
      </c>
      <c r="BE271" t="b">
        <f t="shared" si="536"/>
        <v>0</v>
      </c>
      <c r="BF271" t="b">
        <f t="shared" si="537"/>
        <v>0</v>
      </c>
      <c r="BG271" t="b">
        <f t="shared" si="538"/>
        <v>0</v>
      </c>
      <c r="BH271" t="b">
        <f t="shared" si="539"/>
        <v>0</v>
      </c>
      <c r="BI271">
        <f t="shared" si="540"/>
        <v>1</v>
      </c>
      <c r="BJ271" t="b">
        <f t="shared" si="541"/>
        <v>0</v>
      </c>
      <c r="BK271" t="b">
        <f t="shared" si="542"/>
        <v>0</v>
      </c>
      <c r="BL271" t="b">
        <f t="shared" si="543"/>
        <v>0</v>
      </c>
      <c r="BM271" t="b">
        <f t="shared" si="544"/>
        <v>0</v>
      </c>
      <c r="BN271" t="b">
        <f t="shared" si="545"/>
        <v>0</v>
      </c>
      <c r="BO271" t="b">
        <f t="shared" si="546"/>
        <v>0</v>
      </c>
      <c r="BP271" t="b">
        <f t="shared" si="547"/>
        <v>0</v>
      </c>
      <c r="BQ271" t="b">
        <f t="shared" si="548"/>
        <v>0</v>
      </c>
      <c r="BR271" t="b">
        <f t="shared" si="549"/>
        <v>0</v>
      </c>
      <c r="BS271" t="b">
        <f t="shared" si="550"/>
        <v>0</v>
      </c>
      <c r="BT271" t="b">
        <f t="shared" si="551"/>
        <v>0</v>
      </c>
      <c r="BU271" t="b">
        <f t="shared" si="552"/>
        <v>0</v>
      </c>
      <c r="BV271" t="b">
        <f t="shared" si="553"/>
        <v>0</v>
      </c>
      <c r="BW271" t="b">
        <f t="shared" si="554"/>
        <v>0</v>
      </c>
      <c r="BX271" t="b">
        <f t="shared" si="555"/>
        <v>0</v>
      </c>
      <c r="BY271" t="b">
        <f t="shared" si="556"/>
        <v>0</v>
      </c>
      <c r="BZ271" t="b">
        <f t="shared" si="557"/>
        <v>0</v>
      </c>
      <c r="CA271" t="b">
        <f t="shared" si="558"/>
        <v>0</v>
      </c>
      <c r="CB271" t="b">
        <f t="shared" si="559"/>
        <v>0</v>
      </c>
      <c r="CC271" t="b">
        <f t="shared" si="560"/>
        <v>0</v>
      </c>
      <c r="CD271" t="b">
        <f t="shared" si="561"/>
        <v>0</v>
      </c>
      <c r="CE271" t="b">
        <f t="shared" si="562"/>
        <v>0</v>
      </c>
      <c r="CF271" t="b">
        <f t="shared" si="563"/>
        <v>0</v>
      </c>
      <c r="CG271" t="b">
        <f t="shared" si="564"/>
        <v>0</v>
      </c>
      <c r="CH271" t="b">
        <f t="shared" si="565"/>
        <v>0</v>
      </c>
      <c r="CI271" t="b">
        <f t="shared" si="566"/>
        <v>0</v>
      </c>
      <c r="CJ271" t="b">
        <f t="shared" si="567"/>
        <v>0</v>
      </c>
      <c r="CK271" t="b">
        <f t="shared" si="568"/>
        <v>0</v>
      </c>
      <c r="CL271" t="b">
        <f t="shared" si="569"/>
        <v>0</v>
      </c>
      <c r="CM271">
        <f t="shared" si="570"/>
        <v>1</v>
      </c>
      <c r="CN271" t="b">
        <f t="shared" si="571"/>
        <v>0</v>
      </c>
      <c r="CO271" t="b">
        <f t="shared" si="572"/>
        <v>0</v>
      </c>
      <c r="CP271" t="b">
        <f t="shared" si="573"/>
        <v>0</v>
      </c>
      <c r="CQ271" t="b">
        <f t="shared" si="574"/>
        <v>0</v>
      </c>
      <c r="CR271" t="b">
        <f t="shared" si="575"/>
        <v>0</v>
      </c>
      <c r="CS271" t="b">
        <f t="shared" si="576"/>
        <v>0</v>
      </c>
      <c r="CT271" t="b">
        <f t="shared" si="577"/>
        <v>0</v>
      </c>
      <c r="CU271" t="b">
        <f t="shared" si="578"/>
        <v>0</v>
      </c>
      <c r="CV271">
        <f t="shared" si="579"/>
        <v>1</v>
      </c>
      <c r="CW271" t="b">
        <f t="shared" si="580"/>
        <v>0</v>
      </c>
      <c r="CX271" t="b">
        <f t="shared" si="581"/>
        <v>0</v>
      </c>
      <c r="CY271" t="b">
        <f t="shared" si="582"/>
        <v>0</v>
      </c>
      <c r="CZ271" t="b">
        <f t="shared" si="583"/>
        <v>0</v>
      </c>
      <c r="DA271" t="b">
        <f t="shared" si="584"/>
        <v>0</v>
      </c>
      <c r="DB271" t="b">
        <f t="shared" si="585"/>
        <v>0</v>
      </c>
      <c r="DC271" t="b">
        <f t="shared" si="586"/>
        <v>0</v>
      </c>
      <c r="DD271" t="b">
        <f t="shared" si="587"/>
        <v>0</v>
      </c>
      <c r="DE271" t="b">
        <f t="shared" si="588"/>
        <v>0</v>
      </c>
      <c r="DF271" t="b">
        <f t="shared" si="589"/>
        <v>0</v>
      </c>
      <c r="DG271" t="b">
        <f t="shared" si="590"/>
        <v>0</v>
      </c>
      <c r="DH271" t="b">
        <f t="shared" si="591"/>
        <v>0</v>
      </c>
      <c r="DI271" t="b">
        <f t="shared" si="592"/>
        <v>0</v>
      </c>
      <c r="DJ271" t="b">
        <f t="shared" si="593"/>
        <v>0</v>
      </c>
      <c r="DK271" t="b">
        <f t="shared" si="594"/>
        <v>0</v>
      </c>
      <c r="DL271" t="b">
        <f t="shared" si="595"/>
        <v>0</v>
      </c>
      <c r="DM271" t="b">
        <f t="shared" si="596"/>
        <v>0</v>
      </c>
      <c r="DN271" t="b">
        <f t="shared" si="597"/>
        <v>0</v>
      </c>
      <c r="DO271" t="b">
        <f t="shared" si="598"/>
        <v>0</v>
      </c>
      <c r="DP271" t="b">
        <f t="shared" si="599"/>
        <v>0</v>
      </c>
      <c r="DQ271" t="b">
        <f t="shared" si="600"/>
        <v>0</v>
      </c>
      <c r="DR271" t="b">
        <f t="shared" si="601"/>
        <v>0</v>
      </c>
      <c r="DS271" t="b">
        <f t="shared" si="602"/>
        <v>0</v>
      </c>
      <c r="DT271" t="b">
        <f t="shared" si="603"/>
        <v>0</v>
      </c>
      <c r="DU271" t="b">
        <f t="shared" si="604"/>
        <v>0</v>
      </c>
      <c r="DV271" t="b">
        <f t="shared" si="605"/>
        <v>0</v>
      </c>
      <c r="DW271" t="b">
        <f t="shared" si="606"/>
        <v>0</v>
      </c>
      <c r="DX271" t="b">
        <f t="shared" si="607"/>
        <v>0</v>
      </c>
      <c r="DY271" t="b">
        <f t="shared" si="608"/>
        <v>0</v>
      </c>
      <c r="DZ271" t="b">
        <f t="shared" si="609"/>
        <v>0</v>
      </c>
      <c r="EA271" t="b">
        <f t="shared" si="610"/>
        <v>0</v>
      </c>
      <c r="EB271" t="b">
        <f t="shared" si="611"/>
        <v>0</v>
      </c>
      <c r="EC271" t="b">
        <f t="shared" si="612"/>
        <v>0</v>
      </c>
      <c r="ED271" t="b">
        <f t="shared" si="613"/>
        <v>0</v>
      </c>
      <c r="EE271" t="b">
        <f t="shared" si="614"/>
        <v>0</v>
      </c>
      <c r="EF271">
        <f t="shared" si="615"/>
        <v>1</v>
      </c>
      <c r="EG271" t="b">
        <f t="shared" si="616"/>
        <v>0</v>
      </c>
      <c r="EH271" t="b">
        <f t="shared" si="617"/>
        <v>0</v>
      </c>
      <c r="EI271">
        <f t="shared" si="618"/>
        <v>1</v>
      </c>
      <c r="EJ271" t="b">
        <f t="shared" si="619"/>
        <v>0</v>
      </c>
      <c r="EK271" t="b">
        <f t="shared" si="620"/>
        <v>0</v>
      </c>
    </row>
    <row r="272" spans="1:141">
      <c r="A272" t="s">
        <v>1449</v>
      </c>
      <c r="B272" t="s">
        <v>1450</v>
      </c>
      <c r="C272" t="s">
        <v>1451</v>
      </c>
      <c r="D272" s="1">
        <v>43871</v>
      </c>
      <c r="E272" s="2">
        <v>44148.153749999998</v>
      </c>
      <c r="F272" s="2">
        <v>44148.153749999998</v>
      </c>
      <c r="G272">
        <v>8815692</v>
      </c>
      <c r="H272" t="s">
        <v>1452</v>
      </c>
      <c r="I272" s="10" t="s">
        <v>1453</v>
      </c>
      <c r="J272" t="s">
        <v>1454</v>
      </c>
      <c r="K272" s="8" t="b">
        <v>1</v>
      </c>
      <c r="L272" s="10" t="b">
        <v>0</v>
      </c>
      <c r="M272" s="12" t="b">
        <v>0</v>
      </c>
      <c r="N272" t="b">
        <v>0</v>
      </c>
      <c r="O272" t="b">
        <v>0</v>
      </c>
      <c r="P272" t="b">
        <v>0</v>
      </c>
      <c r="Q272">
        <f t="shared" si="497"/>
        <v>2</v>
      </c>
      <c r="R272">
        <f t="shared" si="498"/>
        <v>2</v>
      </c>
      <c r="S272" t="e">
        <f t="shared" ca="1" si="528"/>
        <v>#NAME?</v>
      </c>
      <c r="T272" t="e">
        <f t="shared" ca="1" si="499"/>
        <v>#NAME?</v>
      </c>
      <c r="U272" s="4">
        <f t="shared" si="500"/>
        <v>277.15374999999767</v>
      </c>
      <c r="V272" s="4">
        <f t="shared" si="501"/>
        <v>9.2384583333332557</v>
      </c>
      <c r="W272" s="4">
        <f t="shared" si="502"/>
        <v>1</v>
      </c>
      <c r="X272" s="4">
        <f t="shared" si="503"/>
        <v>0</v>
      </c>
      <c r="Y272" s="4">
        <f t="shared" si="504"/>
        <v>0</v>
      </c>
      <c r="Z272" s="4">
        <f t="shared" si="505"/>
        <v>0</v>
      </c>
      <c r="AA272" s="4">
        <f t="shared" si="506"/>
        <v>0</v>
      </c>
      <c r="AB272" s="4">
        <f t="shared" si="507"/>
        <v>0</v>
      </c>
      <c r="AC272" s="4"/>
      <c r="AD272" s="4" t="b">
        <f t="shared" si="508"/>
        <v>0</v>
      </c>
      <c r="AE272" s="4" t="b">
        <f t="shared" si="509"/>
        <v>0</v>
      </c>
      <c r="AF272" s="4" t="b">
        <f t="shared" si="510"/>
        <v>0</v>
      </c>
      <c r="AG272" t="b">
        <f t="shared" si="511"/>
        <v>0</v>
      </c>
      <c r="AH272" t="b">
        <f t="shared" si="512"/>
        <v>0</v>
      </c>
      <c r="AI272" t="b">
        <f t="shared" si="513"/>
        <v>0</v>
      </c>
      <c r="AJ272" t="b">
        <f t="shared" si="514"/>
        <v>0</v>
      </c>
      <c r="AK272" t="b">
        <f t="shared" si="515"/>
        <v>0</v>
      </c>
      <c r="AL272" t="b">
        <f t="shared" si="516"/>
        <v>0</v>
      </c>
      <c r="AM272" t="b">
        <f t="shared" si="517"/>
        <v>0</v>
      </c>
      <c r="AN272" t="b">
        <f t="shared" si="518"/>
        <v>0</v>
      </c>
      <c r="AO272" t="b">
        <f t="shared" si="519"/>
        <v>0</v>
      </c>
      <c r="AP272" t="b">
        <f t="shared" si="520"/>
        <v>0</v>
      </c>
      <c r="AQ272" t="b">
        <f t="shared" si="521"/>
        <v>0</v>
      </c>
      <c r="AR272" t="b">
        <f t="shared" si="522"/>
        <v>0</v>
      </c>
      <c r="AS272" t="b">
        <f t="shared" si="523"/>
        <v>0</v>
      </c>
      <c r="AT272" t="b">
        <f t="shared" si="524"/>
        <v>0</v>
      </c>
      <c r="AU272" t="b">
        <f t="shared" si="525"/>
        <v>0</v>
      </c>
      <c r="AV272" t="b">
        <f t="shared" si="526"/>
        <v>0</v>
      </c>
      <c r="AW272" t="b">
        <f t="shared" si="527"/>
        <v>0</v>
      </c>
      <c r="AX272" t="b">
        <f t="shared" si="529"/>
        <v>0</v>
      </c>
      <c r="AY272" t="b">
        <f t="shared" si="530"/>
        <v>0</v>
      </c>
      <c r="AZ272" t="b">
        <f t="shared" si="531"/>
        <v>0</v>
      </c>
      <c r="BA272" t="b">
        <f t="shared" si="532"/>
        <v>0</v>
      </c>
      <c r="BB272" t="b">
        <f t="shared" si="533"/>
        <v>0</v>
      </c>
      <c r="BC272" t="b">
        <f t="shared" si="534"/>
        <v>0</v>
      </c>
      <c r="BD272" t="b">
        <f t="shared" si="535"/>
        <v>0</v>
      </c>
      <c r="BE272" t="b">
        <f t="shared" si="536"/>
        <v>0</v>
      </c>
      <c r="BF272" t="b">
        <f t="shared" si="537"/>
        <v>0</v>
      </c>
      <c r="BG272" t="b">
        <f t="shared" si="538"/>
        <v>0</v>
      </c>
      <c r="BH272" t="b">
        <f t="shared" si="539"/>
        <v>0</v>
      </c>
      <c r="BI272">
        <f t="shared" si="540"/>
        <v>1</v>
      </c>
      <c r="BJ272" t="b">
        <f t="shared" si="541"/>
        <v>0</v>
      </c>
      <c r="BK272" t="b">
        <f t="shared" si="542"/>
        <v>0</v>
      </c>
      <c r="BL272" t="b">
        <f t="shared" si="543"/>
        <v>0</v>
      </c>
      <c r="BM272" t="b">
        <f t="shared" si="544"/>
        <v>0</v>
      </c>
      <c r="BN272" t="b">
        <f t="shared" si="545"/>
        <v>0</v>
      </c>
      <c r="BO272" t="b">
        <f t="shared" si="546"/>
        <v>0</v>
      </c>
      <c r="BP272" t="b">
        <f t="shared" si="547"/>
        <v>0</v>
      </c>
      <c r="BQ272" t="b">
        <f t="shared" si="548"/>
        <v>0</v>
      </c>
      <c r="BR272" t="b">
        <f t="shared" si="549"/>
        <v>0</v>
      </c>
      <c r="BS272">
        <f t="shared" si="550"/>
        <v>1</v>
      </c>
      <c r="BT272" t="b">
        <f t="shared" si="551"/>
        <v>0</v>
      </c>
      <c r="BU272" t="b">
        <f t="shared" si="552"/>
        <v>0</v>
      </c>
      <c r="BV272" t="b">
        <f t="shared" si="553"/>
        <v>0</v>
      </c>
      <c r="BW272" t="b">
        <f t="shared" si="554"/>
        <v>0</v>
      </c>
      <c r="BX272" t="b">
        <f t="shared" si="555"/>
        <v>0</v>
      </c>
      <c r="BY272" t="b">
        <f t="shared" si="556"/>
        <v>0</v>
      </c>
      <c r="BZ272" t="b">
        <f t="shared" si="557"/>
        <v>0</v>
      </c>
      <c r="CA272" t="b">
        <f t="shared" si="558"/>
        <v>0</v>
      </c>
      <c r="CB272" t="b">
        <f t="shared" si="559"/>
        <v>0</v>
      </c>
      <c r="CC272" t="b">
        <f t="shared" si="560"/>
        <v>0</v>
      </c>
      <c r="CD272" t="b">
        <f t="shared" si="561"/>
        <v>0</v>
      </c>
      <c r="CE272">
        <f t="shared" si="562"/>
        <v>1</v>
      </c>
      <c r="CF272" t="b">
        <f t="shared" si="563"/>
        <v>0</v>
      </c>
      <c r="CG272" t="b">
        <f t="shared" si="564"/>
        <v>0</v>
      </c>
      <c r="CH272" t="b">
        <f t="shared" si="565"/>
        <v>0</v>
      </c>
      <c r="CI272" t="b">
        <f t="shared" si="566"/>
        <v>0</v>
      </c>
      <c r="CJ272" t="b">
        <f t="shared" si="567"/>
        <v>0</v>
      </c>
      <c r="CK272" t="b">
        <f t="shared" si="568"/>
        <v>0</v>
      </c>
      <c r="CL272" t="b">
        <f t="shared" si="569"/>
        <v>0</v>
      </c>
      <c r="CM272">
        <f t="shared" si="570"/>
        <v>1</v>
      </c>
      <c r="CN272" t="b">
        <f t="shared" si="571"/>
        <v>0</v>
      </c>
      <c r="CO272" t="b">
        <f t="shared" si="572"/>
        <v>0</v>
      </c>
      <c r="CP272" t="b">
        <f t="shared" si="573"/>
        <v>0</v>
      </c>
      <c r="CQ272" t="b">
        <f t="shared" si="574"/>
        <v>0</v>
      </c>
      <c r="CR272" t="b">
        <f t="shared" si="575"/>
        <v>0</v>
      </c>
      <c r="CS272" t="b">
        <f t="shared" si="576"/>
        <v>0</v>
      </c>
      <c r="CT272" t="b">
        <f t="shared" si="577"/>
        <v>0</v>
      </c>
      <c r="CU272" t="b">
        <f t="shared" si="578"/>
        <v>0</v>
      </c>
      <c r="CV272">
        <f t="shared" si="579"/>
        <v>1</v>
      </c>
      <c r="CW272" t="b">
        <f t="shared" si="580"/>
        <v>0</v>
      </c>
      <c r="CX272" t="b">
        <f t="shared" si="581"/>
        <v>0</v>
      </c>
      <c r="CY272" t="b">
        <f t="shared" si="582"/>
        <v>0</v>
      </c>
      <c r="CZ272" t="b">
        <f t="shared" si="583"/>
        <v>0</v>
      </c>
      <c r="DA272">
        <f t="shared" si="584"/>
        <v>1</v>
      </c>
      <c r="DB272" t="b">
        <f t="shared" si="585"/>
        <v>0</v>
      </c>
      <c r="DC272" t="b">
        <f t="shared" si="586"/>
        <v>0</v>
      </c>
      <c r="DD272" t="b">
        <f t="shared" si="587"/>
        <v>0</v>
      </c>
      <c r="DE272" t="b">
        <f t="shared" si="588"/>
        <v>0</v>
      </c>
      <c r="DF272" t="b">
        <f t="shared" si="589"/>
        <v>0</v>
      </c>
      <c r="DG272" t="b">
        <f t="shared" si="590"/>
        <v>0</v>
      </c>
      <c r="DH272" t="b">
        <f t="shared" si="591"/>
        <v>0</v>
      </c>
      <c r="DI272" t="b">
        <f t="shared" si="592"/>
        <v>0</v>
      </c>
      <c r="DJ272" t="b">
        <f t="shared" si="593"/>
        <v>0</v>
      </c>
      <c r="DK272" t="b">
        <f t="shared" si="594"/>
        <v>0</v>
      </c>
      <c r="DL272" t="b">
        <f t="shared" si="595"/>
        <v>0</v>
      </c>
      <c r="DM272" t="b">
        <f t="shared" si="596"/>
        <v>0</v>
      </c>
      <c r="DN272" t="b">
        <f t="shared" si="597"/>
        <v>0</v>
      </c>
      <c r="DO272" t="b">
        <f t="shared" si="598"/>
        <v>0</v>
      </c>
      <c r="DP272" t="b">
        <f t="shared" si="599"/>
        <v>0</v>
      </c>
      <c r="DQ272" t="b">
        <f t="shared" si="600"/>
        <v>0</v>
      </c>
      <c r="DR272" t="b">
        <f t="shared" si="601"/>
        <v>0</v>
      </c>
      <c r="DS272" t="b">
        <f t="shared" si="602"/>
        <v>0</v>
      </c>
      <c r="DT272" t="b">
        <f t="shared" si="603"/>
        <v>0</v>
      </c>
      <c r="DU272" t="b">
        <f t="shared" si="604"/>
        <v>0</v>
      </c>
      <c r="DV272" t="b">
        <f t="shared" si="605"/>
        <v>0</v>
      </c>
      <c r="DW272" t="b">
        <f t="shared" si="606"/>
        <v>0</v>
      </c>
      <c r="DX272" t="b">
        <f t="shared" si="607"/>
        <v>0</v>
      </c>
      <c r="DY272" t="b">
        <f t="shared" si="608"/>
        <v>0</v>
      </c>
      <c r="DZ272" t="b">
        <f t="shared" si="609"/>
        <v>0</v>
      </c>
      <c r="EA272" t="b">
        <f t="shared" si="610"/>
        <v>0</v>
      </c>
      <c r="EB272" t="b">
        <f t="shared" si="611"/>
        <v>0</v>
      </c>
      <c r="EC272" t="b">
        <f t="shared" si="612"/>
        <v>0</v>
      </c>
      <c r="ED272" t="b">
        <f t="shared" si="613"/>
        <v>0</v>
      </c>
      <c r="EE272" t="b">
        <f t="shared" si="614"/>
        <v>0</v>
      </c>
      <c r="EF272" t="b">
        <f t="shared" si="615"/>
        <v>0</v>
      </c>
      <c r="EG272" t="b">
        <f t="shared" si="616"/>
        <v>0</v>
      </c>
      <c r="EH272" t="b">
        <f t="shared" si="617"/>
        <v>0</v>
      </c>
      <c r="EI272" t="b">
        <f t="shared" si="618"/>
        <v>0</v>
      </c>
      <c r="EJ272" t="b">
        <f t="shared" si="619"/>
        <v>0</v>
      </c>
      <c r="EK272" t="b">
        <f t="shared" si="620"/>
        <v>0</v>
      </c>
    </row>
    <row r="273" spans="1:141">
      <c r="A273" t="s">
        <v>1455</v>
      </c>
      <c r="B273" t="s">
        <v>1455</v>
      </c>
      <c r="C273" t="s">
        <v>1456</v>
      </c>
      <c r="D273" s="1">
        <v>42064</v>
      </c>
      <c r="E273" s="2">
        <v>42771.858576388891</v>
      </c>
      <c r="F273" s="2">
        <v>42771.858576388891</v>
      </c>
      <c r="G273">
        <v>999991</v>
      </c>
      <c r="H273" t="s">
        <v>1457</v>
      </c>
      <c r="I273" s="10" t="s">
        <v>1458</v>
      </c>
      <c r="J273" t="s">
        <v>199</v>
      </c>
      <c r="K273" s="8" t="b">
        <v>1</v>
      </c>
      <c r="L273" s="10" t="b">
        <v>0</v>
      </c>
      <c r="M273" s="12" t="b">
        <v>1</v>
      </c>
      <c r="N273" t="b">
        <v>0</v>
      </c>
      <c r="O273" t="b">
        <v>0</v>
      </c>
      <c r="P273" t="b">
        <v>0</v>
      </c>
      <c r="Q273">
        <f t="shared" si="497"/>
        <v>1</v>
      </c>
      <c r="R273">
        <f t="shared" si="498"/>
        <v>3</v>
      </c>
      <c r="S273" t="e">
        <f t="shared" ca="1" si="528"/>
        <v>#NAME?</v>
      </c>
      <c r="T273" t="e">
        <f t="shared" ca="1" si="499"/>
        <v>#NAME?</v>
      </c>
      <c r="U273" s="4">
        <f t="shared" si="500"/>
        <v>707.85857638889138</v>
      </c>
      <c r="V273" s="4">
        <f t="shared" si="501"/>
        <v>23.595285879629714</v>
      </c>
      <c r="W273" s="4">
        <f t="shared" si="502"/>
        <v>1</v>
      </c>
      <c r="X273" s="4">
        <f t="shared" si="503"/>
        <v>0</v>
      </c>
      <c r="Y273" s="4">
        <f t="shared" si="504"/>
        <v>1</v>
      </c>
      <c r="Z273" s="4">
        <f t="shared" si="505"/>
        <v>0</v>
      </c>
      <c r="AA273" s="4">
        <f t="shared" si="506"/>
        <v>0</v>
      </c>
      <c r="AB273" s="4">
        <f t="shared" si="507"/>
        <v>0</v>
      </c>
      <c r="AC273" s="4"/>
      <c r="AD273" s="4" t="b">
        <f t="shared" si="508"/>
        <v>0</v>
      </c>
      <c r="AE273" s="4" t="b">
        <f t="shared" si="509"/>
        <v>0</v>
      </c>
      <c r="AF273" s="4" t="b">
        <f t="shared" si="510"/>
        <v>0</v>
      </c>
      <c r="AG273" t="b">
        <f t="shared" si="511"/>
        <v>0</v>
      </c>
      <c r="AH273" t="b">
        <f t="shared" si="512"/>
        <v>0</v>
      </c>
      <c r="AI273" t="b">
        <f t="shared" si="513"/>
        <v>0</v>
      </c>
      <c r="AJ273" t="b">
        <f t="shared" si="514"/>
        <v>0</v>
      </c>
      <c r="AK273" t="b">
        <f t="shared" si="515"/>
        <v>0</v>
      </c>
      <c r="AL273" t="b">
        <f t="shared" si="516"/>
        <v>0</v>
      </c>
      <c r="AM273" t="b">
        <f t="shared" si="517"/>
        <v>0</v>
      </c>
      <c r="AN273" t="b">
        <f t="shared" si="518"/>
        <v>0</v>
      </c>
      <c r="AO273" t="b">
        <f t="shared" si="519"/>
        <v>0</v>
      </c>
      <c r="AP273" t="b">
        <f t="shared" si="520"/>
        <v>0</v>
      </c>
      <c r="AQ273" t="b">
        <f t="shared" si="521"/>
        <v>0</v>
      </c>
      <c r="AR273" t="b">
        <f t="shared" si="522"/>
        <v>0</v>
      </c>
      <c r="AS273" t="b">
        <f t="shared" si="523"/>
        <v>0</v>
      </c>
      <c r="AT273" t="b">
        <f t="shared" si="524"/>
        <v>0</v>
      </c>
      <c r="AU273" t="b">
        <f t="shared" si="525"/>
        <v>0</v>
      </c>
      <c r="AV273" t="b">
        <f t="shared" si="526"/>
        <v>0</v>
      </c>
      <c r="AW273" t="b">
        <f t="shared" si="527"/>
        <v>0</v>
      </c>
      <c r="AX273" t="b">
        <f t="shared" si="529"/>
        <v>0</v>
      </c>
      <c r="AY273" t="b">
        <f t="shared" si="530"/>
        <v>0</v>
      </c>
      <c r="AZ273">
        <f t="shared" si="531"/>
        <v>1</v>
      </c>
      <c r="BA273" t="b">
        <f t="shared" si="532"/>
        <v>0</v>
      </c>
      <c r="BB273" t="b">
        <f t="shared" si="533"/>
        <v>0</v>
      </c>
      <c r="BC273" t="b">
        <f t="shared" si="534"/>
        <v>0</v>
      </c>
      <c r="BD273" t="b">
        <f t="shared" si="535"/>
        <v>0</v>
      </c>
      <c r="BE273" t="b">
        <f t="shared" si="536"/>
        <v>0</v>
      </c>
      <c r="BF273" t="b">
        <f t="shared" si="537"/>
        <v>0</v>
      </c>
      <c r="BG273" t="b">
        <f t="shared" si="538"/>
        <v>0</v>
      </c>
      <c r="BH273" t="b">
        <f t="shared" si="539"/>
        <v>0</v>
      </c>
      <c r="BI273">
        <f t="shared" si="540"/>
        <v>1</v>
      </c>
      <c r="BJ273" t="b">
        <f t="shared" si="541"/>
        <v>0</v>
      </c>
      <c r="BK273" t="b">
        <f t="shared" si="542"/>
        <v>0</v>
      </c>
      <c r="BL273" t="b">
        <f t="shared" si="543"/>
        <v>0</v>
      </c>
      <c r="BM273" t="b">
        <f t="shared" si="544"/>
        <v>0</v>
      </c>
      <c r="BN273" t="b">
        <f t="shared" si="545"/>
        <v>0</v>
      </c>
      <c r="BO273" t="b">
        <f t="shared" si="546"/>
        <v>0</v>
      </c>
      <c r="BP273" t="b">
        <f t="shared" si="547"/>
        <v>0</v>
      </c>
      <c r="BQ273" t="b">
        <f t="shared" si="548"/>
        <v>0</v>
      </c>
      <c r="BR273" t="b">
        <f t="shared" si="549"/>
        <v>0</v>
      </c>
      <c r="BS273" t="b">
        <f t="shared" si="550"/>
        <v>0</v>
      </c>
      <c r="BT273" t="b">
        <f t="shared" si="551"/>
        <v>0</v>
      </c>
      <c r="BU273" t="b">
        <f t="shared" si="552"/>
        <v>0</v>
      </c>
      <c r="BV273" t="b">
        <f t="shared" si="553"/>
        <v>0</v>
      </c>
      <c r="BW273" t="b">
        <f t="shared" si="554"/>
        <v>0</v>
      </c>
      <c r="BX273" t="b">
        <f t="shared" si="555"/>
        <v>0</v>
      </c>
      <c r="BY273" t="b">
        <f t="shared" si="556"/>
        <v>0</v>
      </c>
      <c r="BZ273" t="b">
        <f t="shared" si="557"/>
        <v>0</v>
      </c>
      <c r="CA273" t="b">
        <f t="shared" si="558"/>
        <v>0</v>
      </c>
      <c r="CB273" t="b">
        <f t="shared" si="559"/>
        <v>0</v>
      </c>
      <c r="CC273" t="b">
        <f t="shared" si="560"/>
        <v>0</v>
      </c>
      <c r="CD273" t="b">
        <f t="shared" si="561"/>
        <v>0</v>
      </c>
      <c r="CE273">
        <f t="shared" si="562"/>
        <v>1</v>
      </c>
      <c r="CF273" t="b">
        <f t="shared" si="563"/>
        <v>0</v>
      </c>
      <c r="CG273" t="b">
        <f t="shared" si="564"/>
        <v>0</v>
      </c>
      <c r="CH273" t="b">
        <f t="shared" si="565"/>
        <v>0</v>
      </c>
      <c r="CI273" t="b">
        <f t="shared" si="566"/>
        <v>0</v>
      </c>
      <c r="CJ273" t="b">
        <f t="shared" si="567"/>
        <v>0</v>
      </c>
      <c r="CK273" t="b">
        <f t="shared" si="568"/>
        <v>0</v>
      </c>
      <c r="CL273" t="b">
        <f t="shared" si="569"/>
        <v>0</v>
      </c>
      <c r="CM273" t="b">
        <f t="shared" si="570"/>
        <v>0</v>
      </c>
      <c r="CN273" t="b">
        <f t="shared" si="571"/>
        <v>0</v>
      </c>
      <c r="CO273" t="b">
        <f t="shared" si="572"/>
        <v>0</v>
      </c>
      <c r="CP273" t="b">
        <f t="shared" si="573"/>
        <v>0</v>
      </c>
      <c r="CQ273" t="b">
        <f t="shared" si="574"/>
        <v>0</v>
      </c>
      <c r="CR273" t="b">
        <f t="shared" si="575"/>
        <v>0</v>
      </c>
      <c r="CS273" t="b">
        <f t="shared" si="576"/>
        <v>0</v>
      </c>
      <c r="CT273" t="b">
        <f t="shared" si="577"/>
        <v>0</v>
      </c>
      <c r="CU273" t="b">
        <f t="shared" si="578"/>
        <v>0</v>
      </c>
      <c r="CV273">
        <f t="shared" si="579"/>
        <v>1</v>
      </c>
      <c r="CW273" t="b">
        <f t="shared" si="580"/>
        <v>0</v>
      </c>
      <c r="CX273" t="b">
        <f t="shared" si="581"/>
        <v>0</v>
      </c>
      <c r="CY273" t="b">
        <f t="shared" si="582"/>
        <v>0</v>
      </c>
      <c r="CZ273" t="b">
        <f t="shared" si="583"/>
        <v>0</v>
      </c>
      <c r="DA273" t="b">
        <f t="shared" si="584"/>
        <v>0</v>
      </c>
      <c r="DB273" t="b">
        <f t="shared" si="585"/>
        <v>0</v>
      </c>
      <c r="DC273" t="b">
        <f t="shared" si="586"/>
        <v>0</v>
      </c>
      <c r="DD273" t="b">
        <f t="shared" si="587"/>
        <v>0</v>
      </c>
      <c r="DE273" t="b">
        <f t="shared" si="588"/>
        <v>0</v>
      </c>
      <c r="DF273" t="b">
        <f t="shared" si="589"/>
        <v>0</v>
      </c>
      <c r="DG273" t="b">
        <f t="shared" si="590"/>
        <v>0</v>
      </c>
      <c r="DH273" t="b">
        <f t="shared" si="591"/>
        <v>0</v>
      </c>
      <c r="DI273" t="b">
        <f t="shared" si="592"/>
        <v>0</v>
      </c>
      <c r="DJ273" t="b">
        <f t="shared" si="593"/>
        <v>0</v>
      </c>
      <c r="DK273" t="b">
        <f t="shared" si="594"/>
        <v>0</v>
      </c>
      <c r="DL273" t="b">
        <f t="shared" si="595"/>
        <v>0</v>
      </c>
      <c r="DM273" t="b">
        <f t="shared" si="596"/>
        <v>0</v>
      </c>
      <c r="DN273" t="b">
        <f t="shared" si="597"/>
        <v>0</v>
      </c>
      <c r="DO273" t="b">
        <f t="shared" si="598"/>
        <v>0</v>
      </c>
      <c r="DP273" t="b">
        <f t="shared" si="599"/>
        <v>0</v>
      </c>
      <c r="DQ273" t="b">
        <f t="shared" si="600"/>
        <v>0</v>
      </c>
      <c r="DR273" t="b">
        <f t="shared" si="601"/>
        <v>0</v>
      </c>
      <c r="DS273" t="b">
        <f t="shared" si="602"/>
        <v>0</v>
      </c>
      <c r="DT273" t="b">
        <f t="shared" si="603"/>
        <v>0</v>
      </c>
      <c r="DU273" t="b">
        <f t="shared" si="604"/>
        <v>0</v>
      </c>
      <c r="DV273" t="b">
        <f t="shared" si="605"/>
        <v>0</v>
      </c>
      <c r="DW273" t="b">
        <f t="shared" si="606"/>
        <v>0</v>
      </c>
      <c r="DX273" t="b">
        <f t="shared" si="607"/>
        <v>0</v>
      </c>
      <c r="DY273" t="b">
        <f t="shared" si="608"/>
        <v>0</v>
      </c>
      <c r="DZ273" t="b">
        <f t="shared" si="609"/>
        <v>0</v>
      </c>
      <c r="EA273" t="b">
        <f t="shared" si="610"/>
        <v>0</v>
      </c>
      <c r="EB273" t="b">
        <f t="shared" si="611"/>
        <v>0</v>
      </c>
      <c r="EC273" t="b">
        <f t="shared" si="612"/>
        <v>0</v>
      </c>
      <c r="ED273" t="b">
        <f t="shared" si="613"/>
        <v>0</v>
      </c>
      <c r="EE273" t="b">
        <f t="shared" si="614"/>
        <v>0</v>
      </c>
      <c r="EF273">
        <f t="shared" si="615"/>
        <v>1</v>
      </c>
      <c r="EG273" t="b">
        <f t="shared" si="616"/>
        <v>0</v>
      </c>
      <c r="EH273" t="b">
        <f t="shared" si="617"/>
        <v>0</v>
      </c>
      <c r="EI273" t="b">
        <f t="shared" si="618"/>
        <v>0</v>
      </c>
      <c r="EJ273" t="b">
        <f t="shared" si="619"/>
        <v>0</v>
      </c>
      <c r="EK273" t="b">
        <f t="shared" si="620"/>
        <v>0</v>
      </c>
    </row>
    <row r="274" spans="1:141">
      <c r="A274" t="s">
        <v>1459</v>
      </c>
      <c r="B274" t="s">
        <v>1460</v>
      </c>
      <c r="C274" t="s">
        <v>1461</v>
      </c>
      <c r="D274" s="1">
        <v>43748</v>
      </c>
      <c r="E274" s="2">
        <v>43761.411099537036</v>
      </c>
      <c r="F274" s="2">
        <v>43761.413981481484</v>
      </c>
      <c r="G274">
        <v>290955</v>
      </c>
      <c r="H274" t="s">
        <v>1462</v>
      </c>
      <c r="I274" s="10" t="s">
        <v>1463</v>
      </c>
      <c r="J274" t="s">
        <v>188</v>
      </c>
      <c r="K274" s="8" t="b">
        <v>1</v>
      </c>
      <c r="L274" s="10" t="b">
        <v>0</v>
      </c>
      <c r="M274" s="12" t="b">
        <v>1</v>
      </c>
      <c r="N274" t="b">
        <v>0</v>
      </c>
      <c r="O274" t="b">
        <v>0</v>
      </c>
      <c r="P274" t="b">
        <v>0</v>
      </c>
      <c r="Q274">
        <f t="shared" si="497"/>
        <v>5</v>
      </c>
      <c r="R274">
        <f t="shared" si="498"/>
        <v>10</v>
      </c>
      <c r="S274" t="e">
        <f t="shared" ca="1" si="528"/>
        <v>#NAME?</v>
      </c>
      <c r="T274" t="e">
        <f t="shared" ca="1" si="499"/>
        <v>#NAME?</v>
      </c>
      <c r="U274" s="4">
        <f t="shared" si="500"/>
        <v>13.411099537035625</v>
      </c>
      <c r="V274" s="4">
        <f t="shared" si="501"/>
        <v>0.44703665123452085</v>
      </c>
      <c r="W274" s="4">
        <f t="shared" si="502"/>
        <v>1</v>
      </c>
      <c r="X274" s="4">
        <f t="shared" si="503"/>
        <v>0</v>
      </c>
      <c r="Y274" s="4">
        <f t="shared" si="504"/>
        <v>1</v>
      </c>
      <c r="Z274" s="4">
        <f t="shared" si="505"/>
        <v>0</v>
      </c>
      <c r="AA274" s="4">
        <f t="shared" si="506"/>
        <v>0</v>
      </c>
      <c r="AB274" s="4">
        <f t="shared" si="507"/>
        <v>0</v>
      </c>
      <c r="AC274" s="4"/>
      <c r="AD274" s="4" t="b">
        <f t="shared" si="508"/>
        <v>0</v>
      </c>
      <c r="AE274" s="4" t="b">
        <f t="shared" si="509"/>
        <v>0</v>
      </c>
      <c r="AF274" s="4" t="b">
        <f t="shared" si="510"/>
        <v>0</v>
      </c>
      <c r="AG274" t="b">
        <f t="shared" si="511"/>
        <v>0</v>
      </c>
      <c r="AH274" t="b">
        <f t="shared" si="512"/>
        <v>0</v>
      </c>
      <c r="AI274" t="b">
        <f t="shared" si="513"/>
        <v>0</v>
      </c>
      <c r="AJ274" t="b">
        <f t="shared" si="514"/>
        <v>0</v>
      </c>
      <c r="AK274" t="b">
        <f t="shared" si="515"/>
        <v>0</v>
      </c>
      <c r="AL274" t="b">
        <f t="shared" si="516"/>
        <v>0</v>
      </c>
      <c r="AM274" t="b">
        <f t="shared" si="517"/>
        <v>0</v>
      </c>
      <c r="AN274" t="b">
        <f t="shared" si="518"/>
        <v>0</v>
      </c>
      <c r="AO274" t="b">
        <f t="shared" si="519"/>
        <v>0</v>
      </c>
      <c r="AP274" t="b">
        <f t="shared" si="520"/>
        <v>0</v>
      </c>
      <c r="AQ274" t="b">
        <f t="shared" si="521"/>
        <v>0</v>
      </c>
      <c r="AR274" t="b">
        <f t="shared" si="522"/>
        <v>0</v>
      </c>
      <c r="AS274" t="b">
        <f t="shared" si="523"/>
        <v>0</v>
      </c>
      <c r="AT274" t="b">
        <f t="shared" si="524"/>
        <v>0</v>
      </c>
      <c r="AU274" t="b">
        <f t="shared" si="525"/>
        <v>0</v>
      </c>
      <c r="AV274" t="b">
        <f t="shared" si="526"/>
        <v>0</v>
      </c>
      <c r="AW274" t="b">
        <f t="shared" si="527"/>
        <v>0</v>
      </c>
      <c r="AX274" t="b">
        <f t="shared" si="529"/>
        <v>0</v>
      </c>
      <c r="AY274" t="b">
        <f t="shared" si="530"/>
        <v>0</v>
      </c>
      <c r="AZ274" t="b">
        <f t="shared" si="531"/>
        <v>0</v>
      </c>
      <c r="BA274" t="b">
        <f t="shared" si="532"/>
        <v>0</v>
      </c>
      <c r="BB274" t="b">
        <f t="shared" si="533"/>
        <v>0</v>
      </c>
      <c r="BC274" t="b">
        <f t="shared" si="534"/>
        <v>0</v>
      </c>
      <c r="BD274" t="b">
        <f t="shared" si="535"/>
        <v>0</v>
      </c>
      <c r="BE274" t="b">
        <f t="shared" si="536"/>
        <v>0</v>
      </c>
      <c r="BF274" t="b">
        <f t="shared" si="537"/>
        <v>0</v>
      </c>
      <c r="BG274" t="b">
        <f t="shared" si="538"/>
        <v>0</v>
      </c>
      <c r="BH274" t="b">
        <f t="shared" si="539"/>
        <v>0</v>
      </c>
      <c r="BI274">
        <f t="shared" si="540"/>
        <v>1</v>
      </c>
      <c r="BJ274" t="b">
        <f t="shared" si="541"/>
        <v>0</v>
      </c>
      <c r="BK274" t="b">
        <f t="shared" si="542"/>
        <v>0</v>
      </c>
      <c r="BL274" t="b">
        <f t="shared" si="543"/>
        <v>0</v>
      </c>
      <c r="BM274" t="b">
        <f t="shared" si="544"/>
        <v>0</v>
      </c>
      <c r="BN274" t="b">
        <f t="shared" si="545"/>
        <v>0</v>
      </c>
      <c r="BO274" t="b">
        <f t="shared" si="546"/>
        <v>0</v>
      </c>
      <c r="BP274" t="b">
        <f t="shared" si="547"/>
        <v>0</v>
      </c>
      <c r="BQ274" t="b">
        <f t="shared" si="548"/>
        <v>0</v>
      </c>
      <c r="BR274" t="b">
        <f t="shared" si="549"/>
        <v>0</v>
      </c>
      <c r="BS274" t="b">
        <f t="shared" si="550"/>
        <v>0</v>
      </c>
      <c r="BT274" t="b">
        <f t="shared" si="551"/>
        <v>0</v>
      </c>
      <c r="BU274" t="b">
        <f t="shared" si="552"/>
        <v>0</v>
      </c>
      <c r="BV274" t="b">
        <f t="shared" si="553"/>
        <v>0</v>
      </c>
      <c r="BW274" t="b">
        <f t="shared" si="554"/>
        <v>0</v>
      </c>
      <c r="BX274" t="b">
        <f t="shared" si="555"/>
        <v>0</v>
      </c>
      <c r="BY274" t="b">
        <f t="shared" si="556"/>
        <v>0</v>
      </c>
      <c r="BZ274" t="b">
        <f t="shared" si="557"/>
        <v>0</v>
      </c>
      <c r="CA274" t="b">
        <f t="shared" si="558"/>
        <v>0</v>
      </c>
      <c r="CB274" t="b">
        <f t="shared" si="559"/>
        <v>0</v>
      </c>
      <c r="CC274" t="b">
        <f t="shared" si="560"/>
        <v>0</v>
      </c>
      <c r="CD274" t="b">
        <f t="shared" si="561"/>
        <v>0</v>
      </c>
      <c r="CE274">
        <f t="shared" si="562"/>
        <v>1</v>
      </c>
      <c r="CF274" t="b">
        <f t="shared" si="563"/>
        <v>0</v>
      </c>
      <c r="CG274" t="b">
        <f t="shared" si="564"/>
        <v>0</v>
      </c>
      <c r="CH274" t="b">
        <f t="shared" si="565"/>
        <v>0</v>
      </c>
      <c r="CI274" t="b">
        <f t="shared" si="566"/>
        <v>0</v>
      </c>
      <c r="CJ274" t="b">
        <f t="shared" si="567"/>
        <v>0</v>
      </c>
      <c r="CK274" t="b">
        <f t="shared" si="568"/>
        <v>0</v>
      </c>
      <c r="CL274" t="b">
        <f t="shared" si="569"/>
        <v>0</v>
      </c>
      <c r="CM274" t="b">
        <f t="shared" si="570"/>
        <v>0</v>
      </c>
      <c r="CN274" t="b">
        <f t="shared" si="571"/>
        <v>0</v>
      </c>
      <c r="CO274" t="b">
        <f t="shared" si="572"/>
        <v>0</v>
      </c>
      <c r="CP274" t="b">
        <f t="shared" si="573"/>
        <v>0</v>
      </c>
      <c r="CQ274" t="b">
        <f t="shared" si="574"/>
        <v>0</v>
      </c>
      <c r="CR274" t="b">
        <f t="shared" si="575"/>
        <v>0</v>
      </c>
      <c r="CS274" t="b">
        <f t="shared" si="576"/>
        <v>0</v>
      </c>
      <c r="CT274" t="b">
        <f t="shared" si="577"/>
        <v>0</v>
      </c>
      <c r="CU274" t="b">
        <f t="shared" si="578"/>
        <v>0</v>
      </c>
      <c r="CV274">
        <f t="shared" si="579"/>
        <v>1</v>
      </c>
      <c r="CW274" t="b">
        <f t="shared" si="580"/>
        <v>0</v>
      </c>
      <c r="CX274" t="b">
        <f t="shared" si="581"/>
        <v>0</v>
      </c>
      <c r="CY274" t="b">
        <f t="shared" si="582"/>
        <v>0</v>
      </c>
      <c r="CZ274" t="b">
        <f t="shared" si="583"/>
        <v>0</v>
      </c>
      <c r="DA274" t="b">
        <f t="shared" si="584"/>
        <v>0</v>
      </c>
      <c r="DB274" t="b">
        <f t="shared" si="585"/>
        <v>0</v>
      </c>
      <c r="DC274" t="b">
        <f t="shared" si="586"/>
        <v>0</v>
      </c>
      <c r="DD274" t="b">
        <f t="shared" si="587"/>
        <v>0</v>
      </c>
      <c r="DE274" t="b">
        <f t="shared" si="588"/>
        <v>0</v>
      </c>
      <c r="DF274" t="b">
        <f t="shared" si="589"/>
        <v>0</v>
      </c>
      <c r="DG274" t="b">
        <f t="shared" si="590"/>
        <v>0</v>
      </c>
      <c r="DH274" t="b">
        <f t="shared" si="591"/>
        <v>0</v>
      </c>
      <c r="DI274" t="b">
        <f t="shared" si="592"/>
        <v>0</v>
      </c>
      <c r="DJ274" t="b">
        <f t="shared" si="593"/>
        <v>0</v>
      </c>
      <c r="DK274" t="b">
        <f t="shared" si="594"/>
        <v>0</v>
      </c>
      <c r="DL274" t="b">
        <f t="shared" si="595"/>
        <v>0</v>
      </c>
      <c r="DM274" t="b">
        <f t="shared" si="596"/>
        <v>0</v>
      </c>
      <c r="DN274" t="b">
        <f t="shared" si="597"/>
        <v>0</v>
      </c>
      <c r="DO274" t="b">
        <f t="shared" si="598"/>
        <v>0</v>
      </c>
      <c r="DP274" t="b">
        <f t="shared" si="599"/>
        <v>0</v>
      </c>
      <c r="DQ274" t="b">
        <f t="shared" si="600"/>
        <v>0</v>
      </c>
      <c r="DR274" t="b">
        <f t="shared" si="601"/>
        <v>0</v>
      </c>
      <c r="DS274" t="b">
        <f t="shared" si="602"/>
        <v>0</v>
      </c>
      <c r="DT274" t="b">
        <f t="shared" si="603"/>
        <v>0</v>
      </c>
      <c r="DU274" t="b">
        <f t="shared" si="604"/>
        <v>0</v>
      </c>
      <c r="DV274" t="b">
        <f t="shared" si="605"/>
        <v>0</v>
      </c>
      <c r="DW274" t="b">
        <f t="shared" si="606"/>
        <v>0</v>
      </c>
      <c r="DX274" t="b">
        <f t="shared" si="607"/>
        <v>0</v>
      </c>
      <c r="DY274" t="b">
        <f t="shared" si="608"/>
        <v>0</v>
      </c>
      <c r="DZ274" t="b">
        <f t="shared" si="609"/>
        <v>0</v>
      </c>
      <c r="EA274" t="b">
        <f t="shared" si="610"/>
        <v>0</v>
      </c>
      <c r="EB274" t="b">
        <f t="shared" si="611"/>
        <v>0</v>
      </c>
      <c r="EC274" t="b">
        <f t="shared" si="612"/>
        <v>0</v>
      </c>
      <c r="ED274" t="b">
        <f t="shared" si="613"/>
        <v>0</v>
      </c>
      <c r="EE274" t="b">
        <f t="shared" si="614"/>
        <v>0</v>
      </c>
      <c r="EF274">
        <f t="shared" si="615"/>
        <v>1</v>
      </c>
      <c r="EG274" t="b">
        <f t="shared" si="616"/>
        <v>0</v>
      </c>
      <c r="EH274" t="b">
        <f t="shared" si="617"/>
        <v>0</v>
      </c>
      <c r="EI274" t="b">
        <f t="shared" si="618"/>
        <v>0</v>
      </c>
      <c r="EJ274" t="b">
        <f t="shared" si="619"/>
        <v>0</v>
      </c>
      <c r="EK274" t="b">
        <f t="shared" si="620"/>
        <v>0</v>
      </c>
    </row>
    <row r="275" spans="1:141">
      <c r="A275" t="s">
        <v>1464</v>
      </c>
      <c r="B275" t="s">
        <v>1464</v>
      </c>
      <c r="C275" t="s">
        <v>1465</v>
      </c>
      <c r="D275" s="1">
        <v>43099</v>
      </c>
      <c r="E275" s="2">
        <v>43103.533449074072</v>
      </c>
      <c r="F275" s="2">
        <v>43103.533449074072</v>
      </c>
      <c r="G275">
        <v>45701</v>
      </c>
      <c r="H275" t="s">
        <v>1466</v>
      </c>
      <c r="I275" s="10" t="s">
        <v>1467</v>
      </c>
      <c r="J275" t="s">
        <v>1468</v>
      </c>
      <c r="K275" s="8" t="b">
        <v>1</v>
      </c>
      <c r="L275" s="10" t="b">
        <v>0</v>
      </c>
      <c r="M275" s="12" t="b">
        <v>0</v>
      </c>
      <c r="N275" t="b">
        <v>0</v>
      </c>
      <c r="O275" t="b">
        <v>0</v>
      </c>
      <c r="P275" t="b">
        <v>0</v>
      </c>
      <c r="Q275">
        <f t="shared" si="497"/>
        <v>7</v>
      </c>
      <c r="R275">
        <f t="shared" si="498"/>
        <v>12</v>
      </c>
      <c r="S275" t="e">
        <f t="shared" ca="1" si="528"/>
        <v>#NAME?</v>
      </c>
      <c r="T275" t="e">
        <f t="shared" ca="1" si="499"/>
        <v>#NAME?</v>
      </c>
      <c r="U275" s="4">
        <f t="shared" si="500"/>
        <v>4.533449074071541</v>
      </c>
      <c r="V275" s="4">
        <f t="shared" si="501"/>
        <v>0.15111496913571804</v>
      </c>
      <c r="W275" s="4">
        <f t="shared" si="502"/>
        <v>1</v>
      </c>
      <c r="X275" s="4">
        <f t="shared" si="503"/>
        <v>0</v>
      </c>
      <c r="Y275" s="4">
        <f t="shared" si="504"/>
        <v>0</v>
      </c>
      <c r="Z275" s="4">
        <f t="shared" si="505"/>
        <v>0</v>
      </c>
      <c r="AA275" s="4">
        <f t="shared" si="506"/>
        <v>0</v>
      </c>
      <c r="AB275" s="4">
        <f t="shared" si="507"/>
        <v>0</v>
      </c>
      <c r="AC275" s="4"/>
      <c r="AD275" s="4" t="b">
        <f t="shared" si="508"/>
        <v>0</v>
      </c>
      <c r="AE275" s="4" t="b">
        <f t="shared" si="509"/>
        <v>0</v>
      </c>
      <c r="AF275" s="4" t="b">
        <f t="shared" si="510"/>
        <v>0</v>
      </c>
      <c r="AG275" t="b">
        <f t="shared" si="511"/>
        <v>0</v>
      </c>
      <c r="AH275" t="b">
        <f t="shared" si="512"/>
        <v>0</v>
      </c>
      <c r="AI275" t="b">
        <f t="shared" si="513"/>
        <v>0</v>
      </c>
      <c r="AJ275" t="b">
        <f t="shared" si="514"/>
        <v>0</v>
      </c>
      <c r="AK275" t="b">
        <f t="shared" si="515"/>
        <v>0</v>
      </c>
      <c r="AL275" t="b">
        <f t="shared" si="516"/>
        <v>0</v>
      </c>
      <c r="AM275" t="b">
        <f t="shared" si="517"/>
        <v>0</v>
      </c>
      <c r="AN275" t="b">
        <f t="shared" si="518"/>
        <v>0</v>
      </c>
      <c r="AO275" t="b">
        <f t="shared" si="519"/>
        <v>0</v>
      </c>
      <c r="AP275" t="b">
        <f t="shared" si="520"/>
        <v>0</v>
      </c>
      <c r="AQ275" t="b">
        <f t="shared" si="521"/>
        <v>0</v>
      </c>
      <c r="AR275" t="b">
        <f t="shared" si="522"/>
        <v>0</v>
      </c>
      <c r="AS275" t="b">
        <f t="shared" si="523"/>
        <v>0</v>
      </c>
      <c r="AT275" t="b">
        <f t="shared" si="524"/>
        <v>0</v>
      </c>
      <c r="AU275" t="b">
        <f t="shared" si="525"/>
        <v>0</v>
      </c>
      <c r="AV275" t="b">
        <f t="shared" si="526"/>
        <v>0</v>
      </c>
      <c r="AW275" t="b">
        <f t="shared" si="527"/>
        <v>0</v>
      </c>
      <c r="AX275" t="b">
        <f t="shared" si="529"/>
        <v>0</v>
      </c>
      <c r="AY275" t="b">
        <f t="shared" si="530"/>
        <v>0</v>
      </c>
      <c r="AZ275" t="b">
        <f t="shared" si="531"/>
        <v>0</v>
      </c>
      <c r="BA275" t="b">
        <f t="shared" si="532"/>
        <v>0</v>
      </c>
      <c r="BB275" t="b">
        <f t="shared" si="533"/>
        <v>0</v>
      </c>
      <c r="BC275" t="b">
        <f t="shared" si="534"/>
        <v>0</v>
      </c>
      <c r="BD275" t="b">
        <f t="shared" si="535"/>
        <v>0</v>
      </c>
      <c r="BE275" t="b">
        <f t="shared" si="536"/>
        <v>0</v>
      </c>
      <c r="BF275" t="b">
        <f t="shared" si="537"/>
        <v>0</v>
      </c>
      <c r="BG275" t="b">
        <f t="shared" si="538"/>
        <v>0</v>
      </c>
      <c r="BH275" t="b">
        <f t="shared" si="539"/>
        <v>0</v>
      </c>
      <c r="BI275">
        <f t="shared" si="540"/>
        <v>1</v>
      </c>
      <c r="BJ275" t="b">
        <f t="shared" si="541"/>
        <v>0</v>
      </c>
      <c r="BK275" t="b">
        <f t="shared" si="542"/>
        <v>0</v>
      </c>
      <c r="BL275" t="b">
        <f t="shared" si="543"/>
        <v>0</v>
      </c>
      <c r="BM275" t="b">
        <f t="shared" si="544"/>
        <v>0</v>
      </c>
      <c r="BN275" t="b">
        <f t="shared" si="545"/>
        <v>0</v>
      </c>
      <c r="BO275" t="b">
        <f t="shared" si="546"/>
        <v>0</v>
      </c>
      <c r="BP275" t="b">
        <f t="shared" si="547"/>
        <v>0</v>
      </c>
      <c r="BQ275" t="b">
        <f t="shared" si="548"/>
        <v>0</v>
      </c>
      <c r="BR275" t="b">
        <f t="shared" si="549"/>
        <v>0</v>
      </c>
      <c r="BS275" t="b">
        <f t="shared" si="550"/>
        <v>0</v>
      </c>
      <c r="BT275" t="b">
        <f t="shared" si="551"/>
        <v>0</v>
      </c>
      <c r="BU275" t="b">
        <f t="shared" si="552"/>
        <v>0</v>
      </c>
      <c r="BV275" t="b">
        <f t="shared" si="553"/>
        <v>0</v>
      </c>
      <c r="BW275" t="b">
        <f t="shared" si="554"/>
        <v>0</v>
      </c>
      <c r="BX275" t="b">
        <f t="shared" si="555"/>
        <v>0</v>
      </c>
      <c r="BY275" t="b">
        <f t="shared" si="556"/>
        <v>0</v>
      </c>
      <c r="BZ275" t="b">
        <f t="shared" si="557"/>
        <v>0</v>
      </c>
      <c r="CA275" t="b">
        <f t="shared" si="558"/>
        <v>0</v>
      </c>
      <c r="CB275" t="b">
        <f t="shared" si="559"/>
        <v>0</v>
      </c>
      <c r="CC275" t="b">
        <f t="shared" si="560"/>
        <v>0</v>
      </c>
      <c r="CD275" t="b">
        <f t="shared" si="561"/>
        <v>0</v>
      </c>
      <c r="CE275">
        <f t="shared" si="562"/>
        <v>1</v>
      </c>
      <c r="CF275" t="b">
        <f t="shared" si="563"/>
        <v>0</v>
      </c>
      <c r="CG275" t="b">
        <f t="shared" si="564"/>
        <v>0</v>
      </c>
      <c r="CH275" t="b">
        <f t="shared" si="565"/>
        <v>0</v>
      </c>
      <c r="CI275" t="b">
        <f t="shared" si="566"/>
        <v>0</v>
      </c>
      <c r="CJ275" t="b">
        <f t="shared" si="567"/>
        <v>0</v>
      </c>
      <c r="CK275" t="b">
        <f t="shared" si="568"/>
        <v>0</v>
      </c>
      <c r="CL275" t="b">
        <f t="shared" si="569"/>
        <v>0</v>
      </c>
      <c r="CM275" t="b">
        <f t="shared" si="570"/>
        <v>0</v>
      </c>
      <c r="CN275" t="b">
        <f t="shared" si="571"/>
        <v>0</v>
      </c>
      <c r="CO275" t="b">
        <f t="shared" si="572"/>
        <v>0</v>
      </c>
      <c r="CP275" t="b">
        <f t="shared" si="573"/>
        <v>0</v>
      </c>
      <c r="CQ275" t="b">
        <f t="shared" si="574"/>
        <v>0</v>
      </c>
      <c r="CR275" t="b">
        <f t="shared" si="575"/>
        <v>0</v>
      </c>
      <c r="CS275" t="b">
        <f t="shared" si="576"/>
        <v>0</v>
      </c>
      <c r="CT275" t="b">
        <f t="shared" si="577"/>
        <v>0</v>
      </c>
      <c r="CU275" t="b">
        <f t="shared" si="578"/>
        <v>0</v>
      </c>
      <c r="CV275">
        <f t="shared" si="579"/>
        <v>1</v>
      </c>
      <c r="CW275" t="b">
        <f t="shared" si="580"/>
        <v>0</v>
      </c>
      <c r="CX275" t="b">
        <f t="shared" si="581"/>
        <v>0</v>
      </c>
      <c r="CY275" t="b">
        <f t="shared" si="582"/>
        <v>0</v>
      </c>
      <c r="CZ275" t="b">
        <f t="shared" si="583"/>
        <v>0</v>
      </c>
      <c r="DA275" t="b">
        <f t="shared" si="584"/>
        <v>0</v>
      </c>
      <c r="DB275" t="b">
        <f t="shared" si="585"/>
        <v>0</v>
      </c>
      <c r="DC275" t="b">
        <f t="shared" si="586"/>
        <v>0</v>
      </c>
      <c r="DD275" t="b">
        <f t="shared" si="587"/>
        <v>0</v>
      </c>
      <c r="DE275" t="b">
        <f t="shared" si="588"/>
        <v>0</v>
      </c>
      <c r="DF275" t="b">
        <f t="shared" si="589"/>
        <v>0</v>
      </c>
      <c r="DG275" t="b">
        <f t="shared" si="590"/>
        <v>0</v>
      </c>
      <c r="DH275" t="b">
        <f t="shared" si="591"/>
        <v>0</v>
      </c>
      <c r="DI275" t="b">
        <f t="shared" si="592"/>
        <v>0</v>
      </c>
      <c r="DJ275" t="b">
        <f t="shared" si="593"/>
        <v>0</v>
      </c>
      <c r="DK275" t="b">
        <f t="shared" si="594"/>
        <v>0</v>
      </c>
      <c r="DL275" t="b">
        <f t="shared" si="595"/>
        <v>0</v>
      </c>
      <c r="DM275" t="b">
        <f t="shared" si="596"/>
        <v>0</v>
      </c>
      <c r="DN275" t="b">
        <f t="shared" si="597"/>
        <v>0</v>
      </c>
      <c r="DO275" t="b">
        <f t="shared" si="598"/>
        <v>0</v>
      </c>
      <c r="DP275" t="b">
        <f t="shared" si="599"/>
        <v>0</v>
      </c>
      <c r="DQ275" t="b">
        <f t="shared" si="600"/>
        <v>0</v>
      </c>
      <c r="DR275" t="b">
        <f t="shared" si="601"/>
        <v>0</v>
      </c>
      <c r="DS275" t="b">
        <f t="shared" si="602"/>
        <v>0</v>
      </c>
      <c r="DT275" t="b">
        <f t="shared" si="603"/>
        <v>0</v>
      </c>
      <c r="DU275" t="b">
        <f t="shared" si="604"/>
        <v>0</v>
      </c>
      <c r="DV275" t="b">
        <f t="shared" si="605"/>
        <v>0</v>
      </c>
      <c r="DW275" t="b">
        <f t="shared" si="606"/>
        <v>0</v>
      </c>
      <c r="DX275" t="b">
        <f t="shared" si="607"/>
        <v>0</v>
      </c>
      <c r="DY275" t="b">
        <f t="shared" si="608"/>
        <v>0</v>
      </c>
      <c r="DZ275" t="b">
        <f t="shared" si="609"/>
        <v>0</v>
      </c>
      <c r="EA275" t="b">
        <f t="shared" si="610"/>
        <v>0</v>
      </c>
      <c r="EB275" t="b">
        <f t="shared" si="611"/>
        <v>0</v>
      </c>
      <c r="EC275" t="b">
        <f t="shared" si="612"/>
        <v>0</v>
      </c>
      <c r="ED275" t="b">
        <f t="shared" si="613"/>
        <v>0</v>
      </c>
      <c r="EE275" t="b">
        <f t="shared" si="614"/>
        <v>0</v>
      </c>
      <c r="EF275" t="b">
        <f t="shared" si="615"/>
        <v>0</v>
      </c>
      <c r="EG275" t="b">
        <f t="shared" si="616"/>
        <v>0</v>
      </c>
      <c r="EH275" t="b">
        <f t="shared" si="617"/>
        <v>0</v>
      </c>
      <c r="EI275">
        <f t="shared" si="618"/>
        <v>1</v>
      </c>
      <c r="EJ275" t="b">
        <f t="shared" si="619"/>
        <v>0</v>
      </c>
      <c r="EK275" t="b">
        <f t="shared" si="620"/>
        <v>0</v>
      </c>
    </row>
    <row r="276" spans="1:141">
      <c r="A276" t="s">
        <v>1469</v>
      </c>
      <c r="B276" t="s">
        <v>1469</v>
      </c>
      <c r="C276" t="s">
        <v>1470</v>
      </c>
      <c r="D276" s="1">
        <v>43243</v>
      </c>
      <c r="E276" s="2">
        <v>43536.87332175926</v>
      </c>
      <c r="F276" s="2">
        <v>43536.87332175926</v>
      </c>
      <c r="G276">
        <v>48881308</v>
      </c>
      <c r="H276" t="s">
        <v>1471</v>
      </c>
      <c r="I276" s="10" t="s">
        <v>1472</v>
      </c>
      <c r="J276" t="s">
        <v>1473</v>
      </c>
      <c r="K276" s="8" t="b">
        <v>1</v>
      </c>
      <c r="L276" s="10" t="b">
        <v>0</v>
      </c>
      <c r="M276" s="12" t="b">
        <v>0</v>
      </c>
      <c r="N276" t="b">
        <v>0</v>
      </c>
      <c r="O276" t="b">
        <v>0</v>
      </c>
      <c r="P276" t="b">
        <v>0</v>
      </c>
      <c r="Q276">
        <f t="shared" si="497"/>
        <v>4</v>
      </c>
      <c r="R276">
        <f t="shared" si="498"/>
        <v>5</v>
      </c>
      <c r="S276" t="e">
        <f t="shared" ca="1" si="528"/>
        <v>#NAME?</v>
      </c>
      <c r="T276" t="e">
        <f t="shared" ca="1" si="499"/>
        <v>#NAME?</v>
      </c>
      <c r="U276" s="4">
        <f t="shared" si="500"/>
        <v>293.87332175925985</v>
      </c>
      <c r="V276" s="4">
        <f t="shared" si="501"/>
        <v>9.7957773919753279</v>
      </c>
      <c r="W276" s="4">
        <f t="shared" si="502"/>
        <v>1</v>
      </c>
      <c r="X276" s="4">
        <f t="shared" si="503"/>
        <v>0</v>
      </c>
      <c r="Y276" s="4">
        <f t="shared" si="504"/>
        <v>0</v>
      </c>
      <c r="Z276" s="4">
        <f t="shared" si="505"/>
        <v>0</v>
      </c>
      <c r="AA276" s="4">
        <f t="shared" si="506"/>
        <v>0</v>
      </c>
      <c r="AB276" s="4">
        <f t="shared" si="507"/>
        <v>0</v>
      </c>
      <c r="AC276" s="4"/>
      <c r="AD276" s="4" t="b">
        <f t="shared" si="508"/>
        <v>0</v>
      </c>
      <c r="AE276" s="4" t="b">
        <f t="shared" si="509"/>
        <v>0</v>
      </c>
      <c r="AF276" s="4" t="b">
        <f t="shared" si="510"/>
        <v>0</v>
      </c>
      <c r="AG276" t="b">
        <f t="shared" si="511"/>
        <v>0</v>
      </c>
      <c r="AH276" t="b">
        <f t="shared" si="512"/>
        <v>0</v>
      </c>
      <c r="AI276" t="b">
        <f t="shared" si="513"/>
        <v>0</v>
      </c>
      <c r="AJ276" t="b">
        <f t="shared" si="514"/>
        <v>0</v>
      </c>
      <c r="AK276" t="b">
        <f t="shared" si="515"/>
        <v>0</v>
      </c>
      <c r="AL276" t="b">
        <f t="shared" si="516"/>
        <v>0</v>
      </c>
      <c r="AM276" t="b">
        <f t="shared" si="517"/>
        <v>0</v>
      </c>
      <c r="AN276" t="b">
        <f t="shared" si="518"/>
        <v>0</v>
      </c>
      <c r="AO276" t="b">
        <f t="shared" si="519"/>
        <v>0</v>
      </c>
      <c r="AP276" t="b">
        <f t="shared" si="520"/>
        <v>0</v>
      </c>
      <c r="AQ276" t="b">
        <f t="shared" si="521"/>
        <v>0</v>
      </c>
      <c r="AR276" t="b">
        <f t="shared" si="522"/>
        <v>0</v>
      </c>
      <c r="AS276" t="b">
        <f t="shared" si="523"/>
        <v>0</v>
      </c>
      <c r="AT276" t="b">
        <f t="shared" si="524"/>
        <v>0</v>
      </c>
      <c r="AU276" t="b">
        <f t="shared" si="525"/>
        <v>0</v>
      </c>
      <c r="AV276" t="b">
        <f t="shared" si="526"/>
        <v>0</v>
      </c>
      <c r="AW276" t="b">
        <f t="shared" si="527"/>
        <v>0</v>
      </c>
      <c r="AX276" t="b">
        <f t="shared" si="529"/>
        <v>0</v>
      </c>
      <c r="AY276" t="b">
        <f t="shared" si="530"/>
        <v>0</v>
      </c>
      <c r="AZ276" t="b">
        <f t="shared" si="531"/>
        <v>0</v>
      </c>
      <c r="BA276" t="b">
        <f t="shared" si="532"/>
        <v>0</v>
      </c>
      <c r="BB276" t="b">
        <f t="shared" si="533"/>
        <v>0</v>
      </c>
      <c r="BC276" t="b">
        <f t="shared" si="534"/>
        <v>0</v>
      </c>
      <c r="BD276" t="b">
        <f t="shared" si="535"/>
        <v>0</v>
      </c>
      <c r="BE276" t="b">
        <f t="shared" si="536"/>
        <v>0</v>
      </c>
      <c r="BF276" t="b">
        <f t="shared" si="537"/>
        <v>0</v>
      </c>
      <c r="BG276" t="b">
        <f t="shared" si="538"/>
        <v>0</v>
      </c>
      <c r="BH276" t="b">
        <f t="shared" si="539"/>
        <v>0</v>
      </c>
      <c r="BI276">
        <f t="shared" si="540"/>
        <v>1</v>
      </c>
      <c r="BJ276" t="b">
        <f t="shared" si="541"/>
        <v>0</v>
      </c>
      <c r="BK276" t="b">
        <f t="shared" si="542"/>
        <v>0</v>
      </c>
      <c r="BL276" t="b">
        <f t="shared" si="543"/>
        <v>0</v>
      </c>
      <c r="BM276" t="b">
        <f t="shared" si="544"/>
        <v>0</v>
      </c>
      <c r="BN276" t="b">
        <f t="shared" si="545"/>
        <v>0</v>
      </c>
      <c r="BO276" t="b">
        <f t="shared" si="546"/>
        <v>0</v>
      </c>
      <c r="BP276" t="b">
        <f t="shared" si="547"/>
        <v>0</v>
      </c>
      <c r="BQ276" t="b">
        <f t="shared" si="548"/>
        <v>0</v>
      </c>
      <c r="BR276" t="b">
        <f t="shared" si="549"/>
        <v>0</v>
      </c>
      <c r="BS276">
        <f t="shared" si="550"/>
        <v>1</v>
      </c>
      <c r="BT276" t="b">
        <f t="shared" si="551"/>
        <v>0</v>
      </c>
      <c r="BU276" t="b">
        <f t="shared" si="552"/>
        <v>0</v>
      </c>
      <c r="BV276" t="b">
        <f t="shared" si="553"/>
        <v>0</v>
      </c>
      <c r="BW276" t="b">
        <f t="shared" si="554"/>
        <v>0</v>
      </c>
      <c r="BX276" t="b">
        <f t="shared" si="555"/>
        <v>0</v>
      </c>
      <c r="BY276" t="b">
        <f t="shared" si="556"/>
        <v>0</v>
      </c>
      <c r="BZ276" t="b">
        <f t="shared" si="557"/>
        <v>0</v>
      </c>
      <c r="CA276" t="b">
        <f t="shared" si="558"/>
        <v>0</v>
      </c>
      <c r="CB276" t="b">
        <f t="shared" si="559"/>
        <v>0</v>
      </c>
      <c r="CC276" t="b">
        <f t="shared" si="560"/>
        <v>0</v>
      </c>
      <c r="CD276" t="b">
        <f t="shared" si="561"/>
        <v>0</v>
      </c>
      <c r="CE276">
        <f t="shared" si="562"/>
        <v>1</v>
      </c>
      <c r="CF276" t="b">
        <f t="shared" si="563"/>
        <v>0</v>
      </c>
      <c r="CG276" t="b">
        <f t="shared" si="564"/>
        <v>0</v>
      </c>
      <c r="CH276" t="b">
        <f t="shared" si="565"/>
        <v>0</v>
      </c>
      <c r="CI276" t="b">
        <f t="shared" si="566"/>
        <v>0</v>
      </c>
      <c r="CJ276" t="b">
        <f t="shared" si="567"/>
        <v>0</v>
      </c>
      <c r="CK276" t="b">
        <f t="shared" si="568"/>
        <v>0</v>
      </c>
      <c r="CL276" t="b">
        <f t="shared" si="569"/>
        <v>0</v>
      </c>
      <c r="CM276">
        <f t="shared" si="570"/>
        <v>1</v>
      </c>
      <c r="CN276" t="b">
        <f t="shared" si="571"/>
        <v>0</v>
      </c>
      <c r="CO276" t="b">
        <f t="shared" si="572"/>
        <v>0</v>
      </c>
      <c r="CP276" t="b">
        <f t="shared" si="573"/>
        <v>0</v>
      </c>
      <c r="CQ276" t="b">
        <f t="shared" si="574"/>
        <v>0</v>
      </c>
      <c r="CR276" t="b">
        <f t="shared" si="575"/>
        <v>0</v>
      </c>
      <c r="CS276" t="b">
        <f t="shared" si="576"/>
        <v>0</v>
      </c>
      <c r="CT276" t="b">
        <f t="shared" si="577"/>
        <v>0</v>
      </c>
      <c r="CU276" t="b">
        <f t="shared" si="578"/>
        <v>0</v>
      </c>
      <c r="CV276">
        <f t="shared" si="579"/>
        <v>1</v>
      </c>
      <c r="CW276" t="b">
        <f t="shared" si="580"/>
        <v>0</v>
      </c>
      <c r="CX276" t="b">
        <f t="shared" si="581"/>
        <v>0</v>
      </c>
      <c r="CY276" t="b">
        <f t="shared" si="582"/>
        <v>0</v>
      </c>
      <c r="CZ276" t="b">
        <f t="shared" si="583"/>
        <v>0</v>
      </c>
      <c r="DA276" t="b">
        <f t="shared" si="584"/>
        <v>0</v>
      </c>
      <c r="DB276" t="b">
        <f t="shared" si="585"/>
        <v>0</v>
      </c>
      <c r="DC276" t="b">
        <f t="shared" si="586"/>
        <v>0</v>
      </c>
      <c r="DD276" t="b">
        <f t="shared" si="587"/>
        <v>0</v>
      </c>
      <c r="DE276" t="b">
        <f t="shared" si="588"/>
        <v>0</v>
      </c>
      <c r="DF276" t="b">
        <f t="shared" si="589"/>
        <v>0</v>
      </c>
      <c r="DG276" t="b">
        <f t="shared" si="590"/>
        <v>0</v>
      </c>
      <c r="DH276" t="b">
        <f t="shared" si="591"/>
        <v>0</v>
      </c>
      <c r="DI276" t="b">
        <f t="shared" si="592"/>
        <v>0</v>
      </c>
      <c r="DJ276" t="b">
        <f t="shared" si="593"/>
        <v>0</v>
      </c>
      <c r="DK276" t="b">
        <f t="shared" si="594"/>
        <v>0</v>
      </c>
      <c r="DL276" t="b">
        <f t="shared" si="595"/>
        <v>0</v>
      </c>
      <c r="DM276" t="b">
        <f t="shared" si="596"/>
        <v>0</v>
      </c>
      <c r="DN276" t="b">
        <f t="shared" si="597"/>
        <v>0</v>
      </c>
      <c r="DO276" t="b">
        <f t="shared" si="598"/>
        <v>0</v>
      </c>
      <c r="DP276" t="b">
        <f t="shared" si="599"/>
        <v>0</v>
      </c>
      <c r="DQ276" t="b">
        <f t="shared" si="600"/>
        <v>0</v>
      </c>
      <c r="DR276" t="b">
        <f t="shared" si="601"/>
        <v>0</v>
      </c>
      <c r="DS276" t="b">
        <f t="shared" si="602"/>
        <v>0</v>
      </c>
      <c r="DT276" t="b">
        <f t="shared" si="603"/>
        <v>0</v>
      </c>
      <c r="DU276" t="b">
        <f t="shared" si="604"/>
        <v>0</v>
      </c>
      <c r="DV276" t="b">
        <f t="shared" si="605"/>
        <v>0</v>
      </c>
      <c r="DW276" t="b">
        <f t="shared" si="606"/>
        <v>0</v>
      </c>
      <c r="DX276" t="b">
        <f t="shared" si="607"/>
        <v>0</v>
      </c>
      <c r="DY276">
        <f t="shared" si="608"/>
        <v>1</v>
      </c>
      <c r="DZ276" t="b">
        <f t="shared" si="609"/>
        <v>0</v>
      </c>
      <c r="EA276" t="b">
        <f t="shared" si="610"/>
        <v>0</v>
      </c>
      <c r="EB276" t="b">
        <f t="shared" si="611"/>
        <v>0</v>
      </c>
      <c r="EC276" t="b">
        <f t="shared" si="612"/>
        <v>0</v>
      </c>
      <c r="ED276" t="b">
        <f t="shared" si="613"/>
        <v>0</v>
      </c>
      <c r="EE276" t="b">
        <f t="shared" si="614"/>
        <v>0</v>
      </c>
      <c r="EF276">
        <f t="shared" si="615"/>
        <v>1</v>
      </c>
      <c r="EG276" t="b">
        <f t="shared" si="616"/>
        <v>0</v>
      </c>
      <c r="EH276" t="b">
        <f t="shared" si="617"/>
        <v>0</v>
      </c>
      <c r="EI276" t="b">
        <f t="shared" si="618"/>
        <v>0</v>
      </c>
      <c r="EJ276" t="b">
        <f t="shared" si="619"/>
        <v>0</v>
      </c>
      <c r="EK276" t="b">
        <f t="shared" si="620"/>
        <v>0</v>
      </c>
    </row>
    <row r="277" spans="1:141">
      <c r="A277" t="s">
        <v>1474</v>
      </c>
      <c r="B277" t="s">
        <v>1475</v>
      </c>
      <c r="C277" t="s">
        <v>1476</v>
      </c>
      <c r="D277" s="1">
        <v>43834</v>
      </c>
      <c r="E277" s="2">
        <v>43927.178391203706</v>
      </c>
      <c r="F277" s="2">
        <v>43927.184236111112</v>
      </c>
      <c r="G277">
        <v>1488089</v>
      </c>
      <c r="H277" t="s">
        <v>1477</v>
      </c>
      <c r="I277" s="10" t="s">
        <v>1478</v>
      </c>
      <c r="J277" t="s">
        <v>1479</v>
      </c>
      <c r="K277" s="8" t="b">
        <v>1</v>
      </c>
      <c r="L277" s="10" t="b">
        <v>0</v>
      </c>
      <c r="M277" s="12" t="b">
        <v>0</v>
      </c>
      <c r="N277" t="b">
        <v>0</v>
      </c>
      <c r="O277" t="b">
        <v>0</v>
      </c>
      <c r="P277" t="b">
        <v>0</v>
      </c>
      <c r="Q277">
        <f t="shared" si="497"/>
        <v>7</v>
      </c>
      <c r="R277">
        <f t="shared" si="498"/>
        <v>1</v>
      </c>
      <c r="S277" t="e">
        <f t="shared" ca="1" si="528"/>
        <v>#NAME?</v>
      </c>
      <c r="T277" t="e">
        <f t="shared" ca="1" si="499"/>
        <v>#NAME?</v>
      </c>
      <c r="U277" s="4">
        <f t="shared" si="500"/>
        <v>93.178391203706269</v>
      </c>
      <c r="V277" s="4">
        <f t="shared" si="501"/>
        <v>3.1059463734568755</v>
      </c>
      <c r="W277" s="4">
        <f t="shared" si="502"/>
        <v>1</v>
      </c>
      <c r="X277" s="4">
        <f t="shared" si="503"/>
        <v>0</v>
      </c>
      <c r="Y277" s="4">
        <f t="shared" si="504"/>
        <v>0</v>
      </c>
      <c r="Z277" s="4">
        <f t="shared" si="505"/>
        <v>0</v>
      </c>
      <c r="AA277" s="4">
        <f t="shared" si="506"/>
        <v>0</v>
      </c>
      <c r="AB277" s="4">
        <f t="shared" si="507"/>
        <v>0</v>
      </c>
      <c r="AC277" s="4"/>
      <c r="AD277" s="4" t="b">
        <f t="shared" si="508"/>
        <v>0</v>
      </c>
      <c r="AE277" s="4" t="b">
        <f t="shared" si="509"/>
        <v>0</v>
      </c>
      <c r="AF277" s="4" t="b">
        <f t="shared" si="510"/>
        <v>0</v>
      </c>
      <c r="AG277" t="b">
        <f t="shared" si="511"/>
        <v>0</v>
      </c>
      <c r="AH277" t="b">
        <f t="shared" si="512"/>
        <v>0</v>
      </c>
      <c r="AI277" t="b">
        <f t="shared" si="513"/>
        <v>0</v>
      </c>
      <c r="AJ277" t="b">
        <f t="shared" si="514"/>
        <v>0</v>
      </c>
      <c r="AK277" t="b">
        <f t="shared" si="515"/>
        <v>0</v>
      </c>
      <c r="AL277" t="b">
        <f t="shared" si="516"/>
        <v>0</v>
      </c>
      <c r="AM277" t="b">
        <f t="shared" si="517"/>
        <v>0</v>
      </c>
      <c r="AN277" t="b">
        <f t="shared" si="518"/>
        <v>0</v>
      </c>
      <c r="AO277" t="b">
        <f t="shared" si="519"/>
        <v>0</v>
      </c>
      <c r="AP277" t="b">
        <f t="shared" si="520"/>
        <v>0</v>
      </c>
      <c r="AQ277" t="b">
        <f t="shared" si="521"/>
        <v>0</v>
      </c>
      <c r="AR277" t="b">
        <f t="shared" si="522"/>
        <v>0</v>
      </c>
      <c r="AS277" t="b">
        <f t="shared" si="523"/>
        <v>0</v>
      </c>
      <c r="AT277" t="b">
        <f t="shared" si="524"/>
        <v>0</v>
      </c>
      <c r="AU277" t="b">
        <f t="shared" si="525"/>
        <v>0</v>
      </c>
      <c r="AV277" t="b">
        <f t="shared" si="526"/>
        <v>0</v>
      </c>
      <c r="AW277" t="b">
        <f t="shared" si="527"/>
        <v>0</v>
      </c>
      <c r="AX277" t="b">
        <f t="shared" si="529"/>
        <v>0</v>
      </c>
      <c r="AY277" t="b">
        <f t="shared" si="530"/>
        <v>0</v>
      </c>
      <c r="AZ277">
        <f t="shared" si="531"/>
        <v>1</v>
      </c>
      <c r="BA277" t="b">
        <f t="shared" si="532"/>
        <v>0</v>
      </c>
      <c r="BB277" t="b">
        <f t="shared" si="533"/>
        <v>0</v>
      </c>
      <c r="BC277" t="b">
        <f t="shared" si="534"/>
        <v>0</v>
      </c>
      <c r="BD277" t="b">
        <f t="shared" si="535"/>
        <v>0</v>
      </c>
      <c r="BE277" t="b">
        <f t="shared" si="536"/>
        <v>0</v>
      </c>
      <c r="BF277" t="b">
        <f t="shared" si="537"/>
        <v>0</v>
      </c>
      <c r="BG277" t="b">
        <f t="shared" si="538"/>
        <v>0</v>
      </c>
      <c r="BH277" t="b">
        <f t="shared" si="539"/>
        <v>0</v>
      </c>
      <c r="BI277">
        <f t="shared" si="540"/>
        <v>1</v>
      </c>
      <c r="BJ277" t="b">
        <f t="shared" si="541"/>
        <v>0</v>
      </c>
      <c r="BK277" t="b">
        <f t="shared" si="542"/>
        <v>0</v>
      </c>
      <c r="BL277" t="b">
        <f t="shared" si="543"/>
        <v>0</v>
      </c>
      <c r="BM277" t="b">
        <f t="shared" si="544"/>
        <v>0</v>
      </c>
      <c r="BN277" t="b">
        <f t="shared" si="545"/>
        <v>0</v>
      </c>
      <c r="BO277" t="b">
        <f t="shared" si="546"/>
        <v>0</v>
      </c>
      <c r="BP277" t="b">
        <f t="shared" si="547"/>
        <v>0</v>
      </c>
      <c r="BQ277" t="b">
        <f t="shared" si="548"/>
        <v>0</v>
      </c>
      <c r="BR277" t="b">
        <f t="shared" si="549"/>
        <v>0</v>
      </c>
      <c r="BS277" t="b">
        <f t="shared" si="550"/>
        <v>0</v>
      </c>
      <c r="BT277" t="b">
        <f t="shared" si="551"/>
        <v>0</v>
      </c>
      <c r="BU277" t="b">
        <f t="shared" si="552"/>
        <v>0</v>
      </c>
      <c r="BV277">
        <f t="shared" si="553"/>
        <v>1</v>
      </c>
      <c r="BW277" t="b">
        <f t="shared" si="554"/>
        <v>0</v>
      </c>
      <c r="BX277" t="b">
        <f t="shared" si="555"/>
        <v>0</v>
      </c>
      <c r="BY277" t="b">
        <f t="shared" si="556"/>
        <v>0</v>
      </c>
      <c r="BZ277" t="b">
        <f t="shared" si="557"/>
        <v>0</v>
      </c>
      <c r="CA277" t="b">
        <f t="shared" si="558"/>
        <v>0</v>
      </c>
      <c r="CB277" t="b">
        <f t="shared" si="559"/>
        <v>0</v>
      </c>
      <c r="CC277" t="b">
        <f t="shared" si="560"/>
        <v>0</v>
      </c>
      <c r="CD277" t="b">
        <f t="shared" si="561"/>
        <v>0</v>
      </c>
      <c r="CE277">
        <f t="shared" si="562"/>
        <v>1</v>
      </c>
      <c r="CF277" t="b">
        <f t="shared" si="563"/>
        <v>0</v>
      </c>
      <c r="CG277" t="b">
        <f t="shared" si="564"/>
        <v>0</v>
      </c>
      <c r="CH277" t="b">
        <f t="shared" si="565"/>
        <v>0</v>
      </c>
      <c r="CI277" t="b">
        <f t="shared" si="566"/>
        <v>0</v>
      </c>
      <c r="CJ277" t="b">
        <f t="shared" si="567"/>
        <v>0</v>
      </c>
      <c r="CK277" t="b">
        <f t="shared" si="568"/>
        <v>0</v>
      </c>
      <c r="CL277" t="b">
        <f t="shared" si="569"/>
        <v>0</v>
      </c>
      <c r="CM277" t="b">
        <f t="shared" si="570"/>
        <v>0</v>
      </c>
      <c r="CN277" t="b">
        <f t="shared" si="571"/>
        <v>0</v>
      </c>
      <c r="CO277" t="b">
        <f t="shared" si="572"/>
        <v>0</v>
      </c>
      <c r="CP277" t="b">
        <f t="shared" si="573"/>
        <v>0</v>
      </c>
      <c r="CQ277" t="b">
        <f t="shared" si="574"/>
        <v>0</v>
      </c>
      <c r="CR277" t="b">
        <f t="shared" si="575"/>
        <v>0</v>
      </c>
      <c r="CS277" t="b">
        <f t="shared" si="576"/>
        <v>0</v>
      </c>
      <c r="CT277" t="b">
        <f t="shared" si="577"/>
        <v>0</v>
      </c>
      <c r="CU277" t="b">
        <f t="shared" si="578"/>
        <v>0</v>
      </c>
      <c r="CV277">
        <f t="shared" si="579"/>
        <v>1</v>
      </c>
      <c r="CW277" t="b">
        <f t="shared" si="580"/>
        <v>0</v>
      </c>
      <c r="CX277" t="b">
        <f t="shared" si="581"/>
        <v>0</v>
      </c>
      <c r="CY277" t="b">
        <f t="shared" si="582"/>
        <v>0</v>
      </c>
      <c r="CZ277" t="b">
        <f t="shared" si="583"/>
        <v>0</v>
      </c>
      <c r="DA277" t="b">
        <f t="shared" si="584"/>
        <v>0</v>
      </c>
      <c r="DB277" t="b">
        <f t="shared" si="585"/>
        <v>0</v>
      </c>
      <c r="DC277" t="b">
        <f t="shared" si="586"/>
        <v>0</v>
      </c>
      <c r="DD277" t="b">
        <f t="shared" si="587"/>
        <v>0</v>
      </c>
      <c r="DE277" t="b">
        <f t="shared" si="588"/>
        <v>0</v>
      </c>
      <c r="DF277" t="b">
        <f t="shared" si="589"/>
        <v>0</v>
      </c>
      <c r="DG277" t="b">
        <f t="shared" si="590"/>
        <v>0</v>
      </c>
      <c r="DH277" t="b">
        <f t="shared" si="591"/>
        <v>0</v>
      </c>
      <c r="DI277" t="b">
        <f t="shared" si="592"/>
        <v>0</v>
      </c>
      <c r="DJ277" t="b">
        <f t="shared" si="593"/>
        <v>0</v>
      </c>
      <c r="DK277" t="b">
        <f t="shared" si="594"/>
        <v>0</v>
      </c>
      <c r="DL277" t="b">
        <f t="shared" si="595"/>
        <v>0</v>
      </c>
      <c r="DM277" t="b">
        <f t="shared" si="596"/>
        <v>0</v>
      </c>
      <c r="DN277" t="b">
        <f t="shared" si="597"/>
        <v>0</v>
      </c>
      <c r="DO277" t="b">
        <f t="shared" si="598"/>
        <v>0</v>
      </c>
      <c r="DP277" t="b">
        <f t="shared" si="599"/>
        <v>0</v>
      </c>
      <c r="DQ277" t="b">
        <f t="shared" si="600"/>
        <v>0</v>
      </c>
      <c r="DR277" t="b">
        <f t="shared" si="601"/>
        <v>0</v>
      </c>
      <c r="DS277" t="b">
        <f t="shared" si="602"/>
        <v>0</v>
      </c>
      <c r="DT277" t="b">
        <f t="shared" si="603"/>
        <v>0</v>
      </c>
      <c r="DU277" t="b">
        <f t="shared" si="604"/>
        <v>0</v>
      </c>
      <c r="DV277" t="b">
        <f t="shared" si="605"/>
        <v>0</v>
      </c>
      <c r="DW277" t="b">
        <f t="shared" si="606"/>
        <v>0</v>
      </c>
      <c r="DX277" t="b">
        <f t="shared" si="607"/>
        <v>0</v>
      </c>
      <c r="DY277" t="b">
        <f t="shared" si="608"/>
        <v>0</v>
      </c>
      <c r="DZ277" t="b">
        <f t="shared" si="609"/>
        <v>0</v>
      </c>
      <c r="EA277" t="b">
        <f t="shared" si="610"/>
        <v>0</v>
      </c>
      <c r="EB277" t="b">
        <f t="shared" si="611"/>
        <v>0</v>
      </c>
      <c r="EC277" t="b">
        <f t="shared" si="612"/>
        <v>0</v>
      </c>
      <c r="ED277" t="b">
        <f t="shared" si="613"/>
        <v>0</v>
      </c>
      <c r="EE277" t="b">
        <f t="shared" si="614"/>
        <v>0</v>
      </c>
      <c r="EF277">
        <f t="shared" si="615"/>
        <v>1</v>
      </c>
      <c r="EG277" t="b">
        <f t="shared" si="616"/>
        <v>0</v>
      </c>
      <c r="EH277" t="b">
        <f t="shared" si="617"/>
        <v>0</v>
      </c>
      <c r="EI277" t="b">
        <f t="shared" si="618"/>
        <v>0</v>
      </c>
      <c r="EJ277" t="b">
        <f t="shared" si="619"/>
        <v>0</v>
      </c>
      <c r="EK277" t="b">
        <f t="shared" si="620"/>
        <v>0</v>
      </c>
    </row>
    <row r="278" spans="1:141">
      <c r="A278" t="s">
        <v>1480</v>
      </c>
      <c r="B278" t="s">
        <v>1481</v>
      </c>
      <c r="C278" t="s">
        <v>1482</v>
      </c>
      <c r="D278" s="1">
        <v>43336</v>
      </c>
      <c r="E278" s="2">
        <v>43424.890381944446</v>
      </c>
      <c r="F278" s="2">
        <v>44050.139537037037</v>
      </c>
      <c r="G278">
        <v>411755</v>
      </c>
      <c r="H278" t="s">
        <v>1483</v>
      </c>
      <c r="I278" s="10" t="s">
        <v>1484</v>
      </c>
      <c r="J278" t="s">
        <v>1485</v>
      </c>
      <c r="K278" s="8" t="b">
        <v>1</v>
      </c>
      <c r="L278" s="10" t="b">
        <v>0</v>
      </c>
      <c r="M278" s="12" t="b">
        <v>1</v>
      </c>
      <c r="N278" t="b">
        <v>0</v>
      </c>
      <c r="O278" t="b">
        <v>0</v>
      </c>
      <c r="P278" t="b">
        <v>0</v>
      </c>
      <c r="Q278">
        <f t="shared" si="497"/>
        <v>6</v>
      </c>
      <c r="R278">
        <f t="shared" si="498"/>
        <v>8</v>
      </c>
      <c r="S278" t="e">
        <f t="shared" ca="1" si="528"/>
        <v>#NAME?</v>
      </c>
      <c r="T278" t="e">
        <f t="shared" ca="1" si="499"/>
        <v>#NAME?</v>
      </c>
      <c r="U278" s="4">
        <f t="shared" si="500"/>
        <v>88.890381944445835</v>
      </c>
      <c r="V278" s="4">
        <f t="shared" si="501"/>
        <v>2.9630127314815278</v>
      </c>
      <c r="W278" s="4">
        <f t="shared" si="502"/>
        <v>1</v>
      </c>
      <c r="X278" s="4">
        <f t="shared" si="503"/>
        <v>0</v>
      </c>
      <c r="Y278" s="4">
        <f t="shared" si="504"/>
        <v>1</v>
      </c>
      <c r="Z278" s="4">
        <f t="shared" si="505"/>
        <v>0</v>
      </c>
      <c r="AA278" s="4">
        <f t="shared" si="506"/>
        <v>0</v>
      </c>
      <c r="AB278" s="4">
        <f t="shared" si="507"/>
        <v>0</v>
      </c>
      <c r="AC278" s="4"/>
      <c r="AD278" s="4" t="b">
        <f t="shared" si="508"/>
        <v>0</v>
      </c>
      <c r="AE278" s="4" t="b">
        <f t="shared" si="509"/>
        <v>0</v>
      </c>
      <c r="AF278" s="4" t="b">
        <f t="shared" si="510"/>
        <v>0</v>
      </c>
      <c r="AG278" t="b">
        <f t="shared" si="511"/>
        <v>0</v>
      </c>
      <c r="AH278" t="b">
        <f t="shared" si="512"/>
        <v>0</v>
      </c>
      <c r="AI278" t="b">
        <f t="shared" si="513"/>
        <v>0</v>
      </c>
      <c r="AJ278" t="b">
        <f t="shared" si="514"/>
        <v>0</v>
      </c>
      <c r="AK278" t="b">
        <f t="shared" si="515"/>
        <v>0</v>
      </c>
      <c r="AL278" t="b">
        <f t="shared" si="516"/>
        <v>0</v>
      </c>
      <c r="AM278" t="b">
        <f t="shared" si="517"/>
        <v>0</v>
      </c>
      <c r="AN278" t="b">
        <f t="shared" si="518"/>
        <v>0</v>
      </c>
      <c r="AO278" t="b">
        <f t="shared" si="519"/>
        <v>0</v>
      </c>
      <c r="AP278" t="b">
        <f t="shared" si="520"/>
        <v>0</v>
      </c>
      <c r="AQ278" t="b">
        <f t="shared" si="521"/>
        <v>0</v>
      </c>
      <c r="AR278" t="b">
        <f t="shared" si="522"/>
        <v>0</v>
      </c>
      <c r="AS278" t="b">
        <f t="shared" si="523"/>
        <v>0</v>
      </c>
      <c r="AT278" t="b">
        <f t="shared" si="524"/>
        <v>0</v>
      </c>
      <c r="AU278" t="b">
        <f t="shared" si="525"/>
        <v>0</v>
      </c>
      <c r="AV278" t="b">
        <f t="shared" si="526"/>
        <v>0</v>
      </c>
      <c r="AW278" t="b">
        <f t="shared" si="527"/>
        <v>0</v>
      </c>
      <c r="AX278" t="b">
        <f t="shared" si="529"/>
        <v>0</v>
      </c>
      <c r="AY278" t="b">
        <f t="shared" si="530"/>
        <v>0</v>
      </c>
      <c r="AZ278">
        <f t="shared" si="531"/>
        <v>1</v>
      </c>
      <c r="BA278" t="b">
        <f t="shared" si="532"/>
        <v>0</v>
      </c>
      <c r="BB278" t="b">
        <f t="shared" si="533"/>
        <v>0</v>
      </c>
      <c r="BC278" t="b">
        <f t="shared" si="534"/>
        <v>0</v>
      </c>
      <c r="BD278" t="b">
        <f t="shared" si="535"/>
        <v>0</v>
      </c>
      <c r="BE278" t="b">
        <f t="shared" si="536"/>
        <v>0</v>
      </c>
      <c r="BF278" t="b">
        <f t="shared" si="537"/>
        <v>0</v>
      </c>
      <c r="BG278" t="b">
        <f t="shared" si="538"/>
        <v>0</v>
      </c>
      <c r="BH278" t="b">
        <f t="shared" si="539"/>
        <v>0</v>
      </c>
      <c r="BI278">
        <f t="shared" si="540"/>
        <v>1</v>
      </c>
      <c r="BJ278" t="b">
        <f t="shared" si="541"/>
        <v>0</v>
      </c>
      <c r="BK278" t="b">
        <f t="shared" si="542"/>
        <v>0</v>
      </c>
      <c r="BL278" t="b">
        <f t="shared" si="543"/>
        <v>0</v>
      </c>
      <c r="BM278" t="b">
        <f t="shared" si="544"/>
        <v>0</v>
      </c>
      <c r="BN278" t="b">
        <f t="shared" si="545"/>
        <v>0</v>
      </c>
      <c r="BO278" t="b">
        <f t="shared" si="546"/>
        <v>0</v>
      </c>
      <c r="BP278" t="b">
        <f t="shared" si="547"/>
        <v>0</v>
      </c>
      <c r="BQ278" t="b">
        <f t="shared" si="548"/>
        <v>0</v>
      </c>
      <c r="BR278" t="b">
        <f t="shared" si="549"/>
        <v>0</v>
      </c>
      <c r="BS278" t="b">
        <f t="shared" si="550"/>
        <v>0</v>
      </c>
      <c r="BT278" t="b">
        <f t="shared" si="551"/>
        <v>0</v>
      </c>
      <c r="BU278" t="b">
        <f t="shared" si="552"/>
        <v>0</v>
      </c>
      <c r="BV278" t="b">
        <f t="shared" si="553"/>
        <v>0</v>
      </c>
      <c r="BW278" t="b">
        <f t="shared" si="554"/>
        <v>0</v>
      </c>
      <c r="BX278" t="b">
        <f t="shared" si="555"/>
        <v>0</v>
      </c>
      <c r="BY278" t="b">
        <f t="shared" si="556"/>
        <v>0</v>
      </c>
      <c r="BZ278" t="b">
        <f t="shared" si="557"/>
        <v>0</v>
      </c>
      <c r="CA278" t="b">
        <f t="shared" si="558"/>
        <v>0</v>
      </c>
      <c r="CB278" t="b">
        <f t="shared" si="559"/>
        <v>0</v>
      </c>
      <c r="CC278" t="b">
        <f t="shared" si="560"/>
        <v>0</v>
      </c>
      <c r="CD278" t="b">
        <f t="shared" si="561"/>
        <v>0</v>
      </c>
      <c r="CE278">
        <f t="shared" si="562"/>
        <v>1</v>
      </c>
      <c r="CF278" t="b">
        <f t="shared" si="563"/>
        <v>0</v>
      </c>
      <c r="CG278" t="b">
        <f t="shared" si="564"/>
        <v>0</v>
      </c>
      <c r="CH278" t="b">
        <f t="shared" si="565"/>
        <v>0</v>
      </c>
      <c r="CI278" t="b">
        <f t="shared" si="566"/>
        <v>0</v>
      </c>
      <c r="CJ278" t="b">
        <f t="shared" si="567"/>
        <v>0</v>
      </c>
      <c r="CK278" t="b">
        <f t="shared" si="568"/>
        <v>0</v>
      </c>
      <c r="CL278" t="b">
        <f t="shared" si="569"/>
        <v>0</v>
      </c>
      <c r="CM278">
        <f t="shared" si="570"/>
        <v>1</v>
      </c>
      <c r="CN278" t="b">
        <f t="shared" si="571"/>
        <v>0</v>
      </c>
      <c r="CO278" t="b">
        <f t="shared" si="572"/>
        <v>0</v>
      </c>
      <c r="CP278" t="b">
        <f t="shared" si="573"/>
        <v>0</v>
      </c>
      <c r="CQ278" t="b">
        <f t="shared" si="574"/>
        <v>0</v>
      </c>
      <c r="CR278" t="b">
        <f t="shared" si="575"/>
        <v>0</v>
      </c>
      <c r="CS278" t="b">
        <f t="shared" si="576"/>
        <v>0</v>
      </c>
      <c r="CT278" t="b">
        <f t="shared" si="577"/>
        <v>0</v>
      </c>
      <c r="CU278" t="b">
        <f t="shared" si="578"/>
        <v>0</v>
      </c>
      <c r="CV278" t="b">
        <f t="shared" si="579"/>
        <v>0</v>
      </c>
      <c r="CW278" t="b">
        <f t="shared" si="580"/>
        <v>0</v>
      </c>
      <c r="CX278" t="b">
        <f t="shared" si="581"/>
        <v>0</v>
      </c>
      <c r="CY278" t="b">
        <f t="shared" si="582"/>
        <v>0</v>
      </c>
      <c r="CZ278" t="b">
        <f t="shared" si="583"/>
        <v>0</v>
      </c>
      <c r="DA278">
        <f t="shared" si="584"/>
        <v>1</v>
      </c>
      <c r="DB278">
        <f t="shared" si="585"/>
        <v>1</v>
      </c>
      <c r="DC278" t="b">
        <f t="shared" si="586"/>
        <v>0</v>
      </c>
      <c r="DD278" t="b">
        <f t="shared" si="587"/>
        <v>0</v>
      </c>
      <c r="DE278" t="b">
        <f t="shared" si="588"/>
        <v>0</v>
      </c>
      <c r="DF278" t="b">
        <f t="shared" si="589"/>
        <v>0</v>
      </c>
      <c r="DG278" t="b">
        <f t="shared" si="590"/>
        <v>0</v>
      </c>
      <c r="DH278" t="b">
        <f t="shared" si="591"/>
        <v>0</v>
      </c>
      <c r="DI278" t="b">
        <f t="shared" si="592"/>
        <v>0</v>
      </c>
      <c r="DJ278">
        <f t="shared" si="593"/>
        <v>1</v>
      </c>
      <c r="DK278" t="b">
        <f t="shared" si="594"/>
        <v>0</v>
      </c>
      <c r="DL278" t="b">
        <f t="shared" si="595"/>
        <v>0</v>
      </c>
      <c r="DM278" t="b">
        <f t="shared" si="596"/>
        <v>0</v>
      </c>
      <c r="DN278" t="b">
        <f t="shared" si="597"/>
        <v>0</v>
      </c>
      <c r="DO278" t="b">
        <f t="shared" si="598"/>
        <v>0</v>
      </c>
      <c r="DP278" t="b">
        <f t="shared" si="599"/>
        <v>0</v>
      </c>
      <c r="DQ278" t="b">
        <f t="shared" si="600"/>
        <v>0</v>
      </c>
      <c r="DR278" t="b">
        <f t="shared" si="601"/>
        <v>0</v>
      </c>
      <c r="DS278" t="b">
        <f t="shared" si="602"/>
        <v>0</v>
      </c>
      <c r="DT278" t="b">
        <f t="shared" si="603"/>
        <v>0</v>
      </c>
      <c r="DU278" t="b">
        <f t="shared" si="604"/>
        <v>0</v>
      </c>
      <c r="DV278" t="b">
        <f t="shared" si="605"/>
        <v>0</v>
      </c>
      <c r="DW278" t="b">
        <f t="shared" si="606"/>
        <v>0</v>
      </c>
      <c r="DX278" t="b">
        <f t="shared" si="607"/>
        <v>0</v>
      </c>
      <c r="DY278" t="b">
        <f t="shared" si="608"/>
        <v>0</v>
      </c>
      <c r="DZ278" t="b">
        <f t="shared" si="609"/>
        <v>0</v>
      </c>
      <c r="EA278" t="b">
        <f t="shared" si="610"/>
        <v>0</v>
      </c>
      <c r="EB278" t="b">
        <f t="shared" si="611"/>
        <v>0</v>
      </c>
      <c r="EC278" t="b">
        <f t="shared" si="612"/>
        <v>0</v>
      </c>
      <c r="ED278" t="b">
        <f t="shared" si="613"/>
        <v>0</v>
      </c>
      <c r="EE278" t="b">
        <f t="shared" si="614"/>
        <v>0</v>
      </c>
      <c r="EF278">
        <f t="shared" si="615"/>
        <v>1</v>
      </c>
      <c r="EG278" t="b">
        <f t="shared" si="616"/>
        <v>0</v>
      </c>
      <c r="EH278" t="b">
        <f t="shared" si="617"/>
        <v>0</v>
      </c>
      <c r="EI278" t="b">
        <f t="shared" si="618"/>
        <v>0</v>
      </c>
      <c r="EJ278" t="b">
        <f t="shared" si="619"/>
        <v>0</v>
      </c>
      <c r="EK278" t="b">
        <f t="shared" si="620"/>
        <v>0</v>
      </c>
    </row>
    <row r="279" spans="1:141">
      <c r="A279" t="s">
        <v>1486</v>
      </c>
      <c r="B279" t="s">
        <v>1486</v>
      </c>
      <c r="C279" t="s">
        <v>1487</v>
      </c>
      <c r="D279" s="1">
        <v>42736</v>
      </c>
      <c r="E279" s="2">
        <v>43443.945034722223</v>
      </c>
      <c r="F279" s="2">
        <v>43443.946967592594</v>
      </c>
      <c r="G279">
        <v>36916</v>
      </c>
      <c r="H279" t="s">
        <v>1488</v>
      </c>
      <c r="I279" s="10" t="s">
        <v>1489</v>
      </c>
      <c r="J279" t="s">
        <v>147</v>
      </c>
      <c r="K279" s="8" t="b">
        <v>1</v>
      </c>
      <c r="L279" s="10" t="b">
        <v>0</v>
      </c>
      <c r="M279" s="12" t="b">
        <v>0</v>
      </c>
      <c r="N279" t="b">
        <v>0</v>
      </c>
      <c r="O279" t="b">
        <v>0</v>
      </c>
      <c r="P279" t="b">
        <v>0</v>
      </c>
      <c r="Q279">
        <f t="shared" si="497"/>
        <v>1</v>
      </c>
      <c r="R279">
        <f t="shared" si="498"/>
        <v>1</v>
      </c>
      <c r="S279" t="e">
        <f t="shared" ca="1" si="528"/>
        <v>#NAME?</v>
      </c>
      <c r="T279" t="e">
        <f t="shared" ca="1" si="499"/>
        <v>#NAME?</v>
      </c>
      <c r="U279" s="4">
        <f t="shared" si="500"/>
        <v>707.94503472222277</v>
      </c>
      <c r="V279" s="4">
        <f t="shared" si="501"/>
        <v>23.598167824074093</v>
      </c>
      <c r="W279" s="4">
        <f t="shared" si="502"/>
        <v>1</v>
      </c>
      <c r="X279" s="4">
        <f t="shared" si="503"/>
        <v>0</v>
      </c>
      <c r="Y279" s="4">
        <f t="shared" si="504"/>
        <v>0</v>
      </c>
      <c r="Z279" s="4">
        <f t="shared" si="505"/>
        <v>0</v>
      </c>
      <c r="AA279" s="4">
        <f t="shared" si="506"/>
        <v>0</v>
      </c>
      <c r="AB279" s="4">
        <f t="shared" si="507"/>
        <v>0</v>
      </c>
      <c r="AC279" s="4"/>
      <c r="AD279" s="4" t="b">
        <f t="shared" si="508"/>
        <v>0</v>
      </c>
      <c r="AE279" s="4" t="b">
        <f t="shared" si="509"/>
        <v>0</v>
      </c>
      <c r="AF279" s="4" t="b">
        <f t="shared" si="510"/>
        <v>0</v>
      </c>
      <c r="AG279" t="b">
        <f t="shared" si="511"/>
        <v>0</v>
      </c>
      <c r="AH279" t="b">
        <f t="shared" si="512"/>
        <v>0</v>
      </c>
      <c r="AI279" t="b">
        <f t="shared" si="513"/>
        <v>0</v>
      </c>
      <c r="AJ279" t="b">
        <f t="shared" si="514"/>
        <v>0</v>
      </c>
      <c r="AK279" t="b">
        <f t="shared" si="515"/>
        <v>0</v>
      </c>
      <c r="AL279" t="b">
        <f t="shared" si="516"/>
        <v>0</v>
      </c>
      <c r="AM279" t="b">
        <f t="shared" si="517"/>
        <v>0</v>
      </c>
      <c r="AN279" t="b">
        <f t="shared" si="518"/>
        <v>0</v>
      </c>
      <c r="AO279" t="b">
        <f t="shared" si="519"/>
        <v>0</v>
      </c>
      <c r="AP279" t="b">
        <f t="shared" si="520"/>
        <v>0</v>
      </c>
      <c r="AQ279" t="b">
        <f t="shared" si="521"/>
        <v>0</v>
      </c>
      <c r="AR279" t="b">
        <f t="shared" si="522"/>
        <v>0</v>
      </c>
      <c r="AS279" t="b">
        <f t="shared" si="523"/>
        <v>0</v>
      </c>
      <c r="AT279" t="b">
        <f t="shared" si="524"/>
        <v>0</v>
      </c>
      <c r="AU279" t="b">
        <f t="shared" si="525"/>
        <v>0</v>
      </c>
      <c r="AV279" t="b">
        <f t="shared" si="526"/>
        <v>0</v>
      </c>
      <c r="AW279" t="b">
        <f t="shared" si="527"/>
        <v>0</v>
      </c>
      <c r="AX279" t="b">
        <f t="shared" si="529"/>
        <v>0</v>
      </c>
      <c r="AY279" t="b">
        <f t="shared" si="530"/>
        <v>0</v>
      </c>
      <c r="AZ279" t="b">
        <f t="shared" si="531"/>
        <v>0</v>
      </c>
      <c r="BA279" t="b">
        <f t="shared" si="532"/>
        <v>0</v>
      </c>
      <c r="BB279" t="b">
        <f t="shared" si="533"/>
        <v>0</v>
      </c>
      <c r="BC279" t="b">
        <f t="shared" si="534"/>
        <v>0</v>
      </c>
      <c r="BD279" t="b">
        <f t="shared" si="535"/>
        <v>0</v>
      </c>
      <c r="BE279" t="b">
        <f t="shared" si="536"/>
        <v>0</v>
      </c>
      <c r="BF279" t="b">
        <f t="shared" si="537"/>
        <v>0</v>
      </c>
      <c r="BG279" t="b">
        <f t="shared" si="538"/>
        <v>0</v>
      </c>
      <c r="BH279" t="b">
        <f t="shared" si="539"/>
        <v>0</v>
      </c>
      <c r="BI279">
        <f t="shared" si="540"/>
        <v>1</v>
      </c>
      <c r="BJ279" t="b">
        <f t="shared" si="541"/>
        <v>0</v>
      </c>
      <c r="BK279" t="b">
        <f t="shared" si="542"/>
        <v>0</v>
      </c>
      <c r="BL279" t="b">
        <f t="shared" si="543"/>
        <v>0</v>
      </c>
      <c r="BM279" t="b">
        <f t="shared" si="544"/>
        <v>0</v>
      </c>
      <c r="BN279" t="b">
        <f t="shared" si="545"/>
        <v>0</v>
      </c>
      <c r="BO279" t="b">
        <f t="shared" si="546"/>
        <v>0</v>
      </c>
      <c r="BP279" t="b">
        <f t="shared" si="547"/>
        <v>0</v>
      </c>
      <c r="BQ279" t="b">
        <f t="shared" si="548"/>
        <v>0</v>
      </c>
      <c r="BR279" t="b">
        <f t="shared" si="549"/>
        <v>0</v>
      </c>
      <c r="BS279" t="b">
        <f t="shared" si="550"/>
        <v>0</v>
      </c>
      <c r="BT279" t="b">
        <f t="shared" si="551"/>
        <v>0</v>
      </c>
      <c r="BU279" t="b">
        <f t="shared" si="552"/>
        <v>0</v>
      </c>
      <c r="BV279" t="b">
        <f t="shared" si="553"/>
        <v>0</v>
      </c>
      <c r="BW279" t="b">
        <f t="shared" si="554"/>
        <v>0</v>
      </c>
      <c r="BX279" t="b">
        <f t="shared" si="555"/>
        <v>0</v>
      </c>
      <c r="BY279" t="b">
        <f t="shared" si="556"/>
        <v>0</v>
      </c>
      <c r="BZ279" t="b">
        <f t="shared" si="557"/>
        <v>0</v>
      </c>
      <c r="CA279" t="b">
        <f t="shared" si="558"/>
        <v>0</v>
      </c>
      <c r="CB279" t="b">
        <f t="shared" si="559"/>
        <v>0</v>
      </c>
      <c r="CC279" t="b">
        <f t="shared" si="560"/>
        <v>0</v>
      </c>
      <c r="CD279" t="b">
        <f t="shared" si="561"/>
        <v>0</v>
      </c>
      <c r="CE279" t="b">
        <f t="shared" si="562"/>
        <v>0</v>
      </c>
      <c r="CF279" t="b">
        <f t="shared" si="563"/>
        <v>0</v>
      </c>
      <c r="CG279" t="b">
        <f t="shared" si="564"/>
        <v>0</v>
      </c>
      <c r="CH279" t="b">
        <f t="shared" si="565"/>
        <v>0</v>
      </c>
      <c r="CI279" t="b">
        <f t="shared" si="566"/>
        <v>0</v>
      </c>
      <c r="CJ279" t="b">
        <f t="shared" si="567"/>
        <v>0</v>
      </c>
      <c r="CK279" t="b">
        <f t="shared" si="568"/>
        <v>0</v>
      </c>
      <c r="CL279" t="b">
        <f t="shared" si="569"/>
        <v>0</v>
      </c>
      <c r="CM279" t="b">
        <f t="shared" si="570"/>
        <v>0</v>
      </c>
      <c r="CN279" t="b">
        <f t="shared" si="571"/>
        <v>0</v>
      </c>
      <c r="CO279" t="b">
        <f t="shared" si="572"/>
        <v>0</v>
      </c>
      <c r="CP279" t="b">
        <f t="shared" si="573"/>
        <v>0</v>
      </c>
      <c r="CQ279" t="b">
        <f t="shared" si="574"/>
        <v>0</v>
      </c>
      <c r="CR279" t="b">
        <f t="shared" si="575"/>
        <v>0</v>
      </c>
      <c r="CS279" t="b">
        <f t="shared" si="576"/>
        <v>0</v>
      </c>
      <c r="CT279" t="b">
        <f t="shared" si="577"/>
        <v>0</v>
      </c>
      <c r="CU279" t="b">
        <f t="shared" si="578"/>
        <v>0</v>
      </c>
      <c r="CV279">
        <f t="shared" si="579"/>
        <v>1</v>
      </c>
      <c r="CW279" t="b">
        <f t="shared" si="580"/>
        <v>0</v>
      </c>
      <c r="CX279" t="b">
        <f t="shared" si="581"/>
        <v>0</v>
      </c>
      <c r="CY279" t="b">
        <f t="shared" si="582"/>
        <v>0</v>
      </c>
      <c r="CZ279" t="b">
        <f t="shared" si="583"/>
        <v>0</v>
      </c>
      <c r="DA279" t="b">
        <f t="shared" si="584"/>
        <v>0</v>
      </c>
      <c r="DB279" t="b">
        <f t="shared" si="585"/>
        <v>0</v>
      </c>
      <c r="DC279" t="b">
        <f t="shared" si="586"/>
        <v>0</v>
      </c>
      <c r="DD279" t="b">
        <f t="shared" si="587"/>
        <v>0</v>
      </c>
      <c r="DE279" t="b">
        <f t="shared" si="588"/>
        <v>0</v>
      </c>
      <c r="DF279" t="b">
        <f t="shared" si="589"/>
        <v>0</v>
      </c>
      <c r="DG279" t="b">
        <f t="shared" si="590"/>
        <v>0</v>
      </c>
      <c r="DH279" t="b">
        <f t="shared" si="591"/>
        <v>0</v>
      </c>
      <c r="DI279" t="b">
        <f t="shared" si="592"/>
        <v>0</v>
      </c>
      <c r="DJ279" t="b">
        <f t="shared" si="593"/>
        <v>0</v>
      </c>
      <c r="DK279" t="b">
        <f t="shared" si="594"/>
        <v>0</v>
      </c>
      <c r="DL279" t="b">
        <f t="shared" si="595"/>
        <v>0</v>
      </c>
      <c r="DM279" t="b">
        <f t="shared" si="596"/>
        <v>0</v>
      </c>
      <c r="DN279" t="b">
        <f t="shared" si="597"/>
        <v>0</v>
      </c>
      <c r="DO279" t="b">
        <f t="shared" si="598"/>
        <v>0</v>
      </c>
      <c r="DP279" t="b">
        <f t="shared" si="599"/>
        <v>0</v>
      </c>
      <c r="DQ279" t="b">
        <f t="shared" si="600"/>
        <v>0</v>
      </c>
      <c r="DR279" t="b">
        <f t="shared" si="601"/>
        <v>0</v>
      </c>
      <c r="DS279" t="b">
        <f t="shared" si="602"/>
        <v>0</v>
      </c>
      <c r="DT279" t="b">
        <f t="shared" si="603"/>
        <v>0</v>
      </c>
      <c r="DU279" t="b">
        <f t="shared" si="604"/>
        <v>0</v>
      </c>
      <c r="DV279" t="b">
        <f t="shared" si="605"/>
        <v>0</v>
      </c>
      <c r="DW279" t="b">
        <f t="shared" si="606"/>
        <v>0</v>
      </c>
      <c r="DX279" t="b">
        <f t="shared" si="607"/>
        <v>0</v>
      </c>
      <c r="DY279" t="b">
        <f t="shared" si="608"/>
        <v>0</v>
      </c>
      <c r="DZ279" t="b">
        <f t="shared" si="609"/>
        <v>0</v>
      </c>
      <c r="EA279" t="b">
        <f t="shared" si="610"/>
        <v>0</v>
      </c>
      <c r="EB279" t="b">
        <f t="shared" si="611"/>
        <v>0</v>
      </c>
      <c r="EC279" t="b">
        <f t="shared" si="612"/>
        <v>0</v>
      </c>
      <c r="ED279" t="b">
        <f t="shared" si="613"/>
        <v>0</v>
      </c>
      <c r="EE279" t="b">
        <f t="shared" si="614"/>
        <v>0</v>
      </c>
      <c r="EF279" t="b">
        <f t="shared" si="615"/>
        <v>0</v>
      </c>
      <c r="EG279" t="b">
        <f t="shared" si="616"/>
        <v>0</v>
      </c>
      <c r="EH279" t="b">
        <f t="shared" si="617"/>
        <v>0</v>
      </c>
      <c r="EI279" t="b">
        <f t="shared" si="618"/>
        <v>0</v>
      </c>
      <c r="EJ279" t="b">
        <f t="shared" si="619"/>
        <v>0</v>
      </c>
      <c r="EK279" t="b">
        <f t="shared" si="620"/>
        <v>0</v>
      </c>
    </row>
    <row r="280" spans="1:141">
      <c r="A280" t="s">
        <v>1490</v>
      </c>
      <c r="B280" t="s">
        <v>1490</v>
      </c>
      <c r="C280" t="s">
        <v>1491</v>
      </c>
      <c r="D280" s="1">
        <v>43538</v>
      </c>
      <c r="E280" s="2">
        <v>44039.907175925924</v>
      </c>
      <c r="F280" s="2">
        <v>44039.907175925924</v>
      </c>
      <c r="G280">
        <v>20727771</v>
      </c>
      <c r="H280" t="s">
        <v>1492</v>
      </c>
      <c r="I280" s="10" t="s">
        <v>1493</v>
      </c>
      <c r="J280" t="s">
        <v>1494</v>
      </c>
      <c r="K280" s="8" t="b">
        <v>1</v>
      </c>
      <c r="L280" s="10" t="b">
        <v>0</v>
      </c>
      <c r="M280" s="12" t="b">
        <v>0</v>
      </c>
      <c r="N280" t="b">
        <v>0</v>
      </c>
      <c r="O280" t="b">
        <v>0</v>
      </c>
      <c r="P280" t="b">
        <v>0</v>
      </c>
      <c r="Q280">
        <f t="shared" si="497"/>
        <v>5</v>
      </c>
      <c r="R280">
        <f t="shared" si="498"/>
        <v>3</v>
      </c>
      <c r="S280" t="e">
        <f t="shared" ca="1" si="528"/>
        <v>#NAME?</v>
      </c>
      <c r="T280" t="e">
        <f t="shared" ca="1" si="499"/>
        <v>#NAME?</v>
      </c>
      <c r="U280" s="4">
        <f t="shared" si="500"/>
        <v>501.90717592592409</v>
      </c>
      <c r="V280" s="4">
        <f t="shared" si="501"/>
        <v>16.730239197530803</v>
      </c>
      <c r="W280" s="4">
        <f t="shared" si="502"/>
        <v>1</v>
      </c>
      <c r="X280" s="4">
        <f t="shared" si="503"/>
        <v>0</v>
      </c>
      <c r="Y280" s="4">
        <f t="shared" si="504"/>
        <v>0</v>
      </c>
      <c r="Z280" s="4">
        <f t="shared" si="505"/>
        <v>0</v>
      </c>
      <c r="AA280" s="4">
        <f t="shared" si="506"/>
        <v>0</v>
      </c>
      <c r="AB280" s="4">
        <f t="shared" si="507"/>
        <v>0</v>
      </c>
      <c r="AC280" s="4"/>
      <c r="AD280" s="4" t="b">
        <f t="shared" si="508"/>
        <v>0</v>
      </c>
      <c r="AE280" s="4" t="b">
        <f t="shared" si="509"/>
        <v>0</v>
      </c>
      <c r="AF280" s="4" t="b">
        <f t="shared" si="510"/>
        <v>0</v>
      </c>
      <c r="AG280" t="b">
        <f t="shared" si="511"/>
        <v>0</v>
      </c>
      <c r="AH280" t="b">
        <f t="shared" si="512"/>
        <v>0</v>
      </c>
      <c r="AI280" t="b">
        <f t="shared" si="513"/>
        <v>0</v>
      </c>
      <c r="AJ280" t="b">
        <f t="shared" si="514"/>
        <v>0</v>
      </c>
      <c r="AK280" t="b">
        <f t="shared" si="515"/>
        <v>0</v>
      </c>
      <c r="AL280" t="b">
        <f t="shared" si="516"/>
        <v>0</v>
      </c>
      <c r="AM280" t="b">
        <f t="shared" si="517"/>
        <v>0</v>
      </c>
      <c r="AN280" t="b">
        <f t="shared" si="518"/>
        <v>0</v>
      </c>
      <c r="AO280" t="b">
        <f t="shared" si="519"/>
        <v>0</v>
      </c>
      <c r="AP280" t="b">
        <f t="shared" si="520"/>
        <v>0</v>
      </c>
      <c r="AQ280" t="b">
        <f t="shared" si="521"/>
        <v>0</v>
      </c>
      <c r="AR280" t="b">
        <f t="shared" si="522"/>
        <v>0</v>
      </c>
      <c r="AS280" t="b">
        <f t="shared" si="523"/>
        <v>0</v>
      </c>
      <c r="AT280" t="b">
        <f t="shared" si="524"/>
        <v>0</v>
      </c>
      <c r="AU280" t="b">
        <f t="shared" si="525"/>
        <v>0</v>
      </c>
      <c r="AV280" t="b">
        <f t="shared" si="526"/>
        <v>0</v>
      </c>
      <c r="AW280" t="b">
        <f t="shared" si="527"/>
        <v>0</v>
      </c>
      <c r="AX280" t="b">
        <f t="shared" si="529"/>
        <v>0</v>
      </c>
      <c r="AY280" t="b">
        <f t="shared" si="530"/>
        <v>0</v>
      </c>
      <c r="AZ280">
        <f t="shared" si="531"/>
        <v>1</v>
      </c>
      <c r="BA280" t="b">
        <f t="shared" si="532"/>
        <v>0</v>
      </c>
      <c r="BB280" t="b">
        <f t="shared" si="533"/>
        <v>0</v>
      </c>
      <c r="BC280" t="b">
        <f t="shared" si="534"/>
        <v>0</v>
      </c>
      <c r="BD280" t="b">
        <f t="shared" si="535"/>
        <v>0</v>
      </c>
      <c r="BE280" t="b">
        <f t="shared" si="536"/>
        <v>0</v>
      </c>
      <c r="BF280" t="b">
        <f t="shared" si="537"/>
        <v>0</v>
      </c>
      <c r="BG280" t="b">
        <f t="shared" si="538"/>
        <v>0</v>
      </c>
      <c r="BH280" t="b">
        <f t="shared" si="539"/>
        <v>0</v>
      </c>
      <c r="BI280">
        <f t="shared" si="540"/>
        <v>1</v>
      </c>
      <c r="BJ280" t="b">
        <f t="shared" si="541"/>
        <v>0</v>
      </c>
      <c r="BK280" t="b">
        <f t="shared" si="542"/>
        <v>0</v>
      </c>
      <c r="BL280" t="b">
        <f t="shared" si="543"/>
        <v>0</v>
      </c>
      <c r="BM280" t="b">
        <f t="shared" si="544"/>
        <v>0</v>
      </c>
      <c r="BN280" t="b">
        <f t="shared" si="545"/>
        <v>0</v>
      </c>
      <c r="BO280" t="b">
        <f t="shared" si="546"/>
        <v>0</v>
      </c>
      <c r="BP280" t="b">
        <f t="shared" si="547"/>
        <v>0</v>
      </c>
      <c r="BQ280" t="b">
        <f t="shared" si="548"/>
        <v>0</v>
      </c>
      <c r="BR280" t="b">
        <f t="shared" si="549"/>
        <v>0</v>
      </c>
      <c r="BS280" t="b">
        <f t="shared" si="550"/>
        <v>0</v>
      </c>
      <c r="BT280" t="b">
        <f t="shared" si="551"/>
        <v>0</v>
      </c>
      <c r="BU280" t="b">
        <f t="shared" si="552"/>
        <v>0</v>
      </c>
      <c r="BV280" t="b">
        <f t="shared" si="553"/>
        <v>0</v>
      </c>
      <c r="BW280" t="b">
        <f t="shared" si="554"/>
        <v>0</v>
      </c>
      <c r="BX280" t="b">
        <f t="shared" si="555"/>
        <v>0</v>
      </c>
      <c r="BY280" t="b">
        <f t="shared" si="556"/>
        <v>0</v>
      </c>
      <c r="BZ280" t="b">
        <f t="shared" si="557"/>
        <v>0</v>
      </c>
      <c r="CA280" t="b">
        <f t="shared" si="558"/>
        <v>0</v>
      </c>
      <c r="CB280" t="b">
        <f t="shared" si="559"/>
        <v>0</v>
      </c>
      <c r="CC280" t="b">
        <f t="shared" si="560"/>
        <v>0</v>
      </c>
      <c r="CD280" t="b">
        <f t="shared" si="561"/>
        <v>0</v>
      </c>
      <c r="CE280">
        <f t="shared" si="562"/>
        <v>1</v>
      </c>
      <c r="CF280" t="b">
        <f t="shared" si="563"/>
        <v>0</v>
      </c>
      <c r="CG280" t="b">
        <f t="shared" si="564"/>
        <v>0</v>
      </c>
      <c r="CH280" t="b">
        <f t="shared" si="565"/>
        <v>0</v>
      </c>
      <c r="CI280" t="b">
        <f t="shared" si="566"/>
        <v>0</v>
      </c>
      <c r="CJ280" t="b">
        <f t="shared" si="567"/>
        <v>0</v>
      </c>
      <c r="CK280" t="b">
        <f t="shared" si="568"/>
        <v>0</v>
      </c>
      <c r="CL280" t="b">
        <f t="shared" si="569"/>
        <v>0</v>
      </c>
      <c r="CM280">
        <f t="shared" si="570"/>
        <v>1</v>
      </c>
      <c r="CN280" t="b">
        <f t="shared" si="571"/>
        <v>0</v>
      </c>
      <c r="CO280" t="b">
        <f t="shared" si="572"/>
        <v>0</v>
      </c>
      <c r="CP280" t="b">
        <f t="shared" si="573"/>
        <v>0</v>
      </c>
      <c r="CQ280" t="b">
        <f t="shared" si="574"/>
        <v>0</v>
      </c>
      <c r="CR280" t="b">
        <f t="shared" si="575"/>
        <v>0</v>
      </c>
      <c r="CS280" t="b">
        <f t="shared" si="576"/>
        <v>0</v>
      </c>
      <c r="CT280" t="b">
        <f t="shared" si="577"/>
        <v>0</v>
      </c>
      <c r="CU280" t="b">
        <f t="shared" si="578"/>
        <v>0</v>
      </c>
      <c r="CV280">
        <f t="shared" si="579"/>
        <v>1</v>
      </c>
      <c r="CW280" t="b">
        <f t="shared" si="580"/>
        <v>0</v>
      </c>
      <c r="CX280" t="b">
        <f t="shared" si="581"/>
        <v>0</v>
      </c>
      <c r="CY280" t="b">
        <f t="shared" si="582"/>
        <v>0</v>
      </c>
      <c r="CZ280" t="b">
        <f t="shared" si="583"/>
        <v>0</v>
      </c>
      <c r="DA280">
        <f t="shared" si="584"/>
        <v>1</v>
      </c>
      <c r="DB280" t="b">
        <f t="shared" si="585"/>
        <v>0</v>
      </c>
      <c r="DC280" t="b">
        <f t="shared" si="586"/>
        <v>0</v>
      </c>
      <c r="DD280" t="b">
        <f t="shared" si="587"/>
        <v>0</v>
      </c>
      <c r="DE280" t="b">
        <f t="shared" si="588"/>
        <v>0</v>
      </c>
      <c r="DF280" t="b">
        <f t="shared" si="589"/>
        <v>0</v>
      </c>
      <c r="DG280" t="b">
        <f t="shared" si="590"/>
        <v>0</v>
      </c>
      <c r="DH280" t="b">
        <f t="shared" si="591"/>
        <v>0</v>
      </c>
      <c r="DI280" t="b">
        <f t="shared" si="592"/>
        <v>0</v>
      </c>
      <c r="DJ280" t="b">
        <f t="shared" si="593"/>
        <v>0</v>
      </c>
      <c r="DK280" t="b">
        <f t="shared" si="594"/>
        <v>0</v>
      </c>
      <c r="DL280" t="b">
        <f t="shared" si="595"/>
        <v>0</v>
      </c>
      <c r="DM280" t="b">
        <f t="shared" si="596"/>
        <v>0</v>
      </c>
      <c r="DN280" t="b">
        <f t="shared" si="597"/>
        <v>0</v>
      </c>
      <c r="DO280" t="b">
        <f t="shared" si="598"/>
        <v>0</v>
      </c>
      <c r="DP280" t="b">
        <f t="shared" si="599"/>
        <v>0</v>
      </c>
      <c r="DQ280" t="b">
        <f t="shared" si="600"/>
        <v>0</v>
      </c>
      <c r="DR280" t="b">
        <f t="shared" si="601"/>
        <v>0</v>
      </c>
      <c r="DS280" t="b">
        <f t="shared" si="602"/>
        <v>0</v>
      </c>
      <c r="DT280" t="b">
        <f t="shared" si="603"/>
        <v>0</v>
      </c>
      <c r="DU280" t="b">
        <f t="shared" si="604"/>
        <v>0</v>
      </c>
      <c r="DV280" t="b">
        <f t="shared" si="605"/>
        <v>0</v>
      </c>
      <c r="DW280" t="b">
        <f t="shared" si="606"/>
        <v>0</v>
      </c>
      <c r="DX280" t="b">
        <f t="shared" si="607"/>
        <v>0</v>
      </c>
      <c r="DY280">
        <f t="shared" si="608"/>
        <v>1</v>
      </c>
      <c r="DZ280" t="b">
        <f t="shared" si="609"/>
        <v>0</v>
      </c>
      <c r="EA280" t="b">
        <f t="shared" si="610"/>
        <v>0</v>
      </c>
      <c r="EB280" t="b">
        <f t="shared" si="611"/>
        <v>0</v>
      </c>
      <c r="EC280" t="b">
        <f t="shared" si="612"/>
        <v>0</v>
      </c>
      <c r="ED280" t="b">
        <f t="shared" si="613"/>
        <v>0</v>
      </c>
      <c r="EE280" t="b">
        <f t="shared" si="614"/>
        <v>0</v>
      </c>
      <c r="EF280" t="b">
        <f t="shared" si="615"/>
        <v>0</v>
      </c>
      <c r="EG280" t="b">
        <f t="shared" si="616"/>
        <v>0</v>
      </c>
      <c r="EH280" t="b">
        <f t="shared" si="617"/>
        <v>0</v>
      </c>
      <c r="EI280" t="b">
        <f t="shared" si="618"/>
        <v>0</v>
      </c>
      <c r="EJ280" t="b">
        <f t="shared" si="619"/>
        <v>0</v>
      </c>
      <c r="EK280" t="b">
        <f t="shared" si="620"/>
        <v>0</v>
      </c>
    </row>
    <row r="281" spans="1:141">
      <c r="A281" t="s">
        <v>1495</v>
      </c>
      <c r="B281" t="s">
        <v>1496</v>
      </c>
      <c r="C281" t="s">
        <v>1497</v>
      </c>
      <c r="D281" s="1">
        <v>44270</v>
      </c>
      <c r="E281" s="2">
        <v>44517.278749999998</v>
      </c>
      <c r="F281" s="2">
        <v>44517.288680555554</v>
      </c>
      <c r="G281">
        <v>3966871</v>
      </c>
      <c r="H281" t="s">
        <v>1498</v>
      </c>
      <c r="I281" s="10" t="s">
        <v>1499</v>
      </c>
      <c r="J281" t="s">
        <v>156</v>
      </c>
      <c r="K281" s="8" t="b">
        <v>1</v>
      </c>
      <c r="L281" s="10" t="b">
        <v>0</v>
      </c>
      <c r="M281" s="12" t="b">
        <v>0</v>
      </c>
      <c r="N281" t="b">
        <v>0</v>
      </c>
      <c r="O281" t="b">
        <v>0</v>
      </c>
      <c r="P281" t="b">
        <v>0</v>
      </c>
      <c r="Q281">
        <f t="shared" si="497"/>
        <v>2</v>
      </c>
      <c r="R281">
        <f t="shared" si="498"/>
        <v>3</v>
      </c>
      <c r="S281" t="e">
        <f t="shared" ca="1" si="528"/>
        <v>#NAME?</v>
      </c>
      <c r="T281" t="e">
        <f t="shared" ca="1" si="499"/>
        <v>#NAME?</v>
      </c>
      <c r="U281" s="4">
        <f t="shared" si="500"/>
        <v>247.27874999999767</v>
      </c>
      <c r="V281" s="4">
        <f t="shared" si="501"/>
        <v>8.2426249999999222</v>
      </c>
      <c r="W281" s="4">
        <f t="shared" si="502"/>
        <v>1</v>
      </c>
      <c r="X281" s="4">
        <f t="shared" si="503"/>
        <v>0</v>
      </c>
      <c r="Y281" s="4">
        <f t="shared" si="504"/>
        <v>0</v>
      </c>
      <c r="Z281" s="4">
        <f t="shared" si="505"/>
        <v>0</v>
      </c>
      <c r="AA281" s="4">
        <f t="shared" si="506"/>
        <v>0</v>
      </c>
      <c r="AB281" s="4">
        <f t="shared" si="507"/>
        <v>0</v>
      </c>
      <c r="AC281" s="4"/>
      <c r="AD281" s="4" t="b">
        <f t="shared" si="508"/>
        <v>0</v>
      </c>
      <c r="AE281" s="4" t="b">
        <f t="shared" si="509"/>
        <v>0</v>
      </c>
      <c r="AF281" s="4" t="b">
        <f t="shared" si="510"/>
        <v>0</v>
      </c>
      <c r="AG281" t="b">
        <f t="shared" si="511"/>
        <v>0</v>
      </c>
      <c r="AH281" t="b">
        <f t="shared" si="512"/>
        <v>0</v>
      </c>
      <c r="AI281" t="b">
        <f t="shared" si="513"/>
        <v>0</v>
      </c>
      <c r="AJ281" t="b">
        <f t="shared" si="514"/>
        <v>0</v>
      </c>
      <c r="AK281" t="b">
        <f t="shared" si="515"/>
        <v>0</v>
      </c>
      <c r="AL281" t="b">
        <f t="shared" si="516"/>
        <v>0</v>
      </c>
      <c r="AM281" t="b">
        <f t="shared" si="517"/>
        <v>0</v>
      </c>
      <c r="AN281" t="b">
        <f t="shared" si="518"/>
        <v>0</v>
      </c>
      <c r="AO281" t="b">
        <f t="shared" si="519"/>
        <v>0</v>
      </c>
      <c r="AP281" t="b">
        <f t="shared" si="520"/>
        <v>0</v>
      </c>
      <c r="AQ281" t="b">
        <f t="shared" si="521"/>
        <v>0</v>
      </c>
      <c r="AR281" t="b">
        <f t="shared" si="522"/>
        <v>0</v>
      </c>
      <c r="AS281" t="b">
        <f t="shared" si="523"/>
        <v>0</v>
      </c>
      <c r="AT281" t="b">
        <f t="shared" si="524"/>
        <v>0</v>
      </c>
      <c r="AU281" t="b">
        <f t="shared" si="525"/>
        <v>0</v>
      </c>
      <c r="AV281" t="b">
        <f t="shared" si="526"/>
        <v>0</v>
      </c>
      <c r="AW281" t="b">
        <f t="shared" si="527"/>
        <v>0</v>
      </c>
      <c r="AX281" t="b">
        <f t="shared" si="529"/>
        <v>0</v>
      </c>
      <c r="AY281" t="b">
        <f t="shared" si="530"/>
        <v>0</v>
      </c>
      <c r="AZ281" t="b">
        <f t="shared" si="531"/>
        <v>0</v>
      </c>
      <c r="BA281" t="b">
        <f t="shared" si="532"/>
        <v>0</v>
      </c>
      <c r="BB281" t="b">
        <f t="shared" si="533"/>
        <v>0</v>
      </c>
      <c r="BC281" t="b">
        <f t="shared" si="534"/>
        <v>0</v>
      </c>
      <c r="BD281" t="b">
        <f t="shared" si="535"/>
        <v>0</v>
      </c>
      <c r="BE281" t="b">
        <f t="shared" si="536"/>
        <v>0</v>
      </c>
      <c r="BF281" t="b">
        <f t="shared" si="537"/>
        <v>0</v>
      </c>
      <c r="BG281" t="b">
        <f t="shared" si="538"/>
        <v>0</v>
      </c>
      <c r="BH281" t="b">
        <f t="shared" si="539"/>
        <v>0</v>
      </c>
      <c r="BI281">
        <f t="shared" si="540"/>
        <v>1</v>
      </c>
      <c r="BJ281" t="b">
        <f t="shared" si="541"/>
        <v>0</v>
      </c>
      <c r="BK281" t="b">
        <f t="shared" si="542"/>
        <v>0</v>
      </c>
      <c r="BL281" t="b">
        <f t="shared" si="543"/>
        <v>0</v>
      </c>
      <c r="BM281" t="b">
        <f t="shared" si="544"/>
        <v>0</v>
      </c>
      <c r="BN281" t="b">
        <f t="shared" si="545"/>
        <v>0</v>
      </c>
      <c r="BO281" t="b">
        <f t="shared" si="546"/>
        <v>0</v>
      </c>
      <c r="BP281" t="b">
        <f t="shared" si="547"/>
        <v>0</v>
      </c>
      <c r="BQ281" t="b">
        <f t="shared" si="548"/>
        <v>0</v>
      </c>
      <c r="BR281" t="b">
        <f t="shared" si="549"/>
        <v>0</v>
      </c>
      <c r="BS281" t="b">
        <f t="shared" si="550"/>
        <v>0</v>
      </c>
      <c r="BT281" t="b">
        <f t="shared" si="551"/>
        <v>0</v>
      </c>
      <c r="BU281" t="b">
        <f t="shared" si="552"/>
        <v>0</v>
      </c>
      <c r="BV281" t="b">
        <f t="shared" si="553"/>
        <v>0</v>
      </c>
      <c r="BW281" t="b">
        <f t="shared" si="554"/>
        <v>0</v>
      </c>
      <c r="BX281" t="b">
        <f t="shared" si="555"/>
        <v>0</v>
      </c>
      <c r="BY281" t="b">
        <f t="shared" si="556"/>
        <v>0</v>
      </c>
      <c r="BZ281" t="b">
        <f t="shared" si="557"/>
        <v>0</v>
      </c>
      <c r="CA281" t="b">
        <f t="shared" si="558"/>
        <v>0</v>
      </c>
      <c r="CB281" t="b">
        <f t="shared" si="559"/>
        <v>0</v>
      </c>
      <c r="CC281" t="b">
        <f t="shared" si="560"/>
        <v>0</v>
      </c>
      <c r="CD281" t="b">
        <f t="shared" si="561"/>
        <v>0</v>
      </c>
      <c r="CE281" t="b">
        <f t="shared" si="562"/>
        <v>0</v>
      </c>
      <c r="CF281" t="b">
        <f t="shared" si="563"/>
        <v>0</v>
      </c>
      <c r="CG281" t="b">
        <f t="shared" si="564"/>
        <v>0</v>
      </c>
      <c r="CH281" t="b">
        <f t="shared" si="565"/>
        <v>0</v>
      </c>
      <c r="CI281" t="b">
        <f t="shared" si="566"/>
        <v>0</v>
      </c>
      <c r="CJ281" t="b">
        <f t="shared" si="567"/>
        <v>0</v>
      </c>
      <c r="CK281" t="b">
        <f t="shared" si="568"/>
        <v>0</v>
      </c>
      <c r="CL281" t="b">
        <f t="shared" si="569"/>
        <v>0</v>
      </c>
      <c r="CM281" t="b">
        <f t="shared" si="570"/>
        <v>0</v>
      </c>
      <c r="CN281" t="b">
        <f t="shared" si="571"/>
        <v>0</v>
      </c>
      <c r="CO281" t="b">
        <f t="shared" si="572"/>
        <v>0</v>
      </c>
      <c r="CP281" t="b">
        <f t="shared" si="573"/>
        <v>0</v>
      </c>
      <c r="CQ281" t="b">
        <f t="shared" si="574"/>
        <v>0</v>
      </c>
      <c r="CR281" t="b">
        <f t="shared" si="575"/>
        <v>0</v>
      </c>
      <c r="CS281" t="b">
        <f t="shared" si="576"/>
        <v>0</v>
      </c>
      <c r="CT281" t="b">
        <f t="shared" si="577"/>
        <v>0</v>
      </c>
      <c r="CU281" t="b">
        <f t="shared" si="578"/>
        <v>0</v>
      </c>
      <c r="CV281">
        <f t="shared" si="579"/>
        <v>1</v>
      </c>
      <c r="CW281" t="b">
        <f t="shared" si="580"/>
        <v>0</v>
      </c>
      <c r="CX281" t="b">
        <f t="shared" si="581"/>
        <v>0</v>
      </c>
      <c r="CY281" t="b">
        <f t="shared" si="582"/>
        <v>0</v>
      </c>
      <c r="CZ281" t="b">
        <f t="shared" si="583"/>
        <v>0</v>
      </c>
      <c r="DA281" t="b">
        <f t="shared" si="584"/>
        <v>0</v>
      </c>
      <c r="DB281" t="b">
        <f t="shared" si="585"/>
        <v>0</v>
      </c>
      <c r="DC281" t="b">
        <f t="shared" si="586"/>
        <v>0</v>
      </c>
      <c r="DD281" t="b">
        <f t="shared" si="587"/>
        <v>0</v>
      </c>
      <c r="DE281" t="b">
        <f t="shared" si="588"/>
        <v>0</v>
      </c>
      <c r="DF281" t="b">
        <f t="shared" si="589"/>
        <v>0</v>
      </c>
      <c r="DG281" t="b">
        <f t="shared" si="590"/>
        <v>0</v>
      </c>
      <c r="DH281" t="b">
        <f t="shared" si="591"/>
        <v>0</v>
      </c>
      <c r="DI281" t="b">
        <f t="shared" si="592"/>
        <v>0</v>
      </c>
      <c r="DJ281" t="b">
        <f t="shared" si="593"/>
        <v>0</v>
      </c>
      <c r="DK281" t="b">
        <f t="shared" si="594"/>
        <v>0</v>
      </c>
      <c r="DL281" t="b">
        <f t="shared" si="595"/>
        <v>0</v>
      </c>
      <c r="DM281" t="b">
        <f t="shared" si="596"/>
        <v>0</v>
      </c>
      <c r="DN281" t="b">
        <f t="shared" si="597"/>
        <v>0</v>
      </c>
      <c r="DO281" t="b">
        <f t="shared" si="598"/>
        <v>0</v>
      </c>
      <c r="DP281" t="b">
        <f t="shared" si="599"/>
        <v>0</v>
      </c>
      <c r="DQ281" t="b">
        <f t="shared" si="600"/>
        <v>0</v>
      </c>
      <c r="DR281" t="b">
        <f t="shared" si="601"/>
        <v>0</v>
      </c>
      <c r="DS281" t="b">
        <f t="shared" si="602"/>
        <v>0</v>
      </c>
      <c r="DT281" t="b">
        <f t="shared" si="603"/>
        <v>0</v>
      </c>
      <c r="DU281" t="b">
        <f t="shared" si="604"/>
        <v>0</v>
      </c>
      <c r="DV281" t="b">
        <f t="shared" si="605"/>
        <v>0</v>
      </c>
      <c r="DW281" t="b">
        <f t="shared" si="606"/>
        <v>0</v>
      </c>
      <c r="DX281" t="b">
        <f t="shared" si="607"/>
        <v>0</v>
      </c>
      <c r="DY281" t="b">
        <f t="shared" si="608"/>
        <v>0</v>
      </c>
      <c r="DZ281" t="b">
        <f t="shared" si="609"/>
        <v>0</v>
      </c>
      <c r="EA281" t="b">
        <f t="shared" si="610"/>
        <v>0</v>
      </c>
      <c r="EB281" t="b">
        <f t="shared" si="611"/>
        <v>0</v>
      </c>
      <c r="EC281" t="b">
        <f t="shared" si="612"/>
        <v>0</v>
      </c>
      <c r="ED281" t="b">
        <f t="shared" si="613"/>
        <v>0</v>
      </c>
      <c r="EE281" t="b">
        <f t="shared" si="614"/>
        <v>0</v>
      </c>
      <c r="EF281">
        <f t="shared" si="615"/>
        <v>1</v>
      </c>
      <c r="EG281" t="b">
        <f t="shared" si="616"/>
        <v>0</v>
      </c>
      <c r="EH281" t="b">
        <f t="shared" si="617"/>
        <v>0</v>
      </c>
      <c r="EI281" t="b">
        <f t="shared" si="618"/>
        <v>0</v>
      </c>
      <c r="EJ281" t="b">
        <f t="shared" si="619"/>
        <v>0</v>
      </c>
      <c r="EK281" t="b">
        <f t="shared" si="620"/>
        <v>0</v>
      </c>
    </row>
    <row r="282" spans="1:141">
      <c r="A282" t="s">
        <v>1500</v>
      </c>
      <c r="B282" t="s">
        <v>1501</v>
      </c>
      <c r="C282" t="s">
        <v>1502</v>
      </c>
      <c r="D282" s="1">
        <v>42566</v>
      </c>
      <c r="E282" s="2">
        <v>42639.843645833331</v>
      </c>
      <c r="F282" s="2">
        <v>42639.843645833331</v>
      </c>
      <c r="G282">
        <v>2191565</v>
      </c>
      <c r="H282" t="s">
        <v>1503</v>
      </c>
      <c r="I282" s="10" t="s">
        <v>1504</v>
      </c>
      <c r="J282" t="s">
        <v>147</v>
      </c>
      <c r="K282" s="8" t="b">
        <v>1</v>
      </c>
      <c r="L282" s="10" t="b">
        <v>0</v>
      </c>
      <c r="M282" s="12" t="b">
        <v>0</v>
      </c>
      <c r="N282" t="b">
        <v>0</v>
      </c>
      <c r="O282" t="b">
        <v>0</v>
      </c>
      <c r="P282" t="b">
        <v>0</v>
      </c>
      <c r="Q282">
        <f t="shared" si="497"/>
        <v>6</v>
      </c>
      <c r="R282">
        <f t="shared" si="498"/>
        <v>7</v>
      </c>
      <c r="S282" t="e">
        <f t="shared" ca="1" si="528"/>
        <v>#NAME?</v>
      </c>
      <c r="T282" t="e">
        <f t="shared" ca="1" si="499"/>
        <v>#NAME?</v>
      </c>
      <c r="U282" s="4">
        <f t="shared" si="500"/>
        <v>73.843645833330811</v>
      </c>
      <c r="V282" s="4">
        <f t="shared" si="501"/>
        <v>2.4614548611110272</v>
      </c>
      <c r="W282" s="4">
        <f t="shared" si="502"/>
        <v>1</v>
      </c>
      <c r="X282" s="4">
        <f t="shared" si="503"/>
        <v>0</v>
      </c>
      <c r="Y282" s="4">
        <f t="shared" si="504"/>
        <v>0</v>
      </c>
      <c r="Z282" s="4">
        <f t="shared" si="505"/>
        <v>0</v>
      </c>
      <c r="AA282" s="4">
        <f t="shared" si="506"/>
        <v>0</v>
      </c>
      <c r="AB282" s="4">
        <f t="shared" si="507"/>
        <v>0</v>
      </c>
      <c r="AC282" s="4"/>
      <c r="AD282" s="4" t="b">
        <f t="shared" si="508"/>
        <v>0</v>
      </c>
      <c r="AE282" s="4" t="b">
        <f t="shared" si="509"/>
        <v>0</v>
      </c>
      <c r="AF282" s="4" t="b">
        <f t="shared" si="510"/>
        <v>0</v>
      </c>
      <c r="AG282" t="b">
        <f t="shared" si="511"/>
        <v>0</v>
      </c>
      <c r="AH282" t="b">
        <f t="shared" si="512"/>
        <v>0</v>
      </c>
      <c r="AI282" t="b">
        <f t="shared" si="513"/>
        <v>0</v>
      </c>
      <c r="AJ282" t="b">
        <f t="shared" si="514"/>
        <v>0</v>
      </c>
      <c r="AK282" t="b">
        <f t="shared" si="515"/>
        <v>0</v>
      </c>
      <c r="AL282" t="b">
        <f t="shared" si="516"/>
        <v>0</v>
      </c>
      <c r="AM282" t="b">
        <f t="shared" si="517"/>
        <v>0</v>
      </c>
      <c r="AN282" t="b">
        <f t="shared" si="518"/>
        <v>0</v>
      </c>
      <c r="AO282" t="b">
        <f t="shared" si="519"/>
        <v>0</v>
      </c>
      <c r="AP282" t="b">
        <f t="shared" si="520"/>
        <v>0</v>
      </c>
      <c r="AQ282" t="b">
        <f t="shared" si="521"/>
        <v>0</v>
      </c>
      <c r="AR282" t="b">
        <f t="shared" si="522"/>
        <v>0</v>
      </c>
      <c r="AS282" t="b">
        <f t="shared" si="523"/>
        <v>0</v>
      </c>
      <c r="AT282" t="b">
        <f t="shared" si="524"/>
        <v>0</v>
      </c>
      <c r="AU282" t="b">
        <f t="shared" si="525"/>
        <v>0</v>
      </c>
      <c r="AV282" t="b">
        <f t="shared" si="526"/>
        <v>0</v>
      </c>
      <c r="AW282" t="b">
        <f t="shared" si="527"/>
        <v>0</v>
      </c>
      <c r="AX282" t="b">
        <f t="shared" si="529"/>
        <v>0</v>
      </c>
      <c r="AY282" t="b">
        <f t="shared" si="530"/>
        <v>0</v>
      </c>
      <c r="AZ282" t="b">
        <f t="shared" si="531"/>
        <v>0</v>
      </c>
      <c r="BA282" t="b">
        <f t="shared" si="532"/>
        <v>0</v>
      </c>
      <c r="BB282" t="b">
        <f t="shared" si="533"/>
        <v>0</v>
      </c>
      <c r="BC282" t="b">
        <f t="shared" si="534"/>
        <v>0</v>
      </c>
      <c r="BD282" t="b">
        <f t="shared" si="535"/>
        <v>0</v>
      </c>
      <c r="BE282" t="b">
        <f t="shared" si="536"/>
        <v>0</v>
      </c>
      <c r="BF282" t="b">
        <f t="shared" si="537"/>
        <v>0</v>
      </c>
      <c r="BG282" t="b">
        <f t="shared" si="538"/>
        <v>0</v>
      </c>
      <c r="BH282" t="b">
        <f t="shared" si="539"/>
        <v>0</v>
      </c>
      <c r="BI282">
        <f t="shared" si="540"/>
        <v>1</v>
      </c>
      <c r="BJ282" t="b">
        <f t="shared" si="541"/>
        <v>0</v>
      </c>
      <c r="BK282" t="b">
        <f t="shared" si="542"/>
        <v>0</v>
      </c>
      <c r="BL282" t="b">
        <f t="shared" si="543"/>
        <v>0</v>
      </c>
      <c r="BM282" t="b">
        <f t="shared" si="544"/>
        <v>0</v>
      </c>
      <c r="BN282" t="b">
        <f t="shared" si="545"/>
        <v>0</v>
      </c>
      <c r="BO282" t="b">
        <f t="shared" si="546"/>
        <v>0</v>
      </c>
      <c r="BP282" t="b">
        <f t="shared" si="547"/>
        <v>0</v>
      </c>
      <c r="BQ282" t="b">
        <f t="shared" si="548"/>
        <v>0</v>
      </c>
      <c r="BR282" t="b">
        <f t="shared" si="549"/>
        <v>0</v>
      </c>
      <c r="BS282" t="b">
        <f t="shared" si="550"/>
        <v>0</v>
      </c>
      <c r="BT282" t="b">
        <f t="shared" si="551"/>
        <v>0</v>
      </c>
      <c r="BU282" t="b">
        <f t="shared" si="552"/>
        <v>0</v>
      </c>
      <c r="BV282" t="b">
        <f t="shared" si="553"/>
        <v>0</v>
      </c>
      <c r="BW282" t="b">
        <f t="shared" si="554"/>
        <v>0</v>
      </c>
      <c r="BX282" t="b">
        <f t="shared" si="555"/>
        <v>0</v>
      </c>
      <c r="BY282" t="b">
        <f t="shared" si="556"/>
        <v>0</v>
      </c>
      <c r="BZ282" t="b">
        <f t="shared" si="557"/>
        <v>0</v>
      </c>
      <c r="CA282" t="b">
        <f t="shared" si="558"/>
        <v>0</v>
      </c>
      <c r="CB282" t="b">
        <f t="shared" si="559"/>
        <v>0</v>
      </c>
      <c r="CC282" t="b">
        <f t="shared" si="560"/>
        <v>0</v>
      </c>
      <c r="CD282" t="b">
        <f t="shared" si="561"/>
        <v>0</v>
      </c>
      <c r="CE282" t="b">
        <f t="shared" si="562"/>
        <v>0</v>
      </c>
      <c r="CF282" t="b">
        <f t="shared" si="563"/>
        <v>0</v>
      </c>
      <c r="CG282" t="b">
        <f t="shared" si="564"/>
        <v>0</v>
      </c>
      <c r="CH282" t="b">
        <f t="shared" si="565"/>
        <v>0</v>
      </c>
      <c r="CI282" t="b">
        <f t="shared" si="566"/>
        <v>0</v>
      </c>
      <c r="CJ282" t="b">
        <f t="shared" si="567"/>
        <v>0</v>
      </c>
      <c r="CK282" t="b">
        <f t="shared" si="568"/>
        <v>0</v>
      </c>
      <c r="CL282" t="b">
        <f t="shared" si="569"/>
        <v>0</v>
      </c>
      <c r="CM282" t="b">
        <f t="shared" si="570"/>
        <v>0</v>
      </c>
      <c r="CN282" t="b">
        <f t="shared" si="571"/>
        <v>0</v>
      </c>
      <c r="CO282" t="b">
        <f t="shared" si="572"/>
        <v>0</v>
      </c>
      <c r="CP282" t="b">
        <f t="shared" si="573"/>
        <v>0</v>
      </c>
      <c r="CQ282" t="b">
        <f t="shared" si="574"/>
        <v>0</v>
      </c>
      <c r="CR282" t="b">
        <f t="shared" si="575"/>
        <v>0</v>
      </c>
      <c r="CS282" t="b">
        <f t="shared" si="576"/>
        <v>0</v>
      </c>
      <c r="CT282" t="b">
        <f t="shared" si="577"/>
        <v>0</v>
      </c>
      <c r="CU282" t="b">
        <f t="shared" si="578"/>
        <v>0</v>
      </c>
      <c r="CV282">
        <f t="shared" si="579"/>
        <v>1</v>
      </c>
      <c r="CW282" t="b">
        <f t="shared" si="580"/>
        <v>0</v>
      </c>
      <c r="CX282" t="b">
        <f t="shared" si="581"/>
        <v>0</v>
      </c>
      <c r="CY282" t="b">
        <f t="shared" si="582"/>
        <v>0</v>
      </c>
      <c r="CZ282" t="b">
        <f t="shared" si="583"/>
        <v>0</v>
      </c>
      <c r="DA282" t="b">
        <f t="shared" si="584"/>
        <v>0</v>
      </c>
      <c r="DB282" t="b">
        <f t="shared" si="585"/>
        <v>0</v>
      </c>
      <c r="DC282" t="b">
        <f t="shared" si="586"/>
        <v>0</v>
      </c>
      <c r="DD282" t="b">
        <f t="shared" si="587"/>
        <v>0</v>
      </c>
      <c r="DE282" t="b">
        <f t="shared" si="588"/>
        <v>0</v>
      </c>
      <c r="DF282" t="b">
        <f t="shared" si="589"/>
        <v>0</v>
      </c>
      <c r="DG282" t="b">
        <f t="shared" si="590"/>
        <v>0</v>
      </c>
      <c r="DH282" t="b">
        <f t="shared" si="591"/>
        <v>0</v>
      </c>
      <c r="DI282" t="b">
        <f t="shared" si="592"/>
        <v>0</v>
      </c>
      <c r="DJ282" t="b">
        <f t="shared" si="593"/>
        <v>0</v>
      </c>
      <c r="DK282" t="b">
        <f t="shared" si="594"/>
        <v>0</v>
      </c>
      <c r="DL282" t="b">
        <f t="shared" si="595"/>
        <v>0</v>
      </c>
      <c r="DM282" t="b">
        <f t="shared" si="596"/>
        <v>0</v>
      </c>
      <c r="DN282" t="b">
        <f t="shared" si="597"/>
        <v>0</v>
      </c>
      <c r="DO282" t="b">
        <f t="shared" si="598"/>
        <v>0</v>
      </c>
      <c r="DP282" t="b">
        <f t="shared" si="599"/>
        <v>0</v>
      </c>
      <c r="DQ282" t="b">
        <f t="shared" si="600"/>
        <v>0</v>
      </c>
      <c r="DR282" t="b">
        <f t="shared" si="601"/>
        <v>0</v>
      </c>
      <c r="DS282" t="b">
        <f t="shared" si="602"/>
        <v>0</v>
      </c>
      <c r="DT282" t="b">
        <f t="shared" si="603"/>
        <v>0</v>
      </c>
      <c r="DU282" t="b">
        <f t="shared" si="604"/>
        <v>0</v>
      </c>
      <c r="DV282" t="b">
        <f t="shared" si="605"/>
        <v>0</v>
      </c>
      <c r="DW282" t="b">
        <f t="shared" si="606"/>
        <v>0</v>
      </c>
      <c r="DX282" t="b">
        <f t="shared" si="607"/>
        <v>0</v>
      </c>
      <c r="DY282" t="b">
        <f t="shared" si="608"/>
        <v>0</v>
      </c>
      <c r="DZ282" t="b">
        <f t="shared" si="609"/>
        <v>0</v>
      </c>
      <c r="EA282" t="b">
        <f t="shared" si="610"/>
        <v>0</v>
      </c>
      <c r="EB282" t="b">
        <f t="shared" si="611"/>
        <v>0</v>
      </c>
      <c r="EC282" t="b">
        <f t="shared" si="612"/>
        <v>0</v>
      </c>
      <c r="ED282" t="b">
        <f t="shared" si="613"/>
        <v>0</v>
      </c>
      <c r="EE282" t="b">
        <f t="shared" si="614"/>
        <v>0</v>
      </c>
      <c r="EF282" t="b">
        <f t="shared" si="615"/>
        <v>0</v>
      </c>
      <c r="EG282" t="b">
        <f t="shared" si="616"/>
        <v>0</v>
      </c>
      <c r="EH282" t="b">
        <f t="shared" si="617"/>
        <v>0</v>
      </c>
      <c r="EI282" t="b">
        <f t="shared" si="618"/>
        <v>0</v>
      </c>
      <c r="EJ282" t="b">
        <f t="shared" si="619"/>
        <v>0</v>
      </c>
      <c r="EK282" t="b">
        <f t="shared" si="620"/>
        <v>0</v>
      </c>
    </row>
    <row r="283" spans="1:141">
      <c r="A283" t="s">
        <v>1505</v>
      </c>
      <c r="B283" t="s">
        <v>1505</v>
      </c>
      <c r="C283" t="s">
        <v>1506</v>
      </c>
      <c r="D283" s="1">
        <v>43465</v>
      </c>
      <c r="E283" s="2">
        <v>44337.197430555556</v>
      </c>
      <c r="F283" s="2">
        <v>44337.198020833333</v>
      </c>
      <c r="G283">
        <v>4216063</v>
      </c>
      <c r="H283" t="s">
        <v>1507</v>
      </c>
      <c r="I283" s="10" t="s">
        <v>1508</v>
      </c>
      <c r="J283" t="s">
        <v>1509</v>
      </c>
      <c r="K283" s="8" t="b">
        <v>1</v>
      </c>
      <c r="L283" s="10" t="b">
        <v>0</v>
      </c>
      <c r="M283" s="12" t="b">
        <v>0</v>
      </c>
      <c r="N283" t="b">
        <v>0</v>
      </c>
      <c r="O283" t="b">
        <v>0</v>
      </c>
      <c r="P283" t="b">
        <v>0</v>
      </c>
      <c r="Q283">
        <f t="shared" si="497"/>
        <v>2</v>
      </c>
      <c r="R283">
        <f t="shared" si="498"/>
        <v>12</v>
      </c>
      <c r="S283" t="e">
        <f t="shared" ca="1" si="528"/>
        <v>#NAME?</v>
      </c>
      <c r="T283" t="e">
        <f t="shared" ca="1" si="499"/>
        <v>#NAME?</v>
      </c>
      <c r="U283" s="4">
        <f t="shared" si="500"/>
        <v>872.19743055555591</v>
      </c>
      <c r="V283" s="4">
        <f t="shared" si="501"/>
        <v>29.073247685185198</v>
      </c>
      <c r="W283" s="4">
        <f t="shared" si="502"/>
        <v>1</v>
      </c>
      <c r="X283" s="4">
        <f t="shared" si="503"/>
        <v>0</v>
      </c>
      <c r="Y283" s="4">
        <f t="shared" si="504"/>
        <v>0</v>
      </c>
      <c r="Z283" s="4">
        <f t="shared" si="505"/>
        <v>0</v>
      </c>
      <c r="AA283" s="4">
        <f t="shared" si="506"/>
        <v>0</v>
      </c>
      <c r="AB283" s="4">
        <f t="shared" si="507"/>
        <v>0</v>
      </c>
      <c r="AC283" s="4"/>
      <c r="AD283" s="4" t="b">
        <f t="shared" si="508"/>
        <v>0</v>
      </c>
      <c r="AE283" s="4" t="b">
        <f t="shared" si="509"/>
        <v>0</v>
      </c>
      <c r="AF283" s="4" t="b">
        <f t="shared" si="510"/>
        <v>0</v>
      </c>
      <c r="AG283" t="b">
        <f t="shared" si="511"/>
        <v>0</v>
      </c>
      <c r="AH283" t="b">
        <f t="shared" si="512"/>
        <v>0</v>
      </c>
      <c r="AI283" t="b">
        <f t="shared" si="513"/>
        <v>0</v>
      </c>
      <c r="AJ283" t="b">
        <f t="shared" si="514"/>
        <v>0</v>
      </c>
      <c r="AK283" t="b">
        <f t="shared" si="515"/>
        <v>0</v>
      </c>
      <c r="AL283" t="b">
        <f t="shared" si="516"/>
        <v>0</v>
      </c>
      <c r="AM283" t="b">
        <f t="shared" si="517"/>
        <v>0</v>
      </c>
      <c r="AN283" t="b">
        <f t="shared" si="518"/>
        <v>0</v>
      </c>
      <c r="AO283" t="b">
        <f t="shared" si="519"/>
        <v>0</v>
      </c>
      <c r="AP283" t="b">
        <f t="shared" si="520"/>
        <v>0</v>
      </c>
      <c r="AQ283" t="b">
        <f t="shared" si="521"/>
        <v>0</v>
      </c>
      <c r="AR283" t="b">
        <f t="shared" si="522"/>
        <v>0</v>
      </c>
      <c r="AS283" t="b">
        <f t="shared" si="523"/>
        <v>0</v>
      </c>
      <c r="AT283" t="b">
        <f t="shared" si="524"/>
        <v>0</v>
      </c>
      <c r="AU283" t="b">
        <f t="shared" si="525"/>
        <v>0</v>
      </c>
      <c r="AV283" t="b">
        <f t="shared" si="526"/>
        <v>0</v>
      </c>
      <c r="AW283" t="b">
        <f t="shared" si="527"/>
        <v>0</v>
      </c>
      <c r="AX283" t="b">
        <f t="shared" si="529"/>
        <v>0</v>
      </c>
      <c r="AY283" t="b">
        <f t="shared" si="530"/>
        <v>0</v>
      </c>
      <c r="AZ283">
        <f t="shared" si="531"/>
        <v>1</v>
      </c>
      <c r="BA283" t="b">
        <f t="shared" si="532"/>
        <v>0</v>
      </c>
      <c r="BB283" t="b">
        <f t="shared" si="533"/>
        <v>0</v>
      </c>
      <c r="BC283" t="b">
        <f t="shared" si="534"/>
        <v>0</v>
      </c>
      <c r="BD283" t="b">
        <f t="shared" si="535"/>
        <v>0</v>
      </c>
      <c r="BE283" t="b">
        <f t="shared" si="536"/>
        <v>0</v>
      </c>
      <c r="BF283" t="b">
        <f t="shared" si="537"/>
        <v>0</v>
      </c>
      <c r="BG283" t="b">
        <f t="shared" si="538"/>
        <v>0</v>
      </c>
      <c r="BH283" t="b">
        <f t="shared" si="539"/>
        <v>0</v>
      </c>
      <c r="BI283">
        <f t="shared" si="540"/>
        <v>1</v>
      </c>
      <c r="BJ283" t="b">
        <f t="shared" si="541"/>
        <v>0</v>
      </c>
      <c r="BK283" t="b">
        <f t="shared" si="542"/>
        <v>0</v>
      </c>
      <c r="BL283" t="b">
        <f t="shared" si="543"/>
        <v>0</v>
      </c>
      <c r="BM283" t="b">
        <f t="shared" si="544"/>
        <v>0</v>
      </c>
      <c r="BN283" t="b">
        <f t="shared" si="545"/>
        <v>0</v>
      </c>
      <c r="BO283" t="b">
        <f t="shared" si="546"/>
        <v>0</v>
      </c>
      <c r="BP283" t="b">
        <f t="shared" si="547"/>
        <v>0</v>
      </c>
      <c r="BQ283" t="b">
        <f t="shared" si="548"/>
        <v>0</v>
      </c>
      <c r="BR283" t="b">
        <f t="shared" si="549"/>
        <v>0</v>
      </c>
      <c r="BS283">
        <f t="shared" si="550"/>
        <v>1</v>
      </c>
      <c r="BT283" t="b">
        <f t="shared" si="551"/>
        <v>0</v>
      </c>
      <c r="BU283" t="b">
        <f t="shared" si="552"/>
        <v>0</v>
      </c>
      <c r="BV283" t="b">
        <f t="shared" si="553"/>
        <v>0</v>
      </c>
      <c r="BW283" t="b">
        <f t="shared" si="554"/>
        <v>0</v>
      </c>
      <c r="BX283" t="b">
        <f t="shared" si="555"/>
        <v>0</v>
      </c>
      <c r="BY283" t="b">
        <f t="shared" si="556"/>
        <v>0</v>
      </c>
      <c r="BZ283" t="b">
        <f t="shared" si="557"/>
        <v>0</v>
      </c>
      <c r="CA283" t="b">
        <f t="shared" si="558"/>
        <v>0</v>
      </c>
      <c r="CB283" t="b">
        <f t="shared" si="559"/>
        <v>0</v>
      </c>
      <c r="CC283" t="b">
        <f t="shared" si="560"/>
        <v>0</v>
      </c>
      <c r="CD283" t="b">
        <f t="shared" si="561"/>
        <v>0</v>
      </c>
      <c r="CE283">
        <f t="shared" si="562"/>
        <v>1</v>
      </c>
      <c r="CF283" t="b">
        <f t="shared" si="563"/>
        <v>0</v>
      </c>
      <c r="CG283" t="b">
        <f t="shared" si="564"/>
        <v>0</v>
      </c>
      <c r="CH283" t="b">
        <f t="shared" si="565"/>
        <v>0</v>
      </c>
      <c r="CI283" t="b">
        <f t="shared" si="566"/>
        <v>0</v>
      </c>
      <c r="CJ283" t="b">
        <f t="shared" si="567"/>
        <v>0</v>
      </c>
      <c r="CK283" t="b">
        <f t="shared" si="568"/>
        <v>0</v>
      </c>
      <c r="CL283" t="b">
        <f t="shared" si="569"/>
        <v>0</v>
      </c>
      <c r="CM283">
        <f t="shared" si="570"/>
        <v>1</v>
      </c>
      <c r="CN283" t="b">
        <f t="shared" si="571"/>
        <v>0</v>
      </c>
      <c r="CO283" t="b">
        <f t="shared" si="572"/>
        <v>0</v>
      </c>
      <c r="CP283" t="b">
        <f t="shared" si="573"/>
        <v>0</v>
      </c>
      <c r="CQ283" t="b">
        <f t="shared" si="574"/>
        <v>0</v>
      </c>
      <c r="CR283" t="b">
        <f t="shared" si="575"/>
        <v>0</v>
      </c>
      <c r="CS283" t="b">
        <f t="shared" si="576"/>
        <v>0</v>
      </c>
      <c r="CT283" t="b">
        <f t="shared" si="577"/>
        <v>0</v>
      </c>
      <c r="CU283" t="b">
        <f t="shared" si="578"/>
        <v>0</v>
      </c>
      <c r="CV283">
        <f t="shared" si="579"/>
        <v>1</v>
      </c>
      <c r="CW283" t="b">
        <f t="shared" si="580"/>
        <v>0</v>
      </c>
      <c r="CX283" t="b">
        <f t="shared" si="581"/>
        <v>0</v>
      </c>
      <c r="CY283" t="b">
        <f t="shared" si="582"/>
        <v>0</v>
      </c>
      <c r="CZ283" t="b">
        <f t="shared" si="583"/>
        <v>0</v>
      </c>
      <c r="DA283">
        <f t="shared" si="584"/>
        <v>1</v>
      </c>
      <c r="DB283" t="b">
        <f t="shared" si="585"/>
        <v>0</v>
      </c>
      <c r="DC283" t="b">
        <f t="shared" si="586"/>
        <v>0</v>
      </c>
      <c r="DD283" t="b">
        <f t="shared" si="587"/>
        <v>0</v>
      </c>
      <c r="DE283" t="b">
        <f t="shared" si="588"/>
        <v>0</v>
      </c>
      <c r="DF283" t="b">
        <f t="shared" si="589"/>
        <v>0</v>
      </c>
      <c r="DG283" t="b">
        <f t="shared" si="590"/>
        <v>0</v>
      </c>
      <c r="DH283" t="b">
        <f t="shared" si="591"/>
        <v>0</v>
      </c>
      <c r="DI283" t="b">
        <f t="shared" si="592"/>
        <v>0</v>
      </c>
      <c r="DJ283" t="b">
        <f t="shared" si="593"/>
        <v>0</v>
      </c>
      <c r="DK283" t="b">
        <f t="shared" si="594"/>
        <v>0</v>
      </c>
      <c r="DL283" t="b">
        <f t="shared" si="595"/>
        <v>0</v>
      </c>
      <c r="DM283" t="b">
        <f t="shared" si="596"/>
        <v>0</v>
      </c>
      <c r="DN283" t="b">
        <f t="shared" si="597"/>
        <v>0</v>
      </c>
      <c r="DO283" t="b">
        <f t="shared" si="598"/>
        <v>0</v>
      </c>
      <c r="DP283" t="b">
        <f t="shared" si="599"/>
        <v>0</v>
      </c>
      <c r="DQ283" t="b">
        <f t="shared" si="600"/>
        <v>0</v>
      </c>
      <c r="DR283" t="b">
        <f t="shared" si="601"/>
        <v>0</v>
      </c>
      <c r="DS283" t="b">
        <f t="shared" si="602"/>
        <v>0</v>
      </c>
      <c r="DT283" t="b">
        <f t="shared" si="603"/>
        <v>0</v>
      </c>
      <c r="DU283" t="b">
        <f t="shared" si="604"/>
        <v>0</v>
      </c>
      <c r="DV283" t="b">
        <f t="shared" si="605"/>
        <v>0</v>
      </c>
      <c r="DW283" t="b">
        <f t="shared" si="606"/>
        <v>0</v>
      </c>
      <c r="DX283" t="b">
        <f t="shared" si="607"/>
        <v>0</v>
      </c>
      <c r="DY283" t="b">
        <f t="shared" si="608"/>
        <v>0</v>
      </c>
      <c r="DZ283" t="b">
        <f t="shared" si="609"/>
        <v>0</v>
      </c>
      <c r="EA283" t="b">
        <f t="shared" si="610"/>
        <v>0</v>
      </c>
      <c r="EB283" t="b">
        <f t="shared" si="611"/>
        <v>0</v>
      </c>
      <c r="EC283" t="b">
        <f t="shared" si="612"/>
        <v>0</v>
      </c>
      <c r="ED283" t="b">
        <f t="shared" si="613"/>
        <v>0</v>
      </c>
      <c r="EE283" t="b">
        <f t="shared" si="614"/>
        <v>0</v>
      </c>
      <c r="EF283" t="b">
        <f t="shared" si="615"/>
        <v>0</v>
      </c>
      <c r="EG283" t="b">
        <f t="shared" si="616"/>
        <v>0</v>
      </c>
      <c r="EH283" t="b">
        <f t="shared" si="617"/>
        <v>0</v>
      </c>
      <c r="EI283" t="b">
        <f t="shared" si="618"/>
        <v>0</v>
      </c>
      <c r="EJ283" t="b">
        <f t="shared" si="619"/>
        <v>0</v>
      </c>
      <c r="EK283" t="b">
        <f t="shared" si="620"/>
        <v>0</v>
      </c>
    </row>
    <row r="284" spans="1:141">
      <c r="A284" t="s">
        <v>1510</v>
      </c>
      <c r="B284" t="s">
        <v>1510</v>
      </c>
      <c r="C284" t="s">
        <v>1511</v>
      </c>
      <c r="D284" s="1">
        <v>41930</v>
      </c>
      <c r="E284" s="2">
        <v>43212.34615740741</v>
      </c>
      <c r="F284" s="2">
        <v>43212.352731481478</v>
      </c>
      <c r="G284">
        <v>188847</v>
      </c>
      <c r="H284" t="s">
        <v>1512</v>
      </c>
      <c r="I284" s="10" t="s">
        <v>1513</v>
      </c>
      <c r="J284" t="s">
        <v>188</v>
      </c>
      <c r="K284" s="8" t="b">
        <v>1</v>
      </c>
      <c r="L284" s="10" t="b">
        <v>0</v>
      </c>
      <c r="M284" s="12" t="b">
        <v>0</v>
      </c>
      <c r="N284" t="b">
        <v>0</v>
      </c>
      <c r="O284" t="b">
        <v>0</v>
      </c>
      <c r="P284" t="b">
        <v>0</v>
      </c>
      <c r="Q284">
        <f t="shared" si="497"/>
        <v>7</v>
      </c>
      <c r="R284">
        <f t="shared" si="498"/>
        <v>10</v>
      </c>
      <c r="S284" t="e">
        <f t="shared" ca="1" si="528"/>
        <v>#NAME?</v>
      </c>
      <c r="T284" t="e">
        <f t="shared" ca="1" si="499"/>
        <v>#NAME?</v>
      </c>
      <c r="U284" s="4">
        <f t="shared" si="500"/>
        <v>1282.3461574074099</v>
      </c>
      <c r="V284" s="4">
        <f t="shared" si="501"/>
        <v>42.744871913580333</v>
      </c>
      <c r="W284" s="4">
        <f t="shared" si="502"/>
        <v>1</v>
      </c>
      <c r="X284" s="4">
        <f t="shared" si="503"/>
        <v>0</v>
      </c>
      <c r="Y284" s="4">
        <f t="shared" si="504"/>
        <v>0</v>
      </c>
      <c r="Z284" s="4">
        <f t="shared" si="505"/>
        <v>0</v>
      </c>
      <c r="AA284" s="4">
        <f t="shared" si="506"/>
        <v>0</v>
      </c>
      <c r="AB284" s="4">
        <f t="shared" si="507"/>
        <v>0</v>
      </c>
      <c r="AC284" s="4"/>
      <c r="AD284" s="4" t="b">
        <f t="shared" si="508"/>
        <v>0</v>
      </c>
      <c r="AE284" s="4" t="b">
        <f t="shared" si="509"/>
        <v>0</v>
      </c>
      <c r="AF284" s="4" t="b">
        <f t="shared" si="510"/>
        <v>0</v>
      </c>
      <c r="AG284" t="b">
        <f t="shared" si="511"/>
        <v>0</v>
      </c>
      <c r="AH284" t="b">
        <f t="shared" si="512"/>
        <v>0</v>
      </c>
      <c r="AI284" t="b">
        <f t="shared" si="513"/>
        <v>0</v>
      </c>
      <c r="AJ284" t="b">
        <f t="shared" si="514"/>
        <v>0</v>
      </c>
      <c r="AK284" t="b">
        <f t="shared" si="515"/>
        <v>0</v>
      </c>
      <c r="AL284" t="b">
        <f t="shared" si="516"/>
        <v>0</v>
      </c>
      <c r="AM284" t="b">
        <f t="shared" si="517"/>
        <v>0</v>
      </c>
      <c r="AN284" t="b">
        <f t="shared" si="518"/>
        <v>0</v>
      </c>
      <c r="AO284" t="b">
        <f t="shared" si="519"/>
        <v>0</v>
      </c>
      <c r="AP284" t="b">
        <f t="shared" si="520"/>
        <v>0</v>
      </c>
      <c r="AQ284" t="b">
        <f t="shared" si="521"/>
        <v>0</v>
      </c>
      <c r="AR284" t="b">
        <f t="shared" si="522"/>
        <v>0</v>
      </c>
      <c r="AS284" t="b">
        <f t="shared" si="523"/>
        <v>0</v>
      </c>
      <c r="AT284" t="b">
        <f t="shared" si="524"/>
        <v>0</v>
      </c>
      <c r="AU284" t="b">
        <f t="shared" si="525"/>
        <v>0</v>
      </c>
      <c r="AV284" t="b">
        <f t="shared" si="526"/>
        <v>0</v>
      </c>
      <c r="AW284" t="b">
        <f t="shared" si="527"/>
        <v>0</v>
      </c>
      <c r="AX284" t="b">
        <f t="shared" si="529"/>
        <v>0</v>
      </c>
      <c r="AY284" t="b">
        <f t="shared" si="530"/>
        <v>0</v>
      </c>
      <c r="AZ284" t="b">
        <f t="shared" si="531"/>
        <v>0</v>
      </c>
      <c r="BA284" t="b">
        <f t="shared" si="532"/>
        <v>0</v>
      </c>
      <c r="BB284" t="b">
        <f t="shared" si="533"/>
        <v>0</v>
      </c>
      <c r="BC284" t="b">
        <f t="shared" si="534"/>
        <v>0</v>
      </c>
      <c r="BD284" t="b">
        <f t="shared" si="535"/>
        <v>0</v>
      </c>
      <c r="BE284" t="b">
        <f t="shared" si="536"/>
        <v>0</v>
      </c>
      <c r="BF284" t="b">
        <f t="shared" si="537"/>
        <v>0</v>
      </c>
      <c r="BG284" t="b">
        <f t="shared" si="538"/>
        <v>0</v>
      </c>
      <c r="BH284" t="b">
        <f t="shared" si="539"/>
        <v>0</v>
      </c>
      <c r="BI284">
        <f t="shared" si="540"/>
        <v>1</v>
      </c>
      <c r="BJ284" t="b">
        <f t="shared" si="541"/>
        <v>0</v>
      </c>
      <c r="BK284" t="b">
        <f t="shared" si="542"/>
        <v>0</v>
      </c>
      <c r="BL284" t="b">
        <f t="shared" si="543"/>
        <v>0</v>
      </c>
      <c r="BM284" t="b">
        <f t="shared" si="544"/>
        <v>0</v>
      </c>
      <c r="BN284" t="b">
        <f t="shared" si="545"/>
        <v>0</v>
      </c>
      <c r="BO284" t="b">
        <f t="shared" si="546"/>
        <v>0</v>
      </c>
      <c r="BP284" t="b">
        <f t="shared" si="547"/>
        <v>0</v>
      </c>
      <c r="BQ284" t="b">
        <f t="shared" si="548"/>
        <v>0</v>
      </c>
      <c r="BR284" t="b">
        <f t="shared" si="549"/>
        <v>0</v>
      </c>
      <c r="BS284" t="b">
        <f t="shared" si="550"/>
        <v>0</v>
      </c>
      <c r="BT284" t="b">
        <f t="shared" si="551"/>
        <v>0</v>
      </c>
      <c r="BU284" t="b">
        <f t="shared" si="552"/>
        <v>0</v>
      </c>
      <c r="BV284" t="b">
        <f t="shared" si="553"/>
        <v>0</v>
      </c>
      <c r="BW284" t="b">
        <f t="shared" si="554"/>
        <v>0</v>
      </c>
      <c r="BX284" t="b">
        <f t="shared" si="555"/>
        <v>0</v>
      </c>
      <c r="BY284" t="b">
        <f t="shared" si="556"/>
        <v>0</v>
      </c>
      <c r="BZ284" t="b">
        <f t="shared" si="557"/>
        <v>0</v>
      </c>
      <c r="CA284" t="b">
        <f t="shared" si="558"/>
        <v>0</v>
      </c>
      <c r="CB284" t="b">
        <f t="shared" si="559"/>
        <v>0</v>
      </c>
      <c r="CC284" t="b">
        <f t="shared" si="560"/>
        <v>0</v>
      </c>
      <c r="CD284" t="b">
        <f t="shared" si="561"/>
        <v>0</v>
      </c>
      <c r="CE284">
        <f t="shared" si="562"/>
        <v>1</v>
      </c>
      <c r="CF284" t="b">
        <f t="shared" si="563"/>
        <v>0</v>
      </c>
      <c r="CG284" t="b">
        <f t="shared" si="564"/>
        <v>0</v>
      </c>
      <c r="CH284" t="b">
        <f t="shared" si="565"/>
        <v>0</v>
      </c>
      <c r="CI284" t="b">
        <f t="shared" si="566"/>
        <v>0</v>
      </c>
      <c r="CJ284" t="b">
        <f t="shared" si="567"/>
        <v>0</v>
      </c>
      <c r="CK284" t="b">
        <f t="shared" si="568"/>
        <v>0</v>
      </c>
      <c r="CL284" t="b">
        <f t="shared" si="569"/>
        <v>0</v>
      </c>
      <c r="CM284" t="b">
        <f t="shared" si="570"/>
        <v>0</v>
      </c>
      <c r="CN284" t="b">
        <f t="shared" si="571"/>
        <v>0</v>
      </c>
      <c r="CO284" t="b">
        <f t="shared" si="572"/>
        <v>0</v>
      </c>
      <c r="CP284" t="b">
        <f t="shared" si="573"/>
        <v>0</v>
      </c>
      <c r="CQ284" t="b">
        <f t="shared" si="574"/>
        <v>0</v>
      </c>
      <c r="CR284" t="b">
        <f t="shared" si="575"/>
        <v>0</v>
      </c>
      <c r="CS284" t="b">
        <f t="shared" si="576"/>
        <v>0</v>
      </c>
      <c r="CT284" t="b">
        <f t="shared" si="577"/>
        <v>0</v>
      </c>
      <c r="CU284" t="b">
        <f t="shared" si="578"/>
        <v>0</v>
      </c>
      <c r="CV284">
        <f t="shared" si="579"/>
        <v>1</v>
      </c>
      <c r="CW284" t="b">
        <f t="shared" si="580"/>
        <v>0</v>
      </c>
      <c r="CX284" t="b">
        <f t="shared" si="581"/>
        <v>0</v>
      </c>
      <c r="CY284" t="b">
        <f t="shared" si="582"/>
        <v>0</v>
      </c>
      <c r="CZ284" t="b">
        <f t="shared" si="583"/>
        <v>0</v>
      </c>
      <c r="DA284" t="b">
        <f t="shared" si="584"/>
        <v>0</v>
      </c>
      <c r="DB284" t="b">
        <f t="shared" si="585"/>
        <v>0</v>
      </c>
      <c r="DC284" t="b">
        <f t="shared" si="586"/>
        <v>0</v>
      </c>
      <c r="DD284" t="b">
        <f t="shared" si="587"/>
        <v>0</v>
      </c>
      <c r="DE284" t="b">
        <f t="shared" si="588"/>
        <v>0</v>
      </c>
      <c r="DF284" t="b">
        <f t="shared" si="589"/>
        <v>0</v>
      </c>
      <c r="DG284" t="b">
        <f t="shared" si="590"/>
        <v>0</v>
      </c>
      <c r="DH284" t="b">
        <f t="shared" si="591"/>
        <v>0</v>
      </c>
      <c r="DI284" t="b">
        <f t="shared" si="592"/>
        <v>0</v>
      </c>
      <c r="DJ284" t="b">
        <f t="shared" si="593"/>
        <v>0</v>
      </c>
      <c r="DK284" t="b">
        <f t="shared" si="594"/>
        <v>0</v>
      </c>
      <c r="DL284" t="b">
        <f t="shared" si="595"/>
        <v>0</v>
      </c>
      <c r="DM284" t="b">
        <f t="shared" si="596"/>
        <v>0</v>
      </c>
      <c r="DN284" t="b">
        <f t="shared" si="597"/>
        <v>0</v>
      </c>
      <c r="DO284" t="b">
        <f t="shared" si="598"/>
        <v>0</v>
      </c>
      <c r="DP284" t="b">
        <f t="shared" si="599"/>
        <v>0</v>
      </c>
      <c r="DQ284" t="b">
        <f t="shared" si="600"/>
        <v>0</v>
      </c>
      <c r="DR284" t="b">
        <f t="shared" si="601"/>
        <v>0</v>
      </c>
      <c r="DS284" t="b">
        <f t="shared" si="602"/>
        <v>0</v>
      </c>
      <c r="DT284" t="b">
        <f t="shared" si="603"/>
        <v>0</v>
      </c>
      <c r="DU284" t="b">
        <f t="shared" si="604"/>
        <v>0</v>
      </c>
      <c r="DV284" t="b">
        <f t="shared" si="605"/>
        <v>0</v>
      </c>
      <c r="DW284" t="b">
        <f t="shared" si="606"/>
        <v>0</v>
      </c>
      <c r="DX284" t="b">
        <f t="shared" si="607"/>
        <v>0</v>
      </c>
      <c r="DY284" t="b">
        <f t="shared" si="608"/>
        <v>0</v>
      </c>
      <c r="DZ284" t="b">
        <f t="shared" si="609"/>
        <v>0</v>
      </c>
      <c r="EA284" t="b">
        <f t="shared" si="610"/>
        <v>0</v>
      </c>
      <c r="EB284" t="b">
        <f t="shared" si="611"/>
        <v>0</v>
      </c>
      <c r="EC284" t="b">
        <f t="shared" si="612"/>
        <v>0</v>
      </c>
      <c r="ED284" t="b">
        <f t="shared" si="613"/>
        <v>0</v>
      </c>
      <c r="EE284" t="b">
        <f t="shared" si="614"/>
        <v>0</v>
      </c>
      <c r="EF284">
        <f t="shared" si="615"/>
        <v>1</v>
      </c>
      <c r="EG284" t="b">
        <f t="shared" si="616"/>
        <v>0</v>
      </c>
      <c r="EH284" t="b">
        <f t="shared" si="617"/>
        <v>0</v>
      </c>
      <c r="EI284" t="b">
        <f t="shared" si="618"/>
        <v>0</v>
      </c>
      <c r="EJ284" t="b">
        <f t="shared" si="619"/>
        <v>0</v>
      </c>
      <c r="EK284" t="b">
        <f t="shared" si="620"/>
        <v>0</v>
      </c>
    </row>
    <row r="285" spans="1:141">
      <c r="A285" t="s">
        <v>1514</v>
      </c>
      <c r="B285" t="s">
        <v>1514</v>
      </c>
      <c r="C285" t="s">
        <v>1515</v>
      </c>
      <c r="D285" s="1">
        <v>44428</v>
      </c>
      <c r="E285" s="2">
        <v>44434.242002314815</v>
      </c>
      <c r="F285" s="2">
        <v>44434.242002314815</v>
      </c>
      <c r="G285">
        <v>878209</v>
      </c>
      <c r="H285" t="s">
        <v>1516</v>
      </c>
      <c r="I285" s="10" t="s">
        <v>1517</v>
      </c>
      <c r="J285" t="s">
        <v>1518</v>
      </c>
      <c r="K285" s="8" t="b">
        <v>1</v>
      </c>
      <c r="L285" s="10" t="b">
        <v>0</v>
      </c>
      <c r="M285" s="12" t="b">
        <v>0</v>
      </c>
      <c r="N285" t="b">
        <v>0</v>
      </c>
      <c r="O285" t="b">
        <v>0</v>
      </c>
      <c r="P285" t="b">
        <v>0</v>
      </c>
      <c r="Q285">
        <f t="shared" si="497"/>
        <v>6</v>
      </c>
      <c r="R285">
        <f t="shared" si="498"/>
        <v>8</v>
      </c>
      <c r="S285" t="e">
        <f t="shared" ca="1" si="528"/>
        <v>#NAME?</v>
      </c>
      <c r="T285" t="e">
        <f t="shared" ca="1" si="499"/>
        <v>#NAME?</v>
      </c>
      <c r="U285" s="4">
        <f t="shared" si="500"/>
        <v>6.2420023148151813</v>
      </c>
      <c r="V285" s="4">
        <f t="shared" si="501"/>
        <v>0.20806674382717272</v>
      </c>
      <c r="W285" s="4">
        <f t="shared" si="502"/>
        <v>1</v>
      </c>
      <c r="X285" s="4">
        <f t="shared" si="503"/>
        <v>0</v>
      </c>
      <c r="Y285" s="4">
        <f t="shared" si="504"/>
        <v>0</v>
      </c>
      <c r="Z285" s="4">
        <f t="shared" si="505"/>
        <v>0</v>
      </c>
      <c r="AA285" s="4">
        <f t="shared" si="506"/>
        <v>0</v>
      </c>
      <c r="AB285" s="4">
        <f t="shared" si="507"/>
        <v>0</v>
      </c>
      <c r="AC285" s="4"/>
      <c r="AD285" s="4" t="b">
        <f t="shared" si="508"/>
        <v>0</v>
      </c>
      <c r="AE285" s="4" t="b">
        <f t="shared" si="509"/>
        <v>0</v>
      </c>
      <c r="AF285" s="4" t="b">
        <f t="shared" si="510"/>
        <v>0</v>
      </c>
      <c r="AG285" t="b">
        <f t="shared" si="511"/>
        <v>0</v>
      </c>
      <c r="AH285" t="b">
        <f t="shared" si="512"/>
        <v>0</v>
      </c>
      <c r="AI285" t="b">
        <f t="shared" si="513"/>
        <v>0</v>
      </c>
      <c r="AJ285" t="b">
        <f t="shared" si="514"/>
        <v>0</v>
      </c>
      <c r="AK285" t="b">
        <f t="shared" si="515"/>
        <v>0</v>
      </c>
      <c r="AL285" t="b">
        <f t="shared" si="516"/>
        <v>0</v>
      </c>
      <c r="AM285" t="b">
        <f t="shared" si="517"/>
        <v>0</v>
      </c>
      <c r="AN285" t="b">
        <f t="shared" si="518"/>
        <v>0</v>
      </c>
      <c r="AO285" t="b">
        <f t="shared" si="519"/>
        <v>0</v>
      </c>
      <c r="AP285" t="b">
        <f t="shared" si="520"/>
        <v>0</v>
      </c>
      <c r="AQ285" t="b">
        <f t="shared" si="521"/>
        <v>0</v>
      </c>
      <c r="AR285" t="b">
        <f t="shared" si="522"/>
        <v>0</v>
      </c>
      <c r="AS285" t="b">
        <f t="shared" si="523"/>
        <v>0</v>
      </c>
      <c r="AT285" t="b">
        <f t="shared" si="524"/>
        <v>0</v>
      </c>
      <c r="AU285" t="b">
        <f t="shared" si="525"/>
        <v>0</v>
      </c>
      <c r="AV285" t="b">
        <f t="shared" si="526"/>
        <v>0</v>
      </c>
      <c r="AW285" t="b">
        <f t="shared" si="527"/>
        <v>0</v>
      </c>
      <c r="AX285" t="b">
        <f t="shared" si="529"/>
        <v>0</v>
      </c>
      <c r="AY285" t="b">
        <f t="shared" si="530"/>
        <v>0</v>
      </c>
      <c r="AZ285" t="b">
        <f t="shared" si="531"/>
        <v>0</v>
      </c>
      <c r="BA285" t="b">
        <f t="shared" si="532"/>
        <v>0</v>
      </c>
      <c r="BB285" t="b">
        <f t="shared" si="533"/>
        <v>0</v>
      </c>
      <c r="BC285" t="b">
        <f t="shared" si="534"/>
        <v>0</v>
      </c>
      <c r="BD285" t="b">
        <f t="shared" si="535"/>
        <v>0</v>
      </c>
      <c r="BE285" t="b">
        <f t="shared" si="536"/>
        <v>0</v>
      </c>
      <c r="BF285" t="b">
        <f t="shared" si="537"/>
        <v>0</v>
      </c>
      <c r="BG285" t="b">
        <f t="shared" si="538"/>
        <v>0</v>
      </c>
      <c r="BH285" t="b">
        <f t="shared" si="539"/>
        <v>0</v>
      </c>
      <c r="BI285">
        <f t="shared" si="540"/>
        <v>1</v>
      </c>
      <c r="BJ285" t="b">
        <f t="shared" si="541"/>
        <v>0</v>
      </c>
      <c r="BK285" t="b">
        <f t="shared" si="542"/>
        <v>0</v>
      </c>
      <c r="BL285" t="b">
        <f t="shared" si="543"/>
        <v>0</v>
      </c>
      <c r="BM285" t="b">
        <f t="shared" si="544"/>
        <v>0</v>
      </c>
      <c r="BN285" t="b">
        <f t="shared" si="545"/>
        <v>0</v>
      </c>
      <c r="BO285" t="b">
        <f t="shared" si="546"/>
        <v>0</v>
      </c>
      <c r="BP285" t="b">
        <f t="shared" si="547"/>
        <v>0</v>
      </c>
      <c r="BQ285" t="b">
        <f t="shared" si="548"/>
        <v>0</v>
      </c>
      <c r="BR285">
        <f t="shared" si="549"/>
        <v>1</v>
      </c>
      <c r="BS285" t="b">
        <f t="shared" si="550"/>
        <v>0</v>
      </c>
      <c r="BT285" t="b">
        <f t="shared" si="551"/>
        <v>0</v>
      </c>
      <c r="BU285" t="b">
        <f t="shared" si="552"/>
        <v>0</v>
      </c>
      <c r="BV285" t="b">
        <f t="shared" si="553"/>
        <v>0</v>
      </c>
      <c r="BW285" t="b">
        <f t="shared" si="554"/>
        <v>0</v>
      </c>
      <c r="BX285" t="b">
        <f t="shared" si="555"/>
        <v>0</v>
      </c>
      <c r="BY285" t="b">
        <f t="shared" si="556"/>
        <v>0</v>
      </c>
      <c r="BZ285" t="b">
        <f t="shared" si="557"/>
        <v>0</v>
      </c>
      <c r="CA285" t="b">
        <f t="shared" si="558"/>
        <v>0</v>
      </c>
      <c r="CB285" t="b">
        <f t="shared" si="559"/>
        <v>0</v>
      </c>
      <c r="CC285" t="b">
        <f t="shared" si="560"/>
        <v>0</v>
      </c>
      <c r="CD285" t="b">
        <f t="shared" si="561"/>
        <v>0</v>
      </c>
      <c r="CE285" t="b">
        <f t="shared" si="562"/>
        <v>0</v>
      </c>
      <c r="CF285" t="b">
        <f t="shared" si="563"/>
        <v>0</v>
      </c>
      <c r="CG285" t="b">
        <f t="shared" si="564"/>
        <v>0</v>
      </c>
      <c r="CH285" t="b">
        <f t="shared" si="565"/>
        <v>0</v>
      </c>
      <c r="CI285" t="b">
        <f t="shared" si="566"/>
        <v>0</v>
      </c>
      <c r="CJ285" t="b">
        <f t="shared" si="567"/>
        <v>0</v>
      </c>
      <c r="CK285" t="b">
        <f t="shared" si="568"/>
        <v>0</v>
      </c>
      <c r="CL285" t="b">
        <f t="shared" si="569"/>
        <v>0</v>
      </c>
      <c r="CM285">
        <f t="shared" si="570"/>
        <v>1</v>
      </c>
      <c r="CN285" t="b">
        <f t="shared" si="571"/>
        <v>0</v>
      </c>
      <c r="CO285" t="b">
        <f t="shared" si="572"/>
        <v>0</v>
      </c>
      <c r="CP285" t="b">
        <f t="shared" si="573"/>
        <v>0</v>
      </c>
      <c r="CQ285" t="b">
        <f t="shared" si="574"/>
        <v>0</v>
      </c>
      <c r="CR285" t="b">
        <f t="shared" si="575"/>
        <v>0</v>
      </c>
      <c r="CS285" t="b">
        <f t="shared" si="576"/>
        <v>0</v>
      </c>
      <c r="CT285" t="b">
        <f t="shared" si="577"/>
        <v>0</v>
      </c>
      <c r="CU285" t="b">
        <f t="shared" si="578"/>
        <v>0</v>
      </c>
      <c r="CV285">
        <f t="shared" si="579"/>
        <v>1</v>
      </c>
      <c r="CW285" t="b">
        <f t="shared" si="580"/>
        <v>0</v>
      </c>
      <c r="CX285" t="b">
        <f t="shared" si="581"/>
        <v>0</v>
      </c>
      <c r="CY285" t="b">
        <f t="shared" si="582"/>
        <v>0</v>
      </c>
      <c r="CZ285" t="b">
        <f t="shared" si="583"/>
        <v>0</v>
      </c>
      <c r="DA285">
        <f t="shared" si="584"/>
        <v>1</v>
      </c>
      <c r="DB285">
        <f t="shared" si="585"/>
        <v>1</v>
      </c>
      <c r="DC285" t="b">
        <f t="shared" si="586"/>
        <v>0</v>
      </c>
      <c r="DD285" t="b">
        <f t="shared" si="587"/>
        <v>0</v>
      </c>
      <c r="DE285" t="b">
        <f t="shared" si="588"/>
        <v>0</v>
      </c>
      <c r="DF285" t="b">
        <f t="shared" si="589"/>
        <v>0</v>
      </c>
      <c r="DG285" t="b">
        <f t="shared" si="590"/>
        <v>0</v>
      </c>
      <c r="DH285" t="b">
        <f t="shared" si="591"/>
        <v>0</v>
      </c>
      <c r="DI285" t="b">
        <f t="shared" si="592"/>
        <v>0</v>
      </c>
      <c r="DJ285">
        <f t="shared" si="593"/>
        <v>1</v>
      </c>
      <c r="DK285" t="b">
        <f t="shared" si="594"/>
        <v>0</v>
      </c>
      <c r="DL285" t="b">
        <f t="shared" si="595"/>
        <v>0</v>
      </c>
      <c r="DM285" t="b">
        <f t="shared" si="596"/>
        <v>0</v>
      </c>
      <c r="DN285" t="b">
        <f t="shared" si="597"/>
        <v>0</v>
      </c>
      <c r="DO285" t="b">
        <f t="shared" si="598"/>
        <v>0</v>
      </c>
      <c r="DP285" t="b">
        <f t="shared" si="599"/>
        <v>0</v>
      </c>
      <c r="DQ285" t="b">
        <f t="shared" si="600"/>
        <v>0</v>
      </c>
      <c r="DR285" t="b">
        <f t="shared" si="601"/>
        <v>0</v>
      </c>
      <c r="DS285" t="b">
        <f t="shared" si="602"/>
        <v>0</v>
      </c>
      <c r="DT285" t="b">
        <f t="shared" si="603"/>
        <v>0</v>
      </c>
      <c r="DU285" t="b">
        <f t="shared" si="604"/>
        <v>0</v>
      </c>
      <c r="DV285" t="b">
        <f t="shared" si="605"/>
        <v>0</v>
      </c>
      <c r="DW285" t="b">
        <f t="shared" si="606"/>
        <v>0</v>
      </c>
      <c r="DX285" t="b">
        <f t="shared" si="607"/>
        <v>0</v>
      </c>
      <c r="DY285" t="b">
        <f t="shared" si="608"/>
        <v>0</v>
      </c>
      <c r="DZ285" t="b">
        <f t="shared" si="609"/>
        <v>0</v>
      </c>
      <c r="EA285" t="b">
        <f t="shared" si="610"/>
        <v>0</v>
      </c>
      <c r="EB285" t="b">
        <f t="shared" si="611"/>
        <v>0</v>
      </c>
      <c r="EC285" t="b">
        <f t="shared" si="612"/>
        <v>0</v>
      </c>
      <c r="ED285" t="b">
        <f t="shared" si="613"/>
        <v>0</v>
      </c>
      <c r="EE285" t="b">
        <f t="shared" si="614"/>
        <v>0</v>
      </c>
      <c r="EF285">
        <f t="shared" si="615"/>
        <v>1</v>
      </c>
      <c r="EG285" t="b">
        <f t="shared" si="616"/>
        <v>0</v>
      </c>
      <c r="EH285" t="b">
        <f t="shared" si="617"/>
        <v>0</v>
      </c>
      <c r="EI285" t="b">
        <f t="shared" si="618"/>
        <v>0</v>
      </c>
      <c r="EJ285" t="b">
        <f t="shared" si="619"/>
        <v>0</v>
      </c>
      <c r="EK285" t="b">
        <f t="shared" si="620"/>
        <v>0</v>
      </c>
    </row>
    <row r="286" spans="1:141">
      <c r="A286" t="s">
        <v>1519</v>
      </c>
      <c r="B286" t="s">
        <v>1519</v>
      </c>
      <c r="C286" t="s">
        <v>1520</v>
      </c>
      <c r="D286" s="1">
        <v>41539</v>
      </c>
      <c r="E286" s="2">
        <v>42553.237650462965</v>
      </c>
      <c r="F286" s="2">
        <v>42553.237650462965</v>
      </c>
      <c r="G286">
        <v>49467477</v>
      </c>
      <c r="H286" t="s">
        <v>1521</v>
      </c>
      <c r="I286" s="10" t="s">
        <v>1522</v>
      </c>
      <c r="J286" t="s">
        <v>188</v>
      </c>
      <c r="K286" s="8" t="b">
        <v>1</v>
      </c>
      <c r="L286" s="10" t="b">
        <v>0</v>
      </c>
      <c r="M286" s="12" t="b">
        <v>0</v>
      </c>
      <c r="N286" t="b">
        <v>0</v>
      </c>
      <c r="O286" t="b">
        <v>0</v>
      </c>
      <c r="P286" t="b">
        <v>0</v>
      </c>
      <c r="Q286">
        <f t="shared" si="497"/>
        <v>1</v>
      </c>
      <c r="R286">
        <f t="shared" si="498"/>
        <v>9</v>
      </c>
      <c r="S286" t="e">
        <f t="shared" ca="1" si="528"/>
        <v>#NAME?</v>
      </c>
      <c r="T286" t="e">
        <f t="shared" ca="1" si="499"/>
        <v>#NAME?</v>
      </c>
      <c r="U286" s="4">
        <f t="shared" si="500"/>
        <v>1014.2376504629647</v>
      </c>
      <c r="V286" s="4">
        <f t="shared" si="501"/>
        <v>33.807921682098822</v>
      </c>
      <c r="W286" s="4">
        <f t="shared" si="502"/>
        <v>1</v>
      </c>
      <c r="X286" s="4">
        <f t="shared" si="503"/>
        <v>0</v>
      </c>
      <c r="Y286" s="4">
        <f t="shared" si="504"/>
        <v>0</v>
      </c>
      <c r="Z286" s="4">
        <f t="shared" si="505"/>
        <v>0</v>
      </c>
      <c r="AA286" s="4">
        <f t="shared" si="506"/>
        <v>0</v>
      </c>
      <c r="AB286" s="4">
        <f t="shared" si="507"/>
        <v>0</v>
      </c>
      <c r="AC286" s="4"/>
      <c r="AD286" s="4" t="b">
        <f t="shared" si="508"/>
        <v>0</v>
      </c>
      <c r="AE286" s="4" t="b">
        <f t="shared" si="509"/>
        <v>0</v>
      </c>
      <c r="AF286" s="4" t="b">
        <f t="shared" si="510"/>
        <v>0</v>
      </c>
      <c r="AG286" t="b">
        <f t="shared" si="511"/>
        <v>0</v>
      </c>
      <c r="AH286" t="b">
        <f t="shared" si="512"/>
        <v>0</v>
      </c>
      <c r="AI286" t="b">
        <f t="shared" si="513"/>
        <v>0</v>
      </c>
      <c r="AJ286" t="b">
        <f t="shared" si="514"/>
        <v>0</v>
      </c>
      <c r="AK286" t="b">
        <f t="shared" si="515"/>
        <v>0</v>
      </c>
      <c r="AL286" t="b">
        <f t="shared" si="516"/>
        <v>0</v>
      </c>
      <c r="AM286" t="b">
        <f t="shared" si="517"/>
        <v>0</v>
      </c>
      <c r="AN286" t="b">
        <f t="shared" si="518"/>
        <v>0</v>
      </c>
      <c r="AO286" t="b">
        <f t="shared" si="519"/>
        <v>0</v>
      </c>
      <c r="AP286" t="b">
        <f t="shared" si="520"/>
        <v>0</v>
      </c>
      <c r="AQ286" t="b">
        <f t="shared" si="521"/>
        <v>0</v>
      </c>
      <c r="AR286" t="b">
        <f t="shared" si="522"/>
        <v>0</v>
      </c>
      <c r="AS286" t="b">
        <f t="shared" si="523"/>
        <v>0</v>
      </c>
      <c r="AT286" t="b">
        <f t="shared" si="524"/>
        <v>0</v>
      </c>
      <c r="AU286" t="b">
        <f t="shared" si="525"/>
        <v>0</v>
      </c>
      <c r="AV286" t="b">
        <f t="shared" si="526"/>
        <v>0</v>
      </c>
      <c r="AW286" t="b">
        <f t="shared" si="527"/>
        <v>0</v>
      </c>
      <c r="AX286" t="b">
        <f t="shared" si="529"/>
        <v>0</v>
      </c>
      <c r="AY286" t="b">
        <f t="shared" si="530"/>
        <v>0</v>
      </c>
      <c r="AZ286" t="b">
        <f t="shared" si="531"/>
        <v>0</v>
      </c>
      <c r="BA286" t="b">
        <f t="shared" si="532"/>
        <v>0</v>
      </c>
      <c r="BB286" t="b">
        <f t="shared" si="533"/>
        <v>0</v>
      </c>
      <c r="BC286" t="b">
        <f t="shared" si="534"/>
        <v>0</v>
      </c>
      <c r="BD286" t="b">
        <f t="shared" si="535"/>
        <v>0</v>
      </c>
      <c r="BE286" t="b">
        <f t="shared" si="536"/>
        <v>0</v>
      </c>
      <c r="BF286" t="b">
        <f t="shared" si="537"/>
        <v>0</v>
      </c>
      <c r="BG286" t="b">
        <f t="shared" si="538"/>
        <v>0</v>
      </c>
      <c r="BH286" t="b">
        <f t="shared" si="539"/>
        <v>0</v>
      </c>
      <c r="BI286">
        <f t="shared" si="540"/>
        <v>1</v>
      </c>
      <c r="BJ286" t="b">
        <f t="shared" si="541"/>
        <v>0</v>
      </c>
      <c r="BK286" t="b">
        <f t="shared" si="542"/>
        <v>0</v>
      </c>
      <c r="BL286" t="b">
        <f t="shared" si="543"/>
        <v>0</v>
      </c>
      <c r="BM286" t="b">
        <f t="shared" si="544"/>
        <v>0</v>
      </c>
      <c r="BN286" t="b">
        <f t="shared" si="545"/>
        <v>0</v>
      </c>
      <c r="BO286" t="b">
        <f t="shared" si="546"/>
        <v>0</v>
      </c>
      <c r="BP286" t="b">
        <f t="shared" si="547"/>
        <v>0</v>
      </c>
      <c r="BQ286" t="b">
        <f t="shared" si="548"/>
        <v>0</v>
      </c>
      <c r="BR286" t="b">
        <f t="shared" si="549"/>
        <v>0</v>
      </c>
      <c r="BS286" t="b">
        <f t="shared" si="550"/>
        <v>0</v>
      </c>
      <c r="BT286" t="b">
        <f t="shared" si="551"/>
        <v>0</v>
      </c>
      <c r="BU286" t="b">
        <f t="shared" si="552"/>
        <v>0</v>
      </c>
      <c r="BV286" t="b">
        <f t="shared" si="553"/>
        <v>0</v>
      </c>
      <c r="BW286" t="b">
        <f t="shared" si="554"/>
        <v>0</v>
      </c>
      <c r="BX286" t="b">
        <f t="shared" si="555"/>
        <v>0</v>
      </c>
      <c r="BY286" t="b">
        <f t="shared" si="556"/>
        <v>0</v>
      </c>
      <c r="BZ286" t="b">
        <f t="shared" si="557"/>
        <v>0</v>
      </c>
      <c r="CA286" t="b">
        <f t="shared" si="558"/>
        <v>0</v>
      </c>
      <c r="CB286" t="b">
        <f t="shared" si="559"/>
        <v>0</v>
      </c>
      <c r="CC286" t="b">
        <f t="shared" si="560"/>
        <v>0</v>
      </c>
      <c r="CD286" t="b">
        <f t="shared" si="561"/>
        <v>0</v>
      </c>
      <c r="CE286">
        <f t="shared" si="562"/>
        <v>1</v>
      </c>
      <c r="CF286" t="b">
        <f t="shared" si="563"/>
        <v>0</v>
      </c>
      <c r="CG286" t="b">
        <f t="shared" si="564"/>
        <v>0</v>
      </c>
      <c r="CH286" t="b">
        <f t="shared" si="565"/>
        <v>0</v>
      </c>
      <c r="CI286" t="b">
        <f t="shared" si="566"/>
        <v>0</v>
      </c>
      <c r="CJ286" t="b">
        <f t="shared" si="567"/>
        <v>0</v>
      </c>
      <c r="CK286" t="b">
        <f t="shared" si="568"/>
        <v>0</v>
      </c>
      <c r="CL286" t="b">
        <f t="shared" si="569"/>
        <v>0</v>
      </c>
      <c r="CM286" t="b">
        <f t="shared" si="570"/>
        <v>0</v>
      </c>
      <c r="CN286" t="b">
        <f t="shared" si="571"/>
        <v>0</v>
      </c>
      <c r="CO286" t="b">
        <f t="shared" si="572"/>
        <v>0</v>
      </c>
      <c r="CP286" t="b">
        <f t="shared" si="573"/>
        <v>0</v>
      </c>
      <c r="CQ286" t="b">
        <f t="shared" si="574"/>
        <v>0</v>
      </c>
      <c r="CR286" t="b">
        <f t="shared" si="575"/>
        <v>0</v>
      </c>
      <c r="CS286" t="b">
        <f t="shared" si="576"/>
        <v>0</v>
      </c>
      <c r="CT286" t="b">
        <f t="shared" si="577"/>
        <v>0</v>
      </c>
      <c r="CU286" t="b">
        <f t="shared" si="578"/>
        <v>0</v>
      </c>
      <c r="CV286">
        <f t="shared" si="579"/>
        <v>1</v>
      </c>
      <c r="CW286" t="b">
        <f t="shared" si="580"/>
        <v>0</v>
      </c>
      <c r="CX286" t="b">
        <f t="shared" si="581"/>
        <v>0</v>
      </c>
      <c r="CY286" t="b">
        <f t="shared" si="582"/>
        <v>0</v>
      </c>
      <c r="CZ286" t="b">
        <f t="shared" si="583"/>
        <v>0</v>
      </c>
      <c r="DA286" t="b">
        <f t="shared" si="584"/>
        <v>0</v>
      </c>
      <c r="DB286" t="b">
        <f t="shared" si="585"/>
        <v>0</v>
      </c>
      <c r="DC286" t="b">
        <f t="shared" si="586"/>
        <v>0</v>
      </c>
      <c r="DD286" t="b">
        <f t="shared" si="587"/>
        <v>0</v>
      </c>
      <c r="DE286" t="b">
        <f t="shared" si="588"/>
        <v>0</v>
      </c>
      <c r="DF286" t="b">
        <f t="shared" si="589"/>
        <v>0</v>
      </c>
      <c r="DG286" t="b">
        <f t="shared" si="590"/>
        <v>0</v>
      </c>
      <c r="DH286" t="b">
        <f t="shared" si="591"/>
        <v>0</v>
      </c>
      <c r="DI286" t="b">
        <f t="shared" si="592"/>
        <v>0</v>
      </c>
      <c r="DJ286" t="b">
        <f t="shared" si="593"/>
        <v>0</v>
      </c>
      <c r="DK286" t="b">
        <f t="shared" si="594"/>
        <v>0</v>
      </c>
      <c r="DL286" t="b">
        <f t="shared" si="595"/>
        <v>0</v>
      </c>
      <c r="DM286" t="b">
        <f t="shared" si="596"/>
        <v>0</v>
      </c>
      <c r="DN286" t="b">
        <f t="shared" si="597"/>
        <v>0</v>
      </c>
      <c r="DO286" t="b">
        <f t="shared" si="598"/>
        <v>0</v>
      </c>
      <c r="DP286" t="b">
        <f t="shared" si="599"/>
        <v>0</v>
      </c>
      <c r="DQ286" t="b">
        <f t="shared" si="600"/>
        <v>0</v>
      </c>
      <c r="DR286" t="b">
        <f t="shared" si="601"/>
        <v>0</v>
      </c>
      <c r="DS286" t="b">
        <f t="shared" si="602"/>
        <v>0</v>
      </c>
      <c r="DT286" t="b">
        <f t="shared" si="603"/>
        <v>0</v>
      </c>
      <c r="DU286" t="b">
        <f t="shared" si="604"/>
        <v>0</v>
      </c>
      <c r="DV286" t="b">
        <f t="shared" si="605"/>
        <v>0</v>
      </c>
      <c r="DW286" t="b">
        <f t="shared" si="606"/>
        <v>0</v>
      </c>
      <c r="DX286" t="b">
        <f t="shared" si="607"/>
        <v>0</v>
      </c>
      <c r="DY286" t="b">
        <f t="shared" si="608"/>
        <v>0</v>
      </c>
      <c r="DZ286" t="b">
        <f t="shared" si="609"/>
        <v>0</v>
      </c>
      <c r="EA286" t="b">
        <f t="shared" si="610"/>
        <v>0</v>
      </c>
      <c r="EB286" t="b">
        <f t="shared" si="611"/>
        <v>0</v>
      </c>
      <c r="EC286" t="b">
        <f t="shared" si="612"/>
        <v>0</v>
      </c>
      <c r="ED286" t="b">
        <f t="shared" si="613"/>
        <v>0</v>
      </c>
      <c r="EE286" t="b">
        <f t="shared" si="614"/>
        <v>0</v>
      </c>
      <c r="EF286">
        <f t="shared" si="615"/>
        <v>1</v>
      </c>
      <c r="EG286" t="b">
        <f t="shared" si="616"/>
        <v>0</v>
      </c>
      <c r="EH286" t="b">
        <f t="shared" si="617"/>
        <v>0</v>
      </c>
      <c r="EI286" t="b">
        <f t="shared" si="618"/>
        <v>0</v>
      </c>
      <c r="EJ286" t="b">
        <f t="shared" si="619"/>
        <v>0</v>
      </c>
      <c r="EK286" t="b">
        <f t="shared" si="620"/>
        <v>0</v>
      </c>
    </row>
    <row r="287" spans="1:141">
      <c r="A287" t="s">
        <v>1523</v>
      </c>
      <c r="B287" t="s">
        <v>1523</v>
      </c>
      <c r="C287" t="s">
        <v>1524</v>
      </c>
      <c r="D287" s="1">
        <v>41518</v>
      </c>
      <c r="E287" s="2">
        <v>43064.000381944446</v>
      </c>
      <c r="F287" s="2">
        <v>43064.000381944446</v>
      </c>
      <c r="G287">
        <v>1749806</v>
      </c>
      <c r="H287" t="s">
        <v>1525</v>
      </c>
      <c r="I287" s="10" t="s">
        <v>1526</v>
      </c>
      <c r="J287" t="s">
        <v>147</v>
      </c>
      <c r="K287" s="8" t="b">
        <v>1</v>
      </c>
      <c r="L287" s="10" t="b">
        <v>0</v>
      </c>
      <c r="M287" s="12" t="b">
        <v>0</v>
      </c>
      <c r="N287" t="b">
        <v>0</v>
      </c>
      <c r="O287" t="b">
        <v>0</v>
      </c>
      <c r="P287" t="b">
        <v>0</v>
      </c>
      <c r="Q287">
        <f t="shared" si="497"/>
        <v>1</v>
      </c>
      <c r="R287">
        <f t="shared" si="498"/>
        <v>9</v>
      </c>
      <c r="S287" t="e">
        <f t="shared" ca="1" si="528"/>
        <v>#NAME?</v>
      </c>
      <c r="T287" t="e">
        <f t="shared" ca="1" si="499"/>
        <v>#NAME?</v>
      </c>
      <c r="U287" s="4">
        <f t="shared" si="500"/>
        <v>1546.0003819444464</v>
      </c>
      <c r="V287" s="4">
        <f t="shared" si="501"/>
        <v>51.533346064814879</v>
      </c>
      <c r="W287" s="4">
        <f t="shared" si="502"/>
        <v>1</v>
      </c>
      <c r="X287" s="4">
        <f t="shared" si="503"/>
        <v>0</v>
      </c>
      <c r="Y287" s="4">
        <f t="shared" si="504"/>
        <v>0</v>
      </c>
      <c r="Z287" s="4">
        <f t="shared" si="505"/>
        <v>0</v>
      </c>
      <c r="AA287" s="4">
        <f t="shared" si="506"/>
        <v>0</v>
      </c>
      <c r="AB287" s="4">
        <f t="shared" si="507"/>
        <v>0</v>
      </c>
      <c r="AC287" s="4"/>
      <c r="AD287" s="4" t="b">
        <f t="shared" si="508"/>
        <v>0</v>
      </c>
      <c r="AE287" s="4" t="b">
        <f t="shared" si="509"/>
        <v>0</v>
      </c>
      <c r="AF287" s="4" t="b">
        <f t="shared" si="510"/>
        <v>0</v>
      </c>
      <c r="AG287" t="b">
        <f t="shared" si="511"/>
        <v>0</v>
      </c>
      <c r="AH287" t="b">
        <f t="shared" si="512"/>
        <v>0</v>
      </c>
      <c r="AI287" t="b">
        <f t="shared" si="513"/>
        <v>0</v>
      </c>
      <c r="AJ287" t="b">
        <f t="shared" si="514"/>
        <v>0</v>
      </c>
      <c r="AK287" t="b">
        <f t="shared" si="515"/>
        <v>0</v>
      </c>
      <c r="AL287" t="b">
        <f t="shared" si="516"/>
        <v>0</v>
      </c>
      <c r="AM287" t="b">
        <f t="shared" si="517"/>
        <v>0</v>
      </c>
      <c r="AN287" t="b">
        <f t="shared" si="518"/>
        <v>0</v>
      </c>
      <c r="AO287" t="b">
        <f t="shared" si="519"/>
        <v>0</v>
      </c>
      <c r="AP287" t="b">
        <f t="shared" si="520"/>
        <v>0</v>
      </c>
      <c r="AQ287" t="b">
        <f t="shared" si="521"/>
        <v>0</v>
      </c>
      <c r="AR287" t="b">
        <f t="shared" si="522"/>
        <v>0</v>
      </c>
      <c r="AS287" t="b">
        <f t="shared" si="523"/>
        <v>0</v>
      </c>
      <c r="AT287" t="b">
        <f t="shared" si="524"/>
        <v>0</v>
      </c>
      <c r="AU287" t="b">
        <f t="shared" si="525"/>
        <v>0</v>
      </c>
      <c r="AV287" t="b">
        <f t="shared" si="526"/>
        <v>0</v>
      </c>
      <c r="AW287" t="b">
        <f t="shared" si="527"/>
        <v>0</v>
      </c>
      <c r="AX287" t="b">
        <f t="shared" si="529"/>
        <v>0</v>
      </c>
      <c r="AY287" t="b">
        <f t="shared" si="530"/>
        <v>0</v>
      </c>
      <c r="AZ287" t="b">
        <f t="shared" si="531"/>
        <v>0</v>
      </c>
      <c r="BA287" t="b">
        <f t="shared" si="532"/>
        <v>0</v>
      </c>
      <c r="BB287" t="b">
        <f t="shared" si="533"/>
        <v>0</v>
      </c>
      <c r="BC287" t="b">
        <f t="shared" si="534"/>
        <v>0</v>
      </c>
      <c r="BD287" t="b">
        <f t="shared" si="535"/>
        <v>0</v>
      </c>
      <c r="BE287" t="b">
        <f t="shared" si="536"/>
        <v>0</v>
      </c>
      <c r="BF287" t="b">
        <f t="shared" si="537"/>
        <v>0</v>
      </c>
      <c r="BG287" t="b">
        <f t="shared" si="538"/>
        <v>0</v>
      </c>
      <c r="BH287" t="b">
        <f t="shared" si="539"/>
        <v>0</v>
      </c>
      <c r="BI287">
        <f t="shared" si="540"/>
        <v>1</v>
      </c>
      <c r="BJ287" t="b">
        <f t="shared" si="541"/>
        <v>0</v>
      </c>
      <c r="BK287" t="b">
        <f t="shared" si="542"/>
        <v>0</v>
      </c>
      <c r="BL287" t="b">
        <f t="shared" si="543"/>
        <v>0</v>
      </c>
      <c r="BM287" t="b">
        <f t="shared" si="544"/>
        <v>0</v>
      </c>
      <c r="BN287" t="b">
        <f t="shared" si="545"/>
        <v>0</v>
      </c>
      <c r="BO287" t="b">
        <f t="shared" si="546"/>
        <v>0</v>
      </c>
      <c r="BP287" t="b">
        <f t="shared" si="547"/>
        <v>0</v>
      </c>
      <c r="BQ287" t="b">
        <f t="shared" si="548"/>
        <v>0</v>
      </c>
      <c r="BR287" t="b">
        <f t="shared" si="549"/>
        <v>0</v>
      </c>
      <c r="BS287" t="b">
        <f t="shared" si="550"/>
        <v>0</v>
      </c>
      <c r="BT287" t="b">
        <f t="shared" si="551"/>
        <v>0</v>
      </c>
      <c r="BU287" t="b">
        <f t="shared" si="552"/>
        <v>0</v>
      </c>
      <c r="BV287" t="b">
        <f t="shared" si="553"/>
        <v>0</v>
      </c>
      <c r="BW287" t="b">
        <f t="shared" si="554"/>
        <v>0</v>
      </c>
      <c r="BX287" t="b">
        <f t="shared" si="555"/>
        <v>0</v>
      </c>
      <c r="BY287" t="b">
        <f t="shared" si="556"/>
        <v>0</v>
      </c>
      <c r="BZ287" t="b">
        <f t="shared" si="557"/>
        <v>0</v>
      </c>
      <c r="CA287" t="b">
        <f t="shared" si="558"/>
        <v>0</v>
      </c>
      <c r="CB287" t="b">
        <f t="shared" si="559"/>
        <v>0</v>
      </c>
      <c r="CC287" t="b">
        <f t="shared" si="560"/>
        <v>0</v>
      </c>
      <c r="CD287" t="b">
        <f t="shared" si="561"/>
        <v>0</v>
      </c>
      <c r="CE287" t="b">
        <f t="shared" si="562"/>
        <v>0</v>
      </c>
      <c r="CF287" t="b">
        <f t="shared" si="563"/>
        <v>0</v>
      </c>
      <c r="CG287" t="b">
        <f t="shared" si="564"/>
        <v>0</v>
      </c>
      <c r="CH287" t="b">
        <f t="shared" si="565"/>
        <v>0</v>
      </c>
      <c r="CI287" t="b">
        <f t="shared" si="566"/>
        <v>0</v>
      </c>
      <c r="CJ287" t="b">
        <f t="shared" si="567"/>
        <v>0</v>
      </c>
      <c r="CK287" t="b">
        <f t="shared" si="568"/>
        <v>0</v>
      </c>
      <c r="CL287" t="b">
        <f t="shared" si="569"/>
        <v>0</v>
      </c>
      <c r="CM287" t="b">
        <f t="shared" si="570"/>
        <v>0</v>
      </c>
      <c r="CN287" t="b">
        <f t="shared" si="571"/>
        <v>0</v>
      </c>
      <c r="CO287" t="b">
        <f t="shared" si="572"/>
        <v>0</v>
      </c>
      <c r="CP287" t="b">
        <f t="shared" si="573"/>
        <v>0</v>
      </c>
      <c r="CQ287" t="b">
        <f t="shared" si="574"/>
        <v>0</v>
      </c>
      <c r="CR287" t="b">
        <f t="shared" si="575"/>
        <v>0</v>
      </c>
      <c r="CS287" t="b">
        <f t="shared" si="576"/>
        <v>0</v>
      </c>
      <c r="CT287" t="b">
        <f t="shared" si="577"/>
        <v>0</v>
      </c>
      <c r="CU287" t="b">
        <f t="shared" si="578"/>
        <v>0</v>
      </c>
      <c r="CV287">
        <f t="shared" si="579"/>
        <v>1</v>
      </c>
      <c r="CW287" t="b">
        <f t="shared" si="580"/>
        <v>0</v>
      </c>
      <c r="CX287" t="b">
        <f t="shared" si="581"/>
        <v>0</v>
      </c>
      <c r="CY287" t="b">
        <f t="shared" si="582"/>
        <v>0</v>
      </c>
      <c r="CZ287" t="b">
        <f t="shared" si="583"/>
        <v>0</v>
      </c>
      <c r="DA287" t="b">
        <f t="shared" si="584"/>
        <v>0</v>
      </c>
      <c r="DB287" t="b">
        <f t="shared" si="585"/>
        <v>0</v>
      </c>
      <c r="DC287" t="b">
        <f t="shared" si="586"/>
        <v>0</v>
      </c>
      <c r="DD287" t="b">
        <f t="shared" si="587"/>
        <v>0</v>
      </c>
      <c r="DE287" t="b">
        <f t="shared" si="588"/>
        <v>0</v>
      </c>
      <c r="DF287" t="b">
        <f t="shared" si="589"/>
        <v>0</v>
      </c>
      <c r="DG287" t="b">
        <f t="shared" si="590"/>
        <v>0</v>
      </c>
      <c r="DH287" t="b">
        <f t="shared" si="591"/>
        <v>0</v>
      </c>
      <c r="DI287" t="b">
        <f t="shared" si="592"/>
        <v>0</v>
      </c>
      <c r="DJ287" t="b">
        <f t="shared" si="593"/>
        <v>0</v>
      </c>
      <c r="DK287" t="b">
        <f t="shared" si="594"/>
        <v>0</v>
      </c>
      <c r="DL287" t="b">
        <f t="shared" si="595"/>
        <v>0</v>
      </c>
      <c r="DM287" t="b">
        <f t="shared" si="596"/>
        <v>0</v>
      </c>
      <c r="DN287" t="b">
        <f t="shared" si="597"/>
        <v>0</v>
      </c>
      <c r="DO287" t="b">
        <f t="shared" si="598"/>
        <v>0</v>
      </c>
      <c r="DP287" t="b">
        <f t="shared" si="599"/>
        <v>0</v>
      </c>
      <c r="DQ287" t="b">
        <f t="shared" si="600"/>
        <v>0</v>
      </c>
      <c r="DR287" t="b">
        <f t="shared" si="601"/>
        <v>0</v>
      </c>
      <c r="DS287" t="b">
        <f t="shared" si="602"/>
        <v>0</v>
      </c>
      <c r="DT287" t="b">
        <f t="shared" si="603"/>
        <v>0</v>
      </c>
      <c r="DU287" t="b">
        <f t="shared" si="604"/>
        <v>0</v>
      </c>
      <c r="DV287" t="b">
        <f t="shared" si="605"/>
        <v>0</v>
      </c>
      <c r="DW287" t="b">
        <f t="shared" si="606"/>
        <v>0</v>
      </c>
      <c r="DX287" t="b">
        <f t="shared" si="607"/>
        <v>0</v>
      </c>
      <c r="DY287" t="b">
        <f t="shared" si="608"/>
        <v>0</v>
      </c>
      <c r="DZ287" t="b">
        <f t="shared" si="609"/>
        <v>0</v>
      </c>
      <c r="EA287" t="b">
        <f t="shared" si="610"/>
        <v>0</v>
      </c>
      <c r="EB287" t="b">
        <f t="shared" si="611"/>
        <v>0</v>
      </c>
      <c r="EC287" t="b">
        <f t="shared" si="612"/>
        <v>0</v>
      </c>
      <c r="ED287" t="b">
        <f t="shared" si="613"/>
        <v>0</v>
      </c>
      <c r="EE287" t="b">
        <f t="shared" si="614"/>
        <v>0</v>
      </c>
      <c r="EF287" t="b">
        <f t="shared" si="615"/>
        <v>0</v>
      </c>
      <c r="EG287" t="b">
        <f t="shared" si="616"/>
        <v>0</v>
      </c>
      <c r="EH287" t="b">
        <f t="shared" si="617"/>
        <v>0</v>
      </c>
      <c r="EI287" t="b">
        <f t="shared" si="618"/>
        <v>0</v>
      </c>
      <c r="EJ287" t="b">
        <f t="shared" si="619"/>
        <v>0</v>
      </c>
      <c r="EK287" t="b">
        <f t="shared" si="620"/>
        <v>0</v>
      </c>
    </row>
    <row r="288" spans="1:141">
      <c r="A288" t="s">
        <v>1527</v>
      </c>
      <c r="B288" t="s">
        <v>1527</v>
      </c>
      <c r="C288" t="s">
        <v>1528</v>
      </c>
      <c r="D288" s="1">
        <v>44339</v>
      </c>
      <c r="E288" s="2">
        <v>44435.231585648151</v>
      </c>
      <c r="F288" s="2">
        <v>44435.231585648151</v>
      </c>
      <c r="G288">
        <v>20154583</v>
      </c>
      <c r="H288" t="s">
        <v>1529</v>
      </c>
      <c r="I288" s="10" t="s">
        <v>1530</v>
      </c>
      <c r="J288" t="s">
        <v>689</v>
      </c>
      <c r="K288" s="8" t="b">
        <v>1</v>
      </c>
      <c r="L288" s="10" t="b">
        <v>0</v>
      </c>
      <c r="M288" s="12" t="b">
        <v>0</v>
      </c>
      <c r="N288" t="b">
        <v>0</v>
      </c>
      <c r="O288" t="b">
        <v>0</v>
      </c>
      <c r="P288" t="b">
        <v>0</v>
      </c>
      <c r="Q288">
        <f t="shared" si="497"/>
        <v>1</v>
      </c>
      <c r="R288">
        <f t="shared" si="498"/>
        <v>5</v>
      </c>
      <c r="S288" t="e">
        <f t="shared" ca="1" si="528"/>
        <v>#NAME?</v>
      </c>
      <c r="T288" t="e">
        <f t="shared" ca="1" si="499"/>
        <v>#NAME?</v>
      </c>
      <c r="U288" s="4">
        <f t="shared" si="500"/>
        <v>96.23158564815094</v>
      </c>
      <c r="V288" s="4">
        <f t="shared" si="501"/>
        <v>3.2077195216050312</v>
      </c>
      <c r="W288" s="4">
        <f t="shared" si="502"/>
        <v>1</v>
      </c>
      <c r="X288" s="4">
        <f t="shared" si="503"/>
        <v>0</v>
      </c>
      <c r="Y288" s="4">
        <f t="shared" si="504"/>
        <v>0</v>
      </c>
      <c r="Z288" s="4">
        <f t="shared" si="505"/>
        <v>0</v>
      </c>
      <c r="AA288" s="4">
        <f t="shared" si="506"/>
        <v>0</v>
      </c>
      <c r="AB288" s="4">
        <f t="shared" si="507"/>
        <v>0</v>
      </c>
      <c r="AC288" s="4"/>
      <c r="AD288" s="4" t="b">
        <f t="shared" si="508"/>
        <v>0</v>
      </c>
      <c r="AE288" s="4" t="b">
        <f t="shared" si="509"/>
        <v>0</v>
      </c>
      <c r="AF288" s="4" t="b">
        <f t="shared" si="510"/>
        <v>0</v>
      </c>
      <c r="AG288" t="b">
        <f t="shared" si="511"/>
        <v>0</v>
      </c>
      <c r="AH288" t="b">
        <f t="shared" si="512"/>
        <v>0</v>
      </c>
      <c r="AI288" t="b">
        <f t="shared" si="513"/>
        <v>0</v>
      </c>
      <c r="AJ288" t="b">
        <f t="shared" si="514"/>
        <v>0</v>
      </c>
      <c r="AK288" t="b">
        <f t="shared" si="515"/>
        <v>0</v>
      </c>
      <c r="AL288" t="b">
        <f t="shared" si="516"/>
        <v>0</v>
      </c>
      <c r="AM288" t="b">
        <f t="shared" si="517"/>
        <v>0</v>
      </c>
      <c r="AN288" t="b">
        <f t="shared" si="518"/>
        <v>0</v>
      </c>
      <c r="AO288" t="b">
        <f t="shared" si="519"/>
        <v>0</v>
      </c>
      <c r="AP288" t="b">
        <f t="shared" si="520"/>
        <v>0</v>
      </c>
      <c r="AQ288" t="b">
        <f t="shared" si="521"/>
        <v>0</v>
      </c>
      <c r="AR288" t="b">
        <f t="shared" si="522"/>
        <v>0</v>
      </c>
      <c r="AS288" t="b">
        <f t="shared" si="523"/>
        <v>0</v>
      </c>
      <c r="AT288" t="b">
        <f t="shared" si="524"/>
        <v>0</v>
      </c>
      <c r="AU288" t="b">
        <f t="shared" si="525"/>
        <v>0</v>
      </c>
      <c r="AV288" t="b">
        <f t="shared" si="526"/>
        <v>0</v>
      </c>
      <c r="AW288" t="b">
        <f t="shared" si="527"/>
        <v>0</v>
      </c>
      <c r="AX288" t="b">
        <f t="shared" si="529"/>
        <v>0</v>
      </c>
      <c r="AY288" t="b">
        <f t="shared" si="530"/>
        <v>0</v>
      </c>
      <c r="AZ288" t="b">
        <f t="shared" si="531"/>
        <v>0</v>
      </c>
      <c r="BA288" t="b">
        <f t="shared" si="532"/>
        <v>0</v>
      </c>
      <c r="BB288" t="b">
        <f t="shared" si="533"/>
        <v>0</v>
      </c>
      <c r="BC288" t="b">
        <f t="shared" si="534"/>
        <v>0</v>
      </c>
      <c r="BD288" t="b">
        <f t="shared" si="535"/>
        <v>0</v>
      </c>
      <c r="BE288" t="b">
        <f t="shared" si="536"/>
        <v>0</v>
      </c>
      <c r="BF288" t="b">
        <f t="shared" si="537"/>
        <v>0</v>
      </c>
      <c r="BG288" t="b">
        <f t="shared" si="538"/>
        <v>0</v>
      </c>
      <c r="BH288" t="b">
        <f t="shared" si="539"/>
        <v>0</v>
      </c>
      <c r="BI288">
        <f t="shared" si="540"/>
        <v>1</v>
      </c>
      <c r="BJ288" t="b">
        <f t="shared" si="541"/>
        <v>0</v>
      </c>
      <c r="BK288" t="b">
        <f t="shared" si="542"/>
        <v>0</v>
      </c>
      <c r="BL288" t="b">
        <f t="shared" si="543"/>
        <v>0</v>
      </c>
      <c r="BM288" t="b">
        <f t="shared" si="544"/>
        <v>0</v>
      </c>
      <c r="BN288" t="b">
        <f t="shared" si="545"/>
        <v>0</v>
      </c>
      <c r="BO288" t="b">
        <f t="shared" si="546"/>
        <v>0</v>
      </c>
      <c r="BP288" t="b">
        <f t="shared" si="547"/>
        <v>0</v>
      </c>
      <c r="BQ288" t="b">
        <f t="shared" si="548"/>
        <v>0</v>
      </c>
      <c r="BR288" t="b">
        <f t="shared" si="549"/>
        <v>0</v>
      </c>
      <c r="BS288" t="b">
        <f t="shared" si="550"/>
        <v>0</v>
      </c>
      <c r="BT288" t="b">
        <f t="shared" si="551"/>
        <v>0</v>
      </c>
      <c r="BU288" t="b">
        <f t="shared" si="552"/>
        <v>0</v>
      </c>
      <c r="BV288" t="b">
        <f t="shared" si="553"/>
        <v>0</v>
      </c>
      <c r="BW288" t="b">
        <f t="shared" si="554"/>
        <v>0</v>
      </c>
      <c r="BX288" t="b">
        <f t="shared" si="555"/>
        <v>0</v>
      </c>
      <c r="BY288" t="b">
        <f t="shared" si="556"/>
        <v>0</v>
      </c>
      <c r="BZ288" t="b">
        <f t="shared" si="557"/>
        <v>0</v>
      </c>
      <c r="CA288" t="b">
        <f t="shared" si="558"/>
        <v>0</v>
      </c>
      <c r="CB288" t="b">
        <f t="shared" si="559"/>
        <v>0</v>
      </c>
      <c r="CC288" t="b">
        <f t="shared" si="560"/>
        <v>0</v>
      </c>
      <c r="CD288" t="b">
        <f t="shared" si="561"/>
        <v>0</v>
      </c>
      <c r="CE288" t="b">
        <f t="shared" si="562"/>
        <v>0</v>
      </c>
      <c r="CF288" t="b">
        <f t="shared" si="563"/>
        <v>0</v>
      </c>
      <c r="CG288" t="b">
        <f t="shared" si="564"/>
        <v>0</v>
      </c>
      <c r="CH288" t="b">
        <f t="shared" si="565"/>
        <v>0</v>
      </c>
      <c r="CI288" t="b">
        <f t="shared" si="566"/>
        <v>0</v>
      </c>
      <c r="CJ288" t="b">
        <f t="shared" si="567"/>
        <v>0</v>
      </c>
      <c r="CK288" t="b">
        <f t="shared" si="568"/>
        <v>0</v>
      </c>
      <c r="CL288" t="b">
        <f t="shared" si="569"/>
        <v>0</v>
      </c>
      <c r="CM288">
        <f t="shared" si="570"/>
        <v>1</v>
      </c>
      <c r="CN288" t="b">
        <f t="shared" si="571"/>
        <v>0</v>
      </c>
      <c r="CO288" t="b">
        <f t="shared" si="572"/>
        <v>0</v>
      </c>
      <c r="CP288" t="b">
        <f t="shared" si="573"/>
        <v>0</v>
      </c>
      <c r="CQ288" t="b">
        <f t="shared" si="574"/>
        <v>0</v>
      </c>
      <c r="CR288" t="b">
        <f t="shared" si="575"/>
        <v>0</v>
      </c>
      <c r="CS288" t="b">
        <f t="shared" si="576"/>
        <v>0</v>
      </c>
      <c r="CT288" t="b">
        <f t="shared" si="577"/>
        <v>0</v>
      </c>
      <c r="CU288" t="b">
        <f t="shared" si="578"/>
        <v>0</v>
      </c>
      <c r="CV288" t="b">
        <f t="shared" si="579"/>
        <v>0</v>
      </c>
      <c r="CW288" t="b">
        <f t="shared" si="580"/>
        <v>0</v>
      </c>
      <c r="CX288" t="b">
        <f t="shared" si="581"/>
        <v>0</v>
      </c>
      <c r="CY288" t="b">
        <f t="shared" si="582"/>
        <v>0</v>
      </c>
      <c r="CZ288" t="b">
        <f t="shared" si="583"/>
        <v>0</v>
      </c>
      <c r="DA288">
        <f t="shared" si="584"/>
        <v>1</v>
      </c>
      <c r="DB288">
        <f t="shared" si="585"/>
        <v>1</v>
      </c>
      <c r="DC288" t="b">
        <f t="shared" si="586"/>
        <v>0</v>
      </c>
      <c r="DD288" t="b">
        <f t="shared" si="587"/>
        <v>0</v>
      </c>
      <c r="DE288" t="b">
        <f t="shared" si="588"/>
        <v>0</v>
      </c>
      <c r="DF288" t="b">
        <f t="shared" si="589"/>
        <v>0</v>
      </c>
      <c r="DG288" t="b">
        <f t="shared" si="590"/>
        <v>0</v>
      </c>
      <c r="DH288" t="b">
        <f t="shared" si="591"/>
        <v>0</v>
      </c>
      <c r="DI288" t="b">
        <f t="shared" si="592"/>
        <v>0</v>
      </c>
      <c r="DJ288" t="b">
        <f t="shared" si="593"/>
        <v>0</v>
      </c>
      <c r="DK288" t="b">
        <f t="shared" si="594"/>
        <v>0</v>
      </c>
      <c r="DL288" t="b">
        <f t="shared" si="595"/>
        <v>0</v>
      </c>
      <c r="DM288" t="b">
        <f t="shared" si="596"/>
        <v>0</v>
      </c>
      <c r="DN288" t="b">
        <f t="shared" si="597"/>
        <v>0</v>
      </c>
      <c r="DO288" t="b">
        <f t="shared" si="598"/>
        <v>0</v>
      </c>
      <c r="DP288" t="b">
        <f t="shared" si="599"/>
        <v>0</v>
      </c>
      <c r="DQ288" t="b">
        <f t="shared" si="600"/>
        <v>0</v>
      </c>
      <c r="DR288" t="b">
        <f t="shared" si="601"/>
        <v>0</v>
      </c>
      <c r="DS288" t="b">
        <f t="shared" si="602"/>
        <v>0</v>
      </c>
      <c r="DT288" t="b">
        <f t="shared" si="603"/>
        <v>0</v>
      </c>
      <c r="DU288" t="b">
        <f t="shared" si="604"/>
        <v>0</v>
      </c>
      <c r="DV288" t="b">
        <f t="shared" si="605"/>
        <v>0</v>
      </c>
      <c r="DW288" t="b">
        <f t="shared" si="606"/>
        <v>0</v>
      </c>
      <c r="DX288" t="b">
        <f t="shared" si="607"/>
        <v>0</v>
      </c>
      <c r="DY288" t="b">
        <f t="shared" si="608"/>
        <v>0</v>
      </c>
      <c r="DZ288" t="b">
        <f t="shared" si="609"/>
        <v>0</v>
      </c>
      <c r="EA288" t="b">
        <f t="shared" si="610"/>
        <v>0</v>
      </c>
      <c r="EB288" t="b">
        <f t="shared" si="611"/>
        <v>0</v>
      </c>
      <c r="EC288" t="b">
        <f t="shared" si="612"/>
        <v>0</v>
      </c>
      <c r="ED288" t="b">
        <f t="shared" si="613"/>
        <v>0</v>
      </c>
      <c r="EE288" t="b">
        <f t="shared" si="614"/>
        <v>0</v>
      </c>
      <c r="EF288" t="b">
        <f t="shared" si="615"/>
        <v>0</v>
      </c>
      <c r="EG288" t="b">
        <f t="shared" si="616"/>
        <v>0</v>
      </c>
      <c r="EH288" t="b">
        <f t="shared" si="617"/>
        <v>0</v>
      </c>
      <c r="EI288" t="b">
        <f t="shared" si="618"/>
        <v>0</v>
      </c>
      <c r="EJ288" t="b">
        <f t="shared" si="619"/>
        <v>0</v>
      </c>
      <c r="EK288" t="b">
        <f t="shared" si="620"/>
        <v>0</v>
      </c>
    </row>
    <row r="289" spans="1:141">
      <c r="A289" t="s">
        <v>1531</v>
      </c>
      <c r="B289" t="s">
        <v>1532</v>
      </c>
      <c r="C289" t="s">
        <v>1533</v>
      </c>
      <c r="D289" s="1">
        <v>43766</v>
      </c>
      <c r="E289" s="2">
        <v>43840.801145833335</v>
      </c>
      <c r="F289" s="2">
        <v>43840.801145833335</v>
      </c>
      <c r="G289">
        <v>583377</v>
      </c>
      <c r="H289" t="s">
        <v>1534</v>
      </c>
      <c r="I289" s="10" t="s">
        <v>1535</v>
      </c>
      <c r="J289" t="s">
        <v>156</v>
      </c>
      <c r="K289" s="8" t="b">
        <v>1</v>
      </c>
      <c r="L289" s="10" t="b">
        <v>0</v>
      </c>
      <c r="M289" s="12" t="b">
        <v>0</v>
      </c>
      <c r="N289" t="b">
        <v>0</v>
      </c>
      <c r="O289" t="b">
        <v>0</v>
      </c>
      <c r="P289" t="b">
        <v>0</v>
      </c>
      <c r="Q289">
        <f t="shared" si="497"/>
        <v>2</v>
      </c>
      <c r="R289">
        <f t="shared" si="498"/>
        <v>10</v>
      </c>
      <c r="S289" t="e">
        <f t="shared" ca="1" si="528"/>
        <v>#NAME?</v>
      </c>
      <c r="T289" t="e">
        <f t="shared" ca="1" si="499"/>
        <v>#NAME?</v>
      </c>
      <c r="U289" s="4">
        <f t="shared" si="500"/>
        <v>74.801145833334886</v>
      </c>
      <c r="V289" s="4">
        <f t="shared" si="501"/>
        <v>2.4933715277778297</v>
      </c>
      <c r="W289" s="4">
        <f t="shared" si="502"/>
        <v>1</v>
      </c>
      <c r="X289" s="4">
        <f t="shared" si="503"/>
        <v>0</v>
      </c>
      <c r="Y289" s="4">
        <f t="shared" si="504"/>
        <v>0</v>
      </c>
      <c r="Z289" s="4">
        <f t="shared" si="505"/>
        <v>0</v>
      </c>
      <c r="AA289" s="4">
        <f t="shared" si="506"/>
        <v>0</v>
      </c>
      <c r="AB289" s="4">
        <f t="shared" si="507"/>
        <v>0</v>
      </c>
      <c r="AC289" s="4"/>
      <c r="AD289" s="4" t="b">
        <f t="shared" si="508"/>
        <v>0</v>
      </c>
      <c r="AE289" s="4" t="b">
        <f t="shared" si="509"/>
        <v>0</v>
      </c>
      <c r="AF289" s="4" t="b">
        <f t="shared" si="510"/>
        <v>0</v>
      </c>
      <c r="AG289" t="b">
        <f t="shared" si="511"/>
        <v>0</v>
      </c>
      <c r="AH289" t="b">
        <f t="shared" si="512"/>
        <v>0</v>
      </c>
      <c r="AI289" t="b">
        <f t="shared" si="513"/>
        <v>0</v>
      </c>
      <c r="AJ289" t="b">
        <f t="shared" si="514"/>
        <v>0</v>
      </c>
      <c r="AK289" t="b">
        <f t="shared" si="515"/>
        <v>0</v>
      </c>
      <c r="AL289" t="b">
        <f t="shared" si="516"/>
        <v>0</v>
      </c>
      <c r="AM289" t="b">
        <f t="shared" si="517"/>
        <v>0</v>
      </c>
      <c r="AN289" t="b">
        <f t="shared" si="518"/>
        <v>0</v>
      </c>
      <c r="AO289" t="b">
        <f t="shared" si="519"/>
        <v>0</v>
      </c>
      <c r="AP289" t="b">
        <f t="shared" si="520"/>
        <v>0</v>
      </c>
      <c r="AQ289" t="b">
        <f t="shared" si="521"/>
        <v>0</v>
      </c>
      <c r="AR289" t="b">
        <f t="shared" si="522"/>
        <v>0</v>
      </c>
      <c r="AS289" t="b">
        <f t="shared" si="523"/>
        <v>0</v>
      </c>
      <c r="AT289" t="b">
        <f t="shared" si="524"/>
        <v>0</v>
      </c>
      <c r="AU289" t="b">
        <f t="shared" si="525"/>
        <v>0</v>
      </c>
      <c r="AV289" t="b">
        <f t="shared" si="526"/>
        <v>0</v>
      </c>
      <c r="AW289" t="b">
        <f t="shared" si="527"/>
        <v>0</v>
      </c>
      <c r="AX289" t="b">
        <f t="shared" si="529"/>
        <v>0</v>
      </c>
      <c r="AY289" t="b">
        <f t="shared" si="530"/>
        <v>0</v>
      </c>
      <c r="AZ289" t="b">
        <f t="shared" si="531"/>
        <v>0</v>
      </c>
      <c r="BA289" t="b">
        <f t="shared" si="532"/>
        <v>0</v>
      </c>
      <c r="BB289" t="b">
        <f t="shared" si="533"/>
        <v>0</v>
      </c>
      <c r="BC289" t="b">
        <f t="shared" si="534"/>
        <v>0</v>
      </c>
      <c r="BD289" t="b">
        <f t="shared" si="535"/>
        <v>0</v>
      </c>
      <c r="BE289" t="b">
        <f t="shared" si="536"/>
        <v>0</v>
      </c>
      <c r="BF289" t="b">
        <f t="shared" si="537"/>
        <v>0</v>
      </c>
      <c r="BG289" t="b">
        <f t="shared" si="538"/>
        <v>0</v>
      </c>
      <c r="BH289" t="b">
        <f t="shared" si="539"/>
        <v>0</v>
      </c>
      <c r="BI289">
        <f t="shared" si="540"/>
        <v>1</v>
      </c>
      <c r="BJ289" t="b">
        <f t="shared" si="541"/>
        <v>0</v>
      </c>
      <c r="BK289" t="b">
        <f t="shared" si="542"/>
        <v>0</v>
      </c>
      <c r="BL289" t="b">
        <f t="shared" si="543"/>
        <v>0</v>
      </c>
      <c r="BM289" t="b">
        <f t="shared" si="544"/>
        <v>0</v>
      </c>
      <c r="BN289" t="b">
        <f t="shared" si="545"/>
        <v>0</v>
      </c>
      <c r="BO289" t="b">
        <f t="shared" si="546"/>
        <v>0</v>
      </c>
      <c r="BP289" t="b">
        <f t="shared" si="547"/>
        <v>0</v>
      </c>
      <c r="BQ289" t="b">
        <f t="shared" si="548"/>
        <v>0</v>
      </c>
      <c r="BR289" t="b">
        <f t="shared" si="549"/>
        <v>0</v>
      </c>
      <c r="BS289" t="b">
        <f t="shared" si="550"/>
        <v>0</v>
      </c>
      <c r="BT289" t="b">
        <f t="shared" si="551"/>
        <v>0</v>
      </c>
      <c r="BU289" t="b">
        <f t="shared" si="552"/>
        <v>0</v>
      </c>
      <c r="BV289" t="b">
        <f t="shared" si="553"/>
        <v>0</v>
      </c>
      <c r="BW289" t="b">
        <f t="shared" si="554"/>
        <v>0</v>
      </c>
      <c r="BX289" t="b">
        <f t="shared" si="555"/>
        <v>0</v>
      </c>
      <c r="BY289" t="b">
        <f t="shared" si="556"/>
        <v>0</v>
      </c>
      <c r="BZ289" t="b">
        <f t="shared" si="557"/>
        <v>0</v>
      </c>
      <c r="CA289" t="b">
        <f t="shared" si="558"/>
        <v>0</v>
      </c>
      <c r="CB289" t="b">
        <f t="shared" si="559"/>
        <v>0</v>
      </c>
      <c r="CC289" t="b">
        <f t="shared" si="560"/>
        <v>0</v>
      </c>
      <c r="CD289" t="b">
        <f t="shared" si="561"/>
        <v>0</v>
      </c>
      <c r="CE289" t="b">
        <f t="shared" si="562"/>
        <v>0</v>
      </c>
      <c r="CF289" t="b">
        <f t="shared" si="563"/>
        <v>0</v>
      </c>
      <c r="CG289" t="b">
        <f t="shared" si="564"/>
        <v>0</v>
      </c>
      <c r="CH289" t="b">
        <f t="shared" si="565"/>
        <v>0</v>
      </c>
      <c r="CI289" t="b">
        <f t="shared" si="566"/>
        <v>0</v>
      </c>
      <c r="CJ289" t="b">
        <f t="shared" si="567"/>
        <v>0</v>
      </c>
      <c r="CK289" t="b">
        <f t="shared" si="568"/>
        <v>0</v>
      </c>
      <c r="CL289" t="b">
        <f t="shared" si="569"/>
        <v>0</v>
      </c>
      <c r="CM289" t="b">
        <f t="shared" si="570"/>
        <v>0</v>
      </c>
      <c r="CN289" t="b">
        <f t="shared" si="571"/>
        <v>0</v>
      </c>
      <c r="CO289" t="b">
        <f t="shared" si="572"/>
        <v>0</v>
      </c>
      <c r="CP289" t="b">
        <f t="shared" si="573"/>
        <v>0</v>
      </c>
      <c r="CQ289" t="b">
        <f t="shared" si="574"/>
        <v>0</v>
      </c>
      <c r="CR289" t="b">
        <f t="shared" si="575"/>
        <v>0</v>
      </c>
      <c r="CS289" t="b">
        <f t="shared" si="576"/>
        <v>0</v>
      </c>
      <c r="CT289" t="b">
        <f t="shared" si="577"/>
        <v>0</v>
      </c>
      <c r="CU289" t="b">
        <f t="shared" si="578"/>
        <v>0</v>
      </c>
      <c r="CV289">
        <f t="shared" si="579"/>
        <v>1</v>
      </c>
      <c r="CW289" t="b">
        <f t="shared" si="580"/>
        <v>0</v>
      </c>
      <c r="CX289" t="b">
        <f t="shared" si="581"/>
        <v>0</v>
      </c>
      <c r="CY289" t="b">
        <f t="shared" si="582"/>
        <v>0</v>
      </c>
      <c r="CZ289" t="b">
        <f t="shared" si="583"/>
        <v>0</v>
      </c>
      <c r="DA289" t="b">
        <f t="shared" si="584"/>
        <v>0</v>
      </c>
      <c r="DB289" t="b">
        <f t="shared" si="585"/>
        <v>0</v>
      </c>
      <c r="DC289" t="b">
        <f t="shared" si="586"/>
        <v>0</v>
      </c>
      <c r="DD289" t="b">
        <f t="shared" si="587"/>
        <v>0</v>
      </c>
      <c r="DE289" t="b">
        <f t="shared" si="588"/>
        <v>0</v>
      </c>
      <c r="DF289" t="b">
        <f t="shared" si="589"/>
        <v>0</v>
      </c>
      <c r="DG289" t="b">
        <f t="shared" si="590"/>
        <v>0</v>
      </c>
      <c r="DH289" t="b">
        <f t="shared" si="591"/>
        <v>0</v>
      </c>
      <c r="DI289" t="b">
        <f t="shared" si="592"/>
        <v>0</v>
      </c>
      <c r="DJ289" t="b">
        <f t="shared" si="593"/>
        <v>0</v>
      </c>
      <c r="DK289" t="b">
        <f t="shared" si="594"/>
        <v>0</v>
      </c>
      <c r="DL289" t="b">
        <f t="shared" si="595"/>
        <v>0</v>
      </c>
      <c r="DM289" t="b">
        <f t="shared" si="596"/>
        <v>0</v>
      </c>
      <c r="DN289" t="b">
        <f t="shared" si="597"/>
        <v>0</v>
      </c>
      <c r="DO289" t="b">
        <f t="shared" si="598"/>
        <v>0</v>
      </c>
      <c r="DP289" t="b">
        <f t="shared" si="599"/>
        <v>0</v>
      </c>
      <c r="DQ289" t="b">
        <f t="shared" si="600"/>
        <v>0</v>
      </c>
      <c r="DR289" t="b">
        <f t="shared" si="601"/>
        <v>0</v>
      </c>
      <c r="DS289" t="b">
        <f t="shared" si="602"/>
        <v>0</v>
      </c>
      <c r="DT289" t="b">
        <f t="shared" si="603"/>
        <v>0</v>
      </c>
      <c r="DU289" t="b">
        <f t="shared" si="604"/>
        <v>0</v>
      </c>
      <c r="DV289" t="b">
        <f t="shared" si="605"/>
        <v>0</v>
      </c>
      <c r="DW289" t="b">
        <f t="shared" si="606"/>
        <v>0</v>
      </c>
      <c r="DX289" t="b">
        <f t="shared" si="607"/>
        <v>0</v>
      </c>
      <c r="DY289" t="b">
        <f t="shared" si="608"/>
        <v>0</v>
      </c>
      <c r="DZ289" t="b">
        <f t="shared" si="609"/>
        <v>0</v>
      </c>
      <c r="EA289" t="b">
        <f t="shared" si="610"/>
        <v>0</v>
      </c>
      <c r="EB289" t="b">
        <f t="shared" si="611"/>
        <v>0</v>
      </c>
      <c r="EC289" t="b">
        <f t="shared" si="612"/>
        <v>0</v>
      </c>
      <c r="ED289" t="b">
        <f t="shared" si="613"/>
        <v>0</v>
      </c>
      <c r="EE289" t="b">
        <f t="shared" si="614"/>
        <v>0</v>
      </c>
      <c r="EF289">
        <f t="shared" si="615"/>
        <v>1</v>
      </c>
      <c r="EG289" t="b">
        <f t="shared" si="616"/>
        <v>0</v>
      </c>
      <c r="EH289" t="b">
        <f t="shared" si="617"/>
        <v>0</v>
      </c>
      <c r="EI289" t="b">
        <f t="shared" si="618"/>
        <v>0</v>
      </c>
      <c r="EJ289" t="b">
        <f t="shared" si="619"/>
        <v>0</v>
      </c>
      <c r="EK289" t="b">
        <f t="shared" si="620"/>
        <v>0</v>
      </c>
    </row>
    <row r="290" spans="1:141">
      <c r="A290" t="s">
        <v>1536</v>
      </c>
      <c r="B290" t="s">
        <v>1536</v>
      </c>
      <c r="C290" t="s">
        <v>1537</v>
      </c>
      <c r="D290" s="1">
        <v>41842</v>
      </c>
      <c r="E290" s="2">
        <v>41842.955729166664</v>
      </c>
      <c r="F290" s="2">
        <v>41842.955729166664</v>
      </c>
      <c r="G290">
        <v>104097</v>
      </c>
      <c r="H290" t="s">
        <v>1538</v>
      </c>
      <c r="I290" s="10" t="s">
        <v>1539</v>
      </c>
      <c r="J290" t="s">
        <v>1187</v>
      </c>
      <c r="K290" s="8" t="b">
        <v>1</v>
      </c>
      <c r="L290" s="10" t="b">
        <v>0</v>
      </c>
      <c r="M290" s="12" t="b">
        <v>0</v>
      </c>
      <c r="N290" t="b">
        <v>0</v>
      </c>
      <c r="O290" t="b">
        <v>0</v>
      </c>
      <c r="P290" t="b">
        <v>0</v>
      </c>
      <c r="Q290">
        <f t="shared" si="497"/>
        <v>3</v>
      </c>
      <c r="R290">
        <f t="shared" si="498"/>
        <v>7</v>
      </c>
      <c r="S290" t="e">
        <f t="shared" ca="1" si="528"/>
        <v>#NAME?</v>
      </c>
      <c r="T290" t="e">
        <f t="shared" ca="1" si="499"/>
        <v>#NAME?</v>
      </c>
      <c r="U290" s="4">
        <f t="shared" si="500"/>
        <v>0.95572916666424135</v>
      </c>
      <c r="V290" s="4">
        <f t="shared" si="501"/>
        <v>3.1857638888808042E-2</v>
      </c>
      <c r="W290" s="4">
        <f t="shared" si="502"/>
        <v>1</v>
      </c>
      <c r="X290" s="4">
        <f t="shared" si="503"/>
        <v>0</v>
      </c>
      <c r="Y290" s="4">
        <f t="shared" si="504"/>
        <v>0</v>
      </c>
      <c r="Z290" s="4">
        <f t="shared" si="505"/>
        <v>0</v>
      </c>
      <c r="AA290" s="4">
        <f t="shared" si="506"/>
        <v>0</v>
      </c>
      <c r="AB290" s="4">
        <f t="shared" si="507"/>
        <v>0</v>
      </c>
      <c r="AC290" s="4"/>
      <c r="AD290" s="4" t="b">
        <f t="shared" si="508"/>
        <v>0</v>
      </c>
      <c r="AE290" s="4" t="b">
        <f t="shared" si="509"/>
        <v>0</v>
      </c>
      <c r="AF290" s="4" t="b">
        <f t="shared" si="510"/>
        <v>0</v>
      </c>
      <c r="AG290" t="b">
        <f t="shared" si="511"/>
        <v>0</v>
      </c>
      <c r="AH290" t="b">
        <f t="shared" si="512"/>
        <v>0</v>
      </c>
      <c r="AI290" t="b">
        <f t="shared" si="513"/>
        <v>0</v>
      </c>
      <c r="AJ290" t="b">
        <f t="shared" si="514"/>
        <v>0</v>
      </c>
      <c r="AK290" t="b">
        <f t="shared" si="515"/>
        <v>0</v>
      </c>
      <c r="AL290" t="b">
        <f t="shared" si="516"/>
        <v>0</v>
      </c>
      <c r="AM290" t="b">
        <f t="shared" si="517"/>
        <v>0</v>
      </c>
      <c r="AN290" t="b">
        <f t="shared" si="518"/>
        <v>0</v>
      </c>
      <c r="AO290" t="b">
        <f t="shared" si="519"/>
        <v>0</v>
      </c>
      <c r="AP290" t="b">
        <f t="shared" si="520"/>
        <v>0</v>
      </c>
      <c r="AQ290" t="b">
        <f t="shared" si="521"/>
        <v>0</v>
      </c>
      <c r="AR290" t="b">
        <f t="shared" si="522"/>
        <v>0</v>
      </c>
      <c r="AS290" t="b">
        <f t="shared" si="523"/>
        <v>0</v>
      </c>
      <c r="AT290" t="b">
        <f t="shared" si="524"/>
        <v>0</v>
      </c>
      <c r="AU290" t="b">
        <f t="shared" si="525"/>
        <v>0</v>
      </c>
      <c r="AV290" t="b">
        <f t="shared" si="526"/>
        <v>0</v>
      </c>
      <c r="AW290" t="b">
        <f t="shared" si="527"/>
        <v>0</v>
      </c>
      <c r="AX290" t="b">
        <f t="shared" si="529"/>
        <v>0</v>
      </c>
      <c r="AY290" t="b">
        <f t="shared" si="530"/>
        <v>0</v>
      </c>
      <c r="AZ290" t="b">
        <f t="shared" si="531"/>
        <v>0</v>
      </c>
      <c r="BA290" t="b">
        <f t="shared" si="532"/>
        <v>0</v>
      </c>
      <c r="BB290" t="b">
        <f t="shared" si="533"/>
        <v>0</v>
      </c>
      <c r="BC290" t="b">
        <f t="shared" si="534"/>
        <v>0</v>
      </c>
      <c r="BD290" t="b">
        <f t="shared" si="535"/>
        <v>0</v>
      </c>
      <c r="BE290" t="b">
        <f t="shared" si="536"/>
        <v>0</v>
      </c>
      <c r="BF290" t="b">
        <f t="shared" si="537"/>
        <v>0</v>
      </c>
      <c r="BG290" t="b">
        <f t="shared" si="538"/>
        <v>0</v>
      </c>
      <c r="BH290" t="b">
        <f t="shared" si="539"/>
        <v>0</v>
      </c>
      <c r="BI290">
        <f t="shared" si="540"/>
        <v>1</v>
      </c>
      <c r="BJ290" t="b">
        <f t="shared" si="541"/>
        <v>0</v>
      </c>
      <c r="BK290" t="b">
        <f t="shared" si="542"/>
        <v>0</v>
      </c>
      <c r="BL290" t="b">
        <f t="shared" si="543"/>
        <v>0</v>
      </c>
      <c r="BM290" t="b">
        <f t="shared" si="544"/>
        <v>0</v>
      </c>
      <c r="BN290" t="b">
        <f t="shared" si="545"/>
        <v>0</v>
      </c>
      <c r="BO290" t="b">
        <f t="shared" si="546"/>
        <v>0</v>
      </c>
      <c r="BP290" t="b">
        <f t="shared" si="547"/>
        <v>0</v>
      </c>
      <c r="BQ290" t="b">
        <f t="shared" si="548"/>
        <v>0</v>
      </c>
      <c r="BR290" t="b">
        <f t="shared" si="549"/>
        <v>0</v>
      </c>
      <c r="BS290" t="b">
        <f t="shared" si="550"/>
        <v>0</v>
      </c>
      <c r="BT290" t="b">
        <f t="shared" si="551"/>
        <v>0</v>
      </c>
      <c r="BU290" t="b">
        <f t="shared" si="552"/>
        <v>0</v>
      </c>
      <c r="BV290" t="b">
        <f t="shared" si="553"/>
        <v>0</v>
      </c>
      <c r="BW290" t="b">
        <f t="shared" si="554"/>
        <v>0</v>
      </c>
      <c r="BX290" t="b">
        <f t="shared" si="555"/>
        <v>0</v>
      </c>
      <c r="BY290" t="b">
        <f t="shared" si="556"/>
        <v>0</v>
      </c>
      <c r="BZ290" t="b">
        <f t="shared" si="557"/>
        <v>0</v>
      </c>
      <c r="CA290" t="b">
        <f t="shared" si="558"/>
        <v>0</v>
      </c>
      <c r="CB290" t="b">
        <f t="shared" si="559"/>
        <v>0</v>
      </c>
      <c r="CC290" t="b">
        <f t="shared" si="560"/>
        <v>0</v>
      </c>
      <c r="CD290" t="b">
        <f t="shared" si="561"/>
        <v>0</v>
      </c>
      <c r="CE290" t="b">
        <f t="shared" si="562"/>
        <v>0</v>
      </c>
      <c r="CF290" t="b">
        <f t="shared" si="563"/>
        <v>0</v>
      </c>
      <c r="CG290" t="b">
        <f t="shared" si="564"/>
        <v>0</v>
      </c>
      <c r="CH290" t="b">
        <f t="shared" si="565"/>
        <v>0</v>
      </c>
      <c r="CI290" t="b">
        <f t="shared" si="566"/>
        <v>0</v>
      </c>
      <c r="CJ290" t="b">
        <f t="shared" si="567"/>
        <v>0</v>
      </c>
      <c r="CK290" t="b">
        <f t="shared" si="568"/>
        <v>0</v>
      </c>
      <c r="CL290" t="b">
        <f t="shared" si="569"/>
        <v>0</v>
      </c>
      <c r="CM290" t="b">
        <f t="shared" si="570"/>
        <v>0</v>
      </c>
      <c r="CN290" t="b">
        <f t="shared" si="571"/>
        <v>0</v>
      </c>
      <c r="CO290" t="b">
        <f t="shared" si="572"/>
        <v>0</v>
      </c>
      <c r="CP290" t="b">
        <f t="shared" si="573"/>
        <v>0</v>
      </c>
      <c r="CQ290" t="b">
        <f t="shared" si="574"/>
        <v>0</v>
      </c>
      <c r="CR290" t="b">
        <f t="shared" si="575"/>
        <v>0</v>
      </c>
      <c r="CS290" t="b">
        <f t="shared" si="576"/>
        <v>0</v>
      </c>
      <c r="CT290" t="b">
        <f t="shared" si="577"/>
        <v>0</v>
      </c>
      <c r="CU290" t="b">
        <f t="shared" si="578"/>
        <v>0</v>
      </c>
      <c r="CV290">
        <f t="shared" si="579"/>
        <v>1</v>
      </c>
      <c r="CW290" t="b">
        <f t="shared" si="580"/>
        <v>0</v>
      </c>
      <c r="CX290" t="b">
        <f t="shared" si="581"/>
        <v>0</v>
      </c>
      <c r="CY290" t="b">
        <f t="shared" si="582"/>
        <v>0</v>
      </c>
      <c r="CZ290" t="b">
        <f t="shared" si="583"/>
        <v>0</v>
      </c>
      <c r="DA290" t="b">
        <f t="shared" si="584"/>
        <v>0</v>
      </c>
      <c r="DB290" t="b">
        <f t="shared" si="585"/>
        <v>0</v>
      </c>
      <c r="DC290" t="b">
        <f t="shared" si="586"/>
        <v>0</v>
      </c>
      <c r="DD290" t="b">
        <f t="shared" si="587"/>
        <v>0</v>
      </c>
      <c r="DE290" t="b">
        <f t="shared" si="588"/>
        <v>0</v>
      </c>
      <c r="DF290" t="b">
        <f t="shared" si="589"/>
        <v>0</v>
      </c>
      <c r="DG290" t="b">
        <f t="shared" si="590"/>
        <v>0</v>
      </c>
      <c r="DH290" t="b">
        <f t="shared" si="591"/>
        <v>0</v>
      </c>
      <c r="DI290" t="b">
        <f t="shared" si="592"/>
        <v>0</v>
      </c>
      <c r="DJ290" t="b">
        <f t="shared" si="593"/>
        <v>0</v>
      </c>
      <c r="DK290" t="b">
        <f t="shared" si="594"/>
        <v>0</v>
      </c>
      <c r="DL290" t="b">
        <f t="shared" si="595"/>
        <v>0</v>
      </c>
      <c r="DM290" t="b">
        <f t="shared" si="596"/>
        <v>0</v>
      </c>
      <c r="DN290" t="b">
        <f t="shared" si="597"/>
        <v>0</v>
      </c>
      <c r="DO290" t="b">
        <f t="shared" si="598"/>
        <v>0</v>
      </c>
      <c r="DP290" t="b">
        <f t="shared" si="599"/>
        <v>0</v>
      </c>
      <c r="DQ290" t="b">
        <f t="shared" si="600"/>
        <v>0</v>
      </c>
      <c r="DR290" t="b">
        <f t="shared" si="601"/>
        <v>0</v>
      </c>
      <c r="DS290" t="b">
        <f t="shared" si="602"/>
        <v>0</v>
      </c>
      <c r="DT290" t="b">
        <f t="shared" si="603"/>
        <v>0</v>
      </c>
      <c r="DU290" t="b">
        <f t="shared" si="604"/>
        <v>0</v>
      </c>
      <c r="DV290" t="b">
        <f t="shared" si="605"/>
        <v>0</v>
      </c>
      <c r="DW290" t="b">
        <f t="shared" si="606"/>
        <v>0</v>
      </c>
      <c r="DX290" t="b">
        <f t="shared" si="607"/>
        <v>0</v>
      </c>
      <c r="DY290" t="b">
        <f t="shared" si="608"/>
        <v>0</v>
      </c>
      <c r="DZ290" t="b">
        <f t="shared" si="609"/>
        <v>0</v>
      </c>
      <c r="EA290" t="b">
        <f t="shared" si="610"/>
        <v>0</v>
      </c>
      <c r="EB290" t="b">
        <f t="shared" si="611"/>
        <v>0</v>
      </c>
      <c r="EC290" t="b">
        <f t="shared" si="612"/>
        <v>0</v>
      </c>
      <c r="ED290" t="b">
        <f t="shared" si="613"/>
        <v>0</v>
      </c>
      <c r="EE290" t="b">
        <f t="shared" si="614"/>
        <v>0</v>
      </c>
      <c r="EF290">
        <f t="shared" si="615"/>
        <v>1</v>
      </c>
      <c r="EG290" t="b">
        <f t="shared" si="616"/>
        <v>0</v>
      </c>
      <c r="EH290" t="b">
        <f t="shared" si="617"/>
        <v>0</v>
      </c>
      <c r="EI290">
        <f t="shared" si="618"/>
        <v>1</v>
      </c>
      <c r="EJ290" t="b">
        <f t="shared" si="619"/>
        <v>0</v>
      </c>
      <c r="EK290" t="b">
        <f t="shared" si="620"/>
        <v>0</v>
      </c>
    </row>
    <row r="291" spans="1:141">
      <c r="A291" t="s">
        <v>1540</v>
      </c>
      <c r="B291" t="s">
        <v>1540</v>
      </c>
      <c r="C291" t="s">
        <v>1541</v>
      </c>
      <c r="D291" s="1">
        <v>43534</v>
      </c>
      <c r="E291" s="2">
        <v>43557.869664351849</v>
      </c>
      <c r="F291" s="2">
        <v>43557.869664351849</v>
      </c>
      <c r="G291">
        <v>3073409</v>
      </c>
      <c r="H291" t="s">
        <v>1542</v>
      </c>
      <c r="I291" s="10" t="s">
        <v>414</v>
      </c>
      <c r="J291" t="s">
        <v>147</v>
      </c>
      <c r="K291" s="8" t="b">
        <v>1</v>
      </c>
      <c r="L291" s="10" t="b">
        <v>0</v>
      </c>
      <c r="M291" s="12" t="b">
        <v>0</v>
      </c>
      <c r="N291" t="b">
        <v>0</v>
      </c>
      <c r="O291" t="b">
        <v>1</v>
      </c>
      <c r="P291" t="b">
        <v>0</v>
      </c>
      <c r="Q291">
        <f t="shared" si="497"/>
        <v>1</v>
      </c>
      <c r="R291">
        <f t="shared" si="498"/>
        <v>3</v>
      </c>
      <c r="S291" t="e">
        <f t="shared" ca="1" si="528"/>
        <v>#NAME?</v>
      </c>
      <c r="T291" t="e">
        <f t="shared" ca="1" si="499"/>
        <v>#NAME?</v>
      </c>
      <c r="U291" s="4">
        <f t="shared" si="500"/>
        <v>23.869664351848769</v>
      </c>
      <c r="V291" s="4">
        <f t="shared" si="501"/>
        <v>0.79565547839495898</v>
      </c>
      <c r="W291" s="4">
        <f t="shared" si="502"/>
        <v>1</v>
      </c>
      <c r="X291" s="4">
        <f t="shared" si="503"/>
        <v>0</v>
      </c>
      <c r="Y291" s="4">
        <f t="shared" si="504"/>
        <v>0</v>
      </c>
      <c r="Z291" s="4">
        <f t="shared" si="505"/>
        <v>0</v>
      </c>
      <c r="AA291" s="4">
        <f t="shared" si="506"/>
        <v>1</v>
      </c>
      <c r="AB291" s="4">
        <f t="shared" si="507"/>
        <v>0</v>
      </c>
      <c r="AC291" s="4"/>
      <c r="AD291" s="4" t="b">
        <f t="shared" si="508"/>
        <v>0</v>
      </c>
      <c r="AE291" s="4" t="b">
        <f t="shared" si="509"/>
        <v>0</v>
      </c>
      <c r="AF291" s="4" t="b">
        <f t="shared" si="510"/>
        <v>0</v>
      </c>
      <c r="AG291" t="b">
        <f t="shared" si="511"/>
        <v>0</v>
      </c>
      <c r="AH291" t="b">
        <f t="shared" si="512"/>
        <v>0</v>
      </c>
      <c r="AI291" t="b">
        <f t="shared" si="513"/>
        <v>0</v>
      </c>
      <c r="AJ291" t="b">
        <f t="shared" si="514"/>
        <v>0</v>
      </c>
      <c r="AK291" t="b">
        <f t="shared" si="515"/>
        <v>0</v>
      </c>
      <c r="AL291" t="b">
        <f t="shared" si="516"/>
        <v>0</v>
      </c>
      <c r="AM291" t="b">
        <f t="shared" si="517"/>
        <v>0</v>
      </c>
      <c r="AN291" t="b">
        <f t="shared" si="518"/>
        <v>0</v>
      </c>
      <c r="AO291" t="b">
        <f t="shared" si="519"/>
        <v>0</v>
      </c>
      <c r="AP291" t="b">
        <f t="shared" si="520"/>
        <v>0</v>
      </c>
      <c r="AQ291" t="b">
        <f t="shared" si="521"/>
        <v>0</v>
      </c>
      <c r="AR291" t="b">
        <f t="shared" si="522"/>
        <v>0</v>
      </c>
      <c r="AS291" t="b">
        <f t="shared" si="523"/>
        <v>0</v>
      </c>
      <c r="AT291" t="b">
        <f t="shared" si="524"/>
        <v>0</v>
      </c>
      <c r="AU291" t="b">
        <f t="shared" si="525"/>
        <v>0</v>
      </c>
      <c r="AV291" t="b">
        <f t="shared" si="526"/>
        <v>0</v>
      </c>
      <c r="AW291" t="b">
        <f t="shared" si="527"/>
        <v>0</v>
      </c>
      <c r="AX291" t="b">
        <f t="shared" si="529"/>
        <v>0</v>
      </c>
      <c r="AY291" t="b">
        <f t="shared" si="530"/>
        <v>0</v>
      </c>
      <c r="AZ291" t="b">
        <f t="shared" si="531"/>
        <v>0</v>
      </c>
      <c r="BA291" t="b">
        <f t="shared" si="532"/>
        <v>0</v>
      </c>
      <c r="BB291" t="b">
        <f t="shared" si="533"/>
        <v>0</v>
      </c>
      <c r="BC291" t="b">
        <f t="shared" si="534"/>
        <v>0</v>
      </c>
      <c r="BD291" t="b">
        <f t="shared" si="535"/>
        <v>0</v>
      </c>
      <c r="BE291" t="b">
        <f t="shared" si="536"/>
        <v>0</v>
      </c>
      <c r="BF291" t="b">
        <f t="shared" si="537"/>
        <v>0</v>
      </c>
      <c r="BG291" t="b">
        <f t="shared" si="538"/>
        <v>0</v>
      </c>
      <c r="BH291" t="b">
        <f t="shared" si="539"/>
        <v>0</v>
      </c>
      <c r="BI291">
        <f t="shared" si="540"/>
        <v>1</v>
      </c>
      <c r="BJ291" t="b">
        <f t="shared" si="541"/>
        <v>0</v>
      </c>
      <c r="BK291" t="b">
        <f t="shared" si="542"/>
        <v>0</v>
      </c>
      <c r="BL291" t="b">
        <f t="shared" si="543"/>
        <v>0</v>
      </c>
      <c r="BM291" t="b">
        <f t="shared" si="544"/>
        <v>0</v>
      </c>
      <c r="BN291" t="b">
        <f t="shared" si="545"/>
        <v>0</v>
      </c>
      <c r="BO291" t="b">
        <f t="shared" si="546"/>
        <v>0</v>
      </c>
      <c r="BP291" t="b">
        <f t="shared" si="547"/>
        <v>0</v>
      </c>
      <c r="BQ291" t="b">
        <f t="shared" si="548"/>
        <v>0</v>
      </c>
      <c r="BR291" t="b">
        <f t="shared" si="549"/>
        <v>0</v>
      </c>
      <c r="BS291" t="b">
        <f t="shared" si="550"/>
        <v>0</v>
      </c>
      <c r="BT291" t="b">
        <f t="shared" si="551"/>
        <v>0</v>
      </c>
      <c r="BU291" t="b">
        <f t="shared" si="552"/>
        <v>0</v>
      </c>
      <c r="BV291" t="b">
        <f t="shared" si="553"/>
        <v>0</v>
      </c>
      <c r="BW291" t="b">
        <f t="shared" si="554"/>
        <v>0</v>
      </c>
      <c r="BX291" t="b">
        <f t="shared" si="555"/>
        <v>0</v>
      </c>
      <c r="BY291" t="b">
        <f t="shared" si="556"/>
        <v>0</v>
      </c>
      <c r="BZ291" t="b">
        <f t="shared" si="557"/>
        <v>0</v>
      </c>
      <c r="CA291" t="b">
        <f t="shared" si="558"/>
        <v>0</v>
      </c>
      <c r="CB291" t="b">
        <f t="shared" si="559"/>
        <v>0</v>
      </c>
      <c r="CC291" t="b">
        <f t="shared" si="560"/>
        <v>0</v>
      </c>
      <c r="CD291" t="b">
        <f t="shared" si="561"/>
        <v>0</v>
      </c>
      <c r="CE291" t="b">
        <f t="shared" si="562"/>
        <v>0</v>
      </c>
      <c r="CF291" t="b">
        <f t="shared" si="563"/>
        <v>0</v>
      </c>
      <c r="CG291" t="b">
        <f t="shared" si="564"/>
        <v>0</v>
      </c>
      <c r="CH291" t="b">
        <f t="shared" si="565"/>
        <v>0</v>
      </c>
      <c r="CI291" t="b">
        <f t="shared" si="566"/>
        <v>0</v>
      </c>
      <c r="CJ291" t="b">
        <f t="shared" si="567"/>
        <v>0</v>
      </c>
      <c r="CK291" t="b">
        <f t="shared" si="568"/>
        <v>0</v>
      </c>
      <c r="CL291" t="b">
        <f t="shared" si="569"/>
        <v>0</v>
      </c>
      <c r="CM291" t="b">
        <f t="shared" si="570"/>
        <v>0</v>
      </c>
      <c r="CN291" t="b">
        <f t="shared" si="571"/>
        <v>0</v>
      </c>
      <c r="CO291" t="b">
        <f t="shared" si="572"/>
        <v>0</v>
      </c>
      <c r="CP291" t="b">
        <f t="shared" si="573"/>
        <v>0</v>
      </c>
      <c r="CQ291" t="b">
        <f t="shared" si="574"/>
        <v>0</v>
      </c>
      <c r="CR291" t="b">
        <f t="shared" si="575"/>
        <v>0</v>
      </c>
      <c r="CS291" t="b">
        <f t="shared" si="576"/>
        <v>0</v>
      </c>
      <c r="CT291" t="b">
        <f t="shared" si="577"/>
        <v>0</v>
      </c>
      <c r="CU291" t="b">
        <f t="shared" si="578"/>
        <v>0</v>
      </c>
      <c r="CV291">
        <f t="shared" si="579"/>
        <v>1</v>
      </c>
      <c r="CW291" t="b">
        <f t="shared" si="580"/>
        <v>0</v>
      </c>
      <c r="CX291" t="b">
        <f t="shared" si="581"/>
        <v>0</v>
      </c>
      <c r="CY291" t="b">
        <f t="shared" si="582"/>
        <v>0</v>
      </c>
      <c r="CZ291" t="b">
        <f t="shared" si="583"/>
        <v>0</v>
      </c>
      <c r="DA291" t="b">
        <f t="shared" si="584"/>
        <v>0</v>
      </c>
      <c r="DB291" t="b">
        <f t="shared" si="585"/>
        <v>0</v>
      </c>
      <c r="DC291" t="b">
        <f t="shared" si="586"/>
        <v>0</v>
      </c>
      <c r="DD291" t="b">
        <f t="shared" si="587"/>
        <v>0</v>
      </c>
      <c r="DE291" t="b">
        <f t="shared" si="588"/>
        <v>0</v>
      </c>
      <c r="DF291" t="b">
        <f t="shared" si="589"/>
        <v>0</v>
      </c>
      <c r="DG291" t="b">
        <f t="shared" si="590"/>
        <v>0</v>
      </c>
      <c r="DH291" t="b">
        <f t="shared" si="591"/>
        <v>0</v>
      </c>
      <c r="DI291" t="b">
        <f t="shared" si="592"/>
        <v>0</v>
      </c>
      <c r="DJ291" t="b">
        <f t="shared" si="593"/>
        <v>0</v>
      </c>
      <c r="DK291" t="b">
        <f t="shared" si="594"/>
        <v>0</v>
      </c>
      <c r="DL291" t="b">
        <f t="shared" si="595"/>
        <v>0</v>
      </c>
      <c r="DM291" t="b">
        <f t="shared" si="596"/>
        <v>0</v>
      </c>
      <c r="DN291" t="b">
        <f t="shared" si="597"/>
        <v>0</v>
      </c>
      <c r="DO291" t="b">
        <f t="shared" si="598"/>
        <v>0</v>
      </c>
      <c r="DP291" t="b">
        <f t="shared" si="599"/>
        <v>0</v>
      </c>
      <c r="DQ291" t="b">
        <f t="shared" si="600"/>
        <v>0</v>
      </c>
      <c r="DR291" t="b">
        <f t="shared" si="601"/>
        <v>0</v>
      </c>
      <c r="DS291" t="b">
        <f t="shared" si="602"/>
        <v>0</v>
      </c>
      <c r="DT291" t="b">
        <f t="shared" si="603"/>
        <v>0</v>
      </c>
      <c r="DU291" t="b">
        <f t="shared" si="604"/>
        <v>0</v>
      </c>
      <c r="DV291" t="b">
        <f t="shared" si="605"/>
        <v>0</v>
      </c>
      <c r="DW291" t="b">
        <f t="shared" si="606"/>
        <v>0</v>
      </c>
      <c r="DX291" t="b">
        <f t="shared" si="607"/>
        <v>0</v>
      </c>
      <c r="DY291" t="b">
        <f t="shared" si="608"/>
        <v>0</v>
      </c>
      <c r="DZ291" t="b">
        <f t="shared" si="609"/>
        <v>0</v>
      </c>
      <c r="EA291" t="b">
        <f t="shared" si="610"/>
        <v>0</v>
      </c>
      <c r="EB291" t="b">
        <f t="shared" si="611"/>
        <v>0</v>
      </c>
      <c r="EC291" t="b">
        <f t="shared" si="612"/>
        <v>0</v>
      </c>
      <c r="ED291" t="b">
        <f t="shared" si="613"/>
        <v>0</v>
      </c>
      <c r="EE291" t="b">
        <f t="shared" si="614"/>
        <v>0</v>
      </c>
      <c r="EF291" t="b">
        <f t="shared" si="615"/>
        <v>0</v>
      </c>
      <c r="EG291" t="b">
        <f t="shared" si="616"/>
        <v>0</v>
      </c>
      <c r="EH291" t="b">
        <f t="shared" si="617"/>
        <v>0</v>
      </c>
      <c r="EI291" t="b">
        <f t="shared" si="618"/>
        <v>0</v>
      </c>
      <c r="EJ291" t="b">
        <f t="shared" si="619"/>
        <v>0</v>
      </c>
      <c r="EK291" t="b">
        <f t="shared" si="620"/>
        <v>0</v>
      </c>
    </row>
    <row r="292" spans="1:141">
      <c r="A292" t="s">
        <v>1543</v>
      </c>
      <c r="B292" t="s">
        <v>1544</v>
      </c>
      <c r="C292" t="s">
        <v>1545</v>
      </c>
      <c r="D292" s="1">
        <v>42312</v>
      </c>
      <c r="E292" s="2">
        <v>42612.474097222221</v>
      </c>
      <c r="F292" s="2">
        <v>42612.474097222221</v>
      </c>
      <c r="G292">
        <v>3439414</v>
      </c>
      <c r="H292" t="s">
        <v>1546</v>
      </c>
      <c r="I292" s="10" t="s">
        <v>1547</v>
      </c>
      <c r="J292" t="s">
        <v>1548</v>
      </c>
      <c r="K292" s="8" t="b">
        <v>1</v>
      </c>
      <c r="L292" s="10" t="b">
        <v>0</v>
      </c>
      <c r="M292" s="12" t="b">
        <v>0</v>
      </c>
      <c r="N292" t="b">
        <v>0</v>
      </c>
      <c r="O292" t="b">
        <v>0</v>
      </c>
      <c r="P292" t="b">
        <v>0</v>
      </c>
      <c r="Q292">
        <f t="shared" si="497"/>
        <v>4</v>
      </c>
      <c r="R292">
        <f t="shared" si="498"/>
        <v>11</v>
      </c>
      <c r="S292" t="e">
        <f t="shared" ca="1" si="528"/>
        <v>#NAME?</v>
      </c>
      <c r="T292" t="e">
        <f t="shared" ca="1" si="499"/>
        <v>#NAME?</v>
      </c>
      <c r="U292" s="4">
        <f t="shared" si="500"/>
        <v>300.47409722222073</v>
      </c>
      <c r="V292" s="4">
        <f t="shared" si="501"/>
        <v>10.015803240740691</v>
      </c>
      <c r="W292" s="4">
        <f t="shared" si="502"/>
        <v>1</v>
      </c>
      <c r="X292" s="4">
        <f t="shared" si="503"/>
        <v>0</v>
      </c>
      <c r="Y292" s="4">
        <f t="shared" si="504"/>
        <v>0</v>
      </c>
      <c r="Z292" s="4">
        <f t="shared" si="505"/>
        <v>0</v>
      </c>
      <c r="AA292" s="4">
        <f t="shared" si="506"/>
        <v>0</v>
      </c>
      <c r="AB292" s="4">
        <f t="shared" si="507"/>
        <v>0</v>
      </c>
      <c r="AC292" s="4"/>
      <c r="AD292" s="4" t="b">
        <f t="shared" si="508"/>
        <v>0</v>
      </c>
      <c r="AE292" s="4" t="b">
        <f t="shared" si="509"/>
        <v>0</v>
      </c>
      <c r="AF292" s="4" t="b">
        <f t="shared" si="510"/>
        <v>0</v>
      </c>
      <c r="AG292" t="b">
        <f t="shared" si="511"/>
        <v>0</v>
      </c>
      <c r="AH292" t="b">
        <f t="shared" si="512"/>
        <v>0</v>
      </c>
      <c r="AI292" t="b">
        <f t="shared" si="513"/>
        <v>0</v>
      </c>
      <c r="AJ292" t="b">
        <f t="shared" si="514"/>
        <v>0</v>
      </c>
      <c r="AK292" t="b">
        <f t="shared" si="515"/>
        <v>0</v>
      </c>
      <c r="AL292" t="b">
        <f t="shared" si="516"/>
        <v>0</v>
      </c>
      <c r="AM292" t="b">
        <f t="shared" si="517"/>
        <v>0</v>
      </c>
      <c r="AN292" t="b">
        <f t="shared" si="518"/>
        <v>0</v>
      </c>
      <c r="AO292" t="b">
        <f t="shared" si="519"/>
        <v>0</v>
      </c>
      <c r="AP292" t="b">
        <f t="shared" si="520"/>
        <v>0</v>
      </c>
      <c r="AQ292" t="b">
        <f t="shared" si="521"/>
        <v>0</v>
      </c>
      <c r="AR292" t="b">
        <f t="shared" si="522"/>
        <v>0</v>
      </c>
      <c r="AS292" t="b">
        <f t="shared" si="523"/>
        <v>0</v>
      </c>
      <c r="AT292" t="b">
        <f t="shared" si="524"/>
        <v>0</v>
      </c>
      <c r="AU292" t="b">
        <f t="shared" si="525"/>
        <v>0</v>
      </c>
      <c r="AV292" t="b">
        <f t="shared" si="526"/>
        <v>0</v>
      </c>
      <c r="AW292" t="b">
        <f t="shared" si="527"/>
        <v>0</v>
      </c>
      <c r="AX292" t="b">
        <f t="shared" si="529"/>
        <v>0</v>
      </c>
      <c r="AY292" t="b">
        <f t="shared" si="530"/>
        <v>0</v>
      </c>
      <c r="AZ292">
        <f t="shared" si="531"/>
        <v>1</v>
      </c>
      <c r="BA292" t="b">
        <f t="shared" si="532"/>
        <v>0</v>
      </c>
      <c r="BB292" t="b">
        <f t="shared" si="533"/>
        <v>0</v>
      </c>
      <c r="BC292" t="b">
        <f t="shared" si="534"/>
        <v>0</v>
      </c>
      <c r="BD292" t="b">
        <f t="shared" si="535"/>
        <v>0</v>
      </c>
      <c r="BE292" t="b">
        <f t="shared" si="536"/>
        <v>0</v>
      </c>
      <c r="BF292" t="b">
        <f t="shared" si="537"/>
        <v>0</v>
      </c>
      <c r="BG292" t="b">
        <f t="shared" si="538"/>
        <v>0</v>
      </c>
      <c r="BH292" t="b">
        <f t="shared" si="539"/>
        <v>0</v>
      </c>
      <c r="BI292">
        <f t="shared" si="540"/>
        <v>1</v>
      </c>
      <c r="BJ292" t="b">
        <f t="shared" si="541"/>
        <v>0</v>
      </c>
      <c r="BK292" t="b">
        <f t="shared" si="542"/>
        <v>0</v>
      </c>
      <c r="BL292" t="b">
        <f t="shared" si="543"/>
        <v>0</v>
      </c>
      <c r="BM292" t="b">
        <f t="shared" si="544"/>
        <v>0</v>
      </c>
      <c r="BN292" t="b">
        <f t="shared" si="545"/>
        <v>0</v>
      </c>
      <c r="BO292" t="b">
        <f t="shared" si="546"/>
        <v>0</v>
      </c>
      <c r="BP292" t="b">
        <f t="shared" si="547"/>
        <v>0</v>
      </c>
      <c r="BQ292" t="b">
        <f t="shared" si="548"/>
        <v>0</v>
      </c>
      <c r="BR292" t="b">
        <f t="shared" si="549"/>
        <v>0</v>
      </c>
      <c r="BS292">
        <f t="shared" si="550"/>
        <v>1</v>
      </c>
      <c r="BT292" t="b">
        <f t="shared" si="551"/>
        <v>0</v>
      </c>
      <c r="BU292" t="b">
        <f t="shared" si="552"/>
        <v>0</v>
      </c>
      <c r="BV292" t="b">
        <f t="shared" si="553"/>
        <v>0</v>
      </c>
      <c r="BW292" t="b">
        <f t="shared" si="554"/>
        <v>0</v>
      </c>
      <c r="BX292" t="b">
        <f t="shared" si="555"/>
        <v>0</v>
      </c>
      <c r="BY292" t="b">
        <f t="shared" si="556"/>
        <v>0</v>
      </c>
      <c r="BZ292" t="b">
        <f t="shared" si="557"/>
        <v>0</v>
      </c>
      <c r="CA292" t="b">
        <f t="shared" si="558"/>
        <v>0</v>
      </c>
      <c r="CB292" t="b">
        <f t="shared" si="559"/>
        <v>0</v>
      </c>
      <c r="CC292" t="b">
        <f t="shared" si="560"/>
        <v>0</v>
      </c>
      <c r="CD292" t="b">
        <f t="shared" si="561"/>
        <v>0</v>
      </c>
      <c r="CE292" t="b">
        <f t="shared" si="562"/>
        <v>0</v>
      </c>
      <c r="CF292" t="b">
        <f t="shared" si="563"/>
        <v>0</v>
      </c>
      <c r="CG292" t="b">
        <f t="shared" si="564"/>
        <v>0</v>
      </c>
      <c r="CH292" t="b">
        <f t="shared" si="565"/>
        <v>0</v>
      </c>
      <c r="CI292" t="b">
        <f t="shared" si="566"/>
        <v>0</v>
      </c>
      <c r="CJ292" t="b">
        <f t="shared" si="567"/>
        <v>0</v>
      </c>
      <c r="CK292" t="b">
        <f t="shared" si="568"/>
        <v>0</v>
      </c>
      <c r="CL292" t="b">
        <f t="shared" si="569"/>
        <v>0</v>
      </c>
      <c r="CM292">
        <f t="shared" si="570"/>
        <v>1</v>
      </c>
      <c r="CN292" t="b">
        <f t="shared" si="571"/>
        <v>0</v>
      </c>
      <c r="CO292" t="b">
        <f t="shared" si="572"/>
        <v>0</v>
      </c>
      <c r="CP292" t="b">
        <f t="shared" si="573"/>
        <v>0</v>
      </c>
      <c r="CQ292" t="b">
        <f t="shared" si="574"/>
        <v>0</v>
      </c>
      <c r="CR292" t="b">
        <f t="shared" si="575"/>
        <v>0</v>
      </c>
      <c r="CS292" t="b">
        <f t="shared" si="576"/>
        <v>0</v>
      </c>
      <c r="CT292" t="b">
        <f t="shared" si="577"/>
        <v>0</v>
      </c>
      <c r="CU292" t="b">
        <f t="shared" si="578"/>
        <v>0</v>
      </c>
      <c r="CV292">
        <f t="shared" si="579"/>
        <v>1</v>
      </c>
      <c r="CW292" t="b">
        <f t="shared" si="580"/>
        <v>0</v>
      </c>
      <c r="CX292" t="b">
        <f t="shared" si="581"/>
        <v>0</v>
      </c>
      <c r="CY292" t="b">
        <f t="shared" si="582"/>
        <v>0</v>
      </c>
      <c r="CZ292" t="b">
        <f t="shared" si="583"/>
        <v>0</v>
      </c>
      <c r="DA292" t="b">
        <f t="shared" si="584"/>
        <v>0</v>
      </c>
      <c r="DB292" t="b">
        <f t="shared" si="585"/>
        <v>0</v>
      </c>
      <c r="DC292" t="b">
        <f t="shared" si="586"/>
        <v>0</v>
      </c>
      <c r="DD292" t="b">
        <f t="shared" si="587"/>
        <v>0</v>
      </c>
      <c r="DE292" t="b">
        <f t="shared" si="588"/>
        <v>0</v>
      </c>
      <c r="DF292" t="b">
        <f t="shared" si="589"/>
        <v>0</v>
      </c>
      <c r="DG292" t="b">
        <f t="shared" si="590"/>
        <v>0</v>
      </c>
      <c r="DH292" t="b">
        <f t="shared" si="591"/>
        <v>0</v>
      </c>
      <c r="DI292" t="b">
        <f t="shared" si="592"/>
        <v>0</v>
      </c>
      <c r="DJ292" t="b">
        <f t="shared" si="593"/>
        <v>0</v>
      </c>
      <c r="DK292" t="b">
        <f t="shared" si="594"/>
        <v>0</v>
      </c>
      <c r="DL292" t="b">
        <f t="shared" si="595"/>
        <v>0</v>
      </c>
      <c r="DM292" t="b">
        <f t="shared" si="596"/>
        <v>0</v>
      </c>
      <c r="DN292" t="b">
        <f t="shared" si="597"/>
        <v>0</v>
      </c>
      <c r="DO292" t="b">
        <f t="shared" si="598"/>
        <v>0</v>
      </c>
      <c r="DP292" t="b">
        <f t="shared" si="599"/>
        <v>0</v>
      </c>
      <c r="DQ292" t="b">
        <f t="shared" si="600"/>
        <v>0</v>
      </c>
      <c r="DR292" t="b">
        <f t="shared" si="601"/>
        <v>0</v>
      </c>
      <c r="DS292" t="b">
        <f t="shared" si="602"/>
        <v>0</v>
      </c>
      <c r="DT292" t="b">
        <f t="shared" si="603"/>
        <v>0</v>
      </c>
      <c r="DU292" t="b">
        <f t="shared" si="604"/>
        <v>0</v>
      </c>
      <c r="DV292" t="b">
        <f t="shared" si="605"/>
        <v>0</v>
      </c>
      <c r="DW292" t="b">
        <f t="shared" si="606"/>
        <v>0</v>
      </c>
      <c r="DX292" t="b">
        <f t="shared" si="607"/>
        <v>0</v>
      </c>
      <c r="DY292" t="b">
        <f t="shared" si="608"/>
        <v>0</v>
      </c>
      <c r="DZ292" t="b">
        <f t="shared" si="609"/>
        <v>0</v>
      </c>
      <c r="EA292" t="b">
        <f t="shared" si="610"/>
        <v>0</v>
      </c>
      <c r="EB292" t="b">
        <f t="shared" si="611"/>
        <v>0</v>
      </c>
      <c r="EC292" t="b">
        <f t="shared" si="612"/>
        <v>0</v>
      </c>
      <c r="ED292" t="b">
        <f t="shared" si="613"/>
        <v>0</v>
      </c>
      <c r="EE292" t="b">
        <f t="shared" si="614"/>
        <v>0</v>
      </c>
      <c r="EF292">
        <f t="shared" si="615"/>
        <v>1</v>
      </c>
      <c r="EG292" t="b">
        <f t="shared" si="616"/>
        <v>0</v>
      </c>
      <c r="EH292" t="b">
        <f t="shared" si="617"/>
        <v>0</v>
      </c>
      <c r="EI292" t="b">
        <f t="shared" si="618"/>
        <v>0</v>
      </c>
      <c r="EJ292" t="b">
        <f t="shared" si="619"/>
        <v>0</v>
      </c>
      <c r="EK292" t="b">
        <f t="shared" si="620"/>
        <v>0</v>
      </c>
    </row>
    <row r="293" spans="1:141">
      <c r="A293" t="s">
        <v>1549</v>
      </c>
      <c r="B293" t="s">
        <v>1549</v>
      </c>
      <c r="C293" t="s">
        <v>1550</v>
      </c>
      <c r="D293" s="1">
        <v>42186</v>
      </c>
      <c r="E293" s="2">
        <v>42423.425949074073</v>
      </c>
      <c r="F293" s="2">
        <v>42423.425949074073</v>
      </c>
      <c r="G293">
        <v>2460787</v>
      </c>
      <c r="H293" t="s">
        <v>1551</v>
      </c>
      <c r="I293" s="10" t="s">
        <v>1552</v>
      </c>
      <c r="J293" t="s">
        <v>1090</v>
      </c>
      <c r="K293" s="8" t="b">
        <v>1</v>
      </c>
      <c r="L293" s="10" t="b">
        <v>0</v>
      </c>
      <c r="M293" s="12" t="b">
        <v>0</v>
      </c>
      <c r="N293" t="b">
        <v>0</v>
      </c>
      <c r="O293" t="b">
        <v>0</v>
      </c>
      <c r="P293" t="b">
        <v>0</v>
      </c>
      <c r="Q293">
        <f t="shared" si="497"/>
        <v>4</v>
      </c>
      <c r="R293">
        <f t="shared" si="498"/>
        <v>7</v>
      </c>
      <c r="S293" t="e">
        <f t="shared" ca="1" si="528"/>
        <v>#NAME?</v>
      </c>
      <c r="T293" t="e">
        <f t="shared" ca="1" si="499"/>
        <v>#NAME?</v>
      </c>
      <c r="U293" s="4">
        <f t="shared" si="500"/>
        <v>237.42594907407329</v>
      </c>
      <c r="V293" s="4">
        <f t="shared" si="501"/>
        <v>7.9141983024691092</v>
      </c>
      <c r="W293" s="4">
        <f t="shared" si="502"/>
        <v>1</v>
      </c>
      <c r="X293" s="4">
        <f t="shared" si="503"/>
        <v>0</v>
      </c>
      <c r="Y293" s="4">
        <f t="shared" si="504"/>
        <v>0</v>
      </c>
      <c r="Z293" s="4">
        <f t="shared" si="505"/>
        <v>0</v>
      </c>
      <c r="AA293" s="4">
        <f t="shared" si="506"/>
        <v>0</v>
      </c>
      <c r="AB293" s="4">
        <f t="shared" si="507"/>
        <v>0</v>
      </c>
      <c r="AC293" s="4"/>
      <c r="AD293" s="4" t="b">
        <f t="shared" si="508"/>
        <v>0</v>
      </c>
      <c r="AE293" s="4" t="b">
        <f t="shared" si="509"/>
        <v>0</v>
      </c>
      <c r="AF293" s="4" t="b">
        <f t="shared" si="510"/>
        <v>0</v>
      </c>
      <c r="AG293" t="b">
        <f t="shared" si="511"/>
        <v>0</v>
      </c>
      <c r="AH293" t="b">
        <f t="shared" si="512"/>
        <v>0</v>
      </c>
      <c r="AI293" t="b">
        <f t="shared" si="513"/>
        <v>0</v>
      </c>
      <c r="AJ293" t="b">
        <f t="shared" si="514"/>
        <v>0</v>
      </c>
      <c r="AK293" t="b">
        <f t="shared" si="515"/>
        <v>0</v>
      </c>
      <c r="AL293" t="b">
        <f t="shared" si="516"/>
        <v>0</v>
      </c>
      <c r="AM293" t="b">
        <f t="shared" si="517"/>
        <v>0</v>
      </c>
      <c r="AN293" t="b">
        <f t="shared" si="518"/>
        <v>0</v>
      </c>
      <c r="AO293" t="b">
        <f t="shared" si="519"/>
        <v>0</v>
      </c>
      <c r="AP293" t="b">
        <f t="shared" si="520"/>
        <v>0</v>
      </c>
      <c r="AQ293" t="b">
        <f t="shared" si="521"/>
        <v>0</v>
      </c>
      <c r="AR293" t="b">
        <f t="shared" si="522"/>
        <v>0</v>
      </c>
      <c r="AS293" t="b">
        <f t="shared" si="523"/>
        <v>0</v>
      </c>
      <c r="AT293" t="b">
        <f t="shared" si="524"/>
        <v>0</v>
      </c>
      <c r="AU293" t="b">
        <f t="shared" si="525"/>
        <v>0</v>
      </c>
      <c r="AV293" t="b">
        <f t="shared" si="526"/>
        <v>0</v>
      </c>
      <c r="AW293" t="b">
        <f t="shared" si="527"/>
        <v>0</v>
      </c>
      <c r="AX293" t="b">
        <f t="shared" si="529"/>
        <v>0</v>
      </c>
      <c r="AY293" t="b">
        <f t="shared" si="530"/>
        <v>0</v>
      </c>
      <c r="AZ293">
        <f t="shared" si="531"/>
        <v>1</v>
      </c>
      <c r="BA293" t="b">
        <f t="shared" si="532"/>
        <v>0</v>
      </c>
      <c r="BB293" t="b">
        <f t="shared" si="533"/>
        <v>0</v>
      </c>
      <c r="BC293" t="b">
        <f t="shared" si="534"/>
        <v>0</v>
      </c>
      <c r="BD293" t="b">
        <f t="shared" si="535"/>
        <v>0</v>
      </c>
      <c r="BE293" t="b">
        <f t="shared" si="536"/>
        <v>0</v>
      </c>
      <c r="BF293" t="b">
        <f t="shared" si="537"/>
        <v>0</v>
      </c>
      <c r="BG293" t="b">
        <f t="shared" si="538"/>
        <v>0</v>
      </c>
      <c r="BH293" t="b">
        <f t="shared" si="539"/>
        <v>0</v>
      </c>
      <c r="BI293">
        <f t="shared" si="540"/>
        <v>1</v>
      </c>
      <c r="BJ293" t="b">
        <f t="shared" si="541"/>
        <v>0</v>
      </c>
      <c r="BK293" t="b">
        <f t="shared" si="542"/>
        <v>0</v>
      </c>
      <c r="BL293" t="b">
        <f t="shared" si="543"/>
        <v>0</v>
      </c>
      <c r="BM293" t="b">
        <f t="shared" si="544"/>
        <v>0</v>
      </c>
      <c r="BN293" t="b">
        <f t="shared" si="545"/>
        <v>0</v>
      </c>
      <c r="BO293" t="b">
        <f t="shared" si="546"/>
        <v>0</v>
      </c>
      <c r="BP293" t="b">
        <f t="shared" si="547"/>
        <v>0</v>
      </c>
      <c r="BQ293" t="b">
        <f t="shared" si="548"/>
        <v>0</v>
      </c>
      <c r="BR293" t="b">
        <f t="shared" si="549"/>
        <v>0</v>
      </c>
      <c r="BS293" t="b">
        <f t="shared" si="550"/>
        <v>0</v>
      </c>
      <c r="BT293" t="b">
        <f t="shared" si="551"/>
        <v>0</v>
      </c>
      <c r="BU293" t="b">
        <f t="shared" si="552"/>
        <v>0</v>
      </c>
      <c r="BV293" t="b">
        <f t="shared" si="553"/>
        <v>0</v>
      </c>
      <c r="BW293" t="b">
        <f t="shared" si="554"/>
        <v>0</v>
      </c>
      <c r="BX293" t="b">
        <f t="shared" si="555"/>
        <v>0</v>
      </c>
      <c r="BY293" t="b">
        <f t="shared" si="556"/>
        <v>0</v>
      </c>
      <c r="BZ293" t="b">
        <f t="shared" si="557"/>
        <v>0</v>
      </c>
      <c r="CA293" t="b">
        <f t="shared" si="558"/>
        <v>0</v>
      </c>
      <c r="CB293" t="b">
        <f t="shared" si="559"/>
        <v>0</v>
      </c>
      <c r="CC293" t="b">
        <f t="shared" si="560"/>
        <v>0</v>
      </c>
      <c r="CD293" t="b">
        <f t="shared" si="561"/>
        <v>0</v>
      </c>
      <c r="CE293" t="b">
        <f t="shared" si="562"/>
        <v>0</v>
      </c>
      <c r="CF293" t="b">
        <f t="shared" si="563"/>
        <v>0</v>
      </c>
      <c r="CG293" t="b">
        <f t="shared" si="564"/>
        <v>0</v>
      </c>
      <c r="CH293" t="b">
        <f t="shared" si="565"/>
        <v>0</v>
      </c>
      <c r="CI293" t="b">
        <f t="shared" si="566"/>
        <v>0</v>
      </c>
      <c r="CJ293" t="b">
        <f t="shared" si="567"/>
        <v>0</v>
      </c>
      <c r="CK293" t="b">
        <f t="shared" si="568"/>
        <v>0</v>
      </c>
      <c r="CL293" t="b">
        <f t="shared" si="569"/>
        <v>0</v>
      </c>
      <c r="CM293" t="b">
        <f t="shared" si="570"/>
        <v>0</v>
      </c>
      <c r="CN293" t="b">
        <f t="shared" si="571"/>
        <v>0</v>
      </c>
      <c r="CO293" t="b">
        <f t="shared" si="572"/>
        <v>0</v>
      </c>
      <c r="CP293" t="b">
        <f t="shared" si="573"/>
        <v>0</v>
      </c>
      <c r="CQ293" t="b">
        <f t="shared" si="574"/>
        <v>0</v>
      </c>
      <c r="CR293" t="b">
        <f t="shared" si="575"/>
        <v>0</v>
      </c>
      <c r="CS293" t="b">
        <f t="shared" si="576"/>
        <v>0</v>
      </c>
      <c r="CT293" t="b">
        <f t="shared" si="577"/>
        <v>0</v>
      </c>
      <c r="CU293" t="b">
        <f t="shared" si="578"/>
        <v>0</v>
      </c>
      <c r="CV293">
        <f t="shared" si="579"/>
        <v>1</v>
      </c>
      <c r="CW293" t="b">
        <f t="shared" si="580"/>
        <v>0</v>
      </c>
      <c r="CX293" t="b">
        <f t="shared" si="581"/>
        <v>0</v>
      </c>
      <c r="CY293" t="b">
        <f t="shared" si="582"/>
        <v>0</v>
      </c>
      <c r="CZ293" t="b">
        <f t="shared" si="583"/>
        <v>0</v>
      </c>
      <c r="DA293" t="b">
        <f t="shared" si="584"/>
        <v>0</v>
      </c>
      <c r="DB293" t="b">
        <f t="shared" si="585"/>
        <v>0</v>
      </c>
      <c r="DC293" t="b">
        <f t="shared" si="586"/>
        <v>0</v>
      </c>
      <c r="DD293" t="b">
        <f t="shared" si="587"/>
        <v>0</v>
      </c>
      <c r="DE293" t="b">
        <f t="shared" si="588"/>
        <v>0</v>
      </c>
      <c r="DF293" t="b">
        <f t="shared" si="589"/>
        <v>0</v>
      </c>
      <c r="DG293" t="b">
        <f t="shared" si="590"/>
        <v>0</v>
      </c>
      <c r="DH293" t="b">
        <f t="shared" si="591"/>
        <v>0</v>
      </c>
      <c r="DI293" t="b">
        <f t="shared" si="592"/>
        <v>0</v>
      </c>
      <c r="DJ293" t="b">
        <f t="shared" si="593"/>
        <v>0</v>
      </c>
      <c r="DK293" t="b">
        <f t="shared" si="594"/>
        <v>0</v>
      </c>
      <c r="DL293" t="b">
        <f t="shared" si="595"/>
        <v>0</v>
      </c>
      <c r="DM293" t="b">
        <f t="shared" si="596"/>
        <v>0</v>
      </c>
      <c r="DN293" t="b">
        <f t="shared" si="597"/>
        <v>0</v>
      </c>
      <c r="DO293" t="b">
        <f t="shared" si="598"/>
        <v>0</v>
      </c>
      <c r="DP293" t="b">
        <f t="shared" si="599"/>
        <v>0</v>
      </c>
      <c r="DQ293" t="b">
        <f t="shared" si="600"/>
        <v>0</v>
      </c>
      <c r="DR293" t="b">
        <f t="shared" si="601"/>
        <v>0</v>
      </c>
      <c r="DS293" t="b">
        <f t="shared" si="602"/>
        <v>0</v>
      </c>
      <c r="DT293" t="b">
        <f t="shared" si="603"/>
        <v>0</v>
      </c>
      <c r="DU293" t="b">
        <f t="shared" si="604"/>
        <v>0</v>
      </c>
      <c r="DV293" t="b">
        <f t="shared" si="605"/>
        <v>0</v>
      </c>
      <c r="DW293" t="b">
        <f t="shared" si="606"/>
        <v>0</v>
      </c>
      <c r="DX293" t="b">
        <f t="shared" si="607"/>
        <v>0</v>
      </c>
      <c r="DY293" t="b">
        <f t="shared" si="608"/>
        <v>0</v>
      </c>
      <c r="DZ293" t="b">
        <f t="shared" si="609"/>
        <v>0</v>
      </c>
      <c r="EA293" t="b">
        <f t="shared" si="610"/>
        <v>0</v>
      </c>
      <c r="EB293" t="b">
        <f t="shared" si="611"/>
        <v>0</v>
      </c>
      <c r="EC293" t="b">
        <f t="shared" si="612"/>
        <v>0</v>
      </c>
      <c r="ED293" t="b">
        <f t="shared" si="613"/>
        <v>0</v>
      </c>
      <c r="EE293" t="b">
        <f t="shared" si="614"/>
        <v>0</v>
      </c>
      <c r="EF293">
        <f t="shared" si="615"/>
        <v>1</v>
      </c>
      <c r="EG293" t="b">
        <f t="shared" si="616"/>
        <v>0</v>
      </c>
      <c r="EH293" t="b">
        <f t="shared" si="617"/>
        <v>0</v>
      </c>
      <c r="EI293" t="b">
        <f t="shared" si="618"/>
        <v>0</v>
      </c>
      <c r="EJ293" t="b">
        <f t="shared" si="619"/>
        <v>0</v>
      </c>
      <c r="EK293" t="b">
        <f t="shared" si="620"/>
        <v>0</v>
      </c>
    </row>
    <row r="294" spans="1:141">
      <c r="A294" t="s">
        <v>1553</v>
      </c>
      <c r="B294" t="s">
        <v>1553</v>
      </c>
      <c r="C294" t="s">
        <v>1554</v>
      </c>
      <c r="D294" s="1">
        <v>43468</v>
      </c>
      <c r="E294" s="2">
        <v>43541.560543981483</v>
      </c>
      <c r="F294" s="2">
        <v>43541.560543981483</v>
      </c>
      <c r="G294">
        <v>17204697</v>
      </c>
      <c r="H294" t="s">
        <v>1555</v>
      </c>
      <c r="I294" s="10" t="s">
        <v>1556</v>
      </c>
      <c r="J294" t="s">
        <v>1557</v>
      </c>
      <c r="K294" s="8" t="b">
        <v>1</v>
      </c>
      <c r="L294" s="10" t="b">
        <v>0</v>
      </c>
      <c r="M294" s="12" t="b">
        <v>0</v>
      </c>
      <c r="N294" t="b">
        <v>0</v>
      </c>
      <c r="O294" t="b">
        <v>0</v>
      </c>
      <c r="P294" t="b">
        <v>0</v>
      </c>
      <c r="Q294">
        <f t="shared" si="497"/>
        <v>5</v>
      </c>
      <c r="R294">
        <f t="shared" si="498"/>
        <v>1</v>
      </c>
      <c r="S294" t="e">
        <f t="shared" ca="1" si="528"/>
        <v>#NAME?</v>
      </c>
      <c r="T294" t="e">
        <f t="shared" ca="1" si="499"/>
        <v>#NAME?</v>
      </c>
      <c r="U294" s="4">
        <f t="shared" si="500"/>
        <v>73.560543981482624</v>
      </c>
      <c r="V294" s="4">
        <f t="shared" si="501"/>
        <v>2.4520181327160873</v>
      </c>
      <c r="W294" s="4">
        <f t="shared" si="502"/>
        <v>1</v>
      </c>
      <c r="X294" s="4">
        <f t="shared" si="503"/>
        <v>0</v>
      </c>
      <c r="Y294" s="4">
        <f t="shared" si="504"/>
        <v>0</v>
      </c>
      <c r="Z294" s="4">
        <f t="shared" si="505"/>
        <v>0</v>
      </c>
      <c r="AA294" s="4">
        <f t="shared" si="506"/>
        <v>0</v>
      </c>
      <c r="AB294" s="4">
        <f t="shared" si="507"/>
        <v>0</v>
      </c>
      <c r="AC294" s="4"/>
      <c r="AD294" s="4" t="b">
        <f t="shared" si="508"/>
        <v>0</v>
      </c>
      <c r="AE294" s="4" t="b">
        <f t="shared" si="509"/>
        <v>0</v>
      </c>
      <c r="AF294" s="4" t="b">
        <f t="shared" si="510"/>
        <v>0</v>
      </c>
      <c r="AG294" t="b">
        <f t="shared" si="511"/>
        <v>0</v>
      </c>
      <c r="AH294" t="b">
        <f t="shared" si="512"/>
        <v>0</v>
      </c>
      <c r="AI294">
        <f t="shared" si="513"/>
        <v>1</v>
      </c>
      <c r="AJ294" t="b">
        <f t="shared" si="514"/>
        <v>0</v>
      </c>
      <c r="AK294" t="b">
        <f t="shared" si="515"/>
        <v>0</v>
      </c>
      <c r="AL294" t="b">
        <f t="shared" si="516"/>
        <v>0</v>
      </c>
      <c r="AM294" t="b">
        <f t="shared" si="517"/>
        <v>0</v>
      </c>
      <c r="AN294" t="b">
        <f t="shared" si="518"/>
        <v>0</v>
      </c>
      <c r="AO294" t="b">
        <f t="shared" si="519"/>
        <v>0</v>
      </c>
      <c r="AP294" t="b">
        <f t="shared" si="520"/>
        <v>0</v>
      </c>
      <c r="AQ294" t="b">
        <f t="shared" si="521"/>
        <v>0</v>
      </c>
      <c r="AR294" t="b">
        <f t="shared" si="522"/>
        <v>0</v>
      </c>
      <c r="AS294" t="b">
        <f t="shared" si="523"/>
        <v>0</v>
      </c>
      <c r="AT294" t="b">
        <f t="shared" si="524"/>
        <v>0</v>
      </c>
      <c r="AU294" t="b">
        <f t="shared" si="525"/>
        <v>0</v>
      </c>
      <c r="AV294" t="b">
        <f t="shared" si="526"/>
        <v>0</v>
      </c>
      <c r="AW294" t="b">
        <f t="shared" si="527"/>
        <v>0</v>
      </c>
      <c r="AX294" t="b">
        <f t="shared" si="529"/>
        <v>0</v>
      </c>
      <c r="AY294" t="b">
        <f t="shared" si="530"/>
        <v>0</v>
      </c>
      <c r="AZ294" t="b">
        <f t="shared" si="531"/>
        <v>0</v>
      </c>
      <c r="BA294" t="b">
        <f t="shared" si="532"/>
        <v>0</v>
      </c>
      <c r="BB294">
        <f t="shared" si="533"/>
        <v>1</v>
      </c>
      <c r="BC294" t="b">
        <f t="shared" si="534"/>
        <v>0</v>
      </c>
      <c r="BD294" t="b">
        <f t="shared" si="535"/>
        <v>0</v>
      </c>
      <c r="BE294" t="b">
        <f t="shared" si="536"/>
        <v>0</v>
      </c>
      <c r="BF294" t="b">
        <f t="shared" si="537"/>
        <v>0</v>
      </c>
      <c r="BG294" t="b">
        <f t="shared" si="538"/>
        <v>0</v>
      </c>
      <c r="BH294" t="b">
        <f t="shared" si="539"/>
        <v>0</v>
      </c>
      <c r="BI294">
        <f t="shared" si="540"/>
        <v>1</v>
      </c>
      <c r="BJ294" t="b">
        <f t="shared" si="541"/>
        <v>0</v>
      </c>
      <c r="BK294" t="b">
        <f t="shared" si="542"/>
        <v>0</v>
      </c>
      <c r="BL294" t="b">
        <f t="shared" si="543"/>
        <v>0</v>
      </c>
      <c r="BM294" t="b">
        <f t="shared" si="544"/>
        <v>0</v>
      </c>
      <c r="BN294" t="b">
        <f t="shared" si="545"/>
        <v>0</v>
      </c>
      <c r="BO294" t="b">
        <f t="shared" si="546"/>
        <v>0</v>
      </c>
      <c r="BP294" t="b">
        <f t="shared" si="547"/>
        <v>0</v>
      </c>
      <c r="BQ294" t="b">
        <f t="shared" si="548"/>
        <v>0</v>
      </c>
      <c r="BR294">
        <f t="shared" si="549"/>
        <v>1</v>
      </c>
      <c r="BS294" t="b">
        <f t="shared" si="550"/>
        <v>0</v>
      </c>
      <c r="BT294" t="b">
        <f t="shared" si="551"/>
        <v>0</v>
      </c>
      <c r="BU294" t="b">
        <f t="shared" si="552"/>
        <v>0</v>
      </c>
      <c r="BV294" t="b">
        <f t="shared" si="553"/>
        <v>0</v>
      </c>
      <c r="BW294" t="b">
        <f t="shared" si="554"/>
        <v>0</v>
      </c>
      <c r="BX294" t="b">
        <f t="shared" si="555"/>
        <v>0</v>
      </c>
      <c r="BY294" t="b">
        <f t="shared" si="556"/>
        <v>0</v>
      </c>
      <c r="BZ294" t="b">
        <f t="shared" si="557"/>
        <v>0</v>
      </c>
      <c r="CA294" t="b">
        <f t="shared" si="558"/>
        <v>0</v>
      </c>
      <c r="CB294" t="b">
        <f t="shared" si="559"/>
        <v>0</v>
      </c>
      <c r="CC294" t="b">
        <f t="shared" si="560"/>
        <v>0</v>
      </c>
      <c r="CD294" t="b">
        <f t="shared" si="561"/>
        <v>0</v>
      </c>
      <c r="CE294" t="b">
        <f t="shared" si="562"/>
        <v>0</v>
      </c>
      <c r="CF294" t="b">
        <f t="shared" si="563"/>
        <v>0</v>
      </c>
      <c r="CG294" t="b">
        <f t="shared" si="564"/>
        <v>0</v>
      </c>
      <c r="CH294" t="b">
        <f t="shared" si="565"/>
        <v>0</v>
      </c>
      <c r="CI294" t="b">
        <f t="shared" si="566"/>
        <v>0</v>
      </c>
      <c r="CJ294" t="b">
        <f t="shared" si="567"/>
        <v>0</v>
      </c>
      <c r="CK294" t="b">
        <f t="shared" si="568"/>
        <v>0</v>
      </c>
      <c r="CL294" t="b">
        <f t="shared" si="569"/>
        <v>0</v>
      </c>
      <c r="CM294">
        <f t="shared" si="570"/>
        <v>1</v>
      </c>
      <c r="CN294" t="b">
        <f t="shared" si="571"/>
        <v>0</v>
      </c>
      <c r="CO294" t="b">
        <f t="shared" si="572"/>
        <v>0</v>
      </c>
      <c r="CP294" t="b">
        <f t="shared" si="573"/>
        <v>0</v>
      </c>
      <c r="CQ294" t="b">
        <f t="shared" si="574"/>
        <v>0</v>
      </c>
      <c r="CR294" t="b">
        <f t="shared" si="575"/>
        <v>0</v>
      </c>
      <c r="CS294" t="b">
        <f t="shared" si="576"/>
        <v>0</v>
      </c>
      <c r="CT294" t="b">
        <f t="shared" si="577"/>
        <v>0</v>
      </c>
      <c r="CU294" t="b">
        <f t="shared" si="578"/>
        <v>0</v>
      </c>
      <c r="CV294">
        <f t="shared" si="579"/>
        <v>1</v>
      </c>
      <c r="CW294" t="b">
        <f t="shared" si="580"/>
        <v>0</v>
      </c>
      <c r="CX294" t="b">
        <f t="shared" si="581"/>
        <v>0</v>
      </c>
      <c r="CY294" t="b">
        <f t="shared" si="582"/>
        <v>0</v>
      </c>
      <c r="CZ294" t="b">
        <f t="shared" si="583"/>
        <v>0</v>
      </c>
      <c r="DA294">
        <f t="shared" si="584"/>
        <v>1</v>
      </c>
      <c r="DB294" t="b">
        <f t="shared" si="585"/>
        <v>0</v>
      </c>
      <c r="DC294" t="b">
        <f t="shared" si="586"/>
        <v>0</v>
      </c>
      <c r="DD294" t="b">
        <f t="shared" si="587"/>
        <v>0</v>
      </c>
      <c r="DE294" t="b">
        <f t="shared" si="588"/>
        <v>0</v>
      </c>
      <c r="DF294" t="b">
        <f t="shared" si="589"/>
        <v>0</v>
      </c>
      <c r="DG294" t="b">
        <f t="shared" si="590"/>
        <v>0</v>
      </c>
      <c r="DH294" t="b">
        <f t="shared" si="591"/>
        <v>0</v>
      </c>
      <c r="DI294" t="b">
        <f t="shared" si="592"/>
        <v>0</v>
      </c>
      <c r="DJ294" t="b">
        <f t="shared" si="593"/>
        <v>0</v>
      </c>
      <c r="DK294" t="b">
        <f t="shared" si="594"/>
        <v>0</v>
      </c>
      <c r="DL294" t="b">
        <f t="shared" si="595"/>
        <v>0</v>
      </c>
      <c r="DM294" t="b">
        <f t="shared" si="596"/>
        <v>0</v>
      </c>
      <c r="DN294" t="b">
        <f t="shared" si="597"/>
        <v>0</v>
      </c>
      <c r="DO294" t="b">
        <f t="shared" si="598"/>
        <v>0</v>
      </c>
      <c r="DP294" t="b">
        <f t="shared" si="599"/>
        <v>0</v>
      </c>
      <c r="DQ294">
        <f t="shared" si="600"/>
        <v>1</v>
      </c>
      <c r="DR294" t="b">
        <f t="shared" si="601"/>
        <v>0</v>
      </c>
      <c r="DS294" t="b">
        <f t="shared" si="602"/>
        <v>0</v>
      </c>
      <c r="DT294" t="b">
        <f t="shared" si="603"/>
        <v>0</v>
      </c>
      <c r="DU294" t="b">
        <f t="shared" si="604"/>
        <v>0</v>
      </c>
      <c r="DV294" t="b">
        <f t="shared" si="605"/>
        <v>0</v>
      </c>
      <c r="DW294" t="b">
        <f t="shared" si="606"/>
        <v>0</v>
      </c>
      <c r="DX294" t="b">
        <f t="shared" si="607"/>
        <v>0</v>
      </c>
      <c r="DY294">
        <f t="shared" si="608"/>
        <v>1</v>
      </c>
      <c r="DZ294" t="b">
        <f t="shared" si="609"/>
        <v>0</v>
      </c>
      <c r="EA294" t="b">
        <f t="shared" si="610"/>
        <v>0</v>
      </c>
      <c r="EB294" t="b">
        <f t="shared" si="611"/>
        <v>0</v>
      </c>
      <c r="EC294" t="b">
        <f t="shared" si="612"/>
        <v>0</v>
      </c>
      <c r="ED294" t="b">
        <f t="shared" si="613"/>
        <v>0</v>
      </c>
      <c r="EE294" t="b">
        <f t="shared" si="614"/>
        <v>0</v>
      </c>
      <c r="EF294">
        <f t="shared" si="615"/>
        <v>1</v>
      </c>
      <c r="EG294" t="b">
        <f t="shared" si="616"/>
        <v>0</v>
      </c>
      <c r="EH294" t="b">
        <f t="shared" si="617"/>
        <v>0</v>
      </c>
      <c r="EI294" t="b">
        <f t="shared" si="618"/>
        <v>0</v>
      </c>
      <c r="EJ294" t="b">
        <f t="shared" si="619"/>
        <v>0</v>
      </c>
      <c r="EK294" t="b">
        <f t="shared" si="620"/>
        <v>0</v>
      </c>
    </row>
    <row r="295" spans="1:141">
      <c r="A295" t="s">
        <v>1558</v>
      </c>
      <c r="B295" t="s">
        <v>1558</v>
      </c>
      <c r="C295" t="s">
        <v>1559</v>
      </c>
      <c r="D295" s="1">
        <v>43915</v>
      </c>
      <c r="E295" s="2">
        <v>44140.190868055557</v>
      </c>
      <c r="F295" s="2">
        <v>44140.190868055557</v>
      </c>
      <c r="G295">
        <v>1541284</v>
      </c>
      <c r="H295" t="s">
        <v>1560</v>
      </c>
      <c r="I295" s="10" t="s">
        <v>1561</v>
      </c>
      <c r="J295" t="s">
        <v>1562</v>
      </c>
      <c r="K295" s="8" t="b">
        <v>1</v>
      </c>
      <c r="L295" s="10" t="b">
        <v>0</v>
      </c>
      <c r="M295" s="12" t="b">
        <v>0</v>
      </c>
      <c r="N295" t="b">
        <v>0</v>
      </c>
      <c r="O295" t="b">
        <v>0</v>
      </c>
      <c r="P295" t="b">
        <v>0</v>
      </c>
      <c r="Q295">
        <f t="shared" si="497"/>
        <v>4</v>
      </c>
      <c r="R295">
        <f t="shared" si="498"/>
        <v>3</v>
      </c>
      <c r="S295" t="e">
        <f t="shared" ca="1" si="528"/>
        <v>#NAME?</v>
      </c>
      <c r="T295" t="e">
        <f t="shared" ca="1" si="499"/>
        <v>#NAME?</v>
      </c>
      <c r="U295" s="4">
        <f t="shared" si="500"/>
        <v>225.19086805555708</v>
      </c>
      <c r="V295" s="4">
        <f t="shared" si="501"/>
        <v>7.5063622685185694</v>
      </c>
      <c r="W295" s="4">
        <f t="shared" si="502"/>
        <v>1</v>
      </c>
      <c r="X295" s="4">
        <f t="shared" si="503"/>
        <v>0</v>
      </c>
      <c r="Y295" s="4">
        <f t="shared" si="504"/>
        <v>0</v>
      </c>
      <c r="Z295" s="4">
        <f t="shared" si="505"/>
        <v>0</v>
      </c>
      <c r="AA295" s="4">
        <f t="shared" si="506"/>
        <v>0</v>
      </c>
      <c r="AB295" s="4">
        <f t="shared" si="507"/>
        <v>0</v>
      </c>
      <c r="AC295" s="4"/>
      <c r="AD295" s="4" t="b">
        <f t="shared" si="508"/>
        <v>0</v>
      </c>
      <c r="AE295" s="4" t="b">
        <f t="shared" si="509"/>
        <v>0</v>
      </c>
      <c r="AF295" s="4" t="b">
        <f t="shared" si="510"/>
        <v>0</v>
      </c>
      <c r="AG295" t="b">
        <f t="shared" si="511"/>
        <v>0</v>
      </c>
      <c r="AH295" t="b">
        <f t="shared" si="512"/>
        <v>0</v>
      </c>
      <c r="AI295" t="b">
        <f t="shared" si="513"/>
        <v>0</v>
      </c>
      <c r="AJ295" t="b">
        <f t="shared" si="514"/>
        <v>0</v>
      </c>
      <c r="AK295" t="b">
        <f t="shared" si="515"/>
        <v>0</v>
      </c>
      <c r="AL295" t="b">
        <f t="shared" si="516"/>
        <v>0</v>
      </c>
      <c r="AM295" t="b">
        <f t="shared" si="517"/>
        <v>0</v>
      </c>
      <c r="AN295" t="b">
        <f t="shared" si="518"/>
        <v>0</v>
      </c>
      <c r="AO295" t="b">
        <f t="shared" si="519"/>
        <v>0</v>
      </c>
      <c r="AP295" t="b">
        <f t="shared" si="520"/>
        <v>0</v>
      </c>
      <c r="AQ295" t="b">
        <f t="shared" si="521"/>
        <v>0</v>
      </c>
      <c r="AR295" t="b">
        <f t="shared" si="522"/>
        <v>0</v>
      </c>
      <c r="AS295" t="b">
        <f t="shared" si="523"/>
        <v>0</v>
      </c>
      <c r="AT295" t="b">
        <f t="shared" si="524"/>
        <v>0</v>
      </c>
      <c r="AU295" t="b">
        <f t="shared" si="525"/>
        <v>0</v>
      </c>
      <c r="AV295" t="b">
        <f t="shared" si="526"/>
        <v>0</v>
      </c>
      <c r="AW295" t="b">
        <f t="shared" si="527"/>
        <v>0</v>
      </c>
      <c r="AX295" t="b">
        <f t="shared" si="529"/>
        <v>0</v>
      </c>
      <c r="AY295" t="b">
        <f t="shared" si="530"/>
        <v>0</v>
      </c>
      <c r="AZ295" t="b">
        <f t="shared" si="531"/>
        <v>0</v>
      </c>
      <c r="BA295" t="b">
        <f t="shared" si="532"/>
        <v>0</v>
      </c>
      <c r="BB295" t="b">
        <f t="shared" si="533"/>
        <v>0</v>
      </c>
      <c r="BC295" t="b">
        <f t="shared" si="534"/>
        <v>0</v>
      </c>
      <c r="BD295" t="b">
        <f t="shared" si="535"/>
        <v>0</v>
      </c>
      <c r="BE295" t="b">
        <f t="shared" si="536"/>
        <v>0</v>
      </c>
      <c r="BF295" t="b">
        <f t="shared" si="537"/>
        <v>0</v>
      </c>
      <c r="BG295" t="b">
        <f t="shared" si="538"/>
        <v>0</v>
      </c>
      <c r="BH295" t="b">
        <f t="shared" si="539"/>
        <v>0</v>
      </c>
      <c r="BI295">
        <f t="shared" si="540"/>
        <v>1</v>
      </c>
      <c r="BJ295" t="b">
        <f t="shared" si="541"/>
        <v>0</v>
      </c>
      <c r="BK295" t="b">
        <f t="shared" si="542"/>
        <v>0</v>
      </c>
      <c r="BL295" t="b">
        <f t="shared" si="543"/>
        <v>0</v>
      </c>
      <c r="BM295" t="b">
        <f t="shared" si="544"/>
        <v>0</v>
      </c>
      <c r="BN295" t="b">
        <f t="shared" si="545"/>
        <v>0</v>
      </c>
      <c r="BO295" t="b">
        <f t="shared" si="546"/>
        <v>0</v>
      </c>
      <c r="BP295" t="b">
        <f t="shared" si="547"/>
        <v>0</v>
      </c>
      <c r="BQ295" t="b">
        <f t="shared" si="548"/>
        <v>0</v>
      </c>
      <c r="BR295" t="b">
        <f t="shared" si="549"/>
        <v>0</v>
      </c>
      <c r="BS295">
        <f t="shared" si="550"/>
        <v>1</v>
      </c>
      <c r="BT295" t="b">
        <f t="shared" si="551"/>
        <v>0</v>
      </c>
      <c r="BU295" t="b">
        <f t="shared" si="552"/>
        <v>0</v>
      </c>
      <c r="BV295" t="b">
        <f t="shared" si="553"/>
        <v>0</v>
      </c>
      <c r="BW295" t="b">
        <f t="shared" si="554"/>
        <v>0</v>
      </c>
      <c r="BX295" t="b">
        <f t="shared" si="555"/>
        <v>0</v>
      </c>
      <c r="BY295" t="b">
        <f t="shared" si="556"/>
        <v>0</v>
      </c>
      <c r="BZ295" t="b">
        <f t="shared" si="557"/>
        <v>0</v>
      </c>
      <c r="CA295" t="b">
        <f t="shared" si="558"/>
        <v>0</v>
      </c>
      <c r="CB295" t="b">
        <f t="shared" si="559"/>
        <v>0</v>
      </c>
      <c r="CC295" t="b">
        <f t="shared" si="560"/>
        <v>0</v>
      </c>
      <c r="CD295" t="b">
        <f t="shared" si="561"/>
        <v>0</v>
      </c>
      <c r="CE295" t="b">
        <f t="shared" si="562"/>
        <v>0</v>
      </c>
      <c r="CF295" t="b">
        <f t="shared" si="563"/>
        <v>0</v>
      </c>
      <c r="CG295" t="b">
        <f t="shared" si="564"/>
        <v>0</v>
      </c>
      <c r="CH295" t="b">
        <f t="shared" si="565"/>
        <v>0</v>
      </c>
      <c r="CI295" t="b">
        <f t="shared" si="566"/>
        <v>0</v>
      </c>
      <c r="CJ295" t="b">
        <f t="shared" si="567"/>
        <v>0</v>
      </c>
      <c r="CK295" t="b">
        <f t="shared" si="568"/>
        <v>0</v>
      </c>
      <c r="CL295" t="b">
        <f t="shared" si="569"/>
        <v>0</v>
      </c>
      <c r="CM295" t="b">
        <f t="shared" si="570"/>
        <v>0</v>
      </c>
      <c r="CN295" t="b">
        <f t="shared" si="571"/>
        <v>0</v>
      </c>
      <c r="CO295" t="b">
        <f t="shared" si="572"/>
        <v>0</v>
      </c>
      <c r="CP295" t="b">
        <f t="shared" si="573"/>
        <v>0</v>
      </c>
      <c r="CQ295" t="b">
        <f t="shared" si="574"/>
        <v>0</v>
      </c>
      <c r="CR295" t="b">
        <f t="shared" si="575"/>
        <v>0</v>
      </c>
      <c r="CS295" t="b">
        <f t="shared" si="576"/>
        <v>0</v>
      </c>
      <c r="CT295" t="b">
        <f t="shared" si="577"/>
        <v>0</v>
      </c>
      <c r="CU295" t="b">
        <f t="shared" si="578"/>
        <v>0</v>
      </c>
      <c r="CV295">
        <f t="shared" si="579"/>
        <v>1</v>
      </c>
      <c r="CW295" t="b">
        <f t="shared" si="580"/>
        <v>0</v>
      </c>
      <c r="CX295" t="b">
        <f t="shared" si="581"/>
        <v>0</v>
      </c>
      <c r="CY295" t="b">
        <f t="shared" si="582"/>
        <v>0</v>
      </c>
      <c r="CZ295" t="b">
        <f t="shared" si="583"/>
        <v>0</v>
      </c>
      <c r="DA295" t="b">
        <f t="shared" si="584"/>
        <v>0</v>
      </c>
      <c r="DB295" t="b">
        <f t="shared" si="585"/>
        <v>0</v>
      </c>
      <c r="DC295" t="b">
        <f t="shared" si="586"/>
        <v>0</v>
      </c>
      <c r="DD295" t="b">
        <f t="shared" si="587"/>
        <v>0</v>
      </c>
      <c r="DE295" t="b">
        <f t="shared" si="588"/>
        <v>0</v>
      </c>
      <c r="DF295" t="b">
        <f t="shared" si="589"/>
        <v>0</v>
      </c>
      <c r="DG295" t="b">
        <f t="shared" si="590"/>
        <v>0</v>
      </c>
      <c r="DH295" t="b">
        <f t="shared" si="591"/>
        <v>0</v>
      </c>
      <c r="DI295" t="b">
        <f t="shared" si="592"/>
        <v>0</v>
      </c>
      <c r="DJ295" t="b">
        <f t="shared" si="593"/>
        <v>0</v>
      </c>
      <c r="DK295" t="b">
        <f t="shared" si="594"/>
        <v>0</v>
      </c>
      <c r="DL295" t="b">
        <f t="shared" si="595"/>
        <v>0</v>
      </c>
      <c r="DM295" t="b">
        <f t="shared" si="596"/>
        <v>0</v>
      </c>
      <c r="DN295" t="b">
        <f t="shared" si="597"/>
        <v>0</v>
      </c>
      <c r="DO295" t="b">
        <f t="shared" si="598"/>
        <v>0</v>
      </c>
      <c r="DP295" t="b">
        <f t="shared" si="599"/>
        <v>0</v>
      </c>
      <c r="DQ295" t="b">
        <f t="shared" si="600"/>
        <v>0</v>
      </c>
      <c r="DR295" t="b">
        <f t="shared" si="601"/>
        <v>0</v>
      </c>
      <c r="DS295" t="b">
        <f t="shared" si="602"/>
        <v>0</v>
      </c>
      <c r="DT295" t="b">
        <f t="shared" si="603"/>
        <v>0</v>
      </c>
      <c r="DU295" t="b">
        <f t="shared" si="604"/>
        <v>0</v>
      </c>
      <c r="DV295" t="b">
        <f t="shared" si="605"/>
        <v>0</v>
      </c>
      <c r="DW295" t="b">
        <f t="shared" si="606"/>
        <v>0</v>
      </c>
      <c r="DX295" t="b">
        <f t="shared" si="607"/>
        <v>0</v>
      </c>
      <c r="DY295" t="b">
        <f t="shared" si="608"/>
        <v>0</v>
      </c>
      <c r="DZ295" t="b">
        <f t="shared" si="609"/>
        <v>0</v>
      </c>
      <c r="EA295" t="b">
        <f t="shared" si="610"/>
        <v>0</v>
      </c>
      <c r="EB295" t="b">
        <f t="shared" si="611"/>
        <v>0</v>
      </c>
      <c r="EC295" t="b">
        <f t="shared" si="612"/>
        <v>0</v>
      </c>
      <c r="ED295" t="b">
        <f t="shared" si="613"/>
        <v>0</v>
      </c>
      <c r="EE295" t="b">
        <f t="shared" si="614"/>
        <v>0</v>
      </c>
      <c r="EF295" t="b">
        <f t="shared" si="615"/>
        <v>0</v>
      </c>
      <c r="EG295" t="b">
        <f t="shared" si="616"/>
        <v>0</v>
      </c>
      <c r="EH295" t="b">
        <f t="shared" si="617"/>
        <v>0</v>
      </c>
      <c r="EI295" t="b">
        <f t="shared" si="618"/>
        <v>0</v>
      </c>
      <c r="EJ295" t="b">
        <f t="shared" si="619"/>
        <v>0</v>
      </c>
      <c r="EK295" t="b">
        <f t="shared" si="620"/>
        <v>0</v>
      </c>
    </row>
    <row r="296" spans="1:141">
      <c r="A296" t="s">
        <v>1563</v>
      </c>
      <c r="B296" t="s">
        <v>1563</v>
      </c>
      <c r="C296" t="s">
        <v>1564</v>
      </c>
      <c r="D296" s="1">
        <v>41275</v>
      </c>
      <c r="E296" s="2">
        <v>44349.295856481483</v>
      </c>
      <c r="F296" s="2">
        <v>44349.295856481483</v>
      </c>
      <c r="G296">
        <v>77449341</v>
      </c>
      <c r="H296" t="s">
        <v>1565</v>
      </c>
      <c r="I296" s="10" t="s">
        <v>1566</v>
      </c>
      <c r="J296" t="s">
        <v>1567</v>
      </c>
      <c r="K296" s="8" t="b">
        <v>1</v>
      </c>
      <c r="L296" s="10" t="b">
        <v>0</v>
      </c>
      <c r="M296" s="12" t="b">
        <v>0</v>
      </c>
      <c r="N296" t="b">
        <v>0</v>
      </c>
      <c r="O296" t="b">
        <v>0</v>
      </c>
      <c r="P296" t="b">
        <v>0</v>
      </c>
      <c r="Q296">
        <f t="shared" si="497"/>
        <v>3</v>
      </c>
      <c r="R296">
        <f t="shared" si="498"/>
        <v>1</v>
      </c>
      <c r="S296" t="e">
        <f t="shared" ca="1" si="528"/>
        <v>#NAME?</v>
      </c>
      <c r="T296" t="e">
        <f t="shared" ca="1" si="499"/>
        <v>#NAME?</v>
      </c>
      <c r="U296" s="4">
        <f t="shared" si="500"/>
        <v>3074.2958564814835</v>
      </c>
      <c r="V296" s="4">
        <f t="shared" si="501"/>
        <v>102.47652854938278</v>
      </c>
      <c r="W296" s="4">
        <f t="shared" si="502"/>
        <v>1</v>
      </c>
      <c r="X296" s="4">
        <f t="shared" si="503"/>
        <v>0</v>
      </c>
      <c r="Y296" s="4">
        <f t="shared" si="504"/>
        <v>0</v>
      </c>
      <c r="Z296" s="4">
        <f t="shared" si="505"/>
        <v>0</v>
      </c>
      <c r="AA296" s="4">
        <f t="shared" si="506"/>
        <v>0</v>
      </c>
      <c r="AB296" s="4">
        <f t="shared" si="507"/>
        <v>0</v>
      </c>
      <c r="AC296" s="4"/>
      <c r="AD296" s="4" t="b">
        <f t="shared" si="508"/>
        <v>0</v>
      </c>
      <c r="AE296" s="4" t="b">
        <f t="shared" si="509"/>
        <v>0</v>
      </c>
      <c r="AF296" s="4" t="b">
        <f t="shared" si="510"/>
        <v>0</v>
      </c>
      <c r="AG296" t="b">
        <f t="shared" si="511"/>
        <v>0</v>
      </c>
      <c r="AH296" t="b">
        <f t="shared" si="512"/>
        <v>0</v>
      </c>
      <c r="AI296" t="b">
        <f t="shared" si="513"/>
        <v>0</v>
      </c>
      <c r="AJ296" t="b">
        <f t="shared" si="514"/>
        <v>0</v>
      </c>
      <c r="AK296" t="b">
        <f t="shared" si="515"/>
        <v>0</v>
      </c>
      <c r="AL296" t="b">
        <f t="shared" si="516"/>
        <v>0</v>
      </c>
      <c r="AM296" t="b">
        <f t="shared" si="517"/>
        <v>0</v>
      </c>
      <c r="AN296" t="b">
        <f t="shared" si="518"/>
        <v>0</v>
      </c>
      <c r="AO296" t="b">
        <f t="shared" si="519"/>
        <v>0</v>
      </c>
      <c r="AP296" t="b">
        <f t="shared" si="520"/>
        <v>0</v>
      </c>
      <c r="AQ296" t="b">
        <f t="shared" si="521"/>
        <v>0</v>
      </c>
      <c r="AR296" t="b">
        <f t="shared" si="522"/>
        <v>0</v>
      </c>
      <c r="AS296" t="b">
        <f t="shared" si="523"/>
        <v>0</v>
      </c>
      <c r="AT296" t="b">
        <f t="shared" si="524"/>
        <v>0</v>
      </c>
      <c r="AU296" t="b">
        <f t="shared" si="525"/>
        <v>0</v>
      </c>
      <c r="AV296" t="b">
        <f t="shared" si="526"/>
        <v>0</v>
      </c>
      <c r="AW296" t="b">
        <f t="shared" si="527"/>
        <v>0</v>
      </c>
      <c r="AX296" t="b">
        <f t="shared" si="529"/>
        <v>0</v>
      </c>
      <c r="AY296" t="b">
        <f t="shared" si="530"/>
        <v>0</v>
      </c>
      <c r="AZ296" t="b">
        <f t="shared" si="531"/>
        <v>0</v>
      </c>
      <c r="BA296" t="b">
        <f t="shared" si="532"/>
        <v>0</v>
      </c>
      <c r="BB296" t="b">
        <f t="shared" si="533"/>
        <v>0</v>
      </c>
      <c r="BC296" t="b">
        <f t="shared" si="534"/>
        <v>0</v>
      </c>
      <c r="BD296" t="b">
        <f t="shared" si="535"/>
        <v>0</v>
      </c>
      <c r="BE296" t="b">
        <f t="shared" si="536"/>
        <v>0</v>
      </c>
      <c r="BF296" t="b">
        <f t="shared" si="537"/>
        <v>0</v>
      </c>
      <c r="BG296" t="b">
        <f t="shared" si="538"/>
        <v>0</v>
      </c>
      <c r="BH296" t="b">
        <f t="shared" si="539"/>
        <v>0</v>
      </c>
      <c r="BI296">
        <f t="shared" si="540"/>
        <v>1</v>
      </c>
      <c r="BJ296" t="b">
        <f t="shared" si="541"/>
        <v>0</v>
      </c>
      <c r="BK296" t="b">
        <f t="shared" si="542"/>
        <v>0</v>
      </c>
      <c r="BL296" t="b">
        <f t="shared" si="543"/>
        <v>0</v>
      </c>
      <c r="BM296" t="b">
        <f t="shared" si="544"/>
        <v>0</v>
      </c>
      <c r="BN296" t="b">
        <f t="shared" si="545"/>
        <v>0</v>
      </c>
      <c r="BO296" t="b">
        <f t="shared" si="546"/>
        <v>0</v>
      </c>
      <c r="BP296" t="b">
        <f t="shared" si="547"/>
        <v>0</v>
      </c>
      <c r="BQ296" t="b">
        <f t="shared" si="548"/>
        <v>0</v>
      </c>
      <c r="BR296" t="b">
        <f t="shared" si="549"/>
        <v>0</v>
      </c>
      <c r="BS296" t="b">
        <f t="shared" si="550"/>
        <v>0</v>
      </c>
      <c r="BT296" t="b">
        <f t="shared" si="551"/>
        <v>0</v>
      </c>
      <c r="BU296" t="b">
        <f t="shared" si="552"/>
        <v>0</v>
      </c>
      <c r="BV296" t="b">
        <f t="shared" si="553"/>
        <v>0</v>
      </c>
      <c r="BW296" t="b">
        <f t="shared" si="554"/>
        <v>0</v>
      </c>
      <c r="BX296" t="b">
        <f t="shared" si="555"/>
        <v>0</v>
      </c>
      <c r="BY296" t="b">
        <f t="shared" si="556"/>
        <v>0</v>
      </c>
      <c r="BZ296" t="b">
        <f t="shared" si="557"/>
        <v>0</v>
      </c>
      <c r="CA296" t="b">
        <f t="shared" si="558"/>
        <v>0</v>
      </c>
      <c r="CB296" t="b">
        <f t="shared" si="559"/>
        <v>0</v>
      </c>
      <c r="CC296" t="b">
        <f t="shared" si="560"/>
        <v>0</v>
      </c>
      <c r="CD296" t="b">
        <f t="shared" si="561"/>
        <v>0</v>
      </c>
      <c r="CE296" t="b">
        <f t="shared" si="562"/>
        <v>0</v>
      </c>
      <c r="CF296" t="b">
        <f t="shared" si="563"/>
        <v>0</v>
      </c>
      <c r="CG296" t="b">
        <f t="shared" si="564"/>
        <v>0</v>
      </c>
      <c r="CH296" t="b">
        <f t="shared" si="565"/>
        <v>0</v>
      </c>
      <c r="CI296" t="b">
        <f t="shared" si="566"/>
        <v>0</v>
      </c>
      <c r="CJ296" t="b">
        <f t="shared" si="567"/>
        <v>0</v>
      </c>
      <c r="CK296" t="b">
        <f t="shared" si="568"/>
        <v>0</v>
      </c>
      <c r="CL296" t="b">
        <f t="shared" si="569"/>
        <v>0</v>
      </c>
      <c r="CM296" t="b">
        <f t="shared" si="570"/>
        <v>0</v>
      </c>
      <c r="CN296" t="b">
        <f t="shared" si="571"/>
        <v>0</v>
      </c>
      <c r="CO296" t="b">
        <f t="shared" si="572"/>
        <v>0</v>
      </c>
      <c r="CP296" t="b">
        <f t="shared" si="573"/>
        <v>0</v>
      </c>
      <c r="CQ296" t="b">
        <f t="shared" si="574"/>
        <v>0</v>
      </c>
      <c r="CR296" t="b">
        <f t="shared" si="575"/>
        <v>0</v>
      </c>
      <c r="CS296" t="b">
        <f t="shared" si="576"/>
        <v>0</v>
      </c>
      <c r="CT296" t="b">
        <f t="shared" si="577"/>
        <v>0</v>
      </c>
      <c r="CU296" t="b">
        <f t="shared" si="578"/>
        <v>0</v>
      </c>
      <c r="CV296">
        <f t="shared" si="579"/>
        <v>1</v>
      </c>
      <c r="CW296" t="b">
        <f t="shared" si="580"/>
        <v>0</v>
      </c>
      <c r="CX296" t="b">
        <f t="shared" si="581"/>
        <v>0</v>
      </c>
      <c r="CY296" t="b">
        <f t="shared" si="582"/>
        <v>0</v>
      </c>
      <c r="CZ296" t="b">
        <f t="shared" si="583"/>
        <v>0</v>
      </c>
      <c r="DA296">
        <f t="shared" si="584"/>
        <v>1</v>
      </c>
      <c r="DB296" t="b">
        <f t="shared" si="585"/>
        <v>0</v>
      </c>
      <c r="DC296" t="b">
        <f t="shared" si="586"/>
        <v>0</v>
      </c>
      <c r="DD296" t="b">
        <f t="shared" si="587"/>
        <v>0</v>
      </c>
      <c r="DE296" t="b">
        <f t="shared" si="588"/>
        <v>0</v>
      </c>
      <c r="DF296" t="b">
        <f t="shared" si="589"/>
        <v>0</v>
      </c>
      <c r="DG296" t="b">
        <f t="shared" si="590"/>
        <v>0</v>
      </c>
      <c r="DH296" t="b">
        <f t="shared" si="591"/>
        <v>0</v>
      </c>
      <c r="DI296" t="b">
        <f t="shared" si="592"/>
        <v>0</v>
      </c>
      <c r="DJ296" t="b">
        <f t="shared" si="593"/>
        <v>0</v>
      </c>
      <c r="DK296" t="b">
        <f t="shared" si="594"/>
        <v>0</v>
      </c>
      <c r="DL296" t="b">
        <f t="shared" si="595"/>
        <v>0</v>
      </c>
      <c r="DM296" t="b">
        <f t="shared" si="596"/>
        <v>0</v>
      </c>
      <c r="DN296" t="b">
        <f t="shared" si="597"/>
        <v>0</v>
      </c>
      <c r="DO296" t="b">
        <f t="shared" si="598"/>
        <v>0</v>
      </c>
      <c r="DP296" t="b">
        <f t="shared" si="599"/>
        <v>0</v>
      </c>
      <c r="DQ296" t="b">
        <f t="shared" si="600"/>
        <v>0</v>
      </c>
      <c r="DR296" t="b">
        <f t="shared" si="601"/>
        <v>0</v>
      </c>
      <c r="DS296" t="b">
        <f t="shared" si="602"/>
        <v>0</v>
      </c>
      <c r="DT296" t="b">
        <f t="shared" si="603"/>
        <v>0</v>
      </c>
      <c r="DU296" t="b">
        <f t="shared" si="604"/>
        <v>0</v>
      </c>
      <c r="DV296" t="b">
        <f t="shared" si="605"/>
        <v>0</v>
      </c>
      <c r="DW296" t="b">
        <f t="shared" si="606"/>
        <v>0</v>
      </c>
      <c r="DX296" t="b">
        <f t="shared" si="607"/>
        <v>0</v>
      </c>
      <c r="DY296" t="b">
        <f t="shared" si="608"/>
        <v>0</v>
      </c>
      <c r="DZ296" t="b">
        <f t="shared" si="609"/>
        <v>0</v>
      </c>
      <c r="EA296" t="b">
        <f t="shared" si="610"/>
        <v>0</v>
      </c>
      <c r="EB296" t="b">
        <f t="shared" si="611"/>
        <v>0</v>
      </c>
      <c r="EC296" t="b">
        <f t="shared" si="612"/>
        <v>0</v>
      </c>
      <c r="ED296" t="b">
        <f t="shared" si="613"/>
        <v>0</v>
      </c>
      <c r="EE296" t="b">
        <f t="shared" si="614"/>
        <v>0</v>
      </c>
      <c r="EF296">
        <f t="shared" si="615"/>
        <v>1</v>
      </c>
      <c r="EG296" t="b">
        <f t="shared" si="616"/>
        <v>0</v>
      </c>
      <c r="EH296" t="b">
        <f t="shared" si="617"/>
        <v>0</v>
      </c>
      <c r="EI296" t="b">
        <f t="shared" si="618"/>
        <v>0</v>
      </c>
      <c r="EJ296" t="b">
        <f t="shared" si="619"/>
        <v>0</v>
      </c>
      <c r="EK296" t="b">
        <f t="shared" si="620"/>
        <v>0</v>
      </c>
    </row>
    <row r="297" spans="1:141">
      <c r="A297" t="s">
        <v>1568</v>
      </c>
      <c r="B297" t="s">
        <v>1568</v>
      </c>
      <c r="C297" t="s">
        <v>1569</v>
      </c>
      <c r="D297" s="1">
        <v>44054</v>
      </c>
      <c r="E297" s="2">
        <v>44313.978831018518</v>
      </c>
      <c r="F297" s="2">
        <v>44313.978831018518</v>
      </c>
      <c r="G297">
        <v>9052457</v>
      </c>
      <c r="H297" t="s">
        <v>1570</v>
      </c>
      <c r="I297" s="10" t="s">
        <v>1571</v>
      </c>
      <c r="J297" t="s">
        <v>188</v>
      </c>
      <c r="K297" s="8" t="b">
        <v>1</v>
      </c>
      <c r="L297" s="10" t="b">
        <v>0</v>
      </c>
      <c r="M297" s="12" t="b">
        <v>0</v>
      </c>
      <c r="N297" t="b">
        <v>0</v>
      </c>
      <c r="O297" t="b">
        <v>0</v>
      </c>
      <c r="P297" t="b">
        <v>0</v>
      </c>
      <c r="Q297">
        <f t="shared" si="497"/>
        <v>3</v>
      </c>
      <c r="R297">
        <f t="shared" si="498"/>
        <v>8</v>
      </c>
      <c r="S297" t="e">
        <f t="shared" ca="1" si="528"/>
        <v>#NAME?</v>
      </c>
      <c r="T297" t="e">
        <f t="shared" ca="1" si="499"/>
        <v>#NAME?</v>
      </c>
      <c r="U297" s="4">
        <f t="shared" si="500"/>
        <v>259.97883101851767</v>
      </c>
      <c r="V297" s="4">
        <f t="shared" si="501"/>
        <v>8.6659610339505893</v>
      </c>
      <c r="W297" s="4">
        <f t="shared" si="502"/>
        <v>1</v>
      </c>
      <c r="X297" s="4">
        <f t="shared" si="503"/>
        <v>0</v>
      </c>
      <c r="Y297" s="4">
        <f t="shared" si="504"/>
        <v>0</v>
      </c>
      <c r="Z297" s="4">
        <f t="shared" si="505"/>
        <v>0</v>
      </c>
      <c r="AA297" s="4">
        <f t="shared" si="506"/>
        <v>0</v>
      </c>
      <c r="AB297" s="4">
        <f t="shared" si="507"/>
        <v>0</v>
      </c>
      <c r="AC297" s="4"/>
      <c r="AD297" s="4" t="b">
        <f t="shared" si="508"/>
        <v>0</v>
      </c>
      <c r="AE297" s="4" t="b">
        <f t="shared" si="509"/>
        <v>0</v>
      </c>
      <c r="AF297" s="4" t="b">
        <f t="shared" si="510"/>
        <v>0</v>
      </c>
      <c r="AG297" t="b">
        <f t="shared" si="511"/>
        <v>0</v>
      </c>
      <c r="AH297" t="b">
        <f t="shared" si="512"/>
        <v>0</v>
      </c>
      <c r="AI297" t="b">
        <f t="shared" si="513"/>
        <v>0</v>
      </c>
      <c r="AJ297" t="b">
        <f t="shared" si="514"/>
        <v>0</v>
      </c>
      <c r="AK297" t="b">
        <f t="shared" si="515"/>
        <v>0</v>
      </c>
      <c r="AL297" t="b">
        <f t="shared" si="516"/>
        <v>0</v>
      </c>
      <c r="AM297" t="b">
        <f t="shared" si="517"/>
        <v>0</v>
      </c>
      <c r="AN297" t="b">
        <f t="shared" si="518"/>
        <v>0</v>
      </c>
      <c r="AO297" t="b">
        <f t="shared" si="519"/>
        <v>0</v>
      </c>
      <c r="AP297" t="b">
        <f t="shared" si="520"/>
        <v>0</v>
      </c>
      <c r="AQ297" t="b">
        <f t="shared" si="521"/>
        <v>0</v>
      </c>
      <c r="AR297" t="b">
        <f t="shared" si="522"/>
        <v>0</v>
      </c>
      <c r="AS297" t="b">
        <f t="shared" si="523"/>
        <v>0</v>
      </c>
      <c r="AT297" t="b">
        <f t="shared" si="524"/>
        <v>0</v>
      </c>
      <c r="AU297" t="b">
        <f t="shared" si="525"/>
        <v>0</v>
      </c>
      <c r="AV297" t="b">
        <f t="shared" si="526"/>
        <v>0</v>
      </c>
      <c r="AW297" t="b">
        <f t="shared" si="527"/>
        <v>0</v>
      </c>
      <c r="AX297" t="b">
        <f t="shared" si="529"/>
        <v>0</v>
      </c>
      <c r="AY297" t="b">
        <f t="shared" si="530"/>
        <v>0</v>
      </c>
      <c r="AZ297" t="b">
        <f t="shared" si="531"/>
        <v>0</v>
      </c>
      <c r="BA297" t="b">
        <f t="shared" si="532"/>
        <v>0</v>
      </c>
      <c r="BB297" t="b">
        <f t="shared" si="533"/>
        <v>0</v>
      </c>
      <c r="BC297" t="b">
        <f t="shared" si="534"/>
        <v>0</v>
      </c>
      <c r="BD297" t="b">
        <f t="shared" si="535"/>
        <v>0</v>
      </c>
      <c r="BE297" t="b">
        <f t="shared" si="536"/>
        <v>0</v>
      </c>
      <c r="BF297" t="b">
        <f t="shared" si="537"/>
        <v>0</v>
      </c>
      <c r="BG297" t="b">
        <f t="shared" si="538"/>
        <v>0</v>
      </c>
      <c r="BH297" t="b">
        <f t="shared" si="539"/>
        <v>0</v>
      </c>
      <c r="BI297">
        <f t="shared" si="540"/>
        <v>1</v>
      </c>
      <c r="BJ297" t="b">
        <f t="shared" si="541"/>
        <v>0</v>
      </c>
      <c r="BK297" t="b">
        <f t="shared" si="542"/>
        <v>0</v>
      </c>
      <c r="BL297" t="b">
        <f t="shared" si="543"/>
        <v>0</v>
      </c>
      <c r="BM297" t="b">
        <f t="shared" si="544"/>
        <v>0</v>
      </c>
      <c r="BN297" t="b">
        <f t="shared" si="545"/>
        <v>0</v>
      </c>
      <c r="BO297" t="b">
        <f t="shared" si="546"/>
        <v>0</v>
      </c>
      <c r="BP297" t="b">
        <f t="shared" si="547"/>
        <v>0</v>
      </c>
      <c r="BQ297" t="b">
        <f t="shared" si="548"/>
        <v>0</v>
      </c>
      <c r="BR297" t="b">
        <f t="shared" si="549"/>
        <v>0</v>
      </c>
      <c r="BS297" t="b">
        <f t="shared" si="550"/>
        <v>0</v>
      </c>
      <c r="BT297" t="b">
        <f t="shared" si="551"/>
        <v>0</v>
      </c>
      <c r="BU297" t="b">
        <f t="shared" si="552"/>
        <v>0</v>
      </c>
      <c r="BV297" t="b">
        <f t="shared" si="553"/>
        <v>0</v>
      </c>
      <c r="BW297" t="b">
        <f t="shared" si="554"/>
        <v>0</v>
      </c>
      <c r="BX297" t="b">
        <f t="shared" si="555"/>
        <v>0</v>
      </c>
      <c r="BY297" t="b">
        <f t="shared" si="556"/>
        <v>0</v>
      </c>
      <c r="BZ297" t="b">
        <f t="shared" si="557"/>
        <v>0</v>
      </c>
      <c r="CA297" t="b">
        <f t="shared" si="558"/>
        <v>0</v>
      </c>
      <c r="CB297" t="b">
        <f t="shared" si="559"/>
        <v>0</v>
      </c>
      <c r="CC297" t="b">
        <f t="shared" si="560"/>
        <v>0</v>
      </c>
      <c r="CD297" t="b">
        <f t="shared" si="561"/>
        <v>0</v>
      </c>
      <c r="CE297">
        <f t="shared" si="562"/>
        <v>1</v>
      </c>
      <c r="CF297" t="b">
        <f t="shared" si="563"/>
        <v>0</v>
      </c>
      <c r="CG297" t="b">
        <f t="shared" si="564"/>
        <v>0</v>
      </c>
      <c r="CH297" t="b">
        <f t="shared" si="565"/>
        <v>0</v>
      </c>
      <c r="CI297" t="b">
        <f t="shared" si="566"/>
        <v>0</v>
      </c>
      <c r="CJ297" t="b">
        <f t="shared" si="567"/>
        <v>0</v>
      </c>
      <c r="CK297" t="b">
        <f t="shared" si="568"/>
        <v>0</v>
      </c>
      <c r="CL297" t="b">
        <f t="shared" si="569"/>
        <v>0</v>
      </c>
      <c r="CM297" t="b">
        <f t="shared" si="570"/>
        <v>0</v>
      </c>
      <c r="CN297" t="b">
        <f t="shared" si="571"/>
        <v>0</v>
      </c>
      <c r="CO297" t="b">
        <f t="shared" si="572"/>
        <v>0</v>
      </c>
      <c r="CP297" t="b">
        <f t="shared" si="573"/>
        <v>0</v>
      </c>
      <c r="CQ297" t="b">
        <f t="shared" si="574"/>
        <v>0</v>
      </c>
      <c r="CR297" t="b">
        <f t="shared" si="575"/>
        <v>0</v>
      </c>
      <c r="CS297" t="b">
        <f t="shared" si="576"/>
        <v>0</v>
      </c>
      <c r="CT297" t="b">
        <f t="shared" si="577"/>
        <v>0</v>
      </c>
      <c r="CU297" t="b">
        <f t="shared" si="578"/>
        <v>0</v>
      </c>
      <c r="CV297">
        <f t="shared" si="579"/>
        <v>1</v>
      </c>
      <c r="CW297" t="b">
        <f t="shared" si="580"/>
        <v>0</v>
      </c>
      <c r="CX297" t="b">
        <f t="shared" si="581"/>
        <v>0</v>
      </c>
      <c r="CY297" t="b">
        <f t="shared" si="582"/>
        <v>0</v>
      </c>
      <c r="CZ297" t="b">
        <f t="shared" si="583"/>
        <v>0</v>
      </c>
      <c r="DA297" t="b">
        <f t="shared" si="584"/>
        <v>0</v>
      </c>
      <c r="DB297" t="b">
        <f t="shared" si="585"/>
        <v>0</v>
      </c>
      <c r="DC297" t="b">
        <f t="shared" si="586"/>
        <v>0</v>
      </c>
      <c r="DD297" t="b">
        <f t="shared" si="587"/>
        <v>0</v>
      </c>
      <c r="DE297" t="b">
        <f t="shared" si="588"/>
        <v>0</v>
      </c>
      <c r="DF297" t="b">
        <f t="shared" si="589"/>
        <v>0</v>
      </c>
      <c r="DG297" t="b">
        <f t="shared" si="590"/>
        <v>0</v>
      </c>
      <c r="DH297" t="b">
        <f t="shared" si="591"/>
        <v>0</v>
      </c>
      <c r="DI297" t="b">
        <f t="shared" si="592"/>
        <v>0</v>
      </c>
      <c r="DJ297" t="b">
        <f t="shared" si="593"/>
        <v>0</v>
      </c>
      <c r="DK297" t="b">
        <f t="shared" si="594"/>
        <v>0</v>
      </c>
      <c r="DL297" t="b">
        <f t="shared" si="595"/>
        <v>0</v>
      </c>
      <c r="DM297" t="b">
        <f t="shared" si="596"/>
        <v>0</v>
      </c>
      <c r="DN297" t="b">
        <f t="shared" si="597"/>
        <v>0</v>
      </c>
      <c r="DO297" t="b">
        <f t="shared" si="598"/>
        <v>0</v>
      </c>
      <c r="DP297" t="b">
        <f t="shared" si="599"/>
        <v>0</v>
      </c>
      <c r="DQ297" t="b">
        <f t="shared" si="600"/>
        <v>0</v>
      </c>
      <c r="DR297" t="b">
        <f t="shared" si="601"/>
        <v>0</v>
      </c>
      <c r="DS297" t="b">
        <f t="shared" si="602"/>
        <v>0</v>
      </c>
      <c r="DT297" t="b">
        <f t="shared" si="603"/>
        <v>0</v>
      </c>
      <c r="DU297" t="b">
        <f t="shared" si="604"/>
        <v>0</v>
      </c>
      <c r="DV297" t="b">
        <f t="shared" si="605"/>
        <v>0</v>
      </c>
      <c r="DW297" t="b">
        <f t="shared" si="606"/>
        <v>0</v>
      </c>
      <c r="DX297" t="b">
        <f t="shared" si="607"/>
        <v>0</v>
      </c>
      <c r="DY297" t="b">
        <f t="shared" si="608"/>
        <v>0</v>
      </c>
      <c r="DZ297" t="b">
        <f t="shared" si="609"/>
        <v>0</v>
      </c>
      <c r="EA297" t="b">
        <f t="shared" si="610"/>
        <v>0</v>
      </c>
      <c r="EB297" t="b">
        <f t="shared" si="611"/>
        <v>0</v>
      </c>
      <c r="EC297" t="b">
        <f t="shared" si="612"/>
        <v>0</v>
      </c>
      <c r="ED297" t="b">
        <f t="shared" si="613"/>
        <v>0</v>
      </c>
      <c r="EE297" t="b">
        <f t="shared" si="614"/>
        <v>0</v>
      </c>
      <c r="EF297">
        <f t="shared" si="615"/>
        <v>1</v>
      </c>
      <c r="EG297" t="b">
        <f t="shared" si="616"/>
        <v>0</v>
      </c>
      <c r="EH297" t="b">
        <f t="shared" si="617"/>
        <v>0</v>
      </c>
      <c r="EI297" t="b">
        <f t="shared" si="618"/>
        <v>0</v>
      </c>
      <c r="EJ297" t="b">
        <f t="shared" si="619"/>
        <v>0</v>
      </c>
      <c r="EK297" t="b">
        <f t="shared" si="620"/>
        <v>0</v>
      </c>
    </row>
    <row r="298" spans="1:141">
      <c r="A298" t="s">
        <v>1572</v>
      </c>
      <c r="B298" t="s">
        <v>1573</v>
      </c>
      <c r="C298" t="s">
        <v>1574</v>
      </c>
      <c r="D298" s="1">
        <v>43132</v>
      </c>
      <c r="E298" s="2">
        <v>44213.938194444447</v>
      </c>
      <c r="F298" s="2">
        <v>44213.938194444447</v>
      </c>
      <c r="G298">
        <v>10981207</v>
      </c>
      <c r="H298" t="s">
        <v>1575</v>
      </c>
      <c r="I298" s="10" t="s">
        <v>1576</v>
      </c>
      <c r="J298" t="s">
        <v>138</v>
      </c>
      <c r="K298" s="8" t="b">
        <v>1</v>
      </c>
      <c r="L298" s="10" t="b">
        <v>0</v>
      </c>
      <c r="M298" s="12" t="b">
        <v>0</v>
      </c>
      <c r="N298" t="b">
        <v>0</v>
      </c>
      <c r="O298" t="b">
        <v>0</v>
      </c>
      <c r="P298" t="b">
        <v>0</v>
      </c>
      <c r="Q298">
        <f t="shared" si="497"/>
        <v>5</v>
      </c>
      <c r="R298">
        <f t="shared" si="498"/>
        <v>2</v>
      </c>
      <c r="S298" t="e">
        <f t="shared" ca="1" si="528"/>
        <v>#NAME?</v>
      </c>
      <c r="T298" t="e">
        <f t="shared" ca="1" si="499"/>
        <v>#NAME?</v>
      </c>
      <c r="U298" s="4">
        <f t="shared" si="500"/>
        <v>1081.9381944444467</v>
      </c>
      <c r="V298" s="4">
        <f t="shared" si="501"/>
        <v>36.064606481481555</v>
      </c>
      <c r="W298" s="4">
        <f t="shared" si="502"/>
        <v>1</v>
      </c>
      <c r="X298" s="4">
        <f t="shared" si="503"/>
        <v>0</v>
      </c>
      <c r="Y298" s="4">
        <f t="shared" si="504"/>
        <v>0</v>
      </c>
      <c r="Z298" s="4">
        <f t="shared" si="505"/>
        <v>0</v>
      </c>
      <c r="AA298" s="4">
        <f t="shared" si="506"/>
        <v>0</v>
      </c>
      <c r="AB298" s="4">
        <f t="shared" si="507"/>
        <v>0</v>
      </c>
      <c r="AC298" s="4"/>
      <c r="AD298" s="4" t="b">
        <f t="shared" si="508"/>
        <v>0</v>
      </c>
      <c r="AE298" s="4" t="b">
        <f t="shared" si="509"/>
        <v>0</v>
      </c>
      <c r="AF298" s="4" t="b">
        <f t="shared" si="510"/>
        <v>0</v>
      </c>
      <c r="AG298" t="b">
        <f t="shared" si="511"/>
        <v>0</v>
      </c>
      <c r="AH298" t="b">
        <f t="shared" si="512"/>
        <v>0</v>
      </c>
      <c r="AI298" t="b">
        <f t="shared" si="513"/>
        <v>0</v>
      </c>
      <c r="AJ298" t="b">
        <f t="shared" si="514"/>
        <v>0</v>
      </c>
      <c r="AK298" t="b">
        <f t="shared" si="515"/>
        <v>0</v>
      </c>
      <c r="AL298" t="b">
        <f t="shared" si="516"/>
        <v>0</v>
      </c>
      <c r="AM298" t="b">
        <f t="shared" si="517"/>
        <v>0</v>
      </c>
      <c r="AN298" t="b">
        <f t="shared" si="518"/>
        <v>0</v>
      </c>
      <c r="AO298" t="b">
        <f t="shared" si="519"/>
        <v>0</v>
      </c>
      <c r="AP298" t="b">
        <f t="shared" si="520"/>
        <v>0</v>
      </c>
      <c r="AQ298" t="b">
        <f t="shared" si="521"/>
        <v>0</v>
      </c>
      <c r="AR298" t="b">
        <f t="shared" si="522"/>
        <v>0</v>
      </c>
      <c r="AS298" t="b">
        <f t="shared" si="523"/>
        <v>0</v>
      </c>
      <c r="AT298" t="b">
        <f t="shared" si="524"/>
        <v>0</v>
      </c>
      <c r="AU298" t="b">
        <f t="shared" si="525"/>
        <v>0</v>
      </c>
      <c r="AV298" t="b">
        <f t="shared" si="526"/>
        <v>0</v>
      </c>
      <c r="AW298" t="b">
        <f t="shared" si="527"/>
        <v>0</v>
      </c>
      <c r="AX298" t="b">
        <f t="shared" si="529"/>
        <v>0</v>
      </c>
      <c r="AY298" t="b">
        <f t="shared" si="530"/>
        <v>0</v>
      </c>
      <c r="AZ298" t="b">
        <f t="shared" si="531"/>
        <v>0</v>
      </c>
      <c r="BA298" t="b">
        <f t="shared" si="532"/>
        <v>0</v>
      </c>
      <c r="BB298" t="b">
        <f t="shared" si="533"/>
        <v>0</v>
      </c>
      <c r="BC298" t="b">
        <f t="shared" si="534"/>
        <v>0</v>
      </c>
      <c r="BD298" t="b">
        <f t="shared" si="535"/>
        <v>0</v>
      </c>
      <c r="BE298" t="b">
        <f t="shared" si="536"/>
        <v>0</v>
      </c>
      <c r="BF298" t="b">
        <f t="shared" si="537"/>
        <v>0</v>
      </c>
      <c r="BG298" t="b">
        <f t="shared" si="538"/>
        <v>0</v>
      </c>
      <c r="BH298" t="b">
        <f t="shared" si="539"/>
        <v>0</v>
      </c>
      <c r="BI298">
        <f t="shared" si="540"/>
        <v>1</v>
      </c>
      <c r="BJ298" t="b">
        <f t="shared" si="541"/>
        <v>0</v>
      </c>
      <c r="BK298" t="b">
        <f t="shared" si="542"/>
        <v>0</v>
      </c>
      <c r="BL298" t="b">
        <f t="shared" si="543"/>
        <v>0</v>
      </c>
      <c r="BM298" t="b">
        <f t="shared" si="544"/>
        <v>0</v>
      </c>
      <c r="BN298" t="b">
        <f t="shared" si="545"/>
        <v>0</v>
      </c>
      <c r="BO298" t="b">
        <f t="shared" si="546"/>
        <v>0</v>
      </c>
      <c r="BP298" t="b">
        <f t="shared" si="547"/>
        <v>0</v>
      </c>
      <c r="BQ298" t="b">
        <f t="shared" si="548"/>
        <v>0</v>
      </c>
      <c r="BR298" t="b">
        <f t="shared" si="549"/>
        <v>0</v>
      </c>
      <c r="BS298" t="b">
        <f t="shared" si="550"/>
        <v>0</v>
      </c>
      <c r="BT298" t="b">
        <f t="shared" si="551"/>
        <v>0</v>
      </c>
      <c r="BU298" t="b">
        <f t="shared" si="552"/>
        <v>0</v>
      </c>
      <c r="BV298" t="b">
        <f t="shared" si="553"/>
        <v>0</v>
      </c>
      <c r="BW298" t="b">
        <f t="shared" si="554"/>
        <v>0</v>
      </c>
      <c r="BX298" t="b">
        <f t="shared" si="555"/>
        <v>0</v>
      </c>
      <c r="BY298" t="b">
        <f t="shared" si="556"/>
        <v>0</v>
      </c>
      <c r="BZ298" t="b">
        <f t="shared" si="557"/>
        <v>0</v>
      </c>
      <c r="CA298" t="b">
        <f t="shared" si="558"/>
        <v>0</v>
      </c>
      <c r="CB298" t="b">
        <f t="shared" si="559"/>
        <v>0</v>
      </c>
      <c r="CC298" t="b">
        <f t="shared" si="560"/>
        <v>0</v>
      </c>
      <c r="CD298" t="b">
        <f t="shared" si="561"/>
        <v>0</v>
      </c>
      <c r="CE298">
        <f t="shared" si="562"/>
        <v>1</v>
      </c>
      <c r="CF298" t="b">
        <f t="shared" si="563"/>
        <v>0</v>
      </c>
      <c r="CG298" t="b">
        <f t="shared" si="564"/>
        <v>0</v>
      </c>
      <c r="CH298" t="b">
        <f t="shared" si="565"/>
        <v>0</v>
      </c>
      <c r="CI298" t="b">
        <f t="shared" si="566"/>
        <v>0</v>
      </c>
      <c r="CJ298" t="b">
        <f t="shared" si="567"/>
        <v>0</v>
      </c>
      <c r="CK298" t="b">
        <f t="shared" si="568"/>
        <v>0</v>
      </c>
      <c r="CL298" t="b">
        <f t="shared" si="569"/>
        <v>0</v>
      </c>
      <c r="CM298">
        <f t="shared" si="570"/>
        <v>1</v>
      </c>
      <c r="CN298" t="b">
        <f t="shared" si="571"/>
        <v>0</v>
      </c>
      <c r="CO298" t="b">
        <f t="shared" si="572"/>
        <v>0</v>
      </c>
      <c r="CP298" t="b">
        <f t="shared" si="573"/>
        <v>0</v>
      </c>
      <c r="CQ298" t="b">
        <f t="shared" si="574"/>
        <v>0</v>
      </c>
      <c r="CR298" t="b">
        <f t="shared" si="575"/>
        <v>0</v>
      </c>
      <c r="CS298" t="b">
        <f t="shared" si="576"/>
        <v>0</v>
      </c>
      <c r="CT298" t="b">
        <f t="shared" si="577"/>
        <v>0</v>
      </c>
      <c r="CU298" t="b">
        <f t="shared" si="578"/>
        <v>0</v>
      </c>
      <c r="CV298">
        <f t="shared" si="579"/>
        <v>1</v>
      </c>
      <c r="CW298" t="b">
        <f t="shared" si="580"/>
        <v>0</v>
      </c>
      <c r="CX298" t="b">
        <f t="shared" si="581"/>
        <v>0</v>
      </c>
      <c r="CY298" t="b">
        <f t="shared" si="582"/>
        <v>0</v>
      </c>
      <c r="CZ298" t="b">
        <f t="shared" si="583"/>
        <v>0</v>
      </c>
      <c r="DA298" t="b">
        <f t="shared" si="584"/>
        <v>0</v>
      </c>
      <c r="DB298" t="b">
        <f t="shared" si="585"/>
        <v>0</v>
      </c>
      <c r="DC298" t="b">
        <f t="shared" si="586"/>
        <v>0</v>
      </c>
      <c r="DD298" t="b">
        <f t="shared" si="587"/>
        <v>0</v>
      </c>
      <c r="DE298" t="b">
        <f t="shared" si="588"/>
        <v>0</v>
      </c>
      <c r="DF298" t="b">
        <f t="shared" si="589"/>
        <v>0</v>
      </c>
      <c r="DG298" t="b">
        <f t="shared" si="590"/>
        <v>0</v>
      </c>
      <c r="DH298" t="b">
        <f t="shared" si="591"/>
        <v>0</v>
      </c>
      <c r="DI298" t="b">
        <f t="shared" si="592"/>
        <v>0</v>
      </c>
      <c r="DJ298" t="b">
        <f t="shared" si="593"/>
        <v>0</v>
      </c>
      <c r="DK298" t="b">
        <f t="shared" si="594"/>
        <v>0</v>
      </c>
      <c r="DL298" t="b">
        <f t="shared" si="595"/>
        <v>0</v>
      </c>
      <c r="DM298" t="b">
        <f t="shared" si="596"/>
        <v>0</v>
      </c>
      <c r="DN298" t="b">
        <f t="shared" si="597"/>
        <v>0</v>
      </c>
      <c r="DO298" t="b">
        <f t="shared" si="598"/>
        <v>0</v>
      </c>
      <c r="DP298" t="b">
        <f t="shared" si="599"/>
        <v>0</v>
      </c>
      <c r="DQ298" t="b">
        <f t="shared" si="600"/>
        <v>0</v>
      </c>
      <c r="DR298" t="b">
        <f t="shared" si="601"/>
        <v>0</v>
      </c>
      <c r="DS298" t="b">
        <f t="shared" si="602"/>
        <v>0</v>
      </c>
      <c r="DT298" t="b">
        <f t="shared" si="603"/>
        <v>0</v>
      </c>
      <c r="DU298" t="b">
        <f t="shared" si="604"/>
        <v>0</v>
      </c>
      <c r="DV298" t="b">
        <f t="shared" si="605"/>
        <v>0</v>
      </c>
      <c r="DW298" t="b">
        <f t="shared" si="606"/>
        <v>0</v>
      </c>
      <c r="DX298" t="b">
        <f t="shared" si="607"/>
        <v>0</v>
      </c>
      <c r="DY298" t="b">
        <f t="shared" si="608"/>
        <v>0</v>
      </c>
      <c r="DZ298" t="b">
        <f t="shared" si="609"/>
        <v>0</v>
      </c>
      <c r="EA298" t="b">
        <f t="shared" si="610"/>
        <v>0</v>
      </c>
      <c r="EB298" t="b">
        <f t="shared" si="611"/>
        <v>0</v>
      </c>
      <c r="EC298" t="b">
        <f t="shared" si="612"/>
        <v>0</v>
      </c>
      <c r="ED298" t="b">
        <f t="shared" si="613"/>
        <v>0</v>
      </c>
      <c r="EE298" t="b">
        <f t="shared" si="614"/>
        <v>0</v>
      </c>
      <c r="EF298" t="b">
        <f t="shared" si="615"/>
        <v>0</v>
      </c>
      <c r="EG298" t="b">
        <f t="shared" si="616"/>
        <v>0</v>
      </c>
      <c r="EH298" t="b">
        <f t="shared" si="617"/>
        <v>0</v>
      </c>
      <c r="EI298" t="b">
        <f t="shared" si="618"/>
        <v>0</v>
      </c>
      <c r="EJ298" t="b">
        <f t="shared" si="619"/>
        <v>0</v>
      </c>
      <c r="EK298" t="b">
        <f t="shared" si="620"/>
        <v>0</v>
      </c>
    </row>
    <row r="299" spans="1:141">
      <c r="A299" t="s">
        <v>1577</v>
      </c>
      <c r="B299" t="s">
        <v>1577</v>
      </c>
      <c r="C299" t="s">
        <v>1578</v>
      </c>
      <c r="D299" s="1">
        <v>40975</v>
      </c>
      <c r="E299" s="2">
        <v>43038.050162037034</v>
      </c>
      <c r="F299" s="2">
        <v>43038.050162037034</v>
      </c>
      <c r="G299">
        <v>3883455</v>
      </c>
      <c r="H299" t="s">
        <v>1579</v>
      </c>
      <c r="I299" s="10" t="s">
        <v>1580</v>
      </c>
      <c r="J299" t="s">
        <v>1581</v>
      </c>
      <c r="K299" s="8" t="b">
        <v>1</v>
      </c>
      <c r="L299" s="10" t="b">
        <v>0</v>
      </c>
      <c r="M299" s="12" t="b">
        <v>0</v>
      </c>
      <c r="N299" t="b">
        <v>0</v>
      </c>
      <c r="O299" t="b">
        <v>0</v>
      </c>
      <c r="P299" t="b">
        <v>0</v>
      </c>
      <c r="Q299">
        <f t="shared" si="497"/>
        <v>4</v>
      </c>
      <c r="R299">
        <f t="shared" si="498"/>
        <v>3</v>
      </c>
      <c r="S299" t="e">
        <f t="shared" ca="1" si="528"/>
        <v>#NAME?</v>
      </c>
      <c r="T299" t="e">
        <f t="shared" ca="1" si="499"/>
        <v>#NAME?</v>
      </c>
      <c r="U299" s="4">
        <f t="shared" si="500"/>
        <v>2063.0501620370342</v>
      </c>
      <c r="V299" s="4">
        <f t="shared" si="501"/>
        <v>68.768338734567806</v>
      </c>
      <c r="W299" s="4">
        <f t="shared" si="502"/>
        <v>1</v>
      </c>
      <c r="X299" s="4">
        <f t="shared" si="503"/>
        <v>0</v>
      </c>
      <c r="Y299" s="4">
        <f t="shared" si="504"/>
        <v>0</v>
      </c>
      <c r="Z299" s="4">
        <f t="shared" si="505"/>
        <v>0</v>
      </c>
      <c r="AA299" s="4">
        <f t="shared" si="506"/>
        <v>0</v>
      </c>
      <c r="AB299" s="4">
        <f t="shared" si="507"/>
        <v>0</v>
      </c>
      <c r="AC299" s="4"/>
      <c r="AD299" s="4" t="b">
        <f t="shared" si="508"/>
        <v>0</v>
      </c>
      <c r="AE299" s="4" t="b">
        <f t="shared" si="509"/>
        <v>0</v>
      </c>
      <c r="AF299" s="4" t="b">
        <f t="shared" si="510"/>
        <v>0</v>
      </c>
      <c r="AG299" t="b">
        <f t="shared" si="511"/>
        <v>0</v>
      </c>
      <c r="AH299" t="b">
        <f t="shared" si="512"/>
        <v>0</v>
      </c>
      <c r="AI299" t="b">
        <f t="shared" si="513"/>
        <v>0</v>
      </c>
      <c r="AJ299" t="b">
        <f t="shared" si="514"/>
        <v>0</v>
      </c>
      <c r="AK299" t="b">
        <f t="shared" si="515"/>
        <v>0</v>
      </c>
      <c r="AL299" t="b">
        <f t="shared" si="516"/>
        <v>0</v>
      </c>
      <c r="AM299" t="b">
        <f t="shared" si="517"/>
        <v>0</v>
      </c>
      <c r="AN299" t="b">
        <f t="shared" si="518"/>
        <v>0</v>
      </c>
      <c r="AO299" t="b">
        <f t="shared" si="519"/>
        <v>0</v>
      </c>
      <c r="AP299" t="b">
        <f t="shared" si="520"/>
        <v>0</v>
      </c>
      <c r="AQ299" t="b">
        <f t="shared" si="521"/>
        <v>0</v>
      </c>
      <c r="AR299" t="b">
        <f t="shared" si="522"/>
        <v>0</v>
      </c>
      <c r="AS299" t="b">
        <f t="shared" si="523"/>
        <v>0</v>
      </c>
      <c r="AT299" t="b">
        <f t="shared" si="524"/>
        <v>0</v>
      </c>
      <c r="AU299" t="b">
        <f t="shared" si="525"/>
        <v>0</v>
      </c>
      <c r="AV299" t="b">
        <f t="shared" si="526"/>
        <v>0</v>
      </c>
      <c r="AW299" t="b">
        <f t="shared" si="527"/>
        <v>0</v>
      </c>
      <c r="AX299" t="b">
        <f t="shared" si="529"/>
        <v>0</v>
      </c>
      <c r="AY299" t="b">
        <f t="shared" si="530"/>
        <v>0</v>
      </c>
      <c r="AZ299">
        <f t="shared" si="531"/>
        <v>1</v>
      </c>
      <c r="BA299" t="b">
        <f t="shared" si="532"/>
        <v>0</v>
      </c>
      <c r="BB299" t="b">
        <f t="shared" si="533"/>
        <v>0</v>
      </c>
      <c r="BC299" t="b">
        <f t="shared" si="534"/>
        <v>0</v>
      </c>
      <c r="BD299" t="b">
        <f t="shared" si="535"/>
        <v>0</v>
      </c>
      <c r="BE299" t="b">
        <f t="shared" si="536"/>
        <v>0</v>
      </c>
      <c r="BF299" t="b">
        <f t="shared" si="537"/>
        <v>0</v>
      </c>
      <c r="BG299" t="b">
        <f t="shared" si="538"/>
        <v>0</v>
      </c>
      <c r="BH299" t="b">
        <f t="shared" si="539"/>
        <v>0</v>
      </c>
      <c r="BI299">
        <f t="shared" si="540"/>
        <v>1</v>
      </c>
      <c r="BJ299" t="b">
        <f t="shared" si="541"/>
        <v>0</v>
      </c>
      <c r="BK299" t="b">
        <f t="shared" si="542"/>
        <v>0</v>
      </c>
      <c r="BL299" t="b">
        <f t="shared" si="543"/>
        <v>0</v>
      </c>
      <c r="BM299" t="b">
        <f t="shared" si="544"/>
        <v>0</v>
      </c>
      <c r="BN299" t="b">
        <f t="shared" si="545"/>
        <v>0</v>
      </c>
      <c r="BO299" t="b">
        <f t="shared" si="546"/>
        <v>0</v>
      </c>
      <c r="BP299" t="b">
        <f t="shared" si="547"/>
        <v>0</v>
      </c>
      <c r="BQ299" t="b">
        <f t="shared" si="548"/>
        <v>0</v>
      </c>
      <c r="BR299">
        <f t="shared" si="549"/>
        <v>1</v>
      </c>
      <c r="BS299">
        <f t="shared" si="550"/>
        <v>1</v>
      </c>
      <c r="BT299">
        <f t="shared" si="551"/>
        <v>1</v>
      </c>
      <c r="BU299" t="b">
        <f t="shared" si="552"/>
        <v>0</v>
      </c>
      <c r="BV299" t="b">
        <f t="shared" si="553"/>
        <v>0</v>
      </c>
      <c r="BW299" t="b">
        <f t="shared" si="554"/>
        <v>0</v>
      </c>
      <c r="BX299" t="b">
        <f t="shared" si="555"/>
        <v>0</v>
      </c>
      <c r="BY299" t="b">
        <f t="shared" si="556"/>
        <v>0</v>
      </c>
      <c r="BZ299" t="b">
        <f t="shared" si="557"/>
        <v>0</v>
      </c>
      <c r="CA299" t="b">
        <f t="shared" si="558"/>
        <v>0</v>
      </c>
      <c r="CB299" t="b">
        <f t="shared" si="559"/>
        <v>0</v>
      </c>
      <c r="CC299" t="b">
        <f t="shared" si="560"/>
        <v>0</v>
      </c>
      <c r="CD299" t="b">
        <f t="shared" si="561"/>
        <v>0</v>
      </c>
      <c r="CE299" t="b">
        <f t="shared" si="562"/>
        <v>0</v>
      </c>
      <c r="CF299" t="b">
        <f t="shared" si="563"/>
        <v>0</v>
      </c>
      <c r="CG299" t="b">
        <f t="shared" si="564"/>
        <v>0</v>
      </c>
      <c r="CH299" t="b">
        <f t="shared" si="565"/>
        <v>0</v>
      </c>
      <c r="CI299" t="b">
        <f t="shared" si="566"/>
        <v>0</v>
      </c>
      <c r="CJ299" t="b">
        <f t="shared" si="567"/>
        <v>0</v>
      </c>
      <c r="CK299">
        <f t="shared" si="568"/>
        <v>1</v>
      </c>
      <c r="CL299" t="b">
        <f t="shared" si="569"/>
        <v>0</v>
      </c>
      <c r="CM299">
        <f t="shared" si="570"/>
        <v>1</v>
      </c>
      <c r="CN299">
        <f t="shared" si="571"/>
        <v>1</v>
      </c>
      <c r="CO299" t="b">
        <f t="shared" si="572"/>
        <v>0</v>
      </c>
      <c r="CP299" t="b">
        <f t="shared" si="573"/>
        <v>0</v>
      </c>
      <c r="CQ299" t="b">
        <f t="shared" si="574"/>
        <v>0</v>
      </c>
      <c r="CR299" t="b">
        <f t="shared" si="575"/>
        <v>0</v>
      </c>
      <c r="CS299" t="b">
        <f t="shared" si="576"/>
        <v>0</v>
      </c>
      <c r="CT299" t="b">
        <f t="shared" si="577"/>
        <v>0</v>
      </c>
      <c r="CU299" t="b">
        <f t="shared" si="578"/>
        <v>0</v>
      </c>
      <c r="CV299">
        <f t="shared" si="579"/>
        <v>1</v>
      </c>
      <c r="CW299" t="b">
        <f t="shared" si="580"/>
        <v>0</v>
      </c>
      <c r="CX299" t="b">
        <f t="shared" si="581"/>
        <v>0</v>
      </c>
      <c r="CY299" t="b">
        <f t="shared" si="582"/>
        <v>0</v>
      </c>
      <c r="CZ299" t="b">
        <f t="shared" si="583"/>
        <v>0</v>
      </c>
      <c r="DA299">
        <f t="shared" si="584"/>
        <v>1</v>
      </c>
      <c r="DB299">
        <f t="shared" si="585"/>
        <v>1</v>
      </c>
      <c r="DC299" t="b">
        <f t="shared" si="586"/>
        <v>0</v>
      </c>
      <c r="DD299" t="b">
        <f t="shared" si="587"/>
        <v>0</v>
      </c>
      <c r="DE299" t="b">
        <f t="shared" si="588"/>
        <v>0</v>
      </c>
      <c r="DF299" t="b">
        <f t="shared" si="589"/>
        <v>0</v>
      </c>
      <c r="DG299" t="b">
        <f t="shared" si="590"/>
        <v>0</v>
      </c>
      <c r="DH299" t="b">
        <f t="shared" si="591"/>
        <v>0</v>
      </c>
      <c r="DI299" t="b">
        <f t="shared" si="592"/>
        <v>0</v>
      </c>
      <c r="DJ299" t="b">
        <f t="shared" si="593"/>
        <v>0</v>
      </c>
      <c r="DK299" t="b">
        <f t="shared" si="594"/>
        <v>0</v>
      </c>
      <c r="DL299" t="b">
        <f t="shared" si="595"/>
        <v>0</v>
      </c>
      <c r="DM299" t="b">
        <f t="shared" si="596"/>
        <v>0</v>
      </c>
      <c r="DN299" t="b">
        <f t="shared" si="597"/>
        <v>0</v>
      </c>
      <c r="DO299" t="b">
        <f t="shared" si="598"/>
        <v>0</v>
      </c>
      <c r="DP299" t="b">
        <f t="shared" si="599"/>
        <v>0</v>
      </c>
      <c r="DQ299" t="b">
        <f t="shared" si="600"/>
        <v>0</v>
      </c>
      <c r="DR299" t="b">
        <f t="shared" si="601"/>
        <v>0</v>
      </c>
      <c r="DS299" t="b">
        <f t="shared" si="602"/>
        <v>0</v>
      </c>
      <c r="DT299" t="b">
        <f t="shared" si="603"/>
        <v>0</v>
      </c>
      <c r="DU299" t="b">
        <f t="shared" si="604"/>
        <v>0</v>
      </c>
      <c r="DV299" t="b">
        <f t="shared" si="605"/>
        <v>0</v>
      </c>
      <c r="DW299" t="b">
        <f t="shared" si="606"/>
        <v>0</v>
      </c>
      <c r="DX299" t="b">
        <f t="shared" si="607"/>
        <v>0</v>
      </c>
      <c r="DY299" t="b">
        <f t="shared" si="608"/>
        <v>0</v>
      </c>
      <c r="DZ299" t="b">
        <f t="shared" si="609"/>
        <v>0</v>
      </c>
      <c r="EA299" t="b">
        <f t="shared" si="610"/>
        <v>0</v>
      </c>
      <c r="EB299" t="b">
        <f t="shared" si="611"/>
        <v>0</v>
      </c>
      <c r="EC299" t="b">
        <f t="shared" si="612"/>
        <v>0</v>
      </c>
      <c r="ED299" t="b">
        <f t="shared" si="613"/>
        <v>0</v>
      </c>
      <c r="EE299" t="b">
        <f t="shared" si="614"/>
        <v>0</v>
      </c>
      <c r="EF299">
        <f t="shared" si="615"/>
        <v>1</v>
      </c>
      <c r="EG299" t="b">
        <f t="shared" si="616"/>
        <v>0</v>
      </c>
      <c r="EH299" t="b">
        <f t="shared" si="617"/>
        <v>0</v>
      </c>
      <c r="EI299" t="b">
        <f t="shared" si="618"/>
        <v>0</v>
      </c>
      <c r="EJ299" t="b">
        <f t="shared" si="619"/>
        <v>0</v>
      </c>
      <c r="EK299" t="b">
        <f t="shared" si="620"/>
        <v>0</v>
      </c>
    </row>
    <row r="300" spans="1:141">
      <c r="A300" t="s">
        <v>1582</v>
      </c>
      <c r="B300" t="s">
        <v>1582</v>
      </c>
      <c r="C300" t="s">
        <v>1583</v>
      </c>
      <c r="D300" s="1">
        <v>43130</v>
      </c>
      <c r="E300" s="2">
        <v>43405.144050925926</v>
      </c>
      <c r="F300" s="2">
        <v>44050.139236111114</v>
      </c>
      <c r="G300">
        <v>22477</v>
      </c>
      <c r="H300" t="s">
        <v>1584</v>
      </c>
      <c r="I300" s="10" t="s">
        <v>1585</v>
      </c>
      <c r="J300" t="s">
        <v>1586</v>
      </c>
      <c r="K300" s="8" t="b">
        <v>1</v>
      </c>
      <c r="L300" s="10" t="b">
        <v>0</v>
      </c>
      <c r="M300" s="12" t="b">
        <v>0</v>
      </c>
      <c r="N300" t="b">
        <v>0</v>
      </c>
      <c r="O300" t="b">
        <v>0</v>
      </c>
      <c r="P300" t="b">
        <v>0</v>
      </c>
      <c r="Q300">
        <f t="shared" si="497"/>
        <v>3</v>
      </c>
      <c r="R300">
        <f t="shared" si="498"/>
        <v>1</v>
      </c>
      <c r="S300" t="e">
        <f t="shared" ca="1" si="528"/>
        <v>#NAME?</v>
      </c>
      <c r="T300" t="e">
        <f t="shared" ca="1" si="499"/>
        <v>#NAME?</v>
      </c>
      <c r="U300" s="4">
        <f t="shared" si="500"/>
        <v>275.14405092592642</v>
      </c>
      <c r="V300" s="4">
        <f t="shared" si="501"/>
        <v>9.1714683641975476</v>
      </c>
      <c r="W300" s="4">
        <f t="shared" si="502"/>
        <v>1</v>
      </c>
      <c r="X300" s="4">
        <f t="shared" si="503"/>
        <v>0</v>
      </c>
      <c r="Y300" s="4">
        <f t="shared" si="504"/>
        <v>0</v>
      </c>
      <c r="Z300" s="4">
        <f t="shared" si="505"/>
        <v>0</v>
      </c>
      <c r="AA300" s="4">
        <f t="shared" si="506"/>
        <v>0</v>
      </c>
      <c r="AB300" s="4">
        <f t="shared" si="507"/>
        <v>0</v>
      </c>
      <c r="AC300" s="4"/>
      <c r="AD300" s="4" t="b">
        <f t="shared" si="508"/>
        <v>0</v>
      </c>
      <c r="AE300" s="4" t="b">
        <f t="shared" si="509"/>
        <v>0</v>
      </c>
      <c r="AF300" s="4" t="b">
        <f t="shared" si="510"/>
        <v>0</v>
      </c>
      <c r="AG300" t="b">
        <f t="shared" si="511"/>
        <v>0</v>
      </c>
      <c r="AH300" t="b">
        <f t="shared" si="512"/>
        <v>0</v>
      </c>
      <c r="AI300" t="b">
        <f t="shared" si="513"/>
        <v>0</v>
      </c>
      <c r="AJ300" t="b">
        <f t="shared" si="514"/>
        <v>0</v>
      </c>
      <c r="AK300" t="b">
        <f t="shared" si="515"/>
        <v>0</v>
      </c>
      <c r="AL300" t="b">
        <f t="shared" si="516"/>
        <v>0</v>
      </c>
      <c r="AM300" t="b">
        <f t="shared" si="517"/>
        <v>0</v>
      </c>
      <c r="AN300" t="b">
        <f t="shared" si="518"/>
        <v>0</v>
      </c>
      <c r="AO300" t="b">
        <f t="shared" si="519"/>
        <v>0</v>
      </c>
      <c r="AP300" t="b">
        <f t="shared" si="520"/>
        <v>0</v>
      </c>
      <c r="AQ300" t="b">
        <f t="shared" si="521"/>
        <v>0</v>
      </c>
      <c r="AR300" t="b">
        <f t="shared" si="522"/>
        <v>0</v>
      </c>
      <c r="AS300" t="b">
        <f t="shared" si="523"/>
        <v>0</v>
      </c>
      <c r="AT300" t="b">
        <f t="shared" si="524"/>
        <v>0</v>
      </c>
      <c r="AU300" t="b">
        <f t="shared" si="525"/>
        <v>0</v>
      </c>
      <c r="AV300" t="b">
        <f t="shared" si="526"/>
        <v>0</v>
      </c>
      <c r="AW300" t="b">
        <f t="shared" si="527"/>
        <v>0</v>
      </c>
      <c r="AX300" t="b">
        <f t="shared" si="529"/>
        <v>0</v>
      </c>
      <c r="AY300" t="b">
        <f t="shared" si="530"/>
        <v>0</v>
      </c>
      <c r="AZ300" t="b">
        <f t="shared" si="531"/>
        <v>0</v>
      </c>
      <c r="BA300" t="b">
        <f t="shared" si="532"/>
        <v>0</v>
      </c>
      <c r="BB300" t="b">
        <f t="shared" si="533"/>
        <v>0</v>
      </c>
      <c r="BC300" t="b">
        <f t="shared" si="534"/>
        <v>0</v>
      </c>
      <c r="BD300" t="b">
        <f t="shared" si="535"/>
        <v>0</v>
      </c>
      <c r="BE300" t="b">
        <f t="shared" si="536"/>
        <v>0</v>
      </c>
      <c r="BF300" t="b">
        <f t="shared" si="537"/>
        <v>0</v>
      </c>
      <c r="BG300" t="b">
        <f t="shared" si="538"/>
        <v>0</v>
      </c>
      <c r="BH300" t="b">
        <f t="shared" si="539"/>
        <v>0</v>
      </c>
      <c r="BI300">
        <f t="shared" si="540"/>
        <v>1</v>
      </c>
      <c r="BJ300" t="b">
        <f t="shared" si="541"/>
        <v>0</v>
      </c>
      <c r="BK300" t="b">
        <f t="shared" si="542"/>
        <v>0</v>
      </c>
      <c r="BL300" t="b">
        <f t="shared" si="543"/>
        <v>0</v>
      </c>
      <c r="BM300" t="b">
        <f t="shared" si="544"/>
        <v>0</v>
      </c>
      <c r="BN300" t="b">
        <f t="shared" si="545"/>
        <v>0</v>
      </c>
      <c r="BO300" t="b">
        <f t="shared" si="546"/>
        <v>0</v>
      </c>
      <c r="BP300" t="b">
        <f t="shared" si="547"/>
        <v>0</v>
      </c>
      <c r="BQ300" t="b">
        <f t="shared" si="548"/>
        <v>0</v>
      </c>
      <c r="BR300" t="b">
        <f t="shared" si="549"/>
        <v>0</v>
      </c>
      <c r="BS300" t="b">
        <f t="shared" si="550"/>
        <v>0</v>
      </c>
      <c r="BT300" t="b">
        <f t="shared" si="551"/>
        <v>0</v>
      </c>
      <c r="BU300" t="b">
        <f t="shared" si="552"/>
        <v>0</v>
      </c>
      <c r="BV300" t="b">
        <f t="shared" si="553"/>
        <v>0</v>
      </c>
      <c r="BW300" t="b">
        <f t="shared" si="554"/>
        <v>0</v>
      </c>
      <c r="BX300" t="b">
        <f t="shared" si="555"/>
        <v>0</v>
      </c>
      <c r="BY300" t="b">
        <f t="shared" si="556"/>
        <v>0</v>
      </c>
      <c r="BZ300" t="b">
        <f t="shared" si="557"/>
        <v>0</v>
      </c>
      <c r="CA300" t="b">
        <f t="shared" si="558"/>
        <v>0</v>
      </c>
      <c r="CB300" t="b">
        <f t="shared" si="559"/>
        <v>0</v>
      </c>
      <c r="CC300" t="b">
        <f t="shared" si="560"/>
        <v>0</v>
      </c>
      <c r="CD300" t="b">
        <f t="shared" si="561"/>
        <v>0</v>
      </c>
      <c r="CE300" t="b">
        <f t="shared" si="562"/>
        <v>0</v>
      </c>
      <c r="CF300" t="b">
        <f t="shared" si="563"/>
        <v>0</v>
      </c>
      <c r="CG300" t="b">
        <f t="shared" si="564"/>
        <v>0</v>
      </c>
      <c r="CH300" t="b">
        <f t="shared" si="565"/>
        <v>0</v>
      </c>
      <c r="CI300" t="b">
        <f t="shared" si="566"/>
        <v>0</v>
      </c>
      <c r="CJ300" t="b">
        <f t="shared" si="567"/>
        <v>0</v>
      </c>
      <c r="CK300" t="b">
        <f t="shared" si="568"/>
        <v>0</v>
      </c>
      <c r="CL300" t="b">
        <f t="shared" si="569"/>
        <v>0</v>
      </c>
      <c r="CM300">
        <f t="shared" si="570"/>
        <v>1</v>
      </c>
      <c r="CN300" t="b">
        <f t="shared" si="571"/>
        <v>0</v>
      </c>
      <c r="CO300" t="b">
        <f t="shared" si="572"/>
        <v>0</v>
      </c>
      <c r="CP300" t="b">
        <f t="shared" si="573"/>
        <v>0</v>
      </c>
      <c r="CQ300" t="b">
        <f t="shared" si="574"/>
        <v>0</v>
      </c>
      <c r="CR300" t="b">
        <f t="shared" si="575"/>
        <v>0</v>
      </c>
      <c r="CS300" t="b">
        <f t="shared" si="576"/>
        <v>0</v>
      </c>
      <c r="CT300" t="b">
        <f t="shared" si="577"/>
        <v>0</v>
      </c>
      <c r="CU300" t="b">
        <f t="shared" si="578"/>
        <v>0</v>
      </c>
      <c r="CV300">
        <f t="shared" si="579"/>
        <v>1</v>
      </c>
      <c r="CW300">
        <f t="shared" si="580"/>
        <v>1</v>
      </c>
      <c r="CX300" t="b">
        <f t="shared" si="581"/>
        <v>0</v>
      </c>
      <c r="CY300" t="b">
        <f t="shared" si="582"/>
        <v>0</v>
      </c>
      <c r="CZ300" t="b">
        <f t="shared" si="583"/>
        <v>0</v>
      </c>
      <c r="DA300" t="b">
        <f t="shared" si="584"/>
        <v>0</v>
      </c>
      <c r="DB300" t="b">
        <f t="shared" si="585"/>
        <v>0</v>
      </c>
      <c r="DC300" t="b">
        <f t="shared" si="586"/>
        <v>0</v>
      </c>
      <c r="DD300" t="b">
        <f t="shared" si="587"/>
        <v>0</v>
      </c>
      <c r="DE300" t="b">
        <f t="shared" si="588"/>
        <v>0</v>
      </c>
      <c r="DF300" t="b">
        <f t="shared" si="589"/>
        <v>0</v>
      </c>
      <c r="DG300" t="b">
        <f t="shared" si="590"/>
        <v>0</v>
      </c>
      <c r="DH300" t="b">
        <f t="shared" si="591"/>
        <v>0</v>
      </c>
      <c r="DI300" t="b">
        <f t="shared" si="592"/>
        <v>0</v>
      </c>
      <c r="DJ300" t="b">
        <f t="shared" si="593"/>
        <v>0</v>
      </c>
      <c r="DK300" t="b">
        <f t="shared" si="594"/>
        <v>0</v>
      </c>
      <c r="DL300" t="b">
        <f t="shared" si="595"/>
        <v>0</v>
      </c>
      <c r="DM300" t="b">
        <f t="shared" si="596"/>
        <v>0</v>
      </c>
      <c r="DN300" t="b">
        <f t="shared" si="597"/>
        <v>0</v>
      </c>
      <c r="DO300" t="b">
        <f t="shared" si="598"/>
        <v>0</v>
      </c>
      <c r="DP300" t="b">
        <f t="shared" si="599"/>
        <v>0</v>
      </c>
      <c r="DQ300" t="b">
        <f t="shared" si="600"/>
        <v>0</v>
      </c>
      <c r="DR300" t="b">
        <f t="shared" si="601"/>
        <v>0</v>
      </c>
      <c r="DS300" t="b">
        <f t="shared" si="602"/>
        <v>0</v>
      </c>
      <c r="DT300" t="b">
        <f t="shared" si="603"/>
        <v>0</v>
      </c>
      <c r="DU300" t="b">
        <f t="shared" si="604"/>
        <v>0</v>
      </c>
      <c r="DV300" t="b">
        <f t="shared" si="605"/>
        <v>0</v>
      </c>
      <c r="DW300" t="b">
        <f t="shared" si="606"/>
        <v>0</v>
      </c>
      <c r="DX300" t="b">
        <f t="shared" si="607"/>
        <v>0</v>
      </c>
      <c r="DY300" t="b">
        <f t="shared" si="608"/>
        <v>0</v>
      </c>
      <c r="DZ300" t="b">
        <f t="shared" si="609"/>
        <v>0</v>
      </c>
      <c r="EA300" t="b">
        <f t="shared" si="610"/>
        <v>0</v>
      </c>
      <c r="EB300" t="b">
        <f t="shared" si="611"/>
        <v>0</v>
      </c>
      <c r="EC300" t="b">
        <f t="shared" si="612"/>
        <v>0</v>
      </c>
      <c r="ED300" t="b">
        <f t="shared" si="613"/>
        <v>0</v>
      </c>
      <c r="EE300" t="b">
        <f t="shared" si="614"/>
        <v>0</v>
      </c>
      <c r="EF300">
        <f t="shared" si="615"/>
        <v>1</v>
      </c>
      <c r="EG300" t="b">
        <f t="shared" si="616"/>
        <v>0</v>
      </c>
      <c r="EH300" t="b">
        <f t="shared" si="617"/>
        <v>0</v>
      </c>
      <c r="EI300" t="b">
        <f t="shared" si="618"/>
        <v>0</v>
      </c>
      <c r="EJ300" t="b">
        <f t="shared" si="619"/>
        <v>0</v>
      </c>
      <c r="EK300" t="b">
        <f t="shared" si="620"/>
        <v>0</v>
      </c>
    </row>
    <row r="301" spans="1:141">
      <c r="A301" t="s">
        <v>1587</v>
      </c>
      <c r="B301" t="s">
        <v>1587</v>
      </c>
      <c r="C301" t="s">
        <v>1588</v>
      </c>
      <c r="D301" s="1">
        <v>44497</v>
      </c>
      <c r="E301" s="2">
        <v>44759.201539351852</v>
      </c>
      <c r="F301" s="2">
        <v>44759.205104166664</v>
      </c>
      <c r="G301">
        <v>314290</v>
      </c>
      <c r="H301" t="s">
        <v>1589</v>
      </c>
      <c r="I301" s="10" t="s">
        <v>1590</v>
      </c>
      <c r="J301" t="s">
        <v>1591</v>
      </c>
      <c r="K301" s="8" t="b">
        <v>1</v>
      </c>
      <c r="L301" s="10" t="b">
        <v>0</v>
      </c>
      <c r="M301" s="12" t="b">
        <v>0</v>
      </c>
      <c r="N301" t="b">
        <v>0</v>
      </c>
      <c r="O301" t="b">
        <v>0</v>
      </c>
      <c r="P301" t="b">
        <v>0</v>
      </c>
      <c r="Q301">
        <f t="shared" si="497"/>
        <v>5</v>
      </c>
      <c r="R301">
        <f t="shared" si="498"/>
        <v>10</v>
      </c>
      <c r="S301" t="e">
        <f t="shared" ca="1" si="528"/>
        <v>#NAME?</v>
      </c>
      <c r="T301" t="e">
        <f t="shared" ca="1" si="499"/>
        <v>#NAME?</v>
      </c>
      <c r="U301" s="4">
        <f t="shared" si="500"/>
        <v>262.20153935185226</v>
      </c>
      <c r="V301" s="4">
        <f t="shared" si="501"/>
        <v>8.7400513117284095</v>
      </c>
      <c r="W301" s="4">
        <f t="shared" si="502"/>
        <v>1</v>
      </c>
      <c r="X301" s="4">
        <f t="shared" si="503"/>
        <v>0</v>
      </c>
      <c r="Y301" s="4">
        <f t="shared" si="504"/>
        <v>0</v>
      </c>
      <c r="Z301" s="4">
        <f t="shared" si="505"/>
        <v>0</v>
      </c>
      <c r="AA301" s="4">
        <f t="shared" si="506"/>
        <v>0</v>
      </c>
      <c r="AB301" s="4">
        <f t="shared" si="507"/>
        <v>0</v>
      </c>
      <c r="AC301" s="4"/>
      <c r="AD301" s="4" t="b">
        <f t="shared" si="508"/>
        <v>0</v>
      </c>
      <c r="AE301" s="4" t="b">
        <f t="shared" si="509"/>
        <v>0</v>
      </c>
      <c r="AF301" s="4" t="b">
        <f t="shared" si="510"/>
        <v>0</v>
      </c>
      <c r="AG301" t="b">
        <f t="shared" si="511"/>
        <v>0</v>
      </c>
      <c r="AH301" t="b">
        <f t="shared" si="512"/>
        <v>0</v>
      </c>
      <c r="AI301" t="b">
        <f t="shared" si="513"/>
        <v>0</v>
      </c>
      <c r="AJ301" t="b">
        <f t="shared" si="514"/>
        <v>0</v>
      </c>
      <c r="AK301" t="b">
        <f t="shared" si="515"/>
        <v>0</v>
      </c>
      <c r="AL301" t="b">
        <f t="shared" si="516"/>
        <v>0</v>
      </c>
      <c r="AM301" t="b">
        <f t="shared" si="517"/>
        <v>0</v>
      </c>
      <c r="AN301" t="b">
        <f t="shared" si="518"/>
        <v>0</v>
      </c>
      <c r="AO301" t="b">
        <f t="shared" si="519"/>
        <v>0</v>
      </c>
      <c r="AP301" t="b">
        <f t="shared" si="520"/>
        <v>0</v>
      </c>
      <c r="AQ301" t="b">
        <f t="shared" si="521"/>
        <v>0</v>
      </c>
      <c r="AR301" t="b">
        <f t="shared" si="522"/>
        <v>0</v>
      </c>
      <c r="AS301" t="b">
        <f t="shared" si="523"/>
        <v>0</v>
      </c>
      <c r="AT301" t="b">
        <f t="shared" si="524"/>
        <v>0</v>
      </c>
      <c r="AU301" t="b">
        <f t="shared" si="525"/>
        <v>0</v>
      </c>
      <c r="AV301" t="b">
        <f t="shared" si="526"/>
        <v>0</v>
      </c>
      <c r="AW301" t="b">
        <f t="shared" si="527"/>
        <v>0</v>
      </c>
      <c r="AX301" t="b">
        <f t="shared" si="529"/>
        <v>0</v>
      </c>
      <c r="AY301" t="b">
        <f t="shared" si="530"/>
        <v>0</v>
      </c>
      <c r="AZ301" t="b">
        <f t="shared" si="531"/>
        <v>0</v>
      </c>
      <c r="BA301" t="b">
        <f t="shared" si="532"/>
        <v>0</v>
      </c>
      <c r="BB301" t="b">
        <f t="shared" si="533"/>
        <v>0</v>
      </c>
      <c r="BC301" t="b">
        <f t="shared" si="534"/>
        <v>0</v>
      </c>
      <c r="BD301" t="b">
        <f t="shared" si="535"/>
        <v>0</v>
      </c>
      <c r="BE301" t="b">
        <f t="shared" si="536"/>
        <v>0</v>
      </c>
      <c r="BF301" t="b">
        <f t="shared" si="537"/>
        <v>0</v>
      </c>
      <c r="BG301" t="b">
        <f t="shared" si="538"/>
        <v>0</v>
      </c>
      <c r="BH301" t="b">
        <f t="shared" si="539"/>
        <v>0</v>
      </c>
      <c r="BI301">
        <f t="shared" si="540"/>
        <v>1</v>
      </c>
      <c r="BJ301">
        <f t="shared" si="541"/>
        <v>1</v>
      </c>
      <c r="BK301" t="b">
        <f t="shared" si="542"/>
        <v>0</v>
      </c>
      <c r="BL301" t="b">
        <f t="shared" si="543"/>
        <v>0</v>
      </c>
      <c r="BM301" t="b">
        <f t="shared" si="544"/>
        <v>0</v>
      </c>
      <c r="BN301" t="b">
        <f t="shared" si="545"/>
        <v>0</v>
      </c>
      <c r="BO301" t="b">
        <f t="shared" si="546"/>
        <v>0</v>
      </c>
      <c r="BP301" t="b">
        <f t="shared" si="547"/>
        <v>0</v>
      </c>
      <c r="BQ301" t="b">
        <f t="shared" si="548"/>
        <v>0</v>
      </c>
      <c r="BR301" t="b">
        <f t="shared" si="549"/>
        <v>0</v>
      </c>
      <c r="BS301" t="b">
        <f t="shared" si="550"/>
        <v>0</v>
      </c>
      <c r="BT301" t="b">
        <f t="shared" si="551"/>
        <v>0</v>
      </c>
      <c r="BU301" t="b">
        <f t="shared" si="552"/>
        <v>0</v>
      </c>
      <c r="BV301" t="b">
        <f t="shared" si="553"/>
        <v>0</v>
      </c>
      <c r="BW301" t="b">
        <f t="shared" si="554"/>
        <v>0</v>
      </c>
      <c r="BX301" t="b">
        <f t="shared" si="555"/>
        <v>0</v>
      </c>
      <c r="BY301" t="b">
        <f t="shared" si="556"/>
        <v>0</v>
      </c>
      <c r="BZ301" t="b">
        <f t="shared" si="557"/>
        <v>0</v>
      </c>
      <c r="CA301" t="b">
        <f t="shared" si="558"/>
        <v>0</v>
      </c>
      <c r="CB301" t="b">
        <f t="shared" si="559"/>
        <v>0</v>
      </c>
      <c r="CC301" t="b">
        <f t="shared" si="560"/>
        <v>0</v>
      </c>
      <c r="CD301" t="b">
        <f t="shared" si="561"/>
        <v>0</v>
      </c>
      <c r="CE301">
        <f t="shared" si="562"/>
        <v>1</v>
      </c>
      <c r="CF301" t="b">
        <f t="shared" si="563"/>
        <v>0</v>
      </c>
      <c r="CG301" t="b">
        <f t="shared" si="564"/>
        <v>0</v>
      </c>
      <c r="CH301" t="b">
        <f t="shared" si="565"/>
        <v>0</v>
      </c>
      <c r="CI301" t="b">
        <f t="shared" si="566"/>
        <v>0</v>
      </c>
      <c r="CJ301" t="b">
        <f t="shared" si="567"/>
        <v>0</v>
      </c>
      <c r="CK301" t="b">
        <f t="shared" si="568"/>
        <v>0</v>
      </c>
      <c r="CL301" t="b">
        <f t="shared" si="569"/>
        <v>0</v>
      </c>
      <c r="CM301">
        <f t="shared" si="570"/>
        <v>1</v>
      </c>
      <c r="CN301" t="b">
        <f t="shared" si="571"/>
        <v>0</v>
      </c>
      <c r="CO301" t="b">
        <f t="shared" si="572"/>
        <v>0</v>
      </c>
      <c r="CP301" t="b">
        <f t="shared" si="573"/>
        <v>0</v>
      </c>
      <c r="CQ301">
        <f t="shared" si="574"/>
        <v>1</v>
      </c>
      <c r="CR301" t="b">
        <f t="shared" si="575"/>
        <v>0</v>
      </c>
      <c r="CS301" t="b">
        <f t="shared" si="576"/>
        <v>0</v>
      </c>
      <c r="CT301" t="b">
        <f t="shared" si="577"/>
        <v>0</v>
      </c>
      <c r="CU301" t="b">
        <f t="shared" si="578"/>
        <v>0</v>
      </c>
      <c r="CV301">
        <f t="shared" si="579"/>
        <v>1</v>
      </c>
      <c r="CW301" t="b">
        <f t="shared" si="580"/>
        <v>0</v>
      </c>
      <c r="CX301" t="b">
        <f t="shared" si="581"/>
        <v>0</v>
      </c>
      <c r="CY301" t="b">
        <f t="shared" si="582"/>
        <v>0</v>
      </c>
      <c r="CZ301" t="b">
        <f t="shared" si="583"/>
        <v>0</v>
      </c>
      <c r="DA301">
        <f t="shared" si="584"/>
        <v>1</v>
      </c>
      <c r="DB301" t="b">
        <f t="shared" si="585"/>
        <v>0</v>
      </c>
      <c r="DC301" t="b">
        <f t="shared" si="586"/>
        <v>0</v>
      </c>
      <c r="DD301" t="b">
        <f t="shared" si="587"/>
        <v>0</v>
      </c>
      <c r="DE301" t="b">
        <f t="shared" si="588"/>
        <v>0</v>
      </c>
      <c r="DF301" t="b">
        <f t="shared" si="589"/>
        <v>0</v>
      </c>
      <c r="DG301" t="b">
        <f t="shared" si="590"/>
        <v>0</v>
      </c>
      <c r="DH301" t="b">
        <f t="shared" si="591"/>
        <v>0</v>
      </c>
      <c r="DI301" t="b">
        <f t="shared" si="592"/>
        <v>0</v>
      </c>
      <c r="DJ301" t="b">
        <f t="shared" si="593"/>
        <v>0</v>
      </c>
      <c r="DK301" t="b">
        <f t="shared" si="594"/>
        <v>0</v>
      </c>
      <c r="DL301" t="b">
        <f t="shared" si="595"/>
        <v>0</v>
      </c>
      <c r="DM301" t="b">
        <f t="shared" si="596"/>
        <v>0</v>
      </c>
      <c r="DN301" t="b">
        <f t="shared" si="597"/>
        <v>0</v>
      </c>
      <c r="DO301" t="b">
        <f t="shared" si="598"/>
        <v>0</v>
      </c>
      <c r="DP301" t="b">
        <f t="shared" si="599"/>
        <v>0</v>
      </c>
      <c r="DQ301" t="b">
        <f t="shared" si="600"/>
        <v>0</v>
      </c>
      <c r="DR301" t="b">
        <f t="shared" si="601"/>
        <v>0</v>
      </c>
      <c r="DS301" t="b">
        <f t="shared" si="602"/>
        <v>0</v>
      </c>
      <c r="DT301" t="b">
        <f t="shared" si="603"/>
        <v>0</v>
      </c>
      <c r="DU301" t="b">
        <f t="shared" si="604"/>
        <v>0</v>
      </c>
      <c r="DV301" t="b">
        <f t="shared" si="605"/>
        <v>0</v>
      </c>
      <c r="DW301" t="b">
        <f t="shared" si="606"/>
        <v>0</v>
      </c>
      <c r="DX301" t="b">
        <f t="shared" si="607"/>
        <v>0</v>
      </c>
      <c r="DY301" t="b">
        <f t="shared" si="608"/>
        <v>0</v>
      </c>
      <c r="DZ301" t="b">
        <f t="shared" si="609"/>
        <v>0</v>
      </c>
      <c r="EA301" t="b">
        <f t="shared" si="610"/>
        <v>0</v>
      </c>
      <c r="EB301" t="b">
        <f t="shared" si="611"/>
        <v>0</v>
      </c>
      <c r="EC301" t="b">
        <f t="shared" si="612"/>
        <v>0</v>
      </c>
      <c r="ED301" t="b">
        <f t="shared" si="613"/>
        <v>0</v>
      </c>
      <c r="EE301" t="b">
        <f t="shared" si="614"/>
        <v>0</v>
      </c>
      <c r="EF301" t="b">
        <f t="shared" si="615"/>
        <v>0</v>
      </c>
      <c r="EG301" t="b">
        <f t="shared" si="616"/>
        <v>0</v>
      </c>
      <c r="EH301" t="b">
        <f t="shared" si="617"/>
        <v>0</v>
      </c>
      <c r="EI301" t="b">
        <f t="shared" si="618"/>
        <v>0</v>
      </c>
      <c r="EJ301" t="b">
        <f t="shared" si="619"/>
        <v>0</v>
      </c>
      <c r="EK301" t="b">
        <f t="shared" si="620"/>
        <v>0</v>
      </c>
    </row>
    <row r="302" spans="1:141">
      <c r="A302" t="s">
        <v>1592</v>
      </c>
      <c r="B302" t="s">
        <v>1593</v>
      </c>
      <c r="C302" t="s">
        <v>1594</v>
      </c>
      <c r="D302" s="1">
        <v>42642</v>
      </c>
      <c r="E302" s="2">
        <v>42773.061585648145</v>
      </c>
      <c r="F302" s="2">
        <v>42773.061585648145</v>
      </c>
      <c r="G302">
        <v>24451312</v>
      </c>
      <c r="H302" t="s">
        <v>1595</v>
      </c>
      <c r="I302" s="10" t="s">
        <v>1596</v>
      </c>
      <c r="J302" t="s">
        <v>1597</v>
      </c>
      <c r="K302" s="8" t="b">
        <v>0</v>
      </c>
      <c r="L302" s="10" t="b">
        <v>1</v>
      </c>
      <c r="M302" s="12" t="b">
        <v>1</v>
      </c>
      <c r="N302" t="b">
        <v>0</v>
      </c>
      <c r="O302" t="b">
        <v>0</v>
      </c>
      <c r="P302" t="b">
        <v>0</v>
      </c>
      <c r="Q302">
        <f t="shared" si="497"/>
        <v>5</v>
      </c>
      <c r="R302">
        <f t="shared" si="498"/>
        <v>9</v>
      </c>
      <c r="S302" t="e">
        <f t="shared" ca="1" si="528"/>
        <v>#NAME?</v>
      </c>
      <c r="T302" t="e">
        <f t="shared" ca="1" si="499"/>
        <v>#NAME?</v>
      </c>
      <c r="U302" s="4">
        <f t="shared" si="500"/>
        <v>131.06158564814541</v>
      </c>
      <c r="V302" s="4">
        <f t="shared" si="501"/>
        <v>4.3687195216048469</v>
      </c>
      <c r="W302" s="4">
        <f t="shared" si="502"/>
        <v>0</v>
      </c>
      <c r="X302" s="4">
        <f t="shared" si="503"/>
        <v>1</v>
      </c>
      <c r="Y302" s="4">
        <f t="shared" si="504"/>
        <v>1</v>
      </c>
      <c r="Z302" s="4">
        <f t="shared" si="505"/>
        <v>0</v>
      </c>
      <c r="AA302" s="4">
        <f t="shared" si="506"/>
        <v>0</v>
      </c>
      <c r="AB302" s="4">
        <f t="shared" si="507"/>
        <v>0</v>
      </c>
      <c r="AC302" s="4"/>
      <c r="AD302" s="4" t="b">
        <f t="shared" si="508"/>
        <v>0</v>
      </c>
      <c r="AE302" s="4" t="b">
        <f t="shared" si="509"/>
        <v>0</v>
      </c>
      <c r="AF302" s="4" t="b">
        <f t="shared" si="510"/>
        <v>0</v>
      </c>
      <c r="AG302" t="b">
        <f t="shared" si="511"/>
        <v>0</v>
      </c>
      <c r="AH302" t="b">
        <f t="shared" si="512"/>
        <v>0</v>
      </c>
      <c r="AI302" t="b">
        <f t="shared" si="513"/>
        <v>0</v>
      </c>
      <c r="AJ302" t="b">
        <f t="shared" si="514"/>
        <v>0</v>
      </c>
      <c r="AK302" t="b">
        <f t="shared" si="515"/>
        <v>0</v>
      </c>
      <c r="AL302" t="b">
        <f t="shared" si="516"/>
        <v>0</v>
      </c>
      <c r="AM302" t="b">
        <f t="shared" si="517"/>
        <v>0</v>
      </c>
      <c r="AN302" t="b">
        <f t="shared" si="518"/>
        <v>0</v>
      </c>
      <c r="AO302" t="b">
        <f t="shared" si="519"/>
        <v>0</v>
      </c>
      <c r="AP302" t="b">
        <f t="shared" si="520"/>
        <v>0</v>
      </c>
      <c r="AQ302" t="b">
        <f t="shared" si="521"/>
        <v>0</v>
      </c>
      <c r="AR302" t="b">
        <f t="shared" si="522"/>
        <v>0</v>
      </c>
      <c r="AS302" t="b">
        <f t="shared" si="523"/>
        <v>0</v>
      </c>
      <c r="AT302" t="b">
        <f t="shared" si="524"/>
        <v>0</v>
      </c>
      <c r="AU302" t="b">
        <f t="shared" si="525"/>
        <v>0</v>
      </c>
      <c r="AV302" t="b">
        <f t="shared" si="526"/>
        <v>0</v>
      </c>
      <c r="AW302" t="b">
        <f t="shared" si="527"/>
        <v>0</v>
      </c>
      <c r="AX302" t="b">
        <f t="shared" si="529"/>
        <v>0</v>
      </c>
      <c r="AY302" t="b">
        <f t="shared" si="530"/>
        <v>0</v>
      </c>
      <c r="AZ302">
        <f t="shared" si="531"/>
        <v>1</v>
      </c>
      <c r="BA302" t="b">
        <f t="shared" si="532"/>
        <v>0</v>
      </c>
      <c r="BB302" t="b">
        <f t="shared" si="533"/>
        <v>0</v>
      </c>
      <c r="BC302" t="b">
        <f t="shared" si="534"/>
        <v>0</v>
      </c>
      <c r="BD302" t="b">
        <f t="shared" si="535"/>
        <v>0</v>
      </c>
      <c r="BE302" t="b">
        <f t="shared" si="536"/>
        <v>0</v>
      </c>
      <c r="BF302" t="b">
        <f t="shared" si="537"/>
        <v>0</v>
      </c>
      <c r="BG302" t="b">
        <f t="shared" si="538"/>
        <v>0</v>
      </c>
      <c r="BH302" t="b">
        <f t="shared" si="539"/>
        <v>0</v>
      </c>
      <c r="BI302">
        <f t="shared" si="540"/>
        <v>1</v>
      </c>
      <c r="BJ302" t="b">
        <f t="shared" si="541"/>
        <v>0</v>
      </c>
      <c r="BK302" t="b">
        <f t="shared" si="542"/>
        <v>0</v>
      </c>
      <c r="BL302" t="b">
        <f t="shared" si="543"/>
        <v>0</v>
      </c>
      <c r="BM302" t="b">
        <f t="shared" si="544"/>
        <v>0</v>
      </c>
      <c r="BN302" t="b">
        <f t="shared" si="545"/>
        <v>0</v>
      </c>
      <c r="BO302" t="b">
        <f t="shared" si="546"/>
        <v>0</v>
      </c>
      <c r="BP302" t="b">
        <f t="shared" si="547"/>
        <v>0</v>
      </c>
      <c r="BQ302" t="b">
        <f t="shared" si="548"/>
        <v>0</v>
      </c>
      <c r="BR302" t="b">
        <f t="shared" si="549"/>
        <v>0</v>
      </c>
      <c r="BS302">
        <f t="shared" si="550"/>
        <v>1</v>
      </c>
      <c r="BT302" t="b">
        <f t="shared" si="551"/>
        <v>0</v>
      </c>
      <c r="BU302" t="b">
        <f t="shared" si="552"/>
        <v>0</v>
      </c>
      <c r="BV302" t="b">
        <f t="shared" si="553"/>
        <v>0</v>
      </c>
      <c r="BW302" t="b">
        <f t="shared" si="554"/>
        <v>0</v>
      </c>
      <c r="BX302" t="b">
        <f t="shared" si="555"/>
        <v>0</v>
      </c>
      <c r="BY302" t="b">
        <f t="shared" si="556"/>
        <v>0</v>
      </c>
      <c r="BZ302" t="b">
        <f t="shared" si="557"/>
        <v>0</v>
      </c>
      <c r="CA302" t="b">
        <f t="shared" si="558"/>
        <v>0</v>
      </c>
      <c r="CB302" t="b">
        <f t="shared" si="559"/>
        <v>0</v>
      </c>
      <c r="CC302" t="b">
        <f t="shared" si="560"/>
        <v>0</v>
      </c>
      <c r="CD302" t="b">
        <f t="shared" si="561"/>
        <v>0</v>
      </c>
      <c r="CE302" t="b">
        <f t="shared" si="562"/>
        <v>0</v>
      </c>
      <c r="CF302" t="b">
        <f t="shared" si="563"/>
        <v>0</v>
      </c>
      <c r="CG302" t="b">
        <f t="shared" si="564"/>
        <v>0</v>
      </c>
      <c r="CH302" t="b">
        <f t="shared" si="565"/>
        <v>0</v>
      </c>
      <c r="CI302" t="b">
        <f t="shared" si="566"/>
        <v>0</v>
      </c>
      <c r="CJ302" t="b">
        <f t="shared" si="567"/>
        <v>0</v>
      </c>
      <c r="CK302" t="b">
        <f t="shared" si="568"/>
        <v>0</v>
      </c>
      <c r="CL302" t="b">
        <f t="shared" si="569"/>
        <v>0</v>
      </c>
      <c r="CM302">
        <f t="shared" si="570"/>
        <v>1</v>
      </c>
      <c r="CN302" t="b">
        <f t="shared" si="571"/>
        <v>0</v>
      </c>
      <c r="CO302" t="b">
        <f t="shared" si="572"/>
        <v>0</v>
      </c>
      <c r="CP302" t="b">
        <f t="shared" si="573"/>
        <v>0</v>
      </c>
      <c r="CQ302" t="b">
        <f t="shared" si="574"/>
        <v>0</v>
      </c>
      <c r="CR302" t="b">
        <f t="shared" si="575"/>
        <v>0</v>
      </c>
      <c r="CS302" t="b">
        <f t="shared" si="576"/>
        <v>0</v>
      </c>
      <c r="CT302" t="b">
        <f t="shared" si="577"/>
        <v>0</v>
      </c>
      <c r="CU302" t="b">
        <f t="shared" si="578"/>
        <v>0</v>
      </c>
      <c r="CV302" t="b">
        <f t="shared" si="579"/>
        <v>0</v>
      </c>
      <c r="CW302" t="b">
        <f t="shared" si="580"/>
        <v>0</v>
      </c>
      <c r="CX302" t="b">
        <f t="shared" si="581"/>
        <v>0</v>
      </c>
      <c r="CY302" t="b">
        <f t="shared" si="582"/>
        <v>0</v>
      </c>
      <c r="CZ302" t="b">
        <f t="shared" si="583"/>
        <v>0</v>
      </c>
      <c r="DA302" t="b">
        <f t="shared" si="584"/>
        <v>0</v>
      </c>
      <c r="DB302" t="b">
        <f t="shared" si="585"/>
        <v>0</v>
      </c>
      <c r="DC302" t="b">
        <f t="shared" si="586"/>
        <v>0</v>
      </c>
      <c r="DD302" t="b">
        <f t="shared" si="587"/>
        <v>0</v>
      </c>
      <c r="DE302" t="b">
        <f t="shared" si="588"/>
        <v>0</v>
      </c>
      <c r="DF302" t="b">
        <f t="shared" si="589"/>
        <v>0</v>
      </c>
      <c r="DG302" t="b">
        <f t="shared" si="590"/>
        <v>0</v>
      </c>
      <c r="DH302" t="b">
        <f t="shared" si="591"/>
        <v>0</v>
      </c>
      <c r="DI302" t="b">
        <f t="shared" si="592"/>
        <v>0</v>
      </c>
      <c r="DJ302" t="b">
        <f t="shared" si="593"/>
        <v>0</v>
      </c>
      <c r="DK302" t="b">
        <f t="shared" si="594"/>
        <v>0</v>
      </c>
      <c r="DL302" t="b">
        <f t="shared" si="595"/>
        <v>0</v>
      </c>
      <c r="DM302" t="b">
        <f t="shared" si="596"/>
        <v>0</v>
      </c>
      <c r="DN302" t="b">
        <f t="shared" si="597"/>
        <v>0</v>
      </c>
      <c r="DO302" t="b">
        <f t="shared" si="598"/>
        <v>0</v>
      </c>
      <c r="DP302" t="b">
        <f t="shared" si="599"/>
        <v>0</v>
      </c>
      <c r="DQ302" t="b">
        <f t="shared" si="600"/>
        <v>0</v>
      </c>
      <c r="DR302" t="b">
        <f t="shared" si="601"/>
        <v>0</v>
      </c>
      <c r="DS302" t="b">
        <f t="shared" si="602"/>
        <v>0</v>
      </c>
      <c r="DT302" t="b">
        <f t="shared" si="603"/>
        <v>0</v>
      </c>
      <c r="DU302" t="b">
        <f t="shared" si="604"/>
        <v>0</v>
      </c>
      <c r="DV302" t="b">
        <f t="shared" si="605"/>
        <v>0</v>
      </c>
      <c r="DW302" t="b">
        <f t="shared" si="606"/>
        <v>0</v>
      </c>
      <c r="DX302" t="b">
        <f t="shared" si="607"/>
        <v>0</v>
      </c>
      <c r="DY302" t="b">
        <f t="shared" si="608"/>
        <v>0</v>
      </c>
      <c r="DZ302" t="b">
        <f t="shared" si="609"/>
        <v>0</v>
      </c>
      <c r="EA302" t="b">
        <f t="shared" si="610"/>
        <v>0</v>
      </c>
      <c r="EB302" t="b">
        <f t="shared" si="611"/>
        <v>0</v>
      </c>
      <c r="EC302" t="b">
        <f t="shared" si="612"/>
        <v>0</v>
      </c>
      <c r="ED302" t="b">
        <f t="shared" si="613"/>
        <v>0</v>
      </c>
      <c r="EE302" t="b">
        <f t="shared" si="614"/>
        <v>0</v>
      </c>
      <c r="EF302" t="b">
        <f t="shared" si="615"/>
        <v>0</v>
      </c>
      <c r="EG302" t="b">
        <f t="shared" si="616"/>
        <v>0</v>
      </c>
      <c r="EH302" t="b">
        <f t="shared" si="617"/>
        <v>0</v>
      </c>
      <c r="EI302" t="b">
        <f t="shared" si="618"/>
        <v>0</v>
      </c>
      <c r="EJ302" t="b">
        <f t="shared" si="619"/>
        <v>0</v>
      </c>
      <c r="EK302" t="b">
        <f t="shared" si="620"/>
        <v>0</v>
      </c>
    </row>
    <row r="303" spans="1:141">
      <c r="A303" t="s">
        <v>1598</v>
      </c>
      <c r="B303" t="s">
        <v>1599</v>
      </c>
      <c r="D303" s="1">
        <v>43354</v>
      </c>
      <c r="E303" s="2">
        <v>43356.401261574072</v>
      </c>
      <c r="F303" s="2">
        <v>43356.841874999998</v>
      </c>
      <c r="G303">
        <v>41826763</v>
      </c>
      <c r="H303" t="s">
        <v>1600</v>
      </c>
      <c r="I303" s="10" t="s">
        <v>160</v>
      </c>
      <c r="J303" t="s">
        <v>147</v>
      </c>
      <c r="K303" s="8" t="b">
        <v>0</v>
      </c>
      <c r="L303" s="10" t="b">
        <v>0</v>
      </c>
      <c r="M303" s="12" t="b">
        <v>0</v>
      </c>
      <c r="N303" t="b">
        <v>0</v>
      </c>
      <c r="O303" t="b">
        <v>0</v>
      </c>
      <c r="P303" t="b">
        <v>0</v>
      </c>
      <c r="Q303">
        <f t="shared" si="497"/>
        <v>3</v>
      </c>
      <c r="R303">
        <f t="shared" si="498"/>
        <v>9</v>
      </c>
      <c r="S303" t="e">
        <f t="shared" ca="1" si="528"/>
        <v>#NAME?</v>
      </c>
      <c r="T303" t="e">
        <f t="shared" ca="1" si="499"/>
        <v>#NAME?</v>
      </c>
      <c r="U303" s="4">
        <f t="shared" si="500"/>
        <v>2.401261574072123</v>
      </c>
      <c r="V303" s="4">
        <f t="shared" si="501"/>
        <v>8.0042052469070771E-2</v>
      </c>
      <c r="W303" s="4">
        <f t="shared" si="502"/>
        <v>0</v>
      </c>
      <c r="X303" s="4">
        <f t="shared" si="503"/>
        <v>0</v>
      </c>
      <c r="Y303" s="4">
        <f t="shared" si="504"/>
        <v>0</v>
      </c>
      <c r="Z303" s="4">
        <f t="shared" si="505"/>
        <v>0</v>
      </c>
      <c r="AA303" s="4">
        <f t="shared" si="506"/>
        <v>0</v>
      </c>
      <c r="AB303" s="4">
        <f t="shared" si="507"/>
        <v>0</v>
      </c>
      <c r="AC303" s="4"/>
      <c r="AD303" s="4" t="b">
        <f t="shared" si="508"/>
        <v>0</v>
      </c>
      <c r="AE303" s="4" t="b">
        <f t="shared" si="509"/>
        <v>0</v>
      </c>
      <c r="AF303" s="4" t="b">
        <f t="shared" si="510"/>
        <v>0</v>
      </c>
      <c r="AG303" t="b">
        <f t="shared" si="511"/>
        <v>0</v>
      </c>
      <c r="AH303" t="b">
        <f t="shared" si="512"/>
        <v>0</v>
      </c>
      <c r="AI303" t="b">
        <f t="shared" si="513"/>
        <v>0</v>
      </c>
      <c r="AJ303" t="b">
        <f t="shared" si="514"/>
        <v>0</v>
      </c>
      <c r="AK303" t="b">
        <f t="shared" si="515"/>
        <v>0</v>
      </c>
      <c r="AL303" t="b">
        <f t="shared" si="516"/>
        <v>0</v>
      </c>
      <c r="AM303" t="b">
        <f t="shared" si="517"/>
        <v>0</v>
      </c>
      <c r="AN303" t="b">
        <f t="shared" si="518"/>
        <v>0</v>
      </c>
      <c r="AO303" t="b">
        <f t="shared" si="519"/>
        <v>0</v>
      </c>
      <c r="AP303" t="b">
        <f t="shared" si="520"/>
        <v>0</v>
      </c>
      <c r="AQ303" t="b">
        <f t="shared" si="521"/>
        <v>0</v>
      </c>
      <c r="AR303" t="b">
        <f t="shared" si="522"/>
        <v>0</v>
      </c>
      <c r="AS303" t="b">
        <f t="shared" si="523"/>
        <v>0</v>
      </c>
      <c r="AT303" t="b">
        <f t="shared" si="524"/>
        <v>0</v>
      </c>
      <c r="AU303" t="b">
        <f t="shared" si="525"/>
        <v>0</v>
      </c>
      <c r="AV303" t="b">
        <f t="shared" si="526"/>
        <v>0</v>
      </c>
      <c r="AW303" t="b">
        <f t="shared" si="527"/>
        <v>0</v>
      </c>
      <c r="AX303" t="b">
        <f t="shared" si="529"/>
        <v>0</v>
      </c>
      <c r="AY303" t="b">
        <f t="shared" si="530"/>
        <v>0</v>
      </c>
      <c r="AZ303" t="b">
        <f t="shared" si="531"/>
        <v>0</v>
      </c>
      <c r="BA303" t="b">
        <f t="shared" si="532"/>
        <v>0</v>
      </c>
      <c r="BB303" t="b">
        <f t="shared" si="533"/>
        <v>0</v>
      </c>
      <c r="BC303" t="b">
        <f t="shared" si="534"/>
        <v>0</v>
      </c>
      <c r="BD303" t="b">
        <f t="shared" si="535"/>
        <v>0</v>
      </c>
      <c r="BE303" t="b">
        <f t="shared" si="536"/>
        <v>0</v>
      </c>
      <c r="BF303" t="b">
        <f t="shared" si="537"/>
        <v>0</v>
      </c>
      <c r="BG303" t="b">
        <f t="shared" si="538"/>
        <v>0</v>
      </c>
      <c r="BH303" t="b">
        <f t="shared" si="539"/>
        <v>0</v>
      </c>
      <c r="BI303">
        <f t="shared" si="540"/>
        <v>1</v>
      </c>
      <c r="BJ303" t="b">
        <f t="shared" si="541"/>
        <v>0</v>
      </c>
      <c r="BK303" t="b">
        <f t="shared" si="542"/>
        <v>0</v>
      </c>
      <c r="BL303" t="b">
        <f t="shared" si="543"/>
        <v>0</v>
      </c>
      <c r="BM303" t="b">
        <f t="shared" si="544"/>
        <v>0</v>
      </c>
      <c r="BN303" t="b">
        <f t="shared" si="545"/>
        <v>0</v>
      </c>
      <c r="BO303" t="b">
        <f t="shared" si="546"/>
        <v>0</v>
      </c>
      <c r="BP303" t="b">
        <f t="shared" si="547"/>
        <v>0</v>
      </c>
      <c r="BQ303" t="b">
        <f t="shared" si="548"/>
        <v>0</v>
      </c>
      <c r="BR303" t="b">
        <f t="shared" si="549"/>
        <v>0</v>
      </c>
      <c r="BS303" t="b">
        <f t="shared" si="550"/>
        <v>0</v>
      </c>
      <c r="BT303" t="b">
        <f t="shared" si="551"/>
        <v>0</v>
      </c>
      <c r="BU303" t="b">
        <f t="shared" si="552"/>
        <v>0</v>
      </c>
      <c r="BV303" t="b">
        <f t="shared" si="553"/>
        <v>0</v>
      </c>
      <c r="BW303" t="b">
        <f t="shared" si="554"/>
        <v>0</v>
      </c>
      <c r="BX303" t="b">
        <f t="shared" si="555"/>
        <v>0</v>
      </c>
      <c r="BY303" t="b">
        <f t="shared" si="556"/>
        <v>0</v>
      </c>
      <c r="BZ303" t="b">
        <f t="shared" si="557"/>
        <v>0</v>
      </c>
      <c r="CA303" t="b">
        <f t="shared" si="558"/>
        <v>0</v>
      </c>
      <c r="CB303" t="b">
        <f t="shared" si="559"/>
        <v>0</v>
      </c>
      <c r="CC303" t="b">
        <f t="shared" si="560"/>
        <v>0</v>
      </c>
      <c r="CD303" t="b">
        <f t="shared" si="561"/>
        <v>0</v>
      </c>
      <c r="CE303" t="b">
        <f t="shared" si="562"/>
        <v>0</v>
      </c>
      <c r="CF303" t="b">
        <f t="shared" si="563"/>
        <v>0</v>
      </c>
      <c r="CG303" t="b">
        <f t="shared" si="564"/>
        <v>0</v>
      </c>
      <c r="CH303" t="b">
        <f t="shared" si="565"/>
        <v>0</v>
      </c>
      <c r="CI303" t="b">
        <f t="shared" si="566"/>
        <v>0</v>
      </c>
      <c r="CJ303" t="b">
        <f t="shared" si="567"/>
        <v>0</v>
      </c>
      <c r="CK303" t="b">
        <f t="shared" si="568"/>
        <v>0</v>
      </c>
      <c r="CL303" t="b">
        <f t="shared" si="569"/>
        <v>0</v>
      </c>
      <c r="CM303" t="b">
        <f t="shared" si="570"/>
        <v>0</v>
      </c>
      <c r="CN303" t="b">
        <f t="shared" si="571"/>
        <v>0</v>
      </c>
      <c r="CO303" t="b">
        <f t="shared" si="572"/>
        <v>0</v>
      </c>
      <c r="CP303" t="b">
        <f t="shared" si="573"/>
        <v>0</v>
      </c>
      <c r="CQ303" t="b">
        <f t="shared" si="574"/>
        <v>0</v>
      </c>
      <c r="CR303" t="b">
        <f t="shared" si="575"/>
        <v>0</v>
      </c>
      <c r="CS303" t="b">
        <f t="shared" si="576"/>
        <v>0</v>
      </c>
      <c r="CT303" t="b">
        <f t="shared" si="577"/>
        <v>0</v>
      </c>
      <c r="CU303" t="b">
        <f t="shared" si="578"/>
        <v>0</v>
      </c>
      <c r="CV303">
        <f t="shared" si="579"/>
        <v>1</v>
      </c>
      <c r="CW303" t="b">
        <f t="shared" si="580"/>
        <v>0</v>
      </c>
      <c r="CX303" t="b">
        <f t="shared" si="581"/>
        <v>0</v>
      </c>
      <c r="CY303" t="b">
        <f t="shared" si="582"/>
        <v>0</v>
      </c>
      <c r="CZ303" t="b">
        <f t="shared" si="583"/>
        <v>0</v>
      </c>
      <c r="DA303" t="b">
        <f t="shared" si="584"/>
        <v>0</v>
      </c>
      <c r="DB303" t="b">
        <f t="shared" si="585"/>
        <v>0</v>
      </c>
      <c r="DC303" t="b">
        <f t="shared" si="586"/>
        <v>0</v>
      </c>
      <c r="DD303" t="b">
        <f t="shared" si="587"/>
        <v>0</v>
      </c>
      <c r="DE303" t="b">
        <f t="shared" si="588"/>
        <v>0</v>
      </c>
      <c r="DF303" t="b">
        <f t="shared" si="589"/>
        <v>0</v>
      </c>
      <c r="DG303" t="b">
        <f t="shared" si="590"/>
        <v>0</v>
      </c>
      <c r="DH303" t="b">
        <f t="shared" si="591"/>
        <v>0</v>
      </c>
      <c r="DI303" t="b">
        <f t="shared" si="592"/>
        <v>0</v>
      </c>
      <c r="DJ303" t="b">
        <f t="shared" si="593"/>
        <v>0</v>
      </c>
      <c r="DK303" t="b">
        <f t="shared" si="594"/>
        <v>0</v>
      </c>
      <c r="DL303" t="b">
        <f t="shared" si="595"/>
        <v>0</v>
      </c>
      <c r="DM303" t="b">
        <f t="shared" si="596"/>
        <v>0</v>
      </c>
      <c r="DN303" t="b">
        <f t="shared" si="597"/>
        <v>0</v>
      </c>
      <c r="DO303" t="b">
        <f t="shared" si="598"/>
        <v>0</v>
      </c>
      <c r="DP303" t="b">
        <f t="shared" si="599"/>
        <v>0</v>
      </c>
      <c r="DQ303" t="b">
        <f t="shared" si="600"/>
        <v>0</v>
      </c>
      <c r="DR303" t="b">
        <f t="shared" si="601"/>
        <v>0</v>
      </c>
      <c r="DS303" t="b">
        <f t="shared" si="602"/>
        <v>0</v>
      </c>
      <c r="DT303" t="b">
        <f t="shared" si="603"/>
        <v>0</v>
      </c>
      <c r="DU303" t="b">
        <f t="shared" si="604"/>
        <v>0</v>
      </c>
      <c r="DV303" t="b">
        <f t="shared" si="605"/>
        <v>0</v>
      </c>
      <c r="DW303" t="b">
        <f t="shared" si="606"/>
        <v>0</v>
      </c>
      <c r="DX303" t="b">
        <f t="shared" si="607"/>
        <v>0</v>
      </c>
      <c r="DY303" t="b">
        <f t="shared" si="608"/>
        <v>0</v>
      </c>
      <c r="DZ303" t="b">
        <f t="shared" si="609"/>
        <v>0</v>
      </c>
      <c r="EA303" t="b">
        <f t="shared" si="610"/>
        <v>0</v>
      </c>
      <c r="EB303" t="b">
        <f t="shared" si="611"/>
        <v>0</v>
      </c>
      <c r="EC303" t="b">
        <f t="shared" si="612"/>
        <v>0</v>
      </c>
      <c r="ED303" t="b">
        <f t="shared" si="613"/>
        <v>0</v>
      </c>
      <c r="EE303" t="b">
        <f t="shared" si="614"/>
        <v>0</v>
      </c>
      <c r="EF303" t="b">
        <f t="shared" si="615"/>
        <v>0</v>
      </c>
      <c r="EG303" t="b">
        <f t="shared" si="616"/>
        <v>0</v>
      </c>
      <c r="EH303" t="b">
        <f t="shared" si="617"/>
        <v>0</v>
      </c>
      <c r="EI303" t="b">
        <f t="shared" si="618"/>
        <v>0</v>
      </c>
      <c r="EJ303" t="b">
        <f t="shared" si="619"/>
        <v>0</v>
      </c>
      <c r="EK303" t="b">
        <f t="shared" si="620"/>
        <v>0</v>
      </c>
    </row>
    <row r="304" spans="1:141">
      <c r="A304" t="s">
        <v>1601</v>
      </c>
      <c r="B304" t="s">
        <v>1601</v>
      </c>
      <c r="C304" t="s">
        <v>1602</v>
      </c>
      <c r="D304" s="1">
        <v>41686</v>
      </c>
      <c r="E304" s="2">
        <v>43014.311886574076</v>
      </c>
      <c r="F304" s="2">
        <v>43014.311886574076</v>
      </c>
      <c r="G304">
        <v>5176463</v>
      </c>
      <c r="H304" t="s">
        <v>1603</v>
      </c>
      <c r="I304" s="10" t="s">
        <v>1604</v>
      </c>
      <c r="J304" t="s">
        <v>147</v>
      </c>
      <c r="K304" s="8" t="b">
        <v>1</v>
      </c>
      <c r="L304" s="10" t="b">
        <v>0</v>
      </c>
      <c r="M304" s="12" t="b">
        <v>0</v>
      </c>
      <c r="N304" t="b">
        <v>0</v>
      </c>
      <c r="O304" t="b">
        <v>0</v>
      </c>
      <c r="P304" t="b">
        <v>0</v>
      </c>
      <c r="Q304">
        <f t="shared" si="497"/>
        <v>1</v>
      </c>
      <c r="R304">
        <f t="shared" si="498"/>
        <v>2</v>
      </c>
      <c r="S304" t="e">
        <f t="shared" ca="1" si="528"/>
        <v>#NAME?</v>
      </c>
      <c r="T304" t="e">
        <f t="shared" ca="1" si="499"/>
        <v>#NAME?</v>
      </c>
      <c r="U304" s="4">
        <f t="shared" si="500"/>
        <v>1328.3118865740762</v>
      </c>
      <c r="V304" s="4">
        <f t="shared" si="501"/>
        <v>44.277062885802543</v>
      </c>
      <c r="W304" s="4">
        <f t="shared" si="502"/>
        <v>1</v>
      </c>
      <c r="X304" s="4">
        <f t="shared" si="503"/>
        <v>0</v>
      </c>
      <c r="Y304" s="4">
        <f t="shared" si="504"/>
        <v>0</v>
      </c>
      <c r="Z304" s="4">
        <f t="shared" si="505"/>
        <v>0</v>
      </c>
      <c r="AA304" s="4">
        <f t="shared" si="506"/>
        <v>0</v>
      </c>
      <c r="AB304" s="4">
        <f t="shared" si="507"/>
        <v>0</v>
      </c>
      <c r="AC304" s="4"/>
      <c r="AD304" s="4" t="b">
        <f t="shared" si="508"/>
        <v>0</v>
      </c>
      <c r="AE304" s="4" t="b">
        <f t="shared" si="509"/>
        <v>0</v>
      </c>
      <c r="AF304" s="4" t="b">
        <f t="shared" si="510"/>
        <v>0</v>
      </c>
      <c r="AG304" t="b">
        <f t="shared" si="511"/>
        <v>0</v>
      </c>
      <c r="AH304" t="b">
        <f t="shared" si="512"/>
        <v>0</v>
      </c>
      <c r="AI304" t="b">
        <f t="shared" si="513"/>
        <v>0</v>
      </c>
      <c r="AJ304" t="b">
        <f t="shared" si="514"/>
        <v>0</v>
      </c>
      <c r="AK304" t="b">
        <f t="shared" si="515"/>
        <v>0</v>
      </c>
      <c r="AL304" t="b">
        <f t="shared" si="516"/>
        <v>0</v>
      </c>
      <c r="AM304" t="b">
        <f t="shared" si="517"/>
        <v>0</v>
      </c>
      <c r="AN304" t="b">
        <f t="shared" si="518"/>
        <v>0</v>
      </c>
      <c r="AO304" t="b">
        <f t="shared" si="519"/>
        <v>0</v>
      </c>
      <c r="AP304" t="b">
        <f t="shared" si="520"/>
        <v>0</v>
      </c>
      <c r="AQ304" t="b">
        <f t="shared" si="521"/>
        <v>0</v>
      </c>
      <c r="AR304" t="b">
        <f t="shared" si="522"/>
        <v>0</v>
      </c>
      <c r="AS304" t="b">
        <f t="shared" si="523"/>
        <v>0</v>
      </c>
      <c r="AT304" t="b">
        <f t="shared" si="524"/>
        <v>0</v>
      </c>
      <c r="AU304" t="b">
        <f t="shared" si="525"/>
        <v>0</v>
      </c>
      <c r="AV304" t="b">
        <f t="shared" si="526"/>
        <v>0</v>
      </c>
      <c r="AW304" t="b">
        <f t="shared" si="527"/>
        <v>0</v>
      </c>
      <c r="AX304" t="b">
        <f t="shared" si="529"/>
        <v>0</v>
      </c>
      <c r="AY304" t="b">
        <f t="shared" si="530"/>
        <v>0</v>
      </c>
      <c r="AZ304" t="b">
        <f t="shared" si="531"/>
        <v>0</v>
      </c>
      <c r="BA304" t="b">
        <f t="shared" si="532"/>
        <v>0</v>
      </c>
      <c r="BB304" t="b">
        <f t="shared" si="533"/>
        <v>0</v>
      </c>
      <c r="BC304" t="b">
        <f t="shared" si="534"/>
        <v>0</v>
      </c>
      <c r="BD304" t="b">
        <f t="shared" si="535"/>
        <v>0</v>
      </c>
      <c r="BE304" t="b">
        <f t="shared" si="536"/>
        <v>0</v>
      </c>
      <c r="BF304" t="b">
        <f t="shared" si="537"/>
        <v>0</v>
      </c>
      <c r="BG304" t="b">
        <f t="shared" si="538"/>
        <v>0</v>
      </c>
      <c r="BH304" t="b">
        <f t="shared" si="539"/>
        <v>0</v>
      </c>
      <c r="BI304">
        <f t="shared" si="540"/>
        <v>1</v>
      </c>
      <c r="BJ304" t="b">
        <f t="shared" si="541"/>
        <v>0</v>
      </c>
      <c r="BK304" t="b">
        <f t="shared" si="542"/>
        <v>0</v>
      </c>
      <c r="BL304" t="b">
        <f t="shared" si="543"/>
        <v>0</v>
      </c>
      <c r="BM304" t="b">
        <f t="shared" si="544"/>
        <v>0</v>
      </c>
      <c r="BN304" t="b">
        <f t="shared" si="545"/>
        <v>0</v>
      </c>
      <c r="BO304" t="b">
        <f t="shared" si="546"/>
        <v>0</v>
      </c>
      <c r="BP304" t="b">
        <f t="shared" si="547"/>
        <v>0</v>
      </c>
      <c r="BQ304" t="b">
        <f t="shared" si="548"/>
        <v>0</v>
      </c>
      <c r="BR304" t="b">
        <f t="shared" si="549"/>
        <v>0</v>
      </c>
      <c r="BS304" t="b">
        <f t="shared" si="550"/>
        <v>0</v>
      </c>
      <c r="BT304" t="b">
        <f t="shared" si="551"/>
        <v>0</v>
      </c>
      <c r="BU304" t="b">
        <f t="shared" si="552"/>
        <v>0</v>
      </c>
      <c r="BV304" t="b">
        <f t="shared" si="553"/>
        <v>0</v>
      </c>
      <c r="BW304" t="b">
        <f t="shared" si="554"/>
        <v>0</v>
      </c>
      <c r="BX304" t="b">
        <f t="shared" si="555"/>
        <v>0</v>
      </c>
      <c r="BY304" t="b">
        <f t="shared" si="556"/>
        <v>0</v>
      </c>
      <c r="BZ304" t="b">
        <f t="shared" si="557"/>
        <v>0</v>
      </c>
      <c r="CA304" t="b">
        <f t="shared" si="558"/>
        <v>0</v>
      </c>
      <c r="CB304" t="b">
        <f t="shared" si="559"/>
        <v>0</v>
      </c>
      <c r="CC304" t="b">
        <f t="shared" si="560"/>
        <v>0</v>
      </c>
      <c r="CD304" t="b">
        <f t="shared" si="561"/>
        <v>0</v>
      </c>
      <c r="CE304" t="b">
        <f t="shared" si="562"/>
        <v>0</v>
      </c>
      <c r="CF304" t="b">
        <f t="shared" si="563"/>
        <v>0</v>
      </c>
      <c r="CG304" t="b">
        <f t="shared" si="564"/>
        <v>0</v>
      </c>
      <c r="CH304" t="b">
        <f t="shared" si="565"/>
        <v>0</v>
      </c>
      <c r="CI304" t="b">
        <f t="shared" si="566"/>
        <v>0</v>
      </c>
      <c r="CJ304" t="b">
        <f t="shared" si="567"/>
        <v>0</v>
      </c>
      <c r="CK304" t="b">
        <f t="shared" si="568"/>
        <v>0</v>
      </c>
      <c r="CL304" t="b">
        <f t="shared" si="569"/>
        <v>0</v>
      </c>
      <c r="CM304" t="b">
        <f t="shared" si="570"/>
        <v>0</v>
      </c>
      <c r="CN304" t="b">
        <f t="shared" si="571"/>
        <v>0</v>
      </c>
      <c r="CO304" t="b">
        <f t="shared" si="572"/>
        <v>0</v>
      </c>
      <c r="CP304" t="b">
        <f t="shared" si="573"/>
        <v>0</v>
      </c>
      <c r="CQ304" t="b">
        <f t="shared" si="574"/>
        <v>0</v>
      </c>
      <c r="CR304" t="b">
        <f t="shared" si="575"/>
        <v>0</v>
      </c>
      <c r="CS304" t="b">
        <f t="shared" si="576"/>
        <v>0</v>
      </c>
      <c r="CT304" t="b">
        <f t="shared" si="577"/>
        <v>0</v>
      </c>
      <c r="CU304" t="b">
        <f t="shared" si="578"/>
        <v>0</v>
      </c>
      <c r="CV304">
        <f t="shared" si="579"/>
        <v>1</v>
      </c>
      <c r="CW304" t="b">
        <f t="shared" si="580"/>
        <v>0</v>
      </c>
      <c r="CX304" t="b">
        <f t="shared" si="581"/>
        <v>0</v>
      </c>
      <c r="CY304" t="b">
        <f t="shared" si="582"/>
        <v>0</v>
      </c>
      <c r="CZ304" t="b">
        <f t="shared" si="583"/>
        <v>0</v>
      </c>
      <c r="DA304" t="b">
        <f t="shared" si="584"/>
        <v>0</v>
      </c>
      <c r="DB304" t="b">
        <f t="shared" si="585"/>
        <v>0</v>
      </c>
      <c r="DC304" t="b">
        <f t="shared" si="586"/>
        <v>0</v>
      </c>
      <c r="DD304" t="b">
        <f t="shared" si="587"/>
        <v>0</v>
      </c>
      <c r="DE304" t="b">
        <f t="shared" si="588"/>
        <v>0</v>
      </c>
      <c r="DF304" t="b">
        <f t="shared" si="589"/>
        <v>0</v>
      </c>
      <c r="DG304" t="b">
        <f t="shared" si="590"/>
        <v>0</v>
      </c>
      <c r="DH304" t="b">
        <f t="shared" si="591"/>
        <v>0</v>
      </c>
      <c r="DI304" t="b">
        <f t="shared" si="592"/>
        <v>0</v>
      </c>
      <c r="DJ304" t="b">
        <f t="shared" si="593"/>
        <v>0</v>
      </c>
      <c r="DK304" t="b">
        <f t="shared" si="594"/>
        <v>0</v>
      </c>
      <c r="DL304" t="b">
        <f t="shared" si="595"/>
        <v>0</v>
      </c>
      <c r="DM304" t="b">
        <f t="shared" si="596"/>
        <v>0</v>
      </c>
      <c r="DN304" t="b">
        <f t="shared" si="597"/>
        <v>0</v>
      </c>
      <c r="DO304" t="b">
        <f t="shared" si="598"/>
        <v>0</v>
      </c>
      <c r="DP304" t="b">
        <f t="shared" si="599"/>
        <v>0</v>
      </c>
      <c r="DQ304" t="b">
        <f t="shared" si="600"/>
        <v>0</v>
      </c>
      <c r="DR304" t="b">
        <f t="shared" si="601"/>
        <v>0</v>
      </c>
      <c r="DS304" t="b">
        <f t="shared" si="602"/>
        <v>0</v>
      </c>
      <c r="DT304" t="b">
        <f t="shared" si="603"/>
        <v>0</v>
      </c>
      <c r="DU304" t="b">
        <f t="shared" si="604"/>
        <v>0</v>
      </c>
      <c r="DV304" t="b">
        <f t="shared" si="605"/>
        <v>0</v>
      </c>
      <c r="DW304" t="b">
        <f t="shared" si="606"/>
        <v>0</v>
      </c>
      <c r="DX304" t="b">
        <f t="shared" si="607"/>
        <v>0</v>
      </c>
      <c r="DY304" t="b">
        <f t="shared" si="608"/>
        <v>0</v>
      </c>
      <c r="DZ304" t="b">
        <f t="shared" si="609"/>
        <v>0</v>
      </c>
      <c r="EA304" t="b">
        <f t="shared" si="610"/>
        <v>0</v>
      </c>
      <c r="EB304" t="b">
        <f t="shared" si="611"/>
        <v>0</v>
      </c>
      <c r="EC304" t="b">
        <f t="shared" si="612"/>
        <v>0</v>
      </c>
      <c r="ED304" t="b">
        <f t="shared" si="613"/>
        <v>0</v>
      </c>
      <c r="EE304" t="b">
        <f t="shared" si="614"/>
        <v>0</v>
      </c>
      <c r="EF304" t="b">
        <f t="shared" si="615"/>
        <v>0</v>
      </c>
      <c r="EG304" t="b">
        <f t="shared" si="616"/>
        <v>0</v>
      </c>
      <c r="EH304" t="b">
        <f t="shared" si="617"/>
        <v>0</v>
      </c>
      <c r="EI304" t="b">
        <f t="shared" si="618"/>
        <v>0</v>
      </c>
      <c r="EJ304" t="b">
        <f t="shared" si="619"/>
        <v>0</v>
      </c>
      <c r="EK304" t="b">
        <f t="shared" si="620"/>
        <v>0</v>
      </c>
    </row>
    <row r="305" spans="1:141">
      <c r="A305" t="s">
        <v>1605</v>
      </c>
      <c r="B305" t="s">
        <v>1605</v>
      </c>
      <c r="C305" t="s">
        <v>1606</v>
      </c>
      <c r="D305" s="1">
        <v>42125</v>
      </c>
      <c r="E305" s="2">
        <v>42731.295636574076</v>
      </c>
      <c r="F305" s="2">
        <v>42731.295636574076</v>
      </c>
      <c r="G305">
        <v>504565</v>
      </c>
      <c r="H305" t="s">
        <v>1607</v>
      </c>
      <c r="I305" s="10" t="s">
        <v>1608</v>
      </c>
      <c r="J305" t="s">
        <v>188</v>
      </c>
      <c r="K305" s="8" t="b">
        <v>1</v>
      </c>
      <c r="L305" s="10" t="b">
        <v>0</v>
      </c>
      <c r="M305" s="12" t="b">
        <v>0</v>
      </c>
      <c r="N305" t="b">
        <v>0</v>
      </c>
      <c r="O305" t="b">
        <v>0</v>
      </c>
      <c r="P305" t="b">
        <v>0</v>
      </c>
      <c r="Q305">
        <f t="shared" si="497"/>
        <v>6</v>
      </c>
      <c r="R305">
        <f t="shared" si="498"/>
        <v>5</v>
      </c>
      <c r="S305" t="e">
        <f t="shared" ca="1" si="528"/>
        <v>#NAME?</v>
      </c>
      <c r="T305" t="e">
        <f t="shared" ca="1" si="499"/>
        <v>#NAME?</v>
      </c>
      <c r="U305" s="4">
        <f t="shared" si="500"/>
        <v>606.29563657407562</v>
      </c>
      <c r="V305" s="4">
        <f t="shared" si="501"/>
        <v>20.209854552469189</v>
      </c>
      <c r="W305" s="4">
        <f t="shared" si="502"/>
        <v>1</v>
      </c>
      <c r="X305" s="4">
        <f t="shared" si="503"/>
        <v>0</v>
      </c>
      <c r="Y305" s="4">
        <f t="shared" si="504"/>
        <v>0</v>
      </c>
      <c r="Z305" s="4">
        <f t="shared" si="505"/>
        <v>0</v>
      </c>
      <c r="AA305" s="4">
        <f t="shared" si="506"/>
        <v>0</v>
      </c>
      <c r="AB305" s="4">
        <f t="shared" si="507"/>
        <v>0</v>
      </c>
      <c r="AC305" s="4"/>
      <c r="AD305" s="4" t="b">
        <f t="shared" si="508"/>
        <v>0</v>
      </c>
      <c r="AE305" s="4" t="b">
        <f t="shared" si="509"/>
        <v>0</v>
      </c>
      <c r="AF305" s="4" t="b">
        <f t="shared" si="510"/>
        <v>0</v>
      </c>
      <c r="AG305" t="b">
        <f t="shared" si="511"/>
        <v>0</v>
      </c>
      <c r="AH305" t="b">
        <f t="shared" si="512"/>
        <v>0</v>
      </c>
      <c r="AI305" t="b">
        <f t="shared" si="513"/>
        <v>0</v>
      </c>
      <c r="AJ305" t="b">
        <f t="shared" si="514"/>
        <v>0</v>
      </c>
      <c r="AK305" t="b">
        <f t="shared" si="515"/>
        <v>0</v>
      </c>
      <c r="AL305" t="b">
        <f t="shared" si="516"/>
        <v>0</v>
      </c>
      <c r="AM305" t="b">
        <f t="shared" si="517"/>
        <v>0</v>
      </c>
      <c r="AN305" t="b">
        <f t="shared" si="518"/>
        <v>0</v>
      </c>
      <c r="AO305" t="b">
        <f t="shared" si="519"/>
        <v>0</v>
      </c>
      <c r="AP305" t="b">
        <f t="shared" si="520"/>
        <v>0</v>
      </c>
      <c r="AQ305" t="b">
        <f t="shared" si="521"/>
        <v>0</v>
      </c>
      <c r="AR305" t="b">
        <f t="shared" si="522"/>
        <v>0</v>
      </c>
      <c r="AS305" t="b">
        <f t="shared" si="523"/>
        <v>0</v>
      </c>
      <c r="AT305" t="b">
        <f t="shared" si="524"/>
        <v>0</v>
      </c>
      <c r="AU305" t="b">
        <f t="shared" si="525"/>
        <v>0</v>
      </c>
      <c r="AV305" t="b">
        <f t="shared" si="526"/>
        <v>0</v>
      </c>
      <c r="AW305" t="b">
        <f t="shared" si="527"/>
        <v>0</v>
      </c>
      <c r="AX305" t="b">
        <f t="shared" si="529"/>
        <v>0</v>
      </c>
      <c r="AY305" t="b">
        <f t="shared" si="530"/>
        <v>0</v>
      </c>
      <c r="AZ305" t="b">
        <f t="shared" si="531"/>
        <v>0</v>
      </c>
      <c r="BA305" t="b">
        <f t="shared" si="532"/>
        <v>0</v>
      </c>
      <c r="BB305" t="b">
        <f t="shared" si="533"/>
        <v>0</v>
      </c>
      <c r="BC305" t="b">
        <f t="shared" si="534"/>
        <v>0</v>
      </c>
      <c r="BD305" t="b">
        <f t="shared" si="535"/>
        <v>0</v>
      </c>
      <c r="BE305" t="b">
        <f t="shared" si="536"/>
        <v>0</v>
      </c>
      <c r="BF305" t="b">
        <f t="shared" si="537"/>
        <v>0</v>
      </c>
      <c r="BG305" t="b">
        <f t="shared" si="538"/>
        <v>0</v>
      </c>
      <c r="BH305" t="b">
        <f t="shared" si="539"/>
        <v>0</v>
      </c>
      <c r="BI305">
        <f t="shared" si="540"/>
        <v>1</v>
      </c>
      <c r="BJ305" t="b">
        <f t="shared" si="541"/>
        <v>0</v>
      </c>
      <c r="BK305" t="b">
        <f t="shared" si="542"/>
        <v>0</v>
      </c>
      <c r="BL305" t="b">
        <f t="shared" si="543"/>
        <v>0</v>
      </c>
      <c r="BM305" t="b">
        <f t="shared" si="544"/>
        <v>0</v>
      </c>
      <c r="BN305" t="b">
        <f t="shared" si="545"/>
        <v>0</v>
      </c>
      <c r="BO305" t="b">
        <f t="shared" si="546"/>
        <v>0</v>
      </c>
      <c r="BP305" t="b">
        <f t="shared" si="547"/>
        <v>0</v>
      </c>
      <c r="BQ305" t="b">
        <f t="shared" si="548"/>
        <v>0</v>
      </c>
      <c r="BR305" t="b">
        <f t="shared" si="549"/>
        <v>0</v>
      </c>
      <c r="BS305" t="b">
        <f t="shared" si="550"/>
        <v>0</v>
      </c>
      <c r="BT305" t="b">
        <f t="shared" si="551"/>
        <v>0</v>
      </c>
      <c r="BU305" t="b">
        <f t="shared" si="552"/>
        <v>0</v>
      </c>
      <c r="BV305" t="b">
        <f t="shared" si="553"/>
        <v>0</v>
      </c>
      <c r="BW305" t="b">
        <f t="shared" si="554"/>
        <v>0</v>
      </c>
      <c r="BX305" t="b">
        <f t="shared" si="555"/>
        <v>0</v>
      </c>
      <c r="BY305" t="b">
        <f t="shared" si="556"/>
        <v>0</v>
      </c>
      <c r="BZ305" t="b">
        <f t="shared" si="557"/>
        <v>0</v>
      </c>
      <c r="CA305" t="b">
        <f t="shared" si="558"/>
        <v>0</v>
      </c>
      <c r="CB305" t="b">
        <f t="shared" si="559"/>
        <v>0</v>
      </c>
      <c r="CC305" t="b">
        <f t="shared" si="560"/>
        <v>0</v>
      </c>
      <c r="CD305" t="b">
        <f t="shared" si="561"/>
        <v>0</v>
      </c>
      <c r="CE305">
        <f t="shared" si="562"/>
        <v>1</v>
      </c>
      <c r="CF305" t="b">
        <f t="shared" si="563"/>
        <v>0</v>
      </c>
      <c r="CG305" t="b">
        <f t="shared" si="564"/>
        <v>0</v>
      </c>
      <c r="CH305" t="b">
        <f t="shared" si="565"/>
        <v>0</v>
      </c>
      <c r="CI305" t="b">
        <f t="shared" si="566"/>
        <v>0</v>
      </c>
      <c r="CJ305" t="b">
        <f t="shared" si="567"/>
        <v>0</v>
      </c>
      <c r="CK305" t="b">
        <f t="shared" si="568"/>
        <v>0</v>
      </c>
      <c r="CL305" t="b">
        <f t="shared" si="569"/>
        <v>0</v>
      </c>
      <c r="CM305" t="b">
        <f t="shared" si="570"/>
        <v>0</v>
      </c>
      <c r="CN305" t="b">
        <f t="shared" si="571"/>
        <v>0</v>
      </c>
      <c r="CO305" t="b">
        <f t="shared" si="572"/>
        <v>0</v>
      </c>
      <c r="CP305" t="b">
        <f t="shared" si="573"/>
        <v>0</v>
      </c>
      <c r="CQ305" t="b">
        <f t="shared" si="574"/>
        <v>0</v>
      </c>
      <c r="CR305" t="b">
        <f t="shared" si="575"/>
        <v>0</v>
      </c>
      <c r="CS305" t="b">
        <f t="shared" si="576"/>
        <v>0</v>
      </c>
      <c r="CT305" t="b">
        <f t="shared" si="577"/>
        <v>0</v>
      </c>
      <c r="CU305" t="b">
        <f t="shared" si="578"/>
        <v>0</v>
      </c>
      <c r="CV305">
        <f t="shared" si="579"/>
        <v>1</v>
      </c>
      <c r="CW305" t="b">
        <f t="shared" si="580"/>
        <v>0</v>
      </c>
      <c r="CX305" t="b">
        <f t="shared" si="581"/>
        <v>0</v>
      </c>
      <c r="CY305" t="b">
        <f t="shared" si="582"/>
        <v>0</v>
      </c>
      <c r="CZ305" t="b">
        <f t="shared" si="583"/>
        <v>0</v>
      </c>
      <c r="DA305" t="b">
        <f t="shared" si="584"/>
        <v>0</v>
      </c>
      <c r="DB305" t="b">
        <f t="shared" si="585"/>
        <v>0</v>
      </c>
      <c r="DC305" t="b">
        <f t="shared" si="586"/>
        <v>0</v>
      </c>
      <c r="DD305" t="b">
        <f t="shared" si="587"/>
        <v>0</v>
      </c>
      <c r="DE305" t="b">
        <f t="shared" si="588"/>
        <v>0</v>
      </c>
      <c r="DF305" t="b">
        <f t="shared" si="589"/>
        <v>0</v>
      </c>
      <c r="DG305" t="b">
        <f t="shared" si="590"/>
        <v>0</v>
      </c>
      <c r="DH305" t="b">
        <f t="shared" si="591"/>
        <v>0</v>
      </c>
      <c r="DI305" t="b">
        <f t="shared" si="592"/>
        <v>0</v>
      </c>
      <c r="DJ305" t="b">
        <f t="shared" si="593"/>
        <v>0</v>
      </c>
      <c r="DK305" t="b">
        <f t="shared" si="594"/>
        <v>0</v>
      </c>
      <c r="DL305" t="b">
        <f t="shared" si="595"/>
        <v>0</v>
      </c>
      <c r="DM305" t="b">
        <f t="shared" si="596"/>
        <v>0</v>
      </c>
      <c r="DN305" t="b">
        <f t="shared" si="597"/>
        <v>0</v>
      </c>
      <c r="DO305" t="b">
        <f t="shared" si="598"/>
        <v>0</v>
      </c>
      <c r="DP305" t="b">
        <f t="shared" si="599"/>
        <v>0</v>
      </c>
      <c r="DQ305" t="b">
        <f t="shared" si="600"/>
        <v>0</v>
      </c>
      <c r="DR305" t="b">
        <f t="shared" si="601"/>
        <v>0</v>
      </c>
      <c r="DS305" t="b">
        <f t="shared" si="602"/>
        <v>0</v>
      </c>
      <c r="DT305" t="b">
        <f t="shared" si="603"/>
        <v>0</v>
      </c>
      <c r="DU305" t="b">
        <f t="shared" si="604"/>
        <v>0</v>
      </c>
      <c r="DV305" t="b">
        <f t="shared" si="605"/>
        <v>0</v>
      </c>
      <c r="DW305" t="b">
        <f t="shared" si="606"/>
        <v>0</v>
      </c>
      <c r="DX305" t="b">
        <f t="shared" si="607"/>
        <v>0</v>
      </c>
      <c r="DY305" t="b">
        <f t="shared" si="608"/>
        <v>0</v>
      </c>
      <c r="DZ305" t="b">
        <f t="shared" si="609"/>
        <v>0</v>
      </c>
      <c r="EA305" t="b">
        <f t="shared" si="610"/>
        <v>0</v>
      </c>
      <c r="EB305" t="b">
        <f t="shared" si="611"/>
        <v>0</v>
      </c>
      <c r="EC305" t="b">
        <f t="shared" si="612"/>
        <v>0</v>
      </c>
      <c r="ED305" t="b">
        <f t="shared" si="613"/>
        <v>0</v>
      </c>
      <c r="EE305" t="b">
        <f t="shared" si="614"/>
        <v>0</v>
      </c>
      <c r="EF305">
        <f t="shared" si="615"/>
        <v>1</v>
      </c>
      <c r="EG305" t="b">
        <f t="shared" si="616"/>
        <v>0</v>
      </c>
      <c r="EH305" t="b">
        <f t="shared" si="617"/>
        <v>0</v>
      </c>
      <c r="EI305" t="b">
        <f t="shared" si="618"/>
        <v>0</v>
      </c>
      <c r="EJ305" t="b">
        <f t="shared" si="619"/>
        <v>0</v>
      </c>
      <c r="EK305" t="b">
        <f t="shared" si="620"/>
        <v>0</v>
      </c>
    </row>
    <row r="306" spans="1:141">
      <c r="A306" t="s">
        <v>1609</v>
      </c>
      <c r="B306" t="s">
        <v>1609</v>
      </c>
      <c r="C306" t="s">
        <v>1610</v>
      </c>
      <c r="D306" s="1">
        <v>43718</v>
      </c>
      <c r="E306" s="2">
        <v>43725.408622685187</v>
      </c>
      <c r="F306" s="2">
        <v>43725.412766203706</v>
      </c>
      <c r="G306">
        <v>4606</v>
      </c>
      <c r="H306" t="s">
        <v>1611</v>
      </c>
      <c r="I306" s="10" t="s">
        <v>1612</v>
      </c>
      <c r="J306" t="s">
        <v>1613</v>
      </c>
      <c r="K306" s="8" t="b">
        <v>1</v>
      </c>
      <c r="L306" s="10" t="b">
        <v>0</v>
      </c>
      <c r="M306" s="12" t="b">
        <v>0</v>
      </c>
      <c r="N306" t="b">
        <v>0</v>
      </c>
      <c r="O306" t="b">
        <v>0</v>
      </c>
      <c r="P306" t="b">
        <v>0</v>
      </c>
      <c r="Q306">
        <f t="shared" si="497"/>
        <v>3</v>
      </c>
      <c r="R306">
        <f t="shared" si="498"/>
        <v>9</v>
      </c>
      <c r="S306" t="e">
        <f t="shared" ca="1" si="528"/>
        <v>#NAME?</v>
      </c>
      <c r="T306" t="e">
        <f t="shared" ca="1" si="499"/>
        <v>#NAME?</v>
      </c>
      <c r="U306" s="4">
        <f t="shared" si="500"/>
        <v>7.408622685186856</v>
      </c>
      <c r="V306" s="4">
        <f t="shared" si="501"/>
        <v>0.24695408950622852</v>
      </c>
      <c r="W306" s="4">
        <f t="shared" si="502"/>
        <v>1</v>
      </c>
      <c r="X306" s="4">
        <f t="shared" si="503"/>
        <v>0</v>
      </c>
      <c r="Y306" s="4">
        <f t="shared" si="504"/>
        <v>0</v>
      </c>
      <c r="Z306" s="4">
        <f t="shared" si="505"/>
        <v>0</v>
      </c>
      <c r="AA306" s="4">
        <f t="shared" si="506"/>
        <v>0</v>
      </c>
      <c r="AB306" s="4">
        <f t="shared" si="507"/>
        <v>0</v>
      </c>
      <c r="AC306" s="4"/>
      <c r="AD306" s="4" t="b">
        <f t="shared" si="508"/>
        <v>0</v>
      </c>
      <c r="AE306" s="4" t="b">
        <f t="shared" si="509"/>
        <v>0</v>
      </c>
      <c r="AF306" s="4" t="b">
        <f t="shared" si="510"/>
        <v>0</v>
      </c>
      <c r="AG306" t="b">
        <f t="shared" si="511"/>
        <v>0</v>
      </c>
      <c r="AH306" t="b">
        <f t="shared" si="512"/>
        <v>0</v>
      </c>
      <c r="AI306" t="b">
        <f t="shared" si="513"/>
        <v>0</v>
      </c>
      <c r="AJ306">
        <f t="shared" si="514"/>
        <v>1</v>
      </c>
      <c r="AK306" t="b">
        <f t="shared" si="515"/>
        <v>0</v>
      </c>
      <c r="AL306" t="b">
        <f t="shared" si="516"/>
        <v>0</v>
      </c>
      <c r="AM306" t="b">
        <f t="shared" si="517"/>
        <v>0</v>
      </c>
      <c r="AN306" t="b">
        <f t="shared" si="518"/>
        <v>0</v>
      </c>
      <c r="AO306" t="b">
        <f t="shared" si="519"/>
        <v>0</v>
      </c>
      <c r="AP306" t="b">
        <f t="shared" si="520"/>
        <v>0</v>
      </c>
      <c r="AQ306" t="b">
        <f t="shared" si="521"/>
        <v>0</v>
      </c>
      <c r="AR306" t="b">
        <f t="shared" si="522"/>
        <v>0</v>
      </c>
      <c r="AS306" t="b">
        <f t="shared" si="523"/>
        <v>0</v>
      </c>
      <c r="AT306" t="b">
        <f t="shared" si="524"/>
        <v>0</v>
      </c>
      <c r="AU306" t="b">
        <f t="shared" si="525"/>
        <v>0</v>
      </c>
      <c r="AV306" t="b">
        <f t="shared" si="526"/>
        <v>0</v>
      </c>
      <c r="AW306" t="b">
        <f t="shared" si="527"/>
        <v>0</v>
      </c>
      <c r="AX306" t="b">
        <f t="shared" si="529"/>
        <v>0</v>
      </c>
      <c r="AY306" t="b">
        <f t="shared" si="530"/>
        <v>0</v>
      </c>
      <c r="AZ306">
        <f t="shared" si="531"/>
        <v>1</v>
      </c>
      <c r="BA306" t="b">
        <f t="shared" si="532"/>
        <v>0</v>
      </c>
      <c r="BB306" t="b">
        <f t="shared" si="533"/>
        <v>0</v>
      </c>
      <c r="BC306" t="b">
        <f t="shared" si="534"/>
        <v>0</v>
      </c>
      <c r="BD306" t="b">
        <f t="shared" si="535"/>
        <v>0</v>
      </c>
      <c r="BE306" t="b">
        <f t="shared" si="536"/>
        <v>0</v>
      </c>
      <c r="BF306" t="b">
        <f t="shared" si="537"/>
        <v>0</v>
      </c>
      <c r="BG306" t="b">
        <f t="shared" si="538"/>
        <v>0</v>
      </c>
      <c r="BH306" t="b">
        <f t="shared" si="539"/>
        <v>0</v>
      </c>
      <c r="BI306">
        <f t="shared" si="540"/>
        <v>1</v>
      </c>
      <c r="BJ306" t="b">
        <f t="shared" si="541"/>
        <v>0</v>
      </c>
      <c r="BK306" t="b">
        <f t="shared" si="542"/>
        <v>0</v>
      </c>
      <c r="BL306" t="b">
        <f t="shared" si="543"/>
        <v>0</v>
      </c>
      <c r="BM306" t="b">
        <f t="shared" si="544"/>
        <v>0</v>
      </c>
      <c r="BN306" t="b">
        <f t="shared" si="545"/>
        <v>0</v>
      </c>
      <c r="BO306" t="b">
        <f t="shared" si="546"/>
        <v>0</v>
      </c>
      <c r="BP306" t="b">
        <f t="shared" si="547"/>
        <v>0</v>
      </c>
      <c r="BQ306" t="b">
        <f t="shared" si="548"/>
        <v>0</v>
      </c>
      <c r="BR306" t="b">
        <f t="shared" si="549"/>
        <v>0</v>
      </c>
      <c r="BS306" t="b">
        <f t="shared" si="550"/>
        <v>0</v>
      </c>
      <c r="BT306" t="b">
        <f t="shared" si="551"/>
        <v>0</v>
      </c>
      <c r="BU306" t="b">
        <f t="shared" si="552"/>
        <v>0</v>
      </c>
      <c r="BV306" t="b">
        <f t="shared" si="553"/>
        <v>0</v>
      </c>
      <c r="BW306" t="b">
        <f t="shared" si="554"/>
        <v>0</v>
      </c>
      <c r="BX306" t="b">
        <f t="shared" si="555"/>
        <v>0</v>
      </c>
      <c r="BY306" t="b">
        <f t="shared" si="556"/>
        <v>0</v>
      </c>
      <c r="BZ306" t="b">
        <f t="shared" si="557"/>
        <v>0</v>
      </c>
      <c r="CA306" t="b">
        <f t="shared" si="558"/>
        <v>0</v>
      </c>
      <c r="CB306" t="b">
        <f t="shared" si="559"/>
        <v>0</v>
      </c>
      <c r="CC306" t="b">
        <f t="shared" si="560"/>
        <v>0</v>
      </c>
      <c r="CD306" t="b">
        <f t="shared" si="561"/>
        <v>0</v>
      </c>
      <c r="CE306">
        <f t="shared" si="562"/>
        <v>1</v>
      </c>
      <c r="CF306" t="b">
        <f t="shared" si="563"/>
        <v>0</v>
      </c>
      <c r="CG306" t="b">
        <f t="shared" si="564"/>
        <v>0</v>
      </c>
      <c r="CH306" t="b">
        <f t="shared" si="565"/>
        <v>0</v>
      </c>
      <c r="CI306" t="b">
        <f t="shared" si="566"/>
        <v>0</v>
      </c>
      <c r="CJ306" t="b">
        <f t="shared" si="567"/>
        <v>0</v>
      </c>
      <c r="CK306" t="b">
        <f t="shared" si="568"/>
        <v>0</v>
      </c>
      <c r="CL306" t="b">
        <f t="shared" si="569"/>
        <v>0</v>
      </c>
      <c r="CM306" t="b">
        <f t="shared" si="570"/>
        <v>0</v>
      </c>
      <c r="CN306" t="b">
        <f t="shared" si="571"/>
        <v>0</v>
      </c>
      <c r="CO306" t="b">
        <f t="shared" si="572"/>
        <v>0</v>
      </c>
      <c r="CP306" t="b">
        <f t="shared" si="573"/>
        <v>0</v>
      </c>
      <c r="CQ306" t="b">
        <f t="shared" si="574"/>
        <v>0</v>
      </c>
      <c r="CR306" t="b">
        <f t="shared" si="575"/>
        <v>0</v>
      </c>
      <c r="CS306" t="b">
        <f t="shared" si="576"/>
        <v>0</v>
      </c>
      <c r="CT306" t="b">
        <f t="shared" si="577"/>
        <v>0</v>
      </c>
      <c r="CU306" t="b">
        <f t="shared" si="578"/>
        <v>0</v>
      </c>
      <c r="CV306" t="b">
        <f t="shared" si="579"/>
        <v>0</v>
      </c>
      <c r="CW306" t="b">
        <f t="shared" si="580"/>
        <v>0</v>
      </c>
      <c r="CX306" t="b">
        <f t="shared" si="581"/>
        <v>0</v>
      </c>
      <c r="CY306" t="b">
        <f t="shared" si="582"/>
        <v>0</v>
      </c>
      <c r="CZ306" t="b">
        <f t="shared" si="583"/>
        <v>0</v>
      </c>
      <c r="DA306" t="b">
        <f t="shared" si="584"/>
        <v>0</v>
      </c>
      <c r="DB306" t="b">
        <f t="shared" si="585"/>
        <v>0</v>
      </c>
      <c r="DC306" t="b">
        <f t="shared" si="586"/>
        <v>0</v>
      </c>
      <c r="DD306" t="b">
        <f t="shared" si="587"/>
        <v>0</v>
      </c>
      <c r="DE306" t="b">
        <f t="shared" si="588"/>
        <v>0</v>
      </c>
      <c r="DF306" t="b">
        <f t="shared" si="589"/>
        <v>0</v>
      </c>
      <c r="DG306" t="b">
        <f t="shared" si="590"/>
        <v>0</v>
      </c>
      <c r="DH306" t="b">
        <f t="shared" si="591"/>
        <v>0</v>
      </c>
      <c r="DI306" t="b">
        <f t="shared" si="592"/>
        <v>0</v>
      </c>
      <c r="DJ306" t="b">
        <f t="shared" si="593"/>
        <v>0</v>
      </c>
      <c r="DK306" t="b">
        <f t="shared" si="594"/>
        <v>0</v>
      </c>
      <c r="DL306" t="b">
        <f t="shared" si="595"/>
        <v>0</v>
      </c>
      <c r="DM306" t="b">
        <f t="shared" si="596"/>
        <v>0</v>
      </c>
      <c r="DN306" t="b">
        <f t="shared" si="597"/>
        <v>0</v>
      </c>
      <c r="DO306" t="b">
        <f t="shared" si="598"/>
        <v>0</v>
      </c>
      <c r="DP306" t="b">
        <f t="shared" si="599"/>
        <v>0</v>
      </c>
      <c r="DQ306" t="b">
        <f t="shared" si="600"/>
        <v>0</v>
      </c>
      <c r="DR306" t="b">
        <f t="shared" si="601"/>
        <v>0</v>
      </c>
      <c r="DS306" t="b">
        <f t="shared" si="602"/>
        <v>0</v>
      </c>
      <c r="DT306" t="b">
        <f t="shared" si="603"/>
        <v>0</v>
      </c>
      <c r="DU306" t="b">
        <f t="shared" si="604"/>
        <v>0</v>
      </c>
      <c r="DV306" t="b">
        <f t="shared" si="605"/>
        <v>0</v>
      </c>
      <c r="DW306" t="b">
        <f t="shared" si="606"/>
        <v>0</v>
      </c>
      <c r="DX306" t="b">
        <f t="shared" si="607"/>
        <v>0</v>
      </c>
      <c r="DY306" t="b">
        <f t="shared" si="608"/>
        <v>0</v>
      </c>
      <c r="DZ306" t="b">
        <f t="shared" si="609"/>
        <v>0</v>
      </c>
      <c r="EA306" t="b">
        <f t="shared" si="610"/>
        <v>0</v>
      </c>
      <c r="EB306" t="b">
        <f t="shared" si="611"/>
        <v>0</v>
      </c>
      <c r="EC306" t="b">
        <f t="shared" si="612"/>
        <v>0</v>
      </c>
      <c r="ED306" t="b">
        <f t="shared" si="613"/>
        <v>0</v>
      </c>
      <c r="EE306" t="b">
        <f t="shared" si="614"/>
        <v>0</v>
      </c>
      <c r="EF306" t="b">
        <f t="shared" si="615"/>
        <v>0</v>
      </c>
      <c r="EG306" t="b">
        <f t="shared" si="616"/>
        <v>0</v>
      </c>
      <c r="EH306" t="b">
        <f t="shared" si="617"/>
        <v>0</v>
      </c>
      <c r="EI306">
        <f t="shared" si="618"/>
        <v>1</v>
      </c>
      <c r="EJ306" t="b">
        <f t="shared" si="619"/>
        <v>0</v>
      </c>
      <c r="EK306" t="b">
        <f t="shared" si="620"/>
        <v>0</v>
      </c>
    </row>
    <row r="307" spans="1:141">
      <c r="A307" t="s">
        <v>1614</v>
      </c>
      <c r="B307" t="s">
        <v>1615</v>
      </c>
      <c r="C307" t="s">
        <v>1616</v>
      </c>
      <c r="D307" s="1">
        <v>42429</v>
      </c>
      <c r="E307" s="2">
        <v>42432.258379629631</v>
      </c>
      <c r="F307" s="2">
        <v>42432.258379629631</v>
      </c>
      <c r="G307">
        <v>1476783</v>
      </c>
      <c r="H307" t="s">
        <v>1617</v>
      </c>
      <c r="I307" s="10" t="s">
        <v>1618</v>
      </c>
      <c r="J307" t="s">
        <v>1619</v>
      </c>
      <c r="K307" s="8" t="b">
        <v>1</v>
      </c>
      <c r="L307" s="10" t="b">
        <v>0</v>
      </c>
      <c r="M307" s="12" t="b">
        <v>0</v>
      </c>
      <c r="N307" t="b">
        <v>0</v>
      </c>
      <c r="O307" t="b">
        <v>0</v>
      </c>
      <c r="P307" t="b">
        <v>0</v>
      </c>
      <c r="Q307">
        <f t="shared" si="497"/>
        <v>2</v>
      </c>
      <c r="R307">
        <f t="shared" si="498"/>
        <v>2</v>
      </c>
      <c r="S307" t="e">
        <f t="shared" ca="1" si="528"/>
        <v>#NAME?</v>
      </c>
      <c r="T307" t="e">
        <f t="shared" ca="1" si="499"/>
        <v>#NAME?</v>
      </c>
      <c r="U307" s="4">
        <f t="shared" si="500"/>
        <v>3.2583796296312357</v>
      </c>
      <c r="V307" s="4">
        <f t="shared" si="501"/>
        <v>0.1086126543210412</v>
      </c>
      <c r="W307" s="4">
        <f t="shared" si="502"/>
        <v>1</v>
      </c>
      <c r="X307" s="4">
        <f t="shared" si="503"/>
        <v>0</v>
      </c>
      <c r="Y307" s="4">
        <f t="shared" si="504"/>
        <v>0</v>
      </c>
      <c r="Z307" s="4">
        <f t="shared" si="505"/>
        <v>0</v>
      </c>
      <c r="AA307" s="4">
        <f t="shared" si="506"/>
        <v>0</v>
      </c>
      <c r="AB307" s="4">
        <f t="shared" si="507"/>
        <v>0</v>
      </c>
      <c r="AC307" s="4"/>
      <c r="AD307" s="4" t="b">
        <f t="shared" si="508"/>
        <v>0</v>
      </c>
      <c r="AE307" s="4" t="b">
        <f t="shared" si="509"/>
        <v>0</v>
      </c>
      <c r="AF307" s="4" t="b">
        <f t="shared" si="510"/>
        <v>0</v>
      </c>
      <c r="AG307" t="b">
        <f t="shared" si="511"/>
        <v>0</v>
      </c>
      <c r="AH307" t="b">
        <f t="shared" si="512"/>
        <v>0</v>
      </c>
      <c r="AI307" t="b">
        <f t="shared" si="513"/>
        <v>0</v>
      </c>
      <c r="AJ307" t="b">
        <f t="shared" si="514"/>
        <v>0</v>
      </c>
      <c r="AK307" t="b">
        <f t="shared" si="515"/>
        <v>0</v>
      </c>
      <c r="AL307" t="b">
        <f t="shared" si="516"/>
        <v>0</v>
      </c>
      <c r="AM307" t="b">
        <f t="shared" si="517"/>
        <v>0</v>
      </c>
      <c r="AN307" t="b">
        <f t="shared" si="518"/>
        <v>0</v>
      </c>
      <c r="AO307" t="b">
        <f t="shared" si="519"/>
        <v>0</v>
      </c>
      <c r="AP307" t="b">
        <f t="shared" si="520"/>
        <v>0</v>
      </c>
      <c r="AQ307" t="b">
        <f t="shared" si="521"/>
        <v>0</v>
      </c>
      <c r="AR307" t="b">
        <f t="shared" si="522"/>
        <v>0</v>
      </c>
      <c r="AS307" t="b">
        <f t="shared" si="523"/>
        <v>0</v>
      </c>
      <c r="AT307" t="b">
        <f t="shared" si="524"/>
        <v>0</v>
      </c>
      <c r="AU307" t="b">
        <f t="shared" si="525"/>
        <v>0</v>
      </c>
      <c r="AV307" t="b">
        <f t="shared" si="526"/>
        <v>0</v>
      </c>
      <c r="AW307" t="b">
        <f t="shared" si="527"/>
        <v>0</v>
      </c>
      <c r="AX307" t="b">
        <f t="shared" si="529"/>
        <v>0</v>
      </c>
      <c r="AY307" t="b">
        <f t="shared" si="530"/>
        <v>0</v>
      </c>
      <c r="AZ307">
        <f t="shared" si="531"/>
        <v>1</v>
      </c>
      <c r="BA307" t="b">
        <f t="shared" si="532"/>
        <v>0</v>
      </c>
      <c r="BB307" t="b">
        <f t="shared" si="533"/>
        <v>0</v>
      </c>
      <c r="BC307" t="b">
        <f t="shared" si="534"/>
        <v>0</v>
      </c>
      <c r="BD307" t="b">
        <f t="shared" si="535"/>
        <v>0</v>
      </c>
      <c r="BE307" t="b">
        <f t="shared" si="536"/>
        <v>0</v>
      </c>
      <c r="BF307" t="b">
        <f t="shared" si="537"/>
        <v>0</v>
      </c>
      <c r="BG307" t="b">
        <f t="shared" si="538"/>
        <v>0</v>
      </c>
      <c r="BH307" t="b">
        <f t="shared" si="539"/>
        <v>0</v>
      </c>
      <c r="BI307">
        <f t="shared" si="540"/>
        <v>1</v>
      </c>
      <c r="BJ307" t="b">
        <f t="shared" si="541"/>
        <v>0</v>
      </c>
      <c r="BK307" t="b">
        <f t="shared" si="542"/>
        <v>0</v>
      </c>
      <c r="BL307" t="b">
        <f t="shared" si="543"/>
        <v>0</v>
      </c>
      <c r="BM307" t="b">
        <f t="shared" si="544"/>
        <v>0</v>
      </c>
      <c r="BN307" t="b">
        <f t="shared" si="545"/>
        <v>0</v>
      </c>
      <c r="BO307" t="b">
        <f t="shared" si="546"/>
        <v>0</v>
      </c>
      <c r="BP307" t="b">
        <f t="shared" si="547"/>
        <v>0</v>
      </c>
      <c r="BQ307" t="b">
        <f t="shared" si="548"/>
        <v>0</v>
      </c>
      <c r="BR307">
        <f t="shared" si="549"/>
        <v>1</v>
      </c>
      <c r="BS307">
        <f t="shared" si="550"/>
        <v>1</v>
      </c>
      <c r="BT307" t="b">
        <f t="shared" si="551"/>
        <v>0</v>
      </c>
      <c r="BU307" t="b">
        <f t="shared" si="552"/>
        <v>0</v>
      </c>
      <c r="BV307" t="b">
        <f t="shared" si="553"/>
        <v>0</v>
      </c>
      <c r="BW307" t="b">
        <f t="shared" si="554"/>
        <v>0</v>
      </c>
      <c r="BX307" t="b">
        <f t="shared" si="555"/>
        <v>0</v>
      </c>
      <c r="BY307" t="b">
        <f t="shared" si="556"/>
        <v>0</v>
      </c>
      <c r="BZ307" t="b">
        <f t="shared" si="557"/>
        <v>0</v>
      </c>
      <c r="CA307" t="b">
        <f t="shared" si="558"/>
        <v>0</v>
      </c>
      <c r="CB307" t="b">
        <f t="shared" si="559"/>
        <v>0</v>
      </c>
      <c r="CC307" t="b">
        <f t="shared" si="560"/>
        <v>0</v>
      </c>
      <c r="CD307" t="b">
        <f t="shared" si="561"/>
        <v>0</v>
      </c>
      <c r="CE307" t="b">
        <f t="shared" si="562"/>
        <v>0</v>
      </c>
      <c r="CF307" t="b">
        <f t="shared" si="563"/>
        <v>0</v>
      </c>
      <c r="CG307" t="b">
        <f t="shared" si="564"/>
        <v>0</v>
      </c>
      <c r="CH307" t="b">
        <f t="shared" si="565"/>
        <v>0</v>
      </c>
      <c r="CI307" t="b">
        <f t="shared" si="566"/>
        <v>0</v>
      </c>
      <c r="CJ307" t="b">
        <f t="shared" si="567"/>
        <v>0</v>
      </c>
      <c r="CK307" t="b">
        <f t="shared" si="568"/>
        <v>0</v>
      </c>
      <c r="CL307" t="b">
        <f t="shared" si="569"/>
        <v>0</v>
      </c>
      <c r="CM307" t="b">
        <f t="shared" si="570"/>
        <v>0</v>
      </c>
      <c r="CN307" t="b">
        <f t="shared" si="571"/>
        <v>0</v>
      </c>
      <c r="CO307" t="b">
        <f t="shared" si="572"/>
        <v>0</v>
      </c>
      <c r="CP307" t="b">
        <f t="shared" si="573"/>
        <v>0</v>
      </c>
      <c r="CQ307" t="b">
        <f t="shared" si="574"/>
        <v>0</v>
      </c>
      <c r="CR307" t="b">
        <f t="shared" si="575"/>
        <v>0</v>
      </c>
      <c r="CS307" t="b">
        <f t="shared" si="576"/>
        <v>0</v>
      </c>
      <c r="CT307" t="b">
        <f t="shared" si="577"/>
        <v>0</v>
      </c>
      <c r="CU307" t="b">
        <f t="shared" si="578"/>
        <v>0</v>
      </c>
      <c r="CV307" t="b">
        <f t="shared" si="579"/>
        <v>0</v>
      </c>
      <c r="CW307" t="b">
        <f t="shared" si="580"/>
        <v>0</v>
      </c>
      <c r="CX307" t="b">
        <f t="shared" si="581"/>
        <v>0</v>
      </c>
      <c r="CY307" t="b">
        <f t="shared" si="582"/>
        <v>0</v>
      </c>
      <c r="CZ307" t="b">
        <f t="shared" si="583"/>
        <v>0</v>
      </c>
      <c r="DA307" t="b">
        <f t="shared" si="584"/>
        <v>0</v>
      </c>
      <c r="DB307" t="b">
        <f t="shared" si="585"/>
        <v>0</v>
      </c>
      <c r="DC307" t="b">
        <f t="shared" si="586"/>
        <v>0</v>
      </c>
      <c r="DD307" t="b">
        <f t="shared" si="587"/>
        <v>0</v>
      </c>
      <c r="DE307" t="b">
        <f t="shared" si="588"/>
        <v>0</v>
      </c>
      <c r="DF307" t="b">
        <f t="shared" si="589"/>
        <v>0</v>
      </c>
      <c r="DG307" t="b">
        <f t="shared" si="590"/>
        <v>0</v>
      </c>
      <c r="DH307" t="b">
        <f t="shared" si="591"/>
        <v>0</v>
      </c>
      <c r="DI307" t="b">
        <f t="shared" si="592"/>
        <v>0</v>
      </c>
      <c r="DJ307" t="b">
        <f t="shared" si="593"/>
        <v>0</v>
      </c>
      <c r="DK307" t="b">
        <f t="shared" si="594"/>
        <v>0</v>
      </c>
      <c r="DL307" t="b">
        <f t="shared" si="595"/>
        <v>0</v>
      </c>
      <c r="DM307">
        <f t="shared" si="596"/>
        <v>1</v>
      </c>
      <c r="DN307" t="b">
        <f t="shared" si="597"/>
        <v>0</v>
      </c>
      <c r="DO307" t="b">
        <f t="shared" si="598"/>
        <v>0</v>
      </c>
      <c r="DP307" t="b">
        <f t="shared" si="599"/>
        <v>0</v>
      </c>
      <c r="DQ307" t="b">
        <f t="shared" si="600"/>
        <v>0</v>
      </c>
      <c r="DR307" t="b">
        <f t="shared" si="601"/>
        <v>0</v>
      </c>
      <c r="DS307">
        <f t="shared" si="602"/>
        <v>1</v>
      </c>
      <c r="DT307" t="b">
        <f t="shared" si="603"/>
        <v>0</v>
      </c>
      <c r="DU307" t="b">
        <f t="shared" si="604"/>
        <v>0</v>
      </c>
      <c r="DV307" t="b">
        <f t="shared" si="605"/>
        <v>0</v>
      </c>
      <c r="DW307" t="b">
        <f t="shared" si="606"/>
        <v>0</v>
      </c>
      <c r="DX307" t="b">
        <f t="shared" si="607"/>
        <v>0</v>
      </c>
      <c r="DY307" t="b">
        <f t="shared" si="608"/>
        <v>0</v>
      </c>
      <c r="DZ307" t="b">
        <f t="shared" si="609"/>
        <v>0</v>
      </c>
      <c r="EA307" t="b">
        <f t="shared" si="610"/>
        <v>0</v>
      </c>
      <c r="EB307" t="b">
        <f t="shared" si="611"/>
        <v>0</v>
      </c>
      <c r="EC307" t="b">
        <f t="shared" si="612"/>
        <v>0</v>
      </c>
      <c r="ED307" t="b">
        <f t="shared" si="613"/>
        <v>0</v>
      </c>
      <c r="EE307" t="b">
        <f t="shared" si="614"/>
        <v>0</v>
      </c>
      <c r="EF307">
        <f t="shared" si="615"/>
        <v>1</v>
      </c>
      <c r="EG307" t="b">
        <f t="shared" si="616"/>
        <v>0</v>
      </c>
      <c r="EH307" t="b">
        <f t="shared" si="617"/>
        <v>0</v>
      </c>
      <c r="EI307" t="b">
        <f t="shared" si="618"/>
        <v>0</v>
      </c>
      <c r="EJ307" t="b">
        <f t="shared" si="619"/>
        <v>0</v>
      </c>
      <c r="EK307" t="b">
        <f t="shared" si="620"/>
        <v>0</v>
      </c>
    </row>
    <row r="308" spans="1:141">
      <c r="A308" t="s">
        <v>1620</v>
      </c>
      <c r="B308" t="s">
        <v>1620</v>
      </c>
      <c r="C308" t="s">
        <v>1621</v>
      </c>
      <c r="D308" s="1">
        <v>42472</v>
      </c>
      <c r="E308" s="2">
        <v>43421.106874999998</v>
      </c>
      <c r="F308" s="2">
        <v>43421.109895833331</v>
      </c>
      <c r="G308">
        <v>1957600</v>
      </c>
      <c r="H308" t="s">
        <v>1622</v>
      </c>
      <c r="I308" s="10" t="s">
        <v>1623</v>
      </c>
      <c r="J308" t="s">
        <v>1624</v>
      </c>
      <c r="K308" s="8" t="b">
        <v>1</v>
      </c>
      <c r="L308" s="10" t="b">
        <v>0</v>
      </c>
      <c r="M308" s="12" t="b">
        <v>0</v>
      </c>
      <c r="N308" t="b">
        <v>0</v>
      </c>
      <c r="O308" t="b">
        <v>0</v>
      </c>
      <c r="P308" t="b">
        <v>0</v>
      </c>
      <c r="Q308">
        <f t="shared" si="497"/>
        <v>3</v>
      </c>
      <c r="R308">
        <f t="shared" si="498"/>
        <v>4</v>
      </c>
      <c r="S308" t="e">
        <f t="shared" ca="1" si="528"/>
        <v>#NAME?</v>
      </c>
      <c r="T308" t="e">
        <f t="shared" ca="1" si="499"/>
        <v>#NAME?</v>
      </c>
      <c r="U308" s="4">
        <f t="shared" si="500"/>
        <v>949.10687499999767</v>
      </c>
      <c r="V308" s="4">
        <f t="shared" si="501"/>
        <v>31.636895833333256</v>
      </c>
      <c r="W308" s="4">
        <f t="shared" si="502"/>
        <v>1</v>
      </c>
      <c r="X308" s="4">
        <f t="shared" si="503"/>
        <v>0</v>
      </c>
      <c r="Y308" s="4">
        <f t="shared" si="504"/>
        <v>0</v>
      </c>
      <c r="Z308" s="4">
        <f t="shared" si="505"/>
        <v>0</v>
      </c>
      <c r="AA308" s="4">
        <f t="shared" si="506"/>
        <v>0</v>
      </c>
      <c r="AB308" s="4">
        <f t="shared" si="507"/>
        <v>0</v>
      </c>
      <c r="AC308" s="4"/>
      <c r="AD308" s="4" t="b">
        <f t="shared" si="508"/>
        <v>0</v>
      </c>
      <c r="AE308" s="4" t="b">
        <f t="shared" si="509"/>
        <v>0</v>
      </c>
      <c r="AF308" s="4" t="b">
        <f t="shared" si="510"/>
        <v>0</v>
      </c>
      <c r="AG308" t="b">
        <f t="shared" si="511"/>
        <v>0</v>
      </c>
      <c r="AH308" t="b">
        <f t="shared" si="512"/>
        <v>0</v>
      </c>
      <c r="AI308" t="b">
        <f t="shared" si="513"/>
        <v>0</v>
      </c>
      <c r="AJ308" t="b">
        <f t="shared" si="514"/>
        <v>0</v>
      </c>
      <c r="AK308" t="b">
        <f t="shared" si="515"/>
        <v>0</v>
      </c>
      <c r="AL308" t="b">
        <f t="shared" si="516"/>
        <v>0</v>
      </c>
      <c r="AM308" t="b">
        <f t="shared" si="517"/>
        <v>0</v>
      </c>
      <c r="AN308" t="b">
        <f t="shared" si="518"/>
        <v>0</v>
      </c>
      <c r="AO308" t="b">
        <f t="shared" si="519"/>
        <v>0</v>
      </c>
      <c r="AP308" t="b">
        <f t="shared" si="520"/>
        <v>0</v>
      </c>
      <c r="AQ308" t="b">
        <f t="shared" si="521"/>
        <v>0</v>
      </c>
      <c r="AR308" t="b">
        <f t="shared" si="522"/>
        <v>0</v>
      </c>
      <c r="AS308" t="b">
        <f t="shared" si="523"/>
        <v>0</v>
      </c>
      <c r="AT308" t="b">
        <f t="shared" si="524"/>
        <v>0</v>
      </c>
      <c r="AU308" t="b">
        <f t="shared" si="525"/>
        <v>0</v>
      </c>
      <c r="AV308" t="b">
        <f t="shared" si="526"/>
        <v>0</v>
      </c>
      <c r="AW308" t="b">
        <f t="shared" si="527"/>
        <v>0</v>
      </c>
      <c r="AX308" t="b">
        <f t="shared" si="529"/>
        <v>0</v>
      </c>
      <c r="AY308" t="b">
        <f t="shared" si="530"/>
        <v>0</v>
      </c>
      <c r="AZ308" t="b">
        <f t="shared" si="531"/>
        <v>0</v>
      </c>
      <c r="BA308" t="b">
        <f t="shared" si="532"/>
        <v>0</v>
      </c>
      <c r="BB308" t="b">
        <f t="shared" si="533"/>
        <v>0</v>
      </c>
      <c r="BC308" t="b">
        <f t="shared" si="534"/>
        <v>0</v>
      </c>
      <c r="BD308" t="b">
        <f t="shared" si="535"/>
        <v>0</v>
      </c>
      <c r="BE308" t="b">
        <f t="shared" si="536"/>
        <v>0</v>
      </c>
      <c r="BF308" t="b">
        <f t="shared" si="537"/>
        <v>0</v>
      </c>
      <c r="BG308" t="b">
        <f t="shared" si="538"/>
        <v>0</v>
      </c>
      <c r="BH308" t="b">
        <f t="shared" si="539"/>
        <v>0</v>
      </c>
      <c r="BI308">
        <f t="shared" si="540"/>
        <v>1</v>
      </c>
      <c r="BJ308" t="b">
        <f t="shared" si="541"/>
        <v>0</v>
      </c>
      <c r="BK308" t="b">
        <f t="shared" si="542"/>
        <v>0</v>
      </c>
      <c r="BL308" t="b">
        <f t="shared" si="543"/>
        <v>0</v>
      </c>
      <c r="BM308" t="b">
        <f t="shared" si="544"/>
        <v>0</v>
      </c>
      <c r="BN308" t="b">
        <f t="shared" si="545"/>
        <v>0</v>
      </c>
      <c r="BO308" t="b">
        <f t="shared" si="546"/>
        <v>0</v>
      </c>
      <c r="BP308" t="b">
        <f t="shared" si="547"/>
        <v>0</v>
      </c>
      <c r="BQ308" t="b">
        <f t="shared" si="548"/>
        <v>0</v>
      </c>
      <c r="BR308">
        <f t="shared" si="549"/>
        <v>1</v>
      </c>
      <c r="BS308" t="b">
        <f t="shared" si="550"/>
        <v>0</v>
      </c>
      <c r="BT308" t="b">
        <f t="shared" si="551"/>
        <v>0</v>
      </c>
      <c r="BU308" t="b">
        <f t="shared" si="552"/>
        <v>0</v>
      </c>
      <c r="BV308" t="b">
        <f t="shared" si="553"/>
        <v>0</v>
      </c>
      <c r="BW308" t="b">
        <f t="shared" si="554"/>
        <v>0</v>
      </c>
      <c r="BX308" t="b">
        <f t="shared" si="555"/>
        <v>0</v>
      </c>
      <c r="BY308" t="b">
        <f t="shared" si="556"/>
        <v>0</v>
      </c>
      <c r="BZ308" t="b">
        <f t="shared" si="557"/>
        <v>0</v>
      </c>
      <c r="CA308" t="b">
        <f t="shared" si="558"/>
        <v>0</v>
      </c>
      <c r="CB308" t="b">
        <f t="shared" si="559"/>
        <v>0</v>
      </c>
      <c r="CC308" t="b">
        <f t="shared" si="560"/>
        <v>0</v>
      </c>
      <c r="CD308" t="b">
        <f t="shared" si="561"/>
        <v>0</v>
      </c>
      <c r="CE308" t="b">
        <f t="shared" si="562"/>
        <v>0</v>
      </c>
      <c r="CF308" t="b">
        <f t="shared" si="563"/>
        <v>0</v>
      </c>
      <c r="CG308" t="b">
        <f t="shared" si="564"/>
        <v>0</v>
      </c>
      <c r="CH308" t="b">
        <f t="shared" si="565"/>
        <v>0</v>
      </c>
      <c r="CI308" t="b">
        <f t="shared" si="566"/>
        <v>0</v>
      </c>
      <c r="CJ308" t="b">
        <f t="shared" si="567"/>
        <v>0</v>
      </c>
      <c r="CK308" t="b">
        <f t="shared" si="568"/>
        <v>0</v>
      </c>
      <c r="CL308" t="b">
        <f t="shared" si="569"/>
        <v>0</v>
      </c>
      <c r="CM308">
        <f t="shared" si="570"/>
        <v>1</v>
      </c>
      <c r="CN308" t="b">
        <f t="shared" si="571"/>
        <v>0</v>
      </c>
      <c r="CO308" t="b">
        <f t="shared" si="572"/>
        <v>0</v>
      </c>
      <c r="CP308" t="b">
        <f t="shared" si="573"/>
        <v>0</v>
      </c>
      <c r="CQ308" t="b">
        <f t="shared" si="574"/>
        <v>0</v>
      </c>
      <c r="CR308" t="b">
        <f t="shared" si="575"/>
        <v>0</v>
      </c>
      <c r="CS308" t="b">
        <f t="shared" si="576"/>
        <v>0</v>
      </c>
      <c r="CT308" t="b">
        <f t="shared" si="577"/>
        <v>0</v>
      </c>
      <c r="CU308" t="b">
        <f t="shared" si="578"/>
        <v>0</v>
      </c>
      <c r="CV308">
        <f t="shared" si="579"/>
        <v>1</v>
      </c>
      <c r="CW308" t="b">
        <f t="shared" si="580"/>
        <v>0</v>
      </c>
      <c r="CX308" t="b">
        <f t="shared" si="581"/>
        <v>0</v>
      </c>
      <c r="CY308" t="b">
        <f t="shared" si="582"/>
        <v>0</v>
      </c>
      <c r="CZ308" t="b">
        <f t="shared" si="583"/>
        <v>0</v>
      </c>
      <c r="DA308">
        <f t="shared" si="584"/>
        <v>1</v>
      </c>
      <c r="DB308">
        <f t="shared" si="585"/>
        <v>1</v>
      </c>
      <c r="DC308" t="b">
        <f t="shared" si="586"/>
        <v>0</v>
      </c>
      <c r="DD308" t="b">
        <f t="shared" si="587"/>
        <v>0</v>
      </c>
      <c r="DE308" t="b">
        <f t="shared" si="588"/>
        <v>0</v>
      </c>
      <c r="DF308" t="b">
        <f t="shared" si="589"/>
        <v>0</v>
      </c>
      <c r="DG308" t="b">
        <f t="shared" si="590"/>
        <v>0</v>
      </c>
      <c r="DH308" t="b">
        <f t="shared" si="591"/>
        <v>0</v>
      </c>
      <c r="DI308" t="b">
        <f t="shared" si="592"/>
        <v>0</v>
      </c>
      <c r="DJ308" t="b">
        <f t="shared" si="593"/>
        <v>0</v>
      </c>
      <c r="DK308" t="b">
        <f t="shared" si="594"/>
        <v>0</v>
      </c>
      <c r="DL308" t="b">
        <f t="shared" si="595"/>
        <v>0</v>
      </c>
      <c r="DM308" t="b">
        <f t="shared" si="596"/>
        <v>0</v>
      </c>
      <c r="DN308" t="b">
        <f t="shared" si="597"/>
        <v>0</v>
      </c>
      <c r="DO308" t="b">
        <f t="shared" si="598"/>
        <v>0</v>
      </c>
      <c r="DP308" t="b">
        <f t="shared" si="599"/>
        <v>0</v>
      </c>
      <c r="DQ308" t="b">
        <f t="shared" si="600"/>
        <v>0</v>
      </c>
      <c r="DR308" t="b">
        <f t="shared" si="601"/>
        <v>0</v>
      </c>
      <c r="DS308" t="b">
        <f t="shared" si="602"/>
        <v>0</v>
      </c>
      <c r="DT308" t="b">
        <f t="shared" si="603"/>
        <v>0</v>
      </c>
      <c r="DU308" t="b">
        <f t="shared" si="604"/>
        <v>0</v>
      </c>
      <c r="DV308" t="b">
        <f t="shared" si="605"/>
        <v>0</v>
      </c>
      <c r="DW308" t="b">
        <f t="shared" si="606"/>
        <v>0</v>
      </c>
      <c r="DX308" t="b">
        <f t="shared" si="607"/>
        <v>0</v>
      </c>
      <c r="DY308" t="b">
        <f t="shared" si="608"/>
        <v>0</v>
      </c>
      <c r="DZ308" t="b">
        <f t="shared" si="609"/>
        <v>0</v>
      </c>
      <c r="EA308" t="b">
        <f t="shared" si="610"/>
        <v>0</v>
      </c>
      <c r="EB308" t="b">
        <f t="shared" si="611"/>
        <v>0</v>
      </c>
      <c r="EC308" t="b">
        <f t="shared" si="612"/>
        <v>0</v>
      </c>
      <c r="ED308" t="b">
        <f t="shared" si="613"/>
        <v>0</v>
      </c>
      <c r="EE308" t="b">
        <f t="shared" si="614"/>
        <v>0</v>
      </c>
      <c r="EF308" t="b">
        <f t="shared" si="615"/>
        <v>0</v>
      </c>
      <c r="EG308" t="b">
        <f t="shared" si="616"/>
        <v>0</v>
      </c>
      <c r="EH308" t="b">
        <f t="shared" si="617"/>
        <v>0</v>
      </c>
      <c r="EI308" t="b">
        <f t="shared" si="618"/>
        <v>0</v>
      </c>
      <c r="EJ308" t="b">
        <f t="shared" si="619"/>
        <v>0</v>
      </c>
      <c r="EK308" t="b">
        <f t="shared" si="620"/>
        <v>0</v>
      </c>
    </row>
    <row r="309" spans="1:141">
      <c r="A309" t="s">
        <v>1625</v>
      </c>
      <c r="B309" t="s">
        <v>1625</v>
      </c>
      <c r="C309" t="s">
        <v>1626</v>
      </c>
      <c r="D309" s="1">
        <v>43348</v>
      </c>
      <c r="E309" s="2">
        <v>43563.883287037039</v>
      </c>
      <c r="F309" s="2">
        <v>43563.883287037039</v>
      </c>
      <c r="G309">
        <v>808330</v>
      </c>
      <c r="H309" t="s">
        <v>1627</v>
      </c>
      <c r="I309" s="10" t="s">
        <v>1628</v>
      </c>
      <c r="J309" t="s">
        <v>637</v>
      </c>
      <c r="K309" s="8" t="b">
        <v>1</v>
      </c>
      <c r="L309" s="10" t="b">
        <v>0</v>
      </c>
      <c r="M309" s="12" t="b">
        <v>0</v>
      </c>
      <c r="N309" t="b">
        <v>0</v>
      </c>
      <c r="O309" t="b">
        <v>0</v>
      </c>
      <c r="P309" t="b">
        <v>0</v>
      </c>
      <c r="Q309">
        <f t="shared" si="497"/>
        <v>4</v>
      </c>
      <c r="R309">
        <f t="shared" si="498"/>
        <v>9</v>
      </c>
      <c r="S309" t="e">
        <f t="shared" ca="1" si="528"/>
        <v>#NAME?</v>
      </c>
      <c r="T309" t="e">
        <f t="shared" ca="1" si="499"/>
        <v>#NAME?</v>
      </c>
      <c r="U309" s="4">
        <f t="shared" si="500"/>
        <v>215.88328703703883</v>
      </c>
      <c r="V309" s="4">
        <f t="shared" si="501"/>
        <v>7.1961095679012939</v>
      </c>
      <c r="W309" s="4">
        <f t="shared" si="502"/>
        <v>1</v>
      </c>
      <c r="X309" s="4">
        <f t="shared" si="503"/>
        <v>0</v>
      </c>
      <c r="Y309" s="4">
        <f t="shared" si="504"/>
        <v>0</v>
      </c>
      <c r="Z309" s="4">
        <f t="shared" si="505"/>
        <v>0</v>
      </c>
      <c r="AA309" s="4">
        <f t="shared" si="506"/>
        <v>0</v>
      </c>
      <c r="AB309" s="4">
        <f t="shared" si="507"/>
        <v>0</v>
      </c>
      <c r="AC309" s="4"/>
      <c r="AD309" s="4" t="b">
        <f t="shared" si="508"/>
        <v>0</v>
      </c>
      <c r="AE309" s="4" t="b">
        <f t="shared" si="509"/>
        <v>0</v>
      </c>
      <c r="AF309" s="4" t="b">
        <f t="shared" si="510"/>
        <v>0</v>
      </c>
      <c r="AG309" t="b">
        <f t="shared" si="511"/>
        <v>0</v>
      </c>
      <c r="AH309" t="b">
        <f t="shared" si="512"/>
        <v>0</v>
      </c>
      <c r="AI309" t="b">
        <f t="shared" si="513"/>
        <v>0</v>
      </c>
      <c r="AJ309" t="b">
        <f t="shared" si="514"/>
        <v>0</v>
      </c>
      <c r="AK309" t="b">
        <f t="shared" si="515"/>
        <v>0</v>
      </c>
      <c r="AL309" t="b">
        <f t="shared" si="516"/>
        <v>0</v>
      </c>
      <c r="AM309" t="b">
        <f t="shared" si="517"/>
        <v>0</v>
      </c>
      <c r="AN309" t="b">
        <f t="shared" si="518"/>
        <v>0</v>
      </c>
      <c r="AO309" t="b">
        <f t="shared" si="519"/>
        <v>0</v>
      </c>
      <c r="AP309" t="b">
        <f t="shared" si="520"/>
        <v>0</v>
      </c>
      <c r="AQ309" t="b">
        <f t="shared" si="521"/>
        <v>0</v>
      </c>
      <c r="AR309" t="b">
        <f t="shared" si="522"/>
        <v>0</v>
      </c>
      <c r="AS309" t="b">
        <f t="shared" si="523"/>
        <v>0</v>
      </c>
      <c r="AT309" t="b">
        <f t="shared" si="524"/>
        <v>0</v>
      </c>
      <c r="AU309" t="b">
        <f t="shared" si="525"/>
        <v>0</v>
      </c>
      <c r="AV309" t="b">
        <f t="shared" si="526"/>
        <v>0</v>
      </c>
      <c r="AW309" t="b">
        <f t="shared" si="527"/>
        <v>0</v>
      </c>
      <c r="AX309" t="b">
        <f t="shared" si="529"/>
        <v>0</v>
      </c>
      <c r="AY309" t="b">
        <f t="shared" si="530"/>
        <v>0</v>
      </c>
      <c r="AZ309" t="b">
        <f t="shared" si="531"/>
        <v>0</v>
      </c>
      <c r="BA309" t="b">
        <f t="shared" si="532"/>
        <v>0</v>
      </c>
      <c r="BB309" t="b">
        <f t="shared" si="533"/>
        <v>0</v>
      </c>
      <c r="BC309" t="b">
        <f t="shared" si="534"/>
        <v>0</v>
      </c>
      <c r="BD309" t="b">
        <f t="shared" si="535"/>
        <v>0</v>
      </c>
      <c r="BE309" t="b">
        <f t="shared" si="536"/>
        <v>0</v>
      </c>
      <c r="BF309" t="b">
        <f t="shared" si="537"/>
        <v>0</v>
      </c>
      <c r="BG309" t="b">
        <f t="shared" si="538"/>
        <v>0</v>
      </c>
      <c r="BH309" t="b">
        <f t="shared" si="539"/>
        <v>0</v>
      </c>
      <c r="BI309">
        <f t="shared" si="540"/>
        <v>1</v>
      </c>
      <c r="BJ309" t="b">
        <f t="shared" si="541"/>
        <v>0</v>
      </c>
      <c r="BK309" t="b">
        <f t="shared" si="542"/>
        <v>0</v>
      </c>
      <c r="BL309" t="b">
        <f t="shared" si="543"/>
        <v>0</v>
      </c>
      <c r="BM309" t="b">
        <f t="shared" si="544"/>
        <v>0</v>
      </c>
      <c r="BN309" t="b">
        <f t="shared" si="545"/>
        <v>0</v>
      </c>
      <c r="BO309" t="b">
        <f t="shared" si="546"/>
        <v>0</v>
      </c>
      <c r="BP309" t="b">
        <f t="shared" si="547"/>
        <v>0</v>
      </c>
      <c r="BQ309" t="b">
        <f t="shared" si="548"/>
        <v>0</v>
      </c>
      <c r="BR309" t="b">
        <f t="shared" si="549"/>
        <v>0</v>
      </c>
      <c r="BS309">
        <f t="shared" si="550"/>
        <v>1</v>
      </c>
      <c r="BT309" t="b">
        <f t="shared" si="551"/>
        <v>0</v>
      </c>
      <c r="BU309" t="b">
        <f t="shared" si="552"/>
        <v>0</v>
      </c>
      <c r="BV309" t="b">
        <f t="shared" si="553"/>
        <v>0</v>
      </c>
      <c r="BW309" t="b">
        <f t="shared" si="554"/>
        <v>0</v>
      </c>
      <c r="BX309" t="b">
        <f t="shared" si="555"/>
        <v>0</v>
      </c>
      <c r="BY309" t="b">
        <f t="shared" si="556"/>
        <v>0</v>
      </c>
      <c r="BZ309" t="b">
        <f t="shared" si="557"/>
        <v>0</v>
      </c>
      <c r="CA309" t="b">
        <f t="shared" si="558"/>
        <v>0</v>
      </c>
      <c r="CB309" t="b">
        <f t="shared" si="559"/>
        <v>0</v>
      </c>
      <c r="CC309" t="b">
        <f t="shared" si="560"/>
        <v>0</v>
      </c>
      <c r="CD309" t="b">
        <f t="shared" si="561"/>
        <v>0</v>
      </c>
      <c r="CE309" t="b">
        <f t="shared" si="562"/>
        <v>0</v>
      </c>
      <c r="CF309" t="b">
        <f t="shared" si="563"/>
        <v>0</v>
      </c>
      <c r="CG309" t="b">
        <f t="shared" si="564"/>
        <v>0</v>
      </c>
      <c r="CH309" t="b">
        <f t="shared" si="565"/>
        <v>0</v>
      </c>
      <c r="CI309" t="b">
        <f t="shared" si="566"/>
        <v>0</v>
      </c>
      <c r="CJ309" t="b">
        <f t="shared" si="567"/>
        <v>0</v>
      </c>
      <c r="CK309" t="b">
        <f t="shared" si="568"/>
        <v>0</v>
      </c>
      <c r="CL309" t="b">
        <f t="shared" si="569"/>
        <v>0</v>
      </c>
      <c r="CM309">
        <f t="shared" si="570"/>
        <v>1</v>
      </c>
      <c r="CN309" t="b">
        <f t="shared" si="571"/>
        <v>0</v>
      </c>
      <c r="CO309" t="b">
        <f t="shared" si="572"/>
        <v>0</v>
      </c>
      <c r="CP309" t="b">
        <f t="shared" si="573"/>
        <v>0</v>
      </c>
      <c r="CQ309" t="b">
        <f t="shared" si="574"/>
        <v>0</v>
      </c>
      <c r="CR309" t="b">
        <f t="shared" si="575"/>
        <v>0</v>
      </c>
      <c r="CS309" t="b">
        <f t="shared" si="576"/>
        <v>0</v>
      </c>
      <c r="CT309" t="b">
        <f t="shared" si="577"/>
        <v>0</v>
      </c>
      <c r="CU309" t="b">
        <f t="shared" si="578"/>
        <v>0</v>
      </c>
      <c r="CV309">
        <f t="shared" si="579"/>
        <v>1</v>
      </c>
      <c r="CW309" t="b">
        <f t="shared" si="580"/>
        <v>0</v>
      </c>
      <c r="CX309" t="b">
        <f t="shared" si="581"/>
        <v>0</v>
      </c>
      <c r="CY309" t="b">
        <f t="shared" si="582"/>
        <v>0</v>
      </c>
      <c r="CZ309" t="b">
        <f t="shared" si="583"/>
        <v>0</v>
      </c>
      <c r="DA309" t="b">
        <f t="shared" si="584"/>
        <v>0</v>
      </c>
      <c r="DB309" t="b">
        <f t="shared" si="585"/>
        <v>0</v>
      </c>
      <c r="DC309" t="b">
        <f t="shared" si="586"/>
        <v>0</v>
      </c>
      <c r="DD309" t="b">
        <f t="shared" si="587"/>
        <v>0</v>
      </c>
      <c r="DE309" t="b">
        <f t="shared" si="588"/>
        <v>0</v>
      </c>
      <c r="DF309" t="b">
        <f t="shared" si="589"/>
        <v>0</v>
      </c>
      <c r="DG309" t="b">
        <f t="shared" si="590"/>
        <v>0</v>
      </c>
      <c r="DH309" t="b">
        <f t="shared" si="591"/>
        <v>0</v>
      </c>
      <c r="DI309" t="b">
        <f t="shared" si="592"/>
        <v>0</v>
      </c>
      <c r="DJ309" t="b">
        <f t="shared" si="593"/>
        <v>0</v>
      </c>
      <c r="DK309" t="b">
        <f t="shared" si="594"/>
        <v>0</v>
      </c>
      <c r="DL309" t="b">
        <f t="shared" si="595"/>
        <v>0</v>
      </c>
      <c r="DM309" t="b">
        <f t="shared" si="596"/>
        <v>0</v>
      </c>
      <c r="DN309" t="b">
        <f t="shared" si="597"/>
        <v>0</v>
      </c>
      <c r="DO309" t="b">
        <f t="shared" si="598"/>
        <v>0</v>
      </c>
      <c r="DP309" t="b">
        <f t="shared" si="599"/>
        <v>0</v>
      </c>
      <c r="DQ309" t="b">
        <f t="shared" si="600"/>
        <v>0</v>
      </c>
      <c r="DR309" t="b">
        <f t="shared" si="601"/>
        <v>0</v>
      </c>
      <c r="DS309" t="b">
        <f t="shared" si="602"/>
        <v>0</v>
      </c>
      <c r="DT309" t="b">
        <f t="shared" si="603"/>
        <v>0</v>
      </c>
      <c r="DU309" t="b">
        <f t="shared" si="604"/>
        <v>0</v>
      </c>
      <c r="DV309" t="b">
        <f t="shared" si="605"/>
        <v>0</v>
      </c>
      <c r="DW309" t="b">
        <f t="shared" si="606"/>
        <v>0</v>
      </c>
      <c r="DX309" t="b">
        <f t="shared" si="607"/>
        <v>0</v>
      </c>
      <c r="DY309" t="b">
        <f t="shared" si="608"/>
        <v>0</v>
      </c>
      <c r="DZ309" t="b">
        <f t="shared" si="609"/>
        <v>0</v>
      </c>
      <c r="EA309" t="b">
        <f t="shared" si="610"/>
        <v>0</v>
      </c>
      <c r="EB309" t="b">
        <f t="shared" si="611"/>
        <v>0</v>
      </c>
      <c r="EC309" t="b">
        <f t="shared" si="612"/>
        <v>0</v>
      </c>
      <c r="ED309" t="b">
        <f t="shared" si="613"/>
        <v>0</v>
      </c>
      <c r="EE309" t="b">
        <f t="shared" si="614"/>
        <v>0</v>
      </c>
      <c r="EF309">
        <f t="shared" si="615"/>
        <v>1</v>
      </c>
      <c r="EG309" t="b">
        <f t="shared" si="616"/>
        <v>0</v>
      </c>
      <c r="EH309" t="b">
        <f t="shared" si="617"/>
        <v>0</v>
      </c>
      <c r="EI309" t="b">
        <f t="shared" si="618"/>
        <v>0</v>
      </c>
      <c r="EJ309" t="b">
        <f t="shared" si="619"/>
        <v>0</v>
      </c>
      <c r="EK309" t="b">
        <f t="shared" si="620"/>
        <v>0</v>
      </c>
    </row>
    <row r="310" spans="1:141">
      <c r="A310" t="s">
        <v>1629</v>
      </c>
      <c r="B310" t="s">
        <v>1629</v>
      </c>
      <c r="C310" t="s">
        <v>1630</v>
      </c>
      <c r="D310" s="1">
        <v>44228</v>
      </c>
      <c r="E310" s="2">
        <v>44949.933877314812</v>
      </c>
      <c r="F310" s="2">
        <v>44949.933877314812</v>
      </c>
      <c r="G310">
        <v>139401</v>
      </c>
      <c r="H310" t="s">
        <v>1631</v>
      </c>
      <c r="I310" s="10" t="s">
        <v>1632</v>
      </c>
      <c r="J310" t="s">
        <v>1633</v>
      </c>
      <c r="K310" s="8" t="b">
        <v>1</v>
      </c>
      <c r="L310" s="10" t="b">
        <v>0</v>
      </c>
      <c r="M310" s="12" t="b">
        <v>0</v>
      </c>
      <c r="N310" t="b">
        <v>0</v>
      </c>
      <c r="O310" t="b">
        <v>0</v>
      </c>
      <c r="P310" t="b">
        <v>0</v>
      </c>
      <c r="Q310">
        <f t="shared" si="497"/>
        <v>2</v>
      </c>
      <c r="R310">
        <f t="shared" si="498"/>
        <v>2</v>
      </c>
      <c r="S310" t="e">
        <f t="shared" ca="1" si="528"/>
        <v>#NAME?</v>
      </c>
      <c r="T310" t="e">
        <f t="shared" ca="1" si="499"/>
        <v>#NAME?</v>
      </c>
      <c r="U310" s="4">
        <f t="shared" si="500"/>
        <v>721.93387731481198</v>
      </c>
      <c r="V310" s="4">
        <f t="shared" si="501"/>
        <v>24.064462577160398</v>
      </c>
      <c r="W310" s="4">
        <f t="shared" si="502"/>
        <v>1</v>
      </c>
      <c r="X310" s="4">
        <f t="shared" si="503"/>
        <v>0</v>
      </c>
      <c r="Y310" s="4">
        <f t="shared" si="504"/>
        <v>0</v>
      </c>
      <c r="Z310" s="4">
        <f t="shared" si="505"/>
        <v>0</v>
      </c>
      <c r="AA310" s="4">
        <f t="shared" si="506"/>
        <v>0</v>
      </c>
      <c r="AB310" s="4">
        <f t="shared" si="507"/>
        <v>0</v>
      </c>
      <c r="AC310" s="4"/>
      <c r="AD310" s="4" t="b">
        <f t="shared" si="508"/>
        <v>0</v>
      </c>
      <c r="AE310" s="4" t="b">
        <f t="shared" si="509"/>
        <v>0</v>
      </c>
      <c r="AF310" s="4" t="b">
        <f t="shared" si="510"/>
        <v>0</v>
      </c>
      <c r="AG310" t="b">
        <f t="shared" si="511"/>
        <v>0</v>
      </c>
      <c r="AH310" t="b">
        <f t="shared" si="512"/>
        <v>0</v>
      </c>
      <c r="AI310" t="b">
        <f t="shared" si="513"/>
        <v>0</v>
      </c>
      <c r="AJ310" t="b">
        <f t="shared" si="514"/>
        <v>0</v>
      </c>
      <c r="AK310" t="b">
        <f t="shared" si="515"/>
        <v>0</v>
      </c>
      <c r="AL310" t="b">
        <f t="shared" si="516"/>
        <v>0</v>
      </c>
      <c r="AM310" t="b">
        <f t="shared" si="517"/>
        <v>0</v>
      </c>
      <c r="AN310" t="b">
        <f t="shared" si="518"/>
        <v>0</v>
      </c>
      <c r="AO310" t="b">
        <f t="shared" si="519"/>
        <v>0</v>
      </c>
      <c r="AP310" t="b">
        <f t="shared" si="520"/>
        <v>0</v>
      </c>
      <c r="AQ310" t="b">
        <f t="shared" si="521"/>
        <v>0</v>
      </c>
      <c r="AR310" t="b">
        <f t="shared" si="522"/>
        <v>0</v>
      </c>
      <c r="AS310" t="b">
        <f t="shared" si="523"/>
        <v>0</v>
      </c>
      <c r="AT310" t="b">
        <f t="shared" si="524"/>
        <v>0</v>
      </c>
      <c r="AU310" t="b">
        <f t="shared" si="525"/>
        <v>0</v>
      </c>
      <c r="AV310" t="b">
        <f t="shared" si="526"/>
        <v>0</v>
      </c>
      <c r="AW310" t="b">
        <f t="shared" si="527"/>
        <v>0</v>
      </c>
      <c r="AX310" t="b">
        <f t="shared" si="529"/>
        <v>0</v>
      </c>
      <c r="AY310" t="b">
        <f t="shared" si="530"/>
        <v>0</v>
      </c>
      <c r="AZ310" t="b">
        <f t="shared" si="531"/>
        <v>0</v>
      </c>
      <c r="BA310" t="b">
        <f t="shared" si="532"/>
        <v>0</v>
      </c>
      <c r="BB310" t="b">
        <f t="shared" si="533"/>
        <v>0</v>
      </c>
      <c r="BC310" t="b">
        <f t="shared" si="534"/>
        <v>0</v>
      </c>
      <c r="BD310" t="b">
        <f t="shared" si="535"/>
        <v>0</v>
      </c>
      <c r="BE310" t="b">
        <f t="shared" si="536"/>
        <v>0</v>
      </c>
      <c r="BF310" t="b">
        <f t="shared" si="537"/>
        <v>0</v>
      </c>
      <c r="BG310" t="b">
        <f t="shared" si="538"/>
        <v>0</v>
      </c>
      <c r="BH310" t="b">
        <f t="shared" si="539"/>
        <v>0</v>
      </c>
      <c r="BI310">
        <f t="shared" si="540"/>
        <v>1</v>
      </c>
      <c r="BJ310" t="b">
        <f t="shared" si="541"/>
        <v>0</v>
      </c>
      <c r="BK310" t="b">
        <f t="shared" si="542"/>
        <v>0</v>
      </c>
      <c r="BL310" t="b">
        <f t="shared" si="543"/>
        <v>0</v>
      </c>
      <c r="BM310" t="b">
        <f t="shared" si="544"/>
        <v>0</v>
      </c>
      <c r="BN310" t="b">
        <f t="shared" si="545"/>
        <v>0</v>
      </c>
      <c r="BO310" t="b">
        <f t="shared" si="546"/>
        <v>0</v>
      </c>
      <c r="BP310" t="b">
        <f t="shared" si="547"/>
        <v>0</v>
      </c>
      <c r="BQ310" t="b">
        <f t="shared" si="548"/>
        <v>0</v>
      </c>
      <c r="BR310" t="b">
        <f t="shared" si="549"/>
        <v>0</v>
      </c>
      <c r="BS310" t="b">
        <f t="shared" si="550"/>
        <v>0</v>
      </c>
      <c r="BT310" t="b">
        <f t="shared" si="551"/>
        <v>0</v>
      </c>
      <c r="BU310" t="b">
        <f t="shared" si="552"/>
        <v>0</v>
      </c>
      <c r="BV310" t="b">
        <f t="shared" si="553"/>
        <v>0</v>
      </c>
      <c r="BW310" t="b">
        <f t="shared" si="554"/>
        <v>0</v>
      </c>
      <c r="BX310" t="b">
        <f t="shared" si="555"/>
        <v>0</v>
      </c>
      <c r="BY310" t="b">
        <f t="shared" si="556"/>
        <v>0</v>
      </c>
      <c r="BZ310" t="b">
        <f t="shared" si="557"/>
        <v>0</v>
      </c>
      <c r="CA310" t="b">
        <f t="shared" si="558"/>
        <v>0</v>
      </c>
      <c r="CB310" t="b">
        <f t="shared" si="559"/>
        <v>0</v>
      </c>
      <c r="CC310" t="b">
        <f t="shared" si="560"/>
        <v>0</v>
      </c>
      <c r="CD310" t="b">
        <f t="shared" si="561"/>
        <v>0</v>
      </c>
      <c r="CE310">
        <f t="shared" si="562"/>
        <v>1</v>
      </c>
      <c r="CF310" t="b">
        <f t="shared" si="563"/>
        <v>0</v>
      </c>
      <c r="CG310" t="b">
        <f t="shared" si="564"/>
        <v>0</v>
      </c>
      <c r="CH310" t="b">
        <f t="shared" si="565"/>
        <v>0</v>
      </c>
      <c r="CI310" t="b">
        <f t="shared" si="566"/>
        <v>0</v>
      </c>
      <c r="CJ310" t="b">
        <f t="shared" si="567"/>
        <v>0</v>
      </c>
      <c r="CK310" t="b">
        <f t="shared" si="568"/>
        <v>0</v>
      </c>
      <c r="CL310" t="b">
        <f t="shared" si="569"/>
        <v>0</v>
      </c>
      <c r="CM310">
        <f t="shared" si="570"/>
        <v>1</v>
      </c>
      <c r="CN310" t="b">
        <f t="shared" si="571"/>
        <v>0</v>
      </c>
      <c r="CO310" t="b">
        <f t="shared" si="572"/>
        <v>0</v>
      </c>
      <c r="CP310" t="b">
        <f t="shared" si="573"/>
        <v>0</v>
      </c>
      <c r="CQ310" t="b">
        <f t="shared" si="574"/>
        <v>0</v>
      </c>
      <c r="CR310" t="b">
        <f t="shared" si="575"/>
        <v>0</v>
      </c>
      <c r="CS310" t="b">
        <f t="shared" si="576"/>
        <v>0</v>
      </c>
      <c r="CT310" t="b">
        <f t="shared" si="577"/>
        <v>0</v>
      </c>
      <c r="CU310" t="b">
        <f t="shared" si="578"/>
        <v>0</v>
      </c>
      <c r="CV310">
        <f t="shared" si="579"/>
        <v>1</v>
      </c>
      <c r="CW310" t="b">
        <f t="shared" si="580"/>
        <v>0</v>
      </c>
      <c r="CX310" t="b">
        <f t="shared" si="581"/>
        <v>0</v>
      </c>
      <c r="CY310" t="b">
        <f t="shared" si="582"/>
        <v>0</v>
      </c>
      <c r="CZ310" t="b">
        <f t="shared" si="583"/>
        <v>0</v>
      </c>
      <c r="DA310">
        <f t="shared" si="584"/>
        <v>1</v>
      </c>
      <c r="DB310">
        <f t="shared" si="585"/>
        <v>1</v>
      </c>
      <c r="DC310" t="b">
        <f t="shared" si="586"/>
        <v>0</v>
      </c>
      <c r="DD310" t="b">
        <f t="shared" si="587"/>
        <v>0</v>
      </c>
      <c r="DE310" t="b">
        <f t="shared" si="588"/>
        <v>0</v>
      </c>
      <c r="DF310" t="b">
        <f t="shared" si="589"/>
        <v>0</v>
      </c>
      <c r="DG310" t="b">
        <f t="shared" si="590"/>
        <v>0</v>
      </c>
      <c r="DH310" t="b">
        <f t="shared" si="591"/>
        <v>0</v>
      </c>
      <c r="DI310" t="b">
        <f t="shared" si="592"/>
        <v>0</v>
      </c>
      <c r="DJ310" t="b">
        <f t="shared" si="593"/>
        <v>0</v>
      </c>
      <c r="DK310" t="b">
        <f t="shared" si="594"/>
        <v>0</v>
      </c>
      <c r="DL310" t="b">
        <f t="shared" si="595"/>
        <v>0</v>
      </c>
      <c r="DM310" t="b">
        <f t="shared" si="596"/>
        <v>0</v>
      </c>
      <c r="DN310" t="b">
        <f t="shared" si="597"/>
        <v>0</v>
      </c>
      <c r="DO310" t="b">
        <f t="shared" si="598"/>
        <v>0</v>
      </c>
      <c r="DP310" t="b">
        <f t="shared" si="599"/>
        <v>0</v>
      </c>
      <c r="DQ310" t="b">
        <f t="shared" si="600"/>
        <v>0</v>
      </c>
      <c r="DR310" t="b">
        <f t="shared" si="601"/>
        <v>0</v>
      </c>
      <c r="DS310" t="b">
        <f t="shared" si="602"/>
        <v>0</v>
      </c>
      <c r="DT310" t="b">
        <f t="shared" si="603"/>
        <v>0</v>
      </c>
      <c r="DU310" t="b">
        <f t="shared" si="604"/>
        <v>0</v>
      </c>
      <c r="DV310" t="b">
        <f t="shared" si="605"/>
        <v>0</v>
      </c>
      <c r="DW310" t="b">
        <f t="shared" si="606"/>
        <v>0</v>
      </c>
      <c r="DX310" t="b">
        <f t="shared" si="607"/>
        <v>0</v>
      </c>
      <c r="DY310" t="b">
        <f t="shared" si="608"/>
        <v>0</v>
      </c>
      <c r="DZ310" t="b">
        <f t="shared" si="609"/>
        <v>0</v>
      </c>
      <c r="EA310" t="b">
        <f t="shared" si="610"/>
        <v>0</v>
      </c>
      <c r="EB310" t="b">
        <f t="shared" si="611"/>
        <v>0</v>
      </c>
      <c r="EC310" t="b">
        <f t="shared" si="612"/>
        <v>0</v>
      </c>
      <c r="ED310" t="b">
        <f t="shared" si="613"/>
        <v>0</v>
      </c>
      <c r="EE310" t="b">
        <f t="shared" si="614"/>
        <v>0</v>
      </c>
      <c r="EF310" t="b">
        <f t="shared" si="615"/>
        <v>0</v>
      </c>
      <c r="EG310" t="b">
        <f t="shared" si="616"/>
        <v>0</v>
      </c>
      <c r="EH310" t="b">
        <f t="shared" si="617"/>
        <v>0</v>
      </c>
      <c r="EI310" t="b">
        <f t="shared" si="618"/>
        <v>0</v>
      </c>
      <c r="EJ310" t="b">
        <f t="shared" si="619"/>
        <v>0</v>
      </c>
      <c r="EK310" t="b">
        <f t="shared" si="620"/>
        <v>0</v>
      </c>
    </row>
    <row r="311" spans="1:141">
      <c r="A311" t="s">
        <v>1634</v>
      </c>
      <c r="B311" t="s">
        <v>1634</v>
      </c>
      <c r="C311" t="s">
        <v>1635</v>
      </c>
      <c r="D311" s="1">
        <v>44005</v>
      </c>
      <c r="E311" s="2">
        <v>44046.16170138889</v>
      </c>
      <c r="F311" s="2">
        <v>44050.158159722225</v>
      </c>
      <c r="G311">
        <v>768890</v>
      </c>
      <c r="H311" t="s">
        <v>1636</v>
      </c>
      <c r="I311" s="10" t="s">
        <v>1637</v>
      </c>
      <c r="J311" t="s">
        <v>1638</v>
      </c>
      <c r="K311" s="8" t="b">
        <v>1</v>
      </c>
      <c r="L311" s="10" t="b">
        <v>0</v>
      </c>
      <c r="M311" s="12" t="b">
        <v>0</v>
      </c>
      <c r="N311" t="b">
        <v>0</v>
      </c>
      <c r="O311" t="b">
        <v>0</v>
      </c>
      <c r="P311" t="b">
        <v>0</v>
      </c>
      <c r="Q311">
        <f t="shared" si="497"/>
        <v>3</v>
      </c>
      <c r="R311">
        <f t="shared" si="498"/>
        <v>6</v>
      </c>
      <c r="S311" t="e">
        <f t="shared" ca="1" si="528"/>
        <v>#NAME?</v>
      </c>
      <c r="T311" t="e">
        <f t="shared" ca="1" si="499"/>
        <v>#NAME?</v>
      </c>
      <c r="U311" s="4">
        <f t="shared" si="500"/>
        <v>41.161701388889924</v>
      </c>
      <c r="V311" s="4">
        <f t="shared" si="501"/>
        <v>1.3720567129629975</v>
      </c>
      <c r="W311" s="4">
        <f t="shared" si="502"/>
        <v>1</v>
      </c>
      <c r="X311" s="4">
        <f t="shared" si="503"/>
        <v>0</v>
      </c>
      <c r="Y311" s="4">
        <f t="shared" si="504"/>
        <v>0</v>
      </c>
      <c r="Z311" s="4">
        <f t="shared" si="505"/>
        <v>0</v>
      </c>
      <c r="AA311" s="4">
        <f t="shared" si="506"/>
        <v>0</v>
      </c>
      <c r="AB311" s="4">
        <f t="shared" si="507"/>
        <v>0</v>
      </c>
      <c r="AC311" s="4"/>
      <c r="AD311" s="4" t="b">
        <f t="shared" si="508"/>
        <v>0</v>
      </c>
      <c r="AE311" s="4" t="b">
        <f t="shared" si="509"/>
        <v>0</v>
      </c>
      <c r="AF311" s="4" t="b">
        <f t="shared" si="510"/>
        <v>0</v>
      </c>
      <c r="AG311" t="b">
        <f t="shared" si="511"/>
        <v>0</v>
      </c>
      <c r="AH311" t="b">
        <f t="shared" si="512"/>
        <v>0</v>
      </c>
      <c r="AI311" t="b">
        <f t="shared" si="513"/>
        <v>0</v>
      </c>
      <c r="AJ311" t="b">
        <f t="shared" si="514"/>
        <v>0</v>
      </c>
      <c r="AK311" t="b">
        <f t="shared" si="515"/>
        <v>0</v>
      </c>
      <c r="AL311" t="b">
        <f t="shared" si="516"/>
        <v>0</v>
      </c>
      <c r="AM311" t="b">
        <f t="shared" si="517"/>
        <v>0</v>
      </c>
      <c r="AN311" t="b">
        <f t="shared" si="518"/>
        <v>0</v>
      </c>
      <c r="AO311" t="b">
        <f t="shared" si="519"/>
        <v>0</v>
      </c>
      <c r="AP311" t="b">
        <f t="shared" si="520"/>
        <v>0</v>
      </c>
      <c r="AQ311" t="b">
        <f t="shared" si="521"/>
        <v>0</v>
      </c>
      <c r="AR311" t="b">
        <f t="shared" si="522"/>
        <v>0</v>
      </c>
      <c r="AS311" t="b">
        <f t="shared" si="523"/>
        <v>0</v>
      </c>
      <c r="AT311" t="b">
        <f t="shared" si="524"/>
        <v>0</v>
      </c>
      <c r="AU311" t="b">
        <f t="shared" si="525"/>
        <v>0</v>
      </c>
      <c r="AV311" t="b">
        <f t="shared" si="526"/>
        <v>0</v>
      </c>
      <c r="AW311" t="b">
        <f t="shared" si="527"/>
        <v>0</v>
      </c>
      <c r="AX311" t="b">
        <f t="shared" si="529"/>
        <v>0</v>
      </c>
      <c r="AY311" t="b">
        <f t="shared" si="530"/>
        <v>0</v>
      </c>
      <c r="AZ311">
        <f t="shared" si="531"/>
        <v>1</v>
      </c>
      <c r="BA311" t="b">
        <f t="shared" si="532"/>
        <v>0</v>
      </c>
      <c r="BB311" t="b">
        <f t="shared" si="533"/>
        <v>0</v>
      </c>
      <c r="BC311" t="b">
        <f t="shared" si="534"/>
        <v>0</v>
      </c>
      <c r="BD311" t="b">
        <f t="shared" si="535"/>
        <v>0</v>
      </c>
      <c r="BE311" t="b">
        <f t="shared" si="536"/>
        <v>0</v>
      </c>
      <c r="BF311" t="b">
        <f t="shared" si="537"/>
        <v>0</v>
      </c>
      <c r="BG311" t="b">
        <f t="shared" si="538"/>
        <v>0</v>
      </c>
      <c r="BH311" t="b">
        <f t="shared" si="539"/>
        <v>0</v>
      </c>
      <c r="BI311">
        <f t="shared" si="540"/>
        <v>1</v>
      </c>
      <c r="BJ311">
        <f t="shared" si="541"/>
        <v>1</v>
      </c>
      <c r="BK311" t="b">
        <f t="shared" si="542"/>
        <v>0</v>
      </c>
      <c r="BL311" t="b">
        <f t="shared" si="543"/>
        <v>0</v>
      </c>
      <c r="BM311">
        <f t="shared" si="544"/>
        <v>1</v>
      </c>
      <c r="BN311" t="b">
        <f t="shared" si="545"/>
        <v>0</v>
      </c>
      <c r="BO311" t="b">
        <f t="shared" si="546"/>
        <v>0</v>
      </c>
      <c r="BP311" t="b">
        <f t="shared" si="547"/>
        <v>0</v>
      </c>
      <c r="BQ311" t="b">
        <f t="shared" si="548"/>
        <v>0</v>
      </c>
      <c r="BR311">
        <f t="shared" si="549"/>
        <v>1</v>
      </c>
      <c r="BS311" t="b">
        <f t="shared" si="550"/>
        <v>0</v>
      </c>
      <c r="BT311" t="b">
        <f t="shared" si="551"/>
        <v>0</v>
      </c>
      <c r="BU311" t="b">
        <f t="shared" si="552"/>
        <v>0</v>
      </c>
      <c r="BV311" t="b">
        <f t="shared" si="553"/>
        <v>0</v>
      </c>
      <c r="BW311" t="b">
        <f t="shared" si="554"/>
        <v>0</v>
      </c>
      <c r="BX311" t="b">
        <f t="shared" si="555"/>
        <v>0</v>
      </c>
      <c r="BY311" t="b">
        <f t="shared" si="556"/>
        <v>0</v>
      </c>
      <c r="BZ311" t="b">
        <f t="shared" si="557"/>
        <v>0</v>
      </c>
      <c r="CA311" t="b">
        <f t="shared" si="558"/>
        <v>0</v>
      </c>
      <c r="CB311" t="b">
        <f t="shared" si="559"/>
        <v>0</v>
      </c>
      <c r="CC311">
        <f t="shared" si="560"/>
        <v>1</v>
      </c>
      <c r="CD311" t="b">
        <f t="shared" si="561"/>
        <v>0</v>
      </c>
      <c r="CE311" t="b">
        <f t="shared" si="562"/>
        <v>0</v>
      </c>
      <c r="CF311" t="b">
        <f t="shared" si="563"/>
        <v>0</v>
      </c>
      <c r="CG311" t="b">
        <f t="shared" si="564"/>
        <v>0</v>
      </c>
      <c r="CH311" t="b">
        <f t="shared" si="565"/>
        <v>0</v>
      </c>
      <c r="CI311" t="b">
        <f t="shared" si="566"/>
        <v>0</v>
      </c>
      <c r="CJ311" t="b">
        <f t="shared" si="567"/>
        <v>0</v>
      </c>
      <c r="CK311">
        <f t="shared" si="568"/>
        <v>1</v>
      </c>
      <c r="CL311" t="b">
        <f t="shared" si="569"/>
        <v>0</v>
      </c>
      <c r="CM311">
        <f t="shared" si="570"/>
        <v>1</v>
      </c>
      <c r="CN311" t="b">
        <f t="shared" si="571"/>
        <v>0</v>
      </c>
      <c r="CO311" t="b">
        <f t="shared" si="572"/>
        <v>0</v>
      </c>
      <c r="CP311" t="b">
        <f t="shared" si="573"/>
        <v>0</v>
      </c>
      <c r="CQ311" t="b">
        <f t="shared" si="574"/>
        <v>0</v>
      </c>
      <c r="CR311" t="b">
        <f t="shared" si="575"/>
        <v>0</v>
      </c>
      <c r="CS311" t="b">
        <f t="shared" si="576"/>
        <v>0</v>
      </c>
      <c r="CT311" t="b">
        <f t="shared" si="577"/>
        <v>0</v>
      </c>
      <c r="CU311" t="b">
        <f t="shared" si="578"/>
        <v>0</v>
      </c>
      <c r="CV311" t="b">
        <f t="shared" si="579"/>
        <v>0</v>
      </c>
      <c r="CW311" t="b">
        <f t="shared" si="580"/>
        <v>0</v>
      </c>
      <c r="CX311" t="b">
        <f t="shared" si="581"/>
        <v>0</v>
      </c>
      <c r="CY311" t="b">
        <f t="shared" si="582"/>
        <v>0</v>
      </c>
      <c r="CZ311" t="b">
        <f t="shared" si="583"/>
        <v>0</v>
      </c>
      <c r="DA311">
        <f t="shared" si="584"/>
        <v>1</v>
      </c>
      <c r="DB311">
        <f t="shared" si="585"/>
        <v>1</v>
      </c>
      <c r="DC311" t="b">
        <f t="shared" si="586"/>
        <v>0</v>
      </c>
      <c r="DD311" t="b">
        <f t="shared" si="587"/>
        <v>0</v>
      </c>
      <c r="DE311" t="b">
        <f t="shared" si="588"/>
        <v>0</v>
      </c>
      <c r="DF311" t="b">
        <f t="shared" si="589"/>
        <v>0</v>
      </c>
      <c r="DG311" t="b">
        <f t="shared" si="590"/>
        <v>0</v>
      </c>
      <c r="DH311" t="b">
        <f t="shared" si="591"/>
        <v>0</v>
      </c>
      <c r="DI311" t="b">
        <f t="shared" si="592"/>
        <v>0</v>
      </c>
      <c r="DJ311" t="b">
        <f t="shared" si="593"/>
        <v>0</v>
      </c>
      <c r="DK311" t="b">
        <f t="shared" si="594"/>
        <v>0</v>
      </c>
      <c r="DL311" t="b">
        <f t="shared" si="595"/>
        <v>0</v>
      </c>
      <c r="DM311" t="b">
        <f t="shared" si="596"/>
        <v>0</v>
      </c>
      <c r="DN311" t="b">
        <f t="shared" si="597"/>
        <v>0</v>
      </c>
      <c r="DO311" t="b">
        <f t="shared" si="598"/>
        <v>0</v>
      </c>
      <c r="DP311" t="b">
        <f t="shared" si="599"/>
        <v>0</v>
      </c>
      <c r="DQ311" t="b">
        <f t="shared" si="600"/>
        <v>0</v>
      </c>
      <c r="DR311" t="b">
        <f t="shared" si="601"/>
        <v>0</v>
      </c>
      <c r="DS311" t="b">
        <f t="shared" si="602"/>
        <v>0</v>
      </c>
      <c r="DT311" t="b">
        <f t="shared" si="603"/>
        <v>0</v>
      </c>
      <c r="DU311" t="b">
        <f t="shared" si="604"/>
        <v>0</v>
      </c>
      <c r="DV311" t="b">
        <f t="shared" si="605"/>
        <v>0</v>
      </c>
      <c r="DW311" t="b">
        <f t="shared" si="606"/>
        <v>0</v>
      </c>
      <c r="DX311" t="b">
        <f t="shared" si="607"/>
        <v>0</v>
      </c>
      <c r="DY311" t="b">
        <f t="shared" si="608"/>
        <v>0</v>
      </c>
      <c r="DZ311" t="b">
        <f t="shared" si="609"/>
        <v>0</v>
      </c>
      <c r="EA311" t="b">
        <f t="shared" si="610"/>
        <v>0</v>
      </c>
      <c r="EB311" t="b">
        <f t="shared" si="611"/>
        <v>0</v>
      </c>
      <c r="EC311" t="b">
        <f t="shared" si="612"/>
        <v>0</v>
      </c>
      <c r="ED311" t="b">
        <f t="shared" si="613"/>
        <v>0</v>
      </c>
      <c r="EE311" t="b">
        <f t="shared" si="614"/>
        <v>0</v>
      </c>
      <c r="EF311" t="b">
        <f t="shared" si="615"/>
        <v>0</v>
      </c>
      <c r="EG311" t="b">
        <f t="shared" si="616"/>
        <v>0</v>
      </c>
      <c r="EH311" t="b">
        <f t="shared" si="617"/>
        <v>0</v>
      </c>
      <c r="EI311" t="b">
        <f t="shared" si="618"/>
        <v>0</v>
      </c>
      <c r="EJ311" t="b">
        <f t="shared" si="619"/>
        <v>0</v>
      </c>
      <c r="EK311" t="b">
        <f t="shared" si="620"/>
        <v>0</v>
      </c>
    </row>
    <row r="312" spans="1:141">
      <c r="A312" t="s">
        <v>1639</v>
      </c>
      <c r="B312" t="s">
        <v>1640</v>
      </c>
      <c r="C312" t="s">
        <v>1641</v>
      </c>
      <c r="D312" s="1">
        <v>44746</v>
      </c>
      <c r="E312" s="2">
        <v>44756.020381944443</v>
      </c>
      <c r="F312" s="2">
        <v>44756.040185185186</v>
      </c>
      <c r="G312">
        <v>533886</v>
      </c>
      <c r="H312" t="s">
        <v>1642</v>
      </c>
      <c r="I312" s="10" t="s">
        <v>1643</v>
      </c>
      <c r="J312" t="s">
        <v>1644</v>
      </c>
      <c r="K312" s="8" t="b">
        <v>1</v>
      </c>
      <c r="L312" s="10" t="b">
        <v>0</v>
      </c>
      <c r="M312" s="12" t="b">
        <v>0</v>
      </c>
      <c r="N312" t="b">
        <v>0</v>
      </c>
      <c r="O312" t="b">
        <v>0</v>
      </c>
      <c r="P312" t="b">
        <v>0</v>
      </c>
      <c r="Q312">
        <f t="shared" si="497"/>
        <v>2</v>
      </c>
      <c r="R312">
        <f t="shared" si="498"/>
        <v>7</v>
      </c>
      <c r="S312" t="e">
        <f t="shared" ca="1" si="528"/>
        <v>#NAME?</v>
      </c>
      <c r="T312" t="e">
        <f t="shared" ca="1" si="499"/>
        <v>#NAME?</v>
      </c>
      <c r="U312" s="4">
        <f t="shared" si="500"/>
        <v>10.020381944443216</v>
      </c>
      <c r="V312" s="4">
        <f t="shared" si="501"/>
        <v>0.33401273148144051</v>
      </c>
      <c r="W312" s="4">
        <f t="shared" si="502"/>
        <v>1</v>
      </c>
      <c r="X312" s="4">
        <f t="shared" si="503"/>
        <v>0</v>
      </c>
      <c r="Y312" s="4">
        <f t="shared" si="504"/>
        <v>0</v>
      </c>
      <c r="Z312" s="4">
        <f t="shared" si="505"/>
        <v>0</v>
      </c>
      <c r="AA312" s="4">
        <f t="shared" si="506"/>
        <v>0</v>
      </c>
      <c r="AB312" s="4">
        <f t="shared" si="507"/>
        <v>0</v>
      </c>
      <c r="AC312" s="4"/>
      <c r="AD312" s="4" t="b">
        <f t="shared" si="508"/>
        <v>0</v>
      </c>
      <c r="AE312" s="4" t="b">
        <f t="shared" si="509"/>
        <v>0</v>
      </c>
      <c r="AF312" s="4" t="b">
        <f t="shared" si="510"/>
        <v>0</v>
      </c>
      <c r="AG312" t="b">
        <f t="shared" si="511"/>
        <v>0</v>
      </c>
      <c r="AH312" t="b">
        <f t="shared" si="512"/>
        <v>0</v>
      </c>
      <c r="AI312" t="b">
        <f t="shared" si="513"/>
        <v>0</v>
      </c>
      <c r="AJ312" t="b">
        <f t="shared" si="514"/>
        <v>0</v>
      </c>
      <c r="AK312">
        <f t="shared" si="515"/>
        <v>1</v>
      </c>
      <c r="AL312" t="b">
        <f t="shared" si="516"/>
        <v>0</v>
      </c>
      <c r="AM312" t="b">
        <f t="shared" si="517"/>
        <v>0</v>
      </c>
      <c r="AN312" t="b">
        <f t="shared" si="518"/>
        <v>0</v>
      </c>
      <c r="AO312" t="b">
        <f t="shared" si="519"/>
        <v>0</v>
      </c>
      <c r="AP312" t="b">
        <f t="shared" si="520"/>
        <v>0</v>
      </c>
      <c r="AQ312" t="b">
        <f t="shared" si="521"/>
        <v>0</v>
      </c>
      <c r="AR312" t="b">
        <f t="shared" si="522"/>
        <v>0</v>
      </c>
      <c r="AS312" t="b">
        <f t="shared" si="523"/>
        <v>0</v>
      </c>
      <c r="AT312" t="b">
        <f t="shared" si="524"/>
        <v>0</v>
      </c>
      <c r="AU312" t="b">
        <f t="shared" si="525"/>
        <v>0</v>
      </c>
      <c r="AV312" t="b">
        <f t="shared" si="526"/>
        <v>0</v>
      </c>
      <c r="AW312" t="b">
        <f t="shared" si="527"/>
        <v>0</v>
      </c>
      <c r="AX312" t="b">
        <f t="shared" si="529"/>
        <v>0</v>
      </c>
      <c r="AY312" t="b">
        <f t="shared" si="530"/>
        <v>0</v>
      </c>
      <c r="AZ312">
        <f t="shared" si="531"/>
        <v>1</v>
      </c>
      <c r="BA312" t="b">
        <f t="shared" si="532"/>
        <v>0</v>
      </c>
      <c r="BB312" t="b">
        <f t="shared" si="533"/>
        <v>0</v>
      </c>
      <c r="BC312" t="b">
        <f t="shared" si="534"/>
        <v>0</v>
      </c>
      <c r="BD312" t="b">
        <f t="shared" si="535"/>
        <v>0</v>
      </c>
      <c r="BE312" t="b">
        <f t="shared" si="536"/>
        <v>0</v>
      </c>
      <c r="BF312" t="b">
        <f t="shared" si="537"/>
        <v>0</v>
      </c>
      <c r="BG312" t="b">
        <f t="shared" si="538"/>
        <v>0</v>
      </c>
      <c r="BH312" t="b">
        <f t="shared" si="539"/>
        <v>0</v>
      </c>
      <c r="BI312">
        <f t="shared" si="540"/>
        <v>1</v>
      </c>
      <c r="BJ312" t="b">
        <f t="shared" si="541"/>
        <v>0</v>
      </c>
      <c r="BK312" t="b">
        <f t="shared" si="542"/>
        <v>0</v>
      </c>
      <c r="BL312" t="b">
        <f t="shared" si="543"/>
        <v>0</v>
      </c>
      <c r="BM312" t="b">
        <f t="shared" si="544"/>
        <v>0</v>
      </c>
      <c r="BN312" t="b">
        <f t="shared" si="545"/>
        <v>0</v>
      </c>
      <c r="BO312" t="b">
        <f t="shared" si="546"/>
        <v>0</v>
      </c>
      <c r="BP312" t="b">
        <f t="shared" si="547"/>
        <v>0</v>
      </c>
      <c r="BQ312" t="b">
        <f t="shared" si="548"/>
        <v>0</v>
      </c>
      <c r="BR312">
        <f t="shared" si="549"/>
        <v>1</v>
      </c>
      <c r="BS312" t="b">
        <f t="shared" si="550"/>
        <v>0</v>
      </c>
      <c r="BT312" t="b">
        <f t="shared" si="551"/>
        <v>0</v>
      </c>
      <c r="BU312" t="b">
        <f t="shared" si="552"/>
        <v>0</v>
      </c>
      <c r="BV312" t="b">
        <f t="shared" si="553"/>
        <v>0</v>
      </c>
      <c r="BW312" t="b">
        <f t="shared" si="554"/>
        <v>0</v>
      </c>
      <c r="BX312" t="b">
        <f t="shared" si="555"/>
        <v>0</v>
      </c>
      <c r="BY312" t="b">
        <f t="shared" si="556"/>
        <v>0</v>
      </c>
      <c r="BZ312" t="b">
        <f t="shared" si="557"/>
        <v>0</v>
      </c>
      <c r="CA312" t="b">
        <f t="shared" si="558"/>
        <v>0</v>
      </c>
      <c r="CB312" t="b">
        <f t="shared" si="559"/>
        <v>0</v>
      </c>
      <c r="CC312" t="b">
        <f t="shared" si="560"/>
        <v>0</v>
      </c>
      <c r="CD312" t="b">
        <f t="shared" si="561"/>
        <v>0</v>
      </c>
      <c r="CE312" t="b">
        <f t="shared" si="562"/>
        <v>0</v>
      </c>
      <c r="CF312" t="b">
        <f t="shared" si="563"/>
        <v>0</v>
      </c>
      <c r="CG312" t="b">
        <f t="shared" si="564"/>
        <v>0</v>
      </c>
      <c r="CH312" t="b">
        <f t="shared" si="565"/>
        <v>0</v>
      </c>
      <c r="CI312" t="b">
        <f t="shared" si="566"/>
        <v>0</v>
      </c>
      <c r="CJ312" t="b">
        <f t="shared" si="567"/>
        <v>0</v>
      </c>
      <c r="CK312" t="b">
        <f t="shared" si="568"/>
        <v>0</v>
      </c>
      <c r="CL312" t="b">
        <f t="shared" si="569"/>
        <v>0</v>
      </c>
      <c r="CM312">
        <f t="shared" si="570"/>
        <v>1</v>
      </c>
      <c r="CN312" t="b">
        <f t="shared" si="571"/>
        <v>0</v>
      </c>
      <c r="CO312" t="b">
        <f t="shared" si="572"/>
        <v>0</v>
      </c>
      <c r="CP312" t="b">
        <f t="shared" si="573"/>
        <v>0</v>
      </c>
      <c r="CQ312" t="b">
        <f t="shared" si="574"/>
        <v>0</v>
      </c>
      <c r="CR312" t="b">
        <f t="shared" si="575"/>
        <v>0</v>
      </c>
      <c r="CS312" t="b">
        <f t="shared" si="576"/>
        <v>0</v>
      </c>
      <c r="CT312" t="b">
        <f t="shared" si="577"/>
        <v>0</v>
      </c>
      <c r="CU312" t="b">
        <f t="shared" si="578"/>
        <v>0</v>
      </c>
      <c r="CV312" t="b">
        <f t="shared" si="579"/>
        <v>0</v>
      </c>
      <c r="CW312" t="b">
        <f t="shared" si="580"/>
        <v>0</v>
      </c>
      <c r="CX312" t="b">
        <f t="shared" si="581"/>
        <v>0</v>
      </c>
      <c r="CY312" t="b">
        <f t="shared" si="582"/>
        <v>0</v>
      </c>
      <c r="CZ312" t="b">
        <f t="shared" si="583"/>
        <v>0</v>
      </c>
      <c r="DA312">
        <f t="shared" si="584"/>
        <v>1</v>
      </c>
      <c r="DB312">
        <f t="shared" si="585"/>
        <v>1</v>
      </c>
      <c r="DC312" t="b">
        <f t="shared" si="586"/>
        <v>0</v>
      </c>
      <c r="DD312" t="b">
        <f t="shared" si="587"/>
        <v>0</v>
      </c>
      <c r="DE312" t="b">
        <f t="shared" si="588"/>
        <v>0</v>
      </c>
      <c r="DF312" t="b">
        <f t="shared" si="589"/>
        <v>0</v>
      </c>
      <c r="DG312" t="b">
        <f t="shared" si="590"/>
        <v>0</v>
      </c>
      <c r="DH312" t="b">
        <f t="shared" si="591"/>
        <v>0</v>
      </c>
      <c r="DI312" t="b">
        <f t="shared" si="592"/>
        <v>0</v>
      </c>
      <c r="DJ312" t="b">
        <f t="shared" si="593"/>
        <v>0</v>
      </c>
      <c r="DK312" t="b">
        <f t="shared" si="594"/>
        <v>0</v>
      </c>
      <c r="DL312" t="b">
        <f t="shared" si="595"/>
        <v>0</v>
      </c>
      <c r="DM312" t="b">
        <f t="shared" si="596"/>
        <v>0</v>
      </c>
      <c r="DN312" t="b">
        <f t="shared" si="597"/>
        <v>0</v>
      </c>
      <c r="DO312" t="b">
        <f t="shared" si="598"/>
        <v>0</v>
      </c>
      <c r="DP312" t="b">
        <f t="shared" si="599"/>
        <v>0</v>
      </c>
      <c r="DQ312" t="b">
        <f t="shared" si="600"/>
        <v>0</v>
      </c>
      <c r="DR312" t="b">
        <f t="shared" si="601"/>
        <v>0</v>
      </c>
      <c r="DS312" t="b">
        <f t="shared" si="602"/>
        <v>0</v>
      </c>
      <c r="DT312" t="b">
        <f t="shared" si="603"/>
        <v>0</v>
      </c>
      <c r="DU312" t="b">
        <f t="shared" si="604"/>
        <v>0</v>
      </c>
      <c r="DV312" t="b">
        <f t="shared" si="605"/>
        <v>0</v>
      </c>
      <c r="DW312" t="b">
        <f t="shared" si="606"/>
        <v>0</v>
      </c>
      <c r="DX312" t="b">
        <f t="shared" si="607"/>
        <v>0</v>
      </c>
      <c r="DY312" t="b">
        <f t="shared" si="608"/>
        <v>0</v>
      </c>
      <c r="DZ312" t="b">
        <f t="shared" si="609"/>
        <v>0</v>
      </c>
      <c r="EA312" t="b">
        <f t="shared" si="610"/>
        <v>0</v>
      </c>
      <c r="EB312" t="b">
        <f t="shared" si="611"/>
        <v>0</v>
      </c>
      <c r="EC312" t="b">
        <f t="shared" si="612"/>
        <v>0</v>
      </c>
      <c r="ED312" t="b">
        <f t="shared" si="613"/>
        <v>0</v>
      </c>
      <c r="EE312" t="b">
        <f t="shared" si="614"/>
        <v>0</v>
      </c>
      <c r="EF312" t="b">
        <f t="shared" si="615"/>
        <v>0</v>
      </c>
      <c r="EG312" t="b">
        <f t="shared" si="616"/>
        <v>0</v>
      </c>
      <c r="EH312" t="b">
        <f t="shared" si="617"/>
        <v>0</v>
      </c>
      <c r="EI312" t="b">
        <f t="shared" si="618"/>
        <v>0</v>
      </c>
      <c r="EJ312" t="b">
        <f t="shared" si="619"/>
        <v>0</v>
      </c>
      <c r="EK312" t="b">
        <f t="shared" si="620"/>
        <v>0</v>
      </c>
    </row>
    <row r="313" spans="1:141">
      <c r="A313" t="s">
        <v>1645</v>
      </c>
      <c r="B313" t="s">
        <v>1645</v>
      </c>
      <c r="C313" t="s">
        <v>1646</v>
      </c>
      <c r="D313" s="1">
        <v>43309</v>
      </c>
      <c r="E313" s="2">
        <v>43320.122986111113</v>
      </c>
      <c r="F313" s="2">
        <v>43320.122986111113</v>
      </c>
      <c r="G313">
        <v>45120</v>
      </c>
      <c r="H313" t="s">
        <v>1647</v>
      </c>
      <c r="I313" s="10" t="s">
        <v>1648</v>
      </c>
      <c r="J313" t="s">
        <v>1649</v>
      </c>
      <c r="K313" s="8" t="b">
        <v>1</v>
      </c>
      <c r="L313" s="10" t="b">
        <v>0</v>
      </c>
      <c r="M313" s="12" t="b">
        <v>0</v>
      </c>
      <c r="N313" t="b">
        <v>0</v>
      </c>
      <c r="O313" t="b">
        <v>0</v>
      </c>
      <c r="P313" t="b">
        <v>0</v>
      </c>
      <c r="Q313">
        <f t="shared" si="497"/>
        <v>7</v>
      </c>
      <c r="R313">
        <f t="shared" si="498"/>
        <v>7</v>
      </c>
      <c r="S313" t="e">
        <f t="shared" ca="1" si="528"/>
        <v>#NAME?</v>
      </c>
      <c r="T313" t="e">
        <f t="shared" ca="1" si="499"/>
        <v>#NAME?</v>
      </c>
      <c r="U313" s="4">
        <f t="shared" si="500"/>
        <v>11.122986111113278</v>
      </c>
      <c r="V313" s="4">
        <f t="shared" si="501"/>
        <v>0.37076620370377594</v>
      </c>
      <c r="W313" s="4">
        <f t="shared" si="502"/>
        <v>1</v>
      </c>
      <c r="X313" s="4">
        <f t="shared" si="503"/>
        <v>0</v>
      </c>
      <c r="Y313" s="4">
        <f t="shared" si="504"/>
        <v>0</v>
      </c>
      <c r="Z313" s="4">
        <f t="shared" si="505"/>
        <v>0</v>
      </c>
      <c r="AA313" s="4">
        <f t="shared" si="506"/>
        <v>0</v>
      </c>
      <c r="AB313" s="4">
        <f t="shared" si="507"/>
        <v>0</v>
      </c>
      <c r="AC313" s="4"/>
      <c r="AD313" s="4" t="b">
        <f t="shared" si="508"/>
        <v>0</v>
      </c>
      <c r="AE313" s="4" t="b">
        <f t="shared" si="509"/>
        <v>0</v>
      </c>
      <c r="AF313" s="4" t="b">
        <f t="shared" si="510"/>
        <v>0</v>
      </c>
      <c r="AG313" t="b">
        <f t="shared" si="511"/>
        <v>0</v>
      </c>
      <c r="AH313" t="b">
        <f t="shared" si="512"/>
        <v>0</v>
      </c>
      <c r="AI313" t="b">
        <f t="shared" si="513"/>
        <v>0</v>
      </c>
      <c r="AJ313" t="b">
        <f t="shared" si="514"/>
        <v>0</v>
      </c>
      <c r="AK313" t="b">
        <f t="shared" si="515"/>
        <v>0</v>
      </c>
      <c r="AL313" t="b">
        <f t="shared" si="516"/>
        <v>0</v>
      </c>
      <c r="AM313" t="b">
        <f t="shared" si="517"/>
        <v>0</v>
      </c>
      <c r="AN313" t="b">
        <f t="shared" si="518"/>
        <v>0</v>
      </c>
      <c r="AO313" t="b">
        <f t="shared" si="519"/>
        <v>0</v>
      </c>
      <c r="AP313" t="b">
        <f t="shared" si="520"/>
        <v>0</v>
      </c>
      <c r="AQ313" t="b">
        <f t="shared" si="521"/>
        <v>0</v>
      </c>
      <c r="AR313" t="b">
        <f t="shared" si="522"/>
        <v>0</v>
      </c>
      <c r="AS313" t="b">
        <f t="shared" si="523"/>
        <v>0</v>
      </c>
      <c r="AT313" t="b">
        <f t="shared" si="524"/>
        <v>0</v>
      </c>
      <c r="AU313" t="b">
        <f t="shared" si="525"/>
        <v>0</v>
      </c>
      <c r="AV313" t="b">
        <f t="shared" si="526"/>
        <v>0</v>
      </c>
      <c r="AW313" t="b">
        <f t="shared" si="527"/>
        <v>0</v>
      </c>
      <c r="AX313" t="b">
        <f t="shared" si="529"/>
        <v>0</v>
      </c>
      <c r="AY313" t="b">
        <f t="shared" si="530"/>
        <v>0</v>
      </c>
      <c r="AZ313" t="b">
        <f t="shared" si="531"/>
        <v>0</v>
      </c>
      <c r="BA313" t="b">
        <f t="shared" si="532"/>
        <v>0</v>
      </c>
      <c r="BB313" t="b">
        <f t="shared" si="533"/>
        <v>0</v>
      </c>
      <c r="BC313" t="b">
        <f t="shared" si="534"/>
        <v>0</v>
      </c>
      <c r="BD313" t="b">
        <f t="shared" si="535"/>
        <v>0</v>
      </c>
      <c r="BE313" t="b">
        <f t="shared" si="536"/>
        <v>0</v>
      </c>
      <c r="BF313" t="b">
        <f t="shared" si="537"/>
        <v>0</v>
      </c>
      <c r="BG313" t="b">
        <f t="shared" si="538"/>
        <v>0</v>
      </c>
      <c r="BH313" t="b">
        <f t="shared" si="539"/>
        <v>0</v>
      </c>
      <c r="BI313">
        <f t="shared" si="540"/>
        <v>1</v>
      </c>
      <c r="BJ313" t="b">
        <f t="shared" si="541"/>
        <v>0</v>
      </c>
      <c r="BK313" t="b">
        <f t="shared" si="542"/>
        <v>0</v>
      </c>
      <c r="BL313" t="b">
        <f t="shared" si="543"/>
        <v>0</v>
      </c>
      <c r="BM313" t="b">
        <f t="shared" si="544"/>
        <v>0</v>
      </c>
      <c r="BN313" t="b">
        <f t="shared" si="545"/>
        <v>0</v>
      </c>
      <c r="BO313" t="b">
        <f t="shared" si="546"/>
        <v>0</v>
      </c>
      <c r="BP313" t="b">
        <f t="shared" si="547"/>
        <v>0</v>
      </c>
      <c r="BQ313" t="b">
        <f t="shared" si="548"/>
        <v>0</v>
      </c>
      <c r="BR313" t="b">
        <f t="shared" si="549"/>
        <v>0</v>
      </c>
      <c r="BS313" t="b">
        <f t="shared" si="550"/>
        <v>0</v>
      </c>
      <c r="BT313" t="b">
        <f t="shared" si="551"/>
        <v>0</v>
      </c>
      <c r="BU313" t="b">
        <f t="shared" si="552"/>
        <v>0</v>
      </c>
      <c r="BV313" t="b">
        <f t="shared" si="553"/>
        <v>0</v>
      </c>
      <c r="BW313" t="b">
        <f t="shared" si="554"/>
        <v>0</v>
      </c>
      <c r="BX313" t="b">
        <f t="shared" si="555"/>
        <v>0</v>
      </c>
      <c r="BY313" t="b">
        <f t="shared" si="556"/>
        <v>0</v>
      </c>
      <c r="BZ313" t="b">
        <f t="shared" si="557"/>
        <v>0</v>
      </c>
      <c r="CA313" t="b">
        <f t="shared" si="558"/>
        <v>0</v>
      </c>
      <c r="CB313" t="b">
        <f t="shared" si="559"/>
        <v>0</v>
      </c>
      <c r="CC313" t="b">
        <f t="shared" si="560"/>
        <v>0</v>
      </c>
      <c r="CD313" t="b">
        <f t="shared" si="561"/>
        <v>0</v>
      </c>
      <c r="CE313" t="b">
        <f t="shared" si="562"/>
        <v>0</v>
      </c>
      <c r="CF313" t="b">
        <f t="shared" si="563"/>
        <v>0</v>
      </c>
      <c r="CG313" t="b">
        <f t="shared" si="564"/>
        <v>0</v>
      </c>
      <c r="CH313" t="b">
        <f t="shared" si="565"/>
        <v>0</v>
      </c>
      <c r="CI313" t="b">
        <f t="shared" si="566"/>
        <v>0</v>
      </c>
      <c r="CJ313" t="b">
        <f t="shared" si="567"/>
        <v>0</v>
      </c>
      <c r="CK313" t="b">
        <f t="shared" si="568"/>
        <v>0</v>
      </c>
      <c r="CL313" t="b">
        <f t="shared" si="569"/>
        <v>0</v>
      </c>
      <c r="CM313">
        <f t="shared" si="570"/>
        <v>1</v>
      </c>
      <c r="CN313" t="b">
        <f t="shared" si="571"/>
        <v>0</v>
      </c>
      <c r="CO313" t="b">
        <f t="shared" si="572"/>
        <v>0</v>
      </c>
      <c r="CP313" t="b">
        <f t="shared" si="573"/>
        <v>0</v>
      </c>
      <c r="CQ313" t="b">
        <f t="shared" si="574"/>
        <v>0</v>
      </c>
      <c r="CR313" t="b">
        <f t="shared" si="575"/>
        <v>0</v>
      </c>
      <c r="CS313" t="b">
        <f t="shared" si="576"/>
        <v>0</v>
      </c>
      <c r="CT313" t="b">
        <f t="shared" si="577"/>
        <v>0</v>
      </c>
      <c r="CU313" t="b">
        <f t="shared" si="578"/>
        <v>0</v>
      </c>
      <c r="CV313">
        <f t="shared" si="579"/>
        <v>1</v>
      </c>
      <c r="CW313" t="b">
        <f t="shared" si="580"/>
        <v>0</v>
      </c>
      <c r="CX313" t="b">
        <f t="shared" si="581"/>
        <v>0</v>
      </c>
      <c r="CY313" t="b">
        <f t="shared" si="582"/>
        <v>0</v>
      </c>
      <c r="CZ313" t="b">
        <f t="shared" si="583"/>
        <v>0</v>
      </c>
      <c r="DA313" t="b">
        <f t="shared" si="584"/>
        <v>0</v>
      </c>
      <c r="DB313">
        <f t="shared" si="585"/>
        <v>1</v>
      </c>
      <c r="DC313" t="b">
        <f t="shared" si="586"/>
        <v>0</v>
      </c>
      <c r="DD313" t="b">
        <f t="shared" si="587"/>
        <v>0</v>
      </c>
      <c r="DE313" t="b">
        <f t="shared" si="588"/>
        <v>0</v>
      </c>
      <c r="DF313" t="b">
        <f t="shared" si="589"/>
        <v>0</v>
      </c>
      <c r="DG313" t="b">
        <f t="shared" si="590"/>
        <v>0</v>
      </c>
      <c r="DH313" t="b">
        <f t="shared" si="591"/>
        <v>0</v>
      </c>
      <c r="DI313" t="b">
        <f t="shared" si="592"/>
        <v>0</v>
      </c>
      <c r="DJ313" t="b">
        <f t="shared" si="593"/>
        <v>0</v>
      </c>
      <c r="DK313" t="b">
        <f t="shared" si="594"/>
        <v>0</v>
      </c>
      <c r="DL313" t="b">
        <f t="shared" si="595"/>
        <v>0</v>
      </c>
      <c r="DM313" t="b">
        <f t="shared" si="596"/>
        <v>0</v>
      </c>
      <c r="DN313" t="b">
        <f t="shared" si="597"/>
        <v>0</v>
      </c>
      <c r="DO313" t="b">
        <f t="shared" si="598"/>
        <v>0</v>
      </c>
      <c r="DP313" t="b">
        <f t="shared" si="599"/>
        <v>0</v>
      </c>
      <c r="DQ313" t="b">
        <f t="shared" si="600"/>
        <v>0</v>
      </c>
      <c r="DR313" t="b">
        <f t="shared" si="601"/>
        <v>0</v>
      </c>
      <c r="DS313" t="b">
        <f t="shared" si="602"/>
        <v>0</v>
      </c>
      <c r="DT313" t="b">
        <f t="shared" si="603"/>
        <v>0</v>
      </c>
      <c r="DU313" t="b">
        <f t="shared" si="604"/>
        <v>0</v>
      </c>
      <c r="DV313" t="b">
        <f t="shared" si="605"/>
        <v>0</v>
      </c>
      <c r="DW313" t="b">
        <f t="shared" si="606"/>
        <v>0</v>
      </c>
      <c r="DX313" t="b">
        <f t="shared" si="607"/>
        <v>0</v>
      </c>
      <c r="DY313" t="b">
        <f t="shared" si="608"/>
        <v>0</v>
      </c>
      <c r="DZ313" t="b">
        <f t="shared" si="609"/>
        <v>0</v>
      </c>
      <c r="EA313" t="b">
        <f t="shared" si="610"/>
        <v>0</v>
      </c>
      <c r="EB313" t="b">
        <f t="shared" si="611"/>
        <v>0</v>
      </c>
      <c r="EC313" t="b">
        <f t="shared" si="612"/>
        <v>0</v>
      </c>
      <c r="ED313" t="b">
        <f t="shared" si="613"/>
        <v>0</v>
      </c>
      <c r="EE313" t="b">
        <f t="shared" si="614"/>
        <v>0</v>
      </c>
      <c r="EF313">
        <f t="shared" si="615"/>
        <v>1</v>
      </c>
      <c r="EG313" t="b">
        <f t="shared" si="616"/>
        <v>0</v>
      </c>
      <c r="EH313" t="b">
        <f t="shared" si="617"/>
        <v>0</v>
      </c>
      <c r="EI313" t="b">
        <f t="shared" si="618"/>
        <v>0</v>
      </c>
      <c r="EJ313" t="b">
        <f t="shared" si="619"/>
        <v>0</v>
      </c>
      <c r="EK313" t="b">
        <f t="shared" si="620"/>
        <v>0</v>
      </c>
    </row>
    <row r="314" spans="1:141">
      <c r="A314" t="s">
        <v>1650</v>
      </c>
      <c r="B314" t="s">
        <v>1651</v>
      </c>
      <c r="C314" t="s">
        <v>1652</v>
      </c>
      <c r="D314" s="1">
        <v>40990</v>
      </c>
      <c r="E314" s="2">
        <v>42633.83390046296</v>
      </c>
      <c r="F314" s="2">
        <v>42633.83390046296</v>
      </c>
      <c r="G314">
        <v>37217682</v>
      </c>
      <c r="H314" t="s">
        <v>1653</v>
      </c>
      <c r="I314" s="10" t="s">
        <v>1654</v>
      </c>
      <c r="J314" t="s">
        <v>1187</v>
      </c>
      <c r="K314" s="8" t="b">
        <v>1</v>
      </c>
      <c r="L314" s="10" t="b">
        <v>0</v>
      </c>
      <c r="M314" s="12" t="b">
        <v>0</v>
      </c>
      <c r="N314" t="b">
        <v>0</v>
      </c>
      <c r="O314" t="b">
        <v>0</v>
      </c>
      <c r="P314" t="b">
        <v>0</v>
      </c>
      <c r="Q314">
        <f t="shared" si="497"/>
        <v>5</v>
      </c>
      <c r="R314">
        <f t="shared" si="498"/>
        <v>3</v>
      </c>
      <c r="S314" t="e">
        <f t="shared" ca="1" si="528"/>
        <v>#NAME?</v>
      </c>
      <c r="T314" t="e">
        <f t="shared" ca="1" si="499"/>
        <v>#NAME?</v>
      </c>
      <c r="U314" s="4">
        <f t="shared" si="500"/>
        <v>1643.8339004629597</v>
      </c>
      <c r="V314" s="4">
        <f t="shared" si="501"/>
        <v>54.794463348765326</v>
      </c>
      <c r="W314" s="4">
        <f t="shared" si="502"/>
        <v>1</v>
      </c>
      <c r="X314" s="4">
        <f t="shared" si="503"/>
        <v>0</v>
      </c>
      <c r="Y314" s="4">
        <f t="shared" si="504"/>
        <v>0</v>
      </c>
      <c r="Z314" s="4">
        <f t="shared" si="505"/>
        <v>0</v>
      </c>
      <c r="AA314" s="4">
        <f t="shared" si="506"/>
        <v>0</v>
      </c>
      <c r="AB314" s="4">
        <f t="shared" si="507"/>
        <v>0</v>
      </c>
      <c r="AC314" s="4"/>
      <c r="AD314" s="4" t="b">
        <f t="shared" si="508"/>
        <v>0</v>
      </c>
      <c r="AE314" s="4" t="b">
        <f t="shared" si="509"/>
        <v>0</v>
      </c>
      <c r="AF314" s="4" t="b">
        <f t="shared" si="510"/>
        <v>0</v>
      </c>
      <c r="AG314" t="b">
        <f t="shared" si="511"/>
        <v>0</v>
      </c>
      <c r="AH314" t="b">
        <f t="shared" si="512"/>
        <v>0</v>
      </c>
      <c r="AI314" t="b">
        <f t="shared" si="513"/>
        <v>0</v>
      </c>
      <c r="AJ314" t="b">
        <f t="shared" si="514"/>
        <v>0</v>
      </c>
      <c r="AK314" t="b">
        <f t="shared" si="515"/>
        <v>0</v>
      </c>
      <c r="AL314" t="b">
        <f t="shared" si="516"/>
        <v>0</v>
      </c>
      <c r="AM314" t="b">
        <f t="shared" si="517"/>
        <v>0</v>
      </c>
      <c r="AN314" t="b">
        <f t="shared" si="518"/>
        <v>0</v>
      </c>
      <c r="AO314" t="b">
        <f t="shared" si="519"/>
        <v>0</v>
      </c>
      <c r="AP314" t="b">
        <f t="shared" si="520"/>
        <v>0</v>
      </c>
      <c r="AQ314" t="b">
        <f t="shared" si="521"/>
        <v>0</v>
      </c>
      <c r="AR314" t="b">
        <f t="shared" si="522"/>
        <v>0</v>
      </c>
      <c r="AS314" t="b">
        <f t="shared" si="523"/>
        <v>0</v>
      </c>
      <c r="AT314" t="b">
        <f t="shared" si="524"/>
        <v>0</v>
      </c>
      <c r="AU314" t="b">
        <f t="shared" si="525"/>
        <v>0</v>
      </c>
      <c r="AV314" t="b">
        <f t="shared" si="526"/>
        <v>0</v>
      </c>
      <c r="AW314" t="b">
        <f t="shared" si="527"/>
        <v>0</v>
      </c>
      <c r="AX314" t="b">
        <f t="shared" si="529"/>
        <v>0</v>
      </c>
      <c r="AY314" t="b">
        <f t="shared" si="530"/>
        <v>0</v>
      </c>
      <c r="AZ314" t="b">
        <f t="shared" si="531"/>
        <v>0</v>
      </c>
      <c r="BA314" t="b">
        <f t="shared" si="532"/>
        <v>0</v>
      </c>
      <c r="BB314" t="b">
        <f t="shared" si="533"/>
        <v>0</v>
      </c>
      <c r="BC314" t="b">
        <f t="shared" si="534"/>
        <v>0</v>
      </c>
      <c r="BD314" t="b">
        <f t="shared" si="535"/>
        <v>0</v>
      </c>
      <c r="BE314" t="b">
        <f t="shared" si="536"/>
        <v>0</v>
      </c>
      <c r="BF314" t="b">
        <f t="shared" si="537"/>
        <v>0</v>
      </c>
      <c r="BG314" t="b">
        <f t="shared" si="538"/>
        <v>0</v>
      </c>
      <c r="BH314" t="b">
        <f t="shared" si="539"/>
        <v>0</v>
      </c>
      <c r="BI314">
        <f t="shared" si="540"/>
        <v>1</v>
      </c>
      <c r="BJ314" t="b">
        <f t="shared" si="541"/>
        <v>0</v>
      </c>
      <c r="BK314" t="b">
        <f t="shared" si="542"/>
        <v>0</v>
      </c>
      <c r="BL314" t="b">
        <f t="shared" si="543"/>
        <v>0</v>
      </c>
      <c r="BM314" t="b">
        <f t="shared" si="544"/>
        <v>0</v>
      </c>
      <c r="BN314" t="b">
        <f t="shared" si="545"/>
        <v>0</v>
      </c>
      <c r="BO314" t="b">
        <f t="shared" si="546"/>
        <v>0</v>
      </c>
      <c r="BP314" t="b">
        <f t="shared" si="547"/>
        <v>0</v>
      </c>
      <c r="BQ314" t="b">
        <f t="shared" si="548"/>
        <v>0</v>
      </c>
      <c r="BR314" t="b">
        <f t="shared" si="549"/>
        <v>0</v>
      </c>
      <c r="BS314" t="b">
        <f t="shared" si="550"/>
        <v>0</v>
      </c>
      <c r="BT314" t="b">
        <f t="shared" si="551"/>
        <v>0</v>
      </c>
      <c r="BU314" t="b">
        <f t="shared" si="552"/>
        <v>0</v>
      </c>
      <c r="BV314" t="b">
        <f t="shared" si="553"/>
        <v>0</v>
      </c>
      <c r="BW314" t="b">
        <f t="shared" si="554"/>
        <v>0</v>
      </c>
      <c r="BX314" t="b">
        <f t="shared" si="555"/>
        <v>0</v>
      </c>
      <c r="BY314" t="b">
        <f t="shared" si="556"/>
        <v>0</v>
      </c>
      <c r="BZ314" t="b">
        <f t="shared" si="557"/>
        <v>0</v>
      </c>
      <c r="CA314" t="b">
        <f t="shared" si="558"/>
        <v>0</v>
      </c>
      <c r="CB314" t="b">
        <f t="shared" si="559"/>
        <v>0</v>
      </c>
      <c r="CC314" t="b">
        <f t="shared" si="560"/>
        <v>0</v>
      </c>
      <c r="CD314" t="b">
        <f t="shared" si="561"/>
        <v>0</v>
      </c>
      <c r="CE314" t="b">
        <f t="shared" si="562"/>
        <v>0</v>
      </c>
      <c r="CF314" t="b">
        <f t="shared" si="563"/>
        <v>0</v>
      </c>
      <c r="CG314" t="b">
        <f t="shared" si="564"/>
        <v>0</v>
      </c>
      <c r="CH314" t="b">
        <f t="shared" si="565"/>
        <v>0</v>
      </c>
      <c r="CI314" t="b">
        <f t="shared" si="566"/>
        <v>0</v>
      </c>
      <c r="CJ314" t="b">
        <f t="shared" si="567"/>
        <v>0</v>
      </c>
      <c r="CK314" t="b">
        <f t="shared" si="568"/>
        <v>0</v>
      </c>
      <c r="CL314" t="b">
        <f t="shared" si="569"/>
        <v>0</v>
      </c>
      <c r="CM314" t="b">
        <f t="shared" si="570"/>
        <v>0</v>
      </c>
      <c r="CN314" t="b">
        <f t="shared" si="571"/>
        <v>0</v>
      </c>
      <c r="CO314" t="b">
        <f t="shared" si="572"/>
        <v>0</v>
      </c>
      <c r="CP314" t="b">
        <f t="shared" si="573"/>
        <v>0</v>
      </c>
      <c r="CQ314" t="b">
        <f t="shared" si="574"/>
        <v>0</v>
      </c>
      <c r="CR314" t="b">
        <f t="shared" si="575"/>
        <v>0</v>
      </c>
      <c r="CS314" t="b">
        <f t="shared" si="576"/>
        <v>0</v>
      </c>
      <c r="CT314" t="b">
        <f t="shared" si="577"/>
        <v>0</v>
      </c>
      <c r="CU314" t="b">
        <f t="shared" si="578"/>
        <v>0</v>
      </c>
      <c r="CV314">
        <f t="shared" si="579"/>
        <v>1</v>
      </c>
      <c r="CW314" t="b">
        <f t="shared" si="580"/>
        <v>0</v>
      </c>
      <c r="CX314" t="b">
        <f t="shared" si="581"/>
        <v>0</v>
      </c>
      <c r="CY314" t="b">
        <f t="shared" si="582"/>
        <v>0</v>
      </c>
      <c r="CZ314" t="b">
        <f t="shared" si="583"/>
        <v>0</v>
      </c>
      <c r="DA314" t="b">
        <f t="shared" si="584"/>
        <v>0</v>
      </c>
      <c r="DB314" t="b">
        <f t="shared" si="585"/>
        <v>0</v>
      </c>
      <c r="DC314" t="b">
        <f t="shared" si="586"/>
        <v>0</v>
      </c>
      <c r="DD314" t="b">
        <f t="shared" si="587"/>
        <v>0</v>
      </c>
      <c r="DE314" t="b">
        <f t="shared" si="588"/>
        <v>0</v>
      </c>
      <c r="DF314" t="b">
        <f t="shared" si="589"/>
        <v>0</v>
      </c>
      <c r="DG314" t="b">
        <f t="shared" si="590"/>
        <v>0</v>
      </c>
      <c r="DH314" t="b">
        <f t="shared" si="591"/>
        <v>0</v>
      </c>
      <c r="DI314" t="b">
        <f t="shared" si="592"/>
        <v>0</v>
      </c>
      <c r="DJ314" t="b">
        <f t="shared" si="593"/>
        <v>0</v>
      </c>
      <c r="DK314" t="b">
        <f t="shared" si="594"/>
        <v>0</v>
      </c>
      <c r="DL314" t="b">
        <f t="shared" si="595"/>
        <v>0</v>
      </c>
      <c r="DM314" t="b">
        <f t="shared" si="596"/>
        <v>0</v>
      </c>
      <c r="DN314" t="b">
        <f t="shared" si="597"/>
        <v>0</v>
      </c>
      <c r="DO314" t="b">
        <f t="shared" si="598"/>
        <v>0</v>
      </c>
      <c r="DP314" t="b">
        <f t="shared" si="599"/>
        <v>0</v>
      </c>
      <c r="DQ314" t="b">
        <f t="shared" si="600"/>
        <v>0</v>
      </c>
      <c r="DR314" t="b">
        <f t="shared" si="601"/>
        <v>0</v>
      </c>
      <c r="DS314" t="b">
        <f t="shared" si="602"/>
        <v>0</v>
      </c>
      <c r="DT314" t="b">
        <f t="shared" si="603"/>
        <v>0</v>
      </c>
      <c r="DU314" t="b">
        <f t="shared" si="604"/>
        <v>0</v>
      </c>
      <c r="DV314" t="b">
        <f t="shared" si="605"/>
        <v>0</v>
      </c>
      <c r="DW314" t="b">
        <f t="shared" si="606"/>
        <v>0</v>
      </c>
      <c r="DX314" t="b">
        <f t="shared" si="607"/>
        <v>0</v>
      </c>
      <c r="DY314" t="b">
        <f t="shared" si="608"/>
        <v>0</v>
      </c>
      <c r="DZ314" t="b">
        <f t="shared" si="609"/>
        <v>0</v>
      </c>
      <c r="EA314" t="b">
        <f t="shared" si="610"/>
        <v>0</v>
      </c>
      <c r="EB314" t="b">
        <f t="shared" si="611"/>
        <v>0</v>
      </c>
      <c r="EC314" t="b">
        <f t="shared" si="612"/>
        <v>0</v>
      </c>
      <c r="ED314" t="b">
        <f t="shared" si="613"/>
        <v>0</v>
      </c>
      <c r="EE314" t="b">
        <f t="shared" si="614"/>
        <v>0</v>
      </c>
      <c r="EF314">
        <f t="shared" si="615"/>
        <v>1</v>
      </c>
      <c r="EG314" t="b">
        <f t="shared" si="616"/>
        <v>0</v>
      </c>
      <c r="EH314" t="b">
        <f t="shared" si="617"/>
        <v>0</v>
      </c>
      <c r="EI314">
        <f t="shared" si="618"/>
        <v>1</v>
      </c>
      <c r="EJ314" t="b">
        <f t="shared" si="619"/>
        <v>0</v>
      </c>
      <c r="EK314" t="b">
        <f t="shared" si="620"/>
        <v>0</v>
      </c>
    </row>
    <row r="315" spans="1:141">
      <c r="A315" t="s">
        <v>1655</v>
      </c>
      <c r="B315" t="s">
        <v>1656</v>
      </c>
      <c r="C315" t="s">
        <v>1657</v>
      </c>
      <c r="D315" s="1">
        <v>44042</v>
      </c>
      <c r="E315" s="2">
        <v>44145.040844907409</v>
      </c>
      <c r="F315" s="2">
        <v>44145.043009259258</v>
      </c>
      <c r="G315">
        <v>1107789</v>
      </c>
      <c r="H315" t="s">
        <v>1658</v>
      </c>
      <c r="I315" s="10" t="s">
        <v>1659</v>
      </c>
      <c r="J315" t="s">
        <v>1660</v>
      </c>
      <c r="K315" s="8" t="b">
        <v>1</v>
      </c>
      <c r="L315" s="10" t="b">
        <v>0</v>
      </c>
      <c r="M315" s="12" t="b">
        <v>0</v>
      </c>
      <c r="N315" t="b">
        <v>0</v>
      </c>
      <c r="O315" t="b">
        <v>0</v>
      </c>
      <c r="P315" t="b">
        <v>0</v>
      </c>
      <c r="Q315">
        <f t="shared" si="497"/>
        <v>5</v>
      </c>
      <c r="R315">
        <f t="shared" si="498"/>
        <v>7</v>
      </c>
      <c r="S315" t="e">
        <f t="shared" ca="1" si="528"/>
        <v>#NAME?</v>
      </c>
      <c r="T315" t="e">
        <f t="shared" ca="1" si="499"/>
        <v>#NAME?</v>
      </c>
      <c r="U315" s="4">
        <f t="shared" si="500"/>
        <v>103.04084490740934</v>
      </c>
      <c r="V315" s="4">
        <f t="shared" si="501"/>
        <v>3.4346948302469777</v>
      </c>
      <c r="W315" s="4">
        <f t="shared" si="502"/>
        <v>1</v>
      </c>
      <c r="X315" s="4">
        <f t="shared" si="503"/>
        <v>0</v>
      </c>
      <c r="Y315" s="4">
        <f t="shared" si="504"/>
        <v>0</v>
      </c>
      <c r="Z315" s="4">
        <f t="shared" si="505"/>
        <v>0</v>
      </c>
      <c r="AA315" s="4">
        <f t="shared" si="506"/>
        <v>0</v>
      </c>
      <c r="AB315" s="4">
        <f t="shared" si="507"/>
        <v>0</v>
      </c>
      <c r="AC315" s="4"/>
      <c r="AD315" s="4" t="b">
        <f t="shared" si="508"/>
        <v>0</v>
      </c>
      <c r="AE315" s="4" t="b">
        <f t="shared" si="509"/>
        <v>0</v>
      </c>
      <c r="AF315" s="4" t="b">
        <f t="shared" si="510"/>
        <v>0</v>
      </c>
      <c r="AG315" t="b">
        <f t="shared" si="511"/>
        <v>0</v>
      </c>
      <c r="AH315" t="b">
        <f t="shared" si="512"/>
        <v>0</v>
      </c>
      <c r="AI315" t="b">
        <f t="shared" si="513"/>
        <v>0</v>
      </c>
      <c r="AJ315" t="b">
        <f t="shared" si="514"/>
        <v>0</v>
      </c>
      <c r="AK315" t="b">
        <f t="shared" si="515"/>
        <v>0</v>
      </c>
      <c r="AL315" t="b">
        <f t="shared" si="516"/>
        <v>0</v>
      </c>
      <c r="AM315" t="b">
        <f t="shared" si="517"/>
        <v>0</v>
      </c>
      <c r="AN315" t="b">
        <f t="shared" si="518"/>
        <v>0</v>
      </c>
      <c r="AO315" t="b">
        <f t="shared" si="519"/>
        <v>0</v>
      </c>
      <c r="AP315" t="b">
        <f t="shared" si="520"/>
        <v>0</v>
      </c>
      <c r="AQ315" t="b">
        <f t="shared" si="521"/>
        <v>0</v>
      </c>
      <c r="AR315" t="b">
        <f t="shared" si="522"/>
        <v>0</v>
      </c>
      <c r="AS315" t="b">
        <f t="shared" si="523"/>
        <v>0</v>
      </c>
      <c r="AT315" t="b">
        <f t="shared" si="524"/>
        <v>0</v>
      </c>
      <c r="AU315" t="b">
        <f t="shared" si="525"/>
        <v>0</v>
      </c>
      <c r="AV315" t="b">
        <f t="shared" si="526"/>
        <v>0</v>
      </c>
      <c r="AW315" t="b">
        <f t="shared" si="527"/>
        <v>0</v>
      </c>
      <c r="AX315" t="b">
        <f t="shared" si="529"/>
        <v>0</v>
      </c>
      <c r="AY315" t="b">
        <f t="shared" si="530"/>
        <v>0</v>
      </c>
      <c r="AZ315" t="b">
        <f t="shared" si="531"/>
        <v>0</v>
      </c>
      <c r="BA315" t="b">
        <f t="shared" si="532"/>
        <v>0</v>
      </c>
      <c r="BB315" t="b">
        <f t="shared" si="533"/>
        <v>0</v>
      </c>
      <c r="BC315" t="b">
        <f t="shared" si="534"/>
        <v>0</v>
      </c>
      <c r="BD315" t="b">
        <f t="shared" si="535"/>
        <v>0</v>
      </c>
      <c r="BE315" t="b">
        <f t="shared" si="536"/>
        <v>0</v>
      </c>
      <c r="BF315" t="b">
        <f t="shared" si="537"/>
        <v>0</v>
      </c>
      <c r="BG315" t="b">
        <f t="shared" si="538"/>
        <v>0</v>
      </c>
      <c r="BH315" t="b">
        <f t="shared" si="539"/>
        <v>0</v>
      </c>
      <c r="BI315">
        <f t="shared" si="540"/>
        <v>1</v>
      </c>
      <c r="BJ315" t="b">
        <f t="shared" si="541"/>
        <v>0</v>
      </c>
      <c r="BK315" t="b">
        <f t="shared" si="542"/>
        <v>0</v>
      </c>
      <c r="BL315" t="b">
        <f t="shared" si="543"/>
        <v>0</v>
      </c>
      <c r="BM315" t="b">
        <f t="shared" si="544"/>
        <v>0</v>
      </c>
      <c r="BN315" t="b">
        <f t="shared" si="545"/>
        <v>0</v>
      </c>
      <c r="BO315" t="b">
        <f t="shared" si="546"/>
        <v>0</v>
      </c>
      <c r="BP315" t="b">
        <f t="shared" si="547"/>
        <v>0</v>
      </c>
      <c r="BQ315" t="b">
        <f t="shared" si="548"/>
        <v>0</v>
      </c>
      <c r="BR315" t="b">
        <f t="shared" si="549"/>
        <v>0</v>
      </c>
      <c r="BS315" t="b">
        <f t="shared" si="550"/>
        <v>0</v>
      </c>
      <c r="BT315" t="b">
        <f t="shared" si="551"/>
        <v>0</v>
      </c>
      <c r="BU315" t="b">
        <f t="shared" si="552"/>
        <v>0</v>
      </c>
      <c r="BV315" t="b">
        <f t="shared" si="553"/>
        <v>0</v>
      </c>
      <c r="BW315" t="b">
        <f t="shared" si="554"/>
        <v>0</v>
      </c>
      <c r="BX315" t="b">
        <f t="shared" si="555"/>
        <v>0</v>
      </c>
      <c r="BY315" t="b">
        <f t="shared" si="556"/>
        <v>0</v>
      </c>
      <c r="BZ315" t="b">
        <f t="shared" si="557"/>
        <v>0</v>
      </c>
      <c r="CA315" t="b">
        <f t="shared" si="558"/>
        <v>0</v>
      </c>
      <c r="CB315" t="b">
        <f t="shared" si="559"/>
        <v>0</v>
      </c>
      <c r="CC315" t="b">
        <f t="shared" si="560"/>
        <v>0</v>
      </c>
      <c r="CD315" t="b">
        <f t="shared" si="561"/>
        <v>0</v>
      </c>
      <c r="CE315" t="b">
        <f t="shared" si="562"/>
        <v>0</v>
      </c>
      <c r="CF315" t="b">
        <f t="shared" si="563"/>
        <v>0</v>
      </c>
      <c r="CG315" t="b">
        <f t="shared" si="564"/>
        <v>0</v>
      </c>
      <c r="CH315" t="b">
        <f t="shared" si="565"/>
        <v>0</v>
      </c>
      <c r="CI315" t="b">
        <f t="shared" si="566"/>
        <v>0</v>
      </c>
      <c r="CJ315" t="b">
        <f t="shared" si="567"/>
        <v>0</v>
      </c>
      <c r="CK315" t="b">
        <f t="shared" si="568"/>
        <v>0</v>
      </c>
      <c r="CL315" t="b">
        <f t="shared" si="569"/>
        <v>0</v>
      </c>
      <c r="CM315">
        <f t="shared" si="570"/>
        <v>1</v>
      </c>
      <c r="CN315" t="b">
        <f t="shared" si="571"/>
        <v>0</v>
      </c>
      <c r="CO315" t="b">
        <f t="shared" si="572"/>
        <v>0</v>
      </c>
      <c r="CP315" t="b">
        <f t="shared" si="573"/>
        <v>0</v>
      </c>
      <c r="CQ315" t="b">
        <f t="shared" si="574"/>
        <v>0</v>
      </c>
      <c r="CR315" t="b">
        <f t="shared" si="575"/>
        <v>0</v>
      </c>
      <c r="CS315" t="b">
        <f t="shared" si="576"/>
        <v>0</v>
      </c>
      <c r="CT315" t="b">
        <f t="shared" si="577"/>
        <v>0</v>
      </c>
      <c r="CU315" t="b">
        <f t="shared" si="578"/>
        <v>0</v>
      </c>
      <c r="CV315">
        <f t="shared" si="579"/>
        <v>1</v>
      </c>
      <c r="CW315" t="b">
        <f t="shared" si="580"/>
        <v>0</v>
      </c>
      <c r="CX315" t="b">
        <f t="shared" si="581"/>
        <v>0</v>
      </c>
      <c r="CY315" t="b">
        <f t="shared" si="582"/>
        <v>0</v>
      </c>
      <c r="CZ315" t="b">
        <f t="shared" si="583"/>
        <v>0</v>
      </c>
      <c r="DA315">
        <f t="shared" si="584"/>
        <v>1</v>
      </c>
      <c r="DB315">
        <f t="shared" si="585"/>
        <v>1</v>
      </c>
      <c r="DC315" t="b">
        <f t="shared" si="586"/>
        <v>0</v>
      </c>
      <c r="DD315" t="b">
        <f t="shared" si="587"/>
        <v>0</v>
      </c>
      <c r="DE315" t="b">
        <f t="shared" si="588"/>
        <v>0</v>
      </c>
      <c r="DF315" t="b">
        <f t="shared" si="589"/>
        <v>0</v>
      </c>
      <c r="DG315" t="b">
        <f t="shared" si="590"/>
        <v>0</v>
      </c>
      <c r="DH315" t="b">
        <f t="shared" si="591"/>
        <v>0</v>
      </c>
      <c r="DI315" t="b">
        <f t="shared" si="592"/>
        <v>0</v>
      </c>
      <c r="DJ315" t="b">
        <f t="shared" si="593"/>
        <v>0</v>
      </c>
      <c r="DK315" t="b">
        <f t="shared" si="594"/>
        <v>0</v>
      </c>
      <c r="DL315" t="b">
        <f t="shared" si="595"/>
        <v>0</v>
      </c>
      <c r="DM315" t="b">
        <f t="shared" si="596"/>
        <v>0</v>
      </c>
      <c r="DN315" t="b">
        <f t="shared" si="597"/>
        <v>0</v>
      </c>
      <c r="DO315" t="b">
        <f t="shared" si="598"/>
        <v>0</v>
      </c>
      <c r="DP315" t="b">
        <f t="shared" si="599"/>
        <v>0</v>
      </c>
      <c r="DQ315" t="b">
        <f t="shared" si="600"/>
        <v>0</v>
      </c>
      <c r="DR315" t="b">
        <f t="shared" si="601"/>
        <v>0</v>
      </c>
      <c r="DS315" t="b">
        <f t="shared" si="602"/>
        <v>0</v>
      </c>
      <c r="DT315" t="b">
        <f t="shared" si="603"/>
        <v>0</v>
      </c>
      <c r="DU315" t="b">
        <f t="shared" si="604"/>
        <v>0</v>
      </c>
      <c r="DV315" t="b">
        <f t="shared" si="605"/>
        <v>0</v>
      </c>
      <c r="DW315" t="b">
        <f t="shared" si="606"/>
        <v>0</v>
      </c>
      <c r="DX315" t="b">
        <f t="shared" si="607"/>
        <v>0</v>
      </c>
      <c r="DY315" t="b">
        <f t="shared" si="608"/>
        <v>0</v>
      </c>
      <c r="DZ315" t="b">
        <f t="shared" si="609"/>
        <v>0</v>
      </c>
      <c r="EA315" t="b">
        <f t="shared" si="610"/>
        <v>0</v>
      </c>
      <c r="EB315" t="b">
        <f t="shared" si="611"/>
        <v>0</v>
      </c>
      <c r="EC315" t="b">
        <f t="shared" si="612"/>
        <v>0</v>
      </c>
      <c r="ED315" t="b">
        <f t="shared" si="613"/>
        <v>0</v>
      </c>
      <c r="EE315" t="b">
        <f t="shared" si="614"/>
        <v>0</v>
      </c>
      <c r="EF315" t="b">
        <f t="shared" si="615"/>
        <v>0</v>
      </c>
      <c r="EG315" t="b">
        <f t="shared" si="616"/>
        <v>0</v>
      </c>
      <c r="EH315" t="b">
        <f t="shared" si="617"/>
        <v>0</v>
      </c>
      <c r="EI315" t="b">
        <f t="shared" si="618"/>
        <v>0</v>
      </c>
      <c r="EJ315" t="b">
        <f t="shared" si="619"/>
        <v>0</v>
      </c>
      <c r="EK315" t="b">
        <f t="shared" si="620"/>
        <v>0</v>
      </c>
    </row>
    <row r="316" spans="1:141">
      <c r="A316" t="s">
        <v>1661</v>
      </c>
      <c r="B316" t="s">
        <v>1662</v>
      </c>
      <c r="D316" s="1">
        <v>43894</v>
      </c>
      <c r="E316" s="2">
        <v>43985.45521990741</v>
      </c>
      <c r="F316" s="2">
        <v>43985.45521990741</v>
      </c>
      <c r="G316">
        <v>68693853</v>
      </c>
      <c r="H316" t="s">
        <v>1663</v>
      </c>
      <c r="I316" s="10" t="s">
        <v>160</v>
      </c>
      <c r="J316" t="s">
        <v>1664</v>
      </c>
      <c r="K316" s="8" t="b">
        <v>1</v>
      </c>
      <c r="L316" s="10" t="b">
        <v>0</v>
      </c>
      <c r="M316" s="12" t="b">
        <v>0</v>
      </c>
      <c r="N316" t="b">
        <v>0</v>
      </c>
      <c r="O316" t="b">
        <v>0</v>
      </c>
      <c r="P316" t="b">
        <v>0</v>
      </c>
      <c r="Q316">
        <f t="shared" si="497"/>
        <v>4</v>
      </c>
      <c r="R316">
        <f t="shared" si="498"/>
        <v>3</v>
      </c>
      <c r="S316" t="e">
        <f t="shared" ca="1" si="528"/>
        <v>#NAME?</v>
      </c>
      <c r="T316" t="e">
        <f t="shared" ca="1" si="499"/>
        <v>#NAME?</v>
      </c>
      <c r="U316" s="4">
        <f t="shared" si="500"/>
        <v>91.455219907409628</v>
      </c>
      <c r="V316" s="4">
        <f t="shared" si="501"/>
        <v>3.0485073302469874</v>
      </c>
      <c r="W316" s="4">
        <f t="shared" si="502"/>
        <v>1</v>
      </c>
      <c r="X316" s="4">
        <f t="shared" si="503"/>
        <v>0</v>
      </c>
      <c r="Y316" s="4">
        <f t="shared" si="504"/>
        <v>0</v>
      </c>
      <c r="Z316" s="4">
        <f t="shared" si="505"/>
        <v>0</v>
      </c>
      <c r="AA316" s="4">
        <f t="shared" si="506"/>
        <v>0</v>
      </c>
      <c r="AB316" s="4">
        <f t="shared" si="507"/>
        <v>0</v>
      </c>
      <c r="AC316" s="4"/>
      <c r="AD316" s="4" t="b">
        <f t="shared" si="508"/>
        <v>0</v>
      </c>
      <c r="AE316" s="4" t="b">
        <f t="shared" si="509"/>
        <v>0</v>
      </c>
      <c r="AF316" s="4" t="b">
        <f t="shared" si="510"/>
        <v>0</v>
      </c>
      <c r="AG316" t="b">
        <f t="shared" si="511"/>
        <v>0</v>
      </c>
      <c r="AH316" t="b">
        <f t="shared" si="512"/>
        <v>0</v>
      </c>
      <c r="AI316" t="b">
        <f t="shared" si="513"/>
        <v>0</v>
      </c>
      <c r="AJ316" t="b">
        <f t="shared" si="514"/>
        <v>0</v>
      </c>
      <c r="AK316" t="b">
        <f t="shared" si="515"/>
        <v>0</v>
      </c>
      <c r="AL316" t="b">
        <f t="shared" si="516"/>
        <v>0</v>
      </c>
      <c r="AM316" t="b">
        <f t="shared" si="517"/>
        <v>0</v>
      </c>
      <c r="AN316" t="b">
        <f t="shared" si="518"/>
        <v>0</v>
      </c>
      <c r="AO316" t="b">
        <f t="shared" si="519"/>
        <v>0</v>
      </c>
      <c r="AP316" t="b">
        <f t="shared" si="520"/>
        <v>0</v>
      </c>
      <c r="AQ316" t="b">
        <f t="shared" si="521"/>
        <v>0</v>
      </c>
      <c r="AR316" t="b">
        <f t="shared" si="522"/>
        <v>0</v>
      </c>
      <c r="AS316" t="b">
        <f t="shared" si="523"/>
        <v>0</v>
      </c>
      <c r="AT316" t="b">
        <f t="shared" si="524"/>
        <v>0</v>
      </c>
      <c r="AU316" t="b">
        <f t="shared" si="525"/>
        <v>0</v>
      </c>
      <c r="AV316" t="b">
        <f t="shared" si="526"/>
        <v>0</v>
      </c>
      <c r="AW316" t="b">
        <f t="shared" si="527"/>
        <v>0</v>
      </c>
      <c r="AX316" t="b">
        <f t="shared" si="529"/>
        <v>0</v>
      </c>
      <c r="AY316" t="b">
        <f t="shared" si="530"/>
        <v>0</v>
      </c>
      <c r="AZ316" t="b">
        <f t="shared" si="531"/>
        <v>0</v>
      </c>
      <c r="BA316" t="b">
        <f t="shared" si="532"/>
        <v>0</v>
      </c>
      <c r="BB316" t="b">
        <f t="shared" si="533"/>
        <v>0</v>
      </c>
      <c r="BC316" t="b">
        <f t="shared" si="534"/>
        <v>0</v>
      </c>
      <c r="BD316" t="b">
        <f t="shared" si="535"/>
        <v>0</v>
      </c>
      <c r="BE316" t="b">
        <f t="shared" si="536"/>
        <v>0</v>
      </c>
      <c r="BF316" t="b">
        <f t="shared" si="537"/>
        <v>0</v>
      </c>
      <c r="BG316" t="b">
        <f t="shared" si="538"/>
        <v>0</v>
      </c>
      <c r="BH316" t="b">
        <f t="shared" si="539"/>
        <v>0</v>
      </c>
      <c r="BI316">
        <f t="shared" si="540"/>
        <v>1</v>
      </c>
      <c r="BJ316" t="b">
        <f t="shared" si="541"/>
        <v>0</v>
      </c>
      <c r="BK316" t="b">
        <f t="shared" si="542"/>
        <v>0</v>
      </c>
      <c r="BL316" t="b">
        <f t="shared" si="543"/>
        <v>0</v>
      </c>
      <c r="BM316" t="b">
        <f t="shared" si="544"/>
        <v>0</v>
      </c>
      <c r="BN316" t="b">
        <f t="shared" si="545"/>
        <v>0</v>
      </c>
      <c r="BO316" t="b">
        <f t="shared" si="546"/>
        <v>0</v>
      </c>
      <c r="BP316" t="b">
        <f t="shared" si="547"/>
        <v>0</v>
      </c>
      <c r="BQ316" t="b">
        <f t="shared" si="548"/>
        <v>0</v>
      </c>
      <c r="BR316">
        <f t="shared" si="549"/>
        <v>1</v>
      </c>
      <c r="BS316" t="b">
        <f t="shared" si="550"/>
        <v>0</v>
      </c>
      <c r="BT316" t="b">
        <f t="shared" si="551"/>
        <v>0</v>
      </c>
      <c r="BU316" t="b">
        <f t="shared" si="552"/>
        <v>0</v>
      </c>
      <c r="BV316" t="b">
        <f t="shared" si="553"/>
        <v>0</v>
      </c>
      <c r="BW316" t="b">
        <f t="shared" si="554"/>
        <v>0</v>
      </c>
      <c r="BX316" t="b">
        <f t="shared" si="555"/>
        <v>0</v>
      </c>
      <c r="BY316" t="b">
        <f t="shared" si="556"/>
        <v>0</v>
      </c>
      <c r="BZ316" t="b">
        <f t="shared" si="557"/>
        <v>0</v>
      </c>
      <c r="CA316" t="b">
        <f t="shared" si="558"/>
        <v>0</v>
      </c>
      <c r="CB316" t="b">
        <f t="shared" si="559"/>
        <v>0</v>
      </c>
      <c r="CC316" t="b">
        <f t="shared" si="560"/>
        <v>0</v>
      </c>
      <c r="CD316" t="b">
        <f t="shared" si="561"/>
        <v>0</v>
      </c>
      <c r="CE316">
        <f t="shared" si="562"/>
        <v>1</v>
      </c>
      <c r="CF316" t="b">
        <f t="shared" si="563"/>
        <v>0</v>
      </c>
      <c r="CG316" t="b">
        <f t="shared" si="564"/>
        <v>0</v>
      </c>
      <c r="CH316" t="b">
        <f t="shared" si="565"/>
        <v>0</v>
      </c>
      <c r="CI316" t="b">
        <f t="shared" si="566"/>
        <v>0</v>
      </c>
      <c r="CJ316" t="b">
        <f t="shared" si="567"/>
        <v>0</v>
      </c>
      <c r="CK316" t="b">
        <f t="shared" si="568"/>
        <v>0</v>
      </c>
      <c r="CL316" t="b">
        <f t="shared" si="569"/>
        <v>0</v>
      </c>
      <c r="CM316">
        <f t="shared" si="570"/>
        <v>1</v>
      </c>
      <c r="CN316" t="b">
        <f t="shared" si="571"/>
        <v>0</v>
      </c>
      <c r="CO316" t="b">
        <f t="shared" si="572"/>
        <v>0</v>
      </c>
      <c r="CP316" t="b">
        <f t="shared" si="573"/>
        <v>0</v>
      </c>
      <c r="CQ316" t="b">
        <f t="shared" si="574"/>
        <v>0</v>
      </c>
      <c r="CR316" t="b">
        <f t="shared" si="575"/>
        <v>0</v>
      </c>
      <c r="CS316" t="b">
        <f t="shared" si="576"/>
        <v>0</v>
      </c>
      <c r="CT316" t="b">
        <f t="shared" si="577"/>
        <v>0</v>
      </c>
      <c r="CU316" t="b">
        <f t="shared" si="578"/>
        <v>0</v>
      </c>
      <c r="CV316" t="b">
        <f t="shared" si="579"/>
        <v>0</v>
      </c>
      <c r="CW316" t="b">
        <f t="shared" si="580"/>
        <v>0</v>
      </c>
      <c r="CX316" t="b">
        <f t="shared" si="581"/>
        <v>0</v>
      </c>
      <c r="CY316" t="b">
        <f t="shared" si="582"/>
        <v>0</v>
      </c>
      <c r="CZ316" t="b">
        <f t="shared" si="583"/>
        <v>0</v>
      </c>
      <c r="DA316">
        <f t="shared" si="584"/>
        <v>1</v>
      </c>
      <c r="DB316">
        <f t="shared" si="585"/>
        <v>1</v>
      </c>
      <c r="DC316" t="b">
        <f t="shared" si="586"/>
        <v>0</v>
      </c>
      <c r="DD316" t="b">
        <f t="shared" si="587"/>
        <v>0</v>
      </c>
      <c r="DE316" t="b">
        <f t="shared" si="588"/>
        <v>0</v>
      </c>
      <c r="DF316" t="b">
        <f t="shared" si="589"/>
        <v>0</v>
      </c>
      <c r="DG316" t="b">
        <f t="shared" si="590"/>
        <v>0</v>
      </c>
      <c r="DH316" t="b">
        <f t="shared" si="591"/>
        <v>0</v>
      </c>
      <c r="DI316" t="b">
        <f t="shared" si="592"/>
        <v>0</v>
      </c>
      <c r="DJ316" t="b">
        <f t="shared" si="593"/>
        <v>0</v>
      </c>
      <c r="DK316" t="b">
        <f t="shared" si="594"/>
        <v>0</v>
      </c>
      <c r="DL316" t="b">
        <f t="shared" si="595"/>
        <v>0</v>
      </c>
      <c r="DM316" t="b">
        <f t="shared" si="596"/>
        <v>0</v>
      </c>
      <c r="DN316" t="b">
        <f t="shared" si="597"/>
        <v>0</v>
      </c>
      <c r="DO316" t="b">
        <f t="shared" si="598"/>
        <v>0</v>
      </c>
      <c r="DP316" t="b">
        <f t="shared" si="599"/>
        <v>0</v>
      </c>
      <c r="DQ316" t="b">
        <f t="shared" si="600"/>
        <v>0</v>
      </c>
      <c r="DR316" t="b">
        <f t="shared" si="601"/>
        <v>0</v>
      </c>
      <c r="DS316" t="b">
        <f t="shared" si="602"/>
        <v>0</v>
      </c>
      <c r="DT316" t="b">
        <f t="shared" si="603"/>
        <v>0</v>
      </c>
      <c r="DU316" t="b">
        <f t="shared" si="604"/>
        <v>0</v>
      </c>
      <c r="DV316" t="b">
        <f t="shared" si="605"/>
        <v>0</v>
      </c>
      <c r="DW316" t="b">
        <f t="shared" si="606"/>
        <v>0</v>
      </c>
      <c r="DX316" t="b">
        <f t="shared" si="607"/>
        <v>0</v>
      </c>
      <c r="DY316" t="b">
        <f t="shared" si="608"/>
        <v>0</v>
      </c>
      <c r="DZ316" t="b">
        <f t="shared" si="609"/>
        <v>0</v>
      </c>
      <c r="EA316" t="b">
        <f t="shared" si="610"/>
        <v>0</v>
      </c>
      <c r="EB316" t="b">
        <f t="shared" si="611"/>
        <v>0</v>
      </c>
      <c r="EC316" t="b">
        <f t="shared" si="612"/>
        <v>0</v>
      </c>
      <c r="ED316" t="b">
        <f t="shared" si="613"/>
        <v>0</v>
      </c>
      <c r="EE316" t="b">
        <f t="shared" si="614"/>
        <v>0</v>
      </c>
      <c r="EF316" t="b">
        <f t="shared" si="615"/>
        <v>0</v>
      </c>
      <c r="EG316" t="b">
        <f t="shared" si="616"/>
        <v>0</v>
      </c>
      <c r="EH316" t="b">
        <f t="shared" si="617"/>
        <v>0</v>
      </c>
      <c r="EI316" t="b">
        <f t="shared" si="618"/>
        <v>0</v>
      </c>
      <c r="EJ316" t="b">
        <f t="shared" si="619"/>
        <v>0</v>
      </c>
      <c r="EK316" t="b">
        <f t="shared" si="620"/>
        <v>0</v>
      </c>
    </row>
    <row r="317" spans="1:141">
      <c r="A317" t="s">
        <v>1665</v>
      </c>
      <c r="B317" t="s">
        <v>1666</v>
      </c>
      <c r="C317" t="s">
        <v>1667</v>
      </c>
      <c r="D317" s="1">
        <v>41071</v>
      </c>
      <c r="E317" s="2">
        <v>43309.911249999997</v>
      </c>
      <c r="F317" s="2">
        <v>43309.911249999997</v>
      </c>
      <c r="G317">
        <v>339487</v>
      </c>
      <c r="H317" t="s">
        <v>1668</v>
      </c>
      <c r="I317" s="10" t="s">
        <v>1669</v>
      </c>
      <c r="J317" t="s">
        <v>156</v>
      </c>
      <c r="K317" s="8" t="b">
        <v>1</v>
      </c>
      <c r="L317" s="10" t="b">
        <v>0</v>
      </c>
      <c r="M317" s="12" t="b">
        <v>0</v>
      </c>
      <c r="N317" t="b">
        <v>0</v>
      </c>
      <c r="O317" t="b">
        <v>0</v>
      </c>
      <c r="P317" t="b">
        <v>0</v>
      </c>
      <c r="Q317">
        <f t="shared" si="497"/>
        <v>2</v>
      </c>
      <c r="R317">
        <f t="shared" si="498"/>
        <v>6</v>
      </c>
      <c r="S317" t="e">
        <f t="shared" ca="1" si="528"/>
        <v>#NAME?</v>
      </c>
      <c r="T317" t="e">
        <f t="shared" ca="1" si="499"/>
        <v>#NAME?</v>
      </c>
      <c r="U317" s="4">
        <f t="shared" si="500"/>
        <v>2238.9112499999974</v>
      </c>
      <c r="V317" s="4">
        <f t="shared" si="501"/>
        <v>74.630374999999916</v>
      </c>
      <c r="W317" s="4">
        <f t="shared" si="502"/>
        <v>1</v>
      </c>
      <c r="X317" s="4">
        <f t="shared" si="503"/>
        <v>0</v>
      </c>
      <c r="Y317" s="4">
        <f t="shared" si="504"/>
        <v>0</v>
      </c>
      <c r="Z317" s="4">
        <f t="shared" si="505"/>
        <v>0</v>
      </c>
      <c r="AA317" s="4">
        <f t="shared" si="506"/>
        <v>0</v>
      </c>
      <c r="AB317" s="4">
        <f t="shared" si="507"/>
        <v>0</v>
      </c>
      <c r="AC317" s="4"/>
      <c r="AD317" s="4" t="b">
        <f t="shared" si="508"/>
        <v>0</v>
      </c>
      <c r="AE317" s="4" t="b">
        <f t="shared" si="509"/>
        <v>0</v>
      </c>
      <c r="AF317" s="4" t="b">
        <f t="shared" si="510"/>
        <v>0</v>
      </c>
      <c r="AG317" t="b">
        <f t="shared" si="511"/>
        <v>0</v>
      </c>
      <c r="AH317" t="b">
        <f t="shared" si="512"/>
        <v>0</v>
      </c>
      <c r="AI317" t="b">
        <f t="shared" si="513"/>
        <v>0</v>
      </c>
      <c r="AJ317" t="b">
        <f t="shared" si="514"/>
        <v>0</v>
      </c>
      <c r="AK317" t="b">
        <f t="shared" si="515"/>
        <v>0</v>
      </c>
      <c r="AL317" t="b">
        <f t="shared" si="516"/>
        <v>0</v>
      </c>
      <c r="AM317" t="b">
        <f t="shared" si="517"/>
        <v>0</v>
      </c>
      <c r="AN317" t="b">
        <f t="shared" si="518"/>
        <v>0</v>
      </c>
      <c r="AO317" t="b">
        <f t="shared" si="519"/>
        <v>0</v>
      </c>
      <c r="AP317" t="b">
        <f t="shared" si="520"/>
        <v>0</v>
      </c>
      <c r="AQ317" t="b">
        <f t="shared" si="521"/>
        <v>0</v>
      </c>
      <c r="AR317" t="b">
        <f t="shared" si="522"/>
        <v>0</v>
      </c>
      <c r="AS317" t="b">
        <f t="shared" si="523"/>
        <v>0</v>
      </c>
      <c r="AT317" t="b">
        <f t="shared" si="524"/>
        <v>0</v>
      </c>
      <c r="AU317" t="b">
        <f t="shared" si="525"/>
        <v>0</v>
      </c>
      <c r="AV317" t="b">
        <f t="shared" si="526"/>
        <v>0</v>
      </c>
      <c r="AW317" t="b">
        <f t="shared" si="527"/>
        <v>0</v>
      </c>
      <c r="AX317" t="b">
        <f t="shared" si="529"/>
        <v>0</v>
      </c>
      <c r="AY317" t="b">
        <f t="shared" si="530"/>
        <v>0</v>
      </c>
      <c r="AZ317" t="b">
        <f t="shared" si="531"/>
        <v>0</v>
      </c>
      <c r="BA317" t="b">
        <f t="shared" si="532"/>
        <v>0</v>
      </c>
      <c r="BB317" t="b">
        <f t="shared" si="533"/>
        <v>0</v>
      </c>
      <c r="BC317" t="b">
        <f t="shared" si="534"/>
        <v>0</v>
      </c>
      <c r="BD317" t="b">
        <f t="shared" si="535"/>
        <v>0</v>
      </c>
      <c r="BE317" t="b">
        <f t="shared" si="536"/>
        <v>0</v>
      </c>
      <c r="BF317" t="b">
        <f t="shared" si="537"/>
        <v>0</v>
      </c>
      <c r="BG317" t="b">
        <f t="shared" si="538"/>
        <v>0</v>
      </c>
      <c r="BH317" t="b">
        <f t="shared" si="539"/>
        <v>0</v>
      </c>
      <c r="BI317">
        <f t="shared" si="540"/>
        <v>1</v>
      </c>
      <c r="BJ317" t="b">
        <f t="shared" si="541"/>
        <v>0</v>
      </c>
      <c r="BK317" t="b">
        <f t="shared" si="542"/>
        <v>0</v>
      </c>
      <c r="BL317" t="b">
        <f t="shared" si="543"/>
        <v>0</v>
      </c>
      <c r="BM317" t="b">
        <f t="shared" si="544"/>
        <v>0</v>
      </c>
      <c r="BN317" t="b">
        <f t="shared" si="545"/>
        <v>0</v>
      </c>
      <c r="BO317" t="b">
        <f t="shared" si="546"/>
        <v>0</v>
      </c>
      <c r="BP317" t="b">
        <f t="shared" si="547"/>
        <v>0</v>
      </c>
      <c r="BQ317" t="b">
        <f t="shared" si="548"/>
        <v>0</v>
      </c>
      <c r="BR317" t="b">
        <f t="shared" si="549"/>
        <v>0</v>
      </c>
      <c r="BS317" t="b">
        <f t="shared" si="550"/>
        <v>0</v>
      </c>
      <c r="BT317" t="b">
        <f t="shared" si="551"/>
        <v>0</v>
      </c>
      <c r="BU317" t="b">
        <f t="shared" si="552"/>
        <v>0</v>
      </c>
      <c r="BV317" t="b">
        <f t="shared" si="553"/>
        <v>0</v>
      </c>
      <c r="BW317" t="b">
        <f t="shared" si="554"/>
        <v>0</v>
      </c>
      <c r="BX317" t="b">
        <f t="shared" si="555"/>
        <v>0</v>
      </c>
      <c r="BY317" t="b">
        <f t="shared" si="556"/>
        <v>0</v>
      </c>
      <c r="BZ317" t="b">
        <f t="shared" si="557"/>
        <v>0</v>
      </c>
      <c r="CA317" t="b">
        <f t="shared" si="558"/>
        <v>0</v>
      </c>
      <c r="CB317" t="b">
        <f t="shared" si="559"/>
        <v>0</v>
      </c>
      <c r="CC317" t="b">
        <f t="shared" si="560"/>
        <v>0</v>
      </c>
      <c r="CD317" t="b">
        <f t="shared" si="561"/>
        <v>0</v>
      </c>
      <c r="CE317" t="b">
        <f t="shared" si="562"/>
        <v>0</v>
      </c>
      <c r="CF317" t="b">
        <f t="shared" si="563"/>
        <v>0</v>
      </c>
      <c r="CG317" t="b">
        <f t="shared" si="564"/>
        <v>0</v>
      </c>
      <c r="CH317" t="b">
        <f t="shared" si="565"/>
        <v>0</v>
      </c>
      <c r="CI317" t="b">
        <f t="shared" si="566"/>
        <v>0</v>
      </c>
      <c r="CJ317" t="b">
        <f t="shared" si="567"/>
        <v>0</v>
      </c>
      <c r="CK317" t="b">
        <f t="shared" si="568"/>
        <v>0</v>
      </c>
      <c r="CL317" t="b">
        <f t="shared" si="569"/>
        <v>0</v>
      </c>
      <c r="CM317" t="b">
        <f t="shared" si="570"/>
        <v>0</v>
      </c>
      <c r="CN317" t="b">
        <f t="shared" si="571"/>
        <v>0</v>
      </c>
      <c r="CO317" t="b">
        <f t="shared" si="572"/>
        <v>0</v>
      </c>
      <c r="CP317" t="b">
        <f t="shared" si="573"/>
        <v>0</v>
      </c>
      <c r="CQ317" t="b">
        <f t="shared" si="574"/>
        <v>0</v>
      </c>
      <c r="CR317" t="b">
        <f t="shared" si="575"/>
        <v>0</v>
      </c>
      <c r="CS317" t="b">
        <f t="shared" si="576"/>
        <v>0</v>
      </c>
      <c r="CT317" t="b">
        <f t="shared" si="577"/>
        <v>0</v>
      </c>
      <c r="CU317" t="b">
        <f t="shared" si="578"/>
        <v>0</v>
      </c>
      <c r="CV317">
        <f t="shared" si="579"/>
        <v>1</v>
      </c>
      <c r="CW317" t="b">
        <f t="shared" si="580"/>
        <v>0</v>
      </c>
      <c r="CX317" t="b">
        <f t="shared" si="581"/>
        <v>0</v>
      </c>
      <c r="CY317" t="b">
        <f t="shared" si="582"/>
        <v>0</v>
      </c>
      <c r="CZ317" t="b">
        <f t="shared" si="583"/>
        <v>0</v>
      </c>
      <c r="DA317" t="b">
        <f t="shared" si="584"/>
        <v>0</v>
      </c>
      <c r="DB317" t="b">
        <f t="shared" si="585"/>
        <v>0</v>
      </c>
      <c r="DC317" t="b">
        <f t="shared" si="586"/>
        <v>0</v>
      </c>
      <c r="DD317" t="b">
        <f t="shared" si="587"/>
        <v>0</v>
      </c>
      <c r="DE317" t="b">
        <f t="shared" si="588"/>
        <v>0</v>
      </c>
      <c r="DF317" t="b">
        <f t="shared" si="589"/>
        <v>0</v>
      </c>
      <c r="DG317" t="b">
        <f t="shared" si="590"/>
        <v>0</v>
      </c>
      <c r="DH317" t="b">
        <f t="shared" si="591"/>
        <v>0</v>
      </c>
      <c r="DI317" t="b">
        <f t="shared" si="592"/>
        <v>0</v>
      </c>
      <c r="DJ317" t="b">
        <f t="shared" si="593"/>
        <v>0</v>
      </c>
      <c r="DK317" t="b">
        <f t="shared" si="594"/>
        <v>0</v>
      </c>
      <c r="DL317" t="b">
        <f t="shared" si="595"/>
        <v>0</v>
      </c>
      <c r="DM317" t="b">
        <f t="shared" si="596"/>
        <v>0</v>
      </c>
      <c r="DN317" t="b">
        <f t="shared" si="597"/>
        <v>0</v>
      </c>
      <c r="DO317" t="b">
        <f t="shared" si="598"/>
        <v>0</v>
      </c>
      <c r="DP317" t="b">
        <f t="shared" si="599"/>
        <v>0</v>
      </c>
      <c r="DQ317" t="b">
        <f t="shared" si="600"/>
        <v>0</v>
      </c>
      <c r="DR317" t="b">
        <f t="shared" si="601"/>
        <v>0</v>
      </c>
      <c r="DS317" t="b">
        <f t="shared" si="602"/>
        <v>0</v>
      </c>
      <c r="DT317" t="b">
        <f t="shared" si="603"/>
        <v>0</v>
      </c>
      <c r="DU317" t="b">
        <f t="shared" si="604"/>
        <v>0</v>
      </c>
      <c r="DV317" t="b">
        <f t="shared" si="605"/>
        <v>0</v>
      </c>
      <c r="DW317" t="b">
        <f t="shared" si="606"/>
        <v>0</v>
      </c>
      <c r="DX317" t="b">
        <f t="shared" si="607"/>
        <v>0</v>
      </c>
      <c r="DY317" t="b">
        <f t="shared" si="608"/>
        <v>0</v>
      </c>
      <c r="DZ317" t="b">
        <f t="shared" si="609"/>
        <v>0</v>
      </c>
      <c r="EA317" t="b">
        <f t="shared" si="610"/>
        <v>0</v>
      </c>
      <c r="EB317" t="b">
        <f t="shared" si="611"/>
        <v>0</v>
      </c>
      <c r="EC317" t="b">
        <f t="shared" si="612"/>
        <v>0</v>
      </c>
      <c r="ED317" t="b">
        <f t="shared" si="613"/>
        <v>0</v>
      </c>
      <c r="EE317" t="b">
        <f t="shared" si="614"/>
        <v>0</v>
      </c>
      <c r="EF317">
        <f t="shared" si="615"/>
        <v>1</v>
      </c>
      <c r="EG317" t="b">
        <f t="shared" si="616"/>
        <v>0</v>
      </c>
      <c r="EH317" t="b">
        <f t="shared" si="617"/>
        <v>0</v>
      </c>
      <c r="EI317" t="b">
        <f t="shared" si="618"/>
        <v>0</v>
      </c>
      <c r="EJ317" t="b">
        <f t="shared" si="619"/>
        <v>0</v>
      </c>
      <c r="EK317" t="b">
        <f t="shared" si="620"/>
        <v>0</v>
      </c>
    </row>
    <row r="318" spans="1:141">
      <c r="A318" t="s">
        <v>1670</v>
      </c>
      <c r="B318" t="s">
        <v>1670</v>
      </c>
      <c r="C318" t="s">
        <v>1671</v>
      </c>
      <c r="D318" s="1">
        <v>44007</v>
      </c>
      <c r="E318" s="2">
        <v>44185.885370370372</v>
      </c>
      <c r="F318" s="2">
        <v>44185.885370370372</v>
      </c>
      <c r="G318">
        <v>1075241</v>
      </c>
      <c r="H318" t="s">
        <v>1672</v>
      </c>
      <c r="I318" s="10" t="s">
        <v>1673</v>
      </c>
      <c r="J318" t="s">
        <v>689</v>
      </c>
      <c r="K318" s="8" t="b">
        <v>1</v>
      </c>
      <c r="L318" s="10" t="b">
        <v>0</v>
      </c>
      <c r="M318" s="12" t="b">
        <v>0</v>
      </c>
      <c r="N318" t="b">
        <v>0</v>
      </c>
      <c r="O318" t="b">
        <v>0</v>
      </c>
      <c r="P318" t="b">
        <v>0</v>
      </c>
      <c r="Q318">
        <f t="shared" si="497"/>
        <v>5</v>
      </c>
      <c r="R318">
        <f t="shared" si="498"/>
        <v>6</v>
      </c>
      <c r="S318" t="e">
        <f t="shared" ca="1" si="528"/>
        <v>#NAME?</v>
      </c>
      <c r="T318" t="e">
        <f t="shared" ca="1" si="499"/>
        <v>#NAME?</v>
      </c>
      <c r="U318" s="4">
        <f t="shared" si="500"/>
        <v>178.88537037037167</v>
      </c>
      <c r="V318" s="4">
        <f t="shared" si="501"/>
        <v>5.9628456790123892</v>
      </c>
      <c r="W318" s="4">
        <f t="shared" si="502"/>
        <v>1</v>
      </c>
      <c r="X318" s="4">
        <f t="shared" si="503"/>
        <v>0</v>
      </c>
      <c r="Y318" s="4">
        <f t="shared" si="504"/>
        <v>0</v>
      </c>
      <c r="Z318" s="4">
        <f t="shared" si="505"/>
        <v>0</v>
      </c>
      <c r="AA318" s="4">
        <f t="shared" si="506"/>
        <v>0</v>
      </c>
      <c r="AB318" s="4">
        <f t="shared" si="507"/>
        <v>0</v>
      </c>
      <c r="AC318" s="4"/>
      <c r="AD318" s="4" t="b">
        <f t="shared" si="508"/>
        <v>0</v>
      </c>
      <c r="AE318" s="4" t="b">
        <f t="shared" si="509"/>
        <v>0</v>
      </c>
      <c r="AF318" s="4" t="b">
        <f t="shared" si="510"/>
        <v>0</v>
      </c>
      <c r="AG318" t="b">
        <f t="shared" si="511"/>
        <v>0</v>
      </c>
      <c r="AH318" t="b">
        <f t="shared" si="512"/>
        <v>0</v>
      </c>
      <c r="AI318" t="b">
        <f t="shared" si="513"/>
        <v>0</v>
      </c>
      <c r="AJ318" t="b">
        <f t="shared" si="514"/>
        <v>0</v>
      </c>
      <c r="AK318" t="b">
        <f t="shared" si="515"/>
        <v>0</v>
      </c>
      <c r="AL318" t="b">
        <f t="shared" si="516"/>
        <v>0</v>
      </c>
      <c r="AM318" t="b">
        <f t="shared" si="517"/>
        <v>0</v>
      </c>
      <c r="AN318" t="b">
        <f t="shared" si="518"/>
        <v>0</v>
      </c>
      <c r="AO318" t="b">
        <f t="shared" si="519"/>
        <v>0</v>
      </c>
      <c r="AP318" t="b">
        <f t="shared" si="520"/>
        <v>0</v>
      </c>
      <c r="AQ318" t="b">
        <f t="shared" si="521"/>
        <v>0</v>
      </c>
      <c r="AR318" t="b">
        <f t="shared" si="522"/>
        <v>0</v>
      </c>
      <c r="AS318" t="b">
        <f t="shared" si="523"/>
        <v>0</v>
      </c>
      <c r="AT318" t="b">
        <f t="shared" si="524"/>
        <v>0</v>
      </c>
      <c r="AU318" t="b">
        <f t="shared" si="525"/>
        <v>0</v>
      </c>
      <c r="AV318" t="b">
        <f t="shared" si="526"/>
        <v>0</v>
      </c>
      <c r="AW318" t="b">
        <f t="shared" si="527"/>
        <v>0</v>
      </c>
      <c r="AX318" t="b">
        <f t="shared" si="529"/>
        <v>0</v>
      </c>
      <c r="AY318" t="b">
        <f t="shared" si="530"/>
        <v>0</v>
      </c>
      <c r="AZ318" t="b">
        <f t="shared" si="531"/>
        <v>0</v>
      </c>
      <c r="BA318" t="b">
        <f t="shared" si="532"/>
        <v>0</v>
      </c>
      <c r="BB318" t="b">
        <f t="shared" si="533"/>
        <v>0</v>
      </c>
      <c r="BC318" t="b">
        <f t="shared" si="534"/>
        <v>0</v>
      </c>
      <c r="BD318" t="b">
        <f t="shared" si="535"/>
        <v>0</v>
      </c>
      <c r="BE318" t="b">
        <f t="shared" si="536"/>
        <v>0</v>
      </c>
      <c r="BF318" t="b">
        <f t="shared" si="537"/>
        <v>0</v>
      </c>
      <c r="BG318" t="b">
        <f t="shared" si="538"/>
        <v>0</v>
      </c>
      <c r="BH318" t="b">
        <f t="shared" si="539"/>
        <v>0</v>
      </c>
      <c r="BI318">
        <f t="shared" si="540"/>
        <v>1</v>
      </c>
      <c r="BJ318" t="b">
        <f t="shared" si="541"/>
        <v>0</v>
      </c>
      <c r="BK318" t="b">
        <f t="shared" si="542"/>
        <v>0</v>
      </c>
      <c r="BL318" t="b">
        <f t="shared" si="543"/>
        <v>0</v>
      </c>
      <c r="BM318" t="b">
        <f t="shared" si="544"/>
        <v>0</v>
      </c>
      <c r="BN318" t="b">
        <f t="shared" si="545"/>
        <v>0</v>
      </c>
      <c r="BO318" t="b">
        <f t="shared" si="546"/>
        <v>0</v>
      </c>
      <c r="BP318" t="b">
        <f t="shared" si="547"/>
        <v>0</v>
      </c>
      <c r="BQ318" t="b">
        <f t="shared" si="548"/>
        <v>0</v>
      </c>
      <c r="BR318" t="b">
        <f t="shared" si="549"/>
        <v>0</v>
      </c>
      <c r="BS318" t="b">
        <f t="shared" si="550"/>
        <v>0</v>
      </c>
      <c r="BT318" t="b">
        <f t="shared" si="551"/>
        <v>0</v>
      </c>
      <c r="BU318" t="b">
        <f t="shared" si="552"/>
        <v>0</v>
      </c>
      <c r="BV318" t="b">
        <f t="shared" si="553"/>
        <v>0</v>
      </c>
      <c r="BW318" t="b">
        <f t="shared" si="554"/>
        <v>0</v>
      </c>
      <c r="BX318" t="b">
        <f t="shared" si="555"/>
        <v>0</v>
      </c>
      <c r="BY318" t="b">
        <f t="shared" si="556"/>
        <v>0</v>
      </c>
      <c r="BZ318" t="b">
        <f t="shared" si="557"/>
        <v>0</v>
      </c>
      <c r="CA318" t="b">
        <f t="shared" si="558"/>
        <v>0</v>
      </c>
      <c r="CB318" t="b">
        <f t="shared" si="559"/>
        <v>0</v>
      </c>
      <c r="CC318" t="b">
        <f t="shared" si="560"/>
        <v>0</v>
      </c>
      <c r="CD318" t="b">
        <f t="shared" si="561"/>
        <v>0</v>
      </c>
      <c r="CE318" t="b">
        <f t="shared" si="562"/>
        <v>0</v>
      </c>
      <c r="CF318" t="b">
        <f t="shared" si="563"/>
        <v>0</v>
      </c>
      <c r="CG318" t="b">
        <f t="shared" si="564"/>
        <v>0</v>
      </c>
      <c r="CH318" t="b">
        <f t="shared" si="565"/>
        <v>0</v>
      </c>
      <c r="CI318" t="b">
        <f t="shared" si="566"/>
        <v>0</v>
      </c>
      <c r="CJ318" t="b">
        <f t="shared" si="567"/>
        <v>0</v>
      </c>
      <c r="CK318" t="b">
        <f t="shared" si="568"/>
        <v>0</v>
      </c>
      <c r="CL318" t="b">
        <f t="shared" si="569"/>
        <v>0</v>
      </c>
      <c r="CM318">
        <f t="shared" si="570"/>
        <v>1</v>
      </c>
      <c r="CN318" t="b">
        <f t="shared" si="571"/>
        <v>0</v>
      </c>
      <c r="CO318" t="b">
        <f t="shared" si="572"/>
        <v>0</v>
      </c>
      <c r="CP318" t="b">
        <f t="shared" si="573"/>
        <v>0</v>
      </c>
      <c r="CQ318" t="b">
        <f t="shared" si="574"/>
        <v>0</v>
      </c>
      <c r="CR318" t="b">
        <f t="shared" si="575"/>
        <v>0</v>
      </c>
      <c r="CS318" t="b">
        <f t="shared" si="576"/>
        <v>0</v>
      </c>
      <c r="CT318" t="b">
        <f t="shared" si="577"/>
        <v>0</v>
      </c>
      <c r="CU318" t="b">
        <f t="shared" si="578"/>
        <v>0</v>
      </c>
      <c r="CV318" t="b">
        <f t="shared" si="579"/>
        <v>0</v>
      </c>
      <c r="CW318" t="b">
        <f t="shared" si="580"/>
        <v>0</v>
      </c>
      <c r="CX318" t="b">
        <f t="shared" si="581"/>
        <v>0</v>
      </c>
      <c r="CY318" t="b">
        <f t="shared" si="582"/>
        <v>0</v>
      </c>
      <c r="CZ318" t="b">
        <f t="shared" si="583"/>
        <v>0</v>
      </c>
      <c r="DA318">
        <f t="shared" si="584"/>
        <v>1</v>
      </c>
      <c r="DB318">
        <f t="shared" si="585"/>
        <v>1</v>
      </c>
      <c r="DC318" t="b">
        <f t="shared" si="586"/>
        <v>0</v>
      </c>
      <c r="DD318" t="b">
        <f t="shared" si="587"/>
        <v>0</v>
      </c>
      <c r="DE318" t="b">
        <f t="shared" si="588"/>
        <v>0</v>
      </c>
      <c r="DF318" t="b">
        <f t="shared" si="589"/>
        <v>0</v>
      </c>
      <c r="DG318" t="b">
        <f t="shared" si="590"/>
        <v>0</v>
      </c>
      <c r="DH318" t="b">
        <f t="shared" si="591"/>
        <v>0</v>
      </c>
      <c r="DI318" t="b">
        <f t="shared" si="592"/>
        <v>0</v>
      </c>
      <c r="DJ318" t="b">
        <f t="shared" si="593"/>
        <v>0</v>
      </c>
      <c r="DK318" t="b">
        <f t="shared" si="594"/>
        <v>0</v>
      </c>
      <c r="DL318" t="b">
        <f t="shared" si="595"/>
        <v>0</v>
      </c>
      <c r="DM318" t="b">
        <f t="shared" si="596"/>
        <v>0</v>
      </c>
      <c r="DN318" t="b">
        <f t="shared" si="597"/>
        <v>0</v>
      </c>
      <c r="DO318" t="b">
        <f t="shared" si="598"/>
        <v>0</v>
      </c>
      <c r="DP318" t="b">
        <f t="shared" si="599"/>
        <v>0</v>
      </c>
      <c r="DQ318" t="b">
        <f t="shared" si="600"/>
        <v>0</v>
      </c>
      <c r="DR318" t="b">
        <f t="shared" si="601"/>
        <v>0</v>
      </c>
      <c r="DS318" t="b">
        <f t="shared" si="602"/>
        <v>0</v>
      </c>
      <c r="DT318" t="b">
        <f t="shared" si="603"/>
        <v>0</v>
      </c>
      <c r="DU318" t="b">
        <f t="shared" si="604"/>
        <v>0</v>
      </c>
      <c r="DV318" t="b">
        <f t="shared" si="605"/>
        <v>0</v>
      </c>
      <c r="DW318" t="b">
        <f t="shared" si="606"/>
        <v>0</v>
      </c>
      <c r="DX318" t="b">
        <f t="shared" si="607"/>
        <v>0</v>
      </c>
      <c r="DY318" t="b">
        <f t="shared" si="608"/>
        <v>0</v>
      </c>
      <c r="DZ318" t="b">
        <f t="shared" si="609"/>
        <v>0</v>
      </c>
      <c r="EA318" t="b">
        <f t="shared" si="610"/>
        <v>0</v>
      </c>
      <c r="EB318" t="b">
        <f t="shared" si="611"/>
        <v>0</v>
      </c>
      <c r="EC318" t="b">
        <f t="shared" si="612"/>
        <v>0</v>
      </c>
      <c r="ED318" t="b">
        <f t="shared" si="613"/>
        <v>0</v>
      </c>
      <c r="EE318" t="b">
        <f t="shared" si="614"/>
        <v>0</v>
      </c>
      <c r="EF318" t="b">
        <f t="shared" si="615"/>
        <v>0</v>
      </c>
      <c r="EG318" t="b">
        <f t="shared" si="616"/>
        <v>0</v>
      </c>
      <c r="EH318" t="b">
        <f t="shared" si="617"/>
        <v>0</v>
      </c>
      <c r="EI318" t="b">
        <f t="shared" si="618"/>
        <v>0</v>
      </c>
      <c r="EJ318" t="b">
        <f t="shared" si="619"/>
        <v>0</v>
      </c>
      <c r="EK318" t="b">
        <f t="shared" si="620"/>
        <v>0</v>
      </c>
    </row>
    <row r="319" spans="1:141">
      <c r="A319" t="s">
        <v>1674</v>
      </c>
      <c r="B319" t="s">
        <v>1674</v>
      </c>
      <c r="C319" t="s">
        <v>1675</v>
      </c>
      <c r="D319" s="1">
        <v>42623</v>
      </c>
      <c r="E319" s="2">
        <v>42643.917222222219</v>
      </c>
      <c r="F319" s="2">
        <v>42643.917222222219</v>
      </c>
      <c r="G319">
        <v>5081689</v>
      </c>
      <c r="H319" t="s">
        <v>1676</v>
      </c>
      <c r="I319" s="10" t="s">
        <v>1677</v>
      </c>
      <c r="J319" t="s">
        <v>381</v>
      </c>
      <c r="K319" s="8" t="b">
        <v>1</v>
      </c>
      <c r="L319" s="10" t="b">
        <v>0</v>
      </c>
      <c r="M319" s="12" t="b">
        <v>0</v>
      </c>
      <c r="N319" t="b">
        <v>0</v>
      </c>
      <c r="O319" t="b">
        <v>0</v>
      </c>
      <c r="P319" t="b">
        <v>0</v>
      </c>
      <c r="Q319">
        <f t="shared" si="497"/>
        <v>7</v>
      </c>
      <c r="R319">
        <f t="shared" si="498"/>
        <v>9</v>
      </c>
      <c r="S319" t="e">
        <f t="shared" ca="1" si="528"/>
        <v>#NAME?</v>
      </c>
      <c r="T319" t="e">
        <f t="shared" ca="1" si="499"/>
        <v>#NAME?</v>
      </c>
      <c r="U319" s="4">
        <f t="shared" si="500"/>
        <v>20.917222222218697</v>
      </c>
      <c r="V319" s="4">
        <f t="shared" si="501"/>
        <v>0.69724074074062325</v>
      </c>
      <c r="W319" s="4">
        <f t="shared" si="502"/>
        <v>1</v>
      </c>
      <c r="X319" s="4">
        <f t="shared" si="503"/>
        <v>0</v>
      </c>
      <c r="Y319" s="4">
        <f t="shared" si="504"/>
        <v>0</v>
      </c>
      <c r="Z319" s="4">
        <f t="shared" si="505"/>
        <v>0</v>
      </c>
      <c r="AA319" s="4">
        <f t="shared" si="506"/>
        <v>0</v>
      </c>
      <c r="AB319" s="4">
        <f t="shared" si="507"/>
        <v>0</v>
      </c>
      <c r="AC319" s="4"/>
      <c r="AD319" s="4" t="b">
        <f t="shared" si="508"/>
        <v>0</v>
      </c>
      <c r="AE319" s="4" t="b">
        <f t="shared" si="509"/>
        <v>0</v>
      </c>
      <c r="AF319" s="4" t="b">
        <f t="shared" si="510"/>
        <v>0</v>
      </c>
      <c r="AG319" t="b">
        <f t="shared" si="511"/>
        <v>0</v>
      </c>
      <c r="AH319" t="b">
        <f t="shared" si="512"/>
        <v>0</v>
      </c>
      <c r="AI319" t="b">
        <f t="shared" si="513"/>
        <v>0</v>
      </c>
      <c r="AJ319" t="b">
        <f t="shared" si="514"/>
        <v>0</v>
      </c>
      <c r="AK319" t="b">
        <f t="shared" si="515"/>
        <v>0</v>
      </c>
      <c r="AL319" t="b">
        <f t="shared" si="516"/>
        <v>0</v>
      </c>
      <c r="AM319" t="b">
        <f t="shared" si="517"/>
        <v>0</v>
      </c>
      <c r="AN319" t="b">
        <f t="shared" si="518"/>
        <v>0</v>
      </c>
      <c r="AO319" t="b">
        <f t="shared" si="519"/>
        <v>0</v>
      </c>
      <c r="AP319" t="b">
        <f t="shared" si="520"/>
        <v>0</v>
      </c>
      <c r="AQ319" t="b">
        <f t="shared" si="521"/>
        <v>0</v>
      </c>
      <c r="AR319" t="b">
        <f t="shared" si="522"/>
        <v>0</v>
      </c>
      <c r="AS319" t="b">
        <f t="shared" si="523"/>
        <v>0</v>
      </c>
      <c r="AT319" t="b">
        <f t="shared" si="524"/>
        <v>0</v>
      </c>
      <c r="AU319" t="b">
        <f t="shared" si="525"/>
        <v>0</v>
      </c>
      <c r="AV319" t="b">
        <f t="shared" si="526"/>
        <v>0</v>
      </c>
      <c r="AW319" t="b">
        <f t="shared" si="527"/>
        <v>0</v>
      </c>
      <c r="AX319" t="b">
        <f t="shared" si="529"/>
        <v>0</v>
      </c>
      <c r="AY319" t="b">
        <f t="shared" si="530"/>
        <v>0</v>
      </c>
      <c r="AZ319" t="b">
        <f t="shared" si="531"/>
        <v>0</v>
      </c>
      <c r="BA319" t="b">
        <f t="shared" si="532"/>
        <v>0</v>
      </c>
      <c r="BB319" t="b">
        <f t="shared" si="533"/>
        <v>0</v>
      </c>
      <c r="BC319" t="b">
        <f t="shared" si="534"/>
        <v>0</v>
      </c>
      <c r="BD319" t="b">
        <f t="shared" si="535"/>
        <v>0</v>
      </c>
      <c r="BE319" t="b">
        <f t="shared" si="536"/>
        <v>0</v>
      </c>
      <c r="BF319" t="b">
        <f t="shared" si="537"/>
        <v>0</v>
      </c>
      <c r="BG319" t="b">
        <f t="shared" si="538"/>
        <v>0</v>
      </c>
      <c r="BH319" t="b">
        <f t="shared" si="539"/>
        <v>0</v>
      </c>
      <c r="BI319">
        <f t="shared" si="540"/>
        <v>1</v>
      </c>
      <c r="BJ319" t="b">
        <f t="shared" si="541"/>
        <v>0</v>
      </c>
      <c r="BK319" t="b">
        <f t="shared" si="542"/>
        <v>0</v>
      </c>
      <c r="BL319" t="b">
        <f t="shared" si="543"/>
        <v>0</v>
      </c>
      <c r="BM319" t="b">
        <f t="shared" si="544"/>
        <v>0</v>
      </c>
      <c r="BN319" t="b">
        <f t="shared" si="545"/>
        <v>0</v>
      </c>
      <c r="BO319" t="b">
        <f t="shared" si="546"/>
        <v>0</v>
      </c>
      <c r="BP319" t="b">
        <f t="shared" si="547"/>
        <v>0</v>
      </c>
      <c r="BQ319" t="b">
        <f t="shared" si="548"/>
        <v>0</v>
      </c>
      <c r="BR319" t="b">
        <f t="shared" si="549"/>
        <v>0</v>
      </c>
      <c r="BS319" t="b">
        <f t="shared" si="550"/>
        <v>0</v>
      </c>
      <c r="BT319" t="b">
        <f t="shared" si="551"/>
        <v>0</v>
      </c>
      <c r="BU319" t="b">
        <f t="shared" si="552"/>
        <v>0</v>
      </c>
      <c r="BV319" t="b">
        <f t="shared" si="553"/>
        <v>0</v>
      </c>
      <c r="BW319" t="b">
        <f t="shared" si="554"/>
        <v>0</v>
      </c>
      <c r="BX319" t="b">
        <f t="shared" si="555"/>
        <v>0</v>
      </c>
      <c r="BY319" t="b">
        <f t="shared" si="556"/>
        <v>0</v>
      </c>
      <c r="BZ319" t="b">
        <f t="shared" si="557"/>
        <v>0</v>
      </c>
      <c r="CA319" t="b">
        <f t="shared" si="558"/>
        <v>0</v>
      </c>
      <c r="CB319" t="b">
        <f t="shared" si="559"/>
        <v>0</v>
      </c>
      <c r="CC319" t="b">
        <f t="shared" si="560"/>
        <v>0</v>
      </c>
      <c r="CD319" t="b">
        <f t="shared" si="561"/>
        <v>0</v>
      </c>
      <c r="CE319">
        <f t="shared" si="562"/>
        <v>1</v>
      </c>
      <c r="CF319" t="b">
        <f t="shared" si="563"/>
        <v>0</v>
      </c>
      <c r="CG319" t="b">
        <f t="shared" si="564"/>
        <v>0</v>
      </c>
      <c r="CH319" t="b">
        <f t="shared" si="565"/>
        <v>0</v>
      </c>
      <c r="CI319" t="b">
        <f t="shared" si="566"/>
        <v>0</v>
      </c>
      <c r="CJ319" t="b">
        <f t="shared" si="567"/>
        <v>0</v>
      </c>
      <c r="CK319" t="b">
        <f t="shared" si="568"/>
        <v>0</v>
      </c>
      <c r="CL319" t="b">
        <f t="shared" si="569"/>
        <v>0</v>
      </c>
      <c r="CM319" t="b">
        <f t="shared" si="570"/>
        <v>0</v>
      </c>
      <c r="CN319" t="b">
        <f t="shared" si="571"/>
        <v>0</v>
      </c>
      <c r="CO319" t="b">
        <f t="shared" si="572"/>
        <v>0</v>
      </c>
      <c r="CP319" t="b">
        <f t="shared" si="573"/>
        <v>0</v>
      </c>
      <c r="CQ319" t="b">
        <f t="shared" si="574"/>
        <v>0</v>
      </c>
      <c r="CR319" t="b">
        <f t="shared" si="575"/>
        <v>0</v>
      </c>
      <c r="CS319" t="b">
        <f t="shared" si="576"/>
        <v>0</v>
      </c>
      <c r="CT319" t="b">
        <f t="shared" si="577"/>
        <v>0</v>
      </c>
      <c r="CU319" t="b">
        <f t="shared" si="578"/>
        <v>0</v>
      </c>
      <c r="CV319">
        <f t="shared" si="579"/>
        <v>1</v>
      </c>
      <c r="CW319" t="b">
        <f t="shared" si="580"/>
        <v>0</v>
      </c>
      <c r="CX319" t="b">
        <f t="shared" si="581"/>
        <v>0</v>
      </c>
      <c r="CY319" t="b">
        <f t="shared" si="582"/>
        <v>0</v>
      </c>
      <c r="CZ319" t="b">
        <f t="shared" si="583"/>
        <v>0</v>
      </c>
      <c r="DA319" t="b">
        <f t="shared" si="584"/>
        <v>0</v>
      </c>
      <c r="DB319" t="b">
        <f t="shared" si="585"/>
        <v>0</v>
      </c>
      <c r="DC319" t="b">
        <f t="shared" si="586"/>
        <v>0</v>
      </c>
      <c r="DD319" t="b">
        <f t="shared" si="587"/>
        <v>0</v>
      </c>
      <c r="DE319" t="b">
        <f t="shared" si="588"/>
        <v>0</v>
      </c>
      <c r="DF319" t="b">
        <f t="shared" si="589"/>
        <v>0</v>
      </c>
      <c r="DG319" t="b">
        <f t="shared" si="590"/>
        <v>0</v>
      </c>
      <c r="DH319" t="b">
        <f t="shared" si="591"/>
        <v>0</v>
      </c>
      <c r="DI319" t="b">
        <f t="shared" si="592"/>
        <v>0</v>
      </c>
      <c r="DJ319" t="b">
        <f t="shared" si="593"/>
        <v>0</v>
      </c>
      <c r="DK319" t="b">
        <f t="shared" si="594"/>
        <v>0</v>
      </c>
      <c r="DL319" t="b">
        <f t="shared" si="595"/>
        <v>0</v>
      </c>
      <c r="DM319" t="b">
        <f t="shared" si="596"/>
        <v>0</v>
      </c>
      <c r="DN319" t="b">
        <f t="shared" si="597"/>
        <v>0</v>
      </c>
      <c r="DO319" t="b">
        <f t="shared" si="598"/>
        <v>0</v>
      </c>
      <c r="DP319" t="b">
        <f t="shared" si="599"/>
        <v>0</v>
      </c>
      <c r="DQ319" t="b">
        <f t="shared" si="600"/>
        <v>0</v>
      </c>
      <c r="DR319" t="b">
        <f t="shared" si="601"/>
        <v>0</v>
      </c>
      <c r="DS319" t="b">
        <f t="shared" si="602"/>
        <v>0</v>
      </c>
      <c r="DT319" t="b">
        <f t="shared" si="603"/>
        <v>0</v>
      </c>
      <c r="DU319" t="b">
        <f t="shared" si="604"/>
        <v>0</v>
      </c>
      <c r="DV319" t="b">
        <f t="shared" si="605"/>
        <v>0</v>
      </c>
      <c r="DW319" t="b">
        <f t="shared" si="606"/>
        <v>0</v>
      </c>
      <c r="DX319" t="b">
        <f t="shared" si="607"/>
        <v>0</v>
      </c>
      <c r="DY319" t="b">
        <f t="shared" si="608"/>
        <v>0</v>
      </c>
      <c r="DZ319" t="b">
        <f t="shared" si="609"/>
        <v>0</v>
      </c>
      <c r="EA319" t="b">
        <f t="shared" si="610"/>
        <v>0</v>
      </c>
      <c r="EB319" t="b">
        <f t="shared" si="611"/>
        <v>0</v>
      </c>
      <c r="EC319" t="b">
        <f t="shared" si="612"/>
        <v>0</v>
      </c>
      <c r="ED319" t="b">
        <f t="shared" si="613"/>
        <v>0</v>
      </c>
      <c r="EE319" t="b">
        <f t="shared" si="614"/>
        <v>0</v>
      </c>
      <c r="EF319">
        <f t="shared" si="615"/>
        <v>1</v>
      </c>
      <c r="EG319" t="b">
        <f t="shared" si="616"/>
        <v>0</v>
      </c>
      <c r="EH319" t="b">
        <f t="shared" si="617"/>
        <v>0</v>
      </c>
      <c r="EI319">
        <f t="shared" si="618"/>
        <v>1</v>
      </c>
      <c r="EJ319" t="b">
        <f t="shared" si="619"/>
        <v>0</v>
      </c>
      <c r="EK319" t="b">
        <f t="shared" si="620"/>
        <v>0</v>
      </c>
    </row>
    <row r="320" spans="1:141">
      <c r="A320" t="s">
        <v>1678</v>
      </c>
      <c r="B320" t="s">
        <v>1678</v>
      </c>
      <c r="C320" t="s">
        <v>1679</v>
      </c>
      <c r="D320" s="1">
        <v>43524</v>
      </c>
      <c r="E320" s="2">
        <v>43976.168263888889</v>
      </c>
      <c r="F320" s="2">
        <v>43976.168263888889</v>
      </c>
      <c r="G320">
        <v>3670561</v>
      </c>
      <c r="H320" t="s">
        <v>1680</v>
      </c>
      <c r="I320" s="10" t="s">
        <v>1681</v>
      </c>
      <c r="J320" t="s">
        <v>156</v>
      </c>
      <c r="K320" s="8" t="b">
        <v>1</v>
      </c>
      <c r="L320" s="10" t="b">
        <v>0</v>
      </c>
      <c r="M320" s="12" t="b">
        <v>0</v>
      </c>
      <c r="N320" t="b">
        <v>0</v>
      </c>
      <c r="O320" t="b">
        <v>0</v>
      </c>
      <c r="P320" t="b">
        <v>0</v>
      </c>
      <c r="Q320">
        <f t="shared" si="497"/>
        <v>5</v>
      </c>
      <c r="R320">
        <f t="shared" si="498"/>
        <v>2</v>
      </c>
      <c r="S320" t="e">
        <f t="shared" ca="1" si="528"/>
        <v>#NAME?</v>
      </c>
      <c r="T320" t="e">
        <f t="shared" ca="1" si="499"/>
        <v>#NAME?</v>
      </c>
      <c r="U320" s="4">
        <f t="shared" si="500"/>
        <v>452.16826388888876</v>
      </c>
      <c r="V320" s="4">
        <f t="shared" si="501"/>
        <v>15.072275462962958</v>
      </c>
      <c r="W320" s="4">
        <f t="shared" si="502"/>
        <v>1</v>
      </c>
      <c r="X320" s="4">
        <f t="shared" si="503"/>
        <v>0</v>
      </c>
      <c r="Y320" s="4">
        <f t="shared" si="504"/>
        <v>0</v>
      </c>
      <c r="Z320" s="4">
        <f t="shared" si="505"/>
        <v>0</v>
      </c>
      <c r="AA320" s="4">
        <f t="shared" si="506"/>
        <v>0</v>
      </c>
      <c r="AB320" s="4">
        <f t="shared" si="507"/>
        <v>0</v>
      </c>
      <c r="AC320" s="4"/>
      <c r="AD320" s="4" t="b">
        <f t="shared" si="508"/>
        <v>0</v>
      </c>
      <c r="AE320" s="4" t="b">
        <f t="shared" si="509"/>
        <v>0</v>
      </c>
      <c r="AF320" s="4" t="b">
        <f t="shared" si="510"/>
        <v>0</v>
      </c>
      <c r="AG320" t="b">
        <f t="shared" si="511"/>
        <v>0</v>
      </c>
      <c r="AH320" t="b">
        <f t="shared" si="512"/>
        <v>0</v>
      </c>
      <c r="AI320" t="b">
        <f t="shared" si="513"/>
        <v>0</v>
      </c>
      <c r="AJ320" t="b">
        <f t="shared" si="514"/>
        <v>0</v>
      </c>
      <c r="AK320" t="b">
        <f t="shared" si="515"/>
        <v>0</v>
      </c>
      <c r="AL320" t="b">
        <f t="shared" si="516"/>
        <v>0</v>
      </c>
      <c r="AM320" t="b">
        <f t="shared" si="517"/>
        <v>0</v>
      </c>
      <c r="AN320" t="b">
        <f t="shared" si="518"/>
        <v>0</v>
      </c>
      <c r="AO320" t="b">
        <f t="shared" si="519"/>
        <v>0</v>
      </c>
      <c r="AP320" t="b">
        <f t="shared" si="520"/>
        <v>0</v>
      </c>
      <c r="AQ320" t="b">
        <f t="shared" si="521"/>
        <v>0</v>
      </c>
      <c r="AR320" t="b">
        <f t="shared" si="522"/>
        <v>0</v>
      </c>
      <c r="AS320" t="b">
        <f t="shared" si="523"/>
        <v>0</v>
      </c>
      <c r="AT320" t="b">
        <f t="shared" si="524"/>
        <v>0</v>
      </c>
      <c r="AU320" t="b">
        <f t="shared" si="525"/>
        <v>0</v>
      </c>
      <c r="AV320" t="b">
        <f t="shared" si="526"/>
        <v>0</v>
      </c>
      <c r="AW320" t="b">
        <f t="shared" si="527"/>
        <v>0</v>
      </c>
      <c r="AX320" t="b">
        <f t="shared" si="529"/>
        <v>0</v>
      </c>
      <c r="AY320" t="b">
        <f t="shared" si="530"/>
        <v>0</v>
      </c>
      <c r="AZ320" t="b">
        <f t="shared" si="531"/>
        <v>0</v>
      </c>
      <c r="BA320" t="b">
        <f t="shared" si="532"/>
        <v>0</v>
      </c>
      <c r="BB320" t="b">
        <f t="shared" si="533"/>
        <v>0</v>
      </c>
      <c r="BC320" t="b">
        <f t="shared" si="534"/>
        <v>0</v>
      </c>
      <c r="BD320" t="b">
        <f t="shared" si="535"/>
        <v>0</v>
      </c>
      <c r="BE320" t="b">
        <f t="shared" si="536"/>
        <v>0</v>
      </c>
      <c r="BF320" t="b">
        <f t="shared" si="537"/>
        <v>0</v>
      </c>
      <c r="BG320" t="b">
        <f t="shared" si="538"/>
        <v>0</v>
      </c>
      <c r="BH320" t="b">
        <f t="shared" si="539"/>
        <v>0</v>
      </c>
      <c r="BI320">
        <f t="shared" si="540"/>
        <v>1</v>
      </c>
      <c r="BJ320" t="b">
        <f t="shared" si="541"/>
        <v>0</v>
      </c>
      <c r="BK320" t="b">
        <f t="shared" si="542"/>
        <v>0</v>
      </c>
      <c r="BL320" t="b">
        <f t="shared" si="543"/>
        <v>0</v>
      </c>
      <c r="BM320" t="b">
        <f t="shared" si="544"/>
        <v>0</v>
      </c>
      <c r="BN320" t="b">
        <f t="shared" si="545"/>
        <v>0</v>
      </c>
      <c r="BO320" t="b">
        <f t="shared" si="546"/>
        <v>0</v>
      </c>
      <c r="BP320" t="b">
        <f t="shared" si="547"/>
        <v>0</v>
      </c>
      <c r="BQ320" t="b">
        <f t="shared" si="548"/>
        <v>0</v>
      </c>
      <c r="BR320" t="b">
        <f t="shared" si="549"/>
        <v>0</v>
      </c>
      <c r="BS320" t="b">
        <f t="shared" si="550"/>
        <v>0</v>
      </c>
      <c r="BT320" t="b">
        <f t="shared" si="551"/>
        <v>0</v>
      </c>
      <c r="BU320" t="b">
        <f t="shared" si="552"/>
        <v>0</v>
      </c>
      <c r="BV320" t="b">
        <f t="shared" si="553"/>
        <v>0</v>
      </c>
      <c r="BW320" t="b">
        <f t="shared" si="554"/>
        <v>0</v>
      </c>
      <c r="BX320" t="b">
        <f t="shared" si="555"/>
        <v>0</v>
      </c>
      <c r="BY320" t="b">
        <f t="shared" si="556"/>
        <v>0</v>
      </c>
      <c r="BZ320" t="b">
        <f t="shared" si="557"/>
        <v>0</v>
      </c>
      <c r="CA320" t="b">
        <f t="shared" si="558"/>
        <v>0</v>
      </c>
      <c r="CB320" t="b">
        <f t="shared" si="559"/>
        <v>0</v>
      </c>
      <c r="CC320" t="b">
        <f t="shared" si="560"/>
        <v>0</v>
      </c>
      <c r="CD320" t="b">
        <f t="shared" si="561"/>
        <v>0</v>
      </c>
      <c r="CE320" t="b">
        <f t="shared" si="562"/>
        <v>0</v>
      </c>
      <c r="CF320" t="b">
        <f t="shared" si="563"/>
        <v>0</v>
      </c>
      <c r="CG320" t="b">
        <f t="shared" si="564"/>
        <v>0</v>
      </c>
      <c r="CH320" t="b">
        <f t="shared" si="565"/>
        <v>0</v>
      </c>
      <c r="CI320" t="b">
        <f t="shared" si="566"/>
        <v>0</v>
      </c>
      <c r="CJ320" t="b">
        <f t="shared" si="567"/>
        <v>0</v>
      </c>
      <c r="CK320" t="b">
        <f t="shared" si="568"/>
        <v>0</v>
      </c>
      <c r="CL320" t="b">
        <f t="shared" si="569"/>
        <v>0</v>
      </c>
      <c r="CM320" t="b">
        <f t="shared" si="570"/>
        <v>0</v>
      </c>
      <c r="CN320" t="b">
        <f t="shared" si="571"/>
        <v>0</v>
      </c>
      <c r="CO320" t="b">
        <f t="shared" si="572"/>
        <v>0</v>
      </c>
      <c r="CP320" t="b">
        <f t="shared" si="573"/>
        <v>0</v>
      </c>
      <c r="CQ320" t="b">
        <f t="shared" si="574"/>
        <v>0</v>
      </c>
      <c r="CR320" t="b">
        <f t="shared" si="575"/>
        <v>0</v>
      </c>
      <c r="CS320" t="b">
        <f t="shared" si="576"/>
        <v>0</v>
      </c>
      <c r="CT320" t="b">
        <f t="shared" si="577"/>
        <v>0</v>
      </c>
      <c r="CU320" t="b">
        <f t="shared" si="578"/>
        <v>0</v>
      </c>
      <c r="CV320">
        <f t="shared" si="579"/>
        <v>1</v>
      </c>
      <c r="CW320" t="b">
        <f t="shared" si="580"/>
        <v>0</v>
      </c>
      <c r="CX320" t="b">
        <f t="shared" si="581"/>
        <v>0</v>
      </c>
      <c r="CY320" t="b">
        <f t="shared" si="582"/>
        <v>0</v>
      </c>
      <c r="CZ320" t="b">
        <f t="shared" si="583"/>
        <v>0</v>
      </c>
      <c r="DA320" t="b">
        <f t="shared" si="584"/>
        <v>0</v>
      </c>
      <c r="DB320" t="b">
        <f t="shared" si="585"/>
        <v>0</v>
      </c>
      <c r="DC320" t="b">
        <f t="shared" si="586"/>
        <v>0</v>
      </c>
      <c r="DD320" t="b">
        <f t="shared" si="587"/>
        <v>0</v>
      </c>
      <c r="DE320" t="b">
        <f t="shared" si="588"/>
        <v>0</v>
      </c>
      <c r="DF320" t="b">
        <f t="shared" si="589"/>
        <v>0</v>
      </c>
      <c r="DG320" t="b">
        <f t="shared" si="590"/>
        <v>0</v>
      </c>
      <c r="DH320" t="b">
        <f t="shared" si="591"/>
        <v>0</v>
      </c>
      <c r="DI320" t="b">
        <f t="shared" si="592"/>
        <v>0</v>
      </c>
      <c r="DJ320" t="b">
        <f t="shared" si="593"/>
        <v>0</v>
      </c>
      <c r="DK320" t="b">
        <f t="shared" si="594"/>
        <v>0</v>
      </c>
      <c r="DL320" t="b">
        <f t="shared" si="595"/>
        <v>0</v>
      </c>
      <c r="DM320" t="b">
        <f t="shared" si="596"/>
        <v>0</v>
      </c>
      <c r="DN320" t="b">
        <f t="shared" si="597"/>
        <v>0</v>
      </c>
      <c r="DO320" t="b">
        <f t="shared" si="598"/>
        <v>0</v>
      </c>
      <c r="DP320" t="b">
        <f t="shared" si="599"/>
        <v>0</v>
      </c>
      <c r="DQ320" t="b">
        <f t="shared" si="600"/>
        <v>0</v>
      </c>
      <c r="DR320" t="b">
        <f t="shared" si="601"/>
        <v>0</v>
      </c>
      <c r="DS320" t="b">
        <f t="shared" si="602"/>
        <v>0</v>
      </c>
      <c r="DT320" t="b">
        <f t="shared" si="603"/>
        <v>0</v>
      </c>
      <c r="DU320" t="b">
        <f t="shared" si="604"/>
        <v>0</v>
      </c>
      <c r="DV320" t="b">
        <f t="shared" si="605"/>
        <v>0</v>
      </c>
      <c r="DW320" t="b">
        <f t="shared" si="606"/>
        <v>0</v>
      </c>
      <c r="DX320" t="b">
        <f t="shared" si="607"/>
        <v>0</v>
      </c>
      <c r="DY320" t="b">
        <f t="shared" si="608"/>
        <v>0</v>
      </c>
      <c r="DZ320" t="b">
        <f t="shared" si="609"/>
        <v>0</v>
      </c>
      <c r="EA320" t="b">
        <f t="shared" si="610"/>
        <v>0</v>
      </c>
      <c r="EB320" t="b">
        <f t="shared" si="611"/>
        <v>0</v>
      </c>
      <c r="EC320" t="b">
        <f t="shared" si="612"/>
        <v>0</v>
      </c>
      <c r="ED320" t="b">
        <f t="shared" si="613"/>
        <v>0</v>
      </c>
      <c r="EE320" t="b">
        <f t="shared" si="614"/>
        <v>0</v>
      </c>
      <c r="EF320">
        <f t="shared" si="615"/>
        <v>1</v>
      </c>
      <c r="EG320" t="b">
        <f t="shared" si="616"/>
        <v>0</v>
      </c>
      <c r="EH320" t="b">
        <f t="shared" si="617"/>
        <v>0</v>
      </c>
      <c r="EI320" t="b">
        <f t="shared" si="618"/>
        <v>0</v>
      </c>
      <c r="EJ320" t="b">
        <f t="shared" si="619"/>
        <v>0</v>
      </c>
      <c r="EK320" t="b">
        <f t="shared" si="620"/>
        <v>0</v>
      </c>
    </row>
    <row r="321" spans="1:141">
      <c r="A321" t="s">
        <v>1682</v>
      </c>
      <c r="B321" t="s">
        <v>1682</v>
      </c>
      <c r="C321" t="s">
        <v>1683</v>
      </c>
      <c r="D321" s="1">
        <v>42370</v>
      </c>
      <c r="E321" s="2">
        <v>42485.910995370374</v>
      </c>
      <c r="F321" s="2">
        <v>42485.910995370374</v>
      </c>
      <c r="G321">
        <v>7089395</v>
      </c>
      <c r="H321" t="s">
        <v>1684</v>
      </c>
      <c r="I321" s="10" t="s">
        <v>1685</v>
      </c>
      <c r="J321" t="s">
        <v>156</v>
      </c>
      <c r="K321" s="8" t="b">
        <v>1</v>
      </c>
      <c r="L321" s="10" t="b">
        <v>0</v>
      </c>
      <c r="M321" s="12" t="b">
        <v>0</v>
      </c>
      <c r="N321" t="b">
        <v>0</v>
      </c>
      <c r="O321" t="b">
        <v>0</v>
      </c>
      <c r="P321" t="b">
        <v>0</v>
      </c>
      <c r="Q321">
        <f t="shared" si="497"/>
        <v>6</v>
      </c>
      <c r="R321">
        <f t="shared" si="498"/>
        <v>1</v>
      </c>
      <c r="S321" t="e">
        <f t="shared" ca="1" si="528"/>
        <v>#NAME?</v>
      </c>
      <c r="T321" t="e">
        <f t="shared" ca="1" si="499"/>
        <v>#NAME?</v>
      </c>
      <c r="U321" s="4">
        <f t="shared" si="500"/>
        <v>115.91099537037371</v>
      </c>
      <c r="V321" s="4">
        <f t="shared" si="501"/>
        <v>3.8636998456791236</v>
      </c>
      <c r="W321" s="4">
        <f t="shared" si="502"/>
        <v>1</v>
      </c>
      <c r="X321" s="4">
        <f t="shared" si="503"/>
        <v>0</v>
      </c>
      <c r="Y321" s="4">
        <f t="shared" si="504"/>
        <v>0</v>
      </c>
      <c r="Z321" s="4">
        <f t="shared" si="505"/>
        <v>0</v>
      </c>
      <c r="AA321" s="4">
        <f t="shared" si="506"/>
        <v>0</v>
      </c>
      <c r="AB321" s="4">
        <f t="shared" si="507"/>
        <v>0</v>
      </c>
      <c r="AC321" s="4"/>
      <c r="AD321" s="4" t="b">
        <f t="shared" si="508"/>
        <v>0</v>
      </c>
      <c r="AE321" s="4" t="b">
        <f t="shared" si="509"/>
        <v>0</v>
      </c>
      <c r="AF321" s="4" t="b">
        <f t="shared" si="510"/>
        <v>0</v>
      </c>
      <c r="AG321" t="b">
        <f t="shared" si="511"/>
        <v>0</v>
      </c>
      <c r="AH321" t="b">
        <f t="shared" si="512"/>
        <v>0</v>
      </c>
      <c r="AI321" t="b">
        <f t="shared" si="513"/>
        <v>0</v>
      </c>
      <c r="AJ321" t="b">
        <f t="shared" si="514"/>
        <v>0</v>
      </c>
      <c r="AK321" t="b">
        <f t="shared" si="515"/>
        <v>0</v>
      </c>
      <c r="AL321" t="b">
        <f t="shared" si="516"/>
        <v>0</v>
      </c>
      <c r="AM321" t="b">
        <f t="shared" si="517"/>
        <v>0</v>
      </c>
      <c r="AN321" t="b">
        <f t="shared" si="518"/>
        <v>0</v>
      </c>
      <c r="AO321" t="b">
        <f t="shared" si="519"/>
        <v>0</v>
      </c>
      <c r="AP321" t="b">
        <f t="shared" si="520"/>
        <v>0</v>
      </c>
      <c r="AQ321" t="b">
        <f t="shared" si="521"/>
        <v>0</v>
      </c>
      <c r="AR321" t="b">
        <f t="shared" si="522"/>
        <v>0</v>
      </c>
      <c r="AS321" t="b">
        <f t="shared" si="523"/>
        <v>0</v>
      </c>
      <c r="AT321" t="b">
        <f t="shared" si="524"/>
        <v>0</v>
      </c>
      <c r="AU321" t="b">
        <f t="shared" si="525"/>
        <v>0</v>
      </c>
      <c r="AV321" t="b">
        <f t="shared" si="526"/>
        <v>0</v>
      </c>
      <c r="AW321" t="b">
        <f t="shared" si="527"/>
        <v>0</v>
      </c>
      <c r="AX321" t="b">
        <f t="shared" si="529"/>
        <v>0</v>
      </c>
      <c r="AY321" t="b">
        <f t="shared" si="530"/>
        <v>0</v>
      </c>
      <c r="AZ321" t="b">
        <f t="shared" si="531"/>
        <v>0</v>
      </c>
      <c r="BA321" t="b">
        <f t="shared" si="532"/>
        <v>0</v>
      </c>
      <c r="BB321" t="b">
        <f t="shared" si="533"/>
        <v>0</v>
      </c>
      <c r="BC321" t="b">
        <f t="shared" si="534"/>
        <v>0</v>
      </c>
      <c r="BD321" t="b">
        <f t="shared" si="535"/>
        <v>0</v>
      </c>
      <c r="BE321" t="b">
        <f t="shared" si="536"/>
        <v>0</v>
      </c>
      <c r="BF321" t="b">
        <f t="shared" si="537"/>
        <v>0</v>
      </c>
      <c r="BG321" t="b">
        <f t="shared" si="538"/>
        <v>0</v>
      </c>
      <c r="BH321" t="b">
        <f t="shared" si="539"/>
        <v>0</v>
      </c>
      <c r="BI321">
        <f t="shared" si="540"/>
        <v>1</v>
      </c>
      <c r="BJ321" t="b">
        <f t="shared" si="541"/>
        <v>0</v>
      </c>
      <c r="BK321" t="b">
        <f t="shared" si="542"/>
        <v>0</v>
      </c>
      <c r="BL321" t="b">
        <f t="shared" si="543"/>
        <v>0</v>
      </c>
      <c r="BM321" t="b">
        <f t="shared" si="544"/>
        <v>0</v>
      </c>
      <c r="BN321" t="b">
        <f t="shared" si="545"/>
        <v>0</v>
      </c>
      <c r="BO321" t="b">
        <f t="shared" si="546"/>
        <v>0</v>
      </c>
      <c r="BP321" t="b">
        <f t="shared" si="547"/>
        <v>0</v>
      </c>
      <c r="BQ321" t="b">
        <f t="shared" si="548"/>
        <v>0</v>
      </c>
      <c r="BR321" t="b">
        <f t="shared" si="549"/>
        <v>0</v>
      </c>
      <c r="BS321" t="b">
        <f t="shared" si="550"/>
        <v>0</v>
      </c>
      <c r="BT321" t="b">
        <f t="shared" si="551"/>
        <v>0</v>
      </c>
      <c r="BU321" t="b">
        <f t="shared" si="552"/>
        <v>0</v>
      </c>
      <c r="BV321" t="b">
        <f t="shared" si="553"/>
        <v>0</v>
      </c>
      <c r="BW321" t="b">
        <f t="shared" si="554"/>
        <v>0</v>
      </c>
      <c r="BX321" t="b">
        <f t="shared" si="555"/>
        <v>0</v>
      </c>
      <c r="BY321" t="b">
        <f t="shared" si="556"/>
        <v>0</v>
      </c>
      <c r="BZ321" t="b">
        <f t="shared" si="557"/>
        <v>0</v>
      </c>
      <c r="CA321" t="b">
        <f t="shared" si="558"/>
        <v>0</v>
      </c>
      <c r="CB321" t="b">
        <f t="shared" si="559"/>
        <v>0</v>
      </c>
      <c r="CC321" t="b">
        <f t="shared" si="560"/>
        <v>0</v>
      </c>
      <c r="CD321" t="b">
        <f t="shared" si="561"/>
        <v>0</v>
      </c>
      <c r="CE321" t="b">
        <f t="shared" si="562"/>
        <v>0</v>
      </c>
      <c r="CF321" t="b">
        <f t="shared" si="563"/>
        <v>0</v>
      </c>
      <c r="CG321" t="b">
        <f t="shared" si="564"/>
        <v>0</v>
      </c>
      <c r="CH321" t="b">
        <f t="shared" si="565"/>
        <v>0</v>
      </c>
      <c r="CI321" t="b">
        <f t="shared" si="566"/>
        <v>0</v>
      </c>
      <c r="CJ321" t="b">
        <f t="shared" si="567"/>
        <v>0</v>
      </c>
      <c r="CK321" t="b">
        <f t="shared" si="568"/>
        <v>0</v>
      </c>
      <c r="CL321" t="b">
        <f t="shared" si="569"/>
        <v>0</v>
      </c>
      <c r="CM321" t="b">
        <f t="shared" si="570"/>
        <v>0</v>
      </c>
      <c r="CN321" t="b">
        <f t="shared" si="571"/>
        <v>0</v>
      </c>
      <c r="CO321" t="b">
        <f t="shared" si="572"/>
        <v>0</v>
      </c>
      <c r="CP321" t="b">
        <f t="shared" si="573"/>
        <v>0</v>
      </c>
      <c r="CQ321" t="b">
        <f t="shared" si="574"/>
        <v>0</v>
      </c>
      <c r="CR321" t="b">
        <f t="shared" si="575"/>
        <v>0</v>
      </c>
      <c r="CS321" t="b">
        <f t="shared" si="576"/>
        <v>0</v>
      </c>
      <c r="CT321" t="b">
        <f t="shared" si="577"/>
        <v>0</v>
      </c>
      <c r="CU321" t="b">
        <f t="shared" si="578"/>
        <v>0</v>
      </c>
      <c r="CV321">
        <f t="shared" si="579"/>
        <v>1</v>
      </c>
      <c r="CW321" t="b">
        <f t="shared" si="580"/>
        <v>0</v>
      </c>
      <c r="CX321" t="b">
        <f t="shared" si="581"/>
        <v>0</v>
      </c>
      <c r="CY321" t="b">
        <f t="shared" si="582"/>
        <v>0</v>
      </c>
      <c r="CZ321" t="b">
        <f t="shared" si="583"/>
        <v>0</v>
      </c>
      <c r="DA321" t="b">
        <f t="shared" si="584"/>
        <v>0</v>
      </c>
      <c r="DB321" t="b">
        <f t="shared" si="585"/>
        <v>0</v>
      </c>
      <c r="DC321" t="b">
        <f t="shared" si="586"/>
        <v>0</v>
      </c>
      <c r="DD321" t="b">
        <f t="shared" si="587"/>
        <v>0</v>
      </c>
      <c r="DE321" t="b">
        <f t="shared" si="588"/>
        <v>0</v>
      </c>
      <c r="DF321" t="b">
        <f t="shared" si="589"/>
        <v>0</v>
      </c>
      <c r="DG321" t="b">
        <f t="shared" si="590"/>
        <v>0</v>
      </c>
      <c r="DH321" t="b">
        <f t="shared" si="591"/>
        <v>0</v>
      </c>
      <c r="DI321" t="b">
        <f t="shared" si="592"/>
        <v>0</v>
      </c>
      <c r="DJ321" t="b">
        <f t="shared" si="593"/>
        <v>0</v>
      </c>
      <c r="DK321" t="b">
        <f t="shared" si="594"/>
        <v>0</v>
      </c>
      <c r="DL321" t="b">
        <f t="shared" si="595"/>
        <v>0</v>
      </c>
      <c r="DM321" t="b">
        <f t="shared" si="596"/>
        <v>0</v>
      </c>
      <c r="DN321" t="b">
        <f t="shared" si="597"/>
        <v>0</v>
      </c>
      <c r="DO321" t="b">
        <f t="shared" si="598"/>
        <v>0</v>
      </c>
      <c r="DP321" t="b">
        <f t="shared" si="599"/>
        <v>0</v>
      </c>
      <c r="DQ321" t="b">
        <f t="shared" si="600"/>
        <v>0</v>
      </c>
      <c r="DR321" t="b">
        <f t="shared" si="601"/>
        <v>0</v>
      </c>
      <c r="DS321" t="b">
        <f t="shared" si="602"/>
        <v>0</v>
      </c>
      <c r="DT321" t="b">
        <f t="shared" si="603"/>
        <v>0</v>
      </c>
      <c r="DU321" t="b">
        <f t="shared" si="604"/>
        <v>0</v>
      </c>
      <c r="DV321" t="b">
        <f t="shared" si="605"/>
        <v>0</v>
      </c>
      <c r="DW321" t="b">
        <f t="shared" si="606"/>
        <v>0</v>
      </c>
      <c r="DX321" t="b">
        <f t="shared" si="607"/>
        <v>0</v>
      </c>
      <c r="DY321" t="b">
        <f t="shared" si="608"/>
        <v>0</v>
      </c>
      <c r="DZ321" t="b">
        <f t="shared" si="609"/>
        <v>0</v>
      </c>
      <c r="EA321" t="b">
        <f t="shared" si="610"/>
        <v>0</v>
      </c>
      <c r="EB321" t="b">
        <f t="shared" si="611"/>
        <v>0</v>
      </c>
      <c r="EC321" t="b">
        <f t="shared" si="612"/>
        <v>0</v>
      </c>
      <c r="ED321" t="b">
        <f t="shared" si="613"/>
        <v>0</v>
      </c>
      <c r="EE321" t="b">
        <f t="shared" si="614"/>
        <v>0</v>
      </c>
      <c r="EF321">
        <f t="shared" si="615"/>
        <v>1</v>
      </c>
      <c r="EG321" t="b">
        <f t="shared" si="616"/>
        <v>0</v>
      </c>
      <c r="EH321" t="b">
        <f t="shared" si="617"/>
        <v>0</v>
      </c>
      <c r="EI321" t="b">
        <f t="shared" si="618"/>
        <v>0</v>
      </c>
      <c r="EJ321" t="b">
        <f t="shared" si="619"/>
        <v>0</v>
      </c>
      <c r="EK321" t="b">
        <f t="shared" si="620"/>
        <v>0</v>
      </c>
    </row>
    <row r="322" spans="1:141">
      <c r="A322" t="s">
        <v>1686</v>
      </c>
      <c r="B322" t="s">
        <v>1687</v>
      </c>
      <c r="C322" t="s">
        <v>1688</v>
      </c>
      <c r="D322" s="1">
        <v>43276</v>
      </c>
      <c r="E322" s="2">
        <v>43285.563900462963</v>
      </c>
      <c r="F322" s="2">
        <v>43285.563900462963</v>
      </c>
      <c r="G322">
        <v>30484</v>
      </c>
      <c r="H322" t="s">
        <v>1689</v>
      </c>
      <c r="I322" s="10" t="s">
        <v>1690</v>
      </c>
      <c r="J322" t="s">
        <v>1691</v>
      </c>
      <c r="K322" s="8" t="b">
        <v>1</v>
      </c>
      <c r="L322" s="10" t="b">
        <v>0</v>
      </c>
      <c r="M322" s="12" t="b">
        <v>0</v>
      </c>
      <c r="N322" t="b">
        <v>0</v>
      </c>
      <c r="O322" t="b">
        <v>0</v>
      </c>
      <c r="P322" t="b">
        <v>0</v>
      </c>
      <c r="Q322">
        <f t="shared" ref="Q322:Q385" si="621">WEEKDAY(D322)</f>
        <v>2</v>
      </c>
      <c r="R322">
        <f t="shared" ref="R322:R385" si="622">MONTH(D322)</f>
        <v>6</v>
      </c>
      <c r="S322" t="e">
        <f t="shared" ca="1" si="528"/>
        <v>#NAME?</v>
      </c>
      <c r="T322" t="e">
        <f t="shared" ref="T322:T385" ca="1" si="623">WhoIsName(C322)</f>
        <v>#NAME?</v>
      </c>
      <c r="U322" s="4">
        <f t="shared" ref="U322:U385" si="624">E322-D322</f>
        <v>9.5639004629629198</v>
      </c>
      <c r="V322" s="4">
        <f t="shared" ref="V322:V385" si="625">U322/30</f>
        <v>0.31879668209876399</v>
      </c>
      <c r="W322" s="4">
        <f t="shared" ref="W322:W385" si="626">IF(K322=TRUE,1,0)</f>
        <v>1</v>
      </c>
      <c r="X322" s="4">
        <f t="shared" ref="X322:X385" si="627">IF(L322=TRUE,1,0)</f>
        <v>0</v>
      </c>
      <c r="Y322" s="4">
        <f t="shared" ref="Y322:Y385" si="628">IF(M322=TRUE,1,0)</f>
        <v>0</v>
      </c>
      <c r="Z322" s="4">
        <f t="shared" ref="Z322:Z385" si="629">IF(N322=TRUE,1,0)</f>
        <v>0</v>
      </c>
      <c r="AA322" s="4">
        <f t="shared" ref="AA322:AA385" si="630">IF(O322=TRUE,1,0)</f>
        <v>0</v>
      </c>
      <c r="AB322" s="4">
        <f t="shared" ref="AB322:AB385" si="631">IF(P322=TRUE,1,0)</f>
        <v>0</v>
      </c>
      <c r="AC322" s="4"/>
      <c r="AD322" s="4" t="b">
        <f t="shared" ref="AD322:AD385" si="632">IFERROR(IF(SEARCH("'Account balances'",J322),1,0),FALSE)</f>
        <v>0</v>
      </c>
      <c r="AE322" s="4" t="b">
        <f t="shared" ref="AE322:AE385" si="633">IFERROR(IF(SEARCH( "'Address book contacts'", J322),1,0),FALSE)</f>
        <v>0</v>
      </c>
      <c r="AF322" s="4" t="b">
        <f t="shared" ref="AF322:AF385" si="634">IFERROR(IF(SEARCH( "'Age groups'", J322),1,0),FALSE)</f>
        <v>0</v>
      </c>
      <c r="AG322" t="b">
        <f t="shared" ref="AG322:AG385" si="635">IFERROR(IF(SEARCH( "'Apps installed on devices'", J322),1,0),FALSE)</f>
        <v>0</v>
      </c>
      <c r="AH322" t="b">
        <f t="shared" ref="AH322:AH385" si="636">IFERROR(IF(SEARCH( "'Astrological signs'", J322),1,0),FALSE)</f>
        <v>0</v>
      </c>
      <c r="AI322" t="b">
        <f t="shared" ref="AI322:AI385" si="637">IFERROR(IF(SEARCH( "'Auth tokens'", J322),1,0),FALSE)</f>
        <v>0</v>
      </c>
      <c r="AJ322" t="b">
        <f t="shared" ref="AJ322:AJ385" si="638">IFERROR(IF(SEARCH( "'Avatars'", J322),1,0),FALSE)</f>
        <v>0</v>
      </c>
      <c r="AK322" t="b">
        <f t="shared" ref="AK322:AK385" si="639">IFERROR(IF(SEARCH( "'Bank account numbers'", J322),1,0),FALSE)</f>
        <v>0</v>
      </c>
      <c r="AL322" t="b">
        <f t="shared" ref="AL322:AL385" si="640">IFERROR(IF(SEARCH( "'Beauty ratings'", J322),1,0),FALSE)</f>
        <v>0</v>
      </c>
      <c r="AM322" t="b">
        <f t="shared" ref="AM322:AM385" si="641">IFERROR(IF(SEARCH( "'Biometric data'", J322),1,0),FALSE)</f>
        <v>0</v>
      </c>
      <c r="AN322" t="b">
        <f t="shared" ref="AN322:AN385" si="642">IFERROR(IF(SEARCH( "'Bios'", J322),1,0),FALSE)</f>
        <v>0</v>
      </c>
      <c r="AO322" t="b">
        <f t="shared" ref="AO322:AO385" si="643">IFERROR(IF(SEARCH( "'Browser user agent details' ", J322),1,0),FALSE)</f>
        <v>0</v>
      </c>
      <c r="AP322" t="b">
        <f t="shared" ref="AP322:AP385" si="644">IFERROR(IF(SEARCH( "'Buying preferences'", J322),1,0),FALSE)</f>
        <v>0</v>
      </c>
      <c r="AQ322" t="b">
        <f t="shared" ref="AQ322:AQ385" si="645">IFERROR(IF(SEARCH( "'Car ownership statuses'", J322),1,0),FALSE)</f>
        <v>0</v>
      </c>
      <c r="AR322" t="b">
        <f t="shared" ref="AR322:AR385" si="646">IFERROR(IF(SEARCH( "'Cellular network names'", J322),1,0),FALSE)</f>
        <v>0</v>
      </c>
      <c r="AS322" t="b">
        <f t="shared" ref="AS322:AS385" si="647">IFERROR(IF(SEARCH( "'Charitable donations'", J322),1,0),FALSE)</f>
        <v>0</v>
      </c>
      <c r="AT322" t="b">
        <f t="shared" ref="AT322:AT385" si="648">IFERROR(IF(SEARCH( "'Chat logs'", J322),1,0),FALSE)</f>
        <v>0</v>
      </c>
      <c r="AU322" t="b">
        <f t="shared" ref="AU322:AU385" si="649">IFERROR(IF(SEARCH( "'Credit card CVV'", J322),1,0),FALSE)</f>
        <v>0</v>
      </c>
      <c r="AV322" t="b">
        <f t="shared" ref="AV322:AV385" si="650">IFERROR(IF(SEARCH( "'Credit cards'", J322),1,0),FALSE)</f>
        <v>0</v>
      </c>
      <c r="AW322" t="b">
        <f t="shared" ref="AW322:AW385" si="651">IFERROR(IF(SEARCH( "'Credit status information'", J322),1,0),FALSE)</f>
        <v>0</v>
      </c>
      <c r="AX322" t="b">
        <f t="shared" si="529"/>
        <v>0</v>
      </c>
      <c r="AY322" t="b">
        <f t="shared" si="530"/>
        <v>0</v>
      </c>
      <c r="AZ322">
        <f t="shared" si="531"/>
        <v>1</v>
      </c>
      <c r="BA322" t="b">
        <f t="shared" si="532"/>
        <v>0</v>
      </c>
      <c r="BB322" t="b">
        <f t="shared" si="533"/>
        <v>0</v>
      </c>
      <c r="BC322" t="b">
        <f t="shared" si="534"/>
        <v>0</v>
      </c>
      <c r="BD322" t="b">
        <f t="shared" si="535"/>
        <v>0</v>
      </c>
      <c r="BE322" t="b">
        <f t="shared" si="536"/>
        <v>0</v>
      </c>
      <c r="BF322" t="b">
        <f t="shared" si="537"/>
        <v>0</v>
      </c>
      <c r="BG322" t="b">
        <f t="shared" si="538"/>
        <v>0</v>
      </c>
      <c r="BH322" t="b">
        <f t="shared" si="539"/>
        <v>0</v>
      </c>
      <c r="BI322">
        <f t="shared" si="540"/>
        <v>1</v>
      </c>
      <c r="BJ322" t="b">
        <f t="shared" si="541"/>
        <v>0</v>
      </c>
      <c r="BK322" t="b">
        <f t="shared" si="542"/>
        <v>0</v>
      </c>
      <c r="BL322" t="b">
        <f t="shared" si="543"/>
        <v>0</v>
      </c>
      <c r="BM322" t="b">
        <f t="shared" si="544"/>
        <v>0</v>
      </c>
      <c r="BN322" t="b">
        <f t="shared" si="545"/>
        <v>0</v>
      </c>
      <c r="BO322" t="b">
        <f t="shared" si="546"/>
        <v>0</v>
      </c>
      <c r="BP322" t="b">
        <f t="shared" si="547"/>
        <v>0</v>
      </c>
      <c r="BQ322" t="b">
        <f t="shared" si="548"/>
        <v>0</v>
      </c>
      <c r="BR322" t="b">
        <f t="shared" si="549"/>
        <v>0</v>
      </c>
      <c r="BS322">
        <f t="shared" si="550"/>
        <v>1</v>
      </c>
      <c r="BT322" t="b">
        <f t="shared" si="551"/>
        <v>0</v>
      </c>
      <c r="BU322" t="b">
        <f t="shared" si="552"/>
        <v>0</v>
      </c>
      <c r="BV322" t="b">
        <f t="shared" si="553"/>
        <v>0</v>
      </c>
      <c r="BW322" t="b">
        <f t="shared" si="554"/>
        <v>0</v>
      </c>
      <c r="BX322" t="b">
        <f t="shared" si="555"/>
        <v>0</v>
      </c>
      <c r="BY322" t="b">
        <f t="shared" si="556"/>
        <v>0</v>
      </c>
      <c r="BZ322" t="b">
        <f t="shared" si="557"/>
        <v>0</v>
      </c>
      <c r="CA322" t="b">
        <f t="shared" si="558"/>
        <v>0</v>
      </c>
      <c r="CB322" t="b">
        <f t="shared" si="559"/>
        <v>0</v>
      </c>
      <c r="CC322" t="b">
        <f t="shared" si="560"/>
        <v>0</v>
      </c>
      <c r="CD322" t="b">
        <f t="shared" si="561"/>
        <v>0</v>
      </c>
      <c r="CE322">
        <f t="shared" si="562"/>
        <v>1</v>
      </c>
      <c r="CF322" t="b">
        <f t="shared" si="563"/>
        <v>0</v>
      </c>
      <c r="CG322" t="b">
        <f t="shared" si="564"/>
        <v>0</v>
      </c>
      <c r="CH322" t="b">
        <f t="shared" si="565"/>
        <v>0</v>
      </c>
      <c r="CI322" t="b">
        <f t="shared" si="566"/>
        <v>0</v>
      </c>
      <c r="CJ322" t="b">
        <f t="shared" si="567"/>
        <v>0</v>
      </c>
      <c r="CK322" t="b">
        <f t="shared" si="568"/>
        <v>0</v>
      </c>
      <c r="CL322" t="b">
        <f t="shared" si="569"/>
        <v>0</v>
      </c>
      <c r="CM322" t="b">
        <f t="shared" si="570"/>
        <v>0</v>
      </c>
      <c r="CN322" t="b">
        <f t="shared" si="571"/>
        <v>0</v>
      </c>
      <c r="CO322" t="b">
        <f t="shared" si="572"/>
        <v>0</v>
      </c>
      <c r="CP322" t="b">
        <f t="shared" si="573"/>
        <v>0</v>
      </c>
      <c r="CQ322" t="b">
        <f t="shared" si="574"/>
        <v>0</v>
      </c>
      <c r="CR322" t="b">
        <f t="shared" si="575"/>
        <v>0</v>
      </c>
      <c r="CS322" t="b">
        <f t="shared" si="576"/>
        <v>0</v>
      </c>
      <c r="CT322" t="b">
        <f t="shared" si="577"/>
        <v>0</v>
      </c>
      <c r="CU322" t="b">
        <f t="shared" si="578"/>
        <v>0</v>
      </c>
      <c r="CV322">
        <f t="shared" si="579"/>
        <v>1</v>
      </c>
      <c r="CW322" t="b">
        <f t="shared" si="580"/>
        <v>0</v>
      </c>
      <c r="CX322" t="b">
        <f t="shared" si="581"/>
        <v>0</v>
      </c>
      <c r="CY322" t="b">
        <f t="shared" si="582"/>
        <v>0</v>
      </c>
      <c r="CZ322" t="b">
        <f t="shared" si="583"/>
        <v>0</v>
      </c>
      <c r="DA322" t="b">
        <f t="shared" si="584"/>
        <v>0</v>
      </c>
      <c r="DB322" t="b">
        <f t="shared" si="585"/>
        <v>0</v>
      </c>
      <c r="DC322" t="b">
        <f t="shared" si="586"/>
        <v>0</v>
      </c>
      <c r="DD322" t="b">
        <f t="shared" si="587"/>
        <v>0</v>
      </c>
      <c r="DE322" t="b">
        <f t="shared" si="588"/>
        <v>0</v>
      </c>
      <c r="DF322" t="b">
        <f t="shared" si="589"/>
        <v>0</v>
      </c>
      <c r="DG322">
        <f t="shared" si="590"/>
        <v>1</v>
      </c>
      <c r="DH322" t="b">
        <f t="shared" si="591"/>
        <v>0</v>
      </c>
      <c r="DI322" t="b">
        <f t="shared" si="592"/>
        <v>0</v>
      </c>
      <c r="DJ322" t="b">
        <f t="shared" si="593"/>
        <v>0</v>
      </c>
      <c r="DK322" t="b">
        <f t="shared" si="594"/>
        <v>0</v>
      </c>
      <c r="DL322" t="b">
        <f t="shared" si="595"/>
        <v>0</v>
      </c>
      <c r="DM322" t="b">
        <f t="shared" si="596"/>
        <v>0</v>
      </c>
      <c r="DN322" t="b">
        <f t="shared" si="597"/>
        <v>0</v>
      </c>
      <c r="DO322" t="b">
        <f t="shared" si="598"/>
        <v>0</v>
      </c>
      <c r="DP322" t="b">
        <f t="shared" si="599"/>
        <v>0</v>
      </c>
      <c r="DQ322" t="b">
        <f t="shared" si="600"/>
        <v>0</v>
      </c>
      <c r="DR322" t="b">
        <f t="shared" si="601"/>
        <v>0</v>
      </c>
      <c r="DS322" t="b">
        <f t="shared" si="602"/>
        <v>0</v>
      </c>
      <c r="DT322" t="b">
        <f t="shared" si="603"/>
        <v>0</v>
      </c>
      <c r="DU322" t="b">
        <f t="shared" si="604"/>
        <v>0</v>
      </c>
      <c r="DV322" t="b">
        <f t="shared" si="605"/>
        <v>0</v>
      </c>
      <c r="DW322" t="b">
        <f t="shared" si="606"/>
        <v>0</v>
      </c>
      <c r="DX322" t="b">
        <f t="shared" si="607"/>
        <v>0</v>
      </c>
      <c r="DY322" t="b">
        <f t="shared" si="608"/>
        <v>0</v>
      </c>
      <c r="DZ322" t="b">
        <f t="shared" si="609"/>
        <v>0</v>
      </c>
      <c r="EA322" t="b">
        <f t="shared" si="610"/>
        <v>0</v>
      </c>
      <c r="EB322" t="b">
        <f t="shared" si="611"/>
        <v>0</v>
      </c>
      <c r="EC322" t="b">
        <f t="shared" si="612"/>
        <v>0</v>
      </c>
      <c r="ED322" t="b">
        <f t="shared" si="613"/>
        <v>0</v>
      </c>
      <c r="EE322" t="b">
        <f t="shared" si="614"/>
        <v>0</v>
      </c>
      <c r="EF322">
        <f t="shared" si="615"/>
        <v>1</v>
      </c>
      <c r="EG322" t="b">
        <f t="shared" si="616"/>
        <v>0</v>
      </c>
      <c r="EH322" t="b">
        <f t="shared" si="617"/>
        <v>0</v>
      </c>
      <c r="EI322" t="b">
        <f t="shared" si="618"/>
        <v>0</v>
      </c>
      <c r="EJ322" t="b">
        <f t="shared" si="619"/>
        <v>0</v>
      </c>
      <c r="EK322" t="b">
        <f t="shared" si="620"/>
        <v>0</v>
      </c>
    </row>
    <row r="323" spans="1:141">
      <c r="A323" t="s">
        <v>1692</v>
      </c>
      <c r="B323" t="s">
        <v>1692</v>
      </c>
      <c r="C323" t="s">
        <v>1693</v>
      </c>
      <c r="D323" s="1">
        <v>44263</v>
      </c>
      <c r="E323" s="2">
        <v>44268.177268518521</v>
      </c>
      <c r="F323" s="2">
        <v>44279.081782407404</v>
      </c>
      <c r="G323">
        <v>465141</v>
      </c>
      <c r="H323" t="s">
        <v>1694</v>
      </c>
      <c r="I323" s="10" t="s">
        <v>1695</v>
      </c>
      <c r="J323" t="s">
        <v>1696</v>
      </c>
      <c r="K323" s="8" t="b">
        <v>1</v>
      </c>
      <c r="L323" s="10" t="b">
        <v>0</v>
      </c>
      <c r="M323" s="12" t="b">
        <v>0</v>
      </c>
      <c r="N323" t="b">
        <v>0</v>
      </c>
      <c r="O323" t="b">
        <v>0</v>
      </c>
      <c r="P323" t="b">
        <v>0</v>
      </c>
      <c r="Q323">
        <f t="shared" si="621"/>
        <v>2</v>
      </c>
      <c r="R323">
        <f t="shared" si="622"/>
        <v>3</v>
      </c>
      <c r="S323" t="e">
        <f t="shared" ref="S323:S386" ca="1" si="652">WhoIsorganization(C323)</f>
        <v>#NAME?</v>
      </c>
      <c r="T323" t="e">
        <f t="shared" ca="1" si="623"/>
        <v>#NAME?</v>
      </c>
      <c r="U323" s="4">
        <f t="shared" si="624"/>
        <v>5.1772685185205773</v>
      </c>
      <c r="V323" s="4">
        <f t="shared" si="625"/>
        <v>0.17257561728401924</v>
      </c>
      <c r="W323" s="4">
        <f t="shared" si="626"/>
        <v>1</v>
      </c>
      <c r="X323" s="4">
        <f t="shared" si="627"/>
        <v>0</v>
      </c>
      <c r="Y323" s="4">
        <f t="shared" si="628"/>
        <v>0</v>
      </c>
      <c r="Z323" s="4">
        <f t="shared" si="629"/>
        <v>0</v>
      </c>
      <c r="AA323" s="4">
        <f t="shared" si="630"/>
        <v>0</v>
      </c>
      <c r="AB323" s="4">
        <f t="shared" si="631"/>
        <v>0</v>
      </c>
      <c r="AC323" s="4"/>
      <c r="AD323" s="4" t="b">
        <f t="shared" si="632"/>
        <v>0</v>
      </c>
      <c r="AE323" s="4" t="b">
        <f t="shared" si="633"/>
        <v>0</v>
      </c>
      <c r="AF323" s="4" t="b">
        <f t="shared" si="634"/>
        <v>0</v>
      </c>
      <c r="AG323" t="b">
        <f t="shared" si="635"/>
        <v>0</v>
      </c>
      <c r="AH323" t="b">
        <f t="shared" si="636"/>
        <v>0</v>
      </c>
      <c r="AI323">
        <f t="shared" si="637"/>
        <v>1</v>
      </c>
      <c r="AJ323" t="b">
        <f t="shared" si="638"/>
        <v>0</v>
      </c>
      <c r="AK323" t="b">
        <f t="shared" si="639"/>
        <v>0</v>
      </c>
      <c r="AL323" t="b">
        <f t="shared" si="640"/>
        <v>0</v>
      </c>
      <c r="AM323" t="b">
        <f t="shared" si="641"/>
        <v>0</v>
      </c>
      <c r="AN323" t="b">
        <f t="shared" si="642"/>
        <v>0</v>
      </c>
      <c r="AO323" t="b">
        <f t="shared" si="643"/>
        <v>0</v>
      </c>
      <c r="AP323" t="b">
        <f t="shared" si="644"/>
        <v>0</v>
      </c>
      <c r="AQ323" t="b">
        <f t="shared" si="645"/>
        <v>0</v>
      </c>
      <c r="AR323" t="b">
        <f t="shared" si="646"/>
        <v>0</v>
      </c>
      <c r="AS323" t="b">
        <f t="shared" si="647"/>
        <v>0</v>
      </c>
      <c r="AT323" t="b">
        <f t="shared" si="648"/>
        <v>0</v>
      </c>
      <c r="AU323" t="b">
        <f t="shared" si="649"/>
        <v>0</v>
      </c>
      <c r="AV323" t="b">
        <f t="shared" si="650"/>
        <v>0</v>
      </c>
      <c r="AW323" t="b">
        <f t="shared" si="651"/>
        <v>0</v>
      </c>
      <c r="AX323" t="b">
        <f t="shared" ref="AX323:AX386" si="653">IFERROR(IF(SEARCH( "'Customer feedback'", J323),1,0),FALSE)</f>
        <v>0</v>
      </c>
      <c r="AY323" t="b">
        <f t="shared" ref="AY323:AY386" si="654">IFERROR(IF(SEARCH( "'Customer interactions'  ", J323),1,0),FALSE)</f>
        <v>0</v>
      </c>
      <c r="AZ323">
        <f t="shared" ref="AZ323:AZ386" si="655">IFERROR(IF(SEARCH( "'Dates of birth'", J323),1,0),FALSE)</f>
        <v>1</v>
      </c>
      <c r="BA323" t="b">
        <f t="shared" ref="BA323:BA386" si="656">IFERROR(IF(SEARCH( "'Deceased statuses'", J323),1,0),FALSE)</f>
        <v>0</v>
      </c>
      <c r="BB323" t="b">
        <f t="shared" ref="BB323:BB386" si="657">IFERROR(IF(SEARCH( "'Device information'", J323),1,0),FALSE)</f>
        <v>0</v>
      </c>
      <c r="BC323" t="b">
        <f t="shared" ref="BC323:BC386" si="658">IFERROR(IF(SEARCH( "'Device serial numbers'", J323),1,0),FALSE)</f>
        <v>0</v>
      </c>
      <c r="BD323" t="b">
        <f t="shared" ref="BD323:BD386" si="659">IFERROR(IF(SEARCH( "'Device usage tracking data'", J323),1,0),FALSE)</f>
        <v>0</v>
      </c>
      <c r="BE323" t="b">
        <f t="shared" ref="BE323:BE386" si="660">IFERROR(IF(SEARCH( "'Drinking habits'", J323),1,0),FALSE)</f>
        <v>0</v>
      </c>
      <c r="BF323" t="b">
        <f t="shared" ref="BF323:BF386" si="661">IFERROR(IF(SEARCH( "'Drinking habits' ", J323),1,0),FALSE)</f>
        <v>0</v>
      </c>
      <c r="BG323" t="b">
        <f t="shared" ref="BG323:BG386" si="662">IFERROR(IF(SEARCH( "'Drug habits'", J323),1,0),FALSE)</f>
        <v>0</v>
      </c>
      <c r="BH323">
        <f t="shared" ref="BH323:BH386" si="663">IFERROR(IF(SEARCH( "'Education levels'", J323),1,0),FALSE)</f>
        <v>1</v>
      </c>
      <c r="BI323">
        <f t="shared" ref="BI323:BI386" si="664">IFERROR(IF(SEARCH( "'Email addresses'", J323),1,0),FALSE)</f>
        <v>1</v>
      </c>
      <c r="BJ323" t="b">
        <f t="shared" ref="BJ323:BJ386" si="665">IFERROR(IF(SEARCH( "'Employers'", J323),1,0),FALSE)</f>
        <v>0</v>
      </c>
      <c r="BK323" t="b">
        <f t="shared" ref="BK323:BK386" si="666">IFERROR(IF(SEARCH( "'Ethnicities' ", J323),1,0),FALSE)</f>
        <v>0</v>
      </c>
      <c r="BL323" t="b">
        <f t="shared" ref="BL323:BL386" si="667">IFERROR(IF(SEARCH( "'Family members' names'", J323),1,0),FALSE)</f>
        <v>0</v>
      </c>
      <c r="BM323" t="b">
        <f t="shared" ref="BM323:BM386" si="668">IFERROR(IF(SEARCH( "'Family structure", J323),1,0),FALSE)</f>
        <v>0</v>
      </c>
      <c r="BN323" t="b">
        <f t="shared" ref="BN323:BN386" si="669">IFERROR(IF(SEARCH( "'Financial investments'", J323),1,0),FALSE)</f>
        <v>0</v>
      </c>
      <c r="BO323" t="b">
        <f t="shared" ref="BO323:BO386" si="670">IFERROR(IF(SEARCH( "'Financial transactions'", J323),1,0),FALSE)</f>
        <v>0</v>
      </c>
      <c r="BP323" t="b">
        <f t="shared" ref="BP323:BP386" si="671">IFERROR(IF(SEARCH( "'Fitness levels'", J323),1,0),FALSE)</f>
        <v>0</v>
      </c>
      <c r="BQ323" t="b">
        <f t="shared" ref="BQ323:BQ386" si="672">IFERROR(IF(SEARCH( "'Flights taken'", J323),1,0),FALSE)</f>
        <v>0</v>
      </c>
      <c r="BR323" t="b">
        <f t="shared" ref="BR323:BR386" si="673">IFERROR(IF(SEARCH( "'Genders'", J323),1,0),FALSE)</f>
        <v>0</v>
      </c>
      <c r="BS323">
        <f t="shared" ref="BS323:BS386" si="674">IFERROR(IF(SEARCH( "'Geographic locations'", J323),1,0),FALSE)</f>
        <v>1</v>
      </c>
      <c r="BT323" t="b">
        <f t="shared" ref="BT323:BT386" si="675">IFERROR(IF(SEARCH( "'Government issued IDs'", J323),1,0),FALSE)</f>
        <v>0</v>
      </c>
      <c r="BU323" t="b">
        <f t="shared" ref="BU323:BU386" si="676">IFERROR(IF(SEARCH( "'Health insurance information' ", J323),1,0),FALSE)</f>
        <v>0</v>
      </c>
      <c r="BV323" t="b">
        <f t="shared" ref="BV323:BV386" si="677">IFERROR(IF(SEARCH( "'Historical passwords'", J323),1,0),FALSE)</f>
        <v>0</v>
      </c>
      <c r="BW323" t="b">
        <f t="shared" ref="BW323:BW386" si="678">IFERROR(IF(SEARCH( "'HIV statuses'", J323),1,0),FALSE)</f>
        <v>0</v>
      </c>
      <c r="BX323" t="b">
        <f t="shared" ref="BX323:BX386" si="679">IFERROR(IF(SEARCH( "'Home loan information'", J323),1,0),FALSE)</f>
        <v>0</v>
      </c>
      <c r="BY323" t="b">
        <f t="shared" ref="BY323:BY386" si="680">IFERROR(IF(SEARCH( "'Home ownership statuses", J323),1,0),FALSE)</f>
        <v>0</v>
      </c>
      <c r="BZ323" t="b">
        <f t="shared" ref="BZ323:BZ386" si="681">IFERROR(IF(SEARCH( "'Homepage URLs'", J323),1,0),FALSE)</f>
        <v>0</v>
      </c>
      <c r="CA323" t="b">
        <f t="shared" ref="CA323:CA386" si="682">IFERROR(IF(SEARCH( "'IMEI numbers'", J323),1,0),FALSE)</f>
        <v>0</v>
      </c>
      <c r="CB323" t="b">
        <f t="shared" ref="CB323:CB386" si="683">IFERROR(IF(SEARCH( "'IMSI numbers' ", J323),1,0),FALSE)</f>
        <v>0</v>
      </c>
      <c r="CC323" t="b">
        <f t="shared" ref="CC323:CC386" si="684">IFERROR(IF(SEARCH( "'Income levels'", J323),1,0),FALSE)</f>
        <v>0</v>
      </c>
      <c r="CD323" t="b">
        <f t="shared" ref="CD323:CD386" si="685">IFERROR(IF(SEARCH( "'Instant messenger identities'", J323),1,0),FALSE)</f>
        <v>0</v>
      </c>
      <c r="CE323">
        <f t="shared" ref="CE323:CE386" si="686">IFERROR(IF(SEARCH( "'IP addresses'", J323),1,0),FALSE)</f>
        <v>1</v>
      </c>
      <c r="CF323" t="b">
        <f t="shared" ref="CF323:CF386" si="687">IFERROR(IF(SEARCH( "'Job applications' ", J323),1,0),FALSE)</f>
        <v>0</v>
      </c>
      <c r="CG323" t="b">
        <f t="shared" ref="CG323:CG386" si="688">IFERROR(IF(SEARCH( "'Job titles' ", J323),1,0),FALSE)</f>
        <v>0</v>
      </c>
      <c r="CH323" t="b">
        <f t="shared" ref="CH323:CH386" si="689">IFERROR(IF(SEARCH( "'Licence plates'", J323),1,0),FALSE)</f>
        <v>0</v>
      </c>
      <c r="CI323" t="b">
        <f t="shared" ref="CI323:CI386" si="690">IFERROR(IF(SEARCH( "'Login histories'", J323),1,0),FALSE)</f>
        <v>0</v>
      </c>
      <c r="CJ323" t="b">
        <f t="shared" ref="CJ323:CJ386" si="691">IFERROR(IF(SEARCH( "'MAC addresses'", J323),1,0),FALSE)</f>
        <v>0</v>
      </c>
      <c r="CK323" t="b">
        <f t="shared" ref="CK323:CK386" si="692">IFERROR(IF(SEARCH( "'Marital statuses'", J323),1,0),FALSE)</f>
        <v>0</v>
      </c>
      <c r="CL323" t="b">
        <f t="shared" ref="CL323:CL386" si="693">IFERROR(IF(SEARCH( "'Mnemonic phrases'", J323),1,0),FALSE)</f>
        <v>0</v>
      </c>
      <c r="CM323">
        <f t="shared" ref="CM323:CM386" si="694">IFERROR(IF(SEARCH( "'Names'", J323),1,0),FALSE)</f>
        <v>1</v>
      </c>
      <c r="CN323" t="b">
        <f t="shared" ref="CN323:CN386" si="695">IFERROR(IF(SEARCH( "'Nationalities'", J323),1,0),FALSE)</f>
        <v>0</v>
      </c>
      <c r="CO323" t="b">
        <f t="shared" ref="CO323:CO386" si="696">IFERROR(IF(SEARCH( "'Net worths'", J323),1,0),FALSE)</f>
        <v>0</v>
      </c>
      <c r="CP323" t="b">
        <f t="shared" ref="CP323:CP386" si="697">IFERROR(IF(SEARCH( "'Nicknames' ", J323),1,0),FALSE)</f>
        <v>0</v>
      </c>
      <c r="CQ323" t="b">
        <f t="shared" ref="CQ323:CQ386" si="698">IFERROR(IF(SEARCH( "'Occupations'", J323),1,0),FALSE)</f>
        <v>0</v>
      </c>
      <c r="CR323" t="b">
        <f t="shared" ref="CR323:CR386" si="699">IFERROR(IF(SEARCH( "'Parenting plans", J323),1,0),FALSE)</f>
        <v>0</v>
      </c>
      <c r="CS323" t="b">
        <f t="shared" ref="CS323:CS386" si="700">IFERROR(IF(SEARCH( "'Partial credit card data' ", J323),1,0),FALSE)</f>
        <v>0</v>
      </c>
      <c r="CT323" t="b">
        <f t="shared" ref="CT323:CT386" si="701">IFERROR(IF(SEARCH( "'Partial phone numbers'", J323),1,0),FALSE)</f>
        <v>0</v>
      </c>
      <c r="CU323" t="b">
        <f t="shared" ref="CU323:CU386" si="702">IFERROR(IF(SEARCH( "'Passport numbers'", J323),1,0),FALSE)</f>
        <v>0</v>
      </c>
      <c r="CV323">
        <f t="shared" ref="CV323:CV386" si="703">IFERROR(IF(SEARCH( "'Passwords'", J323),1,0),FALSE)</f>
        <v>1</v>
      </c>
      <c r="CW323" t="b">
        <f t="shared" ref="CW323:CW386" si="704">IFERROR(IF(SEARCH( "'Payment histories'", J323),1,0),FALSE)</f>
        <v>0</v>
      </c>
      <c r="CX323" t="b">
        <f t="shared" ref="CX323:CX386" si="705">IFERROR(IF(SEARCH( "'Payment methods'", J323),1,0),FALSE)</f>
        <v>0</v>
      </c>
      <c r="CY323" t="b">
        <f t="shared" ref="CY323:CY386" si="706">IFERROR(IF(SEARCH( "'Personal descriptions'", J323),1,0),FALSE)</f>
        <v>0</v>
      </c>
      <c r="CZ323" t="b">
        <f t="shared" ref="CZ323:CZ386" si="707">IFERROR(IF(SEARCH( "'Personal health data'", J323),1,0),FALSE)</f>
        <v>0</v>
      </c>
      <c r="DA323">
        <f t="shared" ref="DA323:DA386" si="708">IFERROR(IF(SEARCH( "'Phone numbers'", J323),1,0),FALSE)</f>
        <v>1</v>
      </c>
      <c r="DB323" t="b">
        <f t="shared" ref="DB323:DB386" si="709">IFERROR(IF(SEARCH( "'Physical addresses'", J323),1,0),FALSE)</f>
        <v>0</v>
      </c>
      <c r="DC323" t="b">
        <f t="shared" ref="DC323:DC386" si="710">IFERROR(IF(SEARCH( "'Physical attributes'", J323),1,0),FALSE)</f>
        <v>0</v>
      </c>
      <c r="DD323" t="b">
        <f t="shared" ref="DD323:DD386" si="711">IFERROR(IF(SEARCH( "'PINs'", J323),1,0),FALSE)</f>
        <v>0</v>
      </c>
      <c r="DE323" t="b">
        <f t="shared" ref="DE323:DE386" si="712">IFERROR(IF(SEARCH( "'Political donations'", J323),1,0),FALSE)</f>
        <v>0</v>
      </c>
      <c r="DF323" t="b">
        <f t="shared" ref="DF323:DF386" si="713">IFERROR(IF(SEARCH( "'Political views'", J323),1,0),FALSE)</f>
        <v>0</v>
      </c>
      <c r="DG323">
        <f t="shared" ref="DG323:DG386" si="714">IFERROR(IF(SEARCH( "'Private messages'", J323),1,0),FALSE)</f>
        <v>1</v>
      </c>
      <c r="DH323" t="b">
        <f t="shared" ref="DH323:DH386" si="715">IFERROR(IF(SEARCH( "'Professional skills'", J323),1,0),FALSE)</f>
        <v>0</v>
      </c>
      <c r="DI323" t="b">
        <f t="shared" ref="DI323:DI386" si="716">IFERROR(IF(SEARCH( "'Profile photos'", J323),1,0),FALSE)</f>
        <v>0</v>
      </c>
      <c r="DJ323" t="b">
        <f t="shared" ref="DJ323:DJ386" si="717">IFERROR(IF(SEARCH( "'Purchases'", J323),1,0),FALSE)</f>
        <v>0</v>
      </c>
      <c r="DK323" t="b">
        <f t="shared" ref="DK323:DK386" si="718">IFERROR(IF(SEARCH( "'Purchasing habits'", J323),1,0),FALSE)</f>
        <v>0</v>
      </c>
      <c r="DL323" t="b">
        <f t="shared" ref="DL323:DL386" si="719">IFERROR(IF(SEARCH( "'Races'", J323),1,0),FALSE)</f>
        <v>0</v>
      </c>
      <c r="DM323" t="b">
        <f t="shared" ref="DM323:DM386" si="720">IFERROR(IF(SEARCH( "'Recovery email addresses'", J323),1,0),FALSE)</f>
        <v>0</v>
      </c>
      <c r="DN323" t="b">
        <f t="shared" ref="DN323:DN386" si="721">IFERROR(IF(SEARCH( "'Relationship statuses'", J323),1,0),FALSE)</f>
        <v>0</v>
      </c>
      <c r="DO323" t="b">
        <f t="shared" ref="DO323:DO386" si="722">IFERROR(IF(SEARCH( "'Religions' ", J323),1,0),FALSE)</f>
        <v>0</v>
      </c>
      <c r="DP323" t="b">
        <f t="shared" ref="DP323:DP386" si="723">IFERROR(IF(SEARCH( "'Reward program balances'", J323),1,0),FALSE)</f>
        <v>0</v>
      </c>
      <c r="DQ323" t="b">
        <f t="shared" ref="DQ323:DQ386" si="724">IFERROR(IF(SEARCH( "'Salutations'", J323),1,0),FALSE)</f>
        <v>0</v>
      </c>
      <c r="DR323" t="b">
        <f t="shared" ref="DR323:DR386" si="725">IFERROR(IF(SEARCH( "'School grades (class levels)", J323),1,0),FALSE)</f>
        <v>0</v>
      </c>
      <c r="DS323">
        <f t="shared" ref="DS323:DS386" si="726">IFERROR(IF(SEARCH( "'Security questions and answers'", J323),1,0),FALSE)</f>
        <v>1</v>
      </c>
      <c r="DT323" t="b">
        <f t="shared" ref="DT323:DT386" si="727">IFERROR(IF(SEARCH( "'Sexual fetishes'", J323),1,0),FALSE)</f>
        <v>0</v>
      </c>
      <c r="DU323" t="b">
        <f t="shared" ref="DU323:DU386" si="728">IFERROR(IF(SEARCH( "'Sexual orientations'", J323),1,0),FALSE)</f>
        <v>0</v>
      </c>
      <c r="DV323" t="b">
        <f t="shared" ref="DV323:DV386" si="729">IFERROR(IF(SEARCH( "'Smoking habits'", J323),1,0),FALSE)</f>
        <v>0</v>
      </c>
      <c r="DW323" t="b">
        <f t="shared" ref="DW323:DW386" si="730">IFERROR(IF(SEARCH( "'SMS messages'", J323),1,0),FALSE)</f>
        <v>0</v>
      </c>
      <c r="DX323" t="b">
        <f t="shared" ref="DX323:DX386" si="731">IFERROR(IF(SEARCH( "'Social connections'", J323),1,0),FALSE)</f>
        <v>0</v>
      </c>
      <c r="DY323">
        <f t="shared" ref="DY323:DY386" si="732">IFERROR(IF(SEARCH( "'Social media profiles'", J323),1,0),FALSE)</f>
        <v>1</v>
      </c>
      <c r="DZ323" t="b">
        <f t="shared" ref="DZ323:DZ386" si="733">IFERROR(IF(SEARCH( "'Social security numbers'", J323),1,0),FALSE)</f>
        <v>0</v>
      </c>
      <c r="EA323" t="b">
        <f t="shared" ref="EA323:EA386" si="734">IFERROR(IF(SEARCH( "'Spoken languages'", J323),1,0),FALSE)</f>
        <v>0</v>
      </c>
      <c r="EB323" t="b">
        <f t="shared" ref="EB323:EB386" si="735">IFERROR(IF(SEARCH( "'Survey results'", J323),1,0),FALSE)</f>
        <v>0</v>
      </c>
      <c r="EC323" t="b">
        <f t="shared" ref="EC323:EC386" si="736">IFERROR(IF(SEARCH( "'Time zones'", J323),1,0),FALSE)</f>
        <v>0</v>
      </c>
      <c r="ED323" t="b">
        <f t="shared" ref="ED323:ED386" si="737">IFERROR(IF(SEARCH( "'Travel habits' ", J323),1,0),FALSE)</f>
        <v>0</v>
      </c>
      <c r="EE323" t="b">
        <f t="shared" ref="EE323:EE386" si="738">IFERROR(IF(SEARCH( "'User website URLs'", J323),1,0),FALSE)</f>
        <v>0</v>
      </c>
      <c r="EF323">
        <f t="shared" ref="EF323:EF386" si="739">IFERROR(IF(SEARCH( "'Usernames'", J323),1,0),FALSE)</f>
        <v>1</v>
      </c>
      <c r="EG323" t="b">
        <f t="shared" ref="EG323:EG386" si="740">IFERROR(IF(SEARCH( "'Vehicle details'", J323),1,0),FALSE)</f>
        <v>0</v>
      </c>
      <c r="EH323" t="b">
        <f t="shared" ref="EH323:EH386" si="741">IFERROR(IF(SEARCH( "'Vehicle identification numbers (VINs)'", J323),1,0),FALSE)</f>
        <v>0</v>
      </c>
      <c r="EI323" t="b">
        <f t="shared" ref="EI323:EI386" si="742">IFERROR(IF(SEARCH( "'Website activity'", J323),1,0),FALSE)</f>
        <v>0</v>
      </c>
      <c r="EJ323" t="b">
        <f t="shared" ref="EJ323:EJ386" si="743">IFERROR(IF(SEARCH( "'Work habits'", J323),1,0),FALSE)</f>
        <v>0</v>
      </c>
      <c r="EK323" t="b">
        <f t="shared" ref="EK323:EK386" si="744">IFERROR(IF(SEARCH( "'Years of professional experience'", J323),1,0),FALSE)</f>
        <v>0</v>
      </c>
    </row>
    <row r="324" spans="1:141">
      <c r="A324" t="s">
        <v>1697</v>
      </c>
      <c r="B324" t="s">
        <v>1697</v>
      </c>
      <c r="C324" t="s">
        <v>1698</v>
      </c>
      <c r="D324" s="1">
        <v>41034</v>
      </c>
      <c r="E324" s="2">
        <v>42511.899768518517</v>
      </c>
      <c r="F324" s="2">
        <v>42511.899768518517</v>
      </c>
      <c r="G324">
        <v>164611595</v>
      </c>
      <c r="H324" t="s">
        <v>1699</v>
      </c>
      <c r="I324" s="10" t="s">
        <v>1700</v>
      </c>
      <c r="J324" t="s">
        <v>147</v>
      </c>
      <c r="K324" s="8" t="b">
        <v>1</v>
      </c>
      <c r="L324" s="10" t="b">
        <v>0</v>
      </c>
      <c r="M324" s="12" t="b">
        <v>0</v>
      </c>
      <c r="N324" t="b">
        <v>0</v>
      </c>
      <c r="O324" t="b">
        <v>0</v>
      </c>
      <c r="P324" t="b">
        <v>0</v>
      </c>
      <c r="Q324">
        <f t="shared" si="621"/>
        <v>7</v>
      </c>
      <c r="R324">
        <f t="shared" si="622"/>
        <v>5</v>
      </c>
      <c r="S324" t="e">
        <f t="shared" ca="1" si="652"/>
        <v>#NAME?</v>
      </c>
      <c r="T324" t="e">
        <f t="shared" ca="1" si="623"/>
        <v>#NAME?</v>
      </c>
      <c r="U324" s="4">
        <f t="shared" si="624"/>
        <v>1477.8997685185168</v>
      </c>
      <c r="V324" s="4">
        <f t="shared" si="625"/>
        <v>49.26332561728389</v>
      </c>
      <c r="W324" s="4">
        <f t="shared" si="626"/>
        <v>1</v>
      </c>
      <c r="X324" s="4">
        <f t="shared" si="627"/>
        <v>0</v>
      </c>
      <c r="Y324" s="4">
        <f t="shared" si="628"/>
        <v>0</v>
      </c>
      <c r="Z324" s="4">
        <f t="shared" si="629"/>
        <v>0</v>
      </c>
      <c r="AA324" s="4">
        <f t="shared" si="630"/>
        <v>0</v>
      </c>
      <c r="AB324" s="4">
        <f t="shared" si="631"/>
        <v>0</v>
      </c>
      <c r="AC324" s="4"/>
      <c r="AD324" s="4" t="b">
        <f t="shared" si="632"/>
        <v>0</v>
      </c>
      <c r="AE324" s="4" t="b">
        <f t="shared" si="633"/>
        <v>0</v>
      </c>
      <c r="AF324" s="4" t="b">
        <f t="shared" si="634"/>
        <v>0</v>
      </c>
      <c r="AG324" t="b">
        <f t="shared" si="635"/>
        <v>0</v>
      </c>
      <c r="AH324" t="b">
        <f t="shared" si="636"/>
        <v>0</v>
      </c>
      <c r="AI324" t="b">
        <f t="shared" si="637"/>
        <v>0</v>
      </c>
      <c r="AJ324" t="b">
        <f t="shared" si="638"/>
        <v>0</v>
      </c>
      <c r="AK324" t="b">
        <f t="shared" si="639"/>
        <v>0</v>
      </c>
      <c r="AL324" t="b">
        <f t="shared" si="640"/>
        <v>0</v>
      </c>
      <c r="AM324" t="b">
        <f t="shared" si="641"/>
        <v>0</v>
      </c>
      <c r="AN324" t="b">
        <f t="shared" si="642"/>
        <v>0</v>
      </c>
      <c r="AO324" t="b">
        <f t="shared" si="643"/>
        <v>0</v>
      </c>
      <c r="AP324" t="b">
        <f t="shared" si="644"/>
        <v>0</v>
      </c>
      <c r="AQ324" t="b">
        <f t="shared" si="645"/>
        <v>0</v>
      </c>
      <c r="AR324" t="b">
        <f t="shared" si="646"/>
        <v>0</v>
      </c>
      <c r="AS324" t="b">
        <f t="shared" si="647"/>
        <v>0</v>
      </c>
      <c r="AT324" t="b">
        <f t="shared" si="648"/>
        <v>0</v>
      </c>
      <c r="AU324" t="b">
        <f t="shared" si="649"/>
        <v>0</v>
      </c>
      <c r="AV324" t="b">
        <f t="shared" si="650"/>
        <v>0</v>
      </c>
      <c r="AW324" t="b">
        <f t="shared" si="651"/>
        <v>0</v>
      </c>
      <c r="AX324" t="b">
        <f t="shared" si="653"/>
        <v>0</v>
      </c>
      <c r="AY324" t="b">
        <f t="shared" si="654"/>
        <v>0</v>
      </c>
      <c r="AZ324" t="b">
        <f t="shared" si="655"/>
        <v>0</v>
      </c>
      <c r="BA324" t="b">
        <f t="shared" si="656"/>
        <v>0</v>
      </c>
      <c r="BB324" t="b">
        <f t="shared" si="657"/>
        <v>0</v>
      </c>
      <c r="BC324" t="b">
        <f t="shared" si="658"/>
        <v>0</v>
      </c>
      <c r="BD324" t="b">
        <f t="shared" si="659"/>
        <v>0</v>
      </c>
      <c r="BE324" t="b">
        <f t="shared" si="660"/>
        <v>0</v>
      </c>
      <c r="BF324" t="b">
        <f t="shared" si="661"/>
        <v>0</v>
      </c>
      <c r="BG324" t="b">
        <f t="shared" si="662"/>
        <v>0</v>
      </c>
      <c r="BH324" t="b">
        <f t="shared" si="663"/>
        <v>0</v>
      </c>
      <c r="BI324">
        <f t="shared" si="664"/>
        <v>1</v>
      </c>
      <c r="BJ324" t="b">
        <f t="shared" si="665"/>
        <v>0</v>
      </c>
      <c r="BK324" t="b">
        <f t="shared" si="666"/>
        <v>0</v>
      </c>
      <c r="BL324" t="b">
        <f t="shared" si="667"/>
        <v>0</v>
      </c>
      <c r="BM324" t="b">
        <f t="shared" si="668"/>
        <v>0</v>
      </c>
      <c r="BN324" t="b">
        <f t="shared" si="669"/>
        <v>0</v>
      </c>
      <c r="BO324" t="b">
        <f t="shared" si="670"/>
        <v>0</v>
      </c>
      <c r="BP324" t="b">
        <f t="shared" si="671"/>
        <v>0</v>
      </c>
      <c r="BQ324" t="b">
        <f t="shared" si="672"/>
        <v>0</v>
      </c>
      <c r="BR324" t="b">
        <f t="shared" si="673"/>
        <v>0</v>
      </c>
      <c r="BS324" t="b">
        <f t="shared" si="674"/>
        <v>0</v>
      </c>
      <c r="BT324" t="b">
        <f t="shared" si="675"/>
        <v>0</v>
      </c>
      <c r="BU324" t="b">
        <f t="shared" si="676"/>
        <v>0</v>
      </c>
      <c r="BV324" t="b">
        <f t="shared" si="677"/>
        <v>0</v>
      </c>
      <c r="BW324" t="b">
        <f t="shared" si="678"/>
        <v>0</v>
      </c>
      <c r="BX324" t="b">
        <f t="shared" si="679"/>
        <v>0</v>
      </c>
      <c r="BY324" t="b">
        <f t="shared" si="680"/>
        <v>0</v>
      </c>
      <c r="BZ324" t="b">
        <f t="shared" si="681"/>
        <v>0</v>
      </c>
      <c r="CA324" t="b">
        <f t="shared" si="682"/>
        <v>0</v>
      </c>
      <c r="CB324" t="b">
        <f t="shared" si="683"/>
        <v>0</v>
      </c>
      <c r="CC324" t="b">
        <f t="shared" si="684"/>
        <v>0</v>
      </c>
      <c r="CD324" t="b">
        <f t="shared" si="685"/>
        <v>0</v>
      </c>
      <c r="CE324" t="b">
        <f t="shared" si="686"/>
        <v>0</v>
      </c>
      <c r="CF324" t="b">
        <f t="shared" si="687"/>
        <v>0</v>
      </c>
      <c r="CG324" t="b">
        <f t="shared" si="688"/>
        <v>0</v>
      </c>
      <c r="CH324" t="b">
        <f t="shared" si="689"/>
        <v>0</v>
      </c>
      <c r="CI324" t="b">
        <f t="shared" si="690"/>
        <v>0</v>
      </c>
      <c r="CJ324" t="b">
        <f t="shared" si="691"/>
        <v>0</v>
      </c>
      <c r="CK324" t="b">
        <f t="shared" si="692"/>
        <v>0</v>
      </c>
      <c r="CL324" t="b">
        <f t="shared" si="693"/>
        <v>0</v>
      </c>
      <c r="CM324" t="b">
        <f t="shared" si="694"/>
        <v>0</v>
      </c>
      <c r="CN324" t="b">
        <f t="shared" si="695"/>
        <v>0</v>
      </c>
      <c r="CO324" t="b">
        <f t="shared" si="696"/>
        <v>0</v>
      </c>
      <c r="CP324" t="b">
        <f t="shared" si="697"/>
        <v>0</v>
      </c>
      <c r="CQ324" t="b">
        <f t="shared" si="698"/>
        <v>0</v>
      </c>
      <c r="CR324" t="b">
        <f t="shared" si="699"/>
        <v>0</v>
      </c>
      <c r="CS324" t="b">
        <f t="shared" si="700"/>
        <v>0</v>
      </c>
      <c r="CT324" t="b">
        <f t="shared" si="701"/>
        <v>0</v>
      </c>
      <c r="CU324" t="b">
        <f t="shared" si="702"/>
        <v>0</v>
      </c>
      <c r="CV324">
        <f t="shared" si="703"/>
        <v>1</v>
      </c>
      <c r="CW324" t="b">
        <f t="shared" si="704"/>
        <v>0</v>
      </c>
      <c r="CX324" t="b">
        <f t="shared" si="705"/>
        <v>0</v>
      </c>
      <c r="CY324" t="b">
        <f t="shared" si="706"/>
        <v>0</v>
      </c>
      <c r="CZ324" t="b">
        <f t="shared" si="707"/>
        <v>0</v>
      </c>
      <c r="DA324" t="b">
        <f t="shared" si="708"/>
        <v>0</v>
      </c>
      <c r="DB324" t="b">
        <f t="shared" si="709"/>
        <v>0</v>
      </c>
      <c r="DC324" t="b">
        <f t="shared" si="710"/>
        <v>0</v>
      </c>
      <c r="DD324" t="b">
        <f t="shared" si="711"/>
        <v>0</v>
      </c>
      <c r="DE324" t="b">
        <f t="shared" si="712"/>
        <v>0</v>
      </c>
      <c r="DF324" t="b">
        <f t="shared" si="713"/>
        <v>0</v>
      </c>
      <c r="DG324" t="b">
        <f t="shared" si="714"/>
        <v>0</v>
      </c>
      <c r="DH324" t="b">
        <f t="shared" si="715"/>
        <v>0</v>
      </c>
      <c r="DI324" t="b">
        <f t="shared" si="716"/>
        <v>0</v>
      </c>
      <c r="DJ324" t="b">
        <f t="shared" si="717"/>
        <v>0</v>
      </c>
      <c r="DK324" t="b">
        <f t="shared" si="718"/>
        <v>0</v>
      </c>
      <c r="DL324" t="b">
        <f t="shared" si="719"/>
        <v>0</v>
      </c>
      <c r="DM324" t="b">
        <f t="shared" si="720"/>
        <v>0</v>
      </c>
      <c r="DN324" t="b">
        <f t="shared" si="721"/>
        <v>0</v>
      </c>
      <c r="DO324" t="b">
        <f t="shared" si="722"/>
        <v>0</v>
      </c>
      <c r="DP324" t="b">
        <f t="shared" si="723"/>
        <v>0</v>
      </c>
      <c r="DQ324" t="b">
        <f t="shared" si="724"/>
        <v>0</v>
      </c>
      <c r="DR324" t="b">
        <f t="shared" si="725"/>
        <v>0</v>
      </c>
      <c r="DS324" t="b">
        <f t="shared" si="726"/>
        <v>0</v>
      </c>
      <c r="DT324" t="b">
        <f t="shared" si="727"/>
        <v>0</v>
      </c>
      <c r="DU324" t="b">
        <f t="shared" si="728"/>
        <v>0</v>
      </c>
      <c r="DV324" t="b">
        <f t="shared" si="729"/>
        <v>0</v>
      </c>
      <c r="DW324" t="b">
        <f t="shared" si="730"/>
        <v>0</v>
      </c>
      <c r="DX324" t="b">
        <f t="shared" si="731"/>
        <v>0</v>
      </c>
      <c r="DY324" t="b">
        <f t="shared" si="732"/>
        <v>0</v>
      </c>
      <c r="DZ324" t="b">
        <f t="shared" si="733"/>
        <v>0</v>
      </c>
      <c r="EA324" t="b">
        <f t="shared" si="734"/>
        <v>0</v>
      </c>
      <c r="EB324" t="b">
        <f t="shared" si="735"/>
        <v>0</v>
      </c>
      <c r="EC324" t="b">
        <f t="shared" si="736"/>
        <v>0</v>
      </c>
      <c r="ED324" t="b">
        <f t="shared" si="737"/>
        <v>0</v>
      </c>
      <c r="EE324" t="b">
        <f t="shared" si="738"/>
        <v>0</v>
      </c>
      <c r="EF324" t="b">
        <f t="shared" si="739"/>
        <v>0</v>
      </c>
      <c r="EG324" t="b">
        <f t="shared" si="740"/>
        <v>0</v>
      </c>
      <c r="EH324" t="b">
        <f t="shared" si="741"/>
        <v>0</v>
      </c>
      <c r="EI324" t="b">
        <f t="shared" si="742"/>
        <v>0</v>
      </c>
      <c r="EJ324" t="b">
        <f t="shared" si="743"/>
        <v>0</v>
      </c>
      <c r="EK324" t="b">
        <f t="shared" si="744"/>
        <v>0</v>
      </c>
    </row>
    <row r="325" spans="1:141">
      <c r="A325" t="s">
        <v>1701</v>
      </c>
      <c r="B325" t="s">
        <v>1702</v>
      </c>
      <c r="C325" t="s">
        <v>1698</v>
      </c>
      <c r="D325" s="1">
        <v>44294</v>
      </c>
      <c r="E325" s="2">
        <v>44471.902326388888</v>
      </c>
      <c r="F325" s="2">
        <v>44471.908368055556</v>
      </c>
      <c r="G325">
        <v>125698496</v>
      </c>
      <c r="H325" t="s">
        <v>1703</v>
      </c>
      <c r="I325" s="10" t="s">
        <v>1700</v>
      </c>
      <c r="J325" t="s">
        <v>1704</v>
      </c>
      <c r="K325" s="8" t="b">
        <v>1</v>
      </c>
      <c r="L325" s="10" t="b">
        <v>0</v>
      </c>
      <c r="M325" s="12" t="b">
        <v>0</v>
      </c>
      <c r="N325" t="b">
        <v>0</v>
      </c>
      <c r="O325" t="b">
        <v>0</v>
      </c>
      <c r="P325" t="b">
        <v>0</v>
      </c>
      <c r="Q325">
        <f t="shared" si="621"/>
        <v>5</v>
      </c>
      <c r="R325">
        <f t="shared" si="622"/>
        <v>4</v>
      </c>
      <c r="S325" t="e">
        <f t="shared" ca="1" si="652"/>
        <v>#NAME?</v>
      </c>
      <c r="T325" t="e">
        <f t="shared" ca="1" si="623"/>
        <v>#NAME?</v>
      </c>
      <c r="U325" s="4">
        <f t="shared" si="624"/>
        <v>177.90232638888847</v>
      </c>
      <c r="V325" s="4">
        <f t="shared" si="625"/>
        <v>5.9300775462962827</v>
      </c>
      <c r="W325" s="4">
        <f t="shared" si="626"/>
        <v>1</v>
      </c>
      <c r="X325" s="4">
        <f t="shared" si="627"/>
        <v>0</v>
      </c>
      <c r="Y325" s="4">
        <f t="shared" si="628"/>
        <v>0</v>
      </c>
      <c r="Z325" s="4">
        <f t="shared" si="629"/>
        <v>0</v>
      </c>
      <c r="AA325" s="4">
        <f t="shared" si="630"/>
        <v>0</v>
      </c>
      <c r="AB325" s="4">
        <f t="shared" si="631"/>
        <v>0</v>
      </c>
      <c r="AC325" s="4"/>
      <c r="AD325" s="4" t="b">
        <f t="shared" si="632"/>
        <v>0</v>
      </c>
      <c r="AE325" s="4" t="b">
        <f t="shared" si="633"/>
        <v>0</v>
      </c>
      <c r="AF325" s="4" t="b">
        <f t="shared" si="634"/>
        <v>0</v>
      </c>
      <c r="AG325" t="b">
        <f t="shared" si="635"/>
        <v>0</v>
      </c>
      <c r="AH325" t="b">
        <f t="shared" si="636"/>
        <v>0</v>
      </c>
      <c r="AI325" t="b">
        <f t="shared" si="637"/>
        <v>0</v>
      </c>
      <c r="AJ325" t="b">
        <f t="shared" si="638"/>
        <v>0</v>
      </c>
      <c r="AK325" t="b">
        <f t="shared" si="639"/>
        <v>0</v>
      </c>
      <c r="AL325" t="b">
        <f t="shared" si="640"/>
        <v>0</v>
      </c>
      <c r="AM325" t="b">
        <f t="shared" si="641"/>
        <v>0</v>
      </c>
      <c r="AN325" t="b">
        <f t="shared" si="642"/>
        <v>0</v>
      </c>
      <c r="AO325" t="b">
        <f t="shared" si="643"/>
        <v>0</v>
      </c>
      <c r="AP325" t="b">
        <f t="shared" si="644"/>
        <v>0</v>
      </c>
      <c r="AQ325" t="b">
        <f t="shared" si="645"/>
        <v>0</v>
      </c>
      <c r="AR325" t="b">
        <f t="shared" si="646"/>
        <v>0</v>
      </c>
      <c r="AS325" t="b">
        <f t="shared" si="647"/>
        <v>0</v>
      </c>
      <c r="AT325" t="b">
        <f t="shared" si="648"/>
        <v>0</v>
      </c>
      <c r="AU325" t="b">
        <f t="shared" si="649"/>
        <v>0</v>
      </c>
      <c r="AV325" t="b">
        <f t="shared" si="650"/>
        <v>0</v>
      </c>
      <c r="AW325" t="b">
        <f t="shared" si="651"/>
        <v>0</v>
      </c>
      <c r="AX325" t="b">
        <f t="shared" si="653"/>
        <v>0</v>
      </c>
      <c r="AY325" t="b">
        <f t="shared" si="654"/>
        <v>0</v>
      </c>
      <c r="AZ325" t="b">
        <f t="shared" si="655"/>
        <v>0</v>
      </c>
      <c r="BA325" t="b">
        <f t="shared" si="656"/>
        <v>0</v>
      </c>
      <c r="BB325" t="b">
        <f t="shared" si="657"/>
        <v>0</v>
      </c>
      <c r="BC325" t="b">
        <f t="shared" si="658"/>
        <v>0</v>
      </c>
      <c r="BD325" t="b">
        <f t="shared" si="659"/>
        <v>0</v>
      </c>
      <c r="BE325" t="b">
        <f t="shared" si="660"/>
        <v>0</v>
      </c>
      <c r="BF325" t="b">
        <f t="shared" si="661"/>
        <v>0</v>
      </c>
      <c r="BG325" t="b">
        <f t="shared" si="662"/>
        <v>0</v>
      </c>
      <c r="BH325">
        <f t="shared" si="663"/>
        <v>1</v>
      </c>
      <c r="BI325">
        <f t="shared" si="664"/>
        <v>1</v>
      </c>
      <c r="BJ325" t="b">
        <f t="shared" si="665"/>
        <v>0</v>
      </c>
      <c r="BK325" t="b">
        <f t="shared" si="666"/>
        <v>0</v>
      </c>
      <c r="BL325" t="b">
        <f t="shared" si="667"/>
        <v>0</v>
      </c>
      <c r="BM325" t="b">
        <f t="shared" si="668"/>
        <v>0</v>
      </c>
      <c r="BN325" t="b">
        <f t="shared" si="669"/>
        <v>0</v>
      </c>
      <c r="BO325" t="b">
        <f t="shared" si="670"/>
        <v>0</v>
      </c>
      <c r="BP325" t="b">
        <f t="shared" si="671"/>
        <v>0</v>
      </c>
      <c r="BQ325" t="b">
        <f t="shared" si="672"/>
        <v>0</v>
      </c>
      <c r="BR325">
        <f t="shared" si="673"/>
        <v>1</v>
      </c>
      <c r="BS325">
        <f t="shared" si="674"/>
        <v>1</v>
      </c>
      <c r="BT325" t="b">
        <f t="shared" si="675"/>
        <v>0</v>
      </c>
      <c r="BU325" t="b">
        <f t="shared" si="676"/>
        <v>0</v>
      </c>
      <c r="BV325" t="b">
        <f t="shared" si="677"/>
        <v>0</v>
      </c>
      <c r="BW325" t="b">
        <f t="shared" si="678"/>
        <v>0</v>
      </c>
      <c r="BX325" t="b">
        <f t="shared" si="679"/>
        <v>0</v>
      </c>
      <c r="BY325" t="b">
        <f t="shared" si="680"/>
        <v>0</v>
      </c>
      <c r="BZ325" t="b">
        <f t="shared" si="681"/>
        <v>0</v>
      </c>
      <c r="CA325" t="b">
        <f t="shared" si="682"/>
        <v>0</v>
      </c>
      <c r="CB325" t="b">
        <f t="shared" si="683"/>
        <v>0</v>
      </c>
      <c r="CC325" t="b">
        <f t="shared" si="684"/>
        <v>0</v>
      </c>
      <c r="CD325" t="b">
        <f t="shared" si="685"/>
        <v>0</v>
      </c>
      <c r="CE325" t="b">
        <f t="shared" si="686"/>
        <v>0</v>
      </c>
      <c r="CF325" t="b">
        <f t="shared" si="687"/>
        <v>0</v>
      </c>
      <c r="CG325" t="b">
        <f t="shared" si="688"/>
        <v>0</v>
      </c>
      <c r="CH325" t="b">
        <f t="shared" si="689"/>
        <v>0</v>
      </c>
      <c r="CI325" t="b">
        <f t="shared" si="690"/>
        <v>0</v>
      </c>
      <c r="CJ325" t="b">
        <f t="shared" si="691"/>
        <v>0</v>
      </c>
      <c r="CK325" t="b">
        <f t="shared" si="692"/>
        <v>0</v>
      </c>
      <c r="CL325" t="b">
        <f t="shared" si="693"/>
        <v>0</v>
      </c>
      <c r="CM325">
        <f t="shared" si="694"/>
        <v>1</v>
      </c>
      <c r="CN325" t="b">
        <f t="shared" si="695"/>
        <v>0</v>
      </c>
      <c r="CO325" t="b">
        <f t="shared" si="696"/>
        <v>0</v>
      </c>
      <c r="CP325" t="b">
        <f t="shared" si="697"/>
        <v>0</v>
      </c>
      <c r="CQ325" t="b">
        <f t="shared" si="698"/>
        <v>0</v>
      </c>
      <c r="CR325" t="b">
        <f t="shared" si="699"/>
        <v>0</v>
      </c>
      <c r="CS325" t="b">
        <f t="shared" si="700"/>
        <v>0</v>
      </c>
      <c r="CT325" t="b">
        <f t="shared" si="701"/>
        <v>0</v>
      </c>
      <c r="CU325" t="b">
        <f t="shared" si="702"/>
        <v>0</v>
      </c>
      <c r="CV325" t="b">
        <f t="shared" si="703"/>
        <v>0</v>
      </c>
      <c r="CW325" t="b">
        <f t="shared" si="704"/>
        <v>0</v>
      </c>
      <c r="CX325" t="b">
        <f t="shared" si="705"/>
        <v>0</v>
      </c>
      <c r="CY325" t="b">
        <f t="shared" si="706"/>
        <v>0</v>
      </c>
      <c r="CZ325" t="b">
        <f t="shared" si="707"/>
        <v>0</v>
      </c>
      <c r="DA325" t="b">
        <f t="shared" si="708"/>
        <v>0</v>
      </c>
      <c r="DB325" t="b">
        <f t="shared" si="709"/>
        <v>0</v>
      </c>
      <c r="DC325" t="b">
        <f t="shared" si="710"/>
        <v>0</v>
      </c>
      <c r="DD325" t="b">
        <f t="shared" si="711"/>
        <v>0</v>
      </c>
      <c r="DE325" t="b">
        <f t="shared" si="712"/>
        <v>0</v>
      </c>
      <c r="DF325" t="b">
        <f t="shared" si="713"/>
        <v>0</v>
      </c>
      <c r="DG325" t="b">
        <f t="shared" si="714"/>
        <v>0</v>
      </c>
      <c r="DH325" t="b">
        <f t="shared" si="715"/>
        <v>0</v>
      </c>
      <c r="DI325" t="b">
        <f t="shared" si="716"/>
        <v>0</v>
      </c>
      <c r="DJ325" t="b">
        <f t="shared" si="717"/>
        <v>0</v>
      </c>
      <c r="DK325" t="b">
        <f t="shared" si="718"/>
        <v>0</v>
      </c>
      <c r="DL325" t="b">
        <f t="shared" si="719"/>
        <v>0</v>
      </c>
      <c r="DM325" t="b">
        <f t="shared" si="720"/>
        <v>0</v>
      </c>
      <c r="DN325" t="b">
        <f t="shared" si="721"/>
        <v>0</v>
      </c>
      <c r="DO325" t="b">
        <f t="shared" si="722"/>
        <v>0</v>
      </c>
      <c r="DP325" t="b">
        <f t="shared" si="723"/>
        <v>0</v>
      </c>
      <c r="DQ325" t="b">
        <f t="shared" si="724"/>
        <v>0</v>
      </c>
      <c r="DR325" t="b">
        <f t="shared" si="725"/>
        <v>0</v>
      </c>
      <c r="DS325" t="b">
        <f t="shared" si="726"/>
        <v>0</v>
      </c>
      <c r="DT325" t="b">
        <f t="shared" si="727"/>
        <v>0</v>
      </c>
      <c r="DU325" t="b">
        <f t="shared" si="728"/>
        <v>0</v>
      </c>
      <c r="DV325" t="b">
        <f t="shared" si="729"/>
        <v>0</v>
      </c>
      <c r="DW325" t="b">
        <f t="shared" si="730"/>
        <v>0</v>
      </c>
      <c r="DX325" t="b">
        <f t="shared" si="731"/>
        <v>0</v>
      </c>
      <c r="DY325">
        <f t="shared" si="732"/>
        <v>1</v>
      </c>
      <c r="DZ325" t="b">
        <f t="shared" si="733"/>
        <v>0</v>
      </c>
      <c r="EA325" t="b">
        <f t="shared" si="734"/>
        <v>0</v>
      </c>
      <c r="EB325" t="b">
        <f t="shared" si="735"/>
        <v>0</v>
      </c>
      <c r="EC325" t="b">
        <f t="shared" si="736"/>
        <v>0</v>
      </c>
      <c r="ED325" t="b">
        <f t="shared" si="737"/>
        <v>0</v>
      </c>
      <c r="EE325" t="b">
        <f t="shared" si="738"/>
        <v>0</v>
      </c>
      <c r="EF325" t="b">
        <f t="shared" si="739"/>
        <v>0</v>
      </c>
      <c r="EG325" t="b">
        <f t="shared" si="740"/>
        <v>0</v>
      </c>
      <c r="EH325" t="b">
        <f t="shared" si="741"/>
        <v>0</v>
      </c>
      <c r="EI325" t="b">
        <f t="shared" si="742"/>
        <v>0</v>
      </c>
      <c r="EJ325" t="b">
        <f t="shared" si="743"/>
        <v>0</v>
      </c>
      <c r="EK325" t="b">
        <f t="shared" si="744"/>
        <v>0</v>
      </c>
    </row>
    <row r="326" spans="1:141">
      <c r="A326" t="s">
        <v>1705</v>
      </c>
      <c r="B326" t="s">
        <v>1706</v>
      </c>
      <c r="C326" t="s">
        <v>1707</v>
      </c>
      <c r="D326" s="1">
        <v>43221</v>
      </c>
      <c r="E326" s="2">
        <v>43258.538483796299</v>
      </c>
      <c r="F326" s="2">
        <v>43258.538483796299</v>
      </c>
      <c r="G326">
        <v>275785</v>
      </c>
      <c r="H326" t="s">
        <v>1708</v>
      </c>
      <c r="I326" s="10" t="s">
        <v>1709</v>
      </c>
      <c r="J326" t="s">
        <v>188</v>
      </c>
      <c r="K326" s="8" t="b">
        <v>1</v>
      </c>
      <c r="L326" s="10" t="b">
        <v>0</v>
      </c>
      <c r="M326" s="12" t="b">
        <v>0</v>
      </c>
      <c r="N326" t="b">
        <v>0</v>
      </c>
      <c r="O326" t="b">
        <v>0</v>
      </c>
      <c r="P326" t="b">
        <v>0</v>
      </c>
      <c r="Q326">
        <f t="shared" si="621"/>
        <v>3</v>
      </c>
      <c r="R326">
        <f t="shared" si="622"/>
        <v>5</v>
      </c>
      <c r="S326" t="e">
        <f t="shared" ca="1" si="652"/>
        <v>#NAME?</v>
      </c>
      <c r="T326" t="e">
        <f t="shared" ca="1" si="623"/>
        <v>#NAME?</v>
      </c>
      <c r="U326" s="4">
        <f t="shared" si="624"/>
        <v>37.538483796299261</v>
      </c>
      <c r="V326" s="4">
        <f t="shared" si="625"/>
        <v>1.2512827932099753</v>
      </c>
      <c r="W326" s="4">
        <f t="shared" si="626"/>
        <v>1</v>
      </c>
      <c r="X326" s="4">
        <f t="shared" si="627"/>
        <v>0</v>
      </c>
      <c r="Y326" s="4">
        <f t="shared" si="628"/>
        <v>0</v>
      </c>
      <c r="Z326" s="4">
        <f t="shared" si="629"/>
        <v>0</v>
      </c>
      <c r="AA326" s="4">
        <f t="shared" si="630"/>
        <v>0</v>
      </c>
      <c r="AB326" s="4">
        <f t="shared" si="631"/>
        <v>0</v>
      </c>
      <c r="AC326" s="4"/>
      <c r="AD326" s="4" t="b">
        <f t="shared" si="632"/>
        <v>0</v>
      </c>
      <c r="AE326" s="4" t="b">
        <f t="shared" si="633"/>
        <v>0</v>
      </c>
      <c r="AF326" s="4" t="b">
        <f t="shared" si="634"/>
        <v>0</v>
      </c>
      <c r="AG326" t="b">
        <f t="shared" si="635"/>
        <v>0</v>
      </c>
      <c r="AH326" t="b">
        <f t="shared" si="636"/>
        <v>0</v>
      </c>
      <c r="AI326" t="b">
        <f t="shared" si="637"/>
        <v>0</v>
      </c>
      <c r="AJ326" t="b">
        <f t="shared" si="638"/>
        <v>0</v>
      </c>
      <c r="AK326" t="b">
        <f t="shared" si="639"/>
        <v>0</v>
      </c>
      <c r="AL326" t="b">
        <f t="shared" si="640"/>
        <v>0</v>
      </c>
      <c r="AM326" t="b">
        <f t="shared" si="641"/>
        <v>0</v>
      </c>
      <c r="AN326" t="b">
        <f t="shared" si="642"/>
        <v>0</v>
      </c>
      <c r="AO326" t="b">
        <f t="shared" si="643"/>
        <v>0</v>
      </c>
      <c r="AP326" t="b">
        <f t="shared" si="644"/>
        <v>0</v>
      </c>
      <c r="AQ326" t="b">
        <f t="shared" si="645"/>
        <v>0</v>
      </c>
      <c r="AR326" t="b">
        <f t="shared" si="646"/>
        <v>0</v>
      </c>
      <c r="AS326" t="b">
        <f t="shared" si="647"/>
        <v>0</v>
      </c>
      <c r="AT326" t="b">
        <f t="shared" si="648"/>
        <v>0</v>
      </c>
      <c r="AU326" t="b">
        <f t="shared" si="649"/>
        <v>0</v>
      </c>
      <c r="AV326" t="b">
        <f t="shared" si="650"/>
        <v>0</v>
      </c>
      <c r="AW326" t="b">
        <f t="shared" si="651"/>
        <v>0</v>
      </c>
      <c r="AX326" t="b">
        <f t="shared" si="653"/>
        <v>0</v>
      </c>
      <c r="AY326" t="b">
        <f t="shared" si="654"/>
        <v>0</v>
      </c>
      <c r="AZ326" t="b">
        <f t="shared" si="655"/>
        <v>0</v>
      </c>
      <c r="BA326" t="b">
        <f t="shared" si="656"/>
        <v>0</v>
      </c>
      <c r="BB326" t="b">
        <f t="shared" si="657"/>
        <v>0</v>
      </c>
      <c r="BC326" t="b">
        <f t="shared" si="658"/>
        <v>0</v>
      </c>
      <c r="BD326" t="b">
        <f t="shared" si="659"/>
        <v>0</v>
      </c>
      <c r="BE326" t="b">
        <f t="shared" si="660"/>
        <v>0</v>
      </c>
      <c r="BF326" t="b">
        <f t="shared" si="661"/>
        <v>0</v>
      </c>
      <c r="BG326" t="b">
        <f t="shared" si="662"/>
        <v>0</v>
      </c>
      <c r="BH326" t="b">
        <f t="shared" si="663"/>
        <v>0</v>
      </c>
      <c r="BI326">
        <f t="shared" si="664"/>
        <v>1</v>
      </c>
      <c r="BJ326" t="b">
        <f t="shared" si="665"/>
        <v>0</v>
      </c>
      <c r="BK326" t="b">
        <f t="shared" si="666"/>
        <v>0</v>
      </c>
      <c r="BL326" t="b">
        <f t="shared" si="667"/>
        <v>0</v>
      </c>
      <c r="BM326" t="b">
        <f t="shared" si="668"/>
        <v>0</v>
      </c>
      <c r="BN326" t="b">
        <f t="shared" si="669"/>
        <v>0</v>
      </c>
      <c r="BO326" t="b">
        <f t="shared" si="670"/>
        <v>0</v>
      </c>
      <c r="BP326" t="b">
        <f t="shared" si="671"/>
        <v>0</v>
      </c>
      <c r="BQ326" t="b">
        <f t="shared" si="672"/>
        <v>0</v>
      </c>
      <c r="BR326" t="b">
        <f t="shared" si="673"/>
        <v>0</v>
      </c>
      <c r="BS326" t="b">
        <f t="shared" si="674"/>
        <v>0</v>
      </c>
      <c r="BT326" t="b">
        <f t="shared" si="675"/>
        <v>0</v>
      </c>
      <c r="BU326" t="b">
        <f t="shared" si="676"/>
        <v>0</v>
      </c>
      <c r="BV326" t="b">
        <f t="shared" si="677"/>
        <v>0</v>
      </c>
      <c r="BW326" t="b">
        <f t="shared" si="678"/>
        <v>0</v>
      </c>
      <c r="BX326" t="b">
        <f t="shared" si="679"/>
        <v>0</v>
      </c>
      <c r="BY326" t="b">
        <f t="shared" si="680"/>
        <v>0</v>
      </c>
      <c r="BZ326" t="b">
        <f t="shared" si="681"/>
        <v>0</v>
      </c>
      <c r="CA326" t="b">
        <f t="shared" si="682"/>
        <v>0</v>
      </c>
      <c r="CB326" t="b">
        <f t="shared" si="683"/>
        <v>0</v>
      </c>
      <c r="CC326" t="b">
        <f t="shared" si="684"/>
        <v>0</v>
      </c>
      <c r="CD326" t="b">
        <f t="shared" si="685"/>
        <v>0</v>
      </c>
      <c r="CE326">
        <f t="shared" si="686"/>
        <v>1</v>
      </c>
      <c r="CF326" t="b">
        <f t="shared" si="687"/>
        <v>0</v>
      </c>
      <c r="CG326" t="b">
        <f t="shared" si="688"/>
        <v>0</v>
      </c>
      <c r="CH326" t="b">
        <f t="shared" si="689"/>
        <v>0</v>
      </c>
      <c r="CI326" t="b">
        <f t="shared" si="690"/>
        <v>0</v>
      </c>
      <c r="CJ326" t="b">
        <f t="shared" si="691"/>
        <v>0</v>
      </c>
      <c r="CK326" t="b">
        <f t="shared" si="692"/>
        <v>0</v>
      </c>
      <c r="CL326" t="b">
        <f t="shared" si="693"/>
        <v>0</v>
      </c>
      <c r="CM326" t="b">
        <f t="shared" si="694"/>
        <v>0</v>
      </c>
      <c r="CN326" t="b">
        <f t="shared" si="695"/>
        <v>0</v>
      </c>
      <c r="CO326" t="b">
        <f t="shared" si="696"/>
        <v>0</v>
      </c>
      <c r="CP326" t="b">
        <f t="shared" si="697"/>
        <v>0</v>
      </c>
      <c r="CQ326" t="b">
        <f t="shared" si="698"/>
        <v>0</v>
      </c>
      <c r="CR326" t="b">
        <f t="shared" si="699"/>
        <v>0</v>
      </c>
      <c r="CS326" t="b">
        <f t="shared" si="700"/>
        <v>0</v>
      </c>
      <c r="CT326" t="b">
        <f t="shared" si="701"/>
        <v>0</v>
      </c>
      <c r="CU326" t="b">
        <f t="shared" si="702"/>
        <v>0</v>
      </c>
      <c r="CV326">
        <f t="shared" si="703"/>
        <v>1</v>
      </c>
      <c r="CW326" t="b">
        <f t="shared" si="704"/>
        <v>0</v>
      </c>
      <c r="CX326" t="b">
        <f t="shared" si="705"/>
        <v>0</v>
      </c>
      <c r="CY326" t="b">
        <f t="shared" si="706"/>
        <v>0</v>
      </c>
      <c r="CZ326" t="b">
        <f t="shared" si="707"/>
        <v>0</v>
      </c>
      <c r="DA326" t="b">
        <f t="shared" si="708"/>
        <v>0</v>
      </c>
      <c r="DB326" t="b">
        <f t="shared" si="709"/>
        <v>0</v>
      </c>
      <c r="DC326" t="b">
        <f t="shared" si="710"/>
        <v>0</v>
      </c>
      <c r="DD326" t="b">
        <f t="shared" si="711"/>
        <v>0</v>
      </c>
      <c r="DE326" t="b">
        <f t="shared" si="712"/>
        <v>0</v>
      </c>
      <c r="DF326" t="b">
        <f t="shared" si="713"/>
        <v>0</v>
      </c>
      <c r="DG326" t="b">
        <f t="shared" si="714"/>
        <v>0</v>
      </c>
      <c r="DH326" t="b">
        <f t="shared" si="715"/>
        <v>0</v>
      </c>
      <c r="DI326" t="b">
        <f t="shared" si="716"/>
        <v>0</v>
      </c>
      <c r="DJ326" t="b">
        <f t="shared" si="717"/>
        <v>0</v>
      </c>
      <c r="DK326" t="b">
        <f t="shared" si="718"/>
        <v>0</v>
      </c>
      <c r="DL326" t="b">
        <f t="shared" si="719"/>
        <v>0</v>
      </c>
      <c r="DM326" t="b">
        <f t="shared" si="720"/>
        <v>0</v>
      </c>
      <c r="DN326" t="b">
        <f t="shared" si="721"/>
        <v>0</v>
      </c>
      <c r="DO326" t="b">
        <f t="shared" si="722"/>
        <v>0</v>
      </c>
      <c r="DP326" t="b">
        <f t="shared" si="723"/>
        <v>0</v>
      </c>
      <c r="DQ326" t="b">
        <f t="shared" si="724"/>
        <v>0</v>
      </c>
      <c r="DR326" t="b">
        <f t="shared" si="725"/>
        <v>0</v>
      </c>
      <c r="DS326" t="b">
        <f t="shared" si="726"/>
        <v>0</v>
      </c>
      <c r="DT326" t="b">
        <f t="shared" si="727"/>
        <v>0</v>
      </c>
      <c r="DU326" t="b">
        <f t="shared" si="728"/>
        <v>0</v>
      </c>
      <c r="DV326" t="b">
        <f t="shared" si="729"/>
        <v>0</v>
      </c>
      <c r="DW326" t="b">
        <f t="shared" si="730"/>
        <v>0</v>
      </c>
      <c r="DX326" t="b">
        <f t="shared" si="731"/>
        <v>0</v>
      </c>
      <c r="DY326" t="b">
        <f t="shared" si="732"/>
        <v>0</v>
      </c>
      <c r="DZ326" t="b">
        <f t="shared" si="733"/>
        <v>0</v>
      </c>
      <c r="EA326" t="b">
        <f t="shared" si="734"/>
        <v>0</v>
      </c>
      <c r="EB326" t="b">
        <f t="shared" si="735"/>
        <v>0</v>
      </c>
      <c r="EC326" t="b">
        <f t="shared" si="736"/>
        <v>0</v>
      </c>
      <c r="ED326" t="b">
        <f t="shared" si="737"/>
        <v>0</v>
      </c>
      <c r="EE326" t="b">
        <f t="shared" si="738"/>
        <v>0</v>
      </c>
      <c r="EF326">
        <f t="shared" si="739"/>
        <v>1</v>
      </c>
      <c r="EG326" t="b">
        <f t="shared" si="740"/>
        <v>0</v>
      </c>
      <c r="EH326" t="b">
        <f t="shared" si="741"/>
        <v>0</v>
      </c>
      <c r="EI326" t="b">
        <f t="shared" si="742"/>
        <v>0</v>
      </c>
      <c r="EJ326" t="b">
        <f t="shared" si="743"/>
        <v>0</v>
      </c>
      <c r="EK326" t="b">
        <f t="shared" si="744"/>
        <v>0</v>
      </c>
    </row>
    <row r="327" spans="1:141">
      <c r="A327" t="s">
        <v>1710</v>
      </c>
      <c r="B327" t="s">
        <v>1711</v>
      </c>
      <c r="C327" t="s">
        <v>1712</v>
      </c>
      <c r="D327" s="1">
        <v>42421</v>
      </c>
      <c r="E327" s="2">
        <v>42422.061203703706</v>
      </c>
      <c r="F327" s="2">
        <v>42422.061203703706</v>
      </c>
      <c r="G327">
        <v>144989</v>
      </c>
      <c r="H327" t="s">
        <v>1713</v>
      </c>
      <c r="I327" s="10" t="s">
        <v>1714</v>
      </c>
      <c r="J327" t="s">
        <v>1715</v>
      </c>
      <c r="K327" s="8" t="b">
        <v>1</v>
      </c>
      <c r="L327" s="10" t="b">
        <v>0</v>
      </c>
      <c r="M327" s="12" t="b">
        <v>0</v>
      </c>
      <c r="N327" t="b">
        <v>0</v>
      </c>
      <c r="O327" t="b">
        <v>0</v>
      </c>
      <c r="P327" t="b">
        <v>0</v>
      </c>
      <c r="Q327">
        <f t="shared" si="621"/>
        <v>1</v>
      </c>
      <c r="R327">
        <f t="shared" si="622"/>
        <v>2</v>
      </c>
      <c r="S327" t="e">
        <f t="shared" ca="1" si="652"/>
        <v>#NAME?</v>
      </c>
      <c r="T327" t="e">
        <f t="shared" ca="1" si="623"/>
        <v>#NAME?</v>
      </c>
      <c r="U327" s="4">
        <f t="shared" si="624"/>
        <v>1.0612037037062692</v>
      </c>
      <c r="V327" s="4">
        <f t="shared" si="625"/>
        <v>3.5373456790208972E-2</v>
      </c>
      <c r="W327" s="4">
        <f t="shared" si="626"/>
        <v>1</v>
      </c>
      <c r="X327" s="4">
        <f t="shared" si="627"/>
        <v>0</v>
      </c>
      <c r="Y327" s="4">
        <f t="shared" si="628"/>
        <v>0</v>
      </c>
      <c r="Z327" s="4">
        <f t="shared" si="629"/>
        <v>0</v>
      </c>
      <c r="AA327" s="4">
        <f t="shared" si="630"/>
        <v>0</v>
      </c>
      <c r="AB327" s="4">
        <f t="shared" si="631"/>
        <v>0</v>
      </c>
      <c r="AC327" s="4"/>
      <c r="AD327" s="4" t="b">
        <f t="shared" si="632"/>
        <v>0</v>
      </c>
      <c r="AE327" s="4" t="b">
        <f t="shared" si="633"/>
        <v>0</v>
      </c>
      <c r="AF327" s="4" t="b">
        <f t="shared" si="634"/>
        <v>0</v>
      </c>
      <c r="AG327" t="b">
        <f t="shared" si="635"/>
        <v>0</v>
      </c>
      <c r="AH327" t="b">
        <f t="shared" si="636"/>
        <v>0</v>
      </c>
      <c r="AI327" t="b">
        <f t="shared" si="637"/>
        <v>0</v>
      </c>
      <c r="AJ327">
        <f t="shared" si="638"/>
        <v>1</v>
      </c>
      <c r="AK327" t="b">
        <f t="shared" si="639"/>
        <v>0</v>
      </c>
      <c r="AL327" t="b">
        <f t="shared" si="640"/>
        <v>0</v>
      </c>
      <c r="AM327" t="b">
        <f t="shared" si="641"/>
        <v>0</v>
      </c>
      <c r="AN327" t="b">
        <f t="shared" si="642"/>
        <v>0</v>
      </c>
      <c r="AO327" t="b">
        <f t="shared" si="643"/>
        <v>0</v>
      </c>
      <c r="AP327" t="b">
        <f t="shared" si="644"/>
        <v>0</v>
      </c>
      <c r="AQ327" t="b">
        <f t="shared" si="645"/>
        <v>0</v>
      </c>
      <c r="AR327" t="b">
        <f t="shared" si="646"/>
        <v>0</v>
      </c>
      <c r="AS327" t="b">
        <f t="shared" si="647"/>
        <v>0</v>
      </c>
      <c r="AT327" t="b">
        <f t="shared" si="648"/>
        <v>0</v>
      </c>
      <c r="AU327" t="b">
        <f t="shared" si="649"/>
        <v>0</v>
      </c>
      <c r="AV327" t="b">
        <f t="shared" si="650"/>
        <v>0</v>
      </c>
      <c r="AW327" t="b">
        <f t="shared" si="651"/>
        <v>0</v>
      </c>
      <c r="AX327" t="b">
        <f t="shared" si="653"/>
        <v>0</v>
      </c>
      <c r="AY327" t="b">
        <f t="shared" si="654"/>
        <v>0</v>
      </c>
      <c r="AZ327">
        <f t="shared" si="655"/>
        <v>1</v>
      </c>
      <c r="BA327" t="b">
        <f t="shared" si="656"/>
        <v>0</v>
      </c>
      <c r="BB327" t="b">
        <f t="shared" si="657"/>
        <v>0</v>
      </c>
      <c r="BC327" t="b">
        <f t="shared" si="658"/>
        <v>0</v>
      </c>
      <c r="BD327" t="b">
        <f t="shared" si="659"/>
        <v>0</v>
      </c>
      <c r="BE327" t="b">
        <f t="shared" si="660"/>
        <v>0</v>
      </c>
      <c r="BF327" t="b">
        <f t="shared" si="661"/>
        <v>0</v>
      </c>
      <c r="BG327" t="b">
        <f t="shared" si="662"/>
        <v>0</v>
      </c>
      <c r="BH327" t="b">
        <f t="shared" si="663"/>
        <v>0</v>
      </c>
      <c r="BI327">
        <f t="shared" si="664"/>
        <v>1</v>
      </c>
      <c r="BJ327" t="b">
        <f t="shared" si="665"/>
        <v>0</v>
      </c>
      <c r="BK327" t="b">
        <f t="shared" si="666"/>
        <v>0</v>
      </c>
      <c r="BL327" t="b">
        <f t="shared" si="667"/>
        <v>0</v>
      </c>
      <c r="BM327" t="b">
        <f t="shared" si="668"/>
        <v>0</v>
      </c>
      <c r="BN327" t="b">
        <f t="shared" si="669"/>
        <v>0</v>
      </c>
      <c r="BO327" t="b">
        <f t="shared" si="670"/>
        <v>0</v>
      </c>
      <c r="BP327" t="b">
        <f t="shared" si="671"/>
        <v>0</v>
      </c>
      <c r="BQ327" t="b">
        <f t="shared" si="672"/>
        <v>0</v>
      </c>
      <c r="BR327" t="b">
        <f t="shared" si="673"/>
        <v>0</v>
      </c>
      <c r="BS327">
        <f t="shared" si="674"/>
        <v>1</v>
      </c>
      <c r="BT327" t="b">
        <f t="shared" si="675"/>
        <v>0</v>
      </c>
      <c r="BU327" t="b">
        <f t="shared" si="676"/>
        <v>0</v>
      </c>
      <c r="BV327" t="b">
        <f t="shared" si="677"/>
        <v>0</v>
      </c>
      <c r="BW327" t="b">
        <f t="shared" si="678"/>
        <v>0</v>
      </c>
      <c r="BX327" t="b">
        <f t="shared" si="679"/>
        <v>0</v>
      </c>
      <c r="BY327" t="b">
        <f t="shared" si="680"/>
        <v>0</v>
      </c>
      <c r="BZ327" t="b">
        <f t="shared" si="681"/>
        <v>0</v>
      </c>
      <c r="CA327" t="b">
        <f t="shared" si="682"/>
        <v>0</v>
      </c>
      <c r="CB327" t="b">
        <f t="shared" si="683"/>
        <v>0</v>
      </c>
      <c r="CC327" t="b">
        <f t="shared" si="684"/>
        <v>0</v>
      </c>
      <c r="CD327" t="b">
        <f t="shared" si="685"/>
        <v>0</v>
      </c>
      <c r="CE327">
        <f t="shared" si="686"/>
        <v>1</v>
      </c>
      <c r="CF327" t="b">
        <f t="shared" si="687"/>
        <v>0</v>
      </c>
      <c r="CG327" t="b">
        <f t="shared" si="688"/>
        <v>0</v>
      </c>
      <c r="CH327" t="b">
        <f t="shared" si="689"/>
        <v>0</v>
      </c>
      <c r="CI327" t="b">
        <f t="shared" si="690"/>
        <v>0</v>
      </c>
      <c r="CJ327" t="b">
        <f t="shared" si="691"/>
        <v>0</v>
      </c>
      <c r="CK327" t="b">
        <f t="shared" si="692"/>
        <v>0</v>
      </c>
      <c r="CL327" t="b">
        <f t="shared" si="693"/>
        <v>0</v>
      </c>
      <c r="CM327" t="b">
        <f t="shared" si="694"/>
        <v>0</v>
      </c>
      <c r="CN327" t="b">
        <f t="shared" si="695"/>
        <v>0</v>
      </c>
      <c r="CO327" t="b">
        <f t="shared" si="696"/>
        <v>0</v>
      </c>
      <c r="CP327" t="b">
        <f t="shared" si="697"/>
        <v>0</v>
      </c>
      <c r="CQ327" t="b">
        <f t="shared" si="698"/>
        <v>0</v>
      </c>
      <c r="CR327" t="b">
        <f t="shared" si="699"/>
        <v>0</v>
      </c>
      <c r="CS327" t="b">
        <f t="shared" si="700"/>
        <v>0</v>
      </c>
      <c r="CT327" t="b">
        <f t="shared" si="701"/>
        <v>0</v>
      </c>
      <c r="CU327" t="b">
        <f t="shared" si="702"/>
        <v>0</v>
      </c>
      <c r="CV327">
        <f t="shared" si="703"/>
        <v>1</v>
      </c>
      <c r="CW327" t="b">
        <f t="shared" si="704"/>
        <v>0</v>
      </c>
      <c r="CX327" t="b">
        <f t="shared" si="705"/>
        <v>0</v>
      </c>
      <c r="CY327" t="b">
        <f t="shared" si="706"/>
        <v>0</v>
      </c>
      <c r="CZ327" t="b">
        <f t="shared" si="707"/>
        <v>0</v>
      </c>
      <c r="DA327" t="b">
        <f t="shared" si="708"/>
        <v>0</v>
      </c>
      <c r="DB327" t="b">
        <f t="shared" si="709"/>
        <v>0</v>
      </c>
      <c r="DC327" t="b">
        <f t="shared" si="710"/>
        <v>0</v>
      </c>
      <c r="DD327" t="b">
        <f t="shared" si="711"/>
        <v>0</v>
      </c>
      <c r="DE327" t="b">
        <f t="shared" si="712"/>
        <v>0</v>
      </c>
      <c r="DF327" t="b">
        <f t="shared" si="713"/>
        <v>0</v>
      </c>
      <c r="DG327" t="b">
        <f t="shared" si="714"/>
        <v>0</v>
      </c>
      <c r="DH327" t="b">
        <f t="shared" si="715"/>
        <v>0</v>
      </c>
      <c r="DI327" t="b">
        <f t="shared" si="716"/>
        <v>0</v>
      </c>
      <c r="DJ327" t="b">
        <f t="shared" si="717"/>
        <v>0</v>
      </c>
      <c r="DK327" t="b">
        <f t="shared" si="718"/>
        <v>0</v>
      </c>
      <c r="DL327" t="b">
        <f t="shared" si="719"/>
        <v>0</v>
      </c>
      <c r="DM327" t="b">
        <f t="shared" si="720"/>
        <v>0</v>
      </c>
      <c r="DN327" t="b">
        <f t="shared" si="721"/>
        <v>0</v>
      </c>
      <c r="DO327" t="b">
        <f t="shared" si="722"/>
        <v>0</v>
      </c>
      <c r="DP327" t="b">
        <f t="shared" si="723"/>
        <v>0</v>
      </c>
      <c r="DQ327" t="b">
        <f t="shared" si="724"/>
        <v>0</v>
      </c>
      <c r="DR327" t="b">
        <f t="shared" si="725"/>
        <v>0</v>
      </c>
      <c r="DS327" t="b">
        <f t="shared" si="726"/>
        <v>0</v>
      </c>
      <c r="DT327" t="b">
        <f t="shared" si="727"/>
        <v>0</v>
      </c>
      <c r="DU327" t="b">
        <f t="shared" si="728"/>
        <v>0</v>
      </c>
      <c r="DV327" t="b">
        <f t="shared" si="729"/>
        <v>0</v>
      </c>
      <c r="DW327" t="b">
        <f t="shared" si="730"/>
        <v>0</v>
      </c>
      <c r="DX327" t="b">
        <f t="shared" si="731"/>
        <v>0</v>
      </c>
      <c r="DY327" t="b">
        <f t="shared" si="732"/>
        <v>0</v>
      </c>
      <c r="DZ327" t="b">
        <f t="shared" si="733"/>
        <v>0</v>
      </c>
      <c r="EA327" t="b">
        <f t="shared" si="734"/>
        <v>0</v>
      </c>
      <c r="EB327" t="b">
        <f t="shared" si="735"/>
        <v>0</v>
      </c>
      <c r="EC327">
        <f t="shared" si="736"/>
        <v>1</v>
      </c>
      <c r="ED327" t="b">
        <f t="shared" si="737"/>
        <v>0</v>
      </c>
      <c r="EE327" t="b">
        <f t="shared" si="738"/>
        <v>0</v>
      </c>
      <c r="EF327" t="b">
        <f t="shared" si="739"/>
        <v>0</v>
      </c>
      <c r="EG327" t="b">
        <f t="shared" si="740"/>
        <v>0</v>
      </c>
      <c r="EH327" t="b">
        <f t="shared" si="741"/>
        <v>0</v>
      </c>
      <c r="EI327">
        <f t="shared" si="742"/>
        <v>1</v>
      </c>
      <c r="EJ327" t="b">
        <f t="shared" si="743"/>
        <v>0</v>
      </c>
      <c r="EK327" t="b">
        <f t="shared" si="744"/>
        <v>0</v>
      </c>
    </row>
    <row r="328" spans="1:141">
      <c r="A328" t="s">
        <v>1716</v>
      </c>
      <c r="B328" t="s">
        <v>1717</v>
      </c>
      <c r="C328" t="s">
        <v>1718</v>
      </c>
      <c r="D328" s="1">
        <v>42736</v>
      </c>
      <c r="E328" s="2">
        <v>42801.860509259262</v>
      </c>
      <c r="F328" s="2">
        <v>42801.860509259262</v>
      </c>
      <c r="G328">
        <v>995698</v>
      </c>
      <c r="H328" t="s">
        <v>1719</v>
      </c>
      <c r="I328" s="10" t="s">
        <v>1720</v>
      </c>
      <c r="J328" t="s">
        <v>1090</v>
      </c>
      <c r="K328" s="8" t="b">
        <v>1</v>
      </c>
      <c r="L328" s="10" t="b">
        <v>0</v>
      </c>
      <c r="M328" s="12" t="b">
        <v>0</v>
      </c>
      <c r="N328" t="b">
        <v>0</v>
      </c>
      <c r="O328" t="b">
        <v>0</v>
      </c>
      <c r="P328" t="b">
        <v>0</v>
      </c>
      <c r="Q328">
        <f t="shared" si="621"/>
        <v>1</v>
      </c>
      <c r="R328">
        <f t="shared" si="622"/>
        <v>1</v>
      </c>
      <c r="S328" t="e">
        <f t="shared" ca="1" si="652"/>
        <v>#NAME?</v>
      </c>
      <c r="T328" t="e">
        <f t="shared" ca="1" si="623"/>
        <v>#NAME?</v>
      </c>
      <c r="U328" s="4">
        <f t="shared" si="624"/>
        <v>65.860509259262471</v>
      </c>
      <c r="V328" s="4">
        <f t="shared" si="625"/>
        <v>2.1953503086420825</v>
      </c>
      <c r="W328" s="4">
        <f t="shared" si="626"/>
        <v>1</v>
      </c>
      <c r="X328" s="4">
        <f t="shared" si="627"/>
        <v>0</v>
      </c>
      <c r="Y328" s="4">
        <f t="shared" si="628"/>
        <v>0</v>
      </c>
      <c r="Z328" s="4">
        <f t="shared" si="629"/>
        <v>0</v>
      </c>
      <c r="AA328" s="4">
        <f t="shared" si="630"/>
        <v>0</v>
      </c>
      <c r="AB328" s="4">
        <f t="shared" si="631"/>
        <v>0</v>
      </c>
      <c r="AC328" s="4"/>
      <c r="AD328" s="4" t="b">
        <f t="shared" si="632"/>
        <v>0</v>
      </c>
      <c r="AE328" s="4" t="b">
        <f t="shared" si="633"/>
        <v>0</v>
      </c>
      <c r="AF328" s="4" t="b">
        <f t="shared" si="634"/>
        <v>0</v>
      </c>
      <c r="AG328" t="b">
        <f t="shared" si="635"/>
        <v>0</v>
      </c>
      <c r="AH328" t="b">
        <f t="shared" si="636"/>
        <v>0</v>
      </c>
      <c r="AI328" t="b">
        <f t="shared" si="637"/>
        <v>0</v>
      </c>
      <c r="AJ328" t="b">
        <f t="shared" si="638"/>
        <v>0</v>
      </c>
      <c r="AK328" t="b">
        <f t="shared" si="639"/>
        <v>0</v>
      </c>
      <c r="AL328" t="b">
        <f t="shared" si="640"/>
        <v>0</v>
      </c>
      <c r="AM328" t="b">
        <f t="shared" si="641"/>
        <v>0</v>
      </c>
      <c r="AN328" t="b">
        <f t="shared" si="642"/>
        <v>0</v>
      </c>
      <c r="AO328" t="b">
        <f t="shared" si="643"/>
        <v>0</v>
      </c>
      <c r="AP328" t="b">
        <f t="shared" si="644"/>
        <v>0</v>
      </c>
      <c r="AQ328" t="b">
        <f t="shared" si="645"/>
        <v>0</v>
      </c>
      <c r="AR328" t="b">
        <f t="shared" si="646"/>
        <v>0</v>
      </c>
      <c r="AS328" t="b">
        <f t="shared" si="647"/>
        <v>0</v>
      </c>
      <c r="AT328" t="b">
        <f t="shared" si="648"/>
        <v>0</v>
      </c>
      <c r="AU328" t="b">
        <f t="shared" si="649"/>
        <v>0</v>
      </c>
      <c r="AV328" t="b">
        <f t="shared" si="650"/>
        <v>0</v>
      </c>
      <c r="AW328" t="b">
        <f t="shared" si="651"/>
        <v>0</v>
      </c>
      <c r="AX328" t="b">
        <f t="shared" si="653"/>
        <v>0</v>
      </c>
      <c r="AY328" t="b">
        <f t="shared" si="654"/>
        <v>0</v>
      </c>
      <c r="AZ328">
        <f t="shared" si="655"/>
        <v>1</v>
      </c>
      <c r="BA328" t="b">
        <f t="shared" si="656"/>
        <v>0</v>
      </c>
      <c r="BB328" t="b">
        <f t="shared" si="657"/>
        <v>0</v>
      </c>
      <c r="BC328" t="b">
        <f t="shared" si="658"/>
        <v>0</v>
      </c>
      <c r="BD328" t="b">
        <f t="shared" si="659"/>
        <v>0</v>
      </c>
      <c r="BE328" t="b">
        <f t="shared" si="660"/>
        <v>0</v>
      </c>
      <c r="BF328" t="b">
        <f t="shared" si="661"/>
        <v>0</v>
      </c>
      <c r="BG328" t="b">
        <f t="shared" si="662"/>
        <v>0</v>
      </c>
      <c r="BH328" t="b">
        <f t="shared" si="663"/>
        <v>0</v>
      </c>
      <c r="BI328">
        <f t="shared" si="664"/>
        <v>1</v>
      </c>
      <c r="BJ328" t="b">
        <f t="shared" si="665"/>
        <v>0</v>
      </c>
      <c r="BK328" t="b">
        <f t="shared" si="666"/>
        <v>0</v>
      </c>
      <c r="BL328" t="b">
        <f t="shared" si="667"/>
        <v>0</v>
      </c>
      <c r="BM328" t="b">
        <f t="shared" si="668"/>
        <v>0</v>
      </c>
      <c r="BN328" t="b">
        <f t="shared" si="669"/>
        <v>0</v>
      </c>
      <c r="BO328" t="b">
        <f t="shared" si="670"/>
        <v>0</v>
      </c>
      <c r="BP328" t="b">
        <f t="shared" si="671"/>
        <v>0</v>
      </c>
      <c r="BQ328" t="b">
        <f t="shared" si="672"/>
        <v>0</v>
      </c>
      <c r="BR328" t="b">
        <f t="shared" si="673"/>
        <v>0</v>
      </c>
      <c r="BS328" t="b">
        <f t="shared" si="674"/>
        <v>0</v>
      </c>
      <c r="BT328" t="b">
        <f t="shared" si="675"/>
        <v>0</v>
      </c>
      <c r="BU328" t="b">
        <f t="shared" si="676"/>
        <v>0</v>
      </c>
      <c r="BV328" t="b">
        <f t="shared" si="677"/>
        <v>0</v>
      </c>
      <c r="BW328" t="b">
        <f t="shared" si="678"/>
        <v>0</v>
      </c>
      <c r="BX328" t="b">
        <f t="shared" si="679"/>
        <v>0</v>
      </c>
      <c r="BY328" t="b">
        <f t="shared" si="680"/>
        <v>0</v>
      </c>
      <c r="BZ328" t="b">
        <f t="shared" si="681"/>
        <v>0</v>
      </c>
      <c r="CA328" t="b">
        <f t="shared" si="682"/>
        <v>0</v>
      </c>
      <c r="CB328" t="b">
        <f t="shared" si="683"/>
        <v>0</v>
      </c>
      <c r="CC328" t="b">
        <f t="shared" si="684"/>
        <v>0</v>
      </c>
      <c r="CD328" t="b">
        <f t="shared" si="685"/>
        <v>0</v>
      </c>
      <c r="CE328" t="b">
        <f t="shared" si="686"/>
        <v>0</v>
      </c>
      <c r="CF328" t="b">
        <f t="shared" si="687"/>
        <v>0</v>
      </c>
      <c r="CG328" t="b">
        <f t="shared" si="688"/>
        <v>0</v>
      </c>
      <c r="CH328" t="b">
        <f t="shared" si="689"/>
        <v>0</v>
      </c>
      <c r="CI328" t="b">
        <f t="shared" si="690"/>
        <v>0</v>
      </c>
      <c r="CJ328" t="b">
        <f t="shared" si="691"/>
        <v>0</v>
      </c>
      <c r="CK328" t="b">
        <f t="shared" si="692"/>
        <v>0</v>
      </c>
      <c r="CL328" t="b">
        <f t="shared" si="693"/>
        <v>0</v>
      </c>
      <c r="CM328" t="b">
        <f t="shared" si="694"/>
        <v>0</v>
      </c>
      <c r="CN328" t="b">
        <f t="shared" si="695"/>
        <v>0</v>
      </c>
      <c r="CO328" t="b">
        <f t="shared" si="696"/>
        <v>0</v>
      </c>
      <c r="CP328" t="b">
        <f t="shared" si="697"/>
        <v>0</v>
      </c>
      <c r="CQ328" t="b">
        <f t="shared" si="698"/>
        <v>0</v>
      </c>
      <c r="CR328" t="b">
        <f t="shared" si="699"/>
        <v>0</v>
      </c>
      <c r="CS328" t="b">
        <f t="shared" si="700"/>
        <v>0</v>
      </c>
      <c r="CT328" t="b">
        <f t="shared" si="701"/>
        <v>0</v>
      </c>
      <c r="CU328" t="b">
        <f t="shared" si="702"/>
        <v>0</v>
      </c>
      <c r="CV328">
        <f t="shared" si="703"/>
        <v>1</v>
      </c>
      <c r="CW328" t="b">
        <f t="shared" si="704"/>
        <v>0</v>
      </c>
      <c r="CX328" t="b">
        <f t="shared" si="705"/>
        <v>0</v>
      </c>
      <c r="CY328" t="b">
        <f t="shared" si="706"/>
        <v>0</v>
      </c>
      <c r="CZ328" t="b">
        <f t="shared" si="707"/>
        <v>0</v>
      </c>
      <c r="DA328" t="b">
        <f t="shared" si="708"/>
        <v>0</v>
      </c>
      <c r="DB328" t="b">
        <f t="shared" si="709"/>
        <v>0</v>
      </c>
      <c r="DC328" t="b">
        <f t="shared" si="710"/>
        <v>0</v>
      </c>
      <c r="DD328" t="b">
        <f t="shared" si="711"/>
        <v>0</v>
      </c>
      <c r="DE328" t="b">
        <f t="shared" si="712"/>
        <v>0</v>
      </c>
      <c r="DF328" t="b">
        <f t="shared" si="713"/>
        <v>0</v>
      </c>
      <c r="DG328" t="b">
        <f t="shared" si="714"/>
        <v>0</v>
      </c>
      <c r="DH328" t="b">
        <f t="shared" si="715"/>
        <v>0</v>
      </c>
      <c r="DI328" t="b">
        <f t="shared" si="716"/>
        <v>0</v>
      </c>
      <c r="DJ328" t="b">
        <f t="shared" si="717"/>
        <v>0</v>
      </c>
      <c r="DK328" t="b">
        <f t="shared" si="718"/>
        <v>0</v>
      </c>
      <c r="DL328" t="b">
        <f t="shared" si="719"/>
        <v>0</v>
      </c>
      <c r="DM328" t="b">
        <f t="shared" si="720"/>
        <v>0</v>
      </c>
      <c r="DN328" t="b">
        <f t="shared" si="721"/>
        <v>0</v>
      </c>
      <c r="DO328" t="b">
        <f t="shared" si="722"/>
        <v>0</v>
      </c>
      <c r="DP328" t="b">
        <f t="shared" si="723"/>
        <v>0</v>
      </c>
      <c r="DQ328" t="b">
        <f t="shared" si="724"/>
        <v>0</v>
      </c>
      <c r="DR328" t="b">
        <f t="shared" si="725"/>
        <v>0</v>
      </c>
      <c r="DS328" t="b">
        <f t="shared" si="726"/>
        <v>0</v>
      </c>
      <c r="DT328" t="b">
        <f t="shared" si="727"/>
        <v>0</v>
      </c>
      <c r="DU328" t="b">
        <f t="shared" si="728"/>
        <v>0</v>
      </c>
      <c r="DV328" t="b">
        <f t="shared" si="729"/>
        <v>0</v>
      </c>
      <c r="DW328" t="b">
        <f t="shared" si="730"/>
        <v>0</v>
      </c>
      <c r="DX328" t="b">
        <f t="shared" si="731"/>
        <v>0</v>
      </c>
      <c r="DY328" t="b">
        <f t="shared" si="732"/>
        <v>0</v>
      </c>
      <c r="DZ328" t="b">
        <f t="shared" si="733"/>
        <v>0</v>
      </c>
      <c r="EA328" t="b">
        <f t="shared" si="734"/>
        <v>0</v>
      </c>
      <c r="EB328" t="b">
        <f t="shared" si="735"/>
        <v>0</v>
      </c>
      <c r="EC328" t="b">
        <f t="shared" si="736"/>
        <v>0</v>
      </c>
      <c r="ED328" t="b">
        <f t="shared" si="737"/>
        <v>0</v>
      </c>
      <c r="EE328" t="b">
        <f t="shared" si="738"/>
        <v>0</v>
      </c>
      <c r="EF328">
        <f t="shared" si="739"/>
        <v>1</v>
      </c>
      <c r="EG328" t="b">
        <f t="shared" si="740"/>
        <v>0</v>
      </c>
      <c r="EH328" t="b">
        <f t="shared" si="741"/>
        <v>0</v>
      </c>
      <c r="EI328" t="b">
        <f t="shared" si="742"/>
        <v>0</v>
      </c>
      <c r="EJ328" t="b">
        <f t="shared" si="743"/>
        <v>0</v>
      </c>
      <c r="EK328" t="b">
        <f t="shared" si="744"/>
        <v>0</v>
      </c>
    </row>
    <row r="329" spans="1:141">
      <c r="A329" t="s">
        <v>1721</v>
      </c>
      <c r="B329" t="s">
        <v>1721</v>
      </c>
      <c r="C329" t="s">
        <v>1722</v>
      </c>
      <c r="D329" s="1">
        <v>44001</v>
      </c>
      <c r="E329" s="2">
        <v>44065.193518518521</v>
      </c>
      <c r="F329" s="2">
        <v>44065.204768518517</v>
      </c>
      <c r="G329">
        <v>3385862</v>
      </c>
      <c r="H329" t="s">
        <v>1723</v>
      </c>
      <c r="I329" s="10" t="s">
        <v>1724</v>
      </c>
      <c r="J329" t="s">
        <v>143</v>
      </c>
      <c r="K329" s="8" t="b">
        <v>1</v>
      </c>
      <c r="L329" s="10" t="b">
        <v>0</v>
      </c>
      <c r="M329" s="12" t="b">
        <v>0</v>
      </c>
      <c r="N329" t="b">
        <v>0</v>
      </c>
      <c r="O329" t="b">
        <v>0</v>
      </c>
      <c r="P329" t="b">
        <v>0</v>
      </c>
      <c r="Q329">
        <f t="shared" si="621"/>
        <v>6</v>
      </c>
      <c r="R329">
        <f t="shared" si="622"/>
        <v>6</v>
      </c>
      <c r="S329" t="e">
        <f t="shared" ca="1" si="652"/>
        <v>#NAME?</v>
      </c>
      <c r="T329" t="e">
        <f t="shared" ca="1" si="623"/>
        <v>#NAME?</v>
      </c>
      <c r="U329" s="4">
        <f t="shared" si="624"/>
        <v>64.193518518521159</v>
      </c>
      <c r="V329" s="4">
        <f t="shared" si="625"/>
        <v>2.1397839506173719</v>
      </c>
      <c r="W329" s="4">
        <f t="shared" si="626"/>
        <v>1</v>
      </c>
      <c r="X329" s="4">
        <f t="shared" si="627"/>
        <v>0</v>
      </c>
      <c r="Y329" s="4">
        <f t="shared" si="628"/>
        <v>0</v>
      </c>
      <c r="Z329" s="4">
        <f t="shared" si="629"/>
        <v>0</v>
      </c>
      <c r="AA329" s="4">
        <f t="shared" si="630"/>
        <v>0</v>
      </c>
      <c r="AB329" s="4">
        <f t="shared" si="631"/>
        <v>0</v>
      </c>
      <c r="AC329" s="4"/>
      <c r="AD329" s="4" t="b">
        <f t="shared" si="632"/>
        <v>0</v>
      </c>
      <c r="AE329" s="4" t="b">
        <f t="shared" si="633"/>
        <v>0</v>
      </c>
      <c r="AF329" s="4" t="b">
        <f t="shared" si="634"/>
        <v>0</v>
      </c>
      <c r="AG329" t="b">
        <f t="shared" si="635"/>
        <v>0</v>
      </c>
      <c r="AH329" t="b">
        <f t="shared" si="636"/>
        <v>0</v>
      </c>
      <c r="AI329" t="b">
        <f t="shared" si="637"/>
        <v>0</v>
      </c>
      <c r="AJ329" t="b">
        <f t="shared" si="638"/>
        <v>0</v>
      </c>
      <c r="AK329" t="b">
        <f t="shared" si="639"/>
        <v>0</v>
      </c>
      <c r="AL329" t="b">
        <f t="shared" si="640"/>
        <v>0</v>
      </c>
      <c r="AM329" t="b">
        <f t="shared" si="641"/>
        <v>0</v>
      </c>
      <c r="AN329" t="b">
        <f t="shared" si="642"/>
        <v>0</v>
      </c>
      <c r="AO329" t="b">
        <f t="shared" si="643"/>
        <v>0</v>
      </c>
      <c r="AP329" t="b">
        <f t="shared" si="644"/>
        <v>0</v>
      </c>
      <c r="AQ329" t="b">
        <f t="shared" si="645"/>
        <v>0</v>
      </c>
      <c r="AR329" t="b">
        <f t="shared" si="646"/>
        <v>0</v>
      </c>
      <c r="AS329" t="b">
        <f t="shared" si="647"/>
        <v>0</v>
      </c>
      <c r="AT329" t="b">
        <f t="shared" si="648"/>
        <v>0</v>
      </c>
      <c r="AU329" t="b">
        <f t="shared" si="649"/>
        <v>0</v>
      </c>
      <c r="AV329" t="b">
        <f t="shared" si="650"/>
        <v>0</v>
      </c>
      <c r="AW329" t="b">
        <f t="shared" si="651"/>
        <v>0</v>
      </c>
      <c r="AX329" t="b">
        <f t="shared" si="653"/>
        <v>0</v>
      </c>
      <c r="AY329" t="b">
        <f t="shared" si="654"/>
        <v>0</v>
      </c>
      <c r="AZ329" t="b">
        <f t="shared" si="655"/>
        <v>0</v>
      </c>
      <c r="BA329" t="b">
        <f t="shared" si="656"/>
        <v>0</v>
      </c>
      <c r="BB329" t="b">
        <f t="shared" si="657"/>
        <v>0</v>
      </c>
      <c r="BC329" t="b">
        <f t="shared" si="658"/>
        <v>0</v>
      </c>
      <c r="BD329" t="b">
        <f t="shared" si="659"/>
        <v>0</v>
      </c>
      <c r="BE329" t="b">
        <f t="shared" si="660"/>
        <v>0</v>
      </c>
      <c r="BF329" t="b">
        <f t="shared" si="661"/>
        <v>0</v>
      </c>
      <c r="BG329" t="b">
        <f t="shared" si="662"/>
        <v>0</v>
      </c>
      <c r="BH329" t="b">
        <f t="shared" si="663"/>
        <v>0</v>
      </c>
      <c r="BI329">
        <f t="shared" si="664"/>
        <v>1</v>
      </c>
      <c r="BJ329" t="b">
        <f t="shared" si="665"/>
        <v>0</v>
      </c>
      <c r="BK329" t="b">
        <f t="shared" si="666"/>
        <v>0</v>
      </c>
      <c r="BL329" t="b">
        <f t="shared" si="667"/>
        <v>0</v>
      </c>
      <c r="BM329" t="b">
        <f t="shared" si="668"/>
        <v>0</v>
      </c>
      <c r="BN329" t="b">
        <f t="shared" si="669"/>
        <v>0</v>
      </c>
      <c r="BO329" t="b">
        <f t="shared" si="670"/>
        <v>0</v>
      </c>
      <c r="BP329" t="b">
        <f t="shared" si="671"/>
        <v>0</v>
      </c>
      <c r="BQ329" t="b">
        <f t="shared" si="672"/>
        <v>0</v>
      </c>
      <c r="BR329" t="b">
        <f t="shared" si="673"/>
        <v>0</v>
      </c>
      <c r="BS329" t="b">
        <f t="shared" si="674"/>
        <v>0</v>
      </c>
      <c r="BT329" t="b">
        <f t="shared" si="675"/>
        <v>0</v>
      </c>
      <c r="BU329" t="b">
        <f t="shared" si="676"/>
        <v>0</v>
      </c>
      <c r="BV329" t="b">
        <f t="shared" si="677"/>
        <v>0</v>
      </c>
      <c r="BW329" t="b">
        <f t="shared" si="678"/>
        <v>0</v>
      </c>
      <c r="BX329" t="b">
        <f t="shared" si="679"/>
        <v>0</v>
      </c>
      <c r="BY329" t="b">
        <f t="shared" si="680"/>
        <v>0</v>
      </c>
      <c r="BZ329" t="b">
        <f t="shared" si="681"/>
        <v>0</v>
      </c>
      <c r="CA329" t="b">
        <f t="shared" si="682"/>
        <v>0</v>
      </c>
      <c r="CB329" t="b">
        <f t="shared" si="683"/>
        <v>0</v>
      </c>
      <c r="CC329" t="b">
        <f t="shared" si="684"/>
        <v>0</v>
      </c>
      <c r="CD329" t="b">
        <f t="shared" si="685"/>
        <v>0</v>
      </c>
      <c r="CE329">
        <f t="shared" si="686"/>
        <v>1</v>
      </c>
      <c r="CF329" t="b">
        <f t="shared" si="687"/>
        <v>0</v>
      </c>
      <c r="CG329" t="b">
        <f t="shared" si="688"/>
        <v>0</v>
      </c>
      <c r="CH329" t="b">
        <f t="shared" si="689"/>
        <v>0</v>
      </c>
      <c r="CI329" t="b">
        <f t="shared" si="690"/>
        <v>0</v>
      </c>
      <c r="CJ329" t="b">
        <f t="shared" si="691"/>
        <v>0</v>
      </c>
      <c r="CK329" t="b">
        <f t="shared" si="692"/>
        <v>0</v>
      </c>
      <c r="CL329" t="b">
        <f t="shared" si="693"/>
        <v>0</v>
      </c>
      <c r="CM329">
        <f t="shared" si="694"/>
        <v>1</v>
      </c>
      <c r="CN329" t="b">
        <f t="shared" si="695"/>
        <v>0</v>
      </c>
      <c r="CO329" t="b">
        <f t="shared" si="696"/>
        <v>0</v>
      </c>
      <c r="CP329" t="b">
        <f t="shared" si="697"/>
        <v>0</v>
      </c>
      <c r="CQ329" t="b">
        <f t="shared" si="698"/>
        <v>0</v>
      </c>
      <c r="CR329" t="b">
        <f t="shared" si="699"/>
        <v>0</v>
      </c>
      <c r="CS329" t="b">
        <f t="shared" si="700"/>
        <v>0</v>
      </c>
      <c r="CT329" t="b">
        <f t="shared" si="701"/>
        <v>0</v>
      </c>
      <c r="CU329" t="b">
        <f t="shared" si="702"/>
        <v>0</v>
      </c>
      <c r="CV329">
        <f t="shared" si="703"/>
        <v>1</v>
      </c>
      <c r="CW329" t="b">
        <f t="shared" si="704"/>
        <v>0</v>
      </c>
      <c r="CX329" t="b">
        <f t="shared" si="705"/>
        <v>0</v>
      </c>
      <c r="CY329" t="b">
        <f t="shared" si="706"/>
        <v>0</v>
      </c>
      <c r="CZ329" t="b">
        <f t="shared" si="707"/>
        <v>0</v>
      </c>
      <c r="DA329">
        <f t="shared" si="708"/>
        <v>1</v>
      </c>
      <c r="DB329">
        <f t="shared" si="709"/>
        <v>1</v>
      </c>
      <c r="DC329" t="b">
        <f t="shared" si="710"/>
        <v>0</v>
      </c>
      <c r="DD329" t="b">
        <f t="shared" si="711"/>
        <v>0</v>
      </c>
      <c r="DE329" t="b">
        <f t="shared" si="712"/>
        <v>0</v>
      </c>
      <c r="DF329" t="b">
        <f t="shared" si="713"/>
        <v>0</v>
      </c>
      <c r="DG329" t="b">
        <f t="shared" si="714"/>
        <v>0</v>
      </c>
      <c r="DH329" t="b">
        <f t="shared" si="715"/>
        <v>0</v>
      </c>
      <c r="DI329" t="b">
        <f t="shared" si="716"/>
        <v>0</v>
      </c>
      <c r="DJ329" t="b">
        <f t="shared" si="717"/>
        <v>0</v>
      </c>
      <c r="DK329" t="b">
        <f t="shared" si="718"/>
        <v>0</v>
      </c>
      <c r="DL329" t="b">
        <f t="shared" si="719"/>
        <v>0</v>
      </c>
      <c r="DM329" t="b">
        <f t="shared" si="720"/>
        <v>0</v>
      </c>
      <c r="DN329" t="b">
        <f t="shared" si="721"/>
        <v>0</v>
      </c>
      <c r="DO329" t="b">
        <f t="shared" si="722"/>
        <v>0</v>
      </c>
      <c r="DP329" t="b">
        <f t="shared" si="723"/>
        <v>0</v>
      </c>
      <c r="DQ329" t="b">
        <f t="shared" si="724"/>
        <v>0</v>
      </c>
      <c r="DR329" t="b">
        <f t="shared" si="725"/>
        <v>0</v>
      </c>
      <c r="DS329" t="b">
        <f t="shared" si="726"/>
        <v>0</v>
      </c>
      <c r="DT329" t="b">
        <f t="shared" si="727"/>
        <v>0</v>
      </c>
      <c r="DU329" t="b">
        <f t="shared" si="728"/>
        <v>0</v>
      </c>
      <c r="DV329" t="b">
        <f t="shared" si="729"/>
        <v>0</v>
      </c>
      <c r="DW329" t="b">
        <f t="shared" si="730"/>
        <v>0</v>
      </c>
      <c r="DX329" t="b">
        <f t="shared" si="731"/>
        <v>0</v>
      </c>
      <c r="DY329" t="b">
        <f t="shared" si="732"/>
        <v>0</v>
      </c>
      <c r="DZ329" t="b">
        <f t="shared" si="733"/>
        <v>0</v>
      </c>
      <c r="EA329" t="b">
        <f t="shared" si="734"/>
        <v>0</v>
      </c>
      <c r="EB329" t="b">
        <f t="shared" si="735"/>
        <v>0</v>
      </c>
      <c r="EC329" t="b">
        <f t="shared" si="736"/>
        <v>0</v>
      </c>
      <c r="ED329" t="b">
        <f t="shared" si="737"/>
        <v>0</v>
      </c>
      <c r="EE329" t="b">
        <f t="shared" si="738"/>
        <v>0</v>
      </c>
      <c r="EF329">
        <f t="shared" si="739"/>
        <v>1</v>
      </c>
      <c r="EG329" t="b">
        <f t="shared" si="740"/>
        <v>0</v>
      </c>
      <c r="EH329" t="b">
        <f t="shared" si="741"/>
        <v>0</v>
      </c>
      <c r="EI329" t="b">
        <f t="shared" si="742"/>
        <v>0</v>
      </c>
      <c r="EJ329" t="b">
        <f t="shared" si="743"/>
        <v>0</v>
      </c>
      <c r="EK329" t="b">
        <f t="shared" si="744"/>
        <v>0</v>
      </c>
    </row>
    <row r="330" spans="1:141">
      <c r="A330" t="s">
        <v>1725</v>
      </c>
      <c r="B330" t="s">
        <v>1725</v>
      </c>
      <c r="C330" t="s">
        <v>1726</v>
      </c>
      <c r="D330" s="1">
        <v>42736</v>
      </c>
      <c r="E330" s="2">
        <v>43977.920254629629</v>
      </c>
      <c r="F330" s="2">
        <v>43977.964560185188</v>
      </c>
      <c r="G330">
        <v>26372781</v>
      </c>
      <c r="H330" t="s">
        <v>1727</v>
      </c>
      <c r="I330" s="10" t="s">
        <v>1728</v>
      </c>
      <c r="J330" t="s">
        <v>156</v>
      </c>
      <c r="K330" s="8" t="b">
        <v>1</v>
      </c>
      <c r="L330" s="10" t="b">
        <v>0</v>
      </c>
      <c r="M330" s="12" t="b">
        <v>0</v>
      </c>
      <c r="N330" t="b">
        <v>0</v>
      </c>
      <c r="O330" t="b">
        <v>0</v>
      </c>
      <c r="P330" t="b">
        <v>0</v>
      </c>
      <c r="Q330">
        <f t="shared" si="621"/>
        <v>1</v>
      </c>
      <c r="R330">
        <f t="shared" si="622"/>
        <v>1</v>
      </c>
      <c r="S330" t="e">
        <f t="shared" ca="1" si="652"/>
        <v>#NAME?</v>
      </c>
      <c r="T330" t="e">
        <f t="shared" ca="1" si="623"/>
        <v>#NAME?</v>
      </c>
      <c r="U330" s="4">
        <f t="shared" si="624"/>
        <v>1241.9202546296292</v>
      </c>
      <c r="V330" s="4">
        <f t="shared" si="625"/>
        <v>41.397341820987641</v>
      </c>
      <c r="W330" s="4">
        <f t="shared" si="626"/>
        <v>1</v>
      </c>
      <c r="X330" s="4">
        <f t="shared" si="627"/>
        <v>0</v>
      </c>
      <c r="Y330" s="4">
        <f t="shared" si="628"/>
        <v>0</v>
      </c>
      <c r="Z330" s="4">
        <f t="shared" si="629"/>
        <v>0</v>
      </c>
      <c r="AA330" s="4">
        <f t="shared" si="630"/>
        <v>0</v>
      </c>
      <c r="AB330" s="4">
        <f t="shared" si="631"/>
        <v>0</v>
      </c>
      <c r="AC330" s="4"/>
      <c r="AD330" s="4" t="b">
        <f t="shared" si="632"/>
        <v>0</v>
      </c>
      <c r="AE330" s="4" t="b">
        <f t="shared" si="633"/>
        <v>0</v>
      </c>
      <c r="AF330" s="4" t="b">
        <f t="shared" si="634"/>
        <v>0</v>
      </c>
      <c r="AG330" t="b">
        <f t="shared" si="635"/>
        <v>0</v>
      </c>
      <c r="AH330" t="b">
        <f t="shared" si="636"/>
        <v>0</v>
      </c>
      <c r="AI330" t="b">
        <f t="shared" si="637"/>
        <v>0</v>
      </c>
      <c r="AJ330" t="b">
        <f t="shared" si="638"/>
        <v>0</v>
      </c>
      <c r="AK330" t="b">
        <f t="shared" si="639"/>
        <v>0</v>
      </c>
      <c r="AL330" t="b">
        <f t="shared" si="640"/>
        <v>0</v>
      </c>
      <c r="AM330" t="b">
        <f t="shared" si="641"/>
        <v>0</v>
      </c>
      <c r="AN330" t="b">
        <f t="shared" si="642"/>
        <v>0</v>
      </c>
      <c r="AO330" t="b">
        <f t="shared" si="643"/>
        <v>0</v>
      </c>
      <c r="AP330" t="b">
        <f t="shared" si="644"/>
        <v>0</v>
      </c>
      <c r="AQ330" t="b">
        <f t="shared" si="645"/>
        <v>0</v>
      </c>
      <c r="AR330" t="b">
        <f t="shared" si="646"/>
        <v>0</v>
      </c>
      <c r="AS330" t="b">
        <f t="shared" si="647"/>
        <v>0</v>
      </c>
      <c r="AT330" t="b">
        <f t="shared" si="648"/>
        <v>0</v>
      </c>
      <c r="AU330" t="b">
        <f t="shared" si="649"/>
        <v>0</v>
      </c>
      <c r="AV330" t="b">
        <f t="shared" si="650"/>
        <v>0</v>
      </c>
      <c r="AW330" t="b">
        <f t="shared" si="651"/>
        <v>0</v>
      </c>
      <c r="AX330" t="b">
        <f t="shared" si="653"/>
        <v>0</v>
      </c>
      <c r="AY330" t="b">
        <f t="shared" si="654"/>
        <v>0</v>
      </c>
      <c r="AZ330" t="b">
        <f t="shared" si="655"/>
        <v>0</v>
      </c>
      <c r="BA330" t="b">
        <f t="shared" si="656"/>
        <v>0</v>
      </c>
      <c r="BB330" t="b">
        <f t="shared" si="657"/>
        <v>0</v>
      </c>
      <c r="BC330" t="b">
        <f t="shared" si="658"/>
        <v>0</v>
      </c>
      <c r="BD330" t="b">
        <f t="shared" si="659"/>
        <v>0</v>
      </c>
      <c r="BE330" t="b">
        <f t="shared" si="660"/>
        <v>0</v>
      </c>
      <c r="BF330" t="b">
        <f t="shared" si="661"/>
        <v>0</v>
      </c>
      <c r="BG330" t="b">
        <f t="shared" si="662"/>
        <v>0</v>
      </c>
      <c r="BH330" t="b">
        <f t="shared" si="663"/>
        <v>0</v>
      </c>
      <c r="BI330">
        <f t="shared" si="664"/>
        <v>1</v>
      </c>
      <c r="BJ330" t="b">
        <f t="shared" si="665"/>
        <v>0</v>
      </c>
      <c r="BK330" t="b">
        <f t="shared" si="666"/>
        <v>0</v>
      </c>
      <c r="BL330" t="b">
        <f t="shared" si="667"/>
        <v>0</v>
      </c>
      <c r="BM330" t="b">
        <f t="shared" si="668"/>
        <v>0</v>
      </c>
      <c r="BN330" t="b">
        <f t="shared" si="669"/>
        <v>0</v>
      </c>
      <c r="BO330" t="b">
        <f t="shared" si="670"/>
        <v>0</v>
      </c>
      <c r="BP330" t="b">
        <f t="shared" si="671"/>
        <v>0</v>
      </c>
      <c r="BQ330" t="b">
        <f t="shared" si="672"/>
        <v>0</v>
      </c>
      <c r="BR330" t="b">
        <f t="shared" si="673"/>
        <v>0</v>
      </c>
      <c r="BS330" t="b">
        <f t="shared" si="674"/>
        <v>0</v>
      </c>
      <c r="BT330" t="b">
        <f t="shared" si="675"/>
        <v>0</v>
      </c>
      <c r="BU330" t="b">
        <f t="shared" si="676"/>
        <v>0</v>
      </c>
      <c r="BV330" t="b">
        <f t="shared" si="677"/>
        <v>0</v>
      </c>
      <c r="BW330" t="b">
        <f t="shared" si="678"/>
        <v>0</v>
      </c>
      <c r="BX330" t="b">
        <f t="shared" si="679"/>
        <v>0</v>
      </c>
      <c r="BY330" t="b">
        <f t="shared" si="680"/>
        <v>0</v>
      </c>
      <c r="BZ330" t="b">
        <f t="shared" si="681"/>
        <v>0</v>
      </c>
      <c r="CA330" t="b">
        <f t="shared" si="682"/>
        <v>0</v>
      </c>
      <c r="CB330" t="b">
        <f t="shared" si="683"/>
        <v>0</v>
      </c>
      <c r="CC330" t="b">
        <f t="shared" si="684"/>
        <v>0</v>
      </c>
      <c r="CD330" t="b">
        <f t="shared" si="685"/>
        <v>0</v>
      </c>
      <c r="CE330" t="b">
        <f t="shared" si="686"/>
        <v>0</v>
      </c>
      <c r="CF330" t="b">
        <f t="shared" si="687"/>
        <v>0</v>
      </c>
      <c r="CG330" t="b">
        <f t="shared" si="688"/>
        <v>0</v>
      </c>
      <c r="CH330" t="b">
        <f t="shared" si="689"/>
        <v>0</v>
      </c>
      <c r="CI330" t="b">
        <f t="shared" si="690"/>
        <v>0</v>
      </c>
      <c r="CJ330" t="b">
        <f t="shared" si="691"/>
        <v>0</v>
      </c>
      <c r="CK330" t="b">
        <f t="shared" si="692"/>
        <v>0</v>
      </c>
      <c r="CL330" t="b">
        <f t="shared" si="693"/>
        <v>0</v>
      </c>
      <c r="CM330" t="b">
        <f t="shared" si="694"/>
        <v>0</v>
      </c>
      <c r="CN330" t="b">
        <f t="shared" si="695"/>
        <v>0</v>
      </c>
      <c r="CO330" t="b">
        <f t="shared" si="696"/>
        <v>0</v>
      </c>
      <c r="CP330" t="b">
        <f t="shared" si="697"/>
        <v>0</v>
      </c>
      <c r="CQ330" t="b">
        <f t="shared" si="698"/>
        <v>0</v>
      </c>
      <c r="CR330" t="b">
        <f t="shared" si="699"/>
        <v>0</v>
      </c>
      <c r="CS330" t="b">
        <f t="shared" si="700"/>
        <v>0</v>
      </c>
      <c r="CT330" t="b">
        <f t="shared" si="701"/>
        <v>0</v>
      </c>
      <c r="CU330" t="b">
        <f t="shared" si="702"/>
        <v>0</v>
      </c>
      <c r="CV330">
        <f t="shared" si="703"/>
        <v>1</v>
      </c>
      <c r="CW330" t="b">
        <f t="shared" si="704"/>
        <v>0</v>
      </c>
      <c r="CX330" t="b">
        <f t="shared" si="705"/>
        <v>0</v>
      </c>
      <c r="CY330" t="b">
        <f t="shared" si="706"/>
        <v>0</v>
      </c>
      <c r="CZ330" t="b">
        <f t="shared" si="707"/>
        <v>0</v>
      </c>
      <c r="DA330" t="b">
        <f t="shared" si="708"/>
        <v>0</v>
      </c>
      <c r="DB330" t="b">
        <f t="shared" si="709"/>
        <v>0</v>
      </c>
      <c r="DC330" t="b">
        <f t="shared" si="710"/>
        <v>0</v>
      </c>
      <c r="DD330" t="b">
        <f t="shared" si="711"/>
        <v>0</v>
      </c>
      <c r="DE330" t="b">
        <f t="shared" si="712"/>
        <v>0</v>
      </c>
      <c r="DF330" t="b">
        <f t="shared" si="713"/>
        <v>0</v>
      </c>
      <c r="DG330" t="b">
        <f t="shared" si="714"/>
        <v>0</v>
      </c>
      <c r="DH330" t="b">
        <f t="shared" si="715"/>
        <v>0</v>
      </c>
      <c r="DI330" t="b">
        <f t="shared" si="716"/>
        <v>0</v>
      </c>
      <c r="DJ330" t="b">
        <f t="shared" si="717"/>
        <v>0</v>
      </c>
      <c r="DK330" t="b">
        <f t="shared" si="718"/>
        <v>0</v>
      </c>
      <c r="DL330" t="b">
        <f t="shared" si="719"/>
        <v>0</v>
      </c>
      <c r="DM330" t="b">
        <f t="shared" si="720"/>
        <v>0</v>
      </c>
      <c r="DN330" t="b">
        <f t="shared" si="721"/>
        <v>0</v>
      </c>
      <c r="DO330" t="b">
        <f t="shared" si="722"/>
        <v>0</v>
      </c>
      <c r="DP330" t="b">
        <f t="shared" si="723"/>
        <v>0</v>
      </c>
      <c r="DQ330" t="b">
        <f t="shared" si="724"/>
        <v>0</v>
      </c>
      <c r="DR330" t="b">
        <f t="shared" si="725"/>
        <v>0</v>
      </c>
      <c r="DS330" t="b">
        <f t="shared" si="726"/>
        <v>0</v>
      </c>
      <c r="DT330" t="b">
        <f t="shared" si="727"/>
        <v>0</v>
      </c>
      <c r="DU330" t="b">
        <f t="shared" si="728"/>
        <v>0</v>
      </c>
      <c r="DV330" t="b">
        <f t="shared" si="729"/>
        <v>0</v>
      </c>
      <c r="DW330" t="b">
        <f t="shared" si="730"/>
        <v>0</v>
      </c>
      <c r="DX330" t="b">
        <f t="shared" si="731"/>
        <v>0</v>
      </c>
      <c r="DY330" t="b">
        <f t="shared" si="732"/>
        <v>0</v>
      </c>
      <c r="DZ330" t="b">
        <f t="shared" si="733"/>
        <v>0</v>
      </c>
      <c r="EA330" t="b">
        <f t="shared" si="734"/>
        <v>0</v>
      </c>
      <c r="EB330" t="b">
        <f t="shared" si="735"/>
        <v>0</v>
      </c>
      <c r="EC330" t="b">
        <f t="shared" si="736"/>
        <v>0</v>
      </c>
      <c r="ED330" t="b">
        <f t="shared" si="737"/>
        <v>0</v>
      </c>
      <c r="EE330" t="b">
        <f t="shared" si="738"/>
        <v>0</v>
      </c>
      <c r="EF330">
        <f t="shared" si="739"/>
        <v>1</v>
      </c>
      <c r="EG330" t="b">
        <f t="shared" si="740"/>
        <v>0</v>
      </c>
      <c r="EH330" t="b">
        <f t="shared" si="741"/>
        <v>0</v>
      </c>
      <c r="EI330" t="b">
        <f t="shared" si="742"/>
        <v>0</v>
      </c>
      <c r="EJ330" t="b">
        <f t="shared" si="743"/>
        <v>0</v>
      </c>
      <c r="EK330" t="b">
        <f t="shared" si="744"/>
        <v>0</v>
      </c>
    </row>
    <row r="331" spans="1:141">
      <c r="A331" t="s">
        <v>1729</v>
      </c>
      <c r="B331" t="s">
        <v>1729</v>
      </c>
      <c r="C331" t="s">
        <v>1730</v>
      </c>
      <c r="D331" s="1">
        <v>44072</v>
      </c>
      <c r="E331" s="2">
        <v>44338.074293981481</v>
      </c>
      <c r="F331" s="2">
        <v>44339.012499999997</v>
      </c>
      <c r="G331">
        <v>269552</v>
      </c>
      <c r="H331" t="s">
        <v>1731</v>
      </c>
      <c r="I331" s="10" t="s">
        <v>1732</v>
      </c>
      <c r="J331" t="s">
        <v>1733</v>
      </c>
      <c r="K331" s="8" t="b">
        <v>1</v>
      </c>
      <c r="L331" s="10" t="b">
        <v>0</v>
      </c>
      <c r="M331" s="12" t="b">
        <v>0</v>
      </c>
      <c r="N331" t="b">
        <v>0</v>
      </c>
      <c r="O331" t="b">
        <v>0</v>
      </c>
      <c r="P331" t="b">
        <v>0</v>
      </c>
      <c r="Q331">
        <f t="shared" si="621"/>
        <v>7</v>
      </c>
      <c r="R331">
        <f t="shared" si="622"/>
        <v>8</v>
      </c>
      <c r="S331" t="e">
        <f t="shared" ca="1" si="652"/>
        <v>#NAME?</v>
      </c>
      <c r="T331" t="e">
        <f t="shared" ca="1" si="623"/>
        <v>#NAME?</v>
      </c>
      <c r="U331" s="4">
        <f t="shared" si="624"/>
        <v>266.07429398148088</v>
      </c>
      <c r="V331" s="4">
        <f t="shared" si="625"/>
        <v>8.8691431327160295</v>
      </c>
      <c r="W331" s="4">
        <f t="shared" si="626"/>
        <v>1</v>
      </c>
      <c r="X331" s="4">
        <f t="shared" si="627"/>
        <v>0</v>
      </c>
      <c r="Y331" s="4">
        <f t="shared" si="628"/>
        <v>0</v>
      </c>
      <c r="Z331" s="4">
        <f t="shared" si="629"/>
        <v>0</v>
      </c>
      <c r="AA331" s="4">
        <f t="shared" si="630"/>
        <v>0</v>
      </c>
      <c r="AB331" s="4">
        <f t="shared" si="631"/>
        <v>0</v>
      </c>
      <c r="AC331" s="4"/>
      <c r="AD331" s="4" t="b">
        <f t="shared" si="632"/>
        <v>0</v>
      </c>
      <c r="AE331" s="4" t="b">
        <f t="shared" si="633"/>
        <v>0</v>
      </c>
      <c r="AF331" s="4" t="b">
        <f t="shared" si="634"/>
        <v>0</v>
      </c>
      <c r="AG331" t="b">
        <f t="shared" si="635"/>
        <v>0</v>
      </c>
      <c r="AH331" t="b">
        <f t="shared" si="636"/>
        <v>0</v>
      </c>
      <c r="AI331" t="b">
        <f t="shared" si="637"/>
        <v>0</v>
      </c>
      <c r="AJ331" t="b">
        <f t="shared" si="638"/>
        <v>0</v>
      </c>
      <c r="AK331" t="b">
        <f t="shared" si="639"/>
        <v>0</v>
      </c>
      <c r="AL331" t="b">
        <f t="shared" si="640"/>
        <v>0</v>
      </c>
      <c r="AM331" t="b">
        <f t="shared" si="641"/>
        <v>0</v>
      </c>
      <c r="AN331" t="b">
        <f t="shared" si="642"/>
        <v>0</v>
      </c>
      <c r="AO331" t="b">
        <f t="shared" si="643"/>
        <v>0</v>
      </c>
      <c r="AP331" t="b">
        <f t="shared" si="644"/>
        <v>0</v>
      </c>
      <c r="AQ331" t="b">
        <f t="shared" si="645"/>
        <v>0</v>
      </c>
      <c r="AR331" t="b">
        <f t="shared" si="646"/>
        <v>0</v>
      </c>
      <c r="AS331" t="b">
        <f t="shared" si="647"/>
        <v>0</v>
      </c>
      <c r="AT331" t="b">
        <f t="shared" si="648"/>
        <v>0</v>
      </c>
      <c r="AU331" t="b">
        <f t="shared" si="649"/>
        <v>0</v>
      </c>
      <c r="AV331" t="b">
        <f t="shared" si="650"/>
        <v>0</v>
      </c>
      <c r="AW331" t="b">
        <f t="shared" si="651"/>
        <v>0</v>
      </c>
      <c r="AX331" t="b">
        <f t="shared" si="653"/>
        <v>0</v>
      </c>
      <c r="AY331" t="b">
        <f t="shared" si="654"/>
        <v>0</v>
      </c>
      <c r="AZ331" t="b">
        <f t="shared" si="655"/>
        <v>0</v>
      </c>
      <c r="BA331" t="b">
        <f t="shared" si="656"/>
        <v>0</v>
      </c>
      <c r="BB331" t="b">
        <f t="shared" si="657"/>
        <v>0</v>
      </c>
      <c r="BC331" t="b">
        <f t="shared" si="658"/>
        <v>0</v>
      </c>
      <c r="BD331" t="b">
        <f t="shared" si="659"/>
        <v>0</v>
      </c>
      <c r="BE331" t="b">
        <f t="shared" si="660"/>
        <v>0</v>
      </c>
      <c r="BF331" t="b">
        <f t="shared" si="661"/>
        <v>0</v>
      </c>
      <c r="BG331" t="b">
        <f t="shared" si="662"/>
        <v>0</v>
      </c>
      <c r="BH331" t="b">
        <f t="shared" si="663"/>
        <v>0</v>
      </c>
      <c r="BI331">
        <f t="shared" si="664"/>
        <v>1</v>
      </c>
      <c r="BJ331" t="b">
        <f t="shared" si="665"/>
        <v>0</v>
      </c>
      <c r="BK331" t="b">
        <f t="shared" si="666"/>
        <v>0</v>
      </c>
      <c r="BL331" t="b">
        <f t="shared" si="667"/>
        <v>0</v>
      </c>
      <c r="BM331" t="b">
        <f t="shared" si="668"/>
        <v>0</v>
      </c>
      <c r="BN331" t="b">
        <f t="shared" si="669"/>
        <v>0</v>
      </c>
      <c r="BO331" t="b">
        <f t="shared" si="670"/>
        <v>0</v>
      </c>
      <c r="BP331" t="b">
        <f t="shared" si="671"/>
        <v>0</v>
      </c>
      <c r="BQ331" t="b">
        <f t="shared" si="672"/>
        <v>0</v>
      </c>
      <c r="BR331" t="b">
        <f t="shared" si="673"/>
        <v>0</v>
      </c>
      <c r="BS331" t="b">
        <f t="shared" si="674"/>
        <v>0</v>
      </c>
      <c r="BT331" t="b">
        <f t="shared" si="675"/>
        <v>0</v>
      </c>
      <c r="BU331" t="b">
        <f t="shared" si="676"/>
        <v>0</v>
      </c>
      <c r="BV331" t="b">
        <f t="shared" si="677"/>
        <v>0</v>
      </c>
      <c r="BW331" t="b">
        <f t="shared" si="678"/>
        <v>0</v>
      </c>
      <c r="BX331" t="b">
        <f t="shared" si="679"/>
        <v>0</v>
      </c>
      <c r="BY331" t="b">
        <f t="shared" si="680"/>
        <v>0</v>
      </c>
      <c r="BZ331" t="b">
        <f t="shared" si="681"/>
        <v>0</v>
      </c>
      <c r="CA331" t="b">
        <f t="shared" si="682"/>
        <v>0</v>
      </c>
      <c r="CB331" t="b">
        <f t="shared" si="683"/>
        <v>0</v>
      </c>
      <c r="CC331" t="b">
        <f t="shared" si="684"/>
        <v>0</v>
      </c>
      <c r="CD331" t="b">
        <f t="shared" si="685"/>
        <v>0</v>
      </c>
      <c r="CE331" t="b">
        <f t="shared" si="686"/>
        <v>0</v>
      </c>
      <c r="CF331" t="b">
        <f t="shared" si="687"/>
        <v>0</v>
      </c>
      <c r="CG331" t="b">
        <f t="shared" si="688"/>
        <v>0</v>
      </c>
      <c r="CH331" t="b">
        <f t="shared" si="689"/>
        <v>0</v>
      </c>
      <c r="CI331" t="b">
        <f t="shared" si="690"/>
        <v>0</v>
      </c>
      <c r="CJ331" t="b">
        <f t="shared" si="691"/>
        <v>0</v>
      </c>
      <c r="CK331" t="b">
        <f t="shared" si="692"/>
        <v>0</v>
      </c>
      <c r="CL331" t="b">
        <f t="shared" si="693"/>
        <v>0</v>
      </c>
      <c r="CM331">
        <f t="shared" si="694"/>
        <v>1</v>
      </c>
      <c r="CN331" t="b">
        <f t="shared" si="695"/>
        <v>0</v>
      </c>
      <c r="CO331" t="b">
        <f t="shared" si="696"/>
        <v>0</v>
      </c>
      <c r="CP331" t="b">
        <f t="shared" si="697"/>
        <v>0</v>
      </c>
      <c r="CQ331" t="b">
        <f t="shared" si="698"/>
        <v>0</v>
      </c>
      <c r="CR331" t="b">
        <f t="shared" si="699"/>
        <v>0</v>
      </c>
      <c r="CS331" t="b">
        <f t="shared" si="700"/>
        <v>0</v>
      </c>
      <c r="CT331" t="b">
        <f t="shared" si="701"/>
        <v>0</v>
      </c>
      <c r="CU331" t="b">
        <f t="shared" si="702"/>
        <v>0</v>
      </c>
      <c r="CV331" t="b">
        <f t="shared" si="703"/>
        <v>0</v>
      </c>
      <c r="CW331" t="b">
        <f t="shared" si="704"/>
        <v>0</v>
      </c>
      <c r="CX331" t="b">
        <f t="shared" si="705"/>
        <v>0</v>
      </c>
      <c r="CY331" t="b">
        <f t="shared" si="706"/>
        <v>0</v>
      </c>
      <c r="CZ331" t="b">
        <f t="shared" si="707"/>
        <v>0</v>
      </c>
      <c r="DA331">
        <f t="shared" si="708"/>
        <v>1</v>
      </c>
      <c r="DB331">
        <f t="shared" si="709"/>
        <v>1</v>
      </c>
      <c r="DC331" t="b">
        <f t="shared" si="710"/>
        <v>0</v>
      </c>
      <c r="DD331" t="b">
        <f t="shared" si="711"/>
        <v>0</v>
      </c>
      <c r="DE331" t="b">
        <f t="shared" si="712"/>
        <v>0</v>
      </c>
      <c r="DF331" t="b">
        <f t="shared" si="713"/>
        <v>0</v>
      </c>
      <c r="DG331" t="b">
        <f t="shared" si="714"/>
        <v>0</v>
      </c>
      <c r="DH331" t="b">
        <f t="shared" si="715"/>
        <v>0</v>
      </c>
      <c r="DI331" t="b">
        <f t="shared" si="716"/>
        <v>0</v>
      </c>
      <c r="DJ331">
        <f t="shared" si="717"/>
        <v>1</v>
      </c>
      <c r="DK331" t="b">
        <f t="shared" si="718"/>
        <v>0</v>
      </c>
      <c r="DL331" t="b">
        <f t="shared" si="719"/>
        <v>0</v>
      </c>
      <c r="DM331" t="b">
        <f t="shared" si="720"/>
        <v>0</v>
      </c>
      <c r="DN331" t="b">
        <f t="shared" si="721"/>
        <v>0</v>
      </c>
      <c r="DO331" t="b">
        <f t="shared" si="722"/>
        <v>0</v>
      </c>
      <c r="DP331" t="b">
        <f t="shared" si="723"/>
        <v>0</v>
      </c>
      <c r="DQ331">
        <f t="shared" si="724"/>
        <v>1</v>
      </c>
      <c r="DR331" t="b">
        <f t="shared" si="725"/>
        <v>0</v>
      </c>
      <c r="DS331" t="b">
        <f t="shared" si="726"/>
        <v>0</v>
      </c>
      <c r="DT331" t="b">
        <f t="shared" si="727"/>
        <v>0</v>
      </c>
      <c r="DU331" t="b">
        <f t="shared" si="728"/>
        <v>0</v>
      </c>
      <c r="DV331" t="b">
        <f t="shared" si="729"/>
        <v>0</v>
      </c>
      <c r="DW331" t="b">
        <f t="shared" si="730"/>
        <v>0</v>
      </c>
      <c r="DX331" t="b">
        <f t="shared" si="731"/>
        <v>0</v>
      </c>
      <c r="DY331" t="b">
        <f t="shared" si="732"/>
        <v>0</v>
      </c>
      <c r="DZ331" t="b">
        <f t="shared" si="733"/>
        <v>0</v>
      </c>
      <c r="EA331" t="b">
        <f t="shared" si="734"/>
        <v>0</v>
      </c>
      <c r="EB331" t="b">
        <f t="shared" si="735"/>
        <v>0</v>
      </c>
      <c r="EC331" t="b">
        <f t="shared" si="736"/>
        <v>0</v>
      </c>
      <c r="ED331" t="b">
        <f t="shared" si="737"/>
        <v>0</v>
      </c>
      <c r="EE331" t="b">
        <f t="shared" si="738"/>
        <v>0</v>
      </c>
      <c r="EF331" t="b">
        <f t="shared" si="739"/>
        <v>0</v>
      </c>
      <c r="EG331" t="b">
        <f t="shared" si="740"/>
        <v>0</v>
      </c>
      <c r="EH331" t="b">
        <f t="shared" si="741"/>
        <v>0</v>
      </c>
      <c r="EI331" t="b">
        <f t="shared" si="742"/>
        <v>0</v>
      </c>
      <c r="EJ331" t="b">
        <f t="shared" si="743"/>
        <v>0</v>
      </c>
      <c r="EK331" t="b">
        <f t="shared" si="744"/>
        <v>0</v>
      </c>
    </row>
    <row r="332" spans="1:141">
      <c r="A332" t="s">
        <v>1734</v>
      </c>
      <c r="B332" t="s">
        <v>1735</v>
      </c>
      <c r="C332" t="s">
        <v>1736</v>
      </c>
      <c r="D332" s="1">
        <v>42020</v>
      </c>
      <c r="E332" s="2">
        <v>42022.058611111112</v>
      </c>
      <c r="F332" s="2">
        <v>42022.058611111112</v>
      </c>
      <c r="G332">
        <v>13451</v>
      </c>
      <c r="H332" t="s">
        <v>1737</v>
      </c>
      <c r="I332" s="10" t="s">
        <v>1738</v>
      </c>
      <c r="J332" t="s">
        <v>156</v>
      </c>
      <c r="K332" s="8" t="b">
        <v>1</v>
      </c>
      <c r="L332" s="10" t="b">
        <v>0</v>
      </c>
      <c r="M332" s="12" t="b">
        <v>0</v>
      </c>
      <c r="N332" t="b">
        <v>0</v>
      </c>
      <c r="O332" t="b">
        <v>0</v>
      </c>
      <c r="P332" t="b">
        <v>0</v>
      </c>
      <c r="Q332">
        <f t="shared" si="621"/>
        <v>6</v>
      </c>
      <c r="R332">
        <f t="shared" si="622"/>
        <v>1</v>
      </c>
      <c r="S332" t="e">
        <f t="shared" ca="1" si="652"/>
        <v>#NAME?</v>
      </c>
      <c r="T332" t="e">
        <f t="shared" ca="1" si="623"/>
        <v>#NAME?</v>
      </c>
      <c r="U332" s="4">
        <f t="shared" si="624"/>
        <v>2.0586111111115315</v>
      </c>
      <c r="V332" s="4">
        <f t="shared" si="625"/>
        <v>6.862037037038439E-2</v>
      </c>
      <c r="W332" s="4">
        <f t="shared" si="626"/>
        <v>1</v>
      </c>
      <c r="X332" s="4">
        <f t="shared" si="627"/>
        <v>0</v>
      </c>
      <c r="Y332" s="4">
        <f t="shared" si="628"/>
        <v>0</v>
      </c>
      <c r="Z332" s="4">
        <f t="shared" si="629"/>
        <v>0</v>
      </c>
      <c r="AA332" s="4">
        <f t="shared" si="630"/>
        <v>0</v>
      </c>
      <c r="AB332" s="4">
        <f t="shared" si="631"/>
        <v>0</v>
      </c>
      <c r="AC332" s="4"/>
      <c r="AD332" s="4" t="b">
        <f t="shared" si="632"/>
        <v>0</v>
      </c>
      <c r="AE332" s="4" t="b">
        <f t="shared" si="633"/>
        <v>0</v>
      </c>
      <c r="AF332" s="4" t="b">
        <f t="shared" si="634"/>
        <v>0</v>
      </c>
      <c r="AG332" t="b">
        <f t="shared" si="635"/>
        <v>0</v>
      </c>
      <c r="AH332" t="b">
        <f t="shared" si="636"/>
        <v>0</v>
      </c>
      <c r="AI332" t="b">
        <f t="shared" si="637"/>
        <v>0</v>
      </c>
      <c r="AJ332" t="b">
        <f t="shared" si="638"/>
        <v>0</v>
      </c>
      <c r="AK332" t="b">
        <f t="shared" si="639"/>
        <v>0</v>
      </c>
      <c r="AL332" t="b">
        <f t="shared" si="640"/>
        <v>0</v>
      </c>
      <c r="AM332" t="b">
        <f t="shared" si="641"/>
        <v>0</v>
      </c>
      <c r="AN332" t="b">
        <f t="shared" si="642"/>
        <v>0</v>
      </c>
      <c r="AO332" t="b">
        <f t="shared" si="643"/>
        <v>0</v>
      </c>
      <c r="AP332" t="b">
        <f t="shared" si="644"/>
        <v>0</v>
      </c>
      <c r="AQ332" t="b">
        <f t="shared" si="645"/>
        <v>0</v>
      </c>
      <c r="AR332" t="b">
        <f t="shared" si="646"/>
        <v>0</v>
      </c>
      <c r="AS332" t="b">
        <f t="shared" si="647"/>
        <v>0</v>
      </c>
      <c r="AT332" t="b">
        <f t="shared" si="648"/>
        <v>0</v>
      </c>
      <c r="AU332" t="b">
        <f t="shared" si="649"/>
        <v>0</v>
      </c>
      <c r="AV332" t="b">
        <f t="shared" si="650"/>
        <v>0</v>
      </c>
      <c r="AW332" t="b">
        <f t="shared" si="651"/>
        <v>0</v>
      </c>
      <c r="AX332" t="b">
        <f t="shared" si="653"/>
        <v>0</v>
      </c>
      <c r="AY332" t="b">
        <f t="shared" si="654"/>
        <v>0</v>
      </c>
      <c r="AZ332" t="b">
        <f t="shared" si="655"/>
        <v>0</v>
      </c>
      <c r="BA332" t="b">
        <f t="shared" si="656"/>
        <v>0</v>
      </c>
      <c r="BB332" t="b">
        <f t="shared" si="657"/>
        <v>0</v>
      </c>
      <c r="BC332" t="b">
        <f t="shared" si="658"/>
        <v>0</v>
      </c>
      <c r="BD332" t="b">
        <f t="shared" si="659"/>
        <v>0</v>
      </c>
      <c r="BE332" t="b">
        <f t="shared" si="660"/>
        <v>0</v>
      </c>
      <c r="BF332" t="b">
        <f t="shared" si="661"/>
        <v>0</v>
      </c>
      <c r="BG332" t="b">
        <f t="shared" si="662"/>
        <v>0</v>
      </c>
      <c r="BH332" t="b">
        <f t="shared" si="663"/>
        <v>0</v>
      </c>
      <c r="BI332">
        <f t="shared" si="664"/>
        <v>1</v>
      </c>
      <c r="BJ332" t="b">
        <f t="shared" si="665"/>
        <v>0</v>
      </c>
      <c r="BK332" t="b">
        <f t="shared" si="666"/>
        <v>0</v>
      </c>
      <c r="BL332" t="b">
        <f t="shared" si="667"/>
        <v>0</v>
      </c>
      <c r="BM332" t="b">
        <f t="shared" si="668"/>
        <v>0</v>
      </c>
      <c r="BN332" t="b">
        <f t="shared" si="669"/>
        <v>0</v>
      </c>
      <c r="BO332" t="b">
        <f t="shared" si="670"/>
        <v>0</v>
      </c>
      <c r="BP332" t="b">
        <f t="shared" si="671"/>
        <v>0</v>
      </c>
      <c r="BQ332" t="b">
        <f t="shared" si="672"/>
        <v>0</v>
      </c>
      <c r="BR332" t="b">
        <f t="shared" si="673"/>
        <v>0</v>
      </c>
      <c r="BS332" t="b">
        <f t="shared" si="674"/>
        <v>0</v>
      </c>
      <c r="BT332" t="b">
        <f t="shared" si="675"/>
        <v>0</v>
      </c>
      <c r="BU332" t="b">
        <f t="shared" si="676"/>
        <v>0</v>
      </c>
      <c r="BV332" t="b">
        <f t="shared" si="677"/>
        <v>0</v>
      </c>
      <c r="BW332" t="b">
        <f t="shared" si="678"/>
        <v>0</v>
      </c>
      <c r="BX332" t="b">
        <f t="shared" si="679"/>
        <v>0</v>
      </c>
      <c r="BY332" t="b">
        <f t="shared" si="680"/>
        <v>0</v>
      </c>
      <c r="BZ332" t="b">
        <f t="shared" si="681"/>
        <v>0</v>
      </c>
      <c r="CA332" t="b">
        <f t="shared" si="682"/>
        <v>0</v>
      </c>
      <c r="CB332" t="b">
        <f t="shared" si="683"/>
        <v>0</v>
      </c>
      <c r="CC332" t="b">
        <f t="shared" si="684"/>
        <v>0</v>
      </c>
      <c r="CD332" t="b">
        <f t="shared" si="685"/>
        <v>0</v>
      </c>
      <c r="CE332" t="b">
        <f t="shared" si="686"/>
        <v>0</v>
      </c>
      <c r="CF332" t="b">
        <f t="shared" si="687"/>
        <v>0</v>
      </c>
      <c r="CG332" t="b">
        <f t="shared" si="688"/>
        <v>0</v>
      </c>
      <c r="CH332" t="b">
        <f t="shared" si="689"/>
        <v>0</v>
      </c>
      <c r="CI332" t="b">
        <f t="shared" si="690"/>
        <v>0</v>
      </c>
      <c r="CJ332" t="b">
        <f t="shared" si="691"/>
        <v>0</v>
      </c>
      <c r="CK332" t="b">
        <f t="shared" si="692"/>
        <v>0</v>
      </c>
      <c r="CL332" t="b">
        <f t="shared" si="693"/>
        <v>0</v>
      </c>
      <c r="CM332" t="b">
        <f t="shared" si="694"/>
        <v>0</v>
      </c>
      <c r="CN332" t="b">
        <f t="shared" si="695"/>
        <v>0</v>
      </c>
      <c r="CO332" t="b">
        <f t="shared" si="696"/>
        <v>0</v>
      </c>
      <c r="CP332" t="b">
        <f t="shared" si="697"/>
        <v>0</v>
      </c>
      <c r="CQ332" t="b">
        <f t="shared" si="698"/>
        <v>0</v>
      </c>
      <c r="CR332" t="b">
        <f t="shared" si="699"/>
        <v>0</v>
      </c>
      <c r="CS332" t="b">
        <f t="shared" si="700"/>
        <v>0</v>
      </c>
      <c r="CT332" t="b">
        <f t="shared" si="701"/>
        <v>0</v>
      </c>
      <c r="CU332" t="b">
        <f t="shared" si="702"/>
        <v>0</v>
      </c>
      <c r="CV332">
        <f t="shared" si="703"/>
        <v>1</v>
      </c>
      <c r="CW332" t="b">
        <f t="shared" si="704"/>
        <v>0</v>
      </c>
      <c r="CX332" t="b">
        <f t="shared" si="705"/>
        <v>0</v>
      </c>
      <c r="CY332" t="b">
        <f t="shared" si="706"/>
        <v>0</v>
      </c>
      <c r="CZ332" t="b">
        <f t="shared" si="707"/>
        <v>0</v>
      </c>
      <c r="DA332" t="b">
        <f t="shared" si="708"/>
        <v>0</v>
      </c>
      <c r="DB332" t="b">
        <f t="shared" si="709"/>
        <v>0</v>
      </c>
      <c r="DC332" t="b">
        <f t="shared" si="710"/>
        <v>0</v>
      </c>
      <c r="DD332" t="b">
        <f t="shared" si="711"/>
        <v>0</v>
      </c>
      <c r="DE332" t="b">
        <f t="shared" si="712"/>
        <v>0</v>
      </c>
      <c r="DF332" t="b">
        <f t="shared" si="713"/>
        <v>0</v>
      </c>
      <c r="DG332" t="b">
        <f t="shared" si="714"/>
        <v>0</v>
      </c>
      <c r="DH332" t="b">
        <f t="shared" si="715"/>
        <v>0</v>
      </c>
      <c r="DI332" t="b">
        <f t="shared" si="716"/>
        <v>0</v>
      </c>
      <c r="DJ332" t="b">
        <f t="shared" si="717"/>
        <v>0</v>
      </c>
      <c r="DK332" t="b">
        <f t="shared" si="718"/>
        <v>0</v>
      </c>
      <c r="DL332" t="b">
        <f t="shared" si="719"/>
        <v>0</v>
      </c>
      <c r="DM332" t="b">
        <f t="shared" si="720"/>
        <v>0</v>
      </c>
      <c r="DN332" t="b">
        <f t="shared" si="721"/>
        <v>0</v>
      </c>
      <c r="DO332" t="b">
        <f t="shared" si="722"/>
        <v>0</v>
      </c>
      <c r="DP332" t="b">
        <f t="shared" si="723"/>
        <v>0</v>
      </c>
      <c r="DQ332" t="b">
        <f t="shared" si="724"/>
        <v>0</v>
      </c>
      <c r="DR332" t="b">
        <f t="shared" si="725"/>
        <v>0</v>
      </c>
      <c r="DS332" t="b">
        <f t="shared" si="726"/>
        <v>0</v>
      </c>
      <c r="DT332" t="b">
        <f t="shared" si="727"/>
        <v>0</v>
      </c>
      <c r="DU332" t="b">
        <f t="shared" si="728"/>
        <v>0</v>
      </c>
      <c r="DV332" t="b">
        <f t="shared" si="729"/>
        <v>0</v>
      </c>
      <c r="DW332" t="b">
        <f t="shared" si="730"/>
        <v>0</v>
      </c>
      <c r="DX332" t="b">
        <f t="shared" si="731"/>
        <v>0</v>
      </c>
      <c r="DY332" t="b">
        <f t="shared" si="732"/>
        <v>0</v>
      </c>
      <c r="DZ332" t="b">
        <f t="shared" si="733"/>
        <v>0</v>
      </c>
      <c r="EA332" t="b">
        <f t="shared" si="734"/>
        <v>0</v>
      </c>
      <c r="EB332" t="b">
        <f t="shared" si="735"/>
        <v>0</v>
      </c>
      <c r="EC332" t="b">
        <f t="shared" si="736"/>
        <v>0</v>
      </c>
      <c r="ED332" t="b">
        <f t="shared" si="737"/>
        <v>0</v>
      </c>
      <c r="EE332" t="b">
        <f t="shared" si="738"/>
        <v>0</v>
      </c>
      <c r="EF332">
        <f t="shared" si="739"/>
        <v>1</v>
      </c>
      <c r="EG332" t="b">
        <f t="shared" si="740"/>
        <v>0</v>
      </c>
      <c r="EH332" t="b">
        <f t="shared" si="741"/>
        <v>0</v>
      </c>
      <c r="EI332" t="b">
        <f t="shared" si="742"/>
        <v>0</v>
      </c>
      <c r="EJ332" t="b">
        <f t="shared" si="743"/>
        <v>0</v>
      </c>
      <c r="EK332" t="b">
        <f t="shared" si="744"/>
        <v>0</v>
      </c>
    </row>
    <row r="333" spans="1:141">
      <c r="A333" t="s">
        <v>1739</v>
      </c>
      <c r="B333" t="s">
        <v>1739</v>
      </c>
      <c r="C333" t="s">
        <v>1740</v>
      </c>
      <c r="D333" s="1">
        <v>43233</v>
      </c>
      <c r="E333" s="2">
        <v>44871.123877314814</v>
      </c>
      <c r="F333" s="2">
        <v>44871.123877314814</v>
      </c>
      <c r="G333">
        <v>398011</v>
      </c>
      <c r="H333" t="s">
        <v>1741</v>
      </c>
      <c r="I333" s="10" t="s">
        <v>1742</v>
      </c>
      <c r="J333" t="s">
        <v>925</v>
      </c>
      <c r="K333" s="8" t="b">
        <v>1</v>
      </c>
      <c r="L333" s="10" t="b">
        <v>0</v>
      </c>
      <c r="M333" s="12" t="b">
        <v>0</v>
      </c>
      <c r="N333" t="b">
        <v>0</v>
      </c>
      <c r="O333" t="b">
        <v>0</v>
      </c>
      <c r="P333" t="b">
        <v>0</v>
      </c>
      <c r="Q333">
        <f t="shared" si="621"/>
        <v>1</v>
      </c>
      <c r="R333">
        <f t="shared" si="622"/>
        <v>5</v>
      </c>
      <c r="S333" t="e">
        <f t="shared" ca="1" si="652"/>
        <v>#NAME?</v>
      </c>
      <c r="T333" t="e">
        <f t="shared" ca="1" si="623"/>
        <v>#NAME?</v>
      </c>
      <c r="U333" s="4">
        <f t="shared" si="624"/>
        <v>1638.1238773148143</v>
      </c>
      <c r="V333" s="4">
        <f t="shared" si="625"/>
        <v>54.604129243827146</v>
      </c>
      <c r="W333" s="4">
        <f t="shared" si="626"/>
        <v>1</v>
      </c>
      <c r="X333" s="4">
        <f t="shared" si="627"/>
        <v>0</v>
      </c>
      <c r="Y333" s="4">
        <f t="shared" si="628"/>
        <v>0</v>
      </c>
      <c r="Z333" s="4">
        <f t="shared" si="629"/>
        <v>0</v>
      </c>
      <c r="AA333" s="4">
        <f t="shared" si="630"/>
        <v>0</v>
      </c>
      <c r="AB333" s="4">
        <f t="shared" si="631"/>
        <v>0</v>
      </c>
      <c r="AC333" s="4"/>
      <c r="AD333" s="4" t="b">
        <f t="shared" si="632"/>
        <v>0</v>
      </c>
      <c r="AE333" s="4" t="b">
        <f t="shared" si="633"/>
        <v>0</v>
      </c>
      <c r="AF333" s="4" t="b">
        <f t="shared" si="634"/>
        <v>0</v>
      </c>
      <c r="AG333" t="b">
        <f t="shared" si="635"/>
        <v>0</v>
      </c>
      <c r="AH333" t="b">
        <f t="shared" si="636"/>
        <v>0</v>
      </c>
      <c r="AI333" t="b">
        <f t="shared" si="637"/>
        <v>0</v>
      </c>
      <c r="AJ333" t="b">
        <f t="shared" si="638"/>
        <v>0</v>
      </c>
      <c r="AK333" t="b">
        <f t="shared" si="639"/>
        <v>0</v>
      </c>
      <c r="AL333" t="b">
        <f t="shared" si="640"/>
        <v>0</v>
      </c>
      <c r="AM333" t="b">
        <f t="shared" si="641"/>
        <v>0</v>
      </c>
      <c r="AN333" t="b">
        <f t="shared" si="642"/>
        <v>0</v>
      </c>
      <c r="AO333" t="b">
        <f t="shared" si="643"/>
        <v>0</v>
      </c>
      <c r="AP333" t="b">
        <f t="shared" si="644"/>
        <v>0</v>
      </c>
      <c r="AQ333" t="b">
        <f t="shared" si="645"/>
        <v>0</v>
      </c>
      <c r="AR333" t="b">
        <f t="shared" si="646"/>
        <v>0</v>
      </c>
      <c r="AS333" t="b">
        <f t="shared" si="647"/>
        <v>0</v>
      </c>
      <c r="AT333" t="b">
        <f t="shared" si="648"/>
        <v>0</v>
      </c>
      <c r="AU333" t="b">
        <f t="shared" si="649"/>
        <v>0</v>
      </c>
      <c r="AV333" t="b">
        <f t="shared" si="650"/>
        <v>0</v>
      </c>
      <c r="AW333" t="b">
        <f t="shared" si="651"/>
        <v>0</v>
      </c>
      <c r="AX333" t="b">
        <f t="shared" si="653"/>
        <v>0</v>
      </c>
      <c r="AY333" t="b">
        <f t="shared" si="654"/>
        <v>0</v>
      </c>
      <c r="AZ333" t="b">
        <f t="shared" si="655"/>
        <v>0</v>
      </c>
      <c r="BA333" t="b">
        <f t="shared" si="656"/>
        <v>0</v>
      </c>
      <c r="BB333" t="b">
        <f t="shared" si="657"/>
        <v>0</v>
      </c>
      <c r="BC333" t="b">
        <f t="shared" si="658"/>
        <v>0</v>
      </c>
      <c r="BD333" t="b">
        <f t="shared" si="659"/>
        <v>0</v>
      </c>
      <c r="BE333" t="b">
        <f t="shared" si="660"/>
        <v>0</v>
      </c>
      <c r="BF333" t="b">
        <f t="shared" si="661"/>
        <v>0</v>
      </c>
      <c r="BG333" t="b">
        <f t="shared" si="662"/>
        <v>0</v>
      </c>
      <c r="BH333" t="b">
        <f t="shared" si="663"/>
        <v>0</v>
      </c>
      <c r="BI333">
        <f t="shared" si="664"/>
        <v>1</v>
      </c>
      <c r="BJ333" t="b">
        <f t="shared" si="665"/>
        <v>0</v>
      </c>
      <c r="BK333" t="b">
        <f t="shared" si="666"/>
        <v>0</v>
      </c>
      <c r="BL333" t="b">
        <f t="shared" si="667"/>
        <v>0</v>
      </c>
      <c r="BM333" t="b">
        <f t="shared" si="668"/>
        <v>0</v>
      </c>
      <c r="BN333" t="b">
        <f t="shared" si="669"/>
        <v>0</v>
      </c>
      <c r="BO333" t="b">
        <f t="shared" si="670"/>
        <v>0</v>
      </c>
      <c r="BP333" t="b">
        <f t="shared" si="671"/>
        <v>0</v>
      </c>
      <c r="BQ333" t="b">
        <f t="shared" si="672"/>
        <v>0</v>
      </c>
      <c r="BR333" t="b">
        <f t="shared" si="673"/>
        <v>0</v>
      </c>
      <c r="BS333" t="b">
        <f t="shared" si="674"/>
        <v>0</v>
      </c>
      <c r="BT333" t="b">
        <f t="shared" si="675"/>
        <v>0</v>
      </c>
      <c r="BU333" t="b">
        <f t="shared" si="676"/>
        <v>0</v>
      </c>
      <c r="BV333" t="b">
        <f t="shared" si="677"/>
        <v>0</v>
      </c>
      <c r="BW333" t="b">
        <f t="shared" si="678"/>
        <v>0</v>
      </c>
      <c r="BX333" t="b">
        <f t="shared" si="679"/>
        <v>0</v>
      </c>
      <c r="BY333" t="b">
        <f t="shared" si="680"/>
        <v>0</v>
      </c>
      <c r="BZ333" t="b">
        <f t="shared" si="681"/>
        <v>0</v>
      </c>
      <c r="CA333" t="b">
        <f t="shared" si="682"/>
        <v>0</v>
      </c>
      <c r="CB333" t="b">
        <f t="shared" si="683"/>
        <v>0</v>
      </c>
      <c r="CC333" t="b">
        <f t="shared" si="684"/>
        <v>0</v>
      </c>
      <c r="CD333" t="b">
        <f t="shared" si="685"/>
        <v>0</v>
      </c>
      <c r="CE333" t="b">
        <f t="shared" si="686"/>
        <v>0</v>
      </c>
      <c r="CF333" t="b">
        <f t="shared" si="687"/>
        <v>0</v>
      </c>
      <c r="CG333" t="b">
        <f t="shared" si="688"/>
        <v>0</v>
      </c>
      <c r="CH333" t="b">
        <f t="shared" si="689"/>
        <v>0</v>
      </c>
      <c r="CI333" t="b">
        <f t="shared" si="690"/>
        <v>0</v>
      </c>
      <c r="CJ333" t="b">
        <f t="shared" si="691"/>
        <v>0</v>
      </c>
      <c r="CK333" t="b">
        <f t="shared" si="692"/>
        <v>0</v>
      </c>
      <c r="CL333" t="b">
        <f t="shared" si="693"/>
        <v>0</v>
      </c>
      <c r="CM333" t="b">
        <f t="shared" si="694"/>
        <v>0</v>
      </c>
      <c r="CN333" t="b">
        <f t="shared" si="695"/>
        <v>0</v>
      </c>
      <c r="CO333" t="b">
        <f t="shared" si="696"/>
        <v>0</v>
      </c>
      <c r="CP333" t="b">
        <f t="shared" si="697"/>
        <v>0</v>
      </c>
      <c r="CQ333" t="b">
        <f t="shared" si="698"/>
        <v>0</v>
      </c>
      <c r="CR333" t="b">
        <f t="shared" si="699"/>
        <v>0</v>
      </c>
      <c r="CS333" t="b">
        <f t="shared" si="700"/>
        <v>0</v>
      </c>
      <c r="CT333" t="b">
        <f t="shared" si="701"/>
        <v>0</v>
      </c>
      <c r="CU333" t="b">
        <f t="shared" si="702"/>
        <v>0</v>
      </c>
      <c r="CV333" t="b">
        <f t="shared" si="703"/>
        <v>0</v>
      </c>
      <c r="CW333" t="b">
        <f t="shared" si="704"/>
        <v>0</v>
      </c>
      <c r="CX333" t="b">
        <f t="shared" si="705"/>
        <v>0</v>
      </c>
      <c r="CY333" t="b">
        <f t="shared" si="706"/>
        <v>0</v>
      </c>
      <c r="CZ333" t="b">
        <f t="shared" si="707"/>
        <v>0</v>
      </c>
      <c r="DA333" t="b">
        <f t="shared" si="708"/>
        <v>0</v>
      </c>
      <c r="DB333" t="b">
        <f t="shared" si="709"/>
        <v>0</v>
      </c>
      <c r="DC333" t="b">
        <f t="shared" si="710"/>
        <v>0</v>
      </c>
      <c r="DD333" t="b">
        <f t="shared" si="711"/>
        <v>0</v>
      </c>
      <c r="DE333" t="b">
        <f t="shared" si="712"/>
        <v>0</v>
      </c>
      <c r="DF333" t="b">
        <f t="shared" si="713"/>
        <v>0</v>
      </c>
      <c r="DG333" t="b">
        <f t="shared" si="714"/>
        <v>0</v>
      </c>
      <c r="DH333" t="b">
        <f t="shared" si="715"/>
        <v>0</v>
      </c>
      <c r="DI333" t="b">
        <f t="shared" si="716"/>
        <v>0</v>
      </c>
      <c r="DJ333" t="b">
        <f t="shared" si="717"/>
        <v>0</v>
      </c>
      <c r="DK333" t="b">
        <f t="shared" si="718"/>
        <v>0</v>
      </c>
      <c r="DL333" t="b">
        <f t="shared" si="719"/>
        <v>0</v>
      </c>
      <c r="DM333" t="b">
        <f t="shared" si="720"/>
        <v>0</v>
      </c>
      <c r="DN333" t="b">
        <f t="shared" si="721"/>
        <v>0</v>
      </c>
      <c r="DO333" t="b">
        <f t="shared" si="722"/>
        <v>0</v>
      </c>
      <c r="DP333" t="b">
        <f t="shared" si="723"/>
        <v>0</v>
      </c>
      <c r="DQ333" t="b">
        <f t="shared" si="724"/>
        <v>0</v>
      </c>
      <c r="DR333" t="b">
        <f t="shared" si="725"/>
        <v>0</v>
      </c>
      <c r="DS333" t="b">
        <f t="shared" si="726"/>
        <v>0</v>
      </c>
      <c r="DT333" t="b">
        <f t="shared" si="727"/>
        <v>0</v>
      </c>
      <c r="DU333" t="b">
        <f t="shared" si="728"/>
        <v>0</v>
      </c>
      <c r="DV333" t="b">
        <f t="shared" si="729"/>
        <v>0</v>
      </c>
      <c r="DW333" t="b">
        <f t="shared" si="730"/>
        <v>0</v>
      </c>
      <c r="DX333" t="b">
        <f t="shared" si="731"/>
        <v>0</v>
      </c>
      <c r="DY333" t="b">
        <f t="shared" si="732"/>
        <v>0</v>
      </c>
      <c r="DZ333" t="b">
        <f t="shared" si="733"/>
        <v>0</v>
      </c>
      <c r="EA333" t="b">
        <f t="shared" si="734"/>
        <v>0</v>
      </c>
      <c r="EB333" t="b">
        <f t="shared" si="735"/>
        <v>0</v>
      </c>
      <c r="EC333" t="b">
        <f t="shared" si="736"/>
        <v>0</v>
      </c>
      <c r="ED333" t="b">
        <f t="shared" si="737"/>
        <v>0</v>
      </c>
      <c r="EE333" t="b">
        <f t="shared" si="738"/>
        <v>0</v>
      </c>
      <c r="EF333">
        <f t="shared" si="739"/>
        <v>1</v>
      </c>
      <c r="EG333" t="b">
        <f t="shared" si="740"/>
        <v>0</v>
      </c>
      <c r="EH333" t="b">
        <f t="shared" si="741"/>
        <v>0</v>
      </c>
      <c r="EI333" t="b">
        <f t="shared" si="742"/>
        <v>0</v>
      </c>
      <c r="EJ333" t="b">
        <f t="shared" si="743"/>
        <v>0</v>
      </c>
      <c r="EK333" t="b">
        <f t="shared" si="744"/>
        <v>0</v>
      </c>
    </row>
    <row r="334" spans="1:141">
      <c r="A334" t="s">
        <v>1743</v>
      </c>
      <c r="B334" t="s">
        <v>1743</v>
      </c>
      <c r="C334" t="s">
        <v>1744</v>
      </c>
      <c r="D334" s="1">
        <v>41145</v>
      </c>
      <c r="E334" s="2">
        <v>42682.377592592595</v>
      </c>
      <c r="F334" s="2">
        <v>42682.377592592595</v>
      </c>
      <c r="G334">
        <v>1074948</v>
      </c>
      <c r="H334" t="s">
        <v>1745</v>
      </c>
      <c r="I334" s="10" t="s">
        <v>1746</v>
      </c>
      <c r="J334" t="s">
        <v>1747</v>
      </c>
      <c r="K334" s="8" t="b">
        <v>1</v>
      </c>
      <c r="L334" s="10" t="b">
        <v>0</v>
      </c>
      <c r="M334" s="12" t="b">
        <v>0</v>
      </c>
      <c r="N334" t="b">
        <v>0</v>
      </c>
      <c r="O334" t="b">
        <v>0</v>
      </c>
      <c r="P334" t="b">
        <v>0</v>
      </c>
      <c r="Q334">
        <f t="shared" si="621"/>
        <v>6</v>
      </c>
      <c r="R334">
        <f t="shared" si="622"/>
        <v>8</v>
      </c>
      <c r="S334" t="e">
        <f t="shared" ca="1" si="652"/>
        <v>#NAME?</v>
      </c>
      <c r="T334" t="e">
        <f t="shared" ca="1" si="623"/>
        <v>#NAME?</v>
      </c>
      <c r="U334" s="4">
        <f t="shared" si="624"/>
        <v>1537.3775925925947</v>
      </c>
      <c r="V334" s="4">
        <f t="shared" si="625"/>
        <v>51.24591975308649</v>
      </c>
      <c r="W334" s="4">
        <f t="shared" si="626"/>
        <v>1</v>
      </c>
      <c r="X334" s="4">
        <f t="shared" si="627"/>
        <v>0</v>
      </c>
      <c r="Y334" s="4">
        <f t="shared" si="628"/>
        <v>0</v>
      </c>
      <c r="Z334" s="4">
        <f t="shared" si="629"/>
        <v>0</v>
      </c>
      <c r="AA334" s="4">
        <f t="shared" si="630"/>
        <v>0</v>
      </c>
      <c r="AB334" s="4">
        <f t="shared" si="631"/>
        <v>0</v>
      </c>
      <c r="AC334" s="4"/>
      <c r="AD334" s="4" t="b">
        <f t="shared" si="632"/>
        <v>0</v>
      </c>
      <c r="AE334" s="4" t="b">
        <f t="shared" si="633"/>
        <v>0</v>
      </c>
      <c r="AF334" s="4" t="b">
        <f t="shared" si="634"/>
        <v>0</v>
      </c>
      <c r="AG334" t="b">
        <f t="shared" si="635"/>
        <v>0</v>
      </c>
      <c r="AH334" t="b">
        <f t="shared" si="636"/>
        <v>0</v>
      </c>
      <c r="AI334" t="b">
        <f t="shared" si="637"/>
        <v>0</v>
      </c>
      <c r="AJ334" t="b">
        <f t="shared" si="638"/>
        <v>0</v>
      </c>
      <c r="AK334" t="b">
        <f t="shared" si="639"/>
        <v>0</v>
      </c>
      <c r="AL334" t="b">
        <f t="shared" si="640"/>
        <v>0</v>
      </c>
      <c r="AM334" t="b">
        <f t="shared" si="641"/>
        <v>0</v>
      </c>
      <c r="AN334" t="b">
        <f t="shared" si="642"/>
        <v>0</v>
      </c>
      <c r="AO334" t="b">
        <f t="shared" si="643"/>
        <v>0</v>
      </c>
      <c r="AP334" t="b">
        <f t="shared" si="644"/>
        <v>0</v>
      </c>
      <c r="AQ334" t="b">
        <f t="shared" si="645"/>
        <v>0</v>
      </c>
      <c r="AR334" t="b">
        <f t="shared" si="646"/>
        <v>0</v>
      </c>
      <c r="AS334" t="b">
        <f t="shared" si="647"/>
        <v>0</v>
      </c>
      <c r="AT334" t="b">
        <f t="shared" si="648"/>
        <v>0</v>
      </c>
      <c r="AU334" t="b">
        <f t="shared" si="649"/>
        <v>0</v>
      </c>
      <c r="AV334" t="b">
        <f t="shared" si="650"/>
        <v>0</v>
      </c>
      <c r="AW334" t="b">
        <f t="shared" si="651"/>
        <v>0</v>
      </c>
      <c r="AX334" t="b">
        <f t="shared" si="653"/>
        <v>0</v>
      </c>
      <c r="AY334" t="b">
        <f t="shared" si="654"/>
        <v>0</v>
      </c>
      <c r="AZ334">
        <f t="shared" si="655"/>
        <v>1</v>
      </c>
      <c r="BA334" t="b">
        <f t="shared" si="656"/>
        <v>0</v>
      </c>
      <c r="BB334" t="b">
        <f t="shared" si="657"/>
        <v>0</v>
      </c>
      <c r="BC334" t="b">
        <f t="shared" si="658"/>
        <v>0</v>
      </c>
      <c r="BD334" t="b">
        <f t="shared" si="659"/>
        <v>0</v>
      </c>
      <c r="BE334" t="b">
        <f t="shared" si="660"/>
        <v>0</v>
      </c>
      <c r="BF334" t="b">
        <f t="shared" si="661"/>
        <v>0</v>
      </c>
      <c r="BG334" t="b">
        <f t="shared" si="662"/>
        <v>0</v>
      </c>
      <c r="BH334" t="b">
        <f t="shared" si="663"/>
        <v>0</v>
      </c>
      <c r="BI334">
        <f t="shared" si="664"/>
        <v>1</v>
      </c>
      <c r="BJ334" t="b">
        <f t="shared" si="665"/>
        <v>0</v>
      </c>
      <c r="BK334" t="b">
        <f t="shared" si="666"/>
        <v>0</v>
      </c>
      <c r="BL334" t="b">
        <f t="shared" si="667"/>
        <v>0</v>
      </c>
      <c r="BM334" t="b">
        <f t="shared" si="668"/>
        <v>0</v>
      </c>
      <c r="BN334" t="b">
        <f t="shared" si="669"/>
        <v>0</v>
      </c>
      <c r="BO334" t="b">
        <f t="shared" si="670"/>
        <v>0</v>
      </c>
      <c r="BP334" t="b">
        <f t="shared" si="671"/>
        <v>0</v>
      </c>
      <c r="BQ334" t="b">
        <f t="shared" si="672"/>
        <v>0</v>
      </c>
      <c r="BR334" t="b">
        <f t="shared" si="673"/>
        <v>0</v>
      </c>
      <c r="BS334" t="b">
        <f t="shared" si="674"/>
        <v>0</v>
      </c>
      <c r="BT334" t="b">
        <f t="shared" si="675"/>
        <v>0</v>
      </c>
      <c r="BU334" t="b">
        <f t="shared" si="676"/>
        <v>0</v>
      </c>
      <c r="BV334" t="b">
        <f t="shared" si="677"/>
        <v>0</v>
      </c>
      <c r="BW334" t="b">
        <f t="shared" si="678"/>
        <v>0</v>
      </c>
      <c r="BX334" t="b">
        <f t="shared" si="679"/>
        <v>0</v>
      </c>
      <c r="BY334" t="b">
        <f t="shared" si="680"/>
        <v>0</v>
      </c>
      <c r="BZ334" t="b">
        <f t="shared" si="681"/>
        <v>0</v>
      </c>
      <c r="CA334" t="b">
        <f t="shared" si="682"/>
        <v>0</v>
      </c>
      <c r="CB334" t="b">
        <f t="shared" si="683"/>
        <v>0</v>
      </c>
      <c r="CC334" t="b">
        <f t="shared" si="684"/>
        <v>0</v>
      </c>
      <c r="CD334" t="b">
        <f t="shared" si="685"/>
        <v>0</v>
      </c>
      <c r="CE334">
        <f t="shared" si="686"/>
        <v>1</v>
      </c>
      <c r="CF334" t="b">
        <f t="shared" si="687"/>
        <v>0</v>
      </c>
      <c r="CG334" t="b">
        <f t="shared" si="688"/>
        <v>0</v>
      </c>
      <c r="CH334" t="b">
        <f t="shared" si="689"/>
        <v>0</v>
      </c>
      <c r="CI334" t="b">
        <f t="shared" si="690"/>
        <v>0</v>
      </c>
      <c r="CJ334" t="b">
        <f t="shared" si="691"/>
        <v>0</v>
      </c>
      <c r="CK334" t="b">
        <f t="shared" si="692"/>
        <v>0</v>
      </c>
      <c r="CL334" t="b">
        <f t="shared" si="693"/>
        <v>0</v>
      </c>
      <c r="CM334">
        <f t="shared" si="694"/>
        <v>1</v>
      </c>
      <c r="CN334" t="b">
        <f t="shared" si="695"/>
        <v>0</v>
      </c>
      <c r="CO334" t="b">
        <f t="shared" si="696"/>
        <v>0</v>
      </c>
      <c r="CP334" t="b">
        <f t="shared" si="697"/>
        <v>0</v>
      </c>
      <c r="CQ334" t="b">
        <f t="shared" si="698"/>
        <v>0</v>
      </c>
      <c r="CR334" t="b">
        <f t="shared" si="699"/>
        <v>0</v>
      </c>
      <c r="CS334" t="b">
        <f t="shared" si="700"/>
        <v>0</v>
      </c>
      <c r="CT334" t="b">
        <f t="shared" si="701"/>
        <v>0</v>
      </c>
      <c r="CU334" t="b">
        <f t="shared" si="702"/>
        <v>0</v>
      </c>
      <c r="CV334">
        <f t="shared" si="703"/>
        <v>1</v>
      </c>
      <c r="CW334" t="b">
        <f t="shared" si="704"/>
        <v>0</v>
      </c>
      <c r="CX334" t="b">
        <f t="shared" si="705"/>
        <v>0</v>
      </c>
      <c r="CY334" t="b">
        <f t="shared" si="706"/>
        <v>0</v>
      </c>
      <c r="CZ334" t="b">
        <f t="shared" si="707"/>
        <v>0</v>
      </c>
      <c r="DA334" t="b">
        <f t="shared" si="708"/>
        <v>0</v>
      </c>
      <c r="DB334" t="b">
        <f t="shared" si="709"/>
        <v>0</v>
      </c>
      <c r="DC334" t="b">
        <f t="shared" si="710"/>
        <v>0</v>
      </c>
      <c r="DD334" t="b">
        <f t="shared" si="711"/>
        <v>0</v>
      </c>
      <c r="DE334" t="b">
        <f t="shared" si="712"/>
        <v>0</v>
      </c>
      <c r="DF334" t="b">
        <f t="shared" si="713"/>
        <v>0</v>
      </c>
      <c r="DG334" t="b">
        <f t="shared" si="714"/>
        <v>0</v>
      </c>
      <c r="DH334" t="b">
        <f t="shared" si="715"/>
        <v>0</v>
      </c>
      <c r="DI334" t="b">
        <f t="shared" si="716"/>
        <v>0</v>
      </c>
      <c r="DJ334" t="b">
        <f t="shared" si="717"/>
        <v>0</v>
      </c>
      <c r="DK334" t="b">
        <f t="shared" si="718"/>
        <v>0</v>
      </c>
      <c r="DL334" t="b">
        <f t="shared" si="719"/>
        <v>0</v>
      </c>
      <c r="DM334" t="b">
        <f t="shared" si="720"/>
        <v>0</v>
      </c>
      <c r="DN334" t="b">
        <f t="shared" si="721"/>
        <v>0</v>
      </c>
      <c r="DO334" t="b">
        <f t="shared" si="722"/>
        <v>0</v>
      </c>
      <c r="DP334" t="b">
        <f t="shared" si="723"/>
        <v>0</v>
      </c>
      <c r="DQ334" t="b">
        <f t="shared" si="724"/>
        <v>0</v>
      </c>
      <c r="DR334" t="b">
        <f t="shared" si="725"/>
        <v>0</v>
      </c>
      <c r="DS334" t="b">
        <f t="shared" si="726"/>
        <v>0</v>
      </c>
      <c r="DT334" t="b">
        <f t="shared" si="727"/>
        <v>0</v>
      </c>
      <c r="DU334" t="b">
        <f t="shared" si="728"/>
        <v>0</v>
      </c>
      <c r="DV334" t="b">
        <f t="shared" si="729"/>
        <v>0</v>
      </c>
      <c r="DW334" t="b">
        <f t="shared" si="730"/>
        <v>0</v>
      </c>
      <c r="DX334" t="b">
        <f t="shared" si="731"/>
        <v>0</v>
      </c>
      <c r="DY334" t="b">
        <f t="shared" si="732"/>
        <v>0</v>
      </c>
      <c r="DZ334" t="b">
        <f t="shared" si="733"/>
        <v>0</v>
      </c>
      <c r="EA334" t="b">
        <f t="shared" si="734"/>
        <v>0</v>
      </c>
      <c r="EB334" t="b">
        <f t="shared" si="735"/>
        <v>0</v>
      </c>
      <c r="EC334" t="b">
        <f t="shared" si="736"/>
        <v>0</v>
      </c>
      <c r="ED334" t="b">
        <f t="shared" si="737"/>
        <v>0</v>
      </c>
      <c r="EE334" t="b">
        <f t="shared" si="738"/>
        <v>0</v>
      </c>
      <c r="EF334">
        <f t="shared" si="739"/>
        <v>1</v>
      </c>
      <c r="EG334" t="b">
        <f t="shared" si="740"/>
        <v>0</v>
      </c>
      <c r="EH334" t="b">
        <f t="shared" si="741"/>
        <v>0</v>
      </c>
      <c r="EI334">
        <f t="shared" si="742"/>
        <v>1</v>
      </c>
      <c r="EJ334" t="b">
        <f t="shared" si="743"/>
        <v>0</v>
      </c>
      <c r="EK334" t="b">
        <f t="shared" si="744"/>
        <v>0</v>
      </c>
    </row>
    <row r="335" spans="1:141">
      <c r="A335" t="s">
        <v>1748</v>
      </c>
      <c r="B335" t="s">
        <v>1749</v>
      </c>
      <c r="C335" t="s">
        <v>1750</v>
      </c>
      <c r="D335" s="1">
        <v>41487</v>
      </c>
      <c r="E335" s="2">
        <v>42441.53197916667</v>
      </c>
      <c r="F335" s="2">
        <v>42441.53197916667</v>
      </c>
      <c r="G335">
        <v>1141278</v>
      </c>
      <c r="H335" t="s">
        <v>1751</v>
      </c>
      <c r="I335" s="10" t="s">
        <v>1752</v>
      </c>
      <c r="J335" t="s">
        <v>985</v>
      </c>
      <c r="K335" s="8" t="b">
        <v>1</v>
      </c>
      <c r="L335" s="10" t="b">
        <v>0</v>
      </c>
      <c r="M335" s="12" t="b">
        <v>0</v>
      </c>
      <c r="N335" t="b">
        <v>0</v>
      </c>
      <c r="O335" t="b">
        <v>0</v>
      </c>
      <c r="P335" t="b">
        <v>0</v>
      </c>
      <c r="Q335">
        <f t="shared" si="621"/>
        <v>5</v>
      </c>
      <c r="R335">
        <f t="shared" si="622"/>
        <v>8</v>
      </c>
      <c r="S335" t="e">
        <f t="shared" ca="1" si="652"/>
        <v>#NAME?</v>
      </c>
      <c r="T335" t="e">
        <f t="shared" ca="1" si="623"/>
        <v>#NAME?</v>
      </c>
      <c r="U335" s="4">
        <f t="shared" si="624"/>
        <v>954.53197916666977</v>
      </c>
      <c r="V335" s="4">
        <f t="shared" si="625"/>
        <v>31.817732638888991</v>
      </c>
      <c r="W335" s="4">
        <f t="shared" si="626"/>
        <v>1</v>
      </c>
      <c r="X335" s="4">
        <f t="shared" si="627"/>
        <v>0</v>
      </c>
      <c r="Y335" s="4">
        <f t="shared" si="628"/>
        <v>0</v>
      </c>
      <c r="Z335" s="4">
        <f t="shared" si="629"/>
        <v>0</v>
      </c>
      <c r="AA335" s="4">
        <f t="shared" si="630"/>
        <v>0</v>
      </c>
      <c r="AB335" s="4">
        <f t="shared" si="631"/>
        <v>0</v>
      </c>
      <c r="AC335" s="4"/>
      <c r="AD335" s="4" t="b">
        <f t="shared" si="632"/>
        <v>0</v>
      </c>
      <c r="AE335" s="4" t="b">
        <f t="shared" si="633"/>
        <v>0</v>
      </c>
      <c r="AF335" s="4" t="b">
        <f t="shared" si="634"/>
        <v>0</v>
      </c>
      <c r="AG335" t="b">
        <f t="shared" si="635"/>
        <v>0</v>
      </c>
      <c r="AH335" t="b">
        <f t="shared" si="636"/>
        <v>0</v>
      </c>
      <c r="AI335" t="b">
        <f t="shared" si="637"/>
        <v>0</v>
      </c>
      <c r="AJ335" t="b">
        <f t="shared" si="638"/>
        <v>0</v>
      </c>
      <c r="AK335" t="b">
        <f t="shared" si="639"/>
        <v>0</v>
      </c>
      <c r="AL335" t="b">
        <f t="shared" si="640"/>
        <v>0</v>
      </c>
      <c r="AM335" t="b">
        <f t="shared" si="641"/>
        <v>0</v>
      </c>
      <c r="AN335" t="b">
        <f t="shared" si="642"/>
        <v>0</v>
      </c>
      <c r="AO335" t="b">
        <f t="shared" si="643"/>
        <v>0</v>
      </c>
      <c r="AP335" t="b">
        <f t="shared" si="644"/>
        <v>0</v>
      </c>
      <c r="AQ335" t="b">
        <f t="shared" si="645"/>
        <v>0</v>
      </c>
      <c r="AR335" t="b">
        <f t="shared" si="646"/>
        <v>0</v>
      </c>
      <c r="AS335" t="b">
        <f t="shared" si="647"/>
        <v>0</v>
      </c>
      <c r="AT335" t="b">
        <f t="shared" si="648"/>
        <v>0</v>
      </c>
      <c r="AU335" t="b">
        <f t="shared" si="649"/>
        <v>0</v>
      </c>
      <c r="AV335" t="b">
        <f t="shared" si="650"/>
        <v>0</v>
      </c>
      <c r="AW335" t="b">
        <f t="shared" si="651"/>
        <v>0</v>
      </c>
      <c r="AX335" t="b">
        <f t="shared" si="653"/>
        <v>0</v>
      </c>
      <c r="AY335" t="b">
        <f t="shared" si="654"/>
        <v>0</v>
      </c>
      <c r="AZ335">
        <f t="shared" si="655"/>
        <v>1</v>
      </c>
      <c r="BA335" t="b">
        <f t="shared" si="656"/>
        <v>0</v>
      </c>
      <c r="BB335" t="b">
        <f t="shared" si="657"/>
        <v>0</v>
      </c>
      <c r="BC335" t="b">
        <f t="shared" si="658"/>
        <v>0</v>
      </c>
      <c r="BD335" t="b">
        <f t="shared" si="659"/>
        <v>0</v>
      </c>
      <c r="BE335" t="b">
        <f t="shared" si="660"/>
        <v>0</v>
      </c>
      <c r="BF335" t="b">
        <f t="shared" si="661"/>
        <v>0</v>
      </c>
      <c r="BG335" t="b">
        <f t="shared" si="662"/>
        <v>0</v>
      </c>
      <c r="BH335" t="b">
        <f t="shared" si="663"/>
        <v>0</v>
      </c>
      <c r="BI335">
        <f t="shared" si="664"/>
        <v>1</v>
      </c>
      <c r="BJ335" t="b">
        <f t="shared" si="665"/>
        <v>0</v>
      </c>
      <c r="BK335" t="b">
        <f t="shared" si="666"/>
        <v>0</v>
      </c>
      <c r="BL335" t="b">
        <f t="shared" si="667"/>
        <v>0</v>
      </c>
      <c r="BM335" t="b">
        <f t="shared" si="668"/>
        <v>0</v>
      </c>
      <c r="BN335" t="b">
        <f t="shared" si="669"/>
        <v>0</v>
      </c>
      <c r="BO335" t="b">
        <f t="shared" si="670"/>
        <v>0</v>
      </c>
      <c r="BP335" t="b">
        <f t="shared" si="671"/>
        <v>0</v>
      </c>
      <c r="BQ335" t="b">
        <f t="shared" si="672"/>
        <v>0</v>
      </c>
      <c r="BR335" t="b">
        <f t="shared" si="673"/>
        <v>0</v>
      </c>
      <c r="BS335" t="b">
        <f t="shared" si="674"/>
        <v>0</v>
      </c>
      <c r="BT335" t="b">
        <f t="shared" si="675"/>
        <v>0</v>
      </c>
      <c r="BU335" t="b">
        <f t="shared" si="676"/>
        <v>0</v>
      </c>
      <c r="BV335" t="b">
        <f t="shared" si="677"/>
        <v>0</v>
      </c>
      <c r="BW335" t="b">
        <f t="shared" si="678"/>
        <v>0</v>
      </c>
      <c r="BX335" t="b">
        <f t="shared" si="679"/>
        <v>0</v>
      </c>
      <c r="BY335" t="b">
        <f t="shared" si="680"/>
        <v>0</v>
      </c>
      <c r="BZ335" t="b">
        <f t="shared" si="681"/>
        <v>0</v>
      </c>
      <c r="CA335" t="b">
        <f t="shared" si="682"/>
        <v>0</v>
      </c>
      <c r="CB335" t="b">
        <f t="shared" si="683"/>
        <v>0</v>
      </c>
      <c r="CC335" t="b">
        <f t="shared" si="684"/>
        <v>0</v>
      </c>
      <c r="CD335" t="b">
        <f t="shared" si="685"/>
        <v>0</v>
      </c>
      <c r="CE335">
        <f t="shared" si="686"/>
        <v>1</v>
      </c>
      <c r="CF335" t="b">
        <f t="shared" si="687"/>
        <v>0</v>
      </c>
      <c r="CG335" t="b">
        <f t="shared" si="688"/>
        <v>0</v>
      </c>
      <c r="CH335" t="b">
        <f t="shared" si="689"/>
        <v>0</v>
      </c>
      <c r="CI335" t="b">
        <f t="shared" si="690"/>
        <v>0</v>
      </c>
      <c r="CJ335" t="b">
        <f t="shared" si="691"/>
        <v>0</v>
      </c>
      <c r="CK335" t="b">
        <f t="shared" si="692"/>
        <v>0</v>
      </c>
      <c r="CL335" t="b">
        <f t="shared" si="693"/>
        <v>0</v>
      </c>
      <c r="CM335" t="b">
        <f t="shared" si="694"/>
        <v>0</v>
      </c>
      <c r="CN335" t="b">
        <f t="shared" si="695"/>
        <v>0</v>
      </c>
      <c r="CO335" t="b">
        <f t="shared" si="696"/>
        <v>0</v>
      </c>
      <c r="CP335" t="b">
        <f t="shared" si="697"/>
        <v>0</v>
      </c>
      <c r="CQ335" t="b">
        <f t="shared" si="698"/>
        <v>0</v>
      </c>
      <c r="CR335" t="b">
        <f t="shared" si="699"/>
        <v>0</v>
      </c>
      <c r="CS335" t="b">
        <f t="shared" si="700"/>
        <v>0</v>
      </c>
      <c r="CT335" t="b">
        <f t="shared" si="701"/>
        <v>0</v>
      </c>
      <c r="CU335" t="b">
        <f t="shared" si="702"/>
        <v>0</v>
      </c>
      <c r="CV335">
        <f t="shared" si="703"/>
        <v>1</v>
      </c>
      <c r="CW335" t="b">
        <f t="shared" si="704"/>
        <v>0</v>
      </c>
      <c r="CX335" t="b">
        <f t="shared" si="705"/>
        <v>0</v>
      </c>
      <c r="CY335" t="b">
        <f t="shared" si="706"/>
        <v>0</v>
      </c>
      <c r="CZ335" t="b">
        <f t="shared" si="707"/>
        <v>0</v>
      </c>
      <c r="DA335" t="b">
        <f t="shared" si="708"/>
        <v>0</v>
      </c>
      <c r="DB335" t="b">
        <f t="shared" si="709"/>
        <v>0</v>
      </c>
      <c r="DC335" t="b">
        <f t="shared" si="710"/>
        <v>0</v>
      </c>
      <c r="DD335" t="b">
        <f t="shared" si="711"/>
        <v>0</v>
      </c>
      <c r="DE335" t="b">
        <f t="shared" si="712"/>
        <v>0</v>
      </c>
      <c r="DF335" t="b">
        <f t="shared" si="713"/>
        <v>0</v>
      </c>
      <c r="DG335" t="b">
        <f t="shared" si="714"/>
        <v>0</v>
      </c>
      <c r="DH335" t="b">
        <f t="shared" si="715"/>
        <v>0</v>
      </c>
      <c r="DI335" t="b">
        <f t="shared" si="716"/>
        <v>0</v>
      </c>
      <c r="DJ335" t="b">
        <f t="shared" si="717"/>
        <v>0</v>
      </c>
      <c r="DK335" t="b">
        <f t="shared" si="718"/>
        <v>0</v>
      </c>
      <c r="DL335" t="b">
        <f t="shared" si="719"/>
        <v>0</v>
      </c>
      <c r="DM335" t="b">
        <f t="shared" si="720"/>
        <v>0</v>
      </c>
      <c r="DN335" t="b">
        <f t="shared" si="721"/>
        <v>0</v>
      </c>
      <c r="DO335" t="b">
        <f t="shared" si="722"/>
        <v>0</v>
      </c>
      <c r="DP335" t="b">
        <f t="shared" si="723"/>
        <v>0</v>
      </c>
      <c r="DQ335" t="b">
        <f t="shared" si="724"/>
        <v>0</v>
      </c>
      <c r="DR335" t="b">
        <f t="shared" si="725"/>
        <v>0</v>
      </c>
      <c r="DS335" t="b">
        <f t="shared" si="726"/>
        <v>0</v>
      </c>
      <c r="DT335" t="b">
        <f t="shared" si="727"/>
        <v>0</v>
      </c>
      <c r="DU335" t="b">
        <f t="shared" si="728"/>
        <v>0</v>
      </c>
      <c r="DV335" t="b">
        <f t="shared" si="729"/>
        <v>0</v>
      </c>
      <c r="DW335" t="b">
        <f t="shared" si="730"/>
        <v>0</v>
      </c>
      <c r="DX335" t="b">
        <f t="shared" si="731"/>
        <v>0</v>
      </c>
      <c r="DY335" t="b">
        <f t="shared" si="732"/>
        <v>0</v>
      </c>
      <c r="DZ335" t="b">
        <f t="shared" si="733"/>
        <v>0</v>
      </c>
      <c r="EA335" t="b">
        <f t="shared" si="734"/>
        <v>0</v>
      </c>
      <c r="EB335" t="b">
        <f t="shared" si="735"/>
        <v>0</v>
      </c>
      <c r="EC335" t="b">
        <f t="shared" si="736"/>
        <v>0</v>
      </c>
      <c r="ED335" t="b">
        <f t="shared" si="737"/>
        <v>0</v>
      </c>
      <c r="EE335" t="b">
        <f t="shared" si="738"/>
        <v>0</v>
      </c>
      <c r="EF335">
        <f t="shared" si="739"/>
        <v>1</v>
      </c>
      <c r="EG335" t="b">
        <f t="shared" si="740"/>
        <v>0</v>
      </c>
      <c r="EH335" t="b">
        <f t="shared" si="741"/>
        <v>0</v>
      </c>
      <c r="EI335">
        <f t="shared" si="742"/>
        <v>1</v>
      </c>
      <c r="EJ335" t="b">
        <f t="shared" si="743"/>
        <v>0</v>
      </c>
      <c r="EK335" t="b">
        <f t="shared" si="744"/>
        <v>0</v>
      </c>
    </row>
    <row r="336" spans="1:141">
      <c r="A336" t="s">
        <v>1753</v>
      </c>
      <c r="B336" t="s">
        <v>1754</v>
      </c>
      <c r="C336" t="s">
        <v>1755</v>
      </c>
      <c r="D336" s="1">
        <v>41487</v>
      </c>
      <c r="E336" s="2">
        <v>41826.431956018518</v>
      </c>
      <c r="F336" s="2">
        <v>41826.431956018518</v>
      </c>
      <c r="G336">
        <v>45018</v>
      </c>
      <c r="H336" t="s">
        <v>1756</v>
      </c>
      <c r="I336" s="10" t="s">
        <v>1757</v>
      </c>
      <c r="J336" t="s">
        <v>1758</v>
      </c>
      <c r="K336" s="8" t="b">
        <v>1</v>
      </c>
      <c r="L336" s="10" t="b">
        <v>0</v>
      </c>
      <c r="M336" s="12" t="b">
        <v>0</v>
      </c>
      <c r="N336" t="b">
        <v>0</v>
      </c>
      <c r="O336" t="b">
        <v>0</v>
      </c>
      <c r="P336" t="b">
        <v>0</v>
      </c>
      <c r="Q336">
        <f t="shared" si="621"/>
        <v>5</v>
      </c>
      <c r="R336">
        <f t="shared" si="622"/>
        <v>8</v>
      </c>
      <c r="S336" t="e">
        <f t="shared" ca="1" si="652"/>
        <v>#NAME?</v>
      </c>
      <c r="T336" t="e">
        <f t="shared" ca="1" si="623"/>
        <v>#NAME?</v>
      </c>
      <c r="U336" s="4">
        <f t="shared" si="624"/>
        <v>339.43195601851767</v>
      </c>
      <c r="V336" s="4">
        <f t="shared" si="625"/>
        <v>11.314398533950589</v>
      </c>
      <c r="W336" s="4">
        <f t="shared" si="626"/>
        <v>1</v>
      </c>
      <c r="X336" s="4">
        <f t="shared" si="627"/>
        <v>0</v>
      </c>
      <c r="Y336" s="4">
        <f t="shared" si="628"/>
        <v>0</v>
      </c>
      <c r="Z336" s="4">
        <f t="shared" si="629"/>
        <v>0</v>
      </c>
      <c r="AA336" s="4">
        <f t="shared" si="630"/>
        <v>0</v>
      </c>
      <c r="AB336" s="4">
        <f t="shared" si="631"/>
        <v>0</v>
      </c>
      <c r="AC336" s="4"/>
      <c r="AD336" s="4" t="b">
        <f t="shared" si="632"/>
        <v>0</v>
      </c>
      <c r="AE336" s="4" t="b">
        <f t="shared" si="633"/>
        <v>0</v>
      </c>
      <c r="AF336" s="4" t="b">
        <f t="shared" si="634"/>
        <v>0</v>
      </c>
      <c r="AG336" t="b">
        <f t="shared" si="635"/>
        <v>0</v>
      </c>
      <c r="AH336" t="b">
        <f t="shared" si="636"/>
        <v>0</v>
      </c>
      <c r="AI336" t="b">
        <f t="shared" si="637"/>
        <v>0</v>
      </c>
      <c r="AJ336" t="b">
        <f t="shared" si="638"/>
        <v>0</v>
      </c>
      <c r="AK336" t="b">
        <f t="shared" si="639"/>
        <v>0</v>
      </c>
      <c r="AL336" t="b">
        <f t="shared" si="640"/>
        <v>0</v>
      </c>
      <c r="AM336" t="b">
        <f t="shared" si="641"/>
        <v>0</v>
      </c>
      <c r="AN336" t="b">
        <f t="shared" si="642"/>
        <v>0</v>
      </c>
      <c r="AO336" t="b">
        <f t="shared" si="643"/>
        <v>0</v>
      </c>
      <c r="AP336" t="b">
        <f t="shared" si="644"/>
        <v>0</v>
      </c>
      <c r="AQ336" t="b">
        <f t="shared" si="645"/>
        <v>0</v>
      </c>
      <c r="AR336" t="b">
        <f t="shared" si="646"/>
        <v>0</v>
      </c>
      <c r="AS336" t="b">
        <f t="shared" si="647"/>
        <v>0</v>
      </c>
      <c r="AT336" t="b">
        <f t="shared" si="648"/>
        <v>0</v>
      </c>
      <c r="AU336" t="b">
        <f t="shared" si="649"/>
        <v>0</v>
      </c>
      <c r="AV336" t="b">
        <f t="shared" si="650"/>
        <v>0</v>
      </c>
      <c r="AW336" t="b">
        <f t="shared" si="651"/>
        <v>0</v>
      </c>
      <c r="AX336" t="b">
        <f t="shared" si="653"/>
        <v>0</v>
      </c>
      <c r="AY336" t="b">
        <f t="shared" si="654"/>
        <v>0</v>
      </c>
      <c r="AZ336" t="b">
        <f t="shared" si="655"/>
        <v>0</v>
      </c>
      <c r="BA336" t="b">
        <f t="shared" si="656"/>
        <v>0</v>
      </c>
      <c r="BB336" t="b">
        <f t="shared" si="657"/>
        <v>0</v>
      </c>
      <c r="BC336" t="b">
        <f t="shared" si="658"/>
        <v>0</v>
      </c>
      <c r="BD336" t="b">
        <f t="shared" si="659"/>
        <v>0</v>
      </c>
      <c r="BE336" t="b">
        <f t="shared" si="660"/>
        <v>0</v>
      </c>
      <c r="BF336" t="b">
        <f t="shared" si="661"/>
        <v>0</v>
      </c>
      <c r="BG336" t="b">
        <f t="shared" si="662"/>
        <v>0</v>
      </c>
      <c r="BH336" t="b">
        <f t="shared" si="663"/>
        <v>0</v>
      </c>
      <c r="BI336">
        <f t="shared" si="664"/>
        <v>1</v>
      </c>
      <c r="BJ336" t="b">
        <f t="shared" si="665"/>
        <v>0</v>
      </c>
      <c r="BK336" t="b">
        <f t="shared" si="666"/>
        <v>0</v>
      </c>
      <c r="BL336" t="b">
        <f t="shared" si="667"/>
        <v>0</v>
      </c>
      <c r="BM336" t="b">
        <f t="shared" si="668"/>
        <v>0</v>
      </c>
      <c r="BN336" t="b">
        <f t="shared" si="669"/>
        <v>0</v>
      </c>
      <c r="BO336" t="b">
        <f t="shared" si="670"/>
        <v>0</v>
      </c>
      <c r="BP336" t="b">
        <f t="shared" si="671"/>
        <v>0</v>
      </c>
      <c r="BQ336" t="b">
        <f t="shared" si="672"/>
        <v>0</v>
      </c>
      <c r="BR336" t="b">
        <f t="shared" si="673"/>
        <v>0</v>
      </c>
      <c r="BS336" t="b">
        <f t="shared" si="674"/>
        <v>0</v>
      </c>
      <c r="BT336" t="b">
        <f t="shared" si="675"/>
        <v>0</v>
      </c>
      <c r="BU336" t="b">
        <f t="shared" si="676"/>
        <v>0</v>
      </c>
      <c r="BV336" t="b">
        <f t="shared" si="677"/>
        <v>0</v>
      </c>
      <c r="BW336" t="b">
        <f t="shared" si="678"/>
        <v>0</v>
      </c>
      <c r="BX336" t="b">
        <f t="shared" si="679"/>
        <v>0</v>
      </c>
      <c r="BY336" t="b">
        <f t="shared" si="680"/>
        <v>0</v>
      </c>
      <c r="BZ336" t="b">
        <f t="shared" si="681"/>
        <v>0</v>
      </c>
      <c r="CA336" t="b">
        <f t="shared" si="682"/>
        <v>0</v>
      </c>
      <c r="CB336" t="b">
        <f t="shared" si="683"/>
        <v>0</v>
      </c>
      <c r="CC336" t="b">
        <f t="shared" si="684"/>
        <v>0</v>
      </c>
      <c r="CD336" t="b">
        <f t="shared" si="685"/>
        <v>0</v>
      </c>
      <c r="CE336">
        <f t="shared" si="686"/>
        <v>1</v>
      </c>
      <c r="CF336" t="b">
        <f t="shared" si="687"/>
        <v>0</v>
      </c>
      <c r="CG336" t="b">
        <f t="shared" si="688"/>
        <v>0</v>
      </c>
      <c r="CH336" t="b">
        <f t="shared" si="689"/>
        <v>0</v>
      </c>
      <c r="CI336" t="b">
        <f t="shared" si="690"/>
        <v>0</v>
      </c>
      <c r="CJ336" t="b">
        <f t="shared" si="691"/>
        <v>0</v>
      </c>
      <c r="CK336" t="b">
        <f t="shared" si="692"/>
        <v>0</v>
      </c>
      <c r="CL336" t="b">
        <f t="shared" si="693"/>
        <v>0</v>
      </c>
      <c r="CM336">
        <f t="shared" si="694"/>
        <v>1</v>
      </c>
      <c r="CN336" t="b">
        <f t="shared" si="695"/>
        <v>0</v>
      </c>
      <c r="CO336" t="b">
        <f t="shared" si="696"/>
        <v>0</v>
      </c>
      <c r="CP336" t="b">
        <f t="shared" si="697"/>
        <v>0</v>
      </c>
      <c r="CQ336" t="b">
        <f t="shared" si="698"/>
        <v>0</v>
      </c>
      <c r="CR336" t="b">
        <f t="shared" si="699"/>
        <v>0</v>
      </c>
      <c r="CS336" t="b">
        <f t="shared" si="700"/>
        <v>0</v>
      </c>
      <c r="CT336" t="b">
        <f t="shared" si="701"/>
        <v>0</v>
      </c>
      <c r="CU336" t="b">
        <f t="shared" si="702"/>
        <v>0</v>
      </c>
      <c r="CV336">
        <f t="shared" si="703"/>
        <v>1</v>
      </c>
      <c r="CW336" t="b">
        <f t="shared" si="704"/>
        <v>0</v>
      </c>
      <c r="CX336" t="b">
        <f t="shared" si="705"/>
        <v>0</v>
      </c>
      <c r="CY336" t="b">
        <f t="shared" si="706"/>
        <v>0</v>
      </c>
      <c r="CZ336" t="b">
        <f t="shared" si="707"/>
        <v>0</v>
      </c>
      <c r="DA336" t="b">
        <f t="shared" si="708"/>
        <v>0</v>
      </c>
      <c r="DB336" t="b">
        <f t="shared" si="709"/>
        <v>0</v>
      </c>
      <c r="DC336" t="b">
        <f t="shared" si="710"/>
        <v>0</v>
      </c>
      <c r="DD336" t="b">
        <f t="shared" si="711"/>
        <v>0</v>
      </c>
      <c r="DE336" t="b">
        <f t="shared" si="712"/>
        <v>0</v>
      </c>
      <c r="DF336" t="b">
        <f t="shared" si="713"/>
        <v>0</v>
      </c>
      <c r="DG336">
        <f t="shared" si="714"/>
        <v>1</v>
      </c>
      <c r="DH336" t="b">
        <f t="shared" si="715"/>
        <v>0</v>
      </c>
      <c r="DI336" t="b">
        <f t="shared" si="716"/>
        <v>0</v>
      </c>
      <c r="DJ336" t="b">
        <f t="shared" si="717"/>
        <v>0</v>
      </c>
      <c r="DK336" t="b">
        <f t="shared" si="718"/>
        <v>0</v>
      </c>
      <c r="DL336" t="b">
        <f t="shared" si="719"/>
        <v>0</v>
      </c>
      <c r="DM336" t="b">
        <f t="shared" si="720"/>
        <v>0</v>
      </c>
      <c r="DN336" t="b">
        <f t="shared" si="721"/>
        <v>0</v>
      </c>
      <c r="DO336" t="b">
        <f t="shared" si="722"/>
        <v>0</v>
      </c>
      <c r="DP336" t="b">
        <f t="shared" si="723"/>
        <v>0</v>
      </c>
      <c r="DQ336" t="b">
        <f t="shared" si="724"/>
        <v>0</v>
      </c>
      <c r="DR336" t="b">
        <f t="shared" si="725"/>
        <v>0</v>
      </c>
      <c r="DS336" t="b">
        <f t="shared" si="726"/>
        <v>0</v>
      </c>
      <c r="DT336" t="b">
        <f t="shared" si="727"/>
        <v>0</v>
      </c>
      <c r="DU336" t="b">
        <f t="shared" si="728"/>
        <v>0</v>
      </c>
      <c r="DV336" t="b">
        <f t="shared" si="729"/>
        <v>0</v>
      </c>
      <c r="DW336" t="b">
        <f t="shared" si="730"/>
        <v>0</v>
      </c>
      <c r="DX336" t="b">
        <f t="shared" si="731"/>
        <v>0</v>
      </c>
      <c r="DY336" t="b">
        <f t="shared" si="732"/>
        <v>0</v>
      </c>
      <c r="DZ336" t="b">
        <f t="shared" si="733"/>
        <v>0</v>
      </c>
      <c r="EA336" t="b">
        <f t="shared" si="734"/>
        <v>0</v>
      </c>
      <c r="EB336" t="b">
        <f t="shared" si="735"/>
        <v>0</v>
      </c>
      <c r="EC336" t="b">
        <f t="shared" si="736"/>
        <v>0</v>
      </c>
      <c r="ED336" t="b">
        <f t="shared" si="737"/>
        <v>0</v>
      </c>
      <c r="EE336" t="b">
        <f t="shared" si="738"/>
        <v>0</v>
      </c>
      <c r="EF336">
        <f t="shared" si="739"/>
        <v>1</v>
      </c>
      <c r="EG336" t="b">
        <f t="shared" si="740"/>
        <v>0</v>
      </c>
      <c r="EH336" t="b">
        <f t="shared" si="741"/>
        <v>0</v>
      </c>
      <c r="EI336">
        <f t="shared" si="742"/>
        <v>1</v>
      </c>
      <c r="EJ336" t="b">
        <f t="shared" si="743"/>
        <v>0</v>
      </c>
      <c r="EK336" t="b">
        <f t="shared" si="744"/>
        <v>0</v>
      </c>
    </row>
    <row r="337" spans="1:141">
      <c r="A337" t="s">
        <v>1759</v>
      </c>
      <c r="B337" t="s">
        <v>1760</v>
      </c>
      <c r="C337" t="s">
        <v>1761</v>
      </c>
      <c r="D337" s="1">
        <v>43556</v>
      </c>
      <c r="E337" s="2">
        <v>43726.208506944444</v>
      </c>
      <c r="F337" s="2">
        <v>43726.208506944444</v>
      </c>
      <c r="G337">
        <v>15453048</v>
      </c>
      <c r="H337" t="s">
        <v>1762</v>
      </c>
      <c r="I337" s="10" t="s">
        <v>1763</v>
      </c>
      <c r="J337" t="s">
        <v>1764</v>
      </c>
      <c r="K337" s="8" t="b">
        <v>1</v>
      </c>
      <c r="L337" s="10" t="b">
        <v>0</v>
      </c>
      <c r="M337" s="12" t="b">
        <v>0</v>
      </c>
      <c r="N337" t="b">
        <v>0</v>
      </c>
      <c r="O337" t="b">
        <v>0</v>
      </c>
      <c r="P337" t="b">
        <v>0</v>
      </c>
      <c r="Q337">
        <f t="shared" si="621"/>
        <v>2</v>
      </c>
      <c r="R337">
        <f t="shared" si="622"/>
        <v>4</v>
      </c>
      <c r="S337" t="e">
        <f t="shared" ca="1" si="652"/>
        <v>#NAME?</v>
      </c>
      <c r="T337" t="e">
        <f t="shared" ca="1" si="623"/>
        <v>#NAME?</v>
      </c>
      <c r="U337" s="4">
        <f t="shared" si="624"/>
        <v>170.2085069444438</v>
      </c>
      <c r="V337" s="4">
        <f t="shared" si="625"/>
        <v>5.6736168981481265</v>
      </c>
      <c r="W337" s="4">
        <f t="shared" si="626"/>
        <v>1</v>
      </c>
      <c r="X337" s="4">
        <f t="shared" si="627"/>
        <v>0</v>
      </c>
      <c r="Y337" s="4">
        <f t="shared" si="628"/>
        <v>0</v>
      </c>
      <c r="Z337" s="4">
        <f t="shared" si="629"/>
        <v>0</v>
      </c>
      <c r="AA337" s="4">
        <f t="shared" si="630"/>
        <v>0</v>
      </c>
      <c r="AB337" s="4">
        <f t="shared" si="631"/>
        <v>0</v>
      </c>
      <c r="AC337" s="4"/>
      <c r="AD337" s="4" t="b">
        <f t="shared" si="632"/>
        <v>0</v>
      </c>
      <c r="AE337" s="4" t="b">
        <f t="shared" si="633"/>
        <v>0</v>
      </c>
      <c r="AF337" s="4" t="b">
        <f t="shared" si="634"/>
        <v>0</v>
      </c>
      <c r="AG337" t="b">
        <f t="shared" si="635"/>
        <v>0</v>
      </c>
      <c r="AH337" t="b">
        <f t="shared" si="636"/>
        <v>0</v>
      </c>
      <c r="AI337">
        <f t="shared" si="637"/>
        <v>1</v>
      </c>
      <c r="AJ337" t="b">
        <f t="shared" si="638"/>
        <v>0</v>
      </c>
      <c r="AK337" t="b">
        <f t="shared" si="639"/>
        <v>0</v>
      </c>
      <c r="AL337" t="b">
        <f t="shared" si="640"/>
        <v>0</v>
      </c>
      <c r="AM337" t="b">
        <f t="shared" si="641"/>
        <v>0</v>
      </c>
      <c r="AN337" t="b">
        <f t="shared" si="642"/>
        <v>0</v>
      </c>
      <c r="AO337" t="b">
        <f t="shared" si="643"/>
        <v>0</v>
      </c>
      <c r="AP337" t="b">
        <f t="shared" si="644"/>
        <v>0</v>
      </c>
      <c r="AQ337" t="b">
        <f t="shared" si="645"/>
        <v>0</v>
      </c>
      <c r="AR337" t="b">
        <f t="shared" si="646"/>
        <v>0</v>
      </c>
      <c r="AS337" t="b">
        <f t="shared" si="647"/>
        <v>0</v>
      </c>
      <c r="AT337" t="b">
        <f t="shared" si="648"/>
        <v>0</v>
      </c>
      <c r="AU337" t="b">
        <f t="shared" si="649"/>
        <v>0</v>
      </c>
      <c r="AV337" t="b">
        <f t="shared" si="650"/>
        <v>0</v>
      </c>
      <c r="AW337" t="b">
        <f t="shared" si="651"/>
        <v>0</v>
      </c>
      <c r="AX337" t="b">
        <f t="shared" si="653"/>
        <v>0</v>
      </c>
      <c r="AY337" t="b">
        <f t="shared" si="654"/>
        <v>0</v>
      </c>
      <c r="AZ337" t="b">
        <f t="shared" si="655"/>
        <v>0</v>
      </c>
      <c r="BA337" t="b">
        <f t="shared" si="656"/>
        <v>0</v>
      </c>
      <c r="BB337" t="b">
        <f t="shared" si="657"/>
        <v>0</v>
      </c>
      <c r="BC337" t="b">
        <f t="shared" si="658"/>
        <v>0</v>
      </c>
      <c r="BD337" t="b">
        <f t="shared" si="659"/>
        <v>0</v>
      </c>
      <c r="BE337" t="b">
        <f t="shared" si="660"/>
        <v>0</v>
      </c>
      <c r="BF337" t="b">
        <f t="shared" si="661"/>
        <v>0</v>
      </c>
      <c r="BG337" t="b">
        <f t="shared" si="662"/>
        <v>0</v>
      </c>
      <c r="BH337" t="b">
        <f t="shared" si="663"/>
        <v>0</v>
      </c>
      <c r="BI337">
        <f t="shared" si="664"/>
        <v>1</v>
      </c>
      <c r="BJ337" t="b">
        <f t="shared" si="665"/>
        <v>0</v>
      </c>
      <c r="BK337" t="b">
        <f t="shared" si="666"/>
        <v>0</v>
      </c>
      <c r="BL337" t="b">
        <f t="shared" si="667"/>
        <v>0</v>
      </c>
      <c r="BM337" t="b">
        <f t="shared" si="668"/>
        <v>0</v>
      </c>
      <c r="BN337" t="b">
        <f t="shared" si="669"/>
        <v>0</v>
      </c>
      <c r="BO337" t="b">
        <f t="shared" si="670"/>
        <v>0</v>
      </c>
      <c r="BP337" t="b">
        <f t="shared" si="671"/>
        <v>0</v>
      </c>
      <c r="BQ337" t="b">
        <f t="shared" si="672"/>
        <v>0</v>
      </c>
      <c r="BR337">
        <f t="shared" si="673"/>
        <v>1</v>
      </c>
      <c r="BS337" t="b">
        <f t="shared" si="674"/>
        <v>0</v>
      </c>
      <c r="BT337" t="b">
        <f t="shared" si="675"/>
        <v>0</v>
      </c>
      <c r="BU337" t="b">
        <f t="shared" si="676"/>
        <v>0</v>
      </c>
      <c r="BV337" t="b">
        <f t="shared" si="677"/>
        <v>0</v>
      </c>
      <c r="BW337" t="b">
        <f t="shared" si="678"/>
        <v>0</v>
      </c>
      <c r="BX337" t="b">
        <f t="shared" si="679"/>
        <v>0</v>
      </c>
      <c r="BY337" t="b">
        <f t="shared" si="680"/>
        <v>0</v>
      </c>
      <c r="BZ337" t="b">
        <f t="shared" si="681"/>
        <v>0</v>
      </c>
      <c r="CA337" t="b">
        <f t="shared" si="682"/>
        <v>0</v>
      </c>
      <c r="CB337" t="b">
        <f t="shared" si="683"/>
        <v>0</v>
      </c>
      <c r="CC337" t="b">
        <f t="shared" si="684"/>
        <v>0</v>
      </c>
      <c r="CD337" t="b">
        <f t="shared" si="685"/>
        <v>0</v>
      </c>
      <c r="CE337" t="b">
        <f t="shared" si="686"/>
        <v>0</v>
      </c>
      <c r="CF337" t="b">
        <f t="shared" si="687"/>
        <v>0</v>
      </c>
      <c r="CG337" t="b">
        <f t="shared" si="688"/>
        <v>0</v>
      </c>
      <c r="CH337" t="b">
        <f t="shared" si="689"/>
        <v>0</v>
      </c>
      <c r="CI337" t="b">
        <f t="shared" si="690"/>
        <v>0</v>
      </c>
      <c r="CJ337" t="b">
        <f t="shared" si="691"/>
        <v>0</v>
      </c>
      <c r="CK337" t="b">
        <f t="shared" si="692"/>
        <v>0</v>
      </c>
      <c r="CL337" t="b">
        <f t="shared" si="693"/>
        <v>0</v>
      </c>
      <c r="CM337">
        <f t="shared" si="694"/>
        <v>1</v>
      </c>
      <c r="CN337" t="b">
        <f t="shared" si="695"/>
        <v>0</v>
      </c>
      <c r="CO337" t="b">
        <f t="shared" si="696"/>
        <v>0</v>
      </c>
      <c r="CP337" t="b">
        <f t="shared" si="697"/>
        <v>0</v>
      </c>
      <c r="CQ337" t="b">
        <f t="shared" si="698"/>
        <v>0</v>
      </c>
      <c r="CR337" t="b">
        <f t="shared" si="699"/>
        <v>0</v>
      </c>
      <c r="CS337" t="b">
        <f t="shared" si="700"/>
        <v>0</v>
      </c>
      <c r="CT337" t="b">
        <f t="shared" si="701"/>
        <v>0</v>
      </c>
      <c r="CU337" t="b">
        <f t="shared" si="702"/>
        <v>0</v>
      </c>
      <c r="CV337">
        <f t="shared" si="703"/>
        <v>1</v>
      </c>
      <c r="CW337" t="b">
        <f t="shared" si="704"/>
        <v>0</v>
      </c>
      <c r="CX337" t="b">
        <f t="shared" si="705"/>
        <v>0</v>
      </c>
      <c r="CY337" t="b">
        <f t="shared" si="706"/>
        <v>0</v>
      </c>
      <c r="CZ337" t="b">
        <f t="shared" si="707"/>
        <v>0</v>
      </c>
      <c r="DA337" t="b">
        <f t="shared" si="708"/>
        <v>0</v>
      </c>
      <c r="DB337" t="b">
        <f t="shared" si="709"/>
        <v>0</v>
      </c>
      <c r="DC337" t="b">
        <f t="shared" si="710"/>
        <v>0</v>
      </c>
      <c r="DD337" t="b">
        <f t="shared" si="711"/>
        <v>0</v>
      </c>
      <c r="DE337" t="b">
        <f t="shared" si="712"/>
        <v>0</v>
      </c>
      <c r="DF337" t="b">
        <f t="shared" si="713"/>
        <v>0</v>
      </c>
      <c r="DG337" t="b">
        <f t="shared" si="714"/>
        <v>0</v>
      </c>
      <c r="DH337" t="b">
        <f t="shared" si="715"/>
        <v>0</v>
      </c>
      <c r="DI337" t="b">
        <f t="shared" si="716"/>
        <v>0</v>
      </c>
      <c r="DJ337" t="b">
        <f t="shared" si="717"/>
        <v>0</v>
      </c>
      <c r="DK337" t="b">
        <f t="shared" si="718"/>
        <v>0</v>
      </c>
      <c r="DL337" t="b">
        <f t="shared" si="719"/>
        <v>0</v>
      </c>
      <c r="DM337" t="b">
        <f t="shared" si="720"/>
        <v>0</v>
      </c>
      <c r="DN337" t="b">
        <f t="shared" si="721"/>
        <v>0</v>
      </c>
      <c r="DO337" t="b">
        <f t="shared" si="722"/>
        <v>0</v>
      </c>
      <c r="DP337" t="b">
        <f t="shared" si="723"/>
        <v>0</v>
      </c>
      <c r="DQ337" t="b">
        <f t="shared" si="724"/>
        <v>0</v>
      </c>
      <c r="DR337" t="b">
        <f t="shared" si="725"/>
        <v>0</v>
      </c>
      <c r="DS337" t="b">
        <f t="shared" si="726"/>
        <v>0</v>
      </c>
      <c r="DT337" t="b">
        <f t="shared" si="727"/>
        <v>0</v>
      </c>
      <c r="DU337" t="b">
        <f t="shared" si="728"/>
        <v>0</v>
      </c>
      <c r="DV337" t="b">
        <f t="shared" si="729"/>
        <v>0</v>
      </c>
      <c r="DW337" t="b">
        <f t="shared" si="730"/>
        <v>0</v>
      </c>
      <c r="DX337" t="b">
        <f t="shared" si="731"/>
        <v>0</v>
      </c>
      <c r="DY337" t="b">
        <f t="shared" si="732"/>
        <v>0</v>
      </c>
      <c r="DZ337" t="b">
        <f t="shared" si="733"/>
        <v>0</v>
      </c>
      <c r="EA337">
        <f t="shared" si="734"/>
        <v>1</v>
      </c>
      <c r="EB337" t="b">
        <f t="shared" si="735"/>
        <v>0</v>
      </c>
      <c r="EC337" t="b">
        <f t="shared" si="736"/>
        <v>0</v>
      </c>
      <c r="ED337" t="b">
        <f t="shared" si="737"/>
        <v>0</v>
      </c>
      <c r="EE337" t="b">
        <f t="shared" si="738"/>
        <v>0</v>
      </c>
      <c r="EF337">
        <f t="shared" si="739"/>
        <v>1</v>
      </c>
      <c r="EG337" t="b">
        <f t="shared" si="740"/>
        <v>0</v>
      </c>
      <c r="EH337" t="b">
        <f t="shared" si="741"/>
        <v>0</v>
      </c>
      <c r="EI337" t="b">
        <f t="shared" si="742"/>
        <v>0</v>
      </c>
      <c r="EJ337" t="b">
        <f t="shared" si="743"/>
        <v>0</v>
      </c>
      <c r="EK337" t="b">
        <f t="shared" si="744"/>
        <v>0</v>
      </c>
    </row>
    <row r="338" spans="1:141">
      <c r="A338" t="s">
        <v>1765</v>
      </c>
      <c r="B338" t="s">
        <v>1766</v>
      </c>
      <c r="C338" t="s">
        <v>1767</v>
      </c>
      <c r="D338" s="1">
        <v>43090</v>
      </c>
      <c r="E338" s="2">
        <v>43115.27275462963</v>
      </c>
      <c r="F338" s="2">
        <v>43115.27275462963</v>
      </c>
      <c r="G338">
        <v>109202</v>
      </c>
      <c r="H338" t="s">
        <v>1768</v>
      </c>
      <c r="I338" s="10" t="s">
        <v>1769</v>
      </c>
      <c r="J338" t="s">
        <v>156</v>
      </c>
      <c r="K338" s="8" t="b">
        <v>1</v>
      </c>
      <c r="L338" s="10" t="b">
        <v>0</v>
      </c>
      <c r="M338" s="12" t="b">
        <v>0</v>
      </c>
      <c r="N338" t="b">
        <v>0</v>
      </c>
      <c r="O338" t="b">
        <v>0</v>
      </c>
      <c r="P338" t="b">
        <v>0</v>
      </c>
      <c r="Q338">
        <f t="shared" si="621"/>
        <v>5</v>
      </c>
      <c r="R338">
        <f t="shared" si="622"/>
        <v>12</v>
      </c>
      <c r="S338" t="e">
        <f t="shared" ca="1" si="652"/>
        <v>#NAME?</v>
      </c>
      <c r="T338" t="e">
        <f t="shared" ca="1" si="623"/>
        <v>#NAME?</v>
      </c>
      <c r="U338" s="4">
        <f t="shared" si="624"/>
        <v>25.272754629630072</v>
      </c>
      <c r="V338" s="4">
        <f t="shared" si="625"/>
        <v>0.8424251543210024</v>
      </c>
      <c r="W338" s="4">
        <f t="shared" si="626"/>
        <v>1</v>
      </c>
      <c r="X338" s="4">
        <f t="shared" si="627"/>
        <v>0</v>
      </c>
      <c r="Y338" s="4">
        <f t="shared" si="628"/>
        <v>0</v>
      </c>
      <c r="Z338" s="4">
        <f t="shared" si="629"/>
        <v>0</v>
      </c>
      <c r="AA338" s="4">
        <f t="shared" si="630"/>
        <v>0</v>
      </c>
      <c r="AB338" s="4">
        <f t="shared" si="631"/>
        <v>0</v>
      </c>
      <c r="AC338" s="4"/>
      <c r="AD338" s="4" t="b">
        <f t="shared" si="632"/>
        <v>0</v>
      </c>
      <c r="AE338" s="4" t="b">
        <f t="shared" si="633"/>
        <v>0</v>
      </c>
      <c r="AF338" s="4" t="b">
        <f t="shared" si="634"/>
        <v>0</v>
      </c>
      <c r="AG338" t="b">
        <f t="shared" si="635"/>
        <v>0</v>
      </c>
      <c r="AH338" t="b">
        <f t="shared" si="636"/>
        <v>0</v>
      </c>
      <c r="AI338" t="b">
        <f t="shared" si="637"/>
        <v>0</v>
      </c>
      <c r="AJ338" t="b">
        <f t="shared" si="638"/>
        <v>0</v>
      </c>
      <c r="AK338" t="b">
        <f t="shared" si="639"/>
        <v>0</v>
      </c>
      <c r="AL338" t="b">
        <f t="shared" si="640"/>
        <v>0</v>
      </c>
      <c r="AM338" t="b">
        <f t="shared" si="641"/>
        <v>0</v>
      </c>
      <c r="AN338" t="b">
        <f t="shared" si="642"/>
        <v>0</v>
      </c>
      <c r="AO338" t="b">
        <f t="shared" si="643"/>
        <v>0</v>
      </c>
      <c r="AP338" t="b">
        <f t="shared" si="644"/>
        <v>0</v>
      </c>
      <c r="AQ338" t="b">
        <f t="shared" si="645"/>
        <v>0</v>
      </c>
      <c r="AR338" t="b">
        <f t="shared" si="646"/>
        <v>0</v>
      </c>
      <c r="AS338" t="b">
        <f t="shared" si="647"/>
        <v>0</v>
      </c>
      <c r="AT338" t="b">
        <f t="shared" si="648"/>
        <v>0</v>
      </c>
      <c r="AU338" t="b">
        <f t="shared" si="649"/>
        <v>0</v>
      </c>
      <c r="AV338" t="b">
        <f t="shared" si="650"/>
        <v>0</v>
      </c>
      <c r="AW338" t="b">
        <f t="shared" si="651"/>
        <v>0</v>
      </c>
      <c r="AX338" t="b">
        <f t="shared" si="653"/>
        <v>0</v>
      </c>
      <c r="AY338" t="b">
        <f t="shared" si="654"/>
        <v>0</v>
      </c>
      <c r="AZ338" t="b">
        <f t="shared" si="655"/>
        <v>0</v>
      </c>
      <c r="BA338" t="b">
        <f t="shared" si="656"/>
        <v>0</v>
      </c>
      <c r="BB338" t="b">
        <f t="shared" si="657"/>
        <v>0</v>
      </c>
      <c r="BC338" t="b">
        <f t="shared" si="658"/>
        <v>0</v>
      </c>
      <c r="BD338" t="b">
        <f t="shared" si="659"/>
        <v>0</v>
      </c>
      <c r="BE338" t="b">
        <f t="shared" si="660"/>
        <v>0</v>
      </c>
      <c r="BF338" t="b">
        <f t="shared" si="661"/>
        <v>0</v>
      </c>
      <c r="BG338" t="b">
        <f t="shared" si="662"/>
        <v>0</v>
      </c>
      <c r="BH338" t="b">
        <f t="shared" si="663"/>
        <v>0</v>
      </c>
      <c r="BI338">
        <f t="shared" si="664"/>
        <v>1</v>
      </c>
      <c r="BJ338" t="b">
        <f t="shared" si="665"/>
        <v>0</v>
      </c>
      <c r="BK338" t="b">
        <f t="shared" si="666"/>
        <v>0</v>
      </c>
      <c r="BL338" t="b">
        <f t="shared" si="667"/>
        <v>0</v>
      </c>
      <c r="BM338" t="b">
        <f t="shared" si="668"/>
        <v>0</v>
      </c>
      <c r="BN338" t="b">
        <f t="shared" si="669"/>
        <v>0</v>
      </c>
      <c r="BO338" t="b">
        <f t="shared" si="670"/>
        <v>0</v>
      </c>
      <c r="BP338" t="b">
        <f t="shared" si="671"/>
        <v>0</v>
      </c>
      <c r="BQ338" t="b">
        <f t="shared" si="672"/>
        <v>0</v>
      </c>
      <c r="BR338" t="b">
        <f t="shared" si="673"/>
        <v>0</v>
      </c>
      <c r="BS338" t="b">
        <f t="shared" si="674"/>
        <v>0</v>
      </c>
      <c r="BT338" t="b">
        <f t="shared" si="675"/>
        <v>0</v>
      </c>
      <c r="BU338" t="b">
        <f t="shared" si="676"/>
        <v>0</v>
      </c>
      <c r="BV338" t="b">
        <f t="shared" si="677"/>
        <v>0</v>
      </c>
      <c r="BW338" t="b">
        <f t="shared" si="678"/>
        <v>0</v>
      </c>
      <c r="BX338" t="b">
        <f t="shared" si="679"/>
        <v>0</v>
      </c>
      <c r="BY338" t="b">
        <f t="shared" si="680"/>
        <v>0</v>
      </c>
      <c r="BZ338" t="b">
        <f t="shared" si="681"/>
        <v>0</v>
      </c>
      <c r="CA338" t="b">
        <f t="shared" si="682"/>
        <v>0</v>
      </c>
      <c r="CB338" t="b">
        <f t="shared" si="683"/>
        <v>0</v>
      </c>
      <c r="CC338" t="b">
        <f t="shared" si="684"/>
        <v>0</v>
      </c>
      <c r="CD338" t="b">
        <f t="shared" si="685"/>
        <v>0</v>
      </c>
      <c r="CE338" t="b">
        <f t="shared" si="686"/>
        <v>0</v>
      </c>
      <c r="CF338" t="b">
        <f t="shared" si="687"/>
        <v>0</v>
      </c>
      <c r="CG338" t="b">
        <f t="shared" si="688"/>
        <v>0</v>
      </c>
      <c r="CH338" t="b">
        <f t="shared" si="689"/>
        <v>0</v>
      </c>
      <c r="CI338" t="b">
        <f t="shared" si="690"/>
        <v>0</v>
      </c>
      <c r="CJ338" t="b">
        <f t="shared" si="691"/>
        <v>0</v>
      </c>
      <c r="CK338" t="b">
        <f t="shared" si="692"/>
        <v>0</v>
      </c>
      <c r="CL338" t="b">
        <f t="shared" si="693"/>
        <v>0</v>
      </c>
      <c r="CM338" t="b">
        <f t="shared" si="694"/>
        <v>0</v>
      </c>
      <c r="CN338" t="b">
        <f t="shared" si="695"/>
        <v>0</v>
      </c>
      <c r="CO338" t="b">
        <f t="shared" si="696"/>
        <v>0</v>
      </c>
      <c r="CP338" t="b">
        <f t="shared" si="697"/>
        <v>0</v>
      </c>
      <c r="CQ338" t="b">
        <f t="shared" si="698"/>
        <v>0</v>
      </c>
      <c r="CR338" t="b">
        <f t="shared" si="699"/>
        <v>0</v>
      </c>
      <c r="CS338" t="b">
        <f t="shared" si="700"/>
        <v>0</v>
      </c>
      <c r="CT338" t="b">
        <f t="shared" si="701"/>
        <v>0</v>
      </c>
      <c r="CU338" t="b">
        <f t="shared" si="702"/>
        <v>0</v>
      </c>
      <c r="CV338">
        <f t="shared" si="703"/>
        <v>1</v>
      </c>
      <c r="CW338" t="b">
        <f t="shared" si="704"/>
        <v>0</v>
      </c>
      <c r="CX338" t="b">
        <f t="shared" si="705"/>
        <v>0</v>
      </c>
      <c r="CY338" t="b">
        <f t="shared" si="706"/>
        <v>0</v>
      </c>
      <c r="CZ338" t="b">
        <f t="shared" si="707"/>
        <v>0</v>
      </c>
      <c r="DA338" t="b">
        <f t="shared" si="708"/>
        <v>0</v>
      </c>
      <c r="DB338" t="b">
        <f t="shared" si="709"/>
        <v>0</v>
      </c>
      <c r="DC338" t="b">
        <f t="shared" si="710"/>
        <v>0</v>
      </c>
      <c r="DD338" t="b">
        <f t="shared" si="711"/>
        <v>0</v>
      </c>
      <c r="DE338" t="b">
        <f t="shared" si="712"/>
        <v>0</v>
      </c>
      <c r="DF338" t="b">
        <f t="shared" si="713"/>
        <v>0</v>
      </c>
      <c r="DG338" t="b">
        <f t="shared" si="714"/>
        <v>0</v>
      </c>
      <c r="DH338" t="b">
        <f t="shared" si="715"/>
        <v>0</v>
      </c>
      <c r="DI338" t="b">
        <f t="shared" si="716"/>
        <v>0</v>
      </c>
      <c r="DJ338" t="b">
        <f t="shared" si="717"/>
        <v>0</v>
      </c>
      <c r="DK338" t="b">
        <f t="shared" si="718"/>
        <v>0</v>
      </c>
      <c r="DL338" t="b">
        <f t="shared" si="719"/>
        <v>0</v>
      </c>
      <c r="DM338" t="b">
        <f t="shared" si="720"/>
        <v>0</v>
      </c>
      <c r="DN338" t="b">
        <f t="shared" si="721"/>
        <v>0</v>
      </c>
      <c r="DO338" t="b">
        <f t="shared" si="722"/>
        <v>0</v>
      </c>
      <c r="DP338" t="b">
        <f t="shared" si="723"/>
        <v>0</v>
      </c>
      <c r="DQ338" t="b">
        <f t="shared" si="724"/>
        <v>0</v>
      </c>
      <c r="DR338" t="b">
        <f t="shared" si="725"/>
        <v>0</v>
      </c>
      <c r="DS338" t="b">
        <f t="shared" si="726"/>
        <v>0</v>
      </c>
      <c r="DT338" t="b">
        <f t="shared" si="727"/>
        <v>0</v>
      </c>
      <c r="DU338" t="b">
        <f t="shared" si="728"/>
        <v>0</v>
      </c>
      <c r="DV338" t="b">
        <f t="shared" si="729"/>
        <v>0</v>
      </c>
      <c r="DW338" t="b">
        <f t="shared" si="730"/>
        <v>0</v>
      </c>
      <c r="DX338" t="b">
        <f t="shared" si="731"/>
        <v>0</v>
      </c>
      <c r="DY338" t="b">
        <f t="shared" si="732"/>
        <v>0</v>
      </c>
      <c r="DZ338" t="b">
        <f t="shared" si="733"/>
        <v>0</v>
      </c>
      <c r="EA338" t="b">
        <f t="shared" si="734"/>
        <v>0</v>
      </c>
      <c r="EB338" t="b">
        <f t="shared" si="735"/>
        <v>0</v>
      </c>
      <c r="EC338" t="b">
        <f t="shared" si="736"/>
        <v>0</v>
      </c>
      <c r="ED338" t="b">
        <f t="shared" si="737"/>
        <v>0</v>
      </c>
      <c r="EE338" t="b">
        <f t="shared" si="738"/>
        <v>0</v>
      </c>
      <c r="EF338">
        <f t="shared" si="739"/>
        <v>1</v>
      </c>
      <c r="EG338" t="b">
        <f t="shared" si="740"/>
        <v>0</v>
      </c>
      <c r="EH338" t="b">
        <f t="shared" si="741"/>
        <v>0</v>
      </c>
      <c r="EI338" t="b">
        <f t="shared" si="742"/>
        <v>0</v>
      </c>
      <c r="EJ338" t="b">
        <f t="shared" si="743"/>
        <v>0</v>
      </c>
      <c r="EK338" t="b">
        <f t="shared" si="744"/>
        <v>0</v>
      </c>
    </row>
    <row r="339" spans="1:141">
      <c r="A339" t="s">
        <v>1770</v>
      </c>
      <c r="B339" t="s">
        <v>1771</v>
      </c>
      <c r="C339" t="s">
        <v>1772</v>
      </c>
      <c r="D339" s="1">
        <v>42554</v>
      </c>
      <c r="E339" s="2">
        <v>43402.991481481484</v>
      </c>
      <c r="F339" s="2">
        <v>43402.993483796294</v>
      </c>
      <c r="G339">
        <v>326714</v>
      </c>
      <c r="H339" t="s">
        <v>1773</v>
      </c>
      <c r="I339" s="10" t="s">
        <v>1774</v>
      </c>
      <c r="J339" t="s">
        <v>199</v>
      </c>
      <c r="K339" s="8" t="b">
        <v>1</v>
      </c>
      <c r="L339" s="10" t="b">
        <v>0</v>
      </c>
      <c r="M339" s="12" t="b">
        <v>0</v>
      </c>
      <c r="N339" t="b">
        <v>0</v>
      </c>
      <c r="O339" t="b">
        <v>0</v>
      </c>
      <c r="P339" t="b">
        <v>0</v>
      </c>
      <c r="Q339">
        <f t="shared" si="621"/>
        <v>1</v>
      </c>
      <c r="R339">
        <f t="shared" si="622"/>
        <v>7</v>
      </c>
      <c r="S339" t="e">
        <f t="shared" ca="1" si="652"/>
        <v>#NAME?</v>
      </c>
      <c r="T339" t="e">
        <f t="shared" ca="1" si="623"/>
        <v>#NAME?</v>
      </c>
      <c r="U339" s="4">
        <f t="shared" si="624"/>
        <v>848.99148148148379</v>
      </c>
      <c r="V339" s="4">
        <f t="shared" si="625"/>
        <v>28.299716049382791</v>
      </c>
      <c r="W339" s="4">
        <f t="shared" si="626"/>
        <v>1</v>
      </c>
      <c r="X339" s="4">
        <f t="shared" si="627"/>
        <v>0</v>
      </c>
      <c r="Y339" s="4">
        <f t="shared" si="628"/>
        <v>0</v>
      </c>
      <c r="Z339" s="4">
        <f t="shared" si="629"/>
        <v>0</v>
      </c>
      <c r="AA339" s="4">
        <f t="shared" si="630"/>
        <v>0</v>
      </c>
      <c r="AB339" s="4">
        <f t="shared" si="631"/>
        <v>0</v>
      </c>
      <c r="AC339" s="4"/>
      <c r="AD339" s="4" t="b">
        <f t="shared" si="632"/>
        <v>0</v>
      </c>
      <c r="AE339" s="4" t="b">
        <f t="shared" si="633"/>
        <v>0</v>
      </c>
      <c r="AF339" s="4" t="b">
        <f t="shared" si="634"/>
        <v>0</v>
      </c>
      <c r="AG339" t="b">
        <f t="shared" si="635"/>
        <v>0</v>
      </c>
      <c r="AH339" t="b">
        <f t="shared" si="636"/>
        <v>0</v>
      </c>
      <c r="AI339" t="b">
        <f t="shared" si="637"/>
        <v>0</v>
      </c>
      <c r="AJ339" t="b">
        <f t="shared" si="638"/>
        <v>0</v>
      </c>
      <c r="AK339" t="b">
        <f t="shared" si="639"/>
        <v>0</v>
      </c>
      <c r="AL339" t="b">
        <f t="shared" si="640"/>
        <v>0</v>
      </c>
      <c r="AM339" t="b">
        <f t="shared" si="641"/>
        <v>0</v>
      </c>
      <c r="AN339" t="b">
        <f t="shared" si="642"/>
        <v>0</v>
      </c>
      <c r="AO339" t="b">
        <f t="shared" si="643"/>
        <v>0</v>
      </c>
      <c r="AP339" t="b">
        <f t="shared" si="644"/>
        <v>0</v>
      </c>
      <c r="AQ339" t="b">
        <f t="shared" si="645"/>
        <v>0</v>
      </c>
      <c r="AR339" t="b">
        <f t="shared" si="646"/>
        <v>0</v>
      </c>
      <c r="AS339" t="b">
        <f t="shared" si="647"/>
        <v>0</v>
      </c>
      <c r="AT339" t="b">
        <f t="shared" si="648"/>
        <v>0</v>
      </c>
      <c r="AU339" t="b">
        <f t="shared" si="649"/>
        <v>0</v>
      </c>
      <c r="AV339" t="b">
        <f t="shared" si="650"/>
        <v>0</v>
      </c>
      <c r="AW339" t="b">
        <f t="shared" si="651"/>
        <v>0</v>
      </c>
      <c r="AX339" t="b">
        <f t="shared" si="653"/>
        <v>0</v>
      </c>
      <c r="AY339" t="b">
        <f t="shared" si="654"/>
        <v>0</v>
      </c>
      <c r="AZ339">
        <f t="shared" si="655"/>
        <v>1</v>
      </c>
      <c r="BA339" t="b">
        <f t="shared" si="656"/>
        <v>0</v>
      </c>
      <c r="BB339" t="b">
        <f t="shared" si="657"/>
        <v>0</v>
      </c>
      <c r="BC339" t="b">
        <f t="shared" si="658"/>
        <v>0</v>
      </c>
      <c r="BD339" t="b">
        <f t="shared" si="659"/>
        <v>0</v>
      </c>
      <c r="BE339" t="b">
        <f t="shared" si="660"/>
        <v>0</v>
      </c>
      <c r="BF339" t="b">
        <f t="shared" si="661"/>
        <v>0</v>
      </c>
      <c r="BG339" t="b">
        <f t="shared" si="662"/>
        <v>0</v>
      </c>
      <c r="BH339" t="b">
        <f t="shared" si="663"/>
        <v>0</v>
      </c>
      <c r="BI339">
        <f t="shared" si="664"/>
        <v>1</v>
      </c>
      <c r="BJ339" t="b">
        <f t="shared" si="665"/>
        <v>0</v>
      </c>
      <c r="BK339" t="b">
        <f t="shared" si="666"/>
        <v>0</v>
      </c>
      <c r="BL339" t="b">
        <f t="shared" si="667"/>
        <v>0</v>
      </c>
      <c r="BM339" t="b">
        <f t="shared" si="668"/>
        <v>0</v>
      </c>
      <c r="BN339" t="b">
        <f t="shared" si="669"/>
        <v>0</v>
      </c>
      <c r="BO339" t="b">
        <f t="shared" si="670"/>
        <v>0</v>
      </c>
      <c r="BP339" t="b">
        <f t="shared" si="671"/>
        <v>0</v>
      </c>
      <c r="BQ339" t="b">
        <f t="shared" si="672"/>
        <v>0</v>
      </c>
      <c r="BR339" t="b">
        <f t="shared" si="673"/>
        <v>0</v>
      </c>
      <c r="BS339" t="b">
        <f t="shared" si="674"/>
        <v>0</v>
      </c>
      <c r="BT339" t="b">
        <f t="shared" si="675"/>
        <v>0</v>
      </c>
      <c r="BU339" t="b">
        <f t="shared" si="676"/>
        <v>0</v>
      </c>
      <c r="BV339" t="b">
        <f t="shared" si="677"/>
        <v>0</v>
      </c>
      <c r="BW339" t="b">
        <f t="shared" si="678"/>
        <v>0</v>
      </c>
      <c r="BX339" t="b">
        <f t="shared" si="679"/>
        <v>0</v>
      </c>
      <c r="BY339" t="b">
        <f t="shared" si="680"/>
        <v>0</v>
      </c>
      <c r="BZ339" t="b">
        <f t="shared" si="681"/>
        <v>0</v>
      </c>
      <c r="CA339" t="b">
        <f t="shared" si="682"/>
        <v>0</v>
      </c>
      <c r="CB339" t="b">
        <f t="shared" si="683"/>
        <v>0</v>
      </c>
      <c r="CC339" t="b">
        <f t="shared" si="684"/>
        <v>0</v>
      </c>
      <c r="CD339" t="b">
        <f t="shared" si="685"/>
        <v>0</v>
      </c>
      <c r="CE339">
        <f t="shared" si="686"/>
        <v>1</v>
      </c>
      <c r="CF339" t="b">
        <f t="shared" si="687"/>
        <v>0</v>
      </c>
      <c r="CG339" t="b">
        <f t="shared" si="688"/>
        <v>0</v>
      </c>
      <c r="CH339" t="b">
        <f t="shared" si="689"/>
        <v>0</v>
      </c>
      <c r="CI339" t="b">
        <f t="shared" si="690"/>
        <v>0</v>
      </c>
      <c r="CJ339" t="b">
        <f t="shared" si="691"/>
        <v>0</v>
      </c>
      <c r="CK339" t="b">
        <f t="shared" si="692"/>
        <v>0</v>
      </c>
      <c r="CL339" t="b">
        <f t="shared" si="693"/>
        <v>0</v>
      </c>
      <c r="CM339" t="b">
        <f t="shared" si="694"/>
        <v>0</v>
      </c>
      <c r="CN339" t="b">
        <f t="shared" si="695"/>
        <v>0</v>
      </c>
      <c r="CO339" t="b">
        <f t="shared" si="696"/>
        <v>0</v>
      </c>
      <c r="CP339" t="b">
        <f t="shared" si="697"/>
        <v>0</v>
      </c>
      <c r="CQ339" t="b">
        <f t="shared" si="698"/>
        <v>0</v>
      </c>
      <c r="CR339" t="b">
        <f t="shared" si="699"/>
        <v>0</v>
      </c>
      <c r="CS339" t="b">
        <f t="shared" si="700"/>
        <v>0</v>
      </c>
      <c r="CT339" t="b">
        <f t="shared" si="701"/>
        <v>0</v>
      </c>
      <c r="CU339" t="b">
        <f t="shared" si="702"/>
        <v>0</v>
      </c>
      <c r="CV339">
        <f t="shared" si="703"/>
        <v>1</v>
      </c>
      <c r="CW339" t="b">
        <f t="shared" si="704"/>
        <v>0</v>
      </c>
      <c r="CX339" t="b">
        <f t="shared" si="705"/>
        <v>0</v>
      </c>
      <c r="CY339" t="b">
        <f t="shared" si="706"/>
        <v>0</v>
      </c>
      <c r="CZ339" t="b">
        <f t="shared" si="707"/>
        <v>0</v>
      </c>
      <c r="DA339" t="b">
        <f t="shared" si="708"/>
        <v>0</v>
      </c>
      <c r="DB339" t="b">
        <f t="shared" si="709"/>
        <v>0</v>
      </c>
      <c r="DC339" t="b">
        <f t="shared" si="710"/>
        <v>0</v>
      </c>
      <c r="DD339" t="b">
        <f t="shared" si="711"/>
        <v>0</v>
      </c>
      <c r="DE339" t="b">
        <f t="shared" si="712"/>
        <v>0</v>
      </c>
      <c r="DF339" t="b">
        <f t="shared" si="713"/>
        <v>0</v>
      </c>
      <c r="DG339" t="b">
        <f t="shared" si="714"/>
        <v>0</v>
      </c>
      <c r="DH339" t="b">
        <f t="shared" si="715"/>
        <v>0</v>
      </c>
      <c r="DI339" t="b">
        <f t="shared" si="716"/>
        <v>0</v>
      </c>
      <c r="DJ339" t="b">
        <f t="shared" si="717"/>
        <v>0</v>
      </c>
      <c r="DK339" t="b">
        <f t="shared" si="718"/>
        <v>0</v>
      </c>
      <c r="DL339" t="b">
        <f t="shared" si="719"/>
        <v>0</v>
      </c>
      <c r="DM339" t="b">
        <f t="shared" si="720"/>
        <v>0</v>
      </c>
      <c r="DN339" t="b">
        <f t="shared" si="721"/>
        <v>0</v>
      </c>
      <c r="DO339" t="b">
        <f t="shared" si="722"/>
        <v>0</v>
      </c>
      <c r="DP339" t="b">
        <f t="shared" si="723"/>
        <v>0</v>
      </c>
      <c r="DQ339" t="b">
        <f t="shared" si="724"/>
        <v>0</v>
      </c>
      <c r="DR339" t="b">
        <f t="shared" si="725"/>
        <v>0</v>
      </c>
      <c r="DS339" t="b">
        <f t="shared" si="726"/>
        <v>0</v>
      </c>
      <c r="DT339" t="b">
        <f t="shared" si="727"/>
        <v>0</v>
      </c>
      <c r="DU339" t="b">
        <f t="shared" si="728"/>
        <v>0</v>
      </c>
      <c r="DV339" t="b">
        <f t="shared" si="729"/>
        <v>0</v>
      </c>
      <c r="DW339" t="b">
        <f t="shared" si="730"/>
        <v>0</v>
      </c>
      <c r="DX339" t="b">
        <f t="shared" si="731"/>
        <v>0</v>
      </c>
      <c r="DY339" t="b">
        <f t="shared" si="732"/>
        <v>0</v>
      </c>
      <c r="DZ339" t="b">
        <f t="shared" si="733"/>
        <v>0</v>
      </c>
      <c r="EA339" t="b">
        <f t="shared" si="734"/>
        <v>0</v>
      </c>
      <c r="EB339" t="b">
        <f t="shared" si="735"/>
        <v>0</v>
      </c>
      <c r="EC339" t="b">
        <f t="shared" si="736"/>
        <v>0</v>
      </c>
      <c r="ED339" t="b">
        <f t="shared" si="737"/>
        <v>0</v>
      </c>
      <c r="EE339" t="b">
        <f t="shared" si="738"/>
        <v>0</v>
      </c>
      <c r="EF339">
        <f t="shared" si="739"/>
        <v>1</v>
      </c>
      <c r="EG339" t="b">
        <f t="shared" si="740"/>
        <v>0</v>
      </c>
      <c r="EH339" t="b">
        <f t="shared" si="741"/>
        <v>0</v>
      </c>
      <c r="EI339" t="b">
        <f t="shared" si="742"/>
        <v>0</v>
      </c>
      <c r="EJ339" t="b">
        <f t="shared" si="743"/>
        <v>0</v>
      </c>
      <c r="EK339" t="b">
        <f t="shared" si="744"/>
        <v>0</v>
      </c>
    </row>
    <row r="340" spans="1:141">
      <c r="A340" t="s">
        <v>1775</v>
      </c>
      <c r="B340" t="s">
        <v>1775</v>
      </c>
      <c r="C340" t="s">
        <v>1776</v>
      </c>
      <c r="D340" s="1">
        <v>44590</v>
      </c>
      <c r="E340" s="2">
        <v>44623.13008101852</v>
      </c>
      <c r="F340" s="2">
        <v>44623.141712962963</v>
      </c>
      <c r="G340">
        <v>101004</v>
      </c>
      <c r="H340" t="s">
        <v>1777</v>
      </c>
      <c r="I340" s="10" t="s">
        <v>1778</v>
      </c>
      <c r="J340" t="s">
        <v>156</v>
      </c>
      <c r="K340" s="8" t="b">
        <v>1</v>
      </c>
      <c r="L340" s="10" t="b">
        <v>0</v>
      </c>
      <c r="M340" s="12" t="b">
        <v>0</v>
      </c>
      <c r="N340" t="b">
        <v>0</v>
      </c>
      <c r="O340" t="b">
        <v>0</v>
      </c>
      <c r="P340" t="b">
        <v>0</v>
      </c>
      <c r="Q340">
        <f t="shared" si="621"/>
        <v>7</v>
      </c>
      <c r="R340">
        <f t="shared" si="622"/>
        <v>1</v>
      </c>
      <c r="S340" t="e">
        <f t="shared" ca="1" si="652"/>
        <v>#NAME?</v>
      </c>
      <c r="T340" t="e">
        <f t="shared" ca="1" si="623"/>
        <v>#NAME?</v>
      </c>
      <c r="U340" s="4">
        <f t="shared" si="624"/>
        <v>33.130081018520286</v>
      </c>
      <c r="V340" s="4">
        <f t="shared" si="625"/>
        <v>1.1043360339506763</v>
      </c>
      <c r="W340" s="4">
        <f t="shared" si="626"/>
        <v>1</v>
      </c>
      <c r="X340" s="4">
        <f t="shared" si="627"/>
        <v>0</v>
      </c>
      <c r="Y340" s="4">
        <f t="shared" si="628"/>
        <v>0</v>
      </c>
      <c r="Z340" s="4">
        <f t="shared" si="629"/>
        <v>0</v>
      </c>
      <c r="AA340" s="4">
        <f t="shared" si="630"/>
        <v>0</v>
      </c>
      <c r="AB340" s="4">
        <f t="shared" si="631"/>
        <v>0</v>
      </c>
      <c r="AC340" s="4"/>
      <c r="AD340" s="4" t="b">
        <f t="shared" si="632"/>
        <v>0</v>
      </c>
      <c r="AE340" s="4" t="b">
        <f t="shared" si="633"/>
        <v>0</v>
      </c>
      <c r="AF340" s="4" t="b">
        <f t="shared" si="634"/>
        <v>0</v>
      </c>
      <c r="AG340" t="b">
        <f t="shared" si="635"/>
        <v>0</v>
      </c>
      <c r="AH340" t="b">
        <f t="shared" si="636"/>
        <v>0</v>
      </c>
      <c r="AI340" t="b">
        <f t="shared" si="637"/>
        <v>0</v>
      </c>
      <c r="AJ340" t="b">
        <f t="shared" si="638"/>
        <v>0</v>
      </c>
      <c r="AK340" t="b">
        <f t="shared" si="639"/>
        <v>0</v>
      </c>
      <c r="AL340" t="b">
        <f t="shared" si="640"/>
        <v>0</v>
      </c>
      <c r="AM340" t="b">
        <f t="shared" si="641"/>
        <v>0</v>
      </c>
      <c r="AN340" t="b">
        <f t="shared" si="642"/>
        <v>0</v>
      </c>
      <c r="AO340" t="b">
        <f t="shared" si="643"/>
        <v>0</v>
      </c>
      <c r="AP340" t="b">
        <f t="shared" si="644"/>
        <v>0</v>
      </c>
      <c r="AQ340" t="b">
        <f t="shared" si="645"/>
        <v>0</v>
      </c>
      <c r="AR340" t="b">
        <f t="shared" si="646"/>
        <v>0</v>
      </c>
      <c r="AS340" t="b">
        <f t="shared" si="647"/>
        <v>0</v>
      </c>
      <c r="AT340" t="b">
        <f t="shared" si="648"/>
        <v>0</v>
      </c>
      <c r="AU340" t="b">
        <f t="shared" si="649"/>
        <v>0</v>
      </c>
      <c r="AV340" t="b">
        <f t="shared" si="650"/>
        <v>0</v>
      </c>
      <c r="AW340" t="b">
        <f t="shared" si="651"/>
        <v>0</v>
      </c>
      <c r="AX340" t="b">
        <f t="shared" si="653"/>
        <v>0</v>
      </c>
      <c r="AY340" t="b">
        <f t="shared" si="654"/>
        <v>0</v>
      </c>
      <c r="AZ340" t="b">
        <f t="shared" si="655"/>
        <v>0</v>
      </c>
      <c r="BA340" t="b">
        <f t="shared" si="656"/>
        <v>0</v>
      </c>
      <c r="BB340" t="b">
        <f t="shared" si="657"/>
        <v>0</v>
      </c>
      <c r="BC340" t="b">
        <f t="shared" si="658"/>
        <v>0</v>
      </c>
      <c r="BD340" t="b">
        <f t="shared" si="659"/>
        <v>0</v>
      </c>
      <c r="BE340" t="b">
        <f t="shared" si="660"/>
        <v>0</v>
      </c>
      <c r="BF340" t="b">
        <f t="shared" si="661"/>
        <v>0</v>
      </c>
      <c r="BG340" t="b">
        <f t="shared" si="662"/>
        <v>0</v>
      </c>
      <c r="BH340" t="b">
        <f t="shared" si="663"/>
        <v>0</v>
      </c>
      <c r="BI340">
        <f t="shared" si="664"/>
        <v>1</v>
      </c>
      <c r="BJ340" t="b">
        <f t="shared" si="665"/>
        <v>0</v>
      </c>
      <c r="BK340" t="b">
        <f t="shared" si="666"/>
        <v>0</v>
      </c>
      <c r="BL340" t="b">
        <f t="shared" si="667"/>
        <v>0</v>
      </c>
      <c r="BM340" t="b">
        <f t="shared" si="668"/>
        <v>0</v>
      </c>
      <c r="BN340" t="b">
        <f t="shared" si="669"/>
        <v>0</v>
      </c>
      <c r="BO340" t="b">
        <f t="shared" si="670"/>
        <v>0</v>
      </c>
      <c r="BP340" t="b">
        <f t="shared" si="671"/>
        <v>0</v>
      </c>
      <c r="BQ340" t="b">
        <f t="shared" si="672"/>
        <v>0</v>
      </c>
      <c r="BR340" t="b">
        <f t="shared" si="673"/>
        <v>0</v>
      </c>
      <c r="BS340" t="b">
        <f t="shared" si="674"/>
        <v>0</v>
      </c>
      <c r="BT340" t="b">
        <f t="shared" si="675"/>
        <v>0</v>
      </c>
      <c r="BU340" t="b">
        <f t="shared" si="676"/>
        <v>0</v>
      </c>
      <c r="BV340" t="b">
        <f t="shared" si="677"/>
        <v>0</v>
      </c>
      <c r="BW340" t="b">
        <f t="shared" si="678"/>
        <v>0</v>
      </c>
      <c r="BX340" t="b">
        <f t="shared" si="679"/>
        <v>0</v>
      </c>
      <c r="BY340" t="b">
        <f t="shared" si="680"/>
        <v>0</v>
      </c>
      <c r="BZ340" t="b">
        <f t="shared" si="681"/>
        <v>0</v>
      </c>
      <c r="CA340" t="b">
        <f t="shared" si="682"/>
        <v>0</v>
      </c>
      <c r="CB340" t="b">
        <f t="shared" si="683"/>
        <v>0</v>
      </c>
      <c r="CC340" t="b">
        <f t="shared" si="684"/>
        <v>0</v>
      </c>
      <c r="CD340" t="b">
        <f t="shared" si="685"/>
        <v>0</v>
      </c>
      <c r="CE340" t="b">
        <f t="shared" si="686"/>
        <v>0</v>
      </c>
      <c r="CF340" t="b">
        <f t="shared" si="687"/>
        <v>0</v>
      </c>
      <c r="CG340" t="b">
        <f t="shared" si="688"/>
        <v>0</v>
      </c>
      <c r="CH340" t="b">
        <f t="shared" si="689"/>
        <v>0</v>
      </c>
      <c r="CI340" t="b">
        <f t="shared" si="690"/>
        <v>0</v>
      </c>
      <c r="CJ340" t="b">
        <f t="shared" si="691"/>
        <v>0</v>
      </c>
      <c r="CK340" t="b">
        <f t="shared" si="692"/>
        <v>0</v>
      </c>
      <c r="CL340" t="b">
        <f t="shared" si="693"/>
        <v>0</v>
      </c>
      <c r="CM340" t="b">
        <f t="shared" si="694"/>
        <v>0</v>
      </c>
      <c r="CN340" t="b">
        <f t="shared" si="695"/>
        <v>0</v>
      </c>
      <c r="CO340" t="b">
        <f t="shared" si="696"/>
        <v>0</v>
      </c>
      <c r="CP340" t="b">
        <f t="shared" si="697"/>
        <v>0</v>
      </c>
      <c r="CQ340" t="b">
        <f t="shared" si="698"/>
        <v>0</v>
      </c>
      <c r="CR340" t="b">
        <f t="shared" si="699"/>
        <v>0</v>
      </c>
      <c r="CS340" t="b">
        <f t="shared" si="700"/>
        <v>0</v>
      </c>
      <c r="CT340" t="b">
        <f t="shared" si="701"/>
        <v>0</v>
      </c>
      <c r="CU340" t="b">
        <f t="shared" si="702"/>
        <v>0</v>
      </c>
      <c r="CV340">
        <f t="shared" si="703"/>
        <v>1</v>
      </c>
      <c r="CW340" t="b">
        <f t="shared" si="704"/>
        <v>0</v>
      </c>
      <c r="CX340" t="b">
        <f t="shared" si="705"/>
        <v>0</v>
      </c>
      <c r="CY340" t="b">
        <f t="shared" si="706"/>
        <v>0</v>
      </c>
      <c r="CZ340" t="b">
        <f t="shared" si="707"/>
        <v>0</v>
      </c>
      <c r="DA340" t="b">
        <f t="shared" si="708"/>
        <v>0</v>
      </c>
      <c r="DB340" t="b">
        <f t="shared" si="709"/>
        <v>0</v>
      </c>
      <c r="DC340" t="b">
        <f t="shared" si="710"/>
        <v>0</v>
      </c>
      <c r="DD340" t="b">
        <f t="shared" si="711"/>
        <v>0</v>
      </c>
      <c r="DE340" t="b">
        <f t="shared" si="712"/>
        <v>0</v>
      </c>
      <c r="DF340" t="b">
        <f t="shared" si="713"/>
        <v>0</v>
      </c>
      <c r="DG340" t="b">
        <f t="shared" si="714"/>
        <v>0</v>
      </c>
      <c r="DH340" t="b">
        <f t="shared" si="715"/>
        <v>0</v>
      </c>
      <c r="DI340" t="b">
        <f t="shared" si="716"/>
        <v>0</v>
      </c>
      <c r="DJ340" t="b">
        <f t="shared" si="717"/>
        <v>0</v>
      </c>
      <c r="DK340" t="b">
        <f t="shared" si="718"/>
        <v>0</v>
      </c>
      <c r="DL340" t="b">
        <f t="shared" si="719"/>
        <v>0</v>
      </c>
      <c r="DM340" t="b">
        <f t="shared" si="720"/>
        <v>0</v>
      </c>
      <c r="DN340" t="b">
        <f t="shared" si="721"/>
        <v>0</v>
      </c>
      <c r="DO340" t="b">
        <f t="shared" si="722"/>
        <v>0</v>
      </c>
      <c r="DP340" t="b">
        <f t="shared" si="723"/>
        <v>0</v>
      </c>
      <c r="DQ340" t="b">
        <f t="shared" si="724"/>
        <v>0</v>
      </c>
      <c r="DR340" t="b">
        <f t="shared" si="725"/>
        <v>0</v>
      </c>
      <c r="DS340" t="b">
        <f t="shared" si="726"/>
        <v>0</v>
      </c>
      <c r="DT340" t="b">
        <f t="shared" si="727"/>
        <v>0</v>
      </c>
      <c r="DU340" t="b">
        <f t="shared" si="728"/>
        <v>0</v>
      </c>
      <c r="DV340" t="b">
        <f t="shared" si="729"/>
        <v>0</v>
      </c>
      <c r="DW340" t="b">
        <f t="shared" si="730"/>
        <v>0</v>
      </c>
      <c r="DX340" t="b">
        <f t="shared" si="731"/>
        <v>0</v>
      </c>
      <c r="DY340" t="b">
        <f t="shared" si="732"/>
        <v>0</v>
      </c>
      <c r="DZ340" t="b">
        <f t="shared" si="733"/>
        <v>0</v>
      </c>
      <c r="EA340" t="b">
        <f t="shared" si="734"/>
        <v>0</v>
      </c>
      <c r="EB340" t="b">
        <f t="shared" si="735"/>
        <v>0</v>
      </c>
      <c r="EC340" t="b">
        <f t="shared" si="736"/>
        <v>0</v>
      </c>
      <c r="ED340" t="b">
        <f t="shared" si="737"/>
        <v>0</v>
      </c>
      <c r="EE340" t="b">
        <f t="shared" si="738"/>
        <v>0</v>
      </c>
      <c r="EF340">
        <f t="shared" si="739"/>
        <v>1</v>
      </c>
      <c r="EG340" t="b">
        <f t="shared" si="740"/>
        <v>0</v>
      </c>
      <c r="EH340" t="b">
        <f t="shared" si="741"/>
        <v>0</v>
      </c>
      <c r="EI340" t="b">
        <f t="shared" si="742"/>
        <v>0</v>
      </c>
      <c r="EJ340" t="b">
        <f t="shared" si="743"/>
        <v>0</v>
      </c>
      <c r="EK340" t="b">
        <f t="shared" si="744"/>
        <v>0</v>
      </c>
    </row>
    <row r="341" spans="1:141">
      <c r="A341" t="s">
        <v>1779</v>
      </c>
      <c r="B341" t="s">
        <v>1779</v>
      </c>
      <c r="C341" t="s">
        <v>1780</v>
      </c>
      <c r="D341" s="1">
        <v>42308</v>
      </c>
      <c r="E341" s="2">
        <v>42308.996134259258</v>
      </c>
      <c r="F341" s="2">
        <v>42308.996134259258</v>
      </c>
      <c r="G341">
        <v>93992</v>
      </c>
      <c r="H341" t="s">
        <v>1781</v>
      </c>
      <c r="I341" s="10" t="s">
        <v>1782</v>
      </c>
      <c r="J341" t="s">
        <v>156</v>
      </c>
      <c r="K341" s="8" t="b">
        <v>1</v>
      </c>
      <c r="L341" s="10" t="b">
        <v>0</v>
      </c>
      <c r="M341" s="12" t="b">
        <v>0</v>
      </c>
      <c r="N341" t="b">
        <v>0</v>
      </c>
      <c r="O341" t="b">
        <v>0</v>
      </c>
      <c r="P341" t="b">
        <v>0</v>
      </c>
      <c r="Q341">
        <f t="shared" si="621"/>
        <v>7</v>
      </c>
      <c r="R341">
        <f t="shared" si="622"/>
        <v>10</v>
      </c>
      <c r="S341" t="e">
        <f t="shared" ca="1" si="652"/>
        <v>#NAME?</v>
      </c>
      <c r="T341" t="e">
        <f t="shared" ca="1" si="623"/>
        <v>#NAME?</v>
      </c>
      <c r="U341" s="4">
        <f t="shared" si="624"/>
        <v>0.99613425925781485</v>
      </c>
      <c r="V341" s="4">
        <f t="shared" si="625"/>
        <v>3.3204475308593828E-2</v>
      </c>
      <c r="W341" s="4">
        <f t="shared" si="626"/>
        <v>1</v>
      </c>
      <c r="X341" s="4">
        <f t="shared" si="627"/>
        <v>0</v>
      </c>
      <c r="Y341" s="4">
        <f t="shared" si="628"/>
        <v>0</v>
      </c>
      <c r="Z341" s="4">
        <f t="shared" si="629"/>
        <v>0</v>
      </c>
      <c r="AA341" s="4">
        <f t="shared" si="630"/>
        <v>0</v>
      </c>
      <c r="AB341" s="4">
        <f t="shared" si="631"/>
        <v>0</v>
      </c>
      <c r="AC341" s="4"/>
      <c r="AD341" s="4" t="b">
        <f t="shared" si="632"/>
        <v>0</v>
      </c>
      <c r="AE341" s="4" t="b">
        <f t="shared" si="633"/>
        <v>0</v>
      </c>
      <c r="AF341" s="4" t="b">
        <f t="shared" si="634"/>
        <v>0</v>
      </c>
      <c r="AG341" t="b">
        <f t="shared" si="635"/>
        <v>0</v>
      </c>
      <c r="AH341" t="b">
        <f t="shared" si="636"/>
        <v>0</v>
      </c>
      <c r="AI341" t="b">
        <f t="shared" si="637"/>
        <v>0</v>
      </c>
      <c r="AJ341" t="b">
        <f t="shared" si="638"/>
        <v>0</v>
      </c>
      <c r="AK341" t="b">
        <f t="shared" si="639"/>
        <v>0</v>
      </c>
      <c r="AL341" t="b">
        <f t="shared" si="640"/>
        <v>0</v>
      </c>
      <c r="AM341" t="b">
        <f t="shared" si="641"/>
        <v>0</v>
      </c>
      <c r="AN341" t="b">
        <f t="shared" si="642"/>
        <v>0</v>
      </c>
      <c r="AO341" t="b">
        <f t="shared" si="643"/>
        <v>0</v>
      </c>
      <c r="AP341" t="b">
        <f t="shared" si="644"/>
        <v>0</v>
      </c>
      <c r="AQ341" t="b">
        <f t="shared" si="645"/>
        <v>0</v>
      </c>
      <c r="AR341" t="b">
        <f t="shared" si="646"/>
        <v>0</v>
      </c>
      <c r="AS341" t="b">
        <f t="shared" si="647"/>
        <v>0</v>
      </c>
      <c r="AT341" t="b">
        <f t="shared" si="648"/>
        <v>0</v>
      </c>
      <c r="AU341" t="b">
        <f t="shared" si="649"/>
        <v>0</v>
      </c>
      <c r="AV341" t="b">
        <f t="shared" si="650"/>
        <v>0</v>
      </c>
      <c r="AW341" t="b">
        <f t="shared" si="651"/>
        <v>0</v>
      </c>
      <c r="AX341" t="b">
        <f t="shared" si="653"/>
        <v>0</v>
      </c>
      <c r="AY341" t="b">
        <f t="shared" si="654"/>
        <v>0</v>
      </c>
      <c r="AZ341" t="b">
        <f t="shared" si="655"/>
        <v>0</v>
      </c>
      <c r="BA341" t="b">
        <f t="shared" si="656"/>
        <v>0</v>
      </c>
      <c r="BB341" t="b">
        <f t="shared" si="657"/>
        <v>0</v>
      </c>
      <c r="BC341" t="b">
        <f t="shared" si="658"/>
        <v>0</v>
      </c>
      <c r="BD341" t="b">
        <f t="shared" si="659"/>
        <v>0</v>
      </c>
      <c r="BE341" t="b">
        <f t="shared" si="660"/>
        <v>0</v>
      </c>
      <c r="BF341" t="b">
        <f t="shared" si="661"/>
        <v>0</v>
      </c>
      <c r="BG341" t="b">
        <f t="shared" si="662"/>
        <v>0</v>
      </c>
      <c r="BH341" t="b">
        <f t="shared" si="663"/>
        <v>0</v>
      </c>
      <c r="BI341">
        <f t="shared" si="664"/>
        <v>1</v>
      </c>
      <c r="BJ341" t="b">
        <f t="shared" si="665"/>
        <v>0</v>
      </c>
      <c r="BK341" t="b">
        <f t="shared" si="666"/>
        <v>0</v>
      </c>
      <c r="BL341" t="b">
        <f t="shared" si="667"/>
        <v>0</v>
      </c>
      <c r="BM341" t="b">
        <f t="shared" si="668"/>
        <v>0</v>
      </c>
      <c r="BN341" t="b">
        <f t="shared" si="669"/>
        <v>0</v>
      </c>
      <c r="BO341" t="b">
        <f t="shared" si="670"/>
        <v>0</v>
      </c>
      <c r="BP341" t="b">
        <f t="shared" si="671"/>
        <v>0</v>
      </c>
      <c r="BQ341" t="b">
        <f t="shared" si="672"/>
        <v>0</v>
      </c>
      <c r="BR341" t="b">
        <f t="shared" si="673"/>
        <v>0</v>
      </c>
      <c r="BS341" t="b">
        <f t="shared" si="674"/>
        <v>0</v>
      </c>
      <c r="BT341" t="b">
        <f t="shared" si="675"/>
        <v>0</v>
      </c>
      <c r="BU341" t="b">
        <f t="shared" si="676"/>
        <v>0</v>
      </c>
      <c r="BV341" t="b">
        <f t="shared" si="677"/>
        <v>0</v>
      </c>
      <c r="BW341" t="b">
        <f t="shared" si="678"/>
        <v>0</v>
      </c>
      <c r="BX341" t="b">
        <f t="shared" si="679"/>
        <v>0</v>
      </c>
      <c r="BY341" t="b">
        <f t="shared" si="680"/>
        <v>0</v>
      </c>
      <c r="BZ341" t="b">
        <f t="shared" si="681"/>
        <v>0</v>
      </c>
      <c r="CA341" t="b">
        <f t="shared" si="682"/>
        <v>0</v>
      </c>
      <c r="CB341" t="b">
        <f t="shared" si="683"/>
        <v>0</v>
      </c>
      <c r="CC341" t="b">
        <f t="shared" si="684"/>
        <v>0</v>
      </c>
      <c r="CD341" t="b">
        <f t="shared" si="685"/>
        <v>0</v>
      </c>
      <c r="CE341" t="b">
        <f t="shared" si="686"/>
        <v>0</v>
      </c>
      <c r="CF341" t="b">
        <f t="shared" si="687"/>
        <v>0</v>
      </c>
      <c r="CG341" t="b">
        <f t="shared" si="688"/>
        <v>0</v>
      </c>
      <c r="CH341" t="b">
        <f t="shared" si="689"/>
        <v>0</v>
      </c>
      <c r="CI341" t="b">
        <f t="shared" si="690"/>
        <v>0</v>
      </c>
      <c r="CJ341" t="b">
        <f t="shared" si="691"/>
        <v>0</v>
      </c>
      <c r="CK341" t="b">
        <f t="shared" si="692"/>
        <v>0</v>
      </c>
      <c r="CL341" t="b">
        <f t="shared" si="693"/>
        <v>0</v>
      </c>
      <c r="CM341" t="b">
        <f t="shared" si="694"/>
        <v>0</v>
      </c>
      <c r="CN341" t="b">
        <f t="shared" si="695"/>
        <v>0</v>
      </c>
      <c r="CO341" t="b">
        <f t="shared" si="696"/>
        <v>0</v>
      </c>
      <c r="CP341" t="b">
        <f t="shared" si="697"/>
        <v>0</v>
      </c>
      <c r="CQ341" t="b">
        <f t="shared" si="698"/>
        <v>0</v>
      </c>
      <c r="CR341" t="b">
        <f t="shared" si="699"/>
        <v>0</v>
      </c>
      <c r="CS341" t="b">
        <f t="shared" si="700"/>
        <v>0</v>
      </c>
      <c r="CT341" t="b">
        <f t="shared" si="701"/>
        <v>0</v>
      </c>
      <c r="CU341" t="b">
        <f t="shared" si="702"/>
        <v>0</v>
      </c>
      <c r="CV341">
        <f t="shared" si="703"/>
        <v>1</v>
      </c>
      <c r="CW341" t="b">
        <f t="shared" si="704"/>
        <v>0</v>
      </c>
      <c r="CX341" t="b">
        <f t="shared" si="705"/>
        <v>0</v>
      </c>
      <c r="CY341" t="b">
        <f t="shared" si="706"/>
        <v>0</v>
      </c>
      <c r="CZ341" t="b">
        <f t="shared" si="707"/>
        <v>0</v>
      </c>
      <c r="DA341" t="b">
        <f t="shared" si="708"/>
        <v>0</v>
      </c>
      <c r="DB341" t="b">
        <f t="shared" si="709"/>
        <v>0</v>
      </c>
      <c r="DC341" t="b">
        <f t="shared" si="710"/>
        <v>0</v>
      </c>
      <c r="DD341" t="b">
        <f t="shared" si="711"/>
        <v>0</v>
      </c>
      <c r="DE341" t="b">
        <f t="shared" si="712"/>
        <v>0</v>
      </c>
      <c r="DF341" t="b">
        <f t="shared" si="713"/>
        <v>0</v>
      </c>
      <c r="DG341" t="b">
        <f t="shared" si="714"/>
        <v>0</v>
      </c>
      <c r="DH341" t="b">
        <f t="shared" si="715"/>
        <v>0</v>
      </c>
      <c r="DI341" t="b">
        <f t="shared" si="716"/>
        <v>0</v>
      </c>
      <c r="DJ341" t="b">
        <f t="shared" si="717"/>
        <v>0</v>
      </c>
      <c r="DK341" t="b">
        <f t="shared" si="718"/>
        <v>0</v>
      </c>
      <c r="DL341" t="b">
        <f t="shared" si="719"/>
        <v>0</v>
      </c>
      <c r="DM341" t="b">
        <f t="shared" si="720"/>
        <v>0</v>
      </c>
      <c r="DN341" t="b">
        <f t="shared" si="721"/>
        <v>0</v>
      </c>
      <c r="DO341" t="b">
        <f t="shared" si="722"/>
        <v>0</v>
      </c>
      <c r="DP341" t="b">
        <f t="shared" si="723"/>
        <v>0</v>
      </c>
      <c r="DQ341" t="b">
        <f t="shared" si="724"/>
        <v>0</v>
      </c>
      <c r="DR341" t="b">
        <f t="shared" si="725"/>
        <v>0</v>
      </c>
      <c r="DS341" t="b">
        <f t="shared" si="726"/>
        <v>0</v>
      </c>
      <c r="DT341" t="b">
        <f t="shared" si="727"/>
        <v>0</v>
      </c>
      <c r="DU341" t="b">
        <f t="shared" si="728"/>
        <v>0</v>
      </c>
      <c r="DV341" t="b">
        <f t="shared" si="729"/>
        <v>0</v>
      </c>
      <c r="DW341" t="b">
        <f t="shared" si="730"/>
        <v>0</v>
      </c>
      <c r="DX341" t="b">
        <f t="shared" si="731"/>
        <v>0</v>
      </c>
      <c r="DY341" t="b">
        <f t="shared" si="732"/>
        <v>0</v>
      </c>
      <c r="DZ341" t="b">
        <f t="shared" si="733"/>
        <v>0</v>
      </c>
      <c r="EA341" t="b">
        <f t="shared" si="734"/>
        <v>0</v>
      </c>
      <c r="EB341" t="b">
        <f t="shared" si="735"/>
        <v>0</v>
      </c>
      <c r="EC341" t="b">
        <f t="shared" si="736"/>
        <v>0</v>
      </c>
      <c r="ED341" t="b">
        <f t="shared" si="737"/>
        <v>0</v>
      </c>
      <c r="EE341" t="b">
        <f t="shared" si="738"/>
        <v>0</v>
      </c>
      <c r="EF341">
        <f t="shared" si="739"/>
        <v>1</v>
      </c>
      <c r="EG341" t="b">
        <f t="shared" si="740"/>
        <v>0</v>
      </c>
      <c r="EH341" t="b">
        <f t="shared" si="741"/>
        <v>0</v>
      </c>
      <c r="EI341" t="b">
        <f t="shared" si="742"/>
        <v>0</v>
      </c>
      <c r="EJ341" t="b">
        <f t="shared" si="743"/>
        <v>0</v>
      </c>
      <c r="EK341" t="b">
        <f t="shared" si="744"/>
        <v>0</v>
      </c>
    </row>
    <row r="342" spans="1:141">
      <c r="A342" t="s">
        <v>1783</v>
      </c>
      <c r="B342" t="s">
        <v>1784</v>
      </c>
      <c r="C342" t="s">
        <v>1785</v>
      </c>
      <c r="D342" s="1">
        <v>41892</v>
      </c>
      <c r="E342" s="2">
        <v>41894.201643518521</v>
      </c>
      <c r="F342" s="2">
        <v>43109.152037037034</v>
      </c>
      <c r="G342">
        <v>16630988</v>
      </c>
      <c r="H342" t="s">
        <v>1786</v>
      </c>
      <c r="I342" s="10" t="s">
        <v>1787</v>
      </c>
      <c r="J342" t="s">
        <v>147</v>
      </c>
      <c r="K342" s="8" t="b">
        <v>0</v>
      </c>
      <c r="L342" s="10" t="b">
        <v>0</v>
      </c>
      <c r="M342" s="12" t="b">
        <v>0</v>
      </c>
      <c r="N342" t="b">
        <v>0</v>
      </c>
      <c r="O342" t="b">
        <v>0</v>
      </c>
      <c r="P342" t="b">
        <v>0</v>
      </c>
      <c r="Q342">
        <f t="shared" si="621"/>
        <v>4</v>
      </c>
      <c r="R342">
        <f t="shared" si="622"/>
        <v>9</v>
      </c>
      <c r="S342" t="e">
        <f t="shared" ca="1" si="652"/>
        <v>#NAME?</v>
      </c>
      <c r="T342" t="e">
        <f t="shared" ca="1" si="623"/>
        <v>#NAME?</v>
      </c>
      <c r="U342" s="4">
        <f t="shared" si="624"/>
        <v>2.2016435185214505</v>
      </c>
      <c r="V342" s="4">
        <f t="shared" si="625"/>
        <v>7.3388117284048343E-2</v>
      </c>
      <c r="W342" s="4">
        <f t="shared" si="626"/>
        <v>0</v>
      </c>
      <c r="X342" s="4">
        <f t="shared" si="627"/>
        <v>0</v>
      </c>
      <c r="Y342" s="4">
        <f t="shared" si="628"/>
        <v>0</v>
      </c>
      <c r="Z342" s="4">
        <f t="shared" si="629"/>
        <v>0</v>
      </c>
      <c r="AA342" s="4">
        <f t="shared" si="630"/>
        <v>0</v>
      </c>
      <c r="AB342" s="4">
        <f t="shared" si="631"/>
        <v>0</v>
      </c>
      <c r="AC342" s="4"/>
      <c r="AD342" s="4" t="b">
        <f t="shared" si="632"/>
        <v>0</v>
      </c>
      <c r="AE342" s="4" t="b">
        <f t="shared" si="633"/>
        <v>0</v>
      </c>
      <c r="AF342" s="4" t="b">
        <f t="shared" si="634"/>
        <v>0</v>
      </c>
      <c r="AG342" t="b">
        <f t="shared" si="635"/>
        <v>0</v>
      </c>
      <c r="AH342" t="b">
        <f t="shared" si="636"/>
        <v>0</v>
      </c>
      <c r="AI342" t="b">
        <f t="shared" si="637"/>
        <v>0</v>
      </c>
      <c r="AJ342" t="b">
        <f t="shared" si="638"/>
        <v>0</v>
      </c>
      <c r="AK342" t="b">
        <f t="shared" si="639"/>
        <v>0</v>
      </c>
      <c r="AL342" t="b">
        <f t="shared" si="640"/>
        <v>0</v>
      </c>
      <c r="AM342" t="b">
        <f t="shared" si="641"/>
        <v>0</v>
      </c>
      <c r="AN342" t="b">
        <f t="shared" si="642"/>
        <v>0</v>
      </c>
      <c r="AO342" t="b">
        <f t="shared" si="643"/>
        <v>0</v>
      </c>
      <c r="AP342" t="b">
        <f t="shared" si="644"/>
        <v>0</v>
      </c>
      <c r="AQ342" t="b">
        <f t="shared" si="645"/>
        <v>0</v>
      </c>
      <c r="AR342" t="b">
        <f t="shared" si="646"/>
        <v>0</v>
      </c>
      <c r="AS342" t="b">
        <f t="shared" si="647"/>
        <v>0</v>
      </c>
      <c r="AT342" t="b">
        <f t="shared" si="648"/>
        <v>0</v>
      </c>
      <c r="AU342" t="b">
        <f t="shared" si="649"/>
        <v>0</v>
      </c>
      <c r="AV342" t="b">
        <f t="shared" si="650"/>
        <v>0</v>
      </c>
      <c r="AW342" t="b">
        <f t="shared" si="651"/>
        <v>0</v>
      </c>
      <c r="AX342" t="b">
        <f t="shared" si="653"/>
        <v>0</v>
      </c>
      <c r="AY342" t="b">
        <f t="shared" si="654"/>
        <v>0</v>
      </c>
      <c r="AZ342" t="b">
        <f t="shared" si="655"/>
        <v>0</v>
      </c>
      <c r="BA342" t="b">
        <f t="shared" si="656"/>
        <v>0</v>
      </c>
      <c r="BB342" t="b">
        <f t="shared" si="657"/>
        <v>0</v>
      </c>
      <c r="BC342" t="b">
        <f t="shared" si="658"/>
        <v>0</v>
      </c>
      <c r="BD342" t="b">
        <f t="shared" si="659"/>
        <v>0</v>
      </c>
      <c r="BE342" t="b">
        <f t="shared" si="660"/>
        <v>0</v>
      </c>
      <c r="BF342" t="b">
        <f t="shared" si="661"/>
        <v>0</v>
      </c>
      <c r="BG342" t="b">
        <f t="shared" si="662"/>
        <v>0</v>
      </c>
      <c r="BH342" t="b">
        <f t="shared" si="663"/>
        <v>0</v>
      </c>
      <c r="BI342">
        <f t="shared" si="664"/>
        <v>1</v>
      </c>
      <c r="BJ342" t="b">
        <f t="shared" si="665"/>
        <v>0</v>
      </c>
      <c r="BK342" t="b">
        <f t="shared" si="666"/>
        <v>0</v>
      </c>
      <c r="BL342" t="b">
        <f t="shared" si="667"/>
        <v>0</v>
      </c>
      <c r="BM342" t="b">
        <f t="shared" si="668"/>
        <v>0</v>
      </c>
      <c r="BN342" t="b">
        <f t="shared" si="669"/>
        <v>0</v>
      </c>
      <c r="BO342" t="b">
        <f t="shared" si="670"/>
        <v>0</v>
      </c>
      <c r="BP342" t="b">
        <f t="shared" si="671"/>
        <v>0</v>
      </c>
      <c r="BQ342" t="b">
        <f t="shared" si="672"/>
        <v>0</v>
      </c>
      <c r="BR342" t="b">
        <f t="shared" si="673"/>
        <v>0</v>
      </c>
      <c r="BS342" t="b">
        <f t="shared" si="674"/>
        <v>0</v>
      </c>
      <c r="BT342" t="b">
        <f t="shared" si="675"/>
        <v>0</v>
      </c>
      <c r="BU342" t="b">
        <f t="shared" si="676"/>
        <v>0</v>
      </c>
      <c r="BV342" t="b">
        <f t="shared" si="677"/>
        <v>0</v>
      </c>
      <c r="BW342" t="b">
        <f t="shared" si="678"/>
        <v>0</v>
      </c>
      <c r="BX342" t="b">
        <f t="shared" si="679"/>
        <v>0</v>
      </c>
      <c r="BY342" t="b">
        <f t="shared" si="680"/>
        <v>0</v>
      </c>
      <c r="BZ342" t="b">
        <f t="shared" si="681"/>
        <v>0</v>
      </c>
      <c r="CA342" t="b">
        <f t="shared" si="682"/>
        <v>0</v>
      </c>
      <c r="CB342" t="b">
        <f t="shared" si="683"/>
        <v>0</v>
      </c>
      <c r="CC342" t="b">
        <f t="shared" si="684"/>
        <v>0</v>
      </c>
      <c r="CD342" t="b">
        <f t="shared" si="685"/>
        <v>0</v>
      </c>
      <c r="CE342" t="b">
        <f t="shared" si="686"/>
        <v>0</v>
      </c>
      <c r="CF342" t="b">
        <f t="shared" si="687"/>
        <v>0</v>
      </c>
      <c r="CG342" t="b">
        <f t="shared" si="688"/>
        <v>0</v>
      </c>
      <c r="CH342" t="b">
        <f t="shared" si="689"/>
        <v>0</v>
      </c>
      <c r="CI342" t="b">
        <f t="shared" si="690"/>
        <v>0</v>
      </c>
      <c r="CJ342" t="b">
        <f t="shared" si="691"/>
        <v>0</v>
      </c>
      <c r="CK342" t="b">
        <f t="shared" si="692"/>
        <v>0</v>
      </c>
      <c r="CL342" t="b">
        <f t="shared" si="693"/>
        <v>0</v>
      </c>
      <c r="CM342" t="b">
        <f t="shared" si="694"/>
        <v>0</v>
      </c>
      <c r="CN342" t="b">
        <f t="shared" si="695"/>
        <v>0</v>
      </c>
      <c r="CO342" t="b">
        <f t="shared" si="696"/>
        <v>0</v>
      </c>
      <c r="CP342" t="b">
        <f t="shared" si="697"/>
        <v>0</v>
      </c>
      <c r="CQ342" t="b">
        <f t="shared" si="698"/>
        <v>0</v>
      </c>
      <c r="CR342" t="b">
        <f t="shared" si="699"/>
        <v>0</v>
      </c>
      <c r="CS342" t="b">
        <f t="shared" si="700"/>
        <v>0</v>
      </c>
      <c r="CT342" t="b">
        <f t="shared" si="701"/>
        <v>0</v>
      </c>
      <c r="CU342" t="b">
        <f t="shared" si="702"/>
        <v>0</v>
      </c>
      <c r="CV342">
        <f t="shared" si="703"/>
        <v>1</v>
      </c>
      <c r="CW342" t="b">
        <f t="shared" si="704"/>
        <v>0</v>
      </c>
      <c r="CX342" t="b">
        <f t="shared" si="705"/>
        <v>0</v>
      </c>
      <c r="CY342" t="b">
        <f t="shared" si="706"/>
        <v>0</v>
      </c>
      <c r="CZ342" t="b">
        <f t="shared" si="707"/>
        <v>0</v>
      </c>
      <c r="DA342" t="b">
        <f t="shared" si="708"/>
        <v>0</v>
      </c>
      <c r="DB342" t="b">
        <f t="shared" si="709"/>
        <v>0</v>
      </c>
      <c r="DC342" t="b">
        <f t="shared" si="710"/>
        <v>0</v>
      </c>
      <c r="DD342" t="b">
        <f t="shared" si="711"/>
        <v>0</v>
      </c>
      <c r="DE342" t="b">
        <f t="shared" si="712"/>
        <v>0</v>
      </c>
      <c r="DF342" t="b">
        <f t="shared" si="713"/>
        <v>0</v>
      </c>
      <c r="DG342" t="b">
        <f t="shared" si="714"/>
        <v>0</v>
      </c>
      <c r="DH342" t="b">
        <f t="shared" si="715"/>
        <v>0</v>
      </c>
      <c r="DI342" t="b">
        <f t="shared" si="716"/>
        <v>0</v>
      </c>
      <c r="DJ342" t="b">
        <f t="shared" si="717"/>
        <v>0</v>
      </c>
      <c r="DK342" t="b">
        <f t="shared" si="718"/>
        <v>0</v>
      </c>
      <c r="DL342" t="b">
        <f t="shared" si="719"/>
        <v>0</v>
      </c>
      <c r="DM342" t="b">
        <f t="shared" si="720"/>
        <v>0</v>
      </c>
      <c r="DN342" t="b">
        <f t="shared" si="721"/>
        <v>0</v>
      </c>
      <c r="DO342" t="b">
        <f t="shared" si="722"/>
        <v>0</v>
      </c>
      <c r="DP342" t="b">
        <f t="shared" si="723"/>
        <v>0</v>
      </c>
      <c r="DQ342" t="b">
        <f t="shared" si="724"/>
        <v>0</v>
      </c>
      <c r="DR342" t="b">
        <f t="shared" si="725"/>
        <v>0</v>
      </c>
      <c r="DS342" t="b">
        <f t="shared" si="726"/>
        <v>0</v>
      </c>
      <c r="DT342" t="b">
        <f t="shared" si="727"/>
        <v>0</v>
      </c>
      <c r="DU342" t="b">
        <f t="shared" si="728"/>
        <v>0</v>
      </c>
      <c r="DV342" t="b">
        <f t="shared" si="729"/>
        <v>0</v>
      </c>
      <c r="DW342" t="b">
        <f t="shared" si="730"/>
        <v>0</v>
      </c>
      <c r="DX342" t="b">
        <f t="shared" si="731"/>
        <v>0</v>
      </c>
      <c r="DY342" t="b">
        <f t="shared" si="732"/>
        <v>0</v>
      </c>
      <c r="DZ342" t="b">
        <f t="shared" si="733"/>
        <v>0</v>
      </c>
      <c r="EA342" t="b">
        <f t="shared" si="734"/>
        <v>0</v>
      </c>
      <c r="EB342" t="b">
        <f t="shared" si="735"/>
        <v>0</v>
      </c>
      <c r="EC342" t="b">
        <f t="shared" si="736"/>
        <v>0</v>
      </c>
      <c r="ED342" t="b">
        <f t="shared" si="737"/>
        <v>0</v>
      </c>
      <c r="EE342" t="b">
        <f t="shared" si="738"/>
        <v>0</v>
      </c>
      <c r="EF342" t="b">
        <f t="shared" si="739"/>
        <v>0</v>
      </c>
      <c r="EG342" t="b">
        <f t="shared" si="740"/>
        <v>0</v>
      </c>
      <c r="EH342" t="b">
        <f t="shared" si="741"/>
        <v>0</v>
      </c>
      <c r="EI342" t="b">
        <f t="shared" si="742"/>
        <v>0</v>
      </c>
      <c r="EJ342" t="b">
        <f t="shared" si="743"/>
        <v>0</v>
      </c>
      <c r="EK342" t="b">
        <f t="shared" si="744"/>
        <v>0</v>
      </c>
    </row>
    <row r="343" spans="1:141">
      <c r="A343" t="s">
        <v>1788</v>
      </c>
      <c r="B343" t="s">
        <v>1788</v>
      </c>
      <c r="C343" t="s">
        <v>1789</v>
      </c>
      <c r="D343" s="1">
        <v>42323</v>
      </c>
      <c r="E343" s="2">
        <v>42432.114687499998</v>
      </c>
      <c r="F343" s="2">
        <v>42432.114687499998</v>
      </c>
      <c r="G343">
        <v>269548</v>
      </c>
      <c r="H343" t="s">
        <v>1790</v>
      </c>
      <c r="I343" s="10" t="s">
        <v>1791</v>
      </c>
      <c r="J343" t="s">
        <v>188</v>
      </c>
      <c r="K343" s="8" t="b">
        <v>1</v>
      </c>
      <c r="L343" s="10" t="b">
        <v>0</v>
      </c>
      <c r="M343" s="12" t="b">
        <v>0</v>
      </c>
      <c r="N343" t="b">
        <v>0</v>
      </c>
      <c r="O343" t="b">
        <v>0</v>
      </c>
      <c r="P343" t="b">
        <v>0</v>
      </c>
      <c r="Q343">
        <f t="shared" si="621"/>
        <v>1</v>
      </c>
      <c r="R343">
        <f t="shared" si="622"/>
        <v>11</v>
      </c>
      <c r="S343" t="e">
        <f t="shared" ca="1" si="652"/>
        <v>#NAME?</v>
      </c>
      <c r="T343" t="e">
        <f t="shared" ca="1" si="623"/>
        <v>#NAME?</v>
      </c>
      <c r="U343" s="4">
        <f t="shared" si="624"/>
        <v>109.11468749999767</v>
      </c>
      <c r="V343" s="4">
        <f t="shared" si="625"/>
        <v>3.6371562499999226</v>
      </c>
      <c r="W343" s="4">
        <f t="shared" si="626"/>
        <v>1</v>
      </c>
      <c r="X343" s="4">
        <f t="shared" si="627"/>
        <v>0</v>
      </c>
      <c r="Y343" s="4">
        <f t="shared" si="628"/>
        <v>0</v>
      </c>
      <c r="Z343" s="4">
        <f t="shared" si="629"/>
        <v>0</v>
      </c>
      <c r="AA343" s="4">
        <f t="shared" si="630"/>
        <v>0</v>
      </c>
      <c r="AB343" s="4">
        <f t="shared" si="631"/>
        <v>0</v>
      </c>
      <c r="AC343" s="4"/>
      <c r="AD343" s="4" t="b">
        <f t="shared" si="632"/>
        <v>0</v>
      </c>
      <c r="AE343" s="4" t="b">
        <f t="shared" si="633"/>
        <v>0</v>
      </c>
      <c r="AF343" s="4" t="b">
        <f t="shared" si="634"/>
        <v>0</v>
      </c>
      <c r="AG343" t="b">
        <f t="shared" si="635"/>
        <v>0</v>
      </c>
      <c r="AH343" t="b">
        <f t="shared" si="636"/>
        <v>0</v>
      </c>
      <c r="AI343" t="b">
        <f t="shared" si="637"/>
        <v>0</v>
      </c>
      <c r="AJ343" t="b">
        <f t="shared" si="638"/>
        <v>0</v>
      </c>
      <c r="AK343" t="b">
        <f t="shared" si="639"/>
        <v>0</v>
      </c>
      <c r="AL343" t="b">
        <f t="shared" si="640"/>
        <v>0</v>
      </c>
      <c r="AM343" t="b">
        <f t="shared" si="641"/>
        <v>0</v>
      </c>
      <c r="AN343" t="b">
        <f t="shared" si="642"/>
        <v>0</v>
      </c>
      <c r="AO343" t="b">
        <f t="shared" si="643"/>
        <v>0</v>
      </c>
      <c r="AP343" t="b">
        <f t="shared" si="644"/>
        <v>0</v>
      </c>
      <c r="AQ343" t="b">
        <f t="shared" si="645"/>
        <v>0</v>
      </c>
      <c r="AR343" t="b">
        <f t="shared" si="646"/>
        <v>0</v>
      </c>
      <c r="AS343" t="b">
        <f t="shared" si="647"/>
        <v>0</v>
      </c>
      <c r="AT343" t="b">
        <f t="shared" si="648"/>
        <v>0</v>
      </c>
      <c r="AU343" t="b">
        <f t="shared" si="649"/>
        <v>0</v>
      </c>
      <c r="AV343" t="b">
        <f t="shared" si="650"/>
        <v>0</v>
      </c>
      <c r="AW343" t="b">
        <f t="shared" si="651"/>
        <v>0</v>
      </c>
      <c r="AX343" t="b">
        <f t="shared" si="653"/>
        <v>0</v>
      </c>
      <c r="AY343" t="b">
        <f t="shared" si="654"/>
        <v>0</v>
      </c>
      <c r="AZ343" t="b">
        <f t="shared" si="655"/>
        <v>0</v>
      </c>
      <c r="BA343" t="b">
        <f t="shared" si="656"/>
        <v>0</v>
      </c>
      <c r="BB343" t="b">
        <f t="shared" si="657"/>
        <v>0</v>
      </c>
      <c r="BC343" t="b">
        <f t="shared" si="658"/>
        <v>0</v>
      </c>
      <c r="BD343" t="b">
        <f t="shared" si="659"/>
        <v>0</v>
      </c>
      <c r="BE343" t="b">
        <f t="shared" si="660"/>
        <v>0</v>
      </c>
      <c r="BF343" t="b">
        <f t="shared" si="661"/>
        <v>0</v>
      </c>
      <c r="BG343" t="b">
        <f t="shared" si="662"/>
        <v>0</v>
      </c>
      <c r="BH343" t="b">
        <f t="shared" si="663"/>
        <v>0</v>
      </c>
      <c r="BI343">
        <f t="shared" si="664"/>
        <v>1</v>
      </c>
      <c r="BJ343" t="b">
        <f t="shared" si="665"/>
        <v>0</v>
      </c>
      <c r="BK343" t="b">
        <f t="shared" si="666"/>
        <v>0</v>
      </c>
      <c r="BL343" t="b">
        <f t="shared" si="667"/>
        <v>0</v>
      </c>
      <c r="BM343" t="b">
        <f t="shared" si="668"/>
        <v>0</v>
      </c>
      <c r="BN343" t="b">
        <f t="shared" si="669"/>
        <v>0</v>
      </c>
      <c r="BO343" t="b">
        <f t="shared" si="670"/>
        <v>0</v>
      </c>
      <c r="BP343" t="b">
        <f t="shared" si="671"/>
        <v>0</v>
      </c>
      <c r="BQ343" t="b">
        <f t="shared" si="672"/>
        <v>0</v>
      </c>
      <c r="BR343" t="b">
        <f t="shared" si="673"/>
        <v>0</v>
      </c>
      <c r="BS343" t="b">
        <f t="shared" si="674"/>
        <v>0</v>
      </c>
      <c r="BT343" t="b">
        <f t="shared" si="675"/>
        <v>0</v>
      </c>
      <c r="BU343" t="b">
        <f t="shared" si="676"/>
        <v>0</v>
      </c>
      <c r="BV343" t="b">
        <f t="shared" si="677"/>
        <v>0</v>
      </c>
      <c r="BW343" t="b">
        <f t="shared" si="678"/>
        <v>0</v>
      </c>
      <c r="BX343" t="b">
        <f t="shared" si="679"/>
        <v>0</v>
      </c>
      <c r="BY343" t="b">
        <f t="shared" si="680"/>
        <v>0</v>
      </c>
      <c r="BZ343" t="b">
        <f t="shared" si="681"/>
        <v>0</v>
      </c>
      <c r="CA343" t="b">
        <f t="shared" si="682"/>
        <v>0</v>
      </c>
      <c r="CB343" t="b">
        <f t="shared" si="683"/>
        <v>0</v>
      </c>
      <c r="CC343" t="b">
        <f t="shared" si="684"/>
        <v>0</v>
      </c>
      <c r="CD343" t="b">
        <f t="shared" si="685"/>
        <v>0</v>
      </c>
      <c r="CE343">
        <f t="shared" si="686"/>
        <v>1</v>
      </c>
      <c r="CF343" t="b">
        <f t="shared" si="687"/>
        <v>0</v>
      </c>
      <c r="CG343" t="b">
        <f t="shared" si="688"/>
        <v>0</v>
      </c>
      <c r="CH343" t="b">
        <f t="shared" si="689"/>
        <v>0</v>
      </c>
      <c r="CI343" t="b">
        <f t="shared" si="690"/>
        <v>0</v>
      </c>
      <c r="CJ343" t="b">
        <f t="shared" si="691"/>
        <v>0</v>
      </c>
      <c r="CK343" t="b">
        <f t="shared" si="692"/>
        <v>0</v>
      </c>
      <c r="CL343" t="b">
        <f t="shared" si="693"/>
        <v>0</v>
      </c>
      <c r="CM343" t="b">
        <f t="shared" si="694"/>
        <v>0</v>
      </c>
      <c r="CN343" t="b">
        <f t="shared" si="695"/>
        <v>0</v>
      </c>
      <c r="CO343" t="b">
        <f t="shared" si="696"/>
        <v>0</v>
      </c>
      <c r="CP343" t="b">
        <f t="shared" si="697"/>
        <v>0</v>
      </c>
      <c r="CQ343" t="b">
        <f t="shared" si="698"/>
        <v>0</v>
      </c>
      <c r="CR343" t="b">
        <f t="shared" si="699"/>
        <v>0</v>
      </c>
      <c r="CS343" t="b">
        <f t="shared" si="700"/>
        <v>0</v>
      </c>
      <c r="CT343" t="b">
        <f t="shared" si="701"/>
        <v>0</v>
      </c>
      <c r="CU343" t="b">
        <f t="shared" si="702"/>
        <v>0</v>
      </c>
      <c r="CV343">
        <f t="shared" si="703"/>
        <v>1</v>
      </c>
      <c r="CW343" t="b">
        <f t="shared" si="704"/>
        <v>0</v>
      </c>
      <c r="CX343" t="b">
        <f t="shared" si="705"/>
        <v>0</v>
      </c>
      <c r="CY343" t="b">
        <f t="shared" si="706"/>
        <v>0</v>
      </c>
      <c r="CZ343" t="b">
        <f t="shared" si="707"/>
        <v>0</v>
      </c>
      <c r="DA343" t="b">
        <f t="shared" si="708"/>
        <v>0</v>
      </c>
      <c r="DB343" t="b">
        <f t="shared" si="709"/>
        <v>0</v>
      </c>
      <c r="DC343" t="b">
        <f t="shared" si="710"/>
        <v>0</v>
      </c>
      <c r="DD343" t="b">
        <f t="shared" si="711"/>
        <v>0</v>
      </c>
      <c r="DE343" t="b">
        <f t="shared" si="712"/>
        <v>0</v>
      </c>
      <c r="DF343" t="b">
        <f t="shared" si="713"/>
        <v>0</v>
      </c>
      <c r="DG343" t="b">
        <f t="shared" si="714"/>
        <v>0</v>
      </c>
      <c r="DH343" t="b">
        <f t="shared" si="715"/>
        <v>0</v>
      </c>
      <c r="DI343" t="b">
        <f t="shared" si="716"/>
        <v>0</v>
      </c>
      <c r="DJ343" t="b">
        <f t="shared" si="717"/>
        <v>0</v>
      </c>
      <c r="DK343" t="b">
        <f t="shared" si="718"/>
        <v>0</v>
      </c>
      <c r="DL343" t="b">
        <f t="shared" si="719"/>
        <v>0</v>
      </c>
      <c r="DM343" t="b">
        <f t="shared" si="720"/>
        <v>0</v>
      </c>
      <c r="DN343" t="b">
        <f t="shared" si="721"/>
        <v>0</v>
      </c>
      <c r="DO343" t="b">
        <f t="shared" si="722"/>
        <v>0</v>
      </c>
      <c r="DP343" t="b">
        <f t="shared" si="723"/>
        <v>0</v>
      </c>
      <c r="DQ343" t="b">
        <f t="shared" si="724"/>
        <v>0</v>
      </c>
      <c r="DR343" t="b">
        <f t="shared" si="725"/>
        <v>0</v>
      </c>
      <c r="DS343" t="b">
        <f t="shared" si="726"/>
        <v>0</v>
      </c>
      <c r="DT343" t="b">
        <f t="shared" si="727"/>
        <v>0</v>
      </c>
      <c r="DU343" t="b">
        <f t="shared" si="728"/>
        <v>0</v>
      </c>
      <c r="DV343" t="b">
        <f t="shared" si="729"/>
        <v>0</v>
      </c>
      <c r="DW343" t="b">
        <f t="shared" si="730"/>
        <v>0</v>
      </c>
      <c r="DX343" t="b">
        <f t="shared" si="731"/>
        <v>0</v>
      </c>
      <c r="DY343" t="b">
        <f t="shared" si="732"/>
        <v>0</v>
      </c>
      <c r="DZ343" t="b">
        <f t="shared" si="733"/>
        <v>0</v>
      </c>
      <c r="EA343" t="b">
        <f t="shared" si="734"/>
        <v>0</v>
      </c>
      <c r="EB343" t="b">
        <f t="shared" si="735"/>
        <v>0</v>
      </c>
      <c r="EC343" t="b">
        <f t="shared" si="736"/>
        <v>0</v>
      </c>
      <c r="ED343" t="b">
        <f t="shared" si="737"/>
        <v>0</v>
      </c>
      <c r="EE343" t="b">
        <f t="shared" si="738"/>
        <v>0</v>
      </c>
      <c r="EF343">
        <f t="shared" si="739"/>
        <v>1</v>
      </c>
      <c r="EG343" t="b">
        <f t="shared" si="740"/>
        <v>0</v>
      </c>
      <c r="EH343" t="b">
        <f t="shared" si="741"/>
        <v>0</v>
      </c>
      <c r="EI343" t="b">
        <f t="shared" si="742"/>
        <v>0</v>
      </c>
      <c r="EJ343" t="b">
        <f t="shared" si="743"/>
        <v>0</v>
      </c>
      <c r="EK343" t="b">
        <f t="shared" si="744"/>
        <v>0</v>
      </c>
    </row>
    <row r="344" spans="1:141">
      <c r="A344" t="s">
        <v>1792</v>
      </c>
      <c r="B344" t="s">
        <v>1793</v>
      </c>
      <c r="C344" t="s">
        <v>1794</v>
      </c>
      <c r="D344" s="1">
        <v>42943</v>
      </c>
      <c r="E344" s="2">
        <v>42982.532395833332</v>
      </c>
      <c r="F344" s="2">
        <v>42982.532395833332</v>
      </c>
      <c r="G344">
        <v>735405</v>
      </c>
      <c r="H344" t="s">
        <v>1795</v>
      </c>
      <c r="I344" s="10" t="s">
        <v>1796</v>
      </c>
      <c r="J344" t="s">
        <v>1797</v>
      </c>
      <c r="K344" s="8" t="b">
        <v>1</v>
      </c>
      <c r="L344" s="10" t="b">
        <v>0</v>
      </c>
      <c r="M344" s="12" t="b">
        <v>0</v>
      </c>
      <c r="N344" t="b">
        <v>0</v>
      </c>
      <c r="O344" t="b">
        <v>0</v>
      </c>
      <c r="P344" t="b">
        <v>0</v>
      </c>
      <c r="Q344">
        <f t="shared" si="621"/>
        <v>5</v>
      </c>
      <c r="R344">
        <f t="shared" si="622"/>
        <v>7</v>
      </c>
      <c r="S344" t="e">
        <f t="shared" ca="1" si="652"/>
        <v>#NAME?</v>
      </c>
      <c r="T344" t="e">
        <f t="shared" ca="1" si="623"/>
        <v>#NAME?</v>
      </c>
      <c r="U344" s="4">
        <f t="shared" si="624"/>
        <v>39.532395833331975</v>
      </c>
      <c r="V344" s="4">
        <f t="shared" si="625"/>
        <v>1.3177465277777325</v>
      </c>
      <c r="W344" s="4">
        <f t="shared" si="626"/>
        <v>1</v>
      </c>
      <c r="X344" s="4">
        <f t="shared" si="627"/>
        <v>0</v>
      </c>
      <c r="Y344" s="4">
        <f t="shared" si="628"/>
        <v>0</v>
      </c>
      <c r="Z344" s="4">
        <f t="shared" si="629"/>
        <v>0</v>
      </c>
      <c r="AA344" s="4">
        <f t="shared" si="630"/>
        <v>0</v>
      </c>
      <c r="AB344" s="4">
        <f t="shared" si="631"/>
        <v>0</v>
      </c>
      <c r="AC344" s="4"/>
      <c r="AD344" s="4" t="b">
        <f t="shared" si="632"/>
        <v>0</v>
      </c>
      <c r="AE344" s="4" t="b">
        <f t="shared" si="633"/>
        <v>0</v>
      </c>
      <c r="AF344" s="4" t="b">
        <f t="shared" si="634"/>
        <v>0</v>
      </c>
      <c r="AG344" t="b">
        <f t="shared" si="635"/>
        <v>0</v>
      </c>
      <c r="AH344" t="b">
        <f t="shared" si="636"/>
        <v>0</v>
      </c>
      <c r="AI344" t="b">
        <f t="shared" si="637"/>
        <v>0</v>
      </c>
      <c r="AJ344" t="b">
        <f t="shared" si="638"/>
        <v>0</v>
      </c>
      <c r="AK344" t="b">
        <f t="shared" si="639"/>
        <v>0</v>
      </c>
      <c r="AL344" t="b">
        <f t="shared" si="640"/>
        <v>0</v>
      </c>
      <c r="AM344" t="b">
        <f t="shared" si="641"/>
        <v>0</v>
      </c>
      <c r="AN344" t="b">
        <f t="shared" si="642"/>
        <v>0</v>
      </c>
      <c r="AO344" t="b">
        <f t="shared" si="643"/>
        <v>0</v>
      </c>
      <c r="AP344" t="b">
        <f t="shared" si="644"/>
        <v>0</v>
      </c>
      <c r="AQ344" t="b">
        <f t="shared" si="645"/>
        <v>0</v>
      </c>
      <c r="AR344" t="b">
        <f t="shared" si="646"/>
        <v>0</v>
      </c>
      <c r="AS344" t="b">
        <f t="shared" si="647"/>
        <v>0</v>
      </c>
      <c r="AT344" t="b">
        <f t="shared" si="648"/>
        <v>0</v>
      </c>
      <c r="AU344" t="b">
        <f t="shared" si="649"/>
        <v>0</v>
      </c>
      <c r="AV344" t="b">
        <f t="shared" si="650"/>
        <v>0</v>
      </c>
      <c r="AW344" t="b">
        <f t="shared" si="651"/>
        <v>0</v>
      </c>
      <c r="AX344" t="b">
        <f t="shared" si="653"/>
        <v>0</v>
      </c>
      <c r="AY344" t="b">
        <f t="shared" si="654"/>
        <v>0</v>
      </c>
      <c r="AZ344" t="b">
        <f t="shared" si="655"/>
        <v>0</v>
      </c>
      <c r="BA344" t="b">
        <f t="shared" si="656"/>
        <v>0</v>
      </c>
      <c r="BB344" t="b">
        <f t="shared" si="657"/>
        <v>0</v>
      </c>
      <c r="BC344" t="b">
        <f t="shared" si="658"/>
        <v>0</v>
      </c>
      <c r="BD344" t="b">
        <f t="shared" si="659"/>
        <v>0</v>
      </c>
      <c r="BE344" t="b">
        <f t="shared" si="660"/>
        <v>0</v>
      </c>
      <c r="BF344" t="b">
        <f t="shared" si="661"/>
        <v>0</v>
      </c>
      <c r="BG344" t="b">
        <f t="shared" si="662"/>
        <v>0</v>
      </c>
      <c r="BH344" t="b">
        <f t="shared" si="663"/>
        <v>0</v>
      </c>
      <c r="BI344">
        <f t="shared" si="664"/>
        <v>1</v>
      </c>
      <c r="BJ344" t="b">
        <f t="shared" si="665"/>
        <v>0</v>
      </c>
      <c r="BK344" t="b">
        <f t="shared" si="666"/>
        <v>0</v>
      </c>
      <c r="BL344" t="b">
        <f t="shared" si="667"/>
        <v>0</v>
      </c>
      <c r="BM344" t="b">
        <f t="shared" si="668"/>
        <v>0</v>
      </c>
      <c r="BN344" t="b">
        <f t="shared" si="669"/>
        <v>0</v>
      </c>
      <c r="BO344" t="b">
        <f t="shared" si="670"/>
        <v>0</v>
      </c>
      <c r="BP344" t="b">
        <f t="shared" si="671"/>
        <v>0</v>
      </c>
      <c r="BQ344" t="b">
        <f t="shared" si="672"/>
        <v>0</v>
      </c>
      <c r="BR344" t="b">
        <f t="shared" si="673"/>
        <v>0</v>
      </c>
      <c r="BS344" t="b">
        <f t="shared" si="674"/>
        <v>0</v>
      </c>
      <c r="BT344" t="b">
        <f t="shared" si="675"/>
        <v>0</v>
      </c>
      <c r="BU344" t="b">
        <f t="shared" si="676"/>
        <v>0</v>
      </c>
      <c r="BV344" t="b">
        <f t="shared" si="677"/>
        <v>0</v>
      </c>
      <c r="BW344" t="b">
        <f t="shared" si="678"/>
        <v>0</v>
      </c>
      <c r="BX344" t="b">
        <f t="shared" si="679"/>
        <v>0</v>
      </c>
      <c r="BY344" t="b">
        <f t="shared" si="680"/>
        <v>0</v>
      </c>
      <c r="BZ344" t="b">
        <f t="shared" si="681"/>
        <v>0</v>
      </c>
      <c r="CA344" t="b">
        <f t="shared" si="682"/>
        <v>0</v>
      </c>
      <c r="CB344" t="b">
        <f t="shared" si="683"/>
        <v>0</v>
      </c>
      <c r="CC344" t="b">
        <f t="shared" si="684"/>
        <v>0</v>
      </c>
      <c r="CD344" t="b">
        <f t="shared" si="685"/>
        <v>0</v>
      </c>
      <c r="CE344" t="b">
        <f t="shared" si="686"/>
        <v>0</v>
      </c>
      <c r="CF344" t="b">
        <f t="shared" si="687"/>
        <v>0</v>
      </c>
      <c r="CG344" t="b">
        <f t="shared" si="688"/>
        <v>0</v>
      </c>
      <c r="CH344" t="b">
        <f t="shared" si="689"/>
        <v>0</v>
      </c>
      <c r="CI344" t="b">
        <f t="shared" si="690"/>
        <v>0</v>
      </c>
      <c r="CJ344" t="b">
        <f t="shared" si="691"/>
        <v>0</v>
      </c>
      <c r="CK344" t="b">
        <f t="shared" si="692"/>
        <v>0</v>
      </c>
      <c r="CL344" t="b">
        <f t="shared" si="693"/>
        <v>0</v>
      </c>
      <c r="CM344">
        <f t="shared" si="694"/>
        <v>1</v>
      </c>
      <c r="CN344" t="b">
        <f t="shared" si="695"/>
        <v>0</v>
      </c>
      <c r="CO344" t="b">
        <f t="shared" si="696"/>
        <v>0</v>
      </c>
      <c r="CP344" t="b">
        <f t="shared" si="697"/>
        <v>0</v>
      </c>
      <c r="CQ344" t="b">
        <f t="shared" si="698"/>
        <v>0</v>
      </c>
      <c r="CR344" t="b">
        <f t="shared" si="699"/>
        <v>0</v>
      </c>
      <c r="CS344" t="b">
        <f t="shared" si="700"/>
        <v>0</v>
      </c>
      <c r="CT344" t="b">
        <f t="shared" si="701"/>
        <v>0</v>
      </c>
      <c r="CU344" t="b">
        <f t="shared" si="702"/>
        <v>0</v>
      </c>
      <c r="CV344">
        <f t="shared" si="703"/>
        <v>1</v>
      </c>
      <c r="CW344" t="b">
        <f t="shared" si="704"/>
        <v>0</v>
      </c>
      <c r="CX344" t="b">
        <f t="shared" si="705"/>
        <v>0</v>
      </c>
      <c r="CY344" t="b">
        <f t="shared" si="706"/>
        <v>0</v>
      </c>
      <c r="CZ344" t="b">
        <f t="shared" si="707"/>
        <v>0</v>
      </c>
      <c r="DA344">
        <f t="shared" si="708"/>
        <v>1</v>
      </c>
      <c r="DB344" t="b">
        <f t="shared" si="709"/>
        <v>0</v>
      </c>
      <c r="DC344" t="b">
        <f t="shared" si="710"/>
        <v>0</v>
      </c>
      <c r="DD344" t="b">
        <f t="shared" si="711"/>
        <v>0</v>
      </c>
      <c r="DE344" t="b">
        <f t="shared" si="712"/>
        <v>0</v>
      </c>
      <c r="DF344" t="b">
        <f t="shared" si="713"/>
        <v>0</v>
      </c>
      <c r="DG344" t="b">
        <f t="shared" si="714"/>
        <v>0</v>
      </c>
      <c r="DH344" t="b">
        <f t="shared" si="715"/>
        <v>0</v>
      </c>
      <c r="DI344" t="b">
        <f t="shared" si="716"/>
        <v>0</v>
      </c>
      <c r="DJ344" t="b">
        <f t="shared" si="717"/>
        <v>0</v>
      </c>
      <c r="DK344" t="b">
        <f t="shared" si="718"/>
        <v>0</v>
      </c>
      <c r="DL344" t="b">
        <f t="shared" si="719"/>
        <v>0</v>
      </c>
      <c r="DM344" t="b">
        <f t="shared" si="720"/>
        <v>0</v>
      </c>
      <c r="DN344" t="b">
        <f t="shared" si="721"/>
        <v>0</v>
      </c>
      <c r="DO344" t="b">
        <f t="shared" si="722"/>
        <v>0</v>
      </c>
      <c r="DP344" t="b">
        <f t="shared" si="723"/>
        <v>0</v>
      </c>
      <c r="DQ344" t="b">
        <f t="shared" si="724"/>
        <v>0</v>
      </c>
      <c r="DR344" t="b">
        <f t="shared" si="725"/>
        <v>0</v>
      </c>
      <c r="DS344" t="b">
        <f t="shared" si="726"/>
        <v>0</v>
      </c>
      <c r="DT344" t="b">
        <f t="shared" si="727"/>
        <v>0</v>
      </c>
      <c r="DU344" t="b">
        <f t="shared" si="728"/>
        <v>0</v>
      </c>
      <c r="DV344" t="b">
        <f t="shared" si="729"/>
        <v>0</v>
      </c>
      <c r="DW344" t="b">
        <f t="shared" si="730"/>
        <v>0</v>
      </c>
      <c r="DX344" t="b">
        <f t="shared" si="731"/>
        <v>0</v>
      </c>
      <c r="DY344" t="b">
        <f t="shared" si="732"/>
        <v>0</v>
      </c>
      <c r="DZ344" t="b">
        <f t="shared" si="733"/>
        <v>0</v>
      </c>
      <c r="EA344" t="b">
        <f t="shared" si="734"/>
        <v>0</v>
      </c>
      <c r="EB344" t="b">
        <f t="shared" si="735"/>
        <v>0</v>
      </c>
      <c r="EC344" t="b">
        <f t="shared" si="736"/>
        <v>0</v>
      </c>
      <c r="ED344" t="b">
        <f t="shared" si="737"/>
        <v>0</v>
      </c>
      <c r="EE344" t="b">
        <f t="shared" si="738"/>
        <v>0</v>
      </c>
      <c r="EF344" t="b">
        <f t="shared" si="739"/>
        <v>0</v>
      </c>
      <c r="EG344" t="b">
        <f t="shared" si="740"/>
        <v>0</v>
      </c>
      <c r="EH344" t="b">
        <f t="shared" si="741"/>
        <v>0</v>
      </c>
      <c r="EI344" t="b">
        <f t="shared" si="742"/>
        <v>0</v>
      </c>
      <c r="EJ344" t="b">
        <f t="shared" si="743"/>
        <v>0</v>
      </c>
      <c r="EK344" t="b">
        <f t="shared" si="744"/>
        <v>0</v>
      </c>
    </row>
    <row r="345" spans="1:141">
      <c r="A345" t="s">
        <v>1798</v>
      </c>
      <c r="B345" t="s">
        <v>1798</v>
      </c>
      <c r="C345" t="s">
        <v>1799</v>
      </c>
      <c r="D345" s="1">
        <v>41958</v>
      </c>
      <c r="E345" s="2">
        <v>42438.469247685185</v>
      </c>
      <c r="F345" s="2">
        <v>42438.469247685185</v>
      </c>
      <c r="G345">
        <v>111623</v>
      </c>
      <c r="H345" t="s">
        <v>1800</v>
      </c>
      <c r="I345" s="10" t="s">
        <v>1801</v>
      </c>
      <c r="J345" t="s">
        <v>985</v>
      </c>
      <c r="K345" s="8" t="b">
        <v>1</v>
      </c>
      <c r="L345" s="10" t="b">
        <v>0</v>
      </c>
      <c r="M345" s="12" t="b">
        <v>0</v>
      </c>
      <c r="N345" t="b">
        <v>0</v>
      </c>
      <c r="O345" t="b">
        <v>0</v>
      </c>
      <c r="P345" t="b">
        <v>0</v>
      </c>
      <c r="Q345">
        <f t="shared" si="621"/>
        <v>7</v>
      </c>
      <c r="R345">
        <f t="shared" si="622"/>
        <v>11</v>
      </c>
      <c r="S345" t="e">
        <f t="shared" ca="1" si="652"/>
        <v>#NAME?</v>
      </c>
      <c r="T345" t="e">
        <f t="shared" ca="1" si="623"/>
        <v>#NAME?</v>
      </c>
      <c r="U345" s="4">
        <f t="shared" si="624"/>
        <v>480.46924768518511</v>
      </c>
      <c r="V345" s="4">
        <f t="shared" si="625"/>
        <v>16.015641589506171</v>
      </c>
      <c r="W345" s="4">
        <f t="shared" si="626"/>
        <v>1</v>
      </c>
      <c r="X345" s="4">
        <f t="shared" si="627"/>
        <v>0</v>
      </c>
      <c r="Y345" s="4">
        <f t="shared" si="628"/>
        <v>0</v>
      </c>
      <c r="Z345" s="4">
        <f t="shared" si="629"/>
        <v>0</v>
      </c>
      <c r="AA345" s="4">
        <f t="shared" si="630"/>
        <v>0</v>
      </c>
      <c r="AB345" s="4">
        <f t="shared" si="631"/>
        <v>0</v>
      </c>
      <c r="AC345" s="4"/>
      <c r="AD345" s="4" t="b">
        <f t="shared" si="632"/>
        <v>0</v>
      </c>
      <c r="AE345" s="4" t="b">
        <f t="shared" si="633"/>
        <v>0</v>
      </c>
      <c r="AF345" s="4" t="b">
        <f t="shared" si="634"/>
        <v>0</v>
      </c>
      <c r="AG345" t="b">
        <f t="shared" si="635"/>
        <v>0</v>
      </c>
      <c r="AH345" t="b">
        <f t="shared" si="636"/>
        <v>0</v>
      </c>
      <c r="AI345" t="b">
        <f t="shared" si="637"/>
        <v>0</v>
      </c>
      <c r="AJ345" t="b">
        <f t="shared" si="638"/>
        <v>0</v>
      </c>
      <c r="AK345" t="b">
        <f t="shared" si="639"/>
        <v>0</v>
      </c>
      <c r="AL345" t="b">
        <f t="shared" si="640"/>
        <v>0</v>
      </c>
      <c r="AM345" t="b">
        <f t="shared" si="641"/>
        <v>0</v>
      </c>
      <c r="AN345" t="b">
        <f t="shared" si="642"/>
        <v>0</v>
      </c>
      <c r="AO345" t="b">
        <f t="shared" si="643"/>
        <v>0</v>
      </c>
      <c r="AP345" t="b">
        <f t="shared" si="644"/>
        <v>0</v>
      </c>
      <c r="AQ345" t="b">
        <f t="shared" si="645"/>
        <v>0</v>
      </c>
      <c r="AR345" t="b">
        <f t="shared" si="646"/>
        <v>0</v>
      </c>
      <c r="AS345" t="b">
        <f t="shared" si="647"/>
        <v>0</v>
      </c>
      <c r="AT345" t="b">
        <f t="shared" si="648"/>
        <v>0</v>
      </c>
      <c r="AU345" t="b">
        <f t="shared" si="649"/>
        <v>0</v>
      </c>
      <c r="AV345" t="b">
        <f t="shared" si="650"/>
        <v>0</v>
      </c>
      <c r="AW345" t="b">
        <f t="shared" si="651"/>
        <v>0</v>
      </c>
      <c r="AX345" t="b">
        <f t="shared" si="653"/>
        <v>0</v>
      </c>
      <c r="AY345" t="b">
        <f t="shared" si="654"/>
        <v>0</v>
      </c>
      <c r="AZ345">
        <f t="shared" si="655"/>
        <v>1</v>
      </c>
      <c r="BA345" t="b">
        <f t="shared" si="656"/>
        <v>0</v>
      </c>
      <c r="BB345" t="b">
        <f t="shared" si="657"/>
        <v>0</v>
      </c>
      <c r="BC345" t="b">
        <f t="shared" si="658"/>
        <v>0</v>
      </c>
      <c r="BD345" t="b">
        <f t="shared" si="659"/>
        <v>0</v>
      </c>
      <c r="BE345" t="b">
        <f t="shared" si="660"/>
        <v>0</v>
      </c>
      <c r="BF345" t="b">
        <f t="shared" si="661"/>
        <v>0</v>
      </c>
      <c r="BG345" t="b">
        <f t="shared" si="662"/>
        <v>0</v>
      </c>
      <c r="BH345" t="b">
        <f t="shared" si="663"/>
        <v>0</v>
      </c>
      <c r="BI345">
        <f t="shared" si="664"/>
        <v>1</v>
      </c>
      <c r="BJ345" t="b">
        <f t="shared" si="665"/>
        <v>0</v>
      </c>
      <c r="BK345" t="b">
        <f t="shared" si="666"/>
        <v>0</v>
      </c>
      <c r="BL345" t="b">
        <f t="shared" si="667"/>
        <v>0</v>
      </c>
      <c r="BM345" t="b">
        <f t="shared" si="668"/>
        <v>0</v>
      </c>
      <c r="BN345" t="b">
        <f t="shared" si="669"/>
        <v>0</v>
      </c>
      <c r="BO345" t="b">
        <f t="shared" si="670"/>
        <v>0</v>
      </c>
      <c r="BP345" t="b">
        <f t="shared" si="671"/>
        <v>0</v>
      </c>
      <c r="BQ345" t="b">
        <f t="shared" si="672"/>
        <v>0</v>
      </c>
      <c r="BR345" t="b">
        <f t="shared" si="673"/>
        <v>0</v>
      </c>
      <c r="BS345" t="b">
        <f t="shared" si="674"/>
        <v>0</v>
      </c>
      <c r="BT345" t="b">
        <f t="shared" si="675"/>
        <v>0</v>
      </c>
      <c r="BU345" t="b">
        <f t="shared" si="676"/>
        <v>0</v>
      </c>
      <c r="BV345" t="b">
        <f t="shared" si="677"/>
        <v>0</v>
      </c>
      <c r="BW345" t="b">
        <f t="shared" si="678"/>
        <v>0</v>
      </c>
      <c r="BX345" t="b">
        <f t="shared" si="679"/>
        <v>0</v>
      </c>
      <c r="BY345" t="b">
        <f t="shared" si="680"/>
        <v>0</v>
      </c>
      <c r="BZ345" t="b">
        <f t="shared" si="681"/>
        <v>0</v>
      </c>
      <c r="CA345" t="b">
        <f t="shared" si="682"/>
        <v>0</v>
      </c>
      <c r="CB345" t="b">
        <f t="shared" si="683"/>
        <v>0</v>
      </c>
      <c r="CC345" t="b">
        <f t="shared" si="684"/>
        <v>0</v>
      </c>
      <c r="CD345" t="b">
        <f t="shared" si="685"/>
        <v>0</v>
      </c>
      <c r="CE345">
        <f t="shared" si="686"/>
        <v>1</v>
      </c>
      <c r="CF345" t="b">
        <f t="shared" si="687"/>
        <v>0</v>
      </c>
      <c r="CG345" t="b">
        <f t="shared" si="688"/>
        <v>0</v>
      </c>
      <c r="CH345" t="b">
        <f t="shared" si="689"/>
        <v>0</v>
      </c>
      <c r="CI345" t="b">
        <f t="shared" si="690"/>
        <v>0</v>
      </c>
      <c r="CJ345" t="b">
        <f t="shared" si="691"/>
        <v>0</v>
      </c>
      <c r="CK345" t="b">
        <f t="shared" si="692"/>
        <v>0</v>
      </c>
      <c r="CL345" t="b">
        <f t="shared" si="693"/>
        <v>0</v>
      </c>
      <c r="CM345" t="b">
        <f t="shared" si="694"/>
        <v>0</v>
      </c>
      <c r="CN345" t="b">
        <f t="shared" si="695"/>
        <v>0</v>
      </c>
      <c r="CO345" t="b">
        <f t="shared" si="696"/>
        <v>0</v>
      </c>
      <c r="CP345" t="b">
        <f t="shared" si="697"/>
        <v>0</v>
      </c>
      <c r="CQ345" t="b">
        <f t="shared" si="698"/>
        <v>0</v>
      </c>
      <c r="CR345" t="b">
        <f t="shared" si="699"/>
        <v>0</v>
      </c>
      <c r="CS345" t="b">
        <f t="shared" si="700"/>
        <v>0</v>
      </c>
      <c r="CT345" t="b">
        <f t="shared" si="701"/>
        <v>0</v>
      </c>
      <c r="CU345" t="b">
        <f t="shared" si="702"/>
        <v>0</v>
      </c>
      <c r="CV345">
        <f t="shared" si="703"/>
        <v>1</v>
      </c>
      <c r="CW345" t="b">
        <f t="shared" si="704"/>
        <v>0</v>
      </c>
      <c r="CX345" t="b">
        <f t="shared" si="705"/>
        <v>0</v>
      </c>
      <c r="CY345" t="b">
        <f t="shared" si="706"/>
        <v>0</v>
      </c>
      <c r="CZ345" t="b">
        <f t="shared" si="707"/>
        <v>0</v>
      </c>
      <c r="DA345" t="b">
        <f t="shared" si="708"/>
        <v>0</v>
      </c>
      <c r="DB345" t="b">
        <f t="shared" si="709"/>
        <v>0</v>
      </c>
      <c r="DC345" t="b">
        <f t="shared" si="710"/>
        <v>0</v>
      </c>
      <c r="DD345" t="b">
        <f t="shared" si="711"/>
        <v>0</v>
      </c>
      <c r="DE345" t="b">
        <f t="shared" si="712"/>
        <v>0</v>
      </c>
      <c r="DF345" t="b">
        <f t="shared" si="713"/>
        <v>0</v>
      </c>
      <c r="DG345" t="b">
        <f t="shared" si="714"/>
        <v>0</v>
      </c>
      <c r="DH345" t="b">
        <f t="shared" si="715"/>
        <v>0</v>
      </c>
      <c r="DI345" t="b">
        <f t="shared" si="716"/>
        <v>0</v>
      </c>
      <c r="DJ345" t="b">
        <f t="shared" si="717"/>
        <v>0</v>
      </c>
      <c r="DK345" t="b">
        <f t="shared" si="718"/>
        <v>0</v>
      </c>
      <c r="DL345" t="b">
        <f t="shared" si="719"/>
        <v>0</v>
      </c>
      <c r="DM345" t="b">
        <f t="shared" si="720"/>
        <v>0</v>
      </c>
      <c r="DN345" t="b">
        <f t="shared" si="721"/>
        <v>0</v>
      </c>
      <c r="DO345" t="b">
        <f t="shared" si="722"/>
        <v>0</v>
      </c>
      <c r="DP345" t="b">
        <f t="shared" si="723"/>
        <v>0</v>
      </c>
      <c r="DQ345" t="b">
        <f t="shared" si="724"/>
        <v>0</v>
      </c>
      <c r="DR345" t="b">
        <f t="shared" si="725"/>
        <v>0</v>
      </c>
      <c r="DS345" t="b">
        <f t="shared" si="726"/>
        <v>0</v>
      </c>
      <c r="DT345" t="b">
        <f t="shared" si="727"/>
        <v>0</v>
      </c>
      <c r="DU345" t="b">
        <f t="shared" si="728"/>
        <v>0</v>
      </c>
      <c r="DV345" t="b">
        <f t="shared" si="729"/>
        <v>0</v>
      </c>
      <c r="DW345" t="b">
        <f t="shared" si="730"/>
        <v>0</v>
      </c>
      <c r="DX345" t="b">
        <f t="shared" si="731"/>
        <v>0</v>
      </c>
      <c r="DY345" t="b">
        <f t="shared" si="732"/>
        <v>0</v>
      </c>
      <c r="DZ345" t="b">
        <f t="shared" si="733"/>
        <v>0</v>
      </c>
      <c r="EA345" t="b">
        <f t="shared" si="734"/>
        <v>0</v>
      </c>
      <c r="EB345" t="b">
        <f t="shared" si="735"/>
        <v>0</v>
      </c>
      <c r="EC345" t="b">
        <f t="shared" si="736"/>
        <v>0</v>
      </c>
      <c r="ED345" t="b">
        <f t="shared" si="737"/>
        <v>0</v>
      </c>
      <c r="EE345" t="b">
        <f t="shared" si="738"/>
        <v>0</v>
      </c>
      <c r="EF345">
        <f t="shared" si="739"/>
        <v>1</v>
      </c>
      <c r="EG345" t="b">
        <f t="shared" si="740"/>
        <v>0</v>
      </c>
      <c r="EH345" t="b">
        <f t="shared" si="741"/>
        <v>0</v>
      </c>
      <c r="EI345">
        <f t="shared" si="742"/>
        <v>1</v>
      </c>
      <c r="EJ345" t="b">
        <f t="shared" si="743"/>
        <v>0</v>
      </c>
      <c r="EK345" t="b">
        <f t="shared" si="744"/>
        <v>0</v>
      </c>
    </row>
    <row r="346" spans="1:141">
      <c r="A346" t="s">
        <v>1802</v>
      </c>
      <c r="B346" t="s">
        <v>1803</v>
      </c>
      <c r="C346" t="s">
        <v>1804</v>
      </c>
      <c r="D346" s="1">
        <v>41799</v>
      </c>
      <c r="E346" s="2">
        <v>41800.159548611111</v>
      </c>
      <c r="F346" s="2">
        <v>43598.51666666667</v>
      </c>
      <c r="G346">
        <v>855249</v>
      </c>
      <c r="H346" t="s">
        <v>1805</v>
      </c>
      <c r="I346" s="10" t="s">
        <v>1806</v>
      </c>
      <c r="J346" t="s">
        <v>147</v>
      </c>
      <c r="K346" s="8" t="b">
        <v>1</v>
      </c>
      <c r="L346" s="10" t="b">
        <v>0</v>
      </c>
      <c r="M346" s="12" t="b">
        <v>0</v>
      </c>
      <c r="N346" t="b">
        <v>0</v>
      </c>
      <c r="O346" t="b">
        <v>0</v>
      </c>
      <c r="P346" t="b">
        <v>0</v>
      </c>
      <c r="Q346">
        <f t="shared" si="621"/>
        <v>2</v>
      </c>
      <c r="R346">
        <f t="shared" si="622"/>
        <v>6</v>
      </c>
      <c r="S346" t="e">
        <f t="shared" ca="1" si="652"/>
        <v>#NAME?</v>
      </c>
      <c r="T346" t="e">
        <f t="shared" ca="1" si="623"/>
        <v>#NAME?</v>
      </c>
      <c r="U346" s="4">
        <f t="shared" si="624"/>
        <v>1.1595486111109494</v>
      </c>
      <c r="V346" s="4">
        <f t="shared" si="625"/>
        <v>3.8651620370364979E-2</v>
      </c>
      <c r="W346" s="4">
        <f t="shared" si="626"/>
        <v>1</v>
      </c>
      <c r="X346" s="4">
        <f t="shared" si="627"/>
        <v>0</v>
      </c>
      <c r="Y346" s="4">
        <f t="shared" si="628"/>
        <v>0</v>
      </c>
      <c r="Z346" s="4">
        <f t="shared" si="629"/>
        <v>0</v>
      </c>
      <c r="AA346" s="4">
        <f t="shared" si="630"/>
        <v>0</v>
      </c>
      <c r="AB346" s="4">
        <f t="shared" si="631"/>
        <v>0</v>
      </c>
      <c r="AC346" s="4"/>
      <c r="AD346" s="4" t="b">
        <f t="shared" si="632"/>
        <v>0</v>
      </c>
      <c r="AE346" s="4" t="b">
        <f t="shared" si="633"/>
        <v>0</v>
      </c>
      <c r="AF346" s="4" t="b">
        <f t="shared" si="634"/>
        <v>0</v>
      </c>
      <c r="AG346" t="b">
        <f t="shared" si="635"/>
        <v>0</v>
      </c>
      <c r="AH346" t="b">
        <f t="shared" si="636"/>
        <v>0</v>
      </c>
      <c r="AI346" t="b">
        <f t="shared" si="637"/>
        <v>0</v>
      </c>
      <c r="AJ346" t="b">
        <f t="shared" si="638"/>
        <v>0</v>
      </c>
      <c r="AK346" t="b">
        <f t="shared" si="639"/>
        <v>0</v>
      </c>
      <c r="AL346" t="b">
        <f t="shared" si="640"/>
        <v>0</v>
      </c>
      <c r="AM346" t="b">
        <f t="shared" si="641"/>
        <v>0</v>
      </c>
      <c r="AN346" t="b">
        <f t="shared" si="642"/>
        <v>0</v>
      </c>
      <c r="AO346" t="b">
        <f t="shared" si="643"/>
        <v>0</v>
      </c>
      <c r="AP346" t="b">
        <f t="shared" si="644"/>
        <v>0</v>
      </c>
      <c r="AQ346" t="b">
        <f t="shared" si="645"/>
        <v>0</v>
      </c>
      <c r="AR346" t="b">
        <f t="shared" si="646"/>
        <v>0</v>
      </c>
      <c r="AS346" t="b">
        <f t="shared" si="647"/>
        <v>0</v>
      </c>
      <c r="AT346" t="b">
        <f t="shared" si="648"/>
        <v>0</v>
      </c>
      <c r="AU346" t="b">
        <f t="shared" si="649"/>
        <v>0</v>
      </c>
      <c r="AV346" t="b">
        <f t="shared" si="650"/>
        <v>0</v>
      </c>
      <c r="AW346" t="b">
        <f t="shared" si="651"/>
        <v>0</v>
      </c>
      <c r="AX346" t="b">
        <f t="shared" si="653"/>
        <v>0</v>
      </c>
      <c r="AY346" t="b">
        <f t="shared" si="654"/>
        <v>0</v>
      </c>
      <c r="AZ346" t="b">
        <f t="shared" si="655"/>
        <v>0</v>
      </c>
      <c r="BA346" t="b">
        <f t="shared" si="656"/>
        <v>0</v>
      </c>
      <c r="BB346" t="b">
        <f t="shared" si="657"/>
        <v>0</v>
      </c>
      <c r="BC346" t="b">
        <f t="shared" si="658"/>
        <v>0</v>
      </c>
      <c r="BD346" t="b">
        <f t="shared" si="659"/>
        <v>0</v>
      </c>
      <c r="BE346" t="b">
        <f t="shared" si="660"/>
        <v>0</v>
      </c>
      <c r="BF346" t="b">
        <f t="shared" si="661"/>
        <v>0</v>
      </c>
      <c r="BG346" t="b">
        <f t="shared" si="662"/>
        <v>0</v>
      </c>
      <c r="BH346" t="b">
        <f t="shared" si="663"/>
        <v>0</v>
      </c>
      <c r="BI346">
        <f t="shared" si="664"/>
        <v>1</v>
      </c>
      <c r="BJ346" t="b">
        <f t="shared" si="665"/>
        <v>0</v>
      </c>
      <c r="BK346" t="b">
        <f t="shared" si="666"/>
        <v>0</v>
      </c>
      <c r="BL346" t="b">
        <f t="shared" si="667"/>
        <v>0</v>
      </c>
      <c r="BM346" t="b">
        <f t="shared" si="668"/>
        <v>0</v>
      </c>
      <c r="BN346" t="b">
        <f t="shared" si="669"/>
        <v>0</v>
      </c>
      <c r="BO346" t="b">
        <f t="shared" si="670"/>
        <v>0</v>
      </c>
      <c r="BP346" t="b">
        <f t="shared" si="671"/>
        <v>0</v>
      </c>
      <c r="BQ346" t="b">
        <f t="shared" si="672"/>
        <v>0</v>
      </c>
      <c r="BR346" t="b">
        <f t="shared" si="673"/>
        <v>0</v>
      </c>
      <c r="BS346" t="b">
        <f t="shared" si="674"/>
        <v>0</v>
      </c>
      <c r="BT346" t="b">
        <f t="shared" si="675"/>
        <v>0</v>
      </c>
      <c r="BU346" t="b">
        <f t="shared" si="676"/>
        <v>0</v>
      </c>
      <c r="BV346" t="b">
        <f t="shared" si="677"/>
        <v>0</v>
      </c>
      <c r="BW346" t="b">
        <f t="shared" si="678"/>
        <v>0</v>
      </c>
      <c r="BX346" t="b">
        <f t="shared" si="679"/>
        <v>0</v>
      </c>
      <c r="BY346" t="b">
        <f t="shared" si="680"/>
        <v>0</v>
      </c>
      <c r="BZ346" t="b">
        <f t="shared" si="681"/>
        <v>0</v>
      </c>
      <c r="CA346" t="b">
        <f t="shared" si="682"/>
        <v>0</v>
      </c>
      <c r="CB346" t="b">
        <f t="shared" si="683"/>
        <v>0</v>
      </c>
      <c r="CC346" t="b">
        <f t="shared" si="684"/>
        <v>0</v>
      </c>
      <c r="CD346" t="b">
        <f t="shared" si="685"/>
        <v>0</v>
      </c>
      <c r="CE346" t="b">
        <f t="shared" si="686"/>
        <v>0</v>
      </c>
      <c r="CF346" t="b">
        <f t="shared" si="687"/>
        <v>0</v>
      </c>
      <c r="CG346" t="b">
        <f t="shared" si="688"/>
        <v>0</v>
      </c>
      <c r="CH346" t="b">
        <f t="shared" si="689"/>
        <v>0</v>
      </c>
      <c r="CI346" t="b">
        <f t="shared" si="690"/>
        <v>0</v>
      </c>
      <c r="CJ346" t="b">
        <f t="shared" si="691"/>
        <v>0</v>
      </c>
      <c r="CK346" t="b">
        <f t="shared" si="692"/>
        <v>0</v>
      </c>
      <c r="CL346" t="b">
        <f t="shared" si="693"/>
        <v>0</v>
      </c>
      <c r="CM346" t="b">
        <f t="shared" si="694"/>
        <v>0</v>
      </c>
      <c r="CN346" t="b">
        <f t="shared" si="695"/>
        <v>0</v>
      </c>
      <c r="CO346" t="b">
        <f t="shared" si="696"/>
        <v>0</v>
      </c>
      <c r="CP346" t="b">
        <f t="shared" si="697"/>
        <v>0</v>
      </c>
      <c r="CQ346" t="b">
        <f t="shared" si="698"/>
        <v>0</v>
      </c>
      <c r="CR346" t="b">
        <f t="shared" si="699"/>
        <v>0</v>
      </c>
      <c r="CS346" t="b">
        <f t="shared" si="700"/>
        <v>0</v>
      </c>
      <c r="CT346" t="b">
        <f t="shared" si="701"/>
        <v>0</v>
      </c>
      <c r="CU346" t="b">
        <f t="shared" si="702"/>
        <v>0</v>
      </c>
      <c r="CV346">
        <f t="shared" si="703"/>
        <v>1</v>
      </c>
      <c r="CW346" t="b">
        <f t="shared" si="704"/>
        <v>0</v>
      </c>
      <c r="CX346" t="b">
        <f t="shared" si="705"/>
        <v>0</v>
      </c>
      <c r="CY346" t="b">
        <f t="shared" si="706"/>
        <v>0</v>
      </c>
      <c r="CZ346" t="b">
        <f t="shared" si="707"/>
        <v>0</v>
      </c>
      <c r="DA346" t="b">
        <f t="shared" si="708"/>
        <v>0</v>
      </c>
      <c r="DB346" t="b">
        <f t="shared" si="709"/>
        <v>0</v>
      </c>
      <c r="DC346" t="b">
        <f t="shared" si="710"/>
        <v>0</v>
      </c>
      <c r="DD346" t="b">
        <f t="shared" si="711"/>
        <v>0</v>
      </c>
      <c r="DE346" t="b">
        <f t="shared" si="712"/>
        <v>0</v>
      </c>
      <c r="DF346" t="b">
        <f t="shared" si="713"/>
        <v>0</v>
      </c>
      <c r="DG346" t="b">
        <f t="shared" si="714"/>
        <v>0</v>
      </c>
      <c r="DH346" t="b">
        <f t="shared" si="715"/>
        <v>0</v>
      </c>
      <c r="DI346" t="b">
        <f t="shared" si="716"/>
        <v>0</v>
      </c>
      <c r="DJ346" t="b">
        <f t="shared" si="717"/>
        <v>0</v>
      </c>
      <c r="DK346" t="b">
        <f t="shared" si="718"/>
        <v>0</v>
      </c>
      <c r="DL346" t="b">
        <f t="shared" si="719"/>
        <v>0</v>
      </c>
      <c r="DM346" t="b">
        <f t="shared" si="720"/>
        <v>0</v>
      </c>
      <c r="DN346" t="b">
        <f t="shared" si="721"/>
        <v>0</v>
      </c>
      <c r="DO346" t="b">
        <f t="shared" si="722"/>
        <v>0</v>
      </c>
      <c r="DP346" t="b">
        <f t="shared" si="723"/>
        <v>0</v>
      </c>
      <c r="DQ346" t="b">
        <f t="shared" si="724"/>
        <v>0</v>
      </c>
      <c r="DR346" t="b">
        <f t="shared" si="725"/>
        <v>0</v>
      </c>
      <c r="DS346" t="b">
        <f t="shared" si="726"/>
        <v>0</v>
      </c>
      <c r="DT346" t="b">
        <f t="shared" si="727"/>
        <v>0</v>
      </c>
      <c r="DU346" t="b">
        <f t="shared" si="728"/>
        <v>0</v>
      </c>
      <c r="DV346" t="b">
        <f t="shared" si="729"/>
        <v>0</v>
      </c>
      <c r="DW346" t="b">
        <f t="shared" si="730"/>
        <v>0</v>
      </c>
      <c r="DX346" t="b">
        <f t="shared" si="731"/>
        <v>0</v>
      </c>
      <c r="DY346" t="b">
        <f t="shared" si="732"/>
        <v>0</v>
      </c>
      <c r="DZ346" t="b">
        <f t="shared" si="733"/>
        <v>0</v>
      </c>
      <c r="EA346" t="b">
        <f t="shared" si="734"/>
        <v>0</v>
      </c>
      <c r="EB346" t="b">
        <f t="shared" si="735"/>
        <v>0</v>
      </c>
      <c r="EC346" t="b">
        <f t="shared" si="736"/>
        <v>0</v>
      </c>
      <c r="ED346" t="b">
        <f t="shared" si="737"/>
        <v>0</v>
      </c>
      <c r="EE346" t="b">
        <f t="shared" si="738"/>
        <v>0</v>
      </c>
      <c r="EF346" t="b">
        <f t="shared" si="739"/>
        <v>0</v>
      </c>
      <c r="EG346" t="b">
        <f t="shared" si="740"/>
        <v>0</v>
      </c>
      <c r="EH346" t="b">
        <f t="shared" si="741"/>
        <v>0</v>
      </c>
      <c r="EI346" t="b">
        <f t="shared" si="742"/>
        <v>0</v>
      </c>
      <c r="EJ346" t="b">
        <f t="shared" si="743"/>
        <v>0</v>
      </c>
      <c r="EK346" t="b">
        <f t="shared" si="744"/>
        <v>0</v>
      </c>
    </row>
    <row r="347" spans="1:141">
      <c r="A347" t="s">
        <v>1807</v>
      </c>
      <c r="B347" t="s">
        <v>1807</v>
      </c>
      <c r="C347" t="s">
        <v>1808</v>
      </c>
      <c r="D347" s="1">
        <v>44277</v>
      </c>
      <c r="E347" s="2">
        <v>44311.901979166665</v>
      </c>
      <c r="F347" s="2">
        <v>44311.903749999998</v>
      </c>
      <c r="G347">
        <v>2987329</v>
      </c>
      <c r="H347" t="s">
        <v>1809</v>
      </c>
      <c r="I347" s="10" t="s">
        <v>1810</v>
      </c>
      <c r="J347" t="s">
        <v>188</v>
      </c>
      <c r="K347" s="8" t="b">
        <v>1</v>
      </c>
      <c r="L347" s="10" t="b">
        <v>0</v>
      </c>
      <c r="M347" s="12" t="b">
        <v>0</v>
      </c>
      <c r="N347" t="b">
        <v>0</v>
      </c>
      <c r="O347" t="b">
        <v>0</v>
      </c>
      <c r="P347" t="b">
        <v>0</v>
      </c>
      <c r="Q347">
        <f t="shared" si="621"/>
        <v>2</v>
      </c>
      <c r="R347">
        <f t="shared" si="622"/>
        <v>3</v>
      </c>
      <c r="S347" t="e">
        <f t="shared" ca="1" si="652"/>
        <v>#NAME?</v>
      </c>
      <c r="T347" t="e">
        <f t="shared" ca="1" si="623"/>
        <v>#NAME?</v>
      </c>
      <c r="U347" s="4">
        <f t="shared" si="624"/>
        <v>34.901979166665114</v>
      </c>
      <c r="V347" s="4">
        <f t="shared" si="625"/>
        <v>1.1633993055555039</v>
      </c>
      <c r="W347" s="4">
        <f t="shared" si="626"/>
        <v>1</v>
      </c>
      <c r="X347" s="4">
        <f t="shared" si="627"/>
        <v>0</v>
      </c>
      <c r="Y347" s="4">
        <f t="shared" si="628"/>
        <v>0</v>
      </c>
      <c r="Z347" s="4">
        <f t="shared" si="629"/>
        <v>0</v>
      </c>
      <c r="AA347" s="4">
        <f t="shared" si="630"/>
        <v>0</v>
      </c>
      <c r="AB347" s="4">
        <f t="shared" si="631"/>
        <v>0</v>
      </c>
      <c r="AC347" s="4"/>
      <c r="AD347" s="4" t="b">
        <f t="shared" si="632"/>
        <v>0</v>
      </c>
      <c r="AE347" s="4" t="b">
        <f t="shared" si="633"/>
        <v>0</v>
      </c>
      <c r="AF347" s="4" t="b">
        <f t="shared" si="634"/>
        <v>0</v>
      </c>
      <c r="AG347" t="b">
        <f t="shared" si="635"/>
        <v>0</v>
      </c>
      <c r="AH347" t="b">
        <f t="shared" si="636"/>
        <v>0</v>
      </c>
      <c r="AI347" t="b">
        <f t="shared" si="637"/>
        <v>0</v>
      </c>
      <c r="AJ347" t="b">
        <f t="shared" si="638"/>
        <v>0</v>
      </c>
      <c r="AK347" t="b">
        <f t="shared" si="639"/>
        <v>0</v>
      </c>
      <c r="AL347" t="b">
        <f t="shared" si="640"/>
        <v>0</v>
      </c>
      <c r="AM347" t="b">
        <f t="shared" si="641"/>
        <v>0</v>
      </c>
      <c r="AN347" t="b">
        <f t="shared" si="642"/>
        <v>0</v>
      </c>
      <c r="AO347" t="b">
        <f t="shared" si="643"/>
        <v>0</v>
      </c>
      <c r="AP347" t="b">
        <f t="shared" si="644"/>
        <v>0</v>
      </c>
      <c r="AQ347" t="b">
        <f t="shared" si="645"/>
        <v>0</v>
      </c>
      <c r="AR347" t="b">
        <f t="shared" si="646"/>
        <v>0</v>
      </c>
      <c r="AS347" t="b">
        <f t="shared" si="647"/>
        <v>0</v>
      </c>
      <c r="AT347" t="b">
        <f t="shared" si="648"/>
        <v>0</v>
      </c>
      <c r="AU347" t="b">
        <f t="shared" si="649"/>
        <v>0</v>
      </c>
      <c r="AV347" t="b">
        <f t="shared" si="650"/>
        <v>0</v>
      </c>
      <c r="AW347" t="b">
        <f t="shared" si="651"/>
        <v>0</v>
      </c>
      <c r="AX347" t="b">
        <f t="shared" si="653"/>
        <v>0</v>
      </c>
      <c r="AY347" t="b">
        <f t="shared" si="654"/>
        <v>0</v>
      </c>
      <c r="AZ347" t="b">
        <f t="shared" si="655"/>
        <v>0</v>
      </c>
      <c r="BA347" t="b">
        <f t="shared" si="656"/>
        <v>0</v>
      </c>
      <c r="BB347" t="b">
        <f t="shared" si="657"/>
        <v>0</v>
      </c>
      <c r="BC347" t="b">
        <f t="shared" si="658"/>
        <v>0</v>
      </c>
      <c r="BD347" t="b">
        <f t="shared" si="659"/>
        <v>0</v>
      </c>
      <c r="BE347" t="b">
        <f t="shared" si="660"/>
        <v>0</v>
      </c>
      <c r="BF347" t="b">
        <f t="shared" si="661"/>
        <v>0</v>
      </c>
      <c r="BG347" t="b">
        <f t="shared" si="662"/>
        <v>0</v>
      </c>
      <c r="BH347" t="b">
        <f t="shared" si="663"/>
        <v>0</v>
      </c>
      <c r="BI347">
        <f t="shared" si="664"/>
        <v>1</v>
      </c>
      <c r="BJ347" t="b">
        <f t="shared" si="665"/>
        <v>0</v>
      </c>
      <c r="BK347" t="b">
        <f t="shared" si="666"/>
        <v>0</v>
      </c>
      <c r="BL347" t="b">
        <f t="shared" si="667"/>
        <v>0</v>
      </c>
      <c r="BM347" t="b">
        <f t="shared" si="668"/>
        <v>0</v>
      </c>
      <c r="BN347" t="b">
        <f t="shared" si="669"/>
        <v>0</v>
      </c>
      <c r="BO347" t="b">
        <f t="shared" si="670"/>
        <v>0</v>
      </c>
      <c r="BP347" t="b">
        <f t="shared" si="671"/>
        <v>0</v>
      </c>
      <c r="BQ347" t="b">
        <f t="shared" si="672"/>
        <v>0</v>
      </c>
      <c r="BR347" t="b">
        <f t="shared" si="673"/>
        <v>0</v>
      </c>
      <c r="BS347" t="b">
        <f t="shared" si="674"/>
        <v>0</v>
      </c>
      <c r="BT347" t="b">
        <f t="shared" si="675"/>
        <v>0</v>
      </c>
      <c r="BU347" t="b">
        <f t="shared" si="676"/>
        <v>0</v>
      </c>
      <c r="BV347" t="b">
        <f t="shared" si="677"/>
        <v>0</v>
      </c>
      <c r="BW347" t="b">
        <f t="shared" si="678"/>
        <v>0</v>
      </c>
      <c r="BX347" t="b">
        <f t="shared" si="679"/>
        <v>0</v>
      </c>
      <c r="BY347" t="b">
        <f t="shared" si="680"/>
        <v>0</v>
      </c>
      <c r="BZ347" t="b">
        <f t="shared" si="681"/>
        <v>0</v>
      </c>
      <c r="CA347" t="b">
        <f t="shared" si="682"/>
        <v>0</v>
      </c>
      <c r="CB347" t="b">
        <f t="shared" si="683"/>
        <v>0</v>
      </c>
      <c r="CC347" t="b">
        <f t="shared" si="684"/>
        <v>0</v>
      </c>
      <c r="CD347" t="b">
        <f t="shared" si="685"/>
        <v>0</v>
      </c>
      <c r="CE347">
        <f t="shared" si="686"/>
        <v>1</v>
      </c>
      <c r="CF347" t="b">
        <f t="shared" si="687"/>
        <v>0</v>
      </c>
      <c r="CG347" t="b">
        <f t="shared" si="688"/>
        <v>0</v>
      </c>
      <c r="CH347" t="b">
        <f t="shared" si="689"/>
        <v>0</v>
      </c>
      <c r="CI347" t="b">
        <f t="shared" si="690"/>
        <v>0</v>
      </c>
      <c r="CJ347" t="b">
        <f t="shared" si="691"/>
        <v>0</v>
      </c>
      <c r="CK347" t="b">
        <f t="shared" si="692"/>
        <v>0</v>
      </c>
      <c r="CL347" t="b">
        <f t="shared" si="693"/>
        <v>0</v>
      </c>
      <c r="CM347" t="b">
        <f t="shared" si="694"/>
        <v>0</v>
      </c>
      <c r="CN347" t="b">
        <f t="shared" si="695"/>
        <v>0</v>
      </c>
      <c r="CO347" t="b">
        <f t="shared" si="696"/>
        <v>0</v>
      </c>
      <c r="CP347" t="b">
        <f t="shared" si="697"/>
        <v>0</v>
      </c>
      <c r="CQ347" t="b">
        <f t="shared" si="698"/>
        <v>0</v>
      </c>
      <c r="CR347" t="b">
        <f t="shared" si="699"/>
        <v>0</v>
      </c>
      <c r="CS347" t="b">
        <f t="shared" si="700"/>
        <v>0</v>
      </c>
      <c r="CT347" t="b">
        <f t="shared" si="701"/>
        <v>0</v>
      </c>
      <c r="CU347" t="b">
        <f t="shared" si="702"/>
        <v>0</v>
      </c>
      <c r="CV347">
        <f t="shared" si="703"/>
        <v>1</v>
      </c>
      <c r="CW347" t="b">
        <f t="shared" si="704"/>
        <v>0</v>
      </c>
      <c r="CX347" t="b">
        <f t="shared" si="705"/>
        <v>0</v>
      </c>
      <c r="CY347" t="b">
        <f t="shared" si="706"/>
        <v>0</v>
      </c>
      <c r="CZ347" t="b">
        <f t="shared" si="707"/>
        <v>0</v>
      </c>
      <c r="DA347" t="b">
        <f t="shared" si="708"/>
        <v>0</v>
      </c>
      <c r="DB347" t="b">
        <f t="shared" si="709"/>
        <v>0</v>
      </c>
      <c r="DC347" t="b">
        <f t="shared" si="710"/>
        <v>0</v>
      </c>
      <c r="DD347" t="b">
        <f t="shared" si="711"/>
        <v>0</v>
      </c>
      <c r="DE347" t="b">
        <f t="shared" si="712"/>
        <v>0</v>
      </c>
      <c r="DF347" t="b">
        <f t="shared" si="713"/>
        <v>0</v>
      </c>
      <c r="DG347" t="b">
        <f t="shared" si="714"/>
        <v>0</v>
      </c>
      <c r="DH347" t="b">
        <f t="shared" si="715"/>
        <v>0</v>
      </c>
      <c r="DI347" t="b">
        <f t="shared" si="716"/>
        <v>0</v>
      </c>
      <c r="DJ347" t="b">
        <f t="shared" si="717"/>
        <v>0</v>
      </c>
      <c r="DK347" t="b">
        <f t="shared" si="718"/>
        <v>0</v>
      </c>
      <c r="DL347" t="b">
        <f t="shared" si="719"/>
        <v>0</v>
      </c>
      <c r="DM347" t="b">
        <f t="shared" si="720"/>
        <v>0</v>
      </c>
      <c r="DN347" t="b">
        <f t="shared" si="721"/>
        <v>0</v>
      </c>
      <c r="DO347" t="b">
        <f t="shared" si="722"/>
        <v>0</v>
      </c>
      <c r="DP347" t="b">
        <f t="shared" si="723"/>
        <v>0</v>
      </c>
      <c r="DQ347" t="b">
        <f t="shared" si="724"/>
        <v>0</v>
      </c>
      <c r="DR347" t="b">
        <f t="shared" si="725"/>
        <v>0</v>
      </c>
      <c r="DS347" t="b">
        <f t="shared" si="726"/>
        <v>0</v>
      </c>
      <c r="DT347" t="b">
        <f t="shared" si="727"/>
        <v>0</v>
      </c>
      <c r="DU347" t="b">
        <f t="shared" si="728"/>
        <v>0</v>
      </c>
      <c r="DV347" t="b">
        <f t="shared" si="729"/>
        <v>0</v>
      </c>
      <c r="DW347" t="b">
        <f t="shared" si="730"/>
        <v>0</v>
      </c>
      <c r="DX347" t="b">
        <f t="shared" si="731"/>
        <v>0</v>
      </c>
      <c r="DY347" t="b">
        <f t="shared" si="732"/>
        <v>0</v>
      </c>
      <c r="DZ347" t="b">
        <f t="shared" si="733"/>
        <v>0</v>
      </c>
      <c r="EA347" t="b">
        <f t="shared" si="734"/>
        <v>0</v>
      </c>
      <c r="EB347" t="b">
        <f t="shared" si="735"/>
        <v>0</v>
      </c>
      <c r="EC347" t="b">
        <f t="shared" si="736"/>
        <v>0</v>
      </c>
      <c r="ED347" t="b">
        <f t="shared" si="737"/>
        <v>0</v>
      </c>
      <c r="EE347" t="b">
        <f t="shared" si="738"/>
        <v>0</v>
      </c>
      <c r="EF347">
        <f t="shared" si="739"/>
        <v>1</v>
      </c>
      <c r="EG347" t="b">
        <f t="shared" si="740"/>
        <v>0</v>
      </c>
      <c r="EH347" t="b">
        <f t="shared" si="741"/>
        <v>0</v>
      </c>
      <c r="EI347" t="b">
        <f t="shared" si="742"/>
        <v>0</v>
      </c>
      <c r="EJ347" t="b">
        <f t="shared" si="743"/>
        <v>0</v>
      </c>
      <c r="EK347" t="b">
        <f t="shared" si="744"/>
        <v>0</v>
      </c>
    </row>
    <row r="348" spans="1:141">
      <c r="A348" t="s">
        <v>1811</v>
      </c>
      <c r="B348" t="s">
        <v>1812</v>
      </c>
      <c r="C348" t="s">
        <v>1813</v>
      </c>
      <c r="D348" s="1">
        <v>42522</v>
      </c>
      <c r="E348" s="2">
        <v>43176.071805555555</v>
      </c>
      <c r="F348" s="2">
        <v>43176.071805555555</v>
      </c>
      <c r="G348">
        <v>1311610</v>
      </c>
      <c r="H348" t="s">
        <v>1814</v>
      </c>
      <c r="I348" s="10" t="s">
        <v>1815</v>
      </c>
      <c r="J348" t="s">
        <v>199</v>
      </c>
      <c r="K348" s="8" t="b">
        <v>1</v>
      </c>
      <c r="L348" s="10" t="b">
        <v>0</v>
      </c>
      <c r="M348" s="12" t="b">
        <v>0</v>
      </c>
      <c r="N348" t="b">
        <v>0</v>
      </c>
      <c r="O348" t="b">
        <v>0</v>
      </c>
      <c r="P348" t="b">
        <v>0</v>
      </c>
      <c r="Q348">
        <f t="shared" si="621"/>
        <v>4</v>
      </c>
      <c r="R348">
        <f t="shared" si="622"/>
        <v>6</v>
      </c>
      <c r="S348" t="e">
        <f t="shared" ca="1" si="652"/>
        <v>#NAME?</v>
      </c>
      <c r="T348" t="e">
        <f t="shared" ca="1" si="623"/>
        <v>#NAME?</v>
      </c>
      <c r="U348" s="4">
        <f t="shared" si="624"/>
        <v>654.07180555555533</v>
      </c>
      <c r="V348" s="4">
        <f t="shared" si="625"/>
        <v>21.80239351851851</v>
      </c>
      <c r="W348" s="4">
        <f t="shared" si="626"/>
        <v>1</v>
      </c>
      <c r="X348" s="4">
        <f t="shared" si="627"/>
        <v>0</v>
      </c>
      <c r="Y348" s="4">
        <f t="shared" si="628"/>
        <v>0</v>
      </c>
      <c r="Z348" s="4">
        <f t="shared" si="629"/>
        <v>0</v>
      </c>
      <c r="AA348" s="4">
        <f t="shared" si="630"/>
        <v>0</v>
      </c>
      <c r="AB348" s="4">
        <f t="shared" si="631"/>
        <v>0</v>
      </c>
      <c r="AC348" s="4"/>
      <c r="AD348" s="4" t="b">
        <f t="shared" si="632"/>
        <v>0</v>
      </c>
      <c r="AE348" s="4" t="b">
        <f t="shared" si="633"/>
        <v>0</v>
      </c>
      <c r="AF348" s="4" t="b">
        <f t="shared" si="634"/>
        <v>0</v>
      </c>
      <c r="AG348" t="b">
        <f t="shared" si="635"/>
        <v>0</v>
      </c>
      <c r="AH348" t="b">
        <f t="shared" si="636"/>
        <v>0</v>
      </c>
      <c r="AI348" t="b">
        <f t="shared" si="637"/>
        <v>0</v>
      </c>
      <c r="AJ348" t="b">
        <f t="shared" si="638"/>
        <v>0</v>
      </c>
      <c r="AK348" t="b">
        <f t="shared" si="639"/>
        <v>0</v>
      </c>
      <c r="AL348" t="b">
        <f t="shared" si="640"/>
        <v>0</v>
      </c>
      <c r="AM348" t="b">
        <f t="shared" si="641"/>
        <v>0</v>
      </c>
      <c r="AN348" t="b">
        <f t="shared" si="642"/>
        <v>0</v>
      </c>
      <c r="AO348" t="b">
        <f t="shared" si="643"/>
        <v>0</v>
      </c>
      <c r="AP348" t="b">
        <f t="shared" si="644"/>
        <v>0</v>
      </c>
      <c r="AQ348" t="b">
        <f t="shared" si="645"/>
        <v>0</v>
      </c>
      <c r="AR348" t="b">
        <f t="shared" si="646"/>
        <v>0</v>
      </c>
      <c r="AS348" t="b">
        <f t="shared" si="647"/>
        <v>0</v>
      </c>
      <c r="AT348" t="b">
        <f t="shared" si="648"/>
        <v>0</v>
      </c>
      <c r="AU348" t="b">
        <f t="shared" si="649"/>
        <v>0</v>
      </c>
      <c r="AV348" t="b">
        <f t="shared" si="650"/>
        <v>0</v>
      </c>
      <c r="AW348" t="b">
        <f t="shared" si="651"/>
        <v>0</v>
      </c>
      <c r="AX348" t="b">
        <f t="shared" si="653"/>
        <v>0</v>
      </c>
      <c r="AY348" t="b">
        <f t="shared" si="654"/>
        <v>0</v>
      </c>
      <c r="AZ348">
        <f t="shared" si="655"/>
        <v>1</v>
      </c>
      <c r="BA348" t="b">
        <f t="shared" si="656"/>
        <v>0</v>
      </c>
      <c r="BB348" t="b">
        <f t="shared" si="657"/>
        <v>0</v>
      </c>
      <c r="BC348" t="b">
        <f t="shared" si="658"/>
        <v>0</v>
      </c>
      <c r="BD348" t="b">
        <f t="shared" si="659"/>
        <v>0</v>
      </c>
      <c r="BE348" t="b">
        <f t="shared" si="660"/>
        <v>0</v>
      </c>
      <c r="BF348" t="b">
        <f t="shared" si="661"/>
        <v>0</v>
      </c>
      <c r="BG348" t="b">
        <f t="shared" si="662"/>
        <v>0</v>
      </c>
      <c r="BH348" t="b">
        <f t="shared" si="663"/>
        <v>0</v>
      </c>
      <c r="BI348">
        <f t="shared" si="664"/>
        <v>1</v>
      </c>
      <c r="BJ348" t="b">
        <f t="shared" si="665"/>
        <v>0</v>
      </c>
      <c r="BK348" t="b">
        <f t="shared" si="666"/>
        <v>0</v>
      </c>
      <c r="BL348" t="b">
        <f t="shared" si="667"/>
        <v>0</v>
      </c>
      <c r="BM348" t="b">
        <f t="shared" si="668"/>
        <v>0</v>
      </c>
      <c r="BN348" t="b">
        <f t="shared" si="669"/>
        <v>0</v>
      </c>
      <c r="BO348" t="b">
        <f t="shared" si="670"/>
        <v>0</v>
      </c>
      <c r="BP348" t="b">
        <f t="shared" si="671"/>
        <v>0</v>
      </c>
      <c r="BQ348" t="b">
        <f t="shared" si="672"/>
        <v>0</v>
      </c>
      <c r="BR348" t="b">
        <f t="shared" si="673"/>
        <v>0</v>
      </c>
      <c r="BS348" t="b">
        <f t="shared" si="674"/>
        <v>0</v>
      </c>
      <c r="BT348" t="b">
        <f t="shared" si="675"/>
        <v>0</v>
      </c>
      <c r="BU348" t="b">
        <f t="shared" si="676"/>
        <v>0</v>
      </c>
      <c r="BV348" t="b">
        <f t="shared" si="677"/>
        <v>0</v>
      </c>
      <c r="BW348" t="b">
        <f t="shared" si="678"/>
        <v>0</v>
      </c>
      <c r="BX348" t="b">
        <f t="shared" si="679"/>
        <v>0</v>
      </c>
      <c r="BY348" t="b">
        <f t="shared" si="680"/>
        <v>0</v>
      </c>
      <c r="BZ348" t="b">
        <f t="shared" si="681"/>
        <v>0</v>
      </c>
      <c r="CA348" t="b">
        <f t="shared" si="682"/>
        <v>0</v>
      </c>
      <c r="CB348" t="b">
        <f t="shared" si="683"/>
        <v>0</v>
      </c>
      <c r="CC348" t="b">
        <f t="shared" si="684"/>
        <v>0</v>
      </c>
      <c r="CD348" t="b">
        <f t="shared" si="685"/>
        <v>0</v>
      </c>
      <c r="CE348">
        <f t="shared" si="686"/>
        <v>1</v>
      </c>
      <c r="CF348" t="b">
        <f t="shared" si="687"/>
        <v>0</v>
      </c>
      <c r="CG348" t="b">
        <f t="shared" si="688"/>
        <v>0</v>
      </c>
      <c r="CH348" t="b">
        <f t="shared" si="689"/>
        <v>0</v>
      </c>
      <c r="CI348" t="b">
        <f t="shared" si="690"/>
        <v>0</v>
      </c>
      <c r="CJ348" t="b">
        <f t="shared" si="691"/>
        <v>0</v>
      </c>
      <c r="CK348" t="b">
        <f t="shared" si="692"/>
        <v>0</v>
      </c>
      <c r="CL348" t="b">
        <f t="shared" si="693"/>
        <v>0</v>
      </c>
      <c r="CM348" t="b">
        <f t="shared" si="694"/>
        <v>0</v>
      </c>
      <c r="CN348" t="b">
        <f t="shared" si="695"/>
        <v>0</v>
      </c>
      <c r="CO348" t="b">
        <f t="shared" si="696"/>
        <v>0</v>
      </c>
      <c r="CP348" t="b">
        <f t="shared" si="697"/>
        <v>0</v>
      </c>
      <c r="CQ348" t="b">
        <f t="shared" si="698"/>
        <v>0</v>
      </c>
      <c r="CR348" t="b">
        <f t="shared" si="699"/>
        <v>0</v>
      </c>
      <c r="CS348" t="b">
        <f t="shared" si="700"/>
        <v>0</v>
      </c>
      <c r="CT348" t="b">
        <f t="shared" si="701"/>
        <v>0</v>
      </c>
      <c r="CU348" t="b">
        <f t="shared" si="702"/>
        <v>0</v>
      </c>
      <c r="CV348">
        <f t="shared" si="703"/>
        <v>1</v>
      </c>
      <c r="CW348" t="b">
        <f t="shared" si="704"/>
        <v>0</v>
      </c>
      <c r="CX348" t="b">
        <f t="shared" si="705"/>
        <v>0</v>
      </c>
      <c r="CY348" t="b">
        <f t="shared" si="706"/>
        <v>0</v>
      </c>
      <c r="CZ348" t="b">
        <f t="shared" si="707"/>
        <v>0</v>
      </c>
      <c r="DA348" t="b">
        <f t="shared" si="708"/>
        <v>0</v>
      </c>
      <c r="DB348" t="b">
        <f t="shared" si="709"/>
        <v>0</v>
      </c>
      <c r="DC348" t="b">
        <f t="shared" si="710"/>
        <v>0</v>
      </c>
      <c r="DD348" t="b">
        <f t="shared" si="711"/>
        <v>0</v>
      </c>
      <c r="DE348" t="b">
        <f t="shared" si="712"/>
        <v>0</v>
      </c>
      <c r="DF348" t="b">
        <f t="shared" si="713"/>
        <v>0</v>
      </c>
      <c r="DG348" t="b">
        <f t="shared" si="714"/>
        <v>0</v>
      </c>
      <c r="DH348" t="b">
        <f t="shared" si="715"/>
        <v>0</v>
      </c>
      <c r="DI348" t="b">
        <f t="shared" si="716"/>
        <v>0</v>
      </c>
      <c r="DJ348" t="b">
        <f t="shared" si="717"/>
        <v>0</v>
      </c>
      <c r="DK348" t="b">
        <f t="shared" si="718"/>
        <v>0</v>
      </c>
      <c r="DL348" t="b">
        <f t="shared" si="719"/>
        <v>0</v>
      </c>
      <c r="DM348" t="b">
        <f t="shared" si="720"/>
        <v>0</v>
      </c>
      <c r="DN348" t="b">
        <f t="shared" si="721"/>
        <v>0</v>
      </c>
      <c r="DO348" t="b">
        <f t="shared" si="722"/>
        <v>0</v>
      </c>
      <c r="DP348" t="b">
        <f t="shared" si="723"/>
        <v>0</v>
      </c>
      <c r="DQ348" t="b">
        <f t="shared" si="724"/>
        <v>0</v>
      </c>
      <c r="DR348" t="b">
        <f t="shared" si="725"/>
        <v>0</v>
      </c>
      <c r="DS348" t="b">
        <f t="shared" si="726"/>
        <v>0</v>
      </c>
      <c r="DT348" t="b">
        <f t="shared" si="727"/>
        <v>0</v>
      </c>
      <c r="DU348" t="b">
        <f t="shared" si="728"/>
        <v>0</v>
      </c>
      <c r="DV348" t="b">
        <f t="shared" si="729"/>
        <v>0</v>
      </c>
      <c r="DW348" t="b">
        <f t="shared" si="730"/>
        <v>0</v>
      </c>
      <c r="DX348" t="b">
        <f t="shared" si="731"/>
        <v>0</v>
      </c>
      <c r="DY348" t="b">
        <f t="shared" si="732"/>
        <v>0</v>
      </c>
      <c r="DZ348" t="b">
        <f t="shared" si="733"/>
        <v>0</v>
      </c>
      <c r="EA348" t="b">
        <f t="shared" si="734"/>
        <v>0</v>
      </c>
      <c r="EB348" t="b">
        <f t="shared" si="735"/>
        <v>0</v>
      </c>
      <c r="EC348" t="b">
        <f t="shared" si="736"/>
        <v>0</v>
      </c>
      <c r="ED348" t="b">
        <f t="shared" si="737"/>
        <v>0</v>
      </c>
      <c r="EE348" t="b">
        <f t="shared" si="738"/>
        <v>0</v>
      </c>
      <c r="EF348">
        <f t="shared" si="739"/>
        <v>1</v>
      </c>
      <c r="EG348" t="b">
        <f t="shared" si="740"/>
        <v>0</v>
      </c>
      <c r="EH348" t="b">
        <f t="shared" si="741"/>
        <v>0</v>
      </c>
      <c r="EI348" t="b">
        <f t="shared" si="742"/>
        <v>0</v>
      </c>
      <c r="EJ348" t="b">
        <f t="shared" si="743"/>
        <v>0</v>
      </c>
      <c r="EK348" t="b">
        <f t="shared" si="744"/>
        <v>0</v>
      </c>
    </row>
    <row r="349" spans="1:141">
      <c r="A349" t="s">
        <v>1816</v>
      </c>
      <c r="B349" t="s">
        <v>1816</v>
      </c>
      <c r="C349" t="s">
        <v>1817</v>
      </c>
      <c r="D349" s="1">
        <v>44694</v>
      </c>
      <c r="E349" s="2">
        <v>44748.878067129626</v>
      </c>
      <c r="F349" s="2">
        <v>44748.878067129626</v>
      </c>
      <c r="G349">
        <v>23040238</v>
      </c>
      <c r="H349" t="s">
        <v>1818</v>
      </c>
      <c r="I349" s="10" t="s">
        <v>1819</v>
      </c>
      <c r="J349" t="s">
        <v>1820</v>
      </c>
      <c r="K349" s="8" t="b">
        <v>1</v>
      </c>
      <c r="L349" s="10" t="b">
        <v>0</v>
      </c>
      <c r="M349" s="12" t="b">
        <v>0</v>
      </c>
      <c r="N349" t="b">
        <v>0</v>
      </c>
      <c r="O349" t="b">
        <v>0</v>
      </c>
      <c r="P349" t="b">
        <v>0</v>
      </c>
      <c r="Q349">
        <f t="shared" si="621"/>
        <v>6</v>
      </c>
      <c r="R349">
        <f t="shared" si="622"/>
        <v>5</v>
      </c>
      <c r="S349" t="e">
        <f t="shared" ca="1" si="652"/>
        <v>#NAME?</v>
      </c>
      <c r="T349" t="e">
        <f t="shared" ca="1" si="623"/>
        <v>#NAME?</v>
      </c>
      <c r="U349" s="4">
        <f t="shared" si="624"/>
        <v>54.878067129626288</v>
      </c>
      <c r="V349" s="4">
        <f t="shared" si="625"/>
        <v>1.8292689043208763</v>
      </c>
      <c r="W349" s="4">
        <f t="shared" si="626"/>
        <v>1</v>
      </c>
      <c r="X349" s="4">
        <f t="shared" si="627"/>
        <v>0</v>
      </c>
      <c r="Y349" s="4">
        <f t="shared" si="628"/>
        <v>0</v>
      </c>
      <c r="Z349" s="4">
        <f t="shared" si="629"/>
        <v>0</v>
      </c>
      <c r="AA349" s="4">
        <f t="shared" si="630"/>
        <v>0</v>
      </c>
      <c r="AB349" s="4">
        <f t="shared" si="631"/>
        <v>0</v>
      </c>
      <c r="AC349" s="4"/>
      <c r="AD349" s="4" t="b">
        <f t="shared" si="632"/>
        <v>0</v>
      </c>
      <c r="AE349" s="4" t="b">
        <f t="shared" si="633"/>
        <v>0</v>
      </c>
      <c r="AF349" s="4" t="b">
        <f t="shared" si="634"/>
        <v>0</v>
      </c>
      <c r="AG349" t="b">
        <f t="shared" si="635"/>
        <v>0</v>
      </c>
      <c r="AH349" t="b">
        <f t="shared" si="636"/>
        <v>0</v>
      </c>
      <c r="AI349">
        <f t="shared" si="637"/>
        <v>1</v>
      </c>
      <c r="AJ349">
        <f t="shared" si="638"/>
        <v>1</v>
      </c>
      <c r="AK349" t="b">
        <f t="shared" si="639"/>
        <v>0</v>
      </c>
      <c r="AL349" t="b">
        <f t="shared" si="640"/>
        <v>0</v>
      </c>
      <c r="AM349" t="b">
        <f t="shared" si="641"/>
        <v>0</v>
      </c>
      <c r="AN349" t="b">
        <f t="shared" si="642"/>
        <v>0</v>
      </c>
      <c r="AO349" t="b">
        <f t="shared" si="643"/>
        <v>0</v>
      </c>
      <c r="AP349" t="b">
        <f t="shared" si="644"/>
        <v>0</v>
      </c>
      <c r="AQ349" t="b">
        <f t="shared" si="645"/>
        <v>0</v>
      </c>
      <c r="AR349" t="b">
        <f t="shared" si="646"/>
        <v>0</v>
      </c>
      <c r="AS349" t="b">
        <f t="shared" si="647"/>
        <v>0</v>
      </c>
      <c r="AT349" t="b">
        <f t="shared" si="648"/>
        <v>0</v>
      </c>
      <c r="AU349" t="b">
        <f t="shared" si="649"/>
        <v>0</v>
      </c>
      <c r="AV349" t="b">
        <f t="shared" si="650"/>
        <v>0</v>
      </c>
      <c r="AW349" t="b">
        <f t="shared" si="651"/>
        <v>0</v>
      </c>
      <c r="AX349" t="b">
        <f t="shared" si="653"/>
        <v>0</v>
      </c>
      <c r="AY349" t="b">
        <f t="shared" si="654"/>
        <v>0</v>
      </c>
      <c r="AZ349" t="b">
        <f t="shared" si="655"/>
        <v>0</v>
      </c>
      <c r="BA349" t="b">
        <f t="shared" si="656"/>
        <v>0</v>
      </c>
      <c r="BB349" t="b">
        <f t="shared" si="657"/>
        <v>0</v>
      </c>
      <c r="BC349" t="b">
        <f t="shared" si="658"/>
        <v>0</v>
      </c>
      <c r="BD349" t="b">
        <f t="shared" si="659"/>
        <v>0</v>
      </c>
      <c r="BE349" t="b">
        <f t="shared" si="660"/>
        <v>0</v>
      </c>
      <c r="BF349" t="b">
        <f t="shared" si="661"/>
        <v>0</v>
      </c>
      <c r="BG349" t="b">
        <f t="shared" si="662"/>
        <v>0</v>
      </c>
      <c r="BH349" t="b">
        <f t="shared" si="663"/>
        <v>0</v>
      </c>
      <c r="BI349">
        <f t="shared" si="664"/>
        <v>1</v>
      </c>
      <c r="BJ349" t="b">
        <f t="shared" si="665"/>
        <v>0</v>
      </c>
      <c r="BK349" t="b">
        <f t="shared" si="666"/>
        <v>0</v>
      </c>
      <c r="BL349" t="b">
        <f t="shared" si="667"/>
        <v>0</v>
      </c>
      <c r="BM349" t="b">
        <f t="shared" si="668"/>
        <v>0</v>
      </c>
      <c r="BN349" t="b">
        <f t="shared" si="669"/>
        <v>0</v>
      </c>
      <c r="BO349" t="b">
        <f t="shared" si="670"/>
        <v>0</v>
      </c>
      <c r="BP349" t="b">
        <f t="shared" si="671"/>
        <v>0</v>
      </c>
      <c r="BQ349" t="b">
        <f t="shared" si="672"/>
        <v>0</v>
      </c>
      <c r="BR349">
        <f t="shared" si="673"/>
        <v>1</v>
      </c>
      <c r="BS349" t="b">
        <f t="shared" si="674"/>
        <v>0</v>
      </c>
      <c r="BT349" t="b">
        <f t="shared" si="675"/>
        <v>0</v>
      </c>
      <c r="BU349" t="b">
        <f t="shared" si="676"/>
        <v>0</v>
      </c>
      <c r="BV349" t="b">
        <f t="shared" si="677"/>
        <v>0</v>
      </c>
      <c r="BW349" t="b">
        <f t="shared" si="678"/>
        <v>0</v>
      </c>
      <c r="BX349" t="b">
        <f t="shared" si="679"/>
        <v>0</v>
      </c>
      <c r="BY349" t="b">
        <f t="shared" si="680"/>
        <v>0</v>
      </c>
      <c r="BZ349" t="b">
        <f t="shared" si="681"/>
        <v>0</v>
      </c>
      <c r="CA349" t="b">
        <f t="shared" si="682"/>
        <v>0</v>
      </c>
      <c r="CB349" t="b">
        <f t="shared" si="683"/>
        <v>0</v>
      </c>
      <c r="CC349" t="b">
        <f t="shared" si="684"/>
        <v>0</v>
      </c>
      <c r="CD349" t="b">
        <f t="shared" si="685"/>
        <v>0</v>
      </c>
      <c r="CE349" t="b">
        <f t="shared" si="686"/>
        <v>0</v>
      </c>
      <c r="CF349" t="b">
        <f t="shared" si="687"/>
        <v>0</v>
      </c>
      <c r="CG349" t="b">
        <f t="shared" si="688"/>
        <v>0</v>
      </c>
      <c r="CH349" t="b">
        <f t="shared" si="689"/>
        <v>0</v>
      </c>
      <c r="CI349" t="b">
        <f t="shared" si="690"/>
        <v>0</v>
      </c>
      <c r="CJ349" t="b">
        <f t="shared" si="691"/>
        <v>0</v>
      </c>
      <c r="CK349" t="b">
        <f t="shared" si="692"/>
        <v>0</v>
      </c>
      <c r="CL349" t="b">
        <f t="shared" si="693"/>
        <v>0</v>
      </c>
      <c r="CM349">
        <f t="shared" si="694"/>
        <v>1</v>
      </c>
      <c r="CN349" t="b">
        <f t="shared" si="695"/>
        <v>0</v>
      </c>
      <c r="CO349" t="b">
        <f t="shared" si="696"/>
        <v>0</v>
      </c>
      <c r="CP349" t="b">
        <f t="shared" si="697"/>
        <v>0</v>
      </c>
      <c r="CQ349" t="b">
        <f t="shared" si="698"/>
        <v>0</v>
      </c>
      <c r="CR349" t="b">
        <f t="shared" si="699"/>
        <v>0</v>
      </c>
      <c r="CS349" t="b">
        <f t="shared" si="700"/>
        <v>0</v>
      </c>
      <c r="CT349" t="b">
        <f t="shared" si="701"/>
        <v>0</v>
      </c>
      <c r="CU349" t="b">
        <f t="shared" si="702"/>
        <v>0</v>
      </c>
      <c r="CV349">
        <f t="shared" si="703"/>
        <v>1</v>
      </c>
      <c r="CW349" t="b">
        <f t="shared" si="704"/>
        <v>0</v>
      </c>
      <c r="CX349" t="b">
        <f t="shared" si="705"/>
        <v>0</v>
      </c>
      <c r="CY349" t="b">
        <f t="shared" si="706"/>
        <v>0</v>
      </c>
      <c r="CZ349" t="b">
        <f t="shared" si="707"/>
        <v>0</v>
      </c>
      <c r="DA349" t="b">
        <f t="shared" si="708"/>
        <v>0</v>
      </c>
      <c r="DB349" t="b">
        <f t="shared" si="709"/>
        <v>0</v>
      </c>
      <c r="DC349" t="b">
        <f t="shared" si="710"/>
        <v>0</v>
      </c>
      <c r="DD349" t="b">
        <f t="shared" si="711"/>
        <v>0</v>
      </c>
      <c r="DE349" t="b">
        <f t="shared" si="712"/>
        <v>0</v>
      </c>
      <c r="DF349" t="b">
        <f t="shared" si="713"/>
        <v>0</v>
      </c>
      <c r="DG349" t="b">
        <f t="shared" si="714"/>
        <v>0</v>
      </c>
      <c r="DH349" t="b">
        <f t="shared" si="715"/>
        <v>0</v>
      </c>
      <c r="DI349" t="b">
        <f t="shared" si="716"/>
        <v>0</v>
      </c>
      <c r="DJ349" t="b">
        <f t="shared" si="717"/>
        <v>0</v>
      </c>
      <c r="DK349" t="b">
        <f t="shared" si="718"/>
        <v>0</v>
      </c>
      <c r="DL349" t="b">
        <f t="shared" si="719"/>
        <v>0</v>
      </c>
      <c r="DM349" t="b">
        <f t="shared" si="720"/>
        <v>0</v>
      </c>
      <c r="DN349" t="b">
        <f t="shared" si="721"/>
        <v>0</v>
      </c>
      <c r="DO349" t="b">
        <f t="shared" si="722"/>
        <v>0</v>
      </c>
      <c r="DP349" t="b">
        <f t="shared" si="723"/>
        <v>0</v>
      </c>
      <c r="DQ349" t="b">
        <f t="shared" si="724"/>
        <v>0</v>
      </c>
      <c r="DR349" t="b">
        <f t="shared" si="725"/>
        <v>0</v>
      </c>
      <c r="DS349" t="b">
        <f t="shared" si="726"/>
        <v>0</v>
      </c>
      <c r="DT349" t="b">
        <f t="shared" si="727"/>
        <v>0</v>
      </c>
      <c r="DU349" t="b">
        <f t="shared" si="728"/>
        <v>0</v>
      </c>
      <c r="DV349" t="b">
        <f t="shared" si="729"/>
        <v>0</v>
      </c>
      <c r="DW349" t="b">
        <f t="shared" si="730"/>
        <v>0</v>
      </c>
      <c r="DX349" t="b">
        <f t="shared" si="731"/>
        <v>0</v>
      </c>
      <c r="DY349">
        <f t="shared" si="732"/>
        <v>1</v>
      </c>
      <c r="DZ349" t="b">
        <f t="shared" si="733"/>
        <v>0</v>
      </c>
      <c r="EA349" t="b">
        <f t="shared" si="734"/>
        <v>0</v>
      </c>
      <c r="EB349" t="b">
        <f t="shared" si="735"/>
        <v>0</v>
      </c>
      <c r="EC349" t="b">
        <f t="shared" si="736"/>
        <v>0</v>
      </c>
      <c r="ED349" t="b">
        <f t="shared" si="737"/>
        <v>0</v>
      </c>
      <c r="EE349" t="b">
        <f t="shared" si="738"/>
        <v>0</v>
      </c>
      <c r="EF349">
        <f t="shared" si="739"/>
        <v>1</v>
      </c>
      <c r="EG349" t="b">
        <f t="shared" si="740"/>
        <v>0</v>
      </c>
      <c r="EH349" t="b">
        <f t="shared" si="741"/>
        <v>0</v>
      </c>
      <c r="EI349" t="b">
        <f t="shared" si="742"/>
        <v>0</v>
      </c>
      <c r="EJ349" t="b">
        <f t="shared" si="743"/>
        <v>0</v>
      </c>
      <c r="EK349" t="b">
        <f t="shared" si="744"/>
        <v>0</v>
      </c>
    </row>
    <row r="350" spans="1:141">
      <c r="A350" t="s">
        <v>1821</v>
      </c>
      <c r="B350" t="s">
        <v>1821</v>
      </c>
      <c r="C350" t="s">
        <v>1822</v>
      </c>
      <c r="D350" s="1">
        <v>43445</v>
      </c>
      <c r="E350" s="2">
        <v>43452.680439814816</v>
      </c>
      <c r="F350" s="2">
        <v>43452.680439814816</v>
      </c>
      <c r="G350">
        <v>205242</v>
      </c>
      <c r="H350" t="s">
        <v>1823</v>
      </c>
      <c r="I350" s="10" t="s">
        <v>1824</v>
      </c>
      <c r="J350" t="s">
        <v>1825</v>
      </c>
      <c r="K350" s="8" t="b">
        <v>1</v>
      </c>
      <c r="L350" s="10" t="b">
        <v>0</v>
      </c>
      <c r="M350" s="12" t="b">
        <v>0</v>
      </c>
      <c r="N350" t="b">
        <v>0</v>
      </c>
      <c r="O350" t="b">
        <v>0</v>
      </c>
      <c r="P350" t="b">
        <v>0</v>
      </c>
      <c r="Q350">
        <f t="shared" si="621"/>
        <v>3</v>
      </c>
      <c r="R350">
        <f t="shared" si="622"/>
        <v>12</v>
      </c>
      <c r="S350" t="e">
        <f t="shared" ca="1" si="652"/>
        <v>#NAME?</v>
      </c>
      <c r="T350" t="e">
        <f t="shared" ca="1" si="623"/>
        <v>#NAME?</v>
      </c>
      <c r="U350" s="4">
        <f t="shared" si="624"/>
        <v>7.6804398148160544</v>
      </c>
      <c r="V350" s="4">
        <f t="shared" si="625"/>
        <v>0.25601466049386851</v>
      </c>
      <c r="W350" s="4">
        <f t="shared" si="626"/>
        <v>1</v>
      </c>
      <c r="X350" s="4">
        <f t="shared" si="627"/>
        <v>0</v>
      </c>
      <c r="Y350" s="4">
        <f t="shared" si="628"/>
        <v>0</v>
      </c>
      <c r="Z350" s="4">
        <f t="shared" si="629"/>
        <v>0</v>
      </c>
      <c r="AA350" s="4">
        <f t="shared" si="630"/>
        <v>0</v>
      </c>
      <c r="AB350" s="4">
        <f t="shared" si="631"/>
        <v>0</v>
      </c>
      <c r="AC350" s="4"/>
      <c r="AD350" s="4" t="b">
        <f t="shared" si="632"/>
        <v>0</v>
      </c>
      <c r="AE350" s="4" t="b">
        <f t="shared" si="633"/>
        <v>0</v>
      </c>
      <c r="AF350" s="4" t="b">
        <f t="shared" si="634"/>
        <v>0</v>
      </c>
      <c r="AG350" t="b">
        <f t="shared" si="635"/>
        <v>0</v>
      </c>
      <c r="AH350" t="b">
        <f t="shared" si="636"/>
        <v>0</v>
      </c>
      <c r="AI350" t="b">
        <f t="shared" si="637"/>
        <v>0</v>
      </c>
      <c r="AJ350" t="b">
        <f t="shared" si="638"/>
        <v>0</v>
      </c>
      <c r="AK350" t="b">
        <f t="shared" si="639"/>
        <v>0</v>
      </c>
      <c r="AL350" t="b">
        <f t="shared" si="640"/>
        <v>0</v>
      </c>
      <c r="AM350" t="b">
        <f t="shared" si="641"/>
        <v>0</v>
      </c>
      <c r="AN350" t="b">
        <f t="shared" si="642"/>
        <v>0</v>
      </c>
      <c r="AO350" t="b">
        <f t="shared" si="643"/>
        <v>0</v>
      </c>
      <c r="AP350" t="b">
        <f t="shared" si="644"/>
        <v>0</v>
      </c>
      <c r="AQ350" t="b">
        <f t="shared" si="645"/>
        <v>0</v>
      </c>
      <c r="AR350" t="b">
        <f t="shared" si="646"/>
        <v>0</v>
      </c>
      <c r="AS350" t="b">
        <f t="shared" si="647"/>
        <v>0</v>
      </c>
      <c r="AT350" t="b">
        <f t="shared" si="648"/>
        <v>0</v>
      </c>
      <c r="AU350" t="b">
        <f t="shared" si="649"/>
        <v>0</v>
      </c>
      <c r="AV350" t="b">
        <f t="shared" si="650"/>
        <v>0</v>
      </c>
      <c r="AW350" t="b">
        <f t="shared" si="651"/>
        <v>0</v>
      </c>
      <c r="AX350" t="b">
        <f t="shared" si="653"/>
        <v>0</v>
      </c>
      <c r="AY350" t="b">
        <f t="shared" si="654"/>
        <v>0</v>
      </c>
      <c r="AZ350" t="b">
        <f t="shared" si="655"/>
        <v>0</v>
      </c>
      <c r="BA350" t="b">
        <f t="shared" si="656"/>
        <v>0</v>
      </c>
      <c r="BB350" t="b">
        <f t="shared" si="657"/>
        <v>0</v>
      </c>
      <c r="BC350" t="b">
        <f t="shared" si="658"/>
        <v>0</v>
      </c>
      <c r="BD350" t="b">
        <f t="shared" si="659"/>
        <v>0</v>
      </c>
      <c r="BE350" t="b">
        <f t="shared" si="660"/>
        <v>0</v>
      </c>
      <c r="BF350" t="b">
        <f t="shared" si="661"/>
        <v>0</v>
      </c>
      <c r="BG350" t="b">
        <f t="shared" si="662"/>
        <v>0</v>
      </c>
      <c r="BH350" t="b">
        <f t="shared" si="663"/>
        <v>0</v>
      </c>
      <c r="BI350">
        <f t="shared" si="664"/>
        <v>1</v>
      </c>
      <c r="BJ350" t="b">
        <f t="shared" si="665"/>
        <v>0</v>
      </c>
      <c r="BK350" t="b">
        <f t="shared" si="666"/>
        <v>0</v>
      </c>
      <c r="BL350" t="b">
        <f t="shared" si="667"/>
        <v>0</v>
      </c>
      <c r="BM350" t="b">
        <f t="shared" si="668"/>
        <v>0</v>
      </c>
      <c r="BN350" t="b">
        <f t="shared" si="669"/>
        <v>0</v>
      </c>
      <c r="BO350" t="b">
        <f t="shared" si="670"/>
        <v>0</v>
      </c>
      <c r="BP350" t="b">
        <f t="shared" si="671"/>
        <v>0</v>
      </c>
      <c r="BQ350" t="b">
        <f t="shared" si="672"/>
        <v>0</v>
      </c>
      <c r="BR350" t="b">
        <f t="shared" si="673"/>
        <v>0</v>
      </c>
      <c r="BS350">
        <f t="shared" si="674"/>
        <v>1</v>
      </c>
      <c r="BT350" t="b">
        <f t="shared" si="675"/>
        <v>0</v>
      </c>
      <c r="BU350" t="b">
        <f t="shared" si="676"/>
        <v>0</v>
      </c>
      <c r="BV350" t="b">
        <f t="shared" si="677"/>
        <v>0</v>
      </c>
      <c r="BW350" t="b">
        <f t="shared" si="678"/>
        <v>0</v>
      </c>
      <c r="BX350" t="b">
        <f t="shared" si="679"/>
        <v>0</v>
      </c>
      <c r="BY350" t="b">
        <f t="shared" si="680"/>
        <v>0</v>
      </c>
      <c r="BZ350" t="b">
        <f t="shared" si="681"/>
        <v>0</v>
      </c>
      <c r="CA350" t="b">
        <f t="shared" si="682"/>
        <v>0</v>
      </c>
      <c r="CB350" t="b">
        <f t="shared" si="683"/>
        <v>0</v>
      </c>
      <c r="CC350" t="b">
        <f t="shared" si="684"/>
        <v>0</v>
      </c>
      <c r="CD350" t="b">
        <f t="shared" si="685"/>
        <v>0</v>
      </c>
      <c r="CE350" t="b">
        <f t="shared" si="686"/>
        <v>0</v>
      </c>
      <c r="CF350" t="b">
        <f t="shared" si="687"/>
        <v>0</v>
      </c>
      <c r="CG350" t="b">
        <f t="shared" si="688"/>
        <v>0</v>
      </c>
      <c r="CH350" t="b">
        <f t="shared" si="689"/>
        <v>0</v>
      </c>
      <c r="CI350" t="b">
        <f t="shared" si="690"/>
        <v>0</v>
      </c>
      <c r="CJ350" t="b">
        <f t="shared" si="691"/>
        <v>0</v>
      </c>
      <c r="CK350" t="b">
        <f t="shared" si="692"/>
        <v>0</v>
      </c>
      <c r="CL350" t="b">
        <f t="shared" si="693"/>
        <v>0</v>
      </c>
      <c r="CM350" t="b">
        <f t="shared" si="694"/>
        <v>0</v>
      </c>
      <c r="CN350" t="b">
        <f t="shared" si="695"/>
        <v>0</v>
      </c>
      <c r="CO350" t="b">
        <f t="shared" si="696"/>
        <v>0</v>
      </c>
      <c r="CP350" t="b">
        <f t="shared" si="697"/>
        <v>0</v>
      </c>
      <c r="CQ350" t="b">
        <f t="shared" si="698"/>
        <v>0</v>
      </c>
      <c r="CR350" t="b">
        <f t="shared" si="699"/>
        <v>0</v>
      </c>
      <c r="CS350" t="b">
        <f t="shared" si="700"/>
        <v>0</v>
      </c>
      <c r="CT350" t="b">
        <f t="shared" si="701"/>
        <v>0</v>
      </c>
      <c r="CU350" t="b">
        <f t="shared" si="702"/>
        <v>0</v>
      </c>
      <c r="CV350">
        <f t="shared" si="703"/>
        <v>1</v>
      </c>
      <c r="CW350" t="b">
        <f t="shared" si="704"/>
        <v>0</v>
      </c>
      <c r="CX350" t="b">
        <f t="shared" si="705"/>
        <v>0</v>
      </c>
      <c r="CY350" t="b">
        <f t="shared" si="706"/>
        <v>0</v>
      </c>
      <c r="CZ350" t="b">
        <f t="shared" si="707"/>
        <v>0</v>
      </c>
      <c r="DA350" t="b">
        <f t="shared" si="708"/>
        <v>0</v>
      </c>
      <c r="DB350" t="b">
        <f t="shared" si="709"/>
        <v>0</v>
      </c>
      <c r="DC350" t="b">
        <f t="shared" si="710"/>
        <v>0</v>
      </c>
      <c r="DD350" t="b">
        <f t="shared" si="711"/>
        <v>0</v>
      </c>
      <c r="DE350" t="b">
        <f t="shared" si="712"/>
        <v>0</v>
      </c>
      <c r="DF350" t="b">
        <f t="shared" si="713"/>
        <v>0</v>
      </c>
      <c r="DG350" t="b">
        <f t="shared" si="714"/>
        <v>0</v>
      </c>
      <c r="DH350" t="b">
        <f t="shared" si="715"/>
        <v>0</v>
      </c>
      <c r="DI350" t="b">
        <f t="shared" si="716"/>
        <v>0</v>
      </c>
      <c r="DJ350" t="b">
        <f t="shared" si="717"/>
        <v>0</v>
      </c>
      <c r="DK350" t="b">
        <f t="shared" si="718"/>
        <v>0</v>
      </c>
      <c r="DL350" t="b">
        <f t="shared" si="719"/>
        <v>0</v>
      </c>
      <c r="DM350" t="b">
        <f t="shared" si="720"/>
        <v>0</v>
      </c>
      <c r="DN350" t="b">
        <f t="shared" si="721"/>
        <v>0</v>
      </c>
      <c r="DO350" t="b">
        <f t="shared" si="722"/>
        <v>0</v>
      </c>
      <c r="DP350" t="b">
        <f t="shared" si="723"/>
        <v>0</v>
      </c>
      <c r="DQ350" t="b">
        <f t="shared" si="724"/>
        <v>0</v>
      </c>
      <c r="DR350" t="b">
        <f t="shared" si="725"/>
        <v>0</v>
      </c>
      <c r="DS350" t="b">
        <f t="shared" si="726"/>
        <v>0</v>
      </c>
      <c r="DT350" t="b">
        <f t="shared" si="727"/>
        <v>0</v>
      </c>
      <c r="DU350" t="b">
        <f t="shared" si="728"/>
        <v>0</v>
      </c>
      <c r="DV350" t="b">
        <f t="shared" si="729"/>
        <v>0</v>
      </c>
      <c r="DW350" t="b">
        <f t="shared" si="730"/>
        <v>0</v>
      </c>
      <c r="DX350" t="b">
        <f t="shared" si="731"/>
        <v>0</v>
      </c>
      <c r="DY350" t="b">
        <f t="shared" si="732"/>
        <v>0</v>
      </c>
      <c r="DZ350" t="b">
        <f t="shared" si="733"/>
        <v>0</v>
      </c>
      <c r="EA350" t="b">
        <f t="shared" si="734"/>
        <v>0</v>
      </c>
      <c r="EB350" t="b">
        <f t="shared" si="735"/>
        <v>0</v>
      </c>
      <c r="EC350" t="b">
        <f t="shared" si="736"/>
        <v>0</v>
      </c>
      <c r="ED350" t="b">
        <f t="shared" si="737"/>
        <v>0</v>
      </c>
      <c r="EE350" t="b">
        <f t="shared" si="738"/>
        <v>0</v>
      </c>
      <c r="EF350">
        <f t="shared" si="739"/>
        <v>1</v>
      </c>
      <c r="EG350" t="b">
        <f t="shared" si="740"/>
        <v>0</v>
      </c>
      <c r="EH350" t="b">
        <f t="shared" si="741"/>
        <v>0</v>
      </c>
      <c r="EI350" t="b">
        <f t="shared" si="742"/>
        <v>0</v>
      </c>
      <c r="EJ350" t="b">
        <f t="shared" si="743"/>
        <v>0</v>
      </c>
      <c r="EK350" t="b">
        <f t="shared" si="744"/>
        <v>0</v>
      </c>
    </row>
    <row r="351" spans="1:141">
      <c r="A351" t="s">
        <v>1826</v>
      </c>
      <c r="B351" t="s">
        <v>1826</v>
      </c>
      <c r="C351" t="s">
        <v>1827</v>
      </c>
      <c r="D351" s="1">
        <v>43983</v>
      </c>
      <c r="E351" s="2">
        <v>44145.19023148148</v>
      </c>
      <c r="F351" s="2">
        <v>44145.206226851849</v>
      </c>
      <c r="G351">
        <v>1414677</v>
      </c>
      <c r="H351" t="s">
        <v>1828</v>
      </c>
      <c r="I351" s="10" t="s">
        <v>1829</v>
      </c>
      <c r="J351" t="s">
        <v>1830</v>
      </c>
      <c r="K351" s="8" t="b">
        <v>1</v>
      </c>
      <c r="L351" s="10" t="b">
        <v>0</v>
      </c>
      <c r="M351" s="12" t="b">
        <v>0</v>
      </c>
      <c r="N351" t="b">
        <v>0</v>
      </c>
      <c r="O351" t="b">
        <v>0</v>
      </c>
      <c r="P351" t="b">
        <v>0</v>
      </c>
      <c r="Q351">
        <f t="shared" si="621"/>
        <v>2</v>
      </c>
      <c r="R351">
        <f t="shared" si="622"/>
        <v>6</v>
      </c>
      <c r="S351" t="e">
        <f t="shared" ca="1" si="652"/>
        <v>#NAME?</v>
      </c>
      <c r="T351" t="e">
        <f t="shared" ca="1" si="623"/>
        <v>#NAME?</v>
      </c>
      <c r="U351" s="4">
        <f t="shared" si="624"/>
        <v>162.19023148147971</v>
      </c>
      <c r="V351" s="4">
        <f t="shared" si="625"/>
        <v>5.4063410493826574</v>
      </c>
      <c r="W351" s="4">
        <f t="shared" si="626"/>
        <v>1</v>
      </c>
      <c r="X351" s="4">
        <f t="shared" si="627"/>
        <v>0</v>
      </c>
      <c r="Y351" s="4">
        <f t="shared" si="628"/>
        <v>0</v>
      </c>
      <c r="Z351" s="4">
        <f t="shared" si="629"/>
        <v>0</v>
      </c>
      <c r="AA351" s="4">
        <f t="shared" si="630"/>
        <v>0</v>
      </c>
      <c r="AB351" s="4">
        <f t="shared" si="631"/>
        <v>0</v>
      </c>
      <c r="AC351" s="4"/>
      <c r="AD351" s="4" t="b">
        <f t="shared" si="632"/>
        <v>0</v>
      </c>
      <c r="AE351" s="4" t="b">
        <f t="shared" si="633"/>
        <v>0</v>
      </c>
      <c r="AF351" s="4" t="b">
        <f t="shared" si="634"/>
        <v>0</v>
      </c>
      <c r="AG351" t="b">
        <f t="shared" si="635"/>
        <v>0</v>
      </c>
      <c r="AH351" t="b">
        <f t="shared" si="636"/>
        <v>0</v>
      </c>
      <c r="AI351">
        <f t="shared" si="637"/>
        <v>1</v>
      </c>
      <c r="AJ351" t="b">
        <f t="shared" si="638"/>
        <v>0</v>
      </c>
      <c r="AK351" t="b">
        <f t="shared" si="639"/>
        <v>0</v>
      </c>
      <c r="AL351" t="b">
        <f t="shared" si="640"/>
        <v>0</v>
      </c>
      <c r="AM351" t="b">
        <f t="shared" si="641"/>
        <v>0</v>
      </c>
      <c r="AN351" t="b">
        <f t="shared" si="642"/>
        <v>0</v>
      </c>
      <c r="AO351" t="b">
        <f t="shared" si="643"/>
        <v>0</v>
      </c>
      <c r="AP351" t="b">
        <f t="shared" si="644"/>
        <v>0</v>
      </c>
      <c r="AQ351" t="b">
        <f t="shared" si="645"/>
        <v>0</v>
      </c>
      <c r="AR351" t="b">
        <f t="shared" si="646"/>
        <v>0</v>
      </c>
      <c r="AS351" t="b">
        <f t="shared" si="647"/>
        <v>0</v>
      </c>
      <c r="AT351" t="b">
        <f t="shared" si="648"/>
        <v>0</v>
      </c>
      <c r="AU351" t="b">
        <f t="shared" si="649"/>
        <v>0</v>
      </c>
      <c r="AV351" t="b">
        <f t="shared" si="650"/>
        <v>0</v>
      </c>
      <c r="AW351" t="b">
        <f t="shared" si="651"/>
        <v>0</v>
      </c>
      <c r="AX351" t="b">
        <f t="shared" si="653"/>
        <v>0</v>
      </c>
      <c r="AY351" t="b">
        <f t="shared" si="654"/>
        <v>0</v>
      </c>
      <c r="AZ351" t="b">
        <f t="shared" si="655"/>
        <v>0</v>
      </c>
      <c r="BA351" t="b">
        <f t="shared" si="656"/>
        <v>0</v>
      </c>
      <c r="BB351" t="b">
        <f t="shared" si="657"/>
        <v>0</v>
      </c>
      <c r="BC351" t="b">
        <f t="shared" si="658"/>
        <v>0</v>
      </c>
      <c r="BD351" t="b">
        <f t="shared" si="659"/>
        <v>0</v>
      </c>
      <c r="BE351" t="b">
        <f t="shared" si="660"/>
        <v>0</v>
      </c>
      <c r="BF351" t="b">
        <f t="shared" si="661"/>
        <v>0</v>
      </c>
      <c r="BG351" t="b">
        <f t="shared" si="662"/>
        <v>0</v>
      </c>
      <c r="BH351" t="b">
        <f t="shared" si="663"/>
        <v>0</v>
      </c>
      <c r="BI351">
        <f t="shared" si="664"/>
        <v>1</v>
      </c>
      <c r="BJ351" t="b">
        <f t="shared" si="665"/>
        <v>0</v>
      </c>
      <c r="BK351" t="b">
        <f t="shared" si="666"/>
        <v>0</v>
      </c>
      <c r="BL351" t="b">
        <f t="shared" si="667"/>
        <v>0</v>
      </c>
      <c r="BM351" t="b">
        <f t="shared" si="668"/>
        <v>0</v>
      </c>
      <c r="BN351" t="b">
        <f t="shared" si="669"/>
        <v>0</v>
      </c>
      <c r="BO351" t="b">
        <f t="shared" si="670"/>
        <v>0</v>
      </c>
      <c r="BP351" t="b">
        <f t="shared" si="671"/>
        <v>0</v>
      </c>
      <c r="BQ351" t="b">
        <f t="shared" si="672"/>
        <v>0</v>
      </c>
      <c r="BR351">
        <f t="shared" si="673"/>
        <v>1</v>
      </c>
      <c r="BS351">
        <f t="shared" si="674"/>
        <v>1</v>
      </c>
      <c r="BT351" t="b">
        <f t="shared" si="675"/>
        <v>0</v>
      </c>
      <c r="BU351" t="b">
        <f t="shared" si="676"/>
        <v>0</v>
      </c>
      <c r="BV351" t="b">
        <f t="shared" si="677"/>
        <v>0</v>
      </c>
      <c r="BW351" t="b">
        <f t="shared" si="678"/>
        <v>0</v>
      </c>
      <c r="BX351" t="b">
        <f t="shared" si="679"/>
        <v>0</v>
      </c>
      <c r="BY351" t="b">
        <f t="shared" si="680"/>
        <v>0</v>
      </c>
      <c r="BZ351" t="b">
        <f t="shared" si="681"/>
        <v>0</v>
      </c>
      <c r="CA351" t="b">
        <f t="shared" si="682"/>
        <v>0</v>
      </c>
      <c r="CB351" t="b">
        <f t="shared" si="683"/>
        <v>0</v>
      </c>
      <c r="CC351" t="b">
        <f t="shared" si="684"/>
        <v>0</v>
      </c>
      <c r="CD351" t="b">
        <f t="shared" si="685"/>
        <v>0</v>
      </c>
      <c r="CE351">
        <f t="shared" si="686"/>
        <v>1</v>
      </c>
      <c r="CF351" t="b">
        <f t="shared" si="687"/>
        <v>0</v>
      </c>
      <c r="CG351" t="b">
        <f t="shared" si="688"/>
        <v>0</v>
      </c>
      <c r="CH351" t="b">
        <f t="shared" si="689"/>
        <v>0</v>
      </c>
      <c r="CI351" t="b">
        <f t="shared" si="690"/>
        <v>0</v>
      </c>
      <c r="CJ351" t="b">
        <f t="shared" si="691"/>
        <v>0</v>
      </c>
      <c r="CK351" t="b">
        <f t="shared" si="692"/>
        <v>0</v>
      </c>
      <c r="CL351" t="b">
        <f t="shared" si="693"/>
        <v>0</v>
      </c>
      <c r="CM351">
        <f t="shared" si="694"/>
        <v>1</v>
      </c>
      <c r="CN351" t="b">
        <f t="shared" si="695"/>
        <v>0</v>
      </c>
      <c r="CO351" t="b">
        <f t="shared" si="696"/>
        <v>0</v>
      </c>
      <c r="CP351" t="b">
        <f t="shared" si="697"/>
        <v>0</v>
      </c>
      <c r="CQ351" t="b">
        <f t="shared" si="698"/>
        <v>0</v>
      </c>
      <c r="CR351" t="b">
        <f t="shared" si="699"/>
        <v>0</v>
      </c>
      <c r="CS351" t="b">
        <f t="shared" si="700"/>
        <v>0</v>
      </c>
      <c r="CT351" t="b">
        <f t="shared" si="701"/>
        <v>0</v>
      </c>
      <c r="CU351" t="b">
        <f t="shared" si="702"/>
        <v>0</v>
      </c>
      <c r="CV351" t="b">
        <f t="shared" si="703"/>
        <v>0</v>
      </c>
      <c r="CW351" t="b">
        <f t="shared" si="704"/>
        <v>0</v>
      </c>
      <c r="CX351" t="b">
        <f t="shared" si="705"/>
        <v>0</v>
      </c>
      <c r="CY351" t="b">
        <f t="shared" si="706"/>
        <v>0</v>
      </c>
      <c r="CZ351" t="b">
        <f t="shared" si="707"/>
        <v>0</v>
      </c>
      <c r="DA351" t="b">
        <f t="shared" si="708"/>
        <v>0</v>
      </c>
      <c r="DB351" t="b">
        <f t="shared" si="709"/>
        <v>0</v>
      </c>
      <c r="DC351" t="b">
        <f t="shared" si="710"/>
        <v>0</v>
      </c>
      <c r="DD351" t="b">
        <f t="shared" si="711"/>
        <v>0</v>
      </c>
      <c r="DE351" t="b">
        <f t="shared" si="712"/>
        <v>0</v>
      </c>
      <c r="DF351" t="b">
        <f t="shared" si="713"/>
        <v>0</v>
      </c>
      <c r="DG351" t="b">
        <f t="shared" si="714"/>
        <v>0</v>
      </c>
      <c r="DH351" t="b">
        <f t="shared" si="715"/>
        <v>0</v>
      </c>
      <c r="DI351" t="b">
        <f t="shared" si="716"/>
        <v>0</v>
      </c>
      <c r="DJ351" t="b">
        <f t="shared" si="717"/>
        <v>0</v>
      </c>
      <c r="DK351" t="b">
        <f t="shared" si="718"/>
        <v>0</v>
      </c>
      <c r="DL351" t="b">
        <f t="shared" si="719"/>
        <v>0</v>
      </c>
      <c r="DM351" t="b">
        <f t="shared" si="720"/>
        <v>0</v>
      </c>
      <c r="DN351" t="b">
        <f t="shared" si="721"/>
        <v>0</v>
      </c>
      <c r="DO351" t="b">
        <f t="shared" si="722"/>
        <v>0</v>
      </c>
      <c r="DP351" t="b">
        <f t="shared" si="723"/>
        <v>0</v>
      </c>
      <c r="DQ351" t="b">
        <f t="shared" si="724"/>
        <v>0</v>
      </c>
      <c r="DR351" t="b">
        <f t="shared" si="725"/>
        <v>0</v>
      </c>
      <c r="DS351" t="b">
        <f t="shared" si="726"/>
        <v>0</v>
      </c>
      <c r="DT351" t="b">
        <f t="shared" si="727"/>
        <v>0</v>
      </c>
      <c r="DU351" t="b">
        <f t="shared" si="728"/>
        <v>0</v>
      </c>
      <c r="DV351" t="b">
        <f t="shared" si="729"/>
        <v>0</v>
      </c>
      <c r="DW351" t="b">
        <f t="shared" si="730"/>
        <v>0</v>
      </c>
      <c r="DX351" t="b">
        <f t="shared" si="731"/>
        <v>0</v>
      </c>
      <c r="DY351">
        <f t="shared" si="732"/>
        <v>1</v>
      </c>
      <c r="DZ351" t="b">
        <f t="shared" si="733"/>
        <v>0</v>
      </c>
      <c r="EA351" t="b">
        <f t="shared" si="734"/>
        <v>0</v>
      </c>
      <c r="EB351" t="b">
        <f t="shared" si="735"/>
        <v>0</v>
      </c>
      <c r="EC351" t="b">
        <f t="shared" si="736"/>
        <v>0</v>
      </c>
      <c r="ED351" t="b">
        <f t="shared" si="737"/>
        <v>0</v>
      </c>
      <c r="EE351" t="b">
        <f t="shared" si="738"/>
        <v>0</v>
      </c>
      <c r="EF351" t="b">
        <f t="shared" si="739"/>
        <v>0</v>
      </c>
      <c r="EG351" t="b">
        <f t="shared" si="740"/>
        <v>0</v>
      </c>
      <c r="EH351" t="b">
        <f t="shared" si="741"/>
        <v>0</v>
      </c>
      <c r="EI351" t="b">
        <f t="shared" si="742"/>
        <v>0</v>
      </c>
      <c r="EJ351" t="b">
        <f t="shared" si="743"/>
        <v>0</v>
      </c>
      <c r="EK351" t="b">
        <f t="shared" si="744"/>
        <v>0</v>
      </c>
    </row>
    <row r="352" spans="1:141">
      <c r="A352" t="s">
        <v>1831</v>
      </c>
      <c r="B352" t="s">
        <v>1832</v>
      </c>
      <c r="D352" s="1">
        <v>42808</v>
      </c>
      <c r="E352" s="2">
        <v>43026.459560185183</v>
      </c>
      <c r="F352" s="2">
        <v>43026.460844907408</v>
      </c>
      <c r="G352">
        <v>2257930</v>
      </c>
      <c r="H352" t="s">
        <v>1833</v>
      </c>
      <c r="I352" s="10" t="s">
        <v>1834</v>
      </c>
      <c r="J352" t="s">
        <v>1835</v>
      </c>
      <c r="K352" s="8" t="b">
        <v>1</v>
      </c>
      <c r="L352" s="10" t="b">
        <v>0</v>
      </c>
      <c r="M352" s="12" t="b">
        <v>0</v>
      </c>
      <c r="N352" t="b">
        <v>0</v>
      </c>
      <c r="O352" t="b">
        <v>0</v>
      </c>
      <c r="P352" t="b">
        <v>0</v>
      </c>
      <c r="Q352">
        <f t="shared" si="621"/>
        <v>3</v>
      </c>
      <c r="R352">
        <f t="shared" si="622"/>
        <v>3</v>
      </c>
      <c r="S352" t="e">
        <f t="shared" ca="1" si="652"/>
        <v>#NAME?</v>
      </c>
      <c r="T352" t="e">
        <f t="shared" ca="1" si="623"/>
        <v>#NAME?</v>
      </c>
      <c r="U352" s="4">
        <f t="shared" si="624"/>
        <v>218.45956018518336</v>
      </c>
      <c r="V352" s="4">
        <f t="shared" si="625"/>
        <v>7.2819853395061118</v>
      </c>
      <c r="W352" s="4">
        <f t="shared" si="626"/>
        <v>1</v>
      </c>
      <c r="X352" s="4">
        <f t="shared" si="627"/>
        <v>0</v>
      </c>
      <c r="Y352" s="4">
        <f t="shared" si="628"/>
        <v>0</v>
      </c>
      <c r="Z352" s="4">
        <f t="shared" si="629"/>
        <v>0</v>
      </c>
      <c r="AA352" s="4">
        <f t="shared" si="630"/>
        <v>0</v>
      </c>
      <c r="AB352" s="4">
        <f t="shared" si="631"/>
        <v>0</v>
      </c>
      <c r="AC352" s="4"/>
      <c r="AD352" s="4" t="b">
        <f t="shared" si="632"/>
        <v>0</v>
      </c>
      <c r="AE352" s="4" t="b">
        <f t="shared" si="633"/>
        <v>0</v>
      </c>
      <c r="AF352" s="4" t="b">
        <f t="shared" si="634"/>
        <v>0</v>
      </c>
      <c r="AG352" t="b">
        <f t="shared" si="635"/>
        <v>0</v>
      </c>
      <c r="AH352" t="b">
        <f t="shared" si="636"/>
        <v>0</v>
      </c>
      <c r="AI352" t="b">
        <f t="shared" si="637"/>
        <v>0</v>
      </c>
      <c r="AJ352" t="b">
        <f t="shared" si="638"/>
        <v>0</v>
      </c>
      <c r="AK352" t="b">
        <f t="shared" si="639"/>
        <v>0</v>
      </c>
      <c r="AL352" t="b">
        <f t="shared" si="640"/>
        <v>0</v>
      </c>
      <c r="AM352" t="b">
        <f t="shared" si="641"/>
        <v>0</v>
      </c>
      <c r="AN352" t="b">
        <f t="shared" si="642"/>
        <v>0</v>
      </c>
      <c r="AO352" t="b">
        <f t="shared" si="643"/>
        <v>0</v>
      </c>
      <c r="AP352" t="b">
        <f t="shared" si="644"/>
        <v>0</v>
      </c>
      <c r="AQ352" t="b">
        <f t="shared" si="645"/>
        <v>0</v>
      </c>
      <c r="AR352" t="b">
        <f t="shared" si="646"/>
        <v>0</v>
      </c>
      <c r="AS352" t="b">
        <f t="shared" si="647"/>
        <v>0</v>
      </c>
      <c r="AT352" t="b">
        <f t="shared" si="648"/>
        <v>0</v>
      </c>
      <c r="AU352" t="b">
        <f t="shared" si="649"/>
        <v>0</v>
      </c>
      <c r="AV352" t="b">
        <f t="shared" si="650"/>
        <v>0</v>
      </c>
      <c r="AW352" t="b">
        <f t="shared" si="651"/>
        <v>0</v>
      </c>
      <c r="AX352" t="b">
        <f t="shared" si="653"/>
        <v>0</v>
      </c>
      <c r="AY352" t="b">
        <f t="shared" si="654"/>
        <v>0</v>
      </c>
      <c r="AZ352">
        <f t="shared" si="655"/>
        <v>1</v>
      </c>
      <c r="BA352">
        <f t="shared" si="656"/>
        <v>1</v>
      </c>
      <c r="BB352" t="b">
        <f t="shared" si="657"/>
        <v>0</v>
      </c>
      <c r="BC352" t="b">
        <f t="shared" si="658"/>
        <v>0</v>
      </c>
      <c r="BD352" t="b">
        <f t="shared" si="659"/>
        <v>0</v>
      </c>
      <c r="BE352" t="b">
        <f t="shared" si="660"/>
        <v>0</v>
      </c>
      <c r="BF352" t="b">
        <f t="shared" si="661"/>
        <v>0</v>
      </c>
      <c r="BG352" t="b">
        <f t="shared" si="662"/>
        <v>0</v>
      </c>
      <c r="BH352" t="b">
        <f t="shared" si="663"/>
        <v>0</v>
      </c>
      <c r="BI352">
        <f t="shared" si="664"/>
        <v>1</v>
      </c>
      <c r="BJ352">
        <f t="shared" si="665"/>
        <v>1</v>
      </c>
      <c r="BK352" t="b">
        <f t="shared" si="666"/>
        <v>0</v>
      </c>
      <c r="BL352" t="b">
        <f t="shared" si="667"/>
        <v>0</v>
      </c>
      <c r="BM352" t="b">
        <f t="shared" si="668"/>
        <v>0</v>
      </c>
      <c r="BN352" t="b">
        <f t="shared" si="669"/>
        <v>0</v>
      </c>
      <c r="BO352" t="b">
        <f t="shared" si="670"/>
        <v>0</v>
      </c>
      <c r="BP352" t="b">
        <f t="shared" si="671"/>
        <v>0</v>
      </c>
      <c r="BQ352" t="b">
        <f t="shared" si="672"/>
        <v>0</v>
      </c>
      <c r="BR352">
        <f t="shared" si="673"/>
        <v>1</v>
      </c>
      <c r="BS352" t="b">
        <f t="shared" si="674"/>
        <v>0</v>
      </c>
      <c r="BT352">
        <f t="shared" si="675"/>
        <v>1</v>
      </c>
      <c r="BU352" t="b">
        <f t="shared" si="676"/>
        <v>0</v>
      </c>
      <c r="BV352" t="b">
        <f t="shared" si="677"/>
        <v>0</v>
      </c>
      <c r="BW352" t="b">
        <f t="shared" si="678"/>
        <v>0</v>
      </c>
      <c r="BX352" t="b">
        <f t="shared" si="679"/>
        <v>0</v>
      </c>
      <c r="BY352">
        <f t="shared" si="680"/>
        <v>1</v>
      </c>
      <c r="BZ352" t="b">
        <f t="shared" si="681"/>
        <v>0</v>
      </c>
      <c r="CA352" t="b">
        <f t="shared" si="682"/>
        <v>0</v>
      </c>
      <c r="CB352" t="b">
        <f t="shared" si="683"/>
        <v>0</v>
      </c>
      <c r="CC352" t="b">
        <f t="shared" si="684"/>
        <v>0</v>
      </c>
      <c r="CD352" t="b">
        <f t="shared" si="685"/>
        <v>0</v>
      </c>
      <c r="CE352" t="b">
        <f t="shared" si="686"/>
        <v>0</v>
      </c>
      <c r="CF352" t="b">
        <f t="shared" si="687"/>
        <v>0</v>
      </c>
      <c r="CG352" t="b">
        <f t="shared" si="688"/>
        <v>0</v>
      </c>
      <c r="CH352" t="b">
        <f t="shared" si="689"/>
        <v>0</v>
      </c>
      <c r="CI352" t="b">
        <f t="shared" si="690"/>
        <v>0</v>
      </c>
      <c r="CJ352" t="b">
        <f t="shared" si="691"/>
        <v>0</v>
      </c>
      <c r="CK352" t="b">
        <f t="shared" si="692"/>
        <v>0</v>
      </c>
      <c r="CL352" t="b">
        <f t="shared" si="693"/>
        <v>0</v>
      </c>
      <c r="CM352">
        <f t="shared" si="694"/>
        <v>1</v>
      </c>
      <c r="CN352">
        <f t="shared" si="695"/>
        <v>1</v>
      </c>
      <c r="CO352" t="b">
        <f t="shared" si="696"/>
        <v>0</v>
      </c>
      <c r="CP352" t="b">
        <f t="shared" si="697"/>
        <v>0</v>
      </c>
      <c r="CQ352" t="b">
        <f t="shared" si="698"/>
        <v>0</v>
      </c>
      <c r="CR352" t="b">
        <f t="shared" si="699"/>
        <v>0</v>
      </c>
      <c r="CS352" t="b">
        <f t="shared" si="700"/>
        <v>0</v>
      </c>
      <c r="CT352" t="b">
        <f t="shared" si="701"/>
        <v>0</v>
      </c>
      <c r="CU352" t="b">
        <f t="shared" si="702"/>
        <v>0</v>
      </c>
      <c r="CV352" t="b">
        <f t="shared" si="703"/>
        <v>0</v>
      </c>
      <c r="CW352" t="b">
        <f t="shared" si="704"/>
        <v>0</v>
      </c>
      <c r="CX352" t="b">
        <f t="shared" si="705"/>
        <v>0</v>
      </c>
      <c r="CY352" t="b">
        <f t="shared" si="706"/>
        <v>0</v>
      </c>
      <c r="CZ352" t="b">
        <f t="shared" si="707"/>
        <v>0</v>
      </c>
      <c r="DA352">
        <f t="shared" si="708"/>
        <v>1</v>
      </c>
      <c r="DB352">
        <f t="shared" si="709"/>
        <v>1</v>
      </c>
      <c r="DC352" t="b">
        <f t="shared" si="710"/>
        <v>0</v>
      </c>
      <c r="DD352" t="b">
        <f t="shared" si="711"/>
        <v>0</v>
      </c>
      <c r="DE352" t="b">
        <f t="shared" si="712"/>
        <v>0</v>
      </c>
      <c r="DF352" t="b">
        <f t="shared" si="713"/>
        <v>0</v>
      </c>
      <c r="DG352" t="b">
        <f t="shared" si="714"/>
        <v>0</v>
      </c>
      <c r="DH352" t="b">
        <f t="shared" si="715"/>
        <v>0</v>
      </c>
      <c r="DI352" t="b">
        <f t="shared" si="716"/>
        <v>0</v>
      </c>
      <c r="DJ352" t="b">
        <f t="shared" si="717"/>
        <v>0</v>
      </c>
      <c r="DK352" t="b">
        <f t="shared" si="718"/>
        <v>0</v>
      </c>
      <c r="DL352" t="b">
        <f t="shared" si="719"/>
        <v>0</v>
      </c>
      <c r="DM352" t="b">
        <f t="shared" si="720"/>
        <v>0</v>
      </c>
      <c r="DN352" t="b">
        <f t="shared" si="721"/>
        <v>0</v>
      </c>
      <c r="DO352" t="b">
        <f t="shared" si="722"/>
        <v>0</v>
      </c>
      <c r="DP352" t="b">
        <f t="shared" si="723"/>
        <v>0</v>
      </c>
      <c r="DQ352" t="b">
        <f t="shared" si="724"/>
        <v>0</v>
      </c>
      <c r="DR352" t="b">
        <f t="shared" si="725"/>
        <v>0</v>
      </c>
      <c r="DS352" t="b">
        <f t="shared" si="726"/>
        <v>0</v>
      </c>
      <c r="DT352" t="b">
        <f t="shared" si="727"/>
        <v>0</v>
      </c>
      <c r="DU352" t="b">
        <f t="shared" si="728"/>
        <v>0</v>
      </c>
      <c r="DV352" t="b">
        <f t="shared" si="729"/>
        <v>0</v>
      </c>
      <c r="DW352" t="b">
        <f t="shared" si="730"/>
        <v>0</v>
      </c>
      <c r="DX352" t="b">
        <f t="shared" si="731"/>
        <v>0</v>
      </c>
      <c r="DY352" t="b">
        <f t="shared" si="732"/>
        <v>0</v>
      </c>
      <c r="DZ352" t="b">
        <f t="shared" si="733"/>
        <v>0</v>
      </c>
      <c r="EA352" t="b">
        <f t="shared" si="734"/>
        <v>0</v>
      </c>
      <c r="EB352" t="b">
        <f t="shared" si="735"/>
        <v>0</v>
      </c>
      <c r="EC352" t="b">
        <f t="shared" si="736"/>
        <v>0</v>
      </c>
      <c r="ED352" t="b">
        <f t="shared" si="737"/>
        <v>0</v>
      </c>
      <c r="EE352" t="b">
        <f t="shared" si="738"/>
        <v>0</v>
      </c>
      <c r="EF352" t="b">
        <f t="shared" si="739"/>
        <v>0</v>
      </c>
      <c r="EG352" t="b">
        <f t="shared" si="740"/>
        <v>0</v>
      </c>
      <c r="EH352" t="b">
        <f t="shared" si="741"/>
        <v>0</v>
      </c>
      <c r="EI352" t="b">
        <f t="shared" si="742"/>
        <v>0</v>
      </c>
      <c r="EJ352" t="b">
        <f t="shared" si="743"/>
        <v>0</v>
      </c>
      <c r="EK352" t="b">
        <f t="shared" si="744"/>
        <v>0</v>
      </c>
    </row>
    <row r="353" spans="1:141">
      <c r="A353" t="s">
        <v>1836</v>
      </c>
      <c r="B353" t="s">
        <v>1837</v>
      </c>
      <c r="C353" t="s">
        <v>1838</v>
      </c>
      <c r="D353" s="1">
        <v>43697</v>
      </c>
      <c r="E353" s="2">
        <v>43709.859594907408</v>
      </c>
      <c r="F353" s="2">
        <v>43709.859594907408</v>
      </c>
      <c r="G353">
        <v>89388</v>
      </c>
      <c r="H353" t="s">
        <v>1839</v>
      </c>
      <c r="I353" s="10" t="s">
        <v>1840</v>
      </c>
      <c r="J353" t="s">
        <v>1841</v>
      </c>
      <c r="K353" s="8" t="b">
        <v>1</v>
      </c>
      <c r="L353" s="10" t="b">
        <v>0</v>
      </c>
      <c r="M353" s="12" t="b">
        <v>0</v>
      </c>
      <c r="N353" t="b">
        <v>0</v>
      </c>
      <c r="O353" t="b">
        <v>0</v>
      </c>
      <c r="P353" t="b">
        <v>0</v>
      </c>
      <c r="Q353">
        <f t="shared" si="621"/>
        <v>3</v>
      </c>
      <c r="R353">
        <f t="shared" si="622"/>
        <v>8</v>
      </c>
      <c r="S353" t="e">
        <f t="shared" ca="1" si="652"/>
        <v>#NAME?</v>
      </c>
      <c r="T353" t="e">
        <f t="shared" ca="1" si="623"/>
        <v>#NAME?</v>
      </c>
      <c r="U353" s="4">
        <f t="shared" si="624"/>
        <v>12.859594907407882</v>
      </c>
      <c r="V353" s="4">
        <f t="shared" si="625"/>
        <v>0.42865316358026273</v>
      </c>
      <c r="W353" s="4">
        <f t="shared" si="626"/>
        <v>1</v>
      </c>
      <c r="X353" s="4">
        <f t="shared" si="627"/>
        <v>0</v>
      </c>
      <c r="Y353" s="4">
        <f t="shared" si="628"/>
        <v>0</v>
      </c>
      <c r="Z353" s="4">
        <f t="shared" si="629"/>
        <v>0</v>
      </c>
      <c r="AA353" s="4">
        <f t="shared" si="630"/>
        <v>0</v>
      </c>
      <c r="AB353" s="4">
        <f t="shared" si="631"/>
        <v>0</v>
      </c>
      <c r="AC353" s="4"/>
      <c r="AD353" s="4" t="b">
        <f t="shared" si="632"/>
        <v>0</v>
      </c>
      <c r="AE353" s="4" t="b">
        <f t="shared" si="633"/>
        <v>0</v>
      </c>
      <c r="AF353" s="4" t="b">
        <f t="shared" si="634"/>
        <v>0</v>
      </c>
      <c r="AG353" t="b">
        <f t="shared" si="635"/>
        <v>0</v>
      </c>
      <c r="AH353" t="b">
        <f t="shared" si="636"/>
        <v>0</v>
      </c>
      <c r="AI353" t="b">
        <f t="shared" si="637"/>
        <v>0</v>
      </c>
      <c r="AJ353" t="b">
        <f t="shared" si="638"/>
        <v>0</v>
      </c>
      <c r="AK353" t="b">
        <f t="shared" si="639"/>
        <v>0</v>
      </c>
      <c r="AL353" t="b">
        <f t="shared" si="640"/>
        <v>0</v>
      </c>
      <c r="AM353" t="b">
        <f t="shared" si="641"/>
        <v>0</v>
      </c>
      <c r="AN353" t="b">
        <f t="shared" si="642"/>
        <v>0</v>
      </c>
      <c r="AO353" t="b">
        <f t="shared" si="643"/>
        <v>0</v>
      </c>
      <c r="AP353" t="b">
        <f t="shared" si="644"/>
        <v>0</v>
      </c>
      <c r="AQ353" t="b">
        <f t="shared" si="645"/>
        <v>0</v>
      </c>
      <c r="AR353" t="b">
        <f t="shared" si="646"/>
        <v>0</v>
      </c>
      <c r="AS353" t="b">
        <f t="shared" si="647"/>
        <v>0</v>
      </c>
      <c r="AT353" t="b">
        <f t="shared" si="648"/>
        <v>0</v>
      </c>
      <c r="AU353" t="b">
        <f t="shared" si="649"/>
        <v>0</v>
      </c>
      <c r="AV353" t="b">
        <f t="shared" si="650"/>
        <v>0</v>
      </c>
      <c r="AW353" t="b">
        <f t="shared" si="651"/>
        <v>0</v>
      </c>
      <c r="AX353" t="b">
        <f t="shared" si="653"/>
        <v>0</v>
      </c>
      <c r="AY353" t="b">
        <f t="shared" si="654"/>
        <v>0</v>
      </c>
      <c r="AZ353" t="b">
        <f t="shared" si="655"/>
        <v>0</v>
      </c>
      <c r="BA353" t="b">
        <f t="shared" si="656"/>
        <v>0</v>
      </c>
      <c r="BB353" t="b">
        <f t="shared" si="657"/>
        <v>0</v>
      </c>
      <c r="BC353" t="b">
        <f t="shared" si="658"/>
        <v>0</v>
      </c>
      <c r="BD353" t="b">
        <f t="shared" si="659"/>
        <v>0</v>
      </c>
      <c r="BE353" t="b">
        <f t="shared" si="660"/>
        <v>0</v>
      </c>
      <c r="BF353" t="b">
        <f t="shared" si="661"/>
        <v>0</v>
      </c>
      <c r="BG353" t="b">
        <f t="shared" si="662"/>
        <v>0</v>
      </c>
      <c r="BH353" t="b">
        <f t="shared" si="663"/>
        <v>0</v>
      </c>
      <c r="BI353">
        <f t="shared" si="664"/>
        <v>1</v>
      </c>
      <c r="BJ353" t="b">
        <f t="shared" si="665"/>
        <v>0</v>
      </c>
      <c r="BK353" t="b">
        <f t="shared" si="666"/>
        <v>0</v>
      </c>
      <c r="BL353" t="b">
        <f t="shared" si="667"/>
        <v>0</v>
      </c>
      <c r="BM353" t="b">
        <f t="shared" si="668"/>
        <v>0</v>
      </c>
      <c r="BN353" t="b">
        <f t="shared" si="669"/>
        <v>0</v>
      </c>
      <c r="BO353" t="b">
        <f t="shared" si="670"/>
        <v>0</v>
      </c>
      <c r="BP353" t="b">
        <f t="shared" si="671"/>
        <v>0</v>
      </c>
      <c r="BQ353" t="b">
        <f t="shared" si="672"/>
        <v>0</v>
      </c>
      <c r="BR353" t="b">
        <f t="shared" si="673"/>
        <v>0</v>
      </c>
      <c r="BS353" t="b">
        <f t="shared" si="674"/>
        <v>0</v>
      </c>
      <c r="BT353" t="b">
        <f t="shared" si="675"/>
        <v>0</v>
      </c>
      <c r="BU353" t="b">
        <f t="shared" si="676"/>
        <v>0</v>
      </c>
      <c r="BV353" t="b">
        <f t="shared" si="677"/>
        <v>0</v>
      </c>
      <c r="BW353" t="b">
        <f t="shared" si="678"/>
        <v>0</v>
      </c>
      <c r="BX353" t="b">
        <f t="shared" si="679"/>
        <v>0</v>
      </c>
      <c r="BY353" t="b">
        <f t="shared" si="680"/>
        <v>0</v>
      </c>
      <c r="BZ353" t="b">
        <f t="shared" si="681"/>
        <v>0</v>
      </c>
      <c r="CA353" t="b">
        <f t="shared" si="682"/>
        <v>0</v>
      </c>
      <c r="CB353" t="b">
        <f t="shared" si="683"/>
        <v>0</v>
      </c>
      <c r="CC353" t="b">
        <f t="shared" si="684"/>
        <v>0</v>
      </c>
      <c r="CD353" t="b">
        <f t="shared" si="685"/>
        <v>0</v>
      </c>
      <c r="CE353">
        <f t="shared" si="686"/>
        <v>1</v>
      </c>
      <c r="CF353" t="b">
        <f t="shared" si="687"/>
        <v>0</v>
      </c>
      <c r="CG353" t="b">
        <f t="shared" si="688"/>
        <v>0</v>
      </c>
      <c r="CH353" t="b">
        <f t="shared" si="689"/>
        <v>0</v>
      </c>
      <c r="CI353" t="b">
        <f t="shared" si="690"/>
        <v>0</v>
      </c>
      <c r="CJ353" t="b">
        <f t="shared" si="691"/>
        <v>0</v>
      </c>
      <c r="CK353" t="b">
        <f t="shared" si="692"/>
        <v>0</v>
      </c>
      <c r="CL353" t="b">
        <f t="shared" si="693"/>
        <v>0</v>
      </c>
      <c r="CM353">
        <f t="shared" si="694"/>
        <v>1</v>
      </c>
      <c r="CN353" t="b">
        <f t="shared" si="695"/>
        <v>0</v>
      </c>
      <c r="CO353" t="b">
        <f t="shared" si="696"/>
        <v>0</v>
      </c>
      <c r="CP353" t="b">
        <f t="shared" si="697"/>
        <v>0</v>
      </c>
      <c r="CQ353" t="b">
        <f t="shared" si="698"/>
        <v>0</v>
      </c>
      <c r="CR353" t="b">
        <f t="shared" si="699"/>
        <v>0</v>
      </c>
      <c r="CS353" t="b">
        <f t="shared" si="700"/>
        <v>0</v>
      </c>
      <c r="CT353" t="b">
        <f t="shared" si="701"/>
        <v>0</v>
      </c>
      <c r="CU353" t="b">
        <f t="shared" si="702"/>
        <v>0</v>
      </c>
      <c r="CV353" t="b">
        <f t="shared" si="703"/>
        <v>0</v>
      </c>
      <c r="CW353" t="b">
        <f t="shared" si="704"/>
        <v>0</v>
      </c>
      <c r="CX353" t="b">
        <f t="shared" si="705"/>
        <v>0</v>
      </c>
      <c r="CY353" t="b">
        <f t="shared" si="706"/>
        <v>0</v>
      </c>
      <c r="CZ353" t="b">
        <f t="shared" si="707"/>
        <v>0</v>
      </c>
      <c r="DA353">
        <f t="shared" si="708"/>
        <v>1</v>
      </c>
      <c r="DB353" t="b">
        <f t="shared" si="709"/>
        <v>0</v>
      </c>
      <c r="DC353" t="b">
        <f t="shared" si="710"/>
        <v>0</v>
      </c>
      <c r="DD353" t="b">
        <f t="shared" si="711"/>
        <v>0</v>
      </c>
      <c r="DE353" t="b">
        <f t="shared" si="712"/>
        <v>0</v>
      </c>
      <c r="DF353" t="b">
        <f t="shared" si="713"/>
        <v>0</v>
      </c>
      <c r="DG353" t="b">
        <f t="shared" si="714"/>
        <v>0</v>
      </c>
      <c r="DH353" t="b">
        <f t="shared" si="715"/>
        <v>0</v>
      </c>
      <c r="DI353" t="b">
        <f t="shared" si="716"/>
        <v>0</v>
      </c>
      <c r="DJ353" t="b">
        <f t="shared" si="717"/>
        <v>0</v>
      </c>
      <c r="DK353" t="b">
        <f t="shared" si="718"/>
        <v>0</v>
      </c>
      <c r="DL353" t="b">
        <f t="shared" si="719"/>
        <v>0</v>
      </c>
      <c r="DM353" t="b">
        <f t="shared" si="720"/>
        <v>0</v>
      </c>
      <c r="DN353" t="b">
        <f t="shared" si="721"/>
        <v>0</v>
      </c>
      <c r="DO353" t="b">
        <f t="shared" si="722"/>
        <v>0</v>
      </c>
      <c r="DP353" t="b">
        <f t="shared" si="723"/>
        <v>0</v>
      </c>
      <c r="DQ353">
        <f t="shared" si="724"/>
        <v>1</v>
      </c>
      <c r="DR353" t="b">
        <f t="shared" si="725"/>
        <v>0</v>
      </c>
      <c r="DS353" t="b">
        <f t="shared" si="726"/>
        <v>0</v>
      </c>
      <c r="DT353" t="b">
        <f t="shared" si="727"/>
        <v>0</v>
      </c>
      <c r="DU353" t="b">
        <f t="shared" si="728"/>
        <v>0</v>
      </c>
      <c r="DV353" t="b">
        <f t="shared" si="729"/>
        <v>0</v>
      </c>
      <c r="DW353" t="b">
        <f t="shared" si="730"/>
        <v>0</v>
      </c>
      <c r="DX353" t="b">
        <f t="shared" si="731"/>
        <v>0</v>
      </c>
      <c r="DY353" t="b">
        <f t="shared" si="732"/>
        <v>0</v>
      </c>
      <c r="DZ353" t="b">
        <f t="shared" si="733"/>
        <v>0</v>
      </c>
      <c r="EA353" t="b">
        <f t="shared" si="734"/>
        <v>0</v>
      </c>
      <c r="EB353" t="b">
        <f t="shared" si="735"/>
        <v>0</v>
      </c>
      <c r="EC353" t="b">
        <f t="shared" si="736"/>
        <v>0</v>
      </c>
      <c r="ED353" t="b">
        <f t="shared" si="737"/>
        <v>0</v>
      </c>
      <c r="EE353" t="b">
        <f t="shared" si="738"/>
        <v>0</v>
      </c>
      <c r="EF353" t="b">
        <f t="shared" si="739"/>
        <v>0</v>
      </c>
      <c r="EG353" t="b">
        <f t="shared" si="740"/>
        <v>0</v>
      </c>
      <c r="EH353" t="b">
        <f t="shared" si="741"/>
        <v>0</v>
      </c>
      <c r="EI353" t="b">
        <f t="shared" si="742"/>
        <v>0</v>
      </c>
      <c r="EJ353" t="b">
        <f t="shared" si="743"/>
        <v>0</v>
      </c>
      <c r="EK353" t="b">
        <f t="shared" si="744"/>
        <v>0</v>
      </c>
    </row>
    <row r="354" spans="1:141">
      <c r="A354" t="s">
        <v>1842</v>
      </c>
      <c r="B354" t="s">
        <v>1843</v>
      </c>
      <c r="C354" t="s">
        <v>1844</v>
      </c>
      <c r="D354" s="1">
        <v>42429</v>
      </c>
      <c r="E354" s="2">
        <v>42474.984201388892</v>
      </c>
      <c r="F354" s="2">
        <v>42474.984201388892</v>
      </c>
      <c r="G354">
        <v>27393015</v>
      </c>
      <c r="H354" t="s">
        <v>1845</v>
      </c>
      <c r="I354" s="10" t="s">
        <v>1846</v>
      </c>
      <c r="J354" t="s">
        <v>1847</v>
      </c>
      <c r="K354" s="8" t="b">
        <v>1</v>
      </c>
      <c r="L354" s="10" t="b">
        <v>0</v>
      </c>
      <c r="M354" s="12" t="b">
        <v>1</v>
      </c>
      <c r="N354" t="b">
        <v>0</v>
      </c>
      <c r="O354" t="b">
        <v>0</v>
      </c>
      <c r="P354" t="b">
        <v>0</v>
      </c>
      <c r="Q354">
        <f t="shared" si="621"/>
        <v>2</v>
      </c>
      <c r="R354">
        <f t="shared" si="622"/>
        <v>2</v>
      </c>
      <c r="S354" t="e">
        <f t="shared" ca="1" si="652"/>
        <v>#NAME?</v>
      </c>
      <c r="T354" t="e">
        <f t="shared" ca="1" si="623"/>
        <v>#NAME?</v>
      </c>
      <c r="U354" s="4">
        <f t="shared" si="624"/>
        <v>45.984201388891961</v>
      </c>
      <c r="V354" s="4">
        <f t="shared" si="625"/>
        <v>1.5328067129630654</v>
      </c>
      <c r="W354" s="4">
        <f t="shared" si="626"/>
        <v>1</v>
      </c>
      <c r="X354" s="4">
        <f t="shared" si="627"/>
        <v>0</v>
      </c>
      <c r="Y354" s="4">
        <f t="shared" si="628"/>
        <v>1</v>
      </c>
      <c r="Z354" s="4">
        <f t="shared" si="629"/>
        <v>0</v>
      </c>
      <c r="AA354" s="4">
        <f t="shared" si="630"/>
        <v>0</v>
      </c>
      <c r="AB354" s="4">
        <f t="shared" si="631"/>
        <v>0</v>
      </c>
      <c r="AC354" s="4"/>
      <c r="AD354" s="4" t="b">
        <f t="shared" si="632"/>
        <v>0</v>
      </c>
      <c r="AE354" s="4" t="b">
        <f t="shared" si="633"/>
        <v>0</v>
      </c>
      <c r="AF354" s="4" t="b">
        <f t="shared" si="634"/>
        <v>0</v>
      </c>
      <c r="AG354" t="b">
        <f t="shared" si="635"/>
        <v>0</v>
      </c>
      <c r="AH354">
        <f t="shared" si="636"/>
        <v>1</v>
      </c>
      <c r="AI354" t="b">
        <f t="shared" si="637"/>
        <v>0</v>
      </c>
      <c r="AJ354" t="b">
        <f t="shared" si="638"/>
        <v>0</v>
      </c>
      <c r="AK354" t="b">
        <f t="shared" si="639"/>
        <v>0</v>
      </c>
      <c r="AL354" t="b">
        <f t="shared" si="640"/>
        <v>0</v>
      </c>
      <c r="AM354" t="b">
        <f t="shared" si="641"/>
        <v>0</v>
      </c>
      <c r="AN354" t="b">
        <f t="shared" si="642"/>
        <v>0</v>
      </c>
      <c r="AO354" t="b">
        <f t="shared" si="643"/>
        <v>0</v>
      </c>
      <c r="AP354" t="b">
        <f t="shared" si="644"/>
        <v>0</v>
      </c>
      <c r="AQ354" t="b">
        <f t="shared" si="645"/>
        <v>0</v>
      </c>
      <c r="AR354" t="b">
        <f t="shared" si="646"/>
        <v>0</v>
      </c>
      <c r="AS354" t="b">
        <f t="shared" si="647"/>
        <v>0</v>
      </c>
      <c r="AT354" t="b">
        <f t="shared" si="648"/>
        <v>0</v>
      </c>
      <c r="AU354" t="b">
        <f t="shared" si="649"/>
        <v>0</v>
      </c>
      <c r="AV354" t="b">
        <f t="shared" si="650"/>
        <v>0</v>
      </c>
      <c r="AW354" t="b">
        <f t="shared" si="651"/>
        <v>0</v>
      </c>
      <c r="AX354" t="b">
        <f t="shared" si="653"/>
        <v>0</v>
      </c>
      <c r="AY354" t="b">
        <f t="shared" si="654"/>
        <v>0</v>
      </c>
      <c r="AZ354">
        <f t="shared" si="655"/>
        <v>1</v>
      </c>
      <c r="BA354" t="b">
        <f t="shared" si="656"/>
        <v>0</v>
      </c>
      <c r="BB354" t="b">
        <f t="shared" si="657"/>
        <v>0</v>
      </c>
      <c r="BC354" t="b">
        <f t="shared" si="658"/>
        <v>0</v>
      </c>
      <c r="BD354" t="b">
        <f t="shared" si="659"/>
        <v>0</v>
      </c>
      <c r="BE354">
        <f t="shared" si="660"/>
        <v>1</v>
      </c>
      <c r="BF354" t="b">
        <f t="shared" si="661"/>
        <v>0</v>
      </c>
      <c r="BG354">
        <f t="shared" si="662"/>
        <v>1</v>
      </c>
      <c r="BH354">
        <f t="shared" si="663"/>
        <v>1</v>
      </c>
      <c r="BI354">
        <f t="shared" si="664"/>
        <v>1</v>
      </c>
      <c r="BJ354" t="b">
        <f t="shared" si="665"/>
        <v>0</v>
      </c>
      <c r="BK354" t="b">
        <f t="shared" si="666"/>
        <v>0</v>
      </c>
      <c r="BL354" t="b">
        <f t="shared" si="667"/>
        <v>0</v>
      </c>
      <c r="BM354" t="b">
        <f t="shared" si="668"/>
        <v>0</v>
      </c>
      <c r="BN354" t="b">
        <f t="shared" si="669"/>
        <v>0</v>
      </c>
      <c r="BO354" t="b">
        <f t="shared" si="670"/>
        <v>0</v>
      </c>
      <c r="BP354">
        <f t="shared" si="671"/>
        <v>1</v>
      </c>
      <c r="BQ354" t="b">
        <f t="shared" si="672"/>
        <v>0</v>
      </c>
      <c r="BR354">
        <f t="shared" si="673"/>
        <v>1</v>
      </c>
      <c r="BS354">
        <f t="shared" si="674"/>
        <v>1</v>
      </c>
      <c r="BT354" t="b">
        <f t="shared" si="675"/>
        <v>0</v>
      </c>
      <c r="BU354" t="b">
        <f t="shared" si="676"/>
        <v>0</v>
      </c>
      <c r="BV354" t="b">
        <f t="shared" si="677"/>
        <v>0</v>
      </c>
      <c r="BW354" t="b">
        <f t="shared" si="678"/>
        <v>0</v>
      </c>
      <c r="BX354" t="b">
        <f t="shared" si="679"/>
        <v>0</v>
      </c>
      <c r="BY354" t="b">
        <f t="shared" si="680"/>
        <v>0</v>
      </c>
      <c r="BZ354" t="b">
        <f t="shared" si="681"/>
        <v>0</v>
      </c>
      <c r="CA354" t="b">
        <f t="shared" si="682"/>
        <v>0</v>
      </c>
      <c r="CB354" t="b">
        <f t="shared" si="683"/>
        <v>0</v>
      </c>
      <c r="CC354">
        <f t="shared" si="684"/>
        <v>1</v>
      </c>
      <c r="CD354" t="b">
        <f t="shared" si="685"/>
        <v>0</v>
      </c>
      <c r="CE354" t="b">
        <f t="shared" si="686"/>
        <v>0</v>
      </c>
      <c r="CF354" t="b">
        <f t="shared" si="687"/>
        <v>0</v>
      </c>
      <c r="CG354" t="b">
        <f t="shared" si="688"/>
        <v>0</v>
      </c>
      <c r="CH354" t="b">
        <f t="shared" si="689"/>
        <v>0</v>
      </c>
      <c r="CI354" t="b">
        <f t="shared" si="690"/>
        <v>0</v>
      </c>
      <c r="CJ354" t="b">
        <f t="shared" si="691"/>
        <v>0</v>
      </c>
      <c r="CK354" t="b">
        <f t="shared" si="692"/>
        <v>0</v>
      </c>
      <c r="CL354" t="b">
        <f t="shared" si="693"/>
        <v>0</v>
      </c>
      <c r="CM354">
        <f t="shared" si="694"/>
        <v>1</v>
      </c>
      <c r="CN354" t="b">
        <f t="shared" si="695"/>
        <v>0</v>
      </c>
      <c r="CO354" t="b">
        <f t="shared" si="696"/>
        <v>0</v>
      </c>
      <c r="CP354" t="b">
        <f t="shared" si="697"/>
        <v>0</v>
      </c>
      <c r="CQ354" t="b">
        <f t="shared" si="698"/>
        <v>0</v>
      </c>
      <c r="CR354">
        <f t="shared" si="699"/>
        <v>1</v>
      </c>
      <c r="CS354" t="b">
        <f t="shared" si="700"/>
        <v>0</v>
      </c>
      <c r="CT354" t="b">
        <f t="shared" si="701"/>
        <v>0</v>
      </c>
      <c r="CU354" t="b">
        <f t="shared" si="702"/>
        <v>0</v>
      </c>
      <c r="CV354">
        <f t="shared" si="703"/>
        <v>1</v>
      </c>
      <c r="CW354" t="b">
        <f t="shared" si="704"/>
        <v>0</v>
      </c>
      <c r="CX354" t="b">
        <f t="shared" si="705"/>
        <v>0</v>
      </c>
      <c r="CY354">
        <f t="shared" si="706"/>
        <v>1</v>
      </c>
      <c r="CZ354" t="b">
        <f t="shared" si="707"/>
        <v>0</v>
      </c>
      <c r="DA354" t="b">
        <f t="shared" si="708"/>
        <v>0</v>
      </c>
      <c r="DB354" t="b">
        <f t="shared" si="709"/>
        <v>0</v>
      </c>
      <c r="DC354">
        <f t="shared" si="710"/>
        <v>1</v>
      </c>
      <c r="DD354" t="b">
        <f t="shared" si="711"/>
        <v>0</v>
      </c>
      <c r="DE354" t="b">
        <f t="shared" si="712"/>
        <v>0</v>
      </c>
      <c r="DF354">
        <f t="shared" si="713"/>
        <v>1</v>
      </c>
      <c r="DG354" t="b">
        <f t="shared" si="714"/>
        <v>0</v>
      </c>
      <c r="DH354" t="b">
        <f t="shared" si="715"/>
        <v>0</v>
      </c>
      <c r="DI354" t="b">
        <f t="shared" si="716"/>
        <v>0</v>
      </c>
      <c r="DJ354" t="b">
        <f t="shared" si="717"/>
        <v>0</v>
      </c>
      <c r="DK354" t="b">
        <f t="shared" si="718"/>
        <v>0</v>
      </c>
      <c r="DL354" t="b">
        <f t="shared" si="719"/>
        <v>0</v>
      </c>
      <c r="DM354" t="b">
        <f t="shared" si="720"/>
        <v>0</v>
      </c>
      <c r="DN354">
        <f t="shared" si="721"/>
        <v>1</v>
      </c>
      <c r="DO354" t="b">
        <f t="shared" si="722"/>
        <v>0</v>
      </c>
      <c r="DP354" t="b">
        <f t="shared" si="723"/>
        <v>0</v>
      </c>
      <c r="DQ354" t="b">
        <f t="shared" si="724"/>
        <v>0</v>
      </c>
      <c r="DR354" t="b">
        <f t="shared" si="725"/>
        <v>0</v>
      </c>
      <c r="DS354" t="b">
        <f t="shared" si="726"/>
        <v>0</v>
      </c>
      <c r="DT354">
        <f t="shared" si="727"/>
        <v>1</v>
      </c>
      <c r="DU354" t="b">
        <f t="shared" si="728"/>
        <v>0</v>
      </c>
      <c r="DV354" t="b">
        <f t="shared" si="729"/>
        <v>0</v>
      </c>
      <c r="DW354" t="b">
        <f t="shared" si="730"/>
        <v>0</v>
      </c>
      <c r="DX354" t="b">
        <f t="shared" si="731"/>
        <v>0</v>
      </c>
      <c r="DY354" t="b">
        <f t="shared" si="732"/>
        <v>0</v>
      </c>
      <c r="DZ354" t="b">
        <f t="shared" si="733"/>
        <v>0</v>
      </c>
      <c r="EA354" t="b">
        <f t="shared" si="734"/>
        <v>0</v>
      </c>
      <c r="EB354" t="b">
        <f t="shared" si="735"/>
        <v>0</v>
      </c>
      <c r="EC354" t="b">
        <f t="shared" si="736"/>
        <v>0</v>
      </c>
      <c r="ED354" t="b">
        <f t="shared" si="737"/>
        <v>0</v>
      </c>
      <c r="EE354" t="b">
        <f t="shared" si="738"/>
        <v>0</v>
      </c>
      <c r="EF354">
        <f t="shared" si="739"/>
        <v>1</v>
      </c>
      <c r="EG354" t="b">
        <f t="shared" si="740"/>
        <v>0</v>
      </c>
      <c r="EH354" t="b">
        <f t="shared" si="741"/>
        <v>0</v>
      </c>
      <c r="EI354">
        <f t="shared" si="742"/>
        <v>1</v>
      </c>
      <c r="EJ354">
        <f t="shared" si="743"/>
        <v>1</v>
      </c>
      <c r="EK354" t="b">
        <f t="shared" si="744"/>
        <v>0</v>
      </c>
    </row>
    <row r="355" spans="1:141">
      <c r="A355" t="s">
        <v>1848</v>
      </c>
      <c r="B355" t="s">
        <v>1848</v>
      </c>
      <c r="C355" t="s">
        <v>1849</v>
      </c>
      <c r="D355" s="1">
        <v>43843</v>
      </c>
      <c r="E355" s="2">
        <v>43987.999826388892</v>
      </c>
      <c r="F355" s="2">
        <v>43987.999826388892</v>
      </c>
      <c r="G355">
        <v>25692862</v>
      </c>
      <c r="H355" t="s">
        <v>1850</v>
      </c>
      <c r="I355" s="10" t="s">
        <v>1851</v>
      </c>
      <c r="J355" t="s">
        <v>1852</v>
      </c>
      <c r="K355" s="8" t="b">
        <v>1</v>
      </c>
      <c r="L355" s="10" t="b">
        <v>0</v>
      </c>
      <c r="M355" s="12" t="b">
        <v>0</v>
      </c>
      <c r="N355" t="b">
        <v>0</v>
      </c>
      <c r="O355" t="b">
        <v>0</v>
      </c>
      <c r="P355" t="b">
        <v>0</v>
      </c>
      <c r="Q355">
        <f t="shared" si="621"/>
        <v>2</v>
      </c>
      <c r="R355">
        <f t="shared" si="622"/>
        <v>1</v>
      </c>
      <c r="S355" t="e">
        <f t="shared" ca="1" si="652"/>
        <v>#NAME?</v>
      </c>
      <c r="T355" t="e">
        <f t="shared" ca="1" si="623"/>
        <v>#NAME?</v>
      </c>
      <c r="U355" s="4">
        <f t="shared" si="624"/>
        <v>144.99982638889196</v>
      </c>
      <c r="V355" s="4">
        <f t="shared" si="625"/>
        <v>4.8333275462963989</v>
      </c>
      <c r="W355" s="4">
        <f t="shared" si="626"/>
        <v>1</v>
      </c>
      <c r="X355" s="4">
        <f t="shared" si="627"/>
        <v>0</v>
      </c>
      <c r="Y355" s="4">
        <f t="shared" si="628"/>
        <v>0</v>
      </c>
      <c r="Z355" s="4">
        <f t="shared" si="629"/>
        <v>0</v>
      </c>
      <c r="AA355" s="4">
        <f t="shared" si="630"/>
        <v>0</v>
      </c>
      <c r="AB355" s="4">
        <f t="shared" si="631"/>
        <v>0</v>
      </c>
      <c r="AC355" s="4"/>
      <c r="AD355" s="4" t="b">
        <f t="shared" si="632"/>
        <v>0</v>
      </c>
      <c r="AE355" s="4" t="b">
        <f t="shared" si="633"/>
        <v>0</v>
      </c>
      <c r="AF355" s="4" t="b">
        <f t="shared" si="634"/>
        <v>0</v>
      </c>
      <c r="AG355" t="b">
        <f t="shared" si="635"/>
        <v>0</v>
      </c>
      <c r="AH355" t="b">
        <f t="shared" si="636"/>
        <v>0</v>
      </c>
      <c r="AI355" t="b">
        <f t="shared" si="637"/>
        <v>0</v>
      </c>
      <c r="AJ355" t="b">
        <f t="shared" si="638"/>
        <v>0</v>
      </c>
      <c r="AK355" t="b">
        <f t="shared" si="639"/>
        <v>0</v>
      </c>
      <c r="AL355" t="b">
        <f t="shared" si="640"/>
        <v>0</v>
      </c>
      <c r="AM355" t="b">
        <f t="shared" si="641"/>
        <v>0</v>
      </c>
      <c r="AN355" t="b">
        <f t="shared" si="642"/>
        <v>0</v>
      </c>
      <c r="AO355" t="b">
        <f t="shared" si="643"/>
        <v>0</v>
      </c>
      <c r="AP355" t="b">
        <f t="shared" si="644"/>
        <v>0</v>
      </c>
      <c r="AQ355" t="b">
        <f t="shared" si="645"/>
        <v>0</v>
      </c>
      <c r="AR355" t="b">
        <f t="shared" si="646"/>
        <v>0</v>
      </c>
      <c r="AS355" t="b">
        <f t="shared" si="647"/>
        <v>0</v>
      </c>
      <c r="AT355" t="b">
        <f t="shared" si="648"/>
        <v>0</v>
      </c>
      <c r="AU355" t="b">
        <f t="shared" si="649"/>
        <v>0</v>
      </c>
      <c r="AV355" t="b">
        <f t="shared" si="650"/>
        <v>0</v>
      </c>
      <c r="AW355" t="b">
        <f t="shared" si="651"/>
        <v>0</v>
      </c>
      <c r="AX355" t="b">
        <f t="shared" si="653"/>
        <v>0</v>
      </c>
      <c r="AY355" t="b">
        <f t="shared" si="654"/>
        <v>0</v>
      </c>
      <c r="AZ355" t="b">
        <f t="shared" si="655"/>
        <v>0</v>
      </c>
      <c r="BA355" t="b">
        <f t="shared" si="656"/>
        <v>0</v>
      </c>
      <c r="BB355">
        <f t="shared" si="657"/>
        <v>1</v>
      </c>
      <c r="BC355" t="b">
        <f t="shared" si="658"/>
        <v>0</v>
      </c>
      <c r="BD355" t="b">
        <f t="shared" si="659"/>
        <v>0</v>
      </c>
      <c r="BE355" t="b">
        <f t="shared" si="660"/>
        <v>0</v>
      </c>
      <c r="BF355" t="b">
        <f t="shared" si="661"/>
        <v>0</v>
      </c>
      <c r="BG355" t="b">
        <f t="shared" si="662"/>
        <v>0</v>
      </c>
      <c r="BH355" t="b">
        <f t="shared" si="663"/>
        <v>0</v>
      </c>
      <c r="BI355">
        <f t="shared" si="664"/>
        <v>1</v>
      </c>
      <c r="BJ355" t="b">
        <f t="shared" si="665"/>
        <v>0</v>
      </c>
      <c r="BK355" t="b">
        <f t="shared" si="666"/>
        <v>0</v>
      </c>
      <c r="BL355" t="b">
        <f t="shared" si="667"/>
        <v>0</v>
      </c>
      <c r="BM355" t="b">
        <f t="shared" si="668"/>
        <v>0</v>
      </c>
      <c r="BN355" t="b">
        <f t="shared" si="669"/>
        <v>0</v>
      </c>
      <c r="BO355" t="b">
        <f t="shared" si="670"/>
        <v>0</v>
      </c>
      <c r="BP355" t="b">
        <f t="shared" si="671"/>
        <v>0</v>
      </c>
      <c r="BQ355" t="b">
        <f t="shared" si="672"/>
        <v>0</v>
      </c>
      <c r="BR355" t="b">
        <f t="shared" si="673"/>
        <v>0</v>
      </c>
      <c r="BS355" t="b">
        <f t="shared" si="674"/>
        <v>0</v>
      </c>
      <c r="BT355" t="b">
        <f t="shared" si="675"/>
        <v>0</v>
      </c>
      <c r="BU355" t="b">
        <f t="shared" si="676"/>
        <v>0</v>
      </c>
      <c r="BV355" t="b">
        <f t="shared" si="677"/>
        <v>0</v>
      </c>
      <c r="BW355" t="b">
        <f t="shared" si="678"/>
        <v>0</v>
      </c>
      <c r="BX355" t="b">
        <f t="shared" si="679"/>
        <v>0</v>
      </c>
      <c r="BY355" t="b">
        <f t="shared" si="680"/>
        <v>0</v>
      </c>
      <c r="BZ355" t="b">
        <f t="shared" si="681"/>
        <v>0</v>
      </c>
      <c r="CA355" t="b">
        <f t="shared" si="682"/>
        <v>0</v>
      </c>
      <c r="CB355" t="b">
        <f t="shared" si="683"/>
        <v>0</v>
      </c>
      <c r="CC355" t="b">
        <f t="shared" si="684"/>
        <v>0</v>
      </c>
      <c r="CD355" t="b">
        <f t="shared" si="685"/>
        <v>0</v>
      </c>
      <c r="CE355" t="b">
        <f t="shared" si="686"/>
        <v>0</v>
      </c>
      <c r="CF355" t="b">
        <f t="shared" si="687"/>
        <v>0</v>
      </c>
      <c r="CG355" t="b">
        <f t="shared" si="688"/>
        <v>0</v>
      </c>
      <c r="CH355" t="b">
        <f t="shared" si="689"/>
        <v>0</v>
      </c>
      <c r="CI355" t="b">
        <f t="shared" si="690"/>
        <v>0</v>
      </c>
      <c r="CJ355" t="b">
        <f t="shared" si="691"/>
        <v>0</v>
      </c>
      <c r="CK355" t="b">
        <f t="shared" si="692"/>
        <v>0</v>
      </c>
      <c r="CL355" t="b">
        <f t="shared" si="693"/>
        <v>0</v>
      </c>
      <c r="CM355">
        <f t="shared" si="694"/>
        <v>1</v>
      </c>
      <c r="CN355" t="b">
        <f t="shared" si="695"/>
        <v>0</v>
      </c>
      <c r="CO355" t="b">
        <f t="shared" si="696"/>
        <v>0</v>
      </c>
      <c r="CP355" t="b">
        <f t="shared" si="697"/>
        <v>0</v>
      </c>
      <c r="CQ355" t="b">
        <f t="shared" si="698"/>
        <v>0</v>
      </c>
      <c r="CR355" t="b">
        <f t="shared" si="699"/>
        <v>0</v>
      </c>
      <c r="CS355" t="b">
        <f t="shared" si="700"/>
        <v>0</v>
      </c>
      <c r="CT355" t="b">
        <f t="shared" si="701"/>
        <v>0</v>
      </c>
      <c r="CU355" t="b">
        <f t="shared" si="702"/>
        <v>0</v>
      </c>
      <c r="CV355">
        <f t="shared" si="703"/>
        <v>1</v>
      </c>
      <c r="CW355" t="b">
        <f t="shared" si="704"/>
        <v>0</v>
      </c>
      <c r="CX355" t="b">
        <f t="shared" si="705"/>
        <v>0</v>
      </c>
      <c r="CY355" t="b">
        <f t="shared" si="706"/>
        <v>0</v>
      </c>
      <c r="CZ355" t="b">
        <f t="shared" si="707"/>
        <v>0</v>
      </c>
      <c r="DA355" t="b">
        <f t="shared" si="708"/>
        <v>0</v>
      </c>
      <c r="DB355" t="b">
        <f t="shared" si="709"/>
        <v>0</v>
      </c>
      <c r="DC355" t="b">
        <f t="shared" si="710"/>
        <v>0</v>
      </c>
      <c r="DD355" t="b">
        <f t="shared" si="711"/>
        <v>0</v>
      </c>
      <c r="DE355" t="b">
        <f t="shared" si="712"/>
        <v>0</v>
      </c>
      <c r="DF355" t="b">
        <f t="shared" si="713"/>
        <v>0</v>
      </c>
      <c r="DG355" t="b">
        <f t="shared" si="714"/>
        <v>0</v>
      </c>
      <c r="DH355" t="b">
        <f t="shared" si="715"/>
        <v>0</v>
      </c>
      <c r="DI355" t="b">
        <f t="shared" si="716"/>
        <v>0</v>
      </c>
      <c r="DJ355" t="b">
        <f t="shared" si="717"/>
        <v>0</v>
      </c>
      <c r="DK355" t="b">
        <f t="shared" si="718"/>
        <v>0</v>
      </c>
      <c r="DL355" t="b">
        <f t="shared" si="719"/>
        <v>0</v>
      </c>
      <c r="DM355" t="b">
        <f t="shared" si="720"/>
        <v>0</v>
      </c>
      <c r="DN355" t="b">
        <f t="shared" si="721"/>
        <v>0</v>
      </c>
      <c r="DO355" t="b">
        <f t="shared" si="722"/>
        <v>0</v>
      </c>
      <c r="DP355" t="b">
        <f t="shared" si="723"/>
        <v>0</v>
      </c>
      <c r="DQ355" t="b">
        <f t="shared" si="724"/>
        <v>0</v>
      </c>
      <c r="DR355" t="b">
        <f t="shared" si="725"/>
        <v>0</v>
      </c>
      <c r="DS355" t="b">
        <f t="shared" si="726"/>
        <v>0</v>
      </c>
      <c r="DT355" t="b">
        <f t="shared" si="727"/>
        <v>0</v>
      </c>
      <c r="DU355" t="b">
        <f t="shared" si="728"/>
        <v>0</v>
      </c>
      <c r="DV355" t="b">
        <f t="shared" si="729"/>
        <v>0</v>
      </c>
      <c r="DW355" t="b">
        <f t="shared" si="730"/>
        <v>0</v>
      </c>
      <c r="DX355" t="b">
        <f t="shared" si="731"/>
        <v>0</v>
      </c>
      <c r="DY355">
        <f t="shared" si="732"/>
        <v>1</v>
      </c>
      <c r="DZ355" t="b">
        <f t="shared" si="733"/>
        <v>0</v>
      </c>
      <c r="EA355" t="b">
        <f t="shared" si="734"/>
        <v>0</v>
      </c>
      <c r="EB355" t="b">
        <f t="shared" si="735"/>
        <v>0</v>
      </c>
      <c r="EC355" t="b">
        <f t="shared" si="736"/>
        <v>0</v>
      </c>
      <c r="ED355" t="b">
        <f t="shared" si="737"/>
        <v>0</v>
      </c>
      <c r="EE355" t="b">
        <f t="shared" si="738"/>
        <v>0</v>
      </c>
      <c r="EF355" t="b">
        <f t="shared" si="739"/>
        <v>0</v>
      </c>
      <c r="EG355" t="b">
        <f t="shared" si="740"/>
        <v>0</v>
      </c>
      <c r="EH355" t="b">
        <f t="shared" si="741"/>
        <v>0</v>
      </c>
      <c r="EI355" t="b">
        <f t="shared" si="742"/>
        <v>0</v>
      </c>
      <c r="EJ355" t="b">
        <f t="shared" si="743"/>
        <v>0</v>
      </c>
      <c r="EK355" t="b">
        <f t="shared" si="744"/>
        <v>0</v>
      </c>
    </row>
    <row r="356" spans="1:141">
      <c r="A356" t="s">
        <v>1853</v>
      </c>
      <c r="B356" t="s">
        <v>1853</v>
      </c>
      <c r="C356" t="s">
        <v>1854</v>
      </c>
      <c r="D356" s="1">
        <v>42670</v>
      </c>
      <c r="E356" s="2">
        <v>42939.232581018521</v>
      </c>
      <c r="F356" s="2">
        <v>42939.232581018521</v>
      </c>
      <c r="G356">
        <v>119948</v>
      </c>
      <c r="H356" t="s">
        <v>1855</v>
      </c>
      <c r="I356" s="10" t="s">
        <v>1856</v>
      </c>
      <c r="J356" t="s">
        <v>381</v>
      </c>
      <c r="K356" s="8" t="b">
        <v>1</v>
      </c>
      <c r="L356" s="10" t="b">
        <v>0</v>
      </c>
      <c r="M356" s="12" t="b">
        <v>0</v>
      </c>
      <c r="N356" t="b">
        <v>0</v>
      </c>
      <c r="O356" t="b">
        <v>0</v>
      </c>
      <c r="P356" t="b">
        <v>0</v>
      </c>
      <c r="Q356">
        <f t="shared" si="621"/>
        <v>5</v>
      </c>
      <c r="R356">
        <f t="shared" si="622"/>
        <v>10</v>
      </c>
      <c r="S356" t="e">
        <f t="shared" ca="1" si="652"/>
        <v>#NAME?</v>
      </c>
      <c r="T356" t="e">
        <f t="shared" ca="1" si="623"/>
        <v>#NAME?</v>
      </c>
      <c r="U356" s="4">
        <f t="shared" si="624"/>
        <v>269.23258101852116</v>
      </c>
      <c r="V356" s="4">
        <f t="shared" si="625"/>
        <v>8.9744193672840389</v>
      </c>
      <c r="W356" s="4">
        <f t="shared" si="626"/>
        <v>1</v>
      </c>
      <c r="X356" s="4">
        <f t="shared" si="627"/>
        <v>0</v>
      </c>
      <c r="Y356" s="4">
        <f t="shared" si="628"/>
        <v>0</v>
      </c>
      <c r="Z356" s="4">
        <f t="shared" si="629"/>
        <v>0</v>
      </c>
      <c r="AA356" s="4">
        <f t="shared" si="630"/>
        <v>0</v>
      </c>
      <c r="AB356" s="4">
        <f t="shared" si="631"/>
        <v>0</v>
      </c>
      <c r="AC356" s="4"/>
      <c r="AD356" s="4" t="b">
        <f t="shared" si="632"/>
        <v>0</v>
      </c>
      <c r="AE356" s="4" t="b">
        <f t="shared" si="633"/>
        <v>0</v>
      </c>
      <c r="AF356" s="4" t="b">
        <f t="shared" si="634"/>
        <v>0</v>
      </c>
      <c r="AG356" t="b">
        <f t="shared" si="635"/>
        <v>0</v>
      </c>
      <c r="AH356" t="b">
        <f t="shared" si="636"/>
        <v>0</v>
      </c>
      <c r="AI356" t="b">
        <f t="shared" si="637"/>
        <v>0</v>
      </c>
      <c r="AJ356" t="b">
        <f t="shared" si="638"/>
        <v>0</v>
      </c>
      <c r="AK356" t="b">
        <f t="shared" si="639"/>
        <v>0</v>
      </c>
      <c r="AL356" t="b">
        <f t="shared" si="640"/>
        <v>0</v>
      </c>
      <c r="AM356" t="b">
        <f t="shared" si="641"/>
        <v>0</v>
      </c>
      <c r="AN356" t="b">
        <f t="shared" si="642"/>
        <v>0</v>
      </c>
      <c r="AO356" t="b">
        <f t="shared" si="643"/>
        <v>0</v>
      </c>
      <c r="AP356" t="b">
        <f t="shared" si="644"/>
        <v>0</v>
      </c>
      <c r="AQ356" t="b">
        <f t="shared" si="645"/>
        <v>0</v>
      </c>
      <c r="AR356" t="b">
        <f t="shared" si="646"/>
        <v>0</v>
      </c>
      <c r="AS356" t="b">
        <f t="shared" si="647"/>
        <v>0</v>
      </c>
      <c r="AT356" t="b">
        <f t="shared" si="648"/>
        <v>0</v>
      </c>
      <c r="AU356" t="b">
        <f t="shared" si="649"/>
        <v>0</v>
      </c>
      <c r="AV356" t="b">
        <f t="shared" si="650"/>
        <v>0</v>
      </c>
      <c r="AW356" t="b">
        <f t="shared" si="651"/>
        <v>0</v>
      </c>
      <c r="AX356" t="b">
        <f t="shared" si="653"/>
        <v>0</v>
      </c>
      <c r="AY356" t="b">
        <f t="shared" si="654"/>
        <v>0</v>
      </c>
      <c r="AZ356" t="b">
        <f t="shared" si="655"/>
        <v>0</v>
      </c>
      <c r="BA356" t="b">
        <f t="shared" si="656"/>
        <v>0</v>
      </c>
      <c r="BB356" t="b">
        <f t="shared" si="657"/>
        <v>0</v>
      </c>
      <c r="BC356" t="b">
        <f t="shared" si="658"/>
        <v>0</v>
      </c>
      <c r="BD356" t="b">
        <f t="shared" si="659"/>
        <v>0</v>
      </c>
      <c r="BE356" t="b">
        <f t="shared" si="660"/>
        <v>0</v>
      </c>
      <c r="BF356" t="b">
        <f t="shared" si="661"/>
        <v>0</v>
      </c>
      <c r="BG356" t="b">
        <f t="shared" si="662"/>
        <v>0</v>
      </c>
      <c r="BH356" t="b">
        <f t="shared" si="663"/>
        <v>0</v>
      </c>
      <c r="BI356">
        <f t="shared" si="664"/>
        <v>1</v>
      </c>
      <c r="BJ356" t="b">
        <f t="shared" si="665"/>
        <v>0</v>
      </c>
      <c r="BK356" t="b">
        <f t="shared" si="666"/>
        <v>0</v>
      </c>
      <c r="BL356" t="b">
        <f t="shared" si="667"/>
        <v>0</v>
      </c>
      <c r="BM356" t="b">
        <f t="shared" si="668"/>
        <v>0</v>
      </c>
      <c r="BN356" t="b">
        <f t="shared" si="669"/>
        <v>0</v>
      </c>
      <c r="BO356" t="b">
        <f t="shared" si="670"/>
        <v>0</v>
      </c>
      <c r="BP356" t="b">
        <f t="shared" si="671"/>
        <v>0</v>
      </c>
      <c r="BQ356" t="b">
        <f t="shared" si="672"/>
        <v>0</v>
      </c>
      <c r="BR356" t="b">
        <f t="shared" si="673"/>
        <v>0</v>
      </c>
      <c r="BS356" t="b">
        <f t="shared" si="674"/>
        <v>0</v>
      </c>
      <c r="BT356" t="b">
        <f t="shared" si="675"/>
        <v>0</v>
      </c>
      <c r="BU356" t="b">
        <f t="shared" si="676"/>
        <v>0</v>
      </c>
      <c r="BV356" t="b">
        <f t="shared" si="677"/>
        <v>0</v>
      </c>
      <c r="BW356" t="b">
        <f t="shared" si="678"/>
        <v>0</v>
      </c>
      <c r="BX356" t="b">
        <f t="shared" si="679"/>
        <v>0</v>
      </c>
      <c r="BY356" t="b">
        <f t="shared" si="680"/>
        <v>0</v>
      </c>
      <c r="BZ356" t="b">
        <f t="shared" si="681"/>
        <v>0</v>
      </c>
      <c r="CA356" t="b">
        <f t="shared" si="682"/>
        <v>0</v>
      </c>
      <c r="CB356" t="b">
        <f t="shared" si="683"/>
        <v>0</v>
      </c>
      <c r="CC356" t="b">
        <f t="shared" si="684"/>
        <v>0</v>
      </c>
      <c r="CD356" t="b">
        <f t="shared" si="685"/>
        <v>0</v>
      </c>
      <c r="CE356">
        <f t="shared" si="686"/>
        <v>1</v>
      </c>
      <c r="CF356" t="b">
        <f t="shared" si="687"/>
        <v>0</v>
      </c>
      <c r="CG356" t="b">
        <f t="shared" si="688"/>
        <v>0</v>
      </c>
      <c r="CH356" t="b">
        <f t="shared" si="689"/>
        <v>0</v>
      </c>
      <c r="CI356" t="b">
        <f t="shared" si="690"/>
        <v>0</v>
      </c>
      <c r="CJ356" t="b">
        <f t="shared" si="691"/>
        <v>0</v>
      </c>
      <c r="CK356" t="b">
        <f t="shared" si="692"/>
        <v>0</v>
      </c>
      <c r="CL356" t="b">
        <f t="shared" si="693"/>
        <v>0</v>
      </c>
      <c r="CM356" t="b">
        <f t="shared" si="694"/>
        <v>0</v>
      </c>
      <c r="CN356" t="b">
        <f t="shared" si="695"/>
        <v>0</v>
      </c>
      <c r="CO356" t="b">
        <f t="shared" si="696"/>
        <v>0</v>
      </c>
      <c r="CP356" t="b">
        <f t="shared" si="697"/>
        <v>0</v>
      </c>
      <c r="CQ356" t="b">
        <f t="shared" si="698"/>
        <v>0</v>
      </c>
      <c r="CR356" t="b">
        <f t="shared" si="699"/>
        <v>0</v>
      </c>
      <c r="CS356" t="b">
        <f t="shared" si="700"/>
        <v>0</v>
      </c>
      <c r="CT356" t="b">
        <f t="shared" si="701"/>
        <v>0</v>
      </c>
      <c r="CU356" t="b">
        <f t="shared" si="702"/>
        <v>0</v>
      </c>
      <c r="CV356">
        <f t="shared" si="703"/>
        <v>1</v>
      </c>
      <c r="CW356" t="b">
        <f t="shared" si="704"/>
        <v>0</v>
      </c>
      <c r="CX356" t="b">
        <f t="shared" si="705"/>
        <v>0</v>
      </c>
      <c r="CY356" t="b">
        <f t="shared" si="706"/>
        <v>0</v>
      </c>
      <c r="CZ356" t="b">
        <f t="shared" si="707"/>
        <v>0</v>
      </c>
      <c r="DA356" t="b">
        <f t="shared" si="708"/>
        <v>0</v>
      </c>
      <c r="DB356" t="b">
        <f t="shared" si="709"/>
        <v>0</v>
      </c>
      <c r="DC356" t="b">
        <f t="shared" si="710"/>
        <v>0</v>
      </c>
      <c r="DD356" t="b">
        <f t="shared" si="711"/>
        <v>0</v>
      </c>
      <c r="DE356" t="b">
        <f t="shared" si="712"/>
        <v>0</v>
      </c>
      <c r="DF356" t="b">
        <f t="shared" si="713"/>
        <v>0</v>
      </c>
      <c r="DG356" t="b">
        <f t="shared" si="714"/>
        <v>0</v>
      </c>
      <c r="DH356" t="b">
        <f t="shared" si="715"/>
        <v>0</v>
      </c>
      <c r="DI356" t="b">
        <f t="shared" si="716"/>
        <v>0</v>
      </c>
      <c r="DJ356" t="b">
        <f t="shared" si="717"/>
        <v>0</v>
      </c>
      <c r="DK356" t="b">
        <f t="shared" si="718"/>
        <v>0</v>
      </c>
      <c r="DL356" t="b">
        <f t="shared" si="719"/>
        <v>0</v>
      </c>
      <c r="DM356" t="b">
        <f t="shared" si="720"/>
        <v>0</v>
      </c>
      <c r="DN356" t="b">
        <f t="shared" si="721"/>
        <v>0</v>
      </c>
      <c r="DO356" t="b">
        <f t="shared" si="722"/>
        <v>0</v>
      </c>
      <c r="DP356" t="b">
        <f t="shared" si="723"/>
        <v>0</v>
      </c>
      <c r="DQ356" t="b">
        <f t="shared" si="724"/>
        <v>0</v>
      </c>
      <c r="DR356" t="b">
        <f t="shared" si="725"/>
        <v>0</v>
      </c>
      <c r="DS356" t="b">
        <f t="shared" si="726"/>
        <v>0</v>
      </c>
      <c r="DT356" t="b">
        <f t="shared" si="727"/>
        <v>0</v>
      </c>
      <c r="DU356" t="b">
        <f t="shared" si="728"/>
        <v>0</v>
      </c>
      <c r="DV356" t="b">
        <f t="shared" si="729"/>
        <v>0</v>
      </c>
      <c r="DW356" t="b">
        <f t="shared" si="730"/>
        <v>0</v>
      </c>
      <c r="DX356" t="b">
        <f t="shared" si="731"/>
        <v>0</v>
      </c>
      <c r="DY356" t="b">
        <f t="shared" si="732"/>
        <v>0</v>
      </c>
      <c r="DZ356" t="b">
        <f t="shared" si="733"/>
        <v>0</v>
      </c>
      <c r="EA356" t="b">
        <f t="shared" si="734"/>
        <v>0</v>
      </c>
      <c r="EB356" t="b">
        <f t="shared" si="735"/>
        <v>0</v>
      </c>
      <c r="EC356" t="b">
        <f t="shared" si="736"/>
        <v>0</v>
      </c>
      <c r="ED356" t="b">
        <f t="shared" si="737"/>
        <v>0</v>
      </c>
      <c r="EE356" t="b">
        <f t="shared" si="738"/>
        <v>0</v>
      </c>
      <c r="EF356">
        <f t="shared" si="739"/>
        <v>1</v>
      </c>
      <c r="EG356" t="b">
        <f t="shared" si="740"/>
        <v>0</v>
      </c>
      <c r="EH356" t="b">
        <f t="shared" si="741"/>
        <v>0</v>
      </c>
      <c r="EI356">
        <f t="shared" si="742"/>
        <v>1</v>
      </c>
      <c r="EJ356" t="b">
        <f t="shared" si="743"/>
        <v>0</v>
      </c>
      <c r="EK356" t="b">
        <f t="shared" si="744"/>
        <v>0</v>
      </c>
    </row>
    <row r="357" spans="1:141">
      <c r="A357" t="s">
        <v>1857</v>
      </c>
      <c r="B357" t="s">
        <v>1857</v>
      </c>
      <c r="C357" t="s">
        <v>1858</v>
      </c>
      <c r="D357" s="1">
        <v>42612</v>
      </c>
      <c r="E357" s="2">
        <v>43184.951805555553</v>
      </c>
      <c r="F357" s="2">
        <v>43184.951805555553</v>
      </c>
      <c r="G357">
        <v>845012</v>
      </c>
      <c r="H357" t="s">
        <v>1859</v>
      </c>
      <c r="I357" s="10" t="s">
        <v>1860</v>
      </c>
      <c r="J357" t="s">
        <v>904</v>
      </c>
      <c r="K357" s="8" t="b">
        <v>1</v>
      </c>
      <c r="L357" s="10" t="b">
        <v>0</v>
      </c>
      <c r="M357" s="12" t="b">
        <v>0</v>
      </c>
      <c r="N357" t="b">
        <v>0</v>
      </c>
      <c r="O357" t="b">
        <v>0</v>
      </c>
      <c r="P357" t="b">
        <v>0</v>
      </c>
      <c r="Q357">
        <f t="shared" si="621"/>
        <v>3</v>
      </c>
      <c r="R357">
        <f t="shared" si="622"/>
        <v>8</v>
      </c>
      <c r="S357" t="e">
        <f t="shared" ca="1" si="652"/>
        <v>#NAME?</v>
      </c>
      <c r="T357" t="e">
        <f t="shared" ca="1" si="623"/>
        <v>#NAME?</v>
      </c>
      <c r="U357" s="4">
        <f t="shared" si="624"/>
        <v>572.95180555555271</v>
      </c>
      <c r="V357" s="4">
        <f t="shared" si="625"/>
        <v>19.098393518518424</v>
      </c>
      <c r="W357" s="4">
        <f t="shared" si="626"/>
        <v>1</v>
      </c>
      <c r="X357" s="4">
        <f t="shared" si="627"/>
        <v>0</v>
      </c>
      <c r="Y357" s="4">
        <f t="shared" si="628"/>
        <v>0</v>
      </c>
      <c r="Z357" s="4">
        <f t="shared" si="629"/>
        <v>0</v>
      </c>
      <c r="AA357" s="4">
        <f t="shared" si="630"/>
        <v>0</v>
      </c>
      <c r="AB357" s="4">
        <f t="shared" si="631"/>
        <v>0</v>
      </c>
      <c r="AC357" s="4"/>
      <c r="AD357" s="4" t="b">
        <f t="shared" si="632"/>
        <v>0</v>
      </c>
      <c r="AE357" s="4" t="b">
        <f t="shared" si="633"/>
        <v>0</v>
      </c>
      <c r="AF357" s="4" t="b">
        <f t="shared" si="634"/>
        <v>0</v>
      </c>
      <c r="AG357" t="b">
        <f t="shared" si="635"/>
        <v>0</v>
      </c>
      <c r="AH357" t="b">
        <f t="shared" si="636"/>
        <v>0</v>
      </c>
      <c r="AI357" t="b">
        <f t="shared" si="637"/>
        <v>0</v>
      </c>
      <c r="AJ357" t="b">
        <f t="shared" si="638"/>
        <v>0</v>
      </c>
      <c r="AK357" t="b">
        <f t="shared" si="639"/>
        <v>0</v>
      </c>
      <c r="AL357" t="b">
        <f t="shared" si="640"/>
        <v>0</v>
      </c>
      <c r="AM357" t="b">
        <f t="shared" si="641"/>
        <v>0</v>
      </c>
      <c r="AN357" t="b">
        <f t="shared" si="642"/>
        <v>0</v>
      </c>
      <c r="AO357" t="b">
        <f t="shared" si="643"/>
        <v>0</v>
      </c>
      <c r="AP357" t="b">
        <f t="shared" si="644"/>
        <v>0</v>
      </c>
      <c r="AQ357" t="b">
        <f t="shared" si="645"/>
        <v>0</v>
      </c>
      <c r="AR357" t="b">
        <f t="shared" si="646"/>
        <v>0</v>
      </c>
      <c r="AS357" t="b">
        <f t="shared" si="647"/>
        <v>0</v>
      </c>
      <c r="AT357" t="b">
        <f t="shared" si="648"/>
        <v>0</v>
      </c>
      <c r="AU357" t="b">
        <f t="shared" si="649"/>
        <v>0</v>
      </c>
      <c r="AV357" t="b">
        <f t="shared" si="650"/>
        <v>0</v>
      </c>
      <c r="AW357" t="b">
        <f t="shared" si="651"/>
        <v>0</v>
      </c>
      <c r="AX357" t="b">
        <f t="shared" si="653"/>
        <v>0</v>
      </c>
      <c r="AY357" t="b">
        <f t="shared" si="654"/>
        <v>0</v>
      </c>
      <c r="AZ357" t="b">
        <f t="shared" si="655"/>
        <v>0</v>
      </c>
      <c r="BA357" t="b">
        <f t="shared" si="656"/>
        <v>0</v>
      </c>
      <c r="BB357" t="b">
        <f t="shared" si="657"/>
        <v>0</v>
      </c>
      <c r="BC357" t="b">
        <f t="shared" si="658"/>
        <v>0</v>
      </c>
      <c r="BD357" t="b">
        <f t="shared" si="659"/>
        <v>0</v>
      </c>
      <c r="BE357" t="b">
        <f t="shared" si="660"/>
        <v>0</v>
      </c>
      <c r="BF357" t="b">
        <f t="shared" si="661"/>
        <v>0</v>
      </c>
      <c r="BG357" t="b">
        <f t="shared" si="662"/>
        <v>0</v>
      </c>
      <c r="BH357" t="b">
        <f t="shared" si="663"/>
        <v>0</v>
      </c>
      <c r="BI357">
        <f t="shared" si="664"/>
        <v>1</v>
      </c>
      <c r="BJ357" t="b">
        <f t="shared" si="665"/>
        <v>0</v>
      </c>
      <c r="BK357" t="b">
        <f t="shared" si="666"/>
        <v>0</v>
      </c>
      <c r="BL357" t="b">
        <f t="shared" si="667"/>
        <v>0</v>
      </c>
      <c r="BM357" t="b">
        <f t="shared" si="668"/>
        <v>0</v>
      </c>
      <c r="BN357" t="b">
        <f t="shared" si="669"/>
        <v>0</v>
      </c>
      <c r="BO357" t="b">
        <f t="shared" si="670"/>
        <v>0</v>
      </c>
      <c r="BP357" t="b">
        <f t="shared" si="671"/>
        <v>0</v>
      </c>
      <c r="BQ357" t="b">
        <f t="shared" si="672"/>
        <v>0</v>
      </c>
      <c r="BR357" t="b">
        <f t="shared" si="673"/>
        <v>0</v>
      </c>
      <c r="BS357" t="b">
        <f t="shared" si="674"/>
        <v>0</v>
      </c>
      <c r="BT357" t="b">
        <f t="shared" si="675"/>
        <v>0</v>
      </c>
      <c r="BU357" t="b">
        <f t="shared" si="676"/>
        <v>0</v>
      </c>
      <c r="BV357" t="b">
        <f t="shared" si="677"/>
        <v>0</v>
      </c>
      <c r="BW357" t="b">
        <f t="shared" si="678"/>
        <v>0</v>
      </c>
      <c r="BX357" t="b">
        <f t="shared" si="679"/>
        <v>0</v>
      </c>
      <c r="BY357" t="b">
        <f t="shared" si="680"/>
        <v>0</v>
      </c>
      <c r="BZ357" t="b">
        <f t="shared" si="681"/>
        <v>0</v>
      </c>
      <c r="CA357" t="b">
        <f t="shared" si="682"/>
        <v>0</v>
      </c>
      <c r="CB357" t="b">
        <f t="shared" si="683"/>
        <v>0</v>
      </c>
      <c r="CC357" t="b">
        <f t="shared" si="684"/>
        <v>0</v>
      </c>
      <c r="CD357" t="b">
        <f t="shared" si="685"/>
        <v>0</v>
      </c>
      <c r="CE357">
        <f t="shared" si="686"/>
        <v>1</v>
      </c>
      <c r="CF357" t="b">
        <f t="shared" si="687"/>
        <v>0</v>
      </c>
      <c r="CG357" t="b">
        <f t="shared" si="688"/>
        <v>0</v>
      </c>
      <c r="CH357" t="b">
        <f t="shared" si="689"/>
        <v>0</v>
      </c>
      <c r="CI357" t="b">
        <f t="shared" si="690"/>
        <v>0</v>
      </c>
      <c r="CJ357" t="b">
        <f t="shared" si="691"/>
        <v>0</v>
      </c>
      <c r="CK357" t="b">
        <f t="shared" si="692"/>
        <v>0</v>
      </c>
      <c r="CL357" t="b">
        <f t="shared" si="693"/>
        <v>0</v>
      </c>
      <c r="CM357">
        <f t="shared" si="694"/>
        <v>1</v>
      </c>
      <c r="CN357" t="b">
        <f t="shared" si="695"/>
        <v>0</v>
      </c>
      <c r="CO357" t="b">
        <f t="shared" si="696"/>
        <v>0</v>
      </c>
      <c r="CP357" t="b">
        <f t="shared" si="697"/>
        <v>0</v>
      </c>
      <c r="CQ357" t="b">
        <f t="shared" si="698"/>
        <v>0</v>
      </c>
      <c r="CR357" t="b">
        <f t="shared" si="699"/>
        <v>0</v>
      </c>
      <c r="CS357" t="b">
        <f t="shared" si="700"/>
        <v>0</v>
      </c>
      <c r="CT357" t="b">
        <f t="shared" si="701"/>
        <v>0</v>
      </c>
      <c r="CU357" t="b">
        <f t="shared" si="702"/>
        <v>0</v>
      </c>
      <c r="CV357" t="b">
        <f t="shared" si="703"/>
        <v>0</v>
      </c>
      <c r="CW357" t="b">
        <f t="shared" si="704"/>
        <v>0</v>
      </c>
      <c r="CX357" t="b">
        <f t="shared" si="705"/>
        <v>0</v>
      </c>
      <c r="CY357" t="b">
        <f t="shared" si="706"/>
        <v>0</v>
      </c>
      <c r="CZ357" t="b">
        <f t="shared" si="707"/>
        <v>0</v>
      </c>
      <c r="DA357" t="b">
        <f t="shared" si="708"/>
        <v>0</v>
      </c>
      <c r="DB357" t="b">
        <f t="shared" si="709"/>
        <v>0</v>
      </c>
      <c r="DC357" t="b">
        <f t="shared" si="710"/>
        <v>0</v>
      </c>
      <c r="DD357" t="b">
        <f t="shared" si="711"/>
        <v>0</v>
      </c>
      <c r="DE357" t="b">
        <f t="shared" si="712"/>
        <v>0</v>
      </c>
      <c r="DF357" t="b">
        <f t="shared" si="713"/>
        <v>0</v>
      </c>
      <c r="DG357" t="b">
        <f t="shared" si="714"/>
        <v>0</v>
      </c>
      <c r="DH357" t="b">
        <f t="shared" si="715"/>
        <v>0</v>
      </c>
      <c r="DI357" t="b">
        <f t="shared" si="716"/>
        <v>0</v>
      </c>
      <c r="DJ357" t="b">
        <f t="shared" si="717"/>
        <v>0</v>
      </c>
      <c r="DK357" t="b">
        <f t="shared" si="718"/>
        <v>0</v>
      </c>
      <c r="DL357" t="b">
        <f t="shared" si="719"/>
        <v>0</v>
      </c>
      <c r="DM357" t="b">
        <f t="shared" si="720"/>
        <v>0</v>
      </c>
      <c r="DN357" t="b">
        <f t="shared" si="721"/>
        <v>0</v>
      </c>
      <c r="DO357" t="b">
        <f t="shared" si="722"/>
        <v>0</v>
      </c>
      <c r="DP357" t="b">
        <f t="shared" si="723"/>
        <v>0</v>
      </c>
      <c r="DQ357" t="b">
        <f t="shared" si="724"/>
        <v>0</v>
      </c>
      <c r="DR357" t="b">
        <f t="shared" si="725"/>
        <v>0</v>
      </c>
      <c r="DS357" t="b">
        <f t="shared" si="726"/>
        <v>0</v>
      </c>
      <c r="DT357" t="b">
        <f t="shared" si="727"/>
        <v>0</v>
      </c>
      <c r="DU357" t="b">
        <f t="shared" si="728"/>
        <v>0</v>
      </c>
      <c r="DV357" t="b">
        <f t="shared" si="729"/>
        <v>0</v>
      </c>
      <c r="DW357" t="b">
        <f t="shared" si="730"/>
        <v>0</v>
      </c>
      <c r="DX357" t="b">
        <f t="shared" si="731"/>
        <v>0</v>
      </c>
      <c r="DY357" t="b">
        <f t="shared" si="732"/>
        <v>0</v>
      </c>
      <c r="DZ357" t="b">
        <f t="shared" si="733"/>
        <v>0</v>
      </c>
      <c r="EA357" t="b">
        <f t="shared" si="734"/>
        <v>0</v>
      </c>
      <c r="EB357" t="b">
        <f t="shared" si="735"/>
        <v>0</v>
      </c>
      <c r="EC357" t="b">
        <f t="shared" si="736"/>
        <v>0</v>
      </c>
      <c r="ED357" t="b">
        <f t="shared" si="737"/>
        <v>0</v>
      </c>
      <c r="EE357" t="b">
        <f t="shared" si="738"/>
        <v>0</v>
      </c>
      <c r="EF357" t="b">
        <f t="shared" si="739"/>
        <v>0</v>
      </c>
      <c r="EG357" t="b">
        <f t="shared" si="740"/>
        <v>0</v>
      </c>
      <c r="EH357" t="b">
        <f t="shared" si="741"/>
        <v>0</v>
      </c>
      <c r="EI357" t="b">
        <f t="shared" si="742"/>
        <v>0</v>
      </c>
      <c r="EJ357" t="b">
        <f t="shared" si="743"/>
        <v>0</v>
      </c>
      <c r="EK357" t="b">
        <f t="shared" si="744"/>
        <v>0</v>
      </c>
    </row>
    <row r="358" spans="1:141">
      <c r="A358" t="s">
        <v>1861</v>
      </c>
      <c r="B358" t="s">
        <v>1862</v>
      </c>
      <c r="C358" t="s">
        <v>1863</v>
      </c>
      <c r="D358" s="1">
        <v>41578</v>
      </c>
      <c r="E358" s="2">
        <v>44775.170127314814</v>
      </c>
      <c r="F358" s="2">
        <v>44775.173680555556</v>
      </c>
      <c r="G358">
        <v>437928</v>
      </c>
      <c r="H358" t="s">
        <v>1864</v>
      </c>
      <c r="I358" s="10" t="s">
        <v>1865</v>
      </c>
      <c r="J358" t="s">
        <v>188</v>
      </c>
      <c r="K358" s="8" t="b">
        <v>1</v>
      </c>
      <c r="L358" s="10" t="b">
        <v>0</v>
      </c>
      <c r="M358" s="12" t="b">
        <v>0</v>
      </c>
      <c r="N358" t="b">
        <v>0</v>
      </c>
      <c r="O358" t="b">
        <v>0</v>
      </c>
      <c r="P358" t="b">
        <v>0</v>
      </c>
      <c r="Q358">
        <f t="shared" si="621"/>
        <v>5</v>
      </c>
      <c r="R358">
        <f t="shared" si="622"/>
        <v>10</v>
      </c>
      <c r="S358" t="e">
        <f t="shared" ca="1" si="652"/>
        <v>#NAME?</v>
      </c>
      <c r="T358" t="e">
        <f t="shared" ca="1" si="623"/>
        <v>#NAME?</v>
      </c>
      <c r="U358" s="4">
        <f t="shared" si="624"/>
        <v>3197.1701273148137</v>
      </c>
      <c r="V358" s="4">
        <f t="shared" si="625"/>
        <v>106.57233757716045</v>
      </c>
      <c r="W358" s="4">
        <f t="shared" si="626"/>
        <v>1</v>
      </c>
      <c r="X358" s="4">
        <f t="shared" si="627"/>
        <v>0</v>
      </c>
      <c r="Y358" s="4">
        <f t="shared" si="628"/>
        <v>0</v>
      </c>
      <c r="Z358" s="4">
        <f t="shared" si="629"/>
        <v>0</v>
      </c>
      <c r="AA358" s="4">
        <f t="shared" si="630"/>
        <v>0</v>
      </c>
      <c r="AB358" s="4">
        <f t="shared" si="631"/>
        <v>0</v>
      </c>
      <c r="AC358" s="4"/>
      <c r="AD358" s="4" t="b">
        <f t="shared" si="632"/>
        <v>0</v>
      </c>
      <c r="AE358" s="4" t="b">
        <f t="shared" si="633"/>
        <v>0</v>
      </c>
      <c r="AF358" s="4" t="b">
        <f t="shared" si="634"/>
        <v>0</v>
      </c>
      <c r="AG358" t="b">
        <f t="shared" si="635"/>
        <v>0</v>
      </c>
      <c r="AH358" t="b">
        <f t="shared" si="636"/>
        <v>0</v>
      </c>
      <c r="AI358" t="b">
        <f t="shared" si="637"/>
        <v>0</v>
      </c>
      <c r="AJ358" t="b">
        <f t="shared" si="638"/>
        <v>0</v>
      </c>
      <c r="AK358" t="b">
        <f t="shared" si="639"/>
        <v>0</v>
      </c>
      <c r="AL358" t="b">
        <f t="shared" si="640"/>
        <v>0</v>
      </c>
      <c r="AM358" t="b">
        <f t="shared" si="641"/>
        <v>0</v>
      </c>
      <c r="AN358" t="b">
        <f t="shared" si="642"/>
        <v>0</v>
      </c>
      <c r="AO358" t="b">
        <f t="shared" si="643"/>
        <v>0</v>
      </c>
      <c r="AP358" t="b">
        <f t="shared" si="644"/>
        <v>0</v>
      </c>
      <c r="AQ358" t="b">
        <f t="shared" si="645"/>
        <v>0</v>
      </c>
      <c r="AR358" t="b">
        <f t="shared" si="646"/>
        <v>0</v>
      </c>
      <c r="AS358" t="b">
        <f t="shared" si="647"/>
        <v>0</v>
      </c>
      <c r="AT358" t="b">
        <f t="shared" si="648"/>
        <v>0</v>
      </c>
      <c r="AU358" t="b">
        <f t="shared" si="649"/>
        <v>0</v>
      </c>
      <c r="AV358" t="b">
        <f t="shared" si="650"/>
        <v>0</v>
      </c>
      <c r="AW358" t="b">
        <f t="shared" si="651"/>
        <v>0</v>
      </c>
      <c r="AX358" t="b">
        <f t="shared" si="653"/>
        <v>0</v>
      </c>
      <c r="AY358" t="b">
        <f t="shared" si="654"/>
        <v>0</v>
      </c>
      <c r="AZ358" t="b">
        <f t="shared" si="655"/>
        <v>0</v>
      </c>
      <c r="BA358" t="b">
        <f t="shared" si="656"/>
        <v>0</v>
      </c>
      <c r="BB358" t="b">
        <f t="shared" si="657"/>
        <v>0</v>
      </c>
      <c r="BC358" t="b">
        <f t="shared" si="658"/>
        <v>0</v>
      </c>
      <c r="BD358" t="b">
        <f t="shared" si="659"/>
        <v>0</v>
      </c>
      <c r="BE358" t="b">
        <f t="shared" si="660"/>
        <v>0</v>
      </c>
      <c r="BF358" t="b">
        <f t="shared" si="661"/>
        <v>0</v>
      </c>
      <c r="BG358" t="b">
        <f t="shared" si="662"/>
        <v>0</v>
      </c>
      <c r="BH358" t="b">
        <f t="shared" si="663"/>
        <v>0</v>
      </c>
      <c r="BI358">
        <f t="shared" si="664"/>
        <v>1</v>
      </c>
      <c r="BJ358" t="b">
        <f t="shared" si="665"/>
        <v>0</v>
      </c>
      <c r="BK358" t="b">
        <f t="shared" si="666"/>
        <v>0</v>
      </c>
      <c r="BL358" t="b">
        <f t="shared" si="667"/>
        <v>0</v>
      </c>
      <c r="BM358" t="b">
        <f t="shared" si="668"/>
        <v>0</v>
      </c>
      <c r="BN358" t="b">
        <f t="shared" si="669"/>
        <v>0</v>
      </c>
      <c r="BO358" t="b">
        <f t="shared" si="670"/>
        <v>0</v>
      </c>
      <c r="BP358" t="b">
        <f t="shared" si="671"/>
        <v>0</v>
      </c>
      <c r="BQ358" t="b">
        <f t="shared" si="672"/>
        <v>0</v>
      </c>
      <c r="BR358" t="b">
        <f t="shared" si="673"/>
        <v>0</v>
      </c>
      <c r="BS358" t="b">
        <f t="shared" si="674"/>
        <v>0</v>
      </c>
      <c r="BT358" t="b">
        <f t="shared" si="675"/>
        <v>0</v>
      </c>
      <c r="BU358" t="b">
        <f t="shared" si="676"/>
        <v>0</v>
      </c>
      <c r="BV358" t="b">
        <f t="shared" si="677"/>
        <v>0</v>
      </c>
      <c r="BW358" t="b">
        <f t="shared" si="678"/>
        <v>0</v>
      </c>
      <c r="BX358" t="b">
        <f t="shared" si="679"/>
        <v>0</v>
      </c>
      <c r="BY358" t="b">
        <f t="shared" si="680"/>
        <v>0</v>
      </c>
      <c r="BZ358" t="b">
        <f t="shared" si="681"/>
        <v>0</v>
      </c>
      <c r="CA358" t="b">
        <f t="shared" si="682"/>
        <v>0</v>
      </c>
      <c r="CB358" t="b">
        <f t="shared" si="683"/>
        <v>0</v>
      </c>
      <c r="CC358" t="b">
        <f t="shared" si="684"/>
        <v>0</v>
      </c>
      <c r="CD358" t="b">
        <f t="shared" si="685"/>
        <v>0</v>
      </c>
      <c r="CE358">
        <f t="shared" si="686"/>
        <v>1</v>
      </c>
      <c r="CF358" t="b">
        <f t="shared" si="687"/>
        <v>0</v>
      </c>
      <c r="CG358" t="b">
        <f t="shared" si="688"/>
        <v>0</v>
      </c>
      <c r="CH358" t="b">
        <f t="shared" si="689"/>
        <v>0</v>
      </c>
      <c r="CI358" t="b">
        <f t="shared" si="690"/>
        <v>0</v>
      </c>
      <c r="CJ358" t="b">
        <f t="shared" si="691"/>
        <v>0</v>
      </c>
      <c r="CK358" t="b">
        <f t="shared" si="692"/>
        <v>0</v>
      </c>
      <c r="CL358" t="b">
        <f t="shared" si="693"/>
        <v>0</v>
      </c>
      <c r="CM358" t="b">
        <f t="shared" si="694"/>
        <v>0</v>
      </c>
      <c r="CN358" t="b">
        <f t="shared" si="695"/>
        <v>0</v>
      </c>
      <c r="CO358" t="b">
        <f t="shared" si="696"/>
        <v>0</v>
      </c>
      <c r="CP358" t="b">
        <f t="shared" si="697"/>
        <v>0</v>
      </c>
      <c r="CQ358" t="b">
        <f t="shared" si="698"/>
        <v>0</v>
      </c>
      <c r="CR358" t="b">
        <f t="shared" si="699"/>
        <v>0</v>
      </c>
      <c r="CS358" t="b">
        <f t="shared" si="700"/>
        <v>0</v>
      </c>
      <c r="CT358" t="b">
        <f t="shared" si="701"/>
        <v>0</v>
      </c>
      <c r="CU358" t="b">
        <f t="shared" si="702"/>
        <v>0</v>
      </c>
      <c r="CV358">
        <f t="shared" si="703"/>
        <v>1</v>
      </c>
      <c r="CW358" t="b">
        <f t="shared" si="704"/>
        <v>0</v>
      </c>
      <c r="CX358" t="b">
        <f t="shared" si="705"/>
        <v>0</v>
      </c>
      <c r="CY358" t="b">
        <f t="shared" si="706"/>
        <v>0</v>
      </c>
      <c r="CZ358" t="b">
        <f t="shared" si="707"/>
        <v>0</v>
      </c>
      <c r="DA358" t="b">
        <f t="shared" si="708"/>
        <v>0</v>
      </c>
      <c r="DB358" t="b">
        <f t="shared" si="709"/>
        <v>0</v>
      </c>
      <c r="DC358" t="b">
        <f t="shared" si="710"/>
        <v>0</v>
      </c>
      <c r="DD358" t="b">
        <f t="shared" si="711"/>
        <v>0</v>
      </c>
      <c r="DE358" t="b">
        <f t="shared" si="712"/>
        <v>0</v>
      </c>
      <c r="DF358" t="b">
        <f t="shared" si="713"/>
        <v>0</v>
      </c>
      <c r="DG358" t="b">
        <f t="shared" si="714"/>
        <v>0</v>
      </c>
      <c r="DH358" t="b">
        <f t="shared" si="715"/>
        <v>0</v>
      </c>
      <c r="DI358" t="b">
        <f t="shared" si="716"/>
        <v>0</v>
      </c>
      <c r="DJ358" t="b">
        <f t="shared" si="717"/>
        <v>0</v>
      </c>
      <c r="DK358" t="b">
        <f t="shared" si="718"/>
        <v>0</v>
      </c>
      <c r="DL358" t="b">
        <f t="shared" si="719"/>
        <v>0</v>
      </c>
      <c r="DM358" t="b">
        <f t="shared" si="720"/>
        <v>0</v>
      </c>
      <c r="DN358" t="b">
        <f t="shared" si="721"/>
        <v>0</v>
      </c>
      <c r="DO358" t="b">
        <f t="shared" si="722"/>
        <v>0</v>
      </c>
      <c r="DP358" t="b">
        <f t="shared" si="723"/>
        <v>0</v>
      </c>
      <c r="DQ358" t="b">
        <f t="shared" si="724"/>
        <v>0</v>
      </c>
      <c r="DR358" t="b">
        <f t="shared" si="725"/>
        <v>0</v>
      </c>
      <c r="DS358" t="b">
        <f t="shared" si="726"/>
        <v>0</v>
      </c>
      <c r="DT358" t="b">
        <f t="shared" si="727"/>
        <v>0</v>
      </c>
      <c r="DU358" t="b">
        <f t="shared" si="728"/>
        <v>0</v>
      </c>
      <c r="DV358" t="b">
        <f t="shared" si="729"/>
        <v>0</v>
      </c>
      <c r="DW358" t="b">
        <f t="shared" si="730"/>
        <v>0</v>
      </c>
      <c r="DX358" t="b">
        <f t="shared" si="731"/>
        <v>0</v>
      </c>
      <c r="DY358" t="b">
        <f t="shared" si="732"/>
        <v>0</v>
      </c>
      <c r="DZ358" t="b">
        <f t="shared" si="733"/>
        <v>0</v>
      </c>
      <c r="EA358" t="b">
        <f t="shared" si="734"/>
        <v>0</v>
      </c>
      <c r="EB358" t="b">
        <f t="shared" si="735"/>
        <v>0</v>
      </c>
      <c r="EC358" t="b">
        <f t="shared" si="736"/>
        <v>0</v>
      </c>
      <c r="ED358" t="b">
        <f t="shared" si="737"/>
        <v>0</v>
      </c>
      <c r="EE358" t="b">
        <f t="shared" si="738"/>
        <v>0</v>
      </c>
      <c r="EF358">
        <f t="shared" si="739"/>
        <v>1</v>
      </c>
      <c r="EG358" t="b">
        <f t="shared" si="740"/>
        <v>0</v>
      </c>
      <c r="EH358" t="b">
        <f t="shared" si="741"/>
        <v>0</v>
      </c>
      <c r="EI358" t="b">
        <f t="shared" si="742"/>
        <v>0</v>
      </c>
      <c r="EJ358" t="b">
        <f t="shared" si="743"/>
        <v>0</v>
      </c>
      <c r="EK358" t="b">
        <f t="shared" si="744"/>
        <v>0</v>
      </c>
    </row>
    <row r="359" spans="1:141">
      <c r="A359" t="s">
        <v>1866</v>
      </c>
      <c r="B359" t="s">
        <v>1866</v>
      </c>
      <c r="C359" t="s">
        <v>1867</v>
      </c>
      <c r="D359" s="1">
        <v>43856</v>
      </c>
      <c r="E359" s="2">
        <v>44227.124374999999</v>
      </c>
      <c r="F359" s="2">
        <v>44227.124374999999</v>
      </c>
      <c r="G359">
        <v>1422717</v>
      </c>
      <c r="H359" t="s">
        <v>1868</v>
      </c>
      <c r="I359" s="10" t="s">
        <v>1869</v>
      </c>
      <c r="J359" t="s">
        <v>1870</v>
      </c>
      <c r="K359" s="8" t="b">
        <v>1</v>
      </c>
      <c r="L359" s="10" t="b">
        <v>0</v>
      </c>
      <c r="M359" s="12" t="b">
        <v>1</v>
      </c>
      <c r="N359" t="b">
        <v>0</v>
      </c>
      <c r="O359" t="b">
        <v>0</v>
      </c>
      <c r="P359" t="b">
        <v>0</v>
      </c>
      <c r="Q359">
        <f t="shared" si="621"/>
        <v>1</v>
      </c>
      <c r="R359">
        <f t="shared" si="622"/>
        <v>1</v>
      </c>
      <c r="S359" t="e">
        <f t="shared" ca="1" si="652"/>
        <v>#NAME?</v>
      </c>
      <c r="T359" t="e">
        <f t="shared" ca="1" si="623"/>
        <v>#NAME?</v>
      </c>
      <c r="U359" s="4">
        <f t="shared" si="624"/>
        <v>371.12437499999942</v>
      </c>
      <c r="V359" s="4">
        <f t="shared" si="625"/>
        <v>12.37081249999998</v>
      </c>
      <c r="W359" s="4">
        <f t="shared" si="626"/>
        <v>1</v>
      </c>
      <c r="X359" s="4">
        <f t="shared" si="627"/>
        <v>0</v>
      </c>
      <c r="Y359" s="4">
        <f t="shared" si="628"/>
        <v>1</v>
      </c>
      <c r="Z359" s="4">
        <f t="shared" si="629"/>
        <v>0</v>
      </c>
      <c r="AA359" s="4">
        <f t="shared" si="630"/>
        <v>0</v>
      </c>
      <c r="AB359" s="4">
        <f t="shared" si="631"/>
        <v>0</v>
      </c>
      <c r="AC359" s="4"/>
      <c r="AD359" s="4" t="b">
        <f t="shared" si="632"/>
        <v>0</v>
      </c>
      <c r="AE359" s="4" t="b">
        <f t="shared" si="633"/>
        <v>0</v>
      </c>
      <c r="AF359" s="4" t="b">
        <f t="shared" si="634"/>
        <v>0</v>
      </c>
      <c r="AG359" t="b">
        <f t="shared" si="635"/>
        <v>0</v>
      </c>
      <c r="AH359" t="b">
        <f t="shared" si="636"/>
        <v>0</v>
      </c>
      <c r="AI359" t="b">
        <f t="shared" si="637"/>
        <v>0</v>
      </c>
      <c r="AJ359" t="b">
        <f t="shared" si="638"/>
        <v>0</v>
      </c>
      <c r="AK359" t="b">
        <f t="shared" si="639"/>
        <v>0</v>
      </c>
      <c r="AL359" t="b">
        <f t="shared" si="640"/>
        <v>0</v>
      </c>
      <c r="AM359" t="b">
        <f t="shared" si="641"/>
        <v>0</v>
      </c>
      <c r="AN359" t="b">
        <f t="shared" si="642"/>
        <v>0</v>
      </c>
      <c r="AO359" t="b">
        <f t="shared" si="643"/>
        <v>0</v>
      </c>
      <c r="AP359" t="b">
        <f t="shared" si="644"/>
        <v>0</v>
      </c>
      <c r="AQ359" t="b">
        <f t="shared" si="645"/>
        <v>0</v>
      </c>
      <c r="AR359" t="b">
        <f t="shared" si="646"/>
        <v>0</v>
      </c>
      <c r="AS359" t="b">
        <f t="shared" si="647"/>
        <v>0</v>
      </c>
      <c r="AT359" t="b">
        <f t="shared" si="648"/>
        <v>0</v>
      </c>
      <c r="AU359" t="b">
        <f t="shared" si="649"/>
        <v>0</v>
      </c>
      <c r="AV359" t="b">
        <f t="shared" si="650"/>
        <v>0</v>
      </c>
      <c r="AW359" t="b">
        <f t="shared" si="651"/>
        <v>0</v>
      </c>
      <c r="AX359" t="b">
        <f t="shared" si="653"/>
        <v>0</v>
      </c>
      <c r="AY359" t="b">
        <f t="shared" si="654"/>
        <v>0</v>
      </c>
      <c r="AZ359">
        <f t="shared" si="655"/>
        <v>1</v>
      </c>
      <c r="BA359" t="b">
        <f t="shared" si="656"/>
        <v>0</v>
      </c>
      <c r="BB359" t="b">
        <f t="shared" si="657"/>
        <v>0</v>
      </c>
      <c r="BC359" t="b">
        <f t="shared" si="658"/>
        <v>0</v>
      </c>
      <c r="BD359" t="b">
        <f t="shared" si="659"/>
        <v>0</v>
      </c>
      <c r="BE359">
        <f t="shared" si="660"/>
        <v>1</v>
      </c>
      <c r="BF359" t="b">
        <f t="shared" si="661"/>
        <v>0</v>
      </c>
      <c r="BG359">
        <f t="shared" si="662"/>
        <v>1</v>
      </c>
      <c r="BH359" t="b">
        <f t="shared" si="663"/>
        <v>0</v>
      </c>
      <c r="BI359">
        <f t="shared" si="664"/>
        <v>1</v>
      </c>
      <c r="BJ359" t="b">
        <f t="shared" si="665"/>
        <v>0</v>
      </c>
      <c r="BK359" t="b">
        <f t="shared" si="666"/>
        <v>0</v>
      </c>
      <c r="BL359" t="b">
        <f t="shared" si="667"/>
        <v>0</v>
      </c>
      <c r="BM359" t="b">
        <f t="shared" si="668"/>
        <v>0</v>
      </c>
      <c r="BN359" t="b">
        <f t="shared" si="669"/>
        <v>0</v>
      </c>
      <c r="BO359" t="b">
        <f t="shared" si="670"/>
        <v>0</v>
      </c>
      <c r="BP359" t="b">
        <f t="shared" si="671"/>
        <v>0</v>
      </c>
      <c r="BQ359" t="b">
        <f t="shared" si="672"/>
        <v>0</v>
      </c>
      <c r="BR359">
        <f t="shared" si="673"/>
        <v>1</v>
      </c>
      <c r="BS359">
        <f t="shared" si="674"/>
        <v>1</v>
      </c>
      <c r="BT359" t="b">
        <f t="shared" si="675"/>
        <v>0</v>
      </c>
      <c r="BU359" t="b">
        <f t="shared" si="676"/>
        <v>0</v>
      </c>
      <c r="BV359" t="b">
        <f t="shared" si="677"/>
        <v>0</v>
      </c>
      <c r="BW359" t="b">
        <f t="shared" si="678"/>
        <v>0</v>
      </c>
      <c r="BX359" t="b">
        <f t="shared" si="679"/>
        <v>0</v>
      </c>
      <c r="BY359" t="b">
        <f t="shared" si="680"/>
        <v>0</v>
      </c>
      <c r="BZ359" t="b">
        <f t="shared" si="681"/>
        <v>0</v>
      </c>
      <c r="CA359" t="b">
        <f t="shared" si="682"/>
        <v>0</v>
      </c>
      <c r="CB359" t="b">
        <f t="shared" si="683"/>
        <v>0</v>
      </c>
      <c r="CC359" t="b">
        <f t="shared" si="684"/>
        <v>0</v>
      </c>
      <c r="CD359" t="b">
        <f t="shared" si="685"/>
        <v>0</v>
      </c>
      <c r="CE359">
        <f t="shared" si="686"/>
        <v>1</v>
      </c>
      <c r="CF359" t="b">
        <f t="shared" si="687"/>
        <v>0</v>
      </c>
      <c r="CG359" t="b">
        <f t="shared" si="688"/>
        <v>0</v>
      </c>
      <c r="CH359" t="b">
        <f t="shared" si="689"/>
        <v>0</v>
      </c>
      <c r="CI359" t="b">
        <f t="shared" si="690"/>
        <v>0</v>
      </c>
      <c r="CJ359" t="b">
        <f t="shared" si="691"/>
        <v>0</v>
      </c>
      <c r="CK359">
        <f t="shared" si="692"/>
        <v>1</v>
      </c>
      <c r="CL359" t="b">
        <f t="shared" si="693"/>
        <v>0</v>
      </c>
      <c r="CM359">
        <f t="shared" si="694"/>
        <v>1</v>
      </c>
      <c r="CN359" t="b">
        <f t="shared" si="695"/>
        <v>0</v>
      </c>
      <c r="CO359" t="b">
        <f t="shared" si="696"/>
        <v>0</v>
      </c>
      <c r="CP359" t="b">
        <f t="shared" si="697"/>
        <v>0</v>
      </c>
      <c r="CQ359" t="b">
        <f t="shared" si="698"/>
        <v>0</v>
      </c>
      <c r="CR359" t="b">
        <f t="shared" si="699"/>
        <v>0</v>
      </c>
      <c r="CS359" t="b">
        <f t="shared" si="700"/>
        <v>0</v>
      </c>
      <c r="CT359" t="b">
        <f t="shared" si="701"/>
        <v>0</v>
      </c>
      <c r="CU359" t="b">
        <f t="shared" si="702"/>
        <v>0</v>
      </c>
      <c r="CV359">
        <f t="shared" si="703"/>
        <v>1</v>
      </c>
      <c r="CW359" t="b">
        <f t="shared" si="704"/>
        <v>0</v>
      </c>
      <c r="CX359" t="b">
        <f t="shared" si="705"/>
        <v>0</v>
      </c>
      <c r="CY359" t="b">
        <f t="shared" si="706"/>
        <v>0</v>
      </c>
      <c r="CZ359" t="b">
        <f t="shared" si="707"/>
        <v>0</v>
      </c>
      <c r="DA359" t="b">
        <f t="shared" si="708"/>
        <v>0</v>
      </c>
      <c r="DB359" t="b">
        <f t="shared" si="709"/>
        <v>0</v>
      </c>
      <c r="DC359">
        <f t="shared" si="710"/>
        <v>1</v>
      </c>
      <c r="DD359" t="b">
        <f t="shared" si="711"/>
        <v>0</v>
      </c>
      <c r="DE359" t="b">
        <f t="shared" si="712"/>
        <v>0</v>
      </c>
      <c r="DF359" t="b">
        <f t="shared" si="713"/>
        <v>0</v>
      </c>
      <c r="DG359" t="b">
        <f t="shared" si="714"/>
        <v>0</v>
      </c>
      <c r="DH359" t="b">
        <f t="shared" si="715"/>
        <v>0</v>
      </c>
      <c r="DI359" t="b">
        <f t="shared" si="716"/>
        <v>0</v>
      </c>
      <c r="DJ359" t="b">
        <f t="shared" si="717"/>
        <v>0</v>
      </c>
      <c r="DK359" t="b">
        <f t="shared" si="718"/>
        <v>0</v>
      </c>
      <c r="DL359" t="b">
        <f t="shared" si="719"/>
        <v>0</v>
      </c>
      <c r="DM359" t="b">
        <f t="shared" si="720"/>
        <v>0</v>
      </c>
      <c r="DN359" t="b">
        <f t="shared" si="721"/>
        <v>0</v>
      </c>
      <c r="DO359" t="b">
        <f t="shared" si="722"/>
        <v>0</v>
      </c>
      <c r="DP359" t="b">
        <f t="shared" si="723"/>
        <v>0</v>
      </c>
      <c r="DQ359" t="b">
        <f t="shared" si="724"/>
        <v>0</v>
      </c>
      <c r="DR359" t="b">
        <f t="shared" si="725"/>
        <v>0</v>
      </c>
      <c r="DS359" t="b">
        <f t="shared" si="726"/>
        <v>0</v>
      </c>
      <c r="DT359" t="b">
        <f t="shared" si="727"/>
        <v>0</v>
      </c>
      <c r="DU359">
        <f t="shared" si="728"/>
        <v>1</v>
      </c>
      <c r="DV359">
        <f t="shared" si="729"/>
        <v>1</v>
      </c>
      <c r="DW359" t="b">
        <f t="shared" si="730"/>
        <v>0</v>
      </c>
      <c r="DX359" t="b">
        <f t="shared" si="731"/>
        <v>0</v>
      </c>
      <c r="DY359">
        <f t="shared" si="732"/>
        <v>1</v>
      </c>
      <c r="DZ359" t="b">
        <f t="shared" si="733"/>
        <v>0</v>
      </c>
      <c r="EA359" t="b">
        <f t="shared" si="734"/>
        <v>0</v>
      </c>
      <c r="EB359" t="b">
        <f t="shared" si="735"/>
        <v>0</v>
      </c>
      <c r="EC359" t="b">
        <f t="shared" si="736"/>
        <v>0</v>
      </c>
      <c r="ED359" t="b">
        <f t="shared" si="737"/>
        <v>0</v>
      </c>
      <c r="EE359" t="b">
        <f t="shared" si="738"/>
        <v>0</v>
      </c>
      <c r="EF359">
        <f t="shared" si="739"/>
        <v>1</v>
      </c>
      <c r="EG359" t="b">
        <f t="shared" si="740"/>
        <v>0</v>
      </c>
      <c r="EH359" t="b">
        <f t="shared" si="741"/>
        <v>0</v>
      </c>
      <c r="EI359" t="b">
        <f t="shared" si="742"/>
        <v>0</v>
      </c>
      <c r="EJ359" t="b">
        <f t="shared" si="743"/>
        <v>0</v>
      </c>
      <c r="EK359" t="b">
        <f t="shared" si="744"/>
        <v>0</v>
      </c>
    </row>
    <row r="360" spans="1:141">
      <c r="A360" t="s">
        <v>1871</v>
      </c>
      <c r="B360" t="s">
        <v>1872</v>
      </c>
      <c r="C360" t="s">
        <v>1873</v>
      </c>
      <c r="D360" s="1">
        <v>43671</v>
      </c>
      <c r="E360" s="2">
        <v>43881.036747685182</v>
      </c>
      <c r="F360" s="2">
        <v>43881.042326388888</v>
      </c>
      <c r="G360">
        <v>3081321</v>
      </c>
      <c r="H360" t="s">
        <v>1874</v>
      </c>
      <c r="I360" s="10" t="s">
        <v>1875</v>
      </c>
      <c r="J360" t="s">
        <v>1876</v>
      </c>
      <c r="K360" s="8" t="b">
        <v>1</v>
      </c>
      <c r="L360" s="10" t="b">
        <v>0</v>
      </c>
      <c r="M360" s="12" t="b">
        <v>0</v>
      </c>
      <c r="N360" t="b">
        <v>0</v>
      </c>
      <c r="O360" t="b">
        <v>0</v>
      </c>
      <c r="P360" t="b">
        <v>0</v>
      </c>
      <c r="Q360">
        <f t="shared" si="621"/>
        <v>5</v>
      </c>
      <c r="R360">
        <f t="shared" si="622"/>
        <v>7</v>
      </c>
      <c r="S360" t="e">
        <f t="shared" ca="1" si="652"/>
        <v>#NAME?</v>
      </c>
      <c r="T360" t="e">
        <f t="shared" ca="1" si="623"/>
        <v>#NAME?</v>
      </c>
      <c r="U360" s="4">
        <f t="shared" si="624"/>
        <v>210.03674768518249</v>
      </c>
      <c r="V360" s="4">
        <f t="shared" si="625"/>
        <v>7.0012249228394161</v>
      </c>
      <c r="W360" s="4">
        <f t="shared" si="626"/>
        <v>1</v>
      </c>
      <c r="X360" s="4">
        <f t="shared" si="627"/>
        <v>0</v>
      </c>
      <c r="Y360" s="4">
        <f t="shared" si="628"/>
        <v>0</v>
      </c>
      <c r="Z360" s="4">
        <f t="shared" si="629"/>
        <v>0</v>
      </c>
      <c r="AA360" s="4">
        <f t="shared" si="630"/>
        <v>0</v>
      </c>
      <c r="AB360" s="4">
        <f t="shared" si="631"/>
        <v>0</v>
      </c>
      <c r="AC360" s="4"/>
      <c r="AD360" s="4" t="b">
        <f t="shared" si="632"/>
        <v>0</v>
      </c>
      <c r="AE360" s="4" t="b">
        <f t="shared" si="633"/>
        <v>0</v>
      </c>
      <c r="AF360" s="4" t="b">
        <f t="shared" si="634"/>
        <v>0</v>
      </c>
      <c r="AG360" t="b">
        <f t="shared" si="635"/>
        <v>0</v>
      </c>
      <c r="AH360" t="b">
        <f t="shared" si="636"/>
        <v>0</v>
      </c>
      <c r="AI360" t="b">
        <f t="shared" si="637"/>
        <v>0</v>
      </c>
      <c r="AJ360" t="b">
        <f t="shared" si="638"/>
        <v>0</v>
      </c>
      <c r="AK360" t="b">
        <f t="shared" si="639"/>
        <v>0</v>
      </c>
      <c r="AL360" t="b">
        <f t="shared" si="640"/>
        <v>0</v>
      </c>
      <c r="AM360" t="b">
        <f t="shared" si="641"/>
        <v>0</v>
      </c>
      <c r="AN360" t="b">
        <f t="shared" si="642"/>
        <v>0</v>
      </c>
      <c r="AO360" t="b">
        <f t="shared" si="643"/>
        <v>0</v>
      </c>
      <c r="AP360" t="b">
        <f t="shared" si="644"/>
        <v>0</v>
      </c>
      <c r="AQ360" t="b">
        <f t="shared" si="645"/>
        <v>0</v>
      </c>
      <c r="AR360" t="b">
        <f t="shared" si="646"/>
        <v>0</v>
      </c>
      <c r="AS360" t="b">
        <f t="shared" si="647"/>
        <v>0</v>
      </c>
      <c r="AT360" t="b">
        <f t="shared" si="648"/>
        <v>0</v>
      </c>
      <c r="AU360" t="b">
        <f t="shared" si="649"/>
        <v>0</v>
      </c>
      <c r="AV360" t="b">
        <f t="shared" si="650"/>
        <v>0</v>
      </c>
      <c r="AW360" t="b">
        <f t="shared" si="651"/>
        <v>0</v>
      </c>
      <c r="AX360" t="b">
        <f t="shared" si="653"/>
        <v>0</v>
      </c>
      <c r="AY360" t="b">
        <f t="shared" si="654"/>
        <v>0</v>
      </c>
      <c r="AZ360">
        <f t="shared" si="655"/>
        <v>1</v>
      </c>
      <c r="BA360" t="b">
        <f t="shared" si="656"/>
        <v>0</v>
      </c>
      <c r="BB360" t="b">
        <f t="shared" si="657"/>
        <v>0</v>
      </c>
      <c r="BC360" t="b">
        <f t="shared" si="658"/>
        <v>0</v>
      </c>
      <c r="BD360" t="b">
        <f t="shared" si="659"/>
        <v>0</v>
      </c>
      <c r="BE360" t="b">
        <f t="shared" si="660"/>
        <v>0</v>
      </c>
      <c r="BF360" t="b">
        <f t="shared" si="661"/>
        <v>0</v>
      </c>
      <c r="BG360" t="b">
        <f t="shared" si="662"/>
        <v>0</v>
      </c>
      <c r="BH360" t="b">
        <f t="shared" si="663"/>
        <v>0</v>
      </c>
      <c r="BI360">
        <f t="shared" si="664"/>
        <v>1</v>
      </c>
      <c r="BJ360" t="b">
        <f t="shared" si="665"/>
        <v>0</v>
      </c>
      <c r="BK360" t="b">
        <f t="shared" si="666"/>
        <v>0</v>
      </c>
      <c r="BL360" t="b">
        <f t="shared" si="667"/>
        <v>0</v>
      </c>
      <c r="BM360" t="b">
        <f t="shared" si="668"/>
        <v>0</v>
      </c>
      <c r="BN360" t="b">
        <f t="shared" si="669"/>
        <v>0</v>
      </c>
      <c r="BO360" t="b">
        <f t="shared" si="670"/>
        <v>0</v>
      </c>
      <c r="BP360" t="b">
        <f t="shared" si="671"/>
        <v>0</v>
      </c>
      <c r="BQ360" t="b">
        <f t="shared" si="672"/>
        <v>0</v>
      </c>
      <c r="BR360" t="b">
        <f t="shared" si="673"/>
        <v>0</v>
      </c>
      <c r="BS360" t="b">
        <f t="shared" si="674"/>
        <v>0</v>
      </c>
      <c r="BT360" t="b">
        <f t="shared" si="675"/>
        <v>0</v>
      </c>
      <c r="BU360" t="b">
        <f t="shared" si="676"/>
        <v>0</v>
      </c>
      <c r="BV360" t="b">
        <f t="shared" si="677"/>
        <v>0</v>
      </c>
      <c r="BW360" t="b">
        <f t="shared" si="678"/>
        <v>0</v>
      </c>
      <c r="BX360" t="b">
        <f t="shared" si="679"/>
        <v>0</v>
      </c>
      <c r="BY360" t="b">
        <f t="shared" si="680"/>
        <v>0</v>
      </c>
      <c r="BZ360" t="b">
        <f t="shared" si="681"/>
        <v>0</v>
      </c>
      <c r="CA360" t="b">
        <f t="shared" si="682"/>
        <v>0</v>
      </c>
      <c r="CB360" t="b">
        <f t="shared" si="683"/>
        <v>0</v>
      </c>
      <c r="CC360" t="b">
        <f t="shared" si="684"/>
        <v>0</v>
      </c>
      <c r="CD360" t="b">
        <f t="shared" si="685"/>
        <v>0</v>
      </c>
      <c r="CE360" t="b">
        <f t="shared" si="686"/>
        <v>0</v>
      </c>
      <c r="CF360" t="b">
        <f t="shared" si="687"/>
        <v>0</v>
      </c>
      <c r="CG360" t="b">
        <f t="shared" si="688"/>
        <v>0</v>
      </c>
      <c r="CH360" t="b">
        <f t="shared" si="689"/>
        <v>0</v>
      </c>
      <c r="CI360" t="b">
        <f t="shared" si="690"/>
        <v>0</v>
      </c>
      <c r="CJ360" t="b">
        <f t="shared" si="691"/>
        <v>0</v>
      </c>
      <c r="CK360" t="b">
        <f t="shared" si="692"/>
        <v>0</v>
      </c>
      <c r="CL360" t="b">
        <f t="shared" si="693"/>
        <v>0</v>
      </c>
      <c r="CM360">
        <f t="shared" si="694"/>
        <v>1</v>
      </c>
      <c r="CN360" t="b">
        <f t="shared" si="695"/>
        <v>0</v>
      </c>
      <c r="CO360" t="b">
        <f t="shared" si="696"/>
        <v>0</v>
      </c>
      <c r="CP360" t="b">
        <f t="shared" si="697"/>
        <v>0</v>
      </c>
      <c r="CQ360" t="b">
        <f t="shared" si="698"/>
        <v>0</v>
      </c>
      <c r="CR360" t="b">
        <f t="shared" si="699"/>
        <v>0</v>
      </c>
      <c r="CS360" t="b">
        <f t="shared" si="700"/>
        <v>0</v>
      </c>
      <c r="CT360" t="b">
        <f t="shared" si="701"/>
        <v>0</v>
      </c>
      <c r="CU360" t="b">
        <f t="shared" si="702"/>
        <v>0</v>
      </c>
      <c r="CV360" t="b">
        <f t="shared" si="703"/>
        <v>0</v>
      </c>
      <c r="CW360" t="b">
        <f t="shared" si="704"/>
        <v>0</v>
      </c>
      <c r="CX360" t="b">
        <f t="shared" si="705"/>
        <v>0</v>
      </c>
      <c r="CY360" t="b">
        <f t="shared" si="706"/>
        <v>0</v>
      </c>
      <c r="CZ360" t="b">
        <f t="shared" si="707"/>
        <v>0</v>
      </c>
      <c r="DA360">
        <f t="shared" si="708"/>
        <v>1</v>
      </c>
      <c r="DB360">
        <f t="shared" si="709"/>
        <v>1</v>
      </c>
      <c r="DC360" t="b">
        <f t="shared" si="710"/>
        <v>0</v>
      </c>
      <c r="DD360" t="b">
        <f t="shared" si="711"/>
        <v>0</v>
      </c>
      <c r="DE360" t="b">
        <f t="shared" si="712"/>
        <v>0</v>
      </c>
      <c r="DF360" t="b">
        <f t="shared" si="713"/>
        <v>0</v>
      </c>
      <c r="DG360" t="b">
        <f t="shared" si="714"/>
        <v>0</v>
      </c>
      <c r="DH360" t="b">
        <f t="shared" si="715"/>
        <v>0</v>
      </c>
      <c r="DI360" t="b">
        <f t="shared" si="716"/>
        <v>0</v>
      </c>
      <c r="DJ360" t="b">
        <f t="shared" si="717"/>
        <v>0</v>
      </c>
      <c r="DK360" t="b">
        <f t="shared" si="718"/>
        <v>0</v>
      </c>
      <c r="DL360" t="b">
        <f t="shared" si="719"/>
        <v>0</v>
      </c>
      <c r="DM360" t="b">
        <f t="shared" si="720"/>
        <v>0</v>
      </c>
      <c r="DN360" t="b">
        <f t="shared" si="721"/>
        <v>0</v>
      </c>
      <c r="DO360" t="b">
        <f t="shared" si="722"/>
        <v>0</v>
      </c>
      <c r="DP360" t="b">
        <f t="shared" si="723"/>
        <v>0</v>
      </c>
      <c r="DQ360" t="b">
        <f t="shared" si="724"/>
        <v>0</v>
      </c>
      <c r="DR360" t="b">
        <f t="shared" si="725"/>
        <v>0</v>
      </c>
      <c r="DS360" t="b">
        <f t="shared" si="726"/>
        <v>0</v>
      </c>
      <c r="DT360" t="b">
        <f t="shared" si="727"/>
        <v>0</v>
      </c>
      <c r="DU360" t="b">
        <f t="shared" si="728"/>
        <v>0</v>
      </c>
      <c r="DV360" t="b">
        <f t="shared" si="729"/>
        <v>0</v>
      </c>
      <c r="DW360" t="b">
        <f t="shared" si="730"/>
        <v>0</v>
      </c>
      <c r="DX360" t="b">
        <f t="shared" si="731"/>
        <v>0</v>
      </c>
      <c r="DY360" t="b">
        <f t="shared" si="732"/>
        <v>0</v>
      </c>
      <c r="DZ360" t="b">
        <f t="shared" si="733"/>
        <v>0</v>
      </c>
      <c r="EA360" t="b">
        <f t="shared" si="734"/>
        <v>0</v>
      </c>
      <c r="EB360" t="b">
        <f t="shared" si="735"/>
        <v>0</v>
      </c>
      <c r="EC360" t="b">
        <f t="shared" si="736"/>
        <v>0</v>
      </c>
      <c r="ED360" t="b">
        <f t="shared" si="737"/>
        <v>0</v>
      </c>
      <c r="EE360" t="b">
        <f t="shared" si="738"/>
        <v>0</v>
      </c>
      <c r="EF360" t="b">
        <f t="shared" si="739"/>
        <v>0</v>
      </c>
      <c r="EG360" t="b">
        <f t="shared" si="740"/>
        <v>0</v>
      </c>
      <c r="EH360" t="b">
        <f t="shared" si="741"/>
        <v>0</v>
      </c>
      <c r="EI360" t="b">
        <f t="shared" si="742"/>
        <v>0</v>
      </c>
      <c r="EJ360" t="b">
        <f t="shared" si="743"/>
        <v>0</v>
      </c>
      <c r="EK360" t="b">
        <f t="shared" si="744"/>
        <v>0</v>
      </c>
    </row>
    <row r="361" spans="1:141">
      <c r="A361" t="s">
        <v>1877</v>
      </c>
      <c r="B361" t="s">
        <v>1878</v>
      </c>
      <c r="C361" t="s">
        <v>1873</v>
      </c>
      <c r="D361" s="1">
        <v>43671</v>
      </c>
      <c r="E361" s="2">
        <v>44710.072060185186</v>
      </c>
      <c r="F361" s="2">
        <v>44710.072060185186</v>
      </c>
      <c r="G361">
        <v>24842001</v>
      </c>
      <c r="H361" t="s">
        <v>1879</v>
      </c>
      <c r="I361" s="10" t="s">
        <v>1875</v>
      </c>
      <c r="J361" t="s">
        <v>1876</v>
      </c>
      <c r="K361" s="8" t="b">
        <v>1</v>
      </c>
      <c r="L361" s="10" t="b">
        <v>0</v>
      </c>
      <c r="M361" s="12" t="b">
        <v>0</v>
      </c>
      <c r="N361" t="b">
        <v>0</v>
      </c>
      <c r="O361" t="b">
        <v>0</v>
      </c>
      <c r="P361" t="b">
        <v>0</v>
      </c>
      <c r="Q361">
        <f t="shared" si="621"/>
        <v>5</v>
      </c>
      <c r="R361">
        <f t="shared" si="622"/>
        <v>7</v>
      </c>
      <c r="S361" t="e">
        <f t="shared" ca="1" si="652"/>
        <v>#NAME?</v>
      </c>
      <c r="T361" t="e">
        <f t="shared" ca="1" si="623"/>
        <v>#NAME?</v>
      </c>
      <c r="U361" s="4">
        <f t="shared" si="624"/>
        <v>1039.0720601851863</v>
      </c>
      <c r="V361" s="4">
        <f t="shared" si="625"/>
        <v>34.635735339506212</v>
      </c>
      <c r="W361" s="4">
        <f t="shared" si="626"/>
        <v>1</v>
      </c>
      <c r="X361" s="4">
        <f t="shared" si="627"/>
        <v>0</v>
      </c>
      <c r="Y361" s="4">
        <f t="shared" si="628"/>
        <v>0</v>
      </c>
      <c r="Z361" s="4">
        <f t="shared" si="629"/>
        <v>0</v>
      </c>
      <c r="AA361" s="4">
        <f t="shared" si="630"/>
        <v>0</v>
      </c>
      <c r="AB361" s="4">
        <f t="shared" si="631"/>
        <v>0</v>
      </c>
      <c r="AC361" s="4"/>
      <c r="AD361" s="4" t="b">
        <f t="shared" si="632"/>
        <v>0</v>
      </c>
      <c r="AE361" s="4" t="b">
        <f t="shared" si="633"/>
        <v>0</v>
      </c>
      <c r="AF361" s="4" t="b">
        <f t="shared" si="634"/>
        <v>0</v>
      </c>
      <c r="AG361" t="b">
        <f t="shared" si="635"/>
        <v>0</v>
      </c>
      <c r="AH361" t="b">
        <f t="shared" si="636"/>
        <v>0</v>
      </c>
      <c r="AI361" t="b">
        <f t="shared" si="637"/>
        <v>0</v>
      </c>
      <c r="AJ361" t="b">
        <f t="shared" si="638"/>
        <v>0</v>
      </c>
      <c r="AK361" t="b">
        <f t="shared" si="639"/>
        <v>0</v>
      </c>
      <c r="AL361" t="b">
        <f t="shared" si="640"/>
        <v>0</v>
      </c>
      <c r="AM361" t="b">
        <f t="shared" si="641"/>
        <v>0</v>
      </c>
      <c r="AN361" t="b">
        <f t="shared" si="642"/>
        <v>0</v>
      </c>
      <c r="AO361" t="b">
        <f t="shared" si="643"/>
        <v>0</v>
      </c>
      <c r="AP361" t="b">
        <f t="shared" si="644"/>
        <v>0</v>
      </c>
      <c r="AQ361" t="b">
        <f t="shared" si="645"/>
        <v>0</v>
      </c>
      <c r="AR361" t="b">
        <f t="shared" si="646"/>
        <v>0</v>
      </c>
      <c r="AS361" t="b">
        <f t="shared" si="647"/>
        <v>0</v>
      </c>
      <c r="AT361" t="b">
        <f t="shared" si="648"/>
        <v>0</v>
      </c>
      <c r="AU361" t="b">
        <f t="shared" si="649"/>
        <v>0</v>
      </c>
      <c r="AV361" t="b">
        <f t="shared" si="650"/>
        <v>0</v>
      </c>
      <c r="AW361" t="b">
        <f t="shared" si="651"/>
        <v>0</v>
      </c>
      <c r="AX361" t="b">
        <f t="shared" si="653"/>
        <v>0</v>
      </c>
      <c r="AY361" t="b">
        <f t="shared" si="654"/>
        <v>0</v>
      </c>
      <c r="AZ361">
        <f t="shared" si="655"/>
        <v>1</v>
      </c>
      <c r="BA361" t="b">
        <f t="shared" si="656"/>
        <v>0</v>
      </c>
      <c r="BB361" t="b">
        <f t="shared" si="657"/>
        <v>0</v>
      </c>
      <c r="BC361" t="b">
        <f t="shared" si="658"/>
        <v>0</v>
      </c>
      <c r="BD361" t="b">
        <f t="shared" si="659"/>
        <v>0</v>
      </c>
      <c r="BE361" t="b">
        <f t="shared" si="660"/>
        <v>0</v>
      </c>
      <c r="BF361" t="b">
        <f t="shared" si="661"/>
        <v>0</v>
      </c>
      <c r="BG361" t="b">
        <f t="shared" si="662"/>
        <v>0</v>
      </c>
      <c r="BH361" t="b">
        <f t="shared" si="663"/>
        <v>0</v>
      </c>
      <c r="BI361">
        <f t="shared" si="664"/>
        <v>1</v>
      </c>
      <c r="BJ361" t="b">
        <f t="shared" si="665"/>
        <v>0</v>
      </c>
      <c r="BK361" t="b">
        <f t="shared" si="666"/>
        <v>0</v>
      </c>
      <c r="BL361" t="b">
        <f t="shared" si="667"/>
        <v>0</v>
      </c>
      <c r="BM361" t="b">
        <f t="shared" si="668"/>
        <v>0</v>
      </c>
      <c r="BN361" t="b">
        <f t="shared" si="669"/>
        <v>0</v>
      </c>
      <c r="BO361" t="b">
        <f t="shared" si="670"/>
        <v>0</v>
      </c>
      <c r="BP361" t="b">
        <f t="shared" si="671"/>
        <v>0</v>
      </c>
      <c r="BQ361" t="b">
        <f t="shared" si="672"/>
        <v>0</v>
      </c>
      <c r="BR361" t="b">
        <f t="shared" si="673"/>
        <v>0</v>
      </c>
      <c r="BS361" t="b">
        <f t="shared" si="674"/>
        <v>0</v>
      </c>
      <c r="BT361" t="b">
        <f t="shared" si="675"/>
        <v>0</v>
      </c>
      <c r="BU361" t="b">
        <f t="shared" si="676"/>
        <v>0</v>
      </c>
      <c r="BV361" t="b">
        <f t="shared" si="677"/>
        <v>0</v>
      </c>
      <c r="BW361" t="b">
        <f t="shared" si="678"/>
        <v>0</v>
      </c>
      <c r="BX361" t="b">
        <f t="shared" si="679"/>
        <v>0</v>
      </c>
      <c r="BY361" t="b">
        <f t="shared" si="680"/>
        <v>0</v>
      </c>
      <c r="BZ361" t="b">
        <f t="shared" si="681"/>
        <v>0</v>
      </c>
      <c r="CA361" t="b">
        <f t="shared" si="682"/>
        <v>0</v>
      </c>
      <c r="CB361" t="b">
        <f t="shared" si="683"/>
        <v>0</v>
      </c>
      <c r="CC361" t="b">
        <f t="shared" si="684"/>
        <v>0</v>
      </c>
      <c r="CD361" t="b">
        <f t="shared" si="685"/>
        <v>0</v>
      </c>
      <c r="CE361" t="b">
        <f t="shared" si="686"/>
        <v>0</v>
      </c>
      <c r="CF361" t="b">
        <f t="shared" si="687"/>
        <v>0</v>
      </c>
      <c r="CG361" t="b">
        <f t="shared" si="688"/>
        <v>0</v>
      </c>
      <c r="CH361" t="b">
        <f t="shared" si="689"/>
        <v>0</v>
      </c>
      <c r="CI361" t="b">
        <f t="shared" si="690"/>
        <v>0</v>
      </c>
      <c r="CJ361" t="b">
        <f t="shared" si="691"/>
        <v>0</v>
      </c>
      <c r="CK361" t="b">
        <f t="shared" si="692"/>
        <v>0</v>
      </c>
      <c r="CL361" t="b">
        <f t="shared" si="693"/>
        <v>0</v>
      </c>
      <c r="CM361">
        <f t="shared" si="694"/>
        <v>1</v>
      </c>
      <c r="CN361" t="b">
        <f t="shared" si="695"/>
        <v>0</v>
      </c>
      <c r="CO361" t="b">
        <f t="shared" si="696"/>
        <v>0</v>
      </c>
      <c r="CP361" t="b">
        <f t="shared" si="697"/>
        <v>0</v>
      </c>
      <c r="CQ361" t="b">
        <f t="shared" si="698"/>
        <v>0</v>
      </c>
      <c r="CR361" t="b">
        <f t="shared" si="699"/>
        <v>0</v>
      </c>
      <c r="CS361" t="b">
        <f t="shared" si="700"/>
        <v>0</v>
      </c>
      <c r="CT361" t="b">
        <f t="shared" si="701"/>
        <v>0</v>
      </c>
      <c r="CU361" t="b">
        <f t="shared" si="702"/>
        <v>0</v>
      </c>
      <c r="CV361" t="b">
        <f t="shared" si="703"/>
        <v>0</v>
      </c>
      <c r="CW361" t="b">
        <f t="shared" si="704"/>
        <v>0</v>
      </c>
      <c r="CX361" t="b">
        <f t="shared" si="705"/>
        <v>0</v>
      </c>
      <c r="CY361" t="b">
        <f t="shared" si="706"/>
        <v>0</v>
      </c>
      <c r="CZ361" t="b">
        <f t="shared" si="707"/>
        <v>0</v>
      </c>
      <c r="DA361">
        <f t="shared" si="708"/>
        <v>1</v>
      </c>
      <c r="DB361">
        <f t="shared" si="709"/>
        <v>1</v>
      </c>
      <c r="DC361" t="b">
        <f t="shared" si="710"/>
        <v>0</v>
      </c>
      <c r="DD361" t="b">
        <f t="shared" si="711"/>
        <v>0</v>
      </c>
      <c r="DE361" t="b">
        <f t="shared" si="712"/>
        <v>0</v>
      </c>
      <c r="DF361" t="b">
        <f t="shared" si="713"/>
        <v>0</v>
      </c>
      <c r="DG361" t="b">
        <f t="shared" si="714"/>
        <v>0</v>
      </c>
      <c r="DH361" t="b">
        <f t="shared" si="715"/>
        <v>0</v>
      </c>
      <c r="DI361" t="b">
        <f t="shared" si="716"/>
        <v>0</v>
      </c>
      <c r="DJ361" t="b">
        <f t="shared" si="717"/>
        <v>0</v>
      </c>
      <c r="DK361" t="b">
        <f t="shared" si="718"/>
        <v>0</v>
      </c>
      <c r="DL361" t="b">
        <f t="shared" si="719"/>
        <v>0</v>
      </c>
      <c r="DM361" t="b">
        <f t="shared" si="720"/>
        <v>0</v>
      </c>
      <c r="DN361" t="b">
        <f t="shared" si="721"/>
        <v>0</v>
      </c>
      <c r="DO361" t="b">
        <f t="shared" si="722"/>
        <v>0</v>
      </c>
      <c r="DP361" t="b">
        <f t="shared" si="723"/>
        <v>0</v>
      </c>
      <c r="DQ361" t="b">
        <f t="shared" si="724"/>
        <v>0</v>
      </c>
      <c r="DR361" t="b">
        <f t="shared" si="725"/>
        <v>0</v>
      </c>
      <c r="DS361" t="b">
        <f t="shared" si="726"/>
        <v>0</v>
      </c>
      <c r="DT361" t="b">
        <f t="shared" si="727"/>
        <v>0</v>
      </c>
      <c r="DU361" t="b">
        <f t="shared" si="728"/>
        <v>0</v>
      </c>
      <c r="DV361" t="b">
        <f t="shared" si="729"/>
        <v>0</v>
      </c>
      <c r="DW361" t="b">
        <f t="shared" si="730"/>
        <v>0</v>
      </c>
      <c r="DX361" t="b">
        <f t="shared" si="731"/>
        <v>0</v>
      </c>
      <c r="DY361" t="b">
        <f t="shared" si="732"/>
        <v>0</v>
      </c>
      <c r="DZ361" t="b">
        <f t="shared" si="733"/>
        <v>0</v>
      </c>
      <c r="EA361" t="b">
        <f t="shared" si="734"/>
        <v>0</v>
      </c>
      <c r="EB361" t="b">
        <f t="shared" si="735"/>
        <v>0</v>
      </c>
      <c r="EC361" t="b">
        <f t="shared" si="736"/>
        <v>0</v>
      </c>
      <c r="ED361" t="b">
        <f t="shared" si="737"/>
        <v>0</v>
      </c>
      <c r="EE361" t="b">
        <f t="shared" si="738"/>
        <v>0</v>
      </c>
      <c r="EF361" t="b">
        <f t="shared" si="739"/>
        <v>0</v>
      </c>
      <c r="EG361" t="b">
        <f t="shared" si="740"/>
        <v>0</v>
      </c>
      <c r="EH361" t="b">
        <f t="shared" si="741"/>
        <v>0</v>
      </c>
      <c r="EI361" t="b">
        <f t="shared" si="742"/>
        <v>0</v>
      </c>
      <c r="EJ361" t="b">
        <f t="shared" si="743"/>
        <v>0</v>
      </c>
      <c r="EK361" t="b">
        <f t="shared" si="744"/>
        <v>0</v>
      </c>
    </row>
    <row r="362" spans="1:141">
      <c r="A362" t="s">
        <v>1880</v>
      </c>
      <c r="B362" t="s">
        <v>1880</v>
      </c>
      <c r="C362" t="s">
        <v>1881</v>
      </c>
      <c r="D362" s="1">
        <v>43542</v>
      </c>
      <c r="E362" s="2">
        <v>43659.806388888886</v>
      </c>
      <c r="F362" s="2">
        <v>43659.806388888886</v>
      </c>
      <c r="G362">
        <v>28364826</v>
      </c>
      <c r="H362" t="s">
        <v>1882</v>
      </c>
      <c r="I362" s="10" t="s">
        <v>1883</v>
      </c>
      <c r="J362" t="s">
        <v>1884</v>
      </c>
      <c r="K362" s="8" t="b">
        <v>1</v>
      </c>
      <c r="L362" s="10" t="b">
        <v>0</v>
      </c>
      <c r="M362" s="12" t="b">
        <v>0</v>
      </c>
      <c r="N362" t="b">
        <v>0</v>
      </c>
      <c r="O362" t="b">
        <v>0</v>
      </c>
      <c r="P362" t="b">
        <v>0</v>
      </c>
      <c r="Q362">
        <f t="shared" si="621"/>
        <v>2</v>
      </c>
      <c r="R362">
        <f t="shared" si="622"/>
        <v>3</v>
      </c>
      <c r="S362" t="e">
        <f t="shared" ca="1" si="652"/>
        <v>#NAME?</v>
      </c>
      <c r="T362" t="e">
        <f t="shared" ca="1" si="623"/>
        <v>#NAME?</v>
      </c>
      <c r="U362" s="4">
        <f t="shared" si="624"/>
        <v>117.80638888888643</v>
      </c>
      <c r="V362" s="4">
        <f t="shared" si="625"/>
        <v>3.9268796296295476</v>
      </c>
      <c r="W362" s="4">
        <f t="shared" si="626"/>
        <v>1</v>
      </c>
      <c r="X362" s="4">
        <f t="shared" si="627"/>
        <v>0</v>
      </c>
      <c r="Y362" s="4">
        <f t="shared" si="628"/>
        <v>0</v>
      </c>
      <c r="Z362" s="4">
        <f t="shared" si="629"/>
        <v>0</v>
      </c>
      <c r="AA362" s="4">
        <f t="shared" si="630"/>
        <v>0</v>
      </c>
      <c r="AB362" s="4">
        <f t="shared" si="631"/>
        <v>0</v>
      </c>
      <c r="AC362" s="4"/>
      <c r="AD362" s="4" t="b">
        <f t="shared" si="632"/>
        <v>0</v>
      </c>
      <c r="AE362" s="4" t="b">
        <f t="shared" si="633"/>
        <v>0</v>
      </c>
      <c r="AF362" s="4" t="b">
        <f t="shared" si="634"/>
        <v>0</v>
      </c>
      <c r="AG362" t="b">
        <f t="shared" si="635"/>
        <v>0</v>
      </c>
      <c r="AH362" t="b">
        <f t="shared" si="636"/>
        <v>0</v>
      </c>
      <c r="AI362" t="b">
        <f t="shared" si="637"/>
        <v>0</v>
      </c>
      <c r="AJ362" t="b">
        <f t="shared" si="638"/>
        <v>0</v>
      </c>
      <c r="AK362" t="b">
        <f t="shared" si="639"/>
        <v>0</v>
      </c>
      <c r="AL362" t="b">
        <f t="shared" si="640"/>
        <v>0</v>
      </c>
      <c r="AM362" t="b">
        <f t="shared" si="641"/>
        <v>0</v>
      </c>
      <c r="AN362" t="b">
        <f t="shared" si="642"/>
        <v>0</v>
      </c>
      <c r="AO362" t="b">
        <f t="shared" si="643"/>
        <v>0</v>
      </c>
      <c r="AP362" t="b">
        <f t="shared" si="644"/>
        <v>0</v>
      </c>
      <c r="AQ362" t="b">
        <f t="shared" si="645"/>
        <v>0</v>
      </c>
      <c r="AR362" t="b">
        <f t="shared" si="646"/>
        <v>0</v>
      </c>
      <c r="AS362" t="b">
        <f t="shared" si="647"/>
        <v>0</v>
      </c>
      <c r="AT362" t="b">
        <f t="shared" si="648"/>
        <v>0</v>
      </c>
      <c r="AU362" t="b">
        <f t="shared" si="649"/>
        <v>0</v>
      </c>
      <c r="AV362" t="b">
        <f t="shared" si="650"/>
        <v>0</v>
      </c>
      <c r="AW362" t="b">
        <f t="shared" si="651"/>
        <v>0</v>
      </c>
      <c r="AX362" t="b">
        <f t="shared" si="653"/>
        <v>0</v>
      </c>
      <c r="AY362" t="b">
        <f t="shared" si="654"/>
        <v>0</v>
      </c>
      <c r="AZ362">
        <f t="shared" si="655"/>
        <v>1</v>
      </c>
      <c r="BA362" t="b">
        <f t="shared" si="656"/>
        <v>0</v>
      </c>
      <c r="BB362" t="b">
        <f t="shared" si="657"/>
        <v>0</v>
      </c>
      <c r="BC362" t="b">
        <f t="shared" si="658"/>
        <v>0</v>
      </c>
      <c r="BD362" t="b">
        <f t="shared" si="659"/>
        <v>0</v>
      </c>
      <c r="BE362" t="b">
        <f t="shared" si="660"/>
        <v>0</v>
      </c>
      <c r="BF362" t="b">
        <f t="shared" si="661"/>
        <v>0</v>
      </c>
      <c r="BG362" t="b">
        <f t="shared" si="662"/>
        <v>0</v>
      </c>
      <c r="BH362" t="b">
        <f t="shared" si="663"/>
        <v>0</v>
      </c>
      <c r="BI362">
        <f t="shared" si="664"/>
        <v>1</v>
      </c>
      <c r="BJ362" t="b">
        <f t="shared" si="665"/>
        <v>0</v>
      </c>
      <c r="BK362" t="b">
        <f t="shared" si="666"/>
        <v>0</v>
      </c>
      <c r="BL362" t="b">
        <f t="shared" si="667"/>
        <v>0</v>
      </c>
      <c r="BM362" t="b">
        <f t="shared" si="668"/>
        <v>0</v>
      </c>
      <c r="BN362" t="b">
        <f t="shared" si="669"/>
        <v>0</v>
      </c>
      <c r="BO362" t="b">
        <f t="shared" si="670"/>
        <v>0</v>
      </c>
      <c r="BP362" t="b">
        <f t="shared" si="671"/>
        <v>0</v>
      </c>
      <c r="BQ362" t="b">
        <f t="shared" si="672"/>
        <v>0</v>
      </c>
      <c r="BR362" t="b">
        <f t="shared" si="673"/>
        <v>0</v>
      </c>
      <c r="BS362" t="b">
        <f t="shared" si="674"/>
        <v>0</v>
      </c>
      <c r="BT362" t="b">
        <f t="shared" si="675"/>
        <v>0</v>
      </c>
      <c r="BU362" t="b">
        <f t="shared" si="676"/>
        <v>0</v>
      </c>
      <c r="BV362" t="b">
        <f t="shared" si="677"/>
        <v>0</v>
      </c>
      <c r="BW362" t="b">
        <f t="shared" si="678"/>
        <v>0</v>
      </c>
      <c r="BX362" t="b">
        <f t="shared" si="679"/>
        <v>0</v>
      </c>
      <c r="BY362" t="b">
        <f t="shared" si="680"/>
        <v>0</v>
      </c>
      <c r="BZ362" t="b">
        <f t="shared" si="681"/>
        <v>0</v>
      </c>
      <c r="CA362" t="b">
        <f t="shared" si="682"/>
        <v>0</v>
      </c>
      <c r="CB362" t="b">
        <f t="shared" si="683"/>
        <v>0</v>
      </c>
      <c r="CC362" t="b">
        <f t="shared" si="684"/>
        <v>0</v>
      </c>
      <c r="CD362" t="b">
        <f t="shared" si="685"/>
        <v>0</v>
      </c>
      <c r="CE362" t="b">
        <f t="shared" si="686"/>
        <v>0</v>
      </c>
      <c r="CF362" t="b">
        <f t="shared" si="687"/>
        <v>0</v>
      </c>
      <c r="CG362" t="b">
        <f t="shared" si="688"/>
        <v>0</v>
      </c>
      <c r="CH362" t="b">
        <f t="shared" si="689"/>
        <v>0</v>
      </c>
      <c r="CI362" t="b">
        <f t="shared" si="690"/>
        <v>0</v>
      </c>
      <c r="CJ362" t="b">
        <f t="shared" si="691"/>
        <v>0</v>
      </c>
      <c r="CK362" t="b">
        <f t="shared" si="692"/>
        <v>0</v>
      </c>
      <c r="CL362" t="b">
        <f t="shared" si="693"/>
        <v>0</v>
      </c>
      <c r="CM362">
        <f t="shared" si="694"/>
        <v>1</v>
      </c>
      <c r="CN362" t="b">
        <f t="shared" si="695"/>
        <v>0</v>
      </c>
      <c r="CO362" t="b">
        <f t="shared" si="696"/>
        <v>0</v>
      </c>
      <c r="CP362" t="b">
        <f t="shared" si="697"/>
        <v>0</v>
      </c>
      <c r="CQ362" t="b">
        <f t="shared" si="698"/>
        <v>0</v>
      </c>
      <c r="CR362" t="b">
        <f t="shared" si="699"/>
        <v>0</v>
      </c>
      <c r="CS362" t="b">
        <f t="shared" si="700"/>
        <v>0</v>
      </c>
      <c r="CT362" t="b">
        <f t="shared" si="701"/>
        <v>0</v>
      </c>
      <c r="CU362" t="b">
        <f t="shared" si="702"/>
        <v>0</v>
      </c>
      <c r="CV362" t="b">
        <f t="shared" si="703"/>
        <v>0</v>
      </c>
      <c r="CW362" t="b">
        <f t="shared" si="704"/>
        <v>0</v>
      </c>
      <c r="CX362" t="b">
        <f t="shared" si="705"/>
        <v>0</v>
      </c>
      <c r="CY362" t="b">
        <f t="shared" si="706"/>
        <v>0</v>
      </c>
      <c r="CZ362" t="b">
        <f t="shared" si="707"/>
        <v>0</v>
      </c>
      <c r="DA362" t="b">
        <f t="shared" si="708"/>
        <v>0</v>
      </c>
      <c r="DB362" t="b">
        <f t="shared" si="709"/>
        <v>0</v>
      </c>
      <c r="DC362" t="b">
        <f t="shared" si="710"/>
        <v>0</v>
      </c>
      <c r="DD362" t="b">
        <f t="shared" si="711"/>
        <v>0</v>
      </c>
      <c r="DE362" t="b">
        <f t="shared" si="712"/>
        <v>0</v>
      </c>
      <c r="DF362" t="b">
        <f t="shared" si="713"/>
        <v>0</v>
      </c>
      <c r="DG362" t="b">
        <f t="shared" si="714"/>
        <v>0</v>
      </c>
      <c r="DH362" t="b">
        <f t="shared" si="715"/>
        <v>0</v>
      </c>
      <c r="DI362" t="b">
        <f t="shared" si="716"/>
        <v>0</v>
      </c>
      <c r="DJ362" t="b">
        <f t="shared" si="717"/>
        <v>0</v>
      </c>
      <c r="DK362" t="b">
        <f t="shared" si="718"/>
        <v>0</v>
      </c>
      <c r="DL362" t="b">
        <f t="shared" si="719"/>
        <v>0</v>
      </c>
      <c r="DM362" t="b">
        <f t="shared" si="720"/>
        <v>0</v>
      </c>
      <c r="DN362" t="b">
        <f t="shared" si="721"/>
        <v>0</v>
      </c>
      <c r="DO362" t="b">
        <f t="shared" si="722"/>
        <v>0</v>
      </c>
      <c r="DP362" t="b">
        <f t="shared" si="723"/>
        <v>0</v>
      </c>
      <c r="DQ362" t="b">
        <f t="shared" si="724"/>
        <v>0</v>
      </c>
      <c r="DR362" t="b">
        <f t="shared" si="725"/>
        <v>0</v>
      </c>
      <c r="DS362" t="b">
        <f t="shared" si="726"/>
        <v>0</v>
      </c>
      <c r="DT362" t="b">
        <f t="shared" si="727"/>
        <v>0</v>
      </c>
      <c r="DU362" t="b">
        <f t="shared" si="728"/>
        <v>0</v>
      </c>
      <c r="DV362" t="b">
        <f t="shared" si="729"/>
        <v>0</v>
      </c>
      <c r="DW362" t="b">
        <f t="shared" si="730"/>
        <v>0</v>
      </c>
      <c r="DX362" t="b">
        <f t="shared" si="731"/>
        <v>0</v>
      </c>
      <c r="DY362" t="b">
        <f t="shared" si="732"/>
        <v>0</v>
      </c>
      <c r="DZ362" t="b">
        <f t="shared" si="733"/>
        <v>0</v>
      </c>
      <c r="EA362" t="b">
        <f t="shared" si="734"/>
        <v>0</v>
      </c>
      <c r="EB362" t="b">
        <f t="shared" si="735"/>
        <v>0</v>
      </c>
      <c r="EC362" t="b">
        <f t="shared" si="736"/>
        <v>0</v>
      </c>
      <c r="ED362" t="b">
        <f t="shared" si="737"/>
        <v>0</v>
      </c>
      <c r="EE362" t="b">
        <f t="shared" si="738"/>
        <v>0</v>
      </c>
      <c r="EF362" t="b">
        <f t="shared" si="739"/>
        <v>0</v>
      </c>
      <c r="EG362" t="b">
        <f t="shared" si="740"/>
        <v>0</v>
      </c>
      <c r="EH362" t="b">
        <f t="shared" si="741"/>
        <v>0</v>
      </c>
      <c r="EI362" t="b">
        <f t="shared" si="742"/>
        <v>0</v>
      </c>
      <c r="EJ362" t="b">
        <f t="shared" si="743"/>
        <v>0</v>
      </c>
      <c r="EK362" t="b">
        <f t="shared" si="744"/>
        <v>0</v>
      </c>
    </row>
    <row r="363" spans="1:141">
      <c r="A363" t="s">
        <v>1885</v>
      </c>
      <c r="B363" t="s">
        <v>1886</v>
      </c>
      <c r="C363" t="s">
        <v>1887</v>
      </c>
      <c r="D363" s="1">
        <v>42148</v>
      </c>
      <c r="E363" s="2">
        <v>42185.388692129629</v>
      </c>
      <c r="F363" s="2">
        <v>42185.388692129629</v>
      </c>
      <c r="G363">
        <v>16034</v>
      </c>
      <c r="H363" t="s">
        <v>1888</v>
      </c>
      <c r="I363" s="10" t="s">
        <v>1889</v>
      </c>
      <c r="J363" t="s">
        <v>188</v>
      </c>
      <c r="K363" s="8" t="b">
        <v>1</v>
      </c>
      <c r="L363" s="10" t="b">
        <v>0</v>
      </c>
      <c r="M363" s="12" t="b">
        <v>0</v>
      </c>
      <c r="N363" t="b">
        <v>0</v>
      </c>
      <c r="O363" t="b">
        <v>0</v>
      </c>
      <c r="P363" t="b">
        <v>0</v>
      </c>
      <c r="Q363">
        <f t="shared" si="621"/>
        <v>1</v>
      </c>
      <c r="R363">
        <f t="shared" si="622"/>
        <v>5</v>
      </c>
      <c r="S363" t="e">
        <f t="shared" ca="1" si="652"/>
        <v>#NAME?</v>
      </c>
      <c r="T363" t="e">
        <f t="shared" ca="1" si="623"/>
        <v>#NAME?</v>
      </c>
      <c r="U363" s="4">
        <f t="shared" si="624"/>
        <v>37.388692129628907</v>
      </c>
      <c r="V363" s="4">
        <f t="shared" si="625"/>
        <v>1.246289737654297</v>
      </c>
      <c r="W363" s="4">
        <f t="shared" si="626"/>
        <v>1</v>
      </c>
      <c r="X363" s="4">
        <f t="shared" si="627"/>
        <v>0</v>
      </c>
      <c r="Y363" s="4">
        <f t="shared" si="628"/>
        <v>0</v>
      </c>
      <c r="Z363" s="4">
        <f t="shared" si="629"/>
        <v>0</v>
      </c>
      <c r="AA363" s="4">
        <f t="shared" si="630"/>
        <v>0</v>
      </c>
      <c r="AB363" s="4">
        <f t="shared" si="631"/>
        <v>0</v>
      </c>
      <c r="AC363" s="4"/>
      <c r="AD363" s="4" t="b">
        <f t="shared" si="632"/>
        <v>0</v>
      </c>
      <c r="AE363" s="4" t="b">
        <f t="shared" si="633"/>
        <v>0</v>
      </c>
      <c r="AF363" s="4" t="b">
        <f t="shared" si="634"/>
        <v>0</v>
      </c>
      <c r="AG363" t="b">
        <f t="shared" si="635"/>
        <v>0</v>
      </c>
      <c r="AH363" t="b">
        <f t="shared" si="636"/>
        <v>0</v>
      </c>
      <c r="AI363" t="b">
        <f t="shared" si="637"/>
        <v>0</v>
      </c>
      <c r="AJ363" t="b">
        <f t="shared" si="638"/>
        <v>0</v>
      </c>
      <c r="AK363" t="b">
        <f t="shared" si="639"/>
        <v>0</v>
      </c>
      <c r="AL363" t="b">
        <f t="shared" si="640"/>
        <v>0</v>
      </c>
      <c r="AM363" t="b">
        <f t="shared" si="641"/>
        <v>0</v>
      </c>
      <c r="AN363" t="b">
        <f t="shared" si="642"/>
        <v>0</v>
      </c>
      <c r="AO363" t="b">
        <f t="shared" si="643"/>
        <v>0</v>
      </c>
      <c r="AP363" t="b">
        <f t="shared" si="644"/>
        <v>0</v>
      </c>
      <c r="AQ363" t="b">
        <f t="shared" si="645"/>
        <v>0</v>
      </c>
      <c r="AR363" t="b">
        <f t="shared" si="646"/>
        <v>0</v>
      </c>
      <c r="AS363" t="b">
        <f t="shared" si="647"/>
        <v>0</v>
      </c>
      <c r="AT363" t="b">
        <f t="shared" si="648"/>
        <v>0</v>
      </c>
      <c r="AU363" t="b">
        <f t="shared" si="649"/>
        <v>0</v>
      </c>
      <c r="AV363" t="b">
        <f t="shared" si="650"/>
        <v>0</v>
      </c>
      <c r="AW363" t="b">
        <f t="shared" si="651"/>
        <v>0</v>
      </c>
      <c r="AX363" t="b">
        <f t="shared" si="653"/>
        <v>0</v>
      </c>
      <c r="AY363" t="b">
        <f t="shared" si="654"/>
        <v>0</v>
      </c>
      <c r="AZ363" t="b">
        <f t="shared" si="655"/>
        <v>0</v>
      </c>
      <c r="BA363" t="b">
        <f t="shared" si="656"/>
        <v>0</v>
      </c>
      <c r="BB363" t="b">
        <f t="shared" si="657"/>
        <v>0</v>
      </c>
      <c r="BC363" t="b">
        <f t="shared" si="658"/>
        <v>0</v>
      </c>
      <c r="BD363" t="b">
        <f t="shared" si="659"/>
        <v>0</v>
      </c>
      <c r="BE363" t="b">
        <f t="shared" si="660"/>
        <v>0</v>
      </c>
      <c r="BF363" t="b">
        <f t="shared" si="661"/>
        <v>0</v>
      </c>
      <c r="BG363" t="b">
        <f t="shared" si="662"/>
        <v>0</v>
      </c>
      <c r="BH363" t="b">
        <f t="shared" si="663"/>
        <v>0</v>
      </c>
      <c r="BI363">
        <f t="shared" si="664"/>
        <v>1</v>
      </c>
      <c r="BJ363" t="b">
        <f t="shared" si="665"/>
        <v>0</v>
      </c>
      <c r="BK363" t="b">
        <f t="shared" si="666"/>
        <v>0</v>
      </c>
      <c r="BL363" t="b">
        <f t="shared" si="667"/>
        <v>0</v>
      </c>
      <c r="BM363" t="b">
        <f t="shared" si="668"/>
        <v>0</v>
      </c>
      <c r="BN363" t="b">
        <f t="shared" si="669"/>
        <v>0</v>
      </c>
      <c r="BO363" t="b">
        <f t="shared" si="670"/>
        <v>0</v>
      </c>
      <c r="BP363" t="b">
        <f t="shared" si="671"/>
        <v>0</v>
      </c>
      <c r="BQ363" t="b">
        <f t="shared" si="672"/>
        <v>0</v>
      </c>
      <c r="BR363" t="b">
        <f t="shared" si="673"/>
        <v>0</v>
      </c>
      <c r="BS363" t="b">
        <f t="shared" si="674"/>
        <v>0</v>
      </c>
      <c r="BT363" t="b">
        <f t="shared" si="675"/>
        <v>0</v>
      </c>
      <c r="BU363" t="b">
        <f t="shared" si="676"/>
        <v>0</v>
      </c>
      <c r="BV363" t="b">
        <f t="shared" si="677"/>
        <v>0</v>
      </c>
      <c r="BW363" t="b">
        <f t="shared" si="678"/>
        <v>0</v>
      </c>
      <c r="BX363" t="b">
        <f t="shared" si="679"/>
        <v>0</v>
      </c>
      <c r="BY363" t="b">
        <f t="shared" si="680"/>
        <v>0</v>
      </c>
      <c r="BZ363" t="b">
        <f t="shared" si="681"/>
        <v>0</v>
      </c>
      <c r="CA363" t="b">
        <f t="shared" si="682"/>
        <v>0</v>
      </c>
      <c r="CB363" t="b">
        <f t="shared" si="683"/>
        <v>0</v>
      </c>
      <c r="CC363" t="b">
        <f t="shared" si="684"/>
        <v>0</v>
      </c>
      <c r="CD363" t="b">
        <f t="shared" si="685"/>
        <v>0</v>
      </c>
      <c r="CE363">
        <f t="shared" si="686"/>
        <v>1</v>
      </c>
      <c r="CF363" t="b">
        <f t="shared" si="687"/>
        <v>0</v>
      </c>
      <c r="CG363" t="b">
        <f t="shared" si="688"/>
        <v>0</v>
      </c>
      <c r="CH363" t="b">
        <f t="shared" si="689"/>
        <v>0</v>
      </c>
      <c r="CI363" t="b">
        <f t="shared" si="690"/>
        <v>0</v>
      </c>
      <c r="CJ363" t="b">
        <f t="shared" si="691"/>
        <v>0</v>
      </c>
      <c r="CK363" t="b">
        <f t="shared" si="692"/>
        <v>0</v>
      </c>
      <c r="CL363" t="b">
        <f t="shared" si="693"/>
        <v>0</v>
      </c>
      <c r="CM363" t="b">
        <f t="shared" si="694"/>
        <v>0</v>
      </c>
      <c r="CN363" t="b">
        <f t="shared" si="695"/>
        <v>0</v>
      </c>
      <c r="CO363" t="b">
        <f t="shared" si="696"/>
        <v>0</v>
      </c>
      <c r="CP363" t="b">
        <f t="shared" si="697"/>
        <v>0</v>
      </c>
      <c r="CQ363" t="b">
        <f t="shared" si="698"/>
        <v>0</v>
      </c>
      <c r="CR363" t="b">
        <f t="shared" si="699"/>
        <v>0</v>
      </c>
      <c r="CS363" t="b">
        <f t="shared" si="700"/>
        <v>0</v>
      </c>
      <c r="CT363" t="b">
        <f t="shared" si="701"/>
        <v>0</v>
      </c>
      <c r="CU363" t="b">
        <f t="shared" si="702"/>
        <v>0</v>
      </c>
      <c r="CV363">
        <f t="shared" si="703"/>
        <v>1</v>
      </c>
      <c r="CW363" t="b">
        <f t="shared" si="704"/>
        <v>0</v>
      </c>
      <c r="CX363" t="b">
        <f t="shared" si="705"/>
        <v>0</v>
      </c>
      <c r="CY363" t="b">
        <f t="shared" si="706"/>
        <v>0</v>
      </c>
      <c r="CZ363" t="b">
        <f t="shared" si="707"/>
        <v>0</v>
      </c>
      <c r="DA363" t="b">
        <f t="shared" si="708"/>
        <v>0</v>
      </c>
      <c r="DB363" t="b">
        <f t="shared" si="709"/>
        <v>0</v>
      </c>
      <c r="DC363" t="b">
        <f t="shared" si="710"/>
        <v>0</v>
      </c>
      <c r="DD363" t="b">
        <f t="shared" si="711"/>
        <v>0</v>
      </c>
      <c r="DE363" t="b">
        <f t="shared" si="712"/>
        <v>0</v>
      </c>
      <c r="DF363" t="b">
        <f t="shared" si="713"/>
        <v>0</v>
      </c>
      <c r="DG363" t="b">
        <f t="shared" si="714"/>
        <v>0</v>
      </c>
      <c r="DH363" t="b">
        <f t="shared" si="715"/>
        <v>0</v>
      </c>
      <c r="DI363" t="b">
        <f t="shared" si="716"/>
        <v>0</v>
      </c>
      <c r="DJ363" t="b">
        <f t="shared" si="717"/>
        <v>0</v>
      </c>
      <c r="DK363" t="b">
        <f t="shared" si="718"/>
        <v>0</v>
      </c>
      <c r="DL363" t="b">
        <f t="shared" si="719"/>
        <v>0</v>
      </c>
      <c r="DM363" t="b">
        <f t="shared" si="720"/>
        <v>0</v>
      </c>
      <c r="DN363" t="b">
        <f t="shared" si="721"/>
        <v>0</v>
      </c>
      <c r="DO363" t="b">
        <f t="shared" si="722"/>
        <v>0</v>
      </c>
      <c r="DP363" t="b">
        <f t="shared" si="723"/>
        <v>0</v>
      </c>
      <c r="DQ363" t="b">
        <f t="shared" si="724"/>
        <v>0</v>
      </c>
      <c r="DR363" t="b">
        <f t="shared" si="725"/>
        <v>0</v>
      </c>
      <c r="DS363" t="b">
        <f t="shared" si="726"/>
        <v>0</v>
      </c>
      <c r="DT363" t="b">
        <f t="shared" si="727"/>
        <v>0</v>
      </c>
      <c r="DU363" t="b">
        <f t="shared" si="728"/>
        <v>0</v>
      </c>
      <c r="DV363" t="b">
        <f t="shared" si="729"/>
        <v>0</v>
      </c>
      <c r="DW363" t="b">
        <f t="shared" si="730"/>
        <v>0</v>
      </c>
      <c r="DX363" t="b">
        <f t="shared" si="731"/>
        <v>0</v>
      </c>
      <c r="DY363" t="b">
        <f t="shared" si="732"/>
        <v>0</v>
      </c>
      <c r="DZ363" t="b">
        <f t="shared" si="733"/>
        <v>0</v>
      </c>
      <c r="EA363" t="b">
        <f t="shared" si="734"/>
        <v>0</v>
      </c>
      <c r="EB363" t="b">
        <f t="shared" si="735"/>
        <v>0</v>
      </c>
      <c r="EC363" t="b">
        <f t="shared" si="736"/>
        <v>0</v>
      </c>
      <c r="ED363" t="b">
        <f t="shared" si="737"/>
        <v>0</v>
      </c>
      <c r="EE363" t="b">
        <f t="shared" si="738"/>
        <v>0</v>
      </c>
      <c r="EF363">
        <f t="shared" si="739"/>
        <v>1</v>
      </c>
      <c r="EG363" t="b">
        <f t="shared" si="740"/>
        <v>0</v>
      </c>
      <c r="EH363" t="b">
        <f t="shared" si="741"/>
        <v>0</v>
      </c>
      <c r="EI363" t="b">
        <f t="shared" si="742"/>
        <v>0</v>
      </c>
      <c r="EJ363" t="b">
        <f t="shared" si="743"/>
        <v>0</v>
      </c>
      <c r="EK363" t="b">
        <f t="shared" si="744"/>
        <v>0</v>
      </c>
    </row>
    <row r="364" spans="1:141">
      <c r="A364" t="s">
        <v>1890</v>
      </c>
      <c r="B364" t="s">
        <v>1891</v>
      </c>
      <c r="C364" t="s">
        <v>1892</v>
      </c>
      <c r="D364" s="1">
        <v>42384</v>
      </c>
      <c r="E364" s="2">
        <v>42611.046967592592</v>
      </c>
      <c r="F364" s="2">
        <v>42611.046967592592</v>
      </c>
      <c r="G364">
        <v>71081</v>
      </c>
      <c r="H364" t="s">
        <v>1893</v>
      </c>
      <c r="I364" s="10" t="s">
        <v>1894</v>
      </c>
      <c r="J364" t="s">
        <v>188</v>
      </c>
      <c r="K364" s="8" t="b">
        <v>1</v>
      </c>
      <c r="L364" s="10" t="b">
        <v>0</v>
      </c>
      <c r="M364" s="12" t="b">
        <v>0</v>
      </c>
      <c r="N364" t="b">
        <v>0</v>
      </c>
      <c r="O364" t="b">
        <v>0</v>
      </c>
      <c r="P364" t="b">
        <v>0</v>
      </c>
      <c r="Q364">
        <f t="shared" si="621"/>
        <v>6</v>
      </c>
      <c r="R364">
        <f t="shared" si="622"/>
        <v>1</v>
      </c>
      <c r="S364" t="e">
        <f t="shared" ca="1" si="652"/>
        <v>#NAME?</v>
      </c>
      <c r="T364" t="e">
        <f t="shared" ca="1" si="623"/>
        <v>#NAME?</v>
      </c>
      <c r="U364" s="4">
        <f t="shared" si="624"/>
        <v>227.04696759259241</v>
      </c>
      <c r="V364" s="4">
        <f t="shared" si="625"/>
        <v>7.5682322530864132</v>
      </c>
      <c r="W364" s="4">
        <f t="shared" si="626"/>
        <v>1</v>
      </c>
      <c r="X364" s="4">
        <f t="shared" si="627"/>
        <v>0</v>
      </c>
      <c r="Y364" s="4">
        <f t="shared" si="628"/>
        <v>0</v>
      </c>
      <c r="Z364" s="4">
        <f t="shared" si="629"/>
        <v>0</v>
      </c>
      <c r="AA364" s="4">
        <f t="shared" si="630"/>
        <v>0</v>
      </c>
      <c r="AB364" s="4">
        <f t="shared" si="631"/>
        <v>0</v>
      </c>
      <c r="AC364" s="4"/>
      <c r="AD364" s="4" t="b">
        <f t="shared" si="632"/>
        <v>0</v>
      </c>
      <c r="AE364" s="4" t="b">
        <f t="shared" si="633"/>
        <v>0</v>
      </c>
      <c r="AF364" s="4" t="b">
        <f t="shared" si="634"/>
        <v>0</v>
      </c>
      <c r="AG364" t="b">
        <f t="shared" si="635"/>
        <v>0</v>
      </c>
      <c r="AH364" t="b">
        <f t="shared" si="636"/>
        <v>0</v>
      </c>
      <c r="AI364" t="b">
        <f t="shared" si="637"/>
        <v>0</v>
      </c>
      <c r="AJ364" t="b">
        <f t="shared" si="638"/>
        <v>0</v>
      </c>
      <c r="AK364" t="b">
        <f t="shared" si="639"/>
        <v>0</v>
      </c>
      <c r="AL364" t="b">
        <f t="shared" si="640"/>
        <v>0</v>
      </c>
      <c r="AM364" t="b">
        <f t="shared" si="641"/>
        <v>0</v>
      </c>
      <c r="AN364" t="b">
        <f t="shared" si="642"/>
        <v>0</v>
      </c>
      <c r="AO364" t="b">
        <f t="shared" si="643"/>
        <v>0</v>
      </c>
      <c r="AP364" t="b">
        <f t="shared" si="644"/>
        <v>0</v>
      </c>
      <c r="AQ364" t="b">
        <f t="shared" si="645"/>
        <v>0</v>
      </c>
      <c r="AR364" t="b">
        <f t="shared" si="646"/>
        <v>0</v>
      </c>
      <c r="AS364" t="b">
        <f t="shared" si="647"/>
        <v>0</v>
      </c>
      <c r="AT364" t="b">
        <f t="shared" si="648"/>
        <v>0</v>
      </c>
      <c r="AU364" t="b">
        <f t="shared" si="649"/>
        <v>0</v>
      </c>
      <c r="AV364" t="b">
        <f t="shared" si="650"/>
        <v>0</v>
      </c>
      <c r="AW364" t="b">
        <f t="shared" si="651"/>
        <v>0</v>
      </c>
      <c r="AX364" t="b">
        <f t="shared" si="653"/>
        <v>0</v>
      </c>
      <c r="AY364" t="b">
        <f t="shared" si="654"/>
        <v>0</v>
      </c>
      <c r="AZ364" t="b">
        <f t="shared" si="655"/>
        <v>0</v>
      </c>
      <c r="BA364" t="b">
        <f t="shared" si="656"/>
        <v>0</v>
      </c>
      <c r="BB364" t="b">
        <f t="shared" si="657"/>
        <v>0</v>
      </c>
      <c r="BC364" t="b">
        <f t="shared" si="658"/>
        <v>0</v>
      </c>
      <c r="BD364" t="b">
        <f t="shared" si="659"/>
        <v>0</v>
      </c>
      <c r="BE364" t="b">
        <f t="shared" si="660"/>
        <v>0</v>
      </c>
      <c r="BF364" t="b">
        <f t="shared" si="661"/>
        <v>0</v>
      </c>
      <c r="BG364" t="b">
        <f t="shared" si="662"/>
        <v>0</v>
      </c>
      <c r="BH364" t="b">
        <f t="shared" si="663"/>
        <v>0</v>
      </c>
      <c r="BI364">
        <f t="shared" si="664"/>
        <v>1</v>
      </c>
      <c r="BJ364" t="b">
        <f t="shared" si="665"/>
        <v>0</v>
      </c>
      <c r="BK364" t="b">
        <f t="shared" si="666"/>
        <v>0</v>
      </c>
      <c r="BL364" t="b">
        <f t="shared" si="667"/>
        <v>0</v>
      </c>
      <c r="BM364" t="b">
        <f t="shared" si="668"/>
        <v>0</v>
      </c>
      <c r="BN364" t="b">
        <f t="shared" si="669"/>
        <v>0</v>
      </c>
      <c r="BO364" t="b">
        <f t="shared" si="670"/>
        <v>0</v>
      </c>
      <c r="BP364" t="b">
        <f t="shared" si="671"/>
        <v>0</v>
      </c>
      <c r="BQ364" t="b">
        <f t="shared" si="672"/>
        <v>0</v>
      </c>
      <c r="BR364" t="b">
        <f t="shared" si="673"/>
        <v>0</v>
      </c>
      <c r="BS364" t="b">
        <f t="shared" si="674"/>
        <v>0</v>
      </c>
      <c r="BT364" t="b">
        <f t="shared" si="675"/>
        <v>0</v>
      </c>
      <c r="BU364" t="b">
        <f t="shared" si="676"/>
        <v>0</v>
      </c>
      <c r="BV364" t="b">
        <f t="shared" si="677"/>
        <v>0</v>
      </c>
      <c r="BW364" t="b">
        <f t="shared" si="678"/>
        <v>0</v>
      </c>
      <c r="BX364" t="b">
        <f t="shared" si="679"/>
        <v>0</v>
      </c>
      <c r="BY364" t="b">
        <f t="shared" si="680"/>
        <v>0</v>
      </c>
      <c r="BZ364" t="b">
        <f t="shared" si="681"/>
        <v>0</v>
      </c>
      <c r="CA364" t="b">
        <f t="shared" si="682"/>
        <v>0</v>
      </c>
      <c r="CB364" t="b">
        <f t="shared" si="683"/>
        <v>0</v>
      </c>
      <c r="CC364" t="b">
        <f t="shared" si="684"/>
        <v>0</v>
      </c>
      <c r="CD364" t="b">
        <f t="shared" si="685"/>
        <v>0</v>
      </c>
      <c r="CE364">
        <f t="shared" si="686"/>
        <v>1</v>
      </c>
      <c r="CF364" t="b">
        <f t="shared" si="687"/>
        <v>0</v>
      </c>
      <c r="CG364" t="b">
        <f t="shared" si="688"/>
        <v>0</v>
      </c>
      <c r="CH364" t="b">
        <f t="shared" si="689"/>
        <v>0</v>
      </c>
      <c r="CI364" t="b">
        <f t="shared" si="690"/>
        <v>0</v>
      </c>
      <c r="CJ364" t="b">
        <f t="shared" si="691"/>
        <v>0</v>
      </c>
      <c r="CK364" t="b">
        <f t="shared" si="692"/>
        <v>0</v>
      </c>
      <c r="CL364" t="b">
        <f t="shared" si="693"/>
        <v>0</v>
      </c>
      <c r="CM364" t="b">
        <f t="shared" si="694"/>
        <v>0</v>
      </c>
      <c r="CN364" t="b">
        <f t="shared" si="695"/>
        <v>0</v>
      </c>
      <c r="CO364" t="b">
        <f t="shared" si="696"/>
        <v>0</v>
      </c>
      <c r="CP364" t="b">
        <f t="shared" si="697"/>
        <v>0</v>
      </c>
      <c r="CQ364" t="b">
        <f t="shared" si="698"/>
        <v>0</v>
      </c>
      <c r="CR364" t="b">
        <f t="shared" si="699"/>
        <v>0</v>
      </c>
      <c r="CS364" t="b">
        <f t="shared" si="700"/>
        <v>0</v>
      </c>
      <c r="CT364" t="b">
        <f t="shared" si="701"/>
        <v>0</v>
      </c>
      <c r="CU364" t="b">
        <f t="shared" si="702"/>
        <v>0</v>
      </c>
      <c r="CV364">
        <f t="shared" si="703"/>
        <v>1</v>
      </c>
      <c r="CW364" t="b">
        <f t="shared" si="704"/>
        <v>0</v>
      </c>
      <c r="CX364" t="b">
        <f t="shared" si="705"/>
        <v>0</v>
      </c>
      <c r="CY364" t="b">
        <f t="shared" si="706"/>
        <v>0</v>
      </c>
      <c r="CZ364" t="b">
        <f t="shared" si="707"/>
        <v>0</v>
      </c>
      <c r="DA364" t="b">
        <f t="shared" si="708"/>
        <v>0</v>
      </c>
      <c r="DB364" t="b">
        <f t="shared" si="709"/>
        <v>0</v>
      </c>
      <c r="DC364" t="b">
        <f t="shared" si="710"/>
        <v>0</v>
      </c>
      <c r="DD364" t="b">
        <f t="shared" si="711"/>
        <v>0</v>
      </c>
      <c r="DE364" t="b">
        <f t="shared" si="712"/>
        <v>0</v>
      </c>
      <c r="DF364" t="b">
        <f t="shared" si="713"/>
        <v>0</v>
      </c>
      <c r="DG364" t="b">
        <f t="shared" si="714"/>
        <v>0</v>
      </c>
      <c r="DH364" t="b">
        <f t="shared" si="715"/>
        <v>0</v>
      </c>
      <c r="DI364" t="b">
        <f t="shared" si="716"/>
        <v>0</v>
      </c>
      <c r="DJ364" t="b">
        <f t="shared" si="717"/>
        <v>0</v>
      </c>
      <c r="DK364" t="b">
        <f t="shared" si="718"/>
        <v>0</v>
      </c>
      <c r="DL364" t="b">
        <f t="shared" si="719"/>
        <v>0</v>
      </c>
      <c r="DM364" t="b">
        <f t="shared" si="720"/>
        <v>0</v>
      </c>
      <c r="DN364" t="b">
        <f t="shared" si="721"/>
        <v>0</v>
      </c>
      <c r="DO364" t="b">
        <f t="shared" si="722"/>
        <v>0</v>
      </c>
      <c r="DP364" t="b">
        <f t="shared" si="723"/>
        <v>0</v>
      </c>
      <c r="DQ364" t="b">
        <f t="shared" si="724"/>
        <v>0</v>
      </c>
      <c r="DR364" t="b">
        <f t="shared" si="725"/>
        <v>0</v>
      </c>
      <c r="DS364" t="b">
        <f t="shared" si="726"/>
        <v>0</v>
      </c>
      <c r="DT364" t="b">
        <f t="shared" si="727"/>
        <v>0</v>
      </c>
      <c r="DU364" t="b">
        <f t="shared" si="728"/>
        <v>0</v>
      </c>
      <c r="DV364" t="b">
        <f t="shared" si="729"/>
        <v>0</v>
      </c>
      <c r="DW364" t="b">
        <f t="shared" si="730"/>
        <v>0</v>
      </c>
      <c r="DX364" t="b">
        <f t="shared" si="731"/>
        <v>0</v>
      </c>
      <c r="DY364" t="b">
        <f t="shared" si="732"/>
        <v>0</v>
      </c>
      <c r="DZ364" t="b">
        <f t="shared" si="733"/>
        <v>0</v>
      </c>
      <c r="EA364" t="b">
        <f t="shared" si="734"/>
        <v>0</v>
      </c>
      <c r="EB364" t="b">
        <f t="shared" si="735"/>
        <v>0</v>
      </c>
      <c r="EC364" t="b">
        <f t="shared" si="736"/>
        <v>0</v>
      </c>
      <c r="ED364" t="b">
        <f t="shared" si="737"/>
        <v>0</v>
      </c>
      <c r="EE364" t="b">
        <f t="shared" si="738"/>
        <v>0</v>
      </c>
      <c r="EF364">
        <f t="shared" si="739"/>
        <v>1</v>
      </c>
      <c r="EG364" t="b">
        <f t="shared" si="740"/>
        <v>0</v>
      </c>
      <c r="EH364" t="b">
        <f t="shared" si="741"/>
        <v>0</v>
      </c>
      <c r="EI364" t="b">
        <f t="shared" si="742"/>
        <v>0</v>
      </c>
      <c r="EJ364" t="b">
        <f t="shared" si="743"/>
        <v>0</v>
      </c>
      <c r="EK364" t="b">
        <f t="shared" si="744"/>
        <v>0</v>
      </c>
    </row>
    <row r="365" spans="1:141">
      <c r="A365" t="s">
        <v>1895</v>
      </c>
      <c r="B365" t="s">
        <v>1895</v>
      </c>
      <c r="C365" t="s">
        <v>1896</v>
      </c>
      <c r="D365" s="1">
        <v>42183</v>
      </c>
      <c r="E365" s="2">
        <v>42438.346331018518</v>
      </c>
      <c r="F365" s="2">
        <v>42438.346331018518</v>
      </c>
      <c r="G365">
        <v>188343</v>
      </c>
      <c r="H365" t="s">
        <v>1897</v>
      </c>
      <c r="I365" s="10" t="s">
        <v>1898</v>
      </c>
      <c r="J365" t="s">
        <v>985</v>
      </c>
      <c r="K365" s="8" t="b">
        <v>1</v>
      </c>
      <c r="L365" s="10" t="b">
        <v>0</v>
      </c>
      <c r="M365" s="12" t="b">
        <v>0</v>
      </c>
      <c r="N365" t="b">
        <v>0</v>
      </c>
      <c r="O365" t="b">
        <v>0</v>
      </c>
      <c r="P365" t="b">
        <v>0</v>
      </c>
      <c r="Q365">
        <f t="shared" si="621"/>
        <v>1</v>
      </c>
      <c r="R365">
        <f t="shared" si="622"/>
        <v>6</v>
      </c>
      <c r="S365" t="e">
        <f t="shared" ca="1" si="652"/>
        <v>#NAME?</v>
      </c>
      <c r="T365" t="e">
        <f t="shared" ca="1" si="623"/>
        <v>#NAME?</v>
      </c>
      <c r="U365" s="4">
        <f t="shared" si="624"/>
        <v>255.34633101851796</v>
      </c>
      <c r="V365" s="4">
        <f t="shared" si="625"/>
        <v>8.5115443672839319</v>
      </c>
      <c r="W365" s="4">
        <f t="shared" si="626"/>
        <v>1</v>
      </c>
      <c r="X365" s="4">
        <f t="shared" si="627"/>
        <v>0</v>
      </c>
      <c r="Y365" s="4">
        <f t="shared" si="628"/>
        <v>0</v>
      </c>
      <c r="Z365" s="4">
        <f t="shared" si="629"/>
        <v>0</v>
      </c>
      <c r="AA365" s="4">
        <f t="shared" si="630"/>
        <v>0</v>
      </c>
      <c r="AB365" s="4">
        <f t="shared" si="631"/>
        <v>0</v>
      </c>
      <c r="AC365" s="4"/>
      <c r="AD365" s="4" t="b">
        <f t="shared" si="632"/>
        <v>0</v>
      </c>
      <c r="AE365" s="4" t="b">
        <f t="shared" si="633"/>
        <v>0</v>
      </c>
      <c r="AF365" s="4" t="b">
        <f t="shared" si="634"/>
        <v>0</v>
      </c>
      <c r="AG365" t="b">
        <f t="shared" si="635"/>
        <v>0</v>
      </c>
      <c r="AH365" t="b">
        <f t="shared" si="636"/>
        <v>0</v>
      </c>
      <c r="AI365" t="b">
        <f t="shared" si="637"/>
        <v>0</v>
      </c>
      <c r="AJ365" t="b">
        <f t="shared" si="638"/>
        <v>0</v>
      </c>
      <c r="AK365" t="b">
        <f t="shared" si="639"/>
        <v>0</v>
      </c>
      <c r="AL365" t="b">
        <f t="shared" si="640"/>
        <v>0</v>
      </c>
      <c r="AM365" t="b">
        <f t="shared" si="641"/>
        <v>0</v>
      </c>
      <c r="AN365" t="b">
        <f t="shared" si="642"/>
        <v>0</v>
      </c>
      <c r="AO365" t="b">
        <f t="shared" si="643"/>
        <v>0</v>
      </c>
      <c r="AP365" t="b">
        <f t="shared" si="644"/>
        <v>0</v>
      </c>
      <c r="AQ365" t="b">
        <f t="shared" si="645"/>
        <v>0</v>
      </c>
      <c r="AR365" t="b">
        <f t="shared" si="646"/>
        <v>0</v>
      </c>
      <c r="AS365" t="b">
        <f t="shared" si="647"/>
        <v>0</v>
      </c>
      <c r="AT365" t="b">
        <f t="shared" si="648"/>
        <v>0</v>
      </c>
      <c r="AU365" t="b">
        <f t="shared" si="649"/>
        <v>0</v>
      </c>
      <c r="AV365" t="b">
        <f t="shared" si="650"/>
        <v>0</v>
      </c>
      <c r="AW365" t="b">
        <f t="shared" si="651"/>
        <v>0</v>
      </c>
      <c r="AX365" t="b">
        <f t="shared" si="653"/>
        <v>0</v>
      </c>
      <c r="AY365" t="b">
        <f t="shared" si="654"/>
        <v>0</v>
      </c>
      <c r="AZ365">
        <f t="shared" si="655"/>
        <v>1</v>
      </c>
      <c r="BA365" t="b">
        <f t="shared" si="656"/>
        <v>0</v>
      </c>
      <c r="BB365" t="b">
        <f t="shared" si="657"/>
        <v>0</v>
      </c>
      <c r="BC365" t="b">
        <f t="shared" si="658"/>
        <v>0</v>
      </c>
      <c r="BD365" t="b">
        <f t="shared" si="659"/>
        <v>0</v>
      </c>
      <c r="BE365" t="b">
        <f t="shared" si="660"/>
        <v>0</v>
      </c>
      <c r="BF365" t="b">
        <f t="shared" si="661"/>
        <v>0</v>
      </c>
      <c r="BG365" t="b">
        <f t="shared" si="662"/>
        <v>0</v>
      </c>
      <c r="BH365" t="b">
        <f t="shared" si="663"/>
        <v>0</v>
      </c>
      <c r="BI365">
        <f t="shared" si="664"/>
        <v>1</v>
      </c>
      <c r="BJ365" t="b">
        <f t="shared" si="665"/>
        <v>0</v>
      </c>
      <c r="BK365" t="b">
        <f t="shared" si="666"/>
        <v>0</v>
      </c>
      <c r="BL365" t="b">
        <f t="shared" si="667"/>
        <v>0</v>
      </c>
      <c r="BM365" t="b">
        <f t="shared" si="668"/>
        <v>0</v>
      </c>
      <c r="BN365" t="b">
        <f t="shared" si="669"/>
        <v>0</v>
      </c>
      <c r="BO365" t="b">
        <f t="shared" si="670"/>
        <v>0</v>
      </c>
      <c r="BP365" t="b">
        <f t="shared" si="671"/>
        <v>0</v>
      </c>
      <c r="BQ365" t="b">
        <f t="shared" si="672"/>
        <v>0</v>
      </c>
      <c r="BR365" t="b">
        <f t="shared" si="673"/>
        <v>0</v>
      </c>
      <c r="BS365" t="b">
        <f t="shared" si="674"/>
        <v>0</v>
      </c>
      <c r="BT365" t="b">
        <f t="shared" si="675"/>
        <v>0</v>
      </c>
      <c r="BU365" t="b">
        <f t="shared" si="676"/>
        <v>0</v>
      </c>
      <c r="BV365" t="b">
        <f t="shared" si="677"/>
        <v>0</v>
      </c>
      <c r="BW365" t="b">
        <f t="shared" si="678"/>
        <v>0</v>
      </c>
      <c r="BX365" t="b">
        <f t="shared" si="679"/>
        <v>0</v>
      </c>
      <c r="BY365" t="b">
        <f t="shared" si="680"/>
        <v>0</v>
      </c>
      <c r="BZ365" t="b">
        <f t="shared" si="681"/>
        <v>0</v>
      </c>
      <c r="CA365" t="b">
        <f t="shared" si="682"/>
        <v>0</v>
      </c>
      <c r="CB365" t="b">
        <f t="shared" si="683"/>
        <v>0</v>
      </c>
      <c r="CC365" t="b">
        <f t="shared" si="684"/>
        <v>0</v>
      </c>
      <c r="CD365" t="b">
        <f t="shared" si="685"/>
        <v>0</v>
      </c>
      <c r="CE365">
        <f t="shared" si="686"/>
        <v>1</v>
      </c>
      <c r="CF365" t="b">
        <f t="shared" si="687"/>
        <v>0</v>
      </c>
      <c r="CG365" t="b">
        <f t="shared" si="688"/>
        <v>0</v>
      </c>
      <c r="CH365" t="b">
        <f t="shared" si="689"/>
        <v>0</v>
      </c>
      <c r="CI365" t="b">
        <f t="shared" si="690"/>
        <v>0</v>
      </c>
      <c r="CJ365" t="b">
        <f t="shared" si="691"/>
        <v>0</v>
      </c>
      <c r="CK365" t="b">
        <f t="shared" si="692"/>
        <v>0</v>
      </c>
      <c r="CL365" t="b">
        <f t="shared" si="693"/>
        <v>0</v>
      </c>
      <c r="CM365" t="b">
        <f t="shared" si="694"/>
        <v>0</v>
      </c>
      <c r="CN365" t="b">
        <f t="shared" si="695"/>
        <v>0</v>
      </c>
      <c r="CO365" t="b">
        <f t="shared" si="696"/>
        <v>0</v>
      </c>
      <c r="CP365" t="b">
        <f t="shared" si="697"/>
        <v>0</v>
      </c>
      <c r="CQ365" t="b">
        <f t="shared" si="698"/>
        <v>0</v>
      </c>
      <c r="CR365" t="b">
        <f t="shared" si="699"/>
        <v>0</v>
      </c>
      <c r="CS365" t="b">
        <f t="shared" si="700"/>
        <v>0</v>
      </c>
      <c r="CT365" t="b">
        <f t="shared" si="701"/>
        <v>0</v>
      </c>
      <c r="CU365" t="b">
        <f t="shared" si="702"/>
        <v>0</v>
      </c>
      <c r="CV365">
        <f t="shared" si="703"/>
        <v>1</v>
      </c>
      <c r="CW365" t="b">
        <f t="shared" si="704"/>
        <v>0</v>
      </c>
      <c r="CX365" t="b">
        <f t="shared" si="705"/>
        <v>0</v>
      </c>
      <c r="CY365" t="b">
        <f t="shared" si="706"/>
        <v>0</v>
      </c>
      <c r="CZ365" t="b">
        <f t="shared" si="707"/>
        <v>0</v>
      </c>
      <c r="DA365" t="b">
        <f t="shared" si="708"/>
        <v>0</v>
      </c>
      <c r="DB365" t="b">
        <f t="shared" si="709"/>
        <v>0</v>
      </c>
      <c r="DC365" t="b">
        <f t="shared" si="710"/>
        <v>0</v>
      </c>
      <c r="DD365" t="b">
        <f t="shared" si="711"/>
        <v>0</v>
      </c>
      <c r="DE365" t="b">
        <f t="shared" si="712"/>
        <v>0</v>
      </c>
      <c r="DF365" t="b">
        <f t="shared" si="713"/>
        <v>0</v>
      </c>
      <c r="DG365" t="b">
        <f t="shared" si="714"/>
        <v>0</v>
      </c>
      <c r="DH365" t="b">
        <f t="shared" si="715"/>
        <v>0</v>
      </c>
      <c r="DI365" t="b">
        <f t="shared" si="716"/>
        <v>0</v>
      </c>
      <c r="DJ365" t="b">
        <f t="shared" si="717"/>
        <v>0</v>
      </c>
      <c r="DK365" t="b">
        <f t="shared" si="718"/>
        <v>0</v>
      </c>
      <c r="DL365" t="b">
        <f t="shared" si="719"/>
        <v>0</v>
      </c>
      <c r="DM365" t="b">
        <f t="shared" si="720"/>
        <v>0</v>
      </c>
      <c r="DN365" t="b">
        <f t="shared" si="721"/>
        <v>0</v>
      </c>
      <c r="DO365" t="b">
        <f t="shared" si="722"/>
        <v>0</v>
      </c>
      <c r="DP365" t="b">
        <f t="shared" si="723"/>
        <v>0</v>
      </c>
      <c r="DQ365" t="b">
        <f t="shared" si="724"/>
        <v>0</v>
      </c>
      <c r="DR365" t="b">
        <f t="shared" si="725"/>
        <v>0</v>
      </c>
      <c r="DS365" t="b">
        <f t="shared" si="726"/>
        <v>0</v>
      </c>
      <c r="DT365" t="b">
        <f t="shared" si="727"/>
        <v>0</v>
      </c>
      <c r="DU365" t="b">
        <f t="shared" si="728"/>
        <v>0</v>
      </c>
      <c r="DV365" t="b">
        <f t="shared" si="729"/>
        <v>0</v>
      </c>
      <c r="DW365" t="b">
        <f t="shared" si="730"/>
        <v>0</v>
      </c>
      <c r="DX365" t="b">
        <f t="shared" si="731"/>
        <v>0</v>
      </c>
      <c r="DY365" t="b">
        <f t="shared" si="732"/>
        <v>0</v>
      </c>
      <c r="DZ365" t="b">
        <f t="shared" si="733"/>
        <v>0</v>
      </c>
      <c r="EA365" t="b">
        <f t="shared" si="734"/>
        <v>0</v>
      </c>
      <c r="EB365" t="b">
        <f t="shared" si="735"/>
        <v>0</v>
      </c>
      <c r="EC365" t="b">
        <f t="shared" si="736"/>
        <v>0</v>
      </c>
      <c r="ED365" t="b">
        <f t="shared" si="737"/>
        <v>0</v>
      </c>
      <c r="EE365" t="b">
        <f t="shared" si="738"/>
        <v>0</v>
      </c>
      <c r="EF365">
        <f t="shared" si="739"/>
        <v>1</v>
      </c>
      <c r="EG365" t="b">
        <f t="shared" si="740"/>
        <v>0</v>
      </c>
      <c r="EH365" t="b">
        <f t="shared" si="741"/>
        <v>0</v>
      </c>
      <c r="EI365">
        <f t="shared" si="742"/>
        <v>1</v>
      </c>
      <c r="EJ365" t="b">
        <f t="shared" si="743"/>
        <v>0</v>
      </c>
      <c r="EK365" t="b">
        <f t="shared" si="744"/>
        <v>0</v>
      </c>
    </row>
    <row r="366" spans="1:141">
      <c r="A366" t="s">
        <v>1899</v>
      </c>
      <c r="B366" t="s">
        <v>1899</v>
      </c>
      <c r="C366" t="s">
        <v>1900</v>
      </c>
      <c r="D366" s="1">
        <v>43602</v>
      </c>
      <c r="E366" s="2">
        <v>43725.352442129632</v>
      </c>
      <c r="F366" s="2">
        <v>43786.968263888892</v>
      </c>
      <c r="G366">
        <v>396533</v>
      </c>
      <c r="H366" t="s">
        <v>1901</v>
      </c>
      <c r="I366" s="10" t="s">
        <v>1902</v>
      </c>
      <c r="J366" t="s">
        <v>147</v>
      </c>
      <c r="K366" s="8" t="b">
        <v>1</v>
      </c>
      <c r="L366" s="10" t="b">
        <v>0</v>
      </c>
      <c r="M366" s="12" t="b">
        <v>0</v>
      </c>
      <c r="N366" t="b">
        <v>0</v>
      </c>
      <c r="O366" t="b">
        <v>0</v>
      </c>
      <c r="P366" t="b">
        <v>0</v>
      </c>
      <c r="Q366">
        <f t="shared" si="621"/>
        <v>6</v>
      </c>
      <c r="R366">
        <f t="shared" si="622"/>
        <v>5</v>
      </c>
      <c r="S366" t="e">
        <f t="shared" ca="1" si="652"/>
        <v>#NAME?</v>
      </c>
      <c r="T366" t="e">
        <f t="shared" ca="1" si="623"/>
        <v>#NAME?</v>
      </c>
      <c r="U366" s="4">
        <f t="shared" si="624"/>
        <v>123.35244212963153</v>
      </c>
      <c r="V366" s="4">
        <f t="shared" si="625"/>
        <v>4.1117480709877174</v>
      </c>
      <c r="W366" s="4">
        <f t="shared" si="626"/>
        <v>1</v>
      </c>
      <c r="X366" s="4">
        <f t="shared" si="627"/>
        <v>0</v>
      </c>
      <c r="Y366" s="4">
        <f t="shared" si="628"/>
        <v>0</v>
      </c>
      <c r="Z366" s="4">
        <f t="shared" si="629"/>
        <v>0</v>
      </c>
      <c r="AA366" s="4">
        <f t="shared" si="630"/>
        <v>0</v>
      </c>
      <c r="AB366" s="4">
        <f t="shared" si="631"/>
        <v>0</v>
      </c>
      <c r="AC366" s="4"/>
      <c r="AD366" s="4" t="b">
        <f t="shared" si="632"/>
        <v>0</v>
      </c>
      <c r="AE366" s="4" t="b">
        <f t="shared" si="633"/>
        <v>0</v>
      </c>
      <c r="AF366" s="4" t="b">
        <f t="shared" si="634"/>
        <v>0</v>
      </c>
      <c r="AG366" t="b">
        <f t="shared" si="635"/>
        <v>0</v>
      </c>
      <c r="AH366" t="b">
        <f t="shared" si="636"/>
        <v>0</v>
      </c>
      <c r="AI366" t="b">
        <f t="shared" si="637"/>
        <v>0</v>
      </c>
      <c r="AJ366" t="b">
        <f t="shared" si="638"/>
        <v>0</v>
      </c>
      <c r="AK366" t="b">
        <f t="shared" si="639"/>
        <v>0</v>
      </c>
      <c r="AL366" t="b">
        <f t="shared" si="640"/>
        <v>0</v>
      </c>
      <c r="AM366" t="b">
        <f t="shared" si="641"/>
        <v>0</v>
      </c>
      <c r="AN366" t="b">
        <f t="shared" si="642"/>
        <v>0</v>
      </c>
      <c r="AO366" t="b">
        <f t="shared" si="643"/>
        <v>0</v>
      </c>
      <c r="AP366" t="b">
        <f t="shared" si="644"/>
        <v>0</v>
      </c>
      <c r="AQ366" t="b">
        <f t="shared" si="645"/>
        <v>0</v>
      </c>
      <c r="AR366" t="b">
        <f t="shared" si="646"/>
        <v>0</v>
      </c>
      <c r="AS366" t="b">
        <f t="shared" si="647"/>
        <v>0</v>
      </c>
      <c r="AT366" t="b">
        <f t="shared" si="648"/>
        <v>0</v>
      </c>
      <c r="AU366" t="b">
        <f t="shared" si="649"/>
        <v>0</v>
      </c>
      <c r="AV366" t="b">
        <f t="shared" si="650"/>
        <v>0</v>
      </c>
      <c r="AW366" t="b">
        <f t="shared" si="651"/>
        <v>0</v>
      </c>
      <c r="AX366" t="b">
        <f t="shared" si="653"/>
        <v>0</v>
      </c>
      <c r="AY366" t="b">
        <f t="shared" si="654"/>
        <v>0</v>
      </c>
      <c r="AZ366" t="b">
        <f t="shared" si="655"/>
        <v>0</v>
      </c>
      <c r="BA366" t="b">
        <f t="shared" si="656"/>
        <v>0</v>
      </c>
      <c r="BB366" t="b">
        <f t="shared" si="657"/>
        <v>0</v>
      </c>
      <c r="BC366" t="b">
        <f t="shared" si="658"/>
        <v>0</v>
      </c>
      <c r="BD366" t="b">
        <f t="shared" si="659"/>
        <v>0</v>
      </c>
      <c r="BE366" t="b">
        <f t="shared" si="660"/>
        <v>0</v>
      </c>
      <c r="BF366" t="b">
        <f t="shared" si="661"/>
        <v>0</v>
      </c>
      <c r="BG366" t="b">
        <f t="shared" si="662"/>
        <v>0</v>
      </c>
      <c r="BH366" t="b">
        <f t="shared" si="663"/>
        <v>0</v>
      </c>
      <c r="BI366">
        <f t="shared" si="664"/>
        <v>1</v>
      </c>
      <c r="BJ366" t="b">
        <f t="shared" si="665"/>
        <v>0</v>
      </c>
      <c r="BK366" t="b">
        <f t="shared" si="666"/>
        <v>0</v>
      </c>
      <c r="BL366" t="b">
        <f t="shared" si="667"/>
        <v>0</v>
      </c>
      <c r="BM366" t="b">
        <f t="shared" si="668"/>
        <v>0</v>
      </c>
      <c r="BN366" t="b">
        <f t="shared" si="669"/>
        <v>0</v>
      </c>
      <c r="BO366" t="b">
        <f t="shared" si="670"/>
        <v>0</v>
      </c>
      <c r="BP366" t="b">
        <f t="shared" si="671"/>
        <v>0</v>
      </c>
      <c r="BQ366" t="b">
        <f t="shared" si="672"/>
        <v>0</v>
      </c>
      <c r="BR366" t="b">
        <f t="shared" si="673"/>
        <v>0</v>
      </c>
      <c r="BS366" t="b">
        <f t="shared" si="674"/>
        <v>0</v>
      </c>
      <c r="BT366" t="b">
        <f t="shared" si="675"/>
        <v>0</v>
      </c>
      <c r="BU366" t="b">
        <f t="shared" si="676"/>
        <v>0</v>
      </c>
      <c r="BV366" t="b">
        <f t="shared" si="677"/>
        <v>0</v>
      </c>
      <c r="BW366" t="b">
        <f t="shared" si="678"/>
        <v>0</v>
      </c>
      <c r="BX366" t="b">
        <f t="shared" si="679"/>
        <v>0</v>
      </c>
      <c r="BY366" t="b">
        <f t="shared" si="680"/>
        <v>0</v>
      </c>
      <c r="BZ366" t="b">
        <f t="shared" si="681"/>
        <v>0</v>
      </c>
      <c r="CA366" t="b">
        <f t="shared" si="682"/>
        <v>0</v>
      </c>
      <c r="CB366" t="b">
        <f t="shared" si="683"/>
        <v>0</v>
      </c>
      <c r="CC366" t="b">
        <f t="shared" si="684"/>
        <v>0</v>
      </c>
      <c r="CD366" t="b">
        <f t="shared" si="685"/>
        <v>0</v>
      </c>
      <c r="CE366" t="b">
        <f t="shared" si="686"/>
        <v>0</v>
      </c>
      <c r="CF366" t="b">
        <f t="shared" si="687"/>
        <v>0</v>
      </c>
      <c r="CG366" t="b">
        <f t="shared" si="688"/>
        <v>0</v>
      </c>
      <c r="CH366" t="b">
        <f t="shared" si="689"/>
        <v>0</v>
      </c>
      <c r="CI366" t="b">
        <f t="shared" si="690"/>
        <v>0</v>
      </c>
      <c r="CJ366" t="b">
        <f t="shared" si="691"/>
        <v>0</v>
      </c>
      <c r="CK366" t="b">
        <f t="shared" si="692"/>
        <v>0</v>
      </c>
      <c r="CL366" t="b">
        <f t="shared" si="693"/>
        <v>0</v>
      </c>
      <c r="CM366" t="b">
        <f t="shared" si="694"/>
        <v>0</v>
      </c>
      <c r="CN366" t="b">
        <f t="shared" si="695"/>
        <v>0</v>
      </c>
      <c r="CO366" t="b">
        <f t="shared" si="696"/>
        <v>0</v>
      </c>
      <c r="CP366" t="b">
        <f t="shared" si="697"/>
        <v>0</v>
      </c>
      <c r="CQ366" t="b">
        <f t="shared" si="698"/>
        <v>0</v>
      </c>
      <c r="CR366" t="b">
        <f t="shared" si="699"/>
        <v>0</v>
      </c>
      <c r="CS366" t="b">
        <f t="shared" si="700"/>
        <v>0</v>
      </c>
      <c r="CT366" t="b">
        <f t="shared" si="701"/>
        <v>0</v>
      </c>
      <c r="CU366" t="b">
        <f t="shared" si="702"/>
        <v>0</v>
      </c>
      <c r="CV366">
        <f t="shared" si="703"/>
        <v>1</v>
      </c>
      <c r="CW366" t="b">
        <f t="shared" si="704"/>
        <v>0</v>
      </c>
      <c r="CX366" t="b">
        <f t="shared" si="705"/>
        <v>0</v>
      </c>
      <c r="CY366" t="b">
        <f t="shared" si="706"/>
        <v>0</v>
      </c>
      <c r="CZ366" t="b">
        <f t="shared" si="707"/>
        <v>0</v>
      </c>
      <c r="DA366" t="b">
        <f t="shared" si="708"/>
        <v>0</v>
      </c>
      <c r="DB366" t="b">
        <f t="shared" si="709"/>
        <v>0</v>
      </c>
      <c r="DC366" t="b">
        <f t="shared" si="710"/>
        <v>0</v>
      </c>
      <c r="DD366" t="b">
        <f t="shared" si="711"/>
        <v>0</v>
      </c>
      <c r="DE366" t="b">
        <f t="shared" si="712"/>
        <v>0</v>
      </c>
      <c r="DF366" t="b">
        <f t="shared" si="713"/>
        <v>0</v>
      </c>
      <c r="DG366" t="b">
        <f t="shared" si="714"/>
        <v>0</v>
      </c>
      <c r="DH366" t="b">
        <f t="shared" si="715"/>
        <v>0</v>
      </c>
      <c r="DI366" t="b">
        <f t="shared" si="716"/>
        <v>0</v>
      </c>
      <c r="DJ366" t="b">
        <f t="shared" si="717"/>
        <v>0</v>
      </c>
      <c r="DK366" t="b">
        <f t="shared" si="718"/>
        <v>0</v>
      </c>
      <c r="DL366" t="b">
        <f t="shared" si="719"/>
        <v>0</v>
      </c>
      <c r="DM366" t="b">
        <f t="shared" si="720"/>
        <v>0</v>
      </c>
      <c r="DN366" t="b">
        <f t="shared" si="721"/>
        <v>0</v>
      </c>
      <c r="DO366" t="b">
        <f t="shared" si="722"/>
        <v>0</v>
      </c>
      <c r="DP366" t="b">
        <f t="shared" si="723"/>
        <v>0</v>
      </c>
      <c r="DQ366" t="b">
        <f t="shared" si="724"/>
        <v>0</v>
      </c>
      <c r="DR366" t="b">
        <f t="shared" si="725"/>
        <v>0</v>
      </c>
      <c r="DS366" t="b">
        <f t="shared" si="726"/>
        <v>0</v>
      </c>
      <c r="DT366" t="b">
        <f t="shared" si="727"/>
        <v>0</v>
      </c>
      <c r="DU366" t="b">
        <f t="shared" si="728"/>
        <v>0</v>
      </c>
      <c r="DV366" t="b">
        <f t="shared" si="729"/>
        <v>0</v>
      </c>
      <c r="DW366" t="b">
        <f t="shared" si="730"/>
        <v>0</v>
      </c>
      <c r="DX366" t="b">
        <f t="shared" si="731"/>
        <v>0</v>
      </c>
      <c r="DY366" t="b">
        <f t="shared" si="732"/>
        <v>0</v>
      </c>
      <c r="DZ366" t="b">
        <f t="shared" si="733"/>
        <v>0</v>
      </c>
      <c r="EA366" t="b">
        <f t="shared" si="734"/>
        <v>0</v>
      </c>
      <c r="EB366" t="b">
        <f t="shared" si="735"/>
        <v>0</v>
      </c>
      <c r="EC366" t="b">
        <f t="shared" si="736"/>
        <v>0</v>
      </c>
      <c r="ED366" t="b">
        <f t="shared" si="737"/>
        <v>0</v>
      </c>
      <c r="EE366" t="b">
        <f t="shared" si="738"/>
        <v>0</v>
      </c>
      <c r="EF366" t="b">
        <f t="shared" si="739"/>
        <v>0</v>
      </c>
      <c r="EG366" t="b">
        <f t="shared" si="740"/>
        <v>0</v>
      </c>
      <c r="EH366" t="b">
        <f t="shared" si="741"/>
        <v>0</v>
      </c>
      <c r="EI366" t="b">
        <f t="shared" si="742"/>
        <v>0</v>
      </c>
      <c r="EJ366" t="b">
        <f t="shared" si="743"/>
        <v>0</v>
      </c>
      <c r="EK366" t="b">
        <f t="shared" si="744"/>
        <v>0</v>
      </c>
    </row>
    <row r="367" spans="1:141">
      <c r="A367" t="s">
        <v>1903</v>
      </c>
      <c r="B367" t="s">
        <v>1903</v>
      </c>
      <c r="C367" t="s">
        <v>1904</v>
      </c>
      <c r="D367" s="1">
        <v>43957</v>
      </c>
      <c r="E367" s="2">
        <v>44138.264594907407</v>
      </c>
      <c r="F367" s="2">
        <v>44138.264594907407</v>
      </c>
      <c r="G367">
        <v>4418182</v>
      </c>
      <c r="H367" t="s">
        <v>1905</v>
      </c>
      <c r="I367" s="10" t="s">
        <v>1906</v>
      </c>
      <c r="J367" t="s">
        <v>290</v>
      </c>
      <c r="K367" s="8" t="b">
        <v>1</v>
      </c>
      <c r="L367" s="10" t="b">
        <v>0</v>
      </c>
      <c r="M367" s="12" t="b">
        <v>0</v>
      </c>
      <c r="N367" t="b">
        <v>0</v>
      </c>
      <c r="O367" t="b">
        <v>0</v>
      </c>
      <c r="P367" t="b">
        <v>0</v>
      </c>
      <c r="Q367">
        <f t="shared" si="621"/>
        <v>4</v>
      </c>
      <c r="R367">
        <f t="shared" si="622"/>
        <v>5</v>
      </c>
      <c r="S367" t="e">
        <f t="shared" ca="1" si="652"/>
        <v>#NAME?</v>
      </c>
      <c r="T367" t="e">
        <f t="shared" ca="1" si="623"/>
        <v>#NAME?</v>
      </c>
      <c r="U367" s="4">
        <f t="shared" si="624"/>
        <v>181.26459490740672</v>
      </c>
      <c r="V367" s="4">
        <f t="shared" si="625"/>
        <v>6.0421531635802239</v>
      </c>
      <c r="W367" s="4">
        <f t="shared" si="626"/>
        <v>1</v>
      </c>
      <c r="X367" s="4">
        <f t="shared" si="627"/>
        <v>0</v>
      </c>
      <c r="Y367" s="4">
        <f t="shared" si="628"/>
        <v>0</v>
      </c>
      <c r="Z367" s="4">
        <f t="shared" si="629"/>
        <v>0</v>
      </c>
      <c r="AA367" s="4">
        <f t="shared" si="630"/>
        <v>0</v>
      </c>
      <c r="AB367" s="4">
        <f t="shared" si="631"/>
        <v>0</v>
      </c>
      <c r="AC367" s="4"/>
      <c r="AD367" s="4" t="b">
        <f t="shared" si="632"/>
        <v>0</v>
      </c>
      <c r="AE367" s="4" t="b">
        <f t="shared" si="633"/>
        <v>0</v>
      </c>
      <c r="AF367" s="4" t="b">
        <f t="shared" si="634"/>
        <v>0</v>
      </c>
      <c r="AG367" t="b">
        <f t="shared" si="635"/>
        <v>0</v>
      </c>
      <c r="AH367" t="b">
        <f t="shared" si="636"/>
        <v>0</v>
      </c>
      <c r="AI367" t="b">
        <f t="shared" si="637"/>
        <v>0</v>
      </c>
      <c r="AJ367" t="b">
        <f t="shared" si="638"/>
        <v>0</v>
      </c>
      <c r="AK367" t="b">
        <f t="shared" si="639"/>
        <v>0</v>
      </c>
      <c r="AL367" t="b">
        <f t="shared" si="640"/>
        <v>0</v>
      </c>
      <c r="AM367" t="b">
        <f t="shared" si="641"/>
        <v>0</v>
      </c>
      <c r="AN367" t="b">
        <f t="shared" si="642"/>
        <v>0</v>
      </c>
      <c r="AO367" t="b">
        <f t="shared" si="643"/>
        <v>0</v>
      </c>
      <c r="AP367" t="b">
        <f t="shared" si="644"/>
        <v>0</v>
      </c>
      <c r="AQ367" t="b">
        <f t="shared" si="645"/>
        <v>0</v>
      </c>
      <c r="AR367" t="b">
        <f t="shared" si="646"/>
        <v>0</v>
      </c>
      <c r="AS367" t="b">
        <f t="shared" si="647"/>
        <v>0</v>
      </c>
      <c r="AT367" t="b">
        <f t="shared" si="648"/>
        <v>0</v>
      </c>
      <c r="AU367" t="b">
        <f t="shared" si="649"/>
        <v>0</v>
      </c>
      <c r="AV367" t="b">
        <f t="shared" si="650"/>
        <v>0</v>
      </c>
      <c r="AW367" t="b">
        <f t="shared" si="651"/>
        <v>0</v>
      </c>
      <c r="AX367" t="b">
        <f t="shared" si="653"/>
        <v>0</v>
      </c>
      <c r="AY367" t="b">
        <f t="shared" si="654"/>
        <v>0</v>
      </c>
      <c r="AZ367" t="b">
        <f t="shared" si="655"/>
        <v>0</v>
      </c>
      <c r="BA367" t="b">
        <f t="shared" si="656"/>
        <v>0</v>
      </c>
      <c r="BB367" t="b">
        <f t="shared" si="657"/>
        <v>0</v>
      </c>
      <c r="BC367" t="b">
        <f t="shared" si="658"/>
        <v>0</v>
      </c>
      <c r="BD367" t="b">
        <f t="shared" si="659"/>
        <v>0</v>
      </c>
      <c r="BE367" t="b">
        <f t="shared" si="660"/>
        <v>0</v>
      </c>
      <c r="BF367" t="b">
        <f t="shared" si="661"/>
        <v>0</v>
      </c>
      <c r="BG367" t="b">
        <f t="shared" si="662"/>
        <v>0</v>
      </c>
      <c r="BH367" t="b">
        <f t="shared" si="663"/>
        <v>0</v>
      </c>
      <c r="BI367">
        <f t="shared" si="664"/>
        <v>1</v>
      </c>
      <c r="BJ367" t="b">
        <f t="shared" si="665"/>
        <v>0</v>
      </c>
      <c r="BK367" t="b">
        <f t="shared" si="666"/>
        <v>0</v>
      </c>
      <c r="BL367" t="b">
        <f t="shared" si="667"/>
        <v>0</v>
      </c>
      <c r="BM367" t="b">
        <f t="shared" si="668"/>
        <v>0</v>
      </c>
      <c r="BN367" t="b">
        <f t="shared" si="669"/>
        <v>0</v>
      </c>
      <c r="BO367" t="b">
        <f t="shared" si="670"/>
        <v>0</v>
      </c>
      <c r="BP367" t="b">
        <f t="shared" si="671"/>
        <v>0</v>
      </c>
      <c r="BQ367" t="b">
        <f t="shared" si="672"/>
        <v>0</v>
      </c>
      <c r="BR367" t="b">
        <f t="shared" si="673"/>
        <v>0</v>
      </c>
      <c r="BS367" t="b">
        <f t="shared" si="674"/>
        <v>0</v>
      </c>
      <c r="BT367" t="b">
        <f t="shared" si="675"/>
        <v>0</v>
      </c>
      <c r="BU367" t="b">
        <f t="shared" si="676"/>
        <v>0</v>
      </c>
      <c r="BV367" t="b">
        <f t="shared" si="677"/>
        <v>0</v>
      </c>
      <c r="BW367" t="b">
        <f t="shared" si="678"/>
        <v>0</v>
      </c>
      <c r="BX367" t="b">
        <f t="shared" si="679"/>
        <v>0</v>
      </c>
      <c r="BY367" t="b">
        <f t="shared" si="680"/>
        <v>0</v>
      </c>
      <c r="BZ367" t="b">
        <f t="shared" si="681"/>
        <v>0</v>
      </c>
      <c r="CA367" t="b">
        <f t="shared" si="682"/>
        <v>0</v>
      </c>
      <c r="CB367" t="b">
        <f t="shared" si="683"/>
        <v>0</v>
      </c>
      <c r="CC367" t="b">
        <f t="shared" si="684"/>
        <v>0</v>
      </c>
      <c r="CD367" t="b">
        <f t="shared" si="685"/>
        <v>0</v>
      </c>
      <c r="CE367" t="b">
        <f t="shared" si="686"/>
        <v>0</v>
      </c>
      <c r="CF367" t="b">
        <f t="shared" si="687"/>
        <v>0</v>
      </c>
      <c r="CG367" t="b">
        <f t="shared" si="688"/>
        <v>0</v>
      </c>
      <c r="CH367" t="b">
        <f t="shared" si="689"/>
        <v>0</v>
      </c>
      <c r="CI367" t="b">
        <f t="shared" si="690"/>
        <v>0</v>
      </c>
      <c r="CJ367" t="b">
        <f t="shared" si="691"/>
        <v>0</v>
      </c>
      <c r="CK367" t="b">
        <f t="shared" si="692"/>
        <v>0</v>
      </c>
      <c r="CL367" t="b">
        <f t="shared" si="693"/>
        <v>0</v>
      </c>
      <c r="CM367">
        <f t="shared" si="694"/>
        <v>1</v>
      </c>
      <c r="CN367" t="b">
        <f t="shared" si="695"/>
        <v>0</v>
      </c>
      <c r="CO367" t="b">
        <f t="shared" si="696"/>
        <v>0</v>
      </c>
      <c r="CP367" t="b">
        <f t="shared" si="697"/>
        <v>0</v>
      </c>
      <c r="CQ367" t="b">
        <f t="shared" si="698"/>
        <v>0</v>
      </c>
      <c r="CR367" t="b">
        <f t="shared" si="699"/>
        <v>0</v>
      </c>
      <c r="CS367" t="b">
        <f t="shared" si="700"/>
        <v>0</v>
      </c>
      <c r="CT367" t="b">
        <f t="shared" si="701"/>
        <v>0</v>
      </c>
      <c r="CU367" t="b">
        <f t="shared" si="702"/>
        <v>0</v>
      </c>
      <c r="CV367">
        <f t="shared" si="703"/>
        <v>1</v>
      </c>
      <c r="CW367" t="b">
        <f t="shared" si="704"/>
        <v>0</v>
      </c>
      <c r="CX367" t="b">
        <f t="shared" si="705"/>
        <v>0</v>
      </c>
      <c r="CY367" t="b">
        <f t="shared" si="706"/>
        <v>0</v>
      </c>
      <c r="CZ367" t="b">
        <f t="shared" si="707"/>
        <v>0</v>
      </c>
      <c r="DA367">
        <f t="shared" si="708"/>
        <v>1</v>
      </c>
      <c r="DB367">
        <f t="shared" si="709"/>
        <v>1</v>
      </c>
      <c r="DC367" t="b">
        <f t="shared" si="710"/>
        <v>0</v>
      </c>
      <c r="DD367" t="b">
        <f t="shared" si="711"/>
        <v>0</v>
      </c>
      <c r="DE367" t="b">
        <f t="shared" si="712"/>
        <v>0</v>
      </c>
      <c r="DF367" t="b">
        <f t="shared" si="713"/>
        <v>0</v>
      </c>
      <c r="DG367" t="b">
        <f t="shared" si="714"/>
        <v>0</v>
      </c>
      <c r="DH367" t="b">
        <f t="shared" si="715"/>
        <v>0</v>
      </c>
      <c r="DI367" t="b">
        <f t="shared" si="716"/>
        <v>0</v>
      </c>
      <c r="DJ367" t="b">
        <f t="shared" si="717"/>
        <v>0</v>
      </c>
      <c r="DK367" t="b">
        <f t="shared" si="718"/>
        <v>0</v>
      </c>
      <c r="DL367" t="b">
        <f t="shared" si="719"/>
        <v>0</v>
      </c>
      <c r="DM367" t="b">
        <f t="shared" si="720"/>
        <v>0</v>
      </c>
      <c r="DN367" t="b">
        <f t="shared" si="721"/>
        <v>0</v>
      </c>
      <c r="DO367" t="b">
        <f t="shared" si="722"/>
        <v>0</v>
      </c>
      <c r="DP367" t="b">
        <f t="shared" si="723"/>
        <v>0</v>
      </c>
      <c r="DQ367" t="b">
        <f t="shared" si="724"/>
        <v>0</v>
      </c>
      <c r="DR367" t="b">
        <f t="shared" si="725"/>
        <v>0</v>
      </c>
      <c r="DS367" t="b">
        <f t="shared" si="726"/>
        <v>0</v>
      </c>
      <c r="DT367" t="b">
        <f t="shared" si="727"/>
        <v>0</v>
      </c>
      <c r="DU367" t="b">
        <f t="shared" si="728"/>
        <v>0</v>
      </c>
      <c r="DV367" t="b">
        <f t="shared" si="729"/>
        <v>0</v>
      </c>
      <c r="DW367" t="b">
        <f t="shared" si="730"/>
        <v>0</v>
      </c>
      <c r="DX367" t="b">
        <f t="shared" si="731"/>
        <v>0</v>
      </c>
      <c r="DY367" t="b">
        <f t="shared" si="732"/>
        <v>0</v>
      </c>
      <c r="DZ367" t="b">
        <f t="shared" si="733"/>
        <v>0</v>
      </c>
      <c r="EA367" t="b">
        <f t="shared" si="734"/>
        <v>0</v>
      </c>
      <c r="EB367" t="b">
        <f t="shared" si="735"/>
        <v>0</v>
      </c>
      <c r="EC367" t="b">
        <f t="shared" si="736"/>
        <v>0</v>
      </c>
      <c r="ED367" t="b">
        <f t="shared" si="737"/>
        <v>0</v>
      </c>
      <c r="EE367" t="b">
        <f t="shared" si="738"/>
        <v>0</v>
      </c>
      <c r="EF367" t="b">
        <f t="shared" si="739"/>
        <v>0</v>
      </c>
      <c r="EG367" t="b">
        <f t="shared" si="740"/>
        <v>0</v>
      </c>
      <c r="EH367" t="b">
        <f t="shared" si="741"/>
        <v>0</v>
      </c>
      <c r="EI367" t="b">
        <f t="shared" si="742"/>
        <v>0</v>
      </c>
      <c r="EJ367" t="b">
        <f t="shared" si="743"/>
        <v>0</v>
      </c>
      <c r="EK367" t="b">
        <f t="shared" si="744"/>
        <v>0</v>
      </c>
    </row>
    <row r="368" spans="1:141">
      <c r="A368" t="s">
        <v>1907</v>
      </c>
      <c r="B368" t="s">
        <v>1908</v>
      </c>
      <c r="C368" t="s">
        <v>1909</v>
      </c>
      <c r="D368" s="1">
        <v>44185</v>
      </c>
      <c r="E368" s="2">
        <v>44415.990648148145</v>
      </c>
      <c r="F368" s="2">
        <v>44415.990648148145</v>
      </c>
      <c r="G368">
        <v>2660295</v>
      </c>
      <c r="H368" t="s">
        <v>1910</v>
      </c>
      <c r="I368" s="10" t="s">
        <v>1911</v>
      </c>
      <c r="J368" t="s">
        <v>1912</v>
      </c>
      <c r="K368" s="8" t="b">
        <v>1</v>
      </c>
      <c r="L368" s="10" t="b">
        <v>0</v>
      </c>
      <c r="M368" s="12" t="b">
        <v>0</v>
      </c>
      <c r="N368" t="b">
        <v>0</v>
      </c>
      <c r="O368" t="b">
        <v>0</v>
      </c>
      <c r="P368" t="b">
        <v>0</v>
      </c>
      <c r="Q368">
        <f t="shared" si="621"/>
        <v>1</v>
      </c>
      <c r="R368">
        <f t="shared" si="622"/>
        <v>12</v>
      </c>
      <c r="S368" t="e">
        <f t="shared" ca="1" si="652"/>
        <v>#NAME?</v>
      </c>
      <c r="T368" t="e">
        <f t="shared" ca="1" si="623"/>
        <v>#NAME?</v>
      </c>
      <c r="U368" s="4">
        <f t="shared" si="624"/>
        <v>230.99064814814483</v>
      </c>
      <c r="V368" s="4">
        <f t="shared" si="625"/>
        <v>7.6996882716048276</v>
      </c>
      <c r="W368" s="4">
        <f t="shared" si="626"/>
        <v>1</v>
      </c>
      <c r="X368" s="4">
        <f t="shared" si="627"/>
        <v>0</v>
      </c>
      <c r="Y368" s="4">
        <f t="shared" si="628"/>
        <v>0</v>
      </c>
      <c r="Z368" s="4">
        <f t="shared" si="629"/>
        <v>0</v>
      </c>
      <c r="AA368" s="4">
        <f t="shared" si="630"/>
        <v>0</v>
      </c>
      <c r="AB368" s="4">
        <f t="shared" si="631"/>
        <v>0</v>
      </c>
      <c r="AC368" s="4"/>
      <c r="AD368" s="4" t="b">
        <f t="shared" si="632"/>
        <v>0</v>
      </c>
      <c r="AE368" s="4" t="b">
        <f t="shared" si="633"/>
        <v>0</v>
      </c>
      <c r="AF368" s="4" t="b">
        <f t="shared" si="634"/>
        <v>0</v>
      </c>
      <c r="AG368" t="b">
        <f t="shared" si="635"/>
        <v>0</v>
      </c>
      <c r="AH368" t="b">
        <f t="shared" si="636"/>
        <v>0</v>
      </c>
      <c r="AI368" t="b">
        <f t="shared" si="637"/>
        <v>0</v>
      </c>
      <c r="AJ368" t="b">
        <f t="shared" si="638"/>
        <v>0</v>
      </c>
      <c r="AK368" t="b">
        <f t="shared" si="639"/>
        <v>0</v>
      </c>
      <c r="AL368" t="b">
        <f t="shared" si="640"/>
        <v>0</v>
      </c>
      <c r="AM368" t="b">
        <f t="shared" si="641"/>
        <v>0</v>
      </c>
      <c r="AN368" t="b">
        <f t="shared" si="642"/>
        <v>0</v>
      </c>
      <c r="AO368" t="b">
        <f t="shared" si="643"/>
        <v>0</v>
      </c>
      <c r="AP368" t="b">
        <f t="shared" si="644"/>
        <v>0</v>
      </c>
      <c r="AQ368" t="b">
        <f t="shared" si="645"/>
        <v>0</v>
      </c>
      <c r="AR368" t="b">
        <f t="shared" si="646"/>
        <v>0</v>
      </c>
      <c r="AS368" t="b">
        <f t="shared" si="647"/>
        <v>0</v>
      </c>
      <c r="AT368" t="b">
        <f t="shared" si="648"/>
        <v>0</v>
      </c>
      <c r="AU368" t="b">
        <f t="shared" si="649"/>
        <v>0</v>
      </c>
      <c r="AV368" t="b">
        <f t="shared" si="650"/>
        <v>0</v>
      </c>
      <c r="AW368" t="b">
        <f t="shared" si="651"/>
        <v>0</v>
      </c>
      <c r="AX368" t="b">
        <f t="shared" si="653"/>
        <v>0</v>
      </c>
      <c r="AY368" t="b">
        <f t="shared" si="654"/>
        <v>0</v>
      </c>
      <c r="AZ368">
        <f t="shared" si="655"/>
        <v>1</v>
      </c>
      <c r="BA368" t="b">
        <f t="shared" si="656"/>
        <v>0</v>
      </c>
      <c r="BB368" t="b">
        <f t="shared" si="657"/>
        <v>0</v>
      </c>
      <c r="BC368" t="b">
        <f t="shared" si="658"/>
        <v>0</v>
      </c>
      <c r="BD368" t="b">
        <f t="shared" si="659"/>
        <v>0</v>
      </c>
      <c r="BE368" t="b">
        <f t="shared" si="660"/>
        <v>0</v>
      </c>
      <c r="BF368" t="b">
        <f t="shared" si="661"/>
        <v>0</v>
      </c>
      <c r="BG368" t="b">
        <f t="shared" si="662"/>
        <v>0</v>
      </c>
      <c r="BH368" t="b">
        <f t="shared" si="663"/>
        <v>0</v>
      </c>
      <c r="BI368">
        <f t="shared" si="664"/>
        <v>1</v>
      </c>
      <c r="BJ368" t="b">
        <f t="shared" si="665"/>
        <v>0</v>
      </c>
      <c r="BK368" t="b">
        <f t="shared" si="666"/>
        <v>0</v>
      </c>
      <c r="BL368" t="b">
        <f t="shared" si="667"/>
        <v>0</v>
      </c>
      <c r="BM368" t="b">
        <f t="shared" si="668"/>
        <v>0</v>
      </c>
      <c r="BN368" t="b">
        <f t="shared" si="669"/>
        <v>0</v>
      </c>
      <c r="BO368" t="b">
        <f t="shared" si="670"/>
        <v>0</v>
      </c>
      <c r="BP368" t="b">
        <f t="shared" si="671"/>
        <v>0</v>
      </c>
      <c r="BQ368" t="b">
        <f t="shared" si="672"/>
        <v>0</v>
      </c>
      <c r="BR368">
        <f t="shared" si="673"/>
        <v>1</v>
      </c>
      <c r="BS368" t="b">
        <f t="shared" si="674"/>
        <v>0</v>
      </c>
      <c r="BT368" t="b">
        <f t="shared" si="675"/>
        <v>0</v>
      </c>
      <c r="BU368" t="b">
        <f t="shared" si="676"/>
        <v>0</v>
      </c>
      <c r="BV368" t="b">
        <f t="shared" si="677"/>
        <v>0</v>
      </c>
      <c r="BW368" t="b">
        <f t="shared" si="678"/>
        <v>0</v>
      </c>
      <c r="BX368" t="b">
        <f t="shared" si="679"/>
        <v>0</v>
      </c>
      <c r="BY368" t="b">
        <f t="shared" si="680"/>
        <v>0</v>
      </c>
      <c r="BZ368" t="b">
        <f t="shared" si="681"/>
        <v>0</v>
      </c>
      <c r="CA368" t="b">
        <f t="shared" si="682"/>
        <v>0</v>
      </c>
      <c r="CB368" t="b">
        <f t="shared" si="683"/>
        <v>0</v>
      </c>
      <c r="CC368" t="b">
        <f t="shared" si="684"/>
        <v>0</v>
      </c>
      <c r="CD368" t="b">
        <f t="shared" si="685"/>
        <v>0</v>
      </c>
      <c r="CE368" t="b">
        <f t="shared" si="686"/>
        <v>0</v>
      </c>
      <c r="CF368" t="b">
        <f t="shared" si="687"/>
        <v>0</v>
      </c>
      <c r="CG368" t="b">
        <f t="shared" si="688"/>
        <v>0</v>
      </c>
      <c r="CH368" t="b">
        <f t="shared" si="689"/>
        <v>0</v>
      </c>
      <c r="CI368" t="b">
        <f t="shared" si="690"/>
        <v>0</v>
      </c>
      <c r="CJ368" t="b">
        <f t="shared" si="691"/>
        <v>0</v>
      </c>
      <c r="CK368">
        <f t="shared" si="692"/>
        <v>1</v>
      </c>
      <c r="CL368" t="b">
        <f t="shared" si="693"/>
        <v>0</v>
      </c>
      <c r="CM368">
        <f t="shared" si="694"/>
        <v>1</v>
      </c>
      <c r="CN368" t="b">
        <f t="shared" si="695"/>
        <v>0</v>
      </c>
      <c r="CO368" t="b">
        <f t="shared" si="696"/>
        <v>0</v>
      </c>
      <c r="CP368" t="b">
        <f t="shared" si="697"/>
        <v>0</v>
      </c>
      <c r="CQ368" t="b">
        <f t="shared" si="698"/>
        <v>0</v>
      </c>
      <c r="CR368" t="b">
        <f t="shared" si="699"/>
        <v>0</v>
      </c>
      <c r="CS368" t="b">
        <f t="shared" si="700"/>
        <v>0</v>
      </c>
      <c r="CT368" t="b">
        <f t="shared" si="701"/>
        <v>0</v>
      </c>
      <c r="CU368" t="b">
        <f t="shared" si="702"/>
        <v>0</v>
      </c>
      <c r="CV368">
        <f t="shared" si="703"/>
        <v>1</v>
      </c>
      <c r="CW368" t="b">
        <f t="shared" si="704"/>
        <v>0</v>
      </c>
      <c r="CX368" t="b">
        <f t="shared" si="705"/>
        <v>0</v>
      </c>
      <c r="CY368" t="b">
        <f t="shared" si="706"/>
        <v>0</v>
      </c>
      <c r="CZ368" t="b">
        <f t="shared" si="707"/>
        <v>0</v>
      </c>
      <c r="DA368">
        <f t="shared" si="708"/>
        <v>1</v>
      </c>
      <c r="DB368">
        <f t="shared" si="709"/>
        <v>1</v>
      </c>
      <c r="DC368" t="b">
        <f t="shared" si="710"/>
        <v>0</v>
      </c>
      <c r="DD368" t="b">
        <f t="shared" si="711"/>
        <v>0</v>
      </c>
      <c r="DE368" t="b">
        <f t="shared" si="712"/>
        <v>0</v>
      </c>
      <c r="DF368" t="b">
        <f t="shared" si="713"/>
        <v>0</v>
      </c>
      <c r="DG368" t="b">
        <f t="shared" si="714"/>
        <v>0</v>
      </c>
      <c r="DH368" t="b">
        <f t="shared" si="715"/>
        <v>0</v>
      </c>
      <c r="DI368" t="b">
        <f t="shared" si="716"/>
        <v>0</v>
      </c>
      <c r="DJ368" t="b">
        <f t="shared" si="717"/>
        <v>0</v>
      </c>
      <c r="DK368" t="b">
        <f t="shared" si="718"/>
        <v>0</v>
      </c>
      <c r="DL368" t="b">
        <f t="shared" si="719"/>
        <v>0</v>
      </c>
      <c r="DM368" t="b">
        <f t="shared" si="720"/>
        <v>0</v>
      </c>
      <c r="DN368" t="b">
        <f t="shared" si="721"/>
        <v>0</v>
      </c>
      <c r="DO368" t="b">
        <f t="shared" si="722"/>
        <v>0</v>
      </c>
      <c r="DP368" t="b">
        <f t="shared" si="723"/>
        <v>0</v>
      </c>
      <c r="DQ368" t="b">
        <f t="shared" si="724"/>
        <v>0</v>
      </c>
      <c r="DR368" t="b">
        <f t="shared" si="725"/>
        <v>0</v>
      </c>
      <c r="DS368" t="b">
        <f t="shared" si="726"/>
        <v>0</v>
      </c>
      <c r="DT368" t="b">
        <f t="shared" si="727"/>
        <v>0</v>
      </c>
      <c r="DU368" t="b">
        <f t="shared" si="728"/>
        <v>0</v>
      </c>
      <c r="DV368" t="b">
        <f t="shared" si="729"/>
        <v>0</v>
      </c>
      <c r="DW368" t="b">
        <f t="shared" si="730"/>
        <v>0</v>
      </c>
      <c r="DX368" t="b">
        <f t="shared" si="731"/>
        <v>0</v>
      </c>
      <c r="DY368" t="b">
        <f t="shared" si="732"/>
        <v>0</v>
      </c>
      <c r="DZ368" t="b">
        <f t="shared" si="733"/>
        <v>0</v>
      </c>
      <c r="EA368" t="b">
        <f t="shared" si="734"/>
        <v>0</v>
      </c>
      <c r="EB368" t="b">
        <f t="shared" si="735"/>
        <v>0</v>
      </c>
      <c r="EC368" t="b">
        <f t="shared" si="736"/>
        <v>0</v>
      </c>
      <c r="ED368" t="b">
        <f t="shared" si="737"/>
        <v>0</v>
      </c>
      <c r="EE368" t="b">
        <f t="shared" si="738"/>
        <v>0</v>
      </c>
      <c r="EF368" t="b">
        <f t="shared" si="739"/>
        <v>0</v>
      </c>
      <c r="EG368" t="b">
        <f t="shared" si="740"/>
        <v>0</v>
      </c>
      <c r="EH368" t="b">
        <f t="shared" si="741"/>
        <v>0</v>
      </c>
      <c r="EI368" t="b">
        <f t="shared" si="742"/>
        <v>0</v>
      </c>
      <c r="EJ368" t="b">
        <f t="shared" si="743"/>
        <v>0</v>
      </c>
      <c r="EK368" t="b">
        <f t="shared" si="744"/>
        <v>0</v>
      </c>
    </row>
    <row r="369" spans="1:141">
      <c r="A369" t="s">
        <v>1913</v>
      </c>
      <c r="B369" t="s">
        <v>1913</v>
      </c>
      <c r="C369" t="s">
        <v>1914</v>
      </c>
      <c r="D369" s="1">
        <v>43836</v>
      </c>
      <c r="E369" s="2">
        <v>44339.136712962965</v>
      </c>
      <c r="F369" s="2">
        <v>44339.136712962965</v>
      </c>
      <c r="G369">
        <v>3512952</v>
      </c>
      <c r="H369" t="s">
        <v>1915</v>
      </c>
      <c r="I369" s="10" t="s">
        <v>1916</v>
      </c>
      <c r="J369" t="s">
        <v>1917</v>
      </c>
      <c r="K369" s="8" t="b">
        <v>1</v>
      </c>
      <c r="L369" s="10" t="b">
        <v>0</v>
      </c>
      <c r="M369" s="12" t="b">
        <v>1</v>
      </c>
      <c r="N369" t="b">
        <v>0</v>
      </c>
      <c r="O369" t="b">
        <v>0</v>
      </c>
      <c r="P369" t="b">
        <v>0</v>
      </c>
      <c r="Q369">
        <f t="shared" si="621"/>
        <v>2</v>
      </c>
      <c r="R369">
        <f t="shared" si="622"/>
        <v>1</v>
      </c>
      <c r="S369" t="e">
        <f t="shared" ca="1" si="652"/>
        <v>#NAME?</v>
      </c>
      <c r="T369" t="e">
        <f t="shared" ca="1" si="623"/>
        <v>#NAME?</v>
      </c>
      <c r="U369" s="4">
        <f t="shared" si="624"/>
        <v>503.13671296296525</v>
      </c>
      <c r="V369" s="4">
        <f t="shared" si="625"/>
        <v>16.771223765432175</v>
      </c>
      <c r="W369" s="4">
        <f t="shared" si="626"/>
        <v>1</v>
      </c>
      <c r="X369" s="4">
        <f t="shared" si="627"/>
        <v>0</v>
      </c>
      <c r="Y369" s="4">
        <f t="shared" si="628"/>
        <v>1</v>
      </c>
      <c r="Z369" s="4">
        <f t="shared" si="629"/>
        <v>0</v>
      </c>
      <c r="AA369" s="4">
        <f t="shared" si="630"/>
        <v>0</v>
      </c>
      <c r="AB369" s="4">
        <f t="shared" si="631"/>
        <v>0</v>
      </c>
      <c r="AC369" s="4"/>
      <c r="AD369" s="4" t="b">
        <f t="shared" si="632"/>
        <v>0</v>
      </c>
      <c r="AE369" s="4" t="b">
        <f t="shared" si="633"/>
        <v>0</v>
      </c>
      <c r="AF369" s="4" t="b">
        <f t="shared" si="634"/>
        <v>0</v>
      </c>
      <c r="AG369" t="b">
        <f t="shared" si="635"/>
        <v>0</v>
      </c>
      <c r="AH369" t="b">
        <f t="shared" si="636"/>
        <v>0</v>
      </c>
      <c r="AI369" t="b">
        <f t="shared" si="637"/>
        <v>0</v>
      </c>
      <c r="AJ369" t="b">
        <f t="shared" si="638"/>
        <v>0</v>
      </c>
      <c r="AK369" t="b">
        <f t="shared" si="639"/>
        <v>0</v>
      </c>
      <c r="AL369" t="b">
        <f t="shared" si="640"/>
        <v>0</v>
      </c>
      <c r="AM369" t="b">
        <f t="shared" si="641"/>
        <v>0</v>
      </c>
      <c r="AN369" t="b">
        <f t="shared" si="642"/>
        <v>0</v>
      </c>
      <c r="AO369" t="b">
        <f t="shared" si="643"/>
        <v>0</v>
      </c>
      <c r="AP369" t="b">
        <f t="shared" si="644"/>
        <v>0</v>
      </c>
      <c r="AQ369" t="b">
        <f t="shared" si="645"/>
        <v>0</v>
      </c>
      <c r="AR369" t="b">
        <f t="shared" si="646"/>
        <v>0</v>
      </c>
      <c r="AS369" t="b">
        <f t="shared" si="647"/>
        <v>0</v>
      </c>
      <c r="AT369" t="b">
        <f t="shared" si="648"/>
        <v>0</v>
      </c>
      <c r="AU369" t="b">
        <f t="shared" si="649"/>
        <v>0</v>
      </c>
      <c r="AV369" t="b">
        <f t="shared" si="650"/>
        <v>0</v>
      </c>
      <c r="AW369" t="b">
        <f t="shared" si="651"/>
        <v>0</v>
      </c>
      <c r="AX369" t="b">
        <f t="shared" si="653"/>
        <v>0</v>
      </c>
      <c r="AY369" t="b">
        <f t="shared" si="654"/>
        <v>0</v>
      </c>
      <c r="AZ369">
        <f t="shared" si="655"/>
        <v>1</v>
      </c>
      <c r="BA369" t="b">
        <f t="shared" si="656"/>
        <v>0</v>
      </c>
      <c r="BB369" t="b">
        <f t="shared" si="657"/>
        <v>0</v>
      </c>
      <c r="BC369" t="b">
        <f t="shared" si="658"/>
        <v>0</v>
      </c>
      <c r="BD369" t="b">
        <f t="shared" si="659"/>
        <v>0</v>
      </c>
      <c r="BE369" t="b">
        <f t="shared" si="660"/>
        <v>0</v>
      </c>
      <c r="BF369" t="b">
        <f t="shared" si="661"/>
        <v>0</v>
      </c>
      <c r="BG369" t="b">
        <f t="shared" si="662"/>
        <v>0</v>
      </c>
      <c r="BH369" t="b">
        <f t="shared" si="663"/>
        <v>0</v>
      </c>
      <c r="BI369">
        <f t="shared" si="664"/>
        <v>1</v>
      </c>
      <c r="BJ369" t="b">
        <f t="shared" si="665"/>
        <v>0</v>
      </c>
      <c r="BK369" t="b">
        <f t="shared" si="666"/>
        <v>0</v>
      </c>
      <c r="BL369" t="b">
        <f t="shared" si="667"/>
        <v>0</v>
      </c>
      <c r="BM369" t="b">
        <f t="shared" si="668"/>
        <v>0</v>
      </c>
      <c r="BN369" t="b">
        <f t="shared" si="669"/>
        <v>0</v>
      </c>
      <c r="BO369" t="b">
        <f t="shared" si="670"/>
        <v>0</v>
      </c>
      <c r="BP369" t="b">
        <f t="shared" si="671"/>
        <v>0</v>
      </c>
      <c r="BQ369" t="b">
        <f t="shared" si="672"/>
        <v>0</v>
      </c>
      <c r="BR369">
        <f t="shared" si="673"/>
        <v>1</v>
      </c>
      <c r="BS369" t="b">
        <f t="shared" si="674"/>
        <v>0</v>
      </c>
      <c r="BT369" t="b">
        <f t="shared" si="675"/>
        <v>0</v>
      </c>
      <c r="BU369" t="b">
        <f t="shared" si="676"/>
        <v>0</v>
      </c>
      <c r="BV369" t="b">
        <f t="shared" si="677"/>
        <v>0</v>
      </c>
      <c r="BW369" t="b">
        <f t="shared" si="678"/>
        <v>0</v>
      </c>
      <c r="BX369" t="b">
        <f t="shared" si="679"/>
        <v>0</v>
      </c>
      <c r="BY369" t="b">
        <f t="shared" si="680"/>
        <v>0</v>
      </c>
      <c r="BZ369" t="b">
        <f t="shared" si="681"/>
        <v>0</v>
      </c>
      <c r="CA369" t="b">
        <f t="shared" si="682"/>
        <v>0</v>
      </c>
      <c r="CB369" t="b">
        <f t="shared" si="683"/>
        <v>0</v>
      </c>
      <c r="CC369" t="b">
        <f t="shared" si="684"/>
        <v>0</v>
      </c>
      <c r="CD369" t="b">
        <f t="shared" si="685"/>
        <v>0</v>
      </c>
      <c r="CE369" t="b">
        <f t="shared" si="686"/>
        <v>0</v>
      </c>
      <c r="CF369" t="b">
        <f t="shared" si="687"/>
        <v>0</v>
      </c>
      <c r="CG369" t="b">
        <f t="shared" si="688"/>
        <v>0</v>
      </c>
      <c r="CH369" t="b">
        <f t="shared" si="689"/>
        <v>0</v>
      </c>
      <c r="CI369" t="b">
        <f t="shared" si="690"/>
        <v>0</v>
      </c>
      <c r="CJ369" t="b">
        <f t="shared" si="691"/>
        <v>0</v>
      </c>
      <c r="CK369" t="b">
        <f t="shared" si="692"/>
        <v>0</v>
      </c>
      <c r="CL369" t="b">
        <f t="shared" si="693"/>
        <v>0</v>
      </c>
      <c r="CM369" t="b">
        <f t="shared" si="694"/>
        <v>0</v>
      </c>
      <c r="CN369" t="b">
        <f t="shared" si="695"/>
        <v>0</v>
      </c>
      <c r="CO369" t="b">
        <f t="shared" si="696"/>
        <v>0</v>
      </c>
      <c r="CP369" t="b">
        <f t="shared" si="697"/>
        <v>0</v>
      </c>
      <c r="CQ369" t="b">
        <f t="shared" si="698"/>
        <v>0</v>
      </c>
      <c r="CR369" t="b">
        <f t="shared" si="699"/>
        <v>0</v>
      </c>
      <c r="CS369" t="b">
        <f t="shared" si="700"/>
        <v>0</v>
      </c>
      <c r="CT369" t="b">
        <f t="shared" si="701"/>
        <v>0</v>
      </c>
      <c r="CU369" t="b">
        <f t="shared" si="702"/>
        <v>0</v>
      </c>
      <c r="CV369">
        <f t="shared" si="703"/>
        <v>1</v>
      </c>
      <c r="CW369" t="b">
        <f t="shared" si="704"/>
        <v>0</v>
      </c>
      <c r="CX369" t="b">
        <f t="shared" si="705"/>
        <v>0</v>
      </c>
      <c r="CY369" t="b">
        <f t="shared" si="706"/>
        <v>0</v>
      </c>
      <c r="CZ369" t="b">
        <f t="shared" si="707"/>
        <v>0</v>
      </c>
      <c r="DA369" t="b">
        <f t="shared" si="708"/>
        <v>0</v>
      </c>
      <c r="DB369" t="b">
        <f t="shared" si="709"/>
        <v>0</v>
      </c>
      <c r="DC369" t="b">
        <f t="shared" si="710"/>
        <v>0</v>
      </c>
      <c r="DD369" t="b">
        <f t="shared" si="711"/>
        <v>0</v>
      </c>
      <c r="DE369" t="b">
        <f t="shared" si="712"/>
        <v>0</v>
      </c>
      <c r="DF369" t="b">
        <f t="shared" si="713"/>
        <v>0</v>
      </c>
      <c r="DG369" t="b">
        <f t="shared" si="714"/>
        <v>0</v>
      </c>
      <c r="DH369" t="b">
        <f t="shared" si="715"/>
        <v>0</v>
      </c>
      <c r="DI369" t="b">
        <f t="shared" si="716"/>
        <v>0</v>
      </c>
      <c r="DJ369" t="b">
        <f t="shared" si="717"/>
        <v>0</v>
      </c>
      <c r="DK369" t="b">
        <f t="shared" si="718"/>
        <v>0</v>
      </c>
      <c r="DL369" t="b">
        <f t="shared" si="719"/>
        <v>0</v>
      </c>
      <c r="DM369" t="b">
        <f t="shared" si="720"/>
        <v>0</v>
      </c>
      <c r="DN369" t="b">
        <f t="shared" si="721"/>
        <v>0</v>
      </c>
      <c r="DO369" t="b">
        <f t="shared" si="722"/>
        <v>0</v>
      </c>
      <c r="DP369" t="b">
        <f t="shared" si="723"/>
        <v>0</v>
      </c>
      <c r="DQ369" t="b">
        <f t="shared" si="724"/>
        <v>0</v>
      </c>
      <c r="DR369" t="b">
        <f t="shared" si="725"/>
        <v>0</v>
      </c>
      <c r="DS369" t="b">
        <f t="shared" si="726"/>
        <v>0</v>
      </c>
      <c r="DT369" t="b">
        <f t="shared" si="727"/>
        <v>0</v>
      </c>
      <c r="DU369" t="b">
        <f t="shared" si="728"/>
        <v>0</v>
      </c>
      <c r="DV369" t="b">
        <f t="shared" si="729"/>
        <v>0</v>
      </c>
      <c r="DW369" t="b">
        <f t="shared" si="730"/>
        <v>0</v>
      </c>
      <c r="DX369" t="b">
        <f t="shared" si="731"/>
        <v>0</v>
      </c>
      <c r="DY369" t="b">
        <f t="shared" si="732"/>
        <v>0</v>
      </c>
      <c r="DZ369" t="b">
        <f t="shared" si="733"/>
        <v>0</v>
      </c>
      <c r="EA369" t="b">
        <f t="shared" si="734"/>
        <v>0</v>
      </c>
      <c r="EB369" t="b">
        <f t="shared" si="735"/>
        <v>0</v>
      </c>
      <c r="EC369" t="b">
        <f t="shared" si="736"/>
        <v>0</v>
      </c>
      <c r="ED369" t="b">
        <f t="shared" si="737"/>
        <v>0</v>
      </c>
      <c r="EE369" t="b">
        <f t="shared" si="738"/>
        <v>0</v>
      </c>
      <c r="EF369">
        <f t="shared" si="739"/>
        <v>1</v>
      </c>
      <c r="EG369" t="b">
        <f t="shared" si="740"/>
        <v>0</v>
      </c>
      <c r="EH369" t="b">
        <f t="shared" si="741"/>
        <v>0</v>
      </c>
      <c r="EI369" t="b">
        <f t="shared" si="742"/>
        <v>0</v>
      </c>
      <c r="EJ369" t="b">
        <f t="shared" si="743"/>
        <v>0</v>
      </c>
      <c r="EK369" t="b">
        <f t="shared" si="744"/>
        <v>0</v>
      </c>
    </row>
    <row r="370" spans="1:141">
      <c r="A370" t="s">
        <v>1918</v>
      </c>
      <c r="B370" t="s">
        <v>1918</v>
      </c>
      <c r="C370" t="s">
        <v>1919</v>
      </c>
      <c r="D370" s="1">
        <v>42370</v>
      </c>
      <c r="E370" s="2">
        <v>42633.314467592594</v>
      </c>
      <c r="F370" s="2">
        <v>42633.314467592594</v>
      </c>
      <c r="G370">
        <v>879703</v>
      </c>
      <c r="H370" t="s">
        <v>1920</v>
      </c>
      <c r="I370" s="10" t="s">
        <v>1921</v>
      </c>
      <c r="J370" t="s">
        <v>188</v>
      </c>
      <c r="K370" s="8" t="b">
        <v>1</v>
      </c>
      <c r="L370" s="10" t="b">
        <v>0</v>
      </c>
      <c r="M370" s="12" t="b">
        <v>0</v>
      </c>
      <c r="N370" t="b">
        <v>0</v>
      </c>
      <c r="O370" t="b">
        <v>0</v>
      </c>
      <c r="P370" t="b">
        <v>0</v>
      </c>
      <c r="Q370">
        <f t="shared" si="621"/>
        <v>6</v>
      </c>
      <c r="R370">
        <f t="shared" si="622"/>
        <v>1</v>
      </c>
      <c r="S370" t="e">
        <f t="shared" ca="1" si="652"/>
        <v>#NAME?</v>
      </c>
      <c r="T370" t="e">
        <f t="shared" ca="1" si="623"/>
        <v>#NAME?</v>
      </c>
      <c r="U370" s="4">
        <f t="shared" si="624"/>
        <v>263.31446759259416</v>
      </c>
      <c r="V370" s="4">
        <f t="shared" si="625"/>
        <v>8.777148919753138</v>
      </c>
      <c r="W370" s="4">
        <f t="shared" si="626"/>
        <v>1</v>
      </c>
      <c r="X370" s="4">
        <f t="shared" si="627"/>
        <v>0</v>
      </c>
      <c r="Y370" s="4">
        <f t="shared" si="628"/>
        <v>0</v>
      </c>
      <c r="Z370" s="4">
        <f t="shared" si="629"/>
        <v>0</v>
      </c>
      <c r="AA370" s="4">
        <f t="shared" si="630"/>
        <v>0</v>
      </c>
      <c r="AB370" s="4">
        <f t="shared" si="631"/>
        <v>0</v>
      </c>
      <c r="AC370" s="4"/>
      <c r="AD370" s="4" t="b">
        <f t="shared" si="632"/>
        <v>0</v>
      </c>
      <c r="AE370" s="4" t="b">
        <f t="shared" si="633"/>
        <v>0</v>
      </c>
      <c r="AF370" s="4" t="b">
        <f t="shared" si="634"/>
        <v>0</v>
      </c>
      <c r="AG370" t="b">
        <f t="shared" si="635"/>
        <v>0</v>
      </c>
      <c r="AH370" t="b">
        <f t="shared" si="636"/>
        <v>0</v>
      </c>
      <c r="AI370" t="b">
        <f t="shared" si="637"/>
        <v>0</v>
      </c>
      <c r="AJ370" t="b">
        <f t="shared" si="638"/>
        <v>0</v>
      </c>
      <c r="AK370" t="b">
        <f t="shared" si="639"/>
        <v>0</v>
      </c>
      <c r="AL370" t="b">
        <f t="shared" si="640"/>
        <v>0</v>
      </c>
      <c r="AM370" t="b">
        <f t="shared" si="641"/>
        <v>0</v>
      </c>
      <c r="AN370" t="b">
        <f t="shared" si="642"/>
        <v>0</v>
      </c>
      <c r="AO370" t="b">
        <f t="shared" si="643"/>
        <v>0</v>
      </c>
      <c r="AP370" t="b">
        <f t="shared" si="644"/>
        <v>0</v>
      </c>
      <c r="AQ370" t="b">
        <f t="shared" si="645"/>
        <v>0</v>
      </c>
      <c r="AR370" t="b">
        <f t="shared" si="646"/>
        <v>0</v>
      </c>
      <c r="AS370" t="b">
        <f t="shared" si="647"/>
        <v>0</v>
      </c>
      <c r="AT370" t="b">
        <f t="shared" si="648"/>
        <v>0</v>
      </c>
      <c r="AU370" t="b">
        <f t="shared" si="649"/>
        <v>0</v>
      </c>
      <c r="AV370" t="b">
        <f t="shared" si="650"/>
        <v>0</v>
      </c>
      <c r="AW370" t="b">
        <f t="shared" si="651"/>
        <v>0</v>
      </c>
      <c r="AX370" t="b">
        <f t="shared" si="653"/>
        <v>0</v>
      </c>
      <c r="AY370" t="b">
        <f t="shared" si="654"/>
        <v>0</v>
      </c>
      <c r="AZ370" t="b">
        <f t="shared" si="655"/>
        <v>0</v>
      </c>
      <c r="BA370" t="b">
        <f t="shared" si="656"/>
        <v>0</v>
      </c>
      <c r="BB370" t="b">
        <f t="shared" si="657"/>
        <v>0</v>
      </c>
      <c r="BC370" t="b">
        <f t="shared" si="658"/>
        <v>0</v>
      </c>
      <c r="BD370" t="b">
        <f t="shared" si="659"/>
        <v>0</v>
      </c>
      <c r="BE370" t="b">
        <f t="shared" si="660"/>
        <v>0</v>
      </c>
      <c r="BF370" t="b">
        <f t="shared" si="661"/>
        <v>0</v>
      </c>
      <c r="BG370" t="b">
        <f t="shared" si="662"/>
        <v>0</v>
      </c>
      <c r="BH370" t="b">
        <f t="shared" si="663"/>
        <v>0</v>
      </c>
      <c r="BI370">
        <f t="shared" si="664"/>
        <v>1</v>
      </c>
      <c r="BJ370" t="b">
        <f t="shared" si="665"/>
        <v>0</v>
      </c>
      <c r="BK370" t="b">
        <f t="shared" si="666"/>
        <v>0</v>
      </c>
      <c r="BL370" t="b">
        <f t="shared" si="667"/>
        <v>0</v>
      </c>
      <c r="BM370" t="b">
        <f t="shared" si="668"/>
        <v>0</v>
      </c>
      <c r="BN370" t="b">
        <f t="shared" si="669"/>
        <v>0</v>
      </c>
      <c r="BO370" t="b">
        <f t="shared" si="670"/>
        <v>0</v>
      </c>
      <c r="BP370" t="b">
        <f t="shared" si="671"/>
        <v>0</v>
      </c>
      <c r="BQ370" t="b">
        <f t="shared" si="672"/>
        <v>0</v>
      </c>
      <c r="BR370" t="b">
        <f t="shared" si="673"/>
        <v>0</v>
      </c>
      <c r="BS370" t="b">
        <f t="shared" si="674"/>
        <v>0</v>
      </c>
      <c r="BT370" t="b">
        <f t="shared" si="675"/>
        <v>0</v>
      </c>
      <c r="BU370" t="b">
        <f t="shared" si="676"/>
        <v>0</v>
      </c>
      <c r="BV370" t="b">
        <f t="shared" si="677"/>
        <v>0</v>
      </c>
      <c r="BW370" t="b">
        <f t="shared" si="678"/>
        <v>0</v>
      </c>
      <c r="BX370" t="b">
        <f t="shared" si="679"/>
        <v>0</v>
      </c>
      <c r="BY370" t="b">
        <f t="shared" si="680"/>
        <v>0</v>
      </c>
      <c r="BZ370" t="b">
        <f t="shared" si="681"/>
        <v>0</v>
      </c>
      <c r="CA370" t="b">
        <f t="shared" si="682"/>
        <v>0</v>
      </c>
      <c r="CB370" t="b">
        <f t="shared" si="683"/>
        <v>0</v>
      </c>
      <c r="CC370" t="b">
        <f t="shared" si="684"/>
        <v>0</v>
      </c>
      <c r="CD370" t="b">
        <f t="shared" si="685"/>
        <v>0</v>
      </c>
      <c r="CE370">
        <f t="shared" si="686"/>
        <v>1</v>
      </c>
      <c r="CF370" t="b">
        <f t="shared" si="687"/>
        <v>0</v>
      </c>
      <c r="CG370" t="b">
        <f t="shared" si="688"/>
        <v>0</v>
      </c>
      <c r="CH370" t="b">
        <f t="shared" si="689"/>
        <v>0</v>
      </c>
      <c r="CI370" t="b">
        <f t="shared" si="690"/>
        <v>0</v>
      </c>
      <c r="CJ370" t="b">
        <f t="shared" si="691"/>
        <v>0</v>
      </c>
      <c r="CK370" t="b">
        <f t="shared" si="692"/>
        <v>0</v>
      </c>
      <c r="CL370" t="b">
        <f t="shared" si="693"/>
        <v>0</v>
      </c>
      <c r="CM370" t="b">
        <f t="shared" si="694"/>
        <v>0</v>
      </c>
      <c r="CN370" t="b">
        <f t="shared" si="695"/>
        <v>0</v>
      </c>
      <c r="CO370" t="b">
        <f t="shared" si="696"/>
        <v>0</v>
      </c>
      <c r="CP370" t="b">
        <f t="shared" si="697"/>
        <v>0</v>
      </c>
      <c r="CQ370" t="b">
        <f t="shared" si="698"/>
        <v>0</v>
      </c>
      <c r="CR370" t="b">
        <f t="shared" si="699"/>
        <v>0</v>
      </c>
      <c r="CS370" t="b">
        <f t="shared" si="700"/>
        <v>0</v>
      </c>
      <c r="CT370" t="b">
        <f t="shared" si="701"/>
        <v>0</v>
      </c>
      <c r="CU370" t="b">
        <f t="shared" si="702"/>
        <v>0</v>
      </c>
      <c r="CV370">
        <f t="shared" si="703"/>
        <v>1</v>
      </c>
      <c r="CW370" t="b">
        <f t="shared" si="704"/>
        <v>0</v>
      </c>
      <c r="CX370" t="b">
        <f t="shared" si="705"/>
        <v>0</v>
      </c>
      <c r="CY370" t="b">
        <f t="shared" si="706"/>
        <v>0</v>
      </c>
      <c r="CZ370" t="b">
        <f t="shared" si="707"/>
        <v>0</v>
      </c>
      <c r="DA370" t="b">
        <f t="shared" si="708"/>
        <v>0</v>
      </c>
      <c r="DB370" t="b">
        <f t="shared" si="709"/>
        <v>0</v>
      </c>
      <c r="DC370" t="b">
        <f t="shared" si="710"/>
        <v>0</v>
      </c>
      <c r="DD370" t="b">
        <f t="shared" si="711"/>
        <v>0</v>
      </c>
      <c r="DE370" t="b">
        <f t="shared" si="712"/>
        <v>0</v>
      </c>
      <c r="DF370" t="b">
        <f t="shared" si="713"/>
        <v>0</v>
      </c>
      <c r="DG370" t="b">
        <f t="shared" si="714"/>
        <v>0</v>
      </c>
      <c r="DH370" t="b">
        <f t="shared" si="715"/>
        <v>0</v>
      </c>
      <c r="DI370" t="b">
        <f t="shared" si="716"/>
        <v>0</v>
      </c>
      <c r="DJ370" t="b">
        <f t="shared" si="717"/>
        <v>0</v>
      </c>
      <c r="DK370" t="b">
        <f t="shared" si="718"/>
        <v>0</v>
      </c>
      <c r="DL370" t="b">
        <f t="shared" si="719"/>
        <v>0</v>
      </c>
      <c r="DM370" t="b">
        <f t="shared" si="720"/>
        <v>0</v>
      </c>
      <c r="DN370" t="b">
        <f t="shared" si="721"/>
        <v>0</v>
      </c>
      <c r="DO370" t="b">
        <f t="shared" si="722"/>
        <v>0</v>
      </c>
      <c r="DP370" t="b">
        <f t="shared" si="723"/>
        <v>0</v>
      </c>
      <c r="DQ370" t="b">
        <f t="shared" si="724"/>
        <v>0</v>
      </c>
      <c r="DR370" t="b">
        <f t="shared" si="725"/>
        <v>0</v>
      </c>
      <c r="DS370" t="b">
        <f t="shared" si="726"/>
        <v>0</v>
      </c>
      <c r="DT370" t="b">
        <f t="shared" si="727"/>
        <v>0</v>
      </c>
      <c r="DU370" t="b">
        <f t="shared" si="728"/>
        <v>0</v>
      </c>
      <c r="DV370" t="b">
        <f t="shared" si="729"/>
        <v>0</v>
      </c>
      <c r="DW370" t="b">
        <f t="shared" si="730"/>
        <v>0</v>
      </c>
      <c r="DX370" t="b">
        <f t="shared" si="731"/>
        <v>0</v>
      </c>
      <c r="DY370" t="b">
        <f t="shared" si="732"/>
        <v>0</v>
      </c>
      <c r="DZ370" t="b">
        <f t="shared" si="733"/>
        <v>0</v>
      </c>
      <c r="EA370" t="b">
        <f t="shared" si="734"/>
        <v>0</v>
      </c>
      <c r="EB370" t="b">
        <f t="shared" si="735"/>
        <v>0</v>
      </c>
      <c r="EC370" t="b">
        <f t="shared" si="736"/>
        <v>0</v>
      </c>
      <c r="ED370" t="b">
        <f t="shared" si="737"/>
        <v>0</v>
      </c>
      <c r="EE370" t="b">
        <f t="shared" si="738"/>
        <v>0</v>
      </c>
      <c r="EF370">
        <f t="shared" si="739"/>
        <v>1</v>
      </c>
      <c r="EG370" t="b">
        <f t="shared" si="740"/>
        <v>0</v>
      </c>
      <c r="EH370" t="b">
        <f t="shared" si="741"/>
        <v>0</v>
      </c>
      <c r="EI370" t="b">
        <f t="shared" si="742"/>
        <v>0</v>
      </c>
      <c r="EJ370" t="b">
        <f t="shared" si="743"/>
        <v>0</v>
      </c>
      <c r="EK370" t="b">
        <f t="shared" si="744"/>
        <v>0</v>
      </c>
    </row>
    <row r="371" spans="1:141">
      <c r="A371" t="s">
        <v>1922</v>
      </c>
      <c r="B371" t="s">
        <v>1923</v>
      </c>
      <c r="C371" t="s">
        <v>1924</v>
      </c>
      <c r="D371" s="1">
        <v>42651</v>
      </c>
      <c r="E371" s="2">
        <v>42655.381377314814</v>
      </c>
      <c r="F371" s="2">
        <v>42655.381377314814</v>
      </c>
      <c r="G371">
        <v>58843488</v>
      </c>
      <c r="H371" t="s">
        <v>1925</v>
      </c>
      <c r="I371" s="10" t="s">
        <v>1926</v>
      </c>
      <c r="J371" t="s">
        <v>1927</v>
      </c>
      <c r="K371" s="8" t="b">
        <v>1</v>
      </c>
      <c r="L371" s="10" t="b">
        <v>0</v>
      </c>
      <c r="M371" s="12" t="b">
        <v>0</v>
      </c>
      <c r="N371" t="b">
        <v>0</v>
      </c>
      <c r="O371" t="b">
        <v>0</v>
      </c>
      <c r="P371" t="b">
        <v>0</v>
      </c>
      <c r="Q371">
        <f t="shared" si="621"/>
        <v>7</v>
      </c>
      <c r="R371">
        <f t="shared" si="622"/>
        <v>10</v>
      </c>
      <c r="S371" t="e">
        <f t="shared" ca="1" si="652"/>
        <v>#NAME?</v>
      </c>
      <c r="T371" t="e">
        <f t="shared" ca="1" si="623"/>
        <v>#NAME?</v>
      </c>
      <c r="U371" s="4">
        <f t="shared" si="624"/>
        <v>4.3813773148140172</v>
      </c>
      <c r="V371" s="4">
        <f t="shared" si="625"/>
        <v>0.14604591049380058</v>
      </c>
      <c r="W371" s="4">
        <f t="shared" si="626"/>
        <v>1</v>
      </c>
      <c r="X371" s="4">
        <f t="shared" si="627"/>
        <v>0</v>
      </c>
      <c r="Y371" s="4">
        <f t="shared" si="628"/>
        <v>0</v>
      </c>
      <c r="Z371" s="4">
        <f t="shared" si="629"/>
        <v>0</v>
      </c>
      <c r="AA371" s="4">
        <f t="shared" si="630"/>
        <v>0</v>
      </c>
      <c r="AB371" s="4">
        <f t="shared" si="631"/>
        <v>0</v>
      </c>
      <c r="AC371" s="4"/>
      <c r="AD371" s="4" t="b">
        <f t="shared" si="632"/>
        <v>0</v>
      </c>
      <c r="AE371" s="4" t="b">
        <f t="shared" si="633"/>
        <v>0</v>
      </c>
      <c r="AF371" s="4" t="b">
        <f t="shared" si="634"/>
        <v>0</v>
      </c>
      <c r="AG371" t="b">
        <f t="shared" si="635"/>
        <v>0</v>
      </c>
      <c r="AH371" t="b">
        <f t="shared" si="636"/>
        <v>0</v>
      </c>
      <c r="AI371" t="b">
        <f t="shared" si="637"/>
        <v>0</v>
      </c>
      <c r="AJ371" t="b">
        <f t="shared" si="638"/>
        <v>0</v>
      </c>
      <c r="AK371" t="b">
        <f t="shared" si="639"/>
        <v>0</v>
      </c>
      <c r="AL371" t="b">
        <f t="shared" si="640"/>
        <v>0</v>
      </c>
      <c r="AM371" t="b">
        <f t="shared" si="641"/>
        <v>0</v>
      </c>
      <c r="AN371" t="b">
        <f t="shared" si="642"/>
        <v>0</v>
      </c>
      <c r="AO371" t="b">
        <f t="shared" si="643"/>
        <v>0</v>
      </c>
      <c r="AP371" t="b">
        <f t="shared" si="644"/>
        <v>0</v>
      </c>
      <c r="AQ371" t="b">
        <f t="shared" si="645"/>
        <v>0</v>
      </c>
      <c r="AR371" t="b">
        <f t="shared" si="646"/>
        <v>0</v>
      </c>
      <c r="AS371" t="b">
        <f t="shared" si="647"/>
        <v>0</v>
      </c>
      <c r="AT371" t="b">
        <f t="shared" si="648"/>
        <v>0</v>
      </c>
      <c r="AU371" t="b">
        <f t="shared" si="649"/>
        <v>0</v>
      </c>
      <c r="AV371" t="b">
        <f t="shared" si="650"/>
        <v>0</v>
      </c>
      <c r="AW371" t="b">
        <f t="shared" si="651"/>
        <v>0</v>
      </c>
      <c r="AX371" t="b">
        <f t="shared" si="653"/>
        <v>0</v>
      </c>
      <c r="AY371" t="b">
        <f t="shared" si="654"/>
        <v>0</v>
      </c>
      <c r="AZ371">
        <f t="shared" si="655"/>
        <v>1</v>
      </c>
      <c r="BA371" t="b">
        <f t="shared" si="656"/>
        <v>0</v>
      </c>
      <c r="BB371" t="b">
        <f t="shared" si="657"/>
        <v>0</v>
      </c>
      <c r="BC371" t="b">
        <f t="shared" si="658"/>
        <v>0</v>
      </c>
      <c r="BD371" t="b">
        <f t="shared" si="659"/>
        <v>0</v>
      </c>
      <c r="BE371" t="b">
        <f t="shared" si="660"/>
        <v>0</v>
      </c>
      <c r="BF371" t="b">
        <f t="shared" si="661"/>
        <v>0</v>
      </c>
      <c r="BG371" t="b">
        <f t="shared" si="662"/>
        <v>0</v>
      </c>
      <c r="BH371" t="b">
        <f t="shared" si="663"/>
        <v>0</v>
      </c>
      <c r="BI371">
        <f t="shared" si="664"/>
        <v>1</v>
      </c>
      <c r="BJ371" t="b">
        <f t="shared" si="665"/>
        <v>0</v>
      </c>
      <c r="BK371" t="b">
        <f t="shared" si="666"/>
        <v>0</v>
      </c>
      <c r="BL371" t="b">
        <f t="shared" si="667"/>
        <v>0</v>
      </c>
      <c r="BM371" t="b">
        <f t="shared" si="668"/>
        <v>0</v>
      </c>
      <c r="BN371" t="b">
        <f t="shared" si="669"/>
        <v>0</v>
      </c>
      <c r="BO371" t="b">
        <f t="shared" si="670"/>
        <v>0</v>
      </c>
      <c r="BP371" t="b">
        <f t="shared" si="671"/>
        <v>0</v>
      </c>
      <c r="BQ371" t="b">
        <f t="shared" si="672"/>
        <v>0</v>
      </c>
      <c r="BR371">
        <f t="shared" si="673"/>
        <v>1</v>
      </c>
      <c r="BS371" t="b">
        <f t="shared" si="674"/>
        <v>0</v>
      </c>
      <c r="BT371" t="b">
        <f t="shared" si="675"/>
        <v>0</v>
      </c>
      <c r="BU371" t="b">
        <f t="shared" si="676"/>
        <v>0</v>
      </c>
      <c r="BV371" t="b">
        <f t="shared" si="677"/>
        <v>0</v>
      </c>
      <c r="BW371" t="b">
        <f t="shared" si="678"/>
        <v>0</v>
      </c>
      <c r="BX371" t="b">
        <f t="shared" si="679"/>
        <v>0</v>
      </c>
      <c r="BY371" t="b">
        <f t="shared" si="680"/>
        <v>0</v>
      </c>
      <c r="BZ371" t="b">
        <f t="shared" si="681"/>
        <v>0</v>
      </c>
      <c r="CA371" t="b">
        <f t="shared" si="682"/>
        <v>0</v>
      </c>
      <c r="CB371" t="b">
        <f t="shared" si="683"/>
        <v>0</v>
      </c>
      <c r="CC371" t="b">
        <f t="shared" si="684"/>
        <v>0</v>
      </c>
      <c r="CD371" t="b">
        <f t="shared" si="685"/>
        <v>0</v>
      </c>
      <c r="CE371">
        <f t="shared" si="686"/>
        <v>1</v>
      </c>
      <c r="CF371" t="b">
        <f t="shared" si="687"/>
        <v>0</v>
      </c>
      <c r="CG371" t="b">
        <f t="shared" si="688"/>
        <v>0</v>
      </c>
      <c r="CH371" t="b">
        <f t="shared" si="689"/>
        <v>0</v>
      </c>
      <c r="CI371" t="b">
        <f t="shared" si="690"/>
        <v>0</v>
      </c>
      <c r="CJ371" t="b">
        <f t="shared" si="691"/>
        <v>0</v>
      </c>
      <c r="CK371" t="b">
        <f t="shared" si="692"/>
        <v>0</v>
      </c>
      <c r="CL371" t="b">
        <f t="shared" si="693"/>
        <v>0</v>
      </c>
      <c r="CM371">
        <f t="shared" si="694"/>
        <v>1</v>
      </c>
      <c r="CN371" t="b">
        <f t="shared" si="695"/>
        <v>0</v>
      </c>
      <c r="CO371" t="b">
        <f t="shared" si="696"/>
        <v>0</v>
      </c>
      <c r="CP371" t="b">
        <f t="shared" si="697"/>
        <v>0</v>
      </c>
      <c r="CQ371" t="b">
        <f t="shared" si="698"/>
        <v>0</v>
      </c>
      <c r="CR371" t="b">
        <f t="shared" si="699"/>
        <v>0</v>
      </c>
      <c r="CS371" t="b">
        <f t="shared" si="700"/>
        <v>0</v>
      </c>
      <c r="CT371" t="b">
        <f t="shared" si="701"/>
        <v>0</v>
      </c>
      <c r="CU371" t="b">
        <f t="shared" si="702"/>
        <v>0</v>
      </c>
      <c r="CV371" t="b">
        <f t="shared" si="703"/>
        <v>0</v>
      </c>
      <c r="CW371" t="b">
        <f t="shared" si="704"/>
        <v>0</v>
      </c>
      <c r="CX371" t="b">
        <f t="shared" si="705"/>
        <v>0</v>
      </c>
      <c r="CY371" t="b">
        <f t="shared" si="706"/>
        <v>0</v>
      </c>
      <c r="CZ371" t="b">
        <f t="shared" si="707"/>
        <v>0</v>
      </c>
      <c r="DA371">
        <f t="shared" si="708"/>
        <v>1</v>
      </c>
      <c r="DB371">
        <f t="shared" si="709"/>
        <v>1</v>
      </c>
      <c r="DC371" t="b">
        <f t="shared" si="710"/>
        <v>0</v>
      </c>
      <c r="DD371" t="b">
        <f t="shared" si="711"/>
        <v>0</v>
      </c>
      <c r="DE371" t="b">
        <f t="shared" si="712"/>
        <v>0</v>
      </c>
      <c r="DF371" t="b">
        <f t="shared" si="713"/>
        <v>0</v>
      </c>
      <c r="DG371" t="b">
        <f t="shared" si="714"/>
        <v>0</v>
      </c>
      <c r="DH371" t="b">
        <f t="shared" si="715"/>
        <v>0</v>
      </c>
      <c r="DI371" t="b">
        <f t="shared" si="716"/>
        <v>0</v>
      </c>
      <c r="DJ371" t="b">
        <f t="shared" si="717"/>
        <v>0</v>
      </c>
      <c r="DK371" t="b">
        <f t="shared" si="718"/>
        <v>0</v>
      </c>
      <c r="DL371" t="b">
        <f t="shared" si="719"/>
        <v>0</v>
      </c>
      <c r="DM371" t="b">
        <f t="shared" si="720"/>
        <v>0</v>
      </c>
      <c r="DN371" t="b">
        <f t="shared" si="721"/>
        <v>0</v>
      </c>
      <c r="DO371" t="b">
        <f t="shared" si="722"/>
        <v>0</v>
      </c>
      <c r="DP371" t="b">
        <f t="shared" si="723"/>
        <v>0</v>
      </c>
      <c r="DQ371" t="b">
        <f t="shared" si="724"/>
        <v>0</v>
      </c>
      <c r="DR371" t="b">
        <f t="shared" si="725"/>
        <v>0</v>
      </c>
      <c r="DS371" t="b">
        <f t="shared" si="726"/>
        <v>0</v>
      </c>
      <c r="DT371" t="b">
        <f t="shared" si="727"/>
        <v>0</v>
      </c>
      <c r="DU371" t="b">
        <f t="shared" si="728"/>
        <v>0</v>
      </c>
      <c r="DV371" t="b">
        <f t="shared" si="729"/>
        <v>0</v>
      </c>
      <c r="DW371" t="b">
        <f t="shared" si="730"/>
        <v>0</v>
      </c>
      <c r="DX371" t="b">
        <f t="shared" si="731"/>
        <v>0</v>
      </c>
      <c r="DY371" t="b">
        <f t="shared" si="732"/>
        <v>0</v>
      </c>
      <c r="DZ371" t="b">
        <f t="shared" si="733"/>
        <v>0</v>
      </c>
      <c r="EA371" t="b">
        <f t="shared" si="734"/>
        <v>0</v>
      </c>
      <c r="EB371" t="b">
        <f t="shared" si="735"/>
        <v>0</v>
      </c>
      <c r="EC371" t="b">
        <f t="shared" si="736"/>
        <v>0</v>
      </c>
      <c r="ED371" t="b">
        <f t="shared" si="737"/>
        <v>0</v>
      </c>
      <c r="EE371" t="b">
        <f t="shared" si="738"/>
        <v>0</v>
      </c>
      <c r="EF371" t="b">
        <f t="shared" si="739"/>
        <v>0</v>
      </c>
      <c r="EG371" t="b">
        <f t="shared" si="740"/>
        <v>0</v>
      </c>
      <c r="EH371" t="b">
        <f t="shared" si="741"/>
        <v>0</v>
      </c>
      <c r="EI371" t="b">
        <f t="shared" si="742"/>
        <v>0</v>
      </c>
      <c r="EJ371" t="b">
        <f t="shared" si="743"/>
        <v>0</v>
      </c>
      <c r="EK371" t="b">
        <f t="shared" si="744"/>
        <v>0</v>
      </c>
    </row>
    <row r="372" spans="1:141">
      <c r="A372" t="s">
        <v>1928</v>
      </c>
      <c r="B372" t="s">
        <v>1929</v>
      </c>
      <c r="C372" t="s">
        <v>1930</v>
      </c>
      <c r="D372" s="1">
        <v>39814</v>
      </c>
      <c r="E372" s="2">
        <v>42338.390219907407</v>
      </c>
      <c r="F372" s="2">
        <v>42338.390219907407</v>
      </c>
      <c r="G372">
        <v>4483605</v>
      </c>
      <c r="H372" t="s">
        <v>1931</v>
      </c>
      <c r="I372" s="10" t="s">
        <v>1932</v>
      </c>
      <c r="J372" t="s">
        <v>1933</v>
      </c>
      <c r="K372" s="8" t="b">
        <v>1</v>
      </c>
      <c r="L372" s="10" t="b">
        <v>0</v>
      </c>
      <c r="M372" s="12" t="b">
        <v>0</v>
      </c>
      <c r="N372" t="b">
        <v>0</v>
      </c>
      <c r="O372" t="b">
        <v>0</v>
      </c>
      <c r="P372" t="b">
        <v>0</v>
      </c>
      <c r="Q372">
        <f t="shared" si="621"/>
        <v>5</v>
      </c>
      <c r="R372">
        <f t="shared" si="622"/>
        <v>1</v>
      </c>
      <c r="S372" t="e">
        <f t="shared" ca="1" si="652"/>
        <v>#NAME?</v>
      </c>
      <c r="T372" t="e">
        <f t="shared" ca="1" si="623"/>
        <v>#NAME?</v>
      </c>
      <c r="U372" s="4">
        <f t="shared" si="624"/>
        <v>2524.3902199074073</v>
      </c>
      <c r="V372" s="4">
        <f t="shared" si="625"/>
        <v>84.146340663580247</v>
      </c>
      <c r="W372" s="4">
        <f t="shared" si="626"/>
        <v>1</v>
      </c>
      <c r="X372" s="4">
        <f t="shared" si="627"/>
        <v>0</v>
      </c>
      <c r="Y372" s="4">
        <f t="shared" si="628"/>
        <v>0</v>
      </c>
      <c r="Z372" s="4">
        <f t="shared" si="629"/>
        <v>0</v>
      </c>
      <c r="AA372" s="4">
        <f t="shared" si="630"/>
        <v>0</v>
      </c>
      <c r="AB372" s="4">
        <f t="shared" si="631"/>
        <v>0</v>
      </c>
      <c r="AC372" s="4"/>
      <c r="AD372" s="4" t="b">
        <f t="shared" si="632"/>
        <v>0</v>
      </c>
      <c r="AE372" s="4" t="b">
        <f t="shared" si="633"/>
        <v>0</v>
      </c>
      <c r="AF372" s="4" t="b">
        <f t="shared" si="634"/>
        <v>0</v>
      </c>
      <c r="AG372" t="b">
        <f t="shared" si="635"/>
        <v>0</v>
      </c>
      <c r="AH372" t="b">
        <f t="shared" si="636"/>
        <v>0</v>
      </c>
      <c r="AI372" t="b">
        <f t="shared" si="637"/>
        <v>0</v>
      </c>
      <c r="AJ372" t="b">
        <f t="shared" si="638"/>
        <v>0</v>
      </c>
      <c r="AK372" t="b">
        <f t="shared" si="639"/>
        <v>0</v>
      </c>
      <c r="AL372" t="b">
        <f t="shared" si="640"/>
        <v>0</v>
      </c>
      <c r="AM372" t="b">
        <f t="shared" si="641"/>
        <v>0</v>
      </c>
      <c r="AN372" t="b">
        <f t="shared" si="642"/>
        <v>0</v>
      </c>
      <c r="AO372" t="b">
        <f t="shared" si="643"/>
        <v>0</v>
      </c>
      <c r="AP372" t="b">
        <f t="shared" si="644"/>
        <v>0</v>
      </c>
      <c r="AQ372" t="b">
        <f t="shared" si="645"/>
        <v>0</v>
      </c>
      <c r="AR372" t="b">
        <f t="shared" si="646"/>
        <v>0</v>
      </c>
      <c r="AS372" t="b">
        <f t="shared" si="647"/>
        <v>0</v>
      </c>
      <c r="AT372" t="b">
        <f t="shared" si="648"/>
        <v>0</v>
      </c>
      <c r="AU372" t="b">
        <f t="shared" si="649"/>
        <v>0</v>
      </c>
      <c r="AV372" t="b">
        <f t="shared" si="650"/>
        <v>0</v>
      </c>
      <c r="AW372" t="b">
        <f t="shared" si="651"/>
        <v>0</v>
      </c>
      <c r="AX372" t="b">
        <f t="shared" si="653"/>
        <v>0</v>
      </c>
      <c r="AY372" t="b">
        <f t="shared" si="654"/>
        <v>0</v>
      </c>
      <c r="AZ372">
        <f t="shared" si="655"/>
        <v>1</v>
      </c>
      <c r="BA372" t="b">
        <f t="shared" si="656"/>
        <v>0</v>
      </c>
      <c r="BB372" t="b">
        <f t="shared" si="657"/>
        <v>0</v>
      </c>
      <c r="BC372" t="b">
        <f t="shared" si="658"/>
        <v>0</v>
      </c>
      <c r="BD372" t="b">
        <f t="shared" si="659"/>
        <v>0</v>
      </c>
      <c r="BE372" t="b">
        <f t="shared" si="660"/>
        <v>0</v>
      </c>
      <c r="BF372" t="b">
        <f t="shared" si="661"/>
        <v>0</v>
      </c>
      <c r="BG372" t="b">
        <f t="shared" si="662"/>
        <v>0</v>
      </c>
      <c r="BH372" t="b">
        <f t="shared" si="663"/>
        <v>0</v>
      </c>
      <c r="BI372">
        <f t="shared" si="664"/>
        <v>1</v>
      </c>
      <c r="BJ372" t="b">
        <f t="shared" si="665"/>
        <v>0</v>
      </c>
      <c r="BK372" t="b">
        <f t="shared" si="666"/>
        <v>0</v>
      </c>
      <c r="BL372" t="b">
        <f t="shared" si="667"/>
        <v>0</v>
      </c>
      <c r="BM372" t="b">
        <f t="shared" si="668"/>
        <v>0</v>
      </c>
      <c r="BN372" t="b">
        <f t="shared" si="669"/>
        <v>0</v>
      </c>
      <c r="BO372" t="b">
        <f t="shared" si="670"/>
        <v>0</v>
      </c>
      <c r="BP372" t="b">
        <f t="shared" si="671"/>
        <v>0</v>
      </c>
      <c r="BQ372" t="b">
        <f t="shared" si="672"/>
        <v>0</v>
      </c>
      <c r="BR372" t="b">
        <f t="shared" si="673"/>
        <v>0</v>
      </c>
      <c r="BS372" t="b">
        <f t="shared" si="674"/>
        <v>0</v>
      </c>
      <c r="BT372" t="b">
        <f t="shared" si="675"/>
        <v>0</v>
      </c>
      <c r="BU372" t="b">
        <f t="shared" si="676"/>
        <v>0</v>
      </c>
      <c r="BV372" t="b">
        <f t="shared" si="677"/>
        <v>0</v>
      </c>
      <c r="BW372" t="b">
        <f t="shared" si="678"/>
        <v>0</v>
      </c>
      <c r="BX372" t="b">
        <f t="shared" si="679"/>
        <v>0</v>
      </c>
      <c r="BY372" t="b">
        <f t="shared" si="680"/>
        <v>0</v>
      </c>
      <c r="BZ372" t="b">
        <f t="shared" si="681"/>
        <v>0</v>
      </c>
      <c r="CA372" t="b">
        <f t="shared" si="682"/>
        <v>0</v>
      </c>
      <c r="CB372" t="b">
        <f t="shared" si="683"/>
        <v>0</v>
      </c>
      <c r="CC372" t="b">
        <f t="shared" si="684"/>
        <v>0</v>
      </c>
      <c r="CD372" t="b">
        <f t="shared" si="685"/>
        <v>0</v>
      </c>
      <c r="CE372">
        <f t="shared" si="686"/>
        <v>1</v>
      </c>
      <c r="CF372" t="b">
        <f t="shared" si="687"/>
        <v>0</v>
      </c>
      <c r="CG372" t="b">
        <f t="shared" si="688"/>
        <v>0</v>
      </c>
      <c r="CH372" t="b">
        <f t="shared" si="689"/>
        <v>0</v>
      </c>
      <c r="CI372" t="b">
        <f t="shared" si="690"/>
        <v>0</v>
      </c>
      <c r="CJ372" t="b">
        <f t="shared" si="691"/>
        <v>0</v>
      </c>
      <c r="CK372" t="b">
        <f t="shared" si="692"/>
        <v>0</v>
      </c>
      <c r="CL372" t="b">
        <f t="shared" si="693"/>
        <v>0</v>
      </c>
      <c r="CM372">
        <f t="shared" si="694"/>
        <v>1</v>
      </c>
      <c r="CN372" t="b">
        <f t="shared" si="695"/>
        <v>0</v>
      </c>
      <c r="CO372" t="b">
        <f t="shared" si="696"/>
        <v>0</v>
      </c>
      <c r="CP372" t="b">
        <f t="shared" si="697"/>
        <v>0</v>
      </c>
      <c r="CQ372" t="b">
        <f t="shared" si="698"/>
        <v>0</v>
      </c>
      <c r="CR372" t="b">
        <f t="shared" si="699"/>
        <v>0</v>
      </c>
      <c r="CS372" t="b">
        <f t="shared" si="700"/>
        <v>0</v>
      </c>
      <c r="CT372" t="b">
        <f t="shared" si="701"/>
        <v>0</v>
      </c>
      <c r="CU372" t="b">
        <f t="shared" si="702"/>
        <v>0</v>
      </c>
      <c r="CV372" t="b">
        <f t="shared" si="703"/>
        <v>0</v>
      </c>
      <c r="CW372" t="b">
        <f t="shared" si="704"/>
        <v>0</v>
      </c>
      <c r="CX372" t="b">
        <f t="shared" si="705"/>
        <v>0</v>
      </c>
      <c r="CY372" t="b">
        <f t="shared" si="706"/>
        <v>0</v>
      </c>
      <c r="CZ372" t="b">
        <f t="shared" si="707"/>
        <v>0</v>
      </c>
      <c r="DA372">
        <f t="shared" si="708"/>
        <v>1</v>
      </c>
      <c r="DB372">
        <f t="shared" si="709"/>
        <v>1</v>
      </c>
      <c r="DC372" t="b">
        <f t="shared" si="710"/>
        <v>0</v>
      </c>
      <c r="DD372" t="b">
        <f t="shared" si="711"/>
        <v>0</v>
      </c>
      <c r="DE372" t="b">
        <f t="shared" si="712"/>
        <v>0</v>
      </c>
      <c r="DF372" t="b">
        <f t="shared" si="713"/>
        <v>0</v>
      </c>
      <c r="DG372" t="b">
        <f t="shared" si="714"/>
        <v>0</v>
      </c>
      <c r="DH372" t="b">
        <f t="shared" si="715"/>
        <v>0</v>
      </c>
      <c r="DI372" t="b">
        <f t="shared" si="716"/>
        <v>0</v>
      </c>
      <c r="DJ372" t="b">
        <f t="shared" si="717"/>
        <v>0</v>
      </c>
      <c r="DK372" t="b">
        <f t="shared" si="718"/>
        <v>0</v>
      </c>
      <c r="DL372" t="b">
        <f t="shared" si="719"/>
        <v>0</v>
      </c>
      <c r="DM372" t="b">
        <f t="shared" si="720"/>
        <v>0</v>
      </c>
      <c r="DN372" t="b">
        <f t="shared" si="721"/>
        <v>0</v>
      </c>
      <c r="DO372" t="b">
        <f t="shared" si="722"/>
        <v>0</v>
      </c>
      <c r="DP372" t="b">
        <f t="shared" si="723"/>
        <v>0</v>
      </c>
      <c r="DQ372" t="b">
        <f t="shared" si="724"/>
        <v>0</v>
      </c>
      <c r="DR372" t="b">
        <f t="shared" si="725"/>
        <v>0</v>
      </c>
      <c r="DS372" t="b">
        <f t="shared" si="726"/>
        <v>0</v>
      </c>
      <c r="DT372" t="b">
        <f t="shared" si="727"/>
        <v>0</v>
      </c>
      <c r="DU372" t="b">
        <f t="shared" si="728"/>
        <v>0</v>
      </c>
      <c r="DV372" t="b">
        <f t="shared" si="729"/>
        <v>0</v>
      </c>
      <c r="DW372" t="b">
        <f t="shared" si="730"/>
        <v>0</v>
      </c>
      <c r="DX372" t="b">
        <f t="shared" si="731"/>
        <v>0</v>
      </c>
      <c r="DY372" t="b">
        <f t="shared" si="732"/>
        <v>0</v>
      </c>
      <c r="DZ372" t="b">
        <f t="shared" si="733"/>
        <v>0</v>
      </c>
      <c r="EA372" t="b">
        <f t="shared" si="734"/>
        <v>0</v>
      </c>
      <c r="EB372" t="b">
        <f t="shared" si="735"/>
        <v>0</v>
      </c>
      <c r="EC372" t="b">
        <f t="shared" si="736"/>
        <v>0</v>
      </c>
      <c r="ED372" t="b">
        <f t="shared" si="737"/>
        <v>0</v>
      </c>
      <c r="EE372" t="b">
        <f t="shared" si="738"/>
        <v>0</v>
      </c>
      <c r="EF372" t="b">
        <f t="shared" si="739"/>
        <v>0</v>
      </c>
      <c r="EG372" t="b">
        <f t="shared" si="740"/>
        <v>0</v>
      </c>
      <c r="EH372" t="b">
        <f t="shared" si="741"/>
        <v>0</v>
      </c>
      <c r="EI372" t="b">
        <f t="shared" si="742"/>
        <v>0</v>
      </c>
      <c r="EJ372" t="b">
        <f t="shared" si="743"/>
        <v>0</v>
      </c>
      <c r="EK372" t="b">
        <f t="shared" si="744"/>
        <v>0</v>
      </c>
    </row>
    <row r="373" spans="1:141">
      <c r="A373" t="s">
        <v>1934</v>
      </c>
      <c r="B373" t="s">
        <v>1934</v>
      </c>
      <c r="C373" t="s">
        <v>1935</v>
      </c>
      <c r="D373" s="1">
        <v>42985</v>
      </c>
      <c r="E373" s="2">
        <v>44338.942708333336</v>
      </c>
      <c r="F373" s="2">
        <v>44338.942708333336</v>
      </c>
      <c r="G373">
        <v>762874</v>
      </c>
      <c r="H373" t="s">
        <v>1936</v>
      </c>
      <c r="I373" s="10" t="s">
        <v>1937</v>
      </c>
      <c r="J373" t="s">
        <v>1938</v>
      </c>
      <c r="K373" s="8" t="b">
        <v>1</v>
      </c>
      <c r="L373" s="10" t="b">
        <v>0</v>
      </c>
      <c r="M373" s="12" t="b">
        <v>0</v>
      </c>
      <c r="N373" t="b">
        <v>0</v>
      </c>
      <c r="O373" t="b">
        <v>0</v>
      </c>
      <c r="P373" t="b">
        <v>0</v>
      </c>
      <c r="Q373">
        <f t="shared" si="621"/>
        <v>5</v>
      </c>
      <c r="R373">
        <f t="shared" si="622"/>
        <v>9</v>
      </c>
      <c r="S373" t="e">
        <f t="shared" ca="1" si="652"/>
        <v>#NAME?</v>
      </c>
      <c r="T373" t="e">
        <f t="shared" ca="1" si="623"/>
        <v>#NAME?</v>
      </c>
      <c r="U373" s="4">
        <f t="shared" si="624"/>
        <v>1353.9427083333358</v>
      </c>
      <c r="V373" s="4">
        <f t="shared" si="625"/>
        <v>45.131423611111195</v>
      </c>
      <c r="W373" s="4">
        <f t="shared" si="626"/>
        <v>1</v>
      </c>
      <c r="X373" s="4">
        <f t="shared" si="627"/>
        <v>0</v>
      </c>
      <c r="Y373" s="4">
        <f t="shared" si="628"/>
        <v>0</v>
      </c>
      <c r="Z373" s="4">
        <f t="shared" si="629"/>
        <v>0</v>
      </c>
      <c r="AA373" s="4">
        <f t="shared" si="630"/>
        <v>0</v>
      </c>
      <c r="AB373" s="4">
        <f t="shared" si="631"/>
        <v>0</v>
      </c>
      <c r="AC373" s="4"/>
      <c r="AD373" s="4" t="b">
        <f t="shared" si="632"/>
        <v>0</v>
      </c>
      <c r="AE373" s="4" t="b">
        <f t="shared" si="633"/>
        <v>0</v>
      </c>
      <c r="AF373" s="4" t="b">
        <f t="shared" si="634"/>
        <v>0</v>
      </c>
      <c r="AG373" t="b">
        <f t="shared" si="635"/>
        <v>0</v>
      </c>
      <c r="AH373" t="b">
        <f t="shared" si="636"/>
        <v>0</v>
      </c>
      <c r="AI373" t="b">
        <f t="shared" si="637"/>
        <v>0</v>
      </c>
      <c r="AJ373" t="b">
        <f t="shared" si="638"/>
        <v>0</v>
      </c>
      <c r="AK373" t="b">
        <f t="shared" si="639"/>
        <v>0</v>
      </c>
      <c r="AL373" t="b">
        <f t="shared" si="640"/>
        <v>0</v>
      </c>
      <c r="AM373" t="b">
        <f t="shared" si="641"/>
        <v>0</v>
      </c>
      <c r="AN373" t="b">
        <f t="shared" si="642"/>
        <v>0</v>
      </c>
      <c r="AO373" t="b">
        <f t="shared" si="643"/>
        <v>0</v>
      </c>
      <c r="AP373" t="b">
        <f t="shared" si="644"/>
        <v>0</v>
      </c>
      <c r="AQ373" t="b">
        <f t="shared" si="645"/>
        <v>0</v>
      </c>
      <c r="AR373" t="b">
        <f t="shared" si="646"/>
        <v>0</v>
      </c>
      <c r="AS373" t="b">
        <f t="shared" si="647"/>
        <v>0</v>
      </c>
      <c r="AT373" t="b">
        <f t="shared" si="648"/>
        <v>0</v>
      </c>
      <c r="AU373" t="b">
        <f t="shared" si="649"/>
        <v>0</v>
      </c>
      <c r="AV373" t="b">
        <f t="shared" si="650"/>
        <v>0</v>
      </c>
      <c r="AW373" t="b">
        <f t="shared" si="651"/>
        <v>0</v>
      </c>
      <c r="AX373" t="b">
        <f t="shared" si="653"/>
        <v>0</v>
      </c>
      <c r="AY373" t="b">
        <f t="shared" si="654"/>
        <v>0</v>
      </c>
      <c r="AZ373" t="b">
        <f t="shared" si="655"/>
        <v>0</v>
      </c>
      <c r="BA373" t="b">
        <f t="shared" si="656"/>
        <v>0</v>
      </c>
      <c r="BB373" t="b">
        <f t="shared" si="657"/>
        <v>0</v>
      </c>
      <c r="BC373" t="b">
        <f t="shared" si="658"/>
        <v>0</v>
      </c>
      <c r="BD373" t="b">
        <f t="shared" si="659"/>
        <v>0</v>
      </c>
      <c r="BE373" t="b">
        <f t="shared" si="660"/>
        <v>0</v>
      </c>
      <c r="BF373" t="b">
        <f t="shared" si="661"/>
        <v>0</v>
      </c>
      <c r="BG373" t="b">
        <f t="shared" si="662"/>
        <v>0</v>
      </c>
      <c r="BH373" t="b">
        <f t="shared" si="663"/>
        <v>0</v>
      </c>
      <c r="BI373">
        <f t="shared" si="664"/>
        <v>1</v>
      </c>
      <c r="BJ373" t="b">
        <f t="shared" si="665"/>
        <v>0</v>
      </c>
      <c r="BK373" t="b">
        <f t="shared" si="666"/>
        <v>0</v>
      </c>
      <c r="BL373" t="b">
        <f t="shared" si="667"/>
        <v>0</v>
      </c>
      <c r="BM373" t="b">
        <f t="shared" si="668"/>
        <v>0</v>
      </c>
      <c r="BN373" t="b">
        <f t="shared" si="669"/>
        <v>0</v>
      </c>
      <c r="BO373" t="b">
        <f t="shared" si="670"/>
        <v>0</v>
      </c>
      <c r="BP373" t="b">
        <f t="shared" si="671"/>
        <v>0</v>
      </c>
      <c r="BQ373" t="b">
        <f t="shared" si="672"/>
        <v>0</v>
      </c>
      <c r="BR373">
        <f t="shared" si="673"/>
        <v>1</v>
      </c>
      <c r="BS373">
        <f t="shared" si="674"/>
        <v>1</v>
      </c>
      <c r="BT373" t="b">
        <f t="shared" si="675"/>
        <v>0</v>
      </c>
      <c r="BU373" t="b">
        <f t="shared" si="676"/>
        <v>0</v>
      </c>
      <c r="BV373" t="b">
        <f t="shared" si="677"/>
        <v>0</v>
      </c>
      <c r="BW373" t="b">
        <f t="shared" si="678"/>
        <v>0</v>
      </c>
      <c r="BX373" t="b">
        <f t="shared" si="679"/>
        <v>0</v>
      </c>
      <c r="BY373" t="b">
        <f t="shared" si="680"/>
        <v>0</v>
      </c>
      <c r="BZ373" t="b">
        <f t="shared" si="681"/>
        <v>0</v>
      </c>
      <c r="CA373" t="b">
        <f t="shared" si="682"/>
        <v>0</v>
      </c>
      <c r="CB373" t="b">
        <f t="shared" si="683"/>
        <v>0</v>
      </c>
      <c r="CC373" t="b">
        <f t="shared" si="684"/>
        <v>0</v>
      </c>
      <c r="CD373" t="b">
        <f t="shared" si="685"/>
        <v>0</v>
      </c>
      <c r="CE373" t="b">
        <f t="shared" si="686"/>
        <v>0</v>
      </c>
      <c r="CF373" t="b">
        <f t="shared" si="687"/>
        <v>0</v>
      </c>
      <c r="CG373" t="b">
        <f t="shared" si="688"/>
        <v>0</v>
      </c>
      <c r="CH373" t="b">
        <f t="shared" si="689"/>
        <v>0</v>
      </c>
      <c r="CI373" t="b">
        <f t="shared" si="690"/>
        <v>0</v>
      </c>
      <c r="CJ373" t="b">
        <f t="shared" si="691"/>
        <v>0</v>
      </c>
      <c r="CK373" t="b">
        <f t="shared" si="692"/>
        <v>0</v>
      </c>
      <c r="CL373" t="b">
        <f t="shared" si="693"/>
        <v>0</v>
      </c>
      <c r="CM373" t="b">
        <f t="shared" si="694"/>
        <v>0</v>
      </c>
      <c r="CN373" t="b">
        <f t="shared" si="695"/>
        <v>0</v>
      </c>
      <c r="CO373" t="b">
        <f t="shared" si="696"/>
        <v>0</v>
      </c>
      <c r="CP373" t="b">
        <f t="shared" si="697"/>
        <v>0</v>
      </c>
      <c r="CQ373" t="b">
        <f t="shared" si="698"/>
        <v>0</v>
      </c>
      <c r="CR373" t="b">
        <f t="shared" si="699"/>
        <v>0</v>
      </c>
      <c r="CS373" t="b">
        <f t="shared" si="700"/>
        <v>0</v>
      </c>
      <c r="CT373" t="b">
        <f t="shared" si="701"/>
        <v>0</v>
      </c>
      <c r="CU373" t="b">
        <f t="shared" si="702"/>
        <v>0</v>
      </c>
      <c r="CV373">
        <f t="shared" si="703"/>
        <v>1</v>
      </c>
      <c r="CW373" t="b">
        <f t="shared" si="704"/>
        <v>0</v>
      </c>
      <c r="CX373" t="b">
        <f t="shared" si="705"/>
        <v>0</v>
      </c>
      <c r="CY373" t="b">
        <f t="shared" si="706"/>
        <v>0</v>
      </c>
      <c r="CZ373" t="b">
        <f t="shared" si="707"/>
        <v>0</v>
      </c>
      <c r="DA373">
        <f t="shared" si="708"/>
        <v>1</v>
      </c>
      <c r="DB373" t="b">
        <f t="shared" si="709"/>
        <v>0</v>
      </c>
      <c r="DC373" t="b">
        <f t="shared" si="710"/>
        <v>0</v>
      </c>
      <c r="DD373" t="b">
        <f t="shared" si="711"/>
        <v>0</v>
      </c>
      <c r="DE373" t="b">
        <f t="shared" si="712"/>
        <v>0</v>
      </c>
      <c r="DF373" t="b">
        <f t="shared" si="713"/>
        <v>0</v>
      </c>
      <c r="DG373" t="b">
        <f t="shared" si="714"/>
        <v>0</v>
      </c>
      <c r="DH373" t="b">
        <f t="shared" si="715"/>
        <v>0</v>
      </c>
      <c r="DI373" t="b">
        <f t="shared" si="716"/>
        <v>0</v>
      </c>
      <c r="DJ373" t="b">
        <f t="shared" si="717"/>
        <v>0</v>
      </c>
      <c r="DK373" t="b">
        <f t="shared" si="718"/>
        <v>0</v>
      </c>
      <c r="DL373" t="b">
        <f t="shared" si="719"/>
        <v>0</v>
      </c>
      <c r="DM373" t="b">
        <f t="shared" si="720"/>
        <v>0</v>
      </c>
      <c r="DN373" t="b">
        <f t="shared" si="721"/>
        <v>0</v>
      </c>
      <c r="DO373" t="b">
        <f t="shared" si="722"/>
        <v>0</v>
      </c>
      <c r="DP373" t="b">
        <f t="shared" si="723"/>
        <v>0</v>
      </c>
      <c r="DQ373" t="b">
        <f t="shared" si="724"/>
        <v>0</v>
      </c>
      <c r="DR373" t="b">
        <f t="shared" si="725"/>
        <v>0</v>
      </c>
      <c r="DS373" t="b">
        <f t="shared" si="726"/>
        <v>0</v>
      </c>
      <c r="DT373" t="b">
        <f t="shared" si="727"/>
        <v>0</v>
      </c>
      <c r="DU373" t="b">
        <f t="shared" si="728"/>
        <v>0</v>
      </c>
      <c r="DV373" t="b">
        <f t="shared" si="729"/>
        <v>0</v>
      </c>
      <c r="DW373" t="b">
        <f t="shared" si="730"/>
        <v>0</v>
      </c>
      <c r="DX373" t="b">
        <f t="shared" si="731"/>
        <v>0</v>
      </c>
      <c r="DY373" t="b">
        <f t="shared" si="732"/>
        <v>0</v>
      </c>
      <c r="DZ373" t="b">
        <f t="shared" si="733"/>
        <v>0</v>
      </c>
      <c r="EA373" t="b">
        <f t="shared" si="734"/>
        <v>0</v>
      </c>
      <c r="EB373" t="b">
        <f t="shared" si="735"/>
        <v>0</v>
      </c>
      <c r="EC373" t="b">
        <f t="shared" si="736"/>
        <v>0</v>
      </c>
      <c r="ED373" t="b">
        <f t="shared" si="737"/>
        <v>0</v>
      </c>
      <c r="EE373" t="b">
        <f t="shared" si="738"/>
        <v>0</v>
      </c>
      <c r="EF373" t="b">
        <f t="shared" si="739"/>
        <v>0</v>
      </c>
      <c r="EG373" t="b">
        <f t="shared" si="740"/>
        <v>0</v>
      </c>
      <c r="EH373" t="b">
        <f t="shared" si="741"/>
        <v>0</v>
      </c>
      <c r="EI373" t="b">
        <f t="shared" si="742"/>
        <v>0</v>
      </c>
      <c r="EJ373" t="b">
        <f t="shared" si="743"/>
        <v>0</v>
      </c>
      <c r="EK373" t="b">
        <f t="shared" si="744"/>
        <v>0</v>
      </c>
    </row>
    <row r="374" spans="1:141">
      <c r="A374" t="s">
        <v>1939</v>
      </c>
      <c r="B374" t="s">
        <v>1940</v>
      </c>
      <c r="C374" t="s">
        <v>1941</v>
      </c>
      <c r="D374" s="1">
        <v>43383</v>
      </c>
      <c r="E374" s="2">
        <v>43575.956574074073</v>
      </c>
      <c r="F374" s="2">
        <v>43575.956574074073</v>
      </c>
      <c r="G374">
        <v>2467304</v>
      </c>
      <c r="H374" t="s">
        <v>1942</v>
      </c>
      <c r="I374" s="10" t="s">
        <v>1943</v>
      </c>
      <c r="J374" t="s">
        <v>1797</v>
      </c>
      <c r="K374" s="8" t="b">
        <v>1</v>
      </c>
      <c r="L374" s="10" t="b">
        <v>0</v>
      </c>
      <c r="M374" s="12" t="b">
        <v>0</v>
      </c>
      <c r="N374" t="b">
        <v>0</v>
      </c>
      <c r="O374" t="b">
        <v>0</v>
      </c>
      <c r="P374" t="b">
        <v>0</v>
      </c>
      <c r="Q374">
        <f t="shared" si="621"/>
        <v>4</v>
      </c>
      <c r="R374">
        <f t="shared" si="622"/>
        <v>10</v>
      </c>
      <c r="S374" t="e">
        <f t="shared" ca="1" si="652"/>
        <v>#NAME?</v>
      </c>
      <c r="T374" t="e">
        <f t="shared" ca="1" si="623"/>
        <v>#NAME?</v>
      </c>
      <c r="U374" s="4">
        <f t="shared" si="624"/>
        <v>192.95657407407271</v>
      </c>
      <c r="V374" s="4">
        <f t="shared" si="625"/>
        <v>6.4318858024690906</v>
      </c>
      <c r="W374" s="4">
        <f t="shared" si="626"/>
        <v>1</v>
      </c>
      <c r="X374" s="4">
        <f t="shared" si="627"/>
        <v>0</v>
      </c>
      <c r="Y374" s="4">
        <f t="shared" si="628"/>
        <v>0</v>
      </c>
      <c r="Z374" s="4">
        <f t="shared" si="629"/>
        <v>0</v>
      </c>
      <c r="AA374" s="4">
        <f t="shared" si="630"/>
        <v>0</v>
      </c>
      <c r="AB374" s="4">
        <f t="shared" si="631"/>
        <v>0</v>
      </c>
      <c r="AC374" s="4"/>
      <c r="AD374" s="4" t="b">
        <f t="shared" si="632"/>
        <v>0</v>
      </c>
      <c r="AE374" s="4" t="b">
        <f t="shared" si="633"/>
        <v>0</v>
      </c>
      <c r="AF374" s="4" t="b">
        <f t="shared" si="634"/>
        <v>0</v>
      </c>
      <c r="AG374" t="b">
        <f t="shared" si="635"/>
        <v>0</v>
      </c>
      <c r="AH374" t="b">
        <f t="shared" si="636"/>
        <v>0</v>
      </c>
      <c r="AI374" t="b">
        <f t="shared" si="637"/>
        <v>0</v>
      </c>
      <c r="AJ374" t="b">
        <f t="shared" si="638"/>
        <v>0</v>
      </c>
      <c r="AK374" t="b">
        <f t="shared" si="639"/>
        <v>0</v>
      </c>
      <c r="AL374" t="b">
        <f t="shared" si="640"/>
        <v>0</v>
      </c>
      <c r="AM374" t="b">
        <f t="shared" si="641"/>
        <v>0</v>
      </c>
      <c r="AN374" t="b">
        <f t="shared" si="642"/>
        <v>0</v>
      </c>
      <c r="AO374" t="b">
        <f t="shared" si="643"/>
        <v>0</v>
      </c>
      <c r="AP374" t="b">
        <f t="shared" si="644"/>
        <v>0</v>
      </c>
      <c r="AQ374" t="b">
        <f t="shared" si="645"/>
        <v>0</v>
      </c>
      <c r="AR374" t="b">
        <f t="shared" si="646"/>
        <v>0</v>
      </c>
      <c r="AS374" t="b">
        <f t="shared" si="647"/>
        <v>0</v>
      </c>
      <c r="AT374" t="b">
        <f t="shared" si="648"/>
        <v>0</v>
      </c>
      <c r="AU374" t="b">
        <f t="shared" si="649"/>
        <v>0</v>
      </c>
      <c r="AV374" t="b">
        <f t="shared" si="650"/>
        <v>0</v>
      </c>
      <c r="AW374" t="b">
        <f t="shared" si="651"/>
        <v>0</v>
      </c>
      <c r="AX374" t="b">
        <f t="shared" si="653"/>
        <v>0</v>
      </c>
      <c r="AY374" t="b">
        <f t="shared" si="654"/>
        <v>0</v>
      </c>
      <c r="AZ374" t="b">
        <f t="shared" si="655"/>
        <v>0</v>
      </c>
      <c r="BA374" t="b">
        <f t="shared" si="656"/>
        <v>0</v>
      </c>
      <c r="BB374" t="b">
        <f t="shared" si="657"/>
        <v>0</v>
      </c>
      <c r="BC374" t="b">
        <f t="shared" si="658"/>
        <v>0</v>
      </c>
      <c r="BD374" t="b">
        <f t="shared" si="659"/>
        <v>0</v>
      </c>
      <c r="BE374" t="b">
        <f t="shared" si="660"/>
        <v>0</v>
      </c>
      <c r="BF374" t="b">
        <f t="shared" si="661"/>
        <v>0</v>
      </c>
      <c r="BG374" t="b">
        <f t="shared" si="662"/>
        <v>0</v>
      </c>
      <c r="BH374" t="b">
        <f t="shared" si="663"/>
        <v>0</v>
      </c>
      <c r="BI374">
        <f t="shared" si="664"/>
        <v>1</v>
      </c>
      <c r="BJ374" t="b">
        <f t="shared" si="665"/>
        <v>0</v>
      </c>
      <c r="BK374" t="b">
        <f t="shared" si="666"/>
        <v>0</v>
      </c>
      <c r="BL374" t="b">
        <f t="shared" si="667"/>
        <v>0</v>
      </c>
      <c r="BM374" t="b">
        <f t="shared" si="668"/>
        <v>0</v>
      </c>
      <c r="BN374" t="b">
        <f t="shared" si="669"/>
        <v>0</v>
      </c>
      <c r="BO374" t="b">
        <f t="shared" si="670"/>
        <v>0</v>
      </c>
      <c r="BP374" t="b">
        <f t="shared" si="671"/>
        <v>0</v>
      </c>
      <c r="BQ374" t="b">
        <f t="shared" si="672"/>
        <v>0</v>
      </c>
      <c r="BR374" t="b">
        <f t="shared" si="673"/>
        <v>0</v>
      </c>
      <c r="BS374" t="b">
        <f t="shared" si="674"/>
        <v>0</v>
      </c>
      <c r="BT374" t="b">
        <f t="shared" si="675"/>
        <v>0</v>
      </c>
      <c r="BU374" t="b">
        <f t="shared" si="676"/>
        <v>0</v>
      </c>
      <c r="BV374" t="b">
        <f t="shared" si="677"/>
        <v>0</v>
      </c>
      <c r="BW374" t="b">
        <f t="shared" si="678"/>
        <v>0</v>
      </c>
      <c r="BX374" t="b">
        <f t="shared" si="679"/>
        <v>0</v>
      </c>
      <c r="BY374" t="b">
        <f t="shared" si="680"/>
        <v>0</v>
      </c>
      <c r="BZ374" t="b">
        <f t="shared" si="681"/>
        <v>0</v>
      </c>
      <c r="CA374" t="b">
        <f t="shared" si="682"/>
        <v>0</v>
      </c>
      <c r="CB374" t="b">
        <f t="shared" si="683"/>
        <v>0</v>
      </c>
      <c r="CC374" t="b">
        <f t="shared" si="684"/>
        <v>0</v>
      </c>
      <c r="CD374" t="b">
        <f t="shared" si="685"/>
        <v>0</v>
      </c>
      <c r="CE374" t="b">
        <f t="shared" si="686"/>
        <v>0</v>
      </c>
      <c r="CF374" t="b">
        <f t="shared" si="687"/>
        <v>0</v>
      </c>
      <c r="CG374" t="b">
        <f t="shared" si="688"/>
        <v>0</v>
      </c>
      <c r="CH374" t="b">
        <f t="shared" si="689"/>
        <v>0</v>
      </c>
      <c r="CI374" t="b">
        <f t="shared" si="690"/>
        <v>0</v>
      </c>
      <c r="CJ374" t="b">
        <f t="shared" si="691"/>
        <v>0</v>
      </c>
      <c r="CK374" t="b">
        <f t="shared" si="692"/>
        <v>0</v>
      </c>
      <c r="CL374" t="b">
        <f t="shared" si="693"/>
        <v>0</v>
      </c>
      <c r="CM374">
        <f t="shared" si="694"/>
        <v>1</v>
      </c>
      <c r="CN374" t="b">
        <f t="shared" si="695"/>
        <v>0</v>
      </c>
      <c r="CO374" t="b">
        <f t="shared" si="696"/>
        <v>0</v>
      </c>
      <c r="CP374" t="b">
        <f t="shared" si="697"/>
        <v>0</v>
      </c>
      <c r="CQ374" t="b">
        <f t="shared" si="698"/>
        <v>0</v>
      </c>
      <c r="CR374" t="b">
        <f t="shared" si="699"/>
        <v>0</v>
      </c>
      <c r="CS374" t="b">
        <f t="shared" si="700"/>
        <v>0</v>
      </c>
      <c r="CT374" t="b">
        <f t="shared" si="701"/>
        <v>0</v>
      </c>
      <c r="CU374" t="b">
        <f t="shared" si="702"/>
        <v>0</v>
      </c>
      <c r="CV374">
        <f t="shared" si="703"/>
        <v>1</v>
      </c>
      <c r="CW374" t="b">
        <f t="shared" si="704"/>
        <v>0</v>
      </c>
      <c r="CX374" t="b">
        <f t="shared" si="705"/>
        <v>0</v>
      </c>
      <c r="CY374" t="b">
        <f t="shared" si="706"/>
        <v>0</v>
      </c>
      <c r="CZ374" t="b">
        <f t="shared" si="707"/>
        <v>0</v>
      </c>
      <c r="DA374">
        <f t="shared" si="708"/>
        <v>1</v>
      </c>
      <c r="DB374" t="b">
        <f t="shared" si="709"/>
        <v>0</v>
      </c>
      <c r="DC374" t="b">
        <f t="shared" si="710"/>
        <v>0</v>
      </c>
      <c r="DD374" t="b">
        <f t="shared" si="711"/>
        <v>0</v>
      </c>
      <c r="DE374" t="b">
        <f t="shared" si="712"/>
        <v>0</v>
      </c>
      <c r="DF374" t="b">
        <f t="shared" si="713"/>
        <v>0</v>
      </c>
      <c r="DG374" t="b">
        <f t="shared" si="714"/>
        <v>0</v>
      </c>
      <c r="DH374" t="b">
        <f t="shared" si="715"/>
        <v>0</v>
      </c>
      <c r="DI374" t="b">
        <f t="shared" si="716"/>
        <v>0</v>
      </c>
      <c r="DJ374" t="b">
        <f t="shared" si="717"/>
        <v>0</v>
      </c>
      <c r="DK374" t="b">
        <f t="shared" si="718"/>
        <v>0</v>
      </c>
      <c r="DL374" t="b">
        <f t="shared" si="719"/>
        <v>0</v>
      </c>
      <c r="DM374" t="b">
        <f t="shared" si="720"/>
        <v>0</v>
      </c>
      <c r="DN374" t="b">
        <f t="shared" si="721"/>
        <v>0</v>
      </c>
      <c r="DO374" t="b">
        <f t="shared" si="722"/>
        <v>0</v>
      </c>
      <c r="DP374" t="b">
        <f t="shared" si="723"/>
        <v>0</v>
      </c>
      <c r="DQ374" t="b">
        <f t="shared" si="724"/>
        <v>0</v>
      </c>
      <c r="DR374" t="b">
        <f t="shared" si="725"/>
        <v>0</v>
      </c>
      <c r="DS374" t="b">
        <f t="shared" si="726"/>
        <v>0</v>
      </c>
      <c r="DT374" t="b">
        <f t="shared" si="727"/>
        <v>0</v>
      </c>
      <c r="DU374" t="b">
        <f t="shared" si="728"/>
        <v>0</v>
      </c>
      <c r="DV374" t="b">
        <f t="shared" si="729"/>
        <v>0</v>
      </c>
      <c r="DW374" t="b">
        <f t="shared" si="730"/>
        <v>0</v>
      </c>
      <c r="DX374" t="b">
        <f t="shared" si="731"/>
        <v>0</v>
      </c>
      <c r="DY374" t="b">
        <f t="shared" si="732"/>
        <v>0</v>
      </c>
      <c r="DZ374" t="b">
        <f t="shared" si="733"/>
        <v>0</v>
      </c>
      <c r="EA374" t="b">
        <f t="shared" si="734"/>
        <v>0</v>
      </c>
      <c r="EB374" t="b">
        <f t="shared" si="735"/>
        <v>0</v>
      </c>
      <c r="EC374" t="b">
        <f t="shared" si="736"/>
        <v>0</v>
      </c>
      <c r="ED374" t="b">
        <f t="shared" si="737"/>
        <v>0</v>
      </c>
      <c r="EE374" t="b">
        <f t="shared" si="738"/>
        <v>0</v>
      </c>
      <c r="EF374" t="b">
        <f t="shared" si="739"/>
        <v>0</v>
      </c>
      <c r="EG374" t="b">
        <f t="shared" si="740"/>
        <v>0</v>
      </c>
      <c r="EH374" t="b">
        <f t="shared" si="741"/>
        <v>0</v>
      </c>
      <c r="EI374" t="b">
        <f t="shared" si="742"/>
        <v>0</v>
      </c>
      <c r="EJ374" t="b">
        <f t="shared" si="743"/>
        <v>0</v>
      </c>
      <c r="EK374" t="b">
        <f t="shared" si="744"/>
        <v>0</v>
      </c>
    </row>
    <row r="375" spans="1:141">
      <c r="A375" t="s">
        <v>1944</v>
      </c>
      <c r="B375" t="s">
        <v>1945</v>
      </c>
      <c r="C375" t="s">
        <v>1946</v>
      </c>
      <c r="D375" s="1">
        <v>43268</v>
      </c>
      <c r="E375" s="2">
        <v>43343.235254629632</v>
      </c>
      <c r="F375" s="2">
        <v>43367.878680555557</v>
      </c>
      <c r="G375">
        <v>606637</v>
      </c>
      <c r="H375" t="s">
        <v>1947</v>
      </c>
      <c r="I375" s="10" t="s">
        <v>1948</v>
      </c>
      <c r="J375" t="s">
        <v>1649</v>
      </c>
      <c r="K375" s="8" t="b">
        <v>1</v>
      </c>
      <c r="L375" s="10" t="b">
        <v>0</v>
      </c>
      <c r="M375" s="12" t="b">
        <v>0</v>
      </c>
      <c r="N375" t="b">
        <v>0</v>
      </c>
      <c r="O375" t="b">
        <v>0</v>
      </c>
      <c r="P375" t="b">
        <v>0</v>
      </c>
      <c r="Q375">
        <f t="shared" si="621"/>
        <v>1</v>
      </c>
      <c r="R375">
        <f t="shared" si="622"/>
        <v>6</v>
      </c>
      <c r="S375" t="e">
        <f t="shared" ca="1" si="652"/>
        <v>#NAME?</v>
      </c>
      <c r="T375" t="e">
        <f t="shared" ca="1" si="623"/>
        <v>#NAME?</v>
      </c>
      <c r="U375" s="4">
        <f t="shared" si="624"/>
        <v>75.235254629631527</v>
      </c>
      <c r="V375" s="4">
        <f t="shared" si="625"/>
        <v>2.5078418209877174</v>
      </c>
      <c r="W375" s="4">
        <f t="shared" si="626"/>
        <v>1</v>
      </c>
      <c r="X375" s="4">
        <f t="shared" si="627"/>
        <v>0</v>
      </c>
      <c r="Y375" s="4">
        <f t="shared" si="628"/>
        <v>0</v>
      </c>
      <c r="Z375" s="4">
        <f t="shared" si="629"/>
        <v>0</v>
      </c>
      <c r="AA375" s="4">
        <f t="shared" si="630"/>
        <v>0</v>
      </c>
      <c r="AB375" s="4">
        <f t="shared" si="631"/>
        <v>0</v>
      </c>
      <c r="AC375" s="4"/>
      <c r="AD375" s="4" t="b">
        <f t="shared" si="632"/>
        <v>0</v>
      </c>
      <c r="AE375" s="4" t="b">
        <f t="shared" si="633"/>
        <v>0</v>
      </c>
      <c r="AF375" s="4" t="b">
        <f t="shared" si="634"/>
        <v>0</v>
      </c>
      <c r="AG375" t="b">
        <f t="shared" si="635"/>
        <v>0</v>
      </c>
      <c r="AH375" t="b">
        <f t="shared" si="636"/>
        <v>0</v>
      </c>
      <c r="AI375" t="b">
        <f t="shared" si="637"/>
        <v>0</v>
      </c>
      <c r="AJ375" t="b">
        <f t="shared" si="638"/>
        <v>0</v>
      </c>
      <c r="AK375" t="b">
        <f t="shared" si="639"/>
        <v>0</v>
      </c>
      <c r="AL375" t="b">
        <f t="shared" si="640"/>
        <v>0</v>
      </c>
      <c r="AM375" t="b">
        <f t="shared" si="641"/>
        <v>0</v>
      </c>
      <c r="AN375" t="b">
        <f t="shared" si="642"/>
        <v>0</v>
      </c>
      <c r="AO375" t="b">
        <f t="shared" si="643"/>
        <v>0</v>
      </c>
      <c r="AP375" t="b">
        <f t="shared" si="644"/>
        <v>0</v>
      </c>
      <c r="AQ375" t="b">
        <f t="shared" si="645"/>
        <v>0</v>
      </c>
      <c r="AR375" t="b">
        <f t="shared" si="646"/>
        <v>0</v>
      </c>
      <c r="AS375" t="b">
        <f t="shared" si="647"/>
        <v>0</v>
      </c>
      <c r="AT375" t="b">
        <f t="shared" si="648"/>
        <v>0</v>
      </c>
      <c r="AU375" t="b">
        <f t="shared" si="649"/>
        <v>0</v>
      </c>
      <c r="AV375" t="b">
        <f t="shared" si="650"/>
        <v>0</v>
      </c>
      <c r="AW375" t="b">
        <f t="shared" si="651"/>
        <v>0</v>
      </c>
      <c r="AX375" t="b">
        <f t="shared" si="653"/>
        <v>0</v>
      </c>
      <c r="AY375" t="b">
        <f t="shared" si="654"/>
        <v>0</v>
      </c>
      <c r="AZ375" t="b">
        <f t="shared" si="655"/>
        <v>0</v>
      </c>
      <c r="BA375" t="b">
        <f t="shared" si="656"/>
        <v>0</v>
      </c>
      <c r="BB375" t="b">
        <f t="shared" si="657"/>
        <v>0</v>
      </c>
      <c r="BC375" t="b">
        <f t="shared" si="658"/>
        <v>0</v>
      </c>
      <c r="BD375" t="b">
        <f t="shared" si="659"/>
        <v>0</v>
      </c>
      <c r="BE375" t="b">
        <f t="shared" si="660"/>
        <v>0</v>
      </c>
      <c r="BF375" t="b">
        <f t="shared" si="661"/>
        <v>0</v>
      </c>
      <c r="BG375" t="b">
        <f t="shared" si="662"/>
        <v>0</v>
      </c>
      <c r="BH375" t="b">
        <f t="shared" si="663"/>
        <v>0</v>
      </c>
      <c r="BI375">
        <f t="shared" si="664"/>
        <v>1</v>
      </c>
      <c r="BJ375" t="b">
        <f t="shared" si="665"/>
        <v>0</v>
      </c>
      <c r="BK375" t="b">
        <f t="shared" si="666"/>
        <v>0</v>
      </c>
      <c r="BL375" t="b">
        <f t="shared" si="667"/>
        <v>0</v>
      </c>
      <c r="BM375" t="b">
        <f t="shared" si="668"/>
        <v>0</v>
      </c>
      <c r="BN375" t="b">
        <f t="shared" si="669"/>
        <v>0</v>
      </c>
      <c r="BO375" t="b">
        <f t="shared" si="670"/>
        <v>0</v>
      </c>
      <c r="BP375" t="b">
        <f t="shared" si="671"/>
        <v>0</v>
      </c>
      <c r="BQ375" t="b">
        <f t="shared" si="672"/>
        <v>0</v>
      </c>
      <c r="BR375" t="b">
        <f t="shared" si="673"/>
        <v>0</v>
      </c>
      <c r="BS375" t="b">
        <f t="shared" si="674"/>
        <v>0</v>
      </c>
      <c r="BT375" t="b">
        <f t="shared" si="675"/>
        <v>0</v>
      </c>
      <c r="BU375" t="b">
        <f t="shared" si="676"/>
        <v>0</v>
      </c>
      <c r="BV375" t="b">
        <f t="shared" si="677"/>
        <v>0</v>
      </c>
      <c r="BW375" t="b">
        <f t="shared" si="678"/>
        <v>0</v>
      </c>
      <c r="BX375" t="b">
        <f t="shared" si="679"/>
        <v>0</v>
      </c>
      <c r="BY375" t="b">
        <f t="shared" si="680"/>
        <v>0</v>
      </c>
      <c r="BZ375" t="b">
        <f t="shared" si="681"/>
        <v>0</v>
      </c>
      <c r="CA375" t="b">
        <f t="shared" si="682"/>
        <v>0</v>
      </c>
      <c r="CB375" t="b">
        <f t="shared" si="683"/>
        <v>0</v>
      </c>
      <c r="CC375" t="b">
        <f t="shared" si="684"/>
        <v>0</v>
      </c>
      <c r="CD375" t="b">
        <f t="shared" si="685"/>
        <v>0</v>
      </c>
      <c r="CE375" t="b">
        <f t="shared" si="686"/>
        <v>0</v>
      </c>
      <c r="CF375" t="b">
        <f t="shared" si="687"/>
        <v>0</v>
      </c>
      <c r="CG375" t="b">
        <f t="shared" si="688"/>
        <v>0</v>
      </c>
      <c r="CH375" t="b">
        <f t="shared" si="689"/>
        <v>0</v>
      </c>
      <c r="CI375" t="b">
        <f t="shared" si="690"/>
        <v>0</v>
      </c>
      <c r="CJ375" t="b">
        <f t="shared" si="691"/>
        <v>0</v>
      </c>
      <c r="CK375" t="b">
        <f t="shared" si="692"/>
        <v>0</v>
      </c>
      <c r="CL375" t="b">
        <f t="shared" si="693"/>
        <v>0</v>
      </c>
      <c r="CM375">
        <f t="shared" si="694"/>
        <v>1</v>
      </c>
      <c r="CN375" t="b">
        <f t="shared" si="695"/>
        <v>0</v>
      </c>
      <c r="CO375" t="b">
        <f t="shared" si="696"/>
        <v>0</v>
      </c>
      <c r="CP375" t="b">
        <f t="shared" si="697"/>
        <v>0</v>
      </c>
      <c r="CQ375" t="b">
        <f t="shared" si="698"/>
        <v>0</v>
      </c>
      <c r="CR375" t="b">
        <f t="shared" si="699"/>
        <v>0</v>
      </c>
      <c r="CS375" t="b">
        <f t="shared" si="700"/>
        <v>0</v>
      </c>
      <c r="CT375" t="b">
        <f t="shared" si="701"/>
        <v>0</v>
      </c>
      <c r="CU375" t="b">
        <f t="shared" si="702"/>
        <v>0</v>
      </c>
      <c r="CV375">
        <f t="shared" si="703"/>
        <v>1</v>
      </c>
      <c r="CW375" t="b">
        <f t="shared" si="704"/>
        <v>0</v>
      </c>
      <c r="CX375" t="b">
        <f t="shared" si="705"/>
        <v>0</v>
      </c>
      <c r="CY375" t="b">
        <f t="shared" si="706"/>
        <v>0</v>
      </c>
      <c r="CZ375" t="b">
        <f t="shared" si="707"/>
        <v>0</v>
      </c>
      <c r="DA375" t="b">
        <f t="shared" si="708"/>
        <v>0</v>
      </c>
      <c r="DB375">
        <f t="shared" si="709"/>
        <v>1</v>
      </c>
      <c r="DC375" t="b">
        <f t="shared" si="710"/>
        <v>0</v>
      </c>
      <c r="DD375" t="b">
        <f t="shared" si="711"/>
        <v>0</v>
      </c>
      <c r="DE375" t="b">
        <f t="shared" si="712"/>
        <v>0</v>
      </c>
      <c r="DF375" t="b">
        <f t="shared" si="713"/>
        <v>0</v>
      </c>
      <c r="DG375" t="b">
        <f t="shared" si="714"/>
        <v>0</v>
      </c>
      <c r="DH375" t="b">
        <f t="shared" si="715"/>
        <v>0</v>
      </c>
      <c r="DI375" t="b">
        <f t="shared" si="716"/>
        <v>0</v>
      </c>
      <c r="DJ375" t="b">
        <f t="shared" si="717"/>
        <v>0</v>
      </c>
      <c r="DK375" t="b">
        <f t="shared" si="718"/>
        <v>0</v>
      </c>
      <c r="DL375" t="b">
        <f t="shared" si="719"/>
        <v>0</v>
      </c>
      <c r="DM375" t="b">
        <f t="shared" si="720"/>
        <v>0</v>
      </c>
      <c r="DN375" t="b">
        <f t="shared" si="721"/>
        <v>0</v>
      </c>
      <c r="DO375" t="b">
        <f t="shared" si="722"/>
        <v>0</v>
      </c>
      <c r="DP375" t="b">
        <f t="shared" si="723"/>
        <v>0</v>
      </c>
      <c r="DQ375" t="b">
        <f t="shared" si="724"/>
        <v>0</v>
      </c>
      <c r="DR375" t="b">
        <f t="shared" si="725"/>
        <v>0</v>
      </c>
      <c r="DS375" t="b">
        <f t="shared" si="726"/>
        <v>0</v>
      </c>
      <c r="DT375" t="b">
        <f t="shared" si="727"/>
        <v>0</v>
      </c>
      <c r="DU375" t="b">
        <f t="shared" si="728"/>
        <v>0</v>
      </c>
      <c r="DV375" t="b">
        <f t="shared" si="729"/>
        <v>0</v>
      </c>
      <c r="DW375" t="b">
        <f t="shared" si="730"/>
        <v>0</v>
      </c>
      <c r="DX375" t="b">
        <f t="shared" si="731"/>
        <v>0</v>
      </c>
      <c r="DY375" t="b">
        <f t="shared" si="732"/>
        <v>0</v>
      </c>
      <c r="DZ375" t="b">
        <f t="shared" si="733"/>
        <v>0</v>
      </c>
      <c r="EA375" t="b">
        <f t="shared" si="734"/>
        <v>0</v>
      </c>
      <c r="EB375" t="b">
        <f t="shared" si="735"/>
        <v>0</v>
      </c>
      <c r="EC375" t="b">
        <f t="shared" si="736"/>
        <v>0</v>
      </c>
      <c r="ED375" t="b">
        <f t="shared" si="737"/>
        <v>0</v>
      </c>
      <c r="EE375" t="b">
        <f t="shared" si="738"/>
        <v>0</v>
      </c>
      <c r="EF375">
        <f t="shared" si="739"/>
        <v>1</v>
      </c>
      <c r="EG375" t="b">
        <f t="shared" si="740"/>
        <v>0</v>
      </c>
      <c r="EH375" t="b">
        <f t="shared" si="741"/>
        <v>0</v>
      </c>
      <c r="EI375" t="b">
        <f t="shared" si="742"/>
        <v>0</v>
      </c>
      <c r="EJ375" t="b">
        <f t="shared" si="743"/>
        <v>0</v>
      </c>
      <c r="EK375" t="b">
        <f t="shared" si="744"/>
        <v>0</v>
      </c>
    </row>
    <row r="376" spans="1:141">
      <c r="A376" t="s">
        <v>1949</v>
      </c>
      <c r="B376" t="s">
        <v>1949</v>
      </c>
      <c r="C376" t="s">
        <v>1950</v>
      </c>
      <c r="D376" s="1">
        <v>42299</v>
      </c>
      <c r="E376" s="2">
        <v>42303.139120370368</v>
      </c>
      <c r="F376" s="2">
        <v>42303.139120370368</v>
      </c>
      <c r="G376">
        <v>3122898</v>
      </c>
      <c r="H376" t="s">
        <v>1951</v>
      </c>
      <c r="I376" s="10" t="s">
        <v>1952</v>
      </c>
      <c r="J376" t="s">
        <v>188</v>
      </c>
      <c r="K376" s="8" t="b">
        <v>1</v>
      </c>
      <c r="L376" s="10" t="b">
        <v>0</v>
      </c>
      <c r="M376" s="12" t="b">
        <v>0</v>
      </c>
      <c r="N376" t="b">
        <v>0</v>
      </c>
      <c r="O376" t="b">
        <v>0</v>
      </c>
      <c r="P376" t="b">
        <v>0</v>
      </c>
      <c r="Q376">
        <f t="shared" si="621"/>
        <v>5</v>
      </c>
      <c r="R376">
        <f t="shared" si="622"/>
        <v>10</v>
      </c>
      <c r="S376" t="e">
        <f t="shared" ca="1" si="652"/>
        <v>#NAME?</v>
      </c>
      <c r="T376" t="e">
        <f t="shared" ca="1" si="623"/>
        <v>#NAME?</v>
      </c>
      <c r="U376" s="4">
        <f t="shared" si="624"/>
        <v>4.1391203703678912</v>
      </c>
      <c r="V376" s="4">
        <f t="shared" si="625"/>
        <v>0.13797067901226304</v>
      </c>
      <c r="W376" s="4">
        <f t="shared" si="626"/>
        <v>1</v>
      </c>
      <c r="X376" s="4">
        <f t="shared" si="627"/>
        <v>0</v>
      </c>
      <c r="Y376" s="4">
        <f t="shared" si="628"/>
        <v>0</v>
      </c>
      <c r="Z376" s="4">
        <f t="shared" si="629"/>
        <v>0</v>
      </c>
      <c r="AA376" s="4">
        <f t="shared" si="630"/>
        <v>0</v>
      </c>
      <c r="AB376" s="4">
        <f t="shared" si="631"/>
        <v>0</v>
      </c>
      <c r="AC376" s="4"/>
      <c r="AD376" s="4" t="b">
        <f t="shared" si="632"/>
        <v>0</v>
      </c>
      <c r="AE376" s="4" t="b">
        <f t="shared" si="633"/>
        <v>0</v>
      </c>
      <c r="AF376" s="4" t="b">
        <f t="shared" si="634"/>
        <v>0</v>
      </c>
      <c r="AG376" t="b">
        <f t="shared" si="635"/>
        <v>0</v>
      </c>
      <c r="AH376" t="b">
        <f t="shared" si="636"/>
        <v>0</v>
      </c>
      <c r="AI376" t="b">
        <f t="shared" si="637"/>
        <v>0</v>
      </c>
      <c r="AJ376" t="b">
        <f t="shared" si="638"/>
        <v>0</v>
      </c>
      <c r="AK376" t="b">
        <f t="shared" si="639"/>
        <v>0</v>
      </c>
      <c r="AL376" t="b">
        <f t="shared" si="640"/>
        <v>0</v>
      </c>
      <c r="AM376" t="b">
        <f t="shared" si="641"/>
        <v>0</v>
      </c>
      <c r="AN376" t="b">
        <f t="shared" si="642"/>
        <v>0</v>
      </c>
      <c r="AO376" t="b">
        <f t="shared" si="643"/>
        <v>0</v>
      </c>
      <c r="AP376" t="b">
        <f t="shared" si="644"/>
        <v>0</v>
      </c>
      <c r="AQ376" t="b">
        <f t="shared" si="645"/>
        <v>0</v>
      </c>
      <c r="AR376" t="b">
        <f t="shared" si="646"/>
        <v>0</v>
      </c>
      <c r="AS376" t="b">
        <f t="shared" si="647"/>
        <v>0</v>
      </c>
      <c r="AT376" t="b">
        <f t="shared" si="648"/>
        <v>0</v>
      </c>
      <c r="AU376" t="b">
        <f t="shared" si="649"/>
        <v>0</v>
      </c>
      <c r="AV376" t="b">
        <f t="shared" si="650"/>
        <v>0</v>
      </c>
      <c r="AW376" t="b">
        <f t="shared" si="651"/>
        <v>0</v>
      </c>
      <c r="AX376" t="b">
        <f t="shared" si="653"/>
        <v>0</v>
      </c>
      <c r="AY376" t="b">
        <f t="shared" si="654"/>
        <v>0</v>
      </c>
      <c r="AZ376" t="b">
        <f t="shared" si="655"/>
        <v>0</v>
      </c>
      <c r="BA376" t="b">
        <f t="shared" si="656"/>
        <v>0</v>
      </c>
      <c r="BB376" t="b">
        <f t="shared" si="657"/>
        <v>0</v>
      </c>
      <c r="BC376" t="b">
        <f t="shared" si="658"/>
        <v>0</v>
      </c>
      <c r="BD376" t="b">
        <f t="shared" si="659"/>
        <v>0</v>
      </c>
      <c r="BE376" t="b">
        <f t="shared" si="660"/>
        <v>0</v>
      </c>
      <c r="BF376" t="b">
        <f t="shared" si="661"/>
        <v>0</v>
      </c>
      <c r="BG376" t="b">
        <f t="shared" si="662"/>
        <v>0</v>
      </c>
      <c r="BH376" t="b">
        <f t="shared" si="663"/>
        <v>0</v>
      </c>
      <c r="BI376">
        <f t="shared" si="664"/>
        <v>1</v>
      </c>
      <c r="BJ376" t="b">
        <f t="shared" si="665"/>
        <v>0</v>
      </c>
      <c r="BK376" t="b">
        <f t="shared" si="666"/>
        <v>0</v>
      </c>
      <c r="BL376" t="b">
        <f t="shared" si="667"/>
        <v>0</v>
      </c>
      <c r="BM376" t="b">
        <f t="shared" si="668"/>
        <v>0</v>
      </c>
      <c r="BN376" t="b">
        <f t="shared" si="669"/>
        <v>0</v>
      </c>
      <c r="BO376" t="b">
        <f t="shared" si="670"/>
        <v>0</v>
      </c>
      <c r="BP376" t="b">
        <f t="shared" si="671"/>
        <v>0</v>
      </c>
      <c r="BQ376" t="b">
        <f t="shared" si="672"/>
        <v>0</v>
      </c>
      <c r="BR376" t="b">
        <f t="shared" si="673"/>
        <v>0</v>
      </c>
      <c r="BS376" t="b">
        <f t="shared" si="674"/>
        <v>0</v>
      </c>
      <c r="BT376" t="b">
        <f t="shared" si="675"/>
        <v>0</v>
      </c>
      <c r="BU376" t="b">
        <f t="shared" si="676"/>
        <v>0</v>
      </c>
      <c r="BV376" t="b">
        <f t="shared" si="677"/>
        <v>0</v>
      </c>
      <c r="BW376" t="b">
        <f t="shared" si="678"/>
        <v>0</v>
      </c>
      <c r="BX376" t="b">
        <f t="shared" si="679"/>
        <v>0</v>
      </c>
      <c r="BY376" t="b">
        <f t="shared" si="680"/>
        <v>0</v>
      </c>
      <c r="BZ376" t="b">
        <f t="shared" si="681"/>
        <v>0</v>
      </c>
      <c r="CA376" t="b">
        <f t="shared" si="682"/>
        <v>0</v>
      </c>
      <c r="CB376" t="b">
        <f t="shared" si="683"/>
        <v>0</v>
      </c>
      <c r="CC376" t="b">
        <f t="shared" si="684"/>
        <v>0</v>
      </c>
      <c r="CD376" t="b">
        <f t="shared" si="685"/>
        <v>0</v>
      </c>
      <c r="CE376">
        <f t="shared" si="686"/>
        <v>1</v>
      </c>
      <c r="CF376" t="b">
        <f t="shared" si="687"/>
        <v>0</v>
      </c>
      <c r="CG376" t="b">
        <f t="shared" si="688"/>
        <v>0</v>
      </c>
      <c r="CH376" t="b">
        <f t="shared" si="689"/>
        <v>0</v>
      </c>
      <c r="CI376" t="b">
        <f t="shared" si="690"/>
        <v>0</v>
      </c>
      <c r="CJ376" t="b">
        <f t="shared" si="691"/>
        <v>0</v>
      </c>
      <c r="CK376" t="b">
        <f t="shared" si="692"/>
        <v>0</v>
      </c>
      <c r="CL376" t="b">
        <f t="shared" si="693"/>
        <v>0</v>
      </c>
      <c r="CM376" t="b">
        <f t="shared" si="694"/>
        <v>0</v>
      </c>
      <c r="CN376" t="b">
        <f t="shared" si="695"/>
        <v>0</v>
      </c>
      <c r="CO376" t="b">
        <f t="shared" si="696"/>
        <v>0</v>
      </c>
      <c r="CP376" t="b">
        <f t="shared" si="697"/>
        <v>0</v>
      </c>
      <c r="CQ376" t="b">
        <f t="shared" si="698"/>
        <v>0</v>
      </c>
      <c r="CR376" t="b">
        <f t="shared" si="699"/>
        <v>0</v>
      </c>
      <c r="CS376" t="b">
        <f t="shared" si="700"/>
        <v>0</v>
      </c>
      <c r="CT376" t="b">
        <f t="shared" si="701"/>
        <v>0</v>
      </c>
      <c r="CU376" t="b">
        <f t="shared" si="702"/>
        <v>0</v>
      </c>
      <c r="CV376">
        <f t="shared" si="703"/>
        <v>1</v>
      </c>
      <c r="CW376" t="b">
        <f t="shared" si="704"/>
        <v>0</v>
      </c>
      <c r="CX376" t="b">
        <f t="shared" si="705"/>
        <v>0</v>
      </c>
      <c r="CY376" t="b">
        <f t="shared" si="706"/>
        <v>0</v>
      </c>
      <c r="CZ376" t="b">
        <f t="shared" si="707"/>
        <v>0</v>
      </c>
      <c r="DA376" t="b">
        <f t="shared" si="708"/>
        <v>0</v>
      </c>
      <c r="DB376" t="b">
        <f t="shared" si="709"/>
        <v>0</v>
      </c>
      <c r="DC376" t="b">
        <f t="shared" si="710"/>
        <v>0</v>
      </c>
      <c r="DD376" t="b">
        <f t="shared" si="711"/>
        <v>0</v>
      </c>
      <c r="DE376" t="b">
        <f t="shared" si="712"/>
        <v>0</v>
      </c>
      <c r="DF376" t="b">
        <f t="shared" si="713"/>
        <v>0</v>
      </c>
      <c r="DG376" t="b">
        <f t="shared" si="714"/>
        <v>0</v>
      </c>
      <c r="DH376" t="b">
        <f t="shared" si="715"/>
        <v>0</v>
      </c>
      <c r="DI376" t="b">
        <f t="shared" si="716"/>
        <v>0</v>
      </c>
      <c r="DJ376" t="b">
        <f t="shared" si="717"/>
        <v>0</v>
      </c>
      <c r="DK376" t="b">
        <f t="shared" si="718"/>
        <v>0</v>
      </c>
      <c r="DL376" t="b">
        <f t="shared" si="719"/>
        <v>0</v>
      </c>
      <c r="DM376" t="b">
        <f t="shared" si="720"/>
        <v>0</v>
      </c>
      <c r="DN376" t="b">
        <f t="shared" si="721"/>
        <v>0</v>
      </c>
      <c r="DO376" t="b">
        <f t="shared" si="722"/>
        <v>0</v>
      </c>
      <c r="DP376" t="b">
        <f t="shared" si="723"/>
        <v>0</v>
      </c>
      <c r="DQ376" t="b">
        <f t="shared" si="724"/>
        <v>0</v>
      </c>
      <c r="DR376" t="b">
        <f t="shared" si="725"/>
        <v>0</v>
      </c>
      <c r="DS376" t="b">
        <f t="shared" si="726"/>
        <v>0</v>
      </c>
      <c r="DT376" t="b">
        <f t="shared" si="727"/>
        <v>0</v>
      </c>
      <c r="DU376" t="b">
        <f t="shared" si="728"/>
        <v>0</v>
      </c>
      <c r="DV376" t="b">
        <f t="shared" si="729"/>
        <v>0</v>
      </c>
      <c r="DW376" t="b">
        <f t="shared" si="730"/>
        <v>0</v>
      </c>
      <c r="DX376" t="b">
        <f t="shared" si="731"/>
        <v>0</v>
      </c>
      <c r="DY376" t="b">
        <f t="shared" si="732"/>
        <v>0</v>
      </c>
      <c r="DZ376" t="b">
        <f t="shared" si="733"/>
        <v>0</v>
      </c>
      <c r="EA376" t="b">
        <f t="shared" si="734"/>
        <v>0</v>
      </c>
      <c r="EB376" t="b">
        <f t="shared" si="735"/>
        <v>0</v>
      </c>
      <c r="EC376" t="b">
        <f t="shared" si="736"/>
        <v>0</v>
      </c>
      <c r="ED376" t="b">
        <f t="shared" si="737"/>
        <v>0</v>
      </c>
      <c r="EE376" t="b">
        <f t="shared" si="738"/>
        <v>0</v>
      </c>
      <c r="EF376">
        <f t="shared" si="739"/>
        <v>1</v>
      </c>
      <c r="EG376" t="b">
        <f t="shared" si="740"/>
        <v>0</v>
      </c>
      <c r="EH376" t="b">
        <f t="shared" si="741"/>
        <v>0</v>
      </c>
      <c r="EI376" t="b">
        <f t="shared" si="742"/>
        <v>0</v>
      </c>
      <c r="EJ376" t="b">
        <f t="shared" si="743"/>
        <v>0</v>
      </c>
      <c r="EK376" t="b">
        <f t="shared" si="744"/>
        <v>0</v>
      </c>
    </row>
    <row r="377" spans="1:141">
      <c r="A377" t="s">
        <v>1953</v>
      </c>
      <c r="B377" t="s">
        <v>1953</v>
      </c>
      <c r="C377" t="s">
        <v>1954</v>
      </c>
      <c r="D377" s="1">
        <v>42709</v>
      </c>
      <c r="E377" s="2">
        <v>42757.31894675926</v>
      </c>
      <c r="F377" s="2">
        <v>42757.31894675926</v>
      </c>
      <c r="G377">
        <v>366140</v>
      </c>
      <c r="H377" t="s">
        <v>1955</v>
      </c>
      <c r="I377" s="10" t="s">
        <v>1956</v>
      </c>
      <c r="J377" t="s">
        <v>1957</v>
      </c>
      <c r="K377" s="8" t="b">
        <v>1</v>
      </c>
      <c r="L377" s="10" t="b">
        <v>0</v>
      </c>
      <c r="M377" s="12" t="b">
        <v>0</v>
      </c>
      <c r="N377" t="b">
        <v>0</v>
      </c>
      <c r="O377" t="b">
        <v>0</v>
      </c>
      <c r="P377" t="b">
        <v>0</v>
      </c>
      <c r="Q377">
        <f t="shared" si="621"/>
        <v>2</v>
      </c>
      <c r="R377">
        <f t="shared" si="622"/>
        <v>12</v>
      </c>
      <c r="S377" t="e">
        <f t="shared" ca="1" si="652"/>
        <v>#NAME?</v>
      </c>
      <c r="T377" t="e">
        <f t="shared" ca="1" si="623"/>
        <v>#NAME?</v>
      </c>
      <c r="U377" s="4">
        <f t="shared" si="624"/>
        <v>48.318946759260143</v>
      </c>
      <c r="V377" s="4">
        <f t="shared" si="625"/>
        <v>1.6106315586420048</v>
      </c>
      <c r="W377" s="4">
        <f t="shared" si="626"/>
        <v>1</v>
      </c>
      <c r="X377" s="4">
        <f t="shared" si="627"/>
        <v>0</v>
      </c>
      <c r="Y377" s="4">
        <f t="shared" si="628"/>
        <v>0</v>
      </c>
      <c r="Z377" s="4">
        <f t="shared" si="629"/>
        <v>0</v>
      </c>
      <c r="AA377" s="4">
        <f t="shared" si="630"/>
        <v>0</v>
      </c>
      <c r="AB377" s="4">
        <f t="shared" si="631"/>
        <v>0</v>
      </c>
      <c r="AC377" s="4"/>
      <c r="AD377" s="4" t="b">
        <f t="shared" si="632"/>
        <v>0</v>
      </c>
      <c r="AE377" s="4" t="b">
        <f t="shared" si="633"/>
        <v>0</v>
      </c>
      <c r="AF377" s="4" t="b">
        <f t="shared" si="634"/>
        <v>0</v>
      </c>
      <c r="AG377" t="b">
        <f t="shared" si="635"/>
        <v>0</v>
      </c>
      <c r="AH377" t="b">
        <f t="shared" si="636"/>
        <v>0</v>
      </c>
      <c r="AI377" t="b">
        <f t="shared" si="637"/>
        <v>0</v>
      </c>
      <c r="AJ377" t="b">
        <f t="shared" si="638"/>
        <v>0</v>
      </c>
      <c r="AK377" t="b">
        <f t="shared" si="639"/>
        <v>0</v>
      </c>
      <c r="AL377" t="b">
        <f t="shared" si="640"/>
        <v>0</v>
      </c>
      <c r="AM377" t="b">
        <f t="shared" si="641"/>
        <v>0</v>
      </c>
      <c r="AN377" t="b">
        <f t="shared" si="642"/>
        <v>0</v>
      </c>
      <c r="AO377" t="b">
        <f t="shared" si="643"/>
        <v>0</v>
      </c>
      <c r="AP377" t="b">
        <f t="shared" si="644"/>
        <v>0</v>
      </c>
      <c r="AQ377" t="b">
        <f t="shared" si="645"/>
        <v>0</v>
      </c>
      <c r="AR377" t="b">
        <f t="shared" si="646"/>
        <v>0</v>
      </c>
      <c r="AS377" t="b">
        <f t="shared" si="647"/>
        <v>0</v>
      </c>
      <c r="AT377" t="b">
        <f t="shared" si="648"/>
        <v>0</v>
      </c>
      <c r="AU377" t="b">
        <f t="shared" si="649"/>
        <v>0</v>
      </c>
      <c r="AV377" t="b">
        <f t="shared" si="650"/>
        <v>0</v>
      </c>
      <c r="AW377" t="b">
        <f t="shared" si="651"/>
        <v>0</v>
      </c>
      <c r="AX377" t="b">
        <f t="shared" si="653"/>
        <v>0</v>
      </c>
      <c r="AY377" t="b">
        <f t="shared" si="654"/>
        <v>0</v>
      </c>
      <c r="AZ377">
        <f t="shared" si="655"/>
        <v>1</v>
      </c>
      <c r="BA377" t="b">
        <f t="shared" si="656"/>
        <v>0</v>
      </c>
      <c r="BB377" t="b">
        <f t="shared" si="657"/>
        <v>0</v>
      </c>
      <c r="BC377" t="b">
        <f t="shared" si="658"/>
        <v>0</v>
      </c>
      <c r="BD377" t="b">
        <f t="shared" si="659"/>
        <v>0</v>
      </c>
      <c r="BE377" t="b">
        <f t="shared" si="660"/>
        <v>0</v>
      </c>
      <c r="BF377" t="b">
        <f t="shared" si="661"/>
        <v>0</v>
      </c>
      <c r="BG377" t="b">
        <f t="shared" si="662"/>
        <v>0</v>
      </c>
      <c r="BH377" t="b">
        <f t="shared" si="663"/>
        <v>0</v>
      </c>
      <c r="BI377">
        <f t="shared" si="664"/>
        <v>1</v>
      </c>
      <c r="BJ377" t="b">
        <f t="shared" si="665"/>
        <v>0</v>
      </c>
      <c r="BK377" t="b">
        <f t="shared" si="666"/>
        <v>0</v>
      </c>
      <c r="BL377" t="b">
        <f t="shared" si="667"/>
        <v>0</v>
      </c>
      <c r="BM377" t="b">
        <f t="shared" si="668"/>
        <v>0</v>
      </c>
      <c r="BN377" t="b">
        <f t="shared" si="669"/>
        <v>0</v>
      </c>
      <c r="BO377" t="b">
        <f t="shared" si="670"/>
        <v>0</v>
      </c>
      <c r="BP377" t="b">
        <f t="shared" si="671"/>
        <v>0</v>
      </c>
      <c r="BQ377" t="b">
        <f t="shared" si="672"/>
        <v>0</v>
      </c>
      <c r="BR377" t="b">
        <f t="shared" si="673"/>
        <v>0</v>
      </c>
      <c r="BS377" t="b">
        <f t="shared" si="674"/>
        <v>0</v>
      </c>
      <c r="BT377" t="b">
        <f t="shared" si="675"/>
        <v>0</v>
      </c>
      <c r="BU377" t="b">
        <f t="shared" si="676"/>
        <v>0</v>
      </c>
      <c r="BV377" t="b">
        <f t="shared" si="677"/>
        <v>0</v>
      </c>
      <c r="BW377" t="b">
        <f t="shared" si="678"/>
        <v>0</v>
      </c>
      <c r="BX377" t="b">
        <f t="shared" si="679"/>
        <v>0</v>
      </c>
      <c r="BY377" t="b">
        <f t="shared" si="680"/>
        <v>0</v>
      </c>
      <c r="BZ377" t="b">
        <f t="shared" si="681"/>
        <v>0</v>
      </c>
      <c r="CA377" t="b">
        <f t="shared" si="682"/>
        <v>0</v>
      </c>
      <c r="CB377" t="b">
        <f t="shared" si="683"/>
        <v>0</v>
      </c>
      <c r="CC377" t="b">
        <f t="shared" si="684"/>
        <v>0</v>
      </c>
      <c r="CD377" t="b">
        <f t="shared" si="685"/>
        <v>0</v>
      </c>
      <c r="CE377">
        <f t="shared" si="686"/>
        <v>1</v>
      </c>
      <c r="CF377" t="b">
        <f t="shared" si="687"/>
        <v>0</v>
      </c>
      <c r="CG377" t="b">
        <f t="shared" si="688"/>
        <v>0</v>
      </c>
      <c r="CH377" t="b">
        <f t="shared" si="689"/>
        <v>0</v>
      </c>
      <c r="CI377" t="b">
        <f t="shared" si="690"/>
        <v>0</v>
      </c>
      <c r="CJ377" t="b">
        <f t="shared" si="691"/>
        <v>0</v>
      </c>
      <c r="CK377" t="b">
        <f t="shared" si="692"/>
        <v>0</v>
      </c>
      <c r="CL377" t="b">
        <f t="shared" si="693"/>
        <v>0</v>
      </c>
      <c r="CM377" t="b">
        <f t="shared" si="694"/>
        <v>0</v>
      </c>
      <c r="CN377" t="b">
        <f t="shared" si="695"/>
        <v>0</v>
      </c>
      <c r="CO377" t="b">
        <f t="shared" si="696"/>
        <v>0</v>
      </c>
      <c r="CP377" t="b">
        <f t="shared" si="697"/>
        <v>0</v>
      </c>
      <c r="CQ377" t="b">
        <f t="shared" si="698"/>
        <v>0</v>
      </c>
      <c r="CR377" t="b">
        <f t="shared" si="699"/>
        <v>0</v>
      </c>
      <c r="CS377" t="b">
        <f t="shared" si="700"/>
        <v>0</v>
      </c>
      <c r="CT377" t="b">
        <f t="shared" si="701"/>
        <v>0</v>
      </c>
      <c r="CU377" t="b">
        <f t="shared" si="702"/>
        <v>0</v>
      </c>
      <c r="CV377">
        <f t="shared" si="703"/>
        <v>1</v>
      </c>
      <c r="CW377" t="b">
        <f t="shared" si="704"/>
        <v>0</v>
      </c>
      <c r="CX377" t="b">
        <f t="shared" si="705"/>
        <v>0</v>
      </c>
      <c r="CY377" t="b">
        <f t="shared" si="706"/>
        <v>0</v>
      </c>
      <c r="CZ377" t="b">
        <f t="shared" si="707"/>
        <v>0</v>
      </c>
      <c r="DA377" t="b">
        <f t="shared" si="708"/>
        <v>0</v>
      </c>
      <c r="DB377" t="b">
        <f t="shared" si="709"/>
        <v>0</v>
      </c>
      <c r="DC377" t="b">
        <f t="shared" si="710"/>
        <v>0</v>
      </c>
      <c r="DD377" t="b">
        <f t="shared" si="711"/>
        <v>0</v>
      </c>
      <c r="DE377" t="b">
        <f t="shared" si="712"/>
        <v>0</v>
      </c>
      <c r="DF377" t="b">
        <f t="shared" si="713"/>
        <v>0</v>
      </c>
      <c r="DG377" t="b">
        <f t="shared" si="714"/>
        <v>0</v>
      </c>
      <c r="DH377" t="b">
        <f t="shared" si="715"/>
        <v>0</v>
      </c>
      <c r="DI377" t="b">
        <f t="shared" si="716"/>
        <v>0</v>
      </c>
      <c r="DJ377" t="b">
        <f t="shared" si="717"/>
        <v>0</v>
      </c>
      <c r="DK377" t="b">
        <f t="shared" si="718"/>
        <v>0</v>
      </c>
      <c r="DL377" t="b">
        <f t="shared" si="719"/>
        <v>0</v>
      </c>
      <c r="DM377" t="b">
        <f t="shared" si="720"/>
        <v>0</v>
      </c>
      <c r="DN377" t="b">
        <f t="shared" si="721"/>
        <v>0</v>
      </c>
      <c r="DO377" t="b">
        <f t="shared" si="722"/>
        <v>0</v>
      </c>
      <c r="DP377" t="b">
        <f t="shared" si="723"/>
        <v>0</v>
      </c>
      <c r="DQ377" t="b">
        <f t="shared" si="724"/>
        <v>0</v>
      </c>
      <c r="DR377" t="b">
        <f t="shared" si="725"/>
        <v>0</v>
      </c>
      <c r="DS377" t="b">
        <f t="shared" si="726"/>
        <v>0</v>
      </c>
      <c r="DT377" t="b">
        <f t="shared" si="727"/>
        <v>0</v>
      </c>
      <c r="DU377" t="b">
        <f t="shared" si="728"/>
        <v>0</v>
      </c>
      <c r="DV377" t="b">
        <f t="shared" si="729"/>
        <v>0</v>
      </c>
      <c r="DW377" t="b">
        <f t="shared" si="730"/>
        <v>0</v>
      </c>
      <c r="DX377">
        <f t="shared" si="731"/>
        <v>1</v>
      </c>
      <c r="DY377" t="b">
        <f t="shared" si="732"/>
        <v>0</v>
      </c>
      <c r="DZ377" t="b">
        <f t="shared" si="733"/>
        <v>0</v>
      </c>
      <c r="EA377" t="b">
        <f t="shared" si="734"/>
        <v>0</v>
      </c>
      <c r="EB377" t="b">
        <f t="shared" si="735"/>
        <v>0</v>
      </c>
      <c r="EC377" t="b">
        <f t="shared" si="736"/>
        <v>0</v>
      </c>
      <c r="ED377" t="b">
        <f t="shared" si="737"/>
        <v>0</v>
      </c>
      <c r="EE377" t="b">
        <f t="shared" si="738"/>
        <v>0</v>
      </c>
      <c r="EF377">
        <f t="shared" si="739"/>
        <v>1</v>
      </c>
      <c r="EG377" t="b">
        <f t="shared" si="740"/>
        <v>0</v>
      </c>
      <c r="EH377" t="b">
        <f t="shared" si="741"/>
        <v>0</v>
      </c>
      <c r="EI377">
        <f t="shared" si="742"/>
        <v>1</v>
      </c>
      <c r="EJ377" t="b">
        <f t="shared" si="743"/>
        <v>0</v>
      </c>
      <c r="EK377" t="b">
        <f t="shared" si="744"/>
        <v>0</v>
      </c>
    </row>
    <row r="378" spans="1:141">
      <c r="A378" t="s">
        <v>1958</v>
      </c>
      <c r="B378" t="s">
        <v>1958</v>
      </c>
      <c r="C378" t="s">
        <v>1959</v>
      </c>
      <c r="D378" s="1">
        <v>42138</v>
      </c>
      <c r="E378" s="2">
        <v>42152.756435185183</v>
      </c>
      <c r="F378" s="2">
        <v>42152.756435185183</v>
      </c>
      <c r="G378">
        <v>699793</v>
      </c>
      <c r="H378" t="s">
        <v>1960</v>
      </c>
      <c r="I378" s="10" t="s">
        <v>1961</v>
      </c>
      <c r="J378" t="s">
        <v>1962</v>
      </c>
      <c r="K378" s="8" t="b">
        <v>1</v>
      </c>
      <c r="L378" s="10" t="b">
        <v>0</v>
      </c>
      <c r="M378" s="12" t="b">
        <v>0</v>
      </c>
      <c r="N378" t="b">
        <v>0</v>
      </c>
      <c r="O378" t="b">
        <v>0</v>
      </c>
      <c r="P378" t="b">
        <v>0</v>
      </c>
      <c r="Q378">
        <f t="shared" si="621"/>
        <v>5</v>
      </c>
      <c r="R378">
        <f t="shared" si="622"/>
        <v>5</v>
      </c>
      <c r="S378" t="e">
        <f t="shared" ca="1" si="652"/>
        <v>#NAME?</v>
      </c>
      <c r="T378" t="e">
        <f t="shared" ca="1" si="623"/>
        <v>#NAME?</v>
      </c>
      <c r="U378" s="4">
        <f t="shared" si="624"/>
        <v>14.756435185183364</v>
      </c>
      <c r="V378" s="4">
        <f t="shared" si="625"/>
        <v>0.49188117283944544</v>
      </c>
      <c r="W378" s="4">
        <f t="shared" si="626"/>
        <v>1</v>
      </c>
      <c r="X378" s="4">
        <f t="shared" si="627"/>
        <v>0</v>
      </c>
      <c r="Y378" s="4">
        <f t="shared" si="628"/>
        <v>0</v>
      </c>
      <c r="Z378" s="4">
        <f t="shared" si="629"/>
        <v>0</v>
      </c>
      <c r="AA378" s="4">
        <f t="shared" si="630"/>
        <v>0</v>
      </c>
      <c r="AB378" s="4">
        <f t="shared" si="631"/>
        <v>0</v>
      </c>
      <c r="AC378" s="4"/>
      <c r="AD378" s="4" t="b">
        <f t="shared" si="632"/>
        <v>0</v>
      </c>
      <c r="AE378" s="4" t="b">
        <f t="shared" si="633"/>
        <v>0</v>
      </c>
      <c r="AF378" s="4" t="b">
        <f t="shared" si="634"/>
        <v>0</v>
      </c>
      <c r="AG378" t="b">
        <f t="shared" si="635"/>
        <v>0</v>
      </c>
      <c r="AH378" t="b">
        <f t="shared" si="636"/>
        <v>0</v>
      </c>
      <c r="AI378" t="b">
        <f t="shared" si="637"/>
        <v>0</v>
      </c>
      <c r="AJ378" t="b">
        <f t="shared" si="638"/>
        <v>0</v>
      </c>
      <c r="AK378" t="b">
        <f t="shared" si="639"/>
        <v>0</v>
      </c>
      <c r="AL378" t="b">
        <f t="shared" si="640"/>
        <v>0</v>
      </c>
      <c r="AM378" t="b">
        <f t="shared" si="641"/>
        <v>0</v>
      </c>
      <c r="AN378" t="b">
        <f t="shared" si="642"/>
        <v>0</v>
      </c>
      <c r="AO378" t="b">
        <f t="shared" si="643"/>
        <v>0</v>
      </c>
      <c r="AP378" t="b">
        <f t="shared" si="644"/>
        <v>0</v>
      </c>
      <c r="AQ378" t="b">
        <f t="shared" si="645"/>
        <v>0</v>
      </c>
      <c r="AR378" t="b">
        <f t="shared" si="646"/>
        <v>0</v>
      </c>
      <c r="AS378" t="b">
        <f t="shared" si="647"/>
        <v>0</v>
      </c>
      <c r="AT378" t="b">
        <f t="shared" si="648"/>
        <v>0</v>
      </c>
      <c r="AU378" t="b">
        <f t="shared" si="649"/>
        <v>0</v>
      </c>
      <c r="AV378" t="b">
        <f t="shared" si="650"/>
        <v>0</v>
      </c>
      <c r="AW378" t="b">
        <f t="shared" si="651"/>
        <v>0</v>
      </c>
      <c r="AX378" t="b">
        <f t="shared" si="653"/>
        <v>0</v>
      </c>
      <c r="AY378" t="b">
        <f t="shared" si="654"/>
        <v>0</v>
      </c>
      <c r="AZ378" t="b">
        <f t="shared" si="655"/>
        <v>0</v>
      </c>
      <c r="BA378" t="b">
        <f t="shared" si="656"/>
        <v>0</v>
      </c>
      <c r="BB378" t="b">
        <f t="shared" si="657"/>
        <v>0</v>
      </c>
      <c r="BC378" t="b">
        <f t="shared" si="658"/>
        <v>0</v>
      </c>
      <c r="BD378">
        <f t="shared" si="659"/>
        <v>1</v>
      </c>
      <c r="BE378" t="b">
        <f t="shared" si="660"/>
        <v>0</v>
      </c>
      <c r="BF378" t="b">
        <f t="shared" si="661"/>
        <v>0</v>
      </c>
      <c r="BG378" t="b">
        <f t="shared" si="662"/>
        <v>0</v>
      </c>
      <c r="BH378" t="b">
        <f t="shared" si="663"/>
        <v>0</v>
      </c>
      <c r="BI378" t="b">
        <f t="shared" si="664"/>
        <v>0</v>
      </c>
      <c r="BJ378" t="b">
        <f t="shared" si="665"/>
        <v>0</v>
      </c>
      <c r="BK378" t="b">
        <f t="shared" si="666"/>
        <v>0</v>
      </c>
      <c r="BL378" t="b">
        <f t="shared" si="667"/>
        <v>0</v>
      </c>
      <c r="BM378" t="b">
        <f t="shared" si="668"/>
        <v>0</v>
      </c>
      <c r="BN378" t="b">
        <f t="shared" si="669"/>
        <v>0</v>
      </c>
      <c r="BO378" t="b">
        <f t="shared" si="670"/>
        <v>0</v>
      </c>
      <c r="BP378" t="b">
        <f t="shared" si="671"/>
        <v>0</v>
      </c>
      <c r="BQ378" t="b">
        <f t="shared" si="672"/>
        <v>0</v>
      </c>
      <c r="BR378" t="b">
        <f t="shared" si="673"/>
        <v>0</v>
      </c>
      <c r="BS378" t="b">
        <f t="shared" si="674"/>
        <v>0</v>
      </c>
      <c r="BT378" t="b">
        <f t="shared" si="675"/>
        <v>0</v>
      </c>
      <c r="BU378" t="b">
        <f t="shared" si="676"/>
        <v>0</v>
      </c>
      <c r="BV378" t="b">
        <f t="shared" si="677"/>
        <v>0</v>
      </c>
      <c r="BW378" t="b">
        <f t="shared" si="678"/>
        <v>0</v>
      </c>
      <c r="BX378" t="b">
        <f t="shared" si="679"/>
        <v>0</v>
      </c>
      <c r="BY378" t="b">
        <f t="shared" si="680"/>
        <v>0</v>
      </c>
      <c r="BZ378" t="b">
        <f t="shared" si="681"/>
        <v>0</v>
      </c>
      <c r="CA378" t="b">
        <f t="shared" si="682"/>
        <v>0</v>
      </c>
      <c r="CB378" t="b">
        <f t="shared" si="683"/>
        <v>0</v>
      </c>
      <c r="CC378" t="b">
        <f t="shared" si="684"/>
        <v>0</v>
      </c>
      <c r="CD378" t="b">
        <f t="shared" si="685"/>
        <v>0</v>
      </c>
      <c r="CE378" t="b">
        <f t="shared" si="686"/>
        <v>0</v>
      </c>
      <c r="CF378" t="b">
        <f t="shared" si="687"/>
        <v>0</v>
      </c>
      <c r="CG378" t="b">
        <f t="shared" si="688"/>
        <v>0</v>
      </c>
      <c r="CH378" t="b">
        <f t="shared" si="689"/>
        <v>0</v>
      </c>
      <c r="CI378" t="b">
        <f t="shared" si="690"/>
        <v>0</v>
      </c>
      <c r="CJ378" t="b">
        <f t="shared" si="691"/>
        <v>0</v>
      </c>
      <c r="CK378" t="b">
        <f t="shared" si="692"/>
        <v>0</v>
      </c>
      <c r="CL378" t="b">
        <f t="shared" si="693"/>
        <v>0</v>
      </c>
      <c r="CM378" t="b">
        <f t="shared" si="694"/>
        <v>0</v>
      </c>
      <c r="CN378" t="b">
        <f t="shared" si="695"/>
        <v>0</v>
      </c>
      <c r="CO378" t="b">
        <f t="shared" si="696"/>
        <v>0</v>
      </c>
      <c r="CP378" t="b">
        <f t="shared" si="697"/>
        <v>0</v>
      </c>
      <c r="CQ378" t="b">
        <f t="shared" si="698"/>
        <v>0</v>
      </c>
      <c r="CR378" t="b">
        <f t="shared" si="699"/>
        <v>0</v>
      </c>
      <c r="CS378" t="b">
        <f t="shared" si="700"/>
        <v>0</v>
      </c>
      <c r="CT378" t="b">
        <f t="shared" si="701"/>
        <v>0</v>
      </c>
      <c r="CU378" t="b">
        <f t="shared" si="702"/>
        <v>0</v>
      </c>
      <c r="CV378" t="b">
        <f t="shared" si="703"/>
        <v>0</v>
      </c>
      <c r="CW378" t="b">
        <f t="shared" si="704"/>
        <v>0</v>
      </c>
      <c r="CX378" t="b">
        <f t="shared" si="705"/>
        <v>0</v>
      </c>
      <c r="CY378" t="b">
        <f t="shared" si="706"/>
        <v>0</v>
      </c>
      <c r="CZ378" t="b">
        <f t="shared" si="707"/>
        <v>0</v>
      </c>
      <c r="DA378" t="b">
        <f t="shared" si="708"/>
        <v>0</v>
      </c>
      <c r="DB378" t="b">
        <f t="shared" si="709"/>
        <v>0</v>
      </c>
      <c r="DC378" t="b">
        <f t="shared" si="710"/>
        <v>0</v>
      </c>
      <c r="DD378" t="b">
        <f t="shared" si="711"/>
        <v>0</v>
      </c>
      <c r="DE378" t="b">
        <f t="shared" si="712"/>
        <v>0</v>
      </c>
      <c r="DF378" t="b">
        <f t="shared" si="713"/>
        <v>0</v>
      </c>
      <c r="DG378" t="b">
        <f t="shared" si="714"/>
        <v>0</v>
      </c>
      <c r="DH378" t="b">
        <f t="shared" si="715"/>
        <v>0</v>
      </c>
      <c r="DI378" t="b">
        <f t="shared" si="716"/>
        <v>0</v>
      </c>
      <c r="DJ378" t="b">
        <f t="shared" si="717"/>
        <v>0</v>
      </c>
      <c r="DK378" t="b">
        <f t="shared" si="718"/>
        <v>0</v>
      </c>
      <c r="DL378" t="b">
        <f t="shared" si="719"/>
        <v>0</v>
      </c>
      <c r="DM378" t="b">
        <f t="shared" si="720"/>
        <v>0</v>
      </c>
      <c r="DN378" t="b">
        <f t="shared" si="721"/>
        <v>0</v>
      </c>
      <c r="DO378" t="b">
        <f t="shared" si="722"/>
        <v>0</v>
      </c>
      <c r="DP378" t="b">
        <f t="shared" si="723"/>
        <v>0</v>
      </c>
      <c r="DQ378" t="b">
        <f t="shared" si="724"/>
        <v>0</v>
      </c>
      <c r="DR378" t="b">
        <f t="shared" si="725"/>
        <v>0</v>
      </c>
      <c r="DS378" t="b">
        <f t="shared" si="726"/>
        <v>0</v>
      </c>
      <c r="DT378" t="b">
        <f t="shared" si="727"/>
        <v>0</v>
      </c>
      <c r="DU378" t="b">
        <f t="shared" si="728"/>
        <v>0</v>
      </c>
      <c r="DV378" t="b">
        <f t="shared" si="729"/>
        <v>0</v>
      </c>
      <c r="DW378" t="b">
        <f t="shared" si="730"/>
        <v>0</v>
      </c>
      <c r="DX378" t="b">
        <f t="shared" si="731"/>
        <v>0</v>
      </c>
      <c r="DY378" t="b">
        <f t="shared" si="732"/>
        <v>0</v>
      </c>
      <c r="DZ378" t="b">
        <f t="shared" si="733"/>
        <v>0</v>
      </c>
      <c r="EA378" t="b">
        <f t="shared" si="734"/>
        <v>0</v>
      </c>
      <c r="EB378" t="b">
        <f t="shared" si="735"/>
        <v>0</v>
      </c>
      <c r="EC378" t="b">
        <f t="shared" si="736"/>
        <v>0</v>
      </c>
      <c r="ED378" t="b">
        <f t="shared" si="737"/>
        <v>0</v>
      </c>
      <c r="EE378" t="b">
        <f t="shared" si="738"/>
        <v>0</v>
      </c>
      <c r="EF378" t="b">
        <f t="shared" si="739"/>
        <v>0</v>
      </c>
      <c r="EG378" t="b">
        <f t="shared" si="740"/>
        <v>0</v>
      </c>
      <c r="EH378" t="b">
        <f t="shared" si="741"/>
        <v>0</v>
      </c>
      <c r="EI378" t="b">
        <f t="shared" si="742"/>
        <v>0</v>
      </c>
      <c r="EJ378" t="b">
        <f t="shared" si="743"/>
        <v>0</v>
      </c>
      <c r="EK378" t="b">
        <f t="shared" si="744"/>
        <v>0</v>
      </c>
    </row>
    <row r="379" spans="1:141">
      <c r="A379" t="s">
        <v>1963</v>
      </c>
      <c r="B379" t="s">
        <v>1964</v>
      </c>
      <c r="C379" t="s">
        <v>1965</v>
      </c>
      <c r="D379" s="1">
        <v>41687</v>
      </c>
      <c r="E379" s="2">
        <v>41693.131689814814</v>
      </c>
      <c r="F379" s="2">
        <v>41693.131689814814</v>
      </c>
      <c r="G379">
        <v>37784</v>
      </c>
      <c r="H379" t="s">
        <v>1966</v>
      </c>
      <c r="I379" s="10" t="s">
        <v>1967</v>
      </c>
      <c r="J379" t="s">
        <v>1968</v>
      </c>
      <c r="K379" s="8" t="b">
        <v>1</v>
      </c>
      <c r="L379" s="10" t="b">
        <v>0</v>
      </c>
      <c r="M379" s="12" t="b">
        <v>0</v>
      </c>
      <c r="N379" t="b">
        <v>0</v>
      </c>
      <c r="O379" t="b">
        <v>0</v>
      </c>
      <c r="P379" t="b">
        <v>0</v>
      </c>
      <c r="Q379">
        <f t="shared" si="621"/>
        <v>2</v>
      </c>
      <c r="R379">
        <f t="shared" si="622"/>
        <v>2</v>
      </c>
      <c r="S379" t="e">
        <f t="shared" ca="1" si="652"/>
        <v>#NAME?</v>
      </c>
      <c r="T379" t="e">
        <f t="shared" ca="1" si="623"/>
        <v>#NAME?</v>
      </c>
      <c r="U379" s="4">
        <f t="shared" si="624"/>
        <v>6.1316898148143082</v>
      </c>
      <c r="V379" s="4">
        <f t="shared" si="625"/>
        <v>0.20438966049381027</v>
      </c>
      <c r="W379" s="4">
        <f t="shared" si="626"/>
        <v>1</v>
      </c>
      <c r="X379" s="4">
        <f t="shared" si="627"/>
        <v>0</v>
      </c>
      <c r="Y379" s="4">
        <f t="shared" si="628"/>
        <v>0</v>
      </c>
      <c r="Z379" s="4">
        <f t="shared" si="629"/>
        <v>0</v>
      </c>
      <c r="AA379" s="4">
        <f t="shared" si="630"/>
        <v>0</v>
      </c>
      <c r="AB379" s="4">
        <f t="shared" si="631"/>
        <v>0</v>
      </c>
      <c r="AC379" s="4"/>
      <c r="AD379" s="4" t="b">
        <f t="shared" si="632"/>
        <v>0</v>
      </c>
      <c r="AE379" s="4" t="b">
        <f t="shared" si="633"/>
        <v>0</v>
      </c>
      <c r="AF379" s="4">
        <f t="shared" si="634"/>
        <v>1</v>
      </c>
      <c r="AG379" t="b">
        <f t="shared" si="635"/>
        <v>0</v>
      </c>
      <c r="AH379" t="b">
        <f t="shared" si="636"/>
        <v>0</v>
      </c>
      <c r="AI379" t="b">
        <f t="shared" si="637"/>
        <v>0</v>
      </c>
      <c r="AJ379" t="b">
        <f t="shared" si="638"/>
        <v>0</v>
      </c>
      <c r="AK379" t="b">
        <f t="shared" si="639"/>
        <v>0</v>
      </c>
      <c r="AL379" t="b">
        <f t="shared" si="640"/>
        <v>0</v>
      </c>
      <c r="AM379" t="b">
        <f t="shared" si="641"/>
        <v>0</v>
      </c>
      <c r="AN379" t="b">
        <f t="shared" si="642"/>
        <v>0</v>
      </c>
      <c r="AO379" t="b">
        <f t="shared" si="643"/>
        <v>0</v>
      </c>
      <c r="AP379" t="b">
        <f t="shared" si="644"/>
        <v>0</v>
      </c>
      <c r="AQ379" t="b">
        <f t="shared" si="645"/>
        <v>0</v>
      </c>
      <c r="AR379" t="b">
        <f t="shared" si="646"/>
        <v>0</v>
      </c>
      <c r="AS379" t="b">
        <f t="shared" si="647"/>
        <v>0</v>
      </c>
      <c r="AT379" t="b">
        <f t="shared" si="648"/>
        <v>0</v>
      </c>
      <c r="AU379" t="b">
        <f t="shared" si="649"/>
        <v>0</v>
      </c>
      <c r="AV379" t="b">
        <f t="shared" si="650"/>
        <v>0</v>
      </c>
      <c r="AW379" t="b">
        <f t="shared" si="651"/>
        <v>0</v>
      </c>
      <c r="AX379" t="b">
        <f t="shared" si="653"/>
        <v>0</v>
      </c>
      <c r="AY379" t="b">
        <f t="shared" si="654"/>
        <v>0</v>
      </c>
      <c r="AZ379" t="b">
        <f t="shared" si="655"/>
        <v>0</v>
      </c>
      <c r="BA379" t="b">
        <f t="shared" si="656"/>
        <v>0</v>
      </c>
      <c r="BB379" t="b">
        <f t="shared" si="657"/>
        <v>0</v>
      </c>
      <c r="BC379" t="b">
        <f t="shared" si="658"/>
        <v>0</v>
      </c>
      <c r="BD379" t="b">
        <f t="shared" si="659"/>
        <v>0</v>
      </c>
      <c r="BE379" t="b">
        <f t="shared" si="660"/>
        <v>0</v>
      </c>
      <c r="BF379" t="b">
        <f t="shared" si="661"/>
        <v>0</v>
      </c>
      <c r="BG379" t="b">
        <f t="shared" si="662"/>
        <v>0</v>
      </c>
      <c r="BH379" t="b">
        <f t="shared" si="663"/>
        <v>0</v>
      </c>
      <c r="BI379">
        <f t="shared" si="664"/>
        <v>1</v>
      </c>
      <c r="BJ379">
        <f t="shared" si="665"/>
        <v>1</v>
      </c>
      <c r="BK379" t="b">
        <f t="shared" si="666"/>
        <v>0</v>
      </c>
      <c r="BL379" t="b">
        <f t="shared" si="667"/>
        <v>0</v>
      </c>
      <c r="BM379" t="b">
        <f t="shared" si="668"/>
        <v>0</v>
      </c>
      <c r="BN379" t="b">
        <f t="shared" si="669"/>
        <v>0</v>
      </c>
      <c r="BO379" t="b">
        <f t="shared" si="670"/>
        <v>0</v>
      </c>
      <c r="BP379" t="b">
        <f t="shared" si="671"/>
        <v>0</v>
      </c>
      <c r="BQ379" t="b">
        <f t="shared" si="672"/>
        <v>0</v>
      </c>
      <c r="BR379" t="b">
        <f t="shared" si="673"/>
        <v>0</v>
      </c>
      <c r="BS379" t="b">
        <f t="shared" si="674"/>
        <v>0</v>
      </c>
      <c r="BT379" t="b">
        <f t="shared" si="675"/>
        <v>0</v>
      </c>
      <c r="BU379" t="b">
        <f t="shared" si="676"/>
        <v>0</v>
      </c>
      <c r="BV379" t="b">
        <f t="shared" si="677"/>
        <v>0</v>
      </c>
      <c r="BW379" t="b">
        <f t="shared" si="678"/>
        <v>0</v>
      </c>
      <c r="BX379" t="b">
        <f t="shared" si="679"/>
        <v>0</v>
      </c>
      <c r="BY379" t="b">
        <f t="shared" si="680"/>
        <v>0</v>
      </c>
      <c r="BZ379" t="b">
        <f t="shared" si="681"/>
        <v>0</v>
      </c>
      <c r="CA379" t="b">
        <f t="shared" si="682"/>
        <v>0</v>
      </c>
      <c r="CB379" t="b">
        <f t="shared" si="683"/>
        <v>0</v>
      </c>
      <c r="CC379" t="b">
        <f t="shared" si="684"/>
        <v>0</v>
      </c>
      <c r="CD379" t="b">
        <f t="shared" si="685"/>
        <v>0</v>
      </c>
      <c r="CE379" t="b">
        <f t="shared" si="686"/>
        <v>0</v>
      </c>
      <c r="CF379" t="b">
        <f t="shared" si="687"/>
        <v>0</v>
      </c>
      <c r="CG379" t="b">
        <f t="shared" si="688"/>
        <v>0</v>
      </c>
      <c r="CH379" t="b">
        <f t="shared" si="689"/>
        <v>0</v>
      </c>
      <c r="CI379" t="b">
        <f t="shared" si="690"/>
        <v>0</v>
      </c>
      <c r="CJ379" t="b">
        <f t="shared" si="691"/>
        <v>0</v>
      </c>
      <c r="CK379" t="b">
        <f t="shared" si="692"/>
        <v>0</v>
      </c>
      <c r="CL379" t="b">
        <f t="shared" si="693"/>
        <v>0</v>
      </c>
      <c r="CM379">
        <f t="shared" si="694"/>
        <v>1</v>
      </c>
      <c r="CN379" t="b">
        <f t="shared" si="695"/>
        <v>0</v>
      </c>
      <c r="CO379" t="b">
        <f t="shared" si="696"/>
        <v>0</v>
      </c>
      <c r="CP379" t="b">
        <f t="shared" si="697"/>
        <v>0</v>
      </c>
      <c r="CQ379" t="b">
        <f t="shared" si="698"/>
        <v>0</v>
      </c>
      <c r="CR379" t="b">
        <f t="shared" si="699"/>
        <v>0</v>
      </c>
      <c r="CS379" t="b">
        <f t="shared" si="700"/>
        <v>0</v>
      </c>
      <c r="CT379" t="b">
        <f t="shared" si="701"/>
        <v>0</v>
      </c>
      <c r="CU379" t="b">
        <f t="shared" si="702"/>
        <v>0</v>
      </c>
      <c r="CV379">
        <f t="shared" si="703"/>
        <v>1</v>
      </c>
      <c r="CW379" t="b">
        <f t="shared" si="704"/>
        <v>0</v>
      </c>
      <c r="CX379" t="b">
        <f t="shared" si="705"/>
        <v>0</v>
      </c>
      <c r="CY379" t="b">
        <f t="shared" si="706"/>
        <v>0</v>
      </c>
      <c r="CZ379" t="b">
        <f t="shared" si="707"/>
        <v>0</v>
      </c>
      <c r="DA379">
        <f t="shared" si="708"/>
        <v>1</v>
      </c>
      <c r="DB379">
        <f t="shared" si="709"/>
        <v>1</v>
      </c>
      <c r="DC379" t="b">
        <f t="shared" si="710"/>
        <v>0</v>
      </c>
      <c r="DD379" t="b">
        <f t="shared" si="711"/>
        <v>0</v>
      </c>
      <c r="DE379" t="b">
        <f t="shared" si="712"/>
        <v>0</v>
      </c>
      <c r="DF379" t="b">
        <f t="shared" si="713"/>
        <v>0</v>
      </c>
      <c r="DG379" t="b">
        <f t="shared" si="714"/>
        <v>0</v>
      </c>
      <c r="DH379" t="b">
        <f t="shared" si="715"/>
        <v>0</v>
      </c>
      <c r="DI379" t="b">
        <f t="shared" si="716"/>
        <v>0</v>
      </c>
      <c r="DJ379" t="b">
        <f t="shared" si="717"/>
        <v>0</v>
      </c>
      <c r="DK379" t="b">
        <f t="shared" si="718"/>
        <v>0</v>
      </c>
      <c r="DL379" t="b">
        <f t="shared" si="719"/>
        <v>0</v>
      </c>
      <c r="DM379" t="b">
        <f t="shared" si="720"/>
        <v>0</v>
      </c>
      <c r="DN379" t="b">
        <f t="shared" si="721"/>
        <v>0</v>
      </c>
      <c r="DO379" t="b">
        <f t="shared" si="722"/>
        <v>0</v>
      </c>
      <c r="DP379" t="b">
        <f t="shared" si="723"/>
        <v>0</v>
      </c>
      <c r="DQ379" t="b">
        <f t="shared" si="724"/>
        <v>0</v>
      </c>
      <c r="DR379" t="b">
        <f t="shared" si="725"/>
        <v>0</v>
      </c>
      <c r="DS379" t="b">
        <f t="shared" si="726"/>
        <v>0</v>
      </c>
      <c r="DT379" t="b">
        <f t="shared" si="727"/>
        <v>0</v>
      </c>
      <c r="DU379" t="b">
        <f t="shared" si="728"/>
        <v>0</v>
      </c>
      <c r="DV379" t="b">
        <f t="shared" si="729"/>
        <v>0</v>
      </c>
      <c r="DW379" t="b">
        <f t="shared" si="730"/>
        <v>0</v>
      </c>
      <c r="DX379" t="b">
        <f t="shared" si="731"/>
        <v>0</v>
      </c>
      <c r="DY379" t="b">
        <f t="shared" si="732"/>
        <v>0</v>
      </c>
      <c r="DZ379" t="b">
        <f t="shared" si="733"/>
        <v>0</v>
      </c>
      <c r="EA379" t="b">
        <f t="shared" si="734"/>
        <v>0</v>
      </c>
      <c r="EB379" t="b">
        <f t="shared" si="735"/>
        <v>0</v>
      </c>
      <c r="EC379" t="b">
        <f t="shared" si="736"/>
        <v>0</v>
      </c>
      <c r="ED379" t="b">
        <f t="shared" si="737"/>
        <v>0</v>
      </c>
      <c r="EE379" t="b">
        <f t="shared" si="738"/>
        <v>0</v>
      </c>
      <c r="EF379" t="b">
        <f t="shared" si="739"/>
        <v>0</v>
      </c>
      <c r="EG379" t="b">
        <f t="shared" si="740"/>
        <v>0</v>
      </c>
      <c r="EH379" t="b">
        <f t="shared" si="741"/>
        <v>0</v>
      </c>
      <c r="EI379">
        <f t="shared" si="742"/>
        <v>1</v>
      </c>
      <c r="EJ379" t="b">
        <f t="shared" si="743"/>
        <v>0</v>
      </c>
      <c r="EK379" t="b">
        <f t="shared" si="744"/>
        <v>0</v>
      </c>
    </row>
    <row r="380" spans="1:141">
      <c r="A380" t="s">
        <v>1969</v>
      </c>
      <c r="B380" t="s">
        <v>1970</v>
      </c>
      <c r="C380" t="s">
        <v>1971</v>
      </c>
      <c r="D380" s="1">
        <v>42545</v>
      </c>
      <c r="E380" s="2">
        <v>42550.797395833331</v>
      </c>
      <c r="F380" s="2">
        <v>44050.978483796294</v>
      </c>
      <c r="G380">
        <v>149830</v>
      </c>
      <c r="H380" t="s">
        <v>1972</v>
      </c>
      <c r="I380" s="10" t="s">
        <v>1973</v>
      </c>
      <c r="J380" t="s">
        <v>1974</v>
      </c>
      <c r="K380" s="8" t="b">
        <v>1</v>
      </c>
      <c r="L380" s="10" t="b">
        <v>0</v>
      </c>
      <c r="M380" s="12" t="b">
        <v>1</v>
      </c>
      <c r="N380" t="b">
        <v>0</v>
      </c>
      <c r="O380" t="b">
        <v>0</v>
      </c>
      <c r="P380" t="b">
        <v>0</v>
      </c>
      <c r="Q380">
        <f t="shared" si="621"/>
        <v>6</v>
      </c>
      <c r="R380">
        <f t="shared" si="622"/>
        <v>6</v>
      </c>
      <c r="S380" t="e">
        <f t="shared" ca="1" si="652"/>
        <v>#NAME?</v>
      </c>
      <c r="T380" t="e">
        <f t="shared" ca="1" si="623"/>
        <v>#NAME?</v>
      </c>
      <c r="U380" s="4">
        <f t="shared" si="624"/>
        <v>5.7973958333313931</v>
      </c>
      <c r="V380" s="4">
        <f t="shared" si="625"/>
        <v>0.19324652777771309</v>
      </c>
      <c r="W380" s="4">
        <f t="shared" si="626"/>
        <v>1</v>
      </c>
      <c r="X380" s="4">
        <f t="shared" si="627"/>
        <v>0</v>
      </c>
      <c r="Y380" s="4">
        <f t="shared" si="628"/>
        <v>1</v>
      </c>
      <c r="Z380" s="4">
        <f t="shared" si="629"/>
        <v>0</v>
      </c>
      <c r="AA380" s="4">
        <f t="shared" si="630"/>
        <v>0</v>
      </c>
      <c r="AB380" s="4">
        <f t="shared" si="631"/>
        <v>0</v>
      </c>
      <c r="AC380" s="4"/>
      <c r="AD380" s="4" t="b">
        <f t="shared" si="632"/>
        <v>0</v>
      </c>
      <c r="AE380" s="4" t="b">
        <f t="shared" si="633"/>
        <v>0</v>
      </c>
      <c r="AF380" s="4" t="b">
        <f t="shared" si="634"/>
        <v>0</v>
      </c>
      <c r="AG380" t="b">
        <f t="shared" si="635"/>
        <v>0</v>
      </c>
      <c r="AH380" t="b">
        <f t="shared" si="636"/>
        <v>0</v>
      </c>
      <c r="AI380" t="b">
        <f t="shared" si="637"/>
        <v>0</v>
      </c>
      <c r="AJ380" t="b">
        <f t="shared" si="638"/>
        <v>0</v>
      </c>
      <c r="AK380" t="b">
        <f t="shared" si="639"/>
        <v>0</v>
      </c>
      <c r="AL380" t="b">
        <f t="shared" si="640"/>
        <v>0</v>
      </c>
      <c r="AM380" t="b">
        <f t="shared" si="641"/>
        <v>0</v>
      </c>
      <c r="AN380" t="b">
        <f t="shared" si="642"/>
        <v>0</v>
      </c>
      <c r="AO380" t="b">
        <f t="shared" si="643"/>
        <v>0</v>
      </c>
      <c r="AP380" t="b">
        <f t="shared" si="644"/>
        <v>0</v>
      </c>
      <c r="AQ380" t="b">
        <f t="shared" si="645"/>
        <v>0</v>
      </c>
      <c r="AR380" t="b">
        <f t="shared" si="646"/>
        <v>0</v>
      </c>
      <c r="AS380" t="b">
        <f t="shared" si="647"/>
        <v>0</v>
      </c>
      <c r="AT380">
        <f t="shared" si="648"/>
        <v>1</v>
      </c>
      <c r="AU380" t="b">
        <f t="shared" si="649"/>
        <v>0</v>
      </c>
      <c r="AV380" t="b">
        <f t="shared" si="650"/>
        <v>0</v>
      </c>
      <c r="AW380" t="b">
        <f t="shared" si="651"/>
        <v>0</v>
      </c>
      <c r="AX380" t="b">
        <f t="shared" si="653"/>
        <v>0</v>
      </c>
      <c r="AY380" t="b">
        <f t="shared" si="654"/>
        <v>0</v>
      </c>
      <c r="AZ380" t="b">
        <f t="shared" si="655"/>
        <v>0</v>
      </c>
      <c r="BA380" t="b">
        <f t="shared" si="656"/>
        <v>0</v>
      </c>
      <c r="BB380" t="b">
        <f t="shared" si="657"/>
        <v>0</v>
      </c>
      <c r="BC380" t="b">
        <f t="shared" si="658"/>
        <v>0</v>
      </c>
      <c r="BD380" t="b">
        <f t="shared" si="659"/>
        <v>0</v>
      </c>
      <c r="BE380" t="b">
        <f t="shared" si="660"/>
        <v>0</v>
      </c>
      <c r="BF380" t="b">
        <f t="shared" si="661"/>
        <v>0</v>
      </c>
      <c r="BG380" t="b">
        <f t="shared" si="662"/>
        <v>0</v>
      </c>
      <c r="BH380" t="b">
        <f t="shared" si="663"/>
        <v>0</v>
      </c>
      <c r="BI380">
        <f t="shared" si="664"/>
        <v>1</v>
      </c>
      <c r="BJ380" t="b">
        <f t="shared" si="665"/>
        <v>0</v>
      </c>
      <c r="BK380" t="b">
        <f t="shared" si="666"/>
        <v>0</v>
      </c>
      <c r="BL380" t="b">
        <f t="shared" si="667"/>
        <v>0</v>
      </c>
      <c r="BM380" t="b">
        <f t="shared" si="668"/>
        <v>0</v>
      </c>
      <c r="BN380" t="b">
        <f t="shared" si="669"/>
        <v>0</v>
      </c>
      <c r="BO380" t="b">
        <f t="shared" si="670"/>
        <v>0</v>
      </c>
      <c r="BP380" t="b">
        <f t="shared" si="671"/>
        <v>0</v>
      </c>
      <c r="BQ380" t="b">
        <f t="shared" si="672"/>
        <v>0</v>
      </c>
      <c r="BR380" t="b">
        <f t="shared" si="673"/>
        <v>0</v>
      </c>
      <c r="BS380">
        <f t="shared" si="674"/>
        <v>1</v>
      </c>
      <c r="BT380" t="b">
        <f t="shared" si="675"/>
        <v>0</v>
      </c>
      <c r="BU380" t="b">
        <f t="shared" si="676"/>
        <v>0</v>
      </c>
      <c r="BV380" t="b">
        <f t="shared" si="677"/>
        <v>0</v>
      </c>
      <c r="BW380" t="b">
        <f t="shared" si="678"/>
        <v>0</v>
      </c>
      <c r="BX380" t="b">
        <f t="shared" si="679"/>
        <v>0</v>
      </c>
      <c r="BY380" t="b">
        <f t="shared" si="680"/>
        <v>0</v>
      </c>
      <c r="BZ380" t="b">
        <f t="shared" si="681"/>
        <v>0</v>
      </c>
      <c r="CA380" t="b">
        <f t="shared" si="682"/>
        <v>0</v>
      </c>
      <c r="CB380" t="b">
        <f t="shared" si="683"/>
        <v>0</v>
      </c>
      <c r="CC380" t="b">
        <f t="shared" si="684"/>
        <v>0</v>
      </c>
      <c r="CD380" t="b">
        <f t="shared" si="685"/>
        <v>0</v>
      </c>
      <c r="CE380">
        <f t="shared" si="686"/>
        <v>1</v>
      </c>
      <c r="CF380" t="b">
        <f t="shared" si="687"/>
        <v>0</v>
      </c>
      <c r="CG380" t="b">
        <f t="shared" si="688"/>
        <v>0</v>
      </c>
      <c r="CH380" t="b">
        <f t="shared" si="689"/>
        <v>0</v>
      </c>
      <c r="CI380" t="b">
        <f t="shared" si="690"/>
        <v>0</v>
      </c>
      <c r="CJ380" t="b">
        <f t="shared" si="691"/>
        <v>0</v>
      </c>
      <c r="CK380" t="b">
        <f t="shared" si="692"/>
        <v>0</v>
      </c>
      <c r="CL380" t="b">
        <f t="shared" si="693"/>
        <v>0</v>
      </c>
      <c r="CM380" t="b">
        <f t="shared" si="694"/>
        <v>0</v>
      </c>
      <c r="CN380" t="b">
        <f t="shared" si="695"/>
        <v>0</v>
      </c>
      <c r="CO380" t="b">
        <f t="shared" si="696"/>
        <v>0</v>
      </c>
      <c r="CP380" t="b">
        <f t="shared" si="697"/>
        <v>0</v>
      </c>
      <c r="CQ380" t="b">
        <f t="shared" si="698"/>
        <v>0</v>
      </c>
      <c r="CR380" t="b">
        <f t="shared" si="699"/>
        <v>0</v>
      </c>
      <c r="CS380" t="b">
        <f t="shared" si="700"/>
        <v>0</v>
      </c>
      <c r="CT380" t="b">
        <f t="shared" si="701"/>
        <v>0</v>
      </c>
      <c r="CU380" t="b">
        <f t="shared" si="702"/>
        <v>0</v>
      </c>
      <c r="CV380">
        <f t="shared" si="703"/>
        <v>1</v>
      </c>
      <c r="CW380" t="b">
        <f t="shared" si="704"/>
        <v>0</v>
      </c>
      <c r="CX380" t="b">
        <f t="shared" si="705"/>
        <v>0</v>
      </c>
      <c r="CY380" t="b">
        <f t="shared" si="706"/>
        <v>0</v>
      </c>
      <c r="CZ380" t="b">
        <f t="shared" si="707"/>
        <v>0</v>
      </c>
      <c r="DA380" t="b">
        <f t="shared" si="708"/>
        <v>0</v>
      </c>
      <c r="DB380" t="b">
        <f t="shared" si="709"/>
        <v>0</v>
      </c>
      <c r="DC380" t="b">
        <f t="shared" si="710"/>
        <v>0</v>
      </c>
      <c r="DD380" t="b">
        <f t="shared" si="711"/>
        <v>0</v>
      </c>
      <c r="DE380" t="b">
        <f t="shared" si="712"/>
        <v>0</v>
      </c>
      <c r="DF380" t="b">
        <f t="shared" si="713"/>
        <v>0</v>
      </c>
      <c r="DG380">
        <f t="shared" si="714"/>
        <v>1</v>
      </c>
      <c r="DH380" t="b">
        <f t="shared" si="715"/>
        <v>0</v>
      </c>
      <c r="DI380" t="b">
        <f t="shared" si="716"/>
        <v>0</v>
      </c>
      <c r="DJ380" t="b">
        <f t="shared" si="717"/>
        <v>0</v>
      </c>
      <c r="DK380" t="b">
        <f t="shared" si="718"/>
        <v>0</v>
      </c>
      <c r="DL380" t="b">
        <f t="shared" si="719"/>
        <v>0</v>
      </c>
      <c r="DM380" t="b">
        <f t="shared" si="720"/>
        <v>0</v>
      </c>
      <c r="DN380" t="b">
        <f t="shared" si="721"/>
        <v>0</v>
      </c>
      <c r="DO380" t="b">
        <f t="shared" si="722"/>
        <v>0</v>
      </c>
      <c r="DP380" t="b">
        <f t="shared" si="723"/>
        <v>0</v>
      </c>
      <c r="DQ380" t="b">
        <f t="shared" si="724"/>
        <v>0</v>
      </c>
      <c r="DR380" t="b">
        <f t="shared" si="725"/>
        <v>0</v>
      </c>
      <c r="DS380" t="b">
        <f t="shared" si="726"/>
        <v>0</v>
      </c>
      <c r="DT380" t="b">
        <f t="shared" si="727"/>
        <v>0</v>
      </c>
      <c r="DU380" t="b">
        <f t="shared" si="728"/>
        <v>0</v>
      </c>
      <c r="DV380" t="b">
        <f t="shared" si="729"/>
        <v>0</v>
      </c>
      <c r="DW380" t="b">
        <f t="shared" si="730"/>
        <v>0</v>
      </c>
      <c r="DX380" t="b">
        <f t="shared" si="731"/>
        <v>0</v>
      </c>
      <c r="DY380" t="b">
        <f t="shared" si="732"/>
        <v>0</v>
      </c>
      <c r="DZ380" t="b">
        <f t="shared" si="733"/>
        <v>0</v>
      </c>
      <c r="EA380" t="b">
        <f t="shared" si="734"/>
        <v>0</v>
      </c>
      <c r="EB380" t="b">
        <f t="shared" si="735"/>
        <v>0</v>
      </c>
      <c r="EC380" t="b">
        <f t="shared" si="736"/>
        <v>0</v>
      </c>
      <c r="ED380" t="b">
        <f t="shared" si="737"/>
        <v>0</v>
      </c>
      <c r="EE380" t="b">
        <f t="shared" si="738"/>
        <v>0</v>
      </c>
      <c r="EF380">
        <f t="shared" si="739"/>
        <v>1</v>
      </c>
      <c r="EG380" t="b">
        <f t="shared" si="740"/>
        <v>0</v>
      </c>
      <c r="EH380" t="b">
        <f t="shared" si="741"/>
        <v>0</v>
      </c>
      <c r="EI380" t="b">
        <f t="shared" si="742"/>
        <v>0</v>
      </c>
      <c r="EJ380" t="b">
        <f t="shared" si="743"/>
        <v>0</v>
      </c>
      <c r="EK380" t="b">
        <f t="shared" si="744"/>
        <v>0</v>
      </c>
    </row>
    <row r="381" spans="1:141">
      <c r="A381" t="s">
        <v>1975</v>
      </c>
      <c r="B381" t="s">
        <v>1975</v>
      </c>
      <c r="C381" t="s">
        <v>1976</v>
      </c>
      <c r="D381" s="1">
        <v>42053</v>
      </c>
      <c r="E381" s="2">
        <v>43321.851793981485</v>
      </c>
      <c r="F381" s="2">
        <v>43321.851793981485</v>
      </c>
      <c r="G381">
        <v>972629</v>
      </c>
      <c r="H381" t="s">
        <v>1977</v>
      </c>
      <c r="I381" s="10" t="s">
        <v>1978</v>
      </c>
      <c r="J381" t="s">
        <v>1979</v>
      </c>
      <c r="K381" s="8" t="b">
        <v>1</v>
      </c>
      <c r="L381" s="10" t="b">
        <v>0</v>
      </c>
      <c r="M381" s="12" t="b">
        <v>0</v>
      </c>
      <c r="N381" t="b">
        <v>0</v>
      </c>
      <c r="O381" t="b">
        <v>0</v>
      </c>
      <c r="P381" t="b">
        <v>0</v>
      </c>
      <c r="Q381">
        <f t="shared" si="621"/>
        <v>4</v>
      </c>
      <c r="R381">
        <f t="shared" si="622"/>
        <v>2</v>
      </c>
      <c r="S381" t="e">
        <f t="shared" ca="1" si="652"/>
        <v>#NAME?</v>
      </c>
      <c r="T381" t="e">
        <f t="shared" ca="1" si="623"/>
        <v>#NAME?</v>
      </c>
      <c r="U381" s="4">
        <f t="shared" si="624"/>
        <v>1268.8517939814847</v>
      </c>
      <c r="V381" s="4">
        <f t="shared" si="625"/>
        <v>42.29505979938282</v>
      </c>
      <c r="W381" s="4">
        <f t="shared" si="626"/>
        <v>1</v>
      </c>
      <c r="X381" s="4">
        <f t="shared" si="627"/>
        <v>0</v>
      </c>
      <c r="Y381" s="4">
        <f t="shared" si="628"/>
        <v>0</v>
      </c>
      <c r="Z381" s="4">
        <f t="shared" si="629"/>
        <v>0</v>
      </c>
      <c r="AA381" s="4">
        <f t="shared" si="630"/>
        <v>0</v>
      </c>
      <c r="AB381" s="4">
        <f t="shared" si="631"/>
        <v>0</v>
      </c>
      <c r="AC381" s="4"/>
      <c r="AD381" s="4" t="b">
        <f t="shared" si="632"/>
        <v>0</v>
      </c>
      <c r="AE381" s="4" t="b">
        <f t="shared" si="633"/>
        <v>0</v>
      </c>
      <c r="AF381" s="4" t="b">
        <f t="shared" si="634"/>
        <v>0</v>
      </c>
      <c r="AG381" t="b">
        <f t="shared" si="635"/>
        <v>0</v>
      </c>
      <c r="AH381" t="b">
        <f t="shared" si="636"/>
        <v>0</v>
      </c>
      <c r="AI381" t="b">
        <f t="shared" si="637"/>
        <v>0</v>
      </c>
      <c r="AJ381" t="b">
        <f t="shared" si="638"/>
        <v>0</v>
      </c>
      <c r="AK381" t="b">
        <f t="shared" si="639"/>
        <v>0</v>
      </c>
      <c r="AL381" t="b">
        <f t="shared" si="640"/>
        <v>0</v>
      </c>
      <c r="AM381" t="b">
        <f t="shared" si="641"/>
        <v>0</v>
      </c>
      <c r="AN381" t="b">
        <f t="shared" si="642"/>
        <v>0</v>
      </c>
      <c r="AO381" t="b">
        <f t="shared" si="643"/>
        <v>0</v>
      </c>
      <c r="AP381" t="b">
        <f t="shared" si="644"/>
        <v>0</v>
      </c>
      <c r="AQ381" t="b">
        <f t="shared" si="645"/>
        <v>0</v>
      </c>
      <c r="AR381" t="b">
        <f t="shared" si="646"/>
        <v>0</v>
      </c>
      <c r="AS381" t="b">
        <f t="shared" si="647"/>
        <v>0</v>
      </c>
      <c r="AT381" t="b">
        <f t="shared" si="648"/>
        <v>0</v>
      </c>
      <c r="AU381" t="b">
        <f t="shared" si="649"/>
        <v>0</v>
      </c>
      <c r="AV381" t="b">
        <f t="shared" si="650"/>
        <v>0</v>
      </c>
      <c r="AW381">
        <f t="shared" si="651"/>
        <v>1</v>
      </c>
      <c r="AX381" t="b">
        <f t="shared" si="653"/>
        <v>0</v>
      </c>
      <c r="AY381" t="b">
        <f t="shared" si="654"/>
        <v>0</v>
      </c>
      <c r="AZ381" t="b">
        <f t="shared" si="655"/>
        <v>0</v>
      </c>
      <c r="BA381" t="b">
        <f t="shared" si="656"/>
        <v>0</v>
      </c>
      <c r="BB381" t="b">
        <f t="shared" si="657"/>
        <v>0</v>
      </c>
      <c r="BC381" t="b">
        <f t="shared" si="658"/>
        <v>0</v>
      </c>
      <c r="BD381" t="b">
        <f t="shared" si="659"/>
        <v>0</v>
      </c>
      <c r="BE381" t="b">
        <f t="shared" si="660"/>
        <v>0</v>
      </c>
      <c r="BF381" t="b">
        <f t="shared" si="661"/>
        <v>0</v>
      </c>
      <c r="BG381" t="b">
        <f t="shared" si="662"/>
        <v>0</v>
      </c>
      <c r="BH381" t="b">
        <f t="shared" si="663"/>
        <v>0</v>
      </c>
      <c r="BI381">
        <f t="shared" si="664"/>
        <v>1</v>
      </c>
      <c r="BJ381" t="b">
        <f t="shared" si="665"/>
        <v>0</v>
      </c>
      <c r="BK381" t="b">
        <f t="shared" si="666"/>
        <v>0</v>
      </c>
      <c r="BL381" t="b">
        <f t="shared" si="667"/>
        <v>0</v>
      </c>
      <c r="BM381" t="b">
        <f t="shared" si="668"/>
        <v>0</v>
      </c>
      <c r="BN381" t="b">
        <f t="shared" si="669"/>
        <v>0</v>
      </c>
      <c r="BO381" t="b">
        <f t="shared" si="670"/>
        <v>0</v>
      </c>
      <c r="BP381" t="b">
        <f t="shared" si="671"/>
        <v>0</v>
      </c>
      <c r="BQ381" t="b">
        <f t="shared" si="672"/>
        <v>0</v>
      </c>
      <c r="BR381" t="b">
        <f t="shared" si="673"/>
        <v>0</v>
      </c>
      <c r="BS381" t="b">
        <f t="shared" si="674"/>
        <v>0</v>
      </c>
      <c r="BT381" t="b">
        <f t="shared" si="675"/>
        <v>0</v>
      </c>
      <c r="BU381" t="b">
        <f t="shared" si="676"/>
        <v>0</v>
      </c>
      <c r="BV381" t="b">
        <f t="shared" si="677"/>
        <v>0</v>
      </c>
      <c r="BW381" t="b">
        <f t="shared" si="678"/>
        <v>0</v>
      </c>
      <c r="BX381">
        <f t="shared" si="679"/>
        <v>1</v>
      </c>
      <c r="BY381" t="b">
        <f t="shared" si="680"/>
        <v>0</v>
      </c>
      <c r="BZ381" t="b">
        <f t="shared" si="681"/>
        <v>0</v>
      </c>
      <c r="CA381" t="b">
        <f t="shared" si="682"/>
        <v>0</v>
      </c>
      <c r="CB381" t="b">
        <f t="shared" si="683"/>
        <v>0</v>
      </c>
      <c r="CC381">
        <f t="shared" si="684"/>
        <v>1</v>
      </c>
      <c r="CD381" t="b">
        <f t="shared" si="685"/>
        <v>0</v>
      </c>
      <c r="CE381">
        <f t="shared" si="686"/>
        <v>1</v>
      </c>
      <c r="CF381" t="b">
        <f t="shared" si="687"/>
        <v>0</v>
      </c>
      <c r="CG381" t="b">
        <f t="shared" si="688"/>
        <v>0</v>
      </c>
      <c r="CH381" t="b">
        <f t="shared" si="689"/>
        <v>0</v>
      </c>
      <c r="CI381" t="b">
        <f t="shared" si="690"/>
        <v>0</v>
      </c>
      <c r="CJ381" t="b">
        <f t="shared" si="691"/>
        <v>0</v>
      </c>
      <c r="CK381" t="b">
        <f t="shared" si="692"/>
        <v>0</v>
      </c>
      <c r="CL381" t="b">
        <f t="shared" si="693"/>
        <v>0</v>
      </c>
      <c r="CM381">
        <f t="shared" si="694"/>
        <v>1</v>
      </c>
      <c r="CN381" t="b">
        <f t="shared" si="695"/>
        <v>0</v>
      </c>
      <c r="CO381" t="b">
        <f t="shared" si="696"/>
        <v>0</v>
      </c>
      <c r="CP381" t="b">
        <f t="shared" si="697"/>
        <v>0</v>
      </c>
      <c r="CQ381" t="b">
        <f t="shared" si="698"/>
        <v>0</v>
      </c>
      <c r="CR381" t="b">
        <f t="shared" si="699"/>
        <v>0</v>
      </c>
      <c r="CS381" t="b">
        <f t="shared" si="700"/>
        <v>0</v>
      </c>
      <c r="CT381" t="b">
        <f t="shared" si="701"/>
        <v>0</v>
      </c>
      <c r="CU381" t="b">
        <f t="shared" si="702"/>
        <v>0</v>
      </c>
      <c r="CV381">
        <f t="shared" si="703"/>
        <v>1</v>
      </c>
      <c r="CW381" t="b">
        <f t="shared" si="704"/>
        <v>0</v>
      </c>
      <c r="CX381" t="b">
        <f t="shared" si="705"/>
        <v>0</v>
      </c>
      <c r="CY381">
        <f t="shared" si="706"/>
        <v>1</v>
      </c>
      <c r="CZ381" t="b">
        <f t="shared" si="707"/>
        <v>0</v>
      </c>
      <c r="DA381" t="b">
        <f t="shared" si="708"/>
        <v>0</v>
      </c>
      <c r="DB381">
        <f t="shared" si="709"/>
        <v>1</v>
      </c>
      <c r="DC381" t="b">
        <f t="shared" si="710"/>
        <v>0</v>
      </c>
      <c r="DD381" t="b">
        <f t="shared" si="711"/>
        <v>0</v>
      </c>
      <c r="DE381" t="b">
        <f t="shared" si="712"/>
        <v>0</v>
      </c>
      <c r="DF381" t="b">
        <f t="shared" si="713"/>
        <v>0</v>
      </c>
      <c r="DG381" t="b">
        <f t="shared" si="714"/>
        <v>0</v>
      </c>
      <c r="DH381" t="b">
        <f t="shared" si="715"/>
        <v>0</v>
      </c>
      <c r="DI381" t="b">
        <f t="shared" si="716"/>
        <v>0</v>
      </c>
      <c r="DJ381" t="b">
        <f t="shared" si="717"/>
        <v>0</v>
      </c>
      <c r="DK381" t="b">
        <f t="shared" si="718"/>
        <v>0</v>
      </c>
      <c r="DL381" t="b">
        <f t="shared" si="719"/>
        <v>0</v>
      </c>
      <c r="DM381" t="b">
        <f t="shared" si="720"/>
        <v>0</v>
      </c>
      <c r="DN381" t="b">
        <f t="shared" si="721"/>
        <v>0</v>
      </c>
      <c r="DO381" t="b">
        <f t="shared" si="722"/>
        <v>0</v>
      </c>
      <c r="DP381" t="b">
        <f t="shared" si="723"/>
        <v>0</v>
      </c>
      <c r="DQ381" t="b">
        <f t="shared" si="724"/>
        <v>0</v>
      </c>
      <c r="DR381" t="b">
        <f t="shared" si="725"/>
        <v>0</v>
      </c>
      <c r="DS381" t="b">
        <f t="shared" si="726"/>
        <v>0</v>
      </c>
      <c r="DT381" t="b">
        <f t="shared" si="727"/>
        <v>0</v>
      </c>
      <c r="DU381" t="b">
        <f t="shared" si="728"/>
        <v>0</v>
      </c>
      <c r="DV381" t="b">
        <f t="shared" si="729"/>
        <v>0</v>
      </c>
      <c r="DW381" t="b">
        <f t="shared" si="730"/>
        <v>0</v>
      </c>
      <c r="DX381" t="b">
        <f t="shared" si="731"/>
        <v>0</v>
      </c>
      <c r="DY381" t="b">
        <f t="shared" si="732"/>
        <v>0</v>
      </c>
      <c r="DZ381" t="b">
        <f t="shared" si="733"/>
        <v>0</v>
      </c>
      <c r="EA381" t="b">
        <f t="shared" si="734"/>
        <v>0</v>
      </c>
      <c r="EB381" t="b">
        <f t="shared" si="735"/>
        <v>0</v>
      </c>
      <c r="EC381" t="b">
        <f t="shared" si="736"/>
        <v>0</v>
      </c>
      <c r="ED381" t="b">
        <f t="shared" si="737"/>
        <v>0</v>
      </c>
      <c r="EE381" t="b">
        <f t="shared" si="738"/>
        <v>0</v>
      </c>
      <c r="EF381" t="b">
        <f t="shared" si="739"/>
        <v>0</v>
      </c>
      <c r="EG381" t="b">
        <f t="shared" si="740"/>
        <v>0</v>
      </c>
      <c r="EH381" t="b">
        <f t="shared" si="741"/>
        <v>0</v>
      </c>
      <c r="EI381" t="b">
        <f t="shared" si="742"/>
        <v>0</v>
      </c>
      <c r="EJ381" t="b">
        <f t="shared" si="743"/>
        <v>0</v>
      </c>
      <c r="EK381" t="b">
        <f t="shared" si="744"/>
        <v>0</v>
      </c>
    </row>
    <row r="382" spans="1:141">
      <c r="A382" t="s">
        <v>1980</v>
      </c>
      <c r="B382" t="s">
        <v>1980</v>
      </c>
      <c r="C382" t="s">
        <v>1981</v>
      </c>
      <c r="D382" s="1">
        <v>43132</v>
      </c>
      <c r="E382" s="2">
        <v>43517.811643518522</v>
      </c>
      <c r="F382" s="2">
        <v>43517.833981481483</v>
      </c>
      <c r="G382">
        <v>143606147</v>
      </c>
      <c r="H382" t="s">
        <v>1982</v>
      </c>
      <c r="I382" s="10" t="s">
        <v>1983</v>
      </c>
      <c r="J382" t="s">
        <v>188</v>
      </c>
      <c r="K382" s="8" t="b">
        <v>1</v>
      </c>
      <c r="L382" s="10" t="b">
        <v>0</v>
      </c>
      <c r="M382" s="12" t="b">
        <v>0</v>
      </c>
      <c r="N382" t="b">
        <v>0</v>
      </c>
      <c r="O382" t="b">
        <v>0</v>
      </c>
      <c r="P382" t="b">
        <v>0</v>
      </c>
      <c r="Q382">
        <f t="shared" si="621"/>
        <v>5</v>
      </c>
      <c r="R382">
        <f t="shared" si="622"/>
        <v>2</v>
      </c>
      <c r="S382" t="e">
        <f t="shared" ca="1" si="652"/>
        <v>#NAME?</v>
      </c>
      <c r="T382" t="e">
        <f t="shared" ca="1" si="623"/>
        <v>#NAME?</v>
      </c>
      <c r="U382" s="4">
        <f t="shared" si="624"/>
        <v>385.81164351852203</v>
      </c>
      <c r="V382" s="4">
        <f t="shared" si="625"/>
        <v>12.860388117284067</v>
      </c>
      <c r="W382" s="4">
        <f t="shared" si="626"/>
        <v>1</v>
      </c>
      <c r="X382" s="4">
        <f t="shared" si="627"/>
        <v>0</v>
      </c>
      <c r="Y382" s="4">
        <f t="shared" si="628"/>
        <v>0</v>
      </c>
      <c r="Z382" s="4">
        <f t="shared" si="629"/>
        <v>0</v>
      </c>
      <c r="AA382" s="4">
        <f t="shared" si="630"/>
        <v>0</v>
      </c>
      <c r="AB382" s="4">
        <f t="shared" si="631"/>
        <v>0</v>
      </c>
      <c r="AC382" s="4"/>
      <c r="AD382" s="4" t="b">
        <f t="shared" si="632"/>
        <v>0</v>
      </c>
      <c r="AE382" s="4" t="b">
        <f t="shared" si="633"/>
        <v>0</v>
      </c>
      <c r="AF382" s="4" t="b">
        <f t="shared" si="634"/>
        <v>0</v>
      </c>
      <c r="AG382" t="b">
        <f t="shared" si="635"/>
        <v>0</v>
      </c>
      <c r="AH382" t="b">
        <f t="shared" si="636"/>
        <v>0</v>
      </c>
      <c r="AI382" t="b">
        <f t="shared" si="637"/>
        <v>0</v>
      </c>
      <c r="AJ382" t="b">
        <f t="shared" si="638"/>
        <v>0</v>
      </c>
      <c r="AK382" t="b">
        <f t="shared" si="639"/>
        <v>0</v>
      </c>
      <c r="AL382" t="b">
        <f t="shared" si="640"/>
        <v>0</v>
      </c>
      <c r="AM382" t="b">
        <f t="shared" si="641"/>
        <v>0</v>
      </c>
      <c r="AN382" t="b">
        <f t="shared" si="642"/>
        <v>0</v>
      </c>
      <c r="AO382" t="b">
        <f t="shared" si="643"/>
        <v>0</v>
      </c>
      <c r="AP382" t="b">
        <f t="shared" si="644"/>
        <v>0</v>
      </c>
      <c r="AQ382" t="b">
        <f t="shared" si="645"/>
        <v>0</v>
      </c>
      <c r="AR382" t="b">
        <f t="shared" si="646"/>
        <v>0</v>
      </c>
      <c r="AS382" t="b">
        <f t="shared" si="647"/>
        <v>0</v>
      </c>
      <c r="AT382" t="b">
        <f t="shared" si="648"/>
        <v>0</v>
      </c>
      <c r="AU382" t="b">
        <f t="shared" si="649"/>
        <v>0</v>
      </c>
      <c r="AV382" t="b">
        <f t="shared" si="650"/>
        <v>0</v>
      </c>
      <c r="AW382" t="b">
        <f t="shared" si="651"/>
        <v>0</v>
      </c>
      <c r="AX382" t="b">
        <f t="shared" si="653"/>
        <v>0</v>
      </c>
      <c r="AY382" t="b">
        <f t="shared" si="654"/>
        <v>0</v>
      </c>
      <c r="AZ382" t="b">
        <f t="shared" si="655"/>
        <v>0</v>
      </c>
      <c r="BA382" t="b">
        <f t="shared" si="656"/>
        <v>0</v>
      </c>
      <c r="BB382" t="b">
        <f t="shared" si="657"/>
        <v>0</v>
      </c>
      <c r="BC382" t="b">
        <f t="shared" si="658"/>
        <v>0</v>
      </c>
      <c r="BD382" t="b">
        <f t="shared" si="659"/>
        <v>0</v>
      </c>
      <c r="BE382" t="b">
        <f t="shared" si="660"/>
        <v>0</v>
      </c>
      <c r="BF382" t="b">
        <f t="shared" si="661"/>
        <v>0</v>
      </c>
      <c r="BG382" t="b">
        <f t="shared" si="662"/>
        <v>0</v>
      </c>
      <c r="BH382" t="b">
        <f t="shared" si="663"/>
        <v>0</v>
      </c>
      <c r="BI382">
        <f t="shared" si="664"/>
        <v>1</v>
      </c>
      <c r="BJ382" t="b">
        <f t="shared" si="665"/>
        <v>0</v>
      </c>
      <c r="BK382" t="b">
        <f t="shared" si="666"/>
        <v>0</v>
      </c>
      <c r="BL382" t="b">
        <f t="shared" si="667"/>
        <v>0</v>
      </c>
      <c r="BM382" t="b">
        <f t="shared" si="668"/>
        <v>0</v>
      </c>
      <c r="BN382" t="b">
        <f t="shared" si="669"/>
        <v>0</v>
      </c>
      <c r="BO382" t="b">
        <f t="shared" si="670"/>
        <v>0</v>
      </c>
      <c r="BP382" t="b">
        <f t="shared" si="671"/>
        <v>0</v>
      </c>
      <c r="BQ382" t="b">
        <f t="shared" si="672"/>
        <v>0</v>
      </c>
      <c r="BR382" t="b">
        <f t="shared" si="673"/>
        <v>0</v>
      </c>
      <c r="BS382" t="b">
        <f t="shared" si="674"/>
        <v>0</v>
      </c>
      <c r="BT382" t="b">
        <f t="shared" si="675"/>
        <v>0</v>
      </c>
      <c r="BU382" t="b">
        <f t="shared" si="676"/>
        <v>0</v>
      </c>
      <c r="BV382" t="b">
        <f t="shared" si="677"/>
        <v>0</v>
      </c>
      <c r="BW382" t="b">
        <f t="shared" si="678"/>
        <v>0</v>
      </c>
      <c r="BX382" t="b">
        <f t="shared" si="679"/>
        <v>0</v>
      </c>
      <c r="BY382" t="b">
        <f t="shared" si="680"/>
        <v>0</v>
      </c>
      <c r="BZ382" t="b">
        <f t="shared" si="681"/>
        <v>0</v>
      </c>
      <c r="CA382" t="b">
        <f t="shared" si="682"/>
        <v>0</v>
      </c>
      <c r="CB382" t="b">
        <f t="shared" si="683"/>
        <v>0</v>
      </c>
      <c r="CC382" t="b">
        <f t="shared" si="684"/>
        <v>0</v>
      </c>
      <c r="CD382" t="b">
        <f t="shared" si="685"/>
        <v>0</v>
      </c>
      <c r="CE382">
        <f t="shared" si="686"/>
        <v>1</v>
      </c>
      <c r="CF382" t="b">
        <f t="shared" si="687"/>
        <v>0</v>
      </c>
      <c r="CG382" t="b">
        <f t="shared" si="688"/>
        <v>0</v>
      </c>
      <c r="CH382" t="b">
        <f t="shared" si="689"/>
        <v>0</v>
      </c>
      <c r="CI382" t="b">
        <f t="shared" si="690"/>
        <v>0</v>
      </c>
      <c r="CJ382" t="b">
        <f t="shared" si="691"/>
        <v>0</v>
      </c>
      <c r="CK382" t="b">
        <f t="shared" si="692"/>
        <v>0</v>
      </c>
      <c r="CL382" t="b">
        <f t="shared" si="693"/>
        <v>0</v>
      </c>
      <c r="CM382" t="b">
        <f t="shared" si="694"/>
        <v>0</v>
      </c>
      <c r="CN382" t="b">
        <f t="shared" si="695"/>
        <v>0</v>
      </c>
      <c r="CO382" t="b">
        <f t="shared" si="696"/>
        <v>0</v>
      </c>
      <c r="CP382" t="b">
        <f t="shared" si="697"/>
        <v>0</v>
      </c>
      <c r="CQ382" t="b">
        <f t="shared" si="698"/>
        <v>0</v>
      </c>
      <c r="CR382" t="b">
        <f t="shared" si="699"/>
        <v>0</v>
      </c>
      <c r="CS382" t="b">
        <f t="shared" si="700"/>
        <v>0</v>
      </c>
      <c r="CT382" t="b">
        <f t="shared" si="701"/>
        <v>0</v>
      </c>
      <c r="CU382" t="b">
        <f t="shared" si="702"/>
        <v>0</v>
      </c>
      <c r="CV382">
        <f t="shared" si="703"/>
        <v>1</v>
      </c>
      <c r="CW382" t="b">
        <f t="shared" si="704"/>
        <v>0</v>
      </c>
      <c r="CX382" t="b">
        <f t="shared" si="705"/>
        <v>0</v>
      </c>
      <c r="CY382" t="b">
        <f t="shared" si="706"/>
        <v>0</v>
      </c>
      <c r="CZ382" t="b">
        <f t="shared" si="707"/>
        <v>0</v>
      </c>
      <c r="DA382" t="b">
        <f t="shared" si="708"/>
        <v>0</v>
      </c>
      <c r="DB382" t="b">
        <f t="shared" si="709"/>
        <v>0</v>
      </c>
      <c r="DC382" t="b">
        <f t="shared" si="710"/>
        <v>0</v>
      </c>
      <c r="DD382" t="b">
        <f t="shared" si="711"/>
        <v>0</v>
      </c>
      <c r="DE382" t="b">
        <f t="shared" si="712"/>
        <v>0</v>
      </c>
      <c r="DF382" t="b">
        <f t="shared" si="713"/>
        <v>0</v>
      </c>
      <c r="DG382" t="b">
        <f t="shared" si="714"/>
        <v>0</v>
      </c>
      <c r="DH382" t="b">
        <f t="shared" si="715"/>
        <v>0</v>
      </c>
      <c r="DI382" t="b">
        <f t="shared" si="716"/>
        <v>0</v>
      </c>
      <c r="DJ382" t="b">
        <f t="shared" si="717"/>
        <v>0</v>
      </c>
      <c r="DK382" t="b">
        <f t="shared" si="718"/>
        <v>0</v>
      </c>
      <c r="DL382" t="b">
        <f t="shared" si="719"/>
        <v>0</v>
      </c>
      <c r="DM382" t="b">
        <f t="shared" si="720"/>
        <v>0</v>
      </c>
      <c r="DN382" t="b">
        <f t="shared" si="721"/>
        <v>0</v>
      </c>
      <c r="DO382" t="b">
        <f t="shared" si="722"/>
        <v>0</v>
      </c>
      <c r="DP382" t="b">
        <f t="shared" si="723"/>
        <v>0</v>
      </c>
      <c r="DQ382" t="b">
        <f t="shared" si="724"/>
        <v>0</v>
      </c>
      <c r="DR382" t="b">
        <f t="shared" si="725"/>
        <v>0</v>
      </c>
      <c r="DS382" t="b">
        <f t="shared" si="726"/>
        <v>0</v>
      </c>
      <c r="DT382" t="b">
        <f t="shared" si="727"/>
        <v>0</v>
      </c>
      <c r="DU382" t="b">
        <f t="shared" si="728"/>
        <v>0</v>
      </c>
      <c r="DV382" t="b">
        <f t="shared" si="729"/>
        <v>0</v>
      </c>
      <c r="DW382" t="b">
        <f t="shared" si="730"/>
        <v>0</v>
      </c>
      <c r="DX382" t="b">
        <f t="shared" si="731"/>
        <v>0</v>
      </c>
      <c r="DY382" t="b">
        <f t="shared" si="732"/>
        <v>0</v>
      </c>
      <c r="DZ382" t="b">
        <f t="shared" si="733"/>
        <v>0</v>
      </c>
      <c r="EA382" t="b">
        <f t="shared" si="734"/>
        <v>0</v>
      </c>
      <c r="EB382" t="b">
        <f t="shared" si="735"/>
        <v>0</v>
      </c>
      <c r="EC382" t="b">
        <f t="shared" si="736"/>
        <v>0</v>
      </c>
      <c r="ED382" t="b">
        <f t="shared" si="737"/>
        <v>0</v>
      </c>
      <c r="EE382" t="b">
        <f t="shared" si="738"/>
        <v>0</v>
      </c>
      <c r="EF382">
        <f t="shared" si="739"/>
        <v>1</v>
      </c>
      <c r="EG382" t="b">
        <f t="shared" si="740"/>
        <v>0</v>
      </c>
      <c r="EH382" t="b">
        <f t="shared" si="741"/>
        <v>0</v>
      </c>
      <c r="EI382" t="b">
        <f t="shared" si="742"/>
        <v>0</v>
      </c>
      <c r="EJ382" t="b">
        <f t="shared" si="743"/>
        <v>0</v>
      </c>
      <c r="EK382" t="b">
        <f t="shared" si="744"/>
        <v>0</v>
      </c>
    </row>
    <row r="383" spans="1:141">
      <c r="A383" t="s">
        <v>1984</v>
      </c>
      <c r="B383" t="s">
        <v>1984</v>
      </c>
      <c r="C383" t="s">
        <v>1985</v>
      </c>
      <c r="D383" s="1">
        <v>43034</v>
      </c>
      <c r="E383" s="2">
        <v>43516.877824074072</v>
      </c>
      <c r="F383" s="2">
        <v>43516.877824074072</v>
      </c>
      <c r="G383">
        <v>91991358</v>
      </c>
      <c r="H383" t="s">
        <v>1986</v>
      </c>
      <c r="I383" s="10" t="s">
        <v>1987</v>
      </c>
      <c r="J383" t="s">
        <v>147</v>
      </c>
      <c r="K383" s="8" t="b">
        <v>1</v>
      </c>
      <c r="L383" s="10" t="b">
        <v>0</v>
      </c>
      <c r="M383" s="12" t="b">
        <v>0</v>
      </c>
      <c r="N383" t="b">
        <v>0</v>
      </c>
      <c r="O383" t="b">
        <v>0</v>
      </c>
      <c r="P383" t="b">
        <v>0</v>
      </c>
      <c r="Q383">
        <f t="shared" si="621"/>
        <v>5</v>
      </c>
      <c r="R383">
        <f t="shared" si="622"/>
        <v>10</v>
      </c>
      <c r="S383" t="e">
        <f t="shared" ca="1" si="652"/>
        <v>#NAME?</v>
      </c>
      <c r="T383" t="e">
        <f t="shared" ca="1" si="623"/>
        <v>#NAME?</v>
      </c>
      <c r="U383" s="4">
        <f t="shared" si="624"/>
        <v>482.87782407407212</v>
      </c>
      <c r="V383" s="4">
        <f t="shared" si="625"/>
        <v>16.095927469135738</v>
      </c>
      <c r="W383" s="4">
        <f t="shared" si="626"/>
        <v>1</v>
      </c>
      <c r="X383" s="4">
        <f t="shared" si="627"/>
        <v>0</v>
      </c>
      <c r="Y383" s="4">
        <f t="shared" si="628"/>
        <v>0</v>
      </c>
      <c r="Z383" s="4">
        <f t="shared" si="629"/>
        <v>0</v>
      </c>
      <c r="AA383" s="4">
        <f t="shared" si="630"/>
        <v>0</v>
      </c>
      <c r="AB383" s="4">
        <f t="shared" si="631"/>
        <v>0</v>
      </c>
      <c r="AC383" s="4"/>
      <c r="AD383" s="4" t="b">
        <f t="shared" si="632"/>
        <v>0</v>
      </c>
      <c r="AE383" s="4" t="b">
        <f t="shared" si="633"/>
        <v>0</v>
      </c>
      <c r="AF383" s="4" t="b">
        <f t="shared" si="634"/>
        <v>0</v>
      </c>
      <c r="AG383" t="b">
        <f t="shared" si="635"/>
        <v>0</v>
      </c>
      <c r="AH383" t="b">
        <f t="shared" si="636"/>
        <v>0</v>
      </c>
      <c r="AI383" t="b">
        <f t="shared" si="637"/>
        <v>0</v>
      </c>
      <c r="AJ383" t="b">
        <f t="shared" si="638"/>
        <v>0</v>
      </c>
      <c r="AK383" t="b">
        <f t="shared" si="639"/>
        <v>0</v>
      </c>
      <c r="AL383" t="b">
        <f t="shared" si="640"/>
        <v>0</v>
      </c>
      <c r="AM383" t="b">
        <f t="shared" si="641"/>
        <v>0</v>
      </c>
      <c r="AN383" t="b">
        <f t="shared" si="642"/>
        <v>0</v>
      </c>
      <c r="AO383" t="b">
        <f t="shared" si="643"/>
        <v>0</v>
      </c>
      <c r="AP383" t="b">
        <f t="shared" si="644"/>
        <v>0</v>
      </c>
      <c r="AQ383" t="b">
        <f t="shared" si="645"/>
        <v>0</v>
      </c>
      <c r="AR383" t="b">
        <f t="shared" si="646"/>
        <v>0</v>
      </c>
      <c r="AS383" t="b">
        <f t="shared" si="647"/>
        <v>0</v>
      </c>
      <c r="AT383" t="b">
        <f t="shared" si="648"/>
        <v>0</v>
      </c>
      <c r="AU383" t="b">
        <f t="shared" si="649"/>
        <v>0</v>
      </c>
      <c r="AV383" t="b">
        <f t="shared" si="650"/>
        <v>0</v>
      </c>
      <c r="AW383" t="b">
        <f t="shared" si="651"/>
        <v>0</v>
      </c>
      <c r="AX383" t="b">
        <f t="shared" si="653"/>
        <v>0</v>
      </c>
      <c r="AY383" t="b">
        <f t="shared" si="654"/>
        <v>0</v>
      </c>
      <c r="AZ383" t="b">
        <f t="shared" si="655"/>
        <v>0</v>
      </c>
      <c r="BA383" t="b">
        <f t="shared" si="656"/>
        <v>0</v>
      </c>
      <c r="BB383" t="b">
        <f t="shared" si="657"/>
        <v>0</v>
      </c>
      <c r="BC383" t="b">
        <f t="shared" si="658"/>
        <v>0</v>
      </c>
      <c r="BD383" t="b">
        <f t="shared" si="659"/>
        <v>0</v>
      </c>
      <c r="BE383" t="b">
        <f t="shared" si="660"/>
        <v>0</v>
      </c>
      <c r="BF383" t="b">
        <f t="shared" si="661"/>
        <v>0</v>
      </c>
      <c r="BG383" t="b">
        <f t="shared" si="662"/>
        <v>0</v>
      </c>
      <c r="BH383" t="b">
        <f t="shared" si="663"/>
        <v>0</v>
      </c>
      <c r="BI383">
        <f t="shared" si="664"/>
        <v>1</v>
      </c>
      <c r="BJ383" t="b">
        <f t="shared" si="665"/>
        <v>0</v>
      </c>
      <c r="BK383" t="b">
        <f t="shared" si="666"/>
        <v>0</v>
      </c>
      <c r="BL383" t="b">
        <f t="shared" si="667"/>
        <v>0</v>
      </c>
      <c r="BM383" t="b">
        <f t="shared" si="668"/>
        <v>0</v>
      </c>
      <c r="BN383" t="b">
        <f t="shared" si="669"/>
        <v>0</v>
      </c>
      <c r="BO383" t="b">
        <f t="shared" si="670"/>
        <v>0</v>
      </c>
      <c r="BP383" t="b">
        <f t="shared" si="671"/>
        <v>0</v>
      </c>
      <c r="BQ383" t="b">
        <f t="shared" si="672"/>
        <v>0</v>
      </c>
      <c r="BR383" t="b">
        <f t="shared" si="673"/>
        <v>0</v>
      </c>
      <c r="BS383" t="b">
        <f t="shared" si="674"/>
        <v>0</v>
      </c>
      <c r="BT383" t="b">
        <f t="shared" si="675"/>
        <v>0</v>
      </c>
      <c r="BU383" t="b">
        <f t="shared" si="676"/>
        <v>0</v>
      </c>
      <c r="BV383" t="b">
        <f t="shared" si="677"/>
        <v>0</v>
      </c>
      <c r="BW383" t="b">
        <f t="shared" si="678"/>
        <v>0</v>
      </c>
      <c r="BX383" t="b">
        <f t="shared" si="679"/>
        <v>0</v>
      </c>
      <c r="BY383" t="b">
        <f t="shared" si="680"/>
        <v>0</v>
      </c>
      <c r="BZ383" t="b">
        <f t="shared" si="681"/>
        <v>0</v>
      </c>
      <c r="CA383" t="b">
        <f t="shared" si="682"/>
        <v>0</v>
      </c>
      <c r="CB383" t="b">
        <f t="shared" si="683"/>
        <v>0</v>
      </c>
      <c r="CC383" t="b">
        <f t="shared" si="684"/>
        <v>0</v>
      </c>
      <c r="CD383" t="b">
        <f t="shared" si="685"/>
        <v>0</v>
      </c>
      <c r="CE383" t="b">
        <f t="shared" si="686"/>
        <v>0</v>
      </c>
      <c r="CF383" t="b">
        <f t="shared" si="687"/>
        <v>0</v>
      </c>
      <c r="CG383" t="b">
        <f t="shared" si="688"/>
        <v>0</v>
      </c>
      <c r="CH383" t="b">
        <f t="shared" si="689"/>
        <v>0</v>
      </c>
      <c r="CI383" t="b">
        <f t="shared" si="690"/>
        <v>0</v>
      </c>
      <c r="CJ383" t="b">
        <f t="shared" si="691"/>
        <v>0</v>
      </c>
      <c r="CK383" t="b">
        <f t="shared" si="692"/>
        <v>0</v>
      </c>
      <c r="CL383" t="b">
        <f t="shared" si="693"/>
        <v>0</v>
      </c>
      <c r="CM383" t="b">
        <f t="shared" si="694"/>
        <v>0</v>
      </c>
      <c r="CN383" t="b">
        <f t="shared" si="695"/>
        <v>0</v>
      </c>
      <c r="CO383" t="b">
        <f t="shared" si="696"/>
        <v>0</v>
      </c>
      <c r="CP383" t="b">
        <f t="shared" si="697"/>
        <v>0</v>
      </c>
      <c r="CQ383" t="b">
        <f t="shared" si="698"/>
        <v>0</v>
      </c>
      <c r="CR383" t="b">
        <f t="shared" si="699"/>
        <v>0</v>
      </c>
      <c r="CS383" t="b">
        <f t="shared" si="700"/>
        <v>0</v>
      </c>
      <c r="CT383" t="b">
        <f t="shared" si="701"/>
        <v>0</v>
      </c>
      <c r="CU383" t="b">
        <f t="shared" si="702"/>
        <v>0</v>
      </c>
      <c r="CV383">
        <f t="shared" si="703"/>
        <v>1</v>
      </c>
      <c r="CW383" t="b">
        <f t="shared" si="704"/>
        <v>0</v>
      </c>
      <c r="CX383" t="b">
        <f t="shared" si="705"/>
        <v>0</v>
      </c>
      <c r="CY383" t="b">
        <f t="shared" si="706"/>
        <v>0</v>
      </c>
      <c r="CZ383" t="b">
        <f t="shared" si="707"/>
        <v>0</v>
      </c>
      <c r="DA383" t="b">
        <f t="shared" si="708"/>
        <v>0</v>
      </c>
      <c r="DB383" t="b">
        <f t="shared" si="709"/>
        <v>0</v>
      </c>
      <c r="DC383" t="b">
        <f t="shared" si="710"/>
        <v>0</v>
      </c>
      <c r="DD383" t="b">
        <f t="shared" si="711"/>
        <v>0</v>
      </c>
      <c r="DE383" t="b">
        <f t="shared" si="712"/>
        <v>0</v>
      </c>
      <c r="DF383" t="b">
        <f t="shared" si="713"/>
        <v>0</v>
      </c>
      <c r="DG383" t="b">
        <f t="shared" si="714"/>
        <v>0</v>
      </c>
      <c r="DH383" t="b">
        <f t="shared" si="715"/>
        <v>0</v>
      </c>
      <c r="DI383" t="b">
        <f t="shared" si="716"/>
        <v>0</v>
      </c>
      <c r="DJ383" t="b">
        <f t="shared" si="717"/>
        <v>0</v>
      </c>
      <c r="DK383" t="b">
        <f t="shared" si="718"/>
        <v>0</v>
      </c>
      <c r="DL383" t="b">
        <f t="shared" si="719"/>
        <v>0</v>
      </c>
      <c r="DM383" t="b">
        <f t="shared" si="720"/>
        <v>0</v>
      </c>
      <c r="DN383" t="b">
        <f t="shared" si="721"/>
        <v>0</v>
      </c>
      <c r="DO383" t="b">
        <f t="shared" si="722"/>
        <v>0</v>
      </c>
      <c r="DP383" t="b">
        <f t="shared" si="723"/>
        <v>0</v>
      </c>
      <c r="DQ383" t="b">
        <f t="shared" si="724"/>
        <v>0</v>
      </c>
      <c r="DR383" t="b">
        <f t="shared" si="725"/>
        <v>0</v>
      </c>
      <c r="DS383" t="b">
        <f t="shared" si="726"/>
        <v>0</v>
      </c>
      <c r="DT383" t="b">
        <f t="shared" si="727"/>
        <v>0</v>
      </c>
      <c r="DU383" t="b">
        <f t="shared" si="728"/>
        <v>0</v>
      </c>
      <c r="DV383" t="b">
        <f t="shared" si="729"/>
        <v>0</v>
      </c>
      <c r="DW383" t="b">
        <f t="shared" si="730"/>
        <v>0</v>
      </c>
      <c r="DX383" t="b">
        <f t="shared" si="731"/>
        <v>0</v>
      </c>
      <c r="DY383" t="b">
        <f t="shared" si="732"/>
        <v>0</v>
      </c>
      <c r="DZ383" t="b">
        <f t="shared" si="733"/>
        <v>0</v>
      </c>
      <c r="EA383" t="b">
        <f t="shared" si="734"/>
        <v>0</v>
      </c>
      <c r="EB383" t="b">
        <f t="shared" si="735"/>
        <v>0</v>
      </c>
      <c r="EC383" t="b">
        <f t="shared" si="736"/>
        <v>0</v>
      </c>
      <c r="ED383" t="b">
        <f t="shared" si="737"/>
        <v>0</v>
      </c>
      <c r="EE383" t="b">
        <f t="shared" si="738"/>
        <v>0</v>
      </c>
      <c r="EF383" t="b">
        <f t="shared" si="739"/>
        <v>0</v>
      </c>
      <c r="EG383" t="b">
        <f t="shared" si="740"/>
        <v>0</v>
      </c>
      <c r="EH383" t="b">
        <f t="shared" si="741"/>
        <v>0</v>
      </c>
      <c r="EI383" t="b">
        <f t="shared" si="742"/>
        <v>0</v>
      </c>
      <c r="EJ383" t="b">
        <f t="shared" si="743"/>
        <v>0</v>
      </c>
      <c r="EK383" t="b">
        <f t="shared" si="744"/>
        <v>0</v>
      </c>
    </row>
    <row r="384" spans="1:141">
      <c r="A384" t="s">
        <v>1988</v>
      </c>
      <c r="B384" t="s">
        <v>1988</v>
      </c>
      <c r="C384" t="s">
        <v>1989</v>
      </c>
      <c r="D384" s="1">
        <v>42191</v>
      </c>
      <c r="E384" s="2">
        <v>42193.364479166667</v>
      </c>
      <c r="F384" s="2">
        <v>42193.364479166667</v>
      </c>
      <c r="G384">
        <v>252751</v>
      </c>
      <c r="H384" t="s">
        <v>1990</v>
      </c>
      <c r="I384" s="10" t="s">
        <v>1991</v>
      </c>
      <c r="J384" t="s">
        <v>188</v>
      </c>
      <c r="K384" s="8" t="b">
        <v>1</v>
      </c>
      <c r="L384" s="10" t="b">
        <v>0</v>
      </c>
      <c r="M384" s="12" t="b">
        <v>0</v>
      </c>
      <c r="N384" t="b">
        <v>0</v>
      </c>
      <c r="O384" t="b">
        <v>0</v>
      </c>
      <c r="P384" t="b">
        <v>0</v>
      </c>
      <c r="Q384">
        <f t="shared" si="621"/>
        <v>2</v>
      </c>
      <c r="R384">
        <f t="shared" si="622"/>
        <v>7</v>
      </c>
      <c r="S384" t="e">
        <f t="shared" ca="1" si="652"/>
        <v>#NAME?</v>
      </c>
      <c r="T384" t="e">
        <f t="shared" ca="1" si="623"/>
        <v>#NAME?</v>
      </c>
      <c r="U384" s="4">
        <f t="shared" si="624"/>
        <v>2.3644791666665697</v>
      </c>
      <c r="V384" s="4">
        <f t="shared" si="625"/>
        <v>7.8815972222218991E-2</v>
      </c>
      <c r="W384" s="4">
        <f t="shared" si="626"/>
        <v>1</v>
      </c>
      <c r="X384" s="4">
        <f t="shared" si="627"/>
        <v>0</v>
      </c>
      <c r="Y384" s="4">
        <f t="shared" si="628"/>
        <v>0</v>
      </c>
      <c r="Z384" s="4">
        <f t="shared" si="629"/>
        <v>0</v>
      </c>
      <c r="AA384" s="4">
        <f t="shared" si="630"/>
        <v>0</v>
      </c>
      <c r="AB384" s="4">
        <f t="shared" si="631"/>
        <v>0</v>
      </c>
      <c r="AC384" s="4"/>
      <c r="AD384" s="4" t="b">
        <f t="shared" si="632"/>
        <v>0</v>
      </c>
      <c r="AE384" s="4" t="b">
        <f t="shared" si="633"/>
        <v>0</v>
      </c>
      <c r="AF384" s="4" t="b">
        <f t="shared" si="634"/>
        <v>0</v>
      </c>
      <c r="AG384" t="b">
        <f t="shared" si="635"/>
        <v>0</v>
      </c>
      <c r="AH384" t="b">
        <f t="shared" si="636"/>
        <v>0</v>
      </c>
      <c r="AI384" t="b">
        <f t="shared" si="637"/>
        <v>0</v>
      </c>
      <c r="AJ384" t="b">
        <f t="shared" si="638"/>
        <v>0</v>
      </c>
      <c r="AK384" t="b">
        <f t="shared" si="639"/>
        <v>0</v>
      </c>
      <c r="AL384" t="b">
        <f t="shared" si="640"/>
        <v>0</v>
      </c>
      <c r="AM384" t="b">
        <f t="shared" si="641"/>
        <v>0</v>
      </c>
      <c r="AN384" t="b">
        <f t="shared" si="642"/>
        <v>0</v>
      </c>
      <c r="AO384" t="b">
        <f t="shared" si="643"/>
        <v>0</v>
      </c>
      <c r="AP384" t="b">
        <f t="shared" si="644"/>
        <v>0</v>
      </c>
      <c r="AQ384" t="b">
        <f t="shared" si="645"/>
        <v>0</v>
      </c>
      <c r="AR384" t="b">
        <f t="shared" si="646"/>
        <v>0</v>
      </c>
      <c r="AS384" t="b">
        <f t="shared" si="647"/>
        <v>0</v>
      </c>
      <c r="AT384" t="b">
        <f t="shared" si="648"/>
        <v>0</v>
      </c>
      <c r="AU384" t="b">
        <f t="shared" si="649"/>
        <v>0</v>
      </c>
      <c r="AV384" t="b">
        <f t="shared" si="650"/>
        <v>0</v>
      </c>
      <c r="AW384" t="b">
        <f t="shared" si="651"/>
        <v>0</v>
      </c>
      <c r="AX384" t="b">
        <f t="shared" si="653"/>
        <v>0</v>
      </c>
      <c r="AY384" t="b">
        <f t="shared" si="654"/>
        <v>0</v>
      </c>
      <c r="AZ384" t="b">
        <f t="shared" si="655"/>
        <v>0</v>
      </c>
      <c r="BA384" t="b">
        <f t="shared" si="656"/>
        <v>0</v>
      </c>
      <c r="BB384" t="b">
        <f t="shared" si="657"/>
        <v>0</v>
      </c>
      <c r="BC384" t="b">
        <f t="shared" si="658"/>
        <v>0</v>
      </c>
      <c r="BD384" t="b">
        <f t="shared" si="659"/>
        <v>0</v>
      </c>
      <c r="BE384" t="b">
        <f t="shared" si="660"/>
        <v>0</v>
      </c>
      <c r="BF384" t="b">
        <f t="shared" si="661"/>
        <v>0</v>
      </c>
      <c r="BG384" t="b">
        <f t="shared" si="662"/>
        <v>0</v>
      </c>
      <c r="BH384" t="b">
        <f t="shared" si="663"/>
        <v>0</v>
      </c>
      <c r="BI384">
        <f t="shared" si="664"/>
        <v>1</v>
      </c>
      <c r="BJ384" t="b">
        <f t="shared" si="665"/>
        <v>0</v>
      </c>
      <c r="BK384" t="b">
        <f t="shared" si="666"/>
        <v>0</v>
      </c>
      <c r="BL384" t="b">
        <f t="shared" si="667"/>
        <v>0</v>
      </c>
      <c r="BM384" t="b">
        <f t="shared" si="668"/>
        <v>0</v>
      </c>
      <c r="BN384" t="b">
        <f t="shared" si="669"/>
        <v>0</v>
      </c>
      <c r="BO384" t="b">
        <f t="shared" si="670"/>
        <v>0</v>
      </c>
      <c r="BP384" t="b">
        <f t="shared" si="671"/>
        <v>0</v>
      </c>
      <c r="BQ384" t="b">
        <f t="shared" si="672"/>
        <v>0</v>
      </c>
      <c r="BR384" t="b">
        <f t="shared" si="673"/>
        <v>0</v>
      </c>
      <c r="BS384" t="b">
        <f t="shared" si="674"/>
        <v>0</v>
      </c>
      <c r="BT384" t="b">
        <f t="shared" si="675"/>
        <v>0</v>
      </c>
      <c r="BU384" t="b">
        <f t="shared" si="676"/>
        <v>0</v>
      </c>
      <c r="BV384" t="b">
        <f t="shared" si="677"/>
        <v>0</v>
      </c>
      <c r="BW384" t="b">
        <f t="shared" si="678"/>
        <v>0</v>
      </c>
      <c r="BX384" t="b">
        <f t="shared" si="679"/>
        <v>0</v>
      </c>
      <c r="BY384" t="b">
        <f t="shared" si="680"/>
        <v>0</v>
      </c>
      <c r="BZ384" t="b">
        <f t="shared" si="681"/>
        <v>0</v>
      </c>
      <c r="CA384" t="b">
        <f t="shared" si="682"/>
        <v>0</v>
      </c>
      <c r="CB384" t="b">
        <f t="shared" si="683"/>
        <v>0</v>
      </c>
      <c r="CC384" t="b">
        <f t="shared" si="684"/>
        <v>0</v>
      </c>
      <c r="CD384" t="b">
        <f t="shared" si="685"/>
        <v>0</v>
      </c>
      <c r="CE384">
        <f t="shared" si="686"/>
        <v>1</v>
      </c>
      <c r="CF384" t="b">
        <f t="shared" si="687"/>
        <v>0</v>
      </c>
      <c r="CG384" t="b">
        <f t="shared" si="688"/>
        <v>0</v>
      </c>
      <c r="CH384" t="b">
        <f t="shared" si="689"/>
        <v>0</v>
      </c>
      <c r="CI384" t="b">
        <f t="shared" si="690"/>
        <v>0</v>
      </c>
      <c r="CJ384" t="b">
        <f t="shared" si="691"/>
        <v>0</v>
      </c>
      <c r="CK384" t="b">
        <f t="shared" si="692"/>
        <v>0</v>
      </c>
      <c r="CL384" t="b">
        <f t="shared" si="693"/>
        <v>0</v>
      </c>
      <c r="CM384" t="b">
        <f t="shared" si="694"/>
        <v>0</v>
      </c>
      <c r="CN384" t="b">
        <f t="shared" si="695"/>
        <v>0</v>
      </c>
      <c r="CO384" t="b">
        <f t="shared" si="696"/>
        <v>0</v>
      </c>
      <c r="CP384" t="b">
        <f t="shared" si="697"/>
        <v>0</v>
      </c>
      <c r="CQ384" t="b">
        <f t="shared" si="698"/>
        <v>0</v>
      </c>
      <c r="CR384" t="b">
        <f t="shared" si="699"/>
        <v>0</v>
      </c>
      <c r="CS384" t="b">
        <f t="shared" si="700"/>
        <v>0</v>
      </c>
      <c r="CT384" t="b">
        <f t="shared" si="701"/>
        <v>0</v>
      </c>
      <c r="CU384" t="b">
        <f t="shared" si="702"/>
        <v>0</v>
      </c>
      <c r="CV384">
        <f t="shared" si="703"/>
        <v>1</v>
      </c>
      <c r="CW384" t="b">
        <f t="shared" si="704"/>
        <v>0</v>
      </c>
      <c r="CX384" t="b">
        <f t="shared" si="705"/>
        <v>0</v>
      </c>
      <c r="CY384" t="b">
        <f t="shared" si="706"/>
        <v>0</v>
      </c>
      <c r="CZ384" t="b">
        <f t="shared" si="707"/>
        <v>0</v>
      </c>
      <c r="DA384" t="b">
        <f t="shared" si="708"/>
        <v>0</v>
      </c>
      <c r="DB384" t="b">
        <f t="shared" si="709"/>
        <v>0</v>
      </c>
      <c r="DC384" t="b">
        <f t="shared" si="710"/>
        <v>0</v>
      </c>
      <c r="DD384" t="b">
        <f t="shared" si="711"/>
        <v>0</v>
      </c>
      <c r="DE384" t="b">
        <f t="shared" si="712"/>
        <v>0</v>
      </c>
      <c r="DF384" t="b">
        <f t="shared" si="713"/>
        <v>0</v>
      </c>
      <c r="DG384" t="b">
        <f t="shared" si="714"/>
        <v>0</v>
      </c>
      <c r="DH384" t="b">
        <f t="shared" si="715"/>
        <v>0</v>
      </c>
      <c r="DI384" t="b">
        <f t="shared" si="716"/>
        <v>0</v>
      </c>
      <c r="DJ384" t="b">
        <f t="shared" si="717"/>
        <v>0</v>
      </c>
      <c r="DK384" t="b">
        <f t="shared" si="718"/>
        <v>0</v>
      </c>
      <c r="DL384" t="b">
        <f t="shared" si="719"/>
        <v>0</v>
      </c>
      <c r="DM384" t="b">
        <f t="shared" si="720"/>
        <v>0</v>
      </c>
      <c r="DN384" t="b">
        <f t="shared" si="721"/>
        <v>0</v>
      </c>
      <c r="DO384" t="b">
        <f t="shared" si="722"/>
        <v>0</v>
      </c>
      <c r="DP384" t="b">
        <f t="shared" si="723"/>
        <v>0</v>
      </c>
      <c r="DQ384" t="b">
        <f t="shared" si="724"/>
        <v>0</v>
      </c>
      <c r="DR384" t="b">
        <f t="shared" si="725"/>
        <v>0</v>
      </c>
      <c r="DS384" t="b">
        <f t="shared" si="726"/>
        <v>0</v>
      </c>
      <c r="DT384" t="b">
        <f t="shared" si="727"/>
        <v>0</v>
      </c>
      <c r="DU384" t="b">
        <f t="shared" si="728"/>
        <v>0</v>
      </c>
      <c r="DV384" t="b">
        <f t="shared" si="729"/>
        <v>0</v>
      </c>
      <c r="DW384" t="b">
        <f t="shared" si="730"/>
        <v>0</v>
      </c>
      <c r="DX384" t="b">
        <f t="shared" si="731"/>
        <v>0</v>
      </c>
      <c r="DY384" t="b">
        <f t="shared" si="732"/>
        <v>0</v>
      </c>
      <c r="DZ384" t="b">
        <f t="shared" si="733"/>
        <v>0</v>
      </c>
      <c r="EA384" t="b">
        <f t="shared" si="734"/>
        <v>0</v>
      </c>
      <c r="EB384" t="b">
        <f t="shared" si="735"/>
        <v>0</v>
      </c>
      <c r="EC384" t="b">
        <f t="shared" si="736"/>
        <v>0</v>
      </c>
      <c r="ED384" t="b">
        <f t="shared" si="737"/>
        <v>0</v>
      </c>
      <c r="EE384" t="b">
        <f t="shared" si="738"/>
        <v>0</v>
      </c>
      <c r="EF384">
        <f t="shared" si="739"/>
        <v>1</v>
      </c>
      <c r="EG384" t="b">
        <f t="shared" si="740"/>
        <v>0</v>
      </c>
      <c r="EH384" t="b">
        <f t="shared" si="741"/>
        <v>0</v>
      </c>
      <c r="EI384" t="b">
        <f t="shared" si="742"/>
        <v>0</v>
      </c>
      <c r="EJ384" t="b">
        <f t="shared" si="743"/>
        <v>0</v>
      </c>
      <c r="EK384" t="b">
        <f t="shared" si="744"/>
        <v>0</v>
      </c>
    </row>
    <row r="385" spans="1:141">
      <c r="A385" t="s">
        <v>1992</v>
      </c>
      <c r="B385" t="s">
        <v>1992</v>
      </c>
      <c r="C385" t="s">
        <v>1993</v>
      </c>
      <c r="D385" s="1">
        <v>39630</v>
      </c>
      <c r="E385" s="2">
        <v>42521.008668981478</v>
      </c>
      <c r="F385" s="2">
        <v>42521.008668981478</v>
      </c>
      <c r="G385">
        <v>359420698</v>
      </c>
      <c r="H385" t="s">
        <v>1994</v>
      </c>
      <c r="I385" s="10" t="s">
        <v>1995</v>
      </c>
      <c r="J385" t="s">
        <v>156</v>
      </c>
      <c r="K385" s="8" t="b">
        <v>1</v>
      </c>
      <c r="L385" s="10" t="b">
        <v>0</v>
      </c>
      <c r="M385" s="12" t="b">
        <v>0</v>
      </c>
      <c r="N385" t="b">
        <v>0</v>
      </c>
      <c r="O385" t="b">
        <v>0</v>
      </c>
      <c r="P385" t="b">
        <v>0</v>
      </c>
      <c r="Q385">
        <f t="shared" si="621"/>
        <v>3</v>
      </c>
      <c r="R385">
        <f t="shared" si="622"/>
        <v>7</v>
      </c>
      <c r="S385" t="e">
        <f t="shared" ca="1" si="652"/>
        <v>#NAME?</v>
      </c>
      <c r="T385" t="e">
        <f t="shared" ca="1" si="623"/>
        <v>#NAME?</v>
      </c>
      <c r="U385" s="4">
        <f t="shared" si="624"/>
        <v>2891.008668981478</v>
      </c>
      <c r="V385" s="4">
        <f t="shared" si="625"/>
        <v>96.366955632715928</v>
      </c>
      <c r="W385" s="4">
        <f t="shared" si="626"/>
        <v>1</v>
      </c>
      <c r="X385" s="4">
        <f t="shared" si="627"/>
        <v>0</v>
      </c>
      <c r="Y385" s="4">
        <f t="shared" si="628"/>
        <v>0</v>
      </c>
      <c r="Z385" s="4">
        <f t="shared" si="629"/>
        <v>0</v>
      </c>
      <c r="AA385" s="4">
        <f t="shared" si="630"/>
        <v>0</v>
      </c>
      <c r="AB385" s="4">
        <f t="shared" si="631"/>
        <v>0</v>
      </c>
      <c r="AC385" s="4"/>
      <c r="AD385" s="4" t="b">
        <f t="shared" si="632"/>
        <v>0</v>
      </c>
      <c r="AE385" s="4" t="b">
        <f t="shared" si="633"/>
        <v>0</v>
      </c>
      <c r="AF385" s="4" t="b">
        <f t="shared" si="634"/>
        <v>0</v>
      </c>
      <c r="AG385" t="b">
        <f t="shared" si="635"/>
        <v>0</v>
      </c>
      <c r="AH385" t="b">
        <f t="shared" si="636"/>
        <v>0</v>
      </c>
      <c r="AI385" t="b">
        <f t="shared" si="637"/>
        <v>0</v>
      </c>
      <c r="AJ385" t="b">
        <f t="shared" si="638"/>
        <v>0</v>
      </c>
      <c r="AK385" t="b">
        <f t="shared" si="639"/>
        <v>0</v>
      </c>
      <c r="AL385" t="b">
        <f t="shared" si="640"/>
        <v>0</v>
      </c>
      <c r="AM385" t="b">
        <f t="shared" si="641"/>
        <v>0</v>
      </c>
      <c r="AN385" t="b">
        <f t="shared" si="642"/>
        <v>0</v>
      </c>
      <c r="AO385" t="b">
        <f t="shared" si="643"/>
        <v>0</v>
      </c>
      <c r="AP385" t="b">
        <f t="shared" si="644"/>
        <v>0</v>
      </c>
      <c r="AQ385" t="b">
        <f t="shared" si="645"/>
        <v>0</v>
      </c>
      <c r="AR385" t="b">
        <f t="shared" si="646"/>
        <v>0</v>
      </c>
      <c r="AS385" t="b">
        <f t="shared" si="647"/>
        <v>0</v>
      </c>
      <c r="AT385" t="b">
        <f t="shared" si="648"/>
        <v>0</v>
      </c>
      <c r="AU385" t="b">
        <f t="shared" si="649"/>
        <v>0</v>
      </c>
      <c r="AV385" t="b">
        <f t="shared" si="650"/>
        <v>0</v>
      </c>
      <c r="AW385" t="b">
        <f t="shared" si="651"/>
        <v>0</v>
      </c>
      <c r="AX385" t="b">
        <f t="shared" si="653"/>
        <v>0</v>
      </c>
      <c r="AY385" t="b">
        <f t="shared" si="654"/>
        <v>0</v>
      </c>
      <c r="AZ385" t="b">
        <f t="shared" si="655"/>
        <v>0</v>
      </c>
      <c r="BA385" t="b">
        <f t="shared" si="656"/>
        <v>0</v>
      </c>
      <c r="BB385" t="b">
        <f t="shared" si="657"/>
        <v>0</v>
      </c>
      <c r="BC385" t="b">
        <f t="shared" si="658"/>
        <v>0</v>
      </c>
      <c r="BD385" t="b">
        <f t="shared" si="659"/>
        <v>0</v>
      </c>
      <c r="BE385" t="b">
        <f t="shared" si="660"/>
        <v>0</v>
      </c>
      <c r="BF385" t="b">
        <f t="shared" si="661"/>
        <v>0</v>
      </c>
      <c r="BG385" t="b">
        <f t="shared" si="662"/>
        <v>0</v>
      </c>
      <c r="BH385" t="b">
        <f t="shared" si="663"/>
        <v>0</v>
      </c>
      <c r="BI385">
        <f t="shared" si="664"/>
        <v>1</v>
      </c>
      <c r="BJ385" t="b">
        <f t="shared" si="665"/>
        <v>0</v>
      </c>
      <c r="BK385" t="b">
        <f t="shared" si="666"/>
        <v>0</v>
      </c>
      <c r="BL385" t="b">
        <f t="shared" si="667"/>
        <v>0</v>
      </c>
      <c r="BM385" t="b">
        <f t="shared" si="668"/>
        <v>0</v>
      </c>
      <c r="BN385" t="b">
        <f t="shared" si="669"/>
        <v>0</v>
      </c>
      <c r="BO385" t="b">
        <f t="shared" si="670"/>
        <v>0</v>
      </c>
      <c r="BP385" t="b">
        <f t="shared" si="671"/>
        <v>0</v>
      </c>
      <c r="BQ385" t="b">
        <f t="shared" si="672"/>
        <v>0</v>
      </c>
      <c r="BR385" t="b">
        <f t="shared" si="673"/>
        <v>0</v>
      </c>
      <c r="BS385" t="b">
        <f t="shared" si="674"/>
        <v>0</v>
      </c>
      <c r="BT385" t="b">
        <f t="shared" si="675"/>
        <v>0</v>
      </c>
      <c r="BU385" t="b">
        <f t="shared" si="676"/>
        <v>0</v>
      </c>
      <c r="BV385" t="b">
        <f t="shared" si="677"/>
        <v>0</v>
      </c>
      <c r="BW385" t="b">
        <f t="shared" si="678"/>
        <v>0</v>
      </c>
      <c r="BX385" t="b">
        <f t="shared" si="679"/>
        <v>0</v>
      </c>
      <c r="BY385" t="b">
        <f t="shared" si="680"/>
        <v>0</v>
      </c>
      <c r="BZ385" t="b">
        <f t="shared" si="681"/>
        <v>0</v>
      </c>
      <c r="CA385" t="b">
        <f t="shared" si="682"/>
        <v>0</v>
      </c>
      <c r="CB385" t="b">
        <f t="shared" si="683"/>
        <v>0</v>
      </c>
      <c r="CC385" t="b">
        <f t="shared" si="684"/>
        <v>0</v>
      </c>
      <c r="CD385" t="b">
        <f t="shared" si="685"/>
        <v>0</v>
      </c>
      <c r="CE385" t="b">
        <f t="shared" si="686"/>
        <v>0</v>
      </c>
      <c r="CF385" t="b">
        <f t="shared" si="687"/>
        <v>0</v>
      </c>
      <c r="CG385" t="b">
        <f t="shared" si="688"/>
        <v>0</v>
      </c>
      <c r="CH385" t="b">
        <f t="shared" si="689"/>
        <v>0</v>
      </c>
      <c r="CI385" t="b">
        <f t="shared" si="690"/>
        <v>0</v>
      </c>
      <c r="CJ385" t="b">
        <f t="shared" si="691"/>
        <v>0</v>
      </c>
      <c r="CK385" t="b">
        <f t="shared" si="692"/>
        <v>0</v>
      </c>
      <c r="CL385" t="b">
        <f t="shared" si="693"/>
        <v>0</v>
      </c>
      <c r="CM385" t="b">
        <f t="shared" si="694"/>
        <v>0</v>
      </c>
      <c r="CN385" t="b">
        <f t="shared" si="695"/>
        <v>0</v>
      </c>
      <c r="CO385" t="b">
        <f t="shared" si="696"/>
        <v>0</v>
      </c>
      <c r="CP385" t="b">
        <f t="shared" si="697"/>
        <v>0</v>
      </c>
      <c r="CQ385" t="b">
        <f t="shared" si="698"/>
        <v>0</v>
      </c>
      <c r="CR385" t="b">
        <f t="shared" si="699"/>
        <v>0</v>
      </c>
      <c r="CS385" t="b">
        <f t="shared" si="700"/>
        <v>0</v>
      </c>
      <c r="CT385" t="b">
        <f t="shared" si="701"/>
        <v>0</v>
      </c>
      <c r="CU385" t="b">
        <f t="shared" si="702"/>
        <v>0</v>
      </c>
      <c r="CV385">
        <f t="shared" si="703"/>
        <v>1</v>
      </c>
      <c r="CW385" t="b">
        <f t="shared" si="704"/>
        <v>0</v>
      </c>
      <c r="CX385" t="b">
        <f t="shared" si="705"/>
        <v>0</v>
      </c>
      <c r="CY385" t="b">
        <f t="shared" si="706"/>
        <v>0</v>
      </c>
      <c r="CZ385" t="b">
        <f t="shared" si="707"/>
        <v>0</v>
      </c>
      <c r="DA385" t="b">
        <f t="shared" si="708"/>
        <v>0</v>
      </c>
      <c r="DB385" t="b">
        <f t="shared" si="709"/>
        <v>0</v>
      </c>
      <c r="DC385" t="b">
        <f t="shared" si="710"/>
        <v>0</v>
      </c>
      <c r="DD385" t="b">
        <f t="shared" si="711"/>
        <v>0</v>
      </c>
      <c r="DE385" t="b">
        <f t="shared" si="712"/>
        <v>0</v>
      </c>
      <c r="DF385" t="b">
        <f t="shared" si="713"/>
        <v>0</v>
      </c>
      <c r="DG385" t="b">
        <f t="shared" si="714"/>
        <v>0</v>
      </c>
      <c r="DH385" t="b">
        <f t="shared" si="715"/>
        <v>0</v>
      </c>
      <c r="DI385" t="b">
        <f t="shared" si="716"/>
        <v>0</v>
      </c>
      <c r="DJ385" t="b">
        <f t="shared" si="717"/>
        <v>0</v>
      </c>
      <c r="DK385" t="b">
        <f t="shared" si="718"/>
        <v>0</v>
      </c>
      <c r="DL385" t="b">
        <f t="shared" si="719"/>
        <v>0</v>
      </c>
      <c r="DM385" t="b">
        <f t="shared" si="720"/>
        <v>0</v>
      </c>
      <c r="DN385" t="b">
        <f t="shared" si="721"/>
        <v>0</v>
      </c>
      <c r="DO385" t="b">
        <f t="shared" si="722"/>
        <v>0</v>
      </c>
      <c r="DP385" t="b">
        <f t="shared" si="723"/>
        <v>0</v>
      </c>
      <c r="DQ385" t="b">
        <f t="shared" si="724"/>
        <v>0</v>
      </c>
      <c r="DR385" t="b">
        <f t="shared" si="725"/>
        <v>0</v>
      </c>
      <c r="DS385" t="b">
        <f t="shared" si="726"/>
        <v>0</v>
      </c>
      <c r="DT385" t="b">
        <f t="shared" si="727"/>
        <v>0</v>
      </c>
      <c r="DU385" t="b">
        <f t="shared" si="728"/>
        <v>0</v>
      </c>
      <c r="DV385" t="b">
        <f t="shared" si="729"/>
        <v>0</v>
      </c>
      <c r="DW385" t="b">
        <f t="shared" si="730"/>
        <v>0</v>
      </c>
      <c r="DX385" t="b">
        <f t="shared" si="731"/>
        <v>0</v>
      </c>
      <c r="DY385" t="b">
        <f t="shared" si="732"/>
        <v>0</v>
      </c>
      <c r="DZ385" t="b">
        <f t="shared" si="733"/>
        <v>0</v>
      </c>
      <c r="EA385" t="b">
        <f t="shared" si="734"/>
        <v>0</v>
      </c>
      <c r="EB385" t="b">
        <f t="shared" si="735"/>
        <v>0</v>
      </c>
      <c r="EC385" t="b">
        <f t="shared" si="736"/>
        <v>0</v>
      </c>
      <c r="ED385" t="b">
        <f t="shared" si="737"/>
        <v>0</v>
      </c>
      <c r="EE385" t="b">
        <f t="shared" si="738"/>
        <v>0</v>
      </c>
      <c r="EF385">
        <f t="shared" si="739"/>
        <v>1</v>
      </c>
      <c r="EG385" t="b">
        <f t="shared" si="740"/>
        <v>0</v>
      </c>
      <c r="EH385" t="b">
        <f t="shared" si="741"/>
        <v>0</v>
      </c>
      <c r="EI385" t="b">
        <f t="shared" si="742"/>
        <v>0</v>
      </c>
      <c r="EJ385" t="b">
        <f t="shared" si="743"/>
        <v>0</v>
      </c>
      <c r="EK385" t="b">
        <f t="shared" si="744"/>
        <v>0</v>
      </c>
    </row>
    <row r="386" spans="1:141">
      <c r="A386" t="s">
        <v>1996</v>
      </c>
      <c r="B386" t="s">
        <v>1996</v>
      </c>
      <c r="C386" t="s">
        <v>1997</v>
      </c>
      <c r="D386" s="1">
        <v>42231</v>
      </c>
      <c r="E386" s="2">
        <v>42287.296030092592</v>
      </c>
      <c r="F386" s="2">
        <v>42287.296030092592</v>
      </c>
      <c r="G386">
        <v>19863</v>
      </c>
      <c r="H386" t="s">
        <v>1998</v>
      </c>
      <c r="I386" s="10" t="s">
        <v>1999</v>
      </c>
      <c r="J386" t="s">
        <v>156</v>
      </c>
      <c r="K386" s="8" t="b">
        <v>1</v>
      </c>
      <c r="L386" s="10" t="b">
        <v>0</v>
      </c>
      <c r="M386" s="12" t="b">
        <v>0</v>
      </c>
      <c r="N386" t="b">
        <v>0</v>
      </c>
      <c r="O386" t="b">
        <v>0</v>
      </c>
      <c r="P386" t="b">
        <v>0</v>
      </c>
      <c r="Q386">
        <f t="shared" ref="Q386:Q449" si="745">WEEKDAY(D386)</f>
        <v>7</v>
      </c>
      <c r="R386">
        <f t="shared" ref="R386:R449" si="746">MONTH(D386)</f>
        <v>8</v>
      </c>
      <c r="S386" t="e">
        <f t="shared" ca="1" si="652"/>
        <v>#NAME?</v>
      </c>
      <c r="T386" t="e">
        <f t="shared" ref="T386:T449" ca="1" si="747">WhoIsName(C386)</f>
        <v>#NAME?</v>
      </c>
      <c r="U386" s="4">
        <f t="shared" ref="U386:U449" si="748">E386-D386</f>
        <v>56.296030092591536</v>
      </c>
      <c r="V386" s="4">
        <f t="shared" ref="V386:V449" si="749">U386/30</f>
        <v>1.8765343364197178</v>
      </c>
      <c r="W386" s="4">
        <f t="shared" ref="W386:W449" si="750">IF(K386=TRUE,1,0)</f>
        <v>1</v>
      </c>
      <c r="X386" s="4">
        <f t="shared" ref="X386:X449" si="751">IF(L386=TRUE,1,0)</f>
        <v>0</v>
      </c>
      <c r="Y386" s="4">
        <f t="shared" ref="Y386:Y449" si="752">IF(M386=TRUE,1,0)</f>
        <v>0</v>
      </c>
      <c r="Z386" s="4">
        <f t="shared" ref="Z386:Z449" si="753">IF(N386=TRUE,1,0)</f>
        <v>0</v>
      </c>
      <c r="AA386" s="4">
        <f t="shared" ref="AA386:AA449" si="754">IF(O386=TRUE,1,0)</f>
        <v>0</v>
      </c>
      <c r="AB386" s="4">
        <f t="shared" ref="AB386:AB449" si="755">IF(P386=TRUE,1,0)</f>
        <v>0</v>
      </c>
      <c r="AC386" s="4"/>
      <c r="AD386" s="4" t="b">
        <f t="shared" ref="AD386:AD449" si="756">IFERROR(IF(SEARCH("'Account balances'",J386),1,0),FALSE)</f>
        <v>0</v>
      </c>
      <c r="AE386" s="4" t="b">
        <f t="shared" ref="AE386:AE449" si="757">IFERROR(IF(SEARCH( "'Address book contacts'", J386),1,0),FALSE)</f>
        <v>0</v>
      </c>
      <c r="AF386" s="4" t="b">
        <f t="shared" ref="AF386:AF449" si="758">IFERROR(IF(SEARCH( "'Age groups'", J386),1,0),FALSE)</f>
        <v>0</v>
      </c>
      <c r="AG386" t="b">
        <f t="shared" ref="AG386:AG449" si="759">IFERROR(IF(SEARCH( "'Apps installed on devices'", J386),1,0),FALSE)</f>
        <v>0</v>
      </c>
      <c r="AH386" t="b">
        <f t="shared" ref="AH386:AH449" si="760">IFERROR(IF(SEARCH( "'Astrological signs'", J386),1,0),FALSE)</f>
        <v>0</v>
      </c>
      <c r="AI386" t="b">
        <f t="shared" ref="AI386:AI449" si="761">IFERROR(IF(SEARCH( "'Auth tokens'", J386),1,0),FALSE)</f>
        <v>0</v>
      </c>
      <c r="AJ386" t="b">
        <f t="shared" ref="AJ386:AJ449" si="762">IFERROR(IF(SEARCH( "'Avatars'", J386),1,0),FALSE)</f>
        <v>0</v>
      </c>
      <c r="AK386" t="b">
        <f t="shared" ref="AK386:AK449" si="763">IFERROR(IF(SEARCH( "'Bank account numbers'", J386),1,0),FALSE)</f>
        <v>0</v>
      </c>
      <c r="AL386" t="b">
        <f t="shared" ref="AL386:AL449" si="764">IFERROR(IF(SEARCH( "'Beauty ratings'", J386),1,0),FALSE)</f>
        <v>0</v>
      </c>
      <c r="AM386" t="b">
        <f t="shared" ref="AM386:AM449" si="765">IFERROR(IF(SEARCH( "'Biometric data'", J386),1,0),FALSE)</f>
        <v>0</v>
      </c>
      <c r="AN386" t="b">
        <f t="shared" ref="AN386:AN449" si="766">IFERROR(IF(SEARCH( "'Bios'", J386),1,0),FALSE)</f>
        <v>0</v>
      </c>
      <c r="AO386" t="b">
        <f t="shared" ref="AO386:AO449" si="767">IFERROR(IF(SEARCH( "'Browser user agent details' ", J386),1,0),FALSE)</f>
        <v>0</v>
      </c>
      <c r="AP386" t="b">
        <f t="shared" ref="AP386:AP449" si="768">IFERROR(IF(SEARCH( "'Buying preferences'", J386),1,0),FALSE)</f>
        <v>0</v>
      </c>
      <c r="AQ386" t="b">
        <f t="shared" ref="AQ386:AQ449" si="769">IFERROR(IF(SEARCH( "'Car ownership statuses'", J386),1,0),FALSE)</f>
        <v>0</v>
      </c>
      <c r="AR386" t="b">
        <f t="shared" ref="AR386:AR449" si="770">IFERROR(IF(SEARCH( "'Cellular network names'", J386),1,0),FALSE)</f>
        <v>0</v>
      </c>
      <c r="AS386" t="b">
        <f t="shared" ref="AS386:AS449" si="771">IFERROR(IF(SEARCH( "'Charitable donations'", J386),1,0),FALSE)</f>
        <v>0</v>
      </c>
      <c r="AT386" t="b">
        <f t="shared" ref="AT386:AT449" si="772">IFERROR(IF(SEARCH( "'Chat logs'", J386),1,0),FALSE)</f>
        <v>0</v>
      </c>
      <c r="AU386" t="b">
        <f t="shared" ref="AU386:AU449" si="773">IFERROR(IF(SEARCH( "'Credit card CVV'", J386),1,0),FALSE)</f>
        <v>0</v>
      </c>
      <c r="AV386" t="b">
        <f t="shared" ref="AV386:AV449" si="774">IFERROR(IF(SEARCH( "'Credit cards'", J386),1,0),FALSE)</f>
        <v>0</v>
      </c>
      <c r="AW386" t="b">
        <f t="shared" ref="AW386:AW449" si="775">IFERROR(IF(SEARCH( "'Credit status information'", J386),1,0),FALSE)</f>
        <v>0</v>
      </c>
      <c r="AX386" t="b">
        <f t="shared" si="653"/>
        <v>0</v>
      </c>
      <c r="AY386" t="b">
        <f t="shared" si="654"/>
        <v>0</v>
      </c>
      <c r="AZ386" t="b">
        <f t="shared" si="655"/>
        <v>0</v>
      </c>
      <c r="BA386" t="b">
        <f t="shared" si="656"/>
        <v>0</v>
      </c>
      <c r="BB386" t="b">
        <f t="shared" si="657"/>
        <v>0</v>
      </c>
      <c r="BC386" t="b">
        <f t="shared" si="658"/>
        <v>0</v>
      </c>
      <c r="BD386" t="b">
        <f t="shared" si="659"/>
        <v>0</v>
      </c>
      <c r="BE386" t="b">
        <f t="shared" si="660"/>
        <v>0</v>
      </c>
      <c r="BF386" t="b">
        <f t="shared" si="661"/>
        <v>0</v>
      </c>
      <c r="BG386" t="b">
        <f t="shared" si="662"/>
        <v>0</v>
      </c>
      <c r="BH386" t="b">
        <f t="shared" si="663"/>
        <v>0</v>
      </c>
      <c r="BI386">
        <f t="shared" si="664"/>
        <v>1</v>
      </c>
      <c r="BJ386" t="b">
        <f t="shared" si="665"/>
        <v>0</v>
      </c>
      <c r="BK386" t="b">
        <f t="shared" si="666"/>
        <v>0</v>
      </c>
      <c r="BL386" t="b">
        <f t="shared" si="667"/>
        <v>0</v>
      </c>
      <c r="BM386" t="b">
        <f t="shared" si="668"/>
        <v>0</v>
      </c>
      <c r="BN386" t="b">
        <f t="shared" si="669"/>
        <v>0</v>
      </c>
      <c r="BO386" t="b">
        <f t="shared" si="670"/>
        <v>0</v>
      </c>
      <c r="BP386" t="b">
        <f t="shared" si="671"/>
        <v>0</v>
      </c>
      <c r="BQ386" t="b">
        <f t="shared" si="672"/>
        <v>0</v>
      </c>
      <c r="BR386" t="b">
        <f t="shared" si="673"/>
        <v>0</v>
      </c>
      <c r="BS386" t="b">
        <f t="shared" si="674"/>
        <v>0</v>
      </c>
      <c r="BT386" t="b">
        <f t="shared" si="675"/>
        <v>0</v>
      </c>
      <c r="BU386" t="b">
        <f t="shared" si="676"/>
        <v>0</v>
      </c>
      <c r="BV386" t="b">
        <f t="shared" si="677"/>
        <v>0</v>
      </c>
      <c r="BW386" t="b">
        <f t="shared" si="678"/>
        <v>0</v>
      </c>
      <c r="BX386" t="b">
        <f t="shared" si="679"/>
        <v>0</v>
      </c>
      <c r="BY386" t="b">
        <f t="shared" si="680"/>
        <v>0</v>
      </c>
      <c r="BZ386" t="b">
        <f t="shared" si="681"/>
        <v>0</v>
      </c>
      <c r="CA386" t="b">
        <f t="shared" si="682"/>
        <v>0</v>
      </c>
      <c r="CB386" t="b">
        <f t="shared" si="683"/>
        <v>0</v>
      </c>
      <c r="CC386" t="b">
        <f t="shared" si="684"/>
        <v>0</v>
      </c>
      <c r="CD386" t="b">
        <f t="shared" si="685"/>
        <v>0</v>
      </c>
      <c r="CE386" t="b">
        <f t="shared" si="686"/>
        <v>0</v>
      </c>
      <c r="CF386" t="b">
        <f t="shared" si="687"/>
        <v>0</v>
      </c>
      <c r="CG386" t="b">
        <f t="shared" si="688"/>
        <v>0</v>
      </c>
      <c r="CH386" t="b">
        <f t="shared" si="689"/>
        <v>0</v>
      </c>
      <c r="CI386" t="b">
        <f t="shared" si="690"/>
        <v>0</v>
      </c>
      <c r="CJ386" t="b">
        <f t="shared" si="691"/>
        <v>0</v>
      </c>
      <c r="CK386" t="b">
        <f t="shared" si="692"/>
        <v>0</v>
      </c>
      <c r="CL386" t="b">
        <f t="shared" si="693"/>
        <v>0</v>
      </c>
      <c r="CM386" t="b">
        <f t="shared" si="694"/>
        <v>0</v>
      </c>
      <c r="CN386" t="b">
        <f t="shared" si="695"/>
        <v>0</v>
      </c>
      <c r="CO386" t="b">
        <f t="shared" si="696"/>
        <v>0</v>
      </c>
      <c r="CP386" t="b">
        <f t="shared" si="697"/>
        <v>0</v>
      </c>
      <c r="CQ386" t="b">
        <f t="shared" si="698"/>
        <v>0</v>
      </c>
      <c r="CR386" t="b">
        <f t="shared" si="699"/>
        <v>0</v>
      </c>
      <c r="CS386" t="b">
        <f t="shared" si="700"/>
        <v>0</v>
      </c>
      <c r="CT386" t="b">
        <f t="shared" si="701"/>
        <v>0</v>
      </c>
      <c r="CU386" t="b">
        <f t="shared" si="702"/>
        <v>0</v>
      </c>
      <c r="CV386">
        <f t="shared" si="703"/>
        <v>1</v>
      </c>
      <c r="CW386" t="b">
        <f t="shared" si="704"/>
        <v>0</v>
      </c>
      <c r="CX386" t="b">
        <f t="shared" si="705"/>
        <v>0</v>
      </c>
      <c r="CY386" t="b">
        <f t="shared" si="706"/>
        <v>0</v>
      </c>
      <c r="CZ386" t="b">
        <f t="shared" si="707"/>
        <v>0</v>
      </c>
      <c r="DA386" t="b">
        <f t="shared" si="708"/>
        <v>0</v>
      </c>
      <c r="DB386" t="b">
        <f t="shared" si="709"/>
        <v>0</v>
      </c>
      <c r="DC386" t="b">
        <f t="shared" si="710"/>
        <v>0</v>
      </c>
      <c r="DD386" t="b">
        <f t="shared" si="711"/>
        <v>0</v>
      </c>
      <c r="DE386" t="b">
        <f t="shared" si="712"/>
        <v>0</v>
      </c>
      <c r="DF386" t="b">
        <f t="shared" si="713"/>
        <v>0</v>
      </c>
      <c r="DG386" t="b">
        <f t="shared" si="714"/>
        <v>0</v>
      </c>
      <c r="DH386" t="b">
        <f t="shared" si="715"/>
        <v>0</v>
      </c>
      <c r="DI386" t="b">
        <f t="shared" si="716"/>
        <v>0</v>
      </c>
      <c r="DJ386" t="b">
        <f t="shared" si="717"/>
        <v>0</v>
      </c>
      <c r="DK386" t="b">
        <f t="shared" si="718"/>
        <v>0</v>
      </c>
      <c r="DL386" t="b">
        <f t="shared" si="719"/>
        <v>0</v>
      </c>
      <c r="DM386" t="b">
        <f t="shared" si="720"/>
        <v>0</v>
      </c>
      <c r="DN386" t="b">
        <f t="shared" si="721"/>
        <v>0</v>
      </c>
      <c r="DO386" t="b">
        <f t="shared" si="722"/>
        <v>0</v>
      </c>
      <c r="DP386" t="b">
        <f t="shared" si="723"/>
        <v>0</v>
      </c>
      <c r="DQ386" t="b">
        <f t="shared" si="724"/>
        <v>0</v>
      </c>
      <c r="DR386" t="b">
        <f t="shared" si="725"/>
        <v>0</v>
      </c>
      <c r="DS386" t="b">
        <f t="shared" si="726"/>
        <v>0</v>
      </c>
      <c r="DT386" t="b">
        <f t="shared" si="727"/>
        <v>0</v>
      </c>
      <c r="DU386" t="b">
        <f t="shared" si="728"/>
        <v>0</v>
      </c>
      <c r="DV386" t="b">
        <f t="shared" si="729"/>
        <v>0</v>
      </c>
      <c r="DW386" t="b">
        <f t="shared" si="730"/>
        <v>0</v>
      </c>
      <c r="DX386" t="b">
        <f t="shared" si="731"/>
        <v>0</v>
      </c>
      <c r="DY386" t="b">
        <f t="shared" si="732"/>
        <v>0</v>
      </c>
      <c r="DZ386" t="b">
        <f t="shared" si="733"/>
        <v>0</v>
      </c>
      <c r="EA386" t="b">
        <f t="shared" si="734"/>
        <v>0</v>
      </c>
      <c r="EB386" t="b">
        <f t="shared" si="735"/>
        <v>0</v>
      </c>
      <c r="EC386" t="b">
        <f t="shared" si="736"/>
        <v>0</v>
      </c>
      <c r="ED386" t="b">
        <f t="shared" si="737"/>
        <v>0</v>
      </c>
      <c r="EE386" t="b">
        <f t="shared" si="738"/>
        <v>0</v>
      </c>
      <c r="EF386">
        <f t="shared" si="739"/>
        <v>1</v>
      </c>
      <c r="EG386" t="b">
        <f t="shared" si="740"/>
        <v>0</v>
      </c>
      <c r="EH386" t="b">
        <f t="shared" si="741"/>
        <v>0</v>
      </c>
      <c r="EI386" t="b">
        <f t="shared" si="742"/>
        <v>0</v>
      </c>
      <c r="EJ386" t="b">
        <f t="shared" si="743"/>
        <v>0</v>
      </c>
      <c r="EK386" t="b">
        <f t="shared" si="744"/>
        <v>0</v>
      </c>
    </row>
    <row r="387" spans="1:141">
      <c r="A387" t="s">
        <v>2000</v>
      </c>
      <c r="B387" t="s">
        <v>2001</v>
      </c>
      <c r="D387" s="1">
        <v>43831</v>
      </c>
      <c r="E387" s="2">
        <v>44356.436273148145</v>
      </c>
      <c r="F387" s="2">
        <v>44566.17465277778</v>
      </c>
      <c r="G387">
        <v>1121484</v>
      </c>
      <c r="H387" t="s">
        <v>2002</v>
      </c>
      <c r="I387" s="10" t="s">
        <v>160</v>
      </c>
      <c r="J387" t="s">
        <v>744</v>
      </c>
      <c r="K387" s="8" t="b">
        <v>1</v>
      </c>
      <c r="L387" s="10" t="b">
        <v>0</v>
      </c>
      <c r="M387" s="12" t="b">
        <v>1</v>
      </c>
      <c r="N387" t="b">
        <v>0</v>
      </c>
      <c r="O387" t="b">
        <v>0</v>
      </c>
      <c r="P387" t="b">
        <v>1</v>
      </c>
      <c r="Q387">
        <f t="shared" si="745"/>
        <v>4</v>
      </c>
      <c r="R387">
        <f t="shared" si="746"/>
        <v>1</v>
      </c>
      <c r="S387" t="e">
        <f t="shared" ref="S387:S450" ca="1" si="776">WhoIsorganization(C387)</f>
        <v>#NAME?</v>
      </c>
      <c r="T387" t="e">
        <f t="shared" ca="1" si="747"/>
        <v>#NAME?</v>
      </c>
      <c r="U387" s="4">
        <f t="shared" si="748"/>
        <v>525.43627314814512</v>
      </c>
      <c r="V387" s="4">
        <f t="shared" si="749"/>
        <v>17.514542438271505</v>
      </c>
      <c r="W387" s="4">
        <f t="shared" si="750"/>
        <v>1</v>
      </c>
      <c r="X387" s="4">
        <f t="shared" si="751"/>
        <v>0</v>
      </c>
      <c r="Y387" s="4">
        <f t="shared" si="752"/>
        <v>1</v>
      </c>
      <c r="Z387" s="4">
        <f t="shared" si="753"/>
        <v>0</v>
      </c>
      <c r="AA387" s="4">
        <f t="shared" si="754"/>
        <v>0</v>
      </c>
      <c r="AB387" s="4">
        <f t="shared" si="755"/>
        <v>1</v>
      </c>
      <c r="AC387" s="4"/>
      <c r="AD387" s="4" t="b">
        <f t="shared" si="756"/>
        <v>0</v>
      </c>
      <c r="AE387" s="4" t="b">
        <f t="shared" si="757"/>
        <v>0</v>
      </c>
      <c r="AF387" s="4" t="b">
        <f t="shared" si="758"/>
        <v>0</v>
      </c>
      <c r="AG387" t="b">
        <f t="shared" si="759"/>
        <v>0</v>
      </c>
      <c r="AH387" t="b">
        <f t="shared" si="760"/>
        <v>0</v>
      </c>
      <c r="AI387" t="b">
        <f t="shared" si="761"/>
        <v>0</v>
      </c>
      <c r="AJ387" t="b">
        <f t="shared" si="762"/>
        <v>0</v>
      </c>
      <c r="AK387" t="b">
        <f t="shared" si="763"/>
        <v>0</v>
      </c>
      <c r="AL387" t="b">
        <f t="shared" si="764"/>
        <v>0</v>
      </c>
      <c r="AM387" t="b">
        <f t="shared" si="765"/>
        <v>0</v>
      </c>
      <c r="AN387" t="b">
        <f t="shared" si="766"/>
        <v>0</v>
      </c>
      <c r="AO387" t="b">
        <f t="shared" si="767"/>
        <v>0</v>
      </c>
      <c r="AP387" t="b">
        <f t="shared" si="768"/>
        <v>0</v>
      </c>
      <c r="AQ387" t="b">
        <f t="shared" si="769"/>
        <v>0</v>
      </c>
      <c r="AR387" t="b">
        <f t="shared" si="770"/>
        <v>0</v>
      </c>
      <c r="AS387" t="b">
        <f t="shared" si="771"/>
        <v>0</v>
      </c>
      <c r="AT387" t="b">
        <f t="shared" si="772"/>
        <v>0</v>
      </c>
      <c r="AU387" t="b">
        <f t="shared" si="773"/>
        <v>0</v>
      </c>
      <c r="AV387" t="b">
        <f t="shared" si="774"/>
        <v>0</v>
      </c>
      <c r="AW387" t="b">
        <f t="shared" si="775"/>
        <v>0</v>
      </c>
      <c r="AX387" t="b">
        <f t="shared" ref="AX387:AX450" si="777">IFERROR(IF(SEARCH( "'Customer feedback'", J387),1,0),FALSE)</f>
        <v>0</v>
      </c>
      <c r="AY387" t="b">
        <f t="shared" ref="AY387:AY450" si="778">IFERROR(IF(SEARCH( "'Customer interactions'  ", J387),1,0),FALSE)</f>
        <v>0</v>
      </c>
      <c r="AZ387" t="b">
        <f t="shared" ref="AZ387:AZ450" si="779">IFERROR(IF(SEARCH( "'Dates of birth'", J387),1,0),FALSE)</f>
        <v>0</v>
      </c>
      <c r="BA387" t="b">
        <f t="shared" ref="BA387:BA450" si="780">IFERROR(IF(SEARCH( "'Deceased statuses'", J387),1,0),FALSE)</f>
        <v>0</v>
      </c>
      <c r="BB387" t="b">
        <f t="shared" ref="BB387:BB450" si="781">IFERROR(IF(SEARCH( "'Device information'", J387),1,0),FALSE)</f>
        <v>0</v>
      </c>
      <c r="BC387" t="b">
        <f t="shared" ref="BC387:BC450" si="782">IFERROR(IF(SEARCH( "'Device serial numbers'", J387),1,0),FALSE)</f>
        <v>0</v>
      </c>
      <c r="BD387" t="b">
        <f t="shared" ref="BD387:BD450" si="783">IFERROR(IF(SEARCH( "'Device usage tracking data'", J387),1,0),FALSE)</f>
        <v>0</v>
      </c>
      <c r="BE387" t="b">
        <f t="shared" ref="BE387:BE450" si="784">IFERROR(IF(SEARCH( "'Drinking habits'", J387),1,0),FALSE)</f>
        <v>0</v>
      </c>
      <c r="BF387" t="b">
        <f t="shared" ref="BF387:BF450" si="785">IFERROR(IF(SEARCH( "'Drinking habits' ", J387),1,0),FALSE)</f>
        <v>0</v>
      </c>
      <c r="BG387" t="b">
        <f t="shared" ref="BG387:BG450" si="786">IFERROR(IF(SEARCH( "'Drug habits'", J387),1,0),FALSE)</f>
        <v>0</v>
      </c>
      <c r="BH387" t="b">
        <f t="shared" ref="BH387:BH450" si="787">IFERROR(IF(SEARCH( "'Education levels'", J387),1,0),FALSE)</f>
        <v>0</v>
      </c>
      <c r="BI387">
        <f t="shared" ref="BI387:BI450" si="788">IFERROR(IF(SEARCH( "'Email addresses'", J387),1,0),FALSE)</f>
        <v>1</v>
      </c>
      <c r="BJ387" t="b">
        <f t="shared" ref="BJ387:BJ450" si="789">IFERROR(IF(SEARCH( "'Employers'", J387),1,0),FALSE)</f>
        <v>0</v>
      </c>
      <c r="BK387" t="b">
        <f t="shared" ref="BK387:BK450" si="790">IFERROR(IF(SEARCH( "'Ethnicities' ", J387),1,0),FALSE)</f>
        <v>0</v>
      </c>
      <c r="BL387" t="b">
        <f t="shared" ref="BL387:BL450" si="791">IFERROR(IF(SEARCH( "'Family members' names'", J387),1,0),FALSE)</f>
        <v>0</v>
      </c>
      <c r="BM387" t="b">
        <f t="shared" ref="BM387:BM450" si="792">IFERROR(IF(SEARCH( "'Family structure", J387),1,0),FALSE)</f>
        <v>0</v>
      </c>
      <c r="BN387" t="b">
        <f t="shared" ref="BN387:BN450" si="793">IFERROR(IF(SEARCH( "'Financial investments'", J387),1,0),FALSE)</f>
        <v>0</v>
      </c>
      <c r="BO387" t="b">
        <f t="shared" ref="BO387:BO450" si="794">IFERROR(IF(SEARCH( "'Financial transactions'", J387),1,0),FALSE)</f>
        <v>0</v>
      </c>
      <c r="BP387" t="b">
        <f t="shared" ref="BP387:BP450" si="795">IFERROR(IF(SEARCH( "'Fitness levels'", J387),1,0),FALSE)</f>
        <v>0</v>
      </c>
      <c r="BQ387" t="b">
        <f t="shared" ref="BQ387:BQ450" si="796">IFERROR(IF(SEARCH( "'Flights taken'", J387),1,0),FALSE)</f>
        <v>0</v>
      </c>
      <c r="BR387" t="b">
        <f t="shared" ref="BR387:BR450" si="797">IFERROR(IF(SEARCH( "'Genders'", J387),1,0),FALSE)</f>
        <v>0</v>
      </c>
      <c r="BS387" t="b">
        <f t="shared" ref="BS387:BS450" si="798">IFERROR(IF(SEARCH( "'Geographic locations'", J387),1,0),FALSE)</f>
        <v>0</v>
      </c>
      <c r="BT387" t="b">
        <f t="shared" ref="BT387:BT450" si="799">IFERROR(IF(SEARCH( "'Government issued IDs'", J387),1,0),FALSE)</f>
        <v>0</v>
      </c>
      <c r="BU387" t="b">
        <f t="shared" ref="BU387:BU450" si="800">IFERROR(IF(SEARCH( "'Health insurance information' ", J387),1,0),FALSE)</f>
        <v>0</v>
      </c>
      <c r="BV387" t="b">
        <f t="shared" ref="BV387:BV450" si="801">IFERROR(IF(SEARCH( "'Historical passwords'", J387),1,0),FALSE)</f>
        <v>0</v>
      </c>
      <c r="BW387" t="b">
        <f t="shared" ref="BW387:BW450" si="802">IFERROR(IF(SEARCH( "'HIV statuses'", J387),1,0),FALSE)</f>
        <v>0</v>
      </c>
      <c r="BX387" t="b">
        <f t="shared" ref="BX387:BX450" si="803">IFERROR(IF(SEARCH( "'Home loan information'", J387),1,0),FALSE)</f>
        <v>0</v>
      </c>
      <c r="BY387" t="b">
        <f t="shared" ref="BY387:BY450" si="804">IFERROR(IF(SEARCH( "'Home ownership statuses", J387),1,0),FALSE)</f>
        <v>0</v>
      </c>
      <c r="BZ387" t="b">
        <f t="shared" ref="BZ387:BZ450" si="805">IFERROR(IF(SEARCH( "'Homepage URLs'", J387),1,0),FALSE)</f>
        <v>0</v>
      </c>
      <c r="CA387" t="b">
        <f t="shared" ref="CA387:CA450" si="806">IFERROR(IF(SEARCH( "'IMEI numbers'", J387),1,0),FALSE)</f>
        <v>0</v>
      </c>
      <c r="CB387" t="b">
        <f t="shared" ref="CB387:CB450" si="807">IFERROR(IF(SEARCH( "'IMSI numbers' ", J387),1,0),FALSE)</f>
        <v>0</v>
      </c>
      <c r="CC387" t="b">
        <f t="shared" ref="CC387:CC450" si="808">IFERROR(IF(SEARCH( "'Income levels'", J387),1,0),FALSE)</f>
        <v>0</v>
      </c>
      <c r="CD387" t="b">
        <f t="shared" ref="CD387:CD450" si="809">IFERROR(IF(SEARCH( "'Instant messenger identities'", J387),1,0),FALSE)</f>
        <v>0</v>
      </c>
      <c r="CE387" t="b">
        <f t="shared" ref="CE387:CE450" si="810">IFERROR(IF(SEARCH( "'IP addresses'", J387),1,0),FALSE)</f>
        <v>0</v>
      </c>
      <c r="CF387" t="b">
        <f t="shared" ref="CF387:CF450" si="811">IFERROR(IF(SEARCH( "'Job applications' ", J387),1,0),FALSE)</f>
        <v>0</v>
      </c>
      <c r="CG387" t="b">
        <f t="shared" ref="CG387:CG450" si="812">IFERROR(IF(SEARCH( "'Job titles' ", J387),1,0),FALSE)</f>
        <v>0</v>
      </c>
      <c r="CH387" t="b">
        <f t="shared" ref="CH387:CH450" si="813">IFERROR(IF(SEARCH( "'Licence plates'", J387),1,0),FALSE)</f>
        <v>0</v>
      </c>
      <c r="CI387" t="b">
        <f t="shared" ref="CI387:CI450" si="814">IFERROR(IF(SEARCH( "'Login histories'", J387),1,0),FALSE)</f>
        <v>0</v>
      </c>
      <c r="CJ387" t="b">
        <f t="shared" ref="CJ387:CJ450" si="815">IFERROR(IF(SEARCH( "'MAC addresses'", J387),1,0),FALSE)</f>
        <v>0</v>
      </c>
      <c r="CK387" t="b">
        <f t="shared" ref="CK387:CK450" si="816">IFERROR(IF(SEARCH( "'Marital statuses'", J387),1,0),FALSE)</f>
        <v>0</v>
      </c>
      <c r="CL387" t="b">
        <f t="shared" ref="CL387:CL450" si="817">IFERROR(IF(SEARCH( "'Mnemonic phrases'", J387),1,0),FALSE)</f>
        <v>0</v>
      </c>
      <c r="CM387" t="b">
        <f t="shared" ref="CM387:CM450" si="818">IFERROR(IF(SEARCH( "'Names'", J387),1,0),FALSE)</f>
        <v>0</v>
      </c>
      <c r="CN387" t="b">
        <f t="shared" ref="CN387:CN450" si="819">IFERROR(IF(SEARCH( "'Nationalities'", J387),1,0),FALSE)</f>
        <v>0</v>
      </c>
      <c r="CO387" t="b">
        <f t="shared" ref="CO387:CO450" si="820">IFERROR(IF(SEARCH( "'Net worths'", J387),1,0),FALSE)</f>
        <v>0</v>
      </c>
      <c r="CP387" t="b">
        <f t="shared" ref="CP387:CP450" si="821">IFERROR(IF(SEARCH( "'Nicknames' ", J387),1,0),FALSE)</f>
        <v>0</v>
      </c>
      <c r="CQ387" t="b">
        <f t="shared" ref="CQ387:CQ450" si="822">IFERROR(IF(SEARCH( "'Occupations'", J387),1,0),FALSE)</f>
        <v>0</v>
      </c>
      <c r="CR387" t="b">
        <f t="shared" ref="CR387:CR450" si="823">IFERROR(IF(SEARCH( "'Parenting plans", J387),1,0),FALSE)</f>
        <v>0</v>
      </c>
      <c r="CS387" t="b">
        <f t="shared" ref="CS387:CS450" si="824">IFERROR(IF(SEARCH( "'Partial credit card data' ", J387),1,0),FALSE)</f>
        <v>0</v>
      </c>
      <c r="CT387" t="b">
        <f t="shared" ref="CT387:CT450" si="825">IFERROR(IF(SEARCH( "'Partial phone numbers'", J387),1,0),FALSE)</f>
        <v>0</v>
      </c>
      <c r="CU387" t="b">
        <f t="shared" ref="CU387:CU450" si="826">IFERROR(IF(SEARCH( "'Passport numbers'", J387),1,0),FALSE)</f>
        <v>0</v>
      </c>
      <c r="CV387" t="b">
        <f t="shared" ref="CV387:CV450" si="827">IFERROR(IF(SEARCH( "'Passwords'", J387),1,0),FALSE)</f>
        <v>0</v>
      </c>
      <c r="CW387" t="b">
        <f t="shared" ref="CW387:CW450" si="828">IFERROR(IF(SEARCH( "'Payment histories'", J387),1,0),FALSE)</f>
        <v>0</v>
      </c>
      <c r="CX387" t="b">
        <f t="shared" ref="CX387:CX450" si="829">IFERROR(IF(SEARCH( "'Payment methods'", J387),1,0),FALSE)</f>
        <v>0</v>
      </c>
      <c r="CY387" t="b">
        <f t="shared" ref="CY387:CY450" si="830">IFERROR(IF(SEARCH( "'Personal descriptions'", J387),1,0),FALSE)</f>
        <v>0</v>
      </c>
      <c r="CZ387" t="b">
        <f t="shared" ref="CZ387:CZ450" si="831">IFERROR(IF(SEARCH( "'Personal health data'", J387),1,0),FALSE)</f>
        <v>0</v>
      </c>
      <c r="DA387" t="b">
        <f t="shared" ref="DA387:DA450" si="832">IFERROR(IF(SEARCH( "'Phone numbers'", J387),1,0),FALSE)</f>
        <v>0</v>
      </c>
      <c r="DB387" t="b">
        <f t="shared" ref="DB387:DB450" si="833">IFERROR(IF(SEARCH( "'Physical addresses'", J387),1,0),FALSE)</f>
        <v>0</v>
      </c>
      <c r="DC387" t="b">
        <f t="shared" ref="DC387:DC450" si="834">IFERROR(IF(SEARCH( "'Physical attributes'", J387),1,0),FALSE)</f>
        <v>0</v>
      </c>
      <c r="DD387" t="b">
        <f t="shared" ref="DD387:DD450" si="835">IFERROR(IF(SEARCH( "'PINs'", J387),1,0),FALSE)</f>
        <v>0</v>
      </c>
      <c r="DE387" t="b">
        <f t="shared" ref="DE387:DE450" si="836">IFERROR(IF(SEARCH( "'Political donations'", J387),1,0),FALSE)</f>
        <v>0</v>
      </c>
      <c r="DF387" t="b">
        <f t="shared" ref="DF387:DF450" si="837">IFERROR(IF(SEARCH( "'Political views'", J387),1,0),FALSE)</f>
        <v>0</v>
      </c>
      <c r="DG387" t="b">
        <f t="shared" ref="DG387:DG450" si="838">IFERROR(IF(SEARCH( "'Private messages'", J387),1,0),FALSE)</f>
        <v>0</v>
      </c>
      <c r="DH387" t="b">
        <f t="shared" ref="DH387:DH450" si="839">IFERROR(IF(SEARCH( "'Professional skills'", J387),1,0),FALSE)</f>
        <v>0</v>
      </c>
      <c r="DI387" t="b">
        <f t="shared" ref="DI387:DI450" si="840">IFERROR(IF(SEARCH( "'Profile photos'", J387),1,0),FALSE)</f>
        <v>0</v>
      </c>
      <c r="DJ387" t="b">
        <f t="shared" ref="DJ387:DJ450" si="841">IFERROR(IF(SEARCH( "'Purchases'", J387),1,0),FALSE)</f>
        <v>0</v>
      </c>
      <c r="DK387" t="b">
        <f t="shared" ref="DK387:DK450" si="842">IFERROR(IF(SEARCH( "'Purchasing habits'", J387),1,0),FALSE)</f>
        <v>0</v>
      </c>
      <c r="DL387" t="b">
        <f t="shared" ref="DL387:DL450" si="843">IFERROR(IF(SEARCH( "'Races'", J387),1,0),FALSE)</f>
        <v>0</v>
      </c>
      <c r="DM387" t="b">
        <f t="shared" ref="DM387:DM450" si="844">IFERROR(IF(SEARCH( "'Recovery email addresses'", J387),1,0),FALSE)</f>
        <v>0</v>
      </c>
      <c r="DN387" t="b">
        <f t="shared" ref="DN387:DN450" si="845">IFERROR(IF(SEARCH( "'Relationship statuses'", J387),1,0),FALSE)</f>
        <v>0</v>
      </c>
      <c r="DO387" t="b">
        <f t="shared" ref="DO387:DO450" si="846">IFERROR(IF(SEARCH( "'Religions' ", J387),1,0),FALSE)</f>
        <v>0</v>
      </c>
      <c r="DP387" t="b">
        <f t="shared" ref="DP387:DP450" si="847">IFERROR(IF(SEARCH( "'Reward program balances'", J387),1,0),FALSE)</f>
        <v>0</v>
      </c>
      <c r="DQ387" t="b">
        <f t="shared" ref="DQ387:DQ450" si="848">IFERROR(IF(SEARCH( "'Salutations'", J387),1,0),FALSE)</f>
        <v>0</v>
      </c>
      <c r="DR387" t="b">
        <f t="shared" ref="DR387:DR450" si="849">IFERROR(IF(SEARCH( "'School grades (class levels)", J387),1,0),FALSE)</f>
        <v>0</v>
      </c>
      <c r="DS387" t="b">
        <f t="shared" ref="DS387:DS450" si="850">IFERROR(IF(SEARCH( "'Security questions and answers'", J387),1,0),FALSE)</f>
        <v>0</v>
      </c>
      <c r="DT387" t="b">
        <f t="shared" ref="DT387:DT450" si="851">IFERROR(IF(SEARCH( "'Sexual fetishes'", J387),1,0),FALSE)</f>
        <v>0</v>
      </c>
      <c r="DU387" t="b">
        <f t="shared" ref="DU387:DU450" si="852">IFERROR(IF(SEARCH( "'Sexual orientations'", J387),1,0),FALSE)</f>
        <v>0</v>
      </c>
      <c r="DV387" t="b">
        <f t="shared" ref="DV387:DV450" si="853">IFERROR(IF(SEARCH( "'Smoking habits'", J387),1,0),FALSE)</f>
        <v>0</v>
      </c>
      <c r="DW387" t="b">
        <f t="shared" ref="DW387:DW450" si="854">IFERROR(IF(SEARCH( "'SMS messages'", J387),1,0),FALSE)</f>
        <v>0</v>
      </c>
      <c r="DX387" t="b">
        <f t="shared" ref="DX387:DX450" si="855">IFERROR(IF(SEARCH( "'Social connections'", J387),1,0),FALSE)</f>
        <v>0</v>
      </c>
      <c r="DY387" t="b">
        <f t="shared" ref="DY387:DY450" si="856">IFERROR(IF(SEARCH( "'Social media profiles'", J387),1,0),FALSE)</f>
        <v>0</v>
      </c>
      <c r="DZ387" t="b">
        <f t="shared" ref="DZ387:DZ450" si="857">IFERROR(IF(SEARCH( "'Social security numbers'", J387),1,0),FALSE)</f>
        <v>0</v>
      </c>
      <c r="EA387" t="b">
        <f t="shared" ref="EA387:EA450" si="858">IFERROR(IF(SEARCH( "'Spoken languages'", J387),1,0),FALSE)</f>
        <v>0</v>
      </c>
      <c r="EB387" t="b">
        <f t="shared" ref="EB387:EB450" si="859">IFERROR(IF(SEARCH( "'Survey results'", J387),1,0),FALSE)</f>
        <v>0</v>
      </c>
      <c r="EC387" t="b">
        <f t="shared" ref="EC387:EC450" si="860">IFERROR(IF(SEARCH( "'Time zones'", J387),1,0),FALSE)</f>
        <v>0</v>
      </c>
      <c r="ED387" t="b">
        <f t="shared" ref="ED387:ED450" si="861">IFERROR(IF(SEARCH( "'Travel habits' ", J387),1,0),FALSE)</f>
        <v>0</v>
      </c>
      <c r="EE387" t="b">
        <f t="shared" ref="EE387:EE450" si="862">IFERROR(IF(SEARCH( "'User website URLs'", J387),1,0),FALSE)</f>
        <v>0</v>
      </c>
      <c r="EF387" t="b">
        <f t="shared" ref="EF387:EF450" si="863">IFERROR(IF(SEARCH( "'Usernames'", J387),1,0),FALSE)</f>
        <v>0</v>
      </c>
      <c r="EG387" t="b">
        <f t="shared" ref="EG387:EG450" si="864">IFERROR(IF(SEARCH( "'Vehicle details'", J387),1,0),FALSE)</f>
        <v>0</v>
      </c>
      <c r="EH387" t="b">
        <f t="shared" ref="EH387:EH450" si="865">IFERROR(IF(SEARCH( "'Vehicle identification numbers (VINs)'", J387),1,0),FALSE)</f>
        <v>0</v>
      </c>
      <c r="EI387" t="b">
        <f t="shared" ref="EI387:EI450" si="866">IFERROR(IF(SEARCH( "'Website activity'", J387),1,0),FALSE)</f>
        <v>0</v>
      </c>
      <c r="EJ387" t="b">
        <f t="shared" ref="EJ387:EJ450" si="867">IFERROR(IF(SEARCH( "'Work habits'", J387),1,0),FALSE)</f>
        <v>0</v>
      </c>
      <c r="EK387" t="b">
        <f t="shared" ref="EK387:EK450" si="868">IFERROR(IF(SEARCH( "'Years of professional experience'", J387),1,0),FALSE)</f>
        <v>0</v>
      </c>
    </row>
    <row r="388" spans="1:141">
      <c r="A388" t="s">
        <v>2003</v>
      </c>
      <c r="B388" t="s">
        <v>2003</v>
      </c>
      <c r="C388" t="s">
        <v>2004</v>
      </c>
      <c r="D388" s="1">
        <v>42298</v>
      </c>
      <c r="E388" s="2">
        <v>43353.463194444441</v>
      </c>
      <c r="F388" s="2">
        <v>43353.463194444441</v>
      </c>
      <c r="G388">
        <v>287071</v>
      </c>
      <c r="H388" t="s">
        <v>2005</v>
      </c>
      <c r="I388" s="10" t="s">
        <v>2006</v>
      </c>
      <c r="J388" t="s">
        <v>2007</v>
      </c>
      <c r="K388" s="8" t="b">
        <v>1</v>
      </c>
      <c r="L388" s="10" t="b">
        <v>0</v>
      </c>
      <c r="M388" s="12" t="b">
        <v>1</v>
      </c>
      <c r="N388" t="b">
        <v>0</v>
      </c>
      <c r="O388" t="b">
        <v>0</v>
      </c>
      <c r="P388" t="b">
        <v>0</v>
      </c>
      <c r="Q388">
        <f t="shared" si="745"/>
        <v>4</v>
      </c>
      <c r="R388">
        <f t="shared" si="746"/>
        <v>10</v>
      </c>
      <c r="S388" t="e">
        <f t="shared" ca="1" si="776"/>
        <v>#NAME?</v>
      </c>
      <c r="T388" t="e">
        <f t="shared" ca="1" si="747"/>
        <v>#NAME?</v>
      </c>
      <c r="U388" s="4">
        <f t="shared" si="748"/>
        <v>1055.4631944444409</v>
      </c>
      <c r="V388" s="4">
        <f t="shared" si="749"/>
        <v>35.182106481481362</v>
      </c>
      <c r="W388" s="4">
        <f t="shared" si="750"/>
        <v>1</v>
      </c>
      <c r="X388" s="4">
        <f t="shared" si="751"/>
        <v>0</v>
      </c>
      <c r="Y388" s="4">
        <f t="shared" si="752"/>
        <v>1</v>
      </c>
      <c r="Z388" s="4">
        <f t="shared" si="753"/>
        <v>0</v>
      </c>
      <c r="AA388" s="4">
        <f t="shared" si="754"/>
        <v>0</v>
      </c>
      <c r="AB388" s="4">
        <f t="shared" si="755"/>
        <v>0</v>
      </c>
      <c r="AC388" s="4"/>
      <c r="AD388" s="4" t="b">
        <f t="shared" si="756"/>
        <v>0</v>
      </c>
      <c r="AE388" s="4" t="b">
        <f t="shared" si="757"/>
        <v>0</v>
      </c>
      <c r="AF388" s="4" t="b">
        <f t="shared" si="758"/>
        <v>0</v>
      </c>
      <c r="AG388" t="b">
        <f t="shared" si="759"/>
        <v>0</v>
      </c>
      <c r="AH388" t="b">
        <f t="shared" si="760"/>
        <v>0</v>
      </c>
      <c r="AI388" t="b">
        <f t="shared" si="761"/>
        <v>0</v>
      </c>
      <c r="AJ388" t="b">
        <f t="shared" si="762"/>
        <v>0</v>
      </c>
      <c r="AK388" t="b">
        <f t="shared" si="763"/>
        <v>0</v>
      </c>
      <c r="AL388" t="b">
        <f t="shared" si="764"/>
        <v>0</v>
      </c>
      <c r="AM388" t="b">
        <f t="shared" si="765"/>
        <v>0</v>
      </c>
      <c r="AN388" t="b">
        <f t="shared" si="766"/>
        <v>0</v>
      </c>
      <c r="AO388" t="b">
        <f t="shared" si="767"/>
        <v>0</v>
      </c>
      <c r="AP388" t="b">
        <f t="shared" si="768"/>
        <v>0</v>
      </c>
      <c r="AQ388" t="b">
        <f t="shared" si="769"/>
        <v>0</v>
      </c>
      <c r="AR388" t="b">
        <f t="shared" si="770"/>
        <v>0</v>
      </c>
      <c r="AS388" t="b">
        <f t="shared" si="771"/>
        <v>0</v>
      </c>
      <c r="AT388" t="b">
        <f t="shared" si="772"/>
        <v>0</v>
      </c>
      <c r="AU388" t="b">
        <f t="shared" si="773"/>
        <v>0</v>
      </c>
      <c r="AV388" t="b">
        <f t="shared" si="774"/>
        <v>0</v>
      </c>
      <c r="AW388" t="b">
        <f t="shared" si="775"/>
        <v>0</v>
      </c>
      <c r="AX388" t="b">
        <f t="shared" si="777"/>
        <v>0</v>
      </c>
      <c r="AY388" t="b">
        <f t="shared" si="778"/>
        <v>0</v>
      </c>
      <c r="AZ388">
        <f t="shared" si="779"/>
        <v>1</v>
      </c>
      <c r="BA388" t="b">
        <f t="shared" si="780"/>
        <v>0</v>
      </c>
      <c r="BB388" t="b">
        <f t="shared" si="781"/>
        <v>0</v>
      </c>
      <c r="BC388" t="b">
        <f t="shared" si="782"/>
        <v>0</v>
      </c>
      <c r="BD388" t="b">
        <f t="shared" si="783"/>
        <v>0</v>
      </c>
      <c r="BE388" t="b">
        <f t="shared" si="784"/>
        <v>0</v>
      </c>
      <c r="BF388" t="b">
        <f t="shared" si="785"/>
        <v>0</v>
      </c>
      <c r="BG388" t="b">
        <f t="shared" si="786"/>
        <v>0</v>
      </c>
      <c r="BH388" t="b">
        <f t="shared" si="787"/>
        <v>0</v>
      </c>
      <c r="BI388">
        <f t="shared" si="788"/>
        <v>1</v>
      </c>
      <c r="BJ388" t="b">
        <f t="shared" si="789"/>
        <v>0</v>
      </c>
      <c r="BK388" t="b">
        <f t="shared" si="790"/>
        <v>0</v>
      </c>
      <c r="BL388" t="b">
        <f t="shared" si="791"/>
        <v>0</v>
      </c>
      <c r="BM388" t="b">
        <f t="shared" si="792"/>
        <v>0</v>
      </c>
      <c r="BN388" t="b">
        <f t="shared" si="793"/>
        <v>0</v>
      </c>
      <c r="BO388" t="b">
        <f t="shared" si="794"/>
        <v>0</v>
      </c>
      <c r="BP388" t="b">
        <f t="shared" si="795"/>
        <v>0</v>
      </c>
      <c r="BQ388" t="b">
        <f t="shared" si="796"/>
        <v>0</v>
      </c>
      <c r="BR388">
        <f t="shared" si="797"/>
        <v>1</v>
      </c>
      <c r="BS388" t="b">
        <f t="shared" si="798"/>
        <v>0</v>
      </c>
      <c r="BT388" t="b">
        <f t="shared" si="799"/>
        <v>0</v>
      </c>
      <c r="BU388" t="b">
        <f t="shared" si="800"/>
        <v>0</v>
      </c>
      <c r="BV388" t="b">
        <f t="shared" si="801"/>
        <v>0</v>
      </c>
      <c r="BW388" t="b">
        <f t="shared" si="802"/>
        <v>0</v>
      </c>
      <c r="BX388" t="b">
        <f t="shared" si="803"/>
        <v>0</v>
      </c>
      <c r="BY388" t="b">
        <f t="shared" si="804"/>
        <v>0</v>
      </c>
      <c r="BZ388" t="b">
        <f t="shared" si="805"/>
        <v>0</v>
      </c>
      <c r="CA388" t="b">
        <f t="shared" si="806"/>
        <v>0</v>
      </c>
      <c r="CB388" t="b">
        <f t="shared" si="807"/>
        <v>0</v>
      </c>
      <c r="CC388" t="b">
        <f t="shared" si="808"/>
        <v>0</v>
      </c>
      <c r="CD388" t="b">
        <f t="shared" si="809"/>
        <v>0</v>
      </c>
      <c r="CE388" t="b">
        <f t="shared" si="810"/>
        <v>0</v>
      </c>
      <c r="CF388" t="b">
        <f t="shared" si="811"/>
        <v>0</v>
      </c>
      <c r="CG388" t="b">
        <f t="shared" si="812"/>
        <v>0</v>
      </c>
      <c r="CH388" t="b">
        <f t="shared" si="813"/>
        <v>0</v>
      </c>
      <c r="CI388" t="b">
        <f t="shared" si="814"/>
        <v>0</v>
      </c>
      <c r="CJ388" t="b">
        <f t="shared" si="815"/>
        <v>0</v>
      </c>
      <c r="CK388" t="b">
        <f t="shared" si="816"/>
        <v>0</v>
      </c>
      <c r="CL388" t="b">
        <f t="shared" si="817"/>
        <v>0</v>
      </c>
      <c r="CM388">
        <f t="shared" si="818"/>
        <v>1</v>
      </c>
      <c r="CN388" t="b">
        <f t="shared" si="819"/>
        <v>0</v>
      </c>
      <c r="CO388" t="b">
        <f t="shared" si="820"/>
        <v>0</v>
      </c>
      <c r="CP388" t="b">
        <f t="shared" si="821"/>
        <v>0</v>
      </c>
      <c r="CQ388" t="b">
        <f t="shared" si="822"/>
        <v>0</v>
      </c>
      <c r="CR388" t="b">
        <f t="shared" si="823"/>
        <v>0</v>
      </c>
      <c r="CS388" t="b">
        <f t="shared" si="824"/>
        <v>0</v>
      </c>
      <c r="CT388" t="b">
        <f t="shared" si="825"/>
        <v>0</v>
      </c>
      <c r="CU388" t="b">
        <f t="shared" si="826"/>
        <v>0</v>
      </c>
      <c r="CV388">
        <f t="shared" si="827"/>
        <v>1</v>
      </c>
      <c r="CW388" t="b">
        <f t="shared" si="828"/>
        <v>0</v>
      </c>
      <c r="CX388" t="b">
        <f t="shared" si="829"/>
        <v>0</v>
      </c>
      <c r="CY388" t="b">
        <f t="shared" si="830"/>
        <v>0</v>
      </c>
      <c r="CZ388" t="b">
        <f t="shared" si="831"/>
        <v>0</v>
      </c>
      <c r="DA388">
        <f t="shared" si="832"/>
        <v>1</v>
      </c>
      <c r="DB388">
        <f t="shared" si="833"/>
        <v>1</v>
      </c>
      <c r="DC388" t="b">
        <f t="shared" si="834"/>
        <v>0</v>
      </c>
      <c r="DD388" t="b">
        <f t="shared" si="835"/>
        <v>0</v>
      </c>
      <c r="DE388" t="b">
        <f t="shared" si="836"/>
        <v>0</v>
      </c>
      <c r="DF388" t="b">
        <f t="shared" si="837"/>
        <v>0</v>
      </c>
      <c r="DG388" t="b">
        <f t="shared" si="838"/>
        <v>0</v>
      </c>
      <c r="DH388" t="b">
        <f t="shared" si="839"/>
        <v>0</v>
      </c>
      <c r="DI388" t="b">
        <f t="shared" si="840"/>
        <v>0</v>
      </c>
      <c r="DJ388">
        <f t="shared" si="841"/>
        <v>1</v>
      </c>
      <c r="DK388" t="b">
        <f t="shared" si="842"/>
        <v>0</v>
      </c>
      <c r="DL388" t="b">
        <f t="shared" si="843"/>
        <v>0</v>
      </c>
      <c r="DM388" t="b">
        <f t="shared" si="844"/>
        <v>0</v>
      </c>
      <c r="DN388" t="b">
        <f t="shared" si="845"/>
        <v>0</v>
      </c>
      <c r="DO388" t="b">
        <f t="shared" si="846"/>
        <v>0</v>
      </c>
      <c r="DP388" t="b">
        <f t="shared" si="847"/>
        <v>0</v>
      </c>
      <c r="DQ388" t="b">
        <f t="shared" si="848"/>
        <v>0</v>
      </c>
      <c r="DR388" t="b">
        <f t="shared" si="849"/>
        <v>0</v>
      </c>
      <c r="DS388" t="b">
        <f t="shared" si="850"/>
        <v>0</v>
      </c>
      <c r="DT388" t="b">
        <f t="shared" si="851"/>
        <v>0</v>
      </c>
      <c r="DU388" t="b">
        <f t="shared" si="852"/>
        <v>0</v>
      </c>
      <c r="DV388" t="b">
        <f t="shared" si="853"/>
        <v>0</v>
      </c>
      <c r="DW388" t="b">
        <f t="shared" si="854"/>
        <v>0</v>
      </c>
      <c r="DX388" t="b">
        <f t="shared" si="855"/>
        <v>0</v>
      </c>
      <c r="DY388" t="b">
        <f t="shared" si="856"/>
        <v>0</v>
      </c>
      <c r="DZ388" t="b">
        <f t="shared" si="857"/>
        <v>0</v>
      </c>
      <c r="EA388" t="b">
        <f t="shared" si="858"/>
        <v>0</v>
      </c>
      <c r="EB388" t="b">
        <f t="shared" si="859"/>
        <v>0</v>
      </c>
      <c r="EC388" t="b">
        <f t="shared" si="860"/>
        <v>0</v>
      </c>
      <c r="ED388" t="b">
        <f t="shared" si="861"/>
        <v>0</v>
      </c>
      <c r="EE388" t="b">
        <f t="shared" si="862"/>
        <v>0</v>
      </c>
      <c r="EF388" t="b">
        <f t="shared" si="863"/>
        <v>0</v>
      </c>
      <c r="EG388" t="b">
        <f t="shared" si="864"/>
        <v>0</v>
      </c>
      <c r="EH388" t="b">
        <f t="shared" si="865"/>
        <v>0</v>
      </c>
      <c r="EI388" t="b">
        <f t="shared" si="866"/>
        <v>0</v>
      </c>
      <c r="EJ388" t="b">
        <f t="shared" si="867"/>
        <v>0</v>
      </c>
      <c r="EK388" t="b">
        <f t="shared" si="868"/>
        <v>0</v>
      </c>
    </row>
    <row r="389" spans="1:141">
      <c r="A389" t="s">
        <v>2008</v>
      </c>
      <c r="B389" t="s">
        <v>2009</v>
      </c>
      <c r="C389" t="s">
        <v>2010</v>
      </c>
      <c r="D389" s="1">
        <v>42443</v>
      </c>
      <c r="E389" s="2">
        <v>42484.260208333333</v>
      </c>
      <c r="F389" s="2">
        <v>42484.260208333333</v>
      </c>
      <c r="G389">
        <v>1398630</v>
      </c>
      <c r="H389" t="s">
        <v>2011</v>
      </c>
      <c r="I389" s="10" t="s">
        <v>2012</v>
      </c>
      <c r="J389" t="s">
        <v>985</v>
      </c>
      <c r="K389" s="8" t="b">
        <v>1</v>
      </c>
      <c r="L389" s="10" t="b">
        <v>0</v>
      </c>
      <c r="M389" s="12" t="b">
        <v>1</v>
      </c>
      <c r="N389" t="b">
        <v>0</v>
      </c>
      <c r="O389" t="b">
        <v>0</v>
      </c>
      <c r="P389" t="b">
        <v>0</v>
      </c>
      <c r="Q389">
        <f t="shared" si="745"/>
        <v>2</v>
      </c>
      <c r="R389">
        <f t="shared" si="746"/>
        <v>3</v>
      </c>
      <c r="S389" t="e">
        <f t="shared" ca="1" si="776"/>
        <v>#NAME?</v>
      </c>
      <c r="T389" t="e">
        <f t="shared" ca="1" si="747"/>
        <v>#NAME?</v>
      </c>
      <c r="U389" s="4">
        <f t="shared" si="748"/>
        <v>41.260208333333139</v>
      </c>
      <c r="V389" s="4">
        <f t="shared" si="749"/>
        <v>1.3753402777777712</v>
      </c>
      <c r="W389" s="4">
        <f t="shared" si="750"/>
        <v>1</v>
      </c>
      <c r="X389" s="4">
        <f t="shared" si="751"/>
        <v>0</v>
      </c>
      <c r="Y389" s="4">
        <f t="shared" si="752"/>
        <v>1</v>
      </c>
      <c r="Z389" s="4">
        <f t="shared" si="753"/>
        <v>0</v>
      </c>
      <c r="AA389" s="4">
        <f t="shared" si="754"/>
        <v>0</v>
      </c>
      <c r="AB389" s="4">
        <f t="shared" si="755"/>
        <v>0</v>
      </c>
      <c r="AC389" s="4"/>
      <c r="AD389" s="4" t="b">
        <f t="shared" si="756"/>
        <v>0</v>
      </c>
      <c r="AE389" s="4" t="b">
        <f t="shared" si="757"/>
        <v>0</v>
      </c>
      <c r="AF389" s="4" t="b">
        <f t="shared" si="758"/>
        <v>0</v>
      </c>
      <c r="AG389" t="b">
        <f t="shared" si="759"/>
        <v>0</v>
      </c>
      <c r="AH389" t="b">
        <f t="shared" si="760"/>
        <v>0</v>
      </c>
      <c r="AI389" t="b">
        <f t="shared" si="761"/>
        <v>0</v>
      </c>
      <c r="AJ389" t="b">
        <f t="shared" si="762"/>
        <v>0</v>
      </c>
      <c r="AK389" t="b">
        <f t="shared" si="763"/>
        <v>0</v>
      </c>
      <c r="AL389" t="b">
        <f t="shared" si="764"/>
        <v>0</v>
      </c>
      <c r="AM389" t="b">
        <f t="shared" si="765"/>
        <v>0</v>
      </c>
      <c r="AN389" t="b">
        <f t="shared" si="766"/>
        <v>0</v>
      </c>
      <c r="AO389" t="b">
        <f t="shared" si="767"/>
        <v>0</v>
      </c>
      <c r="AP389" t="b">
        <f t="shared" si="768"/>
        <v>0</v>
      </c>
      <c r="AQ389" t="b">
        <f t="shared" si="769"/>
        <v>0</v>
      </c>
      <c r="AR389" t="b">
        <f t="shared" si="770"/>
        <v>0</v>
      </c>
      <c r="AS389" t="b">
        <f t="shared" si="771"/>
        <v>0</v>
      </c>
      <c r="AT389" t="b">
        <f t="shared" si="772"/>
        <v>0</v>
      </c>
      <c r="AU389" t="b">
        <f t="shared" si="773"/>
        <v>0</v>
      </c>
      <c r="AV389" t="b">
        <f t="shared" si="774"/>
        <v>0</v>
      </c>
      <c r="AW389" t="b">
        <f t="shared" si="775"/>
        <v>0</v>
      </c>
      <c r="AX389" t="b">
        <f t="shared" si="777"/>
        <v>0</v>
      </c>
      <c r="AY389" t="b">
        <f t="shared" si="778"/>
        <v>0</v>
      </c>
      <c r="AZ389">
        <f t="shared" si="779"/>
        <v>1</v>
      </c>
      <c r="BA389" t="b">
        <f t="shared" si="780"/>
        <v>0</v>
      </c>
      <c r="BB389" t="b">
        <f t="shared" si="781"/>
        <v>0</v>
      </c>
      <c r="BC389" t="b">
        <f t="shared" si="782"/>
        <v>0</v>
      </c>
      <c r="BD389" t="b">
        <f t="shared" si="783"/>
        <v>0</v>
      </c>
      <c r="BE389" t="b">
        <f t="shared" si="784"/>
        <v>0</v>
      </c>
      <c r="BF389" t="b">
        <f t="shared" si="785"/>
        <v>0</v>
      </c>
      <c r="BG389" t="b">
        <f t="shared" si="786"/>
        <v>0</v>
      </c>
      <c r="BH389" t="b">
        <f t="shared" si="787"/>
        <v>0</v>
      </c>
      <c r="BI389">
        <f t="shared" si="788"/>
        <v>1</v>
      </c>
      <c r="BJ389" t="b">
        <f t="shared" si="789"/>
        <v>0</v>
      </c>
      <c r="BK389" t="b">
        <f t="shared" si="790"/>
        <v>0</v>
      </c>
      <c r="BL389" t="b">
        <f t="shared" si="791"/>
        <v>0</v>
      </c>
      <c r="BM389" t="b">
        <f t="shared" si="792"/>
        <v>0</v>
      </c>
      <c r="BN389" t="b">
        <f t="shared" si="793"/>
        <v>0</v>
      </c>
      <c r="BO389" t="b">
        <f t="shared" si="794"/>
        <v>0</v>
      </c>
      <c r="BP389" t="b">
        <f t="shared" si="795"/>
        <v>0</v>
      </c>
      <c r="BQ389" t="b">
        <f t="shared" si="796"/>
        <v>0</v>
      </c>
      <c r="BR389" t="b">
        <f t="shared" si="797"/>
        <v>0</v>
      </c>
      <c r="BS389" t="b">
        <f t="shared" si="798"/>
        <v>0</v>
      </c>
      <c r="BT389" t="b">
        <f t="shared" si="799"/>
        <v>0</v>
      </c>
      <c r="BU389" t="b">
        <f t="shared" si="800"/>
        <v>0</v>
      </c>
      <c r="BV389" t="b">
        <f t="shared" si="801"/>
        <v>0</v>
      </c>
      <c r="BW389" t="b">
        <f t="shared" si="802"/>
        <v>0</v>
      </c>
      <c r="BX389" t="b">
        <f t="shared" si="803"/>
        <v>0</v>
      </c>
      <c r="BY389" t="b">
        <f t="shared" si="804"/>
        <v>0</v>
      </c>
      <c r="BZ389" t="b">
        <f t="shared" si="805"/>
        <v>0</v>
      </c>
      <c r="CA389" t="b">
        <f t="shared" si="806"/>
        <v>0</v>
      </c>
      <c r="CB389" t="b">
        <f t="shared" si="807"/>
        <v>0</v>
      </c>
      <c r="CC389" t="b">
        <f t="shared" si="808"/>
        <v>0</v>
      </c>
      <c r="CD389" t="b">
        <f t="shared" si="809"/>
        <v>0</v>
      </c>
      <c r="CE389">
        <f t="shared" si="810"/>
        <v>1</v>
      </c>
      <c r="CF389" t="b">
        <f t="shared" si="811"/>
        <v>0</v>
      </c>
      <c r="CG389" t="b">
        <f t="shared" si="812"/>
        <v>0</v>
      </c>
      <c r="CH389" t="b">
        <f t="shared" si="813"/>
        <v>0</v>
      </c>
      <c r="CI389" t="b">
        <f t="shared" si="814"/>
        <v>0</v>
      </c>
      <c r="CJ389" t="b">
        <f t="shared" si="815"/>
        <v>0</v>
      </c>
      <c r="CK389" t="b">
        <f t="shared" si="816"/>
        <v>0</v>
      </c>
      <c r="CL389" t="b">
        <f t="shared" si="817"/>
        <v>0</v>
      </c>
      <c r="CM389" t="b">
        <f t="shared" si="818"/>
        <v>0</v>
      </c>
      <c r="CN389" t="b">
        <f t="shared" si="819"/>
        <v>0</v>
      </c>
      <c r="CO389" t="b">
        <f t="shared" si="820"/>
        <v>0</v>
      </c>
      <c r="CP389" t="b">
        <f t="shared" si="821"/>
        <v>0</v>
      </c>
      <c r="CQ389" t="b">
        <f t="shared" si="822"/>
        <v>0</v>
      </c>
      <c r="CR389" t="b">
        <f t="shared" si="823"/>
        <v>0</v>
      </c>
      <c r="CS389" t="b">
        <f t="shared" si="824"/>
        <v>0</v>
      </c>
      <c r="CT389" t="b">
        <f t="shared" si="825"/>
        <v>0</v>
      </c>
      <c r="CU389" t="b">
        <f t="shared" si="826"/>
        <v>0</v>
      </c>
      <c r="CV389">
        <f t="shared" si="827"/>
        <v>1</v>
      </c>
      <c r="CW389" t="b">
        <f t="shared" si="828"/>
        <v>0</v>
      </c>
      <c r="CX389" t="b">
        <f t="shared" si="829"/>
        <v>0</v>
      </c>
      <c r="CY389" t="b">
        <f t="shared" si="830"/>
        <v>0</v>
      </c>
      <c r="CZ389" t="b">
        <f t="shared" si="831"/>
        <v>0</v>
      </c>
      <c r="DA389" t="b">
        <f t="shared" si="832"/>
        <v>0</v>
      </c>
      <c r="DB389" t="b">
        <f t="shared" si="833"/>
        <v>0</v>
      </c>
      <c r="DC389" t="b">
        <f t="shared" si="834"/>
        <v>0</v>
      </c>
      <c r="DD389" t="b">
        <f t="shared" si="835"/>
        <v>0</v>
      </c>
      <c r="DE389" t="b">
        <f t="shared" si="836"/>
        <v>0</v>
      </c>
      <c r="DF389" t="b">
        <f t="shared" si="837"/>
        <v>0</v>
      </c>
      <c r="DG389" t="b">
        <f t="shared" si="838"/>
        <v>0</v>
      </c>
      <c r="DH389" t="b">
        <f t="shared" si="839"/>
        <v>0</v>
      </c>
      <c r="DI389" t="b">
        <f t="shared" si="840"/>
        <v>0</v>
      </c>
      <c r="DJ389" t="b">
        <f t="shared" si="841"/>
        <v>0</v>
      </c>
      <c r="DK389" t="b">
        <f t="shared" si="842"/>
        <v>0</v>
      </c>
      <c r="DL389" t="b">
        <f t="shared" si="843"/>
        <v>0</v>
      </c>
      <c r="DM389" t="b">
        <f t="shared" si="844"/>
        <v>0</v>
      </c>
      <c r="DN389" t="b">
        <f t="shared" si="845"/>
        <v>0</v>
      </c>
      <c r="DO389" t="b">
        <f t="shared" si="846"/>
        <v>0</v>
      </c>
      <c r="DP389" t="b">
        <f t="shared" si="847"/>
        <v>0</v>
      </c>
      <c r="DQ389" t="b">
        <f t="shared" si="848"/>
        <v>0</v>
      </c>
      <c r="DR389" t="b">
        <f t="shared" si="849"/>
        <v>0</v>
      </c>
      <c r="DS389" t="b">
        <f t="shared" si="850"/>
        <v>0</v>
      </c>
      <c r="DT389" t="b">
        <f t="shared" si="851"/>
        <v>0</v>
      </c>
      <c r="DU389" t="b">
        <f t="shared" si="852"/>
        <v>0</v>
      </c>
      <c r="DV389" t="b">
        <f t="shared" si="853"/>
        <v>0</v>
      </c>
      <c r="DW389" t="b">
        <f t="shared" si="854"/>
        <v>0</v>
      </c>
      <c r="DX389" t="b">
        <f t="shared" si="855"/>
        <v>0</v>
      </c>
      <c r="DY389" t="b">
        <f t="shared" si="856"/>
        <v>0</v>
      </c>
      <c r="DZ389" t="b">
        <f t="shared" si="857"/>
        <v>0</v>
      </c>
      <c r="EA389" t="b">
        <f t="shared" si="858"/>
        <v>0</v>
      </c>
      <c r="EB389" t="b">
        <f t="shared" si="859"/>
        <v>0</v>
      </c>
      <c r="EC389" t="b">
        <f t="shared" si="860"/>
        <v>0</v>
      </c>
      <c r="ED389" t="b">
        <f t="shared" si="861"/>
        <v>0</v>
      </c>
      <c r="EE389" t="b">
        <f t="shared" si="862"/>
        <v>0</v>
      </c>
      <c r="EF389">
        <f t="shared" si="863"/>
        <v>1</v>
      </c>
      <c r="EG389" t="b">
        <f t="shared" si="864"/>
        <v>0</v>
      </c>
      <c r="EH389" t="b">
        <f t="shared" si="865"/>
        <v>0</v>
      </c>
      <c r="EI389">
        <f t="shared" si="866"/>
        <v>1</v>
      </c>
      <c r="EJ389" t="b">
        <f t="shared" si="867"/>
        <v>0</v>
      </c>
      <c r="EK389" t="b">
        <f t="shared" si="868"/>
        <v>0</v>
      </c>
    </row>
    <row r="390" spans="1:141">
      <c r="A390" t="s">
        <v>2013</v>
      </c>
      <c r="B390" t="s">
        <v>2013</v>
      </c>
      <c r="C390" t="s">
        <v>2014</v>
      </c>
      <c r="D390" s="1">
        <v>42617</v>
      </c>
      <c r="E390" s="2">
        <v>43362.162037037036</v>
      </c>
      <c r="F390" s="2">
        <v>43367.215231481481</v>
      </c>
      <c r="G390">
        <v>3472916</v>
      </c>
      <c r="H390" t="s">
        <v>2015</v>
      </c>
      <c r="I390" s="10" t="s">
        <v>2016</v>
      </c>
      <c r="J390" t="s">
        <v>2017</v>
      </c>
      <c r="K390" s="8" t="b">
        <v>1</v>
      </c>
      <c r="L390" s="10" t="b">
        <v>0</v>
      </c>
      <c r="M390" s="12" t="b">
        <v>0</v>
      </c>
      <c r="N390" t="b">
        <v>0</v>
      </c>
      <c r="O390" t="b">
        <v>0</v>
      </c>
      <c r="P390" t="b">
        <v>0</v>
      </c>
      <c r="Q390">
        <f t="shared" si="745"/>
        <v>1</v>
      </c>
      <c r="R390">
        <f t="shared" si="746"/>
        <v>9</v>
      </c>
      <c r="S390" t="e">
        <f t="shared" ca="1" si="776"/>
        <v>#NAME?</v>
      </c>
      <c r="T390" t="e">
        <f t="shared" ca="1" si="747"/>
        <v>#NAME?</v>
      </c>
      <c r="U390" s="4">
        <f t="shared" si="748"/>
        <v>745.1620370370365</v>
      </c>
      <c r="V390" s="4">
        <f t="shared" si="749"/>
        <v>24.838734567901216</v>
      </c>
      <c r="W390" s="4">
        <f t="shared" si="750"/>
        <v>1</v>
      </c>
      <c r="X390" s="4">
        <f t="shared" si="751"/>
        <v>0</v>
      </c>
      <c r="Y390" s="4">
        <f t="shared" si="752"/>
        <v>0</v>
      </c>
      <c r="Z390" s="4">
        <f t="shared" si="753"/>
        <v>0</v>
      </c>
      <c r="AA390" s="4">
        <f t="shared" si="754"/>
        <v>0</v>
      </c>
      <c r="AB390" s="4">
        <f t="shared" si="755"/>
        <v>0</v>
      </c>
      <c r="AC390" s="4"/>
      <c r="AD390" s="4" t="b">
        <f t="shared" si="756"/>
        <v>0</v>
      </c>
      <c r="AE390" s="4" t="b">
        <f t="shared" si="757"/>
        <v>0</v>
      </c>
      <c r="AF390" s="4" t="b">
        <f t="shared" si="758"/>
        <v>0</v>
      </c>
      <c r="AG390" t="b">
        <f t="shared" si="759"/>
        <v>0</v>
      </c>
      <c r="AH390" t="b">
        <f t="shared" si="760"/>
        <v>0</v>
      </c>
      <c r="AI390" t="b">
        <f t="shared" si="761"/>
        <v>0</v>
      </c>
      <c r="AJ390" t="b">
        <f t="shared" si="762"/>
        <v>0</v>
      </c>
      <c r="AK390" t="b">
        <f t="shared" si="763"/>
        <v>0</v>
      </c>
      <c r="AL390" t="b">
        <f t="shared" si="764"/>
        <v>0</v>
      </c>
      <c r="AM390" t="b">
        <f t="shared" si="765"/>
        <v>0</v>
      </c>
      <c r="AN390" t="b">
        <f t="shared" si="766"/>
        <v>0</v>
      </c>
      <c r="AO390" t="b">
        <f t="shared" si="767"/>
        <v>0</v>
      </c>
      <c r="AP390" t="b">
        <f t="shared" si="768"/>
        <v>0</v>
      </c>
      <c r="AQ390" t="b">
        <f t="shared" si="769"/>
        <v>0</v>
      </c>
      <c r="AR390" t="b">
        <f t="shared" si="770"/>
        <v>0</v>
      </c>
      <c r="AS390" t="b">
        <f t="shared" si="771"/>
        <v>0</v>
      </c>
      <c r="AT390" t="b">
        <f t="shared" si="772"/>
        <v>0</v>
      </c>
      <c r="AU390" t="b">
        <f t="shared" si="773"/>
        <v>0</v>
      </c>
      <c r="AV390" t="b">
        <f t="shared" si="774"/>
        <v>0</v>
      </c>
      <c r="AW390" t="b">
        <f t="shared" si="775"/>
        <v>0</v>
      </c>
      <c r="AX390" t="b">
        <f t="shared" si="777"/>
        <v>0</v>
      </c>
      <c r="AY390" t="b">
        <f t="shared" si="778"/>
        <v>0</v>
      </c>
      <c r="AZ390" t="b">
        <f t="shared" si="779"/>
        <v>0</v>
      </c>
      <c r="BA390" t="b">
        <f t="shared" si="780"/>
        <v>0</v>
      </c>
      <c r="BB390" t="b">
        <f t="shared" si="781"/>
        <v>0</v>
      </c>
      <c r="BC390" t="b">
        <f t="shared" si="782"/>
        <v>0</v>
      </c>
      <c r="BD390" t="b">
        <f t="shared" si="783"/>
        <v>0</v>
      </c>
      <c r="BE390" t="b">
        <f t="shared" si="784"/>
        <v>0</v>
      </c>
      <c r="BF390" t="b">
        <f t="shared" si="785"/>
        <v>0</v>
      </c>
      <c r="BG390" t="b">
        <f t="shared" si="786"/>
        <v>0</v>
      </c>
      <c r="BH390" t="b">
        <f t="shared" si="787"/>
        <v>0</v>
      </c>
      <c r="BI390">
        <f t="shared" si="788"/>
        <v>1</v>
      </c>
      <c r="BJ390" t="b">
        <f t="shared" si="789"/>
        <v>0</v>
      </c>
      <c r="BK390" t="b">
        <f t="shared" si="790"/>
        <v>0</v>
      </c>
      <c r="BL390" t="b">
        <f t="shared" si="791"/>
        <v>0</v>
      </c>
      <c r="BM390" t="b">
        <f t="shared" si="792"/>
        <v>0</v>
      </c>
      <c r="BN390" t="b">
        <f t="shared" si="793"/>
        <v>0</v>
      </c>
      <c r="BO390" t="b">
        <f t="shared" si="794"/>
        <v>0</v>
      </c>
      <c r="BP390" t="b">
        <f t="shared" si="795"/>
        <v>0</v>
      </c>
      <c r="BQ390" t="b">
        <f t="shared" si="796"/>
        <v>0</v>
      </c>
      <c r="BR390" t="b">
        <f t="shared" si="797"/>
        <v>0</v>
      </c>
      <c r="BS390" t="b">
        <f t="shared" si="798"/>
        <v>0</v>
      </c>
      <c r="BT390" t="b">
        <f t="shared" si="799"/>
        <v>0</v>
      </c>
      <c r="BU390" t="b">
        <f t="shared" si="800"/>
        <v>0</v>
      </c>
      <c r="BV390" t="b">
        <f t="shared" si="801"/>
        <v>0</v>
      </c>
      <c r="BW390" t="b">
        <f t="shared" si="802"/>
        <v>0</v>
      </c>
      <c r="BX390" t="b">
        <f t="shared" si="803"/>
        <v>0</v>
      </c>
      <c r="BY390" t="b">
        <f t="shared" si="804"/>
        <v>0</v>
      </c>
      <c r="BZ390" t="b">
        <f t="shared" si="805"/>
        <v>0</v>
      </c>
      <c r="CA390" t="b">
        <f t="shared" si="806"/>
        <v>0</v>
      </c>
      <c r="CB390" t="b">
        <f t="shared" si="807"/>
        <v>0</v>
      </c>
      <c r="CC390" t="b">
        <f t="shared" si="808"/>
        <v>0</v>
      </c>
      <c r="CD390" t="b">
        <f t="shared" si="809"/>
        <v>0</v>
      </c>
      <c r="CE390" t="b">
        <f t="shared" si="810"/>
        <v>0</v>
      </c>
      <c r="CF390" t="b">
        <f t="shared" si="811"/>
        <v>0</v>
      </c>
      <c r="CG390" t="b">
        <f t="shared" si="812"/>
        <v>0</v>
      </c>
      <c r="CH390" t="b">
        <f t="shared" si="813"/>
        <v>0</v>
      </c>
      <c r="CI390" t="b">
        <f t="shared" si="814"/>
        <v>0</v>
      </c>
      <c r="CJ390" t="b">
        <f t="shared" si="815"/>
        <v>0</v>
      </c>
      <c r="CK390" t="b">
        <f t="shared" si="816"/>
        <v>0</v>
      </c>
      <c r="CL390" t="b">
        <f t="shared" si="817"/>
        <v>0</v>
      </c>
      <c r="CM390">
        <f t="shared" si="818"/>
        <v>1</v>
      </c>
      <c r="CN390" t="b">
        <f t="shared" si="819"/>
        <v>0</v>
      </c>
      <c r="CO390" t="b">
        <f t="shared" si="820"/>
        <v>0</v>
      </c>
      <c r="CP390" t="b">
        <f t="shared" si="821"/>
        <v>0</v>
      </c>
      <c r="CQ390" t="b">
        <f t="shared" si="822"/>
        <v>0</v>
      </c>
      <c r="CR390" t="b">
        <f t="shared" si="823"/>
        <v>0</v>
      </c>
      <c r="CS390" t="b">
        <f t="shared" si="824"/>
        <v>0</v>
      </c>
      <c r="CT390" t="b">
        <f t="shared" si="825"/>
        <v>0</v>
      </c>
      <c r="CU390" t="b">
        <f t="shared" si="826"/>
        <v>0</v>
      </c>
      <c r="CV390" t="b">
        <f t="shared" si="827"/>
        <v>0</v>
      </c>
      <c r="CW390" t="b">
        <f t="shared" si="828"/>
        <v>0</v>
      </c>
      <c r="CX390" t="b">
        <f t="shared" si="829"/>
        <v>0</v>
      </c>
      <c r="CY390" t="b">
        <f t="shared" si="830"/>
        <v>0</v>
      </c>
      <c r="CZ390" t="b">
        <f t="shared" si="831"/>
        <v>0</v>
      </c>
      <c r="DA390" t="b">
        <f t="shared" si="832"/>
        <v>0</v>
      </c>
      <c r="DB390" t="b">
        <f t="shared" si="833"/>
        <v>0</v>
      </c>
      <c r="DC390" t="b">
        <f t="shared" si="834"/>
        <v>0</v>
      </c>
      <c r="DD390" t="b">
        <f t="shared" si="835"/>
        <v>0</v>
      </c>
      <c r="DE390" t="b">
        <f t="shared" si="836"/>
        <v>0</v>
      </c>
      <c r="DF390" t="b">
        <f t="shared" si="837"/>
        <v>0</v>
      </c>
      <c r="DG390" t="b">
        <f t="shared" si="838"/>
        <v>0</v>
      </c>
      <c r="DH390" t="b">
        <f t="shared" si="839"/>
        <v>0</v>
      </c>
      <c r="DI390" t="b">
        <f t="shared" si="840"/>
        <v>0</v>
      </c>
      <c r="DJ390" t="b">
        <f t="shared" si="841"/>
        <v>0</v>
      </c>
      <c r="DK390" t="b">
        <f t="shared" si="842"/>
        <v>0</v>
      </c>
      <c r="DL390" t="b">
        <f t="shared" si="843"/>
        <v>0</v>
      </c>
      <c r="DM390" t="b">
        <f t="shared" si="844"/>
        <v>0</v>
      </c>
      <c r="DN390" t="b">
        <f t="shared" si="845"/>
        <v>0</v>
      </c>
      <c r="DO390" t="b">
        <f t="shared" si="846"/>
        <v>0</v>
      </c>
      <c r="DP390" t="b">
        <f t="shared" si="847"/>
        <v>0</v>
      </c>
      <c r="DQ390" t="b">
        <f t="shared" si="848"/>
        <v>0</v>
      </c>
      <c r="DR390" t="b">
        <f t="shared" si="849"/>
        <v>0</v>
      </c>
      <c r="DS390" t="b">
        <f t="shared" si="850"/>
        <v>0</v>
      </c>
      <c r="DT390" t="b">
        <f t="shared" si="851"/>
        <v>0</v>
      </c>
      <c r="DU390" t="b">
        <f t="shared" si="852"/>
        <v>0</v>
      </c>
      <c r="DV390" t="b">
        <f t="shared" si="853"/>
        <v>0</v>
      </c>
      <c r="DW390" t="b">
        <f t="shared" si="854"/>
        <v>0</v>
      </c>
      <c r="DX390" t="b">
        <f t="shared" si="855"/>
        <v>0</v>
      </c>
      <c r="DY390" t="b">
        <f t="shared" si="856"/>
        <v>0</v>
      </c>
      <c r="DZ390" t="b">
        <f t="shared" si="857"/>
        <v>0</v>
      </c>
      <c r="EA390" t="b">
        <f t="shared" si="858"/>
        <v>0</v>
      </c>
      <c r="EB390" t="b">
        <f t="shared" si="859"/>
        <v>0</v>
      </c>
      <c r="EC390" t="b">
        <f t="shared" si="860"/>
        <v>0</v>
      </c>
      <c r="ED390" t="b">
        <f t="shared" si="861"/>
        <v>0</v>
      </c>
      <c r="EE390" t="b">
        <f t="shared" si="862"/>
        <v>0</v>
      </c>
      <c r="EF390" t="b">
        <f t="shared" si="863"/>
        <v>0</v>
      </c>
      <c r="EG390" t="b">
        <f t="shared" si="864"/>
        <v>0</v>
      </c>
      <c r="EH390" t="b">
        <f t="shared" si="865"/>
        <v>0</v>
      </c>
      <c r="EI390" t="b">
        <f t="shared" si="866"/>
        <v>0</v>
      </c>
      <c r="EJ390" t="b">
        <f t="shared" si="867"/>
        <v>0</v>
      </c>
      <c r="EK390" t="b">
        <f t="shared" si="868"/>
        <v>0</v>
      </c>
    </row>
    <row r="391" spans="1:141">
      <c r="A391" t="s">
        <v>2018</v>
      </c>
      <c r="B391" t="s">
        <v>2018</v>
      </c>
      <c r="C391" t="s">
        <v>2019</v>
      </c>
      <c r="D391" s="1">
        <v>41399</v>
      </c>
      <c r="E391" s="2">
        <v>42558.958449074074</v>
      </c>
      <c r="F391" s="2">
        <v>42558.958449074074</v>
      </c>
      <c r="G391">
        <v>26892897</v>
      </c>
      <c r="H391" t="s">
        <v>2020</v>
      </c>
      <c r="I391" s="10" t="s">
        <v>2021</v>
      </c>
      <c r="J391" t="s">
        <v>2022</v>
      </c>
      <c r="K391" s="8" t="b">
        <v>1</v>
      </c>
      <c r="L391" s="10" t="b">
        <v>0</v>
      </c>
      <c r="M391" s="12" t="b">
        <v>0</v>
      </c>
      <c r="N391" t="b">
        <v>0</v>
      </c>
      <c r="O391" t="b">
        <v>0</v>
      </c>
      <c r="P391" t="b">
        <v>0</v>
      </c>
      <c r="Q391">
        <f t="shared" si="745"/>
        <v>1</v>
      </c>
      <c r="R391">
        <f t="shared" si="746"/>
        <v>5</v>
      </c>
      <c r="S391" t="e">
        <f t="shared" ca="1" si="776"/>
        <v>#NAME?</v>
      </c>
      <c r="T391" t="e">
        <f t="shared" ca="1" si="747"/>
        <v>#NAME?</v>
      </c>
      <c r="U391" s="4">
        <f t="shared" si="748"/>
        <v>1159.9584490740745</v>
      </c>
      <c r="V391" s="4">
        <f t="shared" si="749"/>
        <v>38.665281635802479</v>
      </c>
      <c r="W391" s="4">
        <f t="shared" si="750"/>
        <v>1</v>
      </c>
      <c r="X391" s="4">
        <f t="shared" si="751"/>
        <v>0</v>
      </c>
      <c r="Y391" s="4">
        <f t="shared" si="752"/>
        <v>0</v>
      </c>
      <c r="Z391" s="4">
        <f t="shared" si="753"/>
        <v>0</v>
      </c>
      <c r="AA391" s="4">
        <f t="shared" si="754"/>
        <v>0</v>
      </c>
      <c r="AB391" s="4">
        <f t="shared" si="755"/>
        <v>0</v>
      </c>
      <c r="AC391" s="4"/>
      <c r="AD391" s="4" t="b">
        <f t="shared" si="756"/>
        <v>0</v>
      </c>
      <c r="AE391" s="4" t="b">
        <f t="shared" si="757"/>
        <v>0</v>
      </c>
      <c r="AF391" s="4" t="b">
        <f t="shared" si="758"/>
        <v>0</v>
      </c>
      <c r="AG391" t="b">
        <f t="shared" si="759"/>
        <v>0</v>
      </c>
      <c r="AH391" t="b">
        <f t="shared" si="760"/>
        <v>0</v>
      </c>
      <c r="AI391" t="b">
        <f t="shared" si="761"/>
        <v>0</v>
      </c>
      <c r="AJ391" t="b">
        <f t="shared" si="762"/>
        <v>0</v>
      </c>
      <c r="AK391" t="b">
        <f t="shared" si="763"/>
        <v>0</v>
      </c>
      <c r="AL391" t="b">
        <f t="shared" si="764"/>
        <v>0</v>
      </c>
      <c r="AM391" t="b">
        <f t="shared" si="765"/>
        <v>0</v>
      </c>
      <c r="AN391" t="b">
        <f t="shared" si="766"/>
        <v>0</v>
      </c>
      <c r="AO391" t="b">
        <f t="shared" si="767"/>
        <v>0</v>
      </c>
      <c r="AP391" t="b">
        <f t="shared" si="768"/>
        <v>0</v>
      </c>
      <c r="AQ391" t="b">
        <f t="shared" si="769"/>
        <v>0</v>
      </c>
      <c r="AR391" t="b">
        <f t="shared" si="770"/>
        <v>0</v>
      </c>
      <c r="AS391" t="b">
        <f t="shared" si="771"/>
        <v>0</v>
      </c>
      <c r="AT391" t="b">
        <f t="shared" si="772"/>
        <v>0</v>
      </c>
      <c r="AU391" t="b">
        <f t="shared" si="773"/>
        <v>0</v>
      </c>
      <c r="AV391" t="b">
        <f t="shared" si="774"/>
        <v>0</v>
      </c>
      <c r="AW391" t="b">
        <f t="shared" si="775"/>
        <v>0</v>
      </c>
      <c r="AX391" t="b">
        <f t="shared" si="777"/>
        <v>0</v>
      </c>
      <c r="AY391" t="b">
        <f t="shared" si="778"/>
        <v>0</v>
      </c>
      <c r="AZ391">
        <f t="shared" si="779"/>
        <v>1</v>
      </c>
      <c r="BA391" t="b">
        <f t="shared" si="780"/>
        <v>0</v>
      </c>
      <c r="BB391" t="b">
        <f t="shared" si="781"/>
        <v>0</v>
      </c>
      <c r="BC391" t="b">
        <f t="shared" si="782"/>
        <v>0</v>
      </c>
      <c r="BD391" t="b">
        <f t="shared" si="783"/>
        <v>0</v>
      </c>
      <c r="BE391" t="b">
        <f t="shared" si="784"/>
        <v>0</v>
      </c>
      <c r="BF391" t="b">
        <f t="shared" si="785"/>
        <v>0</v>
      </c>
      <c r="BG391" t="b">
        <f t="shared" si="786"/>
        <v>0</v>
      </c>
      <c r="BH391" t="b">
        <f t="shared" si="787"/>
        <v>0</v>
      </c>
      <c r="BI391">
        <f t="shared" si="788"/>
        <v>1</v>
      </c>
      <c r="BJ391" t="b">
        <f t="shared" si="789"/>
        <v>0</v>
      </c>
      <c r="BK391" t="b">
        <f t="shared" si="790"/>
        <v>0</v>
      </c>
      <c r="BL391" t="b">
        <f t="shared" si="791"/>
        <v>0</v>
      </c>
      <c r="BM391" t="b">
        <f t="shared" si="792"/>
        <v>0</v>
      </c>
      <c r="BN391" t="b">
        <f t="shared" si="793"/>
        <v>0</v>
      </c>
      <c r="BO391" t="b">
        <f t="shared" si="794"/>
        <v>0</v>
      </c>
      <c r="BP391" t="b">
        <f t="shared" si="795"/>
        <v>0</v>
      </c>
      <c r="BQ391" t="b">
        <f t="shared" si="796"/>
        <v>0</v>
      </c>
      <c r="BR391">
        <f t="shared" si="797"/>
        <v>1</v>
      </c>
      <c r="BS391">
        <f t="shared" si="798"/>
        <v>1</v>
      </c>
      <c r="BT391" t="b">
        <f t="shared" si="799"/>
        <v>0</v>
      </c>
      <c r="BU391" t="b">
        <f t="shared" si="800"/>
        <v>0</v>
      </c>
      <c r="BV391" t="b">
        <f t="shared" si="801"/>
        <v>0</v>
      </c>
      <c r="BW391" t="b">
        <f t="shared" si="802"/>
        <v>0</v>
      </c>
      <c r="BX391" t="b">
        <f t="shared" si="803"/>
        <v>0</v>
      </c>
      <c r="BY391" t="b">
        <f t="shared" si="804"/>
        <v>0</v>
      </c>
      <c r="BZ391" t="b">
        <f t="shared" si="805"/>
        <v>0</v>
      </c>
      <c r="CA391" t="b">
        <f t="shared" si="806"/>
        <v>0</v>
      </c>
      <c r="CB391" t="b">
        <f t="shared" si="807"/>
        <v>0</v>
      </c>
      <c r="CC391" t="b">
        <f t="shared" si="808"/>
        <v>0</v>
      </c>
      <c r="CD391" t="b">
        <f t="shared" si="809"/>
        <v>0</v>
      </c>
      <c r="CE391">
        <f t="shared" si="810"/>
        <v>1</v>
      </c>
      <c r="CF391" t="b">
        <f t="shared" si="811"/>
        <v>0</v>
      </c>
      <c r="CG391" t="b">
        <f t="shared" si="812"/>
        <v>0</v>
      </c>
      <c r="CH391" t="b">
        <f t="shared" si="813"/>
        <v>0</v>
      </c>
      <c r="CI391" t="b">
        <f t="shared" si="814"/>
        <v>0</v>
      </c>
      <c r="CJ391" t="b">
        <f t="shared" si="815"/>
        <v>0</v>
      </c>
      <c r="CK391" t="b">
        <f t="shared" si="816"/>
        <v>0</v>
      </c>
      <c r="CL391" t="b">
        <f t="shared" si="817"/>
        <v>0</v>
      </c>
      <c r="CM391">
        <f t="shared" si="818"/>
        <v>1</v>
      </c>
      <c r="CN391" t="b">
        <f t="shared" si="819"/>
        <v>0</v>
      </c>
      <c r="CO391" t="b">
        <f t="shared" si="820"/>
        <v>0</v>
      </c>
      <c r="CP391" t="b">
        <f t="shared" si="821"/>
        <v>0</v>
      </c>
      <c r="CQ391" t="b">
        <f t="shared" si="822"/>
        <v>0</v>
      </c>
      <c r="CR391" t="b">
        <f t="shared" si="823"/>
        <v>0</v>
      </c>
      <c r="CS391" t="b">
        <f t="shared" si="824"/>
        <v>0</v>
      </c>
      <c r="CT391" t="b">
        <f t="shared" si="825"/>
        <v>0</v>
      </c>
      <c r="CU391" t="b">
        <f t="shared" si="826"/>
        <v>0</v>
      </c>
      <c r="CV391">
        <f t="shared" si="827"/>
        <v>1</v>
      </c>
      <c r="CW391" t="b">
        <f t="shared" si="828"/>
        <v>0</v>
      </c>
      <c r="CX391" t="b">
        <f t="shared" si="829"/>
        <v>0</v>
      </c>
      <c r="CY391" t="b">
        <f t="shared" si="830"/>
        <v>0</v>
      </c>
      <c r="CZ391" t="b">
        <f t="shared" si="831"/>
        <v>0</v>
      </c>
      <c r="DA391" t="b">
        <f t="shared" si="832"/>
        <v>0</v>
      </c>
      <c r="DB391" t="b">
        <f t="shared" si="833"/>
        <v>0</v>
      </c>
      <c r="DC391" t="b">
        <f t="shared" si="834"/>
        <v>0</v>
      </c>
      <c r="DD391" t="b">
        <f t="shared" si="835"/>
        <v>0</v>
      </c>
      <c r="DE391" t="b">
        <f t="shared" si="836"/>
        <v>0</v>
      </c>
      <c r="DF391" t="b">
        <f t="shared" si="837"/>
        <v>0</v>
      </c>
      <c r="DG391" t="b">
        <f t="shared" si="838"/>
        <v>0</v>
      </c>
      <c r="DH391" t="b">
        <f t="shared" si="839"/>
        <v>0</v>
      </c>
      <c r="DI391" t="b">
        <f t="shared" si="840"/>
        <v>0</v>
      </c>
      <c r="DJ391" t="b">
        <f t="shared" si="841"/>
        <v>0</v>
      </c>
      <c r="DK391" t="b">
        <f t="shared" si="842"/>
        <v>0</v>
      </c>
      <c r="DL391" t="b">
        <f t="shared" si="843"/>
        <v>0</v>
      </c>
      <c r="DM391" t="b">
        <f t="shared" si="844"/>
        <v>0</v>
      </c>
      <c r="DN391" t="b">
        <f t="shared" si="845"/>
        <v>0</v>
      </c>
      <c r="DO391" t="b">
        <f t="shared" si="846"/>
        <v>0</v>
      </c>
      <c r="DP391" t="b">
        <f t="shared" si="847"/>
        <v>0</v>
      </c>
      <c r="DQ391" t="b">
        <f t="shared" si="848"/>
        <v>0</v>
      </c>
      <c r="DR391" t="b">
        <f t="shared" si="849"/>
        <v>0</v>
      </c>
      <c r="DS391" t="b">
        <f t="shared" si="850"/>
        <v>0</v>
      </c>
      <c r="DT391" t="b">
        <f t="shared" si="851"/>
        <v>0</v>
      </c>
      <c r="DU391" t="b">
        <f t="shared" si="852"/>
        <v>0</v>
      </c>
      <c r="DV391" t="b">
        <f t="shared" si="853"/>
        <v>0</v>
      </c>
      <c r="DW391" t="b">
        <f t="shared" si="854"/>
        <v>0</v>
      </c>
      <c r="DX391" t="b">
        <f t="shared" si="855"/>
        <v>0</v>
      </c>
      <c r="DY391" t="b">
        <f t="shared" si="856"/>
        <v>0</v>
      </c>
      <c r="DZ391" t="b">
        <f t="shared" si="857"/>
        <v>0</v>
      </c>
      <c r="EA391" t="b">
        <f t="shared" si="858"/>
        <v>0</v>
      </c>
      <c r="EB391" t="b">
        <f t="shared" si="859"/>
        <v>0</v>
      </c>
      <c r="EC391" t="b">
        <f t="shared" si="860"/>
        <v>0</v>
      </c>
      <c r="ED391" t="b">
        <f t="shared" si="861"/>
        <v>0</v>
      </c>
      <c r="EE391" t="b">
        <f t="shared" si="862"/>
        <v>0</v>
      </c>
      <c r="EF391">
        <f t="shared" si="863"/>
        <v>1</v>
      </c>
      <c r="EG391" t="b">
        <f t="shared" si="864"/>
        <v>0</v>
      </c>
      <c r="EH391" t="b">
        <f t="shared" si="865"/>
        <v>0</v>
      </c>
      <c r="EI391" t="b">
        <f t="shared" si="866"/>
        <v>0</v>
      </c>
      <c r="EJ391" t="b">
        <f t="shared" si="867"/>
        <v>0</v>
      </c>
      <c r="EK391" t="b">
        <f t="shared" si="868"/>
        <v>0</v>
      </c>
    </row>
    <row r="392" spans="1:141">
      <c r="A392" t="s">
        <v>2023</v>
      </c>
      <c r="B392" t="s">
        <v>2023</v>
      </c>
      <c r="C392" t="s">
        <v>2024</v>
      </c>
      <c r="D392" s="1">
        <v>42296</v>
      </c>
      <c r="E392" s="2">
        <v>42652.259386574071</v>
      </c>
      <c r="F392" s="2">
        <v>42652.259386574071</v>
      </c>
      <c r="G392">
        <v>234842089</v>
      </c>
      <c r="H392" t="s">
        <v>2025</v>
      </c>
      <c r="I392" s="10" t="s">
        <v>2026</v>
      </c>
      <c r="J392" t="s">
        <v>147</v>
      </c>
      <c r="K392" s="8" t="b">
        <v>0</v>
      </c>
      <c r="L392" s="10" t="b">
        <v>0</v>
      </c>
      <c r="M392" s="12" t="b">
        <v>0</v>
      </c>
      <c r="N392" t="b">
        <v>0</v>
      </c>
      <c r="O392" t="b">
        <v>0</v>
      </c>
      <c r="P392" t="b">
        <v>0</v>
      </c>
      <c r="Q392">
        <f t="shared" si="745"/>
        <v>2</v>
      </c>
      <c r="R392">
        <f t="shared" si="746"/>
        <v>10</v>
      </c>
      <c r="S392" t="e">
        <f t="shared" ca="1" si="776"/>
        <v>#NAME?</v>
      </c>
      <c r="T392" t="e">
        <f t="shared" ca="1" si="747"/>
        <v>#NAME?</v>
      </c>
      <c r="U392" s="4">
        <f t="shared" si="748"/>
        <v>356.25938657407096</v>
      </c>
      <c r="V392" s="4">
        <f t="shared" si="749"/>
        <v>11.875312885802366</v>
      </c>
      <c r="W392" s="4">
        <f t="shared" si="750"/>
        <v>0</v>
      </c>
      <c r="X392" s="4">
        <f t="shared" si="751"/>
        <v>0</v>
      </c>
      <c r="Y392" s="4">
        <f t="shared" si="752"/>
        <v>0</v>
      </c>
      <c r="Z392" s="4">
        <f t="shared" si="753"/>
        <v>0</v>
      </c>
      <c r="AA392" s="4">
        <f t="shared" si="754"/>
        <v>0</v>
      </c>
      <c r="AB392" s="4">
        <f t="shared" si="755"/>
        <v>0</v>
      </c>
      <c r="AC392" s="4"/>
      <c r="AD392" s="4" t="b">
        <f t="shared" si="756"/>
        <v>0</v>
      </c>
      <c r="AE392" s="4" t="b">
        <f t="shared" si="757"/>
        <v>0</v>
      </c>
      <c r="AF392" s="4" t="b">
        <f t="shared" si="758"/>
        <v>0</v>
      </c>
      <c r="AG392" t="b">
        <f t="shared" si="759"/>
        <v>0</v>
      </c>
      <c r="AH392" t="b">
        <f t="shared" si="760"/>
        <v>0</v>
      </c>
      <c r="AI392" t="b">
        <f t="shared" si="761"/>
        <v>0</v>
      </c>
      <c r="AJ392" t="b">
        <f t="shared" si="762"/>
        <v>0</v>
      </c>
      <c r="AK392" t="b">
        <f t="shared" si="763"/>
        <v>0</v>
      </c>
      <c r="AL392" t="b">
        <f t="shared" si="764"/>
        <v>0</v>
      </c>
      <c r="AM392" t="b">
        <f t="shared" si="765"/>
        <v>0</v>
      </c>
      <c r="AN392" t="b">
        <f t="shared" si="766"/>
        <v>0</v>
      </c>
      <c r="AO392" t="b">
        <f t="shared" si="767"/>
        <v>0</v>
      </c>
      <c r="AP392" t="b">
        <f t="shared" si="768"/>
        <v>0</v>
      </c>
      <c r="AQ392" t="b">
        <f t="shared" si="769"/>
        <v>0</v>
      </c>
      <c r="AR392" t="b">
        <f t="shared" si="770"/>
        <v>0</v>
      </c>
      <c r="AS392" t="b">
        <f t="shared" si="771"/>
        <v>0</v>
      </c>
      <c r="AT392" t="b">
        <f t="shared" si="772"/>
        <v>0</v>
      </c>
      <c r="AU392" t="b">
        <f t="shared" si="773"/>
        <v>0</v>
      </c>
      <c r="AV392" t="b">
        <f t="shared" si="774"/>
        <v>0</v>
      </c>
      <c r="AW392" t="b">
        <f t="shared" si="775"/>
        <v>0</v>
      </c>
      <c r="AX392" t="b">
        <f t="shared" si="777"/>
        <v>0</v>
      </c>
      <c r="AY392" t="b">
        <f t="shared" si="778"/>
        <v>0</v>
      </c>
      <c r="AZ392" t="b">
        <f t="shared" si="779"/>
        <v>0</v>
      </c>
      <c r="BA392" t="b">
        <f t="shared" si="780"/>
        <v>0</v>
      </c>
      <c r="BB392" t="b">
        <f t="shared" si="781"/>
        <v>0</v>
      </c>
      <c r="BC392" t="b">
        <f t="shared" si="782"/>
        <v>0</v>
      </c>
      <c r="BD392" t="b">
        <f t="shared" si="783"/>
        <v>0</v>
      </c>
      <c r="BE392" t="b">
        <f t="shared" si="784"/>
        <v>0</v>
      </c>
      <c r="BF392" t="b">
        <f t="shared" si="785"/>
        <v>0</v>
      </c>
      <c r="BG392" t="b">
        <f t="shared" si="786"/>
        <v>0</v>
      </c>
      <c r="BH392" t="b">
        <f t="shared" si="787"/>
        <v>0</v>
      </c>
      <c r="BI392">
        <f t="shared" si="788"/>
        <v>1</v>
      </c>
      <c r="BJ392" t="b">
        <f t="shared" si="789"/>
        <v>0</v>
      </c>
      <c r="BK392" t="b">
        <f t="shared" si="790"/>
        <v>0</v>
      </c>
      <c r="BL392" t="b">
        <f t="shared" si="791"/>
        <v>0</v>
      </c>
      <c r="BM392" t="b">
        <f t="shared" si="792"/>
        <v>0</v>
      </c>
      <c r="BN392" t="b">
        <f t="shared" si="793"/>
        <v>0</v>
      </c>
      <c r="BO392" t="b">
        <f t="shared" si="794"/>
        <v>0</v>
      </c>
      <c r="BP392" t="b">
        <f t="shared" si="795"/>
        <v>0</v>
      </c>
      <c r="BQ392" t="b">
        <f t="shared" si="796"/>
        <v>0</v>
      </c>
      <c r="BR392" t="b">
        <f t="shared" si="797"/>
        <v>0</v>
      </c>
      <c r="BS392" t="b">
        <f t="shared" si="798"/>
        <v>0</v>
      </c>
      <c r="BT392" t="b">
        <f t="shared" si="799"/>
        <v>0</v>
      </c>
      <c r="BU392" t="b">
        <f t="shared" si="800"/>
        <v>0</v>
      </c>
      <c r="BV392" t="b">
        <f t="shared" si="801"/>
        <v>0</v>
      </c>
      <c r="BW392" t="b">
        <f t="shared" si="802"/>
        <v>0</v>
      </c>
      <c r="BX392" t="b">
        <f t="shared" si="803"/>
        <v>0</v>
      </c>
      <c r="BY392" t="b">
        <f t="shared" si="804"/>
        <v>0</v>
      </c>
      <c r="BZ392" t="b">
        <f t="shared" si="805"/>
        <v>0</v>
      </c>
      <c r="CA392" t="b">
        <f t="shared" si="806"/>
        <v>0</v>
      </c>
      <c r="CB392" t="b">
        <f t="shared" si="807"/>
        <v>0</v>
      </c>
      <c r="CC392" t="b">
        <f t="shared" si="808"/>
        <v>0</v>
      </c>
      <c r="CD392" t="b">
        <f t="shared" si="809"/>
        <v>0</v>
      </c>
      <c r="CE392" t="b">
        <f t="shared" si="810"/>
        <v>0</v>
      </c>
      <c r="CF392" t="b">
        <f t="shared" si="811"/>
        <v>0</v>
      </c>
      <c r="CG392" t="b">
        <f t="shared" si="812"/>
        <v>0</v>
      </c>
      <c r="CH392" t="b">
        <f t="shared" si="813"/>
        <v>0</v>
      </c>
      <c r="CI392" t="b">
        <f t="shared" si="814"/>
        <v>0</v>
      </c>
      <c r="CJ392" t="b">
        <f t="shared" si="815"/>
        <v>0</v>
      </c>
      <c r="CK392" t="b">
        <f t="shared" si="816"/>
        <v>0</v>
      </c>
      <c r="CL392" t="b">
        <f t="shared" si="817"/>
        <v>0</v>
      </c>
      <c r="CM392" t="b">
        <f t="shared" si="818"/>
        <v>0</v>
      </c>
      <c r="CN392" t="b">
        <f t="shared" si="819"/>
        <v>0</v>
      </c>
      <c r="CO392" t="b">
        <f t="shared" si="820"/>
        <v>0</v>
      </c>
      <c r="CP392" t="b">
        <f t="shared" si="821"/>
        <v>0</v>
      </c>
      <c r="CQ392" t="b">
        <f t="shared" si="822"/>
        <v>0</v>
      </c>
      <c r="CR392" t="b">
        <f t="shared" si="823"/>
        <v>0</v>
      </c>
      <c r="CS392" t="b">
        <f t="shared" si="824"/>
        <v>0</v>
      </c>
      <c r="CT392" t="b">
        <f t="shared" si="825"/>
        <v>0</v>
      </c>
      <c r="CU392" t="b">
        <f t="shared" si="826"/>
        <v>0</v>
      </c>
      <c r="CV392">
        <f t="shared" si="827"/>
        <v>1</v>
      </c>
      <c r="CW392" t="b">
        <f t="shared" si="828"/>
        <v>0</v>
      </c>
      <c r="CX392" t="b">
        <f t="shared" si="829"/>
        <v>0</v>
      </c>
      <c r="CY392" t="b">
        <f t="shared" si="830"/>
        <v>0</v>
      </c>
      <c r="CZ392" t="b">
        <f t="shared" si="831"/>
        <v>0</v>
      </c>
      <c r="DA392" t="b">
        <f t="shared" si="832"/>
        <v>0</v>
      </c>
      <c r="DB392" t="b">
        <f t="shared" si="833"/>
        <v>0</v>
      </c>
      <c r="DC392" t="b">
        <f t="shared" si="834"/>
        <v>0</v>
      </c>
      <c r="DD392" t="b">
        <f t="shared" si="835"/>
        <v>0</v>
      </c>
      <c r="DE392" t="b">
        <f t="shared" si="836"/>
        <v>0</v>
      </c>
      <c r="DF392" t="b">
        <f t="shared" si="837"/>
        <v>0</v>
      </c>
      <c r="DG392" t="b">
        <f t="shared" si="838"/>
        <v>0</v>
      </c>
      <c r="DH392" t="b">
        <f t="shared" si="839"/>
        <v>0</v>
      </c>
      <c r="DI392" t="b">
        <f t="shared" si="840"/>
        <v>0</v>
      </c>
      <c r="DJ392" t="b">
        <f t="shared" si="841"/>
        <v>0</v>
      </c>
      <c r="DK392" t="b">
        <f t="shared" si="842"/>
        <v>0</v>
      </c>
      <c r="DL392" t="b">
        <f t="shared" si="843"/>
        <v>0</v>
      </c>
      <c r="DM392" t="b">
        <f t="shared" si="844"/>
        <v>0</v>
      </c>
      <c r="DN392" t="b">
        <f t="shared" si="845"/>
        <v>0</v>
      </c>
      <c r="DO392" t="b">
        <f t="shared" si="846"/>
        <v>0</v>
      </c>
      <c r="DP392" t="b">
        <f t="shared" si="847"/>
        <v>0</v>
      </c>
      <c r="DQ392" t="b">
        <f t="shared" si="848"/>
        <v>0</v>
      </c>
      <c r="DR392" t="b">
        <f t="shared" si="849"/>
        <v>0</v>
      </c>
      <c r="DS392" t="b">
        <f t="shared" si="850"/>
        <v>0</v>
      </c>
      <c r="DT392" t="b">
        <f t="shared" si="851"/>
        <v>0</v>
      </c>
      <c r="DU392" t="b">
        <f t="shared" si="852"/>
        <v>0</v>
      </c>
      <c r="DV392" t="b">
        <f t="shared" si="853"/>
        <v>0</v>
      </c>
      <c r="DW392" t="b">
        <f t="shared" si="854"/>
        <v>0</v>
      </c>
      <c r="DX392" t="b">
        <f t="shared" si="855"/>
        <v>0</v>
      </c>
      <c r="DY392" t="b">
        <f t="shared" si="856"/>
        <v>0</v>
      </c>
      <c r="DZ392" t="b">
        <f t="shared" si="857"/>
        <v>0</v>
      </c>
      <c r="EA392" t="b">
        <f t="shared" si="858"/>
        <v>0</v>
      </c>
      <c r="EB392" t="b">
        <f t="shared" si="859"/>
        <v>0</v>
      </c>
      <c r="EC392" t="b">
        <f t="shared" si="860"/>
        <v>0</v>
      </c>
      <c r="ED392" t="b">
        <f t="shared" si="861"/>
        <v>0</v>
      </c>
      <c r="EE392" t="b">
        <f t="shared" si="862"/>
        <v>0</v>
      </c>
      <c r="EF392" t="b">
        <f t="shared" si="863"/>
        <v>0</v>
      </c>
      <c r="EG392" t="b">
        <f t="shared" si="864"/>
        <v>0</v>
      </c>
      <c r="EH392" t="b">
        <f t="shared" si="865"/>
        <v>0</v>
      </c>
      <c r="EI392" t="b">
        <f t="shared" si="866"/>
        <v>0</v>
      </c>
      <c r="EJ392" t="b">
        <f t="shared" si="867"/>
        <v>0</v>
      </c>
      <c r="EK392" t="b">
        <f t="shared" si="868"/>
        <v>0</v>
      </c>
    </row>
    <row r="393" spans="1:141">
      <c r="A393" t="s">
        <v>2027</v>
      </c>
      <c r="B393" t="s">
        <v>2027</v>
      </c>
      <c r="C393" t="s">
        <v>2028</v>
      </c>
      <c r="D393" s="1">
        <v>40315</v>
      </c>
      <c r="E393" s="2">
        <v>42338.435266203705</v>
      </c>
      <c r="F393" s="2">
        <v>42338.435266203705</v>
      </c>
      <c r="G393">
        <v>3619948</v>
      </c>
      <c r="H393" t="s">
        <v>2029</v>
      </c>
      <c r="I393" s="10" t="s">
        <v>2030</v>
      </c>
      <c r="J393" t="s">
        <v>2031</v>
      </c>
      <c r="K393" s="8" t="b">
        <v>1</v>
      </c>
      <c r="L393" s="10" t="b">
        <v>0</v>
      </c>
      <c r="M393" s="12" t="b">
        <v>0</v>
      </c>
      <c r="N393" t="b">
        <v>0</v>
      </c>
      <c r="O393" t="b">
        <v>0</v>
      </c>
      <c r="P393" t="b">
        <v>0</v>
      </c>
      <c r="Q393">
        <f t="shared" si="745"/>
        <v>2</v>
      </c>
      <c r="R393">
        <f t="shared" si="746"/>
        <v>5</v>
      </c>
      <c r="S393" t="e">
        <f t="shared" ca="1" si="776"/>
        <v>#NAME?</v>
      </c>
      <c r="T393" t="e">
        <f t="shared" ca="1" si="747"/>
        <v>#NAME?</v>
      </c>
      <c r="U393" s="4">
        <f t="shared" si="748"/>
        <v>2023.4352662037054</v>
      </c>
      <c r="V393" s="4">
        <f t="shared" si="749"/>
        <v>67.447842206790185</v>
      </c>
      <c r="W393" s="4">
        <f t="shared" si="750"/>
        <v>1</v>
      </c>
      <c r="X393" s="4">
        <f t="shared" si="751"/>
        <v>0</v>
      </c>
      <c r="Y393" s="4">
        <f t="shared" si="752"/>
        <v>0</v>
      </c>
      <c r="Z393" s="4">
        <f t="shared" si="753"/>
        <v>0</v>
      </c>
      <c r="AA393" s="4">
        <f t="shared" si="754"/>
        <v>0</v>
      </c>
      <c r="AB393" s="4">
        <f t="shared" si="755"/>
        <v>0</v>
      </c>
      <c r="AC393" s="4"/>
      <c r="AD393" s="4">
        <f t="shared" si="756"/>
        <v>1</v>
      </c>
      <c r="AE393" s="4" t="b">
        <f t="shared" si="757"/>
        <v>0</v>
      </c>
      <c r="AF393" s="4" t="b">
        <f t="shared" si="758"/>
        <v>0</v>
      </c>
      <c r="AG393" t="b">
        <f t="shared" si="759"/>
        <v>0</v>
      </c>
      <c r="AH393" t="b">
        <f t="shared" si="760"/>
        <v>0</v>
      </c>
      <c r="AI393" t="b">
        <f t="shared" si="761"/>
        <v>0</v>
      </c>
      <c r="AJ393" t="b">
        <f t="shared" si="762"/>
        <v>0</v>
      </c>
      <c r="AK393" t="b">
        <f t="shared" si="763"/>
        <v>0</v>
      </c>
      <c r="AL393" t="b">
        <f t="shared" si="764"/>
        <v>0</v>
      </c>
      <c r="AM393" t="b">
        <f t="shared" si="765"/>
        <v>0</v>
      </c>
      <c r="AN393" t="b">
        <f t="shared" si="766"/>
        <v>0</v>
      </c>
      <c r="AO393" t="b">
        <f t="shared" si="767"/>
        <v>0</v>
      </c>
      <c r="AP393" t="b">
        <f t="shared" si="768"/>
        <v>0</v>
      </c>
      <c r="AQ393" t="b">
        <f t="shared" si="769"/>
        <v>0</v>
      </c>
      <c r="AR393" t="b">
        <f t="shared" si="770"/>
        <v>0</v>
      </c>
      <c r="AS393" t="b">
        <f t="shared" si="771"/>
        <v>0</v>
      </c>
      <c r="AT393" t="b">
        <f t="shared" si="772"/>
        <v>0</v>
      </c>
      <c r="AU393" t="b">
        <f t="shared" si="773"/>
        <v>0</v>
      </c>
      <c r="AV393" t="b">
        <f t="shared" si="774"/>
        <v>0</v>
      </c>
      <c r="AW393" t="b">
        <f t="shared" si="775"/>
        <v>0</v>
      </c>
      <c r="AX393" t="b">
        <f t="shared" si="777"/>
        <v>0</v>
      </c>
      <c r="AY393" t="b">
        <f t="shared" si="778"/>
        <v>0</v>
      </c>
      <c r="AZ393">
        <f t="shared" si="779"/>
        <v>1</v>
      </c>
      <c r="BA393" t="b">
        <f t="shared" si="780"/>
        <v>0</v>
      </c>
      <c r="BB393" t="b">
        <f t="shared" si="781"/>
        <v>0</v>
      </c>
      <c r="BC393" t="b">
        <f t="shared" si="782"/>
        <v>0</v>
      </c>
      <c r="BD393" t="b">
        <f t="shared" si="783"/>
        <v>0</v>
      </c>
      <c r="BE393" t="b">
        <f t="shared" si="784"/>
        <v>0</v>
      </c>
      <c r="BF393" t="b">
        <f t="shared" si="785"/>
        <v>0</v>
      </c>
      <c r="BG393" t="b">
        <f t="shared" si="786"/>
        <v>0</v>
      </c>
      <c r="BH393" t="b">
        <f t="shared" si="787"/>
        <v>0</v>
      </c>
      <c r="BI393">
        <f t="shared" si="788"/>
        <v>1</v>
      </c>
      <c r="BJ393" t="b">
        <f t="shared" si="789"/>
        <v>0</v>
      </c>
      <c r="BK393" t="b">
        <f t="shared" si="790"/>
        <v>0</v>
      </c>
      <c r="BL393" t="b">
        <f t="shared" si="791"/>
        <v>0</v>
      </c>
      <c r="BM393" t="b">
        <f t="shared" si="792"/>
        <v>0</v>
      </c>
      <c r="BN393" t="b">
        <f t="shared" si="793"/>
        <v>0</v>
      </c>
      <c r="BO393" t="b">
        <f t="shared" si="794"/>
        <v>0</v>
      </c>
      <c r="BP393" t="b">
        <f t="shared" si="795"/>
        <v>0</v>
      </c>
      <c r="BQ393" t="b">
        <f t="shared" si="796"/>
        <v>0</v>
      </c>
      <c r="BR393">
        <f t="shared" si="797"/>
        <v>1</v>
      </c>
      <c r="BS393" t="b">
        <f t="shared" si="798"/>
        <v>0</v>
      </c>
      <c r="BT393" t="b">
        <f t="shared" si="799"/>
        <v>0</v>
      </c>
      <c r="BU393" t="b">
        <f t="shared" si="800"/>
        <v>0</v>
      </c>
      <c r="BV393" t="b">
        <f t="shared" si="801"/>
        <v>0</v>
      </c>
      <c r="BW393" t="b">
        <f t="shared" si="802"/>
        <v>0</v>
      </c>
      <c r="BX393" t="b">
        <f t="shared" si="803"/>
        <v>0</v>
      </c>
      <c r="BY393" t="b">
        <f t="shared" si="804"/>
        <v>0</v>
      </c>
      <c r="BZ393" t="b">
        <f t="shared" si="805"/>
        <v>0</v>
      </c>
      <c r="CA393" t="b">
        <f t="shared" si="806"/>
        <v>0</v>
      </c>
      <c r="CB393" t="b">
        <f t="shared" si="807"/>
        <v>0</v>
      </c>
      <c r="CC393" t="b">
        <f t="shared" si="808"/>
        <v>0</v>
      </c>
      <c r="CD393" t="b">
        <f t="shared" si="809"/>
        <v>0</v>
      </c>
      <c r="CE393">
        <f t="shared" si="810"/>
        <v>1</v>
      </c>
      <c r="CF393" t="b">
        <f t="shared" si="811"/>
        <v>0</v>
      </c>
      <c r="CG393" t="b">
        <f t="shared" si="812"/>
        <v>0</v>
      </c>
      <c r="CH393" t="b">
        <f t="shared" si="813"/>
        <v>0</v>
      </c>
      <c r="CI393" t="b">
        <f t="shared" si="814"/>
        <v>0</v>
      </c>
      <c r="CJ393" t="b">
        <f t="shared" si="815"/>
        <v>0</v>
      </c>
      <c r="CK393" t="b">
        <f t="shared" si="816"/>
        <v>0</v>
      </c>
      <c r="CL393" t="b">
        <f t="shared" si="817"/>
        <v>0</v>
      </c>
      <c r="CM393">
        <f t="shared" si="818"/>
        <v>1</v>
      </c>
      <c r="CN393" t="b">
        <f t="shared" si="819"/>
        <v>0</v>
      </c>
      <c r="CO393" t="b">
        <f t="shared" si="820"/>
        <v>0</v>
      </c>
      <c r="CP393" t="b">
        <f t="shared" si="821"/>
        <v>0</v>
      </c>
      <c r="CQ393" t="b">
        <f t="shared" si="822"/>
        <v>0</v>
      </c>
      <c r="CR393" t="b">
        <f t="shared" si="823"/>
        <v>0</v>
      </c>
      <c r="CS393" t="b">
        <f t="shared" si="824"/>
        <v>0</v>
      </c>
      <c r="CT393" t="b">
        <f t="shared" si="825"/>
        <v>0</v>
      </c>
      <c r="CU393" t="b">
        <f t="shared" si="826"/>
        <v>0</v>
      </c>
      <c r="CV393" t="b">
        <f t="shared" si="827"/>
        <v>0</v>
      </c>
      <c r="CW393" t="b">
        <f t="shared" si="828"/>
        <v>0</v>
      </c>
      <c r="CX393" t="b">
        <f t="shared" si="829"/>
        <v>0</v>
      </c>
      <c r="CY393" t="b">
        <f t="shared" si="830"/>
        <v>0</v>
      </c>
      <c r="CZ393" t="b">
        <f t="shared" si="831"/>
        <v>0</v>
      </c>
      <c r="DA393">
        <f t="shared" si="832"/>
        <v>1</v>
      </c>
      <c r="DB393">
        <f t="shared" si="833"/>
        <v>1</v>
      </c>
      <c r="DC393" t="b">
        <f t="shared" si="834"/>
        <v>0</v>
      </c>
      <c r="DD393" t="b">
        <f t="shared" si="835"/>
        <v>0</v>
      </c>
      <c r="DE393" t="b">
        <f t="shared" si="836"/>
        <v>0</v>
      </c>
      <c r="DF393" t="b">
        <f t="shared" si="837"/>
        <v>0</v>
      </c>
      <c r="DG393" t="b">
        <f t="shared" si="838"/>
        <v>0</v>
      </c>
      <c r="DH393" t="b">
        <f t="shared" si="839"/>
        <v>0</v>
      </c>
      <c r="DI393" t="b">
        <f t="shared" si="840"/>
        <v>0</v>
      </c>
      <c r="DJ393" t="b">
        <f t="shared" si="841"/>
        <v>0</v>
      </c>
      <c r="DK393" t="b">
        <f t="shared" si="842"/>
        <v>0</v>
      </c>
      <c r="DL393" t="b">
        <f t="shared" si="843"/>
        <v>0</v>
      </c>
      <c r="DM393" t="b">
        <f t="shared" si="844"/>
        <v>0</v>
      </c>
      <c r="DN393" t="b">
        <f t="shared" si="845"/>
        <v>0</v>
      </c>
      <c r="DO393" t="b">
        <f t="shared" si="846"/>
        <v>0</v>
      </c>
      <c r="DP393" t="b">
        <f t="shared" si="847"/>
        <v>0</v>
      </c>
      <c r="DQ393" t="b">
        <f t="shared" si="848"/>
        <v>0</v>
      </c>
      <c r="DR393" t="b">
        <f t="shared" si="849"/>
        <v>0</v>
      </c>
      <c r="DS393">
        <f t="shared" si="850"/>
        <v>1</v>
      </c>
      <c r="DT393" t="b">
        <f t="shared" si="851"/>
        <v>0</v>
      </c>
      <c r="DU393" t="b">
        <f t="shared" si="852"/>
        <v>0</v>
      </c>
      <c r="DV393" t="b">
        <f t="shared" si="853"/>
        <v>0</v>
      </c>
      <c r="DW393" t="b">
        <f t="shared" si="854"/>
        <v>0</v>
      </c>
      <c r="DX393" t="b">
        <f t="shared" si="855"/>
        <v>0</v>
      </c>
      <c r="DY393" t="b">
        <f t="shared" si="856"/>
        <v>0</v>
      </c>
      <c r="DZ393" t="b">
        <f t="shared" si="857"/>
        <v>0</v>
      </c>
      <c r="EA393" t="b">
        <f t="shared" si="858"/>
        <v>0</v>
      </c>
      <c r="EB393" t="b">
        <f t="shared" si="859"/>
        <v>0</v>
      </c>
      <c r="EC393" t="b">
        <f t="shared" si="860"/>
        <v>0</v>
      </c>
      <c r="ED393" t="b">
        <f t="shared" si="861"/>
        <v>0</v>
      </c>
      <c r="EE393" t="b">
        <f t="shared" si="862"/>
        <v>0</v>
      </c>
      <c r="EF393" t="b">
        <f t="shared" si="863"/>
        <v>0</v>
      </c>
      <c r="EG393" t="b">
        <f t="shared" si="864"/>
        <v>0</v>
      </c>
      <c r="EH393" t="b">
        <f t="shared" si="865"/>
        <v>0</v>
      </c>
      <c r="EI393">
        <f t="shared" si="866"/>
        <v>1</v>
      </c>
      <c r="EJ393" t="b">
        <f t="shared" si="867"/>
        <v>0</v>
      </c>
      <c r="EK393" t="b">
        <f t="shared" si="868"/>
        <v>0</v>
      </c>
    </row>
    <row r="394" spans="1:141">
      <c r="A394" t="s">
        <v>2032</v>
      </c>
      <c r="B394" t="s">
        <v>2032</v>
      </c>
      <c r="C394" t="s">
        <v>2033</v>
      </c>
      <c r="D394" s="1">
        <v>44186</v>
      </c>
      <c r="E394" s="2">
        <v>44250.068298611113</v>
      </c>
      <c r="F394" s="2">
        <v>44525.922361111108</v>
      </c>
      <c r="G394">
        <v>1436435</v>
      </c>
      <c r="H394" t="s">
        <v>2034</v>
      </c>
      <c r="I394" s="10" t="s">
        <v>2035</v>
      </c>
      <c r="J394" t="s">
        <v>2036</v>
      </c>
      <c r="K394" s="8" t="b">
        <v>1</v>
      </c>
      <c r="L394" s="10" t="b">
        <v>0</v>
      </c>
      <c r="M394" s="12" t="b">
        <v>0</v>
      </c>
      <c r="N394" t="b">
        <v>0</v>
      </c>
      <c r="O394" t="b">
        <v>0</v>
      </c>
      <c r="P394" t="b">
        <v>0</v>
      </c>
      <c r="Q394">
        <f t="shared" si="745"/>
        <v>2</v>
      </c>
      <c r="R394">
        <f t="shared" si="746"/>
        <v>12</v>
      </c>
      <c r="S394" t="e">
        <f t="shared" ca="1" si="776"/>
        <v>#NAME?</v>
      </c>
      <c r="T394" t="e">
        <f t="shared" ca="1" si="747"/>
        <v>#NAME?</v>
      </c>
      <c r="U394" s="4">
        <f t="shared" si="748"/>
        <v>64.068298611113278</v>
      </c>
      <c r="V394" s="4">
        <f t="shared" si="749"/>
        <v>2.135609953703776</v>
      </c>
      <c r="W394" s="4">
        <f t="shared" si="750"/>
        <v>1</v>
      </c>
      <c r="X394" s="4">
        <f t="shared" si="751"/>
        <v>0</v>
      </c>
      <c r="Y394" s="4">
        <f t="shared" si="752"/>
        <v>0</v>
      </c>
      <c r="Z394" s="4">
        <f t="shared" si="753"/>
        <v>0</v>
      </c>
      <c r="AA394" s="4">
        <f t="shared" si="754"/>
        <v>0</v>
      </c>
      <c r="AB394" s="4">
        <f t="shared" si="755"/>
        <v>0</v>
      </c>
      <c r="AC394" s="4"/>
      <c r="AD394" s="4" t="b">
        <f t="shared" si="756"/>
        <v>0</v>
      </c>
      <c r="AE394" s="4" t="b">
        <f t="shared" si="757"/>
        <v>0</v>
      </c>
      <c r="AF394" s="4" t="b">
        <f t="shared" si="758"/>
        <v>0</v>
      </c>
      <c r="AG394" t="b">
        <f t="shared" si="759"/>
        <v>0</v>
      </c>
      <c r="AH394" t="b">
        <f t="shared" si="760"/>
        <v>0</v>
      </c>
      <c r="AI394" t="b">
        <f t="shared" si="761"/>
        <v>0</v>
      </c>
      <c r="AJ394" t="b">
        <f t="shared" si="762"/>
        <v>0</v>
      </c>
      <c r="AK394" t="b">
        <f t="shared" si="763"/>
        <v>0</v>
      </c>
      <c r="AL394" t="b">
        <f t="shared" si="764"/>
        <v>0</v>
      </c>
      <c r="AM394" t="b">
        <f t="shared" si="765"/>
        <v>0</v>
      </c>
      <c r="AN394" t="b">
        <f t="shared" si="766"/>
        <v>0</v>
      </c>
      <c r="AO394" t="b">
        <f t="shared" si="767"/>
        <v>0</v>
      </c>
      <c r="AP394" t="b">
        <f t="shared" si="768"/>
        <v>0</v>
      </c>
      <c r="AQ394" t="b">
        <f t="shared" si="769"/>
        <v>0</v>
      </c>
      <c r="AR394" t="b">
        <f t="shared" si="770"/>
        <v>0</v>
      </c>
      <c r="AS394" t="b">
        <f t="shared" si="771"/>
        <v>0</v>
      </c>
      <c r="AT394" t="b">
        <f t="shared" si="772"/>
        <v>0</v>
      </c>
      <c r="AU394" t="b">
        <f t="shared" si="773"/>
        <v>0</v>
      </c>
      <c r="AV394" t="b">
        <f t="shared" si="774"/>
        <v>0</v>
      </c>
      <c r="AW394" t="b">
        <f t="shared" si="775"/>
        <v>0</v>
      </c>
      <c r="AX394" t="b">
        <f t="shared" si="777"/>
        <v>0</v>
      </c>
      <c r="AY394" t="b">
        <f t="shared" si="778"/>
        <v>0</v>
      </c>
      <c r="AZ394">
        <f t="shared" si="779"/>
        <v>1</v>
      </c>
      <c r="BA394" t="b">
        <f t="shared" si="780"/>
        <v>0</v>
      </c>
      <c r="BB394" t="b">
        <f t="shared" si="781"/>
        <v>0</v>
      </c>
      <c r="BC394" t="b">
        <f t="shared" si="782"/>
        <v>0</v>
      </c>
      <c r="BD394" t="b">
        <f t="shared" si="783"/>
        <v>0</v>
      </c>
      <c r="BE394" t="b">
        <f t="shared" si="784"/>
        <v>0</v>
      </c>
      <c r="BF394" t="b">
        <f t="shared" si="785"/>
        <v>0</v>
      </c>
      <c r="BG394" t="b">
        <f t="shared" si="786"/>
        <v>0</v>
      </c>
      <c r="BH394" t="b">
        <f t="shared" si="787"/>
        <v>0</v>
      </c>
      <c r="BI394">
        <f t="shared" si="788"/>
        <v>1</v>
      </c>
      <c r="BJ394" t="b">
        <f t="shared" si="789"/>
        <v>0</v>
      </c>
      <c r="BK394" t="b">
        <f t="shared" si="790"/>
        <v>0</v>
      </c>
      <c r="BL394" t="b">
        <f t="shared" si="791"/>
        <v>0</v>
      </c>
      <c r="BM394" t="b">
        <f t="shared" si="792"/>
        <v>0</v>
      </c>
      <c r="BN394" t="b">
        <f t="shared" si="793"/>
        <v>0</v>
      </c>
      <c r="BO394" t="b">
        <f t="shared" si="794"/>
        <v>0</v>
      </c>
      <c r="BP394" t="b">
        <f t="shared" si="795"/>
        <v>0</v>
      </c>
      <c r="BQ394" t="b">
        <f t="shared" si="796"/>
        <v>0</v>
      </c>
      <c r="BR394" t="b">
        <f t="shared" si="797"/>
        <v>0</v>
      </c>
      <c r="BS394" t="b">
        <f t="shared" si="798"/>
        <v>0</v>
      </c>
      <c r="BT394" t="b">
        <f t="shared" si="799"/>
        <v>0</v>
      </c>
      <c r="BU394" t="b">
        <f t="shared" si="800"/>
        <v>0</v>
      </c>
      <c r="BV394" t="b">
        <f t="shared" si="801"/>
        <v>0</v>
      </c>
      <c r="BW394" t="b">
        <f t="shared" si="802"/>
        <v>0</v>
      </c>
      <c r="BX394" t="b">
        <f t="shared" si="803"/>
        <v>0</v>
      </c>
      <c r="BY394" t="b">
        <f t="shared" si="804"/>
        <v>0</v>
      </c>
      <c r="BZ394" t="b">
        <f t="shared" si="805"/>
        <v>0</v>
      </c>
      <c r="CA394" t="b">
        <f t="shared" si="806"/>
        <v>0</v>
      </c>
      <c r="CB394" t="b">
        <f t="shared" si="807"/>
        <v>0</v>
      </c>
      <c r="CC394" t="b">
        <f t="shared" si="808"/>
        <v>0</v>
      </c>
      <c r="CD394" t="b">
        <f t="shared" si="809"/>
        <v>0</v>
      </c>
      <c r="CE394">
        <f t="shared" si="810"/>
        <v>1</v>
      </c>
      <c r="CF394" t="b">
        <f t="shared" si="811"/>
        <v>0</v>
      </c>
      <c r="CG394" t="b">
        <f t="shared" si="812"/>
        <v>0</v>
      </c>
      <c r="CH394" t="b">
        <f t="shared" si="813"/>
        <v>0</v>
      </c>
      <c r="CI394" t="b">
        <f t="shared" si="814"/>
        <v>0</v>
      </c>
      <c r="CJ394" t="b">
        <f t="shared" si="815"/>
        <v>0</v>
      </c>
      <c r="CK394" t="b">
        <f t="shared" si="816"/>
        <v>0</v>
      </c>
      <c r="CL394" t="b">
        <f t="shared" si="817"/>
        <v>0</v>
      </c>
      <c r="CM394">
        <f t="shared" si="818"/>
        <v>1</v>
      </c>
      <c r="CN394" t="b">
        <f t="shared" si="819"/>
        <v>0</v>
      </c>
      <c r="CO394" t="b">
        <f t="shared" si="820"/>
        <v>0</v>
      </c>
      <c r="CP394" t="b">
        <f t="shared" si="821"/>
        <v>0</v>
      </c>
      <c r="CQ394" t="b">
        <f t="shared" si="822"/>
        <v>0</v>
      </c>
      <c r="CR394" t="b">
        <f t="shared" si="823"/>
        <v>0</v>
      </c>
      <c r="CS394" t="b">
        <f t="shared" si="824"/>
        <v>0</v>
      </c>
      <c r="CT394" t="b">
        <f t="shared" si="825"/>
        <v>0</v>
      </c>
      <c r="CU394" t="b">
        <f t="shared" si="826"/>
        <v>0</v>
      </c>
      <c r="CV394">
        <f t="shared" si="827"/>
        <v>1</v>
      </c>
      <c r="CW394" t="b">
        <f t="shared" si="828"/>
        <v>0</v>
      </c>
      <c r="CX394" t="b">
        <f t="shared" si="829"/>
        <v>0</v>
      </c>
      <c r="CY394" t="b">
        <f t="shared" si="830"/>
        <v>0</v>
      </c>
      <c r="CZ394" t="b">
        <f t="shared" si="831"/>
        <v>0</v>
      </c>
      <c r="DA394">
        <f t="shared" si="832"/>
        <v>1</v>
      </c>
      <c r="DB394">
        <f t="shared" si="833"/>
        <v>1</v>
      </c>
      <c r="DC394" t="b">
        <f t="shared" si="834"/>
        <v>0</v>
      </c>
      <c r="DD394" t="b">
        <f t="shared" si="835"/>
        <v>0</v>
      </c>
      <c r="DE394" t="b">
        <f t="shared" si="836"/>
        <v>0</v>
      </c>
      <c r="DF394" t="b">
        <f t="shared" si="837"/>
        <v>0</v>
      </c>
      <c r="DG394" t="b">
        <f t="shared" si="838"/>
        <v>0</v>
      </c>
      <c r="DH394" t="b">
        <f t="shared" si="839"/>
        <v>0</v>
      </c>
      <c r="DI394" t="b">
        <f t="shared" si="840"/>
        <v>0</v>
      </c>
      <c r="DJ394" t="b">
        <f t="shared" si="841"/>
        <v>0</v>
      </c>
      <c r="DK394" t="b">
        <f t="shared" si="842"/>
        <v>0</v>
      </c>
      <c r="DL394" t="b">
        <f t="shared" si="843"/>
        <v>0</v>
      </c>
      <c r="DM394" t="b">
        <f t="shared" si="844"/>
        <v>0</v>
      </c>
      <c r="DN394" t="b">
        <f t="shared" si="845"/>
        <v>0</v>
      </c>
      <c r="DO394" t="b">
        <f t="shared" si="846"/>
        <v>0</v>
      </c>
      <c r="DP394" t="b">
        <f t="shared" si="847"/>
        <v>0</v>
      </c>
      <c r="DQ394" t="b">
        <f t="shared" si="848"/>
        <v>0</v>
      </c>
      <c r="DR394" t="b">
        <f t="shared" si="849"/>
        <v>0</v>
      </c>
      <c r="DS394" t="b">
        <f t="shared" si="850"/>
        <v>0</v>
      </c>
      <c r="DT394" t="b">
        <f t="shared" si="851"/>
        <v>0</v>
      </c>
      <c r="DU394" t="b">
        <f t="shared" si="852"/>
        <v>0</v>
      </c>
      <c r="DV394" t="b">
        <f t="shared" si="853"/>
        <v>0</v>
      </c>
      <c r="DW394" t="b">
        <f t="shared" si="854"/>
        <v>0</v>
      </c>
      <c r="DX394" t="b">
        <f t="shared" si="855"/>
        <v>0</v>
      </c>
      <c r="DY394" t="b">
        <f t="shared" si="856"/>
        <v>0</v>
      </c>
      <c r="DZ394" t="b">
        <f t="shared" si="857"/>
        <v>0</v>
      </c>
      <c r="EA394" t="b">
        <f t="shared" si="858"/>
        <v>0</v>
      </c>
      <c r="EB394" t="b">
        <f t="shared" si="859"/>
        <v>0</v>
      </c>
      <c r="EC394" t="b">
        <f t="shared" si="860"/>
        <v>0</v>
      </c>
      <c r="ED394" t="b">
        <f t="shared" si="861"/>
        <v>0</v>
      </c>
      <c r="EE394" t="b">
        <f t="shared" si="862"/>
        <v>0</v>
      </c>
      <c r="EF394">
        <f t="shared" si="863"/>
        <v>1</v>
      </c>
      <c r="EG394" t="b">
        <f t="shared" si="864"/>
        <v>0</v>
      </c>
      <c r="EH394" t="b">
        <f t="shared" si="865"/>
        <v>0</v>
      </c>
      <c r="EI394" t="b">
        <f t="shared" si="866"/>
        <v>0</v>
      </c>
      <c r="EJ394" t="b">
        <f t="shared" si="867"/>
        <v>0</v>
      </c>
      <c r="EK394" t="b">
        <f t="shared" si="868"/>
        <v>0</v>
      </c>
    </row>
    <row r="395" spans="1:141">
      <c r="A395" t="s">
        <v>2037</v>
      </c>
      <c r="B395" t="s">
        <v>2037</v>
      </c>
      <c r="C395" t="s">
        <v>2038</v>
      </c>
      <c r="D395" s="1">
        <v>41214</v>
      </c>
      <c r="E395" s="2">
        <v>43661.434108796297</v>
      </c>
      <c r="F395" s="2">
        <v>43661.434108796297</v>
      </c>
      <c r="G395">
        <v>49038354</v>
      </c>
      <c r="H395" t="s">
        <v>2039</v>
      </c>
      <c r="I395" s="10" t="s">
        <v>2040</v>
      </c>
      <c r="J395" t="s">
        <v>147</v>
      </c>
      <c r="K395" s="8" t="b">
        <v>1</v>
      </c>
      <c r="L395" s="10" t="b">
        <v>0</v>
      </c>
      <c r="M395" s="12" t="b">
        <v>0</v>
      </c>
      <c r="N395" t="b">
        <v>0</v>
      </c>
      <c r="O395" t="b">
        <v>0</v>
      </c>
      <c r="P395" t="b">
        <v>0</v>
      </c>
      <c r="Q395">
        <f t="shared" si="745"/>
        <v>5</v>
      </c>
      <c r="R395">
        <f t="shared" si="746"/>
        <v>11</v>
      </c>
      <c r="S395" t="e">
        <f t="shared" ca="1" si="776"/>
        <v>#NAME?</v>
      </c>
      <c r="T395" t="e">
        <f t="shared" ca="1" si="747"/>
        <v>#NAME?</v>
      </c>
      <c r="U395" s="4">
        <f t="shared" si="748"/>
        <v>2447.4341087962966</v>
      </c>
      <c r="V395" s="4">
        <f t="shared" si="749"/>
        <v>81.581136959876559</v>
      </c>
      <c r="W395" s="4">
        <f t="shared" si="750"/>
        <v>1</v>
      </c>
      <c r="X395" s="4">
        <f t="shared" si="751"/>
        <v>0</v>
      </c>
      <c r="Y395" s="4">
        <f t="shared" si="752"/>
        <v>0</v>
      </c>
      <c r="Z395" s="4">
        <f t="shared" si="753"/>
        <v>0</v>
      </c>
      <c r="AA395" s="4">
        <f t="shared" si="754"/>
        <v>0</v>
      </c>
      <c r="AB395" s="4">
        <f t="shared" si="755"/>
        <v>0</v>
      </c>
      <c r="AC395" s="4"/>
      <c r="AD395" s="4" t="b">
        <f t="shared" si="756"/>
        <v>0</v>
      </c>
      <c r="AE395" s="4" t="b">
        <f t="shared" si="757"/>
        <v>0</v>
      </c>
      <c r="AF395" s="4" t="b">
        <f t="shared" si="758"/>
        <v>0</v>
      </c>
      <c r="AG395" t="b">
        <f t="shared" si="759"/>
        <v>0</v>
      </c>
      <c r="AH395" t="b">
        <f t="shared" si="760"/>
        <v>0</v>
      </c>
      <c r="AI395" t="b">
        <f t="shared" si="761"/>
        <v>0</v>
      </c>
      <c r="AJ395" t="b">
        <f t="shared" si="762"/>
        <v>0</v>
      </c>
      <c r="AK395" t="b">
        <f t="shared" si="763"/>
        <v>0</v>
      </c>
      <c r="AL395" t="b">
        <f t="shared" si="764"/>
        <v>0</v>
      </c>
      <c r="AM395" t="b">
        <f t="shared" si="765"/>
        <v>0</v>
      </c>
      <c r="AN395" t="b">
        <f t="shared" si="766"/>
        <v>0</v>
      </c>
      <c r="AO395" t="b">
        <f t="shared" si="767"/>
        <v>0</v>
      </c>
      <c r="AP395" t="b">
        <f t="shared" si="768"/>
        <v>0</v>
      </c>
      <c r="AQ395" t="b">
        <f t="shared" si="769"/>
        <v>0</v>
      </c>
      <c r="AR395" t="b">
        <f t="shared" si="770"/>
        <v>0</v>
      </c>
      <c r="AS395" t="b">
        <f t="shared" si="771"/>
        <v>0</v>
      </c>
      <c r="AT395" t="b">
        <f t="shared" si="772"/>
        <v>0</v>
      </c>
      <c r="AU395" t="b">
        <f t="shared" si="773"/>
        <v>0</v>
      </c>
      <c r="AV395" t="b">
        <f t="shared" si="774"/>
        <v>0</v>
      </c>
      <c r="AW395" t="b">
        <f t="shared" si="775"/>
        <v>0</v>
      </c>
      <c r="AX395" t="b">
        <f t="shared" si="777"/>
        <v>0</v>
      </c>
      <c r="AY395" t="b">
        <f t="shared" si="778"/>
        <v>0</v>
      </c>
      <c r="AZ395" t="b">
        <f t="shared" si="779"/>
        <v>0</v>
      </c>
      <c r="BA395" t="b">
        <f t="shared" si="780"/>
        <v>0</v>
      </c>
      <c r="BB395" t="b">
        <f t="shared" si="781"/>
        <v>0</v>
      </c>
      <c r="BC395" t="b">
        <f t="shared" si="782"/>
        <v>0</v>
      </c>
      <c r="BD395" t="b">
        <f t="shared" si="783"/>
        <v>0</v>
      </c>
      <c r="BE395" t="b">
        <f t="shared" si="784"/>
        <v>0</v>
      </c>
      <c r="BF395" t="b">
        <f t="shared" si="785"/>
        <v>0</v>
      </c>
      <c r="BG395" t="b">
        <f t="shared" si="786"/>
        <v>0</v>
      </c>
      <c r="BH395" t="b">
        <f t="shared" si="787"/>
        <v>0</v>
      </c>
      <c r="BI395">
        <f t="shared" si="788"/>
        <v>1</v>
      </c>
      <c r="BJ395" t="b">
        <f t="shared" si="789"/>
        <v>0</v>
      </c>
      <c r="BK395" t="b">
        <f t="shared" si="790"/>
        <v>0</v>
      </c>
      <c r="BL395" t="b">
        <f t="shared" si="791"/>
        <v>0</v>
      </c>
      <c r="BM395" t="b">
        <f t="shared" si="792"/>
        <v>0</v>
      </c>
      <c r="BN395" t="b">
        <f t="shared" si="793"/>
        <v>0</v>
      </c>
      <c r="BO395" t="b">
        <f t="shared" si="794"/>
        <v>0</v>
      </c>
      <c r="BP395" t="b">
        <f t="shared" si="795"/>
        <v>0</v>
      </c>
      <c r="BQ395" t="b">
        <f t="shared" si="796"/>
        <v>0</v>
      </c>
      <c r="BR395" t="b">
        <f t="shared" si="797"/>
        <v>0</v>
      </c>
      <c r="BS395" t="b">
        <f t="shared" si="798"/>
        <v>0</v>
      </c>
      <c r="BT395" t="b">
        <f t="shared" si="799"/>
        <v>0</v>
      </c>
      <c r="BU395" t="b">
        <f t="shared" si="800"/>
        <v>0</v>
      </c>
      <c r="BV395" t="b">
        <f t="shared" si="801"/>
        <v>0</v>
      </c>
      <c r="BW395" t="b">
        <f t="shared" si="802"/>
        <v>0</v>
      </c>
      <c r="BX395" t="b">
        <f t="shared" si="803"/>
        <v>0</v>
      </c>
      <c r="BY395" t="b">
        <f t="shared" si="804"/>
        <v>0</v>
      </c>
      <c r="BZ395" t="b">
        <f t="shared" si="805"/>
        <v>0</v>
      </c>
      <c r="CA395" t="b">
        <f t="shared" si="806"/>
        <v>0</v>
      </c>
      <c r="CB395" t="b">
        <f t="shared" si="807"/>
        <v>0</v>
      </c>
      <c r="CC395" t="b">
        <f t="shared" si="808"/>
        <v>0</v>
      </c>
      <c r="CD395" t="b">
        <f t="shared" si="809"/>
        <v>0</v>
      </c>
      <c r="CE395" t="b">
        <f t="shared" si="810"/>
        <v>0</v>
      </c>
      <c r="CF395" t="b">
        <f t="shared" si="811"/>
        <v>0</v>
      </c>
      <c r="CG395" t="b">
        <f t="shared" si="812"/>
        <v>0</v>
      </c>
      <c r="CH395" t="b">
        <f t="shared" si="813"/>
        <v>0</v>
      </c>
      <c r="CI395" t="b">
        <f t="shared" si="814"/>
        <v>0</v>
      </c>
      <c r="CJ395" t="b">
        <f t="shared" si="815"/>
        <v>0</v>
      </c>
      <c r="CK395" t="b">
        <f t="shared" si="816"/>
        <v>0</v>
      </c>
      <c r="CL395" t="b">
        <f t="shared" si="817"/>
        <v>0</v>
      </c>
      <c r="CM395" t="b">
        <f t="shared" si="818"/>
        <v>0</v>
      </c>
      <c r="CN395" t="b">
        <f t="shared" si="819"/>
        <v>0</v>
      </c>
      <c r="CO395" t="b">
        <f t="shared" si="820"/>
        <v>0</v>
      </c>
      <c r="CP395" t="b">
        <f t="shared" si="821"/>
        <v>0</v>
      </c>
      <c r="CQ395" t="b">
        <f t="shared" si="822"/>
        <v>0</v>
      </c>
      <c r="CR395" t="b">
        <f t="shared" si="823"/>
        <v>0</v>
      </c>
      <c r="CS395" t="b">
        <f t="shared" si="824"/>
        <v>0</v>
      </c>
      <c r="CT395" t="b">
        <f t="shared" si="825"/>
        <v>0</v>
      </c>
      <c r="CU395" t="b">
        <f t="shared" si="826"/>
        <v>0</v>
      </c>
      <c r="CV395">
        <f t="shared" si="827"/>
        <v>1</v>
      </c>
      <c r="CW395" t="b">
        <f t="shared" si="828"/>
        <v>0</v>
      </c>
      <c r="CX395" t="b">
        <f t="shared" si="829"/>
        <v>0</v>
      </c>
      <c r="CY395" t="b">
        <f t="shared" si="830"/>
        <v>0</v>
      </c>
      <c r="CZ395" t="b">
        <f t="shared" si="831"/>
        <v>0</v>
      </c>
      <c r="DA395" t="b">
        <f t="shared" si="832"/>
        <v>0</v>
      </c>
      <c r="DB395" t="b">
        <f t="shared" si="833"/>
        <v>0</v>
      </c>
      <c r="DC395" t="b">
        <f t="shared" si="834"/>
        <v>0</v>
      </c>
      <c r="DD395" t="b">
        <f t="shared" si="835"/>
        <v>0</v>
      </c>
      <c r="DE395" t="b">
        <f t="shared" si="836"/>
        <v>0</v>
      </c>
      <c r="DF395" t="b">
        <f t="shared" si="837"/>
        <v>0</v>
      </c>
      <c r="DG395" t="b">
        <f t="shared" si="838"/>
        <v>0</v>
      </c>
      <c r="DH395" t="b">
        <f t="shared" si="839"/>
        <v>0</v>
      </c>
      <c r="DI395" t="b">
        <f t="shared" si="840"/>
        <v>0</v>
      </c>
      <c r="DJ395" t="b">
        <f t="shared" si="841"/>
        <v>0</v>
      </c>
      <c r="DK395" t="b">
        <f t="shared" si="842"/>
        <v>0</v>
      </c>
      <c r="DL395" t="b">
        <f t="shared" si="843"/>
        <v>0</v>
      </c>
      <c r="DM395" t="b">
        <f t="shared" si="844"/>
        <v>0</v>
      </c>
      <c r="DN395" t="b">
        <f t="shared" si="845"/>
        <v>0</v>
      </c>
      <c r="DO395" t="b">
        <f t="shared" si="846"/>
        <v>0</v>
      </c>
      <c r="DP395" t="b">
        <f t="shared" si="847"/>
        <v>0</v>
      </c>
      <c r="DQ395" t="b">
        <f t="shared" si="848"/>
        <v>0</v>
      </c>
      <c r="DR395" t="b">
        <f t="shared" si="849"/>
        <v>0</v>
      </c>
      <c r="DS395" t="b">
        <f t="shared" si="850"/>
        <v>0</v>
      </c>
      <c r="DT395" t="b">
        <f t="shared" si="851"/>
        <v>0</v>
      </c>
      <c r="DU395" t="b">
        <f t="shared" si="852"/>
        <v>0</v>
      </c>
      <c r="DV395" t="b">
        <f t="shared" si="853"/>
        <v>0</v>
      </c>
      <c r="DW395" t="b">
        <f t="shared" si="854"/>
        <v>0</v>
      </c>
      <c r="DX395" t="b">
        <f t="shared" si="855"/>
        <v>0</v>
      </c>
      <c r="DY395" t="b">
        <f t="shared" si="856"/>
        <v>0</v>
      </c>
      <c r="DZ395" t="b">
        <f t="shared" si="857"/>
        <v>0</v>
      </c>
      <c r="EA395" t="b">
        <f t="shared" si="858"/>
        <v>0</v>
      </c>
      <c r="EB395" t="b">
        <f t="shared" si="859"/>
        <v>0</v>
      </c>
      <c r="EC395" t="b">
        <f t="shared" si="860"/>
        <v>0</v>
      </c>
      <c r="ED395" t="b">
        <f t="shared" si="861"/>
        <v>0</v>
      </c>
      <c r="EE395" t="b">
        <f t="shared" si="862"/>
        <v>0</v>
      </c>
      <c r="EF395" t="b">
        <f t="shared" si="863"/>
        <v>0</v>
      </c>
      <c r="EG395" t="b">
        <f t="shared" si="864"/>
        <v>0</v>
      </c>
      <c r="EH395" t="b">
        <f t="shared" si="865"/>
        <v>0</v>
      </c>
      <c r="EI395" t="b">
        <f t="shared" si="866"/>
        <v>0</v>
      </c>
      <c r="EJ395" t="b">
        <f t="shared" si="867"/>
        <v>0</v>
      </c>
      <c r="EK395" t="b">
        <f t="shared" si="868"/>
        <v>0</v>
      </c>
    </row>
    <row r="396" spans="1:141">
      <c r="A396" t="s">
        <v>2041</v>
      </c>
      <c r="B396" t="s">
        <v>2041</v>
      </c>
      <c r="C396" t="s">
        <v>2042</v>
      </c>
      <c r="D396" s="1">
        <v>42614</v>
      </c>
      <c r="E396" s="2">
        <v>42809.081296296295</v>
      </c>
      <c r="F396" s="2">
        <v>42809.081296296295</v>
      </c>
      <c r="G396">
        <v>33698126</v>
      </c>
      <c r="H396" t="s">
        <v>2043</v>
      </c>
      <c r="I396" s="10" t="s">
        <v>2044</v>
      </c>
      <c r="J396" t="s">
        <v>415</v>
      </c>
      <c r="K396" s="8" t="b">
        <v>1</v>
      </c>
      <c r="L396" s="10" t="b">
        <v>0</v>
      </c>
      <c r="M396" s="12" t="b">
        <v>0</v>
      </c>
      <c r="N396" t="b">
        <v>0</v>
      </c>
      <c r="O396" t="b">
        <v>1</v>
      </c>
      <c r="P396" t="b">
        <v>0</v>
      </c>
      <c r="Q396">
        <f t="shared" si="745"/>
        <v>5</v>
      </c>
      <c r="R396">
        <f t="shared" si="746"/>
        <v>9</v>
      </c>
      <c r="S396" t="e">
        <f t="shared" ca="1" si="776"/>
        <v>#NAME?</v>
      </c>
      <c r="T396" t="e">
        <f t="shared" ca="1" si="747"/>
        <v>#NAME?</v>
      </c>
      <c r="U396" s="4">
        <f t="shared" si="748"/>
        <v>195.08129629629548</v>
      </c>
      <c r="V396" s="4">
        <f t="shared" si="749"/>
        <v>6.5027098765431823</v>
      </c>
      <c r="W396" s="4">
        <f t="shared" si="750"/>
        <v>1</v>
      </c>
      <c r="X396" s="4">
        <f t="shared" si="751"/>
        <v>0</v>
      </c>
      <c r="Y396" s="4">
        <f t="shared" si="752"/>
        <v>0</v>
      </c>
      <c r="Z396" s="4">
        <f t="shared" si="753"/>
        <v>0</v>
      </c>
      <c r="AA396" s="4">
        <f t="shared" si="754"/>
        <v>1</v>
      </c>
      <c r="AB396" s="4">
        <f t="shared" si="755"/>
        <v>0</v>
      </c>
      <c r="AC396" s="4"/>
      <c r="AD396" s="4" t="b">
        <f t="shared" si="756"/>
        <v>0</v>
      </c>
      <c r="AE396" s="4" t="b">
        <f t="shared" si="757"/>
        <v>0</v>
      </c>
      <c r="AF396" s="4" t="b">
        <f t="shared" si="758"/>
        <v>0</v>
      </c>
      <c r="AG396" t="b">
        <f t="shared" si="759"/>
        <v>0</v>
      </c>
      <c r="AH396" t="b">
        <f t="shared" si="760"/>
        <v>0</v>
      </c>
      <c r="AI396" t="b">
        <f t="shared" si="761"/>
        <v>0</v>
      </c>
      <c r="AJ396" t="b">
        <f t="shared" si="762"/>
        <v>0</v>
      </c>
      <c r="AK396" t="b">
        <f t="shared" si="763"/>
        <v>0</v>
      </c>
      <c r="AL396" t="b">
        <f t="shared" si="764"/>
        <v>0</v>
      </c>
      <c r="AM396" t="b">
        <f t="shared" si="765"/>
        <v>0</v>
      </c>
      <c r="AN396" t="b">
        <f t="shared" si="766"/>
        <v>0</v>
      </c>
      <c r="AO396" t="b">
        <f t="shared" si="767"/>
        <v>0</v>
      </c>
      <c r="AP396" t="b">
        <f t="shared" si="768"/>
        <v>0</v>
      </c>
      <c r="AQ396" t="b">
        <f t="shared" si="769"/>
        <v>0</v>
      </c>
      <c r="AR396" t="b">
        <f t="shared" si="770"/>
        <v>0</v>
      </c>
      <c r="AS396" t="b">
        <f t="shared" si="771"/>
        <v>0</v>
      </c>
      <c r="AT396" t="b">
        <f t="shared" si="772"/>
        <v>0</v>
      </c>
      <c r="AU396" t="b">
        <f t="shared" si="773"/>
        <v>0</v>
      </c>
      <c r="AV396" t="b">
        <f t="shared" si="774"/>
        <v>0</v>
      </c>
      <c r="AW396" t="b">
        <f t="shared" si="775"/>
        <v>0</v>
      </c>
      <c r="AX396" t="b">
        <f t="shared" si="777"/>
        <v>0</v>
      </c>
      <c r="AY396" t="b">
        <f t="shared" si="778"/>
        <v>0</v>
      </c>
      <c r="AZ396" t="b">
        <f t="shared" si="779"/>
        <v>0</v>
      </c>
      <c r="BA396" t="b">
        <f t="shared" si="780"/>
        <v>0</v>
      </c>
      <c r="BB396" t="b">
        <f t="shared" si="781"/>
        <v>0</v>
      </c>
      <c r="BC396" t="b">
        <f t="shared" si="782"/>
        <v>0</v>
      </c>
      <c r="BD396" t="b">
        <f t="shared" si="783"/>
        <v>0</v>
      </c>
      <c r="BE396" t="b">
        <f t="shared" si="784"/>
        <v>0</v>
      </c>
      <c r="BF396" t="b">
        <f t="shared" si="785"/>
        <v>0</v>
      </c>
      <c r="BG396" t="b">
        <f t="shared" si="786"/>
        <v>0</v>
      </c>
      <c r="BH396" t="b">
        <f t="shared" si="787"/>
        <v>0</v>
      </c>
      <c r="BI396">
        <f t="shared" si="788"/>
        <v>1</v>
      </c>
      <c r="BJ396">
        <f t="shared" si="789"/>
        <v>1</v>
      </c>
      <c r="BK396" t="b">
        <f t="shared" si="790"/>
        <v>0</v>
      </c>
      <c r="BL396" t="b">
        <f t="shared" si="791"/>
        <v>0</v>
      </c>
      <c r="BM396" t="b">
        <f t="shared" si="792"/>
        <v>0</v>
      </c>
      <c r="BN396" t="b">
        <f t="shared" si="793"/>
        <v>0</v>
      </c>
      <c r="BO396" t="b">
        <f t="shared" si="794"/>
        <v>0</v>
      </c>
      <c r="BP396" t="b">
        <f t="shared" si="795"/>
        <v>0</v>
      </c>
      <c r="BQ396" t="b">
        <f t="shared" si="796"/>
        <v>0</v>
      </c>
      <c r="BR396" t="b">
        <f t="shared" si="797"/>
        <v>0</v>
      </c>
      <c r="BS396" t="b">
        <f t="shared" si="798"/>
        <v>0</v>
      </c>
      <c r="BT396" t="b">
        <f t="shared" si="799"/>
        <v>0</v>
      </c>
      <c r="BU396" t="b">
        <f t="shared" si="800"/>
        <v>0</v>
      </c>
      <c r="BV396" t="b">
        <f t="shared" si="801"/>
        <v>0</v>
      </c>
      <c r="BW396" t="b">
        <f t="shared" si="802"/>
        <v>0</v>
      </c>
      <c r="BX396" t="b">
        <f t="shared" si="803"/>
        <v>0</v>
      </c>
      <c r="BY396" t="b">
        <f t="shared" si="804"/>
        <v>0</v>
      </c>
      <c r="BZ396" t="b">
        <f t="shared" si="805"/>
        <v>0</v>
      </c>
      <c r="CA396" t="b">
        <f t="shared" si="806"/>
        <v>0</v>
      </c>
      <c r="CB396" t="b">
        <f t="shared" si="807"/>
        <v>0</v>
      </c>
      <c r="CC396" t="b">
        <f t="shared" si="808"/>
        <v>0</v>
      </c>
      <c r="CD396" t="b">
        <f t="shared" si="809"/>
        <v>0</v>
      </c>
      <c r="CE396" t="b">
        <f t="shared" si="810"/>
        <v>0</v>
      </c>
      <c r="CF396" t="b">
        <f t="shared" si="811"/>
        <v>0</v>
      </c>
      <c r="CG396" t="b">
        <f t="shared" si="812"/>
        <v>0</v>
      </c>
      <c r="CH396" t="b">
        <f t="shared" si="813"/>
        <v>0</v>
      </c>
      <c r="CI396" t="b">
        <f t="shared" si="814"/>
        <v>0</v>
      </c>
      <c r="CJ396" t="b">
        <f t="shared" si="815"/>
        <v>0</v>
      </c>
      <c r="CK396" t="b">
        <f t="shared" si="816"/>
        <v>0</v>
      </c>
      <c r="CL396" t="b">
        <f t="shared" si="817"/>
        <v>0</v>
      </c>
      <c r="CM396">
        <f t="shared" si="818"/>
        <v>1</v>
      </c>
      <c r="CN396" t="b">
        <f t="shared" si="819"/>
        <v>0</v>
      </c>
      <c r="CO396" t="b">
        <f t="shared" si="820"/>
        <v>0</v>
      </c>
      <c r="CP396" t="b">
        <f t="shared" si="821"/>
        <v>0</v>
      </c>
      <c r="CQ396" t="b">
        <f t="shared" si="822"/>
        <v>0</v>
      </c>
      <c r="CR396" t="b">
        <f t="shared" si="823"/>
        <v>0</v>
      </c>
      <c r="CS396" t="b">
        <f t="shared" si="824"/>
        <v>0</v>
      </c>
      <c r="CT396" t="b">
        <f t="shared" si="825"/>
        <v>0</v>
      </c>
      <c r="CU396" t="b">
        <f t="shared" si="826"/>
        <v>0</v>
      </c>
      <c r="CV396" t="b">
        <f t="shared" si="827"/>
        <v>0</v>
      </c>
      <c r="CW396" t="b">
        <f t="shared" si="828"/>
        <v>0</v>
      </c>
      <c r="CX396" t="b">
        <f t="shared" si="829"/>
        <v>0</v>
      </c>
      <c r="CY396" t="b">
        <f t="shared" si="830"/>
        <v>0</v>
      </c>
      <c r="CZ396" t="b">
        <f t="shared" si="831"/>
        <v>0</v>
      </c>
      <c r="DA396">
        <f t="shared" si="832"/>
        <v>1</v>
      </c>
      <c r="DB396">
        <f t="shared" si="833"/>
        <v>1</v>
      </c>
      <c r="DC396" t="b">
        <f t="shared" si="834"/>
        <v>0</v>
      </c>
      <c r="DD396" t="b">
        <f t="shared" si="835"/>
        <v>0</v>
      </c>
      <c r="DE396" t="b">
        <f t="shared" si="836"/>
        <v>0</v>
      </c>
      <c r="DF396" t="b">
        <f t="shared" si="837"/>
        <v>0</v>
      </c>
      <c r="DG396" t="b">
        <f t="shared" si="838"/>
        <v>0</v>
      </c>
      <c r="DH396" t="b">
        <f t="shared" si="839"/>
        <v>0</v>
      </c>
      <c r="DI396" t="b">
        <f t="shared" si="840"/>
        <v>0</v>
      </c>
      <c r="DJ396" t="b">
        <f t="shared" si="841"/>
        <v>0</v>
      </c>
      <c r="DK396" t="b">
        <f t="shared" si="842"/>
        <v>0</v>
      </c>
      <c r="DL396" t="b">
        <f t="shared" si="843"/>
        <v>0</v>
      </c>
      <c r="DM396" t="b">
        <f t="shared" si="844"/>
        <v>0</v>
      </c>
      <c r="DN396" t="b">
        <f t="shared" si="845"/>
        <v>0</v>
      </c>
      <c r="DO396" t="b">
        <f t="shared" si="846"/>
        <v>0</v>
      </c>
      <c r="DP396" t="b">
        <f t="shared" si="847"/>
        <v>0</v>
      </c>
      <c r="DQ396" t="b">
        <f t="shared" si="848"/>
        <v>0</v>
      </c>
      <c r="DR396" t="b">
        <f t="shared" si="849"/>
        <v>0</v>
      </c>
      <c r="DS396" t="b">
        <f t="shared" si="850"/>
        <v>0</v>
      </c>
      <c r="DT396" t="b">
        <f t="shared" si="851"/>
        <v>0</v>
      </c>
      <c r="DU396" t="b">
        <f t="shared" si="852"/>
        <v>0</v>
      </c>
      <c r="DV396" t="b">
        <f t="shared" si="853"/>
        <v>0</v>
      </c>
      <c r="DW396" t="b">
        <f t="shared" si="854"/>
        <v>0</v>
      </c>
      <c r="DX396" t="b">
        <f t="shared" si="855"/>
        <v>0</v>
      </c>
      <c r="DY396" t="b">
        <f t="shared" si="856"/>
        <v>0</v>
      </c>
      <c r="DZ396" t="b">
        <f t="shared" si="857"/>
        <v>0</v>
      </c>
      <c r="EA396" t="b">
        <f t="shared" si="858"/>
        <v>0</v>
      </c>
      <c r="EB396" t="b">
        <f t="shared" si="859"/>
        <v>0</v>
      </c>
      <c r="EC396" t="b">
        <f t="shared" si="860"/>
        <v>0</v>
      </c>
      <c r="ED396" t="b">
        <f t="shared" si="861"/>
        <v>0</v>
      </c>
      <c r="EE396" t="b">
        <f t="shared" si="862"/>
        <v>0</v>
      </c>
      <c r="EF396" t="b">
        <f t="shared" si="863"/>
        <v>0</v>
      </c>
      <c r="EG396" t="b">
        <f t="shared" si="864"/>
        <v>0</v>
      </c>
      <c r="EH396" t="b">
        <f t="shared" si="865"/>
        <v>0</v>
      </c>
      <c r="EI396" t="b">
        <f t="shared" si="866"/>
        <v>0</v>
      </c>
      <c r="EJ396" t="b">
        <f t="shared" si="867"/>
        <v>0</v>
      </c>
      <c r="EK396" t="b">
        <f t="shared" si="868"/>
        <v>0</v>
      </c>
    </row>
    <row r="397" spans="1:141">
      <c r="A397" t="s">
        <v>2045</v>
      </c>
      <c r="B397" t="s">
        <v>2045</v>
      </c>
      <c r="C397" t="s">
        <v>2046</v>
      </c>
      <c r="D397" s="1">
        <v>43076</v>
      </c>
      <c r="E397" s="2">
        <v>43079.167395833334</v>
      </c>
      <c r="F397" s="2">
        <v>43079.167395833334</v>
      </c>
      <c r="G397">
        <v>499836</v>
      </c>
      <c r="H397" t="s">
        <v>2047</v>
      </c>
      <c r="I397" s="10" t="s">
        <v>2048</v>
      </c>
      <c r="J397" t="s">
        <v>2049</v>
      </c>
      <c r="K397" s="8" t="b">
        <v>1</v>
      </c>
      <c r="L397" s="10" t="b">
        <v>0</v>
      </c>
      <c r="M397" s="12" t="b">
        <v>0</v>
      </c>
      <c r="N397" t="b">
        <v>0</v>
      </c>
      <c r="O397" t="b">
        <v>0</v>
      </c>
      <c r="P397" t="b">
        <v>0</v>
      </c>
      <c r="Q397">
        <f t="shared" si="745"/>
        <v>5</v>
      </c>
      <c r="R397">
        <f t="shared" si="746"/>
        <v>12</v>
      </c>
      <c r="S397" t="e">
        <f t="shared" ca="1" si="776"/>
        <v>#NAME?</v>
      </c>
      <c r="T397" t="e">
        <f t="shared" ca="1" si="747"/>
        <v>#NAME?</v>
      </c>
      <c r="U397" s="4">
        <f t="shared" si="748"/>
        <v>3.1673958333340124</v>
      </c>
      <c r="V397" s="4">
        <f t="shared" si="749"/>
        <v>0.10557986111113375</v>
      </c>
      <c r="W397" s="4">
        <f t="shared" si="750"/>
        <v>1</v>
      </c>
      <c r="X397" s="4">
        <f t="shared" si="751"/>
        <v>0</v>
      </c>
      <c r="Y397" s="4">
        <f t="shared" si="752"/>
        <v>0</v>
      </c>
      <c r="Z397" s="4">
        <f t="shared" si="753"/>
        <v>0</v>
      </c>
      <c r="AA397" s="4">
        <f t="shared" si="754"/>
        <v>0</v>
      </c>
      <c r="AB397" s="4">
        <f t="shared" si="755"/>
        <v>0</v>
      </c>
      <c r="AC397" s="4"/>
      <c r="AD397" s="4" t="b">
        <f t="shared" si="756"/>
        <v>0</v>
      </c>
      <c r="AE397" s="4" t="b">
        <f t="shared" si="757"/>
        <v>0</v>
      </c>
      <c r="AF397" s="4" t="b">
        <f t="shared" si="758"/>
        <v>0</v>
      </c>
      <c r="AG397" t="b">
        <f t="shared" si="759"/>
        <v>0</v>
      </c>
      <c r="AH397" t="b">
        <f t="shared" si="760"/>
        <v>0</v>
      </c>
      <c r="AI397" t="b">
        <f t="shared" si="761"/>
        <v>0</v>
      </c>
      <c r="AJ397" t="b">
        <f t="shared" si="762"/>
        <v>0</v>
      </c>
      <c r="AK397" t="b">
        <f t="shared" si="763"/>
        <v>0</v>
      </c>
      <c r="AL397" t="b">
        <f t="shared" si="764"/>
        <v>0</v>
      </c>
      <c r="AM397" t="b">
        <f t="shared" si="765"/>
        <v>0</v>
      </c>
      <c r="AN397" t="b">
        <f t="shared" si="766"/>
        <v>0</v>
      </c>
      <c r="AO397" t="b">
        <f t="shared" si="767"/>
        <v>0</v>
      </c>
      <c r="AP397" t="b">
        <f t="shared" si="768"/>
        <v>0</v>
      </c>
      <c r="AQ397" t="b">
        <f t="shared" si="769"/>
        <v>0</v>
      </c>
      <c r="AR397" t="b">
        <f t="shared" si="770"/>
        <v>0</v>
      </c>
      <c r="AS397" t="b">
        <f t="shared" si="771"/>
        <v>0</v>
      </c>
      <c r="AT397" t="b">
        <f t="shared" si="772"/>
        <v>0</v>
      </c>
      <c r="AU397" t="b">
        <f t="shared" si="773"/>
        <v>0</v>
      </c>
      <c r="AV397" t="b">
        <f t="shared" si="774"/>
        <v>0</v>
      </c>
      <c r="AW397" t="b">
        <f t="shared" si="775"/>
        <v>0</v>
      </c>
      <c r="AX397" t="b">
        <f t="shared" si="777"/>
        <v>0</v>
      </c>
      <c r="AY397" t="b">
        <f t="shared" si="778"/>
        <v>0</v>
      </c>
      <c r="AZ397">
        <f t="shared" si="779"/>
        <v>1</v>
      </c>
      <c r="BA397" t="b">
        <f t="shared" si="780"/>
        <v>0</v>
      </c>
      <c r="BB397" t="b">
        <f t="shared" si="781"/>
        <v>0</v>
      </c>
      <c r="BC397" t="b">
        <f t="shared" si="782"/>
        <v>0</v>
      </c>
      <c r="BD397" t="b">
        <f t="shared" si="783"/>
        <v>0</v>
      </c>
      <c r="BE397" t="b">
        <f t="shared" si="784"/>
        <v>0</v>
      </c>
      <c r="BF397" t="b">
        <f t="shared" si="785"/>
        <v>0</v>
      </c>
      <c r="BG397" t="b">
        <f t="shared" si="786"/>
        <v>0</v>
      </c>
      <c r="BH397" t="b">
        <f t="shared" si="787"/>
        <v>0</v>
      </c>
      <c r="BI397">
        <f t="shared" si="788"/>
        <v>1</v>
      </c>
      <c r="BJ397" t="b">
        <f t="shared" si="789"/>
        <v>0</v>
      </c>
      <c r="BK397" t="b">
        <f t="shared" si="790"/>
        <v>0</v>
      </c>
      <c r="BL397" t="b">
        <f t="shared" si="791"/>
        <v>0</v>
      </c>
      <c r="BM397" t="b">
        <f t="shared" si="792"/>
        <v>0</v>
      </c>
      <c r="BN397" t="b">
        <f t="shared" si="793"/>
        <v>0</v>
      </c>
      <c r="BO397" t="b">
        <f t="shared" si="794"/>
        <v>0</v>
      </c>
      <c r="BP397" t="b">
        <f t="shared" si="795"/>
        <v>0</v>
      </c>
      <c r="BQ397" t="b">
        <f t="shared" si="796"/>
        <v>0</v>
      </c>
      <c r="BR397" t="b">
        <f t="shared" si="797"/>
        <v>0</v>
      </c>
      <c r="BS397" t="b">
        <f t="shared" si="798"/>
        <v>0</v>
      </c>
      <c r="BT397" t="b">
        <f t="shared" si="799"/>
        <v>0</v>
      </c>
      <c r="BU397" t="b">
        <f t="shared" si="800"/>
        <v>0</v>
      </c>
      <c r="BV397" t="b">
        <f t="shared" si="801"/>
        <v>0</v>
      </c>
      <c r="BW397" t="b">
        <f t="shared" si="802"/>
        <v>0</v>
      </c>
      <c r="BX397" t="b">
        <f t="shared" si="803"/>
        <v>0</v>
      </c>
      <c r="BY397" t="b">
        <f t="shared" si="804"/>
        <v>0</v>
      </c>
      <c r="BZ397" t="b">
        <f t="shared" si="805"/>
        <v>0</v>
      </c>
      <c r="CA397" t="b">
        <f t="shared" si="806"/>
        <v>0</v>
      </c>
      <c r="CB397" t="b">
        <f t="shared" si="807"/>
        <v>0</v>
      </c>
      <c r="CC397" t="b">
        <f t="shared" si="808"/>
        <v>0</v>
      </c>
      <c r="CD397" t="b">
        <f t="shared" si="809"/>
        <v>0</v>
      </c>
      <c r="CE397" t="b">
        <f t="shared" si="810"/>
        <v>0</v>
      </c>
      <c r="CF397" t="b">
        <f t="shared" si="811"/>
        <v>0</v>
      </c>
      <c r="CG397" t="b">
        <f t="shared" si="812"/>
        <v>0</v>
      </c>
      <c r="CH397" t="b">
        <f t="shared" si="813"/>
        <v>0</v>
      </c>
      <c r="CI397" t="b">
        <f t="shared" si="814"/>
        <v>0</v>
      </c>
      <c r="CJ397" t="b">
        <f t="shared" si="815"/>
        <v>0</v>
      </c>
      <c r="CK397" t="b">
        <f t="shared" si="816"/>
        <v>0</v>
      </c>
      <c r="CL397" t="b">
        <f t="shared" si="817"/>
        <v>0</v>
      </c>
      <c r="CM397">
        <f t="shared" si="818"/>
        <v>1</v>
      </c>
      <c r="CN397" t="b">
        <f t="shared" si="819"/>
        <v>0</v>
      </c>
      <c r="CO397" t="b">
        <f t="shared" si="820"/>
        <v>0</v>
      </c>
      <c r="CP397" t="b">
        <f t="shared" si="821"/>
        <v>0</v>
      </c>
      <c r="CQ397" t="b">
        <f t="shared" si="822"/>
        <v>0</v>
      </c>
      <c r="CR397" t="b">
        <f t="shared" si="823"/>
        <v>0</v>
      </c>
      <c r="CS397" t="b">
        <f t="shared" si="824"/>
        <v>0</v>
      </c>
      <c r="CT397" t="b">
        <f t="shared" si="825"/>
        <v>0</v>
      </c>
      <c r="CU397" t="b">
        <f t="shared" si="826"/>
        <v>0</v>
      </c>
      <c r="CV397" t="b">
        <f t="shared" si="827"/>
        <v>0</v>
      </c>
      <c r="CW397" t="b">
        <f t="shared" si="828"/>
        <v>0</v>
      </c>
      <c r="CX397" t="b">
        <f t="shared" si="829"/>
        <v>0</v>
      </c>
      <c r="CY397" t="b">
        <f t="shared" si="830"/>
        <v>0</v>
      </c>
      <c r="CZ397" t="b">
        <f t="shared" si="831"/>
        <v>0</v>
      </c>
      <c r="DA397" t="b">
        <f t="shared" si="832"/>
        <v>0</v>
      </c>
      <c r="DB397" t="b">
        <f t="shared" si="833"/>
        <v>0</v>
      </c>
      <c r="DC397" t="b">
        <f t="shared" si="834"/>
        <v>0</v>
      </c>
      <c r="DD397" t="b">
        <f t="shared" si="835"/>
        <v>0</v>
      </c>
      <c r="DE397" t="b">
        <f t="shared" si="836"/>
        <v>0</v>
      </c>
      <c r="DF397" t="b">
        <f t="shared" si="837"/>
        <v>0</v>
      </c>
      <c r="DG397" t="b">
        <f t="shared" si="838"/>
        <v>0</v>
      </c>
      <c r="DH397" t="b">
        <f t="shared" si="839"/>
        <v>0</v>
      </c>
      <c r="DI397" t="b">
        <f t="shared" si="840"/>
        <v>0</v>
      </c>
      <c r="DJ397">
        <f t="shared" si="841"/>
        <v>1</v>
      </c>
      <c r="DK397" t="b">
        <f t="shared" si="842"/>
        <v>0</v>
      </c>
      <c r="DL397" t="b">
        <f t="shared" si="843"/>
        <v>0</v>
      </c>
      <c r="DM397" t="b">
        <f t="shared" si="844"/>
        <v>0</v>
      </c>
      <c r="DN397" t="b">
        <f t="shared" si="845"/>
        <v>0</v>
      </c>
      <c r="DO397" t="b">
        <f t="shared" si="846"/>
        <v>0</v>
      </c>
      <c r="DP397" t="b">
        <f t="shared" si="847"/>
        <v>0</v>
      </c>
      <c r="DQ397" t="b">
        <f t="shared" si="848"/>
        <v>0</v>
      </c>
      <c r="DR397" t="b">
        <f t="shared" si="849"/>
        <v>0</v>
      </c>
      <c r="DS397" t="b">
        <f t="shared" si="850"/>
        <v>0</v>
      </c>
      <c r="DT397" t="b">
        <f t="shared" si="851"/>
        <v>0</v>
      </c>
      <c r="DU397" t="b">
        <f t="shared" si="852"/>
        <v>0</v>
      </c>
      <c r="DV397" t="b">
        <f t="shared" si="853"/>
        <v>0</v>
      </c>
      <c r="DW397" t="b">
        <f t="shared" si="854"/>
        <v>0</v>
      </c>
      <c r="DX397" t="b">
        <f t="shared" si="855"/>
        <v>0</v>
      </c>
      <c r="DY397" t="b">
        <f t="shared" si="856"/>
        <v>0</v>
      </c>
      <c r="DZ397" t="b">
        <f t="shared" si="857"/>
        <v>0</v>
      </c>
      <c r="EA397" t="b">
        <f t="shared" si="858"/>
        <v>0</v>
      </c>
      <c r="EB397" t="b">
        <f t="shared" si="859"/>
        <v>0</v>
      </c>
      <c r="EC397" t="b">
        <f t="shared" si="860"/>
        <v>0</v>
      </c>
      <c r="ED397" t="b">
        <f t="shared" si="861"/>
        <v>0</v>
      </c>
      <c r="EE397" t="b">
        <f t="shared" si="862"/>
        <v>0</v>
      </c>
      <c r="EF397" t="b">
        <f t="shared" si="863"/>
        <v>0</v>
      </c>
      <c r="EG397" t="b">
        <f t="shared" si="864"/>
        <v>0</v>
      </c>
      <c r="EH397" t="b">
        <f t="shared" si="865"/>
        <v>0</v>
      </c>
      <c r="EI397" t="b">
        <f t="shared" si="866"/>
        <v>0</v>
      </c>
      <c r="EJ397" t="b">
        <f t="shared" si="867"/>
        <v>0</v>
      </c>
      <c r="EK397" t="b">
        <f t="shared" si="868"/>
        <v>0</v>
      </c>
    </row>
    <row r="398" spans="1:141">
      <c r="A398" t="s">
        <v>2050</v>
      </c>
      <c r="B398" t="s">
        <v>2050</v>
      </c>
      <c r="C398" t="s">
        <v>2051</v>
      </c>
      <c r="D398" s="1">
        <v>41751</v>
      </c>
      <c r="E398" s="2">
        <v>42160.175335648149</v>
      </c>
      <c r="F398" s="2">
        <v>42160.175335648149</v>
      </c>
      <c r="G398">
        <v>1194597</v>
      </c>
      <c r="H398" t="s">
        <v>2052</v>
      </c>
      <c r="I398" s="10" t="s">
        <v>2053</v>
      </c>
      <c r="J398" t="s">
        <v>188</v>
      </c>
      <c r="K398" s="8" t="b">
        <v>1</v>
      </c>
      <c r="L398" s="10" t="b">
        <v>0</v>
      </c>
      <c r="M398" s="12" t="b">
        <v>0</v>
      </c>
      <c r="N398" t="b">
        <v>0</v>
      </c>
      <c r="O398" t="b">
        <v>0</v>
      </c>
      <c r="P398" t="b">
        <v>0</v>
      </c>
      <c r="Q398">
        <f t="shared" si="745"/>
        <v>3</v>
      </c>
      <c r="R398">
        <f t="shared" si="746"/>
        <v>4</v>
      </c>
      <c r="S398" t="e">
        <f t="shared" ca="1" si="776"/>
        <v>#NAME?</v>
      </c>
      <c r="T398" t="e">
        <f t="shared" ca="1" si="747"/>
        <v>#NAME?</v>
      </c>
      <c r="U398" s="4">
        <f t="shared" si="748"/>
        <v>409.17533564814948</v>
      </c>
      <c r="V398" s="4">
        <f t="shared" si="749"/>
        <v>13.639177854938316</v>
      </c>
      <c r="W398" s="4">
        <f t="shared" si="750"/>
        <v>1</v>
      </c>
      <c r="X398" s="4">
        <f t="shared" si="751"/>
        <v>0</v>
      </c>
      <c r="Y398" s="4">
        <f t="shared" si="752"/>
        <v>0</v>
      </c>
      <c r="Z398" s="4">
        <f t="shared" si="753"/>
        <v>0</v>
      </c>
      <c r="AA398" s="4">
        <f t="shared" si="754"/>
        <v>0</v>
      </c>
      <c r="AB398" s="4">
        <f t="shared" si="755"/>
        <v>0</v>
      </c>
      <c r="AC398" s="4"/>
      <c r="AD398" s="4" t="b">
        <f t="shared" si="756"/>
        <v>0</v>
      </c>
      <c r="AE398" s="4" t="b">
        <f t="shared" si="757"/>
        <v>0</v>
      </c>
      <c r="AF398" s="4" t="b">
        <f t="shared" si="758"/>
        <v>0</v>
      </c>
      <c r="AG398" t="b">
        <f t="shared" si="759"/>
        <v>0</v>
      </c>
      <c r="AH398" t="b">
        <f t="shared" si="760"/>
        <v>0</v>
      </c>
      <c r="AI398" t="b">
        <f t="shared" si="761"/>
        <v>0</v>
      </c>
      <c r="AJ398" t="b">
        <f t="shared" si="762"/>
        <v>0</v>
      </c>
      <c r="AK398" t="b">
        <f t="shared" si="763"/>
        <v>0</v>
      </c>
      <c r="AL398" t="b">
        <f t="shared" si="764"/>
        <v>0</v>
      </c>
      <c r="AM398" t="b">
        <f t="shared" si="765"/>
        <v>0</v>
      </c>
      <c r="AN398" t="b">
        <f t="shared" si="766"/>
        <v>0</v>
      </c>
      <c r="AO398" t="b">
        <f t="shared" si="767"/>
        <v>0</v>
      </c>
      <c r="AP398" t="b">
        <f t="shared" si="768"/>
        <v>0</v>
      </c>
      <c r="AQ398" t="b">
        <f t="shared" si="769"/>
        <v>0</v>
      </c>
      <c r="AR398" t="b">
        <f t="shared" si="770"/>
        <v>0</v>
      </c>
      <c r="AS398" t="b">
        <f t="shared" si="771"/>
        <v>0</v>
      </c>
      <c r="AT398" t="b">
        <f t="shared" si="772"/>
        <v>0</v>
      </c>
      <c r="AU398" t="b">
        <f t="shared" si="773"/>
        <v>0</v>
      </c>
      <c r="AV398" t="b">
        <f t="shared" si="774"/>
        <v>0</v>
      </c>
      <c r="AW398" t="b">
        <f t="shared" si="775"/>
        <v>0</v>
      </c>
      <c r="AX398" t="b">
        <f t="shared" si="777"/>
        <v>0</v>
      </c>
      <c r="AY398" t="b">
        <f t="shared" si="778"/>
        <v>0</v>
      </c>
      <c r="AZ398" t="b">
        <f t="shared" si="779"/>
        <v>0</v>
      </c>
      <c r="BA398" t="b">
        <f t="shared" si="780"/>
        <v>0</v>
      </c>
      <c r="BB398" t="b">
        <f t="shared" si="781"/>
        <v>0</v>
      </c>
      <c r="BC398" t="b">
        <f t="shared" si="782"/>
        <v>0</v>
      </c>
      <c r="BD398" t="b">
        <f t="shared" si="783"/>
        <v>0</v>
      </c>
      <c r="BE398" t="b">
        <f t="shared" si="784"/>
        <v>0</v>
      </c>
      <c r="BF398" t="b">
        <f t="shared" si="785"/>
        <v>0</v>
      </c>
      <c r="BG398" t="b">
        <f t="shared" si="786"/>
        <v>0</v>
      </c>
      <c r="BH398" t="b">
        <f t="shared" si="787"/>
        <v>0</v>
      </c>
      <c r="BI398">
        <f t="shared" si="788"/>
        <v>1</v>
      </c>
      <c r="BJ398" t="b">
        <f t="shared" si="789"/>
        <v>0</v>
      </c>
      <c r="BK398" t="b">
        <f t="shared" si="790"/>
        <v>0</v>
      </c>
      <c r="BL398" t="b">
        <f t="shared" si="791"/>
        <v>0</v>
      </c>
      <c r="BM398" t="b">
        <f t="shared" si="792"/>
        <v>0</v>
      </c>
      <c r="BN398" t="b">
        <f t="shared" si="793"/>
        <v>0</v>
      </c>
      <c r="BO398" t="b">
        <f t="shared" si="794"/>
        <v>0</v>
      </c>
      <c r="BP398" t="b">
        <f t="shared" si="795"/>
        <v>0</v>
      </c>
      <c r="BQ398" t="b">
        <f t="shared" si="796"/>
        <v>0</v>
      </c>
      <c r="BR398" t="b">
        <f t="shared" si="797"/>
        <v>0</v>
      </c>
      <c r="BS398" t="b">
        <f t="shared" si="798"/>
        <v>0</v>
      </c>
      <c r="BT398" t="b">
        <f t="shared" si="799"/>
        <v>0</v>
      </c>
      <c r="BU398" t="b">
        <f t="shared" si="800"/>
        <v>0</v>
      </c>
      <c r="BV398" t="b">
        <f t="shared" si="801"/>
        <v>0</v>
      </c>
      <c r="BW398" t="b">
        <f t="shared" si="802"/>
        <v>0</v>
      </c>
      <c r="BX398" t="b">
        <f t="shared" si="803"/>
        <v>0</v>
      </c>
      <c r="BY398" t="b">
        <f t="shared" si="804"/>
        <v>0</v>
      </c>
      <c r="BZ398" t="b">
        <f t="shared" si="805"/>
        <v>0</v>
      </c>
      <c r="CA398" t="b">
        <f t="shared" si="806"/>
        <v>0</v>
      </c>
      <c r="CB398" t="b">
        <f t="shared" si="807"/>
        <v>0</v>
      </c>
      <c r="CC398" t="b">
        <f t="shared" si="808"/>
        <v>0</v>
      </c>
      <c r="CD398" t="b">
        <f t="shared" si="809"/>
        <v>0</v>
      </c>
      <c r="CE398">
        <f t="shared" si="810"/>
        <v>1</v>
      </c>
      <c r="CF398" t="b">
        <f t="shared" si="811"/>
        <v>0</v>
      </c>
      <c r="CG398" t="b">
        <f t="shared" si="812"/>
        <v>0</v>
      </c>
      <c r="CH398" t="b">
        <f t="shared" si="813"/>
        <v>0</v>
      </c>
      <c r="CI398" t="b">
        <f t="shared" si="814"/>
        <v>0</v>
      </c>
      <c r="CJ398" t="b">
        <f t="shared" si="815"/>
        <v>0</v>
      </c>
      <c r="CK398" t="b">
        <f t="shared" si="816"/>
        <v>0</v>
      </c>
      <c r="CL398" t="b">
        <f t="shared" si="817"/>
        <v>0</v>
      </c>
      <c r="CM398" t="b">
        <f t="shared" si="818"/>
        <v>0</v>
      </c>
      <c r="CN398" t="b">
        <f t="shared" si="819"/>
        <v>0</v>
      </c>
      <c r="CO398" t="b">
        <f t="shared" si="820"/>
        <v>0</v>
      </c>
      <c r="CP398" t="b">
        <f t="shared" si="821"/>
        <v>0</v>
      </c>
      <c r="CQ398" t="b">
        <f t="shared" si="822"/>
        <v>0</v>
      </c>
      <c r="CR398" t="b">
        <f t="shared" si="823"/>
        <v>0</v>
      </c>
      <c r="CS398" t="b">
        <f t="shared" si="824"/>
        <v>0</v>
      </c>
      <c r="CT398" t="b">
        <f t="shared" si="825"/>
        <v>0</v>
      </c>
      <c r="CU398" t="b">
        <f t="shared" si="826"/>
        <v>0</v>
      </c>
      <c r="CV398">
        <f t="shared" si="827"/>
        <v>1</v>
      </c>
      <c r="CW398" t="b">
        <f t="shared" si="828"/>
        <v>0</v>
      </c>
      <c r="CX398" t="b">
        <f t="shared" si="829"/>
        <v>0</v>
      </c>
      <c r="CY398" t="b">
        <f t="shared" si="830"/>
        <v>0</v>
      </c>
      <c r="CZ398" t="b">
        <f t="shared" si="831"/>
        <v>0</v>
      </c>
      <c r="DA398" t="b">
        <f t="shared" si="832"/>
        <v>0</v>
      </c>
      <c r="DB398" t="b">
        <f t="shared" si="833"/>
        <v>0</v>
      </c>
      <c r="DC398" t="b">
        <f t="shared" si="834"/>
        <v>0</v>
      </c>
      <c r="DD398" t="b">
        <f t="shared" si="835"/>
        <v>0</v>
      </c>
      <c r="DE398" t="b">
        <f t="shared" si="836"/>
        <v>0</v>
      </c>
      <c r="DF398" t="b">
        <f t="shared" si="837"/>
        <v>0</v>
      </c>
      <c r="DG398" t="b">
        <f t="shared" si="838"/>
        <v>0</v>
      </c>
      <c r="DH398" t="b">
        <f t="shared" si="839"/>
        <v>0</v>
      </c>
      <c r="DI398" t="b">
        <f t="shared" si="840"/>
        <v>0</v>
      </c>
      <c r="DJ398" t="b">
        <f t="shared" si="841"/>
        <v>0</v>
      </c>
      <c r="DK398" t="b">
        <f t="shared" si="842"/>
        <v>0</v>
      </c>
      <c r="DL398" t="b">
        <f t="shared" si="843"/>
        <v>0</v>
      </c>
      <c r="DM398" t="b">
        <f t="shared" si="844"/>
        <v>0</v>
      </c>
      <c r="DN398" t="b">
        <f t="shared" si="845"/>
        <v>0</v>
      </c>
      <c r="DO398" t="b">
        <f t="shared" si="846"/>
        <v>0</v>
      </c>
      <c r="DP398" t="b">
        <f t="shared" si="847"/>
        <v>0</v>
      </c>
      <c r="DQ398" t="b">
        <f t="shared" si="848"/>
        <v>0</v>
      </c>
      <c r="DR398" t="b">
        <f t="shared" si="849"/>
        <v>0</v>
      </c>
      <c r="DS398" t="b">
        <f t="shared" si="850"/>
        <v>0</v>
      </c>
      <c r="DT398" t="b">
        <f t="shared" si="851"/>
        <v>0</v>
      </c>
      <c r="DU398" t="b">
        <f t="shared" si="852"/>
        <v>0</v>
      </c>
      <c r="DV398" t="b">
        <f t="shared" si="853"/>
        <v>0</v>
      </c>
      <c r="DW398" t="b">
        <f t="shared" si="854"/>
        <v>0</v>
      </c>
      <c r="DX398" t="b">
        <f t="shared" si="855"/>
        <v>0</v>
      </c>
      <c r="DY398" t="b">
        <f t="shared" si="856"/>
        <v>0</v>
      </c>
      <c r="DZ398" t="b">
        <f t="shared" si="857"/>
        <v>0</v>
      </c>
      <c r="EA398" t="b">
        <f t="shared" si="858"/>
        <v>0</v>
      </c>
      <c r="EB398" t="b">
        <f t="shared" si="859"/>
        <v>0</v>
      </c>
      <c r="EC398" t="b">
        <f t="shared" si="860"/>
        <v>0</v>
      </c>
      <c r="ED398" t="b">
        <f t="shared" si="861"/>
        <v>0</v>
      </c>
      <c r="EE398" t="b">
        <f t="shared" si="862"/>
        <v>0</v>
      </c>
      <c r="EF398">
        <f t="shared" si="863"/>
        <v>1</v>
      </c>
      <c r="EG398" t="b">
        <f t="shared" si="864"/>
        <v>0</v>
      </c>
      <c r="EH398" t="b">
        <f t="shared" si="865"/>
        <v>0</v>
      </c>
      <c r="EI398" t="b">
        <f t="shared" si="866"/>
        <v>0</v>
      </c>
      <c r="EJ398" t="b">
        <f t="shared" si="867"/>
        <v>0</v>
      </c>
      <c r="EK398" t="b">
        <f t="shared" si="868"/>
        <v>0</v>
      </c>
    </row>
    <row r="399" spans="1:141">
      <c r="A399" t="s">
        <v>2054</v>
      </c>
      <c r="B399" t="s">
        <v>2055</v>
      </c>
      <c r="C399" t="s">
        <v>2056</v>
      </c>
      <c r="D399" s="1">
        <v>41477</v>
      </c>
      <c r="E399" s="2">
        <v>42386.721377314818</v>
      </c>
      <c r="F399" s="2">
        <v>42386.721377314818</v>
      </c>
      <c r="G399">
        <v>5915013</v>
      </c>
      <c r="H399" t="s">
        <v>2057</v>
      </c>
      <c r="I399" s="10" t="s">
        <v>2058</v>
      </c>
      <c r="J399" t="s">
        <v>156</v>
      </c>
      <c r="K399" s="8" t="b">
        <v>1</v>
      </c>
      <c r="L399" s="10" t="b">
        <v>0</v>
      </c>
      <c r="M399" s="12" t="b">
        <v>0</v>
      </c>
      <c r="N399" t="b">
        <v>0</v>
      </c>
      <c r="O399" t="b">
        <v>0</v>
      </c>
      <c r="P399" t="b">
        <v>0</v>
      </c>
      <c r="Q399">
        <f t="shared" si="745"/>
        <v>2</v>
      </c>
      <c r="R399">
        <f t="shared" si="746"/>
        <v>7</v>
      </c>
      <c r="S399" t="e">
        <f t="shared" ca="1" si="776"/>
        <v>#NAME?</v>
      </c>
      <c r="T399" t="e">
        <f t="shared" ca="1" si="747"/>
        <v>#NAME?</v>
      </c>
      <c r="U399" s="4">
        <f t="shared" si="748"/>
        <v>909.7213773148178</v>
      </c>
      <c r="V399" s="4">
        <f t="shared" si="749"/>
        <v>30.324045910493926</v>
      </c>
      <c r="W399" s="4">
        <f t="shared" si="750"/>
        <v>1</v>
      </c>
      <c r="X399" s="4">
        <f t="shared" si="751"/>
        <v>0</v>
      </c>
      <c r="Y399" s="4">
        <f t="shared" si="752"/>
        <v>0</v>
      </c>
      <c r="Z399" s="4">
        <f t="shared" si="753"/>
        <v>0</v>
      </c>
      <c r="AA399" s="4">
        <f t="shared" si="754"/>
        <v>0</v>
      </c>
      <c r="AB399" s="4">
        <f t="shared" si="755"/>
        <v>0</v>
      </c>
      <c r="AC399" s="4"/>
      <c r="AD399" s="4" t="b">
        <f t="shared" si="756"/>
        <v>0</v>
      </c>
      <c r="AE399" s="4" t="b">
        <f t="shared" si="757"/>
        <v>0</v>
      </c>
      <c r="AF399" s="4" t="b">
        <f t="shared" si="758"/>
        <v>0</v>
      </c>
      <c r="AG399" t="b">
        <f t="shared" si="759"/>
        <v>0</v>
      </c>
      <c r="AH399" t="b">
        <f t="shared" si="760"/>
        <v>0</v>
      </c>
      <c r="AI399" t="b">
        <f t="shared" si="761"/>
        <v>0</v>
      </c>
      <c r="AJ399" t="b">
        <f t="shared" si="762"/>
        <v>0</v>
      </c>
      <c r="AK399" t="b">
        <f t="shared" si="763"/>
        <v>0</v>
      </c>
      <c r="AL399" t="b">
        <f t="shared" si="764"/>
        <v>0</v>
      </c>
      <c r="AM399" t="b">
        <f t="shared" si="765"/>
        <v>0</v>
      </c>
      <c r="AN399" t="b">
        <f t="shared" si="766"/>
        <v>0</v>
      </c>
      <c r="AO399" t="b">
        <f t="shared" si="767"/>
        <v>0</v>
      </c>
      <c r="AP399" t="b">
        <f t="shared" si="768"/>
        <v>0</v>
      </c>
      <c r="AQ399" t="b">
        <f t="shared" si="769"/>
        <v>0</v>
      </c>
      <c r="AR399" t="b">
        <f t="shared" si="770"/>
        <v>0</v>
      </c>
      <c r="AS399" t="b">
        <f t="shared" si="771"/>
        <v>0</v>
      </c>
      <c r="AT399" t="b">
        <f t="shared" si="772"/>
        <v>0</v>
      </c>
      <c r="AU399" t="b">
        <f t="shared" si="773"/>
        <v>0</v>
      </c>
      <c r="AV399" t="b">
        <f t="shared" si="774"/>
        <v>0</v>
      </c>
      <c r="AW399" t="b">
        <f t="shared" si="775"/>
        <v>0</v>
      </c>
      <c r="AX399" t="b">
        <f t="shared" si="777"/>
        <v>0</v>
      </c>
      <c r="AY399" t="b">
        <f t="shared" si="778"/>
        <v>0</v>
      </c>
      <c r="AZ399" t="b">
        <f t="shared" si="779"/>
        <v>0</v>
      </c>
      <c r="BA399" t="b">
        <f t="shared" si="780"/>
        <v>0</v>
      </c>
      <c r="BB399" t="b">
        <f t="shared" si="781"/>
        <v>0</v>
      </c>
      <c r="BC399" t="b">
        <f t="shared" si="782"/>
        <v>0</v>
      </c>
      <c r="BD399" t="b">
        <f t="shared" si="783"/>
        <v>0</v>
      </c>
      <c r="BE399" t="b">
        <f t="shared" si="784"/>
        <v>0</v>
      </c>
      <c r="BF399" t="b">
        <f t="shared" si="785"/>
        <v>0</v>
      </c>
      <c r="BG399" t="b">
        <f t="shared" si="786"/>
        <v>0</v>
      </c>
      <c r="BH399" t="b">
        <f t="shared" si="787"/>
        <v>0</v>
      </c>
      <c r="BI399">
        <f t="shared" si="788"/>
        <v>1</v>
      </c>
      <c r="BJ399" t="b">
        <f t="shared" si="789"/>
        <v>0</v>
      </c>
      <c r="BK399" t="b">
        <f t="shared" si="790"/>
        <v>0</v>
      </c>
      <c r="BL399" t="b">
        <f t="shared" si="791"/>
        <v>0</v>
      </c>
      <c r="BM399" t="b">
        <f t="shared" si="792"/>
        <v>0</v>
      </c>
      <c r="BN399" t="b">
        <f t="shared" si="793"/>
        <v>0</v>
      </c>
      <c r="BO399" t="b">
        <f t="shared" si="794"/>
        <v>0</v>
      </c>
      <c r="BP399" t="b">
        <f t="shared" si="795"/>
        <v>0</v>
      </c>
      <c r="BQ399" t="b">
        <f t="shared" si="796"/>
        <v>0</v>
      </c>
      <c r="BR399" t="b">
        <f t="shared" si="797"/>
        <v>0</v>
      </c>
      <c r="BS399" t="b">
        <f t="shared" si="798"/>
        <v>0</v>
      </c>
      <c r="BT399" t="b">
        <f t="shared" si="799"/>
        <v>0</v>
      </c>
      <c r="BU399" t="b">
        <f t="shared" si="800"/>
        <v>0</v>
      </c>
      <c r="BV399" t="b">
        <f t="shared" si="801"/>
        <v>0</v>
      </c>
      <c r="BW399" t="b">
        <f t="shared" si="802"/>
        <v>0</v>
      </c>
      <c r="BX399" t="b">
        <f t="shared" si="803"/>
        <v>0</v>
      </c>
      <c r="BY399" t="b">
        <f t="shared" si="804"/>
        <v>0</v>
      </c>
      <c r="BZ399" t="b">
        <f t="shared" si="805"/>
        <v>0</v>
      </c>
      <c r="CA399" t="b">
        <f t="shared" si="806"/>
        <v>0</v>
      </c>
      <c r="CB399" t="b">
        <f t="shared" si="807"/>
        <v>0</v>
      </c>
      <c r="CC399" t="b">
        <f t="shared" si="808"/>
        <v>0</v>
      </c>
      <c r="CD399" t="b">
        <f t="shared" si="809"/>
        <v>0</v>
      </c>
      <c r="CE399" t="b">
        <f t="shared" si="810"/>
        <v>0</v>
      </c>
      <c r="CF399" t="b">
        <f t="shared" si="811"/>
        <v>0</v>
      </c>
      <c r="CG399" t="b">
        <f t="shared" si="812"/>
        <v>0</v>
      </c>
      <c r="CH399" t="b">
        <f t="shared" si="813"/>
        <v>0</v>
      </c>
      <c r="CI399" t="b">
        <f t="shared" si="814"/>
        <v>0</v>
      </c>
      <c r="CJ399" t="b">
        <f t="shared" si="815"/>
        <v>0</v>
      </c>
      <c r="CK399" t="b">
        <f t="shared" si="816"/>
        <v>0</v>
      </c>
      <c r="CL399" t="b">
        <f t="shared" si="817"/>
        <v>0</v>
      </c>
      <c r="CM399" t="b">
        <f t="shared" si="818"/>
        <v>0</v>
      </c>
      <c r="CN399" t="b">
        <f t="shared" si="819"/>
        <v>0</v>
      </c>
      <c r="CO399" t="b">
        <f t="shared" si="820"/>
        <v>0</v>
      </c>
      <c r="CP399" t="b">
        <f t="shared" si="821"/>
        <v>0</v>
      </c>
      <c r="CQ399" t="b">
        <f t="shared" si="822"/>
        <v>0</v>
      </c>
      <c r="CR399" t="b">
        <f t="shared" si="823"/>
        <v>0</v>
      </c>
      <c r="CS399" t="b">
        <f t="shared" si="824"/>
        <v>0</v>
      </c>
      <c r="CT399" t="b">
        <f t="shared" si="825"/>
        <v>0</v>
      </c>
      <c r="CU399" t="b">
        <f t="shared" si="826"/>
        <v>0</v>
      </c>
      <c r="CV399">
        <f t="shared" si="827"/>
        <v>1</v>
      </c>
      <c r="CW399" t="b">
        <f t="shared" si="828"/>
        <v>0</v>
      </c>
      <c r="CX399" t="b">
        <f t="shared" si="829"/>
        <v>0</v>
      </c>
      <c r="CY399" t="b">
        <f t="shared" si="830"/>
        <v>0</v>
      </c>
      <c r="CZ399" t="b">
        <f t="shared" si="831"/>
        <v>0</v>
      </c>
      <c r="DA399" t="b">
        <f t="shared" si="832"/>
        <v>0</v>
      </c>
      <c r="DB399" t="b">
        <f t="shared" si="833"/>
        <v>0</v>
      </c>
      <c r="DC399" t="b">
        <f t="shared" si="834"/>
        <v>0</v>
      </c>
      <c r="DD399" t="b">
        <f t="shared" si="835"/>
        <v>0</v>
      </c>
      <c r="DE399" t="b">
        <f t="shared" si="836"/>
        <v>0</v>
      </c>
      <c r="DF399" t="b">
        <f t="shared" si="837"/>
        <v>0</v>
      </c>
      <c r="DG399" t="b">
        <f t="shared" si="838"/>
        <v>0</v>
      </c>
      <c r="DH399" t="b">
        <f t="shared" si="839"/>
        <v>0</v>
      </c>
      <c r="DI399" t="b">
        <f t="shared" si="840"/>
        <v>0</v>
      </c>
      <c r="DJ399" t="b">
        <f t="shared" si="841"/>
        <v>0</v>
      </c>
      <c r="DK399" t="b">
        <f t="shared" si="842"/>
        <v>0</v>
      </c>
      <c r="DL399" t="b">
        <f t="shared" si="843"/>
        <v>0</v>
      </c>
      <c r="DM399" t="b">
        <f t="shared" si="844"/>
        <v>0</v>
      </c>
      <c r="DN399" t="b">
        <f t="shared" si="845"/>
        <v>0</v>
      </c>
      <c r="DO399" t="b">
        <f t="shared" si="846"/>
        <v>0</v>
      </c>
      <c r="DP399" t="b">
        <f t="shared" si="847"/>
        <v>0</v>
      </c>
      <c r="DQ399" t="b">
        <f t="shared" si="848"/>
        <v>0</v>
      </c>
      <c r="DR399" t="b">
        <f t="shared" si="849"/>
        <v>0</v>
      </c>
      <c r="DS399" t="b">
        <f t="shared" si="850"/>
        <v>0</v>
      </c>
      <c r="DT399" t="b">
        <f t="shared" si="851"/>
        <v>0</v>
      </c>
      <c r="DU399" t="b">
        <f t="shared" si="852"/>
        <v>0</v>
      </c>
      <c r="DV399" t="b">
        <f t="shared" si="853"/>
        <v>0</v>
      </c>
      <c r="DW399" t="b">
        <f t="shared" si="854"/>
        <v>0</v>
      </c>
      <c r="DX399" t="b">
        <f t="shared" si="855"/>
        <v>0</v>
      </c>
      <c r="DY399" t="b">
        <f t="shared" si="856"/>
        <v>0</v>
      </c>
      <c r="DZ399" t="b">
        <f t="shared" si="857"/>
        <v>0</v>
      </c>
      <c r="EA399" t="b">
        <f t="shared" si="858"/>
        <v>0</v>
      </c>
      <c r="EB399" t="b">
        <f t="shared" si="859"/>
        <v>0</v>
      </c>
      <c r="EC399" t="b">
        <f t="shared" si="860"/>
        <v>0</v>
      </c>
      <c r="ED399" t="b">
        <f t="shared" si="861"/>
        <v>0</v>
      </c>
      <c r="EE399" t="b">
        <f t="shared" si="862"/>
        <v>0</v>
      </c>
      <c r="EF399">
        <f t="shared" si="863"/>
        <v>1</v>
      </c>
      <c r="EG399" t="b">
        <f t="shared" si="864"/>
        <v>0</v>
      </c>
      <c r="EH399" t="b">
        <f t="shared" si="865"/>
        <v>0</v>
      </c>
      <c r="EI399" t="b">
        <f t="shared" si="866"/>
        <v>0</v>
      </c>
      <c r="EJ399" t="b">
        <f t="shared" si="867"/>
        <v>0</v>
      </c>
      <c r="EK399" t="b">
        <f t="shared" si="868"/>
        <v>0</v>
      </c>
    </row>
    <row r="400" spans="1:141">
      <c r="A400" t="s">
        <v>2059</v>
      </c>
      <c r="B400" t="s">
        <v>2059</v>
      </c>
      <c r="C400" t="s">
        <v>2060</v>
      </c>
      <c r="D400" s="1">
        <v>42339</v>
      </c>
      <c r="E400" s="2">
        <v>42612.413136574076</v>
      </c>
      <c r="F400" s="2">
        <v>42612.413136574076</v>
      </c>
      <c r="G400">
        <v>1697282</v>
      </c>
      <c r="H400" t="s">
        <v>2061</v>
      </c>
      <c r="I400" s="10" t="s">
        <v>2062</v>
      </c>
      <c r="J400" t="s">
        <v>188</v>
      </c>
      <c r="K400" s="8" t="b">
        <v>1</v>
      </c>
      <c r="L400" s="10" t="b">
        <v>0</v>
      </c>
      <c r="M400" s="12" t="b">
        <v>0</v>
      </c>
      <c r="N400" t="b">
        <v>0</v>
      </c>
      <c r="O400" t="b">
        <v>0</v>
      </c>
      <c r="P400" t="b">
        <v>0</v>
      </c>
      <c r="Q400">
        <f t="shared" si="745"/>
        <v>3</v>
      </c>
      <c r="R400">
        <f t="shared" si="746"/>
        <v>12</v>
      </c>
      <c r="S400" t="e">
        <f t="shared" ca="1" si="776"/>
        <v>#NAME?</v>
      </c>
      <c r="T400" t="e">
        <f t="shared" ca="1" si="747"/>
        <v>#NAME?</v>
      </c>
      <c r="U400" s="4">
        <f t="shared" si="748"/>
        <v>273.41313657407591</v>
      </c>
      <c r="V400" s="4">
        <f t="shared" si="749"/>
        <v>9.1137712191358631</v>
      </c>
      <c r="W400" s="4">
        <f t="shared" si="750"/>
        <v>1</v>
      </c>
      <c r="X400" s="4">
        <f t="shared" si="751"/>
        <v>0</v>
      </c>
      <c r="Y400" s="4">
        <f t="shared" si="752"/>
        <v>0</v>
      </c>
      <c r="Z400" s="4">
        <f t="shared" si="753"/>
        <v>0</v>
      </c>
      <c r="AA400" s="4">
        <f t="shared" si="754"/>
        <v>0</v>
      </c>
      <c r="AB400" s="4">
        <f t="shared" si="755"/>
        <v>0</v>
      </c>
      <c r="AC400" s="4"/>
      <c r="AD400" s="4" t="b">
        <f t="shared" si="756"/>
        <v>0</v>
      </c>
      <c r="AE400" s="4" t="b">
        <f t="shared" si="757"/>
        <v>0</v>
      </c>
      <c r="AF400" s="4" t="b">
        <f t="shared" si="758"/>
        <v>0</v>
      </c>
      <c r="AG400" t="b">
        <f t="shared" si="759"/>
        <v>0</v>
      </c>
      <c r="AH400" t="b">
        <f t="shared" si="760"/>
        <v>0</v>
      </c>
      <c r="AI400" t="b">
        <f t="shared" si="761"/>
        <v>0</v>
      </c>
      <c r="AJ400" t="b">
        <f t="shared" si="762"/>
        <v>0</v>
      </c>
      <c r="AK400" t="b">
        <f t="shared" si="763"/>
        <v>0</v>
      </c>
      <c r="AL400" t="b">
        <f t="shared" si="764"/>
        <v>0</v>
      </c>
      <c r="AM400" t="b">
        <f t="shared" si="765"/>
        <v>0</v>
      </c>
      <c r="AN400" t="b">
        <f t="shared" si="766"/>
        <v>0</v>
      </c>
      <c r="AO400" t="b">
        <f t="shared" si="767"/>
        <v>0</v>
      </c>
      <c r="AP400" t="b">
        <f t="shared" si="768"/>
        <v>0</v>
      </c>
      <c r="AQ400" t="b">
        <f t="shared" si="769"/>
        <v>0</v>
      </c>
      <c r="AR400" t="b">
        <f t="shared" si="770"/>
        <v>0</v>
      </c>
      <c r="AS400" t="b">
        <f t="shared" si="771"/>
        <v>0</v>
      </c>
      <c r="AT400" t="b">
        <f t="shared" si="772"/>
        <v>0</v>
      </c>
      <c r="AU400" t="b">
        <f t="shared" si="773"/>
        <v>0</v>
      </c>
      <c r="AV400" t="b">
        <f t="shared" si="774"/>
        <v>0</v>
      </c>
      <c r="AW400" t="b">
        <f t="shared" si="775"/>
        <v>0</v>
      </c>
      <c r="AX400" t="b">
        <f t="shared" si="777"/>
        <v>0</v>
      </c>
      <c r="AY400" t="b">
        <f t="shared" si="778"/>
        <v>0</v>
      </c>
      <c r="AZ400" t="b">
        <f t="shared" si="779"/>
        <v>0</v>
      </c>
      <c r="BA400" t="b">
        <f t="shared" si="780"/>
        <v>0</v>
      </c>
      <c r="BB400" t="b">
        <f t="shared" si="781"/>
        <v>0</v>
      </c>
      <c r="BC400" t="b">
        <f t="shared" si="782"/>
        <v>0</v>
      </c>
      <c r="BD400" t="b">
        <f t="shared" si="783"/>
        <v>0</v>
      </c>
      <c r="BE400" t="b">
        <f t="shared" si="784"/>
        <v>0</v>
      </c>
      <c r="BF400" t="b">
        <f t="shared" si="785"/>
        <v>0</v>
      </c>
      <c r="BG400" t="b">
        <f t="shared" si="786"/>
        <v>0</v>
      </c>
      <c r="BH400" t="b">
        <f t="shared" si="787"/>
        <v>0</v>
      </c>
      <c r="BI400">
        <f t="shared" si="788"/>
        <v>1</v>
      </c>
      <c r="BJ400" t="b">
        <f t="shared" si="789"/>
        <v>0</v>
      </c>
      <c r="BK400" t="b">
        <f t="shared" si="790"/>
        <v>0</v>
      </c>
      <c r="BL400" t="b">
        <f t="shared" si="791"/>
        <v>0</v>
      </c>
      <c r="BM400" t="b">
        <f t="shared" si="792"/>
        <v>0</v>
      </c>
      <c r="BN400" t="b">
        <f t="shared" si="793"/>
        <v>0</v>
      </c>
      <c r="BO400" t="b">
        <f t="shared" si="794"/>
        <v>0</v>
      </c>
      <c r="BP400" t="b">
        <f t="shared" si="795"/>
        <v>0</v>
      </c>
      <c r="BQ400" t="b">
        <f t="shared" si="796"/>
        <v>0</v>
      </c>
      <c r="BR400" t="b">
        <f t="shared" si="797"/>
        <v>0</v>
      </c>
      <c r="BS400" t="b">
        <f t="shared" si="798"/>
        <v>0</v>
      </c>
      <c r="BT400" t="b">
        <f t="shared" si="799"/>
        <v>0</v>
      </c>
      <c r="BU400" t="b">
        <f t="shared" si="800"/>
        <v>0</v>
      </c>
      <c r="BV400" t="b">
        <f t="shared" si="801"/>
        <v>0</v>
      </c>
      <c r="BW400" t="b">
        <f t="shared" si="802"/>
        <v>0</v>
      </c>
      <c r="BX400" t="b">
        <f t="shared" si="803"/>
        <v>0</v>
      </c>
      <c r="BY400" t="b">
        <f t="shared" si="804"/>
        <v>0</v>
      </c>
      <c r="BZ400" t="b">
        <f t="shared" si="805"/>
        <v>0</v>
      </c>
      <c r="CA400" t="b">
        <f t="shared" si="806"/>
        <v>0</v>
      </c>
      <c r="CB400" t="b">
        <f t="shared" si="807"/>
        <v>0</v>
      </c>
      <c r="CC400" t="b">
        <f t="shared" si="808"/>
        <v>0</v>
      </c>
      <c r="CD400" t="b">
        <f t="shared" si="809"/>
        <v>0</v>
      </c>
      <c r="CE400">
        <f t="shared" si="810"/>
        <v>1</v>
      </c>
      <c r="CF400" t="b">
        <f t="shared" si="811"/>
        <v>0</v>
      </c>
      <c r="CG400" t="b">
        <f t="shared" si="812"/>
        <v>0</v>
      </c>
      <c r="CH400" t="b">
        <f t="shared" si="813"/>
        <v>0</v>
      </c>
      <c r="CI400" t="b">
        <f t="shared" si="814"/>
        <v>0</v>
      </c>
      <c r="CJ400" t="b">
        <f t="shared" si="815"/>
        <v>0</v>
      </c>
      <c r="CK400" t="b">
        <f t="shared" si="816"/>
        <v>0</v>
      </c>
      <c r="CL400" t="b">
        <f t="shared" si="817"/>
        <v>0</v>
      </c>
      <c r="CM400" t="b">
        <f t="shared" si="818"/>
        <v>0</v>
      </c>
      <c r="CN400" t="b">
        <f t="shared" si="819"/>
        <v>0</v>
      </c>
      <c r="CO400" t="b">
        <f t="shared" si="820"/>
        <v>0</v>
      </c>
      <c r="CP400" t="b">
        <f t="shared" si="821"/>
        <v>0</v>
      </c>
      <c r="CQ400" t="b">
        <f t="shared" si="822"/>
        <v>0</v>
      </c>
      <c r="CR400" t="b">
        <f t="shared" si="823"/>
        <v>0</v>
      </c>
      <c r="CS400" t="b">
        <f t="shared" si="824"/>
        <v>0</v>
      </c>
      <c r="CT400" t="b">
        <f t="shared" si="825"/>
        <v>0</v>
      </c>
      <c r="CU400" t="b">
        <f t="shared" si="826"/>
        <v>0</v>
      </c>
      <c r="CV400">
        <f t="shared" si="827"/>
        <v>1</v>
      </c>
      <c r="CW400" t="b">
        <f t="shared" si="828"/>
        <v>0</v>
      </c>
      <c r="CX400" t="b">
        <f t="shared" si="829"/>
        <v>0</v>
      </c>
      <c r="CY400" t="b">
        <f t="shared" si="830"/>
        <v>0</v>
      </c>
      <c r="CZ400" t="b">
        <f t="shared" si="831"/>
        <v>0</v>
      </c>
      <c r="DA400" t="b">
        <f t="shared" si="832"/>
        <v>0</v>
      </c>
      <c r="DB400" t="b">
        <f t="shared" si="833"/>
        <v>0</v>
      </c>
      <c r="DC400" t="b">
        <f t="shared" si="834"/>
        <v>0</v>
      </c>
      <c r="DD400" t="b">
        <f t="shared" si="835"/>
        <v>0</v>
      </c>
      <c r="DE400" t="b">
        <f t="shared" si="836"/>
        <v>0</v>
      </c>
      <c r="DF400" t="b">
        <f t="shared" si="837"/>
        <v>0</v>
      </c>
      <c r="DG400" t="b">
        <f t="shared" si="838"/>
        <v>0</v>
      </c>
      <c r="DH400" t="b">
        <f t="shared" si="839"/>
        <v>0</v>
      </c>
      <c r="DI400" t="b">
        <f t="shared" si="840"/>
        <v>0</v>
      </c>
      <c r="DJ400" t="b">
        <f t="shared" si="841"/>
        <v>0</v>
      </c>
      <c r="DK400" t="b">
        <f t="shared" si="842"/>
        <v>0</v>
      </c>
      <c r="DL400" t="b">
        <f t="shared" si="843"/>
        <v>0</v>
      </c>
      <c r="DM400" t="b">
        <f t="shared" si="844"/>
        <v>0</v>
      </c>
      <c r="DN400" t="b">
        <f t="shared" si="845"/>
        <v>0</v>
      </c>
      <c r="DO400" t="b">
        <f t="shared" si="846"/>
        <v>0</v>
      </c>
      <c r="DP400" t="b">
        <f t="shared" si="847"/>
        <v>0</v>
      </c>
      <c r="DQ400" t="b">
        <f t="shared" si="848"/>
        <v>0</v>
      </c>
      <c r="DR400" t="b">
        <f t="shared" si="849"/>
        <v>0</v>
      </c>
      <c r="DS400" t="b">
        <f t="shared" si="850"/>
        <v>0</v>
      </c>
      <c r="DT400" t="b">
        <f t="shared" si="851"/>
        <v>0</v>
      </c>
      <c r="DU400" t="b">
        <f t="shared" si="852"/>
        <v>0</v>
      </c>
      <c r="DV400" t="b">
        <f t="shared" si="853"/>
        <v>0</v>
      </c>
      <c r="DW400" t="b">
        <f t="shared" si="854"/>
        <v>0</v>
      </c>
      <c r="DX400" t="b">
        <f t="shared" si="855"/>
        <v>0</v>
      </c>
      <c r="DY400" t="b">
        <f t="shared" si="856"/>
        <v>0</v>
      </c>
      <c r="DZ400" t="b">
        <f t="shared" si="857"/>
        <v>0</v>
      </c>
      <c r="EA400" t="b">
        <f t="shared" si="858"/>
        <v>0</v>
      </c>
      <c r="EB400" t="b">
        <f t="shared" si="859"/>
        <v>0</v>
      </c>
      <c r="EC400" t="b">
        <f t="shared" si="860"/>
        <v>0</v>
      </c>
      <c r="ED400" t="b">
        <f t="shared" si="861"/>
        <v>0</v>
      </c>
      <c r="EE400" t="b">
        <f t="shared" si="862"/>
        <v>0</v>
      </c>
      <c r="EF400">
        <f t="shared" si="863"/>
        <v>1</v>
      </c>
      <c r="EG400" t="b">
        <f t="shared" si="864"/>
        <v>0</v>
      </c>
      <c r="EH400" t="b">
        <f t="shared" si="865"/>
        <v>0</v>
      </c>
      <c r="EI400" t="b">
        <f t="shared" si="866"/>
        <v>0</v>
      </c>
      <c r="EJ400" t="b">
        <f t="shared" si="867"/>
        <v>0</v>
      </c>
      <c r="EK400" t="b">
        <f t="shared" si="868"/>
        <v>0</v>
      </c>
    </row>
    <row r="401" spans="1:141">
      <c r="A401" t="s">
        <v>2063</v>
      </c>
      <c r="B401" t="s">
        <v>2063</v>
      </c>
      <c r="C401" t="s">
        <v>2064</v>
      </c>
      <c r="D401" s="1">
        <v>44102</v>
      </c>
      <c r="E401" s="2">
        <v>44215.448287037034</v>
      </c>
      <c r="F401" s="2">
        <v>44215.448287037034</v>
      </c>
      <c r="G401">
        <v>77159696</v>
      </c>
      <c r="H401" t="s">
        <v>2065</v>
      </c>
      <c r="I401" s="10" t="s">
        <v>2066</v>
      </c>
      <c r="J401" t="s">
        <v>2067</v>
      </c>
      <c r="K401" s="8" t="b">
        <v>1</v>
      </c>
      <c r="L401" s="10" t="b">
        <v>0</v>
      </c>
      <c r="M401" s="12" t="b">
        <v>0</v>
      </c>
      <c r="N401" t="b">
        <v>0</v>
      </c>
      <c r="O401" t="b">
        <v>0</v>
      </c>
      <c r="P401" t="b">
        <v>0</v>
      </c>
      <c r="Q401">
        <f t="shared" si="745"/>
        <v>2</v>
      </c>
      <c r="R401">
        <f t="shared" si="746"/>
        <v>9</v>
      </c>
      <c r="S401" t="e">
        <f t="shared" ca="1" si="776"/>
        <v>#NAME?</v>
      </c>
      <c r="T401" t="e">
        <f t="shared" ca="1" si="747"/>
        <v>#NAME?</v>
      </c>
      <c r="U401" s="4">
        <f t="shared" si="748"/>
        <v>113.44828703703388</v>
      </c>
      <c r="V401" s="4">
        <f t="shared" si="749"/>
        <v>3.7816095679011292</v>
      </c>
      <c r="W401" s="4">
        <f t="shared" si="750"/>
        <v>1</v>
      </c>
      <c r="X401" s="4">
        <f t="shared" si="751"/>
        <v>0</v>
      </c>
      <c r="Y401" s="4">
        <f t="shared" si="752"/>
        <v>0</v>
      </c>
      <c r="Z401" s="4">
        <f t="shared" si="753"/>
        <v>0</v>
      </c>
      <c r="AA401" s="4">
        <f t="shared" si="754"/>
        <v>0</v>
      </c>
      <c r="AB401" s="4">
        <f t="shared" si="755"/>
        <v>0</v>
      </c>
      <c r="AC401" s="4"/>
      <c r="AD401" s="4" t="b">
        <f t="shared" si="756"/>
        <v>0</v>
      </c>
      <c r="AE401" s="4" t="b">
        <f t="shared" si="757"/>
        <v>0</v>
      </c>
      <c r="AF401" s="4" t="b">
        <f t="shared" si="758"/>
        <v>0</v>
      </c>
      <c r="AG401" t="b">
        <f t="shared" si="759"/>
        <v>0</v>
      </c>
      <c r="AH401" t="b">
        <f t="shared" si="760"/>
        <v>0</v>
      </c>
      <c r="AI401" t="b">
        <f t="shared" si="761"/>
        <v>0</v>
      </c>
      <c r="AJ401" t="b">
        <f t="shared" si="762"/>
        <v>0</v>
      </c>
      <c r="AK401" t="b">
        <f t="shared" si="763"/>
        <v>0</v>
      </c>
      <c r="AL401" t="b">
        <f t="shared" si="764"/>
        <v>0</v>
      </c>
      <c r="AM401" t="b">
        <f t="shared" si="765"/>
        <v>0</v>
      </c>
      <c r="AN401" t="b">
        <f t="shared" si="766"/>
        <v>0</v>
      </c>
      <c r="AO401" t="b">
        <f t="shared" si="767"/>
        <v>0</v>
      </c>
      <c r="AP401" t="b">
        <f t="shared" si="768"/>
        <v>0</v>
      </c>
      <c r="AQ401" t="b">
        <f t="shared" si="769"/>
        <v>0</v>
      </c>
      <c r="AR401" t="b">
        <f t="shared" si="770"/>
        <v>0</v>
      </c>
      <c r="AS401" t="b">
        <f t="shared" si="771"/>
        <v>0</v>
      </c>
      <c r="AT401" t="b">
        <f t="shared" si="772"/>
        <v>0</v>
      </c>
      <c r="AU401" t="b">
        <f t="shared" si="773"/>
        <v>0</v>
      </c>
      <c r="AV401" t="b">
        <f t="shared" si="774"/>
        <v>0</v>
      </c>
      <c r="AW401" t="b">
        <f t="shared" si="775"/>
        <v>0</v>
      </c>
      <c r="AX401" t="b">
        <f t="shared" si="777"/>
        <v>0</v>
      </c>
      <c r="AY401" t="b">
        <f t="shared" si="778"/>
        <v>0</v>
      </c>
      <c r="AZ401" t="b">
        <f t="shared" si="779"/>
        <v>0</v>
      </c>
      <c r="BA401" t="b">
        <f t="shared" si="780"/>
        <v>0</v>
      </c>
      <c r="BB401" t="b">
        <f t="shared" si="781"/>
        <v>0</v>
      </c>
      <c r="BC401" t="b">
        <f t="shared" si="782"/>
        <v>0</v>
      </c>
      <c r="BD401" t="b">
        <f t="shared" si="783"/>
        <v>0</v>
      </c>
      <c r="BE401" t="b">
        <f t="shared" si="784"/>
        <v>0</v>
      </c>
      <c r="BF401" t="b">
        <f t="shared" si="785"/>
        <v>0</v>
      </c>
      <c r="BG401" t="b">
        <f t="shared" si="786"/>
        <v>0</v>
      </c>
      <c r="BH401" t="b">
        <f t="shared" si="787"/>
        <v>0</v>
      </c>
      <c r="BI401">
        <f t="shared" si="788"/>
        <v>1</v>
      </c>
      <c r="BJ401" t="b">
        <f t="shared" si="789"/>
        <v>0</v>
      </c>
      <c r="BK401" t="b">
        <f t="shared" si="790"/>
        <v>0</v>
      </c>
      <c r="BL401" t="b">
        <f t="shared" si="791"/>
        <v>0</v>
      </c>
      <c r="BM401" t="b">
        <f t="shared" si="792"/>
        <v>0</v>
      </c>
      <c r="BN401" t="b">
        <f t="shared" si="793"/>
        <v>0</v>
      </c>
      <c r="BO401" t="b">
        <f t="shared" si="794"/>
        <v>0</v>
      </c>
      <c r="BP401" t="b">
        <f t="shared" si="795"/>
        <v>0</v>
      </c>
      <c r="BQ401" t="b">
        <f t="shared" si="796"/>
        <v>0</v>
      </c>
      <c r="BR401" t="b">
        <f t="shared" si="797"/>
        <v>0</v>
      </c>
      <c r="BS401" t="b">
        <f t="shared" si="798"/>
        <v>0</v>
      </c>
      <c r="BT401" t="b">
        <f t="shared" si="799"/>
        <v>0</v>
      </c>
      <c r="BU401" t="b">
        <f t="shared" si="800"/>
        <v>0</v>
      </c>
      <c r="BV401" t="b">
        <f t="shared" si="801"/>
        <v>0</v>
      </c>
      <c r="BW401" t="b">
        <f t="shared" si="802"/>
        <v>0</v>
      </c>
      <c r="BX401" t="b">
        <f t="shared" si="803"/>
        <v>0</v>
      </c>
      <c r="BY401" t="b">
        <f t="shared" si="804"/>
        <v>0</v>
      </c>
      <c r="BZ401" t="b">
        <f t="shared" si="805"/>
        <v>0</v>
      </c>
      <c r="CA401" t="b">
        <f t="shared" si="806"/>
        <v>0</v>
      </c>
      <c r="CB401" t="b">
        <f t="shared" si="807"/>
        <v>0</v>
      </c>
      <c r="CC401" t="b">
        <f t="shared" si="808"/>
        <v>0</v>
      </c>
      <c r="CD401" t="b">
        <f t="shared" si="809"/>
        <v>0</v>
      </c>
      <c r="CE401" t="b">
        <f t="shared" si="810"/>
        <v>0</v>
      </c>
      <c r="CF401" t="b">
        <f t="shared" si="811"/>
        <v>0</v>
      </c>
      <c r="CG401" t="b">
        <f t="shared" si="812"/>
        <v>0</v>
      </c>
      <c r="CH401" t="b">
        <f t="shared" si="813"/>
        <v>0</v>
      </c>
      <c r="CI401" t="b">
        <f t="shared" si="814"/>
        <v>0</v>
      </c>
      <c r="CJ401" t="b">
        <f t="shared" si="815"/>
        <v>0</v>
      </c>
      <c r="CK401" t="b">
        <f t="shared" si="816"/>
        <v>0</v>
      </c>
      <c r="CL401" t="b">
        <f t="shared" si="817"/>
        <v>0</v>
      </c>
      <c r="CM401">
        <f t="shared" si="818"/>
        <v>1</v>
      </c>
      <c r="CN401" t="b">
        <f t="shared" si="819"/>
        <v>0</v>
      </c>
      <c r="CO401" t="b">
        <f t="shared" si="820"/>
        <v>0</v>
      </c>
      <c r="CP401" t="b">
        <f t="shared" si="821"/>
        <v>0</v>
      </c>
      <c r="CQ401" t="b">
        <f t="shared" si="822"/>
        <v>0</v>
      </c>
      <c r="CR401" t="b">
        <f t="shared" si="823"/>
        <v>0</v>
      </c>
      <c r="CS401" t="b">
        <f t="shared" si="824"/>
        <v>0</v>
      </c>
      <c r="CT401" t="b">
        <f t="shared" si="825"/>
        <v>0</v>
      </c>
      <c r="CU401" t="b">
        <f t="shared" si="826"/>
        <v>0</v>
      </c>
      <c r="CV401">
        <f t="shared" si="827"/>
        <v>1</v>
      </c>
      <c r="CW401" t="b">
        <f t="shared" si="828"/>
        <v>0</v>
      </c>
      <c r="CX401" t="b">
        <f t="shared" si="829"/>
        <v>0</v>
      </c>
      <c r="CY401" t="b">
        <f t="shared" si="830"/>
        <v>0</v>
      </c>
      <c r="CZ401" t="b">
        <f t="shared" si="831"/>
        <v>0</v>
      </c>
      <c r="DA401" t="b">
        <f t="shared" si="832"/>
        <v>0</v>
      </c>
      <c r="DB401" t="b">
        <f t="shared" si="833"/>
        <v>0</v>
      </c>
      <c r="DC401" t="b">
        <f t="shared" si="834"/>
        <v>0</v>
      </c>
      <c r="DD401" t="b">
        <f t="shared" si="835"/>
        <v>0</v>
      </c>
      <c r="DE401" t="b">
        <f t="shared" si="836"/>
        <v>0</v>
      </c>
      <c r="DF401" t="b">
        <f t="shared" si="837"/>
        <v>0</v>
      </c>
      <c r="DG401" t="b">
        <f t="shared" si="838"/>
        <v>0</v>
      </c>
      <c r="DH401" t="b">
        <f t="shared" si="839"/>
        <v>0</v>
      </c>
      <c r="DI401" t="b">
        <f t="shared" si="840"/>
        <v>0</v>
      </c>
      <c r="DJ401" t="b">
        <f t="shared" si="841"/>
        <v>0</v>
      </c>
      <c r="DK401" t="b">
        <f t="shared" si="842"/>
        <v>0</v>
      </c>
      <c r="DL401" t="b">
        <f t="shared" si="843"/>
        <v>0</v>
      </c>
      <c r="DM401" t="b">
        <f t="shared" si="844"/>
        <v>0</v>
      </c>
      <c r="DN401" t="b">
        <f t="shared" si="845"/>
        <v>0</v>
      </c>
      <c r="DO401" t="b">
        <f t="shared" si="846"/>
        <v>0</v>
      </c>
      <c r="DP401" t="b">
        <f t="shared" si="847"/>
        <v>0</v>
      </c>
      <c r="DQ401" t="b">
        <f t="shared" si="848"/>
        <v>0</v>
      </c>
      <c r="DR401" t="b">
        <f t="shared" si="849"/>
        <v>0</v>
      </c>
      <c r="DS401" t="b">
        <f t="shared" si="850"/>
        <v>0</v>
      </c>
      <c r="DT401" t="b">
        <f t="shared" si="851"/>
        <v>0</v>
      </c>
      <c r="DU401" t="b">
        <f t="shared" si="852"/>
        <v>0</v>
      </c>
      <c r="DV401" t="b">
        <f t="shared" si="853"/>
        <v>0</v>
      </c>
      <c r="DW401" t="b">
        <f t="shared" si="854"/>
        <v>0</v>
      </c>
      <c r="DX401" t="b">
        <f t="shared" si="855"/>
        <v>0</v>
      </c>
      <c r="DY401" t="b">
        <f t="shared" si="856"/>
        <v>0</v>
      </c>
      <c r="DZ401" t="b">
        <f t="shared" si="857"/>
        <v>0</v>
      </c>
      <c r="EA401" t="b">
        <f t="shared" si="858"/>
        <v>0</v>
      </c>
      <c r="EB401" t="b">
        <f t="shared" si="859"/>
        <v>0</v>
      </c>
      <c r="EC401" t="b">
        <f t="shared" si="860"/>
        <v>0</v>
      </c>
      <c r="ED401" t="b">
        <f t="shared" si="861"/>
        <v>0</v>
      </c>
      <c r="EE401" t="b">
        <f t="shared" si="862"/>
        <v>0</v>
      </c>
      <c r="EF401" t="b">
        <f t="shared" si="863"/>
        <v>0</v>
      </c>
      <c r="EG401" t="b">
        <f t="shared" si="864"/>
        <v>0</v>
      </c>
      <c r="EH401" t="b">
        <f t="shared" si="865"/>
        <v>0</v>
      </c>
      <c r="EI401" t="b">
        <f t="shared" si="866"/>
        <v>0</v>
      </c>
      <c r="EJ401" t="b">
        <f t="shared" si="867"/>
        <v>0</v>
      </c>
      <c r="EK401" t="b">
        <f t="shared" si="868"/>
        <v>0</v>
      </c>
    </row>
    <row r="402" spans="1:141">
      <c r="A402" t="s">
        <v>2068</v>
      </c>
      <c r="B402" t="s">
        <v>2068</v>
      </c>
      <c r="C402" t="s">
        <v>2069</v>
      </c>
      <c r="D402" s="1">
        <v>42429</v>
      </c>
      <c r="E402" s="2">
        <v>42432.022789351853</v>
      </c>
      <c r="F402" s="2">
        <v>42432.022789351853</v>
      </c>
      <c r="G402">
        <v>1535473</v>
      </c>
      <c r="H402" t="s">
        <v>2070</v>
      </c>
      <c r="I402" s="10" t="s">
        <v>2071</v>
      </c>
      <c r="J402" t="s">
        <v>2072</v>
      </c>
      <c r="K402" s="8" t="b">
        <v>1</v>
      </c>
      <c r="L402" s="10" t="b">
        <v>0</v>
      </c>
      <c r="M402" s="12" t="b">
        <v>0</v>
      </c>
      <c r="N402" t="b">
        <v>0</v>
      </c>
      <c r="O402" t="b">
        <v>0</v>
      </c>
      <c r="P402" t="b">
        <v>0</v>
      </c>
      <c r="Q402">
        <f t="shared" si="745"/>
        <v>2</v>
      </c>
      <c r="R402">
        <f t="shared" si="746"/>
        <v>2</v>
      </c>
      <c r="S402" t="e">
        <f t="shared" ca="1" si="776"/>
        <v>#NAME?</v>
      </c>
      <c r="T402" t="e">
        <f t="shared" ca="1" si="747"/>
        <v>#NAME?</v>
      </c>
      <c r="U402" s="4">
        <f t="shared" si="748"/>
        <v>3.0227893518531346</v>
      </c>
      <c r="V402" s="4">
        <f t="shared" si="749"/>
        <v>0.10075964506177115</v>
      </c>
      <c r="W402" s="4">
        <f t="shared" si="750"/>
        <v>1</v>
      </c>
      <c r="X402" s="4">
        <f t="shared" si="751"/>
        <v>0</v>
      </c>
      <c r="Y402" s="4">
        <f t="shared" si="752"/>
        <v>0</v>
      </c>
      <c r="Z402" s="4">
        <f t="shared" si="753"/>
        <v>0</v>
      </c>
      <c r="AA402" s="4">
        <f t="shared" si="754"/>
        <v>0</v>
      </c>
      <c r="AB402" s="4">
        <f t="shared" si="755"/>
        <v>0</v>
      </c>
      <c r="AC402" s="4"/>
      <c r="AD402" s="4" t="b">
        <f t="shared" si="756"/>
        <v>0</v>
      </c>
      <c r="AE402" s="4" t="b">
        <f t="shared" si="757"/>
        <v>0</v>
      </c>
      <c r="AF402" s="4" t="b">
        <f t="shared" si="758"/>
        <v>0</v>
      </c>
      <c r="AG402" t="b">
        <f t="shared" si="759"/>
        <v>0</v>
      </c>
      <c r="AH402" t="b">
        <f t="shared" si="760"/>
        <v>0</v>
      </c>
      <c r="AI402" t="b">
        <f t="shared" si="761"/>
        <v>0</v>
      </c>
      <c r="AJ402">
        <f t="shared" si="762"/>
        <v>1</v>
      </c>
      <c r="AK402" t="b">
        <f t="shared" si="763"/>
        <v>0</v>
      </c>
      <c r="AL402" t="b">
        <f t="shared" si="764"/>
        <v>0</v>
      </c>
      <c r="AM402" t="b">
        <f t="shared" si="765"/>
        <v>0</v>
      </c>
      <c r="AN402" t="b">
        <f t="shared" si="766"/>
        <v>0</v>
      </c>
      <c r="AO402" t="b">
        <f t="shared" si="767"/>
        <v>0</v>
      </c>
      <c r="AP402" t="b">
        <f t="shared" si="768"/>
        <v>0</v>
      </c>
      <c r="AQ402" t="b">
        <f t="shared" si="769"/>
        <v>0</v>
      </c>
      <c r="AR402" t="b">
        <f t="shared" si="770"/>
        <v>0</v>
      </c>
      <c r="AS402" t="b">
        <f t="shared" si="771"/>
        <v>0</v>
      </c>
      <c r="AT402" t="b">
        <f t="shared" si="772"/>
        <v>0</v>
      </c>
      <c r="AU402" t="b">
        <f t="shared" si="773"/>
        <v>0</v>
      </c>
      <c r="AV402" t="b">
        <f t="shared" si="774"/>
        <v>0</v>
      </c>
      <c r="AW402" t="b">
        <f t="shared" si="775"/>
        <v>0</v>
      </c>
      <c r="AX402" t="b">
        <f t="shared" si="777"/>
        <v>0</v>
      </c>
      <c r="AY402" t="b">
        <f t="shared" si="778"/>
        <v>0</v>
      </c>
      <c r="AZ402">
        <f t="shared" si="779"/>
        <v>1</v>
      </c>
      <c r="BA402" t="b">
        <f t="shared" si="780"/>
        <v>0</v>
      </c>
      <c r="BB402" t="b">
        <f t="shared" si="781"/>
        <v>0</v>
      </c>
      <c r="BC402" t="b">
        <f t="shared" si="782"/>
        <v>0</v>
      </c>
      <c r="BD402" t="b">
        <f t="shared" si="783"/>
        <v>0</v>
      </c>
      <c r="BE402" t="b">
        <f t="shared" si="784"/>
        <v>0</v>
      </c>
      <c r="BF402" t="b">
        <f t="shared" si="785"/>
        <v>0</v>
      </c>
      <c r="BG402" t="b">
        <f t="shared" si="786"/>
        <v>0</v>
      </c>
      <c r="BH402" t="b">
        <f t="shared" si="787"/>
        <v>0</v>
      </c>
      <c r="BI402">
        <f t="shared" si="788"/>
        <v>1</v>
      </c>
      <c r="BJ402" t="b">
        <f t="shared" si="789"/>
        <v>0</v>
      </c>
      <c r="BK402" t="b">
        <f t="shared" si="790"/>
        <v>0</v>
      </c>
      <c r="BL402" t="b">
        <f t="shared" si="791"/>
        <v>0</v>
      </c>
      <c r="BM402" t="b">
        <f t="shared" si="792"/>
        <v>0</v>
      </c>
      <c r="BN402" t="b">
        <f t="shared" si="793"/>
        <v>0</v>
      </c>
      <c r="BO402" t="b">
        <f t="shared" si="794"/>
        <v>0</v>
      </c>
      <c r="BP402" t="b">
        <f t="shared" si="795"/>
        <v>0</v>
      </c>
      <c r="BQ402" t="b">
        <f t="shared" si="796"/>
        <v>0</v>
      </c>
      <c r="BR402">
        <f t="shared" si="797"/>
        <v>1</v>
      </c>
      <c r="BS402" t="b">
        <f t="shared" si="798"/>
        <v>0</v>
      </c>
      <c r="BT402" t="b">
        <f t="shared" si="799"/>
        <v>0</v>
      </c>
      <c r="BU402" t="b">
        <f t="shared" si="800"/>
        <v>0</v>
      </c>
      <c r="BV402" t="b">
        <f t="shared" si="801"/>
        <v>0</v>
      </c>
      <c r="BW402" t="b">
        <f t="shared" si="802"/>
        <v>0</v>
      </c>
      <c r="BX402" t="b">
        <f t="shared" si="803"/>
        <v>0</v>
      </c>
      <c r="BY402" t="b">
        <f t="shared" si="804"/>
        <v>0</v>
      </c>
      <c r="BZ402" t="b">
        <f t="shared" si="805"/>
        <v>0</v>
      </c>
      <c r="CA402" t="b">
        <f t="shared" si="806"/>
        <v>0</v>
      </c>
      <c r="CB402" t="b">
        <f t="shared" si="807"/>
        <v>0</v>
      </c>
      <c r="CC402" t="b">
        <f t="shared" si="808"/>
        <v>0</v>
      </c>
      <c r="CD402" t="b">
        <f t="shared" si="809"/>
        <v>0</v>
      </c>
      <c r="CE402" t="b">
        <f t="shared" si="810"/>
        <v>0</v>
      </c>
      <c r="CF402" t="b">
        <f t="shared" si="811"/>
        <v>0</v>
      </c>
      <c r="CG402" t="b">
        <f t="shared" si="812"/>
        <v>0</v>
      </c>
      <c r="CH402" t="b">
        <f t="shared" si="813"/>
        <v>0</v>
      </c>
      <c r="CI402" t="b">
        <f t="shared" si="814"/>
        <v>0</v>
      </c>
      <c r="CJ402" t="b">
        <f t="shared" si="815"/>
        <v>0</v>
      </c>
      <c r="CK402" t="b">
        <f t="shared" si="816"/>
        <v>0</v>
      </c>
      <c r="CL402" t="b">
        <f t="shared" si="817"/>
        <v>0</v>
      </c>
      <c r="CM402">
        <f t="shared" si="818"/>
        <v>1</v>
      </c>
      <c r="CN402" t="b">
        <f t="shared" si="819"/>
        <v>0</v>
      </c>
      <c r="CO402" t="b">
        <f t="shared" si="820"/>
        <v>0</v>
      </c>
      <c r="CP402" t="b">
        <f t="shared" si="821"/>
        <v>0</v>
      </c>
      <c r="CQ402" t="b">
        <f t="shared" si="822"/>
        <v>0</v>
      </c>
      <c r="CR402" t="b">
        <f t="shared" si="823"/>
        <v>0</v>
      </c>
      <c r="CS402" t="b">
        <f t="shared" si="824"/>
        <v>0</v>
      </c>
      <c r="CT402" t="b">
        <f t="shared" si="825"/>
        <v>0</v>
      </c>
      <c r="CU402" t="b">
        <f t="shared" si="826"/>
        <v>0</v>
      </c>
      <c r="CV402" t="b">
        <f t="shared" si="827"/>
        <v>0</v>
      </c>
      <c r="CW402" t="b">
        <f t="shared" si="828"/>
        <v>0</v>
      </c>
      <c r="CX402" t="b">
        <f t="shared" si="829"/>
        <v>0</v>
      </c>
      <c r="CY402" t="b">
        <f t="shared" si="830"/>
        <v>0</v>
      </c>
      <c r="CZ402" t="b">
        <f t="shared" si="831"/>
        <v>0</v>
      </c>
      <c r="DA402" t="b">
        <f t="shared" si="832"/>
        <v>0</v>
      </c>
      <c r="DB402" t="b">
        <f t="shared" si="833"/>
        <v>0</v>
      </c>
      <c r="DC402" t="b">
        <f t="shared" si="834"/>
        <v>0</v>
      </c>
      <c r="DD402" t="b">
        <f t="shared" si="835"/>
        <v>0</v>
      </c>
      <c r="DE402" t="b">
        <f t="shared" si="836"/>
        <v>0</v>
      </c>
      <c r="DF402" t="b">
        <f t="shared" si="837"/>
        <v>0</v>
      </c>
      <c r="DG402" t="b">
        <f t="shared" si="838"/>
        <v>0</v>
      </c>
      <c r="DH402" t="b">
        <f t="shared" si="839"/>
        <v>0</v>
      </c>
      <c r="DI402" t="b">
        <f t="shared" si="840"/>
        <v>0</v>
      </c>
      <c r="DJ402" t="b">
        <f t="shared" si="841"/>
        <v>0</v>
      </c>
      <c r="DK402" t="b">
        <f t="shared" si="842"/>
        <v>0</v>
      </c>
      <c r="DL402" t="b">
        <f t="shared" si="843"/>
        <v>0</v>
      </c>
      <c r="DM402" t="b">
        <f t="shared" si="844"/>
        <v>0</v>
      </c>
      <c r="DN402" t="b">
        <f t="shared" si="845"/>
        <v>0</v>
      </c>
      <c r="DO402" t="b">
        <f t="shared" si="846"/>
        <v>0</v>
      </c>
      <c r="DP402" t="b">
        <f t="shared" si="847"/>
        <v>0</v>
      </c>
      <c r="DQ402" t="b">
        <f t="shared" si="848"/>
        <v>0</v>
      </c>
      <c r="DR402" t="b">
        <f t="shared" si="849"/>
        <v>0</v>
      </c>
      <c r="DS402" t="b">
        <f t="shared" si="850"/>
        <v>0</v>
      </c>
      <c r="DT402" t="b">
        <f t="shared" si="851"/>
        <v>0</v>
      </c>
      <c r="DU402" t="b">
        <f t="shared" si="852"/>
        <v>0</v>
      </c>
      <c r="DV402" t="b">
        <f t="shared" si="853"/>
        <v>0</v>
      </c>
      <c r="DW402" t="b">
        <f t="shared" si="854"/>
        <v>0</v>
      </c>
      <c r="DX402" t="b">
        <f t="shared" si="855"/>
        <v>0</v>
      </c>
      <c r="DY402" t="b">
        <f t="shared" si="856"/>
        <v>0</v>
      </c>
      <c r="DZ402" t="b">
        <f t="shared" si="857"/>
        <v>0</v>
      </c>
      <c r="EA402">
        <f t="shared" si="858"/>
        <v>1</v>
      </c>
      <c r="EB402" t="b">
        <f t="shared" si="859"/>
        <v>0</v>
      </c>
      <c r="EC402" t="b">
        <f t="shared" si="860"/>
        <v>0</v>
      </c>
      <c r="ED402" t="b">
        <f t="shared" si="861"/>
        <v>0</v>
      </c>
      <c r="EE402" t="b">
        <f t="shared" si="862"/>
        <v>0</v>
      </c>
      <c r="EF402">
        <f t="shared" si="863"/>
        <v>1</v>
      </c>
      <c r="EG402" t="b">
        <f t="shared" si="864"/>
        <v>0</v>
      </c>
      <c r="EH402" t="b">
        <f t="shared" si="865"/>
        <v>0</v>
      </c>
      <c r="EI402">
        <f t="shared" si="866"/>
        <v>1</v>
      </c>
      <c r="EJ402" t="b">
        <f t="shared" si="867"/>
        <v>0</v>
      </c>
      <c r="EK402" t="b">
        <f t="shared" si="868"/>
        <v>0</v>
      </c>
    </row>
    <row r="403" spans="1:141">
      <c r="A403" t="s">
        <v>2073</v>
      </c>
      <c r="B403" t="s">
        <v>2074</v>
      </c>
      <c r="C403" t="s">
        <v>2075</v>
      </c>
      <c r="D403" s="1">
        <v>41415</v>
      </c>
      <c r="E403" s="2">
        <v>42760.276805555557</v>
      </c>
      <c r="F403" s="2">
        <v>42760.276805555557</v>
      </c>
      <c r="G403">
        <v>75383</v>
      </c>
      <c r="H403" t="s">
        <v>2076</v>
      </c>
      <c r="I403" s="10" t="s">
        <v>2077</v>
      </c>
      <c r="J403" t="s">
        <v>2078</v>
      </c>
      <c r="K403" s="8" t="b">
        <v>1</v>
      </c>
      <c r="L403" s="10" t="b">
        <v>0</v>
      </c>
      <c r="M403" s="12" t="b">
        <v>1</v>
      </c>
      <c r="N403" t="b">
        <v>0</v>
      </c>
      <c r="O403" t="b">
        <v>0</v>
      </c>
      <c r="P403" t="b">
        <v>0</v>
      </c>
      <c r="Q403">
        <f t="shared" si="745"/>
        <v>3</v>
      </c>
      <c r="R403">
        <f t="shared" si="746"/>
        <v>5</v>
      </c>
      <c r="S403" t="e">
        <f t="shared" ca="1" si="776"/>
        <v>#NAME?</v>
      </c>
      <c r="T403" t="e">
        <f t="shared" ca="1" si="747"/>
        <v>#NAME?</v>
      </c>
      <c r="U403" s="4">
        <f t="shared" si="748"/>
        <v>1345.2768055555571</v>
      </c>
      <c r="V403" s="4">
        <f t="shared" si="749"/>
        <v>44.842560185185235</v>
      </c>
      <c r="W403" s="4">
        <f t="shared" si="750"/>
        <v>1</v>
      </c>
      <c r="X403" s="4">
        <f t="shared" si="751"/>
        <v>0</v>
      </c>
      <c r="Y403" s="4">
        <f t="shared" si="752"/>
        <v>1</v>
      </c>
      <c r="Z403" s="4">
        <f t="shared" si="753"/>
        <v>0</v>
      </c>
      <c r="AA403" s="4">
        <f t="shared" si="754"/>
        <v>0</v>
      </c>
      <c r="AB403" s="4">
        <f t="shared" si="755"/>
        <v>0</v>
      </c>
      <c r="AC403" s="4"/>
      <c r="AD403" s="4" t="b">
        <f t="shared" si="756"/>
        <v>0</v>
      </c>
      <c r="AE403" s="4" t="b">
        <f t="shared" si="757"/>
        <v>0</v>
      </c>
      <c r="AF403" s="4" t="b">
        <f t="shared" si="758"/>
        <v>0</v>
      </c>
      <c r="AG403" t="b">
        <f t="shared" si="759"/>
        <v>0</v>
      </c>
      <c r="AH403" t="b">
        <f t="shared" si="760"/>
        <v>0</v>
      </c>
      <c r="AI403" t="b">
        <f t="shared" si="761"/>
        <v>0</v>
      </c>
      <c r="AJ403" t="b">
        <f t="shared" si="762"/>
        <v>0</v>
      </c>
      <c r="AK403" t="b">
        <f t="shared" si="763"/>
        <v>0</v>
      </c>
      <c r="AL403" t="b">
        <f t="shared" si="764"/>
        <v>0</v>
      </c>
      <c r="AM403" t="b">
        <f t="shared" si="765"/>
        <v>0</v>
      </c>
      <c r="AN403" t="b">
        <f t="shared" si="766"/>
        <v>0</v>
      </c>
      <c r="AO403" t="b">
        <f t="shared" si="767"/>
        <v>0</v>
      </c>
      <c r="AP403" t="b">
        <f t="shared" si="768"/>
        <v>0</v>
      </c>
      <c r="AQ403" t="b">
        <f t="shared" si="769"/>
        <v>0</v>
      </c>
      <c r="AR403" t="b">
        <f t="shared" si="770"/>
        <v>0</v>
      </c>
      <c r="AS403" t="b">
        <f t="shared" si="771"/>
        <v>0</v>
      </c>
      <c r="AT403" t="b">
        <f t="shared" si="772"/>
        <v>0</v>
      </c>
      <c r="AU403" t="b">
        <f t="shared" si="773"/>
        <v>0</v>
      </c>
      <c r="AV403" t="b">
        <f t="shared" si="774"/>
        <v>0</v>
      </c>
      <c r="AW403" t="b">
        <f t="shared" si="775"/>
        <v>0</v>
      </c>
      <c r="AX403" t="b">
        <f t="shared" si="777"/>
        <v>0</v>
      </c>
      <c r="AY403" t="b">
        <f t="shared" si="778"/>
        <v>0</v>
      </c>
      <c r="AZ403" t="b">
        <f t="shared" si="779"/>
        <v>0</v>
      </c>
      <c r="BA403" t="b">
        <f t="shared" si="780"/>
        <v>0</v>
      </c>
      <c r="BB403" t="b">
        <f t="shared" si="781"/>
        <v>0</v>
      </c>
      <c r="BC403" t="b">
        <f t="shared" si="782"/>
        <v>0</v>
      </c>
      <c r="BD403" t="b">
        <f t="shared" si="783"/>
        <v>0</v>
      </c>
      <c r="BE403" t="b">
        <f t="shared" si="784"/>
        <v>0</v>
      </c>
      <c r="BF403" t="b">
        <f t="shared" si="785"/>
        <v>0</v>
      </c>
      <c r="BG403" t="b">
        <f t="shared" si="786"/>
        <v>0</v>
      </c>
      <c r="BH403" t="b">
        <f t="shared" si="787"/>
        <v>0</v>
      </c>
      <c r="BI403">
        <f t="shared" si="788"/>
        <v>1</v>
      </c>
      <c r="BJ403" t="b">
        <f t="shared" si="789"/>
        <v>0</v>
      </c>
      <c r="BK403" t="b">
        <f t="shared" si="790"/>
        <v>0</v>
      </c>
      <c r="BL403" t="b">
        <f t="shared" si="791"/>
        <v>0</v>
      </c>
      <c r="BM403" t="b">
        <f t="shared" si="792"/>
        <v>0</v>
      </c>
      <c r="BN403" t="b">
        <f t="shared" si="793"/>
        <v>0</v>
      </c>
      <c r="BO403" t="b">
        <f t="shared" si="794"/>
        <v>0</v>
      </c>
      <c r="BP403" t="b">
        <f t="shared" si="795"/>
        <v>0</v>
      </c>
      <c r="BQ403" t="b">
        <f t="shared" si="796"/>
        <v>0</v>
      </c>
      <c r="BR403" t="b">
        <f t="shared" si="797"/>
        <v>0</v>
      </c>
      <c r="BS403" t="b">
        <f t="shared" si="798"/>
        <v>0</v>
      </c>
      <c r="BT403" t="b">
        <f t="shared" si="799"/>
        <v>0</v>
      </c>
      <c r="BU403" t="b">
        <f t="shared" si="800"/>
        <v>0</v>
      </c>
      <c r="BV403" t="b">
        <f t="shared" si="801"/>
        <v>0</v>
      </c>
      <c r="BW403" t="b">
        <f t="shared" si="802"/>
        <v>0</v>
      </c>
      <c r="BX403" t="b">
        <f t="shared" si="803"/>
        <v>0</v>
      </c>
      <c r="BY403" t="b">
        <f t="shared" si="804"/>
        <v>0</v>
      </c>
      <c r="BZ403" t="b">
        <f t="shared" si="805"/>
        <v>0</v>
      </c>
      <c r="CA403" t="b">
        <f t="shared" si="806"/>
        <v>0</v>
      </c>
      <c r="CB403" t="b">
        <f t="shared" si="807"/>
        <v>0</v>
      </c>
      <c r="CC403" t="b">
        <f t="shared" si="808"/>
        <v>0</v>
      </c>
      <c r="CD403" t="b">
        <f t="shared" si="809"/>
        <v>0</v>
      </c>
      <c r="CE403">
        <f t="shared" si="810"/>
        <v>1</v>
      </c>
      <c r="CF403" t="b">
        <f t="shared" si="811"/>
        <v>0</v>
      </c>
      <c r="CG403" t="b">
        <f t="shared" si="812"/>
        <v>0</v>
      </c>
      <c r="CH403" t="b">
        <f t="shared" si="813"/>
        <v>0</v>
      </c>
      <c r="CI403" t="b">
        <f t="shared" si="814"/>
        <v>0</v>
      </c>
      <c r="CJ403" t="b">
        <f t="shared" si="815"/>
        <v>0</v>
      </c>
      <c r="CK403" t="b">
        <f t="shared" si="816"/>
        <v>0</v>
      </c>
      <c r="CL403" t="b">
        <f t="shared" si="817"/>
        <v>0</v>
      </c>
      <c r="CM403">
        <f t="shared" si="818"/>
        <v>1</v>
      </c>
      <c r="CN403" t="b">
        <f t="shared" si="819"/>
        <v>0</v>
      </c>
      <c r="CO403" t="b">
        <f t="shared" si="820"/>
        <v>0</v>
      </c>
      <c r="CP403" t="b">
        <f t="shared" si="821"/>
        <v>0</v>
      </c>
      <c r="CQ403" t="b">
        <f t="shared" si="822"/>
        <v>0</v>
      </c>
      <c r="CR403" t="b">
        <f t="shared" si="823"/>
        <v>0</v>
      </c>
      <c r="CS403" t="b">
        <f t="shared" si="824"/>
        <v>0</v>
      </c>
      <c r="CT403" t="b">
        <f t="shared" si="825"/>
        <v>0</v>
      </c>
      <c r="CU403" t="b">
        <f t="shared" si="826"/>
        <v>0</v>
      </c>
      <c r="CV403">
        <f t="shared" si="827"/>
        <v>1</v>
      </c>
      <c r="CW403" t="b">
        <f t="shared" si="828"/>
        <v>0</v>
      </c>
      <c r="CX403" t="b">
        <f t="shared" si="829"/>
        <v>0</v>
      </c>
      <c r="CY403" t="b">
        <f t="shared" si="830"/>
        <v>0</v>
      </c>
      <c r="CZ403" t="b">
        <f t="shared" si="831"/>
        <v>0</v>
      </c>
      <c r="DA403" t="b">
        <f t="shared" si="832"/>
        <v>0</v>
      </c>
      <c r="DB403" t="b">
        <f t="shared" si="833"/>
        <v>0</v>
      </c>
      <c r="DC403" t="b">
        <f t="shared" si="834"/>
        <v>0</v>
      </c>
      <c r="DD403" t="b">
        <f t="shared" si="835"/>
        <v>0</v>
      </c>
      <c r="DE403" t="b">
        <f t="shared" si="836"/>
        <v>0</v>
      </c>
      <c r="DF403" t="b">
        <f t="shared" si="837"/>
        <v>0</v>
      </c>
      <c r="DG403" t="b">
        <f t="shared" si="838"/>
        <v>0</v>
      </c>
      <c r="DH403" t="b">
        <f t="shared" si="839"/>
        <v>0</v>
      </c>
      <c r="DI403" t="b">
        <f t="shared" si="840"/>
        <v>0</v>
      </c>
      <c r="DJ403" t="b">
        <f t="shared" si="841"/>
        <v>0</v>
      </c>
      <c r="DK403" t="b">
        <f t="shared" si="842"/>
        <v>0</v>
      </c>
      <c r="DL403" t="b">
        <f t="shared" si="843"/>
        <v>0</v>
      </c>
      <c r="DM403" t="b">
        <f t="shared" si="844"/>
        <v>0</v>
      </c>
      <c r="DN403" t="b">
        <f t="shared" si="845"/>
        <v>0</v>
      </c>
      <c r="DO403" t="b">
        <f t="shared" si="846"/>
        <v>0</v>
      </c>
      <c r="DP403" t="b">
        <f t="shared" si="847"/>
        <v>0</v>
      </c>
      <c r="DQ403" t="b">
        <f t="shared" si="848"/>
        <v>0</v>
      </c>
      <c r="DR403" t="b">
        <f t="shared" si="849"/>
        <v>0</v>
      </c>
      <c r="DS403" t="b">
        <f t="shared" si="850"/>
        <v>0</v>
      </c>
      <c r="DT403" t="b">
        <f t="shared" si="851"/>
        <v>0</v>
      </c>
      <c r="DU403" t="b">
        <f t="shared" si="852"/>
        <v>0</v>
      </c>
      <c r="DV403" t="b">
        <f t="shared" si="853"/>
        <v>0</v>
      </c>
      <c r="DW403" t="b">
        <f t="shared" si="854"/>
        <v>0</v>
      </c>
      <c r="DX403" t="b">
        <f t="shared" si="855"/>
        <v>0</v>
      </c>
      <c r="DY403" t="b">
        <f t="shared" si="856"/>
        <v>0</v>
      </c>
      <c r="DZ403" t="b">
        <f t="shared" si="857"/>
        <v>0</v>
      </c>
      <c r="EA403" t="b">
        <f t="shared" si="858"/>
        <v>0</v>
      </c>
      <c r="EB403" t="b">
        <f t="shared" si="859"/>
        <v>0</v>
      </c>
      <c r="EC403" t="b">
        <f t="shared" si="860"/>
        <v>0</v>
      </c>
      <c r="ED403" t="b">
        <f t="shared" si="861"/>
        <v>0</v>
      </c>
      <c r="EE403" t="b">
        <f t="shared" si="862"/>
        <v>0</v>
      </c>
      <c r="EF403">
        <f t="shared" si="863"/>
        <v>1</v>
      </c>
      <c r="EG403" t="b">
        <f t="shared" si="864"/>
        <v>0</v>
      </c>
      <c r="EH403" t="b">
        <f t="shared" si="865"/>
        <v>0</v>
      </c>
      <c r="EI403">
        <f t="shared" si="866"/>
        <v>1</v>
      </c>
      <c r="EJ403" t="b">
        <f t="shared" si="867"/>
        <v>0</v>
      </c>
      <c r="EK403" t="b">
        <f t="shared" si="868"/>
        <v>0</v>
      </c>
    </row>
    <row r="404" spans="1:141">
      <c r="A404" t="s">
        <v>2079</v>
      </c>
      <c r="B404" t="s">
        <v>2080</v>
      </c>
      <c r="D404" s="1">
        <v>44003</v>
      </c>
      <c r="E404" s="2">
        <v>44887.803935185184</v>
      </c>
      <c r="F404" s="2">
        <v>44887.803935185184</v>
      </c>
      <c r="G404">
        <v>51730831</v>
      </c>
      <c r="H404" t="s">
        <v>2081</v>
      </c>
      <c r="I404" s="10" t="s">
        <v>160</v>
      </c>
      <c r="J404" t="s">
        <v>2082</v>
      </c>
      <c r="K404" s="8" t="b">
        <v>0</v>
      </c>
      <c r="L404" s="10" t="b">
        <v>0</v>
      </c>
      <c r="M404" s="12" t="b">
        <v>0</v>
      </c>
      <c r="N404" t="b">
        <v>0</v>
      </c>
      <c r="O404" t="b">
        <v>0</v>
      </c>
      <c r="P404" t="b">
        <v>0</v>
      </c>
      <c r="Q404">
        <f t="shared" si="745"/>
        <v>1</v>
      </c>
      <c r="R404">
        <f t="shared" si="746"/>
        <v>6</v>
      </c>
      <c r="S404" t="e">
        <f t="shared" ca="1" si="776"/>
        <v>#NAME?</v>
      </c>
      <c r="T404" t="e">
        <f t="shared" ca="1" si="747"/>
        <v>#NAME?</v>
      </c>
      <c r="U404" s="4">
        <f t="shared" si="748"/>
        <v>884.80393518518395</v>
      </c>
      <c r="V404" s="4">
        <f t="shared" si="749"/>
        <v>29.493464506172799</v>
      </c>
      <c r="W404" s="4">
        <f t="shared" si="750"/>
        <v>0</v>
      </c>
      <c r="X404" s="4">
        <f t="shared" si="751"/>
        <v>0</v>
      </c>
      <c r="Y404" s="4">
        <f t="shared" si="752"/>
        <v>0</v>
      </c>
      <c r="Z404" s="4">
        <f t="shared" si="753"/>
        <v>0</v>
      </c>
      <c r="AA404" s="4">
        <f t="shared" si="754"/>
        <v>0</v>
      </c>
      <c r="AB404" s="4">
        <f t="shared" si="755"/>
        <v>0</v>
      </c>
      <c r="AC404" s="4"/>
      <c r="AD404" s="4" t="b">
        <f t="shared" si="756"/>
        <v>0</v>
      </c>
      <c r="AE404" s="4" t="b">
        <f t="shared" si="757"/>
        <v>0</v>
      </c>
      <c r="AF404" s="4" t="b">
        <f t="shared" si="758"/>
        <v>0</v>
      </c>
      <c r="AG404" t="b">
        <f t="shared" si="759"/>
        <v>0</v>
      </c>
      <c r="AH404" t="b">
        <f t="shared" si="760"/>
        <v>0</v>
      </c>
      <c r="AI404" t="b">
        <f t="shared" si="761"/>
        <v>0</v>
      </c>
      <c r="AJ404" t="b">
        <f t="shared" si="762"/>
        <v>0</v>
      </c>
      <c r="AK404" t="b">
        <f t="shared" si="763"/>
        <v>0</v>
      </c>
      <c r="AL404" t="b">
        <f t="shared" si="764"/>
        <v>0</v>
      </c>
      <c r="AM404" t="b">
        <f t="shared" si="765"/>
        <v>0</v>
      </c>
      <c r="AN404" t="b">
        <f t="shared" si="766"/>
        <v>0</v>
      </c>
      <c r="AO404" t="b">
        <f t="shared" si="767"/>
        <v>0</v>
      </c>
      <c r="AP404" t="b">
        <f t="shared" si="768"/>
        <v>0</v>
      </c>
      <c r="AQ404" t="b">
        <f t="shared" si="769"/>
        <v>0</v>
      </c>
      <c r="AR404" t="b">
        <f t="shared" si="770"/>
        <v>0</v>
      </c>
      <c r="AS404" t="b">
        <f t="shared" si="771"/>
        <v>0</v>
      </c>
      <c r="AT404" t="b">
        <f t="shared" si="772"/>
        <v>0</v>
      </c>
      <c r="AU404" t="b">
        <f t="shared" si="773"/>
        <v>0</v>
      </c>
      <c r="AV404" t="b">
        <f t="shared" si="774"/>
        <v>0</v>
      </c>
      <c r="AW404" t="b">
        <f t="shared" si="775"/>
        <v>0</v>
      </c>
      <c r="AX404" t="b">
        <f t="shared" si="777"/>
        <v>0</v>
      </c>
      <c r="AY404" t="b">
        <f t="shared" si="778"/>
        <v>0</v>
      </c>
      <c r="AZ404" t="b">
        <f t="shared" si="779"/>
        <v>0</v>
      </c>
      <c r="BA404" t="b">
        <f t="shared" si="780"/>
        <v>0</v>
      </c>
      <c r="BB404" t="b">
        <f t="shared" si="781"/>
        <v>0</v>
      </c>
      <c r="BC404" t="b">
        <f t="shared" si="782"/>
        <v>0</v>
      </c>
      <c r="BD404" t="b">
        <f t="shared" si="783"/>
        <v>0</v>
      </c>
      <c r="BE404" t="b">
        <f t="shared" si="784"/>
        <v>0</v>
      </c>
      <c r="BF404" t="b">
        <f t="shared" si="785"/>
        <v>0</v>
      </c>
      <c r="BG404" t="b">
        <f t="shared" si="786"/>
        <v>0</v>
      </c>
      <c r="BH404" t="b">
        <f t="shared" si="787"/>
        <v>0</v>
      </c>
      <c r="BI404">
        <f t="shared" si="788"/>
        <v>1</v>
      </c>
      <c r="BJ404" t="b">
        <f t="shared" si="789"/>
        <v>0</v>
      </c>
      <c r="BK404" t="b">
        <f t="shared" si="790"/>
        <v>0</v>
      </c>
      <c r="BL404" t="b">
        <f t="shared" si="791"/>
        <v>0</v>
      </c>
      <c r="BM404" t="b">
        <f t="shared" si="792"/>
        <v>0</v>
      </c>
      <c r="BN404" t="b">
        <f t="shared" si="793"/>
        <v>0</v>
      </c>
      <c r="BO404" t="b">
        <f t="shared" si="794"/>
        <v>0</v>
      </c>
      <c r="BP404" t="b">
        <f t="shared" si="795"/>
        <v>0</v>
      </c>
      <c r="BQ404" t="b">
        <f t="shared" si="796"/>
        <v>0</v>
      </c>
      <c r="BR404" t="b">
        <f t="shared" si="797"/>
        <v>0</v>
      </c>
      <c r="BS404" t="b">
        <f t="shared" si="798"/>
        <v>0</v>
      </c>
      <c r="BT404" t="b">
        <f t="shared" si="799"/>
        <v>0</v>
      </c>
      <c r="BU404" t="b">
        <f t="shared" si="800"/>
        <v>0</v>
      </c>
      <c r="BV404" t="b">
        <f t="shared" si="801"/>
        <v>0</v>
      </c>
      <c r="BW404" t="b">
        <f t="shared" si="802"/>
        <v>0</v>
      </c>
      <c r="BX404" t="b">
        <f t="shared" si="803"/>
        <v>0</v>
      </c>
      <c r="BY404" t="b">
        <f t="shared" si="804"/>
        <v>0</v>
      </c>
      <c r="BZ404" t="b">
        <f t="shared" si="805"/>
        <v>0</v>
      </c>
      <c r="CA404" t="b">
        <f t="shared" si="806"/>
        <v>0</v>
      </c>
      <c r="CB404" t="b">
        <f t="shared" si="807"/>
        <v>0</v>
      </c>
      <c r="CC404" t="b">
        <f t="shared" si="808"/>
        <v>0</v>
      </c>
      <c r="CD404" t="b">
        <f t="shared" si="809"/>
        <v>0</v>
      </c>
      <c r="CE404">
        <f t="shared" si="810"/>
        <v>1</v>
      </c>
      <c r="CF404" t="b">
        <f t="shared" si="811"/>
        <v>0</v>
      </c>
      <c r="CG404" t="b">
        <f t="shared" si="812"/>
        <v>0</v>
      </c>
      <c r="CH404" t="b">
        <f t="shared" si="813"/>
        <v>0</v>
      </c>
      <c r="CI404" t="b">
        <f t="shared" si="814"/>
        <v>0</v>
      </c>
      <c r="CJ404" t="b">
        <f t="shared" si="815"/>
        <v>0</v>
      </c>
      <c r="CK404" t="b">
        <f t="shared" si="816"/>
        <v>0</v>
      </c>
      <c r="CL404" t="b">
        <f t="shared" si="817"/>
        <v>0</v>
      </c>
      <c r="CM404">
        <f t="shared" si="818"/>
        <v>1</v>
      </c>
      <c r="CN404" t="b">
        <f t="shared" si="819"/>
        <v>0</v>
      </c>
      <c r="CO404" t="b">
        <f t="shared" si="820"/>
        <v>0</v>
      </c>
      <c r="CP404" t="b">
        <f t="shared" si="821"/>
        <v>0</v>
      </c>
      <c r="CQ404" t="b">
        <f t="shared" si="822"/>
        <v>0</v>
      </c>
      <c r="CR404" t="b">
        <f t="shared" si="823"/>
        <v>0</v>
      </c>
      <c r="CS404" t="b">
        <f t="shared" si="824"/>
        <v>0</v>
      </c>
      <c r="CT404" t="b">
        <f t="shared" si="825"/>
        <v>0</v>
      </c>
      <c r="CU404" t="b">
        <f t="shared" si="826"/>
        <v>0</v>
      </c>
      <c r="CV404" t="b">
        <f t="shared" si="827"/>
        <v>0</v>
      </c>
      <c r="CW404" t="b">
        <f t="shared" si="828"/>
        <v>0</v>
      </c>
      <c r="CX404" t="b">
        <f t="shared" si="829"/>
        <v>0</v>
      </c>
      <c r="CY404" t="b">
        <f t="shared" si="830"/>
        <v>0</v>
      </c>
      <c r="CZ404" t="b">
        <f t="shared" si="831"/>
        <v>0</v>
      </c>
      <c r="DA404">
        <f t="shared" si="832"/>
        <v>1</v>
      </c>
      <c r="DB404">
        <f t="shared" si="833"/>
        <v>1</v>
      </c>
      <c r="DC404" t="b">
        <f t="shared" si="834"/>
        <v>0</v>
      </c>
      <c r="DD404" t="b">
        <f t="shared" si="835"/>
        <v>0</v>
      </c>
      <c r="DE404" t="b">
        <f t="shared" si="836"/>
        <v>0</v>
      </c>
      <c r="DF404" t="b">
        <f t="shared" si="837"/>
        <v>0</v>
      </c>
      <c r="DG404" t="b">
        <f t="shared" si="838"/>
        <v>0</v>
      </c>
      <c r="DH404" t="b">
        <f t="shared" si="839"/>
        <v>0</v>
      </c>
      <c r="DI404" t="b">
        <f t="shared" si="840"/>
        <v>0</v>
      </c>
      <c r="DJ404" t="b">
        <f t="shared" si="841"/>
        <v>0</v>
      </c>
      <c r="DK404" t="b">
        <f t="shared" si="842"/>
        <v>0</v>
      </c>
      <c r="DL404" t="b">
        <f t="shared" si="843"/>
        <v>0</v>
      </c>
      <c r="DM404" t="b">
        <f t="shared" si="844"/>
        <v>0</v>
      </c>
      <c r="DN404" t="b">
        <f t="shared" si="845"/>
        <v>0</v>
      </c>
      <c r="DO404" t="b">
        <f t="shared" si="846"/>
        <v>0</v>
      </c>
      <c r="DP404" t="b">
        <f t="shared" si="847"/>
        <v>0</v>
      </c>
      <c r="DQ404" t="b">
        <f t="shared" si="848"/>
        <v>0</v>
      </c>
      <c r="DR404" t="b">
        <f t="shared" si="849"/>
        <v>0</v>
      </c>
      <c r="DS404" t="b">
        <f t="shared" si="850"/>
        <v>0</v>
      </c>
      <c r="DT404" t="b">
        <f t="shared" si="851"/>
        <v>0</v>
      </c>
      <c r="DU404" t="b">
        <f t="shared" si="852"/>
        <v>0</v>
      </c>
      <c r="DV404" t="b">
        <f t="shared" si="853"/>
        <v>0</v>
      </c>
      <c r="DW404" t="b">
        <f t="shared" si="854"/>
        <v>0</v>
      </c>
      <c r="DX404" t="b">
        <f t="shared" si="855"/>
        <v>0</v>
      </c>
      <c r="DY404" t="b">
        <f t="shared" si="856"/>
        <v>0</v>
      </c>
      <c r="DZ404" t="b">
        <f t="shared" si="857"/>
        <v>0</v>
      </c>
      <c r="EA404" t="b">
        <f t="shared" si="858"/>
        <v>0</v>
      </c>
      <c r="EB404" t="b">
        <f t="shared" si="859"/>
        <v>0</v>
      </c>
      <c r="EC404" t="b">
        <f t="shared" si="860"/>
        <v>0</v>
      </c>
      <c r="ED404" t="b">
        <f t="shared" si="861"/>
        <v>0</v>
      </c>
      <c r="EE404" t="b">
        <f t="shared" si="862"/>
        <v>0</v>
      </c>
      <c r="EF404" t="b">
        <f t="shared" si="863"/>
        <v>0</v>
      </c>
      <c r="EG404" t="b">
        <f t="shared" si="864"/>
        <v>0</v>
      </c>
      <c r="EH404" t="b">
        <f t="shared" si="865"/>
        <v>0</v>
      </c>
      <c r="EI404" t="b">
        <f t="shared" si="866"/>
        <v>0</v>
      </c>
      <c r="EJ404" t="b">
        <f t="shared" si="867"/>
        <v>0</v>
      </c>
      <c r="EK404" t="b">
        <f t="shared" si="868"/>
        <v>0</v>
      </c>
    </row>
    <row r="405" spans="1:141">
      <c r="A405" t="s">
        <v>2083</v>
      </c>
      <c r="B405" t="s">
        <v>2084</v>
      </c>
      <c r="C405" t="s">
        <v>2085</v>
      </c>
      <c r="D405" s="1">
        <v>43971</v>
      </c>
      <c r="E405" s="2">
        <v>43975.295636574076</v>
      </c>
      <c r="F405" s="2">
        <v>43975.295636574076</v>
      </c>
      <c r="G405">
        <v>43491</v>
      </c>
      <c r="H405" t="s">
        <v>2086</v>
      </c>
      <c r="I405" s="10" t="s">
        <v>2087</v>
      </c>
      <c r="J405" t="s">
        <v>784</v>
      </c>
      <c r="K405" s="8" t="b">
        <v>1</v>
      </c>
      <c r="L405" s="10" t="b">
        <v>0</v>
      </c>
      <c r="M405" s="12" t="b">
        <v>0</v>
      </c>
      <c r="N405" t="b">
        <v>0</v>
      </c>
      <c r="O405" t="b">
        <v>0</v>
      </c>
      <c r="P405" t="b">
        <v>0</v>
      </c>
      <c r="Q405">
        <f t="shared" si="745"/>
        <v>4</v>
      </c>
      <c r="R405">
        <f t="shared" si="746"/>
        <v>5</v>
      </c>
      <c r="S405" t="e">
        <f t="shared" ca="1" si="776"/>
        <v>#NAME?</v>
      </c>
      <c r="T405" t="e">
        <f t="shared" ca="1" si="747"/>
        <v>#NAME?</v>
      </c>
      <c r="U405" s="4">
        <f t="shared" si="748"/>
        <v>4.2956365740756155</v>
      </c>
      <c r="V405" s="4">
        <f t="shared" si="749"/>
        <v>0.14318788580252051</v>
      </c>
      <c r="W405" s="4">
        <f t="shared" si="750"/>
        <v>1</v>
      </c>
      <c r="X405" s="4">
        <f t="shared" si="751"/>
        <v>0</v>
      </c>
      <c r="Y405" s="4">
        <f t="shared" si="752"/>
        <v>0</v>
      </c>
      <c r="Z405" s="4">
        <f t="shared" si="753"/>
        <v>0</v>
      </c>
      <c r="AA405" s="4">
        <f t="shared" si="754"/>
        <v>0</v>
      </c>
      <c r="AB405" s="4">
        <f t="shared" si="755"/>
        <v>0</v>
      </c>
      <c r="AC405" s="4"/>
      <c r="AD405" s="4" t="b">
        <f t="shared" si="756"/>
        <v>0</v>
      </c>
      <c r="AE405" s="4" t="b">
        <f t="shared" si="757"/>
        <v>0</v>
      </c>
      <c r="AF405" s="4" t="b">
        <f t="shared" si="758"/>
        <v>0</v>
      </c>
      <c r="AG405" t="b">
        <f t="shared" si="759"/>
        <v>0</v>
      </c>
      <c r="AH405" t="b">
        <f t="shared" si="760"/>
        <v>0</v>
      </c>
      <c r="AI405" t="b">
        <f t="shared" si="761"/>
        <v>0</v>
      </c>
      <c r="AJ405" t="b">
        <f t="shared" si="762"/>
        <v>0</v>
      </c>
      <c r="AK405" t="b">
        <f t="shared" si="763"/>
        <v>0</v>
      </c>
      <c r="AL405" t="b">
        <f t="shared" si="764"/>
        <v>0</v>
      </c>
      <c r="AM405" t="b">
        <f t="shared" si="765"/>
        <v>0</v>
      </c>
      <c r="AN405" t="b">
        <f t="shared" si="766"/>
        <v>0</v>
      </c>
      <c r="AO405" t="b">
        <f t="shared" si="767"/>
        <v>0</v>
      </c>
      <c r="AP405" t="b">
        <f t="shared" si="768"/>
        <v>0</v>
      </c>
      <c r="AQ405" t="b">
        <f t="shared" si="769"/>
        <v>0</v>
      </c>
      <c r="AR405" t="b">
        <f t="shared" si="770"/>
        <v>0</v>
      </c>
      <c r="AS405" t="b">
        <f t="shared" si="771"/>
        <v>0</v>
      </c>
      <c r="AT405" t="b">
        <f t="shared" si="772"/>
        <v>0</v>
      </c>
      <c r="AU405" t="b">
        <f t="shared" si="773"/>
        <v>0</v>
      </c>
      <c r="AV405" t="b">
        <f t="shared" si="774"/>
        <v>0</v>
      </c>
      <c r="AW405" t="b">
        <f t="shared" si="775"/>
        <v>0</v>
      </c>
      <c r="AX405" t="b">
        <f t="shared" si="777"/>
        <v>0</v>
      </c>
      <c r="AY405" t="b">
        <f t="shared" si="778"/>
        <v>0</v>
      </c>
      <c r="AZ405" t="b">
        <f t="shared" si="779"/>
        <v>0</v>
      </c>
      <c r="BA405" t="b">
        <f t="shared" si="780"/>
        <v>0</v>
      </c>
      <c r="BB405" t="b">
        <f t="shared" si="781"/>
        <v>0</v>
      </c>
      <c r="BC405" t="b">
        <f t="shared" si="782"/>
        <v>0</v>
      </c>
      <c r="BD405" t="b">
        <f t="shared" si="783"/>
        <v>0</v>
      </c>
      <c r="BE405" t="b">
        <f t="shared" si="784"/>
        <v>0</v>
      </c>
      <c r="BF405" t="b">
        <f t="shared" si="785"/>
        <v>0</v>
      </c>
      <c r="BG405" t="b">
        <f t="shared" si="786"/>
        <v>0</v>
      </c>
      <c r="BH405" t="b">
        <f t="shared" si="787"/>
        <v>0</v>
      </c>
      <c r="BI405">
        <f t="shared" si="788"/>
        <v>1</v>
      </c>
      <c r="BJ405" t="b">
        <f t="shared" si="789"/>
        <v>0</v>
      </c>
      <c r="BK405" t="b">
        <f t="shared" si="790"/>
        <v>0</v>
      </c>
      <c r="BL405" t="b">
        <f t="shared" si="791"/>
        <v>0</v>
      </c>
      <c r="BM405" t="b">
        <f t="shared" si="792"/>
        <v>0</v>
      </c>
      <c r="BN405" t="b">
        <f t="shared" si="793"/>
        <v>0</v>
      </c>
      <c r="BO405" t="b">
        <f t="shared" si="794"/>
        <v>0</v>
      </c>
      <c r="BP405" t="b">
        <f t="shared" si="795"/>
        <v>0</v>
      </c>
      <c r="BQ405" t="b">
        <f t="shared" si="796"/>
        <v>0</v>
      </c>
      <c r="BR405" t="b">
        <f t="shared" si="797"/>
        <v>0</v>
      </c>
      <c r="BS405" t="b">
        <f t="shared" si="798"/>
        <v>0</v>
      </c>
      <c r="BT405" t="b">
        <f t="shared" si="799"/>
        <v>0</v>
      </c>
      <c r="BU405" t="b">
        <f t="shared" si="800"/>
        <v>0</v>
      </c>
      <c r="BV405" t="b">
        <f t="shared" si="801"/>
        <v>0</v>
      </c>
      <c r="BW405" t="b">
        <f t="shared" si="802"/>
        <v>0</v>
      </c>
      <c r="BX405" t="b">
        <f t="shared" si="803"/>
        <v>0</v>
      </c>
      <c r="BY405" t="b">
        <f t="shared" si="804"/>
        <v>0</v>
      </c>
      <c r="BZ405" t="b">
        <f t="shared" si="805"/>
        <v>0</v>
      </c>
      <c r="CA405" t="b">
        <f t="shared" si="806"/>
        <v>0</v>
      </c>
      <c r="CB405" t="b">
        <f t="shared" si="807"/>
        <v>0</v>
      </c>
      <c r="CC405" t="b">
        <f t="shared" si="808"/>
        <v>0</v>
      </c>
      <c r="CD405" t="b">
        <f t="shared" si="809"/>
        <v>0</v>
      </c>
      <c r="CE405">
        <f t="shared" si="810"/>
        <v>1</v>
      </c>
      <c r="CF405" t="b">
        <f t="shared" si="811"/>
        <v>0</v>
      </c>
      <c r="CG405" t="b">
        <f t="shared" si="812"/>
        <v>0</v>
      </c>
      <c r="CH405" t="b">
        <f t="shared" si="813"/>
        <v>0</v>
      </c>
      <c r="CI405" t="b">
        <f t="shared" si="814"/>
        <v>0</v>
      </c>
      <c r="CJ405" t="b">
        <f t="shared" si="815"/>
        <v>0</v>
      </c>
      <c r="CK405" t="b">
        <f t="shared" si="816"/>
        <v>0</v>
      </c>
      <c r="CL405" t="b">
        <f t="shared" si="817"/>
        <v>0</v>
      </c>
      <c r="CM405" t="b">
        <f t="shared" si="818"/>
        <v>0</v>
      </c>
      <c r="CN405" t="b">
        <f t="shared" si="819"/>
        <v>0</v>
      </c>
      <c r="CO405" t="b">
        <f t="shared" si="820"/>
        <v>0</v>
      </c>
      <c r="CP405" t="b">
        <f t="shared" si="821"/>
        <v>0</v>
      </c>
      <c r="CQ405" t="b">
        <f t="shared" si="822"/>
        <v>0</v>
      </c>
      <c r="CR405" t="b">
        <f t="shared" si="823"/>
        <v>0</v>
      </c>
      <c r="CS405" t="b">
        <f t="shared" si="824"/>
        <v>0</v>
      </c>
      <c r="CT405" t="b">
        <f t="shared" si="825"/>
        <v>0</v>
      </c>
      <c r="CU405" t="b">
        <f t="shared" si="826"/>
        <v>0</v>
      </c>
      <c r="CV405">
        <f t="shared" si="827"/>
        <v>1</v>
      </c>
      <c r="CW405" t="b">
        <f t="shared" si="828"/>
        <v>0</v>
      </c>
      <c r="CX405" t="b">
        <f t="shared" si="829"/>
        <v>0</v>
      </c>
      <c r="CY405" t="b">
        <f t="shared" si="830"/>
        <v>0</v>
      </c>
      <c r="CZ405" t="b">
        <f t="shared" si="831"/>
        <v>0</v>
      </c>
      <c r="DA405" t="b">
        <f t="shared" si="832"/>
        <v>0</v>
      </c>
      <c r="DB405" t="b">
        <f t="shared" si="833"/>
        <v>0</v>
      </c>
      <c r="DC405" t="b">
        <f t="shared" si="834"/>
        <v>0</v>
      </c>
      <c r="DD405" t="b">
        <f t="shared" si="835"/>
        <v>0</v>
      </c>
      <c r="DE405" t="b">
        <f t="shared" si="836"/>
        <v>0</v>
      </c>
      <c r="DF405" t="b">
        <f t="shared" si="837"/>
        <v>0</v>
      </c>
      <c r="DG405">
        <f t="shared" si="838"/>
        <v>1</v>
      </c>
      <c r="DH405" t="b">
        <f t="shared" si="839"/>
        <v>0</v>
      </c>
      <c r="DI405" t="b">
        <f t="shared" si="840"/>
        <v>0</v>
      </c>
      <c r="DJ405" t="b">
        <f t="shared" si="841"/>
        <v>0</v>
      </c>
      <c r="DK405" t="b">
        <f t="shared" si="842"/>
        <v>0</v>
      </c>
      <c r="DL405" t="b">
        <f t="shared" si="843"/>
        <v>0</v>
      </c>
      <c r="DM405" t="b">
        <f t="shared" si="844"/>
        <v>0</v>
      </c>
      <c r="DN405" t="b">
        <f t="shared" si="845"/>
        <v>0</v>
      </c>
      <c r="DO405" t="b">
        <f t="shared" si="846"/>
        <v>0</v>
      </c>
      <c r="DP405" t="b">
        <f t="shared" si="847"/>
        <v>0</v>
      </c>
      <c r="DQ405" t="b">
        <f t="shared" si="848"/>
        <v>0</v>
      </c>
      <c r="DR405" t="b">
        <f t="shared" si="849"/>
        <v>0</v>
      </c>
      <c r="DS405" t="b">
        <f t="shared" si="850"/>
        <v>0</v>
      </c>
      <c r="DT405" t="b">
        <f t="shared" si="851"/>
        <v>0</v>
      </c>
      <c r="DU405" t="b">
        <f t="shared" si="852"/>
        <v>0</v>
      </c>
      <c r="DV405" t="b">
        <f t="shared" si="853"/>
        <v>0</v>
      </c>
      <c r="DW405" t="b">
        <f t="shared" si="854"/>
        <v>0</v>
      </c>
      <c r="DX405" t="b">
        <f t="shared" si="855"/>
        <v>0</v>
      </c>
      <c r="DY405" t="b">
        <f t="shared" si="856"/>
        <v>0</v>
      </c>
      <c r="DZ405" t="b">
        <f t="shared" si="857"/>
        <v>0</v>
      </c>
      <c r="EA405" t="b">
        <f t="shared" si="858"/>
        <v>0</v>
      </c>
      <c r="EB405" t="b">
        <f t="shared" si="859"/>
        <v>0</v>
      </c>
      <c r="EC405" t="b">
        <f t="shared" si="860"/>
        <v>0</v>
      </c>
      <c r="ED405" t="b">
        <f t="shared" si="861"/>
        <v>0</v>
      </c>
      <c r="EE405" t="b">
        <f t="shared" si="862"/>
        <v>0</v>
      </c>
      <c r="EF405">
        <f t="shared" si="863"/>
        <v>1</v>
      </c>
      <c r="EG405" t="b">
        <f t="shared" si="864"/>
        <v>0</v>
      </c>
      <c r="EH405" t="b">
        <f t="shared" si="865"/>
        <v>0</v>
      </c>
      <c r="EI405" t="b">
        <f t="shared" si="866"/>
        <v>0</v>
      </c>
      <c r="EJ405" t="b">
        <f t="shared" si="867"/>
        <v>0</v>
      </c>
      <c r="EK405" t="b">
        <f t="shared" si="868"/>
        <v>0</v>
      </c>
    </row>
    <row r="406" spans="1:141">
      <c r="A406" t="s">
        <v>2088</v>
      </c>
      <c r="B406" t="s">
        <v>2089</v>
      </c>
      <c r="C406" t="s">
        <v>2090</v>
      </c>
      <c r="D406" s="1">
        <v>42496</v>
      </c>
      <c r="E406" s="2">
        <v>42499.477789351855</v>
      </c>
      <c r="F406" s="2">
        <v>43975.291932870372</v>
      </c>
      <c r="G406">
        <v>599080</v>
      </c>
      <c r="H406" t="s">
        <v>2091</v>
      </c>
      <c r="I406" s="10" t="s">
        <v>2092</v>
      </c>
      <c r="J406" t="s">
        <v>2093</v>
      </c>
      <c r="K406" s="8" t="b">
        <v>1</v>
      </c>
      <c r="L406" s="10" t="b">
        <v>0</v>
      </c>
      <c r="M406" s="12" t="b">
        <v>0</v>
      </c>
      <c r="N406" t="b">
        <v>0</v>
      </c>
      <c r="O406" t="b">
        <v>0</v>
      </c>
      <c r="P406" t="b">
        <v>0</v>
      </c>
      <c r="Q406">
        <f t="shared" si="745"/>
        <v>6</v>
      </c>
      <c r="R406">
        <f t="shared" si="746"/>
        <v>5</v>
      </c>
      <c r="S406" t="e">
        <f t="shared" ca="1" si="776"/>
        <v>#NAME?</v>
      </c>
      <c r="T406" t="e">
        <f t="shared" ca="1" si="747"/>
        <v>#NAME?</v>
      </c>
      <c r="U406" s="4">
        <f t="shared" si="748"/>
        <v>3.4777893518548808</v>
      </c>
      <c r="V406" s="4">
        <f t="shared" si="749"/>
        <v>0.11592631172849603</v>
      </c>
      <c r="W406" s="4">
        <f t="shared" si="750"/>
        <v>1</v>
      </c>
      <c r="X406" s="4">
        <f t="shared" si="751"/>
        <v>0</v>
      </c>
      <c r="Y406" s="4">
        <f t="shared" si="752"/>
        <v>0</v>
      </c>
      <c r="Z406" s="4">
        <f t="shared" si="753"/>
        <v>0</v>
      </c>
      <c r="AA406" s="4">
        <f t="shared" si="754"/>
        <v>0</v>
      </c>
      <c r="AB406" s="4">
        <f t="shared" si="755"/>
        <v>0</v>
      </c>
      <c r="AC406" s="4"/>
      <c r="AD406" s="4" t="b">
        <f t="shared" si="756"/>
        <v>0</v>
      </c>
      <c r="AE406" s="4" t="b">
        <f t="shared" si="757"/>
        <v>0</v>
      </c>
      <c r="AF406" s="4" t="b">
        <f t="shared" si="758"/>
        <v>0</v>
      </c>
      <c r="AG406" t="b">
        <f t="shared" si="759"/>
        <v>0</v>
      </c>
      <c r="AH406" t="b">
        <f t="shared" si="760"/>
        <v>0</v>
      </c>
      <c r="AI406" t="b">
        <f t="shared" si="761"/>
        <v>0</v>
      </c>
      <c r="AJ406" t="b">
        <f t="shared" si="762"/>
        <v>0</v>
      </c>
      <c r="AK406" t="b">
        <f t="shared" si="763"/>
        <v>0</v>
      </c>
      <c r="AL406" t="b">
        <f t="shared" si="764"/>
        <v>0</v>
      </c>
      <c r="AM406" t="b">
        <f t="shared" si="765"/>
        <v>0</v>
      </c>
      <c r="AN406" t="b">
        <f t="shared" si="766"/>
        <v>0</v>
      </c>
      <c r="AO406" t="b">
        <f t="shared" si="767"/>
        <v>0</v>
      </c>
      <c r="AP406" t="b">
        <f t="shared" si="768"/>
        <v>0</v>
      </c>
      <c r="AQ406" t="b">
        <f t="shared" si="769"/>
        <v>0</v>
      </c>
      <c r="AR406" t="b">
        <f t="shared" si="770"/>
        <v>0</v>
      </c>
      <c r="AS406" t="b">
        <f t="shared" si="771"/>
        <v>0</v>
      </c>
      <c r="AT406" t="b">
        <f t="shared" si="772"/>
        <v>0</v>
      </c>
      <c r="AU406" t="b">
        <f t="shared" si="773"/>
        <v>0</v>
      </c>
      <c r="AV406" t="b">
        <f t="shared" si="774"/>
        <v>0</v>
      </c>
      <c r="AW406" t="b">
        <f t="shared" si="775"/>
        <v>0</v>
      </c>
      <c r="AX406" t="b">
        <f t="shared" si="777"/>
        <v>0</v>
      </c>
      <c r="AY406" t="b">
        <f t="shared" si="778"/>
        <v>0</v>
      </c>
      <c r="AZ406">
        <f t="shared" si="779"/>
        <v>1</v>
      </c>
      <c r="BA406" t="b">
        <f t="shared" si="780"/>
        <v>0</v>
      </c>
      <c r="BB406" t="b">
        <f t="shared" si="781"/>
        <v>0</v>
      </c>
      <c r="BC406" t="b">
        <f t="shared" si="782"/>
        <v>0</v>
      </c>
      <c r="BD406" t="b">
        <f t="shared" si="783"/>
        <v>0</v>
      </c>
      <c r="BE406" t="b">
        <f t="shared" si="784"/>
        <v>0</v>
      </c>
      <c r="BF406" t="b">
        <f t="shared" si="785"/>
        <v>0</v>
      </c>
      <c r="BG406" t="b">
        <f t="shared" si="786"/>
        <v>0</v>
      </c>
      <c r="BH406" t="b">
        <f t="shared" si="787"/>
        <v>0</v>
      </c>
      <c r="BI406">
        <f t="shared" si="788"/>
        <v>1</v>
      </c>
      <c r="BJ406" t="b">
        <f t="shared" si="789"/>
        <v>0</v>
      </c>
      <c r="BK406" t="b">
        <f t="shared" si="790"/>
        <v>0</v>
      </c>
      <c r="BL406" t="b">
        <f t="shared" si="791"/>
        <v>0</v>
      </c>
      <c r="BM406" t="b">
        <f t="shared" si="792"/>
        <v>0</v>
      </c>
      <c r="BN406" t="b">
        <f t="shared" si="793"/>
        <v>0</v>
      </c>
      <c r="BO406" t="b">
        <f t="shared" si="794"/>
        <v>0</v>
      </c>
      <c r="BP406" t="b">
        <f t="shared" si="795"/>
        <v>0</v>
      </c>
      <c r="BQ406" t="b">
        <f t="shared" si="796"/>
        <v>0</v>
      </c>
      <c r="BR406" t="b">
        <f t="shared" si="797"/>
        <v>0</v>
      </c>
      <c r="BS406" t="b">
        <f t="shared" si="798"/>
        <v>0</v>
      </c>
      <c r="BT406" t="b">
        <f t="shared" si="799"/>
        <v>0</v>
      </c>
      <c r="BU406" t="b">
        <f t="shared" si="800"/>
        <v>0</v>
      </c>
      <c r="BV406" t="b">
        <f t="shared" si="801"/>
        <v>0</v>
      </c>
      <c r="BW406" t="b">
        <f t="shared" si="802"/>
        <v>0</v>
      </c>
      <c r="BX406" t="b">
        <f t="shared" si="803"/>
        <v>0</v>
      </c>
      <c r="BY406" t="b">
        <f t="shared" si="804"/>
        <v>0</v>
      </c>
      <c r="BZ406" t="b">
        <f t="shared" si="805"/>
        <v>0</v>
      </c>
      <c r="CA406" t="b">
        <f t="shared" si="806"/>
        <v>0</v>
      </c>
      <c r="CB406" t="b">
        <f t="shared" si="807"/>
        <v>0</v>
      </c>
      <c r="CC406" t="b">
        <f t="shared" si="808"/>
        <v>0</v>
      </c>
      <c r="CD406" t="b">
        <f t="shared" si="809"/>
        <v>0</v>
      </c>
      <c r="CE406">
        <f t="shared" si="810"/>
        <v>1</v>
      </c>
      <c r="CF406" t="b">
        <f t="shared" si="811"/>
        <v>0</v>
      </c>
      <c r="CG406" t="b">
        <f t="shared" si="812"/>
        <v>0</v>
      </c>
      <c r="CH406" t="b">
        <f t="shared" si="813"/>
        <v>0</v>
      </c>
      <c r="CI406" t="b">
        <f t="shared" si="814"/>
        <v>0</v>
      </c>
      <c r="CJ406" t="b">
        <f t="shared" si="815"/>
        <v>0</v>
      </c>
      <c r="CK406" t="b">
        <f t="shared" si="816"/>
        <v>0</v>
      </c>
      <c r="CL406" t="b">
        <f t="shared" si="817"/>
        <v>0</v>
      </c>
      <c r="CM406" t="b">
        <f t="shared" si="818"/>
        <v>0</v>
      </c>
      <c r="CN406" t="b">
        <f t="shared" si="819"/>
        <v>0</v>
      </c>
      <c r="CO406" t="b">
        <f t="shared" si="820"/>
        <v>0</v>
      </c>
      <c r="CP406" t="b">
        <f t="shared" si="821"/>
        <v>0</v>
      </c>
      <c r="CQ406" t="b">
        <f t="shared" si="822"/>
        <v>0</v>
      </c>
      <c r="CR406" t="b">
        <f t="shared" si="823"/>
        <v>0</v>
      </c>
      <c r="CS406" t="b">
        <f t="shared" si="824"/>
        <v>0</v>
      </c>
      <c r="CT406" t="b">
        <f t="shared" si="825"/>
        <v>0</v>
      </c>
      <c r="CU406" t="b">
        <f t="shared" si="826"/>
        <v>0</v>
      </c>
      <c r="CV406">
        <f t="shared" si="827"/>
        <v>1</v>
      </c>
      <c r="CW406" t="b">
        <f t="shared" si="828"/>
        <v>0</v>
      </c>
      <c r="CX406" t="b">
        <f t="shared" si="829"/>
        <v>0</v>
      </c>
      <c r="CY406" t="b">
        <f t="shared" si="830"/>
        <v>0</v>
      </c>
      <c r="CZ406" t="b">
        <f t="shared" si="831"/>
        <v>0</v>
      </c>
      <c r="DA406" t="b">
        <f t="shared" si="832"/>
        <v>0</v>
      </c>
      <c r="DB406" t="b">
        <f t="shared" si="833"/>
        <v>0</v>
      </c>
      <c r="DC406" t="b">
        <f t="shared" si="834"/>
        <v>0</v>
      </c>
      <c r="DD406" t="b">
        <f t="shared" si="835"/>
        <v>0</v>
      </c>
      <c r="DE406" t="b">
        <f t="shared" si="836"/>
        <v>0</v>
      </c>
      <c r="DF406" t="b">
        <f t="shared" si="837"/>
        <v>0</v>
      </c>
      <c r="DG406">
        <f t="shared" si="838"/>
        <v>1</v>
      </c>
      <c r="DH406" t="b">
        <f t="shared" si="839"/>
        <v>0</v>
      </c>
      <c r="DI406" t="b">
        <f t="shared" si="840"/>
        <v>0</v>
      </c>
      <c r="DJ406" t="b">
        <f t="shared" si="841"/>
        <v>0</v>
      </c>
      <c r="DK406" t="b">
        <f t="shared" si="842"/>
        <v>0</v>
      </c>
      <c r="DL406" t="b">
        <f t="shared" si="843"/>
        <v>0</v>
      </c>
      <c r="DM406" t="b">
        <f t="shared" si="844"/>
        <v>0</v>
      </c>
      <c r="DN406" t="b">
        <f t="shared" si="845"/>
        <v>0</v>
      </c>
      <c r="DO406" t="b">
        <f t="shared" si="846"/>
        <v>0</v>
      </c>
      <c r="DP406" t="b">
        <f t="shared" si="847"/>
        <v>0</v>
      </c>
      <c r="DQ406" t="b">
        <f t="shared" si="848"/>
        <v>0</v>
      </c>
      <c r="DR406" t="b">
        <f t="shared" si="849"/>
        <v>0</v>
      </c>
      <c r="DS406" t="b">
        <f t="shared" si="850"/>
        <v>0</v>
      </c>
      <c r="DT406" t="b">
        <f t="shared" si="851"/>
        <v>0</v>
      </c>
      <c r="DU406" t="b">
        <f t="shared" si="852"/>
        <v>0</v>
      </c>
      <c r="DV406" t="b">
        <f t="shared" si="853"/>
        <v>0</v>
      </c>
      <c r="DW406" t="b">
        <f t="shared" si="854"/>
        <v>0</v>
      </c>
      <c r="DX406" t="b">
        <f t="shared" si="855"/>
        <v>0</v>
      </c>
      <c r="DY406" t="b">
        <f t="shared" si="856"/>
        <v>0</v>
      </c>
      <c r="DZ406" t="b">
        <f t="shared" si="857"/>
        <v>0</v>
      </c>
      <c r="EA406" t="b">
        <f t="shared" si="858"/>
        <v>0</v>
      </c>
      <c r="EB406" t="b">
        <f t="shared" si="859"/>
        <v>0</v>
      </c>
      <c r="EC406" t="b">
        <f t="shared" si="860"/>
        <v>0</v>
      </c>
      <c r="ED406" t="b">
        <f t="shared" si="861"/>
        <v>0</v>
      </c>
      <c r="EE406" t="b">
        <f t="shared" si="862"/>
        <v>0</v>
      </c>
      <c r="EF406">
        <f t="shared" si="863"/>
        <v>1</v>
      </c>
      <c r="EG406" t="b">
        <f t="shared" si="864"/>
        <v>0</v>
      </c>
      <c r="EH406" t="b">
        <f t="shared" si="865"/>
        <v>0</v>
      </c>
      <c r="EI406">
        <f t="shared" si="866"/>
        <v>1</v>
      </c>
      <c r="EJ406" t="b">
        <f t="shared" si="867"/>
        <v>0</v>
      </c>
      <c r="EK406" t="b">
        <f t="shared" si="868"/>
        <v>0</v>
      </c>
    </row>
    <row r="407" spans="1:141">
      <c r="A407" t="s">
        <v>2094</v>
      </c>
      <c r="B407" t="s">
        <v>2094</v>
      </c>
      <c r="C407" t="s">
        <v>2095</v>
      </c>
      <c r="D407" s="1">
        <v>44239</v>
      </c>
      <c r="E407" s="2">
        <v>44250.331967592596</v>
      </c>
      <c r="F407" s="2">
        <v>44250.331967592596</v>
      </c>
      <c r="G407">
        <v>10585</v>
      </c>
      <c r="H407" t="s">
        <v>2096</v>
      </c>
      <c r="I407" s="10" t="s">
        <v>2097</v>
      </c>
      <c r="J407" t="s">
        <v>744</v>
      </c>
      <c r="K407" s="8" t="b">
        <v>1</v>
      </c>
      <c r="L407" s="10" t="b">
        <v>0</v>
      </c>
      <c r="M407" s="12" t="b">
        <v>0</v>
      </c>
      <c r="N407" t="b">
        <v>0</v>
      </c>
      <c r="O407" t="b">
        <v>0</v>
      </c>
      <c r="P407" t="b">
        <v>0</v>
      </c>
      <c r="Q407">
        <f t="shared" si="745"/>
        <v>6</v>
      </c>
      <c r="R407">
        <f t="shared" si="746"/>
        <v>2</v>
      </c>
      <c r="S407" t="e">
        <f t="shared" ca="1" si="776"/>
        <v>#NAME?</v>
      </c>
      <c r="T407" t="e">
        <f t="shared" ca="1" si="747"/>
        <v>#NAME?</v>
      </c>
      <c r="U407" s="4">
        <f t="shared" si="748"/>
        <v>11.331967592595902</v>
      </c>
      <c r="V407" s="4">
        <f t="shared" si="749"/>
        <v>0.37773225308653008</v>
      </c>
      <c r="W407" s="4">
        <f t="shared" si="750"/>
        <v>1</v>
      </c>
      <c r="X407" s="4">
        <f t="shared" si="751"/>
        <v>0</v>
      </c>
      <c r="Y407" s="4">
        <f t="shared" si="752"/>
        <v>0</v>
      </c>
      <c r="Z407" s="4">
        <f t="shared" si="753"/>
        <v>0</v>
      </c>
      <c r="AA407" s="4">
        <f t="shared" si="754"/>
        <v>0</v>
      </c>
      <c r="AB407" s="4">
        <f t="shared" si="755"/>
        <v>0</v>
      </c>
      <c r="AC407" s="4"/>
      <c r="AD407" s="4" t="b">
        <f t="shared" si="756"/>
        <v>0</v>
      </c>
      <c r="AE407" s="4" t="b">
        <f t="shared" si="757"/>
        <v>0</v>
      </c>
      <c r="AF407" s="4" t="b">
        <f t="shared" si="758"/>
        <v>0</v>
      </c>
      <c r="AG407" t="b">
        <f t="shared" si="759"/>
        <v>0</v>
      </c>
      <c r="AH407" t="b">
        <f t="shared" si="760"/>
        <v>0</v>
      </c>
      <c r="AI407" t="b">
        <f t="shared" si="761"/>
        <v>0</v>
      </c>
      <c r="AJ407" t="b">
        <f t="shared" si="762"/>
        <v>0</v>
      </c>
      <c r="AK407" t="b">
        <f t="shared" si="763"/>
        <v>0</v>
      </c>
      <c r="AL407" t="b">
        <f t="shared" si="764"/>
        <v>0</v>
      </c>
      <c r="AM407" t="b">
        <f t="shared" si="765"/>
        <v>0</v>
      </c>
      <c r="AN407" t="b">
        <f t="shared" si="766"/>
        <v>0</v>
      </c>
      <c r="AO407" t="b">
        <f t="shared" si="767"/>
        <v>0</v>
      </c>
      <c r="AP407" t="b">
        <f t="shared" si="768"/>
        <v>0</v>
      </c>
      <c r="AQ407" t="b">
        <f t="shared" si="769"/>
        <v>0</v>
      </c>
      <c r="AR407" t="b">
        <f t="shared" si="770"/>
        <v>0</v>
      </c>
      <c r="AS407" t="b">
        <f t="shared" si="771"/>
        <v>0</v>
      </c>
      <c r="AT407" t="b">
        <f t="shared" si="772"/>
        <v>0</v>
      </c>
      <c r="AU407" t="b">
        <f t="shared" si="773"/>
        <v>0</v>
      </c>
      <c r="AV407" t="b">
        <f t="shared" si="774"/>
        <v>0</v>
      </c>
      <c r="AW407" t="b">
        <f t="shared" si="775"/>
        <v>0</v>
      </c>
      <c r="AX407" t="b">
        <f t="shared" si="777"/>
        <v>0</v>
      </c>
      <c r="AY407" t="b">
        <f t="shared" si="778"/>
        <v>0</v>
      </c>
      <c r="AZ407" t="b">
        <f t="shared" si="779"/>
        <v>0</v>
      </c>
      <c r="BA407" t="b">
        <f t="shared" si="780"/>
        <v>0</v>
      </c>
      <c r="BB407" t="b">
        <f t="shared" si="781"/>
        <v>0</v>
      </c>
      <c r="BC407" t="b">
        <f t="shared" si="782"/>
        <v>0</v>
      </c>
      <c r="BD407" t="b">
        <f t="shared" si="783"/>
        <v>0</v>
      </c>
      <c r="BE407" t="b">
        <f t="shared" si="784"/>
        <v>0</v>
      </c>
      <c r="BF407" t="b">
        <f t="shared" si="785"/>
        <v>0</v>
      </c>
      <c r="BG407" t="b">
        <f t="shared" si="786"/>
        <v>0</v>
      </c>
      <c r="BH407" t="b">
        <f t="shared" si="787"/>
        <v>0</v>
      </c>
      <c r="BI407">
        <f t="shared" si="788"/>
        <v>1</v>
      </c>
      <c r="BJ407" t="b">
        <f t="shared" si="789"/>
        <v>0</v>
      </c>
      <c r="BK407" t="b">
        <f t="shared" si="790"/>
        <v>0</v>
      </c>
      <c r="BL407" t="b">
        <f t="shared" si="791"/>
        <v>0</v>
      </c>
      <c r="BM407" t="b">
        <f t="shared" si="792"/>
        <v>0</v>
      </c>
      <c r="BN407" t="b">
        <f t="shared" si="793"/>
        <v>0</v>
      </c>
      <c r="BO407" t="b">
        <f t="shared" si="794"/>
        <v>0</v>
      </c>
      <c r="BP407" t="b">
        <f t="shared" si="795"/>
        <v>0</v>
      </c>
      <c r="BQ407" t="b">
        <f t="shared" si="796"/>
        <v>0</v>
      </c>
      <c r="BR407" t="b">
        <f t="shared" si="797"/>
        <v>0</v>
      </c>
      <c r="BS407" t="b">
        <f t="shared" si="798"/>
        <v>0</v>
      </c>
      <c r="BT407" t="b">
        <f t="shared" si="799"/>
        <v>0</v>
      </c>
      <c r="BU407" t="b">
        <f t="shared" si="800"/>
        <v>0</v>
      </c>
      <c r="BV407" t="b">
        <f t="shared" si="801"/>
        <v>0</v>
      </c>
      <c r="BW407" t="b">
        <f t="shared" si="802"/>
        <v>0</v>
      </c>
      <c r="BX407" t="b">
        <f t="shared" si="803"/>
        <v>0</v>
      </c>
      <c r="BY407" t="b">
        <f t="shared" si="804"/>
        <v>0</v>
      </c>
      <c r="BZ407" t="b">
        <f t="shared" si="805"/>
        <v>0</v>
      </c>
      <c r="CA407" t="b">
        <f t="shared" si="806"/>
        <v>0</v>
      </c>
      <c r="CB407" t="b">
        <f t="shared" si="807"/>
        <v>0</v>
      </c>
      <c r="CC407" t="b">
        <f t="shared" si="808"/>
        <v>0</v>
      </c>
      <c r="CD407" t="b">
        <f t="shared" si="809"/>
        <v>0</v>
      </c>
      <c r="CE407" t="b">
        <f t="shared" si="810"/>
        <v>0</v>
      </c>
      <c r="CF407" t="b">
        <f t="shared" si="811"/>
        <v>0</v>
      </c>
      <c r="CG407" t="b">
        <f t="shared" si="812"/>
        <v>0</v>
      </c>
      <c r="CH407" t="b">
        <f t="shared" si="813"/>
        <v>0</v>
      </c>
      <c r="CI407" t="b">
        <f t="shared" si="814"/>
        <v>0</v>
      </c>
      <c r="CJ407" t="b">
        <f t="shared" si="815"/>
        <v>0</v>
      </c>
      <c r="CK407" t="b">
        <f t="shared" si="816"/>
        <v>0</v>
      </c>
      <c r="CL407" t="b">
        <f t="shared" si="817"/>
        <v>0</v>
      </c>
      <c r="CM407" t="b">
        <f t="shared" si="818"/>
        <v>0</v>
      </c>
      <c r="CN407" t="b">
        <f t="shared" si="819"/>
        <v>0</v>
      </c>
      <c r="CO407" t="b">
        <f t="shared" si="820"/>
        <v>0</v>
      </c>
      <c r="CP407" t="b">
        <f t="shared" si="821"/>
        <v>0</v>
      </c>
      <c r="CQ407" t="b">
        <f t="shared" si="822"/>
        <v>0</v>
      </c>
      <c r="CR407" t="b">
        <f t="shared" si="823"/>
        <v>0</v>
      </c>
      <c r="CS407" t="b">
        <f t="shared" si="824"/>
        <v>0</v>
      </c>
      <c r="CT407" t="b">
        <f t="shared" si="825"/>
        <v>0</v>
      </c>
      <c r="CU407" t="b">
        <f t="shared" si="826"/>
        <v>0</v>
      </c>
      <c r="CV407" t="b">
        <f t="shared" si="827"/>
        <v>0</v>
      </c>
      <c r="CW407" t="b">
        <f t="shared" si="828"/>
        <v>0</v>
      </c>
      <c r="CX407" t="b">
        <f t="shared" si="829"/>
        <v>0</v>
      </c>
      <c r="CY407" t="b">
        <f t="shared" si="830"/>
        <v>0</v>
      </c>
      <c r="CZ407" t="b">
        <f t="shared" si="831"/>
        <v>0</v>
      </c>
      <c r="DA407" t="b">
        <f t="shared" si="832"/>
        <v>0</v>
      </c>
      <c r="DB407" t="b">
        <f t="shared" si="833"/>
        <v>0</v>
      </c>
      <c r="DC407" t="b">
        <f t="shared" si="834"/>
        <v>0</v>
      </c>
      <c r="DD407" t="b">
        <f t="shared" si="835"/>
        <v>0</v>
      </c>
      <c r="DE407" t="b">
        <f t="shared" si="836"/>
        <v>0</v>
      </c>
      <c r="DF407" t="b">
        <f t="shared" si="837"/>
        <v>0</v>
      </c>
      <c r="DG407" t="b">
        <f t="shared" si="838"/>
        <v>0</v>
      </c>
      <c r="DH407" t="b">
        <f t="shared" si="839"/>
        <v>0</v>
      </c>
      <c r="DI407" t="b">
        <f t="shared" si="840"/>
        <v>0</v>
      </c>
      <c r="DJ407" t="b">
        <f t="shared" si="841"/>
        <v>0</v>
      </c>
      <c r="DK407" t="b">
        <f t="shared" si="842"/>
        <v>0</v>
      </c>
      <c r="DL407" t="b">
        <f t="shared" si="843"/>
        <v>0</v>
      </c>
      <c r="DM407" t="b">
        <f t="shared" si="844"/>
        <v>0</v>
      </c>
      <c r="DN407" t="b">
        <f t="shared" si="845"/>
        <v>0</v>
      </c>
      <c r="DO407" t="b">
        <f t="shared" si="846"/>
        <v>0</v>
      </c>
      <c r="DP407" t="b">
        <f t="shared" si="847"/>
        <v>0</v>
      </c>
      <c r="DQ407" t="b">
        <f t="shared" si="848"/>
        <v>0</v>
      </c>
      <c r="DR407" t="b">
        <f t="shared" si="849"/>
        <v>0</v>
      </c>
      <c r="DS407" t="b">
        <f t="shared" si="850"/>
        <v>0</v>
      </c>
      <c r="DT407" t="b">
        <f t="shared" si="851"/>
        <v>0</v>
      </c>
      <c r="DU407" t="b">
        <f t="shared" si="852"/>
        <v>0</v>
      </c>
      <c r="DV407" t="b">
        <f t="shared" si="853"/>
        <v>0</v>
      </c>
      <c r="DW407" t="b">
        <f t="shared" si="854"/>
        <v>0</v>
      </c>
      <c r="DX407" t="b">
        <f t="shared" si="855"/>
        <v>0</v>
      </c>
      <c r="DY407" t="b">
        <f t="shared" si="856"/>
        <v>0</v>
      </c>
      <c r="DZ407" t="b">
        <f t="shared" si="857"/>
        <v>0</v>
      </c>
      <c r="EA407" t="b">
        <f t="shared" si="858"/>
        <v>0</v>
      </c>
      <c r="EB407" t="b">
        <f t="shared" si="859"/>
        <v>0</v>
      </c>
      <c r="EC407" t="b">
        <f t="shared" si="860"/>
        <v>0</v>
      </c>
      <c r="ED407" t="b">
        <f t="shared" si="861"/>
        <v>0</v>
      </c>
      <c r="EE407" t="b">
        <f t="shared" si="862"/>
        <v>0</v>
      </c>
      <c r="EF407" t="b">
        <f t="shared" si="863"/>
        <v>0</v>
      </c>
      <c r="EG407" t="b">
        <f t="shared" si="864"/>
        <v>0</v>
      </c>
      <c r="EH407" t="b">
        <f t="shared" si="865"/>
        <v>0</v>
      </c>
      <c r="EI407" t="b">
        <f t="shared" si="866"/>
        <v>0</v>
      </c>
      <c r="EJ407" t="b">
        <f t="shared" si="867"/>
        <v>0</v>
      </c>
      <c r="EK407" t="b">
        <f t="shared" si="868"/>
        <v>0</v>
      </c>
    </row>
    <row r="408" spans="1:141">
      <c r="A408" t="s">
        <v>2098</v>
      </c>
      <c r="B408" t="s">
        <v>2098</v>
      </c>
      <c r="C408" t="s">
        <v>2099</v>
      </c>
      <c r="D408" s="1">
        <v>44615</v>
      </c>
      <c r="E408" s="2">
        <v>44622.993171296293</v>
      </c>
      <c r="F408" s="2">
        <v>44622.994363425925</v>
      </c>
      <c r="G408">
        <v>71335</v>
      </c>
      <c r="H408" t="s">
        <v>2100</v>
      </c>
      <c r="I408" s="10" t="s">
        <v>2101</v>
      </c>
      <c r="J408" t="s">
        <v>147</v>
      </c>
      <c r="K408" s="8" t="b">
        <v>1</v>
      </c>
      <c r="L408" s="10" t="b">
        <v>0</v>
      </c>
      <c r="M408" s="12" t="b">
        <v>0</v>
      </c>
      <c r="N408" t="b">
        <v>0</v>
      </c>
      <c r="O408" t="b">
        <v>0</v>
      </c>
      <c r="P408" t="b">
        <v>0</v>
      </c>
      <c r="Q408">
        <f t="shared" si="745"/>
        <v>4</v>
      </c>
      <c r="R408">
        <f t="shared" si="746"/>
        <v>2</v>
      </c>
      <c r="S408" t="e">
        <f t="shared" ca="1" si="776"/>
        <v>#NAME?</v>
      </c>
      <c r="T408" t="e">
        <f t="shared" ca="1" si="747"/>
        <v>#NAME?</v>
      </c>
      <c r="U408" s="4">
        <f t="shared" si="748"/>
        <v>7.9931712962934398</v>
      </c>
      <c r="V408" s="4">
        <f t="shared" si="749"/>
        <v>0.26643904320978135</v>
      </c>
      <c r="W408" s="4">
        <f t="shared" si="750"/>
        <v>1</v>
      </c>
      <c r="X408" s="4">
        <f t="shared" si="751"/>
        <v>0</v>
      </c>
      <c r="Y408" s="4">
        <f t="shared" si="752"/>
        <v>0</v>
      </c>
      <c r="Z408" s="4">
        <f t="shared" si="753"/>
        <v>0</v>
      </c>
      <c r="AA408" s="4">
        <f t="shared" si="754"/>
        <v>0</v>
      </c>
      <c r="AB408" s="4">
        <f t="shared" si="755"/>
        <v>0</v>
      </c>
      <c r="AC408" s="4"/>
      <c r="AD408" s="4" t="b">
        <f t="shared" si="756"/>
        <v>0</v>
      </c>
      <c r="AE408" s="4" t="b">
        <f t="shared" si="757"/>
        <v>0</v>
      </c>
      <c r="AF408" s="4" t="b">
        <f t="shared" si="758"/>
        <v>0</v>
      </c>
      <c r="AG408" t="b">
        <f t="shared" si="759"/>
        <v>0</v>
      </c>
      <c r="AH408" t="b">
        <f t="shared" si="760"/>
        <v>0</v>
      </c>
      <c r="AI408" t="b">
        <f t="shared" si="761"/>
        <v>0</v>
      </c>
      <c r="AJ408" t="b">
        <f t="shared" si="762"/>
        <v>0</v>
      </c>
      <c r="AK408" t="b">
        <f t="shared" si="763"/>
        <v>0</v>
      </c>
      <c r="AL408" t="b">
        <f t="shared" si="764"/>
        <v>0</v>
      </c>
      <c r="AM408" t="b">
        <f t="shared" si="765"/>
        <v>0</v>
      </c>
      <c r="AN408" t="b">
        <f t="shared" si="766"/>
        <v>0</v>
      </c>
      <c r="AO408" t="b">
        <f t="shared" si="767"/>
        <v>0</v>
      </c>
      <c r="AP408" t="b">
        <f t="shared" si="768"/>
        <v>0</v>
      </c>
      <c r="AQ408" t="b">
        <f t="shared" si="769"/>
        <v>0</v>
      </c>
      <c r="AR408" t="b">
        <f t="shared" si="770"/>
        <v>0</v>
      </c>
      <c r="AS408" t="b">
        <f t="shared" si="771"/>
        <v>0</v>
      </c>
      <c r="AT408" t="b">
        <f t="shared" si="772"/>
        <v>0</v>
      </c>
      <c r="AU408" t="b">
        <f t="shared" si="773"/>
        <v>0</v>
      </c>
      <c r="AV408" t="b">
        <f t="shared" si="774"/>
        <v>0</v>
      </c>
      <c r="AW408" t="b">
        <f t="shared" si="775"/>
        <v>0</v>
      </c>
      <c r="AX408" t="b">
        <f t="shared" si="777"/>
        <v>0</v>
      </c>
      <c r="AY408" t="b">
        <f t="shared" si="778"/>
        <v>0</v>
      </c>
      <c r="AZ408" t="b">
        <f t="shared" si="779"/>
        <v>0</v>
      </c>
      <c r="BA408" t="b">
        <f t="shared" si="780"/>
        <v>0</v>
      </c>
      <c r="BB408" t="b">
        <f t="shared" si="781"/>
        <v>0</v>
      </c>
      <c r="BC408" t="b">
        <f t="shared" si="782"/>
        <v>0</v>
      </c>
      <c r="BD408" t="b">
        <f t="shared" si="783"/>
        <v>0</v>
      </c>
      <c r="BE408" t="b">
        <f t="shared" si="784"/>
        <v>0</v>
      </c>
      <c r="BF408" t="b">
        <f t="shared" si="785"/>
        <v>0</v>
      </c>
      <c r="BG408" t="b">
        <f t="shared" si="786"/>
        <v>0</v>
      </c>
      <c r="BH408" t="b">
        <f t="shared" si="787"/>
        <v>0</v>
      </c>
      <c r="BI408">
        <f t="shared" si="788"/>
        <v>1</v>
      </c>
      <c r="BJ408" t="b">
        <f t="shared" si="789"/>
        <v>0</v>
      </c>
      <c r="BK408" t="b">
        <f t="shared" si="790"/>
        <v>0</v>
      </c>
      <c r="BL408" t="b">
        <f t="shared" si="791"/>
        <v>0</v>
      </c>
      <c r="BM408" t="b">
        <f t="shared" si="792"/>
        <v>0</v>
      </c>
      <c r="BN408" t="b">
        <f t="shared" si="793"/>
        <v>0</v>
      </c>
      <c r="BO408" t="b">
        <f t="shared" si="794"/>
        <v>0</v>
      </c>
      <c r="BP408" t="b">
        <f t="shared" si="795"/>
        <v>0</v>
      </c>
      <c r="BQ408" t="b">
        <f t="shared" si="796"/>
        <v>0</v>
      </c>
      <c r="BR408" t="b">
        <f t="shared" si="797"/>
        <v>0</v>
      </c>
      <c r="BS408" t="b">
        <f t="shared" si="798"/>
        <v>0</v>
      </c>
      <c r="BT408" t="b">
        <f t="shared" si="799"/>
        <v>0</v>
      </c>
      <c r="BU408" t="b">
        <f t="shared" si="800"/>
        <v>0</v>
      </c>
      <c r="BV408" t="b">
        <f t="shared" si="801"/>
        <v>0</v>
      </c>
      <c r="BW408" t="b">
        <f t="shared" si="802"/>
        <v>0</v>
      </c>
      <c r="BX408" t="b">
        <f t="shared" si="803"/>
        <v>0</v>
      </c>
      <c r="BY408" t="b">
        <f t="shared" si="804"/>
        <v>0</v>
      </c>
      <c r="BZ408" t="b">
        <f t="shared" si="805"/>
        <v>0</v>
      </c>
      <c r="CA408" t="b">
        <f t="shared" si="806"/>
        <v>0</v>
      </c>
      <c r="CB408" t="b">
        <f t="shared" si="807"/>
        <v>0</v>
      </c>
      <c r="CC408" t="b">
        <f t="shared" si="808"/>
        <v>0</v>
      </c>
      <c r="CD408" t="b">
        <f t="shared" si="809"/>
        <v>0</v>
      </c>
      <c r="CE408" t="b">
        <f t="shared" si="810"/>
        <v>0</v>
      </c>
      <c r="CF408" t="b">
        <f t="shared" si="811"/>
        <v>0</v>
      </c>
      <c r="CG408" t="b">
        <f t="shared" si="812"/>
        <v>0</v>
      </c>
      <c r="CH408" t="b">
        <f t="shared" si="813"/>
        <v>0</v>
      </c>
      <c r="CI408" t="b">
        <f t="shared" si="814"/>
        <v>0</v>
      </c>
      <c r="CJ408" t="b">
        <f t="shared" si="815"/>
        <v>0</v>
      </c>
      <c r="CK408" t="b">
        <f t="shared" si="816"/>
        <v>0</v>
      </c>
      <c r="CL408" t="b">
        <f t="shared" si="817"/>
        <v>0</v>
      </c>
      <c r="CM408" t="b">
        <f t="shared" si="818"/>
        <v>0</v>
      </c>
      <c r="CN408" t="b">
        <f t="shared" si="819"/>
        <v>0</v>
      </c>
      <c r="CO408" t="b">
        <f t="shared" si="820"/>
        <v>0</v>
      </c>
      <c r="CP408" t="b">
        <f t="shared" si="821"/>
        <v>0</v>
      </c>
      <c r="CQ408" t="b">
        <f t="shared" si="822"/>
        <v>0</v>
      </c>
      <c r="CR408" t="b">
        <f t="shared" si="823"/>
        <v>0</v>
      </c>
      <c r="CS408" t="b">
        <f t="shared" si="824"/>
        <v>0</v>
      </c>
      <c r="CT408" t="b">
        <f t="shared" si="825"/>
        <v>0</v>
      </c>
      <c r="CU408" t="b">
        <f t="shared" si="826"/>
        <v>0</v>
      </c>
      <c r="CV408">
        <f t="shared" si="827"/>
        <v>1</v>
      </c>
      <c r="CW408" t="b">
        <f t="shared" si="828"/>
        <v>0</v>
      </c>
      <c r="CX408" t="b">
        <f t="shared" si="829"/>
        <v>0</v>
      </c>
      <c r="CY408" t="b">
        <f t="shared" si="830"/>
        <v>0</v>
      </c>
      <c r="CZ408" t="b">
        <f t="shared" si="831"/>
        <v>0</v>
      </c>
      <c r="DA408" t="b">
        <f t="shared" si="832"/>
        <v>0</v>
      </c>
      <c r="DB408" t="b">
        <f t="shared" si="833"/>
        <v>0</v>
      </c>
      <c r="DC408" t="b">
        <f t="shared" si="834"/>
        <v>0</v>
      </c>
      <c r="DD408" t="b">
        <f t="shared" si="835"/>
        <v>0</v>
      </c>
      <c r="DE408" t="b">
        <f t="shared" si="836"/>
        <v>0</v>
      </c>
      <c r="DF408" t="b">
        <f t="shared" si="837"/>
        <v>0</v>
      </c>
      <c r="DG408" t="b">
        <f t="shared" si="838"/>
        <v>0</v>
      </c>
      <c r="DH408" t="b">
        <f t="shared" si="839"/>
        <v>0</v>
      </c>
      <c r="DI408" t="b">
        <f t="shared" si="840"/>
        <v>0</v>
      </c>
      <c r="DJ408" t="b">
        <f t="shared" si="841"/>
        <v>0</v>
      </c>
      <c r="DK408" t="b">
        <f t="shared" si="842"/>
        <v>0</v>
      </c>
      <c r="DL408" t="b">
        <f t="shared" si="843"/>
        <v>0</v>
      </c>
      <c r="DM408" t="b">
        <f t="shared" si="844"/>
        <v>0</v>
      </c>
      <c r="DN408" t="b">
        <f t="shared" si="845"/>
        <v>0</v>
      </c>
      <c r="DO408" t="b">
        <f t="shared" si="846"/>
        <v>0</v>
      </c>
      <c r="DP408" t="b">
        <f t="shared" si="847"/>
        <v>0</v>
      </c>
      <c r="DQ408" t="b">
        <f t="shared" si="848"/>
        <v>0</v>
      </c>
      <c r="DR408" t="b">
        <f t="shared" si="849"/>
        <v>0</v>
      </c>
      <c r="DS408" t="b">
        <f t="shared" si="850"/>
        <v>0</v>
      </c>
      <c r="DT408" t="b">
        <f t="shared" si="851"/>
        <v>0</v>
      </c>
      <c r="DU408" t="b">
        <f t="shared" si="852"/>
        <v>0</v>
      </c>
      <c r="DV408" t="b">
        <f t="shared" si="853"/>
        <v>0</v>
      </c>
      <c r="DW408" t="b">
        <f t="shared" si="854"/>
        <v>0</v>
      </c>
      <c r="DX408" t="b">
        <f t="shared" si="855"/>
        <v>0</v>
      </c>
      <c r="DY408" t="b">
        <f t="shared" si="856"/>
        <v>0</v>
      </c>
      <c r="DZ408" t="b">
        <f t="shared" si="857"/>
        <v>0</v>
      </c>
      <c r="EA408" t="b">
        <f t="shared" si="858"/>
        <v>0</v>
      </c>
      <c r="EB408" t="b">
        <f t="shared" si="859"/>
        <v>0</v>
      </c>
      <c r="EC408" t="b">
        <f t="shared" si="860"/>
        <v>0</v>
      </c>
      <c r="ED408" t="b">
        <f t="shared" si="861"/>
        <v>0</v>
      </c>
      <c r="EE408" t="b">
        <f t="shared" si="862"/>
        <v>0</v>
      </c>
      <c r="EF408" t="b">
        <f t="shared" si="863"/>
        <v>0</v>
      </c>
      <c r="EG408" t="b">
        <f t="shared" si="864"/>
        <v>0</v>
      </c>
      <c r="EH408" t="b">
        <f t="shared" si="865"/>
        <v>0</v>
      </c>
      <c r="EI408" t="b">
        <f t="shared" si="866"/>
        <v>0</v>
      </c>
      <c r="EJ408" t="b">
        <f t="shared" si="867"/>
        <v>0</v>
      </c>
      <c r="EK408" t="b">
        <f t="shared" si="868"/>
        <v>0</v>
      </c>
    </row>
    <row r="409" spans="1:141">
      <c r="A409" t="s">
        <v>2102</v>
      </c>
      <c r="B409" t="s">
        <v>2103</v>
      </c>
      <c r="C409" t="s">
        <v>2104</v>
      </c>
      <c r="D409" s="1">
        <v>43460</v>
      </c>
      <c r="E409" s="2">
        <v>43604.948437500003</v>
      </c>
      <c r="F409" s="2">
        <v>43925.348032407404</v>
      </c>
      <c r="G409">
        <v>161143</v>
      </c>
      <c r="H409" t="s">
        <v>2105</v>
      </c>
      <c r="I409" s="10" t="s">
        <v>2106</v>
      </c>
      <c r="J409" t="s">
        <v>784</v>
      </c>
      <c r="K409" s="8" t="b">
        <v>1</v>
      </c>
      <c r="L409" s="10" t="b">
        <v>0</v>
      </c>
      <c r="M409" s="12" t="b">
        <v>0</v>
      </c>
      <c r="N409" t="b">
        <v>0</v>
      </c>
      <c r="O409" t="b">
        <v>0</v>
      </c>
      <c r="P409" t="b">
        <v>0</v>
      </c>
      <c r="Q409">
        <f t="shared" si="745"/>
        <v>4</v>
      </c>
      <c r="R409">
        <f t="shared" si="746"/>
        <v>12</v>
      </c>
      <c r="S409" t="e">
        <f t="shared" ca="1" si="776"/>
        <v>#NAME?</v>
      </c>
      <c r="T409" t="e">
        <f t="shared" ca="1" si="747"/>
        <v>#NAME?</v>
      </c>
      <c r="U409" s="4">
        <f t="shared" si="748"/>
        <v>144.94843750000291</v>
      </c>
      <c r="V409" s="4">
        <f t="shared" si="749"/>
        <v>4.8316145833334305</v>
      </c>
      <c r="W409" s="4">
        <f t="shared" si="750"/>
        <v>1</v>
      </c>
      <c r="X409" s="4">
        <f t="shared" si="751"/>
        <v>0</v>
      </c>
      <c r="Y409" s="4">
        <f t="shared" si="752"/>
        <v>0</v>
      </c>
      <c r="Z409" s="4">
        <f t="shared" si="753"/>
        <v>0</v>
      </c>
      <c r="AA409" s="4">
        <f t="shared" si="754"/>
        <v>0</v>
      </c>
      <c r="AB409" s="4">
        <f t="shared" si="755"/>
        <v>0</v>
      </c>
      <c r="AC409" s="4"/>
      <c r="AD409" s="4" t="b">
        <f t="shared" si="756"/>
        <v>0</v>
      </c>
      <c r="AE409" s="4" t="b">
        <f t="shared" si="757"/>
        <v>0</v>
      </c>
      <c r="AF409" s="4" t="b">
        <f t="shared" si="758"/>
        <v>0</v>
      </c>
      <c r="AG409" t="b">
        <f t="shared" si="759"/>
        <v>0</v>
      </c>
      <c r="AH409" t="b">
        <f t="shared" si="760"/>
        <v>0</v>
      </c>
      <c r="AI409" t="b">
        <f t="shared" si="761"/>
        <v>0</v>
      </c>
      <c r="AJ409" t="b">
        <f t="shared" si="762"/>
        <v>0</v>
      </c>
      <c r="AK409" t="b">
        <f t="shared" si="763"/>
        <v>0</v>
      </c>
      <c r="AL409" t="b">
        <f t="shared" si="764"/>
        <v>0</v>
      </c>
      <c r="AM409" t="b">
        <f t="shared" si="765"/>
        <v>0</v>
      </c>
      <c r="AN409" t="b">
        <f t="shared" si="766"/>
        <v>0</v>
      </c>
      <c r="AO409" t="b">
        <f t="shared" si="767"/>
        <v>0</v>
      </c>
      <c r="AP409" t="b">
        <f t="shared" si="768"/>
        <v>0</v>
      </c>
      <c r="AQ409" t="b">
        <f t="shared" si="769"/>
        <v>0</v>
      </c>
      <c r="AR409" t="b">
        <f t="shared" si="770"/>
        <v>0</v>
      </c>
      <c r="AS409" t="b">
        <f t="shared" si="771"/>
        <v>0</v>
      </c>
      <c r="AT409" t="b">
        <f t="shared" si="772"/>
        <v>0</v>
      </c>
      <c r="AU409" t="b">
        <f t="shared" si="773"/>
        <v>0</v>
      </c>
      <c r="AV409" t="b">
        <f t="shared" si="774"/>
        <v>0</v>
      </c>
      <c r="AW409" t="b">
        <f t="shared" si="775"/>
        <v>0</v>
      </c>
      <c r="AX409" t="b">
        <f t="shared" si="777"/>
        <v>0</v>
      </c>
      <c r="AY409" t="b">
        <f t="shared" si="778"/>
        <v>0</v>
      </c>
      <c r="AZ409" t="b">
        <f t="shared" si="779"/>
        <v>0</v>
      </c>
      <c r="BA409" t="b">
        <f t="shared" si="780"/>
        <v>0</v>
      </c>
      <c r="BB409" t="b">
        <f t="shared" si="781"/>
        <v>0</v>
      </c>
      <c r="BC409" t="b">
        <f t="shared" si="782"/>
        <v>0</v>
      </c>
      <c r="BD409" t="b">
        <f t="shared" si="783"/>
        <v>0</v>
      </c>
      <c r="BE409" t="b">
        <f t="shared" si="784"/>
        <v>0</v>
      </c>
      <c r="BF409" t="b">
        <f t="shared" si="785"/>
        <v>0</v>
      </c>
      <c r="BG409" t="b">
        <f t="shared" si="786"/>
        <v>0</v>
      </c>
      <c r="BH409" t="b">
        <f t="shared" si="787"/>
        <v>0</v>
      </c>
      <c r="BI409">
        <f t="shared" si="788"/>
        <v>1</v>
      </c>
      <c r="BJ409" t="b">
        <f t="shared" si="789"/>
        <v>0</v>
      </c>
      <c r="BK409" t="b">
        <f t="shared" si="790"/>
        <v>0</v>
      </c>
      <c r="BL409" t="b">
        <f t="shared" si="791"/>
        <v>0</v>
      </c>
      <c r="BM409" t="b">
        <f t="shared" si="792"/>
        <v>0</v>
      </c>
      <c r="BN409" t="b">
        <f t="shared" si="793"/>
        <v>0</v>
      </c>
      <c r="BO409" t="b">
        <f t="shared" si="794"/>
        <v>0</v>
      </c>
      <c r="BP409" t="b">
        <f t="shared" si="795"/>
        <v>0</v>
      </c>
      <c r="BQ409" t="b">
        <f t="shared" si="796"/>
        <v>0</v>
      </c>
      <c r="BR409" t="b">
        <f t="shared" si="797"/>
        <v>0</v>
      </c>
      <c r="BS409" t="b">
        <f t="shared" si="798"/>
        <v>0</v>
      </c>
      <c r="BT409" t="b">
        <f t="shared" si="799"/>
        <v>0</v>
      </c>
      <c r="BU409" t="b">
        <f t="shared" si="800"/>
        <v>0</v>
      </c>
      <c r="BV409" t="b">
        <f t="shared" si="801"/>
        <v>0</v>
      </c>
      <c r="BW409" t="b">
        <f t="shared" si="802"/>
        <v>0</v>
      </c>
      <c r="BX409" t="b">
        <f t="shared" si="803"/>
        <v>0</v>
      </c>
      <c r="BY409" t="b">
        <f t="shared" si="804"/>
        <v>0</v>
      </c>
      <c r="BZ409" t="b">
        <f t="shared" si="805"/>
        <v>0</v>
      </c>
      <c r="CA409" t="b">
        <f t="shared" si="806"/>
        <v>0</v>
      </c>
      <c r="CB409" t="b">
        <f t="shared" si="807"/>
        <v>0</v>
      </c>
      <c r="CC409" t="b">
        <f t="shared" si="808"/>
        <v>0</v>
      </c>
      <c r="CD409" t="b">
        <f t="shared" si="809"/>
        <v>0</v>
      </c>
      <c r="CE409">
        <f t="shared" si="810"/>
        <v>1</v>
      </c>
      <c r="CF409" t="b">
        <f t="shared" si="811"/>
        <v>0</v>
      </c>
      <c r="CG409" t="b">
        <f t="shared" si="812"/>
        <v>0</v>
      </c>
      <c r="CH409" t="b">
        <f t="shared" si="813"/>
        <v>0</v>
      </c>
      <c r="CI409" t="b">
        <f t="shared" si="814"/>
        <v>0</v>
      </c>
      <c r="CJ409" t="b">
        <f t="shared" si="815"/>
        <v>0</v>
      </c>
      <c r="CK409" t="b">
        <f t="shared" si="816"/>
        <v>0</v>
      </c>
      <c r="CL409" t="b">
        <f t="shared" si="817"/>
        <v>0</v>
      </c>
      <c r="CM409" t="b">
        <f t="shared" si="818"/>
        <v>0</v>
      </c>
      <c r="CN409" t="b">
        <f t="shared" si="819"/>
        <v>0</v>
      </c>
      <c r="CO409" t="b">
        <f t="shared" si="820"/>
        <v>0</v>
      </c>
      <c r="CP409" t="b">
        <f t="shared" si="821"/>
        <v>0</v>
      </c>
      <c r="CQ409" t="b">
        <f t="shared" si="822"/>
        <v>0</v>
      </c>
      <c r="CR409" t="b">
        <f t="shared" si="823"/>
        <v>0</v>
      </c>
      <c r="CS409" t="b">
        <f t="shared" si="824"/>
        <v>0</v>
      </c>
      <c r="CT409" t="b">
        <f t="shared" si="825"/>
        <v>0</v>
      </c>
      <c r="CU409" t="b">
        <f t="shared" si="826"/>
        <v>0</v>
      </c>
      <c r="CV409">
        <f t="shared" si="827"/>
        <v>1</v>
      </c>
      <c r="CW409" t="b">
        <f t="shared" si="828"/>
        <v>0</v>
      </c>
      <c r="CX409" t="b">
        <f t="shared" si="829"/>
        <v>0</v>
      </c>
      <c r="CY409" t="b">
        <f t="shared" si="830"/>
        <v>0</v>
      </c>
      <c r="CZ409" t="b">
        <f t="shared" si="831"/>
        <v>0</v>
      </c>
      <c r="DA409" t="b">
        <f t="shared" si="832"/>
        <v>0</v>
      </c>
      <c r="DB409" t="b">
        <f t="shared" si="833"/>
        <v>0</v>
      </c>
      <c r="DC409" t="b">
        <f t="shared" si="834"/>
        <v>0</v>
      </c>
      <c r="DD409" t="b">
        <f t="shared" si="835"/>
        <v>0</v>
      </c>
      <c r="DE409" t="b">
        <f t="shared" si="836"/>
        <v>0</v>
      </c>
      <c r="DF409" t="b">
        <f t="shared" si="837"/>
        <v>0</v>
      </c>
      <c r="DG409">
        <f t="shared" si="838"/>
        <v>1</v>
      </c>
      <c r="DH409" t="b">
        <f t="shared" si="839"/>
        <v>0</v>
      </c>
      <c r="DI409" t="b">
        <f t="shared" si="840"/>
        <v>0</v>
      </c>
      <c r="DJ409" t="b">
        <f t="shared" si="841"/>
        <v>0</v>
      </c>
      <c r="DK409" t="b">
        <f t="shared" si="842"/>
        <v>0</v>
      </c>
      <c r="DL409" t="b">
        <f t="shared" si="843"/>
        <v>0</v>
      </c>
      <c r="DM409" t="b">
        <f t="shared" si="844"/>
        <v>0</v>
      </c>
      <c r="DN409" t="b">
        <f t="shared" si="845"/>
        <v>0</v>
      </c>
      <c r="DO409" t="b">
        <f t="shared" si="846"/>
        <v>0</v>
      </c>
      <c r="DP409" t="b">
        <f t="shared" si="847"/>
        <v>0</v>
      </c>
      <c r="DQ409" t="b">
        <f t="shared" si="848"/>
        <v>0</v>
      </c>
      <c r="DR409" t="b">
        <f t="shared" si="849"/>
        <v>0</v>
      </c>
      <c r="DS409" t="b">
        <f t="shared" si="850"/>
        <v>0</v>
      </c>
      <c r="DT409" t="b">
        <f t="shared" si="851"/>
        <v>0</v>
      </c>
      <c r="DU409" t="b">
        <f t="shared" si="852"/>
        <v>0</v>
      </c>
      <c r="DV409" t="b">
        <f t="shared" si="853"/>
        <v>0</v>
      </c>
      <c r="DW409" t="b">
        <f t="shared" si="854"/>
        <v>0</v>
      </c>
      <c r="DX409" t="b">
        <f t="shared" si="855"/>
        <v>0</v>
      </c>
      <c r="DY409" t="b">
        <f t="shared" si="856"/>
        <v>0</v>
      </c>
      <c r="DZ409" t="b">
        <f t="shared" si="857"/>
        <v>0</v>
      </c>
      <c r="EA409" t="b">
        <f t="shared" si="858"/>
        <v>0</v>
      </c>
      <c r="EB409" t="b">
        <f t="shared" si="859"/>
        <v>0</v>
      </c>
      <c r="EC409" t="b">
        <f t="shared" si="860"/>
        <v>0</v>
      </c>
      <c r="ED409" t="b">
        <f t="shared" si="861"/>
        <v>0</v>
      </c>
      <c r="EE409" t="b">
        <f t="shared" si="862"/>
        <v>0</v>
      </c>
      <c r="EF409">
        <f t="shared" si="863"/>
        <v>1</v>
      </c>
      <c r="EG409" t="b">
        <f t="shared" si="864"/>
        <v>0</v>
      </c>
      <c r="EH409" t="b">
        <f t="shared" si="865"/>
        <v>0</v>
      </c>
      <c r="EI409" t="b">
        <f t="shared" si="866"/>
        <v>0</v>
      </c>
      <c r="EJ409" t="b">
        <f t="shared" si="867"/>
        <v>0</v>
      </c>
      <c r="EK409" t="b">
        <f t="shared" si="868"/>
        <v>0</v>
      </c>
    </row>
    <row r="410" spans="1:141">
      <c r="A410" t="s">
        <v>2107</v>
      </c>
      <c r="B410" t="s">
        <v>2108</v>
      </c>
      <c r="C410" t="s">
        <v>2104</v>
      </c>
      <c r="D410" s="1">
        <v>43923</v>
      </c>
      <c r="E410" s="2">
        <v>43925.352233796293</v>
      </c>
      <c r="F410" s="2">
        <v>43925.352233796293</v>
      </c>
      <c r="G410">
        <v>263189</v>
      </c>
      <c r="H410" t="s">
        <v>2109</v>
      </c>
      <c r="I410" s="10" t="s">
        <v>2106</v>
      </c>
      <c r="J410" t="s">
        <v>784</v>
      </c>
      <c r="K410" s="8" t="b">
        <v>1</v>
      </c>
      <c r="L410" s="10" t="b">
        <v>0</v>
      </c>
      <c r="M410" s="12" t="b">
        <v>0</v>
      </c>
      <c r="N410" t="b">
        <v>0</v>
      </c>
      <c r="O410" t="b">
        <v>0</v>
      </c>
      <c r="P410" t="b">
        <v>0</v>
      </c>
      <c r="Q410">
        <f t="shared" si="745"/>
        <v>5</v>
      </c>
      <c r="R410">
        <f t="shared" si="746"/>
        <v>4</v>
      </c>
      <c r="S410" t="e">
        <f t="shared" ca="1" si="776"/>
        <v>#NAME?</v>
      </c>
      <c r="T410" t="e">
        <f t="shared" ca="1" si="747"/>
        <v>#NAME?</v>
      </c>
      <c r="U410" s="4">
        <f t="shared" si="748"/>
        <v>2.3522337962931488</v>
      </c>
      <c r="V410" s="4">
        <f t="shared" si="749"/>
        <v>7.840779320977162E-2</v>
      </c>
      <c r="W410" s="4">
        <f t="shared" si="750"/>
        <v>1</v>
      </c>
      <c r="X410" s="4">
        <f t="shared" si="751"/>
        <v>0</v>
      </c>
      <c r="Y410" s="4">
        <f t="shared" si="752"/>
        <v>0</v>
      </c>
      <c r="Z410" s="4">
        <f t="shared" si="753"/>
        <v>0</v>
      </c>
      <c r="AA410" s="4">
        <f t="shared" si="754"/>
        <v>0</v>
      </c>
      <c r="AB410" s="4">
        <f t="shared" si="755"/>
        <v>0</v>
      </c>
      <c r="AC410" s="4"/>
      <c r="AD410" s="4" t="b">
        <f t="shared" si="756"/>
        <v>0</v>
      </c>
      <c r="AE410" s="4" t="b">
        <f t="shared" si="757"/>
        <v>0</v>
      </c>
      <c r="AF410" s="4" t="b">
        <f t="shared" si="758"/>
        <v>0</v>
      </c>
      <c r="AG410" t="b">
        <f t="shared" si="759"/>
        <v>0</v>
      </c>
      <c r="AH410" t="b">
        <f t="shared" si="760"/>
        <v>0</v>
      </c>
      <c r="AI410" t="b">
        <f t="shared" si="761"/>
        <v>0</v>
      </c>
      <c r="AJ410" t="b">
        <f t="shared" si="762"/>
        <v>0</v>
      </c>
      <c r="AK410" t="b">
        <f t="shared" si="763"/>
        <v>0</v>
      </c>
      <c r="AL410" t="b">
        <f t="shared" si="764"/>
        <v>0</v>
      </c>
      <c r="AM410" t="b">
        <f t="shared" si="765"/>
        <v>0</v>
      </c>
      <c r="AN410" t="b">
        <f t="shared" si="766"/>
        <v>0</v>
      </c>
      <c r="AO410" t="b">
        <f t="shared" si="767"/>
        <v>0</v>
      </c>
      <c r="AP410" t="b">
        <f t="shared" si="768"/>
        <v>0</v>
      </c>
      <c r="AQ410" t="b">
        <f t="shared" si="769"/>
        <v>0</v>
      </c>
      <c r="AR410" t="b">
        <f t="shared" si="770"/>
        <v>0</v>
      </c>
      <c r="AS410" t="b">
        <f t="shared" si="771"/>
        <v>0</v>
      </c>
      <c r="AT410" t="b">
        <f t="shared" si="772"/>
        <v>0</v>
      </c>
      <c r="AU410" t="b">
        <f t="shared" si="773"/>
        <v>0</v>
      </c>
      <c r="AV410" t="b">
        <f t="shared" si="774"/>
        <v>0</v>
      </c>
      <c r="AW410" t="b">
        <f t="shared" si="775"/>
        <v>0</v>
      </c>
      <c r="AX410" t="b">
        <f t="shared" si="777"/>
        <v>0</v>
      </c>
      <c r="AY410" t="b">
        <f t="shared" si="778"/>
        <v>0</v>
      </c>
      <c r="AZ410" t="b">
        <f t="shared" si="779"/>
        <v>0</v>
      </c>
      <c r="BA410" t="b">
        <f t="shared" si="780"/>
        <v>0</v>
      </c>
      <c r="BB410" t="b">
        <f t="shared" si="781"/>
        <v>0</v>
      </c>
      <c r="BC410" t="b">
        <f t="shared" si="782"/>
        <v>0</v>
      </c>
      <c r="BD410" t="b">
        <f t="shared" si="783"/>
        <v>0</v>
      </c>
      <c r="BE410" t="b">
        <f t="shared" si="784"/>
        <v>0</v>
      </c>
      <c r="BF410" t="b">
        <f t="shared" si="785"/>
        <v>0</v>
      </c>
      <c r="BG410" t="b">
        <f t="shared" si="786"/>
        <v>0</v>
      </c>
      <c r="BH410" t="b">
        <f t="shared" si="787"/>
        <v>0</v>
      </c>
      <c r="BI410">
        <f t="shared" si="788"/>
        <v>1</v>
      </c>
      <c r="BJ410" t="b">
        <f t="shared" si="789"/>
        <v>0</v>
      </c>
      <c r="BK410" t="b">
        <f t="shared" si="790"/>
        <v>0</v>
      </c>
      <c r="BL410" t="b">
        <f t="shared" si="791"/>
        <v>0</v>
      </c>
      <c r="BM410" t="b">
        <f t="shared" si="792"/>
        <v>0</v>
      </c>
      <c r="BN410" t="b">
        <f t="shared" si="793"/>
        <v>0</v>
      </c>
      <c r="BO410" t="b">
        <f t="shared" si="794"/>
        <v>0</v>
      </c>
      <c r="BP410" t="b">
        <f t="shared" si="795"/>
        <v>0</v>
      </c>
      <c r="BQ410" t="b">
        <f t="shared" si="796"/>
        <v>0</v>
      </c>
      <c r="BR410" t="b">
        <f t="shared" si="797"/>
        <v>0</v>
      </c>
      <c r="BS410" t="b">
        <f t="shared" si="798"/>
        <v>0</v>
      </c>
      <c r="BT410" t="b">
        <f t="shared" si="799"/>
        <v>0</v>
      </c>
      <c r="BU410" t="b">
        <f t="shared" si="800"/>
        <v>0</v>
      </c>
      <c r="BV410" t="b">
        <f t="shared" si="801"/>
        <v>0</v>
      </c>
      <c r="BW410" t="b">
        <f t="shared" si="802"/>
        <v>0</v>
      </c>
      <c r="BX410" t="b">
        <f t="shared" si="803"/>
        <v>0</v>
      </c>
      <c r="BY410" t="b">
        <f t="shared" si="804"/>
        <v>0</v>
      </c>
      <c r="BZ410" t="b">
        <f t="shared" si="805"/>
        <v>0</v>
      </c>
      <c r="CA410" t="b">
        <f t="shared" si="806"/>
        <v>0</v>
      </c>
      <c r="CB410" t="b">
        <f t="shared" si="807"/>
        <v>0</v>
      </c>
      <c r="CC410" t="b">
        <f t="shared" si="808"/>
        <v>0</v>
      </c>
      <c r="CD410" t="b">
        <f t="shared" si="809"/>
        <v>0</v>
      </c>
      <c r="CE410">
        <f t="shared" si="810"/>
        <v>1</v>
      </c>
      <c r="CF410" t="b">
        <f t="shared" si="811"/>
        <v>0</v>
      </c>
      <c r="CG410" t="b">
        <f t="shared" si="812"/>
        <v>0</v>
      </c>
      <c r="CH410" t="b">
        <f t="shared" si="813"/>
        <v>0</v>
      </c>
      <c r="CI410" t="b">
        <f t="shared" si="814"/>
        <v>0</v>
      </c>
      <c r="CJ410" t="b">
        <f t="shared" si="815"/>
        <v>0</v>
      </c>
      <c r="CK410" t="b">
        <f t="shared" si="816"/>
        <v>0</v>
      </c>
      <c r="CL410" t="b">
        <f t="shared" si="817"/>
        <v>0</v>
      </c>
      <c r="CM410" t="b">
        <f t="shared" si="818"/>
        <v>0</v>
      </c>
      <c r="CN410" t="b">
        <f t="shared" si="819"/>
        <v>0</v>
      </c>
      <c r="CO410" t="b">
        <f t="shared" si="820"/>
        <v>0</v>
      </c>
      <c r="CP410" t="b">
        <f t="shared" si="821"/>
        <v>0</v>
      </c>
      <c r="CQ410" t="b">
        <f t="shared" si="822"/>
        <v>0</v>
      </c>
      <c r="CR410" t="b">
        <f t="shared" si="823"/>
        <v>0</v>
      </c>
      <c r="CS410" t="b">
        <f t="shared" si="824"/>
        <v>0</v>
      </c>
      <c r="CT410" t="b">
        <f t="shared" si="825"/>
        <v>0</v>
      </c>
      <c r="CU410" t="b">
        <f t="shared" si="826"/>
        <v>0</v>
      </c>
      <c r="CV410">
        <f t="shared" si="827"/>
        <v>1</v>
      </c>
      <c r="CW410" t="b">
        <f t="shared" si="828"/>
        <v>0</v>
      </c>
      <c r="CX410" t="b">
        <f t="shared" si="829"/>
        <v>0</v>
      </c>
      <c r="CY410" t="b">
        <f t="shared" si="830"/>
        <v>0</v>
      </c>
      <c r="CZ410" t="b">
        <f t="shared" si="831"/>
        <v>0</v>
      </c>
      <c r="DA410" t="b">
        <f t="shared" si="832"/>
        <v>0</v>
      </c>
      <c r="DB410" t="b">
        <f t="shared" si="833"/>
        <v>0</v>
      </c>
      <c r="DC410" t="b">
        <f t="shared" si="834"/>
        <v>0</v>
      </c>
      <c r="DD410" t="b">
        <f t="shared" si="835"/>
        <v>0</v>
      </c>
      <c r="DE410" t="b">
        <f t="shared" si="836"/>
        <v>0</v>
      </c>
      <c r="DF410" t="b">
        <f t="shared" si="837"/>
        <v>0</v>
      </c>
      <c r="DG410">
        <f t="shared" si="838"/>
        <v>1</v>
      </c>
      <c r="DH410" t="b">
        <f t="shared" si="839"/>
        <v>0</v>
      </c>
      <c r="DI410" t="b">
        <f t="shared" si="840"/>
        <v>0</v>
      </c>
      <c r="DJ410" t="b">
        <f t="shared" si="841"/>
        <v>0</v>
      </c>
      <c r="DK410" t="b">
        <f t="shared" si="842"/>
        <v>0</v>
      </c>
      <c r="DL410" t="b">
        <f t="shared" si="843"/>
        <v>0</v>
      </c>
      <c r="DM410" t="b">
        <f t="shared" si="844"/>
        <v>0</v>
      </c>
      <c r="DN410" t="b">
        <f t="shared" si="845"/>
        <v>0</v>
      </c>
      <c r="DO410" t="b">
        <f t="shared" si="846"/>
        <v>0</v>
      </c>
      <c r="DP410" t="b">
        <f t="shared" si="847"/>
        <v>0</v>
      </c>
      <c r="DQ410" t="b">
        <f t="shared" si="848"/>
        <v>0</v>
      </c>
      <c r="DR410" t="b">
        <f t="shared" si="849"/>
        <v>0</v>
      </c>
      <c r="DS410" t="b">
        <f t="shared" si="850"/>
        <v>0</v>
      </c>
      <c r="DT410" t="b">
        <f t="shared" si="851"/>
        <v>0</v>
      </c>
      <c r="DU410" t="b">
        <f t="shared" si="852"/>
        <v>0</v>
      </c>
      <c r="DV410" t="b">
        <f t="shared" si="853"/>
        <v>0</v>
      </c>
      <c r="DW410" t="b">
        <f t="shared" si="854"/>
        <v>0</v>
      </c>
      <c r="DX410" t="b">
        <f t="shared" si="855"/>
        <v>0</v>
      </c>
      <c r="DY410" t="b">
        <f t="shared" si="856"/>
        <v>0</v>
      </c>
      <c r="DZ410" t="b">
        <f t="shared" si="857"/>
        <v>0</v>
      </c>
      <c r="EA410" t="b">
        <f t="shared" si="858"/>
        <v>0</v>
      </c>
      <c r="EB410" t="b">
        <f t="shared" si="859"/>
        <v>0</v>
      </c>
      <c r="EC410" t="b">
        <f t="shared" si="860"/>
        <v>0</v>
      </c>
      <c r="ED410" t="b">
        <f t="shared" si="861"/>
        <v>0</v>
      </c>
      <c r="EE410" t="b">
        <f t="shared" si="862"/>
        <v>0</v>
      </c>
      <c r="EF410">
        <f t="shared" si="863"/>
        <v>1</v>
      </c>
      <c r="EG410" t="b">
        <f t="shared" si="864"/>
        <v>0</v>
      </c>
      <c r="EH410" t="b">
        <f t="shared" si="865"/>
        <v>0</v>
      </c>
      <c r="EI410" t="b">
        <f t="shared" si="866"/>
        <v>0</v>
      </c>
      <c r="EJ410" t="b">
        <f t="shared" si="867"/>
        <v>0</v>
      </c>
      <c r="EK410" t="b">
        <f t="shared" si="868"/>
        <v>0</v>
      </c>
    </row>
    <row r="411" spans="1:141">
      <c r="A411" t="s">
        <v>2110</v>
      </c>
      <c r="B411" t="s">
        <v>2111</v>
      </c>
      <c r="C411" t="s">
        <v>2104</v>
      </c>
      <c r="D411" s="1">
        <v>44297</v>
      </c>
      <c r="E411" s="2">
        <v>44697.028310185182</v>
      </c>
      <c r="F411" s="2">
        <v>44697.028310185182</v>
      </c>
      <c r="G411">
        <v>348302</v>
      </c>
      <c r="H411" t="s">
        <v>2112</v>
      </c>
      <c r="I411" s="10" t="s">
        <v>2106</v>
      </c>
      <c r="J411" t="s">
        <v>188</v>
      </c>
      <c r="K411" s="8" t="b">
        <v>1</v>
      </c>
      <c r="L411" s="10" t="b">
        <v>0</v>
      </c>
      <c r="M411" s="12" t="b">
        <v>0</v>
      </c>
      <c r="N411" t="b">
        <v>0</v>
      </c>
      <c r="O411" t="b">
        <v>0</v>
      </c>
      <c r="P411" t="b">
        <v>0</v>
      </c>
      <c r="Q411">
        <f t="shared" si="745"/>
        <v>1</v>
      </c>
      <c r="R411">
        <f t="shared" si="746"/>
        <v>4</v>
      </c>
      <c r="S411" t="e">
        <f t="shared" ca="1" si="776"/>
        <v>#NAME?</v>
      </c>
      <c r="T411" t="e">
        <f t="shared" ca="1" si="747"/>
        <v>#NAME?</v>
      </c>
      <c r="U411" s="4">
        <f t="shared" si="748"/>
        <v>400.02831018518191</v>
      </c>
      <c r="V411" s="4">
        <f t="shared" si="749"/>
        <v>13.33427700617273</v>
      </c>
      <c r="W411" s="4">
        <f t="shared" si="750"/>
        <v>1</v>
      </c>
      <c r="X411" s="4">
        <f t="shared" si="751"/>
        <v>0</v>
      </c>
      <c r="Y411" s="4">
        <f t="shared" si="752"/>
        <v>0</v>
      </c>
      <c r="Z411" s="4">
        <f t="shared" si="753"/>
        <v>0</v>
      </c>
      <c r="AA411" s="4">
        <f t="shared" si="754"/>
        <v>0</v>
      </c>
      <c r="AB411" s="4">
        <f t="shared" si="755"/>
        <v>0</v>
      </c>
      <c r="AC411" s="4"/>
      <c r="AD411" s="4" t="b">
        <f t="shared" si="756"/>
        <v>0</v>
      </c>
      <c r="AE411" s="4" t="b">
        <f t="shared" si="757"/>
        <v>0</v>
      </c>
      <c r="AF411" s="4" t="b">
        <f t="shared" si="758"/>
        <v>0</v>
      </c>
      <c r="AG411" t="b">
        <f t="shared" si="759"/>
        <v>0</v>
      </c>
      <c r="AH411" t="b">
        <f t="shared" si="760"/>
        <v>0</v>
      </c>
      <c r="AI411" t="b">
        <f t="shared" si="761"/>
        <v>0</v>
      </c>
      <c r="AJ411" t="b">
        <f t="shared" si="762"/>
        <v>0</v>
      </c>
      <c r="AK411" t="b">
        <f t="shared" si="763"/>
        <v>0</v>
      </c>
      <c r="AL411" t="b">
        <f t="shared" si="764"/>
        <v>0</v>
      </c>
      <c r="AM411" t="b">
        <f t="shared" si="765"/>
        <v>0</v>
      </c>
      <c r="AN411" t="b">
        <f t="shared" si="766"/>
        <v>0</v>
      </c>
      <c r="AO411" t="b">
        <f t="shared" si="767"/>
        <v>0</v>
      </c>
      <c r="AP411" t="b">
        <f t="shared" si="768"/>
        <v>0</v>
      </c>
      <c r="AQ411" t="b">
        <f t="shared" si="769"/>
        <v>0</v>
      </c>
      <c r="AR411" t="b">
        <f t="shared" si="770"/>
        <v>0</v>
      </c>
      <c r="AS411" t="b">
        <f t="shared" si="771"/>
        <v>0</v>
      </c>
      <c r="AT411" t="b">
        <f t="shared" si="772"/>
        <v>0</v>
      </c>
      <c r="AU411" t="b">
        <f t="shared" si="773"/>
        <v>0</v>
      </c>
      <c r="AV411" t="b">
        <f t="shared" si="774"/>
        <v>0</v>
      </c>
      <c r="AW411" t="b">
        <f t="shared" si="775"/>
        <v>0</v>
      </c>
      <c r="AX411" t="b">
        <f t="shared" si="777"/>
        <v>0</v>
      </c>
      <c r="AY411" t="b">
        <f t="shared" si="778"/>
        <v>0</v>
      </c>
      <c r="AZ411" t="b">
        <f t="shared" si="779"/>
        <v>0</v>
      </c>
      <c r="BA411" t="b">
        <f t="shared" si="780"/>
        <v>0</v>
      </c>
      <c r="BB411" t="b">
        <f t="shared" si="781"/>
        <v>0</v>
      </c>
      <c r="BC411" t="b">
        <f t="shared" si="782"/>
        <v>0</v>
      </c>
      <c r="BD411" t="b">
        <f t="shared" si="783"/>
        <v>0</v>
      </c>
      <c r="BE411" t="b">
        <f t="shared" si="784"/>
        <v>0</v>
      </c>
      <c r="BF411" t="b">
        <f t="shared" si="785"/>
        <v>0</v>
      </c>
      <c r="BG411" t="b">
        <f t="shared" si="786"/>
        <v>0</v>
      </c>
      <c r="BH411" t="b">
        <f t="shared" si="787"/>
        <v>0</v>
      </c>
      <c r="BI411">
        <f t="shared" si="788"/>
        <v>1</v>
      </c>
      <c r="BJ411" t="b">
        <f t="shared" si="789"/>
        <v>0</v>
      </c>
      <c r="BK411" t="b">
        <f t="shared" si="790"/>
        <v>0</v>
      </c>
      <c r="BL411" t="b">
        <f t="shared" si="791"/>
        <v>0</v>
      </c>
      <c r="BM411" t="b">
        <f t="shared" si="792"/>
        <v>0</v>
      </c>
      <c r="BN411" t="b">
        <f t="shared" si="793"/>
        <v>0</v>
      </c>
      <c r="BO411" t="b">
        <f t="shared" si="794"/>
        <v>0</v>
      </c>
      <c r="BP411" t="b">
        <f t="shared" si="795"/>
        <v>0</v>
      </c>
      <c r="BQ411" t="b">
        <f t="shared" si="796"/>
        <v>0</v>
      </c>
      <c r="BR411" t="b">
        <f t="shared" si="797"/>
        <v>0</v>
      </c>
      <c r="BS411" t="b">
        <f t="shared" si="798"/>
        <v>0</v>
      </c>
      <c r="BT411" t="b">
        <f t="shared" si="799"/>
        <v>0</v>
      </c>
      <c r="BU411" t="b">
        <f t="shared" si="800"/>
        <v>0</v>
      </c>
      <c r="BV411" t="b">
        <f t="shared" si="801"/>
        <v>0</v>
      </c>
      <c r="BW411" t="b">
        <f t="shared" si="802"/>
        <v>0</v>
      </c>
      <c r="BX411" t="b">
        <f t="shared" si="803"/>
        <v>0</v>
      </c>
      <c r="BY411" t="b">
        <f t="shared" si="804"/>
        <v>0</v>
      </c>
      <c r="BZ411" t="b">
        <f t="shared" si="805"/>
        <v>0</v>
      </c>
      <c r="CA411" t="b">
        <f t="shared" si="806"/>
        <v>0</v>
      </c>
      <c r="CB411" t="b">
        <f t="shared" si="807"/>
        <v>0</v>
      </c>
      <c r="CC411" t="b">
        <f t="shared" si="808"/>
        <v>0</v>
      </c>
      <c r="CD411" t="b">
        <f t="shared" si="809"/>
        <v>0</v>
      </c>
      <c r="CE411">
        <f t="shared" si="810"/>
        <v>1</v>
      </c>
      <c r="CF411" t="b">
        <f t="shared" si="811"/>
        <v>0</v>
      </c>
      <c r="CG411" t="b">
        <f t="shared" si="812"/>
        <v>0</v>
      </c>
      <c r="CH411" t="b">
        <f t="shared" si="813"/>
        <v>0</v>
      </c>
      <c r="CI411" t="b">
        <f t="shared" si="814"/>
        <v>0</v>
      </c>
      <c r="CJ411" t="b">
        <f t="shared" si="815"/>
        <v>0</v>
      </c>
      <c r="CK411" t="b">
        <f t="shared" si="816"/>
        <v>0</v>
      </c>
      <c r="CL411" t="b">
        <f t="shared" si="817"/>
        <v>0</v>
      </c>
      <c r="CM411" t="b">
        <f t="shared" si="818"/>
        <v>0</v>
      </c>
      <c r="CN411" t="b">
        <f t="shared" si="819"/>
        <v>0</v>
      </c>
      <c r="CO411" t="b">
        <f t="shared" si="820"/>
        <v>0</v>
      </c>
      <c r="CP411" t="b">
        <f t="shared" si="821"/>
        <v>0</v>
      </c>
      <c r="CQ411" t="b">
        <f t="shared" si="822"/>
        <v>0</v>
      </c>
      <c r="CR411" t="b">
        <f t="shared" si="823"/>
        <v>0</v>
      </c>
      <c r="CS411" t="b">
        <f t="shared" si="824"/>
        <v>0</v>
      </c>
      <c r="CT411" t="b">
        <f t="shared" si="825"/>
        <v>0</v>
      </c>
      <c r="CU411" t="b">
        <f t="shared" si="826"/>
        <v>0</v>
      </c>
      <c r="CV411">
        <f t="shared" si="827"/>
        <v>1</v>
      </c>
      <c r="CW411" t="b">
        <f t="shared" si="828"/>
        <v>0</v>
      </c>
      <c r="CX411" t="b">
        <f t="shared" si="829"/>
        <v>0</v>
      </c>
      <c r="CY411" t="b">
        <f t="shared" si="830"/>
        <v>0</v>
      </c>
      <c r="CZ411" t="b">
        <f t="shared" si="831"/>
        <v>0</v>
      </c>
      <c r="DA411" t="b">
        <f t="shared" si="832"/>
        <v>0</v>
      </c>
      <c r="DB411" t="b">
        <f t="shared" si="833"/>
        <v>0</v>
      </c>
      <c r="DC411" t="b">
        <f t="shared" si="834"/>
        <v>0</v>
      </c>
      <c r="DD411" t="b">
        <f t="shared" si="835"/>
        <v>0</v>
      </c>
      <c r="DE411" t="b">
        <f t="shared" si="836"/>
        <v>0</v>
      </c>
      <c r="DF411" t="b">
        <f t="shared" si="837"/>
        <v>0</v>
      </c>
      <c r="DG411" t="b">
        <f t="shared" si="838"/>
        <v>0</v>
      </c>
      <c r="DH411" t="b">
        <f t="shared" si="839"/>
        <v>0</v>
      </c>
      <c r="DI411" t="b">
        <f t="shared" si="840"/>
        <v>0</v>
      </c>
      <c r="DJ411" t="b">
        <f t="shared" si="841"/>
        <v>0</v>
      </c>
      <c r="DK411" t="b">
        <f t="shared" si="842"/>
        <v>0</v>
      </c>
      <c r="DL411" t="b">
        <f t="shared" si="843"/>
        <v>0</v>
      </c>
      <c r="DM411" t="b">
        <f t="shared" si="844"/>
        <v>0</v>
      </c>
      <c r="DN411" t="b">
        <f t="shared" si="845"/>
        <v>0</v>
      </c>
      <c r="DO411" t="b">
        <f t="shared" si="846"/>
        <v>0</v>
      </c>
      <c r="DP411" t="b">
        <f t="shared" si="847"/>
        <v>0</v>
      </c>
      <c r="DQ411" t="b">
        <f t="shared" si="848"/>
        <v>0</v>
      </c>
      <c r="DR411" t="b">
        <f t="shared" si="849"/>
        <v>0</v>
      </c>
      <c r="DS411" t="b">
        <f t="shared" si="850"/>
        <v>0</v>
      </c>
      <c r="DT411" t="b">
        <f t="shared" si="851"/>
        <v>0</v>
      </c>
      <c r="DU411" t="b">
        <f t="shared" si="852"/>
        <v>0</v>
      </c>
      <c r="DV411" t="b">
        <f t="shared" si="853"/>
        <v>0</v>
      </c>
      <c r="DW411" t="b">
        <f t="shared" si="854"/>
        <v>0</v>
      </c>
      <c r="DX411" t="b">
        <f t="shared" si="855"/>
        <v>0</v>
      </c>
      <c r="DY411" t="b">
        <f t="shared" si="856"/>
        <v>0</v>
      </c>
      <c r="DZ411" t="b">
        <f t="shared" si="857"/>
        <v>0</v>
      </c>
      <c r="EA411" t="b">
        <f t="shared" si="858"/>
        <v>0</v>
      </c>
      <c r="EB411" t="b">
        <f t="shared" si="859"/>
        <v>0</v>
      </c>
      <c r="EC411" t="b">
        <f t="shared" si="860"/>
        <v>0</v>
      </c>
      <c r="ED411" t="b">
        <f t="shared" si="861"/>
        <v>0</v>
      </c>
      <c r="EE411" t="b">
        <f t="shared" si="862"/>
        <v>0</v>
      </c>
      <c r="EF411">
        <f t="shared" si="863"/>
        <v>1</v>
      </c>
      <c r="EG411" t="b">
        <f t="shared" si="864"/>
        <v>0</v>
      </c>
      <c r="EH411" t="b">
        <f t="shared" si="865"/>
        <v>0</v>
      </c>
      <c r="EI411" t="b">
        <f t="shared" si="866"/>
        <v>0</v>
      </c>
      <c r="EJ411" t="b">
        <f t="shared" si="867"/>
        <v>0</v>
      </c>
      <c r="EK411" t="b">
        <f t="shared" si="868"/>
        <v>0</v>
      </c>
    </row>
    <row r="412" spans="1:141">
      <c r="A412" t="s">
        <v>2113</v>
      </c>
      <c r="B412" t="s">
        <v>2114</v>
      </c>
      <c r="D412" s="1">
        <v>42975</v>
      </c>
      <c r="E412" s="2">
        <v>42976.809675925928</v>
      </c>
      <c r="F412" s="2">
        <v>42976.809675925928</v>
      </c>
      <c r="G412">
        <v>711477622</v>
      </c>
      <c r="H412" t="s">
        <v>2115</v>
      </c>
      <c r="I412" s="10" t="s">
        <v>414</v>
      </c>
      <c r="J412" t="s">
        <v>147</v>
      </c>
      <c r="K412" s="8" t="b">
        <v>1</v>
      </c>
      <c r="L412" s="10" t="b">
        <v>0</v>
      </c>
      <c r="M412" s="12" t="b">
        <v>0</v>
      </c>
      <c r="N412" t="b">
        <v>0</v>
      </c>
      <c r="O412" t="b">
        <v>1</v>
      </c>
      <c r="P412" t="b">
        <v>0</v>
      </c>
      <c r="Q412">
        <f t="shared" si="745"/>
        <v>2</v>
      </c>
      <c r="R412">
        <f t="shared" si="746"/>
        <v>8</v>
      </c>
      <c r="S412" t="e">
        <f t="shared" ca="1" si="776"/>
        <v>#NAME?</v>
      </c>
      <c r="T412" t="e">
        <f t="shared" ca="1" si="747"/>
        <v>#NAME?</v>
      </c>
      <c r="U412" s="4">
        <f t="shared" si="748"/>
        <v>1.809675925927877</v>
      </c>
      <c r="V412" s="4">
        <f t="shared" si="749"/>
        <v>6.0322530864262563E-2</v>
      </c>
      <c r="W412" s="4">
        <f t="shared" si="750"/>
        <v>1</v>
      </c>
      <c r="X412" s="4">
        <f t="shared" si="751"/>
        <v>0</v>
      </c>
      <c r="Y412" s="4">
        <f t="shared" si="752"/>
        <v>0</v>
      </c>
      <c r="Z412" s="4">
        <f t="shared" si="753"/>
        <v>0</v>
      </c>
      <c r="AA412" s="4">
        <f t="shared" si="754"/>
        <v>1</v>
      </c>
      <c r="AB412" s="4">
        <f t="shared" si="755"/>
        <v>0</v>
      </c>
      <c r="AC412" s="4"/>
      <c r="AD412" s="4" t="b">
        <f t="shared" si="756"/>
        <v>0</v>
      </c>
      <c r="AE412" s="4" t="b">
        <f t="shared" si="757"/>
        <v>0</v>
      </c>
      <c r="AF412" s="4" t="b">
        <f t="shared" si="758"/>
        <v>0</v>
      </c>
      <c r="AG412" t="b">
        <f t="shared" si="759"/>
        <v>0</v>
      </c>
      <c r="AH412" t="b">
        <f t="shared" si="760"/>
        <v>0</v>
      </c>
      <c r="AI412" t="b">
        <f t="shared" si="761"/>
        <v>0</v>
      </c>
      <c r="AJ412" t="b">
        <f t="shared" si="762"/>
        <v>0</v>
      </c>
      <c r="AK412" t="b">
        <f t="shared" si="763"/>
        <v>0</v>
      </c>
      <c r="AL412" t="b">
        <f t="shared" si="764"/>
        <v>0</v>
      </c>
      <c r="AM412" t="b">
        <f t="shared" si="765"/>
        <v>0</v>
      </c>
      <c r="AN412" t="b">
        <f t="shared" si="766"/>
        <v>0</v>
      </c>
      <c r="AO412" t="b">
        <f t="shared" si="767"/>
        <v>0</v>
      </c>
      <c r="AP412" t="b">
        <f t="shared" si="768"/>
        <v>0</v>
      </c>
      <c r="AQ412" t="b">
        <f t="shared" si="769"/>
        <v>0</v>
      </c>
      <c r="AR412" t="b">
        <f t="shared" si="770"/>
        <v>0</v>
      </c>
      <c r="AS412" t="b">
        <f t="shared" si="771"/>
        <v>0</v>
      </c>
      <c r="AT412" t="b">
        <f t="shared" si="772"/>
        <v>0</v>
      </c>
      <c r="AU412" t="b">
        <f t="shared" si="773"/>
        <v>0</v>
      </c>
      <c r="AV412" t="b">
        <f t="shared" si="774"/>
        <v>0</v>
      </c>
      <c r="AW412" t="b">
        <f t="shared" si="775"/>
        <v>0</v>
      </c>
      <c r="AX412" t="b">
        <f t="shared" si="777"/>
        <v>0</v>
      </c>
      <c r="AY412" t="b">
        <f t="shared" si="778"/>
        <v>0</v>
      </c>
      <c r="AZ412" t="b">
        <f t="shared" si="779"/>
        <v>0</v>
      </c>
      <c r="BA412" t="b">
        <f t="shared" si="780"/>
        <v>0</v>
      </c>
      <c r="BB412" t="b">
        <f t="shared" si="781"/>
        <v>0</v>
      </c>
      <c r="BC412" t="b">
        <f t="shared" si="782"/>
        <v>0</v>
      </c>
      <c r="BD412" t="b">
        <f t="shared" si="783"/>
        <v>0</v>
      </c>
      <c r="BE412" t="b">
        <f t="shared" si="784"/>
        <v>0</v>
      </c>
      <c r="BF412" t="b">
        <f t="shared" si="785"/>
        <v>0</v>
      </c>
      <c r="BG412" t="b">
        <f t="shared" si="786"/>
        <v>0</v>
      </c>
      <c r="BH412" t="b">
        <f t="shared" si="787"/>
        <v>0</v>
      </c>
      <c r="BI412">
        <f t="shared" si="788"/>
        <v>1</v>
      </c>
      <c r="BJ412" t="b">
        <f t="shared" si="789"/>
        <v>0</v>
      </c>
      <c r="BK412" t="b">
        <f t="shared" si="790"/>
        <v>0</v>
      </c>
      <c r="BL412" t="b">
        <f t="shared" si="791"/>
        <v>0</v>
      </c>
      <c r="BM412" t="b">
        <f t="shared" si="792"/>
        <v>0</v>
      </c>
      <c r="BN412" t="b">
        <f t="shared" si="793"/>
        <v>0</v>
      </c>
      <c r="BO412" t="b">
        <f t="shared" si="794"/>
        <v>0</v>
      </c>
      <c r="BP412" t="b">
        <f t="shared" si="795"/>
        <v>0</v>
      </c>
      <c r="BQ412" t="b">
        <f t="shared" si="796"/>
        <v>0</v>
      </c>
      <c r="BR412" t="b">
        <f t="shared" si="797"/>
        <v>0</v>
      </c>
      <c r="BS412" t="b">
        <f t="shared" si="798"/>
        <v>0</v>
      </c>
      <c r="BT412" t="b">
        <f t="shared" si="799"/>
        <v>0</v>
      </c>
      <c r="BU412" t="b">
        <f t="shared" si="800"/>
        <v>0</v>
      </c>
      <c r="BV412" t="b">
        <f t="shared" si="801"/>
        <v>0</v>
      </c>
      <c r="BW412" t="b">
        <f t="shared" si="802"/>
        <v>0</v>
      </c>
      <c r="BX412" t="b">
        <f t="shared" si="803"/>
        <v>0</v>
      </c>
      <c r="BY412" t="b">
        <f t="shared" si="804"/>
        <v>0</v>
      </c>
      <c r="BZ412" t="b">
        <f t="shared" si="805"/>
        <v>0</v>
      </c>
      <c r="CA412" t="b">
        <f t="shared" si="806"/>
        <v>0</v>
      </c>
      <c r="CB412" t="b">
        <f t="shared" si="807"/>
        <v>0</v>
      </c>
      <c r="CC412" t="b">
        <f t="shared" si="808"/>
        <v>0</v>
      </c>
      <c r="CD412" t="b">
        <f t="shared" si="809"/>
        <v>0</v>
      </c>
      <c r="CE412" t="b">
        <f t="shared" si="810"/>
        <v>0</v>
      </c>
      <c r="CF412" t="b">
        <f t="shared" si="811"/>
        <v>0</v>
      </c>
      <c r="CG412" t="b">
        <f t="shared" si="812"/>
        <v>0</v>
      </c>
      <c r="CH412" t="b">
        <f t="shared" si="813"/>
        <v>0</v>
      </c>
      <c r="CI412" t="b">
        <f t="shared" si="814"/>
        <v>0</v>
      </c>
      <c r="CJ412" t="b">
        <f t="shared" si="815"/>
        <v>0</v>
      </c>
      <c r="CK412" t="b">
        <f t="shared" si="816"/>
        <v>0</v>
      </c>
      <c r="CL412" t="b">
        <f t="shared" si="817"/>
        <v>0</v>
      </c>
      <c r="CM412" t="b">
        <f t="shared" si="818"/>
        <v>0</v>
      </c>
      <c r="CN412" t="b">
        <f t="shared" si="819"/>
        <v>0</v>
      </c>
      <c r="CO412" t="b">
        <f t="shared" si="820"/>
        <v>0</v>
      </c>
      <c r="CP412" t="b">
        <f t="shared" si="821"/>
        <v>0</v>
      </c>
      <c r="CQ412" t="b">
        <f t="shared" si="822"/>
        <v>0</v>
      </c>
      <c r="CR412" t="b">
        <f t="shared" si="823"/>
        <v>0</v>
      </c>
      <c r="CS412" t="b">
        <f t="shared" si="824"/>
        <v>0</v>
      </c>
      <c r="CT412" t="b">
        <f t="shared" si="825"/>
        <v>0</v>
      </c>
      <c r="CU412" t="b">
        <f t="shared" si="826"/>
        <v>0</v>
      </c>
      <c r="CV412">
        <f t="shared" si="827"/>
        <v>1</v>
      </c>
      <c r="CW412" t="b">
        <f t="shared" si="828"/>
        <v>0</v>
      </c>
      <c r="CX412" t="b">
        <f t="shared" si="829"/>
        <v>0</v>
      </c>
      <c r="CY412" t="b">
        <f t="shared" si="830"/>
        <v>0</v>
      </c>
      <c r="CZ412" t="b">
        <f t="shared" si="831"/>
        <v>0</v>
      </c>
      <c r="DA412" t="b">
        <f t="shared" si="832"/>
        <v>0</v>
      </c>
      <c r="DB412" t="b">
        <f t="shared" si="833"/>
        <v>0</v>
      </c>
      <c r="DC412" t="b">
        <f t="shared" si="834"/>
        <v>0</v>
      </c>
      <c r="DD412" t="b">
        <f t="shared" si="835"/>
        <v>0</v>
      </c>
      <c r="DE412" t="b">
        <f t="shared" si="836"/>
        <v>0</v>
      </c>
      <c r="DF412" t="b">
        <f t="shared" si="837"/>
        <v>0</v>
      </c>
      <c r="DG412" t="b">
        <f t="shared" si="838"/>
        <v>0</v>
      </c>
      <c r="DH412" t="b">
        <f t="shared" si="839"/>
        <v>0</v>
      </c>
      <c r="DI412" t="b">
        <f t="shared" si="840"/>
        <v>0</v>
      </c>
      <c r="DJ412" t="b">
        <f t="shared" si="841"/>
        <v>0</v>
      </c>
      <c r="DK412" t="b">
        <f t="shared" si="842"/>
        <v>0</v>
      </c>
      <c r="DL412" t="b">
        <f t="shared" si="843"/>
        <v>0</v>
      </c>
      <c r="DM412" t="b">
        <f t="shared" si="844"/>
        <v>0</v>
      </c>
      <c r="DN412" t="b">
        <f t="shared" si="845"/>
        <v>0</v>
      </c>
      <c r="DO412" t="b">
        <f t="shared" si="846"/>
        <v>0</v>
      </c>
      <c r="DP412" t="b">
        <f t="shared" si="847"/>
        <v>0</v>
      </c>
      <c r="DQ412" t="b">
        <f t="shared" si="848"/>
        <v>0</v>
      </c>
      <c r="DR412" t="b">
        <f t="shared" si="849"/>
        <v>0</v>
      </c>
      <c r="DS412" t="b">
        <f t="shared" si="850"/>
        <v>0</v>
      </c>
      <c r="DT412" t="b">
        <f t="shared" si="851"/>
        <v>0</v>
      </c>
      <c r="DU412" t="b">
        <f t="shared" si="852"/>
        <v>0</v>
      </c>
      <c r="DV412" t="b">
        <f t="shared" si="853"/>
        <v>0</v>
      </c>
      <c r="DW412" t="b">
        <f t="shared" si="854"/>
        <v>0</v>
      </c>
      <c r="DX412" t="b">
        <f t="shared" si="855"/>
        <v>0</v>
      </c>
      <c r="DY412" t="b">
        <f t="shared" si="856"/>
        <v>0</v>
      </c>
      <c r="DZ412" t="b">
        <f t="shared" si="857"/>
        <v>0</v>
      </c>
      <c r="EA412" t="b">
        <f t="shared" si="858"/>
        <v>0</v>
      </c>
      <c r="EB412" t="b">
        <f t="shared" si="859"/>
        <v>0</v>
      </c>
      <c r="EC412" t="b">
        <f t="shared" si="860"/>
        <v>0</v>
      </c>
      <c r="ED412" t="b">
        <f t="shared" si="861"/>
        <v>0</v>
      </c>
      <c r="EE412" t="b">
        <f t="shared" si="862"/>
        <v>0</v>
      </c>
      <c r="EF412" t="b">
        <f t="shared" si="863"/>
        <v>0</v>
      </c>
      <c r="EG412" t="b">
        <f t="shared" si="864"/>
        <v>0</v>
      </c>
      <c r="EH412" t="b">
        <f t="shared" si="865"/>
        <v>0</v>
      </c>
      <c r="EI412" t="b">
        <f t="shared" si="866"/>
        <v>0</v>
      </c>
      <c r="EJ412" t="b">
        <f t="shared" si="867"/>
        <v>0</v>
      </c>
      <c r="EK412" t="b">
        <f t="shared" si="868"/>
        <v>0</v>
      </c>
    </row>
    <row r="413" spans="1:141">
      <c r="A413" t="s">
        <v>2116</v>
      </c>
      <c r="B413" t="s">
        <v>2116</v>
      </c>
      <c r="C413" t="s">
        <v>2117</v>
      </c>
      <c r="D413" s="1">
        <v>42370</v>
      </c>
      <c r="E413" s="2">
        <v>42619.269791666666</v>
      </c>
      <c r="F413" s="2">
        <v>42619.269791666666</v>
      </c>
      <c r="G413">
        <v>800157</v>
      </c>
      <c r="H413" t="s">
        <v>2118</v>
      </c>
      <c r="I413" s="10" t="s">
        <v>2119</v>
      </c>
      <c r="J413" t="s">
        <v>188</v>
      </c>
      <c r="K413" s="8" t="b">
        <v>1</v>
      </c>
      <c r="L413" s="10" t="b">
        <v>0</v>
      </c>
      <c r="M413" s="12" t="b">
        <v>0</v>
      </c>
      <c r="N413" t="b">
        <v>0</v>
      </c>
      <c r="O413" t="b">
        <v>0</v>
      </c>
      <c r="P413" t="b">
        <v>0</v>
      </c>
      <c r="Q413">
        <f t="shared" si="745"/>
        <v>6</v>
      </c>
      <c r="R413">
        <f t="shared" si="746"/>
        <v>1</v>
      </c>
      <c r="S413" t="e">
        <f t="shared" ca="1" si="776"/>
        <v>#NAME?</v>
      </c>
      <c r="T413" t="e">
        <f t="shared" ca="1" si="747"/>
        <v>#NAME?</v>
      </c>
      <c r="U413" s="4">
        <f t="shared" si="748"/>
        <v>249.2697916666657</v>
      </c>
      <c r="V413" s="4">
        <f t="shared" si="749"/>
        <v>8.3089930555555238</v>
      </c>
      <c r="W413" s="4">
        <f t="shared" si="750"/>
        <v>1</v>
      </c>
      <c r="X413" s="4">
        <f t="shared" si="751"/>
        <v>0</v>
      </c>
      <c r="Y413" s="4">
        <f t="shared" si="752"/>
        <v>0</v>
      </c>
      <c r="Z413" s="4">
        <f t="shared" si="753"/>
        <v>0</v>
      </c>
      <c r="AA413" s="4">
        <f t="shared" si="754"/>
        <v>0</v>
      </c>
      <c r="AB413" s="4">
        <f t="shared" si="755"/>
        <v>0</v>
      </c>
      <c r="AC413" s="4"/>
      <c r="AD413" s="4" t="b">
        <f t="shared" si="756"/>
        <v>0</v>
      </c>
      <c r="AE413" s="4" t="b">
        <f t="shared" si="757"/>
        <v>0</v>
      </c>
      <c r="AF413" s="4" t="b">
        <f t="shared" si="758"/>
        <v>0</v>
      </c>
      <c r="AG413" t="b">
        <f t="shared" si="759"/>
        <v>0</v>
      </c>
      <c r="AH413" t="b">
        <f t="shared" si="760"/>
        <v>0</v>
      </c>
      <c r="AI413" t="b">
        <f t="shared" si="761"/>
        <v>0</v>
      </c>
      <c r="AJ413" t="b">
        <f t="shared" si="762"/>
        <v>0</v>
      </c>
      <c r="AK413" t="b">
        <f t="shared" si="763"/>
        <v>0</v>
      </c>
      <c r="AL413" t="b">
        <f t="shared" si="764"/>
        <v>0</v>
      </c>
      <c r="AM413" t="b">
        <f t="shared" si="765"/>
        <v>0</v>
      </c>
      <c r="AN413" t="b">
        <f t="shared" si="766"/>
        <v>0</v>
      </c>
      <c r="AO413" t="b">
        <f t="shared" si="767"/>
        <v>0</v>
      </c>
      <c r="AP413" t="b">
        <f t="shared" si="768"/>
        <v>0</v>
      </c>
      <c r="AQ413" t="b">
        <f t="shared" si="769"/>
        <v>0</v>
      </c>
      <c r="AR413" t="b">
        <f t="shared" si="770"/>
        <v>0</v>
      </c>
      <c r="AS413" t="b">
        <f t="shared" si="771"/>
        <v>0</v>
      </c>
      <c r="AT413" t="b">
        <f t="shared" si="772"/>
        <v>0</v>
      </c>
      <c r="AU413" t="b">
        <f t="shared" si="773"/>
        <v>0</v>
      </c>
      <c r="AV413" t="b">
        <f t="shared" si="774"/>
        <v>0</v>
      </c>
      <c r="AW413" t="b">
        <f t="shared" si="775"/>
        <v>0</v>
      </c>
      <c r="AX413" t="b">
        <f t="shared" si="777"/>
        <v>0</v>
      </c>
      <c r="AY413" t="b">
        <f t="shared" si="778"/>
        <v>0</v>
      </c>
      <c r="AZ413" t="b">
        <f t="shared" si="779"/>
        <v>0</v>
      </c>
      <c r="BA413" t="b">
        <f t="shared" si="780"/>
        <v>0</v>
      </c>
      <c r="BB413" t="b">
        <f t="shared" si="781"/>
        <v>0</v>
      </c>
      <c r="BC413" t="b">
        <f t="shared" si="782"/>
        <v>0</v>
      </c>
      <c r="BD413" t="b">
        <f t="shared" si="783"/>
        <v>0</v>
      </c>
      <c r="BE413" t="b">
        <f t="shared" si="784"/>
        <v>0</v>
      </c>
      <c r="BF413" t="b">
        <f t="shared" si="785"/>
        <v>0</v>
      </c>
      <c r="BG413" t="b">
        <f t="shared" si="786"/>
        <v>0</v>
      </c>
      <c r="BH413" t="b">
        <f t="shared" si="787"/>
        <v>0</v>
      </c>
      <c r="BI413">
        <f t="shared" si="788"/>
        <v>1</v>
      </c>
      <c r="BJ413" t="b">
        <f t="shared" si="789"/>
        <v>0</v>
      </c>
      <c r="BK413" t="b">
        <f t="shared" si="790"/>
        <v>0</v>
      </c>
      <c r="BL413" t="b">
        <f t="shared" si="791"/>
        <v>0</v>
      </c>
      <c r="BM413" t="b">
        <f t="shared" si="792"/>
        <v>0</v>
      </c>
      <c r="BN413" t="b">
        <f t="shared" si="793"/>
        <v>0</v>
      </c>
      <c r="BO413" t="b">
        <f t="shared" si="794"/>
        <v>0</v>
      </c>
      <c r="BP413" t="b">
        <f t="shared" si="795"/>
        <v>0</v>
      </c>
      <c r="BQ413" t="b">
        <f t="shared" si="796"/>
        <v>0</v>
      </c>
      <c r="BR413" t="b">
        <f t="shared" si="797"/>
        <v>0</v>
      </c>
      <c r="BS413" t="b">
        <f t="shared" si="798"/>
        <v>0</v>
      </c>
      <c r="BT413" t="b">
        <f t="shared" si="799"/>
        <v>0</v>
      </c>
      <c r="BU413" t="b">
        <f t="shared" si="800"/>
        <v>0</v>
      </c>
      <c r="BV413" t="b">
        <f t="shared" si="801"/>
        <v>0</v>
      </c>
      <c r="BW413" t="b">
        <f t="shared" si="802"/>
        <v>0</v>
      </c>
      <c r="BX413" t="b">
        <f t="shared" si="803"/>
        <v>0</v>
      </c>
      <c r="BY413" t="b">
        <f t="shared" si="804"/>
        <v>0</v>
      </c>
      <c r="BZ413" t="b">
        <f t="shared" si="805"/>
        <v>0</v>
      </c>
      <c r="CA413" t="b">
        <f t="shared" si="806"/>
        <v>0</v>
      </c>
      <c r="CB413" t="b">
        <f t="shared" si="807"/>
        <v>0</v>
      </c>
      <c r="CC413" t="b">
        <f t="shared" si="808"/>
        <v>0</v>
      </c>
      <c r="CD413" t="b">
        <f t="shared" si="809"/>
        <v>0</v>
      </c>
      <c r="CE413">
        <f t="shared" si="810"/>
        <v>1</v>
      </c>
      <c r="CF413" t="b">
        <f t="shared" si="811"/>
        <v>0</v>
      </c>
      <c r="CG413" t="b">
        <f t="shared" si="812"/>
        <v>0</v>
      </c>
      <c r="CH413" t="b">
        <f t="shared" si="813"/>
        <v>0</v>
      </c>
      <c r="CI413" t="b">
        <f t="shared" si="814"/>
        <v>0</v>
      </c>
      <c r="CJ413" t="b">
        <f t="shared" si="815"/>
        <v>0</v>
      </c>
      <c r="CK413" t="b">
        <f t="shared" si="816"/>
        <v>0</v>
      </c>
      <c r="CL413" t="b">
        <f t="shared" si="817"/>
        <v>0</v>
      </c>
      <c r="CM413" t="b">
        <f t="shared" si="818"/>
        <v>0</v>
      </c>
      <c r="CN413" t="b">
        <f t="shared" si="819"/>
        <v>0</v>
      </c>
      <c r="CO413" t="b">
        <f t="shared" si="820"/>
        <v>0</v>
      </c>
      <c r="CP413" t="b">
        <f t="shared" si="821"/>
        <v>0</v>
      </c>
      <c r="CQ413" t="b">
        <f t="shared" si="822"/>
        <v>0</v>
      </c>
      <c r="CR413" t="b">
        <f t="shared" si="823"/>
        <v>0</v>
      </c>
      <c r="CS413" t="b">
        <f t="shared" si="824"/>
        <v>0</v>
      </c>
      <c r="CT413" t="b">
        <f t="shared" si="825"/>
        <v>0</v>
      </c>
      <c r="CU413" t="b">
        <f t="shared" si="826"/>
        <v>0</v>
      </c>
      <c r="CV413">
        <f t="shared" si="827"/>
        <v>1</v>
      </c>
      <c r="CW413" t="b">
        <f t="shared" si="828"/>
        <v>0</v>
      </c>
      <c r="CX413" t="b">
        <f t="shared" si="829"/>
        <v>0</v>
      </c>
      <c r="CY413" t="b">
        <f t="shared" si="830"/>
        <v>0</v>
      </c>
      <c r="CZ413" t="b">
        <f t="shared" si="831"/>
        <v>0</v>
      </c>
      <c r="DA413" t="b">
        <f t="shared" si="832"/>
        <v>0</v>
      </c>
      <c r="DB413" t="b">
        <f t="shared" si="833"/>
        <v>0</v>
      </c>
      <c r="DC413" t="b">
        <f t="shared" si="834"/>
        <v>0</v>
      </c>
      <c r="DD413" t="b">
        <f t="shared" si="835"/>
        <v>0</v>
      </c>
      <c r="DE413" t="b">
        <f t="shared" si="836"/>
        <v>0</v>
      </c>
      <c r="DF413" t="b">
        <f t="shared" si="837"/>
        <v>0</v>
      </c>
      <c r="DG413" t="b">
        <f t="shared" si="838"/>
        <v>0</v>
      </c>
      <c r="DH413" t="b">
        <f t="shared" si="839"/>
        <v>0</v>
      </c>
      <c r="DI413" t="b">
        <f t="shared" si="840"/>
        <v>0</v>
      </c>
      <c r="DJ413" t="b">
        <f t="shared" si="841"/>
        <v>0</v>
      </c>
      <c r="DK413" t="b">
        <f t="shared" si="842"/>
        <v>0</v>
      </c>
      <c r="DL413" t="b">
        <f t="shared" si="843"/>
        <v>0</v>
      </c>
      <c r="DM413" t="b">
        <f t="shared" si="844"/>
        <v>0</v>
      </c>
      <c r="DN413" t="b">
        <f t="shared" si="845"/>
        <v>0</v>
      </c>
      <c r="DO413" t="b">
        <f t="shared" si="846"/>
        <v>0</v>
      </c>
      <c r="DP413" t="b">
        <f t="shared" si="847"/>
        <v>0</v>
      </c>
      <c r="DQ413" t="b">
        <f t="shared" si="848"/>
        <v>0</v>
      </c>
      <c r="DR413" t="b">
        <f t="shared" si="849"/>
        <v>0</v>
      </c>
      <c r="DS413" t="b">
        <f t="shared" si="850"/>
        <v>0</v>
      </c>
      <c r="DT413" t="b">
        <f t="shared" si="851"/>
        <v>0</v>
      </c>
      <c r="DU413" t="b">
        <f t="shared" si="852"/>
        <v>0</v>
      </c>
      <c r="DV413" t="b">
        <f t="shared" si="853"/>
        <v>0</v>
      </c>
      <c r="DW413" t="b">
        <f t="shared" si="854"/>
        <v>0</v>
      </c>
      <c r="DX413" t="b">
        <f t="shared" si="855"/>
        <v>0</v>
      </c>
      <c r="DY413" t="b">
        <f t="shared" si="856"/>
        <v>0</v>
      </c>
      <c r="DZ413" t="b">
        <f t="shared" si="857"/>
        <v>0</v>
      </c>
      <c r="EA413" t="b">
        <f t="shared" si="858"/>
        <v>0</v>
      </c>
      <c r="EB413" t="b">
        <f t="shared" si="859"/>
        <v>0</v>
      </c>
      <c r="EC413" t="b">
        <f t="shared" si="860"/>
        <v>0</v>
      </c>
      <c r="ED413" t="b">
        <f t="shared" si="861"/>
        <v>0</v>
      </c>
      <c r="EE413" t="b">
        <f t="shared" si="862"/>
        <v>0</v>
      </c>
      <c r="EF413">
        <f t="shared" si="863"/>
        <v>1</v>
      </c>
      <c r="EG413" t="b">
        <f t="shared" si="864"/>
        <v>0</v>
      </c>
      <c r="EH413" t="b">
        <f t="shared" si="865"/>
        <v>0</v>
      </c>
      <c r="EI413" t="b">
        <f t="shared" si="866"/>
        <v>0</v>
      </c>
      <c r="EJ413" t="b">
        <f t="shared" si="867"/>
        <v>0</v>
      </c>
      <c r="EK413" t="b">
        <f t="shared" si="868"/>
        <v>0</v>
      </c>
    </row>
    <row r="414" spans="1:141">
      <c r="A414" t="s">
        <v>2120</v>
      </c>
      <c r="B414" t="s">
        <v>2121</v>
      </c>
      <c r="C414" t="s">
        <v>2122</v>
      </c>
      <c r="D414" s="1">
        <v>43067</v>
      </c>
      <c r="E414" s="2">
        <v>43115.260358796295</v>
      </c>
      <c r="F414" s="2">
        <v>43115.260358796295</v>
      </c>
      <c r="G414">
        <v>512311</v>
      </c>
      <c r="H414" t="s">
        <v>2123</v>
      </c>
      <c r="I414" s="10" t="s">
        <v>2124</v>
      </c>
      <c r="J414" t="s">
        <v>2125</v>
      </c>
      <c r="K414" s="8" t="b">
        <v>1</v>
      </c>
      <c r="L414" s="10" t="b">
        <v>0</v>
      </c>
      <c r="M414" s="12" t="b">
        <v>0</v>
      </c>
      <c r="N414" t="b">
        <v>0</v>
      </c>
      <c r="O414" t="b">
        <v>0</v>
      </c>
      <c r="P414" t="b">
        <v>0</v>
      </c>
      <c r="Q414">
        <f t="shared" si="745"/>
        <v>3</v>
      </c>
      <c r="R414">
        <f t="shared" si="746"/>
        <v>11</v>
      </c>
      <c r="S414" t="e">
        <f t="shared" ca="1" si="776"/>
        <v>#NAME?</v>
      </c>
      <c r="T414" t="e">
        <f t="shared" ca="1" si="747"/>
        <v>#NAME?</v>
      </c>
      <c r="U414" s="4">
        <f t="shared" si="748"/>
        <v>48.260358796294895</v>
      </c>
      <c r="V414" s="4">
        <f t="shared" si="749"/>
        <v>1.6086786265431632</v>
      </c>
      <c r="W414" s="4">
        <f t="shared" si="750"/>
        <v>1</v>
      </c>
      <c r="X414" s="4">
        <f t="shared" si="751"/>
        <v>0</v>
      </c>
      <c r="Y414" s="4">
        <f t="shared" si="752"/>
        <v>0</v>
      </c>
      <c r="Z414" s="4">
        <f t="shared" si="753"/>
        <v>0</v>
      </c>
      <c r="AA414" s="4">
        <f t="shared" si="754"/>
        <v>0</v>
      </c>
      <c r="AB414" s="4">
        <f t="shared" si="755"/>
        <v>0</v>
      </c>
      <c r="AC414" s="4"/>
      <c r="AD414" s="4" t="b">
        <f t="shared" si="756"/>
        <v>0</v>
      </c>
      <c r="AE414" s="4" t="b">
        <f t="shared" si="757"/>
        <v>0</v>
      </c>
      <c r="AF414" s="4" t="b">
        <f t="shared" si="758"/>
        <v>0</v>
      </c>
      <c r="AG414" t="b">
        <f t="shared" si="759"/>
        <v>0</v>
      </c>
      <c r="AH414" t="b">
        <f t="shared" si="760"/>
        <v>0</v>
      </c>
      <c r="AI414" t="b">
        <f t="shared" si="761"/>
        <v>0</v>
      </c>
      <c r="AJ414">
        <f t="shared" si="762"/>
        <v>1</v>
      </c>
      <c r="AK414" t="b">
        <f t="shared" si="763"/>
        <v>0</v>
      </c>
      <c r="AL414" t="b">
        <f t="shared" si="764"/>
        <v>0</v>
      </c>
      <c r="AM414" t="b">
        <f t="shared" si="765"/>
        <v>0</v>
      </c>
      <c r="AN414" t="b">
        <f t="shared" si="766"/>
        <v>0</v>
      </c>
      <c r="AO414" t="b">
        <f t="shared" si="767"/>
        <v>0</v>
      </c>
      <c r="AP414" t="b">
        <f t="shared" si="768"/>
        <v>0</v>
      </c>
      <c r="AQ414" t="b">
        <f t="shared" si="769"/>
        <v>0</v>
      </c>
      <c r="AR414" t="b">
        <f t="shared" si="770"/>
        <v>0</v>
      </c>
      <c r="AS414" t="b">
        <f t="shared" si="771"/>
        <v>0</v>
      </c>
      <c r="AT414" t="b">
        <f t="shared" si="772"/>
        <v>0</v>
      </c>
      <c r="AU414" t="b">
        <f t="shared" si="773"/>
        <v>0</v>
      </c>
      <c r="AV414" t="b">
        <f t="shared" si="774"/>
        <v>0</v>
      </c>
      <c r="AW414" t="b">
        <f t="shared" si="775"/>
        <v>0</v>
      </c>
      <c r="AX414" t="b">
        <f t="shared" si="777"/>
        <v>0</v>
      </c>
      <c r="AY414" t="b">
        <f t="shared" si="778"/>
        <v>0</v>
      </c>
      <c r="AZ414" t="b">
        <f t="shared" si="779"/>
        <v>0</v>
      </c>
      <c r="BA414" t="b">
        <f t="shared" si="780"/>
        <v>0</v>
      </c>
      <c r="BB414" t="b">
        <f t="shared" si="781"/>
        <v>0</v>
      </c>
      <c r="BC414" t="b">
        <f t="shared" si="782"/>
        <v>0</v>
      </c>
      <c r="BD414" t="b">
        <f t="shared" si="783"/>
        <v>0</v>
      </c>
      <c r="BE414" t="b">
        <f t="shared" si="784"/>
        <v>0</v>
      </c>
      <c r="BF414" t="b">
        <f t="shared" si="785"/>
        <v>0</v>
      </c>
      <c r="BG414" t="b">
        <f t="shared" si="786"/>
        <v>0</v>
      </c>
      <c r="BH414" t="b">
        <f t="shared" si="787"/>
        <v>0</v>
      </c>
      <c r="BI414">
        <f t="shared" si="788"/>
        <v>1</v>
      </c>
      <c r="BJ414" t="b">
        <f t="shared" si="789"/>
        <v>0</v>
      </c>
      <c r="BK414" t="b">
        <f t="shared" si="790"/>
        <v>0</v>
      </c>
      <c r="BL414" t="b">
        <f t="shared" si="791"/>
        <v>0</v>
      </c>
      <c r="BM414" t="b">
        <f t="shared" si="792"/>
        <v>0</v>
      </c>
      <c r="BN414" t="b">
        <f t="shared" si="793"/>
        <v>0</v>
      </c>
      <c r="BO414" t="b">
        <f t="shared" si="794"/>
        <v>0</v>
      </c>
      <c r="BP414" t="b">
        <f t="shared" si="795"/>
        <v>0</v>
      </c>
      <c r="BQ414" t="b">
        <f t="shared" si="796"/>
        <v>0</v>
      </c>
      <c r="BR414" t="b">
        <f t="shared" si="797"/>
        <v>0</v>
      </c>
      <c r="BS414" t="b">
        <f t="shared" si="798"/>
        <v>0</v>
      </c>
      <c r="BT414" t="b">
        <f t="shared" si="799"/>
        <v>0</v>
      </c>
      <c r="BU414" t="b">
        <f t="shared" si="800"/>
        <v>0</v>
      </c>
      <c r="BV414" t="b">
        <f t="shared" si="801"/>
        <v>0</v>
      </c>
      <c r="BW414" t="b">
        <f t="shared" si="802"/>
        <v>0</v>
      </c>
      <c r="BX414" t="b">
        <f t="shared" si="803"/>
        <v>0</v>
      </c>
      <c r="BY414" t="b">
        <f t="shared" si="804"/>
        <v>0</v>
      </c>
      <c r="BZ414" t="b">
        <f t="shared" si="805"/>
        <v>0</v>
      </c>
      <c r="CA414" t="b">
        <f t="shared" si="806"/>
        <v>0</v>
      </c>
      <c r="CB414" t="b">
        <f t="shared" si="807"/>
        <v>0</v>
      </c>
      <c r="CC414" t="b">
        <f t="shared" si="808"/>
        <v>0</v>
      </c>
      <c r="CD414" t="b">
        <f t="shared" si="809"/>
        <v>0</v>
      </c>
      <c r="CE414">
        <f t="shared" si="810"/>
        <v>1</v>
      </c>
      <c r="CF414" t="b">
        <f t="shared" si="811"/>
        <v>0</v>
      </c>
      <c r="CG414" t="b">
        <f t="shared" si="812"/>
        <v>0</v>
      </c>
      <c r="CH414" t="b">
        <f t="shared" si="813"/>
        <v>0</v>
      </c>
      <c r="CI414" t="b">
        <f t="shared" si="814"/>
        <v>0</v>
      </c>
      <c r="CJ414" t="b">
        <f t="shared" si="815"/>
        <v>0</v>
      </c>
      <c r="CK414" t="b">
        <f t="shared" si="816"/>
        <v>0</v>
      </c>
      <c r="CL414" t="b">
        <f t="shared" si="817"/>
        <v>0</v>
      </c>
      <c r="CM414" t="b">
        <f t="shared" si="818"/>
        <v>0</v>
      </c>
      <c r="CN414" t="b">
        <f t="shared" si="819"/>
        <v>0</v>
      </c>
      <c r="CO414" t="b">
        <f t="shared" si="820"/>
        <v>0</v>
      </c>
      <c r="CP414" t="b">
        <f t="shared" si="821"/>
        <v>0</v>
      </c>
      <c r="CQ414" t="b">
        <f t="shared" si="822"/>
        <v>0</v>
      </c>
      <c r="CR414" t="b">
        <f t="shared" si="823"/>
        <v>0</v>
      </c>
      <c r="CS414" t="b">
        <f t="shared" si="824"/>
        <v>0</v>
      </c>
      <c r="CT414" t="b">
        <f t="shared" si="825"/>
        <v>0</v>
      </c>
      <c r="CU414" t="b">
        <f t="shared" si="826"/>
        <v>0</v>
      </c>
      <c r="CV414" t="b">
        <f t="shared" si="827"/>
        <v>0</v>
      </c>
      <c r="CW414" t="b">
        <f t="shared" si="828"/>
        <v>0</v>
      </c>
      <c r="CX414" t="b">
        <f t="shared" si="829"/>
        <v>0</v>
      </c>
      <c r="CY414" t="b">
        <f t="shared" si="830"/>
        <v>0</v>
      </c>
      <c r="CZ414" t="b">
        <f t="shared" si="831"/>
        <v>0</v>
      </c>
      <c r="DA414">
        <f t="shared" si="832"/>
        <v>1</v>
      </c>
      <c r="DB414">
        <f t="shared" si="833"/>
        <v>1</v>
      </c>
      <c r="DC414" t="b">
        <f t="shared" si="834"/>
        <v>0</v>
      </c>
      <c r="DD414" t="b">
        <f t="shared" si="835"/>
        <v>0</v>
      </c>
      <c r="DE414" t="b">
        <f t="shared" si="836"/>
        <v>0</v>
      </c>
      <c r="DF414" t="b">
        <f t="shared" si="837"/>
        <v>0</v>
      </c>
      <c r="DG414" t="b">
        <f t="shared" si="838"/>
        <v>0</v>
      </c>
      <c r="DH414" t="b">
        <f t="shared" si="839"/>
        <v>0</v>
      </c>
      <c r="DI414" t="b">
        <f t="shared" si="840"/>
        <v>0</v>
      </c>
      <c r="DJ414">
        <f t="shared" si="841"/>
        <v>1</v>
      </c>
      <c r="DK414" t="b">
        <f t="shared" si="842"/>
        <v>0</v>
      </c>
      <c r="DL414" t="b">
        <f t="shared" si="843"/>
        <v>0</v>
      </c>
      <c r="DM414" t="b">
        <f t="shared" si="844"/>
        <v>0</v>
      </c>
      <c r="DN414" t="b">
        <f t="shared" si="845"/>
        <v>0</v>
      </c>
      <c r="DO414" t="b">
        <f t="shared" si="846"/>
        <v>0</v>
      </c>
      <c r="DP414" t="b">
        <f t="shared" si="847"/>
        <v>0</v>
      </c>
      <c r="DQ414" t="b">
        <f t="shared" si="848"/>
        <v>0</v>
      </c>
      <c r="DR414" t="b">
        <f t="shared" si="849"/>
        <v>0</v>
      </c>
      <c r="DS414" t="b">
        <f t="shared" si="850"/>
        <v>0</v>
      </c>
      <c r="DT414" t="b">
        <f t="shared" si="851"/>
        <v>0</v>
      </c>
      <c r="DU414" t="b">
        <f t="shared" si="852"/>
        <v>0</v>
      </c>
      <c r="DV414" t="b">
        <f t="shared" si="853"/>
        <v>0</v>
      </c>
      <c r="DW414" t="b">
        <f t="shared" si="854"/>
        <v>0</v>
      </c>
      <c r="DX414" t="b">
        <f t="shared" si="855"/>
        <v>0</v>
      </c>
      <c r="DY414">
        <f t="shared" si="856"/>
        <v>1</v>
      </c>
      <c r="DZ414" t="b">
        <f t="shared" si="857"/>
        <v>0</v>
      </c>
      <c r="EA414" t="b">
        <f t="shared" si="858"/>
        <v>0</v>
      </c>
      <c r="EB414" t="b">
        <f t="shared" si="859"/>
        <v>0</v>
      </c>
      <c r="EC414" t="b">
        <f t="shared" si="860"/>
        <v>0</v>
      </c>
      <c r="ED414" t="b">
        <f t="shared" si="861"/>
        <v>0</v>
      </c>
      <c r="EE414" t="b">
        <f t="shared" si="862"/>
        <v>0</v>
      </c>
      <c r="EF414">
        <f t="shared" si="863"/>
        <v>1</v>
      </c>
      <c r="EG414" t="b">
        <f t="shared" si="864"/>
        <v>0</v>
      </c>
      <c r="EH414" t="b">
        <f t="shared" si="865"/>
        <v>0</v>
      </c>
      <c r="EI414" t="b">
        <f t="shared" si="866"/>
        <v>0</v>
      </c>
      <c r="EJ414" t="b">
        <f t="shared" si="867"/>
        <v>0</v>
      </c>
      <c r="EK414" t="b">
        <f t="shared" si="868"/>
        <v>0</v>
      </c>
    </row>
    <row r="415" spans="1:141">
      <c r="A415" t="s">
        <v>2126</v>
      </c>
      <c r="B415" t="s">
        <v>2127</v>
      </c>
      <c r="C415" t="s">
        <v>2128</v>
      </c>
      <c r="D415" s="1">
        <v>44409</v>
      </c>
      <c r="E415" s="2">
        <v>44580.202499999999</v>
      </c>
      <c r="F415" s="2">
        <v>44580.202499999999</v>
      </c>
      <c r="G415">
        <v>6783158</v>
      </c>
      <c r="H415" t="s">
        <v>2129</v>
      </c>
      <c r="I415" s="10" t="s">
        <v>2130</v>
      </c>
      <c r="J415" t="s">
        <v>2131</v>
      </c>
      <c r="K415" s="8" t="b">
        <v>1</v>
      </c>
      <c r="L415" s="10" t="b">
        <v>0</v>
      </c>
      <c r="M415" s="12" t="b">
        <v>0</v>
      </c>
      <c r="N415" t="b">
        <v>0</v>
      </c>
      <c r="O415" t="b">
        <v>0</v>
      </c>
      <c r="P415" t="b">
        <v>0</v>
      </c>
      <c r="Q415">
        <f t="shared" si="745"/>
        <v>1</v>
      </c>
      <c r="R415">
        <f t="shared" si="746"/>
        <v>8</v>
      </c>
      <c r="S415" t="e">
        <f t="shared" ca="1" si="776"/>
        <v>#NAME?</v>
      </c>
      <c r="T415" t="e">
        <f t="shared" ca="1" si="747"/>
        <v>#NAME?</v>
      </c>
      <c r="U415" s="4">
        <f t="shared" si="748"/>
        <v>171.20249999999942</v>
      </c>
      <c r="V415" s="4">
        <f t="shared" si="749"/>
        <v>5.7067499999999809</v>
      </c>
      <c r="W415" s="4">
        <f t="shared" si="750"/>
        <v>1</v>
      </c>
      <c r="X415" s="4">
        <f t="shared" si="751"/>
        <v>0</v>
      </c>
      <c r="Y415" s="4">
        <f t="shared" si="752"/>
        <v>0</v>
      </c>
      <c r="Z415" s="4">
        <f t="shared" si="753"/>
        <v>0</v>
      </c>
      <c r="AA415" s="4">
        <f t="shared" si="754"/>
        <v>0</v>
      </c>
      <c r="AB415" s="4">
        <f t="shared" si="755"/>
        <v>0</v>
      </c>
      <c r="AC415" s="4"/>
      <c r="AD415" s="4" t="b">
        <f t="shared" si="756"/>
        <v>0</v>
      </c>
      <c r="AE415" s="4" t="b">
        <f t="shared" si="757"/>
        <v>0</v>
      </c>
      <c r="AF415" s="4" t="b">
        <f t="shared" si="758"/>
        <v>0</v>
      </c>
      <c r="AG415" t="b">
        <f t="shared" si="759"/>
        <v>0</v>
      </c>
      <c r="AH415" t="b">
        <f t="shared" si="760"/>
        <v>0</v>
      </c>
      <c r="AI415" t="b">
        <f t="shared" si="761"/>
        <v>0</v>
      </c>
      <c r="AJ415" t="b">
        <f t="shared" si="762"/>
        <v>0</v>
      </c>
      <c r="AK415" t="b">
        <f t="shared" si="763"/>
        <v>0</v>
      </c>
      <c r="AL415" t="b">
        <f t="shared" si="764"/>
        <v>0</v>
      </c>
      <c r="AM415" t="b">
        <f t="shared" si="765"/>
        <v>0</v>
      </c>
      <c r="AN415" t="b">
        <f t="shared" si="766"/>
        <v>0</v>
      </c>
      <c r="AO415" t="b">
        <f t="shared" si="767"/>
        <v>0</v>
      </c>
      <c r="AP415" t="b">
        <f t="shared" si="768"/>
        <v>0</v>
      </c>
      <c r="AQ415" t="b">
        <f t="shared" si="769"/>
        <v>0</v>
      </c>
      <c r="AR415" t="b">
        <f t="shared" si="770"/>
        <v>0</v>
      </c>
      <c r="AS415" t="b">
        <f t="shared" si="771"/>
        <v>0</v>
      </c>
      <c r="AT415" t="b">
        <f t="shared" si="772"/>
        <v>0</v>
      </c>
      <c r="AU415" t="b">
        <f t="shared" si="773"/>
        <v>0</v>
      </c>
      <c r="AV415" t="b">
        <f t="shared" si="774"/>
        <v>0</v>
      </c>
      <c r="AW415" t="b">
        <f t="shared" si="775"/>
        <v>0</v>
      </c>
      <c r="AX415" t="b">
        <f t="shared" si="777"/>
        <v>0</v>
      </c>
      <c r="AY415" t="b">
        <f t="shared" si="778"/>
        <v>0</v>
      </c>
      <c r="AZ415" t="b">
        <f t="shared" si="779"/>
        <v>0</v>
      </c>
      <c r="BA415" t="b">
        <f t="shared" si="780"/>
        <v>0</v>
      </c>
      <c r="BB415" t="b">
        <f t="shared" si="781"/>
        <v>0</v>
      </c>
      <c r="BC415" t="b">
        <f t="shared" si="782"/>
        <v>0</v>
      </c>
      <c r="BD415" t="b">
        <f t="shared" si="783"/>
        <v>0</v>
      </c>
      <c r="BE415" t="b">
        <f t="shared" si="784"/>
        <v>0</v>
      </c>
      <c r="BF415" t="b">
        <f t="shared" si="785"/>
        <v>0</v>
      </c>
      <c r="BG415" t="b">
        <f t="shared" si="786"/>
        <v>0</v>
      </c>
      <c r="BH415" t="b">
        <f t="shared" si="787"/>
        <v>0</v>
      </c>
      <c r="BI415">
        <f t="shared" si="788"/>
        <v>1</v>
      </c>
      <c r="BJ415" t="b">
        <f t="shared" si="789"/>
        <v>0</v>
      </c>
      <c r="BK415" t="b">
        <f t="shared" si="790"/>
        <v>0</v>
      </c>
      <c r="BL415" t="b">
        <f t="shared" si="791"/>
        <v>0</v>
      </c>
      <c r="BM415" t="b">
        <f t="shared" si="792"/>
        <v>0</v>
      </c>
      <c r="BN415" t="b">
        <f t="shared" si="793"/>
        <v>0</v>
      </c>
      <c r="BO415" t="b">
        <f t="shared" si="794"/>
        <v>0</v>
      </c>
      <c r="BP415" t="b">
        <f t="shared" si="795"/>
        <v>0</v>
      </c>
      <c r="BQ415" t="b">
        <f t="shared" si="796"/>
        <v>0</v>
      </c>
      <c r="BR415" t="b">
        <f t="shared" si="797"/>
        <v>0</v>
      </c>
      <c r="BS415">
        <f t="shared" si="798"/>
        <v>1</v>
      </c>
      <c r="BT415" t="b">
        <f t="shared" si="799"/>
        <v>0</v>
      </c>
      <c r="BU415" t="b">
        <f t="shared" si="800"/>
        <v>0</v>
      </c>
      <c r="BV415" t="b">
        <f t="shared" si="801"/>
        <v>0</v>
      </c>
      <c r="BW415" t="b">
        <f t="shared" si="802"/>
        <v>0</v>
      </c>
      <c r="BX415" t="b">
        <f t="shared" si="803"/>
        <v>0</v>
      </c>
      <c r="BY415" t="b">
        <f t="shared" si="804"/>
        <v>0</v>
      </c>
      <c r="BZ415" t="b">
        <f t="shared" si="805"/>
        <v>0</v>
      </c>
      <c r="CA415" t="b">
        <f t="shared" si="806"/>
        <v>0</v>
      </c>
      <c r="CB415" t="b">
        <f t="shared" si="807"/>
        <v>0</v>
      </c>
      <c r="CC415" t="b">
        <f t="shared" si="808"/>
        <v>0</v>
      </c>
      <c r="CD415" t="b">
        <f t="shared" si="809"/>
        <v>0</v>
      </c>
      <c r="CE415">
        <f t="shared" si="810"/>
        <v>1</v>
      </c>
      <c r="CF415" t="b">
        <f t="shared" si="811"/>
        <v>0</v>
      </c>
      <c r="CG415" t="b">
        <f t="shared" si="812"/>
        <v>0</v>
      </c>
      <c r="CH415" t="b">
        <f t="shared" si="813"/>
        <v>0</v>
      </c>
      <c r="CI415" t="b">
        <f t="shared" si="814"/>
        <v>0</v>
      </c>
      <c r="CJ415" t="b">
        <f t="shared" si="815"/>
        <v>0</v>
      </c>
      <c r="CK415" t="b">
        <f t="shared" si="816"/>
        <v>0</v>
      </c>
      <c r="CL415" t="b">
        <f t="shared" si="817"/>
        <v>0</v>
      </c>
      <c r="CM415" t="b">
        <f t="shared" si="818"/>
        <v>0</v>
      </c>
      <c r="CN415" t="b">
        <f t="shared" si="819"/>
        <v>0</v>
      </c>
      <c r="CO415" t="b">
        <f t="shared" si="820"/>
        <v>0</v>
      </c>
      <c r="CP415" t="b">
        <f t="shared" si="821"/>
        <v>0</v>
      </c>
      <c r="CQ415" t="b">
        <f t="shared" si="822"/>
        <v>0</v>
      </c>
      <c r="CR415" t="b">
        <f t="shared" si="823"/>
        <v>0</v>
      </c>
      <c r="CS415" t="b">
        <f t="shared" si="824"/>
        <v>0</v>
      </c>
      <c r="CT415" t="b">
        <f t="shared" si="825"/>
        <v>0</v>
      </c>
      <c r="CU415" t="b">
        <f t="shared" si="826"/>
        <v>0</v>
      </c>
      <c r="CV415">
        <f t="shared" si="827"/>
        <v>1</v>
      </c>
      <c r="CW415" t="b">
        <f t="shared" si="828"/>
        <v>0</v>
      </c>
      <c r="CX415" t="b">
        <f t="shared" si="829"/>
        <v>0</v>
      </c>
      <c r="CY415" t="b">
        <f t="shared" si="830"/>
        <v>0</v>
      </c>
      <c r="CZ415" t="b">
        <f t="shared" si="831"/>
        <v>0</v>
      </c>
      <c r="DA415" t="b">
        <f t="shared" si="832"/>
        <v>0</v>
      </c>
      <c r="DB415" t="b">
        <f t="shared" si="833"/>
        <v>0</v>
      </c>
      <c r="DC415" t="b">
        <f t="shared" si="834"/>
        <v>0</v>
      </c>
      <c r="DD415" t="b">
        <f t="shared" si="835"/>
        <v>0</v>
      </c>
      <c r="DE415" t="b">
        <f t="shared" si="836"/>
        <v>0</v>
      </c>
      <c r="DF415" t="b">
        <f t="shared" si="837"/>
        <v>0</v>
      </c>
      <c r="DG415" t="b">
        <f t="shared" si="838"/>
        <v>0</v>
      </c>
      <c r="DH415" t="b">
        <f t="shared" si="839"/>
        <v>0</v>
      </c>
      <c r="DI415" t="b">
        <f t="shared" si="840"/>
        <v>0</v>
      </c>
      <c r="DJ415" t="b">
        <f t="shared" si="841"/>
        <v>0</v>
      </c>
      <c r="DK415" t="b">
        <f t="shared" si="842"/>
        <v>0</v>
      </c>
      <c r="DL415" t="b">
        <f t="shared" si="843"/>
        <v>0</v>
      </c>
      <c r="DM415" t="b">
        <f t="shared" si="844"/>
        <v>0</v>
      </c>
      <c r="DN415" t="b">
        <f t="shared" si="845"/>
        <v>0</v>
      </c>
      <c r="DO415" t="b">
        <f t="shared" si="846"/>
        <v>0</v>
      </c>
      <c r="DP415" t="b">
        <f t="shared" si="847"/>
        <v>0</v>
      </c>
      <c r="DQ415" t="b">
        <f t="shared" si="848"/>
        <v>0</v>
      </c>
      <c r="DR415" t="b">
        <f t="shared" si="849"/>
        <v>0</v>
      </c>
      <c r="DS415" t="b">
        <f t="shared" si="850"/>
        <v>0</v>
      </c>
      <c r="DT415" t="b">
        <f t="shared" si="851"/>
        <v>0</v>
      </c>
      <c r="DU415" t="b">
        <f t="shared" si="852"/>
        <v>0</v>
      </c>
      <c r="DV415" t="b">
        <f t="shared" si="853"/>
        <v>0</v>
      </c>
      <c r="DW415" t="b">
        <f t="shared" si="854"/>
        <v>0</v>
      </c>
      <c r="DX415" t="b">
        <f t="shared" si="855"/>
        <v>0</v>
      </c>
      <c r="DY415" t="b">
        <f t="shared" si="856"/>
        <v>0</v>
      </c>
      <c r="DZ415" t="b">
        <f t="shared" si="857"/>
        <v>0</v>
      </c>
      <c r="EA415" t="b">
        <f t="shared" si="858"/>
        <v>0</v>
      </c>
      <c r="EB415" t="b">
        <f t="shared" si="859"/>
        <v>0</v>
      </c>
      <c r="EC415" t="b">
        <f t="shared" si="860"/>
        <v>0</v>
      </c>
      <c r="ED415" t="b">
        <f t="shared" si="861"/>
        <v>0</v>
      </c>
      <c r="EE415" t="b">
        <f t="shared" si="862"/>
        <v>0</v>
      </c>
      <c r="EF415">
        <f t="shared" si="863"/>
        <v>1</v>
      </c>
      <c r="EG415" t="b">
        <f t="shared" si="864"/>
        <v>0</v>
      </c>
      <c r="EH415" t="b">
        <f t="shared" si="865"/>
        <v>0</v>
      </c>
      <c r="EI415" t="b">
        <f t="shared" si="866"/>
        <v>0</v>
      </c>
      <c r="EJ415" t="b">
        <f t="shared" si="867"/>
        <v>0</v>
      </c>
      <c r="EK415" t="b">
        <f t="shared" si="868"/>
        <v>0</v>
      </c>
    </row>
    <row r="416" spans="1:141">
      <c r="A416" t="s">
        <v>2132</v>
      </c>
      <c r="B416" t="s">
        <v>2132</v>
      </c>
      <c r="C416" t="s">
        <v>2133</v>
      </c>
      <c r="D416" s="1">
        <v>44011</v>
      </c>
      <c r="E416" s="2">
        <v>44416.07885416667</v>
      </c>
      <c r="F416" s="2">
        <v>44416.091620370367</v>
      </c>
      <c r="G416">
        <v>1304447</v>
      </c>
      <c r="H416" t="s">
        <v>2134</v>
      </c>
      <c r="I416" s="10" t="s">
        <v>2135</v>
      </c>
      <c r="J416" t="s">
        <v>2136</v>
      </c>
      <c r="K416" s="8" t="b">
        <v>1</v>
      </c>
      <c r="L416" s="10" t="b">
        <v>0</v>
      </c>
      <c r="M416" s="12" t="b">
        <v>0</v>
      </c>
      <c r="N416" t="b">
        <v>0</v>
      </c>
      <c r="O416" t="b">
        <v>0</v>
      </c>
      <c r="P416" t="b">
        <v>0</v>
      </c>
      <c r="Q416">
        <f t="shared" si="745"/>
        <v>2</v>
      </c>
      <c r="R416">
        <f t="shared" si="746"/>
        <v>6</v>
      </c>
      <c r="S416" t="e">
        <f t="shared" ca="1" si="776"/>
        <v>#NAME?</v>
      </c>
      <c r="T416" t="e">
        <f t="shared" ca="1" si="747"/>
        <v>#NAME?</v>
      </c>
      <c r="U416" s="4">
        <f t="shared" si="748"/>
        <v>405.07885416666977</v>
      </c>
      <c r="V416" s="4">
        <f t="shared" si="749"/>
        <v>13.502628472222325</v>
      </c>
      <c r="W416" s="4">
        <f t="shared" si="750"/>
        <v>1</v>
      </c>
      <c r="X416" s="4">
        <f t="shared" si="751"/>
        <v>0</v>
      </c>
      <c r="Y416" s="4">
        <f t="shared" si="752"/>
        <v>0</v>
      </c>
      <c r="Z416" s="4">
        <f t="shared" si="753"/>
        <v>0</v>
      </c>
      <c r="AA416" s="4">
        <f t="shared" si="754"/>
        <v>0</v>
      </c>
      <c r="AB416" s="4">
        <f t="shared" si="755"/>
        <v>0</v>
      </c>
      <c r="AC416" s="4"/>
      <c r="AD416" s="4" t="b">
        <f t="shared" si="756"/>
        <v>0</v>
      </c>
      <c r="AE416" s="4" t="b">
        <f t="shared" si="757"/>
        <v>0</v>
      </c>
      <c r="AF416" s="4" t="b">
        <f t="shared" si="758"/>
        <v>0</v>
      </c>
      <c r="AG416" t="b">
        <f t="shared" si="759"/>
        <v>0</v>
      </c>
      <c r="AH416" t="b">
        <f t="shared" si="760"/>
        <v>0</v>
      </c>
      <c r="AI416" t="b">
        <f t="shared" si="761"/>
        <v>0</v>
      </c>
      <c r="AJ416" t="b">
        <f t="shared" si="762"/>
        <v>0</v>
      </c>
      <c r="AK416" t="b">
        <f t="shared" si="763"/>
        <v>0</v>
      </c>
      <c r="AL416" t="b">
        <f t="shared" si="764"/>
        <v>0</v>
      </c>
      <c r="AM416" t="b">
        <f t="shared" si="765"/>
        <v>0</v>
      </c>
      <c r="AN416" t="b">
        <f t="shared" si="766"/>
        <v>0</v>
      </c>
      <c r="AO416" t="b">
        <f t="shared" si="767"/>
        <v>0</v>
      </c>
      <c r="AP416" t="b">
        <f t="shared" si="768"/>
        <v>0</v>
      </c>
      <c r="AQ416" t="b">
        <f t="shared" si="769"/>
        <v>0</v>
      </c>
      <c r="AR416" t="b">
        <f t="shared" si="770"/>
        <v>0</v>
      </c>
      <c r="AS416" t="b">
        <f t="shared" si="771"/>
        <v>0</v>
      </c>
      <c r="AT416" t="b">
        <f t="shared" si="772"/>
        <v>0</v>
      </c>
      <c r="AU416" t="b">
        <f t="shared" si="773"/>
        <v>0</v>
      </c>
      <c r="AV416" t="b">
        <f t="shared" si="774"/>
        <v>0</v>
      </c>
      <c r="AW416" t="b">
        <f t="shared" si="775"/>
        <v>0</v>
      </c>
      <c r="AX416" t="b">
        <f t="shared" si="777"/>
        <v>0</v>
      </c>
      <c r="AY416" t="b">
        <f t="shared" si="778"/>
        <v>0</v>
      </c>
      <c r="AZ416">
        <f t="shared" si="779"/>
        <v>1</v>
      </c>
      <c r="BA416" t="b">
        <f t="shared" si="780"/>
        <v>0</v>
      </c>
      <c r="BB416" t="b">
        <f t="shared" si="781"/>
        <v>0</v>
      </c>
      <c r="BC416" t="b">
        <f t="shared" si="782"/>
        <v>0</v>
      </c>
      <c r="BD416" t="b">
        <f t="shared" si="783"/>
        <v>0</v>
      </c>
      <c r="BE416" t="b">
        <f t="shared" si="784"/>
        <v>0</v>
      </c>
      <c r="BF416" t="b">
        <f t="shared" si="785"/>
        <v>0</v>
      </c>
      <c r="BG416" t="b">
        <f t="shared" si="786"/>
        <v>0</v>
      </c>
      <c r="BH416" t="b">
        <f t="shared" si="787"/>
        <v>0</v>
      </c>
      <c r="BI416">
        <f t="shared" si="788"/>
        <v>1</v>
      </c>
      <c r="BJ416" t="b">
        <f t="shared" si="789"/>
        <v>0</v>
      </c>
      <c r="BK416" t="b">
        <f t="shared" si="790"/>
        <v>0</v>
      </c>
      <c r="BL416" t="b">
        <f t="shared" si="791"/>
        <v>0</v>
      </c>
      <c r="BM416" t="b">
        <f t="shared" si="792"/>
        <v>0</v>
      </c>
      <c r="BN416" t="b">
        <f t="shared" si="793"/>
        <v>0</v>
      </c>
      <c r="BO416" t="b">
        <f t="shared" si="794"/>
        <v>0</v>
      </c>
      <c r="BP416" t="b">
        <f t="shared" si="795"/>
        <v>0</v>
      </c>
      <c r="BQ416" t="b">
        <f t="shared" si="796"/>
        <v>0</v>
      </c>
      <c r="BR416" t="b">
        <f t="shared" si="797"/>
        <v>0</v>
      </c>
      <c r="BS416" t="b">
        <f t="shared" si="798"/>
        <v>0</v>
      </c>
      <c r="BT416" t="b">
        <f t="shared" si="799"/>
        <v>0</v>
      </c>
      <c r="BU416" t="b">
        <f t="shared" si="800"/>
        <v>0</v>
      </c>
      <c r="BV416" t="b">
        <f t="shared" si="801"/>
        <v>0</v>
      </c>
      <c r="BW416" t="b">
        <f t="shared" si="802"/>
        <v>0</v>
      </c>
      <c r="BX416" t="b">
        <f t="shared" si="803"/>
        <v>0</v>
      </c>
      <c r="BY416" t="b">
        <f t="shared" si="804"/>
        <v>0</v>
      </c>
      <c r="BZ416" t="b">
        <f t="shared" si="805"/>
        <v>0</v>
      </c>
      <c r="CA416" t="b">
        <f t="shared" si="806"/>
        <v>0</v>
      </c>
      <c r="CB416" t="b">
        <f t="shared" si="807"/>
        <v>0</v>
      </c>
      <c r="CC416" t="b">
        <f t="shared" si="808"/>
        <v>0</v>
      </c>
      <c r="CD416" t="b">
        <f t="shared" si="809"/>
        <v>0</v>
      </c>
      <c r="CE416" t="b">
        <f t="shared" si="810"/>
        <v>0</v>
      </c>
      <c r="CF416" t="b">
        <f t="shared" si="811"/>
        <v>0</v>
      </c>
      <c r="CG416" t="b">
        <f t="shared" si="812"/>
        <v>0</v>
      </c>
      <c r="CH416" t="b">
        <f t="shared" si="813"/>
        <v>0</v>
      </c>
      <c r="CI416" t="b">
        <f t="shared" si="814"/>
        <v>0</v>
      </c>
      <c r="CJ416" t="b">
        <f t="shared" si="815"/>
        <v>0</v>
      </c>
      <c r="CK416" t="b">
        <f t="shared" si="816"/>
        <v>0</v>
      </c>
      <c r="CL416" t="b">
        <f t="shared" si="817"/>
        <v>0</v>
      </c>
      <c r="CM416">
        <f t="shared" si="818"/>
        <v>1</v>
      </c>
      <c r="CN416" t="b">
        <f t="shared" si="819"/>
        <v>0</v>
      </c>
      <c r="CO416" t="b">
        <f t="shared" si="820"/>
        <v>0</v>
      </c>
      <c r="CP416" t="b">
        <f t="shared" si="821"/>
        <v>0</v>
      </c>
      <c r="CQ416" t="b">
        <f t="shared" si="822"/>
        <v>0</v>
      </c>
      <c r="CR416" t="b">
        <f t="shared" si="823"/>
        <v>0</v>
      </c>
      <c r="CS416" t="b">
        <f t="shared" si="824"/>
        <v>0</v>
      </c>
      <c r="CT416" t="b">
        <f t="shared" si="825"/>
        <v>0</v>
      </c>
      <c r="CU416" t="b">
        <f t="shared" si="826"/>
        <v>0</v>
      </c>
      <c r="CV416">
        <f t="shared" si="827"/>
        <v>1</v>
      </c>
      <c r="CW416" t="b">
        <f t="shared" si="828"/>
        <v>0</v>
      </c>
      <c r="CX416" t="b">
        <f t="shared" si="829"/>
        <v>0</v>
      </c>
      <c r="CY416" t="b">
        <f t="shared" si="830"/>
        <v>0</v>
      </c>
      <c r="CZ416" t="b">
        <f t="shared" si="831"/>
        <v>0</v>
      </c>
      <c r="DA416">
        <f t="shared" si="832"/>
        <v>1</v>
      </c>
      <c r="DB416" t="b">
        <f t="shared" si="833"/>
        <v>0</v>
      </c>
      <c r="DC416" t="b">
        <f t="shared" si="834"/>
        <v>0</v>
      </c>
      <c r="DD416" t="b">
        <f t="shared" si="835"/>
        <v>0</v>
      </c>
      <c r="DE416" t="b">
        <f t="shared" si="836"/>
        <v>0</v>
      </c>
      <c r="DF416" t="b">
        <f t="shared" si="837"/>
        <v>0</v>
      </c>
      <c r="DG416" t="b">
        <f t="shared" si="838"/>
        <v>0</v>
      </c>
      <c r="DH416" t="b">
        <f t="shared" si="839"/>
        <v>0</v>
      </c>
      <c r="DI416" t="b">
        <f t="shared" si="840"/>
        <v>0</v>
      </c>
      <c r="DJ416" t="b">
        <f t="shared" si="841"/>
        <v>0</v>
      </c>
      <c r="DK416" t="b">
        <f t="shared" si="842"/>
        <v>0</v>
      </c>
      <c r="DL416" t="b">
        <f t="shared" si="843"/>
        <v>0</v>
      </c>
      <c r="DM416" t="b">
        <f t="shared" si="844"/>
        <v>0</v>
      </c>
      <c r="DN416" t="b">
        <f t="shared" si="845"/>
        <v>0</v>
      </c>
      <c r="DO416" t="b">
        <f t="shared" si="846"/>
        <v>0</v>
      </c>
      <c r="DP416" t="b">
        <f t="shared" si="847"/>
        <v>0</v>
      </c>
      <c r="DQ416" t="b">
        <f t="shared" si="848"/>
        <v>0</v>
      </c>
      <c r="DR416" t="b">
        <f t="shared" si="849"/>
        <v>0</v>
      </c>
      <c r="DS416" t="b">
        <f t="shared" si="850"/>
        <v>0</v>
      </c>
      <c r="DT416" t="b">
        <f t="shared" si="851"/>
        <v>0</v>
      </c>
      <c r="DU416" t="b">
        <f t="shared" si="852"/>
        <v>0</v>
      </c>
      <c r="DV416" t="b">
        <f t="shared" si="853"/>
        <v>0</v>
      </c>
      <c r="DW416" t="b">
        <f t="shared" si="854"/>
        <v>0</v>
      </c>
      <c r="DX416" t="b">
        <f t="shared" si="855"/>
        <v>0</v>
      </c>
      <c r="DY416" t="b">
        <f t="shared" si="856"/>
        <v>0</v>
      </c>
      <c r="DZ416" t="b">
        <f t="shared" si="857"/>
        <v>0</v>
      </c>
      <c r="EA416" t="b">
        <f t="shared" si="858"/>
        <v>0</v>
      </c>
      <c r="EB416" t="b">
        <f t="shared" si="859"/>
        <v>0</v>
      </c>
      <c r="EC416" t="b">
        <f t="shared" si="860"/>
        <v>0</v>
      </c>
      <c r="ED416" t="b">
        <f t="shared" si="861"/>
        <v>0</v>
      </c>
      <c r="EE416" t="b">
        <f t="shared" si="862"/>
        <v>0</v>
      </c>
      <c r="EF416" t="b">
        <f t="shared" si="863"/>
        <v>0</v>
      </c>
      <c r="EG416" t="b">
        <f t="shared" si="864"/>
        <v>0</v>
      </c>
      <c r="EH416" t="b">
        <f t="shared" si="865"/>
        <v>0</v>
      </c>
      <c r="EI416" t="b">
        <f t="shared" si="866"/>
        <v>0</v>
      </c>
      <c r="EJ416" t="b">
        <f t="shared" si="867"/>
        <v>0</v>
      </c>
      <c r="EK416" t="b">
        <f t="shared" si="868"/>
        <v>0</v>
      </c>
    </row>
    <row r="417" spans="1:141">
      <c r="A417" t="s">
        <v>2137</v>
      </c>
      <c r="B417" t="s">
        <v>2138</v>
      </c>
      <c r="C417" t="s">
        <v>2139</v>
      </c>
      <c r="D417" s="1">
        <v>43592</v>
      </c>
      <c r="E417" s="2">
        <v>43611.975127314814</v>
      </c>
      <c r="F417" s="2">
        <v>43611.975127314814</v>
      </c>
      <c r="G417">
        <v>41960</v>
      </c>
      <c r="H417" t="s">
        <v>2140</v>
      </c>
      <c r="I417" s="10" t="s">
        <v>2141</v>
      </c>
      <c r="J417" t="s">
        <v>2142</v>
      </c>
      <c r="K417" s="8" t="b">
        <v>1</v>
      </c>
      <c r="L417" s="10" t="b">
        <v>0</v>
      </c>
      <c r="M417" s="12" t="b">
        <v>0</v>
      </c>
      <c r="N417" t="b">
        <v>0</v>
      </c>
      <c r="O417" t="b">
        <v>0</v>
      </c>
      <c r="P417" t="b">
        <v>0</v>
      </c>
      <c r="Q417">
        <f t="shared" si="745"/>
        <v>3</v>
      </c>
      <c r="R417">
        <f t="shared" si="746"/>
        <v>5</v>
      </c>
      <c r="S417" t="e">
        <f t="shared" ca="1" si="776"/>
        <v>#NAME?</v>
      </c>
      <c r="T417" t="e">
        <f t="shared" ca="1" si="747"/>
        <v>#NAME?</v>
      </c>
      <c r="U417" s="4">
        <f t="shared" si="748"/>
        <v>19.975127314814017</v>
      </c>
      <c r="V417" s="4">
        <f t="shared" si="749"/>
        <v>0.66583757716046721</v>
      </c>
      <c r="W417" s="4">
        <f t="shared" si="750"/>
        <v>1</v>
      </c>
      <c r="X417" s="4">
        <f t="shared" si="751"/>
        <v>0</v>
      </c>
      <c r="Y417" s="4">
        <f t="shared" si="752"/>
        <v>0</v>
      </c>
      <c r="Z417" s="4">
        <f t="shared" si="753"/>
        <v>0</v>
      </c>
      <c r="AA417" s="4">
        <f t="shared" si="754"/>
        <v>0</v>
      </c>
      <c r="AB417" s="4">
        <f t="shared" si="755"/>
        <v>0</v>
      </c>
      <c r="AC417" s="4"/>
      <c r="AD417" s="4" t="b">
        <f t="shared" si="756"/>
        <v>0</v>
      </c>
      <c r="AE417" s="4" t="b">
        <f t="shared" si="757"/>
        <v>0</v>
      </c>
      <c r="AF417" s="4" t="b">
        <f t="shared" si="758"/>
        <v>0</v>
      </c>
      <c r="AG417" t="b">
        <f t="shared" si="759"/>
        <v>0</v>
      </c>
      <c r="AH417" t="b">
        <f t="shared" si="760"/>
        <v>0</v>
      </c>
      <c r="AI417" t="b">
        <f t="shared" si="761"/>
        <v>0</v>
      </c>
      <c r="AJ417" t="b">
        <f t="shared" si="762"/>
        <v>0</v>
      </c>
      <c r="AK417" t="b">
        <f t="shared" si="763"/>
        <v>0</v>
      </c>
      <c r="AL417" t="b">
        <f t="shared" si="764"/>
        <v>0</v>
      </c>
      <c r="AM417" t="b">
        <f t="shared" si="765"/>
        <v>0</v>
      </c>
      <c r="AN417" t="b">
        <f t="shared" si="766"/>
        <v>0</v>
      </c>
      <c r="AO417" t="b">
        <f t="shared" si="767"/>
        <v>0</v>
      </c>
      <c r="AP417" t="b">
        <f t="shared" si="768"/>
        <v>0</v>
      </c>
      <c r="AQ417" t="b">
        <f t="shared" si="769"/>
        <v>0</v>
      </c>
      <c r="AR417" t="b">
        <f t="shared" si="770"/>
        <v>0</v>
      </c>
      <c r="AS417" t="b">
        <f t="shared" si="771"/>
        <v>0</v>
      </c>
      <c r="AT417" t="b">
        <f t="shared" si="772"/>
        <v>0</v>
      </c>
      <c r="AU417" t="b">
        <f t="shared" si="773"/>
        <v>0</v>
      </c>
      <c r="AV417" t="b">
        <f t="shared" si="774"/>
        <v>0</v>
      </c>
      <c r="AW417" t="b">
        <f t="shared" si="775"/>
        <v>0</v>
      </c>
      <c r="AX417" t="b">
        <f t="shared" si="777"/>
        <v>0</v>
      </c>
      <c r="AY417" t="b">
        <f t="shared" si="778"/>
        <v>0</v>
      </c>
      <c r="AZ417" t="b">
        <f t="shared" si="779"/>
        <v>0</v>
      </c>
      <c r="BA417" t="b">
        <f t="shared" si="780"/>
        <v>0</v>
      </c>
      <c r="BB417" t="b">
        <f t="shared" si="781"/>
        <v>0</v>
      </c>
      <c r="BC417" t="b">
        <f t="shared" si="782"/>
        <v>0</v>
      </c>
      <c r="BD417" t="b">
        <f t="shared" si="783"/>
        <v>0</v>
      </c>
      <c r="BE417" t="b">
        <f t="shared" si="784"/>
        <v>0</v>
      </c>
      <c r="BF417" t="b">
        <f t="shared" si="785"/>
        <v>0</v>
      </c>
      <c r="BG417" t="b">
        <f t="shared" si="786"/>
        <v>0</v>
      </c>
      <c r="BH417" t="b">
        <f t="shared" si="787"/>
        <v>0</v>
      </c>
      <c r="BI417">
        <f t="shared" si="788"/>
        <v>1</v>
      </c>
      <c r="BJ417" t="b">
        <f t="shared" si="789"/>
        <v>0</v>
      </c>
      <c r="BK417" t="b">
        <f t="shared" si="790"/>
        <v>0</v>
      </c>
      <c r="BL417" t="b">
        <f t="shared" si="791"/>
        <v>0</v>
      </c>
      <c r="BM417" t="b">
        <f t="shared" si="792"/>
        <v>0</v>
      </c>
      <c r="BN417" t="b">
        <f t="shared" si="793"/>
        <v>0</v>
      </c>
      <c r="BO417" t="b">
        <f t="shared" si="794"/>
        <v>0</v>
      </c>
      <c r="BP417" t="b">
        <f t="shared" si="795"/>
        <v>0</v>
      </c>
      <c r="BQ417" t="b">
        <f t="shared" si="796"/>
        <v>0</v>
      </c>
      <c r="BR417" t="b">
        <f t="shared" si="797"/>
        <v>0</v>
      </c>
      <c r="BS417">
        <f t="shared" si="798"/>
        <v>1</v>
      </c>
      <c r="BT417" t="b">
        <f t="shared" si="799"/>
        <v>0</v>
      </c>
      <c r="BU417" t="b">
        <f t="shared" si="800"/>
        <v>0</v>
      </c>
      <c r="BV417" t="b">
        <f t="shared" si="801"/>
        <v>0</v>
      </c>
      <c r="BW417" t="b">
        <f t="shared" si="802"/>
        <v>0</v>
      </c>
      <c r="BX417" t="b">
        <f t="shared" si="803"/>
        <v>0</v>
      </c>
      <c r="BY417" t="b">
        <f t="shared" si="804"/>
        <v>0</v>
      </c>
      <c r="BZ417" t="b">
        <f t="shared" si="805"/>
        <v>0</v>
      </c>
      <c r="CA417" t="b">
        <f t="shared" si="806"/>
        <v>0</v>
      </c>
      <c r="CB417" t="b">
        <f t="shared" si="807"/>
        <v>0</v>
      </c>
      <c r="CC417" t="b">
        <f t="shared" si="808"/>
        <v>0</v>
      </c>
      <c r="CD417" t="b">
        <f t="shared" si="809"/>
        <v>0</v>
      </c>
      <c r="CE417" t="b">
        <f t="shared" si="810"/>
        <v>0</v>
      </c>
      <c r="CF417" t="b">
        <f t="shared" si="811"/>
        <v>0</v>
      </c>
      <c r="CG417" t="b">
        <f t="shared" si="812"/>
        <v>0</v>
      </c>
      <c r="CH417" t="b">
        <f t="shared" si="813"/>
        <v>0</v>
      </c>
      <c r="CI417" t="b">
        <f t="shared" si="814"/>
        <v>0</v>
      </c>
      <c r="CJ417" t="b">
        <f t="shared" si="815"/>
        <v>0</v>
      </c>
      <c r="CK417" t="b">
        <f t="shared" si="816"/>
        <v>0</v>
      </c>
      <c r="CL417" t="b">
        <f t="shared" si="817"/>
        <v>0</v>
      </c>
      <c r="CM417" t="b">
        <f t="shared" si="818"/>
        <v>0</v>
      </c>
      <c r="CN417" t="b">
        <f t="shared" si="819"/>
        <v>0</v>
      </c>
      <c r="CO417" t="b">
        <f t="shared" si="820"/>
        <v>0</v>
      </c>
      <c r="CP417" t="b">
        <f t="shared" si="821"/>
        <v>0</v>
      </c>
      <c r="CQ417" t="b">
        <f t="shared" si="822"/>
        <v>0</v>
      </c>
      <c r="CR417" t="b">
        <f t="shared" si="823"/>
        <v>0</v>
      </c>
      <c r="CS417" t="b">
        <f t="shared" si="824"/>
        <v>0</v>
      </c>
      <c r="CT417" t="b">
        <f t="shared" si="825"/>
        <v>0</v>
      </c>
      <c r="CU417" t="b">
        <f t="shared" si="826"/>
        <v>0</v>
      </c>
      <c r="CV417">
        <f t="shared" si="827"/>
        <v>1</v>
      </c>
      <c r="CW417" t="b">
        <f t="shared" si="828"/>
        <v>0</v>
      </c>
      <c r="CX417" t="b">
        <f t="shared" si="829"/>
        <v>0</v>
      </c>
      <c r="CY417" t="b">
        <f t="shared" si="830"/>
        <v>0</v>
      </c>
      <c r="CZ417" t="b">
        <f t="shared" si="831"/>
        <v>0</v>
      </c>
      <c r="DA417">
        <f t="shared" si="832"/>
        <v>1</v>
      </c>
      <c r="DB417" t="b">
        <f t="shared" si="833"/>
        <v>0</v>
      </c>
      <c r="DC417" t="b">
        <f t="shared" si="834"/>
        <v>0</v>
      </c>
      <c r="DD417" t="b">
        <f t="shared" si="835"/>
        <v>0</v>
      </c>
      <c r="DE417" t="b">
        <f t="shared" si="836"/>
        <v>0</v>
      </c>
      <c r="DF417" t="b">
        <f t="shared" si="837"/>
        <v>0</v>
      </c>
      <c r="DG417" t="b">
        <f t="shared" si="838"/>
        <v>0</v>
      </c>
      <c r="DH417" t="b">
        <f t="shared" si="839"/>
        <v>0</v>
      </c>
      <c r="DI417" t="b">
        <f t="shared" si="840"/>
        <v>0</v>
      </c>
      <c r="DJ417" t="b">
        <f t="shared" si="841"/>
        <v>0</v>
      </c>
      <c r="DK417" t="b">
        <f t="shared" si="842"/>
        <v>0</v>
      </c>
      <c r="DL417" t="b">
        <f t="shared" si="843"/>
        <v>0</v>
      </c>
      <c r="DM417" t="b">
        <f t="shared" si="844"/>
        <v>0</v>
      </c>
      <c r="DN417" t="b">
        <f t="shared" si="845"/>
        <v>0</v>
      </c>
      <c r="DO417" t="b">
        <f t="shared" si="846"/>
        <v>0</v>
      </c>
      <c r="DP417" t="b">
        <f t="shared" si="847"/>
        <v>0</v>
      </c>
      <c r="DQ417" t="b">
        <f t="shared" si="848"/>
        <v>0</v>
      </c>
      <c r="DR417" t="b">
        <f t="shared" si="849"/>
        <v>0</v>
      </c>
      <c r="DS417" t="b">
        <f t="shared" si="850"/>
        <v>0</v>
      </c>
      <c r="DT417" t="b">
        <f t="shared" si="851"/>
        <v>0</v>
      </c>
      <c r="DU417" t="b">
        <f t="shared" si="852"/>
        <v>0</v>
      </c>
      <c r="DV417" t="b">
        <f t="shared" si="853"/>
        <v>0</v>
      </c>
      <c r="DW417" t="b">
        <f t="shared" si="854"/>
        <v>0</v>
      </c>
      <c r="DX417" t="b">
        <f t="shared" si="855"/>
        <v>0</v>
      </c>
      <c r="DY417" t="b">
        <f t="shared" si="856"/>
        <v>0</v>
      </c>
      <c r="DZ417" t="b">
        <f t="shared" si="857"/>
        <v>0</v>
      </c>
      <c r="EA417" t="b">
        <f t="shared" si="858"/>
        <v>0</v>
      </c>
      <c r="EB417" t="b">
        <f t="shared" si="859"/>
        <v>0</v>
      </c>
      <c r="EC417" t="b">
        <f t="shared" si="860"/>
        <v>0</v>
      </c>
      <c r="ED417" t="b">
        <f t="shared" si="861"/>
        <v>0</v>
      </c>
      <c r="EE417" t="b">
        <f t="shared" si="862"/>
        <v>0</v>
      </c>
      <c r="EF417" t="b">
        <f t="shared" si="863"/>
        <v>0</v>
      </c>
      <c r="EG417" t="b">
        <f t="shared" si="864"/>
        <v>0</v>
      </c>
      <c r="EH417" t="b">
        <f t="shared" si="865"/>
        <v>0</v>
      </c>
      <c r="EI417" t="b">
        <f t="shared" si="866"/>
        <v>0</v>
      </c>
      <c r="EJ417" t="b">
        <f t="shared" si="867"/>
        <v>0</v>
      </c>
      <c r="EK417" t="b">
        <f t="shared" si="868"/>
        <v>0</v>
      </c>
    </row>
    <row r="418" spans="1:141">
      <c r="A418" t="s">
        <v>2143</v>
      </c>
      <c r="B418" t="s">
        <v>2143</v>
      </c>
      <c r="C418" t="s">
        <v>2144</v>
      </c>
      <c r="D418" s="1">
        <v>42125</v>
      </c>
      <c r="E418" s="2">
        <v>42731.325833333336</v>
      </c>
      <c r="F418" s="2">
        <v>42731.325833333336</v>
      </c>
      <c r="G418">
        <v>452899</v>
      </c>
      <c r="H418" t="s">
        <v>2145</v>
      </c>
      <c r="I418" s="10" t="s">
        <v>2146</v>
      </c>
      <c r="J418" t="s">
        <v>188</v>
      </c>
      <c r="K418" s="8" t="b">
        <v>1</v>
      </c>
      <c r="L418" s="10" t="b">
        <v>0</v>
      </c>
      <c r="M418" s="12" t="b">
        <v>0</v>
      </c>
      <c r="N418" t="b">
        <v>0</v>
      </c>
      <c r="O418" t="b">
        <v>0</v>
      </c>
      <c r="P418" t="b">
        <v>0</v>
      </c>
      <c r="Q418">
        <f t="shared" si="745"/>
        <v>6</v>
      </c>
      <c r="R418">
        <f t="shared" si="746"/>
        <v>5</v>
      </c>
      <c r="S418" t="e">
        <f t="shared" ca="1" si="776"/>
        <v>#NAME?</v>
      </c>
      <c r="T418" t="e">
        <f t="shared" ca="1" si="747"/>
        <v>#NAME?</v>
      </c>
      <c r="U418" s="4">
        <f t="shared" si="748"/>
        <v>606.32583333333605</v>
      </c>
      <c r="V418" s="4">
        <f t="shared" si="749"/>
        <v>20.210861111111203</v>
      </c>
      <c r="W418" s="4">
        <f t="shared" si="750"/>
        <v>1</v>
      </c>
      <c r="X418" s="4">
        <f t="shared" si="751"/>
        <v>0</v>
      </c>
      <c r="Y418" s="4">
        <f t="shared" si="752"/>
        <v>0</v>
      </c>
      <c r="Z418" s="4">
        <f t="shared" si="753"/>
        <v>0</v>
      </c>
      <c r="AA418" s="4">
        <f t="shared" si="754"/>
        <v>0</v>
      </c>
      <c r="AB418" s="4">
        <f t="shared" si="755"/>
        <v>0</v>
      </c>
      <c r="AC418" s="4"/>
      <c r="AD418" s="4" t="b">
        <f t="shared" si="756"/>
        <v>0</v>
      </c>
      <c r="AE418" s="4" t="b">
        <f t="shared" si="757"/>
        <v>0</v>
      </c>
      <c r="AF418" s="4" t="b">
        <f t="shared" si="758"/>
        <v>0</v>
      </c>
      <c r="AG418" t="b">
        <f t="shared" si="759"/>
        <v>0</v>
      </c>
      <c r="AH418" t="b">
        <f t="shared" si="760"/>
        <v>0</v>
      </c>
      <c r="AI418" t="b">
        <f t="shared" si="761"/>
        <v>0</v>
      </c>
      <c r="AJ418" t="b">
        <f t="shared" si="762"/>
        <v>0</v>
      </c>
      <c r="AK418" t="b">
        <f t="shared" si="763"/>
        <v>0</v>
      </c>
      <c r="AL418" t="b">
        <f t="shared" si="764"/>
        <v>0</v>
      </c>
      <c r="AM418" t="b">
        <f t="shared" si="765"/>
        <v>0</v>
      </c>
      <c r="AN418" t="b">
        <f t="shared" si="766"/>
        <v>0</v>
      </c>
      <c r="AO418" t="b">
        <f t="shared" si="767"/>
        <v>0</v>
      </c>
      <c r="AP418" t="b">
        <f t="shared" si="768"/>
        <v>0</v>
      </c>
      <c r="AQ418" t="b">
        <f t="shared" si="769"/>
        <v>0</v>
      </c>
      <c r="AR418" t="b">
        <f t="shared" si="770"/>
        <v>0</v>
      </c>
      <c r="AS418" t="b">
        <f t="shared" si="771"/>
        <v>0</v>
      </c>
      <c r="AT418" t="b">
        <f t="shared" si="772"/>
        <v>0</v>
      </c>
      <c r="AU418" t="b">
        <f t="shared" si="773"/>
        <v>0</v>
      </c>
      <c r="AV418" t="b">
        <f t="shared" si="774"/>
        <v>0</v>
      </c>
      <c r="AW418" t="b">
        <f t="shared" si="775"/>
        <v>0</v>
      </c>
      <c r="AX418" t="b">
        <f t="shared" si="777"/>
        <v>0</v>
      </c>
      <c r="AY418" t="b">
        <f t="shared" si="778"/>
        <v>0</v>
      </c>
      <c r="AZ418" t="b">
        <f t="shared" si="779"/>
        <v>0</v>
      </c>
      <c r="BA418" t="b">
        <f t="shared" si="780"/>
        <v>0</v>
      </c>
      <c r="BB418" t="b">
        <f t="shared" si="781"/>
        <v>0</v>
      </c>
      <c r="BC418" t="b">
        <f t="shared" si="782"/>
        <v>0</v>
      </c>
      <c r="BD418" t="b">
        <f t="shared" si="783"/>
        <v>0</v>
      </c>
      <c r="BE418" t="b">
        <f t="shared" si="784"/>
        <v>0</v>
      </c>
      <c r="BF418" t="b">
        <f t="shared" si="785"/>
        <v>0</v>
      </c>
      <c r="BG418" t="b">
        <f t="shared" si="786"/>
        <v>0</v>
      </c>
      <c r="BH418" t="b">
        <f t="shared" si="787"/>
        <v>0</v>
      </c>
      <c r="BI418">
        <f t="shared" si="788"/>
        <v>1</v>
      </c>
      <c r="BJ418" t="b">
        <f t="shared" si="789"/>
        <v>0</v>
      </c>
      <c r="BK418" t="b">
        <f t="shared" si="790"/>
        <v>0</v>
      </c>
      <c r="BL418" t="b">
        <f t="shared" si="791"/>
        <v>0</v>
      </c>
      <c r="BM418" t="b">
        <f t="shared" si="792"/>
        <v>0</v>
      </c>
      <c r="BN418" t="b">
        <f t="shared" si="793"/>
        <v>0</v>
      </c>
      <c r="BO418" t="b">
        <f t="shared" si="794"/>
        <v>0</v>
      </c>
      <c r="BP418" t="b">
        <f t="shared" si="795"/>
        <v>0</v>
      </c>
      <c r="BQ418" t="b">
        <f t="shared" si="796"/>
        <v>0</v>
      </c>
      <c r="BR418" t="b">
        <f t="shared" si="797"/>
        <v>0</v>
      </c>
      <c r="BS418" t="b">
        <f t="shared" si="798"/>
        <v>0</v>
      </c>
      <c r="BT418" t="b">
        <f t="shared" si="799"/>
        <v>0</v>
      </c>
      <c r="BU418" t="b">
        <f t="shared" si="800"/>
        <v>0</v>
      </c>
      <c r="BV418" t="b">
        <f t="shared" si="801"/>
        <v>0</v>
      </c>
      <c r="BW418" t="b">
        <f t="shared" si="802"/>
        <v>0</v>
      </c>
      <c r="BX418" t="b">
        <f t="shared" si="803"/>
        <v>0</v>
      </c>
      <c r="BY418" t="b">
        <f t="shared" si="804"/>
        <v>0</v>
      </c>
      <c r="BZ418" t="b">
        <f t="shared" si="805"/>
        <v>0</v>
      </c>
      <c r="CA418" t="b">
        <f t="shared" si="806"/>
        <v>0</v>
      </c>
      <c r="CB418" t="b">
        <f t="shared" si="807"/>
        <v>0</v>
      </c>
      <c r="CC418" t="b">
        <f t="shared" si="808"/>
        <v>0</v>
      </c>
      <c r="CD418" t="b">
        <f t="shared" si="809"/>
        <v>0</v>
      </c>
      <c r="CE418">
        <f t="shared" si="810"/>
        <v>1</v>
      </c>
      <c r="CF418" t="b">
        <f t="shared" si="811"/>
        <v>0</v>
      </c>
      <c r="CG418" t="b">
        <f t="shared" si="812"/>
        <v>0</v>
      </c>
      <c r="CH418" t="b">
        <f t="shared" si="813"/>
        <v>0</v>
      </c>
      <c r="CI418" t="b">
        <f t="shared" si="814"/>
        <v>0</v>
      </c>
      <c r="CJ418" t="b">
        <f t="shared" si="815"/>
        <v>0</v>
      </c>
      <c r="CK418" t="b">
        <f t="shared" si="816"/>
        <v>0</v>
      </c>
      <c r="CL418" t="b">
        <f t="shared" si="817"/>
        <v>0</v>
      </c>
      <c r="CM418" t="b">
        <f t="shared" si="818"/>
        <v>0</v>
      </c>
      <c r="CN418" t="b">
        <f t="shared" si="819"/>
        <v>0</v>
      </c>
      <c r="CO418" t="b">
        <f t="shared" si="820"/>
        <v>0</v>
      </c>
      <c r="CP418" t="b">
        <f t="shared" si="821"/>
        <v>0</v>
      </c>
      <c r="CQ418" t="b">
        <f t="shared" si="822"/>
        <v>0</v>
      </c>
      <c r="CR418" t="b">
        <f t="shared" si="823"/>
        <v>0</v>
      </c>
      <c r="CS418" t="b">
        <f t="shared" si="824"/>
        <v>0</v>
      </c>
      <c r="CT418" t="b">
        <f t="shared" si="825"/>
        <v>0</v>
      </c>
      <c r="CU418" t="b">
        <f t="shared" si="826"/>
        <v>0</v>
      </c>
      <c r="CV418">
        <f t="shared" si="827"/>
        <v>1</v>
      </c>
      <c r="CW418" t="b">
        <f t="shared" si="828"/>
        <v>0</v>
      </c>
      <c r="CX418" t="b">
        <f t="shared" si="829"/>
        <v>0</v>
      </c>
      <c r="CY418" t="b">
        <f t="shared" si="830"/>
        <v>0</v>
      </c>
      <c r="CZ418" t="b">
        <f t="shared" si="831"/>
        <v>0</v>
      </c>
      <c r="DA418" t="b">
        <f t="shared" si="832"/>
        <v>0</v>
      </c>
      <c r="DB418" t="b">
        <f t="shared" si="833"/>
        <v>0</v>
      </c>
      <c r="DC418" t="b">
        <f t="shared" si="834"/>
        <v>0</v>
      </c>
      <c r="DD418" t="b">
        <f t="shared" si="835"/>
        <v>0</v>
      </c>
      <c r="DE418" t="b">
        <f t="shared" si="836"/>
        <v>0</v>
      </c>
      <c r="DF418" t="b">
        <f t="shared" si="837"/>
        <v>0</v>
      </c>
      <c r="DG418" t="b">
        <f t="shared" si="838"/>
        <v>0</v>
      </c>
      <c r="DH418" t="b">
        <f t="shared" si="839"/>
        <v>0</v>
      </c>
      <c r="DI418" t="b">
        <f t="shared" si="840"/>
        <v>0</v>
      </c>
      <c r="DJ418" t="b">
        <f t="shared" si="841"/>
        <v>0</v>
      </c>
      <c r="DK418" t="b">
        <f t="shared" si="842"/>
        <v>0</v>
      </c>
      <c r="DL418" t="b">
        <f t="shared" si="843"/>
        <v>0</v>
      </c>
      <c r="DM418" t="b">
        <f t="shared" si="844"/>
        <v>0</v>
      </c>
      <c r="DN418" t="b">
        <f t="shared" si="845"/>
        <v>0</v>
      </c>
      <c r="DO418" t="b">
        <f t="shared" si="846"/>
        <v>0</v>
      </c>
      <c r="DP418" t="b">
        <f t="shared" si="847"/>
        <v>0</v>
      </c>
      <c r="DQ418" t="b">
        <f t="shared" si="848"/>
        <v>0</v>
      </c>
      <c r="DR418" t="b">
        <f t="shared" si="849"/>
        <v>0</v>
      </c>
      <c r="DS418" t="b">
        <f t="shared" si="850"/>
        <v>0</v>
      </c>
      <c r="DT418" t="b">
        <f t="shared" si="851"/>
        <v>0</v>
      </c>
      <c r="DU418" t="b">
        <f t="shared" si="852"/>
        <v>0</v>
      </c>
      <c r="DV418" t="b">
        <f t="shared" si="853"/>
        <v>0</v>
      </c>
      <c r="DW418" t="b">
        <f t="shared" si="854"/>
        <v>0</v>
      </c>
      <c r="DX418" t="b">
        <f t="shared" si="855"/>
        <v>0</v>
      </c>
      <c r="DY418" t="b">
        <f t="shared" si="856"/>
        <v>0</v>
      </c>
      <c r="DZ418" t="b">
        <f t="shared" si="857"/>
        <v>0</v>
      </c>
      <c r="EA418" t="b">
        <f t="shared" si="858"/>
        <v>0</v>
      </c>
      <c r="EB418" t="b">
        <f t="shared" si="859"/>
        <v>0</v>
      </c>
      <c r="EC418" t="b">
        <f t="shared" si="860"/>
        <v>0</v>
      </c>
      <c r="ED418" t="b">
        <f t="shared" si="861"/>
        <v>0</v>
      </c>
      <c r="EE418" t="b">
        <f t="shared" si="862"/>
        <v>0</v>
      </c>
      <c r="EF418">
        <f t="shared" si="863"/>
        <v>1</v>
      </c>
      <c r="EG418" t="b">
        <f t="shared" si="864"/>
        <v>0</v>
      </c>
      <c r="EH418" t="b">
        <f t="shared" si="865"/>
        <v>0</v>
      </c>
      <c r="EI418" t="b">
        <f t="shared" si="866"/>
        <v>0</v>
      </c>
      <c r="EJ418" t="b">
        <f t="shared" si="867"/>
        <v>0</v>
      </c>
      <c r="EK418" t="b">
        <f t="shared" si="868"/>
        <v>0</v>
      </c>
    </row>
    <row r="419" spans="1:141">
      <c r="A419" t="s">
        <v>2147</v>
      </c>
      <c r="B419" t="s">
        <v>2147</v>
      </c>
      <c r="C419" t="s">
        <v>2148</v>
      </c>
      <c r="D419" s="1">
        <v>41487</v>
      </c>
      <c r="E419" s="2">
        <v>42406.120289351849</v>
      </c>
      <c r="F419" s="2">
        <v>42406.120289351849</v>
      </c>
      <c r="G419">
        <v>880331</v>
      </c>
      <c r="H419" t="s">
        <v>2149</v>
      </c>
      <c r="I419" s="10" t="s">
        <v>2150</v>
      </c>
      <c r="J419" t="s">
        <v>188</v>
      </c>
      <c r="K419" s="8" t="b">
        <v>1</v>
      </c>
      <c r="L419" s="10" t="b">
        <v>0</v>
      </c>
      <c r="M419" s="12" t="b">
        <v>0</v>
      </c>
      <c r="N419" t="b">
        <v>0</v>
      </c>
      <c r="O419" t="b">
        <v>0</v>
      </c>
      <c r="P419" t="b">
        <v>0</v>
      </c>
      <c r="Q419">
        <f t="shared" si="745"/>
        <v>5</v>
      </c>
      <c r="R419">
        <f t="shared" si="746"/>
        <v>8</v>
      </c>
      <c r="S419" t="e">
        <f t="shared" ca="1" si="776"/>
        <v>#NAME?</v>
      </c>
      <c r="T419" t="e">
        <f t="shared" ca="1" si="747"/>
        <v>#NAME?</v>
      </c>
      <c r="U419" s="4">
        <f t="shared" si="748"/>
        <v>919.12028935184935</v>
      </c>
      <c r="V419" s="4">
        <f t="shared" si="749"/>
        <v>30.63734297839498</v>
      </c>
      <c r="W419" s="4">
        <f t="shared" si="750"/>
        <v>1</v>
      </c>
      <c r="X419" s="4">
        <f t="shared" si="751"/>
        <v>0</v>
      </c>
      <c r="Y419" s="4">
        <f t="shared" si="752"/>
        <v>0</v>
      </c>
      <c r="Z419" s="4">
        <f t="shared" si="753"/>
        <v>0</v>
      </c>
      <c r="AA419" s="4">
        <f t="shared" si="754"/>
        <v>0</v>
      </c>
      <c r="AB419" s="4">
        <f t="shared" si="755"/>
        <v>0</v>
      </c>
      <c r="AC419" s="4"/>
      <c r="AD419" s="4" t="b">
        <f t="shared" si="756"/>
        <v>0</v>
      </c>
      <c r="AE419" s="4" t="b">
        <f t="shared" si="757"/>
        <v>0</v>
      </c>
      <c r="AF419" s="4" t="b">
        <f t="shared" si="758"/>
        <v>0</v>
      </c>
      <c r="AG419" t="b">
        <f t="shared" si="759"/>
        <v>0</v>
      </c>
      <c r="AH419" t="b">
        <f t="shared" si="760"/>
        <v>0</v>
      </c>
      <c r="AI419" t="b">
        <f t="shared" si="761"/>
        <v>0</v>
      </c>
      <c r="AJ419" t="b">
        <f t="shared" si="762"/>
        <v>0</v>
      </c>
      <c r="AK419" t="b">
        <f t="shared" si="763"/>
        <v>0</v>
      </c>
      <c r="AL419" t="b">
        <f t="shared" si="764"/>
        <v>0</v>
      </c>
      <c r="AM419" t="b">
        <f t="shared" si="765"/>
        <v>0</v>
      </c>
      <c r="AN419" t="b">
        <f t="shared" si="766"/>
        <v>0</v>
      </c>
      <c r="AO419" t="b">
        <f t="shared" si="767"/>
        <v>0</v>
      </c>
      <c r="AP419" t="b">
        <f t="shared" si="768"/>
        <v>0</v>
      </c>
      <c r="AQ419" t="b">
        <f t="shared" si="769"/>
        <v>0</v>
      </c>
      <c r="AR419" t="b">
        <f t="shared" si="770"/>
        <v>0</v>
      </c>
      <c r="AS419" t="b">
        <f t="shared" si="771"/>
        <v>0</v>
      </c>
      <c r="AT419" t="b">
        <f t="shared" si="772"/>
        <v>0</v>
      </c>
      <c r="AU419" t="b">
        <f t="shared" si="773"/>
        <v>0</v>
      </c>
      <c r="AV419" t="b">
        <f t="shared" si="774"/>
        <v>0</v>
      </c>
      <c r="AW419" t="b">
        <f t="shared" si="775"/>
        <v>0</v>
      </c>
      <c r="AX419" t="b">
        <f t="shared" si="777"/>
        <v>0</v>
      </c>
      <c r="AY419" t="b">
        <f t="shared" si="778"/>
        <v>0</v>
      </c>
      <c r="AZ419" t="b">
        <f t="shared" si="779"/>
        <v>0</v>
      </c>
      <c r="BA419" t="b">
        <f t="shared" si="780"/>
        <v>0</v>
      </c>
      <c r="BB419" t="b">
        <f t="shared" si="781"/>
        <v>0</v>
      </c>
      <c r="BC419" t="b">
        <f t="shared" si="782"/>
        <v>0</v>
      </c>
      <c r="BD419" t="b">
        <f t="shared" si="783"/>
        <v>0</v>
      </c>
      <c r="BE419" t="b">
        <f t="shared" si="784"/>
        <v>0</v>
      </c>
      <c r="BF419" t="b">
        <f t="shared" si="785"/>
        <v>0</v>
      </c>
      <c r="BG419" t="b">
        <f t="shared" si="786"/>
        <v>0</v>
      </c>
      <c r="BH419" t="b">
        <f t="shared" si="787"/>
        <v>0</v>
      </c>
      <c r="BI419">
        <f t="shared" si="788"/>
        <v>1</v>
      </c>
      <c r="BJ419" t="b">
        <f t="shared" si="789"/>
        <v>0</v>
      </c>
      <c r="BK419" t="b">
        <f t="shared" si="790"/>
        <v>0</v>
      </c>
      <c r="BL419" t="b">
        <f t="shared" si="791"/>
        <v>0</v>
      </c>
      <c r="BM419" t="b">
        <f t="shared" si="792"/>
        <v>0</v>
      </c>
      <c r="BN419" t="b">
        <f t="shared" si="793"/>
        <v>0</v>
      </c>
      <c r="BO419" t="b">
        <f t="shared" si="794"/>
        <v>0</v>
      </c>
      <c r="BP419" t="b">
        <f t="shared" si="795"/>
        <v>0</v>
      </c>
      <c r="BQ419" t="b">
        <f t="shared" si="796"/>
        <v>0</v>
      </c>
      <c r="BR419" t="b">
        <f t="shared" si="797"/>
        <v>0</v>
      </c>
      <c r="BS419" t="b">
        <f t="shared" si="798"/>
        <v>0</v>
      </c>
      <c r="BT419" t="b">
        <f t="shared" si="799"/>
        <v>0</v>
      </c>
      <c r="BU419" t="b">
        <f t="shared" si="800"/>
        <v>0</v>
      </c>
      <c r="BV419" t="b">
        <f t="shared" si="801"/>
        <v>0</v>
      </c>
      <c r="BW419" t="b">
        <f t="shared" si="802"/>
        <v>0</v>
      </c>
      <c r="BX419" t="b">
        <f t="shared" si="803"/>
        <v>0</v>
      </c>
      <c r="BY419" t="b">
        <f t="shared" si="804"/>
        <v>0</v>
      </c>
      <c r="BZ419" t="b">
        <f t="shared" si="805"/>
        <v>0</v>
      </c>
      <c r="CA419" t="b">
        <f t="shared" si="806"/>
        <v>0</v>
      </c>
      <c r="CB419" t="b">
        <f t="shared" si="807"/>
        <v>0</v>
      </c>
      <c r="CC419" t="b">
        <f t="shared" si="808"/>
        <v>0</v>
      </c>
      <c r="CD419" t="b">
        <f t="shared" si="809"/>
        <v>0</v>
      </c>
      <c r="CE419">
        <f t="shared" si="810"/>
        <v>1</v>
      </c>
      <c r="CF419" t="b">
        <f t="shared" si="811"/>
        <v>0</v>
      </c>
      <c r="CG419" t="b">
        <f t="shared" si="812"/>
        <v>0</v>
      </c>
      <c r="CH419" t="b">
        <f t="shared" si="813"/>
        <v>0</v>
      </c>
      <c r="CI419" t="b">
        <f t="shared" si="814"/>
        <v>0</v>
      </c>
      <c r="CJ419" t="b">
        <f t="shared" si="815"/>
        <v>0</v>
      </c>
      <c r="CK419" t="b">
        <f t="shared" si="816"/>
        <v>0</v>
      </c>
      <c r="CL419" t="b">
        <f t="shared" si="817"/>
        <v>0</v>
      </c>
      <c r="CM419" t="b">
        <f t="shared" si="818"/>
        <v>0</v>
      </c>
      <c r="CN419" t="b">
        <f t="shared" si="819"/>
        <v>0</v>
      </c>
      <c r="CO419" t="b">
        <f t="shared" si="820"/>
        <v>0</v>
      </c>
      <c r="CP419" t="b">
        <f t="shared" si="821"/>
        <v>0</v>
      </c>
      <c r="CQ419" t="b">
        <f t="shared" si="822"/>
        <v>0</v>
      </c>
      <c r="CR419" t="b">
        <f t="shared" si="823"/>
        <v>0</v>
      </c>
      <c r="CS419" t="b">
        <f t="shared" si="824"/>
        <v>0</v>
      </c>
      <c r="CT419" t="b">
        <f t="shared" si="825"/>
        <v>0</v>
      </c>
      <c r="CU419" t="b">
        <f t="shared" si="826"/>
        <v>0</v>
      </c>
      <c r="CV419">
        <f t="shared" si="827"/>
        <v>1</v>
      </c>
      <c r="CW419" t="b">
        <f t="shared" si="828"/>
        <v>0</v>
      </c>
      <c r="CX419" t="b">
        <f t="shared" si="829"/>
        <v>0</v>
      </c>
      <c r="CY419" t="b">
        <f t="shared" si="830"/>
        <v>0</v>
      </c>
      <c r="CZ419" t="b">
        <f t="shared" si="831"/>
        <v>0</v>
      </c>
      <c r="DA419" t="b">
        <f t="shared" si="832"/>
        <v>0</v>
      </c>
      <c r="DB419" t="b">
        <f t="shared" si="833"/>
        <v>0</v>
      </c>
      <c r="DC419" t="b">
        <f t="shared" si="834"/>
        <v>0</v>
      </c>
      <c r="DD419" t="b">
        <f t="shared" si="835"/>
        <v>0</v>
      </c>
      <c r="DE419" t="b">
        <f t="shared" si="836"/>
        <v>0</v>
      </c>
      <c r="DF419" t="b">
        <f t="shared" si="837"/>
        <v>0</v>
      </c>
      <c r="DG419" t="b">
        <f t="shared" si="838"/>
        <v>0</v>
      </c>
      <c r="DH419" t="b">
        <f t="shared" si="839"/>
        <v>0</v>
      </c>
      <c r="DI419" t="b">
        <f t="shared" si="840"/>
        <v>0</v>
      </c>
      <c r="DJ419" t="b">
        <f t="shared" si="841"/>
        <v>0</v>
      </c>
      <c r="DK419" t="b">
        <f t="shared" si="842"/>
        <v>0</v>
      </c>
      <c r="DL419" t="b">
        <f t="shared" si="843"/>
        <v>0</v>
      </c>
      <c r="DM419" t="b">
        <f t="shared" si="844"/>
        <v>0</v>
      </c>
      <c r="DN419" t="b">
        <f t="shared" si="845"/>
        <v>0</v>
      </c>
      <c r="DO419" t="b">
        <f t="shared" si="846"/>
        <v>0</v>
      </c>
      <c r="DP419" t="b">
        <f t="shared" si="847"/>
        <v>0</v>
      </c>
      <c r="DQ419" t="b">
        <f t="shared" si="848"/>
        <v>0</v>
      </c>
      <c r="DR419" t="b">
        <f t="shared" si="849"/>
        <v>0</v>
      </c>
      <c r="DS419" t="b">
        <f t="shared" si="850"/>
        <v>0</v>
      </c>
      <c r="DT419" t="b">
        <f t="shared" si="851"/>
        <v>0</v>
      </c>
      <c r="DU419" t="b">
        <f t="shared" si="852"/>
        <v>0</v>
      </c>
      <c r="DV419" t="b">
        <f t="shared" si="853"/>
        <v>0</v>
      </c>
      <c r="DW419" t="b">
        <f t="shared" si="854"/>
        <v>0</v>
      </c>
      <c r="DX419" t="b">
        <f t="shared" si="855"/>
        <v>0</v>
      </c>
      <c r="DY419" t="b">
        <f t="shared" si="856"/>
        <v>0</v>
      </c>
      <c r="DZ419" t="b">
        <f t="shared" si="857"/>
        <v>0</v>
      </c>
      <c r="EA419" t="b">
        <f t="shared" si="858"/>
        <v>0</v>
      </c>
      <c r="EB419" t="b">
        <f t="shared" si="859"/>
        <v>0</v>
      </c>
      <c r="EC419" t="b">
        <f t="shared" si="860"/>
        <v>0</v>
      </c>
      <c r="ED419" t="b">
        <f t="shared" si="861"/>
        <v>0</v>
      </c>
      <c r="EE419" t="b">
        <f t="shared" si="862"/>
        <v>0</v>
      </c>
      <c r="EF419">
        <f t="shared" si="863"/>
        <v>1</v>
      </c>
      <c r="EG419" t="b">
        <f t="shared" si="864"/>
        <v>0</v>
      </c>
      <c r="EH419" t="b">
        <f t="shared" si="865"/>
        <v>0</v>
      </c>
      <c r="EI419" t="b">
        <f t="shared" si="866"/>
        <v>0</v>
      </c>
      <c r="EJ419" t="b">
        <f t="shared" si="867"/>
        <v>0</v>
      </c>
      <c r="EK419" t="b">
        <f t="shared" si="868"/>
        <v>0</v>
      </c>
    </row>
    <row r="420" spans="1:141">
      <c r="A420" t="s">
        <v>2151</v>
      </c>
      <c r="B420" t="s">
        <v>2151</v>
      </c>
      <c r="C420" t="s">
        <v>2152</v>
      </c>
      <c r="D420" s="1">
        <v>44216</v>
      </c>
      <c r="E420" s="2">
        <v>44257.296527777777</v>
      </c>
      <c r="F420" s="2">
        <v>44257.296527777777</v>
      </c>
      <c r="G420">
        <v>1834006</v>
      </c>
      <c r="H420" t="s">
        <v>2153</v>
      </c>
      <c r="I420" s="10" t="s">
        <v>2154</v>
      </c>
      <c r="J420" t="s">
        <v>2155</v>
      </c>
      <c r="K420" s="8" t="b">
        <v>1</v>
      </c>
      <c r="L420" s="10" t="b">
        <v>0</v>
      </c>
      <c r="M420" s="12" t="b">
        <v>0</v>
      </c>
      <c r="N420" t="b">
        <v>0</v>
      </c>
      <c r="O420" t="b">
        <v>0</v>
      </c>
      <c r="P420" t="b">
        <v>0</v>
      </c>
      <c r="Q420">
        <f t="shared" si="745"/>
        <v>4</v>
      </c>
      <c r="R420">
        <f t="shared" si="746"/>
        <v>1</v>
      </c>
      <c r="S420" t="e">
        <f t="shared" ca="1" si="776"/>
        <v>#NAME?</v>
      </c>
      <c r="T420" t="e">
        <f t="shared" ca="1" si="747"/>
        <v>#NAME?</v>
      </c>
      <c r="U420" s="4">
        <f t="shared" si="748"/>
        <v>41.296527777776646</v>
      </c>
      <c r="V420" s="4">
        <f t="shared" si="749"/>
        <v>1.3765509259258881</v>
      </c>
      <c r="W420" s="4">
        <f t="shared" si="750"/>
        <v>1</v>
      </c>
      <c r="X420" s="4">
        <f t="shared" si="751"/>
        <v>0</v>
      </c>
      <c r="Y420" s="4">
        <f t="shared" si="752"/>
        <v>0</v>
      </c>
      <c r="Z420" s="4">
        <f t="shared" si="753"/>
        <v>0</v>
      </c>
      <c r="AA420" s="4">
        <f t="shared" si="754"/>
        <v>0</v>
      </c>
      <c r="AB420" s="4">
        <f t="shared" si="755"/>
        <v>0</v>
      </c>
      <c r="AC420" s="4"/>
      <c r="AD420" s="4" t="b">
        <f t="shared" si="756"/>
        <v>0</v>
      </c>
      <c r="AE420" s="4" t="b">
        <f t="shared" si="757"/>
        <v>0</v>
      </c>
      <c r="AF420" s="4" t="b">
        <f t="shared" si="758"/>
        <v>0</v>
      </c>
      <c r="AG420" t="b">
        <f t="shared" si="759"/>
        <v>0</v>
      </c>
      <c r="AH420" t="b">
        <f t="shared" si="760"/>
        <v>0</v>
      </c>
      <c r="AI420" t="b">
        <f t="shared" si="761"/>
        <v>0</v>
      </c>
      <c r="AJ420" t="b">
        <f t="shared" si="762"/>
        <v>0</v>
      </c>
      <c r="AK420">
        <f t="shared" si="763"/>
        <v>1</v>
      </c>
      <c r="AL420" t="b">
        <f t="shared" si="764"/>
        <v>0</v>
      </c>
      <c r="AM420" t="b">
        <f t="shared" si="765"/>
        <v>0</v>
      </c>
      <c r="AN420" t="b">
        <f t="shared" si="766"/>
        <v>0</v>
      </c>
      <c r="AO420" t="b">
        <f t="shared" si="767"/>
        <v>0</v>
      </c>
      <c r="AP420" t="b">
        <f t="shared" si="768"/>
        <v>0</v>
      </c>
      <c r="AQ420" t="b">
        <f t="shared" si="769"/>
        <v>0</v>
      </c>
      <c r="AR420" t="b">
        <f t="shared" si="770"/>
        <v>0</v>
      </c>
      <c r="AS420" t="b">
        <f t="shared" si="771"/>
        <v>0</v>
      </c>
      <c r="AT420" t="b">
        <f t="shared" si="772"/>
        <v>0</v>
      </c>
      <c r="AU420" t="b">
        <f t="shared" si="773"/>
        <v>0</v>
      </c>
      <c r="AV420" t="b">
        <f t="shared" si="774"/>
        <v>0</v>
      </c>
      <c r="AW420" t="b">
        <f t="shared" si="775"/>
        <v>0</v>
      </c>
      <c r="AX420" t="b">
        <f t="shared" si="777"/>
        <v>0</v>
      </c>
      <c r="AY420" t="b">
        <f t="shared" si="778"/>
        <v>0</v>
      </c>
      <c r="AZ420">
        <f t="shared" si="779"/>
        <v>1</v>
      </c>
      <c r="BA420" t="b">
        <f t="shared" si="780"/>
        <v>0</v>
      </c>
      <c r="BB420" t="b">
        <f t="shared" si="781"/>
        <v>0</v>
      </c>
      <c r="BC420" t="b">
        <f t="shared" si="782"/>
        <v>0</v>
      </c>
      <c r="BD420" t="b">
        <f t="shared" si="783"/>
        <v>0</v>
      </c>
      <c r="BE420" t="b">
        <f t="shared" si="784"/>
        <v>0</v>
      </c>
      <c r="BF420" t="b">
        <f t="shared" si="785"/>
        <v>0</v>
      </c>
      <c r="BG420" t="b">
        <f t="shared" si="786"/>
        <v>0</v>
      </c>
      <c r="BH420" t="b">
        <f t="shared" si="787"/>
        <v>0</v>
      </c>
      <c r="BI420">
        <f t="shared" si="788"/>
        <v>1</v>
      </c>
      <c r="BJ420" t="b">
        <f t="shared" si="789"/>
        <v>0</v>
      </c>
      <c r="BK420" t="b">
        <f t="shared" si="790"/>
        <v>0</v>
      </c>
      <c r="BL420" t="b">
        <f t="shared" si="791"/>
        <v>0</v>
      </c>
      <c r="BM420" t="b">
        <f t="shared" si="792"/>
        <v>0</v>
      </c>
      <c r="BN420" t="b">
        <f t="shared" si="793"/>
        <v>0</v>
      </c>
      <c r="BO420" t="b">
        <f t="shared" si="794"/>
        <v>0</v>
      </c>
      <c r="BP420" t="b">
        <f t="shared" si="795"/>
        <v>0</v>
      </c>
      <c r="BQ420" t="b">
        <f t="shared" si="796"/>
        <v>0</v>
      </c>
      <c r="BR420">
        <f t="shared" si="797"/>
        <v>1</v>
      </c>
      <c r="BS420" t="b">
        <f t="shared" si="798"/>
        <v>0</v>
      </c>
      <c r="BT420" t="b">
        <f t="shared" si="799"/>
        <v>0</v>
      </c>
      <c r="BU420" t="b">
        <f t="shared" si="800"/>
        <v>0</v>
      </c>
      <c r="BV420" t="b">
        <f t="shared" si="801"/>
        <v>0</v>
      </c>
      <c r="BW420" t="b">
        <f t="shared" si="802"/>
        <v>0</v>
      </c>
      <c r="BX420" t="b">
        <f t="shared" si="803"/>
        <v>0</v>
      </c>
      <c r="BY420" t="b">
        <f t="shared" si="804"/>
        <v>0</v>
      </c>
      <c r="BZ420" t="b">
        <f t="shared" si="805"/>
        <v>0</v>
      </c>
      <c r="CA420" t="b">
        <f t="shared" si="806"/>
        <v>0</v>
      </c>
      <c r="CB420" t="b">
        <f t="shared" si="807"/>
        <v>0</v>
      </c>
      <c r="CC420" t="b">
        <f t="shared" si="808"/>
        <v>0</v>
      </c>
      <c r="CD420" t="b">
        <f t="shared" si="809"/>
        <v>0</v>
      </c>
      <c r="CE420" t="b">
        <f t="shared" si="810"/>
        <v>0</v>
      </c>
      <c r="CF420" t="b">
        <f t="shared" si="811"/>
        <v>0</v>
      </c>
      <c r="CG420" t="b">
        <f t="shared" si="812"/>
        <v>0</v>
      </c>
      <c r="CH420" t="b">
        <f t="shared" si="813"/>
        <v>0</v>
      </c>
      <c r="CI420" t="b">
        <f t="shared" si="814"/>
        <v>0</v>
      </c>
      <c r="CJ420" t="b">
        <f t="shared" si="815"/>
        <v>0</v>
      </c>
      <c r="CK420" t="b">
        <f t="shared" si="816"/>
        <v>0</v>
      </c>
      <c r="CL420" t="b">
        <f t="shared" si="817"/>
        <v>0</v>
      </c>
      <c r="CM420">
        <f t="shared" si="818"/>
        <v>1</v>
      </c>
      <c r="CN420" t="b">
        <f t="shared" si="819"/>
        <v>0</v>
      </c>
      <c r="CO420" t="b">
        <f t="shared" si="820"/>
        <v>0</v>
      </c>
      <c r="CP420" t="b">
        <f t="shared" si="821"/>
        <v>0</v>
      </c>
      <c r="CQ420" t="b">
        <f t="shared" si="822"/>
        <v>0</v>
      </c>
      <c r="CR420" t="b">
        <f t="shared" si="823"/>
        <v>0</v>
      </c>
      <c r="CS420" t="b">
        <f t="shared" si="824"/>
        <v>0</v>
      </c>
      <c r="CT420" t="b">
        <f t="shared" si="825"/>
        <v>0</v>
      </c>
      <c r="CU420" t="b">
        <f t="shared" si="826"/>
        <v>0</v>
      </c>
      <c r="CV420" t="b">
        <f t="shared" si="827"/>
        <v>0</v>
      </c>
      <c r="CW420">
        <f t="shared" si="828"/>
        <v>1</v>
      </c>
      <c r="CX420" t="b">
        <f t="shared" si="829"/>
        <v>0</v>
      </c>
      <c r="CY420" t="b">
        <f t="shared" si="830"/>
        <v>0</v>
      </c>
      <c r="CZ420" t="b">
        <f t="shared" si="831"/>
        <v>0</v>
      </c>
      <c r="DA420">
        <f t="shared" si="832"/>
        <v>1</v>
      </c>
      <c r="DB420">
        <f t="shared" si="833"/>
        <v>1</v>
      </c>
      <c r="DC420" t="b">
        <f t="shared" si="834"/>
        <v>0</v>
      </c>
      <c r="DD420" t="b">
        <f t="shared" si="835"/>
        <v>0</v>
      </c>
      <c r="DE420" t="b">
        <f t="shared" si="836"/>
        <v>0</v>
      </c>
      <c r="DF420" t="b">
        <f t="shared" si="837"/>
        <v>0</v>
      </c>
      <c r="DG420" t="b">
        <f t="shared" si="838"/>
        <v>0</v>
      </c>
      <c r="DH420" t="b">
        <f t="shared" si="839"/>
        <v>0</v>
      </c>
      <c r="DI420" t="b">
        <f t="shared" si="840"/>
        <v>0</v>
      </c>
      <c r="DJ420" t="b">
        <f t="shared" si="841"/>
        <v>0</v>
      </c>
      <c r="DK420" t="b">
        <f t="shared" si="842"/>
        <v>0</v>
      </c>
      <c r="DL420" t="b">
        <f t="shared" si="843"/>
        <v>0</v>
      </c>
      <c r="DM420" t="b">
        <f t="shared" si="844"/>
        <v>0</v>
      </c>
      <c r="DN420" t="b">
        <f t="shared" si="845"/>
        <v>0</v>
      </c>
      <c r="DO420" t="b">
        <f t="shared" si="846"/>
        <v>0</v>
      </c>
      <c r="DP420" t="b">
        <f t="shared" si="847"/>
        <v>0</v>
      </c>
      <c r="DQ420" t="b">
        <f t="shared" si="848"/>
        <v>0</v>
      </c>
      <c r="DR420" t="b">
        <f t="shared" si="849"/>
        <v>0</v>
      </c>
      <c r="DS420" t="b">
        <f t="shared" si="850"/>
        <v>0</v>
      </c>
      <c r="DT420" t="b">
        <f t="shared" si="851"/>
        <v>0</v>
      </c>
      <c r="DU420" t="b">
        <f t="shared" si="852"/>
        <v>0</v>
      </c>
      <c r="DV420" t="b">
        <f t="shared" si="853"/>
        <v>0</v>
      </c>
      <c r="DW420" t="b">
        <f t="shared" si="854"/>
        <v>0</v>
      </c>
      <c r="DX420" t="b">
        <f t="shared" si="855"/>
        <v>0</v>
      </c>
      <c r="DY420" t="b">
        <f t="shared" si="856"/>
        <v>0</v>
      </c>
      <c r="DZ420" t="b">
        <f t="shared" si="857"/>
        <v>0</v>
      </c>
      <c r="EA420" t="b">
        <f t="shared" si="858"/>
        <v>0</v>
      </c>
      <c r="EB420" t="b">
        <f t="shared" si="859"/>
        <v>0</v>
      </c>
      <c r="EC420" t="b">
        <f t="shared" si="860"/>
        <v>0</v>
      </c>
      <c r="ED420" t="b">
        <f t="shared" si="861"/>
        <v>0</v>
      </c>
      <c r="EE420" t="b">
        <f t="shared" si="862"/>
        <v>0</v>
      </c>
      <c r="EF420" t="b">
        <f t="shared" si="863"/>
        <v>0</v>
      </c>
      <c r="EG420" t="b">
        <f t="shared" si="864"/>
        <v>0</v>
      </c>
      <c r="EH420" t="b">
        <f t="shared" si="865"/>
        <v>0</v>
      </c>
      <c r="EI420" t="b">
        <f t="shared" si="866"/>
        <v>0</v>
      </c>
      <c r="EJ420" t="b">
        <f t="shared" si="867"/>
        <v>0</v>
      </c>
      <c r="EK420" t="b">
        <f t="shared" si="868"/>
        <v>0</v>
      </c>
    </row>
    <row r="421" spans="1:141">
      <c r="A421" t="s">
        <v>2156</v>
      </c>
      <c r="B421" t="s">
        <v>2157</v>
      </c>
      <c r="C421" t="s">
        <v>2158</v>
      </c>
      <c r="D421" s="1">
        <v>40476</v>
      </c>
      <c r="E421" s="2">
        <v>42288.05978009259</v>
      </c>
      <c r="F421" s="2">
        <v>42288.05978009259</v>
      </c>
      <c r="G421">
        <v>590954</v>
      </c>
      <c r="H421" t="s">
        <v>2159</v>
      </c>
      <c r="I421" s="10" t="s">
        <v>2160</v>
      </c>
      <c r="J421" t="s">
        <v>2161</v>
      </c>
      <c r="K421" s="8" t="b">
        <v>1</v>
      </c>
      <c r="L421" s="10" t="b">
        <v>0</v>
      </c>
      <c r="M421" s="12" t="b">
        <v>0</v>
      </c>
      <c r="N421" t="b">
        <v>0</v>
      </c>
      <c r="O421" t="b">
        <v>0</v>
      </c>
      <c r="P421" t="b">
        <v>0</v>
      </c>
      <c r="Q421">
        <f t="shared" si="745"/>
        <v>2</v>
      </c>
      <c r="R421">
        <f t="shared" si="746"/>
        <v>10</v>
      </c>
      <c r="S421" t="e">
        <f t="shared" ca="1" si="776"/>
        <v>#NAME?</v>
      </c>
      <c r="T421" t="e">
        <f t="shared" ca="1" si="747"/>
        <v>#NAME?</v>
      </c>
      <c r="U421" s="4">
        <f t="shared" si="748"/>
        <v>1812.0597800925898</v>
      </c>
      <c r="V421" s="4">
        <f t="shared" si="749"/>
        <v>60.401992669752993</v>
      </c>
      <c r="W421" s="4">
        <f t="shared" si="750"/>
        <v>1</v>
      </c>
      <c r="X421" s="4">
        <f t="shared" si="751"/>
        <v>0</v>
      </c>
      <c r="Y421" s="4">
        <f t="shared" si="752"/>
        <v>0</v>
      </c>
      <c r="Z421" s="4">
        <f t="shared" si="753"/>
        <v>0</v>
      </c>
      <c r="AA421" s="4">
        <f t="shared" si="754"/>
        <v>0</v>
      </c>
      <c r="AB421" s="4">
        <f t="shared" si="755"/>
        <v>0</v>
      </c>
      <c r="AC421" s="4"/>
      <c r="AD421" s="4">
        <f t="shared" si="756"/>
        <v>1</v>
      </c>
      <c r="AE421" s="4" t="b">
        <f t="shared" si="757"/>
        <v>0</v>
      </c>
      <c r="AF421" s="4" t="b">
        <f t="shared" si="758"/>
        <v>0</v>
      </c>
      <c r="AG421" t="b">
        <f t="shared" si="759"/>
        <v>0</v>
      </c>
      <c r="AH421" t="b">
        <f t="shared" si="760"/>
        <v>0</v>
      </c>
      <c r="AI421" t="b">
        <f t="shared" si="761"/>
        <v>0</v>
      </c>
      <c r="AJ421" t="b">
        <f t="shared" si="762"/>
        <v>0</v>
      </c>
      <c r="AK421" t="b">
        <f t="shared" si="763"/>
        <v>0</v>
      </c>
      <c r="AL421" t="b">
        <f t="shared" si="764"/>
        <v>0</v>
      </c>
      <c r="AM421" t="b">
        <f t="shared" si="765"/>
        <v>0</v>
      </c>
      <c r="AN421" t="b">
        <f t="shared" si="766"/>
        <v>0</v>
      </c>
      <c r="AO421" t="b">
        <f t="shared" si="767"/>
        <v>0</v>
      </c>
      <c r="AP421" t="b">
        <f t="shared" si="768"/>
        <v>0</v>
      </c>
      <c r="AQ421" t="b">
        <f t="shared" si="769"/>
        <v>0</v>
      </c>
      <c r="AR421" t="b">
        <f t="shared" si="770"/>
        <v>0</v>
      </c>
      <c r="AS421" t="b">
        <f t="shared" si="771"/>
        <v>0</v>
      </c>
      <c r="AT421" t="b">
        <f t="shared" si="772"/>
        <v>0</v>
      </c>
      <c r="AU421" t="b">
        <f t="shared" si="773"/>
        <v>0</v>
      </c>
      <c r="AV421" t="b">
        <f t="shared" si="774"/>
        <v>0</v>
      </c>
      <c r="AW421" t="b">
        <f t="shared" si="775"/>
        <v>0</v>
      </c>
      <c r="AX421" t="b">
        <f t="shared" si="777"/>
        <v>0</v>
      </c>
      <c r="AY421" t="b">
        <f t="shared" si="778"/>
        <v>0</v>
      </c>
      <c r="AZ421">
        <f t="shared" si="779"/>
        <v>1</v>
      </c>
      <c r="BA421" t="b">
        <f t="shared" si="780"/>
        <v>0</v>
      </c>
      <c r="BB421" t="b">
        <f t="shared" si="781"/>
        <v>0</v>
      </c>
      <c r="BC421" t="b">
        <f t="shared" si="782"/>
        <v>0</v>
      </c>
      <c r="BD421" t="b">
        <f t="shared" si="783"/>
        <v>0</v>
      </c>
      <c r="BE421" t="b">
        <f t="shared" si="784"/>
        <v>0</v>
      </c>
      <c r="BF421" t="b">
        <f t="shared" si="785"/>
        <v>0</v>
      </c>
      <c r="BG421" t="b">
        <f t="shared" si="786"/>
        <v>0</v>
      </c>
      <c r="BH421" t="b">
        <f t="shared" si="787"/>
        <v>0</v>
      </c>
      <c r="BI421">
        <f t="shared" si="788"/>
        <v>1</v>
      </c>
      <c r="BJ421" t="b">
        <f t="shared" si="789"/>
        <v>0</v>
      </c>
      <c r="BK421" t="b">
        <f t="shared" si="790"/>
        <v>0</v>
      </c>
      <c r="BL421" t="b">
        <f t="shared" si="791"/>
        <v>0</v>
      </c>
      <c r="BM421" t="b">
        <f t="shared" si="792"/>
        <v>0</v>
      </c>
      <c r="BN421" t="b">
        <f t="shared" si="793"/>
        <v>0</v>
      </c>
      <c r="BO421" t="b">
        <f t="shared" si="794"/>
        <v>0</v>
      </c>
      <c r="BP421" t="b">
        <f t="shared" si="795"/>
        <v>0</v>
      </c>
      <c r="BQ421" t="b">
        <f t="shared" si="796"/>
        <v>0</v>
      </c>
      <c r="BR421" t="b">
        <f t="shared" si="797"/>
        <v>0</v>
      </c>
      <c r="BS421" t="b">
        <f t="shared" si="798"/>
        <v>0</v>
      </c>
      <c r="BT421" t="b">
        <f t="shared" si="799"/>
        <v>0</v>
      </c>
      <c r="BU421" t="b">
        <f t="shared" si="800"/>
        <v>0</v>
      </c>
      <c r="BV421" t="b">
        <f t="shared" si="801"/>
        <v>0</v>
      </c>
      <c r="BW421" t="b">
        <f t="shared" si="802"/>
        <v>0</v>
      </c>
      <c r="BX421" t="b">
        <f t="shared" si="803"/>
        <v>0</v>
      </c>
      <c r="BY421" t="b">
        <f t="shared" si="804"/>
        <v>0</v>
      </c>
      <c r="BZ421" t="b">
        <f t="shared" si="805"/>
        <v>0</v>
      </c>
      <c r="CA421" t="b">
        <f t="shared" si="806"/>
        <v>0</v>
      </c>
      <c r="CB421" t="b">
        <f t="shared" si="807"/>
        <v>0</v>
      </c>
      <c r="CC421" t="b">
        <f t="shared" si="808"/>
        <v>0</v>
      </c>
      <c r="CD421" t="b">
        <f t="shared" si="809"/>
        <v>0</v>
      </c>
      <c r="CE421">
        <f t="shared" si="810"/>
        <v>1</v>
      </c>
      <c r="CF421" t="b">
        <f t="shared" si="811"/>
        <v>0</v>
      </c>
      <c r="CG421" t="b">
        <f t="shared" si="812"/>
        <v>0</v>
      </c>
      <c r="CH421" t="b">
        <f t="shared" si="813"/>
        <v>0</v>
      </c>
      <c r="CI421" t="b">
        <f t="shared" si="814"/>
        <v>0</v>
      </c>
      <c r="CJ421" t="b">
        <f t="shared" si="815"/>
        <v>0</v>
      </c>
      <c r="CK421" t="b">
        <f t="shared" si="816"/>
        <v>0</v>
      </c>
      <c r="CL421" t="b">
        <f t="shared" si="817"/>
        <v>0</v>
      </c>
      <c r="CM421">
        <f t="shared" si="818"/>
        <v>1</v>
      </c>
      <c r="CN421" t="b">
        <f t="shared" si="819"/>
        <v>0</v>
      </c>
      <c r="CO421" t="b">
        <f t="shared" si="820"/>
        <v>0</v>
      </c>
      <c r="CP421" t="b">
        <f t="shared" si="821"/>
        <v>0</v>
      </c>
      <c r="CQ421" t="b">
        <f t="shared" si="822"/>
        <v>0</v>
      </c>
      <c r="CR421" t="b">
        <f t="shared" si="823"/>
        <v>0</v>
      </c>
      <c r="CS421" t="b">
        <f t="shared" si="824"/>
        <v>0</v>
      </c>
      <c r="CT421" t="b">
        <f t="shared" si="825"/>
        <v>0</v>
      </c>
      <c r="CU421" t="b">
        <f t="shared" si="826"/>
        <v>0</v>
      </c>
      <c r="CV421" t="b">
        <f t="shared" si="827"/>
        <v>0</v>
      </c>
      <c r="CW421" t="b">
        <f t="shared" si="828"/>
        <v>0</v>
      </c>
      <c r="CX421" t="b">
        <f t="shared" si="829"/>
        <v>0</v>
      </c>
      <c r="CY421" t="b">
        <f t="shared" si="830"/>
        <v>0</v>
      </c>
      <c r="CZ421" t="b">
        <f t="shared" si="831"/>
        <v>0</v>
      </c>
      <c r="DA421">
        <f t="shared" si="832"/>
        <v>1</v>
      </c>
      <c r="DB421">
        <f t="shared" si="833"/>
        <v>1</v>
      </c>
      <c r="DC421" t="b">
        <f t="shared" si="834"/>
        <v>0</v>
      </c>
      <c r="DD421" t="b">
        <f t="shared" si="835"/>
        <v>0</v>
      </c>
      <c r="DE421" t="b">
        <f t="shared" si="836"/>
        <v>0</v>
      </c>
      <c r="DF421" t="b">
        <f t="shared" si="837"/>
        <v>0</v>
      </c>
      <c r="DG421" t="b">
        <f t="shared" si="838"/>
        <v>0</v>
      </c>
      <c r="DH421" t="b">
        <f t="shared" si="839"/>
        <v>0</v>
      </c>
      <c r="DI421" t="b">
        <f t="shared" si="840"/>
        <v>0</v>
      </c>
      <c r="DJ421" t="b">
        <f t="shared" si="841"/>
        <v>0</v>
      </c>
      <c r="DK421" t="b">
        <f t="shared" si="842"/>
        <v>0</v>
      </c>
      <c r="DL421" t="b">
        <f t="shared" si="843"/>
        <v>0</v>
      </c>
      <c r="DM421" t="b">
        <f t="shared" si="844"/>
        <v>0</v>
      </c>
      <c r="DN421" t="b">
        <f t="shared" si="845"/>
        <v>0</v>
      </c>
      <c r="DO421" t="b">
        <f t="shared" si="846"/>
        <v>0</v>
      </c>
      <c r="DP421" t="b">
        <f t="shared" si="847"/>
        <v>0</v>
      </c>
      <c r="DQ421" t="b">
        <f t="shared" si="848"/>
        <v>0</v>
      </c>
      <c r="DR421" t="b">
        <f t="shared" si="849"/>
        <v>0</v>
      </c>
      <c r="DS421">
        <f t="shared" si="850"/>
        <v>1</v>
      </c>
      <c r="DT421" t="b">
        <f t="shared" si="851"/>
        <v>0</v>
      </c>
      <c r="DU421" t="b">
        <f t="shared" si="852"/>
        <v>0</v>
      </c>
      <c r="DV421" t="b">
        <f t="shared" si="853"/>
        <v>0</v>
      </c>
      <c r="DW421" t="b">
        <f t="shared" si="854"/>
        <v>0</v>
      </c>
      <c r="DX421" t="b">
        <f t="shared" si="855"/>
        <v>0</v>
      </c>
      <c r="DY421" t="b">
        <f t="shared" si="856"/>
        <v>0</v>
      </c>
      <c r="DZ421" t="b">
        <f t="shared" si="857"/>
        <v>0</v>
      </c>
      <c r="EA421" t="b">
        <f t="shared" si="858"/>
        <v>0</v>
      </c>
      <c r="EB421" t="b">
        <f t="shared" si="859"/>
        <v>0</v>
      </c>
      <c r="EC421" t="b">
        <f t="shared" si="860"/>
        <v>0</v>
      </c>
      <c r="ED421" t="b">
        <f t="shared" si="861"/>
        <v>0</v>
      </c>
      <c r="EE421" t="b">
        <f t="shared" si="862"/>
        <v>0</v>
      </c>
      <c r="EF421">
        <f t="shared" si="863"/>
        <v>1</v>
      </c>
      <c r="EG421" t="b">
        <f t="shared" si="864"/>
        <v>0</v>
      </c>
      <c r="EH421" t="b">
        <f t="shared" si="865"/>
        <v>0</v>
      </c>
      <c r="EI421">
        <f t="shared" si="866"/>
        <v>1</v>
      </c>
      <c r="EJ421" t="b">
        <f t="shared" si="867"/>
        <v>0</v>
      </c>
      <c r="EK421" t="b">
        <f t="shared" si="868"/>
        <v>0</v>
      </c>
    </row>
    <row r="422" spans="1:141">
      <c r="A422" t="s">
        <v>2162</v>
      </c>
      <c r="B422" t="s">
        <v>2163</v>
      </c>
      <c r="C422" t="s">
        <v>2164</v>
      </c>
      <c r="D422" s="1">
        <v>44338</v>
      </c>
      <c r="E422" s="2">
        <v>44695.101851851854</v>
      </c>
      <c r="F422" s="2">
        <v>44695.106157407405</v>
      </c>
      <c r="G422">
        <v>188089</v>
      </c>
      <c r="H422" t="s">
        <v>2165</v>
      </c>
      <c r="I422" s="10" t="s">
        <v>2166</v>
      </c>
      <c r="J422" t="s">
        <v>2167</v>
      </c>
      <c r="K422" s="8" t="b">
        <v>1</v>
      </c>
      <c r="L422" s="10" t="b">
        <v>0</v>
      </c>
      <c r="M422" s="12" t="b">
        <v>0</v>
      </c>
      <c r="N422" t="b">
        <v>0</v>
      </c>
      <c r="O422" t="b">
        <v>0</v>
      </c>
      <c r="P422" t="b">
        <v>0</v>
      </c>
      <c r="Q422">
        <f t="shared" si="745"/>
        <v>7</v>
      </c>
      <c r="R422">
        <f t="shared" si="746"/>
        <v>5</v>
      </c>
      <c r="S422" t="e">
        <f t="shared" ca="1" si="776"/>
        <v>#NAME?</v>
      </c>
      <c r="T422" t="e">
        <f t="shared" ca="1" si="747"/>
        <v>#NAME?</v>
      </c>
      <c r="U422" s="4">
        <f t="shared" si="748"/>
        <v>357.10185185185401</v>
      </c>
      <c r="V422" s="4">
        <f t="shared" si="749"/>
        <v>11.903395061728467</v>
      </c>
      <c r="W422" s="4">
        <f t="shared" si="750"/>
        <v>1</v>
      </c>
      <c r="X422" s="4">
        <f t="shared" si="751"/>
        <v>0</v>
      </c>
      <c r="Y422" s="4">
        <f t="shared" si="752"/>
        <v>0</v>
      </c>
      <c r="Z422" s="4">
        <f t="shared" si="753"/>
        <v>0</v>
      </c>
      <c r="AA422" s="4">
        <f t="shared" si="754"/>
        <v>0</v>
      </c>
      <c r="AB422" s="4">
        <f t="shared" si="755"/>
        <v>0</v>
      </c>
      <c r="AC422" s="4"/>
      <c r="AD422" s="4" t="b">
        <f t="shared" si="756"/>
        <v>0</v>
      </c>
      <c r="AE422" s="4" t="b">
        <f t="shared" si="757"/>
        <v>0</v>
      </c>
      <c r="AF422" s="4" t="b">
        <f t="shared" si="758"/>
        <v>0</v>
      </c>
      <c r="AG422" t="b">
        <f t="shared" si="759"/>
        <v>0</v>
      </c>
      <c r="AH422" t="b">
        <f t="shared" si="760"/>
        <v>0</v>
      </c>
      <c r="AI422" t="b">
        <f t="shared" si="761"/>
        <v>0</v>
      </c>
      <c r="AJ422" t="b">
        <f t="shared" si="762"/>
        <v>0</v>
      </c>
      <c r="AK422" t="b">
        <f t="shared" si="763"/>
        <v>0</v>
      </c>
      <c r="AL422" t="b">
        <f t="shared" si="764"/>
        <v>0</v>
      </c>
      <c r="AM422" t="b">
        <f t="shared" si="765"/>
        <v>0</v>
      </c>
      <c r="AN422" t="b">
        <f t="shared" si="766"/>
        <v>0</v>
      </c>
      <c r="AO422" t="b">
        <f t="shared" si="767"/>
        <v>0</v>
      </c>
      <c r="AP422" t="b">
        <f t="shared" si="768"/>
        <v>0</v>
      </c>
      <c r="AQ422" t="b">
        <f t="shared" si="769"/>
        <v>0</v>
      </c>
      <c r="AR422" t="b">
        <f t="shared" si="770"/>
        <v>0</v>
      </c>
      <c r="AS422" t="b">
        <f t="shared" si="771"/>
        <v>0</v>
      </c>
      <c r="AT422" t="b">
        <f t="shared" si="772"/>
        <v>0</v>
      </c>
      <c r="AU422" t="b">
        <f t="shared" si="773"/>
        <v>0</v>
      </c>
      <c r="AV422" t="b">
        <f t="shared" si="774"/>
        <v>0</v>
      </c>
      <c r="AW422" t="b">
        <f t="shared" si="775"/>
        <v>0</v>
      </c>
      <c r="AX422" t="b">
        <f t="shared" si="777"/>
        <v>0</v>
      </c>
      <c r="AY422" t="b">
        <f t="shared" si="778"/>
        <v>0</v>
      </c>
      <c r="AZ422" t="b">
        <f t="shared" si="779"/>
        <v>0</v>
      </c>
      <c r="BA422" t="b">
        <f t="shared" si="780"/>
        <v>0</v>
      </c>
      <c r="BB422" t="b">
        <f t="shared" si="781"/>
        <v>0</v>
      </c>
      <c r="BC422" t="b">
        <f t="shared" si="782"/>
        <v>0</v>
      </c>
      <c r="BD422" t="b">
        <f t="shared" si="783"/>
        <v>0</v>
      </c>
      <c r="BE422" t="b">
        <f t="shared" si="784"/>
        <v>0</v>
      </c>
      <c r="BF422" t="b">
        <f t="shared" si="785"/>
        <v>0</v>
      </c>
      <c r="BG422" t="b">
        <f t="shared" si="786"/>
        <v>0</v>
      </c>
      <c r="BH422" t="b">
        <f t="shared" si="787"/>
        <v>0</v>
      </c>
      <c r="BI422">
        <f t="shared" si="788"/>
        <v>1</v>
      </c>
      <c r="BJ422" t="b">
        <f t="shared" si="789"/>
        <v>0</v>
      </c>
      <c r="BK422" t="b">
        <f t="shared" si="790"/>
        <v>0</v>
      </c>
      <c r="BL422" t="b">
        <f t="shared" si="791"/>
        <v>0</v>
      </c>
      <c r="BM422" t="b">
        <f t="shared" si="792"/>
        <v>0</v>
      </c>
      <c r="BN422" t="b">
        <f t="shared" si="793"/>
        <v>0</v>
      </c>
      <c r="BO422" t="b">
        <f t="shared" si="794"/>
        <v>0</v>
      </c>
      <c r="BP422" t="b">
        <f t="shared" si="795"/>
        <v>0</v>
      </c>
      <c r="BQ422" t="b">
        <f t="shared" si="796"/>
        <v>0</v>
      </c>
      <c r="BR422" t="b">
        <f t="shared" si="797"/>
        <v>0</v>
      </c>
      <c r="BS422" t="b">
        <f t="shared" si="798"/>
        <v>0</v>
      </c>
      <c r="BT422" t="b">
        <f t="shared" si="799"/>
        <v>0</v>
      </c>
      <c r="BU422" t="b">
        <f t="shared" si="800"/>
        <v>0</v>
      </c>
      <c r="BV422" t="b">
        <f t="shared" si="801"/>
        <v>0</v>
      </c>
      <c r="BW422" t="b">
        <f t="shared" si="802"/>
        <v>0</v>
      </c>
      <c r="BX422" t="b">
        <f t="shared" si="803"/>
        <v>0</v>
      </c>
      <c r="BY422" t="b">
        <f t="shared" si="804"/>
        <v>0</v>
      </c>
      <c r="BZ422" t="b">
        <f t="shared" si="805"/>
        <v>0</v>
      </c>
      <c r="CA422" t="b">
        <f t="shared" si="806"/>
        <v>0</v>
      </c>
      <c r="CB422" t="b">
        <f t="shared" si="807"/>
        <v>0</v>
      </c>
      <c r="CC422" t="b">
        <f t="shared" si="808"/>
        <v>0</v>
      </c>
      <c r="CD422" t="b">
        <f t="shared" si="809"/>
        <v>0</v>
      </c>
      <c r="CE422">
        <f t="shared" si="810"/>
        <v>1</v>
      </c>
      <c r="CF422" t="b">
        <f t="shared" si="811"/>
        <v>0</v>
      </c>
      <c r="CG422" t="b">
        <f t="shared" si="812"/>
        <v>0</v>
      </c>
      <c r="CH422" t="b">
        <f t="shared" si="813"/>
        <v>0</v>
      </c>
      <c r="CI422" t="b">
        <f t="shared" si="814"/>
        <v>0</v>
      </c>
      <c r="CJ422" t="b">
        <f t="shared" si="815"/>
        <v>0</v>
      </c>
      <c r="CK422" t="b">
        <f t="shared" si="816"/>
        <v>0</v>
      </c>
      <c r="CL422" t="b">
        <f t="shared" si="817"/>
        <v>0</v>
      </c>
      <c r="CM422" t="b">
        <f t="shared" si="818"/>
        <v>0</v>
      </c>
      <c r="CN422" t="b">
        <f t="shared" si="819"/>
        <v>0</v>
      </c>
      <c r="CO422" t="b">
        <f t="shared" si="820"/>
        <v>0</v>
      </c>
      <c r="CP422" t="b">
        <f t="shared" si="821"/>
        <v>0</v>
      </c>
      <c r="CQ422" t="b">
        <f t="shared" si="822"/>
        <v>0</v>
      </c>
      <c r="CR422" t="b">
        <f t="shared" si="823"/>
        <v>0</v>
      </c>
      <c r="CS422" t="b">
        <f t="shared" si="824"/>
        <v>0</v>
      </c>
      <c r="CT422" t="b">
        <f t="shared" si="825"/>
        <v>0</v>
      </c>
      <c r="CU422" t="b">
        <f t="shared" si="826"/>
        <v>0</v>
      </c>
      <c r="CV422" t="b">
        <f t="shared" si="827"/>
        <v>0</v>
      </c>
      <c r="CW422" t="b">
        <f t="shared" si="828"/>
        <v>0</v>
      </c>
      <c r="CX422" t="b">
        <f t="shared" si="829"/>
        <v>0</v>
      </c>
      <c r="CY422" t="b">
        <f t="shared" si="830"/>
        <v>0</v>
      </c>
      <c r="CZ422" t="b">
        <f t="shared" si="831"/>
        <v>0</v>
      </c>
      <c r="DA422" t="b">
        <f t="shared" si="832"/>
        <v>0</v>
      </c>
      <c r="DB422" t="b">
        <f t="shared" si="833"/>
        <v>0</v>
      </c>
      <c r="DC422" t="b">
        <f t="shared" si="834"/>
        <v>0</v>
      </c>
      <c r="DD422" t="b">
        <f t="shared" si="835"/>
        <v>0</v>
      </c>
      <c r="DE422" t="b">
        <f t="shared" si="836"/>
        <v>0</v>
      </c>
      <c r="DF422" t="b">
        <f t="shared" si="837"/>
        <v>0</v>
      </c>
      <c r="DG422" t="b">
        <f t="shared" si="838"/>
        <v>0</v>
      </c>
      <c r="DH422" t="b">
        <f t="shared" si="839"/>
        <v>0</v>
      </c>
      <c r="DI422" t="b">
        <f t="shared" si="840"/>
        <v>0</v>
      </c>
      <c r="DJ422" t="b">
        <f t="shared" si="841"/>
        <v>0</v>
      </c>
      <c r="DK422" t="b">
        <f t="shared" si="842"/>
        <v>0</v>
      </c>
      <c r="DL422" t="b">
        <f t="shared" si="843"/>
        <v>0</v>
      </c>
      <c r="DM422" t="b">
        <f t="shared" si="844"/>
        <v>0</v>
      </c>
      <c r="DN422" t="b">
        <f t="shared" si="845"/>
        <v>0</v>
      </c>
      <c r="DO422" t="b">
        <f t="shared" si="846"/>
        <v>0</v>
      </c>
      <c r="DP422" t="b">
        <f t="shared" si="847"/>
        <v>0</v>
      </c>
      <c r="DQ422" t="b">
        <f t="shared" si="848"/>
        <v>0</v>
      </c>
      <c r="DR422" t="b">
        <f t="shared" si="849"/>
        <v>0</v>
      </c>
      <c r="DS422" t="b">
        <f t="shared" si="850"/>
        <v>0</v>
      </c>
      <c r="DT422" t="b">
        <f t="shared" si="851"/>
        <v>0</v>
      </c>
      <c r="DU422" t="b">
        <f t="shared" si="852"/>
        <v>0</v>
      </c>
      <c r="DV422" t="b">
        <f t="shared" si="853"/>
        <v>0</v>
      </c>
      <c r="DW422" t="b">
        <f t="shared" si="854"/>
        <v>0</v>
      </c>
      <c r="DX422" t="b">
        <f t="shared" si="855"/>
        <v>0</v>
      </c>
      <c r="DY422" t="b">
        <f t="shared" si="856"/>
        <v>0</v>
      </c>
      <c r="DZ422" t="b">
        <f t="shared" si="857"/>
        <v>0</v>
      </c>
      <c r="EA422" t="b">
        <f t="shared" si="858"/>
        <v>0</v>
      </c>
      <c r="EB422" t="b">
        <f t="shared" si="859"/>
        <v>0</v>
      </c>
      <c r="EC422" t="b">
        <f t="shared" si="860"/>
        <v>0</v>
      </c>
      <c r="ED422" t="b">
        <f t="shared" si="861"/>
        <v>0</v>
      </c>
      <c r="EE422" t="b">
        <f t="shared" si="862"/>
        <v>0</v>
      </c>
      <c r="EF422">
        <f t="shared" si="863"/>
        <v>1</v>
      </c>
      <c r="EG422" t="b">
        <f t="shared" si="864"/>
        <v>0</v>
      </c>
      <c r="EH422" t="b">
        <f t="shared" si="865"/>
        <v>0</v>
      </c>
      <c r="EI422" t="b">
        <f t="shared" si="866"/>
        <v>0</v>
      </c>
      <c r="EJ422" t="b">
        <f t="shared" si="867"/>
        <v>0</v>
      </c>
      <c r="EK422" t="b">
        <f t="shared" si="868"/>
        <v>0</v>
      </c>
    </row>
    <row r="423" spans="1:141">
      <c r="A423" t="s">
        <v>2168</v>
      </c>
      <c r="B423" t="s">
        <v>2168</v>
      </c>
      <c r="C423" t="s">
        <v>2169</v>
      </c>
      <c r="D423" s="1">
        <v>44276</v>
      </c>
      <c r="E423" s="2">
        <v>44316.13013888889</v>
      </c>
      <c r="F423" s="2">
        <v>44316.13013888889</v>
      </c>
      <c r="G423">
        <v>20949825</v>
      </c>
      <c r="H423" t="s">
        <v>2170</v>
      </c>
      <c r="I423" s="10" t="s">
        <v>2171</v>
      </c>
      <c r="J423" t="s">
        <v>2172</v>
      </c>
      <c r="K423" s="8" t="b">
        <v>1</v>
      </c>
      <c r="L423" s="10" t="b">
        <v>0</v>
      </c>
      <c r="M423" s="12" t="b">
        <v>0</v>
      </c>
      <c r="N423" t="b">
        <v>0</v>
      </c>
      <c r="O423" t="b">
        <v>0</v>
      </c>
      <c r="P423" t="b">
        <v>0</v>
      </c>
      <c r="Q423">
        <f t="shared" si="745"/>
        <v>1</v>
      </c>
      <c r="R423">
        <f t="shared" si="746"/>
        <v>3</v>
      </c>
      <c r="S423" t="e">
        <f t="shared" ca="1" si="776"/>
        <v>#NAME?</v>
      </c>
      <c r="T423" t="e">
        <f t="shared" ca="1" si="747"/>
        <v>#NAME?</v>
      </c>
      <c r="U423" s="4">
        <f t="shared" si="748"/>
        <v>40.130138888889633</v>
      </c>
      <c r="V423" s="4">
        <f t="shared" si="749"/>
        <v>1.3376712962963211</v>
      </c>
      <c r="W423" s="4">
        <f t="shared" si="750"/>
        <v>1</v>
      </c>
      <c r="X423" s="4">
        <f t="shared" si="751"/>
        <v>0</v>
      </c>
      <c r="Y423" s="4">
        <f t="shared" si="752"/>
        <v>0</v>
      </c>
      <c r="Z423" s="4">
        <f t="shared" si="753"/>
        <v>0</v>
      </c>
      <c r="AA423" s="4">
        <f t="shared" si="754"/>
        <v>0</v>
      </c>
      <c r="AB423" s="4">
        <f t="shared" si="755"/>
        <v>0</v>
      </c>
      <c r="AC423" s="4"/>
      <c r="AD423" s="4" t="b">
        <f t="shared" si="756"/>
        <v>0</v>
      </c>
      <c r="AE423" s="4" t="b">
        <f t="shared" si="757"/>
        <v>0</v>
      </c>
      <c r="AF423" s="4" t="b">
        <f t="shared" si="758"/>
        <v>0</v>
      </c>
      <c r="AG423" t="b">
        <f t="shared" si="759"/>
        <v>0</v>
      </c>
      <c r="AH423" t="b">
        <f t="shared" si="760"/>
        <v>0</v>
      </c>
      <c r="AI423" t="b">
        <f t="shared" si="761"/>
        <v>0</v>
      </c>
      <c r="AJ423" t="b">
        <f t="shared" si="762"/>
        <v>0</v>
      </c>
      <c r="AK423" t="b">
        <f t="shared" si="763"/>
        <v>0</v>
      </c>
      <c r="AL423" t="b">
        <f t="shared" si="764"/>
        <v>0</v>
      </c>
      <c r="AM423" t="b">
        <f t="shared" si="765"/>
        <v>0</v>
      </c>
      <c r="AN423" t="b">
        <f t="shared" si="766"/>
        <v>0</v>
      </c>
      <c r="AO423" t="b">
        <f t="shared" si="767"/>
        <v>0</v>
      </c>
      <c r="AP423" t="b">
        <f t="shared" si="768"/>
        <v>0</v>
      </c>
      <c r="AQ423" t="b">
        <f t="shared" si="769"/>
        <v>0</v>
      </c>
      <c r="AR423" t="b">
        <f t="shared" si="770"/>
        <v>0</v>
      </c>
      <c r="AS423" t="b">
        <f t="shared" si="771"/>
        <v>0</v>
      </c>
      <c r="AT423" t="b">
        <f t="shared" si="772"/>
        <v>0</v>
      </c>
      <c r="AU423" t="b">
        <f t="shared" si="773"/>
        <v>0</v>
      </c>
      <c r="AV423" t="b">
        <f t="shared" si="774"/>
        <v>0</v>
      </c>
      <c r="AW423" t="b">
        <f t="shared" si="775"/>
        <v>0</v>
      </c>
      <c r="AX423" t="b">
        <f t="shared" si="777"/>
        <v>0</v>
      </c>
      <c r="AY423" t="b">
        <f t="shared" si="778"/>
        <v>0</v>
      </c>
      <c r="AZ423" t="b">
        <f t="shared" si="779"/>
        <v>0</v>
      </c>
      <c r="BA423" t="b">
        <f t="shared" si="780"/>
        <v>0</v>
      </c>
      <c r="BB423" t="b">
        <f t="shared" si="781"/>
        <v>0</v>
      </c>
      <c r="BC423" t="b">
        <f t="shared" si="782"/>
        <v>0</v>
      </c>
      <c r="BD423" t="b">
        <f t="shared" si="783"/>
        <v>0</v>
      </c>
      <c r="BE423" t="b">
        <f t="shared" si="784"/>
        <v>0</v>
      </c>
      <c r="BF423" t="b">
        <f t="shared" si="785"/>
        <v>0</v>
      </c>
      <c r="BG423" t="b">
        <f t="shared" si="786"/>
        <v>0</v>
      </c>
      <c r="BH423" t="b">
        <f t="shared" si="787"/>
        <v>0</v>
      </c>
      <c r="BI423">
        <f t="shared" si="788"/>
        <v>1</v>
      </c>
      <c r="BJ423" t="b">
        <f t="shared" si="789"/>
        <v>0</v>
      </c>
      <c r="BK423" t="b">
        <f t="shared" si="790"/>
        <v>0</v>
      </c>
      <c r="BL423" t="b">
        <f t="shared" si="791"/>
        <v>0</v>
      </c>
      <c r="BM423" t="b">
        <f t="shared" si="792"/>
        <v>0</v>
      </c>
      <c r="BN423" t="b">
        <f t="shared" si="793"/>
        <v>0</v>
      </c>
      <c r="BO423" t="b">
        <f t="shared" si="794"/>
        <v>0</v>
      </c>
      <c r="BP423" t="b">
        <f t="shared" si="795"/>
        <v>0</v>
      </c>
      <c r="BQ423" t="b">
        <f t="shared" si="796"/>
        <v>0</v>
      </c>
      <c r="BR423" t="b">
        <f t="shared" si="797"/>
        <v>0</v>
      </c>
      <c r="BS423" t="b">
        <f t="shared" si="798"/>
        <v>0</v>
      </c>
      <c r="BT423" t="b">
        <f t="shared" si="799"/>
        <v>0</v>
      </c>
      <c r="BU423" t="b">
        <f t="shared" si="800"/>
        <v>0</v>
      </c>
      <c r="BV423" t="b">
        <f t="shared" si="801"/>
        <v>0</v>
      </c>
      <c r="BW423" t="b">
        <f t="shared" si="802"/>
        <v>0</v>
      </c>
      <c r="BX423" t="b">
        <f t="shared" si="803"/>
        <v>0</v>
      </c>
      <c r="BY423" t="b">
        <f t="shared" si="804"/>
        <v>0</v>
      </c>
      <c r="BZ423" t="b">
        <f t="shared" si="805"/>
        <v>0</v>
      </c>
      <c r="CA423" t="b">
        <f t="shared" si="806"/>
        <v>0</v>
      </c>
      <c r="CB423" t="b">
        <f t="shared" si="807"/>
        <v>0</v>
      </c>
      <c r="CC423" t="b">
        <f t="shared" si="808"/>
        <v>0</v>
      </c>
      <c r="CD423" t="b">
        <f t="shared" si="809"/>
        <v>0</v>
      </c>
      <c r="CE423" t="b">
        <f t="shared" si="810"/>
        <v>0</v>
      </c>
      <c r="CF423" t="b">
        <f t="shared" si="811"/>
        <v>0</v>
      </c>
      <c r="CG423" t="b">
        <f t="shared" si="812"/>
        <v>0</v>
      </c>
      <c r="CH423">
        <f t="shared" si="813"/>
        <v>1</v>
      </c>
      <c r="CI423" t="b">
        <f t="shared" si="814"/>
        <v>0</v>
      </c>
      <c r="CJ423" t="b">
        <f t="shared" si="815"/>
        <v>0</v>
      </c>
      <c r="CK423" t="b">
        <f t="shared" si="816"/>
        <v>0</v>
      </c>
      <c r="CL423" t="b">
        <f t="shared" si="817"/>
        <v>0</v>
      </c>
      <c r="CM423">
        <f t="shared" si="818"/>
        <v>1</v>
      </c>
      <c r="CN423" t="b">
        <f t="shared" si="819"/>
        <v>0</v>
      </c>
      <c r="CO423" t="b">
        <f t="shared" si="820"/>
        <v>0</v>
      </c>
      <c r="CP423" t="b">
        <f t="shared" si="821"/>
        <v>0</v>
      </c>
      <c r="CQ423" t="b">
        <f t="shared" si="822"/>
        <v>0</v>
      </c>
      <c r="CR423" t="b">
        <f t="shared" si="823"/>
        <v>0</v>
      </c>
      <c r="CS423" t="b">
        <f t="shared" si="824"/>
        <v>0</v>
      </c>
      <c r="CT423" t="b">
        <f t="shared" si="825"/>
        <v>0</v>
      </c>
      <c r="CU423" t="b">
        <f t="shared" si="826"/>
        <v>0</v>
      </c>
      <c r="CV423">
        <f t="shared" si="827"/>
        <v>1</v>
      </c>
      <c r="CW423" t="b">
        <f t="shared" si="828"/>
        <v>0</v>
      </c>
      <c r="CX423" t="b">
        <f t="shared" si="829"/>
        <v>0</v>
      </c>
      <c r="CY423" t="b">
        <f t="shared" si="830"/>
        <v>0</v>
      </c>
      <c r="CZ423" t="b">
        <f t="shared" si="831"/>
        <v>0</v>
      </c>
      <c r="DA423">
        <f t="shared" si="832"/>
        <v>1</v>
      </c>
      <c r="DB423" t="b">
        <f t="shared" si="833"/>
        <v>0</v>
      </c>
      <c r="DC423" t="b">
        <f t="shared" si="834"/>
        <v>0</v>
      </c>
      <c r="DD423" t="b">
        <f t="shared" si="835"/>
        <v>0</v>
      </c>
      <c r="DE423" t="b">
        <f t="shared" si="836"/>
        <v>0</v>
      </c>
      <c r="DF423" t="b">
        <f t="shared" si="837"/>
        <v>0</v>
      </c>
      <c r="DG423" t="b">
        <f t="shared" si="838"/>
        <v>0</v>
      </c>
      <c r="DH423" t="b">
        <f t="shared" si="839"/>
        <v>0</v>
      </c>
      <c r="DI423" t="b">
        <f t="shared" si="840"/>
        <v>0</v>
      </c>
      <c r="DJ423" t="b">
        <f t="shared" si="841"/>
        <v>0</v>
      </c>
      <c r="DK423" t="b">
        <f t="shared" si="842"/>
        <v>0</v>
      </c>
      <c r="DL423" t="b">
        <f t="shared" si="843"/>
        <v>0</v>
      </c>
      <c r="DM423" t="b">
        <f t="shared" si="844"/>
        <v>0</v>
      </c>
      <c r="DN423" t="b">
        <f t="shared" si="845"/>
        <v>0</v>
      </c>
      <c r="DO423" t="b">
        <f t="shared" si="846"/>
        <v>0</v>
      </c>
      <c r="DP423" t="b">
        <f t="shared" si="847"/>
        <v>0</v>
      </c>
      <c r="DQ423" t="b">
        <f t="shared" si="848"/>
        <v>0</v>
      </c>
      <c r="DR423" t="b">
        <f t="shared" si="849"/>
        <v>0</v>
      </c>
      <c r="DS423" t="b">
        <f t="shared" si="850"/>
        <v>0</v>
      </c>
      <c r="DT423" t="b">
        <f t="shared" si="851"/>
        <v>0</v>
      </c>
      <c r="DU423" t="b">
        <f t="shared" si="852"/>
        <v>0</v>
      </c>
      <c r="DV423" t="b">
        <f t="shared" si="853"/>
        <v>0</v>
      </c>
      <c r="DW423" t="b">
        <f t="shared" si="854"/>
        <v>0</v>
      </c>
      <c r="DX423" t="b">
        <f t="shared" si="855"/>
        <v>0</v>
      </c>
      <c r="DY423" t="b">
        <f t="shared" si="856"/>
        <v>0</v>
      </c>
      <c r="DZ423" t="b">
        <f t="shared" si="857"/>
        <v>0</v>
      </c>
      <c r="EA423" t="b">
        <f t="shared" si="858"/>
        <v>0</v>
      </c>
      <c r="EB423" t="b">
        <f t="shared" si="859"/>
        <v>0</v>
      </c>
      <c r="EC423" t="b">
        <f t="shared" si="860"/>
        <v>0</v>
      </c>
      <c r="ED423" t="b">
        <f t="shared" si="861"/>
        <v>0</v>
      </c>
      <c r="EE423" t="b">
        <f t="shared" si="862"/>
        <v>0</v>
      </c>
      <c r="EF423" t="b">
        <f t="shared" si="863"/>
        <v>0</v>
      </c>
      <c r="EG423" t="b">
        <f t="shared" si="864"/>
        <v>0</v>
      </c>
      <c r="EH423" t="b">
        <f t="shared" si="865"/>
        <v>0</v>
      </c>
      <c r="EI423" t="b">
        <f t="shared" si="866"/>
        <v>0</v>
      </c>
      <c r="EJ423" t="b">
        <f t="shared" si="867"/>
        <v>0</v>
      </c>
      <c r="EK423" t="b">
        <f t="shared" si="868"/>
        <v>0</v>
      </c>
    </row>
    <row r="424" spans="1:141">
      <c r="A424" t="s">
        <v>2173</v>
      </c>
      <c r="B424" t="s">
        <v>2173</v>
      </c>
      <c r="C424" t="s">
        <v>2174</v>
      </c>
      <c r="D424" s="1">
        <v>42278</v>
      </c>
      <c r="E424" s="2">
        <v>42279.103703703702</v>
      </c>
      <c r="F424" s="2">
        <v>44418.28665509259</v>
      </c>
      <c r="G424">
        <v>2330382</v>
      </c>
      <c r="H424" t="s">
        <v>2175</v>
      </c>
      <c r="I424" s="10" t="s">
        <v>2176</v>
      </c>
      <c r="J424" t="s">
        <v>2177</v>
      </c>
      <c r="K424" s="8" t="b">
        <v>1</v>
      </c>
      <c r="L424" s="10" t="b">
        <v>0</v>
      </c>
      <c r="M424" s="12" t="b">
        <v>0</v>
      </c>
      <c r="N424" t="b">
        <v>0</v>
      </c>
      <c r="O424" t="b">
        <v>0</v>
      </c>
      <c r="P424" t="b">
        <v>0</v>
      </c>
      <c r="Q424">
        <f t="shared" si="745"/>
        <v>5</v>
      </c>
      <c r="R424">
        <f t="shared" si="746"/>
        <v>10</v>
      </c>
      <c r="S424" t="e">
        <f t="shared" ca="1" si="776"/>
        <v>#NAME?</v>
      </c>
      <c r="T424" t="e">
        <f t="shared" ca="1" si="747"/>
        <v>#NAME?</v>
      </c>
      <c r="U424" s="4">
        <f t="shared" si="748"/>
        <v>1.1037037037021946</v>
      </c>
      <c r="V424" s="4">
        <f t="shared" si="749"/>
        <v>3.6790123456739821E-2</v>
      </c>
      <c r="W424" s="4">
        <f t="shared" si="750"/>
        <v>1</v>
      </c>
      <c r="X424" s="4">
        <f t="shared" si="751"/>
        <v>0</v>
      </c>
      <c r="Y424" s="4">
        <f t="shared" si="752"/>
        <v>0</v>
      </c>
      <c r="Z424" s="4">
        <f t="shared" si="753"/>
        <v>0</v>
      </c>
      <c r="AA424" s="4">
        <f t="shared" si="754"/>
        <v>0</v>
      </c>
      <c r="AB424" s="4">
        <f t="shared" si="755"/>
        <v>0</v>
      </c>
      <c r="AC424" s="4"/>
      <c r="AD424" s="4" t="b">
        <f t="shared" si="756"/>
        <v>0</v>
      </c>
      <c r="AE424" s="4" t="b">
        <f t="shared" si="757"/>
        <v>0</v>
      </c>
      <c r="AF424" s="4" t="b">
        <f t="shared" si="758"/>
        <v>0</v>
      </c>
      <c r="AG424" t="b">
        <f t="shared" si="759"/>
        <v>0</v>
      </c>
      <c r="AH424" t="b">
        <f t="shared" si="760"/>
        <v>0</v>
      </c>
      <c r="AI424" t="b">
        <f t="shared" si="761"/>
        <v>0</v>
      </c>
      <c r="AJ424" t="b">
        <f t="shared" si="762"/>
        <v>0</v>
      </c>
      <c r="AK424" t="b">
        <f t="shared" si="763"/>
        <v>0</v>
      </c>
      <c r="AL424" t="b">
        <f t="shared" si="764"/>
        <v>0</v>
      </c>
      <c r="AM424" t="b">
        <f t="shared" si="765"/>
        <v>0</v>
      </c>
      <c r="AN424" t="b">
        <f t="shared" si="766"/>
        <v>0</v>
      </c>
      <c r="AO424" t="b">
        <f t="shared" si="767"/>
        <v>0</v>
      </c>
      <c r="AP424" t="b">
        <f t="shared" si="768"/>
        <v>0</v>
      </c>
      <c r="AQ424" t="b">
        <f t="shared" si="769"/>
        <v>0</v>
      </c>
      <c r="AR424" t="b">
        <f t="shared" si="770"/>
        <v>0</v>
      </c>
      <c r="AS424" t="b">
        <f t="shared" si="771"/>
        <v>0</v>
      </c>
      <c r="AT424" t="b">
        <f t="shared" si="772"/>
        <v>0</v>
      </c>
      <c r="AU424" t="b">
        <f t="shared" si="773"/>
        <v>0</v>
      </c>
      <c r="AV424" t="b">
        <f t="shared" si="774"/>
        <v>0</v>
      </c>
      <c r="AW424" t="b">
        <f t="shared" si="775"/>
        <v>0</v>
      </c>
      <c r="AX424" t="b">
        <f t="shared" si="777"/>
        <v>0</v>
      </c>
      <c r="AY424" t="b">
        <f t="shared" si="778"/>
        <v>0</v>
      </c>
      <c r="AZ424" t="b">
        <f t="shared" si="779"/>
        <v>0</v>
      </c>
      <c r="BA424" t="b">
        <f t="shared" si="780"/>
        <v>0</v>
      </c>
      <c r="BB424" t="b">
        <f t="shared" si="781"/>
        <v>0</v>
      </c>
      <c r="BC424" t="b">
        <f t="shared" si="782"/>
        <v>0</v>
      </c>
      <c r="BD424" t="b">
        <f t="shared" si="783"/>
        <v>0</v>
      </c>
      <c r="BE424" t="b">
        <f t="shared" si="784"/>
        <v>0</v>
      </c>
      <c r="BF424" t="b">
        <f t="shared" si="785"/>
        <v>0</v>
      </c>
      <c r="BG424" t="b">
        <f t="shared" si="786"/>
        <v>0</v>
      </c>
      <c r="BH424" t="b">
        <f t="shared" si="787"/>
        <v>0</v>
      </c>
      <c r="BI424">
        <f t="shared" si="788"/>
        <v>1</v>
      </c>
      <c r="BJ424" t="b">
        <f t="shared" si="789"/>
        <v>0</v>
      </c>
      <c r="BK424" t="b">
        <f t="shared" si="790"/>
        <v>0</v>
      </c>
      <c r="BL424" t="b">
        <f t="shared" si="791"/>
        <v>0</v>
      </c>
      <c r="BM424" t="b">
        <f t="shared" si="792"/>
        <v>0</v>
      </c>
      <c r="BN424" t="b">
        <f t="shared" si="793"/>
        <v>0</v>
      </c>
      <c r="BO424" t="b">
        <f t="shared" si="794"/>
        <v>0</v>
      </c>
      <c r="BP424" t="b">
        <f t="shared" si="795"/>
        <v>0</v>
      </c>
      <c r="BQ424" t="b">
        <f t="shared" si="796"/>
        <v>0</v>
      </c>
      <c r="BR424" t="b">
        <f t="shared" si="797"/>
        <v>0</v>
      </c>
      <c r="BS424" t="b">
        <f t="shared" si="798"/>
        <v>0</v>
      </c>
      <c r="BT424" t="b">
        <f t="shared" si="799"/>
        <v>0</v>
      </c>
      <c r="BU424" t="b">
        <f t="shared" si="800"/>
        <v>0</v>
      </c>
      <c r="BV424" t="b">
        <f t="shared" si="801"/>
        <v>0</v>
      </c>
      <c r="BW424" t="b">
        <f t="shared" si="802"/>
        <v>0</v>
      </c>
      <c r="BX424" t="b">
        <f t="shared" si="803"/>
        <v>0</v>
      </c>
      <c r="BY424" t="b">
        <f t="shared" si="804"/>
        <v>0</v>
      </c>
      <c r="BZ424" t="b">
        <f t="shared" si="805"/>
        <v>0</v>
      </c>
      <c r="CA424" t="b">
        <f t="shared" si="806"/>
        <v>0</v>
      </c>
      <c r="CB424" t="b">
        <f t="shared" si="807"/>
        <v>0</v>
      </c>
      <c r="CC424" t="b">
        <f t="shared" si="808"/>
        <v>0</v>
      </c>
      <c r="CD424" t="b">
        <f t="shared" si="809"/>
        <v>0</v>
      </c>
      <c r="CE424" t="b">
        <f t="shared" si="810"/>
        <v>0</v>
      </c>
      <c r="CF424" t="b">
        <f t="shared" si="811"/>
        <v>0</v>
      </c>
      <c r="CG424" t="b">
        <f t="shared" si="812"/>
        <v>0</v>
      </c>
      <c r="CH424" t="b">
        <f t="shared" si="813"/>
        <v>0</v>
      </c>
      <c r="CI424" t="b">
        <f t="shared" si="814"/>
        <v>0</v>
      </c>
      <c r="CJ424" t="b">
        <f t="shared" si="815"/>
        <v>0</v>
      </c>
      <c r="CK424" t="b">
        <f t="shared" si="816"/>
        <v>0</v>
      </c>
      <c r="CL424" t="b">
        <f t="shared" si="817"/>
        <v>0</v>
      </c>
      <c r="CM424" t="b">
        <f t="shared" si="818"/>
        <v>0</v>
      </c>
      <c r="CN424" t="b">
        <f t="shared" si="819"/>
        <v>0</v>
      </c>
      <c r="CO424" t="b">
        <f t="shared" si="820"/>
        <v>0</v>
      </c>
      <c r="CP424" t="b">
        <f t="shared" si="821"/>
        <v>0</v>
      </c>
      <c r="CQ424" t="b">
        <f t="shared" si="822"/>
        <v>0</v>
      </c>
      <c r="CR424" t="b">
        <f t="shared" si="823"/>
        <v>0</v>
      </c>
      <c r="CS424" t="b">
        <f t="shared" si="824"/>
        <v>0</v>
      </c>
      <c r="CT424" t="b">
        <f t="shared" si="825"/>
        <v>0</v>
      </c>
      <c r="CU424" t="b">
        <f t="shared" si="826"/>
        <v>0</v>
      </c>
      <c r="CV424">
        <f t="shared" si="827"/>
        <v>1</v>
      </c>
      <c r="CW424">
        <f t="shared" si="828"/>
        <v>1</v>
      </c>
      <c r="CX424" t="b">
        <f t="shared" si="829"/>
        <v>0</v>
      </c>
      <c r="CY424" t="b">
        <f t="shared" si="830"/>
        <v>0</v>
      </c>
      <c r="CZ424" t="b">
        <f t="shared" si="831"/>
        <v>0</v>
      </c>
      <c r="DA424" t="b">
        <f t="shared" si="832"/>
        <v>0</v>
      </c>
      <c r="DB424">
        <f t="shared" si="833"/>
        <v>1</v>
      </c>
      <c r="DC424" t="b">
        <f t="shared" si="834"/>
        <v>0</v>
      </c>
      <c r="DD424" t="b">
        <f t="shared" si="835"/>
        <v>0</v>
      </c>
      <c r="DE424" t="b">
        <f t="shared" si="836"/>
        <v>0</v>
      </c>
      <c r="DF424" t="b">
        <f t="shared" si="837"/>
        <v>0</v>
      </c>
      <c r="DG424">
        <f t="shared" si="838"/>
        <v>1</v>
      </c>
      <c r="DH424" t="b">
        <f t="shared" si="839"/>
        <v>0</v>
      </c>
      <c r="DI424" t="b">
        <f t="shared" si="840"/>
        <v>0</v>
      </c>
      <c r="DJ424" t="b">
        <f t="shared" si="841"/>
        <v>0</v>
      </c>
      <c r="DK424" t="b">
        <f t="shared" si="842"/>
        <v>0</v>
      </c>
      <c r="DL424" t="b">
        <f t="shared" si="843"/>
        <v>0</v>
      </c>
      <c r="DM424" t="b">
        <f t="shared" si="844"/>
        <v>0</v>
      </c>
      <c r="DN424" t="b">
        <f t="shared" si="845"/>
        <v>0</v>
      </c>
      <c r="DO424" t="b">
        <f t="shared" si="846"/>
        <v>0</v>
      </c>
      <c r="DP424" t="b">
        <f t="shared" si="847"/>
        <v>0</v>
      </c>
      <c r="DQ424" t="b">
        <f t="shared" si="848"/>
        <v>0</v>
      </c>
      <c r="DR424" t="b">
        <f t="shared" si="849"/>
        <v>0</v>
      </c>
      <c r="DS424" t="b">
        <f t="shared" si="850"/>
        <v>0</v>
      </c>
      <c r="DT424" t="b">
        <f t="shared" si="851"/>
        <v>0</v>
      </c>
      <c r="DU424" t="b">
        <f t="shared" si="852"/>
        <v>0</v>
      </c>
      <c r="DV424" t="b">
        <f t="shared" si="853"/>
        <v>0</v>
      </c>
      <c r="DW424" t="b">
        <f t="shared" si="854"/>
        <v>0</v>
      </c>
      <c r="DX424" t="b">
        <f t="shared" si="855"/>
        <v>0</v>
      </c>
      <c r="DY424" t="b">
        <f t="shared" si="856"/>
        <v>0</v>
      </c>
      <c r="DZ424" t="b">
        <f t="shared" si="857"/>
        <v>0</v>
      </c>
      <c r="EA424" t="b">
        <f t="shared" si="858"/>
        <v>0</v>
      </c>
      <c r="EB424" t="b">
        <f t="shared" si="859"/>
        <v>0</v>
      </c>
      <c r="EC424" t="b">
        <f t="shared" si="860"/>
        <v>0</v>
      </c>
      <c r="ED424" t="b">
        <f t="shared" si="861"/>
        <v>0</v>
      </c>
      <c r="EE424" t="b">
        <f t="shared" si="862"/>
        <v>0</v>
      </c>
      <c r="EF424" t="b">
        <f t="shared" si="863"/>
        <v>0</v>
      </c>
      <c r="EG424" t="b">
        <f t="shared" si="864"/>
        <v>0</v>
      </c>
      <c r="EH424" t="b">
        <f t="shared" si="865"/>
        <v>0</v>
      </c>
      <c r="EI424">
        <f t="shared" si="866"/>
        <v>1</v>
      </c>
      <c r="EJ424" t="b">
        <f t="shared" si="867"/>
        <v>0</v>
      </c>
      <c r="EK424" t="b">
        <f t="shared" si="868"/>
        <v>0</v>
      </c>
    </row>
    <row r="425" spans="1:141">
      <c r="A425" t="s">
        <v>2178</v>
      </c>
      <c r="B425" t="s">
        <v>2178</v>
      </c>
      <c r="C425" t="s">
        <v>2179</v>
      </c>
      <c r="D425" s="1">
        <v>42719</v>
      </c>
      <c r="E425" s="2">
        <v>42721.281759259262</v>
      </c>
      <c r="F425" s="2">
        <v>42721.281759259262</v>
      </c>
      <c r="G425">
        <v>400260</v>
      </c>
      <c r="H425" t="s">
        <v>2180</v>
      </c>
      <c r="I425" s="10" t="s">
        <v>2181</v>
      </c>
      <c r="J425" t="s">
        <v>2182</v>
      </c>
      <c r="K425" s="8" t="b">
        <v>1</v>
      </c>
      <c r="L425" s="10" t="b">
        <v>0</v>
      </c>
      <c r="M425" s="12" t="b">
        <v>0</v>
      </c>
      <c r="N425" t="b">
        <v>0</v>
      </c>
      <c r="O425" t="b">
        <v>0</v>
      </c>
      <c r="P425" t="b">
        <v>0</v>
      </c>
      <c r="Q425">
        <f t="shared" si="745"/>
        <v>5</v>
      </c>
      <c r="R425">
        <f t="shared" si="746"/>
        <v>12</v>
      </c>
      <c r="S425" t="e">
        <f t="shared" ca="1" si="776"/>
        <v>#NAME?</v>
      </c>
      <c r="T425" t="e">
        <f t="shared" ca="1" si="747"/>
        <v>#NAME?</v>
      </c>
      <c r="U425" s="4">
        <f t="shared" si="748"/>
        <v>2.2817592592618894</v>
      </c>
      <c r="V425" s="4">
        <f t="shared" si="749"/>
        <v>7.6058641975396316E-2</v>
      </c>
      <c r="W425" s="4">
        <f t="shared" si="750"/>
        <v>1</v>
      </c>
      <c r="X425" s="4">
        <f t="shared" si="751"/>
        <v>0</v>
      </c>
      <c r="Y425" s="4">
        <f t="shared" si="752"/>
        <v>0</v>
      </c>
      <c r="Z425" s="4">
        <f t="shared" si="753"/>
        <v>0</v>
      </c>
      <c r="AA425" s="4">
        <f t="shared" si="754"/>
        <v>0</v>
      </c>
      <c r="AB425" s="4">
        <f t="shared" si="755"/>
        <v>0</v>
      </c>
      <c r="AC425" s="4"/>
      <c r="AD425" s="4" t="b">
        <f t="shared" si="756"/>
        <v>0</v>
      </c>
      <c r="AE425" s="4" t="b">
        <f t="shared" si="757"/>
        <v>0</v>
      </c>
      <c r="AF425" s="4" t="b">
        <f t="shared" si="758"/>
        <v>0</v>
      </c>
      <c r="AG425" t="b">
        <f t="shared" si="759"/>
        <v>0</v>
      </c>
      <c r="AH425" t="b">
        <f t="shared" si="760"/>
        <v>0</v>
      </c>
      <c r="AI425" t="b">
        <f t="shared" si="761"/>
        <v>0</v>
      </c>
      <c r="AJ425" t="b">
        <f t="shared" si="762"/>
        <v>0</v>
      </c>
      <c r="AK425" t="b">
        <f t="shared" si="763"/>
        <v>0</v>
      </c>
      <c r="AL425" t="b">
        <f t="shared" si="764"/>
        <v>0</v>
      </c>
      <c r="AM425" t="b">
        <f t="shared" si="765"/>
        <v>0</v>
      </c>
      <c r="AN425" t="b">
        <f t="shared" si="766"/>
        <v>0</v>
      </c>
      <c r="AO425" t="b">
        <f t="shared" si="767"/>
        <v>0</v>
      </c>
      <c r="AP425" t="b">
        <f t="shared" si="768"/>
        <v>0</v>
      </c>
      <c r="AQ425" t="b">
        <f t="shared" si="769"/>
        <v>0</v>
      </c>
      <c r="AR425" t="b">
        <f t="shared" si="770"/>
        <v>0</v>
      </c>
      <c r="AS425" t="b">
        <f t="shared" si="771"/>
        <v>0</v>
      </c>
      <c r="AT425" t="b">
        <f t="shared" si="772"/>
        <v>0</v>
      </c>
      <c r="AU425" t="b">
        <f t="shared" si="773"/>
        <v>0</v>
      </c>
      <c r="AV425" t="b">
        <f t="shared" si="774"/>
        <v>0</v>
      </c>
      <c r="AW425" t="b">
        <f t="shared" si="775"/>
        <v>0</v>
      </c>
      <c r="AX425" t="b">
        <f t="shared" si="777"/>
        <v>0</v>
      </c>
      <c r="AY425" t="b">
        <f t="shared" si="778"/>
        <v>0</v>
      </c>
      <c r="AZ425" t="b">
        <f t="shared" si="779"/>
        <v>0</v>
      </c>
      <c r="BA425" t="b">
        <f t="shared" si="780"/>
        <v>0</v>
      </c>
      <c r="BB425" t="b">
        <f t="shared" si="781"/>
        <v>0</v>
      </c>
      <c r="BC425" t="b">
        <f t="shared" si="782"/>
        <v>0</v>
      </c>
      <c r="BD425" t="b">
        <f t="shared" si="783"/>
        <v>0</v>
      </c>
      <c r="BE425" t="b">
        <f t="shared" si="784"/>
        <v>0</v>
      </c>
      <c r="BF425" t="b">
        <f t="shared" si="785"/>
        <v>0</v>
      </c>
      <c r="BG425" t="b">
        <f t="shared" si="786"/>
        <v>0</v>
      </c>
      <c r="BH425" t="b">
        <f t="shared" si="787"/>
        <v>0</v>
      </c>
      <c r="BI425">
        <f t="shared" si="788"/>
        <v>1</v>
      </c>
      <c r="BJ425" t="b">
        <f t="shared" si="789"/>
        <v>0</v>
      </c>
      <c r="BK425" t="b">
        <f t="shared" si="790"/>
        <v>0</v>
      </c>
      <c r="BL425" t="b">
        <f t="shared" si="791"/>
        <v>0</v>
      </c>
      <c r="BM425" t="b">
        <f t="shared" si="792"/>
        <v>0</v>
      </c>
      <c r="BN425" t="b">
        <f t="shared" si="793"/>
        <v>0</v>
      </c>
      <c r="BO425" t="b">
        <f t="shared" si="794"/>
        <v>0</v>
      </c>
      <c r="BP425" t="b">
        <f t="shared" si="795"/>
        <v>0</v>
      </c>
      <c r="BQ425" t="b">
        <f t="shared" si="796"/>
        <v>0</v>
      </c>
      <c r="BR425" t="b">
        <f t="shared" si="797"/>
        <v>0</v>
      </c>
      <c r="BS425" t="b">
        <f t="shared" si="798"/>
        <v>0</v>
      </c>
      <c r="BT425" t="b">
        <f t="shared" si="799"/>
        <v>0</v>
      </c>
      <c r="BU425" t="b">
        <f t="shared" si="800"/>
        <v>0</v>
      </c>
      <c r="BV425" t="b">
        <f t="shared" si="801"/>
        <v>0</v>
      </c>
      <c r="BW425" t="b">
        <f t="shared" si="802"/>
        <v>0</v>
      </c>
      <c r="BX425" t="b">
        <f t="shared" si="803"/>
        <v>0</v>
      </c>
      <c r="BY425" t="b">
        <f t="shared" si="804"/>
        <v>0</v>
      </c>
      <c r="BZ425" t="b">
        <f t="shared" si="805"/>
        <v>0</v>
      </c>
      <c r="CA425" t="b">
        <f t="shared" si="806"/>
        <v>0</v>
      </c>
      <c r="CB425" t="b">
        <f t="shared" si="807"/>
        <v>0</v>
      </c>
      <c r="CC425" t="b">
        <f t="shared" si="808"/>
        <v>0</v>
      </c>
      <c r="CD425" t="b">
        <f t="shared" si="809"/>
        <v>0</v>
      </c>
      <c r="CE425">
        <f t="shared" si="810"/>
        <v>1</v>
      </c>
      <c r="CF425" t="b">
        <f t="shared" si="811"/>
        <v>0</v>
      </c>
      <c r="CG425" t="b">
        <f t="shared" si="812"/>
        <v>0</v>
      </c>
      <c r="CH425" t="b">
        <f t="shared" si="813"/>
        <v>0</v>
      </c>
      <c r="CI425" t="b">
        <f t="shared" si="814"/>
        <v>0</v>
      </c>
      <c r="CJ425" t="b">
        <f t="shared" si="815"/>
        <v>0</v>
      </c>
      <c r="CK425" t="b">
        <f t="shared" si="816"/>
        <v>0</v>
      </c>
      <c r="CL425" t="b">
        <f t="shared" si="817"/>
        <v>0</v>
      </c>
      <c r="CM425">
        <f t="shared" si="818"/>
        <v>1</v>
      </c>
      <c r="CN425" t="b">
        <f t="shared" si="819"/>
        <v>0</v>
      </c>
      <c r="CO425" t="b">
        <f t="shared" si="820"/>
        <v>0</v>
      </c>
      <c r="CP425" t="b">
        <f t="shared" si="821"/>
        <v>0</v>
      </c>
      <c r="CQ425" t="b">
        <f t="shared" si="822"/>
        <v>0</v>
      </c>
      <c r="CR425" t="b">
        <f t="shared" si="823"/>
        <v>0</v>
      </c>
      <c r="CS425" t="b">
        <f t="shared" si="824"/>
        <v>0</v>
      </c>
      <c r="CT425" t="b">
        <f t="shared" si="825"/>
        <v>0</v>
      </c>
      <c r="CU425" t="b">
        <f t="shared" si="826"/>
        <v>0</v>
      </c>
      <c r="CV425">
        <f t="shared" si="827"/>
        <v>1</v>
      </c>
      <c r="CW425" t="b">
        <f t="shared" si="828"/>
        <v>0</v>
      </c>
      <c r="CX425" t="b">
        <f t="shared" si="829"/>
        <v>0</v>
      </c>
      <c r="CY425" t="b">
        <f t="shared" si="830"/>
        <v>0</v>
      </c>
      <c r="CZ425" t="b">
        <f t="shared" si="831"/>
        <v>0</v>
      </c>
      <c r="DA425">
        <f t="shared" si="832"/>
        <v>1</v>
      </c>
      <c r="DB425" t="b">
        <f t="shared" si="833"/>
        <v>0</v>
      </c>
      <c r="DC425" t="b">
        <f t="shared" si="834"/>
        <v>0</v>
      </c>
      <c r="DD425" t="b">
        <f t="shared" si="835"/>
        <v>0</v>
      </c>
      <c r="DE425" t="b">
        <f t="shared" si="836"/>
        <v>0</v>
      </c>
      <c r="DF425" t="b">
        <f t="shared" si="837"/>
        <v>0</v>
      </c>
      <c r="DG425" t="b">
        <f t="shared" si="838"/>
        <v>0</v>
      </c>
      <c r="DH425" t="b">
        <f t="shared" si="839"/>
        <v>0</v>
      </c>
      <c r="DI425" t="b">
        <f t="shared" si="840"/>
        <v>0</v>
      </c>
      <c r="DJ425" t="b">
        <f t="shared" si="841"/>
        <v>0</v>
      </c>
      <c r="DK425" t="b">
        <f t="shared" si="842"/>
        <v>0</v>
      </c>
      <c r="DL425" t="b">
        <f t="shared" si="843"/>
        <v>0</v>
      </c>
      <c r="DM425" t="b">
        <f t="shared" si="844"/>
        <v>0</v>
      </c>
      <c r="DN425" t="b">
        <f t="shared" si="845"/>
        <v>0</v>
      </c>
      <c r="DO425" t="b">
        <f t="shared" si="846"/>
        <v>0</v>
      </c>
      <c r="DP425" t="b">
        <f t="shared" si="847"/>
        <v>0</v>
      </c>
      <c r="DQ425" t="b">
        <f t="shared" si="848"/>
        <v>0</v>
      </c>
      <c r="DR425" t="b">
        <f t="shared" si="849"/>
        <v>0</v>
      </c>
      <c r="DS425" t="b">
        <f t="shared" si="850"/>
        <v>0</v>
      </c>
      <c r="DT425" t="b">
        <f t="shared" si="851"/>
        <v>0</v>
      </c>
      <c r="DU425" t="b">
        <f t="shared" si="852"/>
        <v>0</v>
      </c>
      <c r="DV425" t="b">
        <f t="shared" si="853"/>
        <v>0</v>
      </c>
      <c r="DW425" t="b">
        <f t="shared" si="854"/>
        <v>0</v>
      </c>
      <c r="DX425" t="b">
        <f t="shared" si="855"/>
        <v>0</v>
      </c>
      <c r="DY425" t="b">
        <f t="shared" si="856"/>
        <v>0</v>
      </c>
      <c r="DZ425" t="b">
        <f t="shared" si="857"/>
        <v>0</v>
      </c>
      <c r="EA425" t="b">
        <f t="shared" si="858"/>
        <v>0</v>
      </c>
      <c r="EB425" t="b">
        <f t="shared" si="859"/>
        <v>0</v>
      </c>
      <c r="EC425" t="b">
        <f t="shared" si="860"/>
        <v>0</v>
      </c>
      <c r="ED425" t="b">
        <f t="shared" si="861"/>
        <v>0</v>
      </c>
      <c r="EE425" t="b">
        <f t="shared" si="862"/>
        <v>0</v>
      </c>
      <c r="EF425" t="b">
        <f t="shared" si="863"/>
        <v>0</v>
      </c>
      <c r="EG425" t="b">
        <f t="shared" si="864"/>
        <v>0</v>
      </c>
      <c r="EH425" t="b">
        <f t="shared" si="865"/>
        <v>0</v>
      </c>
      <c r="EI425">
        <f t="shared" si="866"/>
        <v>1</v>
      </c>
      <c r="EJ425" t="b">
        <f t="shared" si="867"/>
        <v>0</v>
      </c>
      <c r="EK425" t="b">
        <f t="shared" si="868"/>
        <v>0</v>
      </c>
    </row>
    <row r="426" spans="1:141">
      <c r="A426" t="s">
        <v>2183</v>
      </c>
      <c r="B426" t="s">
        <v>2183</v>
      </c>
      <c r="C426" t="s">
        <v>2184</v>
      </c>
      <c r="D426" s="1">
        <v>44647</v>
      </c>
      <c r="E426" s="2">
        <v>44683.226678240739</v>
      </c>
      <c r="F426" s="2">
        <v>44683.352349537039</v>
      </c>
      <c r="G426">
        <v>1580249</v>
      </c>
      <c r="H426" t="s">
        <v>2185</v>
      </c>
      <c r="I426" s="10" t="s">
        <v>2186</v>
      </c>
      <c r="J426" t="s">
        <v>2187</v>
      </c>
      <c r="K426" s="8" t="b">
        <v>1</v>
      </c>
      <c r="L426" s="10" t="b">
        <v>0</v>
      </c>
      <c r="M426" s="12" t="b">
        <v>0</v>
      </c>
      <c r="N426" t="b">
        <v>0</v>
      </c>
      <c r="O426" t="b">
        <v>0</v>
      </c>
      <c r="P426" t="b">
        <v>0</v>
      </c>
      <c r="Q426">
        <f t="shared" si="745"/>
        <v>1</v>
      </c>
      <c r="R426">
        <f t="shared" si="746"/>
        <v>3</v>
      </c>
      <c r="S426" t="e">
        <f t="shared" ca="1" si="776"/>
        <v>#NAME?</v>
      </c>
      <c r="T426" t="e">
        <f t="shared" ca="1" si="747"/>
        <v>#NAME?</v>
      </c>
      <c r="U426" s="4">
        <f t="shared" si="748"/>
        <v>36.226678240738693</v>
      </c>
      <c r="V426" s="4">
        <f t="shared" si="749"/>
        <v>1.2075559413579564</v>
      </c>
      <c r="W426" s="4">
        <f t="shared" si="750"/>
        <v>1</v>
      </c>
      <c r="X426" s="4">
        <f t="shared" si="751"/>
        <v>0</v>
      </c>
      <c r="Y426" s="4">
        <f t="shared" si="752"/>
        <v>0</v>
      </c>
      <c r="Z426" s="4">
        <f t="shared" si="753"/>
        <v>0</v>
      </c>
      <c r="AA426" s="4">
        <f t="shared" si="754"/>
        <v>0</v>
      </c>
      <c r="AB426" s="4">
        <f t="shared" si="755"/>
        <v>0</v>
      </c>
      <c r="AC426" s="4"/>
      <c r="AD426" s="4" t="b">
        <f t="shared" si="756"/>
        <v>0</v>
      </c>
      <c r="AE426" s="4" t="b">
        <f t="shared" si="757"/>
        <v>0</v>
      </c>
      <c r="AF426" s="4" t="b">
        <f t="shared" si="758"/>
        <v>0</v>
      </c>
      <c r="AG426" t="b">
        <f t="shared" si="759"/>
        <v>0</v>
      </c>
      <c r="AH426" t="b">
        <f t="shared" si="760"/>
        <v>0</v>
      </c>
      <c r="AI426" t="b">
        <f t="shared" si="761"/>
        <v>0</v>
      </c>
      <c r="AJ426" t="b">
        <f t="shared" si="762"/>
        <v>0</v>
      </c>
      <c r="AK426" t="b">
        <f t="shared" si="763"/>
        <v>0</v>
      </c>
      <c r="AL426" t="b">
        <f t="shared" si="764"/>
        <v>0</v>
      </c>
      <c r="AM426" t="b">
        <f t="shared" si="765"/>
        <v>0</v>
      </c>
      <c r="AN426" t="b">
        <f t="shared" si="766"/>
        <v>0</v>
      </c>
      <c r="AO426" t="b">
        <f t="shared" si="767"/>
        <v>0</v>
      </c>
      <c r="AP426" t="b">
        <f t="shared" si="768"/>
        <v>0</v>
      </c>
      <c r="AQ426" t="b">
        <f t="shared" si="769"/>
        <v>0</v>
      </c>
      <c r="AR426" t="b">
        <f t="shared" si="770"/>
        <v>0</v>
      </c>
      <c r="AS426" t="b">
        <f t="shared" si="771"/>
        <v>0</v>
      </c>
      <c r="AT426" t="b">
        <f t="shared" si="772"/>
        <v>0</v>
      </c>
      <c r="AU426" t="b">
        <f t="shared" si="773"/>
        <v>0</v>
      </c>
      <c r="AV426" t="b">
        <f t="shared" si="774"/>
        <v>0</v>
      </c>
      <c r="AW426" t="b">
        <f t="shared" si="775"/>
        <v>0</v>
      </c>
      <c r="AX426" t="b">
        <f t="shared" si="777"/>
        <v>0</v>
      </c>
      <c r="AY426" t="b">
        <f t="shared" si="778"/>
        <v>0</v>
      </c>
      <c r="AZ426" t="b">
        <f t="shared" si="779"/>
        <v>0</v>
      </c>
      <c r="BA426" t="b">
        <f t="shared" si="780"/>
        <v>0</v>
      </c>
      <c r="BB426" t="b">
        <f t="shared" si="781"/>
        <v>0</v>
      </c>
      <c r="BC426" t="b">
        <f t="shared" si="782"/>
        <v>0</v>
      </c>
      <c r="BD426" t="b">
        <f t="shared" si="783"/>
        <v>0</v>
      </c>
      <c r="BE426" t="b">
        <f t="shared" si="784"/>
        <v>0</v>
      </c>
      <c r="BF426" t="b">
        <f t="shared" si="785"/>
        <v>0</v>
      </c>
      <c r="BG426" t="b">
        <f t="shared" si="786"/>
        <v>0</v>
      </c>
      <c r="BH426" t="b">
        <f t="shared" si="787"/>
        <v>0</v>
      </c>
      <c r="BI426">
        <f t="shared" si="788"/>
        <v>1</v>
      </c>
      <c r="BJ426" t="b">
        <f t="shared" si="789"/>
        <v>0</v>
      </c>
      <c r="BK426" t="b">
        <f t="shared" si="790"/>
        <v>0</v>
      </c>
      <c r="BL426" t="b">
        <f t="shared" si="791"/>
        <v>0</v>
      </c>
      <c r="BM426" t="b">
        <f t="shared" si="792"/>
        <v>0</v>
      </c>
      <c r="BN426" t="b">
        <f t="shared" si="793"/>
        <v>0</v>
      </c>
      <c r="BO426" t="b">
        <f t="shared" si="794"/>
        <v>0</v>
      </c>
      <c r="BP426" t="b">
        <f t="shared" si="795"/>
        <v>0</v>
      </c>
      <c r="BQ426" t="b">
        <f t="shared" si="796"/>
        <v>0</v>
      </c>
      <c r="BR426" t="b">
        <f t="shared" si="797"/>
        <v>0</v>
      </c>
      <c r="BS426" t="b">
        <f t="shared" si="798"/>
        <v>0</v>
      </c>
      <c r="BT426" t="b">
        <f t="shared" si="799"/>
        <v>0</v>
      </c>
      <c r="BU426" t="b">
        <f t="shared" si="800"/>
        <v>0</v>
      </c>
      <c r="BV426" t="b">
        <f t="shared" si="801"/>
        <v>0</v>
      </c>
      <c r="BW426" t="b">
        <f t="shared" si="802"/>
        <v>0</v>
      </c>
      <c r="BX426" t="b">
        <f t="shared" si="803"/>
        <v>0</v>
      </c>
      <c r="BY426" t="b">
        <f t="shared" si="804"/>
        <v>0</v>
      </c>
      <c r="BZ426" t="b">
        <f t="shared" si="805"/>
        <v>0</v>
      </c>
      <c r="CA426" t="b">
        <f t="shared" si="806"/>
        <v>0</v>
      </c>
      <c r="CB426" t="b">
        <f t="shared" si="807"/>
        <v>0</v>
      </c>
      <c r="CC426" t="b">
        <f t="shared" si="808"/>
        <v>0</v>
      </c>
      <c r="CD426" t="b">
        <f t="shared" si="809"/>
        <v>0</v>
      </c>
      <c r="CE426">
        <f t="shared" si="810"/>
        <v>1</v>
      </c>
      <c r="CF426" t="b">
        <f t="shared" si="811"/>
        <v>0</v>
      </c>
      <c r="CG426" t="b">
        <f t="shared" si="812"/>
        <v>0</v>
      </c>
      <c r="CH426" t="b">
        <f t="shared" si="813"/>
        <v>0</v>
      </c>
      <c r="CI426" t="b">
        <f t="shared" si="814"/>
        <v>0</v>
      </c>
      <c r="CJ426" t="b">
        <f t="shared" si="815"/>
        <v>0</v>
      </c>
      <c r="CK426" t="b">
        <f t="shared" si="816"/>
        <v>0</v>
      </c>
      <c r="CL426" t="b">
        <f t="shared" si="817"/>
        <v>0</v>
      </c>
      <c r="CM426">
        <f t="shared" si="818"/>
        <v>1</v>
      </c>
      <c r="CN426" t="b">
        <f t="shared" si="819"/>
        <v>0</v>
      </c>
      <c r="CO426" t="b">
        <f t="shared" si="820"/>
        <v>0</v>
      </c>
      <c r="CP426" t="b">
        <f t="shared" si="821"/>
        <v>0</v>
      </c>
      <c r="CQ426" t="b">
        <f t="shared" si="822"/>
        <v>0</v>
      </c>
      <c r="CR426" t="b">
        <f t="shared" si="823"/>
        <v>0</v>
      </c>
      <c r="CS426" t="b">
        <f t="shared" si="824"/>
        <v>0</v>
      </c>
      <c r="CT426" t="b">
        <f t="shared" si="825"/>
        <v>0</v>
      </c>
      <c r="CU426" t="b">
        <f t="shared" si="826"/>
        <v>0</v>
      </c>
      <c r="CV426" t="b">
        <f t="shared" si="827"/>
        <v>0</v>
      </c>
      <c r="CW426" t="b">
        <f t="shared" si="828"/>
        <v>0</v>
      </c>
      <c r="CX426" t="b">
        <f t="shared" si="829"/>
        <v>0</v>
      </c>
      <c r="CY426" t="b">
        <f t="shared" si="830"/>
        <v>0</v>
      </c>
      <c r="CZ426" t="b">
        <f t="shared" si="831"/>
        <v>0</v>
      </c>
      <c r="DA426">
        <f t="shared" si="832"/>
        <v>1</v>
      </c>
      <c r="DB426">
        <f t="shared" si="833"/>
        <v>1</v>
      </c>
      <c r="DC426" t="b">
        <f t="shared" si="834"/>
        <v>0</v>
      </c>
      <c r="DD426" t="b">
        <f t="shared" si="835"/>
        <v>0</v>
      </c>
      <c r="DE426" t="b">
        <f t="shared" si="836"/>
        <v>0</v>
      </c>
      <c r="DF426" t="b">
        <f t="shared" si="837"/>
        <v>0</v>
      </c>
      <c r="DG426" t="b">
        <f t="shared" si="838"/>
        <v>0</v>
      </c>
      <c r="DH426" t="b">
        <f t="shared" si="839"/>
        <v>0</v>
      </c>
      <c r="DI426" t="b">
        <f t="shared" si="840"/>
        <v>0</v>
      </c>
      <c r="DJ426">
        <f t="shared" si="841"/>
        <v>1</v>
      </c>
      <c r="DK426" t="b">
        <f t="shared" si="842"/>
        <v>0</v>
      </c>
      <c r="DL426" t="b">
        <f t="shared" si="843"/>
        <v>0</v>
      </c>
      <c r="DM426" t="b">
        <f t="shared" si="844"/>
        <v>0</v>
      </c>
      <c r="DN426" t="b">
        <f t="shared" si="845"/>
        <v>0</v>
      </c>
      <c r="DO426" t="b">
        <f t="shared" si="846"/>
        <v>0</v>
      </c>
      <c r="DP426" t="b">
        <f t="shared" si="847"/>
        <v>0</v>
      </c>
      <c r="DQ426" t="b">
        <f t="shared" si="848"/>
        <v>0</v>
      </c>
      <c r="DR426" t="b">
        <f t="shared" si="849"/>
        <v>0</v>
      </c>
      <c r="DS426" t="b">
        <f t="shared" si="850"/>
        <v>0</v>
      </c>
      <c r="DT426" t="b">
        <f t="shared" si="851"/>
        <v>0</v>
      </c>
      <c r="DU426" t="b">
        <f t="shared" si="852"/>
        <v>0</v>
      </c>
      <c r="DV426" t="b">
        <f t="shared" si="853"/>
        <v>0</v>
      </c>
      <c r="DW426" t="b">
        <f t="shared" si="854"/>
        <v>0</v>
      </c>
      <c r="DX426" t="b">
        <f t="shared" si="855"/>
        <v>0</v>
      </c>
      <c r="DY426" t="b">
        <f t="shared" si="856"/>
        <v>0</v>
      </c>
      <c r="DZ426" t="b">
        <f t="shared" si="857"/>
        <v>0</v>
      </c>
      <c r="EA426" t="b">
        <f t="shared" si="858"/>
        <v>0</v>
      </c>
      <c r="EB426" t="b">
        <f t="shared" si="859"/>
        <v>0</v>
      </c>
      <c r="EC426" t="b">
        <f t="shared" si="860"/>
        <v>0</v>
      </c>
      <c r="ED426" t="b">
        <f t="shared" si="861"/>
        <v>0</v>
      </c>
      <c r="EE426" t="b">
        <f t="shared" si="862"/>
        <v>0</v>
      </c>
      <c r="EF426" t="b">
        <f t="shared" si="863"/>
        <v>0</v>
      </c>
      <c r="EG426" t="b">
        <f t="shared" si="864"/>
        <v>0</v>
      </c>
      <c r="EH426" t="b">
        <f t="shared" si="865"/>
        <v>0</v>
      </c>
      <c r="EI426" t="b">
        <f t="shared" si="866"/>
        <v>0</v>
      </c>
      <c r="EJ426" t="b">
        <f t="shared" si="867"/>
        <v>0</v>
      </c>
      <c r="EK426" t="b">
        <f t="shared" si="868"/>
        <v>0</v>
      </c>
    </row>
    <row r="427" spans="1:141">
      <c r="A427" t="s">
        <v>2188</v>
      </c>
      <c r="B427" t="s">
        <v>2188</v>
      </c>
      <c r="C427" t="s">
        <v>2189</v>
      </c>
      <c r="D427" s="1">
        <v>44073</v>
      </c>
      <c r="E427" s="2">
        <v>44768.97016203704</v>
      </c>
      <c r="F427" s="2">
        <v>44771.007013888891</v>
      </c>
      <c r="G427">
        <v>3395101</v>
      </c>
      <c r="H427" t="s">
        <v>2190</v>
      </c>
      <c r="I427" s="10" t="s">
        <v>2191</v>
      </c>
      <c r="J427" t="s">
        <v>2192</v>
      </c>
      <c r="K427" s="8" t="b">
        <v>1</v>
      </c>
      <c r="L427" s="10" t="b">
        <v>1</v>
      </c>
      <c r="M427" s="12" t="b">
        <v>0</v>
      </c>
      <c r="N427" t="b">
        <v>0</v>
      </c>
      <c r="O427" t="b">
        <v>0</v>
      </c>
      <c r="P427" t="b">
        <v>0</v>
      </c>
      <c r="Q427">
        <f t="shared" si="745"/>
        <v>1</v>
      </c>
      <c r="R427">
        <f t="shared" si="746"/>
        <v>8</v>
      </c>
      <c r="S427" t="e">
        <f t="shared" ca="1" si="776"/>
        <v>#NAME?</v>
      </c>
      <c r="T427" t="e">
        <f t="shared" ca="1" si="747"/>
        <v>#NAME?</v>
      </c>
      <c r="U427" s="4">
        <f t="shared" si="748"/>
        <v>695.9701620370397</v>
      </c>
      <c r="V427" s="4">
        <f t="shared" si="749"/>
        <v>23.199005401234658</v>
      </c>
      <c r="W427" s="4">
        <f t="shared" si="750"/>
        <v>1</v>
      </c>
      <c r="X427" s="4">
        <f t="shared" si="751"/>
        <v>1</v>
      </c>
      <c r="Y427" s="4">
        <f t="shared" si="752"/>
        <v>0</v>
      </c>
      <c r="Z427" s="4">
        <f t="shared" si="753"/>
        <v>0</v>
      </c>
      <c r="AA427" s="4">
        <f t="shared" si="754"/>
        <v>0</v>
      </c>
      <c r="AB427" s="4">
        <f t="shared" si="755"/>
        <v>0</v>
      </c>
      <c r="AC427" s="4"/>
      <c r="AD427" s="4" t="b">
        <f t="shared" si="756"/>
        <v>0</v>
      </c>
      <c r="AE427" s="4" t="b">
        <f t="shared" si="757"/>
        <v>0</v>
      </c>
      <c r="AF427" s="4" t="b">
        <f t="shared" si="758"/>
        <v>0</v>
      </c>
      <c r="AG427" t="b">
        <f t="shared" si="759"/>
        <v>0</v>
      </c>
      <c r="AH427" t="b">
        <f t="shared" si="760"/>
        <v>0</v>
      </c>
      <c r="AI427" t="b">
        <f t="shared" si="761"/>
        <v>0</v>
      </c>
      <c r="AJ427" t="b">
        <f t="shared" si="762"/>
        <v>0</v>
      </c>
      <c r="AK427" t="b">
        <f t="shared" si="763"/>
        <v>0</v>
      </c>
      <c r="AL427" t="b">
        <f t="shared" si="764"/>
        <v>0</v>
      </c>
      <c r="AM427" t="b">
        <f t="shared" si="765"/>
        <v>0</v>
      </c>
      <c r="AN427" t="b">
        <f t="shared" si="766"/>
        <v>0</v>
      </c>
      <c r="AO427" t="b">
        <f t="shared" si="767"/>
        <v>0</v>
      </c>
      <c r="AP427" t="b">
        <f t="shared" si="768"/>
        <v>0</v>
      </c>
      <c r="AQ427" t="b">
        <f t="shared" si="769"/>
        <v>0</v>
      </c>
      <c r="AR427" t="b">
        <f t="shared" si="770"/>
        <v>0</v>
      </c>
      <c r="AS427" t="b">
        <f t="shared" si="771"/>
        <v>0</v>
      </c>
      <c r="AT427" t="b">
        <f t="shared" si="772"/>
        <v>0</v>
      </c>
      <c r="AU427" t="b">
        <f t="shared" si="773"/>
        <v>0</v>
      </c>
      <c r="AV427" t="b">
        <f t="shared" si="774"/>
        <v>0</v>
      </c>
      <c r="AW427" t="b">
        <f t="shared" si="775"/>
        <v>0</v>
      </c>
      <c r="AX427" t="b">
        <f t="shared" si="777"/>
        <v>0</v>
      </c>
      <c r="AY427" t="b">
        <f t="shared" si="778"/>
        <v>0</v>
      </c>
      <c r="AZ427">
        <f t="shared" si="779"/>
        <v>1</v>
      </c>
      <c r="BA427" t="b">
        <f t="shared" si="780"/>
        <v>0</v>
      </c>
      <c r="BB427" t="b">
        <f t="shared" si="781"/>
        <v>0</v>
      </c>
      <c r="BC427" t="b">
        <f t="shared" si="782"/>
        <v>0</v>
      </c>
      <c r="BD427" t="b">
        <f t="shared" si="783"/>
        <v>0</v>
      </c>
      <c r="BE427" t="b">
        <f t="shared" si="784"/>
        <v>0</v>
      </c>
      <c r="BF427" t="b">
        <f t="shared" si="785"/>
        <v>0</v>
      </c>
      <c r="BG427" t="b">
        <f t="shared" si="786"/>
        <v>0</v>
      </c>
      <c r="BH427" t="b">
        <f t="shared" si="787"/>
        <v>0</v>
      </c>
      <c r="BI427">
        <f t="shared" si="788"/>
        <v>1</v>
      </c>
      <c r="BJ427" t="b">
        <f t="shared" si="789"/>
        <v>0</v>
      </c>
      <c r="BK427" t="b">
        <f t="shared" si="790"/>
        <v>0</v>
      </c>
      <c r="BL427" t="b">
        <f t="shared" si="791"/>
        <v>0</v>
      </c>
      <c r="BM427" t="b">
        <f t="shared" si="792"/>
        <v>0</v>
      </c>
      <c r="BN427" t="b">
        <f t="shared" si="793"/>
        <v>0</v>
      </c>
      <c r="BO427" t="b">
        <f t="shared" si="794"/>
        <v>0</v>
      </c>
      <c r="BP427" t="b">
        <f t="shared" si="795"/>
        <v>0</v>
      </c>
      <c r="BQ427" t="b">
        <f t="shared" si="796"/>
        <v>0</v>
      </c>
      <c r="BR427">
        <f t="shared" si="797"/>
        <v>1</v>
      </c>
      <c r="BS427">
        <f t="shared" si="798"/>
        <v>1</v>
      </c>
      <c r="BT427" t="b">
        <f t="shared" si="799"/>
        <v>0</v>
      </c>
      <c r="BU427" t="b">
        <f t="shared" si="800"/>
        <v>0</v>
      </c>
      <c r="BV427" t="b">
        <f t="shared" si="801"/>
        <v>0</v>
      </c>
      <c r="BW427" t="b">
        <f t="shared" si="802"/>
        <v>0</v>
      </c>
      <c r="BX427" t="b">
        <f t="shared" si="803"/>
        <v>0</v>
      </c>
      <c r="BY427" t="b">
        <f t="shared" si="804"/>
        <v>0</v>
      </c>
      <c r="BZ427" t="b">
        <f t="shared" si="805"/>
        <v>0</v>
      </c>
      <c r="CA427" t="b">
        <f t="shared" si="806"/>
        <v>0</v>
      </c>
      <c r="CB427" t="b">
        <f t="shared" si="807"/>
        <v>0</v>
      </c>
      <c r="CC427">
        <f t="shared" si="808"/>
        <v>1</v>
      </c>
      <c r="CD427" t="b">
        <f t="shared" si="809"/>
        <v>0</v>
      </c>
      <c r="CE427" t="b">
        <f t="shared" si="810"/>
        <v>0</v>
      </c>
      <c r="CF427" t="b">
        <f t="shared" si="811"/>
        <v>0</v>
      </c>
      <c r="CG427" t="b">
        <f t="shared" si="812"/>
        <v>0</v>
      </c>
      <c r="CH427" t="b">
        <f t="shared" si="813"/>
        <v>0</v>
      </c>
      <c r="CI427" t="b">
        <f t="shared" si="814"/>
        <v>0</v>
      </c>
      <c r="CJ427" t="b">
        <f t="shared" si="815"/>
        <v>0</v>
      </c>
      <c r="CK427" t="b">
        <f t="shared" si="816"/>
        <v>0</v>
      </c>
      <c r="CL427" t="b">
        <f t="shared" si="817"/>
        <v>0</v>
      </c>
      <c r="CM427">
        <f t="shared" si="818"/>
        <v>1</v>
      </c>
      <c r="CN427" t="b">
        <f t="shared" si="819"/>
        <v>0</v>
      </c>
      <c r="CO427" t="b">
        <f t="shared" si="820"/>
        <v>0</v>
      </c>
      <c r="CP427" t="b">
        <f t="shared" si="821"/>
        <v>0</v>
      </c>
      <c r="CQ427" t="b">
        <f t="shared" si="822"/>
        <v>0</v>
      </c>
      <c r="CR427" t="b">
        <f t="shared" si="823"/>
        <v>0</v>
      </c>
      <c r="CS427" t="b">
        <f t="shared" si="824"/>
        <v>0</v>
      </c>
      <c r="CT427" t="b">
        <f t="shared" si="825"/>
        <v>0</v>
      </c>
      <c r="CU427" t="b">
        <f t="shared" si="826"/>
        <v>0</v>
      </c>
      <c r="CV427" t="b">
        <f t="shared" si="827"/>
        <v>0</v>
      </c>
      <c r="CW427" t="b">
        <f t="shared" si="828"/>
        <v>0</v>
      </c>
      <c r="CX427" t="b">
        <f t="shared" si="829"/>
        <v>0</v>
      </c>
      <c r="CY427" t="b">
        <f t="shared" si="830"/>
        <v>0</v>
      </c>
      <c r="CZ427" t="b">
        <f t="shared" si="831"/>
        <v>0</v>
      </c>
      <c r="DA427">
        <f t="shared" si="832"/>
        <v>1</v>
      </c>
      <c r="DB427" t="b">
        <f t="shared" si="833"/>
        <v>0</v>
      </c>
      <c r="DC427" t="b">
        <f t="shared" si="834"/>
        <v>0</v>
      </c>
      <c r="DD427" t="b">
        <f t="shared" si="835"/>
        <v>0</v>
      </c>
      <c r="DE427" t="b">
        <f t="shared" si="836"/>
        <v>0</v>
      </c>
      <c r="DF427" t="b">
        <f t="shared" si="837"/>
        <v>0</v>
      </c>
      <c r="DG427" t="b">
        <f t="shared" si="838"/>
        <v>0</v>
      </c>
      <c r="DH427" t="b">
        <f t="shared" si="839"/>
        <v>0</v>
      </c>
      <c r="DI427" t="b">
        <f t="shared" si="840"/>
        <v>0</v>
      </c>
      <c r="DJ427">
        <f t="shared" si="841"/>
        <v>1</v>
      </c>
      <c r="DK427" t="b">
        <f t="shared" si="842"/>
        <v>0</v>
      </c>
      <c r="DL427" t="b">
        <f t="shared" si="843"/>
        <v>0</v>
      </c>
      <c r="DM427" t="b">
        <f t="shared" si="844"/>
        <v>0</v>
      </c>
      <c r="DN427" t="b">
        <f t="shared" si="845"/>
        <v>0</v>
      </c>
      <c r="DO427" t="b">
        <f t="shared" si="846"/>
        <v>0</v>
      </c>
      <c r="DP427" t="b">
        <f t="shared" si="847"/>
        <v>0</v>
      </c>
      <c r="DQ427" t="b">
        <f t="shared" si="848"/>
        <v>0</v>
      </c>
      <c r="DR427" t="b">
        <f t="shared" si="849"/>
        <v>0</v>
      </c>
      <c r="DS427" t="b">
        <f t="shared" si="850"/>
        <v>0</v>
      </c>
      <c r="DT427" t="b">
        <f t="shared" si="851"/>
        <v>0</v>
      </c>
      <c r="DU427" t="b">
        <f t="shared" si="852"/>
        <v>0</v>
      </c>
      <c r="DV427" t="b">
        <f t="shared" si="853"/>
        <v>0</v>
      </c>
      <c r="DW427" t="b">
        <f t="shared" si="854"/>
        <v>0</v>
      </c>
      <c r="DX427" t="b">
        <f t="shared" si="855"/>
        <v>0</v>
      </c>
      <c r="DY427" t="b">
        <f t="shared" si="856"/>
        <v>0</v>
      </c>
      <c r="DZ427" t="b">
        <f t="shared" si="857"/>
        <v>0</v>
      </c>
      <c r="EA427" t="b">
        <f t="shared" si="858"/>
        <v>0</v>
      </c>
      <c r="EB427" t="b">
        <f t="shared" si="859"/>
        <v>0</v>
      </c>
      <c r="EC427" t="b">
        <f t="shared" si="860"/>
        <v>0</v>
      </c>
      <c r="ED427" t="b">
        <f t="shared" si="861"/>
        <v>0</v>
      </c>
      <c r="EE427" t="b">
        <f t="shared" si="862"/>
        <v>0</v>
      </c>
      <c r="EF427" t="b">
        <f t="shared" si="863"/>
        <v>0</v>
      </c>
      <c r="EG427" t="b">
        <f t="shared" si="864"/>
        <v>0</v>
      </c>
      <c r="EH427" t="b">
        <f t="shared" si="865"/>
        <v>0</v>
      </c>
      <c r="EI427" t="b">
        <f t="shared" si="866"/>
        <v>0</v>
      </c>
      <c r="EJ427" t="b">
        <f t="shared" si="867"/>
        <v>0</v>
      </c>
      <c r="EK427" t="b">
        <f t="shared" si="868"/>
        <v>0</v>
      </c>
    </row>
    <row r="428" spans="1:141">
      <c r="A428" t="s">
        <v>2193</v>
      </c>
      <c r="B428" t="s">
        <v>2193</v>
      </c>
      <c r="C428" t="s">
        <v>2194</v>
      </c>
      <c r="D428" s="1">
        <v>43485</v>
      </c>
      <c r="E428" s="2">
        <v>44171.954085648147</v>
      </c>
      <c r="F428" s="2">
        <v>44171.954085648147</v>
      </c>
      <c r="G428">
        <v>4227907</v>
      </c>
      <c r="H428" t="s">
        <v>2195</v>
      </c>
      <c r="I428" s="10" t="s">
        <v>2196</v>
      </c>
      <c r="J428" t="s">
        <v>2067</v>
      </c>
      <c r="K428" s="8" t="b">
        <v>1</v>
      </c>
      <c r="L428" s="10" t="b">
        <v>0</v>
      </c>
      <c r="M428" s="12" t="b">
        <v>0</v>
      </c>
      <c r="N428" t="b">
        <v>0</v>
      </c>
      <c r="O428" t="b">
        <v>0</v>
      </c>
      <c r="P428" t="b">
        <v>0</v>
      </c>
      <c r="Q428">
        <f t="shared" si="745"/>
        <v>1</v>
      </c>
      <c r="R428">
        <f t="shared" si="746"/>
        <v>1</v>
      </c>
      <c r="S428" t="e">
        <f t="shared" ca="1" si="776"/>
        <v>#NAME?</v>
      </c>
      <c r="T428" t="e">
        <f t="shared" ca="1" si="747"/>
        <v>#NAME?</v>
      </c>
      <c r="U428" s="4">
        <f t="shared" si="748"/>
        <v>686.95408564814716</v>
      </c>
      <c r="V428" s="4">
        <f t="shared" si="749"/>
        <v>22.898469521604905</v>
      </c>
      <c r="W428" s="4">
        <f t="shared" si="750"/>
        <v>1</v>
      </c>
      <c r="X428" s="4">
        <f t="shared" si="751"/>
        <v>0</v>
      </c>
      <c r="Y428" s="4">
        <f t="shared" si="752"/>
        <v>0</v>
      </c>
      <c r="Z428" s="4">
        <f t="shared" si="753"/>
        <v>0</v>
      </c>
      <c r="AA428" s="4">
        <f t="shared" si="754"/>
        <v>0</v>
      </c>
      <c r="AB428" s="4">
        <f t="shared" si="755"/>
        <v>0</v>
      </c>
      <c r="AC428" s="4"/>
      <c r="AD428" s="4" t="b">
        <f t="shared" si="756"/>
        <v>0</v>
      </c>
      <c r="AE428" s="4" t="b">
        <f t="shared" si="757"/>
        <v>0</v>
      </c>
      <c r="AF428" s="4" t="b">
        <f t="shared" si="758"/>
        <v>0</v>
      </c>
      <c r="AG428" t="b">
        <f t="shared" si="759"/>
        <v>0</v>
      </c>
      <c r="AH428" t="b">
        <f t="shared" si="760"/>
        <v>0</v>
      </c>
      <c r="AI428" t="b">
        <f t="shared" si="761"/>
        <v>0</v>
      </c>
      <c r="AJ428" t="b">
        <f t="shared" si="762"/>
        <v>0</v>
      </c>
      <c r="AK428" t="b">
        <f t="shared" si="763"/>
        <v>0</v>
      </c>
      <c r="AL428" t="b">
        <f t="shared" si="764"/>
        <v>0</v>
      </c>
      <c r="AM428" t="b">
        <f t="shared" si="765"/>
        <v>0</v>
      </c>
      <c r="AN428" t="b">
        <f t="shared" si="766"/>
        <v>0</v>
      </c>
      <c r="AO428" t="b">
        <f t="shared" si="767"/>
        <v>0</v>
      </c>
      <c r="AP428" t="b">
        <f t="shared" si="768"/>
        <v>0</v>
      </c>
      <c r="AQ428" t="b">
        <f t="shared" si="769"/>
        <v>0</v>
      </c>
      <c r="AR428" t="b">
        <f t="shared" si="770"/>
        <v>0</v>
      </c>
      <c r="AS428" t="b">
        <f t="shared" si="771"/>
        <v>0</v>
      </c>
      <c r="AT428" t="b">
        <f t="shared" si="772"/>
        <v>0</v>
      </c>
      <c r="AU428" t="b">
        <f t="shared" si="773"/>
        <v>0</v>
      </c>
      <c r="AV428" t="b">
        <f t="shared" si="774"/>
        <v>0</v>
      </c>
      <c r="AW428" t="b">
        <f t="shared" si="775"/>
        <v>0</v>
      </c>
      <c r="AX428" t="b">
        <f t="shared" si="777"/>
        <v>0</v>
      </c>
      <c r="AY428" t="b">
        <f t="shared" si="778"/>
        <v>0</v>
      </c>
      <c r="AZ428" t="b">
        <f t="shared" si="779"/>
        <v>0</v>
      </c>
      <c r="BA428" t="b">
        <f t="shared" si="780"/>
        <v>0</v>
      </c>
      <c r="BB428" t="b">
        <f t="shared" si="781"/>
        <v>0</v>
      </c>
      <c r="BC428" t="b">
        <f t="shared" si="782"/>
        <v>0</v>
      </c>
      <c r="BD428" t="b">
        <f t="shared" si="783"/>
        <v>0</v>
      </c>
      <c r="BE428" t="b">
        <f t="shared" si="784"/>
        <v>0</v>
      </c>
      <c r="BF428" t="b">
        <f t="shared" si="785"/>
        <v>0</v>
      </c>
      <c r="BG428" t="b">
        <f t="shared" si="786"/>
        <v>0</v>
      </c>
      <c r="BH428" t="b">
        <f t="shared" si="787"/>
        <v>0</v>
      </c>
      <c r="BI428">
        <f t="shared" si="788"/>
        <v>1</v>
      </c>
      <c r="BJ428" t="b">
        <f t="shared" si="789"/>
        <v>0</v>
      </c>
      <c r="BK428" t="b">
        <f t="shared" si="790"/>
        <v>0</v>
      </c>
      <c r="BL428" t="b">
        <f t="shared" si="791"/>
        <v>0</v>
      </c>
      <c r="BM428" t="b">
        <f t="shared" si="792"/>
        <v>0</v>
      </c>
      <c r="BN428" t="b">
        <f t="shared" si="793"/>
        <v>0</v>
      </c>
      <c r="BO428" t="b">
        <f t="shared" si="794"/>
        <v>0</v>
      </c>
      <c r="BP428" t="b">
        <f t="shared" si="795"/>
        <v>0</v>
      </c>
      <c r="BQ428" t="b">
        <f t="shared" si="796"/>
        <v>0</v>
      </c>
      <c r="BR428" t="b">
        <f t="shared" si="797"/>
        <v>0</v>
      </c>
      <c r="BS428" t="b">
        <f t="shared" si="798"/>
        <v>0</v>
      </c>
      <c r="BT428" t="b">
        <f t="shared" si="799"/>
        <v>0</v>
      </c>
      <c r="BU428" t="b">
        <f t="shared" si="800"/>
        <v>0</v>
      </c>
      <c r="BV428" t="b">
        <f t="shared" si="801"/>
        <v>0</v>
      </c>
      <c r="BW428" t="b">
        <f t="shared" si="802"/>
        <v>0</v>
      </c>
      <c r="BX428" t="b">
        <f t="shared" si="803"/>
        <v>0</v>
      </c>
      <c r="BY428" t="b">
        <f t="shared" si="804"/>
        <v>0</v>
      </c>
      <c r="BZ428" t="b">
        <f t="shared" si="805"/>
        <v>0</v>
      </c>
      <c r="CA428" t="b">
        <f t="shared" si="806"/>
        <v>0</v>
      </c>
      <c r="CB428" t="b">
        <f t="shared" si="807"/>
        <v>0</v>
      </c>
      <c r="CC428" t="b">
        <f t="shared" si="808"/>
        <v>0</v>
      </c>
      <c r="CD428" t="b">
        <f t="shared" si="809"/>
        <v>0</v>
      </c>
      <c r="CE428" t="b">
        <f t="shared" si="810"/>
        <v>0</v>
      </c>
      <c r="CF428" t="b">
        <f t="shared" si="811"/>
        <v>0</v>
      </c>
      <c r="CG428" t="b">
        <f t="shared" si="812"/>
        <v>0</v>
      </c>
      <c r="CH428" t="b">
        <f t="shared" si="813"/>
        <v>0</v>
      </c>
      <c r="CI428" t="b">
        <f t="shared" si="814"/>
        <v>0</v>
      </c>
      <c r="CJ428" t="b">
        <f t="shared" si="815"/>
        <v>0</v>
      </c>
      <c r="CK428" t="b">
        <f t="shared" si="816"/>
        <v>0</v>
      </c>
      <c r="CL428" t="b">
        <f t="shared" si="817"/>
        <v>0</v>
      </c>
      <c r="CM428">
        <f t="shared" si="818"/>
        <v>1</v>
      </c>
      <c r="CN428" t="b">
        <f t="shared" si="819"/>
        <v>0</v>
      </c>
      <c r="CO428" t="b">
        <f t="shared" si="820"/>
        <v>0</v>
      </c>
      <c r="CP428" t="b">
        <f t="shared" si="821"/>
        <v>0</v>
      </c>
      <c r="CQ428" t="b">
        <f t="shared" si="822"/>
        <v>0</v>
      </c>
      <c r="CR428" t="b">
        <f t="shared" si="823"/>
        <v>0</v>
      </c>
      <c r="CS428" t="b">
        <f t="shared" si="824"/>
        <v>0</v>
      </c>
      <c r="CT428" t="b">
        <f t="shared" si="825"/>
        <v>0</v>
      </c>
      <c r="CU428" t="b">
        <f t="shared" si="826"/>
        <v>0</v>
      </c>
      <c r="CV428">
        <f t="shared" si="827"/>
        <v>1</v>
      </c>
      <c r="CW428" t="b">
        <f t="shared" si="828"/>
        <v>0</v>
      </c>
      <c r="CX428" t="b">
        <f t="shared" si="829"/>
        <v>0</v>
      </c>
      <c r="CY428" t="b">
        <f t="shared" si="830"/>
        <v>0</v>
      </c>
      <c r="CZ428" t="b">
        <f t="shared" si="831"/>
        <v>0</v>
      </c>
      <c r="DA428" t="b">
        <f t="shared" si="832"/>
        <v>0</v>
      </c>
      <c r="DB428" t="b">
        <f t="shared" si="833"/>
        <v>0</v>
      </c>
      <c r="DC428" t="b">
        <f t="shared" si="834"/>
        <v>0</v>
      </c>
      <c r="DD428" t="b">
        <f t="shared" si="835"/>
        <v>0</v>
      </c>
      <c r="DE428" t="b">
        <f t="shared" si="836"/>
        <v>0</v>
      </c>
      <c r="DF428" t="b">
        <f t="shared" si="837"/>
        <v>0</v>
      </c>
      <c r="DG428" t="b">
        <f t="shared" si="838"/>
        <v>0</v>
      </c>
      <c r="DH428" t="b">
        <f t="shared" si="839"/>
        <v>0</v>
      </c>
      <c r="DI428" t="b">
        <f t="shared" si="840"/>
        <v>0</v>
      </c>
      <c r="DJ428" t="b">
        <f t="shared" si="841"/>
        <v>0</v>
      </c>
      <c r="DK428" t="b">
        <f t="shared" si="842"/>
        <v>0</v>
      </c>
      <c r="DL428" t="b">
        <f t="shared" si="843"/>
        <v>0</v>
      </c>
      <c r="DM428" t="b">
        <f t="shared" si="844"/>
        <v>0</v>
      </c>
      <c r="DN428" t="b">
        <f t="shared" si="845"/>
        <v>0</v>
      </c>
      <c r="DO428" t="b">
        <f t="shared" si="846"/>
        <v>0</v>
      </c>
      <c r="DP428" t="b">
        <f t="shared" si="847"/>
        <v>0</v>
      </c>
      <c r="DQ428" t="b">
        <f t="shared" si="848"/>
        <v>0</v>
      </c>
      <c r="DR428" t="b">
        <f t="shared" si="849"/>
        <v>0</v>
      </c>
      <c r="DS428" t="b">
        <f t="shared" si="850"/>
        <v>0</v>
      </c>
      <c r="DT428" t="b">
        <f t="shared" si="851"/>
        <v>0</v>
      </c>
      <c r="DU428" t="b">
        <f t="shared" si="852"/>
        <v>0</v>
      </c>
      <c r="DV428" t="b">
        <f t="shared" si="853"/>
        <v>0</v>
      </c>
      <c r="DW428" t="b">
        <f t="shared" si="854"/>
        <v>0</v>
      </c>
      <c r="DX428" t="b">
        <f t="shared" si="855"/>
        <v>0</v>
      </c>
      <c r="DY428" t="b">
        <f t="shared" si="856"/>
        <v>0</v>
      </c>
      <c r="DZ428" t="b">
        <f t="shared" si="857"/>
        <v>0</v>
      </c>
      <c r="EA428" t="b">
        <f t="shared" si="858"/>
        <v>0</v>
      </c>
      <c r="EB428" t="b">
        <f t="shared" si="859"/>
        <v>0</v>
      </c>
      <c r="EC428" t="b">
        <f t="shared" si="860"/>
        <v>0</v>
      </c>
      <c r="ED428" t="b">
        <f t="shared" si="861"/>
        <v>0</v>
      </c>
      <c r="EE428" t="b">
        <f t="shared" si="862"/>
        <v>0</v>
      </c>
      <c r="EF428" t="b">
        <f t="shared" si="863"/>
        <v>0</v>
      </c>
      <c r="EG428" t="b">
        <f t="shared" si="864"/>
        <v>0</v>
      </c>
      <c r="EH428" t="b">
        <f t="shared" si="865"/>
        <v>0</v>
      </c>
      <c r="EI428" t="b">
        <f t="shared" si="866"/>
        <v>0</v>
      </c>
      <c r="EJ428" t="b">
        <f t="shared" si="867"/>
        <v>0</v>
      </c>
      <c r="EK428" t="b">
        <f t="shared" si="868"/>
        <v>0</v>
      </c>
    </row>
    <row r="429" spans="1:141">
      <c r="A429" t="s">
        <v>2197</v>
      </c>
      <c r="B429" t="s">
        <v>2197</v>
      </c>
      <c r="C429" t="s">
        <v>2198</v>
      </c>
      <c r="D429" s="1">
        <v>43192</v>
      </c>
      <c r="E429" s="2">
        <v>43290.928078703706</v>
      </c>
      <c r="F429" s="2">
        <v>43290.928078703706</v>
      </c>
      <c r="G429">
        <v>110964206</v>
      </c>
      <c r="H429" t="s">
        <v>2199</v>
      </c>
      <c r="I429" s="10" t="s">
        <v>160</v>
      </c>
      <c r="J429" t="s">
        <v>147</v>
      </c>
      <c r="K429" s="8" t="b">
        <v>0</v>
      </c>
      <c r="L429" s="10" t="b">
        <v>0</v>
      </c>
      <c r="M429" s="12" t="b">
        <v>0</v>
      </c>
      <c r="N429" t="b">
        <v>0</v>
      </c>
      <c r="O429" t="b">
        <v>0</v>
      </c>
      <c r="P429" t="b">
        <v>0</v>
      </c>
      <c r="Q429">
        <f t="shared" si="745"/>
        <v>2</v>
      </c>
      <c r="R429">
        <f t="shared" si="746"/>
        <v>4</v>
      </c>
      <c r="S429" t="e">
        <f t="shared" ca="1" si="776"/>
        <v>#NAME?</v>
      </c>
      <c r="T429" t="e">
        <f t="shared" ca="1" si="747"/>
        <v>#NAME?</v>
      </c>
      <c r="U429" s="4">
        <f t="shared" si="748"/>
        <v>98.928078703705978</v>
      </c>
      <c r="V429" s="4">
        <f t="shared" si="749"/>
        <v>3.2976026234568661</v>
      </c>
      <c r="W429" s="4">
        <f t="shared" si="750"/>
        <v>0</v>
      </c>
      <c r="X429" s="4">
        <f t="shared" si="751"/>
        <v>0</v>
      </c>
      <c r="Y429" s="4">
        <f t="shared" si="752"/>
        <v>0</v>
      </c>
      <c r="Z429" s="4">
        <f t="shared" si="753"/>
        <v>0</v>
      </c>
      <c r="AA429" s="4">
        <f t="shared" si="754"/>
        <v>0</v>
      </c>
      <c r="AB429" s="4">
        <f t="shared" si="755"/>
        <v>0</v>
      </c>
      <c r="AC429" s="4"/>
      <c r="AD429" s="4" t="b">
        <f t="shared" si="756"/>
        <v>0</v>
      </c>
      <c r="AE429" s="4" t="b">
        <f t="shared" si="757"/>
        <v>0</v>
      </c>
      <c r="AF429" s="4" t="b">
        <f t="shared" si="758"/>
        <v>0</v>
      </c>
      <c r="AG429" t="b">
        <f t="shared" si="759"/>
        <v>0</v>
      </c>
      <c r="AH429" t="b">
        <f t="shared" si="760"/>
        <v>0</v>
      </c>
      <c r="AI429" t="b">
        <f t="shared" si="761"/>
        <v>0</v>
      </c>
      <c r="AJ429" t="b">
        <f t="shared" si="762"/>
        <v>0</v>
      </c>
      <c r="AK429" t="b">
        <f t="shared" si="763"/>
        <v>0</v>
      </c>
      <c r="AL429" t="b">
        <f t="shared" si="764"/>
        <v>0</v>
      </c>
      <c r="AM429" t="b">
        <f t="shared" si="765"/>
        <v>0</v>
      </c>
      <c r="AN429" t="b">
        <f t="shared" si="766"/>
        <v>0</v>
      </c>
      <c r="AO429" t="b">
        <f t="shared" si="767"/>
        <v>0</v>
      </c>
      <c r="AP429" t="b">
        <f t="shared" si="768"/>
        <v>0</v>
      </c>
      <c r="AQ429" t="b">
        <f t="shared" si="769"/>
        <v>0</v>
      </c>
      <c r="AR429" t="b">
        <f t="shared" si="770"/>
        <v>0</v>
      </c>
      <c r="AS429" t="b">
        <f t="shared" si="771"/>
        <v>0</v>
      </c>
      <c r="AT429" t="b">
        <f t="shared" si="772"/>
        <v>0</v>
      </c>
      <c r="AU429" t="b">
        <f t="shared" si="773"/>
        <v>0</v>
      </c>
      <c r="AV429" t="b">
        <f t="shared" si="774"/>
        <v>0</v>
      </c>
      <c r="AW429" t="b">
        <f t="shared" si="775"/>
        <v>0</v>
      </c>
      <c r="AX429" t="b">
        <f t="shared" si="777"/>
        <v>0</v>
      </c>
      <c r="AY429" t="b">
        <f t="shared" si="778"/>
        <v>0</v>
      </c>
      <c r="AZ429" t="b">
        <f t="shared" si="779"/>
        <v>0</v>
      </c>
      <c r="BA429" t="b">
        <f t="shared" si="780"/>
        <v>0</v>
      </c>
      <c r="BB429" t="b">
        <f t="shared" si="781"/>
        <v>0</v>
      </c>
      <c r="BC429" t="b">
        <f t="shared" si="782"/>
        <v>0</v>
      </c>
      <c r="BD429" t="b">
        <f t="shared" si="783"/>
        <v>0</v>
      </c>
      <c r="BE429" t="b">
        <f t="shared" si="784"/>
        <v>0</v>
      </c>
      <c r="BF429" t="b">
        <f t="shared" si="785"/>
        <v>0</v>
      </c>
      <c r="BG429" t="b">
        <f t="shared" si="786"/>
        <v>0</v>
      </c>
      <c r="BH429" t="b">
        <f t="shared" si="787"/>
        <v>0</v>
      </c>
      <c r="BI429">
        <f t="shared" si="788"/>
        <v>1</v>
      </c>
      <c r="BJ429" t="b">
        <f t="shared" si="789"/>
        <v>0</v>
      </c>
      <c r="BK429" t="b">
        <f t="shared" si="790"/>
        <v>0</v>
      </c>
      <c r="BL429" t="b">
        <f t="shared" si="791"/>
        <v>0</v>
      </c>
      <c r="BM429" t="b">
        <f t="shared" si="792"/>
        <v>0</v>
      </c>
      <c r="BN429" t="b">
        <f t="shared" si="793"/>
        <v>0</v>
      </c>
      <c r="BO429" t="b">
        <f t="shared" si="794"/>
        <v>0</v>
      </c>
      <c r="BP429" t="b">
        <f t="shared" si="795"/>
        <v>0</v>
      </c>
      <c r="BQ429" t="b">
        <f t="shared" si="796"/>
        <v>0</v>
      </c>
      <c r="BR429" t="b">
        <f t="shared" si="797"/>
        <v>0</v>
      </c>
      <c r="BS429" t="b">
        <f t="shared" si="798"/>
        <v>0</v>
      </c>
      <c r="BT429" t="b">
        <f t="shared" si="799"/>
        <v>0</v>
      </c>
      <c r="BU429" t="b">
        <f t="shared" si="800"/>
        <v>0</v>
      </c>
      <c r="BV429" t="b">
        <f t="shared" si="801"/>
        <v>0</v>
      </c>
      <c r="BW429" t="b">
        <f t="shared" si="802"/>
        <v>0</v>
      </c>
      <c r="BX429" t="b">
        <f t="shared" si="803"/>
        <v>0</v>
      </c>
      <c r="BY429" t="b">
        <f t="shared" si="804"/>
        <v>0</v>
      </c>
      <c r="BZ429" t="b">
        <f t="shared" si="805"/>
        <v>0</v>
      </c>
      <c r="CA429" t="b">
        <f t="shared" si="806"/>
        <v>0</v>
      </c>
      <c r="CB429" t="b">
        <f t="shared" si="807"/>
        <v>0</v>
      </c>
      <c r="CC429" t="b">
        <f t="shared" si="808"/>
        <v>0</v>
      </c>
      <c r="CD429" t="b">
        <f t="shared" si="809"/>
        <v>0</v>
      </c>
      <c r="CE429" t="b">
        <f t="shared" si="810"/>
        <v>0</v>
      </c>
      <c r="CF429" t="b">
        <f t="shared" si="811"/>
        <v>0</v>
      </c>
      <c r="CG429" t="b">
        <f t="shared" si="812"/>
        <v>0</v>
      </c>
      <c r="CH429" t="b">
        <f t="shared" si="813"/>
        <v>0</v>
      </c>
      <c r="CI429" t="b">
        <f t="shared" si="814"/>
        <v>0</v>
      </c>
      <c r="CJ429" t="b">
        <f t="shared" si="815"/>
        <v>0</v>
      </c>
      <c r="CK429" t="b">
        <f t="shared" si="816"/>
        <v>0</v>
      </c>
      <c r="CL429" t="b">
        <f t="shared" si="817"/>
        <v>0</v>
      </c>
      <c r="CM429" t="b">
        <f t="shared" si="818"/>
        <v>0</v>
      </c>
      <c r="CN429" t="b">
        <f t="shared" si="819"/>
        <v>0</v>
      </c>
      <c r="CO429" t="b">
        <f t="shared" si="820"/>
        <v>0</v>
      </c>
      <c r="CP429" t="b">
        <f t="shared" si="821"/>
        <v>0</v>
      </c>
      <c r="CQ429" t="b">
        <f t="shared" si="822"/>
        <v>0</v>
      </c>
      <c r="CR429" t="b">
        <f t="shared" si="823"/>
        <v>0</v>
      </c>
      <c r="CS429" t="b">
        <f t="shared" si="824"/>
        <v>0</v>
      </c>
      <c r="CT429" t="b">
        <f t="shared" si="825"/>
        <v>0</v>
      </c>
      <c r="CU429" t="b">
        <f t="shared" si="826"/>
        <v>0</v>
      </c>
      <c r="CV429">
        <f t="shared" si="827"/>
        <v>1</v>
      </c>
      <c r="CW429" t="b">
        <f t="shared" si="828"/>
        <v>0</v>
      </c>
      <c r="CX429" t="b">
        <f t="shared" si="829"/>
        <v>0</v>
      </c>
      <c r="CY429" t="b">
        <f t="shared" si="830"/>
        <v>0</v>
      </c>
      <c r="CZ429" t="b">
        <f t="shared" si="831"/>
        <v>0</v>
      </c>
      <c r="DA429" t="b">
        <f t="shared" si="832"/>
        <v>0</v>
      </c>
      <c r="DB429" t="b">
        <f t="shared" si="833"/>
        <v>0</v>
      </c>
      <c r="DC429" t="b">
        <f t="shared" si="834"/>
        <v>0</v>
      </c>
      <c r="DD429" t="b">
        <f t="shared" si="835"/>
        <v>0</v>
      </c>
      <c r="DE429" t="b">
        <f t="shared" si="836"/>
        <v>0</v>
      </c>
      <c r="DF429" t="b">
        <f t="shared" si="837"/>
        <v>0</v>
      </c>
      <c r="DG429" t="b">
        <f t="shared" si="838"/>
        <v>0</v>
      </c>
      <c r="DH429" t="b">
        <f t="shared" si="839"/>
        <v>0</v>
      </c>
      <c r="DI429" t="b">
        <f t="shared" si="840"/>
        <v>0</v>
      </c>
      <c r="DJ429" t="b">
        <f t="shared" si="841"/>
        <v>0</v>
      </c>
      <c r="DK429" t="b">
        <f t="shared" si="842"/>
        <v>0</v>
      </c>
      <c r="DL429" t="b">
        <f t="shared" si="843"/>
        <v>0</v>
      </c>
      <c r="DM429" t="b">
        <f t="shared" si="844"/>
        <v>0</v>
      </c>
      <c r="DN429" t="b">
        <f t="shared" si="845"/>
        <v>0</v>
      </c>
      <c r="DO429" t="b">
        <f t="shared" si="846"/>
        <v>0</v>
      </c>
      <c r="DP429" t="b">
        <f t="shared" si="847"/>
        <v>0</v>
      </c>
      <c r="DQ429" t="b">
        <f t="shared" si="848"/>
        <v>0</v>
      </c>
      <c r="DR429" t="b">
        <f t="shared" si="849"/>
        <v>0</v>
      </c>
      <c r="DS429" t="b">
        <f t="shared" si="850"/>
        <v>0</v>
      </c>
      <c r="DT429" t="b">
        <f t="shared" si="851"/>
        <v>0</v>
      </c>
      <c r="DU429" t="b">
        <f t="shared" si="852"/>
        <v>0</v>
      </c>
      <c r="DV429" t="b">
        <f t="shared" si="853"/>
        <v>0</v>
      </c>
      <c r="DW429" t="b">
        <f t="shared" si="854"/>
        <v>0</v>
      </c>
      <c r="DX429" t="b">
        <f t="shared" si="855"/>
        <v>0</v>
      </c>
      <c r="DY429" t="b">
        <f t="shared" si="856"/>
        <v>0</v>
      </c>
      <c r="DZ429" t="b">
        <f t="shared" si="857"/>
        <v>0</v>
      </c>
      <c r="EA429" t="b">
        <f t="shared" si="858"/>
        <v>0</v>
      </c>
      <c r="EB429" t="b">
        <f t="shared" si="859"/>
        <v>0</v>
      </c>
      <c r="EC429" t="b">
        <f t="shared" si="860"/>
        <v>0</v>
      </c>
      <c r="ED429" t="b">
        <f t="shared" si="861"/>
        <v>0</v>
      </c>
      <c r="EE429" t="b">
        <f t="shared" si="862"/>
        <v>0</v>
      </c>
      <c r="EF429" t="b">
        <f t="shared" si="863"/>
        <v>0</v>
      </c>
      <c r="EG429" t="b">
        <f t="shared" si="864"/>
        <v>0</v>
      </c>
      <c r="EH429" t="b">
        <f t="shared" si="865"/>
        <v>0</v>
      </c>
      <c r="EI429" t="b">
        <f t="shared" si="866"/>
        <v>0</v>
      </c>
      <c r="EJ429" t="b">
        <f t="shared" si="867"/>
        <v>0</v>
      </c>
      <c r="EK429" t="b">
        <f t="shared" si="868"/>
        <v>0</v>
      </c>
    </row>
    <row r="430" spans="1:141">
      <c r="A430" t="s">
        <v>2200</v>
      </c>
      <c r="B430" t="s">
        <v>2201</v>
      </c>
      <c r="C430" t="s">
        <v>2202</v>
      </c>
      <c r="D430" s="1">
        <v>44181</v>
      </c>
      <c r="E430" s="2">
        <v>44250.142870370371</v>
      </c>
      <c r="F430" s="2">
        <v>44525.922361111108</v>
      </c>
      <c r="G430">
        <v>358822</v>
      </c>
      <c r="H430" t="s">
        <v>2203</v>
      </c>
      <c r="I430" s="10" t="s">
        <v>2204</v>
      </c>
      <c r="J430" t="s">
        <v>974</v>
      </c>
      <c r="K430" s="8" t="b">
        <v>1</v>
      </c>
      <c r="L430" s="10" t="b">
        <v>0</v>
      </c>
      <c r="M430" s="12" t="b">
        <v>0</v>
      </c>
      <c r="N430" t="b">
        <v>0</v>
      </c>
      <c r="O430" t="b">
        <v>0</v>
      </c>
      <c r="P430" t="b">
        <v>0</v>
      </c>
      <c r="Q430">
        <f t="shared" si="745"/>
        <v>4</v>
      </c>
      <c r="R430">
        <f t="shared" si="746"/>
        <v>12</v>
      </c>
      <c r="S430" t="e">
        <f t="shared" ca="1" si="776"/>
        <v>#NAME?</v>
      </c>
      <c r="T430" t="e">
        <f t="shared" ca="1" si="747"/>
        <v>#NAME?</v>
      </c>
      <c r="U430" s="4">
        <f t="shared" si="748"/>
        <v>69.142870370371384</v>
      </c>
      <c r="V430" s="4">
        <f t="shared" si="749"/>
        <v>2.304762345679046</v>
      </c>
      <c r="W430" s="4">
        <f t="shared" si="750"/>
        <v>1</v>
      </c>
      <c r="X430" s="4">
        <f t="shared" si="751"/>
        <v>0</v>
      </c>
      <c r="Y430" s="4">
        <f t="shared" si="752"/>
        <v>0</v>
      </c>
      <c r="Z430" s="4">
        <f t="shared" si="753"/>
        <v>0</v>
      </c>
      <c r="AA430" s="4">
        <f t="shared" si="754"/>
        <v>0</v>
      </c>
      <c r="AB430" s="4">
        <f t="shared" si="755"/>
        <v>0</v>
      </c>
      <c r="AC430" s="4"/>
      <c r="AD430" s="4" t="b">
        <f t="shared" si="756"/>
        <v>0</v>
      </c>
      <c r="AE430" s="4" t="b">
        <f t="shared" si="757"/>
        <v>0</v>
      </c>
      <c r="AF430" s="4" t="b">
        <f t="shared" si="758"/>
        <v>0</v>
      </c>
      <c r="AG430" t="b">
        <f t="shared" si="759"/>
        <v>0</v>
      </c>
      <c r="AH430" t="b">
        <f t="shared" si="760"/>
        <v>0</v>
      </c>
      <c r="AI430" t="b">
        <f t="shared" si="761"/>
        <v>0</v>
      </c>
      <c r="AJ430" t="b">
        <f t="shared" si="762"/>
        <v>0</v>
      </c>
      <c r="AK430" t="b">
        <f t="shared" si="763"/>
        <v>0</v>
      </c>
      <c r="AL430" t="b">
        <f t="shared" si="764"/>
        <v>0</v>
      </c>
      <c r="AM430" t="b">
        <f t="shared" si="765"/>
        <v>0</v>
      </c>
      <c r="AN430" t="b">
        <f t="shared" si="766"/>
        <v>0</v>
      </c>
      <c r="AO430" t="b">
        <f t="shared" si="767"/>
        <v>0</v>
      </c>
      <c r="AP430" t="b">
        <f t="shared" si="768"/>
        <v>0</v>
      </c>
      <c r="AQ430" t="b">
        <f t="shared" si="769"/>
        <v>0</v>
      </c>
      <c r="AR430" t="b">
        <f t="shared" si="770"/>
        <v>0</v>
      </c>
      <c r="AS430" t="b">
        <f t="shared" si="771"/>
        <v>0</v>
      </c>
      <c r="AT430" t="b">
        <f t="shared" si="772"/>
        <v>0</v>
      </c>
      <c r="AU430" t="b">
        <f t="shared" si="773"/>
        <v>0</v>
      </c>
      <c r="AV430" t="b">
        <f t="shared" si="774"/>
        <v>0</v>
      </c>
      <c r="AW430" t="b">
        <f t="shared" si="775"/>
        <v>0</v>
      </c>
      <c r="AX430" t="b">
        <f t="shared" si="777"/>
        <v>0</v>
      </c>
      <c r="AY430" t="b">
        <f t="shared" si="778"/>
        <v>0</v>
      </c>
      <c r="AZ430">
        <f t="shared" si="779"/>
        <v>1</v>
      </c>
      <c r="BA430" t="b">
        <f t="shared" si="780"/>
        <v>0</v>
      </c>
      <c r="BB430" t="b">
        <f t="shared" si="781"/>
        <v>0</v>
      </c>
      <c r="BC430" t="b">
        <f t="shared" si="782"/>
        <v>0</v>
      </c>
      <c r="BD430" t="b">
        <f t="shared" si="783"/>
        <v>0</v>
      </c>
      <c r="BE430" t="b">
        <f t="shared" si="784"/>
        <v>0</v>
      </c>
      <c r="BF430" t="b">
        <f t="shared" si="785"/>
        <v>0</v>
      </c>
      <c r="BG430" t="b">
        <f t="shared" si="786"/>
        <v>0</v>
      </c>
      <c r="BH430" t="b">
        <f t="shared" si="787"/>
        <v>0</v>
      </c>
      <c r="BI430">
        <f t="shared" si="788"/>
        <v>1</v>
      </c>
      <c r="BJ430" t="b">
        <f t="shared" si="789"/>
        <v>0</v>
      </c>
      <c r="BK430" t="b">
        <f t="shared" si="790"/>
        <v>0</v>
      </c>
      <c r="BL430" t="b">
        <f t="shared" si="791"/>
        <v>0</v>
      </c>
      <c r="BM430" t="b">
        <f t="shared" si="792"/>
        <v>0</v>
      </c>
      <c r="BN430" t="b">
        <f t="shared" si="793"/>
        <v>0</v>
      </c>
      <c r="BO430" t="b">
        <f t="shared" si="794"/>
        <v>0</v>
      </c>
      <c r="BP430" t="b">
        <f t="shared" si="795"/>
        <v>0</v>
      </c>
      <c r="BQ430" t="b">
        <f t="shared" si="796"/>
        <v>0</v>
      </c>
      <c r="BR430" t="b">
        <f t="shared" si="797"/>
        <v>0</v>
      </c>
      <c r="BS430" t="b">
        <f t="shared" si="798"/>
        <v>0</v>
      </c>
      <c r="BT430" t="b">
        <f t="shared" si="799"/>
        <v>0</v>
      </c>
      <c r="BU430" t="b">
        <f t="shared" si="800"/>
        <v>0</v>
      </c>
      <c r="BV430" t="b">
        <f t="shared" si="801"/>
        <v>0</v>
      </c>
      <c r="BW430" t="b">
        <f t="shared" si="802"/>
        <v>0</v>
      </c>
      <c r="BX430" t="b">
        <f t="shared" si="803"/>
        <v>0</v>
      </c>
      <c r="BY430" t="b">
        <f t="shared" si="804"/>
        <v>0</v>
      </c>
      <c r="BZ430" t="b">
        <f t="shared" si="805"/>
        <v>0</v>
      </c>
      <c r="CA430" t="b">
        <f t="shared" si="806"/>
        <v>0</v>
      </c>
      <c r="CB430" t="b">
        <f t="shared" si="807"/>
        <v>0</v>
      </c>
      <c r="CC430" t="b">
        <f t="shared" si="808"/>
        <v>0</v>
      </c>
      <c r="CD430" t="b">
        <f t="shared" si="809"/>
        <v>0</v>
      </c>
      <c r="CE430" t="b">
        <f t="shared" si="810"/>
        <v>0</v>
      </c>
      <c r="CF430" t="b">
        <f t="shared" si="811"/>
        <v>0</v>
      </c>
      <c r="CG430" t="b">
        <f t="shared" si="812"/>
        <v>0</v>
      </c>
      <c r="CH430" t="b">
        <f t="shared" si="813"/>
        <v>0</v>
      </c>
      <c r="CI430" t="b">
        <f t="shared" si="814"/>
        <v>0</v>
      </c>
      <c r="CJ430" t="b">
        <f t="shared" si="815"/>
        <v>0</v>
      </c>
      <c r="CK430" t="b">
        <f t="shared" si="816"/>
        <v>0</v>
      </c>
      <c r="CL430" t="b">
        <f t="shared" si="817"/>
        <v>0</v>
      </c>
      <c r="CM430">
        <f t="shared" si="818"/>
        <v>1</v>
      </c>
      <c r="CN430" t="b">
        <f t="shared" si="819"/>
        <v>0</v>
      </c>
      <c r="CO430" t="b">
        <f t="shared" si="820"/>
        <v>0</v>
      </c>
      <c r="CP430" t="b">
        <f t="shared" si="821"/>
        <v>0</v>
      </c>
      <c r="CQ430" t="b">
        <f t="shared" si="822"/>
        <v>0</v>
      </c>
      <c r="CR430" t="b">
        <f t="shared" si="823"/>
        <v>0</v>
      </c>
      <c r="CS430" t="b">
        <f t="shared" si="824"/>
        <v>0</v>
      </c>
      <c r="CT430" t="b">
        <f t="shared" si="825"/>
        <v>0</v>
      </c>
      <c r="CU430" t="b">
        <f t="shared" si="826"/>
        <v>0</v>
      </c>
      <c r="CV430">
        <f t="shared" si="827"/>
        <v>1</v>
      </c>
      <c r="CW430" t="b">
        <f t="shared" si="828"/>
        <v>0</v>
      </c>
      <c r="CX430" t="b">
        <f t="shared" si="829"/>
        <v>0</v>
      </c>
      <c r="CY430" t="b">
        <f t="shared" si="830"/>
        <v>0</v>
      </c>
      <c r="CZ430" t="b">
        <f t="shared" si="831"/>
        <v>0</v>
      </c>
      <c r="DA430">
        <f t="shared" si="832"/>
        <v>1</v>
      </c>
      <c r="DB430">
        <f t="shared" si="833"/>
        <v>1</v>
      </c>
      <c r="DC430" t="b">
        <f t="shared" si="834"/>
        <v>0</v>
      </c>
      <c r="DD430" t="b">
        <f t="shared" si="835"/>
        <v>0</v>
      </c>
      <c r="DE430" t="b">
        <f t="shared" si="836"/>
        <v>0</v>
      </c>
      <c r="DF430" t="b">
        <f t="shared" si="837"/>
        <v>0</v>
      </c>
      <c r="DG430" t="b">
        <f t="shared" si="838"/>
        <v>0</v>
      </c>
      <c r="DH430" t="b">
        <f t="shared" si="839"/>
        <v>0</v>
      </c>
      <c r="DI430" t="b">
        <f t="shared" si="840"/>
        <v>0</v>
      </c>
      <c r="DJ430" t="b">
        <f t="shared" si="841"/>
        <v>0</v>
      </c>
      <c r="DK430" t="b">
        <f t="shared" si="842"/>
        <v>0</v>
      </c>
      <c r="DL430" t="b">
        <f t="shared" si="843"/>
        <v>0</v>
      </c>
      <c r="DM430" t="b">
        <f t="shared" si="844"/>
        <v>0</v>
      </c>
      <c r="DN430" t="b">
        <f t="shared" si="845"/>
        <v>0</v>
      </c>
      <c r="DO430" t="b">
        <f t="shared" si="846"/>
        <v>0</v>
      </c>
      <c r="DP430" t="b">
        <f t="shared" si="847"/>
        <v>0</v>
      </c>
      <c r="DQ430" t="b">
        <f t="shared" si="848"/>
        <v>0</v>
      </c>
      <c r="DR430" t="b">
        <f t="shared" si="849"/>
        <v>0</v>
      </c>
      <c r="DS430" t="b">
        <f t="shared" si="850"/>
        <v>0</v>
      </c>
      <c r="DT430" t="b">
        <f t="shared" si="851"/>
        <v>0</v>
      </c>
      <c r="DU430" t="b">
        <f t="shared" si="852"/>
        <v>0</v>
      </c>
      <c r="DV430" t="b">
        <f t="shared" si="853"/>
        <v>0</v>
      </c>
      <c r="DW430" t="b">
        <f t="shared" si="854"/>
        <v>0</v>
      </c>
      <c r="DX430" t="b">
        <f t="shared" si="855"/>
        <v>0</v>
      </c>
      <c r="DY430" t="b">
        <f t="shared" si="856"/>
        <v>0</v>
      </c>
      <c r="DZ430" t="b">
        <f t="shared" si="857"/>
        <v>0</v>
      </c>
      <c r="EA430" t="b">
        <f t="shared" si="858"/>
        <v>0</v>
      </c>
      <c r="EB430" t="b">
        <f t="shared" si="859"/>
        <v>0</v>
      </c>
      <c r="EC430" t="b">
        <f t="shared" si="860"/>
        <v>0</v>
      </c>
      <c r="ED430" t="b">
        <f t="shared" si="861"/>
        <v>0</v>
      </c>
      <c r="EE430" t="b">
        <f t="shared" si="862"/>
        <v>0</v>
      </c>
      <c r="EF430" t="b">
        <f t="shared" si="863"/>
        <v>0</v>
      </c>
      <c r="EG430" t="b">
        <f t="shared" si="864"/>
        <v>0</v>
      </c>
      <c r="EH430" t="b">
        <f t="shared" si="865"/>
        <v>0</v>
      </c>
      <c r="EI430" t="b">
        <f t="shared" si="866"/>
        <v>0</v>
      </c>
      <c r="EJ430" t="b">
        <f t="shared" si="867"/>
        <v>0</v>
      </c>
      <c r="EK430" t="b">
        <f t="shared" si="868"/>
        <v>0</v>
      </c>
    </row>
    <row r="431" spans="1:141">
      <c r="A431" t="s">
        <v>2205</v>
      </c>
      <c r="B431" t="s">
        <v>2205</v>
      </c>
      <c r="C431" t="s">
        <v>2206</v>
      </c>
      <c r="D431" s="1">
        <v>43078</v>
      </c>
      <c r="E431" s="2">
        <v>43977.116944444446</v>
      </c>
      <c r="F431" s="2">
        <v>43977.116944444446</v>
      </c>
      <c r="G431">
        <v>990919</v>
      </c>
      <c r="H431" t="s">
        <v>2207</v>
      </c>
      <c r="I431" s="10" t="s">
        <v>2208</v>
      </c>
      <c r="J431" t="s">
        <v>147</v>
      </c>
      <c r="K431" s="8" t="b">
        <v>1</v>
      </c>
      <c r="L431" s="10" t="b">
        <v>0</v>
      </c>
      <c r="M431" s="12" t="b">
        <v>0</v>
      </c>
      <c r="N431" t="b">
        <v>0</v>
      </c>
      <c r="O431" t="b">
        <v>0</v>
      </c>
      <c r="P431" t="b">
        <v>0</v>
      </c>
      <c r="Q431">
        <f t="shared" si="745"/>
        <v>7</v>
      </c>
      <c r="R431">
        <f t="shared" si="746"/>
        <v>12</v>
      </c>
      <c r="S431" t="e">
        <f t="shared" ca="1" si="776"/>
        <v>#NAME?</v>
      </c>
      <c r="T431" t="e">
        <f t="shared" ca="1" si="747"/>
        <v>#NAME?</v>
      </c>
      <c r="U431" s="4">
        <f t="shared" si="748"/>
        <v>899.11694444444583</v>
      </c>
      <c r="V431" s="4">
        <f t="shared" si="749"/>
        <v>29.97056481481486</v>
      </c>
      <c r="W431" s="4">
        <f t="shared" si="750"/>
        <v>1</v>
      </c>
      <c r="X431" s="4">
        <f t="shared" si="751"/>
        <v>0</v>
      </c>
      <c r="Y431" s="4">
        <f t="shared" si="752"/>
        <v>0</v>
      </c>
      <c r="Z431" s="4">
        <f t="shared" si="753"/>
        <v>0</v>
      </c>
      <c r="AA431" s="4">
        <f t="shared" si="754"/>
        <v>0</v>
      </c>
      <c r="AB431" s="4">
        <f t="shared" si="755"/>
        <v>0</v>
      </c>
      <c r="AC431" s="4"/>
      <c r="AD431" s="4" t="b">
        <f t="shared" si="756"/>
        <v>0</v>
      </c>
      <c r="AE431" s="4" t="b">
        <f t="shared" si="757"/>
        <v>0</v>
      </c>
      <c r="AF431" s="4" t="b">
        <f t="shared" si="758"/>
        <v>0</v>
      </c>
      <c r="AG431" t="b">
        <f t="shared" si="759"/>
        <v>0</v>
      </c>
      <c r="AH431" t="b">
        <f t="shared" si="760"/>
        <v>0</v>
      </c>
      <c r="AI431" t="b">
        <f t="shared" si="761"/>
        <v>0</v>
      </c>
      <c r="AJ431" t="b">
        <f t="shared" si="762"/>
        <v>0</v>
      </c>
      <c r="AK431" t="b">
        <f t="shared" si="763"/>
        <v>0</v>
      </c>
      <c r="AL431" t="b">
        <f t="shared" si="764"/>
        <v>0</v>
      </c>
      <c r="AM431" t="b">
        <f t="shared" si="765"/>
        <v>0</v>
      </c>
      <c r="AN431" t="b">
        <f t="shared" si="766"/>
        <v>0</v>
      </c>
      <c r="AO431" t="b">
        <f t="shared" si="767"/>
        <v>0</v>
      </c>
      <c r="AP431" t="b">
        <f t="shared" si="768"/>
        <v>0</v>
      </c>
      <c r="AQ431" t="b">
        <f t="shared" si="769"/>
        <v>0</v>
      </c>
      <c r="AR431" t="b">
        <f t="shared" si="770"/>
        <v>0</v>
      </c>
      <c r="AS431" t="b">
        <f t="shared" si="771"/>
        <v>0</v>
      </c>
      <c r="AT431" t="b">
        <f t="shared" si="772"/>
        <v>0</v>
      </c>
      <c r="AU431" t="b">
        <f t="shared" si="773"/>
        <v>0</v>
      </c>
      <c r="AV431" t="b">
        <f t="shared" si="774"/>
        <v>0</v>
      </c>
      <c r="AW431" t="b">
        <f t="shared" si="775"/>
        <v>0</v>
      </c>
      <c r="AX431" t="b">
        <f t="shared" si="777"/>
        <v>0</v>
      </c>
      <c r="AY431" t="b">
        <f t="shared" si="778"/>
        <v>0</v>
      </c>
      <c r="AZ431" t="b">
        <f t="shared" si="779"/>
        <v>0</v>
      </c>
      <c r="BA431" t="b">
        <f t="shared" si="780"/>
        <v>0</v>
      </c>
      <c r="BB431" t="b">
        <f t="shared" si="781"/>
        <v>0</v>
      </c>
      <c r="BC431" t="b">
        <f t="shared" si="782"/>
        <v>0</v>
      </c>
      <c r="BD431" t="b">
        <f t="shared" si="783"/>
        <v>0</v>
      </c>
      <c r="BE431" t="b">
        <f t="shared" si="784"/>
        <v>0</v>
      </c>
      <c r="BF431" t="b">
        <f t="shared" si="785"/>
        <v>0</v>
      </c>
      <c r="BG431" t="b">
        <f t="shared" si="786"/>
        <v>0</v>
      </c>
      <c r="BH431" t="b">
        <f t="shared" si="787"/>
        <v>0</v>
      </c>
      <c r="BI431">
        <f t="shared" si="788"/>
        <v>1</v>
      </c>
      <c r="BJ431" t="b">
        <f t="shared" si="789"/>
        <v>0</v>
      </c>
      <c r="BK431" t="b">
        <f t="shared" si="790"/>
        <v>0</v>
      </c>
      <c r="BL431" t="b">
        <f t="shared" si="791"/>
        <v>0</v>
      </c>
      <c r="BM431" t="b">
        <f t="shared" si="792"/>
        <v>0</v>
      </c>
      <c r="BN431" t="b">
        <f t="shared" si="793"/>
        <v>0</v>
      </c>
      <c r="BO431" t="b">
        <f t="shared" si="794"/>
        <v>0</v>
      </c>
      <c r="BP431" t="b">
        <f t="shared" si="795"/>
        <v>0</v>
      </c>
      <c r="BQ431" t="b">
        <f t="shared" si="796"/>
        <v>0</v>
      </c>
      <c r="BR431" t="b">
        <f t="shared" si="797"/>
        <v>0</v>
      </c>
      <c r="BS431" t="b">
        <f t="shared" si="798"/>
        <v>0</v>
      </c>
      <c r="BT431" t="b">
        <f t="shared" si="799"/>
        <v>0</v>
      </c>
      <c r="BU431" t="b">
        <f t="shared" si="800"/>
        <v>0</v>
      </c>
      <c r="BV431" t="b">
        <f t="shared" si="801"/>
        <v>0</v>
      </c>
      <c r="BW431" t="b">
        <f t="shared" si="802"/>
        <v>0</v>
      </c>
      <c r="BX431" t="b">
        <f t="shared" si="803"/>
        <v>0</v>
      </c>
      <c r="BY431" t="b">
        <f t="shared" si="804"/>
        <v>0</v>
      </c>
      <c r="BZ431" t="b">
        <f t="shared" si="805"/>
        <v>0</v>
      </c>
      <c r="CA431" t="b">
        <f t="shared" si="806"/>
        <v>0</v>
      </c>
      <c r="CB431" t="b">
        <f t="shared" si="807"/>
        <v>0</v>
      </c>
      <c r="CC431" t="b">
        <f t="shared" si="808"/>
        <v>0</v>
      </c>
      <c r="CD431" t="b">
        <f t="shared" si="809"/>
        <v>0</v>
      </c>
      <c r="CE431" t="b">
        <f t="shared" si="810"/>
        <v>0</v>
      </c>
      <c r="CF431" t="b">
        <f t="shared" si="811"/>
        <v>0</v>
      </c>
      <c r="CG431" t="b">
        <f t="shared" si="812"/>
        <v>0</v>
      </c>
      <c r="CH431" t="b">
        <f t="shared" si="813"/>
        <v>0</v>
      </c>
      <c r="CI431" t="b">
        <f t="shared" si="814"/>
        <v>0</v>
      </c>
      <c r="CJ431" t="b">
        <f t="shared" si="815"/>
        <v>0</v>
      </c>
      <c r="CK431" t="b">
        <f t="shared" si="816"/>
        <v>0</v>
      </c>
      <c r="CL431" t="b">
        <f t="shared" si="817"/>
        <v>0</v>
      </c>
      <c r="CM431" t="b">
        <f t="shared" si="818"/>
        <v>0</v>
      </c>
      <c r="CN431" t="b">
        <f t="shared" si="819"/>
        <v>0</v>
      </c>
      <c r="CO431" t="b">
        <f t="shared" si="820"/>
        <v>0</v>
      </c>
      <c r="CP431" t="b">
        <f t="shared" si="821"/>
        <v>0</v>
      </c>
      <c r="CQ431" t="b">
        <f t="shared" si="822"/>
        <v>0</v>
      </c>
      <c r="CR431" t="b">
        <f t="shared" si="823"/>
        <v>0</v>
      </c>
      <c r="CS431" t="b">
        <f t="shared" si="824"/>
        <v>0</v>
      </c>
      <c r="CT431" t="b">
        <f t="shared" si="825"/>
        <v>0</v>
      </c>
      <c r="CU431" t="b">
        <f t="shared" si="826"/>
        <v>0</v>
      </c>
      <c r="CV431">
        <f t="shared" si="827"/>
        <v>1</v>
      </c>
      <c r="CW431" t="b">
        <f t="shared" si="828"/>
        <v>0</v>
      </c>
      <c r="CX431" t="b">
        <f t="shared" si="829"/>
        <v>0</v>
      </c>
      <c r="CY431" t="b">
        <f t="shared" si="830"/>
        <v>0</v>
      </c>
      <c r="CZ431" t="b">
        <f t="shared" si="831"/>
        <v>0</v>
      </c>
      <c r="DA431" t="b">
        <f t="shared" si="832"/>
        <v>0</v>
      </c>
      <c r="DB431" t="b">
        <f t="shared" si="833"/>
        <v>0</v>
      </c>
      <c r="DC431" t="b">
        <f t="shared" si="834"/>
        <v>0</v>
      </c>
      <c r="DD431" t="b">
        <f t="shared" si="835"/>
        <v>0</v>
      </c>
      <c r="DE431" t="b">
        <f t="shared" si="836"/>
        <v>0</v>
      </c>
      <c r="DF431" t="b">
        <f t="shared" si="837"/>
        <v>0</v>
      </c>
      <c r="DG431" t="b">
        <f t="shared" si="838"/>
        <v>0</v>
      </c>
      <c r="DH431" t="b">
        <f t="shared" si="839"/>
        <v>0</v>
      </c>
      <c r="DI431" t="b">
        <f t="shared" si="840"/>
        <v>0</v>
      </c>
      <c r="DJ431" t="b">
        <f t="shared" si="841"/>
        <v>0</v>
      </c>
      <c r="DK431" t="b">
        <f t="shared" si="842"/>
        <v>0</v>
      </c>
      <c r="DL431" t="b">
        <f t="shared" si="843"/>
        <v>0</v>
      </c>
      <c r="DM431" t="b">
        <f t="shared" si="844"/>
        <v>0</v>
      </c>
      <c r="DN431" t="b">
        <f t="shared" si="845"/>
        <v>0</v>
      </c>
      <c r="DO431" t="b">
        <f t="shared" si="846"/>
        <v>0</v>
      </c>
      <c r="DP431" t="b">
        <f t="shared" si="847"/>
        <v>0</v>
      </c>
      <c r="DQ431" t="b">
        <f t="shared" si="848"/>
        <v>0</v>
      </c>
      <c r="DR431" t="b">
        <f t="shared" si="849"/>
        <v>0</v>
      </c>
      <c r="DS431" t="b">
        <f t="shared" si="850"/>
        <v>0</v>
      </c>
      <c r="DT431" t="b">
        <f t="shared" si="851"/>
        <v>0</v>
      </c>
      <c r="DU431" t="b">
        <f t="shared" si="852"/>
        <v>0</v>
      </c>
      <c r="DV431" t="b">
        <f t="shared" si="853"/>
        <v>0</v>
      </c>
      <c r="DW431" t="b">
        <f t="shared" si="854"/>
        <v>0</v>
      </c>
      <c r="DX431" t="b">
        <f t="shared" si="855"/>
        <v>0</v>
      </c>
      <c r="DY431" t="b">
        <f t="shared" si="856"/>
        <v>0</v>
      </c>
      <c r="DZ431" t="b">
        <f t="shared" si="857"/>
        <v>0</v>
      </c>
      <c r="EA431" t="b">
        <f t="shared" si="858"/>
        <v>0</v>
      </c>
      <c r="EB431" t="b">
        <f t="shared" si="859"/>
        <v>0</v>
      </c>
      <c r="EC431" t="b">
        <f t="shared" si="860"/>
        <v>0</v>
      </c>
      <c r="ED431" t="b">
        <f t="shared" si="861"/>
        <v>0</v>
      </c>
      <c r="EE431" t="b">
        <f t="shared" si="862"/>
        <v>0</v>
      </c>
      <c r="EF431" t="b">
        <f t="shared" si="863"/>
        <v>0</v>
      </c>
      <c r="EG431" t="b">
        <f t="shared" si="864"/>
        <v>0</v>
      </c>
      <c r="EH431" t="b">
        <f t="shared" si="865"/>
        <v>0</v>
      </c>
      <c r="EI431" t="b">
        <f t="shared" si="866"/>
        <v>0</v>
      </c>
      <c r="EJ431" t="b">
        <f t="shared" si="867"/>
        <v>0</v>
      </c>
      <c r="EK431" t="b">
        <f t="shared" si="868"/>
        <v>0</v>
      </c>
    </row>
    <row r="432" spans="1:141">
      <c r="A432" t="s">
        <v>2209</v>
      </c>
      <c r="B432" t="s">
        <v>2210</v>
      </c>
      <c r="C432" t="s">
        <v>2211</v>
      </c>
      <c r="D432" s="1">
        <v>44294</v>
      </c>
      <c r="E432" s="2">
        <v>44308.249386574076</v>
      </c>
      <c r="F432" s="2">
        <v>44308.249386574076</v>
      </c>
      <c r="G432">
        <v>5223350</v>
      </c>
      <c r="H432" t="s">
        <v>2212</v>
      </c>
      <c r="I432" s="10" t="s">
        <v>2213</v>
      </c>
      <c r="J432" t="s">
        <v>2214</v>
      </c>
      <c r="K432" s="8" t="b">
        <v>1</v>
      </c>
      <c r="L432" s="10" t="b">
        <v>0</v>
      </c>
      <c r="M432" s="12" t="b">
        <v>0</v>
      </c>
      <c r="N432" t="b">
        <v>0</v>
      </c>
      <c r="O432" t="b">
        <v>0</v>
      </c>
      <c r="P432" t="b">
        <v>0</v>
      </c>
      <c r="Q432">
        <f t="shared" si="745"/>
        <v>5</v>
      </c>
      <c r="R432">
        <f t="shared" si="746"/>
        <v>4</v>
      </c>
      <c r="S432" t="e">
        <f t="shared" ca="1" si="776"/>
        <v>#NAME?</v>
      </c>
      <c r="T432" t="e">
        <f t="shared" ca="1" si="747"/>
        <v>#NAME?</v>
      </c>
      <c r="U432" s="4">
        <f t="shared" si="748"/>
        <v>14.249386574076198</v>
      </c>
      <c r="V432" s="4">
        <f t="shared" si="749"/>
        <v>0.47497955246920659</v>
      </c>
      <c r="W432" s="4">
        <f t="shared" si="750"/>
        <v>1</v>
      </c>
      <c r="X432" s="4">
        <f t="shared" si="751"/>
        <v>0</v>
      </c>
      <c r="Y432" s="4">
        <f t="shared" si="752"/>
        <v>0</v>
      </c>
      <c r="Z432" s="4">
        <f t="shared" si="753"/>
        <v>0</v>
      </c>
      <c r="AA432" s="4">
        <f t="shared" si="754"/>
        <v>0</v>
      </c>
      <c r="AB432" s="4">
        <f t="shared" si="755"/>
        <v>0</v>
      </c>
      <c r="AC432" s="4"/>
      <c r="AD432" s="4" t="b">
        <f t="shared" si="756"/>
        <v>0</v>
      </c>
      <c r="AE432" s="4" t="b">
        <f t="shared" si="757"/>
        <v>0</v>
      </c>
      <c r="AF432" s="4" t="b">
        <f t="shared" si="758"/>
        <v>0</v>
      </c>
      <c r="AG432" t="b">
        <f t="shared" si="759"/>
        <v>0</v>
      </c>
      <c r="AH432" t="b">
        <f t="shared" si="760"/>
        <v>0</v>
      </c>
      <c r="AI432" t="b">
        <f t="shared" si="761"/>
        <v>0</v>
      </c>
      <c r="AJ432" t="b">
        <f t="shared" si="762"/>
        <v>0</v>
      </c>
      <c r="AK432" t="b">
        <f t="shared" si="763"/>
        <v>0</v>
      </c>
      <c r="AL432" t="b">
        <f t="shared" si="764"/>
        <v>0</v>
      </c>
      <c r="AM432" t="b">
        <f t="shared" si="765"/>
        <v>0</v>
      </c>
      <c r="AN432" t="b">
        <f t="shared" si="766"/>
        <v>0</v>
      </c>
      <c r="AO432" t="b">
        <f t="shared" si="767"/>
        <v>0</v>
      </c>
      <c r="AP432" t="b">
        <f t="shared" si="768"/>
        <v>0</v>
      </c>
      <c r="AQ432" t="b">
        <f t="shared" si="769"/>
        <v>0</v>
      </c>
      <c r="AR432" t="b">
        <f t="shared" si="770"/>
        <v>0</v>
      </c>
      <c r="AS432" t="b">
        <f t="shared" si="771"/>
        <v>0</v>
      </c>
      <c r="AT432" t="b">
        <f t="shared" si="772"/>
        <v>0</v>
      </c>
      <c r="AU432" t="b">
        <f t="shared" si="773"/>
        <v>0</v>
      </c>
      <c r="AV432" t="b">
        <f t="shared" si="774"/>
        <v>0</v>
      </c>
      <c r="AW432" t="b">
        <f t="shared" si="775"/>
        <v>0</v>
      </c>
      <c r="AX432" t="b">
        <f t="shared" si="777"/>
        <v>0</v>
      </c>
      <c r="AY432" t="b">
        <f t="shared" si="778"/>
        <v>0</v>
      </c>
      <c r="AZ432">
        <f t="shared" si="779"/>
        <v>1</v>
      </c>
      <c r="BA432" t="b">
        <f t="shared" si="780"/>
        <v>0</v>
      </c>
      <c r="BB432" t="b">
        <f t="shared" si="781"/>
        <v>0</v>
      </c>
      <c r="BC432" t="b">
        <f t="shared" si="782"/>
        <v>0</v>
      </c>
      <c r="BD432" t="b">
        <f t="shared" si="783"/>
        <v>0</v>
      </c>
      <c r="BE432" t="b">
        <f t="shared" si="784"/>
        <v>0</v>
      </c>
      <c r="BF432" t="b">
        <f t="shared" si="785"/>
        <v>0</v>
      </c>
      <c r="BG432" t="b">
        <f t="shared" si="786"/>
        <v>0</v>
      </c>
      <c r="BH432" t="b">
        <f t="shared" si="787"/>
        <v>0</v>
      </c>
      <c r="BI432">
        <f t="shared" si="788"/>
        <v>1</v>
      </c>
      <c r="BJ432" t="b">
        <f t="shared" si="789"/>
        <v>0</v>
      </c>
      <c r="BK432" t="b">
        <f t="shared" si="790"/>
        <v>0</v>
      </c>
      <c r="BL432" t="b">
        <f t="shared" si="791"/>
        <v>0</v>
      </c>
      <c r="BM432" t="b">
        <f t="shared" si="792"/>
        <v>0</v>
      </c>
      <c r="BN432" t="b">
        <f t="shared" si="793"/>
        <v>0</v>
      </c>
      <c r="BO432" t="b">
        <f t="shared" si="794"/>
        <v>0</v>
      </c>
      <c r="BP432" t="b">
        <f t="shared" si="795"/>
        <v>0</v>
      </c>
      <c r="BQ432" t="b">
        <f t="shared" si="796"/>
        <v>0</v>
      </c>
      <c r="BR432">
        <f t="shared" si="797"/>
        <v>1</v>
      </c>
      <c r="BS432" t="b">
        <f t="shared" si="798"/>
        <v>0</v>
      </c>
      <c r="BT432" t="b">
        <f t="shared" si="799"/>
        <v>0</v>
      </c>
      <c r="BU432" t="b">
        <f t="shared" si="800"/>
        <v>0</v>
      </c>
      <c r="BV432" t="b">
        <f t="shared" si="801"/>
        <v>0</v>
      </c>
      <c r="BW432" t="b">
        <f t="shared" si="802"/>
        <v>0</v>
      </c>
      <c r="BX432" t="b">
        <f t="shared" si="803"/>
        <v>0</v>
      </c>
      <c r="BY432" t="b">
        <f t="shared" si="804"/>
        <v>0</v>
      </c>
      <c r="BZ432" t="b">
        <f t="shared" si="805"/>
        <v>0</v>
      </c>
      <c r="CA432" t="b">
        <f t="shared" si="806"/>
        <v>0</v>
      </c>
      <c r="CB432" t="b">
        <f t="shared" si="807"/>
        <v>0</v>
      </c>
      <c r="CC432" t="b">
        <f t="shared" si="808"/>
        <v>0</v>
      </c>
      <c r="CD432" t="b">
        <f t="shared" si="809"/>
        <v>0</v>
      </c>
      <c r="CE432" t="b">
        <f t="shared" si="810"/>
        <v>0</v>
      </c>
      <c r="CF432" t="b">
        <f t="shared" si="811"/>
        <v>0</v>
      </c>
      <c r="CG432" t="b">
        <f t="shared" si="812"/>
        <v>0</v>
      </c>
      <c r="CH432" t="b">
        <f t="shared" si="813"/>
        <v>0</v>
      </c>
      <c r="CI432" t="b">
        <f t="shared" si="814"/>
        <v>0</v>
      </c>
      <c r="CJ432" t="b">
        <f t="shared" si="815"/>
        <v>0</v>
      </c>
      <c r="CK432" t="b">
        <f t="shared" si="816"/>
        <v>0</v>
      </c>
      <c r="CL432" t="b">
        <f t="shared" si="817"/>
        <v>0</v>
      </c>
      <c r="CM432">
        <f t="shared" si="818"/>
        <v>1</v>
      </c>
      <c r="CN432">
        <f t="shared" si="819"/>
        <v>1</v>
      </c>
      <c r="CO432" t="b">
        <f t="shared" si="820"/>
        <v>0</v>
      </c>
      <c r="CP432" t="b">
        <f t="shared" si="821"/>
        <v>0</v>
      </c>
      <c r="CQ432" t="b">
        <f t="shared" si="822"/>
        <v>0</v>
      </c>
      <c r="CR432" t="b">
        <f t="shared" si="823"/>
        <v>0</v>
      </c>
      <c r="CS432" t="b">
        <f t="shared" si="824"/>
        <v>0</v>
      </c>
      <c r="CT432" t="b">
        <f t="shared" si="825"/>
        <v>0</v>
      </c>
      <c r="CU432" t="b">
        <f t="shared" si="826"/>
        <v>0</v>
      </c>
      <c r="CV432" t="b">
        <f t="shared" si="827"/>
        <v>0</v>
      </c>
      <c r="CW432" t="b">
        <f t="shared" si="828"/>
        <v>0</v>
      </c>
      <c r="CX432" t="b">
        <f t="shared" si="829"/>
        <v>0</v>
      </c>
      <c r="CY432" t="b">
        <f t="shared" si="830"/>
        <v>0</v>
      </c>
      <c r="CZ432" t="b">
        <f t="shared" si="831"/>
        <v>0</v>
      </c>
      <c r="DA432">
        <f t="shared" si="832"/>
        <v>1</v>
      </c>
      <c r="DB432">
        <f t="shared" si="833"/>
        <v>1</v>
      </c>
      <c r="DC432" t="b">
        <f t="shared" si="834"/>
        <v>0</v>
      </c>
      <c r="DD432" t="b">
        <f t="shared" si="835"/>
        <v>0</v>
      </c>
      <c r="DE432" t="b">
        <f t="shared" si="836"/>
        <v>0</v>
      </c>
      <c r="DF432" t="b">
        <f t="shared" si="837"/>
        <v>0</v>
      </c>
      <c r="DG432" t="b">
        <f t="shared" si="838"/>
        <v>0</v>
      </c>
      <c r="DH432" t="b">
        <f t="shared" si="839"/>
        <v>0</v>
      </c>
      <c r="DI432" t="b">
        <f t="shared" si="840"/>
        <v>0</v>
      </c>
      <c r="DJ432" t="b">
        <f t="shared" si="841"/>
        <v>0</v>
      </c>
      <c r="DK432" t="b">
        <f t="shared" si="842"/>
        <v>0</v>
      </c>
      <c r="DL432" t="b">
        <f t="shared" si="843"/>
        <v>0</v>
      </c>
      <c r="DM432" t="b">
        <f t="shared" si="844"/>
        <v>0</v>
      </c>
      <c r="DN432" t="b">
        <f t="shared" si="845"/>
        <v>0</v>
      </c>
      <c r="DO432" t="b">
        <f t="shared" si="846"/>
        <v>0</v>
      </c>
      <c r="DP432" t="b">
        <f t="shared" si="847"/>
        <v>0</v>
      </c>
      <c r="DQ432" t="b">
        <f t="shared" si="848"/>
        <v>0</v>
      </c>
      <c r="DR432" t="b">
        <f t="shared" si="849"/>
        <v>0</v>
      </c>
      <c r="DS432" t="b">
        <f t="shared" si="850"/>
        <v>0</v>
      </c>
      <c r="DT432" t="b">
        <f t="shared" si="851"/>
        <v>0</v>
      </c>
      <c r="DU432" t="b">
        <f t="shared" si="852"/>
        <v>0</v>
      </c>
      <c r="DV432" t="b">
        <f t="shared" si="853"/>
        <v>0</v>
      </c>
      <c r="DW432" t="b">
        <f t="shared" si="854"/>
        <v>0</v>
      </c>
      <c r="DX432" t="b">
        <f t="shared" si="855"/>
        <v>0</v>
      </c>
      <c r="DY432" t="b">
        <f t="shared" si="856"/>
        <v>0</v>
      </c>
      <c r="DZ432" t="b">
        <f t="shared" si="857"/>
        <v>0</v>
      </c>
      <c r="EA432" t="b">
        <f t="shared" si="858"/>
        <v>0</v>
      </c>
      <c r="EB432" t="b">
        <f t="shared" si="859"/>
        <v>0</v>
      </c>
      <c r="EC432" t="b">
        <f t="shared" si="860"/>
        <v>0</v>
      </c>
      <c r="ED432" t="b">
        <f t="shared" si="861"/>
        <v>0</v>
      </c>
      <c r="EE432" t="b">
        <f t="shared" si="862"/>
        <v>0</v>
      </c>
      <c r="EF432" t="b">
        <f t="shared" si="863"/>
        <v>0</v>
      </c>
      <c r="EG432" t="b">
        <f t="shared" si="864"/>
        <v>0</v>
      </c>
      <c r="EH432" t="b">
        <f t="shared" si="865"/>
        <v>0</v>
      </c>
      <c r="EI432" t="b">
        <f t="shared" si="866"/>
        <v>0</v>
      </c>
      <c r="EJ432" t="b">
        <f t="shared" si="867"/>
        <v>0</v>
      </c>
      <c r="EK432" t="b">
        <f t="shared" si="868"/>
        <v>0</v>
      </c>
    </row>
    <row r="433" spans="1:141">
      <c r="A433" t="s">
        <v>2215</v>
      </c>
      <c r="B433" t="s">
        <v>2216</v>
      </c>
      <c r="C433" t="s">
        <v>2217</v>
      </c>
      <c r="D433" s="1">
        <v>42304</v>
      </c>
      <c r="E433" s="2">
        <v>42307.597129629627</v>
      </c>
      <c r="F433" s="2">
        <v>42307.597129629627</v>
      </c>
      <c r="G433">
        <v>173891</v>
      </c>
      <c r="H433" t="s">
        <v>2218</v>
      </c>
      <c r="I433" s="10" t="s">
        <v>2219</v>
      </c>
      <c r="J433" t="s">
        <v>985</v>
      </c>
      <c r="K433" s="8" t="b">
        <v>1</v>
      </c>
      <c r="L433" s="10" t="b">
        <v>0</v>
      </c>
      <c r="M433" s="12" t="b">
        <v>0</v>
      </c>
      <c r="N433" t="b">
        <v>0</v>
      </c>
      <c r="O433" t="b">
        <v>0</v>
      </c>
      <c r="P433" t="b">
        <v>0</v>
      </c>
      <c r="Q433">
        <f t="shared" si="745"/>
        <v>3</v>
      </c>
      <c r="R433">
        <f t="shared" si="746"/>
        <v>10</v>
      </c>
      <c r="S433" t="e">
        <f t="shared" ca="1" si="776"/>
        <v>#NAME?</v>
      </c>
      <c r="T433" t="e">
        <f t="shared" ca="1" si="747"/>
        <v>#NAME?</v>
      </c>
      <c r="U433" s="4">
        <f t="shared" si="748"/>
        <v>3.5971296296265791</v>
      </c>
      <c r="V433" s="4">
        <f t="shared" si="749"/>
        <v>0.11990432098755263</v>
      </c>
      <c r="W433" s="4">
        <f t="shared" si="750"/>
        <v>1</v>
      </c>
      <c r="X433" s="4">
        <f t="shared" si="751"/>
        <v>0</v>
      </c>
      <c r="Y433" s="4">
        <f t="shared" si="752"/>
        <v>0</v>
      </c>
      <c r="Z433" s="4">
        <f t="shared" si="753"/>
        <v>0</v>
      </c>
      <c r="AA433" s="4">
        <f t="shared" si="754"/>
        <v>0</v>
      </c>
      <c r="AB433" s="4">
        <f t="shared" si="755"/>
        <v>0</v>
      </c>
      <c r="AC433" s="4"/>
      <c r="AD433" s="4" t="b">
        <f t="shared" si="756"/>
        <v>0</v>
      </c>
      <c r="AE433" s="4" t="b">
        <f t="shared" si="757"/>
        <v>0</v>
      </c>
      <c r="AF433" s="4" t="b">
        <f t="shared" si="758"/>
        <v>0</v>
      </c>
      <c r="AG433" t="b">
        <f t="shared" si="759"/>
        <v>0</v>
      </c>
      <c r="AH433" t="b">
        <f t="shared" si="760"/>
        <v>0</v>
      </c>
      <c r="AI433" t="b">
        <f t="shared" si="761"/>
        <v>0</v>
      </c>
      <c r="AJ433" t="b">
        <f t="shared" si="762"/>
        <v>0</v>
      </c>
      <c r="AK433" t="b">
        <f t="shared" si="763"/>
        <v>0</v>
      </c>
      <c r="AL433" t="b">
        <f t="shared" si="764"/>
        <v>0</v>
      </c>
      <c r="AM433" t="b">
        <f t="shared" si="765"/>
        <v>0</v>
      </c>
      <c r="AN433" t="b">
        <f t="shared" si="766"/>
        <v>0</v>
      </c>
      <c r="AO433" t="b">
        <f t="shared" si="767"/>
        <v>0</v>
      </c>
      <c r="AP433" t="b">
        <f t="shared" si="768"/>
        <v>0</v>
      </c>
      <c r="AQ433" t="b">
        <f t="shared" si="769"/>
        <v>0</v>
      </c>
      <c r="AR433" t="b">
        <f t="shared" si="770"/>
        <v>0</v>
      </c>
      <c r="AS433" t="b">
        <f t="shared" si="771"/>
        <v>0</v>
      </c>
      <c r="AT433" t="b">
        <f t="shared" si="772"/>
        <v>0</v>
      </c>
      <c r="AU433" t="b">
        <f t="shared" si="773"/>
        <v>0</v>
      </c>
      <c r="AV433" t="b">
        <f t="shared" si="774"/>
        <v>0</v>
      </c>
      <c r="AW433" t="b">
        <f t="shared" si="775"/>
        <v>0</v>
      </c>
      <c r="AX433" t="b">
        <f t="shared" si="777"/>
        <v>0</v>
      </c>
      <c r="AY433" t="b">
        <f t="shared" si="778"/>
        <v>0</v>
      </c>
      <c r="AZ433">
        <f t="shared" si="779"/>
        <v>1</v>
      </c>
      <c r="BA433" t="b">
        <f t="shared" si="780"/>
        <v>0</v>
      </c>
      <c r="BB433" t="b">
        <f t="shared" si="781"/>
        <v>0</v>
      </c>
      <c r="BC433" t="b">
        <f t="shared" si="782"/>
        <v>0</v>
      </c>
      <c r="BD433" t="b">
        <f t="shared" si="783"/>
        <v>0</v>
      </c>
      <c r="BE433" t="b">
        <f t="shared" si="784"/>
        <v>0</v>
      </c>
      <c r="BF433" t="b">
        <f t="shared" si="785"/>
        <v>0</v>
      </c>
      <c r="BG433" t="b">
        <f t="shared" si="786"/>
        <v>0</v>
      </c>
      <c r="BH433" t="b">
        <f t="shared" si="787"/>
        <v>0</v>
      </c>
      <c r="BI433">
        <f t="shared" si="788"/>
        <v>1</v>
      </c>
      <c r="BJ433" t="b">
        <f t="shared" si="789"/>
        <v>0</v>
      </c>
      <c r="BK433" t="b">
        <f t="shared" si="790"/>
        <v>0</v>
      </c>
      <c r="BL433" t="b">
        <f t="shared" si="791"/>
        <v>0</v>
      </c>
      <c r="BM433" t="b">
        <f t="shared" si="792"/>
        <v>0</v>
      </c>
      <c r="BN433" t="b">
        <f t="shared" si="793"/>
        <v>0</v>
      </c>
      <c r="BO433" t="b">
        <f t="shared" si="794"/>
        <v>0</v>
      </c>
      <c r="BP433" t="b">
        <f t="shared" si="795"/>
        <v>0</v>
      </c>
      <c r="BQ433" t="b">
        <f t="shared" si="796"/>
        <v>0</v>
      </c>
      <c r="BR433" t="b">
        <f t="shared" si="797"/>
        <v>0</v>
      </c>
      <c r="BS433" t="b">
        <f t="shared" si="798"/>
        <v>0</v>
      </c>
      <c r="BT433" t="b">
        <f t="shared" si="799"/>
        <v>0</v>
      </c>
      <c r="BU433" t="b">
        <f t="shared" si="800"/>
        <v>0</v>
      </c>
      <c r="BV433" t="b">
        <f t="shared" si="801"/>
        <v>0</v>
      </c>
      <c r="BW433" t="b">
        <f t="shared" si="802"/>
        <v>0</v>
      </c>
      <c r="BX433" t="b">
        <f t="shared" si="803"/>
        <v>0</v>
      </c>
      <c r="BY433" t="b">
        <f t="shared" si="804"/>
        <v>0</v>
      </c>
      <c r="BZ433" t="b">
        <f t="shared" si="805"/>
        <v>0</v>
      </c>
      <c r="CA433" t="b">
        <f t="shared" si="806"/>
        <v>0</v>
      </c>
      <c r="CB433" t="b">
        <f t="shared" si="807"/>
        <v>0</v>
      </c>
      <c r="CC433" t="b">
        <f t="shared" si="808"/>
        <v>0</v>
      </c>
      <c r="CD433" t="b">
        <f t="shared" si="809"/>
        <v>0</v>
      </c>
      <c r="CE433">
        <f t="shared" si="810"/>
        <v>1</v>
      </c>
      <c r="CF433" t="b">
        <f t="shared" si="811"/>
        <v>0</v>
      </c>
      <c r="CG433" t="b">
        <f t="shared" si="812"/>
        <v>0</v>
      </c>
      <c r="CH433" t="b">
        <f t="shared" si="813"/>
        <v>0</v>
      </c>
      <c r="CI433" t="b">
        <f t="shared" si="814"/>
        <v>0</v>
      </c>
      <c r="CJ433" t="b">
        <f t="shared" si="815"/>
        <v>0</v>
      </c>
      <c r="CK433" t="b">
        <f t="shared" si="816"/>
        <v>0</v>
      </c>
      <c r="CL433" t="b">
        <f t="shared" si="817"/>
        <v>0</v>
      </c>
      <c r="CM433" t="b">
        <f t="shared" si="818"/>
        <v>0</v>
      </c>
      <c r="CN433" t="b">
        <f t="shared" si="819"/>
        <v>0</v>
      </c>
      <c r="CO433" t="b">
        <f t="shared" si="820"/>
        <v>0</v>
      </c>
      <c r="CP433" t="b">
        <f t="shared" si="821"/>
        <v>0</v>
      </c>
      <c r="CQ433" t="b">
        <f t="shared" si="822"/>
        <v>0</v>
      </c>
      <c r="CR433" t="b">
        <f t="shared" si="823"/>
        <v>0</v>
      </c>
      <c r="CS433" t="b">
        <f t="shared" si="824"/>
        <v>0</v>
      </c>
      <c r="CT433" t="b">
        <f t="shared" si="825"/>
        <v>0</v>
      </c>
      <c r="CU433" t="b">
        <f t="shared" si="826"/>
        <v>0</v>
      </c>
      <c r="CV433">
        <f t="shared" si="827"/>
        <v>1</v>
      </c>
      <c r="CW433" t="b">
        <f t="shared" si="828"/>
        <v>0</v>
      </c>
      <c r="CX433" t="b">
        <f t="shared" si="829"/>
        <v>0</v>
      </c>
      <c r="CY433" t="b">
        <f t="shared" si="830"/>
        <v>0</v>
      </c>
      <c r="CZ433" t="b">
        <f t="shared" si="831"/>
        <v>0</v>
      </c>
      <c r="DA433" t="b">
        <f t="shared" si="832"/>
        <v>0</v>
      </c>
      <c r="DB433" t="b">
        <f t="shared" si="833"/>
        <v>0</v>
      </c>
      <c r="DC433" t="b">
        <f t="shared" si="834"/>
        <v>0</v>
      </c>
      <c r="DD433" t="b">
        <f t="shared" si="835"/>
        <v>0</v>
      </c>
      <c r="DE433" t="b">
        <f t="shared" si="836"/>
        <v>0</v>
      </c>
      <c r="DF433" t="b">
        <f t="shared" si="837"/>
        <v>0</v>
      </c>
      <c r="DG433" t="b">
        <f t="shared" si="838"/>
        <v>0</v>
      </c>
      <c r="DH433" t="b">
        <f t="shared" si="839"/>
        <v>0</v>
      </c>
      <c r="DI433" t="b">
        <f t="shared" si="840"/>
        <v>0</v>
      </c>
      <c r="DJ433" t="b">
        <f t="shared" si="841"/>
        <v>0</v>
      </c>
      <c r="DK433" t="b">
        <f t="shared" si="842"/>
        <v>0</v>
      </c>
      <c r="DL433" t="b">
        <f t="shared" si="843"/>
        <v>0</v>
      </c>
      <c r="DM433" t="b">
        <f t="shared" si="844"/>
        <v>0</v>
      </c>
      <c r="DN433" t="b">
        <f t="shared" si="845"/>
        <v>0</v>
      </c>
      <c r="DO433" t="b">
        <f t="shared" si="846"/>
        <v>0</v>
      </c>
      <c r="DP433" t="b">
        <f t="shared" si="847"/>
        <v>0</v>
      </c>
      <c r="DQ433" t="b">
        <f t="shared" si="848"/>
        <v>0</v>
      </c>
      <c r="DR433" t="b">
        <f t="shared" si="849"/>
        <v>0</v>
      </c>
      <c r="DS433" t="b">
        <f t="shared" si="850"/>
        <v>0</v>
      </c>
      <c r="DT433" t="b">
        <f t="shared" si="851"/>
        <v>0</v>
      </c>
      <c r="DU433" t="b">
        <f t="shared" si="852"/>
        <v>0</v>
      </c>
      <c r="DV433" t="b">
        <f t="shared" si="853"/>
        <v>0</v>
      </c>
      <c r="DW433" t="b">
        <f t="shared" si="854"/>
        <v>0</v>
      </c>
      <c r="DX433" t="b">
        <f t="shared" si="855"/>
        <v>0</v>
      </c>
      <c r="DY433" t="b">
        <f t="shared" si="856"/>
        <v>0</v>
      </c>
      <c r="DZ433" t="b">
        <f t="shared" si="857"/>
        <v>0</v>
      </c>
      <c r="EA433" t="b">
        <f t="shared" si="858"/>
        <v>0</v>
      </c>
      <c r="EB433" t="b">
        <f t="shared" si="859"/>
        <v>0</v>
      </c>
      <c r="EC433" t="b">
        <f t="shared" si="860"/>
        <v>0</v>
      </c>
      <c r="ED433" t="b">
        <f t="shared" si="861"/>
        <v>0</v>
      </c>
      <c r="EE433" t="b">
        <f t="shared" si="862"/>
        <v>0</v>
      </c>
      <c r="EF433">
        <f t="shared" si="863"/>
        <v>1</v>
      </c>
      <c r="EG433" t="b">
        <f t="shared" si="864"/>
        <v>0</v>
      </c>
      <c r="EH433" t="b">
        <f t="shared" si="865"/>
        <v>0</v>
      </c>
      <c r="EI433">
        <f t="shared" si="866"/>
        <v>1</v>
      </c>
      <c r="EJ433" t="b">
        <f t="shared" si="867"/>
        <v>0</v>
      </c>
      <c r="EK433" t="b">
        <f t="shared" si="868"/>
        <v>0</v>
      </c>
    </row>
    <row r="434" spans="1:141">
      <c r="A434" t="s">
        <v>2220</v>
      </c>
      <c r="B434" t="s">
        <v>2221</v>
      </c>
      <c r="C434" t="s">
        <v>2222</v>
      </c>
      <c r="D434" s="1">
        <v>41612</v>
      </c>
      <c r="E434" s="2">
        <v>41614</v>
      </c>
      <c r="F434" s="2">
        <v>41614</v>
      </c>
      <c r="G434">
        <v>38108</v>
      </c>
      <c r="H434" t="s">
        <v>2223</v>
      </c>
      <c r="I434" s="10" t="s">
        <v>2224</v>
      </c>
      <c r="J434" t="s">
        <v>147</v>
      </c>
      <c r="K434" s="8" t="b">
        <v>1</v>
      </c>
      <c r="L434" s="10" t="b">
        <v>0</v>
      </c>
      <c r="M434" s="12" t="b">
        <v>0</v>
      </c>
      <c r="N434" t="b">
        <v>0</v>
      </c>
      <c r="O434" t="b">
        <v>0</v>
      </c>
      <c r="P434" t="b">
        <v>0</v>
      </c>
      <c r="Q434">
        <f t="shared" si="745"/>
        <v>4</v>
      </c>
      <c r="R434">
        <f t="shared" si="746"/>
        <v>12</v>
      </c>
      <c r="S434" t="e">
        <f t="shared" ca="1" si="776"/>
        <v>#NAME?</v>
      </c>
      <c r="T434" t="e">
        <f t="shared" ca="1" si="747"/>
        <v>#NAME?</v>
      </c>
      <c r="U434" s="4">
        <f t="shared" si="748"/>
        <v>2</v>
      </c>
      <c r="V434" s="4">
        <f t="shared" si="749"/>
        <v>6.6666666666666666E-2</v>
      </c>
      <c r="W434" s="4">
        <f t="shared" si="750"/>
        <v>1</v>
      </c>
      <c r="X434" s="4">
        <f t="shared" si="751"/>
        <v>0</v>
      </c>
      <c r="Y434" s="4">
        <f t="shared" si="752"/>
        <v>0</v>
      </c>
      <c r="Z434" s="4">
        <f t="shared" si="753"/>
        <v>0</v>
      </c>
      <c r="AA434" s="4">
        <f t="shared" si="754"/>
        <v>0</v>
      </c>
      <c r="AB434" s="4">
        <f t="shared" si="755"/>
        <v>0</v>
      </c>
      <c r="AC434" s="4"/>
      <c r="AD434" s="4" t="b">
        <f t="shared" si="756"/>
        <v>0</v>
      </c>
      <c r="AE434" s="4" t="b">
        <f t="shared" si="757"/>
        <v>0</v>
      </c>
      <c r="AF434" s="4" t="b">
        <f t="shared" si="758"/>
        <v>0</v>
      </c>
      <c r="AG434" t="b">
        <f t="shared" si="759"/>
        <v>0</v>
      </c>
      <c r="AH434" t="b">
        <f t="shared" si="760"/>
        <v>0</v>
      </c>
      <c r="AI434" t="b">
        <f t="shared" si="761"/>
        <v>0</v>
      </c>
      <c r="AJ434" t="b">
        <f t="shared" si="762"/>
        <v>0</v>
      </c>
      <c r="AK434" t="b">
        <f t="shared" si="763"/>
        <v>0</v>
      </c>
      <c r="AL434" t="b">
        <f t="shared" si="764"/>
        <v>0</v>
      </c>
      <c r="AM434" t="b">
        <f t="shared" si="765"/>
        <v>0</v>
      </c>
      <c r="AN434" t="b">
        <f t="shared" si="766"/>
        <v>0</v>
      </c>
      <c r="AO434" t="b">
        <f t="shared" si="767"/>
        <v>0</v>
      </c>
      <c r="AP434" t="b">
        <f t="shared" si="768"/>
        <v>0</v>
      </c>
      <c r="AQ434" t="b">
        <f t="shared" si="769"/>
        <v>0</v>
      </c>
      <c r="AR434" t="b">
        <f t="shared" si="770"/>
        <v>0</v>
      </c>
      <c r="AS434" t="b">
        <f t="shared" si="771"/>
        <v>0</v>
      </c>
      <c r="AT434" t="b">
        <f t="shared" si="772"/>
        <v>0</v>
      </c>
      <c r="AU434" t="b">
        <f t="shared" si="773"/>
        <v>0</v>
      </c>
      <c r="AV434" t="b">
        <f t="shared" si="774"/>
        <v>0</v>
      </c>
      <c r="AW434" t="b">
        <f t="shared" si="775"/>
        <v>0</v>
      </c>
      <c r="AX434" t="b">
        <f t="shared" si="777"/>
        <v>0</v>
      </c>
      <c r="AY434" t="b">
        <f t="shared" si="778"/>
        <v>0</v>
      </c>
      <c r="AZ434" t="b">
        <f t="shared" si="779"/>
        <v>0</v>
      </c>
      <c r="BA434" t="b">
        <f t="shared" si="780"/>
        <v>0</v>
      </c>
      <c r="BB434" t="b">
        <f t="shared" si="781"/>
        <v>0</v>
      </c>
      <c r="BC434" t="b">
        <f t="shared" si="782"/>
        <v>0</v>
      </c>
      <c r="BD434" t="b">
        <f t="shared" si="783"/>
        <v>0</v>
      </c>
      <c r="BE434" t="b">
        <f t="shared" si="784"/>
        <v>0</v>
      </c>
      <c r="BF434" t="b">
        <f t="shared" si="785"/>
        <v>0</v>
      </c>
      <c r="BG434" t="b">
        <f t="shared" si="786"/>
        <v>0</v>
      </c>
      <c r="BH434" t="b">
        <f t="shared" si="787"/>
        <v>0</v>
      </c>
      <c r="BI434">
        <f t="shared" si="788"/>
        <v>1</v>
      </c>
      <c r="BJ434" t="b">
        <f t="shared" si="789"/>
        <v>0</v>
      </c>
      <c r="BK434" t="b">
        <f t="shared" si="790"/>
        <v>0</v>
      </c>
      <c r="BL434" t="b">
        <f t="shared" si="791"/>
        <v>0</v>
      </c>
      <c r="BM434" t="b">
        <f t="shared" si="792"/>
        <v>0</v>
      </c>
      <c r="BN434" t="b">
        <f t="shared" si="793"/>
        <v>0</v>
      </c>
      <c r="BO434" t="b">
        <f t="shared" si="794"/>
        <v>0</v>
      </c>
      <c r="BP434" t="b">
        <f t="shared" si="795"/>
        <v>0</v>
      </c>
      <c r="BQ434" t="b">
        <f t="shared" si="796"/>
        <v>0</v>
      </c>
      <c r="BR434" t="b">
        <f t="shared" si="797"/>
        <v>0</v>
      </c>
      <c r="BS434" t="b">
        <f t="shared" si="798"/>
        <v>0</v>
      </c>
      <c r="BT434" t="b">
        <f t="shared" si="799"/>
        <v>0</v>
      </c>
      <c r="BU434" t="b">
        <f t="shared" si="800"/>
        <v>0</v>
      </c>
      <c r="BV434" t="b">
        <f t="shared" si="801"/>
        <v>0</v>
      </c>
      <c r="BW434" t="b">
        <f t="shared" si="802"/>
        <v>0</v>
      </c>
      <c r="BX434" t="b">
        <f t="shared" si="803"/>
        <v>0</v>
      </c>
      <c r="BY434" t="b">
        <f t="shared" si="804"/>
        <v>0</v>
      </c>
      <c r="BZ434" t="b">
        <f t="shared" si="805"/>
        <v>0</v>
      </c>
      <c r="CA434" t="b">
        <f t="shared" si="806"/>
        <v>0</v>
      </c>
      <c r="CB434" t="b">
        <f t="shared" si="807"/>
        <v>0</v>
      </c>
      <c r="CC434" t="b">
        <f t="shared" si="808"/>
        <v>0</v>
      </c>
      <c r="CD434" t="b">
        <f t="shared" si="809"/>
        <v>0</v>
      </c>
      <c r="CE434" t="b">
        <f t="shared" si="810"/>
        <v>0</v>
      </c>
      <c r="CF434" t="b">
        <f t="shared" si="811"/>
        <v>0</v>
      </c>
      <c r="CG434" t="b">
        <f t="shared" si="812"/>
        <v>0</v>
      </c>
      <c r="CH434" t="b">
        <f t="shared" si="813"/>
        <v>0</v>
      </c>
      <c r="CI434" t="b">
        <f t="shared" si="814"/>
        <v>0</v>
      </c>
      <c r="CJ434" t="b">
        <f t="shared" si="815"/>
        <v>0</v>
      </c>
      <c r="CK434" t="b">
        <f t="shared" si="816"/>
        <v>0</v>
      </c>
      <c r="CL434" t="b">
        <f t="shared" si="817"/>
        <v>0</v>
      </c>
      <c r="CM434" t="b">
        <f t="shared" si="818"/>
        <v>0</v>
      </c>
      <c r="CN434" t="b">
        <f t="shared" si="819"/>
        <v>0</v>
      </c>
      <c r="CO434" t="b">
        <f t="shared" si="820"/>
        <v>0</v>
      </c>
      <c r="CP434" t="b">
        <f t="shared" si="821"/>
        <v>0</v>
      </c>
      <c r="CQ434" t="b">
        <f t="shared" si="822"/>
        <v>0</v>
      </c>
      <c r="CR434" t="b">
        <f t="shared" si="823"/>
        <v>0</v>
      </c>
      <c r="CS434" t="b">
        <f t="shared" si="824"/>
        <v>0</v>
      </c>
      <c r="CT434" t="b">
        <f t="shared" si="825"/>
        <v>0</v>
      </c>
      <c r="CU434" t="b">
        <f t="shared" si="826"/>
        <v>0</v>
      </c>
      <c r="CV434">
        <f t="shared" si="827"/>
        <v>1</v>
      </c>
      <c r="CW434" t="b">
        <f t="shared" si="828"/>
        <v>0</v>
      </c>
      <c r="CX434" t="b">
        <f t="shared" si="829"/>
        <v>0</v>
      </c>
      <c r="CY434" t="b">
        <f t="shared" si="830"/>
        <v>0</v>
      </c>
      <c r="CZ434" t="b">
        <f t="shared" si="831"/>
        <v>0</v>
      </c>
      <c r="DA434" t="b">
        <f t="shared" si="832"/>
        <v>0</v>
      </c>
      <c r="DB434" t="b">
        <f t="shared" si="833"/>
        <v>0</v>
      </c>
      <c r="DC434" t="b">
        <f t="shared" si="834"/>
        <v>0</v>
      </c>
      <c r="DD434" t="b">
        <f t="shared" si="835"/>
        <v>0</v>
      </c>
      <c r="DE434" t="b">
        <f t="shared" si="836"/>
        <v>0</v>
      </c>
      <c r="DF434" t="b">
        <f t="shared" si="837"/>
        <v>0</v>
      </c>
      <c r="DG434" t="b">
        <f t="shared" si="838"/>
        <v>0</v>
      </c>
      <c r="DH434" t="b">
        <f t="shared" si="839"/>
        <v>0</v>
      </c>
      <c r="DI434" t="b">
        <f t="shared" si="840"/>
        <v>0</v>
      </c>
      <c r="DJ434" t="b">
        <f t="shared" si="841"/>
        <v>0</v>
      </c>
      <c r="DK434" t="b">
        <f t="shared" si="842"/>
        <v>0</v>
      </c>
      <c r="DL434" t="b">
        <f t="shared" si="843"/>
        <v>0</v>
      </c>
      <c r="DM434" t="b">
        <f t="shared" si="844"/>
        <v>0</v>
      </c>
      <c r="DN434" t="b">
        <f t="shared" si="845"/>
        <v>0</v>
      </c>
      <c r="DO434" t="b">
        <f t="shared" si="846"/>
        <v>0</v>
      </c>
      <c r="DP434" t="b">
        <f t="shared" si="847"/>
        <v>0</v>
      </c>
      <c r="DQ434" t="b">
        <f t="shared" si="848"/>
        <v>0</v>
      </c>
      <c r="DR434" t="b">
        <f t="shared" si="849"/>
        <v>0</v>
      </c>
      <c r="DS434" t="b">
        <f t="shared" si="850"/>
        <v>0</v>
      </c>
      <c r="DT434" t="b">
        <f t="shared" si="851"/>
        <v>0</v>
      </c>
      <c r="DU434" t="b">
        <f t="shared" si="852"/>
        <v>0</v>
      </c>
      <c r="DV434" t="b">
        <f t="shared" si="853"/>
        <v>0</v>
      </c>
      <c r="DW434" t="b">
        <f t="shared" si="854"/>
        <v>0</v>
      </c>
      <c r="DX434" t="b">
        <f t="shared" si="855"/>
        <v>0</v>
      </c>
      <c r="DY434" t="b">
        <f t="shared" si="856"/>
        <v>0</v>
      </c>
      <c r="DZ434" t="b">
        <f t="shared" si="857"/>
        <v>0</v>
      </c>
      <c r="EA434" t="b">
        <f t="shared" si="858"/>
        <v>0</v>
      </c>
      <c r="EB434" t="b">
        <f t="shared" si="859"/>
        <v>0</v>
      </c>
      <c r="EC434" t="b">
        <f t="shared" si="860"/>
        <v>0</v>
      </c>
      <c r="ED434" t="b">
        <f t="shared" si="861"/>
        <v>0</v>
      </c>
      <c r="EE434" t="b">
        <f t="shared" si="862"/>
        <v>0</v>
      </c>
      <c r="EF434" t="b">
        <f t="shared" si="863"/>
        <v>0</v>
      </c>
      <c r="EG434" t="b">
        <f t="shared" si="864"/>
        <v>0</v>
      </c>
      <c r="EH434" t="b">
        <f t="shared" si="865"/>
        <v>0</v>
      </c>
      <c r="EI434" t="b">
        <f t="shared" si="866"/>
        <v>0</v>
      </c>
      <c r="EJ434" t="b">
        <f t="shared" si="867"/>
        <v>0</v>
      </c>
      <c r="EK434" t="b">
        <f t="shared" si="868"/>
        <v>0</v>
      </c>
    </row>
    <row r="435" spans="1:141">
      <c r="A435" t="s">
        <v>2225</v>
      </c>
      <c r="B435" t="s">
        <v>2225</v>
      </c>
      <c r="C435" t="s">
        <v>2226</v>
      </c>
      <c r="D435" s="1">
        <v>44111</v>
      </c>
      <c r="E435" s="2">
        <v>44228.153113425928</v>
      </c>
      <c r="F435" s="2">
        <v>44228.153113425928</v>
      </c>
      <c r="G435">
        <v>1906808</v>
      </c>
      <c r="H435" t="s">
        <v>2227</v>
      </c>
      <c r="I435" s="10" t="s">
        <v>2228</v>
      </c>
      <c r="J435" t="s">
        <v>2229</v>
      </c>
      <c r="K435" s="8" t="b">
        <v>1</v>
      </c>
      <c r="L435" s="10" t="b">
        <v>0</v>
      </c>
      <c r="M435" s="12" t="b">
        <v>0</v>
      </c>
      <c r="N435" t="b">
        <v>0</v>
      </c>
      <c r="O435" t="b">
        <v>0</v>
      </c>
      <c r="P435" t="b">
        <v>0</v>
      </c>
      <c r="Q435">
        <f t="shared" si="745"/>
        <v>4</v>
      </c>
      <c r="R435">
        <f t="shared" si="746"/>
        <v>10</v>
      </c>
      <c r="S435" t="e">
        <f t="shared" ca="1" si="776"/>
        <v>#NAME?</v>
      </c>
      <c r="T435" t="e">
        <f t="shared" ca="1" si="747"/>
        <v>#NAME?</v>
      </c>
      <c r="U435" s="4">
        <f t="shared" si="748"/>
        <v>117.15311342592759</v>
      </c>
      <c r="V435" s="4">
        <f t="shared" si="749"/>
        <v>3.9051037808642528</v>
      </c>
      <c r="W435" s="4">
        <f t="shared" si="750"/>
        <v>1</v>
      </c>
      <c r="X435" s="4">
        <f t="shared" si="751"/>
        <v>0</v>
      </c>
      <c r="Y435" s="4">
        <f t="shared" si="752"/>
        <v>0</v>
      </c>
      <c r="Z435" s="4">
        <f t="shared" si="753"/>
        <v>0</v>
      </c>
      <c r="AA435" s="4">
        <f t="shared" si="754"/>
        <v>0</v>
      </c>
      <c r="AB435" s="4">
        <f t="shared" si="755"/>
        <v>0</v>
      </c>
      <c r="AC435" s="4"/>
      <c r="AD435" s="4" t="b">
        <f t="shared" si="756"/>
        <v>0</v>
      </c>
      <c r="AE435" s="4" t="b">
        <f t="shared" si="757"/>
        <v>0</v>
      </c>
      <c r="AF435" s="4" t="b">
        <f t="shared" si="758"/>
        <v>0</v>
      </c>
      <c r="AG435" t="b">
        <f t="shared" si="759"/>
        <v>0</v>
      </c>
      <c r="AH435" t="b">
        <f t="shared" si="760"/>
        <v>0</v>
      </c>
      <c r="AI435" t="b">
        <f t="shared" si="761"/>
        <v>0</v>
      </c>
      <c r="AJ435" t="b">
        <f t="shared" si="762"/>
        <v>0</v>
      </c>
      <c r="AK435" t="b">
        <f t="shared" si="763"/>
        <v>0</v>
      </c>
      <c r="AL435" t="b">
        <f t="shared" si="764"/>
        <v>0</v>
      </c>
      <c r="AM435" t="b">
        <f t="shared" si="765"/>
        <v>0</v>
      </c>
      <c r="AN435" t="b">
        <f t="shared" si="766"/>
        <v>0</v>
      </c>
      <c r="AO435" t="b">
        <f t="shared" si="767"/>
        <v>0</v>
      </c>
      <c r="AP435" t="b">
        <f t="shared" si="768"/>
        <v>0</v>
      </c>
      <c r="AQ435" t="b">
        <f t="shared" si="769"/>
        <v>0</v>
      </c>
      <c r="AR435" t="b">
        <f t="shared" si="770"/>
        <v>0</v>
      </c>
      <c r="AS435" t="b">
        <f t="shared" si="771"/>
        <v>0</v>
      </c>
      <c r="AT435" t="b">
        <f t="shared" si="772"/>
        <v>0</v>
      </c>
      <c r="AU435" t="b">
        <f t="shared" si="773"/>
        <v>0</v>
      </c>
      <c r="AV435" t="b">
        <f t="shared" si="774"/>
        <v>0</v>
      </c>
      <c r="AW435" t="b">
        <f t="shared" si="775"/>
        <v>0</v>
      </c>
      <c r="AX435" t="b">
        <f t="shared" si="777"/>
        <v>0</v>
      </c>
      <c r="AY435" t="b">
        <f t="shared" si="778"/>
        <v>0</v>
      </c>
      <c r="AZ435" t="b">
        <f t="shared" si="779"/>
        <v>0</v>
      </c>
      <c r="BA435" t="b">
        <f t="shared" si="780"/>
        <v>0</v>
      </c>
      <c r="BB435" t="b">
        <f t="shared" si="781"/>
        <v>0</v>
      </c>
      <c r="BC435" t="b">
        <f t="shared" si="782"/>
        <v>0</v>
      </c>
      <c r="BD435" t="b">
        <f t="shared" si="783"/>
        <v>0</v>
      </c>
      <c r="BE435" t="b">
        <f t="shared" si="784"/>
        <v>0</v>
      </c>
      <c r="BF435" t="b">
        <f t="shared" si="785"/>
        <v>0</v>
      </c>
      <c r="BG435" t="b">
        <f t="shared" si="786"/>
        <v>0</v>
      </c>
      <c r="BH435" t="b">
        <f t="shared" si="787"/>
        <v>0</v>
      </c>
      <c r="BI435">
        <f t="shared" si="788"/>
        <v>1</v>
      </c>
      <c r="BJ435" t="b">
        <f t="shared" si="789"/>
        <v>0</v>
      </c>
      <c r="BK435" t="b">
        <f t="shared" si="790"/>
        <v>0</v>
      </c>
      <c r="BL435" t="b">
        <f t="shared" si="791"/>
        <v>0</v>
      </c>
      <c r="BM435" t="b">
        <f t="shared" si="792"/>
        <v>0</v>
      </c>
      <c r="BN435" t="b">
        <f t="shared" si="793"/>
        <v>0</v>
      </c>
      <c r="BO435" t="b">
        <f t="shared" si="794"/>
        <v>0</v>
      </c>
      <c r="BP435" t="b">
        <f t="shared" si="795"/>
        <v>0</v>
      </c>
      <c r="BQ435" t="b">
        <f t="shared" si="796"/>
        <v>0</v>
      </c>
      <c r="BR435" t="b">
        <f t="shared" si="797"/>
        <v>0</v>
      </c>
      <c r="BS435">
        <f t="shared" si="798"/>
        <v>1</v>
      </c>
      <c r="BT435" t="b">
        <f t="shared" si="799"/>
        <v>0</v>
      </c>
      <c r="BU435" t="b">
        <f t="shared" si="800"/>
        <v>0</v>
      </c>
      <c r="BV435" t="b">
        <f t="shared" si="801"/>
        <v>0</v>
      </c>
      <c r="BW435" t="b">
        <f t="shared" si="802"/>
        <v>0</v>
      </c>
      <c r="BX435" t="b">
        <f t="shared" si="803"/>
        <v>0</v>
      </c>
      <c r="BY435" t="b">
        <f t="shared" si="804"/>
        <v>0</v>
      </c>
      <c r="BZ435" t="b">
        <f t="shared" si="805"/>
        <v>0</v>
      </c>
      <c r="CA435" t="b">
        <f t="shared" si="806"/>
        <v>0</v>
      </c>
      <c r="CB435" t="b">
        <f t="shared" si="807"/>
        <v>0</v>
      </c>
      <c r="CC435" t="b">
        <f t="shared" si="808"/>
        <v>0</v>
      </c>
      <c r="CD435" t="b">
        <f t="shared" si="809"/>
        <v>0</v>
      </c>
      <c r="CE435" t="b">
        <f t="shared" si="810"/>
        <v>0</v>
      </c>
      <c r="CF435" t="b">
        <f t="shared" si="811"/>
        <v>0</v>
      </c>
      <c r="CG435" t="b">
        <f t="shared" si="812"/>
        <v>0</v>
      </c>
      <c r="CH435" t="b">
        <f t="shared" si="813"/>
        <v>0</v>
      </c>
      <c r="CI435" t="b">
        <f t="shared" si="814"/>
        <v>0</v>
      </c>
      <c r="CJ435" t="b">
        <f t="shared" si="815"/>
        <v>0</v>
      </c>
      <c r="CK435" t="b">
        <f t="shared" si="816"/>
        <v>0</v>
      </c>
      <c r="CL435" t="b">
        <f t="shared" si="817"/>
        <v>0</v>
      </c>
      <c r="CM435">
        <f t="shared" si="818"/>
        <v>1</v>
      </c>
      <c r="CN435" t="b">
        <f t="shared" si="819"/>
        <v>0</v>
      </c>
      <c r="CO435" t="b">
        <f t="shared" si="820"/>
        <v>0</v>
      </c>
      <c r="CP435" t="b">
        <f t="shared" si="821"/>
        <v>0</v>
      </c>
      <c r="CQ435" t="b">
        <f t="shared" si="822"/>
        <v>0</v>
      </c>
      <c r="CR435" t="b">
        <f t="shared" si="823"/>
        <v>0</v>
      </c>
      <c r="CS435" t="b">
        <f t="shared" si="824"/>
        <v>0</v>
      </c>
      <c r="CT435" t="b">
        <f t="shared" si="825"/>
        <v>0</v>
      </c>
      <c r="CU435" t="b">
        <f t="shared" si="826"/>
        <v>0</v>
      </c>
      <c r="CV435">
        <f t="shared" si="827"/>
        <v>1</v>
      </c>
      <c r="CW435" t="b">
        <f t="shared" si="828"/>
        <v>0</v>
      </c>
      <c r="CX435" t="b">
        <f t="shared" si="829"/>
        <v>0</v>
      </c>
      <c r="CY435" t="b">
        <f t="shared" si="830"/>
        <v>0</v>
      </c>
      <c r="CZ435" t="b">
        <f t="shared" si="831"/>
        <v>0</v>
      </c>
      <c r="DA435" t="b">
        <f t="shared" si="832"/>
        <v>0</v>
      </c>
      <c r="DB435" t="b">
        <f t="shared" si="833"/>
        <v>0</v>
      </c>
      <c r="DC435" t="b">
        <f t="shared" si="834"/>
        <v>0</v>
      </c>
      <c r="DD435" t="b">
        <f t="shared" si="835"/>
        <v>0</v>
      </c>
      <c r="DE435" t="b">
        <f t="shared" si="836"/>
        <v>0</v>
      </c>
      <c r="DF435" t="b">
        <f t="shared" si="837"/>
        <v>0</v>
      </c>
      <c r="DG435" t="b">
        <f t="shared" si="838"/>
        <v>0</v>
      </c>
      <c r="DH435" t="b">
        <f t="shared" si="839"/>
        <v>0</v>
      </c>
      <c r="DI435" t="b">
        <f t="shared" si="840"/>
        <v>0</v>
      </c>
      <c r="DJ435" t="b">
        <f t="shared" si="841"/>
        <v>0</v>
      </c>
      <c r="DK435" t="b">
        <f t="shared" si="842"/>
        <v>0</v>
      </c>
      <c r="DL435" t="b">
        <f t="shared" si="843"/>
        <v>0</v>
      </c>
      <c r="DM435" t="b">
        <f t="shared" si="844"/>
        <v>0</v>
      </c>
      <c r="DN435" t="b">
        <f t="shared" si="845"/>
        <v>0</v>
      </c>
      <c r="DO435" t="b">
        <f t="shared" si="846"/>
        <v>0</v>
      </c>
      <c r="DP435" t="b">
        <f t="shared" si="847"/>
        <v>0</v>
      </c>
      <c r="DQ435" t="b">
        <f t="shared" si="848"/>
        <v>0</v>
      </c>
      <c r="DR435" t="b">
        <f t="shared" si="849"/>
        <v>0</v>
      </c>
      <c r="DS435" t="b">
        <f t="shared" si="850"/>
        <v>0</v>
      </c>
      <c r="DT435" t="b">
        <f t="shared" si="851"/>
        <v>0</v>
      </c>
      <c r="DU435" t="b">
        <f t="shared" si="852"/>
        <v>0</v>
      </c>
      <c r="DV435" t="b">
        <f t="shared" si="853"/>
        <v>0</v>
      </c>
      <c r="DW435" t="b">
        <f t="shared" si="854"/>
        <v>0</v>
      </c>
      <c r="DX435" t="b">
        <f t="shared" si="855"/>
        <v>0</v>
      </c>
      <c r="DY435">
        <f t="shared" si="856"/>
        <v>1</v>
      </c>
      <c r="DZ435" t="b">
        <f t="shared" si="857"/>
        <v>0</v>
      </c>
      <c r="EA435" t="b">
        <f t="shared" si="858"/>
        <v>0</v>
      </c>
      <c r="EB435" t="b">
        <f t="shared" si="859"/>
        <v>0</v>
      </c>
      <c r="EC435" t="b">
        <f t="shared" si="860"/>
        <v>0</v>
      </c>
      <c r="ED435" t="b">
        <f t="shared" si="861"/>
        <v>0</v>
      </c>
      <c r="EE435" t="b">
        <f t="shared" si="862"/>
        <v>0</v>
      </c>
      <c r="EF435" t="b">
        <f t="shared" si="863"/>
        <v>0</v>
      </c>
      <c r="EG435" t="b">
        <f t="shared" si="864"/>
        <v>0</v>
      </c>
      <c r="EH435" t="b">
        <f t="shared" si="865"/>
        <v>0</v>
      </c>
      <c r="EI435" t="b">
        <f t="shared" si="866"/>
        <v>0</v>
      </c>
      <c r="EJ435" t="b">
        <f t="shared" si="867"/>
        <v>0</v>
      </c>
      <c r="EK435" t="b">
        <f t="shared" si="868"/>
        <v>0</v>
      </c>
    </row>
    <row r="436" spans="1:141">
      <c r="A436" t="s">
        <v>2230</v>
      </c>
      <c r="B436" t="s">
        <v>2230</v>
      </c>
      <c r="C436" t="s">
        <v>2231</v>
      </c>
      <c r="D436" s="1">
        <v>43076</v>
      </c>
      <c r="E436" s="2">
        <v>43662.238506944443</v>
      </c>
      <c r="F436" s="2">
        <v>43662.238506944443</v>
      </c>
      <c r="G436">
        <v>41817893</v>
      </c>
      <c r="H436" t="s">
        <v>2232</v>
      </c>
      <c r="I436" s="10" t="s">
        <v>2233</v>
      </c>
      <c r="J436" t="s">
        <v>2234</v>
      </c>
      <c r="K436" s="8" t="b">
        <v>1</v>
      </c>
      <c r="L436" s="10" t="b">
        <v>0</v>
      </c>
      <c r="M436" s="12" t="b">
        <v>0</v>
      </c>
      <c r="N436" t="b">
        <v>0</v>
      </c>
      <c r="O436" t="b">
        <v>0</v>
      </c>
      <c r="P436" t="b">
        <v>0</v>
      </c>
      <c r="Q436">
        <f t="shared" si="745"/>
        <v>5</v>
      </c>
      <c r="R436">
        <f t="shared" si="746"/>
        <v>12</v>
      </c>
      <c r="S436" t="e">
        <f t="shared" ca="1" si="776"/>
        <v>#NAME?</v>
      </c>
      <c r="T436" t="e">
        <f t="shared" ca="1" si="747"/>
        <v>#NAME?</v>
      </c>
      <c r="U436" s="4">
        <f t="shared" si="748"/>
        <v>586.23850694444263</v>
      </c>
      <c r="V436" s="4">
        <f t="shared" si="749"/>
        <v>19.541283564814755</v>
      </c>
      <c r="W436" s="4">
        <f t="shared" si="750"/>
        <v>1</v>
      </c>
      <c r="X436" s="4">
        <f t="shared" si="751"/>
        <v>0</v>
      </c>
      <c r="Y436" s="4">
        <f t="shared" si="752"/>
        <v>0</v>
      </c>
      <c r="Z436" s="4">
        <f t="shared" si="753"/>
        <v>0</v>
      </c>
      <c r="AA436" s="4">
        <f t="shared" si="754"/>
        <v>0</v>
      </c>
      <c r="AB436" s="4">
        <f t="shared" si="755"/>
        <v>0</v>
      </c>
      <c r="AC436" s="4"/>
      <c r="AD436" s="4" t="b">
        <f t="shared" si="756"/>
        <v>0</v>
      </c>
      <c r="AE436" s="4" t="b">
        <f t="shared" si="757"/>
        <v>0</v>
      </c>
      <c r="AF436" s="4" t="b">
        <f t="shared" si="758"/>
        <v>0</v>
      </c>
      <c r="AG436" t="b">
        <f t="shared" si="759"/>
        <v>0</v>
      </c>
      <c r="AH436" t="b">
        <f t="shared" si="760"/>
        <v>0</v>
      </c>
      <c r="AI436" t="b">
        <f t="shared" si="761"/>
        <v>0</v>
      </c>
      <c r="AJ436" t="b">
        <f t="shared" si="762"/>
        <v>0</v>
      </c>
      <c r="AK436" t="b">
        <f t="shared" si="763"/>
        <v>0</v>
      </c>
      <c r="AL436" t="b">
        <f t="shared" si="764"/>
        <v>0</v>
      </c>
      <c r="AM436" t="b">
        <f t="shared" si="765"/>
        <v>0</v>
      </c>
      <c r="AN436" t="b">
        <f t="shared" si="766"/>
        <v>0</v>
      </c>
      <c r="AO436" t="b">
        <f t="shared" si="767"/>
        <v>0</v>
      </c>
      <c r="AP436" t="b">
        <f t="shared" si="768"/>
        <v>0</v>
      </c>
      <c r="AQ436" t="b">
        <f t="shared" si="769"/>
        <v>0</v>
      </c>
      <c r="AR436" t="b">
        <f t="shared" si="770"/>
        <v>0</v>
      </c>
      <c r="AS436" t="b">
        <f t="shared" si="771"/>
        <v>0</v>
      </c>
      <c r="AT436" t="b">
        <f t="shared" si="772"/>
        <v>0</v>
      </c>
      <c r="AU436" t="b">
        <f t="shared" si="773"/>
        <v>0</v>
      </c>
      <c r="AV436" t="b">
        <f t="shared" si="774"/>
        <v>0</v>
      </c>
      <c r="AW436" t="b">
        <f t="shared" si="775"/>
        <v>0</v>
      </c>
      <c r="AX436" t="b">
        <f t="shared" si="777"/>
        <v>0</v>
      </c>
      <c r="AY436" t="b">
        <f t="shared" si="778"/>
        <v>0</v>
      </c>
      <c r="AZ436" t="b">
        <f t="shared" si="779"/>
        <v>0</v>
      </c>
      <c r="BA436" t="b">
        <f t="shared" si="780"/>
        <v>0</v>
      </c>
      <c r="BB436" t="b">
        <f t="shared" si="781"/>
        <v>0</v>
      </c>
      <c r="BC436" t="b">
        <f t="shared" si="782"/>
        <v>0</v>
      </c>
      <c r="BD436" t="b">
        <f t="shared" si="783"/>
        <v>0</v>
      </c>
      <c r="BE436" t="b">
        <f t="shared" si="784"/>
        <v>0</v>
      </c>
      <c r="BF436" t="b">
        <f t="shared" si="785"/>
        <v>0</v>
      </c>
      <c r="BG436" t="b">
        <f t="shared" si="786"/>
        <v>0</v>
      </c>
      <c r="BH436" t="b">
        <f t="shared" si="787"/>
        <v>0</v>
      </c>
      <c r="BI436">
        <f t="shared" si="788"/>
        <v>1</v>
      </c>
      <c r="BJ436" t="b">
        <f t="shared" si="789"/>
        <v>0</v>
      </c>
      <c r="BK436" t="b">
        <f t="shared" si="790"/>
        <v>0</v>
      </c>
      <c r="BL436" t="b">
        <f t="shared" si="791"/>
        <v>0</v>
      </c>
      <c r="BM436" t="b">
        <f t="shared" si="792"/>
        <v>0</v>
      </c>
      <c r="BN436" t="b">
        <f t="shared" si="793"/>
        <v>0</v>
      </c>
      <c r="BO436" t="b">
        <f t="shared" si="794"/>
        <v>0</v>
      </c>
      <c r="BP436" t="b">
        <f t="shared" si="795"/>
        <v>0</v>
      </c>
      <c r="BQ436" t="b">
        <f t="shared" si="796"/>
        <v>0</v>
      </c>
      <c r="BR436">
        <f t="shared" si="797"/>
        <v>1</v>
      </c>
      <c r="BS436">
        <f t="shared" si="798"/>
        <v>1</v>
      </c>
      <c r="BT436" t="b">
        <f t="shared" si="799"/>
        <v>0</v>
      </c>
      <c r="BU436" t="b">
        <f t="shared" si="800"/>
        <v>0</v>
      </c>
      <c r="BV436" t="b">
        <f t="shared" si="801"/>
        <v>0</v>
      </c>
      <c r="BW436" t="b">
        <f t="shared" si="802"/>
        <v>0</v>
      </c>
      <c r="BX436" t="b">
        <f t="shared" si="803"/>
        <v>0</v>
      </c>
      <c r="BY436" t="b">
        <f t="shared" si="804"/>
        <v>0</v>
      </c>
      <c r="BZ436" t="b">
        <f t="shared" si="805"/>
        <v>0</v>
      </c>
      <c r="CA436" t="b">
        <f t="shared" si="806"/>
        <v>0</v>
      </c>
      <c r="CB436" t="b">
        <f t="shared" si="807"/>
        <v>0</v>
      </c>
      <c r="CC436" t="b">
        <f t="shared" si="808"/>
        <v>0</v>
      </c>
      <c r="CD436" t="b">
        <f t="shared" si="809"/>
        <v>0</v>
      </c>
      <c r="CE436" t="b">
        <f t="shared" si="810"/>
        <v>0</v>
      </c>
      <c r="CF436" t="b">
        <f t="shared" si="811"/>
        <v>0</v>
      </c>
      <c r="CG436" t="b">
        <f t="shared" si="812"/>
        <v>0</v>
      </c>
      <c r="CH436" t="b">
        <f t="shared" si="813"/>
        <v>0</v>
      </c>
      <c r="CI436" t="b">
        <f t="shared" si="814"/>
        <v>0</v>
      </c>
      <c r="CJ436" t="b">
        <f t="shared" si="815"/>
        <v>0</v>
      </c>
      <c r="CK436" t="b">
        <f t="shared" si="816"/>
        <v>0</v>
      </c>
      <c r="CL436" t="b">
        <f t="shared" si="817"/>
        <v>0</v>
      </c>
      <c r="CM436">
        <f t="shared" si="818"/>
        <v>1</v>
      </c>
      <c r="CN436" t="b">
        <f t="shared" si="819"/>
        <v>0</v>
      </c>
      <c r="CO436" t="b">
        <f t="shared" si="820"/>
        <v>0</v>
      </c>
      <c r="CP436" t="b">
        <f t="shared" si="821"/>
        <v>0</v>
      </c>
      <c r="CQ436" t="b">
        <f t="shared" si="822"/>
        <v>0</v>
      </c>
      <c r="CR436" t="b">
        <f t="shared" si="823"/>
        <v>0</v>
      </c>
      <c r="CS436" t="b">
        <f t="shared" si="824"/>
        <v>0</v>
      </c>
      <c r="CT436" t="b">
        <f t="shared" si="825"/>
        <v>0</v>
      </c>
      <c r="CU436" t="b">
        <f t="shared" si="826"/>
        <v>0</v>
      </c>
      <c r="CV436">
        <f t="shared" si="827"/>
        <v>1</v>
      </c>
      <c r="CW436" t="b">
        <f t="shared" si="828"/>
        <v>0</v>
      </c>
      <c r="CX436" t="b">
        <f t="shared" si="829"/>
        <v>0</v>
      </c>
      <c r="CY436" t="b">
        <f t="shared" si="830"/>
        <v>0</v>
      </c>
      <c r="CZ436" t="b">
        <f t="shared" si="831"/>
        <v>0</v>
      </c>
      <c r="DA436" t="b">
        <f t="shared" si="832"/>
        <v>0</v>
      </c>
      <c r="DB436" t="b">
        <f t="shared" si="833"/>
        <v>0</v>
      </c>
      <c r="DC436" t="b">
        <f t="shared" si="834"/>
        <v>0</v>
      </c>
      <c r="DD436" t="b">
        <f t="shared" si="835"/>
        <v>0</v>
      </c>
      <c r="DE436" t="b">
        <f t="shared" si="836"/>
        <v>0</v>
      </c>
      <c r="DF436" t="b">
        <f t="shared" si="837"/>
        <v>0</v>
      </c>
      <c r="DG436" t="b">
        <f t="shared" si="838"/>
        <v>0</v>
      </c>
      <c r="DH436" t="b">
        <f t="shared" si="839"/>
        <v>0</v>
      </c>
      <c r="DI436" t="b">
        <f t="shared" si="840"/>
        <v>0</v>
      </c>
      <c r="DJ436" t="b">
        <f t="shared" si="841"/>
        <v>0</v>
      </c>
      <c r="DK436" t="b">
        <f t="shared" si="842"/>
        <v>0</v>
      </c>
      <c r="DL436" t="b">
        <f t="shared" si="843"/>
        <v>0</v>
      </c>
      <c r="DM436" t="b">
        <f t="shared" si="844"/>
        <v>0</v>
      </c>
      <c r="DN436" t="b">
        <f t="shared" si="845"/>
        <v>0</v>
      </c>
      <c r="DO436" t="b">
        <f t="shared" si="846"/>
        <v>0</v>
      </c>
      <c r="DP436" t="b">
        <f t="shared" si="847"/>
        <v>0</v>
      </c>
      <c r="DQ436" t="b">
        <f t="shared" si="848"/>
        <v>0</v>
      </c>
      <c r="DR436" t="b">
        <f t="shared" si="849"/>
        <v>0</v>
      </c>
      <c r="DS436" t="b">
        <f t="shared" si="850"/>
        <v>0</v>
      </c>
      <c r="DT436" t="b">
        <f t="shared" si="851"/>
        <v>0</v>
      </c>
      <c r="DU436" t="b">
        <f t="shared" si="852"/>
        <v>0</v>
      </c>
      <c r="DV436" t="b">
        <f t="shared" si="853"/>
        <v>0</v>
      </c>
      <c r="DW436" t="b">
        <f t="shared" si="854"/>
        <v>0</v>
      </c>
      <c r="DX436" t="b">
        <f t="shared" si="855"/>
        <v>0</v>
      </c>
      <c r="DY436">
        <f t="shared" si="856"/>
        <v>1</v>
      </c>
      <c r="DZ436" t="b">
        <f t="shared" si="857"/>
        <v>0</v>
      </c>
      <c r="EA436" t="b">
        <f t="shared" si="858"/>
        <v>0</v>
      </c>
      <c r="EB436" t="b">
        <f t="shared" si="859"/>
        <v>0</v>
      </c>
      <c r="EC436" t="b">
        <f t="shared" si="860"/>
        <v>0</v>
      </c>
      <c r="ED436" t="b">
        <f t="shared" si="861"/>
        <v>0</v>
      </c>
      <c r="EE436" t="b">
        <f t="shared" si="862"/>
        <v>0</v>
      </c>
      <c r="EF436">
        <f t="shared" si="863"/>
        <v>1</v>
      </c>
      <c r="EG436" t="b">
        <f t="shared" si="864"/>
        <v>0</v>
      </c>
      <c r="EH436" t="b">
        <f t="shared" si="865"/>
        <v>0</v>
      </c>
      <c r="EI436">
        <f t="shared" si="866"/>
        <v>1</v>
      </c>
      <c r="EJ436" t="b">
        <f t="shared" si="867"/>
        <v>0</v>
      </c>
      <c r="EK436" t="b">
        <f t="shared" si="868"/>
        <v>0</v>
      </c>
    </row>
    <row r="437" spans="1:141">
      <c r="A437" t="s">
        <v>2235</v>
      </c>
      <c r="B437" t="s">
        <v>2236</v>
      </c>
      <c r="C437" t="s">
        <v>2237</v>
      </c>
      <c r="D437" s="1">
        <v>43647</v>
      </c>
      <c r="E437" s="2">
        <v>43842.408993055556</v>
      </c>
      <c r="F437" s="2">
        <v>43842.408993055556</v>
      </c>
      <c r="G437">
        <v>62261</v>
      </c>
      <c r="H437" t="s">
        <v>2238</v>
      </c>
      <c r="I437" s="10" t="s">
        <v>2239</v>
      </c>
      <c r="J437" t="s">
        <v>188</v>
      </c>
      <c r="K437" s="8" t="b">
        <v>1</v>
      </c>
      <c r="L437" s="10" t="b">
        <v>0</v>
      </c>
      <c r="M437" s="12" t="b">
        <v>0</v>
      </c>
      <c r="N437" t="b">
        <v>0</v>
      </c>
      <c r="O437" t="b">
        <v>0</v>
      </c>
      <c r="P437" t="b">
        <v>0</v>
      </c>
      <c r="Q437">
        <f t="shared" si="745"/>
        <v>2</v>
      </c>
      <c r="R437">
        <f t="shared" si="746"/>
        <v>7</v>
      </c>
      <c r="S437" t="e">
        <f t="shared" ca="1" si="776"/>
        <v>#NAME?</v>
      </c>
      <c r="T437" t="e">
        <f t="shared" ca="1" si="747"/>
        <v>#NAME?</v>
      </c>
      <c r="U437" s="4">
        <f t="shared" si="748"/>
        <v>195.40899305555649</v>
      </c>
      <c r="V437" s="4">
        <f t="shared" si="749"/>
        <v>6.5136331018518829</v>
      </c>
      <c r="W437" s="4">
        <f t="shared" si="750"/>
        <v>1</v>
      </c>
      <c r="X437" s="4">
        <f t="shared" si="751"/>
        <v>0</v>
      </c>
      <c r="Y437" s="4">
        <f t="shared" si="752"/>
        <v>0</v>
      </c>
      <c r="Z437" s="4">
        <f t="shared" si="753"/>
        <v>0</v>
      </c>
      <c r="AA437" s="4">
        <f t="shared" si="754"/>
        <v>0</v>
      </c>
      <c r="AB437" s="4">
        <f t="shared" si="755"/>
        <v>0</v>
      </c>
      <c r="AC437" s="4"/>
      <c r="AD437" s="4" t="b">
        <f t="shared" si="756"/>
        <v>0</v>
      </c>
      <c r="AE437" s="4" t="b">
        <f t="shared" si="757"/>
        <v>0</v>
      </c>
      <c r="AF437" s="4" t="b">
        <f t="shared" si="758"/>
        <v>0</v>
      </c>
      <c r="AG437" t="b">
        <f t="shared" si="759"/>
        <v>0</v>
      </c>
      <c r="AH437" t="b">
        <f t="shared" si="760"/>
        <v>0</v>
      </c>
      <c r="AI437" t="b">
        <f t="shared" si="761"/>
        <v>0</v>
      </c>
      <c r="AJ437" t="b">
        <f t="shared" si="762"/>
        <v>0</v>
      </c>
      <c r="AK437" t="b">
        <f t="shared" si="763"/>
        <v>0</v>
      </c>
      <c r="AL437" t="b">
        <f t="shared" si="764"/>
        <v>0</v>
      </c>
      <c r="AM437" t="b">
        <f t="shared" si="765"/>
        <v>0</v>
      </c>
      <c r="AN437" t="b">
        <f t="shared" si="766"/>
        <v>0</v>
      </c>
      <c r="AO437" t="b">
        <f t="shared" si="767"/>
        <v>0</v>
      </c>
      <c r="AP437" t="b">
        <f t="shared" si="768"/>
        <v>0</v>
      </c>
      <c r="AQ437" t="b">
        <f t="shared" si="769"/>
        <v>0</v>
      </c>
      <c r="AR437" t="b">
        <f t="shared" si="770"/>
        <v>0</v>
      </c>
      <c r="AS437" t="b">
        <f t="shared" si="771"/>
        <v>0</v>
      </c>
      <c r="AT437" t="b">
        <f t="shared" si="772"/>
        <v>0</v>
      </c>
      <c r="AU437" t="b">
        <f t="shared" si="773"/>
        <v>0</v>
      </c>
      <c r="AV437" t="b">
        <f t="shared" si="774"/>
        <v>0</v>
      </c>
      <c r="AW437" t="b">
        <f t="shared" si="775"/>
        <v>0</v>
      </c>
      <c r="AX437" t="b">
        <f t="shared" si="777"/>
        <v>0</v>
      </c>
      <c r="AY437" t="b">
        <f t="shared" si="778"/>
        <v>0</v>
      </c>
      <c r="AZ437" t="b">
        <f t="shared" si="779"/>
        <v>0</v>
      </c>
      <c r="BA437" t="b">
        <f t="shared" si="780"/>
        <v>0</v>
      </c>
      <c r="BB437" t="b">
        <f t="shared" si="781"/>
        <v>0</v>
      </c>
      <c r="BC437" t="b">
        <f t="shared" si="782"/>
        <v>0</v>
      </c>
      <c r="BD437" t="b">
        <f t="shared" si="783"/>
        <v>0</v>
      </c>
      <c r="BE437" t="b">
        <f t="shared" si="784"/>
        <v>0</v>
      </c>
      <c r="BF437" t="b">
        <f t="shared" si="785"/>
        <v>0</v>
      </c>
      <c r="BG437" t="b">
        <f t="shared" si="786"/>
        <v>0</v>
      </c>
      <c r="BH437" t="b">
        <f t="shared" si="787"/>
        <v>0</v>
      </c>
      <c r="BI437">
        <f t="shared" si="788"/>
        <v>1</v>
      </c>
      <c r="BJ437" t="b">
        <f t="shared" si="789"/>
        <v>0</v>
      </c>
      <c r="BK437" t="b">
        <f t="shared" si="790"/>
        <v>0</v>
      </c>
      <c r="BL437" t="b">
        <f t="shared" si="791"/>
        <v>0</v>
      </c>
      <c r="BM437" t="b">
        <f t="shared" si="792"/>
        <v>0</v>
      </c>
      <c r="BN437" t="b">
        <f t="shared" si="793"/>
        <v>0</v>
      </c>
      <c r="BO437" t="b">
        <f t="shared" si="794"/>
        <v>0</v>
      </c>
      <c r="BP437" t="b">
        <f t="shared" si="795"/>
        <v>0</v>
      </c>
      <c r="BQ437" t="b">
        <f t="shared" si="796"/>
        <v>0</v>
      </c>
      <c r="BR437" t="b">
        <f t="shared" si="797"/>
        <v>0</v>
      </c>
      <c r="BS437" t="b">
        <f t="shared" si="798"/>
        <v>0</v>
      </c>
      <c r="BT437" t="b">
        <f t="shared" si="799"/>
        <v>0</v>
      </c>
      <c r="BU437" t="b">
        <f t="shared" si="800"/>
        <v>0</v>
      </c>
      <c r="BV437" t="b">
        <f t="shared" si="801"/>
        <v>0</v>
      </c>
      <c r="BW437" t="b">
        <f t="shared" si="802"/>
        <v>0</v>
      </c>
      <c r="BX437" t="b">
        <f t="shared" si="803"/>
        <v>0</v>
      </c>
      <c r="BY437" t="b">
        <f t="shared" si="804"/>
        <v>0</v>
      </c>
      <c r="BZ437" t="b">
        <f t="shared" si="805"/>
        <v>0</v>
      </c>
      <c r="CA437" t="b">
        <f t="shared" si="806"/>
        <v>0</v>
      </c>
      <c r="CB437" t="b">
        <f t="shared" si="807"/>
        <v>0</v>
      </c>
      <c r="CC437" t="b">
        <f t="shared" si="808"/>
        <v>0</v>
      </c>
      <c r="CD437" t="b">
        <f t="shared" si="809"/>
        <v>0</v>
      </c>
      <c r="CE437">
        <f t="shared" si="810"/>
        <v>1</v>
      </c>
      <c r="CF437" t="b">
        <f t="shared" si="811"/>
        <v>0</v>
      </c>
      <c r="CG437" t="b">
        <f t="shared" si="812"/>
        <v>0</v>
      </c>
      <c r="CH437" t="b">
        <f t="shared" si="813"/>
        <v>0</v>
      </c>
      <c r="CI437" t="b">
        <f t="shared" si="814"/>
        <v>0</v>
      </c>
      <c r="CJ437" t="b">
        <f t="shared" si="815"/>
        <v>0</v>
      </c>
      <c r="CK437" t="b">
        <f t="shared" si="816"/>
        <v>0</v>
      </c>
      <c r="CL437" t="b">
        <f t="shared" si="817"/>
        <v>0</v>
      </c>
      <c r="CM437" t="b">
        <f t="shared" si="818"/>
        <v>0</v>
      </c>
      <c r="CN437" t="b">
        <f t="shared" si="819"/>
        <v>0</v>
      </c>
      <c r="CO437" t="b">
        <f t="shared" si="820"/>
        <v>0</v>
      </c>
      <c r="CP437" t="b">
        <f t="shared" si="821"/>
        <v>0</v>
      </c>
      <c r="CQ437" t="b">
        <f t="shared" si="822"/>
        <v>0</v>
      </c>
      <c r="CR437" t="b">
        <f t="shared" si="823"/>
        <v>0</v>
      </c>
      <c r="CS437" t="b">
        <f t="shared" si="824"/>
        <v>0</v>
      </c>
      <c r="CT437" t="b">
        <f t="shared" si="825"/>
        <v>0</v>
      </c>
      <c r="CU437" t="b">
        <f t="shared" si="826"/>
        <v>0</v>
      </c>
      <c r="CV437">
        <f t="shared" si="827"/>
        <v>1</v>
      </c>
      <c r="CW437" t="b">
        <f t="shared" si="828"/>
        <v>0</v>
      </c>
      <c r="CX437" t="b">
        <f t="shared" si="829"/>
        <v>0</v>
      </c>
      <c r="CY437" t="b">
        <f t="shared" si="830"/>
        <v>0</v>
      </c>
      <c r="CZ437" t="b">
        <f t="shared" si="831"/>
        <v>0</v>
      </c>
      <c r="DA437" t="b">
        <f t="shared" si="832"/>
        <v>0</v>
      </c>
      <c r="DB437" t="b">
        <f t="shared" si="833"/>
        <v>0</v>
      </c>
      <c r="DC437" t="b">
        <f t="shared" si="834"/>
        <v>0</v>
      </c>
      <c r="DD437" t="b">
        <f t="shared" si="835"/>
        <v>0</v>
      </c>
      <c r="DE437" t="b">
        <f t="shared" si="836"/>
        <v>0</v>
      </c>
      <c r="DF437" t="b">
        <f t="shared" si="837"/>
        <v>0</v>
      </c>
      <c r="DG437" t="b">
        <f t="shared" si="838"/>
        <v>0</v>
      </c>
      <c r="DH437" t="b">
        <f t="shared" si="839"/>
        <v>0</v>
      </c>
      <c r="DI437" t="b">
        <f t="shared" si="840"/>
        <v>0</v>
      </c>
      <c r="DJ437" t="b">
        <f t="shared" si="841"/>
        <v>0</v>
      </c>
      <c r="DK437" t="b">
        <f t="shared" si="842"/>
        <v>0</v>
      </c>
      <c r="DL437" t="b">
        <f t="shared" si="843"/>
        <v>0</v>
      </c>
      <c r="DM437" t="b">
        <f t="shared" si="844"/>
        <v>0</v>
      </c>
      <c r="DN437" t="b">
        <f t="shared" si="845"/>
        <v>0</v>
      </c>
      <c r="DO437" t="b">
        <f t="shared" si="846"/>
        <v>0</v>
      </c>
      <c r="DP437" t="b">
        <f t="shared" si="847"/>
        <v>0</v>
      </c>
      <c r="DQ437" t="b">
        <f t="shared" si="848"/>
        <v>0</v>
      </c>
      <c r="DR437" t="b">
        <f t="shared" si="849"/>
        <v>0</v>
      </c>
      <c r="DS437" t="b">
        <f t="shared" si="850"/>
        <v>0</v>
      </c>
      <c r="DT437" t="b">
        <f t="shared" si="851"/>
        <v>0</v>
      </c>
      <c r="DU437" t="b">
        <f t="shared" si="852"/>
        <v>0</v>
      </c>
      <c r="DV437" t="b">
        <f t="shared" si="853"/>
        <v>0</v>
      </c>
      <c r="DW437" t="b">
        <f t="shared" si="854"/>
        <v>0</v>
      </c>
      <c r="DX437" t="b">
        <f t="shared" si="855"/>
        <v>0</v>
      </c>
      <c r="DY437" t="b">
        <f t="shared" si="856"/>
        <v>0</v>
      </c>
      <c r="DZ437" t="b">
        <f t="shared" si="857"/>
        <v>0</v>
      </c>
      <c r="EA437" t="b">
        <f t="shared" si="858"/>
        <v>0</v>
      </c>
      <c r="EB437" t="b">
        <f t="shared" si="859"/>
        <v>0</v>
      </c>
      <c r="EC437" t="b">
        <f t="shared" si="860"/>
        <v>0</v>
      </c>
      <c r="ED437" t="b">
        <f t="shared" si="861"/>
        <v>0</v>
      </c>
      <c r="EE437" t="b">
        <f t="shared" si="862"/>
        <v>0</v>
      </c>
      <c r="EF437">
        <f t="shared" si="863"/>
        <v>1</v>
      </c>
      <c r="EG437" t="b">
        <f t="shared" si="864"/>
        <v>0</v>
      </c>
      <c r="EH437" t="b">
        <f t="shared" si="865"/>
        <v>0</v>
      </c>
      <c r="EI437" t="b">
        <f t="shared" si="866"/>
        <v>0</v>
      </c>
      <c r="EJ437" t="b">
        <f t="shared" si="867"/>
        <v>0</v>
      </c>
      <c r="EK437" t="b">
        <f t="shared" si="868"/>
        <v>0</v>
      </c>
    </row>
    <row r="438" spans="1:141">
      <c r="A438" t="s">
        <v>2240</v>
      </c>
      <c r="B438" t="s">
        <v>2241</v>
      </c>
      <c r="C438" t="s">
        <v>2242</v>
      </c>
      <c r="D438" s="1">
        <v>44940</v>
      </c>
      <c r="E438" s="2">
        <v>44957.08394675926</v>
      </c>
      <c r="F438" s="2">
        <v>44957.08394675926</v>
      </c>
      <c r="G438">
        <v>240488</v>
      </c>
      <c r="H438" t="s">
        <v>2243</v>
      </c>
      <c r="I438" s="10" t="s">
        <v>2244</v>
      </c>
      <c r="J438" t="s">
        <v>2245</v>
      </c>
      <c r="K438" s="8" t="b">
        <v>1</v>
      </c>
      <c r="L438" s="10" t="b">
        <v>0</v>
      </c>
      <c r="M438" s="12" t="b">
        <v>0</v>
      </c>
      <c r="N438" t="b">
        <v>0</v>
      </c>
      <c r="O438" t="b">
        <v>0</v>
      </c>
      <c r="P438" t="b">
        <v>0</v>
      </c>
      <c r="Q438">
        <f t="shared" si="745"/>
        <v>7</v>
      </c>
      <c r="R438">
        <f t="shared" si="746"/>
        <v>1</v>
      </c>
      <c r="S438" t="e">
        <f t="shared" ca="1" si="776"/>
        <v>#NAME?</v>
      </c>
      <c r="T438" t="e">
        <f t="shared" ca="1" si="747"/>
        <v>#NAME?</v>
      </c>
      <c r="U438" s="4">
        <f t="shared" si="748"/>
        <v>17.083946759259561</v>
      </c>
      <c r="V438" s="4">
        <f t="shared" si="749"/>
        <v>0.56946489197531869</v>
      </c>
      <c r="W438" s="4">
        <f t="shared" si="750"/>
        <v>1</v>
      </c>
      <c r="X438" s="4">
        <f t="shared" si="751"/>
        <v>0</v>
      </c>
      <c r="Y438" s="4">
        <f t="shared" si="752"/>
        <v>0</v>
      </c>
      <c r="Z438" s="4">
        <f t="shared" si="753"/>
        <v>0</v>
      </c>
      <c r="AA438" s="4">
        <f t="shared" si="754"/>
        <v>0</v>
      </c>
      <c r="AB438" s="4">
        <f t="shared" si="755"/>
        <v>0</v>
      </c>
      <c r="AC438" s="4"/>
      <c r="AD438" s="4" t="b">
        <f t="shared" si="756"/>
        <v>0</v>
      </c>
      <c r="AE438" s="4" t="b">
        <f t="shared" si="757"/>
        <v>0</v>
      </c>
      <c r="AF438" s="4" t="b">
        <f t="shared" si="758"/>
        <v>0</v>
      </c>
      <c r="AG438" t="b">
        <f t="shared" si="759"/>
        <v>0</v>
      </c>
      <c r="AH438" t="b">
        <f t="shared" si="760"/>
        <v>0</v>
      </c>
      <c r="AI438" t="b">
        <f t="shared" si="761"/>
        <v>0</v>
      </c>
      <c r="AJ438" t="b">
        <f t="shared" si="762"/>
        <v>0</v>
      </c>
      <c r="AK438" t="b">
        <f t="shared" si="763"/>
        <v>0</v>
      </c>
      <c r="AL438" t="b">
        <f t="shared" si="764"/>
        <v>0</v>
      </c>
      <c r="AM438" t="b">
        <f t="shared" si="765"/>
        <v>0</v>
      </c>
      <c r="AN438" t="b">
        <f t="shared" si="766"/>
        <v>0</v>
      </c>
      <c r="AO438" t="b">
        <f t="shared" si="767"/>
        <v>0</v>
      </c>
      <c r="AP438" t="b">
        <f t="shared" si="768"/>
        <v>0</v>
      </c>
      <c r="AQ438" t="b">
        <f t="shared" si="769"/>
        <v>0</v>
      </c>
      <c r="AR438" t="b">
        <f t="shared" si="770"/>
        <v>0</v>
      </c>
      <c r="AS438" t="b">
        <f t="shared" si="771"/>
        <v>0</v>
      </c>
      <c r="AT438" t="b">
        <f t="shared" si="772"/>
        <v>0</v>
      </c>
      <c r="AU438" t="b">
        <f t="shared" si="773"/>
        <v>0</v>
      </c>
      <c r="AV438" t="b">
        <f t="shared" si="774"/>
        <v>0</v>
      </c>
      <c r="AW438" t="b">
        <f t="shared" si="775"/>
        <v>0</v>
      </c>
      <c r="AX438" t="b">
        <f t="shared" si="777"/>
        <v>0</v>
      </c>
      <c r="AY438" t="b">
        <f t="shared" si="778"/>
        <v>0</v>
      </c>
      <c r="AZ438">
        <f t="shared" si="779"/>
        <v>1</v>
      </c>
      <c r="BA438" t="b">
        <f t="shared" si="780"/>
        <v>0</v>
      </c>
      <c r="BB438" t="b">
        <f t="shared" si="781"/>
        <v>0</v>
      </c>
      <c r="BC438" t="b">
        <f t="shared" si="782"/>
        <v>0</v>
      </c>
      <c r="BD438" t="b">
        <f t="shared" si="783"/>
        <v>0</v>
      </c>
      <c r="BE438" t="b">
        <f t="shared" si="784"/>
        <v>0</v>
      </c>
      <c r="BF438" t="b">
        <f t="shared" si="785"/>
        <v>0</v>
      </c>
      <c r="BG438" t="b">
        <f t="shared" si="786"/>
        <v>0</v>
      </c>
      <c r="BH438" t="b">
        <f t="shared" si="787"/>
        <v>0</v>
      </c>
      <c r="BI438">
        <f t="shared" si="788"/>
        <v>1</v>
      </c>
      <c r="BJ438" t="b">
        <f t="shared" si="789"/>
        <v>0</v>
      </c>
      <c r="BK438" t="b">
        <f t="shared" si="790"/>
        <v>0</v>
      </c>
      <c r="BL438" t="b">
        <f t="shared" si="791"/>
        <v>0</v>
      </c>
      <c r="BM438" t="b">
        <f t="shared" si="792"/>
        <v>0</v>
      </c>
      <c r="BN438" t="b">
        <f t="shared" si="793"/>
        <v>0</v>
      </c>
      <c r="BO438" t="b">
        <f t="shared" si="794"/>
        <v>0</v>
      </c>
      <c r="BP438" t="b">
        <f t="shared" si="795"/>
        <v>0</v>
      </c>
      <c r="BQ438" t="b">
        <f t="shared" si="796"/>
        <v>0</v>
      </c>
      <c r="BR438">
        <f t="shared" si="797"/>
        <v>1</v>
      </c>
      <c r="BS438" t="b">
        <f t="shared" si="798"/>
        <v>0</v>
      </c>
      <c r="BT438" t="b">
        <f t="shared" si="799"/>
        <v>0</v>
      </c>
      <c r="BU438" t="b">
        <f t="shared" si="800"/>
        <v>0</v>
      </c>
      <c r="BV438" t="b">
        <f t="shared" si="801"/>
        <v>0</v>
      </c>
      <c r="BW438" t="b">
        <f t="shared" si="802"/>
        <v>0</v>
      </c>
      <c r="BX438" t="b">
        <f t="shared" si="803"/>
        <v>0</v>
      </c>
      <c r="BY438" t="b">
        <f t="shared" si="804"/>
        <v>0</v>
      </c>
      <c r="BZ438" t="b">
        <f t="shared" si="805"/>
        <v>0</v>
      </c>
      <c r="CA438" t="b">
        <f t="shared" si="806"/>
        <v>0</v>
      </c>
      <c r="CB438" t="b">
        <f t="shared" si="807"/>
        <v>0</v>
      </c>
      <c r="CC438" t="b">
        <f t="shared" si="808"/>
        <v>0</v>
      </c>
      <c r="CD438" t="b">
        <f t="shared" si="809"/>
        <v>0</v>
      </c>
      <c r="CE438">
        <f t="shared" si="810"/>
        <v>1</v>
      </c>
      <c r="CF438" t="b">
        <f t="shared" si="811"/>
        <v>0</v>
      </c>
      <c r="CG438" t="b">
        <f t="shared" si="812"/>
        <v>0</v>
      </c>
      <c r="CH438" t="b">
        <f t="shared" si="813"/>
        <v>0</v>
      </c>
      <c r="CI438" t="b">
        <f t="shared" si="814"/>
        <v>0</v>
      </c>
      <c r="CJ438" t="b">
        <f t="shared" si="815"/>
        <v>0</v>
      </c>
      <c r="CK438" t="b">
        <f t="shared" si="816"/>
        <v>0</v>
      </c>
      <c r="CL438" t="b">
        <f t="shared" si="817"/>
        <v>0</v>
      </c>
      <c r="CM438">
        <f t="shared" si="818"/>
        <v>1</v>
      </c>
      <c r="CN438" t="b">
        <f t="shared" si="819"/>
        <v>0</v>
      </c>
      <c r="CO438" t="b">
        <f t="shared" si="820"/>
        <v>0</v>
      </c>
      <c r="CP438" t="b">
        <f t="shared" si="821"/>
        <v>0</v>
      </c>
      <c r="CQ438" t="b">
        <f t="shared" si="822"/>
        <v>0</v>
      </c>
      <c r="CR438" t="b">
        <f t="shared" si="823"/>
        <v>0</v>
      </c>
      <c r="CS438" t="b">
        <f t="shared" si="824"/>
        <v>0</v>
      </c>
      <c r="CT438" t="b">
        <f t="shared" si="825"/>
        <v>0</v>
      </c>
      <c r="CU438" t="b">
        <f t="shared" si="826"/>
        <v>0</v>
      </c>
      <c r="CV438">
        <f t="shared" si="827"/>
        <v>1</v>
      </c>
      <c r="CW438" t="b">
        <f t="shared" si="828"/>
        <v>0</v>
      </c>
      <c r="CX438" t="b">
        <f t="shared" si="829"/>
        <v>0</v>
      </c>
      <c r="CY438" t="b">
        <f t="shared" si="830"/>
        <v>0</v>
      </c>
      <c r="CZ438" t="b">
        <f t="shared" si="831"/>
        <v>0</v>
      </c>
      <c r="DA438">
        <f t="shared" si="832"/>
        <v>1</v>
      </c>
      <c r="DB438">
        <f t="shared" si="833"/>
        <v>1</v>
      </c>
      <c r="DC438" t="b">
        <f t="shared" si="834"/>
        <v>0</v>
      </c>
      <c r="DD438" t="b">
        <f t="shared" si="835"/>
        <v>0</v>
      </c>
      <c r="DE438" t="b">
        <f t="shared" si="836"/>
        <v>0</v>
      </c>
      <c r="DF438" t="b">
        <f t="shared" si="837"/>
        <v>0</v>
      </c>
      <c r="DG438" t="b">
        <f t="shared" si="838"/>
        <v>0</v>
      </c>
      <c r="DH438" t="b">
        <f t="shared" si="839"/>
        <v>0</v>
      </c>
      <c r="DI438" t="b">
        <f t="shared" si="840"/>
        <v>0</v>
      </c>
      <c r="DJ438">
        <f t="shared" si="841"/>
        <v>1</v>
      </c>
      <c r="DK438" t="b">
        <f t="shared" si="842"/>
        <v>0</v>
      </c>
      <c r="DL438" t="b">
        <f t="shared" si="843"/>
        <v>0</v>
      </c>
      <c r="DM438" t="b">
        <f t="shared" si="844"/>
        <v>0</v>
      </c>
      <c r="DN438" t="b">
        <f t="shared" si="845"/>
        <v>0</v>
      </c>
      <c r="DO438" t="b">
        <f t="shared" si="846"/>
        <v>0</v>
      </c>
      <c r="DP438" t="b">
        <f t="shared" si="847"/>
        <v>0</v>
      </c>
      <c r="DQ438" t="b">
        <f t="shared" si="848"/>
        <v>0</v>
      </c>
      <c r="DR438" t="b">
        <f t="shared" si="849"/>
        <v>0</v>
      </c>
      <c r="DS438" t="b">
        <f t="shared" si="850"/>
        <v>0</v>
      </c>
      <c r="DT438" t="b">
        <f t="shared" si="851"/>
        <v>0</v>
      </c>
      <c r="DU438" t="b">
        <f t="shared" si="852"/>
        <v>0</v>
      </c>
      <c r="DV438" t="b">
        <f t="shared" si="853"/>
        <v>0</v>
      </c>
      <c r="DW438" t="b">
        <f t="shared" si="854"/>
        <v>0</v>
      </c>
      <c r="DX438" t="b">
        <f t="shared" si="855"/>
        <v>0</v>
      </c>
      <c r="DY438" t="b">
        <f t="shared" si="856"/>
        <v>0</v>
      </c>
      <c r="DZ438" t="b">
        <f t="shared" si="857"/>
        <v>0</v>
      </c>
      <c r="EA438" t="b">
        <f t="shared" si="858"/>
        <v>0</v>
      </c>
      <c r="EB438" t="b">
        <f t="shared" si="859"/>
        <v>0</v>
      </c>
      <c r="EC438" t="b">
        <f t="shared" si="860"/>
        <v>0</v>
      </c>
      <c r="ED438" t="b">
        <f t="shared" si="861"/>
        <v>0</v>
      </c>
      <c r="EE438" t="b">
        <f t="shared" si="862"/>
        <v>0</v>
      </c>
      <c r="EF438" t="b">
        <f t="shared" si="863"/>
        <v>0</v>
      </c>
      <c r="EG438" t="b">
        <f t="shared" si="864"/>
        <v>0</v>
      </c>
      <c r="EH438" t="b">
        <f t="shared" si="865"/>
        <v>0</v>
      </c>
      <c r="EI438" t="b">
        <f t="shared" si="866"/>
        <v>0</v>
      </c>
      <c r="EJ438" t="b">
        <f t="shared" si="867"/>
        <v>0</v>
      </c>
      <c r="EK438" t="b">
        <f t="shared" si="868"/>
        <v>0</v>
      </c>
    </row>
    <row r="439" spans="1:141">
      <c r="A439" t="s">
        <v>2246</v>
      </c>
      <c r="B439" t="s">
        <v>2246</v>
      </c>
      <c r="C439" t="s">
        <v>2247</v>
      </c>
      <c r="D439" s="1">
        <v>44123</v>
      </c>
      <c r="E439" s="2">
        <v>44480.985474537039</v>
      </c>
      <c r="F439" s="2">
        <v>44480.985474537039</v>
      </c>
      <c r="G439">
        <v>50538</v>
      </c>
      <c r="H439" t="s">
        <v>2248</v>
      </c>
      <c r="I439" s="10" t="s">
        <v>2249</v>
      </c>
      <c r="J439" t="s">
        <v>2250</v>
      </c>
      <c r="K439" s="8" t="b">
        <v>1</v>
      </c>
      <c r="L439" s="10" t="b">
        <v>0</v>
      </c>
      <c r="M439" s="12" t="b">
        <v>0</v>
      </c>
      <c r="N439" t="b">
        <v>0</v>
      </c>
      <c r="O439" t="b">
        <v>0</v>
      </c>
      <c r="P439" t="b">
        <v>0</v>
      </c>
      <c r="Q439">
        <f t="shared" si="745"/>
        <v>2</v>
      </c>
      <c r="R439">
        <f t="shared" si="746"/>
        <v>10</v>
      </c>
      <c r="S439" t="e">
        <f t="shared" ca="1" si="776"/>
        <v>#NAME?</v>
      </c>
      <c r="T439" t="e">
        <f t="shared" ca="1" si="747"/>
        <v>#NAME?</v>
      </c>
      <c r="U439" s="4">
        <f t="shared" si="748"/>
        <v>357.98547453703941</v>
      </c>
      <c r="V439" s="4">
        <f t="shared" si="749"/>
        <v>11.932849151234647</v>
      </c>
      <c r="W439" s="4">
        <f t="shared" si="750"/>
        <v>1</v>
      </c>
      <c r="X439" s="4">
        <f t="shared" si="751"/>
        <v>0</v>
      </c>
      <c r="Y439" s="4">
        <f t="shared" si="752"/>
        <v>0</v>
      </c>
      <c r="Z439" s="4">
        <f t="shared" si="753"/>
        <v>0</v>
      </c>
      <c r="AA439" s="4">
        <f t="shared" si="754"/>
        <v>0</v>
      </c>
      <c r="AB439" s="4">
        <f t="shared" si="755"/>
        <v>0</v>
      </c>
      <c r="AC439" s="4"/>
      <c r="AD439" s="4" t="b">
        <f t="shared" si="756"/>
        <v>0</v>
      </c>
      <c r="AE439" s="4" t="b">
        <f t="shared" si="757"/>
        <v>0</v>
      </c>
      <c r="AF439" s="4" t="b">
        <f t="shared" si="758"/>
        <v>0</v>
      </c>
      <c r="AG439" t="b">
        <f t="shared" si="759"/>
        <v>0</v>
      </c>
      <c r="AH439" t="b">
        <f t="shared" si="760"/>
        <v>0</v>
      </c>
      <c r="AI439" t="b">
        <f t="shared" si="761"/>
        <v>0</v>
      </c>
      <c r="AJ439" t="b">
        <f t="shared" si="762"/>
        <v>0</v>
      </c>
      <c r="AK439" t="b">
        <f t="shared" si="763"/>
        <v>0</v>
      </c>
      <c r="AL439" t="b">
        <f t="shared" si="764"/>
        <v>0</v>
      </c>
      <c r="AM439" t="b">
        <f t="shared" si="765"/>
        <v>0</v>
      </c>
      <c r="AN439" t="b">
        <f t="shared" si="766"/>
        <v>0</v>
      </c>
      <c r="AO439" t="b">
        <f t="shared" si="767"/>
        <v>0</v>
      </c>
      <c r="AP439" t="b">
        <f t="shared" si="768"/>
        <v>0</v>
      </c>
      <c r="AQ439" t="b">
        <f t="shared" si="769"/>
        <v>0</v>
      </c>
      <c r="AR439" t="b">
        <f t="shared" si="770"/>
        <v>0</v>
      </c>
      <c r="AS439" t="b">
        <f t="shared" si="771"/>
        <v>0</v>
      </c>
      <c r="AT439" t="b">
        <f t="shared" si="772"/>
        <v>0</v>
      </c>
      <c r="AU439" t="b">
        <f t="shared" si="773"/>
        <v>0</v>
      </c>
      <c r="AV439" t="b">
        <f t="shared" si="774"/>
        <v>0</v>
      </c>
      <c r="AW439" t="b">
        <f t="shared" si="775"/>
        <v>0</v>
      </c>
      <c r="AX439" t="b">
        <f t="shared" si="777"/>
        <v>0</v>
      </c>
      <c r="AY439" t="b">
        <f t="shared" si="778"/>
        <v>0</v>
      </c>
      <c r="AZ439" t="b">
        <f t="shared" si="779"/>
        <v>0</v>
      </c>
      <c r="BA439" t="b">
        <f t="shared" si="780"/>
        <v>0</v>
      </c>
      <c r="BB439" t="b">
        <f t="shared" si="781"/>
        <v>0</v>
      </c>
      <c r="BC439" t="b">
        <f t="shared" si="782"/>
        <v>0</v>
      </c>
      <c r="BD439" t="b">
        <f t="shared" si="783"/>
        <v>0</v>
      </c>
      <c r="BE439" t="b">
        <f t="shared" si="784"/>
        <v>0</v>
      </c>
      <c r="BF439" t="b">
        <f t="shared" si="785"/>
        <v>0</v>
      </c>
      <c r="BG439" t="b">
        <f t="shared" si="786"/>
        <v>0</v>
      </c>
      <c r="BH439" t="b">
        <f t="shared" si="787"/>
        <v>0</v>
      </c>
      <c r="BI439">
        <f t="shared" si="788"/>
        <v>1</v>
      </c>
      <c r="BJ439" t="b">
        <f t="shared" si="789"/>
        <v>0</v>
      </c>
      <c r="BK439" t="b">
        <f t="shared" si="790"/>
        <v>0</v>
      </c>
      <c r="BL439" t="b">
        <f t="shared" si="791"/>
        <v>0</v>
      </c>
      <c r="BM439" t="b">
        <f t="shared" si="792"/>
        <v>0</v>
      </c>
      <c r="BN439" t="b">
        <f t="shared" si="793"/>
        <v>0</v>
      </c>
      <c r="BO439" t="b">
        <f t="shared" si="794"/>
        <v>0</v>
      </c>
      <c r="BP439" t="b">
        <f t="shared" si="795"/>
        <v>0</v>
      </c>
      <c r="BQ439" t="b">
        <f t="shared" si="796"/>
        <v>0</v>
      </c>
      <c r="BR439" t="b">
        <f t="shared" si="797"/>
        <v>0</v>
      </c>
      <c r="BS439" t="b">
        <f t="shared" si="798"/>
        <v>0</v>
      </c>
      <c r="BT439" t="b">
        <f t="shared" si="799"/>
        <v>0</v>
      </c>
      <c r="BU439" t="b">
        <f t="shared" si="800"/>
        <v>0</v>
      </c>
      <c r="BV439" t="b">
        <f t="shared" si="801"/>
        <v>0</v>
      </c>
      <c r="BW439" t="b">
        <f t="shared" si="802"/>
        <v>0</v>
      </c>
      <c r="BX439" t="b">
        <f t="shared" si="803"/>
        <v>0</v>
      </c>
      <c r="BY439" t="b">
        <f t="shared" si="804"/>
        <v>0</v>
      </c>
      <c r="BZ439" t="b">
        <f t="shared" si="805"/>
        <v>0</v>
      </c>
      <c r="CA439" t="b">
        <f t="shared" si="806"/>
        <v>0</v>
      </c>
      <c r="CB439" t="b">
        <f t="shared" si="807"/>
        <v>0</v>
      </c>
      <c r="CC439" t="b">
        <f t="shared" si="808"/>
        <v>0</v>
      </c>
      <c r="CD439" t="b">
        <f t="shared" si="809"/>
        <v>0</v>
      </c>
      <c r="CE439" t="b">
        <f t="shared" si="810"/>
        <v>0</v>
      </c>
      <c r="CF439" t="b">
        <f t="shared" si="811"/>
        <v>0</v>
      </c>
      <c r="CG439" t="b">
        <f t="shared" si="812"/>
        <v>0</v>
      </c>
      <c r="CH439" t="b">
        <f t="shared" si="813"/>
        <v>0</v>
      </c>
      <c r="CI439" t="b">
        <f t="shared" si="814"/>
        <v>0</v>
      </c>
      <c r="CJ439" t="b">
        <f t="shared" si="815"/>
        <v>0</v>
      </c>
      <c r="CK439" t="b">
        <f t="shared" si="816"/>
        <v>0</v>
      </c>
      <c r="CL439" t="b">
        <f t="shared" si="817"/>
        <v>0</v>
      </c>
      <c r="CM439">
        <f t="shared" si="818"/>
        <v>1</v>
      </c>
      <c r="CN439" t="b">
        <f t="shared" si="819"/>
        <v>0</v>
      </c>
      <c r="CO439" t="b">
        <f t="shared" si="820"/>
        <v>0</v>
      </c>
      <c r="CP439" t="b">
        <f t="shared" si="821"/>
        <v>0</v>
      </c>
      <c r="CQ439" t="b">
        <f t="shared" si="822"/>
        <v>0</v>
      </c>
      <c r="CR439" t="b">
        <f t="shared" si="823"/>
        <v>0</v>
      </c>
      <c r="CS439" t="b">
        <f t="shared" si="824"/>
        <v>0</v>
      </c>
      <c r="CT439" t="b">
        <f t="shared" si="825"/>
        <v>0</v>
      </c>
      <c r="CU439" t="b">
        <f t="shared" si="826"/>
        <v>0</v>
      </c>
      <c r="CV439">
        <f t="shared" si="827"/>
        <v>1</v>
      </c>
      <c r="CW439" t="b">
        <f t="shared" si="828"/>
        <v>0</v>
      </c>
      <c r="CX439" t="b">
        <f t="shared" si="829"/>
        <v>0</v>
      </c>
      <c r="CY439" t="b">
        <f t="shared" si="830"/>
        <v>0</v>
      </c>
      <c r="CZ439" t="b">
        <f t="shared" si="831"/>
        <v>0</v>
      </c>
      <c r="DA439">
        <f t="shared" si="832"/>
        <v>1</v>
      </c>
      <c r="DB439" t="b">
        <f t="shared" si="833"/>
        <v>0</v>
      </c>
      <c r="DC439" t="b">
        <f t="shared" si="834"/>
        <v>0</v>
      </c>
      <c r="DD439" t="b">
        <f t="shared" si="835"/>
        <v>0</v>
      </c>
      <c r="DE439" t="b">
        <f t="shared" si="836"/>
        <v>0</v>
      </c>
      <c r="DF439" t="b">
        <f t="shared" si="837"/>
        <v>0</v>
      </c>
      <c r="DG439" t="b">
        <f t="shared" si="838"/>
        <v>0</v>
      </c>
      <c r="DH439" t="b">
        <f t="shared" si="839"/>
        <v>0</v>
      </c>
      <c r="DI439" t="b">
        <f t="shared" si="840"/>
        <v>0</v>
      </c>
      <c r="DJ439" t="b">
        <f t="shared" si="841"/>
        <v>0</v>
      </c>
      <c r="DK439" t="b">
        <f t="shared" si="842"/>
        <v>0</v>
      </c>
      <c r="DL439" t="b">
        <f t="shared" si="843"/>
        <v>0</v>
      </c>
      <c r="DM439" t="b">
        <f t="shared" si="844"/>
        <v>0</v>
      </c>
      <c r="DN439" t="b">
        <f t="shared" si="845"/>
        <v>0</v>
      </c>
      <c r="DO439" t="b">
        <f t="shared" si="846"/>
        <v>0</v>
      </c>
      <c r="DP439" t="b">
        <f t="shared" si="847"/>
        <v>0</v>
      </c>
      <c r="DQ439" t="b">
        <f t="shared" si="848"/>
        <v>0</v>
      </c>
      <c r="DR439" t="b">
        <f t="shared" si="849"/>
        <v>0</v>
      </c>
      <c r="DS439" t="b">
        <f t="shared" si="850"/>
        <v>0</v>
      </c>
      <c r="DT439" t="b">
        <f t="shared" si="851"/>
        <v>0</v>
      </c>
      <c r="DU439" t="b">
        <f t="shared" si="852"/>
        <v>0</v>
      </c>
      <c r="DV439" t="b">
        <f t="shared" si="853"/>
        <v>0</v>
      </c>
      <c r="DW439" t="b">
        <f t="shared" si="854"/>
        <v>0</v>
      </c>
      <c r="DX439" t="b">
        <f t="shared" si="855"/>
        <v>0</v>
      </c>
      <c r="DY439">
        <f t="shared" si="856"/>
        <v>1</v>
      </c>
      <c r="DZ439" t="b">
        <f t="shared" si="857"/>
        <v>0</v>
      </c>
      <c r="EA439" t="b">
        <f t="shared" si="858"/>
        <v>0</v>
      </c>
      <c r="EB439" t="b">
        <f t="shared" si="859"/>
        <v>0</v>
      </c>
      <c r="EC439" t="b">
        <f t="shared" si="860"/>
        <v>0</v>
      </c>
      <c r="ED439" t="b">
        <f t="shared" si="861"/>
        <v>0</v>
      </c>
      <c r="EE439" t="b">
        <f t="shared" si="862"/>
        <v>0</v>
      </c>
      <c r="EF439" t="b">
        <f t="shared" si="863"/>
        <v>0</v>
      </c>
      <c r="EG439" t="b">
        <f t="shared" si="864"/>
        <v>0</v>
      </c>
      <c r="EH439" t="b">
        <f t="shared" si="865"/>
        <v>0</v>
      </c>
      <c r="EI439" t="b">
        <f t="shared" si="866"/>
        <v>0</v>
      </c>
      <c r="EJ439" t="b">
        <f t="shared" si="867"/>
        <v>0</v>
      </c>
      <c r="EK439" t="b">
        <f t="shared" si="868"/>
        <v>0</v>
      </c>
    </row>
    <row r="440" spans="1:141">
      <c r="A440" t="s">
        <v>2251</v>
      </c>
      <c r="B440" t="s">
        <v>2251</v>
      </c>
      <c r="C440" t="s">
        <v>2252</v>
      </c>
      <c r="D440" s="1">
        <v>42187</v>
      </c>
      <c r="E440" s="2">
        <v>42408.066527777781</v>
      </c>
      <c r="F440" s="2">
        <v>42408.066527777781</v>
      </c>
      <c r="G440">
        <v>327314</v>
      </c>
      <c r="H440" t="s">
        <v>2253</v>
      </c>
      <c r="I440" s="10" t="s">
        <v>2254</v>
      </c>
      <c r="J440" t="s">
        <v>188</v>
      </c>
      <c r="K440" s="8" t="b">
        <v>1</v>
      </c>
      <c r="L440" s="10" t="b">
        <v>0</v>
      </c>
      <c r="M440" s="12" t="b">
        <v>0</v>
      </c>
      <c r="N440" t="b">
        <v>0</v>
      </c>
      <c r="O440" t="b">
        <v>0</v>
      </c>
      <c r="P440" t="b">
        <v>0</v>
      </c>
      <c r="Q440">
        <f t="shared" si="745"/>
        <v>5</v>
      </c>
      <c r="R440">
        <f t="shared" si="746"/>
        <v>7</v>
      </c>
      <c r="S440" t="e">
        <f t="shared" ca="1" si="776"/>
        <v>#NAME?</v>
      </c>
      <c r="T440" t="e">
        <f t="shared" ca="1" si="747"/>
        <v>#NAME?</v>
      </c>
      <c r="U440" s="4">
        <f t="shared" si="748"/>
        <v>221.06652777778072</v>
      </c>
      <c r="V440" s="4">
        <f t="shared" si="749"/>
        <v>7.3688842592593575</v>
      </c>
      <c r="W440" s="4">
        <f t="shared" si="750"/>
        <v>1</v>
      </c>
      <c r="X440" s="4">
        <f t="shared" si="751"/>
        <v>0</v>
      </c>
      <c r="Y440" s="4">
        <f t="shared" si="752"/>
        <v>0</v>
      </c>
      <c r="Z440" s="4">
        <f t="shared" si="753"/>
        <v>0</v>
      </c>
      <c r="AA440" s="4">
        <f t="shared" si="754"/>
        <v>0</v>
      </c>
      <c r="AB440" s="4">
        <f t="shared" si="755"/>
        <v>0</v>
      </c>
      <c r="AC440" s="4"/>
      <c r="AD440" s="4" t="b">
        <f t="shared" si="756"/>
        <v>0</v>
      </c>
      <c r="AE440" s="4" t="b">
        <f t="shared" si="757"/>
        <v>0</v>
      </c>
      <c r="AF440" s="4" t="b">
        <f t="shared" si="758"/>
        <v>0</v>
      </c>
      <c r="AG440" t="b">
        <f t="shared" si="759"/>
        <v>0</v>
      </c>
      <c r="AH440" t="b">
        <f t="shared" si="760"/>
        <v>0</v>
      </c>
      <c r="AI440" t="b">
        <f t="shared" si="761"/>
        <v>0</v>
      </c>
      <c r="AJ440" t="b">
        <f t="shared" si="762"/>
        <v>0</v>
      </c>
      <c r="AK440" t="b">
        <f t="shared" si="763"/>
        <v>0</v>
      </c>
      <c r="AL440" t="b">
        <f t="shared" si="764"/>
        <v>0</v>
      </c>
      <c r="AM440" t="b">
        <f t="shared" si="765"/>
        <v>0</v>
      </c>
      <c r="AN440" t="b">
        <f t="shared" si="766"/>
        <v>0</v>
      </c>
      <c r="AO440" t="b">
        <f t="shared" si="767"/>
        <v>0</v>
      </c>
      <c r="AP440" t="b">
        <f t="shared" si="768"/>
        <v>0</v>
      </c>
      <c r="AQ440" t="b">
        <f t="shared" si="769"/>
        <v>0</v>
      </c>
      <c r="AR440" t="b">
        <f t="shared" si="770"/>
        <v>0</v>
      </c>
      <c r="AS440" t="b">
        <f t="shared" si="771"/>
        <v>0</v>
      </c>
      <c r="AT440" t="b">
        <f t="shared" si="772"/>
        <v>0</v>
      </c>
      <c r="AU440" t="b">
        <f t="shared" si="773"/>
        <v>0</v>
      </c>
      <c r="AV440" t="b">
        <f t="shared" si="774"/>
        <v>0</v>
      </c>
      <c r="AW440" t="b">
        <f t="shared" si="775"/>
        <v>0</v>
      </c>
      <c r="AX440" t="b">
        <f t="shared" si="777"/>
        <v>0</v>
      </c>
      <c r="AY440" t="b">
        <f t="shared" si="778"/>
        <v>0</v>
      </c>
      <c r="AZ440" t="b">
        <f t="shared" si="779"/>
        <v>0</v>
      </c>
      <c r="BA440" t="b">
        <f t="shared" si="780"/>
        <v>0</v>
      </c>
      <c r="BB440" t="b">
        <f t="shared" si="781"/>
        <v>0</v>
      </c>
      <c r="BC440" t="b">
        <f t="shared" si="782"/>
        <v>0</v>
      </c>
      <c r="BD440" t="b">
        <f t="shared" si="783"/>
        <v>0</v>
      </c>
      <c r="BE440" t="b">
        <f t="shared" si="784"/>
        <v>0</v>
      </c>
      <c r="BF440" t="b">
        <f t="shared" si="785"/>
        <v>0</v>
      </c>
      <c r="BG440" t="b">
        <f t="shared" si="786"/>
        <v>0</v>
      </c>
      <c r="BH440" t="b">
        <f t="shared" si="787"/>
        <v>0</v>
      </c>
      <c r="BI440">
        <f t="shared" si="788"/>
        <v>1</v>
      </c>
      <c r="BJ440" t="b">
        <f t="shared" si="789"/>
        <v>0</v>
      </c>
      <c r="BK440" t="b">
        <f t="shared" si="790"/>
        <v>0</v>
      </c>
      <c r="BL440" t="b">
        <f t="shared" si="791"/>
        <v>0</v>
      </c>
      <c r="BM440" t="b">
        <f t="shared" si="792"/>
        <v>0</v>
      </c>
      <c r="BN440" t="b">
        <f t="shared" si="793"/>
        <v>0</v>
      </c>
      <c r="BO440" t="b">
        <f t="shared" si="794"/>
        <v>0</v>
      </c>
      <c r="BP440" t="b">
        <f t="shared" si="795"/>
        <v>0</v>
      </c>
      <c r="BQ440" t="b">
        <f t="shared" si="796"/>
        <v>0</v>
      </c>
      <c r="BR440" t="b">
        <f t="shared" si="797"/>
        <v>0</v>
      </c>
      <c r="BS440" t="b">
        <f t="shared" si="798"/>
        <v>0</v>
      </c>
      <c r="BT440" t="b">
        <f t="shared" si="799"/>
        <v>0</v>
      </c>
      <c r="BU440" t="b">
        <f t="shared" si="800"/>
        <v>0</v>
      </c>
      <c r="BV440" t="b">
        <f t="shared" si="801"/>
        <v>0</v>
      </c>
      <c r="BW440" t="b">
        <f t="shared" si="802"/>
        <v>0</v>
      </c>
      <c r="BX440" t="b">
        <f t="shared" si="803"/>
        <v>0</v>
      </c>
      <c r="BY440" t="b">
        <f t="shared" si="804"/>
        <v>0</v>
      </c>
      <c r="BZ440" t="b">
        <f t="shared" si="805"/>
        <v>0</v>
      </c>
      <c r="CA440" t="b">
        <f t="shared" si="806"/>
        <v>0</v>
      </c>
      <c r="CB440" t="b">
        <f t="shared" si="807"/>
        <v>0</v>
      </c>
      <c r="CC440" t="b">
        <f t="shared" si="808"/>
        <v>0</v>
      </c>
      <c r="CD440" t="b">
        <f t="shared" si="809"/>
        <v>0</v>
      </c>
      <c r="CE440">
        <f t="shared" si="810"/>
        <v>1</v>
      </c>
      <c r="CF440" t="b">
        <f t="shared" si="811"/>
        <v>0</v>
      </c>
      <c r="CG440" t="b">
        <f t="shared" si="812"/>
        <v>0</v>
      </c>
      <c r="CH440" t="b">
        <f t="shared" si="813"/>
        <v>0</v>
      </c>
      <c r="CI440" t="b">
        <f t="shared" si="814"/>
        <v>0</v>
      </c>
      <c r="CJ440" t="b">
        <f t="shared" si="815"/>
        <v>0</v>
      </c>
      <c r="CK440" t="b">
        <f t="shared" si="816"/>
        <v>0</v>
      </c>
      <c r="CL440" t="b">
        <f t="shared" si="817"/>
        <v>0</v>
      </c>
      <c r="CM440" t="b">
        <f t="shared" si="818"/>
        <v>0</v>
      </c>
      <c r="CN440" t="b">
        <f t="shared" si="819"/>
        <v>0</v>
      </c>
      <c r="CO440" t="b">
        <f t="shared" si="820"/>
        <v>0</v>
      </c>
      <c r="CP440" t="b">
        <f t="shared" si="821"/>
        <v>0</v>
      </c>
      <c r="CQ440" t="b">
        <f t="shared" si="822"/>
        <v>0</v>
      </c>
      <c r="CR440" t="b">
        <f t="shared" si="823"/>
        <v>0</v>
      </c>
      <c r="CS440" t="b">
        <f t="shared" si="824"/>
        <v>0</v>
      </c>
      <c r="CT440" t="b">
        <f t="shared" si="825"/>
        <v>0</v>
      </c>
      <c r="CU440" t="b">
        <f t="shared" si="826"/>
        <v>0</v>
      </c>
      <c r="CV440">
        <f t="shared" si="827"/>
        <v>1</v>
      </c>
      <c r="CW440" t="b">
        <f t="shared" si="828"/>
        <v>0</v>
      </c>
      <c r="CX440" t="b">
        <f t="shared" si="829"/>
        <v>0</v>
      </c>
      <c r="CY440" t="b">
        <f t="shared" si="830"/>
        <v>0</v>
      </c>
      <c r="CZ440" t="b">
        <f t="shared" si="831"/>
        <v>0</v>
      </c>
      <c r="DA440" t="b">
        <f t="shared" si="832"/>
        <v>0</v>
      </c>
      <c r="DB440" t="b">
        <f t="shared" si="833"/>
        <v>0</v>
      </c>
      <c r="DC440" t="b">
        <f t="shared" si="834"/>
        <v>0</v>
      </c>
      <c r="DD440" t="b">
        <f t="shared" si="835"/>
        <v>0</v>
      </c>
      <c r="DE440" t="b">
        <f t="shared" si="836"/>
        <v>0</v>
      </c>
      <c r="DF440" t="b">
        <f t="shared" si="837"/>
        <v>0</v>
      </c>
      <c r="DG440" t="b">
        <f t="shared" si="838"/>
        <v>0</v>
      </c>
      <c r="DH440" t="b">
        <f t="shared" si="839"/>
        <v>0</v>
      </c>
      <c r="DI440" t="b">
        <f t="shared" si="840"/>
        <v>0</v>
      </c>
      <c r="DJ440" t="b">
        <f t="shared" si="841"/>
        <v>0</v>
      </c>
      <c r="DK440" t="b">
        <f t="shared" si="842"/>
        <v>0</v>
      </c>
      <c r="DL440" t="b">
        <f t="shared" si="843"/>
        <v>0</v>
      </c>
      <c r="DM440" t="b">
        <f t="shared" si="844"/>
        <v>0</v>
      </c>
      <c r="DN440" t="b">
        <f t="shared" si="845"/>
        <v>0</v>
      </c>
      <c r="DO440" t="b">
        <f t="shared" si="846"/>
        <v>0</v>
      </c>
      <c r="DP440" t="b">
        <f t="shared" si="847"/>
        <v>0</v>
      </c>
      <c r="DQ440" t="b">
        <f t="shared" si="848"/>
        <v>0</v>
      </c>
      <c r="DR440" t="b">
        <f t="shared" si="849"/>
        <v>0</v>
      </c>
      <c r="DS440" t="b">
        <f t="shared" si="850"/>
        <v>0</v>
      </c>
      <c r="DT440" t="b">
        <f t="shared" si="851"/>
        <v>0</v>
      </c>
      <c r="DU440" t="b">
        <f t="shared" si="852"/>
        <v>0</v>
      </c>
      <c r="DV440" t="b">
        <f t="shared" si="853"/>
        <v>0</v>
      </c>
      <c r="DW440" t="b">
        <f t="shared" si="854"/>
        <v>0</v>
      </c>
      <c r="DX440" t="b">
        <f t="shared" si="855"/>
        <v>0</v>
      </c>
      <c r="DY440" t="b">
        <f t="shared" si="856"/>
        <v>0</v>
      </c>
      <c r="DZ440" t="b">
        <f t="shared" si="857"/>
        <v>0</v>
      </c>
      <c r="EA440" t="b">
        <f t="shared" si="858"/>
        <v>0</v>
      </c>
      <c r="EB440" t="b">
        <f t="shared" si="859"/>
        <v>0</v>
      </c>
      <c r="EC440" t="b">
        <f t="shared" si="860"/>
        <v>0</v>
      </c>
      <c r="ED440" t="b">
        <f t="shared" si="861"/>
        <v>0</v>
      </c>
      <c r="EE440" t="b">
        <f t="shared" si="862"/>
        <v>0</v>
      </c>
      <c r="EF440">
        <f t="shared" si="863"/>
        <v>1</v>
      </c>
      <c r="EG440" t="b">
        <f t="shared" si="864"/>
        <v>0</v>
      </c>
      <c r="EH440" t="b">
        <f t="shared" si="865"/>
        <v>0</v>
      </c>
      <c r="EI440" t="b">
        <f t="shared" si="866"/>
        <v>0</v>
      </c>
      <c r="EJ440" t="b">
        <f t="shared" si="867"/>
        <v>0</v>
      </c>
      <c r="EK440" t="b">
        <f t="shared" si="868"/>
        <v>0</v>
      </c>
    </row>
    <row r="441" spans="1:141">
      <c r="A441" t="s">
        <v>2255</v>
      </c>
      <c r="B441" t="s">
        <v>2256</v>
      </c>
      <c r="C441" t="s">
        <v>2257</v>
      </c>
      <c r="D441" s="1">
        <v>43385</v>
      </c>
      <c r="E441" s="2">
        <v>44170.935833333337</v>
      </c>
      <c r="F441" s="2">
        <v>44170.941689814812</v>
      </c>
      <c r="G441">
        <v>3225080</v>
      </c>
      <c r="H441" t="s">
        <v>2258</v>
      </c>
      <c r="I441" s="10" t="s">
        <v>2259</v>
      </c>
      <c r="J441" t="s">
        <v>2260</v>
      </c>
      <c r="K441" s="8" t="b">
        <v>1</v>
      </c>
      <c r="L441" s="10" t="b">
        <v>0</v>
      </c>
      <c r="M441" s="12" t="b">
        <v>0</v>
      </c>
      <c r="N441" t="b">
        <v>0</v>
      </c>
      <c r="O441" t="b">
        <v>0</v>
      </c>
      <c r="P441" t="b">
        <v>0</v>
      </c>
      <c r="Q441">
        <f t="shared" si="745"/>
        <v>6</v>
      </c>
      <c r="R441">
        <f t="shared" si="746"/>
        <v>10</v>
      </c>
      <c r="S441" t="e">
        <f t="shared" ca="1" si="776"/>
        <v>#NAME?</v>
      </c>
      <c r="T441" t="e">
        <f t="shared" ca="1" si="747"/>
        <v>#NAME?</v>
      </c>
      <c r="U441" s="4">
        <f t="shared" si="748"/>
        <v>785.93583333333663</v>
      </c>
      <c r="V441" s="4">
        <f t="shared" si="749"/>
        <v>26.197861111111219</v>
      </c>
      <c r="W441" s="4">
        <f t="shared" si="750"/>
        <v>1</v>
      </c>
      <c r="X441" s="4">
        <f t="shared" si="751"/>
        <v>0</v>
      </c>
      <c r="Y441" s="4">
        <f t="shared" si="752"/>
        <v>0</v>
      </c>
      <c r="Z441" s="4">
        <f t="shared" si="753"/>
        <v>0</v>
      </c>
      <c r="AA441" s="4">
        <f t="shared" si="754"/>
        <v>0</v>
      </c>
      <c r="AB441" s="4">
        <f t="shared" si="755"/>
        <v>0</v>
      </c>
      <c r="AC441" s="4"/>
      <c r="AD441" s="4" t="b">
        <f t="shared" si="756"/>
        <v>0</v>
      </c>
      <c r="AE441" s="4" t="b">
        <f t="shared" si="757"/>
        <v>0</v>
      </c>
      <c r="AF441" s="4" t="b">
        <f t="shared" si="758"/>
        <v>0</v>
      </c>
      <c r="AG441" t="b">
        <f t="shared" si="759"/>
        <v>0</v>
      </c>
      <c r="AH441" t="b">
        <f t="shared" si="760"/>
        <v>0</v>
      </c>
      <c r="AI441" t="b">
        <f t="shared" si="761"/>
        <v>0</v>
      </c>
      <c r="AJ441" t="b">
        <f t="shared" si="762"/>
        <v>0</v>
      </c>
      <c r="AK441" t="b">
        <f t="shared" si="763"/>
        <v>0</v>
      </c>
      <c r="AL441" t="b">
        <f t="shared" si="764"/>
        <v>0</v>
      </c>
      <c r="AM441" t="b">
        <f t="shared" si="765"/>
        <v>0</v>
      </c>
      <c r="AN441" t="b">
        <f t="shared" si="766"/>
        <v>0</v>
      </c>
      <c r="AO441" t="b">
        <f t="shared" si="767"/>
        <v>0</v>
      </c>
      <c r="AP441" t="b">
        <f t="shared" si="768"/>
        <v>0</v>
      </c>
      <c r="AQ441" t="b">
        <f t="shared" si="769"/>
        <v>0</v>
      </c>
      <c r="AR441" t="b">
        <f t="shared" si="770"/>
        <v>0</v>
      </c>
      <c r="AS441" t="b">
        <f t="shared" si="771"/>
        <v>0</v>
      </c>
      <c r="AT441" t="b">
        <f t="shared" si="772"/>
        <v>0</v>
      </c>
      <c r="AU441" t="b">
        <f t="shared" si="773"/>
        <v>0</v>
      </c>
      <c r="AV441" t="b">
        <f t="shared" si="774"/>
        <v>0</v>
      </c>
      <c r="AW441" t="b">
        <f t="shared" si="775"/>
        <v>0</v>
      </c>
      <c r="AX441" t="b">
        <f t="shared" si="777"/>
        <v>0</v>
      </c>
      <c r="AY441" t="b">
        <f t="shared" si="778"/>
        <v>0</v>
      </c>
      <c r="AZ441">
        <f t="shared" si="779"/>
        <v>1</v>
      </c>
      <c r="BA441" t="b">
        <f t="shared" si="780"/>
        <v>0</v>
      </c>
      <c r="BB441">
        <f t="shared" si="781"/>
        <v>1</v>
      </c>
      <c r="BC441" t="b">
        <f t="shared" si="782"/>
        <v>0</v>
      </c>
      <c r="BD441" t="b">
        <f t="shared" si="783"/>
        <v>0</v>
      </c>
      <c r="BE441" t="b">
        <f t="shared" si="784"/>
        <v>0</v>
      </c>
      <c r="BF441" t="b">
        <f t="shared" si="785"/>
        <v>0</v>
      </c>
      <c r="BG441" t="b">
        <f t="shared" si="786"/>
        <v>0</v>
      </c>
      <c r="BH441" t="b">
        <f t="shared" si="787"/>
        <v>0</v>
      </c>
      <c r="BI441">
        <f t="shared" si="788"/>
        <v>1</v>
      </c>
      <c r="BJ441" t="b">
        <f t="shared" si="789"/>
        <v>0</v>
      </c>
      <c r="BK441" t="b">
        <f t="shared" si="790"/>
        <v>0</v>
      </c>
      <c r="BL441" t="b">
        <f t="shared" si="791"/>
        <v>0</v>
      </c>
      <c r="BM441" t="b">
        <f t="shared" si="792"/>
        <v>0</v>
      </c>
      <c r="BN441" t="b">
        <f t="shared" si="793"/>
        <v>0</v>
      </c>
      <c r="BO441" t="b">
        <f t="shared" si="794"/>
        <v>0</v>
      </c>
      <c r="BP441" t="b">
        <f t="shared" si="795"/>
        <v>0</v>
      </c>
      <c r="BQ441" t="b">
        <f t="shared" si="796"/>
        <v>0</v>
      </c>
      <c r="BR441">
        <f t="shared" si="797"/>
        <v>1</v>
      </c>
      <c r="BS441" t="b">
        <f t="shared" si="798"/>
        <v>0</v>
      </c>
      <c r="BT441" t="b">
        <f t="shared" si="799"/>
        <v>0</v>
      </c>
      <c r="BU441" t="b">
        <f t="shared" si="800"/>
        <v>0</v>
      </c>
      <c r="BV441" t="b">
        <f t="shared" si="801"/>
        <v>0</v>
      </c>
      <c r="BW441" t="b">
        <f t="shared" si="802"/>
        <v>0</v>
      </c>
      <c r="BX441" t="b">
        <f t="shared" si="803"/>
        <v>0</v>
      </c>
      <c r="BY441" t="b">
        <f t="shared" si="804"/>
        <v>0</v>
      </c>
      <c r="BZ441" t="b">
        <f t="shared" si="805"/>
        <v>0</v>
      </c>
      <c r="CA441" t="b">
        <f t="shared" si="806"/>
        <v>0</v>
      </c>
      <c r="CB441" t="b">
        <f t="shared" si="807"/>
        <v>0</v>
      </c>
      <c r="CC441" t="b">
        <f t="shared" si="808"/>
        <v>0</v>
      </c>
      <c r="CD441" t="b">
        <f t="shared" si="809"/>
        <v>0</v>
      </c>
      <c r="CE441">
        <f t="shared" si="810"/>
        <v>1</v>
      </c>
      <c r="CF441" t="b">
        <f t="shared" si="811"/>
        <v>0</v>
      </c>
      <c r="CG441" t="b">
        <f t="shared" si="812"/>
        <v>0</v>
      </c>
      <c r="CH441" t="b">
        <f t="shared" si="813"/>
        <v>0</v>
      </c>
      <c r="CI441" t="b">
        <f t="shared" si="814"/>
        <v>0</v>
      </c>
      <c r="CJ441" t="b">
        <f t="shared" si="815"/>
        <v>0</v>
      </c>
      <c r="CK441" t="b">
        <f t="shared" si="816"/>
        <v>0</v>
      </c>
      <c r="CL441" t="b">
        <f t="shared" si="817"/>
        <v>0</v>
      </c>
      <c r="CM441">
        <f t="shared" si="818"/>
        <v>1</v>
      </c>
      <c r="CN441" t="b">
        <f t="shared" si="819"/>
        <v>0</v>
      </c>
      <c r="CO441" t="b">
        <f t="shared" si="820"/>
        <v>0</v>
      </c>
      <c r="CP441" t="b">
        <f t="shared" si="821"/>
        <v>0</v>
      </c>
      <c r="CQ441" t="b">
        <f t="shared" si="822"/>
        <v>0</v>
      </c>
      <c r="CR441" t="b">
        <f t="shared" si="823"/>
        <v>0</v>
      </c>
      <c r="CS441" t="b">
        <f t="shared" si="824"/>
        <v>0</v>
      </c>
      <c r="CT441" t="b">
        <f t="shared" si="825"/>
        <v>0</v>
      </c>
      <c r="CU441" t="b">
        <f t="shared" si="826"/>
        <v>0</v>
      </c>
      <c r="CV441">
        <f t="shared" si="827"/>
        <v>1</v>
      </c>
      <c r="CW441" t="b">
        <f t="shared" si="828"/>
        <v>0</v>
      </c>
      <c r="CX441" t="b">
        <f t="shared" si="829"/>
        <v>0</v>
      </c>
      <c r="CY441" t="b">
        <f t="shared" si="830"/>
        <v>0</v>
      </c>
      <c r="CZ441" t="b">
        <f t="shared" si="831"/>
        <v>0</v>
      </c>
      <c r="DA441" t="b">
        <f t="shared" si="832"/>
        <v>0</v>
      </c>
      <c r="DB441" t="b">
        <f t="shared" si="833"/>
        <v>0</v>
      </c>
      <c r="DC441" t="b">
        <f t="shared" si="834"/>
        <v>0</v>
      </c>
      <c r="DD441" t="b">
        <f t="shared" si="835"/>
        <v>0</v>
      </c>
      <c r="DE441" t="b">
        <f t="shared" si="836"/>
        <v>0</v>
      </c>
      <c r="DF441" t="b">
        <f t="shared" si="837"/>
        <v>0</v>
      </c>
      <c r="DG441" t="b">
        <f t="shared" si="838"/>
        <v>0</v>
      </c>
      <c r="DH441" t="b">
        <f t="shared" si="839"/>
        <v>0</v>
      </c>
      <c r="DI441" t="b">
        <f t="shared" si="840"/>
        <v>0</v>
      </c>
      <c r="DJ441" t="b">
        <f t="shared" si="841"/>
        <v>0</v>
      </c>
      <c r="DK441" t="b">
        <f t="shared" si="842"/>
        <v>0</v>
      </c>
      <c r="DL441" t="b">
        <f t="shared" si="843"/>
        <v>0</v>
      </c>
      <c r="DM441" t="b">
        <f t="shared" si="844"/>
        <v>0</v>
      </c>
      <c r="DN441" t="b">
        <f t="shared" si="845"/>
        <v>0</v>
      </c>
      <c r="DO441" t="b">
        <f t="shared" si="846"/>
        <v>0</v>
      </c>
      <c r="DP441" t="b">
        <f t="shared" si="847"/>
        <v>0</v>
      </c>
      <c r="DQ441" t="b">
        <f t="shared" si="848"/>
        <v>0</v>
      </c>
      <c r="DR441" t="b">
        <f t="shared" si="849"/>
        <v>0</v>
      </c>
      <c r="DS441" t="b">
        <f t="shared" si="850"/>
        <v>0</v>
      </c>
      <c r="DT441" t="b">
        <f t="shared" si="851"/>
        <v>0</v>
      </c>
      <c r="DU441" t="b">
        <f t="shared" si="852"/>
        <v>0</v>
      </c>
      <c r="DV441" t="b">
        <f t="shared" si="853"/>
        <v>0</v>
      </c>
      <c r="DW441" t="b">
        <f t="shared" si="854"/>
        <v>0</v>
      </c>
      <c r="DX441" t="b">
        <f t="shared" si="855"/>
        <v>0</v>
      </c>
      <c r="DY441">
        <f t="shared" si="856"/>
        <v>1</v>
      </c>
      <c r="DZ441" t="b">
        <f t="shared" si="857"/>
        <v>0</v>
      </c>
      <c r="EA441" t="b">
        <f t="shared" si="858"/>
        <v>0</v>
      </c>
      <c r="EB441" t="b">
        <f t="shared" si="859"/>
        <v>0</v>
      </c>
      <c r="EC441" t="b">
        <f t="shared" si="860"/>
        <v>0</v>
      </c>
      <c r="ED441" t="b">
        <f t="shared" si="861"/>
        <v>0</v>
      </c>
      <c r="EE441" t="b">
        <f t="shared" si="862"/>
        <v>0</v>
      </c>
      <c r="EF441">
        <f t="shared" si="863"/>
        <v>1</v>
      </c>
      <c r="EG441" t="b">
        <f t="shared" si="864"/>
        <v>0</v>
      </c>
      <c r="EH441" t="b">
        <f t="shared" si="865"/>
        <v>0</v>
      </c>
      <c r="EI441" t="b">
        <f t="shared" si="866"/>
        <v>0</v>
      </c>
      <c r="EJ441" t="b">
        <f t="shared" si="867"/>
        <v>0</v>
      </c>
      <c r="EK441" t="b">
        <f t="shared" si="868"/>
        <v>0</v>
      </c>
    </row>
    <row r="442" spans="1:141">
      <c r="A442" t="s">
        <v>2261</v>
      </c>
      <c r="B442" t="s">
        <v>2262</v>
      </c>
      <c r="C442" t="s">
        <v>2263</v>
      </c>
      <c r="D442" s="1">
        <v>42213</v>
      </c>
      <c r="E442" s="2">
        <v>42622.196527777778</v>
      </c>
      <c r="F442" s="2">
        <v>42622.196527777778</v>
      </c>
      <c r="G442">
        <v>657001</v>
      </c>
      <c r="H442" t="s">
        <v>2264</v>
      </c>
      <c r="I442" s="10" t="s">
        <v>2265</v>
      </c>
      <c r="J442" t="s">
        <v>2266</v>
      </c>
      <c r="K442" s="8" t="b">
        <v>1</v>
      </c>
      <c r="L442" s="10" t="b">
        <v>0</v>
      </c>
      <c r="M442" s="12" t="b">
        <v>0</v>
      </c>
      <c r="N442" t="b">
        <v>0</v>
      </c>
      <c r="O442" t="b">
        <v>0</v>
      </c>
      <c r="P442" t="b">
        <v>0</v>
      </c>
      <c r="Q442">
        <f t="shared" si="745"/>
        <v>3</v>
      </c>
      <c r="R442">
        <f t="shared" si="746"/>
        <v>7</v>
      </c>
      <c r="S442" t="e">
        <f t="shared" ca="1" si="776"/>
        <v>#NAME?</v>
      </c>
      <c r="T442" t="e">
        <f t="shared" ca="1" si="747"/>
        <v>#NAME?</v>
      </c>
      <c r="U442" s="4">
        <f t="shared" si="748"/>
        <v>409.1965277777781</v>
      </c>
      <c r="V442" s="4">
        <f t="shared" si="749"/>
        <v>13.63988425925927</v>
      </c>
      <c r="W442" s="4">
        <f t="shared" si="750"/>
        <v>1</v>
      </c>
      <c r="X442" s="4">
        <f t="shared" si="751"/>
        <v>0</v>
      </c>
      <c r="Y442" s="4">
        <f t="shared" si="752"/>
        <v>0</v>
      </c>
      <c r="Z442" s="4">
        <f t="shared" si="753"/>
        <v>0</v>
      </c>
      <c r="AA442" s="4">
        <f t="shared" si="754"/>
        <v>0</v>
      </c>
      <c r="AB442" s="4">
        <f t="shared" si="755"/>
        <v>0</v>
      </c>
      <c r="AC442" s="4"/>
      <c r="AD442" s="4" t="b">
        <f t="shared" si="756"/>
        <v>0</v>
      </c>
      <c r="AE442" s="4" t="b">
        <f t="shared" si="757"/>
        <v>0</v>
      </c>
      <c r="AF442" s="4" t="b">
        <f t="shared" si="758"/>
        <v>0</v>
      </c>
      <c r="AG442" t="b">
        <f t="shared" si="759"/>
        <v>0</v>
      </c>
      <c r="AH442" t="b">
        <f t="shared" si="760"/>
        <v>0</v>
      </c>
      <c r="AI442" t="b">
        <f t="shared" si="761"/>
        <v>0</v>
      </c>
      <c r="AJ442" t="b">
        <f t="shared" si="762"/>
        <v>0</v>
      </c>
      <c r="AK442" t="b">
        <f t="shared" si="763"/>
        <v>0</v>
      </c>
      <c r="AL442" t="b">
        <f t="shared" si="764"/>
        <v>0</v>
      </c>
      <c r="AM442" t="b">
        <f t="shared" si="765"/>
        <v>0</v>
      </c>
      <c r="AN442" t="b">
        <f t="shared" si="766"/>
        <v>0</v>
      </c>
      <c r="AO442" t="b">
        <f t="shared" si="767"/>
        <v>0</v>
      </c>
      <c r="AP442" t="b">
        <f t="shared" si="768"/>
        <v>0</v>
      </c>
      <c r="AQ442" t="b">
        <f t="shared" si="769"/>
        <v>0</v>
      </c>
      <c r="AR442" t="b">
        <f t="shared" si="770"/>
        <v>0</v>
      </c>
      <c r="AS442" t="b">
        <f t="shared" si="771"/>
        <v>0</v>
      </c>
      <c r="AT442" t="b">
        <f t="shared" si="772"/>
        <v>0</v>
      </c>
      <c r="AU442" t="b">
        <f t="shared" si="773"/>
        <v>0</v>
      </c>
      <c r="AV442" t="b">
        <f t="shared" si="774"/>
        <v>0</v>
      </c>
      <c r="AW442" t="b">
        <f t="shared" si="775"/>
        <v>0</v>
      </c>
      <c r="AX442" t="b">
        <f t="shared" si="777"/>
        <v>0</v>
      </c>
      <c r="AY442" t="b">
        <f t="shared" si="778"/>
        <v>0</v>
      </c>
      <c r="AZ442" t="b">
        <f t="shared" si="779"/>
        <v>0</v>
      </c>
      <c r="BA442" t="b">
        <f t="shared" si="780"/>
        <v>0</v>
      </c>
      <c r="BB442" t="b">
        <f t="shared" si="781"/>
        <v>0</v>
      </c>
      <c r="BC442" t="b">
        <f t="shared" si="782"/>
        <v>0</v>
      </c>
      <c r="BD442" t="b">
        <f t="shared" si="783"/>
        <v>0</v>
      </c>
      <c r="BE442" t="b">
        <f t="shared" si="784"/>
        <v>0</v>
      </c>
      <c r="BF442" t="b">
        <f t="shared" si="785"/>
        <v>0</v>
      </c>
      <c r="BG442" t="b">
        <f t="shared" si="786"/>
        <v>0</v>
      </c>
      <c r="BH442" t="b">
        <f t="shared" si="787"/>
        <v>0</v>
      </c>
      <c r="BI442">
        <f t="shared" si="788"/>
        <v>1</v>
      </c>
      <c r="BJ442" t="b">
        <f t="shared" si="789"/>
        <v>0</v>
      </c>
      <c r="BK442" t="b">
        <f t="shared" si="790"/>
        <v>0</v>
      </c>
      <c r="BL442" t="b">
        <f t="shared" si="791"/>
        <v>0</v>
      </c>
      <c r="BM442" t="b">
        <f t="shared" si="792"/>
        <v>0</v>
      </c>
      <c r="BN442" t="b">
        <f t="shared" si="793"/>
        <v>0</v>
      </c>
      <c r="BO442" t="b">
        <f t="shared" si="794"/>
        <v>0</v>
      </c>
      <c r="BP442" t="b">
        <f t="shared" si="795"/>
        <v>0</v>
      </c>
      <c r="BQ442" t="b">
        <f t="shared" si="796"/>
        <v>0</v>
      </c>
      <c r="BR442" t="b">
        <f t="shared" si="797"/>
        <v>0</v>
      </c>
      <c r="BS442" t="b">
        <f t="shared" si="798"/>
        <v>0</v>
      </c>
      <c r="BT442" t="b">
        <f t="shared" si="799"/>
        <v>0</v>
      </c>
      <c r="BU442" t="b">
        <f t="shared" si="800"/>
        <v>0</v>
      </c>
      <c r="BV442" t="b">
        <f t="shared" si="801"/>
        <v>0</v>
      </c>
      <c r="BW442" t="b">
        <f t="shared" si="802"/>
        <v>0</v>
      </c>
      <c r="BX442" t="b">
        <f t="shared" si="803"/>
        <v>0</v>
      </c>
      <c r="BY442" t="b">
        <f t="shared" si="804"/>
        <v>0</v>
      </c>
      <c r="BZ442" t="b">
        <f t="shared" si="805"/>
        <v>0</v>
      </c>
      <c r="CA442" t="b">
        <f t="shared" si="806"/>
        <v>0</v>
      </c>
      <c r="CB442" t="b">
        <f t="shared" si="807"/>
        <v>0</v>
      </c>
      <c r="CC442" t="b">
        <f t="shared" si="808"/>
        <v>0</v>
      </c>
      <c r="CD442" t="b">
        <f t="shared" si="809"/>
        <v>0</v>
      </c>
      <c r="CE442">
        <f t="shared" si="810"/>
        <v>1</v>
      </c>
      <c r="CF442" t="b">
        <f t="shared" si="811"/>
        <v>0</v>
      </c>
      <c r="CG442" t="b">
        <f t="shared" si="812"/>
        <v>0</v>
      </c>
      <c r="CH442" t="b">
        <f t="shared" si="813"/>
        <v>0</v>
      </c>
      <c r="CI442" t="b">
        <f t="shared" si="814"/>
        <v>0</v>
      </c>
      <c r="CJ442" t="b">
        <f t="shared" si="815"/>
        <v>0</v>
      </c>
      <c r="CK442" t="b">
        <f t="shared" si="816"/>
        <v>0</v>
      </c>
      <c r="CL442" t="b">
        <f t="shared" si="817"/>
        <v>0</v>
      </c>
      <c r="CM442" t="b">
        <f t="shared" si="818"/>
        <v>0</v>
      </c>
      <c r="CN442" t="b">
        <f t="shared" si="819"/>
        <v>0</v>
      </c>
      <c r="CO442" t="b">
        <f t="shared" si="820"/>
        <v>0</v>
      </c>
      <c r="CP442" t="b">
        <f t="shared" si="821"/>
        <v>0</v>
      </c>
      <c r="CQ442" t="b">
        <f t="shared" si="822"/>
        <v>0</v>
      </c>
      <c r="CR442" t="b">
        <f t="shared" si="823"/>
        <v>0</v>
      </c>
      <c r="CS442" t="b">
        <f t="shared" si="824"/>
        <v>0</v>
      </c>
      <c r="CT442" t="b">
        <f t="shared" si="825"/>
        <v>0</v>
      </c>
      <c r="CU442" t="b">
        <f t="shared" si="826"/>
        <v>0</v>
      </c>
      <c r="CV442">
        <f t="shared" si="827"/>
        <v>1</v>
      </c>
      <c r="CW442" t="b">
        <f t="shared" si="828"/>
        <v>0</v>
      </c>
      <c r="CX442" t="b">
        <f t="shared" si="829"/>
        <v>0</v>
      </c>
      <c r="CY442" t="b">
        <f t="shared" si="830"/>
        <v>0</v>
      </c>
      <c r="CZ442" t="b">
        <f t="shared" si="831"/>
        <v>0</v>
      </c>
      <c r="DA442" t="b">
        <f t="shared" si="832"/>
        <v>0</v>
      </c>
      <c r="DB442" t="b">
        <f t="shared" si="833"/>
        <v>0</v>
      </c>
      <c r="DC442" t="b">
        <f t="shared" si="834"/>
        <v>0</v>
      </c>
      <c r="DD442" t="b">
        <f t="shared" si="835"/>
        <v>0</v>
      </c>
      <c r="DE442" t="b">
        <f t="shared" si="836"/>
        <v>0</v>
      </c>
      <c r="DF442" t="b">
        <f t="shared" si="837"/>
        <v>0</v>
      </c>
      <c r="DG442" t="b">
        <f t="shared" si="838"/>
        <v>0</v>
      </c>
      <c r="DH442" t="b">
        <f t="shared" si="839"/>
        <v>0</v>
      </c>
      <c r="DI442" t="b">
        <f t="shared" si="840"/>
        <v>0</v>
      </c>
      <c r="DJ442" t="b">
        <f t="shared" si="841"/>
        <v>0</v>
      </c>
      <c r="DK442" t="b">
        <f t="shared" si="842"/>
        <v>0</v>
      </c>
      <c r="DL442" t="b">
        <f t="shared" si="843"/>
        <v>0</v>
      </c>
      <c r="DM442" t="b">
        <f t="shared" si="844"/>
        <v>0</v>
      </c>
      <c r="DN442" t="b">
        <f t="shared" si="845"/>
        <v>0</v>
      </c>
      <c r="DO442" t="b">
        <f t="shared" si="846"/>
        <v>0</v>
      </c>
      <c r="DP442" t="b">
        <f t="shared" si="847"/>
        <v>0</v>
      </c>
      <c r="DQ442" t="b">
        <f t="shared" si="848"/>
        <v>0</v>
      </c>
      <c r="DR442" t="b">
        <f t="shared" si="849"/>
        <v>0</v>
      </c>
      <c r="DS442" t="b">
        <f t="shared" si="850"/>
        <v>0</v>
      </c>
      <c r="DT442" t="b">
        <f t="shared" si="851"/>
        <v>0</v>
      </c>
      <c r="DU442" t="b">
        <f t="shared" si="852"/>
        <v>0</v>
      </c>
      <c r="DV442" t="b">
        <f t="shared" si="853"/>
        <v>0</v>
      </c>
      <c r="DW442" t="b">
        <f t="shared" si="854"/>
        <v>0</v>
      </c>
      <c r="DX442" t="b">
        <f t="shared" si="855"/>
        <v>0</v>
      </c>
      <c r="DY442" t="b">
        <f t="shared" si="856"/>
        <v>0</v>
      </c>
      <c r="DZ442" t="b">
        <f t="shared" si="857"/>
        <v>0</v>
      </c>
      <c r="EA442" t="b">
        <f t="shared" si="858"/>
        <v>0</v>
      </c>
      <c r="EB442" t="b">
        <f t="shared" si="859"/>
        <v>0</v>
      </c>
      <c r="EC442">
        <f t="shared" si="860"/>
        <v>1</v>
      </c>
      <c r="ED442" t="b">
        <f t="shared" si="861"/>
        <v>0</v>
      </c>
      <c r="EE442" t="b">
        <f t="shared" si="862"/>
        <v>0</v>
      </c>
      <c r="EF442">
        <f t="shared" si="863"/>
        <v>1</v>
      </c>
      <c r="EG442" t="b">
        <f t="shared" si="864"/>
        <v>0</v>
      </c>
      <c r="EH442" t="b">
        <f t="shared" si="865"/>
        <v>0</v>
      </c>
      <c r="EI442">
        <f t="shared" si="866"/>
        <v>1</v>
      </c>
      <c r="EJ442" t="b">
        <f t="shared" si="867"/>
        <v>0</v>
      </c>
      <c r="EK442" t="b">
        <f t="shared" si="868"/>
        <v>0</v>
      </c>
    </row>
    <row r="443" spans="1:141">
      <c r="A443" t="s">
        <v>2267</v>
      </c>
      <c r="B443" t="s">
        <v>2268</v>
      </c>
      <c r="C443" t="s">
        <v>2269</v>
      </c>
      <c r="D443" s="1">
        <v>41859</v>
      </c>
      <c r="E443" s="2">
        <v>41861.002766203703</v>
      </c>
      <c r="F443" s="2">
        <v>41861.002766203703</v>
      </c>
      <c r="G443">
        <v>116465</v>
      </c>
      <c r="H443" t="s">
        <v>2270</v>
      </c>
      <c r="I443" s="10" t="s">
        <v>2271</v>
      </c>
      <c r="J443" t="s">
        <v>2272</v>
      </c>
      <c r="K443" s="8" t="b">
        <v>1</v>
      </c>
      <c r="L443" s="10" t="b">
        <v>0</v>
      </c>
      <c r="M443" s="12" t="b">
        <v>0</v>
      </c>
      <c r="N443" t="b">
        <v>0</v>
      </c>
      <c r="O443" t="b">
        <v>0</v>
      </c>
      <c r="P443" t="b">
        <v>0</v>
      </c>
      <c r="Q443">
        <f t="shared" si="745"/>
        <v>6</v>
      </c>
      <c r="R443">
        <f t="shared" si="746"/>
        <v>8</v>
      </c>
      <c r="S443" t="e">
        <f t="shared" ca="1" si="776"/>
        <v>#NAME?</v>
      </c>
      <c r="T443" t="e">
        <f t="shared" ca="1" si="747"/>
        <v>#NAME?</v>
      </c>
      <c r="U443" s="4">
        <f t="shared" si="748"/>
        <v>2.0027662037027767</v>
      </c>
      <c r="V443" s="4">
        <f t="shared" si="749"/>
        <v>6.6758873456759224E-2</v>
      </c>
      <c r="W443" s="4">
        <f t="shared" si="750"/>
        <v>1</v>
      </c>
      <c r="X443" s="4">
        <f t="shared" si="751"/>
        <v>0</v>
      </c>
      <c r="Y443" s="4">
        <f t="shared" si="752"/>
        <v>0</v>
      </c>
      <c r="Z443" s="4">
        <f t="shared" si="753"/>
        <v>0</v>
      </c>
      <c r="AA443" s="4">
        <f t="shared" si="754"/>
        <v>0</v>
      </c>
      <c r="AB443" s="4">
        <f t="shared" si="755"/>
        <v>0</v>
      </c>
      <c r="AC443" s="4"/>
      <c r="AD443" s="4" t="b">
        <f t="shared" si="756"/>
        <v>0</v>
      </c>
      <c r="AE443" s="4" t="b">
        <f t="shared" si="757"/>
        <v>0</v>
      </c>
      <c r="AF443" s="4" t="b">
        <f t="shared" si="758"/>
        <v>0</v>
      </c>
      <c r="AG443" t="b">
        <f t="shared" si="759"/>
        <v>0</v>
      </c>
      <c r="AH443" t="b">
        <f t="shared" si="760"/>
        <v>0</v>
      </c>
      <c r="AI443" t="b">
        <f t="shared" si="761"/>
        <v>0</v>
      </c>
      <c r="AJ443" t="b">
        <f t="shared" si="762"/>
        <v>0</v>
      </c>
      <c r="AK443" t="b">
        <f t="shared" si="763"/>
        <v>0</v>
      </c>
      <c r="AL443" t="b">
        <f t="shared" si="764"/>
        <v>0</v>
      </c>
      <c r="AM443" t="b">
        <f t="shared" si="765"/>
        <v>0</v>
      </c>
      <c r="AN443" t="b">
        <f t="shared" si="766"/>
        <v>0</v>
      </c>
      <c r="AO443" t="b">
        <f t="shared" si="767"/>
        <v>0</v>
      </c>
      <c r="AP443" t="b">
        <f t="shared" si="768"/>
        <v>0</v>
      </c>
      <c r="AQ443" t="b">
        <f t="shared" si="769"/>
        <v>0</v>
      </c>
      <c r="AR443" t="b">
        <f t="shared" si="770"/>
        <v>0</v>
      </c>
      <c r="AS443" t="b">
        <f t="shared" si="771"/>
        <v>0</v>
      </c>
      <c r="AT443" t="b">
        <f t="shared" si="772"/>
        <v>0</v>
      </c>
      <c r="AU443" t="b">
        <f t="shared" si="773"/>
        <v>0</v>
      </c>
      <c r="AV443" t="b">
        <f t="shared" si="774"/>
        <v>0</v>
      </c>
      <c r="AW443" t="b">
        <f t="shared" si="775"/>
        <v>0</v>
      </c>
      <c r="AX443" t="b">
        <f t="shared" si="777"/>
        <v>0</v>
      </c>
      <c r="AY443" t="b">
        <f t="shared" si="778"/>
        <v>0</v>
      </c>
      <c r="AZ443" t="b">
        <f t="shared" si="779"/>
        <v>0</v>
      </c>
      <c r="BA443" t="b">
        <f t="shared" si="780"/>
        <v>0</v>
      </c>
      <c r="BB443" t="b">
        <f t="shared" si="781"/>
        <v>0</v>
      </c>
      <c r="BC443" t="b">
        <f t="shared" si="782"/>
        <v>0</v>
      </c>
      <c r="BD443" t="b">
        <f t="shared" si="783"/>
        <v>0</v>
      </c>
      <c r="BE443" t="b">
        <f t="shared" si="784"/>
        <v>0</v>
      </c>
      <c r="BF443" t="b">
        <f t="shared" si="785"/>
        <v>0</v>
      </c>
      <c r="BG443" t="b">
        <f t="shared" si="786"/>
        <v>0</v>
      </c>
      <c r="BH443" t="b">
        <f t="shared" si="787"/>
        <v>0</v>
      </c>
      <c r="BI443">
        <f t="shared" si="788"/>
        <v>1</v>
      </c>
      <c r="BJ443" t="b">
        <f t="shared" si="789"/>
        <v>0</v>
      </c>
      <c r="BK443" t="b">
        <f t="shared" si="790"/>
        <v>0</v>
      </c>
      <c r="BL443" t="b">
        <f t="shared" si="791"/>
        <v>0</v>
      </c>
      <c r="BM443" t="b">
        <f t="shared" si="792"/>
        <v>0</v>
      </c>
      <c r="BN443" t="b">
        <f t="shared" si="793"/>
        <v>0</v>
      </c>
      <c r="BO443" t="b">
        <f t="shared" si="794"/>
        <v>0</v>
      </c>
      <c r="BP443" t="b">
        <f t="shared" si="795"/>
        <v>0</v>
      </c>
      <c r="BQ443" t="b">
        <f t="shared" si="796"/>
        <v>0</v>
      </c>
      <c r="BR443">
        <f t="shared" si="797"/>
        <v>1</v>
      </c>
      <c r="BS443" t="b">
        <f t="shared" si="798"/>
        <v>0</v>
      </c>
      <c r="BT443" t="b">
        <f t="shared" si="799"/>
        <v>0</v>
      </c>
      <c r="BU443" t="b">
        <f t="shared" si="800"/>
        <v>0</v>
      </c>
      <c r="BV443" t="b">
        <f t="shared" si="801"/>
        <v>0</v>
      </c>
      <c r="BW443" t="b">
        <f t="shared" si="802"/>
        <v>0</v>
      </c>
      <c r="BX443" t="b">
        <f t="shared" si="803"/>
        <v>0</v>
      </c>
      <c r="BY443" t="b">
        <f t="shared" si="804"/>
        <v>0</v>
      </c>
      <c r="BZ443" t="b">
        <f t="shared" si="805"/>
        <v>0</v>
      </c>
      <c r="CA443" t="b">
        <f t="shared" si="806"/>
        <v>0</v>
      </c>
      <c r="CB443" t="b">
        <f t="shared" si="807"/>
        <v>0</v>
      </c>
      <c r="CC443" t="b">
        <f t="shared" si="808"/>
        <v>0</v>
      </c>
      <c r="CD443" t="b">
        <f t="shared" si="809"/>
        <v>0</v>
      </c>
      <c r="CE443">
        <f t="shared" si="810"/>
        <v>1</v>
      </c>
      <c r="CF443" t="b">
        <f t="shared" si="811"/>
        <v>0</v>
      </c>
      <c r="CG443" t="b">
        <f t="shared" si="812"/>
        <v>0</v>
      </c>
      <c r="CH443" t="b">
        <f t="shared" si="813"/>
        <v>0</v>
      </c>
      <c r="CI443" t="b">
        <f t="shared" si="814"/>
        <v>0</v>
      </c>
      <c r="CJ443" t="b">
        <f t="shared" si="815"/>
        <v>0</v>
      </c>
      <c r="CK443" t="b">
        <f t="shared" si="816"/>
        <v>0</v>
      </c>
      <c r="CL443" t="b">
        <f t="shared" si="817"/>
        <v>0</v>
      </c>
      <c r="CM443" t="b">
        <f t="shared" si="818"/>
        <v>0</v>
      </c>
      <c r="CN443" t="b">
        <f t="shared" si="819"/>
        <v>0</v>
      </c>
      <c r="CO443" t="b">
        <f t="shared" si="820"/>
        <v>0</v>
      </c>
      <c r="CP443" t="b">
        <f t="shared" si="821"/>
        <v>0</v>
      </c>
      <c r="CQ443" t="b">
        <f t="shared" si="822"/>
        <v>0</v>
      </c>
      <c r="CR443" t="b">
        <f t="shared" si="823"/>
        <v>0</v>
      </c>
      <c r="CS443" t="b">
        <f t="shared" si="824"/>
        <v>0</v>
      </c>
      <c r="CT443" t="b">
        <f t="shared" si="825"/>
        <v>0</v>
      </c>
      <c r="CU443" t="b">
        <f t="shared" si="826"/>
        <v>0</v>
      </c>
      <c r="CV443">
        <f t="shared" si="827"/>
        <v>1</v>
      </c>
      <c r="CW443" t="b">
        <f t="shared" si="828"/>
        <v>0</v>
      </c>
      <c r="CX443" t="b">
        <f t="shared" si="829"/>
        <v>0</v>
      </c>
      <c r="CY443" t="b">
        <f t="shared" si="830"/>
        <v>0</v>
      </c>
      <c r="CZ443" t="b">
        <f t="shared" si="831"/>
        <v>0</v>
      </c>
      <c r="DA443" t="b">
        <f t="shared" si="832"/>
        <v>0</v>
      </c>
      <c r="DB443" t="b">
        <f t="shared" si="833"/>
        <v>0</v>
      </c>
      <c r="DC443" t="b">
        <f t="shared" si="834"/>
        <v>0</v>
      </c>
      <c r="DD443" t="b">
        <f t="shared" si="835"/>
        <v>0</v>
      </c>
      <c r="DE443" t="b">
        <f t="shared" si="836"/>
        <v>0</v>
      </c>
      <c r="DF443" t="b">
        <f t="shared" si="837"/>
        <v>0</v>
      </c>
      <c r="DG443" t="b">
        <f t="shared" si="838"/>
        <v>0</v>
      </c>
      <c r="DH443" t="b">
        <f t="shared" si="839"/>
        <v>0</v>
      </c>
      <c r="DI443" t="b">
        <f t="shared" si="840"/>
        <v>0</v>
      </c>
      <c r="DJ443" t="b">
        <f t="shared" si="841"/>
        <v>0</v>
      </c>
      <c r="DK443" t="b">
        <f t="shared" si="842"/>
        <v>0</v>
      </c>
      <c r="DL443" t="b">
        <f t="shared" si="843"/>
        <v>0</v>
      </c>
      <c r="DM443" t="b">
        <f t="shared" si="844"/>
        <v>0</v>
      </c>
      <c r="DN443" t="b">
        <f t="shared" si="845"/>
        <v>0</v>
      </c>
      <c r="DO443" t="b">
        <f t="shared" si="846"/>
        <v>0</v>
      </c>
      <c r="DP443" t="b">
        <f t="shared" si="847"/>
        <v>0</v>
      </c>
      <c r="DQ443" t="b">
        <f t="shared" si="848"/>
        <v>0</v>
      </c>
      <c r="DR443" t="b">
        <f t="shared" si="849"/>
        <v>0</v>
      </c>
      <c r="DS443" t="b">
        <f t="shared" si="850"/>
        <v>0</v>
      </c>
      <c r="DT443" t="b">
        <f t="shared" si="851"/>
        <v>0</v>
      </c>
      <c r="DU443" t="b">
        <f t="shared" si="852"/>
        <v>0</v>
      </c>
      <c r="DV443" t="b">
        <f t="shared" si="853"/>
        <v>0</v>
      </c>
      <c r="DW443" t="b">
        <f t="shared" si="854"/>
        <v>0</v>
      </c>
      <c r="DX443" t="b">
        <f t="shared" si="855"/>
        <v>0</v>
      </c>
      <c r="DY443" t="b">
        <f t="shared" si="856"/>
        <v>0</v>
      </c>
      <c r="DZ443" t="b">
        <f t="shared" si="857"/>
        <v>0</v>
      </c>
      <c r="EA443" t="b">
        <f t="shared" si="858"/>
        <v>0</v>
      </c>
      <c r="EB443" t="b">
        <f t="shared" si="859"/>
        <v>0</v>
      </c>
      <c r="EC443" t="b">
        <f t="shared" si="860"/>
        <v>0</v>
      </c>
      <c r="ED443" t="b">
        <f t="shared" si="861"/>
        <v>0</v>
      </c>
      <c r="EE443" t="b">
        <f t="shared" si="862"/>
        <v>0</v>
      </c>
      <c r="EF443">
        <f t="shared" si="863"/>
        <v>1</v>
      </c>
      <c r="EG443" t="b">
        <f t="shared" si="864"/>
        <v>0</v>
      </c>
      <c r="EH443" t="b">
        <f t="shared" si="865"/>
        <v>0</v>
      </c>
      <c r="EI443">
        <f t="shared" si="866"/>
        <v>1</v>
      </c>
      <c r="EJ443" t="b">
        <f t="shared" si="867"/>
        <v>0</v>
      </c>
      <c r="EK443" t="b">
        <f t="shared" si="868"/>
        <v>0</v>
      </c>
    </row>
    <row r="444" spans="1:141">
      <c r="A444" t="s">
        <v>2273</v>
      </c>
      <c r="B444" t="s">
        <v>2274</v>
      </c>
      <c r="C444" t="s">
        <v>2275</v>
      </c>
      <c r="D444" s="1">
        <v>42644</v>
      </c>
      <c r="E444" s="2">
        <v>42738.864861111113</v>
      </c>
      <c r="F444" s="2">
        <v>42738.864861111113</v>
      </c>
      <c r="G444">
        <v>830155</v>
      </c>
      <c r="H444" t="s">
        <v>2276</v>
      </c>
      <c r="I444" s="10" t="s">
        <v>2277</v>
      </c>
      <c r="J444" t="s">
        <v>842</v>
      </c>
      <c r="K444" s="8" t="b">
        <v>1</v>
      </c>
      <c r="L444" s="10" t="b">
        <v>0</v>
      </c>
      <c r="M444" s="12" t="b">
        <v>0</v>
      </c>
      <c r="N444" t="b">
        <v>0</v>
      </c>
      <c r="O444" t="b">
        <v>0</v>
      </c>
      <c r="P444" t="b">
        <v>0</v>
      </c>
      <c r="Q444">
        <f t="shared" si="745"/>
        <v>7</v>
      </c>
      <c r="R444">
        <f t="shared" si="746"/>
        <v>10</v>
      </c>
      <c r="S444" t="e">
        <f t="shared" ca="1" si="776"/>
        <v>#NAME?</v>
      </c>
      <c r="T444" t="e">
        <f t="shared" ca="1" si="747"/>
        <v>#NAME?</v>
      </c>
      <c r="U444" s="4">
        <f t="shared" si="748"/>
        <v>94.864861111112987</v>
      </c>
      <c r="V444" s="4">
        <f t="shared" si="749"/>
        <v>3.1621620370370995</v>
      </c>
      <c r="W444" s="4">
        <f t="shared" si="750"/>
        <v>1</v>
      </c>
      <c r="X444" s="4">
        <f t="shared" si="751"/>
        <v>0</v>
      </c>
      <c r="Y444" s="4">
        <f t="shared" si="752"/>
        <v>0</v>
      </c>
      <c r="Z444" s="4">
        <f t="shared" si="753"/>
        <v>0</v>
      </c>
      <c r="AA444" s="4">
        <f t="shared" si="754"/>
        <v>0</v>
      </c>
      <c r="AB444" s="4">
        <f t="shared" si="755"/>
        <v>0</v>
      </c>
      <c r="AC444" s="4"/>
      <c r="AD444" s="4" t="b">
        <f t="shared" si="756"/>
        <v>0</v>
      </c>
      <c r="AE444" s="4" t="b">
        <f t="shared" si="757"/>
        <v>0</v>
      </c>
      <c r="AF444" s="4" t="b">
        <f t="shared" si="758"/>
        <v>0</v>
      </c>
      <c r="AG444" t="b">
        <f t="shared" si="759"/>
        <v>0</v>
      </c>
      <c r="AH444" t="b">
        <f t="shared" si="760"/>
        <v>0</v>
      </c>
      <c r="AI444" t="b">
        <f t="shared" si="761"/>
        <v>0</v>
      </c>
      <c r="AJ444" t="b">
        <f t="shared" si="762"/>
        <v>0</v>
      </c>
      <c r="AK444" t="b">
        <f t="shared" si="763"/>
        <v>0</v>
      </c>
      <c r="AL444" t="b">
        <f t="shared" si="764"/>
        <v>0</v>
      </c>
      <c r="AM444" t="b">
        <f t="shared" si="765"/>
        <v>0</v>
      </c>
      <c r="AN444" t="b">
        <f t="shared" si="766"/>
        <v>0</v>
      </c>
      <c r="AO444" t="b">
        <f t="shared" si="767"/>
        <v>0</v>
      </c>
      <c r="AP444" t="b">
        <f t="shared" si="768"/>
        <v>0</v>
      </c>
      <c r="AQ444" t="b">
        <f t="shared" si="769"/>
        <v>0</v>
      </c>
      <c r="AR444" t="b">
        <f t="shared" si="770"/>
        <v>0</v>
      </c>
      <c r="AS444" t="b">
        <f t="shared" si="771"/>
        <v>0</v>
      </c>
      <c r="AT444" t="b">
        <f t="shared" si="772"/>
        <v>0</v>
      </c>
      <c r="AU444" t="b">
        <f t="shared" si="773"/>
        <v>0</v>
      </c>
      <c r="AV444" t="b">
        <f t="shared" si="774"/>
        <v>0</v>
      </c>
      <c r="AW444" t="b">
        <f t="shared" si="775"/>
        <v>0</v>
      </c>
      <c r="AX444" t="b">
        <f t="shared" si="777"/>
        <v>0</v>
      </c>
      <c r="AY444" t="b">
        <f t="shared" si="778"/>
        <v>0</v>
      </c>
      <c r="AZ444" t="b">
        <f t="shared" si="779"/>
        <v>0</v>
      </c>
      <c r="BA444" t="b">
        <f t="shared" si="780"/>
        <v>0</v>
      </c>
      <c r="BB444" t="b">
        <f t="shared" si="781"/>
        <v>0</v>
      </c>
      <c r="BC444" t="b">
        <f t="shared" si="782"/>
        <v>0</v>
      </c>
      <c r="BD444" t="b">
        <f t="shared" si="783"/>
        <v>0</v>
      </c>
      <c r="BE444" t="b">
        <f t="shared" si="784"/>
        <v>0</v>
      </c>
      <c r="BF444" t="b">
        <f t="shared" si="785"/>
        <v>0</v>
      </c>
      <c r="BG444" t="b">
        <f t="shared" si="786"/>
        <v>0</v>
      </c>
      <c r="BH444" t="b">
        <f t="shared" si="787"/>
        <v>0</v>
      </c>
      <c r="BI444">
        <f t="shared" si="788"/>
        <v>1</v>
      </c>
      <c r="BJ444" t="b">
        <f t="shared" si="789"/>
        <v>0</v>
      </c>
      <c r="BK444" t="b">
        <f t="shared" si="790"/>
        <v>0</v>
      </c>
      <c r="BL444" t="b">
        <f t="shared" si="791"/>
        <v>0</v>
      </c>
      <c r="BM444" t="b">
        <f t="shared" si="792"/>
        <v>0</v>
      </c>
      <c r="BN444" t="b">
        <f t="shared" si="793"/>
        <v>0</v>
      </c>
      <c r="BO444" t="b">
        <f t="shared" si="794"/>
        <v>0</v>
      </c>
      <c r="BP444" t="b">
        <f t="shared" si="795"/>
        <v>0</v>
      </c>
      <c r="BQ444" t="b">
        <f t="shared" si="796"/>
        <v>0</v>
      </c>
      <c r="BR444" t="b">
        <f t="shared" si="797"/>
        <v>0</v>
      </c>
      <c r="BS444" t="b">
        <f t="shared" si="798"/>
        <v>0</v>
      </c>
      <c r="BT444" t="b">
        <f t="shared" si="799"/>
        <v>0</v>
      </c>
      <c r="BU444" t="b">
        <f t="shared" si="800"/>
        <v>0</v>
      </c>
      <c r="BV444" t="b">
        <f t="shared" si="801"/>
        <v>0</v>
      </c>
      <c r="BW444" t="b">
        <f t="shared" si="802"/>
        <v>0</v>
      </c>
      <c r="BX444" t="b">
        <f t="shared" si="803"/>
        <v>0</v>
      </c>
      <c r="BY444" t="b">
        <f t="shared" si="804"/>
        <v>0</v>
      </c>
      <c r="BZ444" t="b">
        <f t="shared" si="805"/>
        <v>0</v>
      </c>
      <c r="CA444" t="b">
        <f t="shared" si="806"/>
        <v>0</v>
      </c>
      <c r="CB444" t="b">
        <f t="shared" si="807"/>
        <v>0</v>
      </c>
      <c r="CC444" t="b">
        <f t="shared" si="808"/>
        <v>0</v>
      </c>
      <c r="CD444" t="b">
        <f t="shared" si="809"/>
        <v>0</v>
      </c>
      <c r="CE444">
        <f t="shared" si="810"/>
        <v>1</v>
      </c>
      <c r="CF444" t="b">
        <f t="shared" si="811"/>
        <v>0</v>
      </c>
      <c r="CG444" t="b">
        <f t="shared" si="812"/>
        <v>0</v>
      </c>
      <c r="CH444" t="b">
        <f t="shared" si="813"/>
        <v>0</v>
      </c>
      <c r="CI444" t="b">
        <f t="shared" si="814"/>
        <v>0</v>
      </c>
      <c r="CJ444" t="b">
        <f t="shared" si="815"/>
        <v>0</v>
      </c>
      <c r="CK444" t="b">
        <f t="shared" si="816"/>
        <v>0</v>
      </c>
      <c r="CL444" t="b">
        <f t="shared" si="817"/>
        <v>0</v>
      </c>
      <c r="CM444" t="b">
        <f t="shared" si="818"/>
        <v>0</v>
      </c>
      <c r="CN444" t="b">
        <f t="shared" si="819"/>
        <v>0</v>
      </c>
      <c r="CO444" t="b">
        <f t="shared" si="820"/>
        <v>0</v>
      </c>
      <c r="CP444" t="b">
        <f t="shared" si="821"/>
        <v>0</v>
      </c>
      <c r="CQ444" t="b">
        <f t="shared" si="822"/>
        <v>0</v>
      </c>
      <c r="CR444" t="b">
        <f t="shared" si="823"/>
        <v>0</v>
      </c>
      <c r="CS444" t="b">
        <f t="shared" si="824"/>
        <v>0</v>
      </c>
      <c r="CT444" t="b">
        <f t="shared" si="825"/>
        <v>0</v>
      </c>
      <c r="CU444" t="b">
        <f t="shared" si="826"/>
        <v>0</v>
      </c>
      <c r="CV444">
        <f t="shared" si="827"/>
        <v>1</v>
      </c>
      <c r="CW444" t="b">
        <f t="shared" si="828"/>
        <v>0</v>
      </c>
      <c r="CX444" t="b">
        <f t="shared" si="829"/>
        <v>0</v>
      </c>
      <c r="CY444" t="b">
        <f t="shared" si="830"/>
        <v>0</v>
      </c>
      <c r="CZ444" t="b">
        <f t="shared" si="831"/>
        <v>0</v>
      </c>
      <c r="DA444" t="b">
        <f t="shared" si="832"/>
        <v>0</v>
      </c>
      <c r="DB444" t="b">
        <f t="shared" si="833"/>
        <v>0</v>
      </c>
      <c r="DC444" t="b">
        <f t="shared" si="834"/>
        <v>0</v>
      </c>
      <c r="DD444" t="b">
        <f t="shared" si="835"/>
        <v>0</v>
      </c>
      <c r="DE444" t="b">
        <f t="shared" si="836"/>
        <v>0</v>
      </c>
      <c r="DF444" t="b">
        <f t="shared" si="837"/>
        <v>0</v>
      </c>
      <c r="DG444" t="b">
        <f t="shared" si="838"/>
        <v>0</v>
      </c>
      <c r="DH444" t="b">
        <f t="shared" si="839"/>
        <v>0</v>
      </c>
      <c r="DI444" t="b">
        <f t="shared" si="840"/>
        <v>0</v>
      </c>
      <c r="DJ444" t="b">
        <f t="shared" si="841"/>
        <v>0</v>
      </c>
      <c r="DK444" t="b">
        <f t="shared" si="842"/>
        <v>0</v>
      </c>
      <c r="DL444" t="b">
        <f t="shared" si="843"/>
        <v>0</v>
      </c>
      <c r="DM444" t="b">
        <f t="shared" si="844"/>
        <v>0</v>
      </c>
      <c r="DN444" t="b">
        <f t="shared" si="845"/>
        <v>0</v>
      </c>
      <c r="DO444" t="b">
        <f t="shared" si="846"/>
        <v>0</v>
      </c>
      <c r="DP444" t="b">
        <f t="shared" si="847"/>
        <v>0</v>
      </c>
      <c r="DQ444" t="b">
        <f t="shared" si="848"/>
        <v>0</v>
      </c>
      <c r="DR444" t="b">
        <f t="shared" si="849"/>
        <v>0</v>
      </c>
      <c r="DS444" t="b">
        <f t="shared" si="850"/>
        <v>0</v>
      </c>
      <c r="DT444" t="b">
        <f t="shared" si="851"/>
        <v>0</v>
      </c>
      <c r="DU444" t="b">
        <f t="shared" si="852"/>
        <v>0</v>
      </c>
      <c r="DV444" t="b">
        <f t="shared" si="853"/>
        <v>0</v>
      </c>
      <c r="DW444" t="b">
        <f t="shared" si="854"/>
        <v>0</v>
      </c>
      <c r="DX444" t="b">
        <f t="shared" si="855"/>
        <v>0</v>
      </c>
      <c r="DY444" t="b">
        <f t="shared" si="856"/>
        <v>0</v>
      </c>
      <c r="DZ444" t="b">
        <f t="shared" si="857"/>
        <v>0</v>
      </c>
      <c r="EA444" t="b">
        <f t="shared" si="858"/>
        <v>0</v>
      </c>
      <c r="EB444" t="b">
        <f t="shared" si="859"/>
        <v>0</v>
      </c>
      <c r="EC444" t="b">
        <f t="shared" si="860"/>
        <v>0</v>
      </c>
      <c r="ED444" t="b">
        <f t="shared" si="861"/>
        <v>0</v>
      </c>
      <c r="EE444" t="b">
        <f t="shared" si="862"/>
        <v>0</v>
      </c>
      <c r="EF444" t="b">
        <f t="shared" si="863"/>
        <v>0</v>
      </c>
      <c r="EG444" t="b">
        <f t="shared" si="864"/>
        <v>0</v>
      </c>
      <c r="EH444" t="b">
        <f t="shared" si="865"/>
        <v>0</v>
      </c>
      <c r="EI444" t="b">
        <f t="shared" si="866"/>
        <v>0</v>
      </c>
      <c r="EJ444" t="b">
        <f t="shared" si="867"/>
        <v>0</v>
      </c>
      <c r="EK444" t="b">
        <f t="shared" si="868"/>
        <v>0</v>
      </c>
    </row>
    <row r="445" spans="1:141">
      <c r="A445" t="s">
        <v>2278</v>
      </c>
      <c r="B445" t="s">
        <v>2278</v>
      </c>
      <c r="C445" t="s">
        <v>2279</v>
      </c>
      <c r="D445" s="1">
        <v>41821</v>
      </c>
      <c r="E445" s="2">
        <v>43054.331377314818</v>
      </c>
      <c r="F445" s="2">
        <v>43054.331377314818</v>
      </c>
      <c r="G445">
        <v>709926</v>
      </c>
      <c r="H445" t="s">
        <v>2280</v>
      </c>
      <c r="I445" s="10" t="s">
        <v>2281</v>
      </c>
      <c r="J445" t="s">
        <v>188</v>
      </c>
      <c r="K445" s="8" t="b">
        <v>1</v>
      </c>
      <c r="L445" s="10" t="b">
        <v>0</v>
      </c>
      <c r="M445" s="12" t="b">
        <v>0</v>
      </c>
      <c r="N445" t="b">
        <v>0</v>
      </c>
      <c r="O445" t="b">
        <v>0</v>
      </c>
      <c r="P445" t="b">
        <v>0</v>
      </c>
      <c r="Q445">
        <f t="shared" si="745"/>
        <v>3</v>
      </c>
      <c r="R445">
        <f t="shared" si="746"/>
        <v>7</v>
      </c>
      <c r="S445" t="e">
        <f t="shared" ca="1" si="776"/>
        <v>#NAME?</v>
      </c>
      <c r="T445" t="e">
        <f t="shared" ca="1" si="747"/>
        <v>#NAME?</v>
      </c>
      <c r="U445" s="4">
        <f t="shared" si="748"/>
        <v>1233.3313773148184</v>
      </c>
      <c r="V445" s="4">
        <f t="shared" si="749"/>
        <v>41.111045910493949</v>
      </c>
      <c r="W445" s="4">
        <f t="shared" si="750"/>
        <v>1</v>
      </c>
      <c r="X445" s="4">
        <f t="shared" si="751"/>
        <v>0</v>
      </c>
      <c r="Y445" s="4">
        <f t="shared" si="752"/>
        <v>0</v>
      </c>
      <c r="Z445" s="4">
        <f t="shared" si="753"/>
        <v>0</v>
      </c>
      <c r="AA445" s="4">
        <f t="shared" si="754"/>
        <v>0</v>
      </c>
      <c r="AB445" s="4">
        <f t="shared" si="755"/>
        <v>0</v>
      </c>
      <c r="AC445" s="4"/>
      <c r="AD445" s="4" t="b">
        <f t="shared" si="756"/>
        <v>0</v>
      </c>
      <c r="AE445" s="4" t="b">
        <f t="shared" si="757"/>
        <v>0</v>
      </c>
      <c r="AF445" s="4" t="b">
        <f t="shared" si="758"/>
        <v>0</v>
      </c>
      <c r="AG445" t="b">
        <f t="shared" si="759"/>
        <v>0</v>
      </c>
      <c r="AH445" t="b">
        <f t="shared" si="760"/>
        <v>0</v>
      </c>
      <c r="AI445" t="b">
        <f t="shared" si="761"/>
        <v>0</v>
      </c>
      <c r="AJ445" t="b">
        <f t="shared" si="762"/>
        <v>0</v>
      </c>
      <c r="AK445" t="b">
        <f t="shared" si="763"/>
        <v>0</v>
      </c>
      <c r="AL445" t="b">
        <f t="shared" si="764"/>
        <v>0</v>
      </c>
      <c r="AM445" t="b">
        <f t="shared" si="765"/>
        <v>0</v>
      </c>
      <c r="AN445" t="b">
        <f t="shared" si="766"/>
        <v>0</v>
      </c>
      <c r="AO445" t="b">
        <f t="shared" si="767"/>
        <v>0</v>
      </c>
      <c r="AP445" t="b">
        <f t="shared" si="768"/>
        <v>0</v>
      </c>
      <c r="AQ445" t="b">
        <f t="shared" si="769"/>
        <v>0</v>
      </c>
      <c r="AR445" t="b">
        <f t="shared" si="770"/>
        <v>0</v>
      </c>
      <c r="AS445" t="b">
        <f t="shared" si="771"/>
        <v>0</v>
      </c>
      <c r="AT445" t="b">
        <f t="shared" si="772"/>
        <v>0</v>
      </c>
      <c r="AU445" t="b">
        <f t="shared" si="773"/>
        <v>0</v>
      </c>
      <c r="AV445" t="b">
        <f t="shared" si="774"/>
        <v>0</v>
      </c>
      <c r="AW445" t="b">
        <f t="shared" si="775"/>
        <v>0</v>
      </c>
      <c r="AX445" t="b">
        <f t="shared" si="777"/>
        <v>0</v>
      </c>
      <c r="AY445" t="b">
        <f t="shared" si="778"/>
        <v>0</v>
      </c>
      <c r="AZ445" t="b">
        <f t="shared" si="779"/>
        <v>0</v>
      </c>
      <c r="BA445" t="b">
        <f t="shared" si="780"/>
        <v>0</v>
      </c>
      <c r="BB445" t="b">
        <f t="shared" si="781"/>
        <v>0</v>
      </c>
      <c r="BC445" t="b">
        <f t="shared" si="782"/>
        <v>0</v>
      </c>
      <c r="BD445" t="b">
        <f t="shared" si="783"/>
        <v>0</v>
      </c>
      <c r="BE445" t="b">
        <f t="shared" si="784"/>
        <v>0</v>
      </c>
      <c r="BF445" t="b">
        <f t="shared" si="785"/>
        <v>0</v>
      </c>
      <c r="BG445" t="b">
        <f t="shared" si="786"/>
        <v>0</v>
      </c>
      <c r="BH445" t="b">
        <f t="shared" si="787"/>
        <v>0</v>
      </c>
      <c r="BI445">
        <f t="shared" si="788"/>
        <v>1</v>
      </c>
      <c r="BJ445" t="b">
        <f t="shared" si="789"/>
        <v>0</v>
      </c>
      <c r="BK445" t="b">
        <f t="shared" si="790"/>
        <v>0</v>
      </c>
      <c r="BL445" t="b">
        <f t="shared" si="791"/>
        <v>0</v>
      </c>
      <c r="BM445" t="b">
        <f t="shared" si="792"/>
        <v>0</v>
      </c>
      <c r="BN445" t="b">
        <f t="shared" si="793"/>
        <v>0</v>
      </c>
      <c r="BO445" t="b">
        <f t="shared" si="794"/>
        <v>0</v>
      </c>
      <c r="BP445" t="b">
        <f t="shared" si="795"/>
        <v>0</v>
      </c>
      <c r="BQ445" t="b">
        <f t="shared" si="796"/>
        <v>0</v>
      </c>
      <c r="BR445" t="b">
        <f t="shared" si="797"/>
        <v>0</v>
      </c>
      <c r="BS445" t="b">
        <f t="shared" si="798"/>
        <v>0</v>
      </c>
      <c r="BT445" t="b">
        <f t="shared" si="799"/>
        <v>0</v>
      </c>
      <c r="BU445" t="b">
        <f t="shared" si="800"/>
        <v>0</v>
      </c>
      <c r="BV445" t="b">
        <f t="shared" si="801"/>
        <v>0</v>
      </c>
      <c r="BW445" t="b">
        <f t="shared" si="802"/>
        <v>0</v>
      </c>
      <c r="BX445" t="b">
        <f t="shared" si="803"/>
        <v>0</v>
      </c>
      <c r="BY445" t="b">
        <f t="shared" si="804"/>
        <v>0</v>
      </c>
      <c r="BZ445" t="b">
        <f t="shared" si="805"/>
        <v>0</v>
      </c>
      <c r="CA445" t="b">
        <f t="shared" si="806"/>
        <v>0</v>
      </c>
      <c r="CB445" t="b">
        <f t="shared" si="807"/>
        <v>0</v>
      </c>
      <c r="CC445" t="b">
        <f t="shared" si="808"/>
        <v>0</v>
      </c>
      <c r="CD445" t="b">
        <f t="shared" si="809"/>
        <v>0</v>
      </c>
      <c r="CE445">
        <f t="shared" si="810"/>
        <v>1</v>
      </c>
      <c r="CF445" t="b">
        <f t="shared" si="811"/>
        <v>0</v>
      </c>
      <c r="CG445" t="b">
        <f t="shared" si="812"/>
        <v>0</v>
      </c>
      <c r="CH445" t="b">
        <f t="shared" si="813"/>
        <v>0</v>
      </c>
      <c r="CI445" t="b">
        <f t="shared" si="814"/>
        <v>0</v>
      </c>
      <c r="CJ445" t="b">
        <f t="shared" si="815"/>
        <v>0</v>
      </c>
      <c r="CK445" t="b">
        <f t="shared" si="816"/>
        <v>0</v>
      </c>
      <c r="CL445" t="b">
        <f t="shared" si="817"/>
        <v>0</v>
      </c>
      <c r="CM445" t="b">
        <f t="shared" si="818"/>
        <v>0</v>
      </c>
      <c r="CN445" t="b">
        <f t="shared" si="819"/>
        <v>0</v>
      </c>
      <c r="CO445" t="b">
        <f t="shared" si="820"/>
        <v>0</v>
      </c>
      <c r="CP445" t="b">
        <f t="shared" si="821"/>
        <v>0</v>
      </c>
      <c r="CQ445" t="b">
        <f t="shared" si="822"/>
        <v>0</v>
      </c>
      <c r="CR445" t="b">
        <f t="shared" si="823"/>
        <v>0</v>
      </c>
      <c r="CS445" t="b">
        <f t="shared" si="824"/>
        <v>0</v>
      </c>
      <c r="CT445" t="b">
        <f t="shared" si="825"/>
        <v>0</v>
      </c>
      <c r="CU445" t="b">
        <f t="shared" si="826"/>
        <v>0</v>
      </c>
      <c r="CV445">
        <f t="shared" si="827"/>
        <v>1</v>
      </c>
      <c r="CW445" t="b">
        <f t="shared" si="828"/>
        <v>0</v>
      </c>
      <c r="CX445" t="b">
        <f t="shared" si="829"/>
        <v>0</v>
      </c>
      <c r="CY445" t="b">
        <f t="shared" si="830"/>
        <v>0</v>
      </c>
      <c r="CZ445" t="b">
        <f t="shared" si="831"/>
        <v>0</v>
      </c>
      <c r="DA445" t="b">
        <f t="shared" si="832"/>
        <v>0</v>
      </c>
      <c r="DB445" t="b">
        <f t="shared" si="833"/>
        <v>0</v>
      </c>
      <c r="DC445" t="b">
        <f t="shared" si="834"/>
        <v>0</v>
      </c>
      <c r="DD445" t="b">
        <f t="shared" si="835"/>
        <v>0</v>
      </c>
      <c r="DE445" t="b">
        <f t="shared" si="836"/>
        <v>0</v>
      </c>
      <c r="DF445" t="b">
        <f t="shared" si="837"/>
        <v>0</v>
      </c>
      <c r="DG445" t="b">
        <f t="shared" si="838"/>
        <v>0</v>
      </c>
      <c r="DH445" t="b">
        <f t="shared" si="839"/>
        <v>0</v>
      </c>
      <c r="DI445" t="b">
        <f t="shared" si="840"/>
        <v>0</v>
      </c>
      <c r="DJ445" t="b">
        <f t="shared" si="841"/>
        <v>0</v>
      </c>
      <c r="DK445" t="b">
        <f t="shared" si="842"/>
        <v>0</v>
      </c>
      <c r="DL445" t="b">
        <f t="shared" si="843"/>
        <v>0</v>
      </c>
      <c r="DM445" t="b">
        <f t="shared" si="844"/>
        <v>0</v>
      </c>
      <c r="DN445" t="b">
        <f t="shared" si="845"/>
        <v>0</v>
      </c>
      <c r="DO445" t="b">
        <f t="shared" si="846"/>
        <v>0</v>
      </c>
      <c r="DP445" t="b">
        <f t="shared" si="847"/>
        <v>0</v>
      </c>
      <c r="DQ445" t="b">
        <f t="shared" si="848"/>
        <v>0</v>
      </c>
      <c r="DR445" t="b">
        <f t="shared" si="849"/>
        <v>0</v>
      </c>
      <c r="DS445" t="b">
        <f t="shared" si="850"/>
        <v>0</v>
      </c>
      <c r="DT445" t="b">
        <f t="shared" si="851"/>
        <v>0</v>
      </c>
      <c r="DU445" t="b">
        <f t="shared" si="852"/>
        <v>0</v>
      </c>
      <c r="DV445" t="b">
        <f t="shared" si="853"/>
        <v>0</v>
      </c>
      <c r="DW445" t="b">
        <f t="shared" si="854"/>
        <v>0</v>
      </c>
      <c r="DX445" t="b">
        <f t="shared" si="855"/>
        <v>0</v>
      </c>
      <c r="DY445" t="b">
        <f t="shared" si="856"/>
        <v>0</v>
      </c>
      <c r="DZ445" t="b">
        <f t="shared" si="857"/>
        <v>0</v>
      </c>
      <c r="EA445" t="b">
        <f t="shared" si="858"/>
        <v>0</v>
      </c>
      <c r="EB445" t="b">
        <f t="shared" si="859"/>
        <v>0</v>
      </c>
      <c r="EC445" t="b">
        <f t="shared" si="860"/>
        <v>0</v>
      </c>
      <c r="ED445" t="b">
        <f t="shared" si="861"/>
        <v>0</v>
      </c>
      <c r="EE445" t="b">
        <f t="shared" si="862"/>
        <v>0</v>
      </c>
      <c r="EF445">
        <f t="shared" si="863"/>
        <v>1</v>
      </c>
      <c r="EG445" t="b">
        <f t="shared" si="864"/>
        <v>0</v>
      </c>
      <c r="EH445" t="b">
        <f t="shared" si="865"/>
        <v>0</v>
      </c>
      <c r="EI445" t="b">
        <f t="shared" si="866"/>
        <v>0</v>
      </c>
      <c r="EJ445" t="b">
        <f t="shared" si="867"/>
        <v>0</v>
      </c>
      <c r="EK445" t="b">
        <f t="shared" si="868"/>
        <v>0</v>
      </c>
    </row>
    <row r="446" spans="1:141">
      <c r="A446" t="s">
        <v>2282</v>
      </c>
      <c r="B446" t="s">
        <v>2282</v>
      </c>
      <c r="C446" t="s">
        <v>2283</v>
      </c>
      <c r="D446" s="1">
        <v>43236</v>
      </c>
      <c r="E446" s="2">
        <v>43710.150057870371</v>
      </c>
      <c r="F446" s="2">
        <v>43710.1559837963</v>
      </c>
      <c r="G446">
        <v>36395491</v>
      </c>
      <c r="H446" t="s">
        <v>2284</v>
      </c>
      <c r="I446" s="10" t="s">
        <v>2285</v>
      </c>
      <c r="J446" t="s">
        <v>2286</v>
      </c>
      <c r="K446" s="8" t="b">
        <v>1</v>
      </c>
      <c r="L446" s="10" t="b">
        <v>0</v>
      </c>
      <c r="M446" s="12" t="b">
        <v>0</v>
      </c>
      <c r="N446" t="b">
        <v>0</v>
      </c>
      <c r="O446" t="b">
        <v>0</v>
      </c>
      <c r="P446" t="b">
        <v>0</v>
      </c>
      <c r="Q446">
        <f t="shared" si="745"/>
        <v>4</v>
      </c>
      <c r="R446">
        <f t="shared" si="746"/>
        <v>5</v>
      </c>
      <c r="S446" t="e">
        <f t="shared" ca="1" si="776"/>
        <v>#NAME?</v>
      </c>
      <c r="T446" t="e">
        <f t="shared" ca="1" si="747"/>
        <v>#NAME?</v>
      </c>
      <c r="U446" s="4">
        <f t="shared" si="748"/>
        <v>474.1500578703708</v>
      </c>
      <c r="V446" s="4">
        <f t="shared" si="749"/>
        <v>15.805001929012359</v>
      </c>
      <c r="W446" s="4">
        <f t="shared" si="750"/>
        <v>1</v>
      </c>
      <c r="X446" s="4">
        <f t="shared" si="751"/>
        <v>0</v>
      </c>
      <c r="Y446" s="4">
        <f t="shared" si="752"/>
        <v>0</v>
      </c>
      <c r="Z446" s="4">
        <f t="shared" si="753"/>
        <v>0</v>
      </c>
      <c r="AA446" s="4">
        <f t="shared" si="754"/>
        <v>0</v>
      </c>
      <c r="AB446" s="4">
        <f t="shared" si="755"/>
        <v>0</v>
      </c>
      <c r="AC446" s="4"/>
      <c r="AD446" s="4" t="b">
        <f t="shared" si="756"/>
        <v>0</v>
      </c>
      <c r="AE446" s="4" t="b">
        <f t="shared" si="757"/>
        <v>0</v>
      </c>
      <c r="AF446" s="4" t="b">
        <f t="shared" si="758"/>
        <v>0</v>
      </c>
      <c r="AG446" t="b">
        <f t="shared" si="759"/>
        <v>0</v>
      </c>
      <c r="AH446" t="b">
        <f t="shared" si="760"/>
        <v>0</v>
      </c>
      <c r="AI446" t="b">
        <f t="shared" si="761"/>
        <v>0</v>
      </c>
      <c r="AJ446" t="b">
        <f t="shared" si="762"/>
        <v>0</v>
      </c>
      <c r="AK446" t="b">
        <f t="shared" si="763"/>
        <v>0</v>
      </c>
      <c r="AL446" t="b">
        <f t="shared" si="764"/>
        <v>0</v>
      </c>
      <c r="AM446" t="b">
        <f t="shared" si="765"/>
        <v>0</v>
      </c>
      <c r="AN446" t="b">
        <f t="shared" si="766"/>
        <v>0</v>
      </c>
      <c r="AO446" t="b">
        <f t="shared" si="767"/>
        <v>0</v>
      </c>
      <c r="AP446" t="b">
        <f t="shared" si="768"/>
        <v>0</v>
      </c>
      <c r="AQ446" t="b">
        <f t="shared" si="769"/>
        <v>0</v>
      </c>
      <c r="AR446" t="b">
        <f t="shared" si="770"/>
        <v>0</v>
      </c>
      <c r="AS446" t="b">
        <f t="shared" si="771"/>
        <v>0</v>
      </c>
      <c r="AT446" t="b">
        <f t="shared" si="772"/>
        <v>0</v>
      </c>
      <c r="AU446" t="b">
        <f t="shared" si="773"/>
        <v>0</v>
      </c>
      <c r="AV446" t="b">
        <f t="shared" si="774"/>
        <v>0</v>
      </c>
      <c r="AW446" t="b">
        <f t="shared" si="775"/>
        <v>0</v>
      </c>
      <c r="AX446" t="b">
        <f t="shared" si="777"/>
        <v>0</v>
      </c>
      <c r="AY446" t="b">
        <f t="shared" si="778"/>
        <v>0</v>
      </c>
      <c r="AZ446" t="b">
        <f t="shared" si="779"/>
        <v>0</v>
      </c>
      <c r="BA446" t="b">
        <f t="shared" si="780"/>
        <v>0</v>
      </c>
      <c r="BB446" t="b">
        <f t="shared" si="781"/>
        <v>0</v>
      </c>
      <c r="BC446" t="b">
        <f t="shared" si="782"/>
        <v>0</v>
      </c>
      <c r="BD446" t="b">
        <f t="shared" si="783"/>
        <v>0</v>
      </c>
      <c r="BE446" t="b">
        <f t="shared" si="784"/>
        <v>0</v>
      </c>
      <c r="BF446" t="b">
        <f t="shared" si="785"/>
        <v>0</v>
      </c>
      <c r="BG446" t="b">
        <f t="shared" si="786"/>
        <v>0</v>
      </c>
      <c r="BH446" t="b">
        <f t="shared" si="787"/>
        <v>0</v>
      </c>
      <c r="BI446">
        <f t="shared" si="788"/>
        <v>1</v>
      </c>
      <c r="BJ446" t="b">
        <f t="shared" si="789"/>
        <v>0</v>
      </c>
      <c r="BK446" t="b">
        <f t="shared" si="790"/>
        <v>0</v>
      </c>
      <c r="BL446" t="b">
        <f t="shared" si="791"/>
        <v>0</v>
      </c>
      <c r="BM446" t="b">
        <f t="shared" si="792"/>
        <v>0</v>
      </c>
      <c r="BN446" t="b">
        <f t="shared" si="793"/>
        <v>0</v>
      </c>
      <c r="BO446" t="b">
        <f t="shared" si="794"/>
        <v>0</v>
      </c>
      <c r="BP446" t="b">
        <f t="shared" si="795"/>
        <v>0</v>
      </c>
      <c r="BQ446" t="b">
        <f t="shared" si="796"/>
        <v>0</v>
      </c>
      <c r="BR446">
        <f t="shared" si="797"/>
        <v>1</v>
      </c>
      <c r="BS446">
        <f t="shared" si="798"/>
        <v>1</v>
      </c>
      <c r="BT446" t="b">
        <f t="shared" si="799"/>
        <v>0</v>
      </c>
      <c r="BU446" t="b">
        <f t="shared" si="800"/>
        <v>0</v>
      </c>
      <c r="BV446" t="b">
        <f t="shared" si="801"/>
        <v>0</v>
      </c>
      <c r="BW446" t="b">
        <f t="shared" si="802"/>
        <v>0</v>
      </c>
      <c r="BX446" t="b">
        <f t="shared" si="803"/>
        <v>0</v>
      </c>
      <c r="BY446" t="b">
        <f t="shared" si="804"/>
        <v>0</v>
      </c>
      <c r="BZ446" t="b">
        <f t="shared" si="805"/>
        <v>0</v>
      </c>
      <c r="CA446" t="b">
        <f t="shared" si="806"/>
        <v>0</v>
      </c>
      <c r="CB446" t="b">
        <f t="shared" si="807"/>
        <v>0</v>
      </c>
      <c r="CC446" t="b">
        <f t="shared" si="808"/>
        <v>0</v>
      </c>
      <c r="CD446" t="b">
        <f t="shared" si="809"/>
        <v>0</v>
      </c>
      <c r="CE446" t="b">
        <f t="shared" si="810"/>
        <v>0</v>
      </c>
      <c r="CF446" t="b">
        <f t="shared" si="811"/>
        <v>0</v>
      </c>
      <c r="CG446" t="b">
        <f t="shared" si="812"/>
        <v>0</v>
      </c>
      <c r="CH446" t="b">
        <f t="shared" si="813"/>
        <v>0</v>
      </c>
      <c r="CI446" t="b">
        <f t="shared" si="814"/>
        <v>0</v>
      </c>
      <c r="CJ446" t="b">
        <f t="shared" si="815"/>
        <v>0</v>
      </c>
      <c r="CK446" t="b">
        <f t="shared" si="816"/>
        <v>0</v>
      </c>
      <c r="CL446" t="b">
        <f t="shared" si="817"/>
        <v>0</v>
      </c>
      <c r="CM446">
        <f t="shared" si="818"/>
        <v>1</v>
      </c>
      <c r="CN446" t="b">
        <f t="shared" si="819"/>
        <v>0</v>
      </c>
      <c r="CO446" t="b">
        <f t="shared" si="820"/>
        <v>0</v>
      </c>
      <c r="CP446" t="b">
        <f t="shared" si="821"/>
        <v>0</v>
      </c>
      <c r="CQ446" t="b">
        <f t="shared" si="822"/>
        <v>0</v>
      </c>
      <c r="CR446" t="b">
        <f t="shared" si="823"/>
        <v>0</v>
      </c>
      <c r="CS446" t="b">
        <f t="shared" si="824"/>
        <v>0</v>
      </c>
      <c r="CT446" t="b">
        <f t="shared" si="825"/>
        <v>0</v>
      </c>
      <c r="CU446" t="b">
        <f t="shared" si="826"/>
        <v>0</v>
      </c>
      <c r="CV446">
        <f t="shared" si="827"/>
        <v>1</v>
      </c>
      <c r="CW446" t="b">
        <f t="shared" si="828"/>
        <v>0</v>
      </c>
      <c r="CX446" t="b">
        <f t="shared" si="829"/>
        <v>0</v>
      </c>
      <c r="CY446" t="b">
        <f t="shared" si="830"/>
        <v>0</v>
      </c>
      <c r="CZ446" t="b">
        <f t="shared" si="831"/>
        <v>0</v>
      </c>
      <c r="DA446" t="b">
        <f t="shared" si="832"/>
        <v>0</v>
      </c>
      <c r="DB446" t="b">
        <f t="shared" si="833"/>
        <v>0</v>
      </c>
      <c r="DC446" t="b">
        <f t="shared" si="834"/>
        <v>0</v>
      </c>
      <c r="DD446" t="b">
        <f t="shared" si="835"/>
        <v>0</v>
      </c>
      <c r="DE446" t="b">
        <f t="shared" si="836"/>
        <v>0</v>
      </c>
      <c r="DF446" t="b">
        <f t="shared" si="837"/>
        <v>0</v>
      </c>
      <c r="DG446" t="b">
        <f t="shared" si="838"/>
        <v>0</v>
      </c>
      <c r="DH446" t="b">
        <f t="shared" si="839"/>
        <v>0</v>
      </c>
      <c r="DI446" t="b">
        <f t="shared" si="840"/>
        <v>0</v>
      </c>
      <c r="DJ446" t="b">
        <f t="shared" si="841"/>
        <v>0</v>
      </c>
      <c r="DK446" t="b">
        <f t="shared" si="842"/>
        <v>0</v>
      </c>
      <c r="DL446" t="b">
        <f t="shared" si="843"/>
        <v>0</v>
      </c>
      <c r="DM446" t="b">
        <f t="shared" si="844"/>
        <v>0</v>
      </c>
      <c r="DN446" t="b">
        <f t="shared" si="845"/>
        <v>0</v>
      </c>
      <c r="DO446" t="b">
        <f t="shared" si="846"/>
        <v>0</v>
      </c>
      <c r="DP446" t="b">
        <f t="shared" si="847"/>
        <v>0</v>
      </c>
      <c r="DQ446" t="b">
        <f t="shared" si="848"/>
        <v>0</v>
      </c>
      <c r="DR446" t="b">
        <f t="shared" si="849"/>
        <v>0</v>
      </c>
      <c r="DS446" t="b">
        <f t="shared" si="850"/>
        <v>0</v>
      </c>
      <c r="DT446" t="b">
        <f t="shared" si="851"/>
        <v>0</v>
      </c>
      <c r="DU446" t="b">
        <f t="shared" si="852"/>
        <v>0</v>
      </c>
      <c r="DV446" t="b">
        <f t="shared" si="853"/>
        <v>0</v>
      </c>
      <c r="DW446" t="b">
        <f t="shared" si="854"/>
        <v>0</v>
      </c>
      <c r="DX446" t="b">
        <f t="shared" si="855"/>
        <v>0</v>
      </c>
      <c r="DY446" t="b">
        <f t="shared" si="856"/>
        <v>0</v>
      </c>
      <c r="DZ446" t="b">
        <f t="shared" si="857"/>
        <v>0</v>
      </c>
      <c r="EA446" t="b">
        <f t="shared" si="858"/>
        <v>0</v>
      </c>
      <c r="EB446" t="b">
        <f t="shared" si="859"/>
        <v>0</v>
      </c>
      <c r="EC446" t="b">
        <f t="shared" si="860"/>
        <v>0</v>
      </c>
      <c r="ED446" t="b">
        <f t="shared" si="861"/>
        <v>0</v>
      </c>
      <c r="EE446" t="b">
        <f t="shared" si="862"/>
        <v>0</v>
      </c>
      <c r="EF446">
        <f t="shared" si="863"/>
        <v>1</v>
      </c>
      <c r="EG446" t="b">
        <f t="shared" si="864"/>
        <v>0</v>
      </c>
      <c r="EH446" t="b">
        <f t="shared" si="865"/>
        <v>0</v>
      </c>
      <c r="EI446" t="b">
        <f t="shared" si="866"/>
        <v>0</v>
      </c>
      <c r="EJ446" t="b">
        <f t="shared" si="867"/>
        <v>0</v>
      </c>
      <c r="EK446" t="b">
        <f t="shared" si="868"/>
        <v>0</v>
      </c>
    </row>
    <row r="447" spans="1:141">
      <c r="A447" t="s">
        <v>2287</v>
      </c>
      <c r="B447" t="s">
        <v>2287</v>
      </c>
      <c r="C447" t="s">
        <v>2288</v>
      </c>
      <c r="D447" s="1">
        <v>41883</v>
      </c>
      <c r="E447" s="2">
        <v>42917.675428240742</v>
      </c>
      <c r="F447" s="2">
        <v>42917.675428240742</v>
      </c>
      <c r="G447">
        <v>503501</v>
      </c>
      <c r="H447" t="s">
        <v>2289</v>
      </c>
      <c r="I447" s="10" t="s">
        <v>2290</v>
      </c>
      <c r="J447" t="s">
        <v>188</v>
      </c>
      <c r="K447" s="8" t="b">
        <v>1</v>
      </c>
      <c r="L447" s="10" t="b">
        <v>0</v>
      </c>
      <c r="M447" s="12" t="b">
        <v>0</v>
      </c>
      <c r="N447" t="b">
        <v>0</v>
      </c>
      <c r="O447" t="b">
        <v>0</v>
      </c>
      <c r="P447" t="b">
        <v>0</v>
      </c>
      <c r="Q447">
        <f t="shared" si="745"/>
        <v>2</v>
      </c>
      <c r="R447">
        <f t="shared" si="746"/>
        <v>9</v>
      </c>
      <c r="S447" t="e">
        <f t="shared" ca="1" si="776"/>
        <v>#NAME?</v>
      </c>
      <c r="T447" t="e">
        <f t="shared" ca="1" si="747"/>
        <v>#NAME?</v>
      </c>
      <c r="U447" s="4">
        <f t="shared" si="748"/>
        <v>1034.6754282407419</v>
      </c>
      <c r="V447" s="4">
        <f t="shared" si="749"/>
        <v>34.489180941358065</v>
      </c>
      <c r="W447" s="4">
        <f t="shared" si="750"/>
        <v>1</v>
      </c>
      <c r="X447" s="4">
        <f t="shared" si="751"/>
        <v>0</v>
      </c>
      <c r="Y447" s="4">
        <f t="shared" si="752"/>
        <v>0</v>
      </c>
      <c r="Z447" s="4">
        <f t="shared" si="753"/>
        <v>0</v>
      </c>
      <c r="AA447" s="4">
        <f t="shared" si="754"/>
        <v>0</v>
      </c>
      <c r="AB447" s="4">
        <f t="shared" si="755"/>
        <v>0</v>
      </c>
      <c r="AC447" s="4"/>
      <c r="AD447" s="4" t="b">
        <f t="shared" si="756"/>
        <v>0</v>
      </c>
      <c r="AE447" s="4" t="b">
        <f t="shared" si="757"/>
        <v>0</v>
      </c>
      <c r="AF447" s="4" t="b">
        <f t="shared" si="758"/>
        <v>0</v>
      </c>
      <c r="AG447" t="b">
        <f t="shared" si="759"/>
        <v>0</v>
      </c>
      <c r="AH447" t="b">
        <f t="shared" si="760"/>
        <v>0</v>
      </c>
      <c r="AI447" t="b">
        <f t="shared" si="761"/>
        <v>0</v>
      </c>
      <c r="AJ447" t="b">
        <f t="shared" si="762"/>
        <v>0</v>
      </c>
      <c r="AK447" t="b">
        <f t="shared" si="763"/>
        <v>0</v>
      </c>
      <c r="AL447" t="b">
        <f t="shared" si="764"/>
        <v>0</v>
      </c>
      <c r="AM447" t="b">
        <f t="shared" si="765"/>
        <v>0</v>
      </c>
      <c r="AN447" t="b">
        <f t="shared" si="766"/>
        <v>0</v>
      </c>
      <c r="AO447" t="b">
        <f t="shared" si="767"/>
        <v>0</v>
      </c>
      <c r="AP447" t="b">
        <f t="shared" si="768"/>
        <v>0</v>
      </c>
      <c r="AQ447" t="b">
        <f t="shared" si="769"/>
        <v>0</v>
      </c>
      <c r="AR447" t="b">
        <f t="shared" si="770"/>
        <v>0</v>
      </c>
      <c r="AS447" t="b">
        <f t="shared" si="771"/>
        <v>0</v>
      </c>
      <c r="AT447" t="b">
        <f t="shared" si="772"/>
        <v>0</v>
      </c>
      <c r="AU447" t="b">
        <f t="shared" si="773"/>
        <v>0</v>
      </c>
      <c r="AV447" t="b">
        <f t="shared" si="774"/>
        <v>0</v>
      </c>
      <c r="AW447" t="b">
        <f t="shared" si="775"/>
        <v>0</v>
      </c>
      <c r="AX447" t="b">
        <f t="shared" si="777"/>
        <v>0</v>
      </c>
      <c r="AY447" t="b">
        <f t="shared" si="778"/>
        <v>0</v>
      </c>
      <c r="AZ447" t="b">
        <f t="shared" si="779"/>
        <v>0</v>
      </c>
      <c r="BA447" t="b">
        <f t="shared" si="780"/>
        <v>0</v>
      </c>
      <c r="BB447" t="b">
        <f t="shared" si="781"/>
        <v>0</v>
      </c>
      <c r="BC447" t="b">
        <f t="shared" si="782"/>
        <v>0</v>
      </c>
      <c r="BD447" t="b">
        <f t="shared" si="783"/>
        <v>0</v>
      </c>
      <c r="BE447" t="b">
        <f t="shared" si="784"/>
        <v>0</v>
      </c>
      <c r="BF447" t="b">
        <f t="shared" si="785"/>
        <v>0</v>
      </c>
      <c r="BG447" t="b">
        <f t="shared" si="786"/>
        <v>0</v>
      </c>
      <c r="BH447" t="b">
        <f t="shared" si="787"/>
        <v>0</v>
      </c>
      <c r="BI447">
        <f t="shared" si="788"/>
        <v>1</v>
      </c>
      <c r="BJ447" t="b">
        <f t="shared" si="789"/>
        <v>0</v>
      </c>
      <c r="BK447" t="b">
        <f t="shared" si="790"/>
        <v>0</v>
      </c>
      <c r="BL447" t="b">
        <f t="shared" si="791"/>
        <v>0</v>
      </c>
      <c r="BM447" t="b">
        <f t="shared" si="792"/>
        <v>0</v>
      </c>
      <c r="BN447" t="b">
        <f t="shared" si="793"/>
        <v>0</v>
      </c>
      <c r="BO447" t="b">
        <f t="shared" si="794"/>
        <v>0</v>
      </c>
      <c r="BP447" t="b">
        <f t="shared" si="795"/>
        <v>0</v>
      </c>
      <c r="BQ447" t="b">
        <f t="shared" si="796"/>
        <v>0</v>
      </c>
      <c r="BR447" t="b">
        <f t="shared" si="797"/>
        <v>0</v>
      </c>
      <c r="BS447" t="b">
        <f t="shared" si="798"/>
        <v>0</v>
      </c>
      <c r="BT447" t="b">
        <f t="shared" si="799"/>
        <v>0</v>
      </c>
      <c r="BU447" t="b">
        <f t="shared" si="800"/>
        <v>0</v>
      </c>
      <c r="BV447" t="b">
        <f t="shared" si="801"/>
        <v>0</v>
      </c>
      <c r="BW447" t="b">
        <f t="shared" si="802"/>
        <v>0</v>
      </c>
      <c r="BX447" t="b">
        <f t="shared" si="803"/>
        <v>0</v>
      </c>
      <c r="BY447" t="b">
        <f t="shared" si="804"/>
        <v>0</v>
      </c>
      <c r="BZ447" t="b">
        <f t="shared" si="805"/>
        <v>0</v>
      </c>
      <c r="CA447" t="b">
        <f t="shared" si="806"/>
        <v>0</v>
      </c>
      <c r="CB447" t="b">
        <f t="shared" si="807"/>
        <v>0</v>
      </c>
      <c r="CC447" t="b">
        <f t="shared" si="808"/>
        <v>0</v>
      </c>
      <c r="CD447" t="b">
        <f t="shared" si="809"/>
        <v>0</v>
      </c>
      <c r="CE447">
        <f t="shared" si="810"/>
        <v>1</v>
      </c>
      <c r="CF447" t="b">
        <f t="shared" si="811"/>
        <v>0</v>
      </c>
      <c r="CG447" t="b">
        <f t="shared" si="812"/>
        <v>0</v>
      </c>
      <c r="CH447" t="b">
        <f t="shared" si="813"/>
        <v>0</v>
      </c>
      <c r="CI447" t="b">
        <f t="shared" si="814"/>
        <v>0</v>
      </c>
      <c r="CJ447" t="b">
        <f t="shared" si="815"/>
        <v>0</v>
      </c>
      <c r="CK447" t="b">
        <f t="shared" si="816"/>
        <v>0</v>
      </c>
      <c r="CL447" t="b">
        <f t="shared" si="817"/>
        <v>0</v>
      </c>
      <c r="CM447" t="b">
        <f t="shared" si="818"/>
        <v>0</v>
      </c>
      <c r="CN447" t="b">
        <f t="shared" si="819"/>
        <v>0</v>
      </c>
      <c r="CO447" t="b">
        <f t="shared" si="820"/>
        <v>0</v>
      </c>
      <c r="CP447" t="b">
        <f t="shared" si="821"/>
        <v>0</v>
      </c>
      <c r="CQ447" t="b">
        <f t="shared" si="822"/>
        <v>0</v>
      </c>
      <c r="CR447" t="b">
        <f t="shared" si="823"/>
        <v>0</v>
      </c>
      <c r="CS447" t="b">
        <f t="shared" si="824"/>
        <v>0</v>
      </c>
      <c r="CT447" t="b">
        <f t="shared" si="825"/>
        <v>0</v>
      </c>
      <c r="CU447" t="b">
        <f t="shared" si="826"/>
        <v>0</v>
      </c>
      <c r="CV447">
        <f t="shared" si="827"/>
        <v>1</v>
      </c>
      <c r="CW447" t="b">
        <f t="shared" si="828"/>
        <v>0</v>
      </c>
      <c r="CX447" t="b">
        <f t="shared" si="829"/>
        <v>0</v>
      </c>
      <c r="CY447" t="b">
        <f t="shared" si="830"/>
        <v>0</v>
      </c>
      <c r="CZ447" t="b">
        <f t="shared" si="831"/>
        <v>0</v>
      </c>
      <c r="DA447" t="b">
        <f t="shared" si="832"/>
        <v>0</v>
      </c>
      <c r="DB447" t="b">
        <f t="shared" si="833"/>
        <v>0</v>
      </c>
      <c r="DC447" t="b">
        <f t="shared" si="834"/>
        <v>0</v>
      </c>
      <c r="DD447" t="b">
        <f t="shared" si="835"/>
        <v>0</v>
      </c>
      <c r="DE447" t="b">
        <f t="shared" si="836"/>
        <v>0</v>
      </c>
      <c r="DF447" t="b">
        <f t="shared" si="837"/>
        <v>0</v>
      </c>
      <c r="DG447" t="b">
        <f t="shared" si="838"/>
        <v>0</v>
      </c>
      <c r="DH447" t="b">
        <f t="shared" si="839"/>
        <v>0</v>
      </c>
      <c r="DI447" t="b">
        <f t="shared" si="840"/>
        <v>0</v>
      </c>
      <c r="DJ447" t="b">
        <f t="shared" si="841"/>
        <v>0</v>
      </c>
      <c r="DK447" t="b">
        <f t="shared" si="842"/>
        <v>0</v>
      </c>
      <c r="DL447" t="b">
        <f t="shared" si="843"/>
        <v>0</v>
      </c>
      <c r="DM447" t="b">
        <f t="shared" si="844"/>
        <v>0</v>
      </c>
      <c r="DN447" t="b">
        <f t="shared" si="845"/>
        <v>0</v>
      </c>
      <c r="DO447" t="b">
        <f t="shared" si="846"/>
        <v>0</v>
      </c>
      <c r="DP447" t="b">
        <f t="shared" si="847"/>
        <v>0</v>
      </c>
      <c r="DQ447" t="b">
        <f t="shared" si="848"/>
        <v>0</v>
      </c>
      <c r="DR447" t="b">
        <f t="shared" si="849"/>
        <v>0</v>
      </c>
      <c r="DS447" t="b">
        <f t="shared" si="850"/>
        <v>0</v>
      </c>
      <c r="DT447" t="b">
        <f t="shared" si="851"/>
        <v>0</v>
      </c>
      <c r="DU447" t="b">
        <f t="shared" si="852"/>
        <v>0</v>
      </c>
      <c r="DV447" t="b">
        <f t="shared" si="853"/>
        <v>0</v>
      </c>
      <c r="DW447" t="b">
        <f t="shared" si="854"/>
        <v>0</v>
      </c>
      <c r="DX447" t="b">
        <f t="shared" si="855"/>
        <v>0</v>
      </c>
      <c r="DY447" t="b">
        <f t="shared" si="856"/>
        <v>0</v>
      </c>
      <c r="DZ447" t="b">
        <f t="shared" si="857"/>
        <v>0</v>
      </c>
      <c r="EA447" t="b">
        <f t="shared" si="858"/>
        <v>0</v>
      </c>
      <c r="EB447" t="b">
        <f t="shared" si="859"/>
        <v>0</v>
      </c>
      <c r="EC447" t="b">
        <f t="shared" si="860"/>
        <v>0</v>
      </c>
      <c r="ED447" t="b">
        <f t="shared" si="861"/>
        <v>0</v>
      </c>
      <c r="EE447" t="b">
        <f t="shared" si="862"/>
        <v>0</v>
      </c>
      <c r="EF447">
        <f t="shared" si="863"/>
        <v>1</v>
      </c>
      <c r="EG447" t="b">
        <f t="shared" si="864"/>
        <v>0</v>
      </c>
      <c r="EH447" t="b">
        <f t="shared" si="865"/>
        <v>0</v>
      </c>
      <c r="EI447" t="b">
        <f t="shared" si="866"/>
        <v>0</v>
      </c>
      <c r="EJ447" t="b">
        <f t="shared" si="867"/>
        <v>0</v>
      </c>
      <c r="EK447" t="b">
        <f t="shared" si="868"/>
        <v>0</v>
      </c>
    </row>
    <row r="448" spans="1:141">
      <c r="A448" t="s">
        <v>2291</v>
      </c>
      <c r="B448" t="s">
        <v>2291</v>
      </c>
      <c r="C448" t="s">
        <v>2292</v>
      </c>
      <c r="D448" s="1">
        <v>42601</v>
      </c>
      <c r="E448" s="2">
        <v>44760.931134259263</v>
      </c>
      <c r="F448" s="2">
        <v>44760.931134259263</v>
      </c>
      <c r="G448">
        <v>492518</v>
      </c>
      <c r="H448" t="s">
        <v>2293</v>
      </c>
      <c r="I448" s="10" t="s">
        <v>2294</v>
      </c>
      <c r="J448" t="s">
        <v>199</v>
      </c>
      <c r="K448" s="8" t="b">
        <v>1</v>
      </c>
      <c r="L448" s="10" t="b">
        <v>0</v>
      </c>
      <c r="M448" s="12" t="b">
        <v>0</v>
      </c>
      <c r="N448" t="b">
        <v>0</v>
      </c>
      <c r="O448" t="b">
        <v>0</v>
      </c>
      <c r="P448" t="b">
        <v>0</v>
      </c>
      <c r="Q448">
        <f t="shared" si="745"/>
        <v>6</v>
      </c>
      <c r="R448">
        <f t="shared" si="746"/>
        <v>8</v>
      </c>
      <c r="S448" t="e">
        <f t="shared" ca="1" si="776"/>
        <v>#NAME?</v>
      </c>
      <c r="T448" t="e">
        <f t="shared" ca="1" si="747"/>
        <v>#NAME?</v>
      </c>
      <c r="U448" s="4">
        <f t="shared" si="748"/>
        <v>2159.9311342592628</v>
      </c>
      <c r="V448" s="4">
        <f t="shared" si="749"/>
        <v>71.997704475308765</v>
      </c>
      <c r="W448" s="4">
        <f t="shared" si="750"/>
        <v>1</v>
      </c>
      <c r="X448" s="4">
        <f t="shared" si="751"/>
        <v>0</v>
      </c>
      <c r="Y448" s="4">
        <f t="shared" si="752"/>
        <v>0</v>
      </c>
      <c r="Z448" s="4">
        <f t="shared" si="753"/>
        <v>0</v>
      </c>
      <c r="AA448" s="4">
        <f t="shared" si="754"/>
        <v>0</v>
      </c>
      <c r="AB448" s="4">
        <f t="shared" si="755"/>
        <v>0</v>
      </c>
      <c r="AC448" s="4"/>
      <c r="AD448" s="4" t="b">
        <f t="shared" si="756"/>
        <v>0</v>
      </c>
      <c r="AE448" s="4" t="b">
        <f t="shared" si="757"/>
        <v>0</v>
      </c>
      <c r="AF448" s="4" t="b">
        <f t="shared" si="758"/>
        <v>0</v>
      </c>
      <c r="AG448" t="b">
        <f t="shared" si="759"/>
        <v>0</v>
      </c>
      <c r="AH448" t="b">
        <f t="shared" si="760"/>
        <v>0</v>
      </c>
      <c r="AI448" t="b">
        <f t="shared" si="761"/>
        <v>0</v>
      </c>
      <c r="AJ448" t="b">
        <f t="shared" si="762"/>
        <v>0</v>
      </c>
      <c r="AK448" t="b">
        <f t="shared" si="763"/>
        <v>0</v>
      </c>
      <c r="AL448" t="b">
        <f t="shared" si="764"/>
        <v>0</v>
      </c>
      <c r="AM448" t="b">
        <f t="shared" si="765"/>
        <v>0</v>
      </c>
      <c r="AN448" t="b">
        <f t="shared" si="766"/>
        <v>0</v>
      </c>
      <c r="AO448" t="b">
        <f t="shared" si="767"/>
        <v>0</v>
      </c>
      <c r="AP448" t="b">
        <f t="shared" si="768"/>
        <v>0</v>
      </c>
      <c r="AQ448" t="b">
        <f t="shared" si="769"/>
        <v>0</v>
      </c>
      <c r="AR448" t="b">
        <f t="shared" si="770"/>
        <v>0</v>
      </c>
      <c r="AS448" t="b">
        <f t="shared" si="771"/>
        <v>0</v>
      </c>
      <c r="AT448" t="b">
        <f t="shared" si="772"/>
        <v>0</v>
      </c>
      <c r="AU448" t="b">
        <f t="shared" si="773"/>
        <v>0</v>
      </c>
      <c r="AV448" t="b">
        <f t="shared" si="774"/>
        <v>0</v>
      </c>
      <c r="AW448" t="b">
        <f t="shared" si="775"/>
        <v>0</v>
      </c>
      <c r="AX448" t="b">
        <f t="shared" si="777"/>
        <v>0</v>
      </c>
      <c r="AY448" t="b">
        <f t="shared" si="778"/>
        <v>0</v>
      </c>
      <c r="AZ448">
        <f t="shared" si="779"/>
        <v>1</v>
      </c>
      <c r="BA448" t="b">
        <f t="shared" si="780"/>
        <v>0</v>
      </c>
      <c r="BB448" t="b">
        <f t="shared" si="781"/>
        <v>0</v>
      </c>
      <c r="BC448" t="b">
        <f t="shared" si="782"/>
        <v>0</v>
      </c>
      <c r="BD448" t="b">
        <f t="shared" si="783"/>
        <v>0</v>
      </c>
      <c r="BE448" t="b">
        <f t="shared" si="784"/>
        <v>0</v>
      </c>
      <c r="BF448" t="b">
        <f t="shared" si="785"/>
        <v>0</v>
      </c>
      <c r="BG448" t="b">
        <f t="shared" si="786"/>
        <v>0</v>
      </c>
      <c r="BH448" t="b">
        <f t="shared" si="787"/>
        <v>0</v>
      </c>
      <c r="BI448">
        <f t="shared" si="788"/>
        <v>1</v>
      </c>
      <c r="BJ448" t="b">
        <f t="shared" si="789"/>
        <v>0</v>
      </c>
      <c r="BK448" t="b">
        <f t="shared" si="790"/>
        <v>0</v>
      </c>
      <c r="BL448" t="b">
        <f t="shared" si="791"/>
        <v>0</v>
      </c>
      <c r="BM448" t="b">
        <f t="shared" si="792"/>
        <v>0</v>
      </c>
      <c r="BN448" t="b">
        <f t="shared" si="793"/>
        <v>0</v>
      </c>
      <c r="BO448" t="b">
        <f t="shared" si="794"/>
        <v>0</v>
      </c>
      <c r="BP448" t="b">
        <f t="shared" si="795"/>
        <v>0</v>
      </c>
      <c r="BQ448" t="b">
        <f t="shared" si="796"/>
        <v>0</v>
      </c>
      <c r="BR448" t="b">
        <f t="shared" si="797"/>
        <v>0</v>
      </c>
      <c r="BS448" t="b">
        <f t="shared" si="798"/>
        <v>0</v>
      </c>
      <c r="BT448" t="b">
        <f t="shared" si="799"/>
        <v>0</v>
      </c>
      <c r="BU448" t="b">
        <f t="shared" si="800"/>
        <v>0</v>
      </c>
      <c r="BV448" t="b">
        <f t="shared" si="801"/>
        <v>0</v>
      </c>
      <c r="BW448" t="b">
        <f t="shared" si="802"/>
        <v>0</v>
      </c>
      <c r="BX448" t="b">
        <f t="shared" si="803"/>
        <v>0</v>
      </c>
      <c r="BY448" t="b">
        <f t="shared" si="804"/>
        <v>0</v>
      </c>
      <c r="BZ448" t="b">
        <f t="shared" si="805"/>
        <v>0</v>
      </c>
      <c r="CA448" t="b">
        <f t="shared" si="806"/>
        <v>0</v>
      </c>
      <c r="CB448" t="b">
        <f t="shared" si="807"/>
        <v>0</v>
      </c>
      <c r="CC448" t="b">
        <f t="shared" si="808"/>
        <v>0</v>
      </c>
      <c r="CD448" t="b">
        <f t="shared" si="809"/>
        <v>0</v>
      </c>
      <c r="CE448">
        <f t="shared" si="810"/>
        <v>1</v>
      </c>
      <c r="CF448" t="b">
        <f t="shared" si="811"/>
        <v>0</v>
      </c>
      <c r="CG448" t="b">
        <f t="shared" si="812"/>
        <v>0</v>
      </c>
      <c r="CH448" t="b">
        <f t="shared" si="813"/>
        <v>0</v>
      </c>
      <c r="CI448" t="b">
        <f t="shared" si="814"/>
        <v>0</v>
      </c>
      <c r="CJ448" t="b">
        <f t="shared" si="815"/>
        <v>0</v>
      </c>
      <c r="CK448" t="b">
        <f t="shared" si="816"/>
        <v>0</v>
      </c>
      <c r="CL448" t="b">
        <f t="shared" si="817"/>
        <v>0</v>
      </c>
      <c r="CM448" t="b">
        <f t="shared" si="818"/>
        <v>0</v>
      </c>
      <c r="CN448" t="b">
        <f t="shared" si="819"/>
        <v>0</v>
      </c>
      <c r="CO448" t="b">
        <f t="shared" si="820"/>
        <v>0</v>
      </c>
      <c r="CP448" t="b">
        <f t="shared" si="821"/>
        <v>0</v>
      </c>
      <c r="CQ448" t="b">
        <f t="shared" si="822"/>
        <v>0</v>
      </c>
      <c r="CR448" t="b">
        <f t="shared" si="823"/>
        <v>0</v>
      </c>
      <c r="CS448" t="b">
        <f t="shared" si="824"/>
        <v>0</v>
      </c>
      <c r="CT448" t="b">
        <f t="shared" si="825"/>
        <v>0</v>
      </c>
      <c r="CU448" t="b">
        <f t="shared" si="826"/>
        <v>0</v>
      </c>
      <c r="CV448">
        <f t="shared" si="827"/>
        <v>1</v>
      </c>
      <c r="CW448" t="b">
        <f t="shared" si="828"/>
        <v>0</v>
      </c>
      <c r="CX448" t="b">
        <f t="shared" si="829"/>
        <v>0</v>
      </c>
      <c r="CY448" t="b">
        <f t="shared" si="830"/>
        <v>0</v>
      </c>
      <c r="CZ448" t="b">
        <f t="shared" si="831"/>
        <v>0</v>
      </c>
      <c r="DA448" t="b">
        <f t="shared" si="832"/>
        <v>0</v>
      </c>
      <c r="DB448" t="b">
        <f t="shared" si="833"/>
        <v>0</v>
      </c>
      <c r="DC448" t="b">
        <f t="shared" si="834"/>
        <v>0</v>
      </c>
      <c r="DD448" t="b">
        <f t="shared" si="835"/>
        <v>0</v>
      </c>
      <c r="DE448" t="b">
        <f t="shared" si="836"/>
        <v>0</v>
      </c>
      <c r="DF448" t="b">
        <f t="shared" si="837"/>
        <v>0</v>
      </c>
      <c r="DG448" t="b">
        <f t="shared" si="838"/>
        <v>0</v>
      </c>
      <c r="DH448" t="b">
        <f t="shared" si="839"/>
        <v>0</v>
      </c>
      <c r="DI448" t="b">
        <f t="shared" si="840"/>
        <v>0</v>
      </c>
      <c r="DJ448" t="b">
        <f t="shared" si="841"/>
        <v>0</v>
      </c>
      <c r="DK448" t="b">
        <f t="shared" si="842"/>
        <v>0</v>
      </c>
      <c r="DL448" t="b">
        <f t="shared" si="843"/>
        <v>0</v>
      </c>
      <c r="DM448" t="b">
        <f t="shared" si="844"/>
        <v>0</v>
      </c>
      <c r="DN448" t="b">
        <f t="shared" si="845"/>
        <v>0</v>
      </c>
      <c r="DO448" t="b">
        <f t="shared" si="846"/>
        <v>0</v>
      </c>
      <c r="DP448" t="b">
        <f t="shared" si="847"/>
        <v>0</v>
      </c>
      <c r="DQ448" t="b">
        <f t="shared" si="848"/>
        <v>0</v>
      </c>
      <c r="DR448" t="b">
        <f t="shared" si="849"/>
        <v>0</v>
      </c>
      <c r="DS448" t="b">
        <f t="shared" si="850"/>
        <v>0</v>
      </c>
      <c r="DT448" t="b">
        <f t="shared" si="851"/>
        <v>0</v>
      </c>
      <c r="DU448" t="b">
        <f t="shared" si="852"/>
        <v>0</v>
      </c>
      <c r="DV448" t="b">
        <f t="shared" si="853"/>
        <v>0</v>
      </c>
      <c r="DW448" t="b">
        <f t="shared" si="854"/>
        <v>0</v>
      </c>
      <c r="DX448" t="b">
        <f t="shared" si="855"/>
        <v>0</v>
      </c>
      <c r="DY448" t="b">
        <f t="shared" si="856"/>
        <v>0</v>
      </c>
      <c r="DZ448" t="b">
        <f t="shared" si="857"/>
        <v>0</v>
      </c>
      <c r="EA448" t="b">
        <f t="shared" si="858"/>
        <v>0</v>
      </c>
      <c r="EB448" t="b">
        <f t="shared" si="859"/>
        <v>0</v>
      </c>
      <c r="EC448" t="b">
        <f t="shared" si="860"/>
        <v>0</v>
      </c>
      <c r="ED448" t="b">
        <f t="shared" si="861"/>
        <v>0</v>
      </c>
      <c r="EE448" t="b">
        <f t="shared" si="862"/>
        <v>0</v>
      </c>
      <c r="EF448">
        <f t="shared" si="863"/>
        <v>1</v>
      </c>
      <c r="EG448" t="b">
        <f t="shared" si="864"/>
        <v>0</v>
      </c>
      <c r="EH448" t="b">
        <f t="shared" si="865"/>
        <v>0</v>
      </c>
      <c r="EI448" t="b">
        <f t="shared" si="866"/>
        <v>0</v>
      </c>
      <c r="EJ448" t="b">
        <f t="shared" si="867"/>
        <v>0</v>
      </c>
      <c r="EK448" t="b">
        <f t="shared" si="868"/>
        <v>0</v>
      </c>
    </row>
    <row r="449" spans="1:141">
      <c r="A449" t="s">
        <v>2295</v>
      </c>
      <c r="B449" t="s">
        <v>2296</v>
      </c>
      <c r="C449" t="s">
        <v>2297</v>
      </c>
      <c r="D449" s="1">
        <v>43976</v>
      </c>
      <c r="E449" s="2">
        <v>44707.040775462963</v>
      </c>
      <c r="F449" s="2">
        <v>44707.040775462963</v>
      </c>
      <c r="G449">
        <v>236105</v>
      </c>
      <c r="H449" t="s">
        <v>2298</v>
      </c>
      <c r="I449" s="10" t="s">
        <v>2299</v>
      </c>
      <c r="J449" t="s">
        <v>2300</v>
      </c>
      <c r="K449" s="8" t="b">
        <v>1</v>
      </c>
      <c r="L449" s="10" t="b">
        <v>0</v>
      </c>
      <c r="M449" s="12" t="b">
        <v>0</v>
      </c>
      <c r="N449" t="b">
        <v>0</v>
      </c>
      <c r="O449" t="b">
        <v>0</v>
      </c>
      <c r="P449" t="b">
        <v>0</v>
      </c>
      <c r="Q449">
        <f t="shared" si="745"/>
        <v>2</v>
      </c>
      <c r="R449">
        <f t="shared" si="746"/>
        <v>5</v>
      </c>
      <c r="S449" t="e">
        <f t="shared" ca="1" si="776"/>
        <v>#NAME?</v>
      </c>
      <c r="T449" t="e">
        <f t="shared" ca="1" si="747"/>
        <v>#NAME?</v>
      </c>
      <c r="U449" s="4">
        <f t="shared" si="748"/>
        <v>731.04077546296321</v>
      </c>
      <c r="V449" s="4">
        <f t="shared" si="749"/>
        <v>24.368025848765441</v>
      </c>
      <c r="W449" s="4">
        <f t="shared" si="750"/>
        <v>1</v>
      </c>
      <c r="X449" s="4">
        <f t="shared" si="751"/>
        <v>0</v>
      </c>
      <c r="Y449" s="4">
        <f t="shared" si="752"/>
        <v>0</v>
      </c>
      <c r="Z449" s="4">
        <f t="shared" si="753"/>
        <v>0</v>
      </c>
      <c r="AA449" s="4">
        <f t="shared" si="754"/>
        <v>0</v>
      </c>
      <c r="AB449" s="4">
        <f t="shared" si="755"/>
        <v>0</v>
      </c>
      <c r="AC449" s="4"/>
      <c r="AD449" s="4" t="b">
        <f t="shared" si="756"/>
        <v>0</v>
      </c>
      <c r="AE449" s="4" t="b">
        <f t="shared" si="757"/>
        <v>0</v>
      </c>
      <c r="AF449" s="4" t="b">
        <f t="shared" si="758"/>
        <v>0</v>
      </c>
      <c r="AG449" t="b">
        <f t="shared" si="759"/>
        <v>0</v>
      </c>
      <c r="AH449" t="b">
        <f t="shared" si="760"/>
        <v>0</v>
      </c>
      <c r="AI449" t="b">
        <f t="shared" si="761"/>
        <v>0</v>
      </c>
      <c r="AJ449" t="b">
        <f t="shared" si="762"/>
        <v>0</v>
      </c>
      <c r="AK449" t="b">
        <f t="shared" si="763"/>
        <v>0</v>
      </c>
      <c r="AL449" t="b">
        <f t="shared" si="764"/>
        <v>0</v>
      </c>
      <c r="AM449" t="b">
        <f t="shared" si="765"/>
        <v>0</v>
      </c>
      <c r="AN449" t="b">
        <f t="shared" si="766"/>
        <v>0</v>
      </c>
      <c r="AO449" t="b">
        <f t="shared" si="767"/>
        <v>0</v>
      </c>
      <c r="AP449" t="b">
        <f t="shared" si="768"/>
        <v>0</v>
      </c>
      <c r="AQ449" t="b">
        <f t="shared" si="769"/>
        <v>0</v>
      </c>
      <c r="AR449" t="b">
        <f t="shared" si="770"/>
        <v>0</v>
      </c>
      <c r="AS449" t="b">
        <f t="shared" si="771"/>
        <v>0</v>
      </c>
      <c r="AT449" t="b">
        <f t="shared" si="772"/>
        <v>0</v>
      </c>
      <c r="AU449" t="b">
        <f t="shared" si="773"/>
        <v>0</v>
      </c>
      <c r="AV449" t="b">
        <f t="shared" si="774"/>
        <v>0</v>
      </c>
      <c r="AW449" t="b">
        <f t="shared" si="775"/>
        <v>0</v>
      </c>
      <c r="AX449" t="b">
        <f t="shared" si="777"/>
        <v>0</v>
      </c>
      <c r="AY449" t="b">
        <f t="shared" si="778"/>
        <v>0</v>
      </c>
      <c r="AZ449" t="b">
        <f t="shared" si="779"/>
        <v>0</v>
      </c>
      <c r="BA449" t="b">
        <f t="shared" si="780"/>
        <v>0</v>
      </c>
      <c r="BB449" t="b">
        <f t="shared" si="781"/>
        <v>0</v>
      </c>
      <c r="BC449" t="b">
        <f t="shared" si="782"/>
        <v>0</v>
      </c>
      <c r="BD449" t="b">
        <f t="shared" si="783"/>
        <v>0</v>
      </c>
      <c r="BE449" t="b">
        <f t="shared" si="784"/>
        <v>0</v>
      </c>
      <c r="BF449" t="b">
        <f t="shared" si="785"/>
        <v>0</v>
      </c>
      <c r="BG449" t="b">
        <f t="shared" si="786"/>
        <v>0</v>
      </c>
      <c r="BH449" t="b">
        <f t="shared" si="787"/>
        <v>0</v>
      </c>
      <c r="BI449">
        <f t="shared" si="788"/>
        <v>1</v>
      </c>
      <c r="BJ449" t="b">
        <f t="shared" si="789"/>
        <v>0</v>
      </c>
      <c r="BK449" t="b">
        <f t="shared" si="790"/>
        <v>0</v>
      </c>
      <c r="BL449" t="b">
        <f t="shared" si="791"/>
        <v>0</v>
      </c>
      <c r="BM449" t="b">
        <f t="shared" si="792"/>
        <v>0</v>
      </c>
      <c r="BN449" t="b">
        <f t="shared" si="793"/>
        <v>0</v>
      </c>
      <c r="BO449" t="b">
        <f t="shared" si="794"/>
        <v>0</v>
      </c>
      <c r="BP449" t="b">
        <f t="shared" si="795"/>
        <v>0</v>
      </c>
      <c r="BQ449" t="b">
        <f t="shared" si="796"/>
        <v>0</v>
      </c>
      <c r="BR449" t="b">
        <f t="shared" si="797"/>
        <v>0</v>
      </c>
      <c r="BS449" t="b">
        <f t="shared" si="798"/>
        <v>0</v>
      </c>
      <c r="BT449" t="b">
        <f t="shared" si="799"/>
        <v>0</v>
      </c>
      <c r="BU449" t="b">
        <f t="shared" si="800"/>
        <v>0</v>
      </c>
      <c r="BV449" t="b">
        <f t="shared" si="801"/>
        <v>0</v>
      </c>
      <c r="BW449" t="b">
        <f t="shared" si="802"/>
        <v>0</v>
      </c>
      <c r="BX449" t="b">
        <f t="shared" si="803"/>
        <v>0</v>
      </c>
      <c r="BY449" t="b">
        <f t="shared" si="804"/>
        <v>0</v>
      </c>
      <c r="BZ449" t="b">
        <f t="shared" si="805"/>
        <v>0</v>
      </c>
      <c r="CA449" t="b">
        <f t="shared" si="806"/>
        <v>0</v>
      </c>
      <c r="CB449" t="b">
        <f t="shared" si="807"/>
        <v>0</v>
      </c>
      <c r="CC449" t="b">
        <f t="shared" si="808"/>
        <v>0</v>
      </c>
      <c r="CD449" t="b">
        <f t="shared" si="809"/>
        <v>0</v>
      </c>
      <c r="CE449" t="b">
        <f t="shared" si="810"/>
        <v>0</v>
      </c>
      <c r="CF449" t="b">
        <f t="shared" si="811"/>
        <v>0</v>
      </c>
      <c r="CG449" t="b">
        <f t="shared" si="812"/>
        <v>0</v>
      </c>
      <c r="CH449" t="b">
        <f t="shared" si="813"/>
        <v>0</v>
      </c>
      <c r="CI449" t="b">
        <f t="shared" si="814"/>
        <v>0</v>
      </c>
      <c r="CJ449" t="b">
        <f t="shared" si="815"/>
        <v>0</v>
      </c>
      <c r="CK449" t="b">
        <f t="shared" si="816"/>
        <v>0</v>
      </c>
      <c r="CL449" t="b">
        <f t="shared" si="817"/>
        <v>0</v>
      </c>
      <c r="CM449">
        <f t="shared" si="818"/>
        <v>1</v>
      </c>
      <c r="CN449" t="b">
        <f t="shared" si="819"/>
        <v>0</v>
      </c>
      <c r="CO449" t="b">
        <f t="shared" si="820"/>
        <v>0</v>
      </c>
      <c r="CP449" t="b">
        <f t="shared" si="821"/>
        <v>0</v>
      </c>
      <c r="CQ449" t="b">
        <f t="shared" si="822"/>
        <v>0</v>
      </c>
      <c r="CR449" t="b">
        <f t="shared" si="823"/>
        <v>0</v>
      </c>
      <c r="CS449" t="b">
        <f t="shared" si="824"/>
        <v>0</v>
      </c>
      <c r="CT449" t="b">
        <f t="shared" si="825"/>
        <v>0</v>
      </c>
      <c r="CU449" t="b">
        <f t="shared" si="826"/>
        <v>0</v>
      </c>
      <c r="CV449" t="b">
        <f t="shared" si="827"/>
        <v>0</v>
      </c>
      <c r="CW449" t="b">
        <f t="shared" si="828"/>
        <v>0</v>
      </c>
      <c r="CX449" t="b">
        <f t="shared" si="829"/>
        <v>0</v>
      </c>
      <c r="CY449" t="b">
        <f t="shared" si="830"/>
        <v>0</v>
      </c>
      <c r="CZ449" t="b">
        <f t="shared" si="831"/>
        <v>0</v>
      </c>
      <c r="DA449" t="b">
        <f t="shared" si="832"/>
        <v>0</v>
      </c>
      <c r="DB449" t="b">
        <f t="shared" si="833"/>
        <v>0</v>
      </c>
      <c r="DC449" t="b">
        <f t="shared" si="834"/>
        <v>0</v>
      </c>
      <c r="DD449" t="b">
        <f t="shared" si="835"/>
        <v>0</v>
      </c>
      <c r="DE449" t="b">
        <f t="shared" si="836"/>
        <v>0</v>
      </c>
      <c r="DF449" t="b">
        <f t="shared" si="837"/>
        <v>0</v>
      </c>
      <c r="DG449" t="b">
        <f t="shared" si="838"/>
        <v>0</v>
      </c>
      <c r="DH449" t="b">
        <f t="shared" si="839"/>
        <v>0</v>
      </c>
      <c r="DI449" t="b">
        <f t="shared" si="840"/>
        <v>0</v>
      </c>
      <c r="DJ449" t="b">
        <f t="shared" si="841"/>
        <v>0</v>
      </c>
      <c r="DK449" t="b">
        <f t="shared" si="842"/>
        <v>0</v>
      </c>
      <c r="DL449" t="b">
        <f t="shared" si="843"/>
        <v>0</v>
      </c>
      <c r="DM449" t="b">
        <f t="shared" si="844"/>
        <v>0</v>
      </c>
      <c r="DN449" t="b">
        <f t="shared" si="845"/>
        <v>0</v>
      </c>
      <c r="DO449" t="b">
        <f t="shared" si="846"/>
        <v>0</v>
      </c>
      <c r="DP449" t="b">
        <f t="shared" si="847"/>
        <v>0</v>
      </c>
      <c r="DQ449" t="b">
        <f t="shared" si="848"/>
        <v>0</v>
      </c>
      <c r="DR449" t="b">
        <f t="shared" si="849"/>
        <v>0</v>
      </c>
      <c r="DS449" t="b">
        <f t="shared" si="850"/>
        <v>0</v>
      </c>
      <c r="DT449" t="b">
        <f t="shared" si="851"/>
        <v>0</v>
      </c>
      <c r="DU449" t="b">
        <f t="shared" si="852"/>
        <v>0</v>
      </c>
      <c r="DV449" t="b">
        <f t="shared" si="853"/>
        <v>0</v>
      </c>
      <c r="DW449" t="b">
        <f t="shared" si="854"/>
        <v>0</v>
      </c>
      <c r="DX449" t="b">
        <f t="shared" si="855"/>
        <v>0</v>
      </c>
      <c r="DY449">
        <f t="shared" si="856"/>
        <v>1</v>
      </c>
      <c r="DZ449" t="b">
        <f t="shared" si="857"/>
        <v>0</v>
      </c>
      <c r="EA449" t="b">
        <f t="shared" si="858"/>
        <v>0</v>
      </c>
      <c r="EB449" t="b">
        <f t="shared" si="859"/>
        <v>0</v>
      </c>
      <c r="EC449" t="b">
        <f t="shared" si="860"/>
        <v>0</v>
      </c>
      <c r="ED449" t="b">
        <f t="shared" si="861"/>
        <v>0</v>
      </c>
      <c r="EE449" t="b">
        <f t="shared" si="862"/>
        <v>0</v>
      </c>
      <c r="EF449">
        <f t="shared" si="863"/>
        <v>1</v>
      </c>
      <c r="EG449" t="b">
        <f t="shared" si="864"/>
        <v>0</v>
      </c>
      <c r="EH449" t="b">
        <f t="shared" si="865"/>
        <v>0</v>
      </c>
      <c r="EI449" t="b">
        <f t="shared" si="866"/>
        <v>0</v>
      </c>
      <c r="EJ449" t="b">
        <f t="shared" si="867"/>
        <v>0</v>
      </c>
      <c r="EK449" t="b">
        <f t="shared" si="868"/>
        <v>0</v>
      </c>
    </row>
    <row r="450" spans="1:141">
      <c r="A450" t="s">
        <v>2301</v>
      </c>
      <c r="B450" t="s">
        <v>2301</v>
      </c>
      <c r="C450" t="s">
        <v>2302</v>
      </c>
      <c r="D450" s="1">
        <v>44008</v>
      </c>
      <c r="E450" s="2">
        <v>44049.400891203702</v>
      </c>
      <c r="F450" s="2">
        <v>44049.400891203702</v>
      </c>
      <c r="G450">
        <v>444453</v>
      </c>
      <c r="H450" t="s">
        <v>2303</v>
      </c>
      <c r="I450" s="10" t="s">
        <v>2304</v>
      </c>
      <c r="J450" t="s">
        <v>2305</v>
      </c>
      <c r="K450" s="8" t="b">
        <v>1</v>
      </c>
      <c r="L450" s="10" t="b">
        <v>0</v>
      </c>
      <c r="M450" s="12" t="b">
        <v>0</v>
      </c>
      <c r="N450" t="b">
        <v>0</v>
      </c>
      <c r="O450" t="b">
        <v>0</v>
      </c>
      <c r="P450" t="b">
        <v>0</v>
      </c>
      <c r="Q450">
        <f t="shared" ref="Q450:Q513" si="869">WEEKDAY(D450)</f>
        <v>6</v>
      </c>
      <c r="R450">
        <f t="shared" ref="R450:R513" si="870">MONTH(D450)</f>
        <v>6</v>
      </c>
      <c r="S450" t="e">
        <f t="shared" ca="1" si="776"/>
        <v>#NAME?</v>
      </c>
      <c r="T450" t="e">
        <f t="shared" ref="T450:T513" ca="1" si="871">WhoIsName(C450)</f>
        <v>#NAME?</v>
      </c>
      <c r="U450" s="4">
        <f t="shared" ref="U450:U513" si="872">E450-D450</f>
        <v>41.400891203702486</v>
      </c>
      <c r="V450" s="4">
        <f t="shared" ref="V450:V513" si="873">U450/30</f>
        <v>1.3800297067900829</v>
      </c>
      <c r="W450" s="4">
        <f t="shared" ref="W450:W513" si="874">IF(K450=TRUE,1,0)</f>
        <v>1</v>
      </c>
      <c r="X450" s="4">
        <f t="shared" ref="X450:X513" si="875">IF(L450=TRUE,1,0)</f>
        <v>0</v>
      </c>
      <c r="Y450" s="4">
        <f t="shared" ref="Y450:Y513" si="876">IF(M450=TRUE,1,0)</f>
        <v>0</v>
      </c>
      <c r="Z450" s="4">
        <f t="shared" ref="Z450:Z513" si="877">IF(N450=TRUE,1,0)</f>
        <v>0</v>
      </c>
      <c r="AA450" s="4">
        <f t="shared" ref="AA450:AA513" si="878">IF(O450=TRUE,1,0)</f>
        <v>0</v>
      </c>
      <c r="AB450" s="4">
        <f t="shared" ref="AB450:AB513" si="879">IF(P450=TRUE,1,0)</f>
        <v>0</v>
      </c>
      <c r="AC450" s="4"/>
      <c r="AD450" s="4" t="b">
        <f t="shared" ref="AD450:AD513" si="880">IFERROR(IF(SEARCH("'Account balances'",J450),1,0),FALSE)</f>
        <v>0</v>
      </c>
      <c r="AE450" s="4" t="b">
        <f t="shared" ref="AE450:AE513" si="881">IFERROR(IF(SEARCH( "'Address book contacts'", J450),1,0),FALSE)</f>
        <v>0</v>
      </c>
      <c r="AF450" s="4" t="b">
        <f t="shared" ref="AF450:AF513" si="882">IFERROR(IF(SEARCH( "'Age groups'", J450),1,0),FALSE)</f>
        <v>0</v>
      </c>
      <c r="AG450" t="b">
        <f t="shared" ref="AG450:AG513" si="883">IFERROR(IF(SEARCH( "'Apps installed on devices'", J450),1,0),FALSE)</f>
        <v>0</v>
      </c>
      <c r="AH450" t="b">
        <f t="shared" ref="AH450:AH513" si="884">IFERROR(IF(SEARCH( "'Astrological signs'", J450),1,0),FALSE)</f>
        <v>0</v>
      </c>
      <c r="AI450" t="b">
        <f t="shared" ref="AI450:AI513" si="885">IFERROR(IF(SEARCH( "'Auth tokens'", J450),1,0),FALSE)</f>
        <v>0</v>
      </c>
      <c r="AJ450" t="b">
        <f t="shared" ref="AJ450:AJ513" si="886">IFERROR(IF(SEARCH( "'Avatars'", J450),1,0),FALSE)</f>
        <v>0</v>
      </c>
      <c r="AK450" t="b">
        <f t="shared" ref="AK450:AK513" si="887">IFERROR(IF(SEARCH( "'Bank account numbers'", J450),1,0),FALSE)</f>
        <v>0</v>
      </c>
      <c r="AL450" t="b">
        <f t="shared" ref="AL450:AL513" si="888">IFERROR(IF(SEARCH( "'Beauty ratings'", J450),1,0),FALSE)</f>
        <v>0</v>
      </c>
      <c r="AM450" t="b">
        <f t="shared" ref="AM450:AM513" si="889">IFERROR(IF(SEARCH( "'Biometric data'", J450),1,0),FALSE)</f>
        <v>0</v>
      </c>
      <c r="AN450" t="b">
        <f t="shared" ref="AN450:AN513" si="890">IFERROR(IF(SEARCH( "'Bios'", J450),1,0),FALSE)</f>
        <v>0</v>
      </c>
      <c r="AO450" t="b">
        <f t="shared" ref="AO450:AO513" si="891">IFERROR(IF(SEARCH( "'Browser user agent details' ", J450),1,0),FALSE)</f>
        <v>0</v>
      </c>
      <c r="AP450" t="b">
        <f t="shared" ref="AP450:AP513" si="892">IFERROR(IF(SEARCH( "'Buying preferences'", J450),1,0),FALSE)</f>
        <v>0</v>
      </c>
      <c r="AQ450" t="b">
        <f t="shared" ref="AQ450:AQ513" si="893">IFERROR(IF(SEARCH( "'Car ownership statuses'", J450),1,0),FALSE)</f>
        <v>0</v>
      </c>
      <c r="AR450" t="b">
        <f t="shared" ref="AR450:AR513" si="894">IFERROR(IF(SEARCH( "'Cellular network names'", J450),1,0),FALSE)</f>
        <v>0</v>
      </c>
      <c r="AS450" t="b">
        <f t="shared" ref="AS450:AS513" si="895">IFERROR(IF(SEARCH( "'Charitable donations'", J450),1,0),FALSE)</f>
        <v>0</v>
      </c>
      <c r="AT450" t="b">
        <f t="shared" ref="AT450:AT513" si="896">IFERROR(IF(SEARCH( "'Chat logs'", J450),1,0),FALSE)</f>
        <v>0</v>
      </c>
      <c r="AU450" t="b">
        <f t="shared" ref="AU450:AU513" si="897">IFERROR(IF(SEARCH( "'Credit card CVV'", J450),1,0),FALSE)</f>
        <v>0</v>
      </c>
      <c r="AV450" t="b">
        <f t="shared" ref="AV450:AV513" si="898">IFERROR(IF(SEARCH( "'Credit cards'", J450),1,0),FALSE)</f>
        <v>0</v>
      </c>
      <c r="AW450" t="b">
        <f t="shared" ref="AW450:AW513" si="899">IFERROR(IF(SEARCH( "'Credit status information'", J450),1,0),FALSE)</f>
        <v>0</v>
      </c>
      <c r="AX450" t="b">
        <f t="shared" si="777"/>
        <v>0</v>
      </c>
      <c r="AY450" t="b">
        <f t="shared" si="778"/>
        <v>0</v>
      </c>
      <c r="AZ450" t="b">
        <f t="shared" si="779"/>
        <v>0</v>
      </c>
      <c r="BA450" t="b">
        <f t="shared" si="780"/>
        <v>0</v>
      </c>
      <c r="BB450" t="b">
        <f t="shared" si="781"/>
        <v>0</v>
      </c>
      <c r="BC450" t="b">
        <f t="shared" si="782"/>
        <v>0</v>
      </c>
      <c r="BD450" t="b">
        <f t="shared" si="783"/>
        <v>0</v>
      </c>
      <c r="BE450" t="b">
        <f t="shared" si="784"/>
        <v>0</v>
      </c>
      <c r="BF450" t="b">
        <f t="shared" si="785"/>
        <v>0</v>
      </c>
      <c r="BG450" t="b">
        <f t="shared" si="786"/>
        <v>0</v>
      </c>
      <c r="BH450" t="b">
        <f t="shared" si="787"/>
        <v>0</v>
      </c>
      <c r="BI450">
        <f t="shared" si="788"/>
        <v>1</v>
      </c>
      <c r="BJ450" t="b">
        <f t="shared" si="789"/>
        <v>0</v>
      </c>
      <c r="BK450" t="b">
        <f t="shared" si="790"/>
        <v>0</v>
      </c>
      <c r="BL450" t="b">
        <f t="shared" si="791"/>
        <v>0</v>
      </c>
      <c r="BM450" t="b">
        <f t="shared" si="792"/>
        <v>0</v>
      </c>
      <c r="BN450" t="b">
        <f t="shared" si="793"/>
        <v>0</v>
      </c>
      <c r="BO450" t="b">
        <f t="shared" si="794"/>
        <v>0</v>
      </c>
      <c r="BP450" t="b">
        <f t="shared" si="795"/>
        <v>0</v>
      </c>
      <c r="BQ450" t="b">
        <f t="shared" si="796"/>
        <v>0</v>
      </c>
      <c r="BR450" t="b">
        <f t="shared" si="797"/>
        <v>0</v>
      </c>
      <c r="BS450" t="b">
        <f t="shared" si="798"/>
        <v>0</v>
      </c>
      <c r="BT450" t="b">
        <f t="shared" si="799"/>
        <v>0</v>
      </c>
      <c r="BU450" t="b">
        <f t="shared" si="800"/>
        <v>0</v>
      </c>
      <c r="BV450" t="b">
        <f t="shared" si="801"/>
        <v>0</v>
      </c>
      <c r="BW450" t="b">
        <f t="shared" si="802"/>
        <v>0</v>
      </c>
      <c r="BX450" t="b">
        <f t="shared" si="803"/>
        <v>0</v>
      </c>
      <c r="BY450" t="b">
        <f t="shared" si="804"/>
        <v>0</v>
      </c>
      <c r="BZ450" t="b">
        <f t="shared" si="805"/>
        <v>0</v>
      </c>
      <c r="CA450" t="b">
        <f t="shared" si="806"/>
        <v>0</v>
      </c>
      <c r="CB450" t="b">
        <f t="shared" si="807"/>
        <v>0</v>
      </c>
      <c r="CC450" t="b">
        <f t="shared" si="808"/>
        <v>0</v>
      </c>
      <c r="CD450" t="b">
        <f t="shared" si="809"/>
        <v>0</v>
      </c>
      <c r="CE450" t="b">
        <f t="shared" si="810"/>
        <v>0</v>
      </c>
      <c r="CF450" t="b">
        <f t="shared" si="811"/>
        <v>0</v>
      </c>
      <c r="CG450" t="b">
        <f t="shared" si="812"/>
        <v>0</v>
      </c>
      <c r="CH450" t="b">
        <f t="shared" si="813"/>
        <v>0</v>
      </c>
      <c r="CI450" t="b">
        <f t="shared" si="814"/>
        <v>0</v>
      </c>
      <c r="CJ450" t="b">
        <f t="shared" si="815"/>
        <v>0</v>
      </c>
      <c r="CK450" t="b">
        <f t="shared" si="816"/>
        <v>0</v>
      </c>
      <c r="CL450" t="b">
        <f t="shared" si="817"/>
        <v>0</v>
      </c>
      <c r="CM450">
        <f t="shared" si="818"/>
        <v>1</v>
      </c>
      <c r="CN450" t="b">
        <f t="shared" si="819"/>
        <v>0</v>
      </c>
      <c r="CO450" t="b">
        <f t="shared" si="820"/>
        <v>0</v>
      </c>
      <c r="CP450" t="b">
        <f t="shared" si="821"/>
        <v>0</v>
      </c>
      <c r="CQ450" t="b">
        <f t="shared" si="822"/>
        <v>0</v>
      </c>
      <c r="CR450" t="b">
        <f t="shared" si="823"/>
        <v>0</v>
      </c>
      <c r="CS450" t="b">
        <f t="shared" si="824"/>
        <v>0</v>
      </c>
      <c r="CT450" t="b">
        <f t="shared" si="825"/>
        <v>0</v>
      </c>
      <c r="CU450" t="b">
        <f t="shared" si="826"/>
        <v>0</v>
      </c>
      <c r="CV450">
        <f t="shared" si="827"/>
        <v>1</v>
      </c>
      <c r="CW450" t="b">
        <f t="shared" si="828"/>
        <v>0</v>
      </c>
      <c r="CX450" t="b">
        <f t="shared" si="829"/>
        <v>0</v>
      </c>
      <c r="CY450" t="b">
        <f t="shared" si="830"/>
        <v>0</v>
      </c>
      <c r="CZ450" t="b">
        <f t="shared" si="831"/>
        <v>0</v>
      </c>
      <c r="DA450">
        <f t="shared" si="832"/>
        <v>1</v>
      </c>
      <c r="DB450">
        <f t="shared" si="833"/>
        <v>1</v>
      </c>
      <c r="DC450" t="b">
        <f t="shared" si="834"/>
        <v>0</v>
      </c>
      <c r="DD450" t="b">
        <f t="shared" si="835"/>
        <v>0</v>
      </c>
      <c r="DE450" t="b">
        <f t="shared" si="836"/>
        <v>0</v>
      </c>
      <c r="DF450" t="b">
        <f t="shared" si="837"/>
        <v>0</v>
      </c>
      <c r="DG450" t="b">
        <f t="shared" si="838"/>
        <v>0</v>
      </c>
      <c r="DH450" t="b">
        <f t="shared" si="839"/>
        <v>0</v>
      </c>
      <c r="DI450" t="b">
        <f t="shared" si="840"/>
        <v>0</v>
      </c>
      <c r="DJ450" t="b">
        <f t="shared" si="841"/>
        <v>0</v>
      </c>
      <c r="DK450" t="b">
        <f t="shared" si="842"/>
        <v>0</v>
      </c>
      <c r="DL450" t="b">
        <f t="shared" si="843"/>
        <v>0</v>
      </c>
      <c r="DM450" t="b">
        <f t="shared" si="844"/>
        <v>0</v>
      </c>
      <c r="DN450" t="b">
        <f t="shared" si="845"/>
        <v>0</v>
      </c>
      <c r="DO450" t="b">
        <f t="shared" si="846"/>
        <v>0</v>
      </c>
      <c r="DP450" t="b">
        <f t="shared" si="847"/>
        <v>0</v>
      </c>
      <c r="DQ450" t="b">
        <f t="shared" si="848"/>
        <v>0</v>
      </c>
      <c r="DR450" t="b">
        <f t="shared" si="849"/>
        <v>0</v>
      </c>
      <c r="DS450" t="b">
        <f t="shared" si="850"/>
        <v>0</v>
      </c>
      <c r="DT450" t="b">
        <f t="shared" si="851"/>
        <v>0</v>
      </c>
      <c r="DU450" t="b">
        <f t="shared" si="852"/>
        <v>0</v>
      </c>
      <c r="DV450" t="b">
        <f t="shared" si="853"/>
        <v>0</v>
      </c>
      <c r="DW450" t="b">
        <f t="shared" si="854"/>
        <v>0</v>
      </c>
      <c r="DX450" t="b">
        <f t="shared" si="855"/>
        <v>0</v>
      </c>
      <c r="DY450" t="b">
        <f t="shared" si="856"/>
        <v>0</v>
      </c>
      <c r="DZ450" t="b">
        <f t="shared" si="857"/>
        <v>0</v>
      </c>
      <c r="EA450" t="b">
        <f t="shared" si="858"/>
        <v>0</v>
      </c>
      <c r="EB450" t="b">
        <f t="shared" si="859"/>
        <v>0</v>
      </c>
      <c r="EC450" t="b">
        <f t="shared" si="860"/>
        <v>0</v>
      </c>
      <c r="ED450" t="b">
        <f t="shared" si="861"/>
        <v>0</v>
      </c>
      <c r="EE450" t="b">
        <f t="shared" si="862"/>
        <v>0</v>
      </c>
      <c r="EF450">
        <f t="shared" si="863"/>
        <v>1</v>
      </c>
      <c r="EG450" t="b">
        <f t="shared" si="864"/>
        <v>0</v>
      </c>
      <c r="EH450" t="b">
        <f t="shared" si="865"/>
        <v>0</v>
      </c>
      <c r="EI450" t="b">
        <f t="shared" si="866"/>
        <v>0</v>
      </c>
      <c r="EJ450" t="b">
        <f t="shared" si="867"/>
        <v>0</v>
      </c>
      <c r="EK450" t="b">
        <f t="shared" si="868"/>
        <v>0</v>
      </c>
    </row>
    <row r="451" spans="1:141">
      <c r="A451" t="s">
        <v>2306</v>
      </c>
      <c r="B451" t="s">
        <v>2307</v>
      </c>
      <c r="C451" t="s">
        <v>2308</v>
      </c>
      <c r="D451" s="1">
        <v>42339</v>
      </c>
      <c r="E451" s="2">
        <v>42917.69636574074</v>
      </c>
      <c r="F451" s="2">
        <v>42917.69636574074</v>
      </c>
      <c r="G451">
        <v>707432</v>
      </c>
      <c r="H451" t="s">
        <v>2309</v>
      </c>
      <c r="I451" s="10" t="s">
        <v>2310</v>
      </c>
      <c r="J451" t="s">
        <v>188</v>
      </c>
      <c r="K451" s="8" t="b">
        <v>1</v>
      </c>
      <c r="L451" s="10" t="b">
        <v>0</v>
      </c>
      <c r="M451" s="12" t="b">
        <v>0</v>
      </c>
      <c r="N451" t="b">
        <v>0</v>
      </c>
      <c r="O451" t="b">
        <v>0</v>
      </c>
      <c r="P451" t="b">
        <v>0</v>
      </c>
      <c r="Q451">
        <f t="shared" si="869"/>
        <v>3</v>
      </c>
      <c r="R451">
        <f t="shared" si="870"/>
        <v>12</v>
      </c>
      <c r="S451" t="e">
        <f t="shared" ref="S451:S514" ca="1" si="900">WhoIsorganization(C451)</f>
        <v>#NAME?</v>
      </c>
      <c r="T451" t="e">
        <f t="shared" ca="1" si="871"/>
        <v>#NAME?</v>
      </c>
      <c r="U451" s="4">
        <f t="shared" si="872"/>
        <v>578.69636574073957</v>
      </c>
      <c r="V451" s="4">
        <f t="shared" si="873"/>
        <v>19.289878858024654</v>
      </c>
      <c r="W451" s="4">
        <f t="shared" si="874"/>
        <v>1</v>
      </c>
      <c r="X451" s="4">
        <f t="shared" si="875"/>
        <v>0</v>
      </c>
      <c r="Y451" s="4">
        <f t="shared" si="876"/>
        <v>0</v>
      </c>
      <c r="Z451" s="4">
        <f t="shared" si="877"/>
        <v>0</v>
      </c>
      <c r="AA451" s="4">
        <f t="shared" si="878"/>
        <v>0</v>
      </c>
      <c r="AB451" s="4">
        <f t="shared" si="879"/>
        <v>0</v>
      </c>
      <c r="AC451" s="4"/>
      <c r="AD451" s="4" t="b">
        <f t="shared" si="880"/>
        <v>0</v>
      </c>
      <c r="AE451" s="4" t="b">
        <f t="shared" si="881"/>
        <v>0</v>
      </c>
      <c r="AF451" s="4" t="b">
        <f t="shared" si="882"/>
        <v>0</v>
      </c>
      <c r="AG451" t="b">
        <f t="shared" si="883"/>
        <v>0</v>
      </c>
      <c r="AH451" t="b">
        <f t="shared" si="884"/>
        <v>0</v>
      </c>
      <c r="AI451" t="b">
        <f t="shared" si="885"/>
        <v>0</v>
      </c>
      <c r="AJ451" t="b">
        <f t="shared" si="886"/>
        <v>0</v>
      </c>
      <c r="AK451" t="b">
        <f t="shared" si="887"/>
        <v>0</v>
      </c>
      <c r="AL451" t="b">
        <f t="shared" si="888"/>
        <v>0</v>
      </c>
      <c r="AM451" t="b">
        <f t="shared" si="889"/>
        <v>0</v>
      </c>
      <c r="AN451" t="b">
        <f t="shared" si="890"/>
        <v>0</v>
      </c>
      <c r="AO451" t="b">
        <f t="shared" si="891"/>
        <v>0</v>
      </c>
      <c r="AP451" t="b">
        <f t="shared" si="892"/>
        <v>0</v>
      </c>
      <c r="AQ451" t="b">
        <f t="shared" si="893"/>
        <v>0</v>
      </c>
      <c r="AR451" t="b">
        <f t="shared" si="894"/>
        <v>0</v>
      </c>
      <c r="AS451" t="b">
        <f t="shared" si="895"/>
        <v>0</v>
      </c>
      <c r="AT451" t="b">
        <f t="shared" si="896"/>
        <v>0</v>
      </c>
      <c r="AU451" t="b">
        <f t="shared" si="897"/>
        <v>0</v>
      </c>
      <c r="AV451" t="b">
        <f t="shared" si="898"/>
        <v>0</v>
      </c>
      <c r="AW451" t="b">
        <f t="shared" si="899"/>
        <v>0</v>
      </c>
      <c r="AX451" t="b">
        <f t="shared" ref="AX451:AX514" si="901">IFERROR(IF(SEARCH( "'Customer feedback'", J451),1,0),FALSE)</f>
        <v>0</v>
      </c>
      <c r="AY451" t="b">
        <f t="shared" ref="AY451:AY514" si="902">IFERROR(IF(SEARCH( "'Customer interactions'  ", J451),1,0),FALSE)</f>
        <v>0</v>
      </c>
      <c r="AZ451" t="b">
        <f t="shared" ref="AZ451:AZ514" si="903">IFERROR(IF(SEARCH( "'Dates of birth'", J451),1,0),FALSE)</f>
        <v>0</v>
      </c>
      <c r="BA451" t="b">
        <f t="shared" ref="BA451:BA514" si="904">IFERROR(IF(SEARCH( "'Deceased statuses'", J451),1,0),FALSE)</f>
        <v>0</v>
      </c>
      <c r="BB451" t="b">
        <f t="shared" ref="BB451:BB514" si="905">IFERROR(IF(SEARCH( "'Device information'", J451),1,0),FALSE)</f>
        <v>0</v>
      </c>
      <c r="BC451" t="b">
        <f t="shared" ref="BC451:BC514" si="906">IFERROR(IF(SEARCH( "'Device serial numbers'", J451),1,0),FALSE)</f>
        <v>0</v>
      </c>
      <c r="BD451" t="b">
        <f t="shared" ref="BD451:BD514" si="907">IFERROR(IF(SEARCH( "'Device usage tracking data'", J451),1,0),FALSE)</f>
        <v>0</v>
      </c>
      <c r="BE451" t="b">
        <f t="shared" ref="BE451:BE514" si="908">IFERROR(IF(SEARCH( "'Drinking habits'", J451),1,0),FALSE)</f>
        <v>0</v>
      </c>
      <c r="BF451" t="b">
        <f t="shared" ref="BF451:BF514" si="909">IFERROR(IF(SEARCH( "'Drinking habits' ", J451),1,0),FALSE)</f>
        <v>0</v>
      </c>
      <c r="BG451" t="b">
        <f t="shared" ref="BG451:BG514" si="910">IFERROR(IF(SEARCH( "'Drug habits'", J451),1,0),FALSE)</f>
        <v>0</v>
      </c>
      <c r="BH451" t="b">
        <f t="shared" ref="BH451:BH514" si="911">IFERROR(IF(SEARCH( "'Education levels'", J451),1,0),FALSE)</f>
        <v>0</v>
      </c>
      <c r="BI451">
        <f t="shared" ref="BI451:BI514" si="912">IFERROR(IF(SEARCH( "'Email addresses'", J451),1,0),FALSE)</f>
        <v>1</v>
      </c>
      <c r="BJ451" t="b">
        <f t="shared" ref="BJ451:BJ514" si="913">IFERROR(IF(SEARCH( "'Employers'", J451),1,0),FALSE)</f>
        <v>0</v>
      </c>
      <c r="BK451" t="b">
        <f t="shared" ref="BK451:BK514" si="914">IFERROR(IF(SEARCH( "'Ethnicities' ", J451),1,0),FALSE)</f>
        <v>0</v>
      </c>
      <c r="BL451" t="b">
        <f t="shared" ref="BL451:BL514" si="915">IFERROR(IF(SEARCH( "'Family members' names'", J451),1,0),FALSE)</f>
        <v>0</v>
      </c>
      <c r="BM451" t="b">
        <f t="shared" ref="BM451:BM514" si="916">IFERROR(IF(SEARCH( "'Family structure", J451),1,0),FALSE)</f>
        <v>0</v>
      </c>
      <c r="BN451" t="b">
        <f t="shared" ref="BN451:BN514" si="917">IFERROR(IF(SEARCH( "'Financial investments'", J451),1,0),FALSE)</f>
        <v>0</v>
      </c>
      <c r="BO451" t="b">
        <f t="shared" ref="BO451:BO514" si="918">IFERROR(IF(SEARCH( "'Financial transactions'", J451),1,0),FALSE)</f>
        <v>0</v>
      </c>
      <c r="BP451" t="b">
        <f t="shared" ref="BP451:BP514" si="919">IFERROR(IF(SEARCH( "'Fitness levels'", J451),1,0),FALSE)</f>
        <v>0</v>
      </c>
      <c r="BQ451" t="b">
        <f t="shared" ref="BQ451:BQ514" si="920">IFERROR(IF(SEARCH( "'Flights taken'", J451),1,0),FALSE)</f>
        <v>0</v>
      </c>
      <c r="BR451" t="b">
        <f t="shared" ref="BR451:BR514" si="921">IFERROR(IF(SEARCH( "'Genders'", J451),1,0),FALSE)</f>
        <v>0</v>
      </c>
      <c r="BS451" t="b">
        <f t="shared" ref="BS451:BS514" si="922">IFERROR(IF(SEARCH( "'Geographic locations'", J451),1,0),FALSE)</f>
        <v>0</v>
      </c>
      <c r="BT451" t="b">
        <f t="shared" ref="BT451:BT514" si="923">IFERROR(IF(SEARCH( "'Government issued IDs'", J451),1,0),FALSE)</f>
        <v>0</v>
      </c>
      <c r="BU451" t="b">
        <f t="shared" ref="BU451:BU514" si="924">IFERROR(IF(SEARCH( "'Health insurance information' ", J451),1,0),FALSE)</f>
        <v>0</v>
      </c>
      <c r="BV451" t="b">
        <f t="shared" ref="BV451:BV514" si="925">IFERROR(IF(SEARCH( "'Historical passwords'", J451),1,0),FALSE)</f>
        <v>0</v>
      </c>
      <c r="BW451" t="b">
        <f t="shared" ref="BW451:BW514" si="926">IFERROR(IF(SEARCH( "'HIV statuses'", J451),1,0),FALSE)</f>
        <v>0</v>
      </c>
      <c r="BX451" t="b">
        <f t="shared" ref="BX451:BX514" si="927">IFERROR(IF(SEARCH( "'Home loan information'", J451),1,0),FALSE)</f>
        <v>0</v>
      </c>
      <c r="BY451" t="b">
        <f t="shared" ref="BY451:BY514" si="928">IFERROR(IF(SEARCH( "'Home ownership statuses", J451),1,0),FALSE)</f>
        <v>0</v>
      </c>
      <c r="BZ451" t="b">
        <f t="shared" ref="BZ451:BZ514" si="929">IFERROR(IF(SEARCH( "'Homepage URLs'", J451),1,0),FALSE)</f>
        <v>0</v>
      </c>
      <c r="CA451" t="b">
        <f t="shared" ref="CA451:CA514" si="930">IFERROR(IF(SEARCH( "'IMEI numbers'", J451),1,0),FALSE)</f>
        <v>0</v>
      </c>
      <c r="CB451" t="b">
        <f t="shared" ref="CB451:CB514" si="931">IFERROR(IF(SEARCH( "'IMSI numbers' ", J451),1,0),FALSE)</f>
        <v>0</v>
      </c>
      <c r="CC451" t="b">
        <f t="shared" ref="CC451:CC514" si="932">IFERROR(IF(SEARCH( "'Income levels'", J451),1,0),FALSE)</f>
        <v>0</v>
      </c>
      <c r="CD451" t="b">
        <f t="shared" ref="CD451:CD514" si="933">IFERROR(IF(SEARCH( "'Instant messenger identities'", J451),1,0),FALSE)</f>
        <v>0</v>
      </c>
      <c r="CE451">
        <f t="shared" ref="CE451:CE514" si="934">IFERROR(IF(SEARCH( "'IP addresses'", J451),1,0),FALSE)</f>
        <v>1</v>
      </c>
      <c r="CF451" t="b">
        <f t="shared" ref="CF451:CF514" si="935">IFERROR(IF(SEARCH( "'Job applications' ", J451),1,0),FALSE)</f>
        <v>0</v>
      </c>
      <c r="CG451" t="b">
        <f t="shared" ref="CG451:CG514" si="936">IFERROR(IF(SEARCH( "'Job titles' ", J451),1,0),FALSE)</f>
        <v>0</v>
      </c>
      <c r="CH451" t="b">
        <f t="shared" ref="CH451:CH514" si="937">IFERROR(IF(SEARCH( "'Licence plates'", J451),1,0),FALSE)</f>
        <v>0</v>
      </c>
      <c r="CI451" t="b">
        <f t="shared" ref="CI451:CI514" si="938">IFERROR(IF(SEARCH( "'Login histories'", J451),1,0),FALSE)</f>
        <v>0</v>
      </c>
      <c r="CJ451" t="b">
        <f t="shared" ref="CJ451:CJ514" si="939">IFERROR(IF(SEARCH( "'MAC addresses'", J451),1,0),FALSE)</f>
        <v>0</v>
      </c>
      <c r="CK451" t="b">
        <f t="shared" ref="CK451:CK514" si="940">IFERROR(IF(SEARCH( "'Marital statuses'", J451),1,0),FALSE)</f>
        <v>0</v>
      </c>
      <c r="CL451" t="b">
        <f t="shared" ref="CL451:CL514" si="941">IFERROR(IF(SEARCH( "'Mnemonic phrases'", J451),1,0),FALSE)</f>
        <v>0</v>
      </c>
      <c r="CM451" t="b">
        <f t="shared" ref="CM451:CM514" si="942">IFERROR(IF(SEARCH( "'Names'", J451),1,0),FALSE)</f>
        <v>0</v>
      </c>
      <c r="CN451" t="b">
        <f t="shared" ref="CN451:CN514" si="943">IFERROR(IF(SEARCH( "'Nationalities'", J451),1,0),FALSE)</f>
        <v>0</v>
      </c>
      <c r="CO451" t="b">
        <f t="shared" ref="CO451:CO514" si="944">IFERROR(IF(SEARCH( "'Net worths'", J451),1,0),FALSE)</f>
        <v>0</v>
      </c>
      <c r="CP451" t="b">
        <f t="shared" ref="CP451:CP514" si="945">IFERROR(IF(SEARCH( "'Nicknames' ", J451),1,0),FALSE)</f>
        <v>0</v>
      </c>
      <c r="CQ451" t="b">
        <f t="shared" ref="CQ451:CQ514" si="946">IFERROR(IF(SEARCH( "'Occupations'", J451),1,0),FALSE)</f>
        <v>0</v>
      </c>
      <c r="CR451" t="b">
        <f t="shared" ref="CR451:CR514" si="947">IFERROR(IF(SEARCH( "'Parenting plans", J451),1,0),FALSE)</f>
        <v>0</v>
      </c>
      <c r="CS451" t="b">
        <f t="shared" ref="CS451:CS514" si="948">IFERROR(IF(SEARCH( "'Partial credit card data' ", J451),1,0),FALSE)</f>
        <v>0</v>
      </c>
      <c r="CT451" t="b">
        <f t="shared" ref="CT451:CT514" si="949">IFERROR(IF(SEARCH( "'Partial phone numbers'", J451),1,0),FALSE)</f>
        <v>0</v>
      </c>
      <c r="CU451" t="b">
        <f t="shared" ref="CU451:CU514" si="950">IFERROR(IF(SEARCH( "'Passport numbers'", J451),1,0),FALSE)</f>
        <v>0</v>
      </c>
      <c r="CV451">
        <f t="shared" ref="CV451:CV514" si="951">IFERROR(IF(SEARCH( "'Passwords'", J451),1,0),FALSE)</f>
        <v>1</v>
      </c>
      <c r="CW451" t="b">
        <f t="shared" ref="CW451:CW514" si="952">IFERROR(IF(SEARCH( "'Payment histories'", J451),1,0),FALSE)</f>
        <v>0</v>
      </c>
      <c r="CX451" t="b">
        <f t="shared" ref="CX451:CX514" si="953">IFERROR(IF(SEARCH( "'Payment methods'", J451),1,0),FALSE)</f>
        <v>0</v>
      </c>
      <c r="CY451" t="b">
        <f t="shared" ref="CY451:CY514" si="954">IFERROR(IF(SEARCH( "'Personal descriptions'", J451),1,0),FALSE)</f>
        <v>0</v>
      </c>
      <c r="CZ451" t="b">
        <f t="shared" ref="CZ451:CZ514" si="955">IFERROR(IF(SEARCH( "'Personal health data'", J451),1,0),FALSE)</f>
        <v>0</v>
      </c>
      <c r="DA451" t="b">
        <f t="shared" ref="DA451:DA514" si="956">IFERROR(IF(SEARCH( "'Phone numbers'", J451),1,0),FALSE)</f>
        <v>0</v>
      </c>
      <c r="DB451" t="b">
        <f t="shared" ref="DB451:DB514" si="957">IFERROR(IF(SEARCH( "'Physical addresses'", J451),1,0),FALSE)</f>
        <v>0</v>
      </c>
      <c r="DC451" t="b">
        <f t="shared" ref="DC451:DC514" si="958">IFERROR(IF(SEARCH( "'Physical attributes'", J451),1,0),FALSE)</f>
        <v>0</v>
      </c>
      <c r="DD451" t="b">
        <f t="shared" ref="DD451:DD514" si="959">IFERROR(IF(SEARCH( "'PINs'", J451),1,0),FALSE)</f>
        <v>0</v>
      </c>
      <c r="DE451" t="b">
        <f t="shared" ref="DE451:DE514" si="960">IFERROR(IF(SEARCH( "'Political donations'", J451),1,0),FALSE)</f>
        <v>0</v>
      </c>
      <c r="DF451" t="b">
        <f t="shared" ref="DF451:DF514" si="961">IFERROR(IF(SEARCH( "'Political views'", J451),1,0),FALSE)</f>
        <v>0</v>
      </c>
      <c r="DG451" t="b">
        <f t="shared" ref="DG451:DG514" si="962">IFERROR(IF(SEARCH( "'Private messages'", J451),1,0),FALSE)</f>
        <v>0</v>
      </c>
      <c r="DH451" t="b">
        <f t="shared" ref="DH451:DH514" si="963">IFERROR(IF(SEARCH( "'Professional skills'", J451),1,0),FALSE)</f>
        <v>0</v>
      </c>
      <c r="DI451" t="b">
        <f t="shared" ref="DI451:DI514" si="964">IFERROR(IF(SEARCH( "'Profile photos'", J451),1,0),FALSE)</f>
        <v>0</v>
      </c>
      <c r="DJ451" t="b">
        <f t="shared" ref="DJ451:DJ514" si="965">IFERROR(IF(SEARCH( "'Purchases'", J451),1,0),FALSE)</f>
        <v>0</v>
      </c>
      <c r="DK451" t="b">
        <f t="shared" ref="DK451:DK514" si="966">IFERROR(IF(SEARCH( "'Purchasing habits'", J451),1,0),FALSE)</f>
        <v>0</v>
      </c>
      <c r="DL451" t="b">
        <f t="shared" ref="DL451:DL514" si="967">IFERROR(IF(SEARCH( "'Races'", J451),1,0),FALSE)</f>
        <v>0</v>
      </c>
      <c r="DM451" t="b">
        <f t="shared" ref="DM451:DM514" si="968">IFERROR(IF(SEARCH( "'Recovery email addresses'", J451),1,0),FALSE)</f>
        <v>0</v>
      </c>
      <c r="DN451" t="b">
        <f t="shared" ref="DN451:DN514" si="969">IFERROR(IF(SEARCH( "'Relationship statuses'", J451),1,0),FALSE)</f>
        <v>0</v>
      </c>
      <c r="DO451" t="b">
        <f t="shared" ref="DO451:DO514" si="970">IFERROR(IF(SEARCH( "'Religions' ", J451),1,0),FALSE)</f>
        <v>0</v>
      </c>
      <c r="DP451" t="b">
        <f t="shared" ref="DP451:DP514" si="971">IFERROR(IF(SEARCH( "'Reward program balances'", J451),1,0),FALSE)</f>
        <v>0</v>
      </c>
      <c r="DQ451" t="b">
        <f t="shared" ref="DQ451:DQ514" si="972">IFERROR(IF(SEARCH( "'Salutations'", J451),1,0),FALSE)</f>
        <v>0</v>
      </c>
      <c r="DR451" t="b">
        <f t="shared" ref="DR451:DR514" si="973">IFERROR(IF(SEARCH( "'School grades (class levels)", J451),1,0),FALSE)</f>
        <v>0</v>
      </c>
      <c r="DS451" t="b">
        <f t="shared" ref="DS451:DS514" si="974">IFERROR(IF(SEARCH( "'Security questions and answers'", J451),1,0),FALSE)</f>
        <v>0</v>
      </c>
      <c r="DT451" t="b">
        <f t="shared" ref="DT451:DT514" si="975">IFERROR(IF(SEARCH( "'Sexual fetishes'", J451),1,0),FALSE)</f>
        <v>0</v>
      </c>
      <c r="DU451" t="b">
        <f t="shared" ref="DU451:DU514" si="976">IFERROR(IF(SEARCH( "'Sexual orientations'", J451),1,0),FALSE)</f>
        <v>0</v>
      </c>
      <c r="DV451" t="b">
        <f t="shared" ref="DV451:DV514" si="977">IFERROR(IF(SEARCH( "'Smoking habits'", J451),1,0),FALSE)</f>
        <v>0</v>
      </c>
      <c r="DW451" t="b">
        <f t="shared" ref="DW451:DW514" si="978">IFERROR(IF(SEARCH( "'SMS messages'", J451),1,0),FALSE)</f>
        <v>0</v>
      </c>
      <c r="DX451" t="b">
        <f t="shared" ref="DX451:DX514" si="979">IFERROR(IF(SEARCH( "'Social connections'", J451),1,0),FALSE)</f>
        <v>0</v>
      </c>
      <c r="DY451" t="b">
        <f t="shared" ref="DY451:DY514" si="980">IFERROR(IF(SEARCH( "'Social media profiles'", J451),1,0),FALSE)</f>
        <v>0</v>
      </c>
      <c r="DZ451" t="b">
        <f t="shared" ref="DZ451:DZ514" si="981">IFERROR(IF(SEARCH( "'Social security numbers'", J451),1,0),FALSE)</f>
        <v>0</v>
      </c>
      <c r="EA451" t="b">
        <f t="shared" ref="EA451:EA514" si="982">IFERROR(IF(SEARCH( "'Spoken languages'", J451),1,0),FALSE)</f>
        <v>0</v>
      </c>
      <c r="EB451" t="b">
        <f t="shared" ref="EB451:EB514" si="983">IFERROR(IF(SEARCH( "'Survey results'", J451),1,0),FALSE)</f>
        <v>0</v>
      </c>
      <c r="EC451" t="b">
        <f t="shared" ref="EC451:EC514" si="984">IFERROR(IF(SEARCH( "'Time zones'", J451),1,0),FALSE)</f>
        <v>0</v>
      </c>
      <c r="ED451" t="b">
        <f t="shared" ref="ED451:ED514" si="985">IFERROR(IF(SEARCH( "'Travel habits' ", J451),1,0),FALSE)</f>
        <v>0</v>
      </c>
      <c r="EE451" t="b">
        <f t="shared" ref="EE451:EE514" si="986">IFERROR(IF(SEARCH( "'User website URLs'", J451),1,0),FALSE)</f>
        <v>0</v>
      </c>
      <c r="EF451">
        <f t="shared" ref="EF451:EF514" si="987">IFERROR(IF(SEARCH( "'Usernames'", J451),1,0),FALSE)</f>
        <v>1</v>
      </c>
      <c r="EG451" t="b">
        <f t="shared" ref="EG451:EG514" si="988">IFERROR(IF(SEARCH( "'Vehicle details'", J451),1,0),FALSE)</f>
        <v>0</v>
      </c>
      <c r="EH451" t="b">
        <f t="shared" ref="EH451:EH514" si="989">IFERROR(IF(SEARCH( "'Vehicle identification numbers (VINs)'", J451),1,0),FALSE)</f>
        <v>0</v>
      </c>
      <c r="EI451" t="b">
        <f t="shared" ref="EI451:EI514" si="990">IFERROR(IF(SEARCH( "'Website activity'", J451),1,0),FALSE)</f>
        <v>0</v>
      </c>
      <c r="EJ451" t="b">
        <f t="shared" ref="EJ451:EJ514" si="991">IFERROR(IF(SEARCH( "'Work habits'", J451),1,0),FALSE)</f>
        <v>0</v>
      </c>
      <c r="EK451" t="b">
        <f t="shared" ref="EK451:EK514" si="992">IFERROR(IF(SEARCH( "'Years of professional experience'", J451),1,0),FALSE)</f>
        <v>0</v>
      </c>
    </row>
    <row r="452" spans="1:141">
      <c r="A452" t="s">
        <v>2311</v>
      </c>
      <c r="B452" t="s">
        <v>2311</v>
      </c>
      <c r="C452" t="s">
        <v>2312</v>
      </c>
      <c r="D452" s="1">
        <v>44004</v>
      </c>
      <c r="E452" s="2">
        <v>44038.114016203705</v>
      </c>
      <c r="F452" s="2">
        <v>44038.114016203705</v>
      </c>
      <c r="G452">
        <v>14610585</v>
      </c>
      <c r="H452" t="s">
        <v>2313</v>
      </c>
      <c r="I452" s="10" t="s">
        <v>2314</v>
      </c>
      <c r="J452" t="s">
        <v>2315</v>
      </c>
      <c r="K452" s="8" t="b">
        <v>1</v>
      </c>
      <c r="L452" s="10" t="b">
        <v>0</v>
      </c>
      <c r="M452" s="12" t="b">
        <v>0</v>
      </c>
      <c r="N452" t="b">
        <v>0</v>
      </c>
      <c r="O452" t="b">
        <v>0</v>
      </c>
      <c r="P452" t="b">
        <v>0</v>
      </c>
      <c r="Q452">
        <f t="shared" si="869"/>
        <v>2</v>
      </c>
      <c r="R452">
        <f t="shared" si="870"/>
        <v>6</v>
      </c>
      <c r="S452" t="e">
        <f t="shared" ca="1" si="900"/>
        <v>#NAME?</v>
      </c>
      <c r="T452" t="e">
        <f t="shared" ca="1" si="871"/>
        <v>#NAME?</v>
      </c>
      <c r="U452" s="4">
        <f t="shared" si="872"/>
        <v>34.114016203704523</v>
      </c>
      <c r="V452" s="4">
        <f t="shared" si="873"/>
        <v>1.1371338734568175</v>
      </c>
      <c r="W452" s="4">
        <f t="shared" si="874"/>
        <v>1</v>
      </c>
      <c r="X452" s="4">
        <f t="shared" si="875"/>
        <v>0</v>
      </c>
      <c r="Y452" s="4">
        <f t="shared" si="876"/>
        <v>0</v>
      </c>
      <c r="Z452" s="4">
        <f t="shared" si="877"/>
        <v>0</v>
      </c>
      <c r="AA452" s="4">
        <f t="shared" si="878"/>
        <v>0</v>
      </c>
      <c r="AB452" s="4">
        <f t="shared" si="879"/>
        <v>0</v>
      </c>
      <c r="AC452" s="4"/>
      <c r="AD452" s="4" t="b">
        <f t="shared" si="880"/>
        <v>0</v>
      </c>
      <c r="AE452" s="4" t="b">
        <f t="shared" si="881"/>
        <v>0</v>
      </c>
      <c r="AF452" s="4" t="b">
        <f t="shared" si="882"/>
        <v>0</v>
      </c>
      <c r="AG452" t="b">
        <f t="shared" si="883"/>
        <v>0</v>
      </c>
      <c r="AH452" t="b">
        <f t="shared" si="884"/>
        <v>0</v>
      </c>
      <c r="AI452" t="b">
        <f t="shared" si="885"/>
        <v>0</v>
      </c>
      <c r="AJ452" t="b">
        <f t="shared" si="886"/>
        <v>0</v>
      </c>
      <c r="AK452" t="b">
        <f t="shared" si="887"/>
        <v>0</v>
      </c>
      <c r="AL452" t="b">
        <f t="shared" si="888"/>
        <v>0</v>
      </c>
      <c r="AM452" t="b">
        <f t="shared" si="889"/>
        <v>0</v>
      </c>
      <c r="AN452" t="b">
        <f t="shared" si="890"/>
        <v>0</v>
      </c>
      <c r="AO452" t="b">
        <f t="shared" si="891"/>
        <v>0</v>
      </c>
      <c r="AP452" t="b">
        <f t="shared" si="892"/>
        <v>0</v>
      </c>
      <c r="AQ452" t="b">
        <f t="shared" si="893"/>
        <v>0</v>
      </c>
      <c r="AR452" t="b">
        <f t="shared" si="894"/>
        <v>0</v>
      </c>
      <c r="AS452" t="b">
        <f t="shared" si="895"/>
        <v>0</v>
      </c>
      <c r="AT452" t="b">
        <f t="shared" si="896"/>
        <v>0</v>
      </c>
      <c r="AU452" t="b">
        <f t="shared" si="897"/>
        <v>0</v>
      </c>
      <c r="AV452" t="b">
        <f t="shared" si="898"/>
        <v>0</v>
      </c>
      <c r="AW452" t="b">
        <f t="shared" si="899"/>
        <v>0</v>
      </c>
      <c r="AX452" t="b">
        <f t="shared" si="901"/>
        <v>0</v>
      </c>
      <c r="AY452" t="b">
        <f t="shared" si="902"/>
        <v>0</v>
      </c>
      <c r="AZ452" t="b">
        <f t="shared" si="903"/>
        <v>0</v>
      </c>
      <c r="BA452" t="b">
        <f t="shared" si="904"/>
        <v>0</v>
      </c>
      <c r="BB452" t="b">
        <f t="shared" si="905"/>
        <v>0</v>
      </c>
      <c r="BC452" t="b">
        <f t="shared" si="906"/>
        <v>0</v>
      </c>
      <c r="BD452" t="b">
        <f t="shared" si="907"/>
        <v>0</v>
      </c>
      <c r="BE452" t="b">
        <f t="shared" si="908"/>
        <v>0</v>
      </c>
      <c r="BF452" t="b">
        <f t="shared" si="909"/>
        <v>0</v>
      </c>
      <c r="BG452" t="b">
        <f t="shared" si="910"/>
        <v>0</v>
      </c>
      <c r="BH452" t="b">
        <f t="shared" si="911"/>
        <v>0</v>
      </c>
      <c r="BI452">
        <f t="shared" si="912"/>
        <v>1</v>
      </c>
      <c r="BJ452" t="b">
        <f t="shared" si="913"/>
        <v>0</v>
      </c>
      <c r="BK452" t="b">
        <f t="shared" si="914"/>
        <v>0</v>
      </c>
      <c r="BL452" t="b">
        <f t="shared" si="915"/>
        <v>0</v>
      </c>
      <c r="BM452" t="b">
        <f t="shared" si="916"/>
        <v>0</v>
      </c>
      <c r="BN452" t="b">
        <f t="shared" si="917"/>
        <v>0</v>
      </c>
      <c r="BO452" t="b">
        <f t="shared" si="918"/>
        <v>0</v>
      </c>
      <c r="BP452" t="b">
        <f t="shared" si="919"/>
        <v>0</v>
      </c>
      <c r="BQ452" t="b">
        <f t="shared" si="920"/>
        <v>0</v>
      </c>
      <c r="BR452">
        <f t="shared" si="921"/>
        <v>1</v>
      </c>
      <c r="BS452" t="b">
        <f t="shared" si="922"/>
        <v>0</v>
      </c>
      <c r="BT452" t="b">
        <f t="shared" si="923"/>
        <v>0</v>
      </c>
      <c r="BU452" t="b">
        <f t="shared" si="924"/>
        <v>0</v>
      </c>
      <c r="BV452" t="b">
        <f t="shared" si="925"/>
        <v>0</v>
      </c>
      <c r="BW452" t="b">
        <f t="shared" si="926"/>
        <v>0</v>
      </c>
      <c r="BX452" t="b">
        <f t="shared" si="927"/>
        <v>0</v>
      </c>
      <c r="BY452" t="b">
        <f t="shared" si="928"/>
        <v>0</v>
      </c>
      <c r="BZ452" t="b">
        <f t="shared" si="929"/>
        <v>0</v>
      </c>
      <c r="CA452" t="b">
        <f t="shared" si="930"/>
        <v>0</v>
      </c>
      <c r="CB452" t="b">
        <f t="shared" si="931"/>
        <v>0</v>
      </c>
      <c r="CC452" t="b">
        <f t="shared" si="932"/>
        <v>0</v>
      </c>
      <c r="CD452" t="b">
        <f t="shared" si="933"/>
        <v>0</v>
      </c>
      <c r="CE452">
        <f t="shared" si="934"/>
        <v>1</v>
      </c>
      <c r="CF452" t="b">
        <f t="shared" si="935"/>
        <v>0</v>
      </c>
      <c r="CG452" t="b">
        <f t="shared" si="936"/>
        <v>0</v>
      </c>
      <c r="CH452" t="b">
        <f t="shared" si="937"/>
        <v>0</v>
      </c>
      <c r="CI452" t="b">
        <f t="shared" si="938"/>
        <v>0</v>
      </c>
      <c r="CJ452" t="b">
        <f t="shared" si="939"/>
        <v>0</v>
      </c>
      <c r="CK452" t="b">
        <f t="shared" si="940"/>
        <v>0</v>
      </c>
      <c r="CL452" t="b">
        <f t="shared" si="941"/>
        <v>0</v>
      </c>
      <c r="CM452">
        <f t="shared" si="942"/>
        <v>1</v>
      </c>
      <c r="CN452" t="b">
        <f t="shared" si="943"/>
        <v>0</v>
      </c>
      <c r="CO452" t="b">
        <f t="shared" si="944"/>
        <v>0</v>
      </c>
      <c r="CP452" t="b">
        <f t="shared" si="945"/>
        <v>0</v>
      </c>
      <c r="CQ452" t="b">
        <f t="shared" si="946"/>
        <v>0</v>
      </c>
      <c r="CR452" t="b">
        <f t="shared" si="947"/>
        <v>0</v>
      </c>
      <c r="CS452" t="b">
        <f t="shared" si="948"/>
        <v>0</v>
      </c>
      <c r="CT452" t="b">
        <f t="shared" si="949"/>
        <v>0</v>
      </c>
      <c r="CU452" t="b">
        <f t="shared" si="950"/>
        <v>0</v>
      </c>
      <c r="CV452">
        <f t="shared" si="951"/>
        <v>1</v>
      </c>
      <c r="CW452" t="b">
        <f t="shared" si="952"/>
        <v>0</v>
      </c>
      <c r="CX452" t="b">
        <f t="shared" si="953"/>
        <v>0</v>
      </c>
      <c r="CY452" t="b">
        <f t="shared" si="954"/>
        <v>0</v>
      </c>
      <c r="CZ452" t="b">
        <f t="shared" si="955"/>
        <v>0</v>
      </c>
      <c r="DA452" t="b">
        <f t="shared" si="956"/>
        <v>0</v>
      </c>
      <c r="DB452" t="b">
        <f t="shared" si="957"/>
        <v>0</v>
      </c>
      <c r="DC452" t="b">
        <f t="shared" si="958"/>
        <v>0</v>
      </c>
      <c r="DD452" t="b">
        <f t="shared" si="959"/>
        <v>0</v>
      </c>
      <c r="DE452" t="b">
        <f t="shared" si="960"/>
        <v>0</v>
      </c>
      <c r="DF452" t="b">
        <f t="shared" si="961"/>
        <v>0</v>
      </c>
      <c r="DG452" t="b">
        <f t="shared" si="962"/>
        <v>0</v>
      </c>
      <c r="DH452" t="b">
        <f t="shared" si="963"/>
        <v>0</v>
      </c>
      <c r="DI452" t="b">
        <f t="shared" si="964"/>
        <v>0</v>
      </c>
      <c r="DJ452" t="b">
        <f t="shared" si="965"/>
        <v>0</v>
      </c>
      <c r="DK452" t="b">
        <f t="shared" si="966"/>
        <v>0</v>
      </c>
      <c r="DL452" t="b">
        <f t="shared" si="967"/>
        <v>0</v>
      </c>
      <c r="DM452" t="b">
        <f t="shared" si="968"/>
        <v>0</v>
      </c>
      <c r="DN452" t="b">
        <f t="shared" si="969"/>
        <v>0</v>
      </c>
      <c r="DO452" t="b">
        <f t="shared" si="970"/>
        <v>0</v>
      </c>
      <c r="DP452" t="b">
        <f t="shared" si="971"/>
        <v>0</v>
      </c>
      <c r="DQ452" t="b">
        <f t="shared" si="972"/>
        <v>0</v>
      </c>
      <c r="DR452" t="b">
        <f t="shared" si="973"/>
        <v>0</v>
      </c>
      <c r="DS452" t="b">
        <f t="shared" si="974"/>
        <v>0</v>
      </c>
      <c r="DT452" t="b">
        <f t="shared" si="975"/>
        <v>0</v>
      </c>
      <c r="DU452" t="b">
        <f t="shared" si="976"/>
        <v>0</v>
      </c>
      <c r="DV452" t="b">
        <f t="shared" si="977"/>
        <v>0</v>
      </c>
      <c r="DW452" t="b">
        <f t="shared" si="978"/>
        <v>0</v>
      </c>
      <c r="DX452" t="b">
        <f t="shared" si="979"/>
        <v>0</v>
      </c>
      <c r="DY452" t="b">
        <f t="shared" si="980"/>
        <v>0</v>
      </c>
      <c r="DZ452" t="b">
        <f t="shared" si="981"/>
        <v>0</v>
      </c>
      <c r="EA452" t="b">
        <f t="shared" si="982"/>
        <v>0</v>
      </c>
      <c r="EB452" t="b">
        <f t="shared" si="983"/>
        <v>0</v>
      </c>
      <c r="EC452" t="b">
        <f t="shared" si="984"/>
        <v>0</v>
      </c>
      <c r="ED452" t="b">
        <f t="shared" si="985"/>
        <v>0</v>
      </c>
      <c r="EE452" t="b">
        <f t="shared" si="986"/>
        <v>0</v>
      </c>
      <c r="EF452" t="b">
        <f t="shared" si="987"/>
        <v>0</v>
      </c>
      <c r="EG452" t="b">
        <f t="shared" si="988"/>
        <v>0</v>
      </c>
      <c r="EH452" t="b">
        <f t="shared" si="989"/>
        <v>0</v>
      </c>
      <c r="EI452" t="b">
        <f t="shared" si="990"/>
        <v>0</v>
      </c>
      <c r="EJ452" t="b">
        <f t="shared" si="991"/>
        <v>0</v>
      </c>
      <c r="EK452" t="b">
        <f t="shared" si="992"/>
        <v>0</v>
      </c>
    </row>
    <row r="453" spans="1:141">
      <c r="A453" t="s">
        <v>2316</v>
      </c>
      <c r="B453" t="s">
        <v>2316</v>
      </c>
      <c r="C453" t="s">
        <v>2317</v>
      </c>
      <c r="D453" s="1">
        <v>43680</v>
      </c>
      <c r="E453" s="2">
        <v>44136.299837962964</v>
      </c>
      <c r="F453" s="2">
        <v>44138.430462962962</v>
      </c>
      <c r="G453">
        <v>1277761</v>
      </c>
      <c r="H453" t="s">
        <v>2318</v>
      </c>
      <c r="I453" s="10" t="s">
        <v>2319</v>
      </c>
      <c r="J453" t="s">
        <v>2017</v>
      </c>
      <c r="K453" s="8" t="b">
        <v>1</v>
      </c>
      <c r="L453" s="10" t="b">
        <v>0</v>
      </c>
      <c r="M453" s="12" t="b">
        <v>0</v>
      </c>
      <c r="N453" t="b">
        <v>0</v>
      </c>
      <c r="O453" t="b">
        <v>0</v>
      </c>
      <c r="P453" t="b">
        <v>0</v>
      </c>
      <c r="Q453">
        <f t="shared" si="869"/>
        <v>7</v>
      </c>
      <c r="R453">
        <f t="shared" si="870"/>
        <v>8</v>
      </c>
      <c r="S453" t="e">
        <f t="shared" ca="1" si="900"/>
        <v>#NAME?</v>
      </c>
      <c r="T453" t="e">
        <f t="shared" ca="1" si="871"/>
        <v>#NAME?</v>
      </c>
      <c r="U453" s="4">
        <f t="shared" si="872"/>
        <v>456.29983796296438</v>
      </c>
      <c r="V453" s="4">
        <f t="shared" si="873"/>
        <v>15.20999459876548</v>
      </c>
      <c r="W453" s="4">
        <f t="shared" si="874"/>
        <v>1</v>
      </c>
      <c r="X453" s="4">
        <f t="shared" si="875"/>
        <v>0</v>
      </c>
      <c r="Y453" s="4">
        <f t="shared" si="876"/>
        <v>0</v>
      </c>
      <c r="Z453" s="4">
        <f t="shared" si="877"/>
        <v>0</v>
      </c>
      <c r="AA453" s="4">
        <f t="shared" si="878"/>
        <v>0</v>
      </c>
      <c r="AB453" s="4">
        <f t="shared" si="879"/>
        <v>0</v>
      </c>
      <c r="AC453" s="4"/>
      <c r="AD453" s="4" t="b">
        <f t="shared" si="880"/>
        <v>0</v>
      </c>
      <c r="AE453" s="4" t="b">
        <f t="shared" si="881"/>
        <v>0</v>
      </c>
      <c r="AF453" s="4" t="b">
        <f t="shared" si="882"/>
        <v>0</v>
      </c>
      <c r="AG453" t="b">
        <f t="shared" si="883"/>
        <v>0</v>
      </c>
      <c r="AH453" t="b">
        <f t="shared" si="884"/>
        <v>0</v>
      </c>
      <c r="AI453" t="b">
        <f t="shared" si="885"/>
        <v>0</v>
      </c>
      <c r="AJ453" t="b">
        <f t="shared" si="886"/>
        <v>0</v>
      </c>
      <c r="AK453" t="b">
        <f t="shared" si="887"/>
        <v>0</v>
      </c>
      <c r="AL453" t="b">
        <f t="shared" si="888"/>
        <v>0</v>
      </c>
      <c r="AM453" t="b">
        <f t="shared" si="889"/>
        <v>0</v>
      </c>
      <c r="AN453" t="b">
        <f t="shared" si="890"/>
        <v>0</v>
      </c>
      <c r="AO453" t="b">
        <f t="shared" si="891"/>
        <v>0</v>
      </c>
      <c r="AP453" t="b">
        <f t="shared" si="892"/>
        <v>0</v>
      </c>
      <c r="AQ453" t="b">
        <f t="shared" si="893"/>
        <v>0</v>
      </c>
      <c r="AR453" t="b">
        <f t="shared" si="894"/>
        <v>0</v>
      </c>
      <c r="AS453" t="b">
        <f t="shared" si="895"/>
        <v>0</v>
      </c>
      <c r="AT453" t="b">
        <f t="shared" si="896"/>
        <v>0</v>
      </c>
      <c r="AU453" t="b">
        <f t="shared" si="897"/>
        <v>0</v>
      </c>
      <c r="AV453" t="b">
        <f t="shared" si="898"/>
        <v>0</v>
      </c>
      <c r="AW453" t="b">
        <f t="shared" si="899"/>
        <v>0</v>
      </c>
      <c r="AX453" t="b">
        <f t="shared" si="901"/>
        <v>0</v>
      </c>
      <c r="AY453" t="b">
        <f t="shared" si="902"/>
        <v>0</v>
      </c>
      <c r="AZ453" t="b">
        <f t="shared" si="903"/>
        <v>0</v>
      </c>
      <c r="BA453" t="b">
        <f t="shared" si="904"/>
        <v>0</v>
      </c>
      <c r="BB453" t="b">
        <f t="shared" si="905"/>
        <v>0</v>
      </c>
      <c r="BC453" t="b">
        <f t="shared" si="906"/>
        <v>0</v>
      </c>
      <c r="BD453" t="b">
        <f t="shared" si="907"/>
        <v>0</v>
      </c>
      <c r="BE453" t="b">
        <f t="shared" si="908"/>
        <v>0</v>
      </c>
      <c r="BF453" t="b">
        <f t="shared" si="909"/>
        <v>0</v>
      </c>
      <c r="BG453" t="b">
        <f t="shared" si="910"/>
        <v>0</v>
      </c>
      <c r="BH453" t="b">
        <f t="shared" si="911"/>
        <v>0</v>
      </c>
      <c r="BI453">
        <f t="shared" si="912"/>
        <v>1</v>
      </c>
      <c r="BJ453" t="b">
        <f t="shared" si="913"/>
        <v>0</v>
      </c>
      <c r="BK453" t="b">
        <f t="shared" si="914"/>
        <v>0</v>
      </c>
      <c r="BL453" t="b">
        <f t="shared" si="915"/>
        <v>0</v>
      </c>
      <c r="BM453" t="b">
        <f t="shared" si="916"/>
        <v>0</v>
      </c>
      <c r="BN453" t="b">
        <f t="shared" si="917"/>
        <v>0</v>
      </c>
      <c r="BO453" t="b">
        <f t="shared" si="918"/>
        <v>0</v>
      </c>
      <c r="BP453" t="b">
        <f t="shared" si="919"/>
        <v>0</v>
      </c>
      <c r="BQ453" t="b">
        <f t="shared" si="920"/>
        <v>0</v>
      </c>
      <c r="BR453" t="b">
        <f t="shared" si="921"/>
        <v>0</v>
      </c>
      <c r="BS453" t="b">
        <f t="shared" si="922"/>
        <v>0</v>
      </c>
      <c r="BT453" t="b">
        <f t="shared" si="923"/>
        <v>0</v>
      </c>
      <c r="BU453" t="b">
        <f t="shared" si="924"/>
        <v>0</v>
      </c>
      <c r="BV453" t="b">
        <f t="shared" si="925"/>
        <v>0</v>
      </c>
      <c r="BW453" t="b">
        <f t="shared" si="926"/>
        <v>0</v>
      </c>
      <c r="BX453" t="b">
        <f t="shared" si="927"/>
        <v>0</v>
      </c>
      <c r="BY453" t="b">
        <f t="shared" si="928"/>
        <v>0</v>
      </c>
      <c r="BZ453" t="b">
        <f t="shared" si="929"/>
        <v>0</v>
      </c>
      <c r="CA453" t="b">
        <f t="shared" si="930"/>
        <v>0</v>
      </c>
      <c r="CB453" t="b">
        <f t="shared" si="931"/>
        <v>0</v>
      </c>
      <c r="CC453" t="b">
        <f t="shared" si="932"/>
        <v>0</v>
      </c>
      <c r="CD453" t="b">
        <f t="shared" si="933"/>
        <v>0</v>
      </c>
      <c r="CE453" t="b">
        <f t="shared" si="934"/>
        <v>0</v>
      </c>
      <c r="CF453" t="b">
        <f t="shared" si="935"/>
        <v>0</v>
      </c>
      <c r="CG453" t="b">
        <f t="shared" si="936"/>
        <v>0</v>
      </c>
      <c r="CH453" t="b">
        <f t="shared" si="937"/>
        <v>0</v>
      </c>
      <c r="CI453" t="b">
        <f t="shared" si="938"/>
        <v>0</v>
      </c>
      <c r="CJ453" t="b">
        <f t="shared" si="939"/>
        <v>0</v>
      </c>
      <c r="CK453" t="b">
        <f t="shared" si="940"/>
        <v>0</v>
      </c>
      <c r="CL453" t="b">
        <f t="shared" si="941"/>
        <v>0</v>
      </c>
      <c r="CM453">
        <f t="shared" si="942"/>
        <v>1</v>
      </c>
      <c r="CN453" t="b">
        <f t="shared" si="943"/>
        <v>0</v>
      </c>
      <c r="CO453" t="b">
        <f t="shared" si="944"/>
        <v>0</v>
      </c>
      <c r="CP453" t="b">
        <f t="shared" si="945"/>
        <v>0</v>
      </c>
      <c r="CQ453" t="b">
        <f t="shared" si="946"/>
        <v>0</v>
      </c>
      <c r="CR453" t="b">
        <f t="shared" si="947"/>
        <v>0</v>
      </c>
      <c r="CS453" t="b">
        <f t="shared" si="948"/>
        <v>0</v>
      </c>
      <c r="CT453" t="b">
        <f t="shared" si="949"/>
        <v>0</v>
      </c>
      <c r="CU453" t="b">
        <f t="shared" si="950"/>
        <v>0</v>
      </c>
      <c r="CV453" t="b">
        <f t="shared" si="951"/>
        <v>0</v>
      </c>
      <c r="CW453" t="b">
        <f t="shared" si="952"/>
        <v>0</v>
      </c>
      <c r="CX453" t="b">
        <f t="shared" si="953"/>
        <v>0</v>
      </c>
      <c r="CY453" t="b">
        <f t="shared" si="954"/>
        <v>0</v>
      </c>
      <c r="CZ453" t="b">
        <f t="shared" si="955"/>
        <v>0</v>
      </c>
      <c r="DA453" t="b">
        <f t="shared" si="956"/>
        <v>0</v>
      </c>
      <c r="DB453" t="b">
        <f t="shared" si="957"/>
        <v>0</v>
      </c>
      <c r="DC453" t="b">
        <f t="shared" si="958"/>
        <v>0</v>
      </c>
      <c r="DD453" t="b">
        <f t="shared" si="959"/>
        <v>0</v>
      </c>
      <c r="DE453" t="b">
        <f t="shared" si="960"/>
        <v>0</v>
      </c>
      <c r="DF453" t="b">
        <f t="shared" si="961"/>
        <v>0</v>
      </c>
      <c r="DG453" t="b">
        <f t="shared" si="962"/>
        <v>0</v>
      </c>
      <c r="DH453" t="b">
        <f t="shared" si="963"/>
        <v>0</v>
      </c>
      <c r="DI453" t="b">
        <f t="shared" si="964"/>
        <v>0</v>
      </c>
      <c r="DJ453" t="b">
        <f t="shared" si="965"/>
        <v>0</v>
      </c>
      <c r="DK453" t="b">
        <f t="shared" si="966"/>
        <v>0</v>
      </c>
      <c r="DL453" t="b">
        <f t="shared" si="967"/>
        <v>0</v>
      </c>
      <c r="DM453" t="b">
        <f t="shared" si="968"/>
        <v>0</v>
      </c>
      <c r="DN453" t="b">
        <f t="shared" si="969"/>
        <v>0</v>
      </c>
      <c r="DO453" t="b">
        <f t="shared" si="970"/>
        <v>0</v>
      </c>
      <c r="DP453" t="b">
        <f t="shared" si="971"/>
        <v>0</v>
      </c>
      <c r="DQ453" t="b">
        <f t="shared" si="972"/>
        <v>0</v>
      </c>
      <c r="DR453" t="b">
        <f t="shared" si="973"/>
        <v>0</v>
      </c>
      <c r="DS453" t="b">
        <f t="shared" si="974"/>
        <v>0</v>
      </c>
      <c r="DT453" t="b">
        <f t="shared" si="975"/>
        <v>0</v>
      </c>
      <c r="DU453" t="b">
        <f t="shared" si="976"/>
        <v>0</v>
      </c>
      <c r="DV453" t="b">
        <f t="shared" si="977"/>
        <v>0</v>
      </c>
      <c r="DW453" t="b">
        <f t="shared" si="978"/>
        <v>0</v>
      </c>
      <c r="DX453" t="b">
        <f t="shared" si="979"/>
        <v>0</v>
      </c>
      <c r="DY453" t="b">
        <f t="shared" si="980"/>
        <v>0</v>
      </c>
      <c r="DZ453" t="b">
        <f t="shared" si="981"/>
        <v>0</v>
      </c>
      <c r="EA453" t="b">
        <f t="shared" si="982"/>
        <v>0</v>
      </c>
      <c r="EB453" t="b">
        <f t="shared" si="983"/>
        <v>0</v>
      </c>
      <c r="EC453" t="b">
        <f t="shared" si="984"/>
        <v>0</v>
      </c>
      <c r="ED453" t="b">
        <f t="shared" si="985"/>
        <v>0</v>
      </c>
      <c r="EE453" t="b">
        <f t="shared" si="986"/>
        <v>0</v>
      </c>
      <c r="EF453" t="b">
        <f t="shared" si="987"/>
        <v>0</v>
      </c>
      <c r="EG453" t="b">
        <f t="shared" si="988"/>
        <v>0</v>
      </c>
      <c r="EH453" t="b">
        <f t="shared" si="989"/>
        <v>0</v>
      </c>
      <c r="EI453" t="b">
        <f t="shared" si="990"/>
        <v>0</v>
      </c>
      <c r="EJ453" t="b">
        <f t="shared" si="991"/>
        <v>0</v>
      </c>
      <c r="EK453" t="b">
        <f t="shared" si="992"/>
        <v>0</v>
      </c>
    </row>
    <row r="454" spans="1:141">
      <c r="A454" t="s">
        <v>2320</v>
      </c>
      <c r="B454" t="s">
        <v>2320</v>
      </c>
      <c r="C454" t="s">
        <v>2321</v>
      </c>
      <c r="D454" s="1">
        <v>43130</v>
      </c>
      <c r="E454" s="2">
        <v>43914.306759259256</v>
      </c>
      <c r="F454" s="2">
        <v>43914.312916666669</v>
      </c>
      <c r="G454">
        <v>2156921</v>
      </c>
      <c r="H454" t="s">
        <v>2322</v>
      </c>
      <c r="I454" s="10" t="s">
        <v>2323</v>
      </c>
      <c r="J454" t="s">
        <v>2324</v>
      </c>
      <c r="K454" s="8" t="b">
        <v>1</v>
      </c>
      <c r="L454" s="10" t="b">
        <v>0</v>
      </c>
      <c r="M454" s="12" t="b">
        <v>0</v>
      </c>
      <c r="N454" t="b">
        <v>0</v>
      </c>
      <c r="O454" t="b">
        <v>0</v>
      </c>
      <c r="P454" t="b">
        <v>0</v>
      </c>
      <c r="Q454">
        <f t="shared" si="869"/>
        <v>3</v>
      </c>
      <c r="R454">
        <f t="shared" si="870"/>
        <v>1</v>
      </c>
      <c r="S454" t="e">
        <f t="shared" ca="1" si="900"/>
        <v>#NAME?</v>
      </c>
      <c r="T454" t="e">
        <f t="shared" ca="1" si="871"/>
        <v>#NAME?</v>
      </c>
      <c r="U454" s="4">
        <f t="shared" si="872"/>
        <v>784.30675925925607</v>
      </c>
      <c r="V454" s="4">
        <f t="shared" si="873"/>
        <v>26.143558641975201</v>
      </c>
      <c r="W454" s="4">
        <f t="shared" si="874"/>
        <v>1</v>
      </c>
      <c r="X454" s="4">
        <f t="shared" si="875"/>
        <v>0</v>
      </c>
      <c r="Y454" s="4">
        <f t="shared" si="876"/>
        <v>0</v>
      </c>
      <c r="Z454" s="4">
        <f t="shared" si="877"/>
        <v>0</v>
      </c>
      <c r="AA454" s="4">
        <f t="shared" si="878"/>
        <v>0</v>
      </c>
      <c r="AB454" s="4">
        <f t="shared" si="879"/>
        <v>0</v>
      </c>
      <c r="AC454" s="4"/>
      <c r="AD454" s="4" t="b">
        <f t="shared" si="880"/>
        <v>0</v>
      </c>
      <c r="AE454" s="4" t="b">
        <f t="shared" si="881"/>
        <v>0</v>
      </c>
      <c r="AF454" s="4" t="b">
        <f t="shared" si="882"/>
        <v>0</v>
      </c>
      <c r="AG454" t="b">
        <f t="shared" si="883"/>
        <v>0</v>
      </c>
      <c r="AH454" t="b">
        <f t="shared" si="884"/>
        <v>0</v>
      </c>
      <c r="AI454" t="b">
        <f t="shared" si="885"/>
        <v>0</v>
      </c>
      <c r="AJ454" t="b">
        <f t="shared" si="886"/>
        <v>0</v>
      </c>
      <c r="AK454" t="b">
        <f t="shared" si="887"/>
        <v>0</v>
      </c>
      <c r="AL454" t="b">
        <f t="shared" si="888"/>
        <v>0</v>
      </c>
      <c r="AM454" t="b">
        <f t="shared" si="889"/>
        <v>0</v>
      </c>
      <c r="AN454" t="b">
        <f t="shared" si="890"/>
        <v>0</v>
      </c>
      <c r="AO454" t="b">
        <f t="shared" si="891"/>
        <v>0</v>
      </c>
      <c r="AP454" t="b">
        <f t="shared" si="892"/>
        <v>0</v>
      </c>
      <c r="AQ454" t="b">
        <f t="shared" si="893"/>
        <v>0</v>
      </c>
      <c r="AR454" t="b">
        <f t="shared" si="894"/>
        <v>0</v>
      </c>
      <c r="AS454" t="b">
        <f t="shared" si="895"/>
        <v>0</v>
      </c>
      <c r="AT454" t="b">
        <f t="shared" si="896"/>
        <v>0</v>
      </c>
      <c r="AU454" t="b">
        <f t="shared" si="897"/>
        <v>0</v>
      </c>
      <c r="AV454" t="b">
        <f t="shared" si="898"/>
        <v>0</v>
      </c>
      <c r="AW454" t="b">
        <f t="shared" si="899"/>
        <v>0</v>
      </c>
      <c r="AX454" t="b">
        <f t="shared" si="901"/>
        <v>0</v>
      </c>
      <c r="AY454" t="b">
        <f t="shared" si="902"/>
        <v>0</v>
      </c>
      <c r="AZ454">
        <f t="shared" si="903"/>
        <v>1</v>
      </c>
      <c r="BA454" t="b">
        <f t="shared" si="904"/>
        <v>0</v>
      </c>
      <c r="BB454">
        <f t="shared" si="905"/>
        <v>1</v>
      </c>
      <c r="BC454" t="b">
        <f t="shared" si="906"/>
        <v>0</v>
      </c>
      <c r="BD454" t="b">
        <f t="shared" si="907"/>
        <v>0</v>
      </c>
      <c r="BE454" t="b">
        <f t="shared" si="908"/>
        <v>0</v>
      </c>
      <c r="BF454" t="b">
        <f t="shared" si="909"/>
        <v>0</v>
      </c>
      <c r="BG454" t="b">
        <f t="shared" si="910"/>
        <v>0</v>
      </c>
      <c r="BH454" t="b">
        <f t="shared" si="911"/>
        <v>0</v>
      </c>
      <c r="BI454">
        <f t="shared" si="912"/>
        <v>1</v>
      </c>
      <c r="BJ454" t="b">
        <f t="shared" si="913"/>
        <v>0</v>
      </c>
      <c r="BK454" t="b">
        <f t="shared" si="914"/>
        <v>0</v>
      </c>
      <c r="BL454" t="b">
        <f t="shared" si="915"/>
        <v>0</v>
      </c>
      <c r="BM454" t="b">
        <f t="shared" si="916"/>
        <v>0</v>
      </c>
      <c r="BN454" t="b">
        <f t="shared" si="917"/>
        <v>0</v>
      </c>
      <c r="BO454" t="b">
        <f t="shared" si="918"/>
        <v>0</v>
      </c>
      <c r="BP454" t="b">
        <f t="shared" si="919"/>
        <v>0</v>
      </c>
      <c r="BQ454" t="b">
        <f t="shared" si="920"/>
        <v>0</v>
      </c>
      <c r="BR454">
        <f t="shared" si="921"/>
        <v>1</v>
      </c>
      <c r="BS454" t="b">
        <f t="shared" si="922"/>
        <v>0</v>
      </c>
      <c r="BT454" t="b">
        <f t="shared" si="923"/>
        <v>0</v>
      </c>
      <c r="BU454" t="b">
        <f t="shared" si="924"/>
        <v>0</v>
      </c>
      <c r="BV454" t="b">
        <f t="shared" si="925"/>
        <v>0</v>
      </c>
      <c r="BW454" t="b">
        <f t="shared" si="926"/>
        <v>0</v>
      </c>
      <c r="BX454" t="b">
        <f t="shared" si="927"/>
        <v>0</v>
      </c>
      <c r="BY454" t="b">
        <f t="shared" si="928"/>
        <v>0</v>
      </c>
      <c r="BZ454" t="b">
        <f t="shared" si="929"/>
        <v>0</v>
      </c>
      <c r="CA454" t="b">
        <f t="shared" si="930"/>
        <v>0</v>
      </c>
      <c r="CB454" t="b">
        <f t="shared" si="931"/>
        <v>0</v>
      </c>
      <c r="CC454" t="b">
        <f t="shared" si="932"/>
        <v>0</v>
      </c>
      <c r="CD454" t="b">
        <f t="shared" si="933"/>
        <v>0</v>
      </c>
      <c r="CE454">
        <f t="shared" si="934"/>
        <v>1</v>
      </c>
      <c r="CF454" t="b">
        <f t="shared" si="935"/>
        <v>0</v>
      </c>
      <c r="CG454" t="b">
        <f t="shared" si="936"/>
        <v>0</v>
      </c>
      <c r="CH454" t="b">
        <f t="shared" si="937"/>
        <v>0</v>
      </c>
      <c r="CI454" t="b">
        <f t="shared" si="938"/>
        <v>0</v>
      </c>
      <c r="CJ454" t="b">
        <f t="shared" si="939"/>
        <v>0</v>
      </c>
      <c r="CK454" t="b">
        <f t="shared" si="940"/>
        <v>0</v>
      </c>
      <c r="CL454" t="b">
        <f t="shared" si="941"/>
        <v>0</v>
      </c>
      <c r="CM454">
        <f t="shared" si="942"/>
        <v>1</v>
      </c>
      <c r="CN454" t="b">
        <f t="shared" si="943"/>
        <v>0</v>
      </c>
      <c r="CO454" t="b">
        <f t="shared" si="944"/>
        <v>0</v>
      </c>
      <c r="CP454" t="b">
        <f t="shared" si="945"/>
        <v>0</v>
      </c>
      <c r="CQ454" t="b">
        <f t="shared" si="946"/>
        <v>0</v>
      </c>
      <c r="CR454" t="b">
        <f t="shared" si="947"/>
        <v>0</v>
      </c>
      <c r="CS454" t="b">
        <f t="shared" si="948"/>
        <v>0</v>
      </c>
      <c r="CT454" t="b">
        <f t="shared" si="949"/>
        <v>0</v>
      </c>
      <c r="CU454" t="b">
        <f t="shared" si="950"/>
        <v>0</v>
      </c>
      <c r="CV454">
        <f t="shared" si="951"/>
        <v>1</v>
      </c>
      <c r="CW454" t="b">
        <f t="shared" si="952"/>
        <v>0</v>
      </c>
      <c r="CX454" t="b">
        <f t="shared" si="953"/>
        <v>0</v>
      </c>
      <c r="CY454" t="b">
        <f t="shared" si="954"/>
        <v>0</v>
      </c>
      <c r="CZ454" t="b">
        <f t="shared" si="955"/>
        <v>0</v>
      </c>
      <c r="DA454" t="b">
        <f t="shared" si="956"/>
        <v>0</v>
      </c>
      <c r="DB454" t="b">
        <f t="shared" si="957"/>
        <v>0</v>
      </c>
      <c r="DC454" t="b">
        <f t="shared" si="958"/>
        <v>0</v>
      </c>
      <c r="DD454" t="b">
        <f t="shared" si="959"/>
        <v>0</v>
      </c>
      <c r="DE454" t="b">
        <f t="shared" si="960"/>
        <v>0</v>
      </c>
      <c r="DF454" t="b">
        <f t="shared" si="961"/>
        <v>0</v>
      </c>
      <c r="DG454" t="b">
        <f t="shared" si="962"/>
        <v>0</v>
      </c>
      <c r="DH454" t="b">
        <f t="shared" si="963"/>
        <v>0</v>
      </c>
      <c r="DI454" t="b">
        <f t="shared" si="964"/>
        <v>0</v>
      </c>
      <c r="DJ454" t="b">
        <f t="shared" si="965"/>
        <v>0</v>
      </c>
      <c r="DK454" t="b">
        <f t="shared" si="966"/>
        <v>0</v>
      </c>
      <c r="DL454" t="b">
        <f t="shared" si="967"/>
        <v>0</v>
      </c>
      <c r="DM454" t="b">
        <f t="shared" si="968"/>
        <v>0</v>
      </c>
      <c r="DN454" t="b">
        <f t="shared" si="969"/>
        <v>0</v>
      </c>
      <c r="DO454" t="b">
        <f t="shared" si="970"/>
        <v>0</v>
      </c>
      <c r="DP454" t="b">
        <f t="shared" si="971"/>
        <v>0</v>
      </c>
      <c r="DQ454" t="b">
        <f t="shared" si="972"/>
        <v>0</v>
      </c>
      <c r="DR454" t="b">
        <f t="shared" si="973"/>
        <v>0</v>
      </c>
      <c r="DS454" t="b">
        <f t="shared" si="974"/>
        <v>0</v>
      </c>
      <c r="DT454" t="b">
        <f t="shared" si="975"/>
        <v>0</v>
      </c>
      <c r="DU454" t="b">
        <f t="shared" si="976"/>
        <v>0</v>
      </c>
      <c r="DV454" t="b">
        <f t="shared" si="977"/>
        <v>0</v>
      </c>
      <c r="DW454" t="b">
        <f t="shared" si="978"/>
        <v>0</v>
      </c>
      <c r="DX454" t="b">
        <f t="shared" si="979"/>
        <v>0</v>
      </c>
      <c r="DY454" t="b">
        <f t="shared" si="980"/>
        <v>0</v>
      </c>
      <c r="DZ454" t="b">
        <f t="shared" si="981"/>
        <v>0</v>
      </c>
      <c r="EA454" t="b">
        <f t="shared" si="982"/>
        <v>0</v>
      </c>
      <c r="EB454" t="b">
        <f t="shared" si="983"/>
        <v>0</v>
      </c>
      <c r="EC454" t="b">
        <f t="shared" si="984"/>
        <v>0</v>
      </c>
      <c r="ED454" t="b">
        <f t="shared" si="985"/>
        <v>0</v>
      </c>
      <c r="EE454" t="b">
        <f t="shared" si="986"/>
        <v>0</v>
      </c>
      <c r="EF454" t="b">
        <f t="shared" si="987"/>
        <v>0</v>
      </c>
      <c r="EG454" t="b">
        <f t="shared" si="988"/>
        <v>0</v>
      </c>
      <c r="EH454" t="b">
        <f t="shared" si="989"/>
        <v>0</v>
      </c>
      <c r="EI454" t="b">
        <f t="shared" si="990"/>
        <v>0</v>
      </c>
      <c r="EJ454" t="b">
        <f t="shared" si="991"/>
        <v>0</v>
      </c>
      <c r="EK454" t="b">
        <f t="shared" si="992"/>
        <v>0</v>
      </c>
    </row>
    <row r="455" spans="1:141">
      <c r="A455" t="s">
        <v>2325</v>
      </c>
      <c r="B455" t="s">
        <v>2325</v>
      </c>
      <c r="C455" t="s">
        <v>2326</v>
      </c>
      <c r="D455" s="1">
        <v>44473</v>
      </c>
      <c r="E455" s="2">
        <v>44550.108425925922</v>
      </c>
      <c r="F455" s="2">
        <v>44550.123495370368</v>
      </c>
      <c r="G455">
        <v>49591</v>
      </c>
      <c r="H455" t="s">
        <v>2327</v>
      </c>
      <c r="I455" s="10" t="s">
        <v>2328</v>
      </c>
      <c r="J455" t="s">
        <v>2329</v>
      </c>
      <c r="K455" s="8" t="b">
        <v>1</v>
      </c>
      <c r="L455" s="10" t="b">
        <v>0</v>
      </c>
      <c r="M455" s="12" t="b">
        <v>0</v>
      </c>
      <c r="N455" t="b">
        <v>0</v>
      </c>
      <c r="O455" t="b">
        <v>0</v>
      </c>
      <c r="P455" t="b">
        <v>0</v>
      </c>
      <c r="Q455">
        <f t="shared" si="869"/>
        <v>2</v>
      </c>
      <c r="R455">
        <f t="shared" si="870"/>
        <v>10</v>
      </c>
      <c r="S455" t="e">
        <f t="shared" ca="1" si="900"/>
        <v>#NAME?</v>
      </c>
      <c r="T455" t="e">
        <f t="shared" ca="1" si="871"/>
        <v>#NAME?</v>
      </c>
      <c r="U455" s="4">
        <f t="shared" si="872"/>
        <v>77.108425925922347</v>
      </c>
      <c r="V455" s="4">
        <f t="shared" si="873"/>
        <v>2.5702808641974118</v>
      </c>
      <c r="W455" s="4">
        <f t="shared" si="874"/>
        <v>1</v>
      </c>
      <c r="X455" s="4">
        <f t="shared" si="875"/>
        <v>0</v>
      </c>
      <c r="Y455" s="4">
        <f t="shared" si="876"/>
        <v>0</v>
      </c>
      <c r="Z455" s="4">
        <f t="shared" si="877"/>
        <v>0</v>
      </c>
      <c r="AA455" s="4">
        <f t="shared" si="878"/>
        <v>0</v>
      </c>
      <c r="AB455" s="4">
        <f t="shared" si="879"/>
        <v>0</v>
      </c>
      <c r="AC455" s="4"/>
      <c r="AD455" s="4" t="b">
        <f t="shared" si="880"/>
        <v>0</v>
      </c>
      <c r="AE455" s="4" t="b">
        <f t="shared" si="881"/>
        <v>0</v>
      </c>
      <c r="AF455" s="4" t="b">
        <f t="shared" si="882"/>
        <v>0</v>
      </c>
      <c r="AG455" t="b">
        <f t="shared" si="883"/>
        <v>0</v>
      </c>
      <c r="AH455" t="b">
        <f t="shared" si="884"/>
        <v>0</v>
      </c>
      <c r="AI455" t="b">
        <f t="shared" si="885"/>
        <v>0</v>
      </c>
      <c r="AJ455" t="b">
        <f t="shared" si="886"/>
        <v>0</v>
      </c>
      <c r="AK455" t="b">
        <f t="shared" si="887"/>
        <v>0</v>
      </c>
      <c r="AL455" t="b">
        <f t="shared" si="888"/>
        <v>0</v>
      </c>
      <c r="AM455" t="b">
        <f t="shared" si="889"/>
        <v>0</v>
      </c>
      <c r="AN455" t="b">
        <f t="shared" si="890"/>
        <v>0</v>
      </c>
      <c r="AO455" t="b">
        <f t="shared" si="891"/>
        <v>0</v>
      </c>
      <c r="AP455" t="b">
        <f t="shared" si="892"/>
        <v>0</v>
      </c>
      <c r="AQ455" t="b">
        <f t="shared" si="893"/>
        <v>0</v>
      </c>
      <c r="AR455" t="b">
        <f t="shared" si="894"/>
        <v>0</v>
      </c>
      <c r="AS455" t="b">
        <f t="shared" si="895"/>
        <v>0</v>
      </c>
      <c r="AT455" t="b">
        <f t="shared" si="896"/>
        <v>0</v>
      </c>
      <c r="AU455" t="b">
        <f t="shared" si="897"/>
        <v>0</v>
      </c>
      <c r="AV455" t="b">
        <f t="shared" si="898"/>
        <v>0</v>
      </c>
      <c r="AW455" t="b">
        <f t="shared" si="899"/>
        <v>0</v>
      </c>
      <c r="AX455" t="b">
        <f t="shared" si="901"/>
        <v>0</v>
      </c>
      <c r="AY455" t="b">
        <f t="shared" si="902"/>
        <v>0</v>
      </c>
      <c r="AZ455" t="b">
        <f t="shared" si="903"/>
        <v>0</v>
      </c>
      <c r="BA455" t="b">
        <f t="shared" si="904"/>
        <v>0</v>
      </c>
      <c r="BB455" t="b">
        <f t="shared" si="905"/>
        <v>0</v>
      </c>
      <c r="BC455" t="b">
        <f t="shared" si="906"/>
        <v>0</v>
      </c>
      <c r="BD455" t="b">
        <f t="shared" si="907"/>
        <v>0</v>
      </c>
      <c r="BE455" t="b">
        <f t="shared" si="908"/>
        <v>0</v>
      </c>
      <c r="BF455" t="b">
        <f t="shared" si="909"/>
        <v>0</v>
      </c>
      <c r="BG455" t="b">
        <f t="shared" si="910"/>
        <v>0</v>
      </c>
      <c r="BH455" t="b">
        <f t="shared" si="911"/>
        <v>0</v>
      </c>
      <c r="BI455">
        <f t="shared" si="912"/>
        <v>1</v>
      </c>
      <c r="BJ455" t="b">
        <f t="shared" si="913"/>
        <v>0</v>
      </c>
      <c r="BK455" t="b">
        <f t="shared" si="914"/>
        <v>0</v>
      </c>
      <c r="BL455" t="b">
        <f t="shared" si="915"/>
        <v>0</v>
      </c>
      <c r="BM455" t="b">
        <f t="shared" si="916"/>
        <v>0</v>
      </c>
      <c r="BN455" t="b">
        <f t="shared" si="917"/>
        <v>0</v>
      </c>
      <c r="BO455" t="b">
        <f t="shared" si="918"/>
        <v>0</v>
      </c>
      <c r="BP455" t="b">
        <f t="shared" si="919"/>
        <v>0</v>
      </c>
      <c r="BQ455" t="b">
        <f t="shared" si="920"/>
        <v>0</v>
      </c>
      <c r="BR455">
        <f t="shared" si="921"/>
        <v>1</v>
      </c>
      <c r="BS455" t="b">
        <f t="shared" si="922"/>
        <v>0</v>
      </c>
      <c r="BT455" t="b">
        <f t="shared" si="923"/>
        <v>0</v>
      </c>
      <c r="BU455" t="b">
        <f t="shared" si="924"/>
        <v>0</v>
      </c>
      <c r="BV455" t="b">
        <f t="shared" si="925"/>
        <v>0</v>
      </c>
      <c r="BW455" t="b">
        <f t="shared" si="926"/>
        <v>0</v>
      </c>
      <c r="BX455" t="b">
        <f t="shared" si="927"/>
        <v>0</v>
      </c>
      <c r="BY455" t="b">
        <f t="shared" si="928"/>
        <v>0</v>
      </c>
      <c r="BZ455" t="b">
        <f t="shared" si="929"/>
        <v>0</v>
      </c>
      <c r="CA455" t="b">
        <f t="shared" si="930"/>
        <v>0</v>
      </c>
      <c r="CB455" t="b">
        <f t="shared" si="931"/>
        <v>0</v>
      </c>
      <c r="CC455" t="b">
        <f t="shared" si="932"/>
        <v>0</v>
      </c>
      <c r="CD455" t="b">
        <f t="shared" si="933"/>
        <v>0</v>
      </c>
      <c r="CE455" t="b">
        <f t="shared" si="934"/>
        <v>0</v>
      </c>
      <c r="CF455" t="b">
        <f t="shared" si="935"/>
        <v>0</v>
      </c>
      <c r="CG455" t="b">
        <f t="shared" si="936"/>
        <v>0</v>
      </c>
      <c r="CH455" t="b">
        <f t="shared" si="937"/>
        <v>0</v>
      </c>
      <c r="CI455" t="b">
        <f t="shared" si="938"/>
        <v>0</v>
      </c>
      <c r="CJ455" t="b">
        <f t="shared" si="939"/>
        <v>0</v>
      </c>
      <c r="CK455">
        <f t="shared" si="940"/>
        <v>1</v>
      </c>
      <c r="CL455" t="b">
        <f t="shared" si="941"/>
        <v>0</v>
      </c>
      <c r="CM455">
        <f t="shared" si="942"/>
        <v>1</v>
      </c>
      <c r="CN455">
        <f t="shared" si="943"/>
        <v>1</v>
      </c>
      <c r="CO455" t="b">
        <f t="shared" si="944"/>
        <v>0</v>
      </c>
      <c r="CP455" t="b">
        <f t="shared" si="945"/>
        <v>0</v>
      </c>
      <c r="CQ455" t="b">
        <f t="shared" si="946"/>
        <v>0</v>
      </c>
      <c r="CR455" t="b">
        <f t="shared" si="947"/>
        <v>0</v>
      </c>
      <c r="CS455" t="b">
        <f t="shared" si="948"/>
        <v>0</v>
      </c>
      <c r="CT455" t="b">
        <f t="shared" si="949"/>
        <v>0</v>
      </c>
      <c r="CU455">
        <f t="shared" si="950"/>
        <v>1</v>
      </c>
      <c r="CV455">
        <f t="shared" si="951"/>
        <v>1</v>
      </c>
      <c r="CW455" t="b">
        <f t="shared" si="952"/>
        <v>0</v>
      </c>
      <c r="CX455" t="b">
        <f t="shared" si="953"/>
        <v>0</v>
      </c>
      <c r="CY455" t="b">
        <f t="shared" si="954"/>
        <v>0</v>
      </c>
      <c r="CZ455" t="b">
        <f t="shared" si="955"/>
        <v>0</v>
      </c>
      <c r="DA455">
        <f t="shared" si="956"/>
        <v>1</v>
      </c>
      <c r="DB455">
        <f t="shared" si="957"/>
        <v>1</v>
      </c>
      <c r="DC455" t="b">
        <f t="shared" si="958"/>
        <v>0</v>
      </c>
      <c r="DD455" t="b">
        <f t="shared" si="959"/>
        <v>0</v>
      </c>
      <c r="DE455" t="b">
        <f t="shared" si="960"/>
        <v>0</v>
      </c>
      <c r="DF455" t="b">
        <f t="shared" si="961"/>
        <v>0</v>
      </c>
      <c r="DG455" t="b">
        <f t="shared" si="962"/>
        <v>0</v>
      </c>
      <c r="DH455" t="b">
        <f t="shared" si="963"/>
        <v>0</v>
      </c>
      <c r="DI455" t="b">
        <f t="shared" si="964"/>
        <v>0</v>
      </c>
      <c r="DJ455" t="b">
        <f t="shared" si="965"/>
        <v>0</v>
      </c>
      <c r="DK455" t="b">
        <f t="shared" si="966"/>
        <v>0</v>
      </c>
      <c r="DL455" t="b">
        <f t="shared" si="967"/>
        <v>0</v>
      </c>
      <c r="DM455" t="b">
        <f t="shared" si="968"/>
        <v>0</v>
      </c>
      <c r="DN455" t="b">
        <f t="shared" si="969"/>
        <v>0</v>
      </c>
      <c r="DO455" t="b">
        <f t="shared" si="970"/>
        <v>0</v>
      </c>
      <c r="DP455" t="b">
        <f t="shared" si="971"/>
        <v>0</v>
      </c>
      <c r="DQ455">
        <f t="shared" si="972"/>
        <v>1</v>
      </c>
      <c r="DR455" t="b">
        <f t="shared" si="973"/>
        <v>0</v>
      </c>
      <c r="DS455" t="b">
        <f t="shared" si="974"/>
        <v>0</v>
      </c>
      <c r="DT455" t="b">
        <f t="shared" si="975"/>
        <v>0</v>
      </c>
      <c r="DU455" t="b">
        <f t="shared" si="976"/>
        <v>0</v>
      </c>
      <c r="DV455" t="b">
        <f t="shared" si="977"/>
        <v>0</v>
      </c>
      <c r="DW455" t="b">
        <f t="shared" si="978"/>
        <v>0</v>
      </c>
      <c r="DX455" t="b">
        <f t="shared" si="979"/>
        <v>0</v>
      </c>
      <c r="DY455" t="b">
        <f t="shared" si="980"/>
        <v>0</v>
      </c>
      <c r="DZ455" t="b">
        <f t="shared" si="981"/>
        <v>0</v>
      </c>
      <c r="EA455" t="b">
        <f t="shared" si="982"/>
        <v>0</v>
      </c>
      <c r="EB455" t="b">
        <f t="shared" si="983"/>
        <v>0</v>
      </c>
      <c r="EC455" t="b">
        <f t="shared" si="984"/>
        <v>0</v>
      </c>
      <c r="ED455" t="b">
        <f t="shared" si="985"/>
        <v>0</v>
      </c>
      <c r="EE455" t="b">
        <f t="shared" si="986"/>
        <v>0</v>
      </c>
      <c r="EF455" t="b">
        <f t="shared" si="987"/>
        <v>0</v>
      </c>
      <c r="EG455" t="b">
        <f t="shared" si="988"/>
        <v>0</v>
      </c>
      <c r="EH455" t="b">
        <f t="shared" si="989"/>
        <v>0</v>
      </c>
      <c r="EI455" t="b">
        <f t="shared" si="990"/>
        <v>0</v>
      </c>
      <c r="EJ455" t="b">
        <f t="shared" si="991"/>
        <v>0</v>
      </c>
      <c r="EK455" t="b">
        <f t="shared" si="992"/>
        <v>0</v>
      </c>
    </row>
    <row r="456" spans="1:141">
      <c r="A456" t="s">
        <v>2330</v>
      </c>
      <c r="B456" t="s">
        <v>2330</v>
      </c>
      <c r="C456" t="s">
        <v>2331</v>
      </c>
      <c r="D456" s="1">
        <v>42186</v>
      </c>
      <c r="E456" s="2">
        <v>42407.197789351849</v>
      </c>
      <c r="F456" s="2">
        <v>42407.197789351849</v>
      </c>
      <c r="G456">
        <v>447410</v>
      </c>
      <c r="H456" t="s">
        <v>2332</v>
      </c>
      <c r="I456" s="10" t="s">
        <v>2333</v>
      </c>
      <c r="J456" t="s">
        <v>188</v>
      </c>
      <c r="K456" s="8" t="b">
        <v>1</v>
      </c>
      <c r="L456" s="10" t="b">
        <v>0</v>
      </c>
      <c r="M456" s="12" t="b">
        <v>0</v>
      </c>
      <c r="N456" t="b">
        <v>0</v>
      </c>
      <c r="O456" t="b">
        <v>0</v>
      </c>
      <c r="P456" t="b">
        <v>0</v>
      </c>
      <c r="Q456">
        <f t="shared" si="869"/>
        <v>4</v>
      </c>
      <c r="R456">
        <f t="shared" si="870"/>
        <v>7</v>
      </c>
      <c r="S456" t="e">
        <f t="shared" ca="1" si="900"/>
        <v>#NAME?</v>
      </c>
      <c r="T456" t="e">
        <f t="shared" ca="1" si="871"/>
        <v>#NAME?</v>
      </c>
      <c r="U456" s="4">
        <f t="shared" si="872"/>
        <v>221.19778935184877</v>
      </c>
      <c r="V456" s="4">
        <f t="shared" si="873"/>
        <v>7.3732596450616255</v>
      </c>
      <c r="W456" s="4">
        <f t="shared" si="874"/>
        <v>1</v>
      </c>
      <c r="X456" s="4">
        <f t="shared" si="875"/>
        <v>0</v>
      </c>
      <c r="Y456" s="4">
        <f t="shared" si="876"/>
        <v>0</v>
      </c>
      <c r="Z456" s="4">
        <f t="shared" si="877"/>
        <v>0</v>
      </c>
      <c r="AA456" s="4">
        <f t="shared" si="878"/>
        <v>0</v>
      </c>
      <c r="AB456" s="4">
        <f t="shared" si="879"/>
        <v>0</v>
      </c>
      <c r="AC456" s="4"/>
      <c r="AD456" s="4" t="b">
        <f t="shared" si="880"/>
        <v>0</v>
      </c>
      <c r="AE456" s="4" t="b">
        <f t="shared" si="881"/>
        <v>0</v>
      </c>
      <c r="AF456" s="4" t="b">
        <f t="shared" si="882"/>
        <v>0</v>
      </c>
      <c r="AG456" t="b">
        <f t="shared" si="883"/>
        <v>0</v>
      </c>
      <c r="AH456" t="b">
        <f t="shared" si="884"/>
        <v>0</v>
      </c>
      <c r="AI456" t="b">
        <f t="shared" si="885"/>
        <v>0</v>
      </c>
      <c r="AJ456" t="b">
        <f t="shared" si="886"/>
        <v>0</v>
      </c>
      <c r="AK456" t="b">
        <f t="shared" si="887"/>
        <v>0</v>
      </c>
      <c r="AL456" t="b">
        <f t="shared" si="888"/>
        <v>0</v>
      </c>
      <c r="AM456" t="b">
        <f t="shared" si="889"/>
        <v>0</v>
      </c>
      <c r="AN456" t="b">
        <f t="shared" si="890"/>
        <v>0</v>
      </c>
      <c r="AO456" t="b">
        <f t="shared" si="891"/>
        <v>0</v>
      </c>
      <c r="AP456" t="b">
        <f t="shared" si="892"/>
        <v>0</v>
      </c>
      <c r="AQ456" t="b">
        <f t="shared" si="893"/>
        <v>0</v>
      </c>
      <c r="AR456" t="b">
        <f t="shared" si="894"/>
        <v>0</v>
      </c>
      <c r="AS456" t="b">
        <f t="shared" si="895"/>
        <v>0</v>
      </c>
      <c r="AT456" t="b">
        <f t="shared" si="896"/>
        <v>0</v>
      </c>
      <c r="AU456" t="b">
        <f t="shared" si="897"/>
        <v>0</v>
      </c>
      <c r="AV456" t="b">
        <f t="shared" si="898"/>
        <v>0</v>
      </c>
      <c r="AW456" t="b">
        <f t="shared" si="899"/>
        <v>0</v>
      </c>
      <c r="AX456" t="b">
        <f t="shared" si="901"/>
        <v>0</v>
      </c>
      <c r="AY456" t="b">
        <f t="shared" si="902"/>
        <v>0</v>
      </c>
      <c r="AZ456" t="b">
        <f t="shared" si="903"/>
        <v>0</v>
      </c>
      <c r="BA456" t="b">
        <f t="shared" si="904"/>
        <v>0</v>
      </c>
      <c r="BB456" t="b">
        <f t="shared" si="905"/>
        <v>0</v>
      </c>
      <c r="BC456" t="b">
        <f t="shared" si="906"/>
        <v>0</v>
      </c>
      <c r="BD456" t="b">
        <f t="shared" si="907"/>
        <v>0</v>
      </c>
      <c r="BE456" t="b">
        <f t="shared" si="908"/>
        <v>0</v>
      </c>
      <c r="BF456" t="b">
        <f t="shared" si="909"/>
        <v>0</v>
      </c>
      <c r="BG456" t="b">
        <f t="shared" si="910"/>
        <v>0</v>
      </c>
      <c r="BH456" t="b">
        <f t="shared" si="911"/>
        <v>0</v>
      </c>
      <c r="BI456">
        <f t="shared" si="912"/>
        <v>1</v>
      </c>
      <c r="BJ456" t="b">
        <f t="shared" si="913"/>
        <v>0</v>
      </c>
      <c r="BK456" t="b">
        <f t="shared" si="914"/>
        <v>0</v>
      </c>
      <c r="BL456" t="b">
        <f t="shared" si="915"/>
        <v>0</v>
      </c>
      <c r="BM456" t="b">
        <f t="shared" si="916"/>
        <v>0</v>
      </c>
      <c r="BN456" t="b">
        <f t="shared" si="917"/>
        <v>0</v>
      </c>
      <c r="BO456" t="b">
        <f t="shared" si="918"/>
        <v>0</v>
      </c>
      <c r="BP456" t="b">
        <f t="shared" si="919"/>
        <v>0</v>
      </c>
      <c r="BQ456" t="b">
        <f t="shared" si="920"/>
        <v>0</v>
      </c>
      <c r="BR456" t="b">
        <f t="shared" si="921"/>
        <v>0</v>
      </c>
      <c r="BS456" t="b">
        <f t="shared" si="922"/>
        <v>0</v>
      </c>
      <c r="BT456" t="b">
        <f t="shared" si="923"/>
        <v>0</v>
      </c>
      <c r="BU456" t="b">
        <f t="shared" si="924"/>
        <v>0</v>
      </c>
      <c r="BV456" t="b">
        <f t="shared" si="925"/>
        <v>0</v>
      </c>
      <c r="BW456" t="b">
        <f t="shared" si="926"/>
        <v>0</v>
      </c>
      <c r="BX456" t="b">
        <f t="shared" si="927"/>
        <v>0</v>
      </c>
      <c r="BY456" t="b">
        <f t="shared" si="928"/>
        <v>0</v>
      </c>
      <c r="BZ456" t="b">
        <f t="shared" si="929"/>
        <v>0</v>
      </c>
      <c r="CA456" t="b">
        <f t="shared" si="930"/>
        <v>0</v>
      </c>
      <c r="CB456" t="b">
        <f t="shared" si="931"/>
        <v>0</v>
      </c>
      <c r="CC456" t="b">
        <f t="shared" si="932"/>
        <v>0</v>
      </c>
      <c r="CD456" t="b">
        <f t="shared" si="933"/>
        <v>0</v>
      </c>
      <c r="CE456">
        <f t="shared" si="934"/>
        <v>1</v>
      </c>
      <c r="CF456" t="b">
        <f t="shared" si="935"/>
        <v>0</v>
      </c>
      <c r="CG456" t="b">
        <f t="shared" si="936"/>
        <v>0</v>
      </c>
      <c r="CH456" t="b">
        <f t="shared" si="937"/>
        <v>0</v>
      </c>
      <c r="CI456" t="b">
        <f t="shared" si="938"/>
        <v>0</v>
      </c>
      <c r="CJ456" t="b">
        <f t="shared" si="939"/>
        <v>0</v>
      </c>
      <c r="CK456" t="b">
        <f t="shared" si="940"/>
        <v>0</v>
      </c>
      <c r="CL456" t="b">
        <f t="shared" si="941"/>
        <v>0</v>
      </c>
      <c r="CM456" t="b">
        <f t="shared" si="942"/>
        <v>0</v>
      </c>
      <c r="CN456" t="b">
        <f t="shared" si="943"/>
        <v>0</v>
      </c>
      <c r="CO456" t="b">
        <f t="shared" si="944"/>
        <v>0</v>
      </c>
      <c r="CP456" t="b">
        <f t="shared" si="945"/>
        <v>0</v>
      </c>
      <c r="CQ456" t="b">
        <f t="shared" si="946"/>
        <v>0</v>
      </c>
      <c r="CR456" t="b">
        <f t="shared" si="947"/>
        <v>0</v>
      </c>
      <c r="CS456" t="b">
        <f t="shared" si="948"/>
        <v>0</v>
      </c>
      <c r="CT456" t="b">
        <f t="shared" si="949"/>
        <v>0</v>
      </c>
      <c r="CU456" t="b">
        <f t="shared" si="950"/>
        <v>0</v>
      </c>
      <c r="CV456">
        <f t="shared" si="951"/>
        <v>1</v>
      </c>
      <c r="CW456" t="b">
        <f t="shared" si="952"/>
        <v>0</v>
      </c>
      <c r="CX456" t="b">
        <f t="shared" si="953"/>
        <v>0</v>
      </c>
      <c r="CY456" t="b">
        <f t="shared" si="954"/>
        <v>0</v>
      </c>
      <c r="CZ456" t="b">
        <f t="shared" si="955"/>
        <v>0</v>
      </c>
      <c r="DA456" t="b">
        <f t="shared" si="956"/>
        <v>0</v>
      </c>
      <c r="DB456" t="b">
        <f t="shared" si="957"/>
        <v>0</v>
      </c>
      <c r="DC456" t="b">
        <f t="shared" si="958"/>
        <v>0</v>
      </c>
      <c r="DD456" t="b">
        <f t="shared" si="959"/>
        <v>0</v>
      </c>
      <c r="DE456" t="b">
        <f t="shared" si="960"/>
        <v>0</v>
      </c>
      <c r="DF456" t="b">
        <f t="shared" si="961"/>
        <v>0</v>
      </c>
      <c r="DG456" t="b">
        <f t="shared" si="962"/>
        <v>0</v>
      </c>
      <c r="DH456" t="b">
        <f t="shared" si="963"/>
        <v>0</v>
      </c>
      <c r="DI456" t="b">
        <f t="shared" si="964"/>
        <v>0</v>
      </c>
      <c r="DJ456" t="b">
        <f t="shared" si="965"/>
        <v>0</v>
      </c>
      <c r="DK456" t="b">
        <f t="shared" si="966"/>
        <v>0</v>
      </c>
      <c r="DL456" t="b">
        <f t="shared" si="967"/>
        <v>0</v>
      </c>
      <c r="DM456" t="b">
        <f t="shared" si="968"/>
        <v>0</v>
      </c>
      <c r="DN456" t="b">
        <f t="shared" si="969"/>
        <v>0</v>
      </c>
      <c r="DO456" t="b">
        <f t="shared" si="970"/>
        <v>0</v>
      </c>
      <c r="DP456" t="b">
        <f t="shared" si="971"/>
        <v>0</v>
      </c>
      <c r="DQ456" t="b">
        <f t="shared" si="972"/>
        <v>0</v>
      </c>
      <c r="DR456" t="b">
        <f t="shared" si="973"/>
        <v>0</v>
      </c>
      <c r="DS456" t="b">
        <f t="shared" si="974"/>
        <v>0</v>
      </c>
      <c r="DT456" t="b">
        <f t="shared" si="975"/>
        <v>0</v>
      </c>
      <c r="DU456" t="b">
        <f t="shared" si="976"/>
        <v>0</v>
      </c>
      <c r="DV456" t="b">
        <f t="shared" si="977"/>
        <v>0</v>
      </c>
      <c r="DW456" t="b">
        <f t="shared" si="978"/>
        <v>0</v>
      </c>
      <c r="DX456" t="b">
        <f t="shared" si="979"/>
        <v>0</v>
      </c>
      <c r="DY456" t="b">
        <f t="shared" si="980"/>
        <v>0</v>
      </c>
      <c r="DZ456" t="b">
        <f t="shared" si="981"/>
        <v>0</v>
      </c>
      <c r="EA456" t="b">
        <f t="shared" si="982"/>
        <v>0</v>
      </c>
      <c r="EB456" t="b">
        <f t="shared" si="983"/>
        <v>0</v>
      </c>
      <c r="EC456" t="b">
        <f t="shared" si="984"/>
        <v>0</v>
      </c>
      <c r="ED456" t="b">
        <f t="shared" si="985"/>
        <v>0</v>
      </c>
      <c r="EE456" t="b">
        <f t="shared" si="986"/>
        <v>0</v>
      </c>
      <c r="EF456">
        <f t="shared" si="987"/>
        <v>1</v>
      </c>
      <c r="EG456" t="b">
        <f t="shared" si="988"/>
        <v>0</v>
      </c>
      <c r="EH456" t="b">
        <f t="shared" si="989"/>
        <v>0</v>
      </c>
      <c r="EI456" t="b">
        <f t="shared" si="990"/>
        <v>0</v>
      </c>
      <c r="EJ456" t="b">
        <f t="shared" si="991"/>
        <v>0</v>
      </c>
      <c r="EK456" t="b">
        <f t="shared" si="992"/>
        <v>0</v>
      </c>
    </row>
    <row r="457" spans="1:141">
      <c r="A457" t="s">
        <v>2334</v>
      </c>
      <c r="B457" t="s">
        <v>2335</v>
      </c>
      <c r="C457" t="s">
        <v>2336</v>
      </c>
      <c r="D457" s="1">
        <v>42272</v>
      </c>
      <c r="E457" s="2">
        <v>42764.311377314814</v>
      </c>
      <c r="F457" s="2">
        <v>42764.311377314814</v>
      </c>
      <c r="G457">
        <v>1274070</v>
      </c>
      <c r="H457" t="s">
        <v>2337</v>
      </c>
      <c r="I457" s="10" t="s">
        <v>2338</v>
      </c>
      <c r="J457" t="s">
        <v>188</v>
      </c>
      <c r="K457" s="8" t="b">
        <v>1</v>
      </c>
      <c r="L457" s="10" t="b">
        <v>0</v>
      </c>
      <c r="M457" s="12" t="b">
        <v>0</v>
      </c>
      <c r="N457" t="b">
        <v>0</v>
      </c>
      <c r="O457" t="b">
        <v>0</v>
      </c>
      <c r="P457" t="b">
        <v>0</v>
      </c>
      <c r="Q457">
        <f t="shared" si="869"/>
        <v>6</v>
      </c>
      <c r="R457">
        <f t="shared" si="870"/>
        <v>9</v>
      </c>
      <c r="S457" t="e">
        <f t="shared" ca="1" si="900"/>
        <v>#NAME?</v>
      </c>
      <c r="T457" t="e">
        <f t="shared" ca="1" si="871"/>
        <v>#NAME?</v>
      </c>
      <c r="U457" s="4">
        <f t="shared" si="872"/>
        <v>492.31137731481431</v>
      </c>
      <c r="V457" s="4">
        <f t="shared" si="873"/>
        <v>16.410379243827144</v>
      </c>
      <c r="W457" s="4">
        <f t="shared" si="874"/>
        <v>1</v>
      </c>
      <c r="X457" s="4">
        <f t="shared" si="875"/>
        <v>0</v>
      </c>
      <c r="Y457" s="4">
        <f t="shared" si="876"/>
        <v>0</v>
      </c>
      <c r="Z457" s="4">
        <f t="shared" si="877"/>
        <v>0</v>
      </c>
      <c r="AA457" s="4">
        <f t="shared" si="878"/>
        <v>0</v>
      </c>
      <c r="AB457" s="4">
        <f t="shared" si="879"/>
        <v>0</v>
      </c>
      <c r="AC457" s="4"/>
      <c r="AD457" s="4" t="b">
        <f t="shared" si="880"/>
        <v>0</v>
      </c>
      <c r="AE457" s="4" t="b">
        <f t="shared" si="881"/>
        <v>0</v>
      </c>
      <c r="AF457" s="4" t="b">
        <f t="shared" si="882"/>
        <v>0</v>
      </c>
      <c r="AG457" t="b">
        <f t="shared" si="883"/>
        <v>0</v>
      </c>
      <c r="AH457" t="b">
        <f t="shared" si="884"/>
        <v>0</v>
      </c>
      <c r="AI457" t="b">
        <f t="shared" si="885"/>
        <v>0</v>
      </c>
      <c r="AJ457" t="b">
        <f t="shared" si="886"/>
        <v>0</v>
      </c>
      <c r="AK457" t="b">
        <f t="shared" si="887"/>
        <v>0</v>
      </c>
      <c r="AL457" t="b">
        <f t="shared" si="888"/>
        <v>0</v>
      </c>
      <c r="AM457" t="b">
        <f t="shared" si="889"/>
        <v>0</v>
      </c>
      <c r="AN457" t="b">
        <f t="shared" si="890"/>
        <v>0</v>
      </c>
      <c r="AO457" t="b">
        <f t="shared" si="891"/>
        <v>0</v>
      </c>
      <c r="AP457" t="b">
        <f t="shared" si="892"/>
        <v>0</v>
      </c>
      <c r="AQ457" t="b">
        <f t="shared" si="893"/>
        <v>0</v>
      </c>
      <c r="AR457" t="b">
        <f t="shared" si="894"/>
        <v>0</v>
      </c>
      <c r="AS457" t="b">
        <f t="shared" si="895"/>
        <v>0</v>
      </c>
      <c r="AT457" t="b">
        <f t="shared" si="896"/>
        <v>0</v>
      </c>
      <c r="AU457" t="b">
        <f t="shared" si="897"/>
        <v>0</v>
      </c>
      <c r="AV457" t="b">
        <f t="shared" si="898"/>
        <v>0</v>
      </c>
      <c r="AW457" t="b">
        <f t="shared" si="899"/>
        <v>0</v>
      </c>
      <c r="AX457" t="b">
        <f t="shared" si="901"/>
        <v>0</v>
      </c>
      <c r="AY457" t="b">
        <f t="shared" si="902"/>
        <v>0</v>
      </c>
      <c r="AZ457" t="b">
        <f t="shared" si="903"/>
        <v>0</v>
      </c>
      <c r="BA457" t="b">
        <f t="shared" si="904"/>
        <v>0</v>
      </c>
      <c r="BB457" t="b">
        <f t="shared" si="905"/>
        <v>0</v>
      </c>
      <c r="BC457" t="b">
        <f t="shared" si="906"/>
        <v>0</v>
      </c>
      <c r="BD457" t="b">
        <f t="shared" si="907"/>
        <v>0</v>
      </c>
      <c r="BE457" t="b">
        <f t="shared" si="908"/>
        <v>0</v>
      </c>
      <c r="BF457" t="b">
        <f t="shared" si="909"/>
        <v>0</v>
      </c>
      <c r="BG457" t="b">
        <f t="shared" si="910"/>
        <v>0</v>
      </c>
      <c r="BH457" t="b">
        <f t="shared" si="911"/>
        <v>0</v>
      </c>
      <c r="BI457">
        <f t="shared" si="912"/>
        <v>1</v>
      </c>
      <c r="BJ457" t="b">
        <f t="shared" si="913"/>
        <v>0</v>
      </c>
      <c r="BK457" t="b">
        <f t="shared" si="914"/>
        <v>0</v>
      </c>
      <c r="BL457" t="b">
        <f t="shared" si="915"/>
        <v>0</v>
      </c>
      <c r="BM457" t="b">
        <f t="shared" si="916"/>
        <v>0</v>
      </c>
      <c r="BN457" t="b">
        <f t="shared" si="917"/>
        <v>0</v>
      </c>
      <c r="BO457" t="b">
        <f t="shared" si="918"/>
        <v>0</v>
      </c>
      <c r="BP457" t="b">
        <f t="shared" si="919"/>
        <v>0</v>
      </c>
      <c r="BQ457" t="b">
        <f t="shared" si="920"/>
        <v>0</v>
      </c>
      <c r="BR457" t="b">
        <f t="shared" si="921"/>
        <v>0</v>
      </c>
      <c r="BS457" t="b">
        <f t="shared" si="922"/>
        <v>0</v>
      </c>
      <c r="BT457" t="b">
        <f t="shared" si="923"/>
        <v>0</v>
      </c>
      <c r="BU457" t="b">
        <f t="shared" si="924"/>
        <v>0</v>
      </c>
      <c r="BV457" t="b">
        <f t="shared" si="925"/>
        <v>0</v>
      </c>
      <c r="BW457" t="b">
        <f t="shared" si="926"/>
        <v>0</v>
      </c>
      <c r="BX457" t="b">
        <f t="shared" si="927"/>
        <v>0</v>
      </c>
      <c r="BY457" t="b">
        <f t="shared" si="928"/>
        <v>0</v>
      </c>
      <c r="BZ457" t="b">
        <f t="shared" si="929"/>
        <v>0</v>
      </c>
      <c r="CA457" t="b">
        <f t="shared" si="930"/>
        <v>0</v>
      </c>
      <c r="CB457" t="b">
        <f t="shared" si="931"/>
        <v>0</v>
      </c>
      <c r="CC457" t="b">
        <f t="shared" si="932"/>
        <v>0</v>
      </c>
      <c r="CD457" t="b">
        <f t="shared" si="933"/>
        <v>0</v>
      </c>
      <c r="CE457">
        <f t="shared" si="934"/>
        <v>1</v>
      </c>
      <c r="CF457" t="b">
        <f t="shared" si="935"/>
        <v>0</v>
      </c>
      <c r="CG457" t="b">
        <f t="shared" si="936"/>
        <v>0</v>
      </c>
      <c r="CH457" t="b">
        <f t="shared" si="937"/>
        <v>0</v>
      </c>
      <c r="CI457" t="b">
        <f t="shared" si="938"/>
        <v>0</v>
      </c>
      <c r="CJ457" t="b">
        <f t="shared" si="939"/>
        <v>0</v>
      </c>
      <c r="CK457" t="b">
        <f t="shared" si="940"/>
        <v>0</v>
      </c>
      <c r="CL457" t="b">
        <f t="shared" si="941"/>
        <v>0</v>
      </c>
      <c r="CM457" t="b">
        <f t="shared" si="942"/>
        <v>0</v>
      </c>
      <c r="CN457" t="b">
        <f t="shared" si="943"/>
        <v>0</v>
      </c>
      <c r="CO457" t="b">
        <f t="shared" si="944"/>
        <v>0</v>
      </c>
      <c r="CP457" t="b">
        <f t="shared" si="945"/>
        <v>0</v>
      </c>
      <c r="CQ457" t="b">
        <f t="shared" si="946"/>
        <v>0</v>
      </c>
      <c r="CR457" t="b">
        <f t="shared" si="947"/>
        <v>0</v>
      </c>
      <c r="CS457" t="b">
        <f t="shared" si="948"/>
        <v>0</v>
      </c>
      <c r="CT457" t="b">
        <f t="shared" si="949"/>
        <v>0</v>
      </c>
      <c r="CU457" t="b">
        <f t="shared" si="950"/>
        <v>0</v>
      </c>
      <c r="CV457">
        <f t="shared" si="951"/>
        <v>1</v>
      </c>
      <c r="CW457" t="b">
        <f t="shared" si="952"/>
        <v>0</v>
      </c>
      <c r="CX457" t="b">
        <f t="shared" si="953"/>
        <v>0</v>
      </c>
      <c r="CY457" t="b">
        <f t="shared" si="954"/>
        <v>0</v>
      </c>
      <c r="CZ457" t="b">
        <f t="shared" si="955"/>
        <v>0</v>
      </c>
      <c r="DA457" t="b">
        <f t="shared" si="956"/>
        <v>0</v>
      </c>
      <c r="DB457" t="b">
        <f t="shared" si="957"/>
        <v>0</v>
      </c>
      <c r="DC457" t="b">
        <f t="shared" si="958"/>
        <v>0</v>
      </c>
      <c r="DD457" t="b">
        <f t="shared" si="959"/>
        <v>0</v>
      </c>
      <c r="DE457" t="b">
        <f t="shared" si="960"/>
        <v>0</v>
      </c>
      <c r="DF457" t="b">
        <f t="shared" si="961"/>
        <v>0</v>
      </c>
      <c r="DG457" t="b">
        <f t="shared" si="962"/>
        <v>0</v>
      </c>
      <c r="DH457" t="b">
        <f t="shared" si="963"/>
        <v>0</v>
      </c>
      <c r="DI457" t="b">
        <f t="shared" si="964"/>
        <v>0</v>
      </c>
      <c r="DJ457" t="b">
        <f t="shared" si="965"/>
        <v>0</v>
      </c>
      <c r="DK457" t="b">
        <f t="shared" si="966"/>
        <v>0</v>
      </c>
      <c r="DL457" t="b">
        <f t="shared" si="967"/>
        <v>0</v>
      </c>
      <c r="DM457" t="b">
        <f t="shared" si="968"/>
        <v>0</v>
      </c>
      <c r="DN457" t="b">
        <f t="shared" si="969"/>
        <v>0</v>
      </c>
      <c r="DO457" t="b">
        <f t="shared" si="970"/>
        <v>0</v>
      </c>
      <c r="DP457" t="b">
        <f t="shared" si="971"/>
        <v>0</v>
      </c>
      <c r="DQ457" t="b">
        <f t="shared" si="972"/>
        <v>0</v>
      </c>
      <c r="DR457" t="b">
        <f t="shared" si="973"/>
        <v>0</v>
      </c>
      <c r="DS457" t="b">
        <f t="shared" si="974"/>
        <v>0</v>
      </c>
      <c r="DT457" t="b">
        <f t="shared" si="975"/>
        <v>0</v>
      </c>
      <c r="DU457" t="b">
        <f t="shared" si="976"/>
        <v>0</v>
      </c>
      <c r="DV457" t="b">
        <f t="shared" si="977"/>
        <v>0</v>
      </c>
      <c r="DW457" t="b">
        <f t="shared" si="978"/>
        <v>0</v>
      </c>
      <c r="DX457" t="b">
        <f t="shared" si="979"/>
        <v>0</v>
      </c>
      <c r="DY457" t="b">
        <f t="shared" si="980"/>
        <v>0</v>
      </c>
      <c r="DZ457" t="b">
        <f t="shared" si="981"/>
        <v>0</v>
      </c>
      <c r="EA457" t="b">
        <f t="shared" si="982"/>
        <v>0</v>
      </c>
      <c r="EB457" t="b">
        <f t="shared" si="983"/>
        <v>0</v>
      </c>
      <c r="EC457" t="b">
        <f t="shared" si="984"/>
        <v>0</v>
      </c>
      <c r="ED457" t="b">
        <f t="shared" si="985"/>
        <v>0</v>
      </c>
      <c r="EE457" t="b">
        <f t="shared" si="986"/>
        <v>0</v>
      </c>
      <c r="EF457">
        <f t="shared" si="987"/>
        <v>1</v>
      </c>
      <c r="EG457" t="b">
        <f t="shared" si="988"/>
        <v>0</v>
      </c>
      <c r="EH457" t="b">
        <f t="shared" si="989"/>
        <v>0</v>
      </c>
      <c r="EI457" t="b">
        <f t="shared" si="990"/>
        <v>0</v>
      </c>
      <c r="EJ457" t="b">
        <f t="shared" si="991"/>
        <v>0</v>
      </c>
      <c r="EK457" t="b">
        <f t="shared" si="992"/>
        <v>0</v>
      </c>
    </row>
    <row r="458" spans="1:141">
      <c r="A458" t="s">
        <v>2339</v>
      </c>
      <c r="B458" t="s">
        <v>2339</v>
      </c>
      <c r="C458" t="s">
        <v>2340</v>
      </c>
      <c r="D458" s="1">
        <v>42036</v>
      </c>
      <c r="E458" s="2">
        <v>42407.157476851855</v>
      </c>
      <c r="F458" s="2">
        <v>42407.157476851855</v>
      </c>
      <c r="G458">
        <v>341118</v>
      </c>
      <c r="H458" t="s">
        <v>2341</v>
      </c>
      <c r="I458" s="10" t="s">
        <v>2342</v>
      </c>
      <c r="J458" t="s">
        <v>188</v>
      </c>
      <c r="K458" s="8" t="b">
        <v>1</v>
      </c>
      <c r="L458" s="10" t="b">
        <v>0</v>
      </c>
      <c r="M458" s="12" t="b">
        <v>0</v>
      </c>
      <c r="N458" t="b">
        <v>0</v>
      </c>
      <c r="O458" t="b">
        <v>0</v>
      </c>
      <c r="P458" t="b">
        <v>0</v>
      </c>
      <c r="Q458">
        <f t="shared" si="869"/>
        <v>1</v>
      </c>
      <c r="R458">
        <f t="shared" si="870"/>
        <v>2</v>
      </c>
      <c r="S458" t="e">
        <f t="shared" ca="1" si="900"/>
        <v>#NAME?</v>
      </c>
      <c r="T458" t="e">
        <f t="shared" ca="1" si="871"/>
        <v>#NAME?</v>
      </c>
      <c r="U458" s="4">
        <f t="shared" si="872"/>
        <v>371.15747685185488</v>
      </c>
      <c r="V458" s="4">
        <f t="shared" si="873"/>
        <v>12.371915895061829</v>
      </c>
      <c r="W458" s="4">
        <f t="shared" si="874"/>
        <v>1</v>
      </c>
      <c r="X458" s="4">
        <f t="shared" si="875"/>
        <v>0</v>
      </c>
      <c r="Y458" s="4">
        <f t="shared" si="876"/>
        <v>0</v>
      </c>
      <c r="Z458" s="4">
        <f t="shared" si="877"/>
        <v>0</v>
      </c>
      <c r="AA458" s="4">
        <f t="shared" si="878"/>
        <v>0</v>
      </c>
      <c r="AB458" s="4">
        <f t="shared" si="879"/>
        <v>0</v>
      </c>
      <c r="AC458" s="4"/>
      <c r="AD458" s="4" t="b">
        <f t="shared" si="880"/>
        <v>0</v>
      </c>
      <c r="AE458" s="4" t="b">
        <f t="shared" si="881"/>
        <v>0</v>
      </c>
      <c r="AF458" s="4" t="b">
        <f t="shared" si="882"/>
        <v>0</v>
      </c>
      <c r="AG458" t="b">
        <f t="shared" si="883"/>
        <v>0</v>
      </c>
      <c r="AH458" t="b">
        <f t="shared" si="884"/>
        <v>0</v>
      </c>
      <c r="AI458" t="b">
        <f t="shared" si="885"/>
        <v>0</v>
      </c>
      <c r="AJ458" t="b">
        <f t="shared" si="886"/>
        <v>0</v>
      </c>
      <c r="AK458" t="b">
        <f t="shared" si="887"/>
        <v>0</v>
      </c>
      <c r="AL458" t="b">
        <f t="shared" si="888"/>
        <v>0</v>
      </c>
      <c r="AM458" t="b">
        <f t="shared" si="889"/>
        <v>0</v>
      </c>
      <c r="AN458" t="b">
        <f t="shared" si="890"/>
        <v>0</v>
      </c>
      <c r="AO458" t="b">
        <f t="shared" si="891"/>
        <v>0</v>
      </c>
      <c r="AP458" t="b">
        <f t="shared" si="892"/>
        <v>0</v>
      </c>
      <c r="AQ458" t="b">
        <f t="shared" si="893"/>
        <v>0</v>
      </c>
      <c r="AR458" t="b">
        <f t="shared" si="894"/>
        <v>0</v>
      </c>
      <c r="AS458" t="b">
        <f t="shared" si="895"/>
        <v>0</v>
      </c>
      <c r="AT458" t="b">
        <f t="shared" si="896"/>
        <v>0</v>
      </c>
      <c r="AU458" t="b">
        <f t="shared" si="897"/>
        <v>0</v>
      </c>
      <c r="AV458" t="b">
        <f t="shared" si="898"/>
        <v>0</v>
      </c>
      <c r="AW458" t="b">
        <f t="shared" si="899"/>
        <v>0</v>
      </c>
      <c r="AX458" t="b">
        <f t="shared" si="901"/>
        <v>0</v>
      </c>
      <c r="AY458" t="b">
        <f t="shared" si="902"/>
        <v>0</v>
      </c>
      <c r="AZ458" t="b">
        <f t="shared" si="903"/>
        <v>0</v>
      </c>
      <c r="BA458" t="b">
        <f t="shared" si="904"/>
        <v>0</v>
      </c>
      <c r="BB458" t="b">
        <f t="shared" si="905"/>
        <v>0</v>
      </c>
      <c r="BC458" t="b">
        <f t="shared" si="906"/>
        <v>0</v>
      </c>
      <c r="BD458" t="b">
        <f t="shared" si="907"/>
        <v>0</v>
      </c>
      <c r="BE458" t="b">
        <f t="shared" si="908"/>
        <v>0</v>
      </c>
      <c r="BF458" t="b">
        <f t="shared" si="909"/>
        <v>0</v>
      </c>
      <c r="BG458" t="b">
        <f t="shared" si="910"/>
        <v>0</v>
      </c>
      <c r="BH458" t="b">
        <f t="shared" si="911"/>
        <v>0</v>
      </c>
      <c r="BI458">
        <f t="shared" si="912"/>
        <v>1</v>
      </c>
      <c r="BJ458" t="b">
        <f t="shared" si="913"/>
        <v>0</v>
      </c>
      <c r="BK458" t="b">
        <f t="shared" si="914"/>
        <v>0</v>
      </c>
      <c r="BL458" t="b">
        <f t="shared" si="915"/>
        <v>0</v>
      </c>
      <c r="BM458" t="b">
        <f t="shared" si="916"/>
        <v>0</v>
      </c>
      <c r="BN458" t="b">
        <f t="shared" si="917"/>
        <v>0</v>
      </c>
      <c r="BO458" t="b">
        <f t="shared" si="918"/>
        <v>0</v>
      </c>
      <c r="BP458" t="b">
        <f t="shared" si="919"/>
        <v>0</v>
      </c>
      <c r="BQ458" t="b">
        <f t="shared" si="920"/>
        <v>0</v>
      </c>
      <c r="BR458" t="b">
        <f t="shared" si="921"/>
        <v>0</v>
      </c>
      <c r="BS458" t="b">
        <f t="shared" si="922"/>
        <v>0</v>
      </c>
      <c r="BT458" t="b">
        <f t="shared" si="923"/>
        <v>0</v>
      </c>
      <c r="BU458" t="b">
        <f t="shared" si="924"/>
        <v>0</v>
      </c>
      <c r="BV458" t="b">
        <f t="shared" si="925"/>
        <v>0</v>
      </c>
      <c r="BW458" t="b">
        <f t="shared" si="926"/>
        <v>0</v>
      </c>
      <c r="BX458" t="b">
        <f t="shared" si="927"/>
        <v>0</v>
      </c>
      <c r="BY458" t="b">
        <f t="shared" si="928"/>
        <v>0</v>
      </c>
      <c r="BZ458" t="b">
        <f t="shared" si="929"/>
        <v>0</v>
      </c>
      <c r="CA458" t="b">
        <f t="shared" si="930"/>
        <v>0</v>
      </c>
      <c r="CB458" t="b">
        <f t="shared" si="931"/>
        <v>0</v>
      </c>
      <c r="CC458" t="b">
        <f t="shared" si="932"/>
        <v>0</v>
      </c>
      <c r="CD458" t="b">
        <f t="shared" si="933"/>
        <v>0</v>
      </c>
      <c r="CE458">
        <f t="shared" si="934"/>
        <v>1</v>
      </c>
      <c r="CF458" t="b">
        <f t="shared" si="935"/>
        <v>0</v>
      </c>
      <c r="CG458" t="b">
        <f t="shared" si="936"/>
        <v>0</v>
      </c>
      <c r="CH458" t="b">
        <f t="shared" si="937"/>
        <v>0</v>
      </c>
      <c r="CI458" t="b">
        <f t="shared" si="938"/>
        <v>0</v>
      </c>
      <c r="CJ458" t="b">
        <f t="shared" si="939"/>
        <v>0</v>
      </c>
      <c r="CK458" t="b">
        <f t="shared" si="940"/>
        <v>0</v>
      </c>
      <c r="CL458" t="b">
        <f t="shared" si="941"/>
        <v>0</v>
      </c>
      <c r="CM458" t="b">
        <f t="shared" si="942"/>
        <v>0</v>
      </c>
      <c r="CN458" t="b">
        <f t="shared" si="943"/>
        <v>0</v>
      </c>
      <c r="CO458" t="b">
        <f t="shared" si="944"/>
        <v>0</v>
      </c>
      <c r="CP458" t="b">
        <f t="shared" si="945"/>
        <v>0</v>
      </c>
      <c r="CQ458" t="b">
        <f t="shared" si="946"/>
        <v>0</v>
      </c>
      <c r="CR458" t="b">
        <f t="shared" si="947"/>
        <v>0</v>
      </c>
      <c r="CS458" t="b">
        <f t="shared" si="948"/>
        <v>0</v>
      </c>
      <c r="CT458" t="b">
        <f t="shared" si="949"/>
        <v>0</v>
      </c>
      <c r="CU458" t="b">
        <f t="shared" si="950"/>
        <v>0</v>
      </c>
      <c r="CV458">
        <f t="shared" si="951"/>
        <v>1</v>
      </c>
      <c r="CW458" t="b">
        <f t="shared" si="952"/>
        <v>0</v>
      </c>
      <c r="CX458" t="b">
        <f t="shared" si="953"/>
        <v>0</v>
      </c>
      <c r="CY458" t="b">
        <f t="shared" si="954"/>
        <v>0</v>
      </c>
      <c r="CZ458" t="b">
        <f t="shared" si="955"/>
        <v>0</v>
      </c>
      <c r="DA458" t="b">
        <f t="shared" si="956"/>
        <v>0</v>
      </c>
      <c r="DB458" t="b">
        <f t="shared" si="957"/>
        <v>0</v>
      </c>
      <c r="DC458" t="b">
        <f t="shared" si="958"/>
        <v>0</v>
      </c>
      <c r="DD458" t="b">
        <f t="shared" si="959"/>
        <v>0</v>
      </c>
      <c r="DE458" t="b">
        <f t="shared" si="960"/>
        <v>0</v>
      </c>
      <c r="DF458" t="b">
        <f t="shared" si="961"/>
        <v>0</v>
      </c>
      <c r="DG458" t="b">
        <f t="shared" si="962"/>
        <v>0</v>
      </c>
      <c r="DH458" t="b">
        <f t="shared" si="963"/>
        <v>0</v>
      </c>
      <c r="DI458" t="b">
        <f t="shared" si="964"/>
        <v>0</v>
      </c>
      <c r="DJ458" t="b">
        <f t="shared" si="965"/>
        <v>0</v>
      </c>
      <c r="DK458" t="b">
        <f t="shared" si="966"/>
        <v>0</v>
      </c>
      <c r="DL458" t="b">
        <f t="shared" si="967"/>
        <v>0</v>
      </c>
      <c r="DM458" t="b">
        <f t="shared" si="968"/>
        <v>0</v>
      </c>
      <c r="DN458" t="b">
        <f t="shared" si="969"/>
        <v>0</v>
      </c>
      <c r="DO458" t="b">
        <f t="shared" si="970"/>
        <v>0</v>
      </c>
      <c r="DP458" t="b">
        <f t="shared" si="971"/>
        <v>0</v>
      </c>
      <c r="DQ458" t="b">
        <f t="shared" si="972"/>
        <v>0</v>
      </c>
      <c r="DR458" t="b">
        <f t="shared" si="973"/>
        <v>0</v>
      </c>
      <c r="DS458" t="b">
        <f t="shared" si="974"/>
        <v>0</v>
      </c>
      <c r="DT458" t="b">
        <f t="shared" si="975"/>
        <v>0</v>
      </c>
      <c r="DU458" t="b">
        <f t="shared" si="976"/>
        <v>0</v>
      </c>
      <c r="DV458" t="b">
        <f t="shared" si="977"/>
        <v>0</v>
      </c>
      <c r="DW458" t="b">
        <f t="shared" si="978"/>
        <v>0</v>
      </c>
      <c r="DX458" t="b">
        <f t="shared" si="979"/>
        <v>0</v>
      </c>
      <c r="DY458" t="b">
        <f t="shared" si="980"/>
        <v>0</v>
      </c>
      <c r="DZ458" t="b">
        <f t="shared" si="981"/>
        <v>0</v>
      </c>
      <c r="EA458" t="b">
        <f t="shared" si="982"/>
        <v>0</v>
      </c>
      <c r="EB458" t="b">
        <f t="shared" si="983"/>
        <v>0</v>
      </c>
      <c r="EC458" t="b">
        <f t="shared" si="984"/>
        <v>0</v>
      </c>
      <c r="ED458" t="b">
        <f t="shared" si="985"/>
        <v>0</v>
      </c>
      <c r="EE458" t="b">
        <f t="shared" si="986"/>
        <v>0</v>
      </c>
      <c r="EF458">
        <f t="shared" si="987"/>
        <v>1</v>
      </c>
      <c r="EG458" t="b">
        <f t="shared" si="988"/>
        <v>0</v>
      </c>
      <c r="EH458" t="b">
        <f t="shared" si="989"/>
        <v>0</v>
      </c>
      <c r="EI458" t="b">
        <f t="shared" si="990"/>
        <v>0</v>
      </c>
      <c r="EJ458" t="b">
        <f t="shared" si="991"/>
        <v>0</v>
      </c>
      <c r="EK458" t="b">
        <f t="shared" si="992"/>
        <v>0</v>
      </c>
    </row>
    <row r="459" spans="1:141">
      <c r="A459" t="s">
        <v>2343</v>
      </c>
      <c r="B459" t="s">
        <v>2344</v>
      </c>
      <c r="C459" t="s">
        <v>2345</v>
      </c>
      <c r="D459" s="1">
        <v>42186</v>
      </c>
      <c r="E459" s="2">
        <v>42491.046238425923</v>
      </c>
      <c r="F459" s="2">
        <v>42491.046238425923</v>
      </c>
      <c r="G459">
        <v>88678</v>
      </c>
      <c r="H459" t="s">
        <v>2346</v>
      </c>
      <c r="I459" s="10" t="s">
        <v>2347</v>
      </c>
      <c r="J459" t="s">
        <v>2348</v>
      </c>
      <c r="K459" s="8" t="b">
        <v>1</v>
      </c>
      <c r="L459" s="10" t="b">
        <v>0</v>
      </c>
      <c r="M459" s="12" t="b">
        <v>0</v>
      </c>
      <c r="N459" t="b">
        <v>0</v>
      </c>
      <c r="O459" t="b">
        <v>0</v>
      </c>
      <c r="P459" t="b">
        <v>0</v>
      </c>
      <c r="Q459">
        <f t="shared" si="869"/>
        <v>4</v>
      </c>
      <c r="R459">
        <f t="shared" si="870"/>
        <v>7</v>
      </c>
      <c r="S459" t="e">
        <f t="shared" ca="1" si="900"/>
        <v>#NAME?</v>
      </c>
      <c r="T459" t="e">
        <f t="shared" ca="1" si="871"/>
        <v>#NAME?</v>
      </c>
      <c r="U459" s="4">
        <f t="shared" si="872"/>
        <v>305.04623842592264</v>
      </c>
      <c r="V459" s="4">
        <f t="shared" si="873"/>
        <v>10.168207947530755</v>
      </c>
      <c r="W459" s="4">
        <f t="shared" si="874"/>
        <v>1</v>
      </c>
      <c r="X459" s="4">
        <f t="shared" si="875"/>
        <v>0</v>
      </c>
      <c r="Y459" s="4">
        <f t="shared" si="876"/>
        <v>0</v>
      </c>
      <c r="Z459" s="4">
        <f t="shared" si="877"/>
        <v>0</v>
      </c>
      <c r="AA459" s="4">
        <f t="shared" si="878"/>
        <v>0</v>
      </c>
      <c r="AB459" s="4">
        <f t="shared" si="879"/>
        <v>0</v>
      </c>
      <c r="AC459" s="4"/>
      <c r="AD459" s="4" t="b">
        <f t="shared" si="880"/>
        <v>0</v>
      </c>
      <c r="AE459" s="4" t="b">
        <f t="shared" si="881"/>
        <v>0</v>
      </c>
      <c r="AF459" s="4" t="b">
        <f t="shared" si="882"/>
        <v>0</v>
      </c>
      <c r="AG459" t="b">
        <f t="shared" si="883"/>
        <v>0</v>
      </c>
      <c r="AH459" t="b">
        <f t="shared" si="884"/>
        <v>0</v>
      </c>
      <c r="AI459" t="b">
        <f t="shared" si="885"/>
        <v>0</v>
      </c>
      <c r="AJ459" t="b">
        <f t="shared" si="886"/>
        <v>0</v>
      </c>
      <c r="AK459">
        <f t="shared" si="887"/>
        <v>1</v>
      </c>
      <c r="AL459" t="b">
        <f t="shared" si="888"/>
        <v>0</v>
      </c>
      <c r="AM459" t="b">
        <f t="shared" si="889"/>
        <v>0</v>
      </c>
      <c r="AN459" t="b">
        <f t="shared" si="890"/>
        <v>0</v>
      </c>
      <c r="AO459" t="b">
        <f t="shared" si="891"/>
        <v>0</v>
      </c>
      <c r="AP459" t="b">
        <f t="shared" si="892"/>
        <v>0</v>
      </c>
      <c r="AQ459" t="b">
        <f t="shared" si="893"/>
        <v>0</v>
      </c>
      <c r="AR459" t="b">
        <f t="shared" si="894"/>
        <v>0</v>
      </c>
      <c r="AS459" t="b">
        <f t="shared" si="895"/>
        <v>0</v>
      </c>
      <c r="AT459" t="b">
        <f t="shared" si="896"/>
        <v>0</v>
      </c>
      <c r="AU459" t="b">
        <f t="shared" si="897"/>
        <v>0</v>
      </c>
      <c r="AV459" t="b">
        <f t="shared" si="898"/>
        <v>0</v>
      </c>
      <c r="AW459" t="b">
        <f t="shared" si="899"/>
        <v>0</v>
      </c>
      <c r="AX459">
        <f t="shared" si="901"/>
        <v>1</v>
      </c>
      <c r="AY459" t="b">
        <f t="shared" si="902"/>
        <v>0</v>
      </c>
      <c r="AZ459">
        <f t="shared" si="903"/>
        <v>1</v>
      </c>
      <c r="BA459" t="b">
        <f t="shared" si="904"/>
        <v>0</v>
      </c>
      <c r="BB459" t="b">
        <f t="shared" si="905"/>
        <v>0</v>
      </c>
      <c r="BC459" t="b">
        <f t="shared" si="906"/>
        <v>0</v>
      </c>
      <c r="BD459" t="b">
        <f t="shared" si="907"/>
        <v>0</v>
      </c>
      <c r="BE459" t="b">
        <f t="shared" si="908"/>
        <v>0</v>
      </c>
      <c r="BF459" t="b">
        <f t="shared" si="909"/>
        <v>0</v>
      </c>
      <c r="BG459" t="b">
        <f t="shared" si="910"/>
        <v>0</v>
      </c>
      <c r="BH459" t="b">
        <f t="shared" si="911"/>
        <v>0</v>
      </c>
      <c r="BI459" t="b">
        <f t="shared" si="912"/>
        <v>0</v>
      </c>
      <c r="BJ459" t="b">
        <f t="shared" si="913"/>
        <v>0</v>
      </c>
      <c r="BK459" t="b">
        <f t="shared" si="914"/>
        <v>0</v>
      </c>
      <c r="BL459" t="b">
        <f t="shared" si="915"/>
        <v>0</v>
      </c>
      <c r="BM459" t="b">
        <f t="shared" si="916"/>
        <v>0</v>
      </c>
      <c r="BN459" t="b">
        <f t="shared" si="917"/>
        <v>0</v>
      </c>
      <c r="BO459">
        <f t="shared" si="918"/>
        <v>1</v>
      </c>
      <c r="BP459" t="b">
        <f t="shared" si="919"/>
        <v>0</v>
      </c>
      <c r="BQ459" t="b">
        <f t="shared" si="920"/>
        <v>0</v>
      </c>
      <c r="BR459">
        <f t="shared" si="921"/>
        <v>1</v>
      </c>
      <c r="BS459">
        <f t="shared" si="922"/>
        <v>1</v>
      </c>
      <c r="BT459">
        <f t="shared" si="923"/>
        <v>1</v>
      </c>
      <c r="BU459" t="b">
        <f t="shared" si="924"/>
        <v>0</v>
      </c>
      <c r="BV459" t="b">
        <f t="shared" si="925"/>
        <v>0</v>
      </c>
      <c r="BW459" t="b">
        <f t="shared" si="926"/>
        <v>0</v>
      </c>
      <c r="BX459" t="b">
        <f t="shared" si="927"/>
        <v>0</v>
      </c>
      <c r="BY459" t="b">
        <f t="shared" si="928"/>
        <v>0</v>
      </c>
      <c r="BZ459" t="b">
        <f t="shared" si="929"/>
        <v>0</v>
      </c>
      <c r="CA459" t="b">
        <f t="shared" si="930"/>
        <v>0</v>
      </c>
      <c r="CB459" t="b">
        <f t="shared" si="931"/>
        <v>0</v>
      </c>
      <c r="CC459" t="b">
        <f t="shared" si="932"/>
        <v>0</v>
      </c>
      <c r="CD459" t="b">
        <f t="shared" si="933"/>
        <v>0</v>
      </c>
      <c r="CE459">
        <f t="shared" si="934"/>
        <v>1</v>
      </c>
      <c r="CF459" t="b">
        <f t="shared" si="935"/>
        <v>0</v>
      </c>
      <c r="CG459" t="b">
        <f t="shared" si="936"/>
        <v>0</v>
      </c>
      <c r="CH459" t="b">
        <f t="shared" si="937"/>
        <v>0</v>
      </c>
      <c r="CI459" t="b">
        <f t="shared" si="938"/>
        <v>0</v>
      </c>
      <c r="CJ459" t="b">
        <f t="shared" si="939"/>
        <v>0</v>
      </c>
      <c r="CK459">
        <f t="shared" si="940"/>
        <v>1</v>
      </c>
      <c r="CL459" t="b">
        <f t="shared" si="941"/>
        <v>0</v>
      </c>
      <c r="CM459">
        <f t="shared" si="942"/>
        <v>1</v>
      </c>
      <c r="CN459" t="b">
        <f t="shared" si="943"/>
        <v>0</v>
      </c>
      <c r="CO459" t="b">
        <f t="shared" si="944"/>
        <v>0</v>
      </c>
      <c r="CP459" t="b">
        <f t="shared" si="945"/>
        <v>0</v>
      </c>
      <c r="CQ459" t="b">
        <f t="shared" si="946"/>
        <v>0</v>
      </c>
      <c r="CR459" t="b">
        <f t="shared" si="947"/>
        <v>0</v>
      </c>
      <c r="CS459" t="b">
        <f t="shared" si="948"/>
        <v>0</v>
      </c>
      <c r="CT459" t="b">
        <f t="shared" si="949"/>
        <v>0</v>
      </c>
      <c r="CU459" t="b">
        <f t="shared" si="950"/>
        <v>0</v>
      </c>
      <c r="CV459">
        <f t="shared" si="951"/>
        <v>1</v>
      </c>
      <c r="CW459" t="b">
        <f t="shared" si="952"/>
        <v>0</v>
      </c>
      <c r="CX459" t="b">
        <f t="shared" si="953"/>
        <v>0</v>
      </c>
      <c r="CY459" t="b">
        <f t="shared" si="954"/>
        <v>0</v>
      </c>
      <c r="CZ459" t="b">
        <f t="shared" si="955"/>
        <v>0</v>
      </c>
      <c r="DA459">
        <f t="shared" si="956"/>
        <v>1</v>
      </c>
      <c r="DB459">
        <f t="shared" si="957"/>
        <v>1</v>
      </c>
      <c r="DC459" t="b">
        <f t="shared" si="958"/>
        <v>0</v>
      </c>
      <c r="DD459">
        <f t="shared" si="959"/>
        <v>1</v>
      </c>
      <c r="DE459" t="b">
        <f t="shared" si="960"/>
        <v>0</v>
      </c>
      <c r="DF459" t="b">
        <f t="shared" si="961"/>
        <v>0</v>
      </c>
      <c r="DG459" t="b">
        <f t="shared" si="962"/>
        <v>0</v>
      </c>
      <c r="DH459" t="b">
        <f t="shared" si="963"/>
        <v>0</v>
      </c>
      <c r="DI459" t="b">
        <f t="shared" si="964"/>
        <v>0</v>
      </c>
      <c r="DJ459" t="b">
        <f t="shared" si="965"/>
        <v>0</v>
      </c>
      <c r="DK459" t="b">
        <f t="shared" si="966"/>
        <v>0</v>
      </c>
      <c r="DL459" t="b">
        <f t="shared" si="967"/>
        <v>0</v>
      </c>
      <c r="DM459" t="b">
        <f t="shared" si="968"/>
        <v>0</v>
      </c>
      <c r="DN459" t="b">
        <f t="shared" si="969"/>
        <v>0</v>
      </c>
      <c r="DO459" t="b">
        <f t="shared" si="970"/>
        <v>0</v>
      </c>
      <c r="DP459" t="b">
        <f t="shared" si="971"/>
        <v>0</v>
      </c>
      <c r="DQ459" t="b">
        <f t="shared" si="972"/>
        <v>0</v>
      </c>
      <c r="DR459" t="b">
        <f t="shared" si="973"/>
        <v>0</v>
      </c>
      <c r="DS459">
        <f t="shared" si="974"/>
        <v>1</v>
      </c>
      <c r="DT459" t="b">
        <f t="shared" si="975"/>
        <v>0</v>
      </c>
      <c r="DU459" t="b">
        <f t="shared" si="976"/>
        <v>0</v>
      </c>
      <c r="DV459" t="b">
        <f t="shared" si="977"/>
        <v>0</v>
      </c>
      <c r="DW459" t="b">
        <f t="shared" si="978"/>
        <v>0</v>
      </c>
      <c r="DX459" t="b">
        <f t="shared" si="979"/>
        <v>0</v>
      </c>
      <c r="DY459" t="b">
        <f t="shared" si="980"/>
        <v>0</v>
      </c>
      <c r="DZ459" t="b">
        <f t="shared" si="981"/>
        <v>0</v>
      </c>
      <c r="EA459">
        <f t="shared" si="982"/>
        <v>1</v>
      </c>
      <c r="EB459" t="b">
        <f t="shared" si="983"/>
        <v>0</v>
      </c>
      <c r="EC459" t="b">
        <f t="shared" si="984"/>
        <v>0</v>
      </c>
      <c r="ED459" t="b">
        <f t="shared" si="985"/>
        <v>0</v>
      </c>
      <c r="EE459" t="b">
        <f t="shared" si="986"/>
        <v>0</v>
      </c>
      <c r="EF459" t="b">
        <f t="shared" si="987"/>
        <v>0</v>
      </c>
      <c r="EG459" t="b">
        <f t="shared" si="988"/>
        <v>0</v>
      </c>
      <c r="EH459" t="b">
        <f t="shared" si="989"/>
        <v>0</v>
      </c>
      <c r="EI459" t="b">
        <f t="shared" si="990"/>
        <v>0</v>
      </c>
      <c r="EJ459" t="b">
        <f t="shared" si="991"/>
        <v>0</v>
      </c>
      <c r="EK459" t="b">
        <f t="shared" si="992"/>
        <v>0</v>
      </c>
    </row>
    <row r="460" spans="1:141">
      <c r="A460" t="s">
        <v>2349</v>
      </c>
      <c r="B460" t="s">
        <v>2349</v>
      </c>
      <c r="C460" t="s">
        <v>2350</v>
      </c>
      <c r="D460" s="1">
        <v>40695</v>
      </c>
      <c r="E460" s="2">
        <v>42743.932858796295</v>
      </c>
      <c r="F460" s="2">
        <v>42743.932858796295</v>
      </c>
      <c r="G460">
        <v>26183992</v>
      </c>
      <c r="H460" t="s">
        <v>2351</v>
      </c>
      <c r="I460" s="10" t="s">
        <v>2352</v>
      </c>
      <c r="J460" t="s">
        <v>1187</v>
      </c>
      <c r="K460" s="8" t="b">
        <v>1</v>
      </c>
      <c r="L460" s="10" t="b">
        <v>0</v>
      </c>
      <c r="M460" s="12" t="b">
        <v>0</v>
      </c>
      <c r="N460" t="b">
        <v>0</v>
      </c>
      <c r="O460" t="b">
        <v>0</v>
      </c>
      <c r="P460" t="b">
        <v>0</v>
      </c>
      <c r="Q460">
        <f t="shared" si="869"/>
        <v>4</v>
      </c>
      <c r="R460">
        <f t="shared" si="870"/>
        <v>6</v>
      </c>
      <c r="S460" t="e">
        <f t="shared" ca="1" si="900"/>
        <v>#NAME?</v>
      </c>
      <c r="T460" t="e">
        <f t="shared" ca="1" si="871"/>
        <v>#NAME?</v>
      </c>
      <c r="U460" s="4">
        <f t="shared" si="872"/>
        <v>2048.9328587962955</v>
      </c>
      <c r="V460" s="4">
        <f t="shared" si="873"/>
        <v>68.29776195987651</v>
      </c>
      <c r="W460" s="4">
        <f t="shared" si="874"/>
        <v>1</v>
      </c>
      <c r="X460" s="4">
        <f t="shared" si="875"/>
        <v>0</v>
      </c>
      <c r="Y460" s="4">
        <f t="shared" si="876"/>
        <v>0</v>
      </c>
      <c r="Z460" s="4">
        <f t="shared" si="877"/>
        <v>0</v>
      </c>
      <c r="AA460" s="4">
        <f t="shared" si="878"/>
        <v>0</v>
      </c>
      <c r="AB460" s="4">
        <f t="shared" si="879"/>
        <v>0</v>
      </c>
      <c r="AC460" s="4"/>
      <c r="AD460" s="4" t="b">
        <f t="shared" si="880"/>
        <v>0</v>
      </c>
      <c r="AE460" s="4" t="b">
        <f t="shared" si="881"/>
        <v>0</v>
      </c>
      <c r="AF460" s="4" t="b">
        <f t="shared" si="882"/>
        <v>0</v>
      </c>
      <c r="AG460" t="b">
        <f t="shared" si="883"/>
        <v>0</v>
      </c>
      <c r="AH460" t="b">
        <f t="shared" si="884"/>
        <v>0</v>
      </c>
      <c r="AI460" t="b">
        <f t="shared" si="885"/>
        <v>0</v>
      </c>
      <c r="AJ460" t="b">
        <f t="shared" si="886"/>
        <v>0</v>
      </c>
      <c r="AK460" t="b">
        <f t="shared" si="887"/>
        <v>0</v>
      </c>
      <c r="AL460" t="b">
        <f t="shared" si="888"/>
        <v>0</v>
      </c>
      <c r="AM460" t="b">
        <f t="shared" si="889"/>
        <v>0</v>
      </c>
      <c r="AN460" t="b">
        <f t="shared" si="890"/>
        <v>0</v>
      </c>
      <c r="AO460" t="b">
        <f t="shared" si="891"/>
        <v>0</v>
      </c>
      <c r="AP460" t="b">
        <f t="shared" si="892"/>
        <v>0</v>
      </c>
      <c r="AQ460" t="b">
        <f t="shared" si="893"/>
        <v>0</v>
      </c>
      <c r="AR460" t="b">
        <f t="shared" si="894"/>
        <v>0</v>
      </c>
      <c r="AS460" t="b">
        <f t="shared" si="895"/>
        <v>0</v>
      </c>
      <c r="AT460" t="b">
        <f t="shared" si="896"/>
        <v>0</v>
      </c>
      <c r="AU460" t="b">
        <f t="shared" si="897"/>
        <v>0</v>
      </c>
      <c r="AV460" t="b">
        <f t="shared" si="898"/>
        <v>0</v>
      </c>
      <c r="AW460" t="b">
        <f t="shared" si="899"/>
        <v>0</v>
      </c>
      <c r="AX460" t="b">
        <f t="shared" si="901"/>
        <v>0</v>
      </c>
      <c r="AY460" t="b">
        <f t="shared" si="902"/>
        <v>0</v>
      </c>
      <c r="AZ460" t="b">
        <f t="shared" si="903"/>
        <v>0</v>
      </c>
      <c r="BA460" t="b">
        <f t="shared" si="904"/>
        <v>0</v>
      </c>
      <c r="BB460" t="b">
        <f t="shared" si="905"/>
        <v>0</v>
      </c>
      <c r="BC460" t="b">
        <f t="shared" si="906"/>
        <v>0</v>
      </c>
      <c r="BD460" t="b">
        <f t="shared" si="907"/>
        <v>0</v>
      </c>
      <c r="BE460" t="b">
        <f t="shared" si="908"/>
        <v>0</v>
      </c>
      <c r="BF460" t="b">
        <f t="shared" si="909"/>
        <v>0</v>
      </c>
      <c r="BG460" t="b">
        <f t="shared" si="910"/>
        <v>0</v>
      </c>
      <c r="BH460" t="b">
        <f t="shared" si="911"/>
        <v>0</v>
      </c>
      <c r="BI460">
        <f t="shared" si="912"/>
        <v>1</v>
      </c>
      <c r="BJ460" t="b">
        <f t="shared" si="913"/>
        <v>0</v>
      </c>
      <c r="BK460" t="b">
        <f t="shared" si="914"/>
        <v>0</v>
      </c>
      <c r="BL460" t="b">
        <f t="shared" si="915"/>
        <v>0</v>
      </c>
      <c r="BM460" t="b">
        <f t="shared" si="916"/>
        <v>0</v>
      </c>
      <c r="BN460" t="b">
        <f t="shared" si="917"/>
        <v>0</v>
      </c>
      <c r="BO460" t="b">
        <f t="shared" si="918"/>
        <v>0</v>
      </c>
      <c r="BP460" t="b">
        <f t="shared" si="919"/>
        <v>0</v>
      </c>
      <c r="BQ460" t="b">
        <f t="shared" si="920"/>
        <v>0</v>
      </c>
      <c r="BR460" t="b">
        <f t="shared" si="921"/>
        <v>0</v>
      </c>
      <c r="BS460" t="b">
        <f t="shared" si="922"/>
        <v>0</v>
      </c>
      <c r="BT460" t="b">
        <f t="shared" si="923"/>
        <v>0</v>
      </c>
      <c r="BU460" t="b">
        <f t="shared" si="924"/>
        <v>0</v>
      </c>
      <c r="BV460" t="b">
        <f t="shared" si="925"/>
        <v>0</v>
      </c>
      <c r="BW460" t="b">
        <f t="shared" si="926"/>
        <v>0</v>
      </c>
      <c r="BX460" t="b">
        <f t="shared" si="927"/>
        <v>0</v>
      </c>
      <c r="BY460" t="b">
        <f t="shared" si="928"/>
        <v>0</v>
      </c>
      <c r="BZ460" t="b">
        <f t="shared" si="929"/>
        <v>0</v>
      </c>
      <c r="CA460" t="b">
        <f t="shared" si="930"/>
        <v>0</v>
      </c>
      <c r="CB460" t="b">
        <f t="shared" si="931"/>
        <v>0</v>
      </c>
      <c r="CC460" t="b">
        <f t="shared" si="932"/>
        <v>0</v>
      </c>
      <c r="CD460" t="b">
        <f t="shared" si="933"/>
        <v>0</v>
      </c>
      <c r="CE460" t="b">
        <f t="shared" si="934"/>
        <v>0</v>
      </c>
      <c r="CF460" t="b">
        <f t="shared" si="935"/>
        <v>0</v>
      </c>
      <c r="CG460" t="b">
        <f t="shared" si="936"/>
        <v>0</v>
      </c>
      <c r="CH460" t="b">
        <f t="shared" si="937"/>
        <v>0</v>
      </c>
      <c r="CI460" t="b">
        <f t="shared" si="938"/>
        <v>0</v>
      </c>
      <c r="CJ460" t="b">
        <f t="shared" si="939"/>
        <v>0</v>
      </c>
      <c r="CK460" t="b">
        <f t="shared" si="940"/>
        <v>0</v>
      </c>
      <c r="CL460" t="b">
        <f t="shared" si="941"/>
        <v>0</v>
      </c>
      <c r="CM460" t="b">
        <f t="shared" si="942"/>
        <v>0</v>
      </c>
      <c r="CN460" t="b">
        <f t="shared" si="943"/>
        <v>0</v>
      </c>
      <c r="CO460" t="b">
        <f t="shared" si="944"/>
        <v>0</v>
      </c>
      <c r="CP460" t="b">
        <f t="shared" si="945"/>
        <v>0</v>
      </c>
      <c r="CQ460" t="b">
        <f t="shared" si="946"/>
        <v>0</v>
      </c>
      <c r="CR460" t="b">
        <f t="shared" si="947"/>
        <v>0</v>
      </c>
      <c r="CS460" t="b">
        <f t="shared" si="948"/>
        <v>0</v>
      </c>
      <c r="CT460" t="b">
        <f t="shared" si="949"/>
        <v>0</v>
      </c>
      <c r="CU460" t="b">
        <f t="shared" si="950"/>
        <v>0</v>
      </c>
      <c r="CV460">
        <f t="shared" si="951"/>
        <v>1</v>
      </c>
      <c r="CW460" t="b">
        <f t="shared" si="952"/>
        <v>0</v>
      </c>
      <c r="CX460" t="b">
        <f t="shared" si="953"/>
        <v>0</v>
      </c>
      <c r="CY460" t="b">
        <f t="shared" si="954"/>
        <v>0</v>
      </c>
      <c r="CZ460" t="b">
        <f t="shared" si="955"/>
        <v>0</v>
      </c>
      <c r="DA460" t="b">
        <f t="shared" si="956"/>
        <v>0</v>
      </c>
      <c r="DB460" t="b">
        <f t="shared" si="957"/>
        <v>0</v>
      </c>
      <c r="DC460" t="b">
        <f t="shared" si="958"/>
        <v>0</v>
      </c>
      <c r="DD460" t="b">
        <f t="shared" si="959"/>
        <v>0</v>
      </c>
      <c r="DE460" t="b">
        <f t="shared" si="960"/>
        <v>0</v>
      </c>
      <c r="DF460" t="b">
        <f t="shared" si="961"/>
        <v>0</v>
      </c>
      <c r="DG460" t="b">
        <f t="shared" si="962"/>
        <v>0</v>
      </c>
      <c r="DH460" t="b">
        <f t="shared" si="963"/>
        <v>0</v>
      </c>
      <c r="DI460" t="b">
        <f t="shared" si="964"/>
        <v>0</v>
      </c>
      <c r="DJ460" t="b">
        <f t="shared" si="965"/>
        <v>0</v>
      </c>
      <c r="DK460" t="b">
        <f t="shared" si="966"/>
        <v>0</v>
      </c>
      <c r="DL460" t="b">
        <f t="shared" si="967"/>
        <v>0</v>
      </c>
      <c r="DM460" t="b">
        <f t="shared" si="968"/>
        <v>0</v>
      </c>
      <c r="DN460" t="b">
        <f t="shared" si="969"/>
        <v>0</v>
      </c>
      <c r="DO460" t="b">
        <f t="shared" si="970"/>
        <v>0</v>
      </c>
      <c r="DP460" t="b">
        <f t="shared" si="971"/>
        <v>0</v>
      </c>
      <c r="DQ460" t="b">
        <f t="shared" si="972"/>
        <v>0</v>
      </c>
      <c r="DR460" t="b">
        <f t="shared" si="973"/>
        <v>0</v>
      </c>
      <c r="DS460" t="b">
        <f t="shared" si="974"/>
        <v>0</v>
      </c>
      <c r="DT460" t="b">
        <f t="shared" si="975"/>
        <v>0</v>
      </c>
      <c r="DU460" t="b">
        <f t="shared" si="976"/>
        <v>0</v>
      </c>
      <c r="DV460" t="b">
        <f t="shared" si="977"/>
        <v>0</v>
      </c>
      <c r="DW460" t="b">
        <f t="shared" si="978"/>
        <v>0</v>
      </c>
      <c r="DX460" t="b">
        <f t="shared" si="979"/>
        <v>0</v>
      </c>
      <c r="DY460" t="b">
        <f t="shared" si="980"/>
        <v>0</v>
      </c>
      <c r="DZ460" t="b">
        <f t="shared" si="981"/>
        <v>0</v>
      </c>
      <c r="EA460" t="b">
        <f t="shared" si="982"/>
        <v>0</v>
      </c>
      <c r="EB460" t="b">
        <f t="shared" si="983"/>
        <v>0</v>
      </c>
      <c r="EC460" t="b">
        <f t="shared" si="984"/>
        <v>0</v>
      </c>
      <c r="ED460" t="b">
        <f t="shared" si="985"/>
        <v>0</v>
      </c>
      <c r="EE460" t="b">
        <f t="shared" si="986"/>
        <v>0</v>
      </c>
      <c r="EF460">
        <f t="shared" si="987"/>
        <v>1</v>
      </c>
      <c r="EG460" t="b">
        <f t="shared" si="988"/>
        <v>0</v>
      </c>
      <c r="EH460" t="b">
        <f t="shared" si="989"/>
        <v>0</v>
      </c>
      <c r="EI460">
        <f t="shared" si="990"/>
        <v>1</v>
      </c>
      <c r="EJ460" t="b">
        <f t="shared" si="991"/>
        <v>0</v>
      </c>
      <c r="EK460" t="b">
        <f t="shared" si="992"/>
        <v>0</v>
      </c>
    </row>
    <row r="461" spans="1:141">
      <c r="A461" t="s">
        <v>2353</v>
      </c>
      <c r="B461" t="s">
        <v>2354</v>
      </c>
      <c r="C461" t="s">
        <v>2355</v>
      </c>
      <c r="D461" s="1">
        <v>41716</v>
      </c>
      <c r="E461" s="2">
        <v>42098.27783564815</v>
      </c>
      <c r="F461" s="2">
        <v>42098.27783564815</v>
      </c>
      <c r="G461">
        <v>48592</v>
      </c>
      <c r="H461" t="s">
        <v>2356</v>
      </c>
      <c r="I461" s="10" t="s">
        <v>2357</v>
      </c>
      <c r="J461" t="s">
        <v>268</v>
      </c>
      <c r="K461" s="8" t="b">
        <v>1</v>
      </c>
      <c r="L461" s="10" t="b">
        <v>0</v>
      </c>
      <c r="M461" s="12" t="b">
        <v>0</v>
      </c>
      <c r="N461" t="b">
        <v>0</v>
      </c>
      <c r="O461" t="b">
        <v>0</v>
      </c>
      <c r="P461" t="b">
        <v>0</v>
      </c>
      <c r="Q461">
        <f t="shared" si="869"/>
        <v>3</v>
      </c>
      <c r="R461">
        <f t="shared" si="870"/>
        <v>3</v>
      </c>
      <c r="S461" t="e">
        <f t="shared" ca="1" si="900"/>
        <v>#NAME?</v>
      </c>
      <c r="T461" t="e">
        <f t="shared" ca="1" si="871"/>
        <v>#NAME?</v>
      </c>
      <c r="U461" s="4">
        <f t="shared" si="872"/>
        <v>382.27783564815036</v>
      </c>
      <c r="V461" s="4">
        <f t="shared" si="873"/>
        <v>12.742594521605012</v>
      </c>
      <c r="W461" s="4">
        <f t="shared" si="874"/>
        <v>1</v>
      </c>
      <c r="X461" s="4">
        <f t="shared" si="875"/>
        <v>0</v>
      </c>
      <c r="Y461" s="4">
        <f t="shared" si="876"/>
        <v>0</v>
      </c>
      <c r="Z461" s="4">
        <f t="shared" si="877"/>
        <v>0</v>
      </c>
      <c r="AA461" s="4">
        <f t="shared" si="878"/>
        <v>0</v>
      </c>
      <c r="AB461" s="4">
        <f t="shared" si="879"/>
        <v>0</v>
      </c>
      <c r="AC461" s="4"/>
      <c r="AD461" s="4" t="b">
        <f t="shared" si="880"/>
        <v>0</v>
      </c>
      <c r="AE461" s="4" t="b">
        <f t="shared" si="881"/>
        <v>0</v>
      </c>
      <c r="AF461" s="4" t="b">
        <f t="shared" si="882"/>
        <v>0</v>
      </c>
      <c r="AG461" t="b">
        <f t="shared" si="883"/>
        <v>0</v>
      </c>
      <c r="AH461" t="b">
        <f t="shared" si="884"/>
        <v>0</v>
      </c>
      <c r="AI461" t="b">
        <f t="shared" si="885"/>
        <v>0</v>
      </c>
      <c r="AJ461" t="b">
        <f t="shared" si="886"/>
        <v>0</v>
      </c>
      <c r="AK461" t="b">
        <f t="shared" si="887"/>
        <v>0</v>
      </c>
      <c r="AL461" t="b">
        <f t="shared" si="888"/>
        <v>0</v>
      </c>
      <c r="AM461" t="b">
        <f t="shared" si="889"/>
        <v>0</v>
      </c>
      <c r="AN461" t="b">
        <f t="shared" si="890"/>
        <v>0</v>
      </c>
      <c r="AO461" t="b">
        <f t="shared" si="891"/>
        <v>0</v>
      </c>
      <c r="AP461" t="b">
        <f t="shared" si="892"/>
        <v>0</v>
      </c>
      <c r="AQ461" t="b">
        <f t="shared" si="893"/>
        <v>0</v>
      </c>
      <c r="AR461" t="b">
        <f t="shared" si="894"/>
        <v>0</v>
      </c>
      <c r="AS461" t="b">
        <f t="shared" si="895"/>
        <v>0</v>
      </c>
      <c r="AT461" t="b">
        <f t="shared" si="896"/>
        <v>0</v>
      </c>
      <c r="AU461" t="b">
        <f t="shared" si="897"/>
        <v>0</v>
      </c>
      <c r="AV461" t="b">
        <f t="shared" si="898"/>
        <v>0</v>
      </c>
      <c r="AW461" t="b">
        <f t="shared" si="899"/>
        <v>0</v>
      </c>
      <c r="AX461" t="b">
        <f t="shared" si="901"/>
        <v>0</v>
      </c>
      <c r="AY461" t="b">
        <f t="shared" si="902"/>
        <v>0</v>
      </c>
      <c r="AZ461" t="b">
        <f t="shared" si="903"/>
        <v>0</v>
      </c>
      <c r="BA461" t="b">
        <f t="shared" si="904"/>
        <v>0</v>
      </c>
      <c r="BB461" t="b">
        <f t="shared" si="905"/>
        <v>0</v>
      </c>
      <c r="BC461" t="b">
        <f t="shared" si="906"/>
        <v>0</v>
      </c>
      <c r="BD461" t="b">
        <f t="shared" si="907"/>
        <v>0</v>
      </c>
      <c r="BE461" t="b">
        <f t="shared" si="908"/>
        <v>0</v>
      </c>
      <c r="BF461" t="b">
        <f t="shared" si="909"/>
        <v>0</v>
      </c>
      <c r="BG461" t="b">
        <f t="shared" si="910"/>
        <v>0</v>
      </c>
      <c r="BH461" t="b">
        <f t="shared" si="911"/>
        <v>0</v>
      </c>
      <c r="BI461">
        <f t="shared" si="912"/>
        <v>1</v>
      </c>
      <c r="BJ461" t="b">
        <f t="shared" si="913"/>
        <v>0</v>
      </c>
      <c r="BK461" t="b">
        <f t="shared" si="914"/>
        <v>0</v>
      </c>
      <c r="BL461" t="b">
        <f t="shared" si="915"/>
        <v>0</v>
      </c>
      <c r="BM461" t="b">
        <f t="shared" si="916"/>
        <v>0</v>
      </c>
      <c r="BN461" t="b">
        <f t="shared" si="917"/>
        <v>0</v>
      </c>
      <c r="BO461" t="b">
        <f t="shared" si="918"/>
        <v>0</v>
      </c>
      <c r="BP461" t="b">
        <f t="shared" si="919"/>
        <v>0</v>
      </c>
      <c r="BQ461" t="b">
        <f t="shared" si="920"/>
        <v>0</v>
      </c>
      <c r="BR461" t="b">
        <f t="shared" si="921"/>
        <v>0</v>
      </c>
      <c r="BS461" t="b">
        <f t="shared" si="922"/>
        <v>0</v>
      </c>
      <c r="BT461" t="b">
        <f t="shared" si="923"/>
        <v>0</v>
      </c>
      <c r="BU461" t="b">
        <f t="shared" si="924"/>
        <v>0</v>
      </c>
      <c r="BV461" t="b">
        <f t="shared" si="925"/>
        <v>0</v>
      </c>
      <c r="BW461" t="b">
        <f t="shared" si="926"/>
        <v>0</v>
      </c>
      <c r="BX461" t="b">
        <f t="shared" si="927"/>
        <v>0</v>
      </c>
      <c r="BY461" t="b">
        <f t="shared" si="928"/>
        <v>0</v>
      </c>
      <c r="BZ461" t="b">
        <f t="shared" si="929"/>
        <v>0</v>
      </c>
      <c r="CA461" t="b">
        <f t="shared" si="930"/>
        <v>0</v>
      </c>
      <c r="CB461" t="b">
        <f t="shared" si="931"/>
        <v>0</v>
      </c>
      <c r="CC461" t="b">
        <f t="shared" si="932"/>
        <v>0</v>
      </c>
      <c r="CD461" t="b">
        <f t="shared" si="933"/>
        <v>0</v>
      </c>
      <c r="CE461">
        <f t="shared" si="934"/>
        <v>1</v>
      </c>
      <c r="CF461" t="b">
        <f t="shared" si="935"/>
        <v>0</v>
      </c>
      <c r="CG461" t="b">
        <f t="shared" si="936"/>
        <v>0</v>
      </c>
      <c r="CH461" t="b">
        <f t="shared" si="937"/>
        <v>0</v>
      </c>
      <c r="CI461" t="b">
        <f t="shared" si="938"/>
        <v>0</v>
      </c>
      <c r="CJ461" t="b">
        <f t="shared" si="939"/>
        <v>0</v>
      </c>
      <c r="CK461" t="b">
        <f t="shared" si="940"/>
        <v>0</v>
      </c>
      <c r="CL461" t="b">
        <f t="shared" si="941"/>
        <v>0</v>
      </c>
      <c r="CM461" t="b">
        <f t="shared" si="942"/>
        <v>0</v>
      </c>
      <c r="CN461" t="b">
        <f t="shared" si="943"/>
        <v>0</v>
      </c>
      <c r="CO461" t="b">
        <f t="shared" si="944"/>
        <v>0</v>
      </c>
      <c r="CP461" t="b">
        <f t="shared" si="945"/>
        <v>0</v>
      </c>
      <c r="CQ461" t="b">
        <f t="shared" si="946"/>
        <v>0</v>
      </c>
      <c r="CR461" t="b">
        <f t="shared" si="947"/>
        <v>0</v>
      </c>
      <c r="CS461" t="b">
        <f t="shared" si="948"/>
        <v>0</v>
      </c>
      <c r="CT461" t="b">
        <f t="shared" si="949"/>
        <v>0</v>
      </c>
      <c r="CU461" t="b">
        <f t="shared" si="950"/>
        <v>0</v>
      </c>
      <c r="CV461">
        <f t="shared" si="951"/>
        <v>1</v>
      </c>
      <c r="CW461" t="b">
        <f t="shared" si="952"/>
        <v>0</v>
      </c>
      <c r="CX461" t="b">
        <f t="shared" si="953"/>
        <v>0</v>
      </c>
      <c r="CY461" t="b">
        <f t="shared" si="954"/>
        <v>0</v>
      </c>
      <c r="CZ461" t="b">
        <f t="shared" si="955"/>
        <v>0</v>
      </c>
      <c r="DA461" t="b">
        <f t="shared" si="956"/>
        <v>0</v>
      </c>
      <c r="DB461" t="b">
        <f t="shared" si="957"/>
        <v>0</v>
      </c>
      <c r="DC461" t="b">
        <f t="shared" si="958"/>
        <v>0</v>
      </c>
      <c r="DD461" t="b">
        <f t="shared" si="959"/>
        <v>0</v>
      </c>
      <c r="DE461" t="b">
        <f t="shared" si="960"/>
        <v>0</v>
      </c>
      <c r="DF461" t="b">
        <f t="shared" si="961"/>
        <v>0</v>
      </c>
      <c r="DG461">
        <f t="shared" si="962"/>
        <v>1</v>
      </c>
      <c r="DH461" t="b">
        <f t="shared" si="963"/>
        <v>0</v>
      </c>
      <c r="DI461" t="b">
        <f t="shared" si="964"/>
        <v>0</v>
      </c>
      <c r="DJ461" t="b">
        <f t="shared" si="965"/>
        <v>0</v>
      </c>
      <c r="DK461" t="b">
        <f t="shared" si="966"/>
        <v>0</v>
      </c>
      <c r="DL461" t="b">
        <f t="shared" si="967"/>
        <v>0</v>
      </c>
      <c r="DM461" t="b">
        <f t="shared" si="968"/>
        <v>0</v>
      </c>
      <c r="DN461" t="b">
        <f t="shared" si="969"/>
        <v>0</v>
      </c>
      <c r="DO461" t="b">
        <f t="shared" si="970"/>
        <v>0</v>
      </c>
      <c r="DP461" t="b">
        <f t="shared" si="971"/>
        <v>0</v>
      </c>
      <c r="DQ461" t="b">
        <f t="shared" si="972"/>
        <v>0</v>
      </c>
      <c r="DR461" t="b">
        <f t="shared" si="973"/>
        <v>0</v>
      </c>
      <c r="DS461" t="b">
        <f t="shared" si="974"/>
        <v>0</v>
      </c>
      <c r="DT461" t="b">
        <f t="shared" si="975"/>
        <v>0</v>
      </c>
      <c r="DU461" t="b">
        <f t="shared" si="976"/>
        <v>0</v>
      </c>
      <c r="DV461" t="b">
        <f t="shared" si="977"/>
        <v>0</v>
      </c>
      <c r="DW461" t="b">
        <f t="shared" si="978"/>
        <v>0</v>
      </c>
      <c r="DX461" t="b">
        <f t="shared" si="979"/>
        <v>0</v>
      </c>
      <c r="DY461" t="b">
        <f t="shared" si="980"/>
        <v>0</v>
      </c>
      <c r="DZ461" t="b">
        <f t="shared" si="981"/>
        <v>0</v>
      </c>
      <c r="EA461" t="b">
        <f t="shared" si="982"/>
        <v>0</v>
      </c>
      <c r="EB461" t="b">
        <f t="shared" si="983"/>
        <v>0</v>
      </c>
      <c r="EC461" t="b">
        <f t="shared" si="984"/>
        <v>0</v>
      </c>
      <c r="ED461" t="b">
        <f t="shared" si="985"/>
        <v>0</v>
      </c>
      <c r="EE461" t="b">
        <f t="shared" si="986"/>
        <v>0</v>
      </c>
      <c r="EF461">
        <f t="shared" si="987"/>
        <v>1</v>
      </c>
      <c r="EG461" t="b">
        <f t="shared" si="988"/>
        <v>0</v>
      </c>
      <c r="EH461" t="b">
        <f t="shared" si="989"/>
        <v>0</v>
      </c>
      <c r="EI461">
        <f t="shared" si="990"/>
        <v>1</v>
      </c>
      <c r="EJ461" t="b">
        <f t="shared" si="991"/>
        <v>0</v>
      </c>
      <c r="EK461" t="b">
        <f t="shared" si="992"/>
        <v>0</v>
      </c>
    </row>
    <row r="462" spans="1:141">
      <c r="A462" t="s">
        <v>2358</v>
      </c>
      <c r="B462" t="s">
        <v>2358</v>
      </c>
      <c r="C462" t="s">
        <v>2359</v>
      </c>
      <c r="D462" s="1">
        <v>44702</v>
      </c>
      <c r="E462" s="2">
        <v>44778.003865740742</v>
      </c>
      <c r="F462" s="2">
        <v>44778.975312499999</v>
      </c>
      <c r="G462">
        <v>22229637</v>
      </c>
      <c r="H462" t="s">
        <v>2360</v>
      </c>
      <c r="I462" s="10" t="s">
        <v>2361</v>
      </c>
      <c r="J462" t="s">
        <v>2362</v>
      </c>
      <c r="K462" s="8" t="b">
        <v>1</v>
      </c>
      <c r="L462" s="10" t="b">
        <v>0</v>
      </c>
      <c r="M462" s="12" t="b">
        <v>0</v>
      </c>
      <c r="N462" t="b">
        <v>0</v>
      </c>
      <c r="O462" t="b">
        <v>0</v>
      </c>
      <c r="P462" t="b">
        <v>0</v>
      </c>
      <c r="Q462">
        <f t="shared" si="869"/>
        <v>7</v>
      </c>
      <c r="R462">
        <f t="shared" si="870"/>
        <v>5</v>
      </c>
      <c r="S462" t="e">
        <f t="shared" ca="1" si="900"/>
        <v>#NAME?</v>
      </c>
      <c r="T462" t="e">
        <f t="shared" ca="1" si="871"/>
        <v>#NAME?</v>
      </c>
      <c r="U462" s="4">
        <f t="shared" si="872"/>
        <v>76.003865740742185</v>
      </c>
      <c r="V462" s="4">
        <f t="shared" si="873"/>
        <v>2.533462191358073</v>
      </c>
      <c r="W462" s="4">
        <f t="shared" si="874"/>
        <v>1</v>
      </c>
      <c r="X462" s="4">
        <f t="shared" si="875"/>
        <v>0</v>
      </c>
      <c r="Y462" s="4">
        <f t="shared" si="876"/>
        <v>0</v>
      </c>
      <c r="Z462" s="4">
        <f t="shared" si="877"/>
        <v>0</v>
      </c>
      <c r="AA462" s="4">
        <f t="shared" si="878"/>
        <v>0</v>
      </c>
      <c r="AB462" s="4">
        <f t="shared" si="879"/>
        <v>0</v>
      </c>
      <c r="AC462" s="4"/>
      <c r="AD462" s="4" t="b">
        <f t="shared" si="880"/>
        <v>0</v>
      </c>
      <c r="AE462" s="4" t="b">
        <f t="shared" si="881"/>
        <v>0</v>
      </c>
      <c r="AF462" s="4" t="b">
        <f t="shared" si="882"/>
        <v>0</v>
      </c>
      <c r="AG462" t="b">
        <f t="shared" si="883"/>
        <v>0</v>
      </c>
      <c r="AH462" t="b">
        <f t="shared" si="884"/>
        <v>0</v>
      </c>
      <c r="AI462" t="b">
        <f t="shared" si="885"/>
        <v>0</v>
      </c>
      <c r="AJ462" t="b">
        <f t="shared" si="886"/>
        <v>0</v>
      </c>
      <c r="AK462" t="b">
        <f t="shared" si="887"/>
        <v>0</v>
      </c>
      <c r="AL462" t="b">
        <f t="shared" si="888"/>
        <v>0</v>
      </c>
      <c r="AM462" t="b">
        <f t="shared" si="889"/>
        <v>0</v>
      </c>
      <c r="AN462" t="b">
        <f t="shared" si="890"/>
        <v>0</v>
      </c>
      <c r="AO462" t="b">
        <f t="shared" si="891"/>
        <v>0</v>
      </c>
      <c r="AP462" t="b">
        <f t="shared" si="892"/>
        <v>0</v>
      </c>
      <c r="AQ462" t="b">
        <f t="shared" si="893"/>
        <v>0</v>
      </c>
      <c r="AR462" t="b">
        <f t="shared" si="894"/>
        <v>0</v>
      </c>
      <c r="AS462" t="b">
        <f t="shared" si="895"/>
        <v>0</v>
      </c>
      <c r="AT462" t="b">
        <f t="shared" si="896"/>
        <v>0</v>
      </c>
      <c r="AU462" t="b">
        <f t="shared" si="897"/>
        <v>0</v>
      </c>
      <c r="AV462" t="b">
        <f t="shared" si="898"/>
        <v>0</v>
      </c>
      <c r="AW462" t="b">
        <f t="shared" si="899"/>
        <v>0</v>
      </c>
      <c r="AX462" t="b">
        <f t="shared" si="901"/>
        <v>0</v>
      </c>
      <c r="AY462" t="b">
        <f t="shared" si="902"/>
        <v>0</v>
      </c>
      <c r="AZ462" t="b">
        <f t="shared" si="903"/>
        <v>0</v>
      </c>
      <c r="BA462" t="b">
        <f t="shared" si="904"/>
        <v>0</v>
      </c>
      <c r="BB462" t="b">
        <f t="shared" si="905"/>
        <v>0</v>
      </c>
      <c r="BC462" t="b">
        <f t="shared" si="906"/>
        <v>0</v>
      </c>
      <c r="BD462" t="b">
        <f t="shared" si="907"/>
        <v>0</v>
      </c>
      <c r="BE462" t="b">
        <f t="shared" si="908"/>
        <v>0</v>
      </c>
      <c r="BF462" t="b">
        <f t="shared" si="909"/>
        <v>0</v>
      </c>
      <c r="BG462" t="b">
        <f t="shared" si="910"/>
        <v>0</v>
      </c>
      <c r="BH462" t="b">
        <f t="shared" si="911"/>
        <v>0</v>
      </c>
      <c r="BI462">
        <f t="shared" si="912"/>
        <v>1</v>
      </c>
      <c r="BJ462" t="b">
        <f t="shared" si="913"/>
        <v>0</v>
      </c>
      <c r="BK462" t="b">
        <f t="shared" si="914"/>
        <v>0</v>
      </c>
      <c r="BL462" t="b">
        <f t="shared" si="915"/>
        <v>0</v>
      </c>
      <c r="BM462" t="b">
        <f t="shared" si="916"/>
        <v>0</v>
      </c>
      <c r="BN462" t="b">
        <f t="shared" si="917"/>
        <v>0</v>
      </c>
      <c r="BO462" t="b">
        <f t="shared" si="918"/>
        <v>0</v>
      </c>
      <c r="BP462" t="b">
        <f t="shared" si="919"/>
        <v>0</v>
      </c>
      <c r="BQ462" t="b">
        <f t="shared" si="920"/>
        <v>0</v>
      </c>
      <c r="BR462" t="b">
        <f t="shared" si="921"/>
        <v>0</v>
      </c>
      <c r="BS462" t="b">
        <f t="shared" si="922"/>
        <v>0</v>
      </c>
      <c r="BT462" t="b">
        <f t="shared" si="923"/>
        <v>0</v>
      </c>
      <c r="BU462" t="b">
        <f t="shared" si="924"/>
        <v>0</v>
      </c>
      <c r="BV462" t="b">
        <f t="shared" si="925"/>
        <v>0</v>
      </c>
      <c r="BW462" t="b">
        <f t="shared" si="926"/>
        <v>0</v>
      </c>
      <c r="BX462" t="b">
        <f t="shared" si="927"/>
        <v>0</v>
      </c>
      <c r="BY462" t="b">
        <f t="shared" si="928"/>
        <v>0</v>
      </c>
      <c r="BZ462" t="b">
        <f t="shared" si="929"/>
        <v>0</v>
      </c>
      <c r="CA462" t="b">
        <f t="shared" si="930"/>
        <v>0</v>
      </c>
      <c r="CB462" t="b">
        <f t="shared" si="931"/>
        <v>0</v>
      </c>
      <c r="CC462" t="b">
        <f t="shared" si="932"/>
        <v>0</v>
      </c>
      <c r="CD462" t="b">
        <f t="shared" si="933"/>
        <v>0</v>
      </c>
      <c r="CE462">
        <f t="shared" si="934"/>
        <v>1</v>
      </c>
      <c r="CF462" t="b">
        <f t="shared" si="935"/>
        <v>0</v>
      </c>
      <c r="CG462" t="b">
        <f t="shared" si="936"/>
        <v>0</v>
      </c>
      <c r="CH462" t="b">
        <f t="shared" si="937"/>
        <v>0</v>
      </c>
      <c r="CI462" t="b">
        <f t="shared" si="938"/>
        <v>0</v>
      </c>
      <c r="CJ462" t="b">
        <f t="shared" si="939"/>
        <v>0</v>
      </c>
      <c r="CK462" t="b">
        <f t="shared" si="940"/>
        <v>0</v>
      </c>
      <c r="CL462" t="b">
        <f t="shared" si="941"/>
        <v>0</v>
      </c>
      <c r="CM462" t="b">
        <f t="shared" si="942"/>
        <v>0</v>
      </c>
      <c r="CN462" t="b">
        <f t="shared" si="943"/>
        <v>0</v>
      </c>
      <c r="CO462" t="b">
        <f t="shared" si="944"/>
        <v>0</v>
      </c>
      <c r="CP462" t="b">
        <f t="shared" si="945"/>
        <v>0</v>
      </c>
      <c r="CQ462" t="b">
        <f t="shared" si="946"/>
        <v>0</v>
      </c>
      <c r="CR462" t="b">
        <f t="shared" si="947"/>
        <v>0</v>
      </c>
      <c r="CS462" t="b">
        <f t="shared" si="948"/>
        <v>0</v>
      </c>
      <c r="CT462" t="b">
        <f t="shared" si="949"/>
        <v>0</v>
      </c>
      <c r="CU462" t="b">
        <f t="shared" si="950"/>
        <v>0</v>
      </c>
      <c r="CV462" t="b">
        <f t="shared" si="951"/>
        <v>0</v>
      </c>
      <c r="CW462" t="b">
        <f t="shared" si="952"/>
        <v>0</v>
      </c>
      <c r="CX462" t="b">
        <f t="shared" si="953"/>
        <v>0</v>
      </c>
      <c r="CY462" t="b">
        <f t="shared" si="954"/>
        <v>0</v>
      </c>
      <c r="CZ462" t="b">
        <f t="shared" si="955"/>
        <v>0</v>
      </c>
      <c r="DA462" t="b">
        <f t="shared" si="956"/>
        <v>0</v>
      </c>
      <c r="DB462" t="b">
        <f t="shared" si="957"/>
        <v>0</v>
      </c>
      <c r="DC462" t="b">
        <f t="shared" si="958"/>
        <v>0</v>
      </c>
      <c r="DD462" t="b">
        <f t="shared" si="959"/>
        <v>0</v>
      </c>
      <c r="DE462" t="b">
        <f t="shared" si="960"/>
        <v>0</v>
      </c>
      <c r="DF462" t="b">
        <f t="shared" si="961"/>
        <v>0</v>
      </c>
      <c r="DG462" t="b">
        <f t="shared" si="962"/>
        <v>0</v>
      </c>
      <c r="DH462" t="b">
        <f t="shared" si="963"/>
        <v>0</v>
      </c>
      <c r="DI462" t="b">
        <f t="shared" si="964"/>
        <v>0</v>
      </c>
      <c r="DJ462" t="b">
        <f t="shared" si="965"/>
        <v>0</v>
      </c>
      <c r="DK462" t="b">
        <f t="shared" si="966"/>
        <v>0</v>
      </c>
      <c r="DL462" t="b">
        <f t="shared" si="967"/>
        <v>0</v>
      </c>
      <c r="DM462" t="b">
        <f t="shared" si="968"/>
        <v>0</v>
      </c>
      <c r="DN462" t="b">
        <f t="shared" si="969"/>
        <v>0</v>
      </c>
      <c r="DO462" t="b">
        <f t="shared" si="970"/>
        <v>0</v>
      </c>
      <c r="DP462" t="b">
        <f t="shared" si="971"/>
        <v>0</v>
      </c>
      <c r="DQ462" t="b">
        <f t="shared" si="972"/>
        <v>0</v>
      </c>
      <c r="DR462" t="b">
        <f t="shared" si="973"/>
        <v>0</v>
      </c>
      <c r="DS462" t="b">
        <f t="shared" si="974"/>
        <v>0</v>
      </c>
      <c r="DT462" t="b">
        <f t="shared" si="975"/>
        <v>0</v>
      </c>
      <c r="DU462" t="b">
        <f t="shared" si="976"/>
        <v>0</v>
      </c>
      <c r="DV462" t="b">
        <f t="shared" si="977"/>
        <v>0</v>
      </c>
      <c r="DW462" t="b">
        <f t="shared" si="978"/>
        <v>0</v>
      </c>
      <c r="DX462" t="b">
        <f t="shared" si="979"/>
        <v>0</v>
      </c>
      <c r="DY462" t="b">
        <f t="shared" si="980"/>
        <v>0</v>
      </c>
      <c r="DZ462" t="b">
        <f t="shared" si="981"/>
        <v>0</v>
      </c>
      <c r="EA462" t="b">
        <f t="shared" si="982"/>
        <v>0</v>
      </c>
      <c r="EB462">
        <f t="shared" si="983"/>
        <v>1</v>
      </c>
      <c r="EC462" t="b">
        <f t="shared" si="984"/>
        <v>0</v>
      </c>
      <c r="ED462" t="b">
        <f t="shared" si="985"/>
        <v>0</v>
      </c>
      <c r="EE462" t="b">
        <f t="shared" si="986"/>
        <v>0</v>
      </c>
      <c r="EF462" t="b">
        <f t="shared" si="987"/>
        <v>0</v>
      </c>
      <c r="EG462" t="b">
        <f t="shared" si="988"/>
        <v>0</v>
      </c>
      <c r="EH462" t="b">
        <f t="shared" si="989"/>
        <v>0</v>
      </c>
      <c r="EI462" t="b">
        <f t="shared" si="990"/>
        <v>0</v>
      </c>
      <c r="EJ462" t="b">
        <f t="shared" si="991"/>
        <v>0</v>
      </c>
      <c r="EK462" t="b">
        <f t="shared" si="992"/>
        <v>0</v>
      </c>
    </row>
    <row r="463" spans="1:141">
      <c r="A463" t="s">
        <v>2363</v>
      </c>
      <c r="B463" t="s">
        <v>2363</v>
      </c>
      <c r="C463" t="s">
        <v>2364</v>
      </c>
      <c r="D463" s="1">
        <v>43647</v>
      </c>
      <c r="E463" s="2">
        <v>44006.462199074071</v>
      </c>
      <c r="F463" s="2">
        <v>44006.462199074071</v>
      </c>
      <c r="G463">
        <v>3805863</v>
      </c>
      <c r="H463" t="s">
        <v>2365</v>
      </c>
      <c r="I463" s="10" t="s">
        <v>2366</v>
      </c>
      <c r="J463" t="s">
        <v>156</v>
      </c>
      <c r="K463" s="8" t="b">
        <v>1</v>
      </c>
      <c r="L463" s="10" t="b">
        <v>0</v>
      </c>
      <c r="M463" s="12" t="b">
        <v>0</v>
      </c>
      <c r="N463" t="b">
        <v>0</v>
      </c>
      <c r="O463" t="b">
        <v>0</v>
      </c>
      <c r="P463" t="b">
        <v>0</v>
      </c>
      <c r="Q463">
        <f t="shared" si="869"/>
        <v>2</v>
      </c>
      <c r="R463">
        <f t="shared" si="870"/>
        <v>7</v>
      </c>
      <c r="S463" t="e">
        <f t="shared" ca="1" si="900"/>
        <v>#NAME?</v>
      </c>
      <c r="T463" t="e">
        <f t="shared" ca="1" si="871"/>
        <v>#NAME?</v>
      </c>
      <c r="U463" s="4">
        <f t="shared" si="872"/>
        <v>359.46219907407067</v>
      </c>
      <c r="V463" s="4">
        <f t="shared" si="873"/>
        <v>11.982073302469022</v>
      </c>
      <c r="W463" s="4">
        <f t="shared" si="874"/>
        <v>1</v>
      </c>
      <c r="X463" s="4">
        <f t="shared" si="875"/>
        <v>0</v>
      </c>
      <c r="Y463" s="4">
        <f t="shared" si="876"/>
        <v>0</v>
      </c>
      <c r="Z463" s="4">
        <f t="shared" si="877"/>
        <v>0</v>
      </c>
      <c r="AA463" s="4">
        <f t="shared" si="878"/>
        <v>0</v>
      </c>
      <c r="AB463" s="4">
        <f t="shared" si="879"/>
        <v>0</v>
      </c>
      <c r="AC463" s="4"/>
      <c r="AD463" s="4" t="b">
        <f t="shared" si="880"/>
        <v>0</v>
      </c>
      <c r="AE463" s="4" t="b">
        <f t="shared" si="881"/>
        <v>0</v>
      </c>
      <c r="AF463" s="4" t="b">
        <f t="shared" si="882"/>
        <v>0</v>
      </c>
      <c r="AG463" t="b">
        <f t="shared" si="883"/>
        <v>0</v>
      </c>
      <c r="AH463" t="b">
        <f t="shared" si="884"/>
        <v>0</v>
      </c>
      <c r="AI463" t="b">
        <f t="shared" si="885"/>
        <v>0</v>
      </c>
      <c r="AJ463" t="b">
        <f t="shared" si="886"/>
        <v>0</v>
      </c>
      <c r="AK463" t="b">
        <f t="shared" si="887"/>
        <v>0</v>
      </c>
      <c r="AL463" t="b">
        <f t="shared" si="888"/>
        <v>0</v>
      </c>
      <c r="AM463" t="b">
        <f t="shared" si="889"/>
        <v>0</v>
      </c>
      <c r="AN463" t="b">
        <f t="shared" si="890"/>
        <v>0</v>
      </c>
      <c r="AO463" t="b">
        <f t="shared" si="891"/>
        <v>0</v>
      </c>
      <c r="AP463" t="b">
        <f t="shared" si="892"/>
        <v>0</v>
      </c>
      <c r="AQ463" t="b">
        <f t="shared" si="893"/>
        <v>0</v>
      </c>
      <c r="AR463" t="b">
        <f t="shared" si="894"/>
        <v>0</v>
      </c>
      <c r="AS463" t="b">
        <f t="shared" si="895"/>
        <v>0</v>
      </c>
      <c r="AT463" t="b">
        <f t="shared" si="896"/>
        <v>0</v>
      </c>
      <c r="AU463" t="b">
        <f t="shared" si="897"/>
        <v>0</v>
      </c>
      <c r="AV463" t="b">
        <f t="shared" si="898"/>
        <v>0</v>
      </c>
      <c r="AW463" t="b">
        <f t="shared" si="899"/>
        <v>0</v>
      </c>
      <c r="AX463" t="b">
        <f t="shared" si="901"/>
        <v>0</v>
      </c>
      <c r="AY463" t="b">
        <f t="shared" si="902"/>
        <v>0</v>
      </c>
      <c r="AZ463" t="b">
        <f t="shared" si="903"/>
        <v>0</v>
      </c>
      <c r="BA463" t="b">
        <f t="shared" si="904"/>
        <v>0</v>
      </c>
      <c r="BB463" t="b">
        <f t="shared" si="905"/>
        <v>0</v>
      </c>
      <c r="BC463" t="b">
        <f t="shared" si="906"/>
        <v>0</v>
      </c>
      <c r="BD463" t="b">
        <f t="shared" si="907"/>
        <v>0</v>
      </c>
      <c r="BE463" t="b">
        <f t="shared" si="908"/>
        <v>0</v>
      </c>
      <c r="BF463" t="b">
        <f t="shared" si="909"/>
        <v>0</v>
      </c>
      <c r="BG463" t="b">
        <f t="shared" si="910"/>
        <v>0</v>
      </c>
      <c r="BH463" t="b">
        <f t="shared" si="911"/>
        <v>0</v>
      </c>
      <c r="BI463">
        <f t="shared" si="912"/>
        <v>1</v>
      </c>
      <c r="BJ463" t="b">
        <f t="shared" si="913"/>
        <v>0</v>
      </c>
      <c r="BK463" t="b">
        <f t="shared" si="914"/>
        <v>0</v>
      </c>
      <c r="BL463" t="b">
        <f t="shared" si="915"/>
        <v>0</v>
      </c>
      <c r="BM463" t="b">
        <f t="shared" si="916"/>
        <v>0</v>
      </c>
      <c r="BN463" t="b">
        <f t="shared" si="917"/>
        <v>0</v>
      </c>
      <c r="BO463" t="b">
        <f t="shared" si="918"/>
        <v>0</v>
      </c>
      <c r="BP463" t="b">
        <f t="shared" si="919"/>
        <v>0</v>
      </c>
      <c r="BQ463" t="b">
        <f t="shared" si="920"/>
        <v>0</v>
      </c>
      <c r="BR463" t="b">
        <f t="shared" si="921"/>
        <v>0</v>
      </c>
      <c r="BS463" t="b">
        <f t="shared" si="922"/>
        <v>0</v>
      </c>
      <c r="BT463" t="b">
        <f t="shared" si="923"/>
        <v>0</v>
      </c>
      <c r="BU463" t="b">
        <f t="shared" si="924"/>
        <v>0</v>
      </c>
      <c r="BV463" t="b">
        <f t="shared" si="925"/>
        <v>0</v>
      </c>
      <c r="BW463" t="b">
        <f t="shared" si="926"/>
        <v>0</v>
      </c>
      <c r="BX463" t="b">
        <f t="shared" si="927"/>
        <v>0</v>
      </c>
      <c r="BY463" t="b">
        <f t="shared" si="928"/>
        <v>0</v>
      </c>
      <c r="BZ463" t="b">
        <f t="shared" si="929"/>
        <v>0</v>
      </c>
      <c r="CA463" t="b">
        <f t="shared" si="930"/>
        <v>0</v>
      </c>
      <c r="CB463" t="b">
        <f t="shared" si="931"/>
        <v>0</v>
      </c>
      <c r="CC463" t="b">
        <f t="shared" si="932"/>
        <v>0</v>
      </c>
      <c r="CD463" t="b">
        <f t="shared" si="933"/>
        <v>0</v>
      </c>
      <c r="CE463" t="b">
        <f t="shared" si="934"/>
        <v>0</v>
      </c>
      <c r="CF463" t="b">
        <f t="shared" si="935"/>
        <v>0</v>
      </c>
      <c r="CG463" t="b">
        <f t="shared" si="936"/>
        <v>0</v>
      </c>
      <c r="CH463" t="b">
        <f t="shared" si="937"/>
        <v>0</v>
      </c>
      <c r="CI463" t="b">
        <f t="shared" si="938"/>
        <v>0</v>
      </c>
      <c r="CJ463" t="b">
        <f t="shared" si="939"/>
        <v>0</v>
      </c>
      <c r="CK463" t="b">
        <f t="shared" si="940"/>
        <v>0</v>
      </c>
      <c r="CL463" t="b">
        <f t="shared" si="941"/>
        <v>0</v>
      </c>
      <c r="CM463" t="b">
        <f t="shared" si="942"/>
        <v>0</v>
      </c>
      <c r="CN463" t="b">
        <f t="shared" si="943"/>
        <v>0</v>
      </c>
      <c r="CO463" t="b">
        <f t="shared" si="944"/>
        <v>0</v>
      </c>
      <c r="CP463" t="b">
        <f t="shared" si="945"/>
        <v>0</v>
      </c>
      <c r="CQ463" t="b">
        <f t="shared" si="946"/>
        <v>0</v>
      </c>
      <c r="CR463" t="b">
        <f t="shared" si="947"/>
        <v>0</v>
      </c>
      <c r="CS463" t="b">
        <f t="shared" si="948"/>
        <v>0</v>
      </c>
      <c r="CT463" t="b">
        <f t="shared" si="949"/>
        <v>0</v>
      </c>
      <c r="CU463" t="b">
        <f t="shared" si="950"/>
        <v>0</v>
      </c>
      <c r="CV463">
        <f t="shared" si="951"/>
        <v>1</v>
      </c>
      <c r="CW463" t="b">
        <f t="shared" si="952"/>
        <v>0</v>
      </c>
      <c r="CX463" t="b">
        <f t="shared" si="953"/>
        <v>0</v>
      </c>
      <c r="CY463" t="b">
        <f t="shared" si="954"/>
        <v>0</v>
      </c>
      <c r="CZ463" t="b">
        <f t="shared" si="955"/>
        <v>0</v>
      </c>
      <c r="DA463" t="b">
        <f t="shared" si="956"/>
        <v>0</v>
      </c>
      <c r="DB463" t="b">
        <f t="shared" si="957"/>
        <v>0</v>
      </c>
      <c r="DC463" t="b">
        <f t="shared" si="958"/>
        <v>0</v>
      </c>
      <c r="DD463" t="b">
        <f t="shared" si="959"/>
        <v>0</v>
      </c>
      <c r="DE463" t="b">
        <f t="shared" si="960"/>
        <v>0</v>
      </c>
      <c r="DF463" t="b">
        <f t="shared" si="961"/>
        <v>0</v>
      </c>
      <c r="DG463" t="b">
        <f t="shared" si="962"/>
        <v>0</v>
      </c>
      <c r="DH463" t="b">
        <f t="shared" si="963"/>
        <v>0</v>
      </c>
      <c r="DI463" t="b">
        <f t="shared" si="964"/>
        <v>0</v>
      </c>
      <c r="DJ463" t="b">
        <f t="shared" si="965"/>
        <v>0</v>
      </c>
      <c r="DK463" t="b">
        <f t="shared" si="966"/>
        <v>0</v>
      </c>
      <c r="DL463" t="b">
        <f t="shared" si="967"/>
        <v>0</v>
      </c>
      <c r="DM463" t="b">
        <f t="shared" si="968"/>
        <v>0</v>
      </c>
      <c r="DN463" t="b">
        <f t="shared" si="969"/>
        <v>0</v>
      </c>
      <c r="DO463" t="b">
        <f t="shared" si="970"/>
        <v>0</v>
      </c>
      <c r="DP463" t="b">
        <f t="shared" si="971"/>
        <v>0</v>
      </c>
      <c r="DQ463" t="b">
        <f t="shared" si="972"/>
        <v>0</v>
      </c>
      <c r="DR463" t="b">
        <f t="shared" si="973"/>
        <v>0</v>
      </c>
      <c r="DS463" t="b">
        <f t="shared" si="974"/>
        <v>0</v>
      </c>
      <c r="DT463" t="b">
        <f t="shared" si="975"/>
        <v>0</v>
      </c>
      <c r="DU463" t="b">
        <f t="shared" si="976"/>
        <v>0</v>
      </c>
      <c r="DV463" t="b">
        <f t="shared" si="977"/>
        <v>0</v>
      </c>
      <c r="DW463" t="b">
        <f t="shared" si="978"/>
        <v>0</v>
      </c>
      <c r="DX463" t="b">
        <f t="shared" si="979"/>
        <v>0</v>
      </c>
      <c r="DY463" t="b">
        <f t="shared" si="980"/>
        <v>0</v>
      </c>
      <c r="DZ463" t="b">
        <f t="shared" si="981"/>
        <v>0</v>
      </c>
      <c r="EA463" t="b">
        <f t="shared" si="982"/>
        <v>0</v>
      </c>
      <c r="EB463" t="b">
        <f t="shared" si="983"/>
        <v>0</v>
      </c>
      <c r="EC463" t="b">
        <f t="shared" si="984"/>
        <v>0</v>
      </c>
      <c r="ED463" t="b">
        <f t="shared" si="985"/>
        <v>0</v>
      </c>
      <c r="EE463" t="b">
        <f t="shared" si="986"/>
        <v>0</v>
      </c>
      <c r="EF463">
        <f t="shared" si="987"/>
        <v>1</v>
      </c>
      <c r="EG463" t="b">
        <f t="shared" si="988"/>
        <v>0</v>
      </c>
      <c r="EH463" t="b">
        <f t="shared" si="989"/>
        <v>0</v>
      </c>
      <c r="EI463" t="b">
        <f t="shared" si="990"/>
        <v>0</v>
      </c>
      <c r="EJ463" t="b">
        <f t="shared" si="991"/>
        <v>0</v>
      </c>
      <c r="EK463" t="b">
        <f t="shared" si="992"/>
        <v>0</v>
      </c>
    </row>
    <row r="464" spans="1:141">
      <c r="A464" t="s">
        <v>2367</v>
      </c>
      <c r="B464" t="s">
        <v>2367</v>
      </c>
      <c r="C464" t="s">
        <v>2368</v>
      </c>
      <c r="D464" s="1">
        <v>42352</v>
      </c>
      <c r="E464" s="2">
        <v>42721.322581018518</v>
      </c>
      <c r="F464" s="2">
        <v>42721.322581018518</v>
      </c>
      <c r="G464">
        <v>4907802</v>
      </c>
      <c r="H464" t="s">
        <v>2369</v>
      </c>
      <c r="I464" s="10" t="s">
        <v>2370</v>
      </c>
      <c r="J464" t="s">
        <v>985</v>
      </c>
      <c r="K464" s="8" t="b">
        <v>1</v>
      </c>
      <c r="L464" s="10" t="b">
        <v>0</v>
      </c>
      <c r="M464" s="12" t="b">
        <v>0</v>
      </c>
      <c r="N464" t="b">
        <v>0</v>
      </c>
      <c r="O464" t="b">
        <v>0</v>
      </c>
      <c r="P464" t="b">
        <v>0</v>
      </c>
      <c r="Q464">
        <f t="shared" si="869"/>
        <v>2</v>
      </c>
      <c r="R464">
        <f t="shared" si="870"/>
        <v>12</v>
      </c>
      <c r="S464" t="e">
        <f t="shared" ca="1" si="900"/>
        <v>#NAME?</v>
      </c>
      <c r="T464" t="e">
        <f t="shared" ca="1" si="871"/>
        <v>#NAME?</v>
      </c>
      <c r="U464" s="4">
        <f t="shared" si="872"/>
        <v>369.32258101851767</v>
      </c>
      <c r="V464" s="4">
        <f t="shared" si="873"/>
        <v>12.310752700617256</v>
      </c>
      <c r="W464" s="4">
        <f t="shared" si="874"/>
        <v>1</v>
      </c>
      <c r="X464" s="4">
        <f t="shared" si="875"/>
        <v>0</v>
      </c>
      <c r="Y464" s="4">
        <f t="shared" si="876"/>
        <v>0</v>
      </c>
      <c r="Z464" s="4">
        <f t="shared" si="877"/>
        <v>0</v>
      </c>
      <c r="AA464" s="4">
        <f t="shared" si="878"/>
        <v>0</v>
      </c>
      <c r="AB464" s="4">
        <f t="shared" si="879"/>
        <v>0</v>
      </c>
      <c r="AC464" s="4"/>
      <c r="AD464" s="4" t="b">
        <f t="shared" si="880"/>
        <v>0</v>
      </c>
      <c r="AE464" s="4" t="b">
        <f t="shared" si="881"/>
        <v>0</v>
      </c>
      <c r="AF464" s="4" t="b">
        <f t="shared" si="882"/>
        <v>0</v>
      </c>
      <c r="AG464" t="b">
        <f t="shared" si="883"/>
        <v>0</v>
      </c>
      <c r="AH464" t="b">
        <f t="shared" si="884"/>
        <v>0</v>
      </c>
      <c r="AI464" t="b">
        <f t="shared" si="885"/>
        <v>0</v>
      </c>
      <c r="AJ464" t="b">
        <f t="shared" si="886"/>
        <v>0</v>
      </c>
      <c r="AK464" t="b">
        <f t="shared" si="887"/>
        <v>0</v>
      </c>
      <c r="AL464" t="b">
        <f t="shared" si="888"/>
        <v>0</v>
      </c>
      <c r="AM464" t="b">
        <f t="shared" si="889"/>
        <v>0</v>
      </c>
      <c r="AN464" t="b">
        <f t="shared" si="890"/>
        <v>0</v>
      </c>
      <c r="AO464" t="b">
        <f t="shared" si="891"/>
        <v>0</v>
      </c>
      <c r="AP464" t="b">
        <f t="shared" si="892"/>
        <v>0</v>
      </c>
      <c r="AQ464" t="b">
        <f t="shared" si="893"/>
        <v>0</v>
      </c>
      <c r="AR464" t="b">
        <f t="shared" si="894"/>
        <v>0</v>
      </c>
      <c r="AS464" t="b">
        <f t="shared" si="895"/>
        <v>0</v>
      </c>
      <c r="AT464" t="b">
        <f t="shared" si="896"/>
        <v>0</v>
      </c>
      <c r="AU464" t="b">
        <f t="shared" si="897"/>
        <v>0</v>
      </c>
      <c r="AV464" t="b">
        <f t="shared" si="898"/>
        <v>0</v>
      </c>
      <c r="AW464" t="b">
        <f t="shared" si="899"/>
        <v>0</v>
      </c>
      <c r="AX464" t="b">
        <f t="shared" si="901"/>
        <v>0</v>
      </c>
      <c r="AY464" t="b">
        <f t="shared" si="902"/>
        <v>0</v>
      </c>
      <c r="AZ464">
        <f t="shared" si="903"/>
        <v>1</v>
      </c>
      <c r="BA464" t="b">
        <f t="shared" si="904"/>
        <v>0</v>
      </c>
      <c r="BB464" t="b">
        <f t="shared" si="905"/>
        <v>0</v>
      </c>
      <c r="BC464" t="b">
        <f t="shared" si="906"/>
        <v>0</v>
      </c>
      <c r="BD464" t="b">
        <f t="shared" si="907"/>
        <v>0</v>
      </c>
      <c r="BE464" t="b">
        <f t="shared" si="908"/>
        <v>0</v>
      </c>
      <c r="BF464" t="b">
        <f t="shared" si="909"/>
        <v>0</v>
      </c>
      <c r="BG464" t="b">
        <f t="shared" si="910"/>
        <v>0</v>
      </c>
      <c r="BH464" t="b">
        <f t="shared" si="911"/>
        <v>0</v>
      </c>
      <c r="BI464">
        <f t="shared" si="912"/>
        <v>1</v>
      </c>
      <c r="BJ464" t="b">
        <f t="shared" si="913"/>
        <v>0</v>
      </c>
      <c r="BK464" t="b">
        <f t="shared" si="914"/>
        <v>0</v>
      </c>
      <c r="BL464" t="b">
        <f t="shared" si="915"/>
        <v>0</v>
      </c>
      <c r="BM464" t="b">
        <f t="shared" si="916"/>
        <v>0</v>
      </c>
      <c r="BN464" t="b">
        <f t="shared" si="917"/>
        <v>0</v>
      </c>
      <c r="BO464" t="b">
        <f t="shared" si="918"/>
        <v>0</v>
      </c>
      <c r="BP464" t="b">
        <f t="shared" si="919"/>
        <v>0</v>
      </c>
      <c r="BQ464" t="b">
        <f t="shared" si="920"/>
        <v>0</v>
      </c>
      <c r="BR464" t="b">
        <f t="shared" si="921"/>
        <v>0</v>
      </c>
      <c r="BS464" t="b">
        <f t="shared" si="922"/>
        <v>0</v>
      </c>
      <c r="BT464" t="b">
        <f t="shared" si="923"/>
        <v>0</v>
      </c>
      <c r="BU464" t="b">
        <f t="shared" si="924"/>
        <v>0</v>
      </c>
      <c r="BV464" t="b">
        <f t="shared" si="925"/>
        <v>0</v>
      </c>
      <c r="BW464" t="b">
        <f t="shared" si="926"/>
        <v>0</v>
      </c>
      <c r="BX464" t="b">
        <f t="shared" si="927"/>
        <v>0</v>
      </c>
      <c r="BY464" t="b">
        <f t="shared" si="928"/>
        <v>0</v>
      </c>
      <c r="BZ464" t="b">
        <f t="shared" si="929"/>
        <v>0</v>
      </c>
      <c r="CA464" t="b">
        <f t="shared" si="930"/>
        <v>0</v>
      </c>
      <c r="CB464" t="b">
        <f t="shared" si="931"/>
        <v>0</v>
      </c>
      <c r="CC464" t="b">
        <f t="shared" si="932"/>
        <v>0</v>
      </c>
      <c r="CD464" t="b">
        <f t="shared" si="933"/>
        <v>0</v>
      </c>
      <c r="CE464">
        <f t="shared" si="934"/>
        <v>1</v>
      </c>
      <c r="CF464" t="b">
        <f t="shared" si="935"/>
        <v>0</v>
      </c>
      <c r="CG464" t="b">
        <f t="shared" si="936"/>
        <v>0</v>
      </c>
      <c r="CH464" t="b">
        <f t="shared" si="937"/>
        <v>0</v>
      </c>
      <c r="CI464" t="b">
        <f t="shared" si="938"/>
        <v>0</v>
      </c>
      <c r="CJ464" t="b">
        <f t="shared" si="939"/>
        <v>0</v>
      </c>
      <c r="CK464" t="b">
        <f t="shared" si="940"/>
        <v>0</v>
      </c>
      <c r="CL464" t="b">
        <f t="shared" si="941"/>
        <v>0</v>
      </c>
      <c r="CM464" t="b">
        <f t="shared" si="942"/>
        <v>0</v>
      </c>
      <c r="CN464" t="b">
        <f t="shared" si="943"/>
        <v>0</v>
      </c>
      <c r="CO464" t="b">
        <f t="shared" si="944"/>
        <v>0</v>
      </c>
      <c r="CP464" t="b">
        <f t="shared" si="945"/>
        <v>0</v>
      </c>
      <c r="CQ464" t="b">
        <f t="shared" si="946"/>
        <v>0</v>
      </c>
      <c r="CR464" t="b">
        <f t="shared" si="947"/>
        <v>0</v>
      </c>
      <c r="CS464" t="b">
        <f t="shared" si="948"/>
        <v>0</v>
      </c>
      <c r="CT464" t="b">
        <f t="shared" si="949"/>
        <v>0</v>
      </c>
      <c r="CU464" t="b">
        <f t="shared" si="950"/>
        <v>0</v>
      </c>
      <c r="CV464">
        <f t="shared" si="951"/>
        <v>1</v>
      </c>
      <c r="CW464" t="b">
        <f t="shared" si="952"/>
        <v>0</v>
      </c>
      <c r="CX464" t="b">
        <f t="shared" si="953"/>
        <v>0</v>
      </c>
      <c r="CY464" t="b">
        <f t="shared" si="954"/>
        <v>0</v>
      </c>
      <c r="CZ464" t="b">
        <f t="shared" si="955"/>
        <v>0</v>
      </c>
      <c r="DA464" t="b">
        <f t="shared" si="956"/>
        <v>0</v>
      </c>
      <c r="DB464" t="b">
        <f t="shared" si="957"/>
        <v>0</v>
      </c>
      <c r="DC464" t="b">
        <f t="shared" si="958"/>
        <v>0</v>
      </c>
      <c r="DD464" t="b">
        <f t="shared" si="959"/>
        <v>0</v>
      </c>
      <c r="DE464" t="b">
        <f t="shared" si="960"/>
        <v>0</v>
      </c>
      <c r="DF464" t="b">
        <f t="shared" si="961"/>
        <v>0</v>
      </c>
      <c r="DG464" t="b">
        <f t="shared" si="962"/>
        <v>0</v>
      </c>
      <c r="DH464" t="b">
        <f t="shared" si="963"/>
        <v>0</v>
      </c>
      <c r="DI464" t="b">
        <f t="shared" si="964"/>
        <v>0</v>
      </c>
      <c r="DJ464" t="b">
        <f t="shared" si="965"/>
        <v>0</v>
      </c>
      <c r="DK464" t="b">
        <f t="shared" si="966"/>
        <v>0</v>
      </c>
      <c r="DL464" t="b">
        <f t="shared" si="967"/>
        <v>0</v>
      </c>
      <c r="DM464" t="b">
        <f t="shared" si="968"/>
        <v>0</v>
      </c>
      <c r="DN464" t="b">
        <f t="shared" si="969"/>
        <v>0</v>
      </c>
      <c r="DO464" t="b">
        <f t="shared" si="970"/>
        <v>0</v>
      </c>
      <c r="DP464" t="b">
        <f t="shared" si="971"/>
        <v>0</v>
      </c>
      <c r="DQ464" t="b">
        <f t="shared" si="972"/>
        <v>0</v>
      </c>
      <c r="DR464" t="b">
        <f t="shared" si="973"/>
        <v>0</v>
      </c>
      <c r="DS464" t="b">
        <f t="shared" si="974"/>
        <v>0</v>
      </c>
      <c r="DT464" t="b">
        <f t="shared" si="975"/>
        <v>0</v>
      </c>
      <c r="DU464" t="b">
        <f t="shared" si="976"/>
        <v>0</v>
      </c>
      <c r="DV464" t="b">
        <f t="shared" si="977"/>
        <v>0</v>
      </c>
      <c r="DW464" t="b">
        <f t="shared" si="978"/>
        <v>0</v>
      </c>
      <c r="DX464" t="b">
        <f t="shared" si="979"/>
        <v>0</v>
      </c>
      <c r="DY464" t="b">
        <f t="shared" si="980"/>
        <v>0</v>
      </c>
      <c r="DZ464" t="b">
        <f t="shared" si="981"/>
        <v>0</v>
      </c>
      <c r="EA464" t="b">
        <f t="shared" si="982"/>
        <v>0</v>
      </c>
      <c r="EB464" t="b">
        <f t="shared" si="983"/>
        <v>0</v>
      </c>
      <c r="EC464" t="b">
        <f t="shared" si="984"/>
        <v>0</v>
      </c>
      <c r="ED464" t="b">
        <f t="shared" si="985"/>
        <v>0</v>
      </c>
      <c r="EE464" t="b">
        <f t="shared" si="986"/>
        <v>0</v>
      </c>
      <c r="EF464">
        <f t="shared" si="987"/>
        <v>1</v>
      </c>
      <c r="EG464" t="b">
        <f t="shared" si="988"/>
        <v>0</v>
      </c>
      <c r="EH464" t="b">
        <f t="shared" si="989"/>
        <v>0</v>
      </c>
      <c r="EI464">
        <f t="shared" si="990"/>
        <v>1</v>
      </c>
      <c r="EJ464" t="b">
        <f t="shared" si="991"/>
        <v>0</v>
      </c>
      <c r="EK464" t="b">
        <f t="shared" si="992"/>
        <v>0</v>
      </c>
    </row>
    <row r="465" spans="1:141">
      <c r="A465" t="s">
        <v>2371</v>
      </c>
      <c r="B465" t="s">
        <v>2372</v>
      </c>
      <c r="C465" t="s">
        <v>2373</v>
      </c>
      <c r="D465" s="1">
        <v>42736</v>
      </c>
      <c r="E465" s="2">
        <v>42850.461446759262</v>
      </c>
      <c r="F465" s="2">
        <v>42850.461446759262</v>
      </c>
      <c r="G465">
        <v>1023466</v>
      </c>
      <c r="H465" t="s">
        <v>2374</v>
      </c>
      <c r="I465" s="10" t="s">
        <v>2375</v>
      </c>
      <c r="J465" t="s">
        <v>1187</v>
      </c>
      <c r="K465" s="8" t="b">
        <v>1</v>
      </c>
      <c r="L465" s="10" t="b">
        <v>0</v>
      </c>
      <c r="M465" s="12" t="b">
        <v>0</v>
      </c>
      <c r="N465" t="b">
        <v>0</v>
      </c>
      <c r="O465" t="b">
        <v>0</v>
      </c>
      <c r="P465" t="b">
        <v>0</v>
      </c>
      <c r="Q465">
        <f t="shared" si="869"/>
        <v>1</v>
      </c>
      <c r="R465">
        <f t="shared" si="870"/>
        <v>1</v>
      </c>
      <c r="S465" t="e">
        <f t="shared" ca="1" si="900"/>
        <v>#NAME?</v>
      </c>
      <c r="T465" t="e">
        <f t="shared" ca="1" si="871"/>
        <v>#NAME?</v>
      </c>
      <c r="U465" s="4">
        <f t="shared" si="872"/>
        <v>114.46144675926189</v>
      </c>
      <c r="V465" s="4">
        <f t="shared" si="873"/>
        <v>3.8153815586420632</v>
      </c>
      <c r="W465" s="4">
        <f t="shared" si="874"/>
        <v>1</v>
      </c>
      <c r="X465" s="4">
        <f t="shared" si="875"/>
        <v>0</v>
      </c>
      <c r="Y465" s="4">
        <f t="shared" si="876"/>
        <v>0</v>
      </c>
      <c r="Z465" s="4">
        <f t="shared" si="877"/>
        <v>0</v>
      </c>
      <c r="AA465" s="4">
        <f t="shared" si="878"/>
        <v>0</v>
      </c>
      <c r="AB465" s="4">
        <f t="shared" si="879"/>
        <v>0</v>
      </c>
      <c r="AC465" s="4"/>
      <c r="AD465" s="4" t="b">
        <f t="shared" si="880"/>
        <v>0</v>
      </c>
      <c r="AE465" s="4" t="b">
        <f t="shared" si="881"/>
        <v>0</v>
      </c>
      <c r="AF465" s="4" t="b">
        <f t="shared" si="882"/>
        <v>0</v>
      </c>
      <c r="AG465" t="b">
        <f t="shared" si="883"/>
        <v>0</v>
      </c>
      <c r="AH465" t="b">
        <f t="shared" si="884"/>
        <v>0</v>
      </c>
      <c r="AI465" t="b">
        <f t="shared" si="885"/>
        <v>0</v>
      </c>
      <c r="AJ465" t="b">
        <f t="shared" si="886"/>
        <v>0</v>
      </c>
      <c r="AK465" t="b">
        <f t="shared" si="887"/>
        <v>0</v>
      </c>
      <c r="AL465" t="b">
        <f t="shared" si="888"/>
        <v>0</v>
      </c>
      <c r="AM465" t="b">
        <f t="shared" si="889"/>
        <v>0</v>
      </c>
      <c r="AN465" t="b">
        <f t="shared" si="890"/>
        <v>0</v>
      </c>
      <c r="AO465" t="b">
        <f t="shared" si="891"/>
        <v>0</v>
      </c>
      <c r="AP465" t="b">
        <f t="shared" si="892"/>
        <v>0</v>
      </c>
      <c r="AQ465" t="b">
        <f t="shared" si="893"/>
        <v>0</v>
      </c>
      <c r="AR465" t="b">
        <f t="shared" si="894"/>
        <v>0</v>
      </c>
      <c r="AS465" t="b">
        <f t="shared" si="895"/>
        <v>0</v>
      </c>
      <c r="AT465" t="b">
        <f t="shared" si="896"/>
        <v>0</v>
      </c>
      <c r="AU465" t="b">
        <f t="shared" si="897"/>
        <v>0</v>
      </c>
      <c r="AV465" t="b">
        <f t="shared" si="898"/>
        <v>0</v>
      </c>
      <c r="AW465" t="b">
        <f t="shared" si="899"/>
        <v>0</v>
      </c>
      <c r="AX465" t="b">
        <f t="shared" si="901"/>
        <v>0</v>
      </c>
      <c r="AY465" t="b">
        <f t="shared" si="902"/>
        <v>0</v>
      </c>
      <c r="AZ465" t="b">
        <f t="shared" si="903"/>
        <v>0</v>
      </c>
      <c r="BA465" t="b">
        <f t="shared" si="904"/>
        <v>0</v>
      </c>
      <c r="BB465" t="b">
        <f t="shared" si="905"/>
        <v>0</v>
      </c>
      <c r="BC465" t="b">
        <f t="shared" si="906"/>
        <v>0</v>
      </c>
      <c r="BD465" t="b">
        <f t="shared" si="907"/>
        <v>0</v>
      </c>
      <c r="BE465" t="b">
        <f t="shared" si="908"/>
        <v>0</v>
      </c>
      <c r="BF465" t="b">
        <f t="shared" si="909"/>
        <v>0</v>
      </c>
      <c r="BG465" t="b">
        <f t="shared" si="910"/>
        <v>0</v>
      </c>
      <c r="BH465" t="b">
        <f t="shared" si="911"/>
        <v>0</v>
      </c>
      <c r="BI465">
        <f t="shared" si="912"/>
        <v>1</v>
      </c>
      <c r="BJ465" t="b">
        <f t="shared" si="913"/>
        <v>0</v>
      </c>
      <c r="BK465" t="b">
        <f t="shared" si="914"/>
        <v>0</v>
      </c>
      <c r="BL465" t="b">
        <f t="shared" si="915"/>
        <v>0</v>
      </c>
      <c r="BM465" t="b">
        <f t="shared" si="916"/>
        <v>0</v>
      </c>
      <c r="BN465" t="b">
        <f t="shared" si="917"/>
        <v>0</v>
      </c>
      <c r="BO465" t="b">
        <f t="shared" si="918"/>
        <v>0</v>
      </c>
      <c r="BP465" t="b">
        <f t="shared" si="919"/>
        <v>0</v>
      </c>
      <c r="BQ465" t="b">
        <f t="shared" si="920"/>
        <v>0</v>
      </c>
      <c r="BR465" t="b">
        <f t="shared" si="921"/>
        <v>0</v>
      </c>
      <c r="BS465" t="b">
        <f t="shared" si="922"/>
        <v>0</v>
      </c>
      <c r="BT465" t="b">
        <f t="shared" si="923"/>
        <v>0</v>
      </c>
      <c r="BU465" t="b">
        <f t="shared" si="924"/>
        <v>0</v>
      </c>
      <c r="BV465" t="b">
        <f t="shared" si="925"/>
        <v>0</v>
      </c>
      <c r="BW465" t="b">
        <f t="shared" si="926"/>
        <v>0</v>
      </c>
      <c r="BX465" t="b">
        <f t="shared" si="927"/>
        <v>0</v>
      </c>
      <c r="BY465" t="b">
        <f t="shared" si="928"/>
        <v>0</v>
      </c>
      <c r="BZ465" t="b">
        <f t="shared" si="929"/>
        <v>0</v>
      </c>
      <c r="CA465" t="b">
        <f t="shared" si="930"/>
        <v>0</v>
      </c>
      <c r="CB465" t="b">
        <f t="shared" si="931"/>
        <v>0</v>
      </c>
      <c r="CC465" t="b">
        <f t="shared" si="932"/>
        <v>0</v>
      </c>
      <c r="CD465" t="b">
        <f t="shared" si="933"/>
        <v>0</v>
      </c>
      <c r="CE465" t="b">
        <f t="shared" si="934"/>
        <v>0</v>
      </c>
      <c r="CF465" t="b">
        <f t="shared" si="935"/>
        <v>0</v>
      </c>
      <c r="CG465" t="b">
        <f t="shared" si="936"/>
        <v>0</v>
      </c>
      <c r="CH465" t="b">
        <f t="shared" si="937"/>
        <v>0</v>
      </c>
      <c r="CI465" t="b">
        <f t="shared" si="938"/>
        <v>0</v>
      </c>
      <c r="CJ465" t="b">
        <f t="shared" si="939"/>
        <v>0</v>
      </c>
      <c r="CK465" t="b">
        <f t="shared" si="940"/>
        <v>0</v>
      </c>
      <c r="CL465" t="b">
        <f t="shared" si="941"/>
        <v>0</v>
      </c>
      <c r="CM465" t="b">
        <f t="shared" si="942"/>
        <v>0</v>
      </c>
      <c r="CN465" t="b">
        <f t="shared" si="943"/>
        <v>0</v>
      </c>
      <c r="CO465" t="b">
        <f t="shared" si="944"/>
        <v>0</v>
      </c>
      <c r="CP465" t="b">
        <f t="shared" si="945"/>
        <v>0</v>
      </c>
      <c r="CQ465" t="b">
        <f t="shared" si="946"/>
        <v>0</v>
      </c>
      <c r="CR465" t="b">
        <f t="shared" si="947"/>
        <v>0</v>
      </c>
      <c r="CS465" t="b">
        <f t="shared" si="948"/>
        <v>0</v>
      </c>
      <c r="CT465" t="b">
        <f t="shared" si="949"/>
        <v>0</v>
      </c>
      <c r="CU465" t="b">
        <f t="shared" si="950"/>
        <v>0</v>
      </c>
      <c r="CV465">
        <f t="shared" si="951"/>
        <v>1</v>
      </c>
      <c r="CW465" t="b">
        <f t="shared" si="952"/>
        <v>0</v>
      </c>
      <c r="CX465" t="b">
        <f t="shared" si="953"/>
        <v>0</v>
      </c>
      <c r="CY465" t="b">
        <f t="shared" si="954"/>
        <v>0</v>
      </c>
      <c r="CZ465" t="b">
        <f t="shared" si="955"/>
        <v>0</v>
      </c>
      <c r="DA465" t="b">
        <f t="shared" si="956"/>
        <v>0</v>
      </c>
      <c r="DB465" t="b">
        <f t="shared" si="957"/>
        <v>0</v>
      </c>
      <c r="DC465" t="b">
        <f t="shared" si="958"/>
        <v>0</v>
      </c>
      <c r="DD465" t="b">
        <f t="shared" si="959"/>
        <v>0</v>
      </c>
      <c r="DE465" t="b">
        <f t="shared" si="960"/>
        <v>0</v>
      </c>
      <c r="DF465" t="b">
        <f t="shared" si="961"/>
        <v>0</v>
      </c>
      <c r="DG465" t="b">
        <f t="shared" si="962"/>
        <v>0</v>
      </c>
      <c r="DH465" t="b">
        <f t="shared" si="963"/>
        <v>0</v>
      </c>
      <c r="DI465" t="b">
        <f t="shared" si="964"/>
        <v>0</v>
      </c>
      <c r="DJ465" t="b">
        <f t="shared" si="965"/>
        <v>0</v>
      </c>
      <c r="DK465" t="b">
        <f t="shared" si="966"/>
        <v>0</v>
      </c>
      <c r="DL465" t="b">
        <f t="shared" si="967"/>
        <v>0</v>
      </c>
      <c r="DM465" t="b">
        <f t="shared" si="968"/>
        <v>0</v>
      </c>
      <c r="DN465" t="b">
        <f t="shared" si="969"/>
        <v>0</v>
      </c>
      <c r="DO465" t="b">
        <f t="shared" si="970"/>
        <v>0</v>
      </c>
      <c r="DP465" t="b">
        <f t="shared" si="971"/>
        <v>0</v>
      </c>
      <c r="DQ465" t="b">
        <f t="shared" si="972"/>
        <v>0</v>
      </c>
      <c r="DR465" t="b">
        <f t="shared" si="973"/>
        <v>0</v>
      </c>
      <c r="DS465" t="b">
        <f t="shared" si="974"/>
        <v>0</v>
      </c>
      <c r="DT465" t="b">
        <f t="shared" si="975"/>
        <v>0</v>
      </c>
      <c r="DU465" t="b">
        <f t="shared" si="976"/>
        <v>0</v>
      </c>
      <c r="DV465" t="b">
        <f t="shared" si="977"/>
        <v>0</v>
      </c>
      <c r="DW465" t="b">
        <f t="shared" si="978"/>
        <v>0</v>
      </c>
      <c r="DX465" t="b">
        <f t="shared" si="979"/>
        <v>0</v>
      </c>
      <c r="DY465" t="b">
        <f t="shared" si="980"/>
        <v>0</v>
      </c>
      <c r="DZ465" t="b">
        <f t="shared" si="981"/>
        <v>0</v>
      </c>
      <c r="EA465" t="b">
        <f t="shared" si="982"/>
        <v>0</v>
      </c>
      <c r="EB465" t="b">
        <f t="shared" si="983"/>
        <v>0</v>
      </c>
      <c r="EC465" t="b">
        <f t="shared" si="984"/>
        <v>0</v>
      </c>
      <c r="ED465" t="b">
        <f t="shared" si="985"/>
        <v>0</v>
      </c>
      <c r="EE465" t="b">
        <f t="shared" si="986"/>
        <v>0</v>
      </c>
      <c r="EF465">
        <f t="shared" si="987"/>
        <v>1</v>
      </c>
      <c r="EG465" t="b">
        <f t="shared" si="988"/>
        <v>0</v>
      </c>
      <c r="EH465" t="b">
        <f t="shared" si="989"/>
        <v>0</v>
      </c>
      <c r="EI465">
        <f t="shared" si="990"/>
        <v>1</v>
      </c>
      <c r="EJ465" t="b">
        <f t="shared" si="991"/>
        <v>0</v>
      </c>
      <c r="EK465" t="b">
        <f t="shared" si="992"/>
        <v>0</v>
      </c>
    </row>
    <row r="466" spans="1:141">
      <c r="A466" t="s">
        <v>2376</v>
      </c>
      <c r="B466" t="s">
        <v>2376</v>
      </c>
      <c r="C466" t="s">
        <v>2373</v>
      </c>
      <c r="D466" s="1">
        <v>42309</v>
      </c>
      <c r="E466" s="2">
        <v>42409.514293981483</v>
      </c>
      <c r="F466" s="2">
        <v>42409.514293981483</v>
      </c>
      <c r="G466">
        <v>22281337</v>
      </c>
      <c r="H466" t="s">
        <v>2377</v>
      </c>
      <c r="I466" s="10" t="s">
        <v>2375</v>
      </c>
      <c r="J466" t="s">
        <v>188</v>
      </c>
      <c r="K466" s="8" t="b">
        <v>1</v>
      </c>
      <c r="L466" s="10" t="b">
        <v>0</v>
      </c>
      <c r="M466" s="12" t="b">
        <v>0</v>
      </c>
      <c r="N466" t="b">
        <v>0</v>
      </c>
      <c r="O466" t="b">
        <v>0</v>
      </c>
      <c r="P466" t="b">
        <v>0</v>
      </c>
      <c r="Q466">
        <f t="shared" si="869"/>
        <v>1</v>
      </c>
      <c r="R466">
        <f t="shared" si="870"/>
        <v>11</v>
      </c>
      <c r="S466" t="e">
        <f t="shared" ca="1" si="900"/>
        <v>#NAME?</v>
      </c>
      <c r="T466" t="e">
        <f t="shared" ca="1" si="871"/>
        <v>#NAME?</v>
      </c>
      <c r="U466" s="4">
        <f t="shared" si="872"/>
        <v>100.51429398148321</v>
      </c>
      <c r="V466" s="4">
        <f t="shared" si="873"/>
        <v>3.3504764660494404</v>
      </c>
      <c r="W466" s="4">
        <f t="shared" si="874"/>
        <v>1</v>
      </c>
      <c r="X466" s="4">
        <f t="shared" si="875"/>
        <v>0</v>
      </c>
      <c r="Y466" s="4">
        <f t="shared" si="876"/>
        <v>0</v>
      </c>
      <c r="Z466" s="4">
        <f t="shared" si="877"/>
        <v>0</v>
      </c>
      <c r="AA466" s="4">
        <f t="shared" si="878"/>
        <v>0</v>
      </c>
      <c r="AB466" s="4">
        <f t="shared" si="879"/>
        <v>0</v>
      </c>
      <c r="AC466" s="4"/>
      <c r="AD466" s="4" t="b">
        <f t="shared" si="880"/>
        <v>0</v>
      </c>
      <c r="AE466" s="4" t="b">
        <f t="shared" si="881"/>
        <v>0</v>
      </c>
      <c r="AF466" s="4" t="b">
        <f t="shared" si="882"/>
        <v>0</v>
      </c>
      <c r="AG466" t="b">
        <f t="shared" si="883"/>
        <v>0</v>
      </c>
      <c r="AH466" t="b">
        <f t="shared" si="884"/>
        <v>0</v>
      </c>
      <c r="AI466" t="b">
        <f t="shared" si="885"/>
        <v>0</v>
      </c>
      <c r="AJ466" t="b">
        <f t="shared" si="886"/>
        <v>0</v>
      </c>
      <c r="AK466" t="b">
        <f t="shared" si="887"/>
        <v>0</v>
      </c>
      <c r="AL466" t="b">
        <f t="shared" si="888"/>
        <v>0</v>
      </c>
      <c r="AM466" t="b">
        <f t="shared" si="889"/>
        <v>0</v>
      </c>
      <c r="AN466" t="b">
        <f t="shared" si="890"/>
        <v>0</v>
      </c>
      <c r="AO466" t="b">
        <f t="shared" si="891"/>
        <v>0</v>
      </c>
      <c r="AP466" t="b">
        <f t="shared" si="892"/>
        <v>0</v>
      </c>
      <c r="AQ466" t="b">
        <f t="shared" si="893"/>
        <v>0</v>
      </c>
      <c r="AR466" t="b">
        <f t="shared" si="894"/>
        <v>0</v>
      </c>
      <c r="AS466" t="b">
        <f t="shared" si="895"/>
        <v>0</v>
      </c>
      <c r="AT466" t="b">
        <f t="shared" si="896"/>
        <v>0</v>
      </c>
      <c r="AU466" t="b">
        <f t="shared" si="897"/>
        <v>0</v>
      </c>
      <c r="AV466" t="b">
        <f t="shared" si="898"/>
        <v>0</v>
      </c>
      <c r="AW466" t="b">
        <f t="shared" si="899"/>
        <v>0</v>
      </c>
      <c r="AX466" t="b">
        <f t="shared" si="901"/>
        <v>0</v>
      </c>
      <c r="AY466" t="b">
        <f t="shared" si="902"/>
        <v>0</v>
      </c>
      <c r="AZ466" t="b">
        <f t="shared" si="903"/>
        <v>0</v>
      </c>
      <c r="BA466" t="b">
        <f t="shared" si="904"/>
        <v>0</v>
      </c>
      <c r="BB466" t="b">
        <f t="shared" si="905"/>
        <v>0</v>
      </c>
      <c r="BC466" t="b">
        <f t="shared" si="906"/>
        <v>0</v>
      </c>
      <c r="BD466" t="b">
        <f t="shared" si="907"/>
        <v>0</v>
      </c>
      <c r="BE466" t="b">
        <f t="shared" si="908"/>
        <v>0</v>
      </c>
      <c r="BF466" t="b">
        <f t="shared" si="909"/>
        <v>0</v>
      </c>
      <c r="BG466" t="b">
        <f t="shared" si="910"/>
        <v>0</v>
      </c>
      <c r="BH466" t="b">
        <f t="shared" si="911"/>
        <v>0</v>
      </c>
      <c r="BI466">
        <f t="shared" si="912"/>
        <v>1</v>
      </c>
      <c r="BJ466" t="b">
        <f t="shared" si="913"/>
        <v>0</v>
      </c>
      <c r="BK466" t="b">
        <f t="shared" si="914"/>
        <v>0</v>
      </c>
      <c r="BL466" t="b">
        <f t="shared" si="915"/>
        <v>0</v>
      </c>
      <c r="BM466" t="b">
        <f t="shared" si="916"/>
        <v>0</v>
      </c>
      <c r="BN466" t="b">
        <f t="shared" si="917"/>
        <v>0</v>
      </c>
      <c r="BO466" t="b">
        <f t="shared" si="918"/>
        <v>0</v>
      </c>
      <c r="BP466" t="b">
        <f t="shared" si="919"/>
        <v>0</v>
      </c>
      <c r="BQ466" t="b">
        <f t="shared" si="920"/>
        <v>0</v>
      </c>
      <c r="BR466" t="b">
        <f t="shared" si="921"/>
        <v>0</v>
      </c>
      <c r="BS466" t="b">
        <f t="shared" si="922"/>
        <v>0</v>
      </c>
      <c r="BT466" t="b">
        <f t="shared" si="923"/>
        <v>0</v>
      </c>
      <c r="BU466" t="b">
        <f t="shared" si="924"/>
        <v>0</v>
      </c>
      <c r="BV466" t="b">
        <f t="shared" si="925"/>
        <v>0</v>
      </c>
      <c r="BW466" t="b">
        <f t="shared" si="926"/>
        <v>0</v>
      </c>
      <c r="BX466" t="b">
        <f t="shared" si="927"/>
        <v>0</v>
      </c>
      <c r="BY466" t="b">
        <f t="shared" si="928"/>
        <v>0</v>
      </c>
      <c r="BZ466" t="b">
        <f t="shared" si="929"/>
        <v>0</v>
      </c>
      <c r="CA466" t="b">
        <f t="shared" si="930"/>
        <v>0</v>
      </c>
      <c r="CB466" t="b">
        <f t="shared" si="931"/>
        <v>0</v>
      </c>
      <c r="CC466" t="b">
        <f t="shared" si="932"/>
        <v>0</v>
      </c>
      <c r="CD466" t="b">
        <f t="shared" si="933"/>
        <v>0</v>
      </c>
      <c r="CE466">
        <f t="shared" si="934"/>
        <v>1</v>
      </c>
      <c r="CF466" t="b">
        <f t="shared" si="935"/>
        <v>0</v>
      </c>
      <c r="CG466" t="b">
        <f t="shared" si="936"/>
        <v>0</v>
      </c>
      <c r="CH466" t="b">
        <f t="shared" si="937"/>
        <v>0</v>
      </c>
      <c r="CI466" t="b">
        <f t="shared" si="938"/>
        <v>0</v>
      </c>
      <c r="CJ466" t="b">
        <f t="shared" si="939"/>
        <v>0</v>
      </c>
      <c r="CK466" t="b">
        <f t="shared" si="940"/>
        <v>0</v>
      </c>
      <c r="CL466" t="b">
        <f t="shared" si="941"/>
        <v>0</v>
      </c>
      <c r="CM466" t="b">
        <f t="shared" si="942"/>
        <v>0</v>
      </c>
      <c r="CN466" t="b">
        <f t="shared" si="943"/>
        <v>0</v>
      </c>
      <c r="CO466" t="b">
        <f t="shared" si="944"/>
        <v>0</v>
      </c>
      <c r="CP466" t="b">
        <f t="shared" si="945"/>
        <v>0</v>
      </c>
      <c r="CQ466" t="b">
        <f t="shared" si="946"/>
        <v>0</v>
      </c>
      <c r="CR466" t="b">
        <f t="shared" si="947"/>
        <v>0</v>
      </c>
      <c r="CS466" t="b">
        <f t="shared" si="948"/>
        <v>0</v>
      </c>
      <c r="CT466" t="b">
        <f t="shared" si="949"/>
        <v>0</v>
      </c>
      <c r="CU466" t="b">
        <f t="shared" si="950"/>
        <v>0</v>
      </c>
      <c r="CV466">
        <f t="shared" si="951"/>
        <v>1</v>
      </c>
      <c r="CW466" t="b">
        <f t="shared" si="952"/>
        <v>0</v>
      </c>
      <c r="CX466" t="b">
        <f t="shared" si="953"/>
        <v>0</v>
      </c>
      <c r="CY466" t="b">
        <f t="shared" si="954"/>
        <v>0</v>
      </c>
      <c r="CZ466" t="b">
        <f t="shared" si="955"/>
        <v>0</v>
      </c>
      <c r="DA466" t="b">
        <f t="shared" si="956"/>
        <v>0</v>
      </c>
      <c r="DB466" t="b">
        <f t="shared" si="957"/>
        <v>0</v>
      </c>
      <c r="DC466" t="b">
        <f t="shared" si="958"/>
        <v>0</v>
      </c>
      <c r="DD466" t="b">
        <f t="shared" si="959"/>
        <v>0</v>
      </c>
      <c r="DE466" t="b">
        <f t="shared" si="960"/>
        <v>0</v>
      </c>
      <c r="DF466" t="b">
        <f t="shared" si="961"/>
        <v>0</v>
      </c>
      <c r="DG466" t="b">
        <f t="shared" si="962"/>
        <v>0</v>
      </c>
      <c r="DH466" t="b">
        <f t="shared" si="963"/>
        <v>0</v>
      </c>
      <c r="DI466" t="b">
        <f t="shared" si="964"/>
        <v>0</v>
      </c>
      <c r="DJ466" t="b">
        <f t="shared" si="965"/>
        <v>0</v>
      </c>
      <c r="DK466" t="b">
        <f t="shared" si="966"/>
        <v>0</v>
      </c>
      <c r="DL466" t="b">
        <f t="shared" si="967"/>
        <v>0</v>
      </c>
      <c r="DM466" t="b">
        <f t="shared" si="968"/>
        <v>0</v>
      </c>
      <c r="DN466" t="b">
        <f t="shared" si="969"/>
        <v>0</v>
      </c>
      <c r="DO466" t="b">
        <f t="shared" si="970"/>
        <v>0</v>
      </c>
      <c r="DP466" t="b">
        <f t="shared" si="971"/>
        <v>0</v>
      </c>
      <c r="DQ466" t="b">
        <f t="shared" si="972"/>
        <v>0</v>
      </c>
      <c r="DR466" t="b">
        <f t="shared" si="973"/>
        <v>0</v>
      </c>
      <c r="DS466" t="b">
        <f t="shared" si="974"/>
        <v>0</v>
      </c>
      <c r="DT466" t="b">
        <f t="shared" si="975"/>
        <v>0</v>
      </c>
      <c r="DU466" t="b">
        <f t="shared" si="976"/>
        <v>0</v>
      </c>
      <c r="DV466" t="b">
        <f t="shared" si="977"/>
        <v>0</v>
      </c>
      <c r="DW466" t="b">
        <f t="shared" si="978"/>
        <v>0</v>
      </c>
      <c r="DX466" t="b">
        <f t="shared" si="979"/>
        <v>0</v>
      </c>
      <c r="DY466" t="b">
        <f t="shared" si="980"/>
        <v>0</v>
      </c>
      <c r="DZ466" t="b">
        <f t="shared" si="981"/>
        <v>0</v>
      </c>
      <c r="EA466" t="b">
        <f t="shared" si="982"/>
        <v>0</v>
      </c>
      <c r="EB466" t="b">
        <f t="shared" si="983"/>
        <v>0</v>
      </c>
      <c r="EC466" t="b">
        <f t="shared" si="984"/>
        <v>0</v>
      </c>
      <c r="ED466" t="b">
        <f t="shared" si="985"/>
        <v>0</v>
      </c>
      <c r="EE466" t="b">
        <f t="shared" si="986"/>
        <v>0</v>
      </c>
      <c r="EF466">
        <f t="shared" si="987"/>
        <v>1</v>
      </c>
      <c r="EG466" t="b">
        <f t="shared" si="988"/>
        <v>0</v>
      </c>
      <c r="EH466" t="b">
        <f t="shared" si="989"/>
        <v>0</v>
      </c>
      <c r="EI466" t="b">
        <f t="shared" si="990"/>
        <v>0</v>
      </c>
      <c r="EJ466" t="b">
        <f t="shared" si="991"/>
        <v>0</v>
      </c>
      <c r="EK466" t="b">
        <f t="shared" si="992"/>
        <v>0</v>
      </c>
    </row>
    <row r="467" spans="1:141">
      <c r="A467" t="s">
        <v>2378</v>
      </c>
      <c r="B467" t="s">
        <v>2378</v>
      </c>
      <c r="C467" t="s">
        <v>2379</v>
      </c>
      <c r="D467" s="1">
        <v>41699</v>
      </c>
      <c r="E467" s="2">
        <v>42675.398310185185</v>
      </c>
      <c r="F467" s="2">
        <v>42675.398310185185</v>
      </c>
      <c r="G467">
        <v>91436280</v>
      </c>
      <c r="H467" t="s">
        <v>2380</v>
      </c>
      <c r="I467" s="10" t="s">
        <v>2381</v>
      </c>
      <c r="J467" t="s">
        <v>156</v>
      </c>
      <c r="K467" s="8" t="b">
        <v>1</v>
      </c>
      <c r="L467" s="10" t="b">
        <v>0</v>
      </c>
      <c r="M467" s="12" t="b">
        <v>0</v>
      </c>
      <c r="N467" t="b">
        <v>0</v>
      </c>
      <c r="O467" t="b">
        <v>0</v>
      </c>
      <c r="P467" t="b">
        <v>0</v>
      </c>
      <c r="Q467">
        <f t="shared" si="869"/>
        <v>7</v>
      </c>
      <c r="R467">
        <f t="shared" si="870"/>
        <v>3</v>
      </c>
      <c r="S467" t="e">
        <f t="shared" ca="1" si="900"/>
        <v>#NAME?</v>
      </c>
      <c r="T467" t="e">
        <f t="shared" ca="1" si="871"/>
        <v>#NAME?</v>
      </c>
      <c r="U467" s="4">
        <f t="shared" si="872"/>
        <v>976.39831018518453</v>
      </c>
      <c r="V467" s="4">
        <f t="shared" si="873"/>
        <v>32.546610339506152</v>
      </c>
      <c r="W467" s="4">
        <f t="shared" si="874"/>
        <v>1</v>
      </c>
      <c r="X467" s="4">
        <f t="shared" si="875"/>
        <v>0</v>
      </c>
      <c r="Y467" s="4">
        <f t="shared" si="876"/>
        <v>0</v>
      </c>
      <c r="Z467" s="4">
        <f t="shared" si="877"/>
        <v>0</v>
      </c>
      <c r="AA467" s="4">
        <f t="shared" si="878"/>
        <v>0</v>
      </c>
      <c r="AB467" s="4">
        <f t="shared" si="879"/>
        <v>0</v>
      </c>
      <c r="AC467" s="4"/>
      <c r="AD467" s="4" t="b">
        <f t="shared" si="880"/>
        <v>0</v>
      </c>
      <c r="AE467" s="4" t="b">
        <f t="shared" si="881"/>
        <v>0</v>
      </c>
      <c r="AF467" s="4" t="b">
        <f t="shared" si="882"/>
        <v>0</v>
      </c>
      <c r="AG467" t="b">
        <f t="shared" si="883"/>
        <v>0</v>
      </c>
      <c r="AH467" t="b">
        <f t="shared" si="884"/>
        <v>0</v>
      </c>
      <c r="AI467" t="b">
        <f t="shared" si="885"/>
        <v>0</v>
      </c>
      <c r="AJ467" t="b">
        <f t="shared" si="886"/>
        <v>0</v>
      </c>
      <c r="AK467" t="b">
        <f t="shared" si="887"/>
        <v>0</v>
      </c>
      <c r="AL467" t="b">
        <f t="shared" si="888"/>
        <v>0</v>
      </c>
      <c r="AM467" t="b">
        <f t="shared" si="889"/>
        <v>0</v>
      </c>
      <c r="AN467" t="b">
        <f t="shared" si="890"/>
        <v>0</v>
      </c>
      <c r="AO467" t="b">
        <f t="shared" si="891"/>
        <v>0</v>
      </c>
      <c r="AP467" t="b">
        <f t="shared" si="892"/>
        <v>0</v>
      </c>
      <c r="AQ467" t="b">
        <f t="shared" si="893"/>
        <v>0</v>
      </c>
      <c r="AR467" t="b">
        <f t="shared" si="894"/>
        <v>0</v>
      </c>
      <c r="AS467" t="b">
        <f t="shared" si="895"/>
        <v>0</v>
      </c>
      <c r="AT467" t="b">
        <f t="shared" si="896"/>
        <v>0</v>
      </c>
      <c r="AU467" t="b">
        <f t="shared" si="897"/>
        <v>0</v>
      </c>
      <c r="AV467" t="b">
        <f t="shared" si="898"/>
        <v>0</v>
      </c>
      <c r="AW467" t="b">
        <f t="shared" si="899"/>
        <v>0</v>
      </c>
      <c r="AX467" t="b">
        <f t="shared" si="901"/>
        <v>0</v>
      </c>
      <c r="AY467" t="b">
        <f t="shared" si="902"/>
        <v>0</v>
      </c>
      <c r="AZ467" t="b">
        <f t="shared" si="903"/>
        <v>0</v>
      </c>
      <c r="BA467" t="b">
        <f t="shared" si="904"/>
        <v>0</v>
      </c>
      <c r="BB467" t="b">
        <f t="shared" si="905"/>
        <v>0</v>
      </c>
      <c r="BC467" t="b">
        <f t="shared" si="906"/>
        <v>0</v>
      </c>
      <c r="BD467" t="b">
        <f t="shared" si="907"/>
        <v>0</v>
      </c>
      <c r="BE467" t="b">
        <f t="shared" si="908"/>
        <v>0</v>
      </c>
      <c r="BF467" t="b">
        <f t="shared" si="909"/>
        <v>0</v>
      </c>
      <c r="BG467" t="b">
        <f t="shared" si="910"/>
        <v>0</v>
      </c>
      <c r="BH467" t="b">
        <f t="shared" si="911"/>
        <v>0</v>
      </c>
      <c r="BI467">
        <f t="shared" si="912"/>
        <v>1</v>
      </c>
      <c r="BJ467" t="b">
        <f t="shared" si="913"/>
        <v>0</v>
      </c>
      <c r="BK467" t="b">
        <f t="shared" si="914"/>
        <v>0</v>
      </c>
      <c r="BL467" t="b">
        <f t="shared" si="915"/>
        <v>0</v>
      </c>
      <c r="BM467" t="b">
        <f t="shared" si="916"/>
        <v>0</v>
      </c>
      <c r="BN467" t="b">
        <f t="shared" si="917"/>
        <v>0</v>
      </c>
      <c r="BO467" t="b">
        <f t="shared" si="918"/>
        <v>0</v>
      </c>
      <c r="BP467" t="b">
        <f t="shared" si="919"/>
        <v>0</v>
      </c>
      <c r="BQ467" t="b">
        <f t="shared" si="920"/>
        <v>0</v>
      </c>
      <c r="BR467" t="b">
        <f t="shared" si="921"/>
        <v>0</v>
      </c>
      <c r="BS467" t="b">
        <f t="shared" si="922"/>
        <v>0</v>
      </c>
      <c r="BT467" t="b">
        <f t="shared" si="923"/>
        <v>0</v>
      </c>
      <c r="BU467" t="b">
        <f t="shared" si="924"/>
        <v>0</v>
      </c>
      <c r="BV467" t="b">
        <f t="shared" si="925"/>
        <v>0</v>
      </c>
      <c r="BW467" t="b">
        <f t="shared" si="926"/>
        <v>0</v>
      </c>
      <c r="BX467" t="b">
        <f t="shared" si="927"/>
        <v>0</v>
      </c>
      <c r="BY467" t="b">
        <f t="shared" si="928"/>
        <v>0</v>
      </c>
      <c r="BZ467" t="b">
        <f t="shared" si="929"/>
        <v>0</v>
      </c>
      <c r="CA467" t="b">
        <f t="shared" si="930"/>
        <v>0</v>
      </c>
      <c r="CB467" t="b">
        <f t="shared" si="931"/>
        <v>0</v>
      </c>
      <c r="CC467" t="b">
        <f t="shared" si="932"/>
        <v>0</v>
      </c>
      <c r="CD467" t="b">
        <f t="shared" si="933"/>
        <v>0</v>
      </c>
      <c r="CE467" t="b">
        <f t="shared" si="934"/>
        <v>0</v>
      </c>
      <c r="CF467" t="b">
        <f t="shared" si="935"/>
        <v>0</v>
      </c>
      <c r="CG467" t="b">
        <f t="shared" si="936"/>
        <v>0</v>
      </c>
      <c r="CH467" t="b">
        <f t="shared" si="937"/>
        <v>0</v>
      </c>
      <c r="CI467" t="b">
        <f t="shared" si="938"/>
        <v>0</v>
      </c>
      <c r="CJ467" t="b">
        <f t="shared" si="939"/>
        <v>0</v>
      </c>
      <c r="CK467" t="b">
        <f t="shared" si="940"/>
        <v>0</v>
      </c>
      <c r="CL467" t="b">
        <f t="shared" si="941"/>
        <v>0</v>
      </c>
      <c r="CM467" t="b">
        <f t="shared" si="942"/>
        <v>0</v>
      </c>
      <c r="CN467" t="b">
        <f t="shared" si="943"/>
        <v>0</v>
      </c>
      <c r="CO467" t="b">
        <f t="shared" si="944"/>
        <v>0</v>
      </c>
      <c r="CP467" t="b">
        <f t="shared" si="945"/>
        <v>0</v>
      </c>
      <c r="CQ467" t="b">
        <f t="shared" si="946"/>
        <v>0</v>
      </c>
      <c r="CR467" t="b">
        <f t="shared" si="947"/>
        <v>0</v>
      </c>
      <c r="CS467" t="b">
        <f t="shared" si="948"/>
        <v>0</v>
      </c>
      <c r="CT467" t="b">
        <f t="shared" si="949"/>
        <v>0</v>
      </c>
      <c r="CU467" t="b">
        <f t="shared" si="950"/>
        <v>0</v>
      </c>
      <c r="CV467">
        <f t="shared" si="951"/>
        <v>1</v>
      </c>
      <c r="CW467" t="b">
        <f t="shared" si="952"/>
        <v>0</v>
      </c>
      <c r="CX467" t="b">
        <f t="shared" si="953"/>
        <v>0</v>
      </c>
      <c r="CY467" t="b">
        <f t="shared" si="954"/>
        <v>0</v>
      </c>
      <c r="CZ467" t="b">
        <f t="shared" si="955"/>
        <v>0</v>
      </c>
      <c r="DA467" t="b">
        <f t="shared" si="956"/>
        <v>0</v>
      </c>
      <c r="DB467" t="b">
        <f t="shared" si="957"/>
        <v>0</v>
      </c>
      <c r="DC467" t="b">
        <f t="shared" si="958"/>
        <v>0</v>
      </c>
      <c r="DD467" t="b">
        <f t="shared" si="959"/>
        <v>0</v>
      </c>
      <c r="DE467" t="b">
        <f t="shared" si="960"/>
        <v>0</v>
      </c>
      <c r="DF467" t="b">
        <f t="shared" si="961"/>
        <v>0</v>
      </c>
      <c r="DG467" t="b">
        <f t="shared" si="962"/>
        <v>0</v>
      </c>
      <c r="DH467" t="b">
        <f t="shared" si="963"/>
        <v>0</v>
      </c>
      <c r="DI467" t="b">
        <f t="shared" si="964"/>
        <v>0</v>
      </c>
      <c r="DJ467" t="b">
        <f t="shared" si="965"/>
        <v>0</v>
      </c>
      <c r="DK467" t="b">
        <f t="shared" si="966"/>
        <v>0</v>
      </c>
      <c r="DL467" t="b">
        <f t="shared" si="967"/>
        <v>0</v>
      </c>
      <c r="DM467" t="b">
        <f t="shared" si="968"/>
        <v>0</v>
      </c>
      <c r="DN467" t="b">
        <f t="shared" si="969"/>
        <v>0</v>
      </c>
      <c r="DO467" t="b">
        <f t="shared" si="970"/>
        <v>0</v>
      </c>
      <c r="DP467" t="b">
        <f t="shared" si="971"/>
        <v>0</v>
      </c>
      <c r="DQ467" t="b">
        <f t="shared" si="972"/>
        <v>0</v>
      </c>
      <c r="DR467" t="b">
        <f t="shared" si="973"/>
        <v>0</v>
      </c>
      <c r="DS467" t="b">
        <f t="shared" si="974"/>
        <v>0</v>
      </c>
      <c r="DT467" t="b">
        <f t="shared" si="975"/>
        <v>0</v>
      </c>
      <c r="DU467" t="b">
        <f t="shared" si="976"/>
        <v>0</v>
      </c>
      <c r="DV467" t="b">
        <f t="shared" si="977"/>
        <v>0</v>
      </c>
      <c r="DW467" t="b">
        <f t="shared" si="978"/>
        <v>0</v>
      </c>
      <c r="DX467" t="b">
        <f t="shared" si="979"/>
        <v>0</v>
      </c>
      <c r="DY467" t="b">
        <f t="shared" si="980"/>
        <v>0</v>
      </c>
      <c r="DZ467" t="b">
        <f t="shared" si="981"/>
        <v>0</v>
      </c>
      <c r="EA467" t="b">
        <f t="shared" si="982"/>
        <v>0</v>
      </c>
      <c r="EB467" t="b">
        <f t="shared" si="983"/>
        <v>0</v>
      </c>
      <c r="EC467" t="b">
        <f t="shared" si="984"/>
        <v>0</v>
      </c>
      <c r="ED467" t="b">
        <f t="shared" si="985"/>
        <v>0</v>
      </c>
      <c r="EE467" t="b">
        <f t="shared" si="986"/>
        <v>0</v>
      </c>
      <c r="EF467">
        <f t="shared" si="987"/>
        <v>1</v>
      </c>
      <c r="EG467" t="b">
        <f t="shared" si="988"/>
        <v>0</v>
      </c>
      <c r="EH467" t="b">
        <f t="shared" si="989"/>
        <v>0</v>
      </c>
      <c r="EI467" t="b">
        <f t="shared" si="990"/>
        <v>0</v>
      </c>
      <c r="EJ467" t="b">
        <f t="shared" si="991"/>
        <v>0</v>
      </c>
      <c r="EK467" t="b">
        <f t="shared" si="992"/>
        <v>0</v>
      </c>
    </row>
    <row r="468" spans="1:141">
      <c r="A468" t="s">
        <v>2382</v>
      </c>
      <c r="B468" t="s">
        <v>2383</v>
      </c>
      <c r="C468" t="s">
        <v>2384</v>
      </c>
      <c r="D468" s="1">
        <v>42693</v>
      </c>
      <c r="E468" s="2">
        <v>43042.294537037036</v>
      </c>
      <c r="F468" s="2">
        <v>43042.294537037036</v>
      </c>
      <c r="G468">
        <v>7445067</v>
      </c>
      <c r="H468" t="s">
        <v>2385</v>
      </c>
      <c r="I468" s="10" t="s">
        <v>2386</v>
      </c>
      <c r="J468" t="s">
        <v>2387</v>
      </c>
      <c r="K468" s="8" t="b">
        <v>1</v>
      </c>
      <c r="L468" s="10" t="b">
        <v>0</v>
      </c>
      <c r="M468" s="12" t="b">
        <v>0</v>
      </c>
      <c r="N468" t="b">
        <v>0</v>
      </c>
      <c r="O468" t="b">
        <v>1</v>
      </c>
      <c r="P468" t="b">
        <v>0</v>
      </c>
      <c r="Q468">
        <f t="shared" si="869"/>
        <v>7</v>
      </c>
      <c r="R468">
        <f t="shared" si="870"/>
        <v>11</v>
      </c>
      <c r="S468" t="e">
        <f t="shared" ca="1" si="900"/>
        <v>#NAME?</v>
      </c>
      <c r="T468" t="e">
        <f t="shared" ca="1" si="871"/>
        <v>#NAME?</v>
      </c>
      <c r="U468" s="4">
        <f t="shared" si="872"/>
        <v>349.29453703703621</v>
      </c>
      <c r="V468" s="4">
        <f t="shared" si="873"/>
        <v>11.643151234567874</v>
      </c>
      <c r="W468" s="4">
        <f t="shared" si="874"/>
        <v>1</v>
      </c>
      <c r="X468" s="4">
        <f t="shared" si="875"/>
        <v>0</v>
      </c>
      <c r="Y468" s="4">
        <f t="shared" si="876"/>
        <v>0</v>
      </c>
      <c r="Z468" s="4">
        <f t="shared" si="877"/>
        <v>0</v>
      </c>
      <c r="AA468" s="4">
        <f t="shared" si="878"/>
        <v>1</v>
      </c>
      <c r="AB468" s="4">
        <f t="shared" si="879"/>
        <v>0</v>
      </c>
      <c r="AC468" s="4"/>
      <c r="AD468" s="4" t="b">
        <f t="shared" si="880"/>
        <v>0</v>
      </c>
      <c r="AE468" s="4" t="b">
        <f t="shared" si="881"/>
        <v>0</v>
      </c>
      <c r="AF468" s="4" t="b">
        <f t="shared" si="882"/>
        <v>0</v>
      </c>
      <c r="AG468" t="b">
        <f t="shared" si="883"/>
        <v>0</v>
      </c>
      <c r="AH468" t="b">
        <f t="shared" si="884"/>
        <v>0</v>
      </c>
      <c r="AI468" t="b">
        <f t="shared" si="885"/>
        <v>0</v>
      </c>
      <c r="AJ468" t="b">
        <f t="shared" si="886"/>
        <v>0</v>
      </c>
      <c r="AK468" t="b">
        <f t="shared" si="887"/>
        <v>0</v>
      </c>
      <c r="AL468" t="b">
        <f t="shared" si="888"/>
        <v>0</v>
      </c>
      <c r="AM468" t="b">
        <f t="shared" si="889"/>
        <v>0</v>
      </c>
      <c r="AN468" t="b">
        <f t="shared" si="890"/>
        <v>0</v>
      </c>
      <c r="AO468" t="b">
        <f t="shared" si="891"/>
        <v>0</v>
      </c>
      <c r="AP468" t="b">
        <f t="shared" si="892"/>
        <v>0</v>
      </c>
      <c r="AQ468" t="b">
        <f t="shared" si="893"/>
        <v>0</v>
      </c>
      <c r="AR468" t="b">
        <f t="shared" si="894"/>
        <v>0</v>
      </c>
      <c r="AS468" t="b">
        <f t="shared" si="895"/>
        <v>0</v>
      </c>
      <c r="AT468" t="b">
        <f t="shared" si="896"/>
        <v>0</v>
      </c>
      <c r="AU468" t="b">
        <f t="shared" si="897"/>
        <v>0</v>
      </c>
      <c r="AV468" t="b">
        <f t="shared" si="898"/>
        <v>0</v>
      </c>
      <c r="AW468" t="b">
        <f t="shared" si="899"/>
        <v>0</v>
      </c>
      <c r="AX468" t="b">
        <f t="shared" si="901"/>
        <v>0</v>
      </c>
      <c r="AY468" t="b">
        <f t="shared" si="902"/>
        <v>0</v>
      </c>
      <c r="AZ468" t="b">
        <f t="shared" si="903"/>
        <v>0</v>
      </c>
      <c r="BA468" t="b">
        <f t="shared" si="904"/>
        <v>0</v>
      </c>
      <c r="BB468" t="b">
        <f t="shared" si="905"/>
        <v>0</v>
      </c>
      <c r="BC468" t="b">
        <f t="shared" si="906"/>
        <v>0</v>
      </c>
      <c r="BD468" t="b">
        <f t="shared" si="907"/>
        <v>0</v>
      </c>
      <c r="BE468" t="b">
        <f t="shared" si="908"/>
        <v>0</v>
      </c>
      <c r="BF468" t="b">
        <f t="shared" si="909"/>
        <v>0</v>
      </c>
      <c r="BG468" t="b">
        <f t="shared" si="910"/>
        <v>0</v>
      </c>
      <c r="BH468" t="b">
        <f t="shared" si="911"/>
        <v>0</v>
      </c>
      <c r="BI468">
        <f t="shared" si="912"/>
        <v>1</v>
      </c>
      <c r="BJ468">
        <f t="shared" si="913"/>
        <v>1</v>
      </c>
      <c r="BK468" t="b">
        <f t="shared" si="914"/>
        <v>0</v>
      </c>
      <c r="BL468" t="b">
        <f t="shared" si="915"/>
        <v>0</v>
      </c>
      <c r="BM468" t="b">
        <f t="shared" si="916"/>
        <v>0</v>
      </c>
      <c r="BN468" t="b">
        <f t="shared" si="917"/>
        <v>0</v>
      </c>
      <c r="BO468" t="b">
        <f t="shared" si="918"/>
        <v>0</v>
      </c>
      <c r="BP468" t="b">
        <f t="shared" si="919"/>
        <v>0</v>
      </c>
      <c r="BQ468" t="b">
        <f t="shared" si="920"/>
        <v>0</v>
      </c>
      <c r="BR468" t="b">
        <f t="shared" si="921"/>
        <v>0</v>
      </c>
      <c r="BS468" t="b">
        <f t="shared" si="922"/>
        <v>0</v>
      </c>
      <c r="BT468" t="b">
        <f t="shared" si="923"/>
        <v>0</v>
      </c>
      <c r="BU468" t="b">
        <f t="shared" si="924"/>
        <v>0</v>
      </c>
      <c r="BV468" t="b">
        <f t="shared" si="925"/>
        <v>0</v>
      </c>
      <c r="BW468" t="b">
        <f t="shared" si="926"/>
        <v>0</v>
      </c>
      <c r="BX468" t="b">
        <f t="shared" si="927"/>
        <v>0</v>
      </c>
      <c r="BY468" t="b">
        <f t="shared" si="928"/>
        <v>0</v>
      </c>
      <c r="BZ468" t="b">
        <f t="shared" si="929"/>
        <v>0</v>
      </c>
      <c r="CA468" t="b">
        <f t="shared" si="930"/>
        <v>0</v>
      </c>
      <c r="CB468" t="b">
        <f t="shared" si="931"/>
        <v>0</v>
      </c>
      <c r="CC468" t="b">
        <f t="shared" si="932"/>
        <v>0</v>
      </c>
      <c r="CD468" t="b">
        <f t="shared" si="933"/>
        <v>0</v>
      </c>
      <c r="CE468" t="b">
        <f t="shared" si="934"/>
        <v>0</v>
      </c>
      <c r="CF468" t="b">
        <f t="shared" si="935"/>
        <v>0</v>
      </c>
      <c r="CG468" t="b">
        <f t="shared" si="936"/>
        <v>0</v>
      </c>
      <c r="CH468" t="b">
        <f t="shared" si="937"/>
        <v>0</v>
      </c>
      <c r="CI468" t="b">
        <f t="shared" si="938"/>
        <v>0</v>
      </c>
      <c r="CJ468" t="b">
        <f t="shared" si="939"/>
        <v>0</v>
      </c>
      <c r="CK468" t="b">
        <f t="shared" si="940"/>
        <v>0</v>
      </c>
      <c r="CL468" t="b">
        <f t="shared" si="941"/>
        <v>0</v>
      </c>
      <c r="CM468">
        <f t="shared" si="942"/>
        <v>1</v>
      </c>
      <c r="CN468" t="b">
        <f t="shared" si="943"/>
        <v>0</v>
      </c>
      <c r="CO468" t="b">
        <f t="shared" si="944"/>
        <v>0</v>
      </c>
      <c r="CP468" t="b">
        <f t="shared" si="945"/>
        <v>0</v>
      </c>
      <c r="CQ468" t="b">
        <f t="shared" si="946"/>
        <v>0</v>
      </c>
      <c r="CR468" t="b">
        <f t="shared" si="947"/>
        <v>0</v>
      </c>
      <c r="CS468" t="b">
        <f t="shared" si="948"/>
        <v>0</v>
      </c>
      <c r="CT468" t="b">
        <f t="shared" si="949"/>
        <v>0</v>
      </c>
      <c r="CU468" t="b">
        <f t="shared" si="950"/>
        <v>0</v>
      </c>
      <c r="CV468" t="b">
        <f t="shared" si="951"/>
        <v>0</v>
      </c>
      <c r="CW468" t="b">
        <f t="shared" si="952"/>
        <v>0</v>
      </c>
      <c r="CX468" t="b">
        <f t="shared" si="953"/>
        <v>0</v>
      </c>
      <c r="CY468" t="b">
        <f t="shared" si="954"/>
        <v>0</v>
      </c>
      <c r="CZ468" t="b">
        <f t="shared" si="955"/>
        <v>0</v>
      </c>
      <c r="DA468">
        <f t="shared" si="956"/>
        <v>1</v>
      </c>
      <c r="DB468" t="b">
        <f t="shared" si="957"/>
        <v>0</v>
      </c>
      <c r="DC468" t="b">
        <f t="shared" si="958"/>
        <v>0</v>
      </c>
      <c r="DD468" t="b">
        <f t="shared" si="959"/>
        <v>0</v>
      </c>
      <c r="DE468" t="b">
        <f t="shared" si="960"/>
        <v>0</v>
      </c>
      <c r="DF468" t="b">
        <f t="shared" si="961"/>
        <v>0</v>
      </c>
      <c r="DG468" t="b">
        <f t="shared" si="962"/>
        <v>0</v>
      </c>
      <c r="DH468" t="b">
        <f t="shared" si="963"/>
        <v>0</v>
      </c>
      <c r="DI468" t="b">
        <f t="shared" si="964"/>
        <v>0</v>
      </c>
      <c r="DJ468" t="b">
        <f t="shared" si="965"/>
        <v>0</v>
      </c>
      <c r="DK468" t="b">
        <f t="shared" si="966"/>
        <v>0</v>
      </c>
      <c r="DL468" t="b">
        <f t="shared" si="967"/>
        <v>0</v>
      </c>
      <c r="DM468" t="b">
        <f t="shared" si="968"/>
        <v>0</v>
      </c>
      <c r="DN468" t="b">
        <f t="shared" si="969"/>
        <v>0</v>
      </c>
      <c r="DO468" t="b">
        <f t="shared" si="970"/>
        <v>0</v>
      </c>
      <c r="DP468" t="b">
        <f t="shared" si="971"/>
        <v>0</v>
      </c>
      <c r="DQ468" t="b">
        <f t="shared" si="972"/>
        <v>0</v>
      </c>
      <c r="DR468" t="b">
        <f t="shared" si="973"/>
        <v>0</v>
      </c>
      <c r="DS468" t="b">
        <f t="shared" si="974"/>
        <v>0</v>
      </c>
      <c r="DT468" t="b">
        <f t="shared" si="975"/>
        <v>0</v>
      </c>
      <c r="DU468" t="b">
        <f t="shared" si="976"/>
        <v>0</v>
      </c>
      <c r="DV468" t="b">
        <f t="shared" si="977"/>
        <v>0</v>
      </c>
      <c r="DW468" t="b">
        <f t="shared" si="978"/>
        <v>0</v>
      </c>
      <c r="DX468" t="b">
        <f t="shared" si="979"/>
        <v>0</v>
      </c>
      <c r="DY468" t="b">
        <f t="shared" si="980"/>
        <v>0</v>
      </c>
      <c r="DZ468" t="b">
        <f t="shared" si="981"/>
        <v>0</v>
      </c>
      <c r="EA468" t="b">
        <f t="shared" si="982"/>
        <v>0</v>
      </c>
      <c r="EB468" t="b">
        <f t="shared" si="983"/>
        <v>0</v>
      </c>
      <c r="EC468" t="b">
        <f t="shared" si="984"/>
        <v>0</v>
      </c>
      <c r="ED468" t="b">
        <f t="shared" si="985"/>
        <v>0</v>
      </c>
      <c r="EE468" t="b">
        <f t="shared" si="986"/>
        <v>0</v>
      </c>
      <c r="EF468" t="b">
        <f t="shared" si="987"/>
        <v>0</v>
      </c>
      <c r="EG468" t="b">
        <f t="shared" si="988"/>
        <v>0</v>
      </c>
      <c r="EH468" t="b">
        <f t="shared" si="989"/>
        <v>0</v>
      </c>
      <c r="EI468" t="b">
        <f t="shared" si="990"/>
        <v>0</v>
      </c>
      <c r="EJ468" t="b">
        <f t="shared" si="991"/>
        <v>0</v>
      </c>
      <c r="EK468" t="b">
        <f t="shared" si="992"/>
        <v>0</v>
      </c>
    </row>
    <row r="469" spans="1:141">
      <c r="A469" t="s">
        <v>2388</v>
      </c>
      <c r="B469" t="s">
        <v>2388</v>
      </c>
      <c r="C469" t="s">
        <v>2389</v>
      </c>
      <c r="D469" s="1">
        <v>44227</v>
      </c>
      <c r="E469" s="2">
        <v>44381.036550925928</v>
      </c>
      <c r="F469" s="2">
        <v>44381.036550925928</v>
      </c>
      <c r="G469">
        <v>938981</v>
      </c>
      <c r="H469" t="s">
        <v>2390</v>
      </c>
      <c r="I469" s="10" t="s">
        <v>2391</v>
      </c>
      <c r="J469" t="s">
        <v>343</v>
      </c>
      <c r="K469" s="8" t="b">
        <v>1</v>
      </c>
      <c r="L469" s="10" t="b">
        <v>0</v>
      </c>
      <c r="M469" s="12" t="b">
        <v>0</v>
      </c>
      <c r="N469" t="b">
        <v>0</v>
      </c>
      <c r="O469" t="b">
        <v>0</v>
      </c>
      <c r="P469" t="b">
        <v>0</v>
      </c>
      <c r="Q469">
        <f t="shared" si="869"/>
        <v>1</v>
      </c>
      <c r="R469">
        <f t="shared" si="870"/>
        <v>1</v>
      </c>
      <c r="S469" t="e">
        <f t="shared" ca="1" si="900"/>
        <v>#NAME?</v>
      </c>
      <c r="T469" t="e">
        <f t="shared" ca="1" si="871"/>
        <v>#NAME?</v>
      </c>
      <c r="U469" s="4">
        <f t="shared" si="872"/>
        <v>154.03655092592817</v>
      </c>
      <c r="V469" s="4">
        <f t="shared" si="873"/>
        <v>5.1345516975309389</v>
      </c>
      <c r="W469" s="4">
        <f t="shared" si="874"/>
        <v>1</v>
      </c>
      <c r="X469" s="4">
        <f t="shared" si="875"/>
        <v>0</v>
      </c>
      <c r="Y469" s="4">
        <f t="shared" si="876"/>
        <v>0</v>
      </c>
      <c r="Z469" s="4">
        <f t="shared" si="877"/>
        <v>0</v>
      </c>
      <c r="AA469" s="4">
        <f t="shared" si="878"/>
        <v>0</v>
      </c>
      <c r="AB469" s="4">
        <f t="shared" si="879"/>
        <v>0</v>
      </c>
      <c r="AC469" s="4"/>
      <c r="AD469" s="4" t="b">
        <f t="shared" si="880"/>
        <v>0</v>
      </c>
      <c r="AE469" s="4" t="b">
        <f t="shared" si="881"/>
        <v>0</v>
      </c>
      <c r="AF469" s="4" t="b">
        <f t="shared" si="882"/>
        <v>0</v>
      </c>
      <c r="AG469" t="b">
        <f t="shared" si="883"/>
        <v>0</v>
      </c>
      <c r="AH469" t="b">
        <f t="shared" si="884"/>
        <v>0</v>
      </c>
      <c r="AI469" t="b">
        <f t="shared" si="885"/>
        <v>0</v>
      </c>
      <c r="AJ469" t="b">
        <f t="shared" si="886"/>
        <v>0</v>
      </c>
      <c r="AK469" t="b">
        <f t="shared" si="887"/>
        <v>0</v>
      </c>
      <c r="AL469" t="b">
        <f t="shared" si="888"/>
        <v>0</v>
      </c>
      <c r="AM469" t="b">
        <f t="shared" si="889"/>
        <v>0</v>
      </c>
      <c r="AN469" t="b">
        <f t="shared" si="890"/>
        <v>0</v>
      </c>
      <c r="AO469" t="b">
        <f t="shared" si="891"/>
        <v>0</v>
      </c>
      <c r="AP469" t="b">
        <f t="shared" si="892"/>
        <v>0</v>
      </c>
      <c r="AQ469" t="b">
        <f t="shared" si="893"/>
        <v>0</v>
      </c>
      <c r="AR469" t="b">
        <f t="shared" si="894"/>
        <v>0</v>
      </c>
      <c r="AS469" t="b">
        <f t="shared" si="895"/>
        <v>0</v>
      </c>
      <c r="AT469" t="b">
        <f t="shared" si="896"/>
        <v>0</v>
      </c>
      <c r="AU469" t="b">
        <f t="shared" si="897"/>
        <v>0</v>
      </c>
      <c r="AV469" t="b">
        <f t="shared" si="898"/>
        <v>0</v>
      </c>
      <c r="AW469" t="b">
        <f t="shared" si="899"/>
        <v>0</v>
      </c>
      <c r="AX469" t="b">
        <f t="shared" si="901"/>
        <v>0</v>
      </c>
      <c r="AY469" t="b">
        <f t="shared" si="902"/>
        <v>0</v>
      </c>
      <c r="AZ469" t="b">
        <f t="shared" si="903"/>
        <v>0</v>
      </c>
      <c r="BA469" t="b">
        <f t="shared" si="904"/>
        <v>0</v>
      </c>
      <c r="BB469" t="b">
        <f t="shared" si="905"/>
        <v>0</v>
      </c>
      <c r="BC469" t="b">
        <f t="shared" si="906"/>
        <v>0</v>
      </c>
      <c r="BD469" t="b">
        <f t="shared" si="907"/>
        <v>0</v>
      </c>
      <c r="BE469" t="b">
        <f t="shared" si="908"/>
        <v>0</v>
      </c>
      <c r="BF469" t="b">
        <f t="shared" si="909"/>
        <v>0</v>
      </c>
      <c r="BG469" t="b">
        <f t="shared" si="910"/>
        <v>0</v>
      </c>
      <c r="BH469" t="b">
        <f t="shared" si="911"/>
        <v>0</v>
      </c>
      <c r="BI469">
        <f t="shared" si="912"/>
        <v>1</v>
      </c>
      <c r="BJ469" t="b">
        <f t="shared" si="913"/>
        <v>0</v>
      </c>
      <c r="BK469" t="b">
        <f t="shared" si="914"/>
        <v>0</v>
      </c>
      <c r="BL469" t="b">
        <f t="shared" si="915"/>
        <v>0</v>
      </c>
      <c r="BM469" t="b">
        <f t="shared" si="916"/>
        <v>0</v>
      </c>
      <c r="BN469" t="b">
        <f t="shared" si="917"/>
        <v>0</v>
      </c>
      <c r="BO469" t="b">
        <f t="shared" si="918"/>
        <v>0</v>
      </c>
      <c r="BP469" t="b">
        <f t="shared" si="919"/>
        <v>0</v>
      </c>
      <c r="BQ469" t="b">
        <f t="shared" si="920"/>
        <v>0</v>
      </c>
      <c r="BR469" t="b">
        <f t="shared" si="921"/>
        <v>0</v>
      </c>
      <c r="BS469" t="b">
        <f t="shared" si="922"/>
        <v>0</v>
      </c>
      <c r="BT469" t="b">
        <f t="shared" si="923"/>
        <v>0</v>
      </c>
      <c r="BU469" t="b">
        <f t="shared" si="924"/>
        <v>0</v>
      </c>
      <c r="BV469" t="b">
        <f t="shared" si="925"/>
        <v>0</v>
      </c>
      <c r="BW469" t="b">
        <f t="shared" si="926"/>
        <v>0</v>
      </c>
      <c r="BX469" t="b">
        <f t="shared" si="927"/>
        <v>0</v>
      </c>
      <c r="BY469" t="b">
        <f t="shared" si="928"/>
        <v>0</v>
      </c>
      <c r="BZ469" t="b">
        <f t="shared" si="929"/>
        <v>0</v>
      </c>
      <c r="CA469" t="b">
        <f t="shared" si="930"/>
        <v>0</v>
      </c>
      <c r="CB469" t="b">
        <f t="shared" si="931"/>
        <v>0</v>
      </c>
      <c r="CC469" t="b">
        <f t="shared" si="932"/>
        <v>0</v>
      </c>
      <c r="CD469" t="b">
        <f t="shared" si="933"/>
        <v>0</v>
      </c>
      <c r="CE469">
        <f t="shared" si="934"/>
        <v>1</v>
      </c>
      <c r="CF469" t="b">
        <f t="shared" si="935"/>
        <v>0</v>
      </c>
      <c r="CG469" t="b">
        <f t="shared" si="936"/>
        <v>0</v>
      </c>
      <c r="CH469" t="b">
        <f t="shared" si="937"/>
        <v>0</v>
      </c>
      <c r="CI469" t="b">
        <f t="shared" si="938"/>
        <v>0</v>
      </c>
      <c r="CJ469" t="b">
        <f t="shared" si="939"/>
        <v>0</v>
      </c>
      <c r="CK469" t="b">
        <f t="shared" si="940"/>
        <v>0</v>
      </c>
      <c r="CL469" t="b">
        <f t="shared" si="941"/>
        <v>0</v>
      </c>
      <c r="CM469">
        <f t="shared" si="942"/>
        <v>1</v>
      </c>
      <c r="CN469" t="b">
        <f t="shared" si="943"/>
        <v>0</v>
      </c>
      <c r="CO469" t="b">
        <f t="shared" si="944"/>
        <v>0</v>
      </c>
      <c r="CP469" t="b">
        <f t="shared" si="945"/>
        <v>0</v>
      </c>
      <c r="CQ469" t="b">
        <f t="shared" si="946"/>
        <v>0</v>
      </c>
      <c r="CR469" t="b">
        <f t="shared" si="947"/>
        <v>0</v>
      </c>
      <c r="CS469" t="b">
        <f t="shared" si="948"/>
        <v>0</v>
      </c>
      <c r="CT469" t="b">
        <f t="shared" si="949"/>
        <v>0</v>
      </c>
      <c r="CU469" t="b">
        <f t="shared" si="950"/>
        <v>0</v>
      </c>
      <c r="CV469">
        <f t="shared" si="951"/>
        <v>1</v>
      </c>
      <c r="CW469" t="b">
        <f t="shared" si="952"/>
        <v>0</v>
      </c>
      <c r="CX469" t="b">
        <f t="shared" si="953"/>
        <v>0</v>
      </c>
      <c r="CY469" t="b">
        <f t="shared" si="954"/>
        <v>0</v>
      </c>
      <c r="CZ469" t="b">
        <f t="shared" si="955"/>
        <v>0</v>
      </c>
      <c r="DA469" t="b">
        <f t="shared" si="956"/>
        <v>0</v>
      </c>
      <c r="DB469" t="b">
        <f t="shared" si="957"/>
        <v>0</v>
      </c>
      <c r="DC469" t="b">
        <f t="shared" si="958"/>
        <v>0</v>
      </c>
      <c r="DD469" t="b">
        <f t="shared" si="959"/>
        <v>0</v>
      </c>
      <c r="DE469" t="b">
        <f t="shared" si="960"/>
        <v>0</v>
      </c>
      <c r="DF469" t="b">
        <f t="shared" si="961"/>
        <v>0</v>
      </c>
      <c r="DG469" t="b">
        <f t="shared" si="962"/>
        <v>0</v>
      </c>
      <c r="DH469" t="b">
        <f t="shared" si="963"/>
        <v>0</v>
      </c>
      <c r="DI469" t="b">
        <f t="shared" si="964"/>
        <v>0</v>
      </c>
      <c r="DJ469" t="b">
        <f t="shared" si="965"/>
        <v>0</v>
      </c>
      <c r="DK469" t="b">
        <f t="shared" si="966"/>
        <v>0</v>
      </c>
      <c r="DL469" t="b">
        <f t="shared" si="967"/>
        <v>0</v>
      </c>
      <c r="DM469" t="b">
        <f t="shared" si="968"/>
        <v>0</v>
      </c>
      <c r="DN469" t="b">
        <f t="shared" si="969"/>
        <v>0</v>
      </c>
      <c r="DO469" t="b">
        <f t="shared" si="970"/>
        <v>0</v>
      </c>
      <c r="DP469" t="b">
        <f t="shared" si="971"/>
        <v>0</v>
      </c>
      <c r="DQ469" t="b">
        <f t="shared" si="972"/>
        <v>0</v>
      </c>
      <c r="DR469" t="b">
        <f t="shared" si="973"/>
        <v>0</v>
      </c>
      <c r="DS469" t="b">
        <f t="shared" si="974"/>
        <v>0</v>
      </c>
      <c r="DT469" t="b">
        <f t="shared" si="975"/>
        <v>0</v>
      </c>
      <c r="DU469" t="b">
        <f t="shared" si="976"/>
        <v>0</v>
      </c>
      <c r="DV469" t="b">
        <f t="shared" si="977"/>
        <v>0</v>
      </c>
      <c r="DW469" t="b">
        <f t="shared" si="978"/>
        <v>0</v>
      </c>
      <c r="DX469" t="b">
        <f t="shared" si="979"/>
        <v>0</v>
      </c>
      <c r="DY469" t="b">
        <f t="shared" si="980"/>
        <v>0</v>
      </c>
      <c r="DZ469" t="b">
        <f t="shared" si="981"/>
        <v>0</v>
      </c>
      <c r="EA469" t="b">
        <f t="shared" si="982"/>
        <v>0</v>
      </c>
      <c r="EB469" t="b">
        <f t="shared" si="983"/>
        <v>0</v>
      </c>
      <c r="EC469" t="b">
        <f t="shared" si="984"/>
        <v>0</v>
      </c>
      <c r="ED469" t="b">
        <f t="shared" si="985"/>
        <v>0</v>
      </c>
      <c r="EE469" t="b">
        <f t="shared" si="986"/>
        <v>0</v>
      </c>
      <c r="EF469" t="b">
        <f t="shared" si="987"/>
        <v>0</v>
      </c>
      <c r="EG469" t="b">
        <f t="shared" si="988"/>
        <v>0</v>
      </c>
      <c r="EH469" t="b">
        <f t="shared" si="989"/>
        <v>0</v>
      </c>
      <c r="EI469" t="b">
        <f t="shared" si="990"/>
        <v>0</v>
      </c>
      <c r="EJ469" t="b">
        <f t="shared" si="991"/>
        <v>0</v>
      </c>
      <c r="EK469" t="b">
        <f t="shared" si="992"/>
        <v>0</v>
      </c>
    </row>
    <row r="470" spans="1:141">
      <c r="A470" t="s">
        <v>2392</v>
      </c>
      <c r="B470" t="s">
        <v>2393</v>
      </c>
      <c r="C470" t="s">
        <v>2394</v>
      </c>
      <c r="D470" s="1">
        <v>43318</v>
      </c>
      <c r="E470" s="2">
        <v>43411.560208333336</v>
      </c>
      <c r="F470" s="2">
        <v>43673.62394675926</v>
      </c>
      <c r="G470">
        <v>149958</v>
      </c>
      <c r="H470" t="s">
        <v>2395</v>
      </c>
      <c r="I470" s="10" t="s">
        <v>2396</v>
      </c>
      <c r="J470" t="s">
        <v>2067</v>
      </c>
      <c r="K470" s="8" t="b">
        <v>1</v>
      </c>
      <c r="L470" s="10" t="b">
        <v>0</v>
      </c>
      <c r="M470" s="12" t="b">
        <v>0</v>
      </c>
      <c r="N470" t="b">
        <v>0</v>
      </c>
      <c r="O470" t="b">
        <v>0</v>
      </c>
      <c r="P470" t="b">
        <v>0</v>
      </c>
      <c r="Q470">
        <f t="shared" si="869"/>
        <v>2</v>
      </c>
      <c r="R470">
        <f t="shared" si="870"/>
        <v>8</v>
      </c>
      <c r="S470" t="e">
        <f t="shared" ca="1" si="900"/>
        <v>#NAME?</v>
      </c>
      <c r="T470" t="e">
        <f t="shared" ca="1" si="871"/>
        <v>#NAME?</v>
      </c>
      <c r="U470" s="4">
        <f t="shared" si="872"/>
        <v>93.56020833333605</v>
      </c>
      <c r="V470" s="4">
        <f t="shared" si="873"/>
        <v>3.1186736111112014</v>
      </c>
      <c r="W470" s="4">
        <f t="shared" si="874"/>
        <v>1</v>
      </c>
      <c r="X470" s="4">
        <f t="shared" si="875"/>
        <v>0</v>
      </c>
      <c r="Y470" s="4">
        <f t="shared" si="876"/>
        <v>0</v>
      </c>
      <c r="Z470" s="4">
        <f t="shared" si="877"/>
        <v>0</v>
      </c>
      <c r="AA470" s="4">
        <f t="shared" si="878"/>
        <v>0</v>
      </c>
      <c r="AB470" s="4">
        <f t="shared" si="879"/>
        <v>0</v>
      </c>
      <c r="AC470" s="4"/>
      <c r="AD470" s="4" t="b">
        <f t="shared" si="880"/>
        <v>0</v>
      </c>
      <c r="AE470" s="4" t="b">
        <f t="shared" si="881"/>
        <v>0</v>
      </c>
      <c r="AF470" s="4" t="b">
        <f t="shared" si="882"/>
        <v>0</v>
      </c>
      <c r="AG470" t="b">
        <f t="shared" si="883"/>
        <v>0</v>
      </c>
      <c r="AH470" t="b">
        <f t="shared" si="884"/>
        <v>0</v>
      </c>
      <c r="AI470" t="b">
        <f t="shared" si="885"/>
        <v>0</v>
      </c>
      <c r="AJ470" t="b">
        <f t="shared" si="886"/>
        <v>0</v>
      </c>
      <c r="AK470" t="b">
        <f t="shared" si="887"/>
        <v>0</v>
      </c>
      <c r="AL470" t="b">
        <f t="shared" si="888"/>
        <v>0</v>
      </c>
      <c r="AM470" t="b">
        <f t="shared" si="889"/>
        <v>0</v>
      </c>
      <c r="AN470" t="b">
        <f t="shared" si="890"/>
        <v>0</v>
      </c>
      <c r="AO470" t="b">
        <f t="shared" si="891"/>
        <v>0</v>
      </c>
      <c r="AP470" t="b">
        <f t="shared" si="892"/>
        <v>0</v>
      </c>
      <c r="AQ470" t="b">
        <f t="shared" si="893"/>
        <v>0</v>
      </c>
      <c r="AR470" t="b">
        <f t="shared" si="894"/>
        <v>0</v>
      </c>
      <c r="AS470" t="b">
        <f t="shared" si="895"/>
        <v>0</v>
      </c>
      <c r="AT470" t="b">
        <f t="shared" si="896"/>
        <v>0</v>
      </c>
      <c r="AU470" t="b">
        <f t="shared" si="897"/>
        <v>0</v>
      </c>
      <c r="AV470" t="b">
        <f t="shared" si="898"/>
        <v>0</v>
      </c>
      <c r="AW470" t="b">
        <f t="shared" si="899"/>
        <v>0</v>
      </c>
      <c r="AX470" t="b">
        <f t="shared" si="901"/>
        <v>0</v>
      </c>
      <c r="AY470" t="b">
        <f t="shared" si="902"/>
        <v>0</v>
      </c>
      <c r="AZ470" t="b">
        <f t="shared" si="903"/>
        <v>0</v>
      </c>
      <c r="BA470" t="b">
        <f t="shared" si="904"/>
        <v>0</v>
      </c>
      <c r="BB470" t="b">
        <f t="shared" si="905"/>
        <v>0</v>
      </c>
      <c r="BC470" t="b">
        <f t="shared" si="906"/>
        <v>0</v>
      </c>
      <c r="BD470" t="b">
        <f t="shared" si="907"/>
        <v>0</v>
      </c>
      <c r="BE470" t="b">
        <f t="shared" si="908"/>
        <v>0</v>
      </c>
      <c r="BF470" t="b">
        <f t="shared" si="909"/>
        <v>0</v>
      </c>
      <c r="BG470" t="b">
        <f t="shared" si="910"/>
        <v>0</v>
      </c>
      <c r="BH470" t="b">
        <f t="shared" si="911"/>
        <v>0</v>
      </c>
      <c r="BI470">
        <f t="shared" si="912"/>
        <v>1</v>
      </c>
      <c r="BJ470" t="b">
        <f t="shared" si="913"/>
        <v>0</v>
      </c>
      <c r="BK470" t="b">
        <f t="shared" si="914"/>
        <v>0</v>
      </c>
      <c r="BL470" t="b">
        <f t="shared" si="915"/>
        <v>0</v>
      </c>
      <c r="BM470" t="b">
        <f t="shared" si="916"/>
        <v>0</v>
      </c>
      <c r="BN470" t="b">
        <f t="shared" si="917"/>
        <v>0</v>
      </c>
      <c r="BO470" t="b">
        <f t="shared" si="918"/>
        <v>0</v>
      </c>
      <c r="BP470" t="b">
        <f t="shared" si="919"/>
        <v>0</v>
      </c>
      <c r="BQ470" t="b">
        <f t="shared" si="920"/>
        <v>0</v>
      </c>
      <c r="BR470" t="b">
        <f t="shared" si="921"/>
        <v>0</v>
      </c>
      <c r="BS470" t="b">
        <f t="shared" si="922"/>
        <v>0</v>
      </c>
      <c r="BT470" t="b">
        <f t="shared" si="923"/>
        <v>0</v>
      </c>
      <c r="BU470" t="b">
        <f t="shared" si="924"/>
        <v>0</v>
      </c>
      <c r="BV470" t="b">
        <f t="shared" si="925"/>
        <v>0</v>
      </c>
      <c r="BW470" t="b">
        <f t="shared" si="926"/>
        <v>0</v>
      </c>
      <c r="BX470" t="b">
        <f t="shared" si="927"/>
        <v>0</v>
      </c>
      <c r="BY470" t="b">
        <f t="shared" si="928"/>
        <v>0</v>
      </c>
      <c r="BZ470" t="b">
        <f t="shared" si="929"/>
        <v>0</v>
      </c>
      <c r="CA470" t="b">
        <f t="shared" si="930"/>
        <v>0</v>
      </c>
      <c r="CB470" t="b">
        <f t="shared" si="931"/>
        <v>0</v>
      </c>
      <c r="CC470" t="b">
        <f t="shared" si="932"/>
        <v>0</v>
      </c>
      <c r="CD470" t="b">
        <f t="shared" si="933"/>
        <v>0</v>
      </c>
      <c r="CE470" t="b">
        <f t="shared" si="934"/>
        <v>0</v>
      </c>
      <c r="CF470" t="b">
        <f t="shared" si="935"/>
        <v>0</v>
      </c>
      <c r="CG470" t="b">
        <f t="shared" si="936"/>
        <v>0</v>
      </c>
      <c r="CH470" t="b">
        <f t="shared" si="937"/>
        <v>0</v>
      </c>
      <c r="CI470" t="b">
        <f t="shared" si="938"/>
        <v>0</v>
      </c>
      <c r="CJ470" t="b">
        <f t="shared" si="939"/>
        <v>0</v>
      </c>
      <c r="CK470" t="b">
        <f t="shared" si="940"/>
        <v>0</v>
      </c>
      <c r="CL470" t="b">
        <f t="shared" si="941"/>
        <v>0</v>
      </c>
      <c r="CM470">
        <f t="shared" si="942"/>
        <v>1</v>
      </c>
      <c r="CN470" t="b">
        <f t="shared" si="943"/>
        <v>0</v>
      </c>
      <c r="CO470" t="b">
        <f t="shared" si="944"/>
        <v>0</v>
      </c>
      <c r="CP470" t="b">
        <f t="shared" si="945"/>
        <v>0</v>
      </c>
      <c r="CQ470" t="b">
        <f t="shared" si="946"/>
        <v>0</v>
      </c>
      <c r="CR470" t="b">
        <f t="shared" si="947"/>
        <v>0</v>
      </c>
      <c r="CS470" t="b">
        <f t="shared" si="948"/>
        <v>0</v>
      </c>
      <c r="CT470" t="b">
        <f t="shared" si="949"/>
        <v>0</v>
      </c>
      <c r="CU470" t="b">
        <f t="shared" si="950"/>
        <v>0</v>
      </c>
      <c r="CV470">
        <f t="shared" si="951"/>
        <v>1</v>
      </c>
      <c r="CW470" t="b">
        <f t="shared" si="952"/>
        <v>0</v>
      </c>
      <c r="CX470" t="b">
        <f t="shared" si="953"/>
        <v>0</v>
      </c>
      <c r="CY470" t="b">
        <f t="shared" si="954"/>
        <v>0</v>
      </c>
      <c r="CZ470" t="b">
        <f t="shared" si="955"/>
        <v>0</v>
      </c>
      <c r="DA470" t="b">
        <f t="shared" si="956"/>
        <v>0</v>
      </c>
      <c r="DB470" t="b">
        <f t="shared" si="957"/>
        <v>0</v>
      </c>
      <c r="DC470" t="b">
        <f t="shared" si="958"/>
        <v>0</v>
      </c>
      <c r="DD470" t="b">
        <f t="shared" si="959"/>
        <v>0</v>
      </c>
      <c r="DE470" t="b">
        <f t="shared" si="960"/>
        <v>0</v>
      </c>
      <c r="DF470" t="b">
        <f t="shared" si="961"/>
        <v>0</v>
      </c>
      <c r="DG470" t="b">
        <f t="shared" si="962"/>
        <v>0</v>
      </c>
      <c r="DH470" t="b">
        <f t="shared" si="963"/>
        <v>0</v>
      </c>
      <c r="DI470" t="b">
        <f t="shared" si="964"/>
        <v>0</v>
      </c>
      <c r="DJ470" t="b">
        <f t="shared" si="965"/>
        <v>0</v>
      </c>
      <c r="DK470" t="b">
        <f t="shared" si="966"/>
        <v>0</v>
      </c>
      <c r="DL470" t="b">
        <f t="shared" si="967"/>
        <v>0</v>
      </c>
      <c r="DM470" t="b">
        <f t="shared" si="968"/>
        <v>0</v>
      </c>
      <c r="DN470" t="b">
        <f t="shared" si="969"/>
        <v>0</v>
      </c>
      <c r="DO470" t="b">
        <f t="shared" si="970"/>
        <v>0</v>
      </c>
      <c r="DP470" t="b">
        <f t="shared" si="971"/>
        <v>0</v>
      </c>
      <c r="DQ470" t="b">
        <f t="shared" si="972"/>
        <v>0</v>
      </c>
      <c r="DR470" t="b">
        <f t="shared" si="973"/>
        <v>0</v>
      </c>
      <c r="DS470" t="b">
        <f t="shared" si="974"/>
        <v>0</v>
      </c>
      <c r="DT470" t="b">
        <f t="shared" si="975"/>
        <v>0</v>
      </c>
      <c r="DU470" t="b">
        <f t="shared" si="976"/>
        <v>0</v>
      </c>
      <c r="DV470" t="b">
        <f t="shared" si="977"/>
        <v>0</v>
      </c>
      <c r="DW470" t="b">
        <f t="shared" si="978"/>
        <v>0</v>
      </c>
      <c r="DX470" t="b">
        <f t="shared" si="979"/>
        <v>0</v>
      </c>
      <c r="DY470" t="b">
        <f t="shared" si="980"/>
        <v>0</v>
      </c>
      <c r="DZ470" t="b">
        <f t="shared" si="981"/>
        <v>0</v>
      </c>
      <c r="EA470" t="b">
        <f t="shared" si="982"/>
        <v>0</v>
      </c>
      <c r="EB470" t="b">
        <f t="shared" si="983"/>
        <v>0</v>
      </c>
      <c r="EC470" t="b">
        <f t="shared" si="984"/>
        <v>0</v>
      </c>
      <c r="ED470" t="b">
        <f t="shared" si="985"/>
        <v>0</v>
      </c>
      <c r="EE470" t="b">
        <f t="shared" si="986"/>
        <v>0</v>
      </c>
      <c r="EF470" t="b">
        <f t="shared" si="987"/>
        <v>0</v>
      </c>
      <c r="EG470" t="b">
        <f t="shared" si="988"/>
        <v>0</v>
      </c>
      <c r="EH470" t="b">
        <f t="shared" si="989"/>
        <v>0</v>
      </c>
      <c r="EI470" t="b">
        <f t="shared" si="990"/>
        <v>0</v>
      </c>
      <c r="EJ470" t="b">
        <f t="shared" si="991"/>
        <v>0</v>
      </c>
      <c r="EK470" t="b">
        <f t="shared" si="992"/>
        <v>0</v>
      </c>
    </row>
    <row r="471" spans="1:141">
      <c r="A471" t="s">
        <v>2397</v>
      </c>
      <c r="B471" t="s">
        <v>2398</v>
      </c>
      <c r="C471" t="s">
        <v>2399</v>
      </c>
      <c r="D471" s="1">
        <v>43586</v>
      </c>
      <c r="E471" s="2">
        <v>44697.361967592595</v>
      </c>
      <c r="F471" s="2">
        <v>44697.361967592595</v>
      </c>
      <c r="G471">
        <v>22424472</v>
      </c>
      <c r="H471" t="s">
        <v>2400</v>
      </c>
      <c r="I471" s="10" t="s">
        <v>2401</v>
      </c>
      <c r="J471" t="s">
        <v>2402</v>
      </c>
      <c r="K471" s="8" t="b">
        <v>0</v>
      </c>
      <c r="L471" s="10" t="b">
        <v>0</v>
      </c>
      <c r="M471" s="12" t="b">
        <v>0</v>
      </c>
      <c r="N471" t="b">
        <v>0</v>
      </c>
      <c r="O471" t="b">
        <v>0</v>
      </c>
      <c r="P471" t="b">
        <v>0</v>
      </c>
      <c r="Q471">
        <f t="shared" si="869"/>
        <v>4</v>
      </c>
      <c r="R471">
        <f t="shared" si="870"/>
        <v>5</v>
      </c>
      <c r="S471" t="e">
        <f t="shared" ca="1" si="900"/>
        <v>#NAME?</v>
      </c>
      <c r="T471" t="e">
        <f t="shared" ca="1" si="871"/>
        <v>#NAME?</v>
      </c>
      <c r="U471" s="4">
        <f t="shared" si="872"/>
        <v>1111.3619675925947</v>
      </c>
      <c r="V471" s="4">
        <f t="shared" si="873"/>
        <v>37.045398919753161</v>
      </c>
      <c r="W471" s="4">
        <f t="shared" si="874"/>
        <v>0</v>
      </c>
      <c r="X471" s="4">
        <f t="shared" si="875"/>
        <v>0</v>
      </c>
      <c r="Y471" s="4">
        <f t="shared" si="876"/>
        <v>0</v>
      </c>
      <c r="Z471" s="4">
        <f t="shared" si="877"/>
        <v>0</v>
      </c>
      <c r="AA471" s="4">
        <f t="shared" si="878"/>
        <v>0</v>
      </c>
      <c r="AB471" s="4">
        <f t="shared" si="879"/>
        <v>0</v>
      </c>
      <c r="AC471" s="4"/>
      <c r="AD471" s="4" t="b">
        <f t="shared" si="880"/>
        <v>0</v>
      </c>
      <c r="AE471" s="4" t="b">
        <f t="shared" si="881"/>
        <v>0</v>
      </c>
      <c r="AF471" s="4" t="b">
        <f t="shared" si="882"/>
        <v>0</v>
      </c>
      <c r="AG471" t="b">
        <f t="shared" si="883"/>
        <v>0</v>
      </c>
      <c r="AH471" t="b">
        <f t="shared" si="884"/>
        <v>0</v>
      </c>
      <c r="AI471" t="b">
        <f t="shared" si="885"/>
        <v>0</v>
      </c>
      <c r="AJ471" t="b">
        <f t="shared" si="886"/>
        <v>0</v>
      </c>
      <c r="AK471" t="b">
        <f t="shared" si="887"/>
        <v>0</v>
      </c>
      <c r="AL471" t="b">
        <f t="shared" si="888"/>
        <v>0</v>
      </c>
      <c r="AM471" t="b">
        <f t="shared" si="889"/>
        <v>0</v>
      </c>
      <c r="AN471" t="b">
        <f t="shared" si="890"/>
        <v>0</v>
      </c>
      <c r="AO471" t="b">
        <f t="shared" si="891"/>
        <v>0</v>
      </c>
      <c r="AP471" t="b">
        <f t="shared" si="892"/>
        <v>0</v>
      </c>
      <c r="AQ471" t="b">
        <f t="shared" si="893"/>
        <v>0</v>
      </c>
      <c r="AR471" t="b">
        <f t="shared" si="894"/>
        <v>0</v>
      </c>
      <c r="AS471" t="b">
        <f t="shared" si="895"/>
        <v>0</v>
      </c>
      <c r="AT471" t="b">
        <f t="shared" si="896"/>
        <v>0</v>
      </c>
      <c r="AU471" t="b">
        <f t="shared" si="897"/>
        <v>0</v>
      </c>
      <c r="AV471" t="b">
        <f t="shared" si="898"/>
        <v>0</v>
      </c>
      <c r="AW471" t="b">
        <f t="shared" si="899"/>
        <v>0</v>
      </c>
      <c r="AX471" t="b">
        <f t="shared" si="901"/>
        <v>0</v>
      </c>
      <c r="AY471" t="b">
        <f t="shared" si="902"/>
        <v>0</v>
      </c>
      <c r="AZ471" t="b">
        <f t="shared" si="903"/>
        <v>0</v>
      </c>
      <c r="BA471" t="b">
        <f t="shared" si="904"/>
        <v>0</v>
      </c>
      <c r="BB471" t="b">
        <f t="shared" si="905"/>
        <v>0</v>
      </c>
      <c r="BC471" t="b">
        <f t="shared" si="906"/>
        <v>0</v>
      </c>
      <c r="BD471" t="b">
        <f t="shared" si="907"/>
        <v>0</v>
      </c>
      <c r="BE471" t="b">
        <f t="shared" si="908"/>
        <v>0</v>
      </c>
      <c r="BF471" t="b">
        <f t="shared" si="909"/>
        <v>0</v>
      </c>
      <c r="BG471" t="b">
        <f t="shared" si="910"/>
        <v>0</v>
      </c>
      <c r="BH471" t="b">
        <f t="shared" si="911"/>
        <v>0</v>
      </c>
      <c r="BI471">
        <f t="shared" si="912"/>
        <v>1</v>
      </c>
      <c r="BJ471" t="b">
        <f t="shared" si="913"/>
        <v>0</v>
      </c>
      <c r="BK471" t="b">
        <f t="shared" si="914"/>
        <v>0</v>
      </c>
      <c r="BL471" t="b">
        <f t="shared" si="915"/>
        <v>0</v>
      </c>
      <c r="BM471" t="b">
        <f t="shared" si="916"/>
        <v>0</v>
      </c>
      <c r="BN471" t="b">
        <f t="shared" si="917"/>
        <v>0</v>
      </c>
      <c r="BO471" t="b">
        <f t="shared" si="918"/>
        <v>0</v>
      </c>
      <c r="BP471" t="b">
        <f t="shared" si="919"/>
        <v>0</v>
      </c>
      <c r="BQ471" t="b">
        <f t="shared" si="920"/>
        <v>0</v>
      </c>
      <c r="BR471">
        <f t="shared" si="921"/>
        <v>1</v>
      </c>
      <c r="BS471" t="b">
        <f t="shared" si="922"/>
        <v>0</v>
      </c>
      <c r="BT471" t="b">
        <f t="shared" si="923"/>
        <v>0</v>
      </c>
      <c r="BU471" t="b">
        <f t="shared" si="924"/>
        <v>0</v>
      </c>
      <c r="BV471" t="b">
        <f t="shared" si="925"/>
        <v>0</v>
      </c>
      <c r="BW471" t="b">
        <f t="shared" si="926"/>
        <v>0</v>
      </c>
      <c r="BX471" t="b">
        <f t="shared" si="927"/>
        <v>0</v>
      </c>
      <c r="BY471" t="b">
        <f t="shared" si="928"/>
        <v>0</v>
      </c>
      <c r="BZ471" t="b">
        <f t="shared" si="929"/>
        <v>0</v>
      </c>
      <c r="CA471" t="b">
        <f t="shared" si="930"/>
        <v>0</v>
      </c>
      <c r="CB471" t="b">
        <f t="shared" si="931"/>
        <v>0</v>
      </c>
      <c r="CC471" t="b">
        <f t="shared" si="932"/>
        <v>0</v>
      </c>
      <c r="CD471" t="b">
        <f t="shared" si="933"/>
        <v>0</v>
      </c>
      <c r="CE471" t="b">
        <f t="shared" si="934"/>
        <v>0</v>
      </c>
      <c r="CF471" t="b">
        <f t="shared" si="935"/>
        <v>0</v>
      </c>
      <c r="CG471" t="b">
        <f t="shared" si="936"/>
        <v>0</v>
      </c>
      <c r="CH471" t="b">
        <f t="shared" si="937"/>
        <v>0</v>
      </c>
      <c r="CI471" t="b">
        <f t="shared" si="938"/>
        <v>0</v>
      </c>
      <c r="CJ471" t="b">
        <f t="shared" si="939"/>
        <v>0</v>
      </c>
      <c r="CK471" t="b">
        <f t="shared" si="940"/>
        <v>0</v>
      </c>
      <c r="CL471" t="b">
        <f t="shared" si="941"/>
        <v>0</v>
      </c>
      <c r="CM471" t="b">
        <f t="shared" si="942"/>
        <v>0</v>
      </c>
      <c r="CN471" t="b">
        <f t="shared" si="943"/>
        <v>0</v>
      </c>
      <c r="CO471" t="b">
        <f t="shared" si="944"/>
        <v>0</v>
      </c>
      <c r="CP471" t="b">
        <f t="shared" si="945"/>
        <v>0</v>
      </c>
      <c r="CQ471" t="b">
        <f t="shared" si="946"/>
        <v>0</v>
      </c>
      <c r="CR471" t="b">
        <f t="shared" si="947"/>
        <v>0</v>
      </c>
      <c r="CS471" t="b">
        <f t="shared" si="948"/>
        <v>0</v>
      </c>
      <c r="CT471" t="b">
        <f t="shared" si="949"/>
        <v>0</v>
      </c>
      <c r="CU471" t="b">
        <f t="shared" si="950"/>
        <v>0</v>
      </c>
      <c r="CV471">
        <f t="shared" si="951"/>
        <v>1</v>
      </c>
      <c r="CW471" t="b">
        <f t="shared" si="952"/>
        <v>0</v>
      </c>
      <c r="CX471" t="b">
        <f t="shared" si="953"/>
        <v>0</v>
      </c>
      <c r="CY471" t="b">
        <f t="shared" si="954"/>
        <v>0</v>
      </c>
      <c r="CZ471" t="b">
        <f t="shared" si="955"/>
        <v>0</v>
      </c>
      <c r="DA471">
        <f t="shared" si="956"/>
        <v>1</v>
      </c>
      <c r="DB471" t="b">
        <f t="shared" si="957"/>
        <v>0</v>
      </c>
      <c r="DC471" t="b">
        <f t="shared" si="958"/>
        <v>0</v>
      </c>
      <c r="DD471" t="b">
        <f t="shared" si="959"/>
        <v>0</v>
      </c>
      <c r="DE471" t="b">
        <f t="shared" si="960"/>
        <v>0</v>
      </c>
      <c r="DF471" t="b">
        <f t="shared" si="961"/>
        <v>0</v>
      </c>
      <c r="DG471" t="b">
        <f t="shared" si="962"/>
        <v>0</v>
      </c>
      <c r="DH471" t="b">
        <f t="shared" si="963"/>
        <v>0</v>
      </c>
      <c r="DI471" t="b">
        <f t="shared" si="964"/>
        <v>0</v>
      </c>
      <c r="DJ471" t="b">
        <f t="shared" si="965"/>
        <v>0</v>
      </c>
      <c r="DK471" t="b">
        <f t="shared" si="966"/>
        <v>0</v>
      </c>
      <c r="DL471" t="b">
        <f t="shared" si="967"/>
        <v>0</v>
      </c>
      <c r="DM471" t="b">
        <f t="shared" si="968"/>
        <v>0</v>
      </c>
      <c r="DN471" t="b">
        <f t="shared" si="969"/>
        <v>0</v>
      </c>
      <c r="DO471" t="b">
        <f t="shared" si="970"/>
        <v>0</v>
      </c>
      <c r="DP471" t="b">
        <f t="shared" si="971"/>
        <v>0</v>
      </c>
      <c r="DQ471" t="b">
        <f t="shared" si="972"/>
        <v>0</v>
      </c>
      <c r="DR471" t="b">
        <f t="shared" si="973"/>
        <v>0</v>
      </c>
      <c r="DS471" t="b">
        <f t="shared" si="974"/>
        <v>0</v>
      </c>
      <c r="DT471" t="b">
        <f t="shared" si="975"/>
        <v>0</v>
      </c>
      <c r="DU471" t="b">
        <f t="shared" si="976"/>
        <v>0</v>
      </c>
      <c r="DV471" t="b">
        <f t="shared" si="977"/>
        <v>0</v>
      </c>
      <c r="DW471" t="b">
        <f t="shared" si="978"/>
        <v>0</v>
      </c>
      <c r="DX471" t="b">
        <f t="shared" si="979"/>
        <v>0</v>
      </c>
      <c r="DY471" t="b">
        <f t="shared" si="980"/>
        <v>0</v>
      </c>
      <c r="DZ471" t="b">
        <f t="shared" si="981"/>
        <v>0</v>
      </c>
      <c r="EA471" t="b">
        <f t="shared" si="982"/>
        <v>0</v>
      </c>
      <c r="EB471" t="b">
        <f t="shared" si="983"/>
        <v>0</v>
      </c>
      <c r="EC471" t="b">
        <f t="shared" si="984"/>
        <v>0</v>
      </c>
      <c r="ED471" t="b">
        <f t="shared" si="985"/>
        <v>0</v>
      </c>
      <c r="EE471" t="b">
        <f t="shared" si="986"/>
        <v>0</v>
      </c>
      <c r="EF471">
        <f t="shared" si="987"/>
        <v>1</v>
      </c>
      <c r="EG471" t="b">
        <f t="shared" si="988"/>
        <v>0</v>
      </c>
      <c r="EH471" t="b">
        <f t="shared" si="989"/>
        <v>0</v>
      </c>
      <c r="EI471" t="b">
        <f t="shared" si="990"/>
        <v>0</v>
      </c>
      <c r="EJ471" t="b">
        <f t="shared" si="991"/>
        <v>0</v>
      </c>
      <c r="EK471" t="b">
        <f t="shared" si="992"/>
        <v>0</v>
      </c>
    </row>
    <row r="472" spans="1:141">
      <c r="A472" t="s">
        <v>2403</v>
      </c>
      <c r="B472" t="s">
        <v>2404</v>
      </c>
      <c r="C472" t="s">
        <v>2405</v>
      </c>
      <c r="D472" s="1">
        <v>42619</v>
      </c>
      <c r="E472" s="2">
        <v>43367.214548611111</v>
      </c>
      <c r="F472" s="2">
        <v>43367.214548611111</v>
      </c>
      <c r="G472">
        <v>307768</v>
      </c>
      <c r="H472" t="s">
        <v>2406</v>
      </c>
      <c r="I472" s="10" t="s">
        <v>2407</v>
      </c>
      <c r="J472" t="s">
        <v>689</v>
      </c>
      <c r="K472" s="8" t="b">
        <v>1</v>
      </c>
      <c r="L472" s="10" t="b">
        <v>0</v>
      </c>
      <c r="M472" s="12" t="b">
        <v>0</v>
      </c>
      <c r="N472" t="b">
        <v>0</v>
      </c>
      <c r="O472" t="b">
        <v>0</v>
      </c>
      <c r="P472" t="b">
        <v>0</v>
      </c>
      <c r="Q472">
        <f t="shared" si="869"/>
        <v>3</v>
      </c>
      <c r="R472">
        <f t="shared" si="870"/>
        <v>9</v>
      </c>
      <c r="S472" t="e">
        <f t="shared" ca="1" si="900"/>
        <v>#NAME?</v>
      </c>
      <c r="T472" t="e">
        <f t="shared" ca="1" si="871"/>
        <v>#NAME?</v>
      </c>
      <c r="U472" s="4">
        <f t="shared" si="872"/>
        <v>748.21454861111124</v>
      </c>
      <c r="V472" s="4">
        <f t="shared" si="873"/>
        <v>24.940484953703709</v>
      </c>
      <c r="W472" s="4">
        <f t="shared" si="874"/>
        <v>1</v>
      </c>
      <c r="X472" s="4">
        <f t="shared" si="875"/>
        <v>0</v>
      </c>
      <c r="Y472" s="4">
        <f t="shared" si="876"/>
        <v>0</v>
      </c>
      <c r="Z472" s="4">
        <f t="shared" si="877"/>
        <v>0</v>
      </c>
      <c r="AA472" s="4">
        <f t="shared" si="878"/>
        <v>0</v>
      </c>
      <c r="AB472" s="4">
        <f t="shared" si="879"/>
        <v>0</v>
      </c>
      <c r="AC472" s="4"/>
      <c r="AD472" s="4" t="b">
        <f t="shared" si="880"/>
        <v>0</v>
      </c>
      <c r="AE472" s="4" t="b">
        <f t="shared" si="881"/>
        <v>0</v>
      </c>
      <c r="AF472" s="4" t="b">
        <f t="shared" si="882"/>
        <v>0</v>
      </c>
      <c r="AG472" t="b">
        <f t="shared" si="883"/>
        <v>0</v>
      </c>
      <c r="AH472" t="b">
        <f t="shared" si="884"/>
        <v>0</v>
      </c>
      <c r="AI472" t="b">
        <f t="shared" si="885"/>
        <v>0</v>
      </c>
      <c r="AJ472" t="b">
        <f t="shared" si="886"/>
        <v>0</v>
      </c>
      <c r="AK472" t="b">
        <f t="shared" si="887"/>
        <v>0</v>
      </c>
      <c r="AL472" t="b">
        <f t="shared" si="888"/>
        <v>0</v>
      </c>
      <c r="AM472" t="b">
        <f t="shared" si="889"/>
        <v>0</v>
      </c>
      <c r="AN472" t="b">
        <f t="shared" si="890"/>
        <v>0</v>
      </c>
      <c r="AO472" t="b">
        <f t="shared" si="891"/>
        <v>0</v>
      </c>
      <c r="AP472" t="b">
        <f t="shared" si="892"/>
        <v>0</v>
      </c>
      <c r="AQ472" t="b">
        <f t="shared" si="893"/>
        <v>0</v>
      </c>
      <c r="AR472" t="b">
        <f t="shared" si="894"/>
        <v>0</v>
      </c>
      <c r="AS472" t="b">
        <f t="shared" si="895"/>
        <v>0</v>
      </c>
      <c r="AT472" t="b">
        <f t="shared" si="896"/>
        <v>0</v>
      </c>
      <c r="AU472" t="b">
        <f t="shared" si="897"/>
        <v>0</v>
      </c>
      <c r="AV472" t="b">
        <f t="shared" si="898"/>
        <v>0</v>
      </c>
      <c r="AW472" t="b">
        <f t="shared" si="899"/>
        <v>0</v>
      </c>
      <c r="AX472" t="b">
        <f t="shared" si="901"/>
        <v>0</v>
      </c>
      <c r="AY472" t="b">
        <f t="shared" si="902"/>
        <v>0</v>
      </c>
      <c r="AZ472" t="b">
        <f t="shared" si="903"/>
        <v>0</v>
      </c>
      <c r="BA472" t="b">
        <f t="shared" si="904"/>
        <v>0</v>
      </c>
      <c r="BB472" t="b">
        <f t="shared" si="905"/>
        <v>0</v>
      </c>
      <c r="BC472" t="b">
        <f t="shared" si="906"/>
        <v>0</v>
      </c>
      <c r="BD472" t="b">
        <f t="shared" si="907"/>
        <v>0</v>
      </c>
      <c r="BE472" t="b">
        <f t="shared" si="908"/>
        <v>0</v>
      </c>
      <c r="BF472" t="b">
        <f t="shared" si="909"/>
        <v>0</v>
      </c>
      <c r="BG472" t="b">
        <f t="shared" si="910"/>
        <v>0</v>
      </c>
      <c r="BH472" t="b">
        <f t="shared" si="911"/>
        <v>0</v>
      </c>
      <c r="BI472">
        <f t="shared" si="912"/>
        <v>1</v>
      </c>
      <c r="BJ472" t="b">
        <f t="shared" si="913"/>
        <v>0</v>
      </c>
      <c r="BK472" t="b">
        <f t="shared" si="914"/>
        <v>0</v>
      </c>
      <c r="BL472" t="b">
        <f t="shared" si="915"/>
        <v>0</v>
      </c>
      <c r="BM472" t="b">
        <f t="shared" si="916"/>
        <v>0</v>
      </c>
      <c r="BN472" t="b">
        <f t="shared" si="917"/>
        <v>0</v>
      </c>
      <c r="BO472" t="b">
        <f t="shared" si="918"/>
        <v>0</v>
      </c>
      <c r="BP472" t="b">
        <f t="shared" si="919"/>
        <v>0</v>
      </c>
      <c r="BQ472" t="b">
        <f t="shared" si="920"/>
        <v>0</v>
      </c>
      <c r="BR472" t="b">
        <f t="shared" si="921"/>
        <v>0</v>
      </c>
      <c r="BS472" t="b">
        <f t="shared" si="922"/>
        <v>0</v>
      </c>
      <c r="BT472" t="b">
        <f t="shared" si="923"/>
        <v>0</v>
      </c>
      <c r="BU472" t="b">
        <f t="shared" si="924"/>
        <v>0</v>
      </c>
      <c r="BV472" t="b">
        <f t="shared" si="925"/>
        <v>0</v>
      </c>
      <c r="BW472" t="b">
        <f t="shared" si="926"/>
        <v>0</v>
      </c>
      <c r="BX472" t="b">
        <f t="shared" si="927"/>
        <v>0</v>
      </c>
      <c r="BY472" t="b">
        <f t="shared" si="928"/>
        <v>0</v>
      </c>
      <c r="BZ472" t="b">
        <f t="shared" si="929"/>
        <v>0</v>
      </c>
      <c r="CA472" t="b">
        <f t="shared" si="930"/>
        <v>0</v>
      </c>
      <c r="CB472" t="b">
        <f t="shared" si="931"/>
        <v>0</v>
      </c>
      <c r="CC472" t="b">
        <f t="shared" si="932"/>
        <v>0</v>
      </c>
      <c r="CD472" t="b">
        <f t="shared" si="933"/>
        <v>0</v>
      </c>
      <c r="CE472" t="b">
        <f t="shared" si="934"/>
        <v>0</v>
      </c>
      <c r="CF472" t="b">
        <f t="shared" si="935"/>
        <v>0</v>
      </c>
      <c r="CG472" t="b">
        <f t="shared" si="936"/>
        <v>0</v>
      </c>
      <c r="CH472" t="b">
        <f t="shared" si="937"/>
        <v>0</v>
      </c>
      <c r="CI472" t="b">
        <f t="shared" si="938"/>
        <v>0</v>
      </c>
      <c r="CJ472" t="b">
        <f t="shared" si="939"/>
        <v>0</v>
      </c>
      <c r="CK472" t="b">
        <f t="shared" si="940"/>
        <v>0</v>
      </c>
      <c r="CL472" t="b">
        <f t="shared" si="941"/>
        <v>0</v>
      </c>
      <c r="CM472">
        <f t="shared" si="942"/>
        <v>1</v>
      </c>
      <c r="CN472" t="b">
        <f t="shared" si="943"/>
        <v>0</v>
      </c>
      <c r="CO472" t="b">
        <f t="shared" si="944"/>
        <v>0</v>
      </c>
      <c r="CP472" t="b">
        <f t="shared" si="945"/>
        <v>0</v>
      </c>
      <c r="CQ472" t="b">
        <f t="shared" si="946"/>
        <v>0</v>
      </c>
      <c r="CR472" t="b">
        <f t="shared" si="947"/>
        <v>0</v>
      </c>
      <c r="CS472" t="b">
        <f t="shared" si="948"/>
        <v>0</v>
      </c>
      <c r="CT472" t="b">
        <f t="shared" si="949"/>
        <v>0</v>
      </c>
      <c r="CU472" t="b">
        <f t="shared" si="950"/>
        <v>0</v>
      </c>
      <c r="CV472" t="b">
        <f t="shared" si="951"/>
        <v>0</v>
      </c>
      <c r="CW472" t="b">
        <f t="shared" si="952"/>
        <v>0</v>
      </c>
      <c r="CX472" t="b">
        <f t="shared" si="953"/>
        <v>0</v>
      </c>
      <c r="CY472" t="b">
        <f t="shared" si="954"/>
        <v>0</v>
      </c>
      <c r="CZ472" t="b">
        <f t="shared" si="955"/>
        <v>0</v>
      </c>
      <c r="DA472">
        <f t="shared" si="956"/>
        <v>1</v>
      </c>
      <c r="DB472">
        <f t="shared" si="957"/>
        <v>1</v>
      </c>
      <c r="DC472" t="b">
        <f t="shared" si="958"/>
        <v>0</v>
      </c>
      <c r="DD472" t="b">
        <f t="shared" si="959"/>
        <v>0</v>
      </c>
      <c r="DE472" t="b">
        <f t="shared" si="960"/>
        <v>0</v>
      </c>
      <c r="DF472" t="b">
        <f t="shared" si="961"/>
        <v>0</v>
      </c>
      <c r="DG472" t="b">
        <f t="shared" si="962"/>
        <v>0</v>
      </c>
      <c r="DH472" t="b">
        <f t="shared" si="963"/>
        <v>0</v>
      </c>
      <c r="DI472" t="b">
        <f t="shared" si="964"/>
        <v>0</v>
      </c>
      <c r="DJ472" t="b">
        <f t="shared" si="965"/>
        <v>0</v>
      </c>
      <c r="DK472" t="b">
        <f t="shared" si="966"/>
        <v>0</v>
      </c>
      <c r="DL472" t="b">
        <f t="shared" si="967"/>
        <v>0</v>
      </c>
      <c r="DM472" t="b">
        <f t="shared" si="968"/>
        <v>0</v>
      </c>
      <c r="DN472" t="b">
        <f t="shared" si="969"/>
        <v>0</v>
      </c>
      <c r="DO472" t="b">
        <f t="shared" si="970"/>
        <v>0</v>
      </c>
      <c r="DP472" t="b">
        <f t="shared" si="971"/>
        <v>0</v>
      </c>
      <c r="DQ472" t="b">
        <f t="shared" si="972"/>
        <v>0</v>
      </c>
      <c r="DR472" t="b">
        <f t="shared" si="973"/>
        <v>0</v>
      </c>
      <c r="DS472" t="b">
        <f t="shared" si="974"/>
        <v>0</v>
      </c>
      <c r="DT472" t="b">
        <f t="shared" si="975"/>
        <v>0</v>
      </c>
      <c r="DU472" t="b">
        <f t="shared" si="976"/>
        <v>0</v>
      </c>
      <c r="DV472" t="b">
        <f t="shared" si="977"/>
        <v>0</v>
      </c>
      <c r="DW472" t="b">
        <f t="shared" si="978"/>
        <v>0</v>
      </c>
      <c r="DX472" t="b">
        <f t="shared" si="979"/>
        <v>0</v>
      </c>
      <c r="DY472" t="b">
        <f t="shared" si="980"/>
        <v>0</v>
      </c>
      <c r="DZ472" t="b">
        <f t="shared" si="981"/>
        <v>0</v>
      </c>
      <c r="EA472" t="b">
        <f t="shared" si="982"/>
        <v>0</v>
      </c>
      <c r="EB472" t="b">
        <f t="shared" si="983"/>
        <v>0</v>
      </c>
      <c r="EC472" t="b">
        <f t="shared" si="984"/>
        <v>0</v>
      </c>
      <c r="ED472" t="b">
        <f t="shared" si="985"/>
        <v>0</v>
      </c>
      <c r="EE472" t="b">
        <f t="shared" si="986"/>
        <v>0</v>
      </c>
      <c r="EF472" t="b">
        <f t="shared" si="987"/>
        <v>0</v>
      </c>
      <c r="EG472" t="b">
        <f t="shared" si="988"/>
        <v>0</v>
      </c>
      <c r="EH472" t="b">
        <f t="shared" si="989"/>
        <v>0</v>
      </c>
      <c r="EI472" t="b">
        <f t="shared" si="990"/>
        <v>0</v>
      </c>
      <c r="EJ472" t="b">
        <f t="shared" si="991"/>
        <v>0</v>
      </c>
      <c r="EK472" t="b">
        <f t="shared" si="992"/>
        <v>0</v>
      </c>
    </row>
    <row r="473" spans="1:141">
      <c r="A473" t="s">
        <v>2408</v>
      </c>
      <c r="B473" t="s">
        <v>2408</v>
      </c>
      <c r="C473" t="s">
        <v>2409</v>
      </c>
      <c r="D473" s="1">
        <v>44078</v>
      </c>
      <c r="E473" s="2">
        <v>44589.155694444446</v>
      </c>
      <c r="F473" s="2">
        <v>44589.155694444446</v>
      </c>
      <c r="G473">
        <v>5890277</v>
      </c>
      <c r="H473" t="s">
        <v>2410</v>
      </c>
      <c r="I473" s="10" t="s">
        <v>2411</v>
      </c>
      <c r="J473" t="s">
        <v>2412</v>
      </c>
      <c r="K473" s="8" t="b">
        <v>1</v>
      </c>
      <c r="L473" s="10" t="b">
        <v>0</v>
      </c>
      <c r="M473" s="12" t="b">
        <v>0</v>
      </c>
      <c r="N473" t="b">
        <v>0</v>
      </c>
      <c r="O473" t="b">
        <v>0</v>
      </c>
      <c r="P473" t="b">
        <v>0</v>
      </c>
      <c r="Q473">
        <f t="shared" si="869"/>
        <v>6</v>
      </c>
      <c r="R473">
        <f t="shared" si="870"/>
        <v>9</v>
      </c>
      <c r="S473" t="e">
        <f t="shared" ca="1" si="900"/>
        <v>#NAME?</v>
      </c>
      <c r="T473" t="e">
        <f t="shared" ca="1" si="871"/>
        <v>#NAME?</v>
      </c>
      <c r="U473" s="4">
        <f t="shared" si="872"/>
        <v>511.15569444444554</v>
      </c>
      <c r="V473" s="4">
        <f t="shared" si="873"/>
        <v>17.038523148148183</v>
      </c>
      <c r="W473" s="4">
        <f t="shared" si="874"/>
        <v>1</v>
      </c>
      <c r="X473" s="4">
        <f t="shared" si="875"/>
        <v>0</v>
      </c>
      <c r="Y473" s="4">
        <f t="shared" si="876"/>
        <v>0</v>
      </c>
      <c r="Z473" s="4">
        <f t="shared" si="877"/>
        <v>0</v>
      </c>
      <c r="AA473" s="4">
        <f t="shared" si="878"/>
        <v>0</v>
      </c>
      <c r="AB473" s="4">
        <f t="shared" si="879"/>
        <v>0</v>
      </c>
      <c r="AC473" s="4"/>
      <c r="AD473" s="4" t="b">
        <f t="shared" si="880"/>
        <v>0</v>
      </c>
      <c r="AE473" s="4" t="b">
        <f t="shared" si="881"/>
        <v>0</v>
      </c>
      <c r="AF473" s="4" t="b">
        <f t="shared" si="882"/>
        <v>0</v>
      </c>
      <c r="AG473" t="b">
        <f t="shared" si="883"/>
        <v>0</v>
      </c>
      <c r="AH473" t="b">
        <f t="shared" si="884"/>
        <v>0</v>
      </c>
      <c r="AI473" t="b">
        <f t="shared" si="885"/>
        <v>0</v>
      </c>
      <c r="AJ473" t="b">
        <f t="shared" si="886"/>
        <v>0</v>
      </c>
      <c r="AK473" t="b">
        <f t="shared" si="887"/>
        <v>0</v>
      </c>
      <c r="AL473" t="b">
        <f t="shared" si="888"/>
        <v>0</v>
      </c>
      <c r="AM473" t="b">
        <f t="shared" si="889"/>
        <v>0</v>
      </c>
      <c r="AN473" t="b">
        <f t="shared" si="890"/>
        <v>0</v>
      </c>
      <c r="AO473" t="b">
        <f t="shared" si="891"/>
        <v>0</v>
      </c>
      <c r="AP473" t="b">
        <f t="shared" si="892"/>
        <v>0</v>
      </c>
      <c r="AQ473" t="b">
        <f t="shared" si="893"/>
        <v>0</v>
      </c>
      <c r="AR473" t="b">
        <f t="shared" si="894"/>
        <v>0</v>
      </c>
      <c r="AS473" t="b">
        <f t="shared" si="895"/>
        <v>0</v>
      </c>
      <c r="AT473" t="b">
        <f t="shared" si="896"/>
        <v>0</v>
      </c>
      <c r="AU473" t="b">
        <f t="shared" si="897"/>
        <v>0</v>
      </c>
      <c r="AV473" t="b">
        <f t="shared" si="898"/>
        <v>0</v>
      </c>
      <c r="AW473" t="b">
        <f t="shared" si="899"/>
        <v>0</v>
      </c>
      <c r="AX473" t="b">
        <f t="shared" si="901"/>
        <v>0</v>
      </c>
      <c r="AY473" t="b">
        <f t="shared" si="902"/>
        <v>0</v>
      </c>
      <c r="AZ473">
        <f t="shared" si="903"/>
        <v>1</v>
      </c>
      <c r="BA473" t="b">
        <f t="shared" si="904"/>
        <v>0</v>
      </c>
      <c r="BB473" t="b">
        <f t="shared" si="905"/>
        <v>0</v>
      </c>
      <c r="BC473" t="b">
        <f t="shared" si="906"/>
        <v>0</v>
      </c>
      <c r="BD473" t="b">
        <f t="shared" si="907"/>
        <v>0</v>
      </c>
      <c r="BE473" t="b">
        <f t="shared" si="908"/>
        <v>0</v>
      </c>
      <c r="BF473" t="b">
        <f t="shared" si="909"/>
        <v>0</v>
      </c>
      <c r="BG473" t="b">
        <f t="shared" si="910"/>
        <v>0</v>
      </c>
      <c r="BH473" t="b">
        <f t="shared" si="911"/>
        <v>0</v>
      </c>
      <c r="BI473">
        <f t="shared" si="912"/>
        <v>1</v>
      </c>
      <c r="BJ473" t="b">
        <f t="shared" si="913"/>
        <v>0</v>
      </c>
      <c r="BK473" t="b">
        <f t="shared" si="914"/>
        <v>0</v>
      </c>
      <c r="BL473" t="b">
        <f t="shared" si="915"/>
        <v>0</v>
      </c>
      <c r="BM473" t="b">
        <f t="shared" si="916"/>
        <v>0</v>
      </c>
      <c r="BN473" t="b">
        <f t="shared" si="917"/>
        <v>0</v>
      </c>
      <c r="BO473" t="b">
        <f t="shared" si="918"/>
        <v>0</v>
      </c>
      <c r="BP473" t="b">
        <f t="shared" si="919"/>
        <v>0</v>
      </c>
      <c r="BQ473" t="b">
        <f t="shared" si="920"/>
        <v>0</v>
      </c>
      <c r="BR473">
        <f t="shared" si="921"/>
        <v>1</v>
      </c>
      <c r="BS473" t="b">
        <f t="shared" si="922"/>
        <v>0</v>
      </c>
      <c r="BT473" t="b">
        <f t="shared" si="923"/>
        <v>0</v>
      </c>
      <c r="BU473" t="b">
        <f t="shared" si="924"/>
        <v>0</v>
      </c>
      <c r="BV473" t="b">
        <f t="shared" si="925"/>
        <v>0</v>
      </c>
      <c r="BW473" t="b">
        <f t="shared" si="926"/>
        <v>0</v>
      </c>
      <c r="BX473" t="b">
        <f t="shared" si="927"/>
        <v>0</v>
      </c>
      <c r="BY473" t="b">
        <f t="shared" si="928"/>
        <v>0</v>
      </c>
      <c r="BZ473" t="b">
        <f t="shared" si="929"/>
        <v>0</v>
      </c>
      <c r="CA473" t="b">
        <f t="shared" si="930"/>
        <v>0</v>
      </c>
      <c r="CB473" t="b">
        <f t="shared" si="931"/>
        <v>0</v>
      </c>
      <c r="CC473" t="b">
        <f t="shared" si="932"/>
        <v>0</v>
      </c>
      <c r="CD473" t="b">
        <f t="shared" si="933"/>
        <v>0</v>
      </c>
      <c r="CE473" t="b">
        <f t="shared" si="934"/>
        <v>0</v>
      </c>
      <c r="CF473" t="b">
        <f t="shared" si="935"/>
        <v>0</v>
      </c>
      <c r="CG473" t="b">
        <f t="shared" si="936"/>
        <v>0</v>
      </c>
      <c r="CH473" t="b">
        <f t="shared" si="937"/>
        <v>0</v>
      </c>
      <c r="CI473" t="b">
        <f t="shared" si="938"/>
        <v>0</v>
      </c>
      <c r="CJ473" t="b">
        <f t="shared" si="939"/>
        <v>0</v>
      </c>
      <c r="CK473" t="b">
        <f t="shared" si="940"/>
        <v>0</v>
      </c>
      <c r="CL473" t="b">
        <f t="shared" si="941"/>
        <v>0</v>
      </c>
      <c r="CM473">
        <f t="shared" si="942"/>
        <v>1</v>
      </c>
      <c r="CN473" t="b">
        <f t="shared" si="943"/>
        <v>0</v>
      </c>
      <c r="CO473" t="b">
        <f t="shared" si="944"/>
        <v>0</v>
      </c>
      <c r="CP473" t="b">
        <f t="shared" si="945"/>
        <v>0</v>
      </c>
      <c r="CQ473">
        <f t="shared" si="946"/>
        <v>1</v>
      </c>
      <c r="CR473" t="b">
        <f t="shared" si="947"/>
        <v>0</v>
      </c>
      <c r="CS473" t="b">
        <f t="shared" si="948"/>
        <v>0</v>
      </c>
      <c r="CT473" t="b">
        <f t="shared" si="949"/>
        <v>0</v>
      </c>
      <c r="CU473" t="b">
        <f t="shared" si="950"/>
        <v>0</v>
      </c>
      <c r="CV473">
        <f t="shared" si="951"/>
        <v>1</v>
      </c>
      <c r="CW473" t="b">
        <f t="shared" si="952"/>
        <v>0</v>
      </c>
      <c r="CX473" t="b">
        <f t="shared" si="953"/>
        <v>0</v>
      </c>
      <c r="CY473" t="b">
        <f t="shared" si="954"/>
        <v>0</v>
      </c>
      <c r="CZ473" t="b">
        <f t="shared" si="955"/>
        <v>0</v>
      </c>
      <c r="DA473">
        <f t="shared" si="956"/>
        <v>1</v>
      </c>
      <c r="DB473" t="b">
        <f t="shared" si="957"/>
        <v>0</v>
      </c>
      <c r="DC473" t="b">
        <f t="shared" si="958"/>
        <v>0</v>
      </c>
      <c r="DD473" t="b">
        <f t="shared" si="959"/>
        <v>0</v>
      </c>
      <c r="DE473" t="b">
        <f t="shared" si="960"/>
        <v>0</v>
      </c>
      <c r="DF473" t="b">
        <f t="shared" si="961"/>
        <v>0</v>
      </c>
      <c r="DG473" t="b">
        <f t="shared" si="962"/>
        <v>0</v>
      </c>
      <c r="DH473" t="b">
        <f t="shared" si="963"/>
        <v>0</v>
      </c>
      <c r="DI473" t="b">
        <f t="shared" si="964"/>
        <v>0</v>
      </c>
      <c r="DJ473" t="b">
        <f t="shared" si="965"/>
        <v>0</v>
      </c>
      <c r="DK473" t="b">
        <f t="shared" si="966"/>
        <v>0</v>
      </c>
      <c r="DL473" t="b">
        <f t="shared" si="967"/>
        <v>0</v>
      </c>
      <c r="DM473" t="b">
        <f t="shared" si="968"/>
        <v>0</v>
      </c>
      <c r="DN473" t="b">
        <f t="shared" si="969"/>
        <v>0</v>
      </c>
      <c r="DO473" t="b">
        <f t="shared" si="970"/>
        <v>0</v>
      </c>
      <c r="DP473" t="b">
        <f t="shared" si="971"/>
        <v>0</v>
      </c>
      <c r="DQ473" t="b">
        <f t="shared" si="972"/>
        <v>0</v>
      </c>
      <c r="DR473" t="b">
        <f t="shared" si="973"/>
        <v>0</v>
      </c>
      <c r="DS473" t="b">
        <f t="shared" si="974"/>
        <v>0</v>
      </c>
      <c r="DT473" t="b">
        <f t="shared" si="975"/>
        <v>0</v>
      </c>
      <c r="DU473" t="b">
        <f t="shared" si="976"/>
        <v>0</v>
      </c>
      <c r="DV473" t="b">
        <f t="shared" si="977"/>
        <v>0</v>
      </c>
      <c r="DW473" t="b">
        <f t="shared" si="978"/>
        <v>0</v>
      </c>
      <c r="DX473" t="b">
        <f t="shared" si="979"/>
        <v>0</v>
      </c>
      <c r="DY473" t="b">
        <f t="shared" si="980"/>
        <v>0</v>
      </c>
      <c r="DZ473" t="b">
        <f t="shared" si="981"/>
        <v>0</v>
      </c>
      <c r="EA473" t="b">
        <f t="shared" si="982"/>
        <v>0</v>
      </c>
      <c r="EB473" t="b">
        <f t="shared" si="983"/>
        <v>0</v>
      </c>
      <c r="EC473" t="b">
        <f t="shared" si="984"/>
        <v>0</v>
      </c>
      <c r="ED473" t="b">
        <f t="shared" si="985"/>
        <v>0</v>
      </c>
      <c r="EE473" t="b">
        <f t="shared" si="986"/>
        <v>0</v>
      </c>
      <c r="EF473" t="b">
        <f t="shared" si="987"/>
        <v>0</v>
      </c>
      <c r="EG473" t="b">
        <f t="shared" si="988"/>
        <v>0</v>
      </c>
      <c r="EH473" t="b">
        <f t="shared" si="989"/>
        <v>0</v>
      </c>
      <c r="EI473" t="b">
        <f t="shared" si="990"/>
        <v>0</v>
      </c>
      <c r="EJ473" t="b">
        <f t="shared" si="991"/>
        <v>0</v>
      </c>
      <c r="EK473" t="b">
        <f t="shared" si="992"/>
        <v>0</v>
      </c>
    </row>
    <row r="474" spans="1:141">
      <c r="A474" t="s">
        <v>2413</v>
      </c>
      <c r="B474" t="s">
        <v>2414</v>
      </c>
      <c r="D474" s="1">
        <v>44535</v>
      </c>
      <c r="E474" s="2">
        <v>44560.225243055553</v>
      </c>
      <c r="F474" s="2">
        <v>44566.17465277778</v>
      </c>
      <c r="G474">
        <v>441657</v>
      </c>
      <c r="H474" t="s">
        <v>2415</v>
      </c>
      <c r="I474" s="10" t="s">
        <v>160</v>
      </c>
      <c r="J474" t="s">
        <v>156</v>
      </c>
      <c r="K474" s="8" t="b">
        <v>1</v>
      </c>
      <c r="L474" s="10" t="b">
        <v>0</v>
      </c>
      <c r="M474" s="12" t="b">
        <v>0</v>
      </c>
      <c r="N474" t="b">
        <v>0</v>
      </c>
      <c r="O474" t="b">
        <v>0</v>
      </c>
      <c r="P474" t="b">
        <v>1</v>
      </c>
      <c r="Q474">
        <f t="shared" si="869"/>
        <v>1</v>
      </c>
      <c r="R474">
        <f t="shared" si="870"/>
        <v>12</v>
      </c>
      <c r="S474" t="e">
        <f t="shared" ca="1" si="900"/>
        <v>#NAME?</v>
      </c>
      <c r="T474" t="e">
        <f t="shared" ca="1" si="871"/>
        <v>#NAME?</v>
      </c>
      <c r="U474" s="4">
        <f t="shared" si="872"/>
        <v>25.22524305555271</v>
      </c>
      <c r="V474" s="4">
        <f t="shared" si="873"/>
        <v>0.84084143518509036</v>
      </c>
      <c r="W474" s="4">
        <f t="shared" si="874"/>
        <v>1</v>
      </c>
      <c r="X474" s="4">
        <f t="shared" si="875"/>
        <v>0</v>
      </c>
      <c r="Y474" s="4">
        <f t="shared" si="876"/>
        <v>0</v>
      </c>
      <c r="Z474" s="4">
        <f t="shared" si="877"/>
        <v>0</v>
      </c>
      <c r="AA474" s="4">
        <f t="shared" si="878"/>
        <v>0</v>
      </c>
      <c r="AB474" s="4">
        <f t="shared" si="879"/>
        <v>1</v>
      </c>
      <c r="AC474" s="4"/>
      <c r="AD474" s="4" t="b">
        <f t="shared" si="880"/>
        <v>0</v>
      </c>
      <c r="AE474" s="4" t="b">
        <f t="shared" si="881"/>
        <v>0</v>
      </c>
      <c r="AF474" s="4" t="b">
        <f t="shared" si="882"/>
        <v>0</v>
      </c>
      <c r="AG474" t="b">
        <f t="shared" si="883"/>
        <v>0</v>
      </c>
      <c r="AH474" t="b">
        <f t="shared" si="884"/>
        <v>0</v>
      </c>
      <c r="AI474" t="b">
        <f t="shared" si="885"/>
        <v>0</v>
      </c>
      <c r="AJ474" t="b">
        <f t="shared" si="886"/>
        <v>0</v>
      </c>
      <c r="AK474" t="b">
        <f t="shared" si="887"/>
        <v>0</v>
      </c>
      <c r="AL474" t="b">
        <f t="shared" si="888"/>
        <v>0</v>
      </c>
      <c r="AM474" t="b">
        <f t="shared" si="889"/>
        <v>0</v>
      </c>
      <c r="AN474" t="b">
        <f t="shared" si="890"/>
        <v>0</v>
      </c>
      <c r="AO474" t="b">
        <f t="shared" si="891"/>
        <v>0</v>
      </c>
      <c r="AP474" t="b">
        <f t="shared" si="892"/>
        <v>0</v>
      </c>
      <c r="AQ474" t="b">
        <f t="shared" si="893"/>
        <v>0</v>
      </c>
      <c r="AR474" t="b">
        <f t="shared" si="894"/>
        <v>0</v>
      </c>
      <c r="AS474" t="b">
        <f t="shared" si="895"/>
        <v>0</v>
      </c>
      <c r="AT474" t="b">
        <f t="shared" si="896"/>
        <v>0</v>
      </c>
      <c r="AU474" t="b">
        <f t="shared" si="897"/>
        <v>0</v>
      </c>
      <c r="AV474" t="b">
        <f t="shared" si="898"/>
        <v>0</v>
      </c>
      <c r="AW474" t="b">
        <f t="shared" si="899"/>
        <v>0</v>
      </c>
      <c r="AX474" t="b">
        <f t="shared" si="901"/>
        <v>0</v>
      </c>
      <c r="AY474" t="b">
        <f t="shared" si="902"/>
        <v>0</v>
      </c>
      <c r="AZ474" t="b">
        <f t="shared" si="903"/>
        <v>0</v>
      </c>
      <c r="BA474" t="b">
        <f t="shared" si="904"/>
        <v>0</v>
      </c>
      <c r="BB474" t="b">
        <f t="shared" si="905"/>
        <v>0</v>
      </c>
      <c r="BC474" t="b">
        <f t="shared" si="906"/>
        <v>0</v>
      </c>
      <c r="BD474" t="b">
        <f t="shared" si="907"/>
        <v>0</v>
      </c>
      <c r="BE474" t="b">
        <f t="shared" si="908"/>
        <v>0</v>
      </c>
      <c r="BF474" t="b">
        <f t="shared" si="909"/>
        <v>0</v>
      </c>
      <c r="BG474" t="b">
        <f t="shared" si="910"/>
        <v>0</v>
      </c>
      <c r="BH474" t="b">
        <f t="shared" si="911"/>
        <v>0</v>
      </c>
      <c r="BI474">
        <f t="shared" si="912"/>
        <v>1</v>
      </c>
      <c r="BJ474" t="b">
        <f t="shared" si="913"/>
        <v>0</v>
      </c>
      <c r="BK474" t="b">
        <f t="shared" si="914"/>
        <v>0</v>
      </c>
      <c r="BL474" t="b">
        <f t="shared" si="915"/>
        <v>0</v>
      </c>
      <c r="BM474" t="b">
        <f t="shared" si="916"/>
        <v>0</v>
      </c>
      <c r="BN474" t="b">
        <f t="shared" si="917"/>
        <v>0</v>
      </c>
      <c r="BO474" t="b">
        <f t="shared" si="918"/>
        <v>0</v>
      </c>
      <c r="BP474" t="b">
        <f t="shared" si="919"/>
        <v>0</v>
      </c>
      <c r="BQ474" t="b">
        <f t="shared" si="920"/>
        <v>0</v>
      </c>
      <c r="BR474" t="b">
        <f t="shared" si="921"/>
        <v>0</v>
      </c>
      <c r="BS474" t="b">
        <f t="shared" si="922"/>
        <v>0</v>
      </c>
      <c r="BT474" t="b">
        <f t="shared" si="923"/>
        <v>0</v>
      </c>
      <c r="BU474" t="b">
        <f t="shared" si="924"/>
        <v>0</v>
      </c>
      <c r="BV474" t="b">
        <f t="shared" si="925"/>
        <v>0</v>
      </c>
      <c r="BW474" t="b">
        <f t="shared" si="926"/>
        <v>0</v>
      </c>
      <c r="BX474" t="b">
        <f t="shared" si="927"/>
        <v>0</v>
      </c>
      <c r="BY474" t="b">
        <f t="shared" si="928"/>
        <v>0</v>
      </c>
      <c r="BZ474" t="b">
        <f t="shared" si="929"/>
        <v>0</v>
      </c>
      <c r="CA474" t="b">
        <f t="shared" si="930"/>
        <v>0</v>
      </c>
      <c r="CB474" t="b">
        <f t="shared" si="931"/>
        <v>0</v>
      </c>
      <c r="CC474" t="b">
        <f t="shared" si="932"/>
        <v>0</v>
      </c>
      <c r="CD474" t="b">
        <f t="shared" si="933"/>
        <v>0</v>
      </c>
      <c r="CE474" t="b">
        <f t="shared" si="934"/>
        <v>0</v>
      </c>
      <c r="CF474" t="b">
        <f t="shared" si="935"/>
        <v>0</v>
      </c>
      <c r="CG474" t="b">
        <f t="shared" si="936"/>
        <v>0</v>
      </c>
      <c r="CH474" t="b">
        <f t="shared" si="937"/>
        <v>0</v>
      </c>
      <c r="CI474" t="b">
        <f t="shared" si="938"/>
        <v>0</v>
      </c>
      <c r="CJ474" t="b">
        <f t="shared" si="939"/>
        <v>0</v>
      </c>
      <c r="CK474" t="b">
        <f t="shared" si="940"/>
        <v>0</v>
      </c>
      <c r="CL474" t="b">
        <f t="shared" si="941"/>
        <v>0</v>
      </c>
      <c r="CM474" t="b">
        <f t="shared" si="942"/>
        <v>0</v>
      </c>
      <c r="CN474" t="b">
        <f t="shared" si="943"/>
        <v>0</v>
      </c>
      <c r="CO474" t="b">
        <f t="shared" si="944"/>
        <v>0</v>
      </c>
      <c r="CP474" t="b">
        <f t="shared" si="945"/>
        <v>0</v>
      </c>
      <c r="CQ474" t="b">
        <f t="shared" si="946"/>
        <v>0</v>
      </c>
      <c r="CR474" t="b">
        <f t="shared" si="947"/>
        <v>0</v>
      </c>
      <c r="CS474" t="b">
        <f t="shared" si="948"/>
        <v>0</v>
      </c>
      <c r="CT474" t="b">
        <f t="shared" si="949"/>
        <v>0</v>
      </c>
      <c r="CU474" t="b">
        <f t="shared" si="950"/>
        <v>0</v>
      </c>
      <c r="CV474">
        <f t="shared" si="951"/>
        <v>1</v>
      </c>
      <c r="CW474" t="b">
        <f t="shared" si="952"/>
        <v>0</v>
      </c>
      <c r="CX474" t="b">
        <f t="shared" si="953"/>
        <v>0</v>
      </c>
      <c r="CY474" t="b">
        <f t="shared" si="954"/>
        <v>0</v>
      </c>
      <c r="CZ474" t="b">
        <f t="shared" si="955"/>
        <v>0</v>
      </c>
      <c r="DA474" t="b">
        <f t="shared" si="956"/>
        <v>0</v>
      </c>
      <c r="DB474" t="b">
        <f t="shared" si="957"/>
        <v>0</v>
      </c>
      <c r="DC474" t="b">
        <f t="shared" si="958"/>
        <v>0</v>
      </c>
      <c r="DD474" t="b">
        <f t="shared" si="959"/>
        <v>0</v>
      </c>
      <c r="DE474" t="b">
        <f t="shared" si="960"/>
        <v>0</v>
      </c>
      <c r="DF474" t="b">
        <f t="shared" si="961"/>
        <v>0</v>
      </c>
      <c r="DG474" t="b">
        <f t="shared" si="962"/>
        <v>0</v>
      </c>
      <c r="DH474" t="b">
        <f t="shared" si="963"/>
        <v>0</v>
      </c>
      <c r="DI474" t="b">
        <f t="shared" si="964"/>
        <v>0</v>
      </c>
      <c r="DJ474" t="b">
        <f t="shared" si="965"/>
        <v>0</v>
      </c>
      <c r="DK474" t="b">
        <f t="shared" si="966"/>
        <v>0</v>
      </c>
      <c r="DL474" t="b">
        <f t="shared" si="967"/>
        <v>0</v>
      </c>
      <c r="DM474" t="b">
        <f t="shared" si="968"/>
        <v>0</v>
      </c>
      <c r="DN474" t="b">
        <f t="shared" si="969"/>
        <v>0</v>
      </c>
      <c r="DO474" t="b">
        <f t="shared" si="970"/>
        <v>0</v>
      </c>
      <c r="DP474" t="b">
        <f t="shared" si="971"/>
        <v>0</v>
      </c>
      <c r="DQ474" t="b">
        <f t="shared" si="972"/>
        <v>0</v>
      </c>
      <c r="DR474" t="b">
        <f t="shared" si="973"/>
        <v>0</v>
      </c>
      <c r="DS474" t="b">
        <f t="shared" si="974"/>
        <v>0</v>
      </c>
      <c r="DT474" t="b">
        <f t="shared" si="975"/>
        <v>0</v>
      </c>
      <c r="DU474" t="b">
        <f t="shared" si="976"/>
        <v>0</v>
      </c>
      <c r="DV474" t="b">
        <f t="shared" si="977"/>
        <v>0</v>
      </c>
      <c r="DW474" t="b">
        <f t="shared" si="978"/>
        <v>0</v>
      </c>
      <c r="DX474" t="b">
        <f t="shared" si="979"/>
        <v>0</v>
      </c>
      <c r="DY474" t="b">
        <f t="shared" si="980"/>
        <v>0</v>
      </c>
      <c r="DZ474" t="b">
        <f t="shared" si="981"/>
        <v>0</v>
      </c>
      <c r="EA474" t="b">
        <f t="shared" si="982"/>
        <v>0</v>
      </c>
      <c r="EB474" t="b">
        <f t="shared" si="983"/>
        <v>0</v>
      </c>
      <c r="EC474" t="b">
        <f t="shared" si="984"/>
        <v>0</v>
      </c>
      <c r="ED474" t="b">
        <f t="shared" si="985"/>
        <v>0</v>
      </c>
      <c r="EE474" t="b">
        <f t="shared" si="986"/>
        <v>0</v>
      </c>
      <c r="EF474">
        <f t="shared" si="987"/>
        <v>1</v>
      </c>
      <c r="EG474" t="b">
        <f t="shared" si="988"/>
        <v>0</v>
      </c>
      <c r="EH474" t="b">
        <f t="shared" si="989"/>
        <v>0</v>
      </c>
      <c r="EI474" t="b">
        <f t="shared" si="990"/>
        <v>0</v>
      </c>
      <c r="EJ474" t="b">
        <f t="shared" si="991"/>
        <v>0</v>
      </c>
      <c r="EK474" t="b">
        <f t="shared" si="992"/>
        <v>0</v>
      </c>
    </row>
    <row r="475" spans="1:141">
      <c r="A475" t="s">
        <v>2416</v>
      </c>
      <c r="B475" t="s">
        <v>2417</v>
      </c>
      <c r="C475" t="s">
        <v>2418</v>
      </c>
      <c r="D475" s="1">
        <v>42510</v>
      </c>
      <c r="E475" s="2">
        <v>42626.191030092596</v>
      </c>
      <c r="F475" s="2">
        <v>42626.191030092596</v>
      </c>
      <c r="G475">
        <v>104977</v>
      </c>
      <c r="H475" t="s">
        <v>2419</v>
      </c>
      <c r="I475" s="10" t="s">
        <v>2420</v>
      </c>
      <c r="J475" t="s">
        <v>2421</v>
      </c>
      <c r="K475" s="8" t="b">
        <v>1</v>
      </c>
      <c r="L475" s="10" t="b">
        <v>0</v>
      </c>
      <c r="M475" s="12" t="b">
        <v>0</v>
      </c>
      <c r="N475" t="b">
        <v>0</v>
      </c>
      <c r="O475" t="b">
        <v>0</v>
      </c>
      <c r="P475" t="b">
        <v>0</v>
      </c>
      <c r="Q475">
        <f t="shared" si="869"/>
        <v>6</v>
      </c>
      <c r="R475">
        <f t="shared" si="870"/>
        <v>5</v>
      </c>
      <c r="S475" t="e">
        <f t="shared" ca="1" si="900"/>
        <v>#NAME?</v>
      </c>
      <c r="T475" t="e">
        <f t="shared" ca="1" si="871"/>
        <v>#NAME?</v>
      </c>
      <c r="U475" s="4">
        <f t="shared" si="872"/>
        <v>116.19103009259561</v>
      </c>
      <c r="V475" s="4">
        <f t="shared" si="873"/>
        <v>3.8730343364198538</v>
      </c>
      <c r="W475" s="4">
        <f t="shared" si="874"/>
        <v>1</v>
      </c>
      <c r="X475" s="4">
        <f t="shared" si="875"/>
        <v>0</v>
      </c>
      <c r="Y475" s="4">
        <f t="shared" si="876"/>
        <v>0</v>
      </c>
      <c r="Z475" s="4">
        <f t="shared" si="877"/>
        <v>0</v>
      </c>
      <c r="AA475" s="4">
        <f t="shared" si="878"/>
        <v>0</v>
      </c>
      <c r="AB475" s="4">
        <f t="shared" si="879"/>
        <v>0</v>
      </c>
      <c r="AC475" s="4"/>
      <c r="AD475" s="4" t="b">
        <f t="shared" si="880"/>
        <v>0</v>
      </c>
      <c r="AE475" s="4" t="b">
        <f t="shared" si="881"/>
        <v>0</v>
      </c>
      <c r="AF475" s="4" t="b">
        <f t="shared" si="882"/>
        <v>0</v>
      </c>
      <c r="AG475" t="b">
        <f t="shared" si="883"/>
        <v>0</v>
      </c>
      <c r="AH475" t="b">
        <f t="shared" si="884"/>
        <v>0</v>
      </c>
      <c r="AI475" t="b">
        <f t="shared" si="885"/>
        <v>0</v>
      </c>
      <c r="AJ475" t="b">
        <f t="shared" si="886"/>
        <v>0</v>
      </c>
      <c r="AK475" t="b">
        <f t="shared" si="887"/>
        <v>0</v>
      </c>
      <c r="AL475" t="b">
        <f t="shared" si="888"/>
        <v>0</v>
      </c>
      <c r="AM475" t="b">
        <f t="shared" si="889"/>
        <v>0</v>
      </c>
      <c r="AN475" t="b">
        <f t="shared" si="890"/>
        <v>0</v>
      </c>
      <c r="AO475" t="b">
        <f t="shared" si="891"/>
        <v>0</v>
      </c>
      <c r="AP475" t="b">
        <f t="shared" si="892"/>
        <v>0</v>
      </c>
      <c r="AQ475" t="b">
        <f t="shared" si="893"/>
        <v>0</v>
      </c>
      <c r="AR475" t="b">
        <f t="shared" si="894"/>
        <v>0</v>
      </c>
      <c r="AS475" t="b">
        <f t="shared" si="895"/>
        <v>0</v>
      </c>
      <c r="AT475" t="b">
        <f t="shared" si="896"/>
        <v>0</v>
      </c>
      <c r="AU475">
        <f t="shared" si="897"/>
        <v>1</v>
      </c>
      <c r="AV475" t="b">
        <f t="shared" si="898"/>
        <v>0</v>
      </c>
      <c r="AW475" t="b">
        <f t="shared" si="899"/>
        <v>0</v>
      </c>
      <c r="AX475" t="b">
        <f t="shared" si="901"/>
        <v>0</v>
      </c>
      <c r="AY475" t="b">
        <f t="shared" si="902"/>
        <v>0</v>
      </c>
      <c r="AZ475" t="b">
        <f t="shared" si="903"/>
        <v>0</v>
      </c>
      <c r="BA475" t="b">
        <f t="shared" si="904"/>
        <v>0</v>
      </c>
      <c r="BB475" t="b">
        <f t="shared" si="905"/>
        <v>0</v>
      </c>
      <c r="BC475" t="b">
        <f t="shared" si="906"/>
        <v>0</v>
      </c>
      <c r="BD475" t="b">
        <f t="shared" si="907"/>
        <v>0</v>
      </c>
      <c r="BE475" t="b">
        <f t="shared" si="908"/>
        <v>0</v>
      </c>
      <c r="BF475" t="b">
        <f t="shared" si="909"/>
        <v>0</v>
      </c>
      <c r="BG475" t="b">
        <f t="shared" si="910"/>
        <v>0</v>
      </c>
      <c r="BH475" t="b">
        <f t="shared" si="911"/>
        <v>0</v>
      </c>
      <c r="BI475">
        <f t="shared" si="912"/>
        <v>1</v>
      </c>
      <c r="BJ475" t="b">
        <f t="shared" si="913"/>
        <v>0</v>
      </c>
      <c r="BK475" t="b">
        <f t="shared" si="914"/>
        <v>0</v>
      </c>
      <c r="BL475" t="b">
        <f t="shared" si="915"/>
        <v>0</v>
      </c>
      <c r="BM475" t="b">
        <f t="shared" si="916"/>
        <v>0</v>
      </c>
      <c r="BN475" t="b">
        <f t="shared" si="917"/>
        <v>0</v>
      </c>
      <c r="BO475" t="b">
        <f t="shared" si="918"/>
        <v>0</v>
      </c>
      <c r="BP475" t="b">
        <f t="shared" si="919"/>
        <v>0</v>
      </c>
      <c r="BQ475" t="b">
        <f t="shared" si="920"/>
        <v>0</v>
      </c>
      <c r="BR475" t="b">
        <f t="shared" si="921"/>
        <v>0</v>
      </c>
      <c r="BS475" t="b">
        <f t="shared" si="922"/>
        <v>0</v>
      </c>
      <c r="BT475" t="b">
        <f t="shared" si="923"/>
        <v>0</v>
      </c>
      <c r="BU475" t="b">
        <f t="shared" si="924"/>
        <v>0</v>
      </c>
      <c r="BV475" t="b">
        <f t="shared" si="925"/>
        <v>0</v>
      </c>
      <c r="BW475" t="b">
        <f t="shared" si="926"/>
        <v>0</v>
      </c>
      <c r="BX475" t="b">
        <f t="shared" si="927"/>
        <v>0</v>
      </c>
      <c r="BY475" t="b">
        <f t="shared" si="928"/>
        <v>0</v>
      </c>
      <c r="BZ475" t="b">
        <f t="shared" si="929"/>
        <v>0</v>
      </c>
      <c r="CA475" t="b">
        <f t="shared" si="930"/>
        <v>0</v>
      </c>
      <c r="CB475" t="b">
        <f t="shared" si="931"/>
        <v>0</v>
      </c>
      <c r="CC475" t="b">
        <f t="shared" si="932"/>
        <v>0</v>
      </c>
      <c r="CD475" t="b">
        <f t="shared" si="933"/>
        <v>0</v>
      </c>
      <c r="CE475">
        <f t="shared" si="934"/>
        <v>1</v>
      </c>
      <c r="CF475" t="b">
        <f t="shared" si="935"/>
        <v>0</v>
      </c>
      <c r="CG475" t="b">
        <f t="shared" si="936"/>
        <v>0</v>
      </c>
      <c r="CH475" t="b">
        <f t="shared" si="937"/>
        <v>0</v>
      </c>
      <c r="CI475" t="b">
        <f t="shared" si="938"/>
        <v>0</v>
      </c>
      <c r="CJ475" t="b">
        <f t="shared" si="939"/>
        <v>0</v>
      </c>
      <c r="CK475" t="b">
        <f t="shared" si="940"/>
        <v>0</v>
      </c>
      <c r="CL475" t="b">
        <f t="shared" si="941"/>
        <v>0</v>
      </c>
      <c r="CM475">
        <f t="shared" si="942"/>
        <v>1</v>
      </c>
      <c r="CN475" t="b">
        <f t="shared" si="943"/>
        <v>0</v>
      </c>
      <c r="CO475" t="b">
        <f t="shared" si="944"/>
        <v>0</v>
      </c>
      <c r="CP475" t="b">
        <f t="shared" si="945"/>
        <v>0</v>
      </c>
      <c r="CQ475" t="b">
        <f t="shared" si="946"/>
        <v>0</v>
      </c>
      <c r="CR475" t="b">
        <f t="shared" si="947"/>
        <v>0</v>
      </c>
      <c r="CS475" t="b">
        <f t="shared" si="948"/>
        <v>0</v>
      </c>
      <c r="CT475" t="b">
        <f t="shared" si="949"/>
        <v>0</v>
      </c>
      <c r="CU475" t="b">
        <f t="shared" si="950"/>
        <v>0</v>
      </c>
      <c r="CV475" t="b">
        <f t="shared" si="951"/>
        <v>0</v>
      </c>
      <c r="CW475" t="b">
        <f t="shared" si="952"/>
        <v>0</v>
      </c>
      <c r="CX475" t="b">
        <f t="shared" si="953"/>
        <v>0</v>
      </c>
      <c r="CY475" t="b">
        <f t="shared" si="954"/>
        <v>0</v>
      </c>
      <c r="CZ475" t="b">
        <f t="shared" si="955"/>
        <v>0</v>
      </c>
      <c r="DA475">
        <f t="shared" si="956"/>
        <v>1</v>
      </c>
      <c r="DB475">
        <f t="shared" si="957"/>
        <v>1</v>
      </c>
      <c r="DC475" t="b">
        <f t="shared" si="958"/>
        <v>0</v>
      </c>
      <c r="DD475" t="b">
        <f t="shared" si="959"/>
        <v>0</v>
      </c>
      <c r="DE475" t="b">
        <f t="shared" si="960"/>
        <v>0</v>
      </c>
      <c r="DF475" t="b">
        <f t="shared" si="961"/>
        <v>0</v>
      </c>
      <c r="DG475" t="b">
        <f t="shared" si="962"/>
        <v>0</v>
      </c>
      <c r="DH475" t="b">
        <f t="shared" si="963"/>
        <v>0</v>
      </c>
      <c r="DI475" t="b">
        <f t="shared" si="964"/>
        <v>0</v>
      </c>
      <c r="DJ475">
        <f t="shared" si="965"/>
        <v>1</v>
      </c>
      <c r="DK475" t="b">
        <f t="shared" si="966"/>
        <v>0</v>
      </c>
      <c r="DL475" t="b">
        <f t="shared" si="967"/>
        <v>0</v>
      </c>
      <c r="DM475" t="b">
        <f t="shared" si="968"/>
        <v>0</v>
      </c>
      <c r="DN475" t="b">
        <f t="shared" si="969"/>
        <v>0</v>
      </c>
      <c r="DO475" t="b">
        <f t="shared" si="970"/>
        <v>0</v>
      </c>
      <c r="DP475" t="b">
        <f t="shared" si="971"/>
        <v>0</v>
      </c>
      <c r="DQ475" t="b">
        <f t="shared" si="972"/>
        <v>0</v>
      </c>
      <c r="DR475" t="b">
        <f t="shared" si="973"/>
        <v>0</v>
      </c>
      <c r="DS475" t="b">
        <f t="shared" si="974"/>
        <v>0</v>
      </c>
      <c r="DT475" t="b">
        <f t="shared" si="975"/>
        <v>0</v>
      </c>
      <c r="DU475" t="b">
        <f t="shared" si="976"/>
        <v>0</v>
      </c>
      <c r="DV475" t="b">
        <f t="shared" si="977"/>
        <v>0</v>
      </c>
      <c r="DW475" t="b">
        <f t="shared" si="978"/>
        <v>0</v>
      </c>
      <c r="DX475" t="b">
        <f t="shared" si="979"/>
        <v>0</v>
      </c>
      <c r="DY475" t="b">
        <f t="shared" si="980"/>
        <v>0</v>
      </c>
      <c r="DZ475" t="b">
        <f t="shared" si="981"/>
        <v>0</v>
      </c>
      <c r="EA475" t="b">
        <f t="shared" si="982"/>
        <v>0</v>
      </c>
      <c r="EB475" t="b">
        <f t="shared" si="983"/>
        <v>0</v>
      </c>
      <c r="EC475" t="b">
        <f t="shared" si="984"/>
        <v>0</v>
      </c>
      <c r="ED475" t="b">
        <f t="shared" si="985"/>
        <v>0</v>
      </c>
      <c r="EE475" t="b">
        <f t="shared" si="986"/>
        <v>0</v>
      </c>
      <c r="EF475" t="b">
        <f t="shared" si="987"/>
        <v>0</v>
      </c>
      <c r="EG475" t="b">
        <f t="shared" si="988"/>
        <v>0</v>
      </c>
      <c r="EH475" t="b">
        <f t="shared" si="989"/>
        <v>0</v>
      </c>
      <c r="EI475" t="b">
        <f t="shared" si="990"/>
        <v>0</v>
      </c>
      <c r="EJ475" t="b">
        <f t="shared" si="991"/>
        <v>0</v>
      </c>
      <c r="EK475" t="b">
        <f t="shared" si="992"/>
        <v>0</v>
      </c>
    </row>
    <row r="476" spans="1:141">
      <c r="A476" t="s">
        <v>2422</v>
      </c>
      <c r="B476" t="s">
        <v>2422</v>
      </c>
      <c r="C476" t="s">
        <v>2423</v>
      </c>
      <c r="D476" s="1">
        <v>42866</v>
      </c>
      <c r="E476" s="2">
        <v>44133.250937500001</v>
      </c>
      <c r="F476" s="2">
        <v>44133.254340277781</v>
      </c>
      <c r="G476">
        <v>616146</v>
      </c>
      <c r="H476" t="s">
        <v>2424</v>
      </c>
      <c r="I476" s="10" t="s">
        <v>2425</v>
      </c>
      <c r="J476" t="s">
        <v>2067</v>
      </c>
      <c r="K476" s="8" t="b">
        <v>1</v>
      </c>
      <c r="L476" s="10" t="b">
        <v>0</v>
      </c>
      <c r="M476" s="12" t="b">
        <v>0</v>
      </c>
      <c r="N476" t="b">
        <v>0</v>
      </c>
      <c r="O476" t="b">
        <v>0</v>
      </c>
      <c r="P476" t="b">
        <v>0</v>
      </c>
      <c r="Q476">
        <f t="shared" si="869"/>
        <v>5</v>
      </c>
      <c r="R476">
        <f t="shared" si="870"/>
        <v>5</v>
      </c>
      <c r="S476" t="e">
        <f t="shared" ca="1" si="900"/>
        <v>#NAME?</v>
      </c>
      <c r="T476" t="e">
        <f t="shared" ca="1" si="871"/>
        <v>#NAME?</v>
      </c>
      <c r="U476" s="4">
        <f t="shared" si="872"/>
        <v>1267.2509375000009</v>
      </c>
      <c r="V476" s="4">
        <f t="shared" si="873"/>
        <v>42.241697916666695</v>
      </c>
      <c r="W476" s="4">
        <f t="shared" si="874"/>
        <v>1</v>
      </c>
      <c r="X476" s="4">
        <f t="shared" si="875"/>
        <v>0</v>
      </c>
      <c r="Y476" s="4">
        <f t="shared" si="876"/>
        <v>0</v>
      </c>
      <c r="Z476" s="4">
        <f t="shared" si="877"/>
        <v>0</v>
      </c>
      <c r="AA476" s="4">
        <f t="shared" si="878"/>
        <v>0</v>
      </c>
      <c r="AB476" s="4">
        <f t="shared" si="879"/>
        <v>0</v>
      </c>
      <c r="AC476" s="4"/>
      <c r="AD476" s="4" t="b">
        <f t="shared" si="880"/>
        <v>0</v>
      </c>
      <c r="AE476" s="4" t="b">
        <f t="shared" si="881"/>
        <v>0</v>
      </c>
      <c r="AF476" s="4" t="b">
        <f t="shared" si="882"/>
        <v>0</v>
      </c>
      <c r="AG476" t="b">
        <f t="shared" si="883"/>
        <v>0</v>
      </c>
      <c r="AH476" t="b">
        <f t="shared" si="884"/>
        <v>0</v>
      </c>
      <c r="AI476" t="b">
        <f t="shared" si="885"/>
        <v>0</v>
      </c>
      <c r="AJ476" t="b">
        <f t="shared" si="886"/>
        <v>0</v>
      </c>
      <c r="AK476" t="b">
        <f t="shared" si="887"/>
        <v>0</v>
      </c>
      <c r="AL476" t="b">
        <f t="shared" si="888"/>
        <v>0</v>
      </c>
      <c r="AM476" t="b">
        <f t="shared" si="889"/>
        <v>0</v>
      </c>
      <c r="AN476" t="b">
        <f t="shared" si="890"/>
        <v>0</v>
      </c>
      <c r="AO476" t="b">
        <f t="shared" si="891"/>
        <v>0</v>
      </c>
      <c r="AP476" t="b">
        <f t="shared" si="892"/>
        <v>0</v>
      </c>
      <c r="AQ476" t="b">
        <f t="shared" si="893"/>
        <v>0</v>
      </c>
      <c r="AR476" t="b">
        <f t="shared" si="894"/>
        <v>0</v>
      </c>
      <c r="AS476" t="b">
        <f t="shared" si="895"/>
        <v>0</v>
      </c>
      <c r="AT476" t="b">
        <f t="shared" si="896"/>
        <v>0</v>
      </c>
      <c r="AU476" t="b">
        <f t="shared" si="897"/>
        <v>0</v>
      </c>
      <c r="AV476" t="b">
        <f t="shared" si="898"/>
        <v>0</v>
      </c>
      <c r="AW476" t="b">
        <f t="shared" si="899"/>
        <v>0</v>
      </c>
      <c r="AX476" t="b">
        <f t="shared" si="901"/>
        <v>0</v>
      </c>
      <c r="AY476" t="b">
        <f t="shared" si="902"/>
        <v>0</v>
      </c>
      <c r="AZ476" t="b">
        <f t="shared" si="903"/>
        <v>0</v>
      </c>
      <c r="BA476" t="b">
        <f t="shared" si="904"/>
        <v>0</v>
      </c>
      <c r="BB476" t="b">
        <f t="shared" si="905"/>
        <v>0</v>
      </c>
      <c r="BC476" t="b">
        <f t="shared" si="906"/>
        <v>0</v>
      </c>
      <c r="BD476" t="b">
        <f t="shared" si="907"/>
        <v>0</v>
      </c>
      <c r="BE476" t="b">
        <f t="shared" si="908"/>
        <v>0</v>
      </c>
      <c r="BF476" t="b">
        <f t="shared" si="909"/>
        <v>0</v>
      </c>
      <c r="BG476" t="b">
        <f t="shared" si="910"/>
        <v>0</v>
      </c>
      <c r="BH476" t="b">
        <f t="shared" si="911"/>
        <v>0</v>
      </c>
      <c r="BI476">
        <f t="shared" si="912"/>
        <v>1</v>
      </c>
      <c r="BJ476" t="b">
        <f t="shared" si="913"/>
        <v>0</v>
      </c>
      <c r="BK476" t="b">
        <f t="shared" si="914"/>
        <v>0</v>
      </c>
      <c r="BL476" t="b">
        <f t="shared" si="915"/>
        <v>0</v>
      </c>
      <c r="BM476" t="b">
        <f t="shared" si="916"/>
        <v>0</v>
      </c>
      <c r="BN476" t="b">
        <f t="shared" si="917"/>
        <v>0</v>
      </c>
      <c r="BO476" t="b">
        <f t="shared" si="918"/>
        <v>0</v>
      </c>
      <c r="BP476" t="b">
        <f t="shared" si="919"/>
        <v>0</v>
      </c>
      <c r="BQ476" t="b">
        <f t="shared" si="920"/>
        <v>0</v>
      </c>
      <c r="BR476" t="b">
        <f t="shared" si="921"/>
        <v>0</v>
      </c>
      <c r="BS476" t="b">
        <f t="shared" si="922"/>
        <v>0</v>
      </c>
      <c r="BT476" t="b">
        <f t="shared" si="923"/>
        <v>0</v>
      </c>
      <c r="BU476" t="b">
        <f t="shared" si="924"/>
        <v>0</v>
      </c>
      <c r="BV476" t="b">
        <f t="shared" si="925"/>
        <v>0</v>
      </c>
      <c r="BW476" t="b">
        <f t="shared" si="926"/>
        <v>0</v>
      </c>
      <c r="BX476" t="b">
        <f t="shared" si="927"/>
        <v>0</v>
      </c>
      <c r="BY476" t="b">
        <f t="shared" si="928"/>
        <v>0</v>
      </c>
      <c r="BZ476" t="b">
        <f t="shared" si="929"/>
        <v>0</v>
      </c>
      <c r="CA476" t="b">
        <f t="shared" si="930"/>
        <v>0</v>
      </c>
      <c r="CB476" t="b">
        <f t="shared" si="931"/>
        <v>0</v>
      </c>
      <c r="CC476" t="b">
        <f t="shared" si="932"/>
        <v>0</v>
      </c>
      <c r="CD476" t="b">
        <f t="shared" si="933"/>
        <v>0</v>
      </c>
      <c r="CE476" t="b">
        <f t="shared" si="934"/>
        <v>0</v>
      </c>
      <c r="CF476" t="b">
        <f t="shared" si="935"/>
        <v>0</v>
      </c>
      <c r="CG476" t="b">
        <f t="shared" si="936"/>
        <v>0</v>
      </c>
      <c r="CH476" t="b">
        <f t="shared" si="937"/>
        <v>0</v>
      </c>
      <c r="CI476" t="b">
        <f t="shared" si="938"/>
        <v>0</v>
      </c>
      <c r="CJ476" t="b">
        <f t="shared" si="939"/>
        <v>0</v>
      </c>
      <c r="CK476" t="b">
        <f t="shared" si="940"/>
        <v>0</v>
      </c>
      <c r="CL476" t="b">
        <f t="shared" si="941"/>
        <v>0</v>
      </c>
      <c r="CM476">
        <f t="shared" si="942"/>
        <v>1</v>
      </c>
      <c r="CN476" t="b">
        <f t="shared" si="943"/>
        <v>0</v>
      </c>
      <c r="CO476" t="b">
        <f t="shared" si="944"/>
        <v>0</v>
      </c>
      <c r="CP476" t="b">
        <f t="shared" si="945"/>
        <v>0</v>
      </c>
      <c r="CQ476" t="b">
        <f t="shared" si="946"/>
        <v>0</v>
      </c>
      <c r="CR476" t="b">
        <f t="shared" si="947"/>
        <v>0</v>
      </c>
      <c r="CS476" t="b">
        <f t="shared" si="948"/>
        <v>0</v>
      </c>
      <c r="CT476" t="b">
        <f t="shared" si="949"/>
        <v>0</v>
      </c>
      <c r="CU476" t="b">
        <f t="shared" si="950"/>
        <v>0</v>
      </c>
      <c r="CV476">
        <f t="shared" si="951"/>
        <v>1</v>
      </c>
      <c r="CW476" t="b">
        <f t="shared" si="952"/>
        <v>0</v>
      </c>
      <c r="CX476" t="b">
        <f t="shared" si="953"/>
        <v>0</v>
      </c>
      <c r="CY476" t="b">
        <f t="shared" si="954"/>
        <v>0</v>
      </c>
      <c r="CZ476" t="b">
        <f t="shared" si="955"/>
        <v>0</v>
      </c>
      <c r="DA476" t="b">
        <f t="shared" si="956"/>
        <v>0</v>
      </c>
      <c r="DB476" t="b">
        <f t="shared" si="957"/>
        <v>0</v>
      </c>
      <c r="DC476" t="b">
        <f t="shared" si="958"/>
        <v>0</v>
      </c>
      <c r="DD476" t="b">
        <f t="shared" si="959"/>
        <v>0</v>
      </c>
      <c r="DE476" t="b">
        <f t="shared" si="960"/>
        <v>0</v>
      </c>
      <c r="DF476" t="b">
        <f t="shared" si="961"/>
        <v>0</v>
      </c>
      <c r="DG476" t="b">
        <f t="shared" si="962"/>
        <v>0</v>
      </c>
      <c r="DH476" t="b">
        <f t="shared" si="963"/>
        <v>0</v>
      </c>
      <c r="DI476" t="b">
        <f t="shared" si="964"/>
        <v>0</v>
      </c>
      <c r="DJ476" t="b">
        <f t="shared" si="965"/>
        <v>0</v>
      </c>
      <c r="DK476" t="b">
        <f t="shared" si="966"/>
        <v>0</v>
      </c>
      <c r="DL476" t="b">
        <f t="shared" si="967"/>
        <v>0</v>
      </c>
      <c r="DM476" t="b">
        <f t="shared" si="968"/>
        <v>0</v>
      </c>
      <c r="DN476" t="b">
        <f t="shared" si="969"/>
        <v>0</v>
      </c>
      <c r="DO476" t="b">
        <f t="shared" si="970"/>
        <v>0</v>
      </c>
      <c r="DP476" t="b">
        <f t="shared" si="971"/>
        <v>0</v>
      </c>
      <c r="DQ476" t="b">
        <f t="shared" si="972"/>
        <v>0</v>
      </c>
      <c r="DR476" t="b">
        <f t="shared" si="973"/>
        <v>0</v>
      </c>
      <c r="DS476" t="b">
        <f t="shared" si="974"/>
        <v>0</v>
      </c>
      <c r="DT476" t="b">
        <f t="shared" si="975"/>
        <v>0</v>
      </c>
      <c r="DU476" t="b">
        <f t="shared" si="976"/>
        <v>0</v>
      </c>
      <c r="DV476" t="b">
        <f t="shared" si="977"/>
        <v>0</v>
      </c>
      <c r="DW476" t="b">
        <f t="shared" si="978"/>
        <v>0</v>
      </c>
      <c r="DX476" t="b">
        <f t="shared" si="979"/>
        <v>0</v>
      </c>
      <c r="DY476" t="b">
        <f t="shared" si="980"/>
        <v>0</v>
      </c>
      <c r="DZ476" t="b">
        <f t="shared" si="981"/>
        <v>0</v>
      </c>
      <c r="EA476" t="b">
        <f t="shared" si="982"/>
        <v>0</v>
      </c>
      <c r="EB476" t="b">
        <f t="shared" si="983"/>
        <v>0</v>
      </c>
      <c r="EC476" t="b">
        <f t="shared" si="984"/>
        <v>0</v>
      </c>
      <c r="ED476" t="b">
        <f t="shared" si="985"/>
        <v>0</v>
      </c>
      <c r="EE476" t="b">
        <f t="shared" si="986"/>
        <v>0</v>
      </c>
      <c r="EF476" t="b">
        <f t="shared" si="987"/>
        <v>0</v>
      </c>
      <c r="EG476" t="b">
        <f t="shared" si="988"/>
        <v>0</v>
      </c>
      <c r="EH476" t="b">
        <f t="shared" si="989"/>
        <v>0</v>
      </c>
      <c r="EI476" t="b">
        <f t="shared" si="990"/>
        <v>0</v>
      </c>
      <c r="EJ476" t="b">
        <f t="shared" si="991"/>
        <v>0</v>
      </c>
      <c r="EK476" t="b">
        <f t="shared" si="992"/>
        <v>0</v>
      </c>
    </row>
    <row r="477" spans="1:141">
      <c r="A477" t="s">
        <v>2426</v>
      </c>
      <c r="B477" t="s">
        <v>2427</v>
      </c>
      <c r="C477" t="s">
        <v>2428</v>
      </c>
      <c r="D477" s="1">
        <v>44450</v>
      </c>
      <c r="E477" s="2">
        <v>44475.32267361111</v>
      </c>
      <c r="F477" s="2">
        <v>44475.32267361111</v>
      </c>
      <c r="G477">
        <v>72596</v>
      </c>
      <c r="H477" t="s">
        <v>2429</v>
      </c>
      <c r="I477" s="10" t="s">
        <v>2430</v>
      </c>
      <c r="J477" t="s">
        <v>2431</v>
      </c>
      <c r="K477" s="8" t="b">
        <v>1</v>
      </c>
      <c r="L477" s="10" t="b">
        <v>0</v>
      </c>
      <c r="M477" s="12" t="b">
        <v>0</v>
      </c>
      <c r="N477" t="b">
        <v>0</v>
      </c>
      <c r="O477" t="b">
        <v>0</v>
      </c>
      <c r="P477" t="b">
        <v>0</v>
      </c>
      <c r="Q477">
        <f t="shared" si="869"/>
        <v>7</v>
      </c>
      <c r="R477">
        <f t="shared" si="870"/>
        <v>9</v>
      </c>
      <c r="S477" t="e">
        <f t="shared" ca="1" si="900"/>
        <v>#NAME?</v>
      </c>
      <c r="T477" t="e">
        <f t="shared" ca="1" si="871"/>
        <v>#NAME?</v>
      </c>
      <c r="U477" s="4">
        <f t="shared" si="872"/>
        <v>25.322673611110076</v>
      </c>
      <c r="V477" s="4">
        <f t="shared" si="873"/>
        <v>0.8440891203703359</v>
      </c>
      <c r="W477" s="4">
        <f t="shared" si="874"/>
        <v>1</v>
      </c>
      <c r="X477" s="4">
        <f t="shared" si="875"/>
        <v>0</v>
      </c>
      <c r="Y477" s="4">
        <f t="shared" si="876"/>
        <v>0</v>
      </c>
      <c r="Z477" s="4">
        <f t="shared" si="877"/>
        <v>0</v>
      </c>
      <c r="AA477" s="4">
        <f t="shared" si="878"/>
        <v>0</v>
      </c>
      <c r="AB477" s="4">
        <f t="shared" si="879"/>
        <v>0</v>
      </c>
      <c r="AC477" s="4"/>
      <c r="AD477" s="4" t="b">
        <f t="shared" si="880"/>
        <v>0</v>
      </c>
      <c r="AE477" s="4" t="b">
        <f t="shared" si="881"/>
        <v>0</v>
      </c>
      <c r="AF477" s="4" t="b">
        <f t="shared" si="882"/>
        <v>0</v>
      </c>
      <c r="AG477" t="b">
        <f t="shared" si="883"/>
        <v>0</v>
      </c>
      <c r="AH477" t="b">
        <f t="shared" si="884"/>
        <v>0</v>
      </c>
      <c r="AI477" t="b">
        <f t="shared" si="885"/>
        <v>0</v>
      </c>
      <c r="AJ477" t="b">
        <f t="shared" si="886"/>
        <v>0</v>
      </c>
      <c r="AK477" t="b">
        <f t="shared" si="887"/>
        <v>0</v>
      </c>
      <c r="AL477" t="b">
        <f t="shared" si="888"/>
        <v>0</v>
      </c>
      <c r="AM477" t="b">
        <f t="shared" si="889"/>
        <v>0</v>
      </c>
      <c r="AN477" t="b">
        <f t="shared" si="890"/>
        <v>0</v>
      </c>
      <c r="AO477" t="b">
        <f t="shared" si="891"/>
        <v>0</v>
      </c>
      <c r="AP477" t="b">
        <f t="shared" si="892"/>
        <v>0</v>
      </c>
      <c r="AQ477" t="b">
        <f t="shared" si="893"/>
        <v>0</v>
      </c>
      <c r="AR477" t="b">
        <f t="shared" si="894"/>
        <v>0</v>
      </c>
      <c r="AS477" t="b">
        <f t="shared" si="895"/>
        <v>0</v>
      </c>
      <c r="AT477" t="b">
        <f t="shared" si="896"/>
        <v>0</v>
      </c>
      <c r="AU477" t="b">
        <f t="shared" si="897"/>
        <v>0</v>
      </c>
      <c r="AV477" t="b">
        <f t="shared" si="898"/>
        <v>0</v>
      </c>
      <c r="AW477" t="b">
        <f t="shared" si="899"/>
        <v>0</v>
      </c>
      <c r="AX477" t="b">
        <f t="shared" si="901"/>
        <v>0</v>
      </c>
      <c r="AY477" t="b">
        <f t="shared" si="902"/>
        <v>0</v>
      </c>
      <c r="AZ477" t="b">
        <f t="shared" si="903"/>
        <v>0</v>
      </c>
      <c r="BA477" t="b">
        <f t="shared" si="904"/>
        <v>0</v>
      </c>
      <c r="BB477" t="b">
        <f t="shared" si="905"/>
        <v>0</v>
      </c>
      <c r="BC477" t="b">
        <f t="shared" si="906"/>
        <v>0</v>
      </c>
      <c r="BD477" t="b">
        <f t="shared" si="907"/>
        <v>0</v>
      </c>
      <c r="BE477" t="b">
        <f t="shared" si="908"/>
        <v>0</v>
      </c>
      <c r="BF477" t="b">
        <f t="shared" si="909"/>
        <v>0</v>
      </c>
      <c r="BG477" t="b">
        <f t="shared" si="910"/>
        <v>0</v>
      </c>
      <c r="BH477" t="b">
        <f t="shared" si="911"/>
        <v>0</v>
      </c>
      <c r="BI477">
        <f t="shared" si="912"/>
        <v>1</v>
      </c>
      <c r="BJ477" t="b">
        <f t="shared" si="913"/>
        <v>0</v>
      </c>
      <c r="BK477" t="b">
        <f t="shared" si="914"/>
        <v>0</v>
      </c>
      <c r="BL477" t="b">
        <f t="shared" si="915"/>
        <v>0</v>
      </c>
      <c r="BM477" t="b">
        <f t="shared" si="916"/>
        <v>0</v>
      </c>
      <c r="BN477" t="b">
        <f t="shared" si="917"/>
        <v>0</v>
      </c>
      <c r="BO477" t="b">
        <f t="shared" si="918"/>
        <v>0</v>
      </c>
      <c r="BP477" t="b">
        <f t="shared" si="919"/>
        <v>0</v>
      </c>
      <c r="BQ477" t="b">
        <f t="shared" si="920"/>
        <v>0</v>
      </c>
      <c r="BR477" t="b">
        <f t="shared" si="921"/>
        <v>0</v>
      </c>
      <c r="BS477">
        <f t="shared" si="922"/>
        <v>1</v>
      </c>
      <c r="BT477" t="b">
        <f t="shared" si="923"/>
        <v>0</v>
      </c>
      <c r="BU477" t="b">
        <f t="shared" si="924"/>
        <v>0</v>
      </c>
      <c r="BV477" t="b">
        <f t="shared" si="925"/>
        <v>0</v>
      </c>
      <c r="BW477" t="b">
        <f t="shared" si="926"/>
        <v>0</v>
      </c>
      <c r="BX477" t="b">
        <f t="shared" si="927"/>
        <v>0</v>
      </c>
      <c r="BY477" t="b">
        <f t="shared" si="928"/>
        <v>0</v>
      </c>
      <c r="BZ477" t="b">
        <f t="shared" si="929"/>
        <v>0</v>
      </c>
      <c r="CA477" t="b">
        <f t="shared" si="930"/>
        <v>0</v>
      </c>
      <c r="CB477" t="b">
        <f t="shared" si="931"/>
        <v>0</v>
      </c>
      <c r="CC477" t="b">
        <f t="shared" si="932"/>
        <v>0</v>
      </c>
      <c r="CD477" t="b">
        <f t="shared" si="933"/>
        <v>0</v>
      </c>
      <c r="CE477">
        <f t="shared" si="934"/>
        <v>1</v>
      </c>
      <c r="CF477" t="b">
        <f t="shared" si="935"/>
        <v>0</v>
      </c>
      <c r="CG477" t="b">
        <f t="shared" si="936"/>
        <v>0</v>
      </c>
      <c r="CH477" t="b">
        <f t="shared" si="937"/>
        <v>0</v>
      </c>
      <c r="CI477" t="b">
        <f t="shared" si="938"/>
        <v>0</v>
      </c>
      <c r="CJ477" t="b">
        <f t="shared" si="939"/>
        <v>0</v>
      </c>
      <c r="CK477" t="b">
        <f t="shared" si="940"/>
        <v>0</v>
      </c>
      <c r="CL477" t="b">
        <f t="shared" si="941"/>
        <v>0</v>
      </c>
      <c r="CM477">
        <f t="shared" si="942"/>
        <v>1</v>
      </c>
      <c r="CN477" t="b">
        <f t="shared" si="943"/>
        <v>0</v>
      </c>
      <c r="CO477" t="b">
        <f t="shared" si="944"/>
        <v>0</v>
      </c>
      <c r="CP477" t="b">
        <f t="shared" si="945"/>
        <v>0</v>
      </c>
      <c r="CQ477" t="b">
        <f t="shared" si="946"/>
        <v>0</v>
      </c>
      <c r="CR477" t="b">
        <f t="shared" si="947"/>
        <v>0</v>
      </c>
      <c r="CS477" t="b">
        <f t="shared" si="948"/>
        <v>0</v>
      </c>
      <c r="CT477" t="b">
        <f t="shared" si="949"/>
        <v>0</v>
      </c>
      <c r="CU477" t="b">
        <f t="shared" si="950"/>
        <v>0</v>
      </c>
      <c r="CV477" t="b">
        <f t="shared" si="951"/>
        <v>0</v>
      </c>
      <c r="CW477" t="b">
        <f t="shared" si="952"/>
        <v>0</v>
      </c>
      <c r="CX477" t="b">
        <f t="shared" si="953"/>
        <v>0</v>
      </c>
      <c r="CY477" t="b">
        <f t="shared" si="954"/>
        <v>0</v>
      </c>
      <c r="CZ477" t="b">
        <f t="shared" si="955"/>
        <v>0</v>
      </c>
      <c r="DA477" t="b">
        <f t="shared" si="956"/>
        <v>0</v>
      </c>
      <c r="DB477" t="b">
        <f t="shared" si="957"/>
        <v>0</v>
      </c>
      <c r="DC477" t="b">
        <f t="shared" si="958"/>
        <v>0</v>
      </c>
      <c r="DD477" t="b">
        <f t="shared" si="959"/>
        <v>0</v>
      </c>
      <c r="DE477" t="b">
        <f t="shared" si="960"/>
        <v>0</v>
      </c>
      <c r="DF477" t="b">
        <f t="shared" si="961"/>
        <v>0</v>
      </c>
      <c r="DG477" t="b">
        <f t="shared" si="962"/>
        <v>0</v>
      </c>
      <c r="DH477" t="b">
        <f t="shared" si="963"/>
        <v>0</v>
      </c>
      <c r="DI477" t="b">
        <f t="shared" si="964"/>
        <v>0</v>
      </c>
      <c r="DJ477" t="b">
        <f t="shared" si="965"/>
        <v>0</v>
      </c>
      <c r="DK477" t="b">
        <f t="shared" si="966"/>
        <v>0</v>
      </c>
      <c r="DL477" t="b">
        <f t="shared" si="967"/>
        <v>0</v>
      </c>
      <c r="DM477" t="b">
        <f t="shared" si="968"/>
        <v>0</v>
      </c>
      <c r="DN477" t="b">
        <f t="shared" si="969"/>
        <v>0</v>
      </c>
      <c r="DO477" t="b">
        <f t="shared" si="970"/>
        <v>0</v>
      </c>
      <c r="DP477" t="b">
        <f t="shared" si="971"/>
        <v>0</v>
      </c>
      <c r="DQ477" t="b">
        <f t="shared" si="972"/>
        <v>0</v>
      </c>
      <c r="DR477" t="b">
        <f t="shared" si="973"/>
        <v>0</v>
      </c>
      <c r="DS477" t="b">
        <f t="shared" si="974"/>
        <v>0</v>
      </c>
      <c r="DT477" t="b">
        <f t="shared" si="975"/>
        <v>0</v>
      </c>
      <c r="DU477" t="b">
        <f t="shared" si="976"/>
        <v>0</v>
      </c>
      <c r="DV477" t="b">
        <f t="shared" si="977"/>
        <v>0</v>
      </c>
      <c r="DW477" t="b">
        <f t="shared" si="978"/>
        <v>0</v>
      </c>
      <c r="DX477" t="b">
        <f t="shared" si="979"/>
        <v>0</v>
      </c>
      <c r="DY477" t="b">
        <f t="shared" si="980"/>
        <v>0</v>
      </c>
      <c r="DZ477" t="b">
        <f t="shared" si="981"/>
        <v>0</v>
      </c>
      <c r="EA477" t="b">
        <f t="shared" si="982"/>
        <v>0</v>
      </c>
      <c r="EB477" t="b">
        <f t="shared" si="983"/>
        <v>0</v>
      </c>
      <c r="EC477" t="b">
        <f t="shared" si="984"/>
        <v>0</v>
      </c>
      <c r="ED477" t="b">
        <f t="shared" si="985"/>
        <v>0</v>
      </c>
      <c r="EE477" t="b">
        <f t="shared" si="986"/>
        <v>0</v>
      </c>
      <c r="EF477" t="b">
        <f t="shared" si="987"/>
        <v>0</v>
      </c>
      <c r="EG477" t="b">
        <f t="shared" si="988"/>
        <v>0</v>
      </c>
      <c r="EH477" t="b">
        <f t="shared" si="989"/>
        <v>0</v>
      </c>
      <c r="EI477" t="b">
        <f t="shared" si="990"/>
        <v>0</v>
      </c>
      <c r="EJ477" t="b">
        <f t="shared" si="991"/>
        <v>0</v>
      </c>
      <c r="EK477" t="b">
        <f t="shared" si="992"/>
        <v>0</v>
      </c>
    </row>
    <row r="478" spans="1:141">
      <c r="A478" t="s">
        <v>2432</v>
      </c>
      <c r="B478" t="s">
        <v>2433</v>
      </c>
      <c r="C478" t="s">
        <v>2434</v>
      </c>
      <c r="D478" s="1">
        <v>42789</v>
      </c>
      <c r="E478" s="2">
        <v>42855.077719907407</v>
      </c>
      <c r="F478" s="2">
        <v>42855.077719907407</v>
      </c>
      <c r="G478">
        <v>71153</v>
      </c>
      <c r="H478" t="s">
        <v>2435</v>
      </c>
      <c r="I478" s="10" t="s">
        <v>2436</v>
      </c>
      <c r="J478" t="s">
        <v>147</v>
      </c>
      <c r="K478" s="8" t="b">
        <v>1</v>
      </c>
      <c r="L478" s="10" t="b">
        <v>0</v>
      </c>
      <c r="M478" s="12" t="b">
        <v>0</v>
      </c>
      <c r="N478" t="b">
        <v>0</v>
      </c>
      <c r="O478" t="b">
        <v>0</v>
      </c>
      <c r="P478" t="b">
        <v>0</v>
      </c>
      <c r="Q478">
        <f t="shared" si="869"/>
        <v>5</v>
      </c>
      <c r="R478">
        <f t="shared" si="870"/>
        <v>2</v>
      </c>
      <c r="S478" t="e">
        <f t="shared" ca="1" si="900"/>
        <v>#NAME?</v>
      </c>
      <c r="T478" t="e">
        <f t="shared" ca="1" si="871"/>
        <v>#NAME?</v>
      </c>
      <c r="U478" s="4">
        <f t="shared" si="872"/>
        <v>66.0777199074073</v>
      </c>
      <c r="V478" s="4">
        <f t="shared" si="873"/>
        <v>2.2025906635802435</v>
      </c>
      <c r="W478" s="4">
        <f t="shared" si="874"/>
        <v>1</v>
      </c>
      <c r="X478" s="4">
        <f t="shared" si="875"/>
        <v>0</v>
      </c>
      <c r="Y478" s="4">
        <f t="shared" si="876"/>
        <v>0</v>
      </c>
      <c r="Z478" s="4">
        <f t="shared" si="877"/>
        <v>0</v>
      </c>
      <c r="AA478" s="4">
        <f t="shared" si="878"/>
        <v>0</v>
      </c>
      <c r="AB478" s="4">
        <f t="shared" si="879"/>
        <v>0</v>
      </c>
      <c r="AC478" s="4"/>
      <c r="AD478" s="4" t="b">
        <f t="shared" si="880"/>
        <v>0</v>
      </c>
      <c r="AE478" s="4" t="b">
        <f t="shared" si="881"/>
        <v>0</v>
      </c>
      <c r="AF478" s="4" t="b">
        <f t="shared" si="882"/>
        <v>0</v>
      </c>
      <c r="AG478" t="b">
        <f t="shared" si="883"/>
        <v>0</v>
      </c>
      <c r="AH478" t="b">
        <f t="shared" si="884"/>
        <v>0</v>
      </c>
      <c r="AI478" t="b">
        <f t="shared" si="885"/>
        <v>0</v>
      </c>
      <c r="AJ478" t="b">
        <f t="shared" si="886"/>
        <v>0</v>
      </c>
      <c r="AK478" t="b">
        <f t="shared" si="887"/>
        <v>0</v>
      </c>
      <c r="AL478" t="b">
        <f t="shared" si="888"/>
        <v>0</v>
      </c>
      <c r="AM478" t="b">
        <f t="shared" si="889"/>
        <v>0</v>
      </c>
      <c r="AN478" t="b">
        <f t="shared" si="890"/>
        <v>0</v>
      </c>
      <c r="AO478" t="b">
        <f t="shared" si="891"/>
        <v>0</v>
      </c>
      <c r="AP478" t="b">
        <f t="shared" si="892"/>
        <v>0</v>
      </c>
      <c r="AQ478" t="b">
        <f t="shared" si="893"/>
        <v>0</v>
      </c>
      <c r="AR478" t="b">
        <f t="shared" si="894"/>
        <v>0</v>
      </c>
      <c r="AS478" t="b">
        <f t="shared" si="895"/>
        <v>0</v>
      </c>
      <c r="AT478" t="b">
        <f t="shared" si="896"/>
        <v>0</v>
      </c>
      <c r="AU478" t="b">
        <f t="shared" si="897"/>
        <v>0</v>
      </c>
      <c r="AV478" t="b">
        <f t="shared" si="898"/>
        <v>0</v>
      </c>
      <c r="AW478" t="b">
        <f t="shared" si="899"/>
        <v>0</v>
      </c>
      <c r="AX478" t="b">
        <f t="shared" si="901"/>
        <v>0</v>
      </c>
      <c r="AY478" t="b">
        <f t="shared" si="902"/>
        <v>0</v>
      </c>
      <c r="AZ478" t="b">
        <f t="shared" si="903"/>
        <v>0</v>
      </c>
      <c r="BA478" t="b">
        <f t="shared" si="904"/>
        <v>0</v>
      </c>
      <c r="BB478" t="b">
        <f t="shared" si="905"/>
        <v>0</v>
      </c>
      <c r="BC478" t="b">
        <f t="shared" si="906"/>
        <v>0</v>
      </c>
      <c r="BD478" t="b">
        <f t="shared" si="907"/>
        <v>0</v>
      </c>
      <c r="BE478" t="b">
        <f t="shared" si="908"/>
        <v>0</v>
      </c>
      <c r="BF478" t="b">
        <f t="shared" si="909"/>
        <v>0</v>
      </c>
      <c r="BG478" t="b">
        <f t="shared" si="910"/>
        <v>0</v>
      </c>
      <c r="BH478" t="b">
        <f t="shared" si="911"/>
        <v>0</v>
      </c>
      <c r="BI478">
        <f t="shared" si="912"/>
        <v>1</v>
      </c>
      <c r="BJ478" t="b">
        <f t="shared" si="913"/>
        <v>0</v>
      </c>
      <c r="BK478" t="b">
        <f t="shared" si="914"/>
        <v>0</v>
      </c>
      <c r="BL478" t="b">
        <f t="shared" si="915"/>
        <v>0</v>
      </c>
      <c r="BM478" t="b">
        <f t="shared" si="916"/>
        <v>0</v>
      </c>
      <c r="BN478" t="b">
        <f t="shared" si="917"/>
        <v>0</v>
      </c>
      <c r="BO478" t="b">
        <f t="shared" si="918"/>
        <v>0</v>
      </c>
      <c r="BP478" t="b">
        <f t="shared" si="919"/>
        <v>0</v>
      </c>
      <c r="BQ478" t="b">
        <f t="shared" si="920"/>
        <v>0</v>
      </c>
      <c r="BR478" t="b">
        <f t="shared" si="921"/>
        <v>0</v>
      </c>
      <c r="BS478" t="b">
        <f t="shared" si="922"/>
        <v>0</v>
      </c>
      <c r="BT478" t="b">
        <f t="shared" si="923"/>
        <v>0</v>
      </c>
      <c r="BU478" t="b">
        <f t="shared" si="924"/>
        <v>0</v>
      </c>
      <c r="BV478" t="b">
        <f t="shared" si="925"/>
        <v>0</v>
      </c>
      <c r="BW478" t="b">
        <f t="shared" si="926"/>
        <v>0</v>
      </c>
      <c r="BX478" t="b">
        <f t="shared" si="927"/>
        <v>0</v>
      </c>
      <c r="BY478" t="b">
        <f t="shared" si="928"/>
        <v>0</v>
      </c>
      <c r="BZ478" t="b">
        <f t="shared" si="929"/>
        <v>0</v>
      </c>
      <c r="CA478" t="b">
        <f t="shared" si="930"/>
        <v>0</v>
      </c>
      <c r="CB478" t="b">
        <f t="shared" si="931"/>
        <v>0</v>
      </c>
      <c r="CC478" t="b">
        <f t="shared" si="932"/>
        <v>0</v>
      </c>
      <c r="CD478" t="b">
        <f t="shared" si="933"/>
        <v>0</v>
      </c>
      <c r="CE478" t="b">
        <f t="shared" si="934"/>
        <v>0</v>
      </c>
      <c r="CF478" t="b">
        <f t="shared" si="935"/>
        <v>0</v>
      </c>
      <c r="CG478" t="b">
        <f t="shared" si="936"/>
        <v>0</v>
      </c>
      <c r="CH478" t="b">
        <f t="shared" si="937"/>
        <v>0</v>
      </c>
      <c r="CI478" t="b">
        <f t="shared" si="938"/>
        <v>0</v>
      </c>
      <c r="CJ478" t="b">
        <f t="shared" si="939"/>
        <v>0</v>
      </c>
      <c r="CK478" t="b">
        <f t="shared" si="940"/>
        <v>0</v>
      </c>
      <c r="CL478" t="b">
        <f t="shared" si="941"/>
        <v>0</v>
      </c>
      <c r="CM478" t="b">
        <f t="shared" si="942"/>
        <v>0</v>
      </c>
      <c r="CN478" t="b">
        <f t="shared" si="943"/>
        <v>0</v>
      </c>
      <c r="CO478" t="b">
        <f t="shared" si="944"/>
        <v>0</v>
      </c>
      <c r="CP478" t="b">
        <f t="shared" si="945"/>
        <v>0</v>
      </c>
      <c r="CQ478" t="b">
        <f t="shared" si="946"/>
        <v>0</v>
      </c>
      <c r="CR478" t="b">
        <f t="shared" si="947"/>
        <v>0</v>
      </c>
      <c r="CS478" t="b">
        <f t="shared" si="948"/>
        <v>0</v>
      </c>
      <c r="CT478" t="b">
        <f t="shared" si="949"/>
        <v>0</v>
      </c>
      <c r="CU478" t="b">
        <f t="shared" si="950"/>
        <v>0</v>
      </c>
      <c r="CV478">
        <f t="shared" si="951"/>
        <v>1</v>
      </c>
      <c r="CW478" t="b">
        <f t="shared" si="952"/>
        <v>0</v>
      </c>
      <c r="CX478" t="b">
        <f t="shared" si="953"/>
        <v>0</v>
      </c>
      <c r="CY478" t="b">
        <f t="shared" si="954"/>
        <v>0</v>
      </c>
      <c r="CZ478" t="b">
        <f t="shared" si="955"/>
        <v>0</v>
      </c>
      <c r="DA478" t="b">
        <f t="shared" si="956"/>
        <v>0</v>
      </c>
      <c r="DB478" t="b">
        <f t="shared" si="957"/>
        <v>0</v>
      </c>
      <c r="DC478" t="b">
        <f t="shared" si="958"/>
        <v>0</v>
      </c>
      <c r="DD478" t="b">
        <f t="shared" si="959"/>
        <v>0</v>
      </c>
      <c r="DE478" t="b">
        <f t="shared" si="960"/>
        <v>0</v>
      </c>
      <c r="DF478" t="b">
        <f t="shared" si="961"/>
        <v>0</v>
      </c>
      <c r="DG478" t="b">
        <f t="shared" si="962"/>
        <v>0</v>
      </c>
      <c r="DH478" t="b">
        <f t="shared" si="963"/>
        <v>0</v>
      </c>
      <c r="DI478" t="b">
        <f t="shared" si="964"/>
        <v>0</v>
      </c>
      <c r="DJ478" t="b">
        <f t="shared" si="965"/>
        <v>0</v>
      </c>
      <c r="DK478" t="b">
        <f t="shared" si="966"/>
        <v>0</v>
      </c>
      <c r="DL478" t="b">
        <f t="shared" si="967"/>
        <v>0</v>
      </c>
      <c r="DM478" t="b">
        <f t="shared" si="968"/>
        <v>0</v>
      </c>
      <c r="DN478" t="b">
        <f t="shared" si="969"/>
        <v>0</v>
      </c>
      <c r="DO478" t="b">
        <f t="shared" si="970"/>
        <v>0</v>
      </c>
      <c r="DP478" t="b">
        <f t="shared" si="971"/>
        <v>0</v>
      </c>
      <c r="DQ478" t="b">
        <f t="shared" si="972"/>
        <v>0</v>
      </c>
      <c r="DR478" t="b">
        <f t="shared" si="973"/>
        <v>0</v>
      </c>
      <c r="DS478" t="b">
        <f t="shared" si="974"/>
        <v>0</v>
      </c>
      <c r="DT478" t="b">
        <f t="shared" si="975"/>
        <v>0</v>
      </c>
      <c r="DU478" t="b">
        <f t="shared" si="976"/>
        <v>0</v>
      </c>
      <c r="DV478" t="b">
        <f t="shared" si="977"/>
        <v>0</v>
      </c>
      <c r="DW478" t="b">
        <f t="shared" si="978"/>
        <v>0</v>
      </c>
      <c r="DX478" t="b">
        <f t="shared" si="979"/>
        <v>0</v>
      </c>
      <c r="DY478" t="b">
        <f t="shared" si="980"/>
        <v>0</v>
      </c>
      <c r="DZ478" t="b">
        <f t="shared" si="981"/>
        <v>0</v>
      </c>
      <c r="EA478" t="b">
        <f t="shared" si="982"/>
        <v>0</v>
      </c>
      <c r="EB478" t="b">
        <f t="shared" si="983"/>
        <v>0</v>
      </c>
      <c r="EC478" t="b">
        <f t="shared" si="984"/>
        <v>0</v>
      </c>
      <c r="ED478" t="b">
        <f t="shared" si="985"/>
        <v>0</v>
      </c>
      <c r="EE478" t="b">
        <f t="shared" si="986"/>
        <v>0</v>
      </c>
      <c r="EF478" t="b">
        <f t="shared" si="987"/>
        <v>0</v>
      </c>
      <c r="EG478" t="b">
        <f t="shared" si="988"/>
        <v>0</v>
      </c>
      <c r="EH478" t="b">
        <f t="shared" si="989"/>
        <v>0</v>
      </c>
      <c r="EI478" t="b">
        <f t="shared" si="990"/>
        <v>0</v>
      </c>
      <c r="EJ478" t="b">
        <f t="shared" si="991"/>
        <v>0</v>
      </c>
      <c r="EK478" t="b">
        <f t="shared" si="992"/>
        <v>0</v>
      </c>
    </row>
    <row r="479" spans="1:141">
      <c r="A479" t="s">
        <v>2437</v>
      </c>
      <c r="B479" t="s">
        <v>2438</v>
      </c>
      <c r="C479" t="s">
        <v>2439</v>
      </c>
      <c r="D479" s="1">
        <v>41640</v>
      </c>
      <c r="E479" s="2">
        <v>43013.289155092592</v>
      </c>
      <c r="F479" s="2">
        <v>43013.289155092592</v>
      </c>
      <c r="G479">
        <v>7040725</v>
      </c>
      <c r="H479" t="s">
        <v>2440</v>
      </c>
      <c r="I479" s="10" t="s">
        <v>2441</v>
      </c>
      <c r="J479" t="s">
        <v>147</v>
      </c>
      <c r="K479" s="8" t="b">
        <v>1</v>
      </c>
      <c r="L479" s="10" t="b">
        <v>0</v>
      </c>
      <c r="M479" s="12" t="b">
        <v>0</v>
      </c>
      <c r="N479" t="b">
        <v>0</v>
      </c>
      <c r="O479" t="b">
        <v>0</v>
      </c>
      <c r="P479" t="b">
        <v>0</v>
      </c>
      <c r="Q479">
        <f t="shared" si="869"/>
        <v>4</v>
      </c>
      <c r="R479">
        <f t="shared" si="870"/>
        <v>1</v>
      </c>
      <c r="S479" t="e">
        <f t="shared" ca="1" si="900"/>
        <v>#NAME?</v>
      </c>
      <c r="T479" t="e">
        <f t="shared" ca="1" si="871"/>
        <v>#NAME?</v>
      </c>
      <c r="U479" s="4">
        <f t="shared" si="872"/>
        <v>1373.2891550925924</v>
      </c>
      <c r="V479" s="4">
        <f t="shared" si="873"/>
        <v>45.77630516975308</v>
      </c>
      <c r="W479" s="4">
        <f t="shared" si="874"/>
        <v>1</v>
      </c>
      <c r="X479" s="4">
        <f t="shared" si="875"/>
        <v>0</v>
      </c>
      <c r="Y479" s="4">
        <f t="shared" si="876"/>
        <v>0</v>
      </c>
      <c r="Z479" s="4">
        <f t="shared" si="877"/>
        <v>0</v>
      </c>
      <c r="AA479" s="4">
        <f t="shared" si="878"/>
        <v>0</v>
      </c>
      <c r="AB479" s="4">
        <f t="shared" si="879"/>
        <v>0</v>
      </c>
      <c r="AC479" s="4"/>
      <c r="AD479" s="4" t="b">
        <f t="shared" si="880"/>
        <v>0</v>
      </c>
      <c r="AE479" s="4" t="b">
        <f t="shared" si="881"/>
        <v>0</v>
      </c>
      <c r="AF479" s="4" t="b">
        <f t="shared" si="882"/>
        <v>0</v>
      </c>
      <c r="AG479" t="b">
        <f t="shared" si="883"/>
        <v>0</v>
      </c>
      <c r="AH479" t="b">
        <f t="shared" si="884"/>
        <v>0</v>
      </c>
      <c r="AI479" t="b">
        <f t="shared" si="885"/>
        <v>0</v>
      </c>
      <c r="AJ479" t="b">
        <f t="shared" si="886"/>
        <v>0</v>
      </c>
      <c r="AK479" t="b">
        <f t="shared" si="887"/>
        <v>0</v>
      </c>
      <c r="AL479" t="b">
        <f t="shared" si="888"/>
        <v>0</v>
      </c>
      <c r="AM479" t="b">
        <f t="shared" si="889"/>
        <v>0</v>
      </c>
      <c r="AN479" t="b">
        <f t="shared" si="890"/>
        <v>0</v>
      </c>
      <c r="AO479" t="b">
        <f t="shared" si="891"/>
        <v>0</v>
      </c>
      <c r="AP479" t="b">
        <f t="shared" si="892"/>
        <v>0</v>
      </c>
      <c r="AQ479" t="b">
        <f t="shared" si="893"/>
        <v>0</v>
      </c>
      <c r="AR479" t="b">
        <f t="shared" si="894"/>
        <v>0</v>
      </c>
      <c r="AS479" t="b">
        <f t="shared" si="895"/>
        <v>0</v>
      </c>
      <c r="AT479" t="b">
        <f t="shared" si="896"/>
        <v>0</v>
      </c>
      <c r="AU479" t="b">
        <f t="shared" si="897"/>
        <v>0</v>
      </c>
      <c r="AV479" t="b">
        <f t="shared" si="898"/>
        <v>0</v>
      </c>
      <c r="AW479" t="b">
        <f t="shared" si="899"/>
        <v>0</v>
      </c>
      <c r="AX479" t="b">
        <f t="shared" si="901"/>
        <v>0</v>
      </c>
      <c r="AY479" t="b">
        <f t="shared" si="902"/>
        <v>0</v>
      </c>
      <c r="AZ479" t="b">
        <f t="shared" si="903"/>
        <v>0</v>
      </c>
      <c r="BA479" t="b">
        <f t="shared" si="904"/>
        <v>0</v>
      </c>
      <c r="BB479" t="b">
        <f t="shared" si="905"/>
        <v>0</v>
      </c>
      <c r="BC479" t="b">
        <f t="shared" si="906"/>
        <v>0</v>
      </c>
      <c r="BD479" t="b">
        <f t="shared" si="907"/>
        <v>0</v>
      </c>
      <c r="BE479" t="b">
        <f t="shared" si="908"/>
        <v>0</v>
      </c>
      <c r="BF479" t="b">
        <f t="shared" si="909"/>
        <v>0</v>
      </c>
      <c r="BG479" t="b">
        <f t="shared" si="910"/>
        <v>0</v>
      </c>
      <c r="BH479" t="b">
        <f t="shared" si="911"/>
        <v>0</v>
      </c>
      <c r="BI479">
        <f t="shared" si="912"/>
        <v>1</v>
      </c>
      <c r="BJ479" t="b">
        <f t="shared" si="913"/>
        <v>0</v>
      </c>
      <c r="BK479" t="b">
        <f t="shared" si="914"/>
        <v>0</v>
      </c>
      <c r="BL479" t="b">
        <f t="shared" si="915"/>
        <v>0</v>
      </c>
      <c r="BM479" t="b">
        <f t="shared" si="916"/>
        <v>0</v>
      </c>
      <c r="BN479" t="b">
        <f t="shared" si="917"/>
        <v>0</v>
      </c>
      <c r="BO479" t="b">
        <f t="shared" si="918"/>
        <v>0</v>
      </c>
      <c r="BP479" t="b">
        <f t="shared" si="919"/>
        <v>0</v>
      </c>
      <c r="BQ479" t="b">
        <f t="shared" si="920"/>
        <v>0</v>
      </c>
      <c r="BR479" t="b">
        <f t="shared" si="921"/>
        <v>0</v>
      </c>
      <c r="BS479" t="b">
        <f t="shared" si="922"/>
        <v>0</v>
      </c>
      <c r="BT479" t="b">
        <f t="shared" si="923"/>
        <v>0</v>
      </c>
      <c r="BU479" t="b">
        <f t="shared" si="924"/>
        <v>0</v>
      </c>
      <c r="BV479" t="b">
        <f t="shared" si="925"/>
        <v>0</v>
      </c>
      <c r="BW479" t="b">
        <f t="shared" si="926"/>
        <v>0</v>
      </c>
      <c r="BX479" t="b">
        <f t="shared" si="927"/>
        <v>0</v>
      </c>
      <c r="BY479" t="b">
        <f t="shared" si="928"/>
        <v>0</v>
      </c>
      <c r="BZ479" t="b">
        <f t="shared" si="929"/>
        <v>0</v>
      </c>
      <c r="CA479" t="b">
        <f t="shared" si="930"/>
        <v>0</v>
      </c>
      <c r="CB479" t="b">
        <f t="shared" si="931"/>
        <v>0</v>
      </c>
      <c r="CC479" t="b">
        <f t="shared" si="932"/>
        <v>0</v>
      </c>
      <c r="CD479" t="b">
        <f t="shared" si="933"/>
        <v>0</v>
      </c>
      <c r="CE479" t="b">
        <f t="shared" si="934"/>
        <v>0</v>
      </c>
      <c r="CF479" t="b">
        <f t="shared" si="935"/>
        <v>0</v>
      </c>
      <c r="CG479" t="b">
        <f t="shared" si="936"/>
        <v>0</v>
      </c>
      <c r="CH479" t="b">
        <f t="shared" si="937"/>
        <v>0</v>
      </c>
      <c r="CI479" t="b">
        <f t="shared" si="938"/>
        <v>0</v>
      </c>
      <c r="CJ479" t="b">
        <f t="shared" si="939"/>
        <v>0</v>
      </c>
      <c r="CK479" t="b">
        <f t="shared" si="940"/>
        <v>0</v>
      </c>
      <c r="CL479" t="b">
        <f t="shared" si="941"/>
        <v>0</v>
      </c>
      <c r="CM479" t="b">
        <f t="shared" si="942"/>
        <v>0</v>
      </c>
      <c r="CN479" t="b">
        <f t="shared" si="943"/>
        <v>0</v>
      </c>
      <c r="CO479" t="b">
        <f t="shared" si="944"/>
        <v>0</v>
      </c>
      <c r="CP479" t="b">
        <f t="shared" si="945"/>
        <v>0</v>
      </c>
      <c r="CQ479" t="b">
        <f t="shared" si="946"/>
        <v>0</v>
      </c>
      <c r="CR479" t="b">
        <f t="shared" si="947"/>
        <v>0</v>
      </c>
      <c r="CS479" t="b">
        <f t="shared" si="948"/>
        <v>0</v>
      </c>
      <c r="CT479" t="b">
        <f t="shared" si="949"/>
        <v>0</v>
      </c>
      <c r="CU479" t="b">
        <f t="shared" si="950"/>
        <v>0</v>
      </c>
      <c r="CV479">
        <f t="shared" si="951"/>
        <v>1</v>
      </c>
      <c r="CW479" t="b">
        <f t="shared" si="952"/>
        <v>0</v>
      </c>
      <c r="CX479" t="b">
        <f t="shared" si="953"/>
        <v>0</v>
      </c>
      <c r="CY479" t="b">
        <f t="shared" si="954"/>
        <v>0</v>
      </c>
      <c r="CZ479" t="b">
        <f t="shared" si="955"/>
        <v>0</v>
      </c>
      <c r="DA479" t="b">
        <f t="shared" si="956"/>
        <v>0</v>
      </c>
      <c r="DB479" t="b">
        <f t="shared" si="957"/>
        <v>0</v>
      </c>
      <c r="DC479" t="b">
        <f t="shared" si="958"/>
        <v>0</v>
      </c>
      <c r="DD479" t="b">
        <f t="shared" si="959"/>
        <v>0</v>
      </c>
      <c r="DE479" t="b">
        <f t="shared" si="960"/>
        <v>0</v>
      </c>
      <c r="DF479" t="b">
        <f t="shared" si="961"/>
        <v>0</v>
      </c>
      <c r="DG479" t="b">
        <f t="shared" si="962"/>
        <v>0</v>
      </c>
      <c r="DH479" t="b">
        <f t="shared" si="963"/>
        <v>0</v>
      </c>
      <c r="DI479" t="b">
        <f t="shared" si="964"/>
        <v>0</v>
      </c>
      <c r="DJ479" t="b">
        <f t="shared" si="965"/>
        <v>0</v>
      </c>
      <c r="DK479" t="b">
        <f t="shared" si="966"/>
        <v>0</v>
      </c>
      <c r="DL479" t="b">
        <f t="shared" si="967"/>
        <v>0</v>
      </c>
      <c r="DM479" t="b">
        <f t="shared" si="968"/>
        <v>0</v>
      </c>
      <c r="DN479" t="b">
        <f t="shared" si="969"/>
        <v>0</v>
      </c>
      <c r="DO479" t="b">
        <f t="shared" si="970"/>
        <v>0</v>
      </c>
      <c r="DP479" t="b">
        <f t="shared" si="971"/>
        <v>0</v>
      </c>
      <c r="DQ479" t="b">
        <f t="shared" si="972"/>
        <v>0</v>
      </c>
      <c r="DR479" t="b">
        <f t="shared" si="973"/>
        <v>0</v>
      </c>
      <c r="DS479" t="b">
        <f t="shared" si="974"/>
        <v>0</v>
      </c>
      <c r="DT479" t="b">
        <f t="shared" si="975"/>
        <v>0</v>
      </c>
      <c r="DU479" t="b">
        <f t="shared" si="976"/>
        <v>0</v>
      </c>
      <c r="DV479" t="b">
        <f t="shared" si="977"/>
        <v>0</v>
      </c>
      <c r="DW479" t="b">
        <f t="shared" si="978"/>
        <v>0</v>
      </c>
      <c r="DX479" t="b">
        <f t="shared" si="979"/>
        <v>0</v>
      </c>
      <c r="DY479" t="b">
        <f t="shared" si="980"/>
        <v>0</v>
      </c>
      <c r="DZ479" t="b">
        <f t="shared" si="981"/>
        <v>0</v>
      </c>
      <c r="EA479" t="b">
        <f t="shared" si="982"/>
        <v>0</v>
      </c>
      <c r="EB479" t="b">
        <f t="shared" si="983"/>
        <v>0</v>
      </c>
      <c r="EC479" t="b">
        <f t="shared" si="984"/>
        <v>0</v>
      </c>
      <c r="ED479" t="b">
        <f t="shared" si="985"/>
        <v>0</v>
      </c>
      <c r="EE479" t="b">
        <f t="shared" si="986"/>
        <v>0</v>
      </c>
      <c r="EF479" t="b">
        <f t="shared" si="987"/>
        <v>0</v>
      </c>
      <c r="EG479" t="b">
        <f t="shared" si="988"/>
        <v>0</v>
      </c>
      <c r="EH479" t="b">
        <f t="shared" si="989"/>
        <v>0</v>
      </c>
      <c r="EI479" t="b">
        <f t="shared" si="990"/>
        <v>0</v>
      </c>
      <c r="EJ479" t="b">
        <f t="shared" si="991"/>
        <v>0</v>
      </c>
      <c r="EK479" t="b">
        <f t="shared" si="992"/>
        <v>0</v>
      </c>
    </row>
    <row r="480" spans="1:141">
      <c r="A480" t="s">
        <v>2442</v>
      </c>
      <c r="B480" t="s">
        <v>2443</v>
      </c>
      <c r="C480" t="s">
        <v>2444</v>
      </c>
      <c r="D480" s="1">
        <v>42736</v>
      </c>
      <c r="E480" s="2">
        <v>42802.992974537039</v>
      </c>
      <c r="F480" s="2">
        <v>42802.992974537039</v>
      </c>
      <c r="G480">
        <v>393430309</v>
      </c>
      <c r="H480" t="s">
        <v>2445</v>
      </c>
      <c r="I480" s="10" t="s">
        <v>414</v>
      </c>
      <c r="J480" t="s">
        <v>2446</v>
      </c>
      <c r="K480" s="8" t="b">
        <v>1</v>
      </c>
      <c r="L480" s="10" t="b">
        <v>0</v>
      </c>
      <c r="M480" s="12" t="b">
        <v>0</v>
      </c>
      <c r="N480" t="b">
        <v>0</v>
      </c>
      <c r="O480" t="b">
        <v>1</v>
      </c>
      <c r="P480" t="b">
        <v>0</v>
      </c>
      <c r="Q480">
        <f t="shared" si="869"/>
        <v>1</v>
      </c>
      <c r="R480">
        <f t="shared" si="870"/>
        <v>1</v>
      </c>
      <c r="S480" t="e">
        <f t="shared" ca="1" si="900"/>
        <v>#NAME?</v>
      </c>
      <c r="T480" t="e">
        <f t="shared" ca="1" si="871"/>
        <v>#NAME?</v>
      </c>
      <c r="U480" s="4">
        <f t="shared" si="872"/>
        <v>66.992974537039117</v>
      </c>
      <c r="V480" s="4">
        <f t="shared" si="873"/>
        <v>2.2330991512346374</v>
      </c>
      <c r="W480" s="4">
        <f t="shared" si="874"/>
        <v>1</v>
      </c>
      <c r="X480" s="4">
        <f t="shared" si="875"/>
        <v>0</v>
      </c>
      <c r="Y480" s="4">
        <f t="shared" si="876"/>
        <v>0</v>
      </c>
      <c r="Z480" s="4">
        <f t="shared" si="877"/>
        <v>0</v>
      </c>
      <c r="AA480" s="4">
        <f t="shared" si="878"/>
        <v>1</v>
      </c>
      <c r="AB480" s="4">
        <f t="shared" si="879"/>
        <v>0</v>
      </c>
      <c r="AC480" s="4"/>
      <c r="AD480" s="4" t="b">
        <f t="shared" si="880"/>
        <v>0</v>
      </c>
      <c r="AE480" s="4" t="b">
        <f t="shared" si="881"/>
        <v>0</v>
      </c>
      <c r="AF480" s="4" t="b">
        <f t="shared" si="882"/>
        <v>0</v>
      </c>
      <c r="AG480" t="b">
        <f t="shared" si="883"/>
        <v>0</v>
      </c>
      <c r="AH480" t="b">
        <f t="shared" si="884"/>
        <v>0</v>
      </c>
      <c r="AI480" t="b">
        <f t="shared" si="885"/>
        <v>0</v>
      </c>
      <c r="AJ480" t="b">
        <f t="shared" si="886"/>
        <v>0</v>
      </c>
      <c r="AK480" t="b">
        <f t="shared" si="887"/>
        <v>0</v>
      </c>
      <c r="AL480" t="b">
        <f t="shared" si="888"/>
        <v>0</v>
      </c>
      <c r="AM480" t="b">
        <f t="shared" si="889"/>
        <v>0</v>
      </c>
      <c r="AN480" t="b">
        <f t="shared" si="890"/>
        <v>0</v>
      </c>
      <c r="AO480" t="b">
        <f t="shared" si="891"/>
        <v>0</v>
      </c>
      <c r="AP480" t="b">
        <f t="shared" si="892"/>
        <v>0</v>
      </c>
      <c r="AQ480" t="b">
        <f t="shared" si="893"/>
        <v>0</v>
      </c>
      <c r="AR480" t="b">
        <f t="shared" si="894"/>
        <v>0</v>
      </c>
      <c r="AS480" t="b">
        <f t="shared" si="895"/>
        <v>0</v>
      </c>
      <c r="AT480" t="b">
        <f t="shared" si="896"/>
        <v>0</v>
      </c>
      <c r="AU480" t="b">
        <f t="shared" si="897"/>
        <v>0</v>
      </c>
      <c r="AV480" t="b">
        <f t="shared" si="898"/>
        <v>0</v>
      </c>
      <c r="AW480" t="b">
        <f t="shared" si="899"/>
        <v>0</v>
      </c>
      <c r="AX480" t="b">
        <f t="shared" si="901"/>
        <v>0</v>
      </c>
      <c r="AY480" t="b">
        <f t="shared" si="902"/>
        <v>0</v>
      </c>
      <c r="AZ480" t="b">
        <f t="shared" si="903"/>
        <v>0</v>
      </c>
      <c r="BA480" t="b">
        <f t="shared" si="904"/>
        <v>0</v>
      </c>
      <c r="BB480" t="b">
        <f t="shared" si="905"/>
        <v>0</v>
      </c>
      <c r="BC480" t="b">
        <f t="shared" si="906"/>
        <v>0</v>
      </c>
      <c r="BD480" t="b">
        <f t="shared" si="907"/>
        <v>0</v>
      </c>
      <c r="BE480" t="b">
        <f t="shared" si="908"/>
        <v>0</v>
      </c>
      <c r="BF480" t="b">
        <f t="shared" si="909"/>
        <v>0</v>
      </c>
      <c r="BG480" t="b">
        <f t="shared" si="910"/>
        <v>0</v>
      </c>
      <c r="BH480" t="b">
        <f t="shared" si="911"/>
        <v>0</v>
      </c>
      <c r="BI480">
        <f t="shared" si="912"/>
        <v>1</v>
      </c>
      <c r="BJ480" t="b">
        <f t="shared" si="913"/>
        <v>0</v>
      </c>
      <c r="BK480" t="b">
        <f t="shared" si="914"/>
        <v>0</v>
      </c>
      <c r="BL480" t="b">
        <f t="shared" si="915"/>
        <v>0</v>
      </c>
      <c r="BM480" t="b">
        <f t="shared" si="916"/>
        <v>0</v>
      </c>
      <c r="BN480" t="b">
        <f t="shared" si="917"/>
        <v>0</v>
      </c>
      <c r="BO480" t="b">
        <f t="shared" si="918"/>
        <v>0</v>
      </c>
      <c r="BP480" t="b">
        <f t="shared" si="919"/>
        <v>0</v>
      </c>
      <c r="BQ480" t="b">
        <f t="shared" si="920"/>
        <v>0</v>
      </c>
      <c r="BR480" t="b">
        <f t="shared" si="921"/>
        <v>0</v>
      </c>
      <c r="BS480" t="b">
        <f t="shared" si="922"/>
        <v>0</v>
      </c>
      <c r="BT480" t="b">
        <f t="shared" si="923"/>
        <v>0</v>
      </c>
      <c r="BU480" t="b">
        <f t="shared" si="924"/>
        <v>0</v>
      </c>
      <c r="BV480" t="b">
        <f t="shared" si="925"/>
        <v>0</v>
      </c>
      <c r="BW480" t="b">
        <f t="shared" si="926"/>
        <v>0</v>
      </c>
      <c r="BX480" t="b">
        <f t="shared" si="927"/>
        <v>0</v>
      </c>
      <c r="BY480" t="b">
        <f t="shared" si="928"/>
        <v>0</v>
      </c>
      <c r="BZ480" t="b">
        <f t="shared" si="929"/>
        <v>0</v>
      </c>
      <c r="CA480" t="b">
        <f t="shared" si="930"/>
        <v>0</v>
      </c>
      <c r="CB480" t="b">
        <f t="shared" si="931"/>
        <v>0</v>
      </c>
      <c r="CC480" t="b">
        <f t="shared" si="932"/>
        <v>0</v>
      </c>
      <c r="CD480" t="b">
        <f t="shared" si="933"/>
        <v>0</v>
      </c>
      <c r="CE480">
        <f t="shared" si="934"/>
        <v>1</v>
      </c>
      <c r="CF480" t="b">
        <f t="shared" si="935"/>
        <v>0</v>
      </c>
      <c r="CG480" t="b">
        <f t="shared" si="936"/>
        <v>0</v>
      </c>
      <c r="CH480" t="b">
        <f t="shared" si="937"/>
        <v>0</v>
      </c>
      <c r="CI480" t="b">
        <f t="shared" si="938"/>
        <v>0</v>
      </c>
      <c r="CJ480" t="b">
        <f t="shared" si="939"/>
        <v>0</v>
      </c>
      <c r="CK480" t="b">
        <f t="shared" si="940"/>
        <v>0</v>
      </c>
      <c r="CL480" t="b">
        <f t="shared" si="941"/>
        <v>0</v>
      </c>
      <c r="CM480">
        <f t="shared" si="942"/>
        <v>1</v>
      </c>
      <c r="CN480" t="b">
        <f t="shared" si="943"/>
        <v>0</v>
      </c>
      <c r="CO480" t="b">
        <f t="shared" si="944"/>
        <v>0</v>
      </c>
      <c r="CP480" t="b">
        <f t="shared" si="945"/>
        <v>0</v>
      </c>
      <c r="CQ480" t="b">
        <f t="shared" si="946"/>
        <v>0</v>
      </c>
      <c r="CR480" t="b">
        <f t="shared" si="947"/>
        <v>0</v>
      </c>
      <c r="CS480" t="b">
        <f t="shared" si="948"/>
        <v>0</v>
      </c>
      <c r="CT480" t="b">
        <f t="shared" si="949"/>
        <v>0</v>
      </c>
      <c r="CU480" t="b">
        <f t="shared" si="950"/>
        <v>0</v>
      </c>
      <c r="CV480" t="b">
        <f t="shared" si="951"/>
        <v>0</v>
      </c>
      <c r="CW480" t="b">
        <f t="shared" si="952"/>
        <v>0</v>
      </c>
      <c r="CX480" t="b">
        <f t="shared" si="953"/>
        <v>0</v>
      </c>
      <c r="CY480" t="b">
        <f t="shared" si="954"/>
        <v>0</v>
      </c>
      <c r="CZ480" t="b">
        <f t="shared" si="955"/>
        <v>0</v>
      </c>
      <c r="DA480" t="b">
        <f t="shared" si="956"/>
        <v>0</v>
      </c>
      <c r="DB480">
        <f t="shared" si="957"/>
        <v>1</v>
      </c>
      <c r="DC480" t="b">
        <f t="shared" si="958"/>
        <v>0</v>
      </c>
      <c r="DD480" t="b">
        <f t="shared" si="959"/>
        <v>0</v>
      </c>
      <c r="DE480" t="b">
        <f t="shared" si="960"/>
        <v>0</v>
      </c>
      <c r="DF480" t="b">
        <f t="shared" si="961"/>
        <v>0</v>
      </c>
      <c r="DG480" t="b">
        <f t="shared" si="962"/>
        <v>0</v>
      </c>
      <c r="DH480" t="b">
        <f t="shared" si="963"/>
        <v>0</v>
      </c>
      <c r="DI480" t="b">
        <f t="shared" si="964"/>
        <v>0</v>
      </c>
      <c r="DJ480" t="b">
        <f t="shared" si="965"/>
        <v>0</v>
      </c>
      <c r="DK480" t="b">
        <f t="shared" si="966"/>
        <v>0</v>
      </c>
      <c r="DL480" t="b">
        <f t="shared" si="967"/>
        <v>0</v>
      </c>
      <c r="DM480" t="b">
        <f t="shared" si="968"/>
        <v>0</v>
      </c>
      <c r="DN480" t="b">
        <f t="shared" si="969"/>
        <v>0</v>
      </c>
      <c r="DO480" t="b">
        <f t="shared" si="970"/>
        <v>0</v>
      </c>
      <c r="DP480" t="b">
        <f t="shared" si="971"/>
        <v>0</v>
      </c>
      <c r="DQ480" t="b">
        <f t="shared" si="972"/>
        <v>0</v>
      </c>
      <c r="DR480" t="b">
        <f t="shared" si="973"/>
        <v>0</v>
      </c>
      <c r="DS480" t="b">
        <f t="shared" si="974"/>
        <v>0</v>
      </c>
      <c r="DT480" t="b">
        <f t="shared" si="975"/>
        <v>0</v>
      </c>
      <c r="DU480" t="b">
        <f t="shared" si="976"/>
        <v>0</v>
      </c>
      <c r="DV480" t="b">
        <f t="shared" si="977"/>
        <v>0</v>
      </c>
      <c r="DW480" t="b">
        <f t="shared" si="978"/>
        <v>0</v>
      </c>
      <c r="DX480" t="b">
        <f t="shared" si="979"/>
        <v>0</v>
      </c>
      <c r="DY480" t="b">
        <f t="shared" si="980"/>
        <v>0</v>
      </c>
      <c r="DZ480" t="b">
        <f t="shared" si="981"/>
        <v>0</v>
      </c>
      <c r="EA480" t="b">
        <f t="shared" si="982"/>
        <v>0</v>
      </c>
      <c r="EB480" t="b">
        <f t="shared" si="983"/>
        <v>0</v>
      </c>
      <c r="EC480" t="b">
        <f t="shared" si="984"/>
        <v>0</v>
      </c>
      <c r="ED480" t="b">
        <f t="shared" si="985"/>
        <v>0</v>
      </c>
      <c r="EE480" t="b">
        <f t="shared" si="986"/>
        <v>0</v>
      </c>
      <c r="EF480" t="b">
        <f t="shared" si="987"/>
        <v>0</v>
      </c>
      <c r="EG480" t="b">
        <f t="shared" si="988"/>
        <v>0</v>
      </c>
      <c r="EH480" t="b">
        <f t="shared" si="989"/>
        <v>0</v>
      </c>
      <c r="EI480" t="b">
        <f t="shared" si="990"/>
        <v>0</v>
      </c>
      <c r="EJ480" t="b">
        <f t="shared" si="991"/>
        <v>0</v>
      </c>
      <c r="EK480" t="b">
        <f t="shared" si="992"/>
        <v>0</v>
      </c>
    </row>
    <row r="481" spans="1:141">
      <c r="A481" t="s">
        <v>2447</v>
      </c>
      <c r="B481" t="s">
        <v>2447</v>
      </c>
      <c r="C481" t="s">
        <v>2448</v>
      </c>
      <c r="D481" s="1">
        <v>44503</v>
      </c>
      <c r="E481" s="2">
        <v>44623.949675925927</v>
      </c>
      <c r="F481" s="2">
        <v>44623.949675925927</v>
      </c>
      <c r="G481">
        <v>5003937</v>
      </c>
      <c r="H481" t="s">
        <v>2449</v>
      </c>
      <c r="I481" s="10" t="s">
        <v>2450</v>
      </c>
      <c r="J481" t="s">
        <v>744</v>
      </c>
      <c r="K481" s="8" t="b">
        <v>1</v>
      </c>
      <c r="L481" s="10" t="b">
        <v>0</v>
      </c>
      <c r="M481" s="12" t="b">
        <v>0</v>
      </c>
      <c r="N481" t="b">
        <v>0</v>
      </c>
      <c r="O481" t="b">
        <v>0</v>
      </c>
      <c r="P481" t="b">
        <v>0</v>
      </c>
      <c r="Q481">
        <f t="shared" si="869"/>
        <v>4</v>
      </c>
      <c r="R481">
        <f t="shared" si="870"/>
        <v>11</v>
      </c>
      <c r="S481" t="e">
        <f t="shared" ca="1" si="900"/>
        <v>#NAME?</v>
      </c>
      <c r="T481" t="e">
        <f t="shared" ca="1" si="871"/>
        <v>#NAME?</v>
      </c>
      <c r="U481" s="4">
        <f t="shared" si="872"/>
        <v>120.94967592592729</v>
      </c>
      <c r="V481" s="4">
        <f t="shared" si="873"/>
        <v>4.0316558641975764</v>
      </c>
      <c r="W481" s="4">
        <f t="shared" si="874"/>
        <v>1</v>
      </c>
      <c r="X481" s="4">
        <f t="shared" si="875"/>
        <v>0</v>
      </c>
      <c r="Y481" s="4">
        <f t="shared" si="876"/>
        <v>0</v>
      </c>
      <c r="Z481" s="4">
        <f t="shared" si="877"/>
        <v>0</v>
      </c>
      <c r="AA481" s="4">
        <f t="shared" si="878"/>
        <v>0</v>
      </c>
      <c r="AB481" s="4">
        <f t="shared" si="879"/>
        <v>0</v>
      </c>
      <c r="AC481" s="4"/>
      <c r="AD481" s="4" t="b">
        <f t="shared" si="880"/>
        <v>0</v>
      </c>
      <c r="AE481" s="4" t="b">
        <f t="shared" si="881"/>
        <v>0</v>
      </c>
      <c r="AF481" s="4" t="b">
        <f t="shared" si="882"/>
        <v>0</v>
      </c>
      <c r="AG481" t="b">
        <f t="shared" si="883"/>
        <v>0</v>
      </c>
      <c r="AH481" t="b">
        <f t="shared" si="884"/>
        <v>0</v>
      </c>
      <c r="AI481" t="b">
        <f t="shared" si="885"/>
        <v>0</v>
      </c>
      <c r="AJ481" t="b">
        <f t="shared" si="886"/>
        <v>0</v>
      </c>
      <c r="AK481" t="b">
        <f t="shared" si="887"/>
        <v>0</v>
      </c>
      <c r="AL481" t="b">
        <f t="shared" si="888"/>
        <v>0</v>
      </c>
      <c r="AM481" t="b">
        <f t="shared" si="889"/>
        <v>0</v>
      </c>
      <c r="AN481" t="b">
        <f t="shared" si="890"/>
        <v>0</v>
      </c>
      <c r="AO481" t="b">
        <f t="shared" si="891"/>
        <v>0</v>
      </c>
      <c r="AP481" t="b">
        <f t="shared" si="892"/>
        <v>0</v>
      </c>
      <c r="AQ481" t="b">
        <f t="shared" si="893"/>
        <v>0</v>
      </c>
      <c r="AR481" t="b">
        <f t="shared" si="894"/>
        <v>0</v>
      </c>
      <c r="AS481" t="b">
        <f t="shared" si="895"/>
        <v>0</v>
      </c>
      <c r="AT481" t="b">
        <f t="shared" si="896"/>
        <v>0</v>
      </c>
      <c r="AU481" t="b">
        <f t="shared" si="897"/>
        <v>0</v>
      </c>
      <c r="AV481" t="b">
        <f t="shared" si="898"/>
        <v>0</v>
      </c>
      <c r="AW481" t="b">
        <f t="shared" si="899"/>
        <v>0</v>
      </c>
      <c r="AX481" t="b">
        <f t="shared" si="901"/>
        <v>0</v>
      </c>
      <c r="AY481" t="b">
        <f t="shared" si="902"/>
        <v>0</v>
      </c>
      <c r="AZ481" t="b">
        <f t="shared" si="903"/>
        <v>0</v>
      </c>
      <c r="BA481" t="b">
        <f t="shared" si="904"/>
        <v>0</v>
      </c>
      <c r="BB481" t="b">
        <f t="shared" si="905"/>
        <v>0</v>
      </c>
      <c r="BC481" t="b">
        <f t="shared" si="906"/>
        <v>0</v>
      </c>
      <c r="BD481" t="b">
        <f t="shared" si="907"/>
        <v>0</v>
      </c>
      <c r="BE481" t="b">
        <f t="shared" si="908"/>
        <v>0</v>
      </c>
      <c r="BF481" t="b">
        <f t="shared" si="909"/>
        <v>0</v>
      </c>
      <c r="BG481" t="b">
        <f t="shared" si="910"/>
        <v>0</v>
      </c>
      <c r="BH481" t="b">
        <f t="shared" si="911"/>
        <v>0</v>
      </c>
      <c r="BI481">
        <f t="shared" si="912"/>
        <v>1</v>
      </c>
      <c r="BJ481" t="b">
        <f t="shared" si="913"/>
        <v>0</v>
      </c>
      <c r="BK481" t="b">
        <f t="shared" si="914"/>
        <v>0</v>
      </c>
      <c r="BL481" t="b">
        <f t="shared" si="915"/>
        <v>0</v>
      </c>
      <c r="BM481" t="b">
        <f t="shared" si="916"/>
        <v>0</v>
      </c>
      <c r="BN481" t="b">
        <f t="shared" si="917"/>
        <v>0</v>
      </c>
      <c r="BO481" t="b">
        <f t="shared" si="918"/>
        <v>0</v>
      </c>
      <c r="BP481" t="b">
        <f t="shared" si="919"/>
        <v>0</v>
      </c>
      <c r="BQ481" t="b">
        <f t="shared" si="920"/>
        <v>0</v>
      </c>
      <c r="BR481" t="b">
        <f t="shared" si="921"/>
        <v>0</v>
      </c>
      <c r="BS481" t="b">
        <f t="shared" si="922"/>
        <v>0</v>
      </c>
      <c r="BT481" t="b">
        <f t="shared" si="923"/>
        <v>0</v>
      </c>
      <c r="BU481" t="b">
        <f t="shared" si="924"/>
        <v>0</v>
      </c>
      <c r="BV481" t="b">
        <f t="shared" si="925"/>
        <v>0</v>
      </c>
      <c r="BW481" t="b">
        <f t="shared" si="926"/>
        <v>0</v>
      </c>
      <c r="BX481" t="b">
        <f t="shared" si="927"/>
        <v>0</v>
      </c>
      <c r="BY481" t="b">
        <f t="shared" si="928"/>
        <v>0</v>
      </c>
      <c r="BZ481" t="b">
        <f t="shared" si="929"/>
        <v>0</v>
      </c>
      <c r="CA481" t="b">
        <f t="shared" si="930"/>
        <v>0</v>
      </c>
      <c r="CB481" t="b">
        <f t="shared" si="931"/>
        <v>0</v>
      </c>
      <c r="CC481" t="b">
        <f t="shared" si="932"/>
        <v>0</v>
      </c>
      <c r="CD481" t="b">
        <f t="shared" si="933"/>
        <v>0</v>
      </c>
      <c r="CE481" t="b">
        <f t="shared" si="934"/>
        <v>0</v>
      </c>
      <c r="CF481" t="b">
        <f t="shared" si="935"/>
        <v>0</v>
      </c>
      <c r="CG481" t="b">
        <f t="shared" si="936"/>
        <v>0</v>
      </c>
      <c r="CH481" t="b">
        <f t="shared" si="937"/>
        <v>0</v>
      </c>
      <c r="CI481" t="b">
        <f t="shared" si="938"/>
        <v>0</v>
      </c>
      <c r="CJ481" t="b">
        <f t="shared" si="939"/>
        <v>0</v>
      </c>
      <c r="CK481" t="b">
        <f t="shared" si="940"/>
        <v>0</v>
      </c>
      <c r="CL481" t="b">
        <f t="shared" si="941"/>
        <v>0</v>
      </c>
      <c r="CM481" t="b">
        <f t="shared" si="942"/>
        <v>0</v>
      </c>
      <c r="CN481" t="b">
        <f t="shared" si="943"/>
        <v>0</v>
      </c>
      <c r="CO481" t="b">
        <f t="shared" si="944"/>
        <v>0</v>
      </c>
      <c r="CP481" t="b">
        <f t="shared" si="945"/>
        <v>0</v>
      </c>
      <c r="CQ481" t="b">
        <f t="shared" si="946"/>
        <v>0</v>
      </c>
      <c r="CR481" t="b">
        <f t="shared" si="947"/>
        <v>0</v>
      </c>
      <c r="CS481" t="b">
        <f t="shared" si="948"/>
        <v>0</v>
      </c>
      <c r="CT481" t="b">
        <f t="shared" si="949"/>
        <v>0</v>
      </c>
      <c r="CU481" t="b">
        <f t="shared" si="950"/>
        <v>0</v>
      </c>
      <c r="CV481" t="b">
        <f t="shared" si="951"/>
        <v>0</v>
      </c>
      <c r="CW481" t="b">
        <f t="shared" si="952"/>
        <v>0</v>
      </c>
      <c r="CX481" t="b">
        <f t="shared" si="953"/>
        <v>0</v>
      </c>
      <c r="CY481" t="b">
        <f t="shared" si="954"/>
        <v>0</v>
      </c>
      <c r="CZ481" t="b">
        <f t="shared" si="955"/>
        <v>0</v>
      </c>
      <c r="DA481" t="b">
        <f t="shared" si="956"/>
        <v>0</v>
      </c>
      <c r="DB481" t="b">
        <f t="shared" si="957"/>
        <v>0</v>
      </c>
      <c r="DC481" t="b">
        <f t="shared" si="958"/>
        <v>0</v>
      </c>
      <c r="DD481" t="b">
        <f t="shared" si="959"/>
        <v>0</v>
      </c>
      <c r="DE481" t="b">
        <f t="shared" si="960"/>
        <v>0</v>
      </c>
      <c r="DF481" t="b">
        <f t="shared" si="961"/>
        <v>0</v>
      </c>
      <c r="DG481" t="b">
        <f t="shared" si="962"/>
        <v>0</v>
      </c>
      <c r="DH481" t="b">
        <f t="shared" si="963"/>
        <v>0</v>
      </c>
      <c r="DI481" t="b">
        <f t="shared" si="964"/>
        <v>0</v>
      </c>
      <c r="DJ481" t="b">
        <f t="shared" si="965"/>
        <v>0</v>
      </c>
      <c r="DK481" t="b">
        <f t="shared" si="966"/>
        <v>0</v>
      </c>
      <c r="DL481" t="b">
        <f t="shared" si="967"/>
        <v>0</v>
      </c>
      <c r="DM481" t="b">
        <f t="shared" si="968"/>
        <v>0</v>
      </c>
      <c r="DN481" t="b">
        <f t="shared" si="969"/>
        <v>0</v>
      </c>
      <c r="DO481" t="b">
        <f t="shared" si="970"/>
        <v>0</v>
      </c>
      <c r="DP481" t="b">
        <f t="shared" si="971"/>
        <v>0</v>
      </c>
      <c r="DQ481" t="b">
        <f t="shared" si="972"/>
        <v>0</v>
      </c>
      <c r="DR481" t="b">
        <f t="shared" si="973"/>
        <v>0</v>
      </c>
      <c r="DS481" t="b">
        <f t="shared" si="974"/>
        <v>0</v>
      </c>
      <c r="DT481" t="b">
        <f t="shared" si="975"/>
        <v>0</v>
      </c>
      <c r="DU481" t="b">
        <f t="shared" si="976"/>
        <v>0</v>
      </c>
      <c r="DV481" t="b">
        <f t="shared" si="977"/>
        <v>0</v>
      </c>
      <c r="DW481" t="b">
        <f t="shared" si="978"/>
        <v>0</v>
      </c>
      <c r="DX481" t="b">
        <f t="shared" si="979"/>
        <v>0</v>
      </c>
      <c r="DY481" t="b">
        <f t="shared" si="980"/>
        <v>0</v>
      </c>
      <c r="DZ481" t="b">
        <f t="shared" si="981"/>
        <v>0</v>
      </c>
      <c r="EA481" t="b">
        <f t="shared" si="982"/>
        <v>0</v>
      </c>
      <c r="EB481" t="b">
        <f t="shared" si="983"/>
        <v>0</v>
      </c>
      <c r="EC481" t="b">
        <f t="shared" si="984"/>
        <v>0</v>
      </c>
      <c r="ED481" t="b">
        <f t="shared" si="985"/>
        <v>0</v>
      </c>
      <c r="EE481" t="b">
        <f t="shared" si="986"/>
        <v>0</v>
      </c>
      <c r="EF481" t="b">
        <f t="shared" si="987"/>
        <v>0</v>
      </c>
      <c r="EG481" t="b">
        <f t="shared" si="988"/>
        <v>0</v>
      </c>
      <c r="EH481" t="b">
        <f t="shared" si="989"/>
        <v>0</v>
      </c>
      <c r="EI481" t="b">
        <f t="shared" si="990"/>
        <v>0</v>
      </c>
      <c r="EJ481" t="b">
        <f t="shared" si="991"/>
        <v>0</v>
      </c>
      <c r="EK481" t="b">
        <f t="shared" si="992"/>
        <v>0</v>
      </c>
    </row>
    <row r="482" spans="1:141">
      <c r="A482" t="s">
        <v>2451</v>
      </c>
      <c r="B482" t="s">
        <v>2451</v>
      </c>
      <c r="C482" t="s">
        <v>2452</v>
      </c>
      <c r="D482" s="1">
        <v>43460</v>
      </c>
      <c r="E482" s="2">
        <v>43665.601446759261</v>
      </c>
      <c r="F482" s="2">
        <v>43665.601446759261</v>
      </c>
      <c r="G482">
        <v>3994436</v>
      </c>
      <c r="H482" t="s">
        <v>2453</v>
      </c>
      <c r="I482" s="10" t="s">
        <v>2454</v>
      </c>
      <c r="J482" t="s">
        <v>2455</v>
      </c>
      <c r="K482" s="8" t="b">
        <v>1</v>
      </c>
      <c r="L482" s="10" t="b">
        <v>0</v>
      </c>
      <c r="M482" s="12" t="b">
        <v>0</v>
      </c>
      <c r="N482" t="b">
        <v>0</v>
      </c>
      <c r="O482" t="b">
        <v>0</v>
      </c>
      <c r="P482" t="b">
        <v>0</v>
      </c>
      <c r="Q482">
        <f t="shared" si="869"/>
        <v>4</v>
      </c>
      <c r="R482">
        <f t="shared" si="870"/>
        <v>12</v>
      </c>
      <c r="S482" t="e">
        <f t="shared" ca="1" si="900"/>
        <v>#NAME?</v>
      </c>
      <c r="T482" t="e">
        <f t="shared" ca="1" si="871"/>
        <v>#NAME?</v>
      </c>
      <c r="U482" s="4">
        <f t="shared" si="872"/>
        <v>205.60144675926131</v>
      </c>
      <c r="V482" s="4">
        <f t="shared" si="873"/>
        <v>6.8533815586420435</v>
      </c>
      <c r="W482" s="4">
        <f t="shared" si="874"/>
        <v>1</v>
      </c>
      <c r="X482" s="4">
        <f t="shared" si="875"/>
        <v>0</v>
      </c>
      <c r="Y482" s="4">
        <f t="shared" si="876"/>
        <v>0</v>
      </c>
      <c r="Z482" s="4">
        <f t="shared" si="877"/>
        <v>0</v>
      </c>
      <c r="AA482" s="4">
        <f t="shared" si="878"/>
        <v>0</v>
      </c>
      <c r="AB482" s="4">
        <f t="shared" si="879"/>
        <v>0</v>
      </c>
      <c r="AC482" s="4"/>
      <c r="AD482" s="4" t="b">
        <f t="shared" si="880"/>
        <v>0</v>
      </c>
      <c r="AE482" s="4" t="b">
        <f t="shared" si="881"/>
        <v>0</v>
      </c>
      <c r="AF482" s="4" t="b">
        <f t="shared" si="882"/>
        <v>0</v>
      </c>
      <c r="AG482" t="b">
        <f t="shared" si="883"/>
        <v>0</v>
      </c>
      <c r="AH482" t="b">
        <f t="shared" si="884"/>
        <v>0</v>
      </c>
      <c r="AI482" t="b">
        <f t="shared" si="885"/>
        <v>0</v>
      </c>
      <c r="AJ482" t="b">
        <f t="shared" si="886"/>
        <v>0</v>
      </c>
      <c r="AK482" t="b">
        <f t="shared" si="887"/>
        <v>0</v>
      </c>
      <c r="AL482" t="b">
        <f t="shared" si="888"/>
        <v>0</v>
      </c>
      <c r="AM482" t="b">
        <f t="shared" si="889"/>
        <v>0</v>
      </c>
      <c r="AN482" t="b">
        <f t="shared" si="890"/>
        <v>0</v>
      </c>
      <c r="AO482" t="b">
        <f t="shared" si="891"/>
        <v>0</v>
      </c>
      <c r="AP482" t="b">
        <f t="shared" si="892"/>
        <v>0</v>
      </c>
      <c r="AQ482" t="b">
        <f t="shared" si="893"/>
        <v>0</v>
      </c>
      <c r="AR482" t="b">
        <f t="shared" si="894"/>
        <v>0</v>
      </c>
      <c r="AS482" t="b">
        <f t="shared" si="895"/>
        <v>0</v>
      </c>
      <c r="AT482" t="b">
        <f t="shared" si="896"/>
        <v>0</v>
      </c>
      <c r="AU482" t="b">
        <f t="shared" si="897"/>
        <v>0</v>
      </c>
      <c r="AV482" t="b">
        <f t="shared" si="898"/>
        <v>0</v>
      </c>
      <c r="AW482" t="b">
        <f t="shared" si="899"/>
        <v>0</v>
      </c>
      <c r="AX482" t="b">
        <f t="shared" si="901"/>
        <v>0</v>
      </c>
      <c r="AY482" t="b">
        <f t="shared" si="902"/>
        <v>0</v>
      </c>
      <c r="AZ482" t="b">
        <f t="shared" si="903"/>
        <v>0</v>
      </c>
      <c r="BA482" t="b">
        <f t="shared" si="904"/>
        <v>0</v>
      </c>
      <c r="BB482" t="b">
        <f t="shared" si="905"/>
        <v>0</v>
      </c>
      <c r="BC482" t="b">
        <f t="shared" si="906"/>
        <v>0</v>
      </c>
      <c r="BD482" t="b">
        <f t="shared" si="907"/>
        <v>0</v>
      </c>
      <c r="BE482" t="b">
        <f t="shared" si="908"/>
        <v>0</v>
      </c>
      <c r="BF482" t="b">
        <f t="shared" si="909"/>
        <v>0</v>
      </c>
      <c r="BG482" t="b">
        <f t="shared" si="910"/>
        <v>0</v>
      </c>
      <c r="BH482" t="b">
        <f t="shared" si="911"/>
        <v>0</v>
      </c>
      <c r="BI482">
        <f t="shared" si="912"/>
        <v>1</v>
      </c>
      <c r="BJ482" t="b">
        <f t="shared" si="913"/>
        <v>0</v>
      </c>
      <c r="BK482" t="b">
        <f t="shared" si="914"/>
        <v>0</v>
      </c>
      <c r="BL482" t="b">
        <f t="shared" si="915"/>
        <v>0</v>
      </c>
      <c r="BM482" t="b">
        <f t="shared" si="916"/>
        <v>0</v>
      </c>
      <c r="BN482" t="b">
        <f t="shared" si="917"/>
        <v>0</v>
      </c>
      <c r="BO482" t="b">
        <f t="shared" si="918"/>
        <v>0</v>
      </c>
      <c r="BP482" t="b">
        <f t="shared" si="919"/>
        <v>0</v>
      </c>
      <c r="BQ482" t="b">
        <f t="shared" si="920"/>
        <v>0</v>
      </c>
      <c r="BR482" t="b">
        <f t="shared" si="921"/>
        <v>0</v>
      </c>
      <c r="BS482" t="b">
        <f t="shared" si="922"/>
        <v>0</v>
      </c>
      <c r="BT482" t="b">
        <f t="shared" si="923"/>
        <v>0</v>
      </c>
      <c r="BU482" t="b">
        <f t="shared" si="924"/>
        <v>0</v>
      </c>
      <c r="BV482" t="b">
        <f t="shared" si="925"/>
        <v>0</v>
      </c>
      <c r="BW482" t="b">
        <f t="shared" si="926"/>
        <v>0</v>
      </c>
      <c r="BX482" t="b">
        <f t="shared" si="927"/>
        <v>0</v>
      </c>
      <c r="BY482" t="b">
        <f t="shared" si="928"/>
        <v>0</v>
      </c>
      <c r="BZ482" t="b">
        <f t="shared" si="929"/>
        <v>0</v>
      </c>
      <c r="CA482" t="b">
        <f t="shared" si="930"/>
        <v>0</v>
      </c>
      <c r="CB482" t="b">
        <f t="shared" si="931"/>
        <v>0</v>
      </c>
      <c r="CC482" t="b">
        <f t="shared" si="932"/>
        <v>0</v>
      </c>
      <c r="CD482" t="b">
        <f t="shared" si="933"/>
        <v>0</v>
      </c>
      <c r="CE482">
        <f t="shared" si="934"/>
        <v>1</v>
      </c>
      <c r="CF482" t="b">
        <f t="shared" si="935"/>
        <v>0</v>
      </c>
      <c r="CG482" t="b">
        <f t="shared" si="936"/>
        <v>0</v>
      </c>
      <c r="CH482" t="b">
        <f t="shared" si="937"/>
        <v>0</v>
      </c>
      <c r="CI482" t="b">
        <f t="shared" si="938"/>
        <v>0</v>
      </c>
      <c r="CJ482" t="b">
        <f t="shared" si="939"/>
        <v>0</v>
      </c>
      <c r="CK482" t="b">
        <f t="shared" si="940"/>
        <v>0</v>
      </c>
      <c r="CL482" t="b">
        <f t="shared" si="941"/>
        <v>0</v>
      </c>
      <c r="CM482">
        <f t="shared" si="942"/>
        <v>1</v>
      </c>
      <c r="CN482" t="b">
        <f t="shared" si="943"/>
        <v>0</v>
      </c>
      <c r="CO482" t="b">
        <f t="shared" si="944"/>
        <v>0</v>
      </c>
      <c r="CP482" t="b">
        <f t="shared" si="945"/>
        <v>0</v>
      </c>
      <c r="CQ482" t="b">
        <f t="shared" si="946"/>
        <v>0</v>
      </c>
      <c r="CR482" t="b">
        <f t="shared" si="947"/>
        <v>0</v>
      </c>
      <c r="CS482" t="b">
        <f t="shared" si="948"/>
        <v>0</v>
      </c>
      <c r="CT482" t="b">
        <f t="shared" si="949"/>
        <v>0</v>
      </c>
      <c r="CU482" t="b">
        <f t="shared" si="950"/>
        <v>0</v>
      </c>
      <c r="CV482">
        <f t="shared" si="951"/>
        <v>1</v>
      </c>
      <c r="CW482" t="b">
        <f t="shared" si="952"/>
        <v>0</v>
      </c>
      <c r="CX482" t="b">
        <f t="shared" si="953"/>
        <v>0</v>
      </c>
      <c r="CY482" t="b">
        <f t="shared" si="954"/>
        <v>0</v>
      </c>
      <c r="CZ482" t="b">
        <f t="shared" si="955"/>
        <v>0</v>
      </c>
      <c r="DA482" t="b">
        <f t="shared" si="956"/>
        <v>0</v>
      </c>
      <c r="DB482" t="b">
        <f t="shared" si="957"/>
        <v>0</v>
      </c>
      <c r="DC482" t="b">
        <f t="shared" si="958"/>
        <v>0</v>
      </c>
      <c r="DD482" t="b">
        <f t="shared" si="959"/>
        <v>0</v>
      </c>
      <c r="DE482" t="b">
        <f t="shared" si="960"/>
        <v>0</v>
      </c>
      <c r="DF482" t="b">
        <f t="shared" si="961"/>
        <v>0</v>
      </c>
      <c r="DG482" t="b">
        <f t="shared" si="962"/>
        <v>0</v>
      </c>
      <c r="DH482" t="b">
        <f t="shared" si="963"/>
        <v>0</v>
      </c>
      <c r="DI482" t="b">
        <f t="shared" si="964"/>
        <v>0</v>
      </c>
      <c r="DJ482" t="b">
        <f t="shared" si="965"/>
        <v>0</v>
      </c>
      <c r="DK482" t="b">
        <f t="shared" si="966"/>
        <v>0</v>
      </c>
      <c r="DL482" t="b">
        <f t="shared" si="967"/>
        <v>0</v>
      </c>
      <c r="DM482" t="b">
        <f t="shared" si="968"/>
        <v>0</v>
      </c>
      <c r="DN482" t="b">
        <f t="shared" si="969"/>
        <v>0</v>
      </c>
      <c r="DO482" t="b">
        <f t="shared" si="970"/>
        <v>0</v>
      </c>
      <c r="DP482" t="b">
        <f t="shared" si="971"/>
        <v>0</v>
      </c>
      <c r="DQ482" t="b">
        <f t="shared" si="972"/>
        <v>0</v>
      </c>
      <c r="DR482" t="b">
        <f t="shared" si="973"/>
        <v>0</v>
      </c>
      <c r="DS482" t="b">
        <f t="shared" si="974"/>
        <v>0</v>
      </c>
      <c r="DT482" t="b">
        <f t="shared" si="975"/>
        <v>0</v>
      </c>
      <c r="DU482" t="b">
        <f t="shared" si="976"/>
        <v>0</v>
      </c>
      <c r="DV482" t="b">
        <f t="shared" si="977"/>
        <v>0</v>
      </c>
      <c r="DW482" t="b">
        <f t="shared" si="978"/>
        <v>0</v>
      </c>
      <c r="DX482" t="b">
        <f t="shared" si="979"/>
        <v>0</v>
      </c>
      <c r="DY482" t="b">
        <f t="shared" si="980"/>
        <v>0</v>
      </c>
      <c r="DZ482" t="b">
        <f t="shared" si="981"/>
        <v>0</v>
      </c>
      <c r="EA482" t="b">
        <f t="shared" si="982"/>
        <v>0</v>
      </c>
      <c r="EB482" t="b">
        <f t="shared" si="983"/>
        <v>0</v>
      </c>
      <c r="EC482" t="b">
        <f t="shared" si="984"/>
        <v>0</v>
      </c>
      <c r="ED482" t="b">
        <f t="shared" si="985"/>
        <v>0</v>
      </c>
      <c r="EE482" t="b">
        <f t="shared" si="986"/>
        <v>0</v>
      </c>
      <c r="EF482" t="b">
        <f t="shared" si="987"/>
        <v>0</v>
      </c>
      <c r="EG482" t="b">
        <f t="shared" si="988"/>
        <v>0</v>
      </c>
      <c r="EH482" t="b">
        <f t="shared" si="989"/>
        <v>0</v>
      </c>
      <c r="EI482" t="b">
        <f t="shared" si="990"/>
        <v>0</v>
      </c>
      <c r="EJ482" t="b">
        <f t="shared" si="991"/>
        <v>0</v>
      </c>
      <c r="EK482" t="b">
        <f t="shared" si="992"/>
        <v>0</v>
      </c>
    </row>
    <row r="483" spans="1:141">
      <c r="A483" t="s">
        <v>2456</v>
      </c>
      <c r="B483" t="s">
        <v>2456</v>
      </c>
      <c r="C483" t="s">
        <v>2457</v>
      </c>
      <c r="D483" s="1">
        <v>43252</v>
      </c>
      <c r="E483" s="2">
        <v>44214.38590277778</v>
      </c>
      <c r="F483" s="2">
        <v>44214.38590277778</v>
      </c>
      <c r="G483">
        <v>19531820</v>
      </c>
      <c r="H483" t="s">
        <v>2458</v>
      </c>
      <c r="I483" s="10" t="s">
        <v>2459</v>
      </c>
      <c r="J483" t="s">
        <v>2460</v>
      </c>
      <c r="K483" s="8" t="b">
        <v>1</v>
      </c>
      <c r="L483" s="10" t="b">
        <v>0</v>
      </c>
      <c r="M483" s="12" t="b">
        <v>0</v>
      </c>
      <c r="N483" t="b">
        <v>0</v>
      </c>
      <c r="O483" t="b">
        <v>0</v>
      </c>
      <c r="P483" t="b">
        <v>0</v>
      </c>
      <c r="Q483">
        <f t="shared" si="869"/>
        <v>6</v>
      </c>
      <c r="R483">
        <f t="shared" si="870"/>
        <v>6</v>
      </c>
      <c r="S483" t="e">
        <f t="shared" ca="1" si="900"/>
        <v>#NAME?</v>
      </c>
      <c r="T483" t="e">
        <f t="shared" ca="1" si="871"/>
        <v>#NAME?</v>
      </c>
      <c r="U483" s="4">
        <f t="shared" si="872"/>
        <v>962.38590277777985</v>
      </c>
      <c r="V483" s="4">
        <f t="shared" si="873"/>
        <v>32.079530092592663</v>
      </c>
      <c r="W483" s="4">
        <f t="shared" si="874"/>
        <v>1</v>
      </c>
      <c r="X483" s="4">
        <f t="shared" si="875"/>
        <v>0</v>
      </c>
      <c r="Y483" s="4">
        <f t="shared" si="876"/>
        <v>0</v>
      </c>
      <c r="Z483" s="4">
        <f t="shared" si="877"/>
        <v>0</v>
      </c>
      <c r="AA483" s="4">
        <f t="shared" si="878"/>
        <v>0</v>
      </c>
      <c r="AB483" s="4">
        <f t="shared" si="879"/>
        <v>0</v>
      </c>
      <c r="AC483" s="4"/>
      <c r="AD483" s="4" t="b">
        <f t="shared" si="880"/>
        <v>0</v>
      </c>
      <c r="AE483" s="4" t="b">
        <f t="shared" si="881"/>
        <v>0</v>
      </c>
      <c r="AF483" s="4" t="b">
        <f t="shared" si="882"/>
        <v>0</v>
      </c>
      <c r="AG483" t="b">
        <f t="shared" si="883"/>
        <v>0</v>
      </c>
      <c r="AH483" t="b">
        <f t="shared" si="884"/>
        <v>0</v>
      </c>
      <c r="AI483" t="b">
        <f t="shared" si="885"/>
        <v>0</v>
      </c>
      <c r="AJ483" t="b">
        <f t="shared" si="886"/>
        <v>0</v>
      </c>
      <c r="AK483" t="b">
        <f t="shared" si="887"/>
        <v>0</v>
      </c>
      <c r="AL483" t="b">
        <f t="shared" si="888"/>
        <v>0</v>
      </c>
      <c r="AM483" t="b">
        <f t="shared" si="889"/>
        <v>0</v>
      </c>
      <c r="AN483" t="b">
        <f t="shared" si="890"/>
        <v>0</v>
      </c>
      <c r="AO483" t="b">
        <f t="shared" si="891"/>
        <v>0</v>
      </c>
      <c r="AP483" t="b">
        <f t="shared" si="892"/>
        <v>0</v>
      </c>
      <c r="AQ483" t="b">
        <f t="shared" si="893"/>
        <v>0</v>
      </c>
      <c r="AR483" t="b">
        <f t="shared" si="894"/>
        <v>0</v>
      </c>
      <c r="AS483" t="b">
        <f t="shared" si="895"/>
        <v>0</v>
      </c>
      <c r="AT483" t="b">
        <f t="shared" si="896"/>
        <v>0</v>
      </c>
      <c r="AU483" t="b">
        <f t="shared" si="897"/>
        <v>0</v>
      </c>
      <c r="AV483" t="b">
        <f t="shared" si="898"/>
        <v>0</v>
      </c>
      <c r="AW483" t="b">
        <f t="shared" si="899"/>
        <v>0</v>
      </c>
      <c r="AX483" t="b">
        <f t="shared" si="901"/>
        <v>0</v>
      </c>
      <c r="AY483" t="b">
        <f t="shared" si="902"/>
        <v>0</v>
      </c>
      <c r="AZ483" t="b">
        <f t="shared" si="903"/>
        <v>0</v>
      </c>
      <c r="BA483" t="b">
        <f t="shared" si="904"/>
        <v>0</v>
      </c>
      <c r="BB483" t="b">
        <f t="shared" si="905"/>
        <v>0</v>
      </c>
      <c r="BC483" t="b">
        <f t="shared" si="906"/>
        <v>0</v>
      </c>
      <c r="BD483" t="b">
        <f t="shared" si="907"/>
        <v>0</v>
      </c>
      <c r="BE483" t="b">
        <f t="shared" si="908"/>
        <v>0</v>
      </c>
      <c r="BF483" t="b">
        <f t="shared" si="909"/>
        <v>0</v>
      </c>
      <c r="BG483" t="b">
        <f t="shared" si="910"/>
        <v>0</v>
      </c>
      <c r="BH483" t="b">
        <f t="shared" si="911"/>
        <v>0</v>
      </c>
      <c r="BI483" t="b">
        <f t="shared" si="912"/>
        <v>0</v>
      </c>
      <c r="BJ483" t="b">
        <f t="shared" si="913"/>
        <v>0</v>
      </c>
      <c r="BK483" t="b">
        <f t="shared" si="914"/>
        <v>0</v>
      </c>
      <c r="BL483" t="b">
        <f t="shared" si="915"/>
        <v>0</v>
      </c>
      <c r="BM483" t="b">
        <f t="shared" si="916"/>
        <v>0</v>
      </c>
      <c r="BN483" t="b">
        <f t="shared" si="917"/>
        <v>0</v>
      </c>
      <c r="BO483" t="b">
        <f t="shared" si="918"/>
        <v>0</v>
      </c>
      <c r="BP483" t="b">
        <f t="shared" si="919"/>
        <v>0</v>
      </c>
      <c r="BQ483" t="b">
        <f t="shared" si="920"/>
        <v>0</v>
      </c>
      <c r="BR483" t="b">
        <f t="shared" si="921"/>
        <v>0</v>
      </c>
      <c r="BS483">
        <f t="shared" si="922"/>
        <v>1</v>
      </c>
      <c r="BT483" t="b">
        <f t="shared" si="923"/>
        <v>0</v>
      </c>
      <c r="BU483" t="b">
        <f t="shared" si="924"/>
        <v>0</v>
      </c>
      <c r="BV483" t="b">
        <f t="shared" si="925"/>
        <v>0</v>
      </c>
      <c r="BW483" t="b">
        <f t="shared" si="926"/>
        <v>0</v>
      </c>
      <c r="BX483" t="b">
        <f t="shared" si="927"/>
        <v>0</v>
      </c>
      <c r="BY483" t="b">
        <f t="shared" si="928"/>
        <v>0</v>
      </c>
      <c r="BZ483" t="b">
        <f t="shared" si="929"/>
        <v>0</v>
      </c>
      <c r="CA483" t="b">
        <f t="shared" si="930"/>
        <v>0</v>
      </c>
      <c r="CB483" t="b">
        <f t="shared" si="931"/>
        <v>0</v>
      </c>
      <c r="CC483" t="b">
        <f t="shared" si="932"/>
        <v>0</v>
      </c>
      <c r="CD483" t="b">
        <f t="shared" si="933"/>
        <v>0</v>
      </c>
      <c r="CE483">
        <f t="shared" si="934"/>
        <v>1</v>
      </c>
      <c r="CF483" t="b">
        <f t="shared" si="935"/>
        <v>0</v>
      </c>
      <c r="CG483" t="b">
        <f t="shared" si="936"/>
        <v>0</v>
      </c>
      <c r="CH483" t="b">
        <f t="shared" si="937"/>
        <v>0</v>
      </c>
      <c r="CI483" t="b">
        <f t="shared" si="938"/>
        <v>0</v>
      </c>
      <c r="CJ483" t="b">
        <f t="shared" si="939"/>
        <v>0</v>
      </c>
      <c r="CK483" t="b">
        <f t="shared" si="940"/>
        <v>0</v>
      </c>
      <c r="CL483" t="b">
        <f t="shared" si="941"/>
        <v>0</v>
      </c>
      <c r="CM483">
        <f t="shared" si="942"/>
        <v>1</v>
      </c>
      <c r="CN483" t="b">
        <f t="shared" si="943"/>
        <v>0</v>
      </c>
      <c r="CO483" t="b">
        <f t="shared" si="944"/>
        <v>0</v>
      </c>
      <c r="CP483" t="b">
        <f t="shared" si="945"/>
        <v>0</v>
      </c>
      <c r="CQ483" t="b">
        <f t="shared" si="946"/>
        <v>0</v>
      </c>
      <c r="CR483" t="b">
        <f t="shared" si="947"/>
        <v>0</v>
      </c>
      <c r="CS483" t="b">
        <f t="shared" si="948"/>
        <v>0</v>
      </c>
      <c r="CT483" t="b">
        <f t="shared" si="949"/>
        <v>0</v>
      </c>
      <c r="CU483" t="b">
        <f t="shared" si="950"/>
        <v>0</v>
      </c>
      <c r="CV483">
        <f t="shared" si="951"/>
        <v>1</v>
      </c>
      <c r="CW483" t="b">
        <f t="shared" si="952"/>
        <v>0</v>
      </c>
      <c r="CX483" t="b">
        <f t="shared" si="953"/>
        <v>0</v>
      </c>
      <c r="CY483" t="b">
        <f t="shared" si="954"/>
        <v>0</v>
      </c>
      <c r="CZ483" t="b">
        <f t="shared" si="955"/>
        <v>0</v>
      </c>
      <c r="DA483">
        <f t="shared" si="956"/>
        <v>1</v>
      </c>
      <c r="DB483">
        <f t="shared" si="957"/>
        <v>1</v>
      </c>
      <c r="DC483" t="b">
        <f t="shared" si="958"/>
        <v>0</v>
      </c>
      <c r="DD483" t="b">
        <f t="shared" si="959"/>
        <v>0</v>
      </c>
      <c r="DE483" t="b">
        <f t="shared" si="960"/>
        <v>0</v>
      </c>
      <c r="DF483" t="b">
        <f t="shared" si="961"/>
        <v>0</v>
      </c>
      <c r="DG483" t="b">
        <f t="shared" si="962"/>
        <v>0</v>
      </c>
      <c r="DH483" t="b">
        <f t="shared" si="963"/>
        <v>0</v>
      </c>
      <c r="DI483" t="b">
        <f t="shared" si="964"/>
        <v>0</v>
      </c>
      <c r="DJ483" t="b">
        <f t="shared" si="965"/>
        <v>0</v>
      </c>
      <c r="DK483" t="b">
        <f t="shared" si="966"/>
        <v>0</v>
      </c>
      <c r="DL483" t="b">
        <f t="shared" si="967"/>
        <v>0</v>
      </c>
      <c r="DM483" t="b">
        <f t="shared" si="968"/>
        <v>0</v>
      </c>
      <c r="DN483" t="b">
        <f t="shared" si="969"/>
        <v>0</v>
      </c>
      <c r="DO483" t="b">
        <f t="shared" si="970"/>
        <v>0</v>
      </c>
      <c r="DP483" t="b">
        <f t="shared" si="971"/>
        <v>0</v>
      </c>
      <c r="DQ483" t="b">
        <f t="shared" si="972"/>
        <v>0</v>
      </c>
      <c r="DR483" t="b">
        <f t="shared" si="973"/>
        <v>0</v>
      </c>
      <c r="DS483" t="b">
        <f t="shared" si="974"/>
        <v>0</v>
      </c>
      <c r="DT483" t="b">
        <f t="shared" si="975"/>
        <v>0</v>
      </c>
      <c r="DU483" t="b">
        <f t="shared" si="976"/>
        <v>0</v>
      </c>
      <c r="DV483" t="b">
        <f t="shared" si="977"/>
        <v>0</v>
      </c>
      <c r="DW483" t="b">
        <f t="shared" si="978"/>
        <v>0</v>
      </c>
      <c r="DX483" t="b">
        <f t="shared" si="979"/>
        <v>0</v>
      </c>
      <c r="DY483" t="b">
        <f t="shared" si="980"/>
        <v>0</v>
      </c>
      <c r="DZ483" t="b">
        <f t="shared" si="981"/>
        <v>0</v>
      </c>
      <c r="EA483" t="b">
        <f t="shared" si="982"/>
        <v>0</v>
      </c>
      <c r="EB483" t="b">
        <f t="shared" si="983"/>
        <v>0</v>
      </c>
      <c r="EC483" t="b">
        <f t="shared" si="984"/>
        <v>0</v>
      </c>
      <c r="ED483" t="b">
        <f t="shared" si="985"/>
        <v>0</v>
      </c>
      <c r="EE483" t="b">
        <f t="shared" si="986"/>
        <v>0</v>
      </c>
      <c r="EF483" t="b">
        <f t="shared" si="987"/>
        <v>0</v>
      </c>
      <c r="EG483" t="b">
        <f t="shared" si="988"/>
        <v>0</v>
      </c>
      <c r="EH483" t="b">
        <f t="shared" si="989"/>
        <v>0</v>
      </c>
      <c r="EI483" t="b">
        <f t="shared" si="990"/>
        <v>0</v>
      </c>
      <c r="EJ483" t="b">
        <f t="shared" si="991"/>
        <v>0</v>
      </c>
      <c r="EK483" t="b">
        <f t="shared" si="992"/>
        <v>0</v>
      </c>
    </row>
    <row r="484" spans="1:141">
      <c r="A484" t="s">
        <v>2461</v>
      </c>
      <c r="B484" t="s">
        <v>2462</v>
      </c>
      <c r="C484" t="s">
        <v>2463</v>
      </c>
      <c r="D484" s="1">
        <v>42499</v>
      </c>
      <c r="E484" s="2">
        <v>42500.317893518521</v>
      </c>
      <c r="F484" s="2">
        <v>42500.317893518521</v>
      </c>
      <c r="G484">
        <v>107303</v>
      </c>
      <c r="H484" t="s">
        <v>2464</v>
      </c>
      <c r="I484" s="10" t="s">
        <v>2465</v>
      </c>
      <c r="J484" t="s">
        <v>188</v>
      </c>
      <c r="K484" s="8" t="b">
        <v>1</v>
      </c>
      <c r="L484" s="10" t="b">
        <v>0</v>
      </c>
      <c r="M484" s="12" t="b">
        <v>1</v>
      </c>
      <c r="N484" t="b">
        <v>0</v>
      </c>
      <c r="O484" t="b">
        <v>0</v>
      </c>
      <c r="P484" t="b">
        <v>0</v>
      </c>
      <c r="Q484">
        <f t="shared" si="869"/>
        <v>2</v>
      </c>
      <c r="R484">
        <f t="shared" si="870"/>
        <v>5</v>
      </c>
      <c r="S484" t="e">
        <f t="shared" ca="1" si="900"/>
        <v>#NAME?</v>
      </c>
      <c r="T484" t="e">
        <f t="shared" ca="1" si="871"/>
        <v>#NAME?</v>
      </c>
      <c r="U484" s="4">
        <f t="shared" si="872"/>
        <v>1.3178935185205773</v>
      </c>
      <c r="V484" s="4">
        <f t="shared" si="873"/>
        <v>4.3929783950685912E-2</v>
      </c>
      <c r="W484" s="4">
        <f t="shared" si="874"/>
        <v>1</v>
      </c>
      <c r="X484" s="4">
        <f t="shared" si="875"/>
        <v>0</v>
      </c>
      <c r="Y484" s="4">
        <f t="shared" si="876"/>
        <v>1</v>
      </c>
      <c r="Z484" s="4">
        <f t="shared" si="877"/>
        <v>0</v>
      </c>
      <c r="AA484" s="4">
        <f t="shared" si="878"/>
        <v>0</v>
      </c>
      <c r="AB484" s="4">
        <f t="shared" si="879"/>
        <v>0</v>
      </c>
      <c r="AC484" s="4"/>
      <c r="AD484" s="4" t="b">
        <f t="shared" si="880"/>
        <v>0</v>
      </c>
      <c r="AE484" s="4" t="b">
        <f t="shared" si="881"/>
        <v>0</v>
      </c>
      <c r="AF484" s="4" t="b">
        <f t="shared" si="882"/>
        <v>0</v>
      </c>
      <c r="AG484" t="b">
        <f t="shared" si="883"/>
        <v>0</v>
      </c>
      <c r="AH484" t="b">
        <f t="shared" si="884"/>
        <v>0</v>
      </c>
      <c r="AI484" t="b">
        <f t="shared" si="885"/>
        <v>0</v>
      </c>
      <c r="AJ484" t="b">
        <f t="shared" si="886"/>
        <v>0</v>
      </c>
      <c r="AK484" t="b">
        <f t="shared" si="887"/>
        <v>0</v>
      </c>
      <c r="AL484" t="b">
        <f t="shared" si="888"/>
        <v>0</v>
      </c>
      <c r="AM484" t="b">
        <f t="shared" si="889"/>
        <v>0</v>
      </c>
      <c r="AN484" t="b">
        <f t="shared" si="890"/>
        <v>0</v>
      </c>
      <c r="AO484" t="b">
        <f t="shared" si="891"/>
        <v>0</v>
      </c>
      <c r="AP484" t="b">
        <f t="shared" si="892"/>
        <v>0</v>
      </c>
      <c r="AQ484" t="b">
        <f t="shared" si="893"/>
        <v>0</v>
      </c>
      <c r="AR484" t="b">
        <f t="shared" si="894"/>
        <v>0</v>
      </c>
      <c r="AS484" t="b">
        <f t="shared" si="895"/>
        <v>0</v>
      </c>
      <c r="AT484" t="b">
        <f t="shared" si="896"/>
        <v>0</v>
      </c>
      <c r="AU484" t="b">
        <f t="shared" si="897"/>
        <v>0</v>
      </c>
      <c r="AV484" t="b">
        <f t="shared" si="898"/>
        <v>0</v>
      </c>
      <c r="AW484" t="b">
        <f t="shared" si="899"/>
        <v>0</v>
      </c>
      <c r="AX484" t="b">
        <f t="shared" si="901"/>
        <v>0</v>
      </c>
      <c r="AY484" t="b">
        <f t="shared" si="902"/>
        <v>0</v>
      </c>
      <c r="AZ484" t="b">
        <f t="shared" si="903"/>
        <v>0</v>
      </c>
      <c r="BA484" t="b">
        <f t="shared" si="904"/>
        <v>0</v>
      </c>
      <c r="BB484" t="b">
        <f t="shared" si="905"/>
        <v>0</v>
      </c>
      <c r="BC484" t="b">
        <f t="shared" si="906"/>
        <v>0</v>
      </c>
      <c r="BD484" t="b">
        <f t="shared" si="907"/>
        <v>0</v>
      </c>
      <c r="BE484" t="b">
        <f t="shared" si="908"/>
        <v>0</v>
      </c>
      <c r="BF484" t="b">
        <f t="shared" si="909"/>
        <v>0</v>
      </c>
      <c r="BG484" t="b">
        <f t="shared" si="910"/>
        <v>0</v>
      </c>
      <c r="BH484" t="b">
        <f t="shared" si="911"/>
        <v>0</v>
      </c>
      <c r="BI484">
        <f t="shared" si="912"/>
        <v>1</v>
      </c>
      <c r="BJ484" t="b">
        <f t="shared" si="913"/>
        <v>0</v>
      </c>
      <c r="BK484" t="b">
        <f t="shared" si="914"/>
        <v>0</v>
      </c>
      <c r="BL484" t="b">
        <f t="shared" si="915"/>
        <v>0</v>
      </c>
      <c r="BM484" t="b">
        <f t="shared" si="916"/>
        <v>0</v>
      </c>
      <c r="BN484" t="b">
        <f t="shared" si="917"/>
        <v>0</v>
      </c>
      <c r="BO484" t="b">
        <f t="shared" si="918"/>
        <v>0</v>
      </c>
      <c r="BP484" t="b">
        <f t="shared" si="919"/>
        <v>0</v>
      </c>
      <c r="BQ484" t="b">
        <f t="shared" si="920"/>
        <v>0</v>
      </c>
      <c r="BR484" t="b">
        <f t="shared" si="921"/>
        <v>0</v>
      </c>
      <c r="BS484" t="b">
        <f t="shared" si="922"/>
        <v>0</v>
      </c>
      <c r="BT484" t="b">
        <f t="shared" si="923"/>
        <v>0</v>
      </c>
      <c r="BU484" t="b">
        <f t="shared" si="924"/>
        <v>0</v>
      </c>
      <c r="BV484" t="b">
        <f t="shared" si="925"/>
        <v>0</v>
      </c>
      <c r="BW484" t="b">
        <f t="shared" si="926"/>
        <v>0</v>
      </c>
      <c r="BX484" t="b">
        <f t="shared" si="927"/>
        <v>0</v>
      </c>
      <c r="BY484" t="b">
        <f t="shared" si="928"/>
        <v>0</v>
      </c>
      <c r="BZ484" t="b">
        <f t="shared" si="929"/>
        <v>0</v>
      </c>
      <c r="CA484" t="b">
        <f t="shared" si="930"/>
        <v>0</v>
      </c>
      <c r="CB484" t="b">
        <f t="shared" si="931"/>
        <v>0</v>
      </c>
      <c r="CC484" t="b">
        <f t="shared" si="932"/>
        <v>0</v>
      </c>
      <c r="CD484" t="b">
        <f t="shared" si="933"/>
        <v>0</v>
      </c>
      <c r="CE484">
        <f t="shared" si="934"/>
        <v>1</v>
      </c>
      <c r="CF484" t="b">
        <f t="shared" si="935"/>
        <v>0</v>
      </c>
      <c r="CG484" t="b">
        <f t="shared" si="936"/>
        <v>0</v>
      </c>
      <c r="CH484" t="b">
        <f t="shared" si="937"/>
        <v>0</v>
      </c>
      <c r="CI484" t="b">
        <f t="shared" si="938"/>
        <v>0</v>
      </c>
      <c r="CJ484" t="b">
        <f t="shared" si="939"/>
        <v>0</v>
      </c>
      <c r="CK484" t="b">
        <f t="shared" si="940"/>
        <v>0</v>
      </c>
      <c r="CL484" t="b">
        <f t="shared" si="941"/>
        <v>0</v>
      </c>
      <c r="CM484" t="b">
        <f t="shared" si="942"/>
        <v>0</v>
      </c>
      <c r="CN484" t="b">
        <f t="shared" si="943"/>
        <v>0</v>
      </c>
      <c r="CO484" t="b">
        <f t="shared" si="944"/>
        <v>0</v>
      </c>
      <c r="CP484" t="b">
        <f t="shared" si="945"/>
        <v>0</v>
      </c>
      <c r="CQ484" t="b">
        <f t="shared" si="946"/>
        <v>0</v>
      </c>
      <c r="CR484" t="b">
        <f t="shared" si="947"/>
        <v>0</v>
      </c>
      <c r="CS484" t="b">
        <f t="shared" si="948"/>
        <v>0</v>
      </c>
      <c r="CT484" t="b">
        <f t="shared" si="949"/>
        <v>0</v>
      </c>
      <c r="CU484" t="b">
        <f t="shared" si="950"/>
        <v>0</v>
      </c>
      <c r="CV484">
        <f t="shared" si="951"/>
        <v>1</v>
      </c>
      <c r="CW484" t="b">
        <f t="shared" si="952"/>
        <v>0</v>
      </c>
      <c r="CX484" t="b">
        <f t="shared" si="953"/>
        <v>0</v>
      </c>
      <c r="CY484" t="b">
        <f t="shared" si="954"/>
        <v>0</v>
      </c>
      <c r="CZ484" t="b">
        <f t="shared" si="955"/>
        <v>0</v>
      </c>
      <c r="DA484" t="b">
        <f t="shared" si="956"/>
        <v>0</v>
      </c>
      <c r="DB484" t="b">
        <f t="shared" si="957"/>
        <v>0</v>
      </c>
      <c r="DC484" t="b">
        <f t="shared" si="958"/>
        <v>0</v>
      </c>
      <c r="DD484" t="b">
        <f t="shared" si="959"/>
        <v>0</v>
      </c>
      <c r="DE484" t="b">
        <f t="shared" si="960"/>
        <v>0</v>
      </c>
      <c r="DF484" t="b">
        <f t="shared" si="961"/>
        <v>0</v>
      </c>
      <c r="DG484" t="b">
        <f t="shared" si="962"/>
        <v>0</v>
      </c>
      <c r="DH484" t="b">
        <f t="shared" si="963"/>
        <v>0</v>
      </c>
      <c r="DI484" t="b">
        <f t="shared" si="964"/>
        <v>0</v>
      </c>
      <c r="DJ484" t="b">
        <f t="shared" si="965"/>
        <v>0</v>
      </c>
      <c r="DK484" t="b">
        <f t="shared" si="966"/>
        <v>0</v>
      </c>
      <c r="DL484" t="b">
        <f t="shared" si="967"/>
        <v>0</v>
      </c>
      <c r="DM484" t="b">
        <f t="shared" si="968"/>
        <v>0</v>
      </c>
      <c r="DN484" t="b">
        <f t="shared" si="969"/>
        <v>0</v>
      </c>
      <c r="DO484" t="b">
        <f t="shared" si="970"/>
        <v>0</v>
      </c>
      <c r="DP484" t="b">
        <f t="shared" si="971"/>
        <v>0</v>
      </c>
      <c r="DQ484" t="b">
        <f t="shared" si="972"/>
        <v>0</v>
      </c>
      <c r="DR484" t="b">
        <f t="shared" si="973"/>
        <v>0</v>
      </c>
      <c r="DS484" t="b">
        <f t="shared" si="974"/>
        <v>0</v>
      </c>
      <c r="DT484" t="b">
        <f t="shared" si="975"/>
        <v>0</v>
      </c>
      <c r="DU484" t="b">
        <f t="shared" si="976"/>
        <v>0</v>
      </c>
      <c r="DV484" t="b">
        <f t="shared" si="977"/>
        <v>0</v>
      </c>
      <c r="DW484" t="b">
        <f t="shared" si="978"/>
        <v>0</v>
      </c>
      <c r="DX484" t="b">
        <f t="shared" si="979"/>
        <v>0</v>
      </c>
      <c r="DY484" t="b">
        <f t="shared" si="980"/>
        <v>0</v>
      </c>
      <c r="DZ484" t="b">
        <f t="shared" si="981"/>
        <v>0</v>
      </c>
      <c r="EA484" t="b">
        <f t="shared" si="982"/>
        <v>0</v>
      </c>
      <c r="EB484" t="b">
        <f t="shared" si="983"/>
        <v>0</v>
      </c>
      <c r="EC484" t="b">
        <f t="shared" si="984"/>
        <v>0</v>
      </c>
      <c r="ED484" t="b">
        <f t="shared" si="985"/>
        <v>0</v>
      </c>
      <c r="EE484" t="b">
        <f t="shared" si="986"/>
        <v>0</v>
      </c>
      <c r="EF484">
        <f t="shared" si="987"/>
        <v>1</v>
      </c>
      <c r="EG484" t="b">
        <f t="shared" si="988"/>
        <v>0</v>
      </c>
      <c r="EH484" t="b">
        <f t="shared" si="989"/>
        <v>0</v>
      </c>
      <c r="EI484" t="b">
        <f t="shared" si="990"/>
        <v>0</v>
      </c>
      <c r="EJ484" t="b">
        <f t="shared" si="991"/>
        <v>0</v>
      </c>
      <c r="EK484" t="b">
        <f t="shared" si="992"/>
        <v>0</v>
      </c>
    </row>
    <row r="485" spans="1:141">
      <c r="A485" t="s">
        <v>2466</v>
      </c>
      <c r="B485" t="s">
        <v>2467</v>
      </c>
      <c r="C485" t="s">
        <v>2468</v>
      </c>
      <c r="D485" s="1">
        <v>43466</v>
      </c>
      <c r="E485" s="2">
        <v>44651.884699074071</v>
      </c>
      <c r="F485" s="2">
        <v>44651.884699074071</v>
      </c>
      <c r="G485">
        <v>420873</v>
      </c>
      <c r="H485" t="s">
        <v>2469</v>
      </c>
      <c r="I485" s="10" t="s">
        <v>2470</v>
      </c>
      <c r="J485" t="s">
        <v>2471</v>
      </c>
      <c r="K485" s="8" t="b">
        <v>1</v>
      </c>
      <c r="L485" s="10" t="b">
        <v>0</v>
      </c>
      <c r="M485" s="12" t="b">
        <v>0</v>
      </c>
      <c r="N485" t="b">
        <v>0</v>
      </c>
      <c r="O485" t="b">
        <v>0</v>
      </c>
      <c r="P485" t="b">
        <v>0</v>
      </c>
      <c r="Q485">
        <f t="shared" si="869"/>
        <v>3</v>
      </c>
      <c r="R485">
        <f t="shared" si="870"/>
        <v>1</v>
      </c>
      <c r="S485" t="e">
        <f t="shared" ca="1" si="900"/>
        <v>#NAME?</v>
      </c>
      <c r="T485" t="e">
        <f t="shared" ca="1" si="871"/>
        <v>#NAME?</v>
      </c>
      <c r="U485" s="4">
        <f t="shared" si="872"/>
        <v>1185.8846990740712</v>
      </c>
      <c r="V485" s="4">
        <f t="shared" si="873"/>
        <v>39.52948996913571</v>
      </c>
      <c r="W485" s="4">
        <f t="shared" si="874"/>
        <v>1</v>
      </c>
      <c r="X485" s="4">
        <f t="shared" si="875"/>
        <v>0</v>
      </c>
      <c r="Y485" s="4">
        <f t="shared" si="876"/>
        <v>0</v>
      </c>
      <c r="Z485" s="4">
        <f t="shared" si="877"/>
        <v>0</v>
      </c>
      <c r="AA485" s="4">
        <f t="shared" si="878"/>
        <v>0</v>
      </c>
      <c r="AB485" s="4">
        <f t="shared" si="879"/>
        <v>0</v>
      </c>
      <c r="AC485" s="4"/>
      <c r="AD485" s="4" t="b">
        <f t="shared" si="880"/>
        <v>0</v>
      </c>
      <c r="AE485" s="4" t="b">
        <f t="shared" si="881"/>
        <v>0</v>
      </c>
      <c r="AF485" s="4" t="b">
        <f t="shared" si="882"/>
        <v>0</v>
      </c>
      <c r="AG485" t="b">
        <f t="shared" si="883"/>
        <v>0</v>
      </c>
      <c r="AH485" t="b">
        <f t="shared" si="884"/>
        <v>0</v>
      </c>
      <c r="AI485" t="b">
        <f t="shared" si="885"/>
        <v>0</v>
      </c>
      <c r="AJ485" t="b">
        <f t="shared" si="886"/>
        <v>0</v>
      </c>
      <c r="AK485" t="b">
        <f t="shared" si="887"/>
        <v>0</v>
      </c>
      <c r="AL485" t="b">
        <f t="shared" si="888"/>
        <v>0</v>
      </c>
      <c r="AM485" t="b">
        <f t="shared" si="889"/>
        <v>0</v>
      </c>
      <c r="AN485" t="b">
        <f t="shared" si="890"/>
        <v>0</v>
      </c>
      <c r="AO485" t="b">
        <f t="shared" si="891"/>
        <v>0</v>
      </c>
      <c r="AP485" t="b">
        <f t="shared" si="892"/>
        <v>0</v>
      </c>
      <c r="AQ485" t="b">
        <f t="shared" si="893"/>
        <v>0</v>
      </c>
      <c r="AR485" t="b">
        <f t="shared" si="894"/>
        <v>0</v>
      </c>
      <c r="AS485" t="b">
        <f t="shared" si="895"/>
        <v>0</v>
      </c>
      <c r="AT485" t="b">
        <f t="shared" si="896"/>
        <v>0</v>
      </c>
      <c r="AU485" t="b">
        <f t="shared" si="897"/>
        <v>0</v>
      </c>
      <c r="AV485" t="b">
        <f t="shared" si="898"/>
        <v>0</v>
      </c>
      <c r="AW485" t="b">
        <f t="shared" si="899"/>
        <v>0</v>
      </c>
      <c r="AX485" t="b">
        <f t="shared" si="901"/>
        <v>0</v>
      </c>
      <c r="AY485" t="b">
        <f t="shared" si="902"/>
        <v>0</v>
      </c>
      <c r="AZ485">
        <f t="shared" si="903"/>
        <v>1</v>
      </c>
      <c r="BA485" t="b">
        <f t="shared" si="904"/>
        <v>0</v>
      </c>
      <c r="BB485" t="b">
        <f t="shared" si="905"/>
        <v>0</v>
      </c>
      <c r="BC485" t="b">
        <f t="shared" si="906"/>
        <v>0</v>
      </c>
      <c r="BD485" t="b">
        <f t="shared" si="907"/>
        <v>0</v>
      </c>
      <c r="BE485" t="b">
        <f t="shared" si="908"/>
        <v>0</v>
      </c>
      <c r="BF485" t="b">
        <f t="shared" si="909"/>
        <v>0</v>
      </c>
      <c r="BG485" t="b">
        <f t="shared" si="910"/>
        <v>0</v>
      </c>
      <c r="BH485" t="b">
        <f t="shared" si="911"/>
        <v>0</v>
      </c>
      <c r="BI485">
        <f t="shared" si="912"/>
        <v>1</v>
      </c>
      <c r="BJ485" t="b">
        <f t="shared" si="913"/>
        <v>0</v>
      </c>
      <c r="BK485" t="b">
        <f t="shared" si="914"/>
        <v>0</v>
      </c>
      <c r="BL485" t="b">
        <f t="shared" si="915"/>
        <v>0</v>
      </c>
      <c r="BM485" t="b">
        <f t="shared" si="916"/>
        <v>0</v>
      </c>
      <c r="BN485" t="b">
        <f t="shared" si="917"/>
        <v>0</v>
      </c>
      <c r="BO485" t="b">
        <f t="shared" si="918"/>
        <v>0</v>
      </c>
      <c r="BP485" t="b">
        <f t="shared" si="919"/>
        <v>0</v>
      </c>
      <c r="BQ485" t="b">
        <f t="shared" si="920"/>
        <v>0</v>
      </c>
      <c r="BR485">
        <f t="shared" si="921"/>
        <v>1</v>
      </c>
      <c r="BS485" t="b">
        <f t="shared" si="922"/>
        <v>0</v>
      </c>
      <c r="BT485" t="b">
        <f t="shared" si="923"/>
        <v>0</v>
      </c>
      <c r="BU485" t="b">
        <f t="shared" si="924"/>
        <v>0</v>
      </c>
      <c r="BV485" t="b">
        <f t="shared" si="925"/>
        <v>0</v>
      </c>
      <c r="BW485" t="b">
        <f t="shared" si="926"/>
        <v>0</v>
      </c>
      <c r="BX485" t="b">
        <f t="shared" si="927"/>
        <v>0</v>
      </c>
      <c r="BY485" t="b">
        <f t="shared" si="928"/>
        <v>0</v>
      </c>
      <c r="BZ485" t="b">
        <f t="shared" si="929"/>
        <v>0</v>
      </c>
      <c r="CA485" t="b">
        <f t="shared" si="930"/>
        <v>0</v>
      </c>
      <c r="CB485" t="b">
        <f t="shared" si="931"/>
        <v>0</v>
      </c>
      <c r="CC485" t="b">
        <f t="shared" si="932"/>
        <v>0</v>
      </c>
      <c r="CD485" t="b">
        <f t="shared" si="933"/>
        <v>0</v>
      </c>
      <c r="CE485" t="b">
        <f t="shared" si="934"/>
        <v>0</v>
      </c>
      <c r="CF485" t="b">
        <f t="shared" si="935"/>
        <v>0</v>
      </c>
      <c r="CG485" t="b">
        <f t="shared" si="936"/>
        <v>0</v>
      </c>
      <c r="CH485" t="b">
        <f t="shared" si="937"/>
        <v>0</v>
      </c>
      <c r="CI485" t="b">
        <f t="shared" si="938"/>
        <v>0</v>
      </c>
      <c r="CJ485" t="b">
        <f t="shared" si="939"/>
        <v>0</v>
      </c>
      <c r="CK485" t="b">
        <f t="shared" si="940"/>
        <v>0</v>
      </c>
      <c r="CL485" t="b">
        <f t="shared" si="941"/>
        <v>0</v>
      </c>
      <c r="CM485">
        <f t="shared" si="942"/>
        <v>1</v>
      </c>
      <c r="CN485" t="b">
        <f t="shared" si="943"/>
        <v>0</v>
      </c>
      <c r="CO485" t="b">
        <f t="shared" si="944"/>
        <v>0</v>
      </c>
      <c r="CP485" t="b">
        <f t="shared" si="945"/>
        <v>0</v>
      </c>
      <c r="CQ485" t="b">
        <f t="shared" si="946"/>
        <v>0</v>
      </c>
      <c r="CR485" t="b">
        <f t="shared" si="947"/>
        <v>0</v>
      </c>
      <c r="CS485" t="b">
        <f t="shared" si="948"/>
        <v>0</v>
      </c>
      <c r="CT485" t="b">
        <f t="shared" si="949"/>
        <v>0</v>
      </c>
      <c r="CU485" t="b">
        <f t="shared" si="950"/>
        <v>0</v>
      </c>
      <c r="CV485">
        <f t="shared" si="951"/>
        <v>1</v>
      </c>
      <c r="CW485" t="b">
        <f t="shared" si="952"/>
        <v>0</v>
      </c>
      <c r="CX485" t="b">
        <f t="shared" si="953"/>
        <v>0</v>
      </c>
      <c r="CY485" t="b">
        <f t="shared" si="954"/>
        <v>0</v>
      </c>
      <c r="CZ485" t="b">
        <f t="shared" si="955"/>
        <v>0</v>
      </c>
      <c r="DA485">
        <f t="shared" si="956"/>
        <v>1</v>
      </c>
      <c r="DB485">
        <f t="shared" si="957"/>
        <v>1</v>
      </c>
      <c r="DC485" t="b">
        <f t="shared" si="958"/>
        <v>0</v>
      </c>
      <c r="DD485" t="b">
        <f t="shared" si="959"/>
        <v>0</v>
      </c>
      <c r="DE485" t="b">
        <f t="shared" si="960"/>
        <v>0</v>
      </c>
      <c r="DF485" t="b">
        <f t="shared" si="961"/>
        <v>0</v>
      </c>
      <c r="DG485" t="b">
        <f t="shared" si="962"/>
        <v>0</v>
      </c>
      <c r="DH485" t="b">
        <f t="shared" si="963"/>
        <v>0</v>
      </c>
      <c r="DI485" t="b">
        <f t="shared" si="964"/>
        <v>0</v>
      </c>
      <c r="DJ485" t="b">
        <f t="shared" si="965"/>
        <v>0</v>
      </c>
      <c r="DK485" t="b">
        <f t="shared" si="966"/>
        <v>0</v>
      </c>
      <c r="DL485" t="b">
        <f t="shared" si="967"/>
        <v>0</v>
      </c>
      <c r="DM485" t="b">
        <f t="shared" si="968"/>
        <v>0</v>
      </c>
      <c r="DN485" t="b">
        <f t="shared" si="969"/>
        <v>0</v>
      </c>
      <c r="DO485" t="b">
        <f t="shared" si="970"/>
        <v>0</v>
      </c>
      <c r="DP485" t="b">
        <f t="shared" si="971"/>
        <v>0</v>
      </c>
      <c r="DQ485" t="b">
        <f t="shared" si="972"/>
        <v>0</v>
      </c>
      <c r="DR485" t="b">
        <f t="shared" si="973"/>
        <v>0</v>
      </c>
      <c r="DS485" t="b">
        <f t="shared" si="974"/>
        <v>0</v>
      </c>
      <c r="DT485" t="b">
        <f t="shared" si="975"/>
        <v>0</v>
      </c>
      <c r="DU485" t="b">
        <f t="shared" si="976"/>
        <v>0</v>
      </c>
      <c r="DV485" t="b">
        <f t="shared" si="977"/>
        <v>0</v>
      </c>
      <c r="DW485" t="b">
        <f t="shared" si="978"/>
        <v>0</v>
      </c>
      <c r="DX485" t="b">
        <f t="shared" si="979"/>
        <v>0</v>
      </c>
      <c r="DY485">
        <f t="shared" si="980"/>
        <v>1</v>
      </c>
      <c r="DZ485" t="b">
        <f t="shared" si="981"/>
        <v>0</v>
      </c>
      <c r="EA485" t="b">
        <f t="shared" si="982"/>
        <v>0</v>
      </c>
      <c r="EB485" t="b">
        <f t="shared" si="983"/>
        <v>0</v>
      </c>
      <c r="EC485" t="b">
        <f t="shared" si="984"/>
        <v>0</v>
      </c>
      <c r="ED485" t="b">
        <f t="shared" si="985"/>
        <v>0</v>
      </c>
      <c r="EE485" t="b">
        <f t="shared" si="986"/>
        <v>0</v>
      </c>
      <c r="EF485" t="b">
        <f t="shared" si="987"/>
        <v>0</v>
      </c>
      <c r="EG485">
        <f t="shared" si="988"/>
        <v>1</v>
      </c>
      <c r="EH485" t="b">
        <f t="shared" si="989"/>
        <v>0</v>
      </c>
      <c r="EI485" t="b">
        <f t="shared" si="990"/>
        <v>0</v>
      </c>
      <c r="EJ485" t="b">
        <f t="shared" si="991"/>
        <v>0</v>
      </c>
      <c r="EK485" t="b">
        <f t="shared" si="992"/>
        <v>0</v>
      </c>
    </row>
    <row r="486" spans="1:141">
      <c r="A486" t="s">
        <v>2472</v>
      </c>
      <c r="B486" t="s">
        <v>2473</v>
      </c>
      <c r="C486" t="s">
        <v>2474</v>
      </c>
      <c r="D486" s="1">
        <v>42736</v>
      </c>
      <c r="E486" s="2">
        <v>43356.200092592589</v>
      </c>
      <c r="F486" s="2">
        <v>43356.200092592589</v>
      </c>
      <c r="G486">
        <v>182717</v>
      </c>
      <c r="H486" t="s">
        <v>2475</v>
      </c>
      <c r="I486" s="10" t="s">
        <v>2476</v>
      </c>
      <c r="J486" t="s">
        <v>1797</v>
      </c>
      <c r="K486" s="8" t="b">
        <v>1</v>
      </c>
      <c r="L486" s="10" t="b">
        <v>0</v>
      </c>
      <c r="M486" s="12" t="b">
        <v>0</v>
      </c>
      <c r="N486" t="b">
        <v>0</v>
      </c>
      <c r="O486" t="b">
        <v>0</v>
      </c>
      <c r="P486" t="b">
        <v>0</v>
      </c>
      <c r="Q486">
        <f t="shared" si="869"/>
        <v>1</v>
      </c>
      <c r="R486">
        <f t="shared" si="870"/>
        <v>1</v>
      </c>
      <c r="S486" t="e">
        <f t="shared" ca="1" si="900"/>
        <v>#NAME?</v>
      </c>
      <c r="T486" t="e">
        <f t="shared" ca="1" si="871"/>
        <v>#NAME?</v>
      </c>
      <c r="U486" s="4">
        <f t="shared" si="872"/>
        <v>620.2000925925895</v>
      </c>
      <c r="V486" s="4">
        <f t="shared" si="873"/>
        <v>20.673336419752982</v>
      </c>
      <c r="W486" s="4">
        <f t="shared" si="874"/>
        <v>1</v>
      </c>
      <c r="X486" s="4">
        <f t="shared" si="875"/>
        <v>0</v>
      </c>
      <c r="Y486" s="4">
        <f t="shared" si="876"/>
        <v>0</v>
      </c>
      <c r="Z486" s="4">
        <f t="shared" si="877"/>
        <v>0</v>
      </c>
      <c r="AA486" s="4">
        <f t="shared" si="878"/>
        <v>0</v>
      </c>
      <c r="AB486" s="4">
        <f t="shared" si="879"/>
        <v>0</v>
      </c>
      <c r="AC486" s="4"/>
      <c r="AD486" s="4" t="b">
        <f t="shared" si="880"/>
        <v>0</v>
      </c>
      <c r="AE486" s="4" t="b">
        <f t="shared" si="881"/>
        <v>0</v>
      </c>
      <c r="AF486" s="4" t="b">
        <f t="shared" si="882"/>
        <v>0</v>
      </c>
      <c r="AG486" t="b">
        <f t="shared" si="883"/>
        <v>0</v>
      </c>
      <c r="AH486" t="b">
        <f t="shared" si="884"/>
        <v>0</v>
      </c>
      <c r="AI486" t="b">
        <f t="shared" si="885"/>
        <v>0</v>
      </c>
      <c r="AJ486" t="b">
        <f t="shared" si="886"/>
        <v>0</v>
      </c>
      <c r="AK486" t="b">
        <f t="shared" si="887"/>
        <v>0</v>
      </c>
      <c r="AL486" t="b">
        <f t="shared" si="888"/>
        <v>0</v>
      </c>
      <c r="AM486" t="b">
        <f t="shared" si="889"/>
        <v>0</v>
      </c>
      <c r="AN486" t="b">
        <f t="shared" si="890"/>
        <v>0</v>
      </c>
      <c r="AO486" t="b">
        <f t="shared" si="891"/>
        <v>0</v>
      </c>
      <c r="AP486" t="b">
        <f t="shared" si="892"/>
        <v>0</v>
      </c>
      <c r="AQ486" t="b">
        <f t="shared" si="893"/>
        <v>0</v>
      </c>
      <c r="AR486" t="b">
        <f t="shared" si="894"/>
        <v>0</v>
      </c>
      <c r="AS486" t="b">
        <f t="shared" si="895"/>
        <v>0</v>
      </c>
      <c r="AT486" t="b">
        <f t="shared" si="896"/>
        <v>0</v>
      </c>
      <c r="AU486" t="b">
        <f t="shared" si="897"/>
        <v>0</v>
      </c>
      <c r="AV486" t="b">
        <f t="shared" si="898"/>
        <v>0</v>
      </c>
      <c r="AW486" t="b">
        <f t="shared" si="899"/>
        <v>0</v>
      </c>
      <c r="AX486" t="b">
        <f t="shared" si="901"/>
        <v>0</v>
      </c>
      <c r="AY486" t="b">
        <f t="shared" si="902"/>
        <v>0</v>
      </c>
      <c r="AZ486" t="b">
        <f t="shared" si="903"/>
        <v>0</v>
      </c>
      <c r="BA486" t="b">
        <f t="shared" si="904"/>
        <v>0</v>
      </c>
      <c r="BB486" t="b">
        <f t="shared" si="905"/>
        <v>0</v>
      </c>
      <c r="BC486" t="b">
        <f t="shared" si="906"/>
        <v>0</v>
      </c>
      <c r="BD486" t="b">
        <f t="shared" si="907"/>
        <v>0</v>
      </c>
      <c r="BE486" t="b">
        <f t="shared" si="908"/>
        <v>0</v>
      </c>
      <c r="BF486" t="b">
        <f t="shared" si="909"/>
        <v>0</v>
      </c>
      <c r="BG486" t="b">
        <f t="shared" si="910"/>
        <v>0</v>
      </c>
      <c r="BH486" t="b">
        <f t="shared" si="911"/>
        <v>0</v>
      </c>
      <c r="BI486">
        <f t="shared" si="912"/>
        <v>1</v>
      </c>
      <c r="BJ486" t="b">
        <f t="shared" si="913"/>
        <v>0</v>
      </c>
      <c r="BK486" t="b">
        <f t="shared" si="914"/>
        <v>0</v>
      </c>
      <c r="BL486" t="b">
        <f t="shared" si="915"/>
        <v>0</v>
      </c>
      <c r="BM486" t="b">
        <f t="shared" si="916"/>
        <v>0</v>
      </c>
      <c r="BN486" t="b">
        <f t="shared" si="917"/>
        <v>0</v>
      </c>
      <c r="BO486" t="b">
        <f t="shared" si="918"/>
        <v>0</v>
      </c>
      <c r="BP486" t="b">
        <f t="shared" si="919"/>
        <v>0</v>
      </c>
      <c r="BQ486" t="b">
        <f t="shared" si="920"/>
        <v>0</v>
      </c>
      <c r="BR486" t="b">
        <f t="shared" si="921"/>
        <v>0</v>
      </c>
      <c r="BS486" t="b">
        <f t="shared" si="922"/>
        <v>0</v>
      </c>
      <c r="BT486" t="b">
        <f t="shared" si="923"/>
        <v>0</v>
      </c>
      <c r="BU486" t="b">
        <f t="shared" si="924"/>
        <v>0</v>
      </c>
      <c r="BV486" t="b">
        <f t="shared" si="925"/>
        <v>0</v>
      </c>
      <c r="BW486" t="b">
        <f t="shared" si="926"/>
        <v>0</v>
      </c>
      <c r="BX486" t="b">
        <f t="shared" si="927"/>
        <v>0</v>
      </c>
      <c r="BY486" t="b">
        <f t="shared" si="928"/>
        <v>0</v>
      </c>
      <c r="BZ486" t="b">
        <f t="shared" si="929"/>
        <v>0</v>
      </c>
      <c r="CA486" t="b">
        <f t="shared" si="930"/>
        <v>0</v>
      </c>
      <c r="CB486" t="b">
        <f t="shared" si="931"/>
        <v>0</v>
      </c>
      <c r="CC486" t="b">
        <f t="shared" si="932"/>
        <v>0</v>
      </c>
      <c r="CD486" t="b">
        <f t="shared" si="933"/>
        <v>0</v>
      </c>
      <c r="CE486" t="b">
        <f t="shared" si="934"/>
        <v>0</v>
      </c>
      <c r="CF486" t="b">
        <f t="shared" si="935"/>
        <v>0</v>
      </c>
      <c r="CG486" t="b">
        <f t="shared" si="936"/>
        <v>0</v>
      </c>
      <c r="CH486" t="b">
        <f t="shared" si="937"/>
        <v>0</v>
      </c>
      <c r="CI486" t="b">
        <f t="shared" si="938"/>
        <v>0</v>
      </c>
      <c r="CJ486" t="b">
        <f t="shared" si="939"/>
        <v>0</v>
      </c>
      <c r="CK486" t="b">
        <f t="shared" si="940"/>
        <v>0</v>
      </c>
      <c r="CL486" t="b">
        <f t="shared" si="941"/>
        <v>0</v>
      </c>
      <c r="CM486">
        <f t="shared" si="942"/>
        <v>1</v>
      </c>
      <c r="CN486" t="b">
        <f t="shared" si="943"/>
        <v>0</v>
      </c>
      <c r="CO486" t="b">
        <f t="shared" si="944"/>
        <v>0</v>
      </c>
      <c r="CP486" t="b">
        <f t="shared" si="945"/>
        <v>0</v>
      </c>
      <c r="CQ486" t="b">
        <f t="shared" si="946"/>
        <v>0</v>
      </c>
      <c r="CR486" t="b">
        <f t="shared" si="947"/>
        <v>0</v>
      </c>
      <c r="CS486" t="b">
        <f t="shared" si="948"/>
        <v>0</v>
      </c>
      <c r="CT486" t="b">
        <f t="shared" si="949"/>
        <v>0</v>
      </c>
      <c r="CU486" t="b">
        <f t="shared" si="950"/>
        <v>0</v>
      </c>
      <c r="CV486">
        <f t="shared" si="951"/>
        <v>1</v>
      </c>
      <c r="CW486" t="b">
        <f t="shared" si="952"/>
        <v>0</v>
      </c>
      <c r="CX486" t="b">
        <f t="shared" si="953"/>
        <v>0</v>
      </c>
      <c r="CY486" t="b">
        <f t="shared" si="954"/>
        <v>0</v>
      </c>
      <c r="CZ486" t="b">
        <f t="shared" si="955"/>
        <v>0</v>
      </c>
      <c r="DA486">
        <f t="shared" si="956"/>
        <v>1</v>
      </c>
      <c r="DB486" t="b">
        <f t="shared" si="957"/>
        <v>0</v>
      </c>
      <c r="DC486" t="b">
        <f t="shared" si="958"/>
        <v>0</v>
      </c>
      <c r="DD486" t="b">
        <f t="shared" si="959"/>
        <v>0</v>
      </c>
      <c r="DE486" t="b">
        <f t="shared" si="960"/>
        <v>0</v>
      </c>
      <c r="DF486" t="b">
        <f t="shared" si="961"/>
        <v>0</v>
      </c>
      <c r="DG486" t="b">
        <f t="shared" si="962"/>
        <v>0</v>
      </c>
      <c r="DH486" t="b">
        <f t="shared" si="963"/>
        <v>0</v>
      </c>
      <c r="DI486" t="b">
        <f t="shared" si="964"/>
        <v>0</v>
      </c>
      <c r="DJ486" t="b">
        <f t="shared" si="965"/>
        <v>0</v>
      </c>
      <c r="DK486" t="b">
        <f t="shared" si="966"/>
        <v>0</v>
      </c>
      <c r="DL486" t="b">
        <f t="shared" si="967"/>
        <v>0</v>
      </c>
      <c r="DM486" t="b">
        <f t="shared" si="968"/>
        <v>0</v>
      </c>
      <c r="DN486" t="b">
        <f t="shared" si="969"/>
        <v>0</v>
      </c>
      <c r="DO486" t="b">
        <f t="shared" si="970"/>
        <v>0</v>
      </c>
      <c r="DP486" t="b">
        <f t="shared" si="971"/>
        <v>0</v>
      </c>
      <c r="DQ486" t="b">
        <f t="shared" si="972"/>
        <v>0</v>
      </c>
      <c r="DR486" t="b">
        <f t="shared" si="973"/>
        <v>0</v>
      </c>
      <c r="DS486" t="b">
        <f t="shared" si="974"/>
        <v>0</v>
      </c>
      <c r="DT486" t="b">
        <f t="shared" si="975"/>
        <v>0</v>
      </c>
      <c r="DU486" t="b">
        <f t="shared" si="976"/>
        <v>0</v>
      </c>
      <c r="DV486" t="b">
        <f t="shared" si="977"/>
        <v>0</v>
      </c>
      <c r="DW486" t="b">
        <f t="shared" si="978"/>
        <v>0</v>
      </c>
      <c r="DX486" t="b">
        <f t="shared" si="979"/>
        <v>0</v>
      </c>
      <c r="DY486" t="b">
        <f t="shared" si="980"/>
        <v>0</v>
      </c>
      <c r="DZ486" t="b">
        <f t="shared" si="981"/>
        <v>0</v>
      </c>
      <c r="EA486" t="b">
        <f t="shared" si="982"/>
        <v>0</v>
      </c>
      <c r="EB486" t="b">
        <f t="shared" si="983"/>
        <v>0</v>
      </c>
      <c r="EC486" t="b">
        <f t="shared" si="984"/>
        <v>0</v>
      </c>
      <c r="ED486" t="b">
        <f t="shared" si="985"/>
        <v>0</v>
      </c>
      <c r="EE486" t="b">
        <f t="shared" si="986"/>
        <v>0</v>
      </c>
      <c r="EF486" t="b">
        <f t="shared" si="987"/>
        <v>0</v>
      </c>
      <c r="EG486" t="b">
        <f t="shared" si="988"/>
        <v>0</v>
      </c>
      <c r="EH486" t="b">
        <f t="shared" si="989"/>
        <v>0</v>
      </c>
      <c r="EI486" t="b">
        <f t="shared" si="990"/>
        <v>0</v>
      </c>
      <c r="EJ486" t="b">
        <f t="shared" si="991"/>
        <v>0</v>
      </c>
      <c r="EK486" t="b">
        <f t="shared" si="992"/>
        <v>0</v>
      </c>
    </row>
    <row r="487" spans="1:141">
      <c r="A487" t="s">
        <v>2477</v>
      </c>
      <c r="B487" t="s">
        <v>2477</v>
      </c>
      <c r="D487" s="1">
        <v>43361</v>
      </c>
      <c r="E487" s="2">
        <v>43368.457696759258</v>
      </c>
      <c r="F487" s="2">
        <v>43368.457696759258</v>
      </c>
      <c r="G487">
        <v>2457420</v>
      </c>
      <c r="H487" t="s">
        <v>2478</v>
      </c>
      <c r="I487" s="10" t="s">
        <v>414</v>
      </c>
      <c r="J487" t="s">
        <v>2479</v>
      </c>
      <c r="K487" s="8" t="b">
        <v>1</v>
      </c>
      <c r="L487" s="10" t="b">
        <v>0</v>
      </c>
      <c r="M487" s="12" t="b">
        <v>0</v>
      </c>
      <c r="N487" t="b">
        <v>0</v>
      </c>
      <c r="O487" t="b">
        <v>1</v>
      </c>
      <c r="P487" t="b">
        <v>0</v>
      </c>
      <c r="Q487">
        <f t="shared" si="869"/>
        <v>3</v>
      </c>
      <c r="R487">
        <f t="shared" si="870"/>
        <v>9</v>
      </c>
      <c r="S487" t="e">
        <f t="shared" ca="1" si="900"/>
        <v>#NAME?</v>
      </c>
      <c r="T487" t="e">
        <f t="shared" ca="1" si="871"/>
        <v>#NAME?</v>
      </c>
      <c r="U487" s="4">
        <f t="shared" si="872"/>
        <v>7.4576967592583969</v>
      </c>
      <c r="V487" s="4">
        <f t="shared" si="873"/>
        <v>0.24858989197527989</v>
      </c>
      <c r="W487" s="4">
        <f t="shared" si="874"/>
        <v>1</v>
      </c>
      <c r="X487" s="4">
        <f t="shared" si="875"/>
        <v>0</v>
      </c>
      <c r="Y487" s="4">
        <f t="shared" si="876"/>
        <v>0</v>
      </c>
      <c r="Z487" s="4">
        <f t="shared" si="877"/>
        <v>0</v>
      </c>
      <c r="AA487" s="4">
        <f t="shared" si="878"/>
        <v>1</v>
      </c>
      <c r="AB487" s="4">
        <f t="shared" si="879"/>
        <v>0</v>
      </c>
      <c r="AC487" s="4"/>
      <c r="AD487" s="4" t="b">
        <f t="shared" si="880"/>
        <v>0</v>
      </c>
      <c r="AE487" s="4" t="b">
        <f t="shared" si="881"/>
        <v>0</v>
      </c>
      <c r="AF487" s="4" t="b">
        <f t="shared" si="882"/>
        <v>0</v>
      </c>
      <c r="AG487" t="b">
        <f t="shared" si="883"/>
        <v>0</v>
      </c>
      <c r="AH487" t="b">
        <f t="shared" si="884"/>
        <v>0</v>
      </c>
      <c r="AI487" t="b">
        <f t="shared" si="885"/>
        <v>0</v>
      </c>
      <c r="AJ487" t="b">
        <f t="shared" si="886"/>
        <v>0</v>
      </c>
      <c r="AK487" t="b">
        <f t="shared" si="887"/>
        <v>0</v>
      </c>
      <c r="AL487" t="b">
        <f t="shared" si="888"/>
        <v>0</v>
      </c>
      <c r="AM487" t="b">
        <f t="shared" si="889"/>
        <v>0</v>
      </c>
      <c r="AN487" t="b">
        <f t="shared" si="890"/>
        <v>0</v>
      </c>
      <c r="AO487" t="b">
        <f t="shared" si="891"/>
        <v>0</v>
      </c>
      <c r="AP487" t="b">
        <f t="shared" si="892"/>
        <v>0</v>
      </c>
      <c r="AQ487" t="b">
        <f t="shared" si="893"/>
        <v>0</v>
      </c>
      <c r="AR487" t="b">
        <f t="shared" si="894"/>
        <v>0</v>
      </c>
      <c r="AS487" t="b">
        <f t="shared" si="895"/>
        <v>0</v>
      </c>
      <c r="AT487" t="b">
        <f t="shared" si="896"/>
        <v>0</v>
      </c>
      <c r="AU487" t="b">
        <f t="shared" si="897"/>
        <v>0</v>
      </c>
      <c r="AV487" t="b">
        <f t="shared" si="898"/>
        <v>0</v>
      </c>
      <c r="AW487" t="b">
        <f t="shared" si="899"/>
        <v>0</v>
      </c>
      <c r="AX487" t="b">
        <f t="shared" si="901"/>
        <v>0</v>
      </c>
      <c r="AY487" t="b">
        <f t="shared" si="902"/>
        <v>0</v>
      </c>
      <c r="AZ487" t="b">
        <f t="shared" si="903"/>
        <v>0</v>
      </c>
      <c r="BA487" t="b">
        <f t="shared" si="904"/>
        <v>0</v>
      </c>
      <c r="BB487" t="b">
        <f t="shared" si="905"/>
        <v>0</v>
      </c>
      <c r="BC487" t="b">
        <f t="shared" si="906"/>
        <v>0</v>
      </c>
      <c r="BD487" t="b">
        <f t="shared" si="907"/>
        <v>0</v>
      </c>
      <c r="BE487" t="b">
        <f t="shared" si="908"/>
        <v>0</v>
      </c>
      <c r="BF487" t="b">
        <f t="shared" si="909"/>
        <v>0</v>
      </c>
      <c r="BG487" t="b">
        <f t="shared" si="910"/>
        <v>0</v>
      </c>
      <c r="BH487" t="b">
        <f t="shared" si="911"/>
        <v>0</v>
      </c>
      <c r="BI487">
        <f t="shared" si="912"/>
        <v>1</v>
      </c>
      <c r="BJ487" t="b">
        <f t="shared" si="913"/>
        <v>0</v>
      </c>
      <c r="BK487" t="b">
        <f t="shared" si="914"/>
        <v>0</v>
      </c>
      <c r="BL487" t="b">
        <f t="shared" si="915"/>
        <v>0</v>
      </c>
      <c r="BM487" t="b">
        <f t="shared" si="916"/>
        <v>0</v>
      </c>
      <c r="BN487" t="b">
        <f t="shared" si="917"/>
        <v>0</v>
      </c>
      <c r="BO487" t="b">
        <f t="shared" si="918"/>
        <v>0</v>
      </c>
      <c r="BP487" t="b">
        <f t="shared" si="919"/>
        <v>0</v>
      </c>
      <c r="BQ487" t="b">
        <f t="shared" si="920"/>
        <v>0</v>
      </c>
      <c r="BR487">
        <f t="shared" si="921"/>
        <v>1</v>
      </c>
      <c r="BS487" t="b">
        <f t="shared" si="922"/>
        <v>0</v>
      </c>
      <c r="BT487" t="b">
        <f t="shared" si="923"/>
        <v>0</v>
      </c>
      <c r="BU487" t="b">
        <f t="shared" si="924"/>
        <v>0</v>
      </c>
      <c r="BV487" t="b">
        <f t="shared" si="925"/>
        <v>0</v>
      </c>
      <c r="BW487" t="b">
        <f t="shared" si="926"/>
        <v>0</v>
      </c>
      <c r="BX487" t="b">
        <f t="shared" si="927"/>
        <v>0</v>
      </c>
      <c r="BY487" t="b">
        <f t="shared" si="928"/>
        <v>0</v>
      </c>
      <c r="BZ487" t="b">
        <f t="shared" si="929"/>
        <v>0</v>
      </c>
      <c r="CA487" t="b">
        <f t="shared" si="930"/>
        <v>0</v>
      </c>
      <c r="CB487" t="b">
        <f t="shared" si="931"/>
        <v>0</v>
      </c>
      <c r="CC487" t="b">
        <f t="shared" si="932"/>
        <v>0</v>
      </c>
      <c r="CD487" t="b">
        <f t="shared" si="933"/>
        <v>0</v>
      </c>
      <c r="CE487" t="b">
        <f t="shared" si="934"/>
        <v>0</v>
      </c>
      <c r="CF487" t="b">
        <f t="shared" si="935"/>
        <v>0</v>
      </c>
      <c r="CG487" t="b">
        <f t="shared" si="936"/>
        <v>0</v>
      </c>
      <c r="CH487" t="b">
        <f t="shared" si="937"/>
        <v>0</v>
      </c>
      <c r="CI487" t="b">
        <f t="shared" si="938"/>
        <v>0</v>
      </c>
      <c r="CJ487" t="b">
        <f t="shared" si="939"/>
        <v>0</v>
      </c>
      <c r="CK487" t="b">
        <f t="shared" si="940"/>
        <v>0</v>
      </c>
      <c r="CL487" t="b">
        <f t="shared" si="941"/>
        <v>0</v>
      </c>
      <c r="CM487">
        <f t="shared" si="942"/>
        <v>1</v>
      </c>
      <c r="CN487" t="b">
        <f t="shared" si="943"/>
        <v>0</v>
      </c>
      <c r="CO487" t="b">
        <f t="shared" si="944"/>
        <v>0</v>
      </c>
      <c r="CP487" t="b">
        <f t="shared" si="945"/>
        <v>0</v>
      </c>
      <c r="CQ487" t="b">
        <f t="shared" si="946"/>
        <v>0</v>
      </c>
      <c r="CR487" t="b">
        <f t="shared" si="947"/>
        <v>0</v>
      </c>
      <c r="CS487" t="b">
        <f t="shared" si="948"/>
        <v>0</v>
      </c>
      <c r="CT487" t="b">
        <f t="shared" si="949"/>
        <v>0</v>
      </c>
      <c r="CU487" t="b">
        <f t="shared" si="950"/>
        <v>0</v>
      </c>
      <c r="CV487" t="b">
        <f t="shared" si="951"/>
        <v>0</v>
      </c>
      <c r="CW487" t="b">
        <f t="shared" si="952"/>
        <v>0</v>
      </c>
      <c r="CX487" t="b">
        <f t="shared" si="953"/>
        <v>0</v>
      </c>
      <c r="CY487" t="b">
        <f t="shared" si="954"/>
        <v>0</v>
      </c>
      <c r="CZ487" t="b">
        <f t="shared" si="955"/>
        <v>0</v>
      </c>
      <c r="DA487" t="b">
        <f t="shared" si="956"/>
        <v>0</v>
      </c>
      <c r="DB487">
        <f t="shared" si="957"/>
        <v>1</v>
      </c>
      <c r="DC487" t="b">
        <f t="shared" si="958"/>
        <v>0</v>
      </c>
      <c r="DD487" t="b">
        <f t="shared" si="959"/>
        <v>0</v>
      </c>
      <c r="DE487" t="b">
        <f t="shared" si="960"/>
        <v>0</v>
      </c>
      <c r="DF487" t="b">
        <f t="shared" si="961"/>
        <v>0</v>
      </c>
      <c r="DG487" t="b">
        <f t="shared" si="962"/>
        <v>0</v>
      </c>
      <c r="DH487" t="b">
        <f t="shared" si="963"/>
        <v>0</v>
      </c>
      <c r="DI487" t="b">
        <f t="shared" si="964"/>
        <v>0</v>
      </c>
      <c r="DJ487" t="b">
        <f t="shared" si="965"/>
        <v>0</v>
      </c>
      <c r="DK487" t="b">
        <f t="shared" si="966"/>
        <v>0</v>
      </c>
      <c r="DL487" t="b">
        <f t="shared" si="967"/>
        <v>0</v>
      </c>
      <c r="DM487" t="b">
        <f t="shared" si="968"/>
        <v>0</v>
      </c>
      <c r="DN487" t="b">
        <f t="shared" si="969"/>
        <v>0</v>
      </c>
      <c r="DO487" t="b">
        <f t="shared" si="970"/>
        <v>0</v>
      </c>
      <c r="DP487" t="b">
        <f t="shared" si="971"/>
        <v>0</v>
      </c>
      <c r="DQ487" t="b">
        <f t="shared" si="972"/>
        <v>0</v>
      </c>
      <c r="DR487" t="b">
        <f t="shared" si="973"/>
        <v>0</v>
      </c>
      <c r="DS487" t="b">
        <f t="shared" si="974"/>
        <v>0</v>
      </c>
      <c r="DT487" t="b">
        <f t="shared" si="975"/>
        <v>0</v>
      </c>
      <c r="DU487" t="b">
        <f t="shared" si="976"/>
        <v>0</v>
      </c>
      <c r="DV487" t="b">
        <f t="shared" si="977"/>
        <v>0</v>
      </c>
      <c r="DW487" t="b">
        <f t="shared" si="978"/>
        <v>0</v>
      </c>
      <c r="DX487" t="b">
        <f t="shared" si="979"/>
        <v>0</v>
      </c>
      <c r="DY487" t="b">
        <f t="shared" si="980"/>
        <v>0</v>
      </c>
      <c r="DZ487" t="b">
        <f t="shared" si="981"/>
        <v>0</v>
      </c>
      <c r="EA487" t="b">
        <f t="shared" si="982"/>
        <v>0</v>
      </c>
      <c r="EB487" t="b">
        <f t="shared" si="983"/>
        <v>0</v>
      </c>
      <c r="EC487" t="b">
        <f t="shared" si="984"/>
        <v>0</v>
      </c>
      <c r="ED487" t="b">
        <f t="shared" si="985"/>
        <v>0</v>
      </c>
      <c r="EE487" t="b">
        <f t="shared" si="986"/>
        <v>0</v>
      </c>
      <c r="EF487" t="b">
        <f t="shared" si="987"/>
        <v>0</v>
      </c>
      <c r="EG487" t="b">
        <f t="shared" si="988"/>
        <v>0</v>
      </c>
      <c r="EH487" t="b">
        <f t="shared" si="989"/>
        <v>0</v>
      </c>
      <c r="EI487" t="b">
        <f t="shared" si="990"/>
        <v>0</v>
      </c>
      <c r="EJ487" t="b">
        <f t="shared" si="991"/>
        <v>0</v>
      </c>
      <c r="EK487" t="b">
        <f t="shared" si="992"/>
        <v>0</v>
      </c>
    </row>
    <row r="488" spans="1:141">
      <c r="A488" t="s">
        <v>2480</v>
      </c>
      <c r="B488" t="s">
        <v>2481</v>
      </c>
      <c r="C488" t="s">
        <v>2482</v>
      </c>
      <c r="D488" s="1">
        <v>42108</v>
      </c>
      <c r="E488" s="2">
        <v>42698.253171296295</v>
      </c>
      <c r="F488" s="2">
        <v>42698.253171296295</v>
      </c>
      <c r="G488">
        <v>32939105</v>
      </c>
      <c r="H488" t="s">
        <v>2483</v>
      </c>
      <c r="I488" s="10" t="s">
        <v>414</v>
      </c>
      <c r="J488" t="s">
        <v>2484</v>
      </c>
      <c r="K488" s="8" t="b">
        <v>1</v>
      </c>
      <c r="L488" s="10" t="b">
        <v>0</v>
      </c>
      <c r="M488" s="12" t="b">
        <v>0</v>
      </c>
      <c r="N488" t="b">
        <v>0</v>
      </c>
      <c r="O488" t="b">
        <v>1</v>
      </c>
      <c r="P488" t="b">
        <v>0</v>
      </c>
      <c r="Q488">
        <f t="shared" si="869"/>
        <v>3</v>
      </c>
      <c r="R488">
        <f t="shared" si="870"/>
        <v>4</v>
      </c>
      <c r="S488" t="e">
        <f t="shared" ca="1" si="900"/>
        <v>#NAME?</v>
      </c>
      <c r="T488" t="e">
        <f t="shared" ca="1" si="871"/>
        <v>#NAME?</v>
      </c>
      <c r="U488" s="4">
        <f t="shared" si="872"/>
        <v>590.25317129629548</v>
      </c>
      <c r="V488" s="4">
        <f t="shared" si="873"/>
        <v>19.675105709876515</v>
      </c>
      <c r="W488" s="4">
        <f t="shared" si="874"/>
        <v>1</v>
      </c>
      <c r="X488" s="4">
        <f t="shared" si="875"/>
        <v>0</v>
      </c>
      <c r="Y488" s="4">
        <f t="shared" si="876"/>
        <v>0</v>
      </c>
      <c r="Z488" s="4">
        <f t="shared" si="877"/>
        <v>0</v>
      </c>
      <c r="AA488" s="4">
        <f t="shared" si="878"/>
        <v>1</v>
      </c>
      <c r="AB488" s="4">
        <f t="shared" si="879"/>
        <v>0</v>
      </c>
      <c r="AC488" s="4"/>
      <c r="AD488" s="4" t="b">
        <f t="shared" si="880"/>
        <v>0</v>
      </c>
      <c r="AE488" s="4" t="b">
        <f t="shared" si="881"/>
        <v>0</v>
      </c>
      <c r="AF488" s="4" t="b">
        <f t="shared" si="882"/>
        <v>0</v>
      </c>
      <c r="AG488" t="b">
        <f t="shared" si="883"/>
        <v>0</v>
      </c>
      <c r="AH488" t="b">
        <f t="shared" si="884"/>
        <v>0</v>
      </c>
      <c r="AI488" t="b">
        <f t="shared" si="885"/>
        <v>0</v>
      </c>
      <c r="AJ488" t="b">
        <f t="shared" si="886"/>
        <v>0</v>
      </c>
      <c r="AK488" t="b">
        <f t="shared" si="887"/>
        <v>0</v>
      </c>
      <c r="AL488" t="b">
        <f t="shared" si="888"/>
        <v>0</v>
      </c>
      <c r="AM488" t="b">
        <f t="shared" si="889"/>
        <v>0</v>
      </c>
      <c r="AN488" t="b">
        <f t="shared" si="890"/>
        <v>0</v>
      </c>
      <c r="AO488" t="b">
        <f t="shared" si="891"/>
        <v>0</v>
      </c>
      <c r="AP488" t="b">
        <f t="shared" si="892"/>
        <v>0</v>
      </c>
      <c r="AQ488" t="b">
        <f t="shared" si="893"/>
        <v>0</v>
      </c>
      <c r="AR488" t="b">
        <f t="shared" si="894"/>
        <v>0</v>
      </c>
      <c r="AS488" t="b">
        <f t="shared" si="895"/>
        <v>0</v>
      </c>
      <c r="AT488" t="b">
        <f t="shared" si="896"/>
        <v>0</v>
      </c>
      <c r="AU488" t="b">
        <f t="shared" si="897"/>
        <v>0</v>
      </c>
      <c r="AV488" t="b">
        <f t="shared" si="898"/>
        <v>0</v>
      </c>
      <c r="AW488" t="b">
        <f t="shared" si="899"/>
        <v>0</v>
      </c>
      <c r="AX488" t="b">
        <f t="shared" si="901"/>
        <v>0</v>
      </c>
      <c r="AY488" t="b">
        <f t="shared" si="902"/>
        <v>0</v>
      </c>
      <c r="AZ488">
        <f t="shared" si="903"/>
        <v>1</v>
      </c>
      <c r="BA488" t="b">
        <f t="shared" si="904"/>
        <v>0</v>
      </c>
      <c r="BB488" t="b">
        <f t="shared" si="905"/>
        <v>0</v>
      </c>
      <c r="BC488" t="b">
        <f t="shared" si="906"/>
        <v>0</v>
      </c>
      <c r="BD488" t="b">
        <f t="shared" si="907"/>
        <v>0</v>
      </c>
      <c r="BE488" t="b">
        <f t="shared" si="908"/>
        <v>0</v>
      </c>
      <c r="BF488" t="b">
        <f t="shared" si="909"/>
        <v>0</v>
      </c>
      <c r="BG488" t="b">
        <f t="shared" si="910"/>
        <v>0</v>
      </c>
      <c r="BH488" t="b">
        <f t="shared" si="911"/>
        <v>0</v>
      </c>
      <c r="BI488">
        <f t="shared" si="912"/>
        <v>1</v>
      </c>
      <c r="BJ488" t="b">
        <f t="shared" si="913"/>
        <v>0</v>
      </c>
      <c r="BK488" t="b">
        <f t="shared" si="914"/>
        <v>0</v>
      </c>
      <c r="BL488" t="b">
        <f t="shared" si="915"/>
        <v>0</v>
      </c>
      <c r="BM488" t="b">
        <f t="shared" si="916"/>
        <v>0</v>
      </c>
      <c r="BN488" t="b">
        <f t="shared" si="917"/>
        <v>0</v>
      </c>
      <c r="BO488" t="b">
        <f t="shared" si="918"/>
        <v>0</v>
      </c>
      <c r="BP488" t="b">
        <f t="shared" si="919"/>
        <v>0</v>
      </c>
      <c r="BQ488" t="b">
        <f t="shared" si="920"/>
        <v>0</v>
      </c>
      <c r="BR488">
        <f t="shared" si="921"/>
        <v>1</v>
      </c>
      <c r="BS488" t="b">
        <f t="shared" si="922"/>
        <v>0</v>
      </c>
      <c r="BT488" t="b">
        <f t="shared" si="923"/>
        <v>0</v>
      </c>
      <c r="BU488" t="b">
        <f t="shared" si="924"/>
        <v>0</v>
      </c>
      <c r="BV488" t="b">
        <f t="shared" si="925"/>
        <v>0</v>
      </c>
      <c r="BW488" t="b">
        <f t="shared" si="926"/>
        <v>0</v>
      </c>
      <c r="BX488" t="b">
        <f t="shared" si="927"/>
        <v>0</v>
      </c>
      <c r="BY488" t="b">
        <f t="shared" si="928"/>
        <v>0</v>
      </c>
      <c r="BZ488" t="b">
        <f t="shared" si="929"/>
        <v>0</v>
      </c>
      <c r="CA488" t="b">
        <f t="shared" si="930"/>
        <v>0</v>
      </c>
      <c r="CB488" t="b">
        <f t="shared" si="931"/>
        <v>0</v>
      </c>
      <c r="CC488" t="b">
        <f t="shared" si="932"/>
        <v>0</v>
      </c>
      <c r="CD488" t="b">
        <f t="shared" si="933"/>
        <v>0</v>
      </c>
      <c r="CE488">
        <f t="shared" si="934"/>
        <v>1</v>
      </c>
      <c r="CF488" t="b">
        <f t="shared" si="935"/>
        <v>0</v>
      </c>
      <c r="CG488" t="b">
        <f t="shared" si="936"/>
        <v>0</v>
      </c>
      <c r="CH488" t="b">
        <f t="shared" si="937"/>
        <v>0</v>
      </c>
      <c r="CI488" t="b">
        <f t="shared" si="938"/>
        <v>0</v>
      </c>
      <c r="CJ488" t="b">
        <f t="shared" si="939"/>
        <v>0</v>
      </c>
      <c r="CK488" t="b">
        <f t="shared" si="940"/>
        <v>0</v>
      </c>
      <c r="CL488" t="b">
        <f t="shared" si="941"/>
        <v>0</v>
      </c>
      <c r="CM488">
        <f t="shared" si="942"/>
        <v>1</v>
      </c>
      <c r="CN488" t="b">
        <f t="shared" si="943"/>
        <v>0</v>
      </c>
      <c r="CO488" t="b">
        <f t="shared" si="944"/>
        <v>0</v>
      </c>
      <c r="CP488" t="b">
        <f t="shared" si="945"/>
        <v>0</v>
      </c>
      <c r="CQ488" t="b">
        <f t="shared" si="946"/>
        <v>0</v>
      </c>
      <c r="CR488" t="b">
        <f t="shared" si="947"/>
        <v>0</v>
      </c>
      <c r="CS488" t="b">
        <f t="shared" si="948"/>
        <v>0</v>
      </c>
      <c r="CT488" t="b">
        <f t="shared" si="949"/>
        <v>0</v>
      </c>
      <c r="CU488" t="b">
        <f t="shared" si="950"/>
        <v>0</v>
      </c>
      <c r="CV488" t="b">
        <f t="shared" si="951"/>
        <v>0</v>
      </c>
      <c r="CW488" t="b">
        <f t="shared" si="952"/>
        <v>0</v>
      </c>
      <c r="CX488" t="b">
        <f t="shared" si="953"/>
        <v>0</v>
      </c>
      <c r="CY488" t="b">
        <f t="shared" si="954"/>
        <v>0</v>
      </c>
      <c r="CZ488" t="b">
        <f t="shared" si="955"/>
        <v>0</v>
      </c>
      <c r="DA488" t="b">
        <f t="shared" si="956"/>
        <v>0</v>
      </c>
      <c r="DB488">
        <f t="shared" si="957"/>
        <v>1</v>
      </c>
      <c r="DC488" t="b">
        <f t="shared" si="958"/>
        <v>0</v>
      </c>
      <c r="DD488" t="b">
        <f t="shared" si="959"/>
        <v>0</v>
      </c>
      <c r="DE488" t="b">
        <f t="shared" si="960"/>
        <v>0</v>
      </c>
      <c r="DF488" t="b">
        <f t="shared" si="961"/>
        <v>0</v>
      </c>
      <c r="DG488" t="b">
        <f t="shared" si="962"/>
        <v>0</v>
      </c>
      <c r="DH488" t="b">
        <f t="shared" si="963"/>
        <v>0</v>
      </c>
      <c r="DI488" t="b">
        <f t="shared" si="964"/>
        <v>0</v>
      </c>
      <c r="DJ488" t="b">
        <f t="shared" si="965"/>
        <v>0</v>
      </c>
      <c r="DK488" t="b">
        <f t="shared" si="966"/>
        <v>0</v>
      </c>
      <c r="DL488" t="b">
        <f t="shared" si="967"/>
        <v>0</v>
      </c>
      <c r="DM488" t="b">
        <f t="shared" si="968"/>
        <v>0</v>
      </c>
      <c r="DN488" t="b">
        <f t="shared" si="969"/>
        <v>0</v>
      </c>
      <c r="DO488" t="b">
        <f t="shared" si="970"/>
        <v>0</v>
      </c>
      <c r="DP488" t="b">
        <f t="shared" si="971"/>
        <v>0</v>
      </c>
      <c r="DQ488" t="b">
        <f t="shared" si="972"/>
        <v>0</v>
      </c>
      <c r="DR488" t="b">
        <f t="shared" si="973"/>
        <v>0</v>
      </c>
      <c r="DS488" t="b">
        <f t="shared" si="974"/>
        <v>0</v>
      </c>
      <c r="DT488" t="b">
        <f t="shared" si="975"/>
        <v>0</v>
      </c>
      <c r="DU488" t="b">
        <f t="shared" si="976"/>
        <v>0</v>
      </c>
      <c r="DV488" t="b">
        <f t="shared" si="977"/>
        <v>0</v>
      </c>
      <c r="DW488" t="b">
        <f t="shared" si="978"/>
        <v>0</v>
      </c>
      <c r="DX488" t="b">
        <f t="shared" si="979"/>
        <v>0</v>
      </c>
      <c r="DY488" t="b">
        <f t="shared" si="980"/>
        <v>0</v>
      </c>
      <c r="DZ488" t="b">
        <f t="shared" si="981"/>
        <v>0</v>
      </c>
      <c r="EA488" t="b">
        <f t="shared" si="982"/>
        <v>0</v>
      </c>
      <c r="EB488" t="b">
        <f t="shared" si="983"/>
        <v>0</v>
      </c>
      <c r="EC488" t="b">
        <f t="shared" si="984"/>
        <v>0</v>
      </c>
      <c r="ED488" t="b">
        <f t="shared" si="985"/>
        <v>0</v>
      </c>
      <c r="EE488" t="b">
        <f t="shared" si="986"/>
        <v>0</v>
      </c>
      <c r="EF488" t="b">
        <f t="shared" si="987"/>
        <v>0</v>
      </c>
      <c r="EG488" t="b">
        <f t="shared" si="988"/>
        <v>0</v>
      </c>
      <c r="EH488" t="b">
        <f t="shared" si="989"/>
        <v>0</v>
      </c>
      <c r="EI488" t="b">
        <f t="shared" si="990"/>
        <v>0</v>
      </c>
      <c r="EJ488" t="b">
        <f t="shared" si="991"/>
        <v>0</v>
      </c>
      <c r="EK488" t="b">
        <f t="shared" si="992"/>
        <v>0</v>
      </c>
    </row>
    <row r="489" spans="1:141">
      <c r="A489" t="s">
        <v>2485</v>
      </c>
      <c r="B489" t="s">
        <v>2485</v>
      </c>
      <c r="C489" t="s">
        <v>2486</v>
      </c>
      <c r="D489" s="1">
        <v>44004</v>
      </c>
      <c r="E489" s="2">
        <v>44042.0078125</v>
      </c>
      <c r="F489" s="2">
        <v>44042.0078125</v>
      </c>
      <c r="G489">
        <v>5814988</v>
      </c>
      <c r="H489" t="s">
        <v>2487</v>
      </c>
      <c r="I489" s="10" t="s">
        <v>2488</v>
      </c>
      <c r="J489" t="s">
        <v>2489</v>
      </c>
      <c r="K489" s="8" t="b">
        <v>1</v>
      </c>
      <c r="L489" s="10" t="b">
        <v>0</v>
      </c>
      <c r="M489" s="12" t="b">
        <v>0</v>
      </c>
      <c r="N489" t="b">
        <v>0</v>
      </c>
      <c r="O489" t="b">
        <v>0</v>
      </c>
      <c r="P489" t="b">
        <v>0</v>
      </c>
      <c r="Q489">
        <f t="shared" si="869"/>
        <v>2</v>
      </c>
      <c r="R489">
        <f t="shared" si="870"/>
        <v>6</v>
      </c>
      <c r="S489" t="e">
        <f t="shared" ca="1" si="900"/>
        <v>#NAME?</v>
      </c>
      <c r="T489" t="e">
        <f t="shared" ca="1" si="871"/>
        <v>#NAME?</v>
      </c>
      <c r="U489" s="4">
        <f t="shared" si="872"/>
        <v>38.0078125</v>
      </c>
      <c r="V489" s="4">
        <f t="shared" si="873"/>
        <v>1.2669270833333333</v>
      </c>
      <c r="W489" s="4">
        <f t="shared" si="874"/>
        <v>1</v>
      </c>
      <c r="X489" s="4">
        <f t="shared" si="875"/>
        <v>0</v>
      </c>
      <c r="Y489" s="4">
        <f t="shared" si="876"/>
        <v>0</v>
      </c>
      <c r="Z489" s="4">
        <f t="shared" si="877"/>
        <v>0</v>
      </c>
      <c r="AA489" s="4">
        <f t="shared" si="878"/>
        <v>0</v>
      </c>
      <c r="AB489" s="4">
        <f t="shared" si="879"/>
        <v>0</v>
      </c>
      <c r="AC489" s="4"/>
      <c r="AD489" s="4" t="b">
        <f t="shared" si="880"/>
        <v>0</v>
      </c>
      <c r="AE489" s="4" t="b">
        <f t="shared" si="881"/>
        <v>0</v>
      </c>
      <c r="AF489" s="4" t="b">
        <f t="shared" si="882"/>
        <v>0</v>
      </c>
      <c r="AG489" t="b">
        <f t="shared" si="883"/>
        <v>0</v>
      </c>
      <c r="AH489" t="b">
        <f t="shared" si="884"/>
        <v>0</v>
      </c>
      <c r="AI489" t="b">
        <f t="shared" si="885"/>
        <v>0</v>
      </c>
      <c r="AJ489" t="b">
        <f t="shared" si="886"/>
        <v>0</v>
      </c>
      <c r="AK489" t="b">
        <f t="shared" si="887"/>
        <v>0</v>
      </c>
      <c r="AL489" t="b">
        <f t="shared" si="888"/>
        <v>0</v>
      </c>
      <c r="AM489" t="b">
        <f t="shared" si="889"/>
        <v>0</v>
      </c>
      <c r="AN489" t="b">
        <f t="shared" si="890"/>
        <v>0</v>
      </c>
      <c r="AO489" t="b">
        <f t="shared" si="891"/>
        <v>0</v>
      </c>
      <c r="AP489" t="b">
        <f t="shared" si="892"/>
        <v>0</v>
      </c>
      <c r="AQ489" t="b">
        <f t="shared" si="893"/>
        <v>0</v>
      </c>
      <c r="AR489" t="b">
        <f t="shared" si="894"/>
        <v>0</v>
      </c>
      <c r="AS489" t="b">
        <f t="shared" si="895"/>
        <v>0</v>
      </c>
      <c r="AT489" t="b">
        <f t="shared" si="896"/>
        <v>0</v>
      </c>
      <c r="AU489" t="b">
        <f t="shared" si="897"/>
        <v>0</v>
      </c>
      <c r="AV489" t="b">
        <f t="shared" si="898"/>
        <v>0</v>
      </c>
      <c r="AW489" t="b">
        <f t="shared" si="899"/>
        <v>0</v>
      </c>
      <c r="AX489" t="b">
        <f t="shared" si="901"/>
        <v>0</v>
      </c>
      <c r="AY489" t="b">
        <f t="shared" si="902"/>
        <v>0</v>
      </c>
      <c r="AZ489">
        <f t="shared" si="903"/>
        <v>1</v>
      </c>
      <c r="BA489" t="b">
        <f t="shared" si="904"/>
        <v>0</v>
      </c>
      <c r="BB489" t="b">
        <f t="shared" si="905"/>
        <v>0</v>
      </c>
      <c r="BC489" t="b">
        <f t="shared" si="906"/>
        <v>0</v>
      </c>
      <c r="BD489" t="b">
        <f t="shared" si="907"/>
        <v>0</v>
      </c>
      <c r="BE489" t="b">
        <f t="shared" si="908"/>
        <v>0</v>
      </c>
      <c r="BF489" t="b">
        <f t="shared" si="909"/>
        <v>0</v>
      </c>
      <c r="BG489" t="b">
        <f t="shared" si="910"/>
        <v>0</v>
      </c>
      <c r="BH489" t="b">
        <f t="shared" si="911"/>
        <v>0</v>
      </c>
      <c r="BI489">
        <f t="shared" si="912"/>
        <v>1</v>
      </c>
      <c r="BJ489" t="b">
        <f t="shared" si="913"/>
        <v>0</v>
      </c>
      <c r="BK489" t="b">
        <f t="shared" si="914"/>
        <v>0</v>
      </c>
      <c r="BL489" t="b">
        <f t="shared" si="915"/>
        <v>0</v>
      </c>
      <c r="BM489" t="b">
        <f t="shared" si="916"/>
        <v>0</v>
      </c>
      <c r="BN489" t="b">
        <f t="shared" si="917"/>
        <v>0</v>
      </c>
      <c r="BO489" t="b">
        <f t="shared" si="918"/>
        <v>0</v>
      </c>
      <c r="BP489" t="b">
        <f t="shared" si="919"/>
        <v>0</v>
      </c>
      <c r="BQ489" t="b">
        <f t="shared" si="920"/>
        <v>0</v>
      </c>
      <c r="BR489">
        <f t="shared" si="921"/>
        <v>1</v>
      </c>
      <c r="BS489" t="b">
        <f t="shared" si="922"/>
        <v>0</v>
      </c>
      <c r="BT489" t="b">
        <f t="shared" si="923"/>
        <v>0</v>
      </c>
      <c r="BU489" t="b">
        <f t="shared" si="924"/>
        <v>0</v>
      </c>
      <c r="BV489" t="b">
        <f t="shared" si="925"/>
        <v>0</v>
      </c>
      <c r="BW489" t="b">
        <f t="shared" si="926"/>
        <v>0</v>
      </c>
      <c r="BX489" t="b">
        <f t="shared" si="927"/>
        <v>0</v>
      </c>
      <c r="BY489" t="b">
        <f t="shared" si="928"/>
        <v>0</v>
      </c>
      <c r="BZ489" t="b">
        <f t="shared" si="929"/>
        <v>0</v>
      </c>
      <c r="CA489" t="b">
        <f t="shared" si="930"/>
        <v>0</v>
      </c>
      <c r="CB489" t="b">
        <f t="shared" si="931"/>
        <v>0</v>
      </c>
      <c r="CC489" t="b">
        <f t="shared" si="932"/>
        <v>0</v>
      </c>
      <c r="CD489" t="b">
        <f t="shared" si="933"/>
        <v>0</v>
      </c>
      <c r="CE489" t="b">
        <f t="shared" si="934"/>
        <v>0</v>
      </c>
      <c r="CF489" t="b">
        <f t="shared" si="935"/>
        <v>0</v>
      </c>
      <c r="CG489" t="b">
        <f t="shared" si="936"/>
        <v>0</v>
      </c>
      <c r="CH489" t="b">
        <f t="shared" si="937"/>
        <v>0</v>
      </c>
      <c r="CI489" t="b">
        <f t="shared" si="938"/>
        <v>0</v>
      </c>
      <c r="CJ489" t="b">
        <f t="shared" si="939"/>
        <v>0</v>
      </c>
      <c r="CK489" t="b">
        <f t="shared" si="940"/>
        <v>0</v>
      </c>
      <c r="CL489" t="b">
        <f t="shared" si="941"/>
        <v>0</v>
      </c>
      <c r="CM489">
        <f t="shared" si="942"/>
        <v>1</v>
      </c>
      <c r="CN489" t="b">
        <f t="shared" si="943"/>
        <v>0</v>
      </c>
      <c r="CO489" t="b">
        <f t="shared" si="944"/>
        <v>0</v>
      </c>
      <c r="CP489" t="b">
        <f t="shared" si="945"/>
        <v>0</v>
      </c>
      <c r="CQ489" t="b">
        <f t="shared" si="946"/>
        <v>0</v>
      </c>
      <c r="CR489" t="b">
        <f t="shared" si="947"/>
        <v>0</v>
      </c>
      <c r="CS489" t="b">
        <f t="shared" si="948"/>
        <v>0</v>
      </c>
      <c r="CT489" t="b">
        <f t="shared" si="949"/>
        <v>0</v>
      </c>
      <c r="CU489" t="b">
        <f t="shared" si="950"/>
        <v>0</v>
      </c>
      <c r="CV489">
        <f t="shared" si="951"/>
        <v>1</v>
      </c>
      <c r="CW489" t="b">
        <f t="shared" si="952"/>
        <v>0</v>
      </c>
      <c r="CX489" t="b">
        <f t="shared" si="953"/>
        <v>0</v>
      </c>
      <c r="CY489" t="b">
        <f t="shared" si="954"/>
        <v>0</v>
      </c>
      <c r="CZ489" t="b">
        <f t="shared" si="955"/>
        <v>0</v>
      </c>
      <c r="DA489" t="b">
        <f t="shared" si="956"/>
        <v>0</v>
      </c>
      <c r="DB489" t="b">
        <f t="shared" si="957"/>
        <v>0</v>
      </c>
      <c r="DC489" t="b">
        <f t="shared" si="958"/>
        <v>0</v>
      </c>
      <c r="DD489" t="b">
        <f t="shared" si="959"/>
        <v>0</v>
      </c>
      <c r="DE489" t="b">
        <f t="shared" si="960"/>
        <v>0</v>
      </c>
      <c r="DF489" t="b">
        <f t="shared" si="961"/>
        <v>0</v>
      </c>
      <c r="DG489" t="b">
        <f t="shared" si="962"/>
        <v>0</v>
      </c>
      <c r="DH489" t="b">
        <f t="shared" si="963"/>
        <v>0</v>
      </c>
      <c r="DI489" t="b">
        <f t="shared" si="964"/>
        <v>0</v>
      </c>
      <c r="DJ489" t="b">
        <f t="shared" si="965"/>
        <v>0</v>
      </c>
      <c r="DK489" t="b">
        <f t="shared" si="966"/>
        <v>0</v>
      </c>
      <c r="DL489" t="b">
        <f t="shared" si="967"/>
        <v>0</v>
      </c>
      <c r="DM489" t="b">
        <f t="shared" si="968"/>
        <v>0</v>
      </c>
      <c r="DN489" t="b">
        <f t="shared" si="969"/>
        <v>0</v>
      </c>
      <c r="DO489" t="b">
        <f t="shared" si="970"/>
        <v>0</v>
      </c>
      <c r="DP489" t="b">
        <f t="shared" si="971"/>
        <v>0</v>
      </c>
      <c r="DQ489" t="b">
        <f t="shared" si="972"/>
        <v>0</v>
      </c>
      <c r="DR489" t="b">
        <f t="shared" si="973"/>
        <v>0</v>
      </c>
      <c r="DS489" t="b">
        <f t="shared" si="974"/>
        <v>0</v>
      </c>
      <c r="DT489" t="b">
        <f t="shared" si="975"/>
        <v>0</v>
      </c>
      <c r="DU489" t="b">
        <f t="shared" si="976"/>
        <v>0</v>
      </c>
      <c r="DV489" t="b">
        <f t="shared" si="977"/>
        <v>0</v>
      </c>
      <c r="DW489" t="b">
        <f t="shared" si="978"/>
        <v>0</v>
      </c>
      <c r="DX489" t="b">
        <f t="shared" si="979"/>
        <v>0</v>
      </c>
      <c r="DY489" t="b">
        <f t="shared" si="980"/>
        <v>0</v>
      </c>
      <c r="DZ489" t="b">
        <f t="shared" si="981"/>
        <v>0</v>
      </c>
      <c r="EA489" t="b">
        <f t="shared" si="982"/>
        <v>0</v>
      </c>
      <c r="EB489" t="b">
        <f t="shared" si="983"/>
        <v>0</v>
      </c>
      <c r="EC489" t="b">
        <f t="shared" si="984"/>
        <v>0</v>
      </c>
      <c r="ED489" t="b">
        <f t="shared" si="985"/>
        <v>0</v>
      </c>
      <c r="EE489" t="b">
        <f t="shared" si="986"/>
        <v>0</v>
      </c>
      <c r="EF489" t="b">
        <f t="shared" si="987"/>
        <v>0</v>
      </c>
      <c r="EG489" t="b">
        <f t="shared" si="988"/>
        <v>0</v>
      </c>
      <c r="EH489" t="b">
        <f t="shared" si="989"/>
        <v>0</v>
      </c>
      <c r="EI489" t="b">
        <f t="shared" si="990"/>
        <v>0</v>
      </c>
      <c r="EJ489" t="b">
        <f t="shared" si="991"/>
        <v>0</v>
      </c>
      <c r="EK489" t="b">
        <f t="shared" si="992"/>
        <v>0</v>
      </c>
    </row>
    <row r="490" spans="1:141">
      <c r="A490" t="s">
        <v>2490</v>
      </c>
      <c r="B490" t="s">
        <v>2490</v>
      </c>
      <c r="C490" t="s">
        <v>2491</v>
      </c>
      <c r="D490" s="1">
        <v>42197</v>
      </c>
      <c r="E490" s="2">
        <v>42438.117685185185</v>
      </c>
      <c r="F490" s="2">
        <v>42438.117685185185</v>
      </c>
      <c r="G490">
        <v>281924</v>
      </c>
      <c r="H490" t="s">
        <v>2492</v>
      </c>
      <c r="I490" s="10" t="s">
        <v>2493</v>
      </c>
      <c r="J490" t="s">
        <v>156</v>
      </c>
      <c r="K490" s="8" t="b">
        <v>1</v>
      </c>
      <c r="L490" s="10" t="b">
        <v>0</v>
      </c>
      <c r="M490" s="12" t="b">
        <v>0</v>
      </c>
      <c r="N490" t="b">
        <v>0</v>
      </c>
      <c r="O490" t="b">
        <v>0</v>
      </c>
      <c r="P490" t="b">
        <v>0</v>
      </c>
      <c r="Q490">
        <f t="shared" si="869"/>
        <v>1</v>
      </c>
      <c r="R490">
        <f t="shared" si="870"/>
        <v>7</v>
      </c>
      <c r="S490" t="e">
        <f t="shared" ca="1" si="900"/>
        <v>#NAME?</v>
      </c>
      <c r="T490" t="e">
        <f t="shared" ca="1" si="871"/>
        <v>#NAME?</v>
      </c>
      <c r="U490" s="4">
        <f t="shared" si="872"/>
        <v>241.11768518518511</v>
      </c>
      <c r="V490" s="4">
        <f t="shared" si="873"/>
        <v>8.0372561728395038</v>
      </c>
      <c r="W490" s="4">
        <f t="shared" si="874"/>
        <v>1</v>
      </c>
      <c r="X490" s="4">
        <f t="shared" si="875"/>
        <v>0</v>
      </c>
      <c r="Y490" s="4">
        <f t="shared" si="876"/>
        <v>0</v>
      </c>
      <c r="Z490" s="4">
        <f t="shared" si="877"/>
        <v>0</v>
      </c>
      <c r="AA490" s="4">
        <f t="shared" si="878"/>
        <v>0</v>
      </c>
      <c r="AB490" s="4">
        <f t="shared" si="879"/>
        <v>0</v>
      </c>
      <c r="AC490" s="4"/>
      <c r="AD490" s="4" t="b">
        <f t="shared" si="880"/>
        <v>0</v>
      </c>
      <c r="AE490" s="4" t="b">
        <f t="shared" si="881"/>
        <v>0</v>
      </c>
      <c r="AF490" s="4" t="b">
        <f t="shared" si="882"/>
        <v>0</v>
      </c>
      <c r="AG490" t="b">
        <f t="shared" si="883"/>
        <v>0</v>
      </c>
      <c r="AH490" t="b">
        <f t="shared" si="884"/>
        <v>0</v>
      </c>
      <c r="AI490" t="b">
        <f t="shared" si="885"/>
        <v>0</v>
      </c>
      <c r="AJ490" t="b">
        <f t="shared" si="886"/>
        <v>0</v>
      </c>
      <c r="AK490" t="b">
        <f t="shared" si="887"/>
        <v>0</v>
      </c>
      <c r="AL490" t="b">
        <f t="shared" si="888"/>
        <v>0</v>
      </c>
      <c r="AM490" t="b">
        <f t="shared" si="889"/>
        <v>0</v>
      </c>
      <c r="AN490" t="b">
        <f t="shared" si="890"/>
        <v>0</v>
      </c>
      <c r="AO490" t="b">
        <f t="shared" si="891"/>
        <v>0</v>
      </c>
      <c r="AP490" t="b">
        <f t="shared" si="892"/>
        <v>0</v>
      </c>
      <c r="AQ490" t="b">
        <f t="shared" si="893"/>
        <v>0</v>
      </c>
      <c r="AR490" t="b">
        <f t="shared" si="894"/>
        <v>0</v>
      </c>
      <c r="AS490" t="b">
        <f t="shared" si="895"/>
        <v>0</v>
      </c>
      <c r="AT490" t="b">
        <f t="shared" si="896"/>
        <v>0</v>
      </c>
      <c r="AU490" t="b">
        <f t="shared" si="897"/>
        <v>0</v>
      </c>
      <c r="AV490" t="b">
        <f t="shared" si="898"/>
        <v>0</v>
      </c>
      <c r="AW490" t="b">
        <f t="shared" si="899"/>
        <v>0</v>
      </c>
      <c r="AX490" t="b">
        <f t="shared" si="901"/>
        <v>0</v>
      </c>
      <c r="AY490" t="b">
        <f t="shared" si="902"/>
        <v>0</v>
      </c>
      <c r="AZ490" t="b">
        <f t="shared" si="903"/>
        <v>0</v>
      </c>
      <c r="BA490" t="b">
        <f t="shared" si="904"/>
        <v>0</v>
      </c>
      <c r="BB490" t="b">
        <f t="shared" si="905"/>
        <v>0</v>
      </c>
      <c r="BC490" t="b">
        <f t="shared" si="906"/>
        <v>0</v>
      </c>
      <c r="BD490" t="b">
        <f t="shared" si="907"/>
        <v>0</v>
      </c>
      <c r="BE490" t="b">
        <f t="shared" si="908"/>
        <v>0</v>
      </c>
      <c r="BF490" t="b">
        <f t="shared" si="909"/>
        <v>0</v>
      </c>
      <c r="BG490" t="b">
        <f t="shared" si="910"/>
        <v>0</v>
      </c>
      <c r="BH490" t="b">
        <f t="shared" si="911"/>
        <v>0</v>
      </c>
      <c r="BI490">
        <f t="shared" si="912"/>
        <v>1</v>
      </c>
      <c r="BJ490" t="b">
        <f t="shared" si="913"/>
        <v>0</v>
      </c>
      <c r="BK490" t="b">
        <f t="shared" si="914"/>
        <v>0</v>
      </c>
      <c r="BL490" t="b">
        <f t="shared" si="915"/>
        <v>0</v>
      </c>
      <c r="BM490" t="b">
        <f t="shared" si="916"/>
        <v>0</v>
      </c>
      <c r="BN490" t="b">
        <f t="shared" si="917"/>
        <v>0</v>
      </c>
      <c r="BO490" t="b">
        <f t="shared" si="918"/>
        <v>0</v>
      </c>
      <c r="BP490" t="b">
        <f t="shared" si="919"/>
        <v>0</v>
      </c>
      <c r="BQ490" t="b">
        <f t="shared" si="920"/>
        <v>0</v>
      </c>
      <c r="BR490" t="b">
        <f t="shared" si="921"/>
        <v>0</v>
      </c>
      <c r="BS490" t="b">
        <f t="shared" si="922"/>
        <v>0</v>
      </c>
      <c r="BT490" t="b">
        <f t="shared" si="923"/>
        <v>0</v>
      </c>
      <c r="BU490" t="b">
        <f t="shared" si="924"/>
        <v>0</v>
      </c>
      <c r="BV490" t="b">
        <f t="shared" si="925"/>
        <v>0</v>
      </c>
      <c r="BW490" t="b">
        <f t="shared" si="926"/>
        <v>0</v>
      </c>
      <c r="BX490" t="b">
        <f t="shared" si="927"/>
        <v>0</v>
      </c>
      <c r="BY490" t="b">
        <f t="shared" si="928"/>
        <v>0</v>
      </c>
      <c r="BZ490" t="b">
        <f t="shared" si="929"/>
        <v>0</v>
      </c>
      <c r="CA490" t="b">
        <f t="shared" si="930"/>
        <v>0</v>
      </c>
      <c r="CB490" t="b">
        <f t="shared" si="931"/>
        <v>0</v>
      </c>
      <c r="CC490" t="b">
        <f t="shared" si="932"/>
        <v>0</v>
      </c>
      <c r="CD490" t="b">
        <f t="shared" si="933"/>
        <v>0</v>
      </c>
      <c r="CE490" t="b">
        <f t="shared" si="934"/>
        <v>0</v>
      </c>
      <c r="CF490" t="b">
        <f t="shared" si="935"/>
        <v>0</v>
      </c>
      <c r="CG490" t="b">
        <f t="shared" si="936"/>
        <v>0</v>
      </c>
      <c r="CH490" t="b">
        <f t="shared" si="937"/>
        <v>0</v>
      </c>
      <c r="CI490" t="b">
        <f t="shared" si="938"/>
        <v>0</v>
      </c>
      <c r="CJ490" t="b">
        <f t="shared" si="939"/>
        <v>0</v>
      </c>
      <c r="CK490" t="b">
        <f t="shared" si="940"/>
        <v>0</v>
      </c>
      <c r="CL490" t="b">
        <f t="shared" si="941"/>
        <v>0</v>
      </c>
      <c r="CM490" t="b">
        <f t="shared" si="942"/>
        <v>0</v>
      </c>
      <c r="CN490" t="b">
        <f t="shared" si="943"/>
        <v>0</v>
      </c>
      <c r="CO490" t="b">
        <f t="shared" si="944"/>
        <v>0</v>
      </c>
      <c r="CP490" t="b">
        <f t="shared" si="945"/>
        <v>0</v>
      </c>
      <c r="CQ490" t="b">
        <f t="shared" si="946"/>
        <v>0</v>
      </c>
      <c r="CR490" t="b">
        <f t="shared" si="947"/>
        <v>0</v>
      </c>
      <c r="CS490" t="b">
        <f t="shared" si="948"/>
        <v>0</v>
      </c>
      <c r="CT490" t="b">
        <f t="shared" si="949"/>
        <v>0</v>
      </c>
      <c r="CU490" t="b">
        <f t="shared" si="950"/>
        <v>0</v>
      </c>
      <c r="CV490">
        <f t="shared" si="951"/>
        <v>1</v>
      </c>
      <c r="CW490" t="b">
        <f t="shared" si="952"/>
        <v>0</v>
      </c>
      <c r="CX490" t="b">
        <f t="shared" si="953"/>
        <v>0</v>
      </c>
      <c r="CY490" t="b">
        <f t="shared" si="954"/>
        <v>0</v>
      </c>
      <c r="CZ490" t="b">
        <f t="shared" si="955"/>
        <v>0</v>
      </c>
      <c r="DA490" t="b">
        <f t="shared" si="956"/>
        <v>0</v>
      </c>
      <c r="DB490" t="b">
        <f t="shared" si="957"/>
        <v>0</v>
      </c>
      <c r="DC490" t="b">
        <f t="shared" si="958"/>
        <v>0</v>
      </c>
      <c r="DD490" t="b">
        <f t="shared" si="959"/>
        <v>0</v>
      </c>
      <c r="DE490" t="b">
        <f t="shared" si="960"/>
        <v>0</v>
      </c>
      <c r="DF490" t="b">
        <f t="shared" si="961"/>
        <v>0</v>
      </c>
      <c r="DG490" t="b">
        <f t="shared" si="962"/>
        <v>0</v>
      </c>
      <c r="DH490" t="b">
        <f t="shared" si="963"/>
        <v>0</v>
      </c>
      <c r="DI490" t="b">
        <f t="shared" si="964"/>
        <v>0</v>
      </c>
      <c r="DJ490" t="b">
        <f t="shared" si="965"/>
        <v>0</v>
      </c>
      <c r="DK490" t="b">
        <f t="shared" si="966"/>
        <v>0</v>
      </c>
      <c r="DL490" t="b">
        <f t="shared" si="967"/>
        <v>0</v>
      </c>
      <c r="DM490" t="b">
        <f t="shared" si="968"/>
        <v>0</v>
      </c>
      <c r="DN490" t="b">
        <f t="shared" si="969"/>
        <v>0</v>
      </c>
      <c r="DO490" t="b">
        <f t="shared" si="970"/>
        <v>0</v>
      </c>
      <c r="DP490" t="b">
        <f t="shared" si="971"/>
        <v>0</v>
      </c>
      <c r="DQ490" t="b">
        <f t="shared" si="972"/>
        <v>0</v>
      </c>
      <c r="DR490" t="b">
        <f t="shared" si="973"/>
        <v>0</v>
      </c>
      <c r="DS490" t="b">
        <f t="shared" si="974"/>
        <v>0</v>
      </c>
      <c r="DT490" t="b">
        <f t="shared" si="975"/>
        <v>0</v>
      </c>
      <c r="DU490" t="b">
        <f t="shared" si="976"/>
        <v>0</v>
      </c>
      <c r="DV490" t="b">
        <f t="shared" si="977"/>
        <v>0</v>
      </c>
      <c r="DW490" t="b">
        <f t="shared" si="978"/>
        <v>0</v>
      </c>
      <c r="DX490" t="b">
        <f t="shared" si="979"/>
        <v>0</v>
      </c>
      <c r="DY490" t="b">
        <f t="shared" si="980"/>
        <v>0</v>
      </c>
      <c r="DZ490" t="b">
        <f t="shared" si="981"/>
        <v>0</v>
      </c>
      <c r="EA490" t="b">
        <f t="shared" si="982"/>
        <v>0</v>
      </c>
      <c r="EB490" t="b">
        <f t="shared" si="983"/>
        <v>0</v>
      </c>
      <c r="EC490" t="b">
        <f t="shared" si="984"/>
        <v>0</v>
      </c>
      <c r="ED490" t="b">
        <f t="shared" si="985"/>
        <v>0</v>
      </c>
      <c r="EE490" t="b">
        <f t="shared" si="986"/>
        <v>0</v>
      </c>
      <c r="EF490">
        <f t="shared" si="987"/>
        <v>1</v>
      </c>
      <c r="EG490" t="b">
        <f t="shared" si="988"/>
        <v>0</v>
      </c>
      <c r="EH490" t="b">
        <f t="shared" si="989"/>
        <v>0</v>
      </c>
      <c r="EI490" t="b">
        <f t="shared" si="990"/>
        <v>0</v>
      </c>
      <c r="EJ490" t="b">
        <f t="shared" si="991"/>
        <v>0</v>
      </c>
      <c r="EK490" t="b">
        <f t="shared" si="992"/>
        <v>0</v>
      </c>
    </row>
    <row r="491" spans="1:141">
      <c r="A491" t="s">
        <v>2494</v>
      </c>
      <c r="B491" t="s">
        <v>2494</v>
      </c>
      <c r="C491" t="s">
        <v>2495</v>
      </c>
      <c r="D491" s="1">
        <v>42744</v>
      </c>
      <c r="E491" s="2">
        <v>43744.63486111111</v>
      </c>
      <c r="F491" s="2">
        <v>43744.63486111111</v>
      </c>
      <c r="G491">
        <v>780073</v>
      </c>
      <c r="H491" t="s">
        <v>2496</v>
      </c>
      <c r="I491" s="10" t="s">
        <v>2497</v>
      </c>
      <c r="J491" t="s">
        <v>2498</v>
      </c>
      <c r="K491" s="8" t="b">
        <v>1</v>
      </c>
      <c r="L491" s="10" t="b">
        <v>0</v>
      </c>
      <c r="M491" s="12" t="b">
        <v>0</v>
      </c>
      <c r="N491" t="b">
        <v>0</v>
      </c>
      <c r="O491" t="b">
        <v>0</v>
      </c>
      <c r="P491" t="b">
        <v>0</v>
      </c>
      <c r="Q491">
        <f t="shared" si="869"/>
        <v>2</v>
      </c>
      <c r="R491">
        <f t="shared" si="870"/>
        <v>1</v>
      </c>
      <c r="S491" t="e">
        <f t="shared" ca="1" si="900"/>
        <v>#NAME?</v>
      </c>
      <c r="T491" t="e">
        <f t="shared" ca="1" si="871"/>
        <v>#NAME?</v>
      </c>
      <c r="U491" s="4">
        <f t="shared" si="872"/>
        <v>1000.6348611111098</v>
      </c>
      <c r="V491" s="4">
        <f t="shared" si="873"/>
        <v>33.354495370370323</v>
      </c>
      <c r="W491" s="4">
        <f t="shared" si="874"/>
        <v>1</v>
      </c>
      <c r="X491" s="4">
        <f t="shared" si="875"/>
        <v>0</v>
      </c>
      <c r="Y491" s="4">
        <f t="shared" si="876"/>
        <v>0</v>
      </c>
      <c r="Z491" s="4">
        <f t="shared" si="877"/>
        <v>0</v>
      </c>
      <c r="AA491" s="4">
        <f t="shared" si="878"/>
        <v>0</v>
      </c>
      <c r="AB491" s="4">
        <f t="shared" si="879"/>
        <v>0</v>
      </c>
      <c r="AC491" s="4"/>
      <c r="AD491" s="4" t="b">
        <f t="shared" si="880"/>
        <v>0</v>
      </c>
      <c r="AE491" s="4" t="b">
        <f t="shared" si="881"/>
        <v>0</v>
      </c>
      <c r="AF491" s="4" t="b">
        <f t="shared" si="882"/>
        <v>0</v>
      </c>
      <c r="AG491" t="b">
        <f t="shared" si="883"/>
        <v>0</v>
      </c>
      <c r="AH491" t="b">
        <f t="shared" si="884"/>
        <v>0</v>
      </c>
      <c r="AI491" t="b">
        <f t="shared" si="885"/>
        <v>0</v>
      </c>
      <c r="AJ491" t="b">
        <f t="shared" si="886"/>
        <v>0</v>
      </c>
      <c r="AK491" t="b">
        <f t="shared" si="887"/>
        <v>0</v>
      </c>
      <c r="AL491" t="b">
        <f t="shared" si="888"/>
        <v>0</v>
      </c>
      <c r="AM491" t="b">
        <f t="shared" si="889"/>
        <v>0</v>
      </c>
      <c r="AN491" t="b">
        <f t="shared" si="890"/>
        <v>0</v>
      </c>
      <c r="AO491" t="b">
        <f t="shared" si="891"/>
        <v>0</v>
      </c>
      <c r="AP491" t="b">
        <f t="shared" si="892"/>
        <v>0</v>
      </c>
      <c r="AQ491" t="b">
        <f t="shared" si="893"/>
        <v>0</v>
      </c>
      <c r="AR491" t="b">
        <f t="shared" si="894"/>
        <v>0</v>
      </c>
      <c r="AS491" t="b">
        <f t="shared" si="895"/>
        <v>0</v>
      </c>
      <c r="AT491" t="b">
        <f t="shared" si="896"/>
        <v>0</v>
      </c>
      <c r="AU491" t="b">
        <f t="shared" si="897"/>
        <v>0</v>
      </c>
      <c r="AV491" t="b">
        <f t="shared" si="898"/>
        <v>0</v>
      </c>
      <c r="AW491" t="b">
        <f t="shared" si="899"/>
        <v>0</v>
      </c>
      <c r="AX491" t="b">
        <f t="shared" si="901"/>
        <v>0</v>
      </c>
      <c r="AY491" t="b">
        <f t="shared" si="902"/>
        <v>0</v>
      </c>
      <c r="AZ491">
        <f t="shared" si="903"/>
        <v>1</v>
      </c>
      <c r="BA491" t="b">
        <f t="shared" si="904"/>
        <v>0</v>
      </c>
      <c r="BB491" t="b">
        <f t="shared" si="905"/>
        <v>0</v>
      </c>
      <c r="BC491" t="b">
        <f t="shared" si="906"/>
        <v>0</v>
      </c>
      <c r="BD491" t="b">
        <f t="shared" si="907"/>
        <v>0</v>
      </c>
      <c r="BE491" t="b">
        <f t="shared" si="908"/>
        <v>0</v>
      </c>
      <c r="BF491" t="b">
        <f t="shared" si="909"/>
        <v>0</v>
      </c>
      <c r="BG491" t="b">
        <f t="shared" si="910"/>
        <v>0</v>
      </c>
      <c r="BH491" t="b">
        <f t="shared" si="911"/>
        <v>0</v>
      </c>
      <c r="BI491">
        <f t="shared" si="912"/>
        <v>1</v>
      </c>
      <c r="BJ491" t="b">
        <f t="shared" si="913"/>
        <v>0</v>
      </c>
      <c r="BK491" t="b">
        <f t="shared" si="914"/>
        <v>0</v>
      </c>
      <c r="BL491" t="b">
        <f t="shared" si="915"/>
        <v>0</v>
      </c>
      <c r="BM491" t="b">
        <f t="shared" si="916"/>
        <v>0</v>
      </c>
      <c r="BN491" t="b">
        <f t="shared" si="917"/>
        <v>0</v>
      </c>
      <c r="BO491" t="b">
        <f t="shared" si="918"/>
        <v>0</v>
      </c>
      <c r="BP491" t="b">
        <f t="shared" si="919"/>
        <v>0</v>
      </c>
      <c r="BQ491" t="b">
        <f t="shared" si="920"/>
        <v>0</v>
      </c>
      <c r="BR491">
        <f t="shared" si="921"/>
        <v>1</v>
      </c>
      <c r="BS491" t="b">
        <f t="shared" si="922"/>
        <v>0</v>
      </c>
      <c r="BT491" t="b">
        <f t="shared" si="923"/>
        <v>0</v>
      </c>
      <c r="BU491" t="b">
        <f t="shared" si="924"/>
        <v>0</v>
      </c>
      <c r="BV491" t="b">
        <f t="shared" si="925"/>
        <v>0</v>
      </c>
      <c r="BW491" t="b">
        <f t="shared" si="926"/>
        <v>0</v>
      </c>
      <c r="BX491" t="b">
        <f t="shared" si="927"/>
        <v>0</v>
      </c>
      <c r="BY491" t="b">
        <f t="shared" si="928"/>
        <v>0</v>
      </c>
      <c r="BZ491" t="b">
        <f t="shared" si="929"/>
        <v>0</v>
      </c>
      <c r="CA491" t="b">
        <f t="shared" si="930"/>
        <v>0</v>
      </c>
      <c r="CB491" t="b">
        <f t="shared" si="931"/>
        <v>0</v>
      </c>
      <c r="CC491" t="b">
        <f t="shared" si="932"/>
        <v>0</v>
      </c>
      <c r="CD491" t="b">
        <f t="shared" si="933"/>
        <v>0</v>
      </c>
      <c r="CE491" t="b">
        <f t="shared" si="934"/>
        <v>0</v>
      </c>
      <c r="CF491" t="b">
        <f t="shared" si="935"/>
        <v>0</v>
      </c>
      <c r="CG491" t="b">
        <f t="shared" si="936"/>
        <v>0</v>
      </c>
      <c r="CH491" t="b">
        <f t="shared" si="937"/>
        <v>0</v>
      </c>
      <c r="CI491" t="b">
        <f t="shared" si="938"/>
        <v>0</v>
      </c>
      <c r="CJ491" t="b">
        <f t="shared" si="939"/>
        <v>0</v>
      </c>
      <c r="CK491" t="b">
        <f t="shared" si="940"/>
        <v>0</v>
      </c>
      <c r="CL491" t="b">
        <f t="shared" si="941"/>
        <v>0</v>
      </c>
      <c r="CM491">
        <f t="shared" si="942"/>
        <v>1</v>
      </c>
      <c r="CN491" t="b">
        <f t="shared" si="943"/>
        <v>0</v>
      </c>
      <c r="CO491" t="b">
        <f t="shared" si="944"/>
        <v>0</v>
      </c>
      <c r="CP491" t="b">
        <f t="shared" si="945"/>
        <v>0</v>
      </c>
      <c r="CQ491" t="b">
        <f t="shared" si="946"/>
        <v>0</v>
      </c>
      <c r="CR491" t="b">
        <f t="shared" si="947"/>
        <v>0</v>
      </c>
      <c r="CS491" t="b">
        <f t="shared" si="948"/>
        <v>0</v>
      </c>
      <c r="CT491" t="b">
        <f t="shared" si="949"/>
        <v>0</v>
      </c>
      <c r="CU491" t="b">
        <f t="shared" si="950"/>
        <v>0</v>
      </c>
      <c r="CV491" t="b">
        <f t="shared" si="951"/>
        <v>0</v>
      </c>
      <c r="CW491" t="b">
        <f t="shared" si="952"/>
        <v>0</v>
      </c>
      <c r="CX491" t="b">
        <f t="shared" si="953"/>
        <v>0</v>
      </c>
      <c r="CY491" t="b">
        <f t="shared" si="954"/>
        <v>0</v>
      </c>
      <c r="CZ491" t="b">
        <f t="shared" si="955"/>
        <v>0</v>
      </c>
      <c r="DA491" t="b">
        <f t="shared" si="956"/>
        <v>0</v>
      </c>
      <c r="DB491" t="b">
        <f t="shared" si="957"/>
        <v>0</v>
      </c>
      <c r="DC491">
        <f t="shared" si="958"/>
        <v>1</v>
      </c>
      <c r="DD491" t="b">
        <f t="shared" si="959"/>
        <v>0</v>
      </c>
      <c r="DE491" t="b">
        <f t="shared" si="960"/>
        <v>0</v>
      </c>
      <c r="DF491" t="b">
        <f t="shared" si="961"/>
        <v>0</v>
      </c>
      <c r="DG491" t="b">
        <f t="shared" si="962"/>
        <v>0</v>
      </c>
      <c r="DH491" t="b">
        <f t="shared" si="963"/>
        <v>0</v>
      </c>
      <c r="DI491" t="b">
        <f t="shared" si="964"/>
        <v>0</v>
      </c>
      <c r="DJ491" t="b">
        <f t="shared" si="965"/>
        <v>0</v>
      </c>
      <c r="DK491" t="b">
        <f t="shared" si="966"/>
        <v>0</v>
      </c>
      <c r="DL491" t="b">
        <f t="shared" si="967"/>
        <v>0</v>
      </c>
      <c r="DM491" t="b">
        <f t="shared" si="968"/>
        <v>0</v>
      </c>
      <c r="DN491" t="b">
        <f t="shared" si="969"/>
        <v>0</v>
      </c>
      <c r="DO491" t="b">
        <f t="shared" si="970"/>
        <v>0</v>
      </c>
      <c r="DP491" t="b">
        <f t="shared" si="971"/>
        <v>0</v>
      </c>
      <c r="DQ491" t="b">
        <f t="shared" si="972"/>
        <v>0</v>
      </c>
      <c r="DR491" t="b">
        <f t="shared" si="973"/>
        <v>0</v>
      </c>
      <c r="DS491" t="b">
        <f t="shared" si="974"/>
        <v>0</v>
      </c>
      <c r="DT491" t="b">
        <f t="shared" si="975"/>
        <v>0</v>
      </c>
      <c r="DU491" t="b">
        <f t="shared" si="976"/>
        <v>0</v>
      </c>
      <c r="DV491" t="b">
        <f t="shared" si="977"/>
        <v>0</v>
      </c>
      <c r="DW491" t="b">
        <f t="shared" si="978"/>
        <v>0</v>
      </c>
      <c r="DX491" t="b">
        <f t="shared" si="979"/>
        <v>0</v>
      </c>
      <c r="DY491" t="b">
        <f t="shared" si="980"/>
        <v>0</v>
      </c>
      <c r="DZ491" t="b">
        <f t="shared" si="981"/>
        <v>0</v>
      </c>
      <c r="EA491" t="b">
        <f t="shared" si="982"/>
        <v>0</v>
      </c>
      <c r="EB491" t="b">
        <f t="shared" si="983"/>
        <v>0</v>
      </c>
      <c r="EC491" t="b">
        <f t="shared" si="984"/>
        <v>0</v>
      </c>
      <c r="ED491" t="b">
        <f t="shared" si="985"/>
        <v>0</v>
      </c>
      <c r="EE491" t="b">
        <f t="shared" si="986"/>
        <v>0</v>
      </c>
      <c r="EF491" t="b">
        <f t="shared" si="987"/>
        <v>0</v>
      </c>
      <c r="EG491" t="b">
        <f t="shared" si="988"/>
        <v>0</v>
      </c>
      <c r="EH491" t="b">
        <f t="shared" si="989"/>
        <v>0</v>
      </c>
      <c r="EI491" t="b">
        <f t="shared" si="990"/>
        <v>0</v>
      </c>
      <c r="EJ491" t="b">
        <f t="shared" si="991"/>
        <v>0</v>
      </c>
      <c r="EK491" t="b">
        <f t="shared" si="992"/>
        <v>0</v>
      </c>
    </row>
    <row r="492" spans="1:141">
      <c r="A492" t="s">
        <v>2499</v>
      </c>
      <c r="B492" t="s">
        <v>2499</v>
      </c>
      <c r="C492" t="s">
        <v>2500</v>
      </c>
      <c r="D492" s="1">
        <v>42370</v>
      </c>
      <c r="E492" s="2">
        <v>42619.181319444448</v>
      </c>
      <c r="F492" s="2">
        <v>42619.181319444448</v>
      </c>
      <c r="G492">
        <v>73587</v>
      </c>
      <c r="H492" t="s">
        <v>2501</v>
      </c>
      <c r="I492" s="10" t="s">
        <v>2502</v>
      </c>
      <c r="J492" t="s">
        <v>199</v>
      </c>
      <c r="K492" s="8" t="b">
        <v>1</v>
      </c>
      <c r="L492" s="10" t="b">
        <v>0</v>
      </c>
      <c r="M492" s="12" t="b">
        <v>0</v>
      </c>
      <c r="N492" t="b">
        <v>0</v>
      </c>
      <c r="O492" t="b">
        <v>0</v>
      </c>
      <c r="P492" t="b">
        <v>0</v>
      </c>
      <c r="Q492">
        <f t="shared" si="869"/>
        <v>6</v>
      </c>
      <c r="R492">
        <f t="shared" si="870"/>
        <v>1</v>
      </c>
      <c r="S492" t="e">
        <f t="shared" ca="1" si="900"/>
        <v>#NAME?</v>
      </c>
      <c r="T492" t="e">
        <f t="shared" ca="1" si="871"/>
        <v>#NAME?</v>
      </c>
      <c r="U492" s="4">
        <f t="shared" si="872"/>
        <v>249.18131944444758</v>
      </c>
      <c r="V492" s="4">
        <f t="shared" si="873"/>
        <v>8.3060439814815865</v>
      </c>
      <c r="W492" s="4">
        <f t="shared" si="874"/>
        <v>1</v>
      </c>
      <c r="X492" s="4">
        <f t="shared" si="875"/>
        <v>0</v>
      </c>
      <c r="Y492" s="4">
        <f t="shared" si="876"/>
        <v>0</v>
      </c>
      <c r="Z492" s="4">
        <f t="shared" si="877"/>
        <v>0</v>
      </c>
      <c r="AA492" s="4">
        <f t="shared" si="878"/>
        <v>0</v>
      </c>
      <c r="AB492" s="4">
        <f t="shared" si="879"/>
        <v>0</v>
      </c>
      <c r="AC492" s="4"/>
      <c r="AD492" s="4" t="b">
        <f t="shared" si="880"/>
        <v>0</v>
      </c>
      <c r="AE492" s="4" t="b">
        <f t="shared" si="881"/>
        <v>0</v>
      </c>
      <c r="AF492" s="4" t="b">
        <f t="shared" si="882"/>
        <v>0</v>
      </c>
      <c r="AG492" t="b">
        <f t="shared" si="883"/>
        <v>0</v>
      </c>
      <c r="AH492" t="b">
        <f t="shared" si="884"/>
        <v>0</v>
      </c>
      <c r="AI492" t="b">
        <f t="shared" si="885"/>
        <v>0</v>
      </c>
      <c r="AJ492" t="b">
        <f t="shared" si="886"/>
        <v>0</v>
      </c>
      <c r="AK492" t="b">
        <f t="shared" si="887"/>
        <v>0</v>
      </c>
      <c r="AL492" t="b">
        <f t="shared" si="888"/>
        <v>0</v>
      </c>
      <c r="AM492" t="b">
        <f t="shared" si="889"/>
        <v>0</v>
      </c>
      <c r="AN492" t="b">
        <f t="shared" si="890"/>
        <v>0</v>
      </c>
      <c r="AO492" t="b">
        <f t="shared" si="891"/>
        <v>0</v>
      </c>
      <c r="AP492" t="b">
        <f t="shared" si="892"/>
        <v>0</v>
      </c>
      <c r="AQ492" t="b">
        <f t="shared" si="893"/>
        <v>0</v>
      </c>
      <c r="AR492" t="b">
        <f t="shared" si="894"/>
        <v>0</v>
      </c>
      <c r="AS492" t="b">
        <f t="shared" si="895"/>
        <v>0</v>
      </c>
      <c r="AT492" t="b">
        <f t="shared" si="896"/>
        <v>0</v>
      </c>
      <c r="AU492" t="b">
        <f t="shared" si="897"/>
        <v>0</v>
      </c>
      <c r="AV492" t="b">
        <f t="shared" si="898"/>
        <v>0</v>
      </c>
      <c r="AW492" t="b">
        <f t="shared" si="899"/>
        <v>0</v>
      </c>
      <c r="AX492" t="b">
        <f t="shared" si="901"/>
        <v>0</v>
      </c>
      <c r="AY492" t="b">
        <f t="shared" si="902"/>
        <v>0</v>
      </c>
      <c r="AZ492">
        <f t="shared" si="903"/>
        <v>1</v>
      </c>
      <c r="BA492" t="b">
        <f t="shared" si="904"/>
        <v>0</v>
      </c>
      <c r="BB492" t="b">
        <f t="shared" si="905"/>
        <v>0</v>
      </c>
      <c r="BC492" t="b">
        <f t="shared" si="906"/>
        <v>0</v>
      </c>
      <c r="BD492" t="b">
        <f t="shared" si="907"/>
        <v>0</v>
      </c>
      <c r="BE492" t="b">
        <f t="shared" si="908"/>
        <v>0</v>
      </c>
      <c r="BF492" t="b">
        <f t="shared" si="909"/>
        <v>0</v>
      </c>
      <c r="BG492" t="b">
        <f t="shared" si="910"/>
        <v>0</v>
      </c>
      <c r="BH492" t="b">
        <f t="shared" si="911"/>
        <v>0</v>
      </c>
      <c r="BI492">
        <f t="shared" si="912"/>
        <v>1</v>
      </c>
      <c r="BJ492" t="b">
        <f t="shared" si="913"/>
        <v>0</v>
      </c>
      <c r="BK492" t="b">
        <f t="shared" si="914"/>
        <v>0</v>
      </c>
      <c r="BL492" t="b">
        <f t="shared" si="915"/>
        <v>0</v>
      </c>
      <c r="BM492" t="b">
        <f t="shared" si="916"/>
        <v>0</v>
      </c>
      <c r="BN492" t="b">
        <f t="shared" si="917"/>
        <v>0</v>
      </c>
      <c r="BO492" t="b">
        <f t="shared" si="918"/>
        <v>0</v>
      </c>
      <c r="BP492" t="b">
        <f t="shared" si="919"/>
        <v>0</v>
      </c>
      <c r="BQ492" t="b">
        <f t="shared" si="920"/>
        <v>0</v>
      </c>
      <c r="BR492" t="b">
        <f t="shared" si="921"/>
        <v>0</v>
      </c>
      <c r="BS492" t="b">
        <f t="shared" si="922"/>
        <v>0</v>
      </c>
      <c r="BT492" t="b">
        <f t="shared" si="923"/>
        <v>0</v>
      </c>
      <c r="BU492" t="b">
        <f t="shared" si="924"/>
        <v>0</v>
      </c>
      <c r="BV492" t="b">
        <f t="shared" si="925"/>
        <v>0</v>
      </c>
      <c r="BW492" t="b">
        <f t="shared" si="926"/>
        <v>0</v>
      </c>
      <c r="BX492" t="b">
        <f t="shared" si="927"/>
        <v>0</v>
      </c>
      <c r="BY492" t="b">
        <f t="shared" si="928"/>
        <v>0</v>
      </c>
      <c r="BZ492" t="b">
        <f t="shared" si="929"/>
        <v>0</v>
      </c>
      <c r="CA492" t="b">
        <f t="shared" si="930"/>
        <v>0</v>
      </c>
      <c r="CB492" t="b">
        <f t="shared" si="931"/>
        <v>0</v>
      </c>
      <c r="CC492" t="b">
        <f t="shared" si="932"/>
        <v>0</v>
      </c>
      <c r="CD492" t="b">
        <f t="shared" si="933"/>
        <v>0</v>
      </c>
      <c r="CE492">
        <f t="shared" si="934"/>
        <v>1</v>
      </c>
      <c r="CF492" t="b">
        <f t="shared" si="935"/>
        <v>0</v>
      </c>
      <c r="CG492" t="b">
        <f t="shared" si="936"/>
        <v>0</v>
      </c>
      <c r="CH492" t="b">
        <f t="shared" si="937"/>
        <v>0</v>
      </c>
      <c r="CI492" t="b">
        <f t="shared" si="938"/>
        <v>0</v>
      </c>
      <c r="CJ492" t="b">
        <f t="shared" si="939"/>
        <v>0</v>
      </c>
      <c r="CK492" t="b">
        <f t="shared" si="940"/>
        <v>0</v>
      </c>
      <c r="CL492" t="b">
        <f t="shared" si="941"/>
        <v>0</v>
      </c>
      <c r="CM492" t="b">
        <f t="shared" si="942"/>
        <v>0</v>
      </c>
      <c r="CN492" t="b">
        <f t="shared" si="943"/>
        <v>0</v>
      </c>
      <c r="CO492" t="b">
        <f t="shared" si="944"/>
        <v>0</v>
      </c>
      <c r="CP492" t="b">
        <f t="shared" si="945"/>
        <v>0</v>
      </c>
      <c r="CQ492" t="b">
        <f t="shared" si="946"/>
        <v>0</v>
      </c>
      <c r="CR492" t="b">
        <f t="shared" si="947"/>
        <v>0</v>
      </c>
      <c r="CS492" t="b">
        <f t="shared" si="948"/>
        <v>0</v>
      </c>
      <c r="CT492" t="b">
        <f t="shared" si="949"/>
        <v>0</v>
      </c>
      <c r="CU492" t="b">
        <f t="shared" si="950"/>
        <v>0</v>
      </c>
      <c r="CV492">
        <f t="shared" si="951"/>
        <v>1</v>
      </c>
      <c r="CW492" t="b">
        <f t="shared" si="952"/>
        <v>0</v>
      </c>
      <c r="CX492" t="b">
        <f t="shared" si="953"/>
        <v>0</v>
      </c>
      <c r="CY492" t="b">
        <f t="shared" si="954"/>
        <v>0</v>
      </c>
      <c r="CZ492" t="b">
        <f t="shared" si="955"/>
        <v>0</v>
      </c>
      <c r="DA492" t="b">
        <f t="shared" si="956"/>
        <v>0</v>
      </c>
      <c r="DB492" t="b">
        <f t="shared" si="957"/>
        <v>0</v>
      </c>
      <c r="DC492" t="b">
        <f t="shared" si="958"/>
        <v>0</v>
      </c>
      <c r="DD492" t="b">
        <f t="shared" si="959"/>
        <v>0</v>
      </c>
      <c r="DE492" t="b">
        <f t="shared" si="960"/>
        <v>0</v>
      </c>
      <c r="DF492" t="b">
        <f t="shared" si="961"/>
        <v>0</v>
      </c>
      <c r="DG492" t="b">
        <f t="shared" si="962"/>
        <v>0</v>
      </c>
      <c r="DH492" t="b">
        <f t="shared" si="963"/>
        <v>0</v>
      </c>
      <c r="DI492" t="b">
        <f t="shared" si="964"/>
        <v>0</v>
      </c>
      <c r="DJ492" t="b">
        <f t="shared" si="965"/>
        <v>0</v>
      </c>
      <c r="DK492" t="b">
        <f t="shared" si="966"/>
        <v>0</v>
      </c>
      <c r="DL492" t="b">
        <f t="shared" si="967"/>
        <v>0</v>
      </c>
      <c r="DM492" t="b">
        <f t="shared" si="968"/>
        <v>0</v>
      </c>
      <c r="DN492" t="b">
        <f t="shared" si="969"/>
        <v>0</v>
      </c>
      <c r="DO492" t="b">
        <f t="shared" si="970"/>
        <v>0</v>
      </c>
      <c r="DP492" t="b">
        <f t="shared" si="971"/>
        <v>0</v>
      </c>
      <c r="DQ492" t="b">
        <f t="shared" si="972"/>
        <v>0</v>
      </c>
      <c r="DR492" t="b">
        <f t="shared" si="973"/>
        <v>0</v>
      </c>
      <c r="DS492" t="b">
        <f t="shared" si="974"/>
        <v>0</v>
      </c>
      <c r="DT492" t="b">
        <f t="shared" si="975"/>
        <v>0</v>
      </c>
      <c r="DU492" t="b">
        <f t="shared" si="976"/>
        <v>0</v>
      </c>
      <c r="DV492" t="b">
        <f t="shared" si="977"/>
        <v>0</v>
      </c>
      <c r="DW492" t="b">
        <f t="shared" si="978"/>
        <v>0</v>
      </c>
      <c r="DX492" t="b">
        <f t="shared" si="979"/>
        <v>0</v>
      </c>
      <c r="DY492" t="b">
        <f t="shared" si="980"/>
        <v>0</v>
      </c>
      <c r="DZ492" t="b">
        <f t="shared" si="981"/>
        <v>0</v>
      </c>
      <c r="EA492" t="b">
        <f t="shared" si="982"/>
        <v>0</v>
      </c>
      <c r="EB492" t="b">
        <f t="shared" si="983"/>
        <v>0</v>
      </c>
      <c r="EC492" t="b">
        <f t="shared" si="984"/>
        <v>0</v>
      </c>
      <c r="ED492" t="b">
        <f t="shared" si="985"/>
        <v>0</v>
      </c>
      <c r="EE492" t="b">
        <f t="shared" si="986"/>
        <v>0</v>
      </c>
      <c r="EF492">
        <f t="shared" si="987"/>
        <v>1</v>
      </c>
      <c r="EG492" t="b">
        <f t="shared" si="988"/>
        <v>0</v>
      </c>
      <c r="EH492" t="b">
        <f t="shared" si="989"/>
        <v>0</v>
      </c>
      <c r="EI492" t="b">
        <f t="shared" si="990"/>
        <v>0</v>
      </c>
      <c r="EJ492" t="b">
        <f t="shared" si="991"/>
        <v>0</v>
      </c>
      <c r="EK492" t="b">
        <f t="shared" si="992"/>
        <v>0</v>
      </c>
    </row>
    <row r="493" spans="1:141">
      <c r="A493" t="s">
        <v>2503</v>
      </c>
      <c r="B493" t="s">
        <v>2504</v>
      </c>
      <c r="C493" t="s">
        <v>2505</v>
      </c>
      <c r="D493" s="1">
        <v>42560</v>
      </c>
      <c r="E493" s="2">
        <v>44762.296886574077</v>
      </c>
      <c r="F493" s="2">
        <v>44762.296886574077</v>
      </c>
      <c r="G493">
        <v>2021984</v>
      </c>
      <c r="H493" t="s">
        <v>2506</v>
      </c>
      <c r="I493" s="10" t="s">
        <v>2507</v>
      </c>
      <c r="J493" t="s">
        <v>147</v>
      </c>
      <c r="K493" s="8" t="b">
        <v>1</v>
      </c>
      <c r="L493" s="10" t="b">
        <v>0</v>
      </c>
      <c r="M493" s="12" t="b">
        <v>1</v>
      </c>
      <c r="N493" t="b">
        <v>0</v>
      </c>
      <c r="O493" t="b">
        <v>0</v>
      </c>
      <c r="P493" t="b">
        <v>0</v>
      </c>
      <c r="Q493">
        <f t="shared" si="869"/>
        <v>7</v>
      </c>
      <c r="R493">
        <f t="shared" si="870"/>
        <v>7</v>
      </c>
      <c r="S493" t="e">
        <f t="shared" ca="1" si="900"/>
        <v>#NAME?</v>
      </c>
      <c r="T493" t="e">
        <f t="shared" ca="1" si="871"/>
        <v>#NAME?</v>
      </c>
      <c r="U493" s="4">
        <f t="shared" si="872"/>
        <v>2202.2968865740768</v>
      </c>
      <c r="V493" s="4">
        <f t="shared" si="873"/>
        <v>73.409896219135888</v>
      </c>
      <c r="W493" s="4">
        <f t="shared" si="874"/>
        <v>1</v>
      </c>
      <c r="X493" s="4">
        <f t="shared" si="875"/>
        <v>0</v>
      </c>
      <c r="Y493" s="4">
        <f t="shared" si="876"/>
        <v>1</v>
      </c>
      <c r="Z493" s="4">
        <f t="shared" si="877"/>
        <v>0</v>
      </c>
      <c r="AA493" s="4">
        <f t="shared" si="878"/>
        <v>0</v>
      </c>
      <c r="AB493" s="4">
        <f t="shared" si="879"/>
        <v>0</v>
      </c>
      <c r="AC493" s="4"/>
      <c r="AD493" s="4" t="b">
        <f t="shared" si="880"/>
        <v>0</v>
      </c>
      <c r="AE493" s="4" t="b">
        <f t="shared" si="881"/>
        <v>0</v>
      </c>
      <c r="AF493" s="4" t="b">
        <f t="shared" si="882"/>
        <v>0</v>
      </c>
      <c r="AG493" t="b">
        <f t="shared" si="883"/>
        <v>0</v>
      </c>
      <c r="AH493" t="b">
        <f t="shared" si="884"/>
        <v>0</v>
      </c>
      <c r="AI493" t="b">
        <f t="shared" si="885"/>
        <v>0</v>
      </c>
      <c r="AJ493" t="b">
        <f t="shared" si="886"/>
        <v>0</v>
      </c>
      <c r="AK493" t="b">
        <f t="shared" si="887"/>
        <v>0</v>
      </c>
      <c r="AL493" t="b">
        <f t="shared" si="888"/>
        <v>0</v>
      </c>
      <c r="AM493" t="b">
        <f t="shared" si="889"/>
        <v>0</v>
      </c>
      <c r="AN493" t="b">
        <f t="shared" si="890"/>
        <v>0</v>
      </c>
      <c r="AO493" t="b">
        <f t="shared" si="891"/>
        <v>0</v>
      </c>
      <c r="AP493" t="b">
        <f t="shared" si="892"/>
        <v>0</v>
      </c>
      <c r="AQ493" t="b">
        <f t="shared" si="893"/>
        <v>0</v>
      </c>
      <c r="AR493" t="b">
        <f t="shared" si="894"/>
        <v>0</v>
      </c>
      <c r="AS493" t="b">
        <f t="shared" si="895"/>
        <v>0</v>
      </c>
      <c r="AT493" t="b">
        <f t="shared" si="896"/>
        <v>0</v>
      </c>
      <c r="AU493" t="b">
        <f t="shared" si="897"/>
        <v>0</v>
      </c>
      <c r="AV493" t="b">
        <f t="shared" si="898"/>
        <v>0</v>
      </c>
      <c r="AW493" t="b">
        <f t="shared" si="899"/>
        <v>0</v>
      </c>
      <c r="AX493" t="b">
        <f t="shared" si="901"/>
        <v>0</v>
      </c>
      <c r="AY493" t="b">
        <f t="shared" si="902"/>
        <v>0</v>
      </c>
      <c r="AZ493" t="b">
        <f t="shared" si="903"/>
        <v>0</v>
      </c>
      <c r="BA493" t="b">
        <f t="shared" si="904"/>
        <v>0</v>
      </c>
      <c r="BB493" t="b">
        <f t="shared" si="905"/>
        <v>0</v>
      </c>
      <c r="BC493" t="b">
        <f t="shared" si="906"/>
        <v>0</v>
      </c>
      <c r="BD493" t="b">
        <f t="shared" si="907"/>
        <v>0</v>
      </c>
      <c r="BE493" t="b">
        <f t="shared" si="908"/>
        <v>0</v>
      </c>
      <c r="BF493" t="b">
        <f t="shared" si="909"/>
        <v>0</v>
      </c>
      <c r="BG493" t="b">
        <f t="shared" si="910"/>
        <v>0</v>
      </c>
      <c r="BH493" t="b">
        <f t="shared" si="911"/>
        <v>0</v>
      </c>
      <c r="BI493">
        <f t="shared" si="912"/>
        <v>1</v>
      </c>
      <c r="BJ493" t="b">
        <f t="shared" si="913"/>
        <v>0</v>
      </c>
      <c r="BK493" t="b">
        <f t="shared" si="914"/>
        <v>0</v>
      </c>
      <c r="BL493" t="b">
        <f t="shared" si="915"/>
        <v>0</v>
      </c>
      <c r="BM493" t="b">
        <f t="shared" si="916"/>
        <v>0</v>
      </c>
      <c r="BN493" t="b">
        <f t="shared" si="917"/>
        <v>0</v>
      </c>
      <c r="BO493" t="b">
        <f t="shared" si="918"/>
        <v>0</v>
      </c>
      <c r="BP493" t="b">
        <f t="shared" si="919"/>
        <v>0</v>
      </c>
      <c r="BQ493" t="b">
        <f t="shared" si="920"/>
        <v>0</v>
      </c>
      <c r="BR493" t="b">
        <f t="shared" si="921"/>
        <v>0</v>
      </c>
      <c r="BS493" t="b">
        <f t="shared" si="922"/>
        <v>0</v>
      </c>
      <c r="BT493" t="b">
        <f t="shared" si="923"/>
        <v>0</v>
      </c>
      <c r="BU493" t="b">
        <f t="shared" si="924"/>
        <v>0</v>
      </c>
      <c r="BV493" t="b">
        <f t="shared" si="925"/>
        <v>0</v>
      </c>
      <c r="BW493" t="b">
        <f t="shared" si="926"/>
        <v>0</v>
      </c>
      <c r="BX493" t="b">
        <f t="shared" si="927"/>
        <v>0</v>
      </c>
      <c r="BY493" t="b">
        <f t="shared" si="928"/>
        <v>0</v>
      </c>
      <c r="BZ493" t="b">
        <f t="shared" si="929"/>
        <v>0</v>
      </c>
      <c r="CA493" t="b">
        <f t="shared" si="930"/>
        <v>0</v>
      </c>
      <c r="CB493" t="b">
        <f t="shared" si="931"/>
        <v>0</v>
      </c>
      <c r="CC493" t="b">
        <f t="shared" si="932"/>
        <v>0</v>
      </c>
      <c r="CD493" t="b">
        <f t="shared" si="933"/>
        <v>0</v>
      </c>
      <c r="CE493" t="b">
        <f t="shared" si="934"/>
        <v>0</v>
      </c>
      <c r="CF493" t="b">
        <f t="shared" si="935"/>
        <v>0</v>
      </c>
      <c r="CG493" t="b">
        <f t="shared" si="936"/>
        <v>0</v>
      </c>
      <c r="CH493" t="b">
        <f t="shared" si="937"/>
        <v>0</v>
      </c>
      <c r="CI493" t="b">
        <f t="shared" si="938"/>
        <v>0</v>
      </c>
      <c r="CJ493" t="b">
        <f t="shared" si="939"/>
        <v>0</v>
      </c>
      <c r="CK493" t="b">
        <f t="shared" si="940"/>
        <v>0</v>
      </c>
      <c r="CL493" t="b">
        <f t="shared" si="941"/>
        <v>0</v>
      </c>
      <c r="CM493" t="b">
        <f t="shared" si="942"/>
        <v>0</v>
      </c>
      <c r="CN493" t="b">
        <f t="shared" si="943"/>
        <v>0</v>
      </c>
      <c r="CO493" t="b">
        <f t="shared" si="944"/>
        <v>0</v>
      </c>
      <c r="CP493" t="b">
        <f t="shared" si="945"/>
        <v>0</v>
      </c>
      <c r="CQ493" t="b">
        <f t="shared" si="946"/>
        <v>0</v>
      </c>
      <c r="CR493" t="b">
        <f t="shared" si="947"/>
        <v>0</v>
      </c>
      <c r="CS493" t="b">
        <f t="shared" si="948"/>
        <v>0</v>
      </c>
      <c r="CT493" t="b">
        <f t="shared" si="949"/>
        <v>0</v>
      </c>
      <c r="CU493" t="b">
        <f t="shared" si="950"/>
        <v>0</v>
      </c>
      <c r="CV493">
        <f t="shared" si="951"/>
        <v>1</v>
      </c>
      <c r="CW493" t="b">
        <f t="shared" si="952"/>
        <v>0</v>
      </c>
      <c r="CX493" t="b">
        <f t="shared" si="953"/>
        <v>0</v>
      </c>
      <c r="CY493" t="b">
        <f t="shared" si="954"/>
        <v>0</v>
      </c>
      <c r="CZ493" t="b">
        <f t="shared" si="955"/>
        <v>0</v>
      </c>
      <c r="DA493" t="b">
        <f t="shared" si="956"/>
        <v>0</v>
      </c>
      <c r="DB493" t="b">
        <f t="shared" si="957"/>
        <v>0</v>
      </c>
      <c r="DC493" t="b">
        <f t="shared" si="958"/>
        <v>0</v>
      </c>
      <c r="DD493" t="b">
        <f t="shared" si="959"/>
        <v>0</v>
      </c>
      <c r="DE493" t="b">
        <f t="shared" si="960"/>
        <v>0</v>
      </c>
      <c r="DF493" t="b">
        <f t="shared" si="961"/>
        <v>0</v>
      </c>
      <c r="DG493" t="b">
        <f t="shared" si="962"/>
        <v>0</v>
      </c>
      <c r="DH493" t="b">
        <f t="shared" si="963"/>
        <v>0</v>
      </c>
      <c r="DI493" t="b">
        <f t="shared" si="964"/>
        <v>0</v>
      </c>
      <c r="DJ493" t="b">
        <f t="shared" si="965"/>
        <v>0</v>
      </c>
      <c r="DK493" t="b">
        <f t="shared" si="966"/>
        <v>0</v>
      </c>
      <c r="DL493" t="b">
        <f t="shared" si="967"/>
        <v>0</v>
      </c>
      <c r="DM493" t="b">
        <f t="shared" si="968"/>
        <v>0</v>
      </c>
      <c r="DN493" t="b">
        <f t="shared" si="969"/>
        <v>0</v>
      </c>
      <c r="DO493" t="b">
        <f t="shared" si="970"/>
        <v>0</v>
      </c>
      <c r="DP493" t="b">
        <f t="shared" si="971"/>
        <v>0</v>
      </c>
      <c r="DQ493" t="b">
        <f t="shared" si="972"/>
        <v>0</v>
      </c>
      <c r="DR493" t="b">
        <f t="shared" si="973"/>
        <v>0</v>
      </c>
      <c r="DS493" t="b">
        <f t="shared" si="974"/>
        <v>0</v>
      </c>
      <c r="DT493" t="b">
        <f t="shared" si="975"/>
        <v>0</v>
      </c>
      <c r="DU493" t="b">
        <f t="shared" si="976"/>
        <v>0</v>
      </c>
      <c r="DV493" t="b">
        <f t="shared" si="977"/>
        <v>0</v>
      </c>
      <c r="DW493" t="b">
        <f t="shared" si="978"/>
        <v>0</v>
      </c>
      <c r="DX493" t="b">
        <f t="shared" si="979"/>
        <v>0</v>
      </c>
      <c r="DY493" t="b">
        <f t="shared" si="980"/>
        <v>0</v>
      </c>
      <c r="DZ493" t="b">
        <f t="shared" si="981"/>
        <v>0</v>
      </c>
      <c r="EA493" t="b">
        <f t="shared" si="982"/>
        <v>0</v>
      </c>
      <c r="EB493" t="b">
        <f t="shared" si="983"/>
        <v>0</v>
      </c>
      <c r="EC493" t="b">
        <f t="shared" si="984"/>
        <v>0</v>
      </c>
      <c r="ED493" t="b">
        <f t="shared" si="985"/>
        <v>0</v>
      </c>
      <c r="EE493" t="b">
        <f t="shared" si="986"/>
        <v>0</v>
      </c>
      <c r="EF493" t="b">
        <f t="shared" si="987"/>
        <v>0</v>
      </c>
      <c r="EG493" t="b">
        <f t="shared" si="988"/>
        <v>0</v>
      </c>
      <c r="EH493" t="b">
        <f t="shared" si="989"/>
        <v>0</v>
      </c>
      <c r="EI493" t="b">
        <f t="shared" si="990"/>
        <v>0</v>
      </c>
      <c r="EJ493" t="b">
        <f t="shared" si="991"/>
        <v>0</v>
      </c>
      <c r="EK493" t="b">
        <f t="shared" si="992"/>
        <v>0</v>
      </c>
    </row>
    <row r="494" spans="1:141">
      <c r="A494" t="s">
        <v>2508</v>
      </c>
      <c r="B494" t="s">
        <v>2508</v>
      </c>
      <c r="C494" t="s">
        <v>2509</v>
      </c>
      <c r="D494" s="1">
        <v>43290</v>
      </c>
      <c r="E494" s="2">
        <v>43527.271979166668</v>
      </c>
      <c r="F494" s="2">
        <v>43536.875162037039</v>
      </c>
      <c r="G494">
        <v>40960499</v>
      </c>
      <c r="H494" t="s">
        <v>2510</v>
      </c>
      <c r="I494" s="10" t="s">
        <v>2511</v>
      </c>
      <c r="J494" t="s">
        <v>241</v>
      </c>
      <c r="K494" s="8" t="b">
        <v>1</v>
      </c>
      <c r="L494" s="10" t="b">
        <v>0</v>
      </c>
      <c r="M494" s="12" t="b">
        <v>0</v>
      </c>
      <c r="N494" t="b">
        <v>0</v>
      </c>
      <c r="O494" t="b">
        <v>0</v>
      </c>
      <c r="P494" t="b">
        <v>0</v>
      </c>
      <c r="Q494">
        <f t="shared" si="869"/>
        <v>2</v>
      </c>
      <c r="R494">
        <f t="shared" si="870"/>
        <v>7</v>
      </c>
      <c r="S494" t="e">
        <f t="shared" ca="1" si="900"/>
        <v>#NAME?</v>
      </c>
      <c r="T494" t="e">
        <f t="shared" ca="1" si="871"/>
        <v>#NAME?</v>
      </c>
      <c r="U494" s="4">
        <f t="shared" si="872"/>
        <v>237.27197916666773</v>
      </c>
      <c r="V494" s="4">
        <f t="shared" si="873"/>
        <v>7.9090659722222574</v>
      </c>
      <c r="W494" s="4">
        <f t="shared" si="874"/>
        <v>1</v>
      </c>
      <c r="X494" s="4">
        <f t="shared" si="875"/>
        <v>0</v>
      </c>
      <c r="Y494" s="4">
        <f t="shared" si="876"/>
        <v>0</v>
      </c>
      <c r="Z494" s="4">
        <f t="shared" si="877"/>
        <v>0</v>
      </c>
      <c r="AA494" s="4">
        <f t="shared" si="878"/>
        <v>0</v>
      </c>
      <c r="AB494" s="4">
        <f t="shared" si="879"/>
        <v>0</v>
      </c>
      <c r="AC494" s="4"/>
      <c r="AD494" s="4" t="b">
        <f t="shared" si="880"/>
        <v>0</v>
      </c>
      <c r="AE494" s="4" t="b">
        <f t="shared" si="881"/>
        <v>0</v>
      </c>
      <c r="AF494" s="4" t="b">
        <f t="shared" si="882"/>
        <v>0</v>
      </c>
      <c r="AG494" t="b">
        <f t="shared" si="883"/>
        <v>0</v>
      </c>
      <c r="AH494" t="b">
        <f t="shared" si="884"/>
        <v>0</v>
      </c>
      <c r="AI494" t="b">
        <f t="shared" si="885"/>
        <v>0</v>
      </c>
      <c r="AJ494" t="b">
        <f t="shared" si="886"/>
        <v>0</v>
      </c>
      <c r="AK494" t="b">
        <f t="shared" si="887"/>
        <v>0</v>
      </c>
      <c r="AL494" t="b">
        <f t="shared" si="888"/>
        <v>0</v>
      </c>
      <c r="AM494" t="b">
        <f t="shared" si="889"/>
        <v>0</v>
      </c>
      <c r="AN494" t="b">
        <f t="shared" si="890"/>
        <v>0</v>
      </c>
      <c r="AO494" t="b">
        <f t="shared" si="891"/>
        <v>0</v>
      </c>
      <c r="AP494" t="b">
        <f t="shared" si="892"/>
        <v>0</v>
      </c>
      <c r="AQ494" t="b">
        <f t="shared" si="893"/>
        <v>0</v>
      </c>
      <c r="AR494" t="b">
        <f t="shared" si="894"/>
        <v>0</v>
      </c>
      <c r="AS494" t="b">
        <f t="shared" si="895"/>
        <v>0</v>
      </c>
      <c r="AT494" t="b">
        <f t="shared" si="896"/>
        <v>0</v>
      </c>
      <c r="AU494" t="b">
        <f t="shared" si="897"/>
        <v>0</v>
      </c>
      <c r="AV494" t="b">
        <f t="shared" si="898"/>
        <v>0</v>
      </c>
      <c r="AW494" t="b">
        <f t="shared" si="899"/>
        <v>0</v>
      </c>
      <c r="AX494" t="b">
        <f t="shared" si="901"/>
        <v>0</v>
      </c>
      <c r="AY494" t="b">
        <f t="shared" si="902"/>
        <v>0</v>
      </c>
      <c r="AZ494">
        <f t="shared" si="903"/>
        <v>1</v>
      </c>
      <c r="BA494" t="b">
        <f t="shared" si="904"/>
        <v>0</v>
      </c>
      <c r="BB494" t="b">
        <f t="shared" si="905"/>
        <v>0</v>
      </c>
      <c r="BC494" t="b">
        <f t="shared" si="906"/>
        <v>0</v>
      </c>
      <c r="BD494" t="b">
        <f t="shared" si="907"/>
        <v>0</v>
      </c>
      <c r="BE494" t="b">
        <f t="shared" si="908"/>
        <v>0</v>
      </c>
      <c r="BF494" t="b">
        <f t="shared" si="909"/>
        <v>0</v>
      </c>
      <c r="BG494" t="b">
        <f t="shared" si="910"/>
        <v>0</v>
      </c>
      <c r="BH494" t="b">
        <f t="shared" si="911"/>
        <v>0</v>
      </c>
      <c r="BI494">
        <f t="shared" si="912"/>
        <v>1</v>
      </c>
      <c r="BJ494" t="b">
        <f t="shared" si="913"/>
        <v>0</v>
      </c>
      <c r="BK494" t="b">
        <f t="shared" si="914"/>
        <v>0</v>
      </c>
      <c r="BL494" t="b">
        <f t="shared" si="915"/>
        <v>0</v>
      </c>
      <c r="BM494" t="b">
        <f t="shared" si="916"/>
        <v>0</v>
      </c>
      <c r="BN494" t="b">
        <f t="shared" si="917"/>
        <v>0</v>
      </c>
      <c r="BO494" t="b">
        <f t="shared" si="918"/>
        <v>0</v>
      </c>
      <c r="BP494" t="b">
        <f t="shared" si="919"/>
        <v>0</v>
      </c>
      <c r="BQ494" t="b">
        <f t="shared" si="920"/>
        <v>0</v>
      </c>
      <c r="BR494" t="b">
        <f t="shared" si="921"/>
        <v>0</v>
      </c>
      <c r="BS494" t="b">
        <f t="shared" si="922"/>
        <v>0</v>
      </c>
      <c r="BT494" t="b">
        <f t="shared" si="923"/>
        <v>0</v>
      </c>
      <c r="BU494" t="b">
        <f t="shared" si="924"/>
        <v>0</v>
      </c>
      <c r="BV494" t="b">
        <f t="shared" si="925"/>
        <v>0</v>
      </c>
      <c r="BW494" t="b">
        <f t="shared" si="926"/>
        <v>0</v>
      </c>
      <c r="BX494" t="b">
        <f t="shared" si="927"/>
        <v>0</v>
      </c>
      <c r="BY494" t="b">
        <f t="shared" si="928"/>
        <v>0</v>
      </c>
      <c r="BZ494" t="b">
        <f t="shared" si="929"/>
        <v>0</v>
      </c>
      <c r="CA494" t="b">
        <f t="shared" si="930"/>
        <v>0</v>
      </c>
      <c r="CB494" t="b">
        <f t="shared" si="931"/>
        <v>0</v>
      </c>
      <c r="CC494" t="b">
        <f t="shared" si="932"/>
        <v>0</v>
      </c>
      <c r="CD494" t="b">
        <f t="shared" si="933"/>
        <v>0</v>
      </c>
      <c r="CE494" t="b">
        <f t="shared" si="934"/>
        <v>0</v>
      </c>
      <c r="CF494" t="b">
        <f t="shared" si="935"/>
        <v>0</v>
      </c>
      <c r="CG494" t="b">
        <f t="shared" si="936"/>
        <v>0</v>
      </c>
      <c r="CH494" t="b">
        <f t="shared" si="937"/>
        <v>0</v>
      </c>
      <c r="CI494" t="b">
        <f t="shared" si="938"/>
        <v>0</v>
      </c>
      <c r="CJ494" t="b">
        <f t="shared" si="939"/>
        <v>0</v>
      </c>
      <c r="CK494" t="b">
        <f t="shared" si="940"/>
        <v>0</v>
      </c>
      <c r="CL494" t="b">
        <f t="shared" si="941"/>
        <v>0</v>
      </c>
      <c r="CM494">
        <f t="shared" si="942"/>
        <v>1</v>
      </c>
      <c r="CN494" t="b">
        <f t="shared" si="943"/>
        <v>0</v>
      </c>
      <c r="CO494" t="b">
        <f t="shared" si="944"/>
        <v>0</v>
      </c>
      <c r="CP494" t="b">
        <f t="shared" si="945"/>
        <v>0</v>
      </c>
      <c r="CQ494" t="b">
        <f t="shared" si="946"/>
        <v>0</v>
      </c>
      <c r="CR494" t="b">
        <f t="shared" si="947"/>
        <v>0</v>
      </c>
      <c r="CS494" t="b">
        <f t="shared" si="948"/>
        <v>0</v>
      </c>
      <c r="CT494" t="b">
        <f t="shared" si="949"/>
        <v>0</v>
      </c>
      <c r="CU494" t="b">
        <f t="shared" si="950"/>
        <v>0</v>
      </c>
      <c r="CV494">
        <f t="shared" si="951"/>
        <v>1</v>
      </c>
      <c r="CW494" t="b">
        <f t="shared" si="952"/>
        <v>0</v>
      </c>
      <c r="CX494" t="b">
        <f t="shared" si="953"/>
        <v>0</v>
      </c>
      <c r="CY494" t="b">
        <f t="shared" si="954"/>
        <v>0</v>
      </c>
      <c r="CZ494" t="b">
        <f t="shared" si="955"/>
        <v>0</v>
      </c>
      <c r="DA494" t="b">
        <f t="shared" si="956"/>
        <v>0</v>
      </c>
      <c r="DB494" t="b">
        <f t="shared" si="957"/>
        <v>0</v>
      </c>
      <c r="DC494" t="b">
        <f t="shared" si="958"/>
        <v>0</v>
      </c>
      <c r="DD494" t="b">
        <f t="shared" si="959"/>
        <v>0</v>
      </c>
      <c r="DE494" t="b">
        <f t="shared" si="960"/>
        <v>0</v>
      </c>
      <c r="DF494" t="b">
        <f t="shared" si="961"/>
        <v>0</v>
      </c>
      <c r="DG494" t="b">
        <f t="shared" si="962"/>
        <v>0</v>
      </c>
      <c r="DH494" t="b">
        <f t="shared" si="963"/>
        <v>0</v>
      </c>
      <c r="DI494" t="b">
        <f t="shared" si="964"/>
        <v>0</v>
      </c>
      <c r="DJ494" t="b">
        <f t="shared" si="965"/>
        <v>0</v>
      </c>
      <c r="DK494" t="b">
        <f t="shared" si="966"/>
        <v>0</v>
      </c>
      <c r="DL494" t="b">
        <f t="shared" si="967"/>
        <v>0</v>
      </c>
      <c r="DM494" t="b">
        <f t="shared" si="968"/>
        <v>0</v>
      </c>
      <c r="DN494" t="b">
        <f t="shared" si="969"/>
        <v>0</v>
      </c>
      <c r="DO494" t="b">
        <f t="shared" si="970"/>
        <v>0</v>
      </c>
      <c r="DP494" t="b">
        <f t="shared" si="971"/>
        <v>0</v>
      </c>
      <c r="DQ494" t="b">
        <f t="shared" si="972"/>
        <v>0</v>
      </c>
      <c r="DR494" t="b">
        <f t="shared" si="973"/>
        <v>0</v>
      </c>
      <c r="DS494" t="b">
        <f t="shared" si="974"/>
        <v>0</v>
      </c>
      <c r="DT494" t="b">
        <f t="shared" si="975"/>
        <v>0</v>
      </c>
      <c r="DU494" t="b">
        <f t="shared" si="976"/>
        <v>0</v>
      </c>
      <c r="DV494" t="b">
        <f t="shared" si="977"/>
        <v>0</v>
      </c>
      <c r="DW494" t="b">
        <f t="shared" si="978"/>
        <v>0</v>
      </c>
      <c r="DX494" t="b">
        <f t="shared" si="979"/>
        <v>0</v>
      </c>
      <c r="DY494" t="b">
        <f t="shared" si="980"/>
        <v>0</v>
      </c>
      <c r="DZ494" t="b">
        <f t="shared" si="981"/>
        <v>0</v>
      </c>
      <c r="EA494" t="b">
        <f t="shared" si="982"/>
        <v>0</v>
      </c>
      <c r="EB494" t="b">
        <f t="shared" si="983"/>
        <v>0</v>
      </c>
      <c r="EC494" t="b">
        <f t="shared" si="984"/>
        <v>0</v>
      </c>
      <c r="ED494" t="b">
        <f t="shared" si="985"/>
        <v>0</v>
      </c>
      <c r="EE494" t="b">
        <f t="shared" si="986"/>
        <v>0</v>
      </c>
      <c r="EF494" t="b">
        <f t="shared" si="987"/>
        <v>0</v>
      </c>
      <c r="EG494" t="b">
        <f t="shared" si="988"/>
        <v>0</v>
      </c>
      <c r="EH494" t="b">
        <f t="shared" si="989"/>
        <v>0</v>
      </c>
      <c r="EI494" t="b">
        <f t="shared" si="990"/>
        <v>0</v>
      </c>
      <c r="EJ494" t="b">
        <f t="shared" si="991"/>
        <v>0</v>
      </c>
      <c r="EK494" t="b">
        <f t="shared" si="992"/>
        <v>0</v>
      </c>
    </row>
    <row r="495" spans="1:141">
      <c r="A495" t="s">
        <v>2512</v>
      </c>
      <c r="B495" t="s">
        <v>2512</v>
      </c>
      <c r="C495" t="s">
        <v>2513</v>
      </c>
      <c r="D495" s="1">
        <v>43252</v>
      </c>
      <c r="E495" s="2">
        <v>43663.583113425928</v>
      </c>
      <c r="F495" s="2">
        <v>43663.583113425928</v>
      </c>
      <c r="G495">
        <v>39086762</v>
      </c>
      <c r="H495" t="s">
        <v>2514</v>
      </c>
      <c r="I495" s="10" t="s">
        <v>2515</v>
      </c>
      <c r="J495" t="s">
        <v>147</v>
      </c>
      <c r="K495" s="8" t="b">
        <v>1</v>
      </c>
      <c r="L495" s="10" t="b">
        <v>0</v>
      </c>
      <c r="M495" s="12" t="b">
        <v>0</v>
      </c>
      <c r="N495" t="b">
        <v>0</v>
      </c>
      <c r="O495" t="b">
        <v>0</v>
      </c>
      <c r="P495" t="b">
        <v>0</v>
      </c>
      <c r="Q495">
        <f t="shared" si="869"/>
        <v>6</v>
      </c>
      <c r="R495">
        <f t="shared" si="870"/>
        <v>6</v>
      </c>
      <c r="S495" t="e">
        <f t="shared" ca="1" si="900"/>
        <v>#NAME?</v>
      </c>
      <c r="T495" t="e">
        <f t="shared" ca="1" si="871"/>
        <v>#NAME?</v>
      </c>
      <c r="U495" s="4">
        <f t="shared" si="872"/>
        <v>411.58311342592788</v>
      </c>
      <c r="V495" s="4">
        <f t="shared" si="873"/>
        <v>13.719437114197596</v>
      </c>
      <c r="W495" s="4">
        <f t="shared" si="874"/>
        <v>1</v>
      </c>
      <c r="X495" s="4">
        <f t="shared" si="875"/>
        <v>0</v>
      </c>
      <c r="Y495" s="4">
        <f t="shared" si="876"/>
        <v>0</v>
      </c>
      <c r="Z495" s="4">
        <f t="shared" si="877"/>
        <v>0</v>
      </c>
      <c r="AA495" s="4">
        <f t="shared" si="878"/>
        <v>0</v>
      </c>
      <c r="AB495" s="4">
        <f t="shared" si="879"/>
        <v>0</v>
      </c>
      <c r="AC495" s="4"/>
      <c r="AD495" s="4" t="b">
        <f t="shared" si="880"/>
        <v>0</v>
      </c>
      <c r="AE495" s="4" t="b">
        <f t="shared" si="881"/>
        <v>0</v>
      </c>
      <c r="AF495" s="4" t="b">
        <f t="shared" si="882"/>
        <v>0</v>
      </c>
      <c r="AG495" t="b">
        <f t="shared" si="883"/>
        <v>0</v>
      </c>
      <c r="AH495" t="b">
        <f t="shared" si="884"/>
        <v>0</v>
      </c>
      <c r="AI495" t="b">
        <f t="shared" si="885"/>
        <v>0</v>
      </c>
      <c r="AJ495" t="b">
        <f t="shared" si="886"/>
        <v>0</v>
      </c>
      <c r="AK495" t="b">
        <f t="shared" si="887"/>
        <v>0</v>
      </c>
      <c r="AL495" t="b">
        <f t="shared" si="888"/>
        <v>0</v>
      </c>
      <c r="AM495" t="b">
        <f t="shared" si="889"/>
        <v>0</v>
      </c>
      <c r="AN495" t="b">
        <f t="shared" si="890"/>
        <v>0</v>
      </c>
      <c r="AO495" t="b">
        <f t="shared" si="891"/>
        <v>0</v>
      </c>
      <c r="AP495" t="b">
        <f t="shared" si="892"/>
        <v>0</v>
      </c>
      <c r="AQ495" t="b">
        <f t="shared" si="893"/>
        <v>0</v>
      </c>
      <c r="AR495" t="b">
        <f t="shared" si="894"/>
        <v>0</v>
      </c>
      <c r="AS495" t="b">
        <f t="shared" si="895"/>
        <v>0</v>
      </c>
      <c r="AT495" t="b">
        <f t="shared" si="896"/>
        <v>0</v>
      </c>
      <c r="AU495" t="b">
        <f t="shared" si="897"/>
        <v>0</v>
      </c>
      <c r="AV495" t="b">
        <f t="shared" si="898"/>
        <v>0</v>
      </c>
      <c r="AW495" t="b">
        <f t="shared" si="899"/>
        <v>0</v>
      </c>
      <c r="AX495" t="b">
        <f t="shared" si="901"/>
        <v>0</v>
      </c>
      <c r="AY495" t="b">
        <f t="shared" si="902"/>
        <v>0</v>
      </c>
      <c r="AZ495" t="b">
        <f t="shared" si="903"/>
        <v>0</v>
      </c>
      <c r="BA495" t="b">
        <f t="shared" si="904"/>
        <v>0</v>
      </c>
      <c r="BB495" t="b">
        <f t="shared" si="905"/>
        <v>0</v>
      </c>
      <c r="BC495" t="b">
        <f t="shared" si="906"/>
        <v>0</v>
      </c>
      <c r="BD495" t="b">
        <f t="shared" si="907"/>
        <v>0</v>
      </c>
      <c r="BE495" t="b">
        <f t="shared" si="908"/>
        <v>0</v>
      </c>
      <c r="BF495" t="b">
        <f t="shared" si="909"/>
        <v>0</v>
      </c>
      <c r="BG495" t="b">
        <f t="shared" si="910"/>
        <v>0</v>
      </c>
      <c r="BH495" t="b">
        <f t="shared" si="911"/>
        <v>0</v>
      </c>
      <c r="BI495">
        <f t="shared" si="912"/>
        <v>1</v>
      </c>
      <c r="BJ495" t="b">
        <f t="shared" si="913"/>
        <v>0</v>
      </c>
      <c r="BK495" t="b">
        <f t="shared" si="914"/>
        <v>0</v>
      </c>
      <c r="BL495" t="b">
        <f t="shared" si="915"/>
        <v>0</v>
      </c>
      <c r="BM495" t="b">
        <f t="shared" si="916"/>
        <v>0</v>
      </c>
      <c r="BN495" t="b">
        <f t="shared" si="917"/>
        <v>0</v>
      </c>
      <c r="BO495" t="b">
        <f t="shared" si="918"/>
        <v>0</v>
      </c>
      <c r="BP495" t="b">
        <f t="shared" si="919"/>
        <v>0</v>
      </c>
      <c r="BQ495" t="b">
        <f t="shared" si="920"/>
        <v>0</v>
      </c>
      <c r="BR495" t="b">
        <f t="shared" si="921"/>
        <v>0</v>
      </c>
      <c r="BS495" t="b">
        <f t="shared" si="922"/>
        <v>0</v>
      </c>
      <c r="BT495" t="b">
        <f t="shared" si="923"/>
        <v>0</v>
      </c>
      <c r="BU495" t="b">
        <f t="shared" si="924"/>
        <v>0</v>
      </c>
      <c r="BV495" t="b">
        <f t="shared" si="925"/>
        <v>0</v>
      </c>
      <c r="BW495" t="b">
        <f t="shared" si="926"/>
        <v>0</v>
      </c>
      <c r="BX495" t="b">
        <f t="shared" si="927"/>
        <v>0</v>
      </c>
      <c r="BY495" t="b">
        <f t="shared" si="928"/>
        <v>0</v>
      </c>
      <c r="BZ495" t="b">
        <f t="shared" si="929"/>
        <v>0</v>
      </c>
      <c r="CA495" t="b">
        <f t="shared" si="930"/>
        <v>0</v>
      </c>
      <c r="CB495" t="b">
        <f t="shared" si="931"/>
        <v>0</v>
      </c>
      <c r="CC495" t="b">
        <f t="shared" si="932"/>
        <v>0</v>
      </c>
      <c r="CD495" t="b">
        <f t="shared" si="933"/>
        <v>0</v>
      </c>
      <c r="CE495" t="b">
        <f t="shared" si="934"/>
        <v>0</v>
      </c>
      <c r="CF495" t="b">
        <f t="shared" si="935"/>
        <v>0</v>
      </c>
      <c r="CG495" t="b">
        <f t="shared" si="936"/>
        <v>0</v>
      </c>
      <c r="CH495" t="b">
        <f t="shared" si="937"/>
        <v>0</v>
      </c>
      <c r="CI495" t="b">
        <f t="shared" si="938"/>
        <v>0</v>
      </c>
      <c r="CJ495" t="b">
        <f t="shared" si="939"/>
        <v>0</v>
      </c>
      <c r="CK495" t="b">
        <f t="shared" si="940"/>
        <v>0</v>
      </c>
      <c r="CL495" t="b">
        <f t="shared" si="941"/>
        <v>0</v>
      </c>
      <c r="CM495" t="b">
        <f t="shared" si="942"/>
        <v>0</v>
      </c>
      <c r="CN495" t="b">
        <f t="shared" si="943"/>
        <v>0</v>
      </c>
      <c r="CO495" t="b">
        <f t="shared" si="944"/>
        <v>0</v>
      </c>
      <c r="CP495" t="b">
        <f t="shared" si="945"/>
        <v>0</v>
      </c>
      <c r="CQ495" t="b">
        <f t="shared" si="946"/>
        <v>0</v>
      </c>
      <c r="CR495" t="b">
        <f t="shared" si="947"/>
        <v>0</v>
      </c>
      <c r="CS495" t="b">
        <f t="shared" si="948"/>
        <v>0</v>
      </c>
      <c r="CT495" t="b">
        <f t="shared" si="949"/>
        <v>0</v>
      </c>
      <c r="CU495" t="b">
        <f t="shared" si="950"/>
        <v>0</v>
      </c>
      <c r="CV495">
        <f t="shared" si="951"/>
        <v>1</v>
      </c>
      <c r="CW495" t="b">
        <f t="shared" si="952"/>
        <v>0</v>
      </c>
      <c r="CX495" t="b">
        <f t="shared" si="953"/>
        <v>0</v>
      </c>
      <c r="CY495" t="b">
        <f t="shared" si="954"/>
        <v>0</v>
      </c>
      <c r="CZ495" t="b">
        <f t="shared" si="955"/>
        <v>0</v>
      </c>
      <c r="DA495" t="b">
        <f t="shared" si="956"/>
        <v>0</v>
      </c>
      <c r="DB495" t="b">
        <f t="shared" si="957"/>
        <v>0</v>
      </c>
      <c r="DC495" t="b">
        <f t="shared" si="958"/>
        <v>0</v>
      </c>
      <c r="DD495" t="b">
        <f t="shared" si="959"/>
        <v>0</v>
      </c>
      <c r="DE495" t="b">
        <f t="shared" si="960"/>
        <v>0</v>
      </c>
      <c r="DF495" t="b">
        <f t="shared" si="961"/>
        <v>0</v>
      </c>
      <c r="DG495" t="b">
        <f t="shared" si="962"/>
        <v>0</v>
      </c>
      <c r="DH495" t="b">
        <f t="shared" si="963"/>
        <v>0</v>
      </c>
      <c r="DI495" t="b">
        <f t="shared" si="964"/>
        <v>0</v>
      </c>
      <c r="DJ495" t="b">
        <f t="shared" si="965"/>
        <v>0</v>
      </c>
      <c r="DK495" t="b">
        <f t="shared" si="966"/>
        <v>0</v>
      </c>
      <c r="DL495" t="b">
        <f t="shared" si="967"/>
        <v>0</v>
      </c>
      <c r="DM495" t="b">
        <f t="shared" si="968"/>
        <v>0</v>
      </c>
      <c r="DN495" t="b">
        <f t="shared" si="969"/>
        <v>0</v>
      </c>
      <c r="DO495" t="b">
        <f t="shared" si="970"/>
        <v>0</v>
      </c>
      <c r="DP495" t="b">
        <f t="shared" si="971"/>
        <v>0</v>
      </c>
      <c r="DQ495" t="b">
        <f t="shared" si="972"/>
        <v>0</v>
      </c>
      <c r="DR495" t="b">
        <f t="shared" si="973"/>
        <v>0</v>
      </c>
      <c r="DS495" t="b">
        <f t="shared" si="974"/>
        <v>0</v>
      </c>
      <c r="DT495" t="b">
        <f t="shared" si="975"/>
        <v>0</v>
      </c>
      <c r="DU495" t="b">
        <f t="shared" si="976"/>
        <v>0</v>
      </c>
      <c r="DV495" t="b">
        <f t="shared" si="977"/>
        <v>0</v>
      </c>
      <c r="DW495" t="b">
        <f t="shared" si="978"/>
        <v>0</v>
      </c>
      <c r="DX495" t="b">
        <f t="shared" si="979"/>
        <v>0</v>
      </c>
      <c r="DY495" t="b">
        <f t="shared" si="980"/>
        <v>0</v>
      </c>
      <c r="DZ495" t="b">
        <f t="shared" si="981"/>
        <v>0</v>
      </c>
      <c r="EA495" t="b">
        <f t="shared" si="982"/>
        <v>0</v>
      </c>
      <c r="EB495" t="b">
        <f t="shared" si="983"/>
        <v>0</v>
      </c>
      <c r="EC495" t="b">
        <f t="shared" si="984"/>
        <v>0</v>
      </c>
      <c r="ED495" t="b">
        <f t="shared" si="985"/>
        <v>0</v>
      </c>
      <c r="EE495" t="b">
        <f t="shared" si="986"/>
        <v>0</v>
      </c>
      <c r="EF495" t="b">
        <f t="shared" si="987"/>
        <v>0</v>
      </c>
      <c r="EG495" t="b">
        <f t="shared" si="988"/>
        <v>0</v>
      </c>
      <c r="EH495" t="b">
        <f t="shared" si="989"/>
        <v>0</v>
      </c>
      <c r="EI495" t="b">
        <f t="shared" si="990"/>
        <v>0</v>
      </c>
      <c r="EJ495" t="b">
        <f t="shared" si="991"/>
        <v>0</v>
      </c>
      <c r="EK495" t="b">
        <f t="shared" si="992"/>
        <v>0</v>
      </c>
    </row>
    <row r="496" spans="1:141">
      <c r="A496" t="s">
        <v>2516</v>
      </c>
      <c r="B496" t="s">
        <v>2516</v>
      </c>
      <c r="C496" t="s">
        <v>2517</v>
      </c>
      <c r="D496" s="1">
        <v>44781</v>
      </c>
      <c r="E496" s="2">
        <v>44789.944849537038</v>
      </c>
      <c r="F496" s="2">
        <v>44789.944849537038</v>
      </c>
      <c r="G496">
        <v>23817</v>
      </c>
      <c r="H496" t="s">
        <v>2518</v>
      </c>
      <c r="I496" s="10" t="s">
        <v>2519</v>
      </c>
      <c r="J496" t="s">
        <v>2520</v>
      </c>
      <c r="K496" s="8" t="b">
        <v>1</v>
      </c>
      <c r="L496" s="10" t="b">
        <v>0</v>
      </c>
      <c r="M496" s="12" t="b">
        <v>1</v>
      </c>
      <c r="N496" t="b">
        <v>0</v>
      </c>
      <c r="O496" t="b">
        <v>0</v>
      </c>
      <c r="P496" t="b">
        <v>0</v>
      </c>
      <c r="Q496">
        <f t="shared" si="869"/>
        <v>2</v>
      </c>
      <c r="R496">
        <f t="shared" si="870"/>
        <v>8</v>
      </c>
      <c r="S496" t="e">
        <f t="shared" ca="1" si="900"/>
        <v>#NAME?</v>
      </c>
      <c r="T496" t="e">
        <f t="shared" ca="1" si="871"/>
        <v>#NAME?</v>
      </c>
      <c r="U496" s="4">
        <f t="shared" si="872"/>
        <v>8.9448495370379533</v>
      </c>
      <c r="V496" s="4">
        <f t="shared" si="873"/>
        <v>0.29816165123459842</v>
      </c>
      <c r="W496" s="4">
        <f t="shared" si="874"/>
        <v>1</v>
      </c>
      <c r="X496" s="4">
        <f t="shared" si="875"/>
        <v>0</v>
      </c>
      <c r="Y496" s="4">
        <f t="shared" si="876"/>
        <v>1</v>
      </c>
      <c r="Z496" s="4">
        <f t="shared" si="877"/>
        <v>0</v>
      </c>
      <c r="AA496" s="4">
        <f t="shared" si="878"/>
        <v>0</v>
      </c>
      <c r="AB496" s="4">
        <f t="shared" si="879"/>
        <v>0</v>
      </c>
      <c r="AC496" s="4"/>
      <c r="AD496" s="4" t="b">
        <f t="shared" si="880"/>
        <v>0</v>
      </c>
      <c r="AE496" s="4" t="b">
        <f t="shared" si="881"/>
        <v>0</v>
      </c>
      <c r="AF496" s="4" t="b">
        <f t="shared" si="882"/>
        <v>0</v>
      </c>
      <c r="AG496" t="b">
        <f t="shared" si="883"/>
        <v>0</v>
      </c>
      <c r="AH496" t="b">
        <f t="shared" si="884"/>
        <v>0</v>
      </c>
      <c r="AI496" t="b">
        <f t="shared" si="885"/>
        <v>0</v>
      </c>
      <c r="AJ496" t="b">
        <f t="shared" si="886"/>
        <v>0</v>
      </c>
      <c r="AK496" t="b">
        <f t="shared" si="887"/>
        <v>0</v>
      </c>
      <c r="AL496" t="b">
        <f t="shared" si="888"/>
        <v>0</v>
      </c>
      <c r="AM496" t="b">
        <f t="shared" si="889"/>
        <v>0</v>
      </c>
      <c r="AN496" t="b">
        <f t="shared" si="890"/>
        <v>0</v>
      </c>
      <c r="AO496" t="b">
        <f t="shared" si="891"/>
        <v>0</v>
      </c>
      <c r="AP496" t="b">
        <f t="shared" si="892"/>
        <v>0</v>
      </c>
      <c r="AQ496" t="b">
        <f t="shared" si="893"/>
        <v>0</v>
      </c>
      <c r="AR496" t="b">
        <f t="shared" si="894"/>
        <v>0</v>
      </c>
      <c r="AS496" t="b">
        <f t="shared" si="895"/>
        <v>0</v>
      </c>
      <c r="AT496" t="b">
        <f t="shared" si="896"/>
        <v>0</v>
      </c>
      <c r="AU496" t="b">
        <f t="shared" si="897"/>
        <v>0</v>
      </c>
      <c r="AV496" t="b">
        <f t="shared" si="898"/>
        <v>0</v>
      </c>
      <c r="AW496" t="b">
        <f t="shared" si="899"/>
        <v>0</v>
      </c>
      <c r="AX496" t="b">
        <f t="shared" si="901"/>
        <v>0</v>
      </c>
      <c r="AY496" t="b">
        <f t="shared" si="902"/>
        <v>0</v>
      </c>
      <c r="AZ496" t="b">
        <f t="shared" si="903"/>
        <v>0</v>
      </c>
      <c r="BA496" t="b">
        <f t="shared" si="904"/>
        <v>0</v>
      </c>
      <c r="BB496" t="b">
        <f t="shared" si="905"/>
        <v>0</v>
      </c>
      <c r="BC496" t="b">
        <f t="shared" si="906"/>
        <v>0</v>
      </c>
      <c r="BD496" t="b">
        <f t="shared" si="907"/>
        <v>0</v>
      </c>
      <c r="BE496" t="b">
        <f t="shared" si="908"/>
        <v>0</v>
      </c>
      <c r="BF496" t="b">
        <f t="shared" si="909"/>
        <v>0</v>
      </c>
      <c r="BG496" t="b">
        <f t="shared" si="910"/>
        <v>0</v>
      </c>
      <c r="BH496" t="b">
        <f t="shared" si="911"/>
        <v>0</v>
      </c>
      <c r="BI496">
        <f t="shared" si="912"/>
        <v>1</v>
      </c>
      <c r="BJ496" t="b">
        <f t="shared" si="913"/>
        <v>0</v>
      </c>
      <c r="BK496" t="b">
        <f t="shared" si="914"/>
        <v>0</v>
      </c>
      <c r="BL496" t="b">
        <f t="shared" si="915"/>
        <v>0</v>
      </c>
      <c r="BM496" t="b">
        <f t="shared" si="916"/>
        <v>0</v>
      </c>
      <c r="BN496" t="b">
        <f t="shared" si="917"/>
        <v>0</v>
      </c>
      <c r="BO496" t="b">
        <f t="shared" si="918"/>
        <v>0</v>
      </c>
      <c r="BP496" t="b">
        <f t="shared" si="919"/>
        <v>0</v>
      </c>
      <c r="BQ496" t="b">
        <f t="shared" si="920"/>
        <v>0</v>
      </c>
      <c r="BR496" t="b">
        <f t="shared" si="921"/>
        <v>0</v>
      </c>
      <c r="BS496" t="b">
        <f t="shared" si="922"/>
        <v>0</v>
      </c>
      <c r="BT496" t="b">
        <f t="shared" si="923"/>
        <v>0</v>
      </c>
      <c r="BU496" t="b">
        <f t="shared" si="924"/>
        <v>0</v>
      </c>
      <c r="BV496" t="b">
        <f t="shared" si="925"/>
        <v>0</v>
      </c>
      <c r="BW496" t="b">
        <f t="shared" si="926"/>
        <v>0</v>
      </c>
      <c r="BX496" t="b">
        <f t="shared" si="927"/>
        <v>0</v>
      </c>
      <c r="BY496" t="b">
        <f t="shared" si="928"/>
        <v>0</v>
      </c>
      <c r="BZ496" t="b">
        <f t="shared" si="929"/>
        <v>0</v>
      </c>
      <c r="CA496" t="b">
        <f t="shared" si="930"/>
        <v>0</v>
      </c>
      <c r="CB496" t="b">
        <f t="shared" si="931"/>
        <v>0</v>
      </c>
      <c r="CC496" t="b">
        <f t="shared" si="932"/>
        <v>0</v>
      </c>
      <c r="CD496" t="b">
        <f t="shared" si="933"/>
        <v>0</v>
      </c>
      <c r="CE496">
        <f t="shared" si="934"/>
        <v>1</v>
      </c>
      <c r="CF496" t="b">
        <f t="shared" si="935"/>
        <v>0</v>
      </c>
      <c r="CG496" t="b">
        <f t="shared" si="936"/>
        <v>0</v>
      </c>
      <c r="CH496" t="b">
        <f t="shared" si="937"/>
        <v>0</v>
      </c>
      <c r="CI496" t="b">
        <f t="shared" si="938"/>
        <v>0</v>
      </c>
      <c r="CJ496" t="b">
        <f t="shared" si="939"/>
        <v>0</v>
      </c>
      <c r="CK496" t="b">
        <f t="shared" si="940"/>
        <v>0</v>
      </c>
      <c r="CL496" t="b">
        <f t="shared" si="941"/>
        <v>0</v>
      </c>
      <c r="CM496">
        <f t="shared" si="942"/>
        <v>1</v>
      </c>
      <c r="CN496" t="b">
        <f t="shared" si="943"/>
        <v>0</v>
      </c>
      <c r="CO496" t="b">
        <f t="shared" si="944"/>
        <v>0</v>
      </c>
      <c r="CP496" t="b">
        <f t="shared" si="945"/>
        <v>0</v>
      </c>
      <c r="CQ496" t="b">
        <f t="shared" si="946"/>
        <v>0</v>
      </c>
      <c r="CR496" t="b">
        <f t="shared" si="947"/>
        <v>0</v>
      </c>
      <c r="CS496" t="b">
        <f t="shared" si="948"/>
        <v>0</v>
      </c>
      <c r="CT496" t="b">
        <f t="shared" si="949"/>
        <v>0</v>
      </c>
      <c r="CU496" t="b">
        <f t="shared" si="950"/>
        <v>0</v>
      </c>
      <c r="CV496" t="b">
        <f t="shared" si="951"/>
        <v>0</v>
      </c>
      <c r="CW496" t="b">
        <f t="shared" si="952"/>
        <v>0</v>
      </c>
      <c r="CX496" t="b">
        <f t="shared" si="953"/>
        <v>0</v>
      </c>
      <c r="CY496" t="b">
        <f t="shared" si="954"/>
        <v>0</v>
      </c>
      <c r="CZ496" t="b">
        <f t="shared" si="955"/>
        <v>0</v>
      </c>
      <c r="DA496" t="b">
        <f t="shared" si="956"/>
        <v>0</v>
      </c>
      <c r="DB496">
        <f t="shared" si="957"/>
        <v>1</v>
      </c>
      <c r="DC496" t="b">
        <f t="shared" si="958"/>
        <v>0</v>
      </c>
      <c r="DD496" t="b">
        <f t="shared" si="959"/>
        <v>0</v>
      </c>
      <c r="DE496" t="b">
        <f t="shared" si="960"/>
        <v>0</v>
      </c>
      <c r="DF496" t="b">
        <f t="shared" si="961"/>
        <v>0</v>
      </c>
      <c r="DG496">
        <f t="shared" si="962"/>
        <v>1</v>
      </c>
      <c r="DH496" t="b">
        <f t="shared" si="963"/>
        <v>0</v>
      </c>
      <c r="DI496" t="b">
        <f t="shared" si="964"/>
        <v>0</v>
      </c>
      <c r="DJ496">
        <f t="shared" si="965"/>
        <v>1</v>
      </c>
      <c r="DK496" t="b">
        <f t="shared" si="966"/>
        <v>0</v>
      </c>
      <c r="DL496" t="b">
        <f t="shared" si="967"/>
        <v>0</v>
      </c>
      <c r="DM496" t="b">
        <f t="shared" si="968"/>
        <v>0</v>
      </c>
      <c r="DN496" t="b">
        <f t="shared" si="969"/>
        <v>0</v>
      </c>
      <c r="DO496" t="b">
        <f t="shared" si="970"/>
        <v>0</v>
      </c>
      <c r="DP496" t="b">
        <f t="shared" si="971"/>
        <v>0</v>
      </c>
      <c r="DQ496" t="b">
        <f t="shared" si="972"/>
        <v>0</v>
      </c>
      <c r="DR496" t="b">
        <f t="shared" si="973"/>
        <v>0</v>
      </c>
      <c r="DS496" t="b">
        <f t="shared" si="974"/>
        <v>0</v>
      </c>
      <c r="DT496" t="b">
        <f t="shared" si="975"/>
        <v>0</v>
      </c>
      <c r="DU496" t="b">
        <f t="shared" si="976"/>
        <v>0</v>
      </c>
      <c r="DV496" t="b">
        <f t="shared" si="977"/>
        <v>0</v>
      </c>
      <c r="DW496" t="b">
        <f t="shared" si="978"/>
        <v>0</v>
      </c>
      <c r="DX496" t="b">
        <f t="shared" si="979"/>
        <v>0</v>
      </c>
      <c r="DY496" t="b">
        <f t="shared" si="980"/>
        <v>0</v>
      </c>
      <c r="DZ496" t="b">
        <f t="shared" si="981"/>
        <v>0</v>
      </c>
      <c r="EA496" t="b">
        <f t="shared" si="982"/>
        <v>0</v>
      </c>
      <c r="EB496" t="b">
        <f t="shared" si="983"/>
        <v>0</v>
      </c>
      <c r="EC496" t="b">
        <f t="shared" si="984"/>
        <v>0</v>
      </c>
      <c r="ED496" t="b">
        <f t="shared" si="985"/>
        <v>0</v>
      </c>
      <c r="EE496" t="b">
        <f t="shared" si="986"/>
        <v>0</v>
      </c>
      <c r="EF496" t="b">
        <f t="shared" si="987"/>
        <v>0</v>
      </c>
      <c r="EG496" t="b">
        <f t="shared" si="988"/>
        <v>0</v>
      </c>
      <c r="EH496" t="b">
        <f t="shared" si="989"/>
        <v>0</v>
      </c>
      <c r="EI496" t="b">
        <f t="shared" si="990"/>
        <v>0</v>
      </c>
      <c r="EJ496" t="b">
        <f t="shared" si="991"/>
        <v>0</v>
      </c>
      <c r="EK496" t="b">
        <f t="shared" si="992"/>
        <v>0</v>
      </c>
    </row>
    <row r="497" spans="1:141">
      <c r="A497" t="s">
        <v>2521</v>
      </c>
      <c r="B497" t="s">
        <v>2521</v>
      </c>
      <c r="C497" t="s">
        <v>2522</v>
      </c>
      <c r="D497" s="1">
        <v>44054</v>
      </c>
      <c r="E497" s="2">
        <v>44581.00540509259</v>
      </c>
      <c r="F497" s="2">
        <v>44581.00540509259</v>
      </c>
      <c r="G497">
        <v>73944</v>
      </c>
      <c r="H497" t="s">
        <v>2523</v>
      </c>
      <c r="I497" s="10" t="s">
        <v>2524</v>
      </c>
      <c r="J497" t="s">
        <v>581</v>
      </c>
      <c r="K497" s="8" t="b">
        <v>1</v>
      </c>
      <c r="L497" s="10" t="b">
        <v>0</v>
      </c>
      <c r="M497" s="12" t="b">
        <v>1</v>
      </c>
      <c r="N497" t="b">
        <v>0</v>
      </c>
      <c r="O497" t="b">
        <v>0</v>
      </c>
      <c r="P497" t="b">
        <v>0</v>
      </c>
      <c r="Q497">
        <f t="shared" si="869"/>
        <v>3</v>
      </c>
      <c r="R497">
        <f t="shared" si="870"/>
        <v>8</v>
      </c>
      <c r="S497" t="e">
        <f t="shared" ca="1" si="900"/>
        <v>#NAME?</v>
      </c>
      <c r="T497" t="e">
        <f t="shared" ca="1" si="871"/>
        <v>#NAME?</v>
      </c>
      <c r="U497" s="4">
        <f t="shared" si="872"/>
        <v>527.00540509259008</v>
      </c>
      <c r="V497" s="4">
        <f t="shared" si="873"/>
        <v>17.566846836419668</v>
      </c>
      <c r="W497" s="4">
        <f t="shared" si="874"/>
        <v>1</v>
      </c>
      <c r="X497" s="4">
        <f t="shared" si="875"/>
        <v>0</v>
      </c>
      <c r="Y497" s="4">
        <f t="shared" si="876"/>
        <v>1</v>
      </c>
      <c r="Z497" s="4">
        <f t="shared" si="877"/>
        <v>0</v>
      </c>
      <c r="AA497" s="4">
        <f t="shared" si="878"/>
        <v>0</v>
      </c>
      <c r="AB497" s="4">
        <f t="shared" si="879"/>
        <v>0</v>
      </c>
      <c r="AC497" s="4"/>
      <c r="AD497" s="4" t="b">
        <f t="shared" si="880"/>
        <v>0</v>
      </c>
      <c r="AE497" s="4" t="b">
        <f t="shared" si="881"/>
        <v>0</v>
      </c>
      <c r="AF497" s="4" t="b">
        <f t="shared" si="882"/>
        <v>0</v>
      </c>
      <c r="AG497" t="b">
        <f t="shared" si="883"/>
        <v>0</v>
      </c>
      <c r="AH497" t="b">
        <f t="shared" si="884"/>
        <v>0</v>
      </c>
      <c r="AI497" t="b">
        <f t="shared" si="885"/>
        <v>0</v>
      </c>
      <c r="AJ497" t="b">
        <f t="shared" si="886"/>
        <v>0</v>
      </c>
      <c r="AK497" t="b">
        <f t="shared" si="887"/>
        <v>0</v>
      </c>
      <c r="AL497" t="b">
        <f t="shared" si="888"/>
        <v>0</v>
      </c>
      <c r="AM497" t="b">
        <f t="shared" si="889"/>
        <v>0</v>
      </c>
      <c r="AN497" t="b">
        <f t="shared" si="890"/>
        <v>0</v>
      </c>
      <c r="AO497" t="b">
        <f t="shared" si="891"/>
        <v>0</v>
      </c>
      <c r="AP497" t="b">
        <f t="shared" si="892"/>
        <v>0</v>
      </c>
      <c r="AQ497" t="b">
        <f t="shared" si="893"/>
        <v>0</v>
      </c>
      <c r="AR497" t="b">
        <f t="shared" si="894"/>
        <v>0</v>
      </c>
      <c r="AS497" t="b">
        <f t="shared" si="895"/>
        <v>0</v>
      </c>
      <c r="AT497" t="b">
        <f t="shared" si="896"/>
        <v>0</v>
      </c>
      <c r="AU497" t="b">
        <f t="shared" si="897"/>
        <v>0</v>
      </c>
      <c r="AV497" t="b">
        <f t="shared" si="898"/>
        <v>0</v>
      </c>
      <c r="AW497" t="b">
        <f t="shared" si="899"/>
        <v>0</v>
      </c>
      <c r="AX497" t="b">
        <f t="shared" si="901"/>
        <v>0</v>
      </c>
      <c r="AY497" t="b">
        <f t="shared" si="902"/>
        <v>0</v>
      </c>
      <c r="AZ497" t="b">
        <f t="shared" si="903"/>
        <v>0</v>
      </c>
      <c r="BA497" t="b">
        <f t="shared" si="904"/>
        <v>0</v>
      </c>
      <c r="BB497" t="b">
        <f t="shared" si="905"/>
        <v>0</v>
      </c>
      <c r="BC497" t="b">
        <f t="shared" si="906"/>
        <v>0</v>
      </c>
      <c r="BD497" t="b">
        <f t="shared" si="907"/>
        <v>0</v>
      </c>
      <c r="BE497" t="b">
        <f t="shared" si="908"/>
        <v>0</v>
      </c>
      <c r="BF497" t="b">
        <f t="shared" si="909"/>
        <v>0</v>
      </c>
      <c r="BG497" t="b">
        <f t="shared" si="910"/>
        <v>0</v>
      </c>
      <c r="BH497" t="b">
        <f t="shared" si="911"/>
        <v>0</v>
      </c>
      <c r="BI497">
        <f t="shared" si="912"/>
        <v>1</v>
      </c>
      <c r="BJ497" t="b">
        <f t="shared" si="913"/>
        <v>0</v>
      </c>
      <c r="BK497" t="b">
        <f t="shared" si="914"/>
        <v>0</v>
      </c>
      <c r="BL497" t="b">
        <f t="shared" si="915"/>
        <v>0</v>
      </c>
      <c r="BM497" t="b">
        <f t="shared" si="916"/>
        <v>0</v>
      </c>
      <c r="BN497" t="b">
        <f t="shared" si="917"/>
        <v>0</v>
      </c>
      <c r="BO497" t="b">
        <f t="shared" si="918"/>
        <v>0</v>
      </c>
      <c r="BP497" t="b">
        <f t="shared" si="919"/>
        <v>0</v>
      </c>
      <c r="BQ497" t="b">
        <f t="shared" si="920"/>
        <v>0</v>
      </c>
      <c r="BR497">
        <f t="shared" si="921"/>
        <v>1</v>
      </c>
      <c r="BS497" t="b">
        <f t="shared" si="922"/>
        <v>0</v>
      </c>
      <c r="BT497" t="b">
        <f t="shared" si="923"/>
        <v>0</v>
      </c>
      <c r="BU497" t="b">
        <f t="shared" si="924"/>
        <v>0</v>
      </c>
      <c r="BV497" t="b">
        <f t="shared" si="925"/>
        <v>0</v>
      </c>
      <c r="BW497" t="b">
        <f t="shared" si="926"/>
        <v>0</v>
      </c>
      <c r="BX497" t="b">
        <f t="shared" si="927"/>
        <v>0</v>
      </c>
      <c r="BY497" t="b">
        <f t="shared" si="928"/>
        <v>0</v>
      </c>
      <c r="BZ497" t="b">
        <f t="shared" si="929"/>
        <v>0</v>
      </c>
      <c r="CA497" t="b">
        <f t="shared" si="930"/>
        <v>0</v>
      </c>
      <c r="CB497" t="b">
        <f t="shared" si="931"/>
        <v>0</v>
      </c>
      <c r="CC497" t="b">
        <f t="shared" si="932"/>
        <v>0</v>
      </c>
      <c r="CD497" t="b">
        <f t="shared" si="933"/>
        <v>0</v>
      </c>
      <c r="CE497">
        <f t="shared" si="934"/>
        <v>1</v>
      </c>
      <c r="CF497" t="b">
        <f t="shared" si="935"/>
        <v>0</v>
      </c>
      <c r="CG497" t="b">
        <f t="shared" si="936"/>
        <v>0</v>
      </c>
      <c r="CH497" t="b">
        <f t="shared" si="937"/>
        <v>0</v>
      </c>
      <c r="CI497" t="b">
        <f t="shared" si="938"/>
        <v>0</v>
      </c>
      <c r="CJ497" t="b">
        <f t="shared" si="939"/>
        <v>0</v>
      </c>
      <c r="CK497" t="b">
        <f t="shared" si="940"/>
        <v>0</v>
      </c>
      <c r="CL497" t="b">
        <f t="shared" si="941"/>
        <v>0</v>
      </c>
      <c r="CM497" t="b">
        <f t="shared" si="942"/>
        <v>0</v>
      </c>
      <c r="CN497" t="b">
        <f t="shared" si="943"/>
        <v>0</v>
      </c>
      <c r="CO497" t="b">
        <f t="shared" si="944"/>
        <v>0</v>
      </c>
      <c r="CP497" t="b">
        <f t="shared" si="945"/>
        <v>0</v>
      </c>
      <c r="CQ497" t="b">
        <f t="shared" si="946"/>
        <v>0</v>
      </c>
      <c r="CR497" t="b">
        <f t="shared" si="947"/>
        <v>0</v>
      </c>
      <c r="CS497" t="b">
        <f t="shared" si="948"/>
        <v>0</v>
      </c>
      <c r="CT497" t="b">
        <f t="shared" si="949"/>
        <v>0</v>
      </c>
      <c r="CU497" t="b">
        <f t="shared" si="950"/>
        <v>0</v>
      </c>
      <c r="CV497">
        <f t="shared" si="951"/>
        <v>1</v>
      </c>
      <c r="CW497" t="b">
        <f t="shared" si="952"/>
        <v>0</v>
      </c>
      <c r="CX497" t="b">
        <f t="shared" si="953"/>
        <v>0</v>
      </c>
      <c r="CY497" t="b">
        <f t="shared" si="954"/>
        <v>0</v>
      </c>
      <c r="CZ497" t="b">
        <f t="shared" si="955"/>
        <v>0</v>
      </c>
      <c r="DA497" t="b">
        <f t="shared" si="956"/>
        <v>0</v>
      </c>
      <c r="DB497" t="b">
        <f t="shared" si="957"/>
        <v>0</v>
      </c>
      <c r="DC497" t="b">
        <f t="shared" si="958"/>
        <v>0</v>
      </c>
      <c r="DD497" t="b">
        <f t="shared" si="959"/>
        <v>0</v>
      </c>
      <c r="DE497" t="b">
        <f t="shared" si="960"/>
        <v>0</v>
      </c>
      <c r="DF497" t="b">
        <f t="shared" si="961"/>
        <v>0</v>
      </c>
      <c r="DG497">
        <f t="shared" si="962"/>
        <v>1</v>
      </c>
      <c r="DH497" t="b">
        <f t="shared" si="963"/>
        <v>0</v>
      </c>
      <c r="DI497" t="b">
        <f t="shared" si="964"/>
        <v>0</v>
      </c>
      <c r="DJ497" t="b">
        <f t="shared" si="965"/>
        <v>0</v>
      </c>
      <c r="DK497" t="b">
        <f t="shared" si="966"/>
        <v>0</v>
      </c>
      <c r="DL497" t="b">
        <f t="shared" si="967"/>
        <v>0</v>
      </c>
      <c r="DM497" t="b">
        <f t="shared" si="968"/>
        <v>0</v>
      </c>
      <c r="DN497" t="b">
        <f t="shared" si="969"/>
        <v>0</v>
      </c>
      <c r="DO497" t="b">
        <f t="shared" si="970"/>
        <v>0</v>
      </c>
      <c r="DP497" t="b">
        <f t="shared" si="971"/>
        <v>0</v>
      </c>
      <c r="DQ497" t="b">
        <f t="shared" si="972"/>
        <v>0</v>
      </c>
      <c r="DR497" t="b">
        <f t="shared" si="973"/>
        <v>0</v>
      </c>
      <c r="DS497" t="b">
        <f t="shared" si="974"/>
        <v>0</v>
      </c>
      <c r="DT497" t="b">
        <f t="shared" si="975"/>
        <v>0</v>
      </c>
      <c r="DU497" t="b">
        <f t="shared" si="976"/>
        <v>0</v>
      </c>
      <c r="DV497" t="b">
        <f t="shared" si="977"/>
        <v>0</v>
      </c>
      <c r="DW497" t="b">
        <f t="shared" si="978"/>
        <v>0</v>
      </c>
      <c r="DX497" t="b">
        <f t="shared" si="979"/>
        <v>0</v>
      </c>
      <c r="DY497" t="b">
        <f t="shared" si="980"/>
        <v>0</v>
      </c>
      <c r="DZ497" t="b">
        <f t="shared" si="981"/>
        <v>0</v>
      </c>
      <c r="EA497" t="b">
        <f t="shared" si="982"/>
        <v>0</v>
      </c>
      <c r="EB497" t="b">
        <f t="shared" si="983"/>
        <v>0</v>
      </c>
      <c r="EC497" t="b">
        <f t="shared" si="984"/>
        <v>0</v>
      </c>
      <c r="ED497" t="b">
        <f t="shared" si="985"/>
        <v>0</v>
      </c>
      <c r="EE497" t="b">
        <f t="shared" si="986"/>
        <v>0</v>
      </c>
      <c r="EF497">
        <f t="shared" si="987"/>
        <v>1</v>
      </c>
      <c r="EG497" t="b">
        <f t="shared" si="988"/>
        <v>0</v>
      </c>
      <c r="EH497" t="b">
        <f t="shared" si="989"/>
        <v>0</v>
      </c>
      <c r="EI497" t="b">
        <f t="shared" si="990"/>
        <v>0</v>
      </c>
      <c r="EJ497" t="b">
        <f t="shared" si="991"/>
        <v>0</v>
      </c>
      <c r="EK497" t="b">
        <f t="shared" si="992"/>
        <v>0</v>
      </c>
    </row>
    <row r="498" spans="1:141">
      <c r="A498" t="s">
        <v>2525</v>
      </c>
      <c r="B498" t="s">
        <v>2525</v>
      </c>
      <c r="C498" t="s">
        <v>2526</v>
      </c>
      <c r="D498" s="1">
        <v>44091</v>
      </c>
      <c r="E498" s="2">
        <v>44311.237083333333</v>
      </c>
      <c r="F498" s="2">
        <v>44311.237083333333</v>
      </c>
      <c r="G498">
        <v>20529819</v>
      </c>
      <c r="H498" t="s">
        <v>2527</v>
      </c>
      <c r="I498" s="10" t="s">
        <v>2528</v>
      </c>
      <c r="J498" t="s">
        <v>1412</v>
      </c>
      <c r="K498" s="8" t="b">
        <v>1</v>
      </c>
      <c r="L498" s="10" t="b">
        <v>0</v>
      </c>
      <c r="M498" s="12" t="b">
        <v>0</v>
      </c>
      <c r="N498" t="b">
        <v>0</v>
      </c>
      <c r="O498" t="b">
        <v>0</v>
      </c>
      <c r="P498" t="b">
        <v>0</v>
      </c>
      <c r="Q498">
        <f t="shared" si="869"/>
        <v>5</v>
      </c>
      <c r="R498">
        <f t="shared" si="870"/>
        <v>9</v>
      </c>
      <c r="S498" t="e">
        <f t="shared" ca="1" si="900"/>
        <v>#NAME?</v>
      </c>
      <c r="T498" t="e">
        <f t="shared" ca="1" si="871"/>
        <v>#NAME?</v>
      </c>
      <c r="U498" s="4">
        <f t="shared" si="872"/>
        <v>220.23708333333343</v>
      </c>
      <c r="V498" s="4">
        <f t="shared" si="873"/>
        <v>7.3412361111111144</v>
      </c>
      <c r="W498" s="4">
        <f t="shared" si="874"/>
        <v>1</v>
      </c>
      <c r="X498" s="4">
        <f t="shared" si="875"/>
        <v>0</v>
      </c>
      <c r="Y498" s="4">
        <f t="shared" si="876"/>
        <v>0</v>
      </c>
      <c r="Z498" s="4">
        <f t="shared" si="877"/>
        <v>0</v>
      </c>
      <c r="AA498" s="4">
        <f t="shared" si="878"/>
        <v>0</v>
      </c>
      <c r="AB498" s="4">
        <f t="shared" si="879"/>
        <v>0</v>
      </c>
      <c r="AC498" s="4"/>
      <c r="AD498" s="4" t="b">
        <f t="shared" si="880"/>
        <v>0</v>
      </c>
      <c r="AE498" s="4" t="b">
        <f t="shared" si="881"/>
        <v>0</v>
      </c>
      <c r="AF498" s="4" t="b">
        <f t="shared" si="882"/>
        <v>0</v>
      </c>
      <c r="AG498" t="b">
        <f t="shared" si="883"/>
        <v>0</v>
      </c>
      <c r="AH498" t="b">
        <f t="shared" si="884"/>
        <v>0</v>
      </c>
      <c r="AI498" t="b">
        <f t="shared" si="885"/>
        <v>0</v>
      </c>
      <c r="AJ498" t="b">
        <f t="shared" si="886"/>
        <v>0</v>
      </c>
      <c r="AK498" t="b">
        <f t="shared" si="887"/>
        <v>0</v>
      </c>
      <c r="AL498" t="b">
        <f t="shared" si="888"/>
        <v>0</v>
      </c>
      <c r="AM498" t="b">
        <f t="shared" si="889"/>
        <v>0</v>
      </c>
      <c r="AN498" t="b">
        <f t="shared" si="890"/>
        <v>0</v>
      </c>
      <c r="AO498" t="b">
        <f t="shared" si="891"/>
        <v>0</v>
      </c>
      <c r="AP498" t="b">
        <f t="shared" si="892"/>
        <v>0</v>
      </c>
      <c r="AQ498" t="b">
        <f t="shared" si="893"/>
        <v>0</v>
      </c>
      <c r="AR498" t="b">
        <f t="shared" si="894"/>
        <v>0</v>
      </c>
      <c r="AS498" t="b">
        <f t="shared" si="895"/>
        <v>0</v>
      </c>
      <c r="AT498" t="b">
        <f t="shared" si="896"/>
        <v>0</v>
      </c>
      <c r="AU498" t="b">
        <f t="shared" si="897"/>
        <v>0</v>
      </c>
      <c r="AV498" t="b">
        <f t="shared" si="898"/>
        <v>0</v>
      </c>
      <c r="AW498" t="b">
        <f t="shared" si="899"/>
        <v>0</v>
      </c>
      <c r="AX498" t="b">
        <f t="shared" si="901"/>
        <v>0</v>
      </c>
      <c r="AY498" t="b">
        <f t="shared" si="902"/>
        <v>0</v>
      </c>
      <c r="AZ498" t="b">
        <f t="shared" si="903"/>
        <v>0</v>
      </c>
      <c r="BA498" t="b">
        <f t="shared" si="904"/>
        <v>0</v>
      </c>
      <c r="BB498" t="b">
        <f t="shared" si="905"/>
        <v>0</v>
      </c>
      <c r="BC498" t="b">
        <f t="shared" si="906"/>
        <v>0</v>
      </c>
      <c r="BD498" t="b">
        <f t="shared" si="907"/>
        <v>0</v>
      </c>
      <c r="BE498" t="b">
        <f t="shared" si="908"/>
        <v>0</v>
      </c>
      <c r="BF498" t="b">
        <f t="shared" si="909"/>
        <v>0</v>
      </c>
      <c r="BG498" t="b">
        <f t="shared" si="910"/>
        <v>0</v>
      </c>
      <c r="BH498" t="b">
        <f t="shared" si="911"/>
        <v>0</v>
      </c>
      <c r="BI498">
        <f t="shared" si="912"/>
        <v>1</v>
      </c>
      <c r="BJ498" t="b">
        <f t="shared" si="913"/>
        <v>0</v>
      </c>
      <c r="BK498" t="b">
        <f t="shared" si="914"/>
        <v>0</v>
      </c>
      <c r="BL498" t="b">
        <f t="shared" si="915"/>
        <v>0</v>
      </c>
      <c r="BM498" t="b">
        <f t="shared" si="916"/>
        <v>0</v>
      </c>
      <c r="BN498" t="b">
        <f t="shared" si="917"/>
        <v>0</v>
      </c>
      <c r="BO498" t="b">
        <f t="shared" si="918"/>
        <v>0</v>
      </c>
      <c r="BP498" t="b">
        <f t="shared" si="919"/>
        <v>0</v>
      </c>
      <c r="BQ498" t="b">
        <f t="shared" si="920"/>
        <v>0</v>
      </c>
      <c r="BR498" t="b">
        <f t="shared" si="921"/>
        <v>0</v>
      </c>
      <c r="BS498">
        <f t="shared" si="922"/>
        <v>1</v>
      </c>
      <c r="BT498" t="b">
        <f t="shared" si="923"/>
        <v>0</v>
      </c>
      <c r="BU498" t="b">
        <f t="shared" si="924"/>
        <v>0</v>
      </c>
      <c r="BV498" t="b">
        <f t="shared" si="925"/>
        <v>0</v>
      </c>
      <c r="BW498" t="b">
        <f t="shared" si="926"/>
        <v>0</v>
      </c>
      <c r="BX498" t="b">
        <f t="shared" si="927"/>
        <v>0</v>
      </c>
      <c r="BY498" t="b">
        <f t="shared" si="928"/>
        <v>0</v>
      </c>
      <c r="BZ498" t="b">
        <f t="shared" si="929"/>
        <v>0</v>
      </c>
      <c r="CA498" t="b">
        <f t="shared" si="930"/>
        <v>0</v>
      </c>
      <c r="CB498" t="b">
        <f t="shared" si="931"/>
        <v>0</v>
      </c>
      <c r="CC498" t="b">
        <f t="shared" si="932"/>
        <v>0</v>
      </c>
      <c r="CD498" t="b">
        <f t="shared" si="933"/>
        <v>0</v>
      </c>
      <c r="CE498" t="b">
        <f t="shared" si="934"/>
        <v>0</v>
      </c>
      <c r="CF498" t="b">
        <f t="shared" si="935"/>
        <v>0</v>
      </c>
      <c r="CG498" t="b">
        <f t="shared" si="936"/>
        <v>0</v>
      </c>
      <c r="CH498" t="b">
        <f t="shared" si="937"/>
        <v>0</v>
      </c>
      <c r="CI498" t="b">
        <f t="shared" si="938"/>
        <v>0</v>
      </c>
      <c r="CJ498" t="b">
        <f t="shared" si="939"/>
        <v>0</v>
      </c>
      <c r="CK498" t="b">
        <f t="shared" si="940"/>
        <v>0</v>
      </c>
      <c r="CL498" t="b">
        <f t="shared" si="941"/>
        <v>0</v>
      </c>
      <c r="CM498">
        <f t="shared" si="942"/>
        <v>1</v>
      </c>
      <c r="CN498" t="b">
        <f t="shared" si="943"/>
        <v>0</v>
      </c>
      <c r="CO498" t="b">
        <f t="shared" si="944"/>
        <v>0</v>
      </c>
      <c r="CP498" t="b">
        <f t="shared" si="945"/>
        <v>0</v>
      </c>
      <c r="CQ498" t="b">
        <f t="shared" si="946"/>
        <v>0</v>
      </c>
      <c r="CR498" t="b">
        <f t="shared" si="947"/>
        <v>0</v>
      </c>
      <c r="CS498" t="b">
        <f t="shared" si="948"/>
        <v>0</v>
      </c>
      <c r="CT498" t="b">
        <f t="shared" si="949"/>
        <v>0</v>
      </c>
      <c r="CU498" t="b">
        <f t="shared" si="950"/>
        <v>0</v>
      </c>
      <c r="CV498">
        <f t="shared" si="951"/>
        <v>1</v>
      </c>
      <c r="CW498" t="b">
        <f t="shared" si="952"/>
        <v>0</v>
      </c>
      <c r="CX498" t="b">
        <f t="shared" si="953"/>
        <v>0</v>
      </c>
      <c r="CY498" t="b">
        <f t="shared" si="954"/>
        <v>0</v>
      </c>
      <c r="CZ498" t="b">
        <f t="shared" si="955"/>
        <v>0</v>
      </c>
      <c r="DA498">
        <f t="shared" si="956"/>
        <v>1</v>
      </c>
      <c r="DB498" t="b">
        <f t="shared" si="957"/>
        <v>0</v>
      </c>
      <c r="DC498" t="b">
        <f t="shared" si="958"/>
        <v>0</v>
      </c>
      <c r="DD498" t="b">
        <f t="shared" si="959"/>
        <v>0</v>
      </c>
      <c r="DE498" t="b">
        <f t="shared" si="960"/>
        <v>0</v>
      </c>
      <c r="DF498" t="b">
        <f t="shared" si="961"/>
        <v>0</v>
      </c>
      <c r="DG498" t="b">
        <f t="shared" si="962"/>
        <v>0</v>
      </c>
      <c r="DH498" t="b">
        <f t="shared" si="963"/>
        <v>0</v>
      </c>
      <c r="DI498" t="b">
        <f t="shared" si="964"/>
        <v>0</v>
      </c>
      <c r="DJ498" t="b">
        <f t="shared" si="965"/>
        <v>0</v>
      </c>
      <c r="DK498" t="b">
        <f t="shared" si="966"/>
        <v>0</v>
      </c>
      <c r="DL498" t="b">
        <f t="shared" si="967"/>
        <v>0</v>
      </c>
      <c r="DM498" t="b">
        <f t="shared" si="968"/>
        <v>0</v>
      </c>
      <c r="DN498" t="b">
        <f t="shared" si="969"/>
        <v>0</v>
      </c>
      <c r="DO498" t="b">
        <f t="shared" si="970"/>
        <v>0</v>
      </c>
      <c r="DP498" t="b">
        <f t="shared" si="971"/>
        <v>0</v>
      </c>
      <c r="DQ498" t="b">
        <f t="shared" si="972"/>
        <v>0</v>
      </c>
      <c r="DR498" t="b">
        <f t="shared" si="973"/>
        <v>0</v>
      </c>
      <c r="DS498" t="b">
        <f t="shared" si="974"/>
        <v>0</v>
      </c>
      <c r="DT498" t="b">
        <f t="shared" si="975"/>
        <v>0</v>
      </c>
      <c r="DU498" t="b">
        <f t="shared" si="976"/>
        <v>0</v>
      </c>
      <c r="DV498" t="b">
        <f t="shared" si="977"/>
        <v>0</v>
      </c>
      <c r="DW498" t="b">
        <f t="shared" si="978"/>
        <v>0</v>
      </c>
      <c r="DX498" t="b">
        <f t="shared" si="979"/>
        <v>0</v>
      </c>
      <c r="DY498" t="b">
        <f t="shared" si="980"/>
        <v>0</v>
      </c>
      <c r="DZ498" t="b">
        <f t="shared" si="981"/>
        <v>0</v>
      </c>
      <c r="EA498" t="b">
        <f t="shared" si="982"/>
        <v>0</v>
      </c>
      <c r="EB498" t="b">
        <f t="shared" si="983"/>
        <v>0</v>
      </c>
      <c r="EC498" t="b">
        <f t="shared" si="984"/>
        <v>0</v>
      </c>
      <c r="ED498" t="b">
        <f t="shared" si="985"/>
        <v>0</v>
      </c>
      <c r="EE498" t="b">
        <f t="shared" si="986"/>
        <v>0</v>
      </c>
      <c r="EF498" t="b">
        <f t="shared" si="987"/>
        <v>0</v>
      </c>
      <c r="EG498" t="b">
        <f t="shared" si="988"/>
        <v>0</v>
      </c>
      <c r="EH498" t="b">
        <f t="shared" si="989"/>
        <v>0</v>
      </c>
      <c r="EI498" t="b">
        <f t="shared" si="990"/>
        <v>0</v>
      </c>
      <c r="EJ498" t="b">
        <f t="shared" si="991"/>
        <v>0</v>
      </c>
      <c r="EK498" t="b">
        <f t="shared" si="992"/>
        <v>0</v>
      </c>
    </row>
    <row r="499" spans="1:141">
      <c r="A499" t="s">
        <v>2529</v>
      </c>
      <c r="B499" t="s">
        <v>2530</v>
      </c>
      <c r="C499" t="s">
        <v>2531</v>
      </c>
      <c r="D499" s="1">
        <v>44373</v>
      </c>
      <c r="E499" s="2">
        <v>44396.201192129629</v>
      </c>
      <c r="F499" s="2">
        <v>44396.201192129629</v>
      </c>
      <c r="G499">
        <v>505466</v>
      </c>
      <c r="H499" t="s">
        <v>2532</v>
      </c>
      <c r="I499" s="10" t="s">
        <v>2533</v>
      </c>
      <c r="J499" t="s">
        <v>2534</v>
      </c>
      <c r="K499" s="8" t="b">
        <v>1</v>
      </c>
      <c r="L499" s="10" t="b">
        <v>0</v>
      </c>
      <c r="M499" s="12" t="b">
        <v>0</v>
      </c>
      <c r="N499" t="b">
        <v>0</v>
      </c>
      <c r="O499" t="b">
        <v>0</v>
      </c>
      <c r="P499" t="b">
        <v>0</v>
      </c>
      <c r="Q499">
        <f t="shared" si="869"/>
        <v>7</v>
      </c>
      <c r="R499">
        <f t="shared" si="870"/>
        <v>6</v>
      </c>
      <c r="S499" t="e">
        <f t="shared" ca="1" si="900"/>
        <v>#NAME?</v>
      </c>
      <c r="T499" t="e">
        <f t="shared" ca="1" si="871"/>
        <v>#NAME?</v>
      </c>
      <c r="U499" s="4">
        <f t="shared" si="872"/>
        <v>23.201192129628907</v>
      </c>
      <c r="V499" s="4">
        <f t="shared" si="873"/>
        <v>0.7733730709876302</v>
      </c>
      <c r="W499" s="4">
        <f t="shared" si="874"/>
        <v>1</v>
      </c>
      <c r="X499" s="4">
        <f t="shared" si="875"/>
        <v>0</v>
      </c>
      <c r="Y499" s="4">
        <f t="shared" si="876"/>
        <v>0</v>
      </c>
      <c r="Z499" s="4">
        <f t="shared" si="877"/>
        <v>0</v>
      </c>
      <c r="AA499" s="4">
        <f t="shared" si="878"/>
        <v>0</v>
      </c>
      <c r="AB499" s="4">
        <f t="shared" si="879"/>
        <v>0</v>
      </c>
      <c r="AC499" s="4"/>
      <c r="AD499" s="4" t="b">
        <f t="shared" si="880"/>
        <v>0</v>
      </c>
      <c r="AE499" s="4" t="b">
        <f t="shared" si="881"/>
        <v>0</v>
      </c>
      <c r="AF499" s="4" t="b">
        <f t="shared" si="882"/>
        <v>0</v>
      </c>
      <c r="AG499" t="b">
        <f t="shared" si="883"/>
        <v>0</v>
      </c>
      <c r="AH499" t="b">
        <f t="shared" si="884"/>
        <v>0</v>
      </c>
      <c r="AI499" t="b">
        <f t="shared" si="885"/>
        <v>0</v>
      </c>
      <c r="AJ499" t="b">
        <f t="shared" si="886"/>
        <v>0</v>
      </c>
      <c r="AK499" t="b">
        <f t="shared" si="887"/>
        <v>0</v>
      </c>
      <c r="AL499" t="b">
        <f t="shared" si="888"/>
        <v>0</v>
      </c>
      <c r="AM499" t="b">
        <f t="shared" si="889"/>
        <v>0</v>
      </c>
      <c r="AN499" t="b">
        <f t="shared" si="890"/>
        <v>0</v>
      </c>
      <c r="AO499" t="b">
        <f t="shared" si="891"/>
        <v>0</v>
      </c>
      <c r="AP499" t="b">
        <f t="shared" si="892"/>
        <v>0</v>
      </c>
      <c r="AQ499" t="b">
        <f t="shared" si="893"/>
        <v>0</v>
      </c>
      <c r="AR499" t="b">
        <f t="shared" si="894"/>
        <v>0</v>
      </c>
      <c r="AS499" t="b">
        <f t="shared" si="895"/>
        <v>0</v>
      </c>
      <c r="AT499" t="b">
        <f t="shared" si="896"/>
        <v>0</v>
      </c>
      <c r="AU499" t="b">
        <f t="shared" si="897"/>
        <v>0</v>
      </c>
      <c r="AV499" t="b">
        <f t="shared" si="898"/>
        <v>0</v>
      </c>
      <c r="AW499" t="b">
        <f t="shared" si="899"/>
        <v>0</v>
      </c>
      <c r="AX499" t="b">
        <f t="shared" si="901"/>
        <v>0</v>
      </c>
      <c r="AY499" t="b">
        <f t="shared" si="902"/>
        <v>0</v>
      </c>
      <c r="AZ499">
        <f t="shared" si="903"/>
        <v>1</v>
      </c>
      <c r="BA499" t="b">
        <f t="shared" si="904"/>
        <v>0</v>
      </c>
      <c r="BB499" t="b">
        <f t="shared" si="905"/>
        <v>0</v>
      </c>
      <c r="BC499" t="b">
        <f t="shared" si="906"/>
        <v>0</v>
      </c>
      <c r="BD499" t="b">
        <f t="shared" si="907"/>
        <v>0</v>
      </c>
      <c r="BE499" t="b">
        <f t="shared" si="908"/>
        <v>0</v>
      </c>
      <c r="BF499" t="b">
        <f t="shared" si="909"/>
        <v>0</v>
      </c>
      <c r="BG499" t="b">
        <f t="shared" si="910"/>
        <v>0</v>
      </c>
      <c r="BH499" t="b">
        <f t="shared" si="911"/>
        <v>0</v>
      </c>
      <c r="BI499">
        <f t="shared" si="912"/>
        <v>1</v>
      </c>
      <c r="BJ499" t="b">
        <f t="shared" si="913"/>
        <v>0</v>
      </c>
      <c r="BK499" t="b">
        <f t="shared" si="914"/>
        <v>0</v>
      </c>
      <c r="BL499" t="b">
        <f t="shared" si="915"/>
        <v>0</v>
      </c>
      <c r="BM499" t="b">
        <f t="shared" si="916"/>
        <v>0</v>
      </c>
      <c r="BN499" t="b">
        <f t="shared" si="917"/>
        <v>0</v>
      </c>
      <c r="BO499" t="b">
        <f t="shared" si="918"/>
        <v>0</v>
      </c>
      <c r="BP499" t="b">
        <f t="shared" si="919"/>
        <v>0</v>
      </c>
      <c r="BQ499" t="b">
        <f t="shared" si="920"/>
        <v>0</v>
      </c>
      <c r="BR499">
        <f t="shared" si="921"/>
        <v>1</v>
      </c>
      <c r="BS499" t="b">
        <f t="shared" si="922"/>
        <v>0</v>
      </c>
      <c r="BT499" t="b">
        <f t="shared" si="923"/>
        <v>0</v>
      </c>
      <c r="BU499" t="b">
        <f t="shared" si="924"/>
        <v>0</v>
      </c>
      <c r="BV499" t="b">
        <f t="shared" si="925"/>
        <v>0</v>
      </c>
      <c r="BW499" t="b">
        <f t="shared" si="926"/>
        <v>0</v>
      </c>
      <c r="BX499" t="b">
        <f t="shared" si="927"/>
        <v>0</v>
      </c>
      <c r="BY499" t="b">
        <f t="shared" si="928"/>
        <v>0</v>
      </c>
      <c r="BZ499" t="b">
        <f t="shared" si="929"/>
        <v>0</v>
      </c>
      <c r="CA499" t="b">
        <f t="shared" si="930"/>
        <v>0</v>
      </c>
      <c r="CB499" t="b">
        <f t="shared" si="931"/>
        <v>0</v>
      </c>
      <c r="CC499" t="b">
        <f t="shared" si="932"/>
        <v>0</v>
      </c>
      <c r="CD499" t="b">
        <f t="shared" si="933"/>
        <v>0</v>
      </c>
      <c r="CE499" t="b">
        <f t="shared" si="934"/>
        <v>0</v>
      </c>
      <c r="CF499" t="b">
        <f t="shared" si="935"/>
        <v>0</v>
      </c>
      <c r="CG499" t="b">
        <f t="shared" si="936"/>
        <v>0</v>
      </c>
      <c r="CH499" t="b">
        <f t="shared" si="937"/>
        <v>0</v>
      </c>
      <c r="CI499" t="b">
        <f t="shared" si="938"/>
        <v>0</v>
      </c>
      <c r="CJ499" t="b">
        <f t="shared" si="939"/>
        <v>0</v>
      </c>
      <c r="CK499" t="b">
        <f t="shared" si="940"/>
        <v>0</v>
      </c>
      <c r="CL499" t="b">
        <f t="shared" si="941"/>
        <v>0</v>
      </c>
      <c r="CM499">
        <f t="shared" si="942"/>
        <v>1</v>
      </c>
      <c r="CN499" t="b">
        <f t="shared" si="943"/>
        <v>0</v>
      </c>
      <c r="CO499" t="b">
        <f t="shared" si="944"/>
        <v>0</v>
      </c>
      <c r="CP499" t="b">
        <f t="shared" si="945"/>
        <v>0</v>
      </c>
      <c r="CQ499" t="b">
        <f t="shared" si="946"/>
        <v>0</v>
      </c>
      <c r="CR499" t="b">
        <f t="shared" si="947"/>
        <v>0</v>
      </c>
      <c r="CS499" t="b">
        <f t="shared" si="948"/>
        <v>0</v>
      </c>
      <c r="CT499" t="b">
        <f t="shared" si="949"/>
        <v>0</v>
      </c>
      <c r="CU499" t="b">
        <f t="shared" si="950"/>
        <v>0</v>
      </c>
      <c r="CV499">
        <f t="shared" si="951"/>
        <v>1</v>
      </c>
      <c r="CW499" t="b">
        <f t="shared" si="952"/>
        <v>0</v>
      </c>
      <c r="CX499" t="b">
        <f t="shared" si="953"/>
        <v>0</v>
      </c>
      <c r="CY499" t="b">
        <f t="shared" si="954"/>
        <v>0</v>
      </c>
      <c r="CZ499" t="b">
        <f t="shared" si="955"/>
        <v>0</v>
      </c>
      <c r="DA499">
        <f t="shared" si="956"/>
        <v>1</v>
      </c>
      <c r="DB499">
        <f t="shared" si="957"/>
        <v>1</v>
      </c>
      <c r="DC499" t="b">
        <f t="shared" si="958"/>
        <v>0</v>
      </c>
      <c r="DD499" t="b">
        <f t="shared" si="959"/>
        <v>0</v>
      </c>
      <c r="DE499" t="b">
        <f t="shared" si="960"/>
        <v>0</v>
      </c>
      <c r="DF499" t="b">
        <f t="shared" si="961"/>
        <v>0</v>
      </c>
      <c r="DG499" t="b">
        <f t="shared" si="962"/>
        <v>0</v>
      </c>
      <c r="DH499" t="b">
        <f t="shared" si="963"/>
        <v>0</v>
      </c>
      <c r="DI499" t="b">
        <f t="shared" si="964"/>
        <v>0</v>
      </c>
      <c r="DJ499" t="b">
        <f t="shared" si="965"/>
        <v>0</v>
      </c>
      <c r="DK499" t="b">
        <f t="shared" si="966"/>
        <v>0</v>
      </c>
      <c r="DL499" t="b">
        <f t="shared" si="967"/>
        <v>0</v>
      </c>
      <c r="DM499" t="b">
        <f t="shared" si="968"/>
        <v>0</v>
      </c>
      <c r="DN499" t="b">
        <f t="shared" si="969"/>
        <v>0</v>
      </c>
      <c r="DO499" t="b">
        <f t="shared" si="970"/>
        <v>0</v>
      </c>
      <c r="DP499" t="b">
        <f t="shared" si="971"/>
        <v>0</v>
      </c>
      <c r="DQ499" t="b">
        <f t="shared" si="972"/>
        <v>0</v>
      </c>
      <c r="DR499" t="b">
        <f t="shared" si="973"/>
        <v>0</v>
      </c>
      <c r="DS499" t="b">
        <f t="shared" si="974"/>
        <v>0</v>
      </c>
      <c r="DT499" t="b">
        <f t="shared" si="975"/>
        <v>0</v>
      </c>
      <c r="DU499" t="b">
        <f t="shared" si="976"/>
        <v>0</v>
      </c>
      <c r="DV499" t="b">
        <f t="shared" si="977"/>
        <v>0</v>
      </c>
      <c r="DW499" t="b">
        <f t="shared" si="978"/>
        <v>0</v>
      </c>
      <c r="DX499" t="b">
        <f t="shared" si="979"/>
        <v>0</v>
      </c>
      <c r="DY499">
        <f t="shared" si="980"/>
        <v>1</v>
      </c>
      <c r="DZ499" t="b">
        <f t="shared" si="981"/>
        <v>0</v>
      </c>
      <c r="EA499" t="b">
        <f t="shared" si="982"/>
        <v>0</v>
      </c>
      <c r="EB499" t="b">
        <f t="shared" si="983"/>
        <v>0</v>
      </c>
      <c r="EC499" t="b">
        <f t="shared" si="984"/>
        <v>0</v>
      </c>
      <c r="ED499" t="b">
        <f t="shared" si="985"/>
        <v>0</v>
      </c>
      <c r="EE499" t="b">
        <f t="shared" si="986"/>
        <v>0</v>
      </c>
      <c r="EF499">
        <f t="shared" si="987"/>
        <v>1</v>
      </c>
      <c r="EG499" t="b">
        <f t="shared" si="988"/>
        <v>0</v>
      </c>
      <c r="EH499" t="b">
        <f t="shared" si="989"/>
        <v>0</v>
      </c>
      <c r="EI499" t="b">
        <f t="shared" si="990"/>
        <v>0</v>
      </c>
      <c r="EJ499" t="b">
        <f t="shared" si="991"/>
        <v>0</v>
      </c>
      <c r="EK499" t="b">
        <f t="shared" si="992"/>
        <v>0</v>
      </c>
    </row>
    <row r="500" spans="1:141">
      <c r="A500" t="s">
        <v>2535</v>
      </c>
      <c r="B500" t="s">
        <v>2535</v>
      </c>
      <c r="C500" t="s">
        <v>2536</v>
      </c>
      <c r="D500" s="1">
        <v>42499</v>
      </c>
      <c r="E500" s="2">
        <v>43037.995370370372</v>
      </c>
      <c r="F500" s="2">
        <v>43037.995370370372</v>
      </c>
      <c r="G500">
        <v>1052753</v>
      </c>
      <c r="H500" t="s">
        <v>2537</v>
      </c>
      <c r="I500" s="10" t="s">
        <v>2538</v>
      </c>
      <c r="J500" t="s">
        <v>156</v>
      </c>
      <c r="K500" s="8" t="b">
        <v>1</v>
      </c>
      <c r="L500" s="10" t="b">
        <v>0</v>
      </c>
      <c r="M500" s="12" t="b">
        <v>0</v>
      </c>
      <c r="N500" t="b">
        <v>0</v>
      </c>
      <c r="O500" t="b">
        <v>0</v>
      </c>
      <c r="P500" t="b">
        <v>0</v>
      </c>
      <c r="Q500">
        <f t="shared" si="869"/>
        <v>2</v>
      </c>
      <c r="R500">
        <f t="shared" si="870"/>
        <v>5</v>
      </c>
      <c r="S500" t="e">
        <f t="shared" ca="1" si="900"/>
        <v>#NAME?</v>
      </c>
      <c r="T500" t="e">
        <f t="shared" ca="1" si="871"/>
        <v>#NAME?</v>
      </c>
      <c r="U500" s="4">
        <f t="shared" si="872"/>
        <v>538.99537037037226</v>
      </c>
      <c r="V500" s="4">
        <f t="shared" si="873"/>
        <v>17.966512345679075</v>
      </c>
      <c r="W500" s="4">
        <f t="shared" si="874"/>
        <v>1</v>
      </c>
      <c r="X500" s="4">
        <f t="shared" si="875"/>
        <v>0</v>
      </c>
      <c r="Y500" s="4">
        <f t="shared" si="876"/>
        <v>0</v>
      </c>
      <c r="Z500" s="4">
        <f t="shared" si="877"/>
        <v>0</v>
      </c>
      <c r="AA500" s="4">
        <f t="shared" si="878"/>
        <v>0</v>
      </c>
      <c r="AB500" s="4">
        <f t="shared" si="879"/>
        <v>0</v>
      </c>
      <c r="AC500" s="4"/>
      <c r="AD500" s="4" t="b">
        <f t="shared" si="880"/>
        <v>0</v>
      </c>
      <c r="AE500" s="4" t="b">
        <f t="shared" si="881"/>
        <v>0</v>
      </c>
      <c r="AF500" s="4" t="b">
        <f t="shared" si="882"/>
        <v>0</v>
      </c>
      <c r="AG500" t="b">
        <f t="shared" si="883"/>
        <v>0</v>
      </c>
      <c r="AH500" t="b">
        <f t="shared" si="884"/>
        <v>0</v>
      </c>
      <c r="AI500" t="b">
        <f t="shared" si="885"/>
        <v>0</v>
      </c>
      <c r="AJ500" t="b">
        <f t="shared" si="886"/>
        <v>0</v>
      </c>
      <c r="AK500" t="b">
        <f t="shared" si="887"/>
        <v>0</v>
      </c>
      <c r="AL500" t="b">
        <f t="shared" si="888"/>
        <v>0</v>
      </c>
      <c r="AM500" t="b">
        <f t="shared" si="889"/>
        <v>0</v>
      </c>
      <c r="AN500" t="b">
        <f t="shared" si="890"/>
        <v>0</v>
      </c>
      <c r="AO500" t="b">
        <f t="shared" si="891"/>
        <v>0</v>
      </c>
      <c r="AP500" t="b">
        <f t="shared" si="892"/>
        <v>0</v>
      </c>
      <c r="AQ500" t="b">
        <f t="shared" si="893"/>
        <v>0</v>
      </c>
      <c r="AR500" t="b">
        <f t="shared" si="894"/>
        <v>0</v>
      </c>
      <c r="AS500" t="b">
        <f t="shared" si="895"/>
        <v>0</v>
      </c>
      <c r="AT500" t="b">
        <f t="shared" si="896"/>
        <v>0</v>
      </c>
      <c r="AU500" t="b">
        <f t="shared" si="897"/>
        <v>0</v>
      </c>
      <c r="AV500" t="b">
        <f t="shared" si="898"/>
        <v>0</v>
      </c>
      <c r="AW500" t="b">
        <f t="shared" si="899"/>
        <v>0</v>
      </c>
      <c r="AX500" t="b">
        <f t="shared" si="901"/>
        <v>0</v>
      </c>
      <c r="AY500" t="b">
        <f t="shared" si="902"/>
        <v>0</v>
      </c>
      <c r="AZ500" t="b">
        <f t="shared" si="903"/>
        <v>0</v>
      </c>
      <c r="BA500" t="b">
        <f t="shared" si="904"/>
        <v>0</v>
      </c>
      <c r="BB500" t="b">
        <f t="shared" si="905"/>
        <v>0</v>
      </c>
      <c r="BC500" t="b">
        <f t="shared" si="906"/>
        <v>0</v>
      </c>
      <c r="BD500" t="b">
        <f t="shared" si="907"/>
        <v>0</v>
      </c>
      <c r="BE500" t="b">
        <f t="shared" si="908"/>
        <v>0</v>
      </c>
      <c r="BF500" t="b">
        <f t="shared" si="909"/>
        <v>0</v>
      </c>
      <c r="BG500" t="b">
        <f t="shared" si="910"/>
        <v>0</v>
      </c>
      <c r="BH500" t="b">
        <f t="shared" si="911"/>
        <v>0</v>
      </c>
      <c r="BI500">
        <f t="shared" si="912"/>
        <v>1</v>
      </c>
      <c r="BJ500" t="b">
        <f t="shared" si="913"/>
        <v>0</v>
      </c>
      <c r="BK500" t="b">
        <f t="shared" si="914"/>
        <v>0</v>
      </c>
      <c r="BL500" t="b">
        <f t="shared" si="915"/>
        <v>0</v>
      </c>
      <c r="BM500" t="b">
        <f t="shared" si="916"/>
        <v>0</v>
      </c>
      <c r="BN500" t="b">
        <f t="shared" si="917"/>
        <v>0</v>
      </c>
      <c r="BO500" t="b">
        <f t="shared" si="918"/>
        <v>0</v>
      </c>
      <c r="BP500" t="b">
        <f t="shared" si="919"/>
        <v>0</v>
      </c>
      <c r="BQ500" t="b">
        <f t="shared" si="920"/>
        <v>0</v>
      </c>
      <c r="BR500" t="b">
        <f t="shared" si="921"/>
        <v>0</v>
      </c>
      <c r="BS500" t="b">
        <f t="shared" si="922"/>
        <v>0</v>
      </c>
      <c r="BT500" t="b">
        <f t="shared" si="923"/>
        <v>0</v>
      </c>
      <c r="BU500" t="b">
        <f t="shared" si="924"/>
        <v>0</v>
      </c>
      <c r="BV500" t="b">
        <f t="shared" si="925"/>
        <v>0</v>
      </c>
      <c r="BW500" t="b">
        <f t="shared" si="926"/>
        <v>0</v>
      </c>
      <c r="BX500" t="b">
        <f t="shared" si="927"/>
        <v>0</v>
      </c>
      <c r="BY500" t="b">
        <f t="shared" si="928"/>
        <v>0</v>
      </c>
      <c r="BZ500" t="b">
        <f t="shared" si="929"/>
        <v>0</v>
      </c>
      <c r="CA500" t="b">
        <f t="shared" si="930"/>
        <v>0</v>
      </c>
      <c r="CB500" t="b">
        <f t="shared" si="931"/>
        <v>0</v>
      </c>
      <c r="CC500" t="b">
        <f t="shared" si="932"/>
        <v>0</v>
      </c>
      <c r="CD500" t="b">
        <f t="shared" si="933"/>
        <v>0</v>
      </c>
      <c r="CE500" t="b">
        <f t="shared" si="934"/>
        <v>0</v>
      </c>
      <c r="CF500" t="b">
        <f t="shared" si="935"/>
        <v>0</v>
      </c>
      <c r="CG500" t="b">
        <f t="shared" si="936"/>
        <v>0</v>
      </c>
      <c r="CH500" t="b">
        <f t="shared" si="937"/>
        <v>0</v>
      </c>
      <c r="CI500" t="b">
        <f t="shared" si="938"/>
        <v>0</v>
      </c>
      <c r="CJ500" t="b">
        <f t="shared" si="939"/>
        <v>0</v>
      </c>
      <c r="CK500" t="b">
        <f t="shared" si="940"/>
        <v>0</v>
      </c>
      <c r="CL500" t="b">
        <f t="shared" si="941"/>
        <v>0</v>
      </c>
      <c r="CM500" t="b">
        <f t="shared" si="942"/>
        <v>0</v>
      </c>
      <c r="CN500" t="b">
        <f t="shared" si="943"/>
        <v>0</v>
      </c>
      <c r="CO500" t="b">
        <f t="shared" si="944"/>
        <v>0</v>
      </c>
      <c r="CP500" t="b">
        <f t="shared" si="945"/>
        <v>0</v>
      </c>
      <c r="CQ500" t="b">
        <f t="shared" si="946"/>
        <v>0</v>
      </c>
      <c r="CR500" t="b">
        <f t="shared" si="947"/>
        <v>0</v>
      </c>
      <c r="CS500" t="b">
        <f t="shared" si="948"/>
        <v>0</v>
      </c>
      <c r="CT500" t="b">
        <f t="shared" si="949"/>
        <v>0</v>
      </c>
      <c r="CU500" t="b">
        <f t="shared" si="950"/>
        <v>0</v>
      </c>
      <c r="CV500">
        <f t="shared" si="951"/>
        <v>1</v>
      </c>
      <c r="CW500" t="b">
        <f t="shared" si="952"/>
        <v>0</v>
      </c>
      <c r="CX500" t="b">
        <f t="shared" si="953"/>
        <v>0</v>
      </c>
      <c r="CY500" t="b">
        <f t="shared" si="954"/>
        <v>0</v>
      </c>
      <c r="CZ500" t="b">
        <f t="shared" si="955"/>
        <v>0</v>
      </c>
      <c r="DA500" t="b">
        <f t="shared" si="956"/>
        <v>0</v>
      </c>
      <c r="DB500" t="b">
        <f t="shared" si="957"/>
        <v>0</v>
      </c>
      <c r="DC500" t="b">
        <f t="shared" si="958"/>
        <v>0</v>
      </c>
      <c r="DD500" t="b">
        <f t="shared" si="959"/>
        <v>0</v>
      </c>
      <c r="DE500" t="b">
        <f t="shared" si="960"/>
        <v>0</v>
      </c>
      <c r="DF500" t="b">
        <f t="shared" si="961"/>
        <v>0</v>
      </c>
      <c r="DG500" t="b">
        <f t="shared" si="962"/>
        <v>0</v>
      </c>
      <c r="DH500" t="b">
        <f t="shared" si="963"/>
        <v>0</v>
      </c>
      <c r="DI500" t="b">
        <f t="shared" si="964"/>
        <v>0</v>
      </c>
      <c r="DJ500" t="b">
        <f t="shared" si="965"/>
        <v>0</v>
      </c>
      <c r="DK500" t="b">
        <f t="shared" si="966"/>
        <v>0</v>
      </c>
      <c r="DL500" t="b">
        <f t="shared" si="967"/>
        <v>0</v>
      </c>
      <c r="DM500" t="b">
        <f t="shared" si="968"/>
        <v>0</v>
      </c>
      <c r="DN500" t="b">
        <f t="shared" si="969"/>
        <v>0</v>
      </c>
      <c r="DO500" t="b">
        <f t="shared" si="970"/>
        <v>0</v>
      </c>
      <c r="DP500" t="b">
        <f t="shared" si="971"/>
        <v>0</v>
      </c>
      <c r="DQ500" t="b">
        <f t="shared" si="972"/>
        <v>0</v>
      </c>
      <c r="DR500" t="b">
        <f t="shared" si="973"/>
        <v>0</v>
      </c>
      <c r="DS500" t="b">
        <f t="shared" si="974"/>
        <v>0</v>
      </c>
      <c r="DT500" t="b">
        <f t="shared" si="975"/>
        <v>0</v>
      </c>
      <c r="DU500" t="b">
        <f t="shared" si="976"/>
        <v>0</v>
      </c>
      <c r="DV500" t="b">
        <f t="shared" si="977"/>
        <v>0</v>
      </c>
      <c r="DW500" t="b">
        <f t="shared" si="978"/>
        <v>0</v>
      </c>
      <c r="DX500" t="b">
        <f t="shared" si="979"/>
        <v>0</v>
      </c>
      <c r="DY500" t="b">
        <f t="shared" si="980"/>
        <v>0</v>
      </c>
      <c r="DZ500" t="b">
        <f t="shared" si="981"/>
        <v>0</v>
      </c>
      <c r="EA500" t="b">
        <f t="shared" si="982"/>
        <v>0</v>
      </c>
      <c r="EB500" t="b">
        <f t="shared" si="983"/>
        <v>0</v>
      </c>
      <c r="EC500" t="b">
        <f t="shared" si="984"/>
        <v>0</v>
      </c>
      <c r="ED500" t="b">
        <f t="shared" si="985"/>
        <v>0</v>
      </c>
      <c r="EE500" t="b">
        <f t="shared" si="986"/>
        <v>0</v>
      </c>
      <c r="EF500">
        <f t="shared" si="987"/>
        <v>1</v>
      </c>
      <c r="EG500" t="b">
        <f t="shared" si="988"/>
        <v>0</v>
      </c>
      <c r="EH500" t="b">
        <f t="shared" si="989"/>
        <v>0</v>
      </c>
      <c r="EI500" t="b">
        <f t="shared" si="990"/>
        <v>0</v>
      </c>
      <c r="EJ500" t="b">
        <f t="shared" si="991"/>
        <v>0</v>
      </c>
      <c r="EK500" t="b">
        <f t="shared" si="992"/>
        <v>0</v>
      </c>
    </row>
    <row r="501" spans="1:141">
      <c r="A501" t="s">
        <v>2539</v>
      </c>
      <c r="B501" t="s">
        <v>2539</v>
      </c>
      <c r="C501" t="s">
        <v>2540</v>
      </c>
      <c r="D501" s="1">
        <v>44309</v>
      </c>
      <c r="E501" s="2">
        <v>44705.212592592594</v>
      </c>
      <c r="F501" s="2">
        <v>44705.212592592594</v>
      </c>
      <c r="G501">
        <v>90655</v>
      </c>
      <c r="H501" t="s">
        <v>2541</v>
      </c>
      <c r="I501" s="10" t="s">
        <v>2542</v>
      </c>
      <c r="J501" t="s">
        <v>188</v>
      </c>
      <c r="K501" s="8" t="b">
        <v>1</v>
      </c>
      <c r="L501" s="10" t="b">
        <v>0</v>
      </c>
      <c r="M501" s="12" t="b">
        <v>0</v>
      </c>
      <c r="N501" t="b">
        <v>0</v>
      </c>
      <c r="O501" t="b">
        <v>0</v>
      </c>
      <c r="P501" t="b">
        <v>0</v>
      </c>
      <c r="Q501">
        <f t="shared" si="869"/>
        <v>6</v>
      </c>
      <c r="R501">
        <f t="shared" si="870"/>
        <v>4</v>
      </c>
      <c r="S501" t="e">
        <f t="shared" ca="1" si="900"/>
        <v>#NAME?</v>
      </c>
      <c r="T501" t="e">
        <f t="shared" ca="1" si="871"/>
        <v>#NAME?</v>
      </c>
      <c r="U501" s="4">
        <f t="shared" si="872"/>
        <v>396.21259259259386</v>
      </c>
      <c r="V501" s="4">
        <f t="shared" si="873"/>
        <v>13.207086419753129</v>
      </c>
      <c r="W501" s="4">
        <f t="shared" si="874"/>
        <v>1</v>
      </c>
      <c r="X501" s="4">
        <f t="shared" si="875"/>
        <v>0</v>
      </c>
      <c r="Y501" s="4">
        <f t="shared" si="876"/>
        <v>0</v>
      </c>
      <c r="Z501" s="4">
        <f t="shared" si="877"/>
        <v>0</v>
      </c>
      <c r="AA501" s="4">
        <f t="shared" si="878"/>
        <v>0</v>
      </c>
      <c r="AB501" s="4">
        <f t="shared" si="879"/>
        <v>0</v>
      </c>
      <c r="AC501" s="4"/>
      <c r="AD501" s="4" t="b">
        <f t="shared" si="880"/>
        <v>0</v>
      </c>
      <c r="AE501" s="4" t="b">
        <f t="shared" si="881"/>
        <v>0</v>
      </c>
      <c r="AF501" s="4" t="b">
        <f t="shared" si="882"/>
        <v>0</v>
      </c>
      <c r="AG501" t="b">
        <f t="shared" si="883"/>
        <v>0</v>
      </c>
      <c r="AH501" t="b">
        <f t="shared" si="884"/>
        <v>0</v>
      </c>
      <c r="AI501" t="b">
        <f t="shared" si="885"/>
        <v>0</v>
      </c>
      <c r="AJ501" t="b">
        <f t="shared" si="886"/>
        <v>0</v>
      </c>
      <c r="AK501" t="b">
        <f t="shared" si="887"/>
        <v>0</v>
      </c>
      <c r="AL501" t="b">
        <f t="shared" si="888"/>
        <v>0</v>
      </c>
      <c r="AM501" t="b">
        <f t="shared" si="889"/>
        <v>0</v>
      </c>
      <c r="AN501" t="b">
        <f t="shared" si="890"/>
        <v>0</v>
      </c>
      <c r="AO501" t="b">
        <f t="shared" si="891"/>
        <v>0</v>
      </c>
      <c r="AP501" t="b">
        <f t="shared" si="892"/>
        <v>0</v>
      </c>
      <c r="AQ501" t="b">
        <f t="shared" si="893"/>
        <v>0</v>
      </c>
      <c r="AR501" t="b">
        <f t="shared" si="894"/>
        <v>0</v>
      </c>
      <c r="AS501" t="b">
        <f t="shared" si="895"/>
        <v>0</v>
      </c>
      <c r="AT501" t="b">
        <f t="shared" si="896"/>
        <v>0</v>
      </c>
      <c r="AU501" t="b">
        <f t="shared" si="897"/>
        <v>0</v>
      </c>
      <c r="AV501" t="b">
        <f t="shared" si="898"/>
        <v>0</v>
      </c>
      <c r="AW501" t="b">
        <f t="shared" si="899"/>
        <v>0</v>
      </c>
      <c r="AX501" t="b">
        <f t="shared" si="901"/>
        <v>0</v>
      </c>
      <c r="AY501" t="b">
        <f t="shared" si="902"/>
        <v>0</v>
      </c>
      <c r="AZ501" t="b">
        <f t="shared" si="903"/>
        <v>0</v>
      </c>
      <c r="BA501" t="b">
        <f t="shared" si="904"/>
        <v>0</v>
      </c>
      <c r="BB501" t="b">
        <f t="shared" si="905"/>
        <v>0</v>
      </c>
      <c r="BC501" t="b">
        <f t="shared" si="906"/>
        <v>0</v>
      </c>
      <c r="BD501" t="b">
        <f t="shared" si="907"/>
        <v>0</v>
      </c>
      <c r="BE501" t="b">
        <f t="shared" si="908"/>
        <v>0</v>
      </c>
      <c r="BF501" t="b">
        <f t="shared" si="909"/>
        <v>0</v>
      </c>
      <c r="BG501" t="b">
        <f t="shared" si="910"/>
        <v>0</v>
      </c>
      <c r="BH501" t="b">
        <f t="shared" si="911"/>
        <v>0</v>
      </c>
      <c r="BI501">
        <f t="shared" si="912"/>
        <v>1</v>
      </c>
      <c r="BJ501" t="b">
        <f t="shared" si="913"/>
        <v>0</v>
      </c>
      <c r="BK501" t="b">
        <f t="shared" si="914"/>
        <v>0</v>
      </c>
      <c r="BL501" t="b">
        <f t="shared" si="915"/>
        <v>0</v>
      </c>
      <c r="BM501" t="b">
        <f t="shared" si="916"/>
        <v>0</v>
      </c>
      <c r="BN501" t="b">
        <f t="shared" si="917"/>
        <v>0</v>
      </c>
      <c r="BO501" t="b">
        <f t="shared" si="918"/>
        <v>0</v>
      </c>
      <c r="BP501" t="b">
        <f t="shared" si="919"/>
        <v>0</v>
      </c>
      <c r="BQ501" t="b">
        <f t="shared" si="920"/>
        <v>0</v>
      </c>
      <c r="BR501" t="b">
        <f t="shared" si="921"/>
        <v>0</v>
      </c>
      <c r="BS501" t="b">
        <f t="shared" si="922"/>
        <v>0</v>
      </c>
      <c r="BT501" t="b">
        <f t="shared" si="923"/>
        <v>0</v>
      </c>
      <c r="BU501" t="b">
        <f t="shared" si="924"/>
        <v>0</v>
      </c>
      <c r="BV501" t="b">
        <f t="shared" si="925"/>
        <v>0</v>
      </c>
      <c r="BW501" t="b">
        <f t="shared" si="926"/>
        <v>0</v>
      </c>
      <c r="BX501" t="b">
        <f t="shared" si="927"/>
        <v>0</v>
      </c>
      <c r="BY501" t="b">
        <f t="shared" si="928"/>
        <v>0</v>
      </c>
      <c r="BZ501" t="b">
        <f t="shared" si="929"/>
        <v>0</v>
      </c>
      <c r="CA501" t="b">
        <f t="shared" si="930"/>
        <v>0</v>
      </c>
      <c r="CB501" t="b">
        <f t="shared" si="931"/>
        <v>0</v>
      </c>
      <c r="CC501" t="b">
        <f t="shared" si="932"/>
        <v>0</v>
      </c>
      <c r="CD501" t="b">
        <f t="shared" si="933"/>
        <v>0</v>
      </c>
      <c r="CE501">
        <f t="shared" si="934"/>
        <v>1</v>
      </c>
      <c r="CF501" t="b">
        <f t="shared" si="935"/>
        <v>0</v>
      </c>
      <c r="CG501" t="b">
        <f t="shared" si="936"/>
        <v>0</v>
      </c>
      <c r="CH501" t="b">
        <f t="shared" si="937"/>
        <v>0</v>
      </c>
      <c r="CI501" t="b">
        <f t="shared" si="938"/>
        <v>0</v>
      </c>
      <c r="CJ501" t="b">
        <f t="shared" si="939"/>
        <v>0</v>
      </c>
      <c r="CK501" t="b">
        <f t="shared" si="940"/>
        <v>0</v>
      </c>
      <c r="CL501" t="b">
        <f t="shared" si="941"/>
        <v>0</v>
      </c>
      <c r="CM501" t="b">
        <f t="shared" si="942"/>
        <v>0</v>
      </c>
      <c r="CN501" t="b">
        <f t="shared" si="943"/>
        <v>0</v>
      </c>
      <c r="CO501" t="b">
        <f t="shared" si="944"/>
        <v>0</v>
      </c>
      <c r="CP501" t="b">
        <f t="shared" si="945"/>
        <v>0</v>
      </c>
      <c r="CQ501" t="b">
        <f t="shared" si="946"/>
        <v>0</v>
      </c>
      <c r="CR501" t="b">
        <f t="shared" si="947"/>
        <v>0</v>
      </c>
      <c r="CS501" t="b">
        <f t="shared" si="948"/>
        <v>0</v>
      </c>
      <c r="CT501" t="b">
        <f t="shared" si="949"/>
        <v>0</v>
      </c>
      <c r="CU501" t="b">
        <f t="shared" si="950"/>
        <v>0</v>
      </c>
      <c r="CV501">
        <f t="shared" si="951"/>
        <v>1</v>
      </c>
      <c r="CW501" t="b">
        <f t="shared" si="952"/>
        <v>0</v>
      </c>
      <c r="CX501" t="b">
        <f t="shared" si="953"/>
        <v>0</v>
      </c>
      <c r="CY501" t="b">
        <f t="shared" si="954"/>
        <v>0</v>
      </c>
      <c r="CZ501" t="b">
        <f t="shared" si="955"/>
        <v>0</v>
      </c>
      <c r="DA501" t="b">
        <f t="shared" si="956"/>
        <v>0</v>
      </c>
      <c r="DB501" t="b">
        <f t="shared" si="957"/>
        <v>0</v>
      </c>
      <c r="DC501" t="b">
        <f t="shared" si="958"/>
        <v>0</v>
      </c>
      <c r="DD501" t="b">
        <f t="shared" si="959"/>
        <v>0</v>
      </c>
      <c r="DE501" t="b">
        <f t="shared" si="960"/>
        <v>0</v>
      </c>
      <c r="DF501" t="b">
        <f t="shared" si="961"/>
        <v>0</v>
      </c>
      <c r="DG501" t="b">
        <f t="shared" si="962"/>
        <v>0</v>
      </c>
      <c r="DH501" t="b">
        <f t="shared" si="963"/>
        <v>0</v>
      </c>
      <c r="DI501" t="b">
        <f t="shared" si="964"/>
        <v>0</v>
      </c>
      <c r="DJ501" t="b">
        <f t="shared" si="965"/>
        <v>0</v>
      </c>
      <c r="DK501" t="b">
        <f t="shared" si="966"/>
        <v>0</v>
      </c>
      <c r="DL501" t="b">
        <f t="shared" si="967"/>
        <v>0</v>
      </c>
      <c r="DM501" t="b">
        <f t="shared" si="968"/>
        <v>0</v>
      </c>
      <c r="DN501" t="b">
        <f t="shared" si="969"/>
        <v>0</v>
      </c>
      <c r="DO501" t="b">
        <f t="shared" si="970"/>
        <v>0</v>
      </c>
      <c r="DP501" t="b">
        <f t="shared" si="971"/>
        <v>0</v>
      </c>
      <c r="DQ501" t="b">
        <f t="shared" si="972"/>
        <v>0</v>
      </c>
      <c r="DR501" t="b">
        <f t="shared" si="973"/>
        <v>0</v>
      </c>
      <c r="DS501" t="b">
        <f t="shared" si="974"/>
        <v>0</v>
      </c>
      <c r="DT501" t="b">
        <f t="shared" si="975"/>
        <v>0</v>
      </c>
      <c r="DU501" t="b">
        <f t="shared" si="976"/>
        <v>0</v>
      </c>
      <c r="DV501" t="b">
        <f t="shared" si="977"/>
        <v>0</v>
      </c>
      <c r="DW501" t="b">
        <f t="shared" si="978"/>
        <v>0</v>
      </c>
      <c r="DX501" t="b">
        <f t="shared" si="979"/>
        <v>0</v>
      </c>
      <c r="DY501" t="b">
        <f t="shared" si="980"/>
        <v>0</v>
      </c>
      <c r="DZ501" t="b">
        <f t="shared" si="981"/>
        <v>0</v>
      </c>
      <c r="EA501" t="b">
        <f t="shared" si="982"/>
        <v>0</v>
      </c>
      <c r="EB501" t="b">
        <f t="shared" si="983"/>
        <v>0</v>
      </c>
      <c r="EC501" t="b">
        <f t="shared" si="984"/>
        <v>0</v>
      </c>
      <c r="ED501" t="b">
        <f t="shared" si="985"/>
        <v>0</v>
      </c>
      <c r="EE501" t="b">
        <f t="shared" si="986"/>
        <v>0</v>
      </c>
      <c r="EF501">
        <f t="shared" si="987"/>
        <v>1</v>
      </c>
      <c r="EG501" t="b">
        <f t="shared" si="988"/>
        <v>0</v>
      </c>
      <c r="EH501" t="b">
        <f t="shared" si="989"/>
        <v>0</v>
      </c>
      <c r="EI501" t="b">
        <f t="shared" si="990"/>
        <v>0</v>
      </c>
      <c r="EJ501" t="b">
        <f t="shared" si="991"/>
        <v>0</v>
      </c>
      <c r="EK501" t="b">
        <f t="shared" si="992"/>
        <v>0</v>
      </c>
    </row>
    <row r="502" spans="1:141">
      <c r="A502" t="s">
        <v>2543</v>
      </c>
      <c r="B502" t="s">
        <v>2543</v>
      </c>
      <c r="C502" t="s">
        <v>2544</v>
      </c>
      <c r="D502" s="1">
        <v>44002</v>
      </c>
      <c r="E502" s="2">
        <v>44790.348495370374</v>
      </c>
      <c r="F502" s="2">
        <v>44790.348495370374</v>
      </c>
      <c r="G502">
        <v>1021790</v>
      </c>
      <c r="H502" t="s">
        <v>2545</v>
      </c>
      <c r="I502" s="10" t="s">
        <v>2546</v>
      </c>
      <c r="J502" t="s">
        <v>2547</v>
      </c>
      <c r="K502" s="8" t="b">
        <v>1</v>
      </c>
      <c r="L502" s="10" t="b">
        <v>0</v>
      </c>
      <c r="M502" s="12" t="b">
        <v>0</v>
      </c>
      <c r="N502" t="b">
        <v>0</v>
      </c>
      <c r="O502" t="b">
        <v>0</v>
      </c>
      <c r="P502" t="b">
        <v>0</v>
      </c>
      <c r="Q502">
        <f t="shared" si="869"/>
        <v>7</v>
      </c>
      <c r="R502">
        <f t="shared" si="870"/>
        <v>6</v>
      </c>
      <c r="S502" t="e">
        <f t="shared" ca="1" si="900"/>
        <v>#NAME?</v>
      </c>
      <c r="T502" t="e">
        <f t="shared" ca="1" si="871"/>
        <v>#NAME?</v>
      </c>
      <c r="U502" s="4">
        <f t="shared" si="872"/>
        <v>788.34849537037371</v>
      </c>
      <c r="V502" s="4">
        <f t="shared" si="873"/>
        <v>26.278283179012458</v>
      </c>
      <c r="W502" s="4">
        <f t="shared" si="874"/>
        <v>1</v>
      </c>
      <c r="X502" s="4">
        <f t="shared" si="875"/>
        <v>0</v>
      </c>
      <c r="Y502" s="4">
        <f t="shared" si="876"/>
        <v>0</v>
      </c>
      <c r="Z502" s="4">
        <f t="shared" si="877"/>
        <v>0</v>
      </c>
      <c r="AA502" s="4">
        <f t="shared" si="878"/>
        <v>0</v>
      </c>
      <c r="AB502" s="4">
        <f t="shared" si="879"/>
        <v>0</v>
      </c>
      <c r="AC502" s="4"/>
      <c r="AD502" s="4" t="b">
        <f t="shared" si="880"/>
        <v>0</v>
      </c>
      <c r="AE502" s="4" t="b">
        <f t="shared" si="881"/>
        <v>0</v>
      </c>
      <c r="AF502" s="4" t="b">
        <f t="shared" si="882"/>
        <v>0</v>
      </c>
      <c r="AG502" t="b">
        <f t="shared" si="883"/>
        <v>0</v>
      </c>
      <c r="AH502" t="b">
        <f t="shared" si="884"/>
        <v>0</v>
      </c>
      <c r="AI502" t="b">
        <f t="shared" si="885"/>
        <v>0</v>
      </c>
      <c r="AJ502" t="b">
        <f t="shared" si="886"/>
        <v>0</v>
      </c>
      <c r="AK502" t="b">
        <f t="shared" si="887"/>
        <v>0</v>
      </c>
      <c r="AL502" t="b">
        <f t="shared" si="888"/>
        <v>0</v>
      </c>
      <c r="AM502" t="b">
        <f t="shared" si="889"/>
        <v>0</v>
      </c>
      <c r="AN502">
        <f t="shared" si="890"/>
        <v>1</v>
      </c>
      <c r="AO502" t="b">
        <f t="shared" si="891"/>
        <v>0</v>
      </c>
      <c r="AP502" t="b">
        <f t="shared" si="892"/>
        <v>0</v>
      </c>
      <c r="AQ502" t="b">
        <f t="shared" si="893"/>
        <v>0</v>
      </c>
      <c r="AR502" t="b">
        <f t="shared" si="894"/>
        <v>0</v>
      </c>
      <c r="AS502" t="b">
        <f t="shared" si="895"/>
        <v>0</v>
      </c>
      <c r="AT502" t="b">
        <f t="shared" si="896"/>
        <v>0</v>
      </c>
      <c r="AU502" t="b">
        <f t="shared" si="897"/>
        <v>0</v>
      </c>
      <c r="AV502" t="b">
        <f t="shared" si="898"/>
        <v>0</v>
      </c>
      <c r="AW502" t="b">
        <f t="shared" si="899"/>
        <v>0</v>
      </c>
      <c r="AX502" t="b">
        <f t="shared" si="901"/>
        <v>0</v>
      </c>
      <c r="AY502" t="b">
        <f t="shared" si="902"/>
        <v>0</v>
      </c>
      <c r="AZ502" t="b">
        <f t="shared" si="903"/>
        <v>0</v>
      </c>
      <c r="BA502" t="b">
        <f t="shared" si="904"/>
        <v>0</v>
      </c>
      <c r="BB502" t="b">
        <f t="shared" si="905"/>
        <v>0</v>
      </c>
      <c r="BC502" t="b">
        <f t="shared" si="906"/>
        <v>0</v>
      </c>
      <c r="BD502" t="b">
        <f t="shared" si="907"/>
        <v>0</v>
      </c>
      <c r="BE502" t="b">
        <f t="shared" si="908"/>
        <v>0</v>
      </c>
      <c r="BF502" t="b">
        <f t="shared" si="909"/>
        <v>0</v>
      </c>
      <c r="BG502" t="b">
        <f t="shared" si="910"/>
        <v>0</v>
      </c>
      <c r="BH502" t="b">
        <f t="shared" si="911"/>
        <v>0</v>
      </c>
      <c r="BI502">
        <f t="shared" si="912"/>
        <v>1</v>
      </c>
      <c r="BJ502" t="b">
        <f t="shared" si="913"/>
        <v>0</v>
      </c>
      <c r="BK502" t="b">
        <f t="shared" si="914"/>
        <v>0</v>
      </c>
      <c r="BL502" t="b">
        <f t="shared" si="915"/>
        <v>0</v>
      </c>
      <c r="BM502" t="b">
        <f t="shared" si="916"/>
        <v>0</v>
      </c>
      <c r="BN502" t="b">
        <f t="shared" si="917"/>
        <v>0</v>
      </c>
      <c r="BO502" t="b">
        <f t="shared" si="918"/>
        <v>0</v>
      </c>
      <c r="BP502" t="b">
        <f t="shared" si="919"/>
        <v>0</v>
      </c>
      <c r="BQ502" t="b">
        <f t="shared" si="920"/>
        <v>0</v>
      </c>
      <c r="BR502" t="b">
        <f t="shared" si="921"/>
        <v>0</v>
      </c>
      <c r="BS502" t="b">
        <f t="shared" si="922"/>
        <v>0</v>
      </c>
      <c r="BT502" t="b">
        <f t="shared" si="923"/>
        <v>0</v>
      </c>
      <c r="BU502" t="b">
        <f t="shared" si="924"/>
        <v>0</v>
      </c>
      <c r="BV502" t="b">
        <f t="shared" si="925"/>
        <v>0</v>
      </c>
      <c r="BW502" t="b">
        <f t="shared" si="926"/>
        <v>0</v>
      </c>
      <c r="BX502" t="b">
        <f t="shared" si="927"/>
        <v>0</v>
      </c>
      <c r="BY502" t="b">
        <f t="shared" si="928"/>
        <v>0</v>
      </c>
      <c r="BZ502" t="b">
        <f t="shared" si="929"/>
        <v>0</v>
      </c>
      <c r="CA502" t="b">
        <f t="shared" si="930"/>
        <v>0</v>
      </c>
      <c r="CB502" t="b">
        <f t="shared" si="931"/>
        <v>0</v>
      </c>
      <c r="CC502" t="b">
        <f t="shared" si="932"/>
        <v>0</v>
      </c>
      <c r="CD502" t="b">
        <f t="shared" si="933"/>
        <v>0</v>
      </c>
      <c r="CE502">
        <f t="shared" si="934"/>
        <v>1</v>
      </c>
      <c r="CF502" t="b">
        <f t="shared" si="935"/>
        <v>0</v>
      </c>
      <c r="CG502" t="b">
        <f t="shared" si="936"/>
        <v>0</v>
      </c>
      <c r="CH502" t="b">
        <f t="shared" si="937"/>
        <v>0</v>
      </c>
      <c r="CI502" t="b">
        <f t="shared" si="938"/>
        <v>0</v>
      </c>
      <c r="CJ502" t="b">
        <f t="shared" si="939"/>
        <v>0</v>
      </c>
      <c r="CK502" t="b">
        <f t="shared" si="940"/>
        <v>0</v>
      </c>
      <c r="CL502" t="b">
        <f t="shared" si="941"/>
        <v>0</v>
      </c>
      <c r="CM502">
        <f t="shared" si="942"/>
        <v>1</v>
      </c>
      <c r="CN502" t="b">
        <f t="shared" si="943"/>
        <v>0</v>
      </c>
      <c r="CO502" t="b">
        <f t="shared" si="944"/>
        <v>0</v>
      </c>
      <c r="CP502" t="b">
        <f t="shared" si="945"/>
        <v>0</v>
      </c>
      <c r="CQ502" t="b">
        <f t="shared" si="946"/>
        <v>0</v>
      </c>
      <c r="CR502" t="b">
        <f t="shared" si="947"/>
        <v>0</v>
      </c>
      <c r="CS502" t="b">
        <f t="shared" si="948"/>
        <v>0</v>
      </c>
      <c r="CT502" t="b">
        <f t="shared" si="949"/>
        <v>0</v>
      </c>
      <c r="CU502" t="b">
        <f t="shared" si="950"/>
        <v>0</v>
      </c>
      <c r="CV502">
        <f t="shared" si="951"/>
        <v>1</v>
      </c>
      <c r="CW502" t="b">
        <f t="shared" si="952"/>
        <v>0</v>
      </c>
      <c r="CX502" t="b">
        <f t="shared" si="953"/>
        <v>0</v>
      </c>
      <c r="CY502" t="b">
        <f t="shared" si="954"/>
        <v>0</v>
      </c>
      <c r="CZ502" t="b">
        <f t="shared" si="955"/>
        <v>0</v>
      </c>
      <c r="DA502" t="b">
        <f t="shared" si="956"/>
        <v>0</v>
      </c>
      <c r="DB502" t="b">
        <f t="shared" si="957"/>
        <v>0</v>
      </c>
      <c r="DC502" t="b">
        <f t="shared" si="958"/>
        <v>0</v>
      </c>
      <c r="DD502" t="b">
        <f t="shared" si="959"/>
        <v>0</v>
      </c>
      <c r="DE502" t="b">
        <f t="shared" si="960"/>
        <v>0</v>
      </c>
      <c r="DF502" t="b">
        <f t="shared" si="961"/>
        <v>0</v>
      </c>
      <c r="DG502" t="b">
        <f t="shared" si="962"/>
        <v>0</v>
      </c>
      <c r="DH502" t="b">
        <f t="shared" si="963"/>
        <v>0</v>
      </c>
      <c r="DI502" t="b">
        <f t="shared" si="964"/>
        <v>0</v>
      </c>
      <c r="DJ502" t="b">
        <f t="shared" si="965"/>
        <v>0</v>
      </c>
      <c r="DK502" t="b">
        <f t="shared" si="966"/>
        <v>0</v>
      </c>
      <c r="DL502" t="b">
        <f t="shared" si="967"/>
        <v>0</v>
      </c>
      <c r="DM502" t="b">
        <f t="shared" si="968"/>
        <v>0</v>
      </c>
      <c r="DN502" t="b">
        <f t="shared" si="969"/>
        <v>0</v>
      </c>
      <c r="DO502" t="b">
        <f t="shared" si="970"/>
        <v>0</v>
      </c>
      <c r="DP502" t="b">
        <f t="shared" si="971"/>
        <v>0</v>
      </c>
      <c r="DQ502" t="b">
        <f t="shared" si="972"/>
        <v>0</v>
      </c>
      <c r="DR502" t="b">
        <f t="shared" si="973"/>
        <v>0</v>
      </c>
      <c r="DS502" t="b">
        <f t="shared" si="974"/>
        <v>0</v>
      </c>
      <c r="DT502" t="b">
        <f t="shared" si="975"/>
        <v>0</v>
      </c>
      <c r="DU502" t="b">
        <f t="shared" si="976"/>
        <v>0</v>
      </c>
      <c r="DV502" t="b">
        <f t="shared" si="977"/>
        <v>0</v>
      </c>
      <c r="DW502" t="b">
        <f t="shared" si="978"/>
        <v>0</v>
      </c>
      <c r="DX502" t="b">
        <f t="shared" si="979"/>
        <v>0</v>
      </c>
      <c r="DY502" t="b">
        <f t="shared" si="980"/>
        <v>0</v>
      </c>
      <c r="DZ502" t="b">
        <f t="shared" si="981"/>
        <v>0</v>
      </c>
      <c r="EA502" t="b">
        <f t="shared" si="982"/>
        <v>0</v>
      </c>
      <c r="EB502" t="b">
        <f t="shared" si="983"/>
        <v>0</v>
      </c>
      <c r="EC502" t="b">
        <f t="shared" si="984"/>
        <v>0</v>
      </c>
      <c r="ED502" t="b">
        <f t="shared" si="985"/>
        <v>0</v>
      </c>
      <c r="EE502" t="b">
        <f t="shared" si="986"/>
        <v>0</v>
      </c>
      <c r="EF502">
        <f t="shared" si="987"/>
        <v>1</v>
      </c>
      <c r="EG502" t="b">
        <f t="shared" si="988"/>
        <v>0</v>
      </c>
      <c r="EH502" t="b">
        <f t="shared" si="989"/>
        <v>0</v>
      </c>
      <c r="EI502" t="b">
        <f t="shared" si="990"/>
        <v>0</v>
      </c>
      <c r="EJ502" t="b">
        <f t="shared" si="991"/>
        <v>0</v>
      </c>
      <c r="EK502" t="b">
        <f t="shared" si="992"/>
        <v>0</v>
      </c>
    </row>
    <row r="503" spans="1:141">
      <c r="A503" t="s">
        <v>2548</v>
      </c>
      <c r="B503" t="s">
        <v>2548</v>
      </c>
      <c r="C503" t="s">
        <v>2549</v>
      </c>
      <c r="D503" s="1">
        <v>42419</v>
      </c>
      <c r="E503" s="2">
        <v>42423.14640046296</v>
      </c>
      <c r="F503" s="2">
        <v>42423.14640046296</v>
      </c>
      <c r="G503">
        <v>117070</v>
      </c>
      <c r="H503" t="s">
        <v>2550</v>
      </c>
      <c r="I503" s="10" t="s">
        <v>2551</v>
      </c>
      <c r="J503" t="s">
        <v>156</v>
      </c>
      <c r="K503" s="8" t="b">
        <v>1</v>
      </c>
      <c r="L503" s="10" t="b">
        <v>0</v>
      </c>
      <c r="M503" s="12" t="b">
        <v>0</v>
      </c>
      <c r="N503" t="b">
        <v>0</v>
      </c>
      <c r="O503" t="b">
        <v>0</v>
      </c>
      <c r="P503" t="b">
        <v>0</v>
      </c>
      <c r="Q503">
        <f t="shared" si="869"/>
        <v>6</v>
      </c>
      <c r="R503">
        <f t="shared" si="870"/>
        <v>2</v>
      </c>
      <c r="S503" t="e">
        <f t="shared" ca="1" si="900"/>
        <v>#NAME?</v>
      </c>
      <c r="T503" t="e">
        <f t="shared" ca="1" si="871"/>
        <v>#NAME?</v>
      </c>
      <c r="U503" s="4">
        <f t="shared" si="872"/>
        <v>4.1464004629597184</v>
      </c>
      <c r="V503" s="4">
        <f t="shared" si="873"/>
        <v>0.13821334876532396</v>
      </c>
      <c r="W503" s="4">
        <f t="shared" si="874"/>
        <v>1</v>
      </c>
      <c r="X503" s="4">
        <f t="shared" si="875"/>
        <v>0</v>
      </c>
      <c r="Y503" s="4">
        <f t="shared" si="876"/>
        <v>0</v>
      </c>
      <c r="Z503" s="4">
        <f t="shared" si="877"/>
        <v>0</v>
      </c>
      <c r="AA503" s="4">
        <f t="shared" si="878"/>
        <v>0</v>
      </c>
      <c r="AB503" s="4">
        <f t="shared" si="879"/>
        <v>0</v>
      </c>
      <c r="AC503" s="4"/>
      <c r="AD503" s="4" t="b">
        <f t="shared" si="880"/>
        <v>0</v>
      </c>
      <c r="AE503" s="4" t="b">
        <f t="shared" si="881"/>
        <v>0</v>
      </c>
      <c r="AF503" s="4" t="b">
        <f t="shared" si="882"/>
        <v>0</v>
      </c>
      <c r="AG503" t="b">
        <f t="shared" si="883"/>
        <v>0</v>
      </c>
      <c r="AH503" t="b">
        <f t="shared" si="884"/>
        <v>0</v>
      </c>
      <c r="AI503" t="b">
        <f t="shared" si="885"/>
        <v>0</v>
      </c>
      <c r="AJ503" t="b">
        <f t="shared" si="886"/>
        <v>0</v>
      </c>
      <c r="AK503" t="b">
        <f t="shared" si="887"/>
        <v>0</v>
      </c>
      <c r="AL503" t="b">
        <f t="shared" si="888"/>
        <v>0</v>
      </c>
      <c r="AM503" t="b">
        <f t="shared" si="889"/>
        <v>0</v>
      </c>
      <c r="AN503" t="b">
        <f t="shared" si="890"/>
        <v>0</v>
      </c>
      <c r="AO503" t="b">
        <f t="shared" si="891"/>
        <v>0</v>
      </c>
      <c r="AP503" t="b">
        <f t="shared" si="892"/>
        <v>0</v>
      </c>
      <c r="AQ503" t="b">
        <f t="shared" si="893"/>
        <v>0</v>
      </c>
      <c r="AR503" t="b">
        <f t="shared" si="894"/>
        <v>0</v>
      </c>
      <c r="AS503" t="b">
        <f t="shared" si="895"/>
        <v>0</v>
      </c>
      <c r="AT503" t="b">
        <f t="shared" si="896"/>
        <v>0</v>
      </c>
      <c r="AU503" t="b">
        <f t="shared" si="897"/>
        <v>0</v>
      </c>
      <c r="AV503" t="b">
        <f t="shared" si="898"/>
        <v>0</v>
      </c>
      <c r="AW503" t="b">
        <f t="shared" si="899"/>
        <v>0</v>
      </c>
      <c r="AX503" t="b">
        <f t="shared" si="901"/>
        <v>0</v>
      </c>
      <c r="AY503" t="b">
        <f t="shared" si="902"/>
        <v>0</v>
      </c>
      <c r="AZ503" t="b">
        <f t="shared" si="903"/>
        <v>0</v>
      </c>
      <c r="BA503" t="b">
        <f t="shared" si="904"/>
        <v>0</v>
      </c>
      <c r="BB503" t="b">
        <f t="shared" si="905"/>
        <v>0</v>
      </c>
      <c r="BC503" t="b">
        <f t="shared" si="906"/>
        <v>0</v>
      </c>
      <c r="BD503" t="b">
        <f t="shared" si="907"/>
        <v>0</v>
      </c>
      <c r="BE503" t="b">
        <f t="shared" si="908"/>
        <v>0</v>
      </c>
      <c r="BF503" t="b">
        <f t="shared" si="909"/>
        <v>0</v>
      </c>
      <c r="BG503" t="b">
        <f t="shared" si="910"/>
        <v>0</v>
      </c>
      <c r="BH503" t="b">
        <f t="shared" si="911"/>
        <v>0</v>
      </c>
      <c r="BI503">
        <f t="shared" si="912"/>
        <v>1</v>
      </c>
      <c r="BJ503" t="b">
        <f t="shared" si="913"/>
        <v>0</v>
      </c>
      <c r="BK503" t="b">
        <f t="shared" si="914"/>
        <v>0</v>
      </c>
      <c r="BL503" t="b">
        <f t="shared" si="915"/>
        <v>0</v>
      </c>
      <c r="BM503" t="b">
        <f t="shared" si="916"/>
        <v>0</v>
      </c>
      <c r="BN503" t="b">
        <f t="shared" si="917"/>
        <v>0</v>
      </c>
      <c r="BO503" t="b">
        <f t="shared" si="918"/>
        <v>0</v>
      </c>
      <c r="BP503" t="b">
        <f t="shared" si="919"/>
        <v>0</v>
      </c>
      <c r="BQ503" t="b">
        <f t="shared" si="920"/>
        <v>0</v>
      </c>
      <c r="BR503" t="b">
        <f t="shared" si="921"/>
        <v>0</v>
      </c>
      <c r="BS503" t="b">
        <f t="shared" si="922"/>
        <v>0</v>
      </c>
      <c r="BT503" t="b">
        <f t="shared" si="923"/>
        <v>0</v>
      </c>
      <c r="BU503" t="b">
        <f t="shared" si="924"/>
        <v>0</v>
      </c>
      <c r="BV503" t="b">
        <f t="shared" si="925"/>
        <v>0</v>
      </c>
      <c r="BW503" t="b">
        <f t="shared" si="926"/>
        <v>0</v>
      </c>
      <c r="BX503" t="b">
        <f t="shared" si="927"/>
        <v>0</v>
      </c>
      <c r="BY503" t="b">
        <f t="shared" si="928"/>
        <v>0</v>
      </c>
      <c r="BZ503" t="b">
        <f t="shared" si="929"/>
        <v>0</v>
      </c>
      <c r="CA503" t="b">
        <f t="shared" si="930"/>
        <v>0</v>
      </c>
      <c r="CB503" t="b">
        <f t="shared" si="931"/>
        <v>0</v>
      </c>
      <c r="CC503" t="b">
        <f t="shared" si="932"/>
        <v>0</v>
      </c>
      <c r="CD503" t="b">
        <f t="shared" si="933"/>
        <v>0</v>
      </c>
      <c r="CE503" t="b">
        <f t="shared" si="934"/>
        <v>0</v>
      </c>
      <c r="CF503" t="b">
        <f t="shared" si="935"/>
        <v>0</v>
      </c>
      <c r="CG503" t="b">
        <f t="shared" si="936"/>
        <v>0</v>
      </c>
      <c r="CH503" t="b">
        <f t="shared" si="937"/>
        <v>0</v>
      </c>
      <c r="CI503" t="b">
        <f t="shared" si="938"/>
        <v>0</v>
      </c>
      <c r="CJ503" t="b">
        <f t="shared" si="939"/>
        <v>0</v>
      </c>
      <c r="CK503" t="b">
        <f t="shared" si="940"/>
        <v>0</v>
      </c>
      <c r="CL503" t="b">
        <f t="shared" si="941"/>
        <v>0</v>
      </c>
      <c r="CM503" t="b">
        <f t="shared" si="942"/>
        <v>0</v>
      </c>
      <c r="CN503" t="b">
        <f t="shared" si="943"/>
        <v>0</v>
      </c>
      <c r="CO503" t="b">
        <f t="shared" si="944"/>
        <v>0</v>
      </c>
      <c r="CP503" t="b">
        <f t="shared" si="945"/>
        <v>0</v>
      </c>
      <c r="CQ503" t="b">
        <f t="shared" si="946"/>
        <v>0</v>
      </c>
      <c r="CR503" t="b">
        <f t="shared" si="947"/>
        <v>0</v>
      </c>
      <c r="CS503" t="b">
        <f t="shared" si="948"/>
        <v>0</v>
      </c>
      <c r="CT503" t="b">
        <f t="shared" si="949"/>
        <v>0</v>
      </c>
      <c r="CU503" t="b">
        <f t="shared" si="950"/>
        <v>0</v>
      </c>
      <c r="CV503">
        <f t="shared" si="951"/>
        <v>1</v>
      </c>
      <c r="CW503" t="b">
        <f t="shared" si="952"/>
        <v>0</v>
      </c>
      <c r="CX503" t="b">
        <f t="shared" si="953"/>
        <v>0</v>
      </c>
      <c r="CY503" t="b">
        <f t="shared" si="954"/>
        <v>0</v>
      </c>
      <c r="CZ503" t="b">
        <f t="shared" si="955"/>
        <v>0</v>
      </c>
      <c r="DA503" t="b">
        <f t="shared" si="956"/>
        <v>0</v>
      </c>
      <c r="DB503" t="b">
        <f t="shared" si="957"/>
        <v>0</v>
      </c>
      <c r="DC503" t="b">
        <f t="shared" si="958"/>
        <v>0</v>
      </c>
      <c r="DD503" t="b">
        <f t="shared" si="959"/>
        <v>0</v>
      </c>
      <c r="DE503" t="b">
        <f t="shared" si="960"/>
        <v>0</v>
      </c>
      <c r="DF503" t="b">
        <f t="shared" si="961"/>
        <v>0</v>
      </c>
      <c r="DG503" t="b">
        <f t="shared" si="962"/>
        <v>0</v>
      </c>
      <c r="DH503" t="b">
        <f t="shared" si="963"/>
        <v>0</v>
      </c>
      <c r="DI503" t="b">
        <f t="shared" si="964"/>
        <v>0</v>
      </c>
      <c r="DJ503" t="b">
        <f t="shared" si="965"/>
        <v>0</v>
      </c>
      <c r="DK503" t="b">
        <f t="shared" si="966"/>
        <v>0</v>
      </c>
      <c r="DL503" t="b">
        <f t="shared" si="967"/>
        <v>0</v>
      </c>
      <c r="DM503" t="b">
        <f t="shared" si="968"/>
        <v>0</v>
      </c>
      <c r="DN503" t="b">
        <f t="shared" si="969"/>
        <v>0</v>
      </c>
      <c r="DO503" t="b">
        <f t="shared" si="970"/>
        <v>0</v>
      </c>
      <c r="DP503" t="b">
        <f t="shared" si="971"/>
        <v>0</v>
      </c>
      <c r="DQ503" t="b">
        <f t="shared" si="972"/>
        <v>0</v>
      </c>
      <c r="DR503" t="b">
        <f t="shared" si="973"/>
        <v>0</v>
      </c>
      <c r="DS503" t="b">
        <f t="shared" si="974"/>
        <v>0</v>
      </c>
      <c r="DT503" t="b">
        <f t="shared" si="975"/>
        <v>0</v>
      </c>
      <c r="DU503" t="b">
        <f t="shared" si="976"/>
        <v>0</v>
      </c>
      <c r="DV503" t="b">
        <f t="shared" si="977"/>
        <v>0</v>
      </c>
      <c r="DW503" t="b">
        <f t="shared" si="978"/>
        <v>0</v>
      </c>
      <c r="DX503" t="b">
        <f t="shared" si="979"/>
        <v>0</v>
      </c>
      <c r="DY503" t="b">
        <f t="shared" si="980"/>
        <v>0</v>
      </c>
      <c r="DZ503" t="b">
        <f t="shared" si="981"/>
        <v>0</v>
      </c>
      <c r="EA503" t="b">
        <f t="shared" si="982"/>
        <v>0</v>
      </c>
      <c r="EB503" t="b">
        <f t="shared" si="983"/>
        <v>0</v>
      </c>
      <c r="EC503" t="b">
        <f t="shared" si="984"/>
        <v>0</v>
      </c>
      <c r="ED503" t="b">
        <f t="shared" si="985"/>
        <v>0</v>
      </c>
      <c r="EE503" t="b">
        <f t="shared" si="986"/>
        <v>0</v>
      </c>
      <c r="EF503">
        <f t="shared" si="987"/>
        <v>1</v>
      </c>
      <c r="EG503" t="b">
        <f t="shared" si="988"/>
        <v>0</v>
      </c>
      <c r="EH503" t="b">
        <f t="shared" si="989"/>
        <v>0</v>
      </c>
      <c r="EI503" t="b">
        <f t="shared" si="990"/>
        <v>0</v>
      </c>
      <c r="EJ503" t="b">
        <f t="shared" si="991"/>
        <v>0</v>
      </c>
      <c r="EK503" t="b">
        <f t="shared" si="992"/>
        <v>0</v>
      </c>
    </row>
    <row r="504" spans="1:141">
      <c r="A504" t="s">
        <v>2552</v>
      </c>
      <c r="B504" t="s">
        <v>2552</v>
      </c>
      <c r="C504" t="s">
        <v>2553</v>
      </c>
      <c r="D504" s="1">
        <v>43877</v>
      </c>
      <c r="E504" s="2">
        <v>43883.805555555555</v>
      </c>
      <c r="F504" s="2">
        <v>43883.805555555555</v>
      </c>
      <c r="G504">
        <v>857611</v>
      </c>
      <c r="H504" t="s">
        <v>2554</v>
      </c>
      <c r="I504" s="10" t="s">
        <v>2555</v>
      </c>
      <c r="J504" t="s">
        <v>935</v>
      </c>
      <c r="K504" s="8" t="b">
        <v>1</v>
      </c>
      <c r="L504" s="10" t="b">
        <v>0</v>
      </c>
      <c r="M504" s="12" t="b">
        <v>0</v>
      </c>
      <c r="N504" t="b">
        <v>0</v>
      </c>
      <c r="O504" t="b">
        <v>0</v>
      </c>
      <c r="P504" t="b">
        <v>0</v>
      </c>
      <c r="Q504">
        <f t="shared" si="869"/>
        <v>1</v>
      </c>
      <c r="R504">
        <f t="shared" si="870"/>
        <v>2</v>
      </c>
      <c r="S504" t="e">
        <f t="shared" ca="1" si="900"/>
        <v>#NAME?</v>
      </c>
      <c r="T504" t="e">
        <f t="shared" ca="1" si="871"/>
        <v>#NAME?</v>
      </c>
      <c r="U504" s="4">
        <f t="shared" si="872"/>
        <v>6.8055555555547471</v>
      </c>
      <c r="V504" s="4">
        <f t="shared" si="873"/>
        <v>0.22685185185182491</v>
      </c>
      <c r="W504" s="4">
        <f t="shared" si="874"/>
        <v>1</v>
      </c>
      <c r="X504" s="4">
        <f t="shared" si="875"/>
        <v>0</v>
      </c>
      <c r="Y504" s="4">
        <f t="shared" si="876"/>
        <v>0</v>
      </c>
      <c r="Z504" s="4">
        <f t="shared" si="877"/>
        <v>0</v>
      </c>
      <c r="AA504" s="4">
        <f t="shared" si="878"/>
        <v>0</v>
      </c>
      <c r="AB504" s="4">
        <f t="shared" si="879"/>
        <v>0</v>
      </c>
      <c r="AC504" s="4"/>
      <c r="AD504" s="4" t="b">
        <f t="shared" si="880"/>
        <v>0</v>
      </c>
      <c r="AE504" s="4" t="b">
        <f t="shared" si="881"/>
        <v>0</v>
      </c>
      <c r="AF504" s="4" t="b">
        <f t="shared" si="882"/>
        <v>0</v>
      </c>
      <c r="AG504" t="b">
        <f t="shared" si="883"/>
        <v>0</v>
      </c>
      <c r="AH504" t="b">
        <f t="shared" si="884"/>
        <v>0</v>
      </c>
      <c r="AI504" t="b">
        <f t="shared" si="885"/>
        <v>0</v>
      </c>
      <c r="AJ504" t="b">
        <f t="shared" si="886"/>
        <v>0</v>
      </c>
      <c r="AK504" t="b">
        <f t="shared" si="887"/>
        <v>0</v>
      </c>
      <c r="AL504" t="b">
        <f t="shared" si="888"/>
        <v>0</v>
      </c>
      <c r="AM504" t="b">
        <f t="shared" si="889"/>
        <v>0</v>
      </c>
      <c r="AN504" t="b">
        <f t="shared" si="890"/>
        <v>0</v>
      </c>
      <c r="AO504" t="b">
        <f t="shared" si="891"/>
        <v>0</v>
      </c>
      <c r="AP504" t="b">
        <f t="shared" si="892"/>
        <v>0</v>
      </c>
      <c r="AQ504" t="b">
        <f t="shared" si="893"/>
        <v>0</v>
      </c>
      <c r="AR504" t="b">
        <f t="shared" si="894"/>
        <v>0</v>
      </c>
      <c r="AS504" t="b">
        <f t="shared" si="895"/>
        <v>0</v>
      </c>
      <c r="AT504" t="b">
        <f t="shared" si="896"/>
        <v>0</v>
      </c>
      <c r="AU504" t="b">
        <f t="shared" si="897"/>
        <v>0</v>
      </c>
      <c r="AV504" t="b">
        <f t="shared" si="898"/>
        <v>0</v>
      </c>
      <c r="AW504" t="b">
        <f t="shared" si="899"/>
        <v>0</v>
      </c>
      <c r="AX504" t="b">
        <f t="shared" si="901"/>
        <v>0</v>
      </c>
      <c r="AY504" t="b">
        <f t="shared" si="902"/>
        <v>0</v>
      </c>
      <c r="AZ504" t="b">
        <f t="shared" si="903"/>
        <v>0</v>
      </c>
      <c r="BA504" t="b">
        <f t="shared" si="904"/>
        <v>0</v>
      </c>
      <c r="BB504" t="b">
        <f t="shared" si="905"/>
        <v>0</v>
      </c>
      <c r="BC504" t="b">
        <f t="shared" si="906"/>
        <v>0</v>
      </c>
      <c r="BD504" t="b">
        <f t="shared" si="907"/>
        <v>0</v>
      </c>
      <c r="BE504" t="b">
        <f t="shared" si="908"/>
        <v>0</v>
      </c>
      <c r="BF504" t="b">
        <f t="shared" si="909"/>
        <v>0</v>
      </c>
      <c r="BG504" t="b">
        <f t="shared" si="910"/>
        <v>0</v>
      </c>
      <c r="BH504" t="b">
        <f t="shared" si="911"/>
        <v>0</v>
      </c>
      <c r="BI504">
        <f t="shared" si="912"/>
        <v>1</v>
      </c>
      <c r="BJ504" t="b">
        <f t="shared" si="913"/>
        <v>0</v>
      </c>
      <c r="BK504" t="b">
        <f t="shared" si="914"/>
        <v>0</v>
      </c>
      <c r="BL504" t="b">
        <f t="shared" si="915"/>
        <v>0</v>
      </c>
      <c r="BM504" t="b">
        <f t="shared" si="916"/>
        <v>0</v>
      </c>
      <c r="BN504" t="b">
        <f t="shared" si="917"/>
        <v>0</v>
      </c>
      <c r="BO504" t="b">
        <f t="shared" si="918"/>
        <v>0</v>
      </c>
      <c r="BP504" t="b">
        <f t="shared" si="919"/>
        <v>0</v>
      </c>
      <c r="BQ504" t="b">
        <f t="shared" si="920"/>
        <v>0</v>
      </c>
      <c r="BR504" t="b">
        <f t="shared" si="921"/>
        <v>0</v>
      </c>
      <c r="BS504" t="b">
        <f t="shared" si="922"/>
        <v>0</v>
      </c>
      <c r="BT504" t="b">
        <f t="shared" si="923"/>
        <v>0</v>
      </c>
      <c r="BU504" t="b">
        <f t="shared" si="924"/>
        <v>0</v>
      </c>
      <c r="BV504" t="b">
        <f t="shared" si="925"/>
        <v>0</v>
      </c>
      <c r="BW504" t="b">
        <f t="shared" si="926"/>
        <v>0</v>
      </c>
      <c r="BX504" t="b">
        <f t="shared" si="927"/>
        <v>0</v>
      </c>
      <c r="BY504" t="b">
        <f t="shared" si="928"/>
        <v>0</v>
      </c>
      <c r="BZ504" t="b">
        <f t="shared" si="929"/>
        <v>0</v>
      </c>
      <c r="CA504" t="b">
        <f t="shared" si="930"/>
        <v>0</v>
      </c>
      <c r="CB504" t="b">
        <f t="shared" si="931"/>
        <v>0</v>
      </c>
      <c r="CC504" t="b">
        <f t="shared" si="932"/>
        <v>0</v>
      </c>
      <c r="CD504" t="b">
        <f t="shared" si="933"/>
        <v>0</v>
      </c>
      <c r="CE504" t="b">
        <f t="shared" si="934"/>
        <v>0</v>
      </c>
      <c r="CF504" t="b">
        <f t="shared" si="935"/>
        <v>0</v>
      </c>
      <c r="CG504" t="b">
        <f t="shared" si="936"/>
        <v>0</v>
      </c>
      <c r="CH504" t="b">
        <f t="shared" si="937"/>
        <v>0</v>
      </c>
      <c r="CI504" t="b">
        <f t="shared" si="938"/>
        <v>0</v>
      </c>
      <c r="CJ504" t="b">
        <f t="shared" si="939"/>
        <v>0</v>
      </c>
      <c r="CK504" t="b">
        <f t="shared" si="940"/>
        <v>0</v>
      </c>
      <c r="CL504" t="b">
        <f t="shared" si="941"/>
        <v>0</v>
      </c>
      <c r="CM504">
        <f t="shared" si="942"/>
        <v>1</v>
      </c>
      <c r="CN504" t="b">
        <f t="shared" si="943"/>
        <v>0</v>
      </c>
      <c r="CO504" t="b">
        <f t="shared" si="944"/>
        <v>0</v>
      </c>
      <c r="CP504" t="b">
        <f t="shared" si="945"/>
        <v>0</v>
      </c>
      <c r="CQ504" t="b">
        <f t="shared" si="946"/>
        <v>0</v>
      </c>
      <c r="CR504" t="b">
        <f t="shared" si="947"/>
        <v>0</v>
      </c>
      <c r="CS504" t="b">
        <f t="shared" si="948"/>
        <v>0</v>
      </c>
      <c r="CT504" t="b">
        <f t="shared" si="949"/>
        <v>0</v>
      </c>
      <c r="CU504" t="b">
        <f t="shared" si="950"/>
        <v>0</v>
      </c>
      <c r="CV504" t="b">
        <f t="shared" si="951"/>
        <v>0</v>
      </c>
      <c r="CW504" t="b">
        <f t="shared" si="952"/>
        <v>0</v>
      </c>
      <c r="CX504" t="b">
        <f t="shared" si="953"/>
        <v>0</v>
      </c>
      <c r="CY504" t="b">
        <f t="shared" si="954"/>
        <v>0</v>
      </c>
      <c r="CZ504" t="b">
        <f t="shared" si="955"/>
        <v>0</v>
      </c>
      <c r="DA504">
        <f t="shared" si="956"/>
        <v>1</v>
      </c>
      <c r="DB504">
        <f t="shared" si="957"/>
        <v>1</v>
      </c>
      <c r="DC504" t="b">
        <f t="shared" si="958"/>
        <v>0</v>
      </c>
      <c r="DD504" t="b">
        <f t="shared" si="959"/>
        <v>0</v>
      </c>
      <c r="DE504" t="b">
        <f t="shared" si="960"/>
        <v>0</v>
      </c>
      <c r="DF504" t="b">
        <f t="shared" si="961"/>
        <v>0</v>
      </c>
      <c r="DG504" t="b">
        <f t="shared" si="962"/>
        <v>0</v>
      </c>
      <c r="DH504" t="b">
        <f t="shared" si="963"/>
        <v>0</v>
      </c>
      <c r="DI504" t="b">
        <f t="shared" si="964"/>
        <v>0</v>
      </c>
      <c r="DJ504">
        <f t="shared" si="965"/>
        <v>1</v>
      </c>
      <c r="DK504" t="b">
        <f t="shared" si="966"/>
        <v>0</v>
      </c>
      <c r="DL504" t="b">
        <f t="shared" si="967"/>
        <v>0</v>
      </c>
      <c r="DM504" t="b">
        <f t="shared" si="968"/>
        <v>0</v>
      </c>
      <c r="DN504" t="b">
        <f t="shared" si="969"/>
        <v>0</v>
      </c>
      <c r="DO504" t="b">
        <f t="shared" si="970"/>
        <v>0</v>
      </c>
      <c r="DP504" t="b">
        <f t="shared" si="971"/>
        <v>0</v>
      </c>
      <c r="DQ504" t="b">
        <f t="shared" si="972"/>
        <v>0</v>
      </c>
      <c r="DR504" t="b">
        <f t="shared" si="973"/>
        <v>0</v>
      </c>
      <c r="DS504" t="b">
        <f t="shared" si="974"/>
        <v>0</v>
      </c>
      <c r="DT504" t="b">
        <f t="shared" si="975"/>
        <v>0</v>
      </c>
      <c r="DU504" t="b">
        <f t="shared" si="976"/>
        <v>0</v>
      </c>
      <c r="DV504" t="b">
        <f t="shared" si="977"/>
        <v>0</v>
      </c>
      <c r="DW504" t="b">
        <f t="shared" si="978"/>
        <v>0</v>
      </c>
      <c r="DX504" t="b">
        <f t="shared" si="979"/>
        <v>0</v>
      </c>
      <c r="DY504" t="b">
        <f t="shared" si="980"/>
        <v>0</v>
      </c>
      <c r="DZ504" t="b">
        <f t="shared" si="981"/>
        <v>0</v>
      </c>
      <c r="EA504" t="b">
        <f t="shared" si="982"/>
        <v>0</v>
      </c>
      <c r="EB504" t="b">
        <f t="shared" si="983"/>
        <v>0</v>
      </c>
      <c r="EC504" t="b">
        <f t="shared" si="984"/>
        <v>0</v>
      </c>
      <c r="ED504" t="b">
        <f t="shared" si="985"/>
        <v>0</v>
      </c>
      <c r="EE504" t="b">
        <f t="shared" si="986"/>
        <v>0</v>
      </c>
      <c r="EF504" t="b">
        <f t="shared" si="987"/>
        <v>0</v>
      </c>
      <c r="EG504" t="b">
        <f t="shared" si="988"/>
        <v>0</v>
      </c>
      <c r="EH504" t="b">
        <f t="shared" si="989"/>
        <v>0</v>
      </c>
      <c r="EI504" t="b">
        <f t="shared" si="990"/>
        <v>0</v>
      </c>
      <c r="EJ504" t="b">
        <f t="shared" si="991"/>
        <v>0</v>
      </c>
      <c r="EK504" t="b">
        <f t="shared" si="992"/>
        <v>0</v>
      </c>
    </row>
    <row r="505" spans="1:141">
      <c r="A505" t="s">
        <v>2556</v>
      </c>
      <c r="B505" t="s">
        <v>2556</v>
      </c>
      <c r="C505" t="s">
        <v>2557</v>
      </c>
      <c r="D505" s="1">
        <v>44292</v>
      </c>
      <c r="E505" s="2">
        <v>44933.045416666668</v>
      </c>
      <c r="F505" s="2">
        <v>44933.045416666668</v>
      </c>
      <c r="G505">
        <v>1464271</v>
      </c>
      <c r="H505" t="s">
        <v>2558</v>
      </c>
      <c r="I505" s="10" t="s">
        <v>2559</v>
      </c>
      <c r="J505" t="s">
        <v>2067</v>
      </c>
      <c r="K505" s="8" t="b">
        <v>1</v>
      </c>
      <c r="L505" s="10" t="b">
        <v>0</v>
      </c>
      <c r="M505" s="12" t="b">
        <v>0</v>
      </c>
      <c r="N505" t="b">
        <v>0</v>
      </c>
      <c r="O505" t="b">
        <v>0</v>
      </c>
      <c r="P505" t="b">
        <v>0</v>
      </c>
      <c r="Q505">
        <f t="shared" si="869"/>
        <v>3</v>
      </c>
      <c r="R505">
        <f t="shared" si="870"/>
        <v>4</v>
      </c>
      <c r="S505" t="e">
        <f t="shared" ca="1" si="900"/>
        <v>#NAME?</v>
      </c>
      <c r="T505" t="e">
        <f t="shared" ca="1" si="871"/>
        <v>#NAME?</v>
      </c>
      <c r="U505" s="4">
        <f t="shared" si="872"/>
        <v>641.04541666666773</v>
      </c>
      <c r="V505" s="4">
        <f t="shared" si="873"/>
        <v>21.36818055555559</v>
      </c>
      <c r="W505" s="4">
        <f t="shared" si="874"/>
        <v>1</v>
      </c>
      <c r="X505" s="4">
        <f t="shared" si="875"/>
        <v>0</v>
      </c>
      <c r="Y505" s="4">
        <f t="shared" si="876"/>
        <v>0</v>
      </c>
      <c r="Z505" s="4">
        <f t="shared" si="877"/>
        <v>0</v>
      </c>
      <c r="AA505" s="4">
        <f t="shared" si="878"/>
        <v>0</v>
      </c>
      <c r="AB505" s="4">
        <f t="shared" si="879"/>
        <v>0</v>
      </c>
      <c r="AC505" s="4"/>
      <c r="AD505" s="4" t="b">
        <f t="shared" si="880"/>
        <v>0</v>
      </c>
      <c r="AE505" s="4" t="b">
        <f t="shared" si="881"/>
        <v>0</v>
      </c>
      <c r="AF505" s="4" t="b">
        <f t="shared" si="882"/>
        <v>0</v>
      </c>
      <c r="AG505" t="b">
        <f t="shared" si="883"/>
        <v>0</v>
      </c>
      <c r="AH505" t="b">
        <f t="shared" si="884"/>
        <v>0</v>
      </c>
      <c r="AI505" t="b">
        <f t="shared" si="885"/>
        <v>0</v>
      </c>
      <c r="AJ505" t="b">
        <f t="shared" si="886"/>
        <v>0</v>
      </c>
      <c r="AK505" t="b">
        <f t="shared" si="887"/>
        <v>0</v>
      </c>
      <c r="AL505" t="b">
        <f t="shared" si="888"/>
        <v>0</v>
      </c>
      <c r="AM505" t="b">
        <f t="shared" si="889"/>
        <v>0</v>
      </c>
      <c r="AN505" t="b">
        <f t="shared" si="890"/>
        <v>0</v>
      </c>
      <c r="AO505" t="b">
        <f t="shared" si="891"/>
        <v>0</v>
      </c>
      <c r="AP505" t="b">
        <f t="shared" si="892"/>
        <v>0</v>
      </c>
      <c r="AQ505" t="b">
        <f t="shared" si="893"/>
        <v>0</v>
      </c>
      <c r="AR505" t="b">
        <f t="shared" si="894"/>
        <v>0</v>
      </c>
      <c r="AS505" t="b">
        <f t="shared" si="895"/>
        <v>0</v>
      </c>
      <c r="AT505" t="b">
        <f t="shared" si="896"/>
        <v>0</v>
      </c>
      <c r="AU505" t="b">
        <f t="shared" si="897"/>
        <v>0</v>
      </c>
      <c r="AV505" t="b">
        <f t="shared" si="898"/>
        <v>0</v>
      </c>
      <c r="AW505" t="b">
        <f t="shared" si="899"/>
        <v>0</v>
      </c>
      <c r="AX505" t="b">
        <f t="shared" si="901"/>
        <v>0</v>
      </c>
      <c r="AY505" t="b">
        <f t="shared" si="902"/>
        <v>0</v>
      </c>
      <c r="AZ505" t="b">
        <f t="shared" si="903"/>
        <v>0</v>
      </c>
      <c r="BA505" t="b">
        <f t="shared" si="904"/>
        <v>0</v>
      </c>
      <c r="BB505" t="b">
        <f t="shared" si="905"/>
        <v>0</v>
      </c>
      <c r="BC505" t="b">
        <f t="shared" si="906"/>
        <v>0</v>
      </c>
      <c r="BD505" t="b">
        <f t="shared" si="907"/>
        <v>0</v>
      </c>
      <c r="BE505" t="b">
        <f t="shared" si="908"/>
        <v>0</v>
      </c>
      <c r="BF505" t="b">
        <f t="shared" si="909"/>
        <v>0</v>
      </c>
      <c r="BG505" t="b">
        <f t="shared" si="910"/>
        <v>0</v>
      </c>
      <c r="BH505" t="b">
        <f t="shared" si="911"/>
        <v>0</v>
      </c>
      <c r="BI505">
        <f t="shared" si="912"/>
        <v>1</v>
      </c>
      <c r="BJ505" t="b">
        <f t="shared" si="913"/>
        <v>0</v>
      </c>
      <c r="BK505" t="b">
        <f t="shared" si="914"/>
        <v>0</v>
      </c>
      <c r="BL505" t="b">
        <f t="shared" si="915"/>
        <v>0</v>
      </c>
      <c r="BM505" t="b">
        <f t="shared" si="916"/>
        <v>0</v>
      </c>
      <c r="BN505" t="b">
        <f t="shared" si="917"/>
        <v>0</v>
      </c>
      <c r="BO505" t="b">
        <f t="shared" si="918"/>
        <v>0</v>
      </c>
      <c r="BP505" t="b">
        <f t="shared" si="919"/>
        <v>0</v>
      </c>
      <c r="BQ505" t="b">
        <f t="shared" si="920"/>
        <v>0</v>
      </c>
      <c r="BR505" t="b">
        <f t="shared" si="921"/>
        <v>0</v>
      </c>
      <c r="BS505" t="b">
        <f t="shared" si="922"/>
        <v>0</v>
      </c>
      <c r="BT505" t="b">
        <f t="shared" si="923"/>
        <v>0</v>
      </c>
      <c r="BU505" t="b">
        <f t="shared" si="924"/>
        <v>0</v>
      </c>
      <c r="BV505" t="b">
        <f t="shared" si="925"/>
        <v>0</v>
      </c>
      <c r="BW505" t="b">
        <f t="shared" si="926"/>
        <v>0</v>
      </c>
      <c r="BX505" t="b">
        <f t="shared" si="927"/>
        <v>0</v>
      </c>
      <c r="BY505" t="b">
        <f t="shared" si="928"/>
        <v>0</v>
      </c>
      <c r="BZ505" t="b">
        <f t="shared" si="929"/>
        <v>0</v>
      </c>
      <c r="CA505" t="b">
        <f t="shared" si="930"/>
        <v>0</v>
      </c>
      <c r="CB505" t="b">
        <f t="shared" si="931"/>
        <v>0</v>
      </c>
      <c r="CC505" t="b">
        <f t="shared" si="932"/>
        <v>0</v>
      </c>
      <c r="CD505" t="b">
        <f t="shared" si="933"/>
        <v>0</v>
      </c>
      <c r="CE505" t="b">
        <f t="shared" si="934"/>
        <v>0</v>
      </c>
      <c r="CF505" t="b">
        <f t="shared" si="935"/>
        <v>0</v>
      </c>
      <c r="CG505" t="b">
        <f t="shared" si="936"/>
        <v>0</v>
      </c>
      <c r="CH505" t="b">
        <f t="shared" si="937"/>
        <v>0</v>
      </c>
      <c r="CI505" t="b">
        <f t="shared" si="938"/>
        <v>0</v>
      </c>
      <c r="CJ505" t="b">
        <f t="shared" si="939"/>
        <v>0</v>
      </c>
      <c r="CK505" t="b">
        <f t="shared" si="940"/>
        <v>0</v>
      </c>
      <c r="CL505" t="b">
        <f t="shared" si="941"/>
        <v>0</v>
      </c>
      <c r="CM505">
        <f t="shared" si="942"/>
        <v>1</v>
      </c>
      <c r="CN505" t="b">
        <f t="shared" si="943"/>
        <v>0</v>
      </c>
      <c r="CO505" t="b">
        <f t="shared" si="944"/>
        <v>0</v>
      </c>
      <c r="CP505" t="b">
        <f t="shared" si="945"/>
        <v>0</v>
      </c>
      <c r="CQ505" t="b">
        <f t="shared" si="946"/>
        <v>0</v>
      </c>
      <c r="CR505" t="b">
        <f t="shared" si="947"/>
        <v>0</v>
      </c>
      <c r="CS505" t="b">
        <f t="shared" si="948"/>
        <v>0</v>
      </c>
      <c r="CT505" t="b">
        <f t="shared" si="949"/>
        <v>0</v>
      </c>
      <c r="CU505" t="b">
        <f t="shared" si="950"/>
        <v>0</v>
      </c>
      <c r="CV505">
        <f t="shared" si="951"/>
        <v>1</v>
      </c>
      <c r="CW505" t="b">
        <f t="shared" si="952"/>
        <v>0</v>
      </c>
      <c r="CX505" t="b">
        <f t="shared" si="953"/>
        <v>0</v>
      </c>
      <c r="CY505" t="b">
        <f t="shared" si="954"/>
        <v>0</v>
      </c>
      <c r="CZ505" t="b">
        <f t="shared" si="955"/>
        <v>0</v>
      </c>
      <c r="DA505" t="b">
        <f t="shared" si="956"/>
        <v>0</v>
      </c>
      <c r="DB505" t="b">
        <f t="shared" si="957"/>
        <v>0</v>
      </c>
      <c r="DC505" t="b">
        <f t="shared" si="958"/>
        <v>0</v>
      </c>
      <c r="DD505" t="b">
        <f t="shared" si="959"/>
        <v>0</v>
      </c>
      <c r="DE505" t="b">
        <f t="shared" si="960"/>
        <v>0</v>
      </c>
      <c r="DF505" t="b">
        <f t="shared" si="961"/>
        <v>0</v>
      </c>
      <c r="DG505" t="b">
        <f t="shared" si="962"/>
        <v>0</v>
      </c>
      <c r="DH505" t="b">
        <f t="shared" si="963"/>
        <v>0</v>
      </c>
      <c r="DI505" t="b">
        <f t="shared" si="964"/>
        <v>0</v>
      </c>
      <c r="DJ505" t="b">
        <f t="shared" si="965"/>
        <v>0</v>
      </c>
      <c r="DK505" t="b">
        <f t="shared" si="966"/>
        <v>0</v>
      </c>
      <c r="DL505" t="b">
        <f t="shared" si="967"/>
        <v>0</v>
      </c>
      <c r="DM505" t="b">
        <f t="shared" si="968"/>
        <v>0</v>
      </c>
      <c r="DN505" t="b">
        <f t="shared" si="969"/>
        <v>0</v>
      </c>
      <c r="DO505" t="b">
        <f t="shared" si="970"/>
        <v>0</v>
      </c>
      <c r="DP505" t="b">
        <f t="shared" si="971"/>
        <v>0</v>
      </c>
      <c r="DQ505" t="b">
        <f t="shared" si="972"/>
        <v>0</v>
      </c>
      <c r="DR505" t="b">
        <f t="shared" si="973"/>
        <v>0</v>
      </c>
      <c r="DS505" t="b">
        <f t="shared" si="974"/>
        <v>0</v>
      </c>
      <c r="DT505" t="b">
        <f t="shared" si="975"/>
        <v>0</v>
      </c>
      <c r="DU505" t="b">
        <f t="shared" si="976"/>
        <v>0</v>
      </c>
      <c r="DV505" t="b">
        <f t="shared" si="977"/>
        <v>0</v>
      </c>
      <c r="DW505" t="b">
        <f t="shared" si="978"/>
        <v>0</v>
      </c>
      <c r="DX505" t="b">
        <f t="shared" si="979"/>
        <v>0</v>
      </c>
      <c r="DY505" t="b">
        <f t="shared" si="980"/>
        <v>0</v>
      </c>
      <c r="DZ505" t="b">
        <f t="shared" si="981"/>
        <v>0</v>
      </c>
      <c r="EA505" t="b">
        <f t="shared" si="982"/>
        <v>0</v>
      </c>
      <c r="EB505" t="b">
        <f t="shared" si="983"/>
        <v>0</v>
      </c>
      <c r="EC505" t="b">
        <f t="shared" si="984"/>
        <v>0</v>
      </c>
      <c r="ED505" t="b">
        <f t="shared" si="985"/>
        <v>0</v>
      </c>
      <c r="EE505" t="b">
        <f t="shared" si="986"/>
        <v>0</v>
      </c>
      <c r="EF505" t="b">
        <f t="shared" si="987"/>
        <v>0</v>
      </c>
      <c r="EG505" t="b">
        <f t="shared" si="988"/>
        <v>0</v>
      </c>
      <c r="EH505" t="b">
        <f t="shared" si="989"/>
        <v>0</v>
      </c>
      <c r="EI505" t="b">
        <f t="shared" si="990"/>
        <v>0</v>
      </c>
      <c r="EJ505" t="b">
        <f t="shared" si="991"/>
        <v>0</v>
      </c>
      <c r="EK505" t="b">
        <f t="shared" si="992"/>
        <v>0</v>
      </c>
    </row>
    <row r="506" spans="1:141">
      <c r="A506" t="s">
        <v>2560</v>
      </c>
      <c r="B506" t="s">
        <v>2560</v>
      </c>
      <c r="C506" t="s">
        <v>2561</v>
      </c>
      <c r="D506" s="1">
        <v>42988</v>
      </c>
      <c r="E506" s="2">
        <v>43201.008437500001</v>
      </c>
      <c r="F506" s="2">
        <v>43201.008437500001</v>
      </c>
      <c r="G506">
        <v>386489</v>
      </c>
      <c r="H506" t="s">
        <v>2562</v>
      </c>
      <c r="I506" s="10" t="s">
        <v>2563</v>
      </c>
      <c r="J506" t="s">
        <v>2564</v>
      </c>
      <c r="K506" s="8" t="b">
        <v>1</v>
      </c>
      <c r="L506" s="10" t="b">
        <v>0</v>
      </c>
      <c r="M506" s="12" t="b">
        <v>0</v>
      </c>
      <c r="N506" t="b">
        <v>0</v>
      </c>
      <c r="O506" t="b">
        <v>0</v>
      </c>
      <c r="P506" t="b">
        <v>0</v>
      </c>
      <c r="Q506">
        <f t="shared" si="869"/>
        <v>1</v>
      </c>
      <c r="R506">
        <f t="shared" si="870"/>
        <v>9</v>
      </c>
      <c r="S506" t="e">
        <f t="shared" ca="1" si="900"/>
        <v>#NAME?</v>
      </c>
      <c r="T506" t="e">
        <f t="shared" ca="1" si="871"/>
        <v>#NAME?</v>
      </c>
      <c r="U506" s="4">
        <f t="shared" si="872"/>
        <v>213.00843750000058</v>
      </c>
      <c r="V506" s="4">
        <f t="shared" si="873"/>
        <v>7.1002812500000196</v>
      </c>
      <c r="W506" s="4">
        <f t="shared" si="874"/>
        <v>1</v>
      </c>
      <c r="X506" s="4">
        <f t="shared" si="875"/>
        <v>0</v>
      </c>
      <c r="Y506" s="4">
        <f t="shared" si="876"/>
        <v>0</v>
      </c>
      <c r="Z506" s="4">
        <f t="shared" si="877"/>
        <v>0</v>
      </c>
      <c r="AA506" s="4">
        <f t="shared" si="878"/>
        <v>0</v>
      </c>
      <c r="AB506" s="4">
        <f t="shared" si="879"/>
        <v>0</v>
      </c>
      <c r="AC506" s="4"/>
      <c r="AD506" s="4" t="b">
        <f t="shared" si="880"/>
        <v>0</v>
      </c>
      <c r="AE506" s="4" t="b">
        <f t="shared" si="881"/>
        <v>0</v>
      </c>
      <c r="AF506" s="4" t="b">
        <f t="shared" si="882"/>
        <v>0</v>
      </c>
      <c r="AG506" t="b">
        <f t="shared" si="883"/>
        <v>0</v>
      </c>
      <c r="AH506" t="b">
        <f t="shared" si="884"/>
        <v>0</v>
      </c>
      <c r="AI506" t="b">
        <f t="shared" si="885"/>
        <v>0</v>
      </c>
      <c r="AJ506" t="b">
        <f t="shared" si="886"/>
        <v>0</v>
      </c>
      <c r="AK506" t="b">
        <f t="shared" si="887"/>
        <v>0</v>
      </c>
      <c r="AL506" t="b">
        <f t="shared" si="888"/>
        <v>0</v>
      </c>
      <c r="AM506" t="b">
        <f t="shared" si="889"/>
        <v>0</v>
      </c>
      <c r="AN506" t="b">
        <f t="shared" si="890"/>
        <v>0</v>
      </c>
      <c r="AO506" t="b">
        <f t="shared" si="891"/>
        <v>0</v>
      </c>
      <c r="AP506" t="b">
        <f t="shared" si="892"/>
        <v>0</v>
      </c>
      <c r="AQ506" t="b">
        <f t="shared" si="893"/>
        <v>0</v>
      </c>
      <c r="AR506" t="b">
        <f t="shared" si="894"/>
        <v>0</v>
      </c>
      <c r="AS506" t="b">
        <f t="shared" si="895"/>
        <v>0</v>
      </c>
      <c r="AT506" t="b">
        <f t="shared" si="896"/>
        <v>0</v>
      </c>
      <c r="AU506" t="b">
        <f t="shared" si="897"/>
        <v>0</v>
      </c>
      <c r="AV506" t="b">
        <f t="shared" si="898"/>
        <v>0</v>
      </c>
      <c r="AW506" t="b">
        <f t="shared" si="899"/>
        <v>0</v>
      </c>
      <c r="AX506" t="b">
        <f t="shared" si="901"/>
        <v>0</v>
      </c>
      <c r="AY506" t="b">
        <f t="shared" si="902"/>
        <v>0</v>
      </c>
      <c r="AZ506" t="b">
        <f t="shared" si="903"/>
        <v>0</v>
      </c>
      <c r="BA506" t="b">
        <f t="shared" si="904"/>
        <v>0</v>
      </c>
      <c r="BB506" t="b">
        <f t="shared" si="905"/>
        <v>0</v>
      </c>
      <c r="BC506" t="b">
        <f t="shared" si="906"/>
        <v>0</v>
      </c>
      <c r="BD506" t="b">
        <f t="shared" si="907"/>
        <v>0</v>
      </c>
      <c r="BE506" t="b">
        <f t="shared" si="908"/>
        <v>0</v>
      </c>
      <c r="BF506" t="b">
        <f t="shared" si="909"/>
        <v>0</v>
      </c>
      <c r="BG506" t="b">
        <f t="shared" si="910"/>
        <v>0</v>
      </c>
      <c r="BH506" t="b">
        <f t="shared" si="911"/>
        <v>0</v>
      </c>
      <c r="BI506">
        <f t="shared" si="912"/>
        <v>1</v>
      </c>
      <c r="BJ506" t="b">
        <f t="shared" si="913"/>
        <v>0</v>
      </c>
      <c r="BK506" t="b">
        <f t="shared" si="914"/>
        <v>0</v>
      </c>
      <c r="BL506" t="b">
        <f t="shared" si="915"/>
        <v>0</v>
      </c>
      <c r="BM506" t="b">
        <f t="shared" si="916"/>
        <v>0</v>
      </c>
      <c r="BN506" t="b">
        <f t="shared" si="917"/>
        <v>0</v>
      </c>
      <c r="BO506" t="b">
        <f t="shared" si="918"/>
        <v>0</v>
      </c>
      <c r="BP506" t="b">
        <f t="shared" si="919"/>
        <v>0</v>
      </c>
      <c r="BQ506" t="b">
        <f t="shared" si="920"/>
        <v>0</v>
      </c>
      <c r="BR506">
        <f t="shared" si="921"/>
        <v>1</v>
      </c>
      <c r="BS506">
        <f t="shared" si="922"/>
        <v>1</v>
      </c>
      <c r="BT506" t="b">
        <f t="shared" si="923"/>
        <v>0</v>
      </c>
      <c r="BU506" t="b">
        <f t="shared" si="924"/>
        <v>0</v>
      </c>
      <c r="BV506" t="b">
        <f t="shared" si="925"/>
        <v>0</v>
      </c>
      <c r="BW506" t="b">
        <f t="shared" si="926"/>
        <v>0</v>
      </c>
      <c r="BX506" t="b">
        <f t="shared" si="927"/>
        <v>0</v>
      </c>
      <c r="BY506" t="b">
        <f t="shared" si="928"/>
        <v>0</v>
      </c>
      <c r="BZ506" t="b">
        <f t="shared" si="929"/>
        <v>0</v>
      </c>
      <c r="CA506" t="b">
        <f t="shared" si="930"/>
        <v>0</v>
      </c>
      <c r="CB506" t="b">
        <f t="shared" si="931"/>
        <v>0</v>
      </c>
      <c r="CC506" t="b">
        <f t="shared" si="932"/>
        <v>0</v>
      </c>
      <c r="CD506" t="b">
        <f t="shared" si="933"/>
        <v>0</v>
      </c>
      <c r="CE506" t="b">
        <f t="shared" si="934"/>
        <v>0</v>
      </c>
      <c r="CF506" t="b">
        <f t="shared" si="935"/>
        <v>0</v>
      </c>
      <c r="CG506" t="b">
        <f t="shared" si="936"/>
        <v>0</v>
      </c>
      <c r="CH506" t="b">
        <f t="shared" si="937"/>
        <v>0</v>
      </c>
      <c r="CI506" t="b">
        <f t="shared" si="938"/>
        <v>0</v>
      </c>
      <c r="CJ506" t="b">
        <f t="shared" si="939"/>
        <v>0</v>
      </c>
      <c r="CK506" t="b">
        <f t="shared" si="940"/>
        <v>0</v>
      </c>
      <c r="CL506" t="b">
        <f t="shared" si="941"/>
        <v>0</v>
      </c>
      <c r="CM506" t="b">
        <f t="shared" si="942"/>
        <v>0</v>
      </c>
      <c r="CN506" t="b">
        <f t="shared" si="943"/>
        <v>0</v>
      </c>
      <c r="CO506" t="b">
        <f t="shared" si="944"/>
        <v>0</v>
      </c>
      <c r="CP506" t="b">
        <f t="shared" si="945"/>
        <v>0</v>
      </c>
      <c r="CQ506" t="b">
        <f t="shared" si="946"/>
        <v>0</v>
      </c>
      <c r="CR506" t="b">
        <f t="shared" si="947"/>
        <v>0</v>
      </c>
      <c r="CS506" t="b">
        <f t="shared" si="948"/>
        <v>0</v>
      </c>
      <c r="CT506" t="b">
        <f t="shared" si="949"/>
        <v>0</v>
      </c>
      <c r="CU506" t="b">
        <f t="shared" si="950"/>
        <v>0</v>
      </c>
      <c r="CV506">
        <f t="shared" si="951"/>
        <v>1</v>
      </c>
      <c r="CW506" t="b">
        <f t="shared" si="952"/>
        <v>0</v>
      </c>
      <c r="CX506" t="b">
        <f t="shared" si="953"/>
        <v>0</v>
      </c>
      <c r="CY506" t="b">
        <f t="shared" si="954"/>
        <v>0</v>
      </c>
      <c r="CZ506" t="b">
        <f t="shared" si="955"/>
        <v>0</v>
      </c>
      <c r="DA506" t="b">
        <f t="shared" si="956"/>
        <v>0</v>
      </c>
      <c r="DB506" t="b">
        <f t="shared" si="957"/>
        <v>0</v>
      </c>
      <c r="DC506" t="b">
        <f t="shared" si="958"/>
        <v>0</v>
      </c>
      <c r="DD506" t="b">
        <f t="shared" si="959"/>
        <v>0</v>
      </c>
      <c r="DE506" t="b">
        <f t="shared" si="960"/>
        <v>0</v>
      </c>
      <c r="DF506" t="b">
        <f t="shared" si="961"/>
        <v>0</v>
      </c>
      <c r="DG506" t="b">
        <f t="shared" si="962"/>
        <v>0</v>
      </c>
      <c r="DH506" t="b">
        <f t="shared" si="963"/>
        <v>0</v>
      </c>
      <c r="DI506" t="b">
        <f t="shared" si="964"/>
        <v>0</v>
      </c>
      <c r="DJ506" t="b">
        <f t="shared" si="965"/>
        <v>0</v>
      </c>
      <c r="DK506" t="b">
        <f t="shared" si="966"/>
        <v>0</v>
      </c>
      <c r="DL506" t="b">
        <f t="shared" si="967"/>
        <v>0</v>
      </c>
      <c r="DM506" t="b">
        <f t="shared" si="968"/>
        <v>0</v>
      </c>
      <c r="DN506" t="b">
        <f t="shared" si="969"/>
        <v>0</v>
      </c>
      <c r="DO506" t="b">
        <f t="shared" si="970"/>
        <v>0</v>
      </c>
      <c r="DP506" t="b">
        <f t="shared" si="971"/>
        <v>0</v>
      </c>
      <c r="DQ506" t="b">
        <f t="shared" si="972"/>
        <v>0</v>
      </c>
      <c r="DR506" t="b">
        <f t="shared" si="973"/>
        <v>0</v>
      </c>
      <c r="DS506" t="b">
        <f t="shared" si="974"/>
        <v>0</v>
      </c>
      <c r="DT506" t="b">
        <f t="shared" si="975"/>
        <v>0</v>
      </c>
      <c r="DU506" t="b">
        <f t="shared" si="976"/>
        <v>0</v>
      </c>
      <c r="DV506" t="b">
        <f t="shared" si="977"/>
        <v>0</v>
      </c>
      <c r="DW506" t="b">
        <f t="shared" si="978"/>
        <v>0</v>
      </c>
      <c r="DX506" t="b">
        <f t="shared" si="979"/>
        <v>0</v>
      </c>
      <c r="DY506" t="b">
        <f t="shared" si="980"/>
        <v>0</v>
      </c>
      <c r="DZ506" t="b">
        <f t="shared" si="981"/>
        <v>0</v>
      </c>
      <c r="EA506" t="b">
        <f t="shared" si="982"/>
        <v>0</v>
      </c>
      <c r="EB506" t="b">
        <f t="shared" si="983"/>
        <v>0</v>
      </c>
      <c r="EC506" t="b">
        <f t="shared" si="984"/>
        <v>0</v>
      </c>
      <c r="ED506" t="b">
        <f t="shared" si="985"/>
        <v>0</v>
      </c>
      <c r="EE506" t="b">
        <f t="shared" si="986"/>
        <v>0</v>
      </c>
      <c r="EF506">
        <f t="shared" si="987"/>
        <v>1</v>
      </c>
      <c r="EG506" t="b">
        <f t="shared" si="988"/>
        <v>0</v>
      </c>
      <c r="EH506" t="b">
        <f t="shared" si="989"/>
        <v>0</v>
      </c>
      <c r="EI506">
        <f t="shared" si="990"/>
        <v>1</v>
      </c>
      <c r="EJ506" t="b">
        <f t="shared" si="991"/>
        <v>0</v>
      </c>
      <c r="EK506" t="b">
        <f t="shared" si="992"/>
        <v>0</v>
      </c>
    </row>
    <row r="507" spans="1:141">
      <c r="A507" t="s">
        <v>2565</v>
      </c>
      <c r="B507" t="s">
        <v>2565</v>
      </c>
      <c r="C507" t="s">
        <v>2566</v>
      </c>
      <c r="D507" s="1">
        <v>42077</v>
      </c>
      <c r="E507" s="2">
        <v>43673.683437500003</v>
      </c>
      <c r="F507" s="2">
        <v>43673.683437500003</v>
      </c>
      <c r="G507">
        <v>1410899</v>
      </c>
      <c r="H507" t="s">
        <v>2567</v>
      </c>
      <c r="I507" s="10" t="s">
        <v>2568</v>
      </c>
      <c r="J507" t="s">
        <v>188</v>
      </c>
      <c r="K507" s="8" t="b">
        <v>1</v>
      </c>
      <c r="L507" s="10" t="b">
        <v>0</v>
      </c>
      <c r="M507" s="12" t="b">
        <v>0</v>
      </c>
      <c r="N507" t="b">
        <v>0</v>
      </c>
      <c r="O507" t="b">
        <v>0</v>
      </c>
      <c r="P507" t="b">
        <v>0</v>
      </c>
      <c r="Q507">
        <f t="shared" si="869"/>
        <v>7</v>
      </c>
      <c r="R507">
        <f t="shared" si="870"/>
        <v>3</v>
      </c>
      <c r="S507" t="e">
        <f t="shared" ca="1" si="900"/>
        <v>#NAME?</v>
      </c>
      <c r="T507" t="e">
        <f t="shared" ca="1" si="871"/>
        <v>#NAME?</v>
      </c>
      <c r="U507" s="4">
        <f t="shared" si="872"/>
        <v>1596.6834375000035</v>
      </c>
      <c r="V507" s="4">
        <f t="shared" si="873"/>
        <v>53.222781250000118</v>
      </c>
      <c r="W507" s="4">
        <f t="shared" si="874"/>
        <v>1</v>
      </c>
      <c r="X507" s="4">
        <f t="shared" si="875"/>
        <v>0</v>
      </c>
      <c r="Y507" s="4">
        <f t="shared" si="876"/>
        <v>0</v>
      </c>
      <c r="Z507" s="4">
        <f t="shared" si="877"/>
        <v>0</v>
      </c>
      <c r="AA507" s="4">
        <f t="shared" si="878"/>
        <v>0</v>
      </c>
      <c r="AB507" s="4">
        <f t="shared" si="879"/>
        <v>0</v>
      </c>
      <c r="AC507" s="4"/>
      <c r="AD507" s="4" t="b">
        <f t="shared" si="880"/>
        <v>0</v>
      </c>
      <c r="AE507" s="4" t="b">
        <f t="shared" si="881"/>
        <v>0</v>
      </c>
      <c r="AF507" s="4" t="b">
        <f t="shared" si="882"/>
        <v>0</v>
      </c>
      <c r="AG507" t="b">
        <f t="shared" si="883"/>
        <v>0</v>
      </c>
      <c r="AH507" t="b">
        <f t="shared" si="884"/>
        <v>0</v>
      </c>
      <c r="AI507" t="b">
        <f t="shared" si="885"/>
        <v>0</v>
      </c>
      <c r="AJ507" t="b">
        <f t="shared" si="886"/>
        <v>0</v>
      </c>
      <c r="AK507" t="b">
        <f t="shared" si="887"/>
        <v>0</v>
      </c>
      <c r="AL507" t="b">
        <f t="shared" si="888"/>
        <v>0</v>
      </c>
      <c r="AM507" t="b">
        <f t="shared" si="889"/>
        <v>0</v>
      </c>
      <c r="AN507" t="b">
        <f t="shared" si="890"/>
        <v>0</v>
      </c>
      <c r="AO507" t="b">
        <f t="shared" si="891"/>
        <v>0</v>
      </c>
      <c r="AP507" t="b">
        <f t="shared" si="892"/>
        <v>0</v>
      </c>
      <c r="AQ507" t="b">
        <f t="shared" si="893"/>
        <v>0</v>
      </c>
      <c r="AR507" t="b">
        <f t="shared" si="894"/>
        <v>0</v>
      </c>
      <c r="AS507" t="b">
        <f t="shared" si="895"/>
        <v>0</v>
      </c>
      <c r="AT507" t="b">
        <f t="shared" si="896"/>
        <v>0</v>
      </c>
      <c r="AU507" t="b">
        <f t="shared" si="897"/>
        <v>0</v>
      </c>
      <c r="AV507" t="b">
        <f t="shared" si="898"/>
        <v>0</v>
      </c>
      <c r="AW507" t="b">
        <f t="shared" si="899"/>
        <v>0</v>
      </c>
      <c r="AX507" t="b">
        <f t="shared" si="901"/>
        <v>0</v>
      </c>
      <c r="AY507" t="b">
        <f t="shared" si="902"/>
        <v>0</v>
      </c>
      <c r="AZ507" t="b">
        <f t="shared" si="903"/>
        <v>0</v>
      </c>
      <c r="BA507" t="b">
        <f t="shared" si="904"/>
        <v>0</v>
      </c>
      <c r="BB507" t="b">
        <f t="shared" si="905"/>
        <v>0</v>
      </c>
      <c r="BC507" t="b">
        <f t="shared" si="906"/>
        <v>0</v>
      </c>
      <c r="BD507" t="b">
        <f t="shared" si="907"/>
        <v>0</v>
      </c>
      <c r="BE507" t="b">
        <f t="shared" si="908"/>
        <v>0</v>
      </c>
      <c r="BF507" t="b">
        <f t="shared" si="909"/>
        <v>0</v>
      </c>
      <c r="BG507" t="b">
        <f t="shared" si="910"/>
        <v>0</v>
      </c>
      <c r="BH507" t="b">
        <f t="shared" si="911"/>
        <v>0</v>
      </c>
      <c r="BI507">
        <f t="shared" si="912"/>
        <v>1</v>
      </c>
      <c r="BJ507" t="b">
        <f t="shared" si="913"/>
        <v>0</v>
      </c>
      <c r="BK507" t="b">
        <f t="shared" si="914"/>
        <v>0</v>
      </c>
      <c r="BL507" t="b">
        <f t="shared" si="915"/>
        <v>0</v>
      </c>
      <c r="BM507" t="b">
        <f t="shared" si="916"/>
        <v>0</v>
      </c>
      <c r="BN507" t="b">
        <f t="shared" si="917"/>
        <v>0</v>
      </c>
      <c r="BO507" t="b">
        <f t="shared" si="918"/>
        <v>0</v>
      </c>
      <c r="BP507" t="b">
        <f t="shared" si="919"/>
        <v>0</v>
      </c>
      <c r="BQ507" t="b">
        <f t="shared" si="920"/>
        <v>0</v>
      </c>
      <c r="BR507" t="b">
        <f t="shared" si="921"/>
        <v>0</v>
      </c>
      <c r="BS507" t="b">
        <f t="shared" si="922"/>
        <v>0</v>
      </c>
      <c r="BT507" t="b">
        <f t="shared" si="923"/>
        <v>0</v>
      </c>
      <c r="BU507" t="b">
        <f t="shared" si="924"/>
        <v>0</v>
      </c>
      <c r="BV507" t="b">
        <f t="shared" si="925"/>
        <v>0</v>
      </c>
      <c r="BW507" t="b">
        <f t="shared" si="926"/>
        <v>0</v>
      </c>
      <c r="BX507" t="b">
        <f t="shared" si="927"/>
        <v>0</v>
      </c>
      <c r="BY507" t="b">
        <f t="shared" si="928"/>
        <v>0</v>
      </c>
      <c r="BZ507" t="b">
        <f t="shared" si="929"/>
        <v>0</v>
      </c>
      <c r="CA507" t="b">
        <f t="shared" si="930"/>
        <v>0</v>
      </c>
      <c r="CB507" t="b">
        <f t="shared" si="931"/>
        <v>0</v>
      </c>
      <c r="CC507" t="b">
        <f t="shared" si="932"/>
        <v>0</v>
      </c>
      <c r="CD507" t="b">
        <f t="shared" si="933"/>
        <v>0</v>
      </c>
      <c r="CE507">
        <f t="shared" si="934"/>
        <v>1</v>
      </c>
      <c r="CF507" t="b">
        <f t="shared" si="935"/>
        <v>0</v>
      </c>
      <c r="CG507" t="b">
        <f t="shared" si="936"/>
        <v>0</v>
      </c>
      <c r="CH507" t="b">
        <f t="shared" si="937"/>
        <v>0</v>
      </c>
      <c r="CI507" t="b">
        <f t="shared" si="938"/>
        <v>0</v>
      </c>
      <c r="CJ507" t="b">
        <f t="shared" si="939"/>
        <v>0</v>
      </c>
      <c r="CK507" t="b">
        <f t="shared" si="940"/>
        <v>0</v>
      </c>
      <c r="CL507" t="b">
        <f t="shared" si="941"/>
        <v>0</v>
      </c>
      <c r="CM507" t="b">
        <f t="shared" si="942"/>
        <v>0</v>
      </c>
      <c r="CN507" t="b">
        <f t="shared" si="943"/>
        <v>0</v>
      </c>
      <c r="CO507" t="b">
        <f t="shared" si="944"/>
        <v>0</v>
      </c>
      <c r="CP507" t="b">
        <f t="shared" si="945"/>
        <v>0</v>
      </c>
      <c r="CQ507" t="b">
        <f t="shared" si="946"/>
        <v>0</v>
      </c>
      <c r="CR507" t="b">
        <f t="shared" si="947"/>
        <v>0</v>
      </c>
      <c r="CS507" t="b">
        <f t="shared" si="948"/>
        <v>0</v>
      </c>
      <c r="CT507" t="b">
        <f t="shared" si="949"/>
        <v>0</v>
      </c>
      <c r="CU507" t="b">
        <f t="shared" si="950"/>
        <v>0</v>
      </c>
      <c r="CV507">
        <f t="shared" si="951"/>
        <v>1</v>
      </c>
      <c r="CW507" t="b">
        <f t="shared" si="952"/>
        <v>0</v>
      </c>
      <c r="CX507" t="b">
        <f t="shared" si="953"/>
        <v>0</v>
      </c>
      <c r="CY507" t="b">
        <f t="shared" si="954"/>
        <v>0</v>
      </c>
      <c r="CZ507" t="b">
        <f t="shared" si="955"/>
        <v>0</v>
      </c>
      <c r="DA507" t="b">
        <f t="shared" si="956"/>
        <v>0</v>
      </c>
      <c r="DB507" t="b">
        <f t="shared" si="957"/>
        <v>0</v>
      </c>
      <c r="DC507" t="b">
        <f t="shared" si="958"/>
        <v>0</v>
      </c>
      <c r="DD507" t="b">
        <f t="shared" si="959"/>
        <v>0</v>
      </c>
      <c r="DE507" t="b">
        <f t="shared" si="960"/>
        <v>0</v>
      </c>
      <c r="DF507" t="b">
        <f t="shared" si="961"/>
        <v>0</v>
      </c>
      <c r="DG507" t="b">
        <f t="shared" si="962"/>
        <v>0</v>
      </c>
      <c r="DH507" t="b">
        <f t="shared" si="963"/>
        <v>0</v>
      </c>
      <c r="DI507" t="b">
        <f t="shared" si="964"/>
        <v>0</v>
      </c>
      <c r="DJ507" t="b">
        <f t="shared" si="965"/>
        <v>0</v>
      </c>
      <c r="DK507" t="b">
        <f t="shared" si="966"/>
        <v>0</v>
      </c>
      <c r="DL507" t="b">
        <f t="shared" si="967"/>
        <v>0</v>
      </c>
      <c r="DM507" t="b">
        <f t="shared" si="968"/>
        <v>0</v>
      </c>
      <c r="DN507" t="b">
        <f t="shared" si="969"/>
        <v>0</v>
      </c>
      <c r="DO507" t="b">
        <f t="shared" si="970"/>
        <v>0</v>
      </c>
      <c r="DP507" t="b">
        <f t="shared" si="971"/>
        <v>0</v>
      </c>
      <c r="DQ507" t="b">
        <f t="shared" si="972"/>
        <v>0</v>
      </c>
      <c r="DR507" t="b">
        <f t="shared" si="973"/>
        <v>0</v>
      </c>
      <c r="DS507" t="b">
        <f t="shared" si="974"/>
        <v>0</v>
      </c>
      <c r="DT507" t="b">
        <f t="shared" si="975"/>
        <v>0</v>
      </c>
      <c r="DU507" t="b">
        <f t="shared" si="976"/>
        <v>0</v>
      </c>
      <c r="DV507" t="b">
        <f t="shared" si="977"/>
        <v>0</v>
      </c>
      <c r="DW507" t="b">
        <f t="shared" si="978"/>
        <v>0</v>
      </c>
      <c r="DX507" t="b">
        <f t="shared" si="979"/>
        <v>0</v>
      </c>
      <c r="DY507" t="b">
        <f t="shared" si="980"/>
        <v>0</v>
      </c>
      <c r="DZ507" t="b">
        <f t="shared" si="981"/>
        <v>0</v>
      </c>
      <c r="EA507" t="b">
        <f t="shared" si="982"/>
        <v>0</v>
      </c>
      <c r="EB507" t="b">
        <f t="shared" si="983"/>
        <v>0</v>
      </c>
      <c r="EC507" t="b">
        <f t="shared" si="984"/>
        <v>0</v>
      </c>
      <c r="ED507" t="b">
        <f t="shared" si="985"/>
        <v>0</v>
      </c>
      <c r="EE507" t="b">
        <f t="shared" si="986"/>
        <v>0</v>
      </c>
      <c r="EF507">
        <f t="shared" si="987"/>
        <v>1</v>
      </c>
      <c r="EG507" t="b">
        <f t="shared" si="988"/>
        <v>0</v>
      </c>
      <c r="EH507" t="b">
        <f t="shared" si="989"/>
        <v>0</v>
      </c>
      <c r="EI507" t="b">
        <f t="shared" si="990"/>
        <v>0</v>
      </c>
      <c r="EJ507" t="b">
        <f t="shared" si="991"/>
        <v>0</v>
      </c>
      <c r="EK507" t="b">
        <f t="shared" si="992"/>
        <v>0</v>
      </c>
    </row>
    <row r="508" spans="1:141">
      <c r="A508" t="s">
        <v>2569</v>
      </c>
      <c r="B508" t="s">
        <v>2569</v>
      </c>
      <c r="C508" t="s">
        <v>2570</v>
      </c>
      <c r="D508" s="1">
        <v>41640</v>
      </c>
      <c r="E508" s="2">
        <v>41641</v>
      </c>
      <c r="F508" s="2">
        <v>41641</v>
      </c>
      <c r="G508">
        <v>4609615</v>
      </c>
      <c r="H508" t="s">
        <v>2571</v>
      </c>
      <c r="I508" s="10" t="s">
        <v>2572</v>
      </c>
      <c r="J508" t="s">
        <v>2573</v>
      </c>
      <c r="K508" s="8" t="b">
        <v>1</v>
      </c>
      <c r="L508" s="10" t="b">
        <v>0</v>
      </c>
      <c r="M508" s="12" t="b">
        <v>0</v>
      </c>
      <c r="N508" t="b">
        <v>0</v>
      </c>
      <c r="O508" t="b">
        <v>0</v>
      </c>
      <c r="P508" t="b">
        <v>0</v>
      </c>
      <c r="Q508">
        <f t="shared" si="869"/>
        <v>4</v>
      </c>
      <c r="R508">
        <f t="shared" si="870"/>
        <v>1</v>
      </c>
      <c r="S508" t="e">
        <f t="shared" ca="1" si="900"/>
        <v>#NAME?</v>
      </c>
      <c r="T508" t="e">
        <f t="shared" ca="1" si="871"/>
        <v>#NAME?</v>
      </c>
      <c r="U508" s="4">
        <f t="shared" si="872"/>
        <v>1</v>
      </c>
      <c r="V508" s="4">
        <f t="shared" si="873"/>
        <v>3.3333333333333333E-2</v>
      </c>
      <c r="W508" s="4">
        <f t="shared" si="874"/>
        <v>1</v>
      </c>
      <c r="X508" s="4">
        <f t="shared" si="875"/>
        <v>0</v>
      </c>
      <c r="Y508" s="4">
        <f t="shared" si="876"/>
        <v>0</v>
      </c>
      <c r="Z508" s="4">
        <f t="shared" si="877"/>
        <v>0</v>
      </c>
      <c r="AA508" s="4">
        <f t="shared" si="878"/>
        <v>0</v>
      </c>
      <c r="AB508" s="4">
        <f t="shared" si="879"/>
        <v>0</v>
      </c>
      <c r="AC508" s="4"/>
      <c r="AD508" s="4" t="b">
        <f t="shared" si="880"/>
        <v>0</v>
      </c>
      <c r="AE508" s="4" t="b">
        <f t="shared" si="881"/>
        <v>0</v>
      </c>
      <c r="AF508" s="4" t="b">
        <f t="shared" si="882"/>
        <v>0</v>
      </c>
      <c r="AG508" t="b">
        <f t="shared" si="883"/>
        <v>0</v>
      </c>
      <c r="AH508" t="b">
        <f t="shared" si="884"/>
        <v>0</v>
      </c>
      <c r="AI508" t="b">
        <f t="shared" si="885"/>
        <v>0</v>
      </c>
      <c r="AJ508" t="b">
        <f t="shared" si="886"/>
        <v>0</v>
      </c>
      <c r="AK508" t="b">
        <f t="shared" si="887"/>
        <v>0</v>
      </c>
      <c r="AL508" t="b">
        <f t="shared" si="888"/>
        <v>0</v>
      </c>
      <c r="AM508" t="b">
        <f t="shared" si="889"/>
        <v>0</v>
      </c>
      <c r="AN508" t="b">
        <f t="shared" si="890"/>
        <v>0</v>
      </c>
      <c r="AO508" t="b">
        <f t="shared" si="891"/>
        <v>0</v>
      </c>
      <c r="AP508" t="b">
        <f t="shared" si="892"/>
        <v>0</v>
      </c>
      <c r="AQ508" t="b">
        <f t="shared" si="893"/>
        <v>0</v>
      </c>
      <c r="AR508" t="b">
        <f t="shared" si="894"/>
        <v>0</v>
      </c>
      <c r="AS508" t="b">
        <f t="shared" si="895"/>
        <v>0</v>
      </c>
      <c r="AT508" t="b">
        <f t="shared" si="896"/>
        <v>0</v>
      </c>
      <c r="AU508" t="b">
        <f t="shared" si="897"/>
        <v>0</v>
      </c>
      <c r="AV508" t="b">
        <f t="shared" si="898"/>
        <v>0</v>
      </c>
      <c r="AW508" t="b">
        <f t="shared" si="899"/>
        <v>0</v>
      </c>
      <c r="AX508" t="b">
        <f t="shared" si="901"/>
        <v>0</v>
      </c>
      <c r="AY508" t="b">
        <f t="shared" si="902"/>
        <v>0</v>
      </c>
      <c r="AZ508" t="b">
        <f t="shared" si="903"/>
        <v>0</v>
      </c>
      <c r="BA508" t="b">
        <f t="shared" si="904"/>
        <v>0</v>
      </c>
      <c r="BB508" t="b">
        <f t="shared" si="905"/>
        <v>0</v>
      </c>
      <c r="BC508" t="b">
        <f t="shared" si="906"/>
        <v>0</v>
      </c>
      <c r="BD508" t="b">
        <f t="shared" si="907"/>
        <v>0</v>
      </c>
      <c r="BE508" t="b">
        <f t="shared" si="908"/>
        <v>0</v>
      </c>
      <c r="BF508" t="b">
        <f t="shared" si="909"/>
        <v>0</v>
      </c>
      <c r="BG508" t="b">
        <f t="shared" si="910"/>
        <v>0</v>
      </c>
      <c r="BH508" t="b">
        <f t="shared" si="911"/>
        <v>0</v>
      </c>
      <c r="BI508" t="b">
        <f t="shared" si="912"/>
        <v>0</v>
      </c>
      <c r="BJ508" t="b">
        <f t="shared" si="913"/>
        <v>0</v>
      </c>
      <c r="BK508" t="b">
        <f t="shared" si="914"/>
        <v>0</v>
      </c>
      <c r="BL508" t="b">
        <f t="shared" si="915"/>
        <v>0</v>
      </c>
      <c r="BM508" t="b">
        <f t="shared" si="916"/>
        <v>0</v>
      </c>
      <c r="BN508" t="b">
        <f t="shared" si="917"/>
        <v>0</v>
      </c>
      <c r="BO508" t="b">
        <f t="shared" si="918"/>
        <v>0</v>
      </c>
      <c r="BP508" t="b">
        <f t="shared" si="919"/>
        <v>0</v>
      </c>
      <c r="BQ508" t="b">
        <f t="shared" si="920"/>
        <v>0</v>
      </c>
      <c r="BR508" t="b">
        <f t="shared" si="921"/>
        <v>0</v>
      </c>
      <c r="BS508">
        <f t="shared" si="922"/>
        <v>1</v>
      </c>
      <c r="BT508" t="b">
        <f t="shared" si="923"/>
        <v>0</v>
      </c>
      <c r="BU508" t="b">
        <f t="shared" si="924"/>
        <v>0</v>
      </c>
      <c r="BV508" t="b">
        <f t="shared" si="925"/>
        <v>0</v>
      </c>
      <c r="BW508" t="b">
        <f t="shared" si="926"/>
        <v>0</v>
      </c>
      <c r="BX508" t="b">
        <f t="shared" si="927"/>
        <v>0</v>
      </c>
      <c r="BY508" t="b">
        <f t="shared" si="928"/>
        <v>0</v>
      </c>
      <c r="BZ508" t="b">
        <f t="shared" si="929"/>
        <v>0</v>
      </c>
      <c r="CA508" t="b">
        <f t="shared" si="930"/>
        <v>0</v>
      </c>
      <c r="CB508" t="b">
        <f t="shared" si="931"/>
        <v>0</v>
      </c>
      <c r="CC508" t="b">
        <f t="shared" si="932"/>
        <v>0</v>
      </c>
      <c r="CD508" t="b">
        <f t="shared" si="933"/>
        <v>0</v>
      </c>
      <c r="CE508" t="b">
        <f t="shared" si="934"/>
        <v>0</v>
      </c>
      <c r="CF508" t="b">
        <f t="shared" si="935"/>
        <v>0</v>
      </c>
      <c r="CG508" t="b">
        <f t="shared" si="936"/>
        <v>0</v>
      </c>
      <c r="CH508" t="b">
        <f t="shared" si="937"/>
        <v>0</v>
      </c>
      <c r="CI508" t="b">
        <f t="shared" si="938"/>
        <v>0</v>
      </c>
      <c r="CJ508" t="b">
        <f t="shared" si="939"/>
        <v>0</v>
      </c>
      <c r="CK508" t="b">
        <f t="shared" si="940"/>
        <v>0</v>
      </c>
      <c r="CL508" t="b">
        <f t="shared" si="941"/>
        <v>0</v>
      </c>
      <c r="CM508" t="b">
        <f t="shared" si="942"/>
        <v>0</v>
      </c>
      <c r="CN508" t="b">
        <f t="shared" si="943"/>
        <v>0</v>
      </c>
      <c r="CO508" t="b">
        <f t="shared" si="944"/>
        <v>0</v>
      </c>
      <c r="CP508" t="b">
        <f t="shared" si="945"/>
        <v>0</v>
      </c>
      <c r="CQ508" t="b">
        <f t="shared" si="946"/>
        <v>0</v>
      </c>
      <c r="CR508" t="b">
        <f t="shared" si="947"/>
        <v>0</v>
      </c>
      <c r="CS508" t="b">
        <f t="shared" si="948"/>
        <v>0</v>
      </c>
      <c r="CT508" t="b">
        <f t="shared" si="949"/>
        <v>0</v>
      </c>
      <c r="CU508" t="b">
        <f t="shared" si="950"/>
        <v>0</v>
      </c>
      <c r="CV508" t="b">
        <f t="shared" si="951"/>
        <v>0</v>
      </c>
      <c r="CW508" t="b">
        <f t="shared" si="952"/>
        <v>0</v>
      </c>
      <c r="CX508" t="b">
        <f t="shared" si="953"/>
        <v>0</v>
      </c>
      <c r="CY508" t="b">
        <f t="shared" si="954"/>
        <v>0</v>
      </c>
      <c r="CZ508" t="b">
        <f t="shared" si="955"/>
        <v>0</v>
      </c>
      <c r="DA508">
        <f t="shared" si="956"/>
        <v>1</v>
      </c>
      <c r="DB508" t="b">
        <f t="shared" si="957"/>
        <v>0</v>
      </c>
      <c r="DC508" t="b">
        <f t="shared" si="958"/>
        <v>0</v>
      </c>
      <c r="DD508" t="b">
        <f t="shared" si="959"/>
        <v>0</v>
      </c>
      <c r="DE508" t="b">
        <f t="shared" si="960"/>
        <v>0</v>
      </c>
      <c r="DF508" t="b">
        <f t="shared" si="961"/>
        <v>0</v>
      </c>
      <c r="DG508" t="b">
        <f t="shared" si="962"/>
        <v>0</v>
      </c>
      <c r="DH508" t="b">
        <f t="shared" si="963"/>
        <v>0</v>
      </c>
      <c r="DI508" t="b">
        <f t="shared" si="964"/>
        <v>0</v>
      </c>
      <c r="DJ508" t="b">
        <f t="shared" si="965"/>
        <v>0</v>
      </c>
      <c r="DK508" t="b">
        <f t="shared" si="966"/>
        <v>0</v>
      </c>
      <c r="DL508" t="b">
        <f t="shared" si="967"/>
        <v>0</v>
      </c>
      <c r="DM508" t="b">
        <f t="shared" si="968"/>
        <v>0</v>
      </c>
      <c r="DN508" t="b">
        <f t="shared" si="969"/>
        <v>0</v>
      </c>
      <c r="DO508" t="b">
        <f t="shared" si="970"/>
        <v>0</v>
      </c>
      <c r="DP508" t="b">
        <f t="shared" si="971"/>
        <v>0</v>
      </c>
      <c r="DQ508" t="b">
        <f t="shared" si="972"/>
        <v>0</v>
      </c>
      <c r="DR508" t="b">
        <f t="shared" si="973"/>
        <v>0</v>
      </c>
      <c r="DS508" t="b">
        <f t="shared" si="974"/>
        <v>0</v>
      </c>
      <c r="DT508" t="b">
        <f t="shared" si="975"/>
        <v>0</v>
      </c>
      <c r="DU508" t="b">
        <f t="shared" si="976"/>
        <v>0</v>
      </c>
      <c r="DV508" t="b">
        <f t="shared" si="977"/>
        <v>0</v>
      </c>
      <c r="DW508" t="b">
        <f t="shared" si="978"/>
        <v>0</v>
      </c>
      <c r="DX508" t="b">
        <f t="shared" si="979"/>
        <v>0</v>
      </c>
      <c r="DY508" t="b">
        <f t="shared" si="980"/>
        <v>0</v>
      </c>
      <c r="DZ508" t="b">
        <f t="shared" si="981"/>
        <v>0</v>
      </c>
      <c r="EA508" t="b">
        <f t="shared" si="982"/>
        <v>0</v>
      </c>
      <c r="EB508" t="b">
        <f t="shared" si="983"/>
        <v>0</v>
      </c>
      <c r="EC508" t="b">
        <f t="shared" si="984"/>
        <v>0</v>
      </c>
      <c r="ED508" t="b">
        <f t="shared" si="985"/>
        <v>0</v>
      </c>
      <c r="EE508" t="b">
        <f t="shared" si="986"/>
        <v>0</v>
      </c>
      <c r="EF508">
        <f t="shared" si="987"/>
        <v>1</v>
      </c>
      <c r="EG508" t="b">
        <f t="shared" si="988"/>
        <v>0</v>
      </c>
      <c r="EH508" t="b">
        <f t="shared" si="989"/>
        <v>0</v>
      </c>
      <c r="EI508" t="b">
        <f t="shared" si="990"/>
        <v>0</v>
      </c>
      <c r="EJ508" t="b">
        <f t="shared" si="991"/>
        <v>0</v>
      </c>
      <c r="EK508" t="b">
        <f t="shared" si="992"/>
        <v>0</v>
      </c>
    </row>
    <row r="509" spans="1:141">
      <c r="A509" t="s">
        <v>2574</v>
      </c>
      <c r="B509" t="s">
        <v>2575</v>
      </c>
      <c r="C509" t="s">
        <v>2576</v>
      </c>
      <c r="D509" s="1">
        <v>43629</v>
      </c>
      <c r="E509" s="2">
        <v>43639.865729166668</v>
      </c>
      <c r="F509" s="2">
        <v>43641.754826388889</v>
      </c>
      <c r="G509">
        <v>89392</v>
      </c>
      <c r="H509" t="s">
        <v>2577</v>
      </c>
      <c r="I509" s="10" t="s">
        <v>2578</v>
      </c>
      <c r="J509" t="s">
        <v>784</v>
      </c>
      <c r="K509" s="8" t="b">
        <v>1</v>
      </c>
      <c r="L509" s="10" t="b">
        <v>0</v>
      </c>
      <c r="M509" s="12" t="b">
        <v>0</v>
      </c>
      <c r="N509" t="b">
        <v>0</v>
      </c>
      <c r="O509" t="b">
        <v>0</v>
      </c>
      <c r="P509" t="b">
        <v>0</v>
      </c>
      <c r="Q509">
        <f t="shared" si="869"/>
        <v>5</v>
      </c>
      <c r="R509">
        <f t="shared" si="870"/>
        <v>6</v>
      </c>
      <c r="S509" t="e">
        <f t="shared" ca="1" si="900"/>
        <v>#NAME?</v>
      </c>
      <c r="T509" t="e">
        <f t="shared" ca="1" si="871"/>
        <v>#NAME?</v>
      </c>
      <c r="U509" s="4">
        <f t="shared" si="872"/>
        <v>10.865729166667734</v>
      </c>
      <c r="V509" s="4">
        <f t="shared" si="873"/>
        <v>0.36219097222225777</v>
      </c>
      <c r="W509" s="4">
        <f t="shared" si="874"/>
        <v>1</v>
      </c>
      <c r="X509" s="4">
        <f t="shared" si="875"/>
        <v>0</v>
      </c>
      <c r="Y509" s="4">
        <f t="shared" si="876"/>
        <v>0</v>
      </c>
      <c r="Z509" s="4">
        <f t="shared" si="877"/>
        <v>0</v>
      </c>
      <c r="AA509" s="4">
        <f t="shared" si="878"/>
        <v>0</v>
      </c>
      <c r="AB509" s="4">
        <f t="shared" si="879"/>
        <v>0</v>
      </c>
      <c r="AC509" s="4"/>
      <c r="AD509" s="4" t="b">
        <f t="shared" si="880"/>
        <v>0</v>
      </c>
      <c r="AE509" s="4" t="b">
        <f t="shared" si="881"/>
        <v>0</v>
      </c>
      <c r="AF509" s="4" t="b">
        <f t="shared" si="882"/>
        <v>0</v>
      </c>
      <c r="AG509" t="b">
        <f t="shared" si="883"/>
        <v>0</v>
      </c>
      <c r="AH509" t="b">
        <f t="shared" si="884"/>
        <v>0</v>
      </c>
      <c r="AI509" t="b">
        <f t="shared" si="885"/>
        <v>0</v>
      </c>
      <c r="AJ509" t="b">
        <f t="shared" si="886"/>
        <v>0</v>
      </c>
      <c r="AK509" t="b">
        <f t="shared" si="887"/>
        <v>0</v>
      </c>
      <c r="AL509" t="b">
        <f t="shared" si="888"/>
        <v>0</v>
      </c>
      <c r="AM509" t="b">
        <f t="shared" si="889"/>
        <v>0</v>
      </c>
      <c r="AN509" t="b">
        <f t="shared" si="890"/>
        <v>0</v>
      </c>
      <c r="AO509" t="b">
        <f t="shared" si="891"/>
        <v>0</v>
      </c>
      <c r="AP509" t="b">
        <f t="shared" si="892"/>
        <v>0</v>
      </c>
      <c r="AQ509" t="b">
        <f t="shared" si="893"/>
        <v>0</v>
      </c>
      <c r="AR509" t="b">
        <f t="shared" si="894"/>
        <v>0</v>
      </c>
      <c r="AS509" t="b">
        <f t="shared" si="895"/>
        <v>0</v>
      </c>
      <c r="AT509" t="b">
        <f t="shared" si="896"/>
        <v>0</v>
      </c>
      <c r="AU509" t="b">
        <f t="shared" si="897"/>
        <v>0</v>
      </c>
      <c r="AV509" t="b">
        <f t="shared" si="898"/>
        <v>0</v>
      </c>
      <c r="AW509" t="b">
        <f t="shared" si="899"/>
        <v>0</v>
      </c>
      <c r="AX509" t="b">
        <f t="shared" si="901"/>
        <v>0</v>
      </c>
      <c r="AY509" t="b">
        <f t="shared" si="902"/>
        <v>0</v>
      </c>
      <c r="AZ509" t="b">
        <f t="shared" si="903"/>
        <v>0</v>
      </c>
      <c r="BA509" t="b">
        <f t="shared" si="904"/>
        <v>0</v>
      </c>
      <c r="BB509" t="b">
        <f t="shared" si="905"/>
        <v>0</v>
      </c>
      <c r="BC509" t="b">
        <f t="shared" si="906"/>
        <v>0</v>
      </c>
      <c r="BD509" t="b">
        <f t="shared" si="907"/>
        <v>0</v>
      </c>
      <c r="BE509" t="b">
        <f t="shared" si="908"/>
        <v>0</v>
      </c>
      <c r="BF509" t="b">
        <f t="shared" si="909"/>
        <v>0</v>
      </c>
      <c r="BG509" t="b">
        <f t="shared" si="910"/>
        <v>0</v>
      </c>
      <c r="BH509" t="b">
        <f t="shared" si="911"/>
        <v>0</v>
      </c>
      <c r="BI509">
        <f t="shared" si="912"/>
        <v>1</v>
      </c>
      <c r="BJ509" t="b">
        <f t="shared" si="913"/>
        <v>0</v>
      </c>
      <c r="BK509" t="b">
        <f t="shared" si="914"/>
        <v>0</v>
      </c>
      <c r="BL509" t="b">
        <f t="shared" si="915"/>
        <v>0</v>
      </c>
      <c r="BM509" t="b">
        <f t="shared" si="916"/>
        <v>0</v>
      </c>
      <c r="BN509" t="b">
        <f t="shared" si="917"/>
        <v>0</v>
      </c>
      <c r="BO509" t="b">
        <f t="shared" si="918"/>
        <v>0</v>
      </c>
      <c r="BP509" t="b">
        <f t="shared" si="919"/>
        <v>0</v>
      </c>
      <c r="BQ509" t="b">
        <f t="shared" si="920"/>
        <v>0</v>
      </c>
      <c r="BR509" t="b">
        <f t="shared" si="921"/>
        <v>0</v>
      </c>
      <c r="BS509" t="b">
        <f t="shared" si="922"/>
        <v>0</v>
      </c>
      <c r="BT509" t="b">
        <f t="shared" si="923"/>
        <v>0</v>
      </c>
      <c r="BU509" t="b">
        <f t="shared" si="924"/>
        <v>0</v>
      </c>
      <c r="BV509" t="b">
        <f t="shared" si="925"/>
        <v>0</v>
      </c>
      <c r="BW509" t="b">
        <f t="shared" si="926"/>
        <v>0</v>
      </c>
      <c r="BX509" t="b">
        <f t="shared" si="927"/>
        <v>0</v>
      </c>
      <c r="BY509" t="b">
        <f t="shared" si="928"/>
        <v>0</v>
      </c>
      <c r="BZ509" t="b">
        <f t="shared" si="929"/>
        <v>0</v>
      </c>
      <c r="CA509" t="b">
        <f t="shared" si="930"/>
        <v>0</v>
      </c>
      <c r="CB509" t="b">
        <f t="shared" si="931"/>
        <v>0</v>
      </c>
      <c r="CC509" t="b">
        <f t="shared" si="932"/>
        <v>0</v>
      </c>
      <c r="CD509" t="b">
        <f t="shared" si="933"/>
        <v>0</v>
      </c>
      <c r="CE509">
        <f t="shared" si="934"/>
        <v>1</v>
      </c>
      <c r="CF509" t="b">
        <f t="shared" si="935"/>
        <v>0</v>
      </c>
      <c r="CG509" t="b">
        <f t="shared" si="936"/>
        <v>0</v>
      </c>
      <c r="CH509" t="b">
        <f t="shared" si="937"/>
        <v>0</v>
      </c>
      <c r="CI509" t="b">
        <f t="shared" si="938"/>
        <v>0</v>
      </c>
      <c r="CJ509" t="b">
        <f t="shared" si="939"/>
        <v>0</v>
      </c>
      <c r="CK509" t="b">
        <f t="shared" si="940"/>
        <v>0</v>
      </c>
      <c r="CL509" t="b">
        <f t="shared" si="941"/>
        <v>0</v>
      </c>
      <c r="CM509" t="b">
        <f t="shared" si="942"/>
        <v>0</v>
      </c>
      <c r="CN509" t="b">
        <f t="shared" si="943"/>
        <v>0</v>
      </c>
      <c r="CO509" t="b">
        <f t="shared" si="944"/>
        <v>0</v>
      </c>
      <c r="CP509" t="b">
        <f t="shared" si="945"/>
        <v>0</v>
      </c>
      <c r="CQ509" t="b">
        <f t="shared" si="946"/>
        <v>0</v>
      </c>
      <c r="CR509" t="b">
        <f t="shared" si="947"/>
        <v>0</v>
      </c>
      <c r="CS509" t="b">
        <f t="shared" si="948"/>
        <v>0</v>
      </c>
      <c r="CT509" t="b">
        <f t="shared" si="949"/>
        <v>0</v>
      </c>
      <c r="CU509" t="b">
        <f t="shared" si="950"/>
        <v>0</v>
      </c>
      <c r="CV509">
        <f t="shared" si="951"/>
        <v>1</v>
      </c>
      <c r="CW509" t="b">
        <f t="shared" si="952"/>
        <v>0</v>
      </c>
      <c r="CX509" t="b">
        <f t="shared" si="953"/>
        <v>0</v>
      </c>
      <c r="CY509" t="b">
        <f t="shared" si="954"/>
        <v>0</v>
      </c>
      <c r="CZ509" t="b">
        <f t="shared" si="955"/>
        <v>0</v>
      </c>
      <c r="DA509" t="b">
        <f t="shared" si="956"/>
        <v>0</v>
      </c>
      <c r="DB509" t="b">
        <f t="shared" si="957"/>
        <v>0</v>
      </c>
      <c r="DC509" t="b">
        <f t="shared" si="958"/>
        <v>0</v>
      </c>
      <c r="DD509" t="b">
        <f t="shared" si="959"/>
        <v>0</v>
      </c>
      <c r="DE509" t="b">
        <f t="shared" si="960"/>
        <v>0</v>
      </c>
      <c r="DF509" t="b">
        <f t="shared" si="961"/>
        <v>0</v>
      </c>
      <c r="DG509">
        <f t="shared" si="962"/>
        <v>1</v>
      </c>
      <c r="DH509" t="b">
        <f t="shared" si="963"/>
        <v>0</v>
      </c>
      <c r="DI509" t="b">
        <f t="shared" si="964"/>
        <v>0</v>
      </c>
      <c r="DJ509" t="b">
        <f t="shared" si="965"/>
        <v>0</v>
      </c>
      <c r="DK509" t="b">
        <f t="shared" si="966"/>
        <v>0</v>
      </c>
      <c r="DL509" t="b">
        <f t="shared" si="967"/>
        <v>0</v>
      </c>
      <c r="DM509" t="b">
        <f t="shared" si="968"/>
        <v>0</v>
      </c>
      <c r="DN509" t="b">
        <f t="shared" si="969"/>
        <v>0</v>
      </c>
      <c r="DO509" t="b">
        <f t="shared" si="970"/>
        <v>0</v>
      </c>
      <c r="DP509" t="b">
        <f t="shared" si="971"/>
        <v>0</v>
      </c>
      <c r="DQ509" t="b">
        <f t="shared" si="972"/>
        <v>0</v>
      </c>
      <c r="DR509" t="b">
        <f t="shared" si="973"/>
        <v>0</v>
      </c>
      <c r="DS509" t="b">
        <f t="shared" si="974"/>
        <v>0</v>
      </c>
      <c r="DT509" t="b">
        <f t="shared" si="975"/>
        <v>0</v>
      </c>
      <c r="DU509" t="b">
        <f t="shared" si="976"/>
        <v>0</v>
      </c>
      <c r="DV509" t="b">
        <f t="shared" si="977"/>
        <v>0</v>
      </c>
      <c r="DW509" t="b">
        <f t="shared" si="978"/>
        <v>0</v>
      </c>
      <c r="DX509" t="b">
        <f t="shared" si="979"/>
        <v>0</v>
      </c>
      <c r="DY509" t="b">
        <f t="shared" si="980"/>
        <v>0</v>
      </c>
      <c r="DZ509" t="b">
        <f t="shared" si="981"/>
        <v>0</v>
      </c>
      <c r="EA509" t="b">
        <f t="shared" si="982"/>
        <v>0</v>
      </c>
      <c r="EB509" t="b">
        <f t="shared" si="983"/>
        <v>0</v>
      </c>
      <c r="EC509" t="b">
        <f t="shared" si="984"/>
        <v>0</v>
      </c>
      <c r="ED509" t="b">
        <f t="shared" si="985"/>
        <v>0</v>
      </c>
      <c r="EE509" t="b">
        <f t="shared" si="986"/>
        <v>0</v>
      </c>
      <c r="EF509">
        <f t="shared" si="987"/>
        <v>1</v>
      </c>
      <c r="EG509" t="b">
        <f t="shared" si="988"/>
        <v>0</v>
      </c>
      <c r="EH509" t="b">
        <f t="shared" si="989"/>
        <v>0</v>
      </c>
      <c r="EI509" t="b">
        <f t="shared" si="990"/>
        <v>0</v>
      </c>
      <c r="EJ509" t="b">
        <f t="shared" si="991"/>
        <v>0</v>
      </c>
      <c r="EK509" t="b">
        <f t="shared" si="992"/>
        <v>0</v>
      </c>
    </row>
    <row r="510" spans="1:141">
      <c r="A510" t="s">
        <v>2579</v>
      </c>
      <c r="B510" t="s">
        <v>2580</v>
      </c>
      <c r="C510" t="s">
        <v>2581</v>
      </c>
      <c r="D510" s="1">
        <v>43407</v>
      </c>
      <c r="E510" s="2">
        <v>43411.188356481478</v>
      </c>
      <c r="F510" s="2">
        <v>43411.192488425928</v>
      </c>
      <c r="G510">
        <v>14609</v>
      </c>
      <c r="H510" t="s">
        <v>2582</v>
      </c>
      <c r="I510" s="10" t="s">
        <v>2583</v>
      </c>
      <c r="J510" t="s">
        <v>2584</v>
      </c>
      <c r="K510" s="8" t="b">
        <v>1</v>
      </c>
      <c r="L510" s="10" t="b">
        <v>0</v>
      </c>
      <c r="M510" s="12" t="b">
        <v>0</v>
      </c>
      <c r="N510" t="b">
        <v>0</v>
      </c>
      <c r="O510" t="b">
        <v>0</v>
      </c>
      <c r="P510" t="b">
        <v>0</v>
      </c>
      <c r="Q510">
        <f t="shared" si="869"/>
        <v>7</v>
      </c>
      <c r="R510">
        <f t="shared" si="870"/>
        <v>11</v>
      </c>
      <c r="S510" t="e">
        <f t="shared" ca="1" si="900"/>
        <v>#NAME?</v>
      </c>
      <c r="T510" t="e">
        <f t="shared" ca="1" si="871"/>
        <v>#NAME?</v>
      </c>
      <c r="U510" s="4">
        <f t="shared" si="872"/>
        <v>4.1883564814779675</v>
      </c>
      <c r="V510" s="4">
        <f t="shared" si="873"/>
        <v>0.13961188271593225</v>
      </c>
      <c r="W510" s="4">
        <f t="shared" si="874"/>
        <v>1</v>
      </c>
      <c r="X510" s="4">
        <f t="shared" si="875"/>
        <v>0</v>
      </c>
      <c r="Y510" s="4">
        <f t="shared" si="876"/>
        <v>0</v>
      </c>
      <c r="Z510" s="4">
        <f t="shared" si="877"/>
        <v>0</v>
      </c>
      <c r="AA510" s="4">
        <f t="shared" si="878"/>
        <v>0</v>
      </c>
      <c r="AB510" s="4">
        <f t="shared" si="879"/>
        <v>0</v>
      </c>
      <c r="AC510" s="4"/>
      <c r="AD510" s="4" t="b">
        <f t="shared" si="880"/>
        <v>0</v>
      </c>
      <c r="AE510" s="4" t="b">
        <f t="shared" si="881"/>
        <v>0</v>
      </c>
      <c r="AF510" s="4" t="b">
        <f t="shared" si="882"/>
        <v>0</v>
      </c>
      <c r="AG510" t="b">
        <f t="shared" si="883"/>
        <v>0</v>
      </c>
      <c r="AH510" t="b">
        <f t="shared" si="884"/>
        <v>0</v>
      </c>
      <c r="AI510" t="b">
        <f t="shared" si="885"/>
        <v>0</v>
      </c>
      <c r="AJ510" t="b">
        <f t="shared" si="886"/>
        <v>0</v>
      </c>
      <c r="AK510" t="b">
        <f t="shared" si="887"/>
        <v>0</v>
      </c>
      <c r="AL510" t="b">
        <f t="shared" si="888"/>
        <v>0</v>
      </c>
      <c r="AM510" t="b">
        <f t="shared" si="889"/>
        <v>0</v>
      </c>
      <c r="AN510" t="b">
        <f t="shared" si="890"/>
        <v>0</v>
      </c>
      <c r="AO510" t="b">
        <f t="shared" si="891"/>
        <v>0</v>
      </c>
      <c r="AP510" t="b">
        <f t="shared" si="892"/>
        <v>0</v>
      </c>
      <c r="AQ510" t="b">
        <f t="shared" si="893"/>
        <v>0</v>
      </c>
      <c r="AR510" t="b">
        <f t="shared" si="894"/>
        <v>0</v>
      </c>
      <c r="AS510" t="b">
        <f t="shared" si="895"/>
        <v>0</v>
      </c>
      <c r="AT510" t="b">
        <f t="shared" si="896"/>
        <v>0</v>
      </c>
      <c r="AU510" t="b">
        <f t="shared" si="897"/>
        <v>0</v>
      </c>
      <c r="AV510" t="b">
        <f t="shared" si="898"/>
        <v>0</v>
      </c>
      <c r="AW510" t="b">
        <f t="shared" si="899"/>
        <v>0</v>
      </c>
      <c r="AX510" t="b">
        <f t="shared" si="901"/>
        <v>0</v>
      </c>
      <c r="AY510" t="b">
        <f t="shared" si="902"/>
        <v>0</v>
      </c>
      <c r="AZ510" t="b">
        <f t="shared" si="903"/>
        <v>0</v>
      </c>
      <c r="BA510" t="b">
        <f t="shared" si="904"/>
        <v>0</v>
      </c>
      <c r="BB510" t="b">
        <f t="shared" si="905"/>
        <v>0</v>
      </c>
      <c r="BC510" t="b">
        <f t="shared" si="906"/>
        <v>0</v>
      </c>
      <c r="BD510" t="b">
        <f t="shared" si="907"/>
        <v>0</v>
      </c>
      <c r="BE510" t="b">
        <f t="shared" si="908"/>
        <v>0</v>
      </c>
      <c r="BF510" t="b">
        <f t="shared" si="909"/>
        <v>0</v>
      </c>
      <c r="BG510" t="b">
        <f t="shared" si="910"/>
        <v>0</v>
      </c>
      <c r="BH510" t="b">
        <f t="shared" si="911"/>
        <v>0</v>
      </c>
      <c r="BI510">
        <f t="shared" si="912"/>
        <v>1</v>
      </c>
      <c r="BJ510" t="b">
        <f t="shared" si="913"/>
        <v>0</v>
      </c>
      <c r="BK510" t="b">
        <f t="shared" si="914"/>
        <v>0</v>
      </c>
      <c r="BL510" t="b">
        <f t="shared" si="915"/>
        <v>0</v>
      </c>
      <c r="BM510" t="b">
        <f t="shared" si="916"/>
        <v>0</v>
      </c>
      <c r="BN510" t="b">
        <f t="shared" si="917"/>
        <v>0</v>
      </c>
      <c r="BO510" t="b">
        <f t="shared" si="918"/>
        <v>0</v>
      </c>
      <c r="BP510" t="b">
        <f t="shared" si="919"/>
        <v>0</v>
      </c>
      <c r="BQ510" t="b">
        <f t="shared" si="920"/>
        <v>0</v>
      </c>
      <c r="BR510" t="b">
        <f t="shared" si="921"/>
        <v>0</v>
      </c>
      <c r="BS510" t="b">
        <f t="shared" si="922"/>
        <v>0</v>
      </c>
      <c r="BT510" t="b">
        <f t="shared" si="923"/>
        <v>0</v>
      </c>
      <c r="BU510" t="b">
        <f t="shared" si="924"/>
        <v>0</v>
      </c>
      <c r="BV510" t="b">
        <f t="shared" si="925"/>
        <v>0</v>
      </c>
      <c r="BW510" t="b">
        <f t="shared" si="926"/>
        <v>0</v>
      </c>
      <c r="BX510" t="b">
        <f t="shared" si="927"/>
        <v>0</v>
      </c>
      <c r="BY510" t="b">
        <f t="shared" si="928"/>
        <v>0</v>
      </c>
      <c r="BZ510" t="b">
        <f t="shared" si="929"/>
        <v>0</v>
      </c>
      <c r="CA510" t="b">
        <f t="shared" si="930"/>
        <v>0</v>
      </c>
      <c r="CB510" t="b">
        <f t="shared" si="931"/>
        <v>0</v>
      </c>
      <c r="CC510" t="b">
        <f t="shared" si="932"/>
        <v>0</v>
      </c>
      <c r="CD510" t="b">
        <f t="shared" si="933"/>
        <v>0</v>
      </c>
      <c r="CE510">
        <f t="shared" si="934"/>
        <v>1</v>
      </c>
      <c r="CF510" t="b">
        <f t="shared" si="935"/>
        <v>0</v>
      </c>
      <c r="CG510" t="b">
        <f t="shared" si="936"/>
        <v>0</v>
      </c>
      <c r="CH510" t="b">
        <f t="shared" si="937"/>
        <v>0</v>
      </c>
      <c r="CI510" t="b">
        <f t="shared" si="938"/>
        <v>0</v>
      </c>
      <c r="CJ510" t="b">
        <f t="shared" si="939"/>
        <v>0</v>
      </c>
      <c r="CK510" t="b">
        <f t="shared" si="940"/>
        <v>0</v>
      </c>
      <c r="CL510" t="b">
        <f t="shared" si="941"/>
        <v>0</v>
      </c>
      <c r="CM510">
        <f t="shared" si="942"/>
        <v>1</v>
      </c>
      <c r="CN510" t="b">
        <f t="shared" si="943"/>
        <v>0</v>
      </c>
      <c r="CO510" t="b">
        <f t="shared" si="944"/>
        <v>0</v>
      </c>
      <c r="CP510" t="b">
        <f t="shared" si="945"/>
        <v>0</v>
      </c>
      <c r="CQ510" t="b">
        <f t="shared" si="946"/>
        <v>0</v>
      </c>
      <c r="CR510" t="b">
        <f t="shared" si="947"/>
        <v>0</v>
      </c>
      <c r="CS510" t="b">
        <f t="shared" si="948"/>
        <v>0</v>
      </c>
      <c r="CT510" t="b">
        <f t="shared" si="949"/>
        <v>0</v>
      </c>
      <c r="CU510" t="b">
        <f t="shared" si="950"/>
        <v>0</v>
      </c>
      <c r="CV510">
        <f t="shared" si="951"/>
        <v>1</v>
      </c>
      <c r="CW510" t="b">
        <f t="shared" si="952"/>
        <v>0</v>
      </c>
      <c r="CX510" t="b">
        <f t="shared" si="953"/>
        <v>0</v>
      </c>
      <c r="CY510" t="b">
        <f t="shared" si="954"/>
        <v>0</v>
      </c>
      <c r="CZ510" t="b">
        <f t="shared" si="955"/>
        <v>0</v>
      </c>
      <c r="DA510">
        <f t="shared" si="956"/>
        <v>1</v>
      </c>
      <c r="DB510" t="b">
        <f t="shared" si="957"/>
        <v>0</v>
      </c>
      <c r="DC510" t="b">
        <f t="shared" si="958"/>
        <v>0</v>
      </c>
      <c r="DD510" t="b">
        <f t="shared" si="959"/>
        <v>0</v>
      </c>
      <c r="DE510" t="b">
        <f t="shared" si="960"/>
        <v>0</v>
      </c>
      <c r="DF510" t="b">
        <f t="shared" si="961"/>
        <v>0</v>
      </c>
      <c r="DG510" t="b">
        <f t="shared" si="962"/>
        <v>0</v>
      </c>
      <c r="DH510" t="b">
        <f t="shared" si="963"/>
        <v>0</v>
      </c>
      <c r="DI510" t="b">
        <f t="shared" si="964"/>
        <v>0</v>
      </c>
      <c r="DJ510" t="b">
        <f t="shared" si="965"/>
        <v>0</v>
      </c>
      <c r="DK510" t="b">
        <f t="shared" si="966"/>
        <v>0</v>
      </c>
      <c r="DL510" t="b">
        <f t="shared" si="967"/>
        <v>0</v>
      </c>
      <c r="DM510" t="b">
        <f t="shared" si="968"/>
        <v>0</v>
      </c>
      <c r="DN510" t="b">
        <f t="shared" si="969"/>
        <v>0</v>
      </c>
      <c r="DO510" t="b">
        <f t="shared" si="970"/>
        <v>0</v>
      </c>
      <c r="DP510" t="b">
        <f t="shared" si="971"/>
        <v>0</v>
      </c>
      <c r="DQ510" t="b">
        <f t="shared" si="972"/>
        <v>0</v>
      </c>
      <c r="DR510" t="b">
        <f t="shared" si="973"/>
        <v>0</v>
      </c>
      <c r="DS510" t="b">
        <f t="shared" si="974"/>
        <v>0</v>
      </c>
      <c r="DT510" t="b">
        <f t="shared" si="975"/>
        <v>0</v>
      </c>
      <c r="DU510" t="b">
        <f t="shared" si="976"/>
        <v>0</v>
      </c>
      <c r="DV510" t="b">
        <f t="shared" si="977"/>
        <v>0</v>
      </c>
      <c r="DW510" t="b">
        <f t="shared" si="978"/>
        <v>0</v>
      </c>
      <c r="DX510" t="b">
        <f t="shared" si="979"/>
        <v>0</v>
      </c>
      <c r="DY510" t="b">
        <f t="shared" si="980"/>
        <v>0</v>
      </c>
      <c r="DZ510" t="b">
        <f t="shared" si="981"/>
        <v>0</v>
      </c>
      <c r="EA510" t="b">
        <f t="shared" si="982"/>
        <v>0</v>
      </c>
      <c r="EB510" t="b">
        <f t="shared" si="983"/>
        <v>0</v>
      </c>
      <c r="EC510" t="b">
        <f t="shared" si="984"/>
        <v>0</v>
      </c>
      <c r="ED510" t="b">
        <f t="shared" si="985"/>
        <v>0</v>
      </c>
      <c r="EE510" t="b">
        <f t="shared" si="986"/>
        <v>0</v>
      </c>
      <c r="EF510" t="b">
        <f t="shared" si="987"/>
        <v>0</v>
      </c>
      <c r="EG510" t="b">
        <f t="shared" si="988"/>
        <v>0</v>
      </c>
      <c r="EH510" t="b">
        <f t="shared" si="989"/>
        <v>0</v>
      </c>
      <c r="EI510" t="b">
        <f t="shared" si="990"/>
        <v>0</v>
      </c>
      <c r="EJ510" t="b">
        <f t="shared" si="991"/>
        <v>0</v>
      </c>
      <c r="EK510" t="b">
        <f t="shared" si="992"/>
        <v>0</v>
      </c>
    </row>
    <row r="511" spans="1:141">
      <c r="A511" t="s">
        <v>2585</v>
      </c>
      <c r="B511" t="s">
        <v>2585</v>
      </c>
      <c r="C511" t="s">
        <v>2586</v>
      </c>
      <c r="D511" s="1">
        <v>43829</v>
      </c>
      <c r="E511" s="2">
        <v>44061.319178240738</v>
      </c>
      <c r="F511" s="2">
        <v>44061.319178240738</v>
      </c>
      <c r="G511">
        <v>751700</v>
      </c>
      <c r="H511" t="s">
        <v>2587</v>
      </c>
      <c r="I511" s="10" t="s">
        <v>2588</v>
      </c>
      <c r="J511" t="s">
        <v>660</v>
      </c>
      <c r="K511" s="8" t="b">
        <v>1</v>
      </c>
      <c r="L511" s="10" t="b">
        <v>0</v>
      </c>
      <c r="M511" s="12" t="b">
        <v>0</v>
      </c>
      <c r="N511" t="b">
        <v>0</v>
      </c>
      <c r="O511" t="b">
        <v>0</v>
      </c>
      <c r="P511" t="b">
        <v>0</v>
      </c>
      <c r="Q511">
        <f t="shared" si="869"/>
        <v>2</v>
      </c>
      <c r="R511">
        <f t="shared" si="870"/>
        <v>12</v>
      </c>
      <c r="S511" t="e">
        <f t="shared" ca="1" si="900"/>
        <v>#NAME?</v>
      </c>
      <c r="T511" t="e">
        <f t="shared" ca="1" si="871"/>
        <v>#NAME?</v>
      </c>
      <c r="U511" s="4">
        <f t="shared" si="872"/>
        <v>232.31917824073753</v>
      </c>
      <c r="V511" s="4">
        <f t="shared" si="873"/>
        <v>7.7439726080245839</v>
      </c>
      <c r="W511" s="4">
        <f t="shared" si="874"/>
        <v>1</v>
      </c>
      <c r="X511" s="4">
        <f t="shared" si="875"/>
        <v>0</v>
      </c>
      <c r="Y511" s="4">
        <f t="shared" si="876"/>
        <v>0</v>
      </c>
      <c r="Z511" s="4">
        <f t="shared" si="877"/>
        <v>0</v>
      </c>
      <c r="AA511" s="4">
        <f t="shared" si="878"/>
        <v>0</v>
      </c>
      <c r="AB511" s="4">
        <f t="shared" si="879"/>
        <v>0</v>
      </c>
      <c r="AC511" s="4"/>
      <c r="AD511" s="4" t="b">
        <f t="shared" si="880"/>
        <v>0</v>
      </c>
      <c r="AE511" s="4" t="b">
        <f t="shared" si="881"/>
        <v>0</v>
      </c>
      <c r="AF511" s="4" t="b">
        <f t="shared" si="882"/>
        <v>0</v>
      </c>
      <c r="AG511" t="b">
        <f t="shared" si="883"/>
        <v>0</v>
      </c>
      <c r="AH511" t="b">
        <f t="shared" si="884"/>
        <v>0</v>
      </c>
      <c r="AI511" t="b">
        <f t="shared" si="885"/>
        <v>0</v>
      </c>
      <c r="AJ511" t="b">
        <f t="shared" si="886"/>
        <v>0</v>
      </c>
      <c r="AK511" t="b">
        <f t="shared" si="887"/>
        <v>0</v>
      </c>
      <c r="AL511" t="b">
        <f t="shared" si="888"/>
        <v>0</v>
      </c>
      <c r="AM511" t="b">
        <f t="shared" si="889"/>
        <v>0</v>
      </c>
      <c r="AN511" t="b">
        <f t="shared" si="890"/>
        <v>0</v>
      </c>
      <c r="AO511" t="b">
        <f t="shared" si="891"/>
        <v>0</v>
      </c>
      <c r="AP511" t="b">
        <f t="shared" si="892"/>
        <v>0</v>
      </c>
      <c r="AQ511" t="b">
        <f t="shared" si="893"/>
        <v>0</v>
      </c>
      <c r="AR511" t="b">
        <f t="shared" si="894"/>
        <v>0</v>
      </c>
      <c r="AS511" t="b">
        <f t="shared" si="895"/>
        <v>0</v>
      </c>
      <c r="AT511" t="b">
        <f t="shared" si="896"/>
        <v>0</v>
      </c>
      <c r="AU511" t="b">
        <f t="shared" si="897"/>
        <v>0</v>
      </c>
      <c r="AV511" t="b">
        <f t="shared" si="898"/>
        <v>0</v>
      </c>
      <c r="AW511" t="b">
        <f t="shared" si="899"/>
        <v>0</v>
      </c>
      <c r="AX511" t="b">
        <f t="shared" si="901"/>
        <v>0</v>
      </c>
      <c r="AY511" t="b">
        <f t="shared" si="902"/>
        <v>0</v>
      </c>
      <c r="AZ511" t="b">
        <f t="shared" si="903"/>
        <v>0</v>
      </c>
      <c r="BA511" t="b">
        <f t="shared" si="904"/>
        <v>0</v>
      </c>
      <c r="BB511" t="b">
        <f t="shared" si="905"/>
        <v>0</v>
      </c>
      <c r="BC511" t="b">
        <f t="shared" si="906"/>
        <v>0</v>
      </c>
      <c r="BD511" t="b">
        <f t="shared" si="907"/>
        <v>0</v>
      </c>
      <c r="BE511" t="b">
        <f t="shared" si="908"/>
        <v>0</v>
      </c>
      <c r="BF511" t="b">
        <f t="shared" si="909"/>
        <v>0</v>
      </c>
      <c r="BG511" t="b">
        <f t="shared" si="910"/>
        <v>0</v>
      </c>
      <c r="BH511" t="b">
        <f t="shared" si="911"/>
        <v>0</v>
      </c>
      <c r="BI511">
        <f t="shared" si="912"/>
        <v>1</v>
      </c>
      <c r="BJ511" t="b">
        <f t="shared" si="913"/>
        <v>0</v>
      </c>
      <c r="BK511" t="b">
        <f t="shared" si="914"/>
        <v>0</v>
      </c>
      <c r="BL511" t="b">
        <f t="shared" si="915"/>
        <v>0</v>
      </c>
      <c r="BM511" t="b">
        <f t="shared" si="916"/>
        <v>0</v>
      </c>
      <c r="BN511" t="b">
        <f t="shared" si="917"/>
        <v>0</v>
      </c>
      <c r="BO511" t="b">
        <f t="shared" si="918"/>
        <v>0</v>
      </c>
      <c r="BP511" t="b">
        <f t="shared" si="919"/>
        <v>0</v>
      </c>
      <c r="BQ511" t="b">
        <f t="shared" si="920"/>
        <v>0</v>
      </c>
      <c r="BR511" t="b">
        <f t="shared" si="921"/>
        <v>0</v>
      </c>
      <c r="BS511" t="b">
        <f t="shared" si="922"/>
        <v>0</v>
      </c>
      <c r="BT511" t="b">
        <f t="shared" si="923"/>
        <v>0</v>
      </c>
      <c r="BU511" t="b">
        <f t="shared" si="924"/>
        <v>0</v>
      </c>
      <c r="BV511" t="b">
        <f t="shared" si="925"/>
        <v>0</v>
      </c>
      <c r="BW511" t="b">
        <f t="shared" si="926"/>
        <v>0</v>
      </c>
      <c r="BX511" t="b">
        <f t="shared" si="927"/>
        <v>0</v>
      </c>
      <c r="BY511" t="b">
        <f t="shared" si="928"/>
        <v>0</v>
      </c>
      <c r="BZ511" t="b">
        <f t="shared" si="929"/>
        <v>0</v>
      </c>
      <c r="CA511" t="b">
        <f t="shared" si="930"/>
        <v>0</v>
      </c>
      <c r="CB511" t="b">
        <f t="shared" si="931"/>
        <v>0</v>
      </c>
      <c r="CC511" t="b">
        <f t="shared" si="932"/>
        <v>0</v>
      </c>
      <c r="CD511" t="b">
        <f t="shared" si="933"/>
        <v>0</v>
      </c>
      <c r="CE511" t="b">
        <f t="shared" si="934"/>
        <v>0</v>
      </c>
      <c r="CF511" t="b">
        <f t="shared" si="935"/>
        <v>0</v>
      </c>
      <c r="CG511" t="b">
        <f t="shared" si="936"/>
        <v>0</v>
      </c>
      <c r="CH511" t="b">
        <f t="shared" si="937"/>
        <v>0</v>
      </c>
      <c r="CI511" t="b">
        <f t="shared" si="938"/>
        <v>0</v>
      </c>
      <c r="CJ511" t="b">
        <f t="shared" si="939"/>
        <v>0</v>
      </c>
      <c r="CK511" t="b">
        <f t="shared" si="940"/>
        <v>0</v>
      </c>
      <c r="CL511" t="b">
        <f t="shared" si="941"/>
        <v>0</v>
      </c>
      <c r="CM511">
        <f t="shared" si="942"/>
        <v>1</v>
      </c>
      <c r="CN511" t="b">
        <f t="shared" si="943"/>
        <v>0</v>
      </c>
      <c r="CO511" t="b">
        <f t="shared" si="944"/>
        <v>0</v>
      </c>
      <c r="CP511" t="b">
        <f t="shared" si="945"/>
        <v>0</v>
      </c>
      <c r="CQ511" t="b">
        <f t="shared" si="946"/>
        <v>0</v>
      </c>
      <c r="CR511" t="b">
        <f t="shared" si="947"/>
        <v>0</v>
      </c>
      <c r="CS511" t="b">
        <f t="shared" si="948"/>
        <v>0</v>
      </c>
      <c r="CT511" t="b">
        <f t="shared" si="949"/>
        <v>0</v>
      </c>
      <c r="CU511" t="b">
        <f t="shared" si="950"/>
        <v>0</v>
      </c>
      <c r="CV511">
        <f t="shared" si="951"/>
        <v>1</v>
      </c>
      <c r="CW511" t="b">
        <f t="shared" si="952"/>
        <v>0</v>
      </c>
      <c r="CX511" t="b">
        <f t="shared" si="953"/>
        <v>0</v>
      </c>
      <c r="CY511" t="b">
        <f t="shared" si="954"/>
        <v>0</v>
      </c>
      <c r="CZ511" t="b">
        <f t="shared" si="955"/>
        <v>0</v>
      </c>
      <c r="DA511" t="b">
        <f t="shared" si="956"/>
        <v>0</v>
      </c>
      <c r="DB511" t="b">
        <f t="shared" si="957"/>
        <v>0</v>
      </c>
      <c r="DC511" t="b">
        <f t="shared" si="958"/>
        <v>0</v>
      </c>
      <c r="DD511" t="b">
        <f t="shared" si="959"/>
        <v>0</v>
      </c>
      <c r="DE511" t="b">
        <f t="shared" si="960"/>
        <v>0</v>
      </c>
      <c r="DF511" t="b">
        <f t="shared" si="961"/>
        <v>0</v>
      </c>
      <c r="DG511" t="b">
        <f t="shared" si="962"/>
        <v>0</v>
      </c>
      <c r="DH511" t="b">
        <f t="shared" si="963"/>
        <v>0</v>
      </c>
      <c r="DI511" t="b">
        <f t="shared" si="964"/>
        <v>0</v>
      </c>
      <c r="DJ511" t="b">
        <f t="shared" si="965"/>
        <v>0</v>
      </c>
      <c r="DK511" t="b">
        <f t="shared" si="966"/>
        <v>0</v>
      </c>
      <c r="DL511" t="b">
        <f t="shared" si="967"/>
        <v>0</v>
      </c>
      <c r="DM511" t="b">
        <f t="shared" si="968"/>
        <v>0</v>
      </c>
      <c r="DN511" t="b">
        <f t="shared" si="969"/>
        <v>0</v>
      </c>
      <c r="DO511" t="b">
        <f t="shared" si="970"/>
        <v>0</v>
      </c>
      <c r="DP511" t="b">
        <f t="shared" si="971"/>
        <v>0</v>
      </c>
      <c r="DQ511" t="b">
        <f t="shared" si="972"/>
        <v>0</v>
      </c>
      <c r="DR511" t="b">
        <f t="shared" si="973"/>
        <v>0</v>
      </c>
      <c r="DS511" t="b">
        <f t="shared" si="974"/>
        <v>0</v>
      </c>
      <c r="DT511" t="b">
        <f t="shared" si="975"/>
        <v>0</v>
      </c>
      <c r="DU511" t="b">
        <f t="shared" si="976"/>
        <v>0</v>
      </c>
      <c r="DV511" t="b">
        <f t="shared" si="977"/>
        <v>0</v>
      </c>
      <c r="DW511" t="b">
        <f t="shared" si="978"/>
        <v>0</v>
      </c>
      <c r="DX511" t="b">
        <f t="shared" si="979"/>
        <v>0</v>
      </c>
      <c r="DY511" t="b">
        <f t="shared" si="980"/>
        <v>0</v>
      </c>
      <c r="DZ511" t="b">
        <f t="shared" si="981"/>
        <v>0</v>
      </c>
      <c r="EA511" t="b">
        <f t="shared" si="982"/>
        <v>0</v>
      </c>
      <c r="EB511" t="b">
        <f t="shared" si="983"/>
        <v>0</v>
      </c>
      <c r="EC511" t="b">
        <f t="shared" si="984"/>
        <v>0</v>
      </c>
      <c r="ED511" t="b">
        <f t="shared" si="985"/>
        <v>0</v>
      </c>
      <c r="EE511" t="b">
        <f t="shared" si="986"/>
        <v>0</v>
      </c>
      <c r="EF511">
        <f t="shared" si="987"/>
        <v>1</v>
      </c>
      <c r="EG511" t="b">
        <f t="shared" si="988"/>
        <v>0</v>
      </c>
      <c r="EH511" t="b">
        <f t="shared" si="989"/>
        <v>0</v>
      </c>
      <c r="EI511" t="b">
        <f t="shared" si="990"/>
        <v>0</v>
      </c>
      <c r="EJ511" t="b">
        <f t="shared" si="991"/>
        <v>0</v>
      </c>
      <c r="EK511" t="b">
        <f t="shared" si="992"/>
        <v>0</v>
      </c>
    </row>
    <row r="512" spans="1:141">
      <c r="A512" t="s">
        <v>2589</v>
      </c>
      <c r="B512" t="s">
        <v>2589</v>
      </c>
      <c r="C512" t="s">
        <v>2590</v>
      </c>
      <c r="D512" s="1">
        <v>40696</v>
      </c>
      <c r="E512" s="2">
        <v>41612</v>
      </c>
      <c r="F512" s="2">
        <v>41612</v>
      </c>
      <c r="G512">
        <v>37103</v>
      </c>
      <c r="H512" t="s">
        <v>2591</v>
      </c>
      <c r="I512" s="10" t="s">
        <v>2592</v>
      </c>
      <c r="J512" t="s">
        <v>2593</v>
      </c>
      <c r="K512" s="8" t="b">
        <v>1</v>
      </c>
      <c r="L512" s="10" t="b">
        <v>0</v>
      </c>
      <c r="M512" s="12" t="b">
        <v>0</v>
      </c>
      <c r="N512" t="b">
        <v>0</v>
      </c>
      <c r="O512" t="b">
        <v>0</v>
      </c>
      <c r="P512" t="b">
        <v>0</v>
      </c>
      <c r="Q512">
        <f t="shared" si="869"/>
        <v>5</v>
      </c>
      <c r="R512">
        <f t="shared" si="870"/>
        <v>6</v>
      </c>
      <c r="S512" t="e">
        <f t="shared" ca="1" si="900"/>
        <v>#NAME?</v>
      </c>
      <c r="T512" t="e">
        <f t="shared" ca="1" si="871"/>
        <v>#NAME?</v>
      </c>
      <c r="U512" s="4">
        <f t="shared" si="872"/>
        <v>916</v>
      </c>
      <c r="V512" s="4">
        <f t="shared" si="873"/>
        <v>30.533333333333335</v>
      </c>
      <c r="W512" s="4">
        <f t="shared" si="874"/>
        <v>1</v>
      </c>
      <c r="X512" s="4">
        <f t="shared" si="875"/>
        <v>0</v>
      </c>
      <c r="Y512" s="4">
        <f t="shared" si="876"/>
        <v>0</v>
      </c>
      <c r="Z512" s="4">
        <f t="shared" si="877"/>
        <v>0</v>
      </c>
      <c r="AA512" s="4">
        <f t="shared" si="878"/>
        <v>0</v>
      </c>
      <c r="AB512" s="4">
        <f t="shared" si="879"/>
        <v>0</v>
      </c>
      <c r="AC512" s="4"/>
      <c r="AD512" s="4" t="b">
        <f t="shared" si="880"/>
        <v>0</v>
      </c>
      <c r="AE512" s="4" t="b">
        <f t="shared" si="881"/>
        <v>0</v>
      </c>
      <c r="AF512" s="4" t="b">
        <f t="shared" si="882"/>
        <v>0</v>
      </c>
      <c r="AG512" t="b">
        <f t="shared" si="883"/>
        <v>0</v>
      </c>
      <c r="AH512" t="b">
        <f t="shared" si="884"/>
        <v>0</v>
      </c>
      <c r="AI512" t="b">
        <f t="shared" si="885"/>
        <v>0</v>
      </c>
      <c r="AJ512" t="b">
        <f t="shared" si="886"/>
        <v>0</v>
      </c>
      <c r="AK512" t="b">
        <f t="shared" si="887"/>
        <v>0</v>
      </c>
      <c r="AL512" t="b">
        <f t="shared" si="888"/>
        <v>0</v>
      </c>
      <c r="AM512" t="b">
        <f t="shared" si="889"/>
        <v>0</v>
      </c>
      <c r="AN512" t="b">
        <f t="shared" si="890"/>
        <v>0</v>
      </c>
      <c r="AO512" t="b">
        <f t="shared" si="891"/>
        <v>0</v>
      </c>
      <c r="AP512" t="b">
        <f t="shared" si="892"/>
        <v>0</v>
      </c>
      <c r="AQ512" t="b">
        <f t="shared" si="893"/>
        <v>0</v>
      </c>
      <c r="AR512" t="b">
        <f t="shared" si="894"/>
        <v>0</v>
      </c>
      <c r="AS512" t="b">
        <f t="shared" si="895"/>
        <v>0</v>
      </c>
      <c r="AT512" t="b">
        <f t="shared" si="896"/>
        <v>0</v>
      </c>
      <c r="AU512" t="b">
        <f t="shared" si="897"/>
        <v>0</v>
      </c>
      <c r="AV512" t="b">
        <f t="shared" si="898"/>
        <v>0</v>
      </c>
      <c r="AW512" t="b">
        <f t="shared" si="899"/>
        <v>0</v>
      </c>
      <c r="AX512" t="b">
        <f t="shared" si="901"/>
        <v>0</v>
      </c>
      <c r="AY512" t="b">
        <f t="shared" si="902"/>
        <v>0</v>
      </c>
      <c r="AZ512">
        <f t="shared" si="903"/>
        <v>1</v>
      </c>
      <c r="BA512" t="b">
        <f t="shared" si="904"/>
        <v>0</v>
      </c>
      <c r="BB512" t="b">
        <f t="shared" si="905"/>
        <v>0</v>
      </c>
      <c r="BC512" t="b">
        <f t="shared" si="906"/>
        <v>0</v>
      </c>
      <c r="BD512" t="b">
        <f t="shared" si="907"/>
        <v>0</v>
      </c>
      <c r="BE512" t="b">
        <f t="shared" si="908"/>
        <v>0</v>
      </c>
      <c r="BF512" t="b">
        <f t="shared" si="909"/>
        <v>0</v>
      </c>
      <c r="BG512" t="b">
        <f t="shared" si="910"/>
        <v>0</v>
      </c>
      <c r="BH512" t="b">
        <f t="shared" si="911"/>
        <v>0</v>
      </c>
      <c r="BI512">
        <f t="shared" si="912"/>
        <v>1</v>
      </c>
      <c r="BJ512" t="b">
        <f t="shared" si="913"/>
        <v>0</v>
      </c>
      <c r="BK512" t="b">
        <f t="shared" si="914"/>
        <v>0</v>
      </c>
      <c r="BL512" t="b">
        <f t="shared" si="915"/>
        <v>0</v>
      </c>
      <c r="BM512" t="b">
        <f t="shared" si="916"/>
        <v>0</v>
      </c>
      <c r="BN512" t="b">
        <f t="shared" si="917"/>
        <v>0</v>
      </c>
      <c r="BO512" t="b">
        <f t="shared" si="918"/>
        <v>0</v>
      </c>
      <c r="BP512" t="b">
        <f t="shared" si="919"/>
        <v>0</v>
      </c>
      <c r="BQ512" t="b">
        <f t="shared" si="920"/>
        <v>0</v>
      </c>
      <c r="BR512">
        <f t="shared" si="921"/>
        <v>1</v>
      </c>
      <c r="BS512" t="b">
        <f t="shared" si="922"/>
        <v>0</v>
      </c>
      <c r="BT512" t="b">
        <f t="shared" si="923"/>
        <v>0</v>
      </c>
      <c r="BU512" t="b">
        <f t="shared" si="924"/>
        <v>0</v>
      </c>
      <c r="BV512" t="b">
        <f t="shared" si="925"/>
        <v>0</v>
      </c>
      <c r="BW512" t="b">
        <f t="shared" si="926"/>
        <v>0</v>
      </c>
      <c r="BX512" t="b">
        <f t="shared" si="927"/>
        <v>0</v>
      </c>
      <c r="BY512" t="b">
        <f t="shared" si="928"/>
        <v>0</v>
      </c>
      <c r="BZ512" t="b">
        <f t="shared" si="929"/>
        <v>0</v>
      </c>
      <c r="CA512" t="b">
        <f t="shared" si="930"/>
        <v>0</v>
      </c>
      <c r="CB512" t="b">
        <f t="shared" si="931"/>
        <v>0</v>
      </c>
      <c r="CC512" t="b">
        <f t="shared" si="932"/>
        <v>0</v>
      </c>
      <c r="CD512" t="b">
        <f t="shared" si="933"/>
        <v>0</v>
      </c>
      <c r="CE512" t="b">
        <f t="shared" si="934"/>
        <v>0</v>
      </c>
      <c r="CF512" t="b">
        <f t="shared" si="935"/>
        <v>0</v>
      </c>
      <c r="CG512" t="b">
        <f t="shared" si="936"/>
        <v>0</v>
      </c>
      <c r="CH512" t="b">
        <f t="shared" si="937"/>
        <v>0</v>
      </c>
      <c r="CI512" t="b">
        <f t="shared" si="938"/>
        <v>0</v>
      </c>
      <c r="CJ512" t="b">
        <f t="shared" si="939"/>
        <v>0</v>
      </c>
      <c r="CK512" t="b">
        <f t="shared" si="940"/>
        <v>0</v>
      </c>
      <c r="CL512" t="b">
        <f t="shared" si="941"/>
        <v>0</v>
      </c>
      <c r="CM512">
        <f t="shared" si="942"/>
        <v>1</v>
      </c>
      <c r="CN512" t="b">
        <f t="shared" si="943"/>
        <v>0</v>
      </c>
      <c r="CO512" t="b">
        <f t="shared" si="944"/>
        <v>0</v>
      </c>
      <c r="CP512" t="b">
        <f t="shared" si="945"/>
        <v>0</v>
      </c>
      <c r="CQ512" t="b">
        <f t="shared" si="946"/>
        <v>0</v>
      </c>
      <c r="CR512" t="b">
        <f t="shared" si="947"/>
        <v>0</v>
      </c>
      <c r="CS512" t="b">
        <f t="shared" si="948"/>
        <v>0</v>
      </c>
      <c r="CT512" t="b">
        <f t="shared" si="949"/>
        <v>0</v>
      </c>
      <c r="CU512" t="b">
        <f t="shared" si="950"/>
        <v>0</v>
      </c>
      <c r="CV512">
        <f t="shared" si="951"/>
        <v>1</v>
      </c>
      <c r="CW512" t="b">
        <f t="shared" si="952"/>
        <v>0</v>
      </c>
      <c r="CX512" t="b">
        <f t="shared" si="953"/>
        <v>0</v>
      </c>
      <c r="CY512" t="b">
        <f t="shared" si="954"/>
        <v>0</v>
      </c>
      <c r="CZ512" t="b">
        <f t="shared" si="955"/>
        <v>0</v>
      </c>
      <c r="DA512">
        <f t="shared" si="956"/>
        <v>1</v>
      </c>
      <c r="DB512">
        <f t="shared" si="957"/>
        <v>1</v>
      </c>
      <c r="DC512" t="b">
        <f t="shared" si="958"/>
        <v>0</v>
      </c>
      <c r="DD512" t="b">
        <f t="shared" si="959"/>
        <v>0</v>
      </c>
      <c r="DE512" t="b">
        <f t="shared" si="960"/>
        <v>0</v>
      </c>
      <c r="DF512" t="b">
        <f t="shared" si="961"/>
        <v>0</v>
      </c>
      <c r="DG512" t="b">
        <f t="shared" si="962"/>
        <v>0</v>
      </c>
      <c r="DH512" t="b">
        <f t="shared" si="963"/>
        <v>0</v>
      </c>
      <c r="DI512" t="b">
        <f t="shared" si="964"/>
        <v>0</v>
      </c>
      <c r="DJ512" t="b">
        <f t="shared" si="965"/>
        <v>0</v>
      </c>
      <c r="DK512" t="b">
        <f t="shared" si="966"/>
        <v>0</v>
      </c>
      <c r="DL512" t="b">
        <f t="shared" si="967"/>
        <v>0</v>
      </c>
      <c r="DM512" t="b">
        <f t="shared" si="968"/>
        <v>0</v>
      </c>
      <c r="DN512" t="b">
        <f t="shared" si="969"/>
        <v>0</v>
      </c>
      <c r="DO512" t="b">
        <f t="shared" si="970"/>
        <v>0</v>
      </c>
      <c r="DP512" t="b">
        <f t="shared" si="971"/>
        <v>0</v>
      </c>
      <c r="DQ512" t="b">
        <f t="shared" si="972"/>
        <v>0</v>
      </c>
      <c r="DR512" t="b">
        <f t="shared" si="973"/>
        <v>0</v>
      </c>
      <c r="DS512" t="b">
        <f t="shared" si="974"/>
        <v>0</v>
      </c>
      <c r="DT512" t="b">
        <f t="shared" si="975"/>
        <v>0</v>
      </c>
      <c r="DU512" t="b">
        <f t="shared" si="976"/>
        <v>0</v>
      </c>
      <c r="DV512" t="b">
        <f t="shared" si="977"/>
        <v>0</v>
      </c>
      <c r="DW512" t="b">
        <f t="shared" si="978"/>
        <v>0</v>
      </c>
      <c r="DX512" t="b">
        <f t="shared" si="979"/>
        <v>0</v>
      </c>
      <c r="DY512" t="b">
        <f t="shared" si="980"/>
        <v>0</v>
      </c>
      <c r="DZ512" t="b">
        <f t="shared" si="981"/>
        <v>0</v>
      </c>
      <c r="EA512" t="b">
        <f t="shared" si="982"/>
        <v>0</v>
      </c>
      <c r="EB512" t="b">
        <f t="shared" si="983"/>
        <v>0</v>
      </c>
      <c r="EC512" t="b">
        <f t="shared" si="984"/>
        <v>0</v>
      </c>
      <c r="ED512" t="b">
        <f t="shared" si="985"/>
        <v>0</v>
      </c>
      <c r="EE512" t="b">
        <f t="shared" si="986"/>
        <v>0</v>
      </c>
      <c r="EF512">
        <f t="shared" si="987"/>
        <v>1</v>
      </c>
      <c r="EG512" t="b">
        <f t="shared" si="988"/>
        <v>0</v>
      </c>
      <c r="EH512" t="b">
        <f t="shared" si="989"/>
        <v>0</v>
      </c>
      <c r="EI512" t="b">
        <f t="shared" si="990"/>
        <v>0</v>
      </c>
      <c r="EJ512" t="b">
        <f t="shared" si="991"/>
        <v>0</v>
      </c>
      <c r="EK512" t="b">
        <f t="shared" si="992"/>
        <v>0</v>
      </c>
    </row>
    <row r="513" spans="1:141">
      <c r="A513" t="s">
        <v>2594</v>
      </c>
      <c r="B513" t="s">
        <v>2594</v>
      </c>
      <c r="C513" t="s">
        <v>2595</v>
      </c>
      <c r="D513" s="1">
        <v>42201</v>
      </c>
      <c r="E513" s="2">
        <v>42811.942060185182</v>
      </c>
      <c r="F513" s="2">
        <v>42811.942060185182</v>
      </c>
      <c r="G513">
        <v>130705</v>
      </c>
      <c r="H513" t="s">
        <v>2596</v>
      </c>
      <c r="I513" s="10" t="s">
        <v>2597</v>
      </c>
      <c r="J513" t="s">
        <v>2598</v>
      </c>
      <c r="K513" s="8" t="b">
        <v>1</v>
      </c>
      <c r="L513" s="10" t="b">
        <v>0</v>
      </c>
      <c r="M513" s="12" t="b">
        <v>0</v>
      </c>
      <c r="N513" t="b">
        <v>0</v>
      </c>
      <c r="O513" t="b">
        <v>0</v>
      </c>
      <c r="P513" t="b">
        <v>0</v>
      </c>
      <c r="Q513">
        <f t="shared" si="869"/>
        <v>5</v>
      </c>
      <c r="R513">
        <f t="shared" si="870"/>
        <v>7</v>
      </c>
      <c r="S513" t="e">
        <f t="shared" ca="1" si="900"/>
        <v>#NAME?</v>
      </c>
      <c r="T513" t="e">
        <f t="shared" ca="1" si="871"/>
        <v>#NAME?</v>
      </c>
      <c r="U513" s="4">
        <f t="shared" si="872"/>
        <v>610.94206018518162</v>
      </c>
      <c r="V513" s="4">
        <f t="shared" si="873"/>
        <v>20.364735339506055</v>
      </c>
      <c r="W513" s="4">
        <f t="shared" si="874"/>
        <v>1</v>
      </c>
      <c r="X513" s="4">
        <f t="shared" si="875"/>
        <v>0</v>
      </c>
      <c r="Y513" s="4">
        <f t="shared" si="876"/>
        <v>0</v>
      </c>
      <c r="Z513" s="4">
        <f t="shared" si="877"/>
        <v>0</v>
      </c>
      <c r="AA513" s="4">
        <f t="shared" si="878"/>
        <v>0</v>
      </c>
      <c r="AB513" s="4">
        <f t="shared" si="879"/>
        <v>0</v>
      </c>
      <c r="AC513" s="4"/>
      <c r="AD513" s="4" t="b">
        <f t="shared" si="880"/>
        <v>0</v>
      </c>
      <c r="AE513" s="4" t="b">
        <f t="shared" si="881"/>
        <v>0</v>
      </c>
      <c r="AF513" s="4" t="b">
        <f t="shared" si="882"/>
        <v>0</v>
      </c>
      <c r="AG513" t="b">
        <f t="shared" si="883"/>
        <v>0</v>
      </c>
      <c r="AH513" t="b">
        <f t="shared" si="884"/>
        <v>0</v>
      </c>
      <c r="AI513" t="b">
        <f t="shared" si="885"/>
        <v>0</v>
      </c>
      <c r="AJ513" t="b">
        <f t="shared" si="886"/>
        <v>0</v>
      </c>
      <c r="AK513" t="b">
        <f t="shared" si="887"/>
        <v>0</v>
      </c>
      <c r="AL513" t="b">
        <f t="shared" si="888"/>
        <v>0</v>
      </c>
      <c r="AM513" t="b">
        <f t="shared" si="889"/>
        <v>0</v>
      </c>
      <c r="AN513" t="b">
        <f t="shared" si="890"/>
        <v>0</v>
      </c>
      <c r="AO513" t="b">
        <f t="shared" si="891"/>
        <v>0</v>
      </c>
      <c r="AP513" t="b">
        <f t="shared" si="892"/>
        <v>0</v>
      </c>
      <c r="AQ513" t="b">
        <f t="shared" si="893"/>
        <v>0</v>
      </c>
      <c r="AR513" t="b">
        <f t="shared" si="894"/>
        <v>0</v>
      </c>
      <c r="AS513" t="b">
        <f t="shared" si="895"/>
        <v>0</v>
      </c>
      <c r="AT513" t="b">
        <f t="shared" si="896"/>
        <v>0</v>
      </c>
      <c r="AU513" t="b">
        <f t="shared" si="897"/>
        <v>0</v>
      </c>
      <c r="AV513" t="b">
        <f t="shared" si="898"/>
        <v>0</v>
      </c>
      <c r="AW513" t="b">
        <f t="shared" si="899"/>
        <v>0</v>
      </c>
      <c r="AX513" t="b">
        <f t="shared" si="901"/>
        <v>0</v>
      </c>
      <c r="AY513" t="b">
        <f t="shared" si="902"/>
        <v>0</v>
      </c>
      <c r="AZ513">
        <f t="shared" si="903"/>
        <v>1</v>
      </c>
      <c r="BA513" t="b">
        <f t="shared" si="904"/>
        <v>0</v>
      </c>
      <c r="BB513" t="b">
        <f t="shared" si="905"/>
        <v>0</v>
      </c>
      <c r="BC513" t="b">
        <f t="shared" si="906"/>
        <v>0</v>
      </c>
      <c r="BD513" t="b">
        <f t="shared" si="907"/>
        <v>0</v>
      </c>
      <c r="BE513" t="b">
        <f t="shared" si="908"/>
        <v>0</v>
      </c>
      <c r="BF513" t="b">
        <f t="shared" si="909"/>
        <v>0</v>
      </c>
      <c r="BG513" t="b">
        <f t="shared" si="910"/>
        <v>0</v>
      </c>
      <c r="BH513" t="b">
        <f t="shared" si="911"/>
        <v>0</v>
      </c>
      <c r="BI513">
        <f t="shared" si="912"/>
        <v>1</v>
      </c>
      <c r="BJ513" t="b">
        <f t="shared" si="913"/>
        <v>0</v>
      </c>
      <c r="BK513" t="b">
        <f t="shared" si="914"/>
        <v>0</v>
      </c>
      <c r="BL513" t="b">
        <f t="shared" si="915"/>
        <v>0</v>
      </c>
      <c r="BM513" t="b">
        <f t="shared" si="916"/>
        <v>0</v>
      </c>
      <c r="BN513" t="b">
        <f t="shared" si="917"/>
        <v>0</v>
      </c>
      <c r="BO513" t="b">
        <f t="shared" si="918"/>
        <v>0</v>
      </c>
      <c r="BP513" t="b">
        <f t="shared" si="919"/>
        <v>0</v>
      </c>
      <c r="BQ513" t="b">
        <f t="shared" si="920"/>
        <v>0</v>
      </c>
      <c r="BR513">
        <f t="shared" si="921"/>
        <v>1</v>
      </c>
      <c r="BS513">
        <f t="shared" si="922"/>
        <v>1</v>
      </c>
      <c r="BT513" t="b">
        <f t="shared" si="923"/>
        <v>0</v>
      </c>
      <c r="BU513" t="b">
        <f t="shared" si="924"/>
        <v>0</v>
      </c>
      <c r="BV513" t="b">
        <f t="shared" si="925"/>
        <v>0</v>
      </c>
      <c r="BW513" t="b">
        <f t="shared" si="926"/>
        <v>0</v>
      </c>
      <c r="BX513" t="b">
        <f t="shared" si="927"/>
        <v>0</v>
      </c>
      <c r="BY513" t="b">
        <f t="shared" si="928"/>
        <v>0</v>
      </c>
      <c r="BZ513" t="b">
        <f t="shared" si="929"/>
        <v>0</v>
      </c>
      <c r="CA513" t="b">
        <f t="shared" si="930"/>
        <v>0</v>
      </c>
      <c r="CB513" t="b">
        <f t="shared" si="931"/>
        <v>0</v>
      </c>
      <c r="CC513" t="b">
        <f t="shared" si="932"/>
        <v>0</v>
      </c>
      <c r="CD513" t="b">
        <f t="shared" si="933"/>
        <v>0</v>
      </c>
      <c r="CE513" t="b">
        <f t="shared" si="934"/>
        <v>0</v>
      </c>
      <c r="CF513" t="b">
        <f t="shared" si="935"/>
        <v>0</v>
      </c>
      <c r="CG513" t="b">
        <f t="shared" si="936"/>
        <v>0</v>
      </c>
      <c r="CH513" t="b">
        <f t="shared" si="937"/>
        <v>0</v>
      </c>
      <c r="CI513" t="b">
        <f t="shared" si="938"/>
        <v>0</v>
      </c>
      <c r="CJ513" t="b">
        <f t="shared" si="939"/>
        <v>0</v>
      </c>
      <c r="CK513" t="b">
        <f t="shared" si="940"/>
        <v>0</v>
      </c>
      <c r="CL513" t="b">
        <f t="shared" si="941"/>
        <v>0</v>
      </c>
      <c r="CM513">
        <f t="shared" si="942"/>
        <v>1</v>
      </c>
      <c r="CN513" t="b">
        <f t="shared" si="943"/>
        <v>0</v>
      </c>
      <c r="CO513" t="b">
        <f t="shared" si="944"/>
        <v>0</v>
      </c>
      <c r="CP513" t="b">
        <f t="shared" si="945"/>
        <v>0</v>
      </c>
      <c r="CQ513" t="b">
        <f t="shared" si="946"/>
        <v>0</v>
      </c>
      <c r="CR513" t="b">
        <f t="shared" si="947"/>
        <v>0</v>
      </c>
      <c r="CS513" t="b">
        <f t="shared" si="948"/>
        <v>0</v>
      </c>
      <c r="CT513" t="b">
        <f t="shared" si="949"/>
        <v>0</v>
      </c>
      <c r="CU513" t="b">
        <f t="shared" si="950"/>
        <v>0</v>
      </c>
      <c r="CV513">
        <f t="shared" si="951"/>
        <v>1</v>
      </c>
      <c r="CW513" t="b">
        <f t="shared" si="952"/>
        <v>0</v>
      </c>
      <c r="CX513" t="b">
        <f t="shared" si="953"/>
        <v>0</v>
      </c>
      <c r="CY513" t="b">
        <f t="shared" si="954"/>
        <v>0</v>
      </c>
      <c r="CZ513" t="b">
        <f t="shared" si="955"/>
        <v>0</v>
      </c>
      <c r="DA513" t="b">
        <f t="shared" si="956"/>
        <v>0</v>
      </c>
      <c r="DB513" t="b">
        <f t="shared" si="957"/>
        <v>0</v>
      </c>
      <c r="DC513" t="b">
        <f t="shared" si="958"/>
        <v>0</v>
      </c>
      <c r="DD513" t="b">
        <f t="shared" si="959"/>
        <v>0</v>
      </c>
      <c r="DE513" t="b">
        <f t="shared" si="960"/>
        <v>0</v>
      </c>
      <c r="DF513" t="b">
        <f t="shared" si="961"/>
        <v>0</v>
      </c>
      <c r="DG513" t="b">
        <f t="shared" si="962"/>
        <v>0</v>
      </c>
      <c r="DH513" t="b">
        <f t="shared" si="963"/>
        <v>0</v>
      </c>
      <c r="DI513" t="b">
        <f t="shared" si="964"/>
        <v>0</v>
      </c>
      <c r="DJ513" t="b">
        <f t="shared" si="965"/>
        <v>0</v>
      </c>
      <c r="DK513" t="b">
        <f t="shared" si="966"/>
        <v>0</v>
      </c>
      <c r="DL513" t="b">
        <f t="shared" si="967"/>
        <v>0</v>
      </c>
      <c r="DM513" t="b">
        <f t="shared" si="968"/>
        <v>0</v>
      </c>
      <c r="DN513" t="b">
        <f t="shared" si="969"/>
        <v>0</v>
      </c>
      <c r="DO513" t="b">
        <f t="shared" si="970"/>
        <v>0</v>
      </c>
      <c r="DP513" t="b">
        <f t="shared" si="971"/>
        <v>0</v>
      </c>
      <c r="DQ513" t="b">
        <f t="shared" si="972"/>
        <v>0</v>
      </c>
      <c r="DR513" t="b">
        <f t="shared" si="973"/>
        <v>0</v>
      </c>
      <c r="DS513" t="b">
        <f t="shared" si="974"/>
        <v>0</v>
      </c>
      <c r="DT513" t="b">
        <f t="shared" si="975"/>
        <v>0</v>
      </c>
      <c r="DU513" t="b">
        <f t="shared" si="976"/>
        <v>0</v>
      </c>
      <c r="DV513" t="b">
        <f t="shared" si="977"/>
        <v>0</v>
      </c>
      <c r="DW513" t="b">
        <f t="shared" si="978"/>
        <v>0</v>
      </c>
      <c r="DX513">
        <f t="shared" si="979"/>
        <v>1</v>
      </c>
      <c r="DY513" t="b">
        <f t="shared" si="980"/>
        <v>0</v>
      </c>
      <c r="DZ513" t="b">
        <f t="shared" si="981"/>
        <v>0</v>
      </c>
      <c r="EA513" t="b">
        <f t="shared" si="982"/>
        <v>0</v>
      </c>
      <c r="EB513" t="b">
        <f t="shared" si="983"/>
        <v>0</v>
      </c>
      <c r="EC513" t="b">
        <f t="shared" si="984"/>
        <v>0</v>
      </c>
      <c r="ED513" t="b">
        <f t="shared" si="985"/>
        <v>0</v>
      </c>
      <c r="EE513" t="b">
        <f t="shared" si="986"/>
        <v>0</v>
      </c>
      <c r="EF513" t="b">
        <f t="shared" si="987"/>
        <v>0</v>
      </c>
      <c r="EG513" t="b">
        <f t="shared" si="988"/>
        <v>0</v>
      </c>
      <c r="EH513" t="b">
        <f t="shared" si="989"/>
        <v>0</v>
      </c>
      <c r="EI513" t="b">
        <f t="shared" si="990"/>
        <v>0</v>
      </c>
      <c r="EJ513" t="b">
        <f t="shared" si="991"/>
        <v>0</v>
      </c>
      <c r="EK513" t="b">
        <f t="shared" si="992"/>
        <v>0</v>
      </c>
    </row>
    <row r="514" spans="1:141">
      <c r="A514" t="s">
        <v>2599</v>
      </c>
      <c r="B514" t="s">
        <v>2600</v>
      </c>
      <c r="C514" t="s">
        <v>2482</v>
      </c>
      <c r="D514" s="1">
        <v>42284</v>
      </c>
      <c r="E514" s="2">
        <v>42698.012812499997</v>
      </c>
      <c r="F514" s="2">
        <v>42698.012812499997</v>
      </c>
      <c r="G514">
        <v>30741620</v>
      </c>
      <c r="H514" t="s">
        <v>2601</v>
      </c>
      <c r="I514" s="10" t="s">
        <v>414</v>
      </c>
      <c r="J514" t="s">
        <v>2484</v>
      </c>
      <c r="K514" s="8" t="b">
        <v>1</v>
      </c>
      <c r="L514" s="10" t="b">
        <v>0</v>
      </c>
      <c r="M514" s="12" t="b">
        <v>0</v>
      </c>
      <c r="N514" t="b">
        <v>0</v>
      </c>
      <c r="O514" t="b">
        <v>1</v>
      </c>
      <c r="P514" t="b">
        <v>0</v>
      </c>
      <c r="Q514">
        <f t="shared" ref="Q514:Q577" si="993">WEEKDAY(D514)</f>
        <v>4</v>
      </c>
      <c r="R514">
        <f t="shared" ref="R514:R577" si="994">MONTH(D514)</f>
        <v>10</v>
      </c>
      <c r="S514" t="e">
        <f t="shared" ca="1" si="900"/>
        <v>#NAME?</v>
      </c>
      <c r="T514" t="e">
        <f t="shared" ref="T514:T577" ca="1" si="995">WhoIsName(C514)</f>
        <v>#NAME?</v>
      </c>
      <c r="U514" s="4">
        <f t="shared" ref="U514:U577" si="996">E514-D514</f>
        <v>414.01281249999738</v>
      </c>
      <c r="V514" s="4">
        <f t="shared" ref="V514:V577" si="997">U514/30</f>
        <v>13.800427083333245</v>
      </c>
      <c r="W514" s="4">
        <f t="shared" ref="W514:W577" si="998">IF(K514=TRUE,1,0)</f>
        <v>1</v>
      </c>
      <c r="X514" s="4">
        <f t="shared" ref="X514:X577" si="999">IF(L514=TRUE,1,0)</f>
        <v>0</v>
      </c>
      <c r="Y514" s="4">
        <f t="shared" ref="Y514:Y577" si="1000">IF(M514=TRUE,1,0)</f>
        <v>0</v>
      </c>
      <c r="Z514" s="4">
        <f t="shared" ref="Z514:Z577" si="1001">IF(N514=TRUE,1,0)</f>
        <v>0</v>
      </c>
      <c r="AA514" s="4">
        <f t="shared" ref="AA514:AA577" si="1002">IF(O514=TRUE,1,0)</f>
        <v>1</v>
      </c>
      <c r="AB514" s="4">
        <f t="shared" ref="AB514:AB577" si="1003">IF(P514=TRUE,1,0)</f>
        <v>0</v>
      </c>
      <c r="AC514" s="4"/>
      <c r="AD514" s="4" t="b">
        <f t="shared" ref="AD514:AD577" si="1004">IFERROR(IF(SEARCH("'Account balances'",J514),1,0),FALSE)</f>
        <v>0</v>
      </c>
      <c r="AE514" s="4" t="b">
        <f t="shared" ref="AE514:AE577" si="1005">IFERROR(IF(SEARCH( "'Address book contacts'", J514),1,0),FALSE)</f>
        <v>0</v>
      </c>
      <c r="AF514" s="4" t="b">
        <f t="shared" ref="AF514:AF577" si="1006">IFERROR(IF(SEARCH( "'Age groups'", J514),1,0),FALSE)</f>
        <v>0</v>
      </c>
      <c r="AG514" t="b">
        <f t="shared" ref="AG514:AG577" si="1007">IFERROR(IF(SEARCH( "'Apps installed on devices'", J514),1,0),FALSE)</f>
        <v>0</v>
      </c>
      <c r="AH514" t="b">
        <f t="shared" ref="AH514:AH577" si="1008">IFERROR(IF(SEARCH( "'Astrological signs'", J514),1,0),FALSE)</f>
        <v>0</v>
      </c>
      <c r="AI514" t="b">
        <f t="shared" ref="AI514:AI577" si="1009">IFERROR(IF(SEARCH( "'Auth tokens'", J514),1,0),FALSE)</f>
        <v>0</v>
      </c>
      <c r="AJ514" t="b">
        <f t="shared" ref="AJ514:AJ577" si="1010">IFERROR(IF(SEARCH( "'Avatars'", J514),1,0),FALSE)</f>
        <v>0</v>
      </c>
      <c r="AK514" t="b">
        <f t="shared" ref="AK514:AK577" si="1011">IFERROR(IF(SEARCH( "'Bank account numbers'", J514),1,0),FALSE)</f>
        <v>0</v>
      </c>
      <c r="AL514" t="b">
        <f t="shared" ref="AL514:AL577" si="1012">IFERROR(IF(SEARCH( "'Beauty ratings'", J514),1,0),FALSE)</f>
        <v>0</v>
      </c>
      <c r="AM514" t="b">
        <f t="shared" ref="AM514:AM577" si="1013">IFERROR(IF(SEARCH( "'Biometric data'", J514),1,0),FALSE)</f>
        <v>0</v>
      </c>
      <c r="AN514" t="b">
        <f t="shared" ref="AN514:AN577" si="1014">IFERROR(IF(SEARCH( "'Bios'", J514),1,0),FALSE)</f>
        <v>0</v>
      </c>
      <c r="AO514" t="b">
        <f t="shared" ref="AO514:AO577" si="1015">IFERROR(IF(SEARCH( "'Browser user agent details' ", J514),1,0),FALSE)</f>
        <v>0</v>
      </c>
      <c r="AP514" t="b">
        <f t="shared" ref="AP514:AP577" si="1016">IFERROR(IF(SEARCH( "'Buying preferences'", J514),1,0),FALSE)</f>
        <v>0</v>
      </c>
      <c r="AQ514" t="b">
        <f t="shared" ref="AQ514:AQ577" si="1017">IFERROR(IF(SEARCH( "'Car ownership statuses'", J514),1,0),FALSE)</f>
        <v>0</v>
      </c>
      <c r="AR514" t="b">
        <f t="shared" ref="AR514:AR577" si="1018">IFERROR(IF(SEARCH( "'Cellular network names'", J514),1,0),FALSE)</f>
        <v>0</v>
      </c>
      <c r="AS514" t="b">
        <f t="shared" ref="AS514:AS577" si="1019">IFERROR(IF(SEARCH( "'Charitable donations'", J514),1,0),FALSE)</f>
        <v>0</v>
      </c>
      <c r="AT514" t="b">
        <f t="shared" ref="AT514:AT577" si="1020">IFERROR(IF(SEARCH( "'Chat logs'", J514),1,0),FALSE)</f>
        <v>0</v>
      </c>
      <c r="AU514" t="b">
        <f t="shared" ref="AU514:AU577" si="1021">IFERROR(IF(SEARCH( "'Credit card CVV'", J514),1,0),FALSE)</f>
        <v>0</v>
      </c>
      <c r="AV514" t="b">
        <f t="shared" ref="AV514:AV577" si="1022">IFERROR(IF(SEARCH( "'Credit cards'", J514),1,0),FALSE)</f>
        <v>0</v>
      </c>
      <c r="AW514" t="b">
        <f t="shared" ref="AW514:AW577" si="1023">IFERROR(IF(SEARCH( "'Credit status information'", J514),1,0),FALSE)</f>
        <v>0</v>
      </c>
      <c r="AX514" t="b">
        <f t="shared" si="901"/>
        <v>0</v>
      </c>
      <c r="AY514" t="b">
        <f t="shared" si="902"/>
        <v>0</v>
      </c>
      <c r="AZ514">
        <f t="shared" si="903"/>
        <v>1</v>
      </c>
      <c r="BA514" t="b">
        <f t="shared" si="904"/>
        <v>0</v>
      </c>
      <c r="BB514" t="b">
        <f t="shared" si="905"/>
        <v>0</v>
      </c>
      <c r="BC514" t="b">
        <f t="shared" si="906"/>
        <v>0</v>
      </c>
      <c r="BD514" t="b">
        <f t="shared" si="907"/>
        <v>0</v>
      </c>
      <c r="BE514" t="b">
        <f t="shared" si="908"/>
        <v>0</v>
      </c>
      <c r="BF514" t="b">
        <f t="shared" si="909"/>
        <v>0</v>
      </c>
      <c r="BG514" t="b">
        <f t="shared" si="910"/>
        <v>0</v>
      </c>
      <c r="BH514" t="b">
        <f t="shared" si="911"/>
        <v>0</v>
      </c>
      <c r="BI514">
        <f t="shared" si="912"/>
        <v>1</v>
      </c>
      <c r="BJ514" t="b">
        <f t="shared" si="913"/>
        <v>0</v>
      </c>
      <c r="BK514" t="b">
        <f t="shared" si="914"/>
        <v>0</v>
      </c>
      <c r="BL514" t="b">
        <f t="shared" si="915"/>
        <v>0</v>
      </c>
      <c r="BM514" t="b">
        <f t="shared" si="916"/>
        <v>0</v>
      </c>
      <c r="BN514" t="b">
        <f t="shared" si="917"/>
        <v>0</v>
      </c>
      <c r="BO514" t="b">
        <f t="shared" si="918"/>
        <v>0</v>
      </c>
      <c r="BP514" t="b">
        <f t="shared" si="919"/>
        <v>0</v>
      </c>
      <c r="BQ514" t="b">
        <f t="shared" si="920"/>
        <v>0</v>
      </c>
      <c r="BR514">
        <f t="shared" si="921"/>
        <v>1</v>
      </c>
      <c r="BS514" t="b">
        <f t="shared" si="922"/>
        <v>0</v>
      </c>
      <c r="BT514" t="b">
        <f t="shared" si="923"/>
        <v>0</v>
      </c>
      <c r="BU514" t="b">
        <f t="shared" si="924"/>
        <v>0</v>
      </c>
      <c r="BV514" t="b">
        <f t="shared" si="925"/>
        <v>0</v>
      </c>
      <c r="BW514" t="b">
        <f t="shared" si="926"/>
        <v>0</v>
      </c>
      <c r="BX514" t="b">
        <f t="shared" si="927"/>
        <v>0</v>
      </c>
      <c r="BY514" t="b">
        <f t="shared" si="928"/>
        <v>0</v>
      </c>
      <c r="BZ514" t="b">
        <f t="shared" si="929"/>
        <v>0</v>
      </c>
      <c r="CA514" t="b">
        <f t="shared" si="930"/>
        <v>0</v>
      </c>
      <c r="CB514" t="b">
        <f t="shared" si="931"/>
        <v>0</v>
      </c>
      <c r="CC514" t="b">
        <f t="shared" si="932"/>
        <v>0</v>
      </c>
      <c r="CD514" t="b">
        <f t="shared" si="933"/>
        <v>0</v>
      </c>
      <c r="CE514">
        <f t="shared" si="934"/>
        <v>1</v>
      </c>
      <c r="CF514" t="b">
        <f t="shared" si="935"/>
        <v>0</v>
      </c>
      <c r="CG514" t="b">
        <f t="shared" si="936"/>
        <v>0</v>
      </c>
      <c r="CH514" t="b">
        <f t="shared" si="937"/>
        <v>0</v>
      </c>
      <c r="CI514" t="b">
        <f t="shared" si="938"/>
        <v>0</v>
      </c>
      <c r="CJ514" t="b">
        <f t="shared" si="939"/>
        <v>0</v>
      </c>
      <c r="CK514" t="b">
        <f t="shared" si="940"/>
        <v>0</v>
      </c>
      <c r="CL514" t="b">
        <f t="shared" si="941"/>
        <v>0</v>
      </c>
      <c r="CM514">
        <f t="shared" si="942"/>
        <v>1</v>
      </c>
      <c r="CN514" t="b">
        <f t="shared" si="943"/>
        <v>0</v>
      </c>
      <c r="CO514" t="b">
        <f t="shared" si="944"/>
        <v>0</v>
      </c>
      <c r="CP514" t="b">
        <f t="shared" si="945"/>
        <v>0</v>
      </c>
      <c r="CQ514" t="b">
        <f t="shared" si="946"/>
        <v>0</v>
      </c>
      <c r="CR514" t="b">
        <f t="shared" si="947"/>
        <v>0</v>
      </c>
      <c r="CS514" t="b">
        <f t="shared" si="948"/>
        <v>0</v>
      </c>
      <c r="CT514" t="b">
        <f t="shared" si="949"/>
        <v>0</v>
      </c>
      <c r="CU514" t="b">
        <f t="shared" si="950"/>
        <v>0</v>
      </c>
      <c r="CV514" t="b">
        <f t="shared" si="951"/>
        <v>0</v>
      </c>
      <c r="CW514" t="b">
        <f t="shared" si="952"/>
        <v>0</v>
      </c>
      <c r="CX514" t="b">
        <f t="shared" si="953"/>
        <v>0</v>
      </c>
      <c r="CY514" t="b">
        <f t="shared" si="954"/>
        <v>0</v>
      </c>
      <c r="CZ514" t="b">
        <f t="shared" si="955"/>
        <v>0</v>
      </c>
      <c r="DA514" t="b">
        <f t="shared" si="956"/>
        <v>0</v>
      </c>
      <c r="DB514">
        <f t="shared" si="957"/>
        <v>1</v>
      </c>
      <c r="DC514" t="b">
        <f t="shared" si="958"/>
        <v>0</v>
      </c>
      <c r="DD514" t="b">
        <f t="shared" si="959"/>
        <v>0</v>
      </c>
      <c r="DE514" t="b">
        <f t="shared" si="960"/>
        <v>0</v>
      </c>
      <c r="DF514" t="b">
        <f t="shared" si="961"/>
        <v>0</v>
      </c>
      <c r="DG514" t="b">
        <f t="shared" si="962"/>
        <v>0</v>
      </c>
      <c r="DH514" t="b">
        <f t="shared" si="963"/>
        <v>0</v>
      </c>
      <c r="DI514" t="b">
        <f t="shared" si="964"/>
        <v>0</v>
      </c>
      <c r="DJ514" t="b">
        <f t="shared" si="965"/>
        <v>0</v>
      </c>
      <c r="DK514" t="b">
        <f t="shared" si="966"/>
        <v>0</v>
      </c>
      <c r="DL514" t="b">
        <f t="shared" si="967"/>
        <v>0</v>
      </c>
      <c r="DM514" t="b">
        <f t="shared" si="968"/>
        <v>0</v>
      </c>
      <c r="DN514" t="b">
        <f t="shared" si="969"/>
        <v>0</v>
      </c>
      <c r="DO514" t="b">
        <f t="shared" si="970"/>
        <v>0</v>
      </c>
      <c r="DP514" t="b">
        <f t="shared" si="971"/>
        <v>0</v>
      </c>
      <c r="DQ514" t="b">
        <f t="shared" si="972"/>
        <v>0</v>
      </c>
      <c r="DR514" t="b">
        <f t="shared" si="973"/>
        <v>0</v>
      </c>
      <c r="DS514" t="b">
        <f t="shared" si="974"/>
        <v>0</v>
      </c>
      <c r="DT514" t="b">
        <f t="shared" si="975"/>
        <v>0</v>
      </c>
      <c r="DU514" t="b">
        <f t="shared" si="976"/>
        <v>0</v>
      </c>
      <c r="DV514" t="b">
        <f t="shared" si="977"/>
        <v>0</v>
      </c>
      <c r="DW514" t="b">
        <f t="shared" si="978"/>
        <v>0</v>
      </c>
      <c r="DX514" t="b">
        <f t="shared" si="979"/>
        <v>0</v>
      </c>
      <c r="DY514" t="b">
        <f t="shared" si="980"/>
        <v>0</v>
      </c>
      <c r="DZ514" t="b">
        <f t="shared" si="981"/>
        <v>0</v>
      </c>
      <c r="EA514" t="b">
        <f t="shared" si="982"/>
        <v>0</v>
      </c>
      <c r="EB514" t="b">
        <f t="shared" si="983"/>
        <v>0</v>
      </c>
      <c r="EC514" t="b">
        <f t="shared" si="984"/>
        <v>0</v>
      </c>
      <c r="ED514" t="b">
        <f t="shared" si="985"/>
        <v>0</v>
      </c>
      <c r="EE514" t="b">
        <f t="shared" si="986"/>
        <v>0</v>
      </c>
      <c r="EF514" t="b">
        <f t="shared" si="987"/>
        <v>0</v>
      </c>
      <c r="EG514" t="b">
        <f t="shared" si="988"/>
        <v>0</v>
      </c>
      <c r="EH514" t="b">
        <f t="shared" si="989"/>
        <v>0</v>
      </c>
      <c r="EI514" t="b">
        <f t="shared" si="990"/>
        <v>0</v>
      </c>
      <c r="EJ514" t="b">
        <f t="shared" si="991"/>
        <v>0</v>
      </c>
      <c r="EK514" t="b">
        <f t="shared" si="992"/>
        <v>0</v>
      </c>
    </row>
    <row r="515" spans="1:141">
      <c r="A515" t="s">
        <v>2602</v>
      </c>
      <c r="B515" t="s">
        <v>2602</v>
      </c>
      <c r="C515" t="s">
        <v>2603</v>
      </c>
      <c r="D515" s="1">
        <v>41692</v>
      </c>
      <c r="E515" s="2">
        <v>41692.866620370369</v>
      </c>
      <c r="F515" s="2">
        <v>41692.866620370369</v>
      </c>
      <c r="G515">
        <v>55622</v>
      </c>
      <c r="H515" t="s">
        <v>2604</v>
      </c>
      <c r="I515" s="10" t="s">
        <v>2605</v>
      </c>
      <c r="J515" t="s">
        <v>415</v>
      </c>
      <c r="K515" s="8" t="b">
        <v>1</v>
      </c>
      <c r="L515" s="10" t="b">
        <v>0</v>
      </c>
      <c r="M515" s="12" t="b">
        <v>0</v>
      </c>
      <c r="N515" t="b">
        <v>0</v>
      </c>
      <c r="O515" t="b">
        <v>0</v>
      </c>
      <c r="P515" t="b">
        <v>0</v>
      </c>
      <c r="Q515">
        <f t="shared" si="993"/>
        <v>7</v>
      </c>
      <c r="R515">
        <f t="shared" si="994"/>
        <v>2</v>
      </c>
      <c r="S515" t="e">
        <f t="shared" ref="S515:S578" ca="1" si="1024">WhoIsorganization(C515)</f>
        <v>#NAME?</v>
      </c>
      <c r="T515" t="e">
        <f t="shared" ca="1" si="995"/>
        <v>#NAME?</v>
      </c>
      <c r="U515" s="4">
        <f t="shared" si="996"/>
        <v>0.86662037036876427</v>
      </c>
      <c r="V515" s="4">
        <f t="shared" si="997"/>
        <v>2.8887345678958808E-2</v>
      </c>
      <c r="W515" s="4">
        <f t="shared" si="998"/>
        <v>1</v>
      </c>
      <c r="X515" s="4">
        <f t="shared" si="999"/>
        <v>0</v>
      </c>
      <c r="Y515" s="4">
        <f t="shared" si="1000"/>
        <v>0</v>
      </c>
      <c r="Z515" s="4">
        <f t="shared" si="1001"/>
        <v>0</v>
      </c>
      <c r="AA515" s="4">
        <f t="shared" si="1002"/>
        <v>0</v>
      </c>
      <c r="AB515" s="4">
        <f t="shared" si="1003"/>
        <v>0</v>
      </c>
      <c r="AC515" s="4"/>
      <c r="AD515" s="4" t="b">
        <f t="shared" si="1004"/>
        <v>0</v>
      </c>
      <c r="AE515" s="4" t="b">
        <f t="shared" si="1005"/>
        <v>0</v>
      </c>
      <c r="AF515" s="4" t="b">
        <f t="shared" si="1006"/>
        <v>0</v>
      </c>
      <c r="AG515" t="b">
        <f t="shared" si="1007"/>
        <v>0</v>
      </c>
      <c r="AH515" t="b">
        <f t="shared" si="1008"/>
        <v>0</v>
      </c>
      <c r="AI515" t="b">
        <f t="shared" si="1009"/>
        <v>0</v>
      </c>
      <c r="AJ515" t="b">
        <f t="shared" si="1010"/>
        <v>0</v>
      </c>
      <c r="AK515" t="b">
        <f t="shared" si="1011"/>
        <v>0</v>
      </c>
      <c r="AL515" t="b">
        <f t="shared" si="1012"/>
        <v>0</v>
      </c>
      <c r="AM515" t="b">
        <f t="shared" si="1013"/>
        <v>0</v>
      </c>
      <c r="AN515" t="b">
        <f t="shared" si="1014"/>
        <v>0</v>
      </c>
      <c r="AO515" t="b">
        <f t="shared" si="1015"/>
        <v>0</v>
      </c>
      <c r="AP515" t="b">
        <f t="shared" si="1016"/>
        <v>0</v>
      </c>
      <c r="AQ515" t="b">
        <f t="shared" si="1017"/>
        <v>0</v>
      </c>
      <c r="AR515" t="b">
        <f t="shared" si="1018"/>
        <v>0</v>
      </c>
      <c r="AS515" t="b">
        <f t="shared" si="1019"/>
        <v>0</v>
      </c>
      <c r="AT515" t="b">
        <f t="shared" si="1020"/>
        <v>0</v>
      </c>
      <c r="AU515" t="b">
        <f t="shared" si="1021"/>
        <v>0</v>
      </c>
      <c r="AV515" t="b">
        <f t="shared" si="1022"/>
        <v>0</v>
      </c>
      <c r="AW515" t="b">
        <f t="shared" si="1023"/>
        <v>0</v>
      </c>
      <c r="AX515" t="b">
        <f t="shared" ref="AX515:AX578" si="1025">IFERROR(IF(SEARCH( "'Customer feedback'", J515),1,0),FALSE)</f>
        <v>0</v>
      </c>
      <c r="AY515" t="b">
        <f t="shared" ref="AY515:AY578" si="1026">IFERROR(IF(SEARCH( "'Customer interactions'  ", J515),1,0),FALSE)</f>
        <v>0</v>
      </c>
      <c r="AZ515" t="b">
        <f t="shared" ref="AZ515:AZ578" si="1027">IFERROR(IF(SEARCH( "'Dates of birth'", J515),1,0),FALSE)</f>
        <v>0</v>
      </c>
      <c r="BA515" t="b">
        <f t="shared" ref="BA515:BA578" si="1028">IFERROR(IF(SEARCH( "'Deceased statuses'", J515),1,0),FALSE)</f>
        <v>0</v>
      </c>
      <c r="BB515" t="b">
        <f t="shared" ref="BB515:BB578" si="1029">IFERROR(IF(SEARCH( "'Device information'", J515),1,0),FALSE)</f>
        <v>0</v>
      </c>
      <c r="BC515" t="b">
        <f t="shared" ref="BC515:BC578" si="1030">IFERROR(IF(SEARCH( "'Device serial numbers'", J515),1,0),FALSE)</f>
        <v>0</v>
      </c>
      <c r="BD515" t="b">
        <f t="shared" ref="BD515:BD578" si="1031">IFERROR(IF(SEARCH( "'Device usage tracking data'", J515),1,0),FALSE)</f>
        <v>0</v>
      </c>
      <c r="BE515" t="b">
        <f t="shared" ref="BE515:BE578" si="1032">IFERROR(IF(SEARCH( "'Drinking habits'", J515),1,0),FALSE)</f>
        <v>0</v>
      </c>
      <c r="BF515" t="b">
        <f t="shared" ref="BF515:BF578" si="1033">IFERROR(IF(SEARCH( "'Drinking habits' ", J515),1,0),FALSE)</f>
        <v>0</v>
      </c>
      <c r="BG515" t="b">
        <f t="shared" ref="BG515:BG578" si="1034">IFERROR(IF(SEARCH( "'Drug habits'", J515),1,0),FALSE)</f>
        <v>0</v>
      </c>
      <c r="BH515" t="b">
        <f t="shared" ref="BH515:BH578" si="1035">IFERROR(IF(SEARCH( "'Education levels'", J515),1,0),FALSE)</f>
        <v>0</v>
      </c>
      <c r="BI515">
        <f t="shared" ref="BI515:BI578" si="1036">IFERROR(IF(SEARCH( "'Email addresses'", J515),1,0),FALSE)</f>
        <v>1</v>
      </c>
      <c r="BJ515">
        <f t="shared" ref="BJ515:BJ578" si="1037">IFERROR(IF(SEARCH( "'Employers'", J515),1,0),FALSE)</f>
        <v>1</v>
      </c>
      <c r="BK515" t="b">
        <f t="shared" ref="BK515:BK578" si="1038">IFERROR(IF(SEARCH( "'Ethnicities' ", J515),1,0),FALSE)</f>
        <v>0</v>
      </c>
      <c r="BL515" t="b">
        <f t="shared" ref="BL515:BL578" si="1039">IFERROR(IF(SEARCH( "'Family members' names'", J515),1,0),FALSE)</f>
        <v>0</v>
      </c>
      <c r="BM515" t="b">
        <f t="shared" ref="BM515:BM578" si="1040">IFERROR(IF(SEARCH( "'Family structure", J515),1,0),FALSE)</f>
        <v>0</v>
      </c>
      <c r="BN515" t="b">
        <f t="shared" ref="BN515:BN578" si="1041">IFERROR(IF(SEARCH( "'Financial investments'", J515),1,0),FALSE)</f>
        <v>0</v>
      </c>
      <c r="BO515" t="b">
        <f t="shared" ref="BO515:BO578" si="1042">IFERROR(IF(SEARCH( "'Financial transactions'", J515),1,0),FALSE)</f>
        <v>0</v>
      </c>
      <c r="BP515" t="b">
        <f t="shared" ref="BP515:BP578" si="1043">IFERROR(IF(SEARCH( "'Fitness levels'", J515),1,0),FALSE)</f>
        <v>0</v>
      </c>
      <c r="BQ515" t="b">
        <f t="shared" ref="BQ515:BQ578" si="1044">IFERROR(IF(SEARCH( "'Flights taken'", J515),1,0),FALSE)</f>
        <v>0</v>
      </c>
      <c r="BR515" t="b">
        <f t="shared" ref="BR515:BR578" si="1045">IFERROR(IF(SEARCH( "'Genders'", J515),1,0),FALSE)</f>
        <v>0</v>
      </c>
      <c r="BS515" t="b">
        <f t="shared" ref="BS515:BS578" si="1046">IFERROR(IF(SEARCH( "'Geographic locations'", J515),1,0),FALSE)</f>
        <v>0</v>
      </c>
      <c r="BT515" t="b">
        <f t="shared" ref="BT515:BT578" si="1047">IFERROR(IF(SEARCH( "'Government issued IDs'", J515),1,0),FALSE)</f>
        <v>0</v>
      </c>
      <c r="BU515" t="b">
        <f t="shared" ref="BU515:BU578" si="1048">IFERROR(IF(SEARCH( "'Health insurance information' ", J515),1,0),FALSE)</f>
        <v>0</v>
      </c>
      <c r="BV515" t="b">
        <f t="shared" ref="BV515:BV578" si="1049">IFERROR(IF(SEARCH( "'Historical passwords'", J515),1,0),FALSE)</f>
        <v>0</v>
      </c>
      <c r="BW515" t="b">
        <f t="shared" ref="BW515:BW578" si="1050">IFERROR(IF(SEARCH( "'HIV statuses'", J515),1,0),FALSE)</f>
        <v>0</v>
      </c>
      <c r="BX515" t="b">
        <f t="shared" ref="BX515:BX578" si="1051">IFERROR(IF(SEARCH( "'Home loan information'", J515),1,0),FALSE)</f>
        <v>0</v>
      </c>
      <c r="BY515" t="b">
        <f t="shared" ref="BY515:BY578" si="1052">IFERROR(IF(SEARCH( "'Home ownership statuses", J515),1,0),FALSE)</f>
        <v>0</v>
      </c>
      <c r="BZ515" t="b">
        <f t="shared" ref="BZ515:BZ578" si="1053">IFERROR(IF(SEARCH( "'Homepage URLs'", J515),1,0),FALSE)</f>
        <v>0</v>
      </c>
      <c r="CA515" t="b">
        <f t="shared" ref="CA515:CA578" si="1054">IFERROR(IF(SEARCH( "'IMEI numbers'", J515),1,0),FALSE)</f>
        <v>0</v>
      </c>
      <c r="CB515" t="b">
        <f t="shared" ref="CB515:CB578" si="1055">IFERROR(IF(SEARCH( "'IMSI numbers' ", J515),1,0),FALSE)</f>
        <v>0</v>
      </c>
      <c r="CC515" t="b">
        <f t="shared" ref="CC515:CC578" si="1056">IFERROR(IF(SEARCH( "'Income levels'", J515),1,0),FALSE)</f>
        <v>0</v>
      </c>
      <c r="CD515" t="b">
        <f t="shared" ref="CD515:CD578" si="1057">IFERROR(IF(SEARCH( "'Instant messenger identities'", J515),1,0),FALSE)</f>
        <v>0</v>
      </c>
      <c r="CE515" t="b">
        <f t="shared" ref="CE515:CE578" si="1058">IFERROR(IF(SEARCH( "'IP addresses'", J515),1,0),FALSE)</f>
        <v>0</v>
      </c>
      <c r="CF515" t="b">
        <f t="shared" ref="CF515:CF578" si="1059">IFERROR(IF(SEARCH( "'Job applications' ", J515),1,0),FALSE)</f>
        <v>0</v>
      </c>
      <c r="CG515" t="b">
        <f t="shared" ref="CG515:CG578" si="1060">IFERROR(IF(SEARCH( "'Job titles' ", J515),1,0),FALSE)</f>
        <v>0</v>
      </c>
      <c r="CH515" t="b">
        <f t="shared" ref="CH515:CH578" si="1061">IFERROR(IF(SEARCH( "'Licence plates'", J515),1,0),FALSE)</f>
        <v>0</v>
      </c>
      <c r="CI515" t="b">
        <f t="shared" ref="CI515:CI578" si="1062">IFERROR(IF(SEARCH( "'Login histories'", J515),1,0),FALSE)</f>
        <v>0</v>
      </c>
      <c r="CJ515" t="b">
        <f t="shared" ref="CJ515:CJ578" si="1063">IFERROR(IF(SEARCH( "'MAC addresses'", J515),1,0),FALSE)</f>
        <v>0</v>
      </c>
      <c r="CK515" t="b">
        <f t="shared" ref="CK515:CK578" si="1064">IFERROR(IF(SEARCH( "'Marital statuses'", J515),1,0),FALSE)</f>
        <v>0</v>
      </c>
      <c r="CL515" t="b">
        <f t="shared" ref="CL515:CL578" si="1065">IFERROR(IF(SEARCH( "'Mnemonic phrases'", J515),1,0),FALSE)</f>
        <v>0</v>
      </c>
      <c r="CM515">
        <f t="shared" ref="CM515:CM578" si="1066">IFERROR(IF(SEARCH( "'Names'", J515),1,0),FALSE)</f>
        <v>1</v>
      </c>
      <c r="CN515" t="b">
        <f t="shared" ref="CN515:CN578" si="1067">IFERROR(IF(SEARCH( "'Nationalities'", J515),1,0),FALSE)</f>
        <v>0</v>
      </c>
      <c r="CO515" t="b">
        <f t="shared" ref="CO515:CO578" si="1068">IFERROR(IF(SEARCH( "'Net worths'", J515),1,0),FALSE)</f>
        <v>0</v>
      </c>
      <c r="CP515" t="b">
        <f t="shared" ref="CP515:CP578" si="1069">IFERROR(IF(SEARCH( "'Nicknames' ", J515),1,0),FALSE)</f>
        <v>0</v>
      </c>
      <c r="CQ515" t="b">
        <f t="shared" ref="CQ515:CQ578" si="1070">IFERROR(IF(SEARCH( "'Occupations'", J515),1,0),FALSE)</f>
        <v>0</v>
      </c>
      <c r="CR515" t="b">
        <f t="shared" ref="CR515:CR578" si="1071">IFERROR(IF(SEARCH( "'Parenting plans", J515),1,0),FALSE)</f>
        <v>0</v>
      </c>
      <c r="CS515" t="b">
        <f t="shared" ref="CS515:CS578" si="1072">IFERROR(IF(SEARCH( "'Partial credit card data' ", J515),1,0),FALSE)</f>
        <v>0</v>
      </c>
      <c r="CT515" t="b">
        <f t="shared" ref="CT515:CT578" si="1073">IFERROR(IF(SEARCH( "'Partial phone numbers'", J515),1,0),FALSE)</f>
        <v>0</v>
      </c>
      <c r="CU515" t="b">
        <f t="shared" ref="CU515:CU578" si="1074">IFERROR(IF(SEARCH( "'Passport numbers'", J515),1,0),FALSE)</f>
        <v>0</v>
      </c>
      <c r="CV515" t="b">
        <f t="shared" ref="CV515:CV578" si="1075">IFERROR(IF(SEARCH( "'Passwords'", J515),1,0),FALSE)</f>
        <v>0</v>
      </c>
      <c r="CW515" t="b">
        <f t="shared" ref="CW515:CW578" si="1076">IFERROR(IF(SEARCH( "'Payment histories'", J515),1,0),FALSE)</f>
        <v>0</v>
      </c>
      <c r="CX515" t="b">
        <f t="shared" ref="CX515:CX578" si="1077">IFERROR(IF(SEARCH( "'Payment methods'", J515),1,0),FALSE)</f>
        <v>0</v>
      </c>
      <c r="CY515" t="b">
        <f t="shared" ref="CY515:CY578" si="1078">IFERROR(IF(SEARCH( "'Personal descriptions'", J515),1,0),FALSE)</f>
        <v>0</v>
      </c>
      <c r="CZ515" t="b">
        <f t="shared" ref="CZ515:CZ578" si="1079">IFERROR(IF(SEARCH( "'Personal health data'", J515),1,0),FALSE)</f>
        <v>0</v>
      </c>
      <c r="DA515">
        <f t="shared" ref="DA515:DA578" si="1080">IFERROR(IF(SEARCH( "'Phone numbers'", J515),1,0),FALSE)</f>
        <v>1</v>
      </c>
      <c r="DB515">
        <f t="shared" ref="DB515:DB578" si="1081">IFERROR(IF(SEARCH( "'Physical addresses'", J515),1,0),FALSE)</f>
        <v>1</v>
      </c>
      <c r="DC515" t="b">
        <f t="shared" ref="DC515:DC578" si="1082">IFERROR(IF(SEARCH( "'Physical attributes'", J515),1,0),FALSE)</f>
        <v>0</v>
      </c>
      <c r="DD515" t="b">
        <f t="shared" ref="DD515:DD578" si="1083">IFERROR(IF(SEARCH( "'PINs'", J515),1,0),FALSE)</f>
        <v>0</v>
      </c>
      <c r="DE515" t="b">
        <f t="shared" ref="DE515:DE578" si="1084">IFERROR(IF(SEARCH( "'Political donations'", J515),1,0),FALSE)</f>
        <v>0</v>
      </c>
      <c r="DF515" t="b">
        <f t="shared" ref="DF515:DF578" si="1085">IFERROR(IF(SEARCH( "'Political views'", J515),1,0),FALSE)</f>
        <v>0</v>
      </c>
      <c r="DG515" t="b">
        <f t="shared" ref="DG515:DG578" si="1086">IFERROR(IF(SEARCH( "'Private messages'", J515),1,0),FALSE)</f>
        <v>0</v>
      </c>
      <c r="DH515" t="b">
        <f t="shared" ref="DH515:DH578" si="1087">IFERROR(IF(SEARCH( "'Professional skills'", J515),1,0),FALSE)</f>
        <v>0</v>
      </c>
      <c r="DI515" t="b">
        <f t="shared" ref="DI515:DI578" si="1088">IFERROR(IF(SEARCH( "'Profile photos'", J515),1,0),FALSE)</f>
        <v>0</v>
      </c>
      <c r="DJ515" t="b">
        <f t="shared" ref="DJ515:DJ578" si="1089">IFERROR(IF(SEARCH( "'Purchases'", J515),1,0),FALSE)</f>
        <v>0</v>
      </c>
      <c r="DK515" t="b">
        <f t="shared" ref="DK515:DK578" si="1090">IFERROR(IF(SEARCH( "'Purchasing habits'", J515),1,0),FALSE)</f>
        <v>0</v>
      </c>
      <c r="DL515" t="b">
        <f t="shared" ref="DL515:DL578" si="1091">IFERROR(IF(SEARCH( "'Races'", J515),1,0),FALSE)</f>
        <v>0</v>
      </c>
      <c r="DM515" t="b">
        <f t="shared" ref="DM515:DM578" si="1092">IFERROR(IF(SEARCH( "'Recovery email addresses'", J515),1,0),FALSE)</f>
        <v>0</v>
      </c>
      <c r="DN515" t="b">
        <f t="shared" ref="DN515:DN578" si="1093">IFERROR(IF(SEARCH( "'Relationship statuses'", J515),1,0),FALSE)</f>
        <v>0</v>
      </c>
      <c r="DO515" t="b">
        <f t="shared" ref="DO515:DO578" si="1094">IFERROR(IF(SEARCH( "'Religions' ", J515),1,0),FALSE)</f>
        <v>0</v>
      </c>
      <c r="DP515" t="b">
        <f t="shared" ref="DP515:DP578" si="1095">IFERROR(IF(SEARCH( "'Reward program balances'", J515),1,0),FALSE)</f>
        <v>0</v>
      </c>
      <c r="DQ515" t="b">
        <f t="shared" ref="DQ515:DQ578" si="1096">IFERROR(IF(SEARCH( "'Salutations'", J515),1,0),FALSE)</f>
        <v>0</v>
      </c>
      <c r="DR515" t="b">
        <f t="shared" ref="DR515:DR578" si="1097">IFERROR(IF(SEARCH( "'School grades (class levels)", J515),1,0),FALSE)</f>
        <v>0</v>
      </c>
      <c r="DS515" t="b">
        <f t="shared" ref="DS515:DS578" si="1098">IFERROR(IF(SEARCH( "'Security questions and answers'", J515),1,0),FALSE)</f>
        <v>0</v>
      </c>
      <c r="DT515" t="b">
        <f t="shared" ref="DT515:DT578" si="1099">IFERROR(IF(SEARCH( "'Sexual fetishes'", J515),1,0),FALSE)</f>
        <v>0</v>
      </c>
      <c r="DU515" t="b">
        <f t="shared" ref="DU515:DU578" si="1100">IFERROR(IF(SEARCH( "'Sexual orientations'", J515),1,0),FALSE)</f>
        <v>0</v>
      </c>
      <c r="DV515" t="b">
        <f t="shared" ref="DV515:DV578" si="1101">IFERROR(IF(SEARCH( "'Smoking habits'", J515),1,0),FALSE)</f>
        <v>0</v>
      </c>
      <c r="DW515" t="b">
        <f t="shared" ref="DW515:DW578" si="1102">IFERROR(IF(SEARCH( "'SMS messages'", J515),1,0),FALSE)</f>
        <v>0</v>
      </c>
      <c r="DX515" t="b">
        <f t="shared" ref="DX515:DX578" si="1103">IFERROR(IF(SEARCH( "'Social connections'", J515),1,0),FALSE)</f>
        <v>0</v>
      </c>
      <c r="DY515" t="b">
        <f t="shared" ref="DY515:DY578" si="1104">IFERROR(IF(SEARCH( "'Social media profiles'", J515),1,0),FALSE)</f>
        <v>0</v>
      </c>
      <c r="DZ515" t="b">
        <f t="shared" ref="DZ515:DZ578" si="1105">IFERROR(IF(SEARCH( "'Social security numbers'", J515),1,0),FALSE)</f>
        <v>0</v>
      </c>
      <c r="EA515" t="b">
        <f t="shared" ref="EA515:EA578" si="1106">IFERROR(IF(SEARCH( "'Spoken languages'", J515),1,0),FALSE)</f>
        <v>0</v>
      </c>
      <c r="EB515" t="b">
        <f t="shared" ref="EB515:EB578" si="1107">IFERROR(IF(SEARCH( "'Survey results'", J515),1,0),FALSE)</f>
        <v>0</v>
      </c>
      <c r="EC515" t="b">
        <f t="shared" ref="EC515:EC578" si="1108">IFERROR(IF(SEARCH( "'Time zones'", J515),1,0),FALSE)</f>
        <v>0</v>
      </c>
      <c r="ED515" t="b">
        <f t="shared" ref="ED515:ED578" si="1109">IFERROR(IF(SEARCH( "'Travel habits' ", J515),1,0),FALSE)</f>
        <v>0</v>
      </c>
      <c r="EE515" t="b">
        <f t="shared" ref="EE515:EE578" si="1110">IFERROR(IF(SEARCH( "'User website URLs'", J515),1,0),FALSE)</f>
        <v>0</v>
      </c>
      <c r="EF515" t="b">
        <f t="shared" ref="EF515:EF578" si="1111">IFERROR(IF(SEARCH( "'Usernames'", J515),1,0),FALSE)</f>
        <v>0</v>
      </c>
      <c r="EG515" t="b">
        <f t="shared" ref="EG515:EG578" si="1112">IFERROR(IF(SEARCH( "'Vehicle details'", J515),1,0),FALSE)</f>
        <v>0</v>
      </c>
      <c r="EH515" t="b">
        <f t="shared" ref="EH515:EH578" si="1113">IFERROR(IF(SEARCH( "'Vehicle identification numbers (VINs)'", J515),1,0),FALSE)</f>
        <v>0</v>
      </c>
      <c r="EI515" t="b">
        <f t="shared" ref="EI515:EI578" si="1114">IFERROR(IF(SEARCH( "'Website activity'", J515),1,0),FALSE)</f>
        <v>0</v>
      </c>
      <c r="EJ515" t="b">
        <f t="shared" ref="EJ515:EJ578" si="1115">IFERROR(IF(SEARCH( "'Work habits'", J515),1,0),FALSE)</f>
        <v>0</v>
      </c>
      <c r="EK515" t="b">
        <f t="shared" ref="EK515:EK578" si="1116">IFERROR(IF(SEARCH( "'Years of professional experience'", J515),1,0),FALSE)</f>
        <v>0</v>
      </c>
    </row>
    <row r="516" spans="1:141">
      <c r="A516" t="s">
        <v>2606</v>
      </c>
      <c r="B516" t="s">
        <v>2606</v>
      </c>
      <c r="C516" t="s">
        <v>2607</v>
      </c>
      <c r="D516" s="1">
        <v>43328</v>
      </c>
      <c r="E516" s="2">
        <v>43336.191944444443</v>
      </c>
      <c r="F516" s="2">
        <v>43336.191944444443</v>
      </c>
      <c r="G516">
        <v>44109</v>
      </c>
      <c r="H516" t="s">
        <v>2608</v>
      </c>
      <c r="I516" s="10" t="s">
        <v>2609</v>
      </c>
      <c r="J516" t="s">
        <v>2610</v>
      </c>
      <c r="K516" s="8" t="b">
        <v>1</v>
      </c>
      <c r="L516" s="10" t="b">
        <v>0</v>
      </c>
      <c r="M516" s="12" t="b">
        <v>0</v>
      </c>
      <c r="N516" t="b">
        <v>0</v>
      </c>
      <c r="O516" t="b">
        <v>0</v>
      </c>
      <c r="P516" t="b">
        <v>0</v>
      </c>
      <c r="Q516">
        <f t="shared" si="993"/>
        <v>5</v>
      </c>
      <c r="R516">
        <f t="shared" si="994"/>
        <v>8</v>
      </c>
      <c r="S516" t="e">
        <f t="shared" ca="1" si="1024"/>
        <v>#NAME?</v>
      </c>
      <c r="T516" t="e">
        <f t="shared" ca="1" si="995"/>
        <v>#NAME?</v>
      </c>
      <c r="U516" s="4">
        <f t="shared" si="996"/>
        <v>8.1919444444429246</v>
      </c>
      <c r="V516" s="4">
        <f t="shared" si="997"/>
        <v>0.27306481481476413</v>
      </c>
      <c r="W516" s="4">
        <f t="shared" si="998"/>
        <v>1</v>
      </c>
      <c r="X516" s="4">
        <f t="shared" si="999"/>
        <v>0</v>
      </c>
      <c r="Y516" s="4">
        <f t="shared" si="1000"/>
        <v>0</v>
      </c>
      <c r="Z516" s="4">
        <f t="shared" si="1001"/>
        <v>0</v>
      </c>
      <c r="AA516" s="4">
        <f t="shared" si="1002"/>
        <v>0</v>
      </c>
      <c r="AB516" s="4">
        <f t="shared" si="1003"/>
        <v>0</v>
      </c>
      <c r="AC516" s="4"/>
      <c r="AD516" s="4" t="b">
        <f t="shared" si="1004"/>
        <v>0</v>
      </c>
      <c r="AE516" s="4" t="b">
        <f t="shared" si="1005"/>
        <v>0</v>
      </c>
      <c r="AF516" s="4" t="b">
        <f t="shared" si="1006"/>
        <v>0</v>
      </c>
      <c r="AG516" t="b">
        <f t="shared" si="1007"/>
        <v>0</v>
      </c>
      <c r="AH516" t="b">
        <f t="shared" si="1008"/>
        <v>0</v>
      </c>
      <c r="AI516" t="b">
        <f t="shared" si="1009"/>
        <v>0</v>
      </c>
      <c r="AJ516" t="b">
        <f t="shared" si="1010"/>
        <v>0</v>
      </c>
      <c r="AK516" t="b">
        <f t="shared" si="1011"/>
        <v>0</v>
      </c>
      <c r="AL516" t="b">
        <f t="shared" si="1012"/>
        <v>0</v>
      </c>
      <c r="AM516" t="b">
        <f t="shared" si="1013"/>
        <v>0</v>
      </c>
      <c r="AN516" t="b">
        <f t="shared" si="1014"/>
        <v>0</v>
      </c>
      <c r="AO516" t="b">
        <f t="shared" si="1015"/>
        <v>0</v>
      </c>
      <c r="AP516" t="b">
        <f t="shared" si="1016"/>
        <v>0</v>
      </c>
      <c r="AQ516" t="b">
        <f t="shared" si="1017"/>
        <v>0</v>
      </c>
      <c r="AR516" t="b">
        <f t="shared" si="1018"/>
        <v>0</v>
      </c>
      <c r="AS516" t="b">
        <f t="shared" si="1019"/>
        <v>0</v>
      </c>
      <c r="AT516" t="b">
        <f t="shared" si="1020"/>
        <v>0</v>
      </c>
      <c r="AU516" t="b">
        <f t="shared" si="1021"/>
        <v>0</v>
      </c>
      <c r="AV516" t="b">
        <f t="shared" si="1022"/>
        <v>0</v>
      </c>
      <c r="AW516" t="b">
        <f t="shared" si="1023"/>
        <v>0</v>
      </c>
      <c r="AX516" t="b">
        <f t="shared" si="1025"/>
        <v>0</v>
      </c>
      <c r="AY516" t="b">
        <f t="shared" si="1026"/>
        <v>0</v>
      </c>
      <c r="AZ516" t="b">
        <f t="shared" si="1027"/>
        <v>0</v>
      </c>
      <c r="BA516" t="b">
        <f t="shared" si="1028"/>
        <v>0</v>
      </c>
      <c r="BB516">
        <f t="shared" si="1029"/>
        <v>1</v>
      </c>
      <c r="BC516" t="b">
        <f t="shared" si="1030"/>
        <v>0</v>
      </c>
      <c r="BD516" t="b">
        <f t="shared" si="1031"/>
        <v>0</v>
      </c>
      <c r="BE516" t="b">
        <f t="shared" si="1032"/>
        <v>0</v>
      </c>
      <c r="BF516" t="b">
        <f t="shared" si="1033"/>
        <v>0</v>
      </c>
      <c r="BG516" t="b">
        <f t="shared" si="1034"/>
        <v>0</v>
      </c>
      <c r="BH516" t="b">
        <f t="shared" si="1035"/>
        <v>0</v>
      </c>
      <c r="BI516">
        <f t="shared" si="1036"/>
        <v>1</v>
      </c>
      <c r="BJ516" t="b">
        <f t="shared" si="1037"/>
        <v>0</v>
      </c>
      <c r="BK516" t="b">
        <f t="shared" si="1038"/>
        <v>0</v>
      </c>
      <c r="BL516" t="b">
        <f t="shared" si="1039"/>
        <v>0</v>
      </c>
      <c r="BM516" t="b">
        <f t="shared" si="1040"/>
        <v>0</v>
      </c>
      <c r="BN516" t="b">
        <f t="shared" si="1041"/>
        <v>0</v>
      </c>
      <c r="BO516" t="b">
        <f t="shared" si="1042"/>
        <v>0</v>
      </c>
      <c r="BP516" t="b">
        <f t="shared" si="1043"/>
        <v>0</v>
      </c>
      <c r="BQ516" t="b">
        <f t="shared" si="1044"/>
        <v>0</v>
      </c>
      <c r="BR516" t="b">
        <f t="shared" si="1045"/>
        <v>0</v>
      </c>
      <c r="BS516">
        <f t="shared" si="1046"/>
        <v>1</v>
      </c>
      <c r="BT516" t="b">
        <f t="shared" si="1047"/>
        <v>0</v>
      </c>
      <c r="BU516" t="b">
        <f t="shared" si="1048"/>
        <v>0</v>
      </c>
      <c r="BV516" t="b">
        <f t="shared" si="1049"/>
        <v>0</v>
      </c>
      <c r="BW516" t="b">
        <f t="shared" si="1050"/>
        <v>0</v>
      </c>
      <c r="BX516" t="b">
        <f t="shared" si="1051"/>
        <v>0</v>
      </c>
      <c r="BY516" t="b">
        <f t="shared" si="1052"/>
        <v>0</v>
      </c>
      <c r="BZ516" t="b">
        <f t="shared" si="1053"/>
        <v>0</v>
      </c>
      <c r="CA516">
        <f t="shared" si="1054"/>
        <v>1</v>
      </c>
      <c r="CB516" t="b">
        <f t="shared" si="1055"/>
        <v>0</v>
      </c>
      <c r="CC516" t="b">
        <f t="shared" si="1056"/>
        <v>0</v>
      </c>
      <c r="CD516" t="b">
        <f t="shared" si="1057"/>
        <v>0</v>
      </c>
      <c r="CE516">
        <f t="shared" si="1058"/>
        <v>1</v>
      </c>
      <c r="CF516" t="b">
        <f t="shared" si="1059"/>
        <v>0</v>
      </c>
      <c r="CG516" t="b">
        <f t="shared" si="1060"/>
        <v>0</v>
      </c>
      <c r="CH516" t="b">
        <f t="shared" si="1061"/>
        <v>0</v>
      </c>
      <c r="CI516" t="b">
        <f t="shared" si="1062"/>
        <v>0</v>
      </c>
      <c r="CJ516" t="b">
        <f t="shared" si="1063"/>
        <v>0</v>
      </c>
      <c r="CK516" t="b">
        <f t="shared" si="1064"/>
        <v>0</v>
      </c>
      <c r="CL516" t="b">
        <f t="shared" si="1065"/>
        <v>0</v>
      </c>
      <c r="CM516">
        <f t="shared" si="1066"/>
        <v>1</v>
      </c>
      <c r="CN516" t="b">
        <f t="shared" si="1067"/>
        <v>0</v>
      </c>
      <c r="CO516" t="b">
        <f t="shared" si="1068"/>
        <v>0</v>
      </c>
      <c r="CP516" t="b">
        <f t="shared" si="1069"/>
        <v>0</v>
      </c>
      <c r="CQ516" t="b">
        <f t="shared" si="1070"/>
        <v>0</v>
      </c>
      <c r="CR516" t="b">
        <f t="shared" si="1071"/>
        <v>0</v>
      </c>
      <c r="CS516" t="b">
        <f t="shared" si="1072"/>
        <v>0</v>
      </c>
      <c r="CT516" t="b">
        <f t="shared" si="1073"/>
        <v>0</v>
      </c>
      <c r="CU516" t="b">
        <f t="shared" si="1074"/>
        <v>0</v>
      </c>
      <c r="CV516">
        <f t="shared" si="1075"/>
        <v>1</v>
      </c>
      <c r="CW516" t="b">
        <f t="shared" si="1076"/>
        <v>0</v>
      </c>
      <c r="CX516" t="b">
        <f t="shared" si="1077"/>
        <v>0</v>
      </c>
      <c r="CY516" t="b">
        <f t="shared" si="1078"/>
        <v>0</v>
      </c>
      <c r="CZ516" t="b">
        <f t="shared" si="1079"/>
        <v>0</v>
      </c>
      <c r="DA516" t="b">
        <f t="shared" si="1080"/>
        <v>0</v>
      </c>
      <c r="DB516" t="b">
        <f t="shared" si="1081"/>
        <v>0</v>
      </c>
      <c r="DC516" t="b">
        <f t="shared" si="1082"/>
        <v>0</v>
      </c>
      <c r="DD516" t="b">
        <f t="shared" si="1083"/>
        <v>0</v>
      </c>
      <c r="DE516" t="b">
        <f t="shared" si="1084"/>
        <v>0</v>
      </c>
      <c r="DF516" t="b">
        <f t="shared" si="1085"/>
        <v>0</v>
      </c>
      <c r="DG516" t="b">
        <f t="shared" si="1086"/>
        <v>0</v>
      </c>
      <c r="DH516" t="b">
        <f t="shared" si="1087"/>
        <v>0</v>
      </c>
      <c r="DI516" t="b">
        <f t="shared" si="1088"/>
        <v>0</v>
      </c>
      <c r="DJ516" t="b">
        <f t="shared" si="1089"/>
        <v>0</v>
      </c>
      <c r="DK516" t="b">
        <f t="shared" si="1090"/>
        <v>0</v>
      </c>
      <c r="DL516" t="b">
        <f t="shared" si="1091"/>
        <v>0</v>
      </c>
      <c r="DM516" t="b">
        <f t="shared" si="1092"/>
        <v>0</v>
      </c>
      <c r="DN516" t="b">
        <f t="shared" si="1093"/>
        <v>0</v>
      </c>
      <c r="DO516" t="b">
        <f t="shared" si="1094"/>
        <v>0</v>
      </c>
      <c r="DP516" t="b">
        <f t="shared" si="1095"/>
        <v>0</v>
      </c>
      <c r="DQ516" t="b">
        <f t="shared" si="1096"/>
        <v>0</v>
      </c>
      <c r="DR516" t="b">
        <f t="shared" si="1097"/>
        <v>0</v>
      </c>
      <c r="DS516" t="b">
        <f t="shared" si="1098"/>
        <v>0</v>
      </c>
      <c r="DT516" t="b">
        <f t="shared" si="1099"/>
        <v>0</v>
      </c>
      <c r="DU516" t="b">
        <f t="shared" si="1100"/>
        <v>0</v>
      </c>
      <c r="DV516" t="b">
        <f t="shared" si="1101"/>
        <v>0</v>
      </c>
      <c r="DW516">
        <f t="shared" si="1102"/>
        <v>1</v>
      </c>
      <c r="DX516" t="b">
        <f t="shared" si="1103"/>
        <v>0</v>
      </c>
      <c r="DY516" t="b">
        <f t="shared" si="1104"/>
        <v>0</v>
      </c>
      <c r="DZ516" t="b">
        <f t="shared" si="1105"/>
        <v>0</v>
      </c>
      <c r="EA516" t="b">
        <f t="shared" si="1106"/>
        <v>0</v>
      </c>
      <c r="EB516" t="b">
        <f t="shared" si="1107"/>
        <v>0</v>
      </c>
      <c r="EC516" t="b">
        <f t="shared" si="1108"/>
        <v>0</v>
      </c>
      <c r="ED516" t="b">
        <f t="shared" si="1109"/>
        <v>0</v>
      </c>
      <c r="EE516" t="b">
        <f t="shared" si="1110"/>
        <v>0</v>
      </c>
      <c r="EF516" t="b">
        <f t="shared" si="1111"/>
        <v>0</v>
      </c>
      <c r="EG516" t="b">
        <f t="shared" si="1112"/>
        <v>0</v>
      </c>
      <c r="EH516" t="b">
        <f t="shared" si="1113"/>
        <v>0</v>
      </c>
      <c r="EI516" t="b">
        <f t="shared" si="1114"/>
        <v>0</v>
      </c>
      <c r="EJ516" t="b">
        <f t="shared" si="1115"/>
        <v>0</v>
      </c>
      <c r="EK516" t="b">
        <f t="shared" si="1116"/>
        <v>0</v>
      </c>
    </row>
    <row r="517" spans="1:141">
      <c r="A517" t="s">
        <v>2611</v>
      </c>
      <c r="B517" t="s">
        <v>2611</v>
      </c>
      <c r="C517" t="s">
        <v>2612</v>
      </c>
      <c r="D517" s="1">
        <v>42440</v>
      </c>
      <c r="E517" s="2">
        <v>43013.165856481479</v>
      </c>
      <c r="F517" s="2">
        <v>43013.165856481479</v>
      </c>
      <c r="G517">
        <v>26815</v>
      </c>
      <c r="H517" t="s">
        <v>2613</v>
      </c>
      <c r="I517" s="10" t="s">
        <v>2614</v>
      </c>
      <c r="J517" t="s">
        <v>2615</v>
      </c>
      <c r="K517" s="8" t="b">
        <v>1</v>
      </c>
      <c r="L517" s="10" t="b">
        <v>0</v>
      </c>
      <c r="M517" s="12" t="b">
        <v>0</v>
      </c>
      <c r="N517" t="b">
        <v>0</v>
      </c>
      <c r="O517" t="b">
        <v>0</v>
      </c>
      <c r="P517" t="b">
        <v>0</v>
      </c>
      <c r="Q517">
        <f t="shared" si="993"/>
        <v>6</v>
      </c>
      <c r="R517">
        <f t="shared" si="994"/>
        <v>3</v>
      </c>
      <c r="S517" t="e">
        <f t="shared" ca="1" si="1024"/>
        <v>#NAME?</v>
      </c>
      <c r="T517" t="e">
        <f t="shared" ca="1" si="995"/>
        <v>#NAME?</v>
      </c>
      <c r="U517" s="4">
        <f t="shared" si="996"/>
        <v>573.16585648147884</v>
      </c>
      <c r="V517" s="4">
        <f t="shared" si="997"/>
        <v>19.10552854938263</v>
      </c>
      <c r="W517" s="4">
        <f t="shared" si="998"/>
        <v>1</v>
      </c>
      <c r="X517" s="4">
        <f t="shared" si="999"/>
        <v>0</v>
      </c>
      <c r="Y517" s="4">
        <f t="shared" si="1000"/>
        <v>0</v>
      </c>
      <c r="Z517" s="4">
        <f t="shared" si="1001"/>
        <v>0</v>
      </c>
      <c r="AA517" s="4">
        <f t="shared" si="1002"/>
        <v>0</v>
      </c>
      <c r="AB517" s="4">
        <f t="shared" si="1003"/>
        <v>0</v>
      </c>
      <c r="AC517" s="4"/>
      <c r="AD517" s="4" t="b">
        <f t="shared" si="1004"/>
        <v>0</v>
      </c>
      <c r="AE517" s="4" t="b">
        <f t="shared" si="1005"/>
        <v>0</v>
      </c>
      <c r="AF517" s="4" t="b">
        <f t="shared" si="1006"/>
        <v>0</v>
      </c>
      <c r="AG517" t="b">
        <f t="shared" si="1007"/>
        <v>0</v>
      </c>
      <c r="AH517" t="b">
        <f t="shared" si="1008"/>
        <v>0</v>
      </c>
      <c r="AI517" t="b">
        <f t="shared" si="1009"/>
        <v>0</v>
      </c>
      <c r="AJ517" t="b">
        <f t="shared" si="1010"/>
        <v>0</v>
      </c>
      <c r="AK517" t="b">
        <f t="shared" si="1011"/>
        <v>0</v>
      </c>
      <c r="AL517" t="b">
        <f t="shared" si="1012"/>
        <v>0</v>
      </c>
      <c r="AM517" t="b">
        <f t="shared" si="1013"/>
        <v>0</v>
      </c>
      <c r="AN517" t="b">
        <f t="shared" si="1014"/>
        <v>0</v>
      </c>
      <c r="AO517" t="b">
        <f t="shared" si="1015"/>
        <v>0</v>
      </c>
      <c r="AP517" t="b">
        <f t="shared" si="1016"/>
        <v>0</v>
      </c>
      <c r="AQ517" t="b">
        <f t="shared" si="1017"/>
        <v>0</v>
      </c>
      <c r="AR517" t="b">
        <f t="shared" si="1018"/>
        <v>0</v>
      </c>
      <c r="AS517" t="b">
        <f t="shared" si="1019"/>
        <v>0</v>
      </c>
      <c r="AT517" t="b">
        <f t="shared" si="1020"/>
        <v>0</v>
      </c>
      <c r="AU517" t="b">
        <f t="shared" si="1021"/>
        <v>0</v>
      </c>
      <c r="AV517">
        <f t="shared" si="1022"/>
        <v>1</v>
      </c>
      <c r="AW517" t="b">
        <f t="shared" si="1023"/>
        <v>0</v>
      </c>
      <c r="AX517" t="b">
        <f t="shared" si="1025"/>
        <v>0</v>
      </c>
      <c r="AY517" t="b">
        <f t="shared" si="1026"/>
        <v>0</v>
      </c>
      <c r="AZ517" t="b">
        <f t="shared" si="1027"/>
        <v>0</v>
      </c>
      <c r="BA517" t="b">
        <f t="shared" si="1028"/>
        <v>0</v>
      </c>
      <c r="BB517" t="b">
        <f t="shared" si="1029"/>
        <v>0</v>
      </c>
      <c r="BC517" t="b">
        <f t="shared" si="1030"/>
        <v>0</v>
      </c>
      <c r="BD517" t="b">
        <f t="shared" si="1031"/>
        <v>0</v>
      </c>
      <c r="BE517" t="b">
        <f t="shared" si="1032"/>
        <v>0</v>
      </c>
      <c r="BF517" t="b">
        <f t="shared" si="1033"/>
        <v>0</v>
      </c>
      <c r="BG517" t="b">
        <f t="shared" si="1034"/>
        <v>0</v>
      </c>
      <c r="BH517" t="b">
        <f t="shared" si="1035"/>
        <v>0</v>
      </c>
      <c r="BI517">
        <f t="shared" si="1036"/>
        <v>1</v>
      </c>
      <c r="BJ517" t="b">
        <f t="shared" si="1037"/>
        <v>0</v>
      </c>
      <c r="BK517" t="b">
        <f t="shared" si="1038"/>
        <v>0</v>
      </c>
      <c r="BL517" t="b">
        <f t="shared" si="1039"/>
        <v>0</v>
      </c>
      <c r="BM517" t="b">
        <f t="shared" si="1040"/>
        <v>0</v>
      </c>
      <c r="BN517" t="b">
        <f t="shared" si="1041"/>
        <v>0</v>
      </c>
      <c r="BO517" t="b">
        <f t="shared" si="1042"/>
        <v>0</v>
      </c>
      <c r="BP517" t="b">
        <f t="shared" si="1043"/>
        <v>0</v>
      </c>
      <c r="BQ517" t="b">
        <f t="shared" si="1044"/>
        <v>0</v>
      </c>
      <c r="BR517" t="b">
        <f t="shared" si="1045"/>
        <v>0</v>
      </c>
      <c r="BS517" t="b">
        <f t="shared" si="1046"/>
        <v>0</v>
      </c>
      <c r="BT517" t="b">
        <f t="shared" si="1047"/>
        <v>0</v>
      </c>
      <c r="BU517" t="b">
        <f t="shared" si="1048"/>
        <v>0</v>
      </c>
      <c r="BV517" t="b">
        <f t="shared" si="1049"/>
        <v>0</v>
      </c>
      <c r="BW517" t="b">
        <f t="shared" si="1050"/>
        <v>0</v>
      </c>
      <c r="BX517" t="b">
        <f t="shared" si="1051"/>
        <v>0</v>
      </c>
      <c r="BY517" t="b">
        <f t="shared" si="1052"/>
        <v>0</v>
      </c>
      <c r="BZ517" t="b">
        <f t="shared" si="1053"/>
        <v>0</v>
      </c>
      <c r="CA517" t="b">
        <f t="shared" si="1054"/>
        <v>0</v>
      </c>
      <c r="CB517" t="b">
        <f t="shared" si="1055"/>
        <v>0</v>
      </c>
      <c r="CC517" t="b">
        <f t="shared" si="1056"/>
        <v>0</v>
      </c>
      <c r="CD517" t="b">
        <f t="shared" si="1057"/>
        <v>0</v>
      </c>
      <c r="CE517">
        <f t="shared" si="1058"/>
        <v>1</v>
      </c>
      <c r="CF517" t="b">
        <f t="shared" si="1059"/>
        <v>0</v>
      </c>
      <c r="CG517" t="b">
        <f t="shared" si="1060"/>
        <v>0</v>
      </c>
      <c r="CH517" t="b">
        <f t="shared" si="1061"/>
        <v>0</v>
      </c>
      <c r="CI517" t="b">
        <f t="shared" si="1062"/>
        <v>0</v>
      </c>
      <c r="CJ517" t="b">
        <f t="shared" si="1063"/>
        <v>0</v>
      </c>
      <c r="CK517" t="b">
        <f t="shared" si="1064"/>
        <v>0</v>
      </c>
      <c r="CL517" t="b">
        <f t="shared" si="1065"/>
        <v>0</v>
      </c>
      <c r="CM517" t="b">
        <f t="shared" si="1066"/>
        <v>0</v>
      </c>
      <c r="CN517" t="b">
        <f t="shared" si="1067"/>
        <v>0</v>
      </c>
      <c r="CO517" t="b">
        <f t="shared" si="1068"/>
        <v>0</v>
      </c>
      <c r="CP517" t="b">
        <f t="shared" si="1069"/>
        <v>0</v>
      </c>
      <c r="CQ517" t="b">
        <f t="shared" si="1070"/>
        <v>0</v>
      </c>
      <c r="CR517" t="b">
        <f t="shared" si="1071"/>
        <v>0</v>
      </c>
      <c r="CS517" t="b">
        <f t="shared" si="1072"/>
        <v>0</v>
      </c>
      <c r="CT517" t="b">
        <f t="shared" si="1073"/>
        <v>0</v>
      </c>
      <c r="CU517" t="b">
        <f t="shared" si="1074"/>
        <v>0</v>
      </c>
      <c r="CV517">
        <f t="shared" si="1075"/>
        <v>1</v>
      </c>
      <c r="CW517" t="b">
        <f t="shared" si="1076"/>
        <v>0</v>
      </c>
      <c r="CX517" t="b">
        <f t="shared" si="1077"/>
        <v>0</v>
      </c>
      <c r="CY517" t="b">
        <f t="shared" si="1078"/>
        <v>0</v>
      </c>
      <c r="CZ517" t="b">
        <f t="shared" si="1079"/>
        <v>0</v>
      </c>
      <c r="DA517" t="b">
        <f t="shared" si="1080"/>
        <v>0</v>
      </c>
      <c r="DB517" t="b">
        <f t="shared" si="1081"/>
        <v>0</v>
      </c>
      <c r="DC517" t="b">
        <f t="shared" si="1082"/>
        <v>0</v>
      </c>
      <c r="DD517" t="b">
        <f t="shared" si="1083"/>
        <v>0</v>
      </c>
      <c r="DE517" t="b">
        <f t="shared" si="1084"/>
        <v>0</v>
      </c>
      <c r="DF517" t="b">
        <f t="shared" si="1085"/>
        <v>0</v>
      </c>
      <c r="DG517" t="b">
        <f t="shared" si="1086"/>
        <v>0</v>
      </c>
      <c r="DH517" t="b">
        <f t="shared" si="1087"/>
        <v>0</v>
      </c>
      <c r="DI517" t="b">
        <f t="shared" si="1088"/>
        <v>0</v>
      </c>
      <c r="DJ517" t="b">
        <f t="shared" si="1089"/>
        <v>0</v>
      </c>
      <c r="DK517" t="b">
        <f t="shared" si="1090"/>
        <v>0</v>
      </c>
      <c r="DL517" t="b">
        <f t="shared" si="1091"/>
        <v>0</v>
      </c>
      <c r="DM517" t="b">
        <f t="shared" si="1092"/>
        <v>0</v>
      </c>
      <c r="DN517" t="b">
        <f t="shared" si="1093"/>
        <v>0</v>
      </c>
      <c r="DO517" t="b">
        <f t="shared" si="1094"/>
        <v>0</v>
      </c>
      <c r="DP517" t="b">
        <f t="shared" si="1095"/>
        <v>0</v>
      </c>
      <c r="DQ517" t="b">
        <f t="shared" si="1096"/>
        <v>0</v>
      </c>
      <c r="DR517" t="b">
        <f t="shared" si="1097"/>
        <v>0</v>
      </c>
      <c r="DS517" t="b">
        <f t="shared" si="1098"/>
        <v>0</v>
      </c>
      <c r="DT517" t="b">
        <f t="shared" si="1099"/>
        <v>0</v>
      </c>
      <c r="DU517" t="b">
        <f t="shared" si="1100"/>
        <v>0</v>
      </c>
      <c r="DV517" t="b">
        <f t="shared" si="1101"/>
        <v>0</v>
      </c>
      <c r="DW517" t="b">
        <f t="shared" si="1102"/>
        <v>0</v>
      </c>
      <c r="DX517" t="b">
        <f t="shared" si="1103"/>
        <v>0</v>
      </c>
      <c r="DY517" t="b">
        <f t="shared" si="1104"/>
        <v>0</v>
      </c>
      <c r="DZ517" t="b">
        <f t="shared" si="1105"/>
        <v>0</v>
      </c>
      <c r="EA517" t="b">
        <f t="shared" si="1106"/>
        <v>0</v>
      </c>
      <c r="EB517" t="b">
        <f t="shared" si="1107"/>
        <v>0</v>
      </c>
      <c r="EC517" t="b">
        <f t="shared" si="1108"/>
        <v>0</v>
      </c>
      <c r="ED517" t="b">
        <f t="shared" si="1109"/>
        <v>0</v>
      </c>
      <c r="EE517" t="b">
        <f t="shared" si="1110"/>
        <v>0</v>
      </c>
      <c r="EF517">
        <f t="shared" si="1111"/>
        <v>1</v>
      </c>
      <c r="EG517" t="b">
        <f t="shared" si="1112"/>
        <v>0</v>
      </c>
      <c r="EH517" t="b">
        <f t="shared" si="1113"/>
        <v>0</v>
      </c>
      <c r="EI517" t="b">
        <f t="shared" si="1114"/>
        <v>0</v>
      </c>
      <c r="EJ517" t="b">
        <f t="shared" si="1115"/>
        <v>0</v>
      </c>
      <c r="EK517" t="b">
        <f t="shared" si="1116"/>
        <v>0</v>
      </c>
    </row>
    <row r="518" spans="1:141">
      <c r="A518" t="s">
        <v>2616</v>
      </c>
      <c r="B518" t="s">
        <v>2616</v>
      </c>
      <c r="C518" t="s">
        <v>2617</v>
      </c>
      <c r="D518" s="1">
        <v>42061</v>
      </c>
      <c r="E518" s="2">
        <v>42105.274837962963</v>
      </c>
      <c r="F518" s="2">
        <v>42105.274837962963</v>
      </c>
      <c r="G518">
        <v>139395</v>
      </c>
      <c r="H518" t="s">
        <v>2618</v>
      </c>
      <c r="I518" s="10" t="s">
        <v>2619</v>
      </c>
      <c r="J518" t="s">
        <v>2620</v>
      </c>
      <c r="K518" s="8" t="b">
        <v>1</v>
      </c>
      <c r="L518" s="10" t="b">
        <v>0</v>
      </c>
      <c r="M518" s="12" t="b">
        <v>0</v>
      </c>
      <c r="N518" t="b">
        <v>0</v>
      </c>
      <c r="O518" t="b">
        <v>0</v>
      </c>
      <c r="P518" t="b">
        <v>0</v>
      </c>
      <c r="Q518">
        <f t="shared" si="993"/>
        <v>5</v>
      </c>
      <c r="R518">
        <f t="shared" si="994"/>
        <v>2</v>
      </c>
      <c r="S518" t="e">
        <f t="shared" ca="1" si="1024"/>
        <v>#NAME?</v>
      </c>
      <c r="T518" t="e">
        <f t="shared" ca="1" si="995"/>
        <v>#NAME?</v>
      </c>
      <c r="U518" s="4">
        <f t="shared" si="996"/>
        <v>44.27483796296292</v>
      </c>
      <c r="V518" s="4">
        <f t="shared" si="997"/>
        <v>1.475827932098764</v>
      </c>
      <c r="W518" s="4">
        <f t="shared" si="998"/>
        <v>1</v>
      </c>
      <c r="X518" s="4">
        <f t="shared" si="999"/>
        <v>0</v>
      </c>
      <c r="Y518" s="4">
        <f t="shared" si="1000"/>
        <v>0</v>
      </c>
      <c r="Z518" s="4">
        <f t="shared" si="1001"/>
        <v>0</v>
      </c>
      <c r="AA518" s="4">
        <f t="shared" si="1002"/>
        <v>0</v>
      </c>
      <c r="AB518" s="4">
        <f t="shared" si="1003"/>
        <v>0</v>
      </c>
      <c r="AC518" s="4"/>
      <c r="AD518" s="4" t="b">
        <f t="shared" si="1004"/>
        <v>0</v>
      </c>
      <c r="AE518" s="4" t="b">
        <f t="shared" si="1005"/>
        <v>0</v>
      </c>
      <c r="AF518" s="4" t="b">
        <f t="shared" si="1006"/>
        <v>0</v>
      </c>
      <c r="AG518" t="b">
        <f t="shared" si="1007"/>
        <v>0</v>
      </c>
      <c r="AH518" t="b">
        <f t="shared" si="1008"/>
        <v>0</v>
      </c>
      <c r="AI518" t="b">
        <f t="shared" si="1009"/>
        <v>0</v>
      </c>
      <c r="AJ518" t="b">
        <f t="shared" si="1010"/>
        <v>0</v>
      </c>
      <c r="AK518" t="b">
        <f t="shared" si="1011"/>
        <v>0</v>
      </c>
      <c r="AL518" t="b">
        <f t="shared" si="1012"/>
        <v>0</v>
      </c>
      <c r="AM518" t="b">
        <f t="shared" si="1013"/>
        <v>0</v>
      </c>
      <c r="AN518" t="b">
        <f t="shared" si="1014"/>
        <v>0</v>
      </c>
      <c r="AO518" t="b">
        <f t="shared" si="1015"/>
        <v>0</v>
      </c>
      <c r="AP518" t="b">
        <f t="shared" si="1016"/>
        <v>0</v>
      </c>
      <c r="AQ518" t="b">
        <f t="shared" si="1017"/>
        <v>0</v>
      </c>
      <c r="AR518" t="b">
        <f t="shared" si="1018"/>
        <v>0</v>
      </c>
      <c r="AS518" t="b">
        <f t="shared" si="1019"/>
        <v>0</v>
      </c>
      <c r="AT518" t="b">
        <f t="shared" si="1020"/>
        <v>0</v>
      </c>
      <c r="AU518" t="b">
        <f t="shared" si="1021"/>
        <v>0</v>
      </c>
      <c r="AV518" t="b">
        <f t="shared" si="1022"/>
        <v>0</v>
      </c>
      <c r="AW518" t="b">
        <f t="shared" si="1023"/>
        <v>0</v>
      </c>
      <c r="AX518" t="b">
        <f t="shared" si="1025"/>
        <v>0</v>
      </c>
      <c r="AY518" t="b">
        <f t="shared" si="1026"/>
        <v>0</v>
      </c>
      <c r="AZ518">
        <f t="shared" si="1027"/>
        <v>1</v>
      </c>
      <c r="BA518" t="b">
        <f t="shared" si="1028"/>
        <v>0</v>
      </c>
      <c r="BB518" t="b">
        <f t="shared" si="1029"/>
        <v>0</v>
      </c>
      <c r="BC518" t="b">
        <f t="shared" si="1030"/>
        <v>0</v>
      </c>
      <c r="BD518" t="b">
        <f t="shared" si="1031"/>
        <v>0</v>
      </c>
      <c r="BE518" t="b">
        <f t="shared" si="1032"/>
        <v>0</v>
      </c>
      <c r="BF518" t="b">
        <f t="shared" si="1033"/>
        <v>0</v>
      </c>
      <c r="BG518" t="b">
        <f t="shared" si="1034"/>
        <v>0</v>
      </c>
      <c r="BH518" t="b">
        <f t="shared" si="1035"/>
        <v>0</v>
      </c>
      <c r="BI518">
        <f t="shared" si="1036"/>
        <v>1</v>
      </c>
      <c r="BJ518" t="b">
        <f t="shared" si="1037"/>
        <v>0</v>
      </c>
      <c r="BK518" t="b">
        <f t="shared" si="1038"/>
        <v>0</v>
      </c>
      <c r="BL518" t="b">
        <f t="shared" si="1039"/>
        <v>0</v>
      </c>
      <c r="BM518" t="b">
        <f t="shared" si="1040"/>
        <v>0</v>
      </c>
      <c r="BN518" t="b">
        <f t="shared" si="1041"/>
        <v>0</v>
      </c>
      <c r="BO518" t="b">
        <f t="shared" si="1042"/>
        <v>0</v>
      </c>
      <c r="BP518" t="b">
        <f t="shared" si="1043"/>
        <v>0</v>
      </c>
      <c r="BQ518" t="b">
        <f t="shared" si="1044"/>
        <v>0</v>
      </c>
      <c r="BR518">
        <f t="shared" si="1045"/>
        <v>1</v>
      </c>
      <c r="BS518" t="b">
        <f t="shared" si="1046"/>
        <v>0</v>
      </c>
      <c r="BT518" t="b">
        <f t="shared" si="1047"/>
        <v>0</v>
      </c>
      <c r="BU518" t="b">
        <f t="shared" si="1048"/>
        <v>0</v>
      </c>
      <c r="BV518" t="b">
        <f t="shared" si="1049"/>
        <v>0</v>
      </c>
      <c r="BW518" t="b">
        <f t="shared" si="1050"/>
        <v>0</v>
      </c>
      <c r="BX518" t="b">
        <f t="shared" si="1051"/>
        <v>0</v>
      </c>
      <c r="BY518" t="b">
        <f t="shared" si="1052"/>
        <v>0</v>
      </c>
      <c r="BZ518" t="b">
        <f t="shared" si="1053"/>
        <v>0</v>
      </c>
      <c r="CA518" t="b">
        <f t="shared" si="1054"/>
        <v>0</v>
      </c>
      <c r="CB518" t="b">
        <f t="shared" si="1055"/>
        <v>0</v>
      </c>
      <c r="CC518" t="b">
        <f t="shared" si="1056"/>
        <v>0</v>
      </c>
      <c r="CD518" t="b">
        <f t="shared" si="1057"/>
        <v>0</v>
      </c>
      <c r="CE518">
        <f t="shared" si="1058"/>
        <v>1</v>
      </c>
      <c r="CF518" t="b">
        <f t="shared" si="1059"/>
        <v>0</v>
      </c>
      <c r="CG518" t="b">
        <f t="shared" si="1060"/>
        <v>0</v>
      </c>
      <c r="CH518" t="b">
        <f t="shared" si="1061"/>
        <v>0</v>
      </c>
      <c r="CI518" t="b">
        <f t="shared" si="1062"/>
        <v>0</v>
      </c>
      <c r="CJ518">
        <f t="shared" si="1063"/>
        <v>1</v>
      </c>
      <c r="CK518" t="b">
        <f t="shared" si="1064"/>
        <v>0</v>
      </c>
      <c r="CL518" t="b">
        <f t="shared" si="1065"/>
        <v>0</v>
      </c>
      <c r="CM518">
        <f t="shared" si="1066"/>
        <v>1</v>
      </c>
      <c r="CN518" t="b">
        <f t="shared" si="1067"/>
        <v>0</v>
      </c>
      <c r="CO518" t="b">
        <f t="shared" si="1068"/>
        <v>0</v>
      </c>
      <c r="CP518" t="b">
        <f t="shared" si="1069"/>
        <v>0</v>
      </c>
      <c r="CQ518" t="b">
        <f t="shared" si="1070"/>
        <v>0</v>
      </c>
      <c r="CR518" t="b">
        <f t="shared" si="1071"/>
        <v>0</v>
      </c>
      <c r="CS518" t="b">
        <f t="shared" si="1072"/>
        <v>0</v>
      </c>
      <c r="CT518" t="b">
        <f t="shared" si="1073"/>
        <v>0</v>
      </c>
      <c r="CU518">
        <f t="shared" si="1074"/>
        <v>1</v>
      </c>
      <c r="CV518">
        <f t="shared" si="1075"/>
        <v>1</v>
      </c>
      <c r="CW518" t="b">
        <f t="shared" si="1076"/>
        <v>0</v>
      </c>
      <c r="CX518" t="b">
        <f t="shared" si="1077"/>
        <v>0</v>
      </c>
      <c r="CY518" t="b">
        <f t="shared" si="1078"/>
        <v>0</v>
      </c>
      <c r="CZ518" t="b">
        <f t="shared" si="1079"/>
        <v>0</v>
      </c>
      <c r="DA518">
        <f t="shared" si="1080"/>
        <v>1</v>
      </c>
      <c r="DB518" t="b">
        <f t="shared" si="1081"/>
        <v>0</v>
      </c>
      <c r="DC518" t="b">
        <f t="shared" si="1082"/>
        <v>0</v>
      </c>
      <c r="DD518" t="b">
        <f t="shared" si="1083"/>
        <v>0</v>
      </c>
      <c r="DE518" t="b">
        <f t="shared" si="1084"/>
        <v>0</v>
      </c>
      <c r="DF518" t="b">
        <f t="shared" si="1085"/>
        <v>0</v>
      </c>
      <c r="DG518" t="b">
        <f t="shared" si="1086"/>
        <v>0</v>
      </c>
      <c r="DH518" t="b">
        <f t="shared" si="1087"/>
        <v>0</v>
      </c>
      <c r="DI518" t="b">
        <f t="shared" si="1088"/>
        <v>0</v>
      </c>
      <c r="DJ518" t="b">
        <f t="shared" si="1089"/>
        <v>0</v>
      </c>
      <c r="DK518" t="b">
        <f t="shared" si="1090"/>
        <v>0</v>
      </c>
      <c r="DL518" t="b">
        <f t="shared" si="1091"/>
        <v>0</v>
      </c>
      <c r="DM518" t="b">
        <f t="shared" si="1092"/>
        <v>0</v>
      </c>
      <c r="DN518" t="b">
        <f t="shared" si="1093"/>
        <v>0</v>
      </c>
      <c r="DO518" t="b">
        <f t="shared" si="1094"/>
        <v>0</v>
      </c>
      <c r="DP518" t="b">
        <f t="shared" si="1095"/>
        <v>0</v>
      </c>
      <c r="DQ518" t="b">
        <f t="shared" si="1096"/>
        <v>0</v>
      </c>
      <c r="DR518" t="b">
        <f t="shared" si="1097"/>
        <v>0</v>
      </c>
      <c r="DS518" t="b">
        <f t="shared" si="1098"/>
        <v>0</v>
      </c>
      <c r="DT518" t="b">
        <f t="shared" si="1099"/>
        <v>0</v>
      </c>
      <c r="DU518" t="b">
        <f t="shared" si="1100"/>
        <v>0</v>
      </c>
      <c r="DV518" t="b">
        <f t="shared" si="1101"/>
        <v>0</v>
      </c>
      <c r="DW518" t="b">
        <f t="shared" si="1102"/>
        <v>0</v>
      </c>
      <c r="DX518" t="b">
        <f t="shared" si="1103"/>
        <v>0</v>
      </c>
      <c r="DY518" t="b">
        <f t="shared" si="1104"/>
        <v>0</v>
      </c>
      <c r="DZ518" t="b">
        <f t="shared" si="1105"/>
        <v>0</v>
      </c>
      <c r="EA518" t="b">
        <f t="shared" si="1106"/>
        <v>0</v>
      </c>
      <c r="EB518" t="b">
        <f t="shared" si="1107"/>
        <v>0</v>
      </c>
      <c r="EC518" t="b">
        <f t="shared" si="1108"/>
        <v>0</v>
      </c>
      <c r="ED518" t="b">
        <f t="shared" si="1109"/>
        <v>0</v>
      </c>
      <c r="EE518" t="b">
        <f t="shared" si="1110"/>
        <v>0</v>
      </c>
      <c r="EF518" t="b">
        <f t="shared" si="1111"/>
        <v>0</v>
      </c>
      <c r="EG518" t="b">
        <f t="shared" si="1112"/>
        <v>0</v>
      </c>
      <c r="EH518" t="b">
        <f t="shared" si="1113"/>
        <v>0</v>
      </c>
      <c r="EI518" t="b">
        <f t="shared" si="1114"/>
        <v>0</v>
      </c>
      <c r="EJ518" t="b">
        <f t="shared" si="1115"/>
        <v>0</v>
      </c>
      <c r="EK518" t="b">
        <f t="shared" si="1116"/>
        <v>0</v>
      </c>
    </row>
    <row r="519" spans="1:141">
      <c r="A519" t="s">
        <v>2621</v>
      </c>
      <c r="B519" t="s">
        <v>2622</v>
      </c>
      <c r="C519" t="s">
        <v>2623</v>
      </c>
      <c r="D519" s="1">
        <v>44348</v>
      </c>
      <c r="E519" s="2">
        <v>44803.117013888892</v>
      </c>
      <c r="F519" s="2">
        <v>44803.121608796297</v>
      </c>
      <c r="G519">
        <v>7455386</v>
      </c>
      <c r="H519" t="s">
        <v>2624</v>
      </c>
      <c r="I519" s="10" t="s">
        <v>2625</v>
      </c>
      <c r="J519" t="s">
        <v>2626</v>
      </c>
      <c r="K519" s="8" t="b">
        <v>1</v>
      </c>
      <c r="L519" s="10" t="b">
        <v>0</v>
      </c>
      <c r="M519" s="12" t="b">
        <v>0</v>
      </c>
      <c r="N519" t="b">
        <v>0</v>
      </c>
      <c r="O519" t="b">
        <v>0</v>
      </c>
      <c r="P519" t="b">
        <v>0</v>
      </c>
      <c r="Q519">
        <f t="shared" si="993"/>
        <v>3</v>
      </c>
      <c r="R519">
        <f t="shared" si="994"/>
        <v>6</v>
      </c>
      <c r="S519" t="e">
        <f t="shared" ca="1" si="1024"/>
        <v>#NAME?</v>
      </c>
      <c r="T519" t="e">
        <f t="shared" ca="1" si="995"/>
        <v>#NAME?</v>
      </c>
      <c r="U519" s="4">
        <f t="shared" si="996"/>
        <v>455.11701388889196</v>
      </c>
      <c r="V519" s="4">
        <f t="shared" si="997"/>
        <v>15.170567129629733</v>
      </c>
      <c r="W519" s="4">
        <f t="shared" si="998"/>
        <v>1</v>
      </c>
      <c r="X519" s="4">
        <f t="shared" si="999"/>
        <v>0</v>
      </c>
      <c r="Y519" s="4">
        <f t="shared" si="1000"/>
        <v>0</v>
      </c>
      <c r="Z519" s="4">
        <f t="shared" si="1001"/>
        <v>0</v>
      </c>
      <c r="AA519" s="4">
        <f t="shared" si="1002"/>
        <v>0</v>
      </c>
      <c r="AB519" s="4">
        <f t="shared" si="1003"/>
        <v>0</v>
      </c>
      <c r="AC519" s="4"/>
      <c r="AD519" s="4" t="b">
        <f t="shared" si="1004"/>
        <v>0</v>
      </c>
      <c r="AE519" s="4" t="b">
        <f t="shared" si="1005"/>
        <v>0</v>
      </c>
      <c r="AF519" s="4" t="b">
        <f t="shared" si="1006"/>
        <v>0</v>
      </c>
      <c r="AG519" t="b">
        <f t="shared" si="1007"/>
        <v>0</v>
      </c>
      <c r="AH519" t="b">
        <f t="shared" si="1008"/>
        <v>0</v>
      </c>
      <c r="AI519" t="b">
        <f t="shared" si="1009"/>
        <v>0</v>
      </c>
      <c r="AJ519" t="b">
        <f t="shared" si="1010"/>
        <v>0</v>
      </c>
      <c r="AK519" t="b">
        <f t="shared" si="1011"/>
        <v>0</v>
      </c>
      <c r="AL519" t="b">
        <f t="shared" si="1012"/>
        <v>0</v>
      </c>
      <c r="AM519" t="b">
        <f t="shared" si="1013"/>
        <v>0</v>
      </c>
      <c r="AN519" t="b">
        <f t="shared" si="1014"/>
        <v>0</v>
      </c>
      <c r="AO519" t="b">
        <f t="shared" si="1015"/>
        <v>0</v>
      </c>
      <c r="AP519" t="b">
        <f t="shared" si="1016"/>
        <v>0</v>
      </c>
      <c r="AQ519" t="b">
        <f t="shared" si="1017"/>
        <v>0</v>
      </c>
      <c r="AR519" t="b">
        <f t="shared" si="1018"/>
        <v>0</v>
      </c>
      <c r="AS519" t="b">
        <f t="shared" si="1019"/>
        <v>0</v>
      </c>
      <c r="AT519" t="b">
        <f t="shared" si="1020"/>
        <v>0</v>
      </c>
      <c r="AU519" t="b">
        <f t="shared" si="1021"/>
        <v>0</v>
      </c>
      <c r="AV519" t="b">
        <f t="shared" si="1022"/>
        <v>0</v>
      </c>
      <c r="AW519" t="b">
        <f t="shared" si="1023"/>
        <v>0</v>
      </c>
      <c r="AX519" t="b">
        <f t="shared" si="1025"/>
        <v>0</v>
      </c>
      <c r="AY519" t="b">
        <f t="shared" si="1026"/>
        <v>0</v>
      </c>
      <c r="AZ519" t="b">
        <f t="shared" si="1027"/>
        <v>0</v>
      </c>
      <c r="BA519" t="b">
        <f t="shared" si="1028"/>
        <v>0</v>
      </c>
      <c r="BB519" t="b">
        <f t="shared" si="1029"/>
        <v>0</v>
      </c>
      <c r="BC519" t="b">
        <f t="shared" si="1030"/>
        <v>0</v>
      </c>
      <c r="BD519" t="b">
        <f t="shared" si="1031"/>
        <v>0</v>
      </c>
      <c r="BE519" t="b">
        <f t="shared" si="1032"/>
        <v>0</v>
      </c>
      <c r="BF519" t="b">
        <f t="shared" si="1033"/>
        <v>0</v>
      </c>
      <c r="BG519" t="b">
        <f t="shared" si="1034"/>
        <v>0</v>
      </c>
      <c r="BH519" t="b">
        <f t="shared" si="1035"/>
        <v>0</v>
      </c>
      <c r="BI519">
        <f t="shared" si="1036"/>
        <v>1</v>
      </c>
      <c r="BJ519" t="b">
        <f t="shared" si="1037"/>
        <v>0</v>
      </c>
      <c r="BK519" t="b">
        <f t="shared" si="1038"/>
        <v>0</v>
      </c>
      <c r="BL519" t="b">
        <f t="shared" si="1039"/>
        <v>0</v>
      </c>
      <c r="BM519" t="b">
        <f t="shared" si="1040"/>
        <v>0</v>
      </c>
      <c r="BN519" t="b">
        <f t="shared" si="1041"/>
        <v>0</v>
      </c>
      <c r="BO519" t="b">
        <f t="shared" si="1042"/>
        <v>0</v>
      </c>
      <c r="BP519" t="b">
        <f t="shared" si="1043"/>
        <v>0</v>
      </c>
      <c r="BQ519" t="b">
        <f t="shared" si="1044"/>
        <v>0</v>
      </c>
      <c r="BR519" t="b">
        <f t="shared" si="1045"/>
        <v>0</v>
      </c>
      <c r="BS519">
        <f t="shared" si="1046"/>
        <v>1</v>
      </c>
      <c r="BT519" t="b">
        <f t="shared" si="1047"/>
        <v>0</v>
      </c>
      <c r="BU519" t="b">
        <f t="shared" si="1048"/>
        <v>0</v>
      </c>
      <c r="BV519" t="b">
        <f t="shared" si="1049"/>
        <v>0</v>
      </c>
      <c r="BW519" t="b">
        <f t="shared" si="1050"/>
        <v>0</v>
      </c>
      <c r="BX519" t="b">
        <f t="shared" si="1051"/>
        <v>0</v>
      </c>
      <c r="BY519" t="b">
        <f t="shared" si="1052"/>
        <v>0</v>
      </c>
      <c r="BZ519" t="b">
        <f t="shared" si="1053"/>
        <v>0</v>
      </c>
      <c r="CA519" t="b">
        <f t="shared" si="1054"/>
        <v>0</v>
      </c>
      <c r="CB519" t="b">
        <f t="shared" si="1055"/>
        <v>0</v>
      </c>
      <c r="CC519" t="b">
        <f t="shared" si="1056"/>
        <v>0</v>
      </c>
      <c r="CD519" t="b">
        <f t="shared" si="1057"/>
        <v>0</v>
      </c>
      <c r="CE519" t="b">
        <f t="shared" si="1058"/>
        <v>0</v>
      </c>
      <c r="CF519" t="b">
        <f t="shared" si="1059"/>
        <v>0</v>
      </c>
      <c r="CG519" t="b">
        <f t="shared" si="1060"/>
        <v>0</v>
      </c>
      <c r="CH519" t="b">
        <f t="shared" si="1061"/>
        <v>0</v>
      </c>
      <c r="CI519" t="b">
        <f t="shared" si="1062"/>
        <v>0</v>
      </c>
      <c r="CJ519" t="b">
        <f t="shared" si="1063"/>
        <v>0</v>
      </c>
      <c r="CK519" t="b">
        <f t="shared" si="1064"/>
        <v>0</v>
      </c>
      <c r="CL519" t="b">
        <f t="shared" si="1065"/>
        <v>0</v>
      </c>
      <c r="CM519">
        <f t="shared" si="1066"/>
        <v>1</v>
      </c>
      <c r="CN519" t="b">
        <f t="shared" si="1067"/>
        <v>0</v>
      </c>
      <c r="CO519" t="b">
        <f t="shared" si="1068"/>
        <v>0</v>
      </c>
      <c r="CP519" t="b">
        <f t="shared" si="1069"/>
        <v>0</v>
      </c>
      <c r="CQ519" t="b">
        <f t="shared" si="1070"/>
        <v>0</v>
      </c>
      <c r="CR519" t="b">
        <f t="shared" si="1071"/>
        <v>0</v>
      </c>
      <c r="CS519" t="b">
        <f t="shared" si="1072"/>
        <v>0</v>
      </c>
      <c r="CT519" t="b">
        <f t="shared" si="1073"/>
        <v>0</v>
      </c>
      <c r="CU519" t="b">
        <f t="shared" si="1074"/>
        <v>0</v>
      </c>
      <c r="CV519">
        <f t="shared" si="1075"/>
        <v>1</v>
      </c>
      <c r="CW519" t="b">
        <f t="shared" si="1076"/>
        <v>0</v>
      </c>
      <c r="CX519" t="b">
        <f t="shared" si="1077"/>
        <v>0</v>
      </c>
      <c r="CY519" t="b">
        <f t="shared" si="1078"/>
        <v>0</v>
      </c>
      <c r="CZ519" t="b">
        <f t="shared" si="1079"/>
        <v>0</v>
      </c>
      <c r="DA519" t="b">
        <f t="shared" si="1080"/>
        <v>0</v>
      </c>
      <c r="DB519" t="b">
        <f t="shared" si="1081"/>
        <v>0</v>
      </c>
      <c r="DC519" t="b">
        <f t="shared" si="1082"/>
        <v>0</v>
      </c>
      <c r="DD519" t="b">
        <f t="shared" si="1083"/>
        <v>0</v>
      </c>
      <c r="DE519" t="b">
        <f t="shared" si="1084"/>
        <v>0</v>
      </c>
      <c r="DF519" t="b">
        <f t="shared" si="1085"/>
        <v>0</v>
      </c>
      <c r="DG519" t="b">
        <f t="shared" si="1086"/>
        <v>0</v>
      </c>
      <c r="DH519" t="b">
        <f t="shared" si="1087"/>
        <v>0</v>
      </c>
      <c r="DI519" t="b">
        <f t="shared" si="1088"/>
        <v>0</v>
      </c>
      <c r="DJ519" t="b">
        <f t="shared" si="1089"/>
        <v>0</v>
      </c>
      <c r="DK519" t="b">
        <f t="shared" si="1090"/>
        <v>0</v>
      </c>
      <c r="DL519" t="b">
        <f t="shared" si="1091"/>
        <v>0</v>
      </c>
      <c r="DM519" t="b">
        <f t="shared" si="1092"/>
        <v>0</v>
      </c>
      <c r="DN519" t="b">
        <f t="shared" si="1093"/>
        <v>0</v>
      </c>
      <c r="DO519" t="b">
        <f t="shared" si="1094"/>
        <v>0</v>
      </c>
      <c r="DP519" t="b">
        <f t="shared" si="1095"/>
        <v>0</v>
      </c>
      <c r="DQ519" t="b">
        <f t="shared" si="1096"/>
        <v>0</v>
      </c>
      <c r="DR519" t="b">
        <f t="shared" si="1097"/>
        <v>0</v>
      </c>
      <c r="DS519" t="b">
        <f t="shared" si="1098"/>
        <v>0</v>
      </c>
      <c r="DT519" t="b">
        <f t="shared" si="1099"/>
        <v>0</v>
      </c>
      <c r="DU519" t="b">
        <f t="shared" si="1100"/>
        <v>0</v>
      </c>
      <c r="DV519" t="b">
        <f t="shared" si="1101"/>
        <v>0</v>
      </c>
      <c r="DW519" t="b">
        <f t="shared" si="1102"/>
        <v>0</v>
      </c>
      <c r="DX519" t="b">
        <f t="shared" si="1103"/>
        <v>0</v>
      </c>
      <c r="DY519" t="b">
        <f t="shared" si="1104"/>
        <v>0</v>
      </c>
      <c r="DZ519" t="b">
        <f t="shared" si="1105"/>
        <v>0</v>
      </c>
      <c r="EA519" t="b">
        <f t="shared" si="1106"/>
        <v>0</v>
      </c>
      <c r="EB519" t="b">
        <f t="shared" si="1107"/>
        <v>0</v>
      </c>
      <c r="EC519" t="b">
        <f t="shared" si="1108"/>
        <v>0</v>
      </c>
      <c r="ED519" t="b">
        <f t="shared" si="1109"/>
        <v>0</v>
      </c>
      <c r="EE519" t="b">
        <f t="shared" si="1110"/>
        <v>0</v>
      </c>
      <c r="EF519" t="b">
        <f t="shared" si="1111"/>
        <v>0</v>
      </c>
      <c r="EG519" t="b">
        <f t="shared" si="1112"/>
        <v>0</v>
      </c>
      <c r="EH519" t="b">
        <f t="shared" si="1113"/>
        <v>0</v>
      </c>
      <c r="EI519" t="b">
        <f t="shared" si="1114"/>
        <v>0</v>
      </c>
      <c r="EJ519" t="b">
        <f t="shared" si="1115"/>
        <v>0</v>
      </c>
      <c r="EK519" t="b">
        <f t="shared" si="1116"/>
        <v>0</v>
      </c>
    </row>
    <row r="520" spans="1:141">
      <c r="A520" t="s">
        <v>2627</v>
      </c>
      <c r="B520" t="s">
        <v>2627</v>
      </c>
      <c r="C520" t="s">
        <v>2628</v>
      </c>
      <c r="D520" s="1">
        <v>43748</v>
      </c>
      <c r="E520" s="2">
        <v>44134.979618055557</v>
      </c>
      <c r="F520" s="2">
        <v>44135.04246527778</v>
      </c>
      <c r="G520">
        <v>2192857</v>
      </c>
      <c r="H520" t="s">
        <v>2629</v>
      </c>
      <c r="I520" s="10" t="s">
        <v>2630</v>
      </c>
      <c r="J520" t="s">
        <v>2631</v>
      </c>
      <c r="K520" s="8" t="b">
        <v>1</v>
      </c>
      <c r="L520" s="10" t="b">
        <v>0</v>
      </c>
      <c r="M520" s="12" t="b">
        <v>0</v>
      </c>
      <c r="N520" t="b">
        <v>0</v>
      </c>
      <c r="O520" t="b">
        <v>0</v>
      </c>
      <c r="P520" t="b">
        <v>0</v>
      </c>
      <c r="Q520">
        <f t="shared" si="993"/>
        <v>5</v>
      </c>
      <c r="R520">
        <f t="shared" si="994"/>
        <v>10</v>
      </c>
      <c r="S520" t="e">
        <f t="shared" ca="1" si="1024"/>
        <v>#NAME?</v>
      </c>
      <c r="T520" t="e">
        <f t="shared" ca="1" si="995"/>
        <v>#NAME?</v>
      </c>
      <c r="U520" s="4">
        <f t="shared" si="996"/>
        <v>386.97961805555678</v>
      </c>
      <c r="V520" s="4">
        <f t="shared" si="997"/>
        <v>12.899320601851892</v>
      </c>
      <c r="W520" s="4">
        <f t="shared" si="998"/>
        <v>1</v>
      </c>
      <c r="X520" s="4">
        <f t="shared" si="999"/>
        <v>0</v>
      </c>
      <c r="Y520" s="4">
        <f t="shared" si="1000"/>
        <v>0</v>
      </c>
      <c r="Z520" s="4">
        <f t="shared" si="1001"/>
        <v>0</v>
      </c>
      <c r="AA520" s="4">
        <f t="shared" si="1002"/>
        <v>0</v>
      </c>
      <c r="AB520" s="4">
        <f t="shared" si="1003"/>
        <v>0</v>
      </c>
      <c r="AC520" s="4"/>
      <c r="AD520" s="4" t="b">
        <f t="shared" si="1004"/>
        <v>0</v>
      </c>
      <c r="AE520" s="4" t="b">
        <f t="shared" si="1005"/>
        <v>0</v>
      </c>
      <c r="AF520" s="4" t="b">
        <f t="shared" si="1006"/>
        <v>0</v>
      </c>
      <c r="AG520" t="b">
        <f t="shared" si="1007"/>
        <v>0</v>
      </c>
      <c r="AH520" t="b">
        <f t="shared" si="1008"/>
        <v>0</v>
      </c>
      <c r="AI520" t="b">
        <f t="shared" si="1009"/>
        <v>0</v>
      </c>
      <c r="AJ520" t="b">
        <f t="shared" si="1010"/>
        <v>0</v>
      </c>
      <c r="AK520" t="b">
        <f t="shared" si="1011"/>
        <v>0</v>
      </c>
      <c r="AL520" t="b">
        <f t="shared" si="1012"/>
        <v>0</v>
      </c>
      <c r="AM520" t="b">
        <f t="shared" si="1013"/>
        <v>0</v>
      </c>
      <c r="AN520" t="b">
        <f t="shared" si="1014"/>
        <v>0</v>
      </c>
      <c r="AO520" t="b">
        <f t="shared" si="1015"/>
        <v>0</v>
      </c>
      <c r="AP520" t="b">
        <f t="shared" si="1016"/>
        <v>0</v>
      </c>
      <c r="AQ520" t="b">
        <f t="shared" si="1017"/>
        <v>0</v>
      </c>
      <c r="AR520" t="b">
        <f t="shared" si="1018"/>
        <v>0</v>
      </c>
      <c r="AS520" t="b">
        <f t="shared" si="1019"/>
        <v>0</v>
      </c>
      <c r="AT520" t="b">
        <f t="shared" si="1020"/>
        <v>0</v>
      </c>
      <c r="AU520" t="b">
        <f t="shared" si="1021"/>
        <v>0</v>
      </c>
      <c r="AV520" t="b">
        <f t="shared" si="1022"/>
        <v>0</v>
      </c>
      <c r="AW520" t="b">
        <f t="shared" si="1023"/>
        <v>0</v>
      </c>
      <c r="AX520" t="b">
        <f t="shared" si="1025"/>
        <v>0</v>
      </c>
      <c r="AY520" t="b">
        <f t="shared" si="1026"/>
        <v>0</v>
      </c>
      <c r="AZ520">
        <f t="shared" si="1027"/>
        <v>1</v>
      </c>
      <c r="BA520" t="b">
        <f t="shared" si="1028"/>
        <v>0</v>
      </c>
      <c r="BB520" t="b">
        <f t="shared" si="1029"/>
        <v>0</v>
      </c>
      <c r="BC520" t="b">
        <f t="shared" si="1030"/>
        <v>0</v>
      </c>
      <c r="BD520" t="b">
        <f t="shared" si="1031"/>
        <v>0</v>
      </c>
      <c r="BE520" t="b">
        <f t="shared" si="1032"/>
        <v>0</v>
      </c>
      <c r="BF520" t="b">
        <f t="shared" si="1033"/>
        <v>0</v>
      </c>
      <c r="BG520" t="b">
        <f t="shared" si="1034"/>
        <v>0</v>
      </c>
      <c r="BH520" t="b">
        <f t="shared" si="1035"/>
        <v>0</v>
      </c>
      <c r="BI520">
        <f t="shared" si="1036"/>
        <v>1</v>
      </c>
      <c r="BJ520" t="b">
        <f t="shared" si="1037"/>
        <v>0</v>
      </c>
      <c r="BK520" t="b">
        <f t="shared" si="1038"/>
        <v>0</v>
      </c>
      <c r="BL520" t="b">
        <f t="shared" si="1039"/>
        <v>0</v>
      </c>
      <c r="BM520" t="b">
        <f t="shared" si="1040"/>
        <v>0</v>
      </c>
      <c r="BN520" t="b">
        <f t="shared" si="1041"/>
        <v>0</v>
      </c>
      <c r="BO520" t="b">
        <f t="shared" si="1042"/>
        <v>0</v>
      </c>
      <c r="BP520" t="b">
        <f t="shared" si="1043"/>
        <v>0</v>
      </c>
      <c r="BQ520" t="b">
        <f t="shared" si="1044"/>
        <v>0</v>
      </c>
      <c r="BR520">
        <f t="shared" si="1045"/>
        <v>1</v>
      </c>
      <c r="BS520" t="b">
        <f t="shared" si="1046"/>
        <v>0</v>
      </c>
      <c r="BT520" t="b">
        <f t="shared" si="1047"/>
        <v>0</v>
      </c>
      <c r="BU520" t="b">
        <f t="shared" si="1048"/>
        <v>0</v>
      </c>
      <c r="BV520" t="b">
        <f t="shared" si="1049"/>
        <v>0</v>
      </c>
      <c r="BW520" t="b">
        <f t="shared" si="1050"/>
        <v>0</v>
      </c>
      <c r="BX520" t="b">
        <f t="shared" si="1051"/>
        <v>0</v>
      </c>
      <c r="BY520" t="b">
        <f t="shared" si="1052"/>
        <v>0</v>
      </c>
      <c r="BZ520" t="b">
        <f t="shared" si="1053"/>
        <v>0</v>
      </c>
      <c r="CA520" t="b">
        <f t="shared" si="1054"/>
        <v>0</v>
      </c>
      <c r="CB520" t="b">
        <f t="shared" si="1055"/>
        <v>0</v>
      </c>
      <c r="CC520" t="b">
        <f t="shared" si="1056"/>
        <v>0</v>
      </c>
      <c r="CD520" t="b">
        <f t="shared" si="1057"/>
        <v>0</v>
      </c>
      <c r="CE520" t="b">
        <f t="shared" si="1058"/>
        <v>0</v>
      </c>
      <c r="CF520" t="b">
        <f t="shared" si="1059"/>
        <v>0</v>
      </c>
      <c r="CG520" t="b">
        <f t="shared" si="1060"/>
        <v>0</v>
      </c>
      <c r="CH520" t="b">
        <f t="shared" si="1061"/>
        <v>0</v>
      </c>
      <c r="CI520" t="b">
        <f t="shared" si="1062"/>
        <v>0</v>
      </c>
      <c r="CJ520" t="b">
        <f t="shared" si="1063"/>
        <v>0</v>
      </c>
      <c r="CK520" t="b">
        <f t="shared" si="1064"/>
        <v>0</v>
      </c>
      <c r="CL520" t="b">
        <f t="shared" si="1065"/>
        <v>0</v>
      </c>
      <c r="CM520">
        <f t="shared" si="1066"/>
        <v>1</v>
      </c>
      <c r="CN520" t="b">
        <f t="shared" si="1067"/>
        <v>0</v>
      </c>
      <c r="CO520" t="b">
        <f t="shared" si="1068"/>
        <v>0</v>
      </c>
      <c r="CP520" t="b">
        <f t="shared" si="1069"/>
        <v>0</v>
      </c>
      <c r="CQ520" t="b">
        <f t="shared" si="1070"/>
        <v>0</v>
      </c>
      <c r="CR520" t="b">
        <f t="shared" si="1071"/>
        <v>0</v>
      </c>
      <c r="CS520" t="b">
        <f t="shared" si="1072"/>
        <v>0</v>
      </c>
      <c r="CT520" t="b">
        <f t="shared" si="1073"/>
        <v>0</v>
      </c>
      <c r="CU520" t="b">
        <f t="shared" si="1074"/>
        <v>0</v>
      </c>
      <c r="CV520">
        <f t="shared" si="1075"/>
        <v>1</v>
      </c>
      <c r="CW520" t="b">
        <f t="shared" si="1076"/>
        <v>0</v>
      </c>
      <c r="CX520" t="b">
        <f t="shared" si="1077"/>
        <v>0</v>
      </c>
      <c r="CY520" t="b">
        <f t="shared" si="1078"/>
        <v>0</v>
      </c>
      <c r="CZ520" t="b">
        <f t="shared" si="1079"/>
        <v>0</v>
      </c>
      <c r="DA520" t="b">
        <f t="shared" si="1080"/>
        <v>0</v>
      </c>
      <c r="DB520">
        <f t="shared" si="1081"/>
        <v>1</v>
      </c>
      <c r="DC520" t="b">
        <f t="shared" si="1082"/>
        <v>0</v>
      </c>
      <c r="DD520" t="b">
        <f t="shared" si="1083"/>
        <v>0</v>
      </c>
      <c r="DE520" t="b">
        <f t="shared" si="1084"/>
        <v>0</v>
      </c>
      <c r="DF520" t="b">
        <f t="shared" si="1085"/>
        <v>0</v>
      </c>
      <c r="DG520" t="b">
        <f t="shared" si="1086"/>
        <v>0</v>
      </c>
      <c r="DH520" t="b">
        <f t="shared" si="1087"/>
        <v>0</v>
      </c>
      <c r="DI520" t="b">
        <f t="shared" si="1088"/>
        <v>0</v>
      </c>
      <c r="DJ520" t="b">
        <f t="shared" si="1089"/>
        <v>0</v>
      </c>
      <c r="DK520" t="b">
        <f t="shared" si="1090"/>
        <v>0</v>
      </c>
      <c r="DL520" t="b">
        <f t="shared" si="1091"/>
        <v>0</v>
      </c>
      <c r="DM520" t="b">
        <f t="shared" si="1092"/>
        <v>0</v>
      </c>
      <c r="DN520" t="b">
        <f t="shared" si="1093"/>
        <v>0</v>
      </c>
      <c r="DO520" t="b">
        <f t="shared" si="1094"/>
        <v>0</v>
      </c>
      <c r="DP520" t="b">
        <f t="shared" si="1095"/>
        <v>0</v>
      </c>
      <c r="DQ520" t="b">
        <f t="shared" si="1096"/>
        <v>0</v>
      </c>
      <c r="DR520" t="b">
        <f t="shared" si="1097"/>
        <v>0</v>
      </c>
      <c r="DS520" t="b">
        <f t="shared" si="1098"/>
        <v>0</v>
      </c>
      <c r="DT520" t="b">
        <f t="shared" si="1099"/>
        <v>0</v>
      </c>
      <c r="DU520" t="b">
        <f t="shared" si="1100"/>
        <v>0</v>
      </c>
      <c r="DV520" t="b">
        <f t="shared" si="1101"/>
        <v>0</v>
      </c>
      <c r="DW520" t="b">
        <f t="shared" si="1102"/>
        <v>0</v>
      </c>
      <c r="DX520" t="b">
        <f t="shared" si="1103"/>
        <v>0</v>
      </c>
      <c r="DY520" t="b">
        <f t="shared" si="1104"/>
        <v>0</v>
      </c>
      <c r="DZ520" t="b">
        <f t="shared" si="1105"/>
        <v>0</v>
      </c>
      <c r="EA520" t="b">
        <f t="shared" si="1106"/>
        <v>0</v>
      </c>
      <c r="EB520" t="b">
        <f t="shared" si="1107"/>
        <v>0</v>
      </c>
      <c r="EC520" t="b">
        <f t="shared" si="1108"/>
        <v>0</v>
      </c>
      <c r="ED520" t="b">
        <f t="shared" si="1109"/>
        <v>0</v>
      </c>
      <c r="EE520" t="b">
        <f t="shared" si="1110"/>
        <v>0</v>
      </c>
      <c r="EF520">
        <f t="shared" si="1111"/>
        <v>1</v>
      </c>
      <c r="EG520" t="b">
        <f t="shared" si="1112"/>
        <v>0</v>
      </c>
      <c r="EH520" t="b">
        <f t="shared" si="1113"/>
        <v>0</v>
      </c>
      <c r="EI520" t="b">
        <f t="shared" si="1114"/>
        <v>0</v>
      </c>
      <c r="EJ520" t="b">
        <f t="shared" si="1115"/>
        <v>0</v>
      </c>
      <c r="EK520" t="b">
        <f t="shared" si="1116"/>
        <v>0</v>
      </c>
    </row>
    <row r="521" spans="1:141">
      <c r="A521" t="s">
        <v>2632</v>
      </c>
      <c r="B521" t="s">
        <v>2633</v>
      </c>
      <c r="C521" t="s">
        <v>2634</v>
      </c>
      <c r="D521" s="1">
        <v>42803</v>
      </c>
      <c r="E521" s="2">
        <v>42807.425879629627</v>
      </c>
      <c r="F521" s="2">
        <v>42807.425879629627</v>
      </c>
      <c r="G521">
        <v>1619544</v>
      </c>
      <c r="H521" t="s">
        <v>2635</v>
      </c>
      <c r="I521" s="10" t="s">
        <v>2636</v>
      </c>
      <c r="J521" t="s">
        <v>2637</v>
      </c>
      <c r="K521" s="8" t="b">
        <v>1</v>
      </c>
      <c r="L521" s="10" t="b">
        <v>0</v>
      </c>
      <c r="M521" s="12" t="b">
        <v>0</v>
      </c>
      <c r="N521" t="b">
        <v>0</v>
      </c>
      <c r="O521" t="b">
        <v>0</v>
      </c>
      <c r="P521" t="b">
        <v>0</v>
      </c>
      <c r="Q521">
        <f t="shared" si="993"/>
        <v>5</v>
      </c>
      <c r="R521">
        <f t="shared" si="994"/>
        <v>3</v>
      </c>
      <c r="S521" t="e">
        <f t="shared" ca="1" si="1024"/>
        <v>#NAME?</v>
      </c>
      <c r="T521" t="e">
        <f t="shared" ca="1" si="995"/>
        <v>#NAME?</v>
      </c>
      <c r="U521" s="4">
        <f t="shared" si="996"/>
        <v>4.4258796296271612</v>
      </c>
      <c r="V521" s="4">
        <f t="shared" si="997"/>
        <v>0.14752932098757204</v>
      </c>
      <c r="W521" s="4">
        <f t="shared" si="998"/>
        <v>1</v>
      </c>
      <c r="X521" s="4">
        <f t="shared" si="999"/>
        <v>0</v>
      </c>
      <c r="Y521" s="4">
        <f t="shared" si="1000"/>
        <v>0</v>
      </c>
      <c r="Z521" s="4">
        <f t="shared" si="1001"/>
        <v>0</v>
      </c>
      <c r="AA521" s="4">
        <f t="shared" si="1002"/>
        <v>0</v>
      </c>
      <c r="AB521" s="4">
        <f t="shared" si="1003"/>
        <v>0</v>
      </c>
      <c r="AC521" s="4"/>
      <c r="AD521" s="4" t="b">
        <f t="shared" si="1004"/>
        <v>0</v>
      </c>
      <c r="AE521" s="4" t="b">
        <f t="shared" si="1005"/>
        <v>0</v>
      </c>
      <c r="AF521" s="4" t="b">
        <f t="shared" si="1006"/>
        <v>0</v>
      </c>
      <c r="AG521" t="b">
        <f t="shared" si="1007"/>
        <v>0</v>
      </c>
      <c r="AH521" t="b">
        <f t="shared" si="1008"/>
        <v>0</v>
      </c>
      <c r="AI521" t="b">
        <f t="shared" si="1009"/>
        <v>0</v>
      </c>
      <c r="AJ521" t="b">
        <f t="shared" si="1010"/>
        <v>0</v>
      </c>
      <c r="AK521" t="b">
        <f t="shared" si="1011"/>
        <v>0</v>
      </c>
      <c r="AL521" t="b">
        <f t="shared" si="1012"/>
        <v>0</v>
      </c>
      <c r="AM521" t="b">
        <f t="shared" si="1013"/>
        <v>0</v>
      </c>
      <c r="AN521" t="b">
        <f t="shared" si="1014"/>
        <v>0</v>
      </c>
      <c r="AO521" t="b">
        <f t="shared" si="1015"/>
        <v>0</v>
      </c>
      <c r="AP521" t="b">
        <f t="shared" si="1016"/>
        <v>0</v>
      </c>
      <c r="AQ521" t="b">
        <f t="shared" si="1017"/>
        <v>0</v>
      </c>
      <c r="AR521" t="b">
        <f t="shared" si="1018"/>
        <v>0</v>
      </c>
      <c r="AS521" t="b">
        <f t="shared" si="1019"/>
        <v>0</v>
      </c>
      <c r="AT521" t="b">
        <f t="shared" si="1020"/>
        <v>0</v>
      </c>
      <c r="AU521" t="b">
        <f t="shared" si="1021"/>
        <v>0</v>
      </c>
      <c r="AV521" t="b">
        <f t="shared" si="1022"/>
        <v>0</v>
      </c>
      <c r="AW521" t="b">
        <f t="shared" si="1023"/>
        <v>0</v>
      </c>
      <c r="AX521" t="b">
        <f t="shared" si="1025"/>
        <v>0</v>
      </c>
      <c r="AY521" t="b">
        <f t="shared" si="1026"/>
        <v>0</v>
      </c>
      <c r="AZ521">
        <f t="shared" si="1027"/>
        <v>1</v>
      </c>
      <c r="BA521" t="b">
        <f t="shared" si="1028"/>
        <v>0</v>
      </c>
      <c r="BB521" t="b">
        <f t="shared" si="1029"/>
        <v>0</v>
      </c>
      <c r="BC521" t="b">
        <f t="shared" si="1030"/>
        <v>0</v>
      </c>
      <c r="BD521" t="b">
        <f t="shared" si="1031"/>
        <v>0</v>
      </c>
      <c r="BE521" t="b">
        <f t="shared" si="1032"/>
        <v>0</v>
      </c>
      <c r="BF521" t="b">
        <f t="shared" si="1033"/>
        <v>0</v>
      </c>
      <c r="BG521" t="b">
        <f t="shared" si="1034"/>
        <v>0</v>
      </c>
      <c r="BH521" t="b">
        <f t="shared" si="1035"/>
        <v>0</v>
      </c>
      <c r="BI521">
        <f t="shared" si="1036"/>
        <v>1</v>
      </c>
      <c r="BJ521" t="b">
        <f t="shared" si="1037"/>
        <v>0</v>
      </c>
      <c r="BK521" t="b">
        <f t="shared" si="1038"/>
        <v>0</v>
      </c>
      <c r="BL521" t="b">
        <f t="shared" si="1039"/>
        <v>0</v>
      </c>
      <c r="BM521" t="b">
        <f t="shared" si="1040"/>
        <v>0</v>
      </c>
      <c r="BN521" t="b">
        <f t="shared" si="1041"/>
        <v>0</v>
      </c>
      <c r="BO521" t="b">
        <f t="shared" si="1042"/>
        <v>0</v>
      </c>
      <c r="BP521" t="b">
        <f t="shared" si="1043"/>
        <v>0</v>
      </c>
      <c r="BQ521" t="b">
        <f t="shared" si="1044"/>
        <v>0</v>
      </c>
      <c r="BR521">
        <f t="shared" si="1045"/>
        <v>1</v>
      </c>
      <c r="BS521" t="b">
        <f t="shared" si="1046"/>
        <v>0</v>
      </c>
      <c r="BT521" t="b">
        <f t="shared" si="1047"/>
        <v>0</v>
      </c>
      <c r="BU521" t="b">
        <f t="shared" si="1048"/>
        <v>0</v>
      </c>
      <c r="BV521" t="b">
        <f t="shared" si="1049"/>
        <v>0</v>
      </c>
      <c r="BW521" t="b">
        <f t="shared" si="1050"/>
        <v>0</v>
      </c>
      <c r="BX521" t="b">
        <f t="shared" si="1051"/>
        <v>0</v>
      </c>
      <c r="BY521" t="b">
        <f t="shared" si="1052"/>
        <v>0</v>
      </c>
      <c r="BZ521" t="b">
        <f t="shared" si="1053"/>
        <v>0</v>
      </c>
      <c r="CA521" t="b">
        <f t="shared" si="1054"/>
        <v>0</v>
      </c>
      <c r="CB521" t="b">
        <f t="shared" si="1055"/>
        <v>0</v>
      </c>
      <c r="CC521" t="b">
        <f t="shared" si="1056"/>
        <v>0</v>
      </c>
      <c r="CD521" t="b">
        <f t="shared" si="1057"/>
        <v>0</v>
      </c>
      <c r="CE521" t="b">
        <f t="shared" si="1058"/>
        <v>0</v>
      </c>
      <c r="CF521" t="b">
        <f t="shared" si="1059"/>
        <v>0</v>
      </c>
      <c r="CG521" t="b">
        <f t="shared" si="1060"/>
        <v>0</v>
      </c>
      <c r="CH521" t="b">
        <f t="shared" si="1061"/>
        <v>0</v>
      </c>
      <c r="CI521" t="b">
        <f t="shared" si="1062"/>
        <v>0</v>
      </c>
      <c r="CJ521" t="b">
        <f t="shared" si="1063"/>
        <v>0</v>
      </c>
      <c r="CK521" t="b">
        <f t="shared" si="1064"/>
        <v>0</v>
      </c>
      <c r="CL521" t="b">
        <f t="shared" si="1065"/>
        <v>0</v>
      </c>
      <c r="CM521">
        <f t="shared" si="1066"/>
        <v>1</v>
      </c>
      <c r="CN521" t="b">
        <f t="shared" si="1067"/>
        <v>0</v>
      </c>
      <c r="CO521" t="b">
        <f t="shared" si="1068"/>
        <v>0</v>
      </c>
      <c r="CP521" t="b">
        <f t="shared" si="1069"/>
        <v>0</v>
      </c>
      <c r="CQ521" t="b">
        <f t="shared" si="1070"/>
        <v>0</v>
      </c>
      <c r="CR521" t="b">
        <f t="shared" si="1071"/>
        <v>0</v>
      </c>
      <c r="CS521" t="b">
        <f t="shared" si="1072"/>
        <v>0</v>
      </c>
      <c r="CT521" t="b">
        <f t="shared" si="1073"/>
        <v>0</v>
      </c>
      <c r="CU521" t="b">
        <f t="shared" si="1074"/>
        <v>0</v>
      </c>
      <c r="CV521">
        <f t="shared" si="1075"/>
        <v>1</v>
      </c>
      <c r="CW521" t="b">
        <f t="shared" si="1076"/>
        <v>0</v>
      </c>
      <c r="CX521" t="b">
        <f t="shared" si="1077"/>
        <v>0</v>
      </c>
      <c r="CY521" t="b">
        <f t="shared" si="1078"/>
        <v>0</v>
      </c>
      <c r="CZ521" t="b">
        <f t="shared" si="1079"/>
        <v>0</v>
      </c>
      <c r="DA521">
        <f t="shared" si="1080"/>
        <v>1</v>
      </c>
      <c r="DB521">
        <f t="shared" si="1081"/>
        <v>1</v>
      </c>
      <c r="DC521" t="b">
        <f t="shared" si="1082"/>
        <v>0</v>
      </c>
      <c r="DD521" t="b">
        <f t="shared" si="1083"/>
        <v>0</v>
      </c>
      <c r="DE521" t="b">
        <f t="shared" si="1084"/>
        <v>0</v>
      </c>
      <c r="DF521" t="b">
        <f t="shared" si="1085"/>
        <v>0</v>
      </c>
      <c r="DG521" t="b">
        <f t="shared" si="1086"/>
        <v>0</v>
      </c>
      <c r="DH521" t="b">
        <f t="shared" si="1087"/>
        <v>0</v>
      </c>
      <c r="DI521" t="b">
        <f t="shared" si="1088"/>
        <v>0</v>
      </c>
      <c r="DJ521" t="b">
        <f t="shared" si="1089"/>
        <v>0</v>
      </c>
      <c r="DK521" t="b">
        <f t="shared" si="1090"/>
        <v>0</v>
      </c>
      <c r="DL521" t="b">
        <f t="shared" si="1091"/>
        <v>0</v>
      </c>
      <c r="DM521" t="b">
        <f t="shared" si="1092"/>
        <v>0</v>
      </c>
      <c r="DN521" t="b">
        <f t="shared" si="1093"/>
        <v>0</v>
      </c>
      <c r="DO521" t="b">
        <f t="shared" si="1094"/>
        <v>0</v>
      </c>
      <c r="DP521" t="b">
        <f t="shared" si="1095"/>
        <v>0</v>
      </c>
      <c r="DQ521" t="b">
        <f t="shared" si="1096"/>
        <v>0</v>
      </c>
      <c r="DR521" t="b">
        <f t="shared" si="1097"/>
        <v>0</v>
      </c>
      <c r="DS521" t="b">
        <f t="shared" si="1098"/>
        <v>0</v>
      </c>
      <c r="DT521" t="b">
        <f t="shared" si="1099"/>
        <v>0</v>
      </c>
      <c r="DU521" t="b">
        <f t="shared" si="1100"/>
        <v>0</v>
      </c>
      <c r="DV521" t="b">
        <f t="shared" si="1101"/>
        <v>0</v>
      </c>
      <c r="DW521" t="b">
        <f t="shared" si="1102"/>
        <v>0</v>
      </c>
      <c r="DX521" t="b">
        <f t="shared" si="1103"/>
        <v>0</v>
      </c>
      <c r="DY521" t="b">
        <f t="shared" si="1104"/>
        <v>0</v>
      </c>
      <c r="DZ521" t="b">
        <f t="shared" si="1105"/>
        <v>0</v>
      </c>
      <c r="EA521">
        <f t="shared" si="1106"/>
        <v>1</v>
      </c>
      <c r="EB521" t="b">
        <f t="shared" si="1107"/>
        <v>0</v>
      </c>
      <c r="EC521" t="b">
        <f t="shared" si="1108"/>
        <v>0</v>
      </c>
      <c r="ED521" t="b">
        <f t="shared" si="1109"/>
        <v>0</v>
      </c>
      <c r="EE521" t="b">
        <f t="shared" si="1110"/>
        <v>0</v>
      </c>
      <c r="EF521" t="b">
        <f t="shared" si="1111"/>
        <v>0</v>
      </c>
      <c r="EG521" t="b">
        <f t="shared" si="1112"/>
        <v>0</v>
      </c>
      <c r="EH521" t="b">
        <f t="shared" si="1113"/>
        <v>0</v>
      </c>
      <c r="EI521" t="b">
        <f t="shared" si="1114"/>
        <v>0</v>
      </c>
      <c r="EJ521" t="b">
        <f t="shared" si="1115"/>
        <v>0</v>
      </c>
      <c r="EK521" t="b">
        <f t="shared" si="1116"/>
        <v>0</v>
      </c>
    </row>
    <row r="522" spans="1:141">
      <c r="A522" t="s">
        <v>2638</v>
      </c>
      <c r="B522" t="s">
        <v>2638</v>
      </c>
      <c r="C522" t="s">
        <v>2639</v>
      </c>
      <c r="D522" s="1">
        <v>43672</v>
      </c>
      <c r="E522" s="2">
        <v>43687.6487037037</v>
      </c>
      <c r="F522" s="2">
        <v>43688.175127314818</v>
      </c>
      <c r="G522">
        <v>6840339</v>
      </c>
      <c r="H522" t="s">
        <v>2640</v>
      </c>
      <c r="I522" s="10" t="s">
        <v>2641</v>
      </c>
      <c r="J522" t="s">
        <v>2642</v>
      </c>
      <c r="K522" s="8" t="b">
        <v>1</v>
      </c>
      <c r="L522" s="10" t="b">
        <v>0</v>
      </c>
      <c r="M522" s="12" t="b">
        <v>0</v>
      </c>
      <c r="N522" t="b">
        <v>0</v>
      </c>
      <c r="O522" t="b">
        <v>0</v>
      </c>
      <c r="P522" t="b">
        <v>0</v>
      </c>
      <c r="Q522">
        <f t="shared" si="993"/>
        <v>6</v>
      </c>
      <c r="R522">
        <f t="shared" si="994"/>
        <v>7</v>
      </c>
      <c r="S522" t="e">
        <f t="shared" ca="1" si="1024"/>
        <v>#NAME?</v>
      </c>
      <c r="T522" t="e">
        <f t="shared" ca="1" si="995"/>
        <v>#NAME?</v>
      </c>
      <c r="U522" s="4">
        <f t="shared" si="996"/>
        <v>15.648703703700448</v>
      </c>
      <c r="V522" s="4">
        <f t="shared" si="997"/>
        <v>0.52162345679001498</v>
      </c>
      <c r="W522" s="4">
        <f t="shared" si="998"/>
        <v>1</v>
      </c>
      <c r="X522" s="4">
        <f t="shared" si="999"/>
        <v>0</v>
      </c>
      <c r="Y522" s="4">
        <f t="shared" si="1000"/>
        <v>0</v>
      </c>
      <c r="Z522" s="4">
        <f t="shared" si="1001"/>
        <v>0</v>
      </c>
      <c r="AA522" s="4">
        <f t="shared" si="1002"/>
        <v>0</v>
      </c>
      <c r="AB522" s="4">
        <f t="shared" si="1003"/>
        <v>0</v>
      </c>
      <c r="AC522" s="4"/>
      <c r="AD522" s="4" t="b">
        <f t="shared" si="1004"/>
        <v>0</v>
      </c>
      <c r="AE522" s="4" t="b">
        <f t="shared" si="1005"/>
        <v>0</v>
      </c>
      <c r="AF522" s="4" t="b">
        <f t="shared" si="1006"/>
        <v>0</v>
      </c>
      <c r="AG522" t="b">
        <f t="shared" si="1007"/>
        <v>0</v>
      </c>
      <c r="AH522" t="b">
        <f t="shared" si="1008"/>
        <v>0</v>
      </c>
      <c r="AI522" t="b">
        <f t="shared" si="1009"/>
        <v>0</v>
      </c>
      <c r="AJ522" t="b">
        <f t="shared" si="1010"/>
        <v>0</v>
      </c>
      <c r="AK522" t="b">
        <f t="shared" si="1011"/>
        <v>0</v>
      </c>
      <c r="AL522" t="b">
        <f t="shared" si="1012"/>
        <v>0</v>
      </c>
      <c r="AM522" t="b">
        <f t="shared" si="1013"/>
        <v>0</v>
      </c>
      <c r="AN522" t="b">
        <f t="shared" si="1014"/>
        <v>0</v>
      </c>
      <c r="AO522" t="b">
        <f t="shared" si="1015"/>
        <v>0</v>
      </c>
      <c r="AP522" t="b">
        <f t="shared" si="1016"/>
        <v>0</v>
      </c>
      <c r="AQ522" t="b">
        <f t="shared" si="1017"/>
        <v>0</v>
      </c>
      <c r="AR522" t="b">
        <f t="shared" si="1018"/>
        <v>0</v>
      </c>
      <c r="AS522" t="b">
        <f t="shared" si="1019"/>
        <v>0</v>
      </c>
      <c r="AT522" t="b">
        <f t="shared" si="1020"/>
        <v>0</v>
      </c>
      <c r="AU522" t="b">
        <f t="shared" si="1021"/>
        <v>0</v>
      </c>
      <c r="AV522" t="b">
        <f t="shared" si="1022"/>
        <v>0</v>
      </c>
      <c r="AW522" t="b">
        <f t="shared" si="1023"/>
        <v>0</v>
      </c>
      <c r="AX522" t="b">
        <f t="shared" si="1025"/>
        <v>0</v>
      </c>
      <c r="AY522" t="b">
        <f t="shared" si="1026"/>
        <v>0</v>
      </c>
      <c r="AZ522" t="b">
        <f t="shared" si="1027"/>
        <v>0</v>
      </c>
      <c r="BA522" t="b">
        <f t="shared" si="1028"/>
        <v>0</v>
      </c>
      <c r="BB522" t="b">
        <f t="shared" si="1029"/>
        <v>0</v>
      </c>
      <c r="BC522" t="b">
        <f t="shared" si="1030"/>
        <v>0</v>
      </c>
      <c r="BD522" t="b">
        <f t="shared" si="1031"/>
        <v>0</v>
      </c>
      <c r="BE522" t="b">
        <f t="shared" si="1032"/>
        <v>0</v>
      </c>
      <c r="BF522" t="b">
        <f t="shared" si="1033"/>
        <v>0</v>
      </c>
      <c r="BG522" t="b">
        <f t="shared" si="1034"/>
        <v>0</v>
      </c>
      <c r="BH522" t="b">
        <f t="shared" si="1035"/>
        <v>0</v>
      </c>
      <c r="BI522">
        <f t="shared" si="1036"/>
        <v>1</v>
      </c>
      <c r="BJ522" t="b">
        <f t="shared" si="1037"/>
        <v>0</v>
      </c>
      <c r="BK522" t="b">
        <f t="shared" si="1038"/>
        <v>0</v>
      </c>
      <c r="BL522" t="b">
        <f t="shared" si="1039"/>
        <v>0</v>
      </c>
      <c r="BM522" t="b">
        <f t="shared" si="1040"/>
        <v>0</v>
      </c>
      <c r="BN522" t="b">
        <f t="shared" si="1041"/>
        <v>0</v>
      </c>
      <c r="BO522" t="b">
        <f t="shared" si="1042"/>
        <v>0</v>
      </c>
      <c r="BP522" t="b">
        <f t="shared" si="1043"/>
        <v>0</v>
      </c>
      <c r="BQ522" t="b">
        <f t="shared" si="1044"/>
        <v>0</v>
      </c>
      <c r="BR522" t="b">
        <f t="shared" si="1045"/>
        <v>0</v>
      </c>
      <c r="BS522" t="b">
        <f t="shared" si="1046"/>
        <v>0</v>
      </c>
      <c r="BT522" t="b">
        <f t="shared" si="1047"/>
        <v>0</v>
      </c>
      <c r="BU522" t="b">
        <f t="shared" si="1048"/>
        <v>0</v>
      </c>
      <c r="BV522" t="b">
        <f t="shared" si="1049"/>
        <v>0</v>
      </c>
      <c r="BW522" t="b">
        <f t="shared" si="1050"/>
        <v>0</v>
      </c>
      <c r="BX522" t="b">
        <f t="shared" si="1051"/>
        <v>0</v>
      </c>
      <c r="BY522" t="b">
        <f t="shared" si="1052"/>
        <v>0</v>
      </c>
      <c r="BZ522" t="b">
        <f t="shared" si="1053"/>
        <v>0</v>
      </c>
      <c r="CA522" t="b">
        <f t="shared" si="1054"/>
        <v>0</v>
      </c>
      <c r="CB522" t="b">
        <f t="shared" si="1055"/>
        <v>0</v>
      </c>
      <c r="CC522" t="b">
        <f t="shared" si="1056"/>
        <v>0</v>
      </c>
      <c r="CD522" t="b">
        <f t="shared" si="1057"/>
        <v>0</v>
      </c>
      <c r="CE522" t="b">
        <f t="shared" si="1058"/>
        <v>0</v>
      </c>
      <c r="CF522" t="b">
        <f t="shared" si="1059"/>
        <v>0</v>
      </c>
      <c r="CG522" t="b">
        <f t="shared" si="1060"/>
        <v>0</v>
      </c>
      <c r="CH522" t="b">
        <f t="shared" si="1061"/>
        <v>0</v>
      </c>
      <c r="CI522" t="b">
        <f t="shared" si="1062"/>
        <v>0</v>
      </c>
      <c r="CJ522" t="b">
        <f t="shared" si="1063"/>
        <v>0</v>
      </c>
      <c r="CK522" t="b">
        <f t="shared" si="1064"/>
        <v>0</v>
      </c>
      <c r="CL522" t="b">
        <f t="shared" si="1065"/>
        <v>0</v>
      </c>
      <c r="CM522">
        <f t="shared" si="1066"/>
        <v>1</v>
      </c>
      <c r="CN522" t="b">
        <f t="shared" si="1067"/>
        <v>0</v>
      </c>
      <c r="CO522" t="b">
        <f t="shared" si="1068"/>
        <v>0</v>
      </c>
      <c r="CP522" t="b">
        <f t="shared" si="1069"/>
        <v>0</v>
      </c>
      <c r="CQ522" t="b">
        <f t="shared" si="1070"/>
        <v>0</v>
      </c>
      <c r="CR522" t="b">
        <f t="shared" si="1071"/>
        <v>0</v>
      </c>
      <c r="CS522" t="b">
        <f t="shared" si="1072"/>
        <v>0</v>
      </c>
      <c r="CT522" t="b">
        <f t="shared" si="1073"/>
        <v>0</v>
      </c>
      <c r="CU522" t="b">
        <f t="shared" si="1074"/>
        <v>0</v>
      </c>
      <c r="CV522">
        <f t="shared" si="1075"/>
        <v>1</v>
      </c>
      <c r="CW522" t="b">
        <f t="shared" si="1076"/>
        <v>0</v>
      </c>
      <c r="CX522" t="b">
        <f t="shared" si="1077"/>
        <v>0</v>
      </c>
      <c r="CY522" t="b">
        <f t="shared" si="1078"/>
        <v>0</v>
      </c>
      <c r="CZ522" t="b">
        <f t="shared" si="1079"/>
        <v>0</v>
      </c>
      <c r="DA522" t="b">
        <f t="shared" si="1080"/>
        <v>0</v>
      </c>
      <c r="DB522">
        <f t="shared" si="1081"/>
        <v>1</v>
      </c>
      <c r="DC522" t="b">
        <f t="shared" si="1082"/>
        <v>0</v>
      </c>
      <c r="DD522" t="b">
        <f t="shared" si="1083"/>
        <v>0</v>
      </c>
      <c r="DE522" t="b">
        <f t="shared" si="1084"/>
        <v>0</v>
      </c>
      <c r="DF522" t="b">
        <f t="shared" si="1085"/>
        <v>0</v>
      </c>
      <c r="DG522" t="b">
        <f t="shared" si="1086"/>
        <v>0</v>
      </c>
      <c r="DH522" t="b">
        <f t="shared" si="1087"/>
        <v>0</v>
      </c>
      <c r="DI522" t="b">
        <f t="shared" si="1088"/>
        <v>0</v>
      </c>
      <c r="DJ522">
        <f t="shared" si="1089"/>
        <v>1</v>
      </c>
      <c r="DK522" t="b">
        <f t="shared" si="1090"/>
        <v>0</v>
      </c>
      <c r="DL522" t="b">
        <f t="shared" si="1091"/>
        <v>0</v>
      </c>
      <c r="DM522" t="b">
        <f t="shared" si="1092"/>
        <v>0</v>
      </c>
      <c r="DN522" t="b">
        <f t="shared" si="1093"/>
        <v>0</v>
      </c>
      <c r="DO522" t="b">
        <f t="shared" si="1094"/>
        <v>0</v>
      </c>
      <c r="DP522" t="b">
        <f t="shared" si="1095"/>
        <v>0</v>
      </c>
      <c r="DQ522" t="b">
        <f t="shared" si="1096"/>
        <v>0</v>
      </c>
      <c r="DR522" t="b">
        <f t="shared" si="1097"/>
        <v>0</v>
      </c>
      <c r="DS522" t="b">
        <f t="shared" si="1098"/>
        <v>0</v>
      </c>
      <c r="DT522" t="b">
        <f t="shared" si="1099"/>
        <v>0</v>
      </c>
      <c r="DU522" t="b">
        <f t="shared" si="1100"/>
        <v>0</v>
      </c>
      <c r="DV522" t="b">
        <f t="shared" si="1101"/>
        <v>0</v>
      </c>
      <c r="DW522" t="b">
        <f t="shared" si="1102"/>
        <v>0</v>
      </c>
      <c r="DX522" t="b">
        <f t="shared" si="1103"/>
        <v>0</v>
      </c>
      <c r="DY522" t="b">
        <f t="shared" si="1104"/>
        <v>0</v>
      </c>
      <c r="DZ522" t="b">
        <f t="shared" si="1105"/>
        <v>0</v>
      </c>
      <c r="EA522" t="b">
        <f t="shared" si="1106"/>
        <v>0</v>
      </c>
      <c r="EB522" t="b">
        <f t="shared" si="1107"/>
        <v>0</v>
      </c>
      <c r="EC522" t="b">
        <f t="shared" si="1108"/>
        <v>0</v>
      </c>
      <c r="ED522" t="b">
        <f t="shared" si="1109"/>
        <v>0</v>
      </c>
      <c r="EE522" t="b">
        <f t="shared" si="1110"/>
        <v>0</v>
      </c>
      <c r="EF522">
        <f t="shared" si="1111"/>
        <v>1</v>
      </c>
      <c r="EG522" t="b">
        <f t="shared" si="1112"/>
        <v>0</v>
      </c>
      <c r="EH522" t="b">
        <f t="shared" si="1113"/>
        <v>0</v>
      </c>
      <c r="EI522" t="b">
        <f t="shared" si="1114"/>
        <v>0</v>
      </c>
      <c r="EJ522" t="b">
        <f t="shared" si="1115"/>
        <v>0</v>
      </c>
      <c r="EK522" t="b">
        <f t="shared" si="1116"/>
        <v>0</v>
      </c>
    </row>
    <row r="523" spans="1:141">
      <c r="A523" t="s">
        <v>2643</v>
      </c>
      <c r="B523" t="s">
        <v>2643</v>
      </c>
      <c r="C523" t="s">
        <v>2644</v>
      </c>
      <c r="D523" s="1">
        <v>42223</v>
      </c>
      <c r="E523" s="2">
        <v>44229.027754629627</v>
      </c>
      <c r="F523" s="2">
        <v>44229.027754629627</v>
      </c>
      <c r="G523">
        <v>1047200</v>
      </c>
      <c r="H523" t="s">
        <v>2645</v>
      </c>
      <c r="I523" s="10" t="s">
        <v>2646</v>
      </c>
      <c r="J523" t="s">
        <v>660</v>
      </c>
      <c r="K523" s="8" t="b">
        <v>1</v>
      </c>
      <c r="L523" s="10" t="b">
        <v>0</v>
      </c>
      <c r="M523" s="12" t="b">
        <v>0</v>
      </c>
      <c r="N523" t="b">
        <v>0</v>
      </c>
      <c r="O523" t="b">
        <v>0</v>
      </c>
      <c r="P523" t="b">
        <v>0</v>
      </c>
      <c r="Q523">
        <f t="shared" si="993"/>
        <v>6</v>
      </c>
      <c r="R523">
        <f t="shared" si="994"/>
        <v>8</v>
      </c>
      <c r="S523" t="e">
        <f t="shared" ca="1" si="1024"/>
        <v>#NAME?</v>
      </c>
      <c r="T523" t="e">
        <f t="shared" ca="1" si="995"/>
        <v>#NAME?</v>
      </c>
      <c r="U523" s="4">
        <f t="shared" si="996"/>
        <v>2006.0277546296275</v>
      </c>
      <c r="V523" s="4">
        <f t="shared" si="997"/>
        <v>66.867591820987585</v>
      </c>
      <c r="W523" s="4">
        <f t="shared" si="998"/>
        <v>1</v>
      </c>
      <c r="X523" s="4">
        <f t="shared" si="999"/>
        <v>0</v>
      </c>
      <c r="Y523" s="4">
        <f t="shared" si="1000"/>
        <v>0</v>
      </c>
      <c r="Z523" s="4">
        <f t="shared" si="1001"/>
        <v>0</v>
      </c>
      <c r="AA523" s="4">
        <f t="shared" si="1002"/>
        <v>0</v>
      </c>
      <c r="AB523" s="4">
        <f t="shared" si="1003"/>
        <v>0</v>
      </c>
      <c r="AC523" s="4"/>
      <c r="AD523" s="4" t="b">
        <f t="shared" si="1004"/>
        <v>0</v>
      </c>
      <c r="AE523" s="4" t="b">
        <f t="shared" si="1005"/>
        <v>0</v>
      </c>
      <c r="AF523" s="4" t="b">
        <f t="shared" si="1006"/>
        <v>0</v>
      </c>
      <c r="AG523" t="b">
        <f t="shared" si="1007"/>
        <v>0</v>
      </c>
      <c r="AH523" t="b">
        <f t="shared" si="1008"/>
        <v>0</v>
      </c>
      <c r="AI523" t="b">
        <f t="shared" si="1009"/>
        <v>0</v>
      </c>
      <c r="AJ523" t="b">
        <f t="shared" si="1010"/>
        <v>0</v>
      </c>
      <c r="AK523" t="b">
        <f t="shared" si="1011"/>
        <v>0</v>
      </c>
      <c r="AL523" t="b">
        <f t="shared" si="1012"/>
        <v>0</v>
      </c>
      <c r="AM523" t="b">
        <f t="shared" si="1013"/>
        <v>0</v>
      </c>
      <c r="AN523" t="b">
        <f t="shared" si="1014"/>
        <v>0</v>
      </c>
      <c r="AO523" t="b">
        <f t="shared" si="1015"/>
        <v>0</v>
      </c>
      <c r="AP523" t="b">
        <f t="shared" si="1016"/>
        <v>0</v>
      </c>
      <c r="AQ523" t="b">
        <f t="shared" si="1017"/>
        <v>0</v>
      </c>
      <c r="AR523" t="b">
        <f t="shared" si="1018"/>
        <v>0</v>
      </c>
      <c r="AS523" t="b">
        <f t="shared" si="1019"/>
        <v>0</v>
      </c>
      <c r="AT523" t="b">
        <f t="shared" si="1020"/>
        <v>0</v>
      </c>
      <c r="AU523" t="b">
        <f t="shared" si="1021"/>
        <v>0</v>
      </c>
      <c r="AV523" t="b">
        <f t="shared" si="1022"/>
        <v>0</v>
      </c>
      <c r="AW523" t="b">
        <f t="shared" si="1023"/>
        <v>0</v>
      </c>
      <c r="AX523" t="b">
        <f t="shared" si="1025"/>
        <v>0</v>
      </c>
      <c r="AY523" t="b">
        <f t="shared" si="1026"/>
        <v>0</v>
      </c>
      <c r="AZ523" t="b">
        <f t="shared" si="1027"/>
        <v>0</v>
      </c>
      <c r="BA523" t="b">
        <f t="shared" si="1028"/>
        <v>0</v>
      </c>
      <c r="BB523" t="b">
        <f t="shared" si="1029"/>
        <v>0</v>
      </c>
      <c r="BC523" t="b">
        <f t="shared" si="1030"/>
        <v>0</v>
      </c>
      <c r="BD523" t="b">
        <f t="shared" si="1031"/>
        <v>0</v>
      </c>
      <c r="BE523" t="b">
        <f t="shared" si="1032"/>
        <v>0</v>
      </c>
      <c r="BF523" t="b">
        <f t="shared" si="1033"/>
        <v>0</v>
      </c>
      <c r="BG523" t="b">
        <f t="shared" si="1034"/>
        <v>0</v>
      </c>
      <c r="BH523" t="b">
        <f t="shared" si="1035"/>
        <v>0</v>
      </c>
      <c r="BI523">
        <f t="shared" si="1036"/>
        <v>1</v>
      </c>
      <c r="BJ523" t="b">
        <f t="shared" si="1037"/>
        <v>0</v>
      </c>
      <c r="BK523" t="b">
        <f t="shared" si="1038"/>
        <v>0</v>
      </c>
      <c r="BL523" t="b">
        <f t="shared" si="1039"/>
        <v>0</v>
      </c>
      <c r="BM523" t="b">
        <f t="shared" si="1040"/>
        <v>0</v>
      </c>
      <c r="BN523" t="b">
        <f t="shared" si="1041"/>
        <v>0</v>
      </c>
      <c r="BO523" t="b">
        <f t="shared" si="1042"/>
        <v>0</v>
      </c>
      <c r="BP523" t="b">
        <f t="shared" si="1043"/>
        <v>0</v>
      </c>
      <c r="BQ523" t="b">
        <f t="shared" si="1044"/>
        <v>0</v>
      </c>
      <c r="BR523" t="b">
        <f t="shared" si="1045"/>
        <v>0</v>
      </c>
      <c r="BS523" t="b">
        <f t="shared" si="1046"/>
        <v>0</v>
      </c>
      <c r="BT523" t="b">
        <f t="shared" si="1047"/>
        <v>0</v>
      </c>
      <c r="BU523" t="b">
        <f t="shared" si="1048"/>
        <v>0</v>
      </c>
      <c r="BV523" t="b">
        <f t="shared" si="1049"/>
        <v>0</v>
      </c>
      <c r="BW523" t="b">
        <f t="shared" si="1050"/>
        <v>0</v>
      </c>
      <c r="BX523" t="b">
        <f t="shared" si="1051"/>
        <v>0</v>
      </c>
      <c r="BY523" t="b">
        <f t="shared" si="1052"/>
        <v>0</v>
      </c>
      <c r="BZ523" t="b">
        <f t="shared" si="1053"/>
        <v>0</v>
      </c>
      <c r="CA523" t="b">
        <f t="shared" si="1054"/>
        <v>0</v>
      </c>
      <c r="CB523" t="b">
        <f t="shared" si="1055"/>
        <v>0</v>
      </c>
      <c r="CC523" t="b">
        <f t="shared" si="1056"/>
        <v>0</v>
      </c>
      <c r="CD523" t="b">
        <f t="shared" si="1057"/>
        <v>0</v>
      </c>
      <c r="CE523" t="b">
        <f t="shared" si="1058"/>
        <v>0</v>
      </c>
      <c r="CF523" t="b">
        <f t="shared" si="1059"/>
        <v>0</v>
      </c>
      <c r="CG523" t="b">
        <f t="shared" si="1060"/>
        <v>0</v>
      </c>
      <c r="CH523" t="b">
        <f t="shared" si="1061"/>
        <v>0</v>
      </c>
      <c r="CI523" t="b">
        <f t="shared" si="1062"/>
        <v>0</v>
      </c>
      <c r="CJ523" t="b">
        <f t="shared" si="1063"/>
        <v>0</v>
      </c>
      <c r="CK523" t="b">
        <f t="shared" si="1064"/>
        <v>0</v>
      </c>
      <c r="CL523" t="b">
        <f t="shared" si="1065"/>
        <v>0</v>
      </c>
      <c r="CM523">
        <f t="shared" si="1066"/>
        <v>1</v>
      </c>
      <c r="CN523" t="b">
        <f t="shared" si="1067"/>
        <v>0</v>
      </c>
      <c r="CO523" t="b">
        <f t="shared" si="1068"/>
        <v>0</v>
      </c>
      <c r="CP523" t="b">
        <f t="shared" si="1069"/>
        <v>0</v>
      </c>
      <c r="CQ523" t="b">
        <f t="shared" si="1070"/>
        <v>0</v>
      </c>
      <c r="CR523" t="b">
        <f t="shared" si="1071"/>
        <v>0</v>
      </c>
      <c r="CS523" t="b">
        <f t="shared" si="1072"/>
        <v>0</v>
      </c>
      <c r="CT523" t="b">
        <f t="shared" si="1073"/>
        <v>0</v>
      </c>
      <c r="CU523" t="b">
        <f t="shared" si="1074"/>
        <v>0</v>
      </c>
      <c r="CV523">
        <f t="shared" si="1075"/>
        <v>1</v>
      </c>
      <c r="CW523" t="b">
        <f t="shared" si="1076"/>
        <v>0</v>
      </c>
      <c r="CX523" t="b">
        <f t="shared" si="1077"/>
        <v>0</v>
      </c>
      <c r="CY523" t="b">
        <f t="shared" si="1078"/>
        <v>0</v>
      </c>
      <c r="CZ523" t="b">
        <f t="shared" si="1079"/>
        <v>0</v>
      </c>
      <c r="DA523" t="b">
        <f t="shared" si="1080"/>
        <v>0</v>
      </c>
      <c r="DB523" t="b">
        <f t="shared" si="1081"/>
        <v>0</v>
      </c>
      <c r="DC523" t="b">
        <f t="shared" si="1082"/>
        <v>0</v>
      </c>
      <c r="DD523" t="b">
        <f t="shared" si="1083"/>
        <v>0</v>
      </c>
      <c r="DE523" t="b">
        <f t="shared" si="1084"/>
        <v>0</v>
      </c>
      <c r="DF523" t="b">
        <f t="shared" si="1085"/>
        <v>0</v>
      </c>
      <c r="DG523" t="b">
        <f t="shared" si="1086"/>
        <v>0</v>
      </c>
      <c r="DH523" t="b">
        <f t="shared" si="1087"/>
        <v>0</v>
      </c>
      <c r="DI523" t="b">
        <f t="shared" si="1088"/>
        <v>0</v>
      </c>
      <c r="DJ523" t="b">
        <f t="shared" si="1089"/>
        <v>0</v>
      </c>
      <c r="DK523" t="b">
        <f t="shared" si="1090"/>
        <v>0</v>
      </c>
      <c r="DL523" t="b">
        <f t="shared" si="1091"/>
        <v>0</v>
      </c>
      <c r="DM523" t="b">
        <f t="shared" si="1092"/>
        <v>0</v>
      </c>
      <c r="DN523" t="b">
        <f t="shared" si="1093"/>
        <v>0</v>
      </c>
      <c r="DO523" t="b">
        <f t="shared" si="1094"/>
        <v>0</v>
      </c>
      <c r="DP523" t="b">
        <f t="shared" si="1095"/>
        <v>0</v>
      </c>
      <c r="DQ523" t="b">
        <f t="shared" si="1096"/>
        <v>0</v>
      </c>
      <c r="DR523" t="b">
        <f t="shared" si="1097"/>
        <v>0</v>
      </c>
      <c r="DS523" t="b">
        <f t="shared" si="1098"/>
        <v>0</v>
      </c>
      <c r="DT523" t="b">
        <f t="shared" si="1099"/>
        <v>0</v>
      </c>
      <c r="DU523" t="b">
        <f t="shared" si="1100"/>
        <v>0</v>
      </c>
      <c r="DV523" t="b">
        <f t="shared" si="1101"/>
        <v>0</v>
      </c>
      <c r="DW523" t="b">
        <f t="shared" si="1102"/>
        <v>0</v>
      </c>
      <c r="DX523" t="b">
        <f t="shared" si="1103"/>
        <v>0</v>
      </c>
      <c r="DY523" t="b">
        <f t="shared" si="1104"/>
        <v>0</v>
      </c>
      <c r="DZ523" t="b">
        <f t="shared" si="1105"/>
        <v>0</v>
      </c>
      <c r="EA523" t="b">
        <f t="shared" si="1106"/>
        <v>0</v>
      </c>
      <c r="EB523" t="b">
        <f t="shared" si="1107"/>
        <v>0</v>
      </c>
      <c r="EC523" t="b">
        <f t="shared" si="1108"/>
        <v>0</v>
      </c>
      <c r="ED523" t="b">
        <f t="shared" si="1109"/>
        <v>0</v>
      </c>
      <c r="EE523" t="b">
        <f t="shared" si="1110"/>
        <v>0</v>
      </c>
      <c r="EF523">
        <f t="shared" si="1111"/>
        <v>1</v>
      </c>
      <c r="EG523" t="b">
        <f t="shared" si="1112"/>
        <v>0</v>
      </c>
      <c r="EH523" t="b">
        <f t="shared" si="1113"/>
        <v>0</v>
      </c>
      <c r="EI523" t="b">
        <f t="shared" si="1114"/>
        <v>0</v>
      </c>
      <c r="EJ523" t="b">
        <f t="shared" si="1115"/>
        <v>0</v>
      </c>
      <c r="EK523" t="b">
        <f t="shared" si="1116"/>
        <v>0</v>
      </c>
    </row>
    <row r="524" spans="1:141">
      <c r="A524" t="s">
        <v>2647</v>
      </c>
      <c r="B524" t="s">
        <v>2647</v>
      </c>
      <c r="C524" t="s">
        <v>2648</v>
      </c>
      <c r="D524" s="1">
        <v>43875</v>
      </c>
      <c r="E524" s="2">
        <v>43888.81144675926</v>
      </c>
      <c r="F524" s="2">
        <v>43888.81144675926</v>
      </c>
      <c r="G524">
        <v>48580249</v>
      </c>
      <c r="H524" t="s">
        <v>2649</v>
      </c>
      <c r="I524" s="10" t="s">
        <v>2650</v>
      </c>
      <c r="J524" t="s">
        <v>2651</v>
      </c>
      <c r="K524" s="8" t="b">
        <v>1</v>
      </c>
      <c r="L524" s="10" t="b">
        <v>0</v>
      </c>
      <c r="M524" s="12" t="b">
        <v>0</v>
      </c>
      <c r="N524" t="b">
        <v>0</v>
      </c>
      <c r="O524" t="b">
        <v>0</v>
      </c>
      <c r="P524" t="b">
        <v>0</v>
      </c>
      <c r="Q524">
        <f t="shared" si="993"/>
        <v>6</v>
      </c>
      <c r="R524">
        <f t="shared" si="994"/>
        <v>2</v>
      </c>
      <c r="S524" t="e">
        <f t="shared" ca="1" si="1024"/>
        <v>#NAME?</v>
      </c>
      <c r="T524" t="e">
        <f t="shared" ca="1" si="995"/>
        <v>#NAME?</v>
      </c>
      <c r="U524" s="4">
        <f t="shared" si="996"/>
        <v>13.811446759260434</v>
      </c>
      <c r="V524" s="4">
        <f t="shared" si="997"/>
        <v>0.46038155864201447</v>
      </c>
      <c r="W524" s="4">
        <f t="shared" si="998"/>
        <v>1</v>
      </c>
      <c r="X524" s="4">
        <f t="shared" si="999"/>
        <v>0</v>
      </c>
      <c r="Y524" s="4">
        <f t="shared" si="1000"/>
        <v>0</v>
      </c>
      <c r="Z524" s="4">
        <f t="shared" si="1001"/>
        <v>0</v>
      </c>
      <c r="AA524" s="4">
        <f t="shared" si="1002"/>
        <v>0</v>
      </c>
      <c r="AB524" s="4">
        <f t="shared" si="1003"/>
        <v>0</v>
      </c>
      <c r="AC524" s="4"/>
      <c r="AD524" s="4" t="b">
        <f t="shared" si="1004"/>
        <v>0</v>
      </c>
      <c r="AE524" s="4" t="b">
        <f t="shared" si="1005"/>
        <v>0</v>
      </c>
      <c r="AF524" s="4" t="b">
        <f t="shared" si="1006"/>
        <v>0</v>
      </c>
      <c r="AG524" t="b">
        <f t="shared" si="1007"/>
        <v>0</v>
      </c>
      <c r="AH524" t="b">
        <f t="shared" si="1008"/>
        <v>0</v>
      </c>
      <c r="AI524" t="b">
        <f t="shared" si="1009"/>
        <v>0</v>
      </c>
      <c r="AJ524" t="b">
        <f t="shared" si="1010"/>
        <v>0</v>
      </c>
      <c r="AK524" t="b">
        <f t="shared" si="1011"/>
        <v>0</v>
      </c>
      <c r="AL524" t="b">
        <f t="shared" si="1012"/>
        <v>0</v>
      </c>
      <c r="AM524" t="b">
        <f t="shared" si="1013"/>
        <v>0</v>
      </c>
      <c r="AN524" t="b">
        <f t="shared" si="1014"/>
        <v>0</v>
      </c>
      <c r="AO524" t="b">
        <f t="shared" si="1015"/>
        <v>0</v>
      </c>
      <c r="AP524" t="b">
        <f t="shared" si="1016"/>
        <v>0</v>
      </c>
      <c r="AQ524" t="b">
        <f t="shared" si="1017"/>
        <v>0</v>
      </c>
      <c r="AR524" t="b">
        <f t="shared" si="1018"/>
        <v>0</v>
      </c>
      <c r="AS524" t="b">
        <f t="shared" si="1019"/>
        <v>0</v>
      </c>
      <c r="AT524" t="b">
        <f t="shared" si="1020"/>
        <v>0</v>
      </c>
      <c r="AU524" t="b">
        <f t="shared" si="1021"/>
        <v>0</v>
      </c>
      <c r="AV524" t="b">
        <f t="shared" si="1022"/>
        <v>0</v>
      </c>
      <c r="AW524" t="b">
        <f t="shared" si="1023"/>
        <v>0</v>
      </c>
      <c r="AX524" t="b">
        <f t="shared" si="1025"/>
        <v>0</v>
      </c>
      <c r="AY524" t="b">
        <f t="shared" si="1026"/>
        <v>0</v>
      </c>
      <c r="AZ524" t="b">
        <f t="shared" si="1027"/>
        <v>0</v>
      </c>
      <c r="BA524" t="b">
        <f t="shared" si="1028"/>
        <v>0</v>
      </c>
      <c r="BB524" t="b">
        <f t="shared" si="1029"/>
        <v>0</v>
      </c>
      <c r="BC524" t="b">
        <f t="shared" si="1030"/>
        <v>0</v>
      </c>
      <c r="BD524" t="b">
        <f t="shared" si="1031"/>
        <v>0</v>
      </c>
      <c r="BE524" t="b">
        <f t="shared" si="1032"/>
        <v>0</v>
      </c>
      <c r="BF524" t="b">
        <f t="shared" si="1033"/>
        <v>0</v>
      </c>
      <c r="BG524" t="b">
        <f t="shared" si="1034"/>
        <v>0</v>
      </c>
      <c r="BH524" t="b">
        <f t="shared" si="1035"/>
        <v>0</v>
      </c>
      <c r="BI524">
        <f t="shared" si="1036"/>
        <v>1</v>
      </c>
      <c r="BJ524" t="b">
        <f t="shared" si="1037"/>
        <v>0</v>
      </c>
      <c r="BK524" t="b">
        <f t="shared" si="1038"/>
        <v>0</v>
      </c>
      <c r="BL524" t="b">
        <f t="shared" si="1039"/>
        <v>0</v>
      </c>
      <c r="BM524" t="b">
        <f t="shared" si="1040"/>
        <v>0</v>
      </c>
      <c r="BN524" t="b">
        <f t="shared" si="1041"/>
        <v>0</v>
      </c>
      <c r="BO524" t="b">
        <f t="shared" si="1042"/>
        <v>0</v>
      </c>
      <c r="BP524" t="b">
        <f t="shared" si="1043"/>
        <v>0</v>
      </c>
      <c r="BQ524" t="b">
        <f t="shared" si="1044"/>
        <v>0</v>
      </c>
      <c r="BR524">
        <f t="shared" si="1045"/>
        <v>1</v>
      </c>
      <c r="BS524" t="b">
        <f t="shared" si="1046"/>
        <v>0</v>
      </c>
      <c r="BT524" t="b">
        <f t="shared" si="1047"/>
        <v>0</v>
      </c>
      <c r="BU524" t="b">
        <f t="shared" si="1048"/>
        <v>0</v>
      </c>
      <c r="BV524" t="b">
        <f t="shared" si="1049"/>
        <v>0</v>
      </c>
      <c r="BW524" t="b">
        <f t="shared" si="1050"/>
        <v>0</v>
      </c>
      <c r="BX524" t="b">
        <f t="shared" si="1051"/>
        <v>0</v>
      </c>
      <c r="BY524" t="b">
        <f t="shared" si="1052"/>
        <v>0</v>
      </c>
      <c r="BZ524" t="b">
        <f t="shared" si="1053"/>
        <v>0</v>
      </c>
      <c r="CA524" t="b">
        <f t="shared" si="1054"/>
        <v>0</v>
      </c>
      <c r="CB524" t="b">
        <f t="shared" si="1055"/>
        <v>0</v>
      </c>
      <c r="CC524" t="b">
        <f t="shared" si="1056"/>
        <v>0</v>
      </c>
      <c r="CD524" t="b">
        <f t="shared" si="1057"/>
        <v>0</v>
      </c>
      <c r="CE524" t="b">
        <f t="shared" si="1058"/>
        <v>0</v>
      </c>
      <c r="CF524" t="b">
        <f t="shared" si="1059"/>
        <v>0</v>
      </c>
      <c r="CG524" t="b">
        <f t="shared" si="1060"/>
        <v>0</v>
      </c>
      <c r="CH524" t="b">
        <f t="shared" si="1061"/>
        <v>0</v>
      </c>
      <c r="CI524" t="b">
        <f t="shared" si="1062"/>
        <v>0</v>
      </c>
      <c r="CJ524" t="b">
        <f t="shared" si="1063"/>
        <v>0</v>
      </c>
      <c r="CK524" t="b">
        <f t="shared" si="1064"/>
        <v>0</v>
      </c>
      <c r="CL524" t="b">
        <f t="shared" si="1065"/>
        <v>0</v>
      </c>
      <c r="CM524">
        <f t="shared" si="1066"/>
        <v>1</v>
      </c>
      <c r="CN524" t="b">
        <f t="shared" si="1067"/>
        <v>0</v>
      </c>
      <c r="CO524" t="b">
        <f t="shared" si="1068"/>
        <v>0</v>
      </c>
      <c r="CP524" t="b">
        <f t="shared" si="1069"/>
        <v>0</v>
      </c>
      <c r="CQ524" t="b">
        <f t="shared" si="1070"/>
        <v>0</v>
      </c>
      <c r="CR524" t="b">
        <f t="shared" si="1071"/>
        <v>0</v>
      </c>
      <c r="CS524" t="b">
        <f t="shared" si="1072"/>
        <v>0</v>
      </c>
      <c r="CT524" t="b">
        <f t="shared" si="1073"/>
        <v>0</v>
      </c>
      <c r="CU524" t="b">
        <f t="shared" si="1074"/>
        <v>0</v>
      </c>
      <c r="CV524" t="b">
        <f t="shared" si="1075"/>
        <v>0</v>
      </c>
      <c r="CW524" t="b">
        <f t="shared" si="1076"/>
        <v>0</v>
      </c>
      <c r="CX524" t="b">
        <f t="shared" si="1077"/>
        <v>0</v>
      </c>
      <c r="CY524" t="b">
        <f t="shared" si="1078"/>
        <v>0</v>
      </c>
      <c r="CZ524" t="b">
        <f t="shared" si="1079"/>
        <v>0</v>
      </c>
      <c r="DA524">
        <f t="shared" si="1080"/>
        <v>1</v>
      </c>
      <c r="DB524">
        <f t="shared" si="1081"/>
        <v>1</v>
      </c>
      <c r="DC524" t="b">
        <f t="shared" si="1082"/>
        <v>0</v>
      </c>
      <c r="DD524" t="b">
        <f t="shared" si="1083"/>
        <v>0</v>
      </c>
      <c r="DE524" t="b">
        <f t="shared" si="1084"/>
        <v>0</v>
      </c>
      <c r="DF524" t="b">
        <f t="shared" si="1085"/>
        <v>0</v>
      </c>
      <c r="DG524" t="b">
        <f t="shared" si="1086"/>
        <v>0</v>
      </c>
      <c r="DH524" t="b">
        <f t="shared" si="1087"/>
        <v>0</v>
      </c>
      <c r="DI524" t="b">
        <f t="shared" si="1088"/>
        <v>0</v>
      </c>
      <c r="DJ524" t="b">
        <f t="shared" si="1089"/>
        <v>0</v>
      </c>
      <c r="DK524" t="b">
        <f t="shared" si="1090"/>
        <v>0</v>
      </c>
      <c r="DL524" t="b">
        <f t="shared" si="1091"/>
        <v>0</v>
      </c>
      <c r="DM524" t="b">
        <f t="shared" si="1092"/>
        <v>0</v>
      </c>
      <c r="DN524" t="b">
        <f t="shared" si="1093"/>
        <v>0</v>
      </c>
      <c r="DO524" t="b">
        <f t="shared" si="1094"/>
        <v>0</v>
      </c>
      <c r="DP524" t="b">
        <f t="shared" si="1095"/>
        <v>0</v>
      </c>
      <c r="DQ524" t="b">
        <f t="shared" si="1096"/>
        <v>0</v>
      </c>
      <c r="DR524" t="b">
        <f t="shared" si="1097"/>
        <v>0</v>
      </c>
      <c r="DS524" t="b">
        <f t="shared" si="1098"/>
        <v>0</v>
      </c>
      <c r="DT524" t="b">
        <f t="shared" si="1099"/>
        <v>0</v>
      </c>
      <c r="DU524" t="b">
        <f t="shared" si="1100"/>
        <v>0</v>
      </c>
      <c r="DV524" t="b">
        <f t="shared" si="1101"/>
        <v>0</v>
      </c>
      <c r="DW524" t="b">
        <f t="shared" si="1102"/>
        <v>0</v>
      </c>
      <c r="DX524" t="b">
        <f t="shared" si="1103"/>
        <v>0</v>
      </c>
      <c r="DY524" t="b">
        <f t="shared" si="1104"/>
        <v>0</v>
      </c>
      <c r="DZ524" t="b">
        <f t="shared" si="1105"/>
        <v>0</v>
      </c>
      <c r="EA524" t="b">
        <f t="shared" si="1106"/>
        <v>0</v>
      </c>
      <c r="EB524" t="b">
        <f t="shared" si="1107"/>
        <v>0</v>
      </c>
      <c r="EC524" t="b">
        <f t="shared" si="1108"/>
        <v>0</v>
      </c>
      <c r="ED524" t="b">
        <f t="shared" si="1109"/>
        <v>0</v>
      </c>
      <c r="EE524" t="b">
        <f t="shared" si="1110"/>
        <v>0</v>
      </c>
      <c r="EF524" t="b">
        <f t="shared" si="1111"/>
        <v>0</v>
      </c>
      <c r="EG524" t="b">
        <f t="shared" si="1112"/>
        <v>0</v>
      </c>
      <c r="EH524" t="b">
        <f t="shared" si="1113"/>
        <v>0</v>
      </c>
      <c r="EI524" t="b">
        <f t="shared" si="1114"/>
        <v>0</v>
      </c>
      <c r="EJ524" t="b">
        <f t="shared" si="1115"/>
        <v>0</v>
      </c>
      <c r="EK524" t="b">
        <f t="shared" si="1116"/>
        <v>0</v>
      </c>
    </row>
    <row r="525" spans="1:141">
      <c r="A525" t="s">
        <v>2652</v>
      </c>
      <c r="B525" t="s">
        <v>2652</v>
      </c>
      <c r="C525" t="s">
        <v>2653</v>
      </c>
      <c r="D525" s="1">
        <v>40901</v>
      </c>
      <c r="E525" s="2">
        <v>41612</v>
      </c>
      <c r="F525" s="2">
        <v>41612</v>
      </c>
      <c r="G525">
        <v>859777</v>
      </c>
      <c r="H525" t="s">
        <v>2654</v>
      </c>
      <c r="I525" s="10" t="s">
        <v>2655</v>
      </c>
      <c r="J525" t="s">
        <v>2656</v>
      </c>
      <c r="K525" s="8" t="b">
        <v>1</v>
      </c>
      <c r="L525" s="10" t="b">
        <v>0</v>
      </c>
      <c r="M525" s="12" t="b">
        <v>0</v>
      </c>
      <c r="N525" t="b">
        <v>0</v>
      </c>
      <c r="O525" t="b">
        <v>0</v>
      </c>
      <c r="P525" t="b">
        <v>0</v>
      </c>
      <c r="Q525">
        <f t="shared" si="993"/>
        <v>7</v>
      </c>
      <c r="R525">
        <f t="shared" si="994"/>
        <v>12</v>
      </c>
      <c r="S525" t="e">
        <f t="shared" ca="1" si="1024"/>
        <v>#NAME?</v>
      </c>
      <c r="T525" t="e">
        <f t="shared" ca="1" si="995"/>
        <v>#NAME?</v>
      </c>
      <c r="U525" s="4">
        <f t="shared" si="996"/>
        <v>711</v>
      </c>
      <c r="V525" s="4">
        <f t="shared" si="997"/>
        <v>23.7</v>
      </c>
      <c r="W525" s="4">
        <f t="shared" si="998"/>
        <v>1</v>
      </c>
      <c r="X525" s="4">
        <f t="shared" si="999"/>
        <v>0</v>
      </c>
      <c r="Y525" s="4">
        <f t="shared" si="1000"/>
        <v>0</v>
      </c>
      <c r="Z525" s="4">
        <f t="shared" si="1001"/>
        <v>0</v>
      </c>
      <c r="AA525" s="4">
        <f t="shared" si="1002"/>
        <v>0</v>
      </c>
      <c r="AB525" s="4">
        <f t="shared" si="1003"/>
        <v>0</v>
      </c>
      <c r="AC525" s="4"/>
      <c r="AD525" s="4" t="b">
        <f t="shared" si="1004"/>
        <v>0</v>
      </c>
      <c r="AE525" s="4" t="b">
        <f t="shared" si="1005"/>
        <v>0</v>
      </c>
      <c r="AF525" s="4" t="b">
        <f t="shared" si="1006"/>
        <v>0</v>
      </c>
      <c r="AG525" t="b">
        <f t="shared" si="1007"/>
        <v>0</v>
      </c>
      <c r="AH525" t="b">
        <f t="shared" si="1008"/>
        <v>0</v>
      </c>
      <c r="AI525" t="b">
        <f t="shared" si="1009"/>
        <v>0</v>
      </c>
      <c r="AJ525" t="b">
        <f t="shared" si="1010"/>
        <v>0</v>
      </c>
      <c r="AK525" t="b">
        <f t="shared" si="1011"/>
        <v>0</v>
      </c>
      <c r="AL525" t="b">
        <f t="shared" si="1012"/>
        <v>0</v>
      </c>
      <c r="AM525" t="b">
        <f t="shared" si="1013"/>
        <v>0</v>
      </c>
      <c r="AN525" t="b">
        <f t="shared" si="1014"/>
        <v>0</v>
      </c>
      <c r="AO525" t="b">
        <f t="shared" si="1015"/>
        <v>0</v>
      </c>
      <c r="AP525" t="b">
        <f t="shared" si="1016"/>
        <v>0</v>
      </c>
      <c r="AQ525" t="b">
        <f t="shared" si="1017"/>
        <v>0</v>
      </c>
      <c r="AR525" t="b">
        <f t="shared" si="1018"/>
        <v>0</v>
      </c>
      <c r="AS525" t="b">
        <f t="shared" si="1019"/>
        <v>0</v>
      </c>
      <c r="AT525" t="b">
        <f t="shared" si="1020"/>
        <v>0</v>
      </c>
      <c r="AU525" t="b">
        <f t="shared" si="1021"/>
        <v>0</v>
      </c>
      <c r="AV525">
        <f t="shared" si="1022"/>
        <v>1</v>
      </c>
      <c r="AW525" t="b">
        <f t="shared" si="1023"/>
        <v>0</v>
      </c>
      <c r="AX525" t="b">
        <f t="shared" si="1025"/>
        <v>0</v>
      </c>
      <c r="AY525" t="b">
        <f t="shared" si="1026"/>
        <v>0</v>
      </c>
      <c r="AZ525" t="b">
        <f t="shared" si="1027"/>
        <v>0</v>
      </c>
      <c r="BA525" t="b">
        <f t="shared" si="1028"/>
        <v>0</v>
      </c>
      <c r="BB525" t="b">
        <f t="shared" si="1029"/>
        <v>0</v>
      </c>
      <c r="BC525" t="b">
        <f t="shared" si="1030"/>
        <v>0</v>
      </c>
      <c r="BD525" t="b">
        <f t="shared" si="1031"/>
        <v>0</v>
      </c>
      <c r="BE525" t="b">
        <f t="shared" si="1032"/>
        <v>0</v>
      </c>
      <c r="BF525" t="b">
        <f t="shared" si="1033"/>
        <v>0</v>
      </c>
      <c r="BG525" t="b">
        <f t="shared" si="1034"/>
        <v>0</v>
      </c>
      <c r="BH525" t="b">
        <f t="shared" si="1035"/>
        <v>0</v>
      </c>
      <c r="BI525">
        <f t="shared" si="1036"/>
        <v>1</v>
      </c>
      <c r="BJ525" t="b">
        <f t="shared" si="1037"/>
        <v>0</v>
      </c>
      <c r="BK525" t="b">
        <f t="shared" si="1038"/>
        <v>0</v>
      </c>
      <c r="BL525" t="b">
        <f t="shared" si="1039"/>
        <v>0</v>
      </c>
      <c r="BM525" t="b">
        <f t="shared" si="1040"/>
        <v>0</v>
      </c>
      <c r="BN525" t="b">
        <f t="shared" si="1041"/>
        <v>0</v>
      </c>
      <c r="BO525" t="b">
        <f t="shared" si="1042"/>
        <v>0</v>
      </c>
      <c r="BP525" t="b">
        <f t="shared" si="1043"/>
        <v>0</v>
      </c>
      <c r="BQ525" t="b">
        <f t="shared" si="1044"/>
        <v>0</v>
      </c>
      <c r="BR525" t="b">
        <f t="shared" si="1045"/>
        <v>0</v>
      </c>
      <c r="BS525" t="b">
        <f t="shared" si="1046"/>
        <v>0</v>
      </c>
      <c r="BT525" t="b">
        <f t="shared" si="1047"/>
        <v>0</v>
      </c>
      <c r="BU525" t="b">
        <f t="shared" si="1048"/>
        <v>0</v>
      </c>
      <c r="BV525" t="b">
        <f t="shared" si="1049"/>
        <v>0</v>
      </c>
      <c r="BW525" t="b">
        <f t="shared" si="1050"/>
        <v>0</v>
      </c>
      <c r="BX525" t="b">
        <f t="shared" si="1051"/>
        <v>0</v>
      </c>
      <c r="BY525" t="b">
        <f t="shared" si="1052"/>
        <v>0</v>
      </c>
      <c r="BZ525" t="b">
        <f t="shared" si="1053"/>
        <v>0</v>
      </c>
      <c r="CA525" t="b">
        <f t="shared" si="1054"/>
        <v>0</v>
      </c>
      <c r="CB525" t="b">
        <f t="shared" si="1055"/>
        <v>0</v>
      </c>
      <c r="CC525" t="b">
        <f t="shared" si="1056"/>
        <v>0</v>
      </c>
      <c r="CD525" t="b">
        <f t="shared" si="1057"/>
        <v>0</v>
      </c>
      <c r="CE525" t="b">
        <f t="shared" si="1058"/>
        <v>0</v>
      </c>
      <c r="CF525" t="b">
        <f t="shared" si="1059"/>
        <v>0</v>
      </c>
      <c r="CG525" t="b">
        <f t="shared" si="1060"/>
        <v>0</v>
      </c>
      <c r="CH525" t="b">
        <f t="shared" si="1061"/>
        <v>0</v>
      </c>
      <c r="CI525" t="b">
        <f t="shared" si="1062"/>
        <v>0</v>
      </c>
      <c r="CJ525" t="b">
        <f t="shared" si="1063"/>
        <v>0</v>
      </c>
      <c r="CK525" t="b">
        <f t="shared" si="1064"/>
        <v>0</v>
      </c>
      <c r="CL525" t="b">
        <f t="shared" si="1065"/>
        <v>0</v>
      </c>
      <c r="CM525">
        <f t="shared" si="1066"/>
        <v>1</v>
      </c>
      <c r="CN525" t="b">
        <f t="shared" si="1067"/>
        <v>0</v>
      </c>
      <c r="CO525" t="b">
        <f t="shared" si="1068"/>
        <v>0</v>
      </c>
      <c r="CP525" t="b">
        <f t="shared" si="1069"/>
        <v>0</v>
      </c>
      <c r="CQ525" t="b">
        <f t="shared" si="1070"/>
        <v>0</v>
      </c>
      <c r="CR525" t="b">
        <f t="shared" si="1071"/>
        <v>0</v>
      </c>
      <c r="CS525" t="b">
        <f t="shared" si="1072"/>
        <v>0</v>
      </c>
      <c r="CT525" t="b">
        <f t="shared" si="1073"/>
        <v>0</v>
      </c>
      <c r="CU525" t="b">
        <f t="shared" si="1074"/>
        <v>0</v>
      </c>
      <c r="CV525">
        <f t="shared" si="1075"/>
        <v>1</v>
      </c>
      <c r="CW525" t="b">
        <f t="shared" si="1076"/>
        <v>0</v>
      </c>
      <c r="CX525" t="b">
        <f t="shared" si="1077"/>
        <v>0</v>
      </c>
      <c r="CY525" t="b">
        <f t="shared" si="1078"/>
        <v>0</v>
      </c>
      <c r="CZ525" t="b">
        <f t="shared" si="1079"/>
        <v>0</v>
      </c>
      <c r="DA525">
        <f t="shared" si="1080"/>
        <v>1</v>
      </c>
      <c r="DB525">
        <f t="shared" si="1081"/>
        <v>1</v>
      </c>
      <c r="DC525" t="b">
        <f t="shared" si="1082"/>
        <v>0</v>
      </c>
      <c r="DD525" t="b">
        <f t="shared" si="1083"/>
        <v>0</v>
      </c>
      <c r="DE525" t="b">
        <f t="shared" si="1084"/>
        <v>0</v>
      </c>
      <c r="DF525" t="b">
        <f t="shared" si="1085"/>
        <v>0</v>
      </c>
      <c r="DG525" t="b">
        <f t="shared" si="1086"/>
        <v>0</v>
      </c>
      <c r="DH525" t="b">
        <f t="shared" si="1087"/>
        <v>0</v>
      </c>
      <c r="DI525" t="b">
        <f t="shared" si="1088"/>
        <v>0</v>
      </c>
      <c r="DJ525" t="b">
        <f t="shared" si="1089"/>
        <v>0</v>
      </c>
      <c r="DK525" t="b">
        <f t="shared" si="1090"/>
        <v>0</v>
      </c>
      <c r="DL525" t="b">
        <f t="shared" si="1091"/>
        <v>0</v>
      </c>
      <c r="DM525" t="b">
        <f t="shared" si="1092"/>
        <v>0</v>
      </c>
      <c r="DN525" t="b">
        <f t="shared" si="1093"/>
        <v>0</v>
      </c>
      <c r="DO525" t="b">
        <f t="shared" si="1094"/>
        <v>0</v>
      </c>
      <c r="DP525" t="b">
        <f t="shared" si="1095"/>
        <v>0</v>
      </c>
      <c r="DQ525" t="b">
        <f t="shared" si="1096"/>
        <v>0</v>
      </c>
      <c r="DR525" t="b">
        <f t="shared" si="1097"/>
        <v>0</v>
      </c>
      <c r="DS525" t="b">
        <f t="shared" si="1098"/>
        <v>0</v>
      </c>
      <c r="DT525" t="b">
        <f t="shared" si="1099"/>
        <v>0</v>
      </c>
      <c r="DU525" t="b">
        <f t="shared" si="1100"/>
        <v>0</v>
      </c>
      <c r="DV525" t="b">
        <f t="shared" si="1101"/>
        <v>0</v>
      </c>
      <c r="DW525" t="b">
        <f t="shared" si="1102"/>
        <v>0</v>
      </c>
      <c r="DX525" t="b">
        <f t="shared" si="1103"/>
        <v>0</v>
      </c>
      <c r="DY525" t="b">
        <f t="shared" si="1104"/>
        <v>0</v>
      </c>
      <c r="DZ525" t="b">
        <f t="shared" si="1105"/>
        <v>0</v>
      </c>
      <c r="EA525" t="b">
        <f t="shared" si="1106"/>
        <v>0</v>
      </c>
      <c r="EB525" t="b">
        <f t="shared" si="1107"/>
        <v>0</v>
      </c>
      <c r="EC525" t="b">
        <f t="shared" si="1108"/>
        <v>0</v>
      </c>
      <c r="ED525" t="b">
        <f t="shared" si="1109"/>
        <v>0</v>
      </c>
      <c r="EE525" t="b">
        <f t="shared" si="1110"/>
        <v>0</v>
      </c>
      <c r="EF525">
        <f t="shared" si="1111"/>
        <v>1</v>
      </c>
      <c r="EG525" t="b">
        <f t="shared" si="1112"/>
        <v>0</v>
      </c>
      <c r="EH525" t="b">
        <f t="shared" si="1113"/>
        <v>0</v>
      </c>
      <c r="EI525" t="b">
        <f t="shared" si="1114"/>
        <v>0</v>
      </c>
      <c r="EJ525" t="b">
        <f t="shared" si="1115"/>
        <v>0</v>
      </c>
      <c r="EK525" t="b">
        <f t="shared" si="1116"/>
        <v>0</v>
      </c>
    </row>
    <row r="526" spans="1:141">
      <c r="A526" t="s">
        <v>2657</v>
      </c>
      <c r="B526" t="s">
        <v>2657</v>
      </c>
      <c r="C526" t="s">
        <v>2658</v>
      </c>
      <c r="D526" s="1">
        <v>42549</v>
      </c>
      <c r="E526" s="2">
        <v>43744.763078703705</v>
      </c>
      <c r="F526" s="2">
        <v>43744.767395833333</v>
      </c>
      <c r="G526">
        <v>988230</v>
      </c>
      <c r="H526" t="s">
        <v>2659</v>
      </c>
      <c r="I526" s="10" t="s">
        <v>2660</v>
      </c>
      <c r="J526" t="s">
        <v>660</v>
      </c>
      <c r="K526" s="8" t="b">
        <v>1</v>
      </c>
      <c r="L526" s="10" t="b">
        <v>0</v>
      </c>
      <c r="M526" s="12" t="b">
        <v>0</v>
      </c>
      <c r="N526" t="b">
        <v>0</v>
      </c>
      <c r="O526" t="b">
        <v>0</v>
      </c>
      <c r="P526" t="b">
        <v>0</v>
      </c>
      <c r="Q526">
        <f t="shared" si="993"/>
        <v>3</v>
      </c>
      <c r="R526">
        <f t="shared" si="994"/>
        <v>6</v>
      </c>
      <c r="S526" t="e">
        <f t="shared" ca="1" si="1024"/>
        <v>#NAME?</v>
      </c>
      <c r="T526" t="e">
        <f t="shared" ca="1" si="995"/>
        <v>#NAME?</v>
      </c>
      <c r="U526" s="4">
        <f t="shared" si="996"/>
        <v>1195.7630787037051</v>
      </c>
      <c r="V526" s="4">
        <f t="shared" si="997"/>
        <v>39.858769290123504</v>
      </c>
      <c r="W526" s="4">
        <f t="shared" si="998"/>
        <v>1</v>
      </c>
      <c r="X526" s="4">
        <f t="shared" si="999"/>
        <v>0</v>
      </c>
      <c r="Y526" s="4">
        <f t="shared" si="1000"/>
        <v>0</v>
      </c>
      <c r="Z526" s="4">
        <f t="shared" si="1001"/>
        <v>0</v>
      </c>
      <c r="AA526" s="4">
        <f t="shared" si="1002"/>
        <v>0</v>
      </c>
      <c r="AB526" s="4">
        <f t="shared" si="1003"/>
        <v>0</v>
      </c>
      <c r="AC526" s="4"/>
      <c r="AD526" s="4" t="b">
        <f t="shared" si="1004"/>
        <v>0</v>
      </c>
      <c r="AE526" s="4" t="b">
        <f t="shared" si="1005"/>
        <v>0</v>
      </c>
      <c r="AF526" s="4" t="b">
        <f t="shared" si="1006"/>
        <v>0</v>
      </c>
      <c r="AG526" t="b">
        <f t="shared" si="1007"/>
        <v>0</v>
      </c>
      <c r="AH526" t="b">
        <f t="shared" si="1008"/>
        <v>0</v>
      </c>
      <c r="AI526" t="b">
        <f t="shared" si="1009"/>
        <v>0</v>
      </c>
      <c r="AJ526" t="b">
        <f t="shared" si="1010"/>
        <v>0</v>
      </c>
      <c r="AK526" t="b">
        <f t="shared" si="1011"/>
        <v>0</v>
      </c>
      <c r="AL526" t="b">
        <f t="shared" si="1012"/>
        <v>0</v>
      </c>
      <c r="AM526" t="b">
        <f t="shared" si="1013"/>
        <v>0</v>
      </c>
      <c r="AN526" t="b">
        <f t="shared" si="1014"/>
        <v>0</v>
      </c>
      <c r="AO526" t="b">
        <f t="shared" si="1015"/>
        <v>0</v>
      </c>
      <c r="AP526" t="b">
        <f t="shared" si="1016"/>
        <v>0</v>
      </c>
      <c r="AQ526" t="b">
        <f t="shared" si="1017"/>
        <v>0</v>
      </c>
      <c r="AR526" t="b">
        <f t="shared" si="1018"/>
        <v>0</v>
      </c>
      <c r="AS526" t="b">
        <f t="shared" si="1019"/>
        <v>0</v>
      </c>
      <c r="AT526" t="b">
        <f t="shared" si="1020"/>
        <v>0</v>
      </c>
      <c r="AU526" t="b">
        <f t="shared" si="1021"/>
        <v>0</v>
      </c>
      <c r="AV526" t="b">
        <f t="shared" si="1022"/>
        <v>0</v>
      </c>
      <c r="AW526" t="b">
        <f t="shared" si="1023"/>
        <v>0</v>
      </c>
      <c r="AX526" t="b">
        <f t="shared" si="1025"/>
        <v>0</v>
      </c>
      <c r="AY526" t="b">
        <f t="shared" si="1026"/>
        <v>0</v>
      </c>
      <c r="AZ526" t="b">
        <f t="shared" si="1027"/>
        <v>0</v>
      </c>
      <c r="BA526" t="b">
        <f t="shared" si="1028"/>
        <v>0</v>
      </c>
      <c r="BB526" t="b">
        <f t="shared" si="1029"/>
        <v>0</v>
      </c>
      <c r="BC526" t="b">
        <f t="shared" si="1030"/>
        <v>0</v>
      </c>
      <c r="BD526" t="b">
        <f t="shared" si="1031"/>
        <v>0</v>
      </c>
      <c r="BE526" t="b">
        <f t="shared" si="1032"/>
        <v>0</v>
      </c>
      <c r="BF526" t="b">
        <f t="shared" si="1033"/>
        <v>0</v>
      </c>
      <c r="BG526" t="b">
        <f t="shared" si="1034"/>
        <v>0</v>
      </c>
      <c r="BH526" t="b">
        <f t="shared" si="1035"/>
        <v>0</v>
      </c>
      <c r="BI526">
        <f t="shared" si="1036"/>
        <v>1</v>
      </c>
      <c r="BJ526" t="b">
        <f t="shared" si="1037"/>
        <v>0</v>
      </c>
      <c r="BK526" t="b">
        <f t="shared" si="1038"/>
        <v>0</v>
      </c>
      <c r="BL526" t="b">
        <f t="shared" si="1039"/>
        <v>0</v>
      </c>
      <c r="BM526" t="b">
        <f t="shared" si="1040"/>
        <v>0</v>
      </c>
      <c r="BN526" t="b">
        <f t="shared" si="1041"/>
        <v>0</v>
      </c>
      <c r="BO526" t="b">
        <f t="shared" si="1042"/>
        <v>0</v>
      </c>
      <c r="BP526" t="b">
        <f t="shared" si="1043"/>
        <v>0</v>
      </c>
      <c r="BQ526" t="b">
        <f t="shared" si="1044"/>
        <v>0</v>
      </c>
      <c r="BR526" t="b">
        <f t="shared" si="1045"/>
        <v>0</v>
      </c>
      <c r="BS526" t="b">
        <f t="shared" si="1046"/>
        <v>0</v>
      </c>
      <c r="BT526" t="b">
        <f t="shared" si="1047"/>
        <v>0</v>
      </c>
      <c r="BU526" t="b">
        <f t="shared" si="1048"/>
        <v>0</v>
      </c>
      <c r="BV526" t="b">
        <f t="shared" si="1049"/>
        <v>0</v>
      </c>
      <c r="BW526" t="b">
        <f t="shared" si="1050"/>
        <v>0</v>
      </c>
      <c r="BX526" t="b">
        <f t="shared" si="1051"/>
        <v>0</v>
      </c>
      <c r="BY526" t="b">
        <f t="shared" si="1052"/>
        <v>0</v>
      </c>
      <c r="BZ526" t="b">
        <f t="shared" si="1053"/>
        <v>0</v>
      </c>
      <c r="CA526" t="b">
        <f t="shared" si="1054"/>
        <v>0</v>
      </c>
      <c r="CB526" t="b">
        <f t="shared" si="1055"/>
        <v>0</v>
      </c>
      <c r="CC526" t="b">
        <f t="shared" si="1056"/>
        <v>0</v>
      </c>
      <c r="CD526" t="b">
        <f t="shared" si="1057"/>
        <v>0</v>
      </c>
      <c r="CE526" t="b">
        <f t="shared" si="1058"/>
        <v>0</v>
      </c>
      <c r="CF526" t="b">
        <f t="shared" si="1059"/>
        <v>0</v>
      </c>
      <c r="CG526" t="b">
        <f t="shared" si="1060"/>
        <v>0</v>
      </c>
      <c r="CH526" t="b">
        <f t="shared" si="1061"/>
        <v>0</v>
      </c>
      <c r="CI526" t="b">
        <f t="shared" si="1062"/>
        <v>0</v>
      </c>
      <c r="CJ526" t="b">
        <f t="shared" si="1063"/>
        <v>0</v>
      </c>
      <c r="CK526" t="b">
        <f t="shared" si="1064"/>
        <v>0</v>
      </c>
      <c r="CL526" t="b">
        <f t="shared" si="1065"/>
        <v>0</v>
      </c>
      <c r="CM526">
        <f t="shared" si="1066"/>
        <v>1</v>
      </c>
      <c r="CN526" t="b">
        <f t="shared" si="1067"/>
        <v>0</v>
      </c>
      <c r="CO526" t="b">
        <f t="shared" si="1068"/>
        <v>0</v>
      </c>
      <c r="CP526" t="b">
        <f t="shared" si="1069"/>
        <v>0</v>
      </c>
      <c r="CQ526" t="b">
        <f t="shared" si="1070"/>
        <v>0</v>
      </c>
      <c r="CR526" t="b">
        <f t="shared" si="1071"/>
        <v>0</v>
      </c>
      <c r="CS526" t="b">
        <f t="shared" si="1072"/>
        <v>0</v>
      </c>
      <c r="CT526" t="b">
        <f t="shared" si="1073"/>
        <v>0</v>
      </c>
      <c r="CU526" t="b">
        <f t="shared" si="1074"/>
        <v>0</v>
      </c>
      <c r="CV526">
        <f t="shared" si="1075"/>
        <v>1</v>
      </c>
      <c r="CW526" t="b">
        <f t="shared" si="1076"/>
        <v>0</v>
      </c>
      <c r="CX526" t="b">
        <f t="shared" si="1077"/>
        <v>0</v>
      </c>
      <c r="CY526" t="b">
        <f t="shared" si="1078"/>
        <v>0</v>
      </c>
      <c r="CZ526" t="b">
        <f t="shared" si="1079"/>
        <v>0</v>
      </c>
      <c r="DA526" t="b">
        <f t="shared" si="1080"/>
        <v>0</v>
      </c>
      <c r="DB526" t="b">
        <f t="shared" si="1081"/>
        <v>0</v>
      </c>
      <c r="DC526" t="b">
        <f t="shared" si="1082"/>
        <v>0</v>
      </c>
      <c r="DD526" t="b">
        <f t="shared" si="1083"/>
        <v>0</v>
      </c>
      <c r="DE526" t="b">
        <f t="shared" si="1084"/>
        <v>0</v>
      </c>
      <c r="DF526" t="b">
        <f t="shared" si="1085"/>
        <v>0</v>
      </c>
      <c r="DG526" t="b">
        <f t="shared" si="1086"/>
        <v>0</v>
      </c>
      <c r="DH526" t="b">
        <f t="shared" si="1087"/>
        <v>0</v>
      </c>
      <c r="DI526" t="b">
        <f t="shared" si="1088"/>
        <v>0</v>
      </c>
      <c r="DJ526" t="b">
        <f t="shared" si="1089"/>
        <v>0</v>
      </c>
      <c r="DK526" t="b">
        <f t="shared" si="1090"/>
        <v>0</v>
      </c>
      <c r="DL526" t="b">
        <f t="shared" si="1091"/>
        <v>0</v>
      </c>
      <c r="DM526" t="b">
        <f t="shared" si="1092"/>
        <v>0</v>
      </c>
      <c r="DN526" t="b">
        <f t="shared" si="1093"/>
        <v>0</v>
      </c>
      <c r="DO526" t="b">
        <f t="shared" si="1094"/>
        <v>0</v>
      </c>
      <c r="DP526" t="b">
        <f t="shared" si="1095"/>
        <v>0</v>
      </c>
      <c r="DQ526" t="b">
        <f t="shared" si="1096"/>
        <v>0</v>
      </c>
      <c r="DR526" t="b">
        <f t="shared" si="1097"/>
        <v>0</v>
      </c>
      <c r="DS526" t="b">
        <f t="shared" si="1098"/>
        <v>0</v>
      </c>
      <c r="DT526" t="b">
        <f t="shared" si="1099"/>
        <v>0</v>
      </c>
      <c r="DU526" t="b">
        <f t="shared" si="1100"/>
        <v>0</v>
      </c>
      <c r="DV526" t="b">
        <f t="shared" si="1101"/>
        <v>0</v>
      </c>
      <c r="DW526" t="b">
        <f t="shared" si="1102"/>
        <v>0</v>
      </c>
      <c r="DX526" t="b">
        <f t="shared" si="1103"/>
        <v>0</v>
      </c>
      <c r="DY526" t="b">
        <f t="shared" si="1104"/>
        <v>0</v>
      </c>
      <c r="DZ526" t="b">
        <f t="shared" si="1105"/>
        <v>0</v>
      </c>
      <c r="EA526" t="b">
        <f t="shared" si="1106"/>
        <v>0</v>
      </c>
      <c r="EB526" t="b">
        <f t="shared" si="1107"/>
        <v>0</v>
      </c>
      <c r="EC526" t="b">
        <f t="shared" si="1108"/>
        <v>0</v>
      </c>
      <c r="ED526" t="b">
        <f t="shared" si="1109"/>
        <v>0</v>
      </c>
      <c r="EE526" t="b">
        <f t="shared" si="1110"/>
        <v>0</v>
      </c>
      <c r="EF526">
        <f t="shared" si="1111"/>
        <v>1</v>
      </c>
      <c r="EG526" t="b">
        <f t="shared" si="1112"/>
        <v>0</v>
      </c>
      <c r="EH526" t="b">
        <f t="shared" si="1113"/>
        <v>0</v>
      </c>
      <c r="EI526" t="b">
        <f t="shared" si="1114"/>
        <v>0</v>
      </c>
      <c r="EJ526" t="b">
        <f t="shared" si="1115"/>
        <v>0</v>
      </c>
      <c r="EK526" t="b">
        <f t="shared" si="1116"/>
        <v>0</v>
      </c>
    </row>
    <row r="527" spans="1:141">
      <c r="A527" t="s">
        <v>2661</v>
      </c>
      <c r="B527" t="s">
        <v>2661</v>
      </c>
      <c r="C527" t="s">
        <v>2662</v>
      </c>
      <c r="D527" s="1">
        <v>44505</v>
      </c>
      <c r="E527" s="2">
        <v>44804.262291666666</v>
      </c>
      <c r="F527" s="2">
        <v>44804.275775462964</v>
      </c>
      <c r="G527">
        <v>10001355</v>
      </c>
      <c r="H527" t="s">
        <v>2663</v>
      </c>
      <c r="I527" s="10" t="s">
        <v>2664</v>
      </c>
      <c r="J527" t="s">
        <v>1096</v>
      </c>
      <c r="K527" s="8" t="b">
        <v>1</v>
      </c>
      <c r="L527" s="10" t="b">
        <v>0</v>
      </c>
      <c r="M527" s="12" t="b">
        <v>1</v>
      </c>
      <c r="N527" t="b">
        <v>0</v>
      </c>
      <c r="O527" t="b">
        <v>0</v>
      </c>
      <c r="P527" t="b">
        <v>0</v>
      </c>
      <c r="Q527">
        <f t="shared" si="993"/>
        <v>6</v>
      </c>
      <c r="R527">
        <f t="shared" si="994"/>
        <v>11</v>
      </c>
      <c r="S527" t="e">
        <f t="shared" ca="1" si="1024"/>
        <v>#NAME?</v>
      </c>
      <c r="T527" t="e">
        <f t="shared" ca="1" si="995"/>
        <v>#NAME?</v>
      </c>
      <c r="U527" s="4">
        <f t="shared" si="996"/>
        <v>299.26229166666599</v>
      </c>
      <c r="V527" s="4">
        <f t="shared" si="997"/>
        <v>9.9754097222221993</v>
      </c>
      <c r="W527" s="4">
        <f t="shared" si="998"/>
        <v>1</v>
      </c>
      <c r="X527" s="4">
        <f t="shared" si="999"/>
        <v>0</v>
      </c>
      <c r="Y527" s="4">
        <f t="shared" si="1000"/>
        <v>1</v>
      </c>
      <c r="Z527" s="4">
        <f t="shared" si="1001"/>
        <v>0</v>
      </c>
      <c r="AA527" s="4">
        <f t="shared" si="1002"/>
        <v>0</v>
      </c>
      <c r="AB527" s="4">
        <f t="shared" si="1003"/>
        <v>0</v>
      </c>
      <c r="AC527" s="4"/>
      <c r="AD527" s="4" t="b">
        <f t="shared" si="1004"/>
        <v>0</v>
      </c>
      <c r="AE527" s="4" t="b">
        <f t="shared" si="1005"/>
        <v>0</v>
      </c>
      <c r="AF527" s="4" t="b">
        <f t="shared" si="1006"/>
        <v>0</v>
      </c>
      <c r="AG527" t="b">
        <f t="shared" si="1007"/>
        <v>0</v>
      </c>
      <c r="AH527" t="b">
        <f t="shared" si="1008"/>
        <v>0</v>
      </c>
      <c r="AI527" t="b">
        <f t="shared" si="1009"/>
        <v>0</v>
      </c>
      <c r="AJ527" t="b">
        <f t="shared" si="1010"/>
        <v>0</v>
      </c>
      <c r="AK527" t="b">
        <f t="shared" si="1011"/>
        <v>0</v>
      </c>
      <c r="AL527" t="b">
        <f t="shared" si="1012"/>
        <v>0</v>
      </c>
      <c r="AM527" t="b">
        <f t="shared" si="1013"/>
        <v>0</v>
      </c>
      <c r="AN527" t="b">
        <f t="shared" si="1014"/>
        <v>0</v>
      </c>
      <c r="AO527" t="b">
        <f t="shared" si="1015"/>
        <v>0</v>
      </c>
      <c r="AP527" t="b">
        <f t="shared" si="1016"/>
        <v>0</v>
      </c>
      <c r="AQ527" t="b">
        <f t="shared" si="1017"/>
        <v>0</v>
      </c>
      <c r="AR527" t="b">
        <f t="shared" si="1018"/>
        <v>0</v>
      </c>
      <c r="AS527" t="b">
        <f t="shared" si="1019"/>
        <v>0</v>
      </c>
      <c r="AT527" t="b">
        <f t="shared" si="1020"/>
        <v>0</v>
      </c>
      <c r="AU527" t="b">
        <f t="shared" si="1021"/>
        <v>0</v>
      </c>
      <c r="AV527" t="b">
        <f t="shared" si="1022"/>
        <v>0</v>
      </c>
      <c r="AW527" t="b">
        <f t="shared" si="1023"/>
        <v>0</v>
      </c>
      <c r="AX527" t="b">
        <f t="shared" si="1025"/>
        <v>0</v>
      </c>
      <c r="AY527" t="b">
        <f t="shared" si="1026"/>
        <v>0</v>
      </c>
      <c r="AZ527" t="b">
        <f t="shared" si="1027"/>
        <v>0</v>
      </c>
      <c r="BA527" t="b">
        <f t="shared" si="1028"/>
        <v>0</v>
      </c>
      <c r="BB527" t="b">
        <f t="shared" si="1029"/>
        <v>0</v>
      </c>
      <c r="BC527" t="b">
        <f t="shared" si="1030"/>
        <v>0</v>
      </c>
      <c r="BD527" t="b">
        <f t="shared" si="1031"/>
        <v>0</v>
      </c>
      <c r="BE527" t="b">
        <f t="shared" si="1032"/>
        <v>0</v>
      </c>
      <c r="BF527" t="b">
        <f t="shared" si="1033"/>
        <v>0</v>
      </c>
      <c r="BG527" t="b">
        <f t="shared" si="1034"/>
        <v>0</v>
      </c>
      <c r="BH527" t="b">
        <f t="shared" si="1035"/>
        <v>0</v>
      </c>
      <c r="BI527">
        <f t="shared" si="1036"/>
        <v>1</v>
      </c>
      <c r="BJ527" t="b">
        <f t="shared" si="1037"/>
        <v>0</v>
      </c>
      <c r="BK527" t="b">
        <f t="shared" si="1038"/>
        <v>0</v>
      </c>
      <c r="BL527" t="b">
        <f t="shared" si="1039"/>
        <v>0</v>
      </c>
      <c r="BM527" t="b">
        <f t="shared" si="1040"/>
        <v>0</v>
      </c>
      <c r="BN527" t="b">
        <f t="shared" si="1041"/>
        <v>0</v>
      </c>
      <c r="BO527" t="b">
        <f t="shared" si="1042"/>
        <v>0</v>
      </c>
      <c r="BP527" t="b">
        <f t="shared" si="1043"/>
        <v>0</v>
      </c>
      <c r="BQ527" t="b">
        <f t="shared" si="1044"/>
        <v>0</v>
      </c>
      <c r="BR527" t="b">
        <f t="shared" si="1045"/>
        <v>0</v>
      </c>
      <c r="BS527" t="b">
        <f t="shared" si="1046"/>
        <v>0</v>
      </c>
      <c r="BT527" t="b">
        <f t="shared" si="1047"/>
        <v>0</v>
      </c>
      <c r="BU527" t="b">
        <f t="shared" si="1048"/>
        <v>0</v>
      </c>
      <c r="BV527" t="b">
        <f t="shared" si="1049"/>
        <v>0</v>
      </c>
      <c r="BW527" t="b">
        <f t="shared" si="1050"/>
        <v>0</v>
      </c>
      <c r="BX527" t="b">
        <f t="shared" si="1051"/>
        <v>0</v>
      </c>
      <c r="BY527" t="b">
        <f t="shared" si="1052"/>
        <v>0</v>
      </c>
      <c r="BZ527" t="b">
        <f t="shared" si="1053"/>
        <v>0</v>
      </c>
      <c r="CA527" t="b">
        <f t="shared" si="1054"/>
        <v>0</v>
      </c>
      <c r="CB527" t="b">
        <f t="shared" si="1055"/>
        <v>0</v>
      </c>
      <c r="CC527" t="b">
        <f t="shared" si="1056"/>
        <v>0</v>
      </c>
      <c r="CD527" t="b">
        <f t="shared" si="1057"/>
        <v>0</v>
      </c>
      <c r="CE527">
        <f t="shared" si="1058"/>
        <v>1</v>
      </c>
      <c r="CF527" t="b">
        <f t="shared" si="1059"/>
        <v>0</v>
      </c>
      <c r="CG527" t="b">
        <f t="shared" si="1060"/>
        <v>0</v>
      </c>
      <c r="CH527" t="b">
        <f t="shared" si="1061"/>
        <v>0</v>
      </c>
      <c r="CI527" t="b">
        <f t="shared" si="1062"/>
        <v>0</v>
      </c>
      <c r="CJ527" t="b">
        <f t="shared" si="1063"/>
        <v>0</v>
      </c>
      <c r="CK527" t="b">
        <f t="shared" si="1064"/>
        <v>0</v>
      </c>
      <c r="CL527" t="b">
        <f t="shared" si="1065"/>
        <v>0</v>
      </c>
      <c r="CM527" t="b">
        <f t="shared" si="1066"/>
        <v>0</v>
      </c>
      <c r="CN527" t="b">
        <f t="shared" si="1067"/>
        <v>0</v>
      </c>
      <c r="CO527" t="b">
        <f t="shared" si="1068"/>
        <v>0</v>
      </c>
      <c r="CP527" t="b">
        <f t="shared" si="1069"/>
        <v>0</v>
      </c>
      <c r="CQ527" t="b">
        <f t="shared" si="1070"/>
        <v>0</v>
      </c>
      <c r="CR527" t="b">
        <f t="shared" si="1071"/>
        <v>0</v>
      </c>
      <c r="CS527" t="b">
        <f t="shared" si="1072"/>
        <v>0</v>
      </c>
      <c r="CT527" t="b">
        <f t="shared" si="1073"/>
        <v>0</v>
      </c>
      <c r="CU527" t="b">
        <f t="shared" si="1074"/>
        <v>0</v>
      </c>
      <c r="CV527" t="b">
        <f t="shared" si="1075"/>
        <v>0</v>
      </c>
      <c r="CW527" t="b">
        <f t="shared" si="1076"/>
        <v>0</v>
      </c>
      <c r="CX527" t="b">
        <f t="shared" si="1077"/>
        <v>0</v>
      </c>
      <c r="CY527" t="b">
        <f t="shared" si="1078"/>
        <v>0</v>
      </c>
      <c r="CZ527" t="b">
        <f t="shared" si="1079"/>
        <v>0</v>
      </c>
      <c r="DA527" t="b">
        <f t="shared" si="1080"/>
        <v>0</v>
      </c>
      <c r="DB527" t="b">
        <f t="shared" si="1081"/>
        <v>0</v>
      </c>
      <c r="DC527" t="b">
        <f t="shared" si="1082"/>
        <v>0</v>
      </c>
      <c r="DD527" t="b">
        <f t="shared" si="1083"/>
        <v>0</v>
      </c>
      <c r="DE527" t="b">
        <f t="shared" si="1084"/>
        <v>0</v>
      </c>
      <c r="DF527" t="b">
        <f t="shared" si="1085"/>
        <v>0</v>
      </c>
      <c r="DG527" t="b">
        <f t="shared" si="1086"/>
        <v>0</v>
      </c>
      <c r="DH527" t="b">
        <f t="shared" si="1087"/>
        <v>0</v>
      </c>
      <c r="DI527" t="b">
        <f t="shared" si="1088"/>
        <v>0</v>
      </c>
      <c r="DJ527" t="b">
        <f t="shared" si="1089"/>
        <v>0</v>
      </c>
      <c r="DK527" t="b">
        <f t="shared" si="1090"/>
        <v>0</v>
      </c>
      <c r="DL527" t="b">
        <f t="shared" si="1091"/>
        <v>0</v>
      </c>
      <c r="DM527" t="b">
        <f t="shared" si="1092"/>
        <v>0</v>
      </c>
      <c r="DN527" t="b">
        <f t="shared" si="1093"/>
        <v>0</v>
      </c>
      <c r="DO527" t="b">
        <f t="shared" si="1094"/>
        <v>0</v>
      </c>
      <c r="DP527" t="b">
        <f t="shared" si="1095"/>
        <v>0</v>
      </c>
      <c r="DQ527" t="b">
        <f t="shared" si="1096"/>
        <v>0</v>
      </c>
      <c r="DR527" t="b">
        <f t="shared" si="1097"/>
        <v>0</v>
      </c>
      <c r="DS527" t="b">
        <f t="shared" si="1098"/>
        <v>0</v>
      </c>
      <c r="DT527" t="b">
        <f t="shared" si="1099"/>
        <v>0</v>
      </c>
      <c r="DU527" t="b">
        <f t="shared" si="1100"/>
        <v>0</v>
      </c>
      <c r="DV527" t="b">
        <f t="shared" si="1101"/>
        <v>0</v>
      </c>
      <c r="DW527" t="b">
        <f t="shared" si="1102"/>
        <v>0</v>
      </c>
      <c r="DX527" t="b">
        <f t="shared" si="1103"/>
        <v>0</v>
      </c>
      <c r="DY527" t="b">
        <f t="shared" si="1104"/>
        <v>0</v>
      </c>
      <c r="DZ527" t="b">
        <f t="shared" si="1105"/>
        <v>0</v>
      </c>
      <c r="EA527" t="b">
        <f t="shared" si="1106"/>
        <v>0</v>
      </c>
      <c r="EB527" t="b">
        <f t="shared" si="1107"/>
        <v>0</v>
      </c>
      <c r="EC527" t="b">
        <f t="shared" si="1108"/>
        <v>0</v>
      </c>
      <c r="ED527" t="b">
        <f t="shared" si="1109"/>
        <v>0</v>
      </c>
      <c r="EE527" t="b">
        <f t="shared" si="1110"/>
        <v>0</v>
      </c>
      <c r="EF527">
        <f t="shared" si="1111"/>
        <v>1</v>
      </c>
      <c r="EG527" t="b">
        <f t="shared" si="1112"/>
        <v>0</v>
      </c>
      <c r="EH527" t="b">
        <f t="shared" si="1113"/>
        <v>0</v>
      </c>
      <c r="EI527" t="b">
        <f t="shared" si="1114"/>
        <v>0</v>
      </c>
      <c r="EJ527" t="b">
        <f t="shared" si="1115"/>
        <v>0</v>
      </c>
      <c r="EK527" t="b">
        <f t="shared" si="1116"/>
        <v>0</v>
      </c>
    </row>
    <row r="528" spans="1:141">
      <c r="A528" t="s">
        <v>2665</v>
      </c>
      <c r="B528" t="s">
        <v>2666</v>
      </c>
      <c r="C528" t="s">
        <v>2667</v>
      </c>
      <c r="D528" s="1">
        <v>43285</v>
      </c>
      <c r="E528" s="2">
        <v>43667.650011574071</v>
      </c>
      <c r="F528" s="2">
        <v>43667.650011574071</v>
      </c>
      <c r="G528">
        <v>5187305</v>
      </c>
      <c r="H528" t="s">
        <v>2668</v>
      </c>
      <c r="I528" s="10" t="s">
        <v>2669</v>
      </c>
      <c r="J528" t="s">
        <v>156</v>
      </c>
      <c r="K528" s="8" t="b">
        <v>1</v>
      </c>
      <c r="L528" s="10" t="b">
        <v>0</v>
      </c>
      <c r="M528" s="12" t="b">
        <v>0</v>
      </c>
      <c r="N528" t="b">
        <v>0</v>
      </c>
      <c r="O528" t="b">
        <v>0</v>
      </c>
      <c r="P528" t="b">
        <v>0</v>
      </c>
      <c r="Q528">
        <f t="shared" si="993"/>
        <v>4</v>
      </c>
      <c r="R528">
        <f t="shared" si="994"/>
        <v>7</v>
      </c>
      <c r="S528" t="e">
        <f t="shared" ca="1" si="1024"/>
        <v>#NAME?</v>
      </c>
      <c r="T528" t="e">
        <f t="shared" ca="1" si="995"/>
        <v>#NAME?</v>
      </c>
      <c r="U528" s="4">
        <f t="shared" si="996"/>
        <v>382.65001157407096</v>
      </c>
      <c r="V528" s="4">
        <f t="shared" si="997"/>
        <v>12.755000385802365</v>
      </c>
      <c r="W528" s="4">
        <f t="shared" si="998"/>
        <v>1</v>
      </c>
      <c r="X528" s="4">
        <f t="shared" si="999"/>
        <v>0</v>
      </c>
      <c r="Y528" s="4">
        <f t="shared" si="1000"/>
        <v>0</v>
      </c>
      <c r="Z528" s="4">
        <f t="shared" si="1001"/>
        <v>0</v>
      </c>
      <c r="AA528" s="4">
        <f t="shared" si="1002"/>
        <v>0</v>
      </c>
      <c r="AB528" s="4">
        <f t="shared" si="1003"/>
        <v>0</v>
      </c>
      <c r="AC528" s="4"/>
      <c r="AD528" s="4" t="b">
        <f t="shared" si="1004"/>
        <v>0</v>
      </c>
      <c r="AE528" s="4" t="b">
        <f t="shared" si="1005"/>
        <v>0</v>
      </c>
      <c r="AF528" s="4" t="b">
        <f t="shared" si="1006"/>
        <v>0</v>
      </c>
      <c r="AG528" t="b">
        <f t="shared" si="1007"/>
        <v>0</v>
      </c>
      <c r="AH528" t="b">
        <f t="shared" si="1008"/>
        <v>0</v>
      </c>
      <c r="AI528" t="b">
        <f t="shared" si="1009"/>
        <v>0</v>
      </c>
      <c r="AJ528" t="b">
        <f t="shared" si="1010"/>
        <v>0</v>
      </c>
      <c r="AK528" t="b">
        <f t="shared" si="1011"/>
        <v>0</v>
      </c>
      <c r="AL528" t="b">
        <f t="shared" si="1012"/>
        <v>0</v>
      </c>
      <c r="AM528" t="b">
        <f t="shared" si="1013"/>
        <v>0</v>
      </c>
      <c r="AN528" t="b">
        <f t="shared" si="1014"/>
        <v>0</v>
      </c>
      <c r="AO528" t="b">
        <f t="shared" si="1015"/>
        <v>0</v>
      </c>
      <c r="AP528" t="b">
        <f t="shared" si="1016"/>
        <v>0</v>
      </c>
      <c r="AQ528" t="b">
        <f t="shared" si="1017"/>
        <v>0</v>
      </c>
      <c r="AR528" t="b">
        <f t="shared" si="1018"/>
        <v>0</v>
      </c>
      <c r="AS528" t="b">
        <f t="shared" si="1019"/>
        <v>0</v>
      </c>
      <c r="AT528" t="b">
        <f t="shared" si="1020"/>
        <v>0</v>
      </c>
      <c r="AU528" t="b">
        <f t="shared" si="1021"/>
        <v>0</v>
      </c>
      <c r="AV528" t="b">
        <f t="shared" si="1022"/>
        <v>0</v>
      </c>
      <c r="AW528" t="b">
        <f t="shared" si="1023"/>
        <v>0</v>
      </c>
      <c r="AX528" t="b">
        <f t="shared" si="1025"/>
        <v>0</v>
      </c>
      <c r="AY528" t="b">
        <f t="shared" si="1026"/>
        <v>0</v>
      </c>
      <c r="AZ528" t="b">
        <f t="shared" si="1027"/>
        <v>0</v>
      </c>
      <c r="BA528" t="b">
        <f t="shared" si="1028"/>
        <v>0</v>
      </c>
      <c r="BB528" t="b">
        <f t="shared" si="1029"/>
        <v>0</v>
      </c>
      <c r="BC528" t="b">
        <f t="shared" si="1030"/>
        <v>0</v>
      </c>
      <c r="BD528" t="b">
        <f t="shared" si="1031"/>
        <v>0</v>
      </c>
      <c r="BE528" t="b">
        <f t="shared" si="1032"/>
        <v>0</v>
      </c>
      <c r="BF528" t="b">
        <f t="shared" si="1033"/>
        <v>0</v>
      </c>
      <c r="BG528" t="b">
        <f t="shared" si="1034"/>
        <v>0</v>
      </c>
      <c r="BH528" t="b">
        <f t="shared" si="1035"/>
        <v>0</v>
      </c>
      <c r="BI528">
        <f t="shared" si="1036"/>
        <v>1</v>
      </c>
      <c r="BJ528" t="b">
        <f t="shared" si="1037"/>
        <v>0</v>
      </c>
      <c r="BK528" t="b">
        <f t="shared" si="1038"/>
        <v>0</v>
      </c>
      <c r="BL528" t="b">
        <f t="shared" si="1039"/>
        <v>0</v>
      </c>
      <c r="BM528" t="b">
        <f t="shared" si="1040"/>
        <v>0</v>
      </c>
      <c r="BN528" t="b">
        <f t="shared" si="1041"/>
        <v>0</v>
      </c>
      <c r="BO528" t="b">
        <f t="shared" si="1042"/>
        <v>0</v>
      </c>
      <c r="BP528" t="b">
        <f t="shared" si="1043"/>
        <v>0</v>
      </c>
      <c r="BQ528" t="b">
        <f t="shared" si="1044"/>
        <v>0</v>
      </c>
      <c r="BR528" t="b">
        <f t="shared" si="1045"/>
        <v>0</v>
      </c>
      <c r="BS528" t="b">
        <f t="shared" si="1046"/>
        <v>0</v>
      </c>
      <c r="BT528" t="b">
        <f t="shared" si="1047"/>
        <v>0</v>
      </c>
      <c r="BU528" t="b">
        <f t="shared" si="1048"/>
        <v>0</v>
      </c>
      <c r="BV528" t="b">
        <f t="shared" si="1049"/>
        <v>0</v>
      </c>
      <c r="BW528" t="b">
        <f t="shared" si="1050"/>
        <v>0</v>
      </c>
      <c r="BX528" t="b">
        <f t="shared" si="1051"/>
        <v>0</v>
      </c>
      <c r="BY528" t="b">
        <f t="shared" si="1052"/>
        <v>0</v>
      </c>
      <c r="BZ528" t="b">
        <f t="shared" si="1053"/>
        <v>0</v>
      </c>
      <c r="CA528" t="b">
        <f t="shared" si="1054"/>
        <v>0</v>
      </c>
      <c r="CB528" t="b">
        <f t="shared" si="1055"/>
        <v>0</v>
      </c>
      <c r="CC528" t="b">
        <f t="shared" si="1056"/>
        <v>0</v>
      </c>
      <c r="CD528" t="b">
        <f t="shared" si="1057"/>
        <v>0</v>
      </c>
      <c r="CE528" t="b">
        <f t="shared" si="1058"/>
        <v>0</v>
      </c>
      <c r="CF528" t="b">
        <f t="shared" si="1059"/>
        <v>0</v>
      </c>
      <c r="CG528" t="b">
        <f t="shared" si="1060"/>
        <v>0</v>
      </c>
      <c r="CH528" t="b">
        <f t="shared" si="1061"/>
        <v>0</v>
      </c>
      <c r="CI528" t="b">
        <f t="shared" si="1062"/>
        <v>0</v>
      </c>
      <c r="CJ528" t="b">
        <f t="shared" si="1063"/>
        <v>0</v>
      </c>
      <c r="CK528" t="b">
        <f t="shared" si="1064"/>
        <v>0</v>
      </c>
      <c r="CL528" t="b">
        <f t="shared" si="1065"/>
        <v>0</v>
      </c>
      <c r="CM528" t="b">
        <f t="shared" si="1066"/>
        <v>0</v>
      </c>
      <c r="CN528" t="b">
        <f t="shared" si="1067"/>
        <v>0</v>
      </c>
      <c r="CO528" t="b">
        <f t="shared" si="1068"/>
        <v>0</v>
      </c>
      <c r="CP528" t="b">
        <f t="shared" si="1069"/>
        <v>0</v>
      </c>
      <c r="CQ528" t="b">
        <f t="shared" si="1070"/>
        <v>0</v>
      </c>
      <c r="CR528" t="b">
        <f t="shared" si="1071"/>
        <v>0</v>
      </c>
      <c r="CS528" t="b">
        <f t="shared" si="1072"/>
        <v>0</v>
      </c>
      <c r="CT528" t="b">
        <f t="shared" si="1073"/>
        <v>0</v>
      </c>
      <c r="CU528" t="b">
        <f t="shared" si="1074"/>
        <v>0</v>
      </c>
      <c r="CV528">
        <f t="shared" si="1075"/>
        <v>1</v>
      </c>
      <c r="CW528" t="b">
        <f t="shared" si="1076"/>
        <v>0</v>
      </c>
      <c r="CX528" t="b">
        <f t="shared" si="1077"/>
        <v>0</v>
      </c>
      <c r="CY528" t="b">
        <f t="shared" si="1078"/>
        <v>0</v>
      </c>
      <c r="CZ528" t="b">
        <f t="shared" si="1079"/>
        <v>0</v>
      </c>
      <c r="DA528" t="b">
        <f t="shared" si="1080"/>
        <v>0</v>
      </c>
      <c r="DB528" t="b">
        <f t="shared" si="1081"/>
        <v>0</v>
      </c>
      <c r="DC528" t="b">
        <f t="shared" si="1082"/>
        <v>0</v>
      </c>
      <c r="DD528" t="b">
        <f t="shared" si="1083"/>
        <v>0</v>
      </c>
      <c r="DE528" t="b">
        <f t="shared" si="1084"/>
        <v>0</v>
      </c>
      <c r="DF528" t="b">
        <f t="shared" si="1085"/>
        <v>0</v>
      </c>
      <c r="DG528" t="b">
        <f t="shared" si="1086"/>
        <v>0</v>
      </c>
      <c r="DH528" t="b">
        <f t="shared" si="1087"/>
        <v>0</v>
      </c>
      <c r="DI528" t="b">
        <f t="shared" si="1088"/>
        <v>0</v>
      </c>
      <c r="DJ528" t="b">
        <f t="shared" si="1089"/>
        <v>0</v>
      </c>
      <c r="DK528" t="b">
        <f t="shared" si="1090"/>
        <v>0</v>
      </c>
      <c r="DL528" t="b">
        <f t="shared" si="1091"/>
        <v>0</v>
      </c>
      <c r="DM528" t="b">
        <f t="shared" si="1092"/>
        <v>0</v>
      </c>
      <c r="DN528" t="b">
        <f t="shared" si="1093"/>
        <v>0</v>
      </c>
      <c r="DO528" t="b">
        <f t="shared" si="1094"/>
        <v>0</v>
      </c>
      <c r="DP528" t="b">
        <f t="shared" si="1095"/>
        <v>0</v>
      </c>
      <c r="DQ528" t="b">
        <f t="shared" si="1096"/>
        <v>0</v>
      </c>
      <c r="DR528" t="b">
        <f t="shared" si="1097"/>
        <v>0</v>
      </c>
      <c r="DS528" t="b">
        <f t="shared" si="1098"/>
        <v>0</v>
      </c>
      <c r="DT528" t="b">
        <f t="shared" si="1099"/>
        <v>0</v>
      </c>
      <c r="DU528" t="b">
        <f t="shared" si="1100"/>
        <v>0</v>
      </c>
      <c r="DV528" t="b">
        <f t="shared" si="1101"/>
        <v>0</v>
      </c>
      <c r="DW528" t="b">
        <f t="shared" si="1102"/>
        <v>0</v>
      </c>
      <c r="DX528" t="b">
        <f t="shared" si="1103"/>
        <v>0</v>
      </c>
      <c r="DY528" t="b">
        <f t="shared" si="1104"/>
        <v>0</v>
      </c>
      <c r="DZ528" t="b">
        <f t="shared" si="1105"/>
        <v>0</v>
      </c>
      <c r="EA528" t="b">
        <f t="shared" si="1106"/>
        <v>0</v>
      </c>
      <c r="EB528" t="b">
        <f t="shared" si="1107"/>
        <v>0</v>
      </c>
      <c r="EC528" t="b">
        <f t="shared" si="1108"/>
        <v>0</v>
      </c>
      <c r="ED528" t="b">
        <f t="shared" si="1109"/>
        <v>0</v>
      </c>
      <c r="EE528" t="b">
        <f t="shared" si="1110"/>
        <v>0</v>
      </c>
      <c r="EF528">
        <f t="shared" si="1111"/>
        <v>1</v>
      </c>
      <c r="EG528" t="b">
        <f t="shared" si="1112"/>
        <v>0</v>
      </c>
      <c r="EH528" t="b">
        <f t="shared" si="1113"/>
        <v>0</v>
      </c>
      <c r="EI528" t="b">
        <f t="shared" si="1114"/>
        <v>0</v>
      </c>
      <c r="EJ528" t="b">
        <f t="shared" si="1115"/>
        <v>0</v>
      </c>
      <c r="EK528" t="b">
        <f t="shared" si="1116"/>
        <v>0</v>
      </c>
    </row>
    <row r="529" spans="1:141">
      <c r="A529" t="s">
        <v>2670</v>
      </c>
      <c r="B529" t="s">
        <v>2670</v>
      </c>
      <c r="C529" t="s">
        <v>2671</v>
      </c>
      <c r="D529" s="1">
        <v>42675</v>
      </c>
      <c r="E529" s="2">
        <v>44433.277407407404</v>
      </c>
      <c r="F529" s="2">
        <v>44433.280891203707</v>
      </c>
      <c r="G529">
        <v>6137666</v>
      </c>
      <c r="H529" t="s">
        <v>2672</v>
      </c>
      <c r="I529" s="10" t="s">
        <v>2673</v>
      </c>
      <c r="J529" t="s">
        <v>156</v>
      </c>
      <c r="K529" s="8" t="b">
        <v>1</v>
      </c>
      <c r="L529" s="10" t="b">
        <v>0</v>
      </c>
      <c r="M529" s="12" t="b">
        <v>0</v>
      </c>
      <c r="N529" t="b">
        <v>0</v>
      </c>
      <c r="O529" t="b">
        <v>0</v>
      </c>
      <c r="P529" t="b">
        <v>0</v>
      </c>
      <c r="Q529">
        <f t="shared" si="993"/>
        <v>3</v>
      </c>
      <c r="R529">
        <f t="shared" si="994"/>
        <v>11</v>
      </c>
      <c r="S529" t="e">
        <f t="shared" ca="1" si="1024"/>
        <v>#NAME?</v>
      </c>
      <c r="T529" t="e">
        <f t="shared" ca="1" si="995"/>
        <v>#NAME?</v>
      </c>
      <c r="U529" s="4">
        <f t="shared" si="996"/>
        <v>1758.2774074074041</v>
      </c>
      <c r="V529" s="4">
        <f t="shared" si="997"/>
        <v>58.609246913580137</v>
      </c>
      <c r="W529" s="4">
        <f t="shared" si="998"/>
        <v>1</v>
      </c>
      <c r="X529" s="4">
        <f t="shared" si="999"/>
        <v>0</v>
      </c>
      <c r="Y529" s="4">
        <f t="shared" si="1000"/>
        <v>0</v>
      </c>
      <c r="Z529" s="4">
        <f t="shared" si="1001"/>
        <v>0</v>
      </c>
      <c r="AA529" s="4">
        <f t="shared" si="1002"/>
        <v>0</v>
      </c>
      <c r="AB529" s="4">
        <f t="shared" si="1003"/>
        <v>0</v>
      </c>
      <c r="AC529" s="4"/>
      <c r="AD529" s="4" t="b">
        <f t="shared" si="1004"/>
        <v>0</v>
      </c>
      <c r="AE529" s="4" t="b">
        <f t="shared" si="1005"/>
        <v>0</v>
      </c>
      <c r="AF529" s="4" t="b">
        <f t="shared" si="1006"/>
        <v>0</v>
      </c>
      <c r="AG529" t="b">
        <f t="shared" si="1007"/>
        <v>0</v>
      </c>
      <c r="AH529" t="b">
        <f t="shared" si="1008"/>
        <v>0</v>
      </c>
      <c r="AI529" t="b">
        <f t="shared" si="1009"/>
        <v>0</v>
      </c>
      <c r="AJ529" t="b">
        <f t="shared" si="1010"/>
        <v>0</v>
      </c>
      <c r="AK529" t="b">
        <f t="shared" si="1011"/>
        <v>0</v>
      </c>
      <c r="AL529" t="b">
        <f t="shared" si="1012"/>
        <v>0</v>
      </c>
      <c r="AM529" t="b">
        <f t="shared" si="1013"/>
        <v>0</v>
      </c>
      <c r="AN529" t="b">
        <f t="shared" si="1014"/>
        <v>0</v>
      </c>
      <c r="AO529" t="b">
        <f t="shared" si="1015"/>
        <v>0</v>
      </c>
      <c r="AP529" t="b">
        <f t="shared" si="1016"/>
        <v>0</v>
      </c>
      <c r="AQ529" t="b">
        <f t="shared" si="1017"/>
        <v>0</v>
      </c>
      <c r="AR529" t="b">
        <f t="shared" si="1018"/>
        <v>0</v>
      </c>
      <c r="AS529" t="b">
        <f t="shared" si="1019"/>
        <v>0</v>
      </c>
      <c r="AT529" t="b">
        <f t="shared" si="1020"/>
        <v>0</v>
      </c>
      <c r="AU529" t="b">
        <f t="shared" si="1021"/>
        <v>0</v>
      </c>
      <c r="AV529" t="b">
        <f t="shared" si="1022"/>
        <v>0</v>
      </c>
      <c r="AW529" t="b">
        <f t="shared" si="1023"/>
        <v>0</v>
      </c>
      <c r="AX529" t="b">
        <f t="shared" si="1025"/>
        <v>0</v>
      </c>
      <c r="AY529" t="b">
        <f t="shared" si="1026"/>
        <v>0</v>
      </c>
      <c r="AZ529" t="b">
        <f t="shared" si="1027"/>
        <v>0</v>
      </c>
      <c r="BA529" t="b">
        <f t="shared" si="1028"/>
        <v>0</v>
      </c>
      <c r="BB529" t="b">
        <f t="shared" si="1029"/>
        <v>0</v>
      </c>
      <c r="BC529" t="b">
        <f t="shared" si="1030"/>
        <v>0</v>
      </c>
      <c r="BD529" t="b">
        <f t="shared" si="1031"/>
        <v>0</v>
      </c>
      <c r="BE529" t="b">
        <f t="shared" si="1032"/>
        <v>0</v>
      </c>
      <c r="BF529" t="b">
        <f t="shared" si="1033"/>
        <v>0</v>
      </c>
      <c r="BG529" t="b">
        <f t="shared" si="1034"/>
        <v>0</v>
      </c>
      <c r="BH529" t="b">
        <f t="shared" si="1035"/>
        <v>0</v>
      </c>
      <c r="BI529">
        <f t="shared" si="1036"/>
        <v>1</v>
      </c>
      <c r="BJ529" t="b">
        <f t="shared" si="1037"/>
        <v>0</v>
      </c>
      <c r="BK529" t="b">
        <f t="shared" si="1038"/>
        <v>0</v>
      </c>
      <c r="BL529" t="b">
        <f t="shared" si="1039"/>
        <v>0</v>
      </c>
      <c r="BM529" t="b">
        <f t="shared" si="1040"/>
        <v>0</v>
      </c>
      <c r="BN529" t="b">
        <f t="shared" si="1041"/>
        <v>0</v>
      </c>
      <c r="BO529" t="b">
        <f t="shared" si="1042"/>
        <v>0</v>
      </c>
      <c r="BP529" t="b">
        <f t="shared" si="1043"/>
        <v>0</v>
      </c>
      <c r="BQ529" t="b">
        <f t="shared" si="1044"/>
        <v>0</v>
      </c>
      <c r="BR529" t="b">
        <f t="shared" si="1045"/>
        <v>0</v>
      </c>
      <c r="BS529" t="b">
        <f t="shared" si="1046"/>
        <v>0</v>
      </c>
      <c r="BT529" t="b">
        <f t="shared" si="1047"/>
        <v>0</v>
      </c>
      <c r="BU529" t="b">
        <f t="shared" si="1048"/>
        <v>0</v>
      </c>
      <c r="BV529" t="b">
        <f t="shared" si="1049"/>
        <v>0</v>
      </c>
      <c r="BW529" t="b">
        <f t="shared" si="1050"/>
        <v>0</v>
      </c>
      <c r="BX529" t="b">
        <f t="shared" si="1051"/>
        <v>0</v>
      </c>
      <c r="BY529" t="b">
        <f t="shared" si="1052"/>
        <v>0</v>
      </c>
      <c r="BZ529" t="b">
        <f t="shared" si="1053"/>
        <v>0</v>
      </c>
      <c r="CA529" t="b">
        <f t="shared" si="1054"/>
        <v>0</v>
      </c>
      <c r="CB529" t="b">
        <f t="shared" si="1055"/>
        <v>0</v>
      </c>
      <c r="CC529" t="b">
        <f t="shared" si="1056"/>
        <v>0</v>
      </c>
      <c r="CD529" t="b">
        <f t="shared" si="1057"/>
        <v>0</v>
      </c>
      <c r="CE529" t="b">
        <f t="shared" si="1058"/>
        <v>0</v>
      </c>
      <c r="CF529" t="b">
        <f t="shared" si="1059"/>
        <v>0</v>
      </c>
      <c r="CG529" t="b">
        <f t="shared" si="1060"/>
        <v>0</v>
      </c>
      <c r="CH529" t="b">
        <f t="shared" si="1061"/>
        <v>0</v>
      </c>
      <c r="CI529" t="b">
        <f t="shared" si="1062"/>
        <v>0</v>
      </c>
      <c r="CJ529" t="b">
        <f t="shared" si="1063"/>
        <v>0</v>
      </c>
      <c r="CK529" t="b">
        <f t="shared" si="1064"/>
        <v>0</v>
      </c>
      <c r="CL529" t="b">
        <f t="shared" si="1065"/>
        <v>0</v>
      </c>
      <c r="CM529" t="b">
        <f t="shared" si="1066"/>
        <v>0</v>
      </c>
      <c r="CN529" t="b">
        <f t="shared" si="1067"/>
        <v>0</v>
      </c>
      <c r="CO529" t="b">
        <f t="shared" si="1068"/>
        <v>0</v>
      </c>
      <c r="CP529" t="b">
        <f t="shared" si="1069"/>
        <v>0</v>
      </c>
      <c r="CQ529" t="b">
        <f t="shared" si="1070"/>
        <v>0</v>
      </c>
      <c r="CR529" t="b">
        <f t="shared" si="1071"/>
        <v>0</v>
      </c>
      <c r="CS529" t="b">
        <f t="shared" si="1072"/>
        <v>0</v>
      </c>
      <c r="CT529" t="b">
        <f t="shared" si="1073"/>
        <v>0</v>
      </c>
      <c r="CU529" t="b">
        <f t="shared" si="1074"/>
        <v>0</v>
      </c>
      <c r="CV529">
        <f t="shared" si="1075"/>
        <v>1</v>
      </c>
      <c r="CW529" t="b">
        <f t="shared" si="1076"/>
        <v>0</v>
      </c>
      <c r="CX529" t="b">
        <f t="shared" si="1077"/>
        <v>0</v>
      </c>
      <c r="CY529" t="b">
        <f t="shared" si="1078"/>
        <v>0</v>
      </c>
      <c r="CZ529" t="b">
        <f t="shared" si="1079"/>
        <v>0</v>
      </c>
      <c r="DA529" t="b">
        <f t="shared" si="1080"/>
        <v>0</v>
      </c>
      <c r="DB529" t="b">
        <f t="shared" si="1081"/>
        <v>0</v>
      </c>
      <c r="DC529" t="b">
        <f t="shared" si="1082"/>
        <v>0</v>
      </c>
      <c r="DD529" t="b">
        <f t="shared" si="1083"/>
        <v>0</v>
      </c>
      <c r="DE529" t="b">
        <f t="shared" si="1084"/>
        <v>0</v>
      </c>
      <c r="DF529" t="b">
        <f t="shared" si="1085"/>
        <v>0</v>
      </c>
      <c r="DG529" t="b">
        <f t="shared" si="1086"/>
        <v>0</v>
      </c>
      <c r="DH529" t="b">
        <f t="shared" si="1087"/>
        <v>0</v>
      </c>
      <c r="DI529" t="b">
        <f t="shared" si="1088"/>
        <v>0</v>
      </c>
      <c r="DJ529" t="b">
        <f t="shared" si="1089"/>
        <v>0</v>
      </c>
      <c r="DK529" t="b">
        <f t="shared" si="1090"/>
        <v>0</v>
      </c>
      <c r="DL529" t="b">
        <f t="shared" si="1091"/>
        <v>0</v>
      </c>
      <c r="DM529" t="b">
        <f t="shared" si="1092"/>
        <v>0</v>
      </c>
      <c r="DN529" t="b">
        <f t="shared" si="1093"/>
        <v>0</v>
      </c>
      <c r="DO529" t="b">
        <f t="shared" si="1094"/>
        <v>0</v>
      </c>
      <c r="DP529" t="b">
        <f t="shared" si="1095"/>
        <v>0</v>
      </c>
      <c r="DQ529" t="b">
        <f t="shared" si="1096"/>
        <v>0</v>
      </c>
      <c r="DR529" t="b">
        <f t="shared" si="1097"/>
        <v>0</v>
      </c>
      <c r="DS529" t="b">
        <f t="shared" si="1098"/>
        <v>0</v>
      </c>
      <c r="DT529" t="b">
        <f t="shared" si="1099"/>
        <v>0</v>
      </c>
      <c r="DU529" t="b">
        <f t="shared" si="1100"/>
        <v>0</v>
      </c>
      <c r="DV529" t="b">
        <f t="shared" si="1101"/>
        <v>0</v>
      </c>
      <c r="DW529" t="b">
        <f t="shared" si="1102"/>
        <v>0</v>
      </c>
      <c r="DX529" t="b">
        <f t="shared" si="1103"/>
        <v>0</v>
      </c>
      <c r="DY529" t="b">
        <f t="shared" si="1104"/>
        <v>0</v>
      </c>
      <c r="DZ529" t="b">
        <f t="shared" si="1105"/>
        <v>0</v>
      </c>
      <c r="EA529" t="b">
        <f t="shared" si="1106"/>
        <v>0</v>
      </c>
      <c r="EB529" t="b">
        <f t="shared" si="1107"/>
        <v>0</v>
      </c>
      <c r="EC529" t="b">
        <f t="shared" si="1108"/>
        <v>0</v>
      </c>
      <c r="ED529" t="b">
        <f t="shared" si="1109"/>
        <v>0</v>
      </c>
      <c r="EE529" t="b">
        <f t="shared" si="1110"/>
        <v>0</v>
      </c>
      <c r="EF529">
        <f t="shared" si="1111"/>
        <v>1</v>
      </c>
      <c r="EG529" t="b">
        <f t="shared" si="1112"/>
        <v>0</v>
      </c>
      <c r="EH529" t="b">
        <f t="shared" si="1113"/>
        <v>0</v>
      </c>
      <c r="EI529" t="b">
        <f t="shared" si="1114"/>
        <v>0</v>
      </c>
      <c r="EJ529" t="b">
        <f t="shared" si="1115"/>
        <v>0</v>
      </c>
      <c r="EK529" t="b">
        <f t="shared" si="1116"/>
        <v>0</v>
      </c>
    </row>
    <row r="530" spans="1:141">
      <c r="A530" t="s">
        <v>2674</v>
      </c>
      <c r="B530" t="s">
        <v>2675</v>
      </c>
      <c r="C530" t="s">
        <v>2676</v>
      </c>
      <c r="D530" s="1">
        <v>41811</v>
      </c>
      <c r="E530" s="2">
        <v>42438.057905092595</v>
      </c>
      <c r="F530" s="2">
        <v>42438.057905092595</v>
      </c>
      <c r="G530">
        <v>285191</v>
      </c>
      <c r="H530" t="s">
        <v>2677</v>
      </c>
      <c r="I530" s="10" t="s">
        <v>2678</v>
      </c>
      <c r="J530" t="s">
        <v>381</v>
      </c>
      <c r="K530" s="8" t="b">
        <v>1</v>
      </c>
      <c r="L530" s="10" t="b">
        <v>0</v>
      </c>
      <c r="M530" s="12" t="b">
        <v>0</v>
      </c>
      <c r="N530" t="b">
        <v>0</v>
      </c>
      <c r="O530" t="b">
        <v>0</v>
      </c>
      <c r="P530" t="b">
        <v>0</v>
      </c>
      <c r="Q530">
        <f t="shared" si="993"/>
        <v>7</v>
      </c>
      <c r="R530">
        <f t="shared" si="994"/>
        <v>6</v>
      </c>
      <c r="S530" t="e">
        <f t="shared" ca="1" si="1024"/>
        <v>#NAME?</v>
      </c>
      <c r="T530" t="e">
        <f t="shared" ca="1" si="995"/>
        <v>#NAME?</v>
      </c>
      <c r="U530" s="4">
        <f t="shared" si="996"/>
        <v>627.05790509259532</v>
      </c>
      <c r="V530" s="4">
        <f t="shared" si="997"/>
        <v>20.901930169753179</v>
      </c>
      <c r="W530" s="4">
        <f t="shared" si="998"/>
        <v>1</v>
      </c>
      <c r="X530" s="4">
        <f t="shared" si="999"/>
        <v>0</v>
      </c>
      <c r="Y530" s="4">
        <f t="shared" si="1000"/>
        <v>0</v>
      </c>
      <c r="Z530" s="4">
        <f t="shared" si="1001"/>
        <v>0</v>
      </c>
      <c r="AA530" s="4">
        <f t="shared" si="1002"/>
        <v>0</v>
      </c>
      <c r="AB530" s="4">
        <f t="shared" si="1003"/>
        <v>0</v>
      </c>
      <c r="AC530" s="4"/>
      <c r="AD530" s="4" t="b">
        <f t="shared" si="1004"/>
        <v>0</v>
      </c>
      <c r="AE530" s="4" t="b">
        <f t="shared" si="1005"/>
        <v>0</v>
      </c>
      <c r="AF530" s="4" t="b">
        <f t="shared" si="1006"/>
        <v>0</v>
      </c>
      <c r="AG530" t="b">
        <f t="shared" si="1007"/>
        <v>0</v>
      </c>
      <c r="AH530" t="b">
        <f t="shared" si="1008"/>
        <v>0</v>
      </c>
      <c r="AI530" t="b">
        <f t="shared" si="1009"/>
        <v>0</v>
      </c>
      <c r="AJ530" t="b">
        <f t="shared" si="1010"/>
        <v>0</v>
      </c>
      <c r="AK530" t="b">
        <f t="shared" si="1011"/>
        <v>0</v>
      </c>
      <c r="AL530" t="b">
        <f t="shared" si="1012"/>
        <v>0</v>
      </c>
      <c r="AM530" t="b">
        <f t="shared" si="1013"/>
        <v>0</v>
      </c>
      <c r="AN530" t="b">
        <f t="shared" si="1014"/>
        <v>0</v>
      </c>
      <c r="AO530" t="b">
        <f t="shared" si="1015"/>
        <v>0</v>
      </c>
      <c r="AP530" t="b">
        <f t="shared" si="1016"/>
        <v>0</v>
      </c>
      <c r="AQ530" t="b">
        <f t="shared" si="1017"/>
        <v>0</v>
      </c>
      <c r="AR530" t="b">
        <f t="shared" si="1018"/>
        <v>0</v>
      </c>
      <c r="AS530" t="b">
        <f t="shared" si="1019"/>
        <v>0</v>
      </c>
      <c r="AT530" t="b">
        <f t="shared" si="1020"/>
        <v>0</v>
      </c>
      <c r="AU530" t="b">
        <f t="shared" si="1021"/>
        <v>0</v>
      </c>
      <c r="AV530" t="b">
        <f t="shared" si="1022"/>
        <v>0</v>
      </c>
      <c r="AW530" t="b">
        <f t="shared" si="1023"/>
        <v>0</v>
      </c>
      <c r="AX530" t="b">
        <f t="shared" si="1025"/>
        <v>0</v>
      </c>
      <c r="AY530" t="b">
        <f t="shared" si="1026"/>
        <v>0</v>
      </c>
      <c r="AZ530" t="b">
        <f t="shared" si="1027"/>
        <v>0</v>
      </c>
      <c r="BA530" t="b">
        <f t="shared" si="1028"/>
        <v>0</v>
      </c>
      <c r="BB530" t="b">
        <f t="shared" si="1029"/>
        <v>0</v>
      </c>
      <c r="BC530" t="b">
        <f t="shared" si="1030"/>
        <v>0</v>
      </c>
      <c r="BD530" t="b">
        <f t="shared" si="1031"/>
        <v>0</v>
      </c>
      <c r="BE530" t="b">
        <f t="shared" si="1032"/>
        <v>0</v>
      </c>
      <c r="BF530" t="b">
        <f t="shared" si="1033"/>
        <v>0</v>
      </c>
      <c r="BG530" t="b">
        <f t="shared" si="1034"/>
        <v>0</v>
      </c>
      <c r="BH530" t="b">
        <f t="shared" si="1035"/>
        <v>0</v>
      </c>
      <c r="BI530">
        <f t="shared" si="1036"/>
        <v>1</v>
      </c>
      <c r="BJ530" t="b">
        <f t="shared" si="1037"/>
        <v>0</v>
      </c>
      <c r="BK530" t="b">
        <f t="shared" si="1038"/>
        <v>0</v>
      </c>
      <c r="BL530" t="b">
        <f t="shared" si="1039"/>
        <v>0</v>
      </c>
      <c r="BM530" t="b">
        <f t="shared" si="1040"/>
        <v>0</v>
      </c>
      <c r="BN530" t="b">
        <f t="shared" si="1041"/>
        <v>0</v>
      </c>
      <c r="BO530" t="b">
        <f t="shared" si="1042"/>
        <v>0</v>
      </c>
      <c r="BP530" t="b">
        <f t="shared" si="1043"/>
        <v>0</v>
      </c>
      <c r="BQ530" t="b">
        <f t="shared" si="1044"/>
        <v>0</v>
      </c>
      <c r="BR530" t="b">
        <f t="shared" si="1045"/>
        <v>0</v>
      </c>
      <c r="BS530" t="b">
        <f t="shared" si="1046"/>
        <v>0</v>
      </c>
      <c r="BT530" t="b">
        <f t="shared" si="1047"/>
        <v>0</v>
      </c>
      <c r="BU530" t="b">
        <f t="shared" si="1048"/>
        <v>0</v>
      </c>
      <c r="BV530" t="b">
        <f t="shared" si="1049"/>
        <v>0</v>
      </c>
      <c r="BW530" t="b">
        <f t="shared" si="1050"/>
        <v>0</v>
      </c>
      <c r="BX530" t="b">
        <f t="shared" si="1051"/>
        <v>0</v>
      </c>
      <c r="BY530" t="b">
        <f t="shared" si="1052"/>
        <v>0</v>
      </c>
      <c r="BZ530" t="b">
        <f t="shared" si="1053"/>
        <v>0</v>
      </c>
      <c r="CA530" t="b">
        <f t="shared" si="1054"/>
        <v>0</v>
      </c>
      <c r="CB530" t="b">
        <f t="shared" si="1055"/>
        <v>0</v>
      </c>
      <c r="CC530" t="b">
        <f t="shared" si="1056"/>
        <v>0</v>
      </c>
      <c r="CD530" t="b">
        <f t="shared" si="1057"/>
        <v>0</v>
      </c>
      <c r="CE530">
        <f t="shared" si="1058"/>
        <v>1</v>
      </c>
      <c r="CF530" t="b">
        <f t="shared" si="1059"/>
        <v>0</v>
      </c>
      <c r="CG530" t="b">
        <f t="shared" si="1060"/>
        <v>0</v>
      </c>
      <c r="CH530" t="b">
        <f t="shared" si="1061"/>
        <v>0</v>
      </c>
      <c r="CI530" t="b">
        <f t="shared" si="1062"/>
        <v>0</v>
      </c>
      <c r="CJ530" t="b">
        <f t="shared" si="1063"/>
        <v>0</v>
      </c>
      <c r="CK530" t="b">
        <f t="shared" si="1064"/>
        <v>0</v>
      </c>
      <c r="CL530" t="b">
        <f t="shared" si="1065"/>
        <v>0</v>
      </c>
      <c r="CM530" t="b">
        <f t="shared" si="1066"/>
        <v>0</v>
      </c>
      <c r="CN530" t="b">
        <f t="shared" si="1067"/>
        <v>0</v>
      </c>
      <c r="CO530" t="b">
        <f t="shared" si="1068"/>
        <v>0</v>
      </c>
      <c r="CP530" t="b">
        <f t="shared" si="1069"/>
        <v>0</v>
      </c>
      <c r="CQ530" t="b">
        <f t="shared" si="1070"/>
        <v>0</v>
      </c>
      <c r="CR530" t="b">
        <f t="shared" si="1071"/>
        <v>0</v>
      </c>
      <c r="CS530" t="b">
        <f t="shared" si="1072"/>
        <v>0</v>
      </c>
      <c r="CT530" t="b">
        <f t="shared" si="1073"/>
        <v>0</v>
      </c>
      <c r="CU530" t="b">
        <f t="shared" si="1074"/>
        <v>0</v>
      </c>
      <c r="CV530">
        <f t="shared" si="1075"/>
        <v>1</v>
      </c>
      <c r="CW530" t="b">
        <f t="shared" si="1076"/>
        <v>0</v>
      </c>
      <c r="CX530" t="b">
        <f t="shared" si="1077"/>
        <v>0</v>
      </c>
      <c r="CY530" t="b">
        <f t="shared" si="1078"/>
        <v>0</v>
      </c>
      <c r="CZ530" t="b">
        <f t="shared" si="1079"/>
        <v>0</v>
      </c>
      <c r="DA530" t="b">
        <f t="shared" si="1080"/>
        <v>0</v>
      </c>
      <c r="DB530" t="b">
        <f t="shared" si="1081"/>
        <v>0</v>
      </c>
      <c r="DC530" t="b">
        <f t="shared" si="1082"/>
        <v>0</v>
      </c>
      <c r="DD530" t="b">
        <f t="shared" si="1083"/>
        <v>0</v>
      </c>
      <c r="DE530" t="b">
        <f t="shared" si="1084"/>
        <v>0</v>
      </c>
      <c r="DF530" t="b">
        <f t="shared" si="1085"/>
        <v>0</v>
      </c>
      <c r="DG530" t="b">
        <f t="shared" si="1086"/>
        <v>0</v>
      </c>
      <c r="DH530" t="b">
        <f t="shared" si="1087"/>
        <v>0</v>
      </c>
      <c r="DI530" t="b">
        <f t="shared" si="1088"/>
        <v>0</v>
      </c>
      <c r="DJ530" t="b">
        <f t="shared" si="1089"/>
        <v>0</v>
      </c>
      <c r="DK530" t="b">
        <f t="shared" si="1090"/>
        <v>0</v>
      </c>
      <c r="DL530" t="b">
        <f t="shared" si="1091"/>
        <v>0</v>
      </c>
      <c r="DM530" t="b">
        <f t="shared" si="1092"/>
        <v>0</v>
      </c>
      <c r="DN530" t="b">
        <f t="shared" si="1093"/>
        <v>0</v>
      </c>
      <c r="DO530" t="b">
        <f t="shared" si="1094"/>
        <v>0</v>
      </c>
      <c r="DP530" t="b">
        <f t="shared" si="1095"/>
        <v>0</v>
      </c>
      <c r="DQ530" t="b">
        <f t="shared" si="1096"/>
        <v>0</v>
      </c>
      <c r="DR530" t="b">
        <f t="shared" si="1097"/>
        <v>0</v>
      </c>
      <c r="DS530" t="b">
        <f t="shared" si="1098"/>
        <v>0</v>
      </c>
      <c r="DT530" t="b">
        <f t="shared" si="1099"/>
        <v>0</v>
      </c>
      <c r="DU530" t="b">
        <f t="shared" si="1100"/>
        <v>0</v>
      </c>
      <c r="DV530" t="b">
        <f t="shared" si="1101"/>
        <v>0</v>
      </c>
      <c r="DW530" t="b">
        <f t="shared" si="1102"/>
        <v>0</v>
      </c>
      <c r="DX530" t="b">
        <f t="shared" si="1103"/>
        <v>0</v>
      </c>
      <c r="DY530" t="b">
        <f t="shared" si="1104"/>
        <v>0</v>
      </c>
      <c r="DZ530" t="b">
        <f t="shared" si="1105"/>
        <v>0</v>
      </c>
      <c r="EA530" t="b">
        <f t="shared" si="1106"/>
        <v>0</v>
      </c>
      <c r="EB530" t="b">
        <f t="shared" si="1107"/>
        <v>0</v>
      </c>
      <c r="EC530" t="b">
        <f t="shared" si="1108"/>
        <v>0</v>
      </c>
      <c r="ED530" t="b">
        <f t="shared" si="1109"/>
        <v>0</v>
      </c>
      <c r="EE530" t="b">
        <f t="shared" si="1110"/>
        <v>0</v>
      </c>
      <c r="EF530">
        <f t="shared" si="1111"/>
        <v>1</v>
      </c>
      <c r="EG530" t="b">
        <f t="shared" si="1112"/>
        <v>0</v>
      </c>
      <c r="EH530" t="b">
        <f t="shared" si="1113"/>
        <v>0</v>
      </c>
      <c r="EI530">
        <f t="shared" si="1114"/>
        <v>1</v>
      </c>
      <c r="EJ530" t="b">
        <f t="shared" si="1115"/>
        <v>0</v>
      </c>
      <c r="EK530" t="b">
        <f t="shared" si="1116"/>
        <v>0</v>
      </c>
    </row>
    <row r="531" spans="1:141">
      <c r="A531" t="s">
        <v>2679</v>
      </c>
      <c r="B531" t="s">
        <v>2680</v>
      </c>
      <c r="D531" s="1">
        <v>44252</v>
      </c>
      <c r="E531" s="2">
        <v>44255.937835648147</v>
      </c>
      <c r="F531" s="2">
        <v>44255.951064814813</v>
      </c>
      <c r="G531">
        <v>20339937</v>
      </c>
      <c r="H531" t="s">
        <v>2681</v>
      </c>
      <c r="I531" s="10" t="s">
        <v>2682</v>
      </c>
      <c r="J531" t="s">
        <v>2683</v>
      </c>
      <c r="K531" s="8" t="b">
        <v>1</v>
      </c>
      <c r="L531" s="10" t="b">
        <v>0</v>
      </c>
      <c r="M531" s="12" t="b">
        <v>0</v>
      </c>
      <c r="N531" t="b">
        <v>0</v>
      </c>
      <c r="O531" t="b">
        <v>0</v>
      </c>
      <c r="P531" t="b">
        <v>0</v>
      </c>
      <c r="Q531">
        <f t="shared" si="993"/>
        <v>5</v>
      </c>
      <c r="R531">
        <f t="shared" si="994"/>
        <v>2</v>
      </c>
      <c r="S531" t="e">
        <f t="shared" ca="1" si="1024"/>
        <v>#NAME?</v>
      </c>
      <c r="T531" t="e">
        <f t="shared" ca="1" si="995"/>
        <v>#NAME?</v>
      </c>
      <c r="U531" s="4">
        <f t="shared" si="996"/>
        <v>3.9378356481465744</v>
      </c>
      <c r="V531" s="4">
        <f t="shared" si="997"/>
        <v>0.13126118827155248</v>
      </c>
      <c r="W531" s="4">
        <f t="shared" si="998"/>
        <v>1</v>
      </c>
      <c r="X531" s="4">
        <f t="shared" si="999"/>
        <v>0</v>
      </c>
      <c r="Y531" s="4">
        <f t="shared" si="1000"/>
        <v>0</v>
      </c>
      <c r="Z531" s="4">
        <f t="shared" si="1001"/>
        <v>0</v>
      </c>
      <c r="AA531" s="4">
        <f t="shared" si="1002"/>
        <v>0</v>
      </c>
      <c r="AB531" s="4">
        <f t="shared" si="1003"/>
        <v>0</v>
      </c>
      <c r="AC531" s="4"/>
      <c r="AD531" s="4" t="b">
        <f t="shared" si="1004"/>
        <v>0</v>
      </c>
      <c r="AE531" s="4" t="b">
        <f t="shared" si="1005"/>
        <v>0</v>
      </c>
      <c r="AF531" s="4" t="b">
        <f t="shared" si="1006"/>
        <v>0</v>
      </c>
      <c r="AG531" t="b">
        <f t="shared" si="1007"/>
        <v>0</v>
      </c>
      <c r="AH531" t="b">
        <f t="shared" si="1008"/>
        <v>0</v>
      </c>
      <c r="AI531" t="b">
        <f t="shared" si="1009"/>
        <v>0</v>
      </c>
      <c r="AJ531" t="b">
        <f t="shared" si="1010"/>
        <v>0</v>
      </c>
      <c r="AK531" t="b">
        <f t="shared" si="1011"/>
        <v>0</v>
      </c>
      <c r="AL531" t="b">
        <f t="shared" si="1012"/>
        <v>0</v>
      </c>
      <c r="AM531" t="b">
        <f t="shared" si="1013"/>
        <v>0</v>
      </c>
      <c r="AN531" t="b">
        <f t="shared" si="1014"/>
        <v>0</v>
      </c>
      <c r="AO531" t="b">
        <f t="shared" si="1015"/>
        <v>0</v>
      </c>
      <c r="AP531" t="b">
        <f t="shared" si="1016"/>
        <v>0</v>
      </c>
      <c r="AQ531" t="b">
        <f t="shared" si="1017"/>
        <v>0</v>
      </c>
      <c r="AR531" t="b">
        <f t="shared" si="1018"/>
        <v>0</v>
      </c>
      <c r="AS531" t="b">
        <f t="shared" si="1019"/>
        <v>0</v>
      </c>
      <c r="AT531" t="b">
        <f t="shared" si="1020"/>
        <v>0</v>
      </c>
      <c r="AU531" t="b">
        <f t="shared" si="1021"/>
        <v>0</v>
      </c>
      <c r="AV531" t="b">
        <f t="shared" si="1022"/>
        <v>0</v>
      </c>
      <c r="AW531" t="b">
        <f t="shared" si="1023"/>
        <v>0</v>
      </c>
      <c r="AX531" t="b">
        <f t="shared" si="1025"/>
        <v>0</v>
      </c>
      <c r="AY531" t="b">
        <f t="shared" si="1026"/>
        <v>0</v>
      </c>
      <c r="AZ531" t="b">
        <f t="shared" si="1027"/>
        <v>0</v>
      </c>
      <c r="BA531" t="b">
        <f t="shared" si="1028"/>
        <v>0</v>
      </c>
      <c r="BB531">
        <f t="shared" si="1029"/>
        <v>1</v>
      </c>
      <c r="BC531">
        <f t="shared" si="1030"/>
        <v>1</v>
      </c>
      <c r="BD531" t="b">
        <f t="shared" si="1031"/>
        <v>0</v>
      </c>
      <c r="BE531" t="b">
        <f t="shared" si="1032"/>
        <v>0</v>
      </c>
      <c r="BF531" t="b">
        <f t="shared" si="1033"/>
        <v>0</v>
      </c>
      <c r="BG531" t="b">
        <f t="shared" si="1034"/>
        <v>0</v>
      </c>
      <c r="BH531" t="b">
        <f t="shared" si="1035"/>
        <v>0</v>
      </c>
      <c r="BI531">
        <f t="shared" si="1036"/>
        <v>1</v>
      </c>
      <c r="BJ531" t="b">
        <f t="shared" si="1037"/>
        <v>0</v>
      </c>
      <c r="BK531" t="b">
        <f t="shared" si="1038"/>
        <v>0</v>
      </c>
      <c r="BL531" t="b">
        <f t="shared" si="1039"/>
        <v>0</v>
      </c>
      <c r="BM531" t="b">
        <f t="shared" si="1040"/>
        <v>0</v>
      </c>
      <c r="BN531" t="b">
        <f t="shared" si="1041"/>
        <v>0</v>
      </c>
      <c r="BO531" t="b">
        <f t="shared" si="1042"/>
        <v>0</v>
      </c>
      <c r="BP531" t="b">
        <f t="shared" si="1043"/>
        <v>0</v>
      </c>
      <c r="BQ531" t="b">
        <f t="shared" si="1044"/>
        <v>0</v>
      </c>
      <c r="BR531" t="b">
        <f t="shared" si="1045"/>
        <v>0</v>
      </c>
      <c r="BS531">
        <f t="shared" si="1046"/>
        <v>1</v>
      </c>
      <c r="BT531" t="b">
        <f t="shared" si="1047"/>
        <v>0</v>
      </c>
      <c r="BU531" t="b">
        <f t="shared" si="1048"/>
        <v>0</v>
      </c>
      <c r="BV531" t="b">
        <f t="shared" si="1049"/>
        <v>0</v>
      </c>
      <c r="BW531" t="b">
        <f t="shared" si="1050"/>
        <v>0</v>
      </c>
      <c r="BX531" t="b">
        <f t="shared" si="1051"/>
        <v>0</v>
      </c>
      <c r="BY531" t="b">
        <f t="shared" si="1052"/>
        <v>0</v>
      </c>
      <c r="BZ531" t="b">
        <f t="shared" si="1053"/>
        <v>0</v>
      </c>
      <c r="CA531" t="b">
        <f t="shared" si="1054"/>
        <v>0</v>
      </c>
      <c r="CB531" t="b">
        <f t="shared" si="1055"/>
        <v>0</v>
      </c>
      <c r="CC531" t="b">
        <f t="shared" si="1056"/>
        <v>0</v>
      </c>
      <c r="CD531" t="b">
        <f t="shared" si="1057"/>
        <v>0</v>
      </c>
      <c r="CE531" t="b">
        <f t="shared" si="1058"/>
        <v>0</v>
      </c>
      <c r="CF531" t="b">
        <f t="shared" si="1059"/>
        <v>0</v>
      </c>
      <c r="CG531" t="b">
        <f t="shared" si="1060"/>
        <v>0</v>
      </c>
      <c r="CH531" t="b">
        <f t="shared" si="1061"/>
        <v>0</v>
      </c>
      <c r="CI531">
        <f t="shared" si="1062"/>
        <v>1</v>
      </c>
      <c r="CJ531" t="b">
        <f t="shared" si="1063"/>
        <v>0</v>
      </c>
      <c r="CK531" t="b">
        <f t="shared" si="1064"/>
        <v>0</v>
      </c>
      <c r="CL531" t="b">
        <f t="shared" si="1065"/>
        <v>0</v>
      </c>
      <c r="CM531" t="b">
        <f t="shared" si="1066"/>
        <v>0</v>
      </c>
      <c r="CN531" t="b">
        <f t="shared" si="1067"/>
        <v>0</v>
      </c>
      <c r="CO531" t="b">
        <f t="shared" si="1068"/>
        <v>0</v>
      </c>
      <c r="CP531" t="b">
        <f t="shared" si="1069"/>
        <v>0</v>
      </c>
      <c r="CQ531" t="b">
        <f t="shared" si="1070"/>
        <v>0</v>
      </c>
      <c r="CR531" t="b">
        <f t="shared" si="1071"/>
        <v>0</v>
      </c>
      <c r="CS531" t="b">
        <f t="shared" si="1072"/>
        <v>0</v>
      </c>
      <c r="CT531" t="b">
        <f t="shared" si="1073"/>
        <v>0</v>
      </c>
      <c r="CU531" t="b">
        <f t="shared" si="1074"/>
        <v>0</v>
      </c>
      <c r="CV531" t="b">
        <f t="shared" si="1075"/>
        <v>0</v>
      </c>
      <c r="CW531" t="b">
        <f t="shared" si="1076"/>
        <v>0</v>
      </c>
      <c r="CX531" t="b">
        <f t="shared" si="1077"/>
        <v>0</v>
      </c>
      <c r="CY531" t="b">
        <f t="shared" si="1078"/>
        <v>0</v>
      </c>
      <c r="CZ531" t="b">
        <f t="shared" si="1079"/>
        <v>0</v>
      </c>
      <c r="DA531" t="b">
        <f t="shared" si="1080"/>
        <v>0</v>
      </c>
      <c r="DB531" t="b">
        <f t="shared" si="1081"/>
        <v>0</v>
      </c>
      <c r="DC531" t="b">
        <f t="shared" si="1082"/>
        <v>0</v>
      </c>
      <c r="DD531" t="b">
        <f t="shared" si="1083"/>
        <v>0</v>
      </c>
      <c r="DE531" t="b">
        <f t="shared" si="1084"/>
        <v>0</v>
      </c>
      <c r="DF531" t="b">
        <f t="shared" si="1085"/>
        <v>0</v>
      </c>
      <c r="DG531" t="b">
        <f t="shared" si="1086"/>
        <v>0</v>
      </c>
      <c r="DH531" t="b">
        <f t="shared" si="1087"/>
        <v>0</v>
      </c>
      <c r="DI531" t="b">
        <f t="shared" si="1088"/>
        <v>0</v>
      </c>
      <c r="DJ531" t="b">
        <f t="shared" si="1089"/>
        <v>0</v>
      </c>
      <c r="DK531" t="b">
        <f t="shared" si="1090"/>
        <v>0</v>
      </c>
      <c r="DL531" t="b">
        <f t="shared" si="1091"/>
        <v>0</v>
      </c>
      <c r="DM531" t="b">
        <f t="shared" si="1092"/>
        <v>0</v>
      </c>
      <c r="DN531" t="b">
        <f t="shared" si="1093"/>
        <v>0</v>
      </c>
      <c r="DO531" t="b">
        <f t="shared" si="1094"/>
        <v>0</v>
      </c>
      <c r="DP531" t="b">
        <f t="shared" si="1095"/>
        <v>0</v>
      </c>
      <c r="DQ531" t="b">
        <f t="shared" si="1096"/>
        <v>0</v>
      </c>
      <c r="DR531" t="b">
        <f t="shared" si="1097"/>
        <v>0</v>
      </c>
      <c r="DS531" t="b">
        <f t="shared" si="1098"/>
        <v>0</v>
      </c>
      <c r="DT531" t="b">
        <f t="shared" si="1099"/>
        <v>0</v>
      </c>
      <c r="DU531" t="b">
        <f t="shared" si="1100"/>
        <v>0</v>
      </c>
      <c r="DV531" t="b">
        <f t="shared" si="1101"/>
        <v>0</v>
      </c>
      <c r="DW531" t="b">
        <f t="shared" si="1102"/>
        <v>0</v>
      </c>
      <c r="DX531" t="b">
        <f t="shared" si="1103"/>
        <v>0</v>
      </c>
      <c r="DY531" t="b">
        <f t="shared" si="1104"/>
        <v>0</v>
      </c>
      <c r="DZ531" t="b">
        <f t="shared" si="1105"/>
        <v>0</v>
      </c>
      <c r="EA531" t="b">
        <f t="shared" si="1106"/>
        <v>0</v>
      </c>
      <c r="EB531" t="b">
        <f t="shared" si="1107"/>
        <v>0</v>
      </c>
      <c r="EC531" t="b">
        <f t="shared" si="1108"/>
        <v>0</v>
      </c>
      <c r="ED531" t="b">
        <f t="shared" si="1109"/>
        <v>0</v>
      </c>
      <c r="EE531" t="b">
        <f t="shared" si="1110"/>
        <v>0</v>
      </c>
      <c r="EF531" t="b">
        <f t="shared" si="1111"/>
        <v>0</v>
      </c>
      <c r="EG531" t="b">
        <f t="shared" si="1112"/>
        <v>0</v>
      </c>
      <c r="EH531" t="b">
        <f t="shared" si="1113"/>
        <v>0</v>
      </c>
      <c r="EI531" t="b">
        <f t="shared" si="1114"/>
        <v>0</v>
      </c>
      <c r="EJ531" t="b">
        <f t="shared" si="1115"/>
        <v>0</v>
      </c>
      <c r="EK531" t="b">
        <f t="shared" si="1116"/>
        <v>0</v>
      </c>
    </row>
    <row r="532" spans="1:141">
      <c r="A532" t="s">
        <v>2684</v>
      </c>
      <c r="B532" t="s">
        <v>2684</v>
      </c>
      <c r="C532" t="s">
        <v>2685</v>
      </c>
      <c r="D532" s="1">
        <v>42186</v>
      </c>
      <c r="E532" s="2">
        <v>43342.211851851855</v>
      </c>
      <c r="F532" s="2">
        <v>43342.213993055557</v>
      </c>
      <c r="G532">
        <v>30327</v>
      </c>
      <c r="H532" t="s">
        <v>2686</v>
      </c>
      <c r="I532" s="10" t="s">
        <v>2687</v>
      </c>
      <c r="J532" t="s">
        <v>156</v>
      </c>
      <c r="K532" s="8" t="b">
        <v>1</v>
      </c>
      <c r="L532" s="10" t="b">
        <v>0</v>
      </c>
      <c r="M532" s="12" t="b">
        <v>0</v>
      </c>
      <c r="N532" t="b">
        <v>0</v>
      </c>
      <c r="O532" t="b">
        <v>0</v>
      </c>
      <c r="P532" t="b">
        <v>0</v>
      </c>
      <c r="Q532">
        <f t="shared" si="993"/>
        <v>4</v>
      </c>
      <c r="R532">
        <f t="shared" si="994"/>
        <v>7</v>
      </c>
      <c r="S532" t="e">
        <f t="shared" ca="1" si="1024"/>
        <v>#NAME?</v>
      </c>
      <c r="T532" t="e">
        <f t="shared" ca="1" si="995"/>
        <v>#NAME?</v>
      </c>
      <c r="U532" s="4">
        <f t="shared" si="996"/>
        <v>1156.2118518518546</v>
      </c>
      <c r="V532" s="4">
        <f t="shared" si="997"/>
        <v>38.540395061728489</v>
      </c>
      <c r="W532" s="4">
        <f t="shared" si="998"/>
        <v>1</v>
      </c>
      <c r="X532" s="4">
        <f t="shared" si="999"/>
        <v>0</v>
      </c>
      <c r="Y532" s="4">
        <f t="shared" si="1000"/>
        <v>0</v>
      </c>
      <c r="Z532" s="4">
        <f t="shared" si="1001"/>
        <v>0</v>
      </c>
      <c r="AA532" s="4">
        <f t="shared" si="1002"/>
        <v>0</v>
      </c>
      <c r="AB532" s="4">
        <f t="shared" si="1003"/>
        <v>0</v>
      </c>
      <c r="AC532" s="4"/>
      <c r="AD532" s="4" t="b">
        <f t="shared" si="1004"/>
        <v>0</v>
      </c>
      <c r="AE532" s="4" t="b">
        <f t="shared" si="1005"/>
        <v>0</v>
      </c>
      <c r="AF532" s="4" t="b">
        <f t="shared" si="1006"/>
        <v>0</v>
      </c>
      <c r="AG532" t="b">
        <f t="shared" si="1007"/>
        <v>0</v>
      </c>
      <c r="AH532" t="b">
        <f t="shared" si="1008"/>
        <v>0</v>
      </c>
      <c r="AI532" t="b">
        <f t="shared" si="1009"/>
        <v>0</v>
      </c>
      <c r="AJ532" t="b">
        <f t="shared" si="1010"/>
        <v>0</v>
      </c>
      <c r="AK532" t="b">
        <f t="shared" si="1011"/>
        <v>0</v>
      </c>
      <c r="AL532" t="b">
        <f t="shared" si="1012"/>
        <v>0</v>
      </c>
      <c r="AM532" t="b">
        <f t="shared" si="1013"/>
        <v>0</v>
      </c>
      <c r="AN532" t="b">
        <f t="shared" si="1014"/>
        <v>0</v>
      </c>
      <c r="AO532" t="b">
        <f t="shared" si="1015"/>
        <v>0</v>
      </c>
      <c r="AP532" t="b">
        <f t="shared" si="1016"/>
        <v>0</v>
      </c>
      <c r="AQ532" t="b">
        <f t="shared" si="1017"/>
        <v>0</v>
      </c>
      <c r="AR532" t="b">
        <f t="shared" si="1018"/>
        <v>0</v>
      </c>
      <c r="AS532" t="b">
        <f t="shared" si="1019"/>
        <v>0</v>
      </c>
      <c r="AT532" t="b">
        <f t="shared" si="1020"/>
        <v>0</v>
      </c>
      <c r="AU532" t="b">
        <f t="shared" si="1021"/>
        <v>0</v>
      </c>
      <c r="AV532" t="b">
        <f t="shared" si="1022"/>
        <v>0</v>
      </c>
      <c r="AW532" t="b">
        <f t="shared" si="1023"/>
        <v>0</v>
      </c>
      <c r="AX532" t="b">
        <f t="shared" si="1025"/>
        <v>0</v>
      </c>
      <c r="AY532" t="b">
        <f t="shared" si="1026"/>
        <v>0</v>
      </c>
      <c r="AZ532" t="b">
        <f t="shared" si="1027"/>
        <v>0</v>
      </c>
      <c r="BA532" t="b">
        <f t="shared" si="1028"/>
        <v>0</v>
      </c>
      <c r="BB532" t="b">
        <f t="shared" si="1029"/>
        <v>0</v>
      </c>
      <c r="BC532" t="b">
        <f t="shared" si="1030"/>
        <v>0</v>
      </c>
      <c r="BD532" t="b">
        <f t="shared" si="1031"/>
        <v>0</v>
      </c>
      <c r="BE532" t="b">
        <f t="shared" si="1032"/>
        <v>0</v>
      </c>
      <c r="BF532" t="b">
        <f t="shared" si="1033"/>
        <v>0</v>
      </c>
      <c r="BG532" t="b">
        <f t="shared" si="1034"/>
        <v>0</v>
      </c>
      <c r="BH532" t="b">
        <f t="shared" si="1035"/>
        <v>0</v>
      </c>
      <c r="BI532">
        <f t="shared" si="1036"/>
        <v>1</v>
      </c>
      <c r="BJ532" t="b">
        <f t="shared" si="1037"/>
        <v>0</v>
      </c>
      <c r="BK532" t="b">
        <f t="shared" si="1038"/>
        <v>0</v>
      </c>
      <c r="BL532" t="b">
        <f t="shared" si="1039"/>
        <v>0</v>
      </c>
      <c r="BM532" t="b">
        <f t="shared" si="1040"/>
        <v>0</v>
      </c>
      <c r="BN532" t="b">
        <f t="shared" si="1041"/>
        <v>0</v>
      </c>
      <c r="BO532" t="b">
        <f t="shared" si="1042"/>
        <v>0</v>
      </c>
      <c r="BP532" t="b">
        <f t="shared" si="1043"/>
        <v>0</v>
      </c>
      <c r="BQ532" t="b">
        <f t="shared" si="1044"/>
        <v>0</v>
      </c>
      <c r="BR532" t="b">
        <f t="shared" si="1045"/>
        <v>0</v>
      </c>
      <c r="BS532" t="b">
        <f t="shared" si="1046"/>
        <v>0</v>
      </c>
      <c r="BT532" t="b">
        <f t="shared" si="1047"/>
        <v>0</v>
      </c>
      <c r="BU532" t="b">
        <f t="shared" si="1048"/>
        <v>0</v>
      </c>
      <c r="BV532" t="b">
        <f t="shared" si="1049"/>
        <v>0</v>
      </c>
      <c r="BW532" t="b">
        <f t="shared" si="1050"/>
        <v>0</v>
      </c>
      <c r="BX532" t="b">
        <f t="shared" si="1051"/>
        <v>0</v>
      </c>
      <c r="BY532" t="b">
        <f t="shared" si="1052"/>
        <v>0</v>
      </c>
      <c r="BZ532" t="b">
        <f t="shared" si="1053"/>
        <v>0</v>
      </c>
      <c r="CA532" t="b">
        <f t="shared" si="1054"/>
        <v>0</v>
      </c>
      <c r="CB532" t="b">
        <f t="shared" si="1055"/>
        <v>0</v>
      </c>
      <c r="CC532" t="b">
        <f t="shared" si="1056"/>
        <v>0</v>
      </c>
      <c r="CD532" t="b">
        <f t="shared" si="1057"/>
        <v>0</v>
      </c>
      <c r="CE532" t="b">
        <f t="shared" si="1058"/>
        <v>0</v>
      </c>
      <c r="CF532" t="b">
        <f t="shared" si="1059"/>
        <v>0</v>
      </c>
      <c r="CG532" t="b">
        <f t="shared" si="1060"/>
        <v>0</v>
      </c>
      <c r="CH532" t="b">
        <f t="shared" si="1061"/>
        <v>0</v>
      </c>
      <c r="CI532" t="b">
        <f t="shared" si="1062"/>
        <v>0</v>
      </c>
      <c r="CJ532" t="b">
        <f t="shared" si="1063"/>
        <v>0</v>
      </c>
      <c r="CK532" t="b">
        <f t="shared" si="1064"/>
        <v>0</v>
      </c>
      <c r="CL532" t="b">
        <f t="shared" si="1065"/>
        <v>0</v>
      </c>
      <c r="CM532" t="b">
        <f t="shared" si="1066"/>
        <v>0</v>
      </c>
      <c r="CN532" t="b">
        <f t="shared" si="1067"/>
        <v>0</v>
      </c>
      <c r="CO532" t="b">
        <f t="shared" si="1068"/>
        <v>0</v>
      </c>
      <c r="CP532" t="b">
        <f t="shared" si="1069"/>
        <v>0</v>
      </c>
      <c r="CQ532" t="b">
        <f t="shared" si="1070"/>
        <v>0</v>
      </c>
      <c r="CR532" t="b">
        <f t="shared" si="1071"/>
        <v>0</v>
      </c>
      <c r="CS532" t="b">
        <f t="shared" si="1072"/>
        <v>0</v>
      </c>
      <c r="CT532" t="b">
        <f t="shared" si="1073"/>
        <v>0</v>
      </c>
      <c r="CU532" t="b">
        <f t="shared" si="1074"/>
        <v>0</v>
      </c>
      <c r="CV532">
        <f t="shared" si="1075"/>
        <v>1</v>
      </c>
      <c r="CW532" t="b">
        <f t="shared" si="1076"/>
        <v>0</v>
      </c>
      <c r="CX532" t="b">
        <f t="shared" si="1077"/>
        <v>0</v>
      </c>
      <c r="CY532" t="b">
        <f t="shared" si="1078"/>
        <v>0</v>
      </c>
      <c r="CZ532" t="b">
        <f t="shared" si="1079"/>
        <v>0</v>
      </c>
      <c r="DA532" t="b">
        <f t="shared" si="1080"/>
        <v>0</v>
      </c>
      <c r="DB532" t="b">
        <f t="shared" si="1081"/>
        <v>0</v>
      </c>
      <c r="DC532" t="b">
        <f t="shared" si="1082"/>
        <v>0</v>
      </c>
      <c r="DD532" t="b">
        <f t="shared" si="1083"/>
        <v>0</v>
      </c>
      <c r="DE532" t="b">
        <f t="shared" si="1084"/>
        <v>0</v>
      </c>
      <c r="DF532" t="b">
        <f t="shared" si="1085"/>
        <v>0</v>
      </c>
      <c r="DG532" t="b">
        <f t="shared" si="1086"/>
        <v>0</v>
      </c>
      <c r="DH532" t="b">
        <f t="shared" si="1087"/>
        <v>0</v>
      </c>
      <c r="DI532" t="b">
        <f t="shared" si="1088"/>
        <v>0</v>
      </c>
      <c r="DJ532" t="b">
        <f t="shared" si="1089"/>
        <v>0</v>
      </c>
      <c r="DK532" t="b">
        <f t="shared" si="1090"/>
        <v>0</v>
      </c>
      <c r="DL532" t="b">
        <f t="shared" si="1091"/>
        <v>0</v>
      </c>
      <c r="DM532" t="b">
        <f t="shared" si="1092"/>
        <v>0</v>
      </c>
      <c r="DN532" t="b">
        <f t="shared" si="1093"/>
        <v>0</v>
      </c>
      <c r="DO532" t="b">
        <f t="shared" si="1094"/>
        <v>0</v>
      </c>
      <c r="DP532" t="b">
        <f t="shared" si="1095"/>
        <v>0</v>
      </c>
      <c r="DQ532" t="b">
        <f t="shared" si="1096"/>
        <v>0</v>
      </c>
      <c r="DR532" t="b">
        <f t="shared" si="1097"/>
        <v>0</v>
      </c>
      <c r="DS532" t="b">
        <f t="shared" si="1098"/>
        <v>0</v>
      </c>
      <c r="DT532" t="b">
        <f t="shared" si="1099"/>
        <v>0</v>
      </c>
      <c r="DU532" t="b">
        <f t="shared" si="1100"/>
        <v>0</v>
      </c>
      <c r="DV532" t="b">
        <f t="shared" si="1101"/>
        <v>0</v>
      </c>
      <c r="DW532" t="b">
        <f t="shared" si="1102"/>
        <v>0</v>
      </c>
      <c r="DX532" t="b">
        <f t="shared" si="1103"/>
        <v>0</v>
      </c>
      <c r="DY532" t="b">
        <f t="shared" si="1104"/>
        <v>0</v>
      </c>
      <c r="DZ532" t="b">
        <f t="shared" si="1105"/>
        <v>0</v>
      </c>
      <c r="EA532" t="b">
        <f t="shared" si="1106"/>
        <v>0</v>
      </c>
      <c r="EB532" t="b">
        <f t="shared" si="1107"/>
        <v>0</v>
      </c>
      <c r="EC532" t="b">
        <f t="shared" si="1108"/>
        <v>0</v>
      </c>
      <c r="ED532" t="b">
        <f t="shared" si="1109"/>
        <v>0</v>
      </c>
      <c r="EE532" t="b">
        <f t="shared" si="1110"/>
        <v>0</v>
      </c>
      <c r="EF532">
        <f t="shared" si="1111"/>
        <v>1</v>
      </c>
      <c r="EG532" t="b">
        <f t="shared" si="1112"/>
        <v>0</v>
      </c>
      <c r="EH532" t="b">
        <f t="shared" si="1113"/>
        <v>0</v>
      </c>
      <c r="EI532" t="b">
        <f t="shared" si="1114"/>
        <v>0</v>
      </c>
      <c r="EJ532" t="b">
        <f t="shared" si="1115"/>
        <v>0</v>
      </c>
      <c r="EK532" t="b">
        <f t="shared" si="1116"/>
        <v>0</v>
      </c>
    </row>
    <row r="533" spans="1:141">
      <c r="A533" t="s">
        <v>2688</v>
      </c>
      <c r="B533" t="s">
        <v>2689</v>
      </c>
      <c r="C533" t="s">
        <v>2690</v>
      </c>
      <c r="D533" s="1">
        <v>42095</v>
      </c>
      <c r="E533" s="2">
        <v>42816.08425925926</v>
      </c>
      <c r="F533" s="2">
        <v>43308.916018518517</v>
      </c>
      <c r="G533">
        <v>254867</v>
      </c>
      <c r="H533" t="s">
        <v>2691</v>
      </c>
      <c r="I533" s="10" t="s">
        <v>2692</v>
      </c>
      <c r="J533" t="s">
        <v>156</v>
      </c>
      <c r="K533" s="8" t="b">
        <v>1</v>
      </c>
      <c r="L533" s="10" t="b">
        <v>0</v>
      </c>
      <c r="M533" s="12" t="b">
        <v>0</v>
      </c>
      <c r="N533" t="b">
        <v>0</v>
      </c>
      <c r="O533" t="b">
        <v>0</v>
      </c>
      <c r="P533" t="b">
        <v>0</v>
      </c>
      <c r="Q533">
        <f t="shared" si="993"/>
        <v>4</v>
      </c>
      <c r="R533">
        <f t="shared" si="994"/>
        <v>4</v>
      </c>
      <c r="S533" t="e">
        <f t="shared" ca="1" si="1024"/>
        <v>#NAME?</v>
      </c>
      <c r="T533" t="e">
        <f t="shared" ca="1" si="995"/>
        <v>#NAME?</v>
      </c>
      <c r="U533" s="4">
        <f t="shared" si="996"/>
        <v>721.08425925925985</v>
      </c>
      <c r="V533" s="4">
        <f t="shared" si="997"/>
        <v>24.036141975308663</v>
      </c>
      <c r="W533" s="4">
        <f t="shared" si="998"/>
        <v>1</v>
      </c>
      <c r="X533" s="4">
        <f t="shared" si="999"/>
        <v>0</v>
      </c>
      <c r="Y533" s="4">
        <f t="shared" si="1000"/>
        <v>0</v>
      </c>
      <c r="Z533" s="4">
        <f t="shared" si="1001"/>
        <v>0</v>
      </c>
      <c r="AA533" s="4">
        <f t="shared" si="1002"/>
        <v>0</v>
      </c>
      <c r="AB533" s="4">
        <f t="shared" si="1003"/>
        <v>0</v>
      </c>
      <c r="AC533" s="4"/>
      <c r="AD533" s="4" t="b">
        <f t="shared" si="1004"/>
        <v>0</v>
      </c>
      <c r="AE533" s="4" t="b">
        <f t="shared" si="1005"/>
        <v>0</v>
      </c>
      <c r="AF533" s="4" t="b">
        <f t="shared" si="1006"/>
        <v>0</v>
      </c>
      <c r="AG533" t="b">
        <f t="shared" si="1007"/>
        <v>0</v>
      </c>
      <c r="AH533" t="b">
        <f t="shared" si="1008"/>
        <v>0</v>
      </c>
      <c r="AI533" t="b">
        <f t="shared" si="1009"/>
        <v>0</v>
      </c>
      <c r="AJ533" t="b">
        <f t="shared" si="1010"/>
        <v>0</v>
      </c>
      <c r="AK533" t="b">
        <f t="shared" si="1011"/>
        <v>0</v>
      </c>
      <c r="AL533" t="b">
        <f t="shared" si="1012"/>
        <v>0</v>
      </c>
      <c r="AM533" t="b">
        <f t="shared" si="1013"/>
        <v>0</v>
      </c>
      <c r="AN533" t="b">
        <f t="shared" si="1014"/>
        <v>0</v>
      </c>
      <c r="AO533" t="b">
        <f t="shared" si="1015"/>
        <v>0</v>
      </c>
      <c r="AP533" t="b">
        <f t="shared" si="1016"/>
        <v>0</v>
      </c>
      <c r="AQ533" t="b">
        <f t="shared" si="1017"/>
        <v>0</v>
      </c>
      <c r="AR533" t="b">
        <f t="shared" si="1018"/>
        <v>0</v>
      </c>
      <c r="AS533" t="b">
        <f t="shared" si="1019"/>
        <v>0</v>
      </c>
      <c r="AT533" t="b">
        <f t="shared" si="1020"/>
        <v>0</v>
      </c>
      <c r="AU533" t="b">
        <f t="shared" si="1021"/>
        <v>0</v>
      </c>
      <c r="AV533" t="b">
        <f t="shared" si="1022"/>
        <v>0</v>
      </c>
      <c r="AW533" t="b">
        <f t="shared" si="1023"/>
        <v>0</v>
      </c>
      <c r="AX533" t="b">
        <f t="shared" si="1025"/>
        <v>0</v>
      </c>
      <c r="AY533" t="b">
        <f t="shared" si="1026"/>
        <v>0</v>
      </c>
      <c r="AZ533" t="b">
        <f t="shared" si="1027"/>
        <v>0</v>
      </c>
      <c r="BA533" t="b">
        <f t="shared" si="1028"/>
        <v>0</v>
      </c>
      <c r="BB533" t="b">
        <f t="shared" si="1029"/>
        <v>0</v>
      </c>
      <c r="BC533" t="b">
        <f t="shared" si="1030"/>
        <v>0</v>
      </c>
      <c r="BD533" t="b">
        <f t="shared" si="1031"/>
        <v>0</v>
      </c>
      <c r="BE533" t="b">
        <f t="shared" si="1032"/>
        <v>0</v>
      </c>
      <c r="BF533" t="b">
        <f t="shared" si="1033"/>
        <v>0</v>
      </c>
      <c r="BG533" t="b">
        <f t="shared" si="1034"/>
        <v>0</v>
      </c>
      <c r="BH533" t="b">
        <f t="shared" si="1035"/>
        <v>0</v>
      </c>
      <c r="BI533">
        <f t="shared" si="1036"/>
        <v>1</v>
      </c>
      <c r="BJ533" t="b">
        <f t="shared" si="1037"/>
        <v>0</v>
      </c>
      <c r="BK533" t="b">
        <f t="shared" si="1038"/>
        <v>0</v>
      </c>
      <c r="BL533" t="b">
        <f t="shared" si="1039"/>
        <v>0</v>
      </c>
      <c r="BM533" t="b">
        <f t="shared" si="1040"/>
        <v>0</v>
      </c>
      <c r="BN533" t="b">
        <f t="shared" si="1041"/>
        <v>0</v>
      </c>
      <c r="BO533" t="b">
        <f t="shared" si="1042"/>
        <v>0</v>
      </c>
      <c r="BP533" t="b">
        <f t="shared" si="1043"/>
        <v>0</v>
      </c>
      <c r="BQ533" t="b">
        <f t="shared" si="1044"/>
        <v>0</v>
      </c>
      <c r="BR533" t="b">
        <f t="shared" si="1045"/>
        <v>0</v>
      </c>
      <c r="BS533" t="b">
        <f t="shared" si="1046"/>
        <v>0</v>
      </c>
      <c r="BT533" t="b">
        <f t="shared" si="1047"/>
        <v>0</v>
      </c>
      <c r="BU533" t="b">
        <f t="shared" si="1048"/>
        <v>0</v>
      </c>
      <c r="BV533" t="b">
        <f t="shared" si="1049"/>
        <v>0</v>
      </c>
      <c r="BW533" t="b">
        <f t="shared" si="1050"/>
        <v>0</v>
      </c>
      <c r="BX533" t="b">
        <f t="shared" si="1051"/>
        <v>0</v>
      </c>
      <c r="BY533" t="b">
        <f t="shared" si="1052"/>
        <v>0</v>
      </c>
      <c r="BZ533" t="b">
        <f t="shared" si="1053"/>
        <v>0</v>
      </c>
      <c r="CA533" t="b">
        <f t="shared" si="1054"/>
        <v>0</v>
      </c>
      <c r="CB533" t="b">
        <f t="shared" si="1055"/>
        <v>0</v>
      </c>
      <c r="CC533" t="b">
        <f t="shared" si="1056"/>
        <v>0</v>
      </c>
      <c r="CD533" t="b">
        <f t="shared" si="1057"/>
        <v>0</v>
      </c>
      <c r="CE533" t="b">
        <f t="shared" si="1058"/>
        <v>0</v>
      </c>
      <c r="CF533" t="b">
        <f t="shared" si="1059"/>
        <v>0</v>
      </c>
      <c r="CG533" t="b">
        <f t="shared" si="1060"/>
        <v>0</v>
      </c>
      <c r="CH533" t="b">
        <f t="shared" si="1061"/>
        <v>0</v>
      </c>
      <c r="CI533" t="b">
        <f t="shared" si="1062"/>
        <v>0</v>
      </c>
      <c r="CJ533" t="b">
        <f t="shared" si="1063"/>
        <v>0</v>
      </c>
      <c r="CK533" t="b">
        <f t="shared" si="1064"/>
        <v>0</v>
      </c>
      <c r="CL533" t="b">
        <f t="shared" si="1065"/>
        <v>0</v>
      </c>
      <c r="CM533" t="b">
        <f t="shared" si="1066"/>
        <v>0</v>
      </c>
      <c r="CN533" t="b">
        <f t="shared" si="1067"/>
        <v>0</v>
      </c>
      <c r="CO533" t="b">
        <f t="shared" si="1068"/>
        <v>0</v>
      </c>
      <c r="CP533" t="b">
        <f t="shared" si="1069"/>
        <v>0</v>
      </c>
      <c r="CQ533" t="b">
        <f t="shared" si="1070"/>
        <v>0</v>
      </c>
      <c r="CR533" t="b">
        <f t="shared" si="1071"/>
        <v>0</v>
      </c>
      <c r="CS533" t="b">
        <f t="shared" si="1072"/>
        <v>0</v>
      </c>
      <c r="CT533" t="b">
        <f t="shared" si="1073"/>
        <v>0</v>
      </c>
      <c r="CU533" t="b">
        <f t="shared" si="1074"/>
        <v>0</v>
      </c>
      <c r="CV533">
        <f t="shared" si="1075"/>
        <v>1</v>
      </c>
      <c r="CW533" t="b">
        <f t="shared" si="1076"/>
        <v>0</v>
      </c>
      <c r="CX533" t="b">
        <f t="shared" si="1077"/>
        <v>0</v>
      </c>
      <c r="CY533" t="b">
        <f t="shared" si="1078"/>
        <v>0</v>
      </c>
      <c r="CZ533" t="b">
        <f t="shared" si="1079"/>
        <v>0</v>
      </c>
      <c r="DA533" t="b">
        <f t="shared" si="1080"/>
        <v>0</v>
      </c>
      <c r="DB533" t="b">
        <f t="shared" si="1081"/>
        <v>0</v>
      </c>
      <c r="DC533" t="b">
        <f t="shared" si="1082"/>
        <v>0</v>
      </c>
      <c r="DD533" t="b">
        <f t="shared" si="1083"/>
        <v>0</v>
      </c>
      <c r="DE533" t="b">
        <f t="shared" si="1084"/>
        <v>0</v>
      </c>
      <c r="DF533" t="b">
        <f t="shared" si="1085"/>
        <v>0</v>
      </c>
      <c r="DG533" t="b">
        <f t="shared" si="1086"/>
        <v>0</v>
      </c>
      <c r="DH533" t="b">
        <f t="shared" si="1087"/>
        <v>0</v>
      </c>
      <c r="DI533" t="b">
        <f t="shared" si="1088"/>
        <v>0</v>
      </c>
      <c r="DJ533" t="b">
        <f t="shared" si="1089"/>
        <v>0</v>
      </c>
      <c r="DK533" t="b">
        <f t="shared" si="1090"/>
        <v>0</v>
      </c>
      <c r="DL533" t="b">
        <f t="shared" si="1091"/>
        <v>0</v>
      </c>
      <c r="DM533" t="b">
        <f t="shared" si="1092"/>
        <v>0</v>
      </c>
      <c r="DN533" t="b">
        <f t="shared" si="1093"/>
        <v>0</v>
      </c>
      <c r="DO533" t="b">
        <f t="shared" si="1094"/>
        <v>0</v>
      </c>
      <c r="DP533" t="b">
        <f t="shared" si="1095"/>
        <v>0</v>
      </c>
      <c r="DQ533" t="b">
        <f t="shared" si="1096"/>
        <v>0</v>
      </c>
      <c r="DR533" t="b">
        <f t="shared" si="1097"/>
        <v>0</v>
      </c>
      <c r="DS533" t="b">
        <f t="shared" si="1098"/>
        <v>0</v>
      </c>
      <c r="DT533" t="b">
        <f t="shared" si="1099"/>
        <v>0</v>
      </c>
      <c r="DU533" t="b">
        <f t="shared" si="1100"/>
        <v>0</v>
      </c>
      <c r="DV533" t="b">
        <f t="shared" si="1101"/>
        <v>0</v>
      </c>
      <c r="DW533" t="b">
        <f t="shared" si="1102"/>
        <v>0</v>
      </c>
      <c r="DX533" t="b">
        <f t="shared" si="1103"/>
        <v>0</v>
      </c>
      <c r="DY533" t="b">
        <f t="shared" si="1104"/>
        <v>0</v>
      </c>
      <c r="DZ533" t="b">
        <f t="shared" si="1105"/>
        <v>0</v>
      </c>
      <c r="EA533" t="b">
        <f t="shared" si="1106"/>
        <v>0</v>
      </c>
      <c r="EB533" t="b">
        <f t="shared" si="1107"/>
        <v>0</v>
      </c>
      <c r="EC533" t="b">
        <f t="shared" si="1108"/>
        <v>0</v>
      </c>
      <c r="ED533" t="b">
        <f t="shared" si="1109"/>
        <v>0</v>
      </c>
      <c r="EE533" t="b">
        <f t="shared" si="1110"/>
        <v>0</v>
      </c>
      <c r="EF533">
        <f t="shared" si="1111"/>
        <v>1</v>
      </c>
      <c r="EG533" t="b">
        <f t="shared" si="1112"/>
        <v>0</v>
      </c>
      <c r="EH533" t="b">
        <f t="shared" si="1113"/>
        <v>0</v>
      </c>
      <c r="EI533" t="b">
        <f t="shared" si="1114"/>
        <v>0</v>
      </c>
      <c r="EJ533" t="b">
        <f t="shared" si="1115"/>
        <v>0</v>
      </c>
      <c r="EK533" t="b">
        <f t="shared" si="1116"/>
        <v>0</v>
      </c>
    </row>
    <row r="534" spans="1:141">
      <c r="A534" t="s">
        <v>2693</v>
      </c>
      <c r="B534" t="s">
        <v>2693</v>
      </c>
      <c r="C534" t="s">
        <v>2694</v>
      </c>
      <c r="D534" s="1">
        <v>44005</v>
      </c>
      <c r="E534" s="2">
        <v>44043.267152777778</v>
      </c>
      <c r="F534" s="2">
        <v>44043.33320601852</v>
      </c>
      <c r="G534">
        <v>4195918</v>
      </c>
      <c r="H534" t="s">
        <v>2695</v>
      </c>
      <c r="I534" s="10" t="s">
        <v>2696</v>
      </c>
      <c r="J534" t="s">
        <v>2697</v>
      </c>
      <c r="K534" s="8" t="b">
        <v>1</v>
      </c>
      <c r="L534" s="10" t="b">
        <v>0</v>
      </c>
      <c r="M534" s="12" t="b">
        <v>0</v>
      </c>
      <c r="N534" t="b">
        <v>0</v>
      </c>
      <c r="O534" t="b">
        <v>0</v>
      </c>
      <c r="P534" t="b">
        <v>0</v>
      </c>
      <c r="Q534">
        <f t="shared" si="993"/>
        <v>3</v>
      </c>
      <c r="R534">
        <f t="shared" si="994"/>
        <v>6</v>
      </c>
      <c r="S534" t="e">
        <f t="shared" ca="1" si="1024"/>
        <v>#NAME?</v>
      </c>
      <c r="T534" t="e">
        <f t="shared" ca="1" si="995"/>
        <v>#NAME?</v>
      </c>
      <c r="U534" s="4">
        <f t="shared" si="996"/>
        <v>38.267152777778392</v>
      </c>
      <c r="V534" s="4">
        <f t="shared" si="997"/>
        <v>1.2755717592592797</v>
      </c>
      <c r="W534" s="4">
        <f t="shared" si="998"/>
        <v>1</v>
      </c>
      <c r="X534" s="4">
        <f t="shared" si="999"/>
        <v>0</v>
      </c>
      <c r="Y534" s="4">
        <f t="shared" si="1000"/>
        <v>0</v>
      </c>
      <c r="Z534" s="4">
        <f t="shared" si="1001"/>
        <v>0</v>
      </c>
      <c r="AA534" s="4">
        <f t="shared" si="1002"/>
        <v>0</v>
      </c>
      <c r="AB534" s="4">
        <f t="shared" si="1003"/>
        <v>0</v>
      </c>
      <c r="AC534" s="4"/>
      <c r="AD534" s="4" t="b">
        <f t="shared" si="1004"/>
        <v>0</v>
      </c>
      <c r="AE534" s="4" t="b">
        <f t="shared" si="1005"/>
        <v>0</v>
      </c>
      <c r="AF534" s="4" t="b">
        <f t="shared" si="1006"/>
        <v>0</v>
      </c>
      <c r="AG534" t="b">
        <f t="shared" si="1007"/>
        <v>0</v>
      </c>
      <c r="AH534" t="b">
        <f t="shared" si="1008"/>
        <v>0</v>
      </c>
      <c r="AI534" t="b">
        <f t="shared" si="1009"/>
        <v>0</v>
      </c>
      <c r="AJ534" t="b">
        <f t="shared" si="1010"/>
        <v>0</v>
      </c>
      <c r="AK534" t="b">
        <f t="shared" si="1011"/>
        <v>0</v>
      </c>
      <c r="AL534" t="b">
        <f t="shared" si="1012"/>
        <v>0</v>
      </c>
      <c r="AM534" t="b">
        <f t="shared" si="1013"/>
        <v>0</v>
      </c>
      <c r="AN534" t="b">
        <f t="shared" si="1014"/>
        <v>0</v>
      </c>
      <c r="AO534" t="b">
        <f t="shared" si="1015"/>
        <v>0</v>
      </c>
      <c r="AP534" t="b">
        <f t="shared" si="1016"/>
        <v>0</v>
      </c>
      <c r="AQ534" t="b">
        <f t="shared" si="1017"/>
        <v>0</v>
      </c>
      <c r="AR534" t="b">
        <f t="shared" si="1018"/>
        <v>0</v>
      </c>
      <c r="AS534" t="b">
        <f t="shared" si="1019"/>
        <v>0</v>
      </c>
      <c r="AT534" t="b">
        <f t="shared" si="1020"/>
        <v>0</v>
      </c>
      <c r="AU534" t="b">
        <f t="shared" si="1021"/>
        <v>0</v>
      </c>
      <c r="AV534" t="b">
        <f t="shared" si="1022"/>
        <v>0</v>
      </c>
      <c r="AW534" t="b">
        <f t="shared" si="1023"/>
        <v>0</v>
      </c>
      <c r="AX534" t="b">
        <f t="shared" si="1025"/>
        <v>0</v>
      </c>
      <c r="AY534" t="b">
        <f t="shared" si="1026"/>
        <v>0</v>
      </c>
      <c r="AZ534" t="b">
        <f t="shared" si="1027"/>
        <v>0</v>
      </c>
      <c r="BA534" t="b">
        <f t="shared" si="1028"/>
        <v>0</v>
      </c>
      <c r="BB534" t="b">
        <f t="shared" si="1029"/>
        <v>0</v>
      </c>
      <c r="BC534" t="b">
        <f t="shared" si="1030"/>
        <v>0</v>
      </c>
      <c r="BD534" t="b">
        <f t="shared" si="1031"/>
        <v>0</v>
      </c>
      <c r="BE534" t="b">
        <f t="shared" si="1032"/>
        <v>0</v>
      </c>
      <c r="BF534" t="b">
        <f t="shared" si="1033"/>
        <v>0</v>
      </c>
      <c r="BG534" t="b">
        <f t="shared" si="1034"/>
        <v>0</v>
      </c>
      <c r="BH534" t="b">
        <f t="shared" si="1035"/>
        <v>0</v>
      </c>
      <c r="BI534">
        <f t="shared" si="1036"/>
        <v>1</v>
      </c>
      <c r="BJ534" t="b">
        <f t="shared" si="1037"/>
        <v>0</v>
      </c>
      <c r="BK534" t="b">
        <f t="shared" si="1038"/>
        <v>0</v>
      </c>
      <c r="BL534" t="b">
        <f t="shared" si="1039"/>
        <v>0</v>
      </c>
      <c r="BM534" t="b">
        <f t="shared" si="1040"/>
        <v>0</v>
      </c>
      <c r="BN534" t="b">
        <f t="shared" si="1041"/>
        <v>0</v>
      </c>
      <c r="BO534" t="b">
        <f t="shared" si="1042"/>
        <v>0</v>
      </c>
      <c r="BP534" t="b">
        <f t="shared" si="1043"/>
        <v>0</v>
      </c>
      <c r="BQ534" t="b">
        <f t="shared" si="1044"/>
        <v>0</v>
      </c>
      <c r="BR534" t="b">
        <f t="shared" si="1045"/>
        <v>0</v>
      </c>
      <c r="BS534" t="b">
        <f t="shared" si="1046"/>
        <v>0</v>
      </c>
      <c r="BT534" t="b">
        <f t="shared" si="1047"/>
        <v>0</v>
      </c>
      <c r="BU534" t="b">
        <f t="shared" si="1048"/>
        <v>0</v>
      </c>
      <c r="BV534" t="b">
        <f t="shared" si="1049"/>
        <v>0</v>
      </c>
      <c r="BW534" t="b">
        <f t="shared" si="1050"/>
        <v>0</v>
      </c>
      <c r="BX534" t="b">
        <f t="shared" si="1051"/>
        <v>0</v>
      </c>
      <c r="BY534" t="b">
        <f t="shared" si="1052"/>
        <v>0</v>
      </c>
      <c r="BZ534" t="b">
        <f t="shared" si="1053"/>
        <v>0</v>
      </c>
      <c r="CA534" t="b">
        <f t="shared" si="1054"/>
        <v>0</v>
      </c>
      <c r="CB534" t="b">
        <f t="shared" si="1055"/>
        <v>0</v>
      </c>
      <c r="CC534" t="b">
        <f t="shared" si="1056"/>
        <v>0</v>
      </c>
      <c r="CD534" t="b">
        <f t="shared" si="1057"/>
        <v>0</v>
      </c>
      <c r="CE534" t="b">
        <f t="shared" si="1058"/>
        <v>0</v>
      </c>
      <c r="CF534" t="b">
        <f t="shared" si="1059"/>
        <v>0</v>
      </c>
      <c r="CG534" t="b">
        <f t="shared" si="1060"/>
        <v>0</v>
      </c>
      <c r="CH534" t="b">
        <f t="shared" si="1061"/>
        <v>0</v>
      </c>
      <c r="CI534" t="b">
        <f t="shared" si="1062"/>
        <v>0</v>
      </c>
      <c r="CJ534" t="b">
        <f t="shared" si="1063"/>
        <v>0</v>
      </c>
      <c r="CK534" t="b">
        <f t="shared" si="1064"/>
        <v>0</v>
      </c>
      <c r="CL534" t="b">
        <f t="shared" si="1065"/>
        <v>0</v>
      </c>
      <c r="CM534">
        <f t="shared" si="1066"/>
        <v>1</v>
      </c>
      <c r="CN534" t="b">
        <f t="shared" si="1067"/>
        <v>0</v>
      </c>
      <c r="CO534" t="b">
        <f t="shared" si="1068"/>
        <v>0</v>
      </c>
      <c r="CP534" t="b">
        <f t="shared" si="1069"/>
        <v>0</v>
      </c>
      <c r="CQ534" t="b">
        <f t="shared" si="1070"/>
        <v>0</v>
      </c>
      <c r="CR534" t="b">
        <f t="shared" si="1071"/>
        <v>0</v>
      </c>
      <c r="CS534" t="b">
        <f t="shared" si="1072"/>
        <v>0</v>
      </c>
      <c r="CT534" t="b">
        <f t="shared" si="1073"/>
        <v>0</v>
      </c>
      <c r="CU534" t="b">
        <f t="shared" si="1074"/>
        <v>0</v>
      </c>
      <c r="CV534">
        <f t="shared" si="1075"/>
        <v>1</v>
      </c>
      <c r="CW534" t="b">
        <f t="shared" si="1076"/>
        <v>0</v>
      </c>
      <c r="CX534" t="b">
        <f t="shared" si="1077"/>
        <v>0</v>
      </c>
      <c r="CY534" t="b">
        <f t="shared" si="1078"/>
        <v>0</v>
      </c>
      <c r="CZ534" t="b">
        <f t="shared" si="1079"/>
        <v>0</v>
      </c>
      <c r="DA534">
        <f t="shared" si="1080"/>
        <v>1</v>
      </c>
      <c r="DB534" t="b">
        <f t="shared" si="1081"/>
        <v>0</v>
      </c>
      <c r="DC534" t="b">
        <f t="shared" si="1082"/>
        <v>0</v>
      </c>
      <c r="DD534" t="b">
        <f t="shared" si="1083"/>
        <v>0</v>
      </c>
      <c r="DE534" t="b">
        <f t="shared" si="1084"/>
        <v>0</v>
      </c>
      <c r="DF534" t="b">
        <f t="shared" si="1085"/>
        <v>0</v>
      </c>
      <c r="DG534" t="b">
        <f t="shared" si="1086"/>
        <v>0</v>
      </c>
      <c r="DH534" t="b">
        <f t="shared" si="1087"/>
        <v>0</v>
      </c>
      <c r="DI534">
        <f t="shared" si="1088"/>
        <v>1</v>
      </c>
      <c r="DJ534" t="b">
        <f t="shared" si="1089"/>
        <v>0</v>
      </c>
      <c r="DK534" t="b">
        <f t="shared" si="1090"/>
        <v>0</v>
      </c>
      <c r="DL534" t="b">
        <f t="shared" si="1091"/>
        <v>0</v>
      </c>
      <c r="DM534" t="b">
        <f t="shared" si="1092"/>
        <v>0</v>
      </c>
      <c r="DN534" t="b">
        <f t="shared" si="1093"/>
        <v>0</v>
      </c>
      <c r="DO534" t="b">
        <f t="shared" si="1094"/>
        <v>0</v>
      </c>
      <c r="DP534" t="b">
        <f t="shared" si="1095"/>
        <v>0</v>
      </c>
      <c r="DQ534" t="b">
        <f t="shared" si="1096"/>
        <v>0</v>
      </c>
      <c r="DR534" t="b">
        <f t="shared" si="1097"/>
        <v>0</v>
      </c>
      <c r="DS534" t="b">
        <f t="shared" si="1098"/>
        <v>0</v>
      </c>
      <c r="DT534" t="b">
        <f t="shared" si="1099"/>
        <v>0</v>
      </c>
      <c r="DU534" t="b">
        <f t="shared" si="1100"/>
        <v>0</v>
      </c>
      <c r="DV534" t="b">
        <f t="shared" si="1101"/>
        <v>0</v>
      </c>
      <c r="DW534" t="b">
        <f t="shared" si="1102"/>
        <v>0</v>
      </c>
      <c r="DX534" t="b">
        <f t="shared" si="1103"/>
        <v>0</v>
      </c>
      <c r="DY534" t="b">
        <f t="shared" si="1104"/>
        <v>0</v>
      </c>
      <c r="DZ534" t="b">
        <f t="shared" si="1105"/>
        <v>0</v>
      </c>
      <c r="EA534" t="b">
        <f t="shared" si="1106"/>
        <v>0</v>
      </c>
      <c r="EB534" t="b">
        <f t="shared" si="1107"/>
        <v>0</v>
      </c>
      <c r="EC534" t="b">
        <f t="shared" si="1108"/>
        <v>0</v>
      </c>
      <c r="ED534" t="b">
        <f t="shared" si="1109"/>
        <v>0</v>
      </c>
      <c r="EE534" t="b">
        <f t="shared" si="1110"/>
        <v>0</v>
      </c>
      <c r="EF534" t="b">
        <f t="shared" si="1111"/>
        <v>0</v>
      </c>
      <c r="EG534" t="b">
        <f t="shared" si="1112"/>
        <v>0</v>
      </c>
      <c r="EH534" t="b">
        <f t="shared" si="1113"/>
        <v>0</v>
      </c>
      <c r="EI534" t="b">
        <f t="shared" si="1114"/>
        <v>0</v>
      </c>
      <c r="EJ534" t="b">
        <f t="shared" si="1115"/>
        <v>0</v>
      </c>
      <c r="EK534" t="b">
        <f t="shared" si="1116"/>
        <v>0</v>
      </c>
    </row>
    <row r="535" spans="1:141">
      <c r="A535" t="s">
        <v>2698</v>
      </c>
      <c r="B535" t="s">
        <v>2698</v>
      </c>
      <c r="C535" t="s">
        <v>2699</v>
      </c>
      <c r="D535" s="1">
        <v>43793</v>
      </c>
      <c r="E535" s="2">
        <v>43954.991759259261</v>
      </c>
      <c r="F535" s="2">
        <v>43954.991759259261</v>
      </c>
      <c r="G535">
        <v>7327477</v>
      </c>
      <c r="H535" t="s">
        <v>2700</v>
      </c>
      <c r="I535" s="10" t="s">
        <v>2701</v>
      </c>
      <c r="J535" t="s">
        <v>2702</v>
      </c>
      <c r="K535" s="8" t="b">
        <v>1</v>
      </c>
      <c r="L535" s="10" t="b">
        <v>0</v>
      </c>
      <c r="M535" s="12" t="b">
        <v>0</v>
      </c>
      <c r="N535" t="b">
        <v>0</v>
      </c>
      <c r="O535" t="b">
        <v>0</v>
      </c>
      <c r="P535" t="b">
        <v>0</v>
      </c>
      <c r="Q535">
        <f t="shared" si="993"/>
        <v>1</v>
      </c>
      <c r="R535">
        <f t="shared" si="994"/>
        <v>11</v>
      </c>
      <c r="S535" t="e">
        <f t="shared" ca="1" si="1024"/>
        <v>#NAME?</v>
      </c>
      <c r="T535" t="e">
        <f t="shared" ca="1" si="995"/>
        <v>#NAME?</v>
      </c>
      <c r="U535" s="4">
        <f t="shared" si="996"/>
        <v>161.99175925926102</v>
      </c>
      <c r="V535" s="4">
        <f t="shared" si="997"/>
        <v>5.3997253086420338</v>
      </c>
      <c r="W535" s="4">
        <f t="shared" si="998"/>
        <v>1</v>
      </c>
      <c r="X535" s="4">
        <f t="shared" si="999"/>
        <v>0</v>
      </c>
      <c r="Y535" s="4">
        <f t="shared" si="1000"/>
        <v>0</v>
      </c>
      <c r="Z535" s="4">
        <f t="shared" si="1001"/>
        <v>0</v>
      </c>
      <c r="AA535" s="4">
        <f t="shared" si="1002"/>
        <v>0</v>
      </c>
      <c r="AB535" s="4">
        <f t="shared" si="1003"/>
        <v>0</v>
      </c>
      <c r="AC535" s="4"/>
      <c r="AD535" s="4" t="b">
        <f t="shared" si="1004"/>
        <v>0</v>
      </c>
      <c r="AE535" s="4" t="b">
        <f t="shared" si="1005"/>
        <v>0</v>
      </c>
      <c r="AF535" s="4" t="b">
        <f t="shared" si="1006"/>
        <v>0</v>
      </c>
      <c r="AG535" t="b">
        <f t="shared" si="1007"/>
        <v>0</v>
      </c>
      <c r="AH535" t="b">
        <f t="shared" si="1008"/>
        <v>0</v>
      </c>
      <c r="AI535" t="b">
        <f t="shared" si="1009"/>
        <v>0</v>
      </c>
      <c r="AJ535" t="b">
        <f t="shared" si="1010"/>
        <v>0</v>
      </c>
      <c r="AK535" t="b">
        <f t="shared" si="1011"/>
        <v>0</v>
      </c>
      <c r="AL535" t="b">
        <f t="shared" si="1012"/>
        <v>0</v>
      </c>
      <c r="AM535" t="b">
        <f t="shared" si="1013"/>
        <v>0</v>
      </c>
      <c r="AN535" t="b">
        <f t="shared" si="1014"/>
        <v>0</v>
      </c>
      <c r="AO535" t="b">
        <f t="shared" si="1015"/>
        <v>0</v>
      </c>
      <c r="AP535" t="b">
        <f t="shared" si="1016"/>
        <v>0</v>
      </c>
      <c r="AQ535" t="b">
        <f t="shared" si="1017"/>
        <v>0</v>
      </c>
      <c r="AR535" t="b">
        <f t="shared" si="1018"/>
        <v>0</v>
      </c>
      <c r="AS535" t="b">
        <f t="shared" si="1019"/>
        <v>0</v>
      </c>
      <c r="AT535" t="b">
        <f t="shared" si="1020"/>
        <v>0</v>
      </c>
      <c r="AU535" t="b">
        <f t="shared" si="1021"/>
        <v>0</v>
      </c>
      <c r="AV535" t="b">
        <f t="shared" si="1022"/>
        <v>0</v>
      </c>
      <c r="AW535" t="b">
        <f t="shared" si="1023"/>
        <v>0</v>
      </c>
      <c r="AX535" t="b">
        <f t="shared" si="1025"/>
        <v>0</v>
      </c>
      <c r="AY535" t="b">
        <f t="shared" si="1026"/>
        <v>0</v>
      </c>
      <c r="AZ535">
        <f t="shared" si="1027"/>
        <v>1</v>
      </c>
      <c r="BA535" t="b">
        <f t="shared" si="1028"/>
        <v>0</v>
      </c>
      <c r="BB535" t="b">
        <f t="shared" si="1029"/>
        <v>0</v>
      </c>
      <c r="BC535" t="b">
        <f t="shared" si="1030"/>
        <v>0</v>
      </c>
      <c r="BD535" t="b">
        <f t="shared" si="1031"/>
        <v>0</v>
      </c>
      <c r="BE535" t="b">
        <f t="shared" si="1032"/>
        <v>0</v>
      </c>
      <c r="BF535" t="b">
        <f t="shared" si="1033"/>
        <v>0</v>
      </c>
      <c r="BG535" t="b">
        <f t="shared" si="1034"/>
        <v>0</v>
      </c>
      <c r="BH535" t="b">
        <f t="shared" si="1035"/>
        <v>0</v>
      </c>
      <c r="BI535">
        <f t="shared" si="1036"/>
        <v>1</v>
      </c>
      <c r="BJ535" t="b">
        <f t="shared" si="1037"/>
        <v>0</v>
      </c>
      <c r="BK535" t="b">
        <f t="shared" si="1038"/>
        <v>0</v>
      </c>
      <c r="BL535" t="b">
        <f t="shared" si="1039"/>
        <v>0</v>
      </c>
      <c r="BM535" t="b">
        <f t="shared" si="1040"/>
        <v>0</v>
      </c>
      <c r="BN535" t="b">
        <f t="shared" si="1041"/>
        <v>0</v>
      </c>
      <c r="BO535" t="b">
        <f t="shared" si="1042"/>
        <v>0</v>
      </c>
      <c r="BP535" t="b">
        <f t="shared" si="1043"/>
        <v>0</v>
      </c>
      <c r="BQ535" t="b">
        <f t="shared" si="1044"/>
        <v>0</v>
      </c>
      <c r="BR535">
        <f t="shared" si="1045"/>
        <v>1</v>
      </c>
      <c r="BS535">
        <f t="shared" si="1046"/>
        <v>1</v>
      </c>
      <c r="BT535" t="b">
        <f t="shared" si="1047"/>
        <v>0</v>
      </c>
      <c r="BU535" t="b">
        <f t="shared" si="1048"/>
        <v>0</v>
      </c>
      <c r="BV535" t="b">
        <f t="shared" si="1049"/>
        <v>0</v>
      </c>
      <c r="BW535" t="b">
        <f t="shared" si="1050"/>
        <v>0</v>
      </c>
      <c r="BX535" t="b">
        <f t="shared" si="1051"/>
        <v>0</v>
      </c>
      <c r="BY535" t="b">
        <f t="shared" si="1052"/>
        <v>0</v>
      </c>
      <c r="BZ535" t="b">
        <f t="shared" si="1053"/>
        <v>0</v>
      </c>
      <c r="CA535" t="b">
        <f t="shared" si="1054"/>
        <v>0</v>
      </c>
      <c r="CB535" t="b">
        <f t="shared" si="1055"/>
        <v>0</v>
      </c>
      <c r="CC535" t="b">
        <f t="shared" si="1056"/>
        <v>0</v>
      </c>
      <c r="CD535" t="b">
        <f t="shared" si="1057"/>
        <v>0</v>
      </c>
      <c r="CE535" t="b">
        <f t="shared" si="1058"/>
        <v>0</v>
      </c>
      <c r="CF535" t="b">
        <f t="shared" si="1059"/>
        <v>0</v>
      </c>
      <c r="CG535" t="b">
        <f t="shared" si="1060"/>
        <v>0</v>
      </c>
      <c r="CH535" t="b">
        <f t="shared" si="1061"/>
        <v>0</v>
      </c>
      <c r="CI535" t="b">
        <f t="shared" si="1062"/>
        <v>0</v>
      </c>
      <c r="CJ535" t="b">
        <f t="shared" si="1063"/>
        <v>0</v>
      </c>
      <c r="CK535" t="b">
        <f t="shared" si="1064"/>
        <v>0</v>
      </c>
      <c r="CL535" t="b">
        <f t="shared" si="1065"/>
        <v>0</v>
      </c>
      <c r="CM535">
        <f t="shared" si="1066"/>
        <v>1</v>
      </c>
      <c r="CN535" t="b">
        <f t="shared" si="1067"/>
        <v>0</v>
      </c>
      <c r="CO535" t="b">
        <f t="shared" si="1068"/>
        <v>0</v>
      </c>
      <c r="CP535" t="b">
        <f t="shared" si="1069"/>
        <v>0</v>
      </c>
      <c r="CQ535" t="b">
        <f t="shared" si="1070"/>
        <v>0</v>
      </c>
      <c r="CR535" t="b">
        <f t="shared" si="1071"/>
        <v>0</v>
      </c>
      <c r="CS535" t="b">
        <f t="shared" si="1072"/>
        <v>0</v>
      </c>
      <c r="CT535" t="b">
        <f t="shared" si="1073"/>
        <v>0</v>
      </c>
      <c r="CU535" t="b">
        <f t="shared" si="1074"/>
        <v>0</v>
      </c>
      <c r="CV535">
        <f t="shared" si="1075"/>
        <v>1</v>
      </c>
      <c r="CW535" t="b">
        <f t="shared" si="1076"/>
        <v>0</v>
      </c>
      <c r="CX535" t="b">
        <f t="shared" si="1077"/>
        <v>0</v>
      </c>
      <c r="CY535" t="b">
        <f t="shared" si="1078"/>
        <v>0</v>
      </c>
      <c r="CZ535" t="b">
        <f t="shared" si="1079"/>
        <v>0</v>
      </c>
      <c r="DA535">
        <f t="shared" si="1080"/>
        <v>1</v>
      </c>
      <c r="DB535" t="b">
        <f t="shared" si="1081"/>
        <v>0</v>
      </c>
      <c r="DC535" t="b">
        <f t="shared" si="1082"/>
        <v>0</v>
      </c>
      <c r="DD535" t="b">
        <f t="shared" si="1083"/>
        <v>0</v>
      </c>
      <c r="DE535" t="b">
        <f t="shared" si="1084"/>
        <v>0</v>
      </c>
      <c r="DF535" t="b">
        <f t="shared" si="1085"/>
        <v>0</v>
      </c>
      <c r="DG535" t="b">
        <f t="shared" si="1086"/>
        <v>0</v>
      </c>
      <c r="DH535" t="b">
        <f t="shared" si="1087"/>
        <v>0</v>
      </c>
      <c r="DI535" t="b">
        <f t="shared" si="1088"/>
        <v>0</v>
      </c>
      <c r="DJ535" t="b">
        <f t="shared" si="1089"/>
        <v>0</v>
      </c>
      <c r="DK535" t="b">
        <f t="shared" si="1090"/>
        <v>0</v>
      </c>
      <c r="DL535" t="b">
        <f t="shared" si="1091"/>
        <v>0</v>
      </c>
      <c r="DM535" t="b">
        <f t="shared" si="1092"/>
        <v>0</v>
      </c>
      <c r="DN535" t="b">
        <f t="shared" si="1093"/>
        <v>0</v>
      </c>
      <c r="DO535" t="b">
        <f t="shared" si="1094"/>
        <v>0</v>
      </c>
      <c r="DP535" t="b">
        <f t="shared" si="1095"/>
        <v>0</v>
      </c>
      <c r="DQ535" t="b">
        <f t="shared" si="1096"/>
        <v>0</v>
      </c>
      <c r="DR535" t="b">
        <f t="shared" si="1097"/>
        <v>0</v>
      </c>
      <c r="DS535" t="b">
        <f t="shared" si="1098"/>
        <v>0</v>
      </c>
      <c r="DT535" t="b">
        <f t="shared" si="1099"/>
        <v>0</v>
      </c>
      <c r="DU535" t="b">
        <f t="shared" si="1100"/>
        <v>0</v>
      </c>
      <c r="DV535" t="b">
        <f t="shared" si="1101"/>
        <v>0</v>
      </c>
      <c r="DW535" t="b">
        <f t="shared" si="1102"/>
        <v>0</v>
      </c>
      <c r="DX535" t="b">
        <f t="shared" si="1103"/>
        <v>0</v>
      </c>
      <c r="DY535" t="b">
        <f t="shared" si="1104"/>
        <v>0</v>
      </c>
      <c r="DZ535" t="b">
        <f t="shared" si="1105"/>
        <v>0</v>
      </c>
      <c r="EA535" t="b">
        <f t="shared" si="1106"/>
        <v>0</v>
      </c>
      <c r="EB535" t="b">
        <f t="shared" si="1107"/>
        <v>0</v>
      </c>
      <c r="EC535" t="b">
        <f t="shared" si="1108"/>
        <v>0</v>
      </c>
      <c r="ED535" t="b">
        <f t="shared" si="1109"/>
        <v>0</v>
      </c>
      <c r="EE535" t="b">
        <f t="shared" si="1110"/>
        <v>0</v>
      </c>
      <c r="EF535">
        <f t="shared" si="1111"/>
        <v>1</v>
      </c>
      <c r="EG535" t="b">
        <f t="shared" si="1112"/>
        <v>0</v>
      </c>
      <c r="EH535" t="b">
        <f t="shared" si="1113"/>
        <v>0</v>
      </c>
      <c r="EI535" t="b">
        <f t="shared" si="1114"/>
        <v>0</v>
      </c>
      <c r="EJ535" t="b">
        <f t="shared" si="1115"/>
        <v>0</v>
      </c>
      <c r="EK535" t="b">
        <f t="shared" si="1116"/>
        <v>0</v>
      </c>
    </row>
    <row r="536" spans="1:141">
      <c r="A536" t="s">
        <v>2703</v>
      </c>
      <c r="B536" t="s">
        <v>2703</v>
      </c>
      <c r="C536" t="s">
        <v>2704</v>
      </c>
      <c r="D536" s="1">
        <v>43889</v>
      </c>
      <c r="E536" s="2">
        <v>43914.991469907407</v>
      </c>
      <c r="F536" s="2">
        <v>43914.997060185182</v>
      </c>
      <c r="G536">
        <v>494945</v>
      </c>
      <c r="H536" t="s">
        <v>2705</v>
      </c>
      <c r="I536" s="10" t="s">
        <v>2706</v>
      </c>
      <c r="J536" t="s">
        <v>2707</v>
      </c>
      <c r="K536" s="8" t="b">
        <v>1</v>
      </c>
      <c r="L536" s="10" t="b">
        <v>0</v>
      </c>
      <c r="M536" s="12" t="b">
        <v>0</v>
      </c>
      <c r="N536" t="b">
        <v>0</v>
      </c>
      <c r="O536" t="b">
        <v>0</v>
      </c>
      <c r="P536" t="b">
        <v>0</v>
      </c>
      <c r="Q536">
        <f t="shared" si="993"/>
        <v>6</v>
      </c>
      <c r="R536">
        <f t="shared" si="994"/>
        <v>2</v>
      </c>
      <c r="S536" t="e">
        <f t="shared" ca="1" si="1024"/>
        <v>#NAME?</v>
      </c>
      <c r="T536" t="e">
        <f t="shared" ca="1" si="995"/>
        <v>#NAME?</v>
      </c>
      <c r="U536" s="4">
        <f t="shared" si="996"/>
        <v>25.991469907407009</v>
      </c>
      <c r="V536" s="4">
        <f t="shared" si="997"/>
        <v>0.86638233024690026</v>
      </c>
      <c r="W536" s="4">
        <f t="shared" si="998"/>
        <v>1</v>
      </c>
      <c r="X536" s="4">
        <f t="shared" si="999"/>
        <v>0</v>
      </c>
      <c r="Y536" s="4">
        <f t="shared" si="1000"/>
        <v>0</v>
      </c>
      <c r="Z536" s="4">
        <f t="shared" si="1001"/>
        <v>0</v>
      </c>
      <c r="AA536" s="4">
        <f t="shared" si="1002"/>
        <v>0</v>
      </c>
      <c r="AB536" s="4">
        <f t="shared" si="1003"/>
        <v>0</v>
      </c>
      <c r="AC536" s="4"/>
      <c r="AD536" s="4" t="b">
        <f t="shared" si="1004"/>
        <v>0</v>
      </c>
      <c r="AE536" s="4" t="b">
        <f t="shared" si="1005"/>
        <v>0</v>
      </c>
      <c r="AF536" s="4" t="b">
        <f t="shared" si="1006"/>
        <v>0</v>
      </c>
      <c r="AG536" t="b">
        <f t="shared" si="1007"/>
        <v>0</v>
      </c>
      <c r="AH536" t="b">
        <f t="shared" si="1008"/>
        <v>0</v>
      </c>
      <c r="AI536" t="b">
        <f t="shared" si="1009"/>
        <v>0</v>
      </c>
      <c r="AJ536" t="b">
        <f t="shared" si="1010"/>
        <v>0</v>
      </c>
      <c r="AK536" t="b">
        <f t="shared" si="1011"/>
        <v>0</v>
      </c>
      <c r="AL536" t="b">
        <f t="shared" si="1012"/>
        <v>0</v>
      </c>
      <c r="AM536" t="b">
        <f t="shared" si="1013"/>
        <v>0</v>
      </c>
      <c r="AN536" t="b">
        <f t="shared" si="1014"/>
        <v>0</v>
      </c>
      <c r="AO536" t="b">
        <f t="shared" si="1015"/>
        <v>0</v>
      </c>
      <c r="AP536" t="b">
        <f t="shared" si="1016"/>
        <v>0</v>
      </c>
      <c r="AQ536" t="b">
        <f t="shared" si="1017"/>
        <v>0</v>
      </c>
      <c r="AR536" t="b">
        <f t="shared" si="1018"/>
        <v>0</v>
      </c>
      <c r="AS536" t="b">
        <f t="shared" si="1019"/>
        <v>0</v>
      </c>
      <c r="AT536" t="b">
        <f t="shared" si="1020"/>
        <v>0</v>
      </c>
      <c r="AU536" t="b">
        <f t="shared" si="1021"/>
        <v>0</v>
      </c>
      <c r="AV536" t="b">
        <f t="shared" si="1022"/>
        <v>0</v>
      </c>
      <c r="AW536" t="b">
        <f t="shared" si="1023"/>
        <v>0</v>
      </c>
      <c r="AX536" t="b">
        <f t="shared" si="1025"/>
        <v>0</v>
      </c>
      <c r="AY536" t="b">
        <f t="shared" si="1026"/>
        <v>0</v>
      </c>
      <c r="AZ536">
        <f t="shared" si="1027"/>
        <v>1</v>
      </c>
      <c r="BA536" t="b">
        <f t="shared" si="1028"/>
        <v>0</v>
      </c>
      <c r="BB536" t="b">
        <f t="shared" si="1029"/>
        <v>0</v>
      </c>
      <c r="BC536" t="b">
        <f t="shared" si="1030"/>
        <v>0</v>
      </c>
      <c r="BD536" t="b">
        <f t="shared" si="1031"/>
        <v>0</v>
      </c>
      <c r="BE536" t="b">
        <f t="shared" si="1032"/>
        <v>0</v>
      </c>
      <c r="BF536" t="b">
        <f t="shared" si="1033"/>
        <v>0</v>
      </c>
      <c r="BG536" t="b">
        <f t="shared" si="1034"/>
        <v>0</v>
      </c>
      <c r="BH536" t="b">
        <f t="shared" si="1035"/>
        <v>0</v>
      </c>
      <c r="BI536">
        <f t="shared" si="1036"/>
        <v>1</v>
      </c>
      <c r="BJ536" t="b">
        <f t="shared" si="1037"/>
        <v>0</v>
      </c>
      <c r="BK536" t="b">
        <f t="shared" si="1038"/>
        <v>0</v>
      </c>
      <c r="BL536" t="b">
        <f t="shared" si="1039"/>
        <v>0</v>
      </c>
      <c r="BM536" t="b">
        <f t="shared" si="1040"/>
        <v>0</v>
      </c>
      <c r="BN536" t="b">
        <f t="shared" si="1041"/>
        <v>0</v>
      </c>
      <c r="BO536" t="b">
        <f t="shared" si="1042"/>
        <v>0</v>
      </c>
      <c r="BP536" t="b">
        <f t="shared" si="1043"/>
        <v>0</v>
      </c>
      <c r="BQ536" t="b">
        <f t="shared" si="1044"/>
        <v>0</v>
      </c>
      <c r="BR536">
        <f t="shared" si="1045"/>
        <v>1</v>
      </c>
      <c r="BS536">
        <f t="shared" si="1046"/>
        <v>1</v>
      </c>
      <c r="BT536" t="b">
        <f t="shared" si="1047"/>
        <v>0</v>
      </c>
      <c r="BU536" t="b">
        <f t="shared" si="1048"/>
        <v>0</v>
      </c>
      <c r="BV536" t="b">
        <f t="shared" si="1049"/>
        <v>0</v>
      </c>
      <c r="BW536" t="b">
        <f t="shared" si="1050"/>
        <v>0</v>
      </c>
      <c r="BX536" t="b">
        <f t="shared" si="1051"/>
        <v>0</v>
      </c>
      <c r="BY536" t="b">
        <f t="shared" si="1052"/>
        <v>0</v>
      </c>
      <c r="BZ536" t="b">
        <f t="shared" si="1053"/>
        <v>0</v>
      </c>
      <c r="CA536" t="b">
        <f t="shared" si="1054"/>
        <v>0</v>
      </c>
      <c r="CB536" t="b">
        <f t="shared" si="1055"/>
        <v>0</v>
      </c>
      <c r="CC536" t="b">
        <f t="shared" si="1056"/>
        <v>0</v>
      </c>
      <c r="CD536" t="b">
        <f t="shared" si="1057"/>
        <v>0</v>
      </c>
      <c r="CE536">
        <f t="shared" si="1058"/>
        <v>1</v>
      </c>
      <c r="CF536" t="b">
        <f t="shared" si="1059"/>
        <v>0</v>
      </c>
      <c r="CG536" t="b">
        <f t="shared" si="1060"/>
        <v>0</v>
      </c>
      <c r="CH536" t="b">
        <f t="shared" si="1061"/>
        <v>0</v>
      </c>
      <c r="CI536" t="b">
        <f t="shared" si="1062"/>
        <v>0</v>
      </c>
      <c r="CJ536" t="b">
        <f t="shared" si="1063"/>
        <v>0</v>
      </c>
      <c r="CK536" t="b">
        <f t="shared" si="1064"/>
        <v>0</v>
      </c>
      <c r="CL536" t="b">
        <f t="shared" si="1065"/>
        <v>0</v>
      </c>
      <c r="CM536">
        <f t="shared" si="1066"/>
        <v>1</v>
      </c>
      <c r="CN536" t="b">
        <f t="shared" si="1067"/>
        <v>0</v>
      </c>
      <c r="CO536" t="b">
        <f t="shared" si="1068"/>
        <v>0</v>
      </c>
      <c r="CP536" t="b">
        <f t="shared" si="1069"/>
        <v>0</v>
      </c>
      <c r="CQ536" t="b">
        <f t="shared" si="1070"/>
        <v>0</v>
      </c>
      <c r="CR536" t="b">
        <f t="shared" si="1071"/>
        <v>0</v>
      </c>
      <c r="CS536" t="b">
        <f t="shared" si="1072"/>
        <v>0</v>
      </c>
      <c r="CT536" t="b">
        <f t="shared" si="1073"/>
        <v>0</v>
      </c>
      <c r="CU536" t="b">
        <f t="shared" si="1074"/>
        <v>0</v>
      </c>
      <c r="CV536">
        <f t="shared" si="1075"/>
        <v>1</v>
      </c>
      <c r="CW536" t="b">
        <f t="shared" si="1076"/>
        <v>0</v>
      </c>
      <c r="CX536" t="b">
        <f t="shared" si="1077"/>
        <v>0</v>
      </c>
      <c r="CY536" t="b">
        <f t="shared" si="1078"/>
        <v>0</v>
      </c>
      <c r="CZ536" t="b">
        <f t="shared" si="1079"/>
        <v>0</v>
      </c>
      <c r="DA536" t="b">
        <f t="shared" si="1080"/>
        <v>0</v>
      </c>
      <c r="DB536" t="b">
        <f t="shared" si="1081"/>
        <v>0</v>
      </c>
      <c r="DC536" t="b">
        <f t="shared" si="1082"/>
        <v>0</v>
      </c>
      <c r="DD536" t="b">
        <f t="shared" si="1083"/>
        <v>0</v>
      </c>
      <c r="DE536" t="b">
        <f t="shared" si="1084"/>
        <v>0</v>
      </c>
      <c r="DF536" t="b">
        <f t="shared" si="1085"/>
        <v>0</v>
      </c>
      <c r="DG536" t="b">
        <f t="shared" si="1086"/>
        <v>0</v>
      </c>
      <c r="DH536" t="b">
        <f t="shared" si="1087"/>
        <v>0</v>
      </c>
      <c r="DI536" t="b">
        <f t="shared" si="1088"/>
        <v>0</v>
      </c>
      <c r="DJ536" t="b">
        <f t="shared" si="1089"/>
        <v>0</v>
      </c>
      <c r="DK536" t="b">
        <f t="shared" si="1090"/>
        <v>0</v>
      </c>
      <c r="DL536" t="b">
        <f t="shared" si="1091"/>
        <v>0</v>
      </c>
      <c r="DM536" t="b">
        <f t="shared" si="1092"/>
        <v>0</v>
      </c>
      <c r="DN536" t="b">
        <f t="shared" si="1093"/>
        <v>0</v>
      </c>
      <c r="DO536" t="b">
        <f t="shared" si="1094"/>
        <v>0</v>
      </c>
      <c r="DP536" t="b">
        <f t="shared" si="1095"/>
        <v>0</v>
      </c>
      <c r="DQ536" t="b">
        <f t="shared" si="1096"/>
        <v>0</v>
      </c>
      <c r="DR536" t="b">
        <f t="shared" si="1097"/>
        <v>0</v>
      </c>
      <c r="DS536" t="b">
        <f t="shared" si="1098"/>
        <v>0</v>
      </c>
      <c r="DT536" t="b">
        <f t="shared" si="1099"/>
        <v>0</v>
      </c>
      <c r="DU536" t="b">
        <f t="shared" si="1100"/>
        <v>0</v>
      </c>
      <c r="DV536" t="b">
        <f t="shared" si="1101"/>
        <v>0</v>
      </c>
      <c r="DW536" t="b">
        <f t="shared" si="1102"/>
        <v>0</v>
      </c>
      <c r="DX536" t="b">
        <f t="shared" si="1103"/>
        <v>0</v>
      </c>
      <c r="DY536" t="b">
        <f t="shared" si="1104"/>
        <v>0</v>
      </c>
      <c r="DZ536" t="b">
        <f t="shared" si="1105"/>
        <v>0</v>
      </c>
      <c r="EA536" t="b">
        <f t="shared" si="1106"/>
        <v>0</v>
      </c>
      <c r="EB536" t="b">
        <f t="shared" si="1107"/>
        <v>0</v>
      </c>
      <c r="EC536" t="b">
        <f t="shared" si="1108"/>
        <v>0</v>
      </c>
      <c r="ED536" t="b">
        <f t="shared" si="1109"/>
        <v>0</v>
      </c>
      <c r="EE536" t="b">
        <f t="shared" si="1110"/>
        <v>0</v>
      </c>
      <c r="EF536" t="b">
        <f t="shared" si="1111"/>
        <v>0</v>
      </c>
      <c r="EG536" t="b">
        <f t="shared" si="1112"/>
        <v>0</v>
      </c>
      <c r="EH536" t="b">
        <f t="shared" si="1113"/>
        <v>0</v>
      </c>
      <c r="EI536" t="b">
        <f t="shared" si="1114"/>
        <v>0</v>
      </c>
      <c r="EJ536" t="b">
        <f t="shared" si="1115"/>
        <v>0</v>
      </c>
      <c r="EK536" t="b">
        <f t="shared" si="1116"/>
        <v>0</v>
      </c>
    </row>
    <row r="537" spans="1:141">
      <c r="A537" t="s">
        <v>2708</v>
      </c>
      <c r="B537" t="s">
        <v>2708</v>
      </c>
      <c r="C537" t="s">
        <v>2709</v>
      </c>
      <c r="D537" s="1">
        <v>40909</v>
      </c>
      <c r="E537" s="2">
        <v>42651.453738425924</v>
      </c>
      <c r="F537" s="2">
        <v>42651.453738425924</v>
      </c>
      <c r="G537">
        <v>21149008</v>
      </c>
      <c r="H537" t="s">
        <v>2710</v>
      </c>
      <c r="I537" s="10" t="s">
        <v>2711</v>
      </c>
      <c r="J537" t="s">
        <v>147</v>
      </c>
      <c r="K537" s="8" t="b">
        <v>0</v>
      </c>
      <c r="L537" s="10" t="b">
        <v>0</v>
      </c>
      <c r="M537" s="12" t="b">
        <v>0</v>
      </c>
      <c r="N537" t="b">
        <v>0</v>
      </c>
      <c r="O537" t="b">
        <v>0</v>
      </c>
      <c r="P537" t="b">
        <v>0</v>
      </c>
      <c r="Q537">
        <f t="shared" si="993"/>
        <v>1</v>
      </c>
      <c r="R537">
        <f t="shared" si="994"/>
        <v>1</v>
      </c>
      <c r="S537" t="e">
        <f t="shared" ca="1" si="1024"/>
        <v>#NAME?</v>
      </c>
      <c r="T537" t="e">
        <f t="shared" ca="1" si="995"/>
        <v>#NAME?</v>
      </c>
      <c r="U537" s="4">
        <f t="shared" si="996"/>
        <v>1742.4537384259238</v>
      </c>
      <c r="V537" s="4">
        <f t="shared" si="997"/>
        <v>58.081791280864124</v>
      </c>
      <c r="W537" s="4">
        <f t="shared" si="998"/>
        <v>0</v>
      </c>
      <c r="X537" s="4">
        <f t="shared" si="999"/>
        <v>0</v>
      </c>
      <c r="Y537" s="4">
        <f t="shared" si="1000"/>
        <v>0</v>
      </c>
      <c r="Z537" s="4">
        <f t="shared" si="1001"/>
        <v>0</v>
      </c>
      <c r="AA537" s="4">
        <f t="shared" si="1002"/>
        <v>0</v>
      </c>
      <c r="AB537" s="4">
        <f t="shared" si="1003"/>
        <v>0</v>
      </c>
      <c r="AC537" s="4"/>
      <c r="AD537" s="4" t="b">
        <f t="shared" si="1004"/>
        <v>0</v>
      </c>
      <c r="AE537" s="4" t="b">
        <f t="shared" si="1005"/>
        <v>0</v>
      </c>
      <c r="AF537" s="4" t="b">
        <f t="shared" si="1006"/>
        <v>0</v>
      </c>
      <c r="AG537" t="b">
        <f t="shared" si="1007"/>
        <v>0</v>
      </c>
      <c r="AH537" t="b">
        <f t="shared" si="1008"/>
        <v>0</v>
      </c>
      <c r="AI537" t="b">
        <f t="shared" si="1009"/>
        <v>0</v>
      </c>
      <c r="AJ537" t="b">
        <f t="shared" si="1010"/>
        <v>0</v>
      </c>
      <c r="AK537" t="b">
        <f t="shared" si="1011"/>
        <v>0</v>
      </c>
      <c r="AL537" t="b">
        <f t="shared" si="1012"/>
        <v>0</v>
      </c>
      <c r="AM537" t="b">
        <f t="shared" si="1013"/>
        <v>0</v>
      </c>
      <c r="AN537" t="b">
        <f t="shared" si="1014"/>
        <v>0</v>
      </c>
      <c r="AO537" t="b">
        <f t="shared" si="1015"/>
        <v>0</v>
      </c>
      <c r="AP537" t="b">
        <f t="shared" si="1016"/>
        <v>0</v>
      </c>
      <c r="AQ537" t="b">
        <f t="shared" si="1017"/>
        <v>0</v>
      </c>
      <c r="AR537" t="b">
        <f t="shared" si="1018"/>
        <v>0</v>
      </c>
      <c r="AS537" t="b">
        <f t="shared" si="1019"/>
        <v>0</v>
      </c>
      <c r="AT537" t="b">
        <f t="shared" si="1020"/>
        <v>0</v>
      </c>
      <c r="AU537" t="b">
        <f t="shared" si="1021"/>
        <v>0</v>
      </c>
      <c r="AV537" t="b">
        <f t="shared" si="1022"/>
        <v>0</v>
      </c>
      <c r="AW537" t="b">
        <f t="shared" si="1023"/>
        <v>0</v>
      </c>
      <c r="AX537" t="b">
        <f t="shared" si="1025"/>
        <v>0</v>
      </c>
      <c r="AY537" t="b">
        <f t="shared" si="1026"/>
        <v>0</v>
      </c>
      <c r="AZ537" t="b">
        <f t="shared" si="1027"/>
        <v>0</v>
      </c>
      <c r="BA537" t="b">
        <f t="shared" si="1028"/>
        <v>0</v>
      </c>
      <c r="BB537" t="b">
        <f t="shared" si="1029"/>
        <v>0</v>
      </c>
      <c r="BC537" t="b">
        <f t="shared" si="1030"/>
        <v>0</v>
      </c>
      <c r="BD537" t="b">
        <f t="shared" si="1031"/>
        <v>0</v>
      </c>
      <c r="BE537" t="b">
        <f t="shared" si="1032"/>
        <v>0</v>
      </c>
      <c r="BF537" t="b">
        <f t="shared" si="1033"/>
        <v>0</v>
      </c>
      <c r="BG537" t="b">
        <f t="shared" si="1034"/>
        <v>0</v>
      </c>
      <c r="BH537" t="b">
        <f t="shared" si="1035"/>
        <v>0</v>
      </c>
      <c r="BI537">
        <f t="shared" si="1036"/>
        <v>1</v>
      </c>
      <c r="BJ537" t="b">
        <f t="shared" si="1037"/>
        <v>0</v>
      </c>
      <c r="BK537" t="b">
        <f t="shared" si="1038"/>
        <v>0</v>
      </c>
      <c r="BL537" t="b">
        <f t="shared" si="1039"/>
        <v>0</v>
      </c>
      <c r="BM537" t="b">
        <f t="shared" si="1040"/>
        <v>0</v>
      </c>
      <c r="BN537" t="b">
        <f t="shared" si="1041"/>
        <v>0</v>
      </c>
      <c r="BO537" t="b">
        <f t="shared" si="1042"/>
        <v>0</v>
      </c>
      <c r="BP537" t="b">
        <f t="shared" si="1043"/>
        <v>0</v>
      </c>
      <c r="BQ537" t="b">
        <f t="shared" si="1044"/>
        <v>0</v>
      </c>
      <c r="BR537" t="b">
        <f t="shared" si="1045"/>
        <v>0</v>
      </c>
      <c r="BS537" t="b">
        <f t="shared" si="1046"/>
        <v>0</v>
      </c>
      <c r="BT537" t="b">
        <f t="shared" si="1047"/>
        <v>0</v>
      </c>
      <c r="BU537" t="b">
        <f t="shared" si="1048"/>
        <v>0</v>
      </c>
      <c r="BV537" t="b">
        <f t="shared" si="1049"/>
        <v>0</v>
      </c>
      <c r="BW537" t="b">
        <f t="shared" si="1050"/>
        <v>0</v>
      </c>
      <c r="BX537" t="b">
        <f t="shared" si="1051"/>
        <v>0</v>
      </c>
      <c r="BY537" t="b">
        <f t="shared" si="1052"/>
        <v>0</v>
      </c>
      <c r="BZ537" t="b">
        <f t="shared" si="1053"/>
        <v>0</v>
      </c>
      <c r="CA537" t="b">
        <f t="shared" si="1054"/>
        <v>0</v>
      </c>
      <c r="CB537" t="b">
        <f t="shared" si="1055"/>
        <v>0</v>
      </c>
      <c r="CC537" t="b">
        <f t="shared" si="1056"/>
        <v>0</v>
      </c>
      <c r="CD537" t="b">
        <f t="shared" si="1057"/>
        <v>0</v>
      </c>
      <c r="CE537" t="b">
        <f t="shared" si="1058"/>
        <v>0</v>
      </c>
      <c r="CF537" t="b">
        <f t="shared" si="1059"/>
        <v>0</v>
      </c>
      <c r="CG537" t="b">
        <f t="shared" si="1060"/>
        <v>0</v>
      </c>
      <c r="CH537" t="b">
        <f t="shared" si="1061"/>
        <v>0</v>
      </c>
      <c r="CI537" t="b">
        <f t="shared" si="1062"/>
        <v>0</v>
      </c>
      <c r="CJ537" t="b">
        <f t="shared" si="1063"/>
        <v>0</v>
      </c>
      <c r="CK537" t="b">
        <f t="shared" si="1064"/>
        <v>0</v>
      </c>
      <c r="CL537" t="b">
        <f t="shared" si="1065"/>
        <v>0</v>
      </c>
      <c r="CM537" t="b">
        <f t="shared" si="1066"/>
        <v>0</v>
      </c>
      <c r="CN537" t="b">
        <f t="shared" si="1067"/>
        <v>0</v>
      </c>
      <c r="CO537" t="b">
        <f t="shared" si="1068"/>
        <v>0</v>
      </c>
      <c r="CP537" t="b">
        <f t="shared" si="1069"/>
        <v>0</v>
      </c>
      <c r="CQ537" t="b">
        <f t="shared" si="1070"/>
        <v>0</v>
      </c>
      <c r="CR537" t="b">
        <f t="shared" si="1071"/>
        <v>0</v>
      </c>
      <c r="CS537" t="b">
        <f t="shared" si="1072"/>
        <v>0</v>
      </c>
      <c r="CT537" t="b">
        <f t="shared" si="1073"/>
        <v>0</v>
      </c>
      <c r="CU537" t="b">
        <f t="shared" si="1074"/>
        <v>0</v>
      </c>
      <c r="CV537">
        <f t="shared" si="1075"/>
        <v>1</v>
      </c>
      <c r="CW537" t="b">
        <f t="shared" si="1076"/>
        <v>0</v>
      </c>
      <c r="CX537" t="b">
        <f t="shared" si="1077"/>
        <v>0</v>
      </c>
      <c r="CY537" t="b">
        <f t="shared" si="1078"/>
        <v>0</v>
      </c>
      <c r="CZ537" t="b">
        <f t="shared" si="1079"/>
        <v>0</v>
      </c>
      <c r="DA537" t="b">
        <f t="shared" si="1080"/>
        <v>0</v>
      </c>
      <c r="DB537" t="b">
        <f t="shared" si="1081"/>
        <v>0</v>
      </c>
      <c r="DC537" t="b">
        <f t="shared" si="1082"/>
        <v>0</v>
      </c>
      <c r="DD537" t="b">
        <f t="shared" si="1083"/>
        <v>0</v>
      </c>
      <c r="DE537" t="b">
        <f t="shared" si="1084"/>
        <v>0</v>
      </c>
      <c r="DF537" t="b">
        <f t="shared" si="1085"/>
        <v>0</v>
      </c>
      <c r="DG537" t="b">
        <f t="shared" si="1086"/>
        <v>0</v>
      </c>
      <c r="DH537" t="b">
        <f t="shared" si="1087"/>
        <v>0</v>
      </c>
      <c r="DI537" t="b">
        <f t="shared" si="1088"/>
        <v>0</v>
      </c>
      <c r="DJ537" t="b">
        <f t="shared" si="1089"/>
        <v>0</v>
      </c>
      <c r="DK537" t="b">
        <f t="shared" si="1090"/>
        <v>0</v>
      </c>
      <c r="DL537" t="b">
        <f t="shared" si="1091"/>
        <v>0</v>
      </c>
      <c r="DM537" t="b">
        <f t="shared" si="1092"/>
        <v>0</v>
      </c>
      <c r="DN537" t="b">
        <f t="shared" si="1093"/>
        <v>0</v>
      </c>
      <c r="DO537" t="b">
        <f t="shared" si="1094"/>
        <v>0</v>
      </c>
      <c r="DP537" t="b">
        <f t="shared" si="1095"/>
        <v>0</v>
      </c>
      <c r="DQ537" t="b">
        <f t="shared" si="1096"/>
        <v>0</v>
      </c>
      <c r="DR537" t="b">
        <f t="shared" si="1097"/>
        <v>0</v>
      </c>
      <c r="DS537" t="b">
        <f t="shared" si="1098"/>
        <v>0</v>
      </c>
      <c r="DT537" t="b">
        <f t="shared" si="1099"/>
        <v>0</v>
      </c>
      <c r="DU537" t="b">
        <f t="shared" si="1100"/>
        <v>0</v>
      </c>
      <c r="DV537" t="b">
        <f t="shared" si="1101"/>
        <v>0</v>
      </c>
      <c r="DW537" t="b">
        <f t="shared" si="1102"/>
        <v>0</v>
      </c>
      <c r="DX537" t="b">
        <f t="shared" si="1103"/>
        <v>0</v>
      </c>
      <c r="DY537" t="b">
        <f t="shared" si="1104"/>
        <v>0</v>
      </c>
      <c r="DZ537" t="b">
        <f t="shared" si="1105"/>
        <v>0</v>
      </c>
      <c r="EA537" t="b">
        <f t="shared" si="1106"/>
        <v>0</v>
      </c>
      <c r="EB537" t="b">
        <f t="shared" si="1107"/>
        <v>0</v>
      </c>
      <c r="EC537" t="b">
        <f t="shared" si="1108"/>
        <v>0</v>
      </c>
      <c r="ED537" t="b">
        <f t="shared" si="1109"/>
        <v>0</v>
      </c>
      <c r="EE537" t="b">
        <f t="shared" si="1110"/>
        <v>0</v>
      </c>
      <c r="EF537" t="b">
        <f t="shared" si="1111"/>
        <v>0</v>
      </c>
      <c r="EG537" t="b">
        <f t="shared" si="1112"/>
        <v>0</v>
      </c>
      <c r="EH537" t="b">
        <f t="shared" si="1113"/>
        <v>0</v>
      </c>
      <c r="EI537" t="b">
        <f t="shared" si="1114"/>
        <v>0</v>
      </c>
      <c r="EJ537" t="b">
        <f t="shared" si="1115"/>
        <v>0</v>
      </c>
      <c r="EK537" t="b">
        <f t="shared" si="1116"/>
        <v>0</v>
      </c>
    </row>
    <row r="538" spans="1:141">
      <c r="A538" t="s">
        <v>2712</v>
      </c>
      <c r="B538" t="s">
        <v>2713</v>
      </c>
      <c r="C538" t="s">
        <v>2714</v>
      </c>
      <c r="D538" s="1">
        <v>44798</v>
      </c>
      <c r="E538" s="2">
        <v>44827.231307870374</v>
      </c>
      <c r="F538" s="2">
        <v>44827.233402777776</v>
      </c>
      <c r="G538">
        <v>5067990</v>
      </c>
      <c r="H538" t="s">
        <v>2715</v>
      </c>
      <c r="I538" s="10" t="s">
        <v>2716</v>
      </c>
      <c r="J538" t="s">
        <v>2717</v>
      </c>
      <c r="K538" s="8" t="b">
        <v>1</v>
      </c>
      <c r="L538" s="10" t="b">
        <v>0</v>
      </c>
      <c r="M538" s="12" t="b">
        <v>0</v>
      </c>
      <c r="N538" t="b">
        <v>0</v>
      </c>
      <c r="O538" t="b">
        <v>0</v>
      </c>
      <c r="P538" t="b">
        <v>0</v>
      </c>
      <c r="Q538">
        <f t="shared" si="993"/>
        <v>5</v>
      </c>
      <c r="R538">
        <f t="shared" si="994"/>
        <v>8</v>
      </c>
      <c r="S538" t="e">
        <f t="shared" ca="1" si="1024"/>
        <v>#NAME?</v>
      </c>
      <c r="T538" t="e">
        <f t="shared" ca="1" si="995"/>
        <v>#NAME?</v>
      </c>
      <c r="U538" s="4">
        <f t="shared" si="996"/>
        <v>29.231307870373712</v>
      </c>
      <c r="V538" s="4">
        <f t="shared" si="997"/>
        <v>0.97437692901245709</v>
      </c>
      <c r="W538" s="4">
        <f t="shared" si="998"/>
        <v>1</v>
      </c>
      <c r="X538" s="4">
        <f t="shared" si="999"/>
        <v>0</v>
      </c>
      <c r="Y538" s="4">
        <f t="shared" si="1000"/>
        <v>0</v>
      </c>
      <c r="Z538" s="4">
        <f t="shared" si="1001"/>
        <v>0</v>
      </c>
      <c r="AA538" s="4">
        <f t="shared" si="1002"/>
        <v>0</v>
      </c>
      <c r="AB538" s="4">
        <f t="shared" si="1003"/>
        <v>0</v>
      </c>
      <c r="AC538" s="4"/>
      <c r="AD538" s="4" t="b">
        <f t="shared" si="1004"/>
        <v>0</v>
      </c>
      <c r="AE538" s="4" t="b">
        <f t="shared" si="1005"/>
        <v>0</v>
      </c>
      <c r="AF538" s="4" t="b">
        <f t="shared" si="1006"/>
        <v>0</v>
      </c>
      <c r="AG538" t="b">
        <f t="shared" si="1007"/>
        <v>0</v>
      </c>
      <c r="AH538" t="b">
        <f t="shared" si="1008"/>
        <v>0</v>
      </c>
      <c r="AI538" t="b">
        <f t="shared" si="1009"/>
        <v>0</v>
      </c>
      <c r="AJ538" t="b">
        <f t="shared" si="1010"/>
        <v>0</v>
      </c>
      <c r="AK538" t="b">
        <f t="shared" si="1011"/>
        <v>0</v>
      </c>
      <c r="AL538" t="b">
        <f t="shared" si="1012"/>
        <v>0</v>
      </c>
      <c r="AM538" t="b">
        <f t="shared" si="1013"/>
        <v>0</v>
      </c>
      <c r="AN538" t="b">
        <f t="shared" si="1014"/>
        <v>0</v>
      </c>
      <c r="AO538" t="b">
        <f t="shared" si="1015"/>
        <v>0</v>
      </c>
      <c r="AP538" t="b">
        <f t="shared" si="1016"/>
        <v>0</v>
      </c>
      <c r="AQ538" t="b">
        <f t="shared" si="1017"/>
        <v>0</v>
      </c>
      <c r="AR538" t="b">
        <f t="shared" si="1018"/>
        <v>0</v>
      </c>
      <c r="AS538" t="b">
        <f t="shared" si="1019"/>
        <v>0</v>
      </c>
      <c r="AT538" t="b">
        <f t="shared" si="1020"/>
        <v>0</v>
      </c>
      <c r="AU538" t="b">
        <f t="shared" si="1021"/>
        <v>0</v>
      </c>
      <c r="AV538" t="b">
        <f t="shared" si="1022"/>
        <v>0</v>
      </c>
      <c r="AW538" t="b">
        <f t="shared" si="1023"/>
        <v>0</v>
      </c>
      <c r="AX538" t="b">
        <f t="shared" si="1025"/>
        <v>0</v>
      </c>
      <c r="AY538" t="b">
        <f t="shared" si="1026"/>
        <v>0</v>
      </c>
      <c r="AZ538">
        <f t="shared" si="1027"/>
        <v>1</v>
      </c>
      <c r="BA538" t="b">
        <f t="shared" si="1028"/>
        <v>0</v>
      </c>
      <c r="BB538" t="b">
        <f t="shared" si="1029"/>
        <v>0</v>
      </c>
      <c r="BC538" t="b">
        <f t="shared" si="1030"/>
        <v>0</v>
      </c>
      <c r="BD538" t="b">
        <f t="shared" si="1031"/>
        <v>0</v>
      </c>
      <c r="BE538" t="b">
        <f t="shared" si="1032"/>
        <v>0</v>
      </c>
      <c r="BF538" t="b">
        <f t="shared" si="1033"/>
        <v>0</v>
      </c>
      <c r="BG538" t="b">
        <f t="shared" si="1034"/>
        <v>0</v>
      </c>
      <c r="BH538" t="b">
        <f t="shared" si="1035"/>
        <v>0</v>
      </c>
      <c r="BI538">
        <f t="shared" si="1036"/>
        <v>1</v>
      </c>
      <c r="BJ538" t="b">
        <f t="shared" si="1037"/>
        <v>0</v>
      </c>
      <c r="BK538" t="b">
        <f t="shared" si="1038"/>
        <v>0</v>
      </c>
      <c r="BL538" t="b">
        <f t="shared" si="1039"/>
        <v>0</v>
      </c>
      <c r="BM538" t="b">
        <f t="shared" si="1040"/>
        <v>0</v>
      </c>
      <c r="BN538" t="b">
        <f t="shared" si="1041"/>
        <v>0</v>
      </c>
      <c r="BO538" t="b">
        <f t="shared" si="1042"/>
        <v>0</v>
      </c>
      <c r="BP538" t="b">
        <f t="shared" si="1043"/>
        <v>0</v>
      </c>
      <c r="BQ538" t="b">
        <f t="shared" si="1044"/>
        <v>0</v>
      </c>
      <c r="BR538">
        <f t="shared" si="1045"/>
        <v>1</v>
      </c>
      <c r="BS538" t="b">
        <f t="shared" si="1046"/>
        <v>0</v>
      </c>
      <c r="BT538" t="b">
        <f t="shared" si="1047"/>
        <v>0</v>
      </c>
      <c r="BU538" t="b">
        <f t="shared" si="1048"/>
        <v>0</v>
      </c>
      <c r="BV538" t="b">
        <f t="shared" si="1049"/>
        <v>0</v>
      </c>
      <c r="BW538" t="b">
        <f t="shared" si="1050"/>
        <v>0</v>
      </c>
      <c r="BX538" t="b">
        <f t="shared" si="1051"/>
        <v>0</v>
      </c>
      <c r="BY538" t="b">
        <f t="shared" si="1052"/>
        <v>0</v>
      </c>
      <c r="BZ538" t="b">
        <f t="shared" si="1053"/>
        <v>0</v>
      </c>
      <c r="CA538" t="b">
        <f t="shared" si="1054"/>
        <v>0</v>
      </c>
      <c r="CB538" t="b">
        <f t="shared" si="1055"/>
        <v>0</v>
      </c>
      <c r="CC538" t="b">
        <f t="shared" si="1056"/>
        <v>0</v>
      </c>
      <c r="CD538" t="b">
        <f t="shared" si="1057"/>
        <v>0</v>
      </c>
      <c r="CE538" t="b">
        <f t="shared" si="1058"/>
        <v>0</v>
      </c>
      <c r="CF538" t="b">
        <f t="shared" si="1059"/>
        <v>0</v>
      </c>
      <c r="CG538" t="b">
        <f t="shared" si="1060"/>
        <v>0</v>
      </c>
      <c r="CH538" t="b">
        <f t="shared" si="1061"/>
        <v>0</v>
      </c>
      <c r="CI538" t="b">
        <f t="shared" si="1062"/>
        <v>0</v>
      </c>
      <c r="CJ538" t="b">
        <f t="shared" si="1063"/>
        <v>0</v>
      </c>
      <c r="CK538" t="b">
        <f t="shared" si="1064"/>
        <v>0</v>
      </c>
      <c r="CL538" t="b">
        <f t="shared" si="1065"/>
        <v>0</v>
      </c>
      <c r="CM538">
        <f t="shared" si="1066"/>
        <v>1</v>
      </c>
      <c r="CN538">
        <f t="shared" si="1067"/>
        <v>1</v>
      </c>
      <c r="CO538" t="b">
        <f t="shared" si="1068"/>
        <v>0</v>
      </c>
      <c r="CP538" t="b">
        <f t="shared" si="1069"/>
        <v>0</v>
      </c>
      <c r="CQ538" t="b">
        <f t="shared" si="1070"/>
        <v>0</v>
      </c>
      <c r="CR538" t="b">
        <f t="shared" si="1071"/>
        <v>0</v>
      </c>
      <c r="CS538" t="b">
        <f t="shared" si="1072"/>
        <v>0</v>
      </c>
      <c r="CT538" t="b">
        <f t="shared" si="1073"/>
        <v>0</v>
      </c>
      <c r="CU538" t="b">
        <f t="shared" si="1074"/>
        <v>0</v>
      </c>
      <c r="CV538" t="b">
        <f t="shared" si="1075"/>
        <v>0</v>
      </c>
      <c r="CW538" t="b">
        <f t="shared" si="1076"/>
        <v>0</v>
      </c>
      <c r="CX538" t="b">
        <f t="shared" si="1077"/>
        <v>0</v>
      </c>
      <c r="CY538" t="b">
        <f t="shared" si="1078"/>
        <v>0</v>
      </c>
      <c r="CZ538" t="b">
        <f t="shared" si="1079"/>
        <v>0</v>
      </c>
      <c r="DA538">
        <f t="shared" si="1080"/>
        <v>1</v>
      </c>
      <c r="DB538">
        <f t="shared" si="1081"/>
        <v>1</v>
      </c>
      <c r="DC538" t="b">
        <f t="shared" si="1082"/>
        <v>0</v>
      </c>
      <c r="DD538" t="b">
        <f t="shared" si="1083"/>
        <v>0</v>
      </c>
      <c r="DE538" t="b">
        <f t="shared" si="1084"/>
        <v>0</v>
      </c>
      <c r="DF538" t="b">
        <f t="shared" si="1085"/>
        <v>0</v>
      </c>
      <c r="DG538" t="b">
        <f t="shared" si="1086"/>
        <v>0</v>
      </c>
      <c r="DH538" t="b">
        <f t="shared" si="1087"/>
        <v>0</v>
      </c>
      <c r="DI538" t="b">
        <f t="shared" si="1088"/>
        <v>0</v>
      </c>
      <c r="DJ538" t="b">
        <f t="shared" si="1089"/>
        <v>0</v>
      </c>
      <c r="DK538" t="b">
        <f t="shared" si="1090"/>
        <v>0</v>
      </c>
      <c r="DL538" t="b">
        <f t="shared" si="1091"/>
        <v>0</v>
      </c>
      <c r="DM538" t="b">
        <f t="shared" si="1092"/>
        <v>0</v>
      </c>
      <c r="DN538" t="b">
        <f t="shared" si="1093"/>
        <v>0</v>
      </c>
      <c r="DO538" t="b">
        <f t="shared" si="1094"/>
        <v>0</v>
      </c>
      <c r="DP538" t="b">
        <f t="shared" si="1095"/>
        <v>0</v>
      </c>
      <c r="DQ538">
        <f t="shared" si="1096"/>
        <v>1</v>
      </c>
      <c r="DR538" t="b">
        <f t="shared" si="1097"/>
        <v>0</v>
      </c>
      <c r="DS538" t="b">
        <f t="shared" si="1098"/>
        <v>0</v>
      </c>
      <c r="DT538" t="b">
        <f t="shared" si="1099"/>
        <v>0</v>
      </c>
      <c r="DU538" t="b">
        <f t="shared" si="1100"/>
        <v>0</v>
      </c>
      <c r="DV538" t="b">
        <f t="shared" si="1101"/>
        <v>0</v>
      </c>
      <c r="DW538" t="b">
        <f t="shared" si="1102"/>
        <v>0</v>
      </c>
      <c r="DX538" t="b">
        <f t="shared" si="1103"/>
        <v>0</v>
      </c>
      <c r="DY538" t="b">
        <f t="shared" si="1104"/>
        <v>0</v>
      </c>
      <c r="DZ538" t="b">
        <f t="shared" si="1105"/>
        <v>0</v>
      </c>
      <c r="EA538">
        <f t="shared" si="1106"/>
        <v>1</v>
      </c>
      <c r="EB538" t="b">
        <f t="shared" si="1107"/>
        <v>0</v>
      </c>
      <c r="EC538" t="b">
        <f t="shared" si="1108"/>
        <v>0</v>
      </c>
      <c r="ED538" t="b">
        <f t="shared" si="1109"/>
        <v>0</v>
      </c>
      <c r="EE538" t="b">
        <f t="shared" si="1110"/>
        <v>0</v>
      </c>
      <c r="EF538" t="b">
        <f t="shared" si="1111"/>
        <v>0</v>
      </c>
      <c r="EG538" t="b">
        <f t="shared" si="1112"/>
        <v>0</v>
      </c>
      <c r="EH538" t="b">
        <f t="shared" si="1113"/>
        <v>0</v>
      </c>
      <c r="EI538" t="b">
        <f t="shared" si="1114"/>
        <v>0</v>
      </c>
      <c r="EJ538" t="b">
        <f t="shared" si="1115"/>
        <v>0</v>
      </c>
      <c r="EK538" t="b">
        <f t="shared" si="1116"/>
        <v>0</v>
      </c>
    </row>
    <row r="539" spans="1:141">
      <c r="A539" t="s">
        <v>2718</v>
      </c>
      <c r="B539" t="s">
        <v>2718</v>
      </c>
      <c r="C539" t="s">
        <v>2719</v>
      </c>
      <c r="D539" s="1">
        <v>42948</v>
      </c>
      <c r="E539" s="2">
        <v>43209.424733796295</v>
      </c>
      <c r="F539" s="2">
        <v>43209.424733796295</v>
      </c>
      <c r="G539">
        <v>27971100</v>
      </c>
      <c r="H539" t="s">
        <v>2720</v>
      </c>
      <c r="I539" s="10" t="s">
        <v>2721</v>
      </c>
      <c r="J539" t="s">
        <v>156</v>
      </c>
      <c r="K539" s="8" t="b">
        <v>1</v>
      </c>
      <c r="L539" s="10" t="b">
        <v>0</v>
      </c>
      <c r="M539" s="12" t="b">
        <v>0</v>
      </c>
      <c r="N539" t="b">
        <v>0</v>
      </c>
      <c r="O539" t="b">
        <v>0</v>
      </c>
      <c r="P539" t="b">
        <v>0</v>
      </c>
      <c r="Q539">
        <f t="shared" si="993"/>
        <v>3</v>
      </c>
      <c r="R539">
        <f t="shared" si="994"/>
        <v>8</v>
      </c>
      <c r="S539" t="e">
        <f t="shared" ca="1" si="1024"/>
        <v>#NAME?</v>
      </c>
      <c r="T539" t="e">
        <f t="shared" ca="1" si="995"/>
        <v>#NAME?</v>
      </c>
      <c r="U539" s="4">
        <f t="shared" si="996"/>
        <v>261.42473379629519</v>
      </c>
      <c r="V539" s="4">
        <f t="shared" si="997"/>
        <v>8.7141577932098393</v>
      </c>
      <c r="W539" s="4">
        <f t="shared" si="998"/>
        <v>1</v>
      </c>
      <c r="X539" s="4">
        <f t="shared" si="999"/>
        <v>0</v>
      </c>
      <c r="Y539" s="4">
        <f t="shared" si="1000"/>
        <v>0</v>
      </c>
      <c r="Z539" s="4">
        <f t="shared" si="1001"/>
        <v>0</v>
      </c>
      <c r="AA539" s="4">
        <f t="shared" si="1002"/>
        <v>0</v>
      </c>
      <c r="AB539" s="4">
        <f t="shared" si="1003"/>
        <v>0</v>
      </c>
      <c r="AC539" s="4"/>
      <c r="AD539" s="4" t="b">
        <f t="shared" si="1004"/>
        <v>0</v>
      </c>
      <c r="AE539" s="4" t="b">
        <f t="shared" si="1005"/>
        <v>0</v>
      </c>
      <c r="AF539" s="4" t="b">
        <f t="shared" si="1006"/>
        <v>0</v>
      </c>
      <c r="AG539" t="b">
        <f t="shared" si="1007"/>
        <v>0</v>
      </c>
      <c r="AH539" t="b">
        <f t="shared" si="1008"/>
        <v>0</v>
      </c>
      <c r="AI539" t="b">
        <f t="shared" si="1009"/>
        <v>0</v>
      </c>
      <c r="AJ539" t="b">
        <f t="shared" si="1010"/>
        <v>0</v>
      </c>
      <c r="AK539" t="b">
        <f t="shared" si="1011"/>
        <v>0</v>
      </c>
      <c r="AL539" t="b">
        <f t="shared" si="1012"/>
        <v>0</v>
      </c>
      <c r="AM539" t="b">
        <f t="shared" si="1013"/>
        <v>0</v>
      </c>
      <c r="AN539" t="b">
        <f t="shared" si="1014"/>
        <v>0</v>
      </c>
      <c r="AO539" t="b">
        <f t="shared" si="1015"/>
        <v>0</v>
      </c>
      <c r="AP539" t="b">
        <f t="shared" si="1016"/>
        <v>0</v>
      </c>
      <c r="AQ539" t="b">
        <f t="shared" si="1017"/>
        <v>0</v>
      </c>
      <c r="AR539" t="b">
        <f t="shared" si="1018"/>
        <v>0</v>
      </c>
      <c r="AS539" t="b">
        <f t="shared" si="1019"/>
        <v>0</v>
      </c>
      <c r="AT539" t="b">
        <f t="shared" si="1020"/>
        <v>0</v>
      </c>
      <c r="AU539" t="b">
        <f t="shared" si="1021"/>
        <v>0</v>
      </c>
      <c r="AV539" t="b">
        <f t="shared" si="1022"/>
        <v>0</v>
      </c>
      <c r="AW539" t="b">
        <f t="shared" si="1023"/>
        <v>0</v>
      </c>
      <c r="AX539" t="b">
        <f t="shared" si="1025"/>
        <v>0</v>
      </c>
      <c r="AY539" t="b">
        <f t="shared" si="1026"/>
        <v>0</v>
      </c>
      <c r="AZ539" t="b">
        <f t="shared" si="1027"/>
        <v>0</v>
      </c>
      <c r="BA539" t="b">
        <f t="shared" si="1028"/>
        <v>0</v>
      </c>
      <c r="BB539" t="b">
        <f t="shared" si="1029"/>
        <v>0</v>
      </c>
      <c r="BC539" t="b">
        <f t="shared" si="1030"/>
        <v>0</v>
      </c>
      <c r="BD539" t="b">
        <f t="shared" si="1031"/>
        <v>0</v>
      </c>
      <c r="BE539" t="b">
        <f t="shared" si="1032"/>
        <v>0</v>
      </c>
      <c r="BF539" t="b">
        <f t="shared" si="1033"/>
        <v>0</v>
      </c>
      <c r="BG539" t="b">
        <f t="shared" si="1034"/>
        <v>0</v>
      </c>
      <c r="BH539" t="b">
        <f t="shared" si="1035"/>
        <v>0</v>
      </c>
      <c r="BI539">
        <f t="shared" si="1036"/>
        <v>1</v>
      </c>
      <c r="BJ539" t="b">
        <f t="shared" si="1037"/>
        <v>0</v>
      </c>
      <c r="BK539" t="b">
        <f t="shared" si="1038"/>
        <v>0</v>
      </c>
      <c r="BL539" t="b">
        <f t="shared" si="1039"/>
        <v>0</v>
      </c>
      <c r="BM539" t="b">
        <f t="shared" si="1040"/>
        <v>0</v>
      </c>
      <c r="BN539" t="b">
        <f t="shared" si="1041"/>
        <v>0</v>
      </c>
      <c r="BO539" t="b">
        <f t="shared" si="1042"/>
        <v>0</v>
      </c>
      <c r="BP539" t="b">
        <f t="shared" si="1043"/>
        <v>0</v>
      </c>
      <c r="BQ539" t="b">
        <f t="shared" si="1044"/>
        <v>0</v>
      </c>
      <c r="BR539" t="b">
        <f t="shared" si="1045"/>
        <v>0</v>
      </c>
      <c r="BS539" t="b">
        <f t="shared" si="1046"/>
        <v>0</v>
      </c>
      <c r="BT539" t="b">
        <f t="shared" si="1047"/>
        <v>0</v>
      </c>
      <c r="BU539" t="b">
        <f t="shared" si="1048"/>
        <v>0</v>
      </c>
      <c r="BV539" t="b">
        <f t="shared" si="1049"/>
        <v>0</v>
      </c>
      <c r="BW539" t="b">
        <f t="shared" si="1050"/>
        <v>0</v>
      </c>
      <c r="BX539" t="b">
        <f t="shared" si="1051"/>
        <v>0</v>
      </c>
      <c r="BY539" t="b">
        <f t="shared" si="1052"/>
        <v>0</v>
      </c>
      <c r="BZ539" t="b">
        <f t="shared" si="1053"/>
        <v>0</v>
      </c>
      <c r="CA539" t="b">
        <f t="shared" si="1054"/>
        <v>0</v>
      </c>
      <c r="CB539" t="b">
        <f t="shared" si="1055"/>
        <v>0</v>
      </c>
      <c r="CC539" t="b">
        <f t="shared" si="1056"/>
        <v>0</v>
      </c>
      <c r="CD539" t="b">
        <f t="shared" si="1057"/>
        <v>0</v>
      </c>
      <c r="CE539" t="b">
        <f t="shared" si="1058"/>
        <v>0</v>
      </c>
      <c r="CF539" t="b">
        <f t="shared" si="1059"/>
        <v>0</v>
      </c>
      <c r="CG539" t="b">
        <f t="shared" si="1060"/>
        <v>0</v>
      </c>
      <c r="CH539" t="b">
        <f t="shared" si="1061"/>
        <v>0</v>
      </c>
      <c r="CI539" t="b">
        <f t="shared" si="1062"/>
        <v>0</v>
      </c>
      <c r="CJ539" t="b">
        <f t="shared" si="1063"/>
        <v>0</v>
      </c>
      <c r="CK539" t="b">
        <f t="shared" si="1064"/>
        <v>0</v>
      </c>
      <c r="CL539" t="b">
        <f t="shared" si="1065"/>
        <v>0</v>
      </c>
      <c r="CM539" t="b">
        <f t="shared" si="1066"/>
        <v>0</v>
      </c>
      <c r="CN539" t="b">
        <f t="shared" si="1067"/>
        <v>0</v>
      </c>
      <c r="CO539" t="b">
        <f t="shared" si="1068"/>
        <v>0</v>
      </c>
      <c r="CP539" t="b">
        <f t="shared" si="1069"/>
        <v>0</v>
      </c>
      <c r="CQ539" t="b">
        <f t="shared" si="1070"/>
        <v>0</v>
      </c>
      <c r="CR539" t="b">
        <f t="shared" si="1071"/>
        <v>0</v>
      </c>
      <c r="CS539" t="b">
        <f t="shared" si="1072"/>
        <v>0</v>
      </c>
      <c r="CT539" t="b">
        <f t="shared" si="1073"/>
        <v>0</v>
      </c>
      <c r="CU539" t="b">
        <f t="shared" si="1074"/>
        <v>0</v>
      </c>
      <c r="CV539">
        <f t="shared" si="1075"/>
        <v>1</v>
      </c>
      <c r="CW539" t="b">
        <f t="shared" si="1076"/>
        <v>0</v>
      </c>
      <c r="CX539" t="b">
        <f t="shared" si="1077"/>
        <v>0</v>
      </c>
      <c r="CY539" t="b">
        <f t="shared" si="1078"/>
        <v>0</v>
      </c>
      <c r="CZ539" t="b">
        <f t="shared" si="1079"/>
        <v>0</v>
      </c>
      <c r="DA539" t="b">
        <f t="shared" si="1080"/>
        <v>0</v>
      </c>
      <c r="DB539" t="b">
        <f t="shared" si="1081"/>
        <v>0</v>
      </c>
      <c r="DC539" t="b">
        <f t="shared" si="1082"/>
        <v>0</v>
      </c>
      <c r="DD539" t="b">
        <f t="shared" si="1083"/>
        <v>0</v>
      </c>
      <c r="DE539" t="b">
        <f t="shared" si="1084"/>
        <v>0</v>
      </c>
      <c r="DF539" t="b">
        <f t="shared" si="1085"/>
        <v>0</v>
      </c>
      <c r="DG539" t="b">
        <f t="shared" si="1086"/>
        <v>0</v>
      </c>
      <c r="DH539" t="b">
        <f t="shared" si="1087"/>
        <v>0</v>
      </c>
      <c r="DI539" t="b">
        <f t="shared" si="1088"/>
        <v>0</v>
      </c>
      <c r="DJ539" t="b">
        <f t="shared" si="1089"/>
        <v>0</v>
      </c>
      <c r="DK539" t="b">
        <f t="shared" si="1090"/>
        <v>0</v>
      </c>
      <c r="DL539" t="b">
        <f t="shared" si="1091"/>
        <v>0</v>
      </c>
      <c r="DM539" t="b">
        <f t="shared" si="1092"/>
        <v>0</v>
      </c>
      <c r="DN539" t="b">
        <f t="shared" si="1093"/>
        <v>0</v>
      </c>
      <c r="DO539" t="b">
        <f t="shared" si="1094"/>
        <v>0</v>
      </c>
      <c r="DP539" t="b">
        <f t="shared" si="1095"/>
        <v>0</v>
      </c>
      <c r="DQ539" t="b">
        <f t="shared" si="1096"/>
        <v>0</v>
      </c>
      <c r="DR539" t="b">
        <f t="shared" si="1097"/>
        <v>0</v>
      </c>
      <c r="DS539" t="b">
        <f t="shared" si="1098"/>
        <v>0</v>
      </c>
      <c r="DT539" t="b">
        <f t="shared" si="1099"/>
        <v>0</v>
      </c>
      <c r="DU539" t="b">
        <f t="shared" si="1100"/>
        <v>0</v>
      </c>
      <c r="DV539" t="b">
        <f t="shared" si="1101"/>
        <v>0</v>
      </c>
      <c r="DW539" t="b">
        <f t="shared" si="1102"/>
        <v>0</v>
      </c>
      <c r="DX539" t="b">
        <f t="shared" si="1103"/>
        <v>0</v>
      </c>
      <c r="DY539" t="b">
        <f t="shared" si="1104"/>
        <v>0</v>
      </c>
      <c r="DZ539" t="b">
        <f t="shared" si="1105"/>
        <v>0</v>
      </c>
      <c r="EA539" t="b">
        <f t="shared" si="1106"/>
        <v>0</v>
      </c>
      <c r="EB539" t="b">
        <f t="shared" si="1107"/>
        <v>0</v>
      </c>
      <c r="EC539" t="b">
        <f t="shared" si="1108"/>
        <v>0</v>
      </c>
      <c r="ED539" t="b">
        <f t="shared" si="1109"/>
        <v>0</v>
      </c>
      <c r="EE539" t="b">
        <f t="shared" si="1110"/>
        <v>0</v>
      </c>
      <c r="EF539">
        <f t="shared" si="1111"/>
        <v>1</v>
      </c>
      <c r="EG539" t="b">
        <f t="shared" si="1112"/>
        <v>0</v>
      </c>
      <c r="EH539" t="b">
        <f t="shared" si="1113"/>
        <v>0</v>
      </c>
      <c r="EI539" t="b">
        <f t="shared" si="1114"/>
        <v>0</v>
      </c>
      <c r="EJ539" t="b">
        <f t="shared" si="1115"/>
        <v>0</v>
      </c>
      <c r="EK539" t="b">
        <f t="shared" si="1116"/>
        <v>0</v>
      </c>
    </row>
    <row r="540" spans="1:141">
      <c r="A540" t="s">
        <v>2722</v>
      </c>
      <c r="B540" t="s">
        <v>2723</v>
      </c>
      <c r="C540" t="s">
        <v>2724</v>
      </c>
      <c r="D540" s="1">
        <v>41995</v>
      </c>
      <c r="E540" s="2">
        <v>42438.544537037036</v>
      </c>
      <c r="F540" s="2">
        <v>42438.544537037036</v>
      </c>
      <c r="G540">
        <v>442166</v>
      </c>
      <c r="H540" t="s">
        <v>2725</v>
      </c>
      <c r="I540" s="10" t="s">
        <v>2726</v>
      </c>
      <c r="J540" t="s">
        <v>188</v>
      </c>
      <c r="K540" s="8" t="b">
        <v>1</v>
      </c>
      <c r="L540" s="10" t="b">
        <v>0</v>
      </c>
      <c r="M540" s="12" t="b">
        <v>0</v>
      </c>
      <c r="N540" t="b">
        <v>0</v>
      </c>
      <c r="O540" t="b">
        <v>0</v>
      </c>
      <c r="P540" t="b">
        <v>0</v>
      </c>
      <c r="Q540">
        <f t="shared" si="993"/>
        <v>2</v>
      </c>
      <c r="R540">
        <f t="shared" si="994"/>
        <v>12</v>
      </c>
      <c r="S540" t="e">
        <f t="shared" ca="1" si="1024"/>
        <v>#NAME?</v>
      </c>
      <c r="T540" t="e">
        <f t="shared" ca="1" si="995"/>
        <v>#NAME?</v>
      </c>
      <c r="U540" s="4">
        <f t="shared" si="996"/>
        <v>443.54453703703621</v>
      </c>
      <c r="V540" s="4">
        <f t="shared" si="997"/>
        <v>14.78481790123454</v>
      </c>
      <c r="W540" s="4">
        <f t="shared" si="998"/>
        <v>1</v>
      </c>
      <c r="X540" s="4">
        <f t="shared" si="999"/>
        <v>0</v>
      </c>
      <c r="Y540" s="4">
        <f t="shared" si="1000"/>
        <v>0</v>
      </c>
      <c r="Z540" s="4">
        <f t="shared" si="1001"/>
        <v>0</v>
      </c>
      <c r="AA540" s="4">
        <f t="shared" si="1002"/>
        <v>0</v>
      </c>
      <c r="AB540" s="4">
        <f t="shared" si="1003"/>
        <v>0</v>
      </c>
      <c r="AC540" s="4"/>
      <c r="AD540" s="4" t="b">
        <f t="shared" si="1004"/>
        <v>0</v>
      </c>
      <c r="AE540" s="4" t="b">
        <f t="shared" si="1005"/>
        <v>0</v>
      </c>
      <c r="AF540" s="4" t="b">
        <f t="shared" si="1006"/>
        <v>0</v>
      </c>
      <c r="AG540" t="b">
        <f t="shared" si="1007"/>
        <v>0</v>
      </c>
      <c r="AH540" t="b">
        <f t="shared" si="1008"/>
        <v>0</v>
      </c>
      <c r="AI540" t="b">
        <f t="shared" si="1009"/>
        <v>0</v>
      </c>
      <c r="AJ540" t="b">
        <f t="shared" si="1010"/>
        <v>0</v>
      </c>
      <c r="AK540" t="b">
        <f t="shared" si="1011"/>
        <v>0</v>
      </c>
      <c r="AL540" t="b">
        <f t="shared" si="1012"/>
        <v>0</v>
      </c>
      <c r="AM540" t="b">
        <f t="shared" si="1013"/>
        <v>0</v>
      </c>
      <c r="AN540" t="b">
        <f t="shared" si="1014"/>
        <v>0</v>
      </c>
      <c r="AO540" t="b">
        <f t="shared" si="1015"/>
        <v>0</v>
      </c>
      <c r="AP540" t="b">
        <f t="shared" si="1016"/>
        <v>0</v>
      </c>
      <c r="AQ540" t="b">
        <f t="shared" si="1017"/>
        <v>0</v>
      </c>
      <c r="AR540" t="b">
        <f t="shared" si="1018"/>
        <v>0</v>
      </c>
      <c r="AS540" t="b">
        <f t="shared" si="1019"/>
        <v>0</v>
      </c>
      <c r="AT540" t="b">
        <f t="shared" si="1020"/>
        <v>0</v>
      </c>
      <c r="AU540" t="b">
        <f t="shared" si="1021"/>
        <v>0</v>
      </c>
      <c r="AV540" t="b">
        <f t="shared" si="1022"/>
        <v>0</v>
      </c>
      <c r="AW540" t="b">
        <f t="shared" si="1023"/>
        <v>0</v>
      </c>
      <c r="AX540" t="b">
        <f t="shared" si="1025"/>
        <v>0</v>
      </c>
      <c r="AY540" t="b">
        <f t="shared" si="1026"/>
        <v>0</v>
      </c>
      <c r="AZ540" t="b">
        <f t="shared" si="1027"/>
        <v>0</v>
      </c>
      <c r="BA540" t="b">
        <f t="shared" si="1028"/>
        <v>0</v>
      </c>
      <c r="BB540" t="b">
        <f t="shared" si="1029"/>
        <v>0</v>
      </c>
      <c r="BC540" t="b">
        <f t="shared" si="1030"/>
        <v>0</v>
      </c>
      <c r="BD540" t="b">
        <f t="shared" si="1031"/>
        <v>0</v>
      </c>
      <c r="BE540" t="b">
        <f t="shared" si="1032"/>
        <v>0</v>
      </c>
      <c r="BF540" t="b">
        <f t="shared" si="1033"/>
        <v>0</v>
      </c>
      <c r="BG540" t="b">
        <f t="shared" si="1034"/>
        <v>0</v>
      </c>
      <c r="BH540" t="b">
        <f t="shared" si="1035"/>
        <v>0</v>
      </c>
      <c r="BI540">
        <f t="shared" si="1036"/>
        <v>1</v>
      </c>
      <c r="BJ540" t="b">
        <f t="shared" si="1037"/>
        <v>0</v>
      </c>
      <c r="BK540" t="b">
        <f t="shared" si="1038"/>
        <v>0</v>
      </c>
      <c r="BL540" t="b">
        <f t="shared" si="1039"/>
        <v>0</v>
      </c>
      <c r="BM540" t="b">
        <f t="shared" si="1040"/>
        <v>0</v>
      </c>
      <c r="BN540" t="b">
        <f t="shared" si="1041"/>
        <v>0</v>
      </c>
      <c r="BO540" t="b">
        <f t="shared" si="1042"/>
        <v>0</v>
      </c>
      <c r="BP540" t="b">
        <f t="shared" si="1043"/>
        <v>0</v>
      </c>
      <c r="BQ540" t="b">
        <f t="shared" si="1044"/>
        <v>0</v>
      </c>
      <c r="BR540" t="b">
        <f t="shared" si="1045"/>
        <v>0</v>
      </c>
      <c r="BS540" t="b">
        <f t="shared" si="1046"/>
        <v>0</v>
      </c>
      <c r="BT540" t="b">
        <f t="shared" si="1047"/>
        <v>0</v>
      </c>
      <c r="BU540" t="b">
        <f t="shared" si="1048"/>
        <v>0</v>
      </c>
      <c r="BV540" t="b">
        <f t="shared" si="1049"/>
        <v>0</v>
      </c>
      <c r="BW540" t="b">
        <f t="shared" si="1050"/>
        <v>0</v>
      </c>
      <c r="BX540" t="b">
        <f t="shared" si="1051"/>
        <v>0</v>
      </c>
      <c r="BY540" t="b">
        <f t="shared" si="1052"/>
        <v>0</v>
      </c>
      <c r="BZ540" t="b">
        <f t="shared" si="1053"/>
        <v>0</v>
      </c>
      <c r="CA540" t="b">
        <f t="shared" si="1054"/>
        <v>0</v>
      </c>
      <c r="CB540" t="b">
        <f t="shared" si="1055"/>
        <v>0</v>
      </c>
      <c r="CC540" t="b">
        <f t="shared" si="1056"/>
        <v>0</v>
      </c>
      <c r="CD540" t="b">
        <f t="shared" si="1057"/>
        <v>0</v>
      </c>
      <c r="CE540">
        <f t="shared" si="1058"/>
        <v>1</v>
      </c>
      <c r="CF540" t="b">
        <f t="shared" si="1059"/>
        <v>0</v>
      </c>
      <c r="CG540" t="b">
        <f t="shared" si="1060"/>
        <v>0</v>
      </c>
      <c r="CH540" t="b">
        <f t="shared" si="1061"/>
        <v>0</v>
      </c>
      <c r="CI540" t="b">
        <f t="shared" si="1062"/>
        <v>0</v>
      </c>
      <c r="CJ540" t="b">
        <f t="shared" si="1063"/>
        <v>0</v>
      </c>
      <c r="CK540" t="b">
        <f t="shared" si="1064"/>
        <v>0</v>
      </c>
      <c r="CL540" t="b">
        <f t="shared" si="1065"/>
        <v>0</v>
      </c>
      <c r="CM540" t="b">
        <f t="shared" si="1066"/>
        <v>0</v>
      </c>
      <c r="CN540" t="b">
        <f t="shared" si="1067"/>
        <v>0</v>
      </c>
      <c r="CO540" t="b">
        <f t="shared" si="1068"/>
        <v>0</v>
      </c>
      <c r="CP540" t="b">
        <f t="shared" si="1069"/>
        <v>0</v>
      </c>
      <c r="CQ540" t="b">
        <f t="shared" si="1070"/>
        <v>0</v>
      </c>
      <c r="CR540" t="b">
        <f t="shared" si="1071"/>
        <v>0</v>
      </c>
      <c r="CS540" t="b">
        <f t="shared" si="1072"/>
        <v>0</v>
      </c>
      <c r="CT540" t="b">
        <f t="shared" si="1073"/>
        <v>0</v>
      </c>
      <c r="CU540" t="b">
        <f t="shared" si="1074"/>
        <v>0</v>
      </c>
      <c r="CV540">
        <f t="shared" si="1075"/>
        <v>1</v>
      </c>
      <c r="CW540" t="b">
        <f t="shared" si="1076"/>
        <v>0</v>
      </c>
      <c r="CX540" t="b">
        <f t="shared" si="1077"/>
        <v>0</v>
      </c>
      <c r="CY540" t="b">
        <f t="shared" si="1078"/>
        <v>0</v>
      </c>
      <c r="CZ540" t="b">
        <f t="shared" si="1079"/>
        <v>0</v>
      </c>
      <c r="DA540" t="b">
        <f t="shared" si="1080"/>
        <v>0</v>
      </c>
      <c r="DB540" t="b">
        <f t="shared" si="1081"/>
        <v>0</v>
      </c>
      <c r="DC540" t="b">
        <f t="shared" si="1082"/>
        <v>0</v>
      </c>
      <c r="DD540" t="b">
        <f t="shared" si="1083"/>
        <v>0</v>
      </c>
      <c r="DE540" t="b">
        <f t="shared" si="1084"/>
        <v>0</v>
      </c>
      <c r="DF540" t="b">
        <f t="shared" si="1085"/>
        <v>0</v>
      </c>
      <c r="DG540" t="b">
        <f t="shared" si="1086"/>
        <v>0</v>
      </c>
      <c r="DH540" t="b">
        <f t="shared" si="1087"/>
        <v>0</v>
      </c>
      <c r="DI540" t="b">
        <f t="shared" si="1088"/>
        <v>0</v>
      </c>
      <c r="DJ540" t="b">
        <f t="shared" si="1089"/>
        <v>0</v>
      </c>
      <c r="DK540" t="b">
        <f t="shared" si="1090"/>
        <v>0</v>
      </c>
      <c r="DL540" t="b">
        <f t="shared" si="1091"/>
        <v>0</v>
      </c>
      <c r="DM540" t="b">
        <f t="shared" si="1092"/>
        <v>0</v>
      </c>
      <c r="DN540" t="b">
        <f t="shared" si="1093"/>
        <v>0</v>
      </c>
      <c r="DO540" t="b">
        <f t="shared" si="1094"/>
        <v>0</v>
      </c>
      <c r="DP540" t="b">
        <f t="shared" si="1095"/>
        <v>0</v>
      </c>
      <c r="DQ540" t="b">
        <f t="shared" si="1096"/>
        <v>0</v>
      </c>
      <c r="DR540" t="b">
        <f t="shared" si="1097"/>
        <v>0</v>
      </c>
      <c r="DS540" t="b">
        <f t="shared" si="1098"/>
        <v>0</v>
      </c>
      <c r="DT540" t="b">
        <f t="shared" si="1099"/>
        <v>0</v>
      </c>
      <c r="DU540" t="b">
        <f t="shared" si="1100"/>
        <v>0</v>
      </c>
      <c r="DV540" t="b">
        <f t="shared" si="1101"/>
        <v>0</v>
      </c>
      <c r="DW540" t="b">
        <f t="shared" si="1102"/>
        <v>0</v>
      </c>
      <c r="DX540" t="b">
        <f t="shared" si="1103"/>
        <v>0</v>
      </c>
      <c r="DY540" t="b">
        <f t="shared" si="1104"/>
        <v>0</v>
      </c>
      <c r="DZ540" t="b">
        <f t="shared" si="1105"/>
        <v>0</v>
      </c>
      <c r="EA540" t="b">
        <f t="shared" si="1106"/>
        <v>0</v>
      </c>
      <c r="EB540" t="b">
        <f t="shared" si="1107"/>
        <v>0</v>
      </c>
      <c r="EC540" t="b">
        <f t="shared" si="1108"/>
        <v>0</v>
      </c>
      <c r="ED540" t="b">
        <f t="shared" si="1109"/>
        <v>0</v>
      </c>
      <c r="EE540" t="b">
        <f t="shared" si="1110"/>
        <v>0</v>
      </c>
      <c r="EF540">
        <f t="shared" si="1111"/>
        <v>1</v>
      </c>
      <c r="EG540" t="b">
        <f t="shared" si="1112"/>
        <v>0</v>
      </c>
      <c r="EH540" t="b">
        <f t="shared" si="1113"/>
        <v>0</v>
      </c>
      <c r="EI540" t="b">
        <f t="shared" si="1114"/>
        <v>0</v>
      </c>
      <c r="EJ540" t="b">
        <f t="shared" si="1115"/>
        <v>0</v>
      </c>
      <c r="EK540" t="b">
        <f t="shared" si="1116"/>
        <v>0</v>
      </c>
    </row>
    <row r="541" spans="1:141">
      <c r="A541" t="s">
        <v>2727</v>
      </c>
      <c r="B541" t="s">
        <v>2727</v>
      </c>
      <c r="C541" t="s">
        <v>2728</v>
      </c>
      <c r="D541" s="1">
        <v>43434</v>
      </c>
      <c r="E541" s="2">
        <v>43438.10596064815</v>
      </c>
      <c r="F541" s="2">
        <v>43438.10596064815</v>
      </c>
      <c r="G541">
        <v>265410</v>
      </c>
      <c r="H541" t="s">
        <v>2729</v>
      </c>
      <c r="I541" s="10" t="s">
        <v>2730</v>
      </c>
      <c r="J541" t="s">
        <v>2731</v>
      </c>
      <c r="K541" s="8" t="b">
        <v>1</v>
      </c>
      <c r="L541" s="10" t="b">
        <v>0</v>
      </c>
      <c r="M541" s="12" t="b">
        <v>0</v>
      </c>
      <c r="N541" t="b">
        <v>0</v>
      </c>
      <c r="O541" t="b">
        <v>0</v>
      </c>
      <c r="P541" t="b">
        <v>0</v>
      </c>
      <c r="Q541">
        <f t="shared" si="993"/>
        <v>6</v>
      </c>
      <c r="R541">
        <f t="shared" si="994"/>
        <v>11</v>
      </c>
      <c r="S541" t="e">
        <f t="shared" ca="1" si="1024"/>
        <v>#NAME?</v>
      </c>
      <c r="T541" t="e">
        <f t="shared" ca="1" si="995"/>
        <v>#NAME?</v>
      </c>
      <c r="U541" s="4">
        <f t="shared" si="996"/>
        <v>4.1059606481503579</v>
      </c>
      <c r="V541" s="4">
        <f t="shared" si="997"/>
        <v>0.13686535493834526</v>
      </c>
      <c r="W541" s="4">
        <f t="shared" si="998"/>
        <v>1</v>
      </c>
      <c r="X541" s="4">
        <f t="shared" si="999"/>
        <v>0</v>
      </c>
      <c r="Y541" s="4">
        <f t="shared" si="1000"/>
        <v>0</v>
      </c>
      <c r="Z541" s="4">
        <f t="shared" si="1001"/>
        <v>0</v>
      </c>
      <c r="AA541" s="4">
        <f t="shared" si="1002"/>
        <v>0</v>
      </c>
      <c r="AB541" s="4">
        <f t="shared" si="1003"/>
        <v>0</v>
      </c>
      <c r="AC541" s="4"/>
      <c r="AD541" s="4" t="b">
        <f t="shared" si="1004"/>
        <v>0</v>
      </c>
      <c r="AE541" s="4" t="b">
        <f t="shared" si="1005"/>
        <v>0</v>
      </c>
      <c r="AF541" s="4" t="b">
        <f t="shared" si="1006"/>
        <v>0</v>
      </c>
      <c r="AG541" t="b">
        <f t="shared" si="1007"/>
        <v>0</v>
      </c>
      <c r="AH541" t="b">
        <f t="shared" si="1008"/>
        <v>0</v>
      </c>
      <c r="AI541" t="b">
        <f t="shared" si="1009"/>
        <v>0</v>
      </c>
      <c r="AJ541" t="b">
        <f t="shared" si="1010"/>
        <v>0</v>
      </c>
      <c r="AK541" t="b">
        <f t="shared" si="1011"/>
        <v>0</v>
      </c>
      <c r="AL541" t="b">
        <f t="shared" si="1012"/>
        <v>0</v>
      </c>
      <c r="AM541" t="b">
        <f t="shared" si="1013"/>
        <v>0</v>
      </c>
      <c r="AN541" t="b">
        <f t="shared" si="1014"/>
        <v>0</v>
      </c>
      <c r="AO541" t="b">
        <f t="shared" si="1015"/>
        <v>0</v>
      </c>
      <c r="AP541" t="b">
        <f t="shared" si="1016"/>
        <v>0</v>
      </c>
      <c r="AQ541" t="b">
        <f t="shared" si="1017"/>
        <v>0</v>
      </c>
      <c r="AR541" t="b">
        <f t="shared" si="1018"/>
        <v>0</v>
      </c>
      <c r="AS541" t="b">
        <f t="shared" si="1019"/>
        <v>0</v>
      </c>
      <c r="AT541">
        <f t="shared" si="1020"/>
        <v>1</v>
      </c>
      <c r="AU541" t="b">
        <f t="shared" si="1021"/>
        <v>0</v>
      </c>
      <c r="AV541" t="b">
        <f t="shared" si="1022"/>
        <v>0</v>
      </c>
      <c r="AW541" t="b">
        <f t="shared" si="1023"/>
        <v>0</v>
      </c>
      <c r="AX541" t="b">
        <f t="shared" si="1025"/>
        <v>0</v>
      </c>
      <c r="AY541" t="b">
        <f t="shared" si="1026"/>
        <v>0</v>
      </c>
      <c r="AZ541" t="b">
        <f t="shared" si="1027"/>
        <v>0</v>
      </c>
      <c r="BA541" t="b">
        <f t="shared" si="1028"/>
        <v>0</v>
      </c>
      <c r="BB541" t="b">
        <f t="shared" si="1029"/>
        <v>0</v>
      </c>
      <c r="BC541" t="b">
        <f t="shared" si="1030"/>
        <v>0</v>
      </c>
      <c r="BD541" t="b">
        <f t="shared" si="1031"/>
        <v>0</v>
      </c>
      <c r="BE541" t="b">
        <f t="shared" si="1032"/>
        <v>0</v>
      </c>
      <c r="BF541" t="b">
        <f t="shared" si="1033"/>
        <v>0</v>
      </c>
      <c r="BG541" t="b">
        <f t="shared" si="1034"/>
        <v>0</v>
      </c>
      <c r="BH541" t="b">
        <f t="shared" si="1035"/>
        <v>0</v>
      </c>
      <c r="BI541">
        <f t="shared" si="1036"/>
        <v>1</v>
      </c>
      <c r="BJ541" t="b">
        <f t="shared" si="1037"/>
        <v>0</v>
      </c>
      <c r="BK541" t="b">
        <f t="shared" si="1038"/>
        <v>0</v>
      </c>
      <c r="BL541" t="b">
        <f t="shared" si="1039"/>
        <v>0</v>
      </c>
      <c r="BM541" t="b">
        <f t="shared" si="1040"/>
        <v>0</v>
      </c>
      <c r="BN541" t="b">
        <f t="shared" si="1041"/>
        <v>0</v>
      </c>
      <c r="BO541" t="b">
        <f t="shared" si="1042"/>
        <v>0</v>
      </c>
      <c r="BP541" t="b">
        <f t="shared" si="1043"/>
        <v>0</v>
      </c>
      <c r="BQ541" t="b">
        <f t="shared" si="1044"/>
        <v>0</v>
      </c>
      <c r="BR541" t="b">
        <f t="shared" si="1045"/>
        <v>0</v>
      </c>
      <c r="BS541" t="b">
        <f t="shared" si="1046"/>
        <v>0</v>
      </c>
      <c r="BT541" t="b">
        <f t="shared" si="1047"/>
        <v>0</v>
      </c>
      <c r="BU541" t="b">
        <f t="shared" si="1048"/>
        <v>0</v>
      </c>
      <c r="BV541" t="b">
        <f t="shared" si="1049"/>
        <v>0</v>
      </c>
      <c r="BW541" t="b">
        <f t="shared" si="1050"/>
        <v>0</v>
      </c>
      <c r="BX541" t="b">
        <f t="shared" si="1051"/>
        <v>0</v>
      </c>
      <c r="BY541" t="b">
        <f t="shared" si="1052"/>
        <v>0</v>
      </c>
      <c r="BZ541" t="b">
        <f t="shared" si="1053"/>
        <v>0</v>
      </c>
      <c r="CA541" t="b">
        <f t="shared" si="1054"/>
        <v>0</v>
      </c>
      <c r="CB541" t="b">
        <f t="shared" si="1055"/>
        <v>0</v>
      </c>
      <c r="CC541" t="b">
        <f t="shared" si="1056"/>
        <v>0</v>
      </c>
      <c r="CD541" t="b">
        <f t="shared" si="1057"/>
        <v>0</v>
      </c>
      <c r="CE541">
        <f t="shared" si="1058"/>
        <v>1</v>
      </c>
      <c r="CF541" t="b">
        <f t="shared" si="1059"/>
        <v>0</v>
      </c>
      <c r="CG541" t="b">
        <f t="shared" si="1060"/>
        <v>0</v>
      </c>
      <c r="CH541" t="b">
        <f t="shared" si="1061"/>
        <v>0</v>
      </c>
      <c r="CI541" t="b">
        <f t="shared" si="1062"/>
        <v>0</v>
      </c>
      <c r="CJ541" t="b">
        <f t="shared" si="1063"/>
        <v>0</v>
      </c>
      <c r="CK541" t="b">
        <f t="shared" si="1064"/>
        <v>0</v>
      </c>
      <c r="CL541" t="b">
        <f t="shared" si="1065"/>
        <v>0</v>
      </c>
      <c r="CM541" t="b">
        <f t="shared" si="1066"/>
        <v>0</v>
      </c>
      <c r="CN541" t="b">
        <f t="shared" si="1067"/>
        <v>0</v>
      </c>
      <c r="CO541" t="b">
        <f t="shared" si="1068"/>
        <v>0</v>
      </c>
      <c r="CP541" t="b">
        <f t="shared" si="1069"/>
        <v>0</v>
      </c>
      <c r="CQ541" t="b">
        <f t="shared" si="1070"/>
        <v>0</v>
      </c>
      <c r="CR541" t="b">
        <f t="shared" si="1071"/>
        <v>0</v>
      </c>
      <c r="CS541" t="b">
        <f t="shared" si="1072"/>
        <v>0</v>
      </c>
      <c r="CT541" t="b">
        <f t="shared" si="1073"/>
        <v>0</v>
      </c>
      <c r="CU541" t="b">
        <f t="shared" si="1074"/>
        <v>0</v>
      </c>
      <c r="CV541">
        <f t="shared" si="1075"/>
        <v>1</v>
      </c>
      <c r="CW541" t="b">
        <f t="shared" si="1076"/>
        <v>0</v>
      </c>
      <c r="CX541" t="b">
        <f t="shared" si="1077"/>
        <v>0</v>
      </c>
      <c r="CY541" t="b">
        <f t="shared" si="1078"/>
        <v>0</v>
      </c>
      <c r="CZ541" t="b">
        <f t="shared" si="1079"/>
        <v>0</v>
      </c>
      <c r="DA541" t="b">
        <f t="shared" si="1080"/>
        <v>0</v>
      </c>
      <c r="DB541" t="b">
        <f t="shared" si="1081"/>
        <v>0</v>
      </c>
      <c r="DC541" t="b">
        <f t="shared" si="1082"/>
        <v>0</v>
      </c>
      <c r="DD541" t="b">
        <f t="shared" si="1083"/>
        <v>0</v>
      </c>
      <c r="DE541" t="b">
        <f t="shared" si="1084"/>
        <v>0</v>
      </c>
      <c r="DF541" t="b">
        <f t="shared" si="1085"/>
        <v>0</v>
      </c>
      <c r="DG541">
        <f t="shared" si="1086"/>
        <v>1</v>
      </c>
      <c r="DH541" t="b">
        <f t="shared" si="1087"/>
        <v>0</v>
      </c>
      <c r="DI541" t="b">
        <f t="shared" si="1088"/>
        <v>0</v>
      </c>
      <c r="DJ541" t="b">
        <f t="shared" si="1089"/>
        <v>0</v>
      </c>
      <c r="DK541" t="b">
        <f t="shared" si="1090"/>
        <v>0</v>
      </c>
      <c r="DL541" t="b">
        <f t="shared" si="1091"/>
        <v>0</v>
      </c>
      <c r="DM541" t="b">
        <f t="shared" si="1092"/>
        <v>0</v>
      </c>
      <c r="DN541" t="b">
        <f t="shared" si="1093"/>
        <v>0</v>
      </c>
      <c r="DO541" t="b">
        <f t="shared" si="1094"/>
        <v>0</v>
      </c>
      <c r="DP541" t="b">
        <f t="shared" si="1095"/>
        <v>0</v>
      </c>
      <c r="DQ541" t="b">
        <f t="shared" si="1096"/>
        <v>0</v>
      </c>
      <c r="DR541" t="b">
        <f t="shared" si="1097"/>
        <v>0</v>
      </c>
      <c r="DS541" t="b">
        <f t="shared" si="1098"/>
        <v>0</v>
      </c>
      <c r="DT541" t="b">
        <f t="shared" si="1099"/>
        <v>0</v>
      </c>
      <c r="DU541" t="b">
        <f t="shared" si="1100"/>
        <v>0</v>
      </c>
      <c r="DV541" t="b">
        <f t="shared" si="1101"/>
        <v>0</v>
      </c>
      <c r="DW541" t="b">
        <f t="shared" si="1102"/>
        <v>0</v>
      </c>
      <c r="DX541" t="b">
        <f t="shared" si="1103"/>
        <v>0</v>
      </c>
      <c r="DY541" t="b">
        <f t="shared" si="1104"/>
        <v>0</v>
      </c>
      <c r="DZ541" t="b">
        <f t="shared" si="1105"/>
        <v>0</v>
      </c>
      <c r="EA541" t="b">
        <f t="shared" si="1106"/>
        <v>0</v>
      </c>
      <c r="EB541" t="b">
        <f t="shared" si="1107"/>
        <v>0</v>
      </c>
      <c r="EC541">
        <f t="shared" si="1108"/>
        <v>1</v>
      </c>
      <c r="ED541" t="b">
        <f t="shared" si="1109"/>
        <v>0</v>
      </c>
      <c r="EE541" t="b">
        <f t="shared" si="1110"/>
        <v>0</v>
      </c>
      <c r="EF541" t="b">
        <f t="shared" si="1111"/>
        <v>0</v>
      </c>
      <c r="EG541" t="b">
        <f t="shared" si="1112"/>
        <v>0</v>
      </c>
      <c r="EH541" t="b">
        <f t="shared" si="1113"/>
        <v>0</v>
      </c>
      <c r="EI541" t="b">
        <f t="shared" si="1114"/>
        <v>0</v>
      </c>
      <c r="EJ541" t="b">
        <f t="shared" si="1115"/>
        <v>0</v>
      </c>
      <c r="EK541" t="b">
        <f t="shared" si="1116"/>
        <v>0</v>
      </c>
    </row>
    <row r="542" spans="1:141">
      <c r="A542" t="s">
        <v>2732</v>
      </c>
      <c r="B542" t="s">
        <v>2732</v>
      </c>
      <c r="C542" t="s">
        <v>2733</v>
      </c>
      <c r="D542" s="1">
        <v>43922</v>
      </c>
      <c r="E542" s="2">
        <v>44372.290833333333</v>
      </c>
      <c r="F542" s="2">
        <v>44372.290833333333</v>
      </c>
      <c r="G542">
        <v>8234193</v>
      </c>
      <c r="H542" t="s">
        <v>2734</v>
      </c>
      <c r="I542" s="10" t="s">
        <v>2735</v>
      </c>
      <c r="J542" t="s">
        <v>2736</v>
      </c>
      <c r="K542" s="8" t="b">
        <v>1</v>
      </c>
      <c r="L542" s="10" t="b">
        <v>0</v>
      </c>
      <c r="M542" s="12" t="b">
        <v>0</v>
      </c>
      <c r="N542" t="b">
        <v>0</v>
      </c>
      <c r="O542" t="b">
        <v>0</v>
      </c>
      <c r="P542" t="b">
        <v>0</v>
      </c>
      <c r="Q542">
        <f t="shared" si="993"/>
        <v>4</v>
      </c>
      <c r="R542">
        <f t="shared" si="994"/>
        <v>4</v>
      </c>
      <c r="S542" t="e">
        <f t="shared" ca="1" si="1024"/>
        <v>#NAME?</v>
      </c>
      <c r="T542" t="e">
        <f t="shared" ca="1" si="995"/>
        <v>#NAME?</v>
      </c>
      <c r="U542" s="4">
        <f t="shared" si="996"/>
        <v>450.29083333333256</v>
      </c>
      <c r="V542" s="4">
        <f t="shared" si="997"/>
        <v>15.009694444444419</v>
      </c>
      <c r="W542" s="4">
        <f t="shared" si="998"/>
        <v>1</v>
      </c>
      <c r="X542" s="4">
        <f t="shared" si="999"/>
        <v>0</v>
      </c>
      <c r="Y542" s="4">
        <f t="shared" si="1000"/>
        <v>0</v>
      </c>
      <c r="Z542" s="4">
        <f t="shared" si="1001"/>
        <v>0</v>
      </c>
      <c r="AA542" s="4">
        <f t="shared" si="1002"/>
        <v>0</v>
      </c>
      <c r="AB542" s="4">
        <f t="shared" si="1003"/>
        <v>0</v>
      </c>
      <c r="AC542" s="4"/>
      <c r="AD542" s="4" t="b">
        <f t="shared" si="1004"/>
        <v>0</v>
      </c>
      <c r="AE542" s="4" t="b">
        <f t="shared" si="1005"/>
        <v>0</v>
      </c>
      <c r="AF542" s="4" t="b">
        <f t="shared" si="1006"/>
        <v>0</v>
      </c>
      <c r="AG542" t="b">
        <f t="shared" si="1007"/>
        <v>0</v>
      </c>
      <c r="AH542" t="b">
        <f t="shared" si="1008"/>
        <v>0</v>
      </c>
      <c r="AI542" t="b">
        <f t="shared" si="1009"/>
        <v>0</v>
      </c>
      <c r="AJ542" t="b">
        <f t="shared" si="1010"/>
        <v>0</v>
      </c>
      <c r="AK542" t="b">
        <f t="shared" si="1011"/>
        <v>0</v>
      </c>
      <c r="AL542" t="b">
        <f t="shared" si="1012"/>
        <v>0</v>
      </c>
      <c r="AM542" t="b">
        <f t="shared" si="1013"/>
        <v>0</v>
      </c>
      <c r="AN542" t="b">
        <f t="shared" si="1014"/>
        <v>0</v>
      </c>
      <c r="AO542" t="b">
        <f t="shared" si="1015"/>
        <v>0</v>
      </c>
      <c r="AP542" t="b">
        <f t="shared" si="1016"/>
        <v>0</v>
      </c>
      <c r="AQ542" t="b">
        <f t="shared" si="1017"/>
        <v>0</v>
      </c>
      <c r="AR542" t="b">
        <f t="shared" si="1018"/>
        <v>0</v>
      </c>
      <c r="AS542" t="b">
        <f t="shared" si="1019"/>
        <v>0</v>
      </c>
      <c r="AT542" t="b">
        <f t="shared" si="1020"/>
        <v>0</v>
      </c>
      <c r="AU542" t="b">
        <f t="shared" si="1021"/>
        <v>0</v>
      </c>
      <c r="AV542" t="b">
        <f t="shared" si="1022"/>
        <v>0</v>
      </c>
      <c r="AW542" t="b">
        <f t="shared" si="1023"/>
        <v>0</v>
      </c>
      <c r="AX542" t="b">
        <f t="shared" si="1025"/>
        <v>0</v>
      </c>
      <c r="AY542" t="b">
        <f t="shared" si="1026"/>
        <v>0</v>
      </c>
      <c r="AZ542" t="b">
        <f t="shared" si="1027"/>
        <v>0</v>
      </c>
      <c r="BA542" t="b">
        <f t="shared" si="1028"/>
        <v>0</v>
      </c>
      <c r="BB542" t="b">
        <f t="shared" si="1029"/>
        <v>0</v>
      </c>
      <c r="BC542" t="b">
        <f t="shared" si="1030"/>
        <v>0</v>
      </c>
      <c r="BD542" t="b">
        <f t="shared" si="1031"/>
        <v>0</v>
      </c>
      <c r="BE542" t="b">
        <f t="shared" si="1032"/>
        <v>0</v>
      </c>
      <c r="BF542" t="b">
        <f t="shared" si="1033"/>
        <v>0</v>
      </c>
      <c r="BG542" t="b">
        <f t="shared" si="1034"/>
        <v>0</v>
      </c>
      <c r="BH542" t="b">
        <f t="shared" si="1035"/>
        <v>0</v>
      </c>
      <c r="BI542">
        <f t="shared" si="1036"/>
        <v>1</v>
      </c>
      <c r="BJ542" t="b">
        <f t="shared" si="1037"/>
        <v>0</v>
      </c>
      <c r="BK542" t="b">
        <f t="shared" si="1038"/>
        <v>0</v>
      </c>
      <c r="BL542" t="b">
        <f t="shared" si="1039"/>
        <v>0</v>
      </c>
      <c r="BM542" t="b">
        <f t="shared" si="1040"/>
        <v>0</v>
      </c>
      <c r="BN542" t="b">
        <f t="shared" si="1041"/>
        <v>0</v>
      </c>
      <c r="BO542" t="b">
        <f t="shared" si="1042"/>
        <v>0</v>
      </c>
      <c r="BP542" t="b">
        <f t="shared" si="1043"/>
        <v>0</v>
      </c>
      <c r="BQ542" t="b">
        <f t="shared" si="1044"/>
        <v>0</v>
      </c>
      <c r="BR542" t="b">
        <f t="shared" si="1045"/>
        <v>0</v>
      </c>
      <c r="BS542">
        <f t="shared" si="1046"/>
        <v>1</v>
      </c>
      <c r="BT542" t="b">
        <f t="shared" si="1047"/>
        <v>0</v>
      </c>
      <c r="BU542" t="b">
        <f t="shared" si="1048"/>
        <v>0</v>
      </c>
      <c r="BV542" t="b">
        <f t="shared" si="1049"/>
        <v>0</v>
      </c>
      <c r="BW542" t="b">
        <f t="shared" si="1050"/>
        <v>0</v>
      </c>
      <c r="BX542" t="b">
        <f t="shared" si="1051"/>
        <v>0</v>
      </c>
      <c r="BY542" t="b">
        <f t="shared" si="1052"/>
        <v>0</v>
      </c>
      <c r="BZ542" t="b">
        <f t="shared" si="1053"/>
        <v>0</v>
      </c>
      <c r="CA542" t="b">
        <f t="shared" si="1054"/>
        <v>0</v>
      </c>
      <c r="CB542" t="b">
        <f t="shared" si="1055"/>
        <v>0</v>
      </c>
      <c r="CC542" t="b">
        <f t="shared" si="1056"/>
        <v>0</v>
      </c>
      <c r="CD542" t="b">
        <f t="shared" si="1057"/>
        <v>0</v>
      </c>
      <c r="CE542" t="b">
        <f t="shared" si="1058"/>
        <v>0</v>
      </c>
      <c r="CF542" t="b">
        <f t="shared" si="1059"/>
        <v>0</v>
      </c>
      <c r="CG542" t="b">
        <f t="shared" si="1060"/>
        <v>0</v>
      </c>
      <c r="CH542" t="b">
        <f t="shared" si="1061"/>
        <v>0</v>
      </c>
      <c r="CI542" t="b">
        <f t="shared" si="1062"/>
        <v>0</v>
      </c>
      <c r="CJ542" t="b">
        <f t="shared" si="1063"/>
        <v>0</v>
      </c>
      <c r="CK542" t="b">
        <f t="shared" si="1064"/>
        <v>0</v>
      </c>
      <c r="CL542" t="b">
        <f t="shared" si="1065"/>
        <v>0</v>
      </c>
      <c r="CM542">
        <f t="shared" si="1066"/>
        <v>1</v>
      </c>
      <c r="CN542" t="b">
        <f t="shared" si="1067"/>
        <v>0</v>
      </c>
      <c r="CO542" t="b">
        <f t="shared" si="1068"/>
        <v>0</v>
      </c>
      <c r="CP542" t="b">
        <f t="shared" si="1069"/>
        <v>0</v>
      </c>
      <c r="CQ542" t="b">
        <f t="shared" si="1070"/>
        <v>0</v>
      </c>
      <c r="CR542" t="b">
        <f t="shared" si="1071"/>
        <v>0</v>
      </c>
      <c r="CS542" t="b">
        <f t="shared" si="1072"/>
        <v>0</v>
      </c>
      <c r="CT542" t="b">
        <f t="shared" si="1073"/>
        <v>0</v>
      </c>
      <c r="CU542" t="b">
        <f t="shared" si="1074"/>
        <v>0</v>
      </c>
      <c r="CV542" t="b">
        <f t="shared" si="1075"/>
        <v>0</v>
      </c>
      <c r="CW542" t="b">
        <f t="shared" si="1076"/>
        <v>0</v>
      </c>
      <c r="CX542" t="b">
        <f t="shared" si="1077"/>
        <v>0</v>
      </c>
      <c r="CY542" t="b">
        <f t="shared" si="1078"/>
        <v>0</v>
      </c>
      <c r="CZ542" t="b">
        <f t="shared" si="1079"/>
        <v>0</v>
      </c>
      <c r="DA542" t="b">
        <f t="shared" si="1080"/>
        <v>0</v>
      </c>
      <c r="DB542" t="b">
        <f t="shared" si="1081"/>
        <v>0</v>
      </c>
      <c r="DC542" t="b">
        <f t="shared" si="1082"/>
        <v>0</v>
      </c>
      <c r="DD542" t="b">
        <f t="shared" si="1083"/>
        <v>0</v>
      </c>
      <c r="DE542" t="b">
        <f t="shared" si="1084"/>
        <v>0</v>
      </c>
      <c r="DF542" t="b">
        <f t="shared" si="1085"/>
        <v>0</v>
      </c>
      <c r="DG542" t="b">
        <f t="shared" si="1086"/>
        <v>0</v>
      </c>
      <c r="DH542" t="b">
        <f t="shared" si="1087"/>
        <v>0</v>
      </c>
      <c r="DI542" t="b">
        <f t="shared" si="1088"/>
        <v>0</v>
      </c>
      <c r="DJ542" t="b">
        <f t="shared" si="1089"/>
        <v>0</v>
      </c>
      <c r="DK542" t="b">
        <f t="shared" si="1090"/>
        <v>0</v>
      </c>
      <c r="DL542" t="b">
        <f t="shared" si="1091"/>
        <v>0</v>
      </c>
      <c r="DM542" t="b">
        <f t="shared" si="1092"/>
        <v>0</v>
      </c>
      <c r="DN542" t="b">
        <f t="shared" si="1093"/>
        <v>0</v>
      </c>
      <c r="DO542" t="b">
        <f t="shared" si="1094"/>
        <v>0</v>
      </c>
      <c r="DP542" t="b">
        <f t="shared" si="1095"/>
        <v>0</v>
      </c>
      <c r="DQ542" t="b">
        <f t="shared" si="1096"/>
        <v>0</v>
      </c>
      <c r="DR542" t="b">
        <f t="shared" si="1097"/>
        <v>0</v>
      </c>
      <c r="DS542" t="b">
        <f t="shared" si="1098"/>
        <v>0</v>
      </c>
      <c r="DT542" t="b">
        <f t="shared" si="1099"/>
        <v>0</v>
      </c>
      <c r="DU542" t="b">
        <f t="shared" si="1100"/>
        <v>0</v>
      </c>
      <c r="DV542" t="b">
        <f t="shared" si="1101"/>
        <v>0</v>
      </c>
      <c r="DW542" t="b">
        <f t="shared" si="1102"/>
        <v>0</v>
      </c>
      <c r="DX542" t="b">
        <f t="shared" si="1103"/>
        <v>0</v>
      </c>
      <c r="DY542">
        <f t="shared" si="1104"/>
        <v>1</v>
      </c>
      <c r="DZ542" t="b">
        <f t="shared" si="1105"/>
        <v>0</v>
      </c>
      <c r="EA542" t="b">
        <f t="shared" si="1106"/>
        <v>0</v>
      </c>
      <c r="EB542" t="b">
        <f t="shared" si="1107"/>
        <v>0</v>
      </c>
      <c r="EC542" t="b">
        <f t="shared" si="1108"/>
        <v>0</v>
      </c>
      <c r="ED542" t="b">
        <f t="shared" si="1109"/>
        <v>0</v>
      </c>
      <c r="EE542" t="b">
        <f t="shared" si="1110"/>
        <v>0</v>
      </c>
      <c r="EF542" t="b">
        <f t="shared" si="1111"/>
        <v>0</v>
      </c>
      <c r="EG542" t="b">
        <f t="shared" si="1112"/>
        <v>0</v>
      </c>
      <c r="EH542" t="b">
        <f t="shared" si="1113"/>
        <v>0</v>
      </c>
      <c r="EI542" t="b">
        <f t="shared" si="1114"/>
        <v>0</v>
      </c>
      <c r="EJ542" t="b">
        <f t="shared" si="1115"/>
        <v>0</v>
      </c>
      <c r="EK542" t="b">
        <f t="shared" si="1116"/>
        <v>0</v>
      </c>
    </row>
    <row r="543" spans="1:141">
      <c r="A543" t="s">
        <v>2737</v>
      </c>
      <c r="B543" t="s">
        <v>2738</v>
      </c>
      <c r="C543" t="s">
        <v>2739</v>
      </c>
      <c r="D543" s="1">
        <v>42121</v>
      </c>
      <c r="E543" s="2">
        <v>42121.473599537036</v>
      </c>
      <c r="F543" s="2">
        <v>42121.473599537036</v>
      </c>
      <c r="G543">
        <v>107776</v>
      </c>
      <c r="H543" t="s">
        <v>2740</v>
      </c>
      <c r="I543" s="10" t="s">
        <v>2741</v>
      </c>
      <c r="J543" t="s">
        <v>284</v>
      </c>
      <c r="K543" s="8" t="b">
        <v>1</v>
      </c>
      <c r="L543" s="10" t="b">
        <v>0</v>
      </c>
      <c r="M543" s="12" t="b">
        <v>0</v>
      </c>
      <c r="N543" t="b">
        <v>0</v>
      </c>
      <c r="O543" t="b">
        <v>0</v>
      </c>
      <c r="P543" t="b">
        <v>0</v>
      </c>
      <c r="Q543">
        <f t="shared" si="993"/>
        <v>2</v>
      </c>
      <c r="R543">
        <f t="shared" si="994"/>
        <v>4</v>
      </c>
      <c r="S543" t="e">
        <f t="shared" ca="1" si="1024"/>
        <v>#NAME?</v>
      </c>
      <c r="T543" t="e">
        <f t="shared" ca="1" si="995"/>
        <v>#NAME?</v>
      </c>
      <c r="U543" s="4">
        <f t="shared" si="996"/>
        <v>0.47359953703562496</v>
      </c>
      <c r="V543" s="4">
        <f t="shared" si="997"/>
        <v>1.5786651234520832E-2</v>
      </c>
      <c r="W543" s="4">
        <f t="shared" si="998"/>
        <v>1</v>
      </c>
      <c r="X543" s="4">
        <f t="shared" si="999"/>
        <v>0</v>
      </c>
      <c r="Y543" s="4">
        <f t="shared" si="1000"/>
        <v>0</v>
      </c>
      <c r="Z543" s="4">
        <f t="shared" si="1001"/>
        <v>0</v>
      </c>
      <c r="AA543" s="4">
        <f t="shared" si="1002"/>
        <v>0</v>
      </c>
      <c r="AB543" s="4">
        <f t="shared" si="1003"/>
        <v>0</v>
      </c>
      <c r="AC543" s="4"/>
      <c r="AD543" s="4" t="b">
        <f t="shared" si="1004"/>
        <v>0</v>
      </c>
      <c r="AE543" s="4" t="b">
        <f t="shared" si="1005"/>
        <v>0</v>
      </c>
      <c r="AF543" s="4" t="b">
        <f t="shared" si="1006"/>
        <v>0</v>
      </c>
      <c r="AG543" t="b">
        <f t="shared" si="1007"/>
        <v>0</v>
      </c>
      <c r="AH543" t="b">
        <f t="shared" si="1008"/>
        <v>0</v>
      </c>
      <c r="AI543" t="b">
        <f t="shared" si="1009"/>
        <v>0</v>
      </c>
      <c r="AJ543" t="b">
        <f t="shared" si="1010"/>
        <v>0</v>
      </c>
      <c r="AK543" t="b">
        <f t="shared" si="1011"/>
        <v>0</v>
      </c>
      <c r="AL543" t="b">
        <f t="shared" si="1012"/>
        <v>0</v>
      </c>
      <c r="AM543" t="b">
        <f t="shared" si="1013"/>
        <v>0</v>
      </c>
      <c r="AN543" t="b">
        <f t="shared" si="1014"/>
        <v>0</v>
      </c>
      <c r="AO543" t="b">
        <f t="shared" si="1015"/>
        <v>0</v>
      </c>
      <c r="AP543" t="b">
        <f t="shared" si="1016"/>
        <v>0</v>
      </c>
      <c r="AQ543" t="b">
        <f t="shared" si="1017"/>
        <v>0</v>
      </c>
      <c r="AR543" t="b">
        <f t="shared" si="1018"/>
        <v>0</v>
      </c>
      <c r="AS543" t="b">
        <f t="shared" si="1019"/>
        <v>0</v>
      </c>
      <c r="AT543" t="b">
        <f t="shared" si="1020"/>
        <v>0</v>
      </c>
      <c r="AU543" t="b">
        <f t="shared" si="1021"/>
        <v>0</v>
      </c>
      <c r="AV543" t="b">
        <f t="shared" si="1022"/>
        <v>0</v>
      </c>
      <c r="AW543" t="b">
        <f t="shared" si="1023"/>
        <v>0</v>
      </c>
      <c r="AX543" t="b">
        <f t="shared" si="1025"/>
        <v>0</v>
      </c>
      <c r="AY543" t="b">
        <f t="shared" si="1026"/>
        <v>0</v>
      </c>
      <c r="AZ543" t="b">
        <f t="shared" si="1027"/>
        <v>0</v>
      </c>
      <c r="BA543" t="b">
        <f t="shared" si="1028"/>
        <v>0</v>
      </c>
      <c r="BB543" t="b">
        <f t="shared" si="1029"/>
        <v>0</v>
      </c>
      <c r="BC543" t="b">
        <f t="shared" si="1030"/>
        <v>0</v>
      </c>
      <c r="BD543" t="b">
        <f t="shared" si="1031"/>
        <v>0</v>
      </c>
      <c r="BE543" t="b">
        <f t="shared" si="1032"/>
        <v>0</v>
      </c>
      <c r="BF543" t="b">
        <f t="shared" si="1033"/>
        <v>0</v>
      </c>
      <c r="BG543" t="b">
        <f t="shared" si="1034"/>
        <v>0</v>
      </c>
      <c r="BH543" t="b">
        <f t="shared" si="1035"/>
        <v>0</v>
      </c>
      <c r="BI543">
        <f t="shared" si="1036"/>
        <v>1</v>
      </c>
      <c r="BJ543" t="b">
        <f t="shared" si="1037"/>
        <v>0</v>
      </c>
      <c r="BK543" t="b">
        <f t="shared" si="1038"/>
        <v>0</v>
      </c>
      <c r="BL543" t="b">
        <f t="shared" si="1039"/>
        <v>0</v>
      </c>
      <c r="BM543" t="b">
        <f t="shared" si="1040"/>
        <v>0</v>
      </c>
      <c r="BN543" t="b">
        <f t="shared" si="1041"/>
        <v>0</v>
      </c>
      <c r="BO543" t="b">
        <f t="shared" si="1042"/>
        <v>0</v>
      </c>
      <c r="BP543" t="b">
        <f t="shared" si="1043"/>
        <v>0</v>
      </c>
      <c r="BQ543" t="b">
        <f t="shared" si="1044"/>
        <v>0</v>
      </c>
      <c r="BR543" t="b">
        <f t="shared" si="1045"/>
        <v>0</v>
      </c>
      <c r="BS543" t="b">
        <f t="shared" si="1046"/>
        <v>0</v>
      </c>
      <c r="BT543" t="b">
        <f t="shared" si="1047"/>
        <v>0</v>
      </c>
      <c r="BU543" t="b">
        <f t="shared" si="1048"/>
        <v>0</v>
      </c>
      <c r="BV543" t="b">
        <f t="shared" si="1049"/>
        <v>0</v>
      </c>
      <c r="BW543" t="b">
        <f t="shared" si="1050"/>
        <v>0</v>
      </c>
      <c r="BX543" t="b">
        <f t="shared" si="1051"/>
        <v>0</v>
      </c>
      <c r="BY543" t="b">
        <f t="shared" si="1052"/>
        <v>0</v>
      </c>
      <c r="BZ543" t="b">
        <f t="shared" si="1053"/>
        <v>0</v>
      </c>
      <c r="CA543" t="b">
        <f t="shared" si="1054"/>
        <v>0</v>
      </c>
      <c r="CB543" t="b">
        <f t="shared" si="1055"/>
        <v>0</v>
      </c>
      <c r="CC543" t="b">
        <f t="shared" si="1056"/>
        <v>0</v>
      </c>
      <c r="CD543" t="b">
        <f t="shared" si="1057"/>
        <v>0</v>
      </c>
      <c r="CE543" t="b">
        <f t="shared" si="1058"/>
        <v>0</v>
      </c>
      <c r="CF543" t="b">
        <f t="shared" si="1059"/>
        <v>0</v>
      </c>
      <c r="CG543" t="b">
        <f t="shared" si="1060"/>
        <v>0</v>
      </c>
      <c r="CH543" t="b">
        <f t="shared" si="1061"/>
        <v>0</v>
      </c>
      <c r="CI543" t="b">
        <f t="shared" si="1062"/>
        <v>0</v>
      </c>
      <c r="CJ543" t="b">
        <f t="shared" si="1063"/>
        <v>0</v>
      </c>
      <c r="CK543" t="b">
        <f t="shared" si="1064"/>
        <v>0</v>
      </c>
      <c r="CL543" t="b">
        <f t="shared" si="1065"/>
        <v>0</v>
      </c>
      <c r="CM543" t="b">
        <f t="shared" si="1066"/>
        <v>0</v>
      </c>
      <c r="CN543" t="b">
        <f t="shared" si="1067"/>
        <v>0</v>
      </c>
      <c r="CO543" t="b">
        <f t="shared" si="1068"/>
        <v>0</v>
      </c>
      <c r="CP543" t="b">
        <f t="shared" si="1069"/>
        <v>0</v>
      </c>
      <c r="CQ543" t="b">
        <f t="shared" si="1070"/>
        <v>0</v>
      </c>
      <c r="CR543" t="b">
        <f t="shared" si="1071"/>
        <v>0</v>
      </c>
      <c r="CS543" t="b">
        <f t="shared" si="1072"/>
        <v>0</v>
      </c>
      <c r="CT543" t="b">
        <f t="shared" si="1073"/>
        <v>0</v>
      </c>
      <c r="CU543" t="b">
        <f t="shared" si="1074"/>
        <v>0</v>
      </c>
      <c r="CV543" t="b">
        <f t="shared" si="1075"/>
        <v>0</v>
      </c>
      <c r="CW543" t="b">
        <f t="shared" si="1076"/>
        <v>0</v>
      </c>
      <c r="CX543" t="b">
        <f t="shared" si="1077"/>
        <v>0</v>
      </c>
      <c r="CY543" t="b">
        <f t="shared" si="1078"/>
        <v>0</v>
      </c>
      <c r="CZ543" t="b">
        <f t="shared" si="1079"/>
        <v>0</v>
      </c>
      <c r="DA543" t="b">
        <f t="shared" si="1080"/>
        <v>0</v>
      </c>
      <c r="DB543" t="b">
        <f t="shared" si="1081"/>
        <v>0</v>
      </c>
      <c r="DC543" t="b">
        <f t="shared" si="1082"/>
        <v>0</v>
      </c>
      <c r="DD543" t="b">
        <f t="shared" si="1083"/>
        <v>0</v>
      </c>
      <c r="DE543" t="b">
        <f t="shared" si="1084"/>
        <v>0</v>
      </c>
      <c r="DF543" t="b">
        <f t="shared" si="1085"/>
        <v>0</v>
      </c>
      <c r="DG543" t="b">
        <f t="shared" si="1086"/>
        <v>0</v>
      </c>
      <c r="DH543" t="b">
        <f t="shared" si="1087"/>
        <v>0</v>
      </c>
      <c r="DI543" t="b">
        <f t="shared" si="1088"/>
        <v>0</v>
      </c>
      <c r="DJ543" t="b">
        <f t="shared" si="1089"/>
        <v>0</v>
      </c>
      <c r="DK543" t="b">
        <f t="shared" si="1090"/>
        <v>0</v>
      </c>
      <c r="DL543" t="b">
        <f t="shared" si="1091"/>
        <v>0</v>
      </c>
      <c r="DM543" t="b">
        <f t="shared" si="1092"/>
        <v>0</v>
      </c>
      <c r="DN543" t="b">
        <f t="shared" si="1093"/>
        <v>0</v>
      </c>
      <c r="DO543" t="b">
        <f t="shared" si="1094"/>
        <v>0</v>
      </c>
      <c r="DP543" t="b">
        <f t="shared" si="1095"/>
        <v>0</v>
      </c>
      <c r="DQ543" t="b">
        <f t="shared" si="1096"/>
        <v>0</v>
      </c>
      <c r="DR543" t="b">
        <f t="shared" si="1097"/>
        <v>0</v>
      </c>
      <c r="DS543" t="b">
        <f t="shared" si="1098"/>
        <v>0</v>
      </c>
      <c r="DT543" t="b">
        <f t="shared" si="1099"/>
        <v>0</v>
      </c>
      <c r="DU543" t="b">
        <f t="shared" si="1100"/>
        <v>0</v>
      </c>
      <c r="DV543" t="b">
        <f t="shared" si="1101"/>
        <v>0</v>
      </c>
      <c r="DW543" t="b">
        <f t="shared" si="1102"/>
        <v>0</v>
      </c>
      <c r="DX543" t="b">
        <f t="shared" si="1103"/>
        <v>0</v>
      </c>
      <c r="DY543" t="b">
        <f t="shared" si="1104"/>
        <v>0</v>
      </c>
      <c r="DZ543" t="b">
        <f t="shared" si="1105"/>
        <v>0</v>
      </c>
      <c r="EA543" t="b">
        <f t="shared" si="1106"/>
        <v>0</v>
      </c>
      <c r="EB543" t="b">
        <f t="shared" si="1107"/>
        <v>0</v>
      </c>
      <c r="EC543" t="b">
        <f t="shared" si="1108"/>
        <v>0</v>
      </c>
      <c r="ED543" t="b">
        <f t="shared" si="1109"/>
        <v>0</v>
      </c>
      <c r="EE543" t="b">
        <f t="shared" si="1110"/>
        <v>0</v>
      </c>
      <c r="EF543" t="b">
        <f t="shared" si="1111"/>
        <v>0</v>
      </c>
      <c r="EG543" t="b">
        <f t="shared" si="1112"/>
        <v>0</v>
      </c>
      <c r="EH543" t="b">
        <f t="shared" si="1113"/>
        <v>0</v>
      </c>
      <c r="EI543" t="b">
        <f t="shared" si="1114"/>
        <v>0</v>
      </c>
      <c r="EJ543" t="b">
        <f t="shared" si="1115"/>
        <v>0</v>
      </c>
      <c r="EK543" t="b">
        <f t="shared" si="1116"/>
        <v>0</v>
      </c>
    </row>
    <row r="544" spans="1:141">
      <c r="A544" t="s">
        <v>2742</v>
      </c>
      <c r="B544" t="s">
        <v>2742</v>
      </c>
      <c r="C544" t="s">
        <v>2743</v>
      </c>
      <c r="D544" s="1">
        <v>42518</v>
      </c>
      <c r="E544" s="2">
        <v>42604.473229166666</v>
      </c>
      <c r="F544" s="2">
        <v>42604.473229166666</v>
      </c>
      <c r="G544">
        <v>97151</v>
      </c>
      <c r="H544" t="s">
        <v>2744</v>
      </c>
      <c r="I544" s="10" t="s">
        <v>2745</v>
      </c>
      <c r="J544" t="s">
        <v>2746</v>
      </c>
      <c r="K544" s="8" t="b">
        <v>1</v>
      </c>
      <c r="L544" s="10" t="b">
        <v>0</v>
      </c>
      <c r="M544" s="12" t="b">
        <v>0</v>
      </c>
      <c r="N544" t="b">
        <v>0</v>
      </c>
      <c r="O544" t="b">
        <v>0</v>
      </c>
      <c r="P544" t="b">
        <v>0</v>
      </c>
      <c r="Q544">
        <f t="shared" si="993"/>
        <v>7</v>
      </c>
      <c r="R544">
        <f t="shared" si="994"/>
        <v>5</v>
      </c>
      <c r="S544" t="e">
        <f t="shared" ca="1" si="1024"/>
        <v>#NAME?</v>
      </c>
      <c r="T544" t="e">
        <f t="shared" ca="1" si="995"/>
        <v>#NAME?</v>
      </c>
      <c r="U544" s="4">
        <f t="shared" si="996"/>
        <v>86.473229166665988</v>
      </c>
      <c r="V544" s="4">
        <f t="shared" si="997"/>
        <v>2.8824409722221995</v>
      </c>
      <c r="W544" s="4">
        <f t="shared" si="998"/>
        <v>1</v>
      </c>
      <c r="X544" s="4">
        <f t="shared" si="999"/>
        <v>0</v>
      </c>
      <c r="Y544" s="4">
        <f t="shared" si="1000"/>
        <v>0</v>
      </c>
      <c r="Z544" s="4">
        <f t="shared" si="1001"/>
        <v>0</v>
      </c>
      <c r="AA544" s="4">
        <f t="shared" si="1002"/>
        <v>0</v>
      </c>
      <c r="AB544" s="4">
        <f t="shared" si="1003"/>
        <v>0</v>
      </c>
      <c r="AC544" s="4"/>
      <c r="AD544" s="4" t="b">
        <f t="shared" si="1004"/>
        <v>0</v>
      </c>
      <c r="AE544" s="4" t="b">
        <f t="shared" si="1005"/>
        <v>0</v>
      </c>
      <c r="AF544" s="4" t="b">
        <f t="shared" si="1006"/>
        <v>0</v>
      </c>
      <c r="AG544" t="b">
        <f t="shared" si="1007"/>
        <v>0</v>
      </c>
      <c r="AH544" t="b">
        <f t="shared" si="1008"/>
        <v>0</v>
      </c>
      <c r="AI544" t="b">
        <f t="shared" si="1009"/>
        <v>0</v>
      </c>
      <c r="AJ544">
        <f t="shared" si="1010"/>
        <v>1</v>
      </c>
      <c r="AK544" t="b">
        <f t="shared" si="1011"/>
        <v>0</v>
      </c>
      <c r="AL544" t="b">
        <f t="shared" si="1012"/>
        <v>0</v>
      </c>
      <c r="AM544" t="b">
        <f t="shared" si="1013"/>
        <v>0</v>
      </c>
      <c r="AN544" t="b">
        <f t="shared" si="1014"/>
        <v>0</v>
      </c>
      <c r="AO544" t="b">
        <f t="shared" si="1015"/>
        <v>0</v>
      </c>
      <c r="AP544" t="b">
        <f t="shared" si="1016"/>
        <v>0</v>
      </c>
      <c r="AQ544" t="b">
        <f t="shared" si="1017"/>
        <v>0</v>
      </c>
      <c r="AR544" t="b">
        <f t="shared" si="1018"/>
        <v>0</v>
      </c>
      <c r="AS544" t="b">
        <f t="shared" si="1019"/>
        <v>0</v>
      </c>
      <c r="AT544" t="b">
        <f t="shared" si="1020"/>
        <v>0</v>
      </c>
      <c r="AU544" t="b">
        <f t="shared" si="1021"/>
        <v>0</v>
      </c>
      <c r="AV544" t="b">
        <f t="shared" si="1022"/>
        <v>0</v>
      </c>
      <c r="AW544" t="b">
        <f t="shared" si="1023"/>
        <v>0</v>
      </c>
      <c r="AX544" t="b">
        <f t="shared" si="1025"/>
        <v>0</v>
      </c>
      <c r="AY544" t="b">
        <f t="shared" si="1026"/>
        <v>0</v>
      </c>
      <c r="AZ544" t="b">
        <f t="shared" si="1027"/>
        <v>0</v>
      </c>
      <c r="BA544" t="b">
        <f t="shared" si="1028"/>
        <v>0</v>
      </c>
      <c r="BB544" t="b">
        <f t="shared" si="1029"/>
        <v>0</v>
      </c>
      <c r="BC544" t="b">
        <f t="shared" si="1030"/>
        <v>0</v>
      </c>
      <c r="BD544" t="b">
        <f t="shared" si="1031"/>
        <v>0</v>
      </c>
      <c r="BE544" t="b">
        <f t="shared" si="1032"/>
        <v>0</v>
      </c>
      <c r="BF544" t="b">
        <f t="shared" si="1033"/>
        <v>0</v>
      </c>
      <c r="BG544" t="b">
        <f t="shared" si="1034"/>
        <v>0</v>
      </c>
      <c r="BH544" t="b">
        <f t="shared" si="1035"/>
        <v>0</v>
      </c>
      <c r="BI544">
        <f t="shared" si="1036"/>
        <v>1</v>
      </c>
      <c r="BJ544" t="b">
        <f t="shared" si="1037"/>
        <v>0</v>
      </c>
      <c r="BK544" t="b">
        <f t="shared" si="1038"/>
        <v>0</v>
      </c>
      <c r="BL544" t="b">
        <f t="shared" si="1039"/>
        <v>0</v>
      </c>
      <c r="BM544" t="b">
        <f t="shared" si="1040"/>
        <v>0</v>
      </c>
      <c r="BN544" t="b">
        <f t="shared" si="1041"/>
        <v>0</v>
      </c>
      <c r="BO544" t="b">
        <f t="shared" si="1042"/>
        <v>0</v>
      </c>
      <c r="BP544" t="b">
        <f t="shared" si="1043"/>
        <v>0</v>
      </c>
      <c r="BQ544" t="b">
        <f t="shared" si="1044"/>
        <v>0</v>
      </c>
      <c r="BR544" t="b">
        <f t="shared" si="1045"/>
        <v>0</v>
      </c>
      <c r="BS544" t="b">
        <f t="shared" si="1046"/>
        <v>0</v>
      </c>
      <c r="BT544" t="b">
        <f t="shared" si="1047"/>
        <v>0</v>
      </c>
      <c r="BU544" t="b">
        <f t="shared" si="1048"/>
        <v>0</v>
      </c>
      <c r="BV544" t="b">
        <f t="shared" si="1049"/>
        <v>0</v>
      </c>
      <c r="BW544" t="b">
        <f t="shared" si="1050"/>
        <v>0</v>
      </c>
      <c r="BX544" t="b">
        <f t="shared" si="1051"/>
        <v>0</v>
      </c>
      <c r="BY544" t="b">
        <f t="shared" si="1052"/>
        <v>0</v>
      </c>
      <c r="BZ544" t="b">
        <f t="shared" si="1053"/>
        <v>0</v>
      </c>
      <c r="CA544" t="b">
        <f t="shared" si="1054"/>
        <v>0</v>
      </c>
      <c r="CB544" t="b">
        <f t="shared" si="1055"/>
        <v>0</v>
      </c>
      <c r="CC544" t="b">
        <f t="shared" si="1056"/>
        <v>0</v>
      </c>
      <c r="CD544" t="b">
        <f t="shared" si="1057"/>
        <v>0</v>
      </c>
      <c r="CE544">
        <f t="shared" si="1058"/>
        <v>1</v>
      </c>
      <c r="CF544" t="b">
        <f t="shared" si="1059"/>
        <v>0</v>
      </c>
      <c r="CG544" t="b">
        <f t="shared" si="1060"/>
        <v>0</v>
      </c>
      <c r="CH544" t="b">
        <f t="shared" si="1061"/>
        <v>0</v>
      </c>
      <c r="CI544" t="b">
        <f t="shared" si="1062"/>
        <v>0</v>
      </c>
      <c r="CJ544" t="b">
        <f t="shared" si="1063"/>
        <v>0</v>
      </c>
      <c r="CK544" t="b">
        <f t="shared" si="1064"/>
        <v>0</v>
      </c>
      <c r="CL544" t="b">
        <f t="shared" si="1065"/>
        <v>0</v>
      </c>
      <c r="CM544" t="b">
        <f t="shared" si="1066"/>
        <v>0</v>
      </c>
      <c r="CN544" t="b">
        <f t="shared" si="1067"/>
        <v>0</v>
      </c>
      <c r="CO544" t="b">
        <f t="shared" si="1068"/>
        <v>0</v>
      </c>
      <c r="CP544" t="b">
        <f t="shared" si="1069"/>
        <v>0</v>
      </c>
      <c r="CQ544" t="b">
        <f t="shared" si="1070"/>
        <v>0</v>
      </c>
      <c r="CR544" t="b">
        <f t="shared" si="1071"/>
        <v>0</v>
      </c>
      <c r="CS544" t="b">
        <f t="shared" si="1072"/>
        <v>0</v>
      </c>
      <c r="CT544" t="b">
        <f t="shared" si="1073"/>
        <v>0</v>
      </c>
      <c r="CU544" t="b">
        <f t="shared" si="1074"/>
        <v>0</v>
      </c>
      <c r="CV544">
        <f t="shared" si="1075"/>
        <v>1</v>
      </c>
      <c r="CW544">
        <f t="shared" si="1076"/>
        <v>1</v>
      </c>
      <c r="CX544" t="b">
        <f t="shared" si="1077"/>
        <v>0</v>
      </c>
      <c r="CY544" t="b">
        <f t="shared" si="1078"/>
        <v>0</v>
      </c>
      <c r="CZ544" t="b">
        <f t="shared" si="1079"/>
        <v>0</v>
      </c>
      <c r="DA544" t="b">
        <f t="shared" si="1080"/>
        <v>0</v>
      </c>
      <c r="DB544" t="b">
        <f t="shared" si="1081"/>
        <v>0</v>
      </c>
      <c r="DC544" t="b">
        <f t="shared" si="1082"/>
        <v>0</v>
      </c>
      <c r="DD544" t="b">
        <f t="shared" si="1083"/>
        <v>0</v>
      </c>
      <c r="DE544" t="b">
        <f t="shared" si="1084"/>
        <v>0</v>
      </c>
      <c r="DF544" t="b">
        <f t="shared" si="1085"/>
        <v>0</v>
      </c>
      <c r="DG544">
        <f t="shared" si="1086"/>
        <v>1</v>
      </c>
      <c r="DH544" t="b">
        <f t="shared" si="1087"/>
        <v>0</v>
      </c>
      <c r="DI544" t="b">
        <f t="shared" si="1088"/>
        <v>0</v>
      </c>
      <c r="DJ544" t="b">
        <f t="shared" si="1089"/>
        <v>0</v>
      </c>
      <c r="DK544" t="b">
        <f t="shared" si="1090"/>
        <v>0</v>
      </c>
      <c r="DL544" t="b">
        <f t="shared" si="1091"/>
        <v>0</v>
      </c>
      <c r="DM544" t="b">
        <f t="shared" si="1092"/>
        <v>0</v>
      </c>
      <c r="DN544" t="b">
        <f t="shared" si="1093"/>
        <v>0</v>
      </c>
      <c r="DO544" t="b">
        <f t="shared" si="1094"/>
        <v>0</v>
      </c>
      <c r="DP544" t="b">
        <f t="shared" si="1095"/>
        <v>0</v>
      </c>
      <c r="DQ544" t="b">
        <f t="shared" si="1096"/>
        <v>0</v>
      </c>
      <c r="DR544" t="b">
        <f t="shared" si="1097"/>
        <v>0</v>
      </c>
      <c r="DS544" t="b">
        <f t="shared" si="1098"/>
        <v>0</v>
      </c>
      <c r="DT544" t="b">
        <f t="shared" si="1099"/>
        <v>0</v>
      </c>
      <c r="DU544" t="b">
        <f t="shared" si="1100"/>
        <v>0</v>
      </c>
      <c r="DV544" t="b">
        <f t="shared" si="1101"/>
        <v>0</v>
      </c>
      <c r="DW544" t="b">
        <f t="shared" si="1102"/>
        <v>0</v>
      </c>
      <c r="DX544" t="b">
        <f t="shared" si="1103"/>
        <v>0</v>
      </c>
      <c r="DY544" t="b">
        <f t="shared" si="1104"/>
        <v>0</v>
      </c>
      <c r="DZ544" t="b">
        <f t="shared" si="1105"/>
        <v>0</v>
      </c>
      <c r="EA544" t="b">
        <f t="shared" si="1106"/>
        <v>0</v>
      </c>
      <c r="EB544" t="b">
        <f t="shared" si="1107"/>
        <v>0</v>
      </c>
      <c r="EC544" t="b">
        <f t="shared" si="1108"/>
        <v>0</v>
      </c>
      <c r="ED544" t="b">
        <f t="shared" si="1109"/>
        <v>0</v>
      </c>
      <c r="EE544" t="b">
        <f t="shared" si="1110"/>
        <v>0</v>
      </c>
      <c r="EF544">
        <f t="shared" si="1111"/>
        <v>1</v>
      </c>
      <c r="EG544" t="b">
        <f t="shared" si="1112"/>
        <v>0</v>
      </c>
      <c r="EH544" t="b">
        <f t="shared" si="1113"/>
        <v>0</v>
      </c>
      <c r="EI544">
        <f t="shared" si="1114"/>
        <v>1</v>
      </c>
      <c r="EJ544" t="b">
        <f t="shared" si="1115"/>
        <v>0</v>
      </c>
      <c r="EK544" t="b">
        <f t="shared" si="1116"/>
        <v>0</v>
      </c>
    </row>
    <row r="545" spans="1:141">
      <c r="A545" t="s">
        <v>2747</v>
      </c>
      <c r="B545" t="s">
        <v>2747</v>
      </c>
      <c r="C545" t="s">
        <v>2748</v>
      </c>
      <c r="D545" s="1">
        <v>41682</v>
      </c>
      <c r="E545" s="2">
        <v>41683.888472222221</v>
      </c>
      <c r="F545" s="2">
        <v>41683.888472222221</v>
      </c>
      <c r="G545">
        <v>2239</v>
      </c>
      <c r="H545" t="s">
        <v>2749</v>
      </c>
      <c r="I545" s="10" t="s">
        <v>2750</v>
      </c>
      <c r="J545" t="s">
        <v>2751</v>
      </c>
      <c r="K545" s="8" t="b">
        <v>1</v>
      </c>
      <c r="L545" s="10" t="b">
        <v>0</v>
      </c>
      <c r="M545" s="12" t="b">
        <v>0</v>
      </c>
      <c r="N545" t="b">
        <v>0</v>
      </c>
      <c r="O545" t="b">
        <v>0</v>
      </c>
      <c r="P545" t="b">
        <v>0</v>
      </c>
      <c r="Q545">
        <f t="shared" si="993"/>
        <v>4</v>
      </c>
      <c r="R545">
        <f t="shared" si="994"/>
        <v>2</v>
      </c>
      <c r="S545" t="e">
        <f t="shared" ca="1" si="1024"/>
        <v>#NAME?</v>
      </c>
      <c r="T545" t="e">
        <f t="shared" ca="1" si="995"/>
        <v>#NAME?</v>
      </c>
      <c r="U545" s="4">
        <f t="shared" si="996"/>
        <v>1.8884722222210257</v>
      </c>
      <c r="V545" s="4">
        <f t="shared" si="997"/>
        <v>6.2949074074034189E-2</v>
      </c>
      <c r="W545" s="4">
        <f t="shared" si="998"/>
        <v>1</v>
      </c>
      <c r="X545" s="4">
        <f t="shared" si="999"/>
        <v>0</v>
      </c>
      <c r="Y545" s="4">
        <f t="shared" si="1000"/>
        <v>0</v>
      </c>
      <c r="Z545" s="4">
        <f t="shared" si="1001"/>
        <v>0</v>
      </c>
      <c r="AA545" s="4">
        <f t="shared" si="1002"/>
        <v>0</v>
      </c>
      <c r="AB545" s="4">
        <f t="shared" si="1003"/>
        <v>0</v>
      </c>
      <c r="AC545" s="4"/>
      <c r="AD545" s="4" t="b">
        <f t="shared" si="1004"/>
        <v>0</v>
      </c>
      <c r="AE545" s="4" t="b">
        <f t="shared" si="1005"/>
        <v>0</v>
      </c>
      <c r="AF545" s="4" t="b">
        <f t="shared" si="1006"/>
        <v>0</v>
      </c>
      <c r="AG545" t="b">
        <f t="shared" si="1007"/>
        <v>0</v>
      </c>
      <c r="AH545" t="b">
        <f t="shared" si="1008"/>
        <v>0</v>
      </c>
      <c r="AI545" t="b">
        <f t="shared" si="1009"/>
        <v>0</v>
      </c>
      <c r="AJ545" t="b">
        <f t="shared" si="1010"/>
        <v>0</v>
      </c>
      <c r="AK545" t="b">
        <f t="shared" si="1011"/>
        <v>0</v>
      </c>
      <c r="AL545" t="b">
        <f t="shared" si="1012"/>
        <v>0</v>
      </c>
      <c r="AM545" t="b">
        <f t="shared" si="1013"/>
        <v>0</v>
      </c>
      <c r="AN545" t="b">
        <f t="shared" si="1014"/>
        <v>0</v>
      </c>
      <c r="AO545" t="b">
        <f t="shared" si="1015"/>
        <v>0</v>
      </c>
      <c r="AP545" t="b">
        <f t="shared" si="1016"/>
        <v>0</v>
      </c>
      <c r="AQ545" t="b">
        <f t="shared" si="1017"/>
        <v>0</v>
      </c>
      <c r="AR545" t="b">
        <f t="shared" si="1018"/>
        <v>0</v>
      </c>
      <c r="AS545" t="b">
        <f t="shared" si="1019"/>
        <v>0</v>
      </c>
      <c r="AT545" t="b">
        <f t="shared" si="1020"/>
        <v>0</v>
      </c>
      <c r="AU545" t="b">
        <f t="shared" si="1021"/>
        <v>0</v>
      </c>
      <c r="AV545" t="b">
        <f t="shared" si="1022"/>
        <v>0</v>
      </c>
      <c r="AW545" t="b">
        <f t="shared" si="1023"/>
        <v>0</v>
      </c>
      <c r="AX545" t="b">
        <f t="shared" si="1025"/>
        <v>0</v>
      </c>
      <c r="AY545" t="b">
        <f t="shared" si="1026"/>
        <v>0</v>
      </c>
      <c r="AZ545" t="b">
        <f t="shared" si="1027"/>
        <v>0</v>
      </c>
      <c r="BA545" t="b">
        <f t="shared" si="1028"/>
        <v>0</v>
      </c>
      <c r="BB545" t="b">
        <f t="shared" si="1029"/>
        <v>0</v>
      </c>
      <c r="BC545" t="b">
        <f t="shared" si="1030"/>
        <v>0</v>
      </c>
      <c r="BD545" t="b">
        <f t="shared" si="1031"/>
        <v>0</v>
      </c>
      <c r="BE545" t="b">
        <f t="shared" si="1032"/>
        <v>0</v>
      </c>
      <c r="BF545" t="b">
        <f t="shared" si="1033"/>
        <v>0</v>
      </c>
      <c r="BG545" t="b">
        <f t="shared" si="1034"/>
        <v>0</v>
      </c>
      <c r="BH545" t="b">
        <f t="shared" si="1035"/>
        <v>0</v>
      </c>
      <c r="BI545">
        <f t="shared" si="1036"/>
        <v>1</v>
      </c>
      <c r="BJ545" t="b">
        <f t="shared" si="1037"/>
        <v>0</v>
      </c>
      <c r="BK545" t="b">
        <f t="shared" si="1038"/>
        <v>0</v>
      </c>
      <c r="BL545" t="b">
        <f t="shared" si="1039"/>
        <v>0</v>
      </c>
      <c r="BM545" t="b">
        <f t="shared" si="1040"/>
        <v>0</v>
      </c>
      <c r="BN545" t="b">
        <f t="shared" si="1041"/>
        <v>0</v>
      </c>
      <c r="BO545" t="b">
        <f t="shared" si="1042"/>
        <v>0</v>
      </c>
      <c r="BP545" t="b">
        <f t="shared" si="1043"/>
        <v>0</v>
      </c>
      <c r="BQ545" t="b">
        <f t="shared" si="1044"/>
        <v>0</v>
      </c>
      <c r="BR545" t="b">
        <f t="shared" si="1045"/>
        <v>0</v>
      </c>
      <c r="BS545" t="b">
        <f t="shared" si="1046"/>
        <v>0</v>
      </c>
      <c r="BT545" t="b">
        <f t="shared" si="1047"/>
        <v>0</v>
      </c>
      <c r="BU545" t="b">
        <f t="shared" si="1048"/>
        <v>0</v>
      </c>
      <c r="BV545" t="b">
        <f t="shared" si="1049"/>
        <v>0</v>
      </c>
      <c r="BW545" t="b">
        <f t="shared" si="1050"/>
        <v>0</v>
      </c>
      <c r="BX545" t="b">
        <f t="shared" si="1051"/>
        <v>0</v>
      </c>
      <c r="BY545" t="b">
        <f t="shared" si="1052"/>
        <v>0</v>
      </c>
      <c r="BZ545" t="b">
        <f t="shared" si="1053"/>
        <v>0</v>
      </c>
      <c r="CA545" t="b">
        <f t="shared" si="1054"/>
        <v>0</v>
      </c>
      <c r="CB545" t="b">
        <f t="shared" si="1055"/>
        <v>0</v>
      </c>
      <c r="CC545" t="b">
        <f t="shared" si="1056"/>
        <v>0</v>
      </c>
      <c r="CD545" t="b">
        <f t="shared" si="1057"/>
        <v>0</v>
      </c>
      <c r="CE545" t="b">
        <f t="shared" si="1058"/>
        <v>0</v>
      </c>
      <c r="CF545" t="b">
        <f t="shared" si="1059"/>
        <v>0</v>
      </c>
      <c r="CG545" t="b">
        <f t="shared" si="1060"/>
        <v>0</v>
      </c>
      <c r="CH545" t="b">
        <f t="shared" si="1061"/>
        <v>0</v>
      </c>
      <c r="CI545" t="b">
        <f t="shared" si="1062"/>
        <v>0</v>
      </c>
      <c r="CJ545" t="b">
        <f t="shared" si="1063"/>
        <v>0</v>
      </c>
      <c r="CK545" t="b">
        <f t="shared" si="1064"/>
        <v>0</v>
      </c>
      <c r="CL545" t="b">
        <f t="shared" si="1065"/>
        <v>0</v>
      </c>
      <c r="CM545" t="b">
        <f t="shared" si="1066"/>
        <v>0</v>
      </c>
      <c r="CN545" t="b">
        <f t="shared" si="1067"/>
        <v>0</v>
      </c>
      <c r="CO545" t="b">
        <f t="shared" si="1068"/>
        <v>0</v>
      </c>
      <c r="CP545" t="b">
        <f t="shared" si="1069"/>
        <v>0</v>
      </c>
      <c r="CQ545" t="b">
        <f t="shared" si="1070"/>
        <v>0</v>
      </c>
      <c r="CR545" t="b">
        <f t="shared" si="1071"/>
        <v>0</v>
      </c>
      <c r="CS545" t="b">
        <f t="shared" si="1072"/>
        <v>0</v>
      </c>
      <c r="CT545" t="b">
        <f t="shared" si="1073"/>
        <v>0</v>
      </c>
      <c r="CU545" t="b">
        <f t="shared" si="1074"/>
        <v>0</v>
      </c>
      <c r="CV545">
        <f t="shared" si="1075"/>
        <v>1</v>
      </c>
      <c r="CW545" t="b">
        <f t="shared" si="1076"/>
        <v>0</v>
      </c>
      <c r="CX545" t="b">
        <f t="shared" si="1077"/>
        <v>0</v>
      </c>
      <c r="CY545" t="b">
        <f t="shared" si="1078"/>
        <v>0</v>
      </c>
      <c r="CZ545" t="b">
        <f t="shared" si="1079"/>
        <v>0</v>
      </c>
      <c r="DA545" t="b">
        <f t="shared" si="1080"/>
        <v>0</v>
      </c>
      <c r="DB545" t="b">
        <f t="shared" si="1081"/>
        <v>0</v>
      </c>
      <c r="DC545" t="b">
        <f t="shared" si="1082"/>
        <v>0</v>
      </c>
      <c r="DD545" t="b">
        <f t="shared" si="1083"/>
        <v>0</v>
      </c>
      <c r="DE545" t="b">
        <f t="shared" si="1084"/>
        <v>0</v>
      </c>
      <c r="DF545" t="b">
        <f t="shared" si="1085"/>
        <v>0</v>
      </c>
      <c r="DG545" t="b">
        <f t="shared" si="1086"/>
        <v>0</v>
      </c>
      <c r="DH545" t="b">
        <f t="shared" si="1087"/>
        <v>0</v>
      </c>
      <c r="DI545" t="b">
        <f t="shared" si="1088"/>
        <v>0</v>
      </c>
      <c r="DJ545" t="b">
        <f t="shared" si="1089"/>
        <v>0</v>
      </c>
      <c r="DK545" t="b">
        <f t="shared" si="1090"/>
        <v>0</v>
      </c>
      <c r="DL545" t="b">
        <f t="shared" si="1091"/>
        <v>0</v>
      </c>
      <c r="DM545" t="b">
        <f t="shared" si="1092"/>
        <v>0</v>
      </c>
      <c r="DN545" t="b">
        <f t="shared" si="1093"/>
        <v>0</v>
      </c>
      <c r="DO545" t="b">
        <f t="shared" si="1094"/>
        <v>0</v>
      </c>
      <c r="DP545">
        <f t="shared" si="1095"/>
        <v>1</v>
      </c>
      <c r="DQ545" t="b">
        <f t="shared" si="1096"/>
        <v>0</v>
      </c>
      <c r="DR545" t="b">
        <f t="shared" si="1097"/>
        <v>0</v>
      </c>
      <c r="DS545" t="b">
        <f t="shared" si="1098"/>
        <v>0</v>
      </c>
      <c r="DT545" t="b">
        <f t="shared" si="1099"/>
        <v>0</v>
      </c>
      <c r="DU545" t="b">
        <f t="shared" si="1100"/>
        <v>0</v>
      </c>
      <c r="DV545" t="b">
        <f t="shared" si="1101"/>
        <v>0</v>
      </c>
      <c r="DW545" t="b">
        <f t="shared" si="1102"/>
        <v>0</v>
      </c>
      <c r="DX545" t="b">
        <f t="shared" si="1103"/>
        <v>0</v>
      </c>
      <c r="DY545" t="b">
        <f t="shared" si="1104"/>
        <v>0</v>
      </c>
      <c r="DZ545" t="b">
        <f t="shared" si="1105"/>
        <v>0</v>
      </c>
      <c r="EA545" t="b">
        <f t="shared" si="1106"/>
        <v>0</v>
      </c>
      <c r="EB545" t="b">
        <f t="shared" si="1107"/>
        <v>0</v>
      </c>
      <c r="EC545" t="b">
        <f t="shared" si="1108"/>
        <v>0</v>
      </c>
      <c r="ED545" t="b">
        <f t="shared" si="1109"/>
        <v>0</v>
      </c>
      <c r="EE545" t="b">
        <f t="shared" si="1110"/>
        <v>0</v>
      </c>
      <c r="EF545" t="b">
        <f t="shared" si="1111"/>
        <v>0</v>
      </c>
      <c r="EG545" t="b">
        <f t="shared" si="1112"/>
        <v>0</v>
      </c>
      <c r="EH545" t="b">
        <f t="shared" si="1113"/>
        <v>0</v>
      </c>
      <c r="EI545" t="b">
        <f t="shared" si="1114"/>
        <v>0</v>
      </c>
      <c r="EJ545" t="b">
        <f t="shared" si="1115"/>
        <v>0</v>
      </c>
      <c r="EK545" t="b">
        <f t="shared" si="1116"/>
        <v>0</v>
      </c>
    </row>
    <row r="546" spans="1:141">
      <c r="A546" t="s">
        <v>2752</v>
      </c>
      <c r="B546" t="s">
        <v>2752</v>
      </c>
      <c r="C546" t="s">
        <v>2753</v>
      </c>
      <c r="D546" s="1">
        <v>42979</v>
      </c>
      <c r="E546" s="2">
        <v>43218.085057870368</v>
      </c>
      <c r="F546" s="2">
        <v>43218.085057870368</v>
      </c>
      <c r="G546">
        <v>10371766</v>
      </c>
      <c r="H546" t="s">
        <v>2754</v>
      </c>
      <c r="I546" s="10" t="s">
        <v>2755</v>
      </c>
      <c r="J546" t="s">
        <v>156</v>
      </c>
      <c r="K546" s="8" t="b">
        <v>0</v>
      </c>
      <c r="L546" s="10" t="b">
        <v>0</v>
      </c>
      <c r="M546" s="12" t="b">
        <v>0</v>
      </c>
      <c r="N546" t="b">
        <v>0</v>
      </c>
      <c r="O546" t="b">
        <v>0</v>
      </c>
      <c r="P546" t="b">
        <v>0</v>
      </c>
      <c r="Q546">
        <f t="shared" si="993"/>
        <v>6</v>
      </c>
      <c r="R546">
        <f t="shared" si="994"/>
        <v>9</v>
      </c>
      <c r="S546" t="e">
        <f t="shared" ca="1" si="1024"/>
        <v>#NAME?</v>
      </c>
      <c r="T546" t="e">
        <f t="shared" ca="1" si="995"/>
        <v>#NAME?</v>
      </c>
      <c r="U546" s="4">
        <f t="shared" si="996"/>
        <v>239.08505787036847</v>
      </c>
      <c r="V546" s="4">
        <f t="shared" si="997"/>
        <v>7.9695019290122824</v>
      </c>
      <c r="W546" s="4">
        <f t="shared" si="998"/>
        <v>0</v>
      </c>
      <c r="X546" s="4">
        <f t="shared" si="999"/>
        <v>0</v>
      </c>
      <c r="Y546" s="4">
        <f t="shared" si="1000"/>
        <v>0</v>
      </c>
      <c r="Z546" s="4">
        <f t="shared" si="1001"/>
        <v>0</v>
      </c>
      <c r="AA546" s="4">
        <f t="shared" si="1002"/>
        <v>0</v>
      </c>
      <c r="AB546" s="4">
        <f t="shared" si="1003"/>
        <v>0</v>
      </c>
      <c r="AC546" s="4"/>
      <c r="AD546" s="4" t="b">
        <f t="shared" si="1004"/>
        <v>0</v>
      </c>
      <c r="AE546" s="4" t="b">
        <f t="shared" si="1005"/>
        <v>0</v>
      </c>
      <c r="AF546" s="4" t="b">
        <f t="shared" si="1006"/>
        <v>0</v>
      </c>
      <c r="AG546" t="b">
        <f t="shared" si="1007"/>
        <v>0</v>
      </c>
      <c r="AH546" t="b">
        <f t="shared" si="1008"/>
        <v>0</v>
      </c>
      <c r="AI546" t="b">
        <f t="shared" si="1009"/>
        <v>0</v>
      </c>
      <c r="AJ546" t="b">
        <f t="shared" si="1010"/>
        <v>0</v>
      </c>
      <c r="AK546" t="b">
        <f t="shared" si="1011"/>
        <v>0</v>
      </c>
      <c r="AL546" t="b">
        <f t="shared" si="1012"/>
        <v>0</v>
      </c>
      <c r="AM546" t="b">
        <f t="shared" si="1013"/>
        <v>0</v>
      </c>
      <c r="AN546" t="b">
        <f t="shared" si="1014"/>
        <v>0</v>
      </c>
      <c r="AO546" t="b">
        <f t="shared" si="1015"/>
        <v>0</v>
      </c>
      <c r="AP546" t="b">
        <f t="shared" si="1016"/>
        <v>0</v>
      </c>
      <c r="AQ546" t="b">
        <f t="shared" si="1017"/>
        <v>0</v>
      </c>
      <c r="AR546" t="b">
        <f t="shared" si="1018"/>
        <v>0</v>
      </c>
      <c r="AS546" t="b">
        <f t="shared" si="1019"/>
        <v>0</v>
      </c>
      <c r="AT546" t="b">
        <f t="shared" si="1020"/>
        <v>0</v>
      </c>
      <c r="AU546" t="b">
        <f t="shared" si="1021"/>
        <v>0</v>
      </c>
      <c r="AV546" t="b">
        <f t="shared" si="1022"/>
        <v>0</v>
      </c>
      <c r="AW546" t="b">
        <f t="shared" si="1023"/>
        <v>0</v>
      </c>
      <c r="AX546" t="b">
        <f t="shared" si="1025"/>
        <v>0</v>
      </c>
      <c r="AY546" t="b">
        <f t="shared" si="1026"/>
        <v>0</v>
      </c>
      <c r="AZ546" t="b">
        <f t="shared" si="1027"/>
        <v>0</v>
      </c>
      <c r="BA546" t="b">
        <f t="shared" si="1028"/>
        <v>0</v>
      </c>
      <c r="BB546" t="b">
        <f t="shared" si="1029"/>
        <v>0</v>
      </c>
      <c r="BC546" t="b">
        <f t="shared" si="1030"/>
        <v>0</v>
      </c>
      <c r="BD546" t="b">
        <f t="shared" si="1031"/>
        <v>0</v>
      </c>
      <c r="BE546" t="b">
        <f t="shared" si="1032"/>
        <v>0</v>
      </c>
      <c r="BF546" t="b">
        <f t="shared" si="1033"/>
        <v>0</v>
      </c>
      <c r="BG546" t="b">
        <f t="shared" si="1034"/>
        <v>0</v>
      </c>
      <c r="BH546" t="b">
        <f t="shared" si="1035"/>
        <v>0</v>
      </c>
      <c r="BI546">
        <f t="shared" si="1036"/>
        <v>1</v>
      </c>
      <c r="BJ546" t="b">
        <f t="shared" si="1037"/>
        <v>0</v>
      </c>
      <c r="BK546" t="b">
        <f t="shared" si="1038"/>
        <v>0</v>
      </c>
      <c r="BL546" t="b">
        <f t="shared" si="1039"/>
        <v>0</v>
      </c>
      <c r="BM546" t="b">
        <f t="shared" si="1040"/>
        <v>0</v>
      </c>
      <c r="BN546" t="b">
        <f t="shared" si="1041"/>
        <v>0</v>
      </c>
      <c r="BO546" t="b">
        <f t="shared" si="1042"/>
        <v>0</v>
      </c>
      <c r="BP546" t="b">
        <f t="shared" si="1043"/>
        <v>0</v>
      </c>
      <c r="BQ546" t="b">
        <f t="shared" si="1044"/>
        <v>0</v>
      </c>
      <c r="BR546" t="b">
        <f t="shared" si="1045"/>
        <v>0</v>
      </c>
      <c r="BS546" t="b">
        <f t="shared" si="1046"/>
        <v>0</v>
      </c>
      <c r="BT546" t="b">
        <f t="shared" si="1047"/>
        <v>0</v>
      </c>
      <c r="BU546" t="b">
        <f t="shared" si="1048"/>
        <v>0</v>
      </c>
      <c r="BV546" t="b">
        <f t="shared" si="1049"/>
        <v>0</v>
      </c>
      <c r="BW546" t="b">
        <f t="shared" si="1050"/>
        <v>0</v>
      </c>
      <c r="BX546" t="b">
        <f t="shared" si="1051"/>
        <v>0</v>
      </c>
      <c r="BY546" t="b">
        <f t="shared" si="1052"/>
        <v>0</v>
      </c>
      <c r="BZ546" t="b">
        <f t="shared" si="1053"/>
        <v>0</v>
      </c>
      <c r="CA546" t="b">
        <f t="shared" si="1054"/>
        <v>0</v>
      </c>
      <c r="CB546" t="b">
        <f t="shared" si="1055"/>
        <v>0</v>
      </c>
      <c r="CC546" t="b">
        <f t="shared" si="1056"/>
        <v>0</v>
      </c>
      <c r="CD546" t="b">
        <f t="shared" si="1057"/>
        <v>0</v>
      </c>
      <c r="CE546" t="b">
        <f t="shared" si="1058"/>
        <v>0</v>
      </c>
      <c r="CF546" t="b">
        <f t="shared" si="1059"/>
        <v>0</v>
      </c>
      <c r="CG546" t="b">
        <f t="shared" si="1060"/>
        <v>0</v>
      </c>
      <c r="CH546" t="b">
        <f t="shared" si="1061"/>
        <v>0</v>
      </c>
      <c r="CI546" t="b">
        <f t="shared" si="1062"/>
        <v>0</v>
      </c>
      <c r="CJ546" t="b">
        <f t="shared" si="1063"/>
        <v>0</v>
      </c>
      <c r="CK546" t="b">
        <f t="shared" si="1064"/>
        <v>0</v>
      </c>
      <c r="CL546" t="b">
        <f t="shared" si="1065"/>
        <v>0</v>
      </c>
      <c r="CM546" t="b">
        <f t="shared" si="1066"/>
        <v>0</v>
      </c>
      <c r="CN546" t="b">
        <f t="shared" si="1067"/>
        <v>0</v>
      </c>
      <c r="CO546" t="b">
        <f t="shared" si="1068"/>
        <v>0</v>
      </c>
      <c r="CP546" t="b">
        <f t="shared" si="1069"/>
        <v>0</v>
      </c>
      <c r="CQ546" t="b">
        <f t="shared" si="1070"/>
        <v>0</v>
      </c>
      <c r="CR546" t="b">
        <f t="shared" si="1071"/>
        <v>0</v>
      </c>
      <c r="CS546" t="b">
        <f t="shared" si="1072"/>
        <v>0</v>
      </c>
      <c r="CT546" t="b">
        <f t="shared" si="1073"/>
        <v>0</v>
      </c>
      <c r="CU546" t="b">
        <f t="shared" si="1074"/>
        <v>0</v>
      </c>
      <c r="CV546">
        <f t="shared" si="1075"/>
        <v>1</v>
      </c>
      <c r="CW546" t="b">
        <f t="shared" si="1076"/>
        <v>0</v>
      </c>
      <c r="CX546" t="b">
        <f t="shared" si="1077"/>
        <v>0</v>
      </c>
      <c r="CY546" t="b">
        <f t="shared" si="1078"/>
        <v>0</v>
      </c>
      <c r="CZ546" t="b">
        <f t="shared" si="1079"/>
        <v>0</v>
      </c>
      <c r="DA546" t="b">
        <f t="shared" si="1080"/>
        <v>0</v>
      </c>
      <c r="DB546" t="b">
        <f t="shared" si="1081"/>
        <v>0</v>
      </c>
      <c r="DC546" t="b">
        <f t="shared" si="1082"/>
        <v>0</v>
      </c>
      <c r="DD546" t="b">
        <f t="shared" si="1083"/>
        <v>0</v>
      </c>
      <c r="DE546" t="b">
        <f t="shared" si="1084"/>
        <v>0</v>
      </c>
      <c r="DF546" t="b">
        <f t="shared" si="1085"/>
        <v>0</v>
      </c>
      <c r="DG546" t="b">
        <f t="shared" si="1086"/>
        <v>0</v>
      </c>
      <c r="DH546" t="b">
        <f t="shared" si="1087"/>
        <v>0</v>
      </c>
      <c r="DI546" t="b">
        <f t="shared" si="1088"/>
        <v>0</v>
      </c>
      <c r="DJ546" t="b">
        <f t="shared" si="1089"/>
        <v>0</v>
      </c>
      <c r="DK546" t="b">
        <f t="shared" si="1090"/>
        <v>0</v>
      </c>
      <c r="DL546" t="b">
        <f t="shared" si="1091"/>
        <v>0</v>
      </c>
      <c r="DM546" t="b">
        <f t="shared" si="1092"/>
        <v>0</v>
      </c>
      <c r="DN546" t="b">
        <f t="shared" si="1093"/>
        <v>0</v>
      </c>
      <c r="DO546" t="b">
        <f t="shared" si="1094"/>
        <v>0</v>
      </c>
      <c r="DP546" t="b">
        <f t="shared" si="1095"/>
        <v>0</v>
      </c>
      <c r="DQ546" t="b">
        <f t="shared" si="1096"/>
        <v>0</v>
      </c>
      <c r="DR546" t="b">
        <f t="shared" si="1097"/>
        <v>0</v>
      </c>
      <c r="DS546" t="b">
        <f t="shared" si="1098"/>
        <v>0</v>
      </c>
      <c r="DT546" t="b">
        <f t="shared" si="1099"/>
        <v>0</v>
      </c>
      <c r="DU546" t="b">
        <f t="shared" si="1100"/>
        <v>0</v>
      </c>
      <c r="DV546" t="b">
        <f t="shared" si="1101"/>
        <v>0</v>
      </c>
      <c r="DW546" t="b">
        <f t="shared" si="1102"/>
        <v>0</v>
      </c>
      <c r="DX546" t="b">
        <f t="shared" si="1103"/>
        <v>0</v>
      </c>
      <c r="DY546" t="b">
        <f t="shared" si="1104"/>
        <v>0</v>
      </c>
      <c r="DZ546" t="b">
        <f t="shared" si="1105"/>
        <v>0</v>
      </c>
      <c r="EA546" t="b">
        <f t="shared" si="1106"/>
        <v>0</v>
      </c>
      <c r="EB546" t="b">
        <f t="shared" si="1107"/>
        <v>0</v>
      </c>
      <c r="EC546" t="b">
        <f t="shared" si="1108"/>
        <v>0</v>
      </c>
      <c r="ED546" t="b">
        <f t="shared" si="1109"/>
        <v>0</v>
      </c>
      <c r="EE546" t="b">
        <f t="shared" si="1110"/>
        <v>0</v>
      </c>
      <c r="EF546">
        <f t="shared" si="1111"/>
        <v>1</v>
      </c>
      <c r="EG546" t="b">
        <f t="shared" si="1112"/>
        <v>0</v>
      </c>
      <c r="EH546" t="b">
        <f t="shared" si="1113"/>
        <v>0</v>
      </c>
      <c r="EI546" t="b">
        <f t="shared" si="1114"/>
        <v>0</v>
      </c>
      <c r="EJ546" t="b">
        <f t="shared" si="1115"/>
        <v>0</v>
      </c>
      <c r="EK546" t="b">
        <f t="shared" si="1116"/>
        <v>0</v>
      </c>
    </row>
    <row r="547" spans="1:141">
      <c r="A547" t="s">
        <v>2756</v>
      </c>
      <c r="B547" t="s">
        <v>2757</v>
      </c>
      <c r="C547" t="s">
        <v>2758</v>
      </c>
      <c r="D547" s="1">
        <v>42250</v>
      </c>
      <c r="E547" s="2">
        <v>42757.356747685182</v>
      </c>
      <c r="F547" s="2">
        <v>42757.356747685182</v>
      </c>
      <c r="G547">
        <v>178201</v>
      </c>
      <c r="H547" t="s">
        <v>2759</v>
      </c>
      <c r="I547" s="10" t="s">
        <v>2760</v>
      </c>
      <c r="J547" t="s">
        <v>2761</v>
      </c>
      <c r="K547" s="8" t="b">
        <v>1</v>
      </c>
      <c r="L547" s="10" t="b">
        <v>0</v>
      </c>
      <c r="M547" s="12" t="b">
        <v>1</v>
      </c>
      <c r="N547" t="b">
        <v>0</v>
      </c>
      <c r="O547" t="b">
        <v>0</v>
      </c>
      <c r="P547" t="b">
        <v>0</v>
      </c>
      <c r="Q547">
        <f t="shared" si="993"/>
        <v>5</v>
      </c>
      <c r="R547">
        <f t="shared" si="994"/>
        <v>9</v>
      </c>
      <c r="S547" t="e">
        <f t="shared" ca="1" si="1024"/>
        <v>#NAME?</v>
      </c>
      <c r="T547" t="e">
        <f t="shared" ca="1" si="995"/>
        <v>#NAME?</v>
      </c>
      <c r="U547" s="4">
        <f t="shared" si="996"/>
        <v>507.3567476851822</v>
      </c>
      <c r="V547" s="4">
        <f t="shared" si="997"/>
        <v>16.911891589506073</v>
      </c>
      <c r="W547" s="4">
        <f t="shared" si="998"/>
        <v>1</v>
      </c>
      <c r="X547" s="4">
        <f t="shared" si="999"/>
        <v>0</v>
      </c>
      <c r="Y547" s="4">
        <f t="shared" si="1000"/>
        <v>1</v>
      </c>
      <c r="Z547" s="4">
        <f t="shared" si="1001"/>
        <v>0</v>
      </c>
      <c r="AA547" s="4">
        <f t="shared" si="1002"/>
        <v>0</v>
      </c>
      <c r="AB547" s="4">
        <f t="shared" si="1003"/>
        <v>0</v>
      </c>
      <c r="AC547" s="4"/>
      <c r="AD547" s="4" t="b">
        <f t="shared" si="1004"/>
        <v>0</v>
      </c>
      <c r="AE547" s="4" t="b">
        <f t="shared" si="1005"/>
        <v>0</v>
      </c>
      <c r="AF547" s="4" t="b">
        <f t="shared" si="1006"/>
        <v>0</v>
      </c>
      <c r="AG547" t="b">
        <f t="shared" si="1007"/>
        <v>0</v>
      </c>
      <c r="AH547" t="b">
        <f t="shared" si="1008"/>
        <v>0</v>
      </c>
      <c r="AI547" t="b">
        <f t="shared" si="1009"/>
        <v>0</v>
      </c>
      <c r="AJ547" t="b">
        <f t="shared" si="1010"/>
        <v>0</v>
      </c>
      <c r="AK547" t="b">
        <f t="shared" si="1011"/>
        <v>0</v>
      </c>
      <c r="AL547" t="b">
        <f t="shared" si="1012"/>
        <v>0</v>
      </c>
      <c r="AM547" t="b">
        <f t="shared" si="1013"/>
        <v>0</v>
      </c>
      <c r="AN547" t="b">
        <f t="shared" si="1014"/>
        <v>0</v>
      </c>
      <c r="AO547" t="b">
        <f t="shared" si="1015"/>
        <v>0</v>
      </c>
      <c r="AP547" t="b">
        <f t="shared" si="1016"/>
        <v>0</v>
      </c>
      <c r="AQ547" t="b">
        <f t="shared" si="1017"/>
        <v>0</v>
      </c>
      <c r="AR547" t="b">
        <f t="shared" si="1018"/>
        <v>0</v>
      </c>
      <c r="AS547" t="b">
        <f t="shared" si="1019"/>
        <v>0</v>
      </c>
      <c r="AT547" t="b">
        <f t="shared" si="1020"/>
        <v>0</v>
      </c>
      <c r="AU547" t="b">
        <f t="shared" si="1021"/>
        <v>0</v>
      </c>
      <c r="AV547" t="b">
        <f t="shared" si="1022"/>
        <v>0</v>
      </c>
      <c r="AW547" t="b">
        <f t="shared" si="1023"/>
        <v>0</v>
      </c>
      <c r="AX547" t="b">
        <f t="shared" si="1025"/>
        <v>0</v>
      </c>
      <c r="AY547" t="b">
        <f t="shared" si="1026"/>
        <v>0</v>
      </c>
      <c r="AZ547">
        <f t="shared" si="1027"/>
        <v>1</v>
      </c>
      <c r="BA547" t="b">
        <f t="shared" si="1028"/>
        <v>0</v>
      </c>
      <c r="BB547" t="b">
        <f t="shared" si="1029"/>
        <v>0</v>
      </c>
      <c r="BC547" t="b">
        <f t="shared" si="1030"/>
        <v>0</v>
      </c>
      <c r="BD547" t="b">
        <f t="shared" si="1031"/>
        <v>0</v>
      </c>
      <c r="BE547" t="b">
        <f t="shared" si="1032"/>
        <v>0</v>
      </c>
      <c r="BF547" t="b">
        <f t="shared" si="1033"/>
        <v>0</v>
      </c>
      <c r="BG547" t="b">
        <f t="shared" si="1034"/>
        <v>0</v>
      </c>
      <c r="BH547" t="b">
        <f t="shared" si="1035"/>
        <v>0</v>
      </c>
      <c r="BI547">
        <f t="shared" si="1036"/>
        <v>1</v>
      </c>
      <c r="BJ547" t="b">
        <f t="shared" si="1037"/>
        <v>0</v>
      </c>
      <c r="BK547" t="b">
        <f t="shared" si="1038"/>
        <v>0</v>
      </c>
      <c r="BL547" t="b">
        <f t="shared" si="1039"/>
        <v>0</v>
      </c>
      <c r="BM547" t="b">
        <f t="shared" si="1040"/>
        <v>0</v>
      </c>
      <c r="BN547" t="b">
        <f t="shared" si="1041"/>
        <v>0</v>
      </c>
      <c r="BO547" t="b">
        <f t="shared" si="1042"/>
        <v>0</v>
      </c>
      <c r="BP547" t="b">
        <f t="shared" si="1043"/>
        <v>0</v>
      </c>
      <c r="BQ547" t="b">
        <f t="shared" si="1044"/>
        <v>0</v>
      </c>
      <c r="BR547" t="b">
        <f t="shared" si="1045"/>
        <v>0</v>
      </c>
      <c r="BS547">
        <f t="shared" si="1046"/>
        <v>1</v>
      </c>
      <c r="BT547" t="b">
        <f t="shared" si="1047"/>
        <v>0</v>
      </c>
      <c r="BU547" t="b">
        <f t="shared" si="1048"/>
        <v>0</v>
      </c>
      <c r="BV547" t="b">
        <f t="shared" si="1049"/>
        <v>0</v>
      </c>
      <c r="BW547" t="b">
        <f t="shared" si="1050"/>
        <v>0</v>
      </c>
      <c r="BX547" t="b">
        <f t="shared" si="1051"/>
        <v>0</v>
      </c>
      <c r="BY547" t="b">
        <f t="shared" si="1052"/>
        <v>0</v>
      </c>
      <c r="BZ547" t="b">
        <f t="shared" si="1053"/>
        <v>0</v>
      </c>
      <c r="CA547" t="b">
        <f t="shared" si="1054"/>
        <v>0</v>
      </c>
      <c r="CB547" t="b">
        <f t="shared" si="1055"/>
        <v>0</v>
      </c>
      <c r="CC547" t="b">
        <f t="shared" si="1056"/>
        <v>0</v>
      </c>
      <c r="CD547" t="b">
        <f t="shared" si="1057"/>
        <v>0</v>
      </c>
      <c r="CE547">
        <f t="shared" si="1058"/>
        <v>1</v>
      </c>
      <c r="CF547" t="b">
        <f t="shared" si="1059"/>
        <v>0</v>
      </c>
      <c r="CG547" t="b">
        <f t="shared" si="1060"/>
        <v>0</v>
      </c>
      <c r="CH547" t="b">
        <f t="shared" si="1061"/>
        <v>0</v>
      </c>
      <c r="CI547" t="b">
        <f t="shared" si="1062"/>
        <v>0</v>
      </c>
      <c r="CJ547" t="b">
        <f t="shared" si="1063"/>
        <v>0</v>
      </c>
      <c r="CK547" t="b">
        <f t="shared" si="1064"/>
        <v>0</v>
      </c>
      <c r="CL547" t="b">
        <f t="shared" si="1065"/>
        <v>0</v>
      </c>
      <c r="CM547" t="b">
        <f t="shared" si="1066"/>
        <v>0</v>
      </c>
      <c r="CN547" t="b">
        <f t="shared" si="1067"/>
        <v>0</v>
      </c>
      <c r="CO547" t="b">
        <f t="shared" si="1068"/>
        <v>0</v>
      </c>
      <c r="CP547" t="b">
        <f t="shared" si="1069"/>
        <v>0</v>
      </c>
      <c r="CQ547" t="b">
        <f t="shared" si="1070"/>
        <v>0</v>
      </c>
      <c r="CR547" t="b">
        <f t="shared" si="1071"/>
        <v>0</v>
      </c>
      <c r="CS547" t="b">
        <f t="shared" si="1072"/>
        <v>0</v>
      </c>
      <c r="CT547" t="b">
        <f t="shared" si="1073"/>
        <v>0</v>
      </c>
      <c r="CU547" t="b">
        <f t="shared" si="1074"/>
        <v>0</v>
      </c>
      <c r="CV547">
        <f t="shared" si="1075"/>
        <v>1</v>
      </c>
      <c r="CW547" t="b">
        <f t="shared" si="1076"/>
        <v>0</v>
      </c>
      <c r="CX547" t="b">
        <f t="shared" si="1077"/>
        <v>0</v>
      </c>
      <c r="CY547" t="b">
        <f t="shared" si="1078"/>
        <v>0</v>
      </c>
      <c r="CZ547" t="b">
        <f t="shared" si="1079"/>
        <v>0</v>
      </c>
      <c r="DA547" t="b">
        <f t="shared" si="1080"/>
        <v>0</v>
      </c>
      <c r="DB547" t="b">
        <f t="shared" si="1081"/>
        <v>0</v>
      </c>
      <c r="DC547" t="b">
        <f t="shared" si="1082"/>
        <v>0</v>
      </c>
      <c r="DD547" t="b">
        <f t="shared" si="1083"/>
        <v>0</v>
      </c>
      <c r="DE547" t="b">
        <f t="shared" si="1084"/>
        <v>0</v>
      </c>
      <c r="DF547" t="b">
        <f t="shared" si="1085"/>
        <v>0</v>
      </c>
      <c r="DG547" t="b">
        <f t="shared" si="1086"/>
        <v>0</v>
      </c>
      <c r="DH547" t="b">
        <f t="shared" si="1087"/>
        <v>0</v>
      </c>
      <c r="DI547" t="b">
        <f t="shared" si="1088"/>
        <v>0</v>
      </c>
      <c r="DJ547" t="b">
        <f t="shared" si="1089"/>
        <v>0</v>
      </c>
      <c r="DK547" t="b">
        <f t="shared" si="1090"/>
        <v>0</v>
      </c>
      <c r="DL547" t="b">
        <f t="shared" si="1091"/>
        <v>0</v>
      </c>
      <c r="DM547" t="b">
        <f t="shared" si="1092"/>
        <v>0</v>
      </c>
      <c r="DN547" t="b">
        <f t="shared" si="1093"/>
        <v>0</v>
      </c>
      <c r="DO547" t="b">
        <f t="shared" si="1094"/>
        <v>0</v>
      </c>
      <c r="DP547" t="b">
        <f t="shared" si="1095"/>
        <v>0</v>
      </c>
      <c r="DQ547" t="b">
        <f t="shared" si="1096"/>
        <v>0</v>
      </c>
      <c r="DR547" t="b">
        <f t="shared" si="1097"/>
        <v>0</v>
      </c>
      <c r="DS547" t="b">
        <f t="shared" si="1098"/>
        <v>0</v>
      </c>
      <c r="DT547" t="b">
        <f t="shared" si="1099"/>
        <v>0</v>
      </c>
      <c r="DU547" t="b">
        <f t="shared" si="1100"/>
        <v>0</v>
      </c>
      <c r="DV547" t="b">
        <f t="shared" si="1101"/>
        <v>0</v>
      </c>
      <c r="DW547" t="b">
        <f t="shared" si="1102"/>
        <v>0</v>
      </c>
      <c r="DX547" t="b">
        <f t="shared" si="1103"/>
        <v>0</v>
      </c>
      <c r="DY547" t="b">
        <f t="shared" si="1104"/>
        <v>0</v>
      </c>
      <c r="DZ547" t="b">
        <f t="shared" si="1105"/>
        <v>0</v>
      </c>
      <c r="EA547" t="b">
        <f t="shared" si="1106"/>
        <v>0</v>
      </c>
      <c r="EB547" t="b">
        <f t="shared" si="1107"/>
        <v>0</v>
      </c>
      <c r="EC547" t="b">
        <f t="shared" si="1108"/>
        <v>0</v>
      </c>
      <c r="ED547" t="b">
        <f t="shared" si="1109"/>
        <v>0</v>
      </c>
      <c r="EE547" t="b">
        <f t="shared" si="1110"/>
        <v>0</v>
      </c>
      <c r="EF547">
        <f t="shared" si="1111"/>
        <v>1</v>
      </c>
      <c r="EG547" t="b">
        <f t="shared" si="1112"/>
        <v>0</v>
      </c>
      <c r="EH547" t="b">
        <f t="shared" si="1113"/>
        <v>0</v>
      </c>
      <c r="EI547">
        <f t="shared" si="1114"/>
        <v>1</v>
      </c>
      <c r="EJ547" t="b">
        <f t="shared" si="1115"/>
        <v>0</v>
      </c>
      <c r="EK547" t="b">
        <f t="shared" si="1116"/>
        <v>0</v>
      </c>
    </row>
    <row r="548" spans="1:141">
      <c r="A548" t="s">
        <v>2762</v>
      </c>
      <c r="B548" t="s">
        <v>2763</v>
      </c>
      <c r="C548" t="s">
        <v>2764</v>
      </c>
      <c r="D548" s="1">
        <v>42339</v>
      </c>
      <c r="E548" s="2">
        <v>42473.047453703701</v>
      </c>
      <c r="F548" s="2">
        <v>42473.047453703701</v>
      </c>
      <c r="G548">
        <v>179030</v>
      </c>
      <c r="H548" t="s">
        <v>2765</v>
      </c>
      <c r="I548" s="10" t="s">
        <v>2766</v>
      </c>
      <c r="J548" t="s">
        <v>156</v>
      </c>
      <c r="K548" s="8" t="b">
        <v>1</v>
      </c>
      <c r="L548" s="10" t="b">
        <v>0</v>
      </c>
      <c r="M548" s="12" t="b">
        <v>1</v>
      </c>
      <c r="N548" t="b">
        <v>0</v>
      </c>
      <c r="O548" t="b">
        <v>0</v>
      </c>
      <c r="P548" t="b">
        <v>0</v>
      </c>
      <c r="Q548">
        <f t="shared" si="993"/>
        <v>3</v>
      </c>
      <c r="R548">
        <f t="shared" si="994"/>
        <v>12</v>
      </c>
      <c r="S548" t="e">
        <f t="shared" ca="1" si="1024"/>
        <v>#NAME?</v>
      </c>
      <c r="T548" t="e">
        <f t="shared" ca="1" si="995"/>
        <v>#NAME?</v>
      </c>
      <c r="U548" s="4">
        <f t="shared" si="996"/>
        <v>134.04745370370074</v>
      </c>
      <c r="V548" s="4">
        <f t="shared" si="997"/>
        <v>4.4682484567900245</v>
      </c>
      <c r="W548" s="4">
        <f t="shared" si="998"/>
        <v>1</v>
      </c>
      <c r="X548" s="4">
        <f t="shared" si="999"/>
        <v>0</v>
      </c>
      <c r="Y548" s="4">
        <f t="shared" si="1000"/>
        <v>1</v>
      </c>
      <c r="Z548" s="4">
        <f t="shared" si="1001"/>
        <v>0</v>
      </c>
      <c r="AA548" s="4">
        <f t="shared" si="1002"/>
        <v>0</v>
      </c>
      <c r="AB548" s="4">
        <f t="shared" si="1003"/>
        <v>0</v>
      </c>
      <c r="AC548" s="4"/>
      <c r="AD548" s="4" t="b">
        <f t="shared" si="1004"/>
        <v>0</v>
      </c>
      <c r="AE548" s="4" t="b">
        <f t="shared" si="1005"/>
        <v>0</v>
      </c>
      <c r="AF548" s="4" t="b">
        <f t="shared" si="1006"/>
        <v>0</v>
      </c>
      <c r="AG548" t="b">
        <f t="shared" si="1007"/>
        <v>0</v>
      </c>
      <c r="AH548" t="b">
        <f t="shared" si="1008"/>
        <v>0</v>
      </c>
      <c r="AI548" t="b">
        <f t="shared" si="1009"/>
        <v>0</v>
      </c>
      <c r="AJ548" t="b">
        <f t="shared" si="1010"/>
        <v>0</v>
      </c>
      <c r="AK548" t="b">
        <f t="shared" si="1011"/>
        <v>0</v>
      </c>
      <c r="AL548" t="b">
        <f t="shared" si="1012"/>
        <v>0</v>
      </c>
      <c r="AM548" t="b">
        <f t="shared" si="1013"/>
        <v>0</v>
      </c>
      <c r="AN548" t="b">
        <f t="shared" si="1014"/>
        <v>0</v>
      </c>
      <c r="AO548" t="b">
        <f t="shared" si="1015"/>
        <v>0</v>
      </c>
      <c r="AP548" t="b">
        <f t="shared" si="1016"/>
        <v>0</v>
      </c>
      <c r="AQ548" t="b">
        <f t="shared" si="1017"/>
        <v>0</v>
      </c>
      <c r="AR548" t="b">
        <f t="shared" si="1018"/>
        <v>0</v>
      </c>
      <c r="AS548" t="b">
        <f t="shared" si="1019"/>
        <v>0</v>
      </c>
      <c r="AT548" t="b">
        <f t="shared" si="1020"/>
        <v>0</v>
      </c>
      <c r="AU548" t="b">
        <f t="shared" si="1021"/>
        <v>0</v>
      </c>
      <c r="AV548" t="b">
        <f t="shared" si="1022"/>
        <v>0</v>
      </c>
      <c r="AW548" t="b">
        <f t="shared" si="1023"/>
        <v>0</v>
      </c>
      <c r="AX548" t="b">
        <f t="shared" si="1025"/>
        <v>0</v>
      </c>
      <c r="AY548" t="b">
        <f t="shared" si="1026"/>
        <v>0</v>
      </c>
      <c r="AZ548" t="b">
        <f t="shared" si="1027"/>
        <v>0</v>
      </c>
      <c r="BA548" t="b">
        <f t="shared" si="1028"/>
        <v>0</v>
      </c>
      <c r="BB548" t="b">
        <f t="shared" si="1029"/>
        <v>0</v>
      </c>
      <c r="BC548" t="b">
        <f t="shared" si="1030"/>
        <v>0</v>
      </c>
      <c r="BD548" t="b">
        <f t="shared" si="1031"/>
        <v>0</v>
      </c>
      <c r="BE548" t="b">
        <f t="shared" si="1032"/>
        <v>0</v>
      </c>
      <c r="BF548" t="b">
        <f t="shared" si="1033"/>
        <v>0</v>
      </c>
      <c r="BG548" t="b">
        <f t="shared" si="1034"/>
        <v>0</v>
      </c>
      <c r="BH548" t="b">
        <f t="shared" si="1035"/>
        <v>0</v>
      </c>
      <c r="BI548">
        <f t="shared" si="1036"/>
        <v>1</v>
      </c>
      <c r="BJ548" t="b">
        <f t="shared" si="1037"/>
        <v>0</v>
      </c>
      <c r="BK548" t="b">
        <f t="shared" si="1038"/>
        <v>0</v>
      </c>
      <c r="BL548" t="b">
        <f t="shared" si="1039"/>
        <v>0</v>
      </c>
      <c r="BM548" t="b">
        <f t="shared" si="1040"/>
        <v>0</v>
      </c>
      <c r="BN548" t="b">
        <f t="shared" si="1041"/>
        <v>0</v>
      </c>
      <c r="BO548" t="b">
        <f t="shared" si="1042"/>
        <v>0</v>
      </c>
      <c r="BP548" t="b">
        <f t="shared" si="1043"/>
        <v>0</v>
      </c>
      <c r="BQ548" t="b">
        <f t="shared" si="1044"/>
        <v>0</v>
      </c>
      <c r="BR548" t="b">
        <f t="shared" si="1045"/>
        <v>0</v>
      </c>
      <c r="BS548" t="b">
        <f t="shared" si="1046"/>
        <v>0</v>
      </c>
      <c r="BT548" t="b">
        <f t="shared" si="1047"/>
        <v>0</v>
      </c>
      <c r="BU548" t="b">
        <f t="shared" si="1048"/>
        <v>0</v>
      </c>
      <c r="BV548" t="b">
        <f t="shared" si="1049"/>
        <v>0</v>
      </c>
      <c r="BW548" t="b">
        <f t="shared" si="1050"/>
        <v>0</v>
      </c>
      <c r="BX548" t="b">
        <f t="shared" si="1051"/>
        <v>0</v>
      </c>
      <c r="BY548" t="b">
        <f t="shared" si="1052"/>
        <v>0</v>
      </c>
      <c r="BZ548" t="b">
        <f t="shared" si="1053"/>
        <v>0</v>
      </c>
      <c r="CA548" t="b">
        <f t="shared" si="1054"/>
        <v>0</v>
      </c>
      <c r="CB548" t="b">
        <f t="shared" si="1055"/>
        <v>0</v>
      </c>
      <c r="CC548" t="b">
        <f t="shared" si="1056"/>
        <v>0</v>
      </c>
      <c r="CD548" t="b">
        <f t="shared" si="1057"/>
        <v>0</v>
      </c>
      <c r="CE548" t="b">
        <f t="shared" si="1058"/>
        <v>0</v>
      </c>
      <c r="CF548" t="b">
        <f t="shared" si="1059"/>
        <v>0</v>
      </c>
      <c r="CG548" t="b">
        <f t="shared" si="1060"/>
        <v>0</v>
      </c>
      <c r="CH548" t="b">
        <f t="shared" si="1061"/>
        <v>0</v>
      </c>
      <c r="CI548" t="b">
        <f t="shared" si="1062"/>
        <v>0</v>
      </c>
      <c r="CJ548" t="b">
        <f t="shared" si="1063"/>
        <v>0</v>
      </c>
      <c r="CK548" t="b">
        <f t="shared" si="1064"/>
        <v>0</v>
      </c>
      <c r="CL548" t="b">
        <f t="shared" si="1065"/>
        <v>0</v>
      </c>
      <c r="CM548" t="b">
        <f t="shared" si="1066"/>
        <v>0</v>
      </c>
      <c r="CN548" t="b">
        <f t="shared" si="1067"/>
        <v>0</v>
      </c>
      <c r="CO548" t="b">
        <f t="shared" si="1068"/>
        <v>0</v>
      </c>
      <c r="CP548" t="b">
        <f t="shared" si="1069"/>
        <v>0</v>
      </c>
      <c r="CQ548" t="b">
        <f t="shared" si="1070"/>
        <v>0</v>
      </c>
      <c r="CR548" t="b">
        <f t="shared" si="1071"/>
        <v>0</v>
      </c>
      <c r="CS548" t="b">
        <f t="shared" si="1072"/>
        <v>0</v>
      </c>
      <c r="CT548" t="b">
        <f t="shared" si="1073"/>
        <v>0</v>
      </c>
      <c r="CU548" t="b">
        <f t="shared" si="1074"/>
        <v>0</v>
      </c>
      <c r="CV548">
        <f t="shared" si="1075"/>
        <v>1</v>
      </c>
      <c r="CW548" t="b">
        <f t="shared" si="1076"/>
        <v>0</v>
      </c>
      <c r="CX548" t="b">
        <f t="shared" si="1077"/>
        <v>0</v>
      </c>
      <c r="CY548" t="b">
        <f t="shared" si="1078"/>
        <v>0</v>
      </c>
      <c r="CZ548" t="b">
        <f t="shared" si="1079"/>
        <v>0</v>
      </c>
      <c r="DA548" t="b">
        <f t="shared" si="1080"/>
        <v>0</v>
      </c>
      <c r="DB548" t="b">
        <f t="shared" si="1081"/>
        <v>0</v>
      </c>
      <c r="DC548" t="b">
        <f t="shared" si="1082"/>
        <v>0</v>
      </c>
      <c r="DD548" t="b">
        <f t="shared" si="1083"/>
        <v>0</v>
      </c>
      <c r="DE548" t="b">
        <f t="shared" si="1084"/>
        <v>0</v>
      </c>
      <c r="DF548" t="b">
        <f t="shared" si="1085"/>
        <v>0</v>
      </c>
      <c r="DG548" t="b">
        <f t="shared" si="1086"/>
        <v>0</v>
      </c>
      <c r="DH548" t="b">
        <f t="shared" si="1087"/>
        <v>0</v>
      </c>
      <c r="DI548" t="b">
        <f t="shared" si="1088"/>
        <v>0</v>
      </c>
      <c r="DJ548" t="b">
        <f t="shared" si="1089"/>
        <v>0</v>
      </c>
      <c r="DK548" t="b">
        <f t="shared" si="1090"/>
        <v>0</v>
      </c>
      <c r="DL548" t="b">
        <f t="shared" si="1091"/>
        <v>0</v>
      </c>
      <c r="DM548" t="b">
        <f t="shared" si="1092"/>
        <v>0</v>
      </c>
      <c r="DN548" t="b">
        <f t="shared" si="1093"/>
        <v>0</v>
      </c>
      <c r="DO548" t="b">
        <f t="shared" si="1094"/>
        <v>0</v>
      </c>
      <c r="DP548" t="b">
        <f t="shared" si="1095"/>
        <v>0</v>
      </c>
      <c r="DQ548" t="b">
        <f t="shared" si="1096"/>
        <v>0</v>
      </c>
      <c r="DR548" t="b">
        <f t="shared" si="1097"/>
        <v>0</v>
      </c>
      <c r="DS548" t="b">
        <f t="shared" si="1098"/>
        <v>0</v>
      </c>
      <c r="DT548" t="b">
        <f t="shared" si="1099"/>
        <v>0</v>
      </c>
      <c r="DU548" t="b">
        <f t="shared" si="1100"/>
        <v>0</v>
      </c>
      <c r="DV548" t="b">
        <f t="shared" si="1101"/>
        <v>0</v>
      </c>
      <c r="DW548" t="b">
        <f t="shared" si="1102"/>
        <v>0</v>
      </c>
      <c r="DX548" t="b">
        <f t="shared" si="1103"/>
        <v>0</v>
      </c>
      <c r="DY548" t="b">
        <f t="shared" si="1104"/>
        <v>0</v>
      </c>
      <c r="DZ548" t="b">
        <f t="shared" si="1105"/>
        <v>0</v>
      </c>
      <c r="EA548" t="b">
        <f t="shared" si="1106"/>
        <v>0</v>
      </c>
      <c r="EB548" t="b">
        <f t="shared" si="1107"/>
        <v>0</v>
      </c>
      <c r="EC548" t="b">
        <f t="shared" si="1108"/>
        <v>0</v>
      </c>
      <c r="ED548" t="b">
        <f t="shared" si="1109"/>
        <v>0</v>
      </c>
      <c r="EE548" t="b">
        <f t="shared" si="1110"/>
        <v>0</v>
      </c>
      <c r="EF548">
        <f t="shared" si="1111"/>
        <v>1</v>
      </c>
      <c r="EG548" t="b">
        <f t="shared" si="1112"/>
        <v>0</v>
      </c>
      <c r="EH548" t="b">
        <f t="shared" si="1113"/>
        <v>0</v>
      </c>
      <c r="EI548" t="b">
        <f t="shared" si="1114"/>
        <v>0</v>
      </c>
      <c r="EJ548" t="b">
        <f t="shared" si="1115"/>
        <v>0</v>
      </c>
      <c r="EK548" t="b">
        <f t="shared" si="1116"/>
        <v>0</v>
      </c>
    </row>
    <row r="549" spans="1:141">
      <c r="A549" t="s">
        <v>2767</v>
      </c>
      <c r="B549" t="s">
        <v>2768</v>
      </c>
      <c r="C549" t="s">
        <v>2769</v>
      </c>
      <c r="D549" s="1">
        <v>43100</v>
      </c>
      <c r="E549" s="2">
        <v>43115.27952546296</v>
      </c>
      <c r="F549" s="2">
        <v>43115.27952546296</v>
      </c>
      <c r="G549">
        <v>84011</v>
      </c>
      <c r="H549" t="s">
        <v>2770</v>
      </c>
      <c r="I549" s="10" t="s">
        <v>2771</v>
      </c>
      <c r="J549" t="s">
        <v>2772</v>
      </c>
      <c r="K549" s="8" t="b">
        <v>1</v>
      </c>
      <c r="L549" s="10" t="b">
        <v>0</v>
      </c>
      <c r="M549" s="12" t="b">
        <v>0</v>
      </c>
      <c r="N549" t="b">
        <v>0</v>
      </c>
      <c r="O549" t="b">
        <v>0</v>
      </c>
      <c r="P549" t="b">
        <v>0</v>
      </c>
      <c r="Q549">
        <f t="shared" si="993"/>
        <v>1</v>
      </c>
      <c r="R549">
        <f t="shared" si="994"/>
        <v>12</v>
      </c>
      <c r="S549" t="e">
        <f t="shared" ca="1" si="1024"/>
        <v>#NAME?</v>
      </c>
      <c r="T549" t="e">
        <f t="shared" ca="1" si="995"/>
        <v>#NAME?</v>
      </c>
      <c r="U549" s="4">
        <f t="shared" si="996"/>
        <v>15.279525462960009</v>
      </c>
      <c r="V549" s="4">
        <f t="shared" si="997"/>
        <v>0.50931751543200032</v>
      </c>
      <c r="W549" s="4">
        <f t="shared" si="998"/>
        <v>1</v>
      </c>
      <c r="X549" s="4">
        <f t="shared" si="999"/>
        <v>0</v>
      </c>
      <c r="Y549" s="4">
        <f t="shared" si="1000"/>
        <v>0</v>
      </c>
      <c r="Z549" s="4">
        <f t="shared" si="1001"/>
        <v>0</v>
      </c>
      <c r="AA549" s="4">
        <f t="shared" si="1002"/>
        <v>0</v>
      </c>
      <c r="AB549" s="4">
        <f t="shared" si="1003"/>
        <v>0</v>
      </c>
      <c r="AC549" s="4"/>
      <c r="AD549" s="4" t="b">
        <f t="shared" si="1004"/>
        <v>0</v>
      </c>
      <c r="AE549" s="4" t="b">
        <f t="shared" si="1005"/>
        <v>0</v>
      </c>
      <c r="AF549" s="4">
        <f t="shared" si="1006"/>
        <v>1</v>
      </c>
      <c r="AG549" t="b">
        <f t="shared" si="1007"/>
        <v>0</v>
      </c>
      <c r="AH549" t="b">
        <f t="shared" si="1008"/>
        <v>0</v>
      </c>
      <c r="AI549" t="b">
        <f t="shared" si="1009"/>
        <v>0</v>
      </c>
      <c r="AJ549" t="b">
        <f t="shared" si="1010"/>
        <v>0</v>
      </c>
      <c r="AK549" t="b">
        <f t="shared" si="1011"/>
        <v>0</v>
      </c>
      <c r="AL549" t="b">
        <f t="shared" si="1012"/>
        <v>0</v>
      </c>
      <c r="AM549" t="b">
        <f t="shared" si="1013"/>
        <v>0</v>
      </c>
      <c r="AN549" t="b">
        <f t="shared" si="1014"/>
        <v>0</v>
      </c>
      <c r="AO549" t="b">
        <f t="shared" si="1015"/>
        <v>0</v>
      </c>
      <c r="AP549" t="b">
        <f t="shared" si="1016"/>
        <v>0</v>
      </c>
      <c r="AQ549" t="b">
        <f t="shared" si="1017"/>
        <v>0</v>
      </c>
      <c r="AR549" t="b">
        <f t="shared" si="1018"/>
        <v>0</v>
      </c>
      <c r="AS549" t="b">
        <f t="shared" si="1019"/>
        <v>0</v>
      </c>
      <c r="AT549" t="b">
        <f t="shared" si="1020"/>
        <v>0</v>
      </c>
      <c r="AU549" t="b">
        <f t="shared" si="1021"/>
        <v>0</v>
      </c>
      <c r="AV549">
        <f t="shared" si="1022"/>
        <v>1</v>
      </c>
      <c r="AW549" t="b">
        <f t="shared" si="1023"/>
        <v>0</v>
      </c>
      <c r="AX549" t="b">
        <f t="shared" si="1025"/>
        <v>0</v>
      </c>
      <c r="AY549" t="b">
        <f t="shared" si="1026"/>
        <v>0</v>
      </c>
      <c r="AZ549" t="b">
        <f t="shared" si="1027"/>
        <v>0</v>
      </c>
      <c r="BA549" t="b">
        <f t="shared" si="1028"/>
        <v>0</v>
      </c>
      <c r="BB549" t="b">
        <f t="shared" si="1029"/>
        <v>0</v>
      </c>
      <c r="BC549" t="b">
        <f t="shared" si="1030"/>
        <v>0</v>
      </c>
      <c r="BD549" t="b">
        <f t="shared" si="1031"/>
        <v>0</v>
      </c>
      <c r="BE549" t="b">
        <f t="shared" si="1032"/>
        <v>0</v>
      </c>
      <c r="BF549" t="b">
        <f t="shared" si="1033"/>
        <v>0</v>
      </c>
      <c r="BG549" t="b">
        <f t="shared" si="1034"/>
        <v>0</v>
      </c>
      <c r="BH549" t="b">
        <f t="shared" si="1035"/>
        <v>0</v>
      </c>
      <c r="BI549">
        <f t="shared" si="1036"/>
        <v>1</v>
      </c>
      <c r="BJ549" t="b">
        <f t="shared" si="1037"/>
        <v>0</v>
      </c>
      <c r="BK549" t="b">
        <f t="shared" si="1038"/>
        <v>0</v>
      </c>
      <c r="BL549" t="b">
        <f t="shared" si="1039"/>
        <v>0</v>
      </c>
      <c r="BM549" t="b">
        <f t="shared" si="1040"/>
        <v>0</v>
      </c>
      <c r="BN549" t="b">
        <f t="shared" si="1041"/>
        <v>0</v>
      </c>
      <c r="BO549" t="b">
        <f t="shared" si="1042"/>
        <v>0</v>
      </c>
      <c r="BP549" t="b">
        <f t="shared" si="1043"/>
        <v>0</v>
      </c>
      <c r="BQ549" t="b">
        <f t="shared" si="1044"/>
        <v>0</v>
      </c>
      <c r="BR549">
        <f t="shared" si="1045"/>
        <v>1</v>
      </c>
      <c r="BS549" t="b">
        <f t="shared" si="1046"/>
        <v>0</v>
      </c>
      <c r="BT549" t="b">
        <f t="shared" si="1047"/>
        <v>0</v>
      </c>
      <c r="BU549" t="b">
        <f t="shared" si="1048"/>
        <v>0</v>
      </c>
      <c r="BV549" t="b">
        <f t="shared" si="1049"/>
        <v>0</v>
      </c>
      <c r="BW549" t="b">
        <f t="shared" si="1050"/>
        <v>0</v>
      </c>
      <c r="BX549" t="b">
        <f t="shared" si="1051"/>
        <v>0</v>
      </c>
      <c r="BY549" t="b">
        <f t="shared" si="1052"/>
        <v>0</v>
      </c>
      <c r="BZ549" t="b">
        <f t="shared" si="1053"/>
        <v>0</v>
      </c>
      <c r="CA549" t="b">
        <f t="shared" si="1054"/>
        <v>0</v>
      </c>
      <c r="CB549" t="b">
        <f t="shared" si="1055"/>
        <v>0</v>
      </c>
      <c r="CC549" t="b">
        <f t="shared" si="1056"/>
        <v>0</v>
      </c>
      <c r="CD549" t="b">
        <f t="shared" si="1057"/>
        <v>0</v>
      </c>
      <c r="CE549" t="b">
        <f t="shared" si="1058"/>
        <v>0</v>
      </c>
      <c r="CF549" t="b">
        <f t="shared" si="1059"/>
        <v>0</v>
      </c>
      <c r="CG549" t="b">
        <f t="shared" si="1060"/>
        <v>0</v>
      </c>
      <c r="CH549" t="b">
        <f t="shared" si="1061"/>
        <v>0</v>
      </c>
      <c r="CI549" t="b">
        <f t="shared" si="1062"/>
        <v>0</v>
      </c>
      <c r="CJ549" t="b">
        <f t="shared" si="1063"/>
        <v>0</v>
      </c>
      <c r="CK549" t="b">
        <f t="shared" si="1064"/>
        <v>0</v>
      </c>
      <c r="CL549" t="b">
        <f t="shared" si="1065"/>
        <v>0</v>
      </c>
      <c r="CM549">
        <f t="shared" si="1066"/>
        <v>1</v>
      </c>
      <c r="CN549" t="b">
        <f t="shared" si="1067"/>
        <v>0</v>
      </c>
      <c r="CO549" t="b">
        <f t="shared" si="1068"/>
        <v>0</v>
      </c>
      <c r="CP549" t="b">
        <f t="shared" si="1069"/>
        <v>0</v>
      </c>
      <c r="CQ549" t="b">
        <f t="shared" si="1070"/>
        <v>0</v>
      </c>
      <c r="CR549" t="b">
        <f t="shared" si="1071"/>
        <v>0</v>
      </c>
      <c r="CS549" t="b">
        <f t="shared" si="1072"/>
        <v>0</v>
      </c>
      <c r="CT549" t="b">
        <f t="shared" si="1073"/>
        <v>0</v>
      </c>
      <c r="CU549" t="b">
        <f t="shared" si="1074"/>
        <v>0</v>
      </c>
      <c r="CV549">
        <f t="shared" si="1075"/>
        <v>1</v>
      </c>
      <c r="CW549" t="b">
        <f t="shared" si="1076"/>
        <v>0</v>
      </c>
      <c r="CX549" t="b">
        <f t="shared" si="1077"/>
        <v>0</v>
      </c>
      <c r="CY549" t="b">
        <f t="shared" si="1078"/>
        <v>0</v>
      </c>
      <c r="CZ549" t="b">
        <f t="shared" si="1079"/>
        <v>0</v>
      </c>
      <c r="DA549">
        <f t="shared" si="1080"/>
        <v>1</v>
      </c>
      <c r="DB549">
        <f t="shared" si="1081"/>
        <v>1</v>
      </c>
      <c r="DC549" t="b">
        <f t="shared" si="1082"/>
        <v>0</v>
      </c>
      <c r="DD549" t="b">
        <f t="shared" si="1083"/>
        <v>0</v>
      </c>
      <c r="DE549" t="b">
        <f t="shared" si="1084"/>
        <v>0</v>
      </c>
      <c r="DF549" t="b">
        <f t="shared" si="1085"/>
        <v>0</v>
      </c>
      <c r="DG549" t="b">
        <f t="shared" si="1086"/>
        <v>0</v>
      </c>
      <c r="DH549" t="b">
        <f t="shared" si="1087"/>
        <v>0</v>
      </c>
      <c r="DI549" t="b">
        <f t="shared" si="1088"/>
        <v>0</v>
      </c>
      <c r="DJ549">
        <f t="shared" si="1089"/>
        <v>1</v>
      </c>
      <c r="DK549" t="b">
        <f t="shared" si="1090"/>
        <v>0</v>
      </c>
      <c r="DL549" t="b">
        <f t="shared" si="1091"/>
        <v>0</v>
      </c>
      <c r="DM549" t="b">
        <f t="shared" si="1092"/>
        <v>0</v>
      </c>
      <c r="DN549" t="b">
        <f t="shared" si="1093"/>
        <v>0</v>
      </c>
      <c r="DO549" t="b">
        <f t="shared" si="1094"/>
        <v>0</v>
      </c>
      <c r="DP549" t="b">
        <f t="shared" si="1095"/>
        <v>0</v>
      </c>
      <c r="DQ549" t="b">
        <f t="shared" si="1096"/>
        <v>0</v>
      </c>
      <c r="DR549" t="b">
        <f t="shared" si="1097"/>
        <v>0</v>
      </c>
      <c r="DS549" t="b">
        <f t="shared" si="1098"/>
        <v>0</v>
      </c>
      <c r="DT549" t="b">
        <f t="shared" si="1099"/>
        <v>0</v>
      </c>
      <c r="DU549" t="b">
        <f t="shared" si="1100"/>
        <v>0</v>
      </c>
      <c r="DV549" t="b">
        <f t="shared" si="1101"/>
        <v>0</v>
      </c>
      <c r="DW549" t="b">
        <f t="shared" si="1102"/>
        <v>0</v>
      </c>
      <c r="DX549" t="b">
        <f t="shared" si="1103"/>
        <v>0</v>
      </c>
      <c r="DY549" t="b">
        <f t="shared" si="1104"/>
        <v>0</v>
      </c>
      <c r="DZ549" t="b">
        <f t="shared" si="1105"/>
        <v>0</v>
      </c>
      <c r="EA549" t="b">
        <f t="shared" si="1106"/>
        <v>0</v>
      </c>
      <c r="EB549" t="b">
        <f t="shared" si="1107"/>
        <v>0</v>
      </c>
      <c r="EC549" t="b">
        <f t="shared" si="1108"/>
        <v>0</v>
      </c>
      <c r="ED549" t="b">
        <f t="shared" si="1109"/>
        <v>0</v>
      </c>
      <c r="EE549" t="b">
        <f t="shared" si="1110"/>
        <v>0</v>
      </c>
      <c r="EF549">
        <f t="shared" si="1111"/>
        <v>1</v>
      </c>
      <c r="EG549" t="b">
        <f t="shared" si="1112"/>
        <v>0</v>
      </c>
      <c r="EH549" t="b">
        <f t="shared" si="1113"/>
        <v>0</v>
      </c>
      <c r="EI549" t="b">
        <f t="shared" si="1114"/>
        <v>0</v>
      </c>
      <c r="EJ549" t="b">
        <f t="shared" si="1115"/>
        <v>0</v>
      </c>
      <c r="EK549" t="b">
        <f t="shared" si="1116"/>
        <v>0</v>
      </c>
    </row>
    <row r="550" spans="1:141">
      <c r="A550" t="s">
        <v>2773</v>
      </c>
      <c r="B550" t="s">
        <v>2774</v>
      </c>
      <c r="C550" t="s">
        <v>2775</v>
      </c>
      <c r="D550" s="1">
        <v>43735</v>
      </c>
      <c r="E550" s="2">
        <v>43906.222592592596</v>
      </c>
      <c r="F550" s="2">
        <v>43906.921655092592</v>
      </c>
      <c r="G550">
        <v>10653</v>
      </c>
      <c r="H550" t="s">
        <v>2776</v>
      </c>
      <c r="I550" s="10" t="s">
        <v>2777</v>
      </c>
      <c r="J550" t="s">
        <v>2778</v>
      </c>
      <c r="K550" s="8" t="b">
        <v>1</v>
      </c>
      <c r="L550" s="10" t="b">
        <v>0</v>
      </c>
      <c r="M550" s="12" t="b">
        <v>0</v>
      </c>
      <c r="N550" t="b">
        <v>0</v>
      </c>
      <c r="O550" t="b">
        <v>0</v>
      </c>
      <c r="P550" t="b">
        <v>0</v>
      </c>
      <c r="Q550">
        <f t="shared" si="993"/>
        <v>6</v>
      </c>
      <c r="R550">
        <f t="shared" si="994"/>
        <v>9</v>
      </c>
      <c r="S550" t="e">
        <f t="shared" ca="1" si="1024"/>
        <v>#NAME?</v>
      </c>
      <c r="T550" t="e">
        <f t="shared" ca="1" si="995"/>
        <v>#NAME?</v>
      </c>
      <c r="U550" s="4">
        <f t="shared" si="996"/>
        <v>171.2225925925959</v>
      </c>
      <c r="V550" s="4">
        <f t="shared" si="997"/>
        <v>5.7074197530865298</v>
      </c>
      <c r="W550" s="4">
        <f t="shared" si="998"/>
        <v>1</v>
      </c>
      <c r="X550" s="4">
        <f t="shared" si="999"/>
        <v>0</v>
      </c>
      <c r="Y550" s="4">
        <f t="shared" si="1000"/>
        <v>0</v>
      </c>
      <c r="Z550" s="4">
        <f t="shared" si="1001"/>
        <v>0</v>
      </c>
      <c r="AA550" s="4">
        <f t="shared" si="1002"/>
        <v>0</v>
      </c>
      <c r="AB550" s="4">
        <f t="shared" si="1003"/>
        <v>0</v>
      </c>
      <c r="AC550" s="4"/>
      <c r="AD550" s="4" t="b">
        <f t="shared" si="1004"/>
        <v>0</v>
      </c>
      <c r="AE550" s="4" t="b">
        <f t="shared" si="1005"/>
        <v>0</v>
      </c>
      <c r="AF550" s="4" t="b">
        <f t="shared" si="1006"/>
        <v>0</v>
      </c>
      <c r="AG550" t="b">
        <f t="shared" si="1007"/>
        <v>0</v>
      </c>
      <c r="AH550" t="b">
        <f t="shared" si="1008"/>
        <v>0</v>
      </c>
      <c r="AI550" t="b">
        <f t="shared" si="1009"/>
        <v>0</v>
      </c>
      <c r="AJ550" t="b">
        <f t="shared" si="1010"/>
        <v>0</v>
      </c>
      <c r="AK550" t="b">
        <f t="shared" si="1011"/>
        <v>0</v>
      </c>
      <c r="AL550" t="b">
        <f t="shared" si="1012"/>
        <v>0</v>
      </c>
      <c r="AM550" t="b">
        <f t="shared" si="1013"/>
        <v>0</v>
      </c>
      <c r="AN550" t="b">
        <f t="shared" si="1014"/>
        <v>0</v>
      </c>
      <c r="AO550" t="b">
        <f t="shared" si="1015"/>
        <v>0</v>
      </c>
      <c r="AP550" t="b">
        <f t="shared" si="1016"/>
        <v>0</v>
      </c>
      <c r="AQ550" t="b">
        <f t="shared" si="1017"/>
        <v>0</v>
      </c>
      <c r="AR550" t="b">
        <f t="shared" si="1018"/>
        <v>0</v>
      </c>
      <c r="AS550" t="b">
        <f t="shared" si="1019"/>
        <v>0</v>
      </c>
      <c r="AT550" t="b">
        <f t="shared" si="1020"/>
        <v>0</v>
      </c>
      <c r="AU550" t="b">
        <f t="shared" si="1021"/>
        <v>0</v>
      </c>
      <c r="AV550" t="b">
        <f t="shared" si="1022"/>
        <v>0</v>
      </c>
      <c r="AW550" t="b">
        <f t="shared" si="1023"/>
        <v>0</v>
      </c>
      <c r="AX550" t="b">
        <f t="shared" si="1025"/>
        <v>0</v>
      </c>
      <c r="AY550" t="b">
        <f t="shared" si="1026"/>
        <v>0</v>
      </c>
      <c r="AZ550" t="b">
        <f t="shared" si="1027"/>
        <v>0</v>
      </c>
      <c r="BA550" t="b">
        <f t="shared" si="1028"/>
        <v>0</v>
      </c>
      <c r="BB550" t="b">
        <f t="shared" si="1029"/>
        <v>0</v>
      </c>
      <c r="BC550" t="b">
        <f t="shared" si="1030"/>
        <v>0</v>
      </c>
      <c r="BD550" t="b">
        <f t="shared" si="1031"/>
        <v>0</v>
      </c>
      <c r="BE550" t="b">
        <f t="shared" si="1032"/>
        <v>0</v>
      </c>
      <c r="BF550" t="b">
        <f t="shared" si="1033"/>
        <v>0</v>
      </c>
      <c r="BG550" t="b">
        <f t="shared" si="1034"/>
        <v>0</v>
      </c>
      <c r="BH550" t="b">
        <f t="shared" si="1035"/>
        <v>0</v>
      </c>
      <c r="BI550">
        <f t="shared" si="1036"/>
        <v>1</v>
      </c>
      <c r="BJ550" t="b">
        <f t="shared" si="1037"/>
        <v>0</v>
      </c>
      <c r="BK550" t="b">
        <f t="shared" si="1038"/>
        <v>0</v>
      </c>
      <c r="BL550" t="b">
        <f t="shared" si="1039"/>
        <v>0</v>
      </c>
      <c r="BM550" t="b">
        <f t="shared" si="1040"/>
        <v>0</v>
      </c>
      <c r="BN550" t="b">
        <f t="shared" si="1041"/>
        <v>0</v>
      </c>
      <c r="BO550" t="b">
        <f t="shared" si="1042"/>
        <v>0</v>
      </c>
      <c r="BP550" t="b">
        <f t="shared" si="1043"/>
        <v>0</v>
      </c>
      <c r="BQ550" t="b">
        <f t="shared" si="1044"/>
        <v>0</v>
      </c>
      <c r="BR550" t="b">
        <f t="shared" si="1045"/>
        <v>0</v>
      </c>
      <c r="BS550" t="b">
        <f t="shared" si="1046"/>
        <v>0</v>
      </c>
      <c r="BT550" t="b">
        <f t="shared" si="1047"/>
        <v>0</v>
      </c>
      <c r="BU550" t="b">
        <f t="shared" si="1048"/>
        <v>0</v>
      </c>
      <c r="BV550" t="b">
        <f t="shared" si="1049"/>
        <v>0</v>
      </c>
      <c r="BW550" t="b">
        <f t="shared" si="1050"/>
        <v>0</v>
      </c>
      <c r="BX550" t="b">
        <f t="shared" si="1051"/>
        <v>0</v>
      </c>
      <c r="BY550" t="b">
        <f t="shared" si="1052"/>
        <v>0</v>
      </c>
      <c r="BZ550" t="b">
        <f t="shared" si="1053"/>
        <v>0</v>
      </c>
      <c r="CA550" t="b">
        <f t="shared" si="1054"/>
        <v>0</v>
      </c>
      <c r="CB550" t="b">
        <f t="shared" si="1055"/>
        <v>0</v>
      </c>
      <c r="CC550" t="b">
        <f t="shared" si="1056"/>
        <v>0</v>
      </c>
      <c r="CD550" t="b">
        <f t="shared" si="1057"/>
        <v>0</v>
      </c>
      <c r="CE550">
        <f t="shared" si="1058"/>
        <v>1</v>
      </c>
      <c r="CF550" t="b">
        <f t="shared" si="1059"/>
        <v>0</v>
      </c>
      <c r="CG550" t="b">
        <f t="shared" si="1060"/>
        <v>0</v>
      </c>
      <c r="CH550" t="b">
        <f t="shared" si="1061"/>
        <v>0</v>
      </c>
      <c r="CI550" t="b">
        <f t="shared" si="1062"/>
        <v>0</v>
      </c>
      <c r="CJ550" t="b">
        <f t="shared" si="1063"/>
        <v>0</v>
      </c>
      <c r="CK550" t="b">
        <f t="shared" si="1064"/>
        <v>0</v>
      </c>
      <c r="CL550" t="b">
        <f t="shared" si="1065"/>
        <v>0</v>
      </c>
      <c r="CM550">
        <f t="shared" si="1066"/>
        <v>1</v>
      </c>
      <c r="CN550" t="b">
        <f t="shared" si="1067"/>
        <v>0</v>
      </c>
      <c r="CO550" t="b">
        <f t="shared" si="1068"/>
        <v>0</v>
      </c>
      <c r="CP550" t="b">
        <f t="shared" si="1069"/>
        <v>0</v>
      </c>
      <c r="CQ550" t="b">
        <f t="shared" si="1070"/>
        <v>0</v>
      </c>
      <c r="CR550" t="b">
        <f t="shared" si="1071"/>
        <v>0</v>
      </c>
      <c r="CS550" t="b">
        <f t="shared" si="1072"/>
        <v>0</v>
      </c>
      <c r="CT550" t="b">
        <f t="shared" si="1073"/>
        <v>0</v>
      </c>
      <c r="CU550" t="b">
        <f t="shared" si="1074"/>
        <v>0</v>
      </c>
      <c r="CV550" t="b">
        <f t="shared" si="1075"/>
        <v>0</v>
      </c>
      <c r="CW550" t="b">
        <f t="shared" si="1076"/>
        <v>0</v>
      </c>
      <c r="CX550" t="b">
        <f t="shared" si="1077"/>
        <v>0</v>
      </c>
      <c r="CY550" t="b">
        <f t="shared" si="1078"/>
        <v>0</v>
      </c>
      <c r="CZ550" t="b">
        <f t="shared" si="1079"/>
        <v>0</v>
      </c>
      <c r="DA550">
        <f t="shared" si="1080"/>
        <v>1</v>
      </c>
      <c r="DB550">
        <f t="shared" si="1081"/>
        <v>1</v>
      </c>
      <c r="DC550" t="b">
        <f t="shared" si="1082"/>
        <v>0</v>
      </c>
      <c r="DD550" t="b">
        <f t="shared" si="1083"/>
        <v>0</v>
      </c>
      <c r="DE550" t="b">
        <f t="shared" si="1084"/>
        <v>0</v>
      </c>
      <c r="DF550" t="b">
        <f t="shared" si="1085"/>
        <v>0</v>
      </c>
      <c r="DG550" t="b">
        <f t="shared" si="1086"/>
        <v>0</v>
      </c>
      <c r="DH550" t="b">
        <f t="shared" si="1087"/>
        <v>0</v>
      </c>
      <c r="DI550" t="b">
        <f t="shared" si="1088"/>
        <v>0</v>
      </c>
      <c r="DJ550">
        <f t="shared" si="1089"/>
        <v>1</v>
      </c>
      <c r="DK550" t="b">
        <f t="shared" si="1090"/>
        <v>0</v>
      </c>
      <c r="DL550" t="b">
        <f t="shared" si="1091"/>
        <v>0</v>
      </c>
      <c r="DM550" t="b">
        <f t="shared" si="1092"/>
        <v>0</v>
      </c>
      <c r="DN550" t="b">
        <f t="shared" si="1093"/>
        <v>0</v>
      </c>
      <c r="DO550" t="b">
        <f t="shared" si="1094"/>
        <v>0</v>
      </c>
      <c r="DP550" t="b">
        <f t="shared" si="1095"/>
        <v>0</v>
      </c>
      <c r="DQ550" t="b">
        <f t="shared" si="1096"/>
        <v>0</v>
      </c>
      <c r="DR550" t="b">
        <f t="shared" si="1097"/>
        <v>0</v>
      </c>
      <c r="DS550" t="b">
        <f t="shared" si="1098"/>
        <v>0</v>
      </c>
      <c r="DT550" t="b">
        <f t="shared" si="1099"/>
        <v>0</v>
      </c>
      <c r="DU550" t="b">
        <f t="shared" si="1100"/>
        <v>0</v>
      </c>
      <c r="DV550" t="b">
        <f t="shared" si="1101"/>
        <v>0</v>
      </c>
      <c r="DW550" t="b">
        <f t="shared" si="1102"/>
        <v>0</v>
      </c>
      <c r="DX550" t="b">
        <f t="shared" si="1103"/>
        <v>0</v>
      </c>
      <c r="DY550" t="b">
        <f t="shared" si="1104"/>
        <v>0</v>
      </c>
      <c r="DZ550" t="b">
        <f t="shared" si="1105"/>
        <v>0</v>
      </c>
      <c r="EA550" t="b">
        <f t="shared" si="1106"/>
        <v>0</v>
      </c>
      <c r="EB550" t="b">
        <f t="shared" si="1107"/>
        <v>0</v>
      </c>
      <c r="EC550" t="b">
        <f t="shared" si="1108"/>
        <v>0</v>
      </c>
      <c r="ED550" t="b">
        <f t="shared" si="1109"/>
        <v>0</v>
      </c>
      <c r="EE550" t="b">
        <f t="shared" si="1110"/>
        <v>0</v>
      </c>
      <c r="EF550" t="b">
        <f t="shared" si="1111"/>
        <v>0</v>
      </c>
      <c r="EG550" t="b">
        <f t="shared" si="1112"/>
        <v>0</v>
      </c>
      <c r="EH550" t="b">
        <f t="shared" si="1113"/>
        <v>0</v>
      </c>
      <c r="EI550" t="b">
        <f t="shared" si="1114"/>
        <v>0</v>
      </c>
      <c r="EJ550" t="b">
        <f t="shared" si="1115"/>
        <v>0</v>
      </c>
      <c r="EK550" t="b">
        <f t="shared" si="1116"/>
        <v>0</v>
      </c>
    </row>
    <row r="551" spans="1:141">
      <c r="A551" t="s">
        <v>2779</v>
      </c>
      <c r="B551" t="s">
        <v>2780</v>
      </c>
      <c r="C551" t="s">
        <v>2781</v>
      </c>
      <c r="D551" s="1">
        <v>43060</v>
      </c>
      <c r="E551" s="2">
        <v>43129.326527777775</v>
      </c>
      <c r="F551" s="2">
        <v>43129.326527777775</v>
      </c>
      <c r="G551">
        <v>181871</v>
      </c>
      <c r="H551" t="s">
        <v>2782</v>
      </c>
      <c r="I551" s="10" t="s">
        <v>2783</v>
      </c>
      <c r="J551" t="s">
        <v>156</v>
      </c>
      <c r="K551" s="8" t="b">
        <v>1</v>
      </c>
      <c r="L551" s="10" t="b">
        <v>0</v>
      </c>
      <c r="M551" s="12" t="b">
        <v>0</v>
      </c>
      <c r="N551" t="b">
        <v>0</v>
      </c>
      <c r="O551" t="b">
        <v>0</v>
      </c>
      <c r="P551" t="b">
        <v>0</v>
      </c>
      <c r="Q551">
        <f t="shared" si="993"/>
        <v>3</v>
      </c>
      <c r="R551">
        <f t="shared" si="994"/>
        <v>11</v>
      </c>
      <c r="S551" t="e">
        <f t="shared" ca="1" si="1024"/>
        <v>#NAME?</v>
      </c>
      <c r="T551" t="e">
        <f t="shared" ca="1" si="995"/>
        <v>#NAME?</v>
      </c>
      <c r="U551" s="4">
        <f t="shared" si="996"/>
        <v>69.326527777775482</v>
      </c>
      <c r="V551" s="4">
        <f t="shared" si="997"/>
        <v>2.3108842592591827</v>
      </c>
      <c r="W551" s="4">
        <f t="shared" si="998"/>
        <v>1</v>
      </c>
      <c r="X551" s="4">
        <f t="shared" si="999"/>
        <v>0</v>
      </c>
      <c r="Y551" s="4">
        <f t="shared" si="1000"/>
        <v>0</v>
      </c>
      <c r="Z551" s="4">
        <f t="shared" si="1001"/>
        <v>0</v>
      </c>
      <c r="AA551" s="4">
        <f t="shared" si="1002"/>
        <v>0</v>
      </c>
      <c r="AB551" s="4">
        <f t="shared" si="1003"/>
        <v>0</v>
      </c>
      <c r="AC551" s="4"/>
      <c r="AD551" s="4" t="b">
        <f t="shared" si="1004"/>
        <v>0</v>
      </c>
      <c r="AE551" s="4" t="b">
        <f t="shared" si="1005"/>
        <v>0</v>
      </c>
      <c r="AF551" s="4" t="b">
        <f t="shared" si="1006"/>
        <v>0</v>
      </c>
      <c r="AG551" t="b">
        <f t="shared" si="1007"/>
        <v>0</v>
      </c>
      <c r="AH551" t="b">
        <f t="shared" si="1008"/>
        <v>0</v>
      </c>
      <c r="AI551" t="b">
        <f t="shared" si="1009"/>
        <v>0</v>
      </c>
      <c r="AJ551" t="b">
        <f t="shared" si="1010"/>
        <v>0</v>
      </c>
      <c r="AK551" t="b">
        <f t="shared" si="1011"/>
        <v>0</v>
      </c>
      <c r="AL551" t="b">
        <f t="shared" si="1012"/>
        <v>0</v>
      </c>
      <c r="AM551" t="b">
        <f t="shared" si="1013"/>
        <v>0</v>
      </c>
      <c r="AN551" t="b">
        <f t="shared" si="1014"/>
        <v>0</v>
      </c>
      <c r="AO551" t="b">
        <f t="shared" si="1015"/>
        <v>0</v>
      </c>
      <c r="AP551" t="b">
        <f t="shared" si="1016"/>
        <v>0</v>
      </c>
      <c r="AQ551" t="b">
        <f t="shared" si="1017"/>
        <v>0</v>
      </c>
      <c r="AR551" t="b">
        <f t="shared" si="1018"/>
        <v>0</v>
      </c>
      <c r="AS551" t="b">
        <f t="shared" si="1019"/>
        <v>0</v>
      </c>
      <c r="AT551" t="b">
        <f t="shared" si="1020"/>
        <v>0</v>
      </c>
      <c r="AU551" t="b">
        <f t="shared" si="1021"/>
        <v>0</v>
      </c>
      <c r="AV551" t="b">
        <f t="shared" si="1022"/>
        <v>0</v>
      </c>
      <c r="AW551" t="b">
        <f t="shared" si="1023"/>
        <v>0</v>
      </c>
      <c r="AX551" t="b">
        <f t="shared" si="1025"/>
        <v>0</v>
      </c>
      <c r="AY551" t="b">
        <f t="shared" si="1026"/>
        <v>0</v>
      </c>
      <c r="AZ551" t="b">
        <f t="shared" si="1027"/>
        <v>0</v>
      </c>
      <c r="BA551" t="b">
        <f t="shared" si="1028"/>
        <v>0</v>
      </c>
      <c r="BB551" t="b">
        <f t="shared" si="1029"/>
        <v>0</v>
      </c>
      <c r="BC551" t="b">
        <f t="shared" si="1030"/>
        <v>0</v>
      </c>
      <c r="BD551" t="b">
        <f t="shared" si="1031"/>
        <v>0</v>
      </c>
      <c r="BE551" t="b">
        <f t="shared" si="1032"/>
        <v>0</v>
      </c>
      <c r="BF551" t="b">
        <f t="shared" si="1033"/>
        <v>0</v>
      </c>
      <c r="BG551" t="b">
        <f t="shared" si="1034"/>
        <v>0</v>
      </c>
      <c r="BH551" t="b">
        <f t="shared" si="1035"/>
        <v>0</v>
      </c>
      <c r="BI551">
        <f t="shared" si="1036"/>
        <v>1</v>
      </c>
      <c r="BJ551" t="b">
        <f t="shared" si="1037"/>
        <v>0</v>
      </c>
      <c r="BK551" t="b">
        <f t="shared" si="1038"/>
        <v>0</v>
      </c>
      <c r="BL551" t="b">
        <f t="shared" si="1039"/>
        <v>0</v>
      </c>
      <c r="BM551" t="b">
        <f t="shared" si="1040"/>
        <v>0</v>
      </c>
      <c r="BN551" t="b">
        <f t="shared" si="1041"/>
        <v>0</v>
      </c>
      <c r="BO551" t="b">
        <f t="shared" si="1042"/>
        <v>0</v>
      </c>
      <c r="BP551" t="b">
        <f t="shared" si="1043"/>
        <v>0</v>
      </c>
      <c r="BQ551" t="b">
        <f t="shared" si="1044"/>
        <v>0</v>
      </c>
      <c r="BR551" t="b">
        <f t="shared" si="1045"/>
        <v>0</v>
      </c>
      <c r="BS551" t="b">
        <f t="shared" si="1046"/>
        <v>0</v>
      </c>
      <c r="BT551" t="b">
        <f t="shared" si="1047"/>
        <v>0</v>
      </c>
      <c r="BU551" t="b">
        <f t="shared" si="1048"/>
        <v>0</v>
      </c>
      <c r="BV551" t="b">
        <f t="shared" si="1049"/>
        <v>0</v>
      </c>
      <c r="BW551" t="b">
        <f t="shared" si="1050"/>
        <v>0</v>
      </c>
      <c r="BX551" t="b">
        <f t="shared" si="1051"/>
        <v>0</v>
      </c>
      <c r="BY551" t="b">
        <f t="shared" si="1052"/>
        <v>0</v>
      </c>
      <c r="BZ551" t="b">
        <f t="shared" si="1053"/>
        <v>0</v>
      </c>
      <c r="CA551" t="b">
        <f t="shared" si="1054"/>
        <v>0</v>
      </c>
      <c r="CB551" t="b">
        <f t="shared" si="1055"/>
        <v>0</v>
      </c>
      <c r="CC551" t="b">
        <f t="shared" si="1056"/>
        <v>0</v>
      </c>
      <c r="CD551" t="b">
        <f t="shared" si="1057"/>
        <v>0</v>
      </c>
      <c r="CE551" t="b">
        <f t="shared" si="1058"/>
        <v>0</v>
      </c>
      <c r="CF551" t="b">
        <f t="shared" si="1059"/>
        <v>0</v>
      </c>
      <c r="CG551" t="b">
        <f t="shared" si="1060"/>
        <v>0</v>
      </c>
      <c r="CH551" t="b">
        <f t="shared" si="1061"/>
        <v>0</v>
      </c>
      <c r="CI551" t="b">
        <f t="shared" si="1062"/>
        <v>0</v>
      </c>
      <c r="CJ551" t="b">
        <f t="shared" si="1063"/>
        <v>0</v>
      </c>
      <c r="CK551" t="b">
        <f t="shared" si="1064"/>
        <v>0</v>
      </c>
      <c r="CL551" t="b">
        <f t="shared" si="1065"/>
        <v>0</v>
      </c>
      <c r="CM551" t="b">
        <f t="shared" si="1066"/>
        <v>0</v>
      </c>
      <c r="CN551" t="b">
        <f t="shared" si="1067"/>
        <v>0</v>
      </c>
      <c r="CO551" t="b">
        <f t="shared" si="1068"/>
        <v>0</v>
      </c>
      <c r="CP551" t="b">
        <f t="shared" si="1069"/>
        <v>0</v>
      </c>
      <c r="CQ551" t="b">
        <f t="shared" si="1070"/>
        <v>0</v>
      </c>
      <c r="CR551" t="b">
        <f t="shared" si="1071"/>
        <v>0</v>
      </c>
      <c r="CS551" t="b">
        <f t="shared" si="1072"/>
        <v>0</v>
      </c>
      <c r="CT551" t="b">
        <f t="shared" si="1073"/>
        <v>0</v>
      </c>
      <c r="CU551" t="b">
        <f t="shared" si="1074"/>
        <v>0</v>
      </c>
      <c r="CV551">
        <f t="shared" si="1075"/>
        <v>1</v>
      </c>
      <c r="CW551" t="b">
        <f t="shared" si="1076"/>
        <v>0</v>
      </c>
      <c r="CX551" t="b">
        <f t="shared" si="1077"/>
        <v>0</v>
      </c>
      <c r="CY551" t="b">
        <f t="shared" si="1078"/>
        <v>0</v>
      </c>
      <c r="CZ551" t="b">
        <f t="shared" si="1079"/>
        <v>0</v>
      </c>
      <c r="DA551" t="b">
        <f t="shared" si="1080"/>
        <v>0</v>
      </c>
      <c r="DB551" t="b">
        <f t="shared" si="1081"/>
        <v>0</v>
      </c>
      <c r="DC551" t="b">
        <f t="shared" si="1082"/>
        <v>0</v>
      </c>
      <c r="DD551" t="b">
        <f t="shared" si="1083"/>
        <v>0</v>
      </c>
      <c r="DE551" t="b">
        <f t="shared" si="1084"/>
        <v>0</v>
      </c>
      <c r="DF551" t="b">
        <f t="shared" si="1085"/>
        <v>0</v>
      </c>
      <c r="DG551" t="b">
        <f t="shared" si="1086"/>
        <v>0</v>
      </c>
      <c r="DH551" t="b">
        <f t="shared" si="1087"/>
        <v>0</v>
      </c>
      <c r="DI551" t="b">
        <f t="shared" si="1088"/>
        <v>0</v>
      </c>
      <c r="DJ551" t="b">
        <f t="shared" si="1089"/>
        <v>0</v>
      </c>
      <c r="DK551" t="b">
        <f t="shared" si="1090"/>
        <v>0</v>
      </c>
      <c r="DL551" t="b">
        <f t="shared" si="1091"/>
        <v>0</v>
      </c>
      <c r="DM551" t="b">
        <f t="shared" si="1092"/>
        <v>0</v>
      </c>
      <c r="DN551" t="b">
        <f t="shared" si="1093"/>
        <v>0</v>
      </c>
      <c r="DO551" t="b">
        <f t="shared" si="1094"/>
        <v>0</v>
      </c>
      <c r="DP551" t="b">
        <f t="shared" si="1095"/>
        <v>0</v>
      </c>
      <c r="DQ551" t="b">
        <f t="shared" si="1096"/>
        <v>0</v>
      </c>
      <c r="DR551" t="b">
        <f t="shared" si="1097"/>
        <v>0</v>
      </c>
      <c r="DS551" t="b">
        <f t="shared" si="1098"/>
        <v>0</v>
      </c>
      <c r="DT551" t="b">
        <f t="shared" si="1099"/>
        <v>0</v>
      </c>
      <c r="DU551" t="b">
        <f t="shared" si="1100"/>
        <v>0</v>
      </c>
      <c r="DV551" t="b">
        <f t="shared" si="1101"/>
        <v>0</v>
      </c>
      <c r="DW551" t="b">
        <f t="shared" si="1102"/>
        <v>0</v>
      </c>
      <c r="DX551" t="b">
        <f t="shared" si="1103"/>
        <v>0</v>
      </c>
      <c r="DY551" t="b">
        <f t="shared" si="1104"/>
        <v>0</v>
      </c>
      <c r="DZ551" t="b">
        <f t="shared" si="1105"/>
        <v>0</v>
      </c>
      <c r="EA551" t="b">
        <f t="shared" si="1106"/>
        <v>0</v>
      </c>
      <c r="EB551" t="b">
        <f t="shared" si="1107"/>
        <v>0</v>
      </c>
      <c r="EC551" t="b">
        <f t="shared" si="1108"/>
        <v>0</v>
      </c>
      <c r="ED551" t="b">
        <f t="shared" si="1109"/>
        <v>0</v>
      </c>
      <c r="EE551" t="b">
        <f t="shared" si="1110"/>
        <v>0</v>
      </c>
      <c r="EF551">
        <f t="shared" si="1111"/>
        <v>1</v>
      </c>
      <c r="EG551" t="b">
        <f t="shared" si="1112"/>
        <v>0</v>
      </c>
      <c r="EH551" t="b">
        <f t="shared" si="1113"/>
        <v>0</v>
      </c>
      <c r="EI551" t="b">
        <f t="shared" si="1114"/>
        <v>0</v>
      </c>
      <c r="EJ551" t="b">
        <f t="shared" si="1115"/>
        <v>0</v>
      </c>
      <c r="EK551" t="b">
        <f t="shared" si="1116"/>
        <v>0</v>
      </c>
    </row>
    <row r="552" spans="1:141">
      <c r="A552" t="s">
        <v>2784</v>
      </c>
      <c r="B552" t="s">
        <v>2784</v>
      </c>
      <c r="C552" t="s">
        <v>2785</v>
      </c>
      <c r="D552" s="1">
        <v>44117</v>
      </c>
      <c r="E552" s="2">
        <v>44483.41810185185</v>
      </c>
      <c r="F552" s="2">
        <v>44483.41810185185</v>
      </c>
      <c r="G552">
        <v>228102</v>
      </c>
      <c r="H552" t="s">
        <v>2786</v>
      </c>
      <c r="I552" s="10" t="s">
        <v>2787</v>
      </c>
      <c r="J552" t="s">
        <v>2788</v>
      </c>
      <c r="K552" s="8" t="b">
        <v>1</v>
      </c>
      <c r="L552" s="10" t="b">
        <v>0</v>
      </c>
      <c r="M552" s="12" t="b">
        <v>0</v>
      </c>
      <c r="N552" t="b">
        <v>0</v>
      </c>
      <c r="O552" t="b">
        <v>0</v>
      </c>
      <c r="P552" t="b">
        <v>0</v>
      </c>
      <c r="Q552">
        <f t="shared" si="993"/>
        <v>3</v>
      </c>
      <c r="R552">
        <f t="shared" si="994"/>
        <v>10</v>
      </c>
      <c r="S552" t="e">
        <f t="shared" ca="1" si="1024"/>
        <v>#NAME?</v>
      </c>
      <c r="T552" t="e">
        <f t="shared" ca="1" si="995"/>
        <v>#NAME?</v>
      </c>
      <c r="U552" s="4">
        <f t="shared" si="996"/>
        <v>366.41810185185022</v>
      </c>
      <c r="V552" s="4">
        <f t="shared" si="997"/>
        <v>12.213936728395007</v>
      </c>
      <c r="W552" s="4">
        <f t="shared" si="998"/>
        <v>1</v>
      </c>
      <c r="X552" s="4">
        <f t="shared" si="999"/>
        <v>0</v>
      </c>
      <c r="Y552" s="4">
        <f t="shared" si="1000"/>
        <v>0</v>
      </c>
      <c r="Z552" s="4">
        <f t="shared" si="1001"/>
        <v>0</v>
      </c>
      <c r="AA552" s="4">
        <f t="shared" si="1002"/>
        <v>0</v>
      </c>
      <c r="AB552" s="4">
        <f t="shared" si="1003"/>
        <v>0</v>
      </c>
      <c r="AC552" s="4"/>
      <c r="AD552" s="4" t="b">
        <f t="shared" si="1004"/>
        <v>0</v>
      </c>
      <c r="AE552" s="4" t="b">
        <f t="shared" si="1005"/>
        <v>0</v>
      </c>
      <c r="AF552" s="4" t="b">
        <f t="shared" si="1006"/>
        <v>0</v>
      </c>
      <c r="AG552" t="b">
        <f t="shared" si="1007"/>
        <v>0</v>
      </c>
      <c r="AH552" t="b">
        <f t="shared" si="1008"/>
        <v>0</v>
      </c>
      <c r="AI552" t="b">
        <f t="shared" si="1009"/>
        <v>0</v>
      </c>
      <c r="AJ552" t="b">
        <f t="shared" si="1010"/>
        <v>0</v>
      </c>
      <c r="AK552" t="b">
        <f t="shared" si="1011"/>
        <v>0</v>
      </c>
      <c r="AL552" t="b">
        <f t="shared" si="1012"/>
        <v>0</v>
      </c>
      <c r="AM552" t="b">
        <f t="shared" si="1013"/>
        <v>0</v>
      </c>
      <c r="AN552" t="b">
        <f t="shared" si="1014"/>
        <v>0</v>
      </c>
      <c r="AO552" t="b">
        <f t="shared" si="1015"/>
        <v>0</v>
      </c>
      <c r="AP552" t="b">
        <f t="shared" si="1016"/>
        <v>0</v>
      </c>
      <c r="AQ552" t="b">
        <f t="shared" si="1017"/>
        <v>0</v>
      </c>
      <c r="AR552" t="b">
        <f t="shared" si="1018"/>
        <v>0</v>
      </c>
      <c r="AS552" t="b">
        <f t="shared" si="1019"/>
        <v>0</v>
      </c>
      <c r="AT552" t="b">
        <f t="shared" si="1020"/>
        <v>0</v>
      </c>
      <c r="AU552" t="b">
        <f t="shared" si="1021"/>
        <v>0</v>
      </c>
      <c r="AV552" t="b">
        <f t="shared" si="1022"/>
        <v>0</v>
      </c>
      <c r="AW552" t="b">
        <f t="shared" si="1023"/>
        <v>0</v>
      </c>
      <c r="AX552" t="b">
        <f t="shared" si="1025"/>
        <v>0</v>
      </c>
      <c r="AY552" t="b">
        <f t="shared" si="1026"/>
        <v>0</v>
      </c>
      <c r="AZ552">
        <f t="shared" si="1027"/>
        <v>1</v>
      </c>
      <c r="BA552" t="b">
        <f t="shared" si="1028"/>
        <v>0</v>
      </c>
      <c r="BB552" t="b">
        <f t="shared" si="1029"/>
        <v>0</v>
      </c>
      <c r="BC552" t="b">
        <f t="shared" si="1030"/>
        <v>0</v>
      </c>
      <c r="BD552" t="b">
        <f t="shared" si="1031"/>
        <v>0</v>
      </c>
      <c r="BE552" t="b">
        <f t="shared" si="1032"/>
        <v>0</v>
      </c>
      <c r="BF552" t="b">
        <f t="shared" si="1033"/>
        <v>0</v>
      </c>
      <c r="BG552" t="b">
        <f t="shared" si="1034"/>
        <v>0</v>
      </c>
      <c r="BH552" t="b">
        <f t="shared" si="1035"/>
        <v>0</v>
      </c>
      <c r="BI552">
        <f t="shared" si="1036"/>
        <v>1</v>
      </c>
      <c r="BJ552" t="b">
        <f t="shared" si="1037"/>
        <v>0</v>
      </c>
      <c r="BK552" t="b">
        <f t="shared" si="1038"/>
        <v>0</v>
      </c>
      <c r="BL552" t="b">
        <f t="shared" si="1039"/>
        <v>0</v>
      </c>
      <c r="BM552" t="b">
        <f t="shared" si="1040"/>
        <v>0</v>
      </c>
      <c r="BN552" t="b">
        <f t="shared" si="1041"/>
        <v>0</v>
      </c>
      <c r="BO552" t="b">
        <f t="shared" si="1042"/>
        <v>0</v>
      </c>
      <c r="BP552" t="b">
        <f t="shared" si="1043"/>
        <v>0</v>
      </c>
      <c r="BQ552" t="b">
        <f t="shared" si="1044"/>
        <v>0</v>
      </c>
      <c r="BR552" t="b">
        <f t="shared" si="1045"/>
        <v>0</v>
      </c>
      <c r="BS552" t="b">
        <f t="shared" si="1046"/>
        <v>0</v>
      </c>
      <c r="BT552" t="b">
        <f t="shared" si="1047"/>
        <v>0</v>
      </c>
      <c r="BU552" t="b">
        <f t="shared" si="1048"/>
        <v>0</v>
      </c>
      <c r="BV552" t="b">
        <f t="shared" si="1049"/>
        <v>0</v>
      </c>
      <c r="BW552" t="b">
        <f t="shared" si="1050"/>
        <v>0</v>
      </c>
      <c r="BX552" t="b">
        <f t="shared" si="1051"/>
        <v>0</v>
      </c>
      <c r="BY552" t="b">
        <f t="shared" si="1052"/>
        <v>0</v>
      </c>
      <c r="BZ552" t="b">
        <f t="shared" si="1053"/>
        <v>0</v>
      </c>
      <c r="CA552" t="b">
        <f t="shared" si="1054"/>
        <v>0</v>
      </c>
      <c r="CB552" t="b">
        <f t="shared" si="1055"/>
        <v>0</v>
      </c>
      <c r="CC552" t="b">
        <f t="shared" si="1056"/>
        <v>0</v>
      </c>
      <c r="CD552" t="b">
        <f t="shared" si="1057"/>
        <v>0</v>
      </c>
      <c r="CE552">
        <f t="shared" si="1058"/>
        <v>1</v>
      </c>
      <c r="CF552" t="b">
        <f t="shared" si="1059"/>
        <v>0</v>
      </c>
      <c r="CG552" t="b">
        <f t="shared" si="1060"/>
        <v>0</v>
      </c>
      <c r="CH552" t="b">
        <f t="shared" si="1061"/>
        <v>0</v>
      </c>
      <c r="CI552" t="b">
        <f t="shared" si="1062"/>
        <v>0</v>
      </c>
      <c r="CJ552" t="b">
        <f t="shared" si="1063"/>
        <v>0</v>
      </c>
      <c r="CK552" t="b">
        <f t="shared" si="1064"/>
        <v>0</v>
      </c>
      <c r="CL552" t="b">
        <f t="shared" si="1065"/>
        <v>0</v>
      </c>
      <c r="CM552">
        <f t="shared" si="1066"/>
        <v>1</v>
      </c>
      <c r="CN552" t="b">
        <f t="shared" si="1067"/>
        <v>0</v>
      </c>
      <c r="CO552" t="b">
        <f t="shared" si="1068"/>
        <v>0</v>
      </c>
      <c r="CP552" t="b">
        <f t="shared" si="1069"/>
        <v>0</v>
      </c>
      <c r="CQ552" t="b">
        <f t="shared" si="1070"/>
        <v>0</v>
      </c>
      <c r="CR552" t="b">
        <f t="shared" si="1071"/>
        <v>0</v>
      </c>
      <c r="CS552" t="b">
        <f t="shared" si="1072"/>
        <v>0</v>
      </c>
      <c r="CT552" t="b">
        <f t="shared" si="1073"/>
        <v>0</v>
      </c>
      <c r="CU552" t="b">
        <f t="shared" si="1074"/>
        <v>0</v>
      </c>
      <c r="CV552">
        <f t="shared" si="1075"/>
        <v>1</v>
      </c>
      <c r="CW552" t="b">
        <f t="shared" si="1076"/>
        <v>0</v>
      </c>
      <c r="CX552" t="b">
        <f t="shared" si="1077"/>
        <v>0</v>
      </c>
      <c r="CY552" t="b">
        <f t="shared" si="1078"/>
        <v>0</v>
      </c>
      <c r="CZ552" t="b">
        <f t="shared" si="1079"/>
        <v>0</v>
      </c>
      <c r="DA552" t="b">
        <f t="shared" si="1080"/>
        <v>0</v>
      </c>
      <c r="DB552">
        <f t="shared" si="1081"/>
        <v>1</v>
      </c>
      <c r="DC552" t="b">
        <f t="shared" si="1082"/>
        <v>0</v>
      </c>
      <c r="DD552" t="b">
        <f t="shared" si="1083"/>
        <v>0</v>
      </c>
      <c r="DE552" t="b">
        <f t="shared" si="1084"/>
        <v>0</v>
      </c>
      <c r="DF552" t="b">
        <f t="shared" si="1085"/>
        <v>0</v>
      </c>
      <c r="DG552" t="b">
        <f t="shared" si="1086"/>
        <v>0</v>
      </c>
      <c r="DH552" t="b">
        <f t="shared" si="1087"/>
        <v>0</v>
      </c>
      <c r="DI552" t="b">
        <f t="shared" si="1088"/>
        <v>0</v>
      </c>
      <c r="DJ552" t="b">
        <f t="shared" si="1089"/>
        <v>0</v>
      </c>
      <c r="DK552" t="b">
        <f t="shared" si="1090"/>
        <v>0</v>
      </c>
      <c r="DL552" t="b">
        <f t="shared" si="1091"/>
        <v>0</v>
      </c>
      <c r="DM552" t="b">
        <f t="shared" si="1092"/>
        <v>0</v>
      </c>
      <c r="DN552" t="b">
        <f t="shared" si="1093"/>
        <v>0</v>
      </c>
      <c r="DO552" t="b">
        <f t="shared" si="1094"/>
        <v>0</v>
      </c>
      <c r="DP552" t="b">
        <f t="shared" si="1095"/>
        <v>0</v>
      </c>
      <c r="DQ552" t="b">
        <f t="shared" si="1096"/>
        <v>0</v>
      </c>
      <c r="DR552" t="b">
        <f t="shared" si="1097"/>
        <v>0</v>
      </c>
      <c r="DS552" t="b">
        <f t="shared" si="1098"/>
        <v>0</v>
      </c>
      <c r="DT552" t="b">
        <f t="shared" si="1099"/>
        <v>0</v>
      </c>
      <c r="DU552" t="b">
        <f t="shared" si="1100"/>
        <v>0</v>
      </c>
      <c r="DV552" t="b">
        <f t="shared" si="1101"/>
        <v>0</v>
      </c>
      <c r="DW552" t="b">
        <f t="shared" si="1102"/>
        <v>0</v>
      </c>
      <c r="DX552" t="b">
        <f t="shared" si="1103"/>
        <v>0</v>
      </c>
      <c r="DY552" t="b">
        <f t="shared" si="1104"/>
        <v>0</v>
      </c>
      <c r="DZ552" t="b">
        <f t="shared" si="1105"/>
        <v>0</v>
      </c>
      <c r="EA552" t="b">
        <f t="shared" si="1106"/>
        <v>0</v>
      </c>
      <c r="EB552" t="b">
        <f t="shared" si="1107"/>
        <v>0</v>
      </c>
      <c r="EC552" t="b">
        <f t="shared" si="1108"/>
        <v>0</v>
      </c>
      <c r="ED552" t="b">
        <f t="shared" si="1109"/>
        <v>0</v>
      </c>
      <c r="EE552" t="b">
        <f t="shared" si="1110"/>
        <v>0</v>
      </c>
      <c r="EF552">
        <f t="shared" si="1111"/>
        <v>1</v>
      </c>
      <c r="EG552" t="b">
        <f t="shared" si="1112"/>
        <v>0</v>
      </c>
      <c r="EH552" t="b">
        <f t="shared" si="1113"/>
        <v>0</v>
      </c>
      <c r="EI552" t="b">
        <f t="shared" si="1114"/>
        <v>0</v>
      </c>
      <c r="EJ552" t="b">
        <f t="shared" si="1115"/>
        <v>0</v>
      </c>
      <c r="EK552" t="b">
        <f t="shared" si="1116"/>
        <v>0</v>
      </c>
    </row>
    <row r="553" spans="1:141">
      <c r="A553" t="s">
        <v>2789</v>
      </c>
      <c r="B553" t="s">
        <v>2790</v>
      </c>
      <c r="C553" t="s">
        <v>2791</v>
      </c>
      <c r="D553" s="1">
        <v>41640</v>
      </c>
      <c r="E553" s="2">
        <v>42091.23296296296</v>
      </c>
      <c r="F553" s="2">
        <v>42091.23296296296</v>
      </c>
      <c r="G553">
        <v>612414</v>
      </c>
      <c r="H553" t="s">
        <v>2792</v>
      </c>
      <c r="I553" s="10" t="s">
        <v>2793</v>
      </c>
      <c r="J553" t="s">
        <v>188</v>
      </c>
      <c r="K553" s="8" t="b">
        <v>1</v>
      </c>
      <c r="L553" s="10" t="b">
        <v>0</v>
      </c>
      <c r="M553" s="12" t="b">
        <v>0</v>
      </c>
      <c r="N553" t="b">
        <v>0</v>
      </c>
      <c r="O553" t="b">
        <v>0</v>
      </c>
      <c r="P553" t="b">
        <v>0</v>
      </c>
      <c r="Q553">
        <f t="shared" si="993"/>
        <v>4</v>
      </c>
      <c r="R553">
        <f t="shared" si="994"/>
        <v>1</v>
      </c>
      <c r="S553" t="e">
        <f t="shared" ca="1" si="1024"/>
        <v>#NAME?</v>
      </c>
      <c r="T553" t="e">
        <f t="shared" ca="1" si="995"/>
        <v>#NAME?</v>
      </c>
      <c r="U553" s="4">
        <f t="shared" si="996"/>
        <v>451.2329629629603</v>
      </c>
      <c r="V553" s="4">
        <f t="shared" si="997"/>
        <v>15.041098765432009</v>
      </c>
      <c r="W553" s="4">
        <f t="shared" si="998"/>
        <v>1</v>
      </c>
      <c r="X553" s="4">
        <f t="shared" si="999"/>
        <v>0</v>
      </c>
      <c r="Y553" s="4">
        <f t="shared" si="1000"/>
        <v>0</v>
      </c>
      <c r="Z553" s="4">
        <f t="shared" si="1001"/>
        <v>0</v>
      </c>
      <c r="AA553" s="4">
        <f t="shared" si="1002"/>
        <v>0</v>
      </c>
      <c r="AB553" s="4">
        <f t="shared" si="1003"/>
        <v>0</v>
      </c>
      <c r="AC553" s="4"/>
      <c r="AD553" s="4" t="b">
        <f t="shared" si="1004"/>
        <v>0</v>
      </c>
      <c r="AE553" s="4" t="b">
        <f t="shared" si="1005"/>
        <v>0</v>
      </c>
      <c r="AF553" s="4" t="b">
        <f t="shared" si="1006"/>
        <v>0</v>
      </c>
      <c r="AG553" t="b">
        <f t="shared" si="1007"/>
        <v>0</v>
      </c>
      <c r="AH553" t="b">
        <f t="shared" si="1008"/>
        <v>0</v>
      </c>
      <c r="AI553" t="b">
        <f t="shared" si="1009"/>
        <v>0</v>
      </c>
      <c r="AJ553" t="b">
        <f t="shared" si="1010"/>
        <v>0</v>
      </c>
      <c r="AK553" t="b">
        <f t="shared" si="1011"/>
        <v>0</v>
      </c>
      <c r="AL553" t="b">
        <f t="shared" si="1012"/>
        <v>0</v>
      </c>
      <c r="AM553" t="b">
        <f t="shared" si="1013"/>
        <v>0</v>
      </c>
      <c r="AN553" t="b">
        <f t="shared" si="1014"/>
        <v>0</v>
      </c>
      <c r="AO553" t="b">
        <f t="shared" si="1015"/>
        <v>0</v>
      </c>
      <c r="AP553" t="b">
        <f t="shared" si="1016"/>
        <v>0</v>
      </c>
      <c r="AQ553" t="b">
        <f t="shared" si="1017"/>
        <v>0</v>
      </c>
      <c r="AR553" t="b">
        <f t="shared" si="1018"/>
        <v>0</v>
      </c>
      <c r="AS553" t="b">
        <f t="shared" si="1019"/>
        <v>0</v>
      </c>
      <c r="AT553" t="b">
        <f t="shared" si="1020"/>
        <v>0</v>
      </c>
      <c r="AU553" t="b">
        <f t="shared" si="1021"/>
        <v>0</v>
      </c>
      <c r="AV553" t="b">
        <f t="shared" si="1022"/>
        <v>0</v>
      </c>
      <c r="AW553" t="b">
        <f t="shared" si="1023"/>
        <v>0</v>
      </c>
      <c r="AX553" t="b">
        <f t="shared" si="1025"/>
        <v>0</v>
      </c>
      <c r="AY553" t="b">
        <f t="shared" si="1026"/>
        <v>0</v>
      </c>
      <c r="AZ553" t="b">
        <f t="shared" si="1027"/>
        <v>0</v>
      </c>
      <c r="BA553" t="b">
        <f t="shared" si="1028"/>
        <v>0</v>
      </c>
      <c r="BB553" t="b">
        <f t="shared" si="1029"/>
        <v>0</v>
      </c>
      <c r="BC553" t="b">
        <f t="shared" si="1030"/>
        <v>0</v>
      </c>
      <c r="BD553" t="b">
        <f t="shared" si="1031"/>
        <v>0</v>
      </c>
      <c r="BE553" t="b">
        <f t="shared" si="1032"/>
        <v>0</v>
      </c>
      <c r="BF553" t="b">
        <f t="shared" si="1033"/>
        <v>0</v>
      </c>
      <c r="BG553" t="b">
        <f t="shared" si="1034"/>
        <v>0</v>
      </c>
      <c r="BH553" t="b">
        <f t="shared" si="1035"/>
        <v>0</v>
      </c>
      <c r="BI553">
        <f t="shared" si="1036"/>
        <v>1</v>
      </c>
      <c r="BJ553" t="b">
        <f t="shared" si="1037"/>
        <v>0</v>
      </c>
      <c r="BK553" t="b">
        <f t="shared" si="1038"/>
        <v>0</v>
      </c>
      <c r="BL553" t="b">
        <f t="shared" si="1039"/>
        <v>0</v>
      </c>
      <c r="BM553" t="b">
        <f t="shared" si="1040"/>
        <v>0</v>
      </c>
      <c r="BN553" t="b">
        <f t="shared" si="1041"/>
        <v>0</v>
      </c>
      <c r="BO553" t="b">
        <f t="shared" si="1042"/>
        <v>0</v>
      </c>
      <c r="BP553" t="b">
        <f t="shared" si="1043"/>
        <v>0</v>
      </c>
      <c r="BQ553" t="b">
        <f t="shared" si="1044"/>
        <v>0</v>
      </c>
      <c r="BR553" t="b">
        <f t="shared" si="1045"/>
        <v>0</v>
      </c>
      <c r="BS553" t="b">
        <f t="shared" si="1046"/>
        <v>0</v>
      </c>
      <c r="BT553" t="b">
        <f t="shared" si="1047"/>
        <v>0</v>
      </c>
      <c r="BU553" t="b">
        <f t="shared" si="1048"/>
        <v>0</v>
      </c>
      <c r="BV553" t="b">
        <f t="shared" si="1049"/>
        <v>0</v>
      </c>
      <c r="BW553" t="b">
        <f t="shared" si="1050"/>
        <v>0</v>
      </c>
      <c r="BX553" t="b">
        <f t="shared" si="1051"/>
        <v>0</v>
      </c>
      <c r="BY553" t="b">
        <f t="shared" si="1052"/>
        <v>0</v>
      </c>
      <c r="BZ553" t="b">
        <f t="shared" si="1053"/>
        <v>0</v>
      </c>
      <c r="CA553" t="b">
        <f t="shared" si="1054"/>
        <v>0</v>
      </c>
      <c r="CB553" t="b">
        <f t="shared" si="1055"/>
        <v>0</v>
      </c>
      <c r="CC553" t="b">
        <f t="shared" si="1056"/>
        <v>0</v>
      </c>
      <c r="CD553" t="b">
        <f t="shared" si="1057"/>
        <v>0</v>
      </c>
      <c r="CE553">
        <f t="shared" si="1058"/>
        <v>1</v>
      </c>
      <c r="CF553" t="b">
        <f t="shared" si="1059"/>
        <v>0</v>
      </c>
      <c r="CG553" t="b">
        <f t="shared" si="1060"/>
        <v>0</v>
      </c>
      <c r="CH553" t="b">
        <f t="shared" si="1061"/>
        <v>0</v>
      </c>
      <c r="CI553" t="b">
        <f t="shared" si="1062"/>
        <v>0</v>
      </c>
      <c r="CJ553" t="b">
        <f t="shared" si="1063"/>
        <v>0</v>
      </c>
      <c r="CK553" t="b">
        <f t="shared" si="1064"/>
        <v>0</v>
      </c>
      <c r="CL553" t="b">
        <f t="shared" si="1065"/>
        <v>0</v>
      </c>
      <c r="CM553" t="b">
        <f t="shared" si="1066"/>
        <v>0</v>
      </c>
      <c r="CN553" t="b">
        <f t="shared" si="1067"/>
        <v>0</v>
      </c>
      <c r="CO553" t="b">
        <f t="shared" si="1068"/>
        <v>0</v>
      </c>
      <c r="CP553" t="b">
        <f t="shared" si="1069"/>
        <v>0</v>
      </c>
      <c r="CQ553" t="b">
        <f t="shared" si="1070"/>
        <v>0</v>
      </c>
      <c r="CR553" t="b">
        <f t="shared" si="1071"/>
        <v>0</v>
      </c>
      <c r="CS553" t="b">
        <f t="shared" si="1072"/>
        <v>0</v>
      </c>
      <c r="CT553" t="b">
        <f t="shared" si="1073"/>
        <v>0</v>
      </c>
      <c r="CU553" t="b">
        <f t="shared" si="1074"/>
        <v>0</v>
      </c>
      <c r="CV553">
        <f t="shared" si="1075"/>
        <v>1</v>
      </c>
      <c r="CW553" t="b">
        <f t="shared" si="1076"/>
        <v>0</v>
      </c>
      <c r="CX553" t="b">
        <f t="shared" si="1077"/>
        <v>0</v>
      </c>
      <c r="CY553" t="b">
        <f t="shared" si="1078"/>
        <v>0</v>
      </c>
      <c r="CZ553" t="b">
        <f t="shared" si="1079"/>
        <v>0</v>
      </c>
      <c r="DA553" t="b">
        <f t="shared" si="1080"/>
        <v>0</v>
      </c>
      <c r="DB553" t="b">
        <f t="shared" si="1081"/>
        <v>0</v>
      </c>
      <c r="DC553" t="b">
        <f t="shared" si="1082"/>
        <v>0</v>
      </c>
      <c r="DD553" t="b">
        <f t="shared" si="1083"/>
        <v>0</v>
      </c>
      <c r="DE553" t="b">
        <f t="shared" si="1084"/>
        <v>0</v>
      </c>
      <c r="DF553" t="b">
        <f t="shared" si="1085"/>
        <v>0</v>
      </c>
      <c r="DG553" t="b">
        <f t="shared" si="1086"/>
        <v>0</v>
      </c>
      <c r="DH553" t="b">
        <f t="shared" si="1087"/>
        <v>0</v>
      </c>
      <c r="DI553" t="b">
        <f t="shared" si="1088"/>
        <v>0</v>
      </c>
      <c r="DJ553" t="b">
        <f t="shared" si="1089"/>
        <v>0</v>
      </c>
      <c r="DK553" t="b">
        <f t="shared" si="1090"/>
        <v>0</v>
      </c>
      <c r="DL553" t="b">
        <f t="shared" si="1091"/>
        <v>0</v>
      </c>
      <c r="DM553" t="b">
        <f t="shared" si="1092"/>
        <v>0</v>
      </c>
      <c r="DN553" t="b">
        <f t="shared" si="1093"/>
        <v>0</v>
      </c>
      <c r="DO553" t="b">
        <f t="shared" si="1094"/>
        <v>0</v>
      </c>
      <c r="DP553" t="b">
        <f t="shared" si="1095"/>
        <v>0</v>
      </c>
      <c r="DQ553" t="b">
        <f t="shared" si="1096"/>
        <v>0</v>
      </c>
      <c r="DR553" t="b">
        <f t="shared" si="1097"/>
        <v>0</v>
      </c>
      <c r="DS553" t="b">
        <f t="shared" si="1098"/>
        <v>0</v>
      </c>
      <c r="DT553" t="b">
        <f t="shared" si="1099"/>
        <v>0</v>
      </c>
      <c r="DU553" t="b">
        <f t="shared" si="1100"/>
        <v>0</v>
      </c>
      <c r="DV553" t="b">
        <f t="shared" si="1101"/>
        <v>0</v>
      </c>
      <c r="DW553" t="b">
        <f t="shared" si="1102"/>
        <v>0</v>
      </c>
      <c r="DX553" t="b">
        <f t="shared" si="1103"/>
        <v>0</v>
      </c>
      <c r="DY553" t="b">
        <f t="shared" si="1104"/>
        <v>0</v>
      </c>
      <c r="DZ553" t="b">
        <f t="shared" si="1105"/>
        <v>0</v>
      </c>
      <c r="EA553" t="b">
        <f t="shared" si="1106"/>
        <v>0</v>
      </c>
      <c r="EB553" t="b">
        <f t="shared" si="1107"/>
        <v>0</v>
      </c>
      <c r="EC553" t="b">
        <f t="shared" si="1108"/>
        <v>0</v>
      </c>
      <c r="ED553" t="b">
        <f t="shared" si="1109"/>
        <v>0</v>
      </c>
      <c r="EE553" t="b">
        <f t="shared" si="1110"/>
        <v>0</v>
      </c>
      <c r="EF553">
        <f t="shared" si="1111"/>
        <v>1</v>
      </c>
      <c r="EG553" t="b">
        <f t="shared" si="1112"/>
        <v>0</v>
      </c>
      <c r="EH553" t="b">
        <f t="shared" si="1113"/>
        <v>0</v>
      </c>
      <c r="EI553" t="b">
        <f t="shared" si="1114"/>
        <v>0</v>
      </c>
      <c r="EJ553" t="b">
        <f t="shared" si="1115"/>
        <v>0</v>
      </c>
      <c r="EK553" t="b">
        <f t="shared" si="1116"/>
        <v>0</v>
      </c>
    </row>
    <row r="554" spans="1:141">
      <c r="A554" t="s">
        <v>2794</v>
      </c>
      <c r="B554" t="s">
        <v>2794</v>
      </c>
      <c r="C554" t="s">
        <v>2795</v>
      </c>
      <c r="D554" s="1">
        <v>40903</v>
      </c>
      <c r="E554" s="2">
        <v>42551.152141203704</v>
      </c>
      <c r="F554" s="2">
        <v>42551.152141203704</v>
      </c>
      <c r="G554">
        <v>29020808</v>
      </c>
      <c r="H554" t="s">
        <v>2796</v>
      </c>
      <c r="I554" s="10" t="s">
        <v>2797</v>
      </c>
      <c r="J554" t="s">
        <v>1372</v>
      </c>
      <c r="K554" s="8" t="b">
        <v>1</v>
      </c>
      <c r="L554" s="10" t="b">
        <v>0</v>
      </c>
      <c r="M554" s="12" t="b">
        <v>0</v>
      </c>
      <c r="N554" t="b">
        <v>0</v>
      </c>
      <c r="O554" t="b">
        <v>0</v>
      </c>
      <c r="P554" t="b">
        <v>0</v>
      </c>
      <c r="Q554">
        <f t="shared" si="993"/>
        <v>2</v>
      </c>
      <c r="R554">
        <f t="shared" si="994"/>
        <v>12</v>
      </c>
      <c r="S554" t="e">
        <f t="shared" ca="1" si="1024"/>
        <v>#NAME?</v>
      </c>
      <c r="T554" t="e">
        <f t="shared" ca="1" si="995"/>
        <v>#NAME?</v>
      </c>
      <c r="U554" s="4">
        <f t="shared" si="996"/>
        <v>1648.1521412037036</v>
      </c>
      <c r="V554" s="4">
        <f t="shared" si="997"/>
        <v>54.938404706790124</v>
      </c>
      <c r="W554" s="4">
        <f t="shared" si="998"/>
        <v>1</v>
      </c>
      <c r="X554" s="4">
        <f t="shared" si="999"/>
        <v>0</v>
      </c>
      <c r="Y554" s="4">
        <f t="shared" si="1000"/>
        <v>0</v>
      </c>
      <c r="Z554" s="4">
        <f t="shared" si="1001"/>
        <v>0</v>
      </c>
      <c r="AA554" s="4">
        <f t="shared" si="1002"/>
        <v>0</v>
      </c>
      <c r="AB554" s="4">
        <f t="shared" si="1003"/>
        <v>0</v>
      </c>
      <c r="AC554" s="4"/>
      <c r="AD554" s="4" t="b">
        <f t="shared" si="1004"/>
        <v>0</v>
      </c>
      <c r="AE554" s="4" t="b">
        <f t="shared" si="1005"/>
        <v>0</v>
      </c>
      <c r="AF554" s="4" t="b">
        <f t="shared" si="1006"/>
        <v>0</v>
      </c>
      <c r="AG554" t="b">
        <f t="shared" si="1007"/>
        <v>0</v>
      </c>
      <c r="AH554" t="b">
        <f t="shared" si="1008"/>
        <v>0</v>
      </c>
      <c r="AI554" t="b">
        <f t="shared" si="1009"/>
        <v>0</v>
      </c>
      <c r="AJ554" t="b">
        <f t="shared" si="1010"/>
        <v>0</v>
      </c>
      <c r="AK554" t="b">
        <f t="shared" si="1011"/>
        <v>0</v>
      </c>
      <c r="AL554" t="b">
        <f t="shared" si="1012"/>
        <v>0</v>
      </c>
      <c r="AM554" t="b">
        <f t="shared" si="1013"/>
        <v>0</v>
      </c>
      <c r="AN554" t="b">
        <f t="shared" si="1014"/>
        <v>0</v>
      </c>
      <c r="AO554" t="b">
        <f t="shared" si="1015"/>
        <v>0</v>
      </c>
      <c r="AP554" t="b">
        <f t="shared" si="1016"/>
        <v>0</v>
      </c>
      <c r="AQ554" t="b">
        <f t="shared" si="1017"/>
        <v>0</v>
      </c>
      <c r="AR554" t="b">
        <f t="shared" si="1018"/>
        <v>0</v>
      </c>
      <c r="AS554" t="b">
        <f t="shared" si="1019"/>
        <v>0</v>
      </c>
      <c r="AT554" t="b">
        <f t="shared" si="1020"/>
        <v>0</v>
      </c>
      <c r="AU554" t="b">
        <f t="shared" si="1021"/>
        <v>0</v>
      </c>
      <c r="AV554" t="b">
        <f t="shared" si="1022"/>
        <v>0</v>
      </c>
      <c r="AW554" t="b">
        <f t="shared" si="1023"/>
        <v>0</v>
      </c>
      <c r="AX554" t="b">
        <f t="shared" si="1025"/>
        <v>0</v>
      </c>
      <c r="AY554" t="b">
        <f t="shared" si="1026"/>
        <v>0</v>
      </c>
      <c r="AZ554" t="b">
        <f t="shared" si="1027"/>
        <v>0</v>
      </c>
      <c r="BA554" t="b">
        <f t="shared" si="1028"/>
        <v>0</v>
      </c>
      <c r="BB554" t="b">
        <f t="shared" si="1029"/>
        <v>0</v>
      </c>
      <c r="BC554" t="b">
        <f t="shared" si="1030"/>
        <v>0</v>
      </c>
      <c r="BD554" t="b">
        <f t="shared" si="1031"/>
        <v>0</v>
      </c>
      <c r="BE554" t="b">
        <f t="shared" si="1032"/>
        <v>0</v>
      </c>
      <c r="BF554" t="b">
        <f t="shared" si="1033"/>
        <v>0</v>
      </c>
      <c r="BG554" t="b">
        <f t="shared" si="1034"/>
        <v>0</v>
      </c>
      <c r="BH554" t="b">
        <f t="shared" si="1035"/>
        <v>0</v>
      </c>
      <c r="BI554">
        <f t="shared" si="1036"/>
        <v>1</v>
      </c>
      <c r="BJ554" t="b">
        <f t="shared" si="1037"/>
        <v>0</v>
      </c>
      <c r="BK554" t="b">
        <f t="shared" si="1038"/>
        <v>0</v>
      </c>
      <c r="BL554" t="b">
        <f t="shared" si="1039"/>
        <v>0</v>
      </c>
      <c r="BM554" t="b">
        <f t="shared" si="1040"/>
        <v>0</v>
      </c>
      <c r="BN554" t="b">
        <f t="shared" si="1041"/>
        <v>0</v>
      </c>
      <c r="BO554" t="b">
        <f t="shared" si="1042"/>
        <v>0</v>
      </c>
      <c r="BP554" t="b">
        <f t="shared" si="1043"/>
        <v>0</v>
      </c>
      <c r="BQ554" t="b">
        <f t="shared" si="1044"/>
        <v>0</v>
      </c>
      <c r="BR554" t="b">
        <f t="shared" si="1045"/>
        <v>0</v>
      </c>
      <c r="BS554" t="b">
        <f t="shared" si="1046"/>
        <v>0</v>
      </c>
      <c r="BT554" t="b">
        <f t="shared" si="1047"/>
        <v>0</v>
      </c>
      <c r="BU554" t="b">
        <f t="shared" si="1048"/>
        <v>0</v>
      </c>
      <c r="BV554" t="b">
        <f t="shared" si="1049"/>
        <v>0</v>
      </c>
      <c r="BW554" t="b">
        <f t="shared" si="1050"/>
        <v>0</v>
      </c>
      <c r="BX554" t="b">
        <f t="shared" si="1051"/>
        <v>0</v>
      </c>
      <c r="BY554" t="b">
        <f t="shared" si="1052"/>
        <v>0</v>
      </c>
      <c r="BZ554" t="b">
        <f t="shared" si="1053"/>
        <v>0</v>
      </c>
      <c r="CA554" t="b">
        <f t="shared" si="1054"/>
        <v>0</v>
      </c>
      <c r="CB554" t="b">
        <f t="shared" si="1055"/>
        <v>0</v>
      </c>
      <c r="CC554" t="b">
        <f t="shared" si="1056"/>
        <v>0</v>
      </c>
      <c r="CD554" t="b">
        <f t="shared" si="1057"/>
        <v>0</v>
      </c>
      <c r="CE554" t="b">
        <f t="shared" si="1058"/>
        <v>0</v>
      </c>
      <c r="CF554" t="b">
        <f t="shared" si="1059"/>
        <v>0</v>
      </c>
      <c r="CG554" t="b">
        <f t="shared" si="1060"/>
        <v>0</v>
      </c>
      <c r="CH554" t="b">
        <f t="shared" si="1061"/>
        <v>0</v>
      </c>
      <c r="CI554" t="b">
        <f t="shared" si="1062"/>
        <v>0</v>
      </c>
      <c r="CJ554" t="b">
        <f t="shared" si="1063"/>
        <v>0</v>
      </c>
      <c r="CK554" t="b">
        <f t="shared" si="1064"/>
        <v>0</v>
      </c>
      <c r="CL554" t="b">
        <f t="shared" si="1065"/>
        <v>0</v>
      </c>
      <c r="CM554">
        <f t="shared" si="1066"/>
        <v>1</v>
      </c>
      <c r="CN554" t="b">
        <f t="shared" si="1067"/>
        <v>0</v>
      </c>
      <c r="CO554" t="b">
        <f t="shared" si="1068"/>
        <v>0</v>
      </c>
      <c r="CP554" t="b">
        <f t="shared" si="1069"/>
        <v>0</v>
      </c>
      <c r="CQ554" t="b">
        <f t="shared" si="1070"/>
        <v>0</v>
      </c>
      <c r="CR554" t="b">
        <f t="shared" si="1071"/>
        <v>0</v>
      </c>
      <c r="CS554" t="b">
        <f t="shared" si="1072"/>
        <v>0</v>
      </c>
      <c r="CT554" t="b">
        <f t="shared" si="1073"/>
        <v>0</v>
      </c>
      <c r="CU554" t="b">
        <f t="shared" si="1074"/>
        <v>0</v>
      </c>
      <c r="CV554" t="b">
        <f t="shared" si="1075"/>
        <v>0</v>
      </c>
      <c r="CW554" t="b">
        <f t="shared" si="1076"/>
        <v>0</v>
      </c>
      <c r="CX554" t="b">
        <f t="shared" si="1077"/>
        <v>0</v>
      </c>
      <c r="CY554" t="b">
        <f t="shared" si="1078"/>
        <v>0</v>
      </c>
      <c r="CZ554" t="b">
        <f t="shared" si="1079"/>
        <v>0</v>
      </c>
      <c r="DA554" t="b">
        <f t="shared" si="1080"/>
        <v>0</v>
      </c>
      <c r="DB554" t="b">
        <f t="shared" si="1081"/>
        <v>0</v>
      </c>
      <c r="DC554" t="b">
        <f t="shared" si="1082"/>
        <v>0</v>
      </c>
      <c r="DD554" t="b">
        <f t="shared" si="1083"/>
        <v>0</v>
      </c>
      <c r="DE554" t="b">
        <f t="shared" si="1084"/>
        <v>0</v>
      </c>
      <c r="DF554" t="b">
        <f t="shared" si="1085"/>
        <v>0</v>
      </c>
      <c r="DG554" t="b">
        <f t="shared" si="1086"/>
        <v>0</v>
      </c>
      <c r="DH554" t="b">
        <f t="shared" si="1087"/>
        <v>0</v>
      </c>
      <c r="DI554" t="b">
        <f t="shared" si="1088"/>
        <v>0</v>
      </c>
      <c r="DJ554" t="b">
        <f t="shared" si="1089"/>
        <v>0</v>
      </c>
      <c r="DK554" t="b">
        <f t="shared" si="1090"/>
        <v>0</v>
      </c>
      <c r="DL554" t="b">
        <f t="shared" si="1091"/>
        <v>0</v>
      </c>
      <c r="DM554" t="b">
        <f t="shared" si="1092"/>
        <v>0</v>
      </c>
      <c r="DN554" t="b">
        <f t="shared" si="1093"/>
        <v>0</v>
      </c>
      <c r="DO554" t="b">
        <f t="shared" si="1094"/>
        <v>0</v>
      </c>
      <c r="DP554" t="b">
        <f t="shared" si="1095"/>
        <v>0</v>
      </c>
      <c r="DQ554" t="b">
        <f t="shared" si="1096"/>
        <v>0</v>
      </c>
      <c r="DR554" t="b">
        <f t="shared" si="1097"/>
        <v>0</v>
      </c>
      <c r="DS554" t="b">
        <f t="shared" si="1098"/>
        <v>0</v>
      </c>
      <c r="DT554" t="b">
        <f t="shared" si="1099"/>
        <v>0</v>
      </c>
      <c r="DU554" t="b">
        <f t="shared" si="1100"/>
        <v>0</v>
      </c>
      <c r="DV554" t="b">
        <f t="shared" si="1101"/>
        <v>0</v>
      </c>
      <c r="DW554" t="b">
        <f t="shared" si="1102"/>
        <v>0</v>
      </c>
      <c r="DX554" t="b">
        <f t="shared" si="1103"/>
        <v>0</v>
      </c>
      <c r="DY554" t="b">
        <f t="shared" si="1104"/>
        <v>0</v>
      </c>
      <c r="DZ554" t="b">
        <f t="shared" si="1105"/>
        <v>0</v>
      </c>
      <c r="EA554" t="b">
        <f t="shared" si="1106"/>
        <v>0</v>
      </c>
      <c r="EB554" t="b">
        <f t="shared" si="1107"/>
        <v>0</v>
      </c>
      <c r="EC554" t="b">
        <f t="shared" si="1108"/>
        <v>0</v>
      </c>
      <c r="ED554" t="b">
        <f t="shared" si="1109"/>
        <v>0</v>
      </c>
      <c r="EE554" t="b">
        <f t="shared" si="1110"/>
        <v>0</v>
      </c>
      <c r="EF554">
        <f t="shared" si="1111"/>
        <v>1</v>
      </c>
      <c r="EG554" t="b">
        <f t="shared" si="1112"/>
        <v>0</v>
      </c>
      <c r="EH554" t="b">
        <f t="shared" si="1113"/>
        <v>0</v>
      </c>
      <c r="EI554" t="b">
        <f t="shared" si="1114"/>
        <v>0</v>
      </c>
      <c r="EJ554" t="b">
        <f t="shared" si="1115"/>
        <v>0</v>
      </c>
      <c r="EK554" t="b">
        <f t="shared" si="1116"/>
        <v>0</v>
      </c>
    </row>
    <row r="555" spans="1:141">
      <c r="A555" t="s">
        <v>2798</v>
      </c>
      <c r="B555" t="s">
        <v>2798</v>
      </c>
      <c r="C555" t="s">
        <v>2799</v>
      </c>
      <c r="D555" s="1">
        <v>44249</v>
      </c>
      <c r="E555" s="2">
        <v>44256.942986111113</v>
      </c>
      <c r="F555" s="2">
        <v>44256.942986111113</v>
      </c>
      <c r="G555">
        <v>1921722</v>
      </c>
      <c r="H555" t="s">
        <v>2800</v>
      </c>
      <c r="I555" s="10" t="s">
        <v>2801</v>
      </c>
      <c r="J555" t="s">
        <v>2802</v>
      </c>
      <c r="K555" s="8" t="b">
        <v>1</v>
      </c>
      <c r="L555" s="10" t="b">
        <v>0</v>
      </c>
      <c r="M555" s="12" t="b">
        <v>0</v>
      </c>
      <c r="N555" t="b">
        <v>0</v>
      </c>
      <c r="O555" t="b">
        <v>0</v>
      </c>
      <c r="P555" t="b">
        <v>0</v>
      </c>
      <c r="Q555">
        <f t="shared" si="993"/>
        <v>2</v>
      </c>
      <c r="R555">
        <f t="shared" si="994"/>
        <v>2</v>
      </c>
      <c r="S555" t="e">
        <f t="shared" ca="1" si="1024"/>
        <v>#NAME?</v>
      </c>
      <c r="T555" t="e">
        <f t="shared" ca="1" si="995"/>
        <v>#NAME?</v>
      </c>
      <c r="U555" s="4">
        <f t="shared" si="996"/>
        <v>7.9429861111129867</v>
      </c>
      <c r="V555" s="4">
        <f t="shared" si="997"/>
        <v>0.26476620370376625</v>
      </c>
      <c r="W555" s="4">
        <f t="shared" si="998"/>
        <v>1</v>
      </c>
      <c r="X555" s="4">
        <f t="shared" si="999"/>
        <v>0</v>
      </c>
      <c r="Y555" s="4">
        <f t="shared" si="1000"/>
        <v>0</v>
      </c>
      <c r="Z555" s="4">
        <f t="shared" si="1001"/>
        <v>0</v>
      </c>
      <c r="AA555" s="4">
        <f t="shared" si="1002"/>
        <v>0</v>
      </c>
      <c r="AB555" s="4">
        <f t="shared" si="1003"/>
        <v>0</v>
      </c>
      <c r="AC555" s="4"/>
      <c r="AD555" s="4" t="b">
        <f t="shared" si="1004"/>
        <v>0</v>
      </c>
      <c r="AE555" s="4" t="b">
        <f t="shared" si="1005"/>
        <v>0</v>
      </c>
      <c r="AF555" s="4" t="b">
        <f t="shared" si="1006"/>
        <v>0</v>
      </c>
      <c r="AG555" t="b">
        <f t="shared" si="1007"/>
        <v>0</v>
      </c>
      <c r="AH555" t="b">
        <f t="shared" si="1008"/>
        <v>0</v>
      </c>
      <c r="AI555" t="b">
        <f t="shared" si="1009"/>
        <v>0</v>
      </c>
      <c r="AJ555" t="b">
        <f t="shared" si="1010"/>
        <v>0</v>
      </c>
      <c r="AK555">
        <f t="shared" si="1011"/>
        <v>1</v>
      </c>
      <c r="AL555" t="b">
        <f t="shared" si="1012"/>
        <v>0</v>
      </c>
      <c r="AM555" t="b">
        <f t="shared" si="1013"/>
        <v>0</v>
      </c>
      <c r="AN555" t="b">
        <f t="shared" si="1014"/>
        <v>0</v>
      </c>
      <c r="AO555" t="b">
        <f t="shared" si="1015"/>
        <v>0</v>
      </c>
      <c r="AP555" t="b">
        <f t="shared" si="1016"/>
        <v>0</v>
      </c>
      <c r="AQ555" t="b">
        <f t="shared" si="1017"/>
        <v>0</v>
      </c>
      <c r="AR555" t="b">
        <f t="shared" si="1018"/>
        <v>0</v>
      </c>
      <c r="AS555" t="b">
        <f t="shared" si="1019"/>
        <v>0</v>
      </c>
      <c r="AT555" t="b">
        <f t="shared" si="1020"/>
        <v>0</v>
      </c>
      <c r="AU555" t="b">
        <f t="shared" si="1021"/>
        <v>0</v>
      </c>
      <c r="AV555" t="b">
        <f t="shared" si="1022"/>
        <v>0</v>
      </c>
      <c r="AW555" t="b">
        <f t="shared" si="1023"/>
        <v>0</v>
      </c>
      <c r="AX555" t="b">
        <f t="shared" si="1025"/>
        <v>0</v>
      </c>
      <c r="AY555" t="b">
        <f t="shared" si="1026"/>
        <v>0</v>
      </c>
      <c r="AZ555">
        <f t="shared" si="1027"/>
        <v>1</v>
      </c>
      <c r="BA555" t="b">
        <f t="shared" si="1028"/>
        <v>0</v>
      </c>
      <c r="BB555" t="b">
        <f t="shared" si="1029"/>
        <v>0</v>
      </c>
      <c r="BC555" t="b">
        <f t="shared" si="1030"/>
        <v>0</v>
      </c>
      <c r="BD555" t="b">
        <f t="shared" si="1031"/>
        <v>0</v>
      </c>
      <c r="BE555" t="b">
        <f t="shared" si="1032"/>
        <v>0</v>
      </c>
      <c r="BF555" t="b">
        <f t="shared" si="1033"/>
        <v>0</v>
      </c>
      <c r="BG555" t="b">
        <f t="shared" si="1034"/>
        <v>0</v>
      </c>
      <c r="BH555" t="b">
        <f t="shared" si="1035"/>
        <v>0</v>
      </c>
      <c r="BI555">
        <f t="shared" si="1036"/>
        <v>1</v>
      </c>
      <c r="BJ555" t="b">
        <f t="shared" si="1037"/>
        <v>0</v>
      </c>
      <c r="BK555" t="b">
        <f t="shared" si="1038"/>
        <v>0</v>
      </c>
      <c r="BL555" t="b">
        <f t="shared" si="1039"/>
        <v>0</v>
      </c>
      <c r="BM555" t="b">
        <f t="shared" si="1040"/>
        <v>0</v>
      </c>
      <c r="BN555" t="b">
        <f t="shared" si="1041"/>
        <v>0</v>
      </c>
      <c r="BO555" t="b">
        <f t="shared" si="1042"/>
        <v>0</v>
      </c>
      <c r="BP555" t="b">
        <f t="shared" si="1043"/>
        <v>0</v>
      </c>
      <c r="BQ555" t="b">
        <f t="shared" si="1044"/>
        <v>0</v>
      </c>
      <c r="BR555">
        <f t="shared" si="1045"/>
        <v>1</v>
      </c>
      <c r="BS555" t="b">
        <f t="shared" si="1046"/>
        <v>0</v>
      </c>
      <c r="BT555" t="b">
        <f t="shared" si="1047"/>
        <v>0</v>
      </c>
      <c r="BU555" t="b">
        <f t="shared" si="1048"/>
        <v>0</v>
      </c>
      <c r="BV555" t="b">
        <f t="shared" si="1049"/>
        <v>0</v>
      </c>
      <c r="BW555" t="b">
        <f t="shared" si="1050"/>
        <v>0</v>
      </c>
      <c r="BX555" t="b">
        <f t="shared" si="1051"/>
        <v>0</v>
      </c>
      <c r="BY555" t="b">
        <f t="shared" si="1052"/>
        <v>0</v>
      </c>
      <c r="BZ555" t="b">
        <f t="shared" si="1053"/>
        <v>0</v>
      </c>
      <c r="CA555" t="b">
        <f t="shared" si="1054"/>
        <v>0</v>
      </c>
      <c r="CB555" t="b">
        <f t="shared" si="1055"/>
        <v>0</v>
      </c>
      <c r="CC555" t="b">
        <f t="shared" si="1056"/>
        <v>0</v>
      </c>
      <c r="CD555" t="b">
        <f t="shared" si="1057"/>
        <v>0</v>
      </c>
      <c r="CE555">
        <f t="shared" si="1058"/>
        <v>1</v>
      </c>
      <c r="CF555" t="b">
        <f t="shared" si="1059"/>
        <v>0</v>
      </c>
      <c r="CG555" t="b">
        <f t="shared" si="1060"/>
        <v>0</v>
      </c>
      <c r="CH555" t="b">
        <f t="shared" si="1061"/>
        <v>0</v>
      </c>
      <c r="CI555" t="b">
        <f t="shared" si="1062"/>
        <v>0</v>
      </c>
      <c r="CJ555" t="b">
        <f t="shared" si="1063"/>
        <v>0</v>
      </c>
      <c r="CK555" t="b">
        <f t="shared" si="1064"/>
        <v>0</v>
      </c>
      <c r="CL555" t="b">
        <f t="shared" si="1065"/>
        <v>0</v>
      </c>
      <c r="CM555">
        <f t="shared" si="1066"/>
        <v>1</v>
      </c>
      <c r="CN555" t="b">
        <f t="shared" si="1067"/>
        <v>0</v>
      </c>
      <c r="CO555" t="b">
        <f t="shared" si="1068"/>
        <v>0</v>
      </c>
      <c r="CP555" t="b">
        <f t="shared" si="1069"/>
        <v>0</v>
      </c>
      <c r="CQ555" t="b">
        <f t="shared" si="1070"/>
        <v>0</v>
      </c>
      <c r="CR555" t="b">
        <f t="shared" si="1071"/>
        <v>0</v>
      </c>
      <c r="CS555" t="b">
        <f t="shared" si="1072"/>
        <v>0</v>
      </c>
      <c r="CT555" t="b">
        <f t="shared" si="1073"/>
        <v>0</v>
      </c>
      <c r="CU555" t="b">
        <f t="shared" si="1074"/>
        <v>0</v>
      </c>
      <c r="CV555" t="b">
        <f t="shared" si="1075"/>
        <v>0</v>
      </c>
      <c r="CW555">
        <f t="shared" si="1076"/>
        <v>1</v>
      </c>
      <c r="CX555" t="b">
        <f t="shared" si="1077"/>
        <v>0</v>
      </c>
      <c r="CY555" t="b">
        <f t="shared" si="1078"/>
        <v>0</v>
      </c>
      <c r="CZ555" t="b">
        <f t="shared" si="1079"/>
        <v>0</v>
      </c>
      <c r="DA555">
        <f t="shared" si="1080"/>
        <v>1</v>
      </c>
      <c r="DB555">
        <f t="shared" si="1081"/>
        <v>1</v>
      </c>
      <c r="DC555" t="b">
        <f t="shared" si="1082"/>
        <v>0</v>
      </c>
      <c r="DD555" t="b">
        <f t="shared" si="1083"/>
        <v>0</v>
      </c>
      <c r="DE555" t="b">
        <f t="shared" si="1084"/>
        <v>0</v>
      </c>
      <c r="DF555" t="b">
        <f t="shared" si="1085"/>
        <v>0</v>
      </c>
      <c r="DG555" t="b">
        <f t="shared" si="1086"/>
        <v>0</v>
      </c>
      <c r="DH555" t="b">
        <f t="shared" si="1087"/>
        <v>0</v>
      </c>
      <c r="DI555" t="b">
        <f t="shared" si="1088"/>
        <v>0</v>
      </c>
      <c r="DJ555" t="b">
        <f t="shared" si="1089"/>
        <v>0</v>
      </c>
      <c r="DK555" t="b">
        <f t="shared" si="1090"/>
        <v>0</v>
      </c>
      <c r="DL555" t="b">
        <f t="shared" si="1091"/>
        <v>0</v>
      </c>
      <c r="DM555" t="b">
        <f t="shared" si="1092"/>
        <v>0</v>
      </c>
      <c r="DN555" t="b">
        <f t="shared" si="1093"/>
        <v>0</v>
      </c>
      <c r="DO555" t="b">
        <f t="shared" si="1094"/>
        <v>0</v>
      </c>
      <c r="DP555" t="b">
        <f t="shared" si="1095"/>
        <v>0</v>
      </c>
      <c r="DQ555" t="b">
        <f t="shared" si="1096"/>
        <v>0</v>
      </c>
      <c r="DR555" t="b">
        <f t="shared" si="1097"/>
        <v>0</v>
      </c>
      <c r="DS555" t="b">
        <f t="shared" si="1098"/>
        <v>0</v>
      </c>
      <c r="DT555" t="b">
        <f t="shared" si="1099"/>
        <v>0</v>
      </c>
      <c r="DU555" t="b">
        <f t="shared" si="1100"/>
        <v>0</v>
      </c>
      <c r="DV555" t="b">
        <f t="shared" si="1101"/>
        <v>0</v>
      </c>
      <c r="DW555" t="b">
        <f t="shared" si="1102"/>
        <v>0</v>
      </c>
      <c r="DX555" t="b">
        <f t="shared" si="1103"/>
        <v>0</v>
      </c>
      <c r="DY555" t="b">
        <f t="shared" si="1104"/>
        <v>0</v>
      </c>
      <c r="DZ555" t="b">
        <f t="shared" si="1105"/>
        <v>0</v>
      </c>
      <c r="EA555" t="b">
        <f t="shared" si="1106"/>
        <v>0</v>
      </c>
      <c r="EB555" t="b">
        <f t="shared" si="1107"/>
        <v>0</v>
      </c>
      <c r="EC555" t="b">
        <f t="shared" si="1108"/>
        <v>0</v>
      </c>
      <c r="ED555" t="b">
        <f t="shared" si="1109"/>
        <v>0</v>
      </c>
      <c r="EE555" t="b">
        <f t="shared" si="1110"/>
        <v>0</v>
      </c>
      <c r="EF555" t="b">
        <f t="shared" si="1111"/>
        <v>0</v>
      </c>
      <c r="EG555" t="b">
        <f t="shared" si="1112"/>
        <v>0</v>
      </c>
      <c r="EH555" t="b">
        <f t="shared" si="1113"/>
        <v>0</v>
      </c>
      <c r="EI555" t="b">
        <f t="shared" si="1114"/>
        <v>0</v>
      </c>
      <c r="EJ555" t="b">
        <f t="shared" si="1115"/>
        <v>0</v>
      </c>
      <c r="EK555" t="b">
        <f t="shared" si="1116"/>
        <v>0</v>
      </c>
    </row>
    <row r="556" spans="1:141">
      <c r="A556" t="s">
        <v>2803</v>
      </c>
      <c r="B556" t="s">
        <v>2803</v>
      </c>
      <c r="C556" t="s">
        <v>2804</v>
      </c>
      <c r="D556" s="1">
        <v>43251</v>
      </c>
      <c r="E556" s="2">
        <v>43254.259884259256</v>
      </c>
      <c r="F556" s="2">
        <v>44400.135798611111</v>
      </c>
      <c r="G556">
        <v>26151608</v>
      </c>
      <c r="H556" t="s">
        <v>2805</v>
      </c>
      <c r="I556" s="10" t="s">
        <v>2806</v>
      </c>
      <c r="J556" t="s">
        <v>689</v>
      </c>
      <c r="K556" s="8" t="b">
        <v>1</v>
      </c>
      <c r="L556" s="10" t="b">
        <v>0</v>
      </c>
      <c r="M556" s="12" t="b">
        <v>0</v>
      </c>
      <c r="N556" t="b">
        <v>0</v>
      </c>
      <c r="O556" t="b">
        <v>0</v>
      </c>
      <c r="P556" t="b">
        <v>0</v>
      </c>
      <c r="Q556">
        <f t="shared" si="993"/>
        <v>5</v>
      </c>
      <c r="R556">
        <f t="shared" si="994"/>
        <v>5</v>
      </c>
      <c r="S556" t="e">
        <f t="shared" ca="1" si="1024"/>
        <v>#NAME?</v>
      </c>
      <c r="T556" t="e">
        <f t="shared" ca="1" si="995"/>
        <v>#NAME?</v>
      </c>
      <c r="U556" s="4">
        <f t="shared" si="996"/>
        <v>3.2598842592560686</v>
      </c>
      <c r="V556" s="4">
        <f t="shared" si="997"/>
        <v>0.10866280864186896</v>
      </c>
      <c r="W556" s="4">
        <f t="shared" si="998"/>
        <v>1</v>
      </c>
      <c r="X556" s="4">
        <f t="shared" si="999"/>
        <v>0</v>
      </c>
      <c r="Y556" s="4">
        <f t="shared" si="1000"/>
        <v>0</v>
      </c>
      <c r="Z556" s="4">
        <f t="shared" si="1001"/>
        <v>0</v>
      </c>
      <c r="AA556" s="4">
        <f t="shared" si="1002"/>
        <v>0</v>
      </c>
      <c r="AB556" s="4">
        <f t="shared" si="1003"/>
        <v>0</v>
      </c>
      <c r="AC556" s="4"/>
      <c r="AD556" s="4" t="b">
        <f t="shared" si="1004"/>
        <v>0</v>
      </c>
      <c r="AE556" s="4" t="b">
        <f t="shared" si="1005"/>
        <v>0</v>
      </c>
      <c r="AF556" s="4" t="b">
        <f t="shared" si="1006"/>
        <v>0</v>
      </c>
      <c r="AG556" t="b">
        <f t="shared" si="1007"/>
        <v>0</v>
      </c>
      <c r="AH556" t="b">
        <f t="shared" si="1008"/>
        <v>0</v>
      </c>
      <c r="AI556" t="b">
        <f t="shared" si="1009"/>
        <v>0</v>
      </c>
      <c r="AJ556" t="b">
        <f t="shared" si="1010"/>
        <v>0</v>
      </c>
      <c r="AK556" t="b">
        <f t="shared" si="1011"/>
        <v>0</v>
      </c>
      <c r="AL556" t="b">
        <f t="shared" si="1012"/>
        <v>0</v>
      </c>
      <c r="AM556" t="b">
        <f t="shared" si="1013"/>
        <v>0</v>
      </c>
      <c r="AN556" t="b">
        <f t="shared" si="1014"/>
        <v>0</v>
      </c>
      <c r="AO556" t="b">
        <f t="shared" si="1015"/>
        <v>0</v>
      </c>
      <c r="AP556" t="b">
        <f t="shared" si="1016"/>
        <v>0</v>
      </c>
      <c r="AQ556" t="b">
        <f t="shared" si="1017"/>
        <v>0</v>
      </c>
      <c r="AR556" t="b">
        <f t="shared" si="1018"/>
        <v>0</v>
      </c>
      <c r="AS556" t="b">
        <f t="shared" si="1019"/>
        <v>0</v>
      </c>
      <c r="AT556" t="b">
        <f t="shared" si="1020"/>
        <v>0</v>
      </c>
      <c r="AU556" t="b">
        <f t="shared" si="1021"/>
        <v>0</v>
      </c>
      <c r="AV556" t="b">
        <f t="shared" si="1022"/>
        <v>0</v>
      </c>
      <c r="AW556" t="b">
        <f t="shared" si="1023"/>
        <v>0</v>
      </c>
      <c r="AX556" t="b">
        <f t="shared" si="1025"/>
        <v>0</v>
      </c>
      <c r="AY556" t="b">
        <f t="shared" si="1026"/>
        <v>0</v>
      </c>
      <c r="AZ556" t="b">
        <f t="shared" si="1027"/>
        <v>0</v>
      </c>
      <c r="BA556" t="b">
        <f t="shared" si="1028"/>
        <v>0</v>
      </c>
      <c r="BB556" t="b">
        <f t="shared" si="1029"/>
        <v>0</v>
      </c>
      <c r="BC556" t="b">
        <f t="shared" si="1030"/>
        <v>0</v>
      </c>
      <c r="BD556" t="b">
        <f t="shared" si="1031"/>
        <v>0</v>
      </c>
      <c r="BE556" t="b">
        <f t="shared" si="1032"/>
        <v>0</v>
      </c>
      <c r="BF556" t="b">
        <f t="shared" si="1033"/>
        <v>0</v>
      </c>
      <c r="BG556" t="b">
        <f t="shared" si="1034"/>
        <v>0</v>
      </c>
      <c r="BH556" t="b">
        <f t="shared" si="1035"/>
        <v>0</v>
      </c>
      <c r="BI556">
        <f t="shared" si="1036"/>
        <v>1</v>
      </c>
      <c r="BJ556" t="b">
        <f t="shared" si="1037"/>
        <v>0</v>
      </c>
      <c r="BK556" t="b">
        <f t="shared" si="1038"/>
        <v>0</v>
      </c>
      <c r="BL556" t="b">
        <f t="shared" si="1039"/>
        <v>0</v>
      </c>
      <c r="BM556" t="b">
        <f t="shared" si="1040"/>
        <v>0</v>
      </c>
      <c r="BN556" t="b">
        <f t="shared" si="1041"/>
        <v>0</v>
      </c>
      <c r="BO556" t="b">
        <f t="shared" si="1042"/>
        <v>0</v>
      </c>
      <c r="BP556" t="b">
        <f t="shared" si="1043"/>
        <v>0</v>
      </c>
      <c r="BQ556" t="b">
        <f t="shared" si="1044"/>
        <v>0</v>
      </c>
      <c r="BR556" t="b">
        <f t="shared" si="1045"/>
        <v>0</v>
      </c>
      <c r="BS556" t="b">
        <f t="shared" si="1046"/>
        <v>0</v>
      </c>
      <c r="BT556" t="b">
        <f t="shared" si="1047"/>
        <v>0</v>
      </c>
      <c r="BU556" t="b">
        <f t="shared" si="1048"/>
        <v>0</v>
      </c>
      <c r="BV556" t="b">
        <f t="shared" si="1049"/>
        <v>0</v>
      </c>
      <c r="BW556" t="b">
        <f t="shared" si="1050"/>
        <v>0</v>
      </c>
      <c r="BX556" t="b">
        <f t="shared" si="1051"/>
        <v>0</v>
      </c>
      <c r="BY556" t="b">
        <f t="shared" si="1052"/>
        <v>0</v>
      </c>
      <c r="BZ556" t="b">
        <f t="shared" si="1053"/>
        <v>0</v>
      </c>
      <c r="CA556" t="b">
        <f t="shared" si="1054"/>
        <v>0</v>
      </c>
      <c r="CB556" t="b">
        <f t="shared" si="1055"/>
        <v>0</v>
      </c>
      <c r="CC556" t="b">
        <f t="shared" si="1056"/>
        <v>0</v>
      </c>
      <c r="CD556" t="b">
        <f t="shared" si="1057"/>
        <v>0</v>
      </c>
      <c r="CE556" t="b">
        <f t="shared" si="1058"/>
        <v>0</v>
      </c>
      <c r="CF556" t="b">
        <f t="shared" si="1059"/>
        <v>0</v>
      </c>
      <c r="CG556" t="b">
        <f t="shared" si="1060"/>
        <v>0</v>
      </c>
      <c r="CH556" t="b">
        <f t="shared" si="1061"/>
        <v>0</v>
      </c>
      <c r="CI556" t="b">
        <f t="shared" si="1062"/>
        <v>0</v>
      </c>
      <c r="CJ556" t="b">
        <f t="shared" si="1063"/>
        <v>0</v>
      </c>
      <c r="CK556" t="b">
        <f t="shared" si="1064"/>
        <v>0</v>
      </c>
      <c r="CL556" t="b">
        <f t="shared" si="1065"/>
        <v>0</v>
      </c>
      <c r="CM556">
        <f t="shared" si="1066"/>
        <v>1</v>
      </c>
      <c r="CN556" t="b">
        <f t="shared" si="1067"/>
        <v>0</v>
      </c>
      <c r="CO556" t="b">
        <f t="shared" si="1068"/>
        <v>0</v>
      </c>
      <c r="CP556" t="b">
        <f t="shared" si="1069"/>
        <v>0</v>
      </c>
      <c r="CQ556" t="b">
        <f t="shared" si="1070"/>
        <v>0</v>
      </c>
      <c r="CR556" t="b">
        <f t="shared" si="1071"/>
        <v>0</v>
      </c>
      <c r="CS556" t="b">
        <f t="shared" si="1072"/>
        <v>0</v>
      </c>
      <c r="CT556" t="b">
        <f t="shared" si="1073"/>
        <v>0</v>
      </c>
      <c r="CU556" t="b">
        <f t="shared" si="1074"/>
        <v>0</v>
      </c>
      <c r="CV556" t="b">
        <f t="shared" si="1075"/>
        <v>0</v>
      </c>
      <c r="CW556" t="b">
        <f t="shared" si="1076"/>
        <v>0</v>
      </c>
      <c r="CX556" t="b">
        <f t="shared" si="1077"/>
        <v>0</v>
      </c>
      <c r="CY556" t="b">
        <f t="shared" si="1078"/>
        <v>0</v>
      </c>
      <c r="CZ556" t="b">
        <f t="shared" si="1079"/>
        <v>0</v>
      </c>
      <c r="DA556">
        <f t="shared" si="1080"/>
        <v>1</v>
      </c>
      <c r="DB556">
        <f t="shared" si="1081"/>
        <v>1</v>
      </c>
      <c r="DC556" t="b">
        <f t="shared" si="1082"/>
        <v>0</v>
      </c>
      <c r="DD556" t="b">
        <f t="shared" si="1083"/>
        <v>0</v>
      </c>
      <c r="DE556" t="b">
        <f t="shared" si="1084"/>
        <v>0</v>
      </c>
      <c r="DF556" t="b">
        <f t="shared" si="1085"/>
        <v>0</v>
      </c>
      <c r="DG556" t="b">
        <f t="shared" si="1086"/>
        <v>0</v>
      </c>
      <c r="DH556" t="b">
        <f t="shared" si="1087"/>
        <v>0</v>
      </c>
      <c r="DI556" t="b">
        <f t="shared" si="1088"/>
        <v>0</v>
      </c>
      <c r="DJ556" t="b">
        <f t="shared" si="1089"/>
        <v>0</v>
      </c>
      <c r="DK556" t="b">
        <f t="shared" si="1090"/>
        <v>0</v>
      </c>
      <c r="DL556" t="b">
        <f t="shared" si="1091"/>
        <v>0</v>
      </c>
      <c r="DM556" t="b">
        <f t="shared" si="1092"/>
        <v>0</v>
      </c>
      <c r="DN556" t="b">
        <f t="shared" si="1093"/>
        <v>0</v>
      </c>
      <c r="DO556" t="b">
        <f t="shared" si="1094"/>
        <v>0</v>
      </c>
      <c r="DP556" t="b">
        <f t="shared" si="1095"/>
        <v>0</v>
      </c>
      <c r="DQ556" t="b">
        <f t="shared" si="1096"/>
        <v>0</v>
      </c>
      <c r="DR556" t="b">
        <f t="shared" si="1097"/>
        <v>0</v>
      </c>
      <c r="DS556" t="b">
        <f t="shared" si="1098"/>
        <v>0</v>
      </c>
      <c r="DT556" t="b">
        <f t="shared" si="1099"/>
        <v>0</v>
      </c>
      <c r="DU556" t="b">
        <f t="shared" si="1100"/>
        <v>0</v>
      </c>
      <c r="DV556" t="b">
        <f t="shared" si="1101"/>
        <v>0</v>
      </c>
      <c r="DW556" t="b">
        <f t="shared" si="1102"/>
        <v>0</v>
      </c>
      <c r="DX556" t="b">
        <f t="shared" si="1103"/>
        <v>0</v>
      </c>
      <c r="DY556" t="b">
        <f t="shared" si="1104"/>
        <v>0</v>
      </c>
      <c r="DZ556" t="b">
        <f t="shared" si="1105"/>
        <v>0</v>
      </c>
      <c r="EA556" t="b">
        <f t="shared" si="1106"/>
        <v>0</v>
      </c>
      <c r="EB556" t="b">
        <f t="shared" si="1107"/>
        <v>0</v>
      </c>
      <c r="EC556" t="b">
        <f t="shared" si="1108"/>
        <v>0</v>
      </c>
      <c r="ED556" t="b">
        <f t="shared" si="1109"/>
        <v>0</v>
      </c>
      <c r="EE556" t="b">
        <f t="shared" si="1110"/>
        <v>0</v>
      </c>
      <c r="EF556" t="b">
        <f t="shared" si="1111"/>
        <v>0</v>
      </c>
      <c r="EG556" t="b">
        <f t="shared" si="1112"/>
        <v>0</v>
      </c>
      <c r="EH556" t="b">
        <f t="shared" si="1113"/>
        <v>0</v>
      </c>
      <c r="EI556" t="b">
        <f t="shared" si="1114"/>
        <v>0</v>
      </c>
      <c r="EJ556" t="b">
        <f t="shared" si="1115"/>
        <v>0</v>
      </c>
      <c r="EK556" t="b">
        <f t="shared" si="1116"/>
        <v>0</v>
      </c>
    </row>
    <row r="557" spans="1:141">
      <c r="A557" t="s">
        <v>2807</v>
      </c>
      <c r="B557" t="s">
        <v>2807</v>
      </c>
      <c r="C557" t="s">
        <v>2808</v>
      </c>
      <c r="D557" s="1">
        <v>43938</v>
      </c>
      <c r="E557" s="2">
        <v>43953.98982638889</v>
      </c>
      <c r="F557" s="2">
        <v>44029.037037037036</v>
      </c>
      <c r="G557">
        <v>71443698</v>
      </c>
      <c r="H557" t="s">
        <v>2809</v>
      </c>
      <c r="I557" s="10" t="s">
        <v>2810</v>
      </c>
      <c r="J557" t="s">
        <v>1155</v>
      </c>
      <c r="K557" s="8" t="b">
        <v>1</v>
      </c>
      <c r="L557" s="10" t="b">
        <v>0</v>
      </c>
      <c r="M557" s="12" t="b">
        <v>0</v>
      </c>
      <c r="N557" t="b">
        <v>0</v>
      </c>
      <c r="O557" t="b">
        <v>0</v>
      </c>
      <c r="P557" t="b">
        <v>0</v>
      </c>
      <c r="Q557">
        <f t="shared" si="993"/>
        <v>6</v>
      </c>
      <c r="R557">
        <f t="shared" si="994"/>
        <v>4</v>
      </c>
      <c r="S557" t="e">
        <f t="shared" ca="1" si="1024"/>
        <v>#NAME?</v>
      </c>
      <c r="T557" t="e">
        <f t="shared" ca="1" si="995"/>
        <v>#NAME?</v>
      </c>
      <c r="U557" s="4">
        <f t="shared" si="996"/>
        <v>15.989826388889924</v>
      </c>
      <c r="V557" s="4">
        <f t="shared" si="997"/>
        <v>0.53299421296299743</v>
      </c>
      <c r="W557" s="4">
        <f t="shared" si="998"/>
        <v>1</v>
      </c>
      <c r="X557" s="4">
        <f t="shared" si="999"/>
        <v>0</v>
      </c>
      <c r="Y557" s="4">
        <f t="shared" si="1000"/>
        <v>0</v>
      </c>
      <c r="Z557" s="4">
        <f t="shared" si="1001"/>
        <v>0</v>
      </c>
      <c r="AA557" s="4">
        <f t="shared" si="1002"/>
        <v>0</v>
      </c>
      <c r="AB557" s="4">
        <f t="shared" si="1003"/>
        <v>0</v>
      </c>
      <c r="AC557" s="4"/>
      <c r="AD557" s="4" t="b">
        <f t="shared" si="1004"/>
        <v>0</v>
      </c>
      <c r="AE557" s="4" t="b">
        <f t="shared" si="1005"/>
        <v>0</v>
      </c>
      <c r="AF557" s="4" t="b">
        <f t="shared" si="1006"/>
        <v>0</v>
      </c>
      <c r="AG557" t="b">
        <f t="shared" si="1007"/>
        <v>0</v>
      </c>
      <c r="AH557" t="b">
        <f t="shared" si="1008"/>
        <v>0</v>
      </c>
      <c r="AI557" t="b">
        <f t="shared" si="1009"/>
        <v>0</v>
      </c>
      <c r="AJ557" t="b">
        <f t="shared" si="1010"/>
        <v>0</v>
      </c>
      <c r="AK557" t="b">
        <f t="shared" si="1011"/>
        <v>0</v>
      </c>
      <c r="AL557" t="b">
        <f t="shared" si="1012"/>
        <v>0</v>
      </c>
      <c r="AM557" t="b">
        <f t="shared" si="1013"/>
        <v>0</v>
      </c>
      <c r="AN557" t="b">
        <f t="shared" si="1014"/>
        <v>0</v>
      </c>
      <c r="AO557" t="b">
        <f t="shared" si="1015"/>
        <v>0</v>
      </c>
      <c r="AP557" t="b">
        <f t="shared" si="1016"/>
        <v>0</v>
      </c>
      <c r="AQ557" t="b">
        <f t="shared" si="1017"/>
        <v>0</v>
      </c>
      <c r="AR557" t="b">
        <f t="shared" si="1018"/>
        <v>0</v>
      </c>
      <c r="AS557" t="b">
        <f t="shared" si="1019"/>
        <v>0</v>
      </c>
      <c r="AT557" t="b">
        <f t="shared" si="1020"/>
        <v>0</v>
      </c>
      <c r="AU557" t="b">
        <f t="shared" si="1021"/>
        <v>0</v>
      </c>
      <c r="AV557" t="b">
        <f t="shared" si="1022"/>
        <v>0</v>
      </c>
      <c r="AW557" t="b">
        <f t="shared" si="1023"/>
        <v>0</v>
      </c>
      <c r="AX557" t="b">
        <f t="shared" si="1025"/>
        <v>0</v>
      </c>
      <c r="AY557" t="b">
        <f t="shared" si="1026"/>
        <v>0</v>
      </c>
      <c r="AZ557">
        <f t="shared" si="1027"/>
        <v>1</v>
      </c>
      <c r="BA557" t="b">
        <f t="shared" si="1028"/>
        <v>0</v>
      </c>
      <c r="BB557" t="b">
        <f t="shared" si="1029"/>
        <v>0</v>
      </c>
      <c r="BC557" t="b">
        <f t="shared" si="1030"/>
        <v>0</v>
      </c>
      <c r="BD557" t="b">
        <f t="shared" si="1031"/>
        <v>0</v>
      </c>
      <c r="BE557" t="b">
        <f t="shared" si="1032"/>
        <v>0</v>
      </c>
      <c r="BF557" t="b">
        <f t="shared" si="1033"/>
        <v>0</v>
      </c>
      <c r="BG557" t="b">
        <f t="shared" si="1034"/>
        <v>0</v>
      </c>
      <c r="BH557" t="b">
        <f t="shared" si="1035"/>
        <v>0</v>
      </c>
      <c r="BI557">
        <f t="shared" si="1036"/>
        <v>1</v>
      </c>
      <c r="BJ557" t="b">
        <f t="shared" si="1037"/>
        <v>0</v>
      </c>
      <c r="BK557" t="b">
        <f t="shared" si="1038"/>
        <v>0</v>
      </c>
      <c r="BL557" t="b">
        <f t="shared" si="1039"/>
        <v>0</v>
      </c>
      <c r="BM557" t="b">
        <f t="shared" si="1040"/>
        <v>0</v>
      </c>
      <c r="BN557" t="b">
        <f t="shared" si="1041"/>
        <v>0</v>
      </c>
      <c r="BO557" t="b">
        <f t="shared" si="1042"/>
        <v>0</v>
      </c>
      <c r="BP557" t="b">
        <f t="shared" si="1043"/>
        <v>0</v>
      </c>
      <c r="BQ557" t="b">
        <f t="shared" si="1044"/>
        <v>0</v>
      </c>
      <c r="BR557">
        <f t="shared" si="1045"/>
        <v>1</v>
      </c>
      <c r="BS557" t="b">
        <f t="shared" si="1046"/>
        <v>0</v>
      </c>
      <c r="BT557" t="b">
        <f t="shared" si="1047"/>
        <v>0</v>
      </c>
      <c r="BU557" t="b">
        <f t="shared" si="1048"/>
        <v>0</v>
      </c>
      <c r="BV557" t="b">
        <f t="shared" si="1049"/>
        <v>0</v>
      </c>
      <c r="BW557" t="b">
        <f t="shared" si="1050"/>
        <v>0</v>
      </c>
      <c r="BX557" t="b">
        <f t="shared" si="1051"/>
        <v>0</v>
      </c>
      <c r="BY557" t="b">
        <f t="shared" si="1052"/>
        <v>0</v>
      </c>
      <c r="BZ557" t="b">
        <f t="shared" si="1053"/>
        <v>0</v>
      </c>
      <c r="CA557" t="b">
        <f t="shared" si="1054"/>
        <v>0</v>
      </c>
      <c r="CB557" t="b">
        <f t="shared" si="1055"/>
        <v>0</v>
      </c>
      <c r="CC557" t="b">
        <f t="shared" si="1056"/>
        <v>0</v>
      </c>
      <c r="CD557" t="b">
        <f t="shared" si="1057"/>
        <v>0</v>
      </c>
      <c r="CE557" t="b">
        <f t="shared" si="1058"/>
        <v>0</v>
      </c>
      <c r="CF557" t="b">
        <f t="shared" si="1059"/>
        <v>0</v>
      </c>
      <c r="CG557" t="b">
        <f t="shared" si="1060"/>
        <v>0</v>
      </c>
      <c r="CH557" t="b">
        <f t="shared" si="1061"/>
        <v>0</v>
      </c>
      <c r="CI557" t="b">
        <f t="shared" si="1062"/>
        <v>0</v>
      </c>
      <c r="CJ557" t="b">
        <f t="shared" si="1063"/>
        <v>0</v>
      </c>
      <c r="CK557" t="b">
        <f t="shared" si="1064"/>
        <v>0</v>
      </c>
      <c r="CL557" t="b">
        <f t="shared" si="1065"/>
        <v>0</v>
      </c>
      <c r="CM557">
        <f t="shared" si="1066"/>
        <v>1</v>
      </c>
      <c r="CN557" t="b">
        <f t="shared" si="1067"/>
        <v>0</v>
      </c>
      <c r="CO557" t="b">
        <f t="shared" si="1068"/>
        <v>0</v>
      </c>
      <c r="CP557" t="b">
        <f t="shared" si="1069"/>
        <v>0</v>
      </c>
      <c r="CQ557" t="b">
        <f t="shared" si="1070"/>
        <v>0</v>
      </c>
      <c r="CR557" t="b">
        <f t="shared" si="1071"/>
        <v>0</v>
      </c>
      <c r="CS557" t="b">
        <f t="shared" si="1072"/>
        <v>0</v>
      </c>
      <c r="CT557" t="b">
        <f t="shared" si="1073"/>
        <v>0</v>
      </c>
      <c r="CU557" t="b">
        <f t="shared" si="1074"/>
        <v>0</v>
      </c>
      <c r="CV557">
        <f t="shared" si="1075"/>
        <v>1</v>
      </c>
      <c r="CW557" t="b">
        <f t="shared" si="1076"/>
        <v>0</v>
      </c>
      <c r="CX557" t="b">
        <f t="shared" si="1077"/>
        <v>0</v>
      </c>
      <c r="CY557" t="b">
        <f t="shared" si="1078"/>
        <v>0</v>
      </c>
      <c r="CZ557" t="b">
        <f t="shared" si="1079"/>
        <v>0</v>
      </c>
      <c r="DA557" t="b">
        <f t="shared" si="1080"/>
        <v>0</v>
      </c>
      <c r="DB557" t="b">
        <f t="shared" si="1081"/>
        <v>0</v>
      </c>
      <c r="DC557" t="b">
        <f t="shared" si="1082"/>
        <v>0</v>
      </c>
      <c r="DD557" t="b">
        <f t="shared" si="1083"/>
        <v>0</v>
      </c>
      <c r="DE557" t="b">
        <f t="shared" si="1084"/>
        <v>0</v>
      </c>
      <c r="DF557" t="b">
        <f t="shared" si="1085"/>
        <v>0</v>
      </c>
      <c r="DG557" t="b">
        <f t="shared" si="1086"/>
        <v>0</v>
      </c>
      <c r="DH557" t="b">
        <f t="shared" si="1087"/>
        <v>0</v>
      </c>
      <c r="DI557" t="b">
        <f t="shared" si="1088"/>
        <v>0</v>
      </c>
      <c r="DJ557" t="b">
        <f t="shared" si="1089"/>
        <v>0</v>
      </c>
      <c r="DK557" t="b">
        <f t="shared" si="1090"/>
        <v>0</v>
      </c>
      <c r="DL557" t="b">
        <f t="shared" si="1091"/>
        <v>0</v>
      </c>
      <c r="DM557" t="b">
        <f t="shared" si="1092"/>
        <v>0</v>
      </c>
      <c r="DN557" t="b">
        <f t="shared" si="1093"/>
        <v>0</v>
      </c>
      <c r="DO557" t="b">
        <f t="shared" si="1094"/>
        <v>0</v>
      </c>
      <c r="DP557" t="b">
        <f t="shared" si="1095"/>
        <v>0</v>
      </c>
      <c r="DQ557" t="b">
        <f t="shared" si="1096"/>
        <v>0</v>
      </c>
      <c r="DR557" t="b">
        <f t="shared" si="1097"/>
        <v>0</v>
      </c>
      <c r="DS557" t="b">
        <f t="shared" si="1098"/>
        <v>0</v>
      </c>
      <c r="DT557" t="b">
        <f t="shared" si="1099"/>
        <v>0</v>
      </c>
      <c r="DU557" t="b">
        <f t="shared" si="1100"/>
        <v>0</v>
      </c>
      <c r="DV557" t="b">
        <f t="shared" si="1101"/>
        <v>0</v>
      </c>
      <c r="DW557" t="b">
        <f t="shared" si="1102"/>
        <v>0</v>
      </c>
      <c r="DX557" t="b">
        <f t="shared" si="1103"/>
        <v>0</v>
      </c>
      <c r="DY557" t="b">
        <f t="shared" si="1104"/>
        <v>0</v>
      </c>
      <c r="DZ557" t="b">
        <f t="shared" si="1105"/>
        <v>0</v>
      </c>
      <c r="EA557" t="b">
        <f t="shared" si="1106"/>
        <v>0</v>
      </c>
      <c r="EB557" t="b">
        <f t="shared" si="1107"/>
        <v>0</v>
      </c>
      <c r="EC557" t="b">
        <f t="shared" si="1108"/>
        <v>0</v>
      </c>
      <c r="ED557" t="b">
        <f t="shared" si="1109"/>
        <v>0</v>
      </c>
      <c r="EE557" t="b">
        <f t="shared" si="1110"/>
        <v>0</v>
      </c>
      <c r="EF557" t="b">
        <f t="shared" si="1111"/>
        <v>0</v>
      </c>
      <c r="EG557" t="b">
        <f t="shared" si="1112"/>
        <v>0</v>
      </c>
      <c r="EH557" t="b">
        <f t="shared" si="1113"/>
        <v>0</v>
      </c>
      <c r="EI557" t="b">
        <f t="shared" si="1114"/>
        <v>0</v>
      </c>
      <c r="EJ557" t="b">
        <f t="shared" si="1115"/>
        <v>0</v>
      </c>
      <c r="EK557" t="b">
        <f t="shared" si="1116"/>
        <v>0</v>
      </c>
    </row>
    <row r="558" spans="1:141">
      <c r="A558" t="s">
        <v>2811</v>
      </c>
      <c r="B558" t="s">
        <v>2811</v>
      </c>
      <c r="C558" t="s">
        <v>2812</v>
      </c>
      <c r="D558" s="1">
        <v>43698</v>
      </c>
      <c r="E558" s="2">
        <v>43780.263807870368</v>
      </c>
      <c r="F558" s="2">
        <v>43780.263807870368</v>
      </c>
      <c r="G558">
        <v>6002694</v>
      </c>
      <c r="H558" t="s">
        <v>2813</v>
      </c>
      <c r="I558" s="10" t="s">
        <v>2814</v>
      </c>
      <c r="J558" t="s">
        <v>2815</v>
      </c>
      <c r="K558" s="8" t="b">
        <v>1</v>
      </c>
      <c r="L558" s="10" t="b">
        <v>0</v>
      </c>
      <c r="M558" s="12" t="b">
        <v>0</v>
      </c>
      <c r="N558" t="b">
        <v>0</v>
      </c>
      <c r="O558" t="b">
        <v>0</v>
      </c>
      <c r="P558" t="b">
        <v>0</v>
      </c>
      <c r="Q558">
        <f t="shared" si="993"/>
        <v>4</v>
      </c>
      <c r="R558">
        <f t="shared" si="994"/>
        <v>8</v>
      </c>
      <c r="S558" t="e">
        <f t="shared" ca="1" si="1024"/>
        <v>#NAME?</v>
      </c>
      <c r="T558" t="e">
        <f t="shared" ca="1" si="995"/>
        <v>#NAME?</v>
      </c>
      <c r="U558" s="4">
        <f t="shared" si="996"/>
        <v>82.2638078703676</v>
      </c>
      <c r="V558" s="4">
        <f t="shared" si="997"/>
        <v>2.7421269290122532</v>
      </c>
      <c r="W558" s="4">
        <f t="shared" si="998"/>
        <v>1</v>
      </c>
      <c r="X558" s="4">
        <f t="shared" si="999"/>
        <v>0</v>
      </c>
      <c r="Y558" s="4">
        <f t="shared" si="1000"/>
        <v>0</v>
      </c>
      <c r="Z558" s="4">
        <f t="shared" si="1001"/>
        <v>0</v>
      </c>
      <c r="AA558" s="4">
        <f t="shared" si="1002"/>
        <v>0</v>
      </c>
      <c r="AB558" s="4">
        <f t="shared" si="1003"/>
        <v>0</v>
      </c>
      <c r="AC558" s="4"/>
      <c r="AD558" s="4" t="b">
        <f t="shared" si="1004"/>
        <v>0</v>
      </c>
      <c r="AE558" s="4" t="b">
        <f t="shared" si="1005"/>
        <v>0</v>
      </c>
      <c r="AF558" s="4" t="b">
        <f t="shared" si="1006"/>
        <v>0</v>
      </c>
      <c r="AG558" t="b">
        <f t="shared" si="1007"/>
        <v>0</v>
      </c>
      <c r="AH558" t="b">
        <f t="shared" si="1008"/>
        <v>0</v>
      </c>
      <c r="AI558" t="b">
        <f t="shared" si="1009"/>
        <v>0</v>
      </c>
      <c r="AJ558" t="b">
        <f t="shared" si="1010"/>
        <v>0</v>
      </c>
      <c r="AK558" t="b">
        <f t="shared" si="1011"/>
        <v>0</v>
      </c>
      <c r="AL558" t="b">
        <f t="shared" si="1012"/>
        <v>0</v>
      </c>
      <c r="AM558" t="b">
        <f t="shared" si="1013"/>
        <v>0</v>
      </c>
      <c r="AN558" t="b">
        <f t="shared" si="1014"/>
        <v>0</v>
      </c>
      <c r="AO558" t="b">
        <f t="shared" si="1015"/>
        <v>0</v>
      </c>
      <c r="AP558" t="b">
        <f t="shared" si="1016"/>
        <v>0</v>
      </c>
      <c r="AQ558" t="b">
        <f t="shared" si="1017"/>
        <v>0</v>
      </c>
      <c r="AR558" t="b">
        <f t="shared" si="1018"/>
        <v>0</v>
      </c>
      <c r="AS558" t="b">
        <f t="shared" si="1019"/>
        <v>0</v>
      </c>
      <c r="AT558" t="b">
        <f t="shared" si="1020"/>
        <v>0</v>
      </c>
      <c r="AU558" t="b">
        <f t="shared" si="1021"/>
        <v>0</v>
      </c>
      <c r="AV558" t="b">
        <f t="shared" si="1022"/>
        <v>0</v>
      </c>
      <c r="AW558" t="b">
        <f t="shared" si="1023"/>
        <v>0</v>
      </c>
      <c r="AX558" t="b">
        <f t="shared" si="1025"/>
        <v>0</v>
      </c>
      <c r="AY558" t="b">
        <f t="shared" si="1026"/>
        <v>0</v>
      </c>
      <c r="AZ558" t="b">
        <f t="shared" si="1027"/>
        <v>0</v>
      </c>
      <c r="BA558" t="b">
        <f t="shared" si="1028"/>
        <v>0</v>
      </c>
      <c r="BB558" t="b">
        <f t="shared" si="1029"/>
        <v>0</v>
      </c>
      <c r="BC558" t="b">
        <f t="shared" si="1030"/>
        <v>0</v>
      </c>
      <c r="BD558" t="b">
        <f t="shared" si="1031"/>
        <v>0</v>
      </c>
      <c r="BE558" t="b">
        <f t="shared" si="1032"/>
        <v>0</v>
      </c>
      <c r="BF558" t="b">
        <f t="shared" si="1033"/>
        <v>0</v>
      </c>
      <c r="BG558" t="b">
        <f t="shared" si="1034"/>
        <v>0</v>
      </c>
      <c r="BH558" t="b">
        <f t="shared" si="1035"/>
        <v>0</v>
      </c>
      <c r="BI558">
        <f t="shared" si="1036"/>
        <v>1</v>
      </c>
      <c r="BJ558" t="b">
        <f t="shared" si="1037"/>
        <v>0</v>
      </c>
      <c r="BK558" t="b">
        <f t="shared" si="1038"/>
        <v>0</v>
      </c>
      <c r="BL558" t="b">
        <f t="shared" si="1039"/>
        <v>0</v>
      </c>
      <c r="BM558" t="b">
        <f t="shared" si="1040"/>
        <v>0</v>
      </c>
      <c r="BN558" t="b">
        <f t="shared" si="1041"/>
        <v>0</v>
      </c>
      <c r="BO558" t="b">
        <f t="shared" si="1042"/>
        <v>0</v>
      </c>
      <c r="BP558" t="b">
        <f t="shared" si="1043"/>
        <v>0</v>
      </c>
      <c r="BQ558" t="b">
        <f t="shared" si="1044"/>
        <v>0</v>
      </c>
      <c r="BR558">
        <f t="shared" si="1045"/>
        <v>1</v>
      </c>
      <c r="BS558">
        <f t="shared" si="1046"/>
        <v>1</v>
      </c>
      <c r="BT558" t="b">
        <f t="shared" si="1047"/>
        <v>0</v>
      </c>
      <c r="BU558" t="b">
        <f t="shared" si="1048"/>
        <v>0</v>
      </c>
      <c r="BV558" t="b">
        <f t="shared" si="1049"/>
        <v>0</v>
      </c>
      <c r="BW558" t="b">
        <f t="shared" si="1050"/>
        <v>0</v>
      </c>
      <c r="BX558" t="b">
        <f t="shared" si="1051"/>
        <v>0</v>
      </c>
      <c r="BY558" t="b">
        <f t="shared" si="1052"/>
        <v>0</v>
      </c>
      <c r="BZ558" t="b">
        <f t="shared" si="1053"/>
        <v>0</v>
      </c>
      <c r="CA558" t="b">
        <f t="shared" si="1054"/>
        <v>0</v>
      </c>
      <c r="CB558" t="b">
        <f t="shared" si="1055"/>
        <v>0</v>
      </c>
      <c r="CC558" t="b">
        <f t="shared" si="1056"/>
        <v>0</v>
      </c>
      <c r="CD558" t="b">
        <f t="shared" si="1057"/>
        <v>0</v>
      </c>
      <c r="CE558">
        <f t="shared" si="1058"/>
        <v>1</v>
      </c>
      <c r="CF558" t="b">
        <f t="shared" si="1059"/>
        <v>0</v>
      </c>
      <c r="CG558" t="b">
        <f t="shared" si="1060"/>
        <v>0</v>
      </c>
      <c r="CH558" t="b">
        <f t="shared" si="1061"/>
        <v>0</v>
      </c>
      <c r="CI558" t="b">
        <f t="shared" si="1062"/>
        <v>0</v>
      </c>
      <c r="CJ558" t="b">
        <f t="shared" si="1063"/>
        <v>0</v>
      </c>
      <c r="CK558" t="b">
        <f t="shared" si="1064"/>
        <v>0</v>
      </c>
      <c r="CL558" t="b">
        <f t="shared" si="1065"/>
        <v>0</v>
      </c>
      <c r="CM558" t="b">
        <f t="shared" si="1066"/>
        <v>0</v>
      </c>
      <c r="CN558" t="b">
        <f t="shared" si="1067"/>
        <v>0</v>
      </c>
      <c r="CO558" t="b">
        <f t="shared" si="1068"/>
        <v>0</v>
      </c>
      <c r="CP558" t="b">
        <f t="shared" si="1069"/>
        <v>0</v>
      </c>
      <c r="CQ558" t="b">
        <f t="shared" si="1070"/>
        <v>0</v>
      </c>
      <c r="CR558" t="b">
        <f t="shared" si="1071"/>
        <v>0</v>
      </c>
      <c r="CS558" t="b">
        <f t="shared" si="1072"/>
        <v>0</v>
      </c>
      <c r="CT558" t="b">
        <f t="shared" si="1073"/>
        <v>0</v>
      </c>
      <c r="CU558" t="b">
        <f t="shared" si="1074"/>
        <v>0</v>
      </c>
      <c r="CV558">
        <f t="shared" si="1075"/>
        <v>1</v>
      </c>
      <c r="CW558" t="b">
        <f t="shared" si="1076"/>
        <v>0</v>
      </c>
      <c r="CX558" t="b">
        <f t="shared" si="1077"/>
        <v>0</v>
      </c>
      <c r="CY558" t="b">
        <f t="shared" si="1078"/>
        <v>0</v>
      </c>
      <c r="CZ558" t="b">
        <f t="shared" si="1079"/>
        <v>0</v>
      </c>
      <c r="DA558" t="b">
        <f t="shared" si="1080"/>
        <v>0</v>
      </c>
      <c r="DB558" t="b">
        <f t="shared" si="1081"/>
        <v>0</v>
      </c>
      <c r="DC558" t="b">
        <f t="shared" si="1082"/>
        <v>0</v>
      </c>
      <c r="DD558" t="b">
        <f t="shared" si="1083"/>
        <v>0</v>
      </c>
      <c r="DE558" t="b">
        <f t="shared" si="1084"/>
        <v>0</v>
      </c>
      <c r="DF558" t="b">
        <f t="shared" si="1085"/>
        <v>0</v>
      </c>
      <c r="DG558" t="b">
        <f t="shared" si="1086"/>
        <v>0</v>
      </c>
      <c r="DH558" t="b">
        <f t="shared" si="1087"/>
        <v>0</v>
      </c>
      <c r="DI558" t="b">
        <f t="shared" si="1088"/>
        <v>0</v>
      </c>
      <c r="DJ558" t="b">
        <f t="shared" si="1089"/>
        <v>0</v>
      </c>
      <c r="DK558" t="b">
        <f t="shared" si="1090"/>
        <v>0</v>
      </c>
      <c r="DL558" t="b">
        <f t="shared" si="1091"/>
        <v>0</v>
      </c>
      <c r="DM558" t="b">
        <f t="shared" si="1092"/>
        <v>0</v>
      </c>
      <c r="DN558" t="b">
        <f t="shared" si="1093"/>
        <v>0</v>
      </c>
      <c r="DO558" t="b">
        <f t="shared" si="1094"/>
        <v>0</v>
      </c>
      <c r="DP558" t="b">
        <f t="shared" si="1095"/>
        <v>0</v>
      </c>
      <c r="DQ558" t="b">
        <f t="shared" si="1096"/>
        <v>0</v>
      </c>
      <c r="DR558" t="b">
        <f t="shared" si="1097"/>
        <v>0</v>
      </c>
      <c r="DS558" t="b">
        <f t="shared" si="1098"/>
        <v>0</v>
      </c>
      <c r="DT558" t="b">
        <f t="shared" si="1099"/>
        <v>0</v>
      </c>
      <c r="DU558" t="b">
        <f t="shared" si="1100"/>
        <v>0</v>
      </c>
      <c r="DV558" t="b">
        <f t="shared" si="1101"/>
        <v>0</v>
      </c>
      <c r="DW558" t="b">
        <f t="shared" si="1102"/>
        <v>0</v>
      </c>
      <c r="DX558" t="b">
        <f t="shared" si="1103"/>
        <v>0</v>
      </c>
      <c r="DY558" t="b">
        <f t="shared" si="1104"/>
        <v>0</v>
      </c>
      <c r="DZ558" t="b">
        <f t="shared" si="1105"/>
        <v>0</v>
      </c>
      <c r="EA558" t="b">
        <f t="shared" si="1106"/>
        <v>0</v>
      </c>
      <c r="EB558" t="b">
        <f t="shared" si="1107"/>
        <v>0</v>
      </c>
      <c r="EC558" t="b">
        <f t="shared" si="1108"/>
        <v>0</v>
      </c>
      <c r="ED558" t="b">
        <f t="shared" si="1109"/>
        <v>0</v>
      </c>
      <c r="EE558" t="b">
        <f t="shared" si="1110"/>
        <v>0</v>
      </c>
      <c r="EF558">
        <f t="shared" si="1111"/>
        <v>1</v>
      </c>
      <c r="EG558" t="b">
        <f t="shared" si="1112"/>
        <v>0</v>
      </c>
      <c r="EH558" t="b">
        <f t="shared" si="1113"/>
        <v>0</v>
      </c>
      <c r="EI558" t="b">
        <f t="shared" si="1114"/>
        <v>0</v>
      </c>
      <c r="EJ558" t="b">
        <f t="shared" si="1115"/>
        <v>0</v>
      </c>
      <c r="EK558" t="b">
        <f t="shared" si="1116"/>
        <v>0</v>
      </c>
    </row>
    <row r="559" spans="1:141">
      <c r="A559" t="s">
        <v>2816</v>
      </c>
      <c r="B559" t="s">
        <v>2817</v>
      </c>
      <c r="C559" t="s">
        <v>2818</v>
      </c>
      <c r="D559" s="1">
        <v>41620</v>
      </c>
      <c r="E559" s="2">
        <v>42816.051516203705</v>
      </c>
      <c r="F559" s="2">
        <v>42816.051516203705</v>
      </c>
      <c r="G559">
        <v>352120</v>
      </c>
      <c r="H559" t="s">
        <v>2819</v>
      </c>
      <c r="I559" s="10" t="s">
        <v>2820</v>
      </c>
      <c r="J559" t="s">
        <v>985</v>
      </c>
      <c r="K559" s="8" t="b">
        <v>1</v>
      </c>
      <c r="L559" s="10" t="b">
        <v>0</v>
      </c>
      <c r="M559" s="12" t="b">
        <v>0</v>
      </c>
      <c r="N559" t="b">
        <v>0</v>
      </c>
      <c r="O559" t="b">
        <v>0</v>
      </c>
      <c r="P559" t="b">
        <v>0</v>
      </c>
      <c r="Q559">
        <f t="shared" si="993"/>
        <v>5</v>
      </c>
      <c r="R559">
        <f t="shared" si="994"/>
        <v>12</v>
      </c>
      <c r="S559" t="e">
        <f t="shared" ca="1" si="1024"/>
        <v>#NAME?</v>
      </c>
      <c r="T559" t="e">
        <f t="shared" ca="1" si="995"/>
        <v>#NAME?</v>
      </c>
      <c r="U559" s="4">
        <f t="shared" si="996"/>
        <v>1196.0515162037045</v>
      </c>
      <c r="V559" s="4">
        <f t="shared" si="997"/>
        <v>39.868383873456814</v>
      </c>
      <c r="W559" s="4">
        <f t="shared" si="998"/>
        <v>1</v>
      </c>
      <c r="X559" s="4">
        <f t="shared" si="999"/>
        <v>0</v>
      </c>
      <c r="Y559" s="4">
        <f t="shared" si="1000"/>
        <v>0</v>
      </c>
      <c r="Z559" s="4">
        <f t="shared" si="1001"/>
        <v>0</v>
      </c>
      <c r="AA559" s="4">
        <f t="shared" si="1002"/>
        <v>0</v>
      </c>
      <c r="AB559" s="4">
        <f t="shared" si="1003"/>
        <v>0</v>
      </c>
      <c r="AC559" s="4"/>
      <c r="AD559" s="4" t="b">
        <f t="shared" si="1004"/>
        <v>0</v>
      </c>
      <c r="AE559" s="4" t="b">
        <f t="shared" si="1005"/>
        <v>0</v>
      </c>
      <c r="AF559" s="4" t="b">
        <f t="shared" si="1006"/>
        <v>0</v>
      </c>
      <c r="AG559" t="b">
        <f t="shared" si="1007"/>
        <v>0</v>
      </c>
      <c r="AH559" t="b">
        <f t="shared" si="1008"/>
        <v>0</v>
      </c>
      <c r="AI559" t="b">
        <f t="shared" si="1009"/>
        <v>0</v>
      </c>
      <c r="AJ559" t="b">
        <f t="shared" si="1010"/>
        <v>0</v>
      </c>
      <c r="AK559" t="b">
        <f t="shared" si="1011"/>
        <v>0</v>
      </c>
      <c r="AL559" t="b">
        <f t="shared" si="1012"/>
        <v>0</v>
      </c>
      <c r="AM559" t="b">
        <f t="shared" si="1013"/>
        <v>0</v>
      </c>
      <c r="AN559" t="b">
        <f t="shared" si="1014"/>
        <v>0</v>
      </c>
      <c r="AO559" t="b">
        <f t="shared" si="1015"/>
        <v>0</v>
      </c>
      <c r="AP559" t="b">
        <f t="shared" si="1016"/>
        <v>0</v>
      </c>
      <c r="AQ559" t="b">
        <f t="shared" si="1017"/>
        <v>0</v>
      </c>
      <c r="AR559" t="b">
        <f t="shared" si="1018"/>
        <v>0</v>
      </c>
      <c r="AS559" t="b">
        <f t="shared" si="1019"/>
        <v>0</v>
      </c>
      <c r="AT559" t="b">
        <f t="shared" si="1020"/>
        <v>0</v>
      </c>
      <c r="AU559" t="b">
        <f t="shared" si="1021"/>
        <v>0</v>
      </c>
      <c r="AV559" t="b">
        <f t="shared" si="1022"/>
        <v>0</v>
      </c>
      <c r="AW559" t="b">
        <f t="shared" si="1023"/>
        <v>0</v>
      </c>
      <c r="AX559" t="b">
        <f t="shared" si="1025"/>
        <v>0</v>
      </c>
      <c r="AY559" t="b">
        <f t="shared" si="1026"/>
        <v>0</v>
      </c>
      <c r="AZ559">
        <f t="shared" si="1027"/>
        <v>1</v>
      </c>
      <c r="BA559" t="b">
        <f t="shared" si="1028"/>
        <v>0</v>
      </c>
      <c r="BB559" t="b">
        <f t="shared" si="1029"/>
        <v>0</v>
      </c>
      <c r="BC559" t="b">
        <f t="shared" si="1030"/>
        <v>0</v>
      </c>
      <c r="BD559" t="b">
        <f t="shared" si="1031"/>
        <v>0</v>
      </c>
      <c r="BE559" t="b">
        <f t="shared" si="1032"/>
        <v>0</v>
      </c>
      <c r="BF559" t="b">
        <f t="shared" si="1033"/>
        <v>0</v>
      </c>
      <c r="BG559" t="b">
        <f t="shared" si="1034"/>
        <v>0</v>
      </c>
      <c r="BH559" t="b">
        <f t="shared" si="1035"/>
        <v>0</v>
      </c>
      <c r="BI559">
        <f t="shared" si="1036"/>
        <v>1</v>
      </c>
      <c r="BJ559" t="b">
        <f t="shared" si="1037"/>
        <v>0</v>
      </c>
      <c r="BK559" t="b">
        <f t="shared" si="1038"/>
        <v>0</v>
      </c>
      <c r="BL559" t="b">
        <f t="shared" si="1039"/>
        <v>0</v>
      </c>
      <c r="BM559" t="b">
        <f t="shared" si="1040"/>
        <v>0</v>
      </c>
      <c r="BN559" t="b">
        <f t="shared" si="1041"/>
        <v>0</v>
      </c>
      <c r="BO559" t="b">
        <f t="shared" si="1042"/>
        <v>0</v>
      </c>
      <c r="BP559" t="b">
        <f t="shared" si="1043"/>
        <v>0</v>
      </c>
      <c r="BQ559" t="b">
        <f t="shared" si="1044"/>
        <v>0</v>
      </c>
      <c r="BR559" t="b">
        <f t="shared" si="1045"/>
        <v>0</v>
      </c>
      <c r="BS559" t="b">
        <f t="shared" si="1046"/>
        <v>0</v>
      </c>
      <c r="BT559" t="b">
        <f t="shared" si="1047"/>
        <v>0</v>
      </c>
      <c r="BU559" t="b">
        <f t="shared" si="1048"/>
        <v>0</v>
      </c>
      <c r="BV559" t="b">
        <f t="shared" si="1049"/>
        <v>0</v>
      </c>
      <c r="BW559" t="b">
        <f t="shared" si="1050"/>
        <v>0</v>
      </c>
      <c r="BX559" t="b">
        <f t="shared" si="1051"/>
        <v>0</v>
      </c>
      <c r="BY559" t="b">
        <f t="shared" si="1052"/>
        <v>0</v>
      </c>
      <c r="BZ559" t="b">
        <f t="shared" si="1053"/>
        <v>0</v>
      </c>
      <c r="CA559" t="b">
        <f t="shared" si="1054"/>
        <v>0</v>
      </c>
      <c r="CB559" t="b">
        <f t="shared" si="1055"/>
        <v>0</v>
      </c>
      <c r="CC559" t="b">
        <f t="shared" si="1056"/>
        <v>0</v>
      </c>
      <c r="CD559" t="b">
        <f t="shared" si="1057"/>
        <v>0</v>
      </c>
      <c r="CE559">
        <f t="shared" si="1058"/>
        <v>1</v>
      </c>
      <c r="CF559" t="b">
        <f t="shared" si="1059"/>
        <v>0</v>
      </c>
      <c r="CG559" t="b">
        <f t="shared" si="1060"/>
        <v>0</v>
      </c>
      <c r="CH559" t="b">
        <f t="shared" si="1061"/>
        <v>0</v>
      </c>
      <c r="CI559" t="b">
        <f t="shared" si="1062"/>
        <v>0</v>
      </c>
      <c r="CJ559" t="b">
        <f t="shared" si="1063"/>
        <v>0</v>
      </c>
      <c r="CK559" t="b">
        <f t="shared" si="1064"/>
        <v>0</v>
      </c>
      <c r="CL559" t="b">
        <f t="shared" si="1065"/>
        <v>0</v>
      </c>
      <c r="CM559" t="b">
        <f t="shared" si="1066"/>
        <v>0</v>
      </c>
      <c r="CN559" t="b">
        <f t="shared" si="1067"/>
        <v>0</v>
      </c>
      <c r="CO559" t="b">
        <f t="shared" si="1068"/>
        <v>0</v>
      </c>
      <c r="CP559" t="b">
        <f t="shared" si="1069"/>
        <v>0</v>
      </c>
      <c r="CQ559" t="b">
        <f t="shared" si="1070"/>
        <v>0</v>
      </c>
      <c r="CR559" t="b">
        <f t="shared" si="1071"/>
        <v>0</v>
      </c>
      <c r="CS559" t="b">
        <f t="shared" si="1072"/>
        <v>0</v>
      </c>
      <c r="CT559" t="b">
        <f t="shared" si="1073"/>
        <v>0</v>
      </c>
      <c r="CU559" t="b">
        <f t="shared" si="1074"/>
        <v>0</v>
      </c>
      <c r="CV559">
        <f t="shared" si="1075"/>
        <v>1</v>
      </c>
      <c r="CW559" t="b">
        <f t="shared" si="1076"/>
        <v>0</v>
      </c>
      <c r="CX559" t="b">
        <f t="shared" si="1077"/>
        <v>0</v>
      </c>
      <c r="CY559" t="b">
        <f t="shared" si="1078"/>
        <v>0</v>
      </c>
      <c r="CZ559" t="b">
        <f t="shared" si="1079"/>
        <v>0</v>
      </c>
      <c r="DA559" t="b">
        <f t="shared" si="1080"/>
        <v>0</v>
      </c>
      <c r="DB559" t="b">
        <f t="shared" si="1081"/>
        <v>0</v>
      </c>
      <c r="DC559" t="b">
        <f t="shared" si="1082"/>
        <v>0</v>
      </c>
      <c r="DD559" t="b">
        <f t="shared" si="1083"/>
        <v>0</v>
      </c>
      <c r="DE559" t="b">
        <f t="shared" si="1084"/>
        <v>0</v>
      </c>
      <c r="DF559" t="b">
        <f t="shared" si="1085"/>
        <v>0</v>
      </c>
      <c r="DG559" t="b">
        <f t="shared" si="1086"/>
        <v>0</v>
      </c>
      <c r="DH559" t="b">
        <f t="shared" si="1087"/>
        <v>0</v>
      </c>
      <c r="DI559" t="b">
        <f t="shared" si="1088"/>
        <v>0</v>
      </c>
      <c r="DJ559" t="b">
        <f t="shared" si="1089"/>
        <v>0</v>
      </c>
      <c r="DK559" t="b">
        <f t="shared" si="1090"/>
        <v>0</v>
      </c>
      <c r="DL559" t="b">
        <f t="shared" si="1091"/>
        <v>0</v>
      </c>
      <c r="DM559" t="b">
        <f t="shared" si="1092"/>
        <v>0</v>
      </c>
      <c r="DN559" t="b">
        <f t="shared" si="1093"/>
        <v>0</v>
      </c>
      <c r="DO559" t="b">
        <f t="shared" si="1094"/>
        <v>0</v>
      </c>
      <c r="DP559" t="b">
        <f t="shared" si="1095"/>
        <v>0</v>
      </c>
      <c r="DQ559" t="b">
        <f t="shared" si="1096"/>
        <v>0</v>
      </c>
      <c r="DR559" t="b">
        <f t="shared" si="1097"/>
        <v>0</v>
      </c>
      <c r="DS559" t="b">
        <f t="shared" si="1098"/>
        <v>0</v>
      </c>
      <c r="DT559" t="b">
        <f t="shared" si="1099"/>
        <v>0</v>
      </c>
      <c r="DU559" t="b">
        <f t="shared" si="1100"/>
        <v>0</v>
      </c>
      <c r="DV559" t="b">
        <f t="shared" si="1101"/>
        <v>0</v>
      </c>
      <c r="DW559" t="b">
        <f t="shared" si="1102"/>
        <v>0</v>
      </c>
      <c r="DX559" t="b">
        <f t="shared" si="1103"/>
        <v>0</v>
      </c>
      <c r="DY559" t="b">
        <f t="shared" si="1104"/>
        <v>0</v>
      </c>
      <c r="DZ559" t="b">
        <f t="shared" si="1105"/>
        <v>0</v>
      </c>
      <c r="EA559" t="b">
        <f t="shared" si="1106"/>
        <v>0</v>
      </c>
      <c r="EB559" t="b">
        <f t="shared" si="1107"/>
        <v>0</v>
      </c>
      <c r="EC559" t="b">
        <f t="shared" si="1108"/>
        <v>0</v>
      </c>
      <c r="ED559" t="b">
        <f t="shared" si="1109"/>
        <v>0</v>
      </c>
      <c r="EE559" t="b">
        <f t="shared" si="1110"/>
        <v>0</v>
      </c>
      <c r="EF559">
        <f t="shared" si="1111"/>
        <v>1</v>
      </c>
      <c r="EG559" t="b">
        <f t="shared" si="1112"/>
        <v>0</v>
      </c>
      <c r="EH559" t="b">
        <f t="shared" si="1113"/>
        <v>0</v>
      </c>
      <c r="EI559">
        <f t="shared" si="1114"/>
        <v>1</v>
      </c>
      <c r="EJ559" t="b">
        <f t="shared" si="1115"/>
        <v>0</v>
      </c>
      <c r="EK559" t="b">
        <f t="shared" si="1116"/>
        <v>0</v>
      </c>
    </row>
    <row r="560" spans="1:141">
      <c r="A560" t="s">
        <v>2821</v>
      </c>
      <c r="B560" t="s">
        <v>2821</v>
      </c>
      <c r="C560" t="s">
        <v>2822</v>
      </c>
      <c r="D560" s="1">
        <v>41893</v>
      </c>
      <c r="E560" s="2">
        <v>43855.258657407408</v>
      </c>
      <c r="F560" s="2">
        <v>43855.258657407408</v>
      </c>
      <c r="G560">
        <v>652683</v>
      </c>
      <c r="H560" t="s">
        <v>2823</v>
      </c>
      <c r="I560" s="10" t="s">
        <v>2824</v>
      </c>
      <c r="J560" t="s">
        <v>2825</v>
      </c>
      <c r="K560" s="8" t="b">
        <v>1</v>
      </c>
      <c r="L560" s="10" t="b">
        <v>0</v>
      </c>
      <c r="M560" s="12" t="b">
        <v>0</v>
      </c>
      <c r="N560" t="b">
        <v>0</v>
      </c>
      <c r="O560" t="b">
        <v>0</v>
      </c>
      <c r="P560" t="b">
        <v>0</v>
      </c>
      <c r="Q560">
        <f t="shared" si="993"/>
        <v>5</v>
      </c>
      <c r="R560">
        <f t="shared" si="994"/>
        <v>9</v>
      </c>
      <c r="S560" t="e">
        <f t="shared" ca="1" si="1024"/>
        <v>#NAME?</v>
      </c>
      <c r="T560" t="e">
        <f t="shared" ca="1" si="995"/>
        <v>#NAME?</v>
      </c>
      <c r="U560" s="4">
        <f t="shared" si="996"/>
        <v>1962.2586574074085</v>
      </c>
      <c r="V560" s="4">
        <f t="shared" si="997"/>
        <v>65.408621913580276</v>
      </c>
      <c r="W560" s="4">
        <f t="shared" si="998"/>
        <v>1</v>
      </c>
      <c r="X560" s="4">
        <f t="shared" si="999"/>
        <v>0</v>
      </c>
      <c r="Y560" s="4">
        <f t="shared" si="1000"/>
        <v>0</v>
      </c>
      <c r="Z560" s="4">
        <f t="shared" si="1001"/>
        <v>0</v>
      </c>
      <c r="AA560" s="4">
        <f t="shared" si="1002"/>
        <v>0</v>
      </c>
      <c r="AB560" s="4">
        <f t="shared" si="1003"/>
        <v>0</v>
      </c>
      <c r="AC560" s="4"/>
      <c r="AD560" s="4" t="b">
        <f t="shared" si="1004"/>
        <v>0</v>
      </c>
      <c r="AE560" s="4" t="b">
        <f t="shared" si="1005"/>
        <v>0</v>
      </c>
      <c r="AF560" s="4" t="b">
        <f t="shared" si="1006"/>
        <v>0</v>
      </c>
      <c r="AG560" t="b">
        <f t="shared" si="1007"/>
        <v>0</v>
      </c>
      <c r="AH560" t="b">
        <f t="shared" si="1008"/>
        <v>0</v>
      </c>
      <c r="AI560" t="b">
        <f t="shared" si="1009"/>
        <v>0</v>
      </c>
      <c r="AJ560" t="b">
        <f t="shared" si="1010"/>
        <v>0</v>
      </c>
      <c r="AK560" t="b">
        <f t="shared" si="1011"/>
        <v>0</v>
      </c>
      <c r="AL560" t="b">
        <f t="shared" si="1012"/>
        <v>0</v>
      </c>
      <c r="AM560" t="b">
        <f t="shared" si="1013"/>
        <v>0</v>
      </c>
      <c r="AN560">
        <f t="shared" si="1014"/>
        <v>1</v>
      </c>
      <c r="AO560" t="b">
        <f t="shared" si="1015"/>
        <v>0</v>
      </c>
      <c r="AP560" t="b">
        <f t="shared" si="1016"/>
        <v>0</v>
      </c>
      <c r="AQ560" t="b">
        <f t="shared" si="1017"/>
        <v>0</v>
      </c>
      <c r="AR560" t="b">
        <f t="shared" si="1018"/>
        <v>0</v>
      </c>
      <c r="AS560" t="b">
        <f t="shared" si="1019"/>
        <v>0</v>
      </c>
      <c r="AT560" t="b">
        <f t="shared" si="1020"/>
        <v>0</v>
      </c>
      <c r="AU560" t="b">
        <f t="shared" si="1021"/>
        <v>0</v>
      </c>
      <c r="AV560" t="b">
        <f t="shared" si="1022"/>
        <v>0</v>
      </c>
      <c r="AW560" t="b">
        <f t="shared" si="1023"/>
        <v>0</v>
      </c>
      <c r="AX560" t="b">
        <f t="shared" si="1025"/>
        <v>0</v>
      </c>
      <c r="AY560" t="b">
        <f t="shared" si="1026"/>
        <v>0</v>
      </c>
      <c r="AZ560" t="b">
        <f t="shared" si="1027"/>
        <v>0</v>
      </c>
      <c r="BA560" t="b">
        <f t="shared" si="1028"/>
        <v>0</v>
      </c>
      <c r="BB560" t="b">
        <f t="shared" si="1029"/>
        <v>0</v>
      </c>
      <c r="BC560" t="b">
        <f t="shared" si="1030"/>
        <v>0</v>
      </c>
      <c r="BD560" t="b">
        <f t="shared" si="1031"/>
        <v>0</v>
      </c>
      <c r="BE560" t="b">
        <f t="shared" si="1032"/>
        <v>0</v>
      </c>
      <c r="BF560" t="b">
        <f t="shared" si="1033"/>
        <v>0</v>
      </c>
      <c r="BG560" t="b">
        <f t="shared" si="1034"/>
        <v>0</v>
      </c>
      <c r="BH560" t="b">
        <f t="shared" si="1035"/>
        <v>0</v>
      </c>
      <c r="BI560">
        <f t="shared" si="1036"/>
        <v>1</v>
      </c>
      <c r="BJ560" t="b">
        <f t="shared" si="1037"/>
        <v>0</v>
      </c>
      <c r="BK560" t="b">
        <f t="shared" si="1038"/>
        <v>0</v>
      </c>
      <c r="BL560" t="b">
        <f t="shared" si="1039"/>
        <v>0</v>
      </c>
      <c r="BM560" t="b">
        <f t="shared" si="1040"/>
        <v>0</v>
      </c>
      <c r="BN560" t="b">
        <f t="shared" si="1041"/>
        <v>0</v>
      </c>
      <c r="BO560" t="b">
        <f t="shared" si="1042"/>
        <v>0</v>
      </c>
      <c r="BP560" t="b">
        <f t="shared" si="1043"/>
        <v>0</v>
      </c>
      <c r="BQ560" t="b">
        <f t="shared" si="1044"/>
        <v>0</v>
      </c>
      <c r="BR560" t="b">
        <f t="shared" si="1045"/>
        <v>0</v>
      </c>
      <c r="BS560">
        <f t="shared" si="1046"/>
        <v>1</v>
      </c>
      <c r="BT560" t="b">
        <f t="shared" si="1047"/>
        <v>0</v>
      </c>
      <c r="BU560" t="b">
        <f t="shared" si="1048"/>
        <v>0</v>
      </c>
      <c r="BV560" t="b">
        <f t="shared" si="1049"/>
        <v>0</v>
      </c>
      <c r="BW560" t="b">
        <f t="shared" si="1050"/>
        <v>0</v>
      </c>
      <c r="BX560" t="b">
        <f t="shared" si="1051"/>
        <v>0</v>
      </c>
      <c r="BY560" t="b">
        <f t="shared" si="1052"/>
        <v>0</v>
      </c>
      <c r="BZ560" t="b">
        <f t="shared" si="1053"/>
        <v>0</v>
      </c>
      <c r="CA560" t="b">
        <f t="shared" si="1054"/>
        <v>0</v>
      </c>
      <c r="CB560" t="b">
        <f t="shared" si="1055"/>
        <v>0</v>
      </c>
      <c r="CC560" t="b">
        <f t="shared" si="1056"/>
        <v>0</v>
      </c>
      <c r="CD560" t="b">
        <f t="shared" si="1057"/>
        <v>0</v>
      </c>
      <c r="CE560">
        <f t="shared" si="1058"/>
        <v>1</v>
      </c>
      <c r="CF560" t="b">
        <f t="shared" si="1059"/>
        <v>0</v>
      </c>
      <c r="CG560" t="b">
        <f t="shared" si="1060"/>
        <v>0</v>
      </c>
      <c r="CH560" t="b">
        <f t="shared" si="1061"/>
        <v>0</v>
      </c>
      <c r="CI560" t="b">
        <f t="shared" si="1062"/>
        <v>0</v>
      </c>
      <c r="CJ560" t="b">
        <f t="shared" si="1063"/>
        <v>0</v>
      </c>
      <c r="CK560" t="b">
        <f t="shared" si="1064"/>
        <v>0</v>
      </c>
      <c r="CL560" t="b">
        <f t="shared" si="1065"/>
        <v>0</v>
      </c>
      <c r="CM560">
        <f t="shared" si="1066"/>
        <v>1</v>
      </c>
      <c r="CN560" t="b">
        <f t="shared" si="1067"/>
        <v>0</v>
      </c>
      <c r="CO560" t="b">
        <f t="shared" si="1068"/>
        <v>0</v>
      </c>
      <c r="CP560" t="b">
        <f t="shared" si="1069"/>
        <v>0</v>
      </c>
      <c r="CQ560" t="b">
        <f t="shared" si="1070"/>
        <v>0</v>
      </c>
      <c r="CR560" t="b">
        <f t="shared" si="1071"/>
        <v>0</v>
      </c>
      <c r="CS560" t="b">
        <f t="shared" si="1072"/>
        <v>0</v>
      </c>
      <c r="CT560" t="b">
        <f t="shared" si="1073"/>
        <v>0</v>
      </c>
      <c r="CU560" t="b">
        <f t="shared" si="1074"/>
        <v>0</v>
      </c>
      <c r="CV560">
        <f t="shared" si="1075"/>
        <v>1</v>
      </c>
      <c r="CW560" t="b">
        <f t="shared" si="1076"/>
        <v>0</v>
      </c>
      <c r="CX560" t="b">
        <f t="shared" si="1077"/>
        <v>0</v>
      </c>
      <c r="CY560" t="b">
        <f t="shared" si="1078"/>
        <v>0</v>
      </c>
      <c r="CZ560" t="b">
        <f t="shared" si="1079"/>
        <v>0</v>
      </c>
      <c r="DA560" t="b">
        <f t="shared" si="1080"/>
        <v>0</v>
      </c>
      <c r="DB560" t="b">
        <f t="shared" si="1081"/>
        <v>0</v>
      </c>
      <c r="DC560" t="b">
        <f t="shared" si="1082"/>
        <v>0</v>
      </c>
      <c r="DD560" t="b">
        <f t="shared" si="1083"/>
        <v>0</v>
      </c>
      <c r="DE560" t="b">
        <f t="shared" si="1084"/>
        <v>0</v>
      </c>
      <c r="DF560" t="b">
        <f t="shared" si="1085"/>
        <v>0</v>
      </c>
      <c r="DG560" t="b">
        <f t="shared" si="1086"/>
        <v>0</v>
      </c>
      <c r="DH560" t="b">
        <f t="shared" si="1087"/>
        <v>0</v>
      </c>
      <c r="DI560" t="b">
        <f t="shared" si="1088"/>
        <v>0</v>
      </c>
      <c r="DJ560" t="b">
        <f t="shared" si="1089"/>
        <v>0</v>
      </c>
      <c r="DK560" t="b">
        <f t="shared" si="1090"/>
        <v>0</v>
      </c>
      <c r="DL560" t="b">
        <f t="shared" si="1091"/>
        <v>0</v>
      </c>
      <c r="DM560" t="b">
        <f t="shared" si="1092"/>
        <v>0</v>
      </c>
      <c r="DN560" t="b">
        <f t="shared" si="1093"/>
        <v>0</v>
      </c>
      <c r="DO560" t="b">
        <f t="shared" si="1094"/>
        <v>0</v>
      </c>
      <c r="DP560" t="b">
        <f t="shared" si="1095"/>
        <v>0</v>
      </c>
      <c r="DQ560" t="b">
        <f t="shared" si="1096"/>
        <v>0</v>
      </c>
      <c r="DR560" t="b">
        <f t="shared" si="1097"/>
        <v>0</v>
      </c>
      <c r="DS560" t="b">
        <f t="shared" si="1098"/>
        <v>0</v>
      </c>
      <c r="DT560" t="b">
        <f t="shared" si="1099"/>
        <v>0</v>
      </c>
      <c r="DU560" t="b">
        <f t="shared" si="1100"/>
        <v>0</v>
      </c>
      <c r="DV560" t="b">
        <f t="shared" si="1101"/>
        <v>0</v>
      </c>
      <c r="DW560" t="b">
        <f t="shared" si="1102"/>
        <v>0</v>
      </c>
      <c r="DX560" t="b">
        <f t="shared" si="1103"/>
        <v>0</v>
      </c>
      <c r="DY560" t="b">
        <f t="shared" si="1104"/>
        <v>0</v>
      </c>
      <c r="DZ560" t="b">
        <f t="shared" si="1105"/>
        <v>0</v>
      </c>
      <c r="EA560" t="b">
        <f t="shared" si="1106"/>
        <v>0</v>
      </c>
      <c r="EB560" t="b">
        <f t="shared" si="1107"/>
        <v>0</v>
      </c>
      <c r="EC560" t="b">
        <f t="shared" si="1108"/>
        <v>0</v>
      </c>
      <c r="ED560" t="b">
        <f t="shared" si="1109"/>
        <v>0</v>
      </c>
      <c r="EE560" t="b">
        <f t="shared" si="1110"/>
        <v>0</v>
      </c>
      <c r="EF560">
        <f t="shared" si="1111"/>
        <v>1</v>
      </c>
      <c r="EG560" t="b">
        <f t="shared" si="1112"/>
        <v>0</v>
      </c>
      <c r="EH560" t="b">
        <f t="shared" si="1113"/>
        <v>0</v>
      </c>
      <c r="EI560" t="b">
        <f t="shared" si="1114"/>
        <v>0</v>
      </c>
      <c r="EJ560" t="b">
        <f t="shared" si="1115"/>
        <v>0</v>
      </c>
      <c r="EK560" t="b">
        <f t="shared" si="1116"/>
        <v>0</v>
      </c>
    </row>
    <row r="561" spans="1:141">
      <c r="A561" t="s">
        <v>2826</v>
      </c>
      <c r="B561" t="s">
        <v>2827</v>
      </c>
      <c r="C561" t="s">
        <v>2828</v>
      </c>
      <c r="D561" s="1">
        <v>44182</v>
      </c>
      <c r="E561" s="2">
        <v>44265.950266203705</v>
      </c>
      <c r="F561" s="2">
        <v>44265.950266203705</v>
      </c>
      <c r="G561">
        <v>637279</v>
      </c>
      <c r="H561" t="s">
        <v>2829</v>
      </c>
      <c r="I561" s="10" t="s">
        <v>2830</v>
      </c>
      <c r="J561" t="s">
        <v>2831</v>
      </c>
      <c r="K561" s="8" t="b">
        <v>1</v>
      </c>
      <c r="L561" s="10" t="b">
        <v>0</v>
      </c>
      <c r="M561" s="12" t="b">
        <v>0</v>
      </c>
      <c r="N561" t="b">
        <v>0</v>
      </c>
      <c r="O561" t="b">
        <v>0</v>
      </c>
      <c r="P561" t="b">
        <v>0</v>
      </c>
      <c r="Q561">
        <f t="shared" si="993"/>
        <v>5</v>
      </c>
      <c r="R561">
        <f t="shared" si="994"/>
        <v>12</v>
      </c>
      <c r="S561" t="e">
        <f t="shared" ca="1" si="1024"/>
        <v>#NAME?</v>
      </c>
      <c r="T561" t="e">
        <f t="shared" ca="1" si="995"/>
        <v>#NAME?</v>
      </c>
      <c r="U561" s="4">
        <f t="shared" si="996"/>
        <v>83.950266203704814</v>
      </c>
      <c r="V561" s="4">
        <f t="shared" si="997"/>
        <v>2.7983422067901604</v>
      </c>
      <c r="W561" s="4">
        <f t="shared" si="998"/>
        <v>1</v>
      </c>
      <c r="X561" s="4">
        <f t="shared" si="999"/>
        <v>0</v>
      </c>
      <c r="Y561" s="4">
        <f t="shared" si="1000"/>
        <v>0</v>
      </c>
      <c r="Z561" s="4">
        <f t="shared" si="1001"/>
        <v>0</v>
      </c>
      <c r="AA561" s="4">
        <f t="shared" si="1002"/>
        <v>0</v>
      </c>
      <c r="AB561" s="4">
        <f t="shared" si="1003"/>
        <v>0</v>
      </c>
      <c r="AC561" s="4"/>
      <c r="AD561" s="4" t="b">
        <f t="shared" si="1004"/>
        <v>0</v>
      </c>
      <c r="AE561" s="4" t="b">
        <f t="shared" si="1005"/>
        <v>0</v>
      </c>
      <c r="AF561" s="4">
        <f t="shared" si="1006"/>
        <v>1</v>
      </c>
      <c r="AG561" t="b">
        <f t="shared" si="1007"/>
        <v>0</v>
      </c>
      <c r="AH561" t="b">
        <f t="shared" si="1008"/>
        <v>0</v>
      </c>
      <c r="AI561" t="b">
        <f t="shared" si="1009"/>
        <v>0</v>
      </c>
      <c r="AJ561" t="b">
        <f t="shared" si="1010"/>
        <v>0</v>
      </c>
      <c r="AK561" t="b">
        <f t="shared" si="1011"/>
        <v>0</v>
      </c>
      <c r="AL561" t="b">
        <f t="shared" si="1012"/>
        <v>0</v>
      </c>
      <c r="AM561" t="b">
        <f t="shared" si="1013"/>
        <v>0</v>
      </c>
      <c r="AN561" t="b">
        <f t="shared" si="1014"/>
        <v>0</v>
      </c>
      <c r="AO561" t="b">
        <f t="shared" si="1015"/>
        <v>0</v>
      </c>
      <c r="AP561" t="b">
        <f t="shared" si="1016"/>
        <v>0</v>
      </c>
      <c r="AQ561" t="b">
        <f t="shared" si="1017"/>
        <v>0</v>
      </c>
      <c r="AR561" t="b">
        <f t="shared" si="1018"/>
        <v>0</v>
      </c>
      <c r="AS561" t="b">
        <f t="shared" si="1019"/>
        <v>0</v>
      </c>
      <c r="AT561" t="b">
        <f t="shared" si="1020"/>
        <v>0</v>
      </c>
      <c r="AU561" t="b">
        <f t="shared" si="1021"/>
        <v>0</v>
      </c>
      <c r="AV561" t="b">
        <f t="shared" si="1022"/>
        <v>0</v>
      </c>
      <c r="AW561" t="b">
        <f t="shared" si="1023"/>
        <v>0</v>
      </c>
      <c r="AX561" t="b">
        <f t="shared" si="1025"/>
        <v>0</v>
      </c>
      <c r="AY561" t="b">
        <f t="shared" si="1026"/>
        <v>0</v>
      </c>
      <c r="AZ561">
        <f t="shared" si="1027"/>
        <v>1</v>
      </c>
      <c r="BA561" t="b">
        <f t="shared" si="1028"/>
        <v>0</v>
      </c>
      <c r="BB561" t="b">
        <f t="shared" si="1029"/>
        <v>0</v>
      </c>
      <c r="BC561" t="b">
        <f t="shared" si="1030"/>
        <v>0</v>
      </c>
      <c r="BD561" t="b">
        <f t="shared" si="1031"/>
        <v>0</v>
      </c>
      <c r="BE561" t="b">
        <f t="shared" si="1032"/>
        <v>0</v>
      </c>
      <c r="BF561" t="b">
        <f t="shared" si="1033"/>
        <v>0</v>
      </c>
      <c r="BG561" t="b">
        <f t="shared" si="1034"/>
        <v>0</v>
      </c>
      <c r="BH561" t="b">
        <f t="shared" si="1035"/>
        <v>0</v>
      </c>
      <c r="BI561">
        <f t="shared" si="1036"/>
        <v>1</v>
      </c>
      <c r="BJ561" t="b">
        <f t="shared" si="1037"/>
        <v>0</v>
      </c>
      <c r="BK561" t="b">
        <f t="shared" si="1038"/>
        <v>0</v>
      </c>
      <c r="BL561" t="b">
        <f t="shared" si="1039"/>
        <v>0</v>
      </c>
      <c r="BM561" t="b">
        <f t="shared" si="1040"/>
        <v>0</v>
      </c>
      <c r="BN561" t="b">
        <f t="shared" si="1041"/>
        <v>0</v>
      </c>
      <c r="BO561" t="b">
        <f t="shared" si="1042"/>
        <v>0</v>
      </c>
      <c r="BP561" t="b">
        <f t="shared" si="1043"/>
        <v>0</v>
      </c>
      <c r="BQ561" t="b">
        <f t="shared" si="1044"/>
        <v>0</v>
      </c>
      <c r="BR561">
        <f t="shared" si="1045"/>
        <v>1</v>
      </c>
      <c r="BS561" t="b">
        <f t="shared" si="1046"/>
        <v>0</v>
      </c>
      <c r="BT561" t="b">
        <f t="shared" si="1047"/>
        <v>0</v>
      </c>
      <c r="BU561" t="b">
        <f t="shared" si="1048"/>
        <v>0</v>
      </c>
      <c r="BV561" t="b">
        <f t="shared" si="1049"/>
        <v>0</v>
      </c>
      <c r="BW561" t="b">
        <f t="shared" si="1050"/>
        <v>0</v>
      </c>
      <c r="BX561" t="b">
        <f t="shared" si="1051"/>
        <v>0</v>
      </c>
      <c r="BY561" t="b">
        <f t="shared" si="1052"/>
        <v>0</v>
      </c>
      <c r="BZ561" t="b">
        <f t="shared" si="1053"/>
        <v>0</v>
      </c>
      <c r="CA561" t="b">
        <f t="shared" si="1054"/>
        <v>0</v>
      </c>
      <c r="CB561" t="b">
        <f t="shared" si="1055"/>
        <v>0</v>
      </c>
      <c r="CC561" t="b">
        <f t="shared" si="1056"/>
        <v>0</v>
      </c>
      <c r="CD561" t="b">
        <f t="shared" si="1057"/>
        <v>0</v>
      </c>
      <c r="CE561" t="b">
        <f t="shared" si="1058"/>
        <v>0</v>
      </c>
      <c r="CF561" t="b">
        <f t="shared" si="1059"/>
        <v>0</v>
      </c>
      <c r="CG561" t="b">
        <f t="shared" si="1060"/>
        <v>0</v>
      </c>
      <c r="CH561" t="b">
        <f t="shared" si="1061"/>
        <v>0</v>
      </c>
      <c r="CI561" t="b">
        <f t="shared" si="1062"/>
        <v>0</v>
      </c>
      <c r="CJ561" t="b">
        <f t="shared" si="1063"/>
        <v>0</v>
      </c>
      <c r="CK561" t="b">
        <f t="shared" si="1064"/>
        <v>0</v>
      </c>
      <c r="CL561" t="b">
        <f t="shared" si="1065"/>
        <v>0</v>
      </c>
      <c r="CM561">
        <f t="shared" si="1066"/>
        <v>1</v>
      </c>
      <c r="CN561" t="b">
        <f t="shared" si="1067"/>
        <v>0</v>
      </c>
      <c r="CO561" t="b">
        <f t="shared" si="1068"/>
        <v>0</v>
      </c>
      <c r="CP561" t="b">
        <f t="shared" si="1069"/>
        <v>0</v>
      </c>
      <c r="CQ561" t="b">
        <f t="shared" si="1070"/>
        <v>0</v>
      </c>
      <c r="CR561" t="b">
        <f t="shared" si="1071"/>
        <v>0</v>
      </c>
      <c r="CS561" t="b">
        <f t="shared" si="1072"/>
        <v>0</v>
      </c>
      <c r="CT561" t="b">
        <f t="shared" si="1073"/>
        <v>0</v>
      </c>
      <c r="CU561" t="b">
        <f t="shared" si="1074"/>
        <v>0</v>
      </c>
      <c r="CV561" t="b">
        <f t="shared" si="1075"/>
        <v>0</v>
      </c>
      <c r="CW561" t="b">
        <f t="shared" si="1076"/>
        <v>0</v>
      </c>
      <c r="CX561" t="b">
        <f t="shared" si="1077"/>
        <v>0</v>
      </c>
      <c r="CY561" t="b">
        <f t="shared" si="1078"/>
        <v>0</v>
      </c>
      <c r="CZ561" t="b">
        <f t="shared" si="1079"/>
        <v>0</v>
      </c>
      <c r="DA561" t="b">
        <f t="shared" si="1080"/>
        <v>0</v>
      </c>
      <c r="DB561">
        <f t="shared" si="1081"/>
        <v>1</v>
      </c>
      <c r="DC561" t="b">
        <f t="shared" si="1082"/>
        <v>0</v>
      </c>
      <c r="DD561" t="b">
        <f t="shared" si="1083"/>
        <v>0</v>
      </c>
      <c r="DE561" t="b">
        <f t="shared" si="1084"/>
        <v>0</v>
      </c>
      <c r="DF561" t="b">
        <f t="shared" si="1085"/>
        <v>0</v>
      </c>
      <c r="DG561" t="b">
        <f t="shared" si="1086"/>
        <v>0</v>
      </c>
      <c r="DH561" t="b">
        <f t="shared" si="1087"/>
        <v>0</v>
      </c>
      <c r="DI561" t="b">
        <f t="shared" si="1088"/>
        <v>0</v>
      </c>
      <c r="DJ561" t="b">
        <f t="shared" si="1089"/>
        <v>0</v>
      </c>
      <c r="DK561" t="b">
        <f t="shared" si="1090"/>
        <v>0</v>
      </c>
      <c r="DL561" t="b">
        <f t="shared" si="1091"/>
        <v>0</v>
      </c>
      <c r="DM561" t="b">
        <f t="shared" si="1092"/>
        <v>0</v>
      </c>
      <c r="DN561" t="b">
        <f t="shared" si="1093"/>
        <v>0</v>
      </c>
      <c r="DO561" t="b">
        <f t="shared" si="1094"/>
        <v>0</v>
      </c>
      <c r="DP561" t="b">
        <f t="shared" si="1095"/>
        <v>0</v>
      </c>
      <c r="DQ561" t="b">
        <f t="shared" si="1096"/>
        <v>0</v>
      </c>
      <c r="DR561" t="b">
        <f t="shared" si="1097"/>
        <v>0</v>
      </c>
      <c r="DS561" t="b">
        <f t="shared" si="1098"/>
        <v>0</v>
      </c>
      <c r="DT561" t="b">
        <f t="shared" si="1099"/>
        <v>0</v>
      </c>
      <c r="DU561" t="b">
        <f t="shared" si="1100"/>
        <v>0</v>
      </c>
      <c r="DV561" t="b">
        <f t="shared" si="1101"/>
        <v>0</v>
      </c>
      <c r="DW561" t="b">
        <f t="shared" si="1102"/>
        <v>0</v>
      </c>
      <c r="DX561" t="b">
        <f t="shared" si="1103"/>
        <v>0</v>
      </c>
      <c r="DY561" t="b">
        <f t="shared" si="1104"/>
        <v>0</v>
      </c>
      <c r="DZ561" t="b">
        <f t="shared" si="1105"/>
        <v>0</v>
      </c>
      <c r="EA561" t="b">
        <f t="shared" si="1106"/>
        <v>0</v>
      </c>
      <c r="EB561" t="b">
        <f t="shared" si="1107"/>
        <v>0</v>
      </c>
      <c r="EC561" t="b">
        <f t="shared" si="1108"/>
        <v>0</v>
      </c>
      <c r="ED561" t="b">
        <f t="shared" si="1109"/>
        <v>0</v>
      </c>
      <c r="EE561" t="b">
        <f t="shared" si="1110"/>
        <v>0</v>
      </c>
      <c r="EF561" t="b">
        <f t="shared" si="1111"/>
        <v>0</v>
      </c>
      <c r="EG561" t="b">
        <f t="shared" si="1112"/>
        <v>0</v>
      </c>
      <c r="EH561" t="b">
        <f t="shared" si="1113"/>
        <v>0</v>
      </c>
      <c r="EI561" t="b">
        <f t="shared" si="1114"/>
        <v>0</v>
      </c>
      <c r="EJ561" t="b">
        <f t="shared" si="1115"/>
        <v>0</v>
      </c>
      <c r="EK561" t="b">
        <f t="shared" si="1116"/>
        <v>0</v>
      </c>
    </row>
    <row r="562" spans="1:141">
      <c r="A562" t="s">
        <v>2832</v>
      </c>
      <c r="B562" t="s">
        <v>2832</v>
      </c>
      <c r="C562" t="s">
        <v>2833</v>
      </c>
      <c r="D562" s="1">
        <v>44523</v>
      </c>
      <c r="E562" s="2">
        <v>44659.003969907404</v>
      </c>
      <c r="F562" s="2">
        <v>44659.003969907404</v>
      </c>
      <c r="G562">
        <v>471376</v>
      </c>
      <c r="H562" t="s">
        <v>2834</v>
      </c>
      <c r="I562" s="10" t="s">
        <v>2835</v>
      </c>
      <c r="J562" t="s">
        <v>2836</v>
      </c>
      <c r="K562" s="8" t="b">
        <v>1</v>
      </c>
      <c r="L562" s="10" t="b">
        <v>0</v>
      </c>
      <c r="M562" s="12" t="b">
        <v>0</v>
      </c>
      <c r="N562" t="b">
        <v>0</v>
      </c>
      <c r="O562" t="b">
        <v>0</v>
      </c>
      <c r="P562" t="b">
        <v>0</v>
      </c>
      <c r="Q562">
        <f t="shared" si="993"/>
        <v>3</v>
      </c>
      <c r="R562">
        <f t="shared" si="994"/>
        <v>11</v>
      </c>
      <c r="S562" t="e">
        <f t="shared" ca="1" si="1024"/>
        <v>#NAME?</v>
      </c>
      <c r="T562" t="e">
        <f t="shared" ca="1" si="995"/>
        <v>#NAME?</v>
      </c>
      <c r="U562" s="4">
        <f t="shared" si="996"/>
        <v>136.0039699074041</v>
      </c>
      <c r="V562" s="4">
        <f t="shared" si="997"/>
        <v>4.5334656635801363</v>
      </c>
      <c r="W562" s="4">
        <f t="shared" si="998"/>
        <v>1</v>
      </c>
      <c r="X562" s="4">
        <f t="shared" si="999"/>
        <v>0</v>
      </c>
      <c r="Y562" s="4">
        <f t="shared" si="1000"/>
        <v>0</v>
      </c>
      <c r="Z562" s="4">
        <f t="shared" si="1001"/>
        <v>0</v>
      </c>
      <c r="AA562" s="4">
        <f t="shared" si="1002"/>
        <v>0</v>
      </c>
      <c r="AB562" s="4">
        <f t="shared" si="1003"/>
        <v>0</v>
      </c>
      <c r="AC562" s="4"/>
      <c r="AD562" s="4" t="b">
        <f t="shared" si="1004"/>
        <v>0</v>
      </c>
      <c r="AE562" s="4" t="b">
        <f t="shared" si="1005"/>
        <v>0</v>
      </c>
      <c r="AF562" s="4" t="b">
        <f t="shared" si="1006"/>
        <v>0</v>
      </c>
      <c r="AG562" t="b">
        <f t="shared" si="1007"/>
        <v>0</v>
      </c>
      <c r="AH562" t="b">
        <f t="shared" si="1008"/>
        <v>0</v>
      </c>
      <c r="AI562">
        <f t="shared" si="1009"/>
        <v>1</v>
      </c>
      <c r="AJ562" t="b">
        <f t="shared" si="1010"/>
        <v>0</v>
      </c>
      <c r="AK562" t="b">
        <f t="shared" si="1011"/>
        <v>0</v>
      </c>
      <c r="AL562" t="b">
        <f t="shared" si="1012"/>
        <v>0</v>
      </c>
      <c r="AM562" t="b">
        <f t="shared" si="1013"/>
        <v>0</v>
      </c>
      <c r="AN562" t="b">
        <f t="shared" si="1014"/>
        <v>0</v>
      </c>
      <c r="AO562" t="b">
        <f t="shared" si="1015"/>
        <v>0</v>
      </c>
      <c r="AP562" t="b">
        <f t="shared" si="1016"/>
        <v>0</v>
      </c>
      <c r="AQ562" t="b">
        <f t="shared" si="1017"/>
        <v>0</v>
      </c>
      <c r="AR562" t="b">
        <f t="shared" si="1018"/>
        <v>0</v>
      </c>
      <c r="AS562" t="b">
        <f t="shared" si="1019"/>
        <v>0</v>
      </c>
      <c r="AT562" t="b">
        <f t="shared" si="1020"/>
        <v>0</v>
      </c>
      <c r="AU562" t="b">
        <f t="shared" si="1021"/>
        <v>0</v>
      </c>
      <c r="AV562" t="b">
        <f t="shared" si="1022"/>
        <v>0</v>
      </c>
      <c r="AW562" t="b">
        <f t="shared" si="1023"/>
        <v>0</v>
      </c>
      <c r="AX562" t="b">
        <f t="shared" si="1025"/>
        <v>0</v>
      </c>
      <c r="AY562" t="b">
        <f t="shared" si="1026"/>
        <v>0</v>
      </c>
      <c r="AZ562">
        <f t="shared" si="1027"/>
        <v>1</v>
      </c>
      <c r="BA562" t="b">
        <f t="shared" si="1028"/>
        <v>0</v>
      </c>
      <c r="BB562" t="b">
        <f t="shared" si="1029"/>
        <v>0</v>
      </c>
      <c r="BC562" t="b">
        <f t="shared" si="1030"/>
        <v>0</v>
      </c>
      <c r="BD562" t="b">
        <f t="shared" si="1031"/>
        <v>0</v>
      </c>
      <c r="BE562" t="b">
        <f t="shared" si="1032"/>
        <v>0</v>
      </c>
      <c r="BF562" t="b">
        <f t="shared" si="1033"/>
        <v>0</v>
      </c>
      <c r="BG562" t="b">
        <f t="shared" si="1034"/>
        <v>0</v>
      </c>
      <c r="BH562" t="b">
        <f t="shared" si="1035"/>
        <v>0</v>
      </c>
      <c r="BI562">
        <f t="shared" si="1036"/>
        <v>1</v>
      </c>
      <c r="BJ562" t="b">
        <f t="shared" si="1037"/>
        <v>0</v>
      </c>
      <c r="BK562" t="b">
        <f t="shared" si="1038"/>
        <v>0</v>
      </c>
      <c r="BL562" t="b">
        <f t="shared" si="1039"/>
        <v>0</v>
      </c>
      <c r="BM562" t="b">
        <f t="shared" si="1040"/>
        <v>0</v>
      </c>
      <c r="BN562" t="b">
        <f t="shared" si="1041"/>
        <v>0</v>
      </c>
      <c r="BO562" t="b">
        <f t="shared" si="1042"/>
        <v>0</v>
      </c>
      <c r="BP562" t="b">
        <f t="shared" si="1043"/>
        <v>0</v>
      </c>
      <c r="BQ562" t="b">
        <f t="shared" si="1044"/>
        <v>0</v>
      </c>
      <c r="BR562" t="b">
        <f t="shared" si="1045"/>
        <v>0</v>
      </c>
      <c r="BS562" t="b">
        <f t="shared" si="1046"/>
        <v>0</v>
      </c>
      <c r="BT562" t="b">
        <f t="shared" si="1047"/>
        <v>0</v>
      </c>
      <c r="BU562" t="b">
        <f t="shared" si="1048"/>
        <v>0</v>
      </c>
      <c r="BV562" t="b">
        <f t="shared" si="1049"/>
        <v>0</v>
      </c>
      <c r="BW562" t="b">
        <f t="shared" si="1050"/>
        <v>0</v>
      </c>
      <c r="BX562" t="b">
        <f t="shared" si="1051"/>
        <v>0</v>
      </c>
      <c r="BY562" t="b">
        <f t="shared" si="1052"/>
        <v>0</v>
      </c>
      <c r="BZ562" t="b">
        <f t="shared" si="1053"/>
        <v>0</v>
      </c>
      <c r="CA562" t="b">
        <f t="shared" si="1054"/>
        <v>0</v>
      </c>
      <c r="CB562" t="b">
        <f t="shared" si="1055"/>
        <v>0</v>
      </c>
      <c r="CC562" t="b">
        <f t="shared" si="1056"/>
        <v>0</v>
      </c>
      <c r="CD562" t="b">
        <f t="shared" si="1057"/>
        <v>0</v>
      </c>
      <c r="CE562" t="b">
        <f t="shared" si="1058"/>
        <v>0</v>
      </c>
      <c r="CF562" t="b">
        <f t="shared" si="1059"/>
        <v>0</v>
      </c>
      <c r="CG562" t="b">
        <f t="shared" si="1060"/>
        <v>0</v>
      </c>
      <c r="CH562" t="b">
        <f t="shared" si="1061"/>
        <v>0</v>
      </c>
      <c r="CI562" t="b">
        <f t="shared" si="1062"/>
        <v>0</v>
      </c>
      <c r="CJ562" t="b">
        <f t="shared" si="1063"/>
        <v>0</v>
      </c>
      <c r="CK562" t="b">
        <f t="shared" si="1064"/>
        <v>0</v>
      </c>
      <c r="CL562" t="b">
        <f t="shared" si="1065"/>
        <v>0</v>
      </c>
      <c r="CM562">
        <f t="shared" si="1066"/>
        <v>1</v>
      </c>
      <c r="CN562" t="b">
        <f t="shared" si="1067"/>
        <v>0</v>
      </c>
      <c r="CO562" t="b">
        <f t="shared" si="1068"/>
        <v>0</v>
      </c>
      <c r="CP562" t="b">
        <f t="shared" si="1069"/>
        <v>0</v>
      </c>
      <c r="CQ562" t="b">
        <f t="shared" si="1070"/>
        <v>0</v>
      </c>
      <c r="CR562" t="b">
        <f t="shared" si="1071"/>
        <v>0</v>
      </c>
      <c r="CS562" t="b">
        <f t="shared" si="1072"/>
        <v>0</v>
      </c>
      <c r="CT562" t="b">
        <f t="shared" si="1073"/>
        <v>0</v>
      </c>
      <c r="CU562" t="b">
        <f t="shared" si="1074"/>
        <v>0</v>
      </c>
      <c r="CV562">
        <f t="shared" si="1075"/>
        <v>1</v>
      </c>
      <c r="CW562" t="b">
        <f t="shared" si="1076"/>
        <v>0</v>
      </c>
      <c r="CX562" t="b">
        <f t="shared" si="1077"/>
        <v>0</v>
      </c>
      <c r="CY562" t="b">
        <f t="shared" si="1078"/>
        <v>0</v>
      </c>
      <c r="CZ562" t="b">
        <f t="shared" si="1079"/>
        <v>0</v>
      </c>
      <c r="DA562">
        <f t="shared" si="1080"/>
        <v>1</v>
      </c>
      <c r="DB562">
        <f t="shared" si="1081"/>
        <v>1</v>
      </c>
      <c r="DC562" t="b">
        <f t="shared" si="1082"/>
        <v>0</v>
      </c>
      <c r="DD562" t="b">
        <f t="shared" si="1083"/>
        <v>0</v>
      </c>
      <c r="DE562" t="b">
        <f t="shared" si="1084"/>
        <v>0</v>
      </c>
      <c r="DF562" t="b">
        <f t="shared" si="1085"/>
        <v>0</v>
      </c>
      <c r="DG562" t="b">
        <f t="shared" si="1086"/>
        <v>0</v>
      </c>
      <c r="DH562" t="b">
        <f t="shared" si="1087"/>
        <v>0</v>
      </c>
      <c r="DI562" t="b">
        <f t="shared" si="1088"/>
        <v>0</v>
      </c>
      <c r="DJ562" t="b">
        <f t="shared" si="1089"/>
        <v>0</v>
      </c>
      <c r="DK562" t="b">
        <f t="shared" si="1090"/>
        <v>0</v>
      </c>
      <c r="DL562" t="b">
        <f t="shared" si="1091"/>
        <v>0</v>
      </c>
      <c r="DM562" t="b">
        <f t="shared" si="1092"/>
        <v>0</v>
      </c>
      <c r="DN562" t="b">
        <f t="shared" si="1093"/>
        <v>0</v>
      </c>
      <c r="DO562" t="b">
        <f t="shared" si="1094"/>
        <v>0</v>
      </c>
      <c r="DP562" t="b">
        <f t="shared" si="1095"/>
        <v>0</v>
      </c>
      <c r="DQ562" t="b">
        <f t="shared" si="1096"/>
        <v>0</v>
      </c>
      <c r="DR562" t="b">
        <f t="shared" si="1097"/>
        <v>0</v>
      </c>
      <c r="DS562" t="b">
        <f t="shared" si="1098"/>
        <v>0</v>
      </c>
      <c r="DT562" t="b">
        <f t="shared" si="1099"/>
        <v>0</v>
      </c>
      <c r="DU562" t="b">
        <f t="shared" si="1100"/>
        <v>0</v>
      </c>
      <c r="DV562" t="b">
        <f t="shared" si="1101"/>
        <v>0</v>
      </c>
      <c r="DW562" t="b">
        <f t="shared" si="1102"/>
        <v>0</v>
      </c>
      <c r="DX562" t="b">
        <f t="shared" si="1103"/>
        <v>0</v>
      </c>
      <c r="DY562" t="b">
        <f t="shared" si="1104"/>
        <v>0</v>
      </c>
      <c r="DZ562" t="b">
        <f t="shared" si="1105"/>
        <v>0</v>
      </c>
      <c r="EA562" t="b">
        <f t="shared" si="1106"/>
        <v>0</v>
      </c>
      <c r="EB562" t="b">
        <f t="shared" si="1107"/>
        <v>0</v>
      </c>
      <c r="EC562" t="b">
        <f t="shared" si="1108"/>
        <v>0</v>
      </c>
      <c r="ED562" t="b">
        <f t="shared" si="1109"/>
        <v>0</v>
      </c>
      <c r="EE562" t="b">
        <f t="shared" si="1110"/>
        <v>0</v>
      </c>
      <c r="EF562" t="b">
        <f t="shared" si="1111"/>
        <v>0</v>
      </c>
      <c r="EG562" t="b">
        <f t="shared" si="1112"/>
        <v>0</v>
      </c>
      <c r="EH562" t="b">
        <f t="shared" si="1113"/>
        <v>0</v>
      </c>
      <c r="EI562" t="b">
        <f t="shared" si="1114"/>
        <v>0</v>
      </c>
      <c r="EJ562" t="b">
        <f t="shared" si="1115"/>
        <v>0</v>
      </c>
      <c r="EK562" t="b">
        <f t="shared" si="1116"/>
        <v>0</v>
      </c>
    </row>
    <row r="563" spans="1:141">
      <c r="A563" t="s">
        <v>2837</v>
      </c>
      <c r="B563" t="s">
        <v>2838</v>
      </c>
      <c r="D563" s="1">
        <v>43263</v>
      </c>
      <c r="E563" s="2">
        <v>43265.337384259263</v>
      </c>
      <c r="F563" s="2">
        <v>44566.17465277778</v>
      </c>
      <c r="G563">
        <v>43432346</v>
      </c>
      <c r="H563" t="s">
        <v>2839</v>
      </c>
      <c r="I563" s="10" t="s">
        <v>414</v>
      </c>
      <c r="J563" t="s">
        <v>744</v>
      </c>
      <c r="K563" s="8" t="b">
        <v>1</v>
      </c>
      <c r="L563" s="10" t="b">
        <v>0</v>
      </c>
      <c r="M563" s="12" t="b">
        <v>0</v>
      </c>
      <c r="N563" t="b">
        <v>0</v>
      </c>
      <c r="O563" t="b">
        <v>1</v>
      </c>
      <c r="P563" t="b">
        <v>1</v>
      </c>
      <c r="Q563">
        <f t="shared" si="993"/>
        <v>3</v>
      </c>
      <c r="R563">
        <f t="shared" si="994"/>
        <v>6</v>
      </c>
      <c r="S563" t="e">
        <f t="shared" ca="1" si="1024"/>
        <v>#NAME?</v>
      </c>
      <c r="T563" t="e">
        <f t="shared" ca="1" si="995"/>
        <v>#NAME?</v>
      </c>
      <c r="U563" s="4">
        <f t="shared" si="996"/>
        <v>2.3373842592627625</v>
      </c>
      <c r="V563" s="4">
        <f t="shared" si="997"/>
        <v>7.7912808642092088E-2</v>
      </c>
      <c r="W563" s="4">
        <f t="shared" si="998"/>
        <v>1</v>
      </c>
      <c r="X563" s="4">
        <f t="shared" si="999"/>
        <v>0</v>
      </c>
      <c r="Y563" s="4">
        <f t="shared" si="1000"/>
        <v>0</v>
      </c>
      <c r="Z563" s="4">
        <f t="shared" si="1001"/>
        <v>0</v>
      </c>
      <c r="AA563" s="4">
        <f t="shared" si="1002"/>
        <v>1</v>
      </c>
      <c r="AB563" s="4">
        <f t="shared" si="1003"/>
        <v>1</v>
      </c>
      <c r="AC563" s="4"/>
      <c r="AD563" s="4" t="b">
        <f t="shared" si="1004"/>
        <v>0</v>
      </c>
      <c r="AE563" s="4" t="b">
        <f t="shared" si="1005"/>
        <v>0</v>
      </c>
      <c r="AF563" s="4" t="b">
        <f t="shared" si="1006"/>
        <v>0</v>
      </c>
      <c r="AG563" t="b">
        <f t="shared" si="1007"/>
        <v>0</v>
      </c>
      <c r="AH563" t="b">
        <f t="shared" si="1008"/>
        <v>0</v>
      </c>
      <c r="AI563" t="b">
        <f t="shared" si="1009"/>
        <v>0</v>
      </c>
      <c r="AJ563" t="b">
        <f t="shared" si="1010"/>
        <v>0</v>
      </c>
      <c r="AK563" t="b">
        <f t="shared" si="1011"/>
        <v>0</v>
      </c>
      <c r="AL563" t="b">
        <f t="shared" si="1012"/>
        <v>0</v>
      </c>
      <c r="AM563" t="b">
        <f t="shared" si="1013"/>
        <v>0</v>
      </c>
      <c r="AN563" t="b">
        <f t="shared" si="1014"/>
        <v>0</v>
      </c>
      <c r="AO563" t="b">
        <f t="shared" si="1015"/>
        <v>0</v>
      </c>
      <c r="AP563" t="b">
        <f t="shared" si="1016"/>
        <v>0</v>
      </c>
      <c r="AQ563" t="b">
        <f t="shared" si="1017"/>
        <v>0</v>
      </c>
      <c r="AR563" t="b">
        <f t="shared" si="1018"/>
        <v>0</v>
      </c>
      <c r="AS563" t="b">
        <f t="shared" si="1019"/>
        <v>0</v>
      </c>
      <c r="AT563" t="b">
        <f t="shared" si="1020"/>
        <v>0</v>
      </c>
      <c r="AU563" t="b">
        <f t="shared" si="1021"/>
        <v>0</v>
      </c>
      <c r="AV563" t="b">
        <f t="shared" si="1022"/>
        <v>0</v>
      </c>
      <c r="AW563" t="b">
        <f t="shared" si="1023"/>
        <v>0</v>
      </c>
      <c r="AX563" t="b">
        <f t="shared" si="1025"/>
        <v>0</v>
      </c>
      <c r="AY563" t="b">
        <f t="shared" si="1026"/>
        <v>0</v>
      </c>
      <c r="AZ563" t="b">
        <f t="shared" si="1027"/>
        <v>0</v>
      </c>
      <c r="BA563" t="b">
        <f t="shared" si="1028"/>
        <v>0</v>
      </c>
      <c r="BB563" t="b">
        <f t="shared" si="1029"/>
        <v>0</v>
      </c>
      <c r="BC563" t="b">
        <f t="shared" si="1030"/>
        <v>0</v>
      </c>
      <c r="BD563" t="b">
        <f t="shared" si="1031"/>
        <v>0</v>
      </c>
      <c r="BE563" t="b">
        <f t="shared" si="1032"/>
        <v>0</v>
      </c>
      <c r="BF563" t="b">
        <f t="shared" si="1033"/>
        <v>0</v>
      </c>
      <c r="BG563" t="b">
        <f t="shared" si="1034"/>
        <v>0</v>
      </c>
      <c r="BH563" t="b">
        <f t="shared" si="1035"/>
        <v>0</v>
      </c>
      <c r="BI563">
        <f t="shared" si="1036"/>
        <v>1</v>
      </c>
      <c r="BJ563" t="b">
        <f t="shared" si="1037"/>
        <v>0</v>
      </c>
      <c r="BK563" t="b">
        <f t="shared" si="1038"/>
        <v>0</v>
      </c>
      <c r="BL563" t="b">
        <f t="shared" si="1039"/>
        <v>0</v>
      </c>
      <c r="BM563" t="b">
        <f t="shared" si="1040"/>
        <v>0</v>
      </c>
      <c r="BN563" t="b">
        <f t="shared" si="1041"/>
        <v>0</v>
      </c>
      <c r="BO563" t="b">
        <f t="shared" si="1042"/>
        <v>0</v>
      </c>
      <c r="BP563" t="b">
        <f t="shared" si="1043"/>
        <v>0</v>
      </c>
      <c r="BQ563" t="b">
        <f t="shared" si="1044"/>
        <v>0</v>
      </c>
      <c r="BR563" t="b">
        <f t="shared" si="1045"/>
        <v>0</v>
      </c>
      <c r="BS563" t="b">
        <f t="shared" si="1046"/>
        <v>0</v>
      </c>
      <c r="BT563" t="b">
        <f t="shared" si="1047"/>
        <v>0</v>
      </c>
      <c r="BU563" t="b">
        <f t="shared" si="1048"/>
        <v>0</v>
      </c>
      <c r="BV563" t="b">
        <f t="shared" si="1049"/>
        <v>0</v>
      </c>
      <c r="BW563" t="b">
        <f t="shared" si="1050"/>
        <v>0</v>
      </c>
      <c r="BX563" t="b">
        <f t="shared" si="1051"/>
        <v>0</v>
      </c>
      <c r="BY563" t="b">
        <f t="shared" si="1052"/>
        <v>0</v>
      </c>
      <c r="BZ563" t="b">
        <f t="shared" si="1053"/>
        <v>0</v>
      </c>
      <c r="CA563" t="b">
        <f t="shared" si="1054"/>
        <v>0</v>
      </c>
      <c r="CB563" t="b">
        <f t="shared" si="1055"/>
        <v>0</v>
      </c>
      <c r="CC563" t="b">
        <f t="shared" si="1056"/>
        <v>0</v>
      </c>
      <c r="CD563" t="b">
        <f t="shared" si="1057"/>
        <v>0</v>
      </c>
      <c r="CE563" t="b">
        <f t="shared" si="1058"/>
        <v>0</v>
      </c>
      <c r="CF563" t="b">
        <f t="shared" si="1059"/>
        <v>0</v>
      </c>
      <c r="CG563" t="b">
        <f t="shared" si="1060"/>
        <v>0</v>
      </c>
      <c r="CH563" t="b">
        <f t="shared" si="1061"/>
        <v>0</v>
      </c>
      <c r="CI563" t="b">
        <f t="shared" si="1062"/>
        <v>0</v>
      </c>
      <c r="CJ563" t="b">
        <f t="shared" si="1063"/>
        <v>0</v>
      </c>
      <c r="CK563" t="b">
        <f t="shared" si="1064"/>
        <v>0</v>
      </c>
      <c r="CL563" t="b">
        <f t="shared" si="1065"/>
        <v>0</v>
      </c>
      <c r="CM563" t="b">
        <f t="shared" si="1066"/>
        <v>0</v>
      </c>
      <c r="CN563" t="b">
        <f t="shared" si="1067"/>
        <v>0</v>
      </c>
      <c r="CO563" t="b">
        <f t="shared" si="1068"/>
        <v>0</v>
      </c>
      <c r="CP563" t="b">
        <f t="shared" si="1069"/>
        <v>0</v>
      </c>
      <c r="CQ563" t="b">
        <f t="shared" si="1070"/>
        <v>0</v>
      </c>
      <c r="CR563" t="b">
        <f t="shared" si="1071"/>
        <v>0</v>
      </c>
      <c r="CS563" t="b">
        <f t="shared" si="1072"/>
        <v>0</v>
      </c>
      <c r="CT563" t="b">
        <f t="shared" si="1073"/>
        <v>0</v>
      </c>
      <c r="CU563" t="b">
        <f t="shared" si="1074"/>
        <v>0</v>
      </c>
      <c r="CV563" t="b">
        <f t="shared" si="1075"/>
        <v>0</v>
      </c>
      <c r="CW563" t="b">
        <f t="shared" si="1076"/>
        <v>0</v>
      </c>
      <c r="CX563" t="b">
        <f t="shared" si="1077"/>
        <v>0</v>
      </c>
      <c r="CY563" t="b">
        <f t="shared" si="1078"/>
        <v>0</v>
      </c>
      <c r="CZ563" t="b">
        <f t="shared" si="1079"/>
        <v>0</v>
      </c>
      <c r="DA563" t="b">
        <f t="shared" si="1080"/>
        <v>0</v>
      </c>
      <c r="DB563" t="b">
        <f t="shared" si="1081"/>
        <v>0</v>
      </c>
      <c r="DC563" t="b">
        <f t="shared" si="1082"/>
        <v>0</v>
      </c>
      <c r="DD563" t="b">
        <f t="shared" si="1083"/>
        <v>0</v>
      </c>
      <c r="DE563" t="b">
        <f t="shared" si="1084"/>
        <v>0</v>
      </c>
      <c r="DF563" t="b">
        <f t="shared" si="1085"/>
        <v>0</v>
      </c>
      <c r="DG563" t="b">
        <f t="shared" si="1086"/>
        <v>0</v>
      </c>
      <c r="DH563" t="b">
        <f t="shared" si="1087"/>
        <v>0</v>
      </c>
      <c r="DI563" t="b">
        <f t="shared" si="1088"/>
        <v>0</v>
      </c>
      <c r="DJ563" t="b">
        <f t="shared" si="1089"/>
        <v>0</v>
      </c>
      <c r="DK563" t="b">
        <f t="shared" si="1090"/>
        <v>0</v>
      </c>
      <c r="DL563" t="b">
        <f t="shared" si="1091"/>
        <v>0</v>
      </c>
      <c r="DM563" t="b">
        <f t="shared" si="1092"/>
        <v>0</v>
      </c>
      <c r="DN563" t="b">
        <f t="shared" si="1093"/>
        <v>0</v>
      </c>
      <c r="DO563" t="b">
        <f t="shared" si="1094"/>
        <v>0</v>
      </c>
      <c r="DP563" t="b">
        <f t="shared" si="1095"/>
        <v>0</v>
      </c>
      <c r="DQ563" t="b">
        <f t="shared" si="1096"/>
        <v>0</v>
      </c>
      <c r="DR563" t="b">
        <f t="shared" si="1097"/>
        <v>0</v>
      </c>
      <c r="DS563" t="b">
        <f t="shared" si="1098"/>
        <v>0</v>
      </c>
      <c r="DT563" t="b">
        <f t="shared" si="1099"/>
        <v>0</v>
      </c>
      <c r="DU563" t="b">
        <f t="shared" si="1100"/>
        <v>0</v>
      </c>
      <c r="DV563" t="b">
        <f t="shared" si="1101"/>
        <v>0</v>
      </c>
      <c r="DW563" t="b">
        <f t="shared" si="1102"/>
        <v>0</v>
      </c>
      <c r="DX563" t="b">
        <f t="shared" si="1103"/>
        <v>0</v>
      </c>
      <c r="DY563" t="b">
        <f t="shared" si="1104"/>
        <v>0</v>
      </c>
      <c r="DZ563" t="b">
        <f t="shared" si="1105"/>
        <v>0</v>
      </c>
      <c r="EA563" t="b">
        <f t="shared" si="1106"/>
        <v>0</v>
      </c>
      <c r="EB563" t="b">
        <f t="shared" si="1107"/>
        <v>0</v>
      </c>
      <c r="EC563" t="b">
        <f t="shared" si="1108"/>
        <v>0</v>
      </c>
      <c r="ED563" t="b">
        <f t="shared" si="1109"/>
        <v>0</v>
      </c>
      <c r="EE563" t="b">
        <f t="shared" si="1110"/>
        <v>0</v>
      </c>
      <c r="EF563" t="b">
        <f t="shared" si="1111"/>
        <v>0</v>
      </c>
      <c r="EG563" t="b">
        <f t="shared" si="1112"/>
        <v>0</v>
      </c>
      <c r="EH563" t="b">
        <f t="shared" si="1113"/>
        <v>0</v>
      </c>
      <c r="EI563" t="b">
        <f t="shared" si="1114"/>
        <v>0</v>
      </c>
      <c r="EJ563" t="b">
        <f t="shared" si="1115"/>
        <v>0</v>
      </c>
      <c r="EK563" t="b">
        <f t="shared" si="1116"/>
        <v>0</v>
      </c>
    </row>
    <row r="564" spans="1:141">
      <c r="A564" t="s">
        <v>2840</v>
      </c>
      <c r="B564" t="s">
        <v>2840</v>
      </c>
      <c r="C564" t="s">
        <v>2841</v>
      </c>
      <c r="D564" s="1">
        <v>42365</v>
      </c>
      <c r="E564" s="2">
        <v>42566.468564814815</v>
      </c>
      <c r="F564" s="2">
        <v>42566.468564814815</v>
      </c>
      <c r="G564">
        <v>3827238</v>
      </c>
      <c r="H564" t="s">
        <v>2842</v>
      </c>
      <c r="I564" s="10" t="s">
        <v>2843</v>
      </c>
      <c r="J564" t="s">
        <v>2844</v>
      </c>
      <c r="K564" s="8" t="b">
        <v>1</v>
      </c>
      <c r="L564" s="10" t="b">
        <v>0</v>
      </c>
      <c r="M564" s="12" t="b">
        <v>0</v>
      </c>
      <c r="N564" t="b">
        <v>0</v>
      </c>
      <c r="O564" t="b">
        <v>0</v>
      </c>
      <c r="P564" t="b">
        <v>0</v>
      </c>
      <c r="Q564">
        <f t="shared" si="993"/>
        <v>1</v>
      </c>
      <c r="R564">
        <f t="shared" si="994"/>
        <v>12</v>
      </c>
      <c r="S564" t="e">
        <f t="shared" ca="1" si="1024"/>
        <v>#NAME?</v>
      </c>
      <c r="T564" t="e">
        <f t="shared" ca="1" si="995"/>
        <v>#NAME?</v>
      </c>
      <c r="U564" s="4">
        <f t="shared" si="996"/>
        <v>201.46856481481518</v>
      </c>
      <c r="V564" s="4">
        <f t="shared" si="997"/>
        <v>6.7156188271605064</v>
      </c>
      <c r="W564" s="4">
        <f t="shared" si="998"/>
        <v>1</v>
      </c>
      <c r="X564" s="4">
        <f t="shared" si="999"/>
        <v>0</v>
      </c>
      <c r="Y564" s="4">
        <f t="shared" si="1000"/>
        <v>0</v>
      </c>
      <c r="Z564" s="4">
        <f t="shared" si="1001"/>
        <v>0</v>
      </c>
      <c r="AA564" s="4">
        <f t="shared" si="1002"/>
        <v>0</v>
      </c>
      <c r="AB564" s="4">
        <f t="shared" si="1003"/>
        <v>0</v>
      </c>
      <c r="AC564" s="4"/>
      <c r="AD564" s="4" t="b">
        <f t="shared" si="1004"/>
        <v>0</v>
      </c>
      <c r="AE564" s="4" t="b">
        <f t="shared" si="1005"/>
        <v>0</v>
      </c>
      <c r="AF564" s="4" t="b">
        <f t="shared" si="1006"/>
        <v>0</v>
      </c>
      <c r="AG564" t="b">
        <f t="shared" si="1007"/>
        <v>0</v>
      </c>
      <c r="AH564" t="b">
        <f t="shared" si="1008"/>
        <v>0</v>
      </c>
      <c r="AI564" t="b">
        <f t="shared" si="1009"/>
        <v>0</v>
      </c>
      <c r="AJ564" t="b">
        <f t="shared" si="1010"/>
        <v>0</v>
      </c>
      <c r="AK564" t="b">
        <f t="shared" si="1011"/>
        <v>0</v>
      </c>
      <c r="AL564" t="b">
        <f t="shared" si="1012"/>
        <v>0</v>
      </c>
      <c r="AM564" t="b">
        <f t="shared" si="1013"/>
        <v>0</v>
      </c>
      <c r="AN564" t="b">
        <f t="shared" si="1014"/>
        <v>0</v>
      </c>
      <c r="AO564" t="b">
        <f t="shared" si="1015"/>
        <v>0</v>
      </c>
      <c r="AP564" t="b">
        <f t="shared" si="1016"/>
        <v>0</v>
      </c>
      <c r="AQ564" t="b">
        <f t="shared" si="1017"/>
        <v>0</v>
      </c>
      <c r="AR564" t="b">
        <f t="shared" si="1018"/>
        <v>0</v>
      </c>
      <c r="AS564" t="b">
        <f t="shared" si="1019"/>
        <v>0</v>
      </c>
      <c r="AT564" t="b">
        <f t="shared" si="1020"/>
        <v>0</v>
      </c>
      <c r="AU564" t="b">
        <f t="shared" si="1021"/>
        <v>0</v>
      </c>
      <c r="AV564" t="b">
        <f t="shared" si="1022"/>
        <v>0</v>
      </c>
      <c r="AW564" t="b">
        <f t="shared" si="1023"/>
        <v>0</v>
      </c>
      <c r="AX564" t="b">
        <f t="shared" si="1025"/>
        <v>0</v>
      </c>
      <c r="AY564" t="b">
        <f t="shared" si="1026"/>
        <v>0</v>
      </c>
      <c r="AZ564">
        <f t="shared" si="1027"/>
        <v>1</v>
      </c>
      <c r="BA564" t="b">
        <f t="shared" si="1028"/>
        <v>0</v>
      </c>
      <c r="BB564" t="b">
        <f t="shared" si="1029"/>
        <v>0</v>
      </c>
      <c r="BC564" t="b">
        <f t="shared" si="1030"/>
        <v>0</v>
      </c>
      <c r="BD564" t="b">
        <f t="shared" si="1031"/>
        <v>0</v>
      </c>
      <c r="BE564" t="b">
        <f t="shared" si="1032"/>
        <v>0</v>
      </c>
      <c r="BF564" t="b">
        <f t="shared" si="1033"/>
        <v>0</v>
      </c>
      <c r="BG564" t="b">
        <f t="shared" si="1034"/>
        <v>0</v>
      </c>
      <c r="BH564" t="b">
        <f t="shared" si="1035"/>
        <v>0</v>
      </c>
      <c r="BI564">
        <f t="shared" si="1036"/>
        <v>1</v>
      </c>
      <c r="BJ564" t="b">
        <f t="shared" si="1037"/>
        <v>0</v>
      </c>
      <c r="BK564" t="b">
        <f t="shared" si="1038"/>
        <v>0</v>
      </c>
      <c r="BL564" t="b">
        <f t="shared" si="1039"/>
        <v>0</v>
      </c>
      <c r="BM564" t="b">
        <f t="shared" si="1040"/>
        <v>0</v>
      </c>
      <c r="BN564" t="b">
        <f t="shared" si="1041"/>
        <v>0</v>
      </c>
      <c r="BO564" t="b">
        <f t="shared" si="1042"/>
        <v>0</v>
      </c>
      <c r="BP564" t="b">
        <f t="shared" si="1043"/>
        <v>0</v>
      </c>
      <c r="BQ564" t="b">
        <f t="shared" si="1044"/>
        <v>0</v>
      </c>
      <c r="BR564" t="b">
        <f t="shared" si="1045"/>
        <v>0</v>
      </c>
      <c r="BS564" t="b">
        <f t="shared" si="1046"/>
        <v>0</v>
      </c>
      <c r="BT564" t="b">
        <f t="shared" si="1047"/>
        <v>0</v>
      </c>
      <c r="BU564" t="b">
        <f t="shared" si="1048"/>
        <v>0</v>
      </c>
      <c r="BV564" t="b">
        <f t="shared" si="1049"/>
        <v>0</v>
      </c>
      <c r="BW564" t="b">
        <f t="shared" si="1050"/>
        <v>0</v>
      </c>
      <c r="BX564" t="b">
        <f t="shared" si="1051"/>
        <v>0</v>
      </c>
      <c r="BY564" t="b">
        <f t="shared" si="1052"/>
        <v>0</v>
      </c>
      <c r="BZ564" t="b">
        <f t="shared" si="1053"/>
        <v>0</v>
      </c>
      <c r="CA564" t="b">
        <f t="shared" si="1054"/>
        <v>0</v>
      </c>
      <c r="CB564" t="b">
        <f t="shared" si="1055"/>
        <v>0</v>
      </c>
      <c r="CC564" t="b">
        <f t="shared" si="1056"/>
        <v>0</v>
      </c>
      <c r="CD564" t="b">
        <f t="shared" si="1057"/>
        <v>0</v>
      </c>
      <c r="CE564">
        <f t="shared" si="1058"/>
        <v>1</v>
      </c>
      <c r="CF564" t="b">
        <f t="shared" si="1059"/>
        <v>0</v>
      </c>
      <c r="CG564" t="b">
        <f t="shared" si="1060"/>
        <v>0</v>
      </c>
      <c r="CH564" t="b">
        <f t="shared" si="1061"/>
        <v>0</v>
      </c>
      <c r="CI564" t="b">
        <f t="shared" si="1062"/>
        <v>0</v>
      </c>
      <c r="CJ564" t="b">
        <f t="shared" si="1063"/>
        <v>0</v>
      </c>
      <c r="CK564" t="b">
        <f t="shared" si="1064"/>
        <v>0</v>
      </c>
      <c r="CL564" t="b">
        <f t="shared" si="1065"/>
        <v>0</v>
      </c>
      <c r="CM564">
        <f t="shared" si="1066"/>
        <v>1</v>
      </c>
      <c r="CN564" t="b">
        <f t="shared" si="1067"/>
        <v>0</v>
      </c>
      <c r="CO564" t="b">
        <f t="shared" si="1068"/>
        <v>0</v>
      </c>
      <c r="CP564" t="b">
        <f t="shared" si="1069"/>
        <v>0</v>
      </c>
      <c r="CQ564" t="b">
        <f t="shared" si="1070"/>
        <v>0</v>
      </c>
      <c r="CR564" t="b">
        <f t="shared" si="1071"/>
        <v>0</v>
      </c>
      <c r="CS564" t="b">
        <f t="shared" si="1072"/>
        <v>0</v>
      </c>
      <c r="CT564" t="b">
        <f t="shared" si="1073"/>
        <v>0</v>
      </c>
      <c r="CU564" t="b">
        <f t="shared" si="1074"/>
        <v>0</v>
      </c>
      <c r="CV564">
        <f t="shared" si="1075"/>
        <v>1</v>
      </c>
      <c r="CW564" t="b">
        <f t="shared" si="1076"/>
        <v>0</v>
      </c>
      <c r="CX564" t="b">
        <f t="shared" si="1077"/>
        <v>0</v>
      </c>
      <c r="CY564" t="b">
        <f t="shared" si="1078"/>
        <v>0</v>
      </c>
      <c r="CZ564" t="b">
        <f t="shared" si="1079"/>
        <v>0</v>
      </c>
      <c r="DA564" t="b">
        <f t="shared" si="1080"/>
        <v>0</v>
      </c>
      <c r="DB564" t="b">
        <f t="shared" si="1081"/>
        <v>0</v>
      </c>
      <c r="DC564" t="b">
        <f t="shared" si="1082"/>
        <v>0</v>
      </c>
      <c r="DD564" t="b">
        <f t="shared" si="1083"/>
        <v>0</v>
      </c>
      <c r="DE564" t="b">
        <f t="shared" si="1084"/>
        <v>0</v>
      </c>
      <c r="DF564" t="b">
        <f t="shared" si="1085"/>
        <v>0</v>
      </c>
      <c r="DG564" t="b">
        <f t="shared" si="1086"/>
        <v>0</v>
      </c>
      <c r="DH564" t="b">
        <f t="shared" si="1087"/>
        <v>0</v>
      </c>
      <c r="DI564" t="b">
        <f t="shared" si="1088"/>
        <v>0</v>
      </c>
      <c r="DJ564" t="b">
        <f t="shared" si="1089"/>
        <v>0</v>
      </c>
      <c r="DK564" t="b">
        <f t="shared" si="1090"/>
        <v>0</v>
      </c>
      <c r="DL564" t="b">
        <f t="shared" si="1091"/>
        <v>0</v>
      </c>
      <c r="DM564" t="b">
        <f t="shared" si="1092"/>
        <v>0</v>
      </c>
      <c r="DN564" t="b">
        <f t="shared" si="1093"/>
        <v>0</v>
      </c>
      <c r="DO564" t="b">
        <f t="shared" si="1094"/>
        <v>0</v>
      </c>
      <c r="DP564" t="b">
        <f t="shared" si="1095"/>
        <v>0</v>
      </c>
      <c r="DQ564" t="b">
        <f t="shared" si="1096"/>
        <v>0</v>
      </c>
      <c r="DR564" t="b">
        <f t="shared" si="1097"/>
        <v>0</v>
      </c>
      <c r="DS564" t="b">
        <f t="shared" si="1098"/>
        <v>0</v>
      </c>
      <c r="DT564" t="b">
        <f t="shared" si="1099"/>
        <v>0</v>
      </c>
      <c r="DU564" t="b">
        <f t="shared" si="1100"/>
        <v>0</v>
      </c>
      <c r="DV564" t="b">
        <f t="shared" si="1101"/>
        <v>0</v>
      </c>
      <c r="DW564" t="b">
        <f t="shared" si="1102"/>
        <v>0</v>
      </c>
      <c r="DX564" t="b">
        <f t="shared" si="1103"/>
        <v>0</v>
      </c>
      <c r="DY564" t="b">
        <f t="shared" si="1104"/>
        <v>0</v>
      </c>
      <c r="DZ564" t="b">
        <f t="shared" si="1105"/>
        <v>0</v>
      </c>
      <c r="EA564" t="b">
        <f t="shared" si="1106"/>
        <v>0</v>
      </c>
      <c r="EB564" t="b">
        <f t="shared" si="1107"/>
        <v>0</v>
      </c>
      <c r="EC564" t="b">
        <f t="shared" si="1108"/>
        <v>0</v>
      </c>
      <c r="ED564" t="b">
        <f t="shared" si="1109"/>
        <v>0</v>
      </c>
      <c r="EE564" t="b">
        <f t="shared" si="1110"/>
        <v>0</v>
      </c>
      <c r="EF564">
        <f t="shared" si="1111"/>
        <v>1</v>
      </c>
      <c r="EG564" t="b">
        <f t="shared" si="1112"/>
        <v>0</v>
      </c>
      <c r="EH564" t="b">
        <f t="shared" si="1113"/>
        <v>0</v>
      </c>
      <c r="EI564" t="b">
        <f t="shared" si="1114"/>
        <v>0</v>
      </c>
      <c r="EJ564" t="b">
        <f t="shared" si="1115"/>
        <v>0</v>
      </c>
      <c r="EK564" t="b">
        <f t="shared" si="1116"/>
        <v>0</v>
      </c>
    </row>
    <row r="565" spans="1:141">
      <c r="A565" t="s">
        <v>2845</v>
      </c>
      <c r="B565" t="s">
        <v>2845</v>
      </c>
      <c r="C565" t="s">
        <v>2846</v>
      </c>
      <c r="D565" s="1">
        <v>42425</v>
      </c>
      <c r="E565" s="2">
        <v>42484.893807870372</v>
      </c>
      <c r="F565" s="2">
        <v>42484.893807870372</v>
      </c>
      <c r="G565">
        <v>83957</v>
      </c>
      <c r="H565" t="s">
        <v>2847</v>
      </c>
      <c r="I565" s="10" t="s">
        <v>2848</v>
      </c>
      <c r="J565" t="s">
        <v>156</v>
      </c>
      <c r="K565" s="8" t="b">
        <v>1</v>
      </c>
      <c r="L565" s="10" t="b">
        <v>0</v>
      </c>
      <c r="M565" s="12" t="b">
        <v>0</v>
      </c>
      <c r="N565" t="b">
        <v>0</v>
      </c>
      <c r="O565" t="b">
        <v>0</v>
      </c>
      <c r="P565" t="b">
        <v>0</v>
      </c>
      <c r="Q565">
        <f t="shared" si="993"/>
        <v>5</v>
      </c>
      <c r="R565">
        <f t="shared" si="994"/>
        <v>2</v>
      </c>
      <c r="S565" t="e">
        <f t="shared" ca="1" si="1024"/>
        <v>#NAME?</v>
      </c>
      <c r="T565" t="e">
        <f t="shared" ca="1" si="995"/>
        <v>#NAME?</v>
      </c>
      <c r="U565" s="4">
        <f t="shared" si="996"/>
        <v>59.893807870372257</v>
      </c>
      <c r="V565" s="4">
        <f t="shared" si="997"/>
        <v>1.9964602623457419</v>
      </c>
      <c r="W565" s="4">
        <f t="shared" si="998"/>
        <v>1</v>
      </c>
      <c r="X565" s="4">
        <f t="shared" si="999"/>
        <v>0</v>
      </c>
      <c r="Y565" s="4">
        <f t="shared" si="1000"/>
        <v>0</v>
      </c>
      <c r="Z565" s="4">
        <f t="shared" si="1001"/>
        <v>0</v>
      </c>
      <c r="AA565" s="4">
        <f t="shared" si="1002"/>
        <v>0</v>
      </c>
      <c r="AB565" s="4">
        <f t="shared" si="1003"/>
        <v>0</v>
      </c>
      <c r="AC565" s="4"/>
      <c r="AD565" s="4" t="b">
        <f t="shared" si="1004"/>
        <v>0</v>
      </c>
      <c r="AE565" s="4" t="b">
        <f t="shared" si="1005"/>
        <v>0</v>
      </c>
      <c r="AF565" s="4" t="b">
        <f t="shared" si="1006"/>
        <v>0</v>
      </c>
      <c r="AG565" t="b">
        <f t="shared" si="1007"/>
        <v>0</v>
      </c>
      <c r="AH565" t="b">
        <f t="shared" si="1008"/>
        <v>0</v>
      </c>
      <c r="AI565" t="b">
        <f t="shared" si="1009"/>
        <v>0</v>
      </c>
      <c r="AJ565" t="b">
        <f t="shared" si="1010"/>
        <v>0</v>
      </c>
      <c r="AK565" t="b">
        <f t="shared" si="1011"/>
        <v>0</v>
      </c>
      <c r="AL565" t="b">
        <f t="shared" si="1012"/>
        <v>0</v>
      </c>
      <c r="AM565" t="b">
        <f t="shared" si="1013"/>
        <v>0</v>
      </c>
      <c r="AN565" t="b">
        <f t="shared" si="1014"/>
        <v>0</v>
      </c>
      <c r="AO565" t="b">
        <f t="shared" si="1015"/>
        <v>0</v>
      </c>
      <c r="AP565" t="b">
        <f t="shared" si="1016"/>
        <v>0</v>
      </c>
      <c r="AQ565" t="b">
        <f t="shared" si="1017"/>
        <v>0</v>
      </c>
      <c r="AR565" t="b">
        <f t="shared" si="1018"/>
        <v>0</v>
      </c>
      <c r="AS565" t="b">
        <f t="shared" si="1019"/>
        <v>0</v>
      </c>
      <c r="AT565" t="b">
        <f t="shared" si="1020"/>
        <v>0</v>
      </c>
      <c r="AU565" t="b">
        <f t="shared" si="1021"/>
        <v>0</v>
      </c>
      <c r="AV565" t="b">
        <f t="shared" si="1022"/>
        <v>0</v>
      </c>
      <c r="AW565" t="b">
        <f t="shared" si="1023"/>
        <v>0</v>
      </c>
      <c r="AX565" t="b">
        <f t="shared" si="1025"/>
        <v>0</v>
      </c>
      <c r="AY565" t="b">
        <f t="shared" si="1026"/>
        <v>0</v>
      </c>
      <c r="AZ565" t="b">
        <f t="shared" si="1027"/>
        <v>0</v>
      </c>
      <c r="BA565" t="b">
        <f t="shared" si="1028"/>
        <v>0</v>
      </c>
      <c r="BB565" t="b">
        <f t="shared" si="1029"/>
        <v>0</v>
      </c>
      <c r="BC565" t="b">
        <f t="shared" si="1030"/>
        <v>0</v>
      </c>
      <c r="BD565" t="b">
        <f t="shared" si="1031"/>
        <v>0</v>
      </c>
      <c r="BE565" t="b">
        <f t="shared" si="1032"/>
        <v>0</v>
      </c>
      <c r="BF565" t="b">
        <f t="shared" si="1033"/>
        <v>0</v>
      </c>
      <c r="BG565" t="b">
        <f t="shared" si="1034"/>
        <v>0</v>
      </c>
      <c r="BH565" t="b">
        <f t="shared" si="1035"/>
        <v>0</v>
      </c>
      <c r="BI565">
        <f t="shared" si="1036"/>
        <v>1</v>
      </c>
      <c r="BJ565" t="b">
        <f t="shared" si="1037"/>
        <v>0</v>
      </c>
      <c r="BK565" t="b">
        <f t="shared" si="1038"/>
        <v>0</v>
      </c>
      <c r="BL565" t="b">
        <f t="shared" si="1039"/>
        <v>0</v>
      </c>
      <c r="BM565" t="b">
        <f t="shared" si="1040"/>
        <v>0</v>
      </c>
      <c r="BN565" t="b">
        <f t="shared" si="1041"/>
        <v>0</v>
      </c>
      <c r="BO565" t="b">
        <f t="shared" si="1042"/>
        <v>0</v>
      </c>
      <c r="BP565" t="b">
        <f t="shared" si="1043"/>
        <v>0</v>
      </c>
      <c r="BQ565" t="b">
        <f t="shared" si="1044"/>
        <v>0</v>
      </c>
      <c r="BR565" t="b">
        <f t="shared" si="1045"/>
        <v>0</v>
      </c>
      <c r="BS565" t="b">
        <f t="shared" si="1046"/>
        <v>0</v>
      </c>
      <c r="BT565" t="b">
        <f t="shared" si="1047"/>
        <v>0</v>
      </c>
      <c r="BU565" t="b">
        <f t="shared" si="1048"/>
        <v>0</v>
      </c>
      <c r="BV565" t="b">
        <f t="shared" si="1049"/>
        <v>0</v>
      </c>
      <c r="BW565" t="b">
        <f t="shared" si="1050"/>
        <v>0</v>
      </c>
      <c r="BX565" t="b">
        <f t="shared" si="1051"/>
        <v>0</v>
      </c>
      <c r="BY565" t="b">
        <f t="shared" si="1052"/>
        <v>0</v>
      </c>
      <c r="BZ565" t="b">
        <f t="shared" si="1053"/>
        <v>0</v>
      </c>
      <c r="CA565" t="b">
        <f t="shared" si="1054"/>
        <v>0</v>
      </c>
      <c r="CB565" t="b">
        <f t="shared" si="1055"/>
        <v>0</v>
      </c>
      <c r="CC565" t="b">
        <f t="shared" si="1056"/>
        <v>0</v>
      </c>
      <c r="CD565" t="b">
        <f t="shared" si="1057"/>
        <v>0</v>
      </c>
      <c r="CE565" t="b">
        <f t="shared" si="1058"/>
        <v>0</v>
      </c>
      <c r="CF565" t="b">
        <f t="shared" si="1059"/>
        <v>0</v>
      </c>
      <c r="CG565" t="b">
        <f t="shared" si="1060"/>
        <v>0</v>
      </c>
      <c r="CH565" t="b">
        <f t="shared" si="1061"/>
        <v>0</v>
      </c>
      <c r="CI565" t="b">
        <f t="shared" si="1062"/>
        <v>0</v>
      </c>
      <c r="CJ565" t="b">
        <f t="shared" si="1063"/>
        <v>0</v>
      </c>
      <c r="CK565" t="b">
        <f t="shared" si="1064"/>
        <v>0</v>
      </c>
      <c r="CL565" t="b">
        <f t="shared" si="1065"/>
        <v>0</v>
      </c>
      <c r="CM565" t="b">
        <f t="shared" si="1066"/>
        <v>0</v>
      </c>
      <c r="CN565" t="b">
        <f t="shared" si="1067"/>
        <v>0</v>
      </c>
      <c r="CO565" t="b">
        <f t="shared" si="1068"/>
        <v>0</v>
      </c>
      <c r="CP565" t="b">
        <f t="shared" si="1069"/>
        <v>0</v>
      </c>
      <c r="CQ565" t="b">
        <f t="shared" si="1070"/>
        <v>0</v>
      </c>
      <c r="CR565" t="b">
        <f t="shared" si="1071"/>
        <v>0</v>
      </c>
      <c r="CS565" t="b">
        <f t="shared" si="1072"/>
        <v>0</v>
      </c>
      <c r="CT565" t="b">
        <f t="shared" si="1073"/>
        <v>0</v>
      </c>
      <c r="CU565" t="b">
        <f t="shared" si="1074"/>
        <v>0</v>
      </c>
      <c r="CV565">
        <f t="shared" si="1075"/>
        <v>1</v>
      </c>
      <c r="CW565" t="b">
        <f t="shared" si="1076"/>
        <v>0</v>
      </c>
      <c r="CX565" t="b">
        <f t="shared" si="1077"/>
        <v>0</v>
      </c>
      <c r="CY565" t="b">
        <f t="shared" si="1078"/>
        <v>0</v>
      </c>
      <c r="CZ565" t="b">
        <f t="shared" si="1079"/>
        <v>0</v>
      </c>
      <c r="DA565" t="b">
        <f t="shared" si="1080"/>
        <v>0</v>
      </c>
      <c r="DB565" t="b">
        <f t="shared" si="1081"/>
        <v>0</v>
      </c>
      <c r="DC565" t="b">
        <f t="shared" si="1082"/>
        <v>0</v>
      </c>
      <c r="DD565" t="b">
        <f t="shared" si="1083"/>
        <v>0</v>
      </c>
      <c r="DE565" t="b">
        <f t="shared" si="1084"/>
        <v>0</v>
      </c>
      <c r="DF565" t="b">
        <f t="shared" si="1085"/>
        <v>0</v>
      </c>
      <c r="DG565" t="b">
        <f t="shared" si="1086"/>
        <v>0</v>
      </c>
      <c r="DH565" t="b">
        <f t="shared" si="1087"/>
        <v>0</v>
      </c>
      <c r="DI565" t="b">
        <f t="shared" si="1088"/>
        <v>0</v>
      </c>
      <c r="DJ565" t="b">
        <f t="shared" si="1089"/>
        <v>0</v>
      </c>
      <c r="DK565" t="b">
        <f t="shared" si="1090"/>
        <v>0</v>
      </c>
      <c r="DL565" t="b">
        <f t="shared" si="1091"/>
        <v>0</v>
      </c>
      <c r="DM565" t="b">
        <f t="shared" si="1092"/>
        <v>0</v>
      </c>
      <c r="DN565" t="b">
        <f t="shared" si="1093"/>
        <v>0</v>
      </c>
      <c r="DO565" t="b">
        <f t="shared" si="1094"/>
        <v>0</v>
      </c>
      <c r="DP565" t="b">
        <f t="shared" si="1095"/>
        <v>0</v>
      </c>
      <c r="DQ565" t="b">
        <f t="shared" si="1096"/>
        <v>0</v>
      </c>
      <c r="DR565" t="b">
        <f t="shared" si="1097"/>
        <v>0</v>
      </c>
      <c r="DS565" t="b">
        <f t="shared" si="1098"/>
        <v>0</v>
      </c>
      <c r="DT565" t="b">
        <f t="shared" si="1099"/>
        <v>0</v>
      </c>
      <c r="DU565" t="b">
        <f t="shared" si="1100"/>
        <v>0</v>
      </c>
      <c r="DV565" t="b">
        <f t="shared" si="1101"/>
        <v>0</v>
      </c>
      <c r="DW565" t="b">
        <f t="shared" si="1102"/>
        <v>0</v>
      </c>
      <c r="DX565" t="b">
        <f t="shared" si="1103"/>
        <v>0</v>
      </c>
      <c r="DY565" t="b">
        <f t="shared" si="1104"/>
        <v>0</v>
      </c>
      <c r="DZ565" t="b">
        <f t="shared" si="1105"/>
        <v>0</v>
      </c>
      <c r="EA565" t="b">
        <f t="shared" si="1106"/>
        <v>0</v>
      </c>
      <c r="EB565" t="b">
        <f t="shared" si="1107"/>
        <v>0</v>
      </c>
      <c r="EC565" t="b">
        <f t="shared" si="1108"/>
        <v>0</v>
      </c>
      <c r="ED565" t="b">
        <f t="shared" si="1109"/>
        <v>0</v>
      </c>
      <c r="EE565" t="b">
        <f t="shared" si="1110"/>
        <v>0</v>
      </c>
      <c r="EF565">
        <f t="shared" si="1111"/>
        <v>1</v>
      </c>
      <c r="EG565" t="b">
        <f t="shared" si="1112"/>
        <v>0</v>
      </c>
      <c r="EH565" t="b">
        <f t="shared" si="1113"/>
        <v>0</v>
      </c>
      <c r="EI565" t="b">
        <f t="shared" si="1114"/>
        <v>0</v>
      </c>
      <c r="EJ565" t="b">
        <f t="shared" si="1115"/>
        <v>0</v>
      </c>
      <c r="EK565" t="b">
        <f t="shared" si="1116"/>
        <v>0</v>
      </c>
    </row>
    <row r="566" spans="1:141">
      <c r="A566" t="s">
        <v>2849</v>
      </c>
      <c r="B566" t="s">
        <v>2849</v>
      </c>
      <c r="C566" t="s">
        <v>2850</v>
      </c>
      <c r="D566" s="1">
        <v>43882</v>
      </c>
      <c r="E566" s="2">
        <v>44045.865578703706</v>
      </c>
      <c r="F566" s="2">
        <v>44045.865578703706</v>
      </c>
      <c r="G566">
        <v>599667</v>
      </c>
      <c r="H566" t="s">
        <v>2851</v>
      </c>
      <c r="I566" s="10" t="s">
        <v>2852</v>
      </c>
      <c r="J566" t="s">
        <v>2853</v>
      </c>
      <c r="K566" s="8" t="b">
        <v>1</v>
      </c>
      <c r="L566" s="10" t="b">
        <v>0</v>
      </c>
      <c r="M566" s="12" t="b">
        <v>0</v>
      </c>
      <c r="N566" t="b">
        <v>0</v>
      </c>
      <c r="O566" t="b">
        <v>0</v>
      </c>
      <c r="P566" t="b">
        <v>0</v>
      </c>
      <c r="Q566">
        <f t="shared" si="993"/>
        <v>6</v>
      </c>
      <c r="R566">
        <f t="shared" si="994"/>
        <v>2</v>
      </c>
      <c r="S566" t="e">
        <f t="shared" ca="1" si="1024"/>
        <v>#NAME?</v>
      </c>
      <c r="T566" t="e">
        <f t="shared" ca="1" si="995"/>
        <v>#NAME?</v>
      </c>
      <c r="U566" s="4">
        <f t="shared" si="996"/>
        <v>163.86557870370598</v>
      </c>
      <c r="V566" s="4">
        <f t="shared" si="997"/>
        <v>5.4621859567901989</v>
      </c>
      <c r="W566" s="4">
        <f t="shared" si="998"/>
        <v>1</v>
      </c>
      <c r="X566" s="4">
        <f t="shared" si="999"/>
        <v>0</v>
      </c>
      <c r="Y566" s="4">
        <f t="shared" si="1000"/>
        <v>0</v>
      </c>
      <c r="Z566" s="4">
        <f t="shared" si="1001"/>
        <v>0</v>
      </c>
      <c r="AA566" s="4">
        <f t="shared" si="1002"/>
        <v>0</v>
      </c>
      <c r="AB566" s="4">
        <f t="shared" si="1003"/>
        <v>0</v>
      </c>
      <c r="AC566" s="4"/>
      <c r="AD566" s="4">
        <f t="shared" si="1004"/>
        <v>1</v>
      </c>
      <c r="AE566" s="4" t="b">
        <f t="shared" si="1005"/>
        <v>0</v>
      </c>
      <c r="AF566" s="4" t="b">
        <f t="shared" si="1006"/>
        <v>0</v>
      </c>
      <c r="AG566" t="b">
        <f t="shared" si="1007"/>
        <v>0</v>
      </c>
      <c r="AH566" t="b">
        <f t="shared" si="1008"/>
        <v>0</v>
      </c>
      <c r="AI566" t="b">
        <f t="shared" si="1009"/>
        <v>0</v>
      </c>
      <c r="AJ566" t="b">
        <f t="shared" si="1010"/>
        <v>0</v>
      </c>
      <c r="AK566" t="b">
        <f t="shared" si="1011"/>
        <v>0</v>
      </c>
      <c r="AL566" t="b">
        <f t="shared" si="1012"/>
        <v>0</v>
      </c>
      <c r="AM566" t="b">
        <f t="shared" si="1013"/>
        <v>0</v>
      </c>
      <c r="AN566" t="b">
        <f t="shared" si="1014"/>
        <v>0</v>
      </c>
      <c r="AO566" t="b">
        <f t="shared" si="1015"/>
        <v>0</v>
      </c>
      <c r="AP566" t="b">
        <f t="shared" si="1016"/>
        <v>0</v>
      </c>
      <c r="AQ566" t="b">
        <f t="shared" si="1017"/>
        <v>0</v>
      </c>
      <c r="AR566" t="b">
        <f t="shared" si="1018"/>
        <v>0</v>
      </c>
      <c r="AS566" t="b">
        <f t="shared" si="1019"/>
        <v>0</v>
      </c>
      <c r="AT566" t="b">
        <f t="shared" si="1020"/>
        <v>0</v>
      </c>
      <c r="AU566" t="b">
        <f t="shared" si="1021"/>
        <v>0</v>
      </c>
      <c r="AV566" t="b">
        <f t="shared" si="1022"/>
        <v>0</v>
      </c>
      <c r="AW566" t="b">
        <f t="shared" si="1023"/>
        <v>0</v>
      </c>
      <c r="AX566" t="b">
        <f t="shared" si="1025"/>
        <v>0</v>
      </c>
      <c r="AY566" t="b">
        <f t="shared" si="1026"/>
        <v>0</v>
      </c>
      <c r="AZ566">
        <f t="shared" si="1027"/>
        <v>1</v>
      </c>
      <c r="BA566" t="b">
        <f t="shared" si="1028"/>
        <v>0</v>
      </c>
      <c r="BB566" t="b">
        <f t="shared" si="1029"/>
        <v>0</v>
      </c>
      <c r="BC566" t="b">
        <f t="shared" si="1030"/>
        <v>0</v>
      </c>
      <c r="BD566" t="b">
        <f t="shared" si="1031"/>
        <v>0</v>
      </c>
      <c r="BE566" t="b">
        <f t="shared" si="1032"/>
        <v>0</v>
      </c>
      <c r="BF566" t="b">
        <f t="shared" si="1033"/>
        <v>0</v>
      </c>
      <c r="BG566" t="b">
        <f t="shared" si="1034"/>
        <v>0</v>
      </c>
      <c r="BH566" t="b">
        <f t="shared" si="1035"/>
        <v>0</v>
      </c>
      <c r="BI566">
        <f t="shared" si="1036"/>
        <v>1</v>
      </c>
      <c r="BJ566" t="b">
        <f t="shared" si="1037"/>
        <v>0</v>
      </c>
      <c r="BK566" t="b">
        <f t="shared" si="1038"/>
        <v>0</v>
      </c>
      <c r="BL566" t="b">
        <f t="shared" si="1039"/>
        <v>0</v>
      </c>
      <c r="BM566" t="b">
        <f t="shared" si="1040"/>
        <v>0</v>
      </c>
      <c r="BN566" t="b">
        <f t="shared" si="1041"/>
        <v>0</v>
      </c>
      <c r="BO566" t="b">
        <f t="shared" si="1042"/>
        <v>0</v>
      </c>
      <c r="BP566" t="b">
        <f t="shared" si="1043"/>
        <v>0</v>
      </c>
      <c r="BQ566" t="b">
        <f t="shared" si="1044"/>
        <v>0</v>
      </c>
      <c r="BR566" t="b">
        <f t="shared" si="1045"/>
        <v>0</v>
      </c>
      <c r="BS566" t="b">
        <f t="shared" si="1046"/>
        <v>0</v>
      </c>
      <c r="BT566" t="b">
        <f t="shared" si="1047"/>
        <v>0</v>
      </c>
      <c r="BU566" t="b">
        <f t="shared" si="1048"/>
        <v>0</v>
      </c>
      <c r="BV566" t="b">
        <f t="shared" si="1049"/>
        <v>0</v>
      </c>
      <c r="BW566" t="b">
        <f t="shared" si="1050"/>
        <v>0</v>
      </c>
      <c r="BX566" t="b">
        <f t="shared" si="1051"/>
        <v>0</v>
      </c>
      <c r="BY566" t="b">
        <f t="shared" si="1052"/>
        <v>0</v>
      </c>
      <c r="BZ566" t="b">
        <f t="shared" si="1053"/>
        <v>0</v>
      </c>
      <c r="CA566" t="b">
        <f t="shared" si="1054"/>
        <v>0</v>
      </c>
      <c r="CB566" t="b">
        <f t="shared" si="1055"/>
        <v>0</v>
      </c>
      <c r="CC566" t="b">
        <f t="shared" si="1056"/>
        <v>0</v>
      </c>
      <c r="CD566" t="b">
        <f t="shared" si="1057"/>
        <v>0</v>
      </c>
      <c r="CE566" t="b">
        <f t="shared" si="1058"/>
        <v>0</v>
      </c>
      <c r="CF566" t="b">
        <f t="shared" si="1059"/>
        <v>0</v>
      </c>
      <c r="CG566" t="b">
        <f t="shared" si="1060"/>
        <v>0</v>
      </c>
      <c r="CH566" t="b">
        <f t="shared" si="1061"/>
        <v>0</v>
      </c>
      <c r="CI566" t="b">
        <f t="shared" si="1062"/>
        <v>0</v>
      </c>
      <c r="CJ566" t="b">
        <f t="shared" si="1063"/>
        <v>0</v>
      </c>
      <c r="CK566" t="b">
        <f t="shared" si="1064"/>
        <v>0</v>
      </c>
      <c r="CL566" t="b">
        <f t="shared" si="1065"/>
        <v>0</v>
      </c>
      <c r="CM566">
        <f t="shared" si="1066"/>
        <v>1</v>
      </c>
      <c r="CN566" t="b">
        <f t="shared" si="1067"/>
        <v>0</v>
      </c>
      <c r="CO566" t="b">
        <f t="shared" si="1068"/>
        <v>0</v>
      </c>
      <c r="CP566" t="b">
        <f t="shared" si="1069"/>
        <v>0</v>
      </c>
      <c r="CQ566" t="b">
        <f t="shared" si="1070"/>
        <v>0</v>
      </c>
      <c r="CR566" t="b">
        <f t="shared" si="1071"/>
        <v>0</v>
      </c>
      <c r="CS566" t="b">
        <f t="shared" si="1072"/>
        <v>0</v>
      </c>
      <c r="CT566" t="b">
        <f t="shared" si="1073"/>
        <v>0</v>
      </c>
      <c r="CU566" t="b">
        <f t="shared" si="1074"/>
        <v>0</v>
      </c>
      <c r="CV566">
        <f t="shared" si="1075"/>
        <v>1</v>
      </c>
      <c r="CW566" t="b">
        <f t="shared" si="1076"/>
        <v>0</v>
      </c>
      <c r="CX566" t="b">
        <f t="shared" si="1077"/>
        <v>0</v>
      </c>
      <c r="CY566" t="b">
        <f t="shared" si="1078"/>
        <v>0</v>
      </c>
      <c r="CZ566" t="b">
        <f t="shared" si="1079"/>
        <v>0</v>
      </c>
      <c r="DA566">
        <f t="shared" si="1080"/>
        <v>1</v>
      </c>
      <c r="DB566">
        <f t="shared" si="1081"/>
        <v>1</v>
      </c>
      <c r="DC566" t="b">
        <f t="shared" si="1082"/>
        <v>0</v>
      </c>
      <c r="DD566" t="b">
        <f t="shared" si="1083"/>
        <v>0</v>
      </c>
      <c r="DE566" t="b">
        <f t="shared" si="1084"/>
        <v>0</v>
      </c>
      <c r="DF566" t="b">
        <f t="shared" si="1085"/>
        <v>0</v>
      </c>
      <c r="DG566" t="b">
        <f t="shared" si="1086"/>
        <v>0</v>
      </c>
      <c r="DH566" t="b">
        <f t="shared" si="1087"/>
        <v>0</v>
      </c>
      <c r="DI566" t="b">
        <f t="shared" si="1088"/>
        <v>0</v>
      </c>
      <c r="DJ566" t="b">
        <f t="shared" si="1089"/>
        <v>0</v>
      </c>
      <c r="DK566" t="b">
        <f t="shared" si="1090"/>
        <v>0</v>
      </c>
      <c r="DL566" t="b">
        <f t="shared" si="1091"/>
        <v>0</v>
      </c>
      <c r="DM566" t="b">
        <f t="shared" si="1092"/>
        <v>0</v>
      </c>
      <c r="DN566" t="b">
        <f t="shared" si="1093"/>
        <v>0</v>
      </c>
      <c r="DO566" t="b">
        <f t="shared" si="1094"/>
        <v>0</v>
      </c>
      <c r="DP566" t="b">
        <f t="shared" si="1095"/>
        <v>0</v>
      </c>
      <c r="DQ566" t="b">
        <f t="shared" si="1096"/>
        <v>0</v>
      </c>
      <c r="DR566" t="b">
        <f t="shared" si="1097"/>
        <v>0</v>
      </c>
      <c r="DS566" t="b">
        <f t="shared" si="1098"/>
        <v>0</v>
      </c>
      <c r="DT566" t="b">
        <f t="shared" si="1099"/>
        <v>0</v>
      </c>
      <c r="DU566" t="b">
        <f t="shared" si="1100"/>
        <v>0</v>
      </c>
      <c r="DV566" t="b">
        <f t="shared" si="1101"/>
        <v>0</v>
      </c>
      <c r="DW566" t="b">
        <f t="shared" si="1102"/>
        <v>0</v>
      </c>
      <c r="DX566" t="b">
        <f t="shared" si="1103"/>
        <v>0</v>
      </c>
      <c r="DY566" t="b">
        <f t="shared" si="1104"/>
        <v>0</v>
      </c>
      <c r="DZ566" t="b">
        <f t="shared" si="1105"/>
        <v>0</v>
      </c>
      <c r="EA566" t="b">
        <f t="shared" si="1106"/>
        <v>0</v>
      </c>
      <c r="EB566" t="b">
        <f t="shared" si="1107"/>
        <v>0</v>
      </c>
      <c r="EC566" t="b">
        <f t="shared" si="1108"/>
        <v>0</v>
      </c>
      <c r="ED566" t="b">
        <f t="shared" si="1109"/>
        <v>0</v>
      </c>
      <c r="EE566" t="b">
        <f t="shared" si="1110"/>
        <v>0</v>
      </c>
      <c r="EF566">
        <f t="shared" si="1111"/>
        <v>1</v>
      </c>
      <c r="EG566" t="b">
        <f t="shared" si="1112"/>
        <v>0</v>
      </c>
      <c r="EH566" t="b">
        <f t="shared" si="1113"/>
        <v>0</v>
      </c>
      <c r="EI566" t="b">
        <f t="shared" si="1114"/>
        <v>0</v>
      </c>
      <c r="EJ566" t="b">
        <f t="shared" si="1115"/>
        <v>0</v>
      </c>
      <c r="EK566" t="b">
        <f t="shared" si="1116"/>
        <v>0</v>
      </c>
    </row>
    <row r="567" spans="1:141">
      <c r="A567" t="s">
        <v>2854</v>
      </c>
      <c r="B567" t="s">
        <v>2855</v>
      </c>
      <c r="C567" t="s">
        <v>2856</v>
      </c>
      <c r="D567" s="1">
        <v>41333</v>
      </c>
      <c r="E567" s="2">
        <v>42519.957685185182</v>
      </c>
      <c r="F567" s="2">
        <v>42519.957685185182</v>
      </c>
      <c r="G567">
        <v>65469298</v>
      </c>
      <c r="H567" t="s">
        <v>2857</v>
      </c>
      <c r="I567" s="10" t="s">
        <v>2858</v>
      </c>
      <c r="J567" t="s">
        <v>147</v>
      </c>
      <c r="K567" s="8" t="b">
        <v>1</v>
      </c>
      <c r="L567" s="10" t="b">
        <v>0</v>
      </c>
      <c r="M567" s="12" t="b">
        <v>0</v>
      </c>
      <c r="N567" t="b">
        <v>0</v>
      </c>
      <c r="O567" t="b">
        <v>0</v>
      </c>
      <c r="P567" t="b">
        <v>0</v>
      </c>
      <c r="Q567">
        <f t="shared" si="993"/>
        <v>5</v>
      </c>
      <c r="R567">
        <f t="shared" si="994"/>
        <v>2</v>
      </c>
      <c r="S567" t="e">
        <f t="shared" ca="1" si="1024"/>
        <v>#NAME?</v>
      </c>
      <c r="T567" t="e">
        <f t="shared" ca="1" si="995"/>
        <v>#NAME?</v>
      </c>
      <c r="U567" s="4">
        <f t="shared" si="996"/>
        <v>1186.9576851851816</v>
      </c>
      <c r="V567" s="4">
        <f t="shared" si="997"/>
        <v>39.565256172839391</v>
      </c>
      <c r="W567" s="4">
        <f t="shared" si="998"/>
        <v>1</v>
      </c>
      <c r="X567" s="4">
        <f t="shared" si="999"/>
        <v>0</v>
      </c>
      <c r="Y567" s="4">
        <f t="shared" si="1000"/>
        <v>0</v>
      </c>
      <c r="Z567" s="4">
        <f t="shared" si="1001"/>
        <v>0</v>
      </c>
      <c r="AA567" s="4">
        <f t="shared" si="1002"/>
        <v>0</v>
      </c>
      <c r="AB567" s="4">
        <f t="shared" si="1003"/>
        <v>0</v>
      </c>
      <c r="AC567" s="4"/>
      <c r="AD567" s="4" t="b">
        <f t="shared" si="1004"/>
        <v>0</v>
      </c>
      <c r="AE567" s="4" t="b">
        <f t="shared" si="1005"/>
        <v>0</v>
      </c>
      <c r="AF567" s="4" t="b">
        <f t="shared" si="1006"/>
        <v>0</v>
      </c>
      <c r="AG567" t="b">
        <f t="shared" si="1007"/>
        <v>0</v>
      </c>
      <c r="AH567" t="b">
        <f t="shared" si="1008"/>
        <v>0</v>
      </c>
      <c r="AI567" t="b">
        <f t="shared" si="1009"/>
        <v>0</v>
      </c>
      <c r="AJ567" t="b">
        <f t="shared" si="1010"/>
        <v>0</v>
      </c>
      <c r="AK567" t="b">
        <f t="shared" si="1011"/>
        <v>0</v>
      </c>
      <c r="AL567" t="b">
        <f t="shared" si="1012"/>
        <v>0</v>
      </c>
      <c r="AM567" t="b">
        <f t="shared" si="1013"/>
        <v>0</v>
      </c>
      <c r="AN567" t="b">
        <f t="shared" si="1014"/>
        <v>0</v>
      </c>
      <c r="AO567" t="b">
        <f t="shared" si="1015"/>
        <v>0</v>
      </c>
      <c r="AP567" t="b">
        <f t="shared" si="1016"/>
        <v>0</v>
      </c>
      <c r="AQ567" t="b">
        <f t="shared" si="1017"/>
        <v>0</v>
      </c>
      <c r="AR567" t="b">
        <f t="shared" si="1018"/>
        <v>0</v>
      </c>
      <c r="AS567" t="b">
        <f t="shared" si="1019"/>
        <v>0</v>
      </c>
      <c r="AT567" t="b">
        <f t="shared" si="1020"/>
        <v>0</v>
      </c>
      <c r="AU567" t="b">
        <f t="shared" si="1021"/>
        <v>0</v>
      </c>
      <c r="AV567" t="b">
        <f t="shared" si="1022"/>
        <v>0</v>
      </c>
      <c r="AW567" t="b">
        <f t="shared" si="1023"/>
        <v>0</v>
      </c>
      <c r="AX567" t="b">
        <f t="shared" si="1025"/>
        <v>0</v>
      </c>
      <c r="AY567" t="b">
        <f t="shared" si="1026"/>
        <v>0</v>
      </c>
      <c r="AZ567" t="b">
        <f t="shared" si="1027"/>
        <v>0</v>
      </c>
      <c r="BA567" t="b">
        <f t="shared" si="1028"/>
        <v>0</v>
      </c>
      <c r="BB567" t="b">
        <f t="shared" si="1029"/>
        <v>0</v>
      </c>
      <c r="BC567" t="b">
        <f t="shared" si="1030"/>
        <v>0</v>
      </c>
      <c r="BD567" t="b">
        <f t="shared" si="1031"/>
        <v>0</v>
      </c>
      <c r="BE567" t="b">
        <f t="shared" si="1032"/>
        <v>0</v>
      </c>
      <c r="BF567" t="b">
        <f t="shared" si="1033"/>
        <v>0</v>
      </c>
      <c r="BG567" t="b">
        <f t="shared" si="1034"/>
        <v>0</v>
      </c>
      <c r="BH567" t="b">
        <f t="shared" si="1035"/>
        <v>0</v>
      </c>
      <c r="BI567">
        <f t="shared" si="1036"/>
        <v>1</v>
      </c>
      <c r="BJ567" t="b">
        <f t="shared" si="1037"/>
        <v>0</v>
      </c>
      <c r="BK567" t="b">
        <f t="shared" si="1038"/>
        <v>0</v>
      </c>
      <c r="BL567" t="b">
        <f t="shared" si="1039"/>
        <v>0</v>
      </c>
      <c r="BM567" t="b">
        <f t="shared" si="1040"/>
        <v>0</v>
      </c>
      <c r="BN567" t="b">
        <f t="shared" si="1041"/>
        <v>0</v>
      </c>
      <c r="BO567" t="b">
        <f t="shared" si="1042"/>
        <v>0</v>
      </c>
      <c r="BP567" t="b">
        <f t="shared" si="1043"/>
        <v>0</v>
      </c>
      <c r="BQ567" t="b">
        <f t="shared" si="1044"/>
        <v>0</v>
      </c>
      <c r="BR567" t="b">
        <f t="shared" si="1045"/>
        <v>0</v>
      </c>
      <c r="BS567" t="b">
        <f t="shared" si="1046"/>
        <v>0</v>
      </c>
      <c r="BT567" t="b">
        <f t="shared" si="1047"/>
        <v>0</v>
      </c>
      <c r="BU567" t="b">
        <f t="shared" si="1048"/>
        <v>0</v>
      </c>
      <c r="BV567" t="b">
        <f t="shared" si="1049"/>
        <v>0</v>
      </c>
      <c r="BW567" t="b">
        <f t="shared" si="1050"/>
        <v>0</v>
      </c>
      <c r="BX567" t="b">
        <f t="shared" si="1051"/>
        <v>0</v>
      </c>
      <c r="BY567" t="b">
        <f t="shared" si="1052"/>
        <v>0</v>
      </c>
      <c r="BZ567" t="b">
        <f t="shared" si="1053"/>
        <v>0</v>
      </c>
      <c r="CA567" t="b">
        <f t="shared" si="1054"/>
        <v>0</v>
      </c>
      <c r="CB567" t="b">
        <f t="shared" si="1055"/>
        <v>0</v>
      </c>
      <c r="CC567" t="b">
        <f t="shared" si="1056"/>
        <v>0</v>
      </c>
      <c r="CD567" t="b">
        <f t="shared" si="1057"/>
        <v>0</v>
      </c>
      <c r="CE567" t="b">
        <f t="shared" si="1058"/>
        <v>0</v>
      </c>
      <c r="CF567" t="b">
        <f t="shared" si="1059"/>
        <v>0</v>
      </c>
      <c r="CG567" t="b">
        <f t="shared" si="1060"/>
        <v>0</v>
      </c>
      <c r="CH567" t="b">
        <f t="shared" si="1061"/>
        <v>0</v>
      </c>
      <c r="CI567" t="b">
        <f t="shared" si="1062"/>
        <v>0</v>
      </c>
      <c r="CJ567" t="b">
        <f t="shared" si="1063"/>
        <v>0</v>
      </c>
      <c r="CK567" t="b">
        <f t="shared" si="1064"/>
        <v>0</v>
      </c>
      <c r="CL567" t="b">
        <f t="shared" si="1065"/>
        <v>0</v>
      </c>
      <c r="CM567" t="b">
        <f t="shared" si="1066"/>
        <v>0</v>
      </c>
      <c r="CN567" t="b">
        <f t="shared" si="1067"/>
        <v>0</v>
      </c>
      <c r="CO567" t="b">
        <f t="shared" si="1068"/>
        <v>0</v>
      </c>
      <c r="CP567" t="b">
        <f t="shared" si="1069"/>
        <v>0</v>
      </c>
      <c r="CQ567" t="b">
        <f t="shared" si="1070"/>
        <v>0</v>
      </c>
      <c r="CR567" t="b">
        <f t="shared" si="1071"/>
        <v>0</v>
      </c>
      <c r="CS567" t="b">
        <f t="shared" si="1072"/>
        <v>0</v>
      </c>
      <c r="CT567" t="b">
        <f t="shared" si="1073"/>
        <v>0</v>
      </c>
      <c r="CU567" t="b">
        <f t="shared" si="1074"/>
        <v>0</v>
      </c>
      <c r="CV567">
        <f t="shared" si="1075"/>
        <v>1</v>
      </c>
      <c r="CW567" t="b">
        <f t="shared" si="1076"/>
        <v>0</v>
      </c>
      <c r="CX567" t="b">
        <f t="shared" si="1077"/>
        <v>0</v>
      </c>
      <c r="CY567" t="b">
        <f t="shared" si="1078"/>
        <v>0</v>
      </c>
      <c r="CZ567" t="b">
        <f t="shared" si="1079"/>
        <v>0</v>
      </c>
      <c r="DA567" t="b">
        <f t="shared" si="1080"/>
        <v>0</v>
      </c>
      <c r="DB567" t="b">
        <f t="shared" si="1081"/>
        <v>0</v>
      </c>
      <c r="DC567" t="b">
        <f t="shared" si="1082"/>
        <v>0</v>
      </c>
      <c r="DD567" t="b">
        <f t="shared" si="1083"/>
        <v>0</v>
      </c>
      <c r="DE567" t="b">
        <f t="shared" si="1084"/>
        <v>0</v>
      </c>
      <c r="DF567" t="b">
        <f t="shared" si="1085"/>
        <v>0</v>
      </c>
      <c r="DG567" t="b">
        <f t="shared" si="1086"/>
        <v>0</v>
      </c>
      <c r="DH567" t="b">
        <f t="shared" si="1087"/>
        <v>0</v>
      </c>
      <c r="DI567" t="b">
        <f t="shared" si="1088"/>
        <v>0</v>
      </c>
      <c r="DJ567" t="b">
        <f t="shared" si="1089"/>
        <v>0</v>
      </c>
      <c r="DK567" t="b">
        <f t="shared" si="1090"/>
        <v>0</v>
      </c>
      <c r="DL567" t="b">
        <f t="shared" si="1091"/>
        <v>0</v>
      </c>
      <c r="DM567" t="b">
        <f t="shared" si="1092"/>
        <v>0</v>
      </c>
      <c r="DN567" t="b">
        <f t="shared" si="1093"/>
        <v>0</v>
      </c>
      <c r="DO567" t="b">
        <f t="shared" si="1094"/>
        <v>0</v>
      </c>
      <c r="DP567" t="b">
        <f t="shared" si="1095"/>
        <v>0</v>
      </c>
      <c r="DQ567" t="b">
        <f t="shared" si="1096"/>
        <v>0</v>
      </c>
      <c r="DR567" t="b">
        <f t="shared" si="1097"/>
        <v>0</v>
      </c>
      <c r="DS567" t="b">
        <f t="shared" si="1098"/>
        <v>0</v>
      </c>
      <c r="DT567" t="b">
        <f t="shared" si="1099"/>
        <v>0</v>
      </c>
      <c r="DU567" t="b">
        <f t="shared" si="1100"/>
        <v>0</v>
      </c>
      <c r="DV567" t="b">
        <f t="shared" si="1101"/>
        <v>0</v>
      </c>
      <c r="DW567" t="b">
        <f t="shared" si="1102"/>
        <v>0</v>
      </c>
      <c r="DX567" t="b">
        <f t="shared" si="1103"/>
        <v>0</v>
      </c>
      <c r="DY567" t="b">
        <f t="shared" si="1104"/>
        <v>0</v>
      </c>
      <c r="DZ567" t="b">
        <f t="shared" si="1105"/>
        <v>0</v>
      </c>
      <c r="EA567" t="b">
        <f t="shared" si="1106"/>
        <v>0</v>
      </c>
      <c r="EB567" t="b">
        <f t="shared" si="1107"/>
        <v>0</v>
      </c>
      <c r="EC567" t="b">
        <f t="shared" si="1108"/>
        <v>0</v>
      </c>
      <c r="ED567" t="b">
        <f t="shared" si="1109"/>
        <v>0</v>
      </c>
      <c r="EE567" t="b">
        <f t="shared" si="1110"/>
        <v>0</v>
      </c>
      <c r="EF567" t="b">
        <f t="shared" si="1111"/>
        <v>0</v>
      </c>
      <c r="EG567" t="b">
        <f t="shared" si="1112"/>
        <v>0</v>
      </c>
      <c r="EH567" t="b">
        <f t="shared" si="1113"/>
        <v>0</v>
      </c>
      <c r="EI567" t="b">
        <f t="shared" si="1114"/>
        <v>0</v>
      </c>
      <c r="EJ567" t="b">
        <f t="shared" si="1115"/>
        <v>0</v>
      </c>
      <c r="EK567" t="b">
        <f t="shared" si="1116"/>
        <v>0</v>
      </c>
    </row>
    <row r="568" spans="1:141">
      <c r="A568" t="s">
        <v>2859</v>
      </c>
      <c r="B568" t="s">
        <v>2860</v>
      </c>
      <c r="C568" t="s">
        <v>2861</v>
      </c>
      <c r="D568" s="1">
        <v>42445</v>
      </c>
      <c r="E568" s="2">
        <v>44776.000173611108</v>
      </c>
      <c r="F568" s="2">
        <v>44776.132106481484</v>
      </c>
      <c r="G568">
        <v>985586</v>
      </c>
      <c r="H568" t="s">
        <v>2862</v>
      </c>
      <c r="I568" s="10" t="s">
        <v>2863</v>
      </c>
      <c r="J568" t="s">
        <v>290</v>
      </c>
      <c r="K568" s="8" t="b">
        <v>1</v>
      </c>
      <c r="L568" s="10" t="b">
        <v>0</v>
      </c>
      <c r="M568" s="12" t="b">
        <v>0</v>
      </c>
      <c r="N568" t="b">
        <v>0</v>
      </c>
      <c r="O568" t="b">
        <v>0</v>
      </c>
      <c r="P568" t="b">
        <v>0</v>
      </c>
      <c r="Q568">
        <f t="shared" si="993"/>
        <v>4</v>
      </c>
      <c r="R568">
        <f t="shared" si="994"/>
        <v>3</v>
      </c>
      <c r="S568" t="e">
        <f t="shared" ca="1" si="1024"/>
        <v>#NAME?</v>
      </c>
      <c r="T568" t="e">
        <f t="shared" ca="1" si="995"/>
        <v>#NAME?</v>
      </c>
      <c r="U568" s="4">
        <f t="shared" si="996"/>
        <v>2331.000173611108</v>
      </c>
      <c r="V568" s="4">
        <f t="shared" si="997"/>
        <v>77.700005787036929</v>
      </c>
      <c r="W568" s="4">
        <f t="shared" si="998"/>
        <v>1</v>
      </c>
      <c r="X568" s="4">
        <f t="shared" si="999"/>
        <v>0</v>
      </c>
      <c r="Y568" s="4">
        <f t="shared" si="1000"/>
        <v>0</v>
      </c>
      <c r="Z568" s="4">
        <f t="shared" si="1001"/>
        <v>0</v>
      </c>
      <c r="AA568" s="4">
        <f t="shared" si="1002"/>
        <v>0</v>
      </c>
      <c r="AB568" s="4">
        <f t="shared" si="1003"/>
        <v>0</v>
      </c>
      <c r="AC568" s="4"/>
      <c r="AD568" s="4" t="b">
        <f t="shared" si="1004"/>
        <v>0</v>
      </c>
      <c r="AE568" s="4" t="b">
        <f t="shared" si="1005"/>
        <v>0</v>
      </c>
      <c r="AF568" s="4" t="b">
        <f t="shared" si="1006"/>
        <v>0</v>
      </c>
      <c r="AG568" t="b">
        <f t="shared" si="1007"/>
        <v>0</v>
      </c>
      <c r="AH568" t="b">
        <f t="shared" si="1008"/>
        <v>0</v>
      </c>
      <c r="AI568" t="b">
        <f t="shared" si="1009"/>
        <v>0</v>
      </c>
      <c r="AJ568" t="b">
        <f t="shared" si="1010"/>
        <v>0</v>
      </c>
      <c r="AK568" t="b">
        <f t="shared" si="1011"/>
        <v>0</v>
      </c>
      <c r="AL568" t="b">
        <f t="shared" si="1012"/>
        <v>0</v>
      </c>
      <c r="AM568" t="b">
        <f t="shared" si="1013"/>
        <v>0</v>
      </c>
      <c r="AN568" t="b">
        <f t="shared" si="1014"/>
        <v>0</v>
      </c>
      <c r="AO568" t="b">
        <f t="shared" si="1015"/>
        <v>0</v>
      </c>
      <c r="AP568" t="b">
        <f t="shared" si="1016"/>
        <v>0</v>
      </c>
      <c r="AQ568" t="b">
        <f t="shared" si="1017"/>
        <v>0</v>
      </c>
      <c r="AR568" t="b">
        <f t="shared" si="1018"/>
        <v>0</v>
      </c>
      <c r="AS568" t="b">
        <f t="shared" si="1019"/>
        <v>0</v>
      </c>
      <c r="AT568" t="b">
        <f t="shared" si="1020"/>
        <v>0</v>
      </c>
      <c r="AU568" t="b">
        <f t="shared" si="1021"/>
        <v>0</v>
      </c>
      <c r="AV568" t="b">
        <f t="shared" si="1022"/>
        <v>0</v>
      </c>
      <c r="AW568" t="b">
        <f t="shared" si="1023"/>
        <v>0</v>
      </c>
      <c r="AX568" t="b">
        <f t="shared" si="1025"/>
        <v>0</v>
      </c>
      <c r="AY568" t="b">
        <f t="shared" si="1026"/>
        <v>0</v>
      </c>
      <c r="AZ568" t="b">
        <f t="shared" si="1027"/>
        <v>0</v>
      </c>
      <c r="BA568" t="b">
        <f t="shared" si="1028"/>
        <v>0</v>
      </c>
      <c r="BB568" t="b">
        <f t="shared" si="1029"/>
        <v>0</v>
      </c>
      <c r="BC568" t="b">
        <f t="shared" si="1030"/>
        <v>0</v>
      </c>
      <c r="BD568" t="b">
        <f t="shared" si="1031"/>
        <v>0</v>
      </c>
      <c r="BE568" t="b">
        <f t="shared" si="1032"/>
        <v>0</v>
      </c>
      <c r="BF568" t="b">
        <f t="shared" si="1033"/>
        <v>0</v>
      </c>
      <c r="BG568" t="b">
        <f t="shared" si="1034"/>
        <v>0</v>
      </c>
      <c r="BH568" t="b">
        <f t="shared" si="1035"/>
        <v>0</v>
      </c>
      <c r="BI568">
        <f t="shared" si="1036"/>
        <v>1</v>
      </c>
      <c r="BJ568" t="b">
        <f t="shared" si="1037"/>
        <v>0</v>
      </c>
      <c r="BK568" t="b">
        <f t="shared" si="1038"/>
        <v>0</v>
      </c>
      <c r="BL568" t="b">
        <f t="shared" si="1039"/>
        <v>0</v>
      </c>
      <c r="BM568" t="b">
        <f t="shared" si="1040"/>
        <v>0</v>
      </c>
      <c r="BN568" t="b">
        <f t="shared" si="1041"/>
        <v>0</v>
      </c>
      <c r="BO568" t="b">
        <f t="shared" si="1042"/>
        <v>0</v>
      </c>
      <c r="BP568" t="b">
        <f t="shared" si="1043"/>
        <v>0</v>
      </c>
      <c r="BQ568" t="b">
        <f t="shared" si="1044"/>
        <v>0</v>
      </c>
      <c r="BR568" t="b">
        <f t="shared" si="1045"/>
        <v>0</v>
      </c>
      <c r="BS568" t="b">
        <f t="shared" si="1046"/>
        <v>0</v>
      </c>
      <c r="BT568" t="b">
        <f t="shared" si="1047"/>
        <v>0</v>
      </c>
      <c r="BU568" t="b">
        <f t="shared" si="1048"/>
        <v>0</v>
      </c>
      <c r="BV568" t="b">
        <f t="shared" si="1049"/>
        <v>0</v>
      </c>
      <c r="BW568" t="b">
        <f t="shared" si="1050"/>
        <v>0</v>
      </c>
      <c r="BX568" t="b">
        <f t="shared" si="1051"/>
        <v>0</v>
      </c>
      <c r="BY568" t="b">
        <f t="shared" si="1052"/>
        <v>0</v>
      </c>
      <c r="BZ568" t="b">
        <f t="shared" si="1053"/>
        <v>0</v>
      </c>
      <c r="CA568" t="b">
        <f t="shared" si="1054"/>
        <v>0</v>
      </c>
      <c r="CB568" t="b">
        <f t="shared" si="1055"/>
        <v>0</v>
      </c>
      <c r="CC568" t="b">
        <f t="shared" si="1056"/>
        <v>0</v>
      </c>
      <c r="CD568" t="b">
        <f t="shared" si="1057"/>
        <v>0</v>
      </c>
      <c r="CE568" t="b">
        <f t="shared" si="1058"/>
        <v>0</v>
      </c>
      <c r="CF568" t="b">
        <f t="shared" si="1059"/>
        <v>0</v>
      </c>
      <c r="CG568" t="b">
        <f t="shared" si="1060"/>
        <v>0</v>
      </c>
      <c r="CH568" t="b">
        <f t="shared" si="1061"/>
        <v>0</v>
      </c>
      <c r="CI568" t="b">
        <f t="shared" si="1062"/>
        <v>0</v>
      </c>
      <c r="CJ568" t="b">
        <f t="shared" si="1063"/>
        <v>0</v>
      </c>
      <c r="CK568" t="b">
        <f t="shared" si="1064"/>
        <v>0</v>
      </c>
      <c r="CL568" t="b">
        <f t="shared" si="1065"/>
        <v>0</v>
      </c>
      <c r="CM568">
        <f t="shared" si="1066"/>
        <v>1</v>
      </c>
      <c r="CN568" t="b">
        <f t="shared" si="1067"/>
        <v>0</v>
      </c>
      <c r="CO568" t="b">
        <f t="shared" si="1068"/>
        <v>0</v>
      </c>
      <c r="CP568" t="b">
        <f t="shared" si="1069"/>
        <v>0</v>
      </c>
      <c r="CQ568" t="b">
        <f t="shared" si="1070"/>
        <v>0</v>
      </c>
      <c r="CR568" t="b">
        <f t="shared" si="1071"/>
        <v>0</v>
      </c>
      <c r="CS568" t="b">
        <f t="shared" si="1072"/>
        <v>0</v>
      </c>
      <c r="CT568" t="b">
        <f t="shared" si="1073"/>
        <v>0</v>
      </c>
      <c r="CU568" t="b">
        <f t="shared" si="1074"/>
        <v>0</v>
      </c>
      <c r="CV568">
        <f t="shared" si="1075"/>
        <v>1</v>
      </c>
      <c r="CW568" t="b">
        <f t="shared" si="1076"/>
        <v>0</v>
      </c>
      <c r="CX568" t="b">
        <f t="shared" si="1077"/>
        <v>0</v>
      </c>
      <c r="CY568" t="b">
        <f t="shared" si="1078"/>
        <v>0</v>
      </c>
      <c r="CZ568" t="b">
        <f t="shared" si="1079"/>
        <v>0</v>
      </c>
      <c r="DA568">
        <f t="shared" si="1080"/>
        <v>1</v>
      </c>
      <c r="DB568">
        <f t="shared" si="1081"/>
        <v>1</v>
      </c>
      <c r="DC568" t="b">
        <f t="shared" si="1082"/>
        <v>0</v>
      </c>
      <c r="DD568" t="b">
        <f t="shared" si="1083"/>
        <v>0</v>
      </c>
      <c r="DE568" t="b">
        <f t="shared" si="1084"/>
        <v>0</v>
      </c>
      <c r="DF568" t="b">
        <f t="shared" si="1085"/>
        <v>0</v>
      </c>
      <c r="DG568" t="b">
        <f t="shared" si="1086"/>
        <v>0</v>
      </c>
      <c r="DH568" t="b">
        <f t="shared" si="1087"/>
        <v>0</v>
      </c>
      <c r="DI568" t="b">
        <f t="shared" si="1088"/>
        <v>0</v>
      </c>
      <c r="DJ568" t="b">
        <f t="shared" si="1089"/>
        <v>0</v>
      </c>
      <c r="DK568" t="b">
        <f t="shared" si="1090"/>
        <v>0</v>
      </c>
      <c r="DL568" t="b">
        <f t="shared" si="1091"/>
        <v>0</v>
      </c>
      <c r="DM568" t="b">
        <f t="shared" si="1092"/>
        <v>0</v>
      </c>
      <c r="DN568" t="b">
        <f t="shared" si="1093"/>
        <v>0</v>
      </c>
      <c r="DO568" t="b">
        <f t="shared" si="1094"/>
        <v>0</v>
      </c>
      <c r="DP568" t="b">
        <f t="shared" si="1095"/>
        <v>0</v>
      </c>
      <c r="DQ568" t="b">
        <f t="shared" si="1096"/>
        <v>0</v>
      </c>
      <c r="DR568" t="b">
        <f t="shared" si="1097"/>
        <v>0</v>
      </c>
      <c r="DS568" t="b">
        <f t="shared" si="1098"/>
        <v>0</v>
      </c>
      <c r="DT568" t="b">
        <f t="shared" si="1099"/>
        <v>0</v>
      </c>
      <c r="DU568" t="b">
        <f t="shared" si="1100"/>
        <v>0</v>
      </c>
      <c r="DV568" t="b">
        <f t="shared" si="1101"/>
        <v>0</v>
      </c>
      <c r="DW568" t="b">
        <f t="shared" si="1102"/>
        <v>0</v>
      </c>
      <c r="DX568" t="b">
        <f t="shared" si="1103"/>
        <v>0</v>
      </c>
      <c r="DY568" t="b">
        <f t="shared" si="1104"/>
        <v>0</v>
      </c>
      <c r="DZ568" t="b">
        <f t="shared" si="1105"/>
        <v>0</v>
      </c>
      <c r="EA568" t="b">
        <f t="shared" si="1106"/>
        <v>0</v>
      </c>
      <c r="EB568" t="b">
        <f t="shared" si="1107"/>
        <v>0</v>
      </c>
      <c r="EC568" t="b">
        <f t="shared" si="1108"/>
        <v>0</v>
      </c>
      <c r="ED568" t="b">
        <f t="shared" si="1109"/>
        <v>0</v>
      </c>
      <c r="EE568" t="b">
        <f t="shared" si="1110"/>
        <v>0</v>
      </c>
      <c r="EF568" t="b">
        <f t="shared" si="1111"/>
        <v>0</v>
      </c>
      <c r="EG568" t="b">
        <f t="shared" si="1112"/>
        <v>0</v>
      </c>
      <c r="EH568" t="b">
        <f t="shared" si="1113"/>
        <v>0</v>
      </c>
      <c r="EI568" t="b">
        <f t="shared" si="1114"/>
        <v>0</v>
      </c>
      <c r="EJ568" t="b">
        <f t="shared" si="1115"/>
        <v>0</v>
      </c>
      <c r="EK568" t="b">
        <f t="shared" si="1116"/>
        <v>0</v>
      </c>
    </row>
    <row r="569" spans="1:141">
      <c r="A569" t="s">
        <v>2864</v>
      </c>
      <c r="B569" t="s">
        <v>2864</v>
      </c>
      <c r="C569" t="s">
        <v>2865</v>
      </c>
      <c r="D569" s="1">
        <v>44562</v>
      </c>
      <c r="E569" s="2">
        <v>44786.104074074072</v>
      </c>
      <c r="F569" s="2">
        <v>44786.111678240741</v>
      </c>
      <c r="G569">
        <v>6682453</v>
      </c>
      <c r="H569" t="s">
        <v>2866</v>
      </c>
      <c r="I569" s="10" t="s">
        <v>2867</v>
      </c>
      <c r="J569" t="s">
        <v>2868</v>
      </c>
      <c r="K569" s="8" t="b">
        <v>1</v>
      </c>
      <c r="L569" s="10" t="b">
        <v>0</v>
      </c>
      <c r="M569" s="12" t="b">
        <v>0</v>
      </c>
      <c r="N569" t="b">
        <v>0</v>
      </c>
      <c r="O569" t="b">
        <v>0</v>
      </c>
      <c r="P569" t="b">
        <v>0</v>
      </c>
      <c r="Q569">
        <f t="shared" si="993"/>
        <v>7</v>
      </c>
      <c r="R569">
        <f t="shared" si="994"/>
        <v>1</v>
      </c>
      <c r="S569" t="e">
        <f t="shared" ca="1" si="1024"/>
        <v>#NAME?</v>
      </c>
      <c r="T569" t="e">
        <f t="shared" ca="1" si="995"/>
        <v>#NAME?</v>
      </c>
      <c r="U569" s="4">
        <f t="shared" si="996"/>
        <v>224.10407407407183</v>
      </c>
      <c r="V569" s="4">
        <f t="shared" si="997"/>
        <v>7.4701358024690609</v>
      </c>
      <c r="W569" s="4">
        <f t="shared" si="998"/>
        <v>1</v>
      </c>
      <c r="X569" s="4">
        <f t="shared" si="999"/>
        <v>0</v>
      </c>
      <c r="Y569" s="4">
        <f t="shared" si="1000"/>
        <v>0</v>
      </c>
      <c r="Z569" s="4">
        <f t="shared" si="1001"/>
        <v>0</v>
      </c>
      <c r="AA569" s="4">
        <f t="shared" si="1002"/>
        <v>0</v>
      </c>
      <c r="AB569" s="4">
        <f t="shared" si="1003"/>
        <v>0</v>
      </c>
      <c r="AC569" s="4"/>
      <c r="AD569" s="4" t="b">
        <f t="shared" si="1004"/>
        <v>0</v>
      </c>
      <c r="AE569" s="4" t="b">
        <f t="shared" si="1005"/>
        <v>0</v>
      </c>
      <c r="AF569" s="4" t="b">
        <f t="shared" si="1006"/>
        <v>0</v>
      </c>
      <c r="AG569" t="b">
        <f t="shared" si="1007"/>
        <v>0</v>
      </c>
      <c r="AH569" t="b">
        <f t="shared" si="1008"/>
        <v>0</v>
      </c>
      <c r="AI569" t="b">
        <f t="shared" si="1009"/>
        <v>0</v>
      </c>
      <c r="AJ569" t="b">
        <f t="shared" si="1010"/>
        <v>0</v>
      </c>
      <c r="AK569" t="b">
        <f t="shared" si="1011"/>
        <v>0</v>
      </c>
      <c r="AL569" t="b">
        <f t="shared" si="1012"/>
        <v>0</v>
      </c>
      <c r="AM569" t="b">
        <f t="shared" si="1013"/>
        <v>0</v>
      </c>
      <c r="AN569">
        <f t="shared" si="1014"/>
        <v>1</v>
      </c>
      <c r="AO569" t="b">
        <f t="shared" si="1015"/>
        <v>0</v>
      </c>
      <c r="AP569" t="b">
        <f t="shared" si="1016"/>
        <v>0</v>
      </c>
      <c r="AQ569" t="b">
        <f t="shared" si="1017"/>
        <v>0</v>
      </c>
      <c r="AR569" t="b">
        <f t="shared" si="1018"/>
        <v>0</v>
      </c>
      <c r="AS569" t="b">
        <f t="shared" si="1019"/>
        <v>0</v>
      </c>
      <c r="AT569" t="b">
        <f t="shared" si="1020"/>
        <v>0</v>
      </c>
      <c r="AU569" t="b">
        <f t="shared" si="1021"/>
        <v>0</v>
      </c>
      <c r="AV569" t="b">
        <f t="shared" si="1022"/>
        <v>0</v>
      </c>
      <c r="AW569" t="b">
        <f t="shared" si="1023"/>
        <v>0</v>
      </c>
      <c r="AX569" t="b">
        <f t="shared" si="1025"/>
        <v>0</v>
      </c>
      <c r="AY569" t="b">
        <f t="shared" si="1026"/>
        <v>0</v>
      </c>
      <c r="AZ569" t="b">
        <f t="shared" si="1027"/>
        <v>0</v>
      </c>
      <c r="BA569" t="b">
        <f t="shared" si="1028"/>
        <v>0</v>
      </c>
      <c r="BB569" t="b">
        <f t="shared" si="1029"/>
        <v>0</v>
      </c>
      <c r="BC569" t="b">
        <f t="shared" si="1030"/>
        <v>0</v>
      </c>
      <c r="BD569" t="b">
        <f t="shared" si="1031"/>
        <v>0</v>
      </c>
      <c r="BE569" t="b">
        <f t="shared" si="1032"/>
        <v>0</v>
      </c>
      <c r="BF569" t="b">
        <f t="shared" si="1033"/>
        <v>0</v>
      </c>
      <c r="BG569" t="b">
        <f t="shared" si="1034"/>
        <v>0</v>
      </c>
      <c r="BH569" t="b">
        <f t="shared" si="1035"/>
        <v>0</v>
      </c>
      <c r="BI569">
        <f t="shared" si="1036"/>
        <v>1</v>
      </c>
      <c r="BJ569" t="b">
        <f t="shared" si="1037"/>
        <v>0</v>
      </c>
      <c r="BK569" t="b">
        <f t="shared" si="1038"/>
        <v>0</v>
      </c>
      <c r="BL569" t="b">
        <f t="shared" si="1039"/>
        <v>0</v>
      </c>
      <c r="BM569" t="b">
        <f t="shared" si="1040"/>
        <v>0</v>
      </c>
      <c r="BN569" t="b">
        <f t="shared" si="1041"/>
        <v>0</v>
      </c>
      <c r="BO569" t="b">
        <f t="shared" si="1042"/>
        <v>0</v>
      </c>
      <c r="BP569" t="b">
        <f t="shared" si="1043"/>
        <v>0</v>
      </c>
      <c r="BQ569" t="b">
        <f t="shared" si="1044"/>
        <v>0</v>
      </c>
      <c r="BR569" t="b">
        <f t="shared" si="1045"/>
        <v>0</v>
      </c>
      <c r="BS569">
        <f t="shared" si="1046"/>
        <v>1</v>
      </c>
      <c r="BT569" t="b">
        <f t="shared" si="1047"/>
        <v>0</v>
      </c>
      <c r="BU569" t="b">
        <f t="shared" si="1048"/>
        <v>0</v>
      </c>
      <c r="BV569" t="b">
        <f t="shared" si="1049"/>
        <v>0</v>
      </c>
      <c r="BW569" t="b">
        <f t="shared" si="1050"/>
        <v>0</v>
      </c>
      <c r="BX569" t="b">
        <f t="shared" si="1051"/>
        <v>0</v>
      </c>
      <c r="BY569" t="b">
        <f t="shared" si="1052"/>
        <v>0</v>
      </c>
      <c r="BZ569" t="b">
        <f t="shared" si="1053"/>
        <v>0</v>
      </c>
      <c r="CA569" t="b">
        <f t="shared" si="1054"/>
        <v>0</v>
      </c>
      <c r="CB569" t="b">
        <f t="shared" si="1055"/>
        <v>0</v>
      </c>
      <c r="CC569" t="b">
        <f t="shared" si="1056"/>
        <v>0</v>
      </c>
      <c r="CD569" t="b">
        <f t="shared" si="1057"/>
        <v>0</v>
      </c>
      <c r="CE569" t="b">
        <f t="shared" si="1058"/>
        <v>0</v>
      </c>
      <c r="CF569" t="b">
        <f t="shared" si="1059"/>
        <v>0</v>
      </c>
      <c r="CG569" t="b">
        <f t="shared" si="1060"/>
        <v>0</v>
      </c>
      <c r="CH569" t="b">
        <f t="shared" si="1061"/>
        <v>0</v>
      </c>
      <c r="CI569" t="b">
        <f t="shared" si="1062"/>
        <v>0</v>
      </c>
      <c r="CJ569" t="b">
        <f t="shared" si="1063"/>
        <v>0</v>
      </c>
      <c r="CK569" t="b">
        <f t="shared" si="1064"/>
        <v>0</v>
      </c>
      <c r="CL569" t="b">
        <f t="shared" si="1065"/>
        <v>0</v>
      </c>
      <c r="CM569">
        <f t="shared" si="1066"/>
        <v>1</v>
      </c>
      <c r="CN569" t="b">
        <f t="shared" si="1067"/>
        <v>0</v>
      </c>
      <c r="CO569" t="b">
        <f t="shared" si="1068"/>
        <v>0</v>
      </c>
      <c r="CP569" t="b">
        <f t="shared" si="1069"/>
        <v>0</v>
      </c>
      <c r="CQ569" t="b">
        <f t="shared" si="1070"/>
        <v>0</v>
      </c>
      <c r="CR569" t="b">
        <f t="shared" si="1071"/>
        <v>0</v>
      </c>
      <c r="CS569" t="b">
        <f t="shared" si="1072"/>
        <v>0</v>
      </c>
      <c r="CT569" t="b">
        <f t="shared" si="1073"/>
        <v>0</v>
      </c>
      <c r="CU569" t="b">
        <f t="shared" si="1074"/>
        <v>0</v>
      </c>
      <c r="CV569" t="b">
        <f t="shared" si="1075"/>
        <v>0</v>
      </c>
      <c r="CW569" t="b">
        <f t="shared" si="1076"/>
        <v>0</v>
      </c>
      <c r="CX569" t="b">
        <f t="shared" si="1077"/>
        <v>0</v>
      </c>
      <c r="CY569" t="b">
        <f t="shared" si="1078"/>
        <v>0</v>
      </c>
      <c r="CZ569" t="b">
        <f t="shared" si="1079"/>
        <v>0</v>
      </c>
      <c r="DA569">
        <f t="shared" si="1080"/>
        <v>1</v>
      </c>
      <c r="DB569" t="b">
        <f t="shared" si="1081"/>
        <v>0</v>
      </c>
      <c r="DC569" t="b">
        <f t="shared" si="1082"/>
        <v>0</v>
      </c>
      <c r="DD569" t="b">
        <f t="shared" si="1083"/>
        <v>0</v>
      </c>
      <c r="DE569" t="b">
        <f t="shared" si="1084"/>
        <v>0</v>
      </c>
      <c r="DF569" t="b">
        <f t="shared" si="1085"/>
        <v>0</v>
      </c>
      <c r="DG569" t="b">
        <f t="shared" si="1086"/>
        <v>0</v>
      </c>
      <c r="DH569" t="b">
        <f t="shared" si="1087"/>
        <v>0</v>
      </c>
      <c r="DI569">
        <f t="shared" si="1088"/>
        <v>1</v>
      </c>
      <c r="DJ569" t="b">
        <f t="shared" si="1089"/>
        <v>0</v>
      </c>
      <c r="DK569" t="b">
        <f t="shared" si="1090"/>
        <v>0</v>
      </c>
      <c r="DL569" t="b">
        <f t="shared" si="1091"/>
        <v>0</v>
      </c>
      <c r="DM569" t="b">
        <f t="shared" si="1092"/>
        <v>0</v>
      </c>
      <c r="DN569" t="b">
        <f t="shared" si="1093"/>
        <v>0</v>
      </c>
      <c r="DO569" t="b">
        <f t="shared" si="1094"/>
        <v>0</v>
      </c>
      <c r="DP569" t="b">
        <f t="shared" si="1095"/>
        <v>0</v>
      </c>
      <c r="DQ569" t="b">
        <f t="shared" si="1096"/>
        <v>0</v>
      </c>
      <c r="DR569" t="b">
        <f t="shared" si="1097"/>
        <v>0</v>
      </c>
      <c r="DS569" t="b">
        <f t="shared" si="1098"/>
        <v>0</v>
      </c>
      <c r="DT569" t="b">
        <f t="shared" si="1099"/>
        <v>0</v>
      </c>
      <c r="DU569" t="b">
        <f t="shared" si="1100"/>
        <v>0</v>
      </c>
      <c r="DV569" t="b">
        <f t="shared" si="1101"/>
        <v>0</v>
      </c>
      <c r="DW569" t="b">
        <f t="shared" si="1102"/>
        <v>0</v>
      </c>
      <c r="DX569" t="b">
        <f t="shared" si="1103"/>
        <v>0</v>
      </c>
      <c r="DY569" t="b">
        <f t="shared" si="1104"/>
        <v>0</v>
      </c>
      <c r="DZ569" t="b">
        <f t="shared" si="1105"/>
        <v>0</v>
      </c>
      <c r="EA569" t="b">
        <f t="shared" si="1106"/>
        <v>0</v>
      </c>
      <c r="EB569" t="b">
        <f t="shared" si="1107"/>
        <v>0</v>
      </c>
      <c r="EC569" t="b">
        <f t="shared" si="1108"/>
        <v>0</v>
      </c>
      <c r="ED569" t="b">
        <f t="shared" si="1109"/>
        <v>0</v>
      </c>
      <c r="EE569" t="b">
        <f t="shared" si="1110"/>
        <v>0</v>
      </c>
      <c r="EF569">
        <f t="shared" si="1111"/>
        <v>1</v>
      </c>
      <c r="EG569" t="b">
        <f t="shared" si="1112"/>
        <v>0</v>
      </c>
      <c r="EH569" t="b">
        <f t="shared" si="1113"/>
        <v>0</v>
      </c>
      <c r="EI569" t="b">
        <f t="shared" si="1114"/>
        <v>0</v>
      </c>
      <c r="EJ569" t="b">
        <f t="shared" si="1115"/>
        <v>0</v>
      </c>
      <c r="EK569" t="b">
        <f t="shared" si="1116"/>
        <v>0</v>
      </c>
    </row>
    <row r="570" spans="1:141">
      <c r="A570" t="s">
        <v>2869</v>
      </c>
      <c r="B570" t="s">
        <v>2870</v>
      </c>
      <c r="C570" t="s">
        <v>2865</v>
      </c>
      <c r="D570" s="1">
        <v>44197</v>
      </c>
      <c r="E570" s="2">
        <v>44931.867546296293</v>
      </c>
      <c r="F570" s="2">
        <v>44931.867546296293</v>
      </c>
      <c r="G570">
        <v>211524284</v>
      </c>
      <c r="H570" t="s">
        <v>2871</v>
      </c>
      <c r="I570" s="10" t="s">
        <v>2867</v>
      </c>
      <c r="J570" t="s">
        <v>2300</v>
      </c>
      <c r="K570" s="8" t="b">
        <v>1</v>
      </c>
      <c r="L570" s="10" t="b">
        <v>0</v>
      </c>
      <c r="M570" s="12" t="b">
        <v>0</v>
      </c>
      <c r="N570" t="b">
        <v>0</v>
      </c>
      <c r="O570" t="b">
        <v>0</v>
      </c>
      <c r="P570" t="b">
        <v>0</v>
      </c>
      <c r="Q570">
        <f t="shared" si="993"/>
        <v>6</v>
      </c>
      <c r="R570">
        <f t="shared" si="994"/>
        <v>1</v>
      </c>
      <c r="S570" t="e">
        <f t="shared" ca="1" si="1024"/>
        <v>#NAME?</v>
      </c>
      <c r="T570" t="e">
        <f t="shared" ca="1" si="995"/>
        <v>#NAME?</v>
      </c>
      <c r="U570" s="4">
        <f t="shared" si="996"/>
        <v>734.86754629629286</v>
      </c>
      <c r="V570" s="4">
        <f t="shared" si="997"/>
        <v>24.495584876543095</v>
      </c>
      <c r="W570" s="4">
        <f t="shared" si="998"/>
        <v>1</v>
      </c>
      <c r="X570" s="4">
        <f t="shared" si="999"/>
        <v>0</v>
      </c>
      <c r="Y570" s="4">
        <f t="shared" si="1000"/>
        <v>0</v>
      </c>
      <c r="Z570" s="4">
        <f t="shared" si="1001"/>
        <v>0</v>
      </c>
      <c r="AA570" s="4">
        <f t="shared" si="1002"/>
        <v>0</v>
      </c>
      <c r="AB570" s="4">
        <f t="shared" si="1003"/>
        <v>0</v>
      </c>
      <c r="AC570" s="4"/>
      <c r="AD570" s="4" t="b">
        <f t="shared" si="1004"/>
        <v>0</v>
      </c>
      <c r="AE570" s="4" t="b">
        <f t="shared" si="1005"/>
        <v>0</v>
      </c>
      <c r="AF570" s="4" t="b">
        <f t="shared" si="1006"/>
        <v>0</v>
      </c>
      <c r="AG570" t="b">
        <f t="shared" si="1007"/>
        <v>0</v>
      </c>
      <c r="AH570" t="b">
        <f t="shared" si="1008"/>
        <v>0</v>
      </c>
      <c r="AI570" t="b">
        <f t="shared" si="1009"/>
        <v>0</v>
      </c>
      <c r="AJ570" t="b">
        <f t="shared" si="1010"/>
        <v>0</v>
      </c>
      <c r="AK570" t="b">
        <f t="shared" si="1011"/>
        <v>0</v>
      </c>
      <c r="AL570" t="b">
        <f t="shared" si="1012"/>
        <v>0</v>
      </c>
      <c r="AM570" t="b">
        <f t="shared" si="1013"/>
        <v>0</v>
      </c>
      <c r="AN570" t="b">
        <f t="shared" si="1014"/>
        <v>0</v>
      </c>
      <c r="AO570" t="b">
        <f t="shared" si="1015"/>
        <v>0</v>
      </c>
      <c r="AP570" t="b">
        <f t="shared" si="1016"/>
        <v>0</v>
      </c>
      <c r="AQ570" t="b">
        <f t="shared" si="1017"/>
        <v>0</v>
      </c>
      <c r="AR570" t="b">
        <f t="shared" si="1018"/>
        <v>0</v>
      </c>
      <c r="AS570" t="b">
        <f t="shared" si="1019"/>
        <v>0</v>
      </c>
      <c r="AT570" t="b">
        <f t="shared" si="1020"/>
        <v>0</v>
      </c>
      <c r="AU570" t="b">
        <f t="shared" si="1021"/>
        <v>0</v>
      </c>
      <c r="AV570" t="b">
        <f t="shared" si="1022"/>
        <v>0</v>
      </c>
      <c r="AW570" t="b">
        <f t="shared" si="1023"/>
        <v>0</v>
      </c>
      <c r="AX570" t="b">
        <f t="shared" si="1025"/>
        <v>0</v>
      </c>
      <c r="AY570" t="b">
        <f t="shared" si="1026"/>
        <v>0</v>
      </c>
      <c r="AZ570" t="b">
        <f t="shared" si="1027"/>
        <v>0</v>
      </c>
      <c r="BA570" t="b">
        <f t="shared" si="1028"/>
        <v>0</v>
      </c>
      <c r="BB570" t="b">
        <f t="shared" si="1029"/>
        <v>0</v>
      </c>
      <c r="BC570" t="b">
        <f t="shared" si="1030"/>
        <v>0</v>
      </c>
      <c r="BD570" t="b">
        <f t="shared" si="1031"/>
        <v>0</v>
      </c>
      <c r="BE570" t="b">
        <f t="shared" si="1032"/>
        <v>0</v>
      </c>
      <c r="BF570" t="b">
        <f t="shared" si="1033"/>
        <v>0</v>
      </c>
      <c r="BG570" t="b">
        <f t="shared" si="1034"/>
        <v>0</v>
      </c>
      <c r="BH570" t="b">
        <f t="shared" si="1035"/>
        <v>0</v>
      </c>
      <c r="BI570">
        <f t="shared" si="1036"/>
        <v>1</v>
      </c>
      <c r="BJ570" t="b">
        <f t="shared" si="1037"/>
        <v>0</v>
      </c>
      <c r="BK570" t="b">
        <f t="shared" si="1038"/>
        <v>0</v>
      </c>
      <c r="BL570" t="b">
        <f t="shared" si="1039"/>
        <v>0</v>
      </c>
      <c r="BM570" t="b">
        <f t="shared" si="1040"/>
        <v>0</v>
      </c>
      <c r="BN570" t="b">
        <f t="shared" si="1041"/>
        <v>0</v>
      </c>
      <c r="BO570" t="b">
        <f t="shared" si="1042"/>
        <v>0</v>
      </c>
      <c r="BP570" t="b">
        <f t="shared" si="1043"/>
        <v>0</v>
      </c>
      <c r="BQ570" t="b">
        <f t="shared" si="1044"/>
        <v>0</v>
      </c>
      <c r="BR570" t="b">
        <f t="shared" si="1045"/>
        <v>0</v>
      </c>
      <c r="BS570" t="b">
        <f t="shared" si="1046"/>
        <v>0</v>
      </c>
      <c r="BT570" t="b">
        <f t="shared" si="1047"/>
        <v>0</v>
      </c>
      <c r="BU570" t="b">
        <f t="shared" si="1048"/>
        <v>0</v>
      </c>
      <c r="BV570" t="b">
        <f t="shared" si="1049"/>
        <v>0</v>
      </c>
      <c r="BW570" t="b">
        <f t="shared" si="1050"/>
        <v>0</v>
      </c>
      <c r="BX570" t="b">
        <f t="shared" si="1051"/>
        <v>0</v>
      </c>
      <c r="BY570" t="b">
        <f t="shared" si="1052"/>
        <v>0</v>
      </c>
      <c r="BZ570" t="b">
        <f t="shared" si="1053"/>
        <v>0</v>
      </c>
      <c r="CA570" t="b">
        <f t="shared" si="1054"/>
        <v>0</v>
      </c>
      <c r="CB570" t="b">
        <f t="shared" si="1055"/>
        <v>0</v>
      </c>
      <c r="CC570" t="b">
        <f t="shared" si="1056"/>
        <v>0</v>
      </c>
      <c r="CD570" t="b">
        <f t="shared" si="1057"/>
        <v>0</v>
      </c>
      <c r="CE570" t="b">
        <f t="shared" si="1058"/>
        <v>0</v>
      </c>
      <c r="CF570" t="b">
        <f t="shared" si="1059"/>
        <v>0</v>
      </c>
      <c r="CG570" t="b">
        <f t="shared" si="1060"/>
        <v>0</v>
      </c>
      <c r="CH570" t="b">
        <f t="shared" si="1061"/>
        <v>0</v>
      </c>
      <c r="CI570" t="b">
        <f t="shared" si="1062"/>
        <v>0</v>
      </c>
      <c r="CJ570" t="b">
        <f t="shared" si="1063"/>
        <v>0</v>
      </c>
      <c r="CK570" t="b">
        <f t="shared" si="1064"/>
        <v>0</v>
      </c>
      <c r="CL570" t="b">
        <f t="shared" si="1065"/>
        <v>0</v>
      </c>
      <c r="CM570">
        <f t="shared" si="1066"/>
        <v>1</v>
      </c>
      <c r="CN570" t="b">
        <f t="shared" si="1067"/>
        <v>0</v>
      </c>
      <c r="CO570" t="b">
        <f t="shared" si="1068"/>
        <v>0</v>
      </c>
      <c r="CP570" t="b">
        <f t="shared" si="1069"/>
        <v>0</v>
      </c>
      <c r="CQ570" t="b">
        <f t="shared" si="1070"/>
        <v>0</v>
      </c>
      <c r="CR570" t="b">
        <f t="shared" si="1071"/>
        <v>0</v>
      </c>
      <c r="CS570" t="b">
        <f t="shared" si="1072"/>
        <v>0</v>
      </c>
      <c r="CT570" t="b">
        <f t="shared" si="1073"/>
        <v>0</v>
      </c>
      <c r="CU570" t="b">
        <f t="shared" si="1074"/>
        <v>0</v>
      </c>
      <c r="CV570" t="b">
        <f t="shared" si="1075"/>
        <v>0</v>
      </c>
      <c r="CW570" t="b">
        <f t="shared" si="1076"/>
        <v>0</v>
      </c>
      <c r="CX570" t="b">
        <f t="shared" si="1077"/>
        <v>0</v>
      </c>
      <c r="CY570" t="b">
        <f t="shared" si="1078"/>
        <v>0</v>
      </c>
      <c r="CZ570" t="b">
        <f t="shared" si="1079"/>
        <v>0</v>
      </c>
      <c r="DA570" t="b">
        <f t="shared" si="1080"/>
        <v>0</v>
      </c>
      <c r="DB570" t="b">
        <f t="shared" si="1081"/>
        <v>0</v>
      </c>
      <c r="DC570" t="b">
        <f t="shared" si="1082"/>
        <v>0</v>
      </c>
      <c r="DD570" t="b">
        <f t="shared" si="1083"/>
        <v>0</v>
      </c>
      <c r="DE570" t="b">
        <f t="shared" si="1084"/>
        <v>0</v>
      </c>
      <c r="DF570" t="b">
        <f t="shared" si="1085"/>
        <v>0</v>
      </c>
      <c r="DG570" t="b">
        <f t="shared" si="1086"/>
        <v>0</v>
      </c>
      <c r="DH570" t="b">
        <f t="shared" si="1087"/>
        <v>0</v>
      </c>
      <c r="DI570" t="b">
        <f t="shared" si="1088"/>
        <v>0</v>
      </c>
      <c r="DJ570" t="b">
        <f t="shared" si="1089"/>
        <v>0</v>
      </c>
      <c r="DK570" t="b">
        <f t="shared" si="1090"/>
        <v>0</v>
      </c>
      <c r="DL570" t="b">
        <f t="shared" si="1091"/>
        <v>0</v>
      </c>
      <c r="DM570" t="b">
        <f t="shared" si="1092"/>
        <v>0</v>
      </c>
      <c r="DN570" t="b">
        <f t="shared" si="1093"/>
        <v>0</v>
      </c>
      <c r="DO570" t="b">
        <f t="shared" si="1094"/>
        <v>0</v>
      </c>
      <c r="DP570" t="b">
        <f t="shared" si="1095"/>
        <v>0</v>
      </c>
      <c r="DQ570" t="b">
        <f t="shared" si="1096"/>
        <v>0</v>
      </c>
      <c r="DR570" t="b">
        <f t="shared" si="1097"/>
        <v>0</v>
      </c>
      <c r="DS570" t="b">
        <f t="shared" si="1098"/>
        <v>0</v>
      </c>
      <c r="DT570" t="b">
        <f t="shared" si="1099"/>
        <v>0</v>
      </c>
      <c r="DU570" t="b">
        <f t="shared" si="1100"/>
        <v>0</v>
      </c>
      <c r="DV570" t="b">
        <f t="shared" si="1101"/>
        <v>0</v>
      </c>
      <c r="DW570" t="b">
        <f t="shared" si="1102"/>
        <v>0</v>
      </c>
      <c r="DX570" t="b">
        <f t="shared" si="1103"/>
        <v>0</v>
      </c>
      <c r="DY570">
        <f t="shared" si="1104"/>
        <v>1</v>
      </c>
      <c r="DZ570" t="b">
        <f t="shared" si="1105"/>
        <v>0</v>
      </c>
      <c r="EA570" t="b">
        <f t="shared" si="1106"/>
        <v>0</v>
      </c>
      <c r="EB570" t="b">
        <f t="shared" si="1107"/>
        <v>0</v>
      </c>
      <c r="EC570" t="b">
        <f t="shared" si="1108"/>
        <v>0</v>
      </c>
      <c r="ED570" t="b">
        <f t="shared" si="1109"/>
        <v>0</v>
      </c>
      <c r="EE570" t="b">
        <f t="shared" si="1110"/>
        <v>0</v>
      </c>
      <c r="EF570">
        <f t="shared" si="1111"/>
        <v>1</v>
      </c>
      <c r="EG570" t="b">
        <f t="shared" si="1112"/>
        <v>0</v>
      </c>
      <c r="EH570" t="b">
        <f t="shared" si="1113"/>
        <v>0</v>
      </c>
      <c r="EI570" t="b">
        <f t="shared" si="1114"/>
        <v>0</v>
      </c>
      <c r="EJ570" t="b">
        <f t="shared" si="1115"/>
        <v>0</v>
      </c>
      <c r="EK570" t="b">
        <f t="shared" si="1116"/>
        <v>0</v>
      </c>
    </row>
    <row r="571" spans="1:141">
      <c r="A571" t="s">
        <v>2872</v>
      </c>
      <c r="B571" t="s">
        <v>2872</v>
      </c>
      <c r="C571" t="s">
        <v>2873</v>
      </c>
      <c r="D571" s="1">
        <v>42522</v>
      </c>
      <c r="E571" s="2">
        <v>42548.338402777779</v>
      </c>
      <c r="F571" s="2">
        <v>42548.338402777779</v>
      </c>
      <c r="G571">
        <v>2682650</v>
      </c>
      <c r="H571" t="s">
        <v>2874</v>
      </c>
      <c r="I571" s="10" t="s">
        <v>2875</v>
      </c>
      <c r="J571" t="s">
        <v>2876</v>
      </c>
      <c r="K571" s="8" t="b">
        <v>1</v>
      </c>
      <c r="L571" s="10" t="b">
        <v>0</v>
      </c>
      <c r="M571" s="12" t="b">
        <v>0</v>
      </c>
      <c r="N571" t="b">
        <v>0</v>
      </c>
      <c r="O571" t="b">
        <v>0</v>
      </c>
      <c r="P571" t="b">
        <v>0</v>
      </c>
      <c r="Q571">
        <f t="shared" si="993"/>
        <v>4</v>
      </c>
      <c r="R571">
        <f t="shared" si="994"/>
        <v>6</v>
      </c>
      <c r="S571" t="e">
        <f t="shared" ca="1" si="1024"/>
        <v>#NAME?</v>
      </c>
      <c r="T571" t="e">
        <f t="shared" ca="1" si="995"/>
        <v>#NAME?</v>
      </c>
      <c r="U571" s="4">
        <f t="shared" si="996"/>
        <v>26.338402777779265</v>
      </c>
      <c r="V571" s="4">
        <f t="shared" si="997"/>
        <v>0.87794675925930887</v>
      </c>
      <c r="W571" s="4">
        <f t="shared" si="998"/>
        <v>1</v>
      </c>
      <c r="X571" s="4">
        <f t="shared" si="999"/>
        <v>0</v>
      </c>
      <c r="Y571" s="4">
        <f t="shared" si="1000"/>
        <v>0</v>
      </c>
      <c r="Z571" s="4">
        <f t="shared" si="1001"/>
        <v>0</v>
      </c>
      <c r="AA571" s="4">
        <f t="shared" si="1002"/>
        <v>0</v>
      </c>
      <c r="AB571" s="4">
        <f t="shared" si="1003"/>
        <v>0</v>
      </c>
      <c r="AC571" s="4"/>
      <c r="AD571" s="4" t="b">
        <f t="shared" si="1004"/>
        <v>0</v>
      </c>
      <c r="AE571" s="4" t="b">
        <f t="shared" si="1005"/>
        <v>0</v>
      </c>
      <c r="AF571" s="4" t="b">
        <f t="shared" si="1006"/>
        <v>0</v>
      </c>
      <c r="AG571" t="b">
        <f t="shared" si="1007"/>
        <v>0</v>
      </c>
      <c r="AH571" t="b">
        <f t="shared" si="1008"/>
        <v>0</v>
      </c>
      <c r="AI571" t="b">
        <f t="shared" si="1009"/>
        <v>0</v>
      </c>
      <c r="AJ571" t="b">
        <f t="shared" si="1010"/>
        <v>0</v>
      </c>
      <c r="AK571" t="b">
        <f t="shared" si="1011"/>
        <v>0</v>
      </c>
      <c r="AL571" t="b">
        <f t="shared" si="1012"/>
        <v>0</v>
      </c>
      <c r="AM571" t="b">
        <f t="shared" si="1013"/>
        <v>0</v>
      </c>
      <c r="AN571" t="b">
        <f t="shared" si="1014"/>
        <v>0</v>
      </c>
      <c r="AO571" t="b">
        <f t="shared" si="1015"/>
        <v>0</v>
      </c>
      <c r="AP571" t="b">
        <f t="shared" si="1016"/>
        <v>0</v>
      </c>
      <c r="AQ571" t="b">
        <f t="shared" si="1017"/>
        <v>0</v>
      </c>
      <c r="AR571" t="b">
        <f t="shared" si="1018"/>
        <v>0</v>
      </c>
      <c r="AS571" t="b">
        <f t="shared" si="1019"/>
        <v>0</v>
      </c>
      <c r="AT571" t="b">
        <f t="shared" si="1020"/>
        <v>0</v>
      </c>
      <c r="AU571" t="b">
        <f t="shared" si="1021"/>
        <v>0</v>
      </c>
      <c r="AV571" t="b">
        <f t="shared" si="1022"/>
        <v>0</v>
      </c>
      <c r="AW571" t="b">
        <f t="shared" si="1023"/>
        <v>0</v>
      </c>
      <c r="AX571" t="b">
        <f t="shared" si="1025"/>
        <v>0</v>
      </c>
      <c r="AY571" t="b">
        <f t="shared" si="1026"/>
        <v>0</v>
      </c>
      <c r="AZ571" t="b">
        <f t="shared" si="1027"/>
        <v>0</v>
      </c>
      <c r="BA571" t="b">
        <f t="shared" si="1028"/>
        <v>0</v>
      </c>
      <c r="BB571" t="b">
        <f t="shared" si="1029"/>
        <v>0</v>
      </c>
      <c r="BC571" t="b">
        <f t="shared" si="1030"/>
        <v>0</v>
      </c>
      <c r="BD571" t="b">
        <f t="shared" si="1031"/>
        <v>0</v>
      </c>
      <c r="BE571" t="b">
        <f t="shared" si="1032"/>
        <v>0</v>
      </c>
      <c r="BF571" t="b">
        <f t="shared" si="1033"/>
        <v>0</v>
      </c>
      <c r="BG571" t="b">
        <f t="shared" si="1034"/>
        <v>0</v>
      </c>
      <c r="BH571" t="b">
        <f t="shared" si="1035"/>
        <v>0</v>
      </c>
      <c r="BI571">
        <f t="shared" si="1036"/>
        <v>1</v>
      </c>
      <c r="BJ571" t="b">
        <f t="shared" si="1037"/>
        <v>0</v>
      </c>
      <c r="BK571" t="b">
        <f t="shared" si="1038"/>
        <v>0</v>
      </c>
      <c r="BL571" t="b">
        <f t="shared" si="1039"/>
        <v>0</v>
      </c>
      <c r="BM571" t="b">
        <f t="shared" si="1040"/>
        <v>0</v>
      </c>
      <c r="BN571" t="b">
        <f t="shared" si="1041"/>
        <v>0</v>
      </c>
      <c r="BO571" t="b">
        <f t="shared" si="1042"/>
        <v>0</v>
      </c>
      <c r="BP571" t="b">
        <f t="shared" si="1043"/>
        <v>0</v>
      </c>
      <c r="BQ571" t="b">
        <f t="shared" si="1044"/>
        <v>0</v>
      </c>
      <c r="BR571">
        <f t="shared" si="1045"/>
        <v>1</v>
      </c>
      <c r="BS571" t="b">
        <f t="shared" si="1046"/>
        <v>0</v>
      </c>
      <c r="BT571" t="b">
        <f t="shared" si="1047"/>
        <v>0</v>
      </c>
      <c r="BU571" t="b">
        <f t="shared" si="1048"/>
        <v>0</v>
      </c>
      <c r="BV571" t="b">
        <f t="shared" si="1049"/>
        <v>0</v>
      </c>
      <c r="BW571" t="b">
        <f t="shared" si="1050"/>
        <v>0</v>
      </c>
      <c r="BX571" t="b">
        <f t="shared" si="1051"/>
        <v>0</v>
      </c>
      <c r="BY571" t="b">
        <f t="shared" si="1052"/>
        <v>0</v>
      </c>
      <c r="BZ571" t="b">
        <f t="shared" si="1053"/>
        <v>0</v>
      </c>
      <c r="CA571" t="b">
        <f t="shared" si="1054"/>
        <v>0</v>
      </c>
      <c r="CB571" t="b">
        <f t="shared" si="1055"/>
        <v>0</v>
      </c>
      <c r="CC571" t="b">
        <f t="shared" si="1056"/>
        <v>0</v>
      </c>
      <c r="CD571" t="b">
        <f t="shared" si="1057"/>
        <v>0</v>
      </c>
      <c r="CE571" t="b">
        <f t="shared" si="1058"/>
        <v>0</v>
      </c>
      <c r="CF571" t="b">
        <f t="shared" si="1059"/>
        <v>0</v>
      </c>
      <c r="CG571" t="b">
        <f t="shared" si="1060"/>
        <v>0</v>
      </c>
      <c r="CH571" t="b">
        <f t="shared" si="1061"/>
        <v>0</v>
      </c>
      <c r="CI571" t="b">
        <f t="shared" si="1062"/>
        <v>0</v>
      </c>
      <c r="CJ571" t="b">
        <f t="shared" si="1063"/>
        <v>0</v>
      </c>
      <c r="CK571" t="b">
        <f t="shared" si="1064"/>
        <v>0</v>
      </c>
      <c r="CL571" t="b">
        <f t="shared" si="1065"/>
        <v>0</v>
      </c>
      <c r="CM571">
        <f t="shared" si="1066"/>
        <v>1</v>
      </c>
      <c r="CN571" t="b">
        <f t="shared" si="1067"/>
        <v>0</v>
      </c>
      <c r="CO571" t="b">
        <f t="shared" si="1068"/>
        <v>0</v>
      </c>
      <c r="CP571" t="b">
        <f t="shared" si="1069"/>
        <v>0</v>
      </c>
      <c r="CQ571" t="b">
        <f t="shared" si="1070"/>
        <v>0</v>
      </c>
      <c r="CR571" t="b">
        <f t="shared" si="1071"/>
        <v>0</v>
      </c>
      <c r="CS571" t="b">
        <f t="shared" si="1072"/>
        <v>0</v>
      </c>
      <c r="CT571" t="b">
        <f t="shared" si="1073"/>
        <v>0</v>
      </c>
      <c r="CU571" t="b">
        <f t="shared" si="1074"/>
        <v>0</v>
      </c>
      <c r="CV571" t="b">
        <f t="shared" si="1075"/>
        <v>0</v>
      </c>
      <c r="CW571" t="b">
        <f t="shared" si="1076"/>
        <v>0</v>
      </c>
      <c r="CX571" t="b">
        <f t="shared" si="1077"/>
        <v>0</v>
      </c>
      <c r="CY571" t="b">
        <f t="shared" si="1078"/>
        <v>0</v>
      </c>
      <c r="CZ571" t="b">
        <f t="shared" si="1079"/>
        <v>0</v>
      </c>
      <c r="DA571" t="b">
        <f t="shared" si="1080"/>
        <v>0</v>
      </c>
      <c r="DB571" t="b">
        <f t="shared" si="1081"/>
        <v>0</v>
      </c>
      <c r="DC571" t="b">
        <f t="shared" si="1082"/>
        <v>0</v>
      </c>
      <c r="DD571" t="b">
        <f t="shared" si="1083"/>
        <v>0</v>
      </c>
      <c r="DE571" t="b">
        <f t="shared" si="1084"/>
        <v>0</v>
      </c>
      <c r="DF571" t="b">
        <f t="shared" si="1085"/>
        <v>0</v>
      </c>
      <c r="DG571" t="b">
        <f t="shared" si="1086"/>
        <v>0</v>
      </c>
      <c r="DH571" t="b">
        <f t="shared" si="1087"/>
        <v>0</v>
      </c>
      <c r="DI571" t="b">
        <f t="shared" si="1088"/>
        <v>0</v>
      </c>
      <c r="DJ571" t="b">
        <f t="shared" si="1089"/>
        <v>0</v>
      </c>
      <c r="DK571" t="b">
        <f t="shared" si="1090"/>
        <v>0</v>
      </c>
      <c r="DL571" t="b">
        <f t="shared" si="1091"/>
        <v>0</v>
      </c>
      <c r="DM571" t="b">
        <f t="shared" si="1092"/>
        <v>0</v>
      </c>
      <c r="DN571" t="b">
        <f t="shared" si="1093"/>
        <v>0</v>
      </c>
      <c r="DO571" t="b">
        <f t="shared" si="1094"/>
        <v>0</v>
      </c>
      <c r="DP571" t="b">
        <f t="shared" si="1095"/>
        <v>0</v>
      </c>
      <c r="DQ571" t="b">
        <f t="shared" si="1096"/>
        <v>0</v>
      </c>
      <c r="DR571" t="b">
        <f t="shared" si="1097"/>
        <v>0</v>
      </c>
      <c r="DS571" t="b">
        <f t="shared" si="1098"/>
        <v>0</v>
      </c>
      <c r="DT571" t="b">
        <f t="shared" si="1099"/>
        <v>0</v>
      </c>
      <c r="DU571" t="b">
        <f t="shared" si="1100"/>
        <v>0</v>
      </c>
      <c r="DV571" t="b">
        <f t="shared" si="1101"/>
        <v>0</v>
      </c>
      <c r="DW571" t="b">
        <f t="shared" si="1102"/>
        <v>0</v>
      </c>
      <c r="DX571">
        <f t="shared" si="1103"/>
        <v>1</v>
      </c>
      <c r="DY571" t="b">
        <f t="shared" si="1104"/>
        <v>0</v>
      </c>
      <c r="DZ571" t="b">
        <f t="shared" si="1105"/>
        <v>0</v>
      </c>
      <c r="EA571" t="b">
        <f t="shared" si="1106"/>
        <v>0</v>
      </c>
      <c r="EB571" t="b">
        <f t="shared" si="1107"/>
        <v>0</v>
      </c>
      <c r="EC571" t="b">
        <f t="shared" si="1108"/>
        <v>0</v>
      </c>
      <c r="ED571" t="b">
        <f t="shared" si="1109"/>
        <v>0</v>
      </c>
      <c r="EE571" t="b">
        <f t="shared" si="1110"/>
        <v>0</v>
      </c>
      <c r="EF571" t="b">
        <f t="shared" si="1111"/>
        <v>0</v>
      </c>
      <c r="EG571" t="b">
        <f t="shared" si="1112"/>
        <v>0</v>
      </c>
      <c r="EH571" t="b">
        <f t="shared" si="1113"/>
        <v>0</v>
      </c>
      <c r="EI571">
        <f t="shared" si="1114"/>
        <v>1</v>
      </c>
      <c r="EJ571" t="b">
        <f t="shared" si="1115"/>
        <v>0</v>
      </c>
      <c r="EK571" t="b">
        <f t="shared" si="1116"/>
        <v>0</v>
      </c>
    </row>
    <row r="572" spans="1:141">
      <c r="A572" t="s">
        <v>2877</v>
      </c>
      <c r="B572" t="s">
        <v>2877</v>
      </c>
      <c r="C572" t="s">
        <v>2878</v>
      </c>
      <c r="D572" s="1">
        <v>43856</v>
      </c>
      <c r="E572" s="2">
        <v>43959.090856481482</v>
      </c>
      <c r="F572" s="2">
        <v>43959.093657407408</v>
      </c>
      <c r="G572">
        <v>777769</v>
      </c>
      <c r="H572" t="s">
        <v>2879</v>
      </c>
      <c r="I572" s="10" t="s">
        <v>2880</v>
      </c>
      <c r="J572" t="s">
        <v>2881</v>
      </c>
      <c r="K572" s="8" t="b">
        <v>1</v>
      </c>
      <c r="L572" s="10" t="b">
        <v>0</v>
      </c>
      <c r="M572" s="12" t="b">
        <v>0</v>
      </c>
      <c r="N572" t="b">
        <v>0</v>
      </c>
      <c r="O572" t="b">
        <v>0</v>
      </c>
      <c r="P572" t="b">
        <v>0</v>
      </c>
      <c r="Q572">
        <f t="shared" si="993"/>
        <v>1</v>
      </c>
      <c r="R572">
        <f t="shared" si="994"/>
        <v>1</v>
      </c>
      <c r="S572" t="e">
        <f t="shared" ca="1" si="1024"/>
        <v>#NAME?</v>
      </c>
      <c r="T572" t="e">
        <f t="shared" ca="1" si="995"/>
        <v>#NAME?</v>
      </c>
      <c r="U572" s="4">
        <f t="shared" si="996"/>
        <v>103.09085648148175</v>
      </c>
      <c r="V572" s="4">
        <f t="shared" si="997"/>
        <v>3.4363618827160582</v>
      </c>
      <c r="W572" s="4">
        <f t="shared" si="998"/>
        <v>1</v>
      </c>
      <c r="X572" s="4">
        <f t="shared" si="999"/>
        <v>0</v>
      </c>
      <c r="Y572" s="4">
        <f t="shared" si="1000"/>
        <v>0</v>
      </c>
      <c r="Z572" s="4">
        <f t="shared" si="1001"/>
        <v>0</v>
      </c>
      <c r="AA572" s="4">
        <f t="shared" si="1002"/>
        <v>0</v>
      </c>
      <c r="AB572" s="4">
        <f t="shared" si="1003"/>
        <v>0</v>
      </c>
      <c r="AC572" s="4"/>
      <c r="AD572" s="4" t="b">
        <f t="shared" si="1004"/>
        <v>0</v>
      </c>
      <c r="AE572" s="4" t="b">
        <f t="shared" si="1005"/>
        <v>0</v>
      </c>
      <c r="AF572" s="4" t="b">
        <f t="shared" si="1006"/>
        <v>0</v>
      </c>
      <c r="AG572" t="b">
        <f t="shared" si="1007"/>
        <v>0</v>
      </c>
      <c r="AH572" t="b">
        <f t="shared" si="1008"/>
        <v>0</v>
      </c>
      <c r="AI572" t="b">
        <f t="shared" si="1009"/>
        <v>0</v>
      </c>
      <c r="AJ572" t="b">
        <f t="shared" si="1010"/>
        <v>0</v>
      </c>
      <c r="AK572" t="b">
        <f t="shared" si="1011"/>
        <v>0</v>
      </c>
      <c r="AL572" t="b">
        <f t="shared" si="1012"/>
        <v>0</v>
      </c>
      <c r="AM572" t="b">
        <f t="shared" si="1013"/>
        <v>0</v>
      </c>
      <c r="AN572">
        <f t="shared" si="1014"/>
        <v>1</v>
      </c>
      <c r="AO572" t="b">
        <f t="shared" si="1015"/>
        <v>0</v>
      </c>
      <c r="AP572" t="b">
        <f t="shared" si="1016"/>
        <v>0</v>
      </c>
      <c r="AQ572" t="b">
        <f t="shared" si="1017"/>
        <v>0</v>
      </c>
      <c r="AR572" t="b">
        <f t="shared" si="1018"/>
        <v>0</v>
      </c>
      <c r="AS572" t="b">
        <f t="shared" si="1019"/>
        <v>0</v>
      </c>
      <c r="AT572" t="b">
        <f t="shared" si="1020"/>
        <v>0</v>
      </c>
      <c r="AU572" t="b">
        <f t="shared" si="1021"/>
        <v>0</v>
      </c>
      <c r="AV572" t="b">
        <f t="shared" si="1022"/>
        <v>0</v>
      </c>
      <c r="AW572" t="b">
        <f t="shared" si="1023"/>
        <v>0</v>
      </c>
      <c r="AX572" t="b">
        <f t="shared" si="1025"/>
        <v>0</v>
      </c>
      <c r="AY572" t="b">
        <f t="shared" si="1026"/>
        <v>0</v>
      </c>
      <c r="AZ572" t="b">
        <f t="shared" si="1027"/>
        <v>0</v>
      </c>
      <c r="BA572" t="b">
        <f t="shared" si="1028"/>
        <v>0</v>
      </c>
      <c r="BB572" t="b">
        <f t="shared" si="1029"/>
        <v>0</v>
      </c>
      <c r="BC572" t="b">
        <f t="shared" si="1030"/>
        <v>0</v>
      </c>
      <c r="BD572" t="b">
        <f t="shared" si="1031"/>
        <v>0</v>
      </c>
      <c r="BE572" t="b">
        <f t="shared" si="1032"/>
        <v>0</v>
      </c>
      <c r="BF572" t="b">
        <f t="shared" si="1033"/>
        <v>0</v>
      </c>
      <c r="BG572" t="b">
        <f t="shared" si="1034"/>
        <v>0</v>
      </c>
      <c r="BH572" t="b">
        <f t="shared" si="1035"/>
        <v>0</v>
      </c>
      <c r="BI572">
        <f t="shared" si="1036"/>
        <v>1</v>
      </c>
      <c r="BJ572" t="b">
        <f t="shared" si="1037"/>
        <v>0</v>
      </c>
      <c r="BK572" t="b">
        <f t="shared" si="1038"/>
        <v>0</v>
      </c>
      <c r="BL572" t="b">
        <f t="shared" si="1039"/>
        <v>0</v>
      </c>
      <c r="BM572" t="b">
        <f t="shared" si="1040"/>
        <v>0</v>
      </c>
      <c r="BN572" t="b">
        <f t="shared" si="1041"/>
        <v>0</v>
      </c>
      <c r="BO572" t="b">
        <f t="shared" si="1042"/>
        <v>0</v>
      </c>
      <c r="BP572" t="b">
        <f t="shared" si="1043"/>
        <v>0</v>
      </c>
      <c r="BQ572" t="b">
        <f t="shared" si="1044"/>
        <v>0</v>
      </c>
      <c r="BR572" t="b">
        <f t="shared" si="1045"/>
        <v>0</v>
      </c>
      <c r="BS572" t="b">
        <f t="shared" si="1046"/>
        <v>0</v>
      </c>
      <c r="BT572" t="b">
        <f t="shared" si="1047"/>
        <v>0</v>
      </c>
      <c r="BU572" t="b">
        <f t="shared" si="1048"/>
        <v>0</v>
      </c>
      <c r="BV572" t="b">
        <f t="shared" si="1049"/>
        <v>0</v>
      </c>
      <c r="BW572" t="b">
        <f t="shared" si="1050"/>
        <v>0</v>
      </c>
      <c r="BX572" t="b">
        <f t="shared" si="1051"/>
        <v>0</v>
      </c>
      <c r="BY572" t="b">
        <f t="shared" si="1052"/>
        <v>0</v>
      </c>
      <c r="BZ572" t="b">
        <f t="shared" si="1053"/>
        <v>0</v>
      </c>
      <c r="CA572" t="b">
        <f t="shared" si="1054"/>
        <v>0</v>
      </c>
      <c r="CB572" t="b">
        <f t="shared" si="1055"/>
        <v>0</v>
      </c>
      <c r="CC572" t="b">
        <f t="shared" si="1056"/>
        <v>0</v>
      </c>
      <c r="CD572" t="b">
        <f t="shared" si="1057"/>
        <v>0</v>
      </c>
      <c r="CE572" t="b">
        <f t="shared" si="1058"/>
        <v>0</v>
      </c>
      <c r="CF572" t="b">
        <f t="shared" si="1059"/>
        <v>0</v>
      </c>
      <c r="CG572" t="b">
        <f t="shared" si="1060"/>
        <v>0</v>
      </c>
      <c r="CH572" t="b">
        <f t="shared" si="1061"/>
        <v>0</v>
      </c>
      <c r="CI572" t="b">
        <f t="shared" si="1062"/>
        <v>0</v>
      </c>
      <c r="CJ572" t="b">
        <f t="shared" si="1063"/>
        <v>0</v>
      </c>
      <c r="CK572" t="b">
        <f t="shared" si="1064"/>
        <v>0</v>
      </c>
      <c r="CL572" t="b">
        <f t="shared" si="1065"/>
        <v>0</v>
      </c>
      <c r="CM572">
        <f t="shared" si="1066"/>
        <v>1</v>
      </c>
      <c r="CN572" t="b">
        <f t="shared" si="1067"/>
        <v>0</v>
      </c>
      <c r="CO572" t="b">
        <f t="shared" si="1068"/>
        <v>0</v>
      </c>
      <c r="CP572" t="b">
        <f t="shared" si="1069"/>
        <v>0</v>
      </c>
      <c r="CQ572" t="b">
        <f t="shared" si="1070"/>
        <v>0</v>
      </c>
      <c r="CR572" t="b">
        <f t="shared" si="1071"/>
        <v>0</v>
      </c>
      <c r="CS572" t="b">
        <f t="shared" si="1072"/>
        <v>0</v>
      </c>
      <c r="CT572" t="b">
        <f t="shared" si="1073"/>
        <v>0</v>
      </c>
      <c r="CU572" t="b">
        <f t="shared" si="1074"/>
        <v>0</v>
      </c>
      <c r="CV572">
        <f t="shared" si="1075"/>
        <v>1</v>
      </c>
      <c r="CW572" t="b">
        <f t="shared" si="1076"/>
        <v>0</v>
      </c>
      <c r="CX572" t="b">
        <f t="shared" si="1077"/>
        <v>0</v>
      </c>
      <c r="CY572" t="b">
        <f t="shared" si="1078"/>
        <v>0</v>
      </c>
      <c r="CZ572" t="b">
        <f t="shared" si="1079"/>
        <v>0</v>
      </c>
      <c r="DA572">
        <f t="shared" si="1080"/>
        <v>1</v>
      </c>
      <c r="DB572" t="b">
        <f t="shared" si="1081"/>
        <v>0</v>
      </c>
      <c r="DC572" t="b">
        <f t="shared" si="1082"/>
        <v>0</v>
      </c>
      <c r="DD572" t="b">
        <f t="shared" si="1083"/>
        <v>0</v>
      </c>
      <c r="DE572" t="b">
        <f t="shared" si="1084"/>
        <v>0</v>
      </c>
      <c r="DF572" t="b">
        <f t="shared" si="1085"/>
        <v>0</v>
      </c>
      <c r="DG572" t="b">
        <f t="shared" si="1086"/>
        <v>0</v>
      </c>
      <c r="DH572" t="b">
        <f t="shared" si="1087"/>
        <v>0</v>
      </c>
      <c r="DI572" t="b">
        <f t="shared" si="1088"/>
        <v>0</v>
      </c>
      <c r="DJ572" t="b">
        <f t="shared" si="1089"/>
        <v>0</v>
      </c>
      <c r="DK572" t="b">
        <f t="shared" si="1090"/>
        <v>0</v>
      </c>
      <c r="DL572" t="b">
        <f t="shared" si="1091"/>
        <v>0</v>
      </c>
      <c r="DM572" t="b">
        <f t="shared" si="1092"/>
        <v>0</v>
      </c>
      <c r="DN572" t="b">
        <f t="shared" si="1093"/>
        <v>0</v>
      </c>
      <c r="DO572" t="b">
        <f t="shared" si="1094"/>
        <v>0</v>
      </c>
      <c r="DP572" t="b">
        <f t="shared" si="1095"/>
        <v>0</v>
      </c>
      <c r="DQ572" t="b">
        <f t="shared" si="1096"/>
        <v>0</v>
      </c>
      <c r="DR572" t="b">
        <f t="shared" si="1097"/>
        <v>0</v>
      </c>
      <c r="DS572" t="b">
        <f t="shared" si="1098"/>
        <v>0</v>
      </c>
      <c r="DT572" t="b">
        <f t="shared" si="1099"/>
        <v>0</v>
      </c>
      <c r="DU572" t="b">
        <f t="shared" si="1100"/>
        <v>0</v>
      </c>
      <c r="DV572" t="b">
        <f t="shared" si="1101"/>
        <v>0</v>
      </c>
      <c r="DW572" t="b">
        <f t="shared" si="1102"/>
        <v>0</v>
      </c>
      <c r="DX572" t="b">
        <f t="shared" si="1103"/>
        <v>0</v>
      </c>
      <c r="DY572">
        <f t="shared" si="1104"/>
        <v>1</v>
      </c>
      <c r="DZ572" t="b">
        <f t="shared" si="1105"/>
        <v>0</v>
      </c>
      <c r="EA572" t="b">
        <f t="shared" si="1106"/>
        <v>0</v>
      </c>
      <c r="EB572" t="b">
        <f t="shared" si="1107"/>
        <v>0</v>
      </c>
      <c r="EC572" t="b">
        <f t="shared" si="1108"/>
        <v>0</v>
      </c>
      <c r="ED572" t="b">
        <f t="shared" si="1109"/>
        <v>0</v>
      </c>
      <c r="EE572" t="b">
        <f t="shared" si="1110"/>
        <v>0</v>
      </c>
      <c r="EF572" t="b">
        <f t="shared" si="1111"/>
        <v>0</v>
      </c>
      <c r="EG572" t="b">
        <f t="shared" si="1112"/>
        <v>0</v>
      </c>
      <c r="EH572" t="b">
        <f t="shared" si="1113"/>
        <v>0</v>
      </c>
      <c r="EI572" t="b">
        <f t="shared" si="1114"/>
        <v>0</v>
      </c>
      <c r="EJ572" t="b">
        <f t="shared" si="1115"/>
        <v>0</v>
      </c>
      <c r="EK572" t="b">
        <f t="shared" si="1116"/>
        <v>0</v>
      </c>
    </row>
    <row r="573" spans="1:141">
      <c r="A573" t="s">
        <v>2882</v>
      </c>
      <c r="B573" t="s">
        <v>2883</v>
      </c>
      <c r="C573" t="s">
        <v>2884</v>
      </c>
      <c r="D573" s="1">
        <v>41690</v>
      </c>
      <c r="E573" s="2">
        <v>41693.188981481479</v>
      </c>
      <c r="F573" s="2">
        <v>41693.188981481479</v>
      </c>
      <c r="G573">
        <v>3200</v>
      </c>
      <c r="H573" t="s">
        <v>2885</v>
      </c>
      <c r="I573" s="10" t="s">
        <v>2886</v>
      </c>
      <c r="J573" t="s">
        <v>660</v>
      </c>
      <c r="K573" s="8" t="b">
        <v>1</v>
      </c>
      <c r="L573" s="10" t="b">
        <v>0</v>
      </c>
      <c r="M573" s="12" t="b">
        <v>0</v>
      </c>
      <c r="N573" t="b">
        <v>0</v>
      </c>
      <c r="O573" t="b">
        <v>0</v>
      </c>
      <c r="P573" t="b">
        <v>0</v>
      </c>
      <c r="Q573">
        <f t="shared" si="993"/>
        <v>5</v>
      </c>
      <c r="R573">
        <f t="shared" si="994"/>
        <v>2</v>
      </c>
      <c r="S573" t="e">
        <f t="shared" ca="1" si="1024"/>
        <v>#NAME?</v>
      </c>
      <c r="T573" t="e">
        <f t="shared" ca="1" si="995"/>
        <v>#NAME?</v>
      </c>
      <c r="U573" s="4">
        <f t="shared" si="996"/>
        <v>3.1889814814785495</v>
      </c>
      <c r="V573" s="4">
        <f t="shared" si="997"/>
        <v>0.10629938271595166</v>
      </c>
      <c r="W573" s="4">
        <f t="shared" si="998"/>
        <v>1</v>
      </c>
      <c r="X573" s="4">
        <f t="shared" si="999"/>
        <v>0</v>
      </c>
      <c r="Y573" s="4">
        <f t="shared" si="1000"/>
        <v>0</v>
      </c>
      <c r="Z573" s="4">
        <f t="shared" si="1001"/>
        <v>0</v>
      </c>
      <c r="AA573" s="4">
        <f t="shared" si="1002"/>
        <v>0</v>
      </c>
      <c r="AB573" s="4">
        <f t="shared" si="1003"/>
        <v>0</v>
      </c>
      <c r="AC573" s="4"/>
      <c r="AD573" s="4" t="b">
        <f t="shared" si="1004"/>
        <v>0</v>
      </c>
      <c r="AE573" s="4" t="b">
        <f t="shared" si="1005"/>
        <v>0</v>
      </c>
      <c r="AF573" s="4" t="b">
        <f t="shared" si="1006"/>
        <v>0</v>
      </c>
      <c r="AG573" t="b">
        <f t="shared" si="1007"/>
        <v>0</v>
      </c>
      <c r="AH573" t="b">
        <f t="shared" si="1008"/>
        <v>0</v>
      </c>
      <c r="AI573" t="b">
        <f t="shared" si="1009"/>
        <v>0</v>
      </c>
      <c r="AJ573" t="b">
        <f t="shared" si="1010"/>
        <v>0</v>
      </c>
      <c r="AK573" t="b">
        <f t="shared" si="1011"/>
        <v>0</v>
      </c>
      <c r="AL573" t="b">
        <f t="shared" si="1012"/>
        <v>0</v>
      </c>
      <c r="AM573" t="b">
        <f t="shared" si="1013"/>
        <v>0</v>
      </c>
      <c r="AN573" t="b">
        <f t="shared" si="1014"/>
        <v>0</v>
      </c>
      <c r="AO573" t="b">
        <f t="shared" si="1015"/>
        <v>0</v>
      </c>
      <c r="AP573" t="b">
        <f t="shared" si="1016"/>
        <v>0</v>
      </c>
      <c r="AQ573" t="b">
        <f t="shared" si="1017"/>
        <v>0</v>
      </c>
      <c r="AR573" t="b">
        <f t="shared" si="1018"/>
        <v>0</v>
      </c>
      <c r="AS573" t="b">
        <f t="shared" si="1019"/>
        <v>0</v>
      </c>
      <c r="AT573" t="b">
        <f t="shared" si="1020"/>
        <v>0</v>
      </c>
      <c r="AU573" t="b">
        <f t="shared" si="1021"/>
        <v>0</v>
      </c>
      <c r="AV573" t="b">
        <f t="shared" si="1022"/>
        <v>0</v>
      </c>
      <c r="AW573" t="b">
        <f t="shared" si="1023"/>
        <v>0</v>
      </c>
      <c r="AX573" t="b">
        <f t="shared" si="1025"/>
        <v>0</v>
      </c>
      <c r="AY573" t="b">
        <f t="shared" si="1026"/>
        <v>0</v>
      </c>
      <c r="AZ573" t="b">
        <f t="shared" si="1027"/>
        <v>0</v>
      </c>
      <c r="BA573" t="b">
        <f t="shared" si="1028"/>
        <v>0</v>
      </c>
      <c r="BB573" t="b">
        <f t="shared" si="1029"/>
        <v>0</v>
      </c>
      <c r="BC573" t="b">
        <f t="shared" si="1030"/>
        <v>0</v>
      </c>
      <c r="BD573" t="b">
        <f t="shared" si="1031"/>
        <v>0</v>
      </c>
      <c r="BE573" t="b">
        <f t="shared" si="1032"/>
        <v>0</v>
      </c>
      <c r="BF573" t="b">
        <f t="shared" si="1033"/>
        <v>0</v>
      </c>
      <c r="BG573" t="b">
        <f t="shared" si="1034"/>
        <v>0</v>
      </c>
      <c r="BH573" t="b">
        <f t="shared" si="1035"/>
        <v>0</v>
      </c>
      <c r="BI573">
        <f t="shared" si="1036"/>
        <v>1</v>
      </c>
      <c r="BJ573" t="b">
        <f t="shared" si="1037"/>
        <v>0</v>
      </c>
      <c r="BK573" t="b">
        <f t="shared" si="1038"/>
        <v>0</v>
      </c>
      <c r="BL573" t="b">
        <f t="shared" si="1039"/>
        <v>0</v>
      </c>
      <c r="BM573" t="b">
        <f t="shared" si="1040"/>
        <v>0</v>
      </c>
      <c r="BN573" t="b">
        <f t="shared" si="1041"/>
        <v>0</v>
      </c>
      <c r="BO573" t="b">
        <f t="shared" si="1042"/>
        <v>0</v>
      </c>
      <c r="BP573" t="b">
        <f t="shared" si="1043"/>
        <v>0</v>
      </c>
      <c r="BQ573" t="b">
        <f t="shared" si="1044"/>
        <v>0</v>
      </c>
      <c r="BR573" t="b">
        <f t="shared" si="1045"/>
        <v>0</v>
      </c>
      <c r="BS573" t="b">
        <f t="shared" si="1046"/>
        <v>0</v>
      </c>
      <c r="BT573" t="b">
        <f t="shared" si="1047"/>
        <v>0</v>
      </c>
      <c r="BU573" t="b">
        <f t="shared" si="1048"/>
        <v>0</v>
      </c>
      <c r="BV573" t="b">
        <f t="shared" si="1049"/>
        <v>0</v>
      </c>
      <c r="BW573" t="b">
        <f t="shared" si="1050"/>
        <v>0</v>
      </c>
      <c r="BX573" t="b">
        <f t="shared" si="1051"/>
        <v>0</v>
      </c>
      <c r="BY573" t="b">
        <f t="shared" si="1052"/>
        <v>0</v>
      </c>
      <c r="BZ573" t="b">
        <f t="shared" si="1053"/>
        <v>0</v>
      </c>
      <c r="CA573" t="b">
        <f t="shared" si="1054"/>
        <v>0</v>
      </c>
      <c r="CB573" t="b">
        <f t="shared" si="1055"/>
        <v>0</v>
      </c>
      <c r="CC573" t="b">
        <f t="shared" si="1056"/>
        <v>0</v>
      </c>
      <c r="CD573" t="b">
        <f t="shared" si="1057"/>
        <v>0</v>
      </c>
      <c r="CE573" t="b">
        <f t="shared" si="1058"/>
        <v>0</v>
      </c>
      <c r="CF573" t="b">
        <f t="shared" si="1059"/>
        <v>0</v>
      </c>
      <c r="CG573" t="b">
        <f t="shared" si="1060"/>
        <v>0</v>
      </c>
      <c r="CH573" t="b">
        <f t="shared" si="1061"/>
        <v>0</v>
      </c>
      <c r="CI573" t="b">
        <f t="shared" si="1062"/>
        <v>0</v>
      </c>
      <c r="CJ573" t="b">
        <f t="shared" si="1063"/>
        <v>0</v>
      </c>
      <c r="CK573" t="b">
        <f t="shared" si="1064"/>
        <v>0</v>
      </c>
      <c r="CL573" t="b">
        <f t="shared" si="1065"/>
        <v>0</v>
      </c>
      <c r="CM573">
        <f t="shared" si="1066"/>
        <v>1</v>
      </c>
      <c r="CN573" t="b">
        <f t="shared" si="1067"/>
        <v>0</v>
      </c>
      <c r="CO573" t="b">
        <f t="shared" si="1068"/>
        <v>0</v>
      </c>
      <c r="CP573" t="b">
        <f t="shared" si="1069"/>
        <v>0</v>
      </c>
      <c r="CQ573" t="b">
        <f t="shared" si="1070"/>
        <v>0</v>
      </c>
      <c r="CR573" t="b">
        <f t="shared" si="1071"/>
        <v>0</v>
      </c>
      <c r="CS573" t="b">
        <f t="shared" si="1072"/>
        <v>0</v>
      </c>
      <c r="CT573" t="b">
        <f t="shared" si="1073"/>
        <v>0</v>
      </c>
      <c r="CU573" t="b">
        <f t="shared" si="1074"/>
        <v>0</v>
      </c>
      <c r="CV573">
        <f t="shared" si="1075"/>
        <v>1</v>
      </c>
      <c r="CW573" t="b">
        <f t="shared" si="1076"/>
        <v>0</v>
      </c>
      <c r="CX573" t="b">
        <f t="shared" si="1077"/>
        <v>0</v>
      </c>
      <c r="CY573" t="b">
        <f t="shared" si="1078"/>
        <v>0</v>
      </c>
      <c r="CZ573" t="b">
        <f t="shared" si="1079"/>
        <v>0</v>
      </c>
      <c r="DA573" t="b">
        <f t="shared" si="1080"/>
        <v>0</v>
      </c>
      <c r="DB573" t="b">
        <f t="shared" si="1081"/>
        <v>0</v>
      </c>
      <c r="DC573" t="b">
        <f t="shared" si="1082"/>
        <v>0</v>
      </c>
      <c r="DD573" t="b">
        <f t="shared" si="1083"/>
        <v>0</v>
      </c>
      <c r="DE573" t="b">
        <f t="shared" si="1084"/>
        <v>0</v>
      </c>
      <c r="DF573" t="b">
        <f t="shared" si="1085"/>
        <v>0</v>
      </c>
      <c r="DG573" t="b">
        <f t="shared" si="1086"/>
        <v>0</v>
      </c>
      <c r="DH573" t="b">
        <f t="shared" si="1087"/>
        <v>0</v>
      </c>
      <c r="DI573" t="b">
        <f t="shared" si="1088"/>
        <v>0</v>
      </c>
      <c r="DJ573" t="b">
        <f t="shared" si="1089"/>
        <v>0</v>
      </c>
      <c r="DK573" t="b">
        <f t="shared" si="1090"/>
        <v>0</v>
      </c>
      <c r="DL573" t="b">
        <f t="shared" si="1091"/>
        <v>0</v>
      </c>
      <c r="DM573" t="b">
        <f t="shared" si="1092"/>
        <v>0</v>
      </c>
      <c r="DN573" t="b">
        <f t="shared" si="1093"/>
        <v>0</v>
      </c>
      <c r="DO573" t="b">
        <f t="shared" si="1094"/>
        <v>0</v>
      </c>
      <c r="DP573" t="b">
        <f t="shared" si="1095"/>
        <v>0</v>
      </c>
      <c r="DQ573" t="b">
        <f t="shared" si="1096"/>
        <v>0</v>
      </c>
      <c r="DR573" t="b">
        <f t="shared" si="1097"/>
        <v>0</v>
      </c>
      <c r="DS573" t="b">
        <f t="shared" si="1098"/>
        <v>0</v>
      </c>
      <c r="DT573" t="b">
        <f t="shared" si="1099"/>
        <v>0</v>
      </c>
      <c r="DU573" t="b">
        <f t="shared" si="1100"/>
        <v>0</v>
      </c>
      <c r="DV573" t="b">
        <f t="shared" si="1101"/>
        <v>0</v>
      </c>
      <c r="DW573" t="b">
        <f t="shared" si="1102"/>
        <v>0</v>
      </c>
      <c r="DX573" t="b">
        <f t="shared" si="1103"/>
        <v>0</v>
      </c>
      <c r="DY573" t="b">
        <f t="shared" si="1104"/>
        <v>0</v>
      </c>
      <c r="DZ573" t="b">
        <f t="shared" si="1105"/>
        <v>0</v>
      </c>
      <c r="EA573" t="b">
        <f t="shared" si="1106"/>
        <v>0</v>
      </c>
      <c r="EB573" t="b">
        <f t="shared" si="1107"/>
        <v>0</v>
      </c>
      <c r="EC573" t="b">
        <f t="shared" si="1108"/>
        <v>0</v>
      </c>
      <c r="ED573" t="b">
        <f t="shared" si="1109"/>
        <v>0</v>
      </c>
      <c r="EE573" t="b">
        <f t="shared" si="1110"/>
        <v>0</v>
      </c>
      <c r="EF573">
        <f t="shared" si="1111"/>
        <v>1</v>
      </c>
      <c r="EG573" t="b">
        <f t="shared" si="1112"/>
        <v>0</v>
      </c>
      <c r="EH573" t="b">
        <f t="shared" si="1113"/>
        <v>0</v>
      </c>
      <c r="EI573" t="b">
        <f t="shared" si="1114"/>
        <v>0</v>
      </c>
      <c r="EJ573" t="b">
        <f t="shared" si="1115"/>
        <v>0</v>
      </c>
      <c r="EK573" t="b">
        <f t="shared" si="1116"/>
        <v>0</v>
      </c>
    </row>
    <row r="574" spans="1:141">
      <c r="A574" t="s">
        <v>2887</v>
      </c>
      <c r="B574" t="s">
        <v>2888</v>
      </c>
      <c r="C574" t="s">
        <v>2889</v>
      </c>
      <c r="D574" s="1">
        <v>42850</v>
      </c>
      <c r="E574" s="2">
        <v>43150.436238425929</v>
      </c>
      <c r="F574" s="2">
        <v>43150.436238425929</v>
      </c>
      <c r="G574">
        <v>428779</v>
      </c>
      <c r="H574" t="s">
        <v>2890</v>
      </c>
      <c r="I574" s="10" t="s">
        <v>2891</v>
      </c>
      <c r="J574" t="s">
        <v>188</v>
      </c>
      <c r="K574" s="8" t="b">
        <v>1</v>
      </c>
      <c r="L574" s="10" t="b">
        <v>0</v>
      </c>
      <c r="M574" s="12" t="b">
        <v>0</v>
      </c>
      <c r="N574" t="b">
        <v>0</v>
      </c>
      <c r="O574" t="b">
        <v>0</v>
      </c>
      <c r="P574" t="b">
        <v>0</v>
      </c>
      <c r="Q574">
        <f t="shared" si="993"/>
        <v>3</v>
      </c>
      <c r="R574">
        <f t="shared" si="994"/>
        <v>4</v>
      </c>
      <c r="S574" t="e">
        <f t="shared" ca="1" si="1024"/>
        <v>#NAME?</v>
      </c>
      <c r="T574" t="e">
        <f t="shared" ca="1" si="995"/>
        <v>#NAME?</v>
      </c>
      <c r="U574" s="4">
        <f t="shared" si="996"/>
        <v>300.43623842592933</v>
      </c>
      <c r="V574" s="4">
        <f t="shared" si="997"/>
        <v>10.014541280864311</v>
      </c>
      <c r="W574" s="4">
        <f t="shared" si="998"/>
        <v>1</v>
      </c>
      <c r="X574" s="4">
        <f t="shared" si="999"/>
        <v>0</v>
      </c>
      <c r="Y574" s="4">
        <f t="shared" si="1000"/>
        <v>0</v>
      </c>
      <c r="Z574" s="4">
        <f t="shared" si="1001"/>
        <v>0</v>
      </c>
      <c r="AA574" s="4">
        <f t="shared" si="1002"/>
        <v>0</v>
      </c>
      <c r="AB574" s="4">
        <f t="shared" si="1003"/>
        <v>0</v>
      </c>
      <c r="AC574" s="4"/>
      <c r="AD574" s="4" t="b">
        <f t="shared" si="1004"/>
        <v>0</v>
      </c>
      <c r="AE574" s="4" t="b">
        <f t="shared" si="1005"/>
        <v>0</v>
      </c>
      <c r="AF574" s="4" t="b">
        <f t="shared" si="1006"/>
        <v>0</v>
      </c>
      <c r="AG574" t="b">
        <f t="shared" si="1007"/>
        <v>0</v>
      </c>
      <c r="AH574" t="b">
        <f t="shared" si="1008"/>
        <v>0</v>
      </c>
      <c r="AI574" t="b">
        <f t="shared" si="1009"/>
        <v>0</v>
      </c>
      <c r="AJ574" t="b">
        <f t="shared" si="1010"/>
        <v>0</v>
      </c>
      <c r="AK574" t="b">
        <f t="shared" si="1011"/>
        <v>0</v>
      </c>
      <c r="AL574" t="b">
        <f t="shared" si="1012"/>
        <v>0</v>
      </c>
      <c r="AM574" t="b">
        <f t="shared" si="1013"/>
        <v>0</v>
      </c>
      <c r="AN574" t="b">
        <f t="shared" si="1014"/>
        <v>0</v>
      </c>
      <c r="AO574" t="b">
        <f t="shared" si="1015"/>
        <v>0</v>
      </c>
      <c r="AP574" t="b">
        <f t="shared" si="1016"/>
        <v>0</v>
      </c>
      <c r="AQ574" t="b">
        <f t="shared" si="1017"/>
        <v>0</v>
      </c>
      <c r="AR574" t="b">
        <f t="shared" si="1018"/>
        <v>0</v>
      </c>
      <c r="AS574" t="b">
        <f t="shared" si="1019"/>
        <v>0</v>
      </c>
      <c r="AT574" t="b">
        <f t="shared" si="1020"/>
        <v>0</v>
      </c>
      <c r="AU574" t="b">
        <f t="shared" si="1021"/>
        <v>0</v>
      </c>
      <c r="AV574" t="b">
        <f t="shared" si="1022"/>
        <v>0</v>
      </c>
      <c r="AW574" t="b">
        <f t="shared" si="1023"/>
        <v>0</v>
      </c>
      <c r="AX574" t="b">
        <f t="shared" si="1025"/>
        <v>0</v>
      </c>
      <c r="AY574" t="b">
        <f t="shared" si="1026"/>
        <v>0</v>
      </c>
      <c r="AZ574" t="b">
        <f t="shared" si="1027"/>
        <v>0</v>
      </c>
      <c r="BA574" t="b">
        <f t="shared" si="1028"/>
        <v>0</v>
      </c>
      <c r="BB574" t="b">
        <f t="shared" si="1029"/>
        <v>0</v>
      </c>
      <c r="BC574" t="b">
        <f t="shared" si="1030"/>
        <v>0</v>
      </c>
      <c r="BD574" t="b">
        <f t="shared" si="1031"/>
        <v>0</v>
      </c>
      <c r="BE574" t="b">
        <f t="shared" si="1032"/>
        <v>0</v>
      </c>
      <c r="BF574" t="b">
        <f t="shared" si="1033"/>
        <v>0</v>
      </c>
      <c r="BG574" t="b">
        <f t="shared" si="1034"/>
        <v>0</v>
      </c>
      <c r="BH574" t="b">
        <f t="shared" si="1035"/>
        <v>0</v>
      </c>
      <c r="BI574">
        <f t="shared" si="1036"/>
        <v>1</v>
      </c>
      <c r="BJ574" t="b">
        <f t="shared" si="1037"/>
        <v>0</v>
      </c>
      <c r="BK574" t="b">
        <f t="shared" si="1038"/>
        <v>0</v>
      </c>
      <c r="BL574" t="b">
        <f t="shared" si="1039"/>
        <v>0</v>
      </c>
      <c r="BM574" t="b">
        <f t="shared" si="1040"/>
        <v>0</v>
      </c>
      <c r="BN574" t="b">
        <f t="shared" si="1041"/>
        <v>0</v>
      </c>
      <c r="BO574" t="b">
        <f t="shared" si="1042"/>
        <v>0</v>
      </c>
      <c r="BP574" t="b">
        <f t="shared" si="1043"/>
        <v>0</v>
      </c>
      <c r="BQ574" t="b">
        <f t="shared" si="1044"/>
        <v>0</v>
      </c>
      <c r="BR574" t="b">
        <f t="shared" si="1045"/>
        <v>0</v>
      </c>
      <c r="BS574" t="b">
        <f t="shared" si="1046"/>
        <v>0</v>
      </c>
      <c r="BT574" t="b">
        <f t="shared" si="1047"/>
        <v>0</v>
      </c>
      <c r="BU574" t="b">
        <f t="shared" si="1048"/>
        <v>0</v>
      </c>
      <c r="BV574" t="b">
        <f t="shared" si="1049"/>
        <v>0</v>
      </c>
      <c r="BW574" t="b">
        <f t="shared" si="1050"/>
        <v>0</v>
      </c>
      <c r="BX574" t="b">
        <f t="shared" si="1051"/>
        <v>0</v>
      </c>
      <c r="BY574" t="b">
        <f t="shared" si="1052"/>
        <v>0</v>
      </c>
      <c r="BZ574" t="b">
        <f t="shared" si="1053"/>
        <v>0</v>
      </c>
      <c r="CA574" t="b">
        <f t="shared" si="1054"/>
        <v>0</v>
      </c>
      <c r="CB574" t="b">
        <f t="shared" si="1055"/>
        <v>0</v>
      </c>
      <c r="CC574" t="b">
        <f t="shared" si="1056"/>
        <v>0</v>
      </c>
      <c r="CD574" t="b">
        <f t="shared" si="1057"/>
        <v>0</v>
      </c>
      <c r="CE574">
        <f t="shared" si="1058"/>
        <v>1</v>
      </c>
      <c r="CF574" t="b">
        <f t="shared" si="1059"/>
        <v>0</v>
      </c>
      <c r="CG574" t="b">
        <f t="shared" si="1060"/>
        <v>0</v>
      </c>
      <c r="CH574" t="b">
        <f t="shared" si="1061"/>
        <v>0</v>
      </c>
      <c r="CI574" t="b">
        <f t="shared" si="1062"/>
        <v>0</v>
      </c>
      <c r="CJ574" t="b">
        <f t="shared" si="1063"/>
        <v>0</v>
      </c>
      <c r="CK574" t="b">
        <f t="shared" si="1064"/>
        <v>0</v>
      </c>
      <c r="CL574" t="b">
        <f t="shared" si="1065"/>
        <v>0</v>
      </c>
      <c r="CM574" t="b">
        <f t="shared" si="1066"/>
        <v>0</v>
      </c>
      <c r="CN574" t="b">
        <f t="shared" si="1067"/>
        <v>0</v>
      </c>
      <c r="CO574" t="b">
        <f t="shared" si="1068"/>
        <v>0</v>
      </c>
      <c r="CP574" t="b">
        <f t="shared" si="1069"/>
        <v>0</v>
      </c>
      <c r="CQ574" t="b">
        <f t="shared" si="1070"/>
        <v>0</v>
      </c>
      <c r="CR574" t="b">
        <f t="shared" si="1071"/>
        <v>0</v>
      </c>
      <c r="CS574" t="b">
        <f t="shared" si="1072"/>
        <v>0</v>
      </c>
      <c r="CT574" t="b">
        <f t="shared" si="1073"/>
        <v>0</v>
      </c>
      <c r="CU574" t="b">
        <f t="shared" si="1074"/>
        <v>0</v>
      </c>
      <c r="CV574">
        <f t="shared" si="1075"/>
        <v>1</v>
      </c>
      <c r="CW574" t="b">
        <f t="shared" si="1076"/>
        <v>0</v>
      </c>
      <c r="CX574" t="b">
        <f t="shared" si="1077"/>
        <v>0</v>
      </c>
      <c r="CY574" t="b">
        <f t="shared" si="1078"/>
        <v>0</v>
      </c>
      <c r="CZ574" t="b">
        <f t="shared" si="1079"/>
        <v>0</v>
      </c>
      <c r="DA574" t="b">
        <f t="shared" si="1080"/>
        <v>0</v>
      </c>
      <c r="DB574" t="b">
        <f t="shared" si="1081"/>
        <v>0</v>
      </c>
      <c r="DC574" t="b">
        <f t="shared" si="1082"/>
        <v>0</v>
      </c>
      <c r="DD574" t="b">
        <f t="shared" si="1083"/>
        <v>0</v>
      </c>
      <c r="DE574" t="b">
        <f t="shared" si="1084"/>
        <v>0</v>
      </c>
      <c r="DF574" t="b">
        <f t="shared" si="1085"/>
        <v>0</v>
      </c>
      <c r="DG574" t="b">
        <f t="shared" si="1086"/>
        <v>0</v>
      </c>
      <c r="DH574" t="b">
        <f t="shared" si="1087"/>
        <v>0</v>
      </c>
      <c r="DI574" t="b">
        <f t="shared" si="1088"/>
        <v>0</v>
      </c>
      <c r="DJ574" t="b">
        <f t="shared" si="1089"/>
        <v>0</v>
      </c>
      <c r="DK574" t="b">
        <f t="shared" si="1090"/>
        <v>0</v>
      </c>
      <c r="DL574" t="b">
        <f t="shared" si="1091"/>
        <v>0</v>
      </c>
      <c r="DM574" t="b">
        <f t="shared" si="1092"/>
        <v>0</v>
      </c>
      <c r="DN574" t="b">
        <f t="shared" si="1093"/>
        <v>0</v>
      </c>
      <c r="DO574" t="b">
        <f t="shared" si="1094"/>
        <v>0</v>
      </c>
      <c r="DP574" t="b">
        <f t="shared" si="1095"/>
        <v>0</v>
      </c>
      <c r="DQ574" t="b">
        <f t="shared" si="1096"/>
        <v>0</v>
      </c>
      <c r="DR574" t="b">
        <f t="shared" si="1097"/>
        <v>0</v>
      </c>
      <c r="DS574" t="b">
        <f t="shared" si="1098"/>
        <v>0</v>
      </c>
      <c r="DT574" t="b">
        <f t="shared" si="1099"/>
        <v>0</v>
      </c>
      <c r="DU574" t="b">
        <f t="shared" si="1100"/>
        <v>0</v>
      </c>
      <c r="DV574" t="b">
        <f t="shared" si="1101"/>
        <v>0</v>
      </c>
      <c r="DW574" t="b">
        <f t="shared" si="1102"/>
        <v>0</v>
      </c>
      <c r="DX574" t="b">
        <f t="shared" si="1103"/>
        <v>0</v>
      </c>
      <c r="DY574" t="b">
        <f t="shared" si="1104"/>
        <v>0</v>
      </c>
      <c r="DZ574" t="b">
        <f t="shared" si="1105"/>
        <v>0</v>
      </c>
      <c r="EA574" t="b">
        <f t="shared" si="1106"/>
        <v>0</v>
      </c>
      <c r="EB574" t="b">
        <f t="shared" si="1107"/>
        <v>0</v>
      </c>
      <c r="EC574" t="b">
        <f t="shared" si="1108"/>
        <v>0</v>
      </c>
      <c r="ED574" t="b">
        <f t="shared" si="1109"/>
        <v>0</v>
      </c>
      <c r="EE574" t="b">
        <f t="shared" si="1110"/>
        <v>0</v>
      </c>
      <c r="EF574">
        <f t="shared" si="1111"/>
        <v>1</v>
      </c>
      <c r="EG574" t="b">
        <f t="shared" si="1112"/>
        <v>0</v>
      </c>
      <c r="EH574" t="b">
        <f t="shared" si="1113"/>
        <v>0</v>
      </c>
      <c r="EI574" t="b">
        <f t="shared" si="1114"/>
        <v>0</v>
      </c>
      <c r="EJ574" t="b">
        <f t="shared" si="1115"/>
        <v>0</v>
      </c>
      <c r="EK574" t="b">
        <f t="shared" si="1116"/>
        <v>0</v>
      </c>
    </row>
    <row r="575" spans="1:141">
      <c r="A575" t="s">
        <v>2892</v>
      </c>
      <c r="B575" t="s">
        <v>2893</v>
      </c>
      <c r="C575" t="s">
        <v>2894</v>
      </c>
      <c r="D575" s="1">
        <v>44062</v>
      </c>
      <c r="E575" s="2">
        <v>44062.978715277779</v>
      </c>
      <c r="F575" s="2">
        <v>44062.978715277779</v>
      </c>
      <c r="G575">
        <v>166031</v>
      </c>
      <c r="H575" t="s">
        <v>2895</v>
      </c>
      <c r="I575" s="10" t="s">
        <v>2896</v>
      </c>
      <c r="J575" t="s">
        <v>147</v>
      </c>
      <c r="K575" s="8" t="b">
        <v>1</v>
      </c>
      <c r="L575" s="10" t="b">
        <v>0</v>
      </c>
      <c r="M575" s="12" t="b">
        <v>0</v>
      </c>
      <c r="N575" t="b">
        <v>0</v>
      </c>
      <c r="O575" t="b">
        <v>0</v>
      </c>
      <c r="P575" t="b">
        <v>0</v>
      </c>
      <c r="Q575">
        <f t="shared" si="993"/>
        <v>4</v>
      </c>
      <c r="R575">
        <f t="shared" si="994"/>
        <v>8</v>
      </c>
      <c r="S575" t="e">
        <f t="shared" ca="1" si="1024"/>
        <v>#NAME?</v>
      </c>
      <c r="T575" t="e">
        <f t="shared" ca="1" si="995"/>
        <v>#NAME?</v>
      </c>
      <c r="U575" s="4">
        <f t="shared" si="996"/>
        <v>0.97871527777897427</v>
      </c>
      <c r="V575" s="4">
        <f t="shared" si="997"/>
        <v>3.2623842592632478E-2</v>
      </c>
      <c r="W575" s="4">
        <f t="shared" si="998"/>
        <v>1</v>
      </c>
      <c r="X575" s="4">
        <f t="shared" si="999"/>
        <v>0</v>
      </c>
      <c r="Y575" s="4">
        <f t="shared" si="1000"/>
        <v>0</v>
      </c>
      <c r="Z575" s="4">
        <f t="shared" si="1001"/>
        <v>0</v>
      </c>
      <c r="AA575" s="4">
        <f t="shared" si="1002"/>
        <v>0</v>
      </c>
      <c r="AB575" s="4">
        <f t="shared" si="1003"/>
        <v>0</v>
      </c>
      <c r="AC575" s="4"/>
      <c r="AD575" s="4" t="b">
        <f t="shared" si="1004"/>
        <v>0</v>
      </c>
      <c r="AE575" s="4" t="b">
        <f t="shared" si="1005"/>
        <v>0</v>
      </c>
      <c r="AF575" s="4" t="b">
        <f t="shared" si="1006"/>
        <v>0</v>
      </c>
      <c r="AG575" t="b">
        <f t="shared" si="1007"/>
        <v>0</v>
      </c>
      <c r="AH575" t="b">
        <f t="shared" si="1008"/>
        <v>0</v>
      </c>
      <c r="AI575" t="b">
        <f t="shared" si="1009"/>
        <v>0</v>
      </c>
      <c r="AJ575" t="b">
        <f t="shared" si="1010"/>
        <v>0</v>
      </c>
      <c r="AK575" t="b">
        <f t="shared" si="1011"/>
        <v>0</v>
      </c>
      <c r="AL575" t="b">
        <f t="shared" si="1012"/>
        <v>0</v>
      </c>
      <c r="AM575" t="b">
        <f t="shared" si="1013"/>
        <v>0</v>
      </c>
      <c r="AN575" t="b">
        <f t="shared" si="1014"/>
        <v>0</v>
      </c>
      <c r="AO575" t="b">
        <f t="shared" si="1015"/>
        <v>0</v>
      </c>
      <c r="AP575" t="b">
        <f t="shared" si="1016"/>
        <v>0</v>
      </c>
      <c r="AQ575" t="b">
        <f t="shared" si="1017"/>
        <v>0</v>
      </c>
      <c r="AR575" t="b">
        <f t="shared" si="1018"/>
        <v>0</v>
      </c>
      <c r="AS575" t="b">
        <f t="shared" si="1019"/>
        <v>0</v>
      </c>
      <c r="AT575" t="b">
        <f t="shared" si="1020"/>
        <v>0</v>
      </c>
      <c r="AU575" t="b">
        <f t="shared" si="1021"/>
        <v>0</v>
      </c>
      <c r="AV575" t="b">
        <f t="shared" si="1022"/>
        <v>0</v>
      </c>
      <c r="AW575" t="b">
        <f t="shared" si="1023"/>
        <v>0</v>
      </c>
      <c r="AX575" t="b">
        <f t="shared" si="1025"/>
        <v>0</v>
      </c>
      <c r="AY575" t="b">
        <f t="shared" si="1026"/>
        <v>0</v>
      </c>
      <c r="AZ575" t="b">
        <f t="shared" si="1027"/>
        <v>0</v>
      </c>
      <c r="BA575" t="b">
        <f t="shared" si="1028"/>
        <v>0</v>
      </c>
      <c r="BB575" t="b">
        <f t="shared" si="1029"/>
        <v>0</v>
      </c>
      <c r="BC575" t="b">
        <f t="shared" si="1030"/>
        <v>0</v>
      </c>
      <c r="BD575" t="b">
        <f t="shared" si="1031"/>
        <v>0</v>
      </c>
      <c r="BE575" t="b">
        <f t="shared" si="1032"/>
        <v>0</v>
      </c>
      <c r="BF575" t="b">
        <f t="shared" si="1033"/>
        <v>0</v>
      </c>
      <c r="BG575" t="b">
        <f t="shared" si="1034"/>
        <v>0</v>
      </c>
      <c r="BH575" t="b">
        <f t="shared" si="1035"/>
        <v>0</v>
      </c>
      <c r="BI575">
        <f t="shared" si="1036"/>
        <v>1</v>
      </c>
      <c r="BJ575" t="b">
        <f t="shared" si="1037"/>
        <v>0</v>
      </c>
      <c r="BK575" t="b">
        <f t="shared" si="1038"/>
        <v>0</v>
      </c>
      <c r="BL575" t="b">
        <f t="shared" si="1039"/>
        <v>0</v>
      </c>
      <c r="BM575" t="b">
        <f t="shared" si="1040"/>
        <v>0</v>
      </c>
      <c r="BN575" t="b">
        <f t="shared" si="1041"/>
        <v>0</v>
      </c>
      <c r="BO575" t="b">
        <f t="shared" si="1042"/>
        <v>0</v>
      </c>
      <c r="BP575" t="b">
        <f t="shared" si="1043"/>
        <v>0</v>
      </c>
      <c r="BQ575" t="b">
        <f t="shared" si="1044"/>
        <v>0</v>
      </c>
      <c r="BR575" t="b">
        <f t="shared" si="1045"/>
        <v>0</v>
      </c>
      <c r="BS575" t="b">
        <f t="shared" si="1046"/>
        <v>0</v>
      </c>
      <c r="BT575" t="b">
        <f t="shared" si="1047"/>
        <v>0</v>
      </c>
      <c r="BU575" t="b">
        <f t="shared" si="1048"/>
        <v>0</v>
      </c>
      <c r="BV575" t="b">
        <f t="shared" si="1049"/>
        <v>0</v>
      </c>
      <c r="BW575" t="b">
        <f t="shared" si="1050"/>
        <v>0</v>
      </c>
      <c r="BX575" t="b">
        <f t="shared" si="1051"/>
        <v>0</v>
      </c>
      <c r="BY575" t="b">
        <f t="shared" si="1052"/>
        <v>0</v>
      </c>
      <c r="BZ575" t="b">
        <f t="shared" si="1053"/>
        <v>0</v>
      </c>
      <c r="CA575" t="b">
        <f t="shared" si="1054"/>
        <v>0</v>
      </c>
      <c r="CB575" t="b">
        <f t="shared" si="1055"/>
        <v>0</v>
      </c>
      <c r="CC575" t="b">
        <f t="shared" si="1056"/>
        <v>0</v>
      </c>
      <c r="CD575" t="b">
        <f t="shared" si="1057"/>
        <v>0</v>
      </c>
      <c r="CE575" t="b">
        <f t="shared" si="1058"/>
        <v>0</v>
      </c>
      <c r="CF575" t="b">
        <f t="shared" si="1059"/>
        <v>0</v>
      </c>
      <c r="CG575" t="b">
        <f t="shared" si="1060"/>
        <v>0</v>
      </c>
      <c r="CH575" t="b">
        <f t="shared" si="1061"/>
        <v>0</v>
      </c>
      <c r="CI575" t="b">
        <f t="shared" si="1062"/>
        <v>0</v>
      </c>
      <c r="CJ575" t="b">
        <f t="shared" si="1063"/>
        <v>0</v>
      </c>
      <c r="CK575" t="b">
        <f t="shared" si="1064"/>
        <v>0</v>
      </c>
      <c r="CL575" t="b">
        <f t="shared" si="1065"/>
        <v>0</v>
      </c>
      <c r="CM575" t="b">
        <f t="shared" si="1066"/>
        <v>0</v>
      </c>
      <c r="CN575" t="b">
        <f t="shared" si="1067"/>
        <v>0</v>
      </c>
      <c r="CO575" t="b">
        <f t="shared" si="1068"/>
        <v>0</v>
      </c>
      <c r="CP575" t="b">
        <f t="shared" si="1069"/>
        <v>0</v>
      </c>
      <c r="CQ575" t="b">
        <f t="shared" si="1070"/>
        <v>0</v>
      </c>
      <c r="CR575" t="b">
        <f t="shared" si="1071"/>
        <v>0</v>
      </c>
      <c r="CS575" t="b">
        <f t="shared" si="1072"/>
        <v>0</v>
      </c>
      <c r="CT575" t="b">
        <f t="shared" si="1073"/>
        <v>0</v>
      </c>
      <c r="CU575" t="b">
        <f t="shared" si="1074"/>
        <v>0</v>
      </c>
      <c r="CV575">
        <f t="shared" si="1075"/>
        <v>1</v>
      </c>
      <c r="CW575" t="b">
        <f t="shared" si="1076"/>
        <v>0</v>
      </c>
      <c r="CX575" t="b">
        <f t="shared" si="1077"/>
        <v>0</v>
      </c>
      <c r="CY575" t="b">
        <f t="shared" si="1078"/>
        <v>0</v>
      </c>
      <c r="CZ575" t="b">
        <f t="shared" si="1079"/>
        <v>0</v>
      </c>
      <c r="DA575" t="b">
        <f t="shared" si="1080"/>
        <v>0</v>
      </c>
      <c r="DB575" t="b">
        <f t="shared" si="1081"/>
        <v>0</v>
      </c>
      <c r="DC575" t="b">
        <f t="shared" si="1082"/>
        <v>0</v>
      </c>
      <c r="DD575" t="b">
        <f t="shared" si="1083"/>
        <v>0</v>
      </c>
      <c r="DE575" t="b">
        <f t="shared" si="1084"/>
        <v>0</v>
      </c>
      <c r="DF575" t="b">
        <f t="shared" si="1085"/>
        <v>0</v>
      </c>
      <c r="DG575" t="b">
        <f t="shared" si="1086"/>
        <v>0</v>
      </c>
      <c r="DH575" t="b">
        <f t="shared" si="1087"/>
        <v>0</v>
      </c>
      <c r="DI575" t="b">
        <f t="shared" si="1088"/>
        <v>0</v>
      </c>
      <c r="DJ575" t="b">
        <f t="shared" si="1089"/>
        <v>0</v>
      </c>
      <c r="DK575" t="b">
        <f t="shared" si="1090"/>
        <v>0</v>
      </c>
      <c r="DL575" t="b">
        <f t="shared" si="1091"/>
        <v>0</v>
      </c>
      <c r="DM575" t="b">
        <f t="shared" si="1092"/>
        <v>0</v>
      </c>
      <c r="DN575" t="b">
        <f t="shared" si="1093"/>
        <v>0</v>
      </c>
      <c r="DO575" t="b">
        <f t="shared" si="1094"/>
        <v>0</v>
      </c>
      <c r="DP575" t="b">
        <f t="shared" si="1095"/>
        <v>0</v>
      </c>
      <c r="DQ575" t="b">
        <f t="shared" si="1096"/>
        <v>0</v>
      </c>
      <c r="DR575" t="b">
        <f t="shared" si="1097"/>
        <v>0</v>
      </c>
      <c r="DS575" t="b">
        <f t="shared" si="1098"/>
        <v>0</v>
      </c>
      <c r="DT575" t="b">
        <f t="shared" si="1099"/>
        <v>0</v>
      </c>
      <c r="DU575" t="b">
        <f t="shared" si="1100"/>
        <v>0</v>
      </c>
      <c r="DV575" t="b">
        <f t="shared" si="1101"/>
        <v>0</v>
      </c>
      <c r="DW575" t="b">
        <f t="shared" si="1102"/>
        <v>0</v>
      </c>
      <c r="DX575" t="b">
        <f t="shared" si="1103"/>
        <v>0</v>
      </c>
      <c r="DY575" t="b">
        <f t="shared" si="1104"/>
        <v>0</v>
      </c>
      <c r="DZ575" t="b">
        <f t="shared" si="1105"/>
        <v>0</v>
      </c>
      <c r="EA575" t="b">
        <f t="shared" si="1106"/>
        <v>0</v>
      </c>
      <c r="EB575" t="b">
        <f t="shared" si="1107"/>
        <v>0</v>
      </c>
      <c r="EC575" t="b">
        <f t="shared" si="1108"/>
        <v>0</v>
      </c>
      <c r="ED575" t="b">
        <f t="shared" si="1109"/>
        <v>0</v>
      </c>
      <c r="EE575" t="b">
        <f t="shared" si="1110"/>
        <v>0</v>
      </c>
      <c r="EF575" t="b">
        <f t="shared" si="1111"/>
        <v>0</v>
      </c>
      <c r="EG575" t="b">
        <f t="shared" si="1112"/>
        <v>0</v>
      </c>
      <c r="EH575" t="b">
        <f t="shared" si="1113"/>
        <v>0</v>
      </c>
      <c r="EI575" t="b">
        <f t="shared" si="1114"/>
        <v>0</v>
      </c>
      <c r="EJ575" t="b">
        <f t="shared" si="1115"/>
        <v>0</v>
      </c>
      <c r="EK575" t="b">
        <f t="shared" si="1116"/>
        <v>0</v>
      </c>
    </row>
    <row r="576" spans="1:141">
      <c r="A576" t="s">
        <v>2897</v>
      </c>
      <c r="B576" t="s">
        <v>2897</v>
      </c>
      <c r="C576" t="s">
        <v>2898</v>
      </c>
      <c r="D576" s="1">
        <v>43770</v>
      </c>
      <c r="E576" s="2">
        <v>43833.402789351851</v>
      </c>
      <c r="F576" s="2">
        <v>43833.412731481483</v>
      </c>
      <c r="G576">
        <v>564962</v>
      </c>
      <c r="H576" t="s">
        <v>2899</v>
      </c>
      <c r="I576" s="10" t="s">
        <v>2900</v>
      </c>
      <c r="J576" t="s">
        <v>147</v>
      </c>
      <c r="K576" s="8" t="b">
        <v>1</v>
      </c>
      <c r="L576" s="10" t="b">
        <v>0</v>
      </c>
      <c r="M576" s="12" t="b">
        <v>0</v>
      </c>
      <c r="N576" t="b">
        <v>0</v>
      </c>
      <c r="O576" t="b">
        <v>0</v>
      </c>
      <c r="P576" t="b">
        <v>0</v>
      </c>
      <c r="Q576">
        <f t="shared" si="993"/>
        <v>6</v>
      </c>
      <c r="R576">
        <f t="shared" si="994"/>
        <v>11</v>
      </c>
      <c r="S576" t="e">
        <f t="shared" ca="1" si="1024"/>
        <v>#NAME?</v>
      </c>
      <c r="T576" t="e">
        <f t="shared" ca="1" si="995"/>
        <v>#NAME?</v>
      </c>
      <c r="U576" s="4">
        <f t="shared" si="996"/>
        <v>63.402789351850515</v>
      </c>
      <c r="V576" s="4">
        <f t="shared" si="997"/>
        <v>2.1134263117283507</v>
      </c>
      <c r="W576" s="4">
        <f t="shared" si="998"/>
        <v>1</v>
      </c>
      <c r="X576" s="4">
        <f t="shared" si="999"/>
        <v>0</v>
      </c>
      <c r="Y576" s="4">
        <f t="shared" si="1000"/>
        <v>0</v>
      </c>
      <c r="Z576" s="4">
        <f t="shared" si="1001"/>
        <v>0</v>
      </c>
      <c r="AA576" s="4">
        <f t="shared" si="1002"/>
        <v>0</v>
      </c>
      <c r="AB576" s="4">
        <f t="shared" si="1003"/>
        <v>0</v>
      </c>
      <c r="AC576" s="4"/>
      <c r="AD576" s="4" t="b">
        <f t="shared" si="1004"/>
        <v>0</v>
      </c>
      <c r="AE576" s="4" t="b">
        <f t="shared" si="1005"/>
        <v>0</v>
      </c>
      <c r="AF576" s="4" t="b">
        <f t="shared" si="1006"/>
        <v>0</v>
      </c>
      <c r="AG576" t="b">
        <f t="shared" si="1007"/>
        <v>0</v>
      </c>
      <c r="AH576" t="b">
        <f t="shared" si="1008"/>
        <v>0</v>
      </c>
      <c r="AI576" t="b">
        <f t="shared" si="1009"/>
        <v>0</v>
      </c>
      <c r="AJ576" t="b">
        <f t="shared" si="1010"/>
        <v>0</v>
      </c>
      <c r="AK576" t="b">
        <f t="shared" si="1011"/>
        <v>0</v>
      </c>
      <c r="AL576" t="b">
        <f t="shared" si="1012"/>
        <v>0</v>
      </c>
      <c r="AM576" t="b">
        <f t="shared" si="1013"/>
        <v>0</v>
      </c>
      <c r="AN576" t="b">
        <f t="shared" si="1014"/>
        <v>0</v>
      </c>
      <c r="AO576" t="b">
        <f t="shared" si="1015"/>
        <v>0</v>
      </c>
      <c r="AP576" t="b">
        <f t="shared" si="1016"/>
        <v>0</v>
      </c>
      <c r="AQ576" t="b">
        <f t="shared" si="1017"/>
        <v>0</v>
      </c>
      <c r="AR576" t="b">
        <f t="shared" si="1018"/>
        <v>0</v>
      </c>
      <c r="AS576" t="b">
        <f t="shared" si="1019"/>
        <v>0</v>
      </c>
      <c r="AT576" t="b">
        <f t="shared" si="1020"/>
        <v>0</v>
      </c>
      <c r="AU576" t="b">
        <f t="shared" si="1021"/>
        <v>0</v>
      </c>
      <c r="AV576" t="b">
        <f t="shared" si="1022"/>
        <v>0</v>
      </c>
      <c r="AW576" t="b">
        <f t="shared" si="1023"/>
        <v>0</v>
      </c>
      <c r="AX576" t="b">
        <f t="shared" si="1025"/>
        <v>0</v>
      </c>
      <c r="AY576" t="b">
        <f t="shared" si="1026"/>
        <v>0</v>
      </c>
      <c r="AZ576" t="b">
        <f t="shared" si="1027"/>
        <v>0</v>
      </c>
      <c r="BA576" t="b">
        <f t="shared" si="1028"/>
        <v>0</v>
      </c>
      <c r="BB576" t="b">
        <f t="shared" si="1029"/>
        <v>0</v>
      </c>
      <c r="BC576" t="b">
        <f t="shared" si="1030"/>
        <v>0</v>
      </c>
      <c r="BD576" t="b">
        <f t="shared" si="1031"/>
        <v>0</v>
      </c>
      <c r="BE576" t="b">
        <f t="shared" si="1032"/>
        <v>0</v>
      </c>
      <c r="BF576" t="b">
        <f t="shared" si="1033"/>
        <v>0</v>
      </c>
      <c r="BG576" t="b">
        <f t="shared" si="1034"/>
        <v>0</v>
      </c>
      <c r="BH576" t="b">
        <f t="shared" si="1035"/>
        <v>0</v>
      </c>
      <c r="BI576">
        <f t="shared" si="1036"/>
        <v>1</v>
      </c>
      <c r="BJ576" t="b">
        <f t="shared" si="1037"/>
        <v>0</v>
      </c>
      <c r="BK576" t="b">
        <f t="shared" si="1038"/>
        <v>0</v>
      </c>
      <c r="BL576" t="b">
        <f t="shared" si="1039"/>
        <v>0</v>
      </c>
      <c r="BM576" t="b">
        <f t="shared" si="1040"/>
        <v>0</v>
      </c>
      <c r="BN576" t="b">
        <f t="shared" si="1041"/>
        <v>0</v>
      </c>
      <c r="BO576" t="b">
        <f t="shared" si="1042"/>
        <v>0</v>
      </c>
      <c r="BP576" t="b">
        <f t="shared" si="1043"/>
        <v>0</v>
      </c>
      <c r="BQ576" t="b">
        <f t="shared" si="1044"/>
        <v>0</v>
      </c>
      <c r="BR576" t="b">
        <f t="shared" si="1045"/>
        <v>0</v>
      </c>
      <c r="BS576" t="b">
        <f t="shared" si="1046"/>
        <v>0</v>
      </c>
      <c r="BT576" t="b">
        <f t="shared" si="1047"/>
        <v>0</v>
      </c>
      <c r="BU576" t="b">
        <f t="shared" si="1048"/>
        <v>0</v>
      </c>
      <c r="BV576" t="b">
        <f t="shared" si="1049"/>
        <v>0</v>
      </c>
      <c r="BW576" t="b">
        <f t="shared" si="1050"/>
        <v>0</v>
      </c>
      <c r="BX576" t="b">
        <f t="shared" si="1051"/>
        <v>0</v>
      </c>
      <c r="BY576" t="b">
        <f t="shared" si="1052"/>
        <v>0</v>
      </c>
      <c r="BZ576" t="b">
        <f t="shared" si="1053"/>
        <v>0</v>
      </c>
      <c r="CA576" t="b">
        <f t="shared" si="1054"/>
        <v>0</v>
      </c>
      <c r="CB576" t="b">
        <f t="shared" si="1055"/>
        <v>0</v>
      </c>
      <c r="CC576" t="b">
        <f t="shared" si="1056"/>
        <v>0</v>
      </c>
      <c r="CD576" t="b">
        <f t="shared" si="1057"/>
        <v>0</v>
      </c>
      <c r="CE576" t="b">
        <f t="shared" si="1058"/>
        <v>0</v>
      </c>
      <c r="CF576" t="b">
        <f t="shared" si="1059"/>
        <v>0</v>
      </c>
      <c r="CG576" t="b">
        <f t="shared" si="1060"/>
        <v>0</v>
      </c>
      <c r="CH576" t="b">
        <f t="shared" si="1061"/>
        <v>0</v>
      </c>
      <c r="CI576" t="b">
        <f t="shared" si="1062"/>
        <v>0</v>
      </c>
      <c r="CJ576" t="b">
        <f t="shared" si="1063"/>
        <v>0</v>
      </c>
      <c r="CK576" t="b">
        <f t="shared" si="1064"/>
        <v>0</v>
      </c>
      <c r="CL576" t="b">
        <f t="shared" si="1065"/>
        <v>0</v>
      </c>
      <c r="CM576" t="b">
        <f t="shared" si="1066"/>
        <v>0</v>
      </c>
      <c r="CN576" t="b">
        <f t="shared" si="1067"/>
        <v>0</v>
      </c>
      <c r="CO576" t="b">
        <f t="shared" si="1068"/>
        <v>0</v>
      </c>
      <c r="CP576" t="b">
        <f t="shared" si="1069"/>
        <v>0</v>
      </c>
      <c r="CQ576" t="b">
        <f t="shared" si="1070"/>
        <v>0</v>
      </c>
      <c r="CR576" t="b">
        <f t="shared" si="1071"/>
        <v>0</v>
      </c>
      <c r="CS576" t="b">
        <f t="shared" si="1072"/>
        <v>0</v>
      </c>
      <c r="CT576" t="b">
        <f t="shared" si="1073"/>
        <v>0</v>
      </c>
      <c r="CU576" t="b">
        <f t="shared" si="1074"/>
        <v>0</v>
      </c>
      <c r="CV576">
        <f t="shared" si="1075"/>
        <v>1</v>
      </c>
      <c r="CW576" t="b">
        <f t="shared" si="1076"/>
        <v>0</v>
      </c>
      <c r="CX576" t="b">
        <f t="shared" si="1077"/>
        <v>0</v>
      </c>
      <c r="CY576" t="b">
        <f t="shared" si="1078"/>
        <v>0</v>
      </c>
      <c r="CZ576" t="b">
        <f t="shared" si="1079"/>
        <v>0</v>
      </c>
      <c r="DA576" t="b">
        <f t="shared" si="1080"/>
        <v>0</v>
      </c>
      <c r="DB576" t="b">
        <f t="shared" si="1081"/>
        <v>0</v>
      </c>
      <c r="DC576" t="b">
        <f t="shared" si="1082"/>
        <v>0</v>
      </c>
      <c r="DD576" t="b">
        <f t="shared" si="1083"/>
        <v>0</v>
      </c>
      <c r="DE576" t="b">
        <f t="shared" si="1084"/>
        <v>0</v>
      </c>
      <c r="DF576" t="b">
        <f t="shared" si="1085"/>
        <v>0</v>
      </c>
      <c r="DG576" t="b">
        <f t="shared" si="1086"/>
        <v>0</v>
      </c>
      <c r="DH576" t="b">
        <f t="shared" si="1087"/>
        <v>0</v>
      </c>
      <c r="DI576" t="b">
        <f t="shared" si="1088"/>
        <v>0</v>
      </c>
      <c r="DJ576" t="b">
        <f t="shared" si="1089"/>
        <v>0</v>
      </c>
      <c r="DK576" t="b">
        <f t="shared" si="1090"/>
        <v>0</v>
      </c>
      <c r="DL576" t="b">
        <f t="shared" si="1091"/>
        <v>0</v>
      </c>
      <c r="DM576" t="b">
        <f t="shared" si="1092"/>
        <v>0</v>
      </c>
      <c r="DN576" t="b">
        <f t="shared" si="1093"/>
        <v>0</v>
      </c>
      <c r="DO576" t="b">
        <f t="shared" si="1094"/>
        <v>0</v>
      </c>
      <c r="DP576" t="b">
        <f t="shared" si="1095"/>
        <v>0</v>
      </c>
      <c r="DQ576" t="b">
        <f t="shared" si="1096"/>
        <v>0</v>
      </c>
      <c r="DR576" t="b">
        <f t="shared" si="1097"/>
        <v>0</v>
      </c>
      <c r="DS576" t="b">
        <f t="shared" si="1098"/>
        <v>0</v>
      </c>
      <c r="DT576" t="b">
        <f t="shared" si="1099"/>
        <v>0</v>
      </c>
      <c r="DU576" t="b">
        <f t="shared" si="1100"/>
        <v>0</v>
      </c>
      <c r="DV576" t="b">
        <f t="shared" si="1101"/>
        <v>0</v>
      </c>
      <c r="DW576" t="b">
        <f t="shared" si="1102"/>
        <v>0</v>
      </c>
      <c r="DX576" t="b">
        <f t="shared" si="1103"/>
        <v>0</v>
      </c>
      <c r="DY576" t="b">
        <f t="shared" si="1104"/>
        <v>0</v>
      </c>
      <c r="DZ576" t="b">
        <f t="shared" si="1105"/>
        <v>0</v>
      </c>
      <c r="EA576" t="b">
        <f t="shared" si="1106"/>
        <v>0</v>
      </c>
      <c r="EB576" t="b">
        <f t="shared" si="1107"/>
        <v>0</v>
      </c>
      <c r="EC576" t="b">
        <f t="shared" si="1108"/>
        <v>0</v>
      </c>
      <c r="ED576" t="b">
        <f t="shared" si="1109"/>
        <v>0</v>
      </c>
      <c r="EE576" t="b">
        <f t="shared" si="1110"/>
        <v>0</v>
      </c>
      <c r="EF576" t="b">
        <f t="shared" si="1111"/>
        <v>0</v>
      </c>
      <c r="EG576" t="b">
        <f t="shared" si="1112"/>
        <v>0</v>
      </c>
      <c r="EH576" t="b">
        <f t="shared" si="1113"/>
        <v>0</v>
      </c>
      <c r="EI576" t="b">
        <f t="shared" si="1114"/>
        <v>0</v>
      </c>
      <c r="EJ576" t="b">
        <f t="shared" si="1115"/>
        <v>0</v>
      </c>
      <c r="EK576" t="b">
        <f t="shared" si="1116"/>
        <v>0</v>
      </c>
    </row>
    <row r="577" spans="1:141">
      <c r="A577" t="s">
        <v>2901</v>
      </c>
      <c r="B577" t="s">
        <v>2902</v>
      </c>
      <c r="C577" t="s">
        <v>2903</v>
      </c>
      <c r="D577" s="1">
        <v>44189</v>
      </c>
      <c r="E577" s="2">
        <v>44367.322615740741</v>
      </c>
      <c r="F577" s="2">
        <v>44381.044374999998</v>
      </c>
      <c r="G577">
        <v>547422</v>
      </c>
      <c r="H577" t="s">
        <v>2904</v>
      </c>
      <c r="I577" s="10" t="s">
        <v>2905</v>
      </c>
      <c r="J577" t="s">
        <v>2906</v>
      </c>
      <c r="K577" s="8" t="b">
        <v>1</v>
      </c>
      <c r="L577" s="10" t="b">
        <v>0</v>
      </c>
      <c r="M577" s="12" t="b">
        <v>0</v>
      </c>
      <c r="N577" t="b">
        <v>0</v>
      </c>
      <c r="O577" t="b">
        <v>0</v>
      </c>
      <c r="P577" t="b">
        <v>0</v>
      </c>
      <c r="Q577">
        <f t="shared" si="993"/>
        <v>5</v>
      </c>
      <c r="R577">
        <f t="shared" si="994"/>
        <v>12</v>
      </c>
      <c r="S577" t="e">
        <f t="shared" ca="1" si="1024"/>
        <v>#NAME?</v>
      </c>
      <c r="T577" t="e">
        <f t="shared" ca="1" si="995"/>
        <v>#NAME?</v>
      </c>
      <c r="U577" s="4">
        <f t="shared" si="996"/>
        <v>178.32261574074073</v>
      </c>
      <c r="V577" s="4">
        <f t="shared" si="997"/>
        <v>5.9440871913580242</v>
      </c>
      <c r="W577" s="4">
        <f t="shared" si="998"/>
        <v>1</v>
      </c>
      <c r="X577" s="4">
        <f t="shared" si="999"/>
        <v>0</v>
      </c>
      <c r="Y577" s="4">
        <f t="shared" si="1000"/>
        <v>0</v>
      </c>
      <c r="Z577" s="4">
        <f t="shared" si="1001"/>
        <v>0</v>
      </c>
      <c r="AA577" s="4">
        <f t="shared" si="1002"/>
        <v>0</v>
      </c>
      <c r="AB577" s="4">
        <f t="shared" si="1003"/>
        <v>0</v>
      </c>
      <c r="AD577" s="4" t="b">
        <f t="shared" si="1004"/>
        <v>0</v>
      </c>
      <c r="AE577" s="4" t="b">
        <f t="shared" si="1005"/>
        <v>0</v>
      </c>
      <c r="AF577" s="4" t="b">
        <f t="shared" si="1006"/>
        <v>0</v>
      </c>
      <c r="AG577" t="b">
        <f t="shared" si="1007"/>
        <v>0</v>
      </c>
      <c r="AH577" t="b">
        <f t="shared" si="1008"/>
        <v>0</v>
      </c>
      <c r="AI577" t="b">
        <f t="shared" si="1009"/>
        <v>0</v>
      </c>
      <c r="AJ577" t="b">
        <f t="shared" si="1010"/>
        <v>0</v>
      </c>
      <c r="AK577" t="b">
        <f t="shared" si="1011"/>
        <v>0</v>
      </c>
      <c r="AL577" t="b">
        <f t="shared" si="1012"/>
        <v>0</v>
      </c>
      <c r="AM577" t="b">
        <f t="shared" si="1013"/>
        <v>0</v>
      </c>
      <c r="AN577" t="b">
        <f t="shared" si="1014"/>
        <v>0</v>
      </c>
      <c r="AO577" t="b">
        <f t="shared" si="1015"/>
        <v>0</v>
      </c>
      <c r="AP577" t="b">
        <f t="shared" si="1016"/>
        <v>0</v>
      </c>
      <c r="AQ577" t="b">
        <f t="shared" si="1017"/>
        <v>0</v>
      </c>
      <c r="AR577" t="b">
        <f t="shared" si="1018"/>
        <v>0</v>
      </c>
      <c r="AS577" t="b">
        <f t="shared" si="1019"/>
        <v>0</v>
      </c>
      <c r="AT577" t="b">
        <f t="shared" si="1020"/>
        <v>0</v>
      </c>
      <c r="AU577" t="b">
        <f t="shared" si="1021"/>
        <v>0</v>
      </c>
      <c r="AV577" t="b">
        <f t="shared" si="1022"/>
        <v>0</v>
      </c>
      <c r="AW577" t="b">
        <f t="shared" si="1023"/>
        <v>0</v>
      </c>
      <c r="AX577" t="b">
        <f t="shared" si="1025"/>
        <v>0</v>
      </c>
      <c r="AY577" t="b">
        <f t="shared" si="1026"/>
        <v>0</v>
      </c>
      <c r="AZ577">
        <f t="shared" si="1027"/>
        <v>1</v>
      </c>
      <c r="BA577" t="b">
        <f t="shared" si="1028"/>
        <v>0</v>
      </c>
      <c r="BB577" t="b">
        <f t="shared" si="1029"/>
        <v>0</v>
      </c>
      <c r="BC577" t="b">
        <f t="shared" si="1030"/>
        <v>0</v>
      </c>
      <c r="BD577" t="b">
        <f t="shared" si="1031"/>
        <v>0</v>
      </c>
      <c r="BE577" t="b">
        <f t="shared" si="1032"/>
        <v>0</v>
      </c>
      <c r="BF577" t="b">
        <f t="shared" si="1033"/>
        <v>0</v>
      </c>
      <c r="BG577" t="b">
        <f t="shared" si="1034"/>
        <v>0</v>
      </c>
      <c r="BH577">
        <f t="shared" si="1035"/>
        <v>1</v>
      </c>
      <c r="BI577">
        <f t="shared" si="1036"/>
        <v>1</v>
      </c>
      <c r="BJ577" t="b">
        <f t="shared" si="1037"/>
        <v>0</v>
      </c>
      <c r="BK577" t="b">
        <f t="shared" si="1038"/>
        <v>0</v>
      </c>
      <c r="BL577" t="b">
        <f t="shared" si="1039"/>
        <v>0</v>
      </c>
      <c r="BM577" t="b">
        <f t="shared" si="1040"/>
        <v>0</v>
      </c>
      <c r="BN577" t="b">
        <f t="shared" si="1041"/>
        <v>0</v>
      </c>
      <c r="BO577" t="b">
        <f t="shared" si="1042"/>
        <v>0</v>
      </c>
      <c r="BP577" t="b">
        <f t="shared" si="1043"/>
        <v>0</v>
      </c>
      <c r="BQ577" t="b">
        <f t="shared" si="1044"/>
        <v>0</v>
      </c>
      <c r="BR577">
        <f t="shared" si="1045"/>
        <v>1</v>
      </c>
      <c r="BS577" t="b">
        <f t="shared" si="1046"/>
        <v>0</v>
      </c>
      <c r="BT577" t="b">
        <f t="shared" si="1047"/>
        <v>0</v>
      </c>
      <c r="BU577" t="b">
        <f t="shared" si="1048"/>
        <v>0</v>
      </c>
      <c r="BV577" t="b">
        <f t="shared" si="1049"/>
        <v>0</v>
      </c>
      <c r="BW577" t="b">
        <f t="shared" si="1050"/>
        <v>0</v>
      </c>
      <c r="BX577" t="b">
        <f t="shared" si="1051"/>
        <v>0</v>
      </c>
      <c r="BY577" t="b">
        <f t="shared" si="1052"/>
        <v>0</v>
      </c>
      <c r="BZ577" t="b">
        <f t="shared" si="1053"/>
        <v>0</v>
      </c>
      <c r="CA577" t="b">
        <f t="shared" si="1054"/>
        <v>0</v>
      </c>
      <c r="CB577" t="b">
        <f t="shared" si="1055"/>
        <v>0</v>
      </c>
      <c r="CC577" t="b">
        <f t="shared" si="1056"/>
        <v>0</v>
      </c>
      <c r="CD577" t="b">
        <f t="shared" si="1057"/>
        <v>0</v>
      </c>
      <c r="CE577" t="b">
        <f t="shared" si="1058"/>
        <v>0</v>
      </c>
      <c r="CF577" t="b">
        <f t="shared" si="1059"/>
        <v>0</v>
      </c>
      <c r="CG577" t="b">
        <f t="shared" si="1060"/>
        <v>0</v>
      </c>
      <c r="CH577" t="b">
        <f t="shared" si="1061"/>
        <v>0</v>
      </c>
      <c r="CI577" t="b">
        <f t="shared" si="1062"/>
        <v>0</v>
      </c>
      <c r="CJ577" t="b">
        <f t="shared" si="1063"/>
        <v>0</v>
      </c>
      <c r="CK577" t="b">
        <f t="shared" si="1064"/>
        <v>0</v>
      </c>
      <c r="CL577" t="b">
        <f t="shared" si="1065"/>
        <v>0</v>
      </c>
      <c r="CM577">
        <f t="shared" si="1066"/>
        <v>1</v>
      </c>
      <c r="CN577" t="b">
        <f t="shared" si="1067"/>
        <v>0</v>
      </c>
      <c r="CO577" t="b">
        <f t="shared" si="1068"/>
        <v>0</v>
      </c>
      <c r="CP577" t="b">
        <f t="shared" si="1069"/>
        <v>0</v>
      </c>
      <c r="CQ577" t="b">
        <f t="shared" si="1070"/>
        <v>0</v>
      </c>
      <c r="CR577" t="b">
        <f t="shared" si="1071"/>
        <v>0</v>
      </c>
      <c r="CS577" t="b">
        <f t="shared" si="1072"/>
        <v>0</v>
      </c>
      <c r="CT577" t="b">
        <f t="shared" si="1073"/>
        <v>0</v>
      </c>
      <c r="CU577" t="b">
        <f t="shared" si="1074"/>
        <v>0</v>
      </c>
      <c r="CV577" t="b">
        <f t="shared" si="1075"/>
        <v>0</v>
      </c>
      <c r="CW577" t="b">
        <f t="shared" si="1076"/>
        <v>0</v>
      </c>
      <c r="CX577" t="b">
        <f t="shared" si="1077"/>
        <v>0</v>
      </c>
      <c r="CY577" t="b">
        <f t="shared" si="1078"/>
        <v>0</v>
      </c>
      <c r="CZ577" t="b">
        <f t="shared" si="1079"/>
        <v>0</v>
      </c>
      <c r="DA577">
        <f t="shared" si="1080"/>
        <v>1</v>
      </c>
      <c r="DB577">
        <f t="shared" si="1081"/>
        <v>1</v>
      </c>
      <c r="DC577" t="b">
        <f t="shared" si="1082"/>
        <v>0</v>
      </c>
      <c r="DD577" t="b">
        <f t="shared" si="1083"/>
        <v>0</v>
      </c>
      <c r="DE577" t="b">
        <f t="shared" si="1084"/>
        <v>0</v>
      </c>
      <c r="DF577" t="b">
        <f t="shared" si="1085"/>
        <v>0</v>
      </c>
      <c r="DG577" t="b">
        <f t="shared" si="1086"/>
        <v>0</v>
      </c>
      <c r="DH577" t="b">
        <f t="shared" si="1087"/>
        <v>0</v>
      </c>
      <c r="DI577" t="b">
        <f t="shared" si="1088"/>
        <v>0</v>
      </c>
      <c r="DJ577" t="b">
        <f t="shared" si="1089"/>
        <v>0</v>
      </c>
      <c r="DK577" t="b">
        <f t="shared" si="1090"/>
        <v>0</v>
      </c>
      <c r="DL577" t="b">
        <f t="shared" si="1091"/>
        <v>0</v>
      </c>
      <c r="DM577" t="b">
        <f t="shared" si="1092"/>
        <v>0</v>
      </c>
      <c r="DN577" t="b">
        <f t="shared" si="1093"/>
        <v>0</v>
      </c>
      <c r="DO577" t="b">
        <f t="shared" si="1094"/>
        <v>0</v>
      </c>
      <c r="DP577" t="b">
        <f t="shared" si="1095"/>
        <v>0</v>
      </c>
      <c r="DQ577" t="b">
        <f t="shared" si="1096"/>
        <v>0</v>
      </c>
      <c r="DR577" t="b">
        <f t="shared" si="1097"/>
        <v>0</v>
      </c>
      <c r="DS577" t="b">
        <f t="shared" si="1098"/>
        <v>0</v>
      </c>
      <c r="DT577" t="b">
        <f t="shared" si="1099"/>
        <v>0</v>
      </c>
      <c r="DU577" t="b">
        <f t="shared" si="1100"/>
        <v>0</v>
      </c>
      <c r="DV577" t="b">
        <f t="shared" si="1101"/>
        <v>0</v>
      </c>
      <c r="DW577" t="b">
        <f t="shared" si="1102"/>
        <v>0</v>
      </c>
      <c r="DX577" t="b">
        <f t="shared" si="1103"/>
        <v>0</v>
      </c>
      <c r="DY577" t="b">
        <f t="shared" si="1104"/>
        <v>0</v>
      </c>
      <c r="DZ577">
        <f t="shared" si="1105"/>
        <v>1</v>
      </c>
      <c r="EA577" t="b">
        <f t="shared" si="1106"/>
        <v>0</v>
      </c>
      <c r="EB577" t="b">
        <f t="shared" si="1107"/>
        <v>0</v>
      </c>
      <c r="EC577" t="b">
        <f t="shared" si="1108"/>
        <v>0</v>
      </c>
      <c r="ED577" t="b">
        <f t="shared" si="1109"/>
        <v>0</v>
      </c>
      <c r="EE577" t="b">
        <f t="shared" si="1110"/>
        <v>0</v>
      </c>
      <c r="EF577" t="b">
        <f t="shared" si="1111"/>
        <v>0</v>
      </c>
      <c r="EG577" t="b">
        <f t="shared" si="1112"/>
        <v>0</v>
      </c>
      <c r="EH577" t="b">
        <f t="shared" si="1113"/>
        <v>0</v>
      </c>
      <c r="EI577" t="b">
        <f t="shared" si="1114"/>
        <v>0</v>
      </c>
      <c r="EJ577" t="b">
        <f t="shared" si="1115"/>
        <v>0</v>
      </c>
      <c r="EK577" t="b">
        <f t="shared" si="1116"/>
        <v>0</v>
      </c>
    </row>
    <row r="578" spans="1:141">
      <c r="A578" t="s">
        <v>2907</v>
      </c>
      <c r="B578" t="s">
        <v>2908</v>
      </c>
      <c r="C578" t="s">
        <v>2909</v>
      </c>
      <c r="D578" s="1">
        <v>42593</v>
      </c>
      <c r="E578" s="2">
        <v>42681.37840277778</v>
      </c>
      <c r="F578" s="2">
        <v>42681.37840277778</v>
      </c>
      <c r="G578">
        <v>530147</v>
      </c>
      <c r="H578" t="s">
        <v>2910</v>
      </c>
      <c r="I578" s="10" t="s">
        <v>2911</v>
      </c>
      <c r="J578" t="s">
        <v>156</v>
      </c>
      <c r="K578" s="8" t="b">
        <v>1</v>
      </c>
      <c r="L578" s="10" t="b">
        <v>0</v>
      </c>
      <c r="M578" s="12" t="b">
        <v>0</v>
      </c>
      <c r="N578" t="b">
        <v>0</v>
      </c>
      <c r="O578" t="b">
        <v>0</v>
      </c>
      <c r="P578" t="b">
        <v>0</v>
      </c>
      <c r="Q578">
        <f t="shared" ref="Q578:Q641" si="1117">WEEKDAY(D578)</f>
        <v>5</v>
      </c>
      <c r="R578">
        <f t="shared" ref="R578:R641" si="1118">MONTH(D578)</f>
        <v>8</v>
      </c>
      <c r="S578" t="e">
        <f t="shared" ca="1" si="1024"/>
        <v>#NAME?</v>
      </c>
      <c r="T578" t="e">
        <f t="shared" ref="T578:T641" ca="1" si="1119">WhoIsName(C578)</f>
        <v>#NAME?</v>
      </c>
      <c r="U578" s="4">
        <f t="shared" ref="U578:U641" si="1120">E578-D578</f>
        <v>88.378402777780138</v>
      </c>
      <c r="V578" s="4">
        <f t="shared" ref="V578:V641" si="1121">U578/30</f>
        <v>2.9459467592593378</v>
      </c>
      <c r="W578" s="4">
        <f t="shared" ref="W578:W641" si="1122">IF(K578=TRUE,1,0)</f>
        <v>1</v>
      </c>
      <c r="X578" s="4">
        <f t="shared" ref="X578:X641" si="1123">IF(L578=TRUE,1,0)</f>
        <v>0</v>
      </c>
      <c r="Y578" s="4">
        <f t="shared" ref="Y578:Y641" si="1124">IF(M578=TRUE,1,0)</f>
        <v>0</v>
      </c>
      <c r="Z578" s="4">
        <f t="shared" ref="Z578:Z641" si="1125">IF(N578=TRUE,1,0)</f>
        <v>0</v>
      </c>
      <c r="AA578" s="4">
        <f t="shared" ref="AA578:AA641" si="1126">IF(O578=TRUE,1,0)</f>
        <v>0</v>
      </c>
      <c r="AB578" s="4">
        <f t="shared" ref="AB578:AB641" si="1127">IF(P578=TRUE,1,0)</f>
        <v>0</v>
      </c>
      <c r="AD578" s="4" t="b">
        <f t="shared" ref="AD578:AD641" si="1128">IFERROR(IF(SEARCH("'Account balances'",J578),1,0),FALSE)</f>
        <v>0</v>
      </c>
      <c r="AE578" s="4" t="b">
        <f t="shared" ref="AE578:AE641" si="1129">IFERROR(IF(SEARCH( "'Address book contacts'", J578),1,0),FALSE)</f>
        <v>0</v>
      </c>
      <c r="AF578" s="4" t="b">
        <f t="shared" ref="AF578:AF641" si="1130">IFERROR(IF(SEARCH( "'Age groups'", J578),1,0),FALSE)</f>
        <v>0</v>
      </c>
      <c r="AG578" t="b">
        <f t="shared" ref="AG578:AG641" si="1131">IFERROR(IF(SEARCH( "'Apps installed on devices'", J578),1,0),FALSE)</f>
        <v>0</v>
      </c>
      <c r="AH578" t="b">
        <f t="shared" ref="AH578:AH641" si="1132">IFERROR(IF(SEARCH( "'Astrological signs'", J578),1,0),FALSE)</f>
        <v>0</v>
      </c>
      <c r="AI578" t="b">
        <f t="shared" ref="AI578:AI641" si="1133">IFERROR(IF(SEARCH( "'Auth tokens'", J578),1,0),FALSE)</f>
        <v>0</v>
      </c>
      <c r="AJ578" t="b">
        <f t="shared" ref="AJ578:AJ641" si="1134">IFERROR(IF(SEARCH( "'Avatars'", J578),1,0),FALSE)</f>
        <v>0</v>
      </c>
      <c r="AK578" t="b">
        <f t="shared" ref="AK578:AK641" si="1135">IFERROR(IF(SEARCH( "'Bank account numbers'", J578),1,0),FALSE)</f>
        <v>0</v>
      </c>
      <c r="AL578" t="b">
        <f t="shared" ref="AL578:AL641" si="1136">IFERROR(IF(SEARCH( "'Beauty ratings'", J578),1,0),FALSE)</f>
        <v>0</v>
      </c>
      <c r="AM578" t="b">
        <f t="shared" ref="AM578:AM641" si="1137">IFERROR(IF(SEARCH( "'Biometric data'", J578),1,0),FALSE)</f>
        <v>0</v>
      </c>
      <c r="AN578" t="b">
        <f t="shared" ref="AN578:AN641" si="1138">IFERROR(IF(SEARCH( "'Bios'", J578),1,0),FALSE)</f>
        <v>0</v>
      </c>
      <c r="AO578" t="b">
        <f t="shared" ref="AO578:AO641" si="1139">IFERROR(IF(SEARCH( "'Browser user agent details' ", J578),1,0),FALSE)</f>
        <v>0</v>
      </c>
      <c r="AP578" t="b">
        <f t="shared" ref="AP578:AP641" si="1140">IFERROR(IF(SEARCH( "'Buying preferences'", J578),1,0),FALSE)</f>
        <v>0</v>
      </c>
      <c r="AQ578" t="b">
        <f t="shared" ref="AQ578:AQ641" si="1141">IFERROR(IF(SEARCH( "'Car ownership statuses'", J578),1,0),FALSE)</f>
        <v>0</v>
      </c>
      <c r="AR578" t="b">
        <f t="shared" ref="AR578:AR641" si="1142">IFERROR(IF(SEARCH( "'Cellular network names'", J578),1,0),FALSE)</f>
        <v>0</v>
      </c>
      <c r="AS578" t="b">
        <f t="shared" ref="AS578:AS641" si="1143">IFERROR(IF(SEARCH( "'Charitable donations'", J578),1,0),FALSE)</f>
        <v>0</v>
      </c>
      <c r="AT578" t="b">
        <f t="shared" ref="AT578:AT641" si="1144">IFERROR(IF(SEARCH( "'Chat logs'", J578),1,0),FALSE)</f>
        <v>0</v>
      </c>
      <c r="AU578" t="b">
        <f t="shared" ref="AU578:AU641" si="1145">IFERROR(IF(SEARCH( "'Credit card CVV'", J578),1,0),FALSE)</f>
        <v>0</v>
      </c>
      <c r="AV578" t="b">
        <f t="shared" ref="AV578:AV641" si="1146">IFERROR(IF(SEARCH( "'Credit cards'", J578),1,0),FALSE)</f>
        <v>0</v>
      </c>
      <c r="AW578" t="b">
        <f t="shared" ref="AW578:AW641" si="1147">IFERROR(IF(SEARCH( "'Credit status information'", J578),1,0),FALSE)</f>
        <v>0</v>
      </c>
      <c r="AX578" t="b">
        <f t="shared" si="1025"/>
        <v>0</v>
      </c>
      <c r="AY578" t="b">
        <f t="shared" si="1026"/>
        <v>0</v>
      </c>
      <c r="AZ578" t="b">
        <f t="shared" si="1027"/>
        <v>0</v>
      </c>
      <c r="BA578" t="b">
        <f t="shared" si="1028"/>
        <v>0</v>
      </c>
      <c r="BB578" t="b">
        <f t="shared" si="1029"/>
        <v>0</v>
      </c>
      <c r="BC578" t="b">
        <f t="shared" si="1030"/>
        <v>0</v>
      </c>
      <c r="BD578" t="b">
        <f t="shared" si="1031"/>
        <v>0</v>
      </c>
      <c r="BE578" t="b">
        <f t="shared" si="1032"/>
        <v>0</v>
      </c>
      <c r="BF578" t="b">
        <f t="shared" si="1033"/>
        <v>0</v>
      </c>
      <c r="BG578" t="b">
        <f t="shared" si="1034"/>
        <v>0</v>
      </c>
      <c r="BH578" t="b">
        <f t="shared" si="1035"/>
        <v>0</v>
      </c>
      <c r="BI578">
        <f t="shared" si="1036"/>
        <v>1</v>
      </c>
      <c r="BJ578" t="b">
        <f t="shared" si="1037"/>
        <v>0</v>
      </c>
      <c r="BK578" t="b">
        <f t="shared" si="1038"/>
        <v>0</v>
      </c>
      <c r="BL578" t="b">
        <f t="shared" si="1039"/>
        <v>0</v>
      </c>
      <c r="BM578" t="b">
        <f t="shared" si="1040"/>
        <v>0</v>
      </c>
      <c r="BN578" t="b">
        <f t="shared" si="1041"/>
        <v>0</v>
      </c>
      <c r="BO578" t="b">
        <f t="shared" si="1042"/>
        <v>0</v>
      </c>
      <c r="BP578" t="b">
        <f t="shared" si="1043"/>
        <v>0</v>
      </c>
      <c r="BQ578" t="b">
        <f t="shared" si="1044"/>
        <v>0</v>
      </c>
      <c r="BR578" t="b">
        <f t="shared" si="1045"/>
        <v>0</v>
      </c>
      <c r="BS578" t="b">
        <f t="shared" si="1046"/>
        <v>0</v>
      </c>
      <c r="BT578" t="b">
        <f t="shared" si="1047"/>
        <v>0</v>
      </c>
      <c r="BU578" t="b">
        <f t="shared" si="1048"/>
        <v>0</v>
      </c>
      <c r="BV578" t="b">
        <f t="shared" si="1049"/>
        <v>0</v>
      </c>
      <c r="BW578" t="b">
        <f t="shared" si="1050"/>
        <v>0</v>
      </c>
      <c r="BX578" t="b">
        <f t="shared" si="1051"/>
        <v>0</v>
      </c>
      <c r="BY578" t="b">
        <f t="shared" si="1052"/>
        <v>0</v>
      </c>
      <c r="BZ578" t="b">
        <f t="shared" si="1053"/>
        <v>0</v>
      </c>
      <c r="CA578" t="b">
        <f t="shared" si="1054"/>
        <v>0</v>
      </c>
      <c r="CB578" t="b">
        <f t="shared" si="1055"/>
        <v>0</v>
      </c>
      <c r="CC578" t="b">
        <f t="shared" si="1056"/>
        <v>0</v>
      </c>
      <c r="CD578" t="b">
        <f t="shared" si="1057"/>
        <v>0</v>
      </c>
      <c r="CE578" t="b">
        <f t="shared" si="1058"/>
        <v>0</v>
      </c>
      <c r="CF578" t="b">
        <f t="shared" si="1059"/>
        <v>0</v>
      </c>
      <c r="CG578" t="b">
        <f t="shared" si="1060"/>
        <v>0</v>
      </c>
      <c r="CH578" t="b">
        <f t="shared" si="1061"/>
        <v>0</v>
      </c>
      <c r="CI578" t="b">
        <f t="shared" si="1062"/>
        <v>0</v>
      </c>
      <c r="CJ578" t="b">
        <f t="shared" si="1063"/>
        <v>0</v>
      </c>
      <c r="CK578" t="b">
        <f t="shared" si="1064"/>
        <v>0</v>
      </c>
      <c r="CL578" t="b">
        <f t="shared" si="1065"/>
        <v>0</v>
      </c>
      <c r="CM578" t="b">
        <f t="shared" si="1066"/>
        <v>0</v>
      </c>
      <c r="CN578" t="b">
        <f t="shared" si="1067"/>
        <v>0</v>
      </c>
      <c r="CO578" t="b">
        <f t="shared" si="1068"/>
        <v>0</v>
      </c>
      <c r="CP578" t="b">
        <f t="shared" si="1069"/>
        <v>0</v>
      </c>
      <c r="CQ578" t="b">
        <f t="shared" si="1070"/>
        <v>0</v>
      </c>
      <c r="CR578" t="b">
        <f t="shared" si="1071"/>
        <v>0</v>
      </c>
      <c r="CS578" t="b">
        <f t="shared" si="1072"/>
        <v>0</v>
      </c>
      <c r="CT578" t="b">
        <f t="shared" si="1073"/>
        <v>0</v>
      </c>
      <c r="CU578" t="b">
        <f t="shared" si="1074"/>
        <v>0</v>
      </c>
      <c r="CV578">
        <f t="shared" si="1075"/>
        <v>1</v>
      </c>
      <c r="CW578" t="b">
        <f t="shared" si="1076"/>
        <v>0</v>
      </c>
      <c r="CX578" t="b">
        <f t="shared" si="1077"/>
        <v>0</v>
      </c>
      <c r="CY578" t="b">
        <f t="shared" si="1078"/>
        <v>0</v>
      </c>
      <c r="CZ578" t="b">
        <f t="shared" si="1079"/>
        <v>0</v>
      </c>
      <c r="DA578" t="b">
        <f t="shared" si="1080"/>
        <v>0</v>
      </c>
      <c r="DB578" t="b">
        <f t="shared" si="1081"/>
        <v>0</v>
      </c>
      <c r="DC578" t="b">
        <f t="shared" si="1082"/>
        <v>0</v>
      </c>
      <c r="DD578" t="b">
        <f t="shared" si="1083"/>
        <v>0</v>
      </c>
      <c r="DE578" t="b">
        <f t="shared" si="1084"/>
        <v>0</v>
      </c>
      <c r="DF578" t="b">
        <f t="shared" si="1085"/>
        <v>0</v>
      </c>
      <c r="DG578" t="b">
        <f t="shared" si="1086"/>
        <v>0</v>
      </c>
      <c r="DH578" t="b">
        <f t="shared" si="1087"/>
        <v>0</v>
      </c>
      <c r="DI578" t="b">
        <f t="shared" si="1088"/>
        <v>0</v>
      </c>
      <c r="DJ578" t="b">
        <f t="shared" si="1089"/>
        <v>0</v>
      </c>
      <c r="DK578" t="b">
        <f t="shared" si="1090"/>
        <v>0</v>
      </c>
      <c r="DL578" t="b">
        <f t="shared" si="1091"/>
        <v>0</v>
      </c>
      <c r="DM578" t="b">
        <f t="shared" si="1092"/>
        <v>0</v>
      </c>
      <c r="DN578" t="b">
        <f t="shared" si="1093"/>
        <v>0</v>
      </c>
      <c r="DO578" t="b">
        <f t="shared" si="1094"/>
        <v>0</v>
      </c>
      <c r="DP578" t="b">
        <f t="shared" si="1095"/>
        <v>0</v>
      </c>
      <c r="DQ578" t="b">
        <f t="shared" si="1096"/>
        <v>0</v>
      </c>
      <c r="DR578" t="b">
        <f t="shared" si="1097"/>
        <v>0</v>
      </c>
      <c r="DS578" t="b">
        <f t="shared" si="1098"/>
        <v>0</v>
      </c>
      <c r="DT578" t="b">
        <f t="shared" si="1099"/>
        <v>0</v>
      </c>
      <c r="DU578" t="b">
        <f t="shared" si="1100"/>
        <v>0</v>
      </c>
      <c r="DV578" t="b">
        <f t="shared" si="1101"/>
        <v>0</v>
      </c>
      <c r="DW578" t="b">
        <f t="shared" si="1102"/>
        <v>0</v>
      </c>
      <c r="DX578" t="b">
        <f t="shared" si="1103"/>
        <v>0</v>
      </c>
      <c r="DY578" t="b">
        <f t="shared" si="1104"/>
        <v>0</v>
      </c>
      <c r="DZ578" t="b">
        <f t="shared" si="1105"/>
        <v>0</v>
      </c>
      <c r="EA578" t="b">
        <f t="shared" si="1106"/>
        <v>0</v>
      </c>
      <c r="EB578" t="b">
        <f t="shared" si="1107"/>
        <v>0</v>
      </c>
      <c r="EC578" t="b">
        <f t="shared" si="1108"/>
        <v>0</v>
      </c>
      <c r="ED578" t="b">
        <f t="shared" si="1109"/>
        <v>0</v>
      </c>
      <c r="EE578" t="b">
        <f t="shared" si="1110"/>
        <v>0</v>
      </c>
      <c r="EF578">
        <f t="shared" si="1111"/>
        <v>1</v>
      </c>
      <c r="EG578" t="b">
        <f t="shared" si="1112"/>
        <v>0</v>
      </c>
      <c r="EH578" t="b">
        <f t="shared" si="1113"/>
        <v>0</v>
      </c>
      <c r="EI578" t="b">
        <f t="shared" si="1114"/>
        <v>0</v>
      </c>
      <c r="EJ578" t="b">
        <f t="shared" si="1115"/>
        <v>0</v>
      </c>
      <c r="EK578" t="b">
        <f t="shared" si="1116"/>
        <v>0</v>
      </c>
    </row>
    <row r="579" spans="1:141">
      <c r="A579" t="s">
        <v>2912</v>
      </c>
      <c r="B579" t="s">
        <v>2913</v>
      </c>
      <c r="C579" t="s">
        <v>2914</v>
      </c>
      <c r="D579" s="1">
        <v>44222</v>
      </c>
      <c r="E579" s="2">
        <v>44279.07471064815</v>
      </c>
      <c r="F579" s="2">
        <v>44298.957349537035</v>
      </c>
      <c r="G579">
        <v>11498146</v>
      </c>
      <c r="H579" t="s">
        <v>2915</v>
      </c>
      <c r="I579" s="10" t="s">
        <v>160</v>
      </c>
      <c r="J579" t="s">
        <v>2916</v>
      </c>
      <c r="K579" s="8" t="b">
        <v>0</v>
      </c>
      <c r="L579" s="10" t="b">
        <v>0</v>
      </c>
      <c r="M579" s="12" t="b">
        <v>0</v>
      </c>
      <c r="N579" t="b">
        <v>0</v>
      </c>
      <c r="O579" t="b">
        <v>0</v>
      </c>
      <c r="P579" t="b">
        <v>0</v>
      </c>
      <c r="Q579">
        <f t="shared" si="1117"/>
        <v>3</v>
      </c>
      <c r="R579">
        <f t="shared" si="1118"/>
        <v>1</v>
      </c>
      <c r="S579" t="e">
        <f t="shared" ref="S579:S642" ca="1" si="1148">WhoIsorganization(C579)</f>
        <v>#NAME?</v>
      </c>
      <c r="T579" t="e">
        <f t="shared" ca="1" si="1119"/>
        <v>#NAME?</v>
      </c>
      <c r="U579" s="4">
        <f t="shared" si="1120"/>
        <v>57.074710648150358</v>
      </c>
      <c r="V579" s="4">
        <f t="shared" si="1121"/>
        <v>1.9024903549383452</v>
      </c>
      <c r="W579" s="4">
        <f t="shared" si="1122"/>
        <v>0</v>
      </c>
      <c r="X579" s="4">
        <f t="shared" si="1123"/>
        <v>0</v>
      </c>
      <c r="Y579" s="4">
        <f t="shared" si="1124"/>
        <v>0</v>
      </c>
      <c r="Z579" s="4">
        <f t="shared" si="1125"/>
        <v>0</v>
      </c>
      <c r="AA579" s="4">
        <f t="shared" si="1126"/>
        <v>0</v>
      </c>
      <c r="AB579" s="4">
        <f t="shared" si="1127"/>
        <v>0</v>
      </c>
      <c r="AD579" s="4" t="b">
        <f t="shared" si="1128"/>
        <v>0</v>
      </c>
      <c r="AE579" s="4" t="b">
        <f t="shared" si="1129"/>
        <v>0</v>
      </c>
      <c r="AF579" s="4" t="b">
        <f t="shared" si="1130"/>
        <v>0</v>
      </c>
      <c r="AG579" t="b">
        <f t="shared" si="1131"/>
        <v>0</v>
      </c>
      <c r="AH579" t="b">
        <f t="shared" si="1132"/>
        <v>0</v>
      </c>
      <c r="AI579" t="b">
        <f t="shared" si="1133"/>
        <v>0</v>
      </c>
      <c r="AJ579" t="b">
        <f t="shared" si="1134"/>
        <v>0</v>
      </c>
      <c r="AK579">
        <f t="shared" si="1135"/>
        <v>1</v>
      </c>
      <c r="AL579" t="b">
        <f t="shared" si="1136"/>
        <v>0</v>
      </c>
      <c r="AM579" t="b">
        <f t="shared" si="1137"/>
        <v>0</v>
      </c>
      <c r="AN579" t="b">
        <f t="shared" si="1138"/>
        <v>0</v>
      </c>
      <c r="AO579" t="b">
        <f t="shared" si="1139"/>
        <v>0</v>
      </c>
      <c r="AP579" t="b">
        <f t="shared" si="1140"/>
        <v>0</v>
      </c>
      <c r="AQ579" t="b">
        <f t="shared" si="1141"/>
        <v>0</v>
      </c>
      <c r="AR579" t="b">
        <f t="shared" si="1142"/>
        <v>0</v>
      </c>
      <c r="AS579" t="b">
        <f t="shared" si="1143"/>
        <v>0</v>
      </c>
      <c r="AT579" t="b">
        <f t="shared" si="1144"/>
        <v>0</v>
      </c>
      <c r="AU579" t="b">
        <f t="shared" si="1145"/>
        <v>0</v>
      </c>
      <c r="AV579" t="b">
        <f t="shared" si="1146"/>
        <v>0</v>
      </c>
      <c r="AW579">
        <f t="shared" si="1147"/>
        <v>1</v>
      </c>
      <c r="AX579" t="b">
        <f t="shared" ref="AX579:AX642" si="1149">IFERROR(IF(SEARCH( "'Customer feedback'", J579),1,0),FALSE)</f>
        <v>0</v>
      </c>
      <c r="AY579" t="b">
        <f t="shared" ref="AY579:AY642" si="1150">IFERROR(IF(SEARCH( "'Customer interactions'  ", J579),1,0),FALSE)</f>
        <v>0</v>
      </c>
      <c r="AZ579">
        <f t="shared" ref="AZ579:AZ642" si="1151">IFERROR(IF(SEARCH( "'Dates of birth'", J579),1,0),FALSE)</f>
        <v>1</v>
      </c>
      <c r="BA579" t="b">
        <f t="shared" ref="BA579:BA642" si="1152">IFERROR(IF(SEARCH( "'Deceased statuses'", J579),1,0),FALSE)</f>
        <v>0</v>
      </c>
      <c r="BB579" t="b">
        <f t="shared" ref="BB579:BB642" si="1153">IFERROR(IF(SEARCH( "'Device information'", J579),1,0),FALSE)</f>
        <v>0</v>
      </c>
      <c r="BC579" t="b">
        <f t="shared" ref="BC579:BC642" si="1154">IFERROR(IF(SEARCH( "'Device serial numbers'", J579),1,0),FALSE)</f>
        <v>0</v>
      </c>
      <c r="BD579" t="b">
        <f t="shared" ref="BD579:BD642" si="1155">IFERROR(IF(SEARCH( "'Device usage tracking data'", J579),1,0),FALSE)</f>
        <v>0</v>
      </c>
      <c r="BE579" t="b">
        <f t="shared" ref="BE579:BE642" si="1156">IFERROR(IF(SEARCH( "'Drinking habits'", J579),1,0),FALSE)</f>
        <v>0</v>
      </c>
      <c r="BF579" t="b">
        <f t="shared" ref="BF579:BF642" si="1157">IFERROR(IF(SEARCH( "'Drinking habits' ", J579),1,0),FALSE)</f>
        <v>0</v>
      </c>
      <c r="BG579" t="b">
        <f t="shared" ref="BG579:BG642" si="1158">IFERROR(IF(SEARCH( "'Drug habits'", J579),1,0),FALSE)</f>
        <v>0</v>
      </c>
      <c r="BH579" t="b">
        <f t="shared" ref="BH579:BH642" si="1159">IFERROR(IF(SEARCH( "'Education levels'", J579),1,0),FALSE)</f>
        <v>0</v>
      </c>
      <c r="BI579">
        <f t="shared" ref="BI579:BI642" si="1160">IFERROR(IF(SEARCH( "'Email addresses'", J579),1,0),FALSE)</f>
        <v>1</v>
      </c>
      <c r="BJ579">
        <f t="shared" ref="BJ579:BJ642" si="1161">IFERROR(IF(SEARCH( "'Employers'", J579),1,0),FALSE)</f>
        <v>1</v>
      </c>
      <c r="BK579" t="b">
        <f t="shared" ref="BK579:BK642" si="1162">IFERROR(IF(SEARCH( "'Ethnicities' ", J579),1,0),FALSE)</f>
        <v>0</v>
      </c>
      <c r="BL579" t="b">
        <f t="shared" ref="BL579:BL642" si="1163">IFERROR(IF(SEARCH( "'Family members' names'", J579),1,0),FALSE)</f>
        <v>0</v>
      </c>
      <c r="BM579" t="b">
        <f t="shared" ref="BM579:BM642" si="1164">IFERROR(IF(SEARCH( "'Family structure", J579),1,0),FALSE)</f>
        <v>0</v>
      </c>
      <c r="BN579" t="b">
        <f t="shared" ref="BN579:BN642" si="1165">IFERROR(IF(SEARCH( "'Financial investments'", J579),1,0),FALSE)</f>
        <v>0</v>
      </c>
      <c r="BO579" t="b">
        <f t="shared" ref="BO579:BO642" si="1166">IFERROR(IF(SEARCH( "'Financial transactions'", J579),1,0),FALSE)</f>
        <v>0</v>
      </c>
      <c r="BP579" t="b">
        <f t="shared" ref="BP579:BP642" si="1167">IFERROR(IF(SEARCH( "'Fitness levels'", J579),1,0),FALSE)</f>
        <v>0</v>
      </c>
      <c r="BQ579" t="b">
        <f t="shared" ref="BQ579:BQ642" si="1168">IFERROR(IF(SEARCH( "'Flights taken'", J579),1,0),FALSE)</f>
        <v>0</v>
      </c>
      <c r="BR579" t="b">
        <f t="shared" ref="BR579:BR642" si="1169">IFERROR(IF(SEARCH( "'Genders'", J579),1,0),FALSE)</f>
        <v>0</v>
      </c>
      <c r="BS579" t="b">
        <f t="shared" ref="BS579:BS642" si="1170">IFERROR(IF(SEARCH( "'Geographic locations'", J579),1,0),FALSE)</f>
        <v>0</v>
      </c>
      <c r="BT579" t="b">
        <f t="shared" ref="BT579:BT642" si="1171">IFERROR(IF(SEARCH( "'Government issued IDs'", J579),1,0),FALSE)</f>
        <v>0</v>
      </c>
      <c r="BU579" t="b">
        <f t="shared" ref="BU579:BU642" si="1172">IFERROR(IF(SEARCH( "'Health insurance information' ", J579),1,0),FALSE)</f>
        <v>0</v>
      </c>
      <c r="BV579" t="b">
        <f t="shared" ref="BV579:BV642" si="1173">IFERROR(IF(SEARCH( "'Historical passwords'", J579),1,0),FALSE)</f>
        <v>0</v>
      </c>
      <c r="BW579" t="b">
        <f t="shared" ref="BW579:BW642" si="1174">IFERROR(IF(SEARCH( "'HIV statuses'", J579),1,0),FALSE)</f>
        <v>0</v>
      </c>
      <c r="BX579" t="b">
        <f t="shared" ref="BX579:BX642" si="1175">IFERROR(IF(SEARCH( "'Home loan information'", J579),1,0),FALSE)</f>
        <v>0</v>
      </c>
      <c r="BY579" t="b">
        <f t="shared" ref="BY579:BY642" si="1176">IFERROR(IF(SEARCH( "'Home ownership statuses", J579),1,0),FALSE)</f>
        <v>0</v>
      </c>
      <c r="BZ579" t="b">
        <f t="shared" ref="BZ579:BZ642" si="1177">IFERROR(IF(SEARCH( "'Homepage URLs'", J579),1,0),FALSE)</f>
        <v>0</v>
      </c>
      <c r="CA579" t="b">
        <f t="shared" ref="CA579:CA642" si="1178">IFERROR(IF(SEARCH( "'IMEI numbers'", J579),1,0),FALSE)</f>
        <v>0</v>
      </c>
      <c r="CB579" t="b">
        <f t="shared" ref="CB579:CB642" si="1179">IFERROR(IF(SEARCH( "'IMSI numbers' ", J579),1,0),FALSE)</f>
        <v>0</v>
      </c>
      <c r="CC579">
        <f t="shared" ref="CC579:CC642" si="1180">IFERROR(IF(SEARCH( "'Income levels'", J579),1,0),FALSE)</f>
        <v>1</v>
      </c>
      <c r="CD579" t="b">
        <f t="shared" ref="CD579:CD642" si="1181">IFERROR(IF(SEARCH( "'Instant messenger identities'", J579),1,0),FALSE)</f>
        <v>0</v>
      </c>
      <c r="CE579">
        <f t="shared" ref="CE579:CE642" si="1182">IFERROR(IF(SEARCH( "'IP addresses'", J579),1,0),FALSE)</f>
        <v>1</v>
      </c>
      <c r="CF579" t="b">
        <f t="shared" ref="CF579:CF642" si="1183">IFERROR(IF(SEARCH( "'Job applications' ", J579),1,0),FALSE)</f>
        <v>0</v>
      </c>
      <c r="CG579" t="b">
        <f t="shared" ref="CG579:CG642" si="1184">IFERROR(IF(SEARCH( "'Job titles' ", J579),1,0),FALSE)</f>
        <v>0</v>
      </c>
      <c r="CH579" t="b">
        <f t="shared" ref="CH579:CH642" si="1185">IFERROR(IF(SEARCH( "'Licence plates'", J579),1,0),FALSE)</f>
        <v>0</v>
      </c>
      <c r="CI579" t="b">
        <f t="shared" ref="CI579:CI642" si="1186">IFERROR(IF(SEARCH( "'Login histories'", J579),1,0),FALSE)</f>
        <v>0</v>
      </c>
      <c r="CJ579" t="b">
        <f t="shared" ref="CJ579:CJ642" si="1187">IFERROR(IF(SEARCH( "'MAC addresses'", J579),1,0),FALSE)</f>
        <v>0</v>
      </c>
      <c r="CK579" t="b">
        <f t="shared" ref="CK579:CK642" si="1188">IFERROR(IF(SEARCH( "'Marital statuses'", J579),1,0),FALSE)</f>
        <v>0</v>
      </c>
      <c r="CL579" t="b">
        <f t="shared" ref="CL579:CL642" si="1189">IFERROR(IF(SEARCH( "'Mnemonic phrases'", J579),1,0),FALSE)</f>
        <v>0</v>
      </c>
      <c r="CM579">
        <f t="shared" ref="CM579:CM642" si="1190">IFERROR(IF(SEARCH( "'Names'", J579),1,0),FALSE)</f>
        <v>1</v>
      </c>
      <c r="CN579" t="b">
        <f t="shared" ref="CN579:CN642" si="1191">IFERROR(IF(SEARCH( "'Nationalities'", J579),1,0),FALSE)</f>
        <v>0</v>
      </c>
      <c r="CO579" t="b">
        <f t="shared" ref="CO579:CO642" si="1192">IFERROR(IF(SEARCH( "'Net worths'", J579),1,0),FALSE)</f>
        <v>0</v>
      </c>
      <c r="CP579" t="b">
        <f t="shared" ref="CP579:CP642" si="1193">IFERROR(IF(SEARCH( "'Nicknames' ", J579),1,0),FALSE)</f>
        <v>0</v>
      </c>
      <c r="CQ579" t="b">
        <f t="shared" ref="CQ579:CQ642" si="1194">IFERROR(IF(SEARCH( "'Occupations'", J579),1,0),FALSE)</f>
        <v>0</v>
      </c>
      <c r="CR579" t="b">
        <f t="shared" ref="CR579:CR642" si="1195">IFERROR(IF(SEARCH( "'Parenting plans", J579),1,0),FALSE)</f>
        <v>0</v>
      </c>
      <c r="CS579" t="b">
        <f t="shared" ref="CS579:CS642" si="1196">IFERROR(IF(SEARCH( "'Partial credit card data' ", J579),1,0),FALSE)</f>
        <v>0</v>
      </c>
      <c r="CT579" t="b">
        <f t="shared" ref="CT579:CT642" si="1197">IFERROR(IF(SEARCH( "'Partial phone numbers'", J579),1,0),FALSE)</f>
        <v>0</v>
      </c>
      <c r="CU579" t="b">
        <f t="shared" ref="CU579:CU642" si="1198">IFERROR(IF(SEARCH( "'Passport numbers'", J579),1,0),FALSE)</f>
        <v>0</v>
      </c>
      <c r="CV579" t="b">
        <f t="shared" ref="CV579:CV642" si="1199">IFERROR(IF(SEARCH( "'Passwords'", J579),1,0),FALSE)</f>
        <v>0</v>
      </c>
      <c r="CW579" t="b">
        <f t="shared" ref="CW579:CW642" si="1200">IFERROR(IF(SEARCH( "'Payment histories'", J579),1,0),FALSE)</f>
        <v>0</v>
      </c>
      <c r="CX579" t="b">
        <f t="shared" ref="CX579:CX642" si="1201">IFERROR(IF(SEARCH( "'Payment methods'", J579),1,0),FALSE)</f>
        <v>0</v>
      </c>
      <c r="CY579" t="b">
        <f t="shared" ref="CY579:CY642" si="1202">IFERROR(IF(SEARCH( "'Personal descriptions'", J579),1,0),FALSE)</f>
        <v>0</v>
      </c>
      <c r="CZ579">
        <f t="shared" ref="CZ579:CZ642" si="1203">IFERROR(IF(SEARCH( "'Personal health data'", J579),1,0),FALSE)</f>
        <v>1</v>
      </c>
      <c r="DA579">
        <f t="shared" ref="DA579:DA642" si="1204">IFERROR(IF(SEARCH( "'Phone numbers'", J579),1,0),FALSE)</f>
        <v>1</v>
      </c>
      <c r="DB579">
        <f t="shared" ref="DB579:DB642" si="1205">IFERROR(IF(SEARCH( "'Physical addresses'", J579),1,0),FALSE)</f>
        <v>1</v>
      </c>
      <c r="DC579" t="b">
        <f t="shared" ref="DC579:DC642" si="1206">IFERROR(IF(SEARCH( "'Physical attributes'", J579),1,0),FALSE)</f>
        <v>0</v>
      </c>
      <c r="DD579" t="b">
        <f t="shared" ref="DD579:DD642" si="1207">IFERROR(IF(SEARCH( "'PINs'", J579),1,0),FALSE)</f>
        <v>0</v>
      </c>
      <c r="DE579" t="b">
        <f t="shared" ref="DE579:DE642" si="1208">IFERROR(IF(SEARCH( "'Political donations'", J579),1,0),FALSE)</f>
        <v>0</v>
      </c>
      <c r="DF579" t="b">
        <f t="shared" ref="DF579:DF642" si="1209">IFERROR(IF(SEARCH( "'Political views'", J579),1,0),FALSE)</f>
        <v>0</v>
      </c>
      <c r="DG579" t="b">
        <f t="shared" ref="DG579:DG642" si="1210">IFERROR(IF(SEARCH( "'Private messages'", J579),1,0),FALSE)</f>
        <v>0</v>
      </c>
      <c r="DH579" t="b">
        <f t="shared" ref="DH579:DH642" si="1211">IFERROR(IF(SEARCH( "'Professional skills'", J579),1,0),FALSE)</f>
        <v>0</v>
      </c>
      <c r="DI579" t="b">
        <f t="shared" ref="DI579:DI642" si="1212">IFERROR(IF(SEARCH( "'Profile photos'", J579),1,0),FALSE)</f>
        <v>0</v>
      </c>
      <c r="DJ579" t="b">
        <f t="shared" ref="DJ579:DJ642" si="1213">IFERROR(IF(SEARCH( "'Purchases'", J579),1,0),FALSE)</f>
        <v>0</v>
      </c>
      <c r="DK579" t="b">
        <f t="shared" ref="DK579:DK642" si="1214">IFERROR(IF(SEARCH( "'Purchasing habits'", J579),1,0),FALSE)</f>
        <v>0</v>
      </c>
      <c r="DL579" t="b">
        <f t="shared" ref="DL579:DL642" si="1215">IFERROR(IF(SEARCH( "'Races'", J579),1,0),FALSE)</f>
        <v>0</v>
      </c>
      <c r="DM579" t="b">
        <f t="shared" ref="DM579:DM642" si="1216">IFERROR(IF(SEARCH( "'Recovery email addresses'", J579),1,0),FALSE)</f>
        <v>0</v>
      </c>
      <c r="DN579" t="b">
        <f t="shared" ref="DN579:DN642" si="1217">IFERROR(IF(SEARCH( "'Relationship statuses'", J579),1,0),FALSE)</f>
        <v>0</v>
      </c>
      <c r="DO579" t="b">
        <f t="shared" ref="DO579:DO642" si="1218">IFERROR(IF(SEARCH( "'Religions' ", J579),1,0),FALSE)</f>
        <v>0</v>
      </c>
      <c r="DP579" t="b">
        <f t="shared" ref="DP579:DP642" si="1219">IFERROR(IF(SEARCH( "'Reward program balances'", J579),1,0),FALSE)</f>
        <v>0</v>
      </c>
      <c r="DQ579" t="b">
        <f t="shared" ref="DQ579:DQ642" si="1220">IFERROR(IF(SEARCH( "'Salutations'", J579),1,0),FALSE)</f>
        <v>0</v>
      </c>
      <c r="DR579" t="b">
        <f t="shared" ref="DR579:DR642" si="1221">IFERROR(IF(SEARCH( "'School grades (class levels)", J579),1,0),FALSE)</f>
        <v>0</v>
      </c>
      <c r="DS579" t="b">
        <f t="shared" ref="DS579:DS642" si="1222">IFERROR(IF(SEARCH( "'Security questions and answers'", J579),1,0),FALSE)</f>
        <v>0</v>
      </c>
      <c r="DT579" t="b">
        <f t="shared" ref="DT579:DT642" si="1223">IFERROR(IF(SEARCH( "'Sexual fetishes'", J579),1,0),FALSE)</f>
        <v>0</v>
      </c>
      <c r="DU579" t="b">
        <f t="shared" ref="DU579:DU642" si="1224">IFERROR(IF(SEARCH( "'Sexual orientations'", J579),1,0),FALSE)</f>
        <v>0</v>
      </c>
      <c r="DV579">
        <f t="shared" ref="DV579:DV642" si="1225">IFERROR(IF(SEARCH( "'Smoking habits'", J579),1,0),FALSE)</f>
        <v>1</v>
      </c>
      <c r="DW579" t="b">
        <f t="shared" ref="DW579:DW642" si="1226">IFERROR(IF(SEARCH( "'SMS messages'", J579),1,0),FALSE)</f>
        <v>0</v>
      </c>
      <c r="DX579" t="b">
        <f t="shared" ref="DX579:DX642" si="1227">IFERROR(IF(SEARCH( "'Social connections'", J579),1,0),FALSE)</f>
        <v>0</v>
      </c>
      <c r="DY579" t="b">
        <f t="shared" ref="DY579:DY642" si="1228">IFERROR(IF(SEARCH( "'Social media profiles'", J579),1,0),FALSE)</f>
        <v>0</v>
      </c>
      <c r="DZ579">
        <f t="shared" ref="DZ579:DZ642" si="1229">IFERROR(IF(SEARCH( "'Social security numbers'", J579),1,0),FALSE)</f>
        <v>1</v>
      </c>
      <c r="EA579" t="b">
        <f t="shared" ref="EA579:EA642" si="1230">IFERROR(IF(SEARCH( "'Spoken languages'", J579),1,0),FALSE)</f>
        <v>0</v>
      </c>
      <c r="EB579" t="b">
        <f t="shared" ref="EB579:EB642" si="1231">IFERROR(IF(SEARCH( "'Survey results'", J579),1,0),FALSE)</f>
        <v>0</v>
      </c>
      <c r="EC579" t="b">
        <f t="shared" ref="EC579:EC642" si="1232">IFERROR(IF(SEARCH( "'Time zones'", J579),1,0),FALSE)</f>
        <v>0</v>
      </c>
      <c r="ED579" t="b">
        <f t="shared" ref="ED579:ED642" si="1233">IFERROR(IF(SEARCH( "'Travel habits' ", J579),1,0),FALSE)</f>
        <v>0</v>
      </c>
      <c r="EE579" t="b">
        <f t="shared" ref="EE579:EE642" si="1234">IFERROR(IF(SEARCH( "'User website URLs'", J579),1,0),FALSE)</f>
        <v>0</v>
      </c>
      <c r="EF579" t="b">
        <f t="shared" ref="EF579:EF642" si="1235">IFERROR(IF(SEARCH( "'Usernames'", J579),1,0),FALSE)</f>
        <v>0</v>
      </c>
      <c r="EG579" t="b">
        <f t="shared" ref="EG579:EG642" si="1236">IFERROR(IF(SEARCH( "'Vehicle details'", J579),1,0),FALSE)</f>
        <v>0</v>
      </c>
      <c r="EH579" t="b">
        <f t="shared" ref="EH579:EH642" si="1237">IFERROR(IF(SEARCH( "'Vehicle identification numbers (VINs)'", J579),1,0),FALSE)</f>
        <v>0</v>
      </c>
      <c r="EI579" t="b">
        <f t="shared" ref="EI579:EI642" si="1238">IFERROR(IF(SEARCH( "'Website activity'", J579),1,0),FALSE)</f>
        <v>0</v>
      </c>
      <c r="EJ579" t="b">
        <f t="shared" ref="EJ579:EJ642" si="1239">IFERROR(IF(SEARCH( "'Work habits'", J579),1,0),FALSE)</f>
        <v>0</v>
      </c>
      <c r="EK579" t="b">
        <f t="shared" ref="EK579:EK642" si="1240">IFERROR(IF(SEARCH( "'Years of professional experience'", J579),1,0),FALSE)</f>
        <v>0</v>
      </c>
    </row>
    <row r="580" spans="1:141">
      <c r="A580" t="s">
        <v>2917</v>
      </c>
      <c r="B580" t="s">
        <v>2917</v>
      </c>
      <c r="C580" t="s">
        <v>2918</v>
      </c>
      <c r="D580" s="1">
        <v>44294</v>
      </c>
      <c r="E580" s="2">
        <v>44580.145173611112</v>
      </c>
      <c r="F580" s="2">
        <v>44580.145173611112</v>
      </c>
      <c r="G580">
        <v>111002</v>
      </c>
      <c r="H580" t="s">
        <v>2919</v>
      </c>
      <c r="I580" s="10" t="s">
        <v>2920</v>
      </c>
      <c r="J580" t="s">
        <v>2921</v>
      </c>
      <c r="K580" s="8" t="b">
        <v>1</v>
      </c>
      <c r="L580" s="10" t="b">
        <v>0</v>
      </c>
      <c r="M580" s="12" t="b">
        <v>0</v>
      </c>
      <c r="N580" t="b">
        <v>0</v>
      </c>
      <c r="O580" t="b">
        <v>0</v>
      </c>
      <c r="P580" t="b">
        <v>0</v>
      </c>
      <c r="Q580">
        <f t="shared" si="1117"/>
        <v>5</v>
      </c>
      <c r="R580">
        <f t="shared" si="1118"/>
        <v>4</v>
      </c>
      <c r="S580" t="e">
        <f t="shared" ca="1" si="1148"/>
        <v>#NAME?</v>
      </c>
      <c r="T580" t="e">
        <f t="shared" ca="1" si="1119"/>
        <v>#NAME?</v>
      </c>
      <c r="U580" s="4">
        <f t="shared" si="1120"/>
        <v>286.14517361111211</v>
      </c>
      <c r="V580" s="4">
        <f t="shared" si="1121"/>
        <v>9.5381724537037371</v>
      </c>
      <c r="W580" s="4">
        <f t="shared" si="1122"/>
        <v>1</v>
      </c>
      <c r="X580" s="4">
        <f t="shared" si="1123"/>
        <v>0</v>
      </c>
      <c r="Y580" s="4">
        <f t="shared" si="1124"/>
        <v>0</v>
      </c>
      <c r="Z580" s="4">
        <f t="shared" si="1125"/>
        <v>0</v>
      </c>
      <c r="AA580" s="4">
        <f t="shared" si="1126"/>
        <v>0</v>
      </c>
      <c r="AB580" s="4">
        <f t="shared" si="1127"/>
        <v>0</v>
      </c>
      <c r="AD580" s="4" t="b">
        <f t="shared" si="1128"/>
        <v>0</v>
      </c>
      <c r="AE580" s="4" t="b">
        <f t="shared" si="1129"/>
        <v>0</v>
      </c>
      <c r="AF580" s="4" t="b">
        <f t="shared" si="1130"/>
        <v>0</v>
      </c>
      <c r="AG580" t="b">
        <f t="shared" si="1131"/>
        <v>0</v>
      </c>
      <c r="AH580" t="b">
        <f t="shared" si="1132"/>
        <v>0</v>
      </c>
      <c r="AI580" t="b">
        <f t="shared" si="1133"/>
        <v>0</v>
      </c>
      <c r="AJ580" t="b">
        <f t="shared" si="1134"/>
        <v>0</v>
      </c>
      <c r="AK580">
        <f t="shared" si="1135"/>
        <v>1</v>
      </c>
      <c r="AL580" t="b">
        <f t="shared" si="1136"/>
        <v>0</v>
      </c>
      <c r="AM580" t="b">
        <f t="shared" si="1137"/>
        <v>0</v>
      </c>
      <c r="AN580" t="b">
        <f t="shared" si="1138"/>
        <v>0</v>
      </c>
      <c r="AO580" t="b">
        <f t="shared" si="1139"/>
        <v>0</v>
      </c>
      <c r="AP580" t="b">
        <f t="shared" si="1140"/>
        <v>0</v>
      </c>
      <c r="AQ580" t="b">
        <f t="shared" si="1141"/>
        <v>0</v>
      </c>
      <c r="AR580" t="b">
        <f t="shared" si="1142"/>
        <v>0</v>
      </c>
      <c r="AS580" t="b">
        <f t="shared" si="1143"/>
        <v>0</v>
      </c>
      <c r="AT580" t="b">
        <f t="shared" si="1144"/>
        <v>0</v>
      </c>
      <c r="AU580" t="b">
        <f t="shared" si="1145"/>
        <v>0</v>
      </c>
      <c r="AV580" t="b">
        <f t="shared" si="1146"/>
        <v>0</v>
      </c>
      <c r="AW580" t="b">
        <f t="shared" si="1147"/>
        <v>0</v>
      </c>
      <c r="AX580" t="b">
        <f t="shared" si="1149"/>
        <v>0</v>
      </c>
      <c r="AY580" t="b">
        <f t="shared" si="1150"/>
        <v>0</v>
      </c>
      <c r="AZ580">
        <f t="shared" si="1151"/>
        <v>1</v>
      </c>
      <c r="BA580" t="b">
        <f t="shared" si="1152"/>
        <v>0</v>
      </c>
      <c r="BB580" t="b">
        <f t="shared" si="1153"/>
        <v>0</v>
      </c>
      <c r="BC580" t="b">
        <f t="shared" si="1154"/>
        <v>0</v>
      </c>
      <c r="BD580" t="b">
        <f t="shared" si="1155"/>
        <v>0</v>
      </c>
      <c r="BE580" t="b">
        <f t="shared" si="1156"/>
        <v>0</v>
      </c>
      <c r="BF580" t="b">
        <f t="shared" si="1157"/>
        <v>0</v>
      </c>
      <c r="BG580" t="b">
        <f t="shared" si="1158"/>
        <v>0</v>
      </c>
      <c r="BH580" t="b">
        <f t="shared" si="1159"/>
        <v>0</v>
      </c>
      <c r="BI580">
        <f t="shared" si="1160"/>
        <v>1</v>
      </c>
      <c r="BJ580" t="b">
        <f t="shared" si="1161"/>
        <v>0</v>
      </c>
      <c r="BK580" t="b">
        <f t="shared" si="1162"/>
        <v>0</v>
      </c>
      <c r="BL580" t="b">
        <f t="shared" si="1163"/>
        <v>0</v>
      </c>
      <c r="BM580" t="b">
        <f t="shared" si="1164"/>
        <v>0</v>
      </c>
      <c r="BN580" t="b">
        <f t="shared" si="1165"/>
        <v>0</v>
      </c>
      <c r="BO580" t="b">
        <f t="shared" si="1166"/>
        <v>0</v>
      </c>
      <c r="BP580" t="b">
        <f t="shared" si="1167"/>
        <v>0</v>
      </c>
      <c r="BQ580" t="b">
        <f t="shared" si="1168"/>
        <v>0</v>
      </c>
      <c r="BR580">
        <f t="shared" si="1169"/>
        <v>1</v>
      </c>
      <c r="BS580" t="b">
        <f t="shared" si="1170"/>
        <v>0</v>
      </c>
      <c r="BT580">
        <f t="shared" si="1171"/>
        <v>1</v>
      </c>
      <c r="BU580" t="b">
        <f t="shared" si="1172"/>
        <v>0</v>
      </c>
      <c r="BV580" t="b">
        <f t="shared" si="1173"/>
        <v>0</v>
      </c>
      <c r="BW580" t="b">
        <f t="shared" si="1174"/>
        <v>0</v>
      </c>
      <c r="BX580" t="b">
        <f t="shared" si="1175"/>
        <v>0</v>
      </c>
      <c r="BY580" t="b">
        <f t="shared" si="1176"/>
        <v>0</v>
      </c>
      <c r="BZ580" t="b">
        <f t="shared" si="1177"/>
        <v>0</v>
      </c>
      <c r="CA580" t="b">
        <f t="shared" si="1178"/>
        <v>0</v>
      </c>
      <c r="CB580" t="b">
        <f t="shared" si="1179"/>
        <v>0</v>
      </c>
      <c r="CC580">
        <f t="shared" si="1180"/>
        <v>1</v>
      </c>
      <c r="CD580" t="b">
        <f t="shared" si="1181"/>
        <v>0</v>
      </c>
      <c r="CE580" t="b">
        <f t="shared" si="1182"/>
        <v>0</v>
      </c>
      <c r="CF580" t="b">
        <f t="shared" si="1183"/>
        <v>0</v>
      </c>
      <c r="CG580" t="b">
        <f t="shared" si="1184"/>
        <v>0</v>
      </c>
      <c r="CH580" t="b">
        <f t="shared" si="1185"/>
        <v>0</v>
      </c>
      <c r="CI580" t="b">
        <f t="shared" si="1186"/>
        <v>0</v>
      </c>
      <c r="CJ580" t="b">
        <f t="shared" si="1187"/>
        <v>0</v>
      </c>
      <c r="CK580">
        <f t="shared" si="1188"/>
        <v>1</v>
      </c>
      <c r="CL580" t="b">
        <f t="shared" si="1189"/>
        <v>0</v>
      </c>
      <c r="CM580" t="b">
        <f t="shared" si="1190"/>
        <v>0</v>
      </c>
      <c r="CN580">
        <f t="shared" si="1191"/>
        <v>1</v>
      </c>
      <c r="CO580" t="b">
        <f t="shared" si="1192"/>
        <v>0</v>
      </c>
      <c r="CP580" t="b">
        <f t="shared" si="1193"/>
        <v>0</v>
      </c>
      <c r="CQ580">
        <f t="shared" si="1194"/>
        <v>1</v>
      </c>
      <c r="CR580" t="b">
        <f t="shared" si="1195"/>
        <v>0</v>
      </c>
      <c r="CS580" t="b">
        <f t="shared" si="1196"/>
        <v>0</v>
      </c>
      <c r="CT580" t="b">
        <f t="shared" si="1197"/>
        <v>0</v>
      </c>
      <c r="CU580" t="b">
        <f t="shared" si="1198"/>
        <v>0</v>
      </c>
      <c r="CV580">
        <f t="shared" si="1199"/>
        <v>1</v>
      </c>
      <c r="CW580" t="b">
        <f t="shared" si="1200"/>
        <v>0</v>
      </c>
      <c r="CX580" t="b">
        <f t="shared" si="1201"/>
        <v>0</v>
      </c>
      <c r="CY580" t="b">
        <f t="shared" si="1202"/>
        <v>0</v>
      </c>
      <c r="CZ580" t="b">
        <f t="shared" si="1203"/>
        <v>0</v>
      </c>
      <c r="DA580">
        <f t="shared" si="1204"/>
        <v>1</v>
      </c>
      <c r="DB580">
        <f t="shared" si="1205"/>
        <v>1</v>
      </c>
      <c r="DC580" t="b">
        <f t="shared" si="1206"/>
        <v>0</v>
      </c>
      <c r="DD580" t="b">
        <f t="shared" si="1207"/>
        <v>0</v>
      </c>
      <c r="DE580" t="b">
        <f t="shared" si="1208"/>
        <v>0</v>
      </c>
      <c r="DF580" t="b">
        <f t="shared" si="1209"/>
        <v>0</v>
      </c>
      <c r="DG580" t="b">
        <f t="shared" si="1210"/>
        <v>0</v>
      </c>
      <c r="DH580" t="b">
        <f t="shared" si="1211"/>
        <v>0</v>
      </c>
      <c r="DI580" t="b">
        <f t="shared" si="1212"/>
        <v>0</v>
      </c>
      <c r="DJ580" t="b">
        <f t="shared" si="1213"/>
        <v>0</v>
      </c>
      <c r="DK580" t="b">
        <f t="shared" si="1214"/>
        <v>0</v>
      </c>
      <c r="DL580" t="b">
        <f t="shared" si="1215"/>
        <v>0</v>
      </c>
      <c r="DM580" t="b">
        <f t="shared" si="1216"/>
        <v>0</v>
      </c>
      <c r="DN580" t="b">
        <f t="shared" si="1217"/>
        <v>0</v>
      </c>
      <c r="DO580" t="b">
        <f t="shared" si="1218"/>
        <v>0</v>
      </c>
      <c r="DP580" t="b">
        <f t="shared" si="1219"/>
        <v>0</v>
      </c>
      <c r="DQ580" t="b">
        <f t="shared" si="1220"/>
        <v>0</v>
      </c>
      <c r="DR580" t="b">
        <f t="shared" si="1221"/>
        <v>0</v>
      </c>
      <c r="DS580" t="b">
        <f t="shared" si="1222"/>
        <v>0</v>
      </c>
      <c r="DT580" t="b">
        <f t="shared" si="1223"/>
        <v>0</v>
      </c>
      <c r="DU580" t="b">
        <f t="shared" si="1224"/>
        <v>0</v>
      </c>
      <c r="DV580" t="b">
        <f t="shared" si="1225"/>
        <v>0</v>
      </c>
      <c r="DW580" t="b">
        <f t="shared" si="1226"/>
        <v>0</v>
      </c>
      <c r="DX580" t="b">
        <f t="shared" si="1227"/>
        <v>0</v>
      </c>
      <c r="DY580" t="b">
        <f t="shared" si="1228"/>
        <v>0</v>
      </c>
      <c r="DZ580" t="b">
        <f t="shared" si="1229"/>
        <v>0</v>
      </c>
      <c r="EA580" t="b">
        <f t="shared" si="1230"/>
        <v>0</v>
      </c>
      <c r="EB580" t="b">
        <f t="shared" si="1231"/>
        <v>0</v>
      </c>
      <c r="EC580" t="b">
        <f t="shared" si="1232"/>
        <v>0</v>
      </c>
      <c r="ED580" t="b">
        <f t="shared" si="1233"/>
        <v>0</v>
      </c>
      <c r="EE580" t="b">
        <f t="shared" si="1234"/>
        <v>0</v>
      </c>
      <c r="EF580" t="b">
        <f t="shared" si="1235"/>
        <v>0</v>
      </c>
      <c r="EG580" t="b">
        <f t="shared" si="1236"/>
        <v>0</v>
      </c>
      <c r="EH580" t="b">
        <f t="shared" si="1237"/>
        <v>0</v>
      </c>
      <c r="EI580" t="b">
        <f t="shared" si="1238"/>
        <v>0</v>
      </c>
      <c r="EJ580" t="b">
        <f t="shared" si="1239"/>
        <v>0</v>
      </c>
      <c r="EK580" t="b">
        <f t="shared" si="1240"/>
        <v>0</v>
      </c>
    </row>
    <row r="581" spans="1:141">
      <c r="A581" t="s">
        <v>2922</v>
      </c>
      <c r="B581" t="s">
        <v>2923</v>
      </c>
      <c r="C581" t="s">
        <v>2924</v>
      </c>
      <c r="D581" s="1">
        <v>44029</v>
      </c>
      <c r="E581" s="2">
        <v>44062.330659722225</v>
      </c>
      <c r="F581" s="2">
        <v>44062.336805555555</v>
      </c>
      <c r="G581">
        <v>235233</v>
      </c>
      <c r="H581" t="s">
        <v>2925</v>
      </c>
      <c r="I581" s="10" t="s">
        <v>2926</v>
      </c>
      <c r="J581" t="s">
        <v>2927</v>
      </c>
      <c r="K581" s="8" t="b">
        <v>1</v>
      </c>
      <c r="L581" s="10" t="b">
        <v>0</v>
      </c>
      <c r="M581" s="12" t="b">
        <v>0</v>
      </c>
      <c r="N581" t="b">
        <v>0</v>
      </c>
      <c r="O581" t="b">
        <v>0</v>
      </c>
      <c r="P581" t="b">
        <v>0</v>
      </c>
      <c r="Q581">
        <f t="shared" si="1117"/>
        <v>6</v>
      </c>
      <c r="R581">
        <f t="shared" si="1118"/>
        <v>7</v>
      </c>
      <c r="S581" t="e">
        <f t="shared" ca="1" si="1148"/>
        <v>#NAME?</v>
      </c>
      <c r="T581" t="e">
        <f t="shared" ca="1" si="1119"/>
        <v>#NAME?</v>
      </c>
      <c r="U581" s="4">
        <f t="shared" si="1120"/>
        <v>33.330659722225391</v>
      </c>
      <c r="V581" s="4">
        <f t="shared" si="1121"/>
        <v>1.1110219907408463</v>
      </c>
      <c r="W581" s="4">
        <f t="shared" si="1122"/>
        <v>1</v>
      </c>
      <c r="X581" s="4">
        <f t="shared" si="1123"/>
        <v>0</v>
      </c>
      <c r="Y581" s="4">
        <f t="shared" si="1124"/>
        <v>0</v>
      </c>
      <c r="Z581" s="4">
        <f t="shared" si="1125"/>
        <v>0</v>
      </c>
      <c r="AA581" s="4">
        <f t="shared" si="1126"/>
        <v>0</v>
      </c>
      <c r="AB581" s="4">
        <f t="shared" si="1127"/>
        <v>0</v>
      </c>
      <c r="AD581" s="4" t="b">
        <f t="shared" si="1128"/>
        <v>0</v>
      </c>
      <c r="AE581" s="4" t="b">
        <f t="shared" si="1129"/>
        <v>0</v>
      </c>
      <c r="AF581" s="4" t="b">
        <f t="shared" si="1130"/>
        <v>0</v>
      </c>
      <c r="AG581" t="b">
        <f t="shared" si="1131"/>
        <v>0</v>
      </c>
      <c r="AH581" t="b">
        <f t="shared" si="1132"/>
        <v>0</v>
      </c>
      <c r="AI581" t="b">
        <f t="shared" si="1133"/>
        <v>0</v>
      </c>
      <c r="AJ581" t="b">
        <f t="shared" si="1134"/>
        <v>0</v>
      </c>
      <c r="AK581" t="b">
        <f t="shared" si="1135"/>
        <v>0</v>
      </c>
      <c r="AL581" t="b">
        <f t="shared" si="1136"/>
        <v>0</v>
      </c>
      <c r="AM581" t="b">
        <f t="shared" si="1137"/>
        <v>0</v>
      </c>
      <c r="AN581" t="b">
        <f t="shared" si="1138"/>
        <v>0</v>
      </c>
      <c r="AO581" t="b">
        <f t="shared" si="1139"/>
        <v>0</v>
      </c>
      <c r="AP581" t="b">
        <f t="shared" si="1140"/>
        <v>0</v>
      </c>
      <c r="AQ581" t="b">
        <f t="shared" si="1141"/>
        <v>0</v>
      </c>
      <c r="AR581" t="b">
        <f t="shared" si="1142"/>
        <v>0</v>
      </c>
      <c r="AS581" t="b">
        <f t="shared" si="1143"/>
        <v>0</v>
      </c>
      <c r="AT581" t="b">
        <f t="shared" si="1144"/>
        <v>0</v>
      </c>
      <c r="AU581" t="b">
        <f t="shared" si="1145"/>
        <v>0</v>
      </c>
      <c r="AV581" t="b">
        <f t="shared" si="1146"/>
        <v>0</v>
      </c>
      <c r="AW581" t="b">
        <f t="shared" si="1147"/>
        <v>0</v>
      </c>
      <c r="AX581" t="b">
        <f t="shared" si="1149"/>
        <v>0</v>
      </c>
      <c r="AY581" t="b">
        <f t="shared" si="1150"/>
        <v>0</v>
      </c>
      <c r="AZ581" t="b">
        <f t="shared" si="1151"/>
        <v>0</v>
      </c>
      <c r="BA581" t="b">
        <f t="shared" si="1152"/>
        <v>0</v>
      </c>
      <c r="BB581" t="b">
        <f t="shared" si="1153"/>
        <v>0</v>
      </c>
      <c r="BC581" t="b">
        <f t="shared" si="1154"/>
        <v>0</v>
      </c>
      <c r="BD581" t="b">
        <f t="shared" si="1155"/>
        <v>0</v>
      </c>
      <c r="BE581" t="b">
        <f t="shared" si="1156"/>
        <v>0</v>
      </c>
      <c r="BF581" t="b">
        <f t="shared" si="1157"/>
        <v>0</v>
      </c>
      <c r="BG581" t="b">
        <f t="shared" si="1158"/>
        <v>0</v>
      </c>
      <c r="BH581" t="b">
        <f t="shared" si="1159"/>
        <v>0</v>
      </c>
      <c r="BI581">
        <f t="shared" si="1160"/>
        <v>1</v>
      </c>
      <c r="BJ581" t="b">
        <f t="shared" si="1161"/>
        <v>0</v>
      </c>
      <c r="BK581" t="b">
        <f t="shared" si="1162"/>
        <v>0</v>
      </c>
      <c r="BL581" t="b">
        <f t="shared" si="1163"/>
        <v>0</v>
      </c>
      <c r="BM581" t="b">
        <f t="shared" si="1164"/>
        <v>0</v>
      </c>
      <c r="BN581" t="b">
        <f t="shared" si="1165"/>
        <v>0</v>
      </c>
      <c r="BO581" t="b">
        <f t="shared" si="1166"/>
        <v>0</v>
      </c>
      <c r="BP581" t="b">
        <f t="shared" si="1167"/>
        <v>0</v>
      </c>
      <c r="BQ581" t="b">
        <f t="shared" si="1168"/>
        <v>0</v>
      </c>
      <c r="BR581">
        <f t="shared" si="1169"/>
        <v>1</v>
      </c>
      <c r="BS581" t="b">
        <f t="shared" si="1170"/>
        <v>0</v>
      </c>
      <c r="BT581" t="b">
        <f t="shared" si="1171"/>
        <v>0</v>
      </c>
      <c r="BU581" t="b">
        <f t="shared" si="1172"/>
        <v>0</v>
      </c>
      <c r="BV581" t="b">
        <f t="shared" si="1173"/>
        <v>0</v>
      </c>
      <c r="BW581" t="b">
        <f t="shared" si="1174"/>
        <v>0</v>
      </c>
      <c r="BX581" t="b">
        <f t="shared" si="1175"/>
        <v>0</v>
      </c>
      <c r="BY581" t="b">
        <f t="shared" si="1176"/>
        <v>0</v>
      </c>
      <c r="BZ581" t="b">
        <f t="shared" si="1177"/>
        <v>0</v>
      </c>
      <c r="CA581" t="b">
        <f t="shared" si="1178"/>
        <v>0</v>
      </c>
      <c r="CB581" t="b">
        <f t="shared" si="1179"/>
        <v>0</v>
      </c>
      <c r="CC581" t="b">
        <f t="shared" si="1180"/>
        <v>0</v>
      </c>
      <c r="CD581" t="b">
        <f t="shared" si="1181"/>
        <v>0</v>
      </c>
      <c r="CE581">
        <f t="shared" si="1182"/>
        <v>1</v>
      </c>
      <c r="CF581" t="b">
        <f t="shared" si="1183"/>
        <v>0</v>
      </c>
      <c r="CG581" t="b">
        <f t="shared" si="1184"/>
        <v>0</v>
      </c>
      <c r="CH581" t="b">
        <f t="shared" si="1185"/>
        <v>0</v>
      </c>
      <c r="CI581" t="b">
        <f t="shared" si="1186"/>
        <v>0</v>
      </c>
      <c r="CJ581" t="b">
        <f t="shared" si="1187"/>
        <v>0</v>
      </c>
      <c r="CK581" t="b">
        <f t="shared" si="1188"/>
        <v>0</v>
      </c>
      <c r="CL581" t="b">
        <f t="shared" si="1189"/>
        <v>0</v>
      </c>
      <c r="CM581" t="b">
        <f t="shared" si="1190"/>
        <v>0</v>
      </c>
      <c r="CN581" t="b">
        <f t="shared" si="1191"/>
        <v>0</v>
      </c>
      <c r="CO581" t="b">
        <f t="shared" si="1192"/>
        <v>0</v>
      </c>
      <c r="CP581" t="b">
        <f t="shared" si="1193"/>
        <v>0</v>
      </c>
      <c r="CQ581" t="b">
        <f t="shared" si="1194"/>
        <v>0</v>
      </c>
      <c r="CR581" t="b">
        <f t="shared" si="1195"/>
        <v>0</v>
      </c>
      <c r="CS581" t="b">
        <f t="shared" si="1196"/>
        <v>0</v>
      </c>
      <c r="CT581" t="b">
        <f t="shared" si="1197"/>
        <v>0</v>
      </c>
      <c r="CU581" t="b">
        <f t="shared" si="1198"/>
        <v>0</v>
      </c>
      <c r="CV581">
        <f t="shared" si="1199"/>
        <v>1</v>
      </c>
      <c r="CW581" t="b">
        <f t="shared" si="1200"/>
        <v>0</v>
      </c>
      <c r="CX581" t="b">
        <f t="shared" si="1201"/>
        <v>0</v>
      </c>
      <c r="CY581" t="b">
        <f t="shared" si="1202"/>
        <v>0</v>
      </c>
      <c r="CZ581" t="b">
        <f t="shared" si="1203"/>
        <v>0</v>
      </c>
      <c r="DA581" t="b">
        <f t="shared" si="1204"/>
        <v>0</v>
      </c>
      <c r="DB581" t="b">
        <f t="shared" si="1205"/>
        <v>0</v>
      </c>
      <c r="DC581" t="b">
        <f t="shared" si="1206"/>
        <v>0</v>
      </c>
      <c r="DD581" t="b">
        <f t="shared" si="1207"/>
        <v>0</v>
      </c>
      <c r="DE581" t="b">
        <f t="shared" si="1208"/>
        <v>0</v>
      </c>
      <c r="DF581" t="b">
        <f t="shared" si="1209"/>
        <v>0</v>
      </c>
      <c r="DG581" t="b">
        <f t="shared" si="1210"/>
        <v>0</v>
      </c>
      <c r="DH581" t="b">
        <f t="shared" si="1211"/>
        <v>0</v>
      </c>
      <c r="DI581" t="b">
        <f t="shared" si="1212"/>
        <v>0</v>
      </c>
      <c r="DJ581" t="b">
        <f t="shared" si="1213"/>
        <v>0</v>
      </c>
      <c r="DK581" t="b">
        <f t="shared" si="1214"/>
        <v>0</v>
      </c>
      <c r="DL581" t="b">
        <f t="shared" si="1215"/>
        <v>0</v>
      </c>
      <c r="DM581" t="b">
        <f t="shared" si="1216"/>
        <v>0</v>
      </c>
      <c r="DN581" t="b">
        <f t="shared" si="1217"/>
        <v>0</v>
      </c>
      <c r="DO581" t="b">
        <f t="shared" si="1218"/>
        <v>0</v>
      </c>
      <c r="DP581" t="b">
        <f t="shared" si="1219"/>
        <v>0</v>
      </c>
      <c r="DQ581" t="b">
        <f t="shared" si="1220"/>
        <v>0</v>
      </c>
      <c r="DR581" t="b">
        <f t="shared" si="1221"/>
        <v>0</v>
      </c>
      <c r="DS581" t="b">
        <f t="shared" si="1222"/>
        <v>0</v>
      </c>
      <c r="DT581" t="b">
        <f t="shared" si="1223"/>
        <v>0</v>
      </c>
      <c r="DU581" t="b">
        <f t="shared" si="1224"/>
        <v>0</v>
      </c>
      <c r="DV581" t="b">
        <f t="shared" si="1225"/>
        <v>0</v>
      </c>
      <c r="DW581" t="b">
        <f t="shared" si="1226"/>
        <v>0</v>
      </c>
      <c r="DX581" t="b">
        <f t="shared" si="1227"/>
        <v>0</v>
      </c>
      <c r="DY581" t="b">
        <f t="shared" si="1228"/>
        <v>0</v>
      </c>
      <c r="DZ581" t="b">
        <f t="shared" si="1229"/>
        <v>0</v>
      </c>
      <c r="EA581" t="b">
        <f t="shared" si="1230"/>
        <v>0</v>
      </c>
      <c r="EB581" t="b">
        <f t="shared" si="1231"/>
        <v>0</v>
      </c>
      <c r="EC581" t="b">
        <f t="shared" si="1232"/>
        <v>0</v>
      </c>
      <c r="ED581" t="b">
        <f t="shared" si="1233"/>
        <v>0</v>
      </c>
      <c r="EE581" t="b">
        <f t="shared" si="1234"/>
        <v>0</v>
      </c>
      <c r="EF581">
        <f t="shared" si="1235"/>
        <v>1</v>
      </c>
      <c r="EG581" t="b">
        <f t="shared" si="1236"/>
        <v>0</v>
      </c>
      <c r="EH581" t="b">
        <f t="shared" si="1237"/>
        <v>0</v>
      </c>
      <c r="EI581" t="b">
        <f t="shared" si="1238"/>
        <v>0</v>
      </c>
      <c r="EJ581" t="b">
        <f t="shared" si="1239"/>
        <v>0</v>
      </c>
      <c r="EK581" t="b">
        <f t="shared" si="1240"/>
        <v>0</v>
      </c>
    </row>
    <row r="582" spans="1:141">
      <c r="A582" t="s">
        <v>2928</v>
      </c>
      <c r="B582" t="s">
        <v>2928</v>
      </c>
      <c r="C582" t="s">
        <v>2929</v>
      </c>
      <c r="D582" s="1">
        <v>42383</v>
      </c>
      <c r="E582" s="2">
        <v>42679.939340277779</v>
      </c>
      <c r="F582" s="2">
        <v>42679.939340277779</v>
      </c>
      <c r="G582">
        <v>395044</v>
      </c>
      <c r="H582" t="s">
        <v>2930</v>
      </c>
      <c r="I582" s="10" t="s">
        <v>2931</v>
      </c>
      <c r="J582" t="s">
        <v>156</v>
      </c>
      <c r="K582" s="8" t="b">
        <v>1</v>
      </c>
      <c r="L582" s="10" t="b">
        <v>0</v>
      </c>
      <c r="M582" s="12" t="b">
        <v>0</v>
      </c>
      <c r="N582" t="b">
        <v>0</v>
      </c>
      <c r="O582" t="b">
        <v>0</v>
      </c>
      <c r="P582" t="b">
        <v>0</v>
      </c>
      <c r="Q582">
        <f t="shared" si="1117"/>
        <v>5</v>
      </c>
      <c r="R582">
        <f t="shared" si="1118"/>
        <v>1</v>
      </c>
      <c r="S582" t="e">
        <f t="shared" ca="1" si="1148"/>
        <v>#NAME?</v>
      </c>
      <c r="T582" t="e">
        <f t="shared" ca="1" si="1119"/>
        <v>#NAME?</v>
      </c>
      <c r="U582" s="4">
        <f t="shared" si="1120"/>
        <v>296.93934027777868</v>
      </c>
      <c r="V582" s="4">
        <f t="shared" si="1121"/>
        <v>9.8979780092592886</v>
      </c>
      <c r="W582" s="4">
        <f t="shared" si="1122"/>
        <v>1</v>
      </c>
      <c r="X582" s="4">
        <f t="shared" si="1123"/>
        <v>0</v>
      </c>
      <c r="Y582" s="4">
        <f t="shared" si="1124"/>
        <v>0</v>
      </c>
      <c r="Z582" s="4">
        <f t="shared" si="1125"/>
        <v>0</v>
      </c>
      <c r="AA582" s="4">
        <f t="shared" si="1126"/>
        <v>0</v>
      </c>
      <c r="AB582" s="4">
        <f t="shared" si="1127"/>
        <v>0</v>
      </c>
      <c r="AD582" s="4" t="b">
        <f t="shared" si="1128"/>
        <v>0</v>
      </c>
      <c r="AE582" s="4" t="b">
        <f t="shared" si="1129"/>
        <v>0</v>
      </c>
      <c r="AF582" s="4" t="b">
        <f t="shared" si="1130"/>
        <v>0</v>
      </c>
      <c r="AG582" t="b">
        <f t="shared" si="1131"/>
        <v>0</v>
      </c>
      <c r="AH582" t="b">
        <f t="shared" si="1132"/>
        <v>0</v>
      </c>
      <c r="AI582" t="b">
        <f t="shared" si="1133"/>
        <v>0</v>
      </c>
      <c r="AJ582" t="b">
        <f t="shared" si="1134"/>
        <v>0</v>
      </c>
      <c r="AK582" t="b">
        <f t="shared" si="1135"/>
        <v>0</v>
      </c>
      <c r="AL582" t="b">
        <f t="shared" si="1136"/>
        <v>0</v>
      </c>
      <c r="AM582" t="b">
        <f t="shared" si="1137"/>
        <v>0</v>
      </c>
      <c r="AN582" t="b">
        <f t="shared" si="1138"/>
        <v>0</v>
      </c>
      <c r="AO582" t="b">
        <f t="shared" si="1139"/>
        <v>0</v>
      </c>
      <c r="AP582" t="b">
        <f t="shared" si="1140"/>
        <v>0</v>
      </c>
      <c r="AQ582" t="b">
        <f t="shared" si="1141"/>
        <v>0</v>
      </c>
      <c r="AR582" t="b">
        <f t="shared" si="1142"/>
        <v>0</v>
      </c>
      <c r="AS582" t="b">
        <f t="shared" si="1143"/>
        <v>0</v>
      </c>
      <c r="AT582" t="b">
        <f t="shared" si="1144"/>
        <v>0</v>
      </c>
      <c r="AU582" t="b">
        <f t="shared" si="1145"/>
        <v>0</v>
      </c>
      <c r="AV582" t="b">
        <f t="shared" si="1146"/>
        <v>0</v>
      </c>
      <c r="AW582" t="b">
        <f t="shared" si="1147"/>
        <v>0</v>
      </c>
      <c r="AX582" t="b">
        <f t="shared" si="1149"/>
        <v>0</v>
      </c>
      <c r="AY582" t="b">
        <f t="shared" si="1150"/>
        <v>0</v>
      </c>
      <c r="AZ582" t="b">
        <f t="shared" si="1151"/>
        <v>0</v>
      </c>
      <c r="BA582" t="b">
        <f t="shared" si="1152"/>
        <v>0</v>
      </c>
      <c r="BB582" t="b">
        <f t="shared" si="1153"/>
        <v>0</v>
      </c>
      <c r="BC582" t="b">
        <f t="shared" si="1154"/>
        <v>0</v>
      </c>
      <c r="BD582" t="b">
        <f t="shared" si="1155"/>
        <v>0</v>
      </c>
      <c r="BE582" t="b">
        <f t="shared" si="1156"/>
        <v>0</v>
      </c>
      <c r="BF582" t="b">
        <f t="shared" si="1157"/>
        <v>0</v>
      </c>
      <c r="BG582" t="b">
        <f t="shared" si="1158"/>
        <v>0</v>
      </c>
      <c r="BH582" t="b">
        <f t="shared" si="1159"/>
        <v>0</v>
      </c>
      <c r="BI582">
        <f t="shared" si="1160"/>
        <v>1</v>
      </c>
      <c r="BJ582" t="b">
        <f t="shared" si="1161"/>
        <v>0</v>
      </c>
      <c r="BK582" t="b">
        <f t="shared" si="1162"/>
        <v>0</v>
      </c>
      <c r="BL582" t="b">
        <f t="shared" si="1163"/>
        <v>0</v>
      </c>
      <c r="BM582" t="b">
        <f t="shared" si="1164"/>
        <v>0</v>
      </c>
      <c r="BN582" t="b">
        <f t="shared" si="1165"/>
        <v>0</v>
      </c>
      <c r="BO582" t="b">
        <f t="shared" si="1166"/>
        <v>0</v>
      </c>
      <c r="BP582" t="b">
        <f t="shared" si="1167"/>
        <v>0</v>
      </c>
      <c r="BQ582" t="b">
        <f t="shared" si="1168"/>
        <v>0</v>
      </c>
      <c r="BR582" t="b">
        <f t="shared" si="1169"/>
        <v>0</v>
      </c>
      <c r="BS582" t="b">
        <f t="shared" si="1170"/>
        <v>0</v>
      </c>
      <c r="BT582" t="b">
        <f t="shared" si="1171"/>
        <v>0</v>
      </c>
      <c r="BU582" t="b">
        <f t="shared" si="1172"/>
        <v>0</v>
      </c>
      <c r="BV582" t="b">
        <f t="shared" si="1173"/>
        <v>0</v>
      </c>
      <c r="BW582" t="b">
        <f t="shared" si="1174"/>
        <v>0</v>
      </c>
      <c r="BX582" t="b">
        <f t="shared" si="1175"/>
        <v>0</v>
      </c>
      <c r="BY582" t="b">
        <f t="shared" si="1176"/>
        <v>0</v>
      </c>
      <c r="BZ582" t="b">
        <f t="shared" si="1177"/>
        <v>0</v>
      </c>
      <c r="CA582" t="b">
        <f t="shared" si="1178"/>
        <v>0</v>
      </c>
      <c r="CB582" t="b">
        <f t="shared" si="1179"/>
        <v>0</v>
      </c>
      <c r="CC582" t="b">
        <f t="shared" si="1180"/>
        <v>0</v>
      </c>
      <c r="CD582" t="b">
        <f t="shared" si="1181"/>
        <v>0</v>
      </c>
      <c r="CE582" t="b">
        <f t="shared" si="1182"/>
        <v>0</v>
      </c>
      <c r="CF582" t="b">
        <f t="shared" si="1183"/>
        <v>0</v>
      </c>
      <c r="CG582" t="b">
        <f t="shared" si="1184"/>
        <v>0</v>
      </c>
      <c r="CH582" t="b">
        <f t="shared" si="1185"/>
        <v>0</v>
      </c>
      <c r="CI582" t="b">
        <f t="shared" si="1186"/>
        <v>0</v>
      </c>
      <c r="CJ582" t="b">
        <f t="shared" si="1187"/>
        <v>0</v>
      </c>
      <c r="CK582" t="b">
        <f t="shared" si="1188"/>
        <v>0</v>
      </c>
      <c r="CL582" t="b">
        <f t="shared" si="1189"/>
        <v>0</v>
      </c>
      <c r="CM582" t="b">
        <f t="shared" si="1190"/>
        <v>0</v>
      </c>
      <c r="CN582" t="b">
        <f t="shared" si="1191"/>
        <v>0</v>
      </c>
      <c r="CO582" t="b">
        <f t="shared" si="1192"/>
        <v>0</v>
      </c>
      <c r="CP582" t="b">
        <f t="shared" si="1193"/>
        <v>0</v>
      </c>
      <c r="CQ582" t="b">
        <f t="shared" si="1194"/>
        <v>0</v>
      </c>
      <c r="CR582" t="b">
        <f t="shared" si="1195"/>
        <v>0</v>
      </c>
      <c r="CS582" t="b">
        <f t="shared" si="1196"/>
        <v>0</v>
      </c>
      <c r="CT582" t="b">
        <f t="shared" si="1197"/>
        <v>0</v>
      </c>
      <c r="CU582" t="b">
        <f t="shared" si="1198"/>
        <v>0</v>
      </c>
      <c r="CV582">
        <f t="shared" si="1199"/>
        <v>1</v>
      </c>
      <c r="CW582" t="b">
        <f t="shared" si="1200"/>
        <v>0</v>
      </c>
      <c r="CX582" t="b">
        <f t="shared" si="1201"/>
        <v>0</v>
      </c>
      <c r="CY582" t="b">
        <f t="shared" si="1202"/>
        <v>0</v>
      </c>
      <c r="CZ582" t="b">
        <f t="shared" si="1203"/>
        <v>0</v>
      </c>
      <c r="DA582" t="b">
        <f t="shared" si="1204"/>
        <v>0</v>
      </c>
      <c r="DB582" t="b">
        <f t="shared" si="1205"/>
        <v>0</v>
      </c>
      <c r="DC582" t="b">
        <f t="shared" si="1206"/>
        <v>0</v>
      </c>
      <c r="DD582" t="b">
        <f t="shared" si="1207"/>
        <v>0</v>
      </c>
      <c r="DE582" t="b">
        <f t="shared" si="1208"/>
        <v>0</v>
      </c>
      <c r="DF582" t="b">
        <f t="shared" si="1209"/>
        <v>0</v>
      </c>
      <c r="DG582" t="b">
        <f t="shared" si="1210"/>
        <v>0</v>
      </c>
      <c r="DH582" t="b">
        <f t="shared" si="1211"/>
        <v>0</v>
      </c>
      <c r="DI582" t="b">
        <f t="shared" si="1212"/>
        <v>0</v>
      </c>
      <c r="DJ582" t="b">
        <f t="shared" si="1213"/>
        <v>0</v>
      </c>
      <c r="DK582" t="b">
        <f t="shared" si="1214"/>
        <v>0</v>
      </c>
      <c r="DL582" t="b">
        <f t="shared" si="1215"/>
        <v>0</v>
      </c>
      <c r="DM582" t="b">
        <f t="shared" si="1216"/>
        <v>0</v>
      </c>
      <c r="DN582" t="b">
        <f t="shared" si="1217"/>
        <v>0</v>
      </c>
      <c r="DO582" t="b">
        <f t="shared" si="1218"/>
        <v>0</v>
      </c>
      <c r="DP582" t="b">
        <f t="shared" si="1219"/>
        <v>0</v>
      </c>
      <c r="DQ582" t="b">
        <f t="shared" si="1220"/>
        <v>0</v>
      </c>
      <c r="DR582" t="b">
        <f t="shared" si="1221"/>
        <v>0</v>
      </c>
      <c r="DS582" t="b">
        <f t="shared" si="1222"/>
        <v>0</v>
      </c>
      <c r="DT582" t="b">
        <f t="shared" si="1223"/>
        <v>0</v>
      </c>
      <c r="DU582" t="b">
        <f t="shared" si="1224"/>
        <v>0</v>
      </c>
      <c r="DV582" t="b">
        <f t="shared" si="1225"/>
        <v>0</v>
      </c>
      <c r="DW582" t="b">
        <f t="shared" si="1226"/>
        <v>0</v>
      </c>
      <c r="DX582" t="b">
        <f t="shared" si="1227"/>
        <v>0</v>
      </c>
      <c r="DY582" t="b">
        <f t="shared" si="1228"/>
        <v>0</v>
      </c>
      <c r="DZ582" t="b">
        <f t="shared" si="1229"/>
        <v>0</v>
      </c>
      <c r="EA582" t="b">
        <f t="shared" si="1230"/>
        <v>0</v>
      </c>
      <c r="EB582" t="b">
        <f t="shared" si="1231"/>
        <v>0</v>
      </c>
      <c r="EC582" t="b">
        <f t="shared" si="1232"/>
        <v>0</v>
      </c>
      <c r="ED582" t="b">
        <f t="shared" si="1233"/>
        <v>0</v>
      </c>
      <c r="EE582" t="b">
        <f t="shared" si="1234"/>
        <v>0</v>
      </c>
      <c r="EF582">
        <f t="shared" si="1235"/>
        <v>1</v>
      </c>
      <c r="EG582" t="b">
        <f t="shared" si="1236"/>
        <v>0</v>
      </c>
      <c r="EH582" t="b">
        <f t="shared" si="1237"/>
        <v>0</v>
      </c>
      <c r="EI582" t="b">
        <f t="shared" si="1238"/>
        <v>0</v>
      </c>
      <c r="EJ582" t="b">
        <f t="shared" si="1239"/>
        <v>0</v>
      </c>
      <c r="EK582" t="b">
        <f t="shared" si="1240"/>
        <v>0</v>
      </c>
    </row>
    <row r="583" spans="1:141">
      <c r="A583" t="s">
        <v>2932</v>
      </c>
      <c r="B583" t="s">
        <v>2932</v>
      </c>
      <c r="C583" t="s">
        <v>2933</v>
      </c>
      <c r="D583" s="1">
        <v>42619</v>
      </c>
      <c r="E583" s="2">
        <v>42731.420613425929</v>
      </c>
      <c r="F583" s="2">
        <v>42731.420613425929</v>
      </c>
      <c r="G583">
        <v>7485802</v>
      </c>
      <c r="H583" t="s">
        <v>2934</v>
      </c>
      <c r="I583" s="10" t="s">
        <v>2935</v>
      </c>
      <c r="J583" t="s">
        <v>156</v>
      </c>
      <c r="K583" s="8" t="b">
        <v>0</v>
      </c>
      <c r="L583" s="10" t="b">
        <v>0</v>
      </c>
      <c r="M583" s="12" t="b">
        <v>0</v>
      </c>
      <c r="N583" t="b">
        <v>0</v>
      </c>
      <c r="O583" t="b">
        <v>0</v>
      </c>
      <c r="P583" t="b">
        <v>0</v>
      </c>
      <c r="Q583">
        <f t="shared" si="1117"/>
        <v>3</v>
      </c>
      <c r="R583">
        <f t="shared" si="1118"/>
        <v>9</v>
      </c>
      <c r="S583" t="e">
        <f t="shared" ca="1" si="1148"/>
        <v>#NAME?</v>
      </c>
      <c r="T583" t="e">
        <f t="shared" ca="1" si="1119"/>
        <v>#NAME?</v>
      </c>
      <c r="U583" s="4">
        <f t="shared" si="1120"/>
        <v>112.42061342592933</v>
      </c>
      <c r="V583" s="4">
        <f t="shared" si="1121"/>
        <v>3.7473537808643109</v>
      </c>
      <c r="W583" s="4">
        <f t="shared" si="1122"/>
        <v>0</v>
      </c>
      <c r="X583" s="4">
        <f t="shared" si="1123"/>
        <v>0</v>
      </c>
      <c r="Y583" s="4">
        <f t="shared" si="1124"/>
        <v>0</v>
      </c>
      <c r="Z583" s="4">
        <f t="shared" si="1125"/>
        <v>0</v>
      </c>
      <c r="AA583" s="4">
        <f t="shared" si="1126"/>
        <v>0</v>
      </c>
      <c r="AB583" s="4">
        <f t="shared" si="1127"/>
        <v>0</v>
      </c>
      <c r="AD583" s="4" t="b">
        <f t="shared" si="1128"/>
        <v>0</v>
      </c>
      <c r="AE583" s="4" t="b">
        <f t="shared" si="1129"/>
        <v>0</v>
      </c>
      <c r="AF583" s="4" t="b">
        <f t="shared" si="1130"/>
        <v>0</v>
      </c>
      <c r="AG583" t="b">
        <f t="shared" si="1131"/>
        <v>0</v>
      </c>
      <c r="AH583" t="b">
        <f t="shared" si="1132"/>
        <v>0</v>
      </c>
      <c r="AI583" t="b">
        <f t="shared" si="1133"/>
        <v>0</v>
      </c>
      <c r="AJ583" t="b">
        <f t="shared" si="1134"/>
        <v>0</v>
      </c>
      <c r="AK583" t="b">
        <f t="shared" si="1135"/>
        <v>0</v>
      </c>
      <c r="AL583" t="b">
        <f t="shared" si="1136"/>
        <v>0</v>
      </c>
      <c r="AM583" t="b">
        <f t="shared" si="1137"/>
        <v>0</v>
      </c>
      <c r="AN583" t="b">
        <f t="shared" si="1138"/>
        <v>0</v>
      </c>
      <c r="AO583" t="b">
        <f t="shared" si="1139"/>
        <v>0</v>
      </c>
      <c r="AP583" t="b">
        <f t="shared" si="1140"/>
        <v>0</v>
      </c>
      <c r="AQ583" t="b">
        <f t="shared" si="1141"/>
        <v>0</v>
      </c>
      <c r="AR583" t="b">
        <f t="shared" si="1142"/>
        <v>0</v>
      </c>
      <c r="AS583" t="b">
        <f t="shared" si="1143"/>
        <v>0</v>
      </c>
      <c r="AT583" t="b">
        <f t="shared" si="1144"/>
        <v>0</v>
      </c>
      <c r="AU583" t="b">
        <f t="shared" si="1145"/>
        <v>0</v>
      </c>
      <c r="AV583" t="b">
        <f t="shared" si="1146"/>
        <v>0</v>
      </c>
      <c r="AW583" t="b">
        <f t="shared" si="1147"/>
        <v>0</v>
      </c>
      <c r="AX583" t="b">
        <f t="shared" si="1149"/>
        <v>0</v>
      </c>
      <c r="AY583" t="b">
        <f t="shared" si="1150"/>
        <v>0</v>
      </c>
      <c r="AZ583" t="b">
        <f t="shared" si="1151"/>
        <v>0</v>
      </c>
      <c r="BA583" t="b">
        <f t="shared" si="1152"/>
        <v>0</v>
      </c>
      <c r="BB583" t="b">
        <f t="shared" si="1153"/>
        <v>0</v>
      </c>
      <c r="BC583" t="b">
        <f t="shared" si="1154"/>
        <v>0</v>
      </c>
      <c r="BD583" t="b">
        <f t="shared" si="1155"/>
        <v>0</v>
      </c>
      <c r="BE583" t="b">
        <f t="shared" si="1156"/>
        <v>0</v>
      </c>
      <c r="BF583" t="b">
        <f t="shared" si="1157"/>
        <v>0</v>
      </c>
      <c r="BG583" t="b">
        <f t="shared" si="1158"/>
        <v>0</v>
      </c>
      <c r="BH583" t="b">
        <f t="shared" si="1159"/>
        <v>0</v>
      </c>
      <c r="BI583">
        <f t="shared" si="1160"/>
        <v>1</v>
      </c>
      <c r="BJ583" t="b">
        <f t="shared" si="1161"/>
        <v>0</v>
      </c>
      <c r="BK583" t="b">
        <f t="shared" si="1162"/>
        <v>0</v>
      </c>
      <c r="BL583" t="b">
        <f t="shared" si="1163"/>
        <v>0</v>
      </c>
      <c r="BM583" t="b">
        <f t="shared" si="1164"/>
        <v>0</v>
      </c>
      <c r="BN583" t="b">
        <f t="shared" si="1165"/>
        <v>0</v>
      </c>
      <c r="BO583" t="b">
        <f t="shared" si="1166"/>
        <v>0</v>
      </c>
      <c r="BP583" t="b">
        <f t="shared" si="1167"/>
        <v>0</v>
      </c>
      <c r="BQ583" t="b">
        <f t="shared" si="1168"/>
        <v>0</v>
      </c>
      <c r="BR583" t="b">
        <f t="shared" si="1169"/>
        <v>0</v>
      </c>
      <c r="BS583" t="b">
        <f t="shared" si="1170"/>
        <v>0</v>
      </c>
      <c r="BT583" t="b">
        <f t="shared" si="1171"/>
        <v>0</v>
      </c>
      <c r="BU583" t="b">
        <f t="shared" si="1172"/>
        <v>0</v>
      </c>
      <c r="BV583" t="b">
        <f t="shared" si="1173"/>
        <v>0</v>
      </c>
      <c r="BW583" t="b">
        <f t="shared" si="1174"/>
        <v>0</v>
      </c>
      <c r="BX583" t="b">
        <f t="shared" si="1175"/>
        <v>0</v>
      </c>
      <c r="BY583" t="b">
        <f t="shared" si="1176"/>
        <v>0</v>
      </c>
      <c r="BZ583" t="b">
        <f t="shared" si="1177"/>
        <v>0</v>
      </c>
      <c r="CA583" t="b">
        <f t="shared" si="1178"/>
        <v>0</v>
      </c>
      <c r="CB583" t="b">
        <f t="shared" si="1179"/>
        <v>0</v>
      </c>
      <c r="CC583" t="b">
        <f t="shared" si="1180"/>
        <v>0</v>
      </c>
      <c r="CD583" t="b">
        <f t="shared" si="1181"/>
        <v>0</v>
      </c>
      <c r="CE583" t="b">
        <f t="shared" si="1182"/>
        <v>0</v>
      </c>
      <c r="CF583" t="b">
        <f t="shared" si="1183"/>
        <v>0</v>
      </c>
      <c r="CG583" t="b">
        <f t="shared" si="1184"/>
        <v>0</v>
      </c>
      <c r="CH583" t="b">
        <f t="shared" si="1185"/>
        <v>0</v>
      </c>
      <c r="CI583" t="b">
        <f t="shared" si="1186"/>
        <v>0</v>
      </c>
      <c r="CJ583" t="b">
        <f t="shared" si="1187"/>
        <v>0</v>
      </c>
      <c r="CK583" t="b">
        <f t="shared" si="1188"/>
        <v>0</v>
      </c>
      <c r="CL583" t="b">
        <f t="shared" si="1189"/>
        <v>0</v>
      </c>
      <c r="CM583" t="b">
        <f t="shared" si="1190"/>
        <v>0</v>
      </c>
      <c r="CN583" t="b">
        <f t="shared" si="1191"/>
        <v>0</v>
      </c>
      <c r="CO583" t="b">
        <f t="shared" si="1192"/>
        <v>0</v>
      </c>
      <c r="CP583" t="b">
        <f t="shared" si="1193"/>
        <v>0</v>
      </c>
      <c r="CQ583" t="b">
        <f t="shared" si="1194"/>
        <v>0</v>
      </c>
      <c r="CR583" t="b">
        <f t="shared" si="1195"/>
        <v>0</v>
      </c>
      <c r="CS583" t="b">
        <f t="shared" si="1196"/>
        <v>0</v>
      </c>
      <c r="CT583" t="b">
        <f t="shared" si="1197"/>
        <v>0</v>
      </c>
      <c r="CU583" t="b">
        <f t="shared" si="1198"/>
        <v>0</v>
      </c>
      <c r="CV583">
        <f t="shared" si="1199"/>
        <v>1</v>
      </c>
      <c r="CW583" t="b">
        <f t="shared" si="1200"/>
        <v>0</v>
      </c>
      <c r="CX583" t="b">
        <f t="shared" si="1201"/>
        <v>0</v>
      </c>
      <c r="CY583" t="b">
        <f t="shared" si="1202"/>
        <v>0</v>
      </c>
      <c r="CZ583" t="b">
        <f t="shared" si="1203"/>
        <v>0</v>
      </c>
      <c r="DA583" t="b">
        <f t="shared" si="1204"/>
        <v>0</v>
      </c>
      <c r="DB583" t="b">
        <f t="shared" si="1205"/>
        <v>0</v>
      </c>
      <c r="DC583" t="b">
        <f t="shared" si="1206"/>
        <v>0</v>
      </c>
      <c r="DD583" t="b">
        <f t="shared" si="1207"/>
        <v>0</v>
      </c>
      <c r="DE583" t="b">
        <f t="shared" si="1208"/>
        <v>0</v>
      </c>
      <c r="DF583" t="b">
        <f t="shared" si="1209"/>
        <v>0</v>
      </c>
      <c r="DG583" t="b">
        <f t="shared" si="1210"/>
        <v>0</v>
      </c>
      <c r="DH583" t="b">
        <f t="shared" si="1211"/>
        <v>0</v>
      </c>
      <c r="DI583" t="b">
        <f t="shared" si="1212"/>
        <v>0</v>
      </c>
      <c r="DJ583" t="b">
        <f t="shared" si="1213"/>
        <v>0</v>
      </c>
      <c r="DK583" t="b">
        <f t="shared" si="1214"/>
        <v>0</v>
      </c>
      <c r="DL583" t="b">
        <f t="shared" si="1215"/>
        <v>0</v>
      </c>
      <c r="DM583" t="b">
        <f t="shared" si="1216"/>
        <v>0</v>
      </c>
      <c r="DN583" t="b">
        <f t="shared" si="1217"/>
        <v>0</v>
      </c>
      <c r="DO583" t="b">
        <f t="shared" si="1218"/>
        <v>0</v>
      </c>
      <c r="DP583" t="b">
        <f t="shared" si="1219"/>
        <v>0</v>
      </c>
      <c r="DQ583" t="b">
        <f t="shared" si="1220"/>
        <v>0</v>
      </c>
      <c r="DR583" t="b">
        <f t="shared" si="1221"/>
        <v>0</v>
      </c>
      <c r="DS583" t="b">
        <f t="shared" si="1222"/>
        <v>0</v>
      </c>
      <c r="DT583" t="b">
        <f t="shared" si="1223"/>
        <v>0</v>
      </c>
      <c r="DU583" t="b">
        <f t="shared" si="1224"/>
        <v>0</v>
      </c>
      <c r="DV583" t="b">
        <f t="shared" si="1225"/>
        <v>0</v>
      </c>
      <c r="DW583" t="b">
        <f t="shared" si="1226"/>
        <v>0</v>
      </c>
      <c r="DX583" t="b">
        <f t="shared" si="1227"/>
        <v>0</v>
      </c>
      <c r="DY583" t="b">
        <f t="shared" si="1228"/>
        <v>0</v>
      </c>
      <c r="DZ583" t="b">
        <f t="shared" si="1229"/>
        <v>0</v>
      </c>
      <c r="EA583" t="b">
        <f t="shared" si="1230"/>
        <v>0</v>
      </c>
      <c r="EB583" t="b">
        <f t="shared" si="1231"/>
        <v>0</v>
      </c>
      <c r="EC583" t="b">
        <f t="shared" si="1232"/>
        <v>0</v>
      </c>
      <c r="ED583" t="b">
        <f t="shared" si="1233"/>
        <v>0</v>
      </c>
      <c r="EE583" t="b">
        <f t="shared" si="1234"/>
        <v>0</v>
      </c>
      <c r="EF583">
        <f t="shared" si="1235"/>
        <v>1</v>
      </c>
      <c r="EG583" t="b">
        <f t="shared" si="1236"/>
        <v>0</v>
      </c>
      <c r="EH583" t="b">
        <f t="shared" si="1237"/>
        <v>0</v>
      </c>
      <c r="EI583" t="b">
        <f t="shared" si="1238"/>
        <v>0</v>
      </c>
      <c r="EJ583" t="b">
        <f t="shared" si="1239"/>
        <v>0</v>
      </c>
      <c r="EK583" t="b">
        <f t="shared" si="1240"/>
        <v>0</v>
      </c>
    </row>
    <row r="584" spans="1:141">
      <c r="A584" t="s">
        <v>2936</v>
      </c>
      <c r="B584" t="s">
        <v>2936</v>
      </c>
      <c r="C584" t="s">
        <v>2937</v>
      </c>
      <c r="D584" s="1">
        <v>44004</v>
      </c>
      <c r="E584" s="2">
        <v>44044.247291666667</v>
      </c>
      <c r="F584" s="2">
        <v>44044.247291666667</v>
      </c>
      <c r="G584">
        <v>4775203</v>
      </c>
      <c r="H584" t="s">
        <v>2938</v>
      </c>
      <c r="I584" s="10" t="s">
        <v>2939</v>
      </c>
      <c r="J584" t="s">
        <v>2940</v>
      </c>
      <c r="K584" s="8" t="b">
        <v>1</v>
      </c>
      <c r="L584" s="10" t="b">
        <v>0</v>
      </c>
      <c r="M584" s="12" t="b">
        <v>0</v>
      </c>
      <c r="N584" t="b">
        <v>0</v>
      </c>
      <c r="O584" t="b">
        <v>0</v>
      </c>
      <c r="P584" t="b">
        <v>0</v>
      </c>
      <c r="Q584">
        <f t="shared" si="1117"/>
        <v>2</v>
      </c>
      <c r="R584">
        <f t="shared" si="1118"/>
        <v>6</v>
      </c>
      <c r="S584" t="e">
        <f t="shared" ca="1" si="1148"/>
        <v>#NAME?</v>
      </c>
      <c r="T584" t="e">
        <f t="shared" ca="1" si="1119"/>
        <v>#NAME?</v>
      </c>
      <c r="U584" s="4">
        <f t="shared" si="1120"/>
        <v>40.24729166666657</v>
      </c>
      <c r="V584" s="4">
        <f t="shared" si="1121"/>
        <v>1.3415763888888856</v>
      </c>
      <c r="W584" s="4">
        <f t="shared" si="1122"/>
        <v>1</v>
      </c>
      <c r="X584" s="4">
        <f t="shared" si="1123"/>
        <v>0</v>
      </c>
      <c r="Y584" s="4">
        <f t="shared" si="1124"/>
        <v>0</v>
      </c>
      <c r="Z584" s="4">
        <f t="shared" si="1125"/>
        <v>0</v>
      </c>
      <c r="AA584" s="4">
        <f t="shared" si="1126"/>
        <v>0</v>
      </c>
      <c r="AB584" s="4">
        <f t="shared" si="1127"/>
        <v>0</v>
      </c>
      <c r="AD584" s="4" t="b">
        <f t="shared" si="1128"/>
        <v>0</v>
      </c>
      <c r="AE584" s="4" t="b">
        <f t="shared" si="1129"/>
        <v>0</v>
      </c>
      <c r="AF584" s="4" t="b">
        <f t="shared" si="1130"/>
        <v>0</v>
      </c>
      <c r="AG584" t="b">
        <f t="shared" si="1131"/>
        <v>0</v>
      </c>
      <c r="AH584" t="b">
        <f t="shared" si="1132"/>
        <v>0</v>
      </c>
      <c r="AI584" t="b">
        <f t="shared" si="1133"/>
        <v>0</v>
      </c>
      <c r="AJ584" t="b">
        <f t="shared" si="1134"/>
        <v>0</v>
      </c>
      <c r="AK584" t="b">
        <f t="shared" si="1135"/>
        <v>0</v>
      </c>
      <c r="AL584" t="b">
        <f t="shared" si="1136"/>
        <v>0</v>
      </c>
      <c r="AM584" t="b">
        <f t="shared" si="1137"/>
        <v>0</v>
      </c>
      <c r="AN584" t="b">
        <f t="shared" si="1138"/>
        <v>0</v>
      </c>
      <c r="AO584" t="b">
        <f t="shared" si="1139"/>
        <v>0</v>
      </c>
      <c r="AP584" t="b">
        <f t="shared" si="1140"/>
        <v>0</v>
      </c>
      <c r="AQ584" t="b">
        <f t="shared" si="1141"/>
        <v>0</v>
      </c>
      <c r="AR584" t="b">
        <f t="shared" si="1142"/>
        <v>0</v>
      </c>
      <c r="AS584" t="b">
        <f t="shared" si="1143"/>
        <v>0</v>
      </c>
      <c r="AT584" t="b">
        <f t="shared" si="1144"/>
        <v>0</v>
      </c>
      <c r="AU584" t="b">
        <f t="shared" si="1145"/>
        <v>0</v>
      </c>
      <c r="AV584" t="b">
        <f t="shared" si="1146"/>
        <v>0</v>
      </c>
      <c r="AW584" t="b">
        <f t="shared" si="1147"/>
        <v>0</v>
      </c>
      <c r="AX584" t="b">
        <f t="shared" si="1149"/>
        <v>0</v>
      </c>
      <c r="AY584" t="b">
        <f t="shared" si="1150"/>
        <v>0</v>
      </c>
      <c r="AZ584">
        <f t="shared" si="1151"/>
        <v>1</v>
      </c>
      <c r="BA584" t="b">
        <f t="shared" si="1152"/>
        <v>0</v>
      </c>
      <c r="BB584" t="b">
        <f t="shared" si="1153"/>
        <v>0</v>
      </c>
      <c r="BC584" t="b">
        <f t="shared" si="1154"/>
        <v>0</v>
      </c>
      <c r="BD584" t="b">
        <f t="shared" si="1155"/>
        <v>0</v>
      </c>
      <c r="BE584" t="b">
        <f t="shared" si="1156"/>
        <v>0</v>
      </c>
      <c r="BF584" t="b">
        <f t="shared" si="1157"/>
        <v>0</v>
      </c>
      <c r="BG584" t="b">
        <f t="shared" si="1158"/>
        <v>0</v>
      </c>
      <c r="BH584" t="b">
        <f t="shared" si="1159"/>
        <v>0</v>
      </c>
      <c r="BI584">
        <f t="shared" si="1160"/>
        <v>1</v>
      </c>
      <c r="BJ584" t="b">
        <f t="shared" si="1161"/>
        <v>0</v>
      </c>
      <c r="BK584" t="b">
        <f t="shared" si="1162"/>
        <v>0</v>
      </c>
      <c r="BL584" t="b">
        <f t="shared" si="1163"/>
        <v>0</v>
      </c>
      <c r="BM584" t="b">
        <f t="shared" si="1164"/>
        <v>0</v>
      </c>
      <c r="BN584" t="b">
        <f t="shared" si="1165"/>
        <v>0</v>
      </c>
      <c r="BO584" t="b">
        <f t="shared" si="1166"/>
        <v>0</v>
      </c>
      <c r="BP584" t="b">
        <f t="shared" si="1167"/>
        <v>0</v>
      </c>
      <c r="BQ584" t="b">
        <f t="shared" si="1168"/>
        <v>0</v>
      </c>
      <c r="BR584" t="b">
        <f t="shared" si="1169"/>
        <v>0</v>
      </c>
      <c r="BS584" t="b">
        <f t="shared" si="1170"/>
        <v>0</v>
      </c>
      <c r="BT584" t="b">
        <f t="shared" si="1171"/>
        <v>0</v>
      </c>
      <c r="BU584" t="b">
        <f t="shared" si="1172"/>
        <v>0</v>
      </c>
      <c r="BV584" t="b">
        <f t="shared" si="1173"/>
        <v>0</v>
      </c>
      <c r="BW584" t="b">
        <f t="shared" si="1174"/>
        <v>0</v>
      </c>
      <c r="BX584" t="b">
        <f t="shared" si="1175"/>
        <v>0</v>
      </c>
      <c r="BY584" t="b">
        <f t="shared" si="1176"/>
        <v>0</v>
      </c>
      <c r="BZ584" t="b">
        <f t="shared" si="1177"/>
        <v>0</v>
      </c>
      <c r="CA584" t="b">
        <f t="shared" si="1178"/>
        <v>0</v>
      </c>
      <c r="CB584" t="b">
        <f t="shared" si="1179"/>
        <v>0</v>
      </c>
      <c r="CC584" t="b">
        <f t="shared" si="1180"/>
        <v>0</v>
      </c>
      <c r="CD584" t="b">
        <f t="shared" si="1181"/>
        <v>0</v>
      </c>
      <c r="CE584">
        <f t="shared" si="1182"/>
        <v>1</v>
      </c>
      <c r="CF584" t="b">
        <f t="shared" si="1183"/>
        <v>0</v>
      </c>
      <c r="CG584" t="b">
        <f t="shared" si="1184"/>
        <v>0</v>
      </c>
      <c r="CH584" t="b">
        <f t="shared" si="1185"/>
        <v>0</v>
      </c>
      <c r="CI584" t="b">
        <f t="shared" si="1186"/>
        <v>0</v>
      </c>
      <c r="CJ584" t="b">
        <f t="shared" si="1187"/>
        <v>0</v>
      </c>
      <c r="CK584" t="b">
        <f t="shared" si="1188"/>
        <v>0</v>
      </c>
      <c r="CL584" t="b">
        <f t="shared" si="1189"/>
        <v>0</v>
      </c>
      <c r="CM584">
        <f t="shared" si="1190"/>
        <v>1</v>
      </c>
      <c r="CN584" t="b">
        <f t="shared" si="1191"/>
        <v>0</v>
      </c>
      <c r="CO584" t="b">
        <f t="shared" si="1192"/>
        <v>0</v>
      </c>
      <c r="CP584" t="b">
        <f t="shared" si="1193"/>
        <v>0</v>
      </c>
      <c r="CQ584" t="b">
        <f t="shared" si="1194"/>
        <v>0</v>
      </c>
      <c r="CR584" t="b">
        <f t="shared" si="1195"/>
        <v>0</v>
      </c>
      <c r="CS584" t="b">
        <f t="shared" si="1196"/>
        <v>0</v>
      </c>
      <c r="CT584" t="b">
        <f t="shared" si="1197"/>
        <v>0</v>
      </c>
      <c r="CU584" t="b">
        <f t="shared" si="1198"/>
        <v>0</v>
      </c>
      <c r="CV584">
        <f t="shared" si="1199"/>
        <v>1</v>
      </c>
      <c r="CW584" t="b">
        <f t="shared" si="1200"/>
        <v>0</v>
      </c>
      <c r="CX584" t="b">
        <f t="shared" si="1201"/>
        <v>0</v>
      </c>
      <c r="CY584" t="b">
        <f t="shared" si="1202"/>
        <v>0</v>
      </c>
      <c r="CZ584" t="b">
        <f t="shared" si="1203"/>
        <v>0</v>
      </c>
      <c r="DA584">
        <f t="shared" si="1204"/>
        <v>1</v>
      </c>
      <c r="DB584" t="b">
        <f t="shared" si="1205"/>
        <v>0</v>
      </c>
      <c r="DC584" t="b">
        <f t="shared" si="1206"/>
        <v>0</v>
      </c>
      <c r="DD584" t="b">
        <f t="shared" si="1207"/>
        <v>0</v>
      </c>
      <c r="DE584" t="b">
        <f t="shared" si="1208"/>
        <v>0</v>
      </c>
      <c r="DF584" t="b">
        <f t="shared" si="1209"/>
        <v>0</v>
      </c>
      <c r="DG584" t="b">
        <f t="shared" si="1210"/>
        <v>0</v>
      </c>
      <c r="DH584" t="b">
        <f t="shared" si="1211"/>
        <v>0</v>
      </c>
      <c r="DI584" t="b">
        <f t="shared" si="1212"/>
        <v>0</v>
      </c>
      <c r="DJ584" t="b">
        <f t="shared" si="1213"/>
        <v>0</v>
      </c>
      <c r="DK584" t="b">
        <f t="shared" si="1214"/>
        <v>0</v>
      </c>
      <c r="DL584" t="b">
        <f t="shared" si="1215"/>
        <v>0</v>
      </c>
      <c r="DM584" t="b">
        <f t="shared" si="1216"/>
        <v>0</v>
      </c>
      <c r="DN584" t="b">
        <f t="shared" si="1217"/>
        <v>0</v>
      </c>
      <c r="DO584" t="b">
        <f t="shared" si="1218"/>
        <v>0</v>
      </c>
      <c r="DP584" t="b">
        <f t="shared" si="1219"/>
        <v>0</v>
      </c>
      <c r="DQ584" t="b">
        <f t="shared" si="1220"/>
        <v>0</v>
      </c>
      <c r="DR584" t="b">
        <f t="shared" si="1221"/>
        <v>0</v>
      </c>
      <c r="DS584" t="b">
        <f t="shared" si="1222"/>
        <v>0</v>
      </c>
      <c r="DT584" t="b">
        <f t="shared" si="1223"/>
        <v>0</v>
      </c>
      <c r="DU584" t="b">
        <f t="shared" si="1224"/>
        <v>0</v>
      </c>
      <c r="DV584" t="b">
        <f t="shared" si="1225"/>
        <v>0</v>
      </c>
      <c r="DW584" t="b">
        <f t="shared" si="1226"/>
        <v>0</v>
      </c>
      <c r="DX584" t="b">
        <f t="shared" si="1227"/>
        <v>0</v>
      </c>
      <c r="DY584" t="b">
        <f t="shared" si="1228"/>
        <v>0</v>
      </c>
      <c r="DZ584" t="b">
        <f t="shared" si="1229"/>
        <v>0</v>
      </c>
      <c r="EA584" t="b">
        <f t="shared" si="1230"/>
        <v>0</v>
      </c>
      <c r="EB584" t="b">
        <f t="shared" si="1231"/>
        <v>0</v>
      </c>
      <c r="EC584" t="b">
        <f t="shared" si="1232"/>
        <v>0</v>
      </c>
      <c r="ED584" t="b">
        <f t="shared" si="1233"/>
        <v>0</v>
      </c>
      <c r="EE584" t="b">
        <f t="shared" si="1234"/>
        <v>0</v>
      </c>
      <c r="EF584" t="b">
        <f t="shared" si="1235"/>
        <v>0</v>
      </c>
      <c r="EG584" t="b">
        <f t="shared" si="1236"/>
        <v>0</v>
      </c>
      <c r="EH584" t="b">
        <f t="shared" si="1237"/>
        <v>0</v>
      </c>
      <c r="EI584" t="b">
        <f t="shared" si="1238"/>
        <v>0</v>
      </c>
      <c r="EJ584" t="b">
        <f t="shared" si="1239"/>
        <v>0</v>
      </c>
      <c r="EK584" t="b">
        <f t="shared" si="1240"/>
        <v>0</v>
      </c>
    </row>
    <row r="585" spans="1:141">
      <c r="A585" t="s">
        <v>2941</v>
      </c>
      <c r="B585" t="s">
        <v>2941</v>
      </c>
      <c r="C585" t="s">
        <v>2942</v>
      </c>
      <c r="D585" s="1">
        <v>43555</v>
      </c>
      <c r="E585" s="2">
        <v>44394.077094907407</v>
      </c>
      <c r="F585" s="2">
        <v>44435.234259259261</v>
      </c>
      <c r="G585">
        <v>30433</v>
      </c>
      <c r="H585" t="s">
        <v>2943</v>
      </c>
      <c r="I585" s="10" t="s">
        <v>2944</v>
      </c>
      <c r="J585" t="s">
        <v>2945</v>
      </c>
      <c r="K585" s="8" t="b">
        <v>1</v>
      </c>
      <c r="L585" s="10" t="b">
        <v>0</v>
      </c>
      <c r="M585" s="12" t="b">
        <v>1</v>
      </c>
      <c r="N585" t="b">
        <v>0</v>
      </c>
      <c r="O585" t="b">
        <v>0</v>
      </c>
      <c r="P585" t="b">
        <v>0</v>
      </c>
      <c r="Q585">
        <f t="shared" si="1117"/>
        <v>1</v>
      </c>
      <c r="R585">
        <f t="shared" si="1118"/>
        <v>3</v>
      </c>
      <c r="S585" t="e">
        <f t="shared" ca="1" si="1148"/>
        <v>#NAME?</v>
      </c>
      <c r="T585" t="e">
        <f t="shared" ca="1" si="1119"/>
        <v>#NAME?</v>
      </c>
      <c r="U585" s="4">
        <f t="shared" si="1120"/>
        <v>839.07709490740672</v>
      </c>
      <c r="V585" s="4">
        <f t="shared" si="1121"/>
        <v>27.969236496913556</v>
      </c>
      <c r="W585" s="4">
        <f t="shared" si="1122"/>
        <v>1</v>
      </c>
      <c r="X585" s="4">
        <f t="shared" si="1123"/>
        <v>0</v>
      </c>
      <c r="Y585" s="4">
        <f t="shared" si="1124"/>
        <v>1</v>
      </c>
      <c r="Z585" s="4">
        <f t="shared" si="1125"/>
        <v>0</v>
      </c>
      <c r="AA585" s="4">
        <f t="shared" si="1126"/>
        <v>0</v>
      </c>
      <c r="AB585" s="4">
        <f t="shared" si="1127"/>
        <v>0</v>
      </c>
      <c r="AD585" s="4" t="b">
        <f t="shared" si="1128"/>
        <v>0</v>
      </c>
      <c r="AE585" s="4" t="b">
        <f t="shared" si="1129"/>
        <v>0</v>
      </c>
      <c r="AF585" s="4" t="b">
        <f t="shared" si="1130"/>
        <v>0</v>
      </c>
      <c r="AG585" t="b">
        <f t="shared" si="1131"/>
        <v>0</v>
      </c>
      <c r="AH585" t="b">
        <f t="shared" si="1132"/>
        <v>0</v>
      </c>
      <c r="AI585" t="b">
        <f t="shared" si="1133"/>
        <v>0</v>
      </c>
      <c r="AJ585" t="b">
        <f t="shared" si="1134"/>
        <v>0</v>
      </c>
      <c r="AK585" t="b">
        <f t="shared" si="1135"/>
        <v>0</v>
      </c>
      <c r="AL585" t="b">
        <f t="shared" si="1136"/>
        <v>0</v>
      </c>
      <c r="AM585" t="b">
        <f t="shared" si="1137"/>
        <v>0</v>
      </c>
      <c r="AN585" t="b">
        <f t="shared" si="1138"/>
        <v>0</v>
      </c>
      <c r="AO585" t="b">
        <f t="shared" si="1139"/>
        <v>0</v>
      </c>
      <c r="AP585" t="b">
        <f t="shared" si="1140"/>
        <v>0</v>
      </c>
      <c r="AQ585" t="b">
        <f t="shared" si="1141"/>
        <v>0</v>
      </c>
      <c r="AR585" t="b">
        <f t="shared" si="1142"/>
        <v>0</v>
      </c>
      <c r="AS585" t="b">
        <f t="shared" si="1143"/>
        <v>0</v>
      </c>
      <c r="AT585" t="b">
        <f t="shared" si="1144"/>
        <v>0</v>
      </c>
      <c r="AU585" t="b">
        <f t="shared" si="1145"/>
        <v>0</v>
      </c>
      <c r="AV585" t="b">
        <f t="shared" si="1146"/>
        <v>0</v>
      </c>
      <c r="AW585" t="b">
        <f t="shared" si="1147"/>
        <v>0</v>
      </c>
      <c r="AX585" t="b">
        <f t="shared" si="1149"/>
        <v>0</v>
      </c>
      <c r="AY585" t="b">
        <f t="shared" si="1150"/>
        <v>0</v>
      </c>
      <c r="AZ585" t="b">
        <f t="shared" si="1151"/>
        <v>0</v>
      </c>
      <c r="BA585" t="b">
        <f t="shared" si="1152"/>
        <v>0</v>
      </c>
      <c r="BB585" t="b">
        <f t="shared" si="1153"/>
        <v>0</v>
      </c>
      <c r="BC585" t="b">
        <f t="shared" si="1154"/>
        <v>0</v>
      </c>
      <c r="BD585" t="b">
        <f t="shared" si="1155"/>
        <v>0</v>
      </c>
      <c r="BE585" t="b">
        <f t="shared" si="1156"/>
        <v>0</v>
      </c>
      <c r="BF585" t="b">
        <f t="shared" si="1157"/>
        <v>0</v>
      </c>
      <c r="BG585" t="b">
        <f t="shared" si="1158"/>
        <v>0</v>
      </c>
      <c r="BH585" t="b">
        <f t="shared" si="1159"/>
        <v>0</v>
      </c>
      <c r="BI585">
        <f t="shared" si="1160"/>
        <v>1</v>
      </c>
      <c r="BJ585" t="b">
        <f t="shared" si="1161"/>
        <v>0</v>
      </c>
      <c r="BK585" t="b">
        <f t="shared" si="1162"/>
        <v>0</v>
      </c>
      <c r="BL585" t="b">
        <f t="shared" si="1163"/>
        <v>0</v>
      </c>
      <c r="BM585" t="b">
        <f t="shared" si="1164"/>
        <v>0</v>
      </c>
      <c r="BN585" t="b">
        <f t="shared" si="1165"/>
        <v>0</v>
      </c>
      <c r="BO585" t="b">
        <f t="shared" si="1166"/>
        <v>0</v>
      </c>
      <c r="BP585" t="b">
        <f t="shared" si="1167"/>
        <v>0</v>
      </c>
      <c r="BQ585" t="b">
        <f t="shared" si="1168"/>
        <v>0</v>
      </c>
      <c r="BR585" t="b">
        <f t="shared" si="1169"/>
        <v>0</v>
      </c>
      <c r="BS585" t="b">
        <f t="shared" si="1170"/>
        <v>0</v>
      </c>
      <c r="BT585" t="b">
        <f t="shared" si="1171"/>
        <v>0</v>
      </c>
      <c r="BU585" t="b">
        <f t="shared" si="1172"/>
        <v>0</v>
      </c>
      <c r="BV585" t="b">
        <f t="shared" si="1173"/>
        <v>0</v>
      </c>
      <c r="BW585" t="b">
        <f t="shared" si="1174"/>
        <v>0</v>
      </c>
      <c r="BX585" t="b">
        <f t="shared" si="1175"/>
        <v>0</v>
      </c>
      <c r="BY585" t="b">
        <f t="shared" si="1176"/>
        <v>0</v>
      </c>
      <c r="BZ585" t="b">
        <f t="shared" si="1177"/>
        <v>0</v>
      </c>
      <c r="CA585" t="b">
        <f t="shared" si="1178"/>
        <v>0</v>
      </c>
      <c r="CB585" t="b">
        <f t="shared" si="1179"/>
        <v>0</v>
      </c>
      <c r="CC585" t="b">
        <f t="shared" si="1180"/>
        <v>0</v>
      </c>
      <c r="CD585" t="b">
        <f t="shared" si="1181"/>
        <v>0</v>
      </c>
      <c r="CE585" t="b">
        <f t="shared" si="1182"/>
        <v>0</v>
      </c>
      <c r="CF585" t="b">
        <f t="shared" si="1183"/>
        <v>0</v>
      </c>
      <c r="CG585" t="b">
        <f t="shared" si="1184"/>
        <v>0</v>
      </c>
      <c r="CH585" t="b">
        <f t="shared" si="1185"/>
        <v>0</v>
      </c>
      <c r="CI585" t="b">
        <f t="shared" si="1186"/>
        <v>0</v>
      </c>
      <c r="CJ585" t="b">
        <f t="shared" si="1187"/>
        <v>0</v>
      </c>
      <c r="CK585" t="b">
        <f t="shared" si="1188"/>
        <v>0</v>
      </c>
      <c r="CL585" t="b">
        <f t="shared" si="1189"/>
        <v>0</v>
      </c>
      <c r="CM585">
        <f t="shared" si="1190"/>
        <v>1</v>
      </c>
      <c r="CN585" t="b">
        <f t="shared" si="1191"/>
        <v>0</v>
      </c>
      <c r="CO585" t="b">
        <f t="shared" si="1192"/>
        <v>0</v>
      </c>
      <c r="CP585" t="b">
        <f t="shared" si="1193"/>
        <v>0</v>
      </c>
      <c r="CQ585" t="b">
        <f t="shared" si="1194"/>
        <v>0</v>
      </c>
      <c r="CR585" t="b">
        <f t="shared" si="1195"/>
        <v>0</v>
      </c>
      <c r="CS585" t="b">
        <f t="shared" si="1196"/>
        <v>0</v>
      </c>
      <c r="CT585" t="b">
        <f t="shared" si="1197"/>
        <v>0</v>
      </c>
      <c r="CU585" t="b">
        <f t="shared" si="1198"/>
        <v>0</v>
      </c>
      <c r="CV585" t="b">
        <f t="shared" si="1199"/>
        <v>0</v>
      </c>
      <c r="CW585" t="b">
        <f t="shared" si="1200"/>
        <v>0</v>
      </c>
      <c r="CX585" t="b">
        <f t="shared" si="1201"/>
        <v>0</v>
      </c>
      <c r="CY585" t="b">
        <f t="shared" si="1202"/>
        <v>0</v>
      </c>
      <c r="CZ585">
        <f t="shared" si="1203"/>
        <v>1</v>
      </c>
      <c r="DA585" t="b">
        <f t="shared" si="1204"/>
        <v>0</v>
      </c>
      <c r="DB585" t="b">
        <f t="shared" si="1205"/>
        <v>0</v>
      </c>
      <c r="DC585" t="b">
        <f t="shared" si="1206"/>
        <v>0</v>
      </c>
      <c r="DD585" t="b">
        <f t="shared" si="1207"/>
        <v>0</v>
      </c>
      <c r="DE585" t="b">
        <f t="shared" si="1208"/>
        <v>0</v>
      </c>
      <c r="DF585" t="b">
        <f t="shared" si="1209"/>
        <v>0</v>
      </c>
      <c r="DG585" t="b">
        <f t="shared" si="1210"/>
        <v>0</v>
      </c>
      <c r="DH585" t="b">
        <f t="shared" si="1211"/>
        <v>0</v>
      </c>
      <c r="DI585" t="b">
        <f t="shared" si="1212"/>
        <v>0</v>
      </c>
      <c r="DJ585" t="b">
        <f t="shared" si="1213"/>
        <v>0</v>
      </c>
      <c r="DK585" t="b">
        <f t="shared" si="1214"/>
        <v>0</v>
      </c>
      <c r="DL585" t="b">
        <f t="shared" si="1215"/>
        <v>0</v>
      </c>
      <c r="DM585" t="b">
        <f t="shared" si="1216"/>
        <v>0</v>
      </c>
      <c r="DN585" t="b">
        <f t="shared" si="1217"/>
        <v>0</v>
      </c>
      <c r="DO585" t="b">
        <f t="shared" si="1218"/>
        <v>0</v>
      </c>
      <c r="DP585" t="b">
        <f t="shared" si="1219"/>
        <v>0</v>
      </c>
      <c r="DQ585" t="b">
        <f t="shared" si="1220"/>
        <v>0</v>
      </c>
      <c r="DR585" t="b">
        <f t="shared" si="1221"/>
        <v>0</v>
      </c>
      <c r="DS585" t="b">
        <f t="shared" si="1222"/>
        <v>0</v>
      </c>
      <c r="DT585" t="b">
        <f t="shared" si="1223"/>
        <v>0</v>
      </c>
      <c r="DU585" t="b">
        <f t="shared" si="1224"/>
        <v>0</v>
      </c>
      <c r="DV585" t="b">
        <f t="shared" si="1225"/>
        <v>0</v>
      </c>
      <c r="DW585" t="b">
        <f t="shared" si="1226"/>
        <v>0</v>
      </c>
      <c r="DX585" t="b">
        <f t="shared" si="1227"/>
        <v>0</v>
      </c>
      <c r="DY585" t="b">
        <f t="shared" si="1228"/>
        <v>0</v>
      </c>
      <c r="DZ585">
        <f t="shared" si="1229"/>
        <v>1</v>
      </c>
      <c r="EA585" t="b">
        <f t="shared" si="1230"/>
        <v>0</v>
      </c>
      <c r="EB585" t="b">
        <f t="shared" si="1231"/>
        <v>0</v>
      </c>
      <c r="EC585" t="b">
        <f t="shared" si="1232"/>
        <v>0</v>
      </c>
      <c r="ED585" t="b">
        <f t="shared" si="1233"/>
        <v>0</v>
      </c>
      <c r="EE585" t="b">
        <f t="shared" si="1234"/>
        <v>0</v>
      </c>
      <c r="EF585" t="b">
        <f t="shared" si="1235"/>
        <v>0</v>
      </c>
      <c r="EG585" t="b">
        <f t="shared" si="1236"/>
        <v>0</v>
      </c>
      <c r="EH585" t="b">
        <f t="shared" si="1237"/>
        <v>0</v>
      </c>
      <c r="EI585" t="b">
        <f t="shared" si="1238"/>
        <v>0</v>
      </c>
      <c r="EJ585" t="b">
        <f t="shared" si="1239"/>
        <v>0</v>
      </c>
      <c r="EK585" t="b">
        <f t="shared" si="1240"/>
        <v>0</v>
      </c>
    </row>
    <row r="586" spans="1:141">
      <c r="A586" t="s">
        <v>2946</v>
      </c>
      <c r="B586" t="s">
        <v>2947</v>
      </c>
      <c r="C586" t="s">
        <v>2948</v>
      </c>
      <c r="D586" s="1">
        <v>42311</v>
      </c>
      <c r="E586" s="2">
        <v>42393.552210648151</v>
      </c>
      <c r="F586" s="2">
        <v>42393.552210648151</v>
      </c>
      <c r="G586">
        <v>518966</v>
      </c>
      <c r="H586" t="s">
        <v>2949</v>
      </c>
      <c r="I586" s="10" t="s">
        <v>2950</v>
      </c>
      <c r="J586" t="s">
        <v>2951</v>
      </c>
      <c r="K586" s="8" t="b">
        <v>1</v>
      </c>
      <c r="L586" s="10" t="b">
        <v>0</v>
      </c>
      <c r="M586" s="12" t="b">
        <v>0</v>
      </c>
      <c r="N586" t="b">
        <v>0</v>
      </c>
      <c r="O586" t="b">
        <v>0</v>
      </c>
      <c r="P586" t="b">
        <v>0</v>
      </c>
      <c r="Q586">
        <f t="shared" si="1117"/>
        <v>3</v>
      </c>
      <c r="R586">
        <f t="shared" si="1118"/>
        <v>11</v>
      </c>
      <c r="S586" t="e">
        <f t="shared" ca="1" si="1148"/>
        <v>#NAME?</v>
      </c>
      <c r="T586" t="e">
        <f t="shared" ca="1" si="1119"/>
        <v>#NAME?</v>
      </c>
      <c r="U586" s="4">
        <f t="shared" si="1120"/>
        <v>82.552210648151231</v>
      </c>
      <c r="V586" s="4">
        <f t="shared" si="1121"/>
        <v>2.7517403549383745</v>
      </c>
      <c r="W586" s="4">
        <f t="shared" si="1122"/>
        <v>1</v>
      </c>
      <c r="X586" s="4">
        <f t="shared" si="1123"/>
        <v>0</v>
      </c>
      <c r="Y586" s="4">
        <f t="shared" si="1124"/>
        <v>0</v>
      </c>
      <c r="Z586" s="4">
        <f t="shared" si="1125"/>
        <v>0</v>
      </c>
      <c r="AA586" s="4">
        <f t="shared" si="1126"/>
        <v>0</v>
      </c>
      <c r="AB586" s="4">
        <f t="shared" si="1127"/>
        <v>0</v>
      </c>
      <c r="AD586" s="4" t="b">
        <f t="shared" si="1128"/>
        <v>0</v>
      </c>
      <c r="AE586" s="4" t="b">
        <f t="shared" si="1129"/>
        <v>0</v>
      </c>
      <c r="AF586" s="4" t="b">
        <f t="shared" si="1130"/>
        <v>0</v>
      </c>
      <c r="AG586" t="b">
        <f t="shared" si="1131"/>
        <v>0</v>
      </c>
      <c r="AH586" t="b">
        <f t="shared" si="1132"/>
        <v>0</v>
      </c>
      <c r="AI586" t="b">
        <f t="shared" si="1133"/>
        <v>0</v>
      </c>
      <c r="AJ586" t="b">
        <f t="shared" si="1134"/>
        <v>0</v>
      </c>
      <c r="AK586" t="b">
        <f t="shared" si="1135"/>
        <v>0</v>
      </c>
      <c r="AL586" t="b">
        <f t="shared" si="1136"/>
        <v>0</v>
      </c>
      <c r="AM586" t="b">
        <f t="shared" si="1137"/>
        <v>0</v>
      </c>
      <c r="AN586" t="b">
        <f t="shared" si="1138"/>
        <v>0</v>
      </c>
      <c r="AO586" t="b">
        <f t="shared" si="1139"/>
        <v>0</v>
      </c>
      <c r="AP586" t="b">
        <f t="shared" si="1140"/>
        <v>0</v>
      </c>
      <c r="AQ586" t="b">
        <f t="shared" si="1141"/>
        <v>0</v>
      </c>
      <c r="AR586" t="b">
        <f t="shared" si="1142"/>
        <v>0</v>
      </c>
      <c r="AS586" t="b">
        <f t="shared" si="1143"/>
        <v>0</v>
      </c>
      <c r="AT586" t="b">
        <f t="shared" si="1144"/>
        <v>0</v>
      </c>
      <c r="AU586" t="b">
        <f t="shared" si="1145"/>
        <v>0</v>
      </c>
      <c r="AV586" t="b">
        <f t="shared" si="1146"/>
        <v>0</v>
      </c>
      <c r="AW586" t="b">
        <f t="shared" si="1147"/>
        <v>0</v>
      </c>
      <c r="AX586" t="b">
        <f t="shared" si="1149"/>
        <v>0</v>
      </c>
      <c r="AY586" t="b">
        <f t="shared" si="1150"/>
        <v>0</v>
      </c>
      <c r="AZ586">
        <f t="shared" si="1151"/>
        <v>1</v>
      </c>
      <c r="BA586" t="b">
        <f t="shared" si="1152"/>
        <v>0</v>
      </c>
      <c r="BB586" t="b">
        <f t="shared" si="1153"/>
        <v>0</v>
      </c>
      <c r="BC586" t="b">
        <f t="shared" si="1154"/>
        <v>0</v>
      </c>
      <c r="BD586" t="b">
        <f t="shared" si="1155"/>
        <v>0</v>
      </c>
      <c r="BE586" t="b">
        <f t="shared" si="1156"/>
        <v>0</v>
      </c>
      <c r="BF586" t="b">
        <f t="shared" si="1157"/>
        <v>0</v>
      </c>
      <c r="BG586" t="b">
        <f t="shared" si="1158"/>
        <v>0</v>
      </c>
      <c r="BH586" t="b">
        <f t="shared" si="1159"/>
        <v>0</v>
      </c>
      <c r="BI586">
        <f t="shared" si="1160"/>
        <v>1</v>
      </c>
      <c r="BJ586" t="b">
        <f t="shared" si="1161"/>
        <v>0</v>
      </c>
      <c r="BK586" t="b">
        <f t="shared" si="1162"/>
        <v>0</v>
      </c>
      <c r="BL586" t="b">
        <f t="shared" si="1163"/>
        <v>0</v>
      </c>
      <c r="BM586" t="b">
        <f t="shared" si="1164"/>
        <v>0</v>
      </c>
      <c r="BN586" t="b">
        <f t="shared" si="1165"/>
        <v>0</v>
      </c>
      <c r="BO586" t="b">
        <f t="shared" si="1166"/>
        <v>0</v>
      </c>
      <c r="BP586" t="b">
        <f t="shared" si="1167"/>
        <v>0</v>
      </c>
      <c r="BQ586" t="b">
        <f t="shared" si="1168"/>
        <v>0</v>
      </c>
      <c r="BR586" t="b">
        <f t="shared" si="1169"/>
        <v>0</v>
      </c>
      <c r="BS586" t="b">
        <f t="shared" si="1170"/>
        <v>0</v>
      </c>
      <c r="BT586" t="b">
        <f t="shared" si="1171"/>
        <v>0</v>
      </c>
      <c r="BU586" t="b">
        <f t="shared" si="1172"/>
        <v>0</v>
      </c>
      <c r="BV586" t="b">
        <f t="shared" si="1173"/>
        <v>0</v>
      </c>
      <c r="BW586" t="b">
        <f t="shared" si="1174"/>
        <v>0</v>
      </c>
      <c r="BX586" t="b">
        <f t="shared" si="1175"/>
        <v>0</v>
      </c>
      <c r="BY586" t="b">
        <f t="shared" si="1176"/>
        <v>0</v>
      </c>
      <c r="BZ586">
        <f t="shared" si="1177"/>
        <v>1</v>
      </c>
      <c r="CA586" t="b">
        <f t="shared" si="1178"/>
        <v>0</v>
      </c>
      <c r="CB586" t="b">
        <f t="shared" si="1179"/>
        <v>0</v>
      </c>
      <c r="CC586" t="b">
        <f t="shared" si="1180"/>
        <v>0</v>
      </c>
      <c r="CD586">
        <f t="shared" si="1181"/>
        <v>1</v>
      </c>
      <c r="CE586">
        <f t="shared" si="1182"/>
        <v>1</v>
      </c>
      <c r="CF586" t="b">
        <f t="shared" si="1183"/>
        <v>0</v>
      </c>
      <c r="CG586" t="b">
        <f t="shared" si="1184"/>
        <v>0</v>
      </c>
      <c r="CH586" t="b">
        <f t="shared" si="1185"/>
        <v>0</v>
      </c>
      <c r="CI586" t="b">
        <f t="shared" si="1186"/>
        <v>0</v>
      </c>
      <c r="CJ586" t="b">
        <f t="shared" si="1187"/>
        <v>0</v>
      </c>
      <c r="CK586" t="b">
        <f t="shared" si="1188"/>
        <v>0</v>
      </c>
      <c r="CL586" t="b">
        <f t="shared" si="1189"/>
        <v>0</v>
      </c>
      <c r="CM586" t="b">
        <f t="shared" si="1190"/>
        <v>0</v>
      </c>
      <c r="CN586" t="b">
        <f t="shared" si="1191"/>
        <v>0</v>
      </c>
      <c r="CO586" t="b">
        <f t="shared" si="1192"/>
        <v>0</v>
      </c>
      <c r="CP586" t="b">
        <f t="shared" si="1193"/>
        <v>0</v>
      </c>
      <c r="CQ586" t="b">
        <f t="shared" si="1194"/>
        <v>0</v>
      </c>
      <c r="CR586" t="b">
        <f t="shared" si="1195"/>
        <v>0</v>
      </c>
      <c r="CS586" t="b">
        <f t="shared" si="1196"/>
        <v>0</v>
      </c>
      <c r="CT586" t="b">
        <f t="shared" si="1197"/>
        <v>0</v>
      </c>
      <c r="CU586" t="b">
        <f t="shared" si="1198"/>
        <v>0</v>
      </c>
      <c r="CV586">
        <f t="shared" si="1199"/>
        <v>1</v>
      </c>
      <c r="CW586" t="b">
        <f t="shared" si="1200"/>
        <v>0</v>
      </c>
      <c r="CX586" t="b">
        <f t="shared" si="1201"/>
        <v>0</v>
      </c>
      <c r="CY586" t="b">
        <f t="shared" si="1202"/>
        <v>0</v>
      </c>
      <c r="CZ586" t="b">
        <f t="shared" si="1203"/>
        <v>0</v>
      </c>
      <c r="DA586" t="b">
        <f t="shared" si="1204"/>
        <v>0</v>
      </c>
      <c r="DB586" t="b">
        <f t="shared" si="1205"/>
        <v>0</v>
      </c>
      <c r="DC586" t="b">
        <f t="shared" si="1206"/>
        <v>0</v>
      </c>
      <c r="DD586" t="b">
        <f t="shared" si="1207"/>
        <v>0</v>
      </c>
      <c r="DE586" t="b">
        <f t="shared" si="1208"/>
        <v>0</v>
      </c>
      <c r="DF586" t="b">
        <f t="shared" si="1209"/>
        <v>0</v>
      </c>
      <c r="DG586" t="b">
        <f t="shared" si="1210"/>
        <v>0</v>
      </c>
      <c r="DH586" t="b">
        <f t="shared" si="1211"/>
        <v>0</v>
      </c>
      <c r="DI586" t="b">
        <f t="shared" si="1212"/>
        <v>0</v>
      </c>
      <c r="DJ586" t="b">
        <f t="shared" si="1213"/>
        <v>0</v>
      </c>
      <c r="DK586" t="b">
        <f t="shared" si="1214"/>
        <v>0</v>
      </c>
      <c r="DL586" t="b">
        <f t="shared" si="1215"/>
        <v>0</v>
      </c>
      <c r="DM586" t="b">
        <f t="shared" si="1216"/>
        <v>0</v>
      </c>
      <c r="DN586" t="b">
        <f t="shared" si="1217"/>
        <v>0</v>
      </c>
      <c r="DO586" t="b">
        <f t="shared" si="1218"/>
        <v>0</v>
      </c>
      <c r="DP586" t="b">
        <f t="shared" si="1219"/>
        <v>0</v>
      </c>
      <c r="DQ586" t="b">
        <f t="shared" si="1220"/>
        <v>0</v>
      </c>
      <c r="DR586" t="b">
        <f t="shared" si="1221"/>
        <v>0</v>
      </c>
      <c r="DS586">
        <f t="shared" si="1222"/>
        <v>1</v>
      </c>
      <c r="DT586" t="b">
        <f t="shared" si="1223"/>
        <v>0</v>
      </c>
      <c r="DU586" t="b">
        <f t="shared" si="1224"/>
        <v>0</v>
      </c>
      <c r="DV586" t="b">
        <f t="shared" si="1225"/>
        <v>0</v>
      </c>
      <c r="DW586" t="b">
        <f t="shared" si="1226"/>
        <v>0</v>
      </c>
      <c r="DX586" t="b">
        <f t="shared" si="1227"/>
        <v>0</v>
      </c>
      <c r="DY586" t="b">
        <f t="shared" si="1228"/>
        <v>0</v>
      </c>
      <c r="DZ586" t="b">
        <f t="shared" si="1229"/>
        <v>0</v>
      </c>
      <c r="EA586">
        <f t="shared" si="1230"/>
        <v>1</v>
      </c>
      <c r="EB586" t="b">
        <f t="shared" si="1231"/>
        <v>0</v>
      </c>
      <c r="EC586" t="b">
        <f t="shared" si="1232"/>
        <v>0</v>
      </c>
      <c r="ED586" t="b">
        <f t="shared" si="1233"/>
        <v>0</v>
      </c>
      <c r="EE586" t="b">
        <f t="shared" si="1234"/>
        <v>0</v>
      </c>
      <c r="EF586" t="b">
        <f t="shared" si="1235"/>
        <v>0</v>
      </c>
      <c r="EG586" t="b">
        <f t="shared" si="1236"/>
        <v>0</v>
      </c>
      <c r="EH586" t="b">
        <f t="shared" si="1237"/>
        <v>0</v>
      </c>
      <c r="EI586">
        <f t="shared" si="1238"/>
        <v>1</v>
      </c>
      <c r="EJ586" t="b">
        <f t="shared" si="1239"/>
        <v>0</v>
      </c>
      <c r="EK586" t="b">
        <f t="shared" si="1240"/>
        <v>0</v>
      </c>
    </row>
    <row r="587" spans="1:141">
      <c r="A587" t="s">
        <v>2952</v>
      </c>
      <c r="B587" t="s">
        <v>2952</v>
      </c>
      <c r="C587" t="s">
        <v>2953</v>
      </c>
      <c r="D587" s="1">
        <v>43654</v>
      </c>
      <c r="E587" s="2">
        <v>43770.217824074076</v>
      </c>
      <c r="F587" s="2">
        <v>43770.217824074076</v>
      </c>
      <c r="G587">
        <v>686899</v>
      </c>
      <c r="H587" t="s">
        <v>2954</v>
      </c>
      <c r="I587" s="10" t="s">
        <v>2955</v>
      </c>
      <c r="J587" t="s">
        <v>2956</v>
      </c>
      <c r="K587" s="8" t="b">
        <v>1</v>
      </c>
      <c r="L587" s="10" t="b">
        <v>0</v>
      </c>
      <c r="M587" s="12" t="b">
        <v>0</v>
      </c>
      <c r="N587" t="b">
        <v>0</v>
      </c>
      <c r="O587" t="b">
        <v>0</v>
      </c>
      <c r="P587" t="b">
        <v>0</v>
      </c>
      <c r="Q587">
        <f t="shared" si="1117"/>
        <v>2</v>
      </c>
      <c r="R587">
        <f t="shared" si="1118"/>
        <v>7</v>
      </c>
      <c r="S587" t="e">
        <f t="shared" ca="1" si="1148"/>
        <v>#NAME?</v>
      </c>
      <c r="T587" t="e">
        <f t="shared" ca="1" si="1119"/>
        <v>#NAME?</v>
      </c>
      <c r="U587" s="4">
        <f t="shared" si="1120"/>
        <v>116.21782407407591</v>
      </c>
      <c r="V587" s="4">
        <f t="shared" si="1121"/>
        <v>3.8739274691358636</v>
      </c>
      <c r="W587" s="4">
        <f t="shared" si="1122"/>
        <v>1</v>
      </c>
      <c r="X587" s="4">
        <f t="shared" si="1123"/>
        <v>0</v>
      </c>
      <c r="Y587" s="4">
        <f t="shared" si="1124"/>
        <v>0</v>
      </c>
      <c r="Z587" s="4">
        <f t="shared" si="1125"/>
        <v>0</v>
      </c>
      <c r="AA587" s="4">
        <f t="shared" si="1126"/>
        <v>0</v>
      </c>
      <c r="AB587" s="4">
        <f t="shared" si="1127"/>
        <v>0</v>
      </c>
      <c r="AD587" s="4" t="b">
        <f t="shared" si="1128"/>
        <v>0</v>
      </c>
      <c r="AE587" s="4" t="b">
        <f t="shared" si="1129"/>
        <v>0</v>
      </c>
      <c r="AF587" s="4" t="b">
        <f t="shared" si="1130"/>
        <v>0</v>
      </c>
      <c r="AG587" t="b">
        <f t="shared" si="1131"/>
        <v>0</v>
      </c>
      <c r="AH587" t="b">
        <f t="shared" si="1132"/>
        <v>0</v>
      </c>
      <c r="AI587" t="b">
        <f t="shared" si="1133"/>
        <v>0</v>
      </c>
      <c r="AJ587" t="b">
        <f t="shared" si="1134"/>
        <v>0</v>
      </c>
      <c r="AK587" t="b">
        <f t="shared" si="1135"/>
        <v>0</v>
      </c>
      <c r="AL587" t="b">
        <f t="shared" si="1136"/>
        <v>0</v>
      </c>
      <c r="AM587" t="b">
        <f t="shared" si="1137"/>
        <v>0</v>
      </c>
      <c r="AN587" t="b">
        <f t="shared" si="1138"/>
        <v>0</v>
      </c>
      <c r="AO587" t="b">
        <f t="shared" si="1139"/>
        <v>0</v>
      </c>
      <c r="AP587" t="b">
        <f t="shared" si="1140"/>
        <v>0</v>
      </c>
      <c r="AQ587" t="b">
        <f t="shared" si="1141"/>
        <v>0</v>
      </c>
      <c r="AR587" t="b">
        <f t="shared" si="1142"/>
        <v>0</v>
      </c>
      <c r="AS587" t="b">
        <f t="shared" si="1143"/>
        <v>0</v>
      </c>
      <c r="AT587" t="b">
        <f t="shared" si="1144"/>
        <v>0</v>
      </c>
      <c r="AU587" t="b">
        <f t="shared" si="1145"/>
        <v>0</v>
      </c>
      <c r="AV587" t="b">
        <f t="shared" si="1146"/>
        <v>0</v>
      </c>
      <c r="AW587" t="b">
        <f t="shared" si="1147"/>
        <v>0</v>
      </c>
      <c r="AX587" t="b">
        <f t="shared" si="1149"/>
        <v>0</v>
      </c>
      <c r="AY587" t="b">
        <f t="shared" si="1150"/>
        <v>0</v>
      </c>
      <c r="AZ587" t="b">
        <f t="shared" si="1151"/>
        <v>0</v>
      </c>
      <c r="BA587" t="b">
        <f t="shared" si="1152"/>
        <v>0</v>
      </c>
      <c r="BB587" t="b">
        <f t="shared" si="1153"/>
        <v>0</v>
      </c>
      <c r="BC587" t="b">
        <f t="shared" si="1154"/>
        <v>0</v>
      </c>
      <c r="BD587" t="b">
        <f t="shared" si="1155"/>
        <v>0</v>
      </c>
      <c r="BE587" t="b">
        <f t="shared" si="1156"/>
        <v>0</v>
      </c>
      <c r="BF587" t="b">
        <f t="shared" si="1157"/>
        <v>0</v>
      </c>
      <c r="BG587" t="b">
        <f t="shared" si="1158"/>
        <v>0</v>
      </c>
      <c r="BH587" t="b">
        <f t="shared" si="1159"/>
        <v>0</v>
      </c>
      <c r="BI587">
        <f t="shared" si="1160"/>
        <v>1</v>
      </c>
      <c r="BJ587" t="b">
        <f t="shared" si="1161"/>
        <v>0</v>
      </c>
      <c r="BK587" t="b">
        <f t="shared" si="1162"/>
        <v>0</v>
      </c>
      <c r="BL587" t="b">
        <f t="shared" si="1163"/>
        <v>0</v>
      </c>
      <c r="BM587" t="b">
        <f t="shared" si="1164"/>
        <v>0</v>
      </c>
      <c r="BN587" t="b">
        <f t="shared" si="1165"/>
        <v>0</v>
      </c>
      <c r="BO587" t="b">
        <f t="shared" si="1166"/>
        <v>0</v>
      </c>
      <c r="BP587" t="b">
        <f t="shared" si="1167"/>
        <v>0</v>
      </c>
      <c r="BQ587" t="b">
        <f t="shared" si="1168"/>
        <v>0</v>
      </c>
      <c r="BR587">
        <f t="shared" si="1169"/>
        <v>1</v>
      </c>
      <c r="BS587" t="b">
        <f t="shared" si="1170"/>
        <v>0</v>
      </c>
      <c r="BT587" t="b">
        <f t="shared" si="1171"/>
        <v>0</v>
      </c>
      <c r="BU587" t="b">
        <f t="shared" si="1172"/>
        <v>0</v>
      </c>
      <c r="BV587" t="b">
        <f t="shared" si="1173"/>
        <v>0</v>
      </c>
      <c r="BW587" t="b">
        <f t="shared" si="1174"/>
        <v>0</v>
      </c>
      <c r="BX587" t="b">
        <f t="shared" si="1175"/>
        <v>0</v>
      </c>
      <c r="BY587" t="b">
        <f t="shared" si="1176"/>
        <v>0</v>
      </c>
      <c r="BZ587" t="b">
        <f t="shared" si="1177"/>
        <v>0</v>
      </c>
      <c r="CA587" t="b">
        <f t="shared" si="1178"/>
        <v>0</v>
      </c>
      <c r="CB587" t="b">
        <f t="shared" si="1179"/>
        <v>0</v>
      </c>
      <c r="CC587" t="b">
        <f t="shared" si="1180"/>
        <v>0</v>
      </c>
      <c r="CD587" t="b">
        <f t="shared" si="1181"/>
        <v>0</v>
      </c>
      <c r="CE587">
        <f t="shared" si="1182"/>
        <v>1</v>
      </c>
      <c r="CF587" t="b">
        <f t="shared" si="1183"/>
        <v>0</v>
      </c>
      <c r="CG587" t="b">
        <f t="shared" si="1184"/>
        <v>0</v>
      </c>
      <c r="CH587" t="b">
        <f t="shared" si="1185"/>
        <v>0</v>
      </c>
      <c r="CI587" t="b">
        <f t="shared" si="1186"/>
        <v>0</v>
      </c>
      <c r="CJ587" t="b">
        <f t="shared" si="1187"/>
        <v>0</v>
      </c>
      <c r="CK587" t="b">
        <f t="shared" si="1188"/>
        <v>0</v>
      </c>
      <c r="CL587" t="b">
        <f t="shared" si="1189"/>
        <v>0</v>
      </c>
      <c r="CM587">
        <f t="shared" si="1190"/>
        <v>1</v>
      </c>
      <c r="CN587" t="b">
        <f t="shared" si="1191"/>
        <v>0</v>
      </c>
      <c r="CO587" t="b">
        <f t="shared" si="1192"/>
        <v>0</v>
      </c>
      <c r="CP587" t="b">
        <f t="shared" si="1193"/>
        <v>0</v>
      </c>
      <c r="CQ587" t="b">
        <f t="shared" si="1194"/>
        <v>0</v>
      </c>
      <c r="CR587" t="b">
        <f t="shared" si="1195"/>
        <v>0</v>
      </c>
      <c r="CS587" t="b">
        <f t="shared" si="1196"/>
        <v>0</v>
      </c>
      <c r="CT587" t="b">
        <f t="shared" si="1197"/>
        <v>0</v>
      </c>
      <c r="CU587" t="b">
        <f t="shared" si="1198"/>
        <v>0</v>
      </c>
      <c r="CV587">
        <f t="shared" si="1199"/>
        <v>1</v>
      </c>
      <c r="CW587" t="b">
        <f t="shared" si="1200"/>
        <v>0</v>
      </c>
      <c r="CX587" t="b">
        <f t="shared" si="1201"/>
        <v>0</v>
      </c>
      <c r="CY587" t="b">
        <f t="shared" si="1202"/>
        <v>0</v>
      </c>
      <c r="CZ587" t="b">
        <f t="shared" si="1203"/>
        <v>0</v>
      </c>
      <c r="DA587">
        <f t="shared" si="1204"/>
        <v>1</v>
      </c>
      <c r="DB587" t="b">
        <f t="shared" si="1205"/>
        <v>0</v>
      </c>
      <c r="DC587" t="b">
        <f t="shared" si="1206"/>
        <v>0</v>
      </c>
      <c r="DD587" t="b">
        <f t="shared" si="1207"/>
        <v>0</v>
      </c>
      <c r="DE587" t="b">
        <f t="shared" si="1208"/>
        <v>0</v>
      </c>
      <c r="DF587" t="b">
        <f t="shared" si="1209"/>
        <v>0</v>
      </c>
      <c r="DG587" t="b">
        <f t="shared" si="1210"/>
        <v>0</v>
      </c>
      <c r="DH587" t="b">
        <f t="shared" si="1211"/>
        <v>0</v>
      </c>
      <c r="DI587" t="b">
        <f t="shared" si="1212"/>
        <v>0</v>
      </c>
      <c r="DJ587" t="b">
        <f t="shared" si="1213"/>
        <v>0</v>
      </c>
      <c r="DK587" t="b">
        <f t="shared" si="1214"/>
        <v>0</v>
      </c>
      <c r="DL587" t="b">
        <f t="shared" si="1215"/>
        <v>0</v>
      </c>
      <c r="DM587" t="b">
        <f t="shared" si="1216"/>
        <v>0</v>
      </c>
      <c r="DN587" t="b">
        <f t="shared" si="1217"/>
        <v>0</v>
      </c>
      <c r="DO587" t="b">
        <f t="shared" si="1218"/>
        <v>0</v>
      </c>
      <c r="DP587" t="b">
        <f t="shared" si="1219"/>
        <v>0</v>
      </c>
      <c r="DQ587" t="b">
        <f t="shared" si="1220"/>
        <v>0</v>
      </c>
      <c r="DR587" t="b">
        <f t="shared" si="1221"/>
        <v>0</v>
      </c>
      <c r="DS587" t="b">
        <f t="shared" si="1222"/>
        <v>0</v>
      </c>
      <c r="DT587" t="b">
        <f t="shared" si="1223"/>
        <v>0</v>
      </c>
      <c r="DU587" t="b">
        <f t="shared" si="1224"/>
        <v>0</v>
      </c>
      <c r="DV587" t="b">
        <f t="shared" si="1225"/>
        <v>0</v>
      </c>
      <c r="DW587" t="b">
        <f t="shared" si="1226"/>
        <v>0</v>
      </c>
      <c r="DX587" t="b">
        <f t="shared" si="1227"/>
        <v>0</v>
      </c>
      <c r="DY587" t="b">
        <f t="shared" si="1228"/>
        <v>0</v>
      </c>
      <c r="DZ587" t="b">
        <f t="shared" si="1229"/>
        <v>0</v>
      </c>
      <c r="EA587">
        <f t="shared" si="1230"/>
        <v>1</v>
      </c>
      <c r="EB587" t="b">
        <f t="shared" si="1231"/>
        <v>0</v>
      </c>
      <c r="EC587">
        <f t="shared" si="1232"/>
        <v>1</v>
      </c>
      <c r="ED587" t="b">
        <f t="shared" si="1233"/>
        <v>0</v>
      </c>
      <c r="EE587" t="b">
        <f t="shared" si="1234"/>
        <v>0</v>
      </c>
      <c r="EF587" t="b">
        <f t="shared" si="1235"/>
        <v>0</v>
      </c>
      <c r="EG587" t="b">
        <f t="shared" si="1236"/>
        <v>0</v>
      </c>
      <c r="EH587" t="b">
        <f t="shared" si="1237"/>
        <v>0</v>
      </c>
      <c r="EI587">
        <f t="shared" si="1238"/>
        <v>1</v>
      </c>
      <c r="EJ587" t="b">
        <f t="shared" si="1239"/>
        <v>0</v>
      </c>
      <c r="EK587" t="b">
        <f t="shared" si="1240"/>
        <v>0</v>
      </c>
    </row>
    <row r="588" spans="1:141">
      <c r="A588" t="s">
        <v>2957</v>
      </c>
      <c r="B588" t="s">
        <v>2958</v>
      </c>
      <c r="C588" t="s">
        <v>2959</v>
      </c>
      <c r="D588" s="1">
        <v>43521</v>
      </c>
      <c r="E588" s="2">
        <v>43533.812430555554</v>
      </c>
      <c r="F588" s="2">
        <v>43533.867951388886</v>
      </c>
      <c r="G588">
        <v>763117241</v>
      </c>
      <c r="H588" t="s">
        <v>2960</v>
      </c>
      <c r="I588" s="10" t="s">
        <v>2961</v>
      </c>
      <c r="J588" t="s">
        <v>2962</v>
      </c>
      <c r="K588" s="8" t="b">
        <v>1</v>
      </c>
      <c r="L588" s="10" t="b">
        <v>0</v>
      </c>
      <c r="M588" s="12" t="b">
        <v>0</v>
      </c>
      <c r="N588" t="b">
        <v>0</v>
      </c>
      <c r="O588" t="b">
        <v>0</v>
      </c>
      <c r="P588" t="b">
        <v>0</v>
      </c>
      <c r="Q588">
        <f t="shared" si="1117"/>
        <v>2</v>
      </c>
      <c r="R588">
        <f t="shared" si="1118"/>
        <v>2</v>
      </c>
      <c r="S588" t="e">
        <f t="shared" ca="1" si="1148"/>
        <v>#NAME?</v>
      </c>
      <c r="T588" t="e">
        <f t="shared" ca="1" si="1119"/>
        <v>#NAME?</v>
      </c>
      <c r="U588" s="4">
        <f t="shared" si="1120"/>
        <v>12.812430555553874</v>
      </c>
      <c r="V588" s="4">
        <f t="shared" si="1121"/>
        <v>0.42708101851846247</v>
      </c>
      <c r="W588" s="4">
        <f t="shared" si="1122"/>
        <v>1</v>
      </c>
      <c r="X588" s="4">
        <f t="shared" si="1123"/>
        <v>0</v>
      </c>
      <c r="Y588" s="4">
        <f t="shared" si="1124"/>
        <v>0</v>
      </c>
      <c r="Z588" s="4">
        <f t="shared" si="1125"/>
        <v>0</v>
      </c>
      <c r="AA588" s="4">
        <f t="shared" si="1126"/>
        <v>0</v>
      </c>
      <c r="AB588" s="4">
        <f t="shared" si="1127"/>
        <v>0</v>
      </c>
      <c r="AD588" s="4" t="b">
        <f t="shared" si="1128"/>
        <v>0</v>
      </c>
      <c r="AE588" s="4" t="b">
        <f t="shared" si="1129"/>
        <v>0</v>
      </c>
      <c r="AF588" s="4" t="b">
        <f t="shared" si="1130"/>
        <v>0</v>
      </c>
      <c r="AG588" t="b">
        <f t="shared" si="1131"/>
        <v>0</v>
      </c>
      <c r="AH588" t="b">
        <f t="shared" si="1132"/>
        <v>0</v>
      </c>
      <c r="AI588" t="b">
        <f t="shared" si="1133"/>
        <v>0</v>
      </c>
      <c r="AJ588" t="b">
        <f t="shared" si="1134"/>
        <v>0</v>
      </c>
      <c r="AK588" t="b">
        <f t="shared" si="1135"/>
        <v>0</v>
      </c>
      <c r="AL588" t="b">
        <f t="shared" si="1136"/>
        <v>0</v>
      </c>
      <c r="AM588" t="b">
        <f t="shared" si="1137"/>
        <v>0</v>
      </c>
      <c r="AN588" t="b">
        <f t="shared" si="1138"/>
        <v>0</v>
      </c>
      <c r="AO588" t="b">
        <f t="shared" si="1139"/>
        <v>0</v>
      </c>
      <c r="AP588" t="b">
        <f t="shared" si="1140"/>
        <v>0</v>
      </c>
      <c r="AQ588" t="b">
        <f t="shared" si="1141"/>
        <v>0</v>
      </c>
      <c r="AR588" t="b">
        <f t="shared" si="1142"/>
        <v>0</v>
      </c>
      <c r="AS588" t="b">
        <f t="shared" si="1143"/>
        <v>0</v>
      </c>
      <c r="AT588" t="b">
        <f t="shared" si="1144"/>
        <v>0</v>
      </c>
      <c r="AU588" t="b">
        <f t="shared" si="1145"/>
        <v>0</v>
      </c>
      <c r="AV588" t="b">
        <f t="shared" si="1146"/>
        <v>0</v>
      </c>
      <c r="AW588" t="b">
        <f t="shared" si="1147"/>
        <v>0</v>
      </c>
      <c r="AX588" t="b">
        <f t="shared" si="1149"/>
        <v>0</v>
      </c>
      <c r="AY588" t="b">
        <f t="shared" si="1150"/>
        <v>0</v>
      </c>
      <c r="AZ588">
        <f t="shared" si="1151"/>
        <v>1</v>
      </c>
      <c r="BA588" t="b">
        <f t="shared" si="1152"/>
        <v>0</v>
      </c>
      <c r="BB588" t="b">
        <f t="shared" si="1153"/>
        <v>0</v>
      </c>
      <c r="BC588" t="b">
        <f t="shared" si="1154"/>
        <v>0</v>
      </c>
      <c r="BD588" t="b">
        <f t="shared" si="1155"/>
        <v>0</v>
      </c>
      <c r="BE588" t="b">
        <f t="shared" si="1156"/>
        <v>0</v>
      </c>
      <c r="BF588" t="b">
        <f t="shared" si="1157"/>
        <v>0</v>
      </c>
      <c r="BG588" t="b">
        <f t="shared" si="1158"/>
        <v>0</v>
      </c>
      <c r="BH588" t="b">
        <f t="shared" si="1159"/>
        <v>0</v>
      </c>
      <c r="BI588">
        <f t="shared" si="1160"/>
        <v>1</v>
      </c>
      <c r="BJ588">
        <f t="shared" si="1161"/>
        <v>1</v>
      </c>
      <c r="BK588" t="b">
        <f t="shared" si="1162"/>
        <v>0</v>
      </c>
      <c r="BL588" t="b">
        <f t="shared" si="1163"/>
        <v>0</v>
      </c>
      <c r="BM588" t="b">
        <f t="shared" si="1164"/>
        <v>0</v>
      </c>
      <c r="BN588" t="b">
        <f t="shared" si="1165"/>
        <v>0</v>
      </c>
      <c r="BO588" t="b">
        <f t="shared" si="1166"/>
        <v>0</v>
      </c>
      <c r="BP588" t="b">
        <f t="shared" si="1167"/>
        <v>0</v>
      </c>
      <c r="BQ588" t="b">
        <f t="shared" si="1168"/>
        <v>0</v>
      </c>
      <c r="BR588">
        <f t="shared" si="1169"/>
        <v>1</v>
      </c>
      <c r="BS588">
        <f t="shared" si="1170"/>
        <v>1</v>
      </c>
      <c r="BT588" t="b">
        <f t="shared" si="1171"/>
        <v>0</v>
      </c>
      <c r="BU588" t="b">
        <f t="shared" si="1172"/>
        <v>0</v>
      </c>
      <c r="BV588" t="b">
        <f t="shared" si="1173"/>
        <v>0</v>
      </c>
      <c r="BW588" t="b">
        <f t="shared" si="1174"/>
        <v>0</v>
      </c>
      <c r="BX588" t="b">
        <f t="shared" si="1175"/>
        <v>0</v>
      </c>
      <c r="BY588" t="b">
        <f t="shared" si="1176"/>
        <v>0</v>
      </c>
      <c r="BZ588" t="b">
        <f t="shared" si="1177"/>
        <v>0</v>
      </c>
      <c r="CA588" t="b">
        <f t="shared" si="1178"/>
        <v>0</v>
      </c>
      <c r="CB588" t="b">
        <f t="shared" si="1179"/>
        <v>0</v>
      </c>
      <c r="CC588" t="b">
        <f t="shared" si="1180"/>
        <v>0</v>
      </c>
      <c r="CD588" t="b">
        <f t="shared" si="1181"/>
        <v>0</v>
      </c>
      <c r="CE588">
        <f t="shared" si="1182"/>
        <v>1</v>
      </c>
      <c r="CF588" t="b">
        <f t="shared" si="1183"/>
        <v>0</v>
      </c>
      <c r="CG588" t="b">
        <f t="shared" si="1184"/>
        <v>0</v>
      </c>
      <c r="CH588" t="b">
        <f t="shared" si="1185"/>
        <v>0</v>
      </c>
      <c r="CI588" t="b">
        <f t="shared" si="1186"/>
        <v>0</v>
      </c>
      <c r="CJ588" t="b">
        <f t="shared" si="1187"/>
        <v>0</v>
      </c>
      <c r="CK588" t="b">
        <f t="shared" si="1188"/>
        <v>0</v>
      </c>
      <c r="CL588" t="b">
        <f t="shared" si="1189"/>
        <v>0</v>
      </c>
      <c r="CM588">
        <f t="shared" si="1190"/>
        <v>1</v>
      </c>
      <c r="CN588" t="b">
        <f t="shared" si="1191"/>
        <v>0</v>
      </c>
      <c r="CO588" t="b">
        <f t="shared" si="1192"/>
        <v>0</v>
      </c>
      <c r="CP588" t="b">
        <f t="shared" si="1193"/>
        <v>0</v>
      </c>
      <c r="CQ588" t="b">
        <f t="shared" si="1194"/>
        <v>0</v>
      </c>
      <c r="CR588" t="b">
        <f t="shared" si="1195"/>
        <v>0</v>
      </c>
      <c r="CS588" t="b">
        <f t="shared" si="1196"/>
        <v>0</v>
      </c>
      <c r="CT588" t="b">
        <f t="shared" si="1197"/>
        <v>0</v>
      </c>
      <c r="CU588" t="b">
        <f t="shared" si="1198"/>
        <v>0</v>
      </c>
      <c r="CV588" t="b">
        <f t="shared" si="1199"/>
        <v>0</v>
      </c>
      <c r="CW588" t="b">
        <f t="shared" si="1200"/>
        <v>0</v>
      </c>
      <c r="CX588" t="b">
        <f t="shared" si="1201"/>
        <v>0</v>
      </c>
      <c r="CY588" t="b">
        <f t="shared" si="1202"/>
        <v>0</v>
      </c>
      <c r="CZ588" t="b">
        <f t="shared" si="1203"/>
        <v>0</v>
      </c>
      <c r="DA588">
        <f t="shared" si="1204"/>
        <v>1</v>
      </c>
      <c r="DB588">
        <f t="shared" si="1205"/>
        <v>1</v>
      </c>
      <c r="DC588" t="b">
        <f t="shared" si="1206"/>
        <v>0</v>
      </c>
      <c r="DD588" t="b">
        <f t="shared" si="1207"/>
        <v>0</v>
      </c>
      <c r="DE588" t="b">
        <f t="shared" si="1208"/>
        <v>0</v>
      </c>
      <c r="DF588" t="b">
        <f t="shared" si="1209"/>
        <v>0</v>
      </c>
      <c r="DG588" t="b">
        <f t="shared" si="1210"/>
        <v>0</v>
      </c>
      <c r="DH588" t="b">
        <f t="shared" si="1211"/>
        <v>0</v>
      </c>
      <c r="DI588" t="b">
        <f t="shared" si="1212"/>
        <v>0</v>
      </c>
      <c r="DJ588" t="b">
        <f t="shared" si="1213"/>
        <v>0</v>
      </c>
      <c r="DK588" t="b">
        <f t="shared" si="1214"/>
        <v>0</v>
      </c>
      <c r="DL588" t="b">
        <f t="shared" si="1215"/>
        <v>0</v>
      </c>
      <c r="DM588" t="b">
        <f t="shared" si="1216"/>
        <v>0</v>
      </c>
      <c r="DN588" t="b">
        <f t="shared" si="1217"/>
        <v>0</v>
      </c>
      <c r="DO588" t="b">
        <f t="shared" si="1218"/>
        <v>0</v>
      </c>
      <c r="DP588" t="b">
        <f t="shared" si="1219"/>
        <v>0</v>
      </c>
      <c r="DQ588" t="b">
        <f t="shared" si="1220"/>
        <v>0</v>
      </c>
      <c r="DR588" t="b">
        <f t="shared" si="1221"/>
        <v>0</v>
      </c>
      <c r="DS588" t="b">
        <f t="shared" si="1222"/>
        <v>0</v>
      </c>
      <c r="DT588" t="b">
        <f t="shared" si="1223"/>
        <v>0</v>
      </c>
      <c r="DU588" t="b">
        <f t="shared" si="1224"/>
        <v>0</v>
      </c>
      <c r="DV588" t="b">
        <f t="shared" si="1225"/>
        <v>0</v>
      </c>
      <c r="DW588" t="b">
        <f t="shared" si="1226"/>
        <v>0</v>
      </c>
      <c r="DX588" t="b">
        <f t="shared" si="1227"/>
        <v>0</v>
      </c>
      <c r="DY588" t="b">
        <f t="shared" si="1228"/>
        <v>0</v>
      </c>
      <c r="DZ588" t="b">
        <f t="shared" si="1229"/>
        <v>0</v>
      </c>
      <c r="EA588" t="b">
        <f t="shared" si="1230"/>
        <v>0</v>
      </c>
      <c r="EB588" t="b">
        <f t="shared" si="1231"/>
        <v>0</v>
      </c>
      <c r="EC588" t="b">
        <f t="shared" si="1232"/>
        <v>0</v>
      </c>
      <c r="ED588" t="b">
        <f t="shared" si="1233"/>
        <v>0</v>
      </c>
      <c r="EE588" t="b">
        <f t="shared" si="1234"/>
        <v>0</v>
      </c>
      <c r="EF588" t="b">
        <f t="shared" si="1235"/>
        <v>0</v>
      </c>
      <c r="EG588" t="b">
        <f t="shared" si="1236"/>
        <v>0</v>
      </c>
      <c r="EH588" t="b">
        <f t="shared" si="1237"/>
        <v>0</v>
      </c>
      <c r="EI588" t="b">
        <f t="shared" si="1238"/>
        <v>0</v>
      </c>
      <c r="EJ588" t="b">
        <f t="shared" si="1239"/>
        <v>0</v>
      </c>
      <c r="EK588" t="b">
        <f t="shared" si="1240"/>
        <v>0</v>
      </c>
    </row>
    <row r="589" spans="1:141">
      <c r="A589" t="s">
        <v>2963</v>
      </c>
      <c r="B589" t="s">
        <v>2963</v>
      </c>
      <c r="C589" t="s">
        <v>2964</v>
      </c>
      <c r="D589" s="1">
        <v>41649</v>
      </c>
      <c r="E589" s="2">
        <v>41826.178206018521</v>
      </c>
      <c r="F589" s="2">
        <v>41826.178206018521</v>
      </c>
      <c r="G589">
        <v>16919</v>
      </c>
      <c r="H589" t="s">
        <v>2965</v>
      </c>
      <c r="I589" s="10" t="s">
        <v>2966</v>
      </c>
      <c r="J589" t="s">
        <v>2967</v>
      </c>
      <c r="K589" s="8" t="b">
        <v>1</v>
      </c>
      <c r="L589" s="10" t="b">
        <v>0</v>
      </c>
      <c r="M589" s="12" t="b">
        <v>0</v>
      </c>
      <c r="N589" t="b">
        <v>0</v>
      </c>
      <c r="O589" t="b">
        <v>0</v>
      </c>
      <c r="P589" t="b">
        <v>0</v>
      </c>
      <c r="Q589">
        <f t="shared" si="1117"/>
        <v>6</v>
      </c>
      <c r="R589">
        <f t="shared" si="1118"/>
        <v>1</v>
      </c>
      <c r="S589" t="e">
        <f t="shared" ca="1" si="1148"/>
        <v>#NAME?</v>
      </c>
      <c r="T589" t="e">
        <f t="shared" ca="1" si="1119"/>
        <v>#NAME?</v>
      </c>
      <c r="U589" s="4">
        <f t="shared" si="1120"/>
        <v>177.17820601852145</v>
      </c>
      <c r="V589" s="4">
        <f t="shared" si="1121"/>
        <v>5.9059402006173816</v>
      </c>
      <c r="W589" s="4">
        <f t="shared" si="1122"/>
        <v>1</v>
      </c>
      <c r="X589" s="4">
        <f t="shared" si="1123"/>
        <v>0</v>
      </c>
      <c r="Y589" s="4">
        <f t="shared" si="1124"/>
        <v>0</v>
      </c>
      <c r="Z589" s="4">
        <f t="shared" si="1125"/>
        <v>0</v>
      </c>
      <c r="AA589" s="4">
        <f t="shared" si="1126"/>
        <v>0</v>
      </c>
      <c r="AB589" s="4">
        <f t="shared" si="1127"/>
        <v>0</v>
      </c>
      <c r="AD589" s="4" t="b">
        <f t="shared" si="1128"/>
        <v>0</v>
      </c>
      <c r="AE589" s="4" t="b">
        <f t="shared" si="1129"/>
        <v>0</v>
      </c>
      <c r="AF589" s="4" t="b">
        <f t="shared" si="1130"/>
        <v>0</v>
      </c>
      <c r="AG589" t="b">
        <f t="shared" si="1131"/>
        <v>0</v>
      </c>
      <c r="AH589" t="b">
        <f t="shared" si="1132"/>
        <v>0</v>
      </c>
      <c r="AI589" t="b">
        <f t="shared" si="1133"/>
        <v>0</v>
      </c>
      <c r="AJ589" t="b">
        <f t="shared" si="1134"/>
        <v>0</v>
      </c>
      <c r="AK589" t="b">
        <f t="shared" si="1135"/>
        <v>0</v>
      </c>
      <c r="AL589" t="b">
        <f t="shared" si="1136"/>
        <v>0</v>
      </c>
      <c r="AM589" t="b">
        <f t="shared" si="1137"/>
        <v>0</v>
      </c>
      <c r="AN589" t="b">
        <f t="shared" si="1138"/>
        <v>0</v>
      </c>
      <c r="AO589" t="b">
        <f t="shared" si="1139"/>
        <v>0</v>
      </c>
      <c r="AP589" t="b">
        <f t="shared" si="1140"/>
        <v>0</v>
      </c>
      <c r="AQ589" t="b">
        <f t="shared" si="1141"/>
        <v>0</v>
      </c>
      <c r="AR589" t="b">
        <f t="shared" si="1142"/>
        <v>0</v>
      </c>
      <c r="AS589" t="b">
        <f t="shared" si="1143"/>
        <v>0</v>
      </c>
      <c r="AT589" t="b">
        <f t="shared" si="1144"/>
        <v>0</v>
      </c>
      <c r="AU589" t="b">
        <f t="shared" si="1145"/>
        <v>0</v>
      </c>
      <c r="AV589" t="b">
        <f t="shared" si="1146"/>
        <v>0</v>
      </c>
      <c r="AW589" t="b">
        <f t="shared" si="1147"/>
        <v>0</v>
      </c>
      <c r="AX589" t="b">
        <f t="shared" si="1149"/>
        <v>0</v>
      </c>
      <c r="AY589" t="b">
        <f t="shared" si="1150"/>
        <v>0</v>
      </c>
      <c r="AZ589" t="b">
        <f t="shared" si="1151"/>
        <v>0</v>
      </c>
      <c r="BA589" t="b">
        <f t="shared" si="1152"/>
        <v>0</v>
      </c>
      <c r="BB589" t="b">
        <f t="shared" si="1153"/>
        <v>0</v>
      </c>
      <c r="BC589" t="b">
        <f t="shared" si="1154"/>
        <v>0</v>
      </c>
      <c r="BD589" t="b">
        <f t="shared" si="1155"/>
        <v>0</v>
      </c>
      <c r="BE589" t="b">
        <f t="shared" si="1156"/>
        <v>0</v>
      </c>
      <c r="BF589" t="b">
        <f t="shared" si="1157"/>
        <v>0</v>
      </c>
      <c r="BG589" t="b">
        <f t="shared" si="1158"/>
        <v>0</v>
      </c>
      <c r="BH589" t="b">
        <f t="shared" si="1159"/>
        <v>0</v>
      </c>
      <c r="BI589">
        <f t="shared" si="1160"/>
        <v>1</v>
      </c>
      <c r="BJ589" t="b">
        <f t="shared" si="1161"/>
        <v>0</v>
      </c>
      <c r="BK589" t="b">
        <f t="shared" si="1162"/>
        <v>0</v>
      </c>
      <c r="BL589" t="b">
        <f t="shared" si="1163"/>
        <v>0</v>
      </c>
      <c r="BM589" t="b">
        <f t="shared" si="1164"/>
        <v>0</v>
      </c>
      <c r="BN589" t="b">
        <f t="shared" si="1165"/>
        <v>0</v>
      </c>
      <c r="BO589" t="b">
        <f t="shared" si="1166"/>
        <v>0</v>
      </c>
      <c r="BP589" t="b">
        <f t="shared" si="1167"/>
        <v>0</v>
      </c>
      <c r="BQ589" t="b">
        <f t="shared" si="1168"/>
        <v>0</v>
      </c>
      <c r="BR589" t="b">
        <f t="shared" si="1169"/>
        <v>0</v>
      </c>
      <c r="BS589" t="b">
        <f t="shared" si="1170"/>
        <v>0</v>
      </c>
      <c r="BT589" t="b">
        <f t="shared" si="1171"/>
        <v>0</v>
      </c>
      <c r="BU589" t="b">
        <f t="shared" si="1172"/>
        <v>0</v>
      </c>
      <c r="BV589">
        <f t="shared" si="1173"/>
        <v>1</v>
      </c>
      <c r="BW589" t="b">
        <f t="shared" si="1174"/>
        <v>0</v>
      </c>
      <c r="BX589" t="b">
        <f t="shared" si="1175"/>
        <v>0</v>
      </c>
      <c r="BY589" t="b">
        <f t="shared" si="1176"/>
        <v>0</v>
      </c>
      <c r="BZ589" t="b">
        <f t="shared" si="1177"/>
        <v>0</v>
      </c>
      <c r="CA589" t="b">
        <f t="shared" si="1178"/>
        <v>0</v>
      </c>
      <c r="CB589" t="b">
        <f t="shared" si="1179"/>
        <v>0</v>
      </c>
      <c r="CC589" t="b">
        <f t="shared" si="1180"/>
        <v>0</v>
      </c>
      <c r="CD589" t="b">
        <f t="shared" si="1181"/>
        <v>0</v>
      </c>
      <c r="CE589">
        <f t="shared" si="1182"/>
        <v>1</v>
      </c>
      <c r="CF589" t="b">
        <f t="shared" si="1183"/>
        <v>0</v>
      </c>
      <c r="CG589" t="b">
        <f t="shared" si="1184"/>
        <v>0</v>
      </c>
      <c r="CH589" t="b">
        <f t="shared" si="1185"/>
        <v>0</v>
      </c>
      <c r="CI589" t="b">
        <f t="shared" si="1186"/>
        <v>0</v>
      </c>
      <c r="CJ589" t="b">
        <f t="shared" si="1187"/>
        <v>0</v>
      </c>
      <c r="CK589" t="b">
        <f t="shared" si="1188"/>
        <v>0</v>
      </c>
      <c r="CL589" t="b">
        <f t="shared" si="1189"/>
        <v>0</v>
      </c>
      <c r="CM589" t="b">
        <f t="shared" si="1190"/>
        <v>0</v>
      </c>
      <c r="CN589" t="b">
        <f t="shared" si="1191"/>
        <v>0</v>
      </c>
      <c r="CO589" t="b">
        <f t="shared" si="1192"/>
        <v>0</v>
      </c>
      <c r="CP589" t="b">
        <f t="shared" si="1193"/>
        <v>0</v>
      </c>
      <c r="CQ589" t="b">
        <f t="shared" si="1194"/>
        <v>0</v>
      </c>
      <c r="CR589" t="b">
        <f t="shared" si="1195"/>
        <v>0</v>
      </c>
      <c r="CS589" t="b">
        <f t="shared" si="1196"/>
        <v>0</v>
      </c>
      <c r="CT589" t="b">
        <f t="shared" si="1197"/>
        <v>0</v>
      </c>
      <c r="CU589" t="b">
        <f t="shared" si="1198"/>
        <v>0</v>
      </c>
      <c r="CV589">
        <f t="shared" si="1199"/>
        <v>1</v>
      </c>
      <c r="CW589" t="b">
        <f t="shared" si="1200"/>
        <v>0</v>
      </c>
      <c r="CX589" t="b">
        <f t="shared" si="1201"/>
        <v>0</v>
      </c>
      <c r="CY589" t="b">
        <f t="shared" si="1202"/>
        <v>0</v>
      </c>
      <c r="CZ589" t="b">
        <f t="shared" si="1203"/>
        <v>0</v>
      </c>
      <c r="DA589" t="b">
        <f t="shared" si="1204"/>
        <v>0</v>
      </c>
      <c r="DB589" t="b">
        <f t="shared" si="1205"/>
        <v>0</v>
      </c>
      <c r="DC589" t="b">
        <f t="shared" si="1206"/>
        <v>0</v>
      </c>
      <c r="DD589" t="b">
        <f t="shared" si="1207"/>
        <v>0</v>
      </c>
      <c r="DE589" t="b">
        <f t="shared" si="1208"/>
        <v>0</v>
      </c>
      <c r="DF589" t="b">
        <f t="shared" si="1209"/>
        <v>0</v>
      </c>
      <c r="DG589">
        <f t="shared" si="1210"/>
        <v>1</v>
      </c>
      <c r="DH589" t="b">
        <f t="shared" si="1211"/>
        <v>0</v>
      </c>
      <c r="DI589" t="b">
        <f t="shared" si="1212"/>
        <v>0</v>
      </c>
      <c r="DJ589" t="b">
        <f t="shared" si="1213"/>
        <v>0</v>
      </c>
      <c r="DK589" t="b">
        <f t="shared" si="1214"/>
        <v>0</v>
      </c>
      <c r="DL589" t="b">
        <f t="shared" si="1215"/>
        <v>0</v>
      </c>
      <c r="DM589" t="b">
        <f t="shared" si="1216"/>
        <v>0</v>
      </c>
      <c r="DN589" t="b">
        <f t="shared" si="1217"/>
        <v>0</v>
      </c>
      <c r="DO589" t="b">
        <f t="shared" si="1218"/>
        <v>0</v>
      </c>
      <c r="DP589" t="b">
        <f t="shared" si="1219"/>
        <v>0</v>
      </c>
      <c r="DQ589" t="b">
        <f t="shared" si="1220"/>
        <v>0</v>
      </c>
      <c r="DR589" t="b">
        <f t="shared" si="1221"/>
        <v>0</v>
      </c>
      <c r="DS589" t="b">
        <f t="shared" si="1222"/>
        <v>0</v>
      </c>
      <c r="DT589" t="b">
        <f t="shared" si="1223"/>
        <v>0</v>
      </c>
      <c r="DU589" t="b">
        <f t="shared" si="1224"/>
        <v>0</v>
      </c>
      <c r="DV589" t="b">
        <f t="shared" si="1225"/>
        <v>0</v>
      </c>
      <c r="DW589" t="b">
        <f t="shared" si="1226"/>
        <v>0</v>
      </c>
      <c r="DX589" t="b">
        <f t="shared" si="1227"/>
        <v>0</v>
      </c>
      <c r="DY589" t="b">
        <f t="shared" si="1228"/>
        <v>0</v>
      </c>
      <c r="DZ589" t="b">
        <f t="shared" si="1229"/>
        <v>0</v>
      </c>
      <c r="EA589" t="b">
        <f t="shared" si="1230"/>
        <v>0</v>
      </c>
      <c r="EB589" t="b">
        <f t="shared" si="1231"/>
        <v>0</v>
      </c>
      <c r="EC589" t="b">
        <f t="shared" si="1232"/>
        <v>0</v>
      </c>
      <c r="ED589" t="b">
        <f t="shared" si="1233"/>
        <v>0</v>
      </c>
      <c r="EE589" t="b">
        <f t="shared" si="1234"/>
        <v>0</v>
      </c>
      <c r="EF589">
        <f t="shared" si="1235"/>
        <v>1</v>
      </c>
      <c r="EG589" t="b">
        <f t="shared" si="1236"/>
        <v>0</v>
      </c>
      <c r="EH589" t="b">
        <f t="shared" si="1237"/>
        <v>0</v>
      </c>
      <c r="EI589">
        <f t="shared" si="1238"/>
        <v>1</v>
      </c>
      <c r="EJ589" t="b">
        <f t="shared" si="1239"/>
        <v>0</v>
      </c>
      <c r="EK589" t="b">
        <f t="shared" si="1240"/>
        <v>0</v>
      </c>
    </row>
    <row r="590" spans="1:141">
      <c r="A590" t="s">
        <v>2968</v>
      </c>
      <c r="B590" t="s">
        <v>2968</v>
      </c>
      <c r="C590" t="s">
        <v>2969</v>
      </c>
      <c r="D590" s="1">
        <v>43929</v>
      </c>
      <c r="E590" s="2">
        <v>43943.125196759262</v>
      </c>
      <c r="F590" s="2">
        <v>43943.125196759262</v>
      </c>
      <c r="G590">
        <v>94353</v>
      </c>
      <c r="H590" t="s">
        <v>2970</v>
      </c>
      <c r="I590" s="10" t="s">
        <v>2971</v>
      </c>
      <c r="J590" t="s">
        <v>689</v>
      </c>
      <c r="K590" s="8" t="b">
        <v>1</v>
      </c>
      <c r="L590" s="10" t="b">
        <v>0</v>
      </c>
      <c r="M590" s="12" t="b">
        <v>0</v>
      </c>
      <c r="N590" t="b">
        <v>0</v>
      </c>
      <c r="O590" t="b">
        <v>0</v>
      </c>
      <c r="P590" t="b">
        <v>0</v>
      </c>
      <c r="Q590">
        <f t="shared" si="1117"/>
        <v>4</v>
      </c>
      <c r="R590">
        <f t="shared" si="1118"/>
        <v>4</v>
      </c>
      <c r="S590" t="e">
        <f t="shared" ca="1" si="1148"/>
        <v>#NAME?</v>
      </c>
      <c r="T590" t="e">
        <f t="shared" ca="1" si="1119"/>
        <v>#NAME?</v>
      </c>
      <c r="U590" s="4">
        <f t="shared" si="1120"/>
        <v>14.125196759261598</v>
      </c>
      <c r="V590" s="4">
        <f t="shared" si="1121"/>
        <v>0.47083989197538662</v>
      </c>
      <c r="W590" s="4">
        <f t="shared" si="1122"/>
        <v>1</v>
      </c>
      <c r="X590" s="4">
        <f t="shared" si="1123"/>
        <v>0</v>
      </c>
      <c r="Y590" s="4">
        <f t="shared" si="1124"/>
        <v>0</v>
      </c>
      <c r="Z590" s="4">
        <f t="shared" si="1125"/>
        <v>0</v>
      </c>
      <c r="AA590" s="4">
        <f t="shared" si="1126"/>
        <v>0</v>
      </c>
      <c r="AB590" s="4">
        <f t="shared" si="1127"/>
        <v>0</v>
      </c>
      <c r="AD590" s="4" t="b">
        <f t="shared" si="1128"/>
        <v>0</v>
      </c>
      <c r="AE590" s="4" t="b">
        <f t="shared" si="1129"/>
        <v>0</v>
      </c>
      <c r="AF590" s="4" t="b">
        <f t="shared" si="1130"/>
        <v>0</v>
      </c>
      <c r="AG590" t="b">
        <f t="shared" si="1131"/>
        <v>0</v>
      </c>
      <c r="AH590" t="b">
        <f t="shared" si="1132"/>
        <v>0</v>
      </c>
      <c r="AI590" t="b">
        <f t="shared" si="1133"/>
        <v>0</v>
      </c>
      <c r="AJ590" t="b">
        <f t="shared" si="1134"/>
        <v>0</v>
      </c>
      <c r="AK590" t="b">
        <f t="shared" si="1135"/>
        <v>0</v>
      </c>
      <c r="AL590" t="b">
        <f t="shared" si="1136"/>
        <v>0</v>
      </c>
      <c r="AM590" t="b">
        <f t="shared" si="1137"/>
        <v>0</v>
      </c>
      <c r="AN590" t="b">
        <f t="shared" si="1138"/>
        <v>0</v>
      </c>
      <c r="AO590" t="b">
        <f t="shared" si="1139"/>
        <v>0</v>
      </c>
      <c r="AP590" t="b">
        <f t="shared" si="1140"/>
        <v>0</v>
      </c>
      <c r="AQ590" t="b">
        <f t="shared" si="1141"/>
        <v>0</v>
      </c>
      <c r="AR590" t="b">
        <f t="shared" si="1142"/>
        <v>0</v>
      </c>
      <c r="AS590" t="b">
        <f t="shared" si="1143"/>
        <v>0</v>
      </c>
      <c r="AT590" t="b">
        <f t="shared" si="1144"/>
        <v>0</v>
      </c>
      <c r="AU590" t="b">
        <f t="shared" si="1145"/>
        <v>0</v>
      </c>
      <c r="AV590" t="b">
        <f t="shared" si="1146"/>
        <v>0</v>
      </c>
      <c r="AW590" t="b">
        <f t="shared" si="1147"/>
        <v>0</v>
      </c>
      <c r="AX590" t="b">
        <f t="shared" si="1149"/>
        <v>0</v>
      </c>
      <c r="AY590" t="b">
        <f t="shared" si="1150"/>
        <v>0</v>
      </c>
      <c r="AZ590" t="b">
        <f t="shared" si="1151"/>
        <v>0</v>
      </c>
      <c r="BA590" t="b">
        <f t="shared" si="1152"/>
        <v>0</v>
      </c>
      <c r="BB590" t="b">
        <f t="shared" si="1153"/>
        <v>0</v>
      </c>
      <c r="BC590" t="b">
        <f t="shared" si="1154"/>
        <v>0</v>
      </c>
      <c r="BD590" t="b">
        <f t="shared" si="1155"/>
        <v>0</v>
      </c>
      <c r="BE590" t="b">
        <f t="shared" si="1156"/>
        <v>0</v>
      </c>
      <c r="BF590" t="b">
        <f t="shared" si="1157"/>
        <v>0</v>
      </c>
      <c r="BG590" t="b">
        <f t="shared" si="1158"/>
        <v>0</v>
      </c>
      <c r="BH590" t="b">
        <f t="shared" si="1159"/>
        <v>0</v>
      </c>
      <c r="BI590">
        <f t="shared" si="1160"/>
        <v>1</v>
      </c>
      <c r="BJ590" t="b">
        <f t="shared" si="1161"/>
        <v>0</v>
      </c>
      <c r="BK590" t="b">
        <f t="shared" si="1162"/>
        <v>0</v>
      </c>
      <c r="BL590" t="b">
        <f t="shared" si="1163"/>
        <v>0</v>
      </c>
      <c r="BM590" t="b">
        <f t="shared" si="1164"/>
        <v>0</v>
      </c>
      <c r="BN590" t="b">
        <f t="shared" si="1165"/>
        <v>0</v>
      </c>
      <c r="BO590" t="b">
        <f t="shared" si="1166"/>
        <v>0</v>
      </c>
      <c r="BP590" t="b">
        <f t="shared" si="1167"/>
        <v>0</v>
      </c>
      <c r="BQ590" t="b">
        <f t="shared" si="1168"/>
        <v>0</v>
      </c>
      <c r="BR590" t="b">
        <f t="shared" si="1169"/>
        <v>0</v>
      </c>
      <c r="BS590" t="b">
        <f t="shared" si="1170"/>
        <v>0</v>
      </c>
      <c r="BT590" t="b">
        <f t="shared" si="1171"/>
        <v>0</v>
      </c>
      <c r="BU590" t="b">
        <f t="shared" si="1172"/>
        <v>0</v>
      </c>
      <c r="BV590" t="b">
        <f t="shared" si="1173"/>
        <v>0</v>
      </c>
      <c r="BW590" t="b">
        <f t="shared" si="1174"/>
        <v>0</v>
      </c>
      <c r="BX590" t="b">
        <f t="shared" si="1175"/>
        <v>0</v>
      </c>
      <c r="BY590" t="b">
        <f t="shared" si="1176"/>
        <v>0</v>
      </c>
      <c r="BZ590" t="b">
        <f t="shared" si="1177"/>
        <v>0</v>
      </c>
      <c r="CA590" t="b">
        <f t="shared" si="1178"/>
        <v>0</v>
      </c>
      <c r="CB590" t="b">
        <f t="shared" si="1179"/>
        <v>0</v>
      </c>
      <c r="CC590" t="b">
        <f t="shared" si="1180"/>
        <v>0</v>
      </c>
      <c r="CD590" t="b">
        <f t="shared" si="1181"/>
        <v>0</v>
      </c>
      <c r="CE590" t="b">
        <f t="shared" si="1182"/>
        <v>0</v>
      </c>
      <c r="CF590" t="b">
        <f t="shared" si="1183"/>
        <v>0</v>
      </c>
      <c r="CG590" t="b">
        <f t="shared" si="1184"/>
        <v>0</v>
      </c>
      <c r="CH590" t="b">
        <f t="shared" si="1185"/>
        <v>0</v>
      </c>
      <c r="CI590" t="b">
        <f t="shared" si="1186"/>
        <v>0</v>
      </c>
      <c r="CJ590" t="b">
        <f t="shared" si="1187"/>
        <v>0</v>
      </c>
      <c r="CK590" t="b">
        <f t="shared" si="1188"/>
        <v>0</v>
      </c>
      <c r="CL590" t="b">
        <f t="shared" si="1189"/>
        <v>0</v>
      </c>
      <c r="CM590">
        <f t="shared" si="1190"/>
        <v>1</v>
      </c>
      <c r="CN590" t="b">
        <f t="shared" si="1191"/>
        <v>0</v>
      </c>
      <c r="CO590" t="b">
        <f t="shared" si="1192"/>
        <v>0</v>
      </c>
      <c r="CP590" t="b">
        <f t="shared" si="1193"/>
        <v>0</v>
      </c>
      <c r="CQ590" t="b">
        <f t="shared" si="1194"/>
        <v>0</v>
      </c>
      <c r="CR590" t="b">
        <f t="shared" si="1195"/>
        <v>0</v>
      </c>
      <c r="CS590" t="b">
        <f t="shared" si="1196"/>
        <v>0</v>
      </c>
      <c r="CT590" t="b">
        <f t="shared" si="1197"/>
        <v>0</v>
      </c>
      <c r="CU590" t="b">
        <f t="shared" si="1198"/>
        <v>0</v>
      </c>
      <c r="CV590" t="b">
        <f t="shared" si="1199"/>
        <v>0</v>
      </c>
      <c r="CW590" t="b">
        <f t="shared" si="1200"/>
        <v>0</v>
      </c>
      <c r="CX590" t="b">
        <f t="shared" si="1201"/>
        <v>0</v>
      </c>
      <c r="CY590" t="b">
        <f t="shared" si="1202"/>
        <v>0</v>
      </c>
      <c r="CZ590" t="b">
        <f t="shared" si="1203"/>
        <v>0</v>
      </c>
      <c r="DA590">
        <f t="shared" si="1204"/>
        <v>1</v>
      </c>
      <c r="DB590">
        <f t="shared" si="1205"/>
        <v>1</v>
      </c>
      <c r="DC590" t="b">
        <f t="shared" si="1206"/>
        <v>0</v>
      </c>
      <c r="DD590" t="b">
        <f t="shared" si="1207"/>
        <v>0</v>
      </c>
      <c r="DE590" t="b">
        <f t="shared" si="1208"/>
        <v>0</v>
      </c>
      <c r="DF590" t="b">
        <f t="shared" si="1209"/>
        <v>0</v>
      </c>
      <c r="DG590" t="b">
        <f t="shared" si="1210"/>
        <v>0</v>
      </c>
      <c r="DH590" t="b">
        <f t="shared" si="1211"/>
        <v>0</v>
      </c>
      <c r="DI590" t="b">
        <f t="shared" si="1212"/>
        <v>0</v>
      </c>
      <c r="DJ590" t="b">
        <f t="shared" si="1213"/>
        <v>0</v>
      </c>
      <c r="DK590" t="b">
        <f t="shared" si="1214"/>
        <v>0</v>
      </c>
      <c r="DL590" t="b">
        <f t="shared" si="1215"/>
        <v>0</v>
      </c>
      <c r="DM590" t="b">
        <f t="shared" si="1216"/>
        <v>0</v>
      </c>
      <c r="DN590" t="b">
        <f t="shared" si="1217"/>
        <v>0</v>
      </c>
      <c r="DO590" t="b">
        <f t="shared" si="1218"/>
        <v>0</v>
      </c>
      <c r="DP590" t="b">
        <f t="shared" si="1219"/>
        <v>0</v>
      </c>
      <c r="DQ590" t="b">
        <f t="shared" si="1220"/>
        <v>0</v>
      </c>
      <c r="DR590" t="b">
        <f t="shared" si="1221"/>
        <v>0</v>
      </c>
      <c r="DS590" t="b">
        <f t="shared" si="1222"/>
        <v>0</v>
      </c>
      <c r="DT590" t="b">
        <f t="shared" si="1223"/>
        <v>0</v>
      </c>
      <c r="DU590" t="b">
        <f t="shared" si="1224"/>
        <v>0</v>
      </c>
      <c r="DV590" t="b">
        <f t="shared" si="1225"/>
        <v>0</v>
      </c>
      <c r="DW590" t="b">
        <f t="shared" si="1226"/>
        <v>0</v>
      </c>
      <c r="DX590" t="b">
        <f t="shared" si="1227"/>
        <v>0</v>
      </c>
      <c r="DY590" t="b">
        <f t="shared" si="1228"/>
        <v>0</v>
      </c>
      <c r="DZ590" t="b">
        <f t="shared" si="1229"/>
        <v>0</v>
      </c>
      <c r="EA590" t="b">
        <f t="shared" si="1230"/>
        <v>0</v>
      </c>
      <c r="EB590" t="b">
        <f t="shared" si="1231"/>
        <v>0</v>
      </c>
      <c r="EC590" t="b">
        <f t="shared" si="1232"/>
        <v>0</v>
      </c>
      <c r="ED590" t="b">
        <f t="shared" si="1233"/>
        <v>0</v>
      </c>
      <c r="EE590" t="b">
        <f t="shared" si="1234"/>
        <v>0</v>
      </c>
      <c r="EF590" t="b">
        <f t="shared" si="1235"/>
        <v>0</v>
      </c>
      <c r="EG590" t="b">
        <f t="shared" si="1236"/>
        <v>0</v>
      </c>
      <c r="EH590" t="b">
        <f t="shared" si="1237"/>
        <v>0</v>
      </c>
      <c r="EI590" t="b">
        <f t="shared" si="1238"/>
        <v>0</v>
      </c>
      <c r="EJ590" t="b">
        <f t="shared" si="1239"/>
        <v>0</v>
      </c>
      <c r="EK590" t="b">
        <f t="shared" si="1240"/>
        <v>0</v>
      </c>
    </row>
    <row r="591" spans="1:141">
      <c r="A591" t="s">
        <v>2972</v>
      </c>
      <c r="B591" t="s">
        <v>2973</v>
      </c>
      <c r="C591" t="s">
        <v>2974</v>
      </c>
      <c r="D591" s="1">
        <v>42736</v>
      </c>
      <c r="E591" s="2">
        <v>43019.876076388886</v>
      </c>
      <c r="F591" s="2">
        <v>43019.876076388886</v>
      </c>
      <c r="G591">
        <v>166046</v>
      </c>
      <c r="H591" t="s">
        <v>2975</v>
      </c>
      <c r="I591" s="10" t="s">
        <v>2976</v>
      </c>
      <c r="J591" t="s">
        <v>1933</v>
      </c>
      <c r="K591" s="8" t="b">
        <v>1</v>
      </c>
      <c r="L591" s="10" t="b">
        <v>0</v>
      </c>
      <c r="M591" s="12" t="b">
        <v>0</v>
      </c>
      <c r="N591" t="b">
        <v>0</v>
      </c>
      <c r="O591" t="b">
        <v>0</v>
      </c>
      <c r="P591" t="b">
        <v>0</v>
      </c>
      <c r="Q591">
        <f t="shared" si="1117"/>
        <v>1</v>
      </c>
      <c r="R591">
        <f t="shared" si="1118"/>
        <v>1</v>
      </c>
      <c r="S591" t="e">
        <f t="shared" ca="1" si="1148"/>
        <v>#NAME?</v>
      </c>
      <c r="T591" t="e">
        <f t="shared" ca="1" si="1119"/>
        <v>#NAME?</v>
      </c>
      <c r="U591" s="4">
        <f t="shared" si="1120"/>
        <v>283.87607638888585</v>
      </c>
      <c r="V591" s="4">
        <f t="shared" si="1121"/>
        <v>9.4625358796295291</v>
      </c>
      <c r="W591" s="4">
        <f t="shared" si="1122"/>
        <v>1</v>
      </c>
      <c r="X591" s="4">
        <f t="shared" si="1123"/>
        <v>0</v>
      </c>
      <c r="Y591" s="4">
        <f t="shared" si="1124"/>
        <v>0</v>
      </c>
      <c r="Z591" s="4">
        <f t="shared" si="1125"/>
        <v>0</v>
      </c>
      <c r="AA591" s="4">
        <f t="shared" si="1126"/>
        <v>0</v>
      </c>
      <c r="AB591" s="4">
        <f t="shared" si="1127"/>
        <v>0</v>
      </c>
      <c r="AD591" s="4" t="b">
        <f t="shared" si="1128"/>
        <v>0</v>
      </c>
      <c r="AE591" s="4" t="b">
        <f t="shared" si="1129"/>
        <v>0</v>
      </c>
      <c r="AF591" s="4" t="b">
        <f t="shared" si="1130"/>
        <v>0</v>
      </c>
      <c r="AG591" t="b">
        <f t="shared" si="1131"/>
        <v>0</v>
      </c>
      <c r="AH591" t="b">
        <f t="shared" si="1132"/>
        <v>0</v>
      </c>
      <c r="AI591" t="b">
        <f t="shared" si="1133"/>
        <v>0</v>
      </c>
      <c r="AJ591" t="b">
        <f t="shared" si="1134"/>
        <v>0</v>
      </c>
      <c r="AK591" t="b">
        <f t="shared" si="1135"/>
        <v>0</v>
      </c>
      <c r="AL591" t="b">
        <f t="shared" si="1136"/>
        <v>0</v>
      </c>
      <c r="AM591" t="b">
        <f t="shared" si="1137"/>
        <v>0</v>
      </c>
      <c r="AN591" t="b">
        <f t="shared" si="1138"/>
        <v>0</v>
      </c>
      <c r="AO591" t="b">
        <f t="shared" si="1139"/>
        <v>0</v>
      </c>
      <c r="AP591" t="b">
        <f t="shared" si="1140"/>
        <v>0</v>
      </c>
      <c r="AQ591" t="b">
        <f t="shared" si="1141"/>
        <v>0</v>
      </c>
      <c r="AR591" t="b">
        <f t="shared" si="1142"/>
        <v>0</v>
      </c>
      <c r="AS591" t="b">
        <f t="shared" si="1143"/>
        <v>0</v>
      </c>
      <c r="AT591" t="b">
        <f t="shared" si="1144"/>
        <v>0</v>
      </c>
      <c r="AU591" t="b">
        <f t="shared" si="1145"/>
        <v>0</v>
      </c>
      <c r="AV591" t="b">
        <f t="shared" si="1146"/>
        <v>0</v>
      </c>
      <c r="AW591" t="b">
        <f t="shared" si="1147"/>
        <v>0</v>
      </c>
      <c r="AX591" t="b">
        <f t="shared" si="1149"/>
        <v>0</v>
      </c>
      <c r="AY591" t="b">
        <f t="shared" si="1150"/>
        <v>0</v>
      </c>
      <c r="AZ591">
        <f t="shared" si="1151"/>
        <v>1</v>
      </c>
      <c r="BA591" t="b">
        <f t="shared" si="1152"/>
        <v>0</v>
      </c>
      <c r="BB591" t="b">
        <f t="shared" si="1153"/>
        <v>0</v>
      </c>
      <c r="BC591" t="b">
        <f t="shared" si="1154"/>
        <v>0</v>
      </c>
      <c r="BD591" t="b">
        <f t="shared" si="1155"/>
        <v>0</v>
      </c>
      <c r="BE591" t="b">
        <f t="shared" si="1156"/>
        <v>0</v>
      </c>
      <c r="BF591" t="b">
        <f t="shared" si="1157"/>
        <v>0</v>
      </c>
      <c r="BG591" t="b">
        <f t="shared" si="1158"/>
        <v>0</v>
      </c>
      <c r="BH591" t="b">
        <f t="shared" si="1159"/>
        <v>0</v>
      </c>
      <c r="BI591">
        <f t="shared" si="1160"/>
        <v>1</v>
      </c>
      <c r="BJ591" t="b">
        <f t="shared" si="1161"/>
        <v>0</v>
      </c>
      <c r="BK591" t="b">
        <f t="shared" si="1162"/>
        <v>0</v>
      </c>
      <c r="BL591" t="b">
        <f t="shared" si="1163"/>
        <v>0</v>
      </c>
      <c r="BM591" t="b">
        <f t="shared" si="1164"/>
        <v>0</v>
      </c>
      <c r="BN591" t="b">
        <f t="shared" si="1165"/>
        <v>0</v>
      </c>
      <c r="BO591" t="b">
        <f t="shared" si="1166"/>
        <v>0</v>
      </c>
      <c r="BP591" t="b">
        <f t="shared" si="1167"/>
        <v>0</v>
      </c>
      <c r="BQ591" t="b">
        <f t="shared" si="1168"/>
        <v>0</v>
      </c>
      <c r="BR591" t="b">
        <f t="shared" si="1169"/>
        <v>0</v>
      </c>
      <c r="BS591" t="b">
        <f t="shared" si="1170"/>
        <v>0</v>
      </c>
      <c r="BT591" t="b">
        <f t="shared" si="1171"/>
        <v>0</v>
      </c>
      <c r="BU591" t="b">
        <f t="shared" si="1172"/>
        <v>0</v>
      </c>
      <c r="BV591" t="b">
        <f t="shared" si="1173"/>
        <v>0</v>
      </c>
      <c r="BW591" t="b">
        <f t="shared" si="1174"/>
        <v>0</v>
      </c>
      <c r="BX591" t="b">
        <f t="shared" si="1175"/>
        <v>0</v>
      </c>
      <c r="BY591" t="b">
        <f t="shared" si="1176"/>
        <v>0</v>
      </c>
      <c r="BZ591" t="b">
        <f t="shared" si="1177"/>
        <v>0</v>
      </c>
      <c r="CA591" t="b">
        <f t="shared" si="1178"/>
        <v>0</v>
      </c>
      <c r="CB591" t="b">
        <f t="shared" si="1179"/>
        <v>0</v>
      </c>
      <c r="CC591" t="b">
        <f t="shared" si="1180"/>
        <v>0</v>
      </c>
      <c r="CD591" t="b">
        <f t="shared" si="1181"/>
        <v>0</v>
      </c>
      <c r="CE591">
        <f t="shared" si="1182"/>
        <v>1</v>
      </c>
      <c r="CF591" t="b">
        <f t="shared" si="1183"/>
        <v>0</v>
      </c>
      <c r="CG591" t="b">
        <f t="shared" si="1184"/>
        <v>0</v>
      </c>
      <c r="CH591" t="b">
        <f t="shared" si="1185"/>
        <v>0</v>
      </c>
      <c r="CI591" t="b">
        <f t="shared" si="1186"/>
        <v>0</v>
      </c>
      <c r="CJ591" t="b">
        <f t="shared" si="1187"/>
        <v>0</v>
      </c>
      <c r="CK591" t="b">
        <f t="shared" si="1188"/>
        <v>0</v>
      </c>
      <c r="CL591" t="b">
        <f t="shared" si="1189"/>
        <v>0</v>
      </c>
      <c r="CM591">
        <f t="shared" si="1190"/>
        <v>1</v>
      </c>
      <c r="CN591" t="b">
        <f t="shared" si="1191"/>
        <v>0</v>
      </c>
      <c r="CO591" t="b">
        <f t="shared" si="1192"/>
        <v>0</v>
      </c>
      <c r="CP591" t="b">
        <f t="shared" si="1193"/>
        <v>0</v>
      </c>
      <c r="CQ591" t="b">
        <f t="shared" si="1194"/>
        <v>0</v>
      </c>
      <c r="CR591" t="b">
        <f t="shared" si="1195"/>
        <v>0</v>
      </c>
      <c r="CS591" t="b">
        <f t="shared" si="1196"/>
        <v>0</v>
      </c>
      <c r="CT591" t="b">
        <f t="shared" si="1197"/>
        <v>0</v>
      </c>
      <c r="CU591" t="b">
        <f t="shared" si="1198"/>
        <v>0</v>
      </c>
      <c r="CV591" t="b">
        <f t="shared" si="1199"/>
        <v>0</v>
      </c>
      <c r="CW591" t="b">
        <f t="shared" si="1200"/>
        <v>0</v>
      </c>
      <c r="CX591" t="b">
        <f t="shared" si="1201"/>
        <v>0</v>
      </c>
      <c r="CY591" t="b">
        <f t="shared" si="1202"/>
        <v>0</v>
      </c>
      <c r="CZ591" t="b">
        <f t="shared" si="1203"/>
        <v>0</v>
      </c>
      <c r="DA591">
        <f t="shared" si="1204"/>
        <v>1</v>
      </c>
      <c r="DB591">
        <f t="shared" si="1205"/>
        <v>1</v>
      </c>
      <c r="DC591" t="b">
        <f t="shared" si="1206"/>
        <v>0</v>
      </c>
      <c r="DD591" t="b">
        <f t="shared" si="1207"/>
        <v>0</v>
      </c>
      <c r="DE591" t="b">
        <f t="shared" si="1208"/>
        <v>0</v>
      </c>
      <c r="DF591" t="b">
        <f t="shared" si="1209"/>
        <v>0</v>
      </c>
      <c r="DG591" t="b">
        <f t="shared" si="1210"/>
        <v>0</v>
      </c>
      <c r="DH591" t="b">
        <f t="shared" si="1211"/>
        <v>0</v>
      </c>
      <c r="DI591" t="b">
        <f t="shared" si="1212"/>
        <v>0</v>
      </c>
      <c r="DJ591" t="b">
        <f t="shared" si="1213"/>
        <v>0</v>
      </c>
      <c r="DK591" t="b">
        <f t="shared" si="1214"/>
        <v>0</v>
      </c>
      <c r="DL591" t="b">
        <f t="shared" si="1215"/>
        <v>0</v>
      </c>
      <c r="DM591" t="b">
        <f t="shared" si="1216"/>
        <v>0</v>
      </c>
      <c r="DN591" t="b">
        <f t="shared" si="1217"/>
        <v>0</v>
      </c>
      <c r="DO591" t="b">
        <f t="shared" si="1218"/>
        <v>0</v>
      </c>
      <c r="DP591" t="b">
        <f t="shared" si="1219"/>
        <v>0</v>
      </c>
      <c r="DQ591" t="b">
        <f t="shared" si="1220"/>
        <v>0</v>
      </c>
      <c r="DR591" t="b">
        <f t="shared" si="1221"/>
        <v>0</v>
      </c>
      <c r="DS591" t="b">
        <f t="shared" si="1222"/>
        <v>0</v>
      </c>
      <c r="DT591" t="b">
        <f t="shared" si="1223"/>
        <v>0</v>
      </c>
      <c r="DU591" t="b">
        <f t="shared" si="1224"/>
        <v>0</v>
      </c>
      <c r="DV591" t="b">
        <f t="shared" si="1225"/>
        <v>0</v>
      </c>
      <c r="DW591" t="b">
        <f t="shared" si="1226"/>
        <v>0</v>
      </c>
      <c r="DX591" t="b">
        <f t="shared" si="1227"/>
        <v>0</v>
      </c>
      <c r="DY591" t="b">
        <f t="shared" si="1228"/>
        <v>0</v>
      </c>
      <c r="DZ591" t="b">
        <f t="shared" si="1229"/>
        <v>0</v>
      </c>
      <c r="EA591" t="b">
        <f t="shared" si="1230"/>
        <v>0</v>
      </c>
      <c r="EB591" t="b">
        <f t="shared" si="1231"/>
        <v>0</v>
      </c>
      <c r="EC591" t="b">
        <f t="shared" si="1232"/>
        <v>0</v>
      </c>
      <c r="ED591" t="b">
        <f t="shared" si="1233"/>
        <v>0</v>
      </c>
      <c r="EE591" t="b">
        <f t="shared" si="1234"/>
        <v>0</v>
      </c>
      <c r="EF591" t="b">
        <f t="shared" si="1235"/>
        <v>0</v>
      </c>
      <c r="EG591" t="b">
        <f t="shared" si="1236"/>
        <v>0</v>
      </c>
      <c r="EH591" t="b">
        <f t="shared" si="1237"/>
        <v>0</v>
      </c>
      <c r="EI591" t="b">
        <f t="shared" si="1238"/>
        <v>0</v>
      </c>
      <c r="EJ591" t="b">
        <f t="shared" si="1239"/>
        <v>0</v>
      </c>
      <c r="EK591" t="b">
        <f t="shared" si="1240"/>
        <v>0</v>
      </c>
    </row>
    <row r="592" spans="1:141">
      <c r="A592" t="s">
        <v>2977</v>
      </c>
      <c r="B592" t="s">
        <v>2977</v>
      </c>
      <c r="C592" t="s">
        <v>2978</v>
      </c>
      <c r="D592" s="1">
        <v>43227</v>
      </c>
      <c r="E592" s="2">
        <v>43244.383275462962</v>
      </c>
      <c r="F592" s="2">
        <v>43244.383275462962</v>
      </c>
      <c r="G592">
        <v>777649</v>
      </c>
      <c r="H592" t="s">
        <v>2979</v>
      </c>
      <c r="I592" s="10" t="s">
        <v>2980</v>
      </c>
      <c r="J592" t="s">
        <v>2981</v>
      </c>
      <c r="K592" s="8" t="b">
        <v>1</v>
      </c>
      <c r="L592" s="10" t="b">
        <v>0</v>
      </c>
      <c r="M592" s="12" t="b">
        <v>0</v>
      </c>
      <c r="N592" t="b">
        <v>0</v>
      </c>
      <c r="O592" t="b">
        <v>0</v>
      </c>
      <c r="P592" t="b">
        <v>0</v>
      </c>
      <c r="Q592">
        <f t="shared" si="1117"/>
        <v>2</v>
      </c>
      <c r="R592">
        <f t="shared" si="1118"/>
        <v>5</v>
      </c>
      <c r="S592" t="e">
        <f t="shared" ca="1" si="1148"/>
        <v>#NAME?</v>
      </c>
      <c r="T592" t="e">
        <f t="shared" ca="1" si="1119"/>
        <v>#NAME?</v>
      </c>
      <c r="U592" s="4">
        <f t="shared" si="1120"/>
        <v>17.383275462962047</v>
      </c>
      <c r="V592" s="4">
        <f t="shared" si="1121"/>
        <v>0.57944251543206826</v>
      </c>
      <c r="W592" s="4">
        <f t="shared" si="1122"/>
        <v>1</v>
      </c>
      <c r="X592" s="4">
        <f t="shared" si="1123"/>
        <v>0</v>
      </c>
      <c r="Y592" s="4">
        <f t="shared" si="1124"/>
        <v>0</v>
      </c>
      <c r="Z592" s="4">
        <f t="shared" si="1125"/>
        <v>0</v>
      </c>
      <c r="AA592" s="4">
        <f t="shared" si="1126"/>
        <v>0</v>
      </c>
      <c r="AB592" s="4">
        <f t="shared" si="1127"/>
        <v>0</v>
      </c>
      <c r="AD592" s="4" t="b">
        <f t="shared" si="1128"/>
        <v>0</v>
      </c>
      <c r="AE592" s="4" t="b">
        <f t="shared" si="1129"/>
        <v>0</v>
      </c>
      <c r="AF592" s="4" t="b">
        <f t="shared" si="1130"/>
        <v>0</v>
      </c>
      <c r="AG592" t="b">
        <f t="shared" si="1131"/>
        <v>0</v>
      </c>
      <c r="AH592" t="b">
        <f t="shared" si="1132"/>
        <v>0</v>
      </c>
      <c r="AI592" t="b">
        <f t="shared" si="1133"/>
        <v>0</v>
      </c>
      <c r="AJ592" t="b">
        <f t="shared" si="1134"/>
        <v>0</v>
      </c>
      <c r="AK592" t="b">
        <f t="shared" si="1135"/>
        <v>0</v>
      </c>
      <c r="AL592" t="b">
        <f t="shared" si="1136"/>
        <v>0</v>
      </c>
      <c r="AM592" t="b">
        <f t="shared" si="1137"/>
        <v>0</v>
      </c>
      <c r="AN592" t="b">
        <f t="shared" si="1138"/>
        <v>0</v>
      </c>
      <c r="AO592" t="b">
        <f t="shared" si="1139"/>
        <v>0</v>
      </c>
      <c r="AP592" t="b">
        <f t="shared" si="1140"/>
        <v>0</v>
      </c>
      <c r="AQ592" t="b">
        <f t="shared" si="1141"/>
        <v>0</v>
      </c>
      <c r="AR592" t="b">
        <f t="shared" si="1142"/>
        <v>0</v>
      </c>
      <c r="AS592" t="b">
        <f t="shared" si="1143"/>
        <v>0</v>
      </c>
      <c r="AT592" t="b">
        <f t="shared" si="1144"/>
        <v>0</v>
      </c>
      <c r="AU592" t="b">
        <f t="shared" si="1145"/>
        <v>0</v>
      </c>
      <c r="AV592" t="b">
        <f t="shared" si="1146"/>
        <v>0</v>
      </c>
      <c r="AW592" t="b">
        <f t="shared" si="1147"/>
        <v>0</v>
      </c>
      <c r="AX592" t="b">
        <f t="shared" si="1149"/>
        <v>0</v>
      </c>
      <c r="AY592" t="b">
        <f t="shared" si="1150"/>
        <v>0</v>
      </c>
      <c r="AZ592" t="b">
        <f t="shared" si="1151"/>
        <v>0</v>
      </c>
      <c r="BA592" t="b">
        <f t="shared" si="1152"/>
        <v>0</v>
      </c>
      <c r="BB592" t="b">
        <f t="shared" si="1153"/>
        <v>0</v>
      </c>
      <c r="BC592" t="b">
        <f t="shared" si="1154"/>
        <v>0</v>
      </c>
      <c r="BD592" t="b">
        <f t="shared" si="1155"/>
        <v>0</v>
      </c>
      <c r="BE592" t="b">
        <f t="shared" si="1156"/>
        <v>0</v>
      </c>
      <c r="BF592" t="b">
        <f t="shared" si="1157"/>
        <v>0</v>
      </c>
      <c r="BG592" t="b">
        <f t="shared" si="1158"/>
        <v>0</v>
      </c>
      <c r="BH592" t="b">
        <f t="shared" si="1159"/>
        <v>0</v>
      </c>
      <c r="BI592">
        <f t="shared" si="1160"/>
        <v>1</v>
      </c>
      <c r="BJ592" t="b">
        <f t="shared" si="1161"/>
        <v>0</v>
      </c>
      <c r="BK592" t="b">
        <f t="shared" si="1162"/>
        <v>0</v>
      </c>
      <c r="BL592" t="b">
        <f t="shared" si="1163"/>
        <v>0</v>
      </c>
      <c r="BM592" t="b">
        <f t="shared" si="1164"/>
        <v>0</v>
      </c>
      <c r="BN592" t="b">
        <f t="shared" si="1165"/>
        <v>0</v>
      </c>
      <c r="BO592" t="b">
        <f t="shared" si="1166"/>
        <v>0</v>
      </c>
      <c r="BP592" t="b">
        <f t="shared" si="1167"/>
        <v>0</v>
      </c>
      <c r="BQ592" t="b">
        <f t="shared" si="1168"/>
        <v>0</v>
      </c>
      <c r="BR592" t="b">
        <f t="shared" si="1169"/>
        <v>0</v>
      </c>
      <c r="BS592" t="b">
        <f t="shared" si="1170"/>
        <v>0</v>
      </c>
      <c r="BT592">
        <f t="shared" si="1171"/>
        <v>1</v>
      </c>
      <c r="BU592" t="b">
        <f t="shared" si="1172"/>
        <v>0</v>
      </c>
      <c r="BV592" t="b">
        <f t="shared" si="1173"/>
        <v>0</v>
      </c>
      <c r="BW592" t="b">
        <f t="shared" si="1174"/>
        <v>0</v>
      </c>
      <c r="BX592" t="b">
        <f t="shared" si="1175"/>
        <v>0</v>
      </c>
      <c r="BY592" t="b">
        <f t="shared" si="1176"/>
        <v>0</v>
      </c>
      <c r="BZ592" t="b">
        <f t="shared" si="1177"/>
        <v>0</v>
      </c>
      <c r="CA592" t="b">
        <f t="shared" si="1178"/>
        <v>0</v>
      </c>
      <c r="CB592" t="b">
        <f t="shared" si="1179"/>
        <v>0</v>
      </c>
      <c r="CC592" t="b">
        <f t="shared" si="1180"/>
        <v>0</v>
      </c>
      <c r="CD592" t="b">
        <f t="shared" si="1181"/>
        <v>0</v>
      </c>
      <c r="CE592" t="b">
        <f t="shared" si="1182"/>
        <v>0</v>
      </c>
      <c r="CF592" t="b">
        <f t="shared" si="1183"/>
        <v>0</v>
      </c>
      <c r="CG592" t="b">
        <f t="shared" si="1184"/>
        <v>0</v>
      </c>
      <c r="CH592" t="b">
        <f t="shared" si="1185"/>
        <v>0</v>
      </c>
      <c r="CI592" t="b">
        <f t="shared" si="1186"/>
        <v>0</v>
      </c>
      <c r="CJ592" t="b">
        <f t="shared" si="1187"/>
        <v>0</v>
      </c>
      <c r="CK592" t="b">
        <f t="shared" si="1188"/>
        <v>0</v>
      </c>
      <c r="CL592" t="b">
        <f t="shared" si="1189"/>
        <v>0</v>
      </c>
      <c r="CM592">
        <f t="shared" si="1190"/>
        <v>1</v>
      </c>
      <c r="CN592" t="b">
        <f t="shared" si="1191"/>
        <v>0</v>
      </c>
      <c r="CO592" t="b">
        <f t="shared" si="1192"/>
        <v>0</v>
      </c>
      <c r="CP592" t="b">
        <f t="shared" si="1193"/>
        <v>0</v>
      </c>
      <c r="CQ592" t="b">
        <f t="shared" si="1194"/>
        <v>0</v>
      </c>
      <c r="CR592" t="b">
        <f t="shared" si="1195"/>
        <v>0</v>
      </c>
      <c r="CS592" t="b">
        <f t="shared" si="1196"/>
        <v>0</v>
      </c>
      <c r="CT592" t="b">
        <f t="shared" si="1197"/>
        <v>0</v>
      </c>
      <c r="CU592" t="b">
        <f t="shared" si="1198"/>
        <v>0</v>
      </c>
      <c r="CV592">
        <f t="shared" si="1199"/>
        <v>1</v>
      </c>
      <c r="CW592" t="b">
        <f t="shared" si="1200"/>
        <v>0</v>
      </c>
      <c r="CX592" t="b">
        <f t="shared" si="1201"/>
        <v>0</v>
      </c>
      <c r="CY592" t="b">
        <f t="shared" si="1202"/>
        <v>0</v>
      </c>
      <c r="CZ592" t="b">
        <f t="shared" si="1203"/>
        <v>0</v>
      </c>
      <c r="DA592">
        <f t="shared" si="1204"/>
        <v>1</v>
      </c>
      <c r="DB592" t="b">
        <f t="shared" si="1205"/>
        <v>0</v>
      </c>
      <c r="DC592" t="b">
        <f t="shared" si="1206"/>
        <v>0</v>
      </c>
      <c r="DD592" t="b">
        <f t="shared" si="1207"/>
        <v>0</v>
      </c>
      <c r="DE592" t="b">
        <f t="shared" si="1208"/>
        <v>0</v>
      </c>
      <c r="DF592" t="b">
        <f t="shared" si="1209"/>
        <v>0</v>
      </c>
      <c r="DG592" t="b">
        <f t="shared" si="1210"/>
        <v>0</v>
      </c>
      <c r="DH592" t="b">
        <f t="shared" si="1211"/>
        <v>0</v>
      </c>
      <c r="DI592" t="b">
        <f t="shared" si="1212"/>
        <v>0</v>
      </c>
      <c r="DJ592" t="b">
        <f t="shared" si="1213"/>
        <v>0</v>
      </c>
      <c r="DK592" t="b">
        <f t="shared" si="1214"/>
        <v>0</v>
      </c>
      <c r="DL592" t="b">
        <f t="shared" si="1215"/>
        <v>0</v>
      </c>
      <c r="DM592" t="b">
        <f t="shared" si="1216"/>
        <v>0</v>
      </c>
      <c r="DN592" t="b">
        <f t="shared" si="1217"/>
        <v>0</v>
      </c>
      <c r="DO592" t="b">
        <f t="shared" si="1218"/>
        <v>0</v>
      </c>
      <c r="DP592" t="b">
        <f t="shared" si="1219"/>
        <v>0</v>
      </c>
      <c r="DQ592" t="b">
        <f t="shared" si="1220"/>
        <v>0</v>
      </c>
      <c r="DR592" t="b">
        <f t="shared" si="1221"/>
        <v>0</v>
      </c>
      <c r="DS592" t="b">
        <f t="shared" si="1222"/>
        <v>0</v>
      </c>
      <c r="DT592" t="b">
        <f t="shared" si="1223"/>
        <v>0</v>
      </c>
      <c r="DU592" t="b">
        <f t="shared" si="1224"/>
        <v>0</v>
      </c>
      <c r="DV592" t="b">
        <f t="shared" si="1225"/>
        <v>0</v>
      </c>
      <c r="DW592" t="b">
        <f t="shared" si="1226"/>
        <v>0</v>
      </c>
      <c r="DX592" t="b">
        <f t="shared" si="1227"/>
        <v>0</v>
      </c>
      <c r="DY592" t="b">
        <f t="shared" si="1228"/>
        <v>0</v>
      </c>
      <c r="DZ592" t="b">
        <f t="shared" si="1229"/>
        <v>0</v>
      </c>
      <c r="EA592" t="b">
        <f t="shared" si="1230"/>
        <v>0</v>
      </c>
      <c r="EB592" t="b">
        <f t="shared" si="1231"/>
        <v>0</v>
      </c>
      <c r="EC592" t="b">
        <f t="shared" si="1232"/>
        <v>0</v>
      </c>
      <c r="ED592" t="b">
        <f t="shared" si="1233"/>
        <v>0</v>
      </c>
      <c r="EE592" t="b">
        <f t="shared" si="1234"/>
        <v>0</v>
      </c>
      <c r="EF592" t="b">
        <f t="shared" si="1235"/>
        <v>0</v>
      </c>
      <c r="EG592" t="b">
        <f t="shared" si="1236"/>
        <v>0</v>
      </c>
      <c r="EH592" t="b">
        <f t="shared" si="1237"/>
        <v>0</v>
      </c>
      <c r="EI592" t="b">
        <f t="shared" si="1238"/>
        <v>0</v>
      </c>
      <c r="EJ592" t="b">
        <f t="shared" si="1239"/>
        <v>0</v>
      </c>
      <c r="EK592" t="b">
        <f t="shared" si="1240"/>
        <v>0</v>
      </c>
    </row>
    <row r="593" spans="1:141">
      <c r="A593" t="s">
        <v>2982</v>
      </c>
      <c r="B593" t="s">
        <v>2982</v>
      </c>
      <c r="C593" t="s">
        <v>2983</v>
      </c>
      <c r="D593" s="1">
        <v>40909</v>
      </c>
      <c r="E593" s="2">
        <v>42530.38652777778</v>
      </c>
      <c r="F593" s="2">
        <v>42530.38652777778</v>
      </c>
      <c r="G593">
        <v>93338602</v>
      </c>
      <c r="H593" t="s">
        <v>2984</v>
      </c>
      <c r="I593" s="10" t="s">
        <v>2985</v>
      </c>
      <c r="J593" t="s">
        <v>1797</v>
      </c>
      <c r="K593" s="8" t="b">
        <v>1</v>
      </c>
      <c r="L593" s="10" t="b">
        <v>0</v>
      </c>
      <c r="M593" s="12" t="b">
        <v>0</v>
      </c>
      <c r="N593" t="b">
        <v>0</v>
      </c>
      <c r="O593" t="b">
        <v>0</v>
      </c>
      <c r="P593" t="b">
        <v>0</v>
      </c>
      <c r="Q593">
        <f t="shared" si="1117"/>
        <v>1</v>
      </c>
      <c r="R593">
        <f t="shared" si="1118"/>
        <v>1</v>
      </c>
      <c r="S593" t="e">
        <f t="shared" ca="1" si="1148"/>
        <v>#NAME?</v>
      </c>
      <c r="T593" t="e">
        <f t="shared" ca="1" si="1119"/>
        <v>#NAME?</v>
      </c>
      <c r="U593" s="4">
        <f t="shared" si="1120"/>
        <v>1621.3865277777804</v>
      </c>
      <c r="V593" s="4">
        <f t="shared" si="1121"/>
        <v>54.046217592592683</v>
      </c>
      <c r="W593" s="4">
        <f t="shared" si="1122"/>
        <v>1</v>
      </c>
      <c r="X593" s="4">
        <f t="shared" si="1123"/>
        <v>0</v>
      </c>
      <c r="Y593" s="4">
        <f t="shared" si="1124"/>
        <v>0</v>
      </c>
      <c r="Z593" s="4">
        <f t="shared" si="1125"/>
        <v>0</v>
      </c>
      <c r="AA593" s="4">
        <f t="shared" si="1126"/>
        <v>0</v>
      </c>
      <c r="AB593" s="4">
        <f t="shared" si="1127"/>
        <v>0</v>
      </c>
      <c r="AD593" s="4" t="b">
        <f t="shared" si="1128"/>
        <v>0</v>
      </c>
      <c r="AE593" s="4" t="b">
        <f t="shared" si="1129"/>
        <v>0</v>
      </c>
      <c r="AF593" s="4" t="b">
        <f t="shared" si="1130"/>
        <v>0</v>
      </c>
      <c r="AG593" t="b">
        <f t="shared" si="1131"/>
        <v>0</v>
      </c>
      <c r="AH593" t="b">
        <f t="shared" si="1132"/>
        <v>0</v>
      </c>
      <c r="AI593" t="b">
        <f t="shared" si="1133"/>
        <v>0</v>
      </c>
      <c r="AJ593" t="b">
        <f t="shared" si="1134"/>
        <v>0</v>
      </c>
      <c r="AK593" t="b">
        <f t="shared" si="1135"/>
        <v>0</v>
      </c>
      <c r="AL593" t="b">
        <f t="shared" si="1136"/>
        <v>0</v>
      </c>
      <c r="AM593" t="b">
        <f t="shared" si="1137"/>
        <v>0</v>
      </c>
      <c r="AN593" t="b">
        <f t="shared" si="1138"/>
        <v>0</v>
      </c>
      <c r="AO593" t="b">
        <f t="shared" si="1139"/>
        <v>0</v>
      </c>
      <c r="AP593" t="b">
        <f t="shared" si="1140"/>
        <v>0</v>
      </c>
      <c r="AQ593" t="b">
        <f t="shared" si="1141"/>
        <v>0</v>
      </c>
      <c r="AR593" t="b">
        <f t="shared" si="1142"/>
        <v>0</v>
      </c>
      <c r="AS593" t="b">
        <f t="shared" si="1143"/>
        <v>0</v>
      </c>
      <c r="AT593" t="b">
        <f t="shared" si="1144"/>
        <v>0</v>
      </c>
      <c r="AU593" t="b">
        <f t="shared" si="1145"/>
        <v>0</v>
      </c>
      <c r="AV593" t="b">
        <f t="shared" si="1146"/>
        <v>0</v>
      </c>
      <c r="AW593" t="b">
        <f t="shared" si="1147"/>
        <v>0</v>
      </c>
      <c r="AX593" t="b">
        <f t="shared" si="1149"/>
        <v>0</v>
      </c>
      <c r="AY593" t="b">
        <f t="shared" si="1150"/>
        <v>0</v>
      </c>
      <c r="AZ593" t="b">
        <f t="shared" si="1151"/>
        <v>0</v>
      </c>
      <c r="BA593" t="b">
        <f t="shared" si="1152"/>
        <v>0</v>
      </c>
      <c r="BB593" t="b">
        <f t="shared" si="1153"/>
        <v>0</v>
      </c>
      <c r="BC593" t="b">
        <f t="shared" si="1154"/>
        <v>0</v>
      </c>
      <c r="BD593" t="b">
        <f t="shared" si="1155"/>
        <v>0</v>
      </c>
      <c r="BE593" t="b">
        <f t="shared" si="1156"/>
        <v>0</v>
      </c>
      <c r="BF593" t="b">
        <f t="shared" si="1157"/>
        <v>0</v>
      </c>
      <c r="BG593" t="b">
        <f t="shared" si="1158"/>
        <v>0</v>
      </c>
      <c r="BH593" t="b">
        <f t="shared" si="1159"/>
        <v>0</v>
      </c>
      <c r="BI593">
        <f t="shared" si="1160"/>
        <v>1</v>
      </c>
      <c r="BJ593" t="b">
        <f t="shared" si="1161"/>
        <v>0</v>
      </c>
      <c r="BK593" t="b">
        <f t="shared" si="1162"/>
        <v>0</v>
      </c>
      <c r="BL593" t="b">
        <f t="shared" si="1163"/>
        <v>0</v>
      </c>
      <c r="BM593" t="b">
        <f t="shared" si="1164"/>
        <v>0</v>
      </c>
      <c r="BN593" t="b">
        <f t="shared" si="1165"/>
        <v>0</v>
      </c>
      <c r="BO593" t="b">
        <f t="shared" si="1166"/>
        <v>0</v>
      </c>
      <c r="BP593" t="b">
        <f t="shared" si="1167"/>
        <v>0</v>
      </c>
      <c r="BQ593" t="b">
        <f t="shared" si="1168"/>
        <v>0</v>
      </c>
      <c r="BR593" t="b">
        <f t="shared" si="1169"/>
        <v>0</v>
      </c>
      <c r="BS593" t="b">
        <f t="shared" si="1170"/>
        <v>0</v>
      </c>
      <c r="BT593" t="b">
        <f t="shared" si="1171"/>
        <v>0</v>
      </c>
      <c r="BU593" t="b">
        <f t="shared" si="1172"/>
        <v>0</v>
      </c>
      <c r="BV593" t="b">
        <f t="shared" si="1173"/>
        <v>0</v>
      </c>
      <c r="BW593" t="b">
        <f t="shared" si="1174"/>
        <v>0</v>
      </c>
      <c r="BX593" t="b">
        <f t="shared" si="1175"/>
        <v>0</v>
      </c>
      <c r="BY593" t="b">
        <f t="shared" si="1176"/>
        <v>0</v>
      </c>
      <c r="BZ593" t="b">
        <f t="shared" si="1177"/>
        <v>0</v>
      </c>
      <c r="CA593" t="b">
        <f t="shared" si="1178"/>
        <v>0</v>
      </c>
      <c r="CB593" t="b">
        <f t="shared" si="1179"/>
        <v>0</v>
      </c>
      <c r="CC593" t="b">
        <f t="shared" si="1180"/>
        <v>0</v>
      </c>
      <c r="CD593" t="b">
        <f t="shared" si="1181"/>
        <v>0</v>
      </c>
      <c r="CE593" t="b">
        <f t="shared" si="1182"/>
        <v>0</v>
      </c>
      <c r="CF593" t="b">
        <f t="shared" si="1183"/>
        <v>0</v>
      </c>
      <c r="CG593" t="b">
        <f t="shared" si="1184"/>
        <v>0</v>
      </c>
      <c r="CH593" t="b">
        <f t="shared" si="1185"/>
        <v>0</v>
      </c>
      <c r="CI593" t="b">
        <f t="shared" si="1186"/>
        <v>0</v>
      </c>
      <c r="CJ593" t="b">
        <f t="shared" si="1187"/>
        <v>0</v>
      </c>
      <c r="CK593" t="b">
        <f t="shared" si="1188"/>
        <v>0</v>
      </c>
      <c r="CL593" t="b">
        <f t="shared" si="1189"/>
        <v>0</v>
      </c>
      <c r="CM593">
        <f t="shared" si="1190"/>
        <v>1</v>
      </c>
      <c r="CN593" t="b">
        <f t="shared" si="1191"/>
        <v>0</v>
      </c>
      <c r="CO593" t="b">
        <f t="shared" si="1192"/>
        <v>0</v>
      </c>
      <c r="CP593" t="b">
        <f t="shared" si="1193"/>
        <v>0</v>
      </c>
      <c r="CQ593" t="b">
        <f t="shared" si="1194"/>
        <v>0</v>
      </c>
      <c r="CR593" t="b">
        <f t="shared" si="1195"/>
        <v>0</v>
      </c>
      <c r="CS593" t="b">
        <f t="shared" si="1196"/>
        <v>0</v>
      </c>
      <c r="CT593" t="b">
        <f t="shared" si="1197"/>
        <v>0</v>
      </c>
      <c r="CU593" t="b">
        <f t="shared" si="1198"/>
        <v>0</v>
      </c>
      <c r="CV593">
        <f t="shared" si="1199"/>
        <v>1</v>
      </c>
      <c r="CW593" t="b">
        <f t="shared" si="1200"/>
        <v>0</v>
      </c>
      <c r="CX593" t="b">
        <f t="shared" si="1201"/>
        <v>0</v>
      </c>
      <c r="CY593" t="b">
        <f t="shared" si="1202"/>
        <v>0</v>
      </c>
      <c r="CZ593" t="b">
        <f t="shared" si="1203"/>
        <v>0</v>
      </c>
      <c r="DA593">
        <f t="shared" si="1204"/>
        <v>1</v>
      </c>
      <c r="DB593" t="b">
        <f t="shared" si="1205"/>
        <v>0</v>
      </c>
      <c r="DC593" t="b">
        <f t="shared" si="1206"/>
        <v>0</v>
      </c>
      <c r="DD593" t="b">
        <f t="shared" si="1207"/>
        <v>0</v>
      </c>
      <c r="DE593" t="b">
        <f t="shared" si="1208"/>
        <v>0</v>
      </c>
      <c r="DF593" t="b">
        <f t="shared" si="1209"/>
        <v>0</v>
      </c>
      <c r="DG593" t="b">
        <f t="shared" si="1210"/>
        <v>0</v>
      </c>
      <c r="DH593" t="b">
        <f t="shared" si="1211"/>
        <v>0</v>
      </c>
      <c r="DI593" t="b">
        <f t="shared" si="1212"/>
        <v>0</v>
      </c>
      <c r="DJ593" t="b">
        <f t="shared" si="1213"/>
        <v>0</v>
      </c>
      <c r="DK593" t="b">
        <f t="shared" si="1214"/>
        <v>0</v>
      </c>
      <c r="DL593" t="b">
        <f t="shared" si="1215"/>
        <v>0</v>
      </c>
      <c r="DM593" t="b">
        <f t="shared" si="1216"/>
        <v>0</v>
      </c>
      <c r="DN593" t="b">
        <f t="shared" si="1217"/>
        <v>0</v>
      </c>
      <c r="DO593" t="b">
        <f t="shared" si="1218"/>
        <v>0</v>
      </c>
      <c r="DP593" t="b">
        <f t="shared" si="1219"/>
        <v>0</v>
      </c>
      <c r="DQ593" t="b">
        <f t="shared" si="1220"/>
        <v>0</v>
      </c>
      <c r="DR593" t="b">
        <f t="shared" si="1221"/>
        <v>0</v>
      </c>
      <c r="DS593" t="b">
        <f t="shared" si="1222"/>
        <v>0</v>
      </c>
      <c r="DT593" t="b">
        <f t="shared" si="1223"/>
        <v>0</v>
      </c>
      <c r="DU593" t="b">
        <f t="shared" si="1224"/>
        <v>0</v>
      </c>
      <c r="DV593" t="b">
        <f t="shared" si="1225"/>
        <v>0</v>
      </c>
      <c r="DW593" t="b">
        <f t="shared" si="1226"/>
        <v>0</v>
      </c>
      <c r="DX593" t="b">
        <f t="shared" si="1227"/>
        <v>0</v>
      </c>
      <c r="DY593" t="b">
        <f t="shared" si="1228"/>
        <v>0</v>
      </c>
      <c r="DZ593" t="b">
        <f t="shared" si="1229"/>
        <v>0</v>
      </c>
      <c r="EA593" t="b">
        <f t="shared" si="1230"/>
        <v>0</v>
      </c>
      <c r="EB593" t="b">
        <f t="shared" si="1231"/>
        <v>0</v>
      </c>
      <c r="EC593" t="b">
        <f t="shared" si="1232"/>
        <v>0</v>
      </c>
      <c r="ED593" t="b">
        <f t="shared" si="1233"/>
        <v>0</v>
      </c>
      <c r="EE593" t="b">
        <f t="shared" si="1234"/>
        <v>0</v>
      </c>
      <c r="EF593" t="b">
        <f t="shared" si="1235"/>
        <v>0</v>
      </c>
      <c r="EG593" t="b">
        <f t="shared" si="1236"/>
        <v>0</v>
      </c>
      <c r="EH593" t="b">
        <f t="shared" si="1237"/>
        <v>0</v>
      </c>
      <c r="EI593" t="b">
        <f t="shared" si="1238"/>
        <v>0</v>
      </c>
      <c r="EJ593" t="b">
        <f t="shared" si="1239"/>
        <v>0</v>
      </c>
      <c r="EK593" t="b">
        <f t="shared" si="1240"/>
        <v>0</v>
      </c>
    </row>
    <row r="594" spans="1:141">
      <c r="A594" t="s">
        <v>2986</v>
      </c>
      <c r="B594" t="s">
        <v>2986</v>
      </c>
      <c r="C594" t="s">
        <v>2987</v>
      </c>
      <c r="D594" s="1">
        <v>42143</v>
      </c>
      <c r="E594" s="2">
        <v>43218.32571759259</v>
      </c>
      <c r="F594" s="2">
        <v>43218.32571759259</v>
      </c>
      <c r="G594">
        <v>24853850</v>
      </c>
      <c r="H594" t="s">
        <v>2988</v>
      </c>
      <c r="I594" s="10" t="s">
        <v>2989</v>
      </c>
      <c r="J594" t="s">
        <v>2990</v>
      </c>
      <c r="K594" s="8" t="b">
        <v>1</v>
      </c>
      <c r="L594" s="10" t="b">
        <v>0</v>
      </c>
      <c r="M594" s="12" t="b">
        <v>0</v>
      </c>
      <c r="N594" t="b">
        <v>0</v>
      </c>
      <c r="O594" t="b">
        <v>0</v>
      </c>
      <c r="P594" t="b">
        <v>0</v>
      </c>
      <c r="Q594">
        <f t="shared" si="1117"/>
        <v>3</v>
      </c>
      <c r="R594">
        <f t="shared" si="1118"/>
        <v>5</v>
      </c>
      <c r="S594" t="e">
        <f t="shared" ca="1" si="1148"/>
        <v>#NAME?</v>
      </c>
      <c r="T594" t="e">
        <f t="shared" ca="1" si="1119"/>
        <v>#NAME?</v>
      </c>
      <c r="U594" s="4">
        <f t="shared" si="1120"/>
        <v>1075.3257175925901</v>
      </c>
      <c r="V594" s="4">
        <f t="shared" si="1121"/>
        <v>35.844190586419671</v>
      </c>
      <c r="W594" s="4">
        <f t="shared" si="1122"/>
        <v>1</v>
      </c>
      <c r="X594" s="4">
        <f t="shared" si="1123"/>
        <v>0</v>
      </c>
      <c r="Y594" s="4">
        <f t="shared" si="1124"/>
        <v>0</v>
      </c>
      <c r="Z594" s="4">
        <f t="shared" si="1125"/>
        <v>0</v>
      </c>
      <c r="AA594" s="4">
        <f t="shared" si="1126"/>
        <v>0</v>
      </c>
      <c r="AB594" s="4">
        <f t="shared" si="1127"/>
        <v>0</v>
      </c>
      <c r="AD594" s="4" t="b">
        <f t="shared" si="1128"/>
        <v>0</v>
      </c>
      <c r="AE594" s="4" t="b">
        <f t="shared" si="1129"/>
        <v>0</v>
      </c>
      <c r="AF594" s="4" t="b">
        <f t="shared" si="1130"/>
        <v>0</v>
      </c>
      <c r="AG594" t="b">
        <f t="shared" si="1131"/>
        <v>0</v>
      </c>
      <c r="AH594" t="b">
        <f t="shared" si="1132"/>
        <v>0</v>
      </c>
      <c r="AI594" t="b">
        <f t="shared" si="1133"/>
        <v>0</v>
      </c>
      <c r="AJ594" t="b">
        <f t="shared" si="1134"/>
        <v>0</v>
      </c>
      <c r="AK594" t="b">
        <f t="shared" si="1135"/>
        <v>0</v>
      </c>
      <c r="AL594" t="b">
        <f t="shared" si="1136"/>
        <v>0</v>
      </c>
      <c r="AM594" t="b">
        <f t="shared" si="1137"/>
        <v>0</v>
      </c>
      <c r="AN594" t="b">
        <f t="shared" si="1138"/>
        <v>0</v>
      </c>
      <c r="AO594" t="b">
        <f t="shared" si="1139"/>
        <v>0</v>
      </c>
      <c r="AP594" t="b">
        <f t="shared" si="1140"/>
        <v>0</v>
      </c>
      <c r="AQ594" t="b">
        <f t="shared" si="1141"/>
        <v>0</v>
      </c>
      <c r="AR594" t="b">
        <f t="shared" si="1142"/>
        <v>0</v>
      </c>
      <c r="AS594" t="b">
        <f t="shared" si="1143"/>
        <v>0</v>
      </c>
      <c r="AT594" t="b">
        <f t="shared" si="1144"/>
        <v>0</v>
      </c>
      <c r="AU594" t="b">
        <f t="shared" si="1145"/>
        <v>0</v>
      </c>
      <c r="AV594" t="b">
        <f t="shared" si="1146"/>
        <v>0</v>
      </c>
      <c r="AW594" t="b">
        <f t="shared" si="1147"/>
        <v>0</v>
      </c>
      <c r="AX594" t="b">
        <f t="shared" si="1149"/>
        <v>0</v>
      </c>
      <c r="AY594" t="b">
        <f t="shared" si="1150"/>
        <v>0</v>
      </c>
      <c r="AZ594">
        <f t="shared" si="1151"/>
        <v>1</v>
      </c>
      <c r="BA594" t="b">
        <f t="shared" si="1152"/>
        <v>0</v>
      </c>
      <c r="BB594" t="b">
        <f t="shared" si="1153"/>
        <v>0</v>
      </c>
      <c r="BC594" t="b">
        <f t="shared" si="1154"/>
        <v>0</v>
      </c>
      <c r="BD594" t="b">
        <f t="shared" si="1155"/>
        <v>0</v>
      </c>
      <c r="BE594" t="b">
        <f t="shared" si="1156"/>
        <v>0</v>
      </c>
      <c r="BF594" t="b">
        <f t="shared" si="1157"/>
        <v>0</v>
      </c>
      <c r="BG594" t="b">
        <f t="shared" si="1158"/>
        <v>0</v>
      </c>
      <c r="BH594" t="b">
        <f t="shared" si="1159"/>
        <v>0</v>
      </c>
      <c r="BI594">
        <f t="shared" si="1160"/>
        <v>1</v>
      </c>
      <c r="BJ594" t="b">
        <f t="shared" si="1161"/>
        <v>0</v>
      </c>
      <c r="BK594" t="b">
        <f t="shared" si="1162"/>
        <v>0</v>
      </c>
      <c r="BL594" t="b">
        <f t="shared" si="1163"/>
        <v>0</v>
      </c>
      <c r="BM594" t="b">
        <f t="shared" si="1164"/>
        <v>0</v>
      </c>
      <c r="BN594" t="b">
        <f t="shared" si="1165"/>
        <v>0</v>
      </c>
      <c r="BO594" t="b">
        <f t="shared" si="1166"/>
        <v>0</v>
      </c>
      <c r="BP594" t="b">
        <f t="shared" si="1167"/>
        <v>0</v>
      </c>
      <c r="BQ594" t="b">
        <f t="shared" si="1168"/>
        <v>0</v>
      </c>
      <c r="BR594">
        <f t="shared" si="1169"/>
        <v>1</v>
      </c>
      <c r="BS594" t="b">
        <f t="shared" si="1170"/>
        <v>0</v>
      </c>
      <c r="BT594" t="b">
        <f t="shared" si="1171"/>
        <v>0</v>
      </c>
      <c r="BU594" t="b">
        <f t="shared" si="1172"/>
        <v>0</v>
      </c>
      <c r="BV594" t="b">
        <f t="shared" si="1173"/>
        <v>0</v>
      </c>
      <c r="BW594" t="b">
        <f t="shared" si="1174"/>
        <v>0</v>
      </c>
      <c r="BX594" t="b">
        <f t="shared" si="1175"/>
        <v>0</v>
      </c>
      <c r="BY594" t="b">
        <f t="shared" si="1176"/>
        <v>0</v>
      </c>
      <c r="BZ594" t="b">
        <f t="shared" si="1177"/>
        <v>0</v>
      </c>
      <c r="CA594" t="b">
        <f t="shared" si="1178"/>
        <v>0</v>
      </c>
      <c r="CB594" t="b">
        <f t="shared" si="1179"/>
        <v>0</v>
      </c>
      <c r="CC594" t="b">
        <f t="shared" si="1180"/>
        <v>0</v>
      </c>
      <c r="CD594" t="b">
        <f t="shared" si="1181"/>
        <v>0</v>
      </c>
      <c r="CE594">
        <f t="shared" si="1182"/>
        <v>1</v>
      </c>
      <c r="CF594" t="b">
        <f t="shared" si="1183"/>
        <v>0</v>
      </c>
      <c r="CG594" t="b">
        <f t="shared" si="1184"/>
        <v>0</v>
      </c>
      <c r="CH594" t="b">
        <f t="shared" si="1185"/>
        <v>0</v>
      </c>
      <c r="CI594" t="b">
        <f t="shared" si="1186"/>
        <v>0</v>
      </c>
      <c r="CJ594" t="b">
        <f t="shared" si="1187"/>
        <v>0</v>
      </c>
      <c r="CK594">
        <f t="shared" si="1188"/>
        <v>1</v>
      </c>
      <c r="CL594" t="b">
        <f t="shared" si="1189"/>
        <v>0</v>
      </c>
      <c r="CM594">
        <f t="shared" si="1190"/>
        <v>1</v>
      </c>
      <c r="CN594" t="b">
        <f t="shared" si="1191"/>
        <v>0</v>
      </c>
      <c r="CO594" t="b">
        <f t="shared" si="1192"/>
        <v>0</v>
      </c>
      <c r="CP594" t="b">
        <f t="shared" si="1193"/>
        <v>0</v>
      </c>
      <c r="CQ594">
        <f t="shared" si="1194"/>
        <v>1</v>
      </c>
      <c r="CR594" t="b">
        <f t="shared" si="1195"/>
        <v>0</v>
      </c>
      <c r="CS594" t="b">
        <f t="shared" si="1196"/>
        <v>0</v>
      </c>
      <c r="CT594" t="b">
        <f t="shared" si="1197"/>
        <v>0</v>
      </c>
      <c r="CU594" t="b">
        <f t="shared" si="1198"/>
        <v>0</v>
      </c>
      <c r="CV594">
        <f t="shared" si="1199"/>
        <v>1</v>
      </c>
      <c r="CW594" t="b">
        <f t="shared" si="1200"/>
        <v>0</v>
      </c>
      <c r="CX594" t="b">
        <f t="shared" si="1201"/>
        <v>0</v>
      </c>
      <c r="CY594" t="b">
        <f t="shared" si="1202"/>
        <v>0</v>
      </c>
      <c r="CZ594" t="b">
        <f t="shared" si="1203"/>
        <v>0</v>
      </c>
      <c r="DA594">
        <f t="shared" si="1204"/>
        <v>1</v>
      </c>
      <c r="DB594">
        <f t="shared" si="1205"/>
        <v>1</v>
      </c>
      <c r="DC594" t="b">
        <f t="shared" si="1206"/>
        <v>0</v>
      </c>
      <c r="DD594" t="b">
        <f t="shared" si="1207"/>
        <v>0</v>
      </c>
      <c r="DE594" t="b">
        <f t="shared" si="1208"/>
        <v>0</v>
      </c>
      <c r="DF594" t="b">
        <f t="shared" si="1209"/>
        <v>0</v>
      </c>
      <c r="DG594" t="b">
        <f t="shared" si="1210"/>
        <v>0</v>
      </c>
      <c r="DH594" t="b">
        <f t="shared" si="1211"/>
        <v>0</v>
      </c>
      <c r="DI594" t="b">
        <f t="shared" si="1212"/>
        <v>0</v>
      </c>
      <c r="DJ594" t="b">
        <f t="shared" si="1213"/>
        <v>0</v>
      </c>
      <c r="DK594" t="b">
        <f t="shared" si="1214"/>
        <v>0</v>
      </c>
      <c r="DL594" t="b">
        <f t="shared" si="1215"/>
        <v>0</v>
      </c>
      <c r="DM594" t="b">
        <f t="shared" si="1216"/>
        <v>0</v>
      </c>
      <c r="DN594" t="b">
        <f t="shared" si="1217"/>
        <v>0</v>
      </c>
      <c r="DO594" t="b">
        <f t="shared" si="1218"/>
        <v>0</v>
      </c>
      <c r="DP594" t="b">
        <f t="shared" si="1219"/>
        <v>0</v>
      </c>
      <c r="DQ594" t="b">
        <f t="shared" si="1220"/>
        <v>0</v>
      </c>
      <c r="DR594" t="b">
        <f t="shared" si="1221"/>
        <v>0</v>
      </c>
      <c r="DS594" t="b">
        <f t="shared" si="1222"/>
        <v>0</v>
      </c>
      <c r="DT594" t="b">
        <f t="shared" si="1223"/>
        <v>0</v>
      </c>
      <c r="DU594" t="b">
        <f t="shared" si="1224"/>
        <v>0</v>
      </c>
      <c r="DV594" t="b">
        <f t="shared" si="1225"/>
        <v>0</v>
      </c>
      <c r="DW594" t="b">
        <f t="shared" si="1226"/>
        <v>0</v>
      </c>
      <c r="DX594" t="b">
        <f t="shared" si="1227"/>
        <v>0</v>
      </c>
      <c r="DY594" t="b">
        <f t="shared" si="1228"/>
        <v>0</v>
      </c>
      <c r="DZ594" t="b">
        <f t="shared" si="1229"/>
        <v>0</v>
      </c>
      <c r="EA594" t="b">
        <f t="shared" si="1230"/>
        <v>0</v>
      </c>
      <c r="EB594" t="b">
        <f t="shared" si="1231"/>
        <v>0</v>
      </c>
      <c r="EC594" t="b">
        <f t="shared" si="1232"/>
        <v>0</v>
      </c>
      <c r="ED594" t="b">
        <f t="shared" si="1233"/>
        <v>0</v>
      </c>
      <c r="EE594" t="b">
        <f t="shared" si="1234"/>
        <v>0</v>
      </c>
      <c r="EF594">
        <f t="shared" si="1235"/>
        <v>1</v>
      </c>
      <c r="EG594" t="b">
        <f t="shared" si="1236"/>
        <v>0</v>
      </c>
      <c r="EH594" t="b">
        <f t="shared" si="1237"/>
        <v>0</v>
      </c>
      <c r="EI594" t="b">
        <f t="shared" si="1238"/>
        <v>0</v>
      </c>
      <c r="EJ594" t="b">
        <f t="shared" si="1239"/>
        <v>0</v>
      </c>
      <c r="EK594" t="b">
        <f t="shared" si="1240"/>
        <v>0</v>
      </c>
    </row>
    <row r="595" spans="1:141">
      <c r="A595" t="s">
        <v>2991</v>
      </c>
      <c r="B595" t="s">
        <v>2991</v>
      </c>
      <c r="C595" t="s">
        <v>2992</v>
      </c>
      <c r="D595" s="1">
        <v>41608</v>
      </c>
      <c r="E595" s="2">
        <v>41608</v>
      </c>
      <c r="F595" s="2">
        <v>43598.515289351853</v>
      </c>
      <c r="G595">
        <v>56021</v>
      </c>
      <c r="H595" t="s">
        <v>2993</v>
      </c>
      <c r="I595" s="10" t="s">
        <v>2994</v>
      </c>
      <c r="J595" t="s">
        <v>2995</v>
      </c>
      <c r="K595" s="8" t="b">
        <v>1</v>
      </c>
      <c r="L595" s="10" t="b">
        <v>0</v>
      </c>
      <c r="M595" s="12" t="b">
        <v>0</v>
      </c>
      <c r="N595" t="b">
        <v>0</v>
      </c>
      <c r="O595" t="b">
        <v>0</v>
      </c>
      <c r="P595" t="b">
        <v>0</v>
      </c>
      <c r="Q595">
        <f t="shared" si="1117"/>
        <v>7</v>
      </c>
      <c r="R595">
        <f t="shared" si="1118"/>
        <v>11</v>
      </c>
      <c r="S595" t="e">
        <f t="shared" ca="1" si="1148"/>
        <v>#NAME?</v>
      </c>
      <c r="T595" t="e">
        <f t="shared" ca="1" si="1119"/>
        <v>#NAME?</v>
      </c>
      <c r="U595" s="4">
        <f t="shared" si="1120"/>
        <v>0</v>
      </c>
      <c r="V595" s="4">
        <f t="shared" si="1121"/>
        <v>0</v>
      </c>
      <c r="W595" s="4">
        <f t="shared" si="1122"/>
        <v>1</v>
      </c>
      <c r="X595" s="4">
        <f t="shared" si="1123"/>
        <v>0</v>
      </c>
      <c r="Y595" s="4">
        <f t="shared" si="1124"/>
        <v>0</v>
      </c>
      <c r="Z595" s="4">
        <f t="shared" si="1125"/>
        <v>0</v>
      </c>
      <c r="AA595" s="4">
        <f t="shared" si="1126"/>
        <v>0</v>
      </c>
      <c r="AB595" s="4">
        <f t="shared" si="1127"/>
        <v>0</v>
      </c>
      <c r="AD595" s="4" t="b">
        <f t="shared" si="1128"/>
        <v>0</v>
      </c>
      <c r="AE595" s="4" t="b">
        <f t="shared" si="1129"/>
        <v>0</v>
      </c>
      <c r="AF595" s="4" t="b">
        <f t="shared" si="1130"/>
        <v>0</v>
      </c>
      <c r="AG595" t="b">
        <f t="shared" si="1131"/>
        <v>0</v>
      </c>
      <c r="AH595" t="b">
        <f t="shared" si="1132"/>
        <v>0</v>
      </c>
      <c r="AI595" t="b">
        <f t="shared" si="1133"/>
        <v>0</v>
      </c>
      <c r="AJ595" t="b">
        <f t="shared" si="1134"/>
        <v>0</v>
      </c>
      <c r="AK595" t="b">
        <f t="shared" si="1135"/>
        <v>0</v>
      </c>
      <c r="AL595" t="b">
        <f t="shared" si="1136"/>
        <v>0</v>
      </c>
      <c r="AM595" t="b">
        <f t="shared" si="1137"/>
        <v>0</v>
      </c>
      <c r="AN595" t="b">
        <f t="shared" si="1138"/>
        <v>0</v>
      </c>
      <c r="AO595" t="b">
        <f t="shared" si="1139"/>
        <v>0</v>
      </c>
      <c r="AP595" t="b">
        <f t="shared" si="1140"/>
        <v>0</v>
      </c>
      <c r="AQ595" t="b">
        <f t="shared" si="1141"/>
        <v>0</v>
      </c>
      <c r="AR595" t="b">
        <f t="shared" si="1142"/>
        <v>0</v>
      </c>
      <c r="AS595" t="b">
        <f t="shared" si="1143"/>
        <v>0</v>
      </c>
      <c r="AT595" t="b">
        <f t="shared" si="1144"/>
        <v>0</v>
      </c>
      <c r="AU595" t="b">
        <f t="shared" si="1145"/>
        <v>0</v>
      </c>
      <c r="AV595">
        <f t="shared" si="1146"/>
        <v>1</v>
      </c>
      <c r="AW595" t="b">
        <f t="shared" si="1147"/>
        <v>0</v>
      </c>
      <c r="AX595" t="b">
        <f t="shared" si="1149"/>
        <v>0</v>
      </c>
      <c r="AY595" t="b">
        <f t="shared" si="1150"/>
        <v>0</v>
      </c>
      <c r="AZ595" t="b">
        <f t="shared" si="1151"/>
        <v>0</v>
      </c>
      <c r="BA595" t="b">
        <f t="shared" si="1152"/>
        <v>0</v>
      </c>
      <c r="BB595" t="b">
        <f t="shared" si="1153"/>
        <v>0</v>
      </c>
      <c r="BC595" t="b">
        <f t="shared" si="1154"/>
        <v>0</v>
      </c>
      <c r="BD595" t="b">
        <f t="shared" si="1155"/>
        <v>0</v>
      </c>
      <c r="BE595" t="b">
        <f t="shared" si="1156"/>
        <v>0</v>
      </c>
      <c r="BF595" t="b">
        <f t="shared" si="1157"/>
        <v>0</v>
      </c>
      <c r="BG595" t="b">
        <f t="shared" si="1158"/>
        <v>0</v>
      </c>
      <c r="BH595" t="b">
        <f t="shared" si="1159"/>
        <v>0</v>
      </c>
      <c r="BI595">
        <f t="shared" si="1160"/>
        <v>1</v>
      </c>
      <c r="BJ595" t="b">
        <f t="shared" si="1161"/>
        <v>0</v>
      </c>
      <c r="BK595" t="b">
        <f t="shared" si="1162"/>
        <v>0</v>
      </c>
      <c r="BL595" t="b">
        <f t="shared" si="1163"/>
        <v>0</v>
      </c>
      <c r="BM595" t="b">
        <f t="shared" si="1164"/>
        <v>0</v>
      </c>
      <c r="BN595" t="b">
        <f t="shared" si="1165"/>
        <v>0</v>
      </c>
      <c r="BO595" t="b">
        <f t="shared" si="1166"/>
        <v>0</v>
      </c>
      <c r="BP595" t="b">
        <f t="shared" si="1167"/>
        <v>0</v>
      </c>
      <c r="BQ595" t="b">
        <f t="shared" si="1168"/>
        <v>0</v>
      </c>
      <c r="BR595" t="b">
        <f t="shared" si="1169"/>
        <v>0</v>
      </c>
      <c r="BS595" t="b">
        <f t="shared" si="1170"/>
        <v>0</v>
      </c>
      <c r="BT595">
        <f t="shared" si="1171"/>
        <v>1</v>
      </c>
      <c r="BU595" t="b">
        <f t="shared" si="1172"/>
        <v>0</v>
      </c>
      <c r="BV595" t="b">
        <f t="shared" si="1173"/>
        <v>0</v>
      </c>
      <c r="BW595" t="b">
        <f t="shared" si="1174"/>
        <v>0</v>
      </c>
      <c r="BX595" t="b">
        <f t="shared" si="1175"/>
        <v>0</v>
      </c>
      <c r="BY595" t="b">
        <f t="shared" si="1176"/>
        <v>0</v>
      </c>
      <c r="BZ595" t="b">
        <f t="shared" si="1177"/>
        <v>0</v>
      </c>
      <c r="CA595" t="b">
        <f t="shared" si="1178"/>
        <v>0</v>
      </c>
      <c r="CB595" t="b">
        <f t="shared" si="1179"/>
        <v>0</v>
      </c>
      <c r="CC595" t="b">
        <f t="shared" si="1180"/>
        <v>0</v>
      </c>
      <c r="CD595" t="b">
        <f t="shared" si="1181"/>
        <v>0</v>
      </c>
      <c r="CE595">
        <f t="shared" si="1182"/>
        <v>1</v>
      </c>
      <c r="CF595" t="b">
        <f t="shared" si="1183"/>
        <v>0</v>
      </c>
      <c r="CG595" t="b">
        <f t="shared" si="1184"/>
        <v>0</v>
      </c>
      <c r="CH595" t="b">
        <f t="shared" si="1185"/>
        <v>0</v>
      </c>
      <c r="CI595" t="b">
        <f t="shared" si="1186"/>
        <v>0</v>
      </c>
      <c r="CJ595" t="b">
        <f t="shared" si="1187"/>
        <v>0</v>
      </c>
      <c r="CK595" t="b">
        <f t="shared" si="1188"/>
        <v>0</v>
      </c>
      <c r="CL595" t="b">
        <f t="shared" si="1189"/>
        <v>0</v>
      </c>
      <c r="CM595">
        <f t="shared" si="1190"/>
        <v>1</v>
      </c>
      <c r="CN595" t="b">
        <f t="shared" si="1191"/>
        <v>0</v>
      </c>
      <c r="CO595" t="b">
        <f t="shared" si="1192"/>
        <v>0</v>
      </c>
      <c r="CP595" t="b">
        <f t="shared" si="1193"/>
        <v>0</v>
      </c>
      <c r="CQ595" t="b">
        <f t="shared" si="1194"/>
        <v>0</v>
      </c>
      <c r="CR595" t="b">
        <f t="shared" si="1195"/>
        <v>0</v>
      </c>
      <c r="CS595" t="b">
        <f t="shared" si="1196"/>
        <v>0</v>
      </c>
      <c r="CT595" t="b">
        <f t="shared" si="1197"/>
        <v>0</v>
      </c>
      <c r="CU595" t="b">
        <f t="shared" si="1198"/>
        <v>0</v>
      </c>
      <c r="CV595">
        <f t="shared" si="1199"/>
        <v>1</v>
      </c>
      <c r="CW595" t="b">
        <f t="shared" si="1200"/>
        <v>0</v>
      </c>
      <c r="CX595" t="b">
        <f t="shared" si="1201"/>
        <v>0</v>
      </c>
      <c r="CY595" t="b">
        <f t="shared" si="1202"/>
        <v>0</v>
      </c>
      <c r="CZ595" t="b">
        <f t="shared" si="1203"/>
        <v>0</v>
      </c>
      <c r="DA595">
        <f t="shared" si="1204"/>
        <v>1</v>
      </c>
      <c r="DB595">
        <f t="shared" si="1205"/>
        <v>1</v>
      </c>
      <c r="DC595" t="b">
        <f t="shared" si="1206"/>
        <v>0</v>
      </c>
      <c r="DD595" t="b">
        <f t="shared" si="1207"/>
        <v>0</v>
      </c>
      <c r="DE595" t="b">
        <f t="shared" si="1208"/>
        <v>0</v>
      </c>
      <c r="DF595" t="b">
        <f t="shared" si="1209"/>
        <v>0</v>
      </c>
      <c r="DG595" t="b">
        <f t="shared" si="1210"/>
        <v>0</v>
      </c>
      <c r="DH595" t="b">
        <f t="shared" si="1211"/>
        <v>0</v>
      </c>
      <c r="DI595" t="b">
        <f t="shared" si="1212"/>
        <v>0</v>
      </c>
      <c r="DJ595">
        <f t="shared" si="1213"/>
        <v>1</v>
      </c>
      <c r="DK595" t="b">
        <f t="shared" si="1214"/>
        <v>0</v>
      </c>
      <c r="DL595" t="b">
        <f t="shared" si="1215"/>
        <v>0</v>
      </c>
      <c r="DM595" t="b">
        <f t="shared" si="1216"/>
        <v>0</v>
      </c>
      <c r="DN595" t="b">
        <f t="shared" si="1217"/>
        <v>0</v>
      </c>
      <c r="DO595" t="b">
        <f t="shared" si="1218"/>
        <v>0</v>
      </c>
      <c r="DP595" t="b">
        <f t="shared" si="1219"/>
        <v>0</v>
      </c>
      <c r="DQ595" t="b">
        <f t="shared" si="1220"/>
        <v>0</v>
      </c>
      <c r="DR595" t="b">
        <f t="shared" si="1221"/>
        <v>0</v>
      </c>
      <c r="DS595" t="b">
        <f t="shared" si="1222"/>
        <v>0</v>
      </c>
      <c r="DT595" t="b">
        <f t="shared" si="1223"/>
        <v>0</v>
      </c>
      <c r="DU595" t="b">
        <f t="shared" si="1224"/>
        <v>0</v>
      </c>
      <c r="DV595" t="b">
        <f t="shared" si="1225"/>
        <v>0</v>
      </c>
      <c r="DW595">
        <f t="shared" si="1226"/>
        <v>1</v>
      </c>
      <c r="DX595" t="b">
        <f t="shared" si="1227"/>
        <v>0</v>
      </c>
      <c r="DY595" t="b">
        <f t="shared" si="1228"/>
        <v>0</v>
      </c>
      <c r="DZ595" t="b">
        <f t="shared" si="1229"/>
        <v>0</v>
      </c>
      <c r="EA595" t="b">
        <f t="shared" si="1230"/>
        <v>0</v>
      </c>
      <c r="EB595" t="b">
        <f t="shared" si="1231"/>
        <v>0</v>
      </c>
      <c r="EC595" t="b">
        <f t="shared" si="1232"/>
        <v>0</v>
      </c>
      <c r="ED595" t="b">
        <f t="shared" si="1233"/>
        <v>0</v>
      </c>
      <c r="EE595" t="b">
        <f t="shared" si="1234"/>
        <v>0</v>
      </c>
      <c r="EF595">
        <f t="shared" si="1235"/>
        <v>1</v>
      </c>
      <c r="EG595" t="b">
        <f t="shared" si="1236"/>
        <v>0</v>
      </c>
      <c r="EH595" t="b">
        <f t="shared" si="1237"/>
        <v>0</v>
      </c>
      <c r="EI595" t="b">
        <f t="shared" si="1238"/>
        <v>0</v>
      </c>
      <c r="EJ595" t="b">
        <f t="shared" si="1239"/>
        <v>0</v>
      </c>
      <c r="EK595" t="b">
        <f t="shared" si="1240"/>
        <v>0</v>
      </c>
    </row>
    <row r="596" spans="1:141">
      <c r="A596" t="s">
        <v>2996</v>
      </c>
      <c r="B596" t="s">
        <v>2997</v>
      </c>
      <c r="C596" t="s">
        <v>2998</v>
      </c>
      <c r="D596" s="1">
        <v>43629</v>
      </c>
      <c r="E596" s="2">
        <v>43719.282731481479</v>
      </c>
      <c r="F596" s="2">
        <v>43719.282731481479</v>
      </c>
      <c r="G596">
        <v>95431</v>
      </c>
      <c r="H596" t="s">
        <v>2999</v>
      </c>
      <c r="I596" s="10" t="s">
        <v>3000</v>
      </c>
      <c r="J596" t="s">
        <v>784</v>
      </c>
      <c r="K596" s="8" t="b">
        <v>1</v>
      </c>
      <c r="L596" s="10" t="b">
        <v>0</v>
      </c>
      <c r="M596" s="12" t="b">
        <v>0</v>
      </c>
      <c r="N596" t="b">
        <v>0</v>
      </c>
      <c r="O596" t="b">
        <v>0</v>
      </c>
      <c r="P596" t="b">
        <v>0</v>
      </c>
      <c r="Q596">
        <f t="shared" si="1117"/>
        <v>5</v>
      </c>
      <c r="R596">
        <f t="shared" si="1118"/>
        <v>6</v>
      </c>
      <c r="S596" t="e">
        <f t="shared" ca="1" si="1148"/>
        <v>#NAME?</v>
      </c>
      <c r="T596" t="e">
        <f t="shared" ca="1" si="1119"/>
        <v>#NAME?</v>
      </c>
      <c r="U596" s="4">
        <f t="shared" si="1120"/>
        <v>90.28273148147855</v>
      </c>
      <c r="V596" s="4">
        <f t="shared" si="1121"/>
        <v>3.0094243827159515</v>
      </c>
      <c r="W596" s="4">
        <f t="shared" si="1122"/>
        <v>1</v>
      </c>
      <c r="X596" s="4">
        <f t="shared" si="1123"/>
        <v>0</v>
      </c>
      <c r="Y596" s="4">
        <f t="shared" si="1124"/>
        <v>0</v>
      </c>
      <c r="Z596" s="4">
        <f t="shared" si="1125"/>
        <v>0</v>
      </c>
      <c r="AA596" s="4">
        <f t="shared" si="1126"/>
        <v>0</v>
      </c>
      <c r="AB596" s="4">
        <f t="shared" si="1127"/>
        <v>0</v>
      </c>
      <c r="AD596" s="4" t="b">
        <f t="shared" si="1128"/>
        <v>0</v>
      </c>
      <c r="AE596" s="4" t="b">
        <f t="shared" si="1129"/>
        <v>0</v>
      </c>
      <c r="AF596" s="4" t="b">
        <f t="shared" si="1130"/>
        <v>0</v>
      </c>
      <c r="AG596" t="b">
        <f t="shared" si="1131"/>
        <v>0</v>
      </c>
      <c r="AH596" t="b">
        <f t="shared" si="1132"/>
        <v>0</v>
      </c>
      <c r="AI596" t="b">
        <f t="shared" si="1133"/>
        <v>0</v>
      </c>
      <c r="AJ596" t="b">
        <f t="shared" si="1134"/>
        <v>0</v>
      </c>
      <c r="AK596" t="b">
        <f t="shared" si="1135"/>
        <v>0</v>
      </c>
      <c r="AL596" t="b">
        <f t="shared" si="1136"/>
        <v>0</v>
      </c>
      <c r="AM596" t="b">
        <f t="shared" si="1137"/>
        <v>0</v>
      </c>
      <c r="AN596" t="b">
        <f t="shared" si="1138"/>
        <v>0</v>
      </c>
      <c r="AO596" t="b">
        <f t="shared" si="1139"/>
        <v>0</v>
      </c>
      <c r="AP596" t="b">
        <f t="shared" si="1140"/>
        <v>0</v>
      </c>
      <c r="AQ596" t="b">
        <f t="shared" si="1141"/>
        <v>0</v>
      </c>
      <c r="AR596" t="b">
        <f t="shared" si="1142"/>
        <v>0</v>
      </c>
      <c r="AS596" t="b">
        <f t="shared" si="1143"/>
        <v>0</v>
      </c>
      <c r="AT596" t="b">
        <f t="shared" si="1144"/>
        <v>0</v>
      </c>
      <c r="AU596" t="b">
        <f t="shared" si="1145"/>
        <v>0</v>
      </c>
      <c r="AV596" t="b">
        <f t="shared" si="1146"/>
        <v>0</v>
      </c>
      <c r="AW596" t="b">
        <f t="shared" si="1147"/>
        <v>0</v>
      </c>
      <c r="AX596" t="b">
        <f t="shared" si="1149"/>
        <v>0</v>
      </c>
      <c r="AY596" t="b">
        <f t="shared" si="1150"/>
        <v>0</v>
      </c>
      <c r="AZ596" t="b">
        <f t="shared" si="1151"/>
        <v>0</v>
      </c>
      <c r="BA596" t="b">
        <f t="shared" si="1152"/>
        <v>0</v>
      </c>
      <c r="BB596" t="b">
        <f t="shared" si="1153"/>
        <v>0</v>
      </c>
      <c r="BC596" t="b">
        <f t="shared" si="1154"/>
        <v>0</v>
      </c>
      <c r="BD596" t="b">
        <f t="shared" si="1155"/>
        <v>0</v>
      </c>
      <c r="BE596" t="b">
        <f t="shared" si="1156"/>
        <v>0</v>
      </c>
      <c r="BF596" t="b">
        <f t="shared" si="1157"/>
        <v>0</v>
      </c>
      <c r="BG596" t="b">
        <f t="shared" si="1158"/>
        <v>0</v>
      </c>
      <c r="BH596" t="b">
        <f t="shared" si="1159"/>
        <v>0</v>
      </c>
      <c r="BI596">
        <f t="shared" si="1160"/>
        <v>1</v>
      </c>
      <c r="BJ596" t="b">
        <f t="shared" si="1161"/>
        <v>0</v>
      </c>
      <c r="BK596" t="b">
        <f t="shared" si="1162"/>
        <v>0</v>
      </c>
      <c r="BL596" t="b">
        <f t="shared" si="1163"/>
        <v>0</v>
      </c>
      <c r="BM596" t="b">
        <f t="shared" si="1164"/>
        <v>0</v>
      </c>
      <c r="BN596" t="b">
        <f t="shared" si="1165"/>
        <v>0</v>
      </c>
      <c r="BO596" t="b">
        <f t="shared" si="1166"/>
        <v>0</v>
      </c>
      <c r="BP596" t="b">
        <f t="shared" si="1167"/>
        <v>0</v>
      </c>
      <c r="BQ596" t="b">
        <f t="shared" si="1168"/>
        <v>0</v>
      </c>
      <c r="BR596" t="b">
        <f t="shared" si="1169"/>
        <v>0</v>
      </c>
      <c r="BS596" t="b">
        <f t="shared" si="1170"/>
        <v>0</v>
      </c>
      <c r="BT596" t="b">
        <f t="shared" si="1171"/>
        <v>0</v>
      </c>
      <c r="BU596" t="b">
        <f t="shared" si="1172"/>
        <v>0</v>
      </c>
      <c r="BV596" t="b">
        <f t="shared" si="1173"/>
        <v>0</v>
      </c>
      <c r="BW596" t="b">
        <f t="shared" si="1174"/>
        <v>0</v>
      </c>
      <c r="BX596" t="b">
        <f t="shared" si="1175"/>
        <v>0</v>
      </c>
      <c r="BY596" t="b">
        <f t="shared" si="1176"/>
        <v>0</v>
      </c>
      <c r="BZ596" t="b">
        <f t="shared" si="1177"/>
        <v>0</v>
      </c>
      <c r="CA596" t="b">
        <f t="shared" si="1178"/>
        <v>0</v>
      </c>
      <c r="CB596" t="b">
        <f t="shared" si="1179"/>
        <v>0</v>
      </c>
      <c r="CC596" t="b">
        <f t="shared" si="1180"/>
        <v>0</v>
      </c>
      <c r="CD596" t="b">
        <f t="shared" si="1181"/>
        <v>0</v>
      </c>
      <c r="CE596">
        <f t="shared" si="1182"/>
        <v>1</v>
      </c>
      <c r="CF596" t="b">
        <f t="shared" si="1183"/>
        <v>0</v>
      </c>
      <c r="CG596" t="b">
        <f t="shared" si="1184"/>
        <v>0</v>
      </c>
      <c r="CH596" t="b">
        <f t="shared" si="1185"/>
        <v>0</v>
      </c>
      <c r="CI596" t="b">
        <f t="shared" si="1186"/>
        <v>0</v>
      </c>
      <c r="CJ596" t="b">
        <f t="shared" si="1187"/>
        <v>0</v>
      </c>
      <c r="CK596" t="b">
        <f t="shared" si="1188"/>
        <v>0</v>
      </c>
      <c r="CL596" t="b">
        <f t="shared" si="1189"/>
        <v>0</v>
      </c>
      <c r="CM596" t="b">
        <f t="shared" si="1190"/>
        <v>0</v>
      </c>
      <c r="CN596" t="b">
        <f t="shared" si="1191"/>
        <v>0</v>
      </c>
      <c r="CO596" t="b">
        <f t="shared" si="1192"/>
        <v>0</v>
      </c>
      <c r="CP596" t="b">
        <f t="shared" si="1193"/>
        <v>0</v>
      </c>
      <c r="CQ596" t="b">
        <f t="shared" si="1194"/>
        <v>0</v>
      </c>
      <c r="CR596" t="b">
        <f t="shared" si="1195"/>
        <v>0</v>
      </c>
      <c r="CS596" t="b">
        <f t="shared" si="1196"/>
        <v>0</v>
      </c>
      <c r="CT596" t="b">
        <f t="shared" si="1197"/>
        <v>0</v>
      </c>
      <c r="CU596" t="b">
        <f t="shared" si="1198"/>
        <v>0</v>
      </c>
      <c r="CV596">
        <f t="shared" si="1199"/>
        <v>1</v>
      </c>
      <c r="CW596" t="b">
        <f t="shared" si="1200"/>
        <v>0</v>
      </c>
      <c r="CX596" t="b">
        <f t="shared" si="1201"/>
        <v>0</v>
      </c>
      <c r="CY596" t="b">
        <f t="shared" si="1202"/>
        <v>0</v>
      </c>
      <c r="CZ596" t="b">
        <f t="shared" si="1203"/>
        <v>0</v>
      </c>
      <c r="DA596" t="b">
        <f t="shared" si="1204"/>
        <v>0</v>
      </c>
      <c r="DB596" t="b">
        <f t="shared" si="1205"/>
        <v>0</v>
      </c>
      <c r="DC596" t="b">
        <f t="shared" si="1206"/>
        <v>0</v>
      </c>
      <c r="DD596" t="b">
        <f t="shared" si="1207"/>
        <v>0</v>
      </c>
      <c r="DE596" t="b">
        <f t="shared" si="1208"/>
        <v>0</v>
      </c>
      <c r="DF596" t="b">
        <f t="shared" si="1209"/>
        <v>0</v>
      </c>
      <c r="DG596">
        <f t="shared" si="1210"/>
        <v>1</v>
      </c>
      <c r="DH596" t="b">
        <f t="shared" si="1211"/>
        <v>0</v>
      </c>
      <c r="DI596" t="b">
        <f t="shared" si="1212"/>
        <v>0</v>
      </c>
      <c r="DJ596" t="b">
        <f t="shared" si="1213"/>
        <v>0</v>
      </c>
      <c r="DK596" t="b">
        <f t="shared" si="1214"/>
        <v>0</v>
      </c>
      <c r="DL596" t="b">
        <f t="shared" si="1215"/>
        <v>0</v>
      </c>
      <c r="DM596" t="b">
        <f t="shared" si="1216"/>
        <v>0</v>
      </c>
      <c r="DN596" t="b">
        <f t="shared" si="1217"/>
        <v>0</v>
      </c>
      <c r="DO596" t="b">
        <f t="shared" si="1218"/>
        <v>0</v>
      </c>
      <c r="DP596" t="b">
        <f t="shared" si="1219"/>
        <v>0</v>
      </c>
      <c r="DQ596" t="b">
        <f t="shared" si="1220"/>
        <v>0</v>
      </c>
      <c r="DR596" t="b">
        <f t="shared" si="1221"/>
        <v>0</v>
      </c>
      <c r="DS596" t="b">
        <f t="shared" si="1222"/>
        <v>0</v>
      </c>
      <c r="DT596" t="b">
        <f t="shared" si="1223"/>
        <v>0</v>
      </c>
      <c r="DU596" t="b">
        <f t="shared" si="1224"/>
        <v>0</v>
      </c>
      <c r="DV596" t="b">
        <f t="shared" si="1225"/>
        <v>0</v>
      </c>
      <c r="DW596" t="b">
        <f t="shared" si="1226"/>
        <v>0</v>
      </c>
      <c r="DX596" t="b">
        <f t="shared" si="1227"/>
        <v>0</v>
      </c>
      <c r="DY596" t="b">
        <f t="shared" si="1228"/>
        <v>0</v>
      </c>
      <c r="DZ596" t="b">
        <f t="shared" si="1229"/>
        <v>0</v>
      </c>
      <c r="EA596" t="b">
        <f t="shared" si="1230"/>
        <v>0</v>
      </c>
      <c r="EB596" t="b">
        <f t="shared" si="1231"/>
        <v>0</v>
      </c>
      <c r="EC596" t="b">
        <f t="shared" si="1232"/>
        <v>0</v>
      </c>
      <c r="ED596" t="b">
        <f t="shared" si="1233"/>
        <v>0</v>
      </c>
      <c r="EE596" t="b">
        <f t="shared" si="1234"/>
        <v>0</v>
      </c>
      <c r="EF596">
        <f t="shared" si="1235"/>
        <v>1</v>
      </c>
      <c r="EG596" t="b">
        <f t="shared" si="1236"/>
        <v>0</v>
      </c>
      <c r="EH596" t="b">
        <f t="shared" si="1237"/>
        <v>0</v>
      </c>
      <c r="EI596" t="b">
        <f t="shared" si="1238"/>
        <v>0</v>
      </c>
      <c r="EJ596" t="b">
        <f t="shared" si="1239"/>
        <v>0</v>
      </c>
      <c r="EK596" t="b">
        <f t="shared" si="1240"/>
        <v>0</v>
      </c>
    </row>
    <row r="597" spans="1:141">
      <c r="A597" t="s">
        <v>3001</v>
      </c>
      <c r="B597" t="s">
        <v>3001</v>
      </c>
      <c r="C597" t="s">
        <v>3002</v>
      </c>
      <c r="D597" s="1">
        <v>42321</v>
      </c>
      <c r="E597" s="2">
        <v>42333.292326388888</v>
      </c>
      <c r="F597" s="2">
        <v>42333.292326388888</v>
      </c>
      <c r="G597">
        <v>4833678</v>
      </c>
      <c r="H597" t="s">
        <v>3003</v>
      </c>
      <c r="I597" s="10" t="s">
        <v>3004</v>
      </c>
      <c r="J597" t="s">
        <v>3005</v>
      </c>
      <c r="K597" s="8" t="b">
        <v>1</v>
      </c>
      <c r="L597" s="10" t="b">
        <v>0</v>
      </c>
      <c r="M597" s="12" t="b">
        <v>0</v>
      </c>
      <c r="N597" t="b">
        <v>1</v>
      </c>
      <c r="O597" t="b">
        <v>0</v>
      </c>
      <c r="P597" t="b">
        <v>0</v>
      </c>
      <c r="Q597">
        <f t="shared" si="1117"/>
        <v>6</v>
      </c>
      <c r="R597">
        <f t="shared" si="1118"/>
        <v>11</v>
      </c>
      <c r="S597" t="e">
        <f t="shared" ca="1" si="1148"/>
        <v>#NAME?</v>
      </c>
      <c r="T597" t="e">
        <f t="shared" ca="1" si="1119"/>
        <v>#NAME?</v>
      </c>
      <c r="U597" s="4">
        <f t="shared" si="1120"/>
        <v>12.292326388887886</v>
      </c>
      <c r="V597" s="4">
        <f t="shared" si="1121"/>
        <v>0.40974421296292957</v>
      </c>
      <c r="W597" s="4">
        <f t="shared" si="1122"/>
        <v>1</v>
      </c>
      <c r="X597" s="4">
        <f t="shared" si="1123"/>
        <v>0</v>
      </c>
      <c r="Y597" s="4">
        <f t="shared" si="1124"/>
        <v>0</v>
      </c>
      <c r="Z597" s="4">
        <f t="shared" si="1125"/>
        <v>1</v>
      </c>
      <c r="AA597" s="4">
        <f t="shared" si="1126"/>
        <v>0</v>
      </c>
      <c r="AB597" s="4">
        <f t="shared" si="1127"/>
        <v>0</v>
      </c>
      <c r="AD597" s="4" t="b">
        <f t="shared" si="1128"/>
        <v>0</v>
      </c>
      <c r="AE597" s="4" t="b">
        <f t="shared" si="1129"/>
        <v>0</v>
      </c>
      <c r="AF597" s="4" t="b">
        <f t="shared" si="1130"/>
        <v>0</v>
      </c>
      <c r="AG597" t="b">
        <f t="shared" si="1131"/>
        <v>0</v>
      </c>
      <c r="AH597" t="b">
        <f t="shared" si="1132"/>
        <v>0</v>
      </c>
      <c r="AI597" t="b">
        <f t="shared" si="1133"/>
        <v>0</v>
      </c>
      <c r="AJ597" t="b">
        <f t="shared" si="1134"/>
        <v>0</v>
      </c>
      <c r="AK597" t="b">
        <f t="shared" si="1135"/>
        <v>0</v>
      </c>
      <c r="AL597" t="b">
        <f t="shared" si="1136"/>
        <v>0</v>
      </c>
      <c r="AM597" t="b">
        <f t="shared" si="1137"/>
        <v>0</v>
      </c>
      <c r="AN597" t="b">
        <f t="shared" si="1138"/>
        <v>0</v>
      </c>
      <c r="AO597" t="b">
        <f t="shared" si="1139"/>
        <v>0</v>
      </c>
      <c r="AP597" t="b">
        <f t="shared" si="1140"/>
        <v>0</v>
      </c>
      <c r="AQ597" t="b">
        <f t="shared" si="1141"/>
        <v>0</v>
      </c>
      <c r="AR597" t="b">
        <f t="shared" si="1142"/>
        <v>0</v>
      </c>
      <c r="AS597" t="b">
        <f t="shared" si="1143"/>
        <v>0</v>
      </c>
      <c r="AT597" t="b">
        <f t="shared" si="1144"/>
        <v>0</v>
      </c>
      <c r="AU597" t="b">
        <f t="shared" si="1145"/>
        <v>0</v>
      </c>
      <c r="AV597" t="b">
        <f t="shared" si="1146"/>
        <v>0</v>
      </c>
      <c r="AW597" t="b">
        <f t="shared" si="1147"/>
        <v>0</v>
      </c>
      <c r="AX597" t="b">
        <f t="shared" si="1149"/>
        <v>0</v>
      </c>
      <c r="AY597" t="b">
        <f t="shared" si="1150"/>
        <v>0</v>
      </c>
      <c r="AZ597">
        <f t="shared" si="1151"/>
        <v>1</v>
      </c>
      <c r="BA597" t="b">
        <f t="shared" si="1152"/>
        <v>0</v>
      </c>
      <c r="BB597" t="b">
        <f t="shared" si="1153"/>
        <v>0</v>
      </c>
      <c r="BC597" t="b">
        <f t="shared" si="1154"/>
        <v>0</v>
      </c>
      <c r="BD597" t="b">
        <f t="shared" si="1155"/>
        <v>0</v>
      </c>
      <c r="BE597" t="b">
        <f t="shared" si="1156"/>
        <v>0</v>
      </c>
      <c r="BF597" t="b">
        <f t="shared" si="1157"/>
        <v>0</v>
      </c>
      <c r="BG597" t="b">
        <f t="shared" si="1158"/>
        <v>0</v>
      </c>
      <c r="BH597" t="b">
        <f t="shared" si="1159"/>
        <v>0</v>
      </c>
      <c r="BI597">
        <f t="shared" si="1160"/>
        <v>1</v>
      </c>
      <c r="BJ597" t="b">
        <f t="shared" si="1161"/>
        <v>0</v>
      </c>
      <c r="BK597" t="b">
        <f t="shared" si="1162"/>
        <v>0</v>
      </c>
      <c r="BL597" t="b">
        <f t="shared" si="1163"/>
        <v>0</v>
      </c>
      <c r="BM597" t="b">
        <f t="shared" si="1164"/>
        <v>0</v>
      </c>
      <c r="BN597" t="b">
        <f t="shared" si="1165"/>
        <v>0</v>
      </c>
      <c r="BO597" t="b">
        <f t="shared" si="1166"/>
        <v>0</v>
      </c>
      <c r="BP597" t="b">
        <f t="shared" si="1167"/>
        <v>0</v>
      </c>
      <c r="BQ597" t="b">
        <f t="shared" si="1168"/>
        <v>0</v>
      </c>
      <c r="BR597">
        <f t="shared" si="1169"/>
        <v>1</v>
      </c>
      <c r="BS597" t="b">
        <f t="shared" si="1170"/>
        <v>0</v>
      </c>
      <c r="BT597" t="b">
        <f t="shared" si="1171"/>
        <v>0</v>
      </c>
      <c r="BU597" t="b">
        <f t="shared" si="1172"/>
        <v>0</v>
      </c>
      <c r="BV597" t="b">
        <f t="shared" si="1173"/>
        <v>0</v>
      </c>
      <c r="BW597" t="b">
        <f t="shared" si="1174"/>
        <v>0</v>
      </c>
      <c r="BX597" t="b">
        <f t="shared" si="1175"/>
        <v>0</v>
      </c>
      <c r="BY597" t="b">
        <f t="shared" si="1176"/>
        <v>0</v>
      </c>
      <c r="BZ597" t="b">
        <f t="shared" si="1177"/>
        <v>0</v>
      </c>
      <c r="CA597" t="b">
        <f t="shared" si="1178"/>
        <v>0</v>
      </c>
      <c r="CB597" t="b">
        <f t="shared" si="1179"/>
        <v>0</v>
      </c>
      <c r="CC597" t="b">
        <f t="shared" si="1180"/>
        <v>0</v>
      </c>
      <c r="CD597" t="b">
        <f t="shared" si="1181"/>
        <v>0</v>
      </c>
      <c r="CE597">
        <f t="shared" si="1182"/>
        <v>1</v>
      </c>
      <c r="CF597" t="b">
        <f t="shared" si="1183"/>
        <v>0</v>
      </c>
      <c r="CG597" t="b">
        <f t="shared" si="1184"/>
        <v>0</v>
      </c>
      <c r="CH597" t="b">
        <f t="shared" si="1185"/>
        <v>0</v>
      </c>
      <c r="CI597" t="b">
        <f t="shared" si="1186"/>
        <v>0</v>
      </c>
      <c r="CJ597" t="b">
        <f t="shared" si="1187"/>
        <v>0</v>
      </c>
      <c r="CK597" t="b">
        <f t="shared" si="1188"/>
        <v>0</v>
      </c>
      <c r="CL597" t="b">
        <f t="shared" si="1189"/>
        <v>0</v>
      </c>
      <c r="CM597">
        <f t="shared" si="1190"/>
        <v>1</v>
      </c>
      <c r="CN597" t="b">
        <f t="shared" si="1191"/>
        <v>0</v>
      </c>
      <c r="CO597" t="b">
        <f t="shared" si="1192"/>
        <v>0</v>
      </c>
      <c r="CP597" t="b">
        <f t="shared" si="1193"/>
        <v>0</v>
      </c>
      <c r="CQ597" t="b">
        <f t="shared" si="1194"/>
        <v>0</v>
      </c>
      <c r="CR597" t="b">
        <f t="shared" si="1195"/>
        <v>0</v>
      </c>
      <c r="CS597" t="b">
        <f t="shared" si="1196"/>
        <v>0</v>
      </c>
      <c r="CT597" t="b">
        <f t="shared" si="1197"/>
        <v>0</v>
      </c>
      <c r="CU597" t="b">
        <f t="shared" si="1198"/>
        <v>0</v>
      </c>
      <c r="CV597">
        <f t="shared" si="1199"/>
        <v>1</v>
      </c>
      <c r="CW597" t="b">
        <f t="shared" si="1200"/>
        <v>0</v>
      </c>
      <c r="CX597" t="b">
        <f t="shared" si="1201"/>
        <v>0</v>
      </c>
      <c r="CY597" t="b">
        <f t="shared" si="1202"/>
        <v>0</v>
      </c>
      <c r="CZ597" t="b">
        <f t="shared" si="1203"/>
        <v>0</v>
      </c>
      <c r="DA597" t="b">
        <f t="shared" si="1204"/>
        <v>0</v>
      </c>
      <c r="DB597">
        <f t="shared" si="1205"/>
        <v>1</v>
      </c>
      <c r="DC597" t="b">
        <f t="shared" si="1206"/>
        <v>0</v>
      </c>
      <c r="DD597" t="b">
        <f t="shared" si="1207"/>
        <v>0</v>
      </c>
      <c r="DE597" t="b">
        <f t="shared" si="1208"/>
        <v>0</v>
      </c>
      <c r="DF597" t="b">
        <f t="shared" si="1209"/>
        <v>0</v>
      </c>
      <c r="DG597" t="b">
        <f t="shared" si="1210"/>
        <v>0</v>
      </c>
      <c r="DH597" t="b">
        <f t="shared" si="1211"/>
        <v>0</v>
      </c>
      <c r="DI597" t="b">
        <f t="shared" si="1212"/>
        <v>0</v>
      </c>
      <c r="DJ597" t="b">
        <f t="shared" si="1213"/>
        <v>0</v>
      </c>
      <c r="DK597" t="b">
        <f t="shared" si="1214"/>
        <v>0</v>
      </c>
      <c r="DL597" t="b">
        <f t="shared" si="1215"/>
        <v>0</v>
      </c>
      <c r="DM597" t="b">
        <f t="shared" si="1216"/>
        <v>0</v>
      </c>
      <c r="DN597" t="b">
        <f t="shared" si="1217"/>
        <v>0</v>
      </c>
      <c r="DO597" t="b">
        <f t="shared" si="1218"/>
        <v>0</v>
      </c>
      <c r="DP597" t="b">
        <f t="shared" si="1219"/>
        <v>0</v>
      </c>
      <c r="DQ597" t="b">
        <f t="shared" si="1220"/>
        <v>0</v>
      </c>
      <c r="DR597" t="b">
        <f t="shared" si="1221"/>
        <v>0</v>
      </c>
      <c r="DS597">
        <f t="shared" si="1222"/>
        <v>1</v>
      </c>
      <c r="DT597" t="b">
        <f t="shared" si="1223"/>
        <v>0</v>
      </c>
      <c r="DU597" t="b">
        <f t="shared" si="1224"/>
        <v>0</v>
      </c>
      <c r="DV597" t="b">
        <f t="shared" si="1225"/>
        <v>0</v>
      </c>
      <c r="DW597" t="b">
        <f t="shared" si="1226"/>
        <v>0</v>
      </c>
      <c r="DX597" t="b">
        <f t="shared" si="1227"/>
        <v>0</v>
      </c>
      <c r="DY597" t="b">
        <f t="shared" si="1228"/>
        <v>0</v>
      </c>
      <c r="DZ597" t="b">
        <f t="shared" si="1229"/>
        <v>0</v>
      </c>
      <c r="EA597" t="b">
        <f t="shared" si="1230"/>
        <v>0</v>
      </c>
      <c r="EB597" t="b">
        <f t="shared" si="1231"/>
        <v>0</v>
      </c>
      <c r="EC597" t="b">
        <f t="shared" si="1232"/>
        <v>0</v>
      </c>
      <c r="ED597" t="b">
        <f t="shared" si="1233"/>
        <v>0</v>
      </c>
      <c r="EE597" t="b">
        <f t="shared" si="1234"/>
        <v>0</v>
      </c>
      <c r="EF597">
        <f t="shared" si="1235"/>
        <v>1</v>
      </c>
      <c r="EG597" t="b">
        <f t="shared" si="1236"/>
        <v>0</v>
      </c>
      <c r="EH597" t="b">
        <f t="shared" si="1237"/>
        <v>0</v>
      </c>
      <c r="EI597">
        <f t="shared" si="1238"/>
        <v>1</v>
      </c>
      <c r="EJ597" t="b">
        <f t="shared" si="1239"/>
        <v>0</v>
      </c>
      <c r="EK597" t="b">
        <f t="shared" si="1240"/>
        <v>0</v>
      </c>
    </row>
    <row r="598" spans="1:141">
      <c r="A598" t="s">
        <v>3006</v>
      </c>
      <c r="B598" t="s">
        <v>3007</v>
      </c>
      <c r="C598" t="s">
        <v>3008</v>
      </c>
      <c r="D598" s="1">
        <v>42413</v>
      </c>
      <c r="E598" s="2">
        <v>43056.313379629632</v>
      </c>
      <c r="F598" s="2">
        <v>43056.324756944443</v>
      </c>
      <c r="G598">
        <v>2013164</v>
      </c>
      <c r="H598" t="s">
        <v>3009</v>
      </c>
      <c r="I598" s="10" t="s">
        <v>3010</v>
      </c>
      <c r="J598" t="s">
        <v>2082</v>
      </c>
      <c r="K598" s="8" t="b">
        <v>0</v>
      </c>
      <c r="L598" s="10" t="b">
        <v>0</v>
      </c>
      <c r="M598" s="12" t="b">
        <v>1</v>
      </c>
      <c r="N598" t="b">
        <v>0</v>
      </c>
      <c r="O598" t="b">
        <v>0</v>
      </c>
      <c r="P598" t="b">
        <v>0</v>
      </c>
      <c r="Q598">
        <f t="shared" si="1117"/>
        <v>7</v>
      </c>
      <c r="R598">
        <f t="shared" si="1118"/>
        <v>2</v>
      </c>
      <c r="S598" t="e">
        <f t="shared" ca="1" si="1148"/>
        <v>#NAME?</v>
      </c>
      <c r="T598" t="e">
        <f t="shared" ca="1" si="1119"/>
        <v>#NAME?</v>
      </c>
      <c r="U598" s="4">
        <f t="shared" si="1120"/>
        <v>643.31337962963153</v>
      </c>
      <c r="V598" s="4">
        <f t="shared" si="1121"/>
        <v>21.443779320987719</v>
      </c>
      <c r="W598" s="4">
        <f t="shared" si="1122"/>
        <v>0</v>
      </c>
      <c r="X598" s="4">
        <f t="shared" si="1123"/>
        <v>0</v>
      </c>
      <c r="Y598" s="4">
        <f t="shared" si="1124"/>
        <v>1</v>
      </c>
      <c r="Z598" s="4">
        <f t="shared" si="1125"/>
        <v>0</v>
      </c>
      <c r="AA598" s="4">
        <f t="shared" si="1126"/>
        <v>0</v>
      </c>
      <c r="AB598" s="4">
        <f t="shared" si="1127"/>
        <v>0</v>
      </c>
      <c r="AD598" s="4" t="b">
        <f t="shared" si="1128"/>
        <v>0</v>
      </c>
      <c r="AE598" s="4" t="b">
        <f t="shared" si="1129"/>
        <v>0</v>
      </c>
      <c r="AF598" s="4" t="b">
        <f t="shared" si="1130"/>
        <v>0</v>
      </c>
      <c r="AG598" t="b">
        <f t="shared" si="1131"/>
        <v>0</v>
      </c>
      <c r="AH598" t="b">
        <f t="shared" si="1132"/>
        <v>0</v>
      </c>
      <c r="AI598" t="b">
        <f t="shared" si="1133"/>
        <v>0</v>
      </c>
      <c r="AJ598" t="b">
        <f t="shared" si="1134"/>
        <v>0</v>
      </c>
      <c r="AK598" t="b">
        <f t="shared" si="1135"/>
        <v>0</v>
      </c>
      <c r="AL598" t="b">
        <f t="shared" si="1136"/>
        <v>0</v>
      </c>
      <c r="AM598" t="b">
        <f t="shared" si="1137"/>
        <v>0</v>
      </c>
      <c r="AN598" t="b">
        <f t="shared" si="1138"/>
        <v>0</v>
      </c>
      <c r="AO598" t="b">
        <f t="shared" si="1139"/>
        <v>0</v>
      </c>
      <c r="AP598" t="b">
        <f t="shared" si="1140"/>
        <v>0</v>
      </c>
      <c r="AQ598" t="b">
        <f t="shared" si="1141"/>
        <v>0</v>
      </c>
      <c r="AR598" t="b">
        <f t="shared" si="1142"/>
        <v>0</v>
      </c>
      <c r="AS598" t="b">
        <f t="shared" si="1143"/>
        <v>0</v>
      </c>
      <c r="AT598" t="b">
        <f t="shared" si="1144"/>
        <v>0</v>
      </c>
      <c r="AU598" t="b">
        <f t="shared" si="1145"/>
        <v>0</v>
      </c>
      <c r="AV598" t="b">
        <f t="shared" si="1146"/>
        <v>0</v>
      </c>
      <c r="AW598" t="b">
        <f t="shared" si="1147"/>
        <v>0</v>
      </c>
      <c r="AX598" t="b">
        <f t="shared" si="1149"/>
        <v>0</v>
      </c>
      <c r="AY598" t="b">
        <f t="shared" si="1150"/>
        <v>0</v>
      </c>
      <c r="AZ598" t="b">
        <f t="shared" si="1151"/>
        <v>0</v>
      </c>
      <c r="BA598" t="b">
        <f t="shared" si="1152"/>
        <v>0</v>
      </c>
      <c r="BB598" t="b">
        <f t="shared" si="1153"/>
        <v>0</v>
      </c>
      <c r="BC598" t="b">
        <f t="shared" si="1154"/>
        <v>0</v>
      </c>
      <c r="BD598" t="b">
        <f t="shared" si="1155"/>
        <v>0</v>
      </c>
      <c r="BE598" t="b">
        <f t="shared" si="1156"/>
        <v>0</v>
      </c>
      <c r="BF598" t="b">
        <f t="shared" si="1157"/>
        <v>0</v>
      </c>
      <c r="BG598" t="b">
        <f t="shared" si="1158"/>
        <v>0</v>
      </c>
      <c r="BH598" t="b">
        <f t="shared" si="1159"/>
        <v>0</v>
      </c>
      <c r="BI598">
        <f t="shared" si="1160"/>
        <v>1</v>
      </c>
      <c r="BJ598" t="b">
        <f t="shared" si="1161"/>
        <v>0</v>
      </c>
      <c r="BK598" t="b">
        <f t="shared" si="1162"/>
        <v>0</v>
      </c>
      <c r="BL598" t="b">
        <f t="shared" si="1163"/>
        <v>0</v>
      </c>
      <c r="BM598" t="b">
        <f t="shared" si="1164"/>
        <v>0</v>
      </c>
      <c r="BN598" t="b">
        <f t="shared" si="1165"/>
        <v>0</v>
      </c>
      <c r="BO598" t="b">
        <f t="shared" si="1166"/>
        <v>0</v>
      </c>
      <c r="BP598" t="b">
        <f t="shared" si="1167"/>
        <v>0</v>
      </c>
      <c r="BQ598" t="b">
        <f t="shared" si="1168"/>
        <v>0</v>
      </c>
      <c r="BR598" t="b">
        <f t="shared" si="1169"/>
        <v>0</v>
      </c>
      <c r="BS598" t="b">
        <f t="shared" si="1170"/>
        <v>0</v>
      </c>
      <c r="BT598" t="b">
        <f t="shared" si="1171"/>
        <v>0</v>
      </c>
      <c r="BU598" t="b">
        <f t="shared" si="1172"/>
        <v>0</v>
      </c>
      <c r="BV598" t="b">
        <f t="shared" si="1173"/>
        <v>0</v>
      </c>
      <c r="BW598" t="b">
        <f t="shared" si="1174"/>
        <v>0</v>
      </c>
      <c r="BX598" t="b">
        <f t="shared" si="1175"/>
        <v>0</v>
      </c>
      <c r="BY598" t="b">
        <f t="shared" si="1176"/>
        <v>0</v>
      </c>
      <c r="BZ598" t="b">
        <f t="shared" si="1177"/>
        <v>0</v>
      </c>
      <c r="CA598" t="b">
        <f t="shared" si="1178"/>
        <v>0</v>
      </c>
      <c r="CB598" t="b">
        <f t="shared" si="1179"/>
        <v>0</v>
      </c>
      <c r="CC598" t="b">
        <f t="shared" si="1180"/>
        <v>0</v>
      </c>
      <c r="CD598" t="b">
        <f t="shared" si="1181"/>
        <v>0</v>
      </c>
      <c r="CE598">
        <f t="shared" si="1182"/>
        <v>1</v>
      </c>
      <c r="CF598" t="b">
        <f t="shared" si="1183"/>
        <v>0</v>
      </c>
      <c r="CG598" t="b">
        <f t="shared" si="1184"/>
        <v>0</v>
      </c>
      <c r="CH598" t="b">
        <f t="shared" si="1185"/>
        <v>0</v>
      </c>
      <c r="CI598" t="b">
        <f t="shared" si="1186"/>
        <v>0</v>
      </c>
      <c r="CJ598" t="b">
        <f t="shared" si="1187"/>
        <v>0</v>
      </c>
      <c r="CK598" t="b">
        <f t="shared" si="1188"/>
        <v>0</v>
      </c>
      <c r="CL598" t="b">
        <f t="shared" si="1189"/>
        <v>0</v>
      </c>
      <c r="CM598">
        <f t="shared" si="1190"/>
        <v>1</v>
      </c>
      <c r="CN598" t="b">
        <f t="shared" si="1191"/>
        <v>0</v>
      </c>
      <c r="CO598" t="b">
        <f t="shared" si="1192"/>
        <v>0</v>
      </c>
      <c r="CP598" t="b">
        <f t="shared" si="1193"/>
        <v>0</v>
      </c>
      <c r="CQ598" t="b">
        <f t="shared" si="1194"/>
        <v>0</v>
      </c>
      <c r="CR598" t="b">
        <f t="shared" si="1195"/>
        <v>0</v>
      </c>
      <c r="CS598" t="b">
        <f t="shared" si="1196"/>
        <v>0</v>
      </c>
      <c r="CT598" t="b">
        <f t="shared" si="1197"/>
        <v>0</v>
      </c>
      <c r="CU598" t="b">
        <f t="shared" si="1198"/>
        <v>0</v>
      </c>
      <c r="CV598" t="b">
        <f t="shared" si="1199"/>
        <v>0</v>
      </c>
      <c r="CW598" t="b">
        <f t="shared" si="1200"/>
        <v>0</v>
      </c>
      <c r="CX598" t="b">
        <f t="shared" si="1201"/>
        <v>0</v>
      </c>
      <c r="CY598" t="b">
        <f t="shared" si="1202"/>
        <v>0</v>
      </c>
      <c r="CZ598" t="b">
        <f t="shared" si="1203"/>
        <v>0</v>
      </c>
      <c r="DA598">
        <f t="shared" si="1204"/>
        <v>1</v>
      </c>
      <c r="DB598">
        <f t="shared" si="1205"/>
        <v>1</v>
      </c>
      <c r="DC598" t="b">
        <f t="shared" si="1206"/>
        <v>0</v>
      </c>
      <c r="DD598" t="b">
        <f t="shared" si="1207"/>
        <v>0</v>
      </c>
      <c r="DE598" t="b">
        <f t="shared" si="1208"/>
        <v>0</v>
      </c>
      <c r="DF598" t="b">
        <f t="shared" si="1209"/>
        <v>0</v>
      </c>
      <c r="DG598" t="b">
        <f t="shared" si="1210"/>
        <v>0</v>
      </c>
      <c r="DH598" t="b">
        <f t="shared" si="1211"/>
        <v>0</v>
      </c>
      <c r="DI598" t="b">
        <f t="shared" si="1212"/>
        <v>0</v>
      </c>
      <c r="DJ598" t="b">
        <f t="shared" si="1213"/>
        <v>0</v>
      </c>
      <c r="DK598" t="b">
        <f t="shared" si="1214"/>
        <v>0</v>
      </c>
      <c r="DL598" t="b">
        <f t="shared" si="1215"/>
        <v>0</v>
      </c>
      <c r="DM598" t="b">
        <f t="shared" si="1216"/>
        <v>0</v>
      </c>
      <c r="DN598" t="b">
        <f t="shared" si="1217"/>
        <v>0</v>
      </c>
      <c r="DO598" t="b">
        <f t="shared" si="1218"/>
        <v>0</v>
      </c>
      <c r="DP598" t="b">
        <f t="shared" si="1219"/>
        <v>0</v>
      </c>
      <c r="DQ598" t="b">
        <f t="shared" si="1220"/>
        <v>0</v>
      </c>
      <c r="DR598" t="b">
        <f t="shared" si="1221"/>
        <v>0</v>
      </c>
      <c r="DS598" t="b">
        <f t="shared" si="1222"/>
        <v>0</v>
      </c>
      <c r="DT598" t="b">
        <f t="shared" si="1223"/>
        <v>0</v>
      </c>
      <c r="DU598" t="b">
        <f t="shared" si="1224"/>
        <v>0</v>
      </c>
      <c r="DV598" t="b">
        <f t="shared" si="1225"/>
        <v>0</v>
      </c>
      <c r="DW598" t="b">
        <f t="shared" si="1226"/>
        <v>0</v>
      </c>
      <c r="DX598" t="b">
        <f t="shared" si="1227"/>
        <v>0</v>
      </c>
      <c r="DY598" t="b">
        <f t="shared" si="1228"/>
        <v>0</v>
      </c>
      <c r="DZ598" t="b">
        <f t="shared" si="1229"/>
        <v>0</v>
      </c>
      <c r="EA598" t="b">
        <f t="shared" si="1230"/>
        <v>0</v>
      </c>
      <c r="EB598" t="b">
        <f t="shared" si="1231"/>
        <v>0</v>
      </c>
      <c r="EC598" t="b">
        <f t="shared" si="1232"/>
        <v>0</v>
      </c>
      <c r="ED598" t="b">
        <f t="shared" si="1233"/>
        <v>0</v>
      </c>
      <c r="EE598" t="b">
        <f t="shared" si="1234"/>
        <v>0</v>
      </c>
      <c r="EF598" t="b">
        <f t="shared" si="1235"/>
        <v>0</v>
      </c>
      <c r="EG598" t="b">
        <f t="shared" si="1236"/>
        <v>0</v>
      </c>
      <c r="EH598" t="b">
        <f t="shared" si="1237"/>
        <v>0</v>
      </c>
      <c r="EI598" t="b">
        <f t="shared" si="1238"/>
        <v>0</v>
      </c>
      <c r="EJ598" t="b">
        <f t="shared" si="1239"/>
        <v>0</v>
      </c>
      <c r="EK598" t="b">
        <f t="shared" si="1240"/>
        <v>0</v>
      </c>
    </row>
    <row r="599" spans="1:141">
      <c r="A599" t="s">
        <v>3011</v>
      </c>
      <c r="B599" t="s">
        <v>3011</v>
      </c>
      <c r="C599" t="s">
        <v>3012</v>
      </c>
      <c r="D599" s="1">
        <v>44801</v>
      </c>
      <c r="E599" s="2">
        <v>44840.947233796294</v>
      </c>
      <c r="F599" s="2">
        <v>44840.947233796294</v>
      </c>
      <c r="G599">
        <v>6706951</v>
      </c>
      <c r="H599" t="s">
        <v>3013</v>
      </c>
      <c r="I599" s="10" t="s">
        <v>3014</v>
      </c>
      <c r="J599" t="s">
        <v>3015</v>
      </c>
      <c r="K599" s="8" t="b">
        <v>1</v>
      </c>
      <c r="L599" s="10" t="b">
        <v>0</v>
      </c>
      <c r="M599" s="12" t="b">
        <v>0</v>
      </c>
      <c r="N599" t="b">
        <v>0</v>
      </c>
      <c r="O599" t="b">
        <v>0</v>
      </c>
      <c r="P599" t="b">
        <v>0</v>
      </c>
      <c r="Q599">
        <f t="shared" si="1117"/>
        <v>1</v>
      </c>
      <c r="R599">
        <f t="shared" si="1118"/>
        <v>8</v>
      </c>
      <c r="S599" t="e">
        <f t="shared" ca="1" si="1148"/>
        <v>#NAME?</v>
      </c>
      <c r="T599" t="e">
        <f t="shared" ca="1" si="1119"/>
        <v>#NAME?</v>
      </c>
      <c r="U599" s="4">
        <f t="shared" si="1120"/>
        <v>39.947233796294313</v>
      </c>
      <c r="V599" s="4">
        <f t="shared" si="1121"/>
        <v>1.3315744598764772</v>
      </c>
      <c r="W599" s="4">
        <f t="shared" si="1122"/>
        <v>1</v>
      </c>
      <c r="X599" s="4">
        <f t="shared" si="1123"/>
        <v>0</v>
      </c>
      <c r="Y599" s="4">
        <f t="shared" si="1124"/>
        <v>0</v>
      </c>
      <c r="Z599" s="4">
        <f t="shared" si="1125"/>
        <v>0</v>
      </c>
      <c r="AA599" s="4">
        <f t="shared" si="1126"/>
        <v>0</v>
      </c>
      <c r="AB599" s="4">
        <f t="shared" si="1127"/>
        <v>0</v>
      </c>
      <c r="AD599" s="4" t="b">
        <f t="shared" si="1128"/>
        <v>0</v>
      </c>
      <c r="AE599" s="4" t="b">
        <f t="shared" si="1129"/>
        <v>0</v>
      </c>
      <c r="AF599" s="4" t="b">
        <f t="shared" si="1130"/>
        <v>0</v>
      </c>
      <c r="AG599" t="b">
        <f t="shared" si="1131"/>
        <v>0</v>
      </c>
      <c r="AH599" t="b">
        <f t="shared" si="1132"/>
        <v>0</v>
      </c>
      <c r="AI599" t="b">
        <f t="shared" si="1133"/>
        <v>0</v>
      </c>
      <c r="AJ599" t="b">
        <f t="shared" si="1134"/>
        <v>0</v>
      </c>
      <c r="AK599" t="b">
        <f t="shared" si="1135"/>
        <v>0</v>
      </c>
      <c r="AL599" t="b">
        <f t="shared" si="1136"/>
        <v>0</v>
      </c>
      <c r="AM599" t="b">
        <f t="shared" si="1137"/>
        <v>0</v>
      </c>
      <c r="AN599" t="b">
        <f t="shared" si="1138"/>
        <v>0</v>
      </c>
      <c r="AO599" t="b">
        <f t="shared" si="1139"/>
        <v>0</v>
      </c>
      <c r="AP599" t="b">
        <f t="shared" si="1140"/>
        <v>0</v>
      </c>
      <c r="AQ599" t="b">
        <f t="shared" si="1141"/>
        <v>0</v>
      </c>
      <c r="AR599" t="b">
        <f t="shared" si="1142"/>
        <v>0</v>
      </c>
      <c r="AS599" t="b">
        <f t="shared" si="1143"/>
        <v>0</v>
      </c>
      <c r="AT599" t="b">
        <f t="shared" si="1144"/>
        <v>0</v>
      </c>
      <c r="AU599" t="b">
        <f t="shared" si="1145"/>
        <v>0</v>
      </c>
      <c r="AV599" t="b">
        <f t="shared" si="1146"/>
        <v>0</v>
      </c>
      <c r="AW599" t="b">
        <f t="shared" si="1147"/>
        <v>0</v>
      </c>
      <c r="AX599" t="b">
        <f t="shared" si="1149"/>
        <v>0</v>
      </c>
      <c r="AY599" t="b">
        <f t="shared" si="1150"/>
        <v>0</v>
      </c>
      <c r="AZ599" t="b">
        <f t="shared" si="1151"/>
        <v>0</v>
      </c>
      <c r="BA599" t="b">
        <f t="shared" si="1152"/>
        <v>0</v>
      </c>
      <c r="BB599" t="b">
        <f t="shared" si="1153"/>
        <v>0</v>
      </c>
      <c r="BC599" t="b">
        <f t="shared" si="1154"/>
        <v>0</v>
      </c>
      <c r="BD599" t="b">
        <f t="shared" si="1155"/>
        <v>0</v>
      </c>
      <c r="BE599" t="b">
        <f t="shared" si="1156"/>
        <v>0</v>
      </c>
      <c r="BF599" t="b">
        <f t="shared" si="1157"/>
        <v>0</v>
      </c>
      <c r="BG599" t="b">
        <f t="shared" si="1158"/>
        <v>0</v>
      </c>
      <c r="BH599" t="b">
        <f t="shared" si="1159"/>
        <v>0</v>
      </c>
      <c r="BI599">
        <f t="shared" si="1160"/>
        <v>1</v>
      </c>
      <c r="BJ599" t="b">
        <f t="shared" si="1161"/>
        <v>0</v>
      </c>
      <c r="BK599" t="b">
        <f t="shared" si="1162"/>
        <v>0</v>
      </c>
      <c r="BL599" t="b">
        <f t="shared" si="1163"/>
        <v>0</v>
      </c>
      <c r="BM599" t="b">
        <f t="shared" si="1164"/>
        <v>0</v>
      </c>
      <c r="BN599" t="b">
        <f t="shared" si="1165"/>
        <v>0</v>
      </c>
      <c r="BO599" t="b">
        <f t="shared" si="1166"/>
        <v>0</v>
      </c>
      <c r="BP599" t="b">
        <f t="shared" si="1167"/>
        <v>0</v>
      </c>
      <c r="BQ599" t="b">
        <f t="shared" si="1168"/>
        <v>0</v>
      </c>
      <c r="BR599" t="b">
        <f t="shared" si="1169"/>
        <v>0</v>
      </c>
      <c r="BS599" t="b">
        <f t="shared" si="1170"/>
        <v>0</v>
      </c>
      <c r="BT599" t="b">
        <f t="shared" si="1171"/>
        <v>0</v>
      </c>
      <c r="BU599" t="b">
        <f t="shared" si="1172"/>
        <v>0</v>
      </c>
      <c r="BV599" t="b">
        <f t="shared" si="1173"/>
        <v>0</v>
      </c>
      <c r="BW599" t="b">
        <f t="shared" si="1174"/>
        <v>0</v>
      </c>
      <c r="BX599" t="b">
        <f t="shared" si="1175"/>
        <v>0</v>
      </c>
      <c r="BY599" t="b">
        <f t="shared" si="1176"/>
        <v>0</v>
      </c>
      <c r="BZ599" t="b">
        <f t="shared" si="1177"/>
        <v>0</v>
      </c>
      <c r="CA599" t="b">
        <f t="shared" si="1178"/>
        <v>0</v>
      </c>
      <c r="CB599" t="b">
        <f t="shared" si="1179"/>
        <v>0</v>
      </c>
      <c r="CC599" t="b">
        <f t="shared" si="1180"/>
        <v>0</v>
      </c>
      <c r="CD599" t="b">
        <f t="shared" si="1181"/>
        <v>0</v>
      </c>
      <c r="CE599">
        <f t="shared" si="1182"/>
        <v>1</v>
      </c>
      <c r="CF599" t="b">
        <f t="shared" si="1183"/>
        <v>0</v>
      </c>
      <c r="CG599" t="b">
        <f t="shared" si="1184"/>
        <v>0</v>
      </c>
      <c r="CH599" t="b">
        <f t="shared" si="1185"/>
        <v>0</v>
      </c>
      <c r="CI599" t="b">
        <f t="shared" si="1186"/>
        <v>0</v>
      </c>
      <c r="CJ599" t="b">
        <f t="shared" si="1187"/>
        <v>0</v>
      </c>
      <c r="CK599" t="b">
        <f t="shared" si="1188"/>
        <v>0</v>
      </c>
      <c r="CL599" t="b">
        <f t="shared" si="1189"/>
        <v>0</v>
      </c>
      <c r="CM599">
        <f t="shared" si="1190"/>
        <v>1</v>
      </c>
      <c r="CN599" t="b">
        <f t="shared" si="1191"/>
        <v>0</v>
      </c>
      <c r="CO599" t="b">
        <f t="shared" si="1192"/>
        <v>0</v>
      </c>
      <c r="CP599" t="b">
        <f t="shared" si="1193"/>
        <v>0</v>
      </c>
      <c r="CQ599" t="b">
        <f t="shared" si="1194"/>
        <v>0</v>
      </c>
      <c r="CR599" t="b">
        <f t="shared" si="1195"/>
        <v>0</v>
      </c>
      <c r="CS599" t="b">
        <f t="shared" si="1196"/>
        <v>0</v>
      </c>
      <c r="CT599" t="b">
        <f t="shared" si="1197"/>
        <v>0</v>
      </c>
      <c r="CU599" t="b">
        <f t="shared" si="1198"/>
        <v>0</v>
      </c>
      <c r="CV599" t="b">
        <f t="shared" si="1199"/>
        <v>0</v>
      </c>
      <c r="CW599" t="b">
        <f t="shared" si="1200"/>
        <v>0</v>
      </c>
      <c r="CX599" t="b">
        <f t="shared" si="1201"/>
        <v>0</v>
      </c>
      <c r="CY599" t="b">
        <f t="shared" si="1202"/>
        <v>0</v>
      </c>
      <c r="CZ599" t="b">
        <f t="shared" si="1203"/>
        <v>0</v>
      </c>
      <c r="DA599" t="b">
        <f t="shared" si="1204"/>
        <v>0</v>
      </c>
      <c r="DB599">
        <f t="shared" si="1205"/>
        <v>1</v>
      </c>
      <c r="DC599" t="b">
        <f t="shared" si="1206"/>
        <v>0</v>
      </c>
      <c r="DD599" t="b">
        <f t="shared" si="1207"/>
        <v>0</v>
      </c>
      <c r="DE599" t="b">
        <f t="shared" si="1208"/>
        <v>0</v>
      </c>
      <c r="DF599" t="b">
        <f t="shared" si="1209"/>
        <v>0</v>
      </c>
      <c r="DG599" t="b">
        <f t="shared" si="1210"/>
        <v>0</v>
      </c>
      <c r="DH599" t="b">
        <f t="shared" si="1211"/>
        <v>0</v>
      </c>
      <c r="DI599" t="b">
        <f t="shared" si="1212"/>
        <v>0</v>
      </c>
      <c r="DJ599" t="b">
        <f t="shared" si="1213"/>
        <v>0</v>
      </c>
      <c r="DK599" t="b">
        <f t="shared" si="1214"/>
        <v>0</v>
      </c>
      <c r="DL599" t="b">
        <f t="shared" si="1215"/>
        <v>0</v>
      </c>
      <c r="DM599" t="b">
        <f t="shared" si="1216"/>
        <v>0</v>
      </c>
      <c r="DN599" t="b">
        <f t="shared" si="1217"/>
        <v>0</v>
      </c>
      <c r="DO599" t="b">
        <f t="shared" si="1218"/>
        <v>0</v>
      </c>
      <c r="DP599" t="b">
        <f t="shared" si="1219"/>
        <v>0</v>
      </c>
      <c r="DQ599" t="b">
        <f t="shared" si="1220"/>
        <v>0</v>
      </c>
      <c r="DR599" t="b">
        <f t="shared" si="1221"/>
        <v>0</v>
      </c>
      <c r="DS599" t="b">
        <f t="shared" si="1222"/>
        <v>0</v>
      </c>
      <c r="DT599" t="b">
        <f t="shared" si="1223"/>
        <v>0</v>
      </c>
      <c r="DU599" t="b">
        <f t="shared" si="1224"/>
        <v>0</v>
      </c>
      <c r="DV599" t="b">
        <f t="shared" si="1225"/>
        <v>0</v>
      </c>
      <c r="DW599" t="b">
        <f t="shared" si="1226"/>
        <v>0</v>
      </c>
      <c r="DX599" t="b">
        <f t="shared" si="1227"/>
        <v>0</v>
      </c>
      <c r="DY599" t="b">
        <f t="shared" si="1228"/>
        <v>0</v>
      </c>
      <c r="DZ599" t="b">
        <f t="shared" si="1229"/>
        <v>0</v>
      </c>
      <c r="EA599" t="b">
        <f t="shared" si="1230"/>
        <v>0</v>
      </c>
      <c r="EB599" t="b">
        <f t="shared" si="1231"/>
        <v>0</v>
      </c>
      <c r="EC599" t="b">
        <f t="shared" si="1232"/>
        <v>0</v>
      </c>
      <c r="ED599" t="b">
        <f t="shared" si="1233"/>
        <v>0</v>
      </c>
      <c r="EE599" t="b">
        <f t="shared" si="1234"/>
        <v>0</v>
      </c>
      <c r="EF599">
        <f t="shared" si="1235"/>
        <v>1</v>
      </c>
      <c r="EG599" t="b">
        <f t="shared" si="1236"/>
        <v>0</v>
      </c>
      <c r="EH599" t="b">
        <f t="shared" si="1237"/>
        <v>0</v>
      </c>
      <c r="EI599" t="b">
        <f t="shared" si="1238"/>
        <v>0</v>
      </c>
      <c r="EJ599" t="b">
        <f t="shared" si="1239"/>
        <v>0</v>
      </c>
      <c r="EK599" t="b">
        <f t="shared" si="1240"/>
        <v>0</v>
      </c>
    </row>
    <row r="600" spans="1:141">
      <c r="A600" t="s">
        <v>3016</v>
      </c>
      <c r="B600" t="s">
        <v>3016</v>
      </c>
      <c r="C600" t="s">
        <v>3017</v>
      </c>
      <c r="D600" s="1">
        <v>43447</v>
      </c>
      <c r="E600" s="2">
        <v>43738.718877314815</v>
      </c>
      <c r="F600" s="2">
        <v>43739.235891203702</v>
      </c>
      <c r="G600">
        <v>23165793</v>
      </c>
      <c r="H600" t="s">
        <v>3018</v>
      </c>
      <c r="I600" s="10" t="s">
        <v>3019</v>
      </c>
      <c r="J600" t="s">
        <v>3020</v>
      </c>
      <c r="K600" s="8" t="b">
        <v>1</v>
      </c>
      <c r="L600" s="10" t="b">
        <v>0</v>
      </c>
      <c r="M600" s="12" t="b">
        <v>0</v>
      </c>
      <c r="N600" t="b">
        <v>0</v>
      </c>
      <c r="O600" t="b">
        <v>0</v>
      </c>
      <c r="P600" t="b">
        <v>0</v>
      </c>
      <c r="Q600">
        <f t="shared" si="1117"/>
        <v>5</v>
      </c>
      <c r="R600">
        <f t="shared" si="1118"/>
        <v>12</v>
      </c>
      <c r="S600" t="e">
        <f t="shared" ca="1" si="1148"/>
        <v>#NAME?</v>
      </c>
      <c r="T600" t="e">
        <f t="shared" ca="1" si="1119"/>
        <v>#NAME?</v>
      </c>
      <c r="U600" s="4">
        <f t="shared" si="1120"/>
        <v>291.71887731481547</v>
      </c>
      <c r="V600" s="4">
        <f t="shared" si="1121"/>
        <v>9.7239625771605152</v>
      </c>
      <c r="W600" s="4">
        <f t="shared" si="1122"/>
        <v>1</v>
      </c>
      <c r="X600" s="4">
        <f t="shared" si="1123"/>
        <v>0</v>
      </c>
      <c r="Y600" s="4">
        <f t="shared" si="1124"/>
        <v>0</v>
      </c>
      <c r="Z600" s="4">
        <f t="shared" si="1125"/>
        <v>0</v>
      </c>
      <c r="AA600" s="4">
        <f t="shared" si="1126"/>
        <v>0</v>
      </c>
      <c r="AB600" s="4">
        <f t="shared" si="1127"/>
        <v>0</v>
      </c>
      <c r="AD600" s="4" t="b">
        <f t="shared" si="1128"/>
        <v>0</v>
      </c>
      <c r="AE600" s="4" t="b">
        <f t="shared" si="1129"/>
        <v>0</v>
      </c>
      <c r="AF600" s="4" t="b">
        <f t="shared" si="1130"/>
        <v>0</v>
      </c>
      <c r="AG600" t="b">
        <f t="shared" si="1131"/>
        <v>0</v>
      </c>
      <c r="AH600" t="b">
        <f t="shared" si="1132"/>
        <v>0</v>
      </c>
      <c r="AI600" t="b">
        <f t="shared" si="1133"/>
        <v>0</v>
      </c>
      <c r="AJ600" t="b">
        <f t="shared" si="1134"/>
        <v>0</v>
      </c>
      <c r="AK600" t="b">
        <f t="shared" si="1135"/>
        <v>0</v>
      </c>
      <c r="AL600" t="b">
        <f t="shared" si="1136"/>
        <v>0</v>
      </c>
      <c r="AM600" t="b">
        <f t="shared" si="1137"/>
        <v>0</v>
      </c>
      <c r="AN600" t="b">
        <f t="shared" si="1138"/>
        <v>0</v>
      </c>
      <c r="AO600" t="b">
        <f t="shared" si="1139"/>
        <v>0</v>
      </c>
      <c r="AP600" t="b">
        <f t="shared" si="1140"/>
        <v>0</v>
      </c>
      <c r="AQ600" t="b">
        <f t="shared" si="1141"/>
        <v>0</v>
      </c>
      <c r="AR600" t="b">
        <f t="shared" si="1142"/>
        <v>0</v>
      </c>
      <c r="AS600" t="b">
        <f t="shared" si="1143"/>
        <v>0</v>
      </c>
      <c r="AT600" t="b">
        <f t="shared" si="1144"/>
        <v>0</v>
      </c>
      <c r="AU600" t="b">
        <f t="shared" si="1145"/>
        <v>0</v>
      </c>
      <c r="AV600" t="b">
        <f t="shared" si="1146"/>
        <v>0</v>
      </c>
      <c r="AW600" t="b">
        <f t="shared" si="1147"/>
        <v>0</v>
      </c>
      <c r="AX600" t="b">
        <f t="shared" si="1149"/>
        <v>0</v>
      </c>
      <c r="AY600" t="b">
        <f t="shared" si="1150"/>
        <v>0</v>
      </c>
      <c r="AZ600" t="b">
        <f t="shared" si="1151"/>
        <v>0</v>
      </c>
      <c r="BA600" t="b">
        <f t="shared" si="1152"/>
        <v>0</v>
      </c>
      <c r="BB600" t="b">
        <f t="shared" si="1153"/>
        <v>0</v>
      </c>
      <c r="BC600" t="b">
        <f t="shared" si="1154"/>
        <v>0</v>
      </c>
      <c r="BD600" t="b">
        <f t="shared" si="1155"/>
        <v>0</v>
      </c>
      <c r="BE600" t="b">
        <f t="shared" si="1156"/>
        <v>0</v>
      </c>
      <c r="BF600" t="b">
        <f t="shared" si="1157"/>
        <v>0</v>
      </c>
      <c r="BG600" t="b">
        <f t="shared" si="1158"/>
        <v>0</v>
      </c>
      <c r="BH600" t="b">
        <f t="shared" si="1159"/>
        <v>0</v>
      </c>
      <c r="BI600">
        <f t="shared" si="1160"/>
        <v>1</v>
      </c>
      <c r="BJ600" t="b">
        <f t="shared" si="1161"/>
        <v>0</v>
      </c>
      <c r="BK600" t="b">
        <f t="shared" si="1162"/>
        <v>0</v>
      </c>
      <c r="BL600" t="b">
        <f t="shared" si="1163"/>
        <v>0</v>
      </c>
      <c r="BM600" t="b">
        <f t="shared" si="1164"/>
        <v>0</v>
      </c>
      <c r="BN600" t="b">
        <f t="shared" si="1165"/>
        <v>0</v>
      </c>
      <c r="BO600" t="b">
        <f t="shared" si="1166"/>
        <v>0</v>
      </c>
      <c r="BP600" t="b">
        <f t="shared" si="1167"/>
        <v>0</v>
      </c>
      <c r="BQ600" t="b">
        <f t="shared" si="1168"/>
        <v>0</v>
      </c>
      <c r="BR600" t="b">
        <f t="shared" si="1169"/>
        <v>0</v>
      </c>
      <c r="BS600" t="b">
        <f t="shared" si="1170"/>
        <v>0</v>
      </c>
      <c r="BT600" t="b">
        <f t="shared" si="1171"/>
        <v>0</v>
      </c>
      <c r="BU600" t="b">
        <f t="shared" si="1172"/>
        <v>0</v>
      </c>
      <c r="BV600" t="b">
        <f t="shared" si="1173"/>
        <v>0</v>
      </c>
      <c r="BW600" t="b">
        <f t="shared" si="1174"/>
        <v>0</v>
      </c>
      <c r="BX600" t="b">
        <f t="shared" si="1175"/>
        <v>0</v>
      </c>
      <c r="BY600" t="b">
        <f t="shared" si="1176"/>
        <v>0</v>
      </c>
      <c r="BZ600" t="b">
        <f t="shared" si="1177"/>
        <v>0</v>
      </c>
      <c r="CA600" t="b">
        <f t="shared" si="1178"/>
        <v>0</v>
      </c>
      <c r="CB600" t="b">
        <f t="shared" si="1179"/>
        <v>0</v>
      </c>
      <c r="CC600" t="b">
        <f t="shared" si="1180"/>
        <v>0</v>
      </c>
      <c r="CD600" t="b">
        <f t="shared" si="1181"/>
        <v>0</v>
      </c>
      <c r="CE600">
        <f t="shared" si="1182"/>
        <v>1</v>
      </c>
      <c r="CF600" t="b">
        <f t="shared" si="1183"/>
        <v>0</v>
      </c>
      <c r="CG600" t="b">
        <f t="shared" si="1184"/>
        <v>0</v>
      </c>
      <c r="CH600" t="b">
        <f t="shared" si="1185"/>
        <v>0</v>
      </c>
      <c r="CI600" t="b">
        <f t="shared" si="1186"/>
        <v>0</v>
      </c>
      <c r="CJ600" t="b">
        <f t="shared" si="1187"/>
        <v>0</v>
      </c>
      <c r="CK600" t="b">
        <f t="shared" si="1188"/>
        <v>0</v>
      </c>
      <c r="CL600" t="b">
        <f t="shared" si="1189"/>
        <v>0</v>
      </c>
      <c r="CM600">
        <f t="shared" si="1190"/>
        <v>1</v>
      </c>
      <c r="CN600" t="b">
        <f t="shared" si="1191"/>
        <v>0</v>
      </c>
      <c r="CO600" t="b">
        <f t="shared" si="1192"/>
        <v>0</v>
      </c>
      <c r="CP600" t="b">
        <f t="shared" si="1193"/>
        <v>0</v>
      </c>
      <c r="CQ600" t="b">
        <f t="shared" si="1194"/>
        <v>0</v>
      </c>
      <c r="CR600" t="b">
        <f t="shared" si="1195"/>
        <v>0</v>
      </c>
      <c r="CS600" t="b">
        <f t="shared" si="1196"/>
        <v>0</v>
      </c>
      <c r="CT600" t="b">
        <f t="shared" si="1197"/>
        <v>0</v>
      </c>
      <c r="CU600" t="b">
        <f t="shared" si="1198"/>
        <v>0</v>
      </c>
      <c r="CV600">
        <f t="shared" si="1199"/>
        <v>1</v>
      </c>
      <c r="CW600" t="b">
        <f t="shared" si="1200"/>
        <v>0</v>
      </c>
      <c r="CX600" t="b">
        <f t="shared" si="1201"/>
        <v>0</v>
      </c>
      <c r="CY600" t="b">
        <f t="shared" si="1202"/>
        <v>0</v>
      </c>
      <c r="CZ600" t="b">
        <f t="shared" si="1203"/>
        <v>0</v>
      </c>
      <c r="DA600" t="b">
        <f t="shared" si="1204"/>
        <v>0</v>
      </c>
      <c r="DB600">
        <f t="shared" si="1205"/>
        <v>1</v>
      </c>
      <c r="DC600" t="b">
        <f t="shared" si="1206"/>
        <v>0</v>
      </c>
      <c r="DD600" t="b">
        <f t="shared" si="1207"/>
        <v>0</v>
      </c>
      <c r="DE600" t="b">
        <f t="shared" si="1208"/>
        <v>0</v>
      </c>
      <c r="DF600" t="b">
        <f t="shared" si="1209"/>
        <v>0</v>
      </c>
      <c r="DG600" t="b">
        <f t="shared" si="1210"/>
        <v>0</v>
      </c>
      <c r="DH600" t="b">
        <f t="shared" si="1211"/>
        <v>0</v>
      </c>
      <c r="DI600" t="b">
        <f t="shared" si="1212"/>
        <v>0</v>
      </c>
      <c r="DJ600" t="b">
        <f t="shared" si="1213"/>
        <v>0</v>
      </c>
      <c r="DK600" t="b">
        <f t="shared" si="1214"/>
        <v>0</v>
      </c>
      <c r="DL600" t="b">
        <f t="shared" si="1215"/>
        <v>0</v>
      </c>
      <c r="DM600" t="b">
        <f t="shared" si="1216"/>
        <v>0</v>
      </c>
      <c r="DN600" t="b">
        <f t="shared" si="1217"/>
        <v>0</v>
      </c>
      <c r="DO600" t="b">
        <f t="shared" si="1218"/>
        <v>0</v>
      </c>
      <c r="DP600" t="b">
        <f t="shared" si="1219"/>
        <v>0</v>
      </c>
      <c r="DQ600" t="b">
        <f t="shared" si="1220"/>
        <v>0</v>
      </c>
      <c r="DR600" t="b">
        <f t="shared" si="1221"/>
        <v>0</v>
      </c>
      <c r="DS600" t="b">
        <f t="shared" si="1222"/>
        <v>0</v>
      </c>
      <c r="DT600" t="b">
        <f t="shared" si="1223"/>
        <v>0</v>
      </c>
      <c r="DU600" t="b">
        <f t="shared" si="1224"/>
        <v>0</v>
      </c>
      <c r="DV600" t="b">
        <f t="shared" si="1225"/>
        <v>0</v>
      </c>
      <c r="DW600" t="b">
        <f t="shared" si="1226"/>
        <v>0</v>
      </c>
      <c r="DX600" t="b">
        <f t="shared" si="1227"/>
        <v>0</v>
      </c>
      <c r="DY600" t="b">
        <f t="shared" si="1228"/>
        <v>0</v>
      </c>
      <c r="DZ600" t="b">
        <f t="shared" si="1229"/>
        <v>0</v>
      </c>
      <c r="EA600" t="b">
        <f t="shared" si="1230"/>
        <v>0</v>
      </c>
      <c r="EB600" t="b">
        <f t="shared" si="1231"/>
        <v>0</v>
      </c>
      <c r="EC600" t="b">
        <f t="shared" si="1232"/>
        <v>0</v>
      </c>
      <c r="ED600" t="b">
        <f t="shared" si="1233"/>
        <v>0</v>
      </c>
      <c r="EE600" t="b">
        <f t="shared" si="1234"/>
        <v>0</v>
      </c>
      <c r="EF600" t="b">
        <f t="shared" si="1235"/>
        <v>0</v>
      </c>
      <c r="EG600" t="b">
        <f t="shared" si="1236"/>
        <v>0</v>
      </c>
      <c r="EH600" t="b">
        <f t="shared" si="1237"/>
        <v>0</v>
      </c>
      <c r="EI600" t="b">
        <f t="shared" si="1238"/>
        <v>0</v>
      </c>
      <c r="EJ600" t="b">
        <f t="shared" si="1239"/>
        <v>0</v>
      </c>
      <c r="EK600" t="b">
        <f t="shared" si="1240"/>
        <v>0</v>
      </c>
    </row>
    <row r="601" spans="1:141">
      <c r="A601" t="s">
        <v>3021</v>
      </c>
      <c r="B601" t="s">
        <v>3022</v>
      </c>
      <c r="C601" t="s">
        <v>3023</v>
      </c>
      <c r="D601" s="1">
        <v>41094</v>
      </c>
      <c r="E601" s="2">
        <v>42681.463483796295</v>
      </c>
      <c r="F601" s="2">
        <v>42681.463483796295</v>
      </c>
      <c r="G601">
        <v>1020136</v>
      </c>
      <c r="H601" t="s">
        <v>3024</v>
      </c>
      <c r="I601" s="10" t="s">
        <v>3025</v>
      </c>
      <c r="J601" t="s">
        <v>1187</v>
      </c>
      <c r="K601" s="8" t="b">
        <v>1</v>
      </c>
      <c r="L601" s="10" t="b">
        <v>0</v>
      </c>
      <c r="M601" s="12" t="b">
        <v>0</v>
      </c>
      <c r="N601" t="b">
        <v>0</v>
      </c>
      <c r="O601" t="b">
        <v>0</v>
      </c>
      <c r="P601" t="b">
        <v>0</v>
      </c>
      <c r="Q601">
        <f t="shared" si="1117"/>
        <v>4</v>
      </c>
      <c r="R601">
        <f t="shared" si="1118"/>
        <v>7</v>
      </c>
      <c r="S601" t="e">
        <f t="shared" ca="1" si="1148"/>
        <v>#NAME?</v>
      </c>
      <c r="T601" t="e">
        <f t="shared" ca="1" si="1119"/>
        <v>#NAME?</v>
      </c>
      <c r="U601" s="4">
        <f t="shared" si="1120"/>
        <v>1587.4634837962949</v>
      </c>
      <c r="V601" s="4">
        <f t="shared" si="1121"/>
        <v>52.915449459876498</v>
      </c>
      <c r="W601" s="4">
        <f t="shared" si="1122"/>
        <v>1</v>
      </c>
      <c r="X601" s="4">
        <f t="shared" si="1123"/>
        <v>0</v>
      </c>
      <c r="Y601" s="4">
        <f t="shared" si="1124"/>
        <v>0</v>
      </c>
      <c r="Z601" s="4">
        <f t="shared" si="1125"/>
        <v>0</v>
      </c>
      <c r="AA601" s="4">
        <f t="shared" si="1126"/>
        <v>0</v>
      </c>
      <c r="AB601" s="4">
        <f t="shared" si="1127"/>
        <v>0</v>
      </c>
      <c r="AD601" s="4" t="b">
        <f t="shared" si="1128"/>
        <v>0</v>
      </c>
      <c r="AE601" s="4" t="b">
        <f t="shared" si="1129"/>
        <v>0</v>
      </c>
      <c r="AF601" s="4" t="b">
        <f t="shared" si="1130"/>
        <v>0</v>
      </c>
      <c r="AG601" t="b">
        <f t="shared" si="1131"/>
        <v>0</v>
      </c>
      <c r="AH601" t="b">
        <f t="shared" si="1132"/>
        <v>0</v>
      </c>
      <c r="AI601" t="b">
        <f t="shared" si="1133"/>
        <v>0</v>
      </c>
      <c r="AJ601" t="b">
        <f t="shared" si="1134"/>
        <v>0</v>
      </c>
      <c r="AK601" t="b">
        <f t="shared" si="1135"/>
        <v>0</v>
      </c>
      <c r="AL601" t="b">
        <f t="shared" si="1136"/>
        <v>0</v>
      </c>
      <c r="AM601" t="b">
        <f t="shared" si="1137"/>
        <v>0</v>
      </c>
      <c r="AN601" t="b">
        <f t="shared" si="1138"/>
        <v>0</v>
      </c>
      <c r="AO601" t="b">
        <f t="shared" si="1139"/>
        <v>0</v>
      </c>
      <c r="AP601" t="b">
        <f t="shared" si="1140"/>
        <v>0</v>
      </c>
      <c r="AQ601" t="b">
        <f t="shared" si="1141"/>
        <v>0</v>
      </c>
      <c r="AR601" t="b">
        <f t="shared" si="1142"/>
        <v>0</v>
      </c>
      <c r="AS601" t="b">
        <f t="shared" si="1143"/>
        <v>0</v>
      </c>
      <c r="AT601" t="b">
        <f t="shared" si="1144"/>
        <v>0</v>
      </c>
      <c r="AU601" t="b">
        <f t="shared" si="1145"/>
        <v>0</v>
      </c>
      <c r="AV601" t="b">
        <f t="shared" si="1146"/>
        <v>0</v>
      </c>
      <c r="AW601" t="b">
        <f t="shared" si="1147"/>
        <v>0</v>
      </c>
      <c r="AX601" t="b">
        <f t="shared" si="1149"/>
        <v>0</v>
      </c>
      <c r="AY601" t="b">
        <f t="shared" si="1150"/>
        <v>0</v>
      </c>
      <c r="AZ601" t="b">
        <f t="shared" si="1151"/>
        <v>0</v>
      </c>
      <c r="BA601" t="b">
        <f t="shared" si="1152"/>
        <v>0</v>
      </c>
      <c r="BB601" t="b">
        <f t="shared" si="1153"/>
        <v>0</v>
      </c>
      <c r="BC601" t="b">
        <f t="shared" si="1154"/>
        <v>0</v>
      </c>
      <c r="BD601" t="b">
        <f t="shared" si="1155"/>
        <v>0</v>
      </c>
      <c r="BE601" t="b">
        <f t="shared" si="1156"/>
        <v>0</v>
      </c>
      <c r="BF601" t="b">
        <f t="shared" si="1157"/>
        <v>0</v>
      </c>
      <c r="BG601" t="b">
        <f t="shared" si="1158"/>
        <v>0</v>
      </c>
      <c r="BH601" t="b">
        <f t="shared" si="1159"/>
        <v>0</v>
      </c>
      <c r="BI601">
        <f t="shared" si="1160"/>
        <v>1</v>
      </c>
      <c r="BJ601" t="b">
        <f t="shared" si="1161"/>
        <v>0</v>
      </c>
      <c r="BK601" t="b">
        <f t="shared" si="1162"/>
        <v>0</v>
      </c>
      <c r="BL601" t="b">
        <f t="shared" si="1163"/>
        <v>0</v>
      </c>
      <c r="BM601" t="b">
        <f t="shared" si="1164"/>
        <v>0</v>
      </c>
      <c r="BN601" t="b">
        <f t="shared" si="1165"/>
        <v>0</v>
      </c>
      <c r="BO601" t="b">
        <f t="shared" si="1166"/>
        <v>0</v>
      </c>
      <c r="BP601" t="b">
        <f t="shared" si="1167"/>
        <v>0</v>
      </c>
      <c r="BQ601" t="b">
        <f t="shared" si="1168"/>
        <v>0</v>
      </c>
      <c r="BR601" t="b">
        <f t="shared" si="1169"/>
        <v>0</v>
      </c>
      <c r="BS601" t="b">
        <f t="shared" si="1170"/>
        <v>0</v>
      </c>
      <c r="BT601" t="b">
        <f t="shared" si="1171"/>
        <v>0</v>
      </c>
      <c r="BU601" t="b">
        <f t="shared" si="1172"/>
        <v>0</v>
      </c>
      <c r="BV601" t="b">
        <f t="shared" si="1173"/>
        <v>0</v>
      </c>
      <c r="BW601" t="b">
        <f t="shared" si="1174"/>
        <v>0</v>
      </c>
      <c r="BX601" t="b">
        <f t="shared" si="1175"/>
        <v>0</v>
      </c>
      <c r="BY601" t="b">
        <f t="shared" si="1176"/>
        <v>0</v>
      </c>
      <c r="BZ601" t="b">
        <f t="shared" si="1177"/>
        <v>0</v>
      </c>
      <c r="CA601" t="b">
        <f t="shared" si="1178"/>
        <v>0</v>
      </c>
      <c r="CB601" t="b">
        <f t="shared" si="1179"/>
        <v>0</v>
      </c>
      <c r="CC601" t="b">
        <f t="shared" si="1180"/>
        <v>0</v>
      </c>
      <c r="CD601" t="b">
        <f t="shared" si="1181"/>
        <v>0</v>
      </c>
      <c r="CE601" t="b">
        <f t="shared" si="1182"/>
        <v>0</v>
      </c>
      <c r="CF601" t="b">
        <f t="shared" si="1183"/>
        <v>0</v>
      </c>
      <c r="CG601" t="b">
        <f t="shared" si="1184"/>
        <v>0</v>
      </c>
      <c r="CH601" t="b">
        <f t="shared" si="1185"/>
        <v>0</v>
      </c>
      <c r="CI601" t="b">
        <f t="shared" si="1186"/>
        <v>0</v>
      </c>
      <c r="CJ601" t="b">
        <f t="shared" si="1187"/>
        <v>0</v>
      </c>
      <c r="CK601" t="b">
        <f t="shared" si="1188"/>
        <v>0</v>
      </c>
      <c r="CL601" t="b">
        <f t="shared" si="1189"/>
        <v>0</v>
      </c>
      <c r="CM601" t="b">
        <f t="shared" si="1190"/>
        <v>0</v>
      </c>
      <c r="CN601" t="b">
        <f t="shared" si="1191"/>
        <v>0</v>
      </c>
      <c r="CO601" t="b">
        <f t="shared" si="1192"/>
        <v>0</v>
      </c>
      <c r="CP601" t="b">
        <f t="shared" si="1193"/>
        <v>0</v>
      </c>
      <c r="CQ601" t="b">
        <f t="shared" si="1194"/>
        <v>0</v>
      </c>
      <c r="CR601" t="b">
        <f t="shared" si="1195"/>
        <v>0</v>
      </c>
      <c r="CS601" t="b">
        <f t="shared" si="1196"/>
        <v>0</v>
      </c>
      <c r="CT601" t="b">
        <f t="shared" si="1197"/>
        <v>0</v>
      </c>
      <c r="CU601" t="b">
        <f t="shared" si="1198"/>
        <v>0</v>
      </c>
      <c r="CV601">
        <f t="shared" si="1199"/>
        <v>1</v>
      </c>
      <c r="CW601" t="b">
        <f t="shared" si="1200"/>
        <v>0</v>
      </c>
      <c r="CX601" t="b">
        <f t="shared" si="1201"/>
        <v>0</v>
      </c>
      <c r="CY601" t="b">
        <f t="shared" si="1202"/>
        <v>0</v>
      </c>
      <c r="CZ601" t="b">
        <f t="shared" si="1203"/>
        <v>0</v>
      </c>
      <c r="DA601" t="b">
        <f t="shared" si="1204"/>
        <v>0</v>
      </c>
      <c r="DB601" t="b">
        <f t="shared" si="1205"/>
        <v>0</v>
      </c>
      <c r="DC601" t="b">
        <f t="shared" si="1206"/>
        <v>0</v>
      </c>
      <c r="DD601" t="b">
        <f t="shared" si="1207"/>
        <v>0</v>
      </c>
      <c r="DE601" t="b">
        <f t="shared" si="1208"/>
        <v>0</v>
      </c>
      <c r="DF601" t="b">
        <f t="shared" si="1209"/>
        <v>0</v>
      </c>
      <c r="DG601" t="b">
        <f t="shared" si="1210"/>
        <v>0</v>
      </c>
      <c r="DH601" t="b">
        <f t="shared" si="1211"/>
        <v>0</v>
      </c>
      <c r="DI601" t="b">
        <f t="shared" si="1212"/>
        <v>0</v>
      </c>
      <c r="DJ601" t="b">
        <f t="shared" si="1213"/>
        <v>0</v>
      </c>
      <c r="DK601" t="b">
        <f t="shared" si="1214"/>
        <v>0</v>
      </c>
      <c r="DL601" t="b">
        <f t="shared" si="1215"/>
        <v>0</v>
      </c>
      <c r="DM601" t="b">
        <f t="shared" si="1216"/>
        <v>0</v>
      </c>
      <c r="DN601" t="b">
        <f t="shared" si="1217"/>
        <v>0</v>
      </c>
      <c r="DO601" t="b">
        <f t="shared" si="1218"/>
        <v>0</v>
      </c>
      <c r="DP601" t="b">
        <f t="shared" si="1219"/>
        <v>0</v>
      </c>
      <c r="DQ601" t="b">
        <f t="shared" si="1220"/>
        <v>0</v>
      </c>
      <c r="DR601" t="b">
        <f t="shared" si="1221"/>
        <v>0</v>
      </c>
      <c r="DS601" t="b">
        <f t="shared" si="1222"/>
        <v>0</v>
      </c>
      <c r="DT601" t="b">
        <f t="shared" si="1223"/>
        <v>0</v>
      </c>
      <c r="DU601" t="b">
        <f t="shared" si="1224"/>
        <v>0</v>
      </c>
      <c r="DV601" t="b">
        <f t="shared" si="1225"/>
        <v>0</v>
      </c>
      <c r="DW601" t="b">
        <f t="shared" si="1226"/>
        <v>0</v>
      </c>
      <c r="DX601" t="b">
        <f t="shared" si="1227"/>
        <v>0</v>
      </c>
      <c r="DY601" t="b">
        <f t="shared" si="1228"/>
        <v>0</v>
      </c>
      <c r="DZ601" t="b">
        <f t="shared" si="1229"/>
        <v>0</v>
      </c>
      <c r="EA601" t="b">
        <f t="shared" si="1230"/>
        <v>0</v>
      </c>
      <c r="EB601" t="b">
        <f t="shared" si="1231"/>
        <v>0</v>
      </c>
      <c r="EC601" t="b">
        <f t="shared" si="1232"/>
        <v>0</v>
      </c>
      <c r="ED601" t="b">
        <f t="shared" si="1233"/>
        <v>0</v>
      </c>
      <c r="EE601" t="b">
        <f t="shared" si="1234"/>
        <v>0</v>
      </c>
      <c r="EF601">
        <f t="shared" si="1235"/>
        <v>1</v>
      </c>
      <c r="EG601" t="b">
        <f t="shared" si="1236"/>
        <v>0</v>
      </c>
      <c r="EH601" t="b">
        <f t="shared" si="1237"/>
        <v>0</v>
      </c>
      <c r="EI601">
        <f t="shared" si="1238"/>
        <v>1</v>
      </c>
      <c r="EJ601" t="b">
        <f t="shared" si="1239"/>
        <v>0</v>
      </c>
      <c r="EK601" t="b">
        <f t="shared" si="1240"/>
        <v>0</v>
      </c>
    </row>
    <row r="602" spans="1:141">
      <c r="A602" t="s">
        <v>3026</v>
      </c>
      <c r="B602" t="s">
        <v>3026</v>
      </c>
      <c r="C602" t="s">
        <v>3027</v>
      </c>
      <c r="D602" s="1">
        <v>41967</v>
      </c>
      <c r="E602" s="2">
        <v>42572.101261574076</v>
      </c>
      <c r="F602" s="2">
        <v>42572.101261574076</v>
      </c>
      <c r="G602">
        <v>819478</v>
      </c>
      <c r="H602" t="s">
        <v>3028</v>
      </c>
      <c r="I602" s="10" t="s">
        <v>3029</v>
      </c>
      <c r="J602" t="s">
        <v>3030</v>
      </c>
      <c r="K602" s="8" t="b">
        <v>1</v>
      </c>
      <c r="L602" s="10" t="b">
        <v>0</v>
      </c>
      <c r="M602" s="12" t="b">
        <v>0</v>
      </c>
      <c r="N602" t="b">
        <v>0</v>
      </c>
      <c r="O602" t="b">
        <v>0</v>
      </c>
      <c r="P602" t="b">
        <v>0</v>
      </c>
      <c r="Q602">
        <f t="shared" si="1117"/>
        <v>2</v>
      </c>
      <c r="R602">
        <f t="shared" si="1118"/>
        <v>11</v>
      </c>
      <c r="S602" t="e">
        <f t="shared" ca="1" si="1148"/>
        <v>#NAME?</v>
      </c>
      <c r="T602" t="e">
        <f t="shared" ca="1" si="1119"/>
        <v>#NAME?</v>
      </c>
      <c r="U602" s="4">
        <f t="shared" si="1120"/>
        <v>605.10126157407649</v>
      </c>
      <c r="V602" s="4">
        <f t="shared" si="1121"/>
        <v>20.170042052469217</v>
      </c>
      <c r="W602" s="4">
        <f t="shared" si="1122"/>
        <v>1</v>
      </c>
      <c r="X602" s="4">
        <f t="shared" si="1123"/>
        <v>0</v>
      </c>
      <c r="Y602" s="4">
        <f t="shared" si="1124"/>
        <v>0</v>
      </c>
      <c r="Z602" s="4">
        <f t="shared" si="1125"/>
        <v>0</v>
      </c>
      <c r="AA602" s="4">
        <f t="shared" si="1126"/>
        <v>0</v>
      </c>
      <c r="AB602" s="4">
        <f t="shared" si="1127"/>
        <v>0</v>
      </c>
      <c r="AD602" s="4" t="b">
        <f t="shared" si="1128"/>
        <v>0</v>
      </c>
      <c r="AE602" s="4" t="b">
        <f t="shared" si="1129"/>
        <v>0</v>
      </c>
      <c r="AF602" s="4" t="b">
        <f t="shared" si="1130"/>
        <v>0</v>
      </c>
      <c r="AG602" t="b">
        <f t="shared" si="1131"/>
        <v>0</v>
      </c>
      <c r="AH602" t="b">
        <f t="shared" si="1132"/>
        <v>0</v>
      </c>
      <c r="AI602" t="b">
        <f t="shared" si="1133"/>
        <v>0</v>
      </c>
      <c r="AJ602" t="b">
        <f t="shared" si="1134"/>
        <v>0</v>
      </c>
      <c r="AK602" t="b">
        <f t="shared" si="1135"/>
        <v>0</v>
      </c>
      <c r="AL602" t="b">
        <f t="shared" si="1136"/>
        <v>0</v>
      </c>
      <c r="AM602" t="b">
        <f t="shared" si="1137"/>
        <v>0</v>
      </c>
      <c r="AN602" t="b">
        <f t="shared" si="1138"/>
        <v>0</v>
      </c>
      <c r="AO602" t="b">
        <f t="shared" si="1139"/>
        <v>0</v>
      </c>
      <c r="AP602" t="b">
        <f t="shared" si="1140"/>
        <v>0</v>
      </c>
      <c r="AQ602" t="b">
        <f t="shared" si="1141"/>
        <v>0</v>
      </c>
      <c r="AR602" t="b">
        <f t="shared" si="1142"/>
        <v>0</v>
      </c>
      <c r="AS602" t="b">
        <f t="shared" si="1143"/>
        <v>0</v>
      </c>
      <c r="AT602" t="b">
        <f t="shared" si="1144"/>
        <v>0</v>
      </c>
      <c r="AU602" t="b">
        <f t="shared" si="1145"/>
        <v>0</v>
      </c>
      <c r="AV602" t="b">
        <f t="shared" si="1146"/>
        <v>0</v>
      </c>
      <c r="AW602" t="b">
        <f t="shared" si="1147"/>
        <v>0</v>
      </c>
      <c r="AX602" t="b">
        <f t="shared" si="1149"/>
        <v>0</v>
      </c>
      <c r="AY602" t="b">
        <f t="shared" si="1150"/>
        <v>0</v>
      </c>
      <c r="AZ602" t="b">
        <f t="shared" si="1151"/>
        <v>0</v>
      </c>
      <c r="BA602" t="b">
        <f t="shared" si="1152"/>
        <v>0</v>
      </c>
      <c r="BB602" t="b">
        <f t="shared" si="1153"/>
        <v>0</v>
      </c>
      <c r="BC602" t="b">
        <f t="shared" si="1154"/>
        <v>0</v>
      </c>
      <c r="BD602" t="b">
        <f t="shared" si="1155"/>
        <v>0</v>
      </c>
      <c r="BE602" t="b">
        <f t="shared" si="1156"/>
        <v>0</v>
      </c>
      <c r="BF602" t="b">
        <f t="shared" si="1157"/>
        <v>0</v>
      </c>
      <c r="BG602" t="b">
        <f t="shared" si="1158"/>
        <v>0</v>
      </c>
      <c r="BH602" t="b">
        <f t="shared" si="1159"/>
        <v>0</v>
      </c>
      <c r="BI602">
        <f t="shared" si="1160"/>
        <v>1</v>
      </c>
      <c r="BJ602" t="b">
        <f t="shared" si="1161"/>
        <v>0</v>
      </c>
      <c r="BK602" t="b">
        <f t="shared" si="1162"/>
        <v>0</v>
      </c>
      <c r="BL602" t="b">
        <f t="shared" si="1163"/>
        <v>0</v>
      </c>
      <c r="BM602" t="b">
        <f t="shared" si="1164"/>
        <v>0</v>
      </c>
      <c r="BN602" t="b">
        <f t="shared" si="1165"/>
        <v>0</v>
      </c>
      <c r="BO602" t="b">
        <f t="shared" si="1166"/>
        <v>0</v>
      </c>
      <c r="BP602" t="b">
        <f t="shared" si="1167"/>
        <v>0</v>
      </c>
      <c r="BQ602" t="b">
        <f t="shared" si="1168"/>
        <v>0</v>
      </c>
      <c r="BR602" t="b">
        <f t="shared" si="1169"/>
        <v>0</v>
      </c>
      <c r="BS602" t="b">
        <f t="shared" si="1170"/>
        <v>0</v>
      </c>
      <c r="BT602" t="b">
        <f t="shared" si="1171"/>
        <v>0</v>
      </c>
      <c r="BU602" t="b">
        <f t="shared" si="1172"/>
        <v>0</v>
      </c>
      <c r="BV602" t="b">
        <f t="shared" si="1173"/>
        <v>0</v>
      </c>
      <c r="BW602" t="b">
        <f t="shared" si="1174"/>
        <v>0</v>
      </c>
      <c r="BX602" t="b">
        <f t="shared" si="1175"/>
        <v>0</v>
      </c>
      <c r="BY602" t="b">
        <f t="shared" si="1176"/>
        <v>0</v>
      </c>
      <c r="BZ602" t="b">
        <f t="shared" si="1177"/>
        <v>0</v>
      </c>
      <c r="CA602" t="b">
        <f t="shared" si="1178"/>
        <v>0</v>
      </c>
      <c r="CB602" t="b">
        <f t="shared" si="1179"/>
        <v>0</v>
      </c>
      <c r="CC602" t="b">
        <f t="shared" si="1180"/>
        <v>0</v>
      </c>
      <c r="CD602" t="b">
        <f t="shared" si="1181"/>
        <v>0</v>
      </c>
      <c r="CE602" t="b">
        <f t="shared" si="1182"/>
        <v>0</v>
      </c>
      <c r="CF602" t="b">
        <f t="shared" si="1183"/>
        <v>0</v>
      </c>
      <c r="CG602" t="b">
        <f t="shared" si="1184"/>
        <v>0</v>
      </c>
      <c r="CH602" t="b">
        <f t="shared" si="1185"/>
        <v>0</v>
      </c>
      <c r="CI602" t="b">
        <f t="shared" si="1186"/>
        <v>0</v>
      </c>
      <c r="CJ602" t="b">
        <f t="shared" si="1187"/>
        <v>0</v>
      </c>
      <c r="CK602" t="b">
        <f t="shared" si="1188"/>
        <v>0</v>
      </c>
      <c r="CL602" t="b">
        <f t="shared" si="1189"/>
        <v>0</v>
      </c>
      <c r="CM602" t="b">
        <f t="shared" si="1190"/>
        <v>0</v>
      </c>
      <c r="CN602" t="b">
        <f t="shared" si="1191"/>
        <v>0</v>
      </c>
      <c r="CO602" t="b">
        <f t="shared" si="1192"/>
        <v>0</v>
      </c>
      <c r="CP602" t="b">
        <f t="shared" si="1193"/>
        <v>0</v>
      </c>
      <c r="CQ602" t="b">
        <f t="shared" si="1194"/>
        <v>0</v>
      </c>
      <c r="CR602" t="b">
        <f t="shared" si="1195"/>
        <v>0</v>
      </c>
      <c r="CS602" t="b">
        <f t="shared" si="1196"/>
        <v>0</v>
      </c>
      <c r="CT602" t="b">
        <f t="shared" si="1197"/>
        <v>0</v>
      </c>
      <c r="CU602" t="b">
        <f t="shared" si="1198"/>
        <v>0</v>
      </c>
      <c r="CV602" t="b">
        <f t="shared" si="1199"/>
        <v>0</v>
      </c>
      <c r="CW602" t="b">
        <f t="shared" si="1200"/>
        <v>0</v>
      </c>
      <c r="CX602" t="b">
        <f t="shared" si="1201"/>
        <v>0</v>
      </c>
      <c r="CY602" t="b">
        <f t="shared" si="1202"/>
        <v>0</v>
      </c>
      <c r="CZ602" t="b">
        <f t="shared" si="1203"/>
        <v>0</v>
      </c>
      <c r="DA602" t="b">
        <f t="shared" si="1204"/>
        <v>0</v>
      </c>
      <c r="DB602" t="b">
        <f t="shared" si="1205"/>
        <v>0</v>
      </c>
      <c r="DC602" t="b">
        <f t="shared" si="1206"/>
        <v>0</v>
      </c>
      <c r="DD602" t="b">
        <f t="shared" si="1207"/>
        <v>0</v>
      </c>
      <c r="DE602" t="b">
        <f t="shared" si="1208"/>
        <v>0</v>
      </c>
      <c r="DF602" t="b">
        <f t="shared" si="1209"/>
        <v>0</v>
      </c>
      <c r="DG602" t="b">
        <f t="shared" si="1210"/>
        <v>0</v>
      </c>
      <c r="DH602" t="b">
        <f t="shared" si="1211"/>
        <v>0</v>
      </c>
      <c r="DI602" t="b">
        <f t="shared" si="1212"/>
        <v>0</v>
      </c>
      <c r="DJ602" t="b">
        <f t="shared" si="1213"/>
        <v>0</v>
      </c>
      <c r="DK602" t="b">
        <f t="shared" si="1214"/>
        <v>0</v>
      </c>
      <c r="DL602" t="b">
        <f t="shared" si="1215"/>
        <v>0</v>
      </c>
      <c r="DM602" t="b">
        <f t="shared" si="1216"/>
        <v>0</v>
      </c>
      <c r="DN602" t="b">
        <f t="shared" si="1217"/>
        <v>0</v>
      </c>
      <c r="DO602" t="b">
        <f t="shared" si="1218"/>
        <v>0</v>
      </c>
      <c r="DP602" t="b">
        <f t="shared" si="1219"/>
        <v>0</v>
      </c>
      <c r="DQ602" t="b">
        <f t="shared" si="1220"/>
        <v>0</v>
      </c>
      <c r="DR602" t="b">
        <f t="shared" si="1221"/>
        <v>0</v>
      </c>
      <c r="DS602" t="b">
        <f t="shared" si="1222"/>
        <v>0</v>
      </c>
      <c r="DT602" t="b">
        <f t="shared" si="1223"/>
        <v>0</v>
      </c>
      <c r="DU602" t="b">
        <f t="shared" si="1224"/>
        <v>0</v>
      </c>
      <c r="DV602" t="b">
        <f t="shared" si="1225"/>
        <v>0</v>
      </c>
      <c r="DW602" t="b">
        <f t="shared" si="1226"/>
        <v>0</v>
      </c>
      <c r="DX602" t="b">
        <f t="shared" si="1227"/>
        <v>0</v>
      </c>
      <c r="DY602" t="b">
        <f t="shared" si="1228"/>
        <v>0</v>
      </c>
      <c r="DZ602" t="b">
        <f t="shared" si="1229"/>
        <v>0</v>
      </c>
      <c r="EA602" t="b">
        <f t="shared" si="1230"/>
        <v>0</v>
      </c>
      <c r="EB602" t="b">
        <f t="shared" si="1231"/>
        <v>0</v>
      </c>
      <c r="EC602" t="b">
        <f t="shared" si="1232"/>
        <v>0</v>
      </c>
      <c r="ED602" t="b">
        <f t="shared" si="1233"/>
        <v>0</v>
      </c>
      <c r="EE602" t="b">
        <f t="shared" si="1234"/>
        <v>0</v>
      </c>
      <c r="EF602">
        <f t="shared" si="1235"/>
        <v>1</v>
      </c>
      <c r="EG602" t="b">
        <f t="shared" si="1236"/>
        <v>0</v>
      </c>
      <c r="EH602" t="b">
        <f t="shared" si="1237"/>
        <v>0</v>
      </c>
      <c r="EI602">
        <f t="shared" si="1238"/>
        <v>1</v>
      </c>
      <c r="EJ602" t="b">
        <f t="shared" si="1239"/>
        <v>0</v>
      </c>
      <c r="EK602" t="b">
        <f t="shared" si="1240"/>
        <v>0</v>
      </c>
    </row>
    <row r="603" spans="1:141">
      <c r="A603" t="s">
        <v>3031</v>
      </c>
      <c r="B603" t="s">
        <v>3031</v>
      </c>
      <c r="C603" t="s">
        <v>3032</v>
      </c>
      <c r="D603" s="1">
        <v>42705</v>
      </c>
      <c r="E603" s="2">
        <v>43351.329375000001</v>
      </c>
      <c r="F603" s="2">
        <v>43351.331759259258</v>
      </c>
      <c r="G603">
        <v>1116256</v>
      </c>
      <c r="H603" t="s">
        <v>3033</v>
      </c>
      <c r="I603" s="10" t="s">
        <v>3034</v>
      </c>
      <c r="J603" t="s">
        <v>1090</v>
      </c>
      <c r="K603" s="8" t="b">
        <v>1</v>
      </c>
      <c r="L603" s="10" t="b">
        <v>0</v>
      </c>
      <c r="M603" s="12" t="b">
        <v>0</v>
      </c>
      <c r="N603" t="b">
        <v>0</v>
      </c>
      <c r="O603" t="b">
        <v>0</v>
      </c>
      <c r="P603" t="b">
        <v>0</v>
      </c>
      <c r="Q603">
        <f t="shared" si="1117"/>
        <v>5</v>
      </c>
      <c r="R603">
        <f t="shared" si="1118"/>
        <v>12</v>
      </c>
      <c r="S603" t="e">
        <f t="shared" ca="1" si="1148"/>
        <v>#NAME?</v>
      </c>
      <c r="T603" t="e">
        <f t="shared" ca="1" si="1119"/>
        <v>#NAME?</v>
      </c>
      <c r="U603" s="4">
        <f t="shared" si="1120"/>
        <v>646.32937500000116</v>
      </c>
      <c r="V603" s="4">
        <f t="shared" si="1121"/>
        <v>21.544312500000039</v>
      </c>
      <c r="W603" s="4">
        <f t="shared" si="1122"/>
        <v>1</v>
      </c>
      <c r="X603" s="4">
        <f t="shared" si="1123"/>
        <v>0</v>
      </c>
      <c r="Y603" s="4">
        <f t="shared" si="1124"/>
        <v>0</v>
      </c>
      <c r="Z603" s="4">
        <f t="shared" si="1125"/>
        <v>0</v>
      </c>
      <c r="AA603" s="4">
        <f t="shared" si="1126"/>
        <v>0</v>
      </c>
      <c r="AB603" s="4">
        <f t="shared" si="1127"/>
        <v>0</v>
      </c>
      <c r="AD603" s="4" t="b">
        <f t="shared" si="1128"/>
        <v>0</v>
      </c>
      <c r="AE603" s="4" t="b">
        <f t="shared" si="1129"/>
        <v>0</v>
      </c>
      <c r="AF603" s="4" t="b">
        <f t="shared" si="1130"/>
        <v>0</v>
      </c>
      <c r="AG603" t="b">
        <f t="shared" si="1131"/>
        <v>0</v>
      </c>
      <c r="AH603" t="b">
        <f t="shared" si="1132"/>
        <v>0</v>
      </c>
      <c r="AI603" t="b">
        <f t="shared" si="1133"/>
        <v>0</v>
      </c>
      <c r="AJ603" t="b">
        <f t="shared" si="1134"/>
        <v>0</v>
      </c>
      <c r="AK603" t="b">
        <f t="shared" si="1135"/>
        <v>0</v>
      </c>
      <c r="AL603" t="b">
        <f t="shared" si="1136"/>
        <v>0</v>
      </c>
      <c r="AM603" t="b">
        <f t="shared" si="1137"/>
        <v>0</v>
      </c>
      <c r="AN603" t="b">
        <f t="shared" si="1138"/>
        <v>0</v>
      </c>
      <c r="AO603" t="b">
        <f t="shared" si="1139"/>
        <v>0</v>
      </c>
      <c r="AP603" t="b">
        <f t="shared" si="1140"/>
        <v>0</v>
      </c>
      <c r="AQ603" t="b">
        <f t="shared" si="1141"/>
        <v>0</v>
      </c>
      <c r="AR603" t="b">
        <f t="shared" si="1142"/>
        <v>0</v>
      </c>
      <c r="AS603" t="b">
        <f t="shared" si="1143"/>
        <v>0</v>
      </c>
      <c r="AT603" t="b">
        <f t="shared" si="1144"/>
        <v>0</v>
      </c>
      <c r="AU603" t="b">
        <f t="shared" si="1145"/>
        <v>0</v>
      </c>
      <c r="AV603" t="b">
        <f t="shared" si="1146"/>
        <v>0</v>
      </c>
      <c r="AW603" t="b">
        <f t="shared" si="1147"/>
        <v>0</v>
      </c>
      <c r="AX603" t="b">
        <f t="shared" si="1149"/>
        <v>0</v>
      </c>
      <c r="AY603" t="b">
        <f t="shared" si="1150"/>
        <v>0</v>
      </c>
      <c r="AZ603">
        <f t="shared" si="1151"/>
        <v>1</v>
      </c>
      <c r="BA603" t="b">
        <f t="shared" si="1152"/>
        <v>0</v>
      </c>
      <c r="BB603" t="b">
        <f t="shared" si="1153"/>
        <v>0</v>
      </c>
      <c r="BC603" t="b">
        <f t="shared" si="1154"/>
        <v>0</v>
      </c>
      <c r="BD603" t="b">
        <f t="shared" si="1155"/>
        <v>0</v>
      </c>
      <c r="BE603" t="b">
        <f t="shared" si="1156"/>
        <v>0</v>
      </c>
      <c r="BF603" t="b">
        <f t="shared" si="1157"/>
        <v>0</v>
      </c>
      <c r="BG603" t="b">
        <f t="shared" si="1158"/>
        <v>0</v>
      </c>
      <c r="BH603" t="b">
        <f t="shared" si="1159"/>
        <v>0</v>
      </c>
      <c r="BI603">
        <f t="shared" si="1160"/>
        <v>1</v>
      </c>
      <c r="BJ603" t="b">
        <f t="shared" si="1161"/>
        <v>0</v>
      </c>
      <c r="BK603" t="b">
        <f t="shared" si="1162"/>
        <v>0</v>
      </c>
      <c r="BL603" t="b">
        <f t="shared" si="1163"/>
        <v>0</v>
      </c>
      <c r="BM603" t="b">
        <f t="shared" si="1164"/>
        <v>0</v>
      </c>
      <c r="BN603" t="b">
        <f t="shared" si="1165"/>
        <v>0</v>
      </c>
      <c r="BO603" t="b">
        <f t="shared" si="1166"/>
        <v>0</v>
      </c>
      <c r="BP603" t="b">
        <f t="shared" si="1167"/>
        <v>0</v>
      </c>
      <c r="BQ603" t="b">
        <f t="shared" si="1168"/>
        <v>0</v>
      </c>
      <c r="BR603" t="b">
        <f t="shared" si="1169"/>
        <v>0</v>
      </c>
      <c r="BS603" t="b">
        <f t="shared" si="1170"/>
        <v>0</v>
      </c>
      <c r="BT603" t="b">
        <f t="shared" si="1171"/>
        <v>0</v>
      </c>
      <c r="BU603" t="b">
        <f t="shared" si="1172"/>
        <v>0</v>
      </c>
      <c r="BV603" t="b">
        <f t="shared" si="1173"/>
        <v>0</v>
      </c>
      <c r="BW603" t="b">
        <f t="shared" si="1174"/>
        <v>0</v>
      </c>
      <c r="BX603" t="b">
        <f t="shared" si="1175"/>
        <v>0</v>
      </c>
      <c r="BY603" t="b">
        <f t="shared" si="1176"/>
        <v>0</v>
      </c>
      <c r="BZ603" t="b">
        <f t="shared" si="1177"/>
        <v>0</v>
      </c>
      <c r="CA603" t="b">
        <f t="shared" si="1178"/>
        <v>0</v>
      </c>
      <c r="CB603" t="b">
        <f t="shared" si="1179"/>
        <v>0</v>
      </c>
      <c r="CC603" t="b">
        <f t="shared" si="1180"/>
        <v>0</v>
      </c>
      <c r="CD603" t="b">
        <f t="shared" si="1181"/>
        <v>0</v>
      </c>
      <c r="CE603" t="b">
        <f t="shared" si="1182"/>
        <v>0</v>
      </c>
      <c r="CF603" t="b">
        <f t="shared" si="1183"/>
        <v>0</v>
      </c>
      <c r="CG603" t="b">
        <f t="shared" si="1184"/>
        <v>0</v>
      </c>
      <c r="CH603" t="b">
        <f t="shared" si="1185"/>
        <v>0</v>
      </c>
      <c r="CI603" t="b">
        <f t="shared" si="1186"/>
        <v>0</v>
      </c>
      <c r="CJ603" t="b">
        <f t="shared" si="1187"/>
        <v>0</v>
      </c>
      <c r="CK603" t="b">
        <f t="shared" si="1188"/>
        <v>0</v>
      </c>
      <c r="CL603" t="b">
        <f t="shared" si="1189"/>
        <v>0</v>
      </c>
      <c r="CM603" t="b">
        <f t="shared" si="1190"/>
        <v>0</v>
      </c>
      <c r="CN603" t="b">
        <f t="shared" si="1191"/>
        <v>0</v>
      </c>
      <c r="CO603" t="b">
        <f t="shared" si="1192"/>
        <v>0</v>
      </c>
      <c r="CP603" t="b">
        <f t="shared" si="1193"/>
        <v>0</v>
      </c>
      <c r="CQ603" t="b">
        <f t="shared" si="1194"/>
        <v>0</v>
      </c>
      <c r="CR603" t="b">
        <f t="shared" si="1195"/>
        <v>0</v>
      </c>
      <c r="CS603" t="b">
        <f t="shared" si="1196"/>
        <v>0</v>
      </c>
      <c r="CT603" t="b">
        <f t="shared" si="1197"/>
        <v>0</v>
      </c>
      <c r="CU603" t="b">
        <f t="shared" si="1198"/>
        <v>0</v>
      </c>
      <c r="CV603">
        <f t="shared" si="1199"/>
        <v>1</v>
      </c>
      <c r="CW603" t="b">
        <f t="shared" si="1200"/>
        <v>0</v>
      </c>
      <c r="CX603" t="b">
        <f t="shared" si="1201"/>
        <v>0</v>
      </c>
      <c r="CY603" t="b">
        <f t="shared" si="1202"/>
        <v>0</v>
      </c>
      <c r="CZ603" t="b">
        <f t="shared" si="1203"/>
        <v>0</v>
      </c>
      <c r="DA603" t="b">
        <f t="shared" si="1204"/>
        <v>0</v>
      </c>
      <c r="DB603" t="b">
        <f t="shared" si="1205"/>
        <v>0</v>
      </c>
      <c r="DC603" t="b">
        <f t="shared" si="1206"/>
        <v>0</v>
      </c>
      <c r="DD603" t="b">
        <f t="shared" si="1207"/>
        <v>0</v>
      </c>
      <c r="DE603" t="b">
        <f t="shared" si="1208"/>
        <v>0</v>
      </c>
      <c r="DF603" t="b">
        <f t="shared" si="1209"/>
        <v>0</v>
      </c>
      <c r="DG603" t="b">
        <f t="shared" si="1210"/>
        <v>0</v>
      </c>
      <c r="DH603" t="b">
        <f t="shared" si="1211"/>
        <v>0</v>
      </c>
      <c r="DI603" t="b">
        <f t="shared" si="1212"/>
        <v>0</v>
      </c>
      <c r="DJ603" t="b">
        <f t="shared" si="1213"/>
        <v>0</v>
      </c>
      <c r="DK603" t="b">
        <f t="shared" si="1214"/>
        <v>0</v>
      </c>
      <c r="DL603" t="b">
        <f t="shared" si="1215"/>
        <v>0</v>
      </c>
      <c r="DM603" t="b">
        <f t="shared" si="1216"/>
        <v>0</v>
      </c>
      <c r="DN603" t="b">
        <f t="shared" si="1217"/>
        <v>0</v>
      </c>
      <c r="DO603" t="b">
        <f t="shared" si="1218"/>
        <v>0</v>
      </c>
      <c r="DP603" t="b">
        <f t="shared" si="1219"/>
        <v>0</v>
      </c>
      <c r="DQ603" t="b">
        <f t="shared" si="1220"/>
        <v>0</v>
      </c>
      <c r="DR603" t="b">
        <f t="shared" si="1221"/>
        <v>0</v>
      </c>
      <c r="DS603" t="b">
        <f t="shared" si="1222"/>
        <v>0</v>
      </c>
      <c r="DT603" t="b">
        <f t="shared" si="1223"/>
        <v>0</v>
      </c>
      <c r="DU603" t="b">
        <f t="shared" si="1224"/>
        <v>0</v>
      </c>
      <c r="DV603" t="b">
        <f t="shared" si="1225"/>
        <v>0</v>
      </c>
      <c r="DW603" t="b">
        <f t="shared" si="1226"/>
        <v>0</v>
      </c>
      <c r="DX603" t="b">
        <f t="shared" si="1227"/>
        <v>0</v>
      </c>
      <c r="DY603" t="b">
        <f t="shared" si="1228"/>
        <v>0</v>
      </c>
      <c r="DZ603" t="b">
        <f t="shared" si="1229"/>
        <v>0</v>
      </c>
      <c r="EA603" t="b">
        <f t="shared" si="1230"/>
        <v>0</v>
      </c>
      <c r="EB603" t="b">
        <f t="shared" si="1231"/>
        <v>0</v>
      </c>
      <c r="EC603" t="b">
        <f t="shared" si="1232"/>
        <v>0</v>
      </c>
      <c r="ED603" t="b">
        <f t="shared" si="1233"/>
        <v>0</v>
      </c>
      <c r="EE603" t="b">
        <f t="shared" si="1234"/>
        <v>0</v>
      </c>
      <c r="EF603">
        <f t="shared" si="1235"/>
        <v>1</v>
      </c>
      <c r="EG603" t="b">
        <f t="shared" si="1236"/>
        <v>0</v>
      </c>
      <c r="EH603" t="b">
        <f t="shared" si="1237"/>
        <v>0</v>
      </c>
      <c r="EI603" t="b">
        <f t="shared" si="1238"/>
        <v>0</v>
      </c>
      <c r="EJ603" t="b">
        <f t="shared" si="1239"/>
        <v>0</v>
      </c>
      <c r="EK603" t="b">
        <f t="shared" si="1240"/>
        <v>0</v>
      </c>
    </row>
    <row r="604" spans="1:141">
      <c r="A604" t="s">
        <v>3035</v>
      </c>
      <c r="B604" t="s">
        <v>3035</v>
      </c>
      <c r="C604" t="s">
        <v>3036</v>
      </c>
      <c r="D604" s="1">
        <v>44011</v>
      </c>
      <c r="E604" s="2">
        <v>44031.950914351852</v>
      </c>
      <c r="F604" s="2">
        <v>44031.950914351852</v>
      </c>
      <c r="G604">
        <v>268765495</v>
      </c>
      <c r="H604" t="s">
        <v>3037</v>
      </c>
      <c r="I604" s="10" t="s">
        <v>3038</v>
      </c>
      <c r="J604" t="s">
        <v>3039</v>
      </c>
      <c r="K604" s="8" t="b">
        <v>1</v>
      </c>
      <c r="L604" s="10" t="b">
        <v>0</v>
      </c>
      <c r="M604" s="12" t="b">
        <v>0</v>
      </c>
      <c r="N604" t="b">
        <v>0</v>
      </c>
      <c r="O604" t="b">
        <v>0</v>
      </c>
      <c r="P604" t="b">
        <v>0</v>
      </c>
      <c r="Q604">
        <f t="shared" si="1117"/>
        <v>2</v>
      </c>
      <c r="R604">
        <f t="shared" si="1118"/>
        <v>6</v>
      </c>
      <c r="S604" t="e">
        <f t="shared" ca="1" si="1148"/>
        <v>#NAME?</v>
      </c>
      <c r="T604" t="e">
        <f t="shared" ca="1" si="1119"/>
        <v>#NAME?</v>
      </c>
      <c r="U604" s="4">
        <f t="shared" si="1120"/>
        <v>20.950914351851679</v>
      </c>
      <c r="V604" s="4">
        <f t="shared" si="1121"/>
        <v>0.69836381172838935</v>
      </c>
      <c r="W604" s="4">
        <f t="shared" si="1122"/>
        <v>1</v>
      </c>
      <c r="X604" s="4">
        <f t="shared" si="1123"/>
        <v>0</v>
      </c>
      <c r="Y604" s="4">
        <f t="shared" si="1124"/>
        <v>0</v>
      </c>
      <c r="Z604" s="4">
        <f t="shared" si="1125"/>
        <v>0</v>
      </c>
      <c r="AA604" s="4">
        <f t="shared" si="1126"/>
        <v>0</v>
      </c>
      <c r="AB604" s="4">
        <f t="shared" si="1127"/>
        <v>0</v>
      </c>
      <c r="AD604" s="4" t="b">
        <f t="shared" si="1128"/>
        <v>0</v>
      </c>
      <c r="AE604" s="4" t="b">
        <f t="shared" si="1129"/>
        <v>0</v>
      </c>
      <c r="AF604" s="4" t="b">
        <f t="shared" si="1130"/>
        <v>0</v>
      </c>
      <c r="AG604" t="b">
        <f t="shared" si="1131"/>
        <v>0</v>
      </c>
      <c r="AH604" t="b">
        <f t="shared" si="1132"/>
        <v>0</v>
      </c>
      <c r="AI604" t="b">
        <f t="shared" si="1133"/>
        <v>0</v>
      </c>
      <c r="AJ604" t="b">
        <f t="shared" si="1134"/>
        <v>0</v>
      </c>
      <c r="AK604" t="b">
        <f t="shared" si="1135"/>
        <v>0</v>
      </c>
      <c r="AL604" t="b">
        <f t="shared" si="1136"/>
        <v>0</v>
      </c>
      <c r="AM604" t="b">
        <f t="shared" si="1137"/>
        <v>0</v>
      </c>
      <c r="AN604">
        <f t="shared" si="1138"/>
        <v>1</v>
      </c>
      <c r="AO604" t="b">
        <f t="shared" si="1139"/>
        <v>0</v>
      </c>
      <c r="AP604" t="b">
        <f t="shared" si="1140"/>
        <v>0</v>
      </c>
      <c r="AQ604" t="b">
        <f t="shared" si="1141"/>
        <v>0</v>
      </c>
      <c r="AR604" t="b">
        <f t="shared" si="1142"/>
        <v>0</v>
      </c>
      <c r="AS604" t="b">
        <f t="shared" si="1143"/>
        <v>0</v>
      </c>
      <c r="AT604" t="b">
        <f t="shared" si="1144"/>
        <v>0</v>
      </c>
      <c r="AU604" t="b">
        <f t="shared" si="1145"/>
        <v>0</v>
      </c>
      <c r="AV604" t="b">
        <f t="shared" si="1146"/>
        <v>0</v>
      </c>
      <c r="AW604" t="b">
        <f t="shared" si="1147"/>
        <v>0</v>
      </c>
      <c r="AX604" t="b">
        <f t="shared" si="1149"/>
        <v>0</v>
      </c>
      <c r="AY604" t="b">
        <f t="shared" si="1150"/>
        <v>0</v>
      </c>
      <c r="AZ604">
        <f t="shared" si="1151"/>
        <v>1</v>
      </c>
      <c r="BA604" t="b">
        <f t="shared" si="1152"/>
        <v>0</v>
      </c>
      <c r="BB604" t="b">
        <f t="shared" si="1153"/>
        <v>0</v>
      </c>
      <c r="BC604" t="b">
        <f t="shared" si="1154"/>
        <v>0</v>
      </c>
      <c r="BD604" t="b">
        <f t="shared" si="1155"/>
        <v>0</v>
      </c>
      <c r="BE604" t="b">
        <f t="shared" si="1156"/>
        <v>0</v>
      </c>
      <c r="BF604" t="b">
        <f t="shared" si="1157"/>
        <v>0</v>
      </c>
      <c r="BG604" t="b">
        <f t="shared" si="1158"/>
        <v>0</v>
      </c>
      <c r="BH604" t="b">
        <f t="shared" si="1159"/>
        <v>0</v>
      </c>
      <c r="BI604">
        <f t="shared" si="1160"/>
        <v>1</v>
      </c>
      <c r="BJ604" t="b">
        <f t="shared" si="1161"/>
        <v>0</v>
      </c>
      <c r="BK604" t="b">
        <f t="shared" si="1162"/>
        <v>0</v>
      </c>
      <c r="BL604" t="b">
        <f t="shared" si="1163"/>
        <v>0</v>
      </c>
      <c r="BM604" t="b">
        <f t="shared" si="1164"/>
        <v>0</v>
      </c>
      <c r="BN604" t="b">
        <f t="shared" si="1165"/>
        <v>0</v>
      </c>
      <c r="BO604" t="b">
        <f t="shared" si="1166"/>
        <v>0</v>
      </c>
      <c r="BP604" t="b">
        <f t="shared" si="1167"/>
        <v>0</v>
      </c>
      <c r="BQ604" t="b">
        <f t="shared" si="1168"/>
        <v>0</v>
      </c>
      <c r="BR604">
        <f t="shared" si="1169"/>
        <v>1</v>
      </c>
      <c r="BS604">
        <f t="shared" si="1170"/>
        <v>1</v>
      </c>
      <c r="BT604" t="b">
        <f t="shared" si="1171"/>
        <v>0</v>
      </c>
      <c r="BU604" t="b">
        <f t="shared" si="1172"/>
        <v>0</v>
      </c>
      <c r="BV604" t="b">
        <f t="shared" si="1173"/>
        <v>0</v>
      </c>
      <c r="BW604" t="b">
        <f t="shared" si="1174"/>
        <v>0</v>
      </c>
      <c r="BX604" t="b">
        <f t="shared" si="1175"/>
        <v>0</v>
      </c>
      <c r="BY604" t="b">
        <f t="shared" si="1176"/>
        <v>0</v>
      </c>
      <c r="BZ604" t="b">
        <f t="shared" si="1177"/>
        <v>0</v>
      </c>
      <c r="CA604" t="b">
        <f t="shared" si="1178"/>
        <v>0</v>
      </c>
      <c r="CB604" t="b">
        <f t="shared" si="1179"/>
        <v>0</v>
      </c>
      <c r="CC604" t="b">
        <f t="shared" si="1180"/>
        <v>0</v>
      </c>
      <c r="CD604" t="b">
        <f t="shared" si="1181"/>
        <v>0</v>
      </c>
      <c r="CE604">
        <f t="shared" si="1182"/>
        <v>1</v>
      </c>
      <c r="CF604" t="b">
        <f t="shared" si="1183"/>
        <v>0</v>
      </c>
      <c r="CG604" t="b">
        <f t="shared" si="1184"/>
        <v>0</v>
      </c>
      <c r="CH604" t="b">
        <f t="shared" si="1185"/>
        <v>0</v>
      </c>
      <c r="CI604" t="b">
        <f t="shared" si="1186"/>
        <v>0</v>
      </c>
      <c r="CJ604" t="b">
        <f t="shared" si="1187"/>
        <v>0</v>
      </c>
      <c r="CK604" t="b">
        <f t="shared" si="1188"/>
        <v>0</v>
      </c>
      <c r="CL604" t="b">
        <f t="shared" si="1189"/>
        <v>0</v>
      </c>
      <c r="CM604">
        <f t="shared" si="1190"/>
        <v>1</v>
      </c>
      <c r="CN604" t="b">
        <f t="shared" si="1191"/>
        <v>0</v>
      </c>
      <c r="CO604" t="b">
        <f t="shared" si="1192"/>
        <v>0</v>
      </c>
      <c r="CP604" t="b">
        <f t="shared" si="1193"/>
        <v>0</v>
      </c>
      <c r="CQ604" t="b">
        <f t="shared" si="1194"/>
        <v>0</v>
      </c>
      <c r="CR604" t="b">
        <f t="shared" si="1195"/>
        <v>0</v>
      </c>
      <c r="CS604" t="b">
        <f t="shared" si="1196"/>
        <v>0</v>
      </c>
      <c r="CT604" t="b">
        <f t="shared" si="1197"/>
        <v>0</v>
      </c>
      <c r="CU604" t="b">
        <f t="shared" si="1198"/>
        <v>0</v>
      </c>
      <c r="CV604">
        <f t="shared" si="1199"/>
        <v>1</v>
      </c>
      <c r="CW604" t="b">
        <f t="shared" si="1200"/>
        <v>0</v>
      </c>
      <c r="CX604" t="b">
        <f t="shared" si="1201"/>
        <v>0</v>
      </c>
      <c r="CY604" t="b">
        <f t="shared" si="1202"/>
        <v>0</v>
      </c>
      <c r="CZ604" t="b">
        <f t="shared" si="1203"/>
        <v>0</v>
      </c>
      <c r="DA604" t="b">
        <f t="shared" si="1204"/>
        <v>0</v>
      </c>
      <c r="DB604" t="b">
        <f t="shared" si="1205"/>
        <v>0</v>
      </c>
      <c r="DC604" t="b">
        <f t="shared" si="1206"/>
        <v>0</v>
      </c>
      <c r="DD604" t="b">
        <f t="shared" si="1207"/>
        <v>0</v>
      </c>
      <c r="DE604" t="b">
        <f t="shared" si="1208"/>
        <v>0</v>
      </c>
      <c r="DF604" t="b">
        <f t="shared" si="1209"/>
        <v>0</v>
      </c>
      <c r="DG604" t="b">
        <f t="shared" si="1210"/>
        <v>0</v>
      </c>
      <c r="DH604" t="b">
        <f t="shared" si="1211"/>
        <v>0</v>
      </c>
      <c r="DI604" t="b">
        <f t="shared" si="1212"/>
        <v>0</v>
      </c>
      <c r="DJ604" t="b">
        <f t="shared" si="1213"/>
        <v>0</v>
      </c>
      <c r="DK604" t="b">
        <f t="shared" si="1214"/>
        <v>0</v>
      </c>
      <c r="DL604" t="b">
        <f t="shared" si="1215"/>
        <v>0</v>
      </c>
      <c r="DM604" t="b">
        <f t="shared" si="1216"/>
        <v>0</v>
      </c>
      <c r="DN604" t="b">
        <f t="shared" si="1217"/>
        <v>0</v>
      </c>
      <c r="DO604" t="b">
        <f t="shared" si="1218"/>
        <v>0</v>
      </c>
      <c r="DP604" t="b">
        <f t="shared" si="1219"/>
        <v>0</v>
      </c>
      <c r="DQ604" t="b">
        <f t="shared" si="1220"/>
        <v>0</v>
      </c>
      <c r="DR604" t="b">
        <f t="shared" si="1221"/>
        <v>0</v>
      </c>
      <c r="DS604" t="b">
        <f t="shared" si="1222"/>
        <v>0</v>
      </c>
      <c r="DT604" t="b">
        <f t="shared" si="1223"/>
        <v>0</v>
      </c>
      <c r="DU604" t="b">
        <f t="shared" si="1224"/>
        <v>0</v>
      </c>
      <c r="DV604" t="b">
        <f t="shared" si="1225"/>
        <v>0</v>
      </c>
      <c r="DW604" t="b">
        <f t="shared" si="1226"/>
        <v>0</v>
      </c>
      <c r="DX604" t="b">
        <f t="shared" si="1227"/>
        <v>0</v>
      </c>
      <c r="DY604">
        <f t="shared" si="1228"/>
        <v>1</v>
      </c>
      <c r="DZ604" t="b">
        <f t="shared" si="1229"/>
        <v>0</v>
      </c>
      <c r="EA604" t="b">
        <f t="shared" si="1230"/>
        <v>0</v>
      </c>
      <c r="EB604" t="b">
        <f t="shared" si="1231"/>
        <v>0</v>
      </c>
      <c r="EC604" t="b">
        <f t="shared" si="1232"/>
        <v>0</v>
      </c>
      <c r="ED604" t="b">
        <f t="shared" si="1233"/>
        <v>0</v>
      </c>
      <c r="EE604">
        <f t="shared" si="1234"/>
        <v>1</v>
      </c>
      <c r="EF604">
        <f t="shared" si="1235"/>
        <v>1</v>
      </c>
      <c r="EG604" t="b">
        <f t="shared" si="1236"/>
        <v>0</v>
      </c>
      <c r="EH604" t="b">
        <f t="shared" si="1237"/>
        <v>0</v>
      </c>
      <c r="EI604" t="b">
        <f t="shared" si="1238"/>
        <v>0</v>
      </c>
      <c r="EJ604" t="b">
        <f t="shared" si="1239"/>
        <v>0</v>
      </c>
      <c r="EK604" t="b">
        <f t="shared" si="1240"/>
        <v>0</v>
      </c>
    </row>
    <row r="605" spans="1:141">
      <c r="A605" t="s">
        <v>3040</v>
      </c>
      <c r="B605" t="s">
        <v>3041</v>
      </c>
      <c r="C605" t="s">
        <v>3042</v>
      </c>
      <c r="D605" s="1">
        <v>41581</v>
      </c>
      <c r="E605" s="2">
        <v>43022.843726851854</v>
      </c>
      <c r="F605" s="2">
        <v>43022.843726851854</v>
      </c>
      <c r="G605">
        <v>8600635</v>
      </c>
      <c r="H605" t="s">
        <v>3043</v>
      </c>
      <c r="I605" s="10" t="s">
        <v>3044</v>
      </c>
      <c r="J605" t="s">
        <v>156</v>
      </c>
      <c r="K605" s="8" t="b">
        <v>1</v>
      </c>
      <c r="L605" s="10" t="b">
        <v>0</v>
      </c>
      <c r="M605" s="12" t="b">
        <v>0</v>
      </c>
      <c r="N605" t="b">
        <v>0</v>
      </c>
      <c r="O605" t="b">
        <v>0</v>
      </c>
      <c r="P605" t="b">
        <v>0</v>
      </c>
      <c r="Q605">
        <f t="shared" si="1117"/>
        <v>1</v>
      </c>
      <c r="R605">
        <f t="shared" si="1118"/>
        <v>11</v>
      </c>
      <c r="S605" t="e">
        <f t="shared" ca="1" si="1148"/>
        <v>#NAME?</v>
      </c>
      <c r="T605" t="e">
        <f t="shared" ca="1" si="1119"/>
        <v>#NAME?</v>
      </c>
      <c r="U605" s="4">
        <f t="shared" si="1120"/>
        <v>1441.8437268518537</v>
      </c>
      <c r="V605" s="4">
        <f t="shared" si="1121"/>
        <v>48.06145756172846</v>
      </c>
      <c r="W605" s="4">
        <f t="shared" si="1122"/>
        <v>1</v>
      </c>
      <c r="X605" s="4">
        <f t="shared" si="1123"/>
        <v>0</v>
      </c>
      <c r="Y605" s="4">
        <f t="shared" si="1124"/>
        <v>0</v>
      </c>
      <c r="Z605" s="4">
        <f t="shared" si="1125"/>
        <v>0</v>
      </c>
      <c r="AA605" s="4">
        <f t="shared" si="1126"/>
        <v>0</v>
      </c>
      <c r="AB605" s="4">
        <f t="shared" si="1127"/>
        <v>0</v>
      </c>
      <c r="AD605" s="4" t="b">
        <f t="shared" si="1128"/>
        <v>0</v>
      </c>
      <c r="AE605" s="4" t="b">
        <f t="shared" si="1129"/>
        <v>0</v>
      </c>
      <c r="AF605" s="4" t="b">
        <f t="shared" si="1130"/>
        <v>0</v>
      </c>
      <c r="AG605" t="b">
        <f t="shared" si="1131"/>
        <v>0</v>
      </c>
      <c r="AH605" t="b">
        <f t="shared" si="1132"/>
        <v>0</v>
      </c>
      <c r="AI605" t="b">
        <f t="shared" si="1133"/>
        <v>0</v>
      </c>
      <c r="AJ605" t="b">
        <f t="shared" si="1134"/>
        <v>0</v>
      </c>
      <c r="AK605" t="b">
        <f t="shared" si="1135"/>
        <v>0</v>
      </c>
      <c r="AL605" t="b">
        <f t="shared" si="1136"/>
        <v>0</v>
      </c>
      <c r="AM605" t="b">
        <f t="shared" si="1137"/>
        <v>0</v>
      </c>
      <c r="AN605" t="b">
        <f t="shared" si="1138"/>
        <v>0</v>
      </c>
      <c r="AO605" t="b">
        <f t="shared" si="1139"/>
        <v>0</v>
      </c>
      <c r="AP605" t="b">
        <f t="shared" si="1140"/>
        <v>0</v>
      </c>
      <c r="AQ605" t="b">
        <f t="shared" si="1141"/>
        <v>0</v>
      </c>
      <c r="AR605" t="b">
        <f t="shared" si="1142"/>
        <v>0</v>
      </c>
      <c r="AS605" t="b">
        <f t="shared" si="1143"/>
        <v>0</v>
      </c>
      <c r="AT605" t="b">
        <f t="shared" si="1144"/>
        <v>0</v>
      </c>
      <c r="AU605" t="b">
        <f t="shared" si="1145"/>
        <v>0</v>
      </c>
      <c r="AV605" t="b">
        <f t="shared" si="1146"/>
        <v>0</v>
      </c>
      <c r="AW605" t="b">
        <f t="shared" si="1147"/>
        <v>0</v>
      </c>
      <c r="AX605" t="b">
        <f t="shared" si="1149"/>
        <v>0</v>
      </c>
      <c r="AY605" t="b">
        <f t="shared" si="1150"/>
        <v>0</v>
      </c>
      <c r="AZ605" t="b">
        <f t="shared" si="1151"/>
        <v>0</v>
      </c>
      <c r="BA605" t="b">
        <f t="shared" si="1152"/>
        <v>0</v>
      </c>
      <c r="BB605" t="b">
        <f t="shared" si="1153"/>
        <v>0</v>
      </c>
      <c r="BC605" t="b">
        <f t="shared" si="1154"/>
        <v>0</v>
      </c>
      <c r="BD605" t="b">
        <f t="shared" si="1155"/>
        <v>0</v>
      </c>
      <c r="BE605" t="b">
        <f t="shared" si="1156"/>
        <v>0</v>
      </c>
      <c r="BF605" t="b">
        <f t="shared" si="1157"/>
        <v>0</v>
      </c>
      <c r="BG605" t="b">
        <f t="shared" si="1158"/>
        <v>0</v>
      </c>
      <c r="BH605" t="b">
        <f t="shared" si="1159"/>
        <v>0</v>
      </c>
      <c r="BI605">
        <f t="shared" si="1160"/>
        <v>1</v>
      </c>
      <c r="BJ605" t="b">
        <f t="shared" si="1161"/>
        <v>0</v>
      </c>
      <c r="BK605" t="b">
        <f t="shared" si="1162"/>
        <v>0</v>
      </c>
      <c r="BL605" t="b">
        <f t="shared" si="1163"/>
        <v>0</v>
      </c>
      <c r="BM605" t="b">
        <f t="shared" si="1164"/>
        <v>0</v>
      </c>
      <c r="BN605" t="b">
        <f t="shared" si="1165"/>
        <v>0</v>
      </c>
      <c r="BO605" t="b">
        <f t="shared" si="1166"/>
        <v>0</v>
      </c>
      <c r="BP605" t="b">
        <f t="shared" si="1167"/>
        <v>0</v>
      </c>
      <c r="BQ605" t="b">
        <f t="shared" si="1168"/>
        <v>0</v>
      </c>
      <c r="BR605" t="b">
        <f t="shared" si="1169"/>
        <v>0</v>
      </c>
      <c r="BS605" t="b">
        <f t="shared" si="1170"/>
        <v>0</v>
      </c>
      <c r="BT605" t="b">
        <f t="shared" si="1171"/>
        <v>0</v>
      </c>
      <c r="BU605" t="b">
        <f t="shared" si="1172"/>
        <v>0</v>
      </c>
      <c r="BV605" t="b">
        <f t="shared" si="1173"/>
        <v>0</v>
      </c>
      <c r="BW605" t="b">
        <f t="shared" si="1174"/>
        <v>0</v>
      </c>
      <c r="BX605" t="b">
        <f t="shared" si="1175"/>
        <v>0</v>
      </c>
      <c r="BY605" t="b">
        <f t="shared" si="1176"/>
        <v>0</v>
      </c>
      <c r="BZ605" t="b">
        <f t="shared" si="1177"/>
        <v>0</v>
      </c>
      <c r="CA605" t="b">
        <f t="shared" si="1178"/>
        <v>0</v>
      </c>
      <c r="CB605" t="b">
        <f t="shared" si="1179"/>
        <v>0</v>
      </c>
      <c r="CC605" t="b">
        <f t="shared" si="1180"/>
        <v>0</v>
      </c>
      <c r="CD605" t="b">
        <f t="shared" si="1181"/>
        <v>0</v>
      </c>
      <c r="CE605" t="b">
        <f t="shared" si="1182"/>
        <v>0</v>
      </c>
      <c r="CF605" t="b">
        <f t="shared" si="1183"/>
        <v>0</v>
      </c>
      <c r="CG605" t="b">
        <f t="shared" si="1184"/>
        <v>0</v>
      </c>
      <c r="CH605" t="b">
        <f t="shared" si="1185"/>
        <v>0</v>
      </c>
      <c r="CI605" t="b">
        <f t="shared" si="1186"/>
        <v>0</v>
      </c>
      <c r="CJ605" t="b">
        <f t="shared" si="1187"/>
        <v>0</v>
      </c>
      <c r="CK605" t="b">
        <f t="shared" si="1188"/>
        <v>0</v>
      </c>
      <c r="CL605" t="b">
        <f t="shared" si="1189"/>
        <v>0</v>
      </c>
      <c r="CM605" t="b">
        <f t="shared" si="1190"/>
        <v>0</v>
      </c>
      <c r="CN605" t="b">
        <f t="shared" si="1191"/>
        <v>0</v>
      </c>
      <c r="CO605" t="b">
        <f t="shared" si="1192"/>
        <v>0</v>
      </c>
      <c r="CP605" t="b">
        <f t="shared" si="1193"/>
        <v>0</v>
      </c>
      <c r="CQ605" t="b">
        <f t="shared" si="1194"/>
        <v>0</v>
      </c>
      <c r="CR605" t="b">
        <f t="shared" si="1195"/>
        <v>0</v>
      </c>
      <c r="CS605" t="b">
        <f t="shared" si="1196"/>
        <v>0</v>
      </c>
      <c r="CT605" t="b">
        <f t="shared" si="1197"/>
        <v>0</v>
      </c>
      <c r="CU605" t="b">
        <f t="shared" si="1198"/>
        <v>0</v>
      </c>
      <c r="CV605">
        <f t="shared" si="1199"/>
        <v>1</v>
      </c>
      <c r="CW605" t="b">
        <f t="shared" si="1200"/>
        <v>0</v>
      </c>
      <c r="CX605" t="b">
        <f t="shared" si="1201"/>
        <v>0</v>
      </c>
      <c r="CY605" t="b">
        <f t="shared" si="1202"/>
        <v>0</v>
      </c>
      <c r="CZ605" t="b">
        <f t="shared" si="1203"/>
        <v>0</v>
      </c>
      <c r="DA605" t="b">
        <f t="shared" si="1204"/>
        <v>0</v>
      </c>
      <c r="DB605" t="b">
        <f t="shared" si="1205"/>
        <v>0</v>
      </c>
      <c r="DC605" t="b">
        <f t="shared" si="1206"/>
        <v>0</v>
      </c>
      <c r="DD605" t="b">
        <f t="shared" si="1207"/>
        <v>0</v>
      </c>
      <c r="DE605" t="b">
        <f t="shared" si="1208"/>
        <v>0</v>
      </c>
      <c r="DF605" t="b">
        <f t="shared" si="1209"/>
        <v>0</v>
      </c>
      <c r="DG605" t="b">
        <f t="shared" si="1210"/>
        <v>0</v>
      </c>
      <c r="DH605" t="b">
        <f t="shared" si="1211"/>
        <v>0</v>
      </c>
      <c r="DI605" t="b">
        <f t="shared" si="1212"/>
        <v>0</v>
      </c>
      <c r="DJ605" t="b">
        <f t="shared" si="1213"/>
        <v>0</v>
      </c>
      <c r="DK605" t="b">
        <f t="shared" si="1214"/>
        <v>0</v>
      </c>
      <c r="DL605" t="b">
        <f t="shared" si="1215"/>
        <v>0</v>
      </c>
      <c r="DM605" t="b">
        <f t="shared" si="1216"/>
        <v>0</v>
      </c>
      <c r="DN605" t="b">
        <f t="shared" si="1217"/>
        <v>0</v>
      </c>
      <c r="DO605" t="b">
        <f t="shared" si="1218"/>
        <v>0</v>
      </c>
      <c r="DP605" t="b">
        <f t="shared" si="1219"/>
        <v>0</v>
      </c>
      <c r="DQ605" t="b">
        <f t="shared" si="1220"/>
        <v>0</v>
      </c>
      <c r="DR605" t="b">
        <f t="shared" si="1221"/>
        <v>0</v>
      </c>
      <c r="DS605" t="b">
        <f t="shared" si="1222"/>
        <v>0</v>
      </c>
      <c r="DT605" t="b">
        <f t="shared" si="1223"/>
        <v>0</v>
      </c>
      <c r="DU605" t="b">
        <f t="shared" si="1224"/>
        <v>0</v>
      </c>
      <c r="DV605" t="b">
        <f t="shared" si="1225"/>
        <v>0</v>
      </c>
      <c r="DW605" t="b">
        <f t="shared" si="1226"/>
        <v>0</v>
      </c>
      <c r="DX605" t="b">
        <f t="shared" si="1227"/>
        <v>0</v>
      </c>
      <c r="DY605" t="b">
        <f t="shared" si="1228"/>
        <v>0</v>
      </c>
      <c r="DZ605" t="b">
        <f t="shared" si="1229"/>
        <v>0</v>
      </c>
      <c r="EA605" t="b">
        <f t="shared" si="1230"/>
        <v>0</v>
      </c>
      <c r="EB605" t="b">
        <f t="shared" si="1231"/>
        <v>0</v>
      </c>
      <c r="EC605" t="b">
        <f t="shared" si="1232"/>
        <v>0</v>
      </c>
      <c r="ED605" t="b">
        <f t="shared" si="1233"/>
        <v>0</v>
      </c>
      <c r="EE605" t="b">
        <f t="shared" si="1234"/>
        <v>0</v>
      </c>
      <c r="EF605">
        <f t="shared" si="1235"/>
        <v>1</v>
      </c>
      <c r="EG605" t="b">
        <f t="shared" si="1236"/>
        <v>0</v>
      </c>
      <c r="EH605" t="b">
        <f t="shared" si="1237"/>
        <v>0</v>
      </c>
      <c r="EI605" t="b">
        <f t="shared" si="1238"/>
        <v>0</v>
      </c>
      <c r="EJ605" t="b">
        <f t="shared" si="1239"/>
        <v>0</v>
      </c>
      <c r="EK605" t="b">
        <f t="shared" si="1240"/>
        <v>0</v>
      </c>
    </row>
    <row r="606" spans="1:141">
      <c r="A606" t="s">
        <v>3045</v>
      </c>
      <c r="B606" t="s">
        <v>3045</v>
      </c>
      <c r="C606" t="s">
        <v>3046</v>
      </c>
      <c r="D606" s="1">
        <v>44202</v>
      </c>
      <c r="E606" s="2">
        <v>44329.005787037036</v>
      </c>
      <c r="F606" s="2">
        <v>44329.005787037036</v>
      </c>
      <c r="G606">
        <v>1306723</v>
      </c>
      <c r="H606" t="s">
        <v>3047</v>
      </c>
      <c r="I606" s="10" t="s">
        <v>3048</v>
      </c>
      <c r="J606" t="s">
        <v>3049</v>
      </c>
      <c r="K606" s="8" t="b">
        <v>1</v>
      </c>
      <c r="L606" s="10" t="b">
        <v>0</v>
      </c>
      <c r="M606" s="12" t="b">
        <v>0</v>
      </c>
      <c r="N606" t="b">
        <v>0</v>
      </c>
      <c r="O606" t="b">
        <v>0</v>
      </c>
      <c r="P606" t="b">
        <v>0</v>
      </c>
      <c r="Q606">
        <f t="shared" si="1117"/>
        <v>4</v>
      </c>
      <c r="R606">
        <f t="shared" si="1118"/>
        <v>1</v>
      </c>
      <c r="S606" t="e">
        <f t="shared" ca="1" si="1148"/>
        <v>#NAME?</v>
      </c>
      <c r="T606" t="e">
        <f t="shared" ca="1" si="1119"/>
        <v>#NAME?</v>
      </c>
      <c r="U606" s="4">
        <f t="shared" si="1120"/>
        <v>127.0057870370365</v>
      </c>
      <c r="V606" s="4">
        <f t="shared" si="1121"/>
        <v>4.2335262345678837</v>
      </c>
      <c r="W606" s="4">
        <f t="shared" si="1122"/>
        <v>1</v>
      </c>
      <c r="X606" s="4">
        <f t="shared" si="1123"/>
        <v>0</v>
      </c>
      <c r="Y606" s="4">
        <f t="shared" si="1124"/>
        <v>0</v>
      </c>
      <c r="Z606" s="4">
        <f t="shared" si="1125"/>
        <v>0</v>
      </c>
      <c r="AA606" s="4">
        <f t="shared" si="1126"/>
        <v>0</v>
      </c>
      <c r="AB606" s="4">
        <f t="shared" si="1127"/>
        <v>0</v>
      </c>
      <c r="AD606" s="4" t="b">
        <f t="shared" si="1128"/>
        <v>0</v>
      </c>
      <c r="AE606" s="4" t="b">
        <f t="shared" si="1129"/>
        <v>0</v>
      </c>
      <c r="AF606" s="4" t="b">
        <f t="shared" si="1130"/>
        <v>0</v>
      </c>
      <c r="AG606" t="b">
        <f t="shared" si="1131"/>
        <v>0</v>
      </c>
      <c r="AH606" t="b">
        <f t="shared" si="1132"/>
        <v>0</v>
      </c>
      <c r="AI606" t="b">
        <f t="shared" si="1133"/>
        <v>0</v>
      </c>
      <c r="AJ606" t="b">
        <f t="shared" si="1134"/>
        <v>0</v>
      </c>
      <c r="AK606" t="b">
        <f t="shared" si="1135"/>
        <v>0</v>
      </c>
      <c r="AL606" t="b">
        <f t="shared" si="1136"/>
        <v>0</v>
      </c>
      <c r="AM606" t="b">
        <f t="shared" si="1137"/>
        <v>0</v>
      </c>
      <c r="AN606" t="b">
        <f t="shared" si="1138"/>
        <v>0</v>
      </c>
      <c r="AO606" t="b">
        <f t="shared" si="1139"/>
        <v>0</v>
      </c>
      <c r="AP606" t="b">
        <f t="shared" si="1140"/>
        <v>0</v>
      </c>
      <c r="AQ606" t="b">
        <f t="shared" si="1141"/>
        <v>0</v>
      </c>
      <c r="AR606" t="b">
        <f t="shared" si="1142"/>
        <v>0</v>
      </c>
      <c r="AS606" t="b">
        <f t="shared" si="1143"/>
        <v>0</v>
      </c>
      <c r="AT606" t="b">
        <f t="shared" si="1144"/>
        <v>0</v>
      </c>
      <c r="AU606" t="b">
        <f t="shared" si="1145"/>
        <v>0</v>
      </c>
      <c r="AV606" t="b">
        <f t="shared" si="1146"/>
        <v>0</v>
      </c>
      <c r="AW606" t="b">
        <f t="shared" si="1147"/>
        <v>0</v>
      </c>
      <c r="AX606" t="b">
        <f t="shared" si="1149"/>
        <v>0</v>
      </c>
      <c r="AY606" t="b">
        <f t="shared" si="1150"/>
        <v>0</v>
      </c>
      <c r="AZ606" t="b">
        <f t="shared" si="1151"/>
        <v>0</v>
      </c>
      <c r="BA606" t="b">
        <f t="shared" si="1152"/>
        <v>0</v>
      </c>
      <c r="BB606" t="b">
        <f t="shared" si="1153"/>
        <v>0</v>
      </c>
      <c r="BC606" t="b">
        <f t="shared" si="1154"/>
        <v>0</v>
      </c>
      <c r="BD606" t="b">
        <f t="shared" si="1155"/>
        <v>0</v>
      </c>
      <c r="BE606" t="b">
        <f t="shared" si="1156"/>
        <v>0</v>
      </c>
      <c r="BF606" t="b">
        <f t="shared" si="1157"/>
        <v>0</v>
      </c>
      <c r="BG606" t="b">
        <f t="shared" si="1158"/>
        <v>0</v>
      </c>
      <c r="BH606" t="b">
        <f t="shared" si="1159"/>
        <v>0</v>
      </c>
      <c r="BI606">
        <f t="shared" si="1160"/>
        <v>1</v>
      </c>
      <c r="BJ606" t="b">
        <f t="shared" si="1161"/>
        <v>0</v>
      </c>
      <c r="BK606" t="b">
        <f t="shared" si="1162"/>
        <v>0</v>
      </c>
      <c r="BL606" t="b">
        <f t="shared" si="1163"/>
        <v>0</v>
      </c>
      <c r="BM606" t="b">
        <f t="shared" si="1164"/>
        <v>0</v>
      </c>
      <c r="BN606" t="b">
        <f t="shared" si="1165"/>
        <v>0</v>
      </c>
      <c r="BO606" t="b">
        <f t="shared" si="1166"/>
        <v>0</v>
      </c>
      <c r="BP606" t="b">
        <f t="shared" si="1167"/>
        <v>0</v>
      </c>
      <c r="BQ606" t="b">
        <f t="shared" si="1168"/>
        <v>0</v>
      </c>
      <c r="BR606">
        <f t="shared" si="1169"/>
        <v>1</v>
      </c>
      <c r="BS606" t="b">
        <f t="shared" si="1170"/>
        <v>0</v>
      </c>
      <c r="BT606" t="b">
        <f t="shared" si="1171"/>
        <v>0</v>
      </c>
      <c r="BU606" t="b">
        <f t="shared" si="1172"/>
        <v>0</v>
      </c>
      <c r="BV606" t="b">
        <f t="shared" si="1173"/>
        <v>0</v>
      </c>
      <c r="BW606" t="b">
        <f t="shared" si="1174"/>
        <v>0</v>
      </c>
      <c r="BX606" t="b">
        <f t="shared" si="1175"/>
        <v>0</v>
      </c>
      <c r="BY606" t="b">
        <f t="shared" si="1176"/>
        <v>0</v>
      </c>
      <c r="BZ606" t="b">
        <f t="shared" si="1177"/>
        <v>0</v>
      </c>
      <c r="CA606" t="b">
        <f t="shared" si="1178"/>
        <v>0</v>
      </c>
      <c r="CB606" t="b">
        <f t="shared" si="1179"/>
        <v>0</v>
      </c>
      <c r="CC606" t="b">
        <f t="shared" si="1180"/>
        <v>0</v>
      </c>
      <c r="CD606" t="b">
        <f t="shared" si="1181"/>
        <v>0</v>
      </c>
      <c r="CE606" t="b">
        <f t="shared" si="1182"/>
        <v>0</v>
      </c>
      <c r="CF606" t="b">
        <f t="shared" si="1183"/>
        <v>0</v>
      </c>
      <c r="CG606" t="b">
        <f t="shared" si="1184"/>
        <v>0</v>
      </c>
      <c r="CH606" t="b">
        <f t="shared" si="1185"/>
        <v>0</v>
      </c>
      <c r="CI606" t="b">
        <f t="shared" si="1186"/>
        <v>0</v>
      </c>
      <c r="CJ606" t="b">
        <f t="shared" si="1187"/>
        <v>0</v>
      </c>
      <c r="CK606" t="b">
        <f t="shared" si="1188"/>
        <v>0</v>
      </c>
      <c r="CL606" t="b">
        <f t="shared" si="1189"/>
        <v>0</v>
      </c>
      <c r="CM606">
        <f t="shared" si="1190"/>
        <v>1</v>
      </c>
      <c r="CN606" t="b">
        <f t="shared" si="1191"/>
        <v>0</v>
      </c>
      <c r="CO606" t="b">
        <f t="shared" si="1192"/>
        <v>0</v>
      </c>
      <c r="CP606" t="b">
        <f t="shared" si="1193"/>
        <v>0</v>
      </c>
      <c r="CQ606" t="b">
        <f t="shared" si="1194"/>
        <v>0</v>
      </c>
      <c r="CR606" t="b">
        <f t="shared" si="1195"/>
        <v>0</v>
      </c>
      <c r="CS606" t="b">
        <f t="shared" si="1196"/>
        <v>0</v>
      </c>
      <c r="CT606" t="b">
        <f t="shared" si="1197"/>
        <v>0</v>
      </c>
      <c r="CU606" t="b">
        <f t="shared" si="1198"/>
        <v>0</v>
      </c>
      <c r="CV606">
        <f t="shared" si="1199"/>
        <v>1</v>
      </c>
      <c r="CW606" t="b">
        <f t="shared" si="1200"/>
        <v>0</v>
      </c>
      <c r="CX606" t="b">
        <f t="shared" si="1201"/>
        <v>0</v>
      </c>
      <c r="CY606" t="b">
        <f t="shared" si="1202"/>
        <v>0</v>
      </c>
      <c r="CZ606" t="b">
        <f t="shared" si="1203"/>
        <v>0</v>
      </c>
      <c r="DA606">
        <f t="shared" si="1204"/>
        <v>1</v>
      </c>
      <c r="DB606">
        <f t="shared" si="1205"/>
        <v>1</v>
      </c>
      <c r="DC606" t="b">
        <f t="shared" si="1206"/>
        <v>0</v>
      </c>
      <c r="DD606" t="b">
        <f t="shared" si="1207"/>
        <v>0</v>
      </c>
      <c r="DE606" t="b">
        <f t="shared" si="1208"/>
        <v>0</v>
      </c>
      <c r="DF606" t="b">
        <f t="shared" si="1209"/>
        <v>0</v>
      </c>
      <c r="DG606" t="b">
        <f t="shared" si="1210"/>
        <v>0</v>
      </c>
      <c r="DH606" t="b">
        <f t="shared" si="1211"/>
        <v>0</v>
      </c>
      <c r="DI606" t="b">
        <f t="shared" si="1212"/>
        <v>0</v>
      </c>
      <c r="DJ606" t="b">
        <f t="shared" si="1213"/>
        <v>0</v>
      </c>
      <c r="DK606" t="b">
        <f t="shared" si="1214"/>
        <v>0</v>
      </c>
      <c r="DL606" t="b">
        <f t="shared" si="1215"/>
        <v>0</v>
      </c>
      <c r="DM606" t="b">
        <f t="shared" si="1216"/>
        <v>0</v>
      </c>
      <c r="DN606" t="b">
        <f t="shared" si="1217"/>
        <v>0</v>
      </c>
      <c r="DO606" t="b">
        <f t="shared" si="1218"/>
        <v>0</v>
      </c>
      <c r="DP606" t="b">
        <f t="shared" si="1219"/>
        <v>0</v>
      </c>
      <c r="DQ606" t="b">
        <f t="shared" si="1220"/>
        <v>0</v>
      </c>
      <c r="DR606" t="b">
        <f t="shared" si="1221"/>
        <v>0</v>
      </c>
      <c r="DS606" t="b">
        <f t="shared" si="1222"/>
        <v>0</v>
      </c>
      <c r="DT606" t="b">
        <f t="shared" si="1223"/>
        <v>0</v>
      </c>
      <c r="DU606" t="b">
        <f t="shared" si="1224"/>
        <v>0</v>
      </c>
      <c r="DV606" t="b">
        <f t="shared" si="1225"/>
        <v>0</v>
      </c>
      <c r="DW606" t="b">
        <f t="shared" si="1226"/>
        <v>0</v>
      </c>
      <c r="DX606" t="b">
        <f t="shared" si="1227"/>
        <v>0</v>
      </c>
      <c r="DY606" t="b">
        <f t="shared" si="1228"/>
        <v>0</v>
      </c>
      <c r="DZ606" t="b">
        <f t="shared" si="1229"/>
        <v>0</v>
      </c>
      <c r="EA606" t="b">
        <f t="shared" si="1230"/>
        <v>0</v>
      </c>
      <c r="EB606" t="b">
        <f t="shared" si="1231"/>
        <v>0</v>
      </c>
      <c r="EC606" t="b">
        <f t="shared" si="1232"/>
        <v>0</v>
      </c>
      <c r="ED606" t="b">
        <f t="shared" si="1233"/>
        <v>0</v>
      </c>
      <c r="EE606" t="b">
        <f t="shared" si="1234"/>
        <v>0</v>
      </c>
      <c r="EF606" t="b">
        <f t="shared" si="1235"/>
        <v>0</v>
      </c>
      <c r="EG606" t="b">
        <f t="shared" si="1236"/>
        <v>0</v>
      </c>
      <c r="EH606" t="b">
        <f t="shared" si="1237"/>
        <v>0</v>
      </c>
      <c r="EI606" t="b">
        <f t="shared" si="1238"/>
        <v>0</v>
      </c>
      <c r="EJ606" t="b">
        <f t="shared" si="1239"/>
        <v>0</v>
      </c>
      <c r="EK606" t="b">
        <f t="shared" si="1240"/>
        <v>0</v>
      </c>
    </row>
    <row r="607" spans="1:141">
      <c r="A607" t="s">
        <v>3050</v>
      </c>
      <c r="B607" t="s">
        <v>3050</v>
      </c>
      <c r="C607" t="s">
        <v>3051</v>
      </c>
      <c r="D607" s="1">
        <v>44263</v>
      </c>
      <c r="E607" s="2">
        <v>44270.950289351851</v>
      </c>
      <c r="F607" s="2">
        <v>44319.464224537034</v>
      </c>
      <c r="G607">
        <v>11788</v>
      </c>
      <c r="H607" t="s">
        <v>3052</v>
      </c>
      <c r="I607" s="10" t="s">
        <v>3053</v>
      </c>
      <c r="J607" t="s">
        <v>3054</v>
      </c>
      <c r="K607" s="8" t="b">
        <v>1</v>
      </c>
      <c r="L607" s="10" t="b">
        <v>0</v>
      </c>
      <c r="M607" s="12" t="b">
        <v>1</v>
      </c>
      <c r="N607" t="b">
        <v>0</v>
      </c>
      <c r="O607" t="b">
        <v>0</v>
      </c>
      <c r="P607" t="b">
        <v>0</v>
      </c>
      <c r="Q607">
        <f t="shared" si="1117"/>
        <v>2</v>
      </c>
      <c r="R607">
        <f t="shared" si="1118"/>
        <v>3</v>
      </c>
      <c r="S607" t="e">
        <f t="shared" ca="1" si="1148"/>
        <v>#NAME?</v>
      </c>
      <c r="T607" t="e">
        <f t="shared" ca="1" si="1119"/>
        <v>#NAME?</v>
      </c>
      <c r="U607" s="4">
        <f t="shared" si="1120"/>
        <v>7.9502893518510973</v>
      </c>
      <c r="V607" s="4">
        <f t="shared" si="1121"/>
        <v>0.26500964506170327</v>
      </c>
      <c r="W607" s="4">
        <f t="shared" si="1122"/>
        <v>1</v>
      </c>
      <c r="X607" s="4">
        <f t="shared" si="1123"/>
        <v>0</v>
      </c>
      <c r="Y607" s="4">
        <f t="shared" si="1124"/>
        <v>1</v>
      </c>
      <c r="Z607" s="4">
        <f t="shared" si="1125"/>
        <v>0</v>
      </c>
      <c r="AA607" s="4">
        <f t="shared" si="1126"/>
        <v>0</v>
      </c>
      <c r="AB607" s="4">
        <f t="shared" si="1127"/>
        <v>0</v>
      </c>
      <c r="AD607" s="4" t="b">
        <f t="shared" si="1128"/>
        <v>0</v>
      </c>
      <c r="AE607" s="4" t="b">
        <f t="shared" si="1129"/>
        <v>0</v>
      </c>
      <c r="AF607" s="4" t="b">
        <f t="shared" si="1130"/>
        <v>0</v>
      </c>
      <c r="AG607" t="b">
        <f t="shared" si="1131"/>
        <v>0</v>
      </c>
      <c r="AH607" t="b">
        <f t="shared" si="1132"/>
        <v>0</v>
      </c>
      <c r="AI607" t="b">
        <f t="shared" si="1133"/>
        <v>0</v>
      </c>
      <c r="AJ607" t="b">
        <f t="shared" si="1134"/>
        <v>0</v>
      </c>
      <c r="AK607" t="b">
        <f t="shared" si="1135"/>
        <v>0</v>
      </c>
      <c r="AL607" t="b">
        <f t="shared" si="1136"/>
        <v>0</v>
      </c>
      <c r="AM607" t="b">
        <f t="shared" si="1137"/>
        <v>0</v>
      </c>
      <c r="AN607" t="b">
        <f t="shared" si="1138"/>
        <v>0</v>
      </c>
      <c r="AO607" t="b">
        <f t="shared" si="1139"/>
        <v>0</v>
      </c>
      <c r="AP607" t="b">
        <f t="shared" si="1140"/>
        <v>0</v>
      </c>
      <c r="AQ607" t="b">
        <f t="shared" si="1141"/>
        <v>0</v>
      </c>
      <c r="AR607" t="b">
        <f t="shared" si="1142"/>
        <v>0</v>
      </c>
      <c r="AS607" t="b">
        <f t="shared" si="1143"/>
        <v>0</v>
      </c>
      <c r="AT607" t="b">
        <f t="shared" si="1144"/>
        <v>0</v>
      </c>
      <c r="AU607" t="b">
        <f t="shared" si="1145"/>
        <v>0</v>
      </c>
      <c r="AV607" t="b">
        <f t="shared" si="1146"/>
        <v>0</v>
      </c>
      <c r="AW607" t="b">
        <f t="shared" si="1147"/>
        <v>0</v>
      </c>
      <c r="AX607" t="b">
        <f t="shared" si="1149"/>
        <v>0</v>
      </c>
      <c r="AY607" t="b">
        <f t="shared" si="1150"/>
        <v>0</v>
      </c>
      <c r="AZ607" t="b">
        <f t="shared" si="1151"/>
        <v>0</v>
      </c>
      <c r="BA607" t="b">
        <f t="shared" si="1152"/>
        <v>0</v>
      </c>
      <c r="BB607" t="b">
        <f t="shared" si="1153"/>
        <v>0</v>
      </c>
      <c r="BC607" t="b">
        <f t="shared" si="1154"/>
        <v>0</v>
      </c>
      <c r="BD607" t="b">
        <f t="shared" si="1155"/>
        <v>0</v>
      </c>
      <c r="BE607" t="b">
        <f t="shared" si="1156"/>
        <v>0</v>
      </c>
      <c r="BF607" t="b">
        <f t="shared" si="1157"/>
        <v>0</v>
      </c>
      <c r="BG607" t="b">
        <f t="shared" si="1158"/>
        <v>0</v>
      </c>
      <c r="BH607" t="b">
        <f t="shared" si="1159"/>
        <v>0</v>
      </c>
      <c r="BI607">
        <f t="shared" si="1160"/>
        <v>1</v>
      </c>
      <c r="BJ607">
        <f t="shared" si="1161"/>
        <v>1</v>
      </c>
      <c r="BK607" t="b">
        <f t="shared" si="1162"/>
        <v>0</v>
      </c>
      <c r="BL607" t="b">
        <f t="shared" si="1163"/>
        <v>0</v>
      </c>
      <c r="BM607" t="b">
        <f t="shared" si="1164"/>
        <v>0</v>
      </c>
      <c r="BN607" t="b">
        <f t="shared" si="1165"/>
        <v>0</v>
      </c>
      <c r="BO607" t="b">
        <f t="shared" si="1166"/>
        <v>0</v>
      </c>
      <c r="BP607" t="b">
        <f t="shared" si="1167"/>
        <v>0</v>
      </c>
      <c r="BQ607" t="b">
        <f t="shared" si="1168"/>
        <v>0</v>
      </c>
      <c r="BR607" t="b">
        <f t="shared" si="1169"/>
        <v>0</v>
      </c>
      <c r="BS607" t="b">
        <f t="shared" si="1170"/>
        <v>0</v>
      </c>
      <c r="BT607" t="b">
        <f t="shared" si="1171"/>
        <v>0</v>
      </c>
      <c r="BU607" t="b">
        <f t="shared" si="1172"/>
        <v>0</v>
      </c>
      <c r="BV607" t="b">
        <f t="shared" si="1173"/>
        <v>0</v>
      </c>
      <c r="BW607" t="b">
        <f t="shared" si="1174"/>
        <v>0</v>
      </c>
      <c r="BX607" t="b">
        <f t="shared" si="1175"/>
        <v>0</v>
      </c>
      <c r="BY607" t="b">
        <f t="shared" si="1176"/>
        <v>0</v>
      </c>
      <c r="BZ607" t="b">
        <f t="shared" si="1177"/>
        <v>0</v>
      </c>
      <c r="CA607" t="b">
        <f t="shared" si="1178"/>
        <v>0</v>
      </c>
      <c r="CB607" t="b">
        <f t="shared" si="1179"/>
        <v>0</v>
      </c>
      <c r="CC607" t="b">
        <f t="shared" si="1180"/>
        <v>0</v>
      </c>
      <c r="CD607" t="b">
        <f t="shared" si="1181"/>
        <v>0</v>
      </c>
      <c r="CE607">
        <f t="shared" si="1182"/>
        <v>1</v>
      </c>
      <c r="CF607" t="b">
        <f t="shared" si="1183"/>
        <v>0</v>
      </c>
      <c r="CG607" t="b">
        <f t="shared" si="1184"/>
        <v>0</v>
      </c>
      <c r="CH607" t="b">
        <f t="shared" si="1185"/>
        <v>0</v>
      </c>
      <c r="CI607" t="b">
        <f t="shared" si="1186"/>
        <v>0</v>
      </c>
      <c r="CJ607" t="b">
        <f t="shared" si="1187"/>
        <v>0</v>
      </c>
      <c r="CK607" t="b">
        <f t="shared" si="1188"/>
        <v>0</v>
      </c>
      <c r="CL607" t="b">
        <f t="shared" si="1189"/>
        <v>0</v>
      </c>
      <c r="CM607">
        <f t="shared" si="1190"/>
        <v>1</v>
      </c>
      <c r="CN607" t="b">
        <f t="shared" si="1191"/>
        <v>0</v>
      </c>
      <c r="CO607" t="b">
        <f t="shared" si="1192"/>
        <v>0</v>
      </c>
      <c r="CP607" t="b">
        <f t="shared" si="1193"/>
        <v>0</v>
      </c>
      <c r="CQ607" t="b">
        <f t="shared" si="1194"/>
        <v>0</v>
      </c>
      <c r="CR607" t="b">
        <f t="shared" si="1195"/>
        <v>0</v>
      </c>
      <c r="CS607" t="b">
        <f t="shared" si="1196"/>
        <v>0</v>
      </c>
      <c r="CT607" t="b">
        <f t="shared" si="1197"/>
        <v>0</v>
      </c>
      <c r="CU607" t="b">
        <f t="shared" si="1198"/>
        <v>0</v>
      </c>
      <c r="CV607" t="b">
        <f t="shared" si="1199"/>
        <v>0</v>
      </c>
      <c r="CW607" t="b">
        <f t="shared" si="1200"/>
        <v>0</v>
      </c>
      <c r="CX607" t="b">
        <f t="shared" si="1201"/>
        <v>0</v>
      </c>
      <c r="CY607" t="b">
        <f t="shared" si="1202"/>
        <v>0</v>
      </c>
      <c r="CZ607" t="b">
        <f t="shared" si="1203"/>
        <v>0</v>
      </c>
      <c r="DA607" t="b">
        <f t="shared" si="1204"/>
        <v>0</v>
      </c>
      <c r="DB607">
        <f t="shared" si="1205"/>
        <v>1</v>
      </c>
      <c r="DC607" t="b">
        <f t="shared" si="1206"/>
        <v>0</v>
      </c>
      <c r="DD607" t="b">
        <f t="shared" si="1207"/>
        <v>0</v>
      </c>
      <c r="DE607" t="b">
        <f t="shared" si="1208"/>
        <v>0</v>
      </c>
      <c r="DF607" t="b">
        <f t="shared" si="1209"/>
        <v>0</v>
      </c>
      <c r="DG607" t="b">
        <f t="shared" si="1210"/>
        <v>0</v>
      </c>
      <c r="DH607" t="b">
        <f t="shared" si="1211"/>
        <v>0</v>
      </c>
      <c r="DI607" t="b">
        <f t="shared" si="1212"/>
        <v>0</v>
      </c>
      <c r="DJ607">
        <f t="shared" si="1213"/>
        <v>1</v>
      </c>
      <c r="DK607" t="b">
        <f t="shared" si="1214"/>
        <v>0</v>
      </c>
      <c r="DL607" t="b">
        <f t="shared" si="1215"/>
        <v>0</v>
      </c>
      <c r="DM607" t="b">
        <f t="shared" si="1216"/>
        <v>0</v>
      </c>
      <c r="DN607" t="b">
        <f t="shared" si="1217"/>
        <v>0</v>
      </c>
      <c r="DO607" t="b">
        <f t="shared" si="1218"/>
        <v>0</v>
      </c>
      <c r="DP607" t="b">
        <f t="shared" si="1219"/>
        <v>0</v>
      </c>
      <c r="DQ607" t="b">
        <f t="shared" si="1220"/>
        <v>0</v>
      </c>
      <c r="DR607" t="b">
        <f t="shared" si="1221"/>
        <v>0</v>
      </c>
      <c r="DS607" t="b">
        <f t="shared" si="1222"/>
        <v>0</v>
      </c>
      <c r="DT607" t="b">
        <f t="shared" si="1223"/>
        <v>0</v>
      </c>
      <c r="DU607" t="b">
        <f t="shared" si="1224"/>
        <v>0</v>
      </c>
      <c r="DV607" t="b">
        <f t="shared" si="1225"/>
        <v>0</v>
      </c>
      <c r="DW607" t="b">
        <f t="shared" si="1226"/>
        <v>0</v>
      </c>
      <c r="DX607" t="b">
        <f t="shared" si="1227"/>
        <v>0</v>
      </c>
      <c r="DY607" t="b">
        <f t="shared" si="1228"/>
        <v>0</v>
      </c>
      <c r="DZ607" t="b">
        <f t="shared" si="1229"/>
        <v>0</v>
      </c>
      <c r="EA607" t="b">
        <f t="shared" si="1230"/>
        <v>0</v>
      </c>
      <c r="EB607" t="b">
        <f t="shared" si="1231"/>
        <v>0</v>
      </c>
      <c r="EC607" t="b">
        <f t="shared" si="1232"/>
        <v>0</v>
      </c>
      <c r="ED607" t="b">
        <f t="shared" si="1233"/>
        <v>0</v>
      </c>
      <c r="EE607" t="b">
        <f t="shared" si="1234"/>
        <v>0</v>
      </c>
      <c r="EF607" t="b">
        <f t="shared" si="1235"/>
        <v>0</v>
      </c>
      <c r="EG607" t="b">
        <f t="shared" si="1236"/>
        <v>0</v>
      </c>
      <c r="EH607" t="b">
        <f t="shared" si="1237"/>
        <v>0</v>
      </c>
      <c r="EI607" t="b">
        <f t="shared" si="1238"/>
        <v>0</v>
      </c>
      <c r="EJ607" t="b">
        <f t="shared" si="1239"/>
        <v>0</v>
      </c>
      <c r="EK607" t="b">
        <f t="shared" si="1240"/>
        <v>0</v>
      </c>
    </row>
    <row r="608" spans="1:141">
      <c r="A608" t="s">
        <v>3055</v>
      </c>
      <c r="B608" t="s">
        <v>3056</v>
      </c>
      <c r="C608" t="s">
        <v>3057</v>
      </c>
      <c r="D608" s="1">
        <v>43190</v>
      </c>
      <c r="E608" s="2">
        <v>44705.993460648147</v>
      </c>
      <c r="F608" s="2">
        <v>44705.993460648147</v>
      </c>
      <c r="G608">
        <v>52485</v>
      </c>
      <c r="H608" t="s">
        <v>3058</v>
      </c>
      <c r="I608" s="10" t="s">
        <v>3059</v>
      </c>
      <c r="J608" t="s">
        <v>3060</v>
      </c>
      <c r="K608" s="8" t="b">
        <v>1</v>
      </c>
      <c r="L608" s="10" t="b">
        <v>0</v>
      </c>
      <c r="M608" s="12" t="b">
        <v>0</v>
      </c>
      <c r="N608" t="b">
        <v>0</v>
      </c>
      <c r="O608" t="b">
        <v>0</v>
      </c>
      <c r="P608" t="b">
        <v>0</v>
      </c>
      <c r="Q608">
        <f t="shared" si="1117"/>
        <v>7</v>
      </c>
      <c r="R608">
        <f t="shared" si="1118"/>
        <v>3</v>
      </c>
      <c r="S608" t="e">
        <f t="shared" ca="1" si="1148"/>
        <v>#NAME?</v>
      </c>
      <c r="T608" t="e">
        <f t="shared" ca="1" si="1119"/>
        <v>#NAME?</v>
      </c>
      <c r="U608" s="4">
        <f t="shared" si="1120"/>
        <v>1515.9934606481474</v>
      </c>
      <c r="V608" s="4">
        <f t="shared" si="1121"/>
        <v>50.533115354938246</v>
      </c>
      <c r="W608" s="4">
        <f t="shared" si="1122"/>
        <v>1</v>
      </c>
      <c r="X608" s="4">
        <f t="shared" si="1123"/>
        <v>0</v>
      </c>
      <c r="Y608" s="4">
        <f t="shared" si="1124"/>
        <v>0</v>
      </c>
      <c r="Z608" s="4">
        <f t="shared" si="1125"/>
        <v>0</v>
      </c>
      <c r="AA608" s="4">
        <f t="shared" si="1126"/>
        <v>0</v>
      </c>
      <c r="AB608" s="4">
        <f t="shared" si="1127"/>
        <v>0</v>
      </c>
      <c r="AD608" s="4" t="b">
        <f t="shared" si="1128"/>
        <v>0</v>
      </c>
      <c r="AE608" s="4" t="b">
        <f t="shared" si="1129"/>
        <v>0</v>
      </c>
      <c r="AF608" s="4" t="b">
        <f t="shared" si="1130"/>
        <v>0</v>
      </c>
      <c r="AG608" t="b">
        <f t="shared" si="1131"/>
        <v>0</v>
      </c>
      <c r="AH608" t="b">
        <f t="shared" si="1132"/>
        <v>0</v>
      </c>
      <c r="AI608" t="b">
        <f t="shared" si="1133"/>
        <v>0</v>
      </c>
      <c r="AJ608" t="b">
        <f t="shared" si="1134"/>
        <v>0</v>
      </c>
      <c r="AK608" t="b">
        <f t="shared" si="1135"/>
        <v>0</v>
      </c>
      <c r="AL608" t="b">
        <f t="shared" si="1136"/>
        <v>0</v>
      </c>
      <c r="AM608" t="b">
        <f t="shared" si="1137"/>
        <v>0</v>
      </c>
      <c r="AN608" t="b">
        <f t="shared" si="1138"/>
        <v>0</v>
      </c>
      <c r="AO608" t="b">
        <f t="shared" si="1139"/>
        <v>0</v>
      </c>
      <c r="AP608" t="b">
        <f t="shared" si="1140"/>
        <v>0</v>
      </c>
      <c r="AQ608" t="b">
        <f t="shared" si="1141"/>
        <v>0</v>
      </c>
      <c r="AR608" t="b">
        <f t="shared" si="1142"/>
        <v>0</v>
      </c>
      <c r="AS608" t="b">
        <f t="shared" si="1143"/>
        <v>0</v>
      </c>
      <c r="AT608" t="b">
        <f t="shared" si="1144"/>
        <v>0</v>
      </c>
      <c r="AU608" t="b">
        <f t="shared" si="1145"/>
        <v>0</v>
      </c>
      <c r="AV608" t="b">
        <f t="shared" si="1146"/>
        <v>0</v>
      </c>
      <c r="AW608" t="b">
        <f t="shared" si="1147"/>
        <v>0</v>
      </c>
      <c r="AX608" t="b">
        <f t="shared" si="1149"/>
        <v>0</v>
      </c>
      <c r="AY608" t="b">
        <f t="shared" si="1150"/>
        <v>0</v>
      </c>
      <c r="AZ608" t="b">
        <f t="shared" si="1151"/>
        <v>0</v>
      </c>
      <c r="BA608" t="b">
        <f t="shared" si="1152"/>
        <v>0</v>
      </c>
      <c r="BB608" t="b">
        <f t="shared" si="1153"/>
        <v>0</v>
      </c>
      <c r="BC608" t="b">
        <f t="shared" si="1154"/>
        <v>0</v>
      </c>
      <c r="BD608" t="b">
        <f t="shared" si="1155"/>
        <v>0</v>
      </c>
      <c r="BE608" t="b">
        <f t="shared" si="1156"/>
        <v>0</v>
      </c>
      <c r="BF608" t="b">
        <f t="shared" si="1157"/>
        <v>0</v>
      </c>
      <c r="BG608" t="b">
        <f t="shared" si="1158"/>
        <v>0</v>
      </c>
      <c r="BH608">
        <f t="shared" si="1159"/>
        <v>1</v>
      </c>
      <c r="BI608">
        <f t="shared" si="1160"/>
        <v>1</v>
      </c>
      <c r="BJ608" t="b">
        <f t="shared" si="1161"/>
        <v>0</v>
      </c>
      <c r="BK608" t="b">
        <f t="shared" si="1162"/>
        <v>0</v>
      </c>
      <c r="BL608" t="b">
        <f t="shared" si="1163"/>
        <v>0</v>
      </c>
      <c r="BM608" t="b">
        <f t="shared" si="1164"/>
        <v>0</v>
      </c>
      <c r="BN608" t="b">
        <f t="shared" si="1165"/>
        <v>0</v>
      </c>
      <c r="BO608" t="b">
        <f t="shared" si="1166"/>
        <v>0</v>
      </c>
      <c r="BP608" t="b">
        <f t="shared" si="1167"/>
        <v>0</v>
      </c>
      <c r="BQ608" t="b">
        <f t="shared" si="1168"/>
        <v>0</v>
      </c>
      <c r="BR608" t="b">
        <f t="shared" si="1169"/>
        <v>0</v>
      </c>
      <c r="BS608" t="b">
        <f t="shared" si="1170"/>
        <v>0</v>
      </c>
      <c r="BT608" t="b">
        <f t="shared" si="1171"/>
        <v>0</v>
      </c>
      <c r="BU608" t="b">
        <f t="shared" si="1172"/>
        <v>0</v>
      </c>
      <c r="BV608" t="b">
        <f t="shared" si="1173"/>
        <v>0</v>
      </c>
      <c r="BW608" t="b">
        <f t="shared" si="1174"/>
        <v>0</v>
      </c>
      <c r="BX608" t="b">
        <f t="shared" si="1175"/>
        <v>0</v>
      </c>
      <c r="BY608" t="b">
        <f t="shared" si="1176"/>
        <v>0</v>
      </c>
      <c r="BZ608" t="b">
        <f t="shared" si="1177"/>
        <v>0</v>
      </c>
      <c r="CA608" t="b">
        <f t="shared" si="1178"/>
        <v>0</v>
      </c>
      <c r="CB608" t="b">
        <f t="shared" si="1179"/>
        <v>0</v>
      </c>
      <c r="CC608" t="b">
        <f t="shared" si="1180"/>
        <v>0</v>
      </c>
      <c r="CD608" t="b">
        <f t="shared" si="1181"/>
        <v>0</v>
      </c>
      <c r="CE608">
        <f t="shared" si="1182"/>
        <v>1</v>
      </c>
      <c r="CF608" t="b">
        <f t="shared" si="1183"/>
        <v>0</v>
      </c>
      <c r="CG608" t="b">
        <f t="shared" si="1184"/>
        <v>0</v>
      </c>
      <c r="CH608" t="b">
        <f t="shared" si="1185"/>
        <v>0</v>
      </c>
      <c r="CI608" t="b">
        <f t="shared" si="1186"/>
        <v>0</v>
      </c>
      <c r="CJ608" t="b">
        <f t="shared" si="1187"/>
        <v>0</v>
      </c>
      <c r="CK608" t="b">
        <f t="shared" si="1188"/>
        <v>0</v>
      </c>
      <c r="CL608" t="b">
        <f t="shared" si="1189"/>
        <v>0</v>
      </c>
      <c r="CM608">
        <f t="shared" si="1190"/>
        <v>1</v>
      </c>
      <c r="CN608" t="b">
        <f t="shared" si="1191"/>
        <v>0</v>
      </c>
      <c r="CO608" t="b">
        <f t="shared" si="1192"/>
        <v>0</v>
      </c>
      <c r="CP608" t="b">
        <f t="shared" si="1193"/>
        <v>0</v>
      </c>
      <c r="CQ608" t="b">
        <f t="shared" si="1194"/>
        <v>0</v>
      </c>
      <c r="CR608" t="b">
        <f t="shared" si="1195"/>
        <v>0</v>
      </c>
      <c r="CS608" t="b">
        <f t="shared" si="1196"/>
        <v>0</v>
      </c>
      <c r="CT608" t="b">
        <f t="shared" si="1197"/>
        <v>0</v>
      </c>
      <c r="CU608" t="b">
        <f t="shared" si="1198"/>
        <v>0</v>
      </c>
      <c r="CV608">
        <f t="shared" si="1199"/>
        <v>1</v>
      </c>
      <c r="CW608" t="b">
        <f t="shared" si="1200"/>
        <v>0</v>
      </c>
      <c r="CX608" t="b">
        <f t="shared" si="1201"/>
        <v>0</v>
      </c>
      <c r="CY608" t="b">
        <f t="shared" si="1202"/>
        <v>0</v>
      </c>
      <c r="CZ608" t="b">
        <f t="shared" si="1203"/>
        <v>0</v>
      </c>
      <c r="DA608">
        <f t="shared" si="1204"/>
        <v>1</v>
      </c>
      <c r="DB608">
        <f t="shared" si="1205"/>
        <v>1</v>
      </c>
      <c r="DC608" t="b">
        <f t="shared" si="1206"/>
        <v>0</v>
      </c>
      <c r="DD608" t="b">
        <f t="shared" si="1207"/>
        <v>0</v>
      </c>
      <c r="DE608" t="b">
        <f t="shared" si="1208"/>
        <v>0</v>
      </c>
      <c r="DF608" t="b">
        <f t="shared" si="1209"/>
        <v>0</v>
      </c>
      <c r="DG608" t="b">
        <f t="shared" si="1210"/>
        <v>0</v>
      </c>
      <c r="DH608" t="b">
        <f t="shared" si="1211"/>
        <v>0</v>
      </c>
      <c r="DI608" t="b">
        <f t="shared" si="1212"/>
        <v>0</v>
      </c>
      <c r="DJ608" t="b">
        <f t="shared" si="1213"/>
        <v>0</v>
      </c>
      <c r="DK608" t="b">
        <f t="shared" si="1214"/>
        <v>0</v>
      </c>
      <c r="DL608" t="b">
        <f t="shared" si="1215"/>
        <v>0</v>
      </c>
      <c r="DM608" t="b">
        <f t="shared" si="1216"/>
        <v>0</v>
      </c>
      <c r="DN608" t="b">
        <f t="shared" si="1217"/>
        <v>0</v>
      </c>
      <c r="DO608" t="b">
        <f t="shared" si="1218"/>
        <v>0</v>
      </c>
      <c r="DP608" t="b">
        <f t="shared" si="1219"/>
        <v>0</v>
      </c>
      <c r="DQ608" t="b">
        <f t="shared" si="1220"/>
        <v>0</v>
      </c>
      <c r="DR608" t="b">
        <f t="shared" si="1221"/>
        <v>0</v>
      </c>
      <c r="DS608" t="b">
        <f t="shared" si="1222"/>
        <v>0</v>
      </c>
      <c r="DT608" t="b">
        <f t="shared" si="1223"/>
        <v>0</v>
      </c>
      <c r="DU608" t="b">
        <f t="shared" si="1224"/>
        <v>0</v>
      </c>
      <c r="DV608" t="b">
        <f t="shared" si="1225"/>
        <v>0</v>
      </c>
      <c r="DW608" t="b">
        <f t="shared" si="1226"/>
        <v>0</v>
      </c>
      <c r="DX608" t="b">
        <f t="shared" si="1227"/>
        <v>0</v>
      </c>
      <c r="DY608" t="b">
        <f t="shared" si="1228"/>
        <v>0</v>
      </c>
      <c r="DZ608" t="b">
        <f t="shared" si="1229"/>
        <v>0</v>
      </c>
      <c r="EA608" t="b">
        <f t="shared" si="1230"/>
        <v>0</v>
      </c>
      <c r="EB608" t="b">
        <f t="shared" si="1231"/>
        <v>0</v>
      </c>
      <c r="EC608" t="b">
        <f t="shared" si="1232"/>
        <v>0</v>
      </c>
      <c r="ED608" t="b">
        <f t="shared" si="1233"/>
        <v>0</v>
      </c>
      <c r="EE608" t="b">
        <f t="shared" si="1234"/>
        <v>0</v>
      </c>
      <c r="EF608" t="b">
        <f t="shared" si="1235"/>
        <v>0</v>
      </c>
      <c r="EG608" t="b">
        <f t="shared" si="1236"/>
        <v>0</v>
      </c>
      <c r="EH608" t="b">
        <f t="shared" si="1237"/>
        <v>0</v>
      </c>
      <c r="EI608" t="b">
        <f t="shared" si="1238"/>
        <v>0</v>
      </c>
      <c r="EJ608" t="b">
        <f t="shared" si="1239"/>
        <v>0</v>
      </c>
      <c r="EK608" t="b">
        <f t="shared" si="1240"/>
        <v>0</v>
      </c>
    </row>
    <row r="609" spans="1:141">
      <c r="A609" t="s">
        <v>3061</v>
      </c>
      <c r="B609" t="s">
        <v>3061</v>
      </c>
      <c r="C609" t="s">
        <v>3062</v>
      </c>
      <c r="D609" s="1">
        <v>42548</v>
      </c>
      <c r="E609" s="2">
        <v>43551.076909722222</v>
      </c>
      <c r="F609" s="2">
        <v>43551.076909722222</v>
      </c>
      <c r="G609">
        <v>11657763</v>
      </c>
      <c r="H609" t="s">
        <v>3063</v>
      </c>
      <c r="I609" s="10" t="s">
        <v>3064</v>
      </c>
      <c r="J609" t="s">
        <v>2067</v>
      </c>
      <c r="K609" s="8" t="b">
        <v>1</v>
      </c>
      <c r="L609" s="10" t="b">
        <v>0</v>
      </c>
      <c r="M609" s="12" t="b">
        <v>0</v>
      </c>
      <c r="N609" t="b">
        <v>0</v>
      </c>
      <c r="O609" t="b">
        <v>0</v>
      </c>
      <c r="P609" t="b">
        <v>0</v>
      </c>
      <c r="Q609">
        <f t="shared" si="1117"/>
        <v>2</v>
      </c>
      <c r="R609">
        <f t="shared" si="1118"/>
        <v>6</v>
      </c>
      <c r="S609" t="e">
        <f t="shared" ca="1" si="1148"/>
        <v>#NAME?</v>
      </c>
      <c r="T609" t="e">
        <f t="shared" ca="1" si="1119"/>
        <v>#NAME?</v>
      </c>
      <c r="U609" s="4">
        <f t="shared" si="1120"/>
        <v>1003.0769097222219</v>
      </c>
      <c r="V609" s="4">
        <f t="shared" si="1121"/>
        <v>33.43589699074073</v>
      </c>
      <c r="W609" s="4">
        <f t="shared" si="1122"/>
        <v>1</v>
      </c>
      <c r="X609" s="4">
        <f t="shared" si="1123"/>
        <v>0</v>
      </c>
      <c r="Y609" s="4">
        <f t="shared" si="1124"/>
        <v>0</v>
      </c>
      <c r="Z609" s="4">
        <f t="shared" si="1125"/>
        <v>0</v>
      </c>
      <c r="AA609" s="4">
        <f t="shared" si="1126"/>
        <v>0</v>
      </c>
      <c r="AB609" s="4">
        <f t="shared" si="1127"/>
        <v>0</v>
      </c>
      <c r="AD609" s="4" t="b">
        <f t="shared" si="1128"/>
        <v>0</v>
      </c>
      <c r="AE609" s="4" t="b">
        <f t="shared" si="1129"/>
        <v>0</v>
      </c>
      <c r="AF609" s="4" t="b">
        <f t="shared" si="1130"/>
        <v>0</v>
      </c>
      <c r="AG609" t="b">
        <f t="shared" si="1131"/>
        <v>0</v>
      </c>
      <c r="AH609" t="b">
        <f t="shared" si="1132"/>
        <v>0</v>
      </c>
      <c r="AI609" t="b">
        <f t="shared" si="1133"/>
        <v>0</v>
      </c>
      <c r="AJ609" t="b">
        <f t="shared" si="1134"/>
        <v>0</v>
      </c>
      <c r="AK609" t="b">
        <f t="shared" si="1135"/>
        <v>0</v>
      </c>
      <c r="AL609" t="b">
        <f t="shared" si="1136"/>
        <v>0</v>
      </c>
      <c r="AM609" t="b">
        <f t="shared" si="1137"/>
        <v>0</v>
      </c>
      <c r="AN609" t="b">
        <f t="shared" si="1138"/>
        <v>0</v>
      </c>
      <c r="AO609" t="b">
        <f t="shared" si="1139"/>
        <v>0</v>
      </c>
      <c r="AP609" t="b">
        <f t="shared" si="1140"/>
        <v>0</v>
      </c>
      <c r="AQ609" t="b">
        <f t="shared" si="1141"/>
        <v>0</v>
      </c>
      <c r="AR609" t="b">
        <f t="shared" si="1142"/>
        <v>0</v>
      </c>
      <c r="AS609" t="b">
        <f t="shared" si="1143"/>
        <v>0</v>
      </c>
      <c r="AT609" t="b">
        <f t="shared" si="1144"/>
        <v>0</v>
      </c>
      <c r="AU609" t="b">
        <f t="shared" si="1145"/>
        <v>0</v>
      </c>
      <c r="AV609" t="b">
        <f t="shared" si="1146"/>
        <v>0</v>
      </c>
      <c r="AW609" t="b">
        <f t="shared" si="1147"/>
        <v>0</v>
      </c>
      <c r="AX609" t="b">
        <f t="shared" si="1149"/>
        <v>0</v>
      </c>
      <c r="AY609" t="b">
        <f t="shared" si="1150"/>
        <v>0</v>
      </c>
      <c r="AZ609" t="b">
        <f t="shared" si="1151"/>
        <v>0</v>
      </c>
      <c r="BA609" t="b">
        <f t="shared" si="1152"/>
        <v>0</v>
      </c>
      <c r="BB609" t="b">
        <f t="shared" si="1153"/>
        <v>0</v>
      </c>
      <c r="BC609" t="b">
        <f t="shared" si="1154"/>
        <v>0</v>
      </c>
      <c r="BD609" t="b">
        <f t="shared" si="1155"/>
        <v>0</v>
      </c>
      <c r="BE609" t="b">
        <f t="shared" si="1156"/>
        <v>0</v>
      </c>
      <c r="BF609" t="b">
        <f t="shared" si="1157"/>
        <v>0</v>
      </c>
      <c r="BG609" t="b">
        <f t="shared" si="1158"/>
        <v>0</v>
      </c>
      <c r="BH609" t="b">
        <f t="shared" si="1159"/>
        <v>0</v>
      </c>
      <c r="BI609">
        <f t="shared" si="1160"/>
        <v>1</v>
      </c>
      <c r="BJ609" t="b">
        <f t="shared" si="1161"/>
        <v>0</v>
      </c>
      <c r="BK609" t="b">
        <f t="shared" si="1162"/>
        <v>0</v>
      </c>
      <c r="BL609" t="b">
        <f t="shared" si="1163"/>
        <v>0</v>
      </c>
      <c r="BM609" t="b">
        <f t="shared" si="1164"/>
        <v>0</v>
      </c>
      <c r="BN609" t="b">
        <f t="shared" si="1165"/>
        <v>0</v>
      </c>
      <c r="BO609" t="b">
        <f t="shared" si="1166"/>
        <v>0</v>
      </c>
      <c r="BP609" t="b">
        <f t="shared" si="1167"/>
        <v>0</v>
      </c>
      <c r="BQ609" t="b">
        <f t="shared" si="1168"/>
        <v>0</v>
      </c>
      <c r="BR609" t="b">
        <f t="shared" si="1169"/>
        <v>0</v>
      </c>
      <c r="BS609" t="b">
        <f t="shared" si="1170"/>
        <v>0</v>
      </c>
      <c r="BT609" t="b">
        <f t="shared" si="1171"/>
        <v>0</v>
      </c>
      <c r="BU609" t="b">
        <f t="shared" si="1172"/>
        <v>0</v>
      </c>
      <c r="BV609" t="b">
        <f t="shared" si="1173"/>
        <v>0</v>
      </c>
      <c r="BW609" t="b">
        <f t="shared" si="1174"/>
        <v>0</v>
      </c>
      <c r="BX609" t="b">
        <f t="shared" si="1175"/>
        <v>0</v>
      </c>
      <c r="BY609" t="b">
        <f t="shared" si="1176"/>
        <v>0</v>
      </c>
      <c r="BZ609" t="b">
        <f t="shared" si="1177"/>
        <v>0</v>
      </c>
      <c r="CA609" t="b">
        <f t="shared" si="1178"/>
        <v>0</v>
      </c>
      <c r="CB609" t="b">
        <f t="shared" si="1179"/>
        <v>0</v>
      </c>
      <c r="CC609" t="b">
        <f t="shared" si="1180"/>
        <v>0</v>
      </c>
      <c r="CD609" t="b">
        <f t="shared" si="1181"/>
        <v>0</v>
      </c>
      <c r="CE609" t="b">
        <f t="shared" si="1182"/>
        <v>0</v>
      </c>
      <c r="CF609" t="b">
        <f t="shared" si="1183"/>
        <v>0</v>
      </c>
      <c r="CG609" t="b">
        <f t="shared" si="1184"/>
        <v>0</v>
      </c>
      <c r="CH609" t="b">
        <f t="shared" si="1185"/>
        <v>0</v>
      </c>
      <c r="CI609" t="b">
        <f t="shared" si="1186"/>
        <v>0</v>
      </c>
      <c r="CJ609" t="b">
        <f t="shared" si="1187"/>
        <v>0</v>
      </c>
      <c r="CK609" t="b">
        <f t="shared" si="1188"/>
        <v>0</v>
      </c>
      <c r="CL609" t="b">
        <f t="shared" si="1189"/>
        <v>0</v>
      </c>
      <c r="CM609">
        <f t="shared" si="1190"/>
        <v>1</v>
      </c>
      <c r="CN609" t="b">
        <f t="shared" si="1191"/>
        <v>0</v>
      </c>
      <c r="CO609" t="b">
        <f t="shared" si="1192"/>
        <v>0</v>
      </c>
      <c r="CP609" t="b">
        <f t="shared" si="1193"/>
        <v>0</v>
      </c>
      <c r="CQ609" t="b">
        <f t="shared" si="1194"/>
        <v>0</v>
      </c>
      <c r="CR609" t="b">
        <f t="shared" si="1195"/>
        <v>0</v>
      </c>
      <c r="CS609" t="b">
        <f t="shared" si="1196"/>
        <v>0</v>
      </c>
      <c r="CT609" t="b">
        <f t="shared" si="1197"/>
        <v>0</v>
      </c>
      <c r="CU609" t="b">
        <f t="shared" si="1198"/>
        <v>0</v>
      </c>
      <c r="CV609">
        <f t="shared" si="1199"/>
        <v>1</v>
      </c>
      <c r="CW609" t="b">
        <f t="shared" si="1200"/>
        <v>0</v>
      </c>
      <c r="CX609" t="b">
        <f t="shared" si="1201"/>
        <v>0</v>
      </c>
      <c r="CY609" t="b">
        <f t="shared" si="1202"/>
        <v>0</v>
      </c>
      <c r="CZ609" t="b">
        <f t="shared" si="1203"/>
        <v>0</v>
      </c>
      <c r="DA609" t="b">
        <f t="shared" si="1204"/>
        <v>0</v>
      </c>
      <c r="DB609" t="b">
        <f t="shared" si="1205"/>
        <v>0</v>
      </c>
      <c r="DC609" t="b">
        <f t="shared" si="1206"/>
        <v>0</v>
      </c>
      <c r="DD609" t="b">
        <f t="shared" si="1207"/>
        <v>0</v>
      </c>
      <c r="DE609" t="b">
        <f t="shared" si="1208"/>
        <v>0</v>
      </c>
      <c r="DF609" t="b">
        <f t="shared" si="1209"/>
        <v>0</v>
      </c>
      <c r="DG609" t="b">
        <f t="shared" si="1210"/>
        <v>0</v>
      </c>
      <c r="DH609" t="b">
        <f t="shared" si="1211"/>
        <v>0</v>
      </c>
      <c r="DI609" t="b">
        <f t="shared" si="1212"/>
        <v>0</v>
      </c>
      <c r="DJ609" t="b">
        <f t="shared" si="1213"/>
        <v>0</v>
      </c>
      <c r="DK609" t="b">
        <f t="shared" si="1214"/>
        <v>0</v>
      </c>
      <c r="DL609" t="b">
        <f t="shared" si="1215"/>
        <v>0</v>
      </c>
      <c r="DM609" t="b">
        <f t="shared" si="1216"/>
        <v>0</v>
      </c>
      <c r="DN609" t="b">
        <f t="shared" si="1217"/>
        <v>0</v>
      </c>
      <c r="DO609" t="b">
        <f t="shared" si="1218"/>
        <v>0</v>
      </c>
      <c r="DP609" t="b">
        <f t="shared" si="1219"/>
        <v>0</v>
      </c>
      <c r="DQ609" t="b">
        <f t="shared" si="1220"/>
        <v>0</v>
      </c>
      <c r="DR609" t="b">
        <f t="shared" si="1221"/>
        <v>0</v>
      </c>
      <c r="DS609" t="b">
        <f t="shared" si="1222"/>
        <v>0</v>
      </c>
      <c r="DT609" t="b">
        <f t="shared" si="1223"/>
        <v>0</v>
      </c>
      <c r="DU609" t="b">
        <f t="shared" si="1224"/>
        <v>0</v>
      </c>
      <c r="DV609" t="b">
        <f t="shared" si="1225"/>
        <v>0</v>
      </c>
      <c r="DW609" t="b">
        <f t="shared" si="1226"/>
        <v>0</v>
      </c>
      <c r="DX609" t="b">
        <f t="shared" si="1227"/>
        <v>0</v>
      </c>
      <c r="DY609" t="b">
        <f t="shared" si="1228"/>
        <v>0</v>
      </c>
      <c r="DZ609" t="b">
        <f t="shared" si="1229"/>
        <v>0</v>
      </c>
      <c r="EA609" t="b">
        <f t="shared" si="1230"/>
        <v>0</v>
      </c>
      <c r="EB609" t="b">
        <f t="shared" si="1231"/>
        <v>0</v>
      </c>
      <c r="EC609" t="b">
        <f t="shared" si="1232"/>
        <v>0</v>
      </c>
      <c r="ED609" t="b">
        <f t="shared" si="1233"/>
        <v>0</v>
      </c>
      <c r="EE609" t="b">
        <f t="shared" si="1234"/>
        <v>0</v>
      </c>
      <c r="EF609" t="b">
        <f t="shared" si="1235"/>
        <v>0</v>
      </c>
      <c r="EG609" t="b">
        <f t="shared" si="1236"/>
        <v>0</v>
      </c>
      <c r="EH609" t="b">
        <f t="shared" si="1237"/>
        <v>0</v>
      </c>
      <c r="EI609" t="b">
        <f t="shared" si="1238"/>
        <v>0</v>
      </c>
      <c r="EJ609" t="b">
        <f t="shared" si="1239"/>
        <v>0</v>
      </c>
      <c r="EK609" t="b">
        <f t="shared" si="1240"/>
        <v>0</v>
      </c>
    </row>
    <row r="610" spans="1:141">
      <c r="A610" t="s">
        <v>3065</v>
      </c>
      <c r="B610" t="s">
        <v>3065</v>
      </c>
      <c r="C610" t="s">
        <v>3066</v>
      </c>
      <c r="D610" s="1">
        <v>41050</v>
      </c>
      <c r="E610" s="2">
        <v>42549.991053240738</v>
      </c>
      <c r="F610" s="2">
        <v>42549.991053240738</v>
      </c>
      <c r="G610">
        <v>134047</v>
      </c>
      <c r="H610" t="s">
        <v>3067</v>
      </c>
      <c r="I610" s="10" t="s">
        <v>3068</v>
      </c>
      <c r="J610" t="s">
        <v>3069</v>
      </c>
      <c r="K610" s="8" t="b">
        <v>1</v>
      </c>
      <c r="L610" s="10" t="b">
        <v>0</v>
      </c>
      <c r="M610" s="12" t="b">
        <v>0</v>
      </c>
      <c r="N610" t="b">
        <v>0</v>
      </c>
      <c r="O610" t="b">
        <v>0</v>
      </c>
      <c r="P610" t="b">
        <v>0</v>
      </c>
      <c r="Q610">
        <f t="shared" si="1117"/>
        <v>2</v>
      </c>
      <c r="R610">
        <f t="shared" si="1118"/>
        <v>5</v>
      </c>
      <c r="S610" t="e">
        <f t="shared" ca="1" si="1148"/>
        <v>#NAME?</v>
      </c>
      <c r="T610" t="e">
        <f t="shared" ca="1" si="1119"/>
        <v>#NAME?</v>
      </c>
      <c r="U610" s="4">
        <f t="shared" si="1120"/>
        <v>1499.9910532407375</v>
      </c>
      <c r="V610" s="4">
        <f t="shared" si="1121"/>
        <v>49.999701774691253</v>
      </c>
      <c r="W610" s="4">
        <f t="shared" si="1122"/>
        <v>1</v>
      </c>
      <c r="X610" s="4">
        <f t="shared" si="1123"/>
        <v>0</v>
      </c>
      <c r="Y610" s="4">
        <f t="shared" si="1124"/>
        <v>0</v>
      </c>
      <c r="Z610" s="4">
        <f t="shared" si="1125"/>
        <v>0</v>
      </c>
      <c r="AA610" s="4">
        <f t="shared" si="1126"/>
        <v>0</v>
      </c>
      <c r="AB610" s="4">
        <f t="shared" si="1127"/>
        <v>0</v>
      </c>
      <c r="AD610" s="4" t="b">
        <f t="shared" si="1128"/>
        <v>0</v>
      </c>
      <c r="AE610" s="4" t="b">
        <f t="shared" si="1129"/>
        <v>0</v>
      </c>
      <c r="AF610" s="4" t="b">
        <f t="shared" si="1130"/>
        <v>0</v>
      </c>
      <c r="AG610" t="b">
        <f t="shared" si="1131"/>
        <v>0</v>
      </c>
      <c r="AH610" t="b">
        <f t="shared" si="1132"/>
        <v>0</v>
      </c>
      <c r="AI610" t="b">
        <f t="shared" si="1133"/>
        <v>0</v>
      </c>
      <c r="AJ610" t="b">
        <f t="shared" si="1134"/>
        <v>0</v>
      </c>
      <c r="AK610" t="b">
        <f t="shared" si="1135"/>
        <v>0</v>
      </c>
      <c r="AL610" t="b">
        <f t="shared" si="1136"/>
        <v>0</v>
      </c>
      <c r="AM610" t="b">
        <f t="shared" si="1137"/>
        <v>0</v>
      </c>
      <c r="AN610" t="b">
        <f t="shared" si="1138"/>
        <v>0</v>
      </c>
      <c r="AO610" t="b">
        <f t="shared" si="1139"/>
        <v>0</v>
      </c>
      <c r="AP610" t="b">
        <f t="shared" si="1140"/>
        <v>0</v>
      </c>
      <c r="AQ610" t="b">
        <f t="shared" si="1141"/>
        <v>0</v>
      </c>
      <c r="AR610" t="b">
        <f t="shared" si="1142"/>
        <v>0</v>
      </c>
      <c r="AS610" t="b">
        <f t="shared" si="1143"/>
        <v>0</v>
      </c>
      <c r="AT610" t="b">
        <f t="shared" si="1144"/>
        <v>0</v>
      </c>
      <c r="AU610" t="b">
        <f t="shared" si="1145"/>
        <v>0</v>
      </c>
      <c r="AV610" t="b">
        <f t="shared" si="1146"/>
        <v>0</v>
      </c>
      <c r="AW610" t="b">
        <f t="shared" si="1147"/>
        <v>0</v>
      </c>
      <c r="AX610" t="b">
        <f t="shared" si="1149"/>
        <v>0</v>
      </c>
      <c r="AY610" t="b">
        <f t="shared" si="1150"/>
        <v>0</v>
      </c>
      <c r="AZ610" t="b">
        <f t="shared" si="1151"/>
        <v>0</v>
      </c>
      <c r="BA610" t="b">
        <f t="shared" si="1152"/>
        <v>0</v>
      </c>
      <c r="BB610" t="b">
        <f t="shared" si="1153"/>
        <v>0</v>
      </c>
      <c r="BC610" t="b">
        <f t="shared" si="1154"/>
        <v>0</v>
      </c>
      <c r="BD610" t="b">
        <f t="shared" si="1155"/>
        <v>0</v>
      </c>
      <c r="BE610" t="b">
        <f t="shared" si="1156"/>
        <v>0</v>
      </c>
      <c r="BF610" t="b">
        <f t="shared" si="1157"/>
        <v>0</v>
      </c>
      <c r="BG610" t="b">
        <f t="shared" si="1158"/>
        <v>0</v>
      </c>
      <c r="BH610" t="b">
        <f t="shared" si="1159"/>
        <v>0</v>
      </c>
      <c r="BI610">
        <f t="shared" si="1160"/>
        <v>1</v>
      </c>
      <c r="BJ610">
        <f t="shared" si="1161"/>
        <v>1</v>
      </c>
      <c r="BK610" t="b">
        <f t="shared" si="1162"/>
        <v>0</v>
      </c>
      <c r="BL610" t="b">
        <f t="shared" si="1163"/>
        <v>0</v>
      </c>
      <c r="BM610" t="b">
        <f t="shared" si="1164"/>
        <v>0</v>
      </c>
      <c r="BN610" t="b">
        <f t="shared" si="1165"/>
        <v>0</v>
      </c>
      <c r="BO610" t="b">
        <f t="shared" si="1166"/>
        <v>0</v>
      </c>
      <c r="BP610" t="b">
        <f t="shared" si="1167"/>
        <v>0</v>
      </c>
      <c r="BQ610" t="b">
        <f t="shared" si="1168"/>
        <v>0</v>
      </c>
      <c r="BR610" t="b">
        <f t="shared" si="1169"/>
        <v>0</v>
      </c>
      <c r="BS610" t="b">
        <f t="shared" si="1170"/>
        <v>0</v>
      </c>
      <c r="BT610" t="b">
        <f t="shared" si="1171"/>
        <v>0</v>
      </c>
      <c r="BU610" t="b">
        <f t="shared" si="1172"/>
        <v>0</v>
      </c>
      <c r="BV610" t="b">
        <f t="shared" si="1173"/>
        <v>0</v>
      </c>
      <c r="BW610" t="b">
        <f t="shared" si="1174"/>
        <v>0</v>
      </c>
      <c r="BX610" t="b">
        <f t="shared" si="1175"/>
        <v>0</v>
      </c>
      <c r="BY610" t="b">
        <f t="shared" si="1176"/>
        <v>0</v>
      </c>
      <c r="BZ610" t="b">
        <f t="shared" si="1177"/>
        <v>0</v>
      </c>
      <c r="CA610" t="b">
        <f t="shared" si="1178"/>
        <v>0</v>
      </c>
      <c r="CB610" t="b">
        <f t="shared" si="1179"/>
        <v>0</v>
      </c>
      <c r="CC610" t="b">
        <f t="shared" si="1180"/>
        <v>0</v>
      </c>
      <c r="CD610" t="b">
        <f t="shared" si="1181"/>
        <v>0</v>
      </c>
      <c r="CE610">
        <f t="shared" si="1182"/>
        <v>1</v>
      </c>
      <c r="CF610" t="b">
        <f t="shared" si="1183"/>
        <v>0</v>
      </c>
      <c r="CG610" t="b">
        <f t="shared" si="1184"/>
        <v>0</v>
      </c>
      <c r="CH610" t="b">
        <f t="shared" si="1185"/>
        <v>0</v>
      </c>
      <c r="CI610" t="b">
        <f t="shared" si="1186"/>
        <v>0</v>
      </c>
      <c r="CJ610" t="b">
        <f t="shared" si="1187"/>
        <v>0</v>
      </c>
      <c r="CK610" t="b">
        <f t="shared" si="1188"/>
        <v>0</v>
      </c>
      <c r="CL610" t="b">
        <f t="shared" si="1189"/>
        <v>0</v>
      </c>
      <c r="CM610">
        <f t="shared" si="1190"/>
        <v>1</v>
      </c>
      <c r="CN610" t="b">
        <f t="shared" si="1191"/>
        <v>0</v>
      </c>
      <c r="CO610" t="b">
        <f t="shared" si="1192"/>
        <v>0</v>
      </c>
      <c r="CP610" t="b">
        <f t="shared" si="1193"/>
        <v>0</v>
      </c>
      <c r="CQ610" t="b">
        <f t="shared" si="1194"/>
        <v>0</v>
      </c>
      <c r="CR610" t="b">
        <f t="shared" si="1195"/>
        <v>0</v>
      </c>
      <c r="CS610" t="b">
        <f t="shared" si="1196"/>
        <v>0</v>
      </c>
      <c r="CT610" t="b">
        <f t="shared" si="1197"/>
        <v>0</v>
      </c>
      <c r="CU610" t="b">
        <f t="shared" si="1198"/>
        <v>0</v>
      </c>
      <c r="CV610">
        <f t="shared" si="1199"/>
        <v>1</v>
      </c>
      <c r="CW610">
        <f t="shared" si="1200"/>
        <v>1</v>
      </c>
      <c r="CX610" t="b">
        <f t="shared" si="1201"/>
        <v>0</v>
      </c>
      <c r="CY610" t="b">
        <f t="shared" si="1202"/>
        <v>0</v>
      </c>
      <c r="CZ610" t="b">
        <f t="shared" si="1203"/>
        <v>0</v>
      </c>
      <c r="DA610" t="b">
        <f t="shared" si="1204"/>
        <v>0</v>
      </c>
      <c r="DB610">
        <f t="shared" si="1205"/>
        <v>1</v>
      </c>
      <c r="DC610" t="b">
        <f t="shared" si="1206"/>
        <v>0</v>
      </c>
      <c r="DD610" t="b">
        <f t="shared" si="1207"/>
        <v>0</v>
      </c>
      <c r="DE610" t="b">
        <f t="shared" si="1208"/>
        <v>0</v>
      </c>
      <c r="DF610" t="b">
        <f t="shared" si="1209"/>
        <v>0</v>
      </c>
      <c r="DG610" t="b">
        <f t="shared" si="1210"/>
        <v>0</v>
      </c>
      <c r="DH610" t="b">
        <f t="shared" si="1211"/>
        <v>0</v>
      </c>
      <c r="DI610" t="b">
        <f t="shared" si="1212"/>
        <v>0</v>
      </c>
      <c r="DJ610" t="b">
        <f t="shared" si="1213"/>
        <v>0</v>
      </c>
      <c r="DK610" t="b">
        <f t="shared" si="1214"/>
        <v>0</v>
      </c>
      <c r="DL610" t="b">
        <f t="shared" si="1215"/>
        <v>0</v>
      </c>
      <c r="DM610" t="b">
        <f t="shared" si="1216"/>
        <v>0</v>
      </c>
      <c r="DN610" t="b">
        <f t="shared" si="1217"/>
        <v>0</v>
      </c>
      <c r="DO610" t="b">
        <f t="shared" si="1218"/>
        <v>0</v>
      </c>
      <c r="DP610" t="b">
        <f t="shared" si="1219"/>
        <v>0</v>
      </c>
      <c r="DQ610" t="b">
        <f t="shared" si="1220"/>
        <v>0</v>
      </c>
      <c r="DR610" t="b">
        <f t="shared" si="1221"/>
        <v>0</v>
      </c>
      <c r="DS610" t="b">
        <f t="shared" si="1222"/>
        <v>0</v>
      </c>
      <c r="DT610" t="b">
        <f t="shared" si="1223"/>
        <v>0</v>
      </c>
      <c r="DU610" t="b">
        <f t="shared" si="1224"/>
        <v>0</v>
      </c>
      <c r="DV610" t="b">
        <f t="shared" si="1225"/>
        <v>0</v>
      </c>
      <c r="DW610" t="b">
        <f t="shared" si="1226"/>
        <v>0</v>
      </c>
      <c r="DX610" t="b">
        <f t="shared" si="1227"/>
        <v>0</v>
      </c>
      <c r="DY610" t="b">
        <f t="shared" si="1228"/>
        <v>0</v>
      </c>
      <c r="DZ610" t="b">
        <f t="shared" si="1229"/>
        <v>0</v>
      </c>
      <c r="EA610" t="b">
        <f t="shared" si="1230"/>
        <v>0</v>
      </c>
      <c r="EB610" t="b">
        <f t="shared" si="1231"/>
        <v>0</v>
      </c>
      <c r="EC610" t="b">
        <f t="shared" si="1232"/>
        <v>0</v>
      </c>
      <c r="ED610" t="b">
        <f t="shared" si="1233"/>
        <v>0</v>
      </c>
      <c r="EE610" t="b">
        <f t="shared" si="1234"/>
        <v>0</v>
      </c>
      <c r="EF610" t="b">
        <f t="shared" si="1235"/>
        <v>0</v>
      </c>
      <c r="EG610" t="b">
        <f t="shared" si="1236"/>
        <v>0</v>
      </c>
      <c r="EH610" t="b">
        <f t="shared" si="1237"/>
        <v>0</v>
      </c>
      <c r="EI610">
        <f t="shared" si="1238"/>
        <v>1</v>
      </c>
      <c r="EJ610" t="b">
        <f t="shared" si="1239"/>
        <v>0</v>
      </c>
      <c r="EK610" t="b">
        <f t="shared" si="1240"/>
        <v>0</v>
      </c>
    </row>
    <row r="611" spans="1:141">
      <c r="A611" t="s">
        <v>3070</v>
      </c>
      <c r="B611" t="s">
        <v>3071</v>
      </c>
      <c r="D611" s="1">
        <v>43626</v>
      </c>
      <c r="E611" s="2">
        <v>43644.327662037038</v>
      </c>
      <c r="F611" s="2">
        <v>43644.327662037038</v>
      </c>
      <c r="G611">
        <v>224119</v>
      </c>
      <c r="H611" t="s">
        <v>3072</v>
      </c>
      <c r="I611" s="10" t="s">
        <v>3073</v>
      </c>
      <c r="J611" t="s">
        <v>1876</v>
      </c>
      <c r="K611" s="8" t="b">
        <v>1</v>
      </c>
      <c r="L611" s="10" t="b">
        <v>0</v>
      </c>
      <c r="M611" s="12" t="b">
        <v>0</v>
      </c>
      <c r="N611" t="b">
        <v>0</v>
      </c>
      <c r="O611" t="b">
        <v>0</v>
      </c>
      <c r="P611" t="b">
        <v>0</v>
      </c>
      <c r="Q611">
        <f t="shared" si="1117"/>
        <v>2</v>
      </c>
      <c r="R611">
        <f t="shared" si="1118"/>
        <v>6</v>
      </c>
      <c r="S611" t="e">
        <f t="shared" ca="1" si="1148"/>
        <v>#NAME?</v>
      </c>
      <c r="T611" t="e">
        <f t="shared" ca="1" si="1119"/>
        <v>#NAME?</v>
      </c>
      <c r="U611" s="4">
        <f t="shared" si="1120"/>
        <v>18.327662037037953</v>
      </c>
      <c r="V611" s="4">
        <f t="shared" si="1121"/>
        <v>0.61092206790126513</v>
      </c>
      <c r="W611" s="4">
        <f t="shared" si="1122"/>
        <v>1</v>
      </c>
      <c r="X611" s="4">
        <f t="shared" si="1123"/>
        <v>0</v>
      </c>
      <c r="Y611" s="4">
        <f t="shared" si="1124"/>
        <v>0</v>
      </c>
      <c r="Z611" s="4">
        <f t="shared" si="1125"/>
        <v>0</v>
      </c>
      <c r="AA611" s="4">
        <f t="shared" si="1126"/>
        <v>0</v>
      </c>
      <c r="AB611" s="4">
        <f t="shared" si="1127"/>
        <v>0</v>
      </c>
      <c r="AD611" s="4" t="b">
        <f t="shared" si="1128"/>
        <v>0</v>
      </c>
      <c r="AE611" s="4" t="b">
        <f t="shared" si="1129"/>
        <v>0</v>
      </c>
      <c r="AF611" s="4" t="b">
        <f t="shared" si="1130"/>
        <v>0</v>
      </c>
      <c r="AG611" t="b">
        <f t="shared" si="1131"/>
        <v>0</v>
      </c>
      <c r="AH611" t="b">
        <f t="shared" si="1132"/>
        <v>0</v>
      </c>
      <c r="AI611" t="b">
        <f t="shared" si="1133"/>
        <v>0</v>
      </c>
      <c r="AJ611" t="b">
        <f t="shared" si="1134"/>
        <v>0</v>
      </c>
      <c r="AK611" t="b">
        <f t="shared" si="1135"/>
        <v>0</v>
      </c>
      <c r="AL611" t="b">
        <f t="shared" si="1136"/>
        <v>0</v>
      </c>
      <c r="AM611" t="b">
        <f t="shared" si="1137"/>
        <v>0</v>
      </c>
      <c r="AN611" t="b">
        <f t="shared" si="1138"/>
        <v>0</v>
      </c>
      <c r="AO611" t="b">
        <f t="shared" si="1139"/>
        <v>0</v>
      </c>
      <c r="AP611" t="b">
        <f t="shared" si="1140"/>
        <v>0</v>
      </c>
      <c r="AQ611" t="b">
        <f t="shared" si="1141"/>
        <v>0</v>
      </c>
      <c r="AR611" t="b">
        <f t="shared" si="1142"/>
        <v>0</v>
      </c>
      <c r="AS611" t="b">
        <f t="shared" si="1143"/>
        <v>0</v>
      </c>
      <c r="AT611" t="b">
        <f t="shared" si="1144"/>
        <v>0</v>
      </c>
      <c r="AU611" t="b">
        <f t="shared" si="1145"/>
        <v>0</v>
      </c>
      <c r="AV611" t="b">
        <f t="shared" si="1146"/>
        <v>0</v>
      </c>
      <c r="AW611" t="b">
        <f t="shared" si="1147"/>
        <v>0</v>
      </c>
      <c r="AX611" t="b">
        <f t="shared" si="1149"/>
        <v>0</v>
      </c>
      <c r="AY611" t="b">
        <f t="shared" si="1150"/>
        <v>0</v>
      </c>
      <c r="AZ611">
        <f t="shared" si="1151"/>
        <v>1</v>
      </c>
      <c r="BA611" t="b">
        <f t="shared" si="1152"/>
        <v>0</v>
      </c>
      <c r="BB611" t="b">
        <f t="shared" si="1153"/>
        <v>0</v>
      </c>
      <c r="BC611" t="b">
        <f t="shared" si="1154"/>
        <v>0</v>
      </c>
      <c r="BD611" t="b">
        <f t="shared" si="1155"/>
        <v>0</v>
      </c>
      <c r="BE611" t="b">
        <f t="shared" si="1156"/>
        <v>0</v>
      </c>
      <c r="BF611" t="b">
        <f t="shared" si="1157"/>
        <v>0</v>
      </c>
      <c r="BG611" t="b">
        <f t="shared" si="1158"/>
        <v>0</v>
      </c>
      <c r="BH611" t="b">
        <f t="shared" si="1159"/>
        <v>0</v>
      </c>
      <c r="BI611">
        <f t="shared" si="1160"/>
        <v>1</v>
      </c>
      <c r="BJ611" t="b">
        <f t="shared" si="1161"/>
        <v>0</v>
      </c>
      <c r="BK611" t="b">
        <f t="shared" si="1162"/>
        <v>0</v>
      </c>
      <c r="BL611" t="b">
        <f t="shared" si="1163"/>
        <v>0</v>
      </c>
      <c r="BM611" t="b">
        <f t="shared" si="1164"/>
        <v>0</v>
      </c>
      <c r="BN611" t="b">
        <f t="shared" si="1165"/>
        <v>0</v>
      </c>
      <c r="BO611" t="b">
        <f t="shared" si="1166"/>
        <v>0</v>
      </c>
      <c r="BP611" t="b">
        <f t="shared" si="1167"/>
        <v>0</v>
      </c>
      <c r="BQ611" t="b">
        <f t="shared" si="1168"/>
        <v>0</v>
      </c>
      <c r="BR611" t="b">
        <f t="shared" si="1169"/>
        <v>0</v>
      </c>
      <c r="BS611" t="b">
        <f t="shared" si="1170"/>
        <v>0</v>
      </c>
      <c r="BT611" t="b">
        <f t="shared" si="1171"/>
        <v>0</v>
      </c>
      <c r="BU611" t="b">
        <f t="shared" si="1172"/>
        <v>0</v>
      </c>
      <c r="BV611" t="b">
        <f t="shared" si="1173"/>
        <v>0</v>
      </c>
      <c r="BW611" t="b">
        <f t="shared" si="1174"/>
        <v>0</v>
      </c>
      <c r="BX611" t="b">
        <f t="shared" si="1175"/>
        <v>0</v>
      </c>
      <c r="BY611" t="b">
        <f t="shared" si="1176"/>
        <v>0</v>
      </c>
      <c r="BZ611" t="b">
        <f t="shared" si="1177"/>
        <v>0</v>
      </c>
      <c r="CA611" t="b">
        <f t="shared" si="1178"/>
        <v>0</v>
      </c>
      <c r="CB611" t="b">
        <f t="shared" si="1179"/>
        <v>0</v>
      </c>
      <c r="CC611" t="b">
        <f t="shared" si="1180"/>
        <v>0</v>
      </c>
      <c r="CD611" t="b">
        <f t="shared" si="1181"/>
        <v>0</v>
      </c>
      <c r="CE611" t="b">
        <f t="shared" si="1182"/>
        <v>0</v>
      </c>
      <c r="CF611" t="b">
        <f t="shared" si="1183"/>
        <v>0</v>
      </c>
      <c r="CG611" t="b">
        <f t="shared" si="1184"/>
        <v>0</v>
      </c>
      <c r="CH611" t="b">
        <f t="shared" si="1185"/>
        <v>0</v>
      </c>
      <c r="CI611" t="b">
        <f t="shared" si="1186"/>
        <v>0</v>
      </c>
      <c r="CJ611" t="b">
        <f t="shared" si="1187"/>
        <v>0</v>
      </c>
      <c r="CK611" t="b">
        <f t="shared" si="1188"/>
        <v>0</v>
      </c>
      <c r="CL611" t="b">
        <f t="shared" si="1189"/>
        <v>0</v>
      </c>
      <c r="CM611">
        <f t="shared" si="1190"/>
        <v>1</v>
      </c>
      <c r="CN611" t="b">
        <f t="shared" si="1191"/>
        <v>0</v>
      </c>
      <c r="CO611" t="b">
        <f t="shared" si="1192"/>
        <v>0</v>
      </c>
      <c r="CP611" t="b">
        <f t="shared" si="1193"/>
        <v>0</v>
      </c>
      <c r="CQ611" t="b">
        <f t="shared" si="1194"/>
        <v>0</v>
      </c>
      <c r="CR611" t="b">
        <f t="shared" si="1195"/>
        <v>0</v>
      </c>
      <c r="CS611" t="b">
        <f t="shared" si="1196"/>
        <v>0</v>
      </c>
      <c r="CT611" t="b">
        <f t="shared" si="1197"/>
        <v>0</v>
      </c>
      <c r="CU611" t="b">
        <f t="shared" si="1198"/>
        <v>0</v>
      </c>
      <c r="CV611" t="b">
        <f t="shared" si="1199"/>
        <v>0</v>
      </c>
      <c r="CW611" t="b">
        <f t="shared" si="1200"/>
        <v>0</v>
      </c>
      <c r="CX611" t="b">
        <f t="shared" si="1201"/>
        <v>0</v>
      </c>
      <c r="CY611" t="b">
        <f t="shared" si="1202"/>
        <v>0</v>
      </c>
      <c r="CZ611" t="b">
        <f t="shared" si="1203"/>
        <v>0</v>
      </c>
      <c r="DA611">
        <f t="shared" si="1204"/>
        <v>1</v>
      </c>
      <c r="DB611">
        <f t="shared" si="1205"/>
        <v>1</v>
      </c>
      <c r="DC611" t="b">
        <f t="shared" si="1206"/>
        <v>0</v>
      </c>
      <c r="DD611" t="b">
        <f t="shared" si="1207"/>
        <v>0</v>
      </c>
      <c r="DE611" t="b">
        <f t="shared" si="1208"/>
        <v>0</v>
      </c>
      <c r="DF611" t="b">
        <f t="shared" si="1209"/>
        <v>0</v>
      </c>
      <c r="DG611" t="b">
        <f t="shared" si="1210"/>
        <v>0</v>
      </c>
      <c r="DH611" t="b">
        <f t="shared" si="1211"/>
        <v>0</v>
      </c>
      <c r="DI611" t="b">
        <f t="shared" si="1212"/>
        <v>0</v>
      </c>
      <c r="DJ611" t="b">
        <f t="shared" si="1213"/>
        <v>0</v>
      </c>
      <c r="DK611" t="b">
        <f t="shared" si="1214"/>
        <v>0</v>
      </c>
      <c r="DL611" t="b">
        <f t="shared" si="1215"/>
        <v>0</v>
      </c>
      <c r="DM611" t="b">
        <f t="shared" si="1216"/>
        <v>0</v>
      </c>
      <c r="DN611" t="b">
        <f t="shared" si="1217"/>
        <v>0</v>
      </c>
      <c r="DO611" t="b">
        <f t="shared" si="1218"/>
        <v>0</v>
      </c>
      <c r="DP611" t="b">
        <f t="shared" si="1219"/>
        <v>0</v>
      </c>
      <c r="DQ611" t="b">
        <f t="shared" si="1220"/>
        <v>0</v>
      </c>
      <c r="DR611" t="b">
        <f t="shared" si="1221"/>
        <v>0</v>
      </c>
      <c r="DS611" t="b">
        <f t="shared" si="1222"/>
        <v>0</v>
      </c>
      <c r="DT611" t="b">
        <f t="shared" si="1223"/>
        <v>0</v>
      </c>
      <c r="DU611" t="b">
        <f t="shared" si="1224"/>
        <v>0</v>
      </c>
      <c r="DV611" t="b">
        <f t="shared" si="1225"/>
        <v>0</v>
      </c>
      <c r="DW611" t="b">
        <f t="shared" si="1226"/>
        <v>0</v>
      </c>
      <c r="DX611" t="b">
        <f t="shared" si="1227"/>
        <v>0</v>
      </c>
      <c r="DY611" t="b">
        <f t="shared" si="1228"/>
        <v>0</v>
      </c>
      <c r="DZ611" t="b">
        <f t="shared" si="1229"/>
        <v>0</v>
      </c>
      <c r="EA611" t="b">
        <f t="shared" si="1230"/>
        <v>0</v>
      </c>
      <c r="EB611" t="b">
        <f t="shared" si="1231"/>
        <v>0</v>
      </c>
      <c r="EC611" t="b">
        <f t="shared" si="1232"/>
        <v>0</v>
      </c>
      <c r="ED611" t="b">
        <f t="shared" si="1233"/>
        <v>0</v>
      </c>
      <c r="EE611" t="b">
        <f t="shared" si="1234"/>
        <v>0</v>
      </c>
      <c r="EF611" t="b">
        <f t="shared" si="1235"/>
        <v>0</v>
      </c>
      <c r="EG611" t="b">
        <f t="shared" si="1236"/>
        <v>0</v>
      </c>
      <c r="EH611" t="b">
        <f t="shared" si="1237"/>
        <v>0</v>
      </c>
      <c r="EI611" t="b">
        <f t="shared" si="1238"/>
        <v>0</v>
      </c>
      <c r="EJ611" t="b">
        <f t="shared" si="1239"/>
        <v>0</v>
      </c>
      <c r="EK611" t="b">
        <f t="shared" si="1240"/>
        <v>0</v>
      </c>
    </row>
    <row r="612" spans="1:141">
      <c r="A612" t="s">
        <v>3074</v>
      </c>
      <c r="B612" t="s">
        <v>3075</v>
      </c>
      <c r="C612" t="s">
        <v>3076</v>
      </c>
      <c r="D612" s="1">
        <v>43380</v>
      </c>
      <c r="E612" s="2">
        <v>43393.851539351854</v>
      </c>
      <c r="F612" s="2">
        <v>43396.250081018516</v>
      </c>
      <c r="G612">
        <v>1274051</v>
      </c>
      <c r="H612" t="s">
        <v>3077</v>
      </c>
      <c r="I612" s="10" t="s">
        <v>3078</v>
      </c>
      <c r="J612" t="s">
        <v>606</v>
      </c>
      <c r="K612" s="8" t="b">
        <v>1</v>
      </c>
      <c r="L612" s="10" t="b">
        <v>0</v>
      </c>
      <c r="M612" s="12" t="b">
        <v>1</v>
      </c>
      <c r="N612" t="b">
        <v>0</v>
      </c>
      <c r="O612" t="b">
        <v>0</v>
      </c>
      <c r="P612" t="b">
        <v>0</v>
      </c>
      <c r="Q612">
        <f t="shared" si="1117"/>
        <v>1</v>
      </c>
      <c r="R612">
        <f t="shared" si="1118"/>
        <v>10</v>
      </c>
      <c r="S612" t="e">
        <f t="shared" ca="1" si="1148"/>
        <v>#NAME?</v>
      </c>
      <c r="T612" t="e">
        <f t="shared" ca="1" si="1119"/>
        <v>#NAME?</v>
      </c>
      <c r="U612" s="4">
        <f t="shared" si="1120"/>
        <v>13.851539351853717</v>
      </c>
      <c r="V612" s="4">
        <f t="shared" si="1121"/>
        <v>0.46171797839512391</v>
      </c>
      <c r="W612" s="4">
        <f t="shared" si="1122"/>
        <v>1</v>
      </c>
      <c r="X612" s="4">
        <f t="shared" si="1123"/>
        <v>0</v>
      </c>
      <c r="Y612" s="4">
        <f t="shared" si="1124"/>
        <v>1</v>
      </c>
      <c r="Z612" s="4">
        <f t="shared" si="1125"/>
        <v>0</v>
      </c>
      <c r="AA612" s="4">
        <f t="shared" si="1126"/>
        <v>0</v>
      </c>
      <c r="AB612" s="4">
        <f t="shared" si="1127"/>
        <v>0</v>
      </c>
      <c r="AD612" s="4" t="b">
        <f t="shared" si="1128"/>
        <v>0</v>
      </c>
      <c r="AE612" s="4" t="b">
        <f t="shared" si="1129"/>
        <v>0</v>
      </c>
      <c r="AF612" s="4" t="b">
        <f t="shared" si="1130"/>
        <v>0</v>
      </c>
      <c r="AG612" t="b">
        <f t="shared" si="1131"/>
        <v>0</v>
      </c>
      <c r="AH612" t="b">
        <f t="shared" si="1132"/>
        <v>0</v>
      </c>
      <c r="AI612" t="b">
        <f t="shared" si="1133"/>
        <v>0</v>
      </c>
      <c r="AJ612" t="b">
        <f t="shared" si="1134"/>
        <v>0</v>
      </c>
      <c r="AK612" t="b">
        <f t="shared" si="1135"/>
        <v>0</v>
      </c>
      <c r="AL612" t="b">
        <f t="shared" si="1136"/>
        <v>0</v>
      </c>
      <c r="AM612" t="b">
        <f t="shared" si="1137"/>
        <v>0</v>
      </c>
      <c r="AN612" t="b">
        <f t="shared" si="1138"/>
        <v>0</v>
      </c>
      <c r="AO612" t="b">
        <f t="shared" si="1139"/>
        <v>0</v>
      </c>
      <c r="AP612" t="b">
        <f t="shared" si="1140"/>
        <v>0</v>
      </c>
      <c r="AQ612" t="b">
        <f t="shared" si="1141"/>
        <v>0</v>
      </c>
      <c r="AR612" t="b">
        <f t="shared" si="1142"/>
        <v>0</v>
      </c>
      <c r="AS612" t="b">
        <f t="shared" si="1143"/>
        <v>0</v>
      </c>
      <c r="AT612" t="b">
        <f t="shared" si="1144"/>
        <v>0</v>
      </c>
      <c r="AU612" t="b">
        <f t="shared" si="1145"/>
        <v>0</v>
      </c>
      <c r="AV612" t="b">
        <f t="shared" si="1146"/>
        <v>0</v>
      </c>
      <c r="AW612" t="b">
        <f t="shared" si="1147"/>
        <v>0</v>
      </c>
      <c r="AX612" t="b">
        <f t="shared" si="1149"/>
        <v>0</v>
      </c>
      <c r="AY612" t="b">
        <f t="shared" si="1150"/>
        <v>0</v>
      </c>
      <c r="AZ612" t="b">
        <f t="shared" si="1151"/>
        <v>0</v>
      </c>
      <c r="BA612" t="b">
        <f t="shared" si="1152"/>
        <v>0</v>
      </c>
      <c r="BB612" t="b">
        <f t="shared" si="1153"/>
        <v>0</v>
      </c>
      <c r="BC612" t="b">
        <f t="shared" si="1154"/>
        <v>0</v>
      </c>
      <c r="BD612" t="b">
        <f t="shared" si="1155"/>
        <v>0</v>
      </c>
      <c r="BE612" t="b">
        <f t="shared" si="1156"/>
        <v>0</v>
      </c>
      <c r="BF612" t="b">
        <f t="shared" si="1157"/>
        <v>0</v>
      </c>
      <c r="BG612" t="b">
        <f t="shared" si="1158"/>
        <v>0</v>
      </c>
      <c r="BH612" t="b">
        <f t="shared" si="1159"/>
        <v>0</v>
      </c>
      <c r="BI612">
        <f t="shared" si="1160"/>
        <v>1</v>
      </c>
      <c r="BJ612" t="b">
        <f t="shared" si="1161"/>
        <v>0</v>
      </c>
      <c r="BK612" t="b">
        <f t="shared" si="1162"/>
        <v>0</v>
      </c>
      <c r="BL612" t="b">
        <f t="shared" si="1163"/>
        <v>0</v>
      </c>
      <c r="BM612" t="b">
        <f t="shared" si="1164"/>
        <v>0</v>
      </c>
      <c r="BN612" t="b">
        <f t="shared" si="1165"/>
        <v>0</v>
      </c>
      <c r="BO612" t="b">
        <f t="shared" si="1166"/>
        <v>0</v>
      </c>
      <c r="BP612" t="b">
        <f t="shared" si="1167"/>
        <v>0</v>
      </c>
      <c r="BQ612" t="b">
        <f t="shared" si="1168"/>
        <v>0</v>
      </c>
      <c r="BR612" t="b">
        <f t="shared" si="1169"/>
        <v>0</v>
      </c>
      <c r="BS612" t="b">
        <f t="shared" si="1170"/>
        <v>0</v>
      </c>
      <c r="BT612" t="b">
        <f t="shared" si="1171"/>
        <v>0</v>
      </c>
      <c r="BU612" t="b">
        <f t="shared" si="1172"/>
        <v>0</v>
      </c>
      <c r="BV612" t="b">
        <f t="shared" si="1173"/>
        <v>0</v>
      </c>
      <c r="BW612" t="b">
        <f t="shared" si="1174"/>
        <v>0</v>
      </c>
      <c r="BX612" t="b">
        <f t="shared" si="1175"/>
        <v>0</v>
      </c>
      <c r="BY612" t="b">
        <f t="shared" si="1176"/>
        <v>0</v>
      </c>
      <c r="BZ612" t="b">
        <f t="shared" si="1177"/>
        <v>0</v>
      </c>
      <c r="CA612" t="b">
        <f t="shared" si="1178"/>
        <v>0</v>
      </c>
      <c r="CB612" t="b">
        <f t="shared" si="1179"/>
        <v>0</v>
      </c>
      <c r="CC612" t="b">
        <f t="shared" si="1180"/>
        <v>0</v>
      </c>
      <c r="CD612" t="b">
        <f t="shared" si="1181"/>
        <v>0</v>
      </c>
      <c r="CE612">
        <f t="shared" si="1182"/>
        <v>1</v>
      </c>
      <c r="CF612" t="b">
        <f t="shared" si="1183"/>
        <v>0</v>
      </c>
      <c r="CG612" t="b">
        <f t="shared" si="1184"/>
        <v>0</v>
      </c>
      <c r="CH612" t="b">
        <f t="shared" si="1185"/>
        <v>0</v>
      </c>
      <c r="CI612" t="b">
        <f t="shared" si="1186"/>
        <v>0</v>
      </c>
      <c r="CJ612" t="b">
        <f t="shared" si="1187"/>
        <v>0</v>
      </c>
      <c r="CK612" t="b">
        <f t="shared" si="1188"/>
        <v>0</v>
      </c>
      <c r="CL612" t="b">
        <f t="shared" si="1189"/>
        <v>0</v>
      </c>
      <c r="CM612">
        <f t="shared" si="1190"/>
        <v>1</v>
      </c>
      <c r="CN612" t="b">
        <f t="shared" si="1191"/>
        <v>0</v>
      </c>
      <c r="CO612" t="b">
        <f t="shared" si="1192"/>
        <v>0</v>
      </c>
      <c r="CP612" t="b">
        <f t="shared" si="1193"/>
        <v>0</v>
      </c>
      <c r="CQ612" t="b">
        <f t="shared" si="1194"/>
        <v>0</v>
      </c>
      <c r="CR612" t="b">
        <f t="shared" si="1195"/>
        <v>0</v>
      </c>
      <c r="CS612" t="b">
        <f t="shared" si="1196"/>
        <v>0</v>
      </c>
      <c r="CT612" t="b">
        <f t="shared" si="1197"/>
        <v>0</v>
      </c>
      <c r="CU612" t="b">
        <f t="shared" si="1198"/>
        <v>0</v>
      </c>
      <c r="CV612">
        <f t="shared" si="1199"/>
        <v>1</v>
      </c>
      <c r="CW612" t="b">
        <f t="shared" si="1200"/>
        <v>0</v>
      </c>
      <c r="CX612" t="b">
        <f t="shared" si="1201"/>
        <v>0</v>
      </c>
      <c r="CY612" t="b">
        <f t="shared" si="1202"/>
        <v>0</v>
      </c>
      <c r="CZ612" t="b">
        <f t="shared" si="1203"/>
        <v>0</v>
      </c>
      <c r="DA612" t="b">
        <f t="shared" si="1204"/>
        <v>0</v>
      </c>
      <c r="DB612" t="b">
        <f t="shared" si="1205"/>
        <v>0</v>
      </c>
      <c r="DC612" t="b">
        <f t="shared" si="1206"/>
        <v>0</v>
      </c>
      <c r="DD612" t="b">
        <f t="shared" si="1207"/>
        <v>0</v>
      </c>
      <c r="DE612" t="b">
        <f t="shared" si="1208"/>
        <v>0</v>
      </c>
      <c r="DF612" t="b">
        <f t="shared" si="1209"/>
        <v>0</v>
      </c>
      <c r="DG612" t="b">
        <f t="shared" si="1210"/>
        <v>0</v>
      </c>
      <c r="DH612" t="b">
        <f t="shared" si="1211"/>
        <v>0</v>
      </c>
      <c r="DI612" t="b">
        <f t="shared" si="1212"/>
        <v>0</v>
      </c>
      <c r="DJ612" t="b">
        <f t="shared" si="1213"/>
        <v>0</v>
      </c>
      <c r="DK612" t="b">
        <f t="shared" si="1214"/>
        <v>0</v>
      </c>
      <c r="DL612" t="b">
        <f t="shared" si="1215"/>
        <v>0</v>
      </c>
      <c r="DM612" t="b">
        <f t="shared" si="1216"/>
        <v>0</v>
      </c>
      <c r="DN612" t="b">
        <f t="shared" si="1217"/>
        <v>0</v>
      </c>
      <c r="DO612" t="b">
        <f t="shared" si="1218"/>
        <v>0</v>
      </c>
      <c r="DP612" t="b">
        <f t="shared" si="1219"/>
        <v>0</v>
      </c>
      <c r="DQ612" t="b">
        <f t="shared" si="1220"/>
        <v>0</v>
      </c>
      <c r="DR612" t="b">
        <f t="shared" si="1221"/>
        <v>0</v>
      </c>
      <c r="DS612" t="b">
        <f t="shared" si="1222"/>
        <v>0</v>
      </c>
      <c r="DT612" t="b">
        <f t="shared" si="1223"/>
        <v>0</v>
      </c>
      <c r="DU612" t="b">
        <f t="shared" si="1224"/>
        <v>0</v>
      </c>
      <c r="DV612" t="b">
        <f t="shared" si="1225"/>
        <v>0</v>
      </c>
      <c r="DW612" t="b">
        <f t="shared" si="1226"/>
        <v>0</v>
      </c>
      <c r="DX612" t="b">
        <f t="shared" si="1227"/>
        <v>0</v>
      </c>
      <c r="DY612" t="b">
        <f t="shared" si="1228"/>
        <v>0</v>
      </c>
      <c r="DZ612" t="b">
        <f t="shared" si="1229"/>
        <v>0</v>
      </c>
      <c r="EA612" t="b">
        <f t="shared" si="1230"/>
        <v>0</v>
      </c>
      <c r="EB612" t="b">
        <f t="shared" si="1231"/>
        <v>0</v>
      </c>
      <c r="EC612" t="b">
        <f t="shared" si="1232"/>
        <v>0</v>
      </c>
      <c r="ED612" t="b">
        <f t="shared" si="1233"/>
        <v>0</v>
      </c>
      <c r="EE612" t="b">
        <f t="shared" si="1234"/>
        <v>0</v>
      </c>
      <c r="EF612">
        <f t="shared" si="1235"/>
        <v>1</v>
      </c>
      <c r="EG612" t="b">
        <f t="shared" si="1236"/>
        <v>0</v>
      </c>
      <c r="EH612" t="b">
        <f t="shared" si="1237"/>
        <v>0</v>
      </c>
      <c r="EI612" t="b">
        <f t="shared" si="1238"/>
        <v>0</v>
      </c>
      <c r="EJ612" t="b">
        <f t="shared" si="1239"/>
        <v>0</v>
      </c>
      <c r="EK612" t="b">
        <f t="shared" si="1240"/>
        <v>0</v>
      </c>
    </row>
    <row r="613" spans="1:141">
      <c r="A613" t="s">
        <v>3079</v>
      </c>
      <c r="B613" t="s">
        <v>3080</v>
      </c>
      <c r="C613" t="s">
        <v>3081</v>
      </c>
      <c r="D613" s="1">
        <v>42272</v>
      </c>
      <c r="E613" s="2">
        <v>42619.243888888886</v>
      </c>
      <c r="F613" s="2">
        <v>42619.243888888886</v>
      </c>
      <c r="G613">
        <v>458155</v>
      </c>
      <c r="H613" t="s">
        <v>3082</v>
      </c>
      <c r="I613" s="10" t="s">
        <v>3083</v>
      </c>
      <c r="J613" t="s">
        <v>188</v>
      </c>
      <c r="K613" s="8" t="b">
        <v>1</v>
      </c>
      <c r="L613" s="10" t="b">
        <v>0</v>
      </c>
      <c r="M613" s="12" t="b">
        <v>0</v>
      </c>
      <c r="N613" t="b">
        <v>0</v>
      </c>
      <c r="O613" t="b">
        <v>0</v>
      </c>
      <c r="P613" t="b">
        <v>0</v>
      </c>
      <c r="Q613">
        <f t="shared" si="1117"/>
        <v>6</v>
      </c>
      <c r="R613">
        <f t="shared" si="1118"/>
        <v>9</v>
      </c>
      <c r="S613" t="e">
        <f t="shared" ca="1" si="1148"/>
        <v>#NAME?</v>
      </c>
      <c r="T613" t="e">
        <f t="shared" ca="1" si="1119"/>
        <v>#NAME?</v>
      </c>
      <c r="U613" s="4">
        <f t="shared" si="1120"/>
        <v>347.24388888888643</v>
      </c>
      <c r="V613" s="4">
        <f t="shared" si="1121"/>
        <v>11.574796296296215</v>
      </c>
      <c r="W613" s="4">
        <f t="shared" si="1122"/>
        <v>1</v>
      </c>
      <c r="X613" s="4">
        <f t="shared" si="1123"/>
        <v>0</v>
      </c>
      <c r="Y613" s="4">
        <f t="shared" si="1124"/>
        <v>0</v>
      </c>
      <c r="Z613" s="4">
        <f t="shared" si="1125"/>
        <v>0</v>
      </c>
      <c r="AA613" s="4">
        <f t="shared" si="1126"/>
        <v>0</v>
      </c>
      <c r="AB613" s="4">
        <f t="shared" si="1127"/>
        <v>0</v>
      </c>
      <c r="AD613" s="4" t="b">
        <f t="shared" si="1128"/>
        <v>0</v>
      </c>
      <c r="AE613" s="4" t="b">
        <f t="shared" si="1129"/>
        <v>0</v>
      </c>
      <c r="AF613" s="4" t="b">
        <f t="shared" si="1130"/>
        <v>0</v>
      </c>
      <c r="AG613" t="b">
        <f t="shared" si="1131"/>
        <v>0</v>
      </c>
      <c r="AH613" t="b">
        <f t="shared" si="1132"/>
        <v>0</v>
      </c>
      <c r="AI613" t="b">
        <f t="shared" si="1133"/>
        <v>0</v>
      </c>
      <c r="AJ613" t="b">
        <f t="shared" si="1134"/>
        <v>0</v>
      </c>
      <c r="AK613" t="b">
        <f t="shared" si="1135"/>
        <v>0</v>
      </c>
      <c r="AL613" t="b">
        <f t="shared" si="1136"/>
        <v>0</v>
      </c>
      <c r="AM613" t="b">
        <f t="shared" si="1137"/>
        <v>0</v>
      </c>
      <c r="AN613" t="b">
        <f t="shared" si="1138"/>
        <v>0</v>
      </c>
      <c r="AO613" t="b">
        <f t="shared" si="1139"/>
        <v>0</v>
      </c>
      <c r="AP613" t="b">
        <f t="shared" si="1140"/>
        <v>0</v>
      </c>
      <c r="AQ613" t="b">
        <f t="shared" si="1141"/>
        <v>0</v>
      </c>
      <c r="AR613" t="b">
        <f t="shared" si="1142"/>
        <v>0</v>
      </c>
      <c r="AS613" t="b">
        <f t="shared" si="1143"/>
        <v>0</v>
      </c>
      <c r="AT613" t="b">
        <f t="shared" si="1144"/>
        <v>0</v>
      </c>
      <c r="AU613" t="b">
        <f t="shared" si="1145"/>
        <v>0</v>
      </c>
      <c r="AV613" t="b">
        <f t="shared" si="1146"/>
        <v>0</v>
      </c>
      <c r="AW613" t="b">
        <f t="shared" si="1147"/>
        <v>0</v>
      </c>
      <c r="AX613" t="b">
        <f t="shared" si="1149"/>
        <v>0</v>
      </c>
      <c r="AY613" t="b">
        <f t="shared" si="1150"/>
        <v>0</v>
      </c>
      <c r="AZ613" t="b">
        <f t="shared" si="1151"/>
        <v>0</v>
      </c>
      <c r="BA613" t="b">
        <f t="shared" si="1152"/>
        <v>0</v>
      </c>
      <c r="BB613" t="b">
        <f t="shared" si="1153"/>
        <v>0</v>
      </c>
      <c r="BC613" t="b">
        <f t="shared" si="1154"/>
        <v>0</v>
      </c>
      <c r="BD613" t="b">
        <f t="shared" si="1155"/>
        <v>0</v>
      </c>
      <c r="BE613" t="b">
        <f t="shared" si="1156"/>
        <v>0</v>
      </c>
      <c r="BF613" t="b">
        <f t="shared" si="1157"/>
        <v>0</v>
      </c>
      <c r="BG613" t="b">
        <f t="shared" si="1158"/>
        <v>0</v>
      </c>
      <c r="BH613" t="b">
        <f t="shared" si="1159"/>
        <v>0</v>
      </c>
      <c r="BI613">
        <f t="shared" si="1160"/>
        <v>1</v>
      </c>
      <c r="BJ613" t="b">
        <f t="shared" si="1161"/>
        <v>0</v>
      </c>
      <c r="BK613" t="b">
        <f t="shared" si="1162"/>
        <v>0</v>
      </c>
      <c r="BL613" t="b">
        <f t="shared" si="1163"/>
        <v>0</v>
      </c>
      <c r="BM613" t="b">
        <f t="shared" si="1164"/>
        <v>0</v>
      </c>
      <c r="BN613" t="b">
        <f t="shared" si="1165"/>
        <v>0</v>
      </c>
      <c r="BO613" t="b">
        <f t="shared" si="1166"/>
        <v>0</v>
      </c>
      <c r="BP613" t="b">
        <f t="shared" si="1167"/>
        <v>0</v>
      </c>
      <c r="BQ613" t="b">
        <f t="shared" si="1168"/>
        <v>0</v>
      </c>
      <c r="BR613" t="b">
        <f t="shared" si="1169"/>
        <v>0</v>
      </c>
      <c r="BS613" t="b">
        <f t="shared" si="1170"/>
        <v>0</v>
      </c>
      <c r="BT613" t="b">
        <f t="shared" si="1171"/>
        <v>0</v>
      </c>
      <c r="BU613" t="b">
        <f t="shared" si="1172"/>
        <v>0</v>
      </c>
      <c r="BV613" t="b">
        <f t="shared" si="1173"/>
        <v>0</v>
      </c>
      <c r="BW613" t="b">
        <f t="shared" si="1174"/>
        <v>0</v>
      </c>
      <c r="BX613" t="b">
        <f t="shared" si="1175"/>
        <v>0</v>
      </c>
      <c r="BY613" t="b">
        <f t="shared" si="1176"/>
        <v>0</v>
      </c>
      <c r="BZ613" t="b">
        <f t="shared" si="1177"/>
        <v>0</v>
      </c>
      <c r="CA613" t="b">
        <f t="shared" si="1178"/>
        <v>0</v>
      </c>
      <c r="CB613" t="b">
        <f t="shared" si="1179"/>
        <v>0</v>
      </c>
      <c r="CC613" t="b">
        <f t="shared" si="1180"/>
        <v>0</v>
      </c>
      <c r="CD613" t="b">
        <f t="shared" si="1181"/>
        <v>0</v>
      </c>
      <c r="CE613">
        <f t="shared" si="1182"/>
        <v>1</v>
      </c>
      <c r="CF613" t="b">
        <f t="shared" si="1183"/>
        <v>0</v>
      </c>
      <c r="CG613" t="b">
        <f t="shared" si="1184"/>
        <v>0</v>
      </c>
      <c r="CH613" t="b">
        <f t="shared" si="1185"/>
        <v>0</v>
      </c>
      <c r="CI613" t="b">
        <f t="shared" si="1186"/>
        <v>0</v>
      </c>
      <c r="CJ613" t="b">
        <f t="shared" si="1187"/>
        <v>0</v>
      </c>
      <c r="CK613" t="b">
        <f t="shared" si="1188"/>
        <v>0</v>
      </c>
      <c r="CL613" t="b">
        <f t="shared" si="1189"/>
        <v>0</v>
      </c>
      <c r="CM613" t="b">
        <f t="shared" si="1190"/>
        <v>0</v>
      </c>
      <c r="CN613" t="b">
        <f t="shared" si="1191"/>
        <v>0</v>
      </c>
      <c r="CO613" t="b">
        <f t="shared" si="1192"/>
        <v>0</v>
      </c>
      <c r="CP613" t="b">
        <f t="shared" si="1193"/>
        <v>0</v>
      </c>
      <c r="CQ613" t="b">
        <f t="shared" si="1194"/>
        <v>0</v>
      </c>
      <c r="CR613" t="b">
        <f t="shared" si="1195"/>
        <v>0</v>
      </c>
      <c r="CS613" t="b">
        <f t="shared" si="1196"/>
        <v>0</v>
      </c>
      <c r="CT613" t="b">
        <f t="shared" si="1197"/>
        <v>0</v>
      </c>
      <c r="CU613" t="b">
        <f t="shared" si="1198"/>
        <v>0</v>
      </c>
      <c r="CV613">
        <f t="shared" si="1199"/>
        <v>1</v>
      </c>
      <c r="CW613" t="b">
        <f t="shared" si="1200"/>
        <v>0</v>
      </c>
      <c r="CX613" t="b">
        <f t="shared" si="1201"/>
        <v>0</v>
      </c>
      <c r="CY613" t="b">
        <f t="shared" si="1202"/>
        <v>0</v>
      </c>
      <c r="CZ613" t="b">
        <f t="shared" si="1203"/>
        <v>0</v>
      </c>
      <c r="DA613" t="b">
        <f t="shared" si="1204"/>
        <v>0</v>
      </c>
      <c r="DB613" t="b">
        <f t="shared" si="1205"/>
        <v>0</v>
      </c>
      <c r="DC613" t="b">
        <f t="shared" si="1206"/>
        <v>0</v>
      </c>
      <c r="DD613" t="b">
        <f t="shared" si="1207"/>
        <v>0</v>
      </c>
      <c r="DE613" t="b">
        <f t="shared" si="1208"/>
        <v>0</v>
      </c>
      <c r="DF613" t="b">
        <f t="shared" si="1209"/>
        <v>0</v>
      </c>
      <c r="DG613" t="b">
        <f t="shared" si="1210"/>
        <v>0</v>
      </c>
      <c r="DH613" t="b">
        <f t="shared" si="1211"/>
        <v>0</v>
      </c>
      <c r="DI613" t="b">
        <f t="shared" si="1212"/>
        <v>0</v>
      </c>
      <c r="DJ613" t="b">
        <f t="shared" si="1213"/>
        <v>0</v>
      </c>
      <c r="DK613" t="b">
        <f t="shared" si="1214"/>
        <v>0</v>
      </c>
      <c r="DL613" t="b">
        <f t="shared" si="1215"/>
        <v>0</v>
      </c>
      <c r="DM613" t="b">
        <f t="shared" si="1216"/>
        <v>0</v>
      </c>
      <c r="DN613" t="b">
        <f t="shared" si="1217"/>
        <v>0</v>
      </c>
      <c r="DO613" t="b">
        <f t="shared" si="1218"/>
        <v>0</v>
      </c>
      <c r="DP613" t="b">
        <f t="shared" si="1219"/>
        <v>0</v>
      </c>
      <c r="DQ613" t="b">
        <f t="shared" si="1220"/>
        <v>0</v>
      </c>
      <c r="DR613" t="b">
        <f t="shared" si="1221"/>
        <v>0</v>
      </c>
      <c r="DS613" t="b">
        <f t="shared" si="1222"/>
        <v>0</v>
      </c>
      <c r="DT613" t="b">
        <f t="shared" si="1223"/>
        <v>0</v>
      </c>
      <c r="DU613" t="b">
        <f t="shared" si="1224"/>
        <v>0</v>
      </c>
      <c r="DV613" t="b">
        <f t="shared" si="1225"/>
        <v>0</v>
      </c>
      <c r="DW613" t="b">
        <f t="shared" si="1226"/>
        <v>0</v>
      </c>
      <c r="DX613" t="b">
        <f t="shared" si="1227"/>
        <v>0</v>
      </c>
      <c r="DY613" t="b">
        <f t="shared" si="1228"/>
        <v>0</v>
      </c>
      <c r="DZ613" t="b">
        <f t="shared" si="1229"/>
        <v>0</v>
      </c>
      <c r="EA613" t="b">
        <f t="shared" si="1230"/>
        <v>0</v>
      </c>
      <c r="EB613" t="b">
        <f t="shared" si="1231"/>
        <v>0</v>
      </c>
      <c r="EC613" t="b">
        <f t="shared" si="1232"/>
        <v>0</v>
      </c>
      <c r="ED613" t="b">
        <f t="shared" si="1233"/>
        <v>0</v>
      </c>
      <c r="EE613" t="b">
        <f t="shared" si="1234"/>
        <v>0</v>
      </c>
      <c r="EF613">
        <f t="shared" si="1235"/>
        <v>1</v>
      </c>
      <c r="EG613" t="b">
        <f t="shared" si="1236"/>
        <v>0</v>
      </c>
      <c r="EH613" t="b">
        <f t="shared" si="1237"/>
        <v>0</v>
      </c>
      <c r="EI613" t="b">
        <f t="shared" si="1238"/>
        <v>0</v>
      </c>
      <c r="EJ613" t="b">
        <f t="shared" si="1239"/>
        <v>0</v>
      </c>
      <c r="EK613" t="b">
        <f t="shared" si="1240"/>
        <v>0</v>
      </c>
    </row>
    <row r="614" spans="1:141">
      <c r="A614" t="s">
        <v>3084</v>
      </c>
      <c r="B614" t="s">
        <v>3084</v>
      </c>
      <c r="C614" t="s">
        <v>3085</v>
      </c>
      <c r="D614" s="1">
        <v>42196</v>
      </c>
      <c r="E614" s="2">
        <v>42435.903657407405</v>
      </c>
      <c r="F614" s="2">
        <v>42435.903657407405</v>
      </c>
      <c r="G614">
        <v>738556</v>
      </c>
      <c r="H614" t="s">
        <v>3086</v>
      </c>
      <c r="I614" s="10" t="s">
        <v>3087</v>
      </c>
      <c r="J614" t="s">
        <v>199</v>
      </c>
      <c r="K614" s="8" t="b">
        <v>1</v>
      </c>
      <c r="L614" s="10" t="b">
        <v>0</v>
      </c>
      <c r="M614" s="12" t="b">
        <v>0</v>
      </c>
      <c r="N614" t="b">
        <v>0</v>
      </c>
      <c r="O614" t="b">
        <v>0</v>
      </c>
      <c r="P614" t="b">
        <v>0</v>
      </c>
      <c r="Q614">
        <f t="shared" si="1117"/>
        <v>7</v>
      </c>
      <c r="R614">
        <f t="shared" si="1118"/>
        <v>7</v>
      </c>
      <c r="S614" t="e">
        <f t="shared" ca="1" si="1148"/>
        <v>#NAME?</v>
      </c>
      <c r="T614" t="e">
        <f t="shared" ca="1" si="1119"/>
        <v>#NAME?</v>
      </c>
      <c r="U614" s="4">
        <f t="shared" si="1120"/>
        <v>239.90365740740526</v>
      </c>
      <c r="V614" s="4">
        <f t="shared" si="1121"/>
        <v>7.9967885802468421</v>
      </c>
      <c r="W614" s="4">
        <f t="shared" si="1122"/>
        <v>1</v>
      </c>
      <c r="X614" s="4">
        <f t="shared" si="1123"/>
        <v>0</v>
      </c>
      <c r="Y614" s="4">
        <f t="shared" si="1124"/>
        <v>0</v>
      </c>
      <c r="Z614" s="4">
        <f t="shared" si="1125"/>
        <v>0</v>
      </c>
      <c r="AA614" s="4">
        <f t="shared" si="1126"/>
        <v>0</v>
      </c>
      <c r="AB614" s="4">
        <f t="shared" si="1127"/>
        <v>0</v>
      </c>
      <c r="AD614" s="4" t="b">
        <f t="shared" si="1128"/>
        <v>0</v>
      </c>
      <c r="AE614" s="4" t="b">
        <f t="shared" si="1129"/>
        <v>0</v>
      </c>
      <c r="AF614" s="4" t="b">
        <f t="shared" si="1130"/>
        <v>0</v>
      </c>
      <c r="AG614" t="b">
        <f t="shared" si="1131"/>
        <v>0</v>
      </c>
      <c r="AH614" t="b">
        <f t="shared" si="1132"/>
        <v>0</v>
      </c>
      <c r="AI614" t="b">
        <f t="shared" si="1133"/>
        <v>0</v>
      </c>
      <c r="AJ614" t="b">
        <f t="shared" si="1134"/>
        <v>0</v>
      </c>
      <c r="AK614" t="b">
        <f t="shared" si="1135"/>
        <v>0</v>
      </c>
      <c r="AL614" t="b">
        <f t="shared" si="1136"/>
        <v>0</v>
      </c>
      <c r="AM614" t="b">
        <f t="shared" si="1137"/>
        <v>0</v>
      </c>
      <c r="AN614" t="b">
        <f t="shared" si="1138"/>
        <v>0</v>
      </c>
      <c r="AO614" t="b">
        <f t="shared" si="1139"/>
        <v>0</v>
      </c>
      <c r="AP614" t="b">
        <f t="shared" si="1140"/>
        <v>0</v>
      </c>
      <c r="AQ614" t="b">
        <f t="shared" si="1141"/>
        <v>0</v>
      </c>
      <c r="AR614" t="b">
        <f t="shared" si="1142"/>
        <v>0</v>
      </c>
      <c r="AS614" t="b">
        <f t="shared" si="1143"/>
        <v>0</v>
      </c>
      <c r="AT614" t="b">
        <f t="shared" si="1144"/>
        <v>0</v>
      </c>
      <c r="AU614" t="b">
        <f t="shared" si="1145"/>
        <v>0</v>
      </c>
      <c r="AV614" t="b">
        <f t="shared" si="1146"/>
        <v>0</v>
      </c>
      <c r="AW614" t="b">
        <f t="shared" si="1147"/>
        <v>0</v>
      </c>
      <c r="AX614" t="b">
        <f t="shared" si="1149"/>
        <v>0</v>
      </c>
      <c r="AY614" t="b">
        <f t="shared" si="1150"/>
        <v>0</v>
      </c>
      <c r="AZ614">
        <f t="shared" si="1151"/>
        <v>1</v>
      </c>
      <c r="BA614" t="b">
        <f t="shared" si="1152"/>
        <v>0</v>
      </c>
      <c r="BB614" t="b">
        <f t="shared" si="1153"/>
        <v>0</v>
      </c>
      <c r="BC614" t="b">
        <f t="shared" si="1154"/>
        <v>0</v>
      </c>
      <c r="BD614" t="b">
        <f t="shared" si="1155"/>
        <v>0</v>
      </c>
      <c r="BE614" t="b">
        <f t="shared" si="1156"/>
        <v>0</v>
      </c>
      <c r="BF614" t="b">
        <f t="shared" si="1157"/>
        <v>0</v>
      </c>
      <c r="BG614" t="b">
        <f t="shared" si="1158"/>
        <v>0</v>
      </c>
      <c r="BH614" t="b">
        <f t="shared" si="1159"/>
        <v>0</v>
      </c>
      <c r="BI614">
        <f t="shared" si="1160"/>
        <v>1</v>
      </c>
      <c r="BJ614" t="b">
        <f t="shared" si="1161"/>
        <v>0</v>
      </c>
      <c r="BK614" t="b">
        <f t="shared" si="1162"/>
        <v>0</v>
      </c>
      <c r="BL614" t="b">
        <f t="shared" si="1163"/>
        <v>0</v>
      </c>
      <c r="BM614" t="b">
        <f t="shared" si="1164"/>
        <v>0</v>
      </c>
      <c r="BN614" t="b">
        <f t="shared" si="1165"/>
        <v>0</v>
      </c>
      <c r="BO614" t="b">
        <f t="shared" si="1166"/>
        <v>0</v>
      </c>
      <c r="BP614" t="b">
        <f t="shared" si="1167"/>
        <v>0</v>
      </c>
      <c r="BQ614" t="b">
        <f t="shared" si="1168"/>
        <v>0</v>
      </c>
      <c r="BR614" t="b">
        <f t="shared" si="1169"/>
        <v>0</v>
      </c>
      <c r="BS614" t="b">
        <f t="shared" si="1170"/>
        <v>0</v>
      </c>
      <c r="BT614" t="b">
        <f t="shared" si="1171"/>
        <v>0</v>
      </c>
      <c r="BU614" t="b">
        <f t="shared" si="1172"/>
        <v>0</v>
      </c>
      <c r="BV614" t="b">
        <f t="shared" si="1173"/>
        <v>0</v>
      </c>
      <c r="BW614" t="b">
        <f t="shared" si="1174"/>
        <v>0</v>
      </c>
      <c r="BX614" t="b">
        <f t="shared" si="1175"/>
        <v>0</v>
      </c>
      <c r="BY614" t="b">
        <f t="shared" si="1176"/>
        <v>0</v>
      </c>
      <c r="BZ614" t="b">
        <f t="shared" si="1177"/>
        <v>0</v>
      </c>
      <c r="CA614" t="b">
        <f t="shared" si="1178"/>
        <v>0</v>
      </c>
      <c r="CB614" t="b">
        <f t="shared" si="1179"/>
        <v>0</v>
      </c>
      <c r="CC614" t="b">
        <f t="shared" si="1180"/>
        <v>0</v>
      </c>
      <c r="CD614" t="b">
        <f t="shared" si="1181"/>
        <v>0</v>
      </c>
      <c r="CE614">
        <f t="shared" si="1182"/>
        <v>1</v>
      </c>
      <c r="CF614" t="b">
        <f t="shared" si="1183"/>
        <v>0</v>
      </c>
      <c r="CG614" t="b">
        <f t="shared" si="1184"/>
        <v>0</v>
      </c>
      <c r="CH614" t="b">
        <f t="shared" si="1185"/>
        <v>0</v>
      </c>
      <c r="CI614" t="b">
        <f t="shared" si="1186"/>
        <v>0</v>
      </c>
      <c r="CJ614" t="b">
        <f t="shared" si="1187"/>
        <v>0</v>
      </c>
      <c r="CK614" t="b">
        <f t="shared" si="1188"/>
        <v>0</v>
      </c>
      <c r="CL614" t="b">
        <f t="shared" si="1189"/>
        <v>0</v>
      </c>
      <c r="CM614" t="b">
        <f t="shared" si="1190"/>
        <v>0</v>
      </c>
      <c r="CN614" t="b">
        <f t="shared" si="1191"/>
        <v>0</v>
      </c>
      <c r="CO614" t="b">
        <f t="shared" si="1192"/>
        <v>0</v>
      </c>
      <c r="CP614" t="b">
        <f t="shared" si="1193"/>
        <v>0</v>
      </c>
      <c r="CQ614" t="b">
        <f t="shared" si="1194"/>
        <v>0</v>
      </c>
      <c r="CR614" t="b">
        <f t="shared" si="1195"/>
        <v>0</v>
      </c>
      <c r="CS614" t="b">
        <f t="shared" si="1196"/>
        <v>0</v>
      </c>
      <c r="CT614" t="b">
        <f t="shared" si="1197"/>
        <v>0</v>
      </c>
      <c r="CU614" t="b">
        <f t="shared" si="1198"/>
        <v>0</v>
      </c>
      <c r="CV614">
        <f t="shared" si="1199"/>
        <v>1</v>
      </c>
      <c r="CW614" t="b">
        <f t="shared" si="1200"/>
        <v>0</v>
      </c>
      <c r="CX614" t="b">
        <f t="shared" si="1201"/>
        <v>0</v>
      </c>
      <c r="CY614" t="b">
        <f t="shared" si="1202"/>
        <v>0</v>
      </c>
      <c r="CZ614" t="b">
        <f t="shared" si="1203"/>
        <v>0</v>
      </c>
      <c r="DA614" t="b">
        <f t="shared" si="1204"/>
        <v>0</v>
      </c>
      <c r="DB614" t="b">
        <f t="shared" si="1205"/>
        <v>0</v>
      </c>
      <c r="DC614" t="b">
        <f t="shared" si="1206"/>
        <v>0</v>
      </c>
      <c r="DD614" t="b">
        <f t="shared" si="1207"/>
        <v>0</v>
      </c>
      <c r="DE614" t="b">
        <f t="shared" si="1208"/>
        <v>0</v>
      </c>
      <c r="DF614" t="b">
        <f t="shared" si="1209"/>
        <v>0</v>
      </c>
      <c r="DG614" t="b">
        <f t="shared" si="1210"/>
        <v>0</v>
      </c>
      <c r="DH614" t="b">
        <f t="shared" si="1211"/>
        <v>0</v>
      </c>
      <c r="DI614" t="b">
        <f t="shared" si="1212"/>
        <v>0</v>
      </c>
      <c r="DJ614" t="b">
        <f t="shared" si="1213"/>
        <v>0</v>
      </c>
      <c r="DK614" t="b">
        <f t="shared" si="1214"/>
        <v>0</v>
      </c>
      <c r="DL614" t="b">
        <f t="shared" si="1215"/>
        <v>0</v>
      </c>
      <c r="DM614" t="b">
        <f t="shared" si="1216"/>
        <v>0</v>
      </c>
      <c r="DN614" t="b">
        <f t="shared" si="1217"/>
        <v>0</v>
      </c>
      <c r="DO614" t="b">
        <f t="shared" si="1218"/>
        <v>0</v>
      </c>
      <c r="DP614" t="b">
        <f t="shared" si="1219"/>
        <v>0</v>
      </c>
      <c r="DQ614" t="b">
        <f t="shared" si="1220"/>
        <v>0</v>
      </c>
      <c r="DR614" t="b">
        <f t="shared" si="1221"/>
        <v>0</v>
      </c>
      <c r="DS614" t="b">
        <f t="shared" si="1222"/>
        <v>0</v>
      </c>
      <c r="DT614" t="b">
        <f t="shared" si="1223"/>
        <v>0</v>
      </c>
      <c r="DU614" t="b">
        <f t="shared" si="1224"/>
        <v>0</v>
      </c>
      <c r="DV614" t="b">
        <f t="shared" si="1225"/>
        <v>0</v>
      </c>
      <c r="DW614" t="b">
        <f t="shared" si="1226"/>
        <v>0</v>
      </c>
      <c r="DX614" t="b">
        <f t="shared" si="1227"/>
        <v>0</v>
      </c>
      <c r="DY614" t="b">
        <f t="shared" si="1228"/>
        <v>0</v>
      </c>
      <c r="DZ614" t="b">
        <f t="shared" si="1229"/>
        <v>0</v>
      </c>
      <c r="EA614" t="b">
        <f t="shared" si="1230"/>
        <v>0</v>
      </c>
      <c r="EB614" t="b">
        <f t="shared" si="1231"/>
        <v>0</v>
      </c>
      <c r="EC614" t="b">
        <f t="shared" si="1232"/>
        <v>0</v>
      </c>
      <c r="ED614" t="b">
        <f t="shared" si="1233"/>
        <v>0</v>
      </c>
      <c r="EE614" t="b">
        <f t="shared" si="1234"/>
        <v>0</v>
      </c>
      <c r="EF614">
        <f t="shared" si="1235"/>
        <v>1</v>
      </c>
      <c r="EG614" t="b">
        <f t="shared" si="1236"/>
        <v>0</v>
      </c>
      <c r="EH614" t="b">
        <f t="shared" si="1237"/>
        <v>0</v>
      </c>
      <c r="EI614" t="b">
        <f t="shared" si="1238"/>
        <v>0</v>
      </c>
      <c r="EJ614" t="b">
        <f t="shared" si="1239"/>
        <v>0</v>
      </c>
      <c r="EK614" t="b">
        <f t="shared" si="1240"/>
        <v>0</v>
      </c>
    </row>
    <row r="615" spans="1:141">
      <c r="A615" t="s">
        <v>3088</v>
      </c>
      <c r="B615" t="s">
        <v>3089</v>
      </c>
      <c r="C615" t="s">
        <v>3090</v>
      </c>
      <c r="D615" s="1">
        <v>41520</v>
      </c>
      <c r="E615" s="2">
        <v>41791.417731481481</v>
      </c>
      <c r="F615" s="2">
        <v>41791.417731481481</v>
      </c>
      <c r="G615">
        <v>202683</v>
      </c>
      <c r="H615" t="s">
        <v>3091</v>
      </c>
      <c r="I615" s="10" t="s">
        <v>3092</v>
      </c>
      <c r="J615" t="s">
        <v>376</v>
      </c>
      <c r="K615" s="8" t="b">
        <v>1</v>
      </c>
      <c r="L615" s="10" t="b">
        <v>0</v>
      </c>
      <c r="M615" s="12" t="b">
        <v>0</v>
      </c>
      <c r="N615" t="b">
        <v>0</v>
      </c>
      <c r="O615" t="b">
        <v>0</v>
      </c>
      <c r="P615" t="b">
        <v>0</v>
      </c>
      <c r="Q615">
        <f t="shared" si="1117"/>
        <v>3</v>
      </c>
      <c r="R615">
        <f t="shared" si="1118"/>
        <v>9</v>
      </c>
      <c r="S615" t="e">
        <f t="shared" ca="1" si="1148"/>
        <v>#NAME?</v>
      </c>
      <c r="T615" t="e">
        <f t="shared" ca="1" si="1119"/>
        <v>#NAME?</v>
      </c>
      <c r="U615" s="4">
        <f t="shared" si="1120"/>
        <v>271.41773148148059</v>
      </c>
      <c r="V615" s="4">
        <f t="shared" si="1121"/>
        <v>9.0472577160493532</v>
      </c>
      <c r="W615" s="4">
        <f t="shared" si="1122"/>
        <v>1</v>
      </c>
      <c r="X615" s="4">
        <f t="shared" si="1123"/>
        <v>0</v>
      </c>
      <c r="Y615" s="4">
        <f t="shared" si="1124"/>
        <v>0</v>
      </c>
      <c r="Z615" s="4">
        <f t="shared" si="1125"/>
        <v>0</v>
      </c>
      <c r="AA615" s="4">
        <f t="shared" si="1126"/>
        <v>0</v>
      </c>
      <c r="AB615" s="4">
        <f t="shared" si="1127"/>
        <v>0</v>
      </c>
      <c r="AD615" s="4" t="b">
        <f t="shared" si="1128"/>
        <v>0</v>
      </c>
      <c r="AE615" s="4" t="b">
        <f t="shared" si="1129"/>
        <v>0</v>
      </c>
      <c r="AF615" s="4" t="b">
        <f t="shared" si="1130"/>
        <v>0</v>
      </c>
      <c r="AG615" t="b">
        <f t="shared" si="1131"/>
        <v>0</v>
      </c>
      <c r="AH615" t="b">
        <f t="shared" si="1132"/>
        <v>0</v>
      </c>
      <c r="AI615" t="b">
        <f t="shared" si="1133"/>
        <v>0</v>
      </c>
      <c r="AJ615" t="b">
        <f t="shared" si="1134"/>
        <v>0</v>
      </c>
      <c r="AK615" t="b">
        <f t="shared" si="1135"/>
        <v>0</v>
      </c>
      <c r="AL615" t="b">
        <f t="shared" si="1136"/>
        <v>0</v>
      </c>
      <c r="AM615" t="b">
        <f t="shared" si="1137"/>
        <v>0</v>
      </c>
      <c r="AN615" t="b">
        <f t="shared" si="1138"/>
        <v>0</v>
      </c>
      <c r="AO615" t="b">
        <f t="shared" si="1139"/>
        <v>0</v>
      </c>
      <c r="AP615" t="b">
        <f t="shared" si="1140"/>
        <v>0</v>
      </c>
      <c r="AQ615" t="b">
        <f t="shared" si="1141"/>
        <v>0</v>
      </c>
      <c r="AR615" t="b">
        <f t="shared" si="1142"/>
        <v>0</v>
      </c>
      <c r="AS615" t="b">
        <f t="shared" si="1143"/>
        <v>0</v>
      </c>
      <c r="AT615" t="b">
        <f t="shared" si="1144"/>
        <v>0</v>
      </c>
      <c r="AU615" t="b">
        <f t="shared" si="1145"/>
        <v>0</v>
      </c>
      <c r="AV615" t="b">
        <f t="shared" si="1146"/>
        <v>0</v>
      </c>
      <c r="AW615" t="b">
        <f t="shared" si="1147"/>
        <v>0</v>
      </c>
      <c r="AX615" t="b">
        <f t="shared" si="1149"/>
        <v>0</v>
      </c>
      <c r="AY615" t="b">
        <f t="shared" si="1150"/>
        <v>0</v>
      </c>
      <c r="AZ615" t="b">
        <f t="shared" si="1151"/>
        <v>0</v>
      </c>
      <c r="BA615" t="b">
        <f t="shared" si="1152"/>
        <v>0</v>
      </c>
      <c r="BB615" t="b">
        <f t="shared" si="1153"/>
        <v>0</v>
      </c>
      <c r="BC615" t="b">
        <f t="shared" si="1154"/>
        <v>0</v>
      </c>
      <c r="BD615" t="b">
        <f t="shared" si="1155"/>
        <v>0</v>
      </c>
      <c r="BE615" t="b">
        <f t="shared" si="1156"/>
        <v>0</v>
      </c>
      <c r="BF615" t="b">
        <f t="shared" si="1157"/>
        <v>0</v>
      </c>
      <c r="BG615" t="b">
        <f t="shared" si="1158"/>
        <v>0</v>
      </c>
      <c r="BH615" t="b">
        <f t="shared" si="1159"/>
        <v>0</v>
      </c>
      <c r="BI615">
        <f t="shared" si="1160"/>
        <v>1</v>
      </c>
      <c r="BJ615" t="b">
        <f t="shared" si="1161"/>
        <v>0</v>
      </c>
      <c r="BK615" t="b">
        <f t="shared" si="1162"/>
        <v>0</v>
      </c>
      <c r="BL615" t="b">
        <f t="shared" si="1163"/>
        <v>0</v>
      </c>
      <c r="BM615" t="b">
        <f t="shared" si="1164"/>
        <v>0</v>
      </c>
      <c r="BN615" t="b">
        <f t="shared" si="1165"/>
        <v>0</v>
      </c>
      <c r="BO615" t="b">
        <f t="shared" si="1166"/>
        <v>0</v>
      </c>
      <c r="BP615" t="b">
        <f t="shared" si="1167"/>
        <v>0</v>
      </c>
      <c r="BQ615" t="b">
        <f t="shared" si="1168"/>
        <v>0</v>
      </c>
      <c r="BR615" t="b">
        <f t="shared" si="1169"/>
        <v>0</v>
      </c>
      <c r="BS615" t="b">
        <f t="shared" si="1170"/>
        <v>0</v>
      </c>
      <c r="BT615" t="b">
        <f t="shared" si="1171"/>
        <v>0</v>
      </c>
      <c r="BU615" t="b">
        <f t="shared" si="1172"/>
        <v>0</v>
      </c>
      <c r="BV615" t="b">
        <f t="shared" si="1173"/>
        <v>0</v>
      </c>
      <c r="BW615" t="b">
        <f t="shared" si="1174"/>
        <v>0</v>
      </c>
      <c r="BX615" t="b">
        <f t="shared" si="1175"/>
        <v>0</v>
      </c>
      <c r="BY615" t="b">
        <f t="shared" si="1176"/>
        <v>0</v>
      </c>
      <c r="BZ615" t="b">
        <f t="shared" si="1177"/>
        <v>0</v>
      </c>
      <c r="CA615" t="b">
        <f t="shared" si="1178"/>
        <v>0</v>
      </c>
      <c r="CB615" t="b">
        <f t="shared" si="1179"/>
        <v>0</v>
      </c>
      <c r="CC615" t="b">
        <f t="shared" si="1180"/>
        <v>0</v>
      </c>
      <c r="CD615">
        <f t="shared" si="1181"/>
        <v>1</v>
      </c>
      <c r="CE615">
        <f t="shared" si="1182"/>
        <v>1</v>
      </c>
      <c r="CF615" t="b">
        <f t="shared" si="1183"/>
        <v>0</v>
      </c>
      <c r="CG615" t="b">
        <f t="shared" si="1184"/>
        <v>0</v>
      </c>
      <c r="CH615" t="b">
        <f t="shared" si="1185"/>
        <v>0</v>
      </c>
      <c r="CI615" t="b">
        <f t="shared" si="1186"/>
        <v>0</v>
      </c>
      <c r="CJ615" t="b">
        <f t="shared" si="1187"/>
        <v>0</v>
      </c>
      <c r="CK615" t="b">
        <f t="shared" si="1188"/>
        <v>0</v>
      </c>
      <c r="CL615" t="b">
        <f t="shared" si="1189"/>
        <v>0</v>
      </c>
      <c r="CM615">
        <f t="shared" si="1190"/>
        <v>1</v>
      </c>
      <c r="CN615" t="b">
        <f t="shared" si="1191"/>
        <v>0</v>
      </c>
      <c r="CO615" t="b">
        <f t="shared" si="1192"/>
        <v>0</v>
      </c>
      <c r="CP615" t="b">
        <f t="shared" si="1193"/>
        <v>0</v>
      </c>
      <c r="CQ615" t="b">
        <f t="shared" si="1194"/>
        <v>0</v>
      </c>
      <c r="CR615" t="b">
        <f t="shared" si="1195"/>
        <v>0</v>
      </c>
      <c r="CS615" t="b">
        <f t="shared" si="1196"/>
        <v>0</v>
      </c>
      <c r="CT615" t="b">
        <f t="shared" si="1197"/>
        <v>0</v>
      </c>
      <c r="CU615" t="b">
        <f t="shared" si="1198"/>
        <v>0</v>
      </c>
      <c r="CV615">
        <f t="shared" si="1199"/>
        <v>1</v>
      </c>
      <c r="CW615" t="b">
        <f t="shared" si="1200"/>
        <v>0</v>
      </c>
      <c r="CX615" t="b">
        <f t="shared" si="1201"/>
        <v>0</v>
      </c>
      <c r="CY615" t="b">
        <f t="shared" si="1202"/>
        <v>0</v>
      </c>
      <c r="CZ615" t="b">
        <f t="shared" si="1203"/>
        <v>0</v>
      </c>
      <c r="DA615" t="b">
        <f t="shared" si="1204"/>
        <v>0</v>
      </c>
      <c r="DB615" t="b">
        <f t="shared" si="1205"/>
        <v>0</v>
      </c>
      <c r="DC615" t="b">
        <f t="shared" si="1206"/>
        <v>0</v>
      </c>
      <c r="DD615" t="b">
        <f t="shared" si="1207"/>
        <v>0</v>
      </c>
      <c r="DE615" t="b">
        <f t="shared" si="1208"/>
        <v>0</v>
      </c>
      <c r="DF615" t="b">
        <f t="shared" si="1209"/>
        <v>0</v>
      </c>
      <c r="DG615">
        <f t="shared" si="1210"/>
        <v>1</v>
      </c>
      <c r="DH615" t="b">
        <f t="shared" si="1211"/>
        <v>0</v>
      </c>
      <c r="DI615" t="b">
        <f t="shared" si="1212"/>
        <v>0</v>
      </c>
      <c r="DJ615" t="b">
        <f t="shared" si="1213"/>
        <v>0</v>
      </c>
      <c r="DK615" t="b">
        <f t="shared" si="1214"/>
        <v>0</v>
      </c>
      <c r="DL615" t="b">
        <f t="shared" si="1215"/>
        <v>0</v>
      </c>
      <c r="DM615" t="b">
        <f t="shared" si="1216"/>
        <v>0</v>
      </c>
      <c r="DN615" t="b">
        <f t="shared" si="1217"/>
        <v>0</v>
      </c>
      <c r="DO615" t="b">
        <f t="shared" si="1218"/>
        <v>0</v>
      </c>
      <c r="DP615" t="b">
        <f t="shared" si="1219"/>
        <v>0</v>
      </c>
      <c r="DQ615" t="b">
        <f t="shared" si="1220"/>
        <v>0</v>
      </c>
      <c r="DR615" t="b">
        <f t="shared" si="1221"/>
        <v>0</v>
      </c>
      <c r="DS615" t="b">
        <f t="shared" si="1222"/>
        <v>0</v>
      </c>
      <c r="DT615" t="b">
        <f t="shared" si="1223"/>
        <v>0</v>
      </c>
      <c r="DU615" t="b">
        <f t="shared" si="1224"/>
        <v>0</v>
      </c>
      <c r="DV615" t="b">
        <f t="shared" si="1225"/>
        <v>0</v>
      </c>
      <c r="DW615" t="b">
        <f t="shared" si="1226"/>
        <v>0</v>
      </c>
      <c r="DX615" t="b">
        <f t="shared" si="1227"/>
        <v>0</v>
      </c>
      <c r="DY615" t="b">
        <f t="shared" si="1228"/>
        <v>0</v>
      </c>
      <c r="DZ615" t="b">
        <f t="shared" si="1229"/>
        <v>0</v>
      </c>
      <c r="EA615" t="b">
        <f t="shared" si="1230"/>
        <v>0</v>
      </c>
      <c r="EB615" t="b">
        <f t="shared" si="1231"/>
        <v>0</v>
      </c>
      <c r="EC615" t="b">
        <f t="shared" si="1232"/>
        <v>0</v>
      </c>
      <c r="ED615" t="b">
        <f t="shared" si="1233"/>
        <v>0</v>
      </c>
      <c r="EE615" t="b">
        <f t="shared" si="1234"/>
        <v>0</v>
      </c>
      <c r="EF615">
        <f t="shared" si="1235"/>
        <v>1</v>
      </c>
      <c r="EG615" t="b">
        <f t="shared" si="1236"/>
        <v>0</v>
      </c>
      <c r="EH615" t="b">
        <f t="shared" si="1237"/>
        <v>0</v>
      </c>
      <c r="EI615">
        <f t="shared" si="1238"/>
        <v>1</v>
      </c>
      <c r="EJ615" t="b">
        <f t="shared" si="1239"/>
        <v>0</v>
      </c>
      <c r="EK615" t="b">
        <f t="shared" si="1240"/>
        <v>0</v>
      </c>
    </row>
    <row r="616" spans="1:141">
      <c r="A616" t="s">
        <v>3093</v>
      </c>
      <c r="B616" t="s">
        <v>3094</v>
      </c>
      <c r="C616" t="s">
        <v>3095</v>
      </c>
      <c r="D616" s="1">
        <v>42589</v>
      </c>
      <c r="E616" s="2">
        <v>42809.812407407408</v>
      </c>
      <c r="F616" s="2">
        <v>43979.163402777776</v>
      </c>
      <c r="G616">
        <v>2247314</v>
      </c>
      <c r="H616" t="s">
        <v>3096</v>
      </c>
      <c r="I616" s="10" t="s">
        <v>3097</v>
      </c>
      <c r="J616" t="s">
        <v>3098</v>
      </c>
      <c r="K616" s="8" t="b">
        <v>1</v>
      </c>
      <c r="L616" s="10" t="b">
        <v>0</v>
      </c>
      <c r="M616" s="12" t="b">
        <v>0</v>
      </c>
      <c r="N616" t="b">
        <v>0</v>
      </c>
      <c r="O616" t="b">
        <v>0</v>
      </c>
      <c r="P616" t="b">
        <v>0</v>
      </c>
      <c r="Q616">
        <f t="shared" si="1117"/>
        <v>1</v>
      </c>
      <c r="R616">
        <f t="shared" si="1118"/>
        <v>8</v>
      </c>
      <c r="S616" t="e">
        <f t="shared" ca="1" si="1148"/>
        <v>#NAME?</v>
      </c>
      <c r="T616" t="e">
        <f t="shared" ca="1" si="1119"/>
        <v>#NAME?</v>
      </c>
      <c r="U616" s="4">
        <f t="shared" si="1120"/>
        <v>220.81240740740759</v>
      </c>
      <c r="V616" s="4">
        <f t="shared" si="1121"/>
        <v>7.3604135802469193</v>
      </c>
      <c r="W616" s="4">
        <f t="shared" si="1122"/>
        <v>1</v>
      </c>
      <c r="X616" s="4">
        <f t="shared" si="1123"/>
        <v>0</v>
      </c>
      <c r="Y616" s="4">
        <f t="shared" si="1124"/>
        <v>0</v>
      </c>
      <c r="Z616" s="4">
        <f t="shared" si="1125"/>
        <v>0</v>
      </c>
      <c r="AA616" s="4">
        <f t="shared" si="1126"/>
        <v>0</v>
      </c>
      <c r="AB616" s="4">
        <f t="shared" si="1127"/>
        <v>0</v>
      </c>
      <c r="AD616" s="4" t="b">
        <f t="shared" si="1128"/>
        <v>0</v>
      </c>
      <c r="AE616" s="4" t="b">
        <f t="shared" si="1129"/>
        <v>0</v>
      </c>
      <c r="AF616" s="4" t="b">
        <f t="shared" si="1130"/>
        <v>0</v>
      </c>
      <c r="AG616" t="b">
        <f t="shared" si="1131"/>
        <v>0</v>
      </c>
      <c r="AH616" t="b">
        <f t="shared" si="1132"/>
        <v>0</v>
      </c>
      <c r="AI616">
        <f t="shared" si="1133"/>
        <v>1</v>
      </c>
      <c r="AJ616" t="b">
        <f t="shared" si="1134"/>
        <v>0</v>
      </c>
      <c r="AK616" t="b">
        <f t="shared" si="1135"/>
        <v>0</v>
      </c>
      <c r="AL616" t="b">
        <f t="shared" si="1136"/>
        <v>0</v>
      </c>
      <c r="AM616" t="b">
        <f t="shared" si="1137"/>
        <v>0</v>
      </c>
      <c r="AN616" t="b">
        <f t="shared" si="1138"/>
        <v>0</v>
      </c>
      <c r="AO616" t="b">
        <f t="shared" si="1139"/>
        <v>0</v>
      </c>
      <c r="AP616" t="b">
        <f t="shared" si="1140"/>
        <v>0</v>
      </c>
      <c r="AQ616" t="b">
        <f t="shared" si="1141"/>
        <v>0</v>
      </c>
      <c r="AR616" t="b">
        <f t="shared" si="1142"/>
        <v>0</v>
      </c>
      <c r="AS616" t="b">
        <f t="shared" si="1143"/>
        <v>0</v>
      </c>
      <c r="AT616" t="b">
        <f t="shared" si="1144"/>
        <v>0</v>
      </c>
      <c r="AU616" t="b">
        <f t="shared" si="1145"/>
        <v>0</v>
      </c>
      <c r="AV616" t="b">
        <f t="shared" si="1146"/>
        <v>0</v>
      </c>
      <c r="AW616" t="b">
        <f t="shared" si="1147"/>
        <v>0</v>
      </c>
      <c r="AX616" t="b">
        <f t="shared" si="1149"/>
        <v>0</v>
      </c>
      <c r="AY616" t="b">
        <f t="shared" si="1150"/>
        <v>0</v>
      </c>
      <c r="AZ616">
        <f t="shared" si="1151"/>
        <v>1</v>
      </c>
      <c r="BA616" t="b">
        <f t="shared" si="1152"/>
        <v>0</v>
      </c>
      <c r="BB616" t="b">
        <f t="shared" si="1153"/>
        <v>0</v>
      </c>
      <c r="BC616" t="b">
        <f t="shared" si="1154"/>
        <v>0</v>
      </c>
      <c r="BD616" t="b">
        <f t="shared" si="1155"/>
        <v>0</v>
      </c>
      <c r="BE616" t="b">
        <f t="shared" si="1156"/>
        <v>0</v>
      </c>
      <c r="BF616" t="b">
        <f t="shared" si="1157"/>
        <v>0</v>
      </c>
      <c r="BG616" t="b">
        <f t="shared" si="1158"/>
        <v>0</v>
      </c>
      <c r="BH616" t="b">
        <f t="shared" si="1159"/>
        <v>0</v>
      </c>
      <c r="BI616">
        <f t="shared" si="1160"/>
        <v>1</v>
      </c>
      <c r="BJ616" t="b">
        <f t="shared" si="1161"/>
        <v>0</v>
      </c>
      <c r="BK616" t="b">
        <f t="shared" si="1162"/>
        <v>0</v>
      </c>
      <c r="BL616" t="b">
        <f t="shared" si="1163"/>
        <v>0</v>
      </c>
      <c r="BM616" t="b">
        <f t="shared" si="1164"/>
        <v>0</v>
      </c>
      <c r="BN616" t="b">
        <f t="shared" si="1165"/>
        <v>0</v>
      </c>
      <c r="BO616" t="b">
        <f t="shared" si="1166"/>
        <v>0</v>
      </c>
      <c r="BP616" t="b">
        <f t="shared" si="1167"/>
        <v>0</v>
      </c>
      <c r="BQ616" t="b">
        <f t="shared" si="1168"/>
        <v>0</v>
      </c>
      <c r="BR616">
        <f t="shared" si="1169"/>
        <v>1</v>
      </c>
      <c r="BS616" t="b">
        <f t="shared" si="1170"/>
        <v>0</v>
      </c>
      <c r="BT616" t="b">
        <f t="shared" si="1171"/>
        <v>0</v>
      </c>
      <c r="BU616" t="b">
        <f t="shared" si="1172"/>
        <v>0</v>
      </c>
      <c r="BV616" t="b">
        <f t="shared" si="1173"/>
        <v>0</v>
      </c>
      <c r="BW616" t="b">
        <f t="shared" si="1174"/>
        <v>0</v>
      </c>
      <c r="BX616" t="b">
        <f t="shared" si="1175"/>
        <v>0</v>
      </c>
      <c r="BY616" t="b">
        <f t="shared" si="1176"/>
        <v>0</v>
      </c>
      <c r="BZ616" t="b">
        <f t="shared" si="1177"/>
        <v>0</v>
      </c>
      <c r="CA616" t="b">
        <f t="shared" si="1178"/>
        <v>0</v>
      </c>
      <c r="CB616" t="b">
        <f t="shared" si="1179"/>
        <v>0</v>
      </c>
      <c r="CC616" t="b">
        <f t="shared" si="1180"/>
        <v>0</v>
      </c>
      <c r="CD616" t="b">
        <f t="shared" si="1181"/>
        <v>0</v>
      </c>
      <c r="CE616" t="b">
        <f t="shared" si="1182"/>
        <v>0</v>
      </c>
      <c r="CF616" t="b">
        <f t="shared" si="1183"/>
        <v>0</v>
      </c>
      <c r="CG616" t="b">
        <f t="shared" si="1184"/>
        <v>0</v>
      </c>
      <c r="CH616" t="b">
        <f t="shared" si="1185"/>
        <v>0</v>
      </c>
      <c r="CI616" t="b">
        <f t="shared" si="1186"/>
        <v>0</v>
      </c>
      <c r="CJ616" t="b">
        <f t="shared" si="1187"/>
        <v>0</v>
      </c>
      <c r="CK616" t="b">
        <f t="shared" si="1188"/>
        <v>0</v>
      </c>
      <c r="CL616" t="b">
        <f t="shared" si="1189"/>
        <v>0</v>
      </c>
      <c r="CM616">
        <f t="shared" si="1190"/>
        <v>1</v>
      </c>
      <c r="CN616" t="b">
        <f t="shared" si="1191"/>
        <v>0</v>
      </c>
      <c r="CO616" t="b">
        <f t="shared" si="1192"/>
        <v>0</v>
      </c>
      <c r="CP616" t="b">
        <f t="shared" si="1193"/>
        <v>0</v>
      </c>
      <c r="CQ616" t="b">
        <f t="shared" si="1194"/>
        <v>0</v>
      </c>
      <c r="CR616" t="b">
        <f t="shared" si="1195"/>
        <v>0</v>
      </c>
      <c r="CS616" t="b">
        <f t="shared" si="1196"/>
        <v>0</v>
      </c>
      <c r="CT616" t="b">
        <f t="shared" si="1197"/>
        <v>0</v>
      </c>
      <c r="CU616" t="b">
        <f t="shared" si="1198"/>
        <v>0</v>
      </c>
      <c r="CV616" t="b">
        <f t="shared" si="1199"/>
        <v>0</v>
      </c>
      <c r="CW616" t="b">
        <f t="shared" si="1200"/>
        <v>0</v>
      </c>
      <c r="CX616" t="b">
        <f t="shared" si="1201"/>
        <v>0</v>
      </c>
      <c r="CY616" t="b">
        <f t="shared" si="1202"/>
        <v>0</v>
      </c>
      <c r="CZ616" t="b">
        <f t="shared" si="1203"/>
        <v>0</v>
      </c>
      <c r="DA616">
        <f t="shared" si="1204"/>
        <v>1</v>
      </c>
      <c r="DB616" t="b">
        <f t="shared" si="1205"/>
        <v>0</v>
      </c>
      <c r="DC616" t="b">
        <f t="shared" si="1206"/>
        <v>0</v>
      </c>
      <c r="DD616" t="b">
        <f t="shared" si="1207"/>
        <v>0</v>
      </c>
      <c r="DE616" t="b">
        <f t="shared" si="1208"/>
        <v>0</v>
      </c>
      <c r="DF616" t="b">
        <f t="shared" si="1209"/>
        <v>0</v>
      </c>
      <c r="DG616" t="b">
        <f t="shared" si="1210"/>
        <v>0</v>
      </c>
      <c r="DH616" t="b">
        <f t="shared" si="1211"/>
        <v>0</v>
      </c>
      <c r="DI616" t="b">
        <f t="shared" si="1212"/>
        <v>0</v>
      </c>
      <c r="DJ616" t="b">
        <f t="shared" si="1213"/>
        <v>0</v>
      </c>
      <c r="DK616" t="b">
        <f t="shared" si="1214"/>
        <v>0</v>
      </c>
      <c r="DL616" t="b">
        <f t="shared" si="1215"/>
        <v>0</v>
      </c>
      <c r="DM616" t="b">
        <f t="shared" si="1216"/>
        <v>0</v>
      </c>
      <c r="DN616" t="b">
        <f t="shared" si="1217"/>
        <v>0</v>
      </c>
      <c r="DO616" t="b">
        <f t="shared" si="1218"/>
        <v>0</v>
      </c>
      <c r="DP616" t="b">
        <f t="shared" si="1219"/>
        <v>0</v>
      </c>
      <c r="DQ616" t="b">
        <f t="shared" si="1220"/>
        <v>0</v>
      </c>
      <c r="DR616" t="b">
        <f t="shared" si="1221"/>
        <v>0</v>
      </c>
      <c r="DS616" t="b">
        <f t="shared" si="1222"/>
        <v>0</v>
      </c>
      <c r="DT616" t="b">
        <f t="shared" si="1223"/>
        <v>0</v>
      </c>
      <c r="DU616" t="b">
        <f t="shared" si="1224"/>
        <v>0</v>
      </c>
      <c r="DV616" t="b">
        <f t="shared" si="1225"/>
        <v>0</v>
      </c>
      <c r="DW616" t="b">
        <f t="shared" si="1226"/>
        <v>0</v>
      </c>
      <c r="DX616" t="b">
        <f t="shared" si="1227"/>
        <v>0</v>
      </c>
      <c r="DY616" t="b">
        <f t="shared" si="1228"/>
        <v>0</v>
      </c>
      <c r="DZ616" t="b">
        <f t="shared" si="1229"/>
        <v>0</v>
      </c>
      <c r="EA616" t="b">
        <f t="shared" si="1230"/>
        <v>0</v>
      </c>
      <c r="EB616" t="b">
        <f t="shared" si="1231"/>
        <v>0</v>
      </c>
      <c r="EC616" t="b">
        <f t="shared" si="1232"/>
        <v>0</v>
      </c>
      <c r="ED616" t="b">
        <f t="shared" si="1233"/>
        <v>0</v>
      </c>
      <c r="EE616" t="b">
        <f t="shared" si="1234"/>
        <v>0</v>
      </c>
      <c r="EF616">
        <f t="shared" si="1235"/>
        <v>1</v>
      </c>
      <c r="EG616" t="b">
        <f t="shared" si="1236"/>
        <v>0</v>
      </c>
      <c r="EH616" t="b">
        <f t="shared" si="1237"/>
        <v>0</v>
      </c>
      <c r="EI616" t="b">
        <f t="shared" si="1238"/>
        <v>0</v>
      </c>
      <c r="EJ616" t="b">
        <f t="shared" si="1239"/>
        <v>0</v>
      </c>
      <c r="EK616" t="b">
        <f t="shared" si="1240"/>
        <v>0</v>
      </c>
    </row>
    <row r="617" spans="1:141">
      <c r="A617" t="s">
        <v>3099</v>
      </c>
      <c r="B617" t="s">
        <v>3100</v>
      </c>
      <c r="C617" t="s">
        <v>3095</v>
      </c>
      <c r="D617" s="1">
        <v>43857</v>
      </c>
      <c r="E617" s="2">
        <v>43979.16300925926</v>
      </c>
      <c r="F617" s="2">
        <v>43979.16300925926</v>
      </c>
      <c r="G617">
        <v>9705172</v>
      </c>
      <c r="H617" t="s">
        <v>3101</v>
      </c>
      <c r="I617" s="10" t="s">
        <v>3097</v>
      </c>
      <c r="J617" t="s">
        <v>3102</v>
      </c>
      <c r="K617" s="8" t="b">
        <v>1</v>
      </c>
      <c r="L617" s="10" t="b">
        <v>0</v>
      </c>
      <c r="M617" s="12" t="b">
        <v>0</v>
      </c>
      <c r="N617" t="b">
        <v>0</v>
      </c>
      <c r="O617" t="b">
        <v>0</v>
      </c>
      <c r="P617" t="b">
        <v>0</v>
      </c>
      <c r="Q617">
        <f t="shared" si="1117"/>
        <v>2</v>
      </c>
      <c r="R617">
        <f t="shared" si="1118"/>
        <v>1</v>
      </c>
      <c r="S617" t="e">
        <f t="shared" ca="1" si="1148"/>
        <v>#NAME?</v>
      </c>
      <c r="T617" t="e">
        <f t="shared" ca="1" si="1119"/>
        <v>#NAME?</v>
      </c>
      <c r="U617" s="4">
        <f t="shared" si="1120"/>
        <v>122.16300925926043</v>
      </c>
      <c r="V617" s="4">
        <f t="shared" si="1121"/>
        <v>4.0721003086420149</v>
      </c>
      <c r="W617" s="4">
        <f t="shared" si="1122"/>
        <v>1</v>
      </c>
      <c r="X617" s="4">
        <f t="shared" si="1123"/>
        <v>0</v>
      </c>
      <c r="Y617" s="4">
        <f t="shared" si="1124"/>
        <v>0</v>
      </c>
      <c r="Z617" s="4">
        <f t="shared" si="1125"/>
        <v>0</v>
      </c>
      <c r="AA617" s="4">
        <f t="shared" si="1126"/>
        <v>0</v>
      </c>
      <c r="AB617" s="4">
        <f t="shared" si="1127"/>
        <v>0</v>
      </c>
      <c r="AD617" s="4" t="b">
        <f t="shared" si="1128"/>
        <v>0</v>
      </c>
      <c r="AE617" s="4" t="b">
        <f t="shared" si="1129"/>
        <v>0</v>
      </c>
      <c r="AF617" s="4" t="b">
        <f t="shared" si="1130"/>
        <v>0</v>
      </c>
      <c r="AG617" t="b">
        <f t="shared" si="1131"/>
        <v>0</v>
      </c>
      <c r="AH617" t="b">
        <f t="shared" si="1132"/>
        <v>0</v>
      </c>
      <c r="AI617">
        <f t="shared" si="1133"/>
        <v>1</v>
      </c>
      <c r="AJ617" t="b">
        <f t="shared" si="1134"/>
        <v>0</v>
      </c>
      <c r="AK617" t="b">
        <f t="shared" si="1135"/>
        <v>0</v>
      </c>
      <c r="AL617" t="b">
        <f t="shared" si="1136"/>
        <v>0</v>
      </c>
      <c r="AM617" t="b">
        <f t="shared" si="1137"/>
        <v>0</v>
      </c>
      <c r="AN617" t="b">
        <f t="shared" si="1138"/>
        <v>0</v>
      </c>
      <c r="AO617" t="b">
        <f t="shared" si="1139"/>
        <v>0</v>
      </c>
      <c r="AP617" t="b">
        <f t="shared" si="1140"/>
        <v>0</v>
      </c>
      <c r="AQ617" t="b">
        <f t="shared" si="1141"/>
        <v>0</v>
      </c>
      <c r="AR617" t="b">
        <f t="shared" si="1142"/>
        <v>0</v>
      </c>
      <c r="AS617" t="b">
        <f t="shared" si="1143"/>
        <v>0</v>
      </c>
      <c r="AT617" t="b">
        <f t="shared" si="1144"/>
        <v>0</v>
      </c>
      <c r="AU617" t="b">
        <f t="shared" si="1145"/>
        <v>0</v>
      </c>
      <c r="AV617" t="b">
        <f t="shared" si="1146"/>
        <v>0</v>
      </c>
      <c r="AW617" t="b">
        <f t="shared" si="1147"/>
        <v>0</v>
      </c>
      <c r="AX617" t="b">
        <f t="shared" si="1149"/>
        <v>0</v>
      </c>
      <c r="AY617" t="b">
        <f t="shared" si="1150"/>
        <v>0</v>
      </c>
      <c r="AZ617">
        <f t="shared" si="1151"/>
        <v>1</v>
      </c>
      <c r="BA617" t="b">
        <f t="shared" si="1152"/>
        <v>0</v>
      </c>
      <c r="BB617" t="b">
        <f t="shared" si="1153"/>
        <v>0</v>
      </c>
      <c r="BC617" t="b">
        <f t="shared" si="1154"/>
        <v>0</v>
      </c>
      <c r="BD617" t="b">
        <f t="shared" si="1155"/>
        <v>0</v>
      </c>
      <c r="BE617" t="b">
        <f t="shared" si="1156"/>
        <v>0</v>
      </c>
      <c r="BF617" t="b">
        <f t="shared" si="1157"/>
        <v>0</v>
      </c>
      <c r="BG617" t="b">
        <f t="shared" si="1158"/>
        <v>0</v>
      </c>
      <c r="BH617" t="b">
        <f t="shared" si="1159"/>
        <v>0</v>
      </c>
      <c r="BI617">
        <f t="shared" si="1160"/>
        <v>1</v>
      </c>
      <c r="BJ617" t="b">
        <f t="shared" si="1161"/>
        <v>0</v>
      </c>
      <c r="BK617" t="b">
        <f t="shared" si="1162"/>
        <v>0</v>
      </c>
      <c r="BL617" t="b">
        <f t="shared" si="1163"/>
        <v>0</v>
      </c>
      <c r="BM617" t="b">
        <f t="shared" si="1164"/>
        <v>0</v>
      </c>
      <c r="BN617" t="b">
        <f t="shared" si="1165"/>
        <v>0</v>
      </c>
      <c r="BO617" t="b">
        <f t="shared" si="1166"/>
        <v>0</v>
      </c>
      <c r="BP617" t="b">
        <f t="shared" si="1167"/>
        <v>0</v>
      </c>
      <c r="BQ617" t="b">
        <f t="shared" si="1168"/>
        <v>0</v>
      </c>
      <c r="BR617">
        <f t="shared" si="1169"/>
        <v>1</v>
      </c>
      <c r="BS617">
        <f t="shared" si="1170"/>
        <v>1</v>
      </c>
      <c r="BT617" t="b">
        <f t="shared" si="1171"/>
        <v>0</v>
      </c>
      <c r="BU617" t="b">
        <f t="shared" si="1172"/>
        <v>0</v>
      </c>
      <c r="BV617" t="b">
        <f t="shared" si="1173"/>
        <v>0</v>
      </c>
      <c r="BW617" t="b">
        <f t="shared" si="1174"/>
        <v>0</v>
      </c>
      <c r="BX617" t="b">
        <f t="shared" si="1175"/>
        <v>0</v>
      </c>
      <c r="BY617" t="b">
        <f t="shared" si="1176"/>
        <v>0</v>
      </c>
      <c r="BZ617" t="b">
        <f t="shared" si="1177"/>
        <v>0</v>
      </c>
      <c r="CA617" t="b">
        <f t="shared" si="1178"/>
        <v>0</v>
      </c>
      <c r="CB617" t="b">
        <f t="shared" si="1179"/>
        <v>0</v>
      </c>
      <c r="CC617" t="b">
        <f t="shared" si="1180"/>
        <v>0</v>
      </c>
      <c r="CD617" t="b">
        <f t="shared" si="1181"/>
        <v>0</v>
      </c>
      <c r="CE617">
        <f t="shared" si="1182"/>
        <v>1</v>
      </c>
      <c r="CF617" t="b">
        <f t="shared" si="1183"/>
        <v>0</v>
      </c>
      <c r="CG617" t="b">
        <f t="shared" si="1184"/>
        <v>0</v>
      </c>
      <c r="CH617" t="b">
        <f t="shared" si="1185"/>
        <v>0</v>
      </c>
      <c r="CI617" t="b">
        <f t="shared" si="1186"/>
        <v>0</v>
      </c>
      <c r="CJ617" t="b">
        <f t="shared" si="1187"/>
        <v>0</v>
      </c>
      <c r="CK617" t="b">
        <f t="shared" si="1188"/>
        <v>0</v>
      </c>
      <c r="CL617" t="b">
        <f t="shared" si="1189"/>
        <v>0</v>
      </c>
      <c r="CM617">
        <f t="shared" si="1190"/>
        <v>1</v>
      </c>
      <c r="CN617" t="b">
        <f t="shared" si="1191"/>
        <v>0</v>
      </c>
      <c r="CO617" t="b">
        <f t="shared" si="1192"/>
        <v>0</v>
      </c>
      <c r="CP617" t="b">
        <f t="shared" si="1193"/>
        <v>0</v>
      </c>
      <c r="CQ617" t="b">
        <f t="shared" si="1194"/>
        <v>0</v>
      </c>
      <c r="CR617" t="b">
        <f t="shared" si="1195"/>
        <v>0</v>
      </c>
      <c r="CS617" t="b">
        <f t="shared" si="1196"/>
        <v>0</v>
      </c>
      <c r="CT617" t="b">
        <f t="shared" si="1197"/>
        <v>0</v>
      </c>
      <c r="CU617" t="b">
        <f t="shared" si="1198"/>
        <v>0</v>
      </c>
      <c r="CV617">
        <f t="shared" si="1199"/>
        <v>1</v>
      </c>
      <c r="CW617" t="b">
        <f t="shared" si="1200"/>
        <v>0</v>
      </c>
      <c r="CX617" t="b">
        <f t="shared" si="1201"/>
        <v>0</v>
      </c>
      <c r="CY617" t="b">
        <f t="shared" si="1202"/>
        <v>0</v>
      </c>
      <c r="CZ617" t="b">
        <f t="shared" si="1203"/>
        <v>0</v>
      </c>
      <c r="DA617">
        <f t="shared" si="1204"/>
        <v>1</v>
      </c>
      <c r="DB617" t="b">
        <f t="shared" si="1205"/>
        <v>0</v>
      </c>
      <c r="DC617" t="b">
        <f t="shared" si="1206"/>
        <v>0</v>
      </c>
      <c r="DD617" t="b">
        <f t="shared" si="1207"/>
        <v>0</v>
      </c>
      <c r="DE617" t="b">
        <f t="shared" si="1208"/>
        <v>0</v>
      </c>
      <c r="DF617" t="b">
        <f t="shared" si="1209"/>
        <v>0</v>
      </c>
      <c r="DG617" t="b">
        <f t="shared" si="1210"/>
        <v>0</v>
      </c>
      <c r="DH617" t="b">
        <f t="shared" si="1211"/>
        <v>0</v>
      </c>
      <c r="DI617">
        <f t="shared" si="1212"/>
        <v>1</v>
      </c>
      <c r="DJ617" t="b">
        <f t="shared" si="1213"/>
        <v>0</v>
      </c>
      <c r="DK617" t="b">
        <f t="shared" si="1214"/>
        <v>0</v>
      </c>
      <c r="DL617" t="b">
        <f t="shared" si="1215"/>
        <v>0</v>
      </c>
      <c r="DM617" t="b">
        <f t="shared" si="1216"/>
        <v>0</v>
      </c>
      <c r="DN617" t="b">
        <f t="shared" si="1217"/>
        <v>0</v>
      </c>
      <c r="DO617" t="b">
        <f t="shared" si="1218"/>
        <v>0</v>
      </c>
      <c r="DP617" t="b">
        <f t="shared" si="1219"/>
        <v>0</v>
      </c>
      <c r="DQ617" t="b">
        <f t="shared" si="1220"/>
        <v>0</v>
      </c>
      <c r="DR617" t="b">
        <f t="shared" si="1221"/>
        <v>0</v>
      </c>
      <c r="DS617" t="b">
        <f t="shared" si="1222"/>
        <v>0</v>
      </c>
      <c r="DT617" t="b">
        <f t="shared" si="1223"/>
        <v>0</v>
      </c>
      <c r="DU617" t="b">
        <f t="shared" si="1224"/>
        <v>0</v>
      </c>
      <c r="DV617" t="b">
        <f t="shared" si="1225"/>
        <v>0</v>
      </c>
      <c r="DW617" t="b">
        <f t="shared" si="1226"/>
        <v>0</v>
      </c>
      <c r="DX617" t="b">
        <f t="shared" si="1227"/>
        <v>0</v>
      </c>
      <c r="DY617">
        <f t="shared" si="1228"/>
        <v>1</v>
      </c>
      <c r="DZ617" t="b">
        <f t="shared" si="1229"/>
        <v>0</v>
      </c>
      <c r="EA617" t="b">
        <f t="shared" si="1230"/>
        <v>0</v>
      </c>
      <c r="EB617" t="b">
        <f t="shared" si="1231"/>
        <v>0</v>
      </c>
      <c r="EC617" t="b">
        <f t="shared" si="1232"/>
        <v>0</v>
      </c>
      <c r="ED617" t="b">
        <f t="shared" si="1233"/>
        <v>0</v>
      </c>
      <c r="EE617" t="b">
        <f t="shared" si="1234"/>
        <v>0</v>
      </c>
      <c r="EF617">
        <f t="shared" si="1235"/>
        <v>1</v>
      </c>
      <c r="EG617" t="b">
        <f t="shared" si="1236"/>
        <v>0</v>
      </c>
      <c r="EH617" t="b">
        <f t="shared" si="1237"/>
        <v>0</v>
      </c>
      <c r="EI617" t="b">
        <f t="shared" si="1238"/>
        <v>0</v>
      </c>
      <c r="EJ617" t="b">
        <f t="shared" si="1239"/>
        <v>0</v>
      </c>
      <c r="EK617" t="b">
        <f t="shared" si="1240"/>
        <v>0</v>
      </c>
    </row>
    <row r="618" spans="1:141">
      <c r="A618" t="s">
        <v>3103</v>
      </c>
      <c r="B618" t="s">
        <v>3103</v>
      </c>
      <c r="C618" t="s">
        <v>3104</v>
      </c>
      <c r="D618" s="1">
        <v>44026</v>
      </c>
      <c r="E618" s="2">
        <v>44109.154502314814</v>
      </c>
      <c r="F618" s="2">
        <v>44525.922361111108</v>
      </c>
      <c r="G618">
        <v>2856769</v>
      </c>
      <c r="H618" t="s">
        <v>3105</v>
      </c>
      <c r="I618" s="10" t="s">
        <v>3106</v>
      </c>
      <c r="J618" t="s">
        <v>479</v>
      </c>
      <c r="K618" s="8" t="b">
        <v>1</v>
      </c>
      <c r="L618" s="10" t="b">
        <v>0</v>
      </c>
      <c r="M618" s="12" t="b">
        <v>0</v>
      </c>
      <c r="N618" t="b">
        <v>0</v>
      </c>
      <c r="O618" t="b">
        <v>0</v>
      </c>
      <c r="P618" t="b">
        <v>0</v>
      </c>
      <c r="Q618">
        <f t="shared" si="1117"/>
        <v>3</v>
      </c>
      <c r="R618">
        <f t="shared" si="1118"/>
        <v>7</v>
      </c>
      <c r="S618" t="e">
        <f t="shared" ca="1" si="1148"/>
        <v>#NAME?</v>
      </c>
      <c r="T618" t="e">
        <f t="shared" ca="1" si="1119"/>
        <v>#NAME?</v>
      </c>
      <c r="U618" s="4">
        <f t="shared" si="1120"/>
        <v>83.154502314813726</v>
      </c>
      <c r="V618" s="4">
        <f t="shared" si="1121"/>
        <v>2.7718167438271242</v>
      </c>
      <c r="W618" s="4">
        <f t="shared" si="1122"/>
        <v>1</v>
      </c>
      <c r="X618" s="4">
        <f t="shared" si="1123"/>
        <v>0</v>
      </c>
      <c r="Y618" s="4">
        <f t="shared" si="1124"/>
        <v>0</v>
      </c>
      <c r="Z618" s="4">
        <f t="shared" si="1125"/>
        <v>0</v>
      </c>
      <c r="AA618" s="4">
        <f t="shared" si="1126"/>
        <v>0</v>
      </c>
      <c r="AB618" s="4">
        <f t="shared" si="1127"/>
        <v>0</v>
      </c>
      <c r="AD618" s="4" t="b">
        <f t="shared" si="1128"/>
        <v>0</v>
      </c>
      <c r="AE618" s="4" t="b">
        <f t="shared" si="1129"/>
        <v>0</v>
      </c>
      <c r="AF618" s="4" t="b">
        <f t="shared" si="1130"/>
        <v>0</v>
      </c>
      <c r="AG618" t="b">
        <f t="shared" si="1131"/>
        <v>0</v>
      </c>
      <c r="AH618" t="b">
        <f t="shared" si="1132"/>
        <v>0</v>
      </c>
      <c r="AI618" t="b">
        <f t="shared" si="1133"/>
        <v>0</v>
      </c>
      <c r="AJ618" t="b">
        <f t="shared" si="1134"/>
        <v>0</v>
      </c>
      <c r="AK618" t="b">
        <f t="shared" si="1135"/>
        <v>0</v>
      </c>
      <c r="AL618" t="b">
        <f t="shared" si="1136"/>
        <v>0</v>
      </c>
      <c r="AM618" t="b">
        <f t="shared" si="1137"/>
        <v>0</v>
      </c>
      <c r="AN618" t="b">
        <f t="shared" si="1138"/>
        <v>0</v>
      </c>
      <c r="AO618" t="b">
        <f t="shared" si="1139"/>
        <v>0</v>
      </c>
      <c r="AP618" t="b">
        <f t="shared" si="1140"/>
        <v>0</v>
      </c>
      <c r="AQ618" t="b">
        <f t="shared" si="1141"/>
        <v>0</v>
      </c>
      <c r="AR618" t="b">
        <f t="shared" si="1142"/>
        <v>0</v>
      </c>
      <c r="AS618" t="b">
        <f t="shared" si="1143"/>
        <v>0</v>
      </c>
      <c r="AT618" t="b">
        <f t="shared" si="1144"/>
        <v>0</v>
      </c>
      <c r="AU618" t="b">
        <f t="shared" si="1145"/>
        <v>0</v>
      </c>
      <c r="AV618" t="b">
        <f t="shared" si="1146"/>
        <v>0</v>
      </c>
      <c r="AW618" t="b">
        <f t="shared" si="1147"/>
        <v>0</v>
      </c>
      <c r="AX618" t="b">
        <f t="shared" si="1149"/>
        <v>0</v>
      </c>
      <c r="AY618" t="b">
        <f t="shared" si="1150"/>
        <v>0</v>
      </c>
      <c r="AZ618">
        <f t="shared" si="1151"/>
        <v>1</v>
      </c>
      <c r="BA618" t="b">
        <f t="shared" si="1152"/>
        <v>0</v>
      </c>
      <c r="BB618" t="b">
        <f t="shared" si="1153"/>
        <v>0</v>
      </c>
      <c r="BC618" t="b">
        <f t="shared" si="1154"/>
        <v>0</v>
      </c>
      <c r="BD618" t="b">
        <f t="shared" si="1155"/>
        <v>0</v>
      </c>
      <c r="BE618" t="b">
        <f t="shared" si="1156"/>
        <v>0</v>
      </c>
      <c r="BF618" t="b">
        <f t="shared" si="1157"/>
        <v>0</v>
      </c>
      <c r="BG618" t="b">
        <f t="shared" si="1158"/>
        <v>0</v>
      </c>
      <c r="BH618" t="b">
        <f t="shared" si="1159"/>
        <v>0</v>
      </c>
      <c r="BI618">
        <f t="shared" si="1160"/>
        <v>1</v>
      </c>
      <c r="BJ618" t="b">
        <f t="shared" si="1161"/>
        <v>0</v>
      </c>
      <c r="BK618" t="b">
        <f t="shared" si="1162"/>
        <v>0</v>
      </c>
      <c r="BL618" t="b">
        <f t="shared" si="1163"/>
        <v>0</v>
      </c>
      <c r="BM618" t="b">
        <f t="shared" si="1164"/>
        <v>0</v>
      </c>
      <c r="BN618" t="b">
        <f t="shared" si="1165"/>
        <v>0</v>
      </c>
      <c r="BO618" t="b">
        <f t="shared" si="1166"/>
        <v>0</v>
      </c>
      <c r="BP618" t="b">
        <f t="shared" si="1167"/>
        <v>0</v>
      </c>
      <c r="BQ618" t="b">
        <f t="shared" si="1168"/>
        <v>0</v>
      </c>
      <c r="BR618" t="b">
        <f t="shared" si="1169"/>
        <v>0</v>
      </c>
      <c r="BS618" t="b">
        <f t="shared" si="1170"/>
        <v>0</v>
      </c>
      <c r="BT618" t="b">
        <f t="shared" si="1171"/>
        <v>0</v>
      </c>
      <c r="BU618" t="b">
        <f t="shared" si="1172"/>
        <v>0</v>
      </c>
      <c r="BV618" t="b">
        <f t="shared" si="1173"/>
        <v>0</v>
      </c>
      <c r="BW618" t="b">
        <f t="shared" si="1174"/>
        <v>0</v>
      </c>
      <c r="BX618" t="b">
        <f t="shared" si="1175"/>
        <v>0</v>
      </c>
      <c r="BY618" t="b">
        <f t="shared" si="1176"/>
        <v>0</v>
      </c>
      <c r="BZ618" t="b">
        <f t="shared" si="1177"/>
        <v>0</v>
      </c>
      <c r="CA618" t="b">
        <f t="shared" si="1178"/>
        <v>0</v>
      </c>
      <c r="CB618" t="b">
        <f t="shared" si="1179"/>
        <v>0</v>
      </c>
      <c r="CC618" t="b">
        <f t="shared" si="1180"/>
        <v>0</v>
      </c>
      <c r="CD618" t="b">
        <f t="shared" si="1181"/>
        <v>0</v>
      </c>
      <c r="CE618">
        <f t="shared" si="1182"/>
        <v>1</v>
      </c>
      <c r="CF618" t="b">
        <f t="shared" si="1183"/>
        <v>0</v>
      </c>
      <c r="CG618" t="b">
        <f t="shared" si="1184"/>
        <v>0</v>
      </c>
      <c r="CH618" t="b">
        <f t="shared" si="1185"/>
        <v>0</v>
      </c>
      <c r="CI618" t="b">
        <f t="shared" si="1186"/>
        <v>0</v>
      </c>
      <c r="CJ618" t="b">
        <f t="shared" si="1187"/>
        <v>0</v>
      </c>
      <c r="CK618" t="b">
        <f t="shared" si="1188"/>
        <v>0</v>
      </c>
      <c r="CL618" t="b">
        <f t="shared" si="1189"/>
        <v>0</v>
      </c>
      <c r="CM618">
        <f t="shared" si="1190"/>
        <v>1</v>
      </c>
      <c r="CN618" t="b">
        <f t="shared" si="1191"/>
        <v>0</v>
      </c>
      <c r="CO618" t="b">
        <f t="shared" si="1192"/>
        <v>0</v>
      </c>
      <c r="CP618" t="b">
        <f t="shared" si="1193"/>
        <v>0</v>
      </c>
      <c r="CQ618" t="b">
        <f t="shared" si="1194"/>
        <v>0</v>
      </c>
      <c r="CR618" t="b">
        <f t="shared" si="1195"/>
        <v>0</v>
      </c>
      <c r="CS618" t="b">
        <f t="shared" si="1196"/>
        <v>0</v>
      </c>
      <c r="CT618" t="b">
        <f t="shared" si="1197"/>
        <v>0</v>
      </c>
      <c r="CU618" t="b">
        <f t="shared" si="1198"/>
        <v>0</v>
      </c>
      <c r="CV618">
        <f t="shared" si="1199"/>
        <v>1</v>
      </c>
      <c r="CW618" t="b">
        <f t="shared" si="1200"/>
        <v>0</v>
      </c>
      <c r="CX618" t="b">
        <f t="shared" si="1201"/>
        <v>0</v>
      </c>
      <c r="CY618" t="b">
        <f t="shared" si="1202"/>
        <v>0</v>
      </c>
      <c r="CZ618" t="b">
        <f t="shared" si="1203"/>
        <v>0</v>
      </c>
      <c r="DA618">
        <f t="shared" si="1204"/>
        <v>1</v>
      </c>
      <c r="DB618">
        <f t="shared" si="1205"/>
        <v>1</v>
      </c>
      <c r="DC618" t="b">
        <f t="shared" si="1206"/>
        <v>0</v>
      </c>
      <c r="DD618" t="b">
        <f t="shared" si="1207"/>
        <v>0</v>
      </c>
      <c r="DE618" t="b">
        <f t="shared" si="1208"/>
        <v>0</v>
      </c>
      <c r="DF618" t="b">
        <f t="shared" si="1209"/>
        <v>0</v>
      </c>
      <c r="DG618" t="b">
        <f t="shared" si="1210"/>
        <v>0</v>
      </c>
      <c r="DH618" t="b">
        <f t="shared" si="1211"/>
        <v>0</v>
      </c>
      <c r="DI618" t="b">
        <f t="shared" si="1212"/>
        <v>0</v>
      </c>
      <c r="DJ618" t="b">
        <f t="shared" si="1213"/>
        <v>0</v>
      </c>
      <c r="DK618" t="b">
        <f t="shared" si="1214"/>
        <v>0</v>
      </c>
      <c r="DL618" t="b">
        <f t="shared" si="1215"/>
        <v>0</v>
      </c>
      <c r="DM618" t="b">
        <f t="shared" si="1216"/>
        <v>0</v>
      </c>
      <c r="DN618" t="b">
        <f t="shared" si="1217"/>
        <v>0</v>
      </c>
      <c r="DO618" t="b">
        <f t="shared" si="1218"/>
        <v>0</v>
      </c>
      <c r="DP618" t="b">
        <f t="shared" si="1219"/>
        <v>0</v>
      </c>
      <c r="DQ618" t="b">
        <f t="shared" si="1220"/>
        <v>0</v>
      </c>
      <c r="DR618" t="b">
        <f t="shared" si="1221"/>
        <v>0</v>
      </c>
      <c r="DS618" t="b">
        <f t="shared" si="1222"/>
        <v>0</v>
      </c>
      <c r="DT618" t="b">
        <f t="shared" si="1223"/>
        <v>0</v>
      </c>
      <c r="DU618" t="b">
        <f t="shared" si="1224"/>
        <v>0</v>
      </c>
      <c r="DV618" t="b">
        <f t="shared" si="1225"/>
        <v>0</v>
      </c>
      <c r="DW618" t="b">
        <f t="shared" si="1226"/>
        <v>0</v>
      </c>
      <c r="DX618" t="b">
        <f t="shared" si="1227"/>
        <v>0</v>
      </c>
      <c r="DY618" t="b">
        <f t="shared" si="1228"/>
        <v>0</v>
      </c>
      <c r="DZ618" t="b">
        <f t="shared" si="1229"/>
        <v>0</v>
      </c>
      <c r="EA618" t="b">
        <f t="shared" si="1230"/>
        <v>0</v>
      </c>
      <c r="EB618" t="b">
        <f t="shared" si="1231"/>
        <v>0</v>
      </c>
      <c r="EC618" t="b">
        <f t="shared" si="1232"/>
        <v>0</v>
      </c>
      <c r="ED618" t="b">
        <f t="shared" si="1233"/>
        <v>0</v>
      </c>
      <c r="EE618" t="b">
        <f t="shared" si="1234"/>
        <v>0</v>
      </c>
      <c r="EF618" t="b">
        <f t="shared" si="1235"/>
        <v>0</v>
      </c>
      <c r="EG618" t="b">
        <f t="shared" si="1236"/>
        <v>0</v>
      </c>
      <c r="EH618" t="b">
        <f t="shared" si="1237"/>
        <v>0</v>
      </c>
      <c r="EI618" t="b">
        <f t="shared" si="1238"/>
        <v>0</v>
      </c>
      <c r="EJ618" t="b">
        <f t="shared" si="1239"/>
        <v>0</v>
      </c>
      <c r="EK618" t="b">
        <f t="shared" si="1240"/>
        <v>0</v>
      </c>
    </row>
    <row r="619" spans="1:141">
      <c r="A619" t="s">
        <v>3107</v>
      </c>
      <c r="B619" t="s">
        <v>3107</v>
      </c>
      <c r="C619" t="s">
        <v>3108</v>
      </c>
      <c r="D619" s="1">
        <v>44132</v>
      </c>
      <c r="E619" s="2">
        <v>44139.885300925926</v>
      </c>
      <c r="F619" s="2">
        <v>44140.196064814816</v>
      </c>
      <c r="G619">
        <v>3924454</v>
      </c>
      <c r="H619" t="s">
        <v>3109</v>
      </c>
      <c r="I619" s="10" t="s">
        <v>3110</v>
      </c>
      <c r="J619" t="s">
        <v>3111</v>
      </c>
      <c r="K619" s="8" t="b">
        <v>1</v>
      </c>
      <c r="L619" s="10" t="b">
        <v>0</v>
      </c>
      <c r="M619" s="12" t="b">
        <v>0</v>
      </c>
      <c r="N619" t="b">
        <v>0</v>
      </c>
      <c r="O619" t="b">
        <v>0</v>
      </c>
      <c r="P619" t="b">
        <v>0</v>
      </c>
      <c r="Q619">
        <f t="shared" si="1117"/>
        <v>4</v>
      </c>
      <c r="R619">
        <f t="shared" si="1118"/>
        <v>10</v>
      </c>
      <c r="S619" t="e">
        <f t="shared" ca="1" si="1148"/>
        <v>#NAME?</v>
      </c>
      <c r="T619" t="e">
        <f t="shared" ca="1" si="1119"/>
        <v>#NAME?</v>
      </c>
      <c r="U619" s="4">
        <f t="shared" si="1120"/>
        <v>7.8853009259255487</v>
      </c>
      <c r="V619" s="4">
        <f t="shared" si="1121"/>
        <v>0.2628433641975183</v>
      </c>
      <c r="W619" s="4">
        <f t="shared" si="1122"/>
        <v>1</v>
      </c>
      <c r="X619" s="4">
        <f t="shared" si="1123"/>
        <v>0</v>
      </c>
      <c r="Y619" s="4">
        <f t="shared" si="1124"/>
        <v>0</v>
      </c>
      <c r="Z619" s="4">
        <f t="shared" si="1125"/>
        <v>0</v>
      </c>
      <c r="AA619" s="4">
        <f t="shared" si="1126"/>
        <v>0</v>
      </c>
      <c r="AB619" s="4">
        <f t="shared" si="1127"/>
        <v>0</v>
      </c>
      <c r="AD619" s="4" t="b">
        <f t="shared" si="1128"/>
        <v>0</v>
      </c>
      <c r="AE619" s="4" t="b">
        <f t="shared" si="1129"/>
        <v>0</v>
      </c>
      <c r="AF619" s="4" t="b">
        <f t="shared" si="1130"/>
        <v>0</v>
      </c>
      <c r="AG619" t="b">
        <f t="shared" si="1131"/>
        <v>0</v>
      </c>
      <c r="AH619" t="b">
        <f t="shared" si="1132"/>
        <v>0</v>
      </c>
      <c r="AI619" t="b">
        <f t="shared" si="1133"/>
        <v>0</v>
      </c>
      <c r="AJ619" t="b">
        <f t="shared" si="1134"/>
        <v>0</v>
      </c>
      <c r="AK619" t="b">
        <f t="shared" si="1135"/>
        <v>0</v>
      </c>
      <c r="AL619" t="b">
        <f t="shared" si="1136"/>
        <v>0</v>
      </c>
      <c r="AM619" t="b">
        <f t="shared" si="1137"/>
        <v>0</v>
      </c>
      <c r="AN619" t="b">
        <f t="shared" si="1138"/>
        <v>0</v>
      </c>
      <c r="AO619" t="b">
        <f t="shared" si="1139"/>
        <v>0</v>
      </c>
      <c r="AP619" t="b">
        <f t="shared" si="1140"/>
        <v>0</v>
      </c>
      <c r="AQ619" t="b">
        <f t="shared" si="1141"/>
        <v>0</v>
      </c>
      <c r="AR619" t="b">
        <f t="shared" si="1142"/>
        <v>0</v>
      </c>
      <c r="AS619" t="b">
        <f t="shared" si="1143"/>
        <v>0</v>
      </c>
      <c r="AT619" t="b">
        <f t="shared" si="1144"/>
        <v>0</v>
      </c>
      <c r="AU619" t="b">
        <f t="shared" si="1145"/>
        <v>0</v>
      </c>
      <c r="AV619" t="b">
        <f t="shared" si="1146"/>
        <v>0</v>
      </c>
      <c r="AW619" t="b">
        <f t="shared" si="1147"/>
        <v>0</v>
      </c>
      <c r="AX619" t="b">
        <f t="shared" si="1149"/>
        <v>0</v>
      </c>
      <c r="AY619" t="b">
        <f t="shared" si="1150"/>
        <v>0</v>
      </c>
      <c r="AZ619">
        <f t="shared" si="1151"/>
        <v>1</v>
      </c>
      <c r="BA619" t="b">
        <f t="shared" si="1152"/>
        <v>0</v>
      </c>
      <c r="BB619" t="b">
        <f t="shared" si="1153"/>
        <v>0</v>
      </c>
      <c r="BC619" t="b">
        <f t="shared" si="1154"/>
        <v>0</v>
      </c>
      <c r="BD619" t="b">
        <f t="shared" si="1155"/>
        <v>0</v>
      </c>
      <c r="BE619" t="b">
        <f t="shared" si="1156"/>
        <v>0</v>
      </c>
      <c r="BF619" t="b">
        <f t="shared" si="1157"/>
        <v>0</v>
      </c>
      <c r="BG619" t="b">
        <f t="shared" si="1158"/>
        <v>0</v>
      </c>
      <c r="BH619" t="b">
        <f t="shared" si="1159"/>
        <v>0</v>
      </c>
      <c r="BI619">
        <f t="shared" si="1160"/>
        <v>1</v>
      </c>
      <c r="BJ619" t="b">
        <f t="shared" si="1161"/>
        <v>0</v>
      </c>
      <c r="BK619" t="b">
        <f t="shared" si="1162"/>
        <v>0</v>
      </c>
      <c r="BL619" t="b">
        <f t="shared" si="1163"/>
        <v>0</v>
      </c>
      <c r="BM619" t="b">
        <f t="shared" si="1164"/>
        <v>0</v>
      </c>
      <c r="BN619" t="b">
        <f t="shared" si="1165"/>
        <v>0</v>
      </c>
      <c r="BO619" t="b">
        <f t="shared" si="1166"/>
        <v>0</v>
      </c>
      <c r="BP619" t="b">
        <f t="shared" si="1167"/>
        <v>0</v>
      </c>
      <c r="BQ619" t="b">
        <f t="shared" si="1168"/>
        <v>0</v>
      </c>
      <c r="BR619" t="b">
        <f t="shared" si="1169"/>
        <v>0</v>
      </c>
      <c r="BS619">
        <f t="shared" si="1170"/>
        <v>1</v>
      </c>
      <c r="BT619" t="b">
        <f t="shared" si="1171"/>
        <v>0</v>
      </c>
      <c r="BU619" t="b">
        <f t="shared" si="1172"/>
        <v>0</v>
      </c>
      <c r="BV619" t="b">
        <f t="shared" si="1173"/>
        <v>0</v>
      </c>
      <c r="BW619" t="b">
        <f t="shared" si="1174"/>
        <v>0</v>
      </c>
      <c r="BX619" t="b">
        <f t="shared" si="1175"/>
        <v>0</v>
      </c>
      <c r="BY619" t="b">
        <f t="shared" si="1176"/>
        <v>0</v>
      </c>
      <c r="BZ619" t="b">
        <f t="shared" si="1177"/>
        <v>0</v>
      </c>
      <c r="CA619" t="b">
        <f t="shared" si="1178"/>
        <v>0</v>
      </c>
      <c r="CB619" t="b">
        <f t="shared" si="1179"/>
        <v>0</v>
      </c>
      <c r="CC619" t="b">
        <f t="shared" si="1180"/>
        <v>0</v>
      </c>
      <c r="CD619" t="b">
        <f t="shared" si="1181"/>
        <v>0</v>
      </c>
      <c r="CE619">
        <f t="shared" si="1182"/>
        <v>1</v>
      </c>
      <c r="CF619" t="b">
        <f t="shared" si="1183"/>
        <v>0</v>
      </c>
      <c r="CG619" t="b">
        <f t="shared" si="1184"/>
        <v>0</v>
      </c>
      <c r="CH619" t="b">
        <f t="shared" si="1185"/>
        <v>0</v>
      </c>
      <c r="CI619" t="b">
        <f t="shared" si="1186"/>
        <v>0</v>
      </c>
      <c r="CJ619" t="b">
        <f t="shared" si="1187"/>
        <v>0</v>
      </c>
      <c r="CK619" t="b">
        <f t="shared" si="1188"/>
        <v>0</v>
      </c>
      <c r="CL619" t="b">
        <f t="shared" si="1189"/>
        <v>0</v>
      </c>
      <c r="CM619">
        <f t="shared" si="1190"/>
        <v>1</v>
      </c>
      <c r="CN619" t="b">
        <f t="shared" si="1191"/>
        <v>0</v>
      </c>
      <c r="CO619" t="b">
        <f t="shared" si="1192"/>
        <v>0</v>
      </c>
      <c r="CP619" t="b">
        <f t="shared" si="1193"/>
        <v>0</v>
      </c>
      <c r="CQ619" t="b">
        <f t="shared" si="1194"/>
        <v>0</v>
      </c>
      <c r="CR619" t="b">
        <f t="shared" si="1195"/>
        <v>0</v>
      </c>
      <c r="CS619" t="b">
        <f t="shared" si="1196"/>
        <v>0</v>
      </c>
      <c r="CT619" t="b">
        <f t="shared" si="1197"/>
        <v>0</v>
      </c>
      <c r="CU619" t="b">
        <f t="shared" si="1198"/>
        <v>0</v>
      </c>
      <c r="CV619">
        <f t="shared" si="1199"/>
        <v>1</v>
      </c>
      <c r="CW619" t="b">
        <f t="shared" si="1200"/>
        <v>0</v>
      </c>
      <c r="CX619" t="b">
        <f t="shared" si="1201"/>
        <v>0</v>
      </c>
      <c r="CY619" t="b">
        <f t="shared" si="1202"/>
        <v>0</v>
      </c>
      <c r="CZ619" t="b">
        <f t="shared" si="1203"/>
        <v>0</v>
      </c>
      <c r="DA619">
        <f t="shared" si="1204"/>
        <v>1</v>
      </c>
      <c r="DB619" t="b">
        <f t="shared" si="1205"/>
        <v>0</v>
      </c>
      <c r="DC619" t="b">
        <f t="shared" si="1206"/>
        <v>0</v>
      </c>
      <c r="DD619" t="b">
        <f t="shared" si="1207"/>
        <v>0</v>
      </c>
      <c r="DE619" t="b">
        <f t="shared" si="1208"/>
        <v>0</v>
      </c>
      <c r="DF619" t="b">
        <f t="shared" si="1209"/>
        <v>0</v>
      </c>
      <c r="DG619" t="b">
        <f t="shared" si="1210"/>
        <v>0</v>
      </c>
      <c r="DH619" t="b">
        <f t="shared" si="1211"/>
        <v>0</v>
      </c>
      <c r="DI619" t="b">
        <f t="shared" si="1212"/>
        <v>0</v>
      </c>
      <c r="DJ619" t="b">
        <f t="shared" si="1213"/>
        <v>0</v>
      </c>
      <c r="DK619" t="b">
        <f t="shared" si="1214"/>
        <v>0</v>
      </c>
      <c r="DL619" t="b">
        <f t="shared" si="1215"/>
        <v>0</v>
      </c>
      <c r="DM619" t="b">
        <f t="shared" si="1216"/>
        <v>0</v>
      </c>
      <c r="DN619" t="b">
        <f t="shared" si="1217"/>
        <v>0</v>
      </c>
      <c r="DO619" t="b">
        <f t="shared" si="1218"/>
        <v>0</v>
      </c>
      <c r="DP619" t="b">
        <f t="shared" si="1219"/>
        <v>0</v>
      </c>
      <c r="DQ619" t="b">
        <f t="shared" si="1220"/>
        <v>0</v>
      </c>
      <c r="DR619" t="b">
        <f t="shared" si="1221"/>
        <v>0</v>
      </c>
      <c r="DS619" t="b">
        <f t="shared" si="1222"/>
        <v>0</v>
      </c>
      <c r="DT619" t="b">
        <f t="shared" si="1223"/>
        <v>0</v>
      </c>
      <c r="DU619" t="b">
        <f t="shared" si="1224"/>
        <v>0</v>
      </c>
      <c r="DV619" t="b">
        <f t="shared" si="1225"/>
        <v>0</v>
      </c>
      <c r="DW619" t="b">
        <f t="shared" si="1226"/>
        <v>0</v>
      </c>
      <c r="DX619" t="b">
        <f t="shared" si="1227"/>
        <v>0</v>
      </c>
      <c r="DY619">
        <f t="shared" si="1228"/>
        <v>1</v>
      </c>
      <c r="DZ619" t="b">
        <f t="shared" si="1229"/>
        <v>0</v>
      </c>
      <c r="EA619" t="b">
        <f t="shared" si="1230"/>
        <v>0</v>
      </c>
      <c r="EB619" t="b">
        <f t="shared" si="1231"/>
        <v>0</v>
      </c>
      <c r="EC619" t="b">
        <f t="shared" si="1232"/>
        <v>0</v>
      </c>
      <c r="ED619" t="b">
        <f t="shared" si="1233"/>
        <v>0</v>
      </c>
      <c r="EE619" t="b">
        <f t="shared" si="1234"/>
        <v>0</v>
      </c>
      <c r="EF619" t="b">
        <f t="shared" si="1235"/>
        <v>0</v>
      </c>
      <c r="EG619" t="b">
        <f t="shared" si="1236"/>
        <v>0</v>
      </c>
      <c r="EH619" t="b">
        <f t="shared" si="1237"/>
        <v>0</v>
      </c>
      <c r="EI619" t="b">
        <f t="shared" si="1238"/>
        <v>0</v>
      </c>
      <c r="EJ619" t="b">
        <f t="shared" si="1239"/>
        <v>0</v>
      </c>
      <c r="EK619" t="b">
        <f t="shared" si="1240"/>
        <v>0</v>
      </c>
    </row>
    <row r="620" spans="1:141">
      <c r="A620" t="s">
        <v>3112</v>
      </c>
      <c r="B620" t="s">
        <v>3112</v>
      </c>
      <c r="C620" t="s">
        <v>3113</v>
      </c>
      <c r="D620" s="1">
        <v>43408</v>
      </c>
      <c r="E620" s="2">
        <v>43410.309803240743</v>
      </c>
      <c r="F620" s="2">
        <v>43410.309803240743</v>
      </c>
      <c r="G620">
        <v>858</v>
      </c>
      <c r="H620" t="s">
        <v>3114</v>
      </c>
      <c r="I620" s="10" t="s">
        <v>3115</v>
      </c>
      <c r="J620" t="s">
        <v>147</v>
      </c>
      <c r="K620" s="8" t="b">
        <v>1</v>
      </c>
      <c r="L620" s="10" t="b">
        <v>0</v>
      </c>
      <c r="M620" s="12" t="b">
        <v>0</v>
      </c>
      <c r="N620" t="b">
        <v>0</v>
      </c>
      <c r="O620" t="b">
        <v>0</v>
      </c>
      <c r="P620" t="b">
        <v>0</v>
      </c>
      <c r="Q620">
        <f t="shared" si="1117"/>
        <v>1</v>
      </c>
      <c r="R620">
        <f t="shared" si="1118"/>
        <v>11</v>
      </c>
      <c r="S620" t="e">
        <f t="shared" ca="1" si="1148"/>
        <v>#NAME?</v>
      </c>
      <c r="T620" t="e">
        <f t="shared" ca="1" si="1119"/>
        <v>#NAME?</v>
      </c>
      <c r="U620" s="4">
        <f t="shared" si="1120"/>
        <v>2.3098032407433493</v>
      </c>
      <c r="V620" s="4">
        <f t="shared" si="1121"/>
        <v>7.6993441358111647E-2</v>
      </c>
      <c r="W620" s="4">
        <f t="shared" si="1122"/>
        <v>1</v>
      </c>
      <c r="X620" s="4">
        <f t="shared" si="1123"/>
        <v>0</v>
      </c>
      <c r="Y620" s="4">
        <f t="shared" si="1124"/>
        <v>0</v>
      </c>
      <c r="Z620" s="4">
        <f t="shared" si="1125"/>
        <v>0</v>
      </c>
      <c r="AA620" s="4">
        <f t="shared" si="1126"/>
        <v>0</v>
      </c>
      <c r="AB620" s="4">
        <f t="shared" si="1127"/>
        <v>0</v>
      </c>
      <c r="AD620" s="4" t="b">
        <f t="shared" si="1128"/>
        <v>0</v>
      </c>
      <c r="AE620" s="4" t="b">
        <f t="shared" si="1129"/>
        <v>0</v>
      </c>
      <c r="AF620" s="4" t="b">
        <f t="shared" si="1130"/>
        <v>0</v>
      </c>
      <c r="AG620" t="b">
        <f t="shared" si="1131"/>
        <v>0</v>
      </c>
      <c r="AH620" t="b">
        <f t="shared" si="1132"/>
        <v>0</v>
      </c>
      <c r="AI620" t="b">
        <f t="shared" si="1133"/>
        <v>0</v>
      </c>
      <c r="AJ620" t="b">
        <f t="shared" si="1134"/>
        <v>0</v>
      </c>
      <c r="AK620" t="b">
        <f t="shared" si="1135"/>
        <v>0</v>
      </c>
      <c r="AL620" t="b">
        <f t="shared" si="1136"/>
        <v>0</v>
      </c>
      <c r="AM620" t="b">
        <f t="shared" si="1137"/>
        <v>0</v>
      </c>
      <c r="AN620" t="b">
        <f t="shared" si="1138"/>
        <v>0</v>
      </c>
      <c r="AO620" t="b">
        <f t="shared" si="1139"/>
        <v>0</v>
      </c>
      <c r="AP620" t="b">
        <f t="shared" si="1140"/>
        <v>0</v>
      </c>
      <c r="AQ620" t="b">
        <f t="shared" si="1141"/>
        <v>0</v>
      </c>
      <c r="AR620" t="b">
        <f t="shared" si="1142"/>
        <v>0</v>
      </c>
      <c r="AS620" t="b">
        <f t="shared" si="1143"/>
        <v>0</v>
      </c>
      <c r="AT620" t="b">
        <f t="shared" si="1144"/>
        <v>0</v>
      </c>
      <c r="AU620" t="b">
        <f t="shared" si="1145"/>
        <v>0</v>
      </c>
      <c r="AV620" t="b">
        <f t="shared" si="1146"/>
        <v>0</v>
      </c>
      <c r="AW620" t="b">
        <f t="shared" si="1147"/>
        <v>0</v>
      </c>
      <c r="AX620" t="b">
        <f t="shared" si="1149"/>
        <v>0</v>
      </c>
      <c r="AY620" t="b">
        <f t="shared" si="1150"/>
        <v>0</v>
      </c>
      <c r="AZ620" t="b">
        <f t="shared" si="1151"/>
        <v>0</v>
      </c>
      <c r="BA620" t="b">
        <f t="shared" si="1152"/>
        <v>0</v>
      </c>
      <c r="BB620" t="b">
        <f t="shared" si="1153"/>
        <v>0</v>
      </c>
      <c r="BC620" t="b">
        <f t="shared" si="1154"/>
        <v>0</v>
      </c>
      <c r="BD620" t="b">
        <f t="shared" si="1155"/>
        <v>0</v>
      </c>
      <c r="BE620" t="b">
        <f t="shared" si="1156"/>
        <v>0</v>
      </c>
      <c r="BF620" t="b">
        <f t="shared" si="1157"/>
        <v>0</v>
      </c>
      <c r="BG620" t="b">
        <f t="shared" si="1158"/>
        <v>0</v>
      </c>
      <c r="BH620" t="b">
        <f t="shared" si="1159"/>
        <v>0</v>
      </c>
      <c r="BI620">
        <f t="shared" si="1160"/>
        <v>1</v>
      </c>
      <c r="BJ620" t="b">
        <f t="shared" si="1161"/>
        <v>0</v>
      </c>
      <c r="BK620" t="b">
        <f t="shared" si="1162"/>
        <v>0</v>
      </c>
      <c r="BL620" t="b">
        <f t="shared" si="1163"/>
        <v>0</v>
      </c>
      <c r="BM620" t="b">
        <f t="shared" si="1164"/>
        <v>0</v>
      </c>
      <c r="BN620" t="b">
        <f t="shared" si="1165"/>
        <v>0</v>
      </c>
      <c r="BO620" t="b">
        <f t="shared" si="1166"/>
        <v>0</v>
      </c>
      <c r="BP620" t="b">
        <f t="shared" si="1167"/>
        <v>0</v>
      </c>
      <c r="BQ620" t="b">
        <f t="shared" si="1168"/>
        <v>0</v>
      </c>
      <c r="BR620" t="b">
        <f t="shared" si="1169"/>
        <v>0</v>
      </c>
      <c r="BS620" t="b">
        <f t="shared" si="1170"/>
        <v>0</v>
      </c>
      <c r="BT620" t="b">
        <f t="shared" si="1171"/>
        <v>0</v>
      </c>
      <c r="BU620" t="b">
        <f t="shared" si="1172"/>
        <v>0</v>
      </c>
      <c r="BV620" t="b">
        <f t="shared" si="1173"/>
        <v>0</v>
      </c>
      <c r="BW620" t="b">
        <f t="shared" si="1174"/>
        <v>0</v>
      </c>
      <c r="BX620" t="b">
        <f t="shared" si="1175"/>
        <v>0</v>
      </c>
      <c r="BY620" t="b">
        <f t="shared" si="1176"/>
        <v>0</v>
      </c>
      <c r="BZ620" t="b">
        <f t="shared" si="1177"/>
        <v>0</v>
      </c>
      <c r="CA620" t="b">
        <f t="shared" si="1178"/>
        <v>0</v>
      </c>
      <c r="CB620" t="b">
        <f t="shared" si="1179"/>
        <v>0</v>
      </c>
      <c r="CC620" t="b">
        <f t="shared" si="1180"/>
        <v>0</v>
      </c>
      <c r="CD620" t="b">
        <f t="shared" si="1181"/>
        <v>0</v>
      </c>
      <c r="CE620" t="b">
        <f t="shared" si="1182"/>
        <v>0</v>
      </c>
      <c r="CF620" t="b">
        <f t="shared" si="1183"/>
        <v>0</v>
      </c>
      <c r="CG620" t="b">
        <f t="shared" si="1184"/>
        <v>0</v>
      </c>
      <c r="CH620" t="b">
        <f t="shared" si="1185"/>
        <v>0</v>
      </c>
      <c r="CI620" t="b">
        <f t="shared" si="1186"/>
        <v>0</v>
      </c>
      <c r="CJ620" t="b">
        <f t="shared" si="1187"/>
        <v>0</v>
      </c>
      <c r="CK620" t="b">
        <f t="shared" si="1188"/>
        <v>0</v>
      </c>
      <c r="CL620" t="b">
        <f t="shared" si="1189"/>
        <v>0</v>
      </c>
      <c r="CM620" t="b">
        <f t="shared" si="1190"/>
        <v>0</v>
      </c>
      <c r="CN620" t="b">
        <f t="shared" si="1191"/>
        <v>0</v>
      </c>
      <c r="CO620" t="b">
        <f t="shared" si="1192"/>
        <v>0</v>
      </c>
      <c r="CP620" t="b">
        <f t="shared" si="1193"/>
        <v>0</v>
      </c>
      <c r="CQ620" t="b">
        <f t="shared" si="1194"/>
        <v>0</v>
      </c>
      <c r="CR620" t="b">
        <f t="shared" si="1195"/>
        <v>0</v>
      </c>
      <c r="CS620" t="b">
        <f t="shared" si="1196"/>
        <v>0</v>
      </c>
      <c r="CT620" t="b">
        <f t="shared" si="1197"/>
        <v>0</v>
      </c>
      <c r="CU620" t="b">
        <f t="shared" si="1198"/>
        <v>0</v>
      </c>
      <c r="CV620">
        <f t="shared" si="1199"/>
        <v>1</v>
      </c>
      <c r="CW620" t="b">
        <f t="shared" si="1200"/>
        <v>0</v>
      </c>
      <c r="CX620" t="b">
        <f t="shared" si="1201"/>
        <v>0</v>
      </c>
      <c r="CY620" t="b">
        <f t="shared" si="1202"/>
        <v>0</v>
      </c>
      <c r="CZ620" t="b">
        <f t="shared" si="1203"/>
        <v>0</v>
      </c>
      <c r="DA620" t="b">
        <f t="shared" si="1204"/>
        <v>0</v>
      </c>
      <c r="DB620" t="b">
        <f t="shared" si="1205"/>
        <v>0</v>
      </c>
      <c r="DC620" t="b">
        <f t="shared" si="1206"/>
        <v>0</v>
      </c>
      <c r="DD620" t="b">
        <f t="shared" si="1207"/>
        <v>0</v>
      </c>
      <c r="DE620" t="b">
        <f t="shared" si="1208"/>
        <v>0</v>
      </c>
      <c r="DF620" t="b">
        <f t="shared" si="1209"/>
        <v>0</v>
      </c>
      <c r="DG620" t="b">
        <f t="shared" si="1210"/>
        <v>0</v>
      </c>
      <c r="DH620" t="b">
        <f t="shared" si="1211"/>
        <v>0</v>
      </c>
      <c r="DI620" t="b">
        <f t="shared" si="1212"/>
        <v>0</v>
      </c>
      <c r="DJ620" t="b">
        <f t="shared" si="1213"/>
        <v>0</v>
      </c>
      <c r="DK620" t="b">
        <f t="shared" si="1214"/>
        <v>0</v>
      </c>
      <c r="DL620" t="b">
        <f t="shared" si="1215"/>
        <v>0</v>
      </c>
      <c r="DM620" t="b">
        <f t="shared" si="1216"/>
        <v>0</v>
      </c>
      <c r="DN620" t="b">
        <f t="shared" si="1217"/>
        <v>0</v>
      </c>
      <c r="DO620" t="b">
        <f t="shared" si="1218"/>
        <v>0</v>
      </c>
      <c r="DP620" t="b">
        <f t="shared" si="1219"/>
        <v>0</v>
      </c>
      <c r="DQ620" t="b">
        <f t="shared" si="1220"/>
        <v>0</v>
      </c>
      <c r="DR620" t="b">
        <f t="shared" si="1221"/>
        <v>0</v>
      </c>
      <c r="DS620" t="b">
        <f t="shared" si="1222"/>
        <v>0</v>
      </c>
      <c r="DT620" t="b">
        <f t="shared" si="1223"/>
        <v>0</v>
      </c>
      <c r="DU620" t="b">
        <f t="shared" si="1224"/>
        <v>0</v>
      </c>
      <c r="DV620" t="b">
        <f t="shared" si="1225"/>
        <v>0</v>
      </c>
      <c r="DW620" t="b">
        <f t="shared" si="1226"/>
        <v>0</v>
      </c>
      <c r="DX620" t="b">
        <f t="shared" si="1227"/>
        <v>0</v>
      </c>
      <c r="DY620" t="b">
        <f t="shared" si="1228"/>
        <v>0</v>
      </c>
      <c r="DZ620" t="b">
        <f t="shared" si="1229"/>
        <v>0</v>
      </c>
      <c r="EA620" t="b">
        <f t="shared" si="1230"/>
        <v>0</v>
      </c>
      <c r="EB620" t="b">
        <f t="shared" si="1231"/>
        <v>0</v>
      </c>
      <c r="EC620" t="b">
        <f t="shared" si="1232"/>
        <v>0</v>
      </c>
      <c r="ED620" t="b">
        <f t="shared" si="1233"/>
        <v>0</v>
      </c>
      <c r="EE620" t="b">
        <f t="shared" si="1234"/>
        <v>0</v>
      </c>
      <c r="EF620" t="b">
        <f t="shared" si="1235"/>
        <v>0</v>
      </c>
      <c r="EG620" t="b">
        <f t="shared" si="1236"/>
        <v>0</v>
      </c>
      <c r="EH620" t="b">
        <f t="shared" si="1237"/>
        <v>0</v>
      </c>
      <c r="EI620" t="b">
        <f t="shared" si="1238"/>
        <v>0</v>
      </c>
      <c r="EJ620" t="b">
        <f t="shared" si="1239"/>
        <v>0</v>
      </c>
      <c r="EK620" t="b">
        <f t="shared" si="1240"/>
        <v>0</v>
      </c>
    </row>
    <row r="621" spans="1:141">
      <c r="A621" t="s">
        <v>3116</v>
      </c>
      <c r="B621" t="s">
        <v>3117</v>
      </c>
      <c r="C621" t="s">
        <v>3118</v>
      </c>
      <c r="D621" s="1">
        <v>41643</v>
      </c>
      <c r="E621" s="2">
        <v>41671.123159722221</v>
      </c>
      <c r="F621" s="2">
        <v>41671.123159722221</v>
      </c>
      <c r="G621">
        <v>148366</v>
      </c>
      <c r="H621" t="s">
        <v>3119</v>
      </c>
      <c r="I621" s="10" t="s">
        <v>3120</v>
      </c>
      <c r="J621" t="s">
        <v>147</v>
      </c>
      <c r="K621" s="8" t="b">
        <v>1</v>
      </c>
      <c r="L621" s="10" t="b">
        <v>0</v>
      </c>
      <c r="M621" s="12" t="b">
        <v>0</v>
      </c>
      <c r="N621" t="b">
        <v>0</v>
      </c>
      <c r="O621" t="b">
        <v>0</v>
      </c>
      <c r="P621" t="b">
        <v>0</v>
      </c>
      <c r="Q621">
        <f t="shared" si="1117"/>
        <v>7</v>
      </c>
      <c r="R621">
        <f t="shared" si="1118"/>
        <v>1</v>
      </c>
      <c r="S621" t="e">
        <f t="shared" ca="1" si="1148"/>
        <v>#NAME?</v>
      </c>
      <c r="T621" t="e">
        <f t="shared" ca="1" si="1119"/>
        <v>#NAME?</v>
      </c>
      <c r="U621" s="4">
        <f t="shared" si="1120"/>
        <v>28.123159722221317</v>
      </c>
      <c r="V621" s="4">
        <f t="shared" si="1121"/>
        <v>0.9374386574073772</v>
      </c>
      <c r="W621" s="4">
        <f t="shared" si="1122"/>
        <v>1</v>
      </c>
      <c r="X621" s="4">
        <f t="shared" si="1123"/>
        <v>0</v>
      </c>
      <c r="Y621" s="4">
        <f t="shared" si="1124"/>
        <v>0</v>
      </c>
      <c r="Z621" s="4">
        <f t="shared" si="1125"/>
        <v>0</v>
      </c>
      <c r="AA621" s="4">
        <f t="shared" si="1126"/>
        <v>0</v>
      </c>
      <c r="AB621" s="4">
        <f t="shared" si="1127"/>
        <v>0</v>
      </c>
      <c r="AD621" s="4" t="b">
        <f t="shared" si="1128"/>
        <v>0</v>
      </c>
      <c r="AE621" s="4" t="b">
        <f t="shared" si="1129"/>
        <v>0</v>
      </c>
      <c r="AF621" s="4" t="b">
        <f t="shared" si="1130"/>
        <v>0</v>
      </c>
      <c r="AG621" t="b">
        <f t="shared" si="1131"/>
        <v>0</v>
      </c>
      <c r="AH621" t="b">
        <f t="shared" si="1132"/>
        <v>0</v>
      </c>
      <c r="AI621" t="b">
        <f t="shared" si="1133"/>
        <v>0</v>
      </c>
      <c r="AJ621" t="b">
        <f t="shared" si="1134"/>
        <v>0</v>
      </c>
      <c r="AK621" t="b">
        <f t="shared" si="1135"/>
        <v>0</v>
      </c>
      <c r="AL621" t="b">
        <f t="shared" si="1136"/>
        <v>0</v>
      </c>
      <c r="AM621" t="b">
        <f t="shared" si="1137"/>
        <v>0</v>
      </c>
      <c r="AN621" t="b">
        <f t="shared" si="1138"/>
        <v>0</v>
      </c>
      <c r="AO621" t="b">
        <f t="shared" si="1139"/>
        <v>0</v>
      </c>
      <c r="AP621" t="b">
        <f t="shared" si="1140"/>
        <v>0</v>
      </c>
      <c r="AQ621" t="b">
        <f t="shared" si="1141"/>
        <v>0</v>
      </c>
      <c r="AR621" t="b">
        <f t="shared" si="1142"/>
        <v>0</v>
      </c>
      <c r="AS621" t="b">
        <f t="shared" si="1143"/>
        <v>0</v>
      </c>
      <c r="AT621" t="b">
        <f t="shared" si="1144"/>
        <v>0</v>
      </c>
      <c r="AU621" t="b">
        <f t="shared" si="1145"/>
        <v>0</v>
      </c>
      <c r="AV621" t="b">
        <f t="shared" si="1146"/>
        <v>0</v>
      </c>
      <c r="AW621" t="b">
        <f t="shared" si="1147"/>
        <v>0</v>
      </c>
      <c r="AX621" t="b">
        <f t="shared" si="1149"/>
        <v>0</v>
      </c>
      <c r="AY621" t="b">
        <f t="shared" si="1150"/>
        <v>0</v>
      </c>
      <c r="AZ621" t="b">
        <f t="shared" si="1151"/>
        <v>0</v>
      </c>
      <c r="BA621" t="b">
        <f t="shared" si="1152"/>
        <v>0</v>
      </c>
      <c r="BB621" t="b">
        <f t="shared" si="1153"/>
        <v>0</v>
      </c>
      <c r="BC621" t="b">
        <f t="shared" si="1154"/>
        <v>0</v>
      </c>
      <c r="BD621" t="b">
        <f t="shared" si="1155"/>
        <v>0</v>
      </c>
      <c r="BE621" t="b">
        <f t="shared" si="1156"/>
        <v>0</v>
      </c>
      <c r="BF621" t="b">
        <f t="shared" si="1157"/>
        <v>0</v>
      </c>
      <c r="BG621" t="b">
        <f t="shared" si="1158"/>
        <v>0</v>
      </c>
      <c r="BH621" t="b">
        <f t="shared" si="1159"/>
        <v>0</v>
      </c>
      <c r="BI621">
        <f t="shared" si="1160"/>
        <v>1</v>
      </c>
      <c r="BJ621" t="b">
        <f t="shared" si="1161"/>
        <v>0</v>
      </c>
      <c r="BK621" t="b">
        <f t="shared" si="1162"/>
        <v>0</v>
      </c>
      <c r="BL621" t="b">
        <f t="shared" si="1163"/>
        <v>0</v>
      </c>
      <c r="BM621" t="b">
        <f t="shared" si="1164"/>
        <v>0</v>
      </c>
      <c r="BN621" t="b">
        <f t="shared" si="1165"/>
        <v>0</v>
      </c>
      <c r="BO621" t="b">
        <f t="shared" si="1166"/>
        <v>0</v>
      </c>
      <c r="BP621" t="b">
        <f t="shared" si="1167"/>
        <v>0</v>
      </c>
      <c r="BQ621" t="b">
        <f t="shared" si="1168"/>
        <v>0</v>
      </c>
      <c r="BR621" t="b">
        <f t="shared" si="1169"/>
        <v>0</v>
      </c>
      <c r="BS621" t="b">
        <f t="shared" si="1170"/>
        <v>0</v>
      </c>
      <c r="BT621" t="b">
        <f t="shared" si="1171"/>
        <v>0</v>
      </c>
      <c r="BU621" t="b">
        <f t="shared" si="1172"/>
        <v>0</v>
      </c>
      <c r="BV621" t="b">
        <f t="shared" si="1173"/>
        <v>0</v>
      </c>
      <c r="BW621" t="b">
        <f t="shared" si="1174"/>
        <v>0</v>
      </c>
      <c r="BX621" t="b">
        <f t="shared" si="1175"/>
        <v>0</v>
      </c>
      <c r="BY621" t="b">
        <f t="shared" si="1176"/>
        <v>0</v>
      </c>
      <c r="BZ621" t="b">
        <f t="shared" si="1177"/>
        <v>0</v>
      </c>
      <c r="CA621" t="b">
        <f t="shared" si="1178"/>
        <v>0</v>
      </c>
      <c r="CB621" t="b">
        <f t="shared" si="1179"/>
        <v>0</v>
      </c>
      <c r="CC621" t="b">
        <f t="shared" si="1180"/>
        <v>0</v>
      </c>
      <c r="CD621" t="b">
        <f t="shared" si="1181"/>
        <v>0</v>
      </c>
      <c r="CE621" t="b">
        <f t="shared" si="1182"/>
        <v>0</v>
      </c>
      <c r="CF621" t="b">
        <f t="shared" si="1183"/>
        <v>0</v>
      </c>
      <c r="CG621" t="b">
        <f t="shared" si="1184"/>
        <v>0</v>
      </c>
      <c r="CH621" t="b">
        <f t="shared" si="1185"/>
        <v>0</v>
      </c>
      <c r="CI621" t="b">
        <f t="shared" si="1186"/>
        <v>0</v>
      </c>
      <c r="CJ621" t="b">
        <f t="shared" si="1187"/>
        <v>0</v>
      </c>
      <c r="CK621" t="b">
        <f t="shared" si="1188"/>
        <v>0</v>
      </c>
      <c r="CL621" t="b">
        <f t="shared" si="1189"/>
        <v>0</v>
      </c>
      <c r="CM621" t="b">
        <f t="shared" si="1190"/>
        <v>0</v>
      </c>
      <c r="CN621" t="b">
        <f t="shared" si="1191"/>
        <v>0</v>
      </c>
      <c r="CO621" t="b">
        <f t="shared" si="1192"/>
        <v>0</v>
      </c>
      <c r="CP621" t="b">
        <f t="shared" si="1193"/>
        <v>0</v>
      </c>
      <c r="CQ621" t="b">
        <f t="shared" si="1194"/>
        <v>0</v>
      </c>
      <c r="CR621" t="b">
        <f t="shared" si="1195"/>
        <v>0</v>
      </c>
      <c r="CS621" t="b">
        <f t="shared" si="1196"/>
        <v>0</v>
      </c>
      <c r="CT621" t="b">
        <f t="shared" si="1197"/>
        <v>0</v>
      </c>
      <c r="CU621" t="b">
        <f t="shared" si="1198"/>
        <v>0</v>
      </c>
      <c r="CV621">
        <f t="shared" si="1199"/>
        <v>1</v>
      </c>
      <c r="CW621" t="b">
        <f t="shared" si="1200"/>
        <v>0</v>
      </c>
      <c r="CX621" t="b">
        <f t="shared" si="1201"/>
        <v>0</v>
      </c>
      <c r="CY621" t="b">
        <f t="shared" si="1202"/>
        <v>0</v>
      </c>
      <c r="CZ621" t="b">
        <f t="shared" si="1203"/>
        <v>0</v>
      </c>
      <c r="DA621" t="b">
        <f t="shared" si="1204"/>
        <v>0</v>
      </c>
      <c r="DB621" t="b">
        <f t="shared" si="1205"/>
        <v>0</v>
      </c>
      <c r="DC621" t="b">
        <f t="shared" si="1206"/>
        <v>0</v>
      </c>
      <c r="DD621" t="b">
        <f t="shared" si="1207"/>
        <v>0</v>
      </c>
      <c r="DE621" t="b">
        <f t="shared" si="1208"/>
        <v>0</v>
      </c>
      <c r="DF621" t="b">
        <f t="shared" si="1209"/>
        <v>0</v>
      </c>
      <c r="DG621" t="b">
        <f t="shared" si="1210"/>
        <v>0</v>
      </c>
      <c r="DH621" t="b">
        <f t="shared" si="1211"/>
        <v>0</v>
      </c>
      <c r="DI621" t="b">
        <f t="shared" si="1212"/>
        <v>0</v>
      </c>
      <c r="DJ621" t="b">
        <f t="shared" si="1213"/>
        <v>0</v>
      </c>
      <c r="DK621" t="b">
        <f t="shared" si="1214"/>
        <v>0</v>
      </c>
      <c r="DL621" t="b">
        <f t="shared" si="1215"/>
        <v>0</v>
      </c>
      <c r="DM621" t="b">
        <f t="shared" si="1216"/>
        <v>0</v>
      </c>
      <c r="DN621" t="b">
        <f t="shared" si="1217"/>
        <v>0</v>
      </c>
      <c r="DO621" t="b">
        <f t="shared" si="1218"/>
        <v>0</v>
      </c>
      <c r="DP621" t="b">
        <f t="shared" si="1219"/>
        <v>0</v>
      </c>
      <c r="DQ621" t="b">
        <f t="shared" si="1220"/>
        <v>0</v>
      </c>
      <c r="DR621" t="b">
        <f t="shared" si="1221"/>
        <v>0</v>
      </c>
      <c r="DS621" t="b">
        <f t="shared" si="1222"/>
        <v>0</v>
      </c>
      <c r="DT621" t="b">
        <f t="shared" si="1223"/>
        <v>0</v>
      </c>
      <c r="DU621" t="b">
        <f t="shared" si="1224"/>
        <v>0</v>
      </c>
      <c r="DV621" t="b">
        <f t="shared" si="1225"/>
        <v>0</v>
      </c>
      <c r="DW621" t="b">
        <f t="shared" si="1226"/>
        <v>0</v>
      </c>
      <c r="DX621" t="b">
        <f t="shared" si="1227"/>
        <v>0</v>
      </c>
      <c r="DY621" t="b">
        <f t="shared" si="1228"/>
        <v>0</v>
      </c>
      <c r="DZ621" t="b">
        <f t="shared" si="1229"/>
        <v>0</v>
      </c>
      <c r="EA621" t="b">
        <f t="shared" si="1230"/>
        <v>0</v>
      </c>
      <c r="EB621" t="b">
        <f t="shared" si="1231"/>
        <v>0</v>
      </c>
      <c r="EC621" t="b">
        <f t="shared" si="1232"/>
        <v>0</v>
      </c>
      <c r="ED621" t="b">
        <f t="shared" si="1233"/>
        <v>0</v>
      </c>
      <c r="EE621" t="b">
        <f t="shared" si="1234"/>
        <v>0</v>
      </c>
      <c r="EF621" t="b">
        <f t="shared" si="1235"/>
        <v>0</v>
      </c>
      <c r="EG621" t="b">
        <f t="shared" si="1236"/>
        <v>0</v>
      </c>
      <c r="EH621" t="b">
        <f t="shared" si="1237"/>
        <v>0</v>
      </c>
      <c r="EI621" t="b">
        <f t="shared" si="1238"/>
        <v>0</v>
      </c>
      <c r="EJ621" t="b">
        <f t="shared" si="1239"/>
        <v>0</v>
      </c>
      <c r="EK621" t="b">
        <f t="shared" si="1240"/>
        <v>0</v>
      </c>
    </row>
    <row r="622" spans="1:141">
      <c r="A622" t="s">
        <v>3121</v>
      </c>
      <c r="B622" t="s">
        <v>3121</v>
      </c>
      <c r="C622" t="s">
        <v>3122</v>
      </c>
      <c r="D622" s="1">
        <v>42312</v>
      </c>
      <c r="E622" s="2">
        <v>42587.287210648145</v>
      </c>
      <c r="F622" s="2">
        <v>42587.287210648145</v>
      </c>
      <c r="G622">
        <v>5968783</v>
      </c>
      <c r="H622" t="s">
        <v>3123</v>
      </c>
      <c r="I622" s="10" t="s">
        <v>3124</v>
      </c>
      <c r="J622" t="s">
        <v>381</v>
      </c>
      <c r="K622" s="8" t="b">
        <v>1</v>
      </c>
      <c r="L622" s="10" t="b">
        <v>0</v>
      </c>
      <c r="M622" s="12" t="b">
        <v>0</v>
      </c>
      <c r="N622" t="b">
        <v>0</v>
      </c>
      <c r="O622" t="b">
        <v>0</v>
      </c>
      <c r="P622" t="b">
        <v>0</v>
      </c>
      <c r="Q622">
        <f t="shared" si="1117"/>
        <v>4</v>
      </c>
      <c r="R622">
        <f t="shared" si="1118"/>
        <v>11</v>
      </c>
      <c r="S622" t="e">
        <f t="shared" ca="1" si="1148"/>
        <v>#NAME?</v>
      </c>
      <c r="T622" t="e">
        <f t="shared" ca="1" si="1119"/>
        <v>#NAME?</v>
      </c>
      <c r="U622" s="4">
        <f t="shared" si="1120"/>
        <v>275.28721064814454</v>
      </c>
      <c r="V622" s="4">
        <f t="shared" si="1121"/>
        <v>9.1762403549381517</v>
      </c>
      <c r="W622" s="4">
        <f t="shared" si="1122"/>
        <v>1</v>
      </c>
      <c r="X622" s="4">
        <f t="shared" si="1123"/>
        <v>0</v>
      </c>
      <c r="Y622" s="4">
        <f t="shared" si="1124"/>
        <v>0</v>
      </c>
      <c r="Z622" s="4">
        <f t="shared" si="1125"/>
        <v>0</v>
      </c>
      <c r="AA622" s="4">
        <f t="shared" si="1126"/>
        <v>0</v>
      </c>
      <c r="AB622" s="4">
        <f t="shared" si="1127"/>
        <v>0</v>
      </c>
      <c r="AD622" s="4" t="b">
        <f t="shared" si="1128"/>
        <v>0</v>
      </c>
      <c r="AE622" s="4" t="b">
        <f t="shared" si="1129"/>
        <v>0</v>
      </c>
      <c r="AF622" s="4" t="b">
        <f t="shared" si="1130"/>
        <v>0</v>
      </c>
      <c r="AG622" t="b">
        <f t="shared" si="1131"/>
        <v>0</v>
      </c>
      <c r="AH622" t="b">
        <f t="shared" si="1132"/>
        <v>0</v>
      </c>
      <c r="AI622" t="b">
        <f t="shared" si="1133"/>
        <v>0</v>
      </c>
      <c r="AJ622" t="b">
        <f t="shared" si="1134"/>
        <v>0</v>
      </c>
      <c r="AK622" t="b">
        <f t="shared" si="1135"/>
        <v>0</v>
      </c>
      <c r="AL622" t="b">
        <f t="shared" si="1136"/>
        <v>0</v>
      </c>
      <c r="AM622" t="b">
        <f t="shared" si="1137"/>
        <v>0</v>
      </c>
      <c r="AN622" t="b">
        <f t="shared" si="1138"/>
        <v>0</v>
      </c>
      <c r="AO622" t="b">
        <f t="shared" si="1139"/>
        <v>0</v>
      </c>
      <c r="AP622" t="b">
        <f t="shared" si="1140"/>
        <v>0</v>
      </c>
      <c r="AQ622" t="b">
        <f t="shared" si="1141"/>
        <v>0</v>
      </c>
      <c r="AR622" t="b">
        <f t="shared" si="1142"/>
        <v>0</v>
      </c>
      <c r="AS622" t="b">
        <f t="shared" si="1143"/>
        <v>0</v>
      </c>
      <c r="AT622" t="b">
        <f t="shared" si="1144"/>
        <v>0</v>
      </c>
      <c r="AU622" t="b">
        <f t="shared" si="1145"/>
        <v>0</v>
      </c>
      <c r="AV622" t="b">
        <f t="shared" si="1146"/>
        <v>0</v>
      </c>
      <c r="AW622" t="b">
        <f t="shared" si="1147"/>
        <v>0</v>
      </c>
      <c r="AX622" t="b">
        <f t="shared" si="1149"/>
        <v>0</v>
      </c>
      <c r="AY622" t="b">
        <f t="shared" si="1150"/>
        <v>0</v>
      </c>
      <c r="AZ622" t="b">
        <f t="shared" si="1151"/>
        <v>0</v>
      </c>
      <c r="BA622" t="b">
        <f t="shared" si="1152"/>
        <v>0</v>
      </c>
      <c r="BB622" t="b">
        <f t="shared" si="1153"/>
        <v>0</v>
      </c>
      <c r="BC622" t="b">
        <f t="shared" si="1154"/>
        <v>0</v>
      </c>
      <c r="BD622" t="b">
        <f t="shared" si="1155"/>
        <v>0</v>
      </c>
      <c r="BE622" t="b">
        <f t="shared" si="1156"/>
        <v>0</v>
      </c>
      <c r="BF622" t="b">
        <f t="shared" si="1157"/>
        <v>0</v>
      </c>
      <c r="BG622" t="b">
        <f t="shared" si="1158"/>
        <v>0</v>
      </c>
      <c r="BH622" t="b">
        <f t="shared" si="1159"/>
        <v>0</v>
      </c>
      <c r="BI622">
        <f t="shared" si="1160"/>
        <v>1</v>
      </c>
      <c r="BJ622" t="b">
        <f t="shared" si="1161"/>
        <v>0</v>
      </c>
      <c r="BK622" t="b">
        <f t="shared" si="1162"/>
        <v>0</v>
      </c>
      <c r="BL622" t="b">
        <f t="shared" si="1163"/>
        <v>0</v>
      </c>
      <c r="BM622" t="b">
        <f t="shared" si="1164"/>
        <v>0</v>
      </c>
      <c r="BN622" t="b">
        <f t="shared" si="1165"/>
        <v>0</v>
      </c>
      <c r="BO622" t="b">
        <f t="shared" si="1166"/>
        <v>0</v>
      </c>
      <c r="BP622" t="b">
        <f t="shared" si="1167"/>
        <v>0</v>
      </c>
      <c r="BQ622" t="b">
        <f t="shared" si="1168"/>
        <v>0</v>
      </c>
      <c r="BR622" t="b">
        <f t="shared" si="1169"/>
        <v>0</v>
      </c>
      <c r="BS622" t="b">
        <f t="shared" si="1170"/>
        <v>0</v>
      </c>
      <c r="BT622" t="b">
        <f t="shared" si="1171"/>
        <v>0</v>
      </c>
      <c r="BU622" t="b">
        <f t="shared" si="1172"/>
        <v>0</v>
      </c>
      <c r="BV622" t="b">
        <f t="shared" si="1173"/>
        <v>0</v>
      </c>
      <c r="BW622" t="b">
        <f t="shared" si="1174"/>
        <v>0</v>
      </c>
      <c r="BX622" t="b">
        <f t="shared" si="1175"/>
        <v>0</v>
      </c>
      <c r="BY622" t="b">
        <f t="shared" si="1176"/>
        <v>0</v>
      </c>
      <c r="BZ622" t="b">
        <f t="shared" si="1177"/>
        <v>0</v>
      </c>
      <c r="CA622" t="b">
        <f t="shared" si="1178"/>
        <v>0</v>
      </c>
      <c r="CB622" t="b">
        <f t="shared" si="1179"/>
        <v>0</v>
      </c>
      <c r="CC622" t="b">
        <f t="shared" si="1180"/>
        <v>0</v>
      </c>
      <c r="CD622" t="b">
        <f t="shared" si="1181"/>
        <v>0</v>
      </c>
      <c r="CE622">
        <f t="shared" si="1182"/>
        <v>1</v>
      </c>
      <c r="CF622" t="b">
        <f t="shared" si="1183"/>
        <v>0</v>
      </c>
      <c r="CG622" t="b">
        <f t="shared" si="1184"/>
        <v>0</v>
      </c>
      <c r="CH622" t="b">
        <f t="shared" si="1185"/>
        <v>0</v>
      </c>
      <c r="CI622" t="b">
        <f t="shared" si="1186"/>
        <v>0</v>
      </c>
      <c r="CJ622" t="b">
        <f t="shared" si="1187"/>
        <v>0</v>
      </c>
      <c r="CK622" t="b">
        <f t="shared" si="1188"/>
        <v>0</v>
      </c>
      <c r="CL622" t="b">
        <f t="shared" si="1189"/>
        <v>0</v>
      </c>
      <c r="CM622" t="b">
        <f t="shared" si="1190"/>
        <v>0</v>
      </c>
      <c r="CN622" t="b">
        <f t="shared" si="1191"/>
        <v>0</v>
      </c>
      <c r="CO622" t="b">
        <f t="shared" si="1192"/>
        <v>0</v>
      </c>
      <c r="CP622" t="b">
        <f t="shared" si="1193"/>
        <v>0</v>
      </c>
      <c r="CQ622" t="b">
        <f t="shared" si="1194"/>
        <v>0</v>
      </c>
      <c r="CR622" t="b">
        <f t="shared" si="1195"/>
        <v>0</v>
      </c>
      <c r="CS622" t="b">
        <f t="shared" si="1196"/>
        <v>0</v>
      </c>
      <c r="CT622" t="b">
        <f t="shared" si="1197"/>
        <v>0</v>
      </c>
      <c r="CU622" t="b">
        <f t="shared" si="1198"/>
        <v>0</v>
      </c>
      <c r="CV622">
        <f t="shared" si="1199"/>
        <v>1</v>
      </c>
      <c r="CW622" t="b">
        <f t="shared" si="1200"/>
        <v>0</v>
      </c>
      <c r="CX622" t="b">
        <f t="shared" si="1201"/>
        <v>0</v>
      </c>
      <c r="CY622" t="b">
        <f t="shared" si="1202"/>
        <v>0</v>
      </c>
      <c r="CZ622" t="b">
        <f t="shared" si="1203"/>
        <v>0</v>
      </c>
      <c r="DA622" t="b">
        <f t="shared" si="1204"/>
        <v>0</v>
      </c>
      <c r="DB622" t="b">
        <f t="shared" si="1205"/>
        <v>0</v>
      </c>
      <c r="DC622" t="b">
        <f t="shared" si="1206"/>
        <v>0</v>
      </c>
      <c r="DD622" t="b">
        <f t="shared" si="1207"/>
        <v>0</v>
      </c>
      <c r="DE622" t="b">
        <f t="shared" si="1208"/>
        <v>0</v>
      </c>
      <c r="DF622" t="b">
        <f t="shared" si="1209"/>
        <v>0</v>
      </c>
      <c r="DG622" t="b">
        <f t="shared" si="1210"/>
        <v>0</v>
      </c>
      <c r="DH622" t="b">
        <f t="shared" si="1211"/>
        <v>0</v>
      </c>
      <c r="DI622" t="b">
        <f t="shared" si="1212"/>
        <v>0</v>
      </c>
      <c r="DJ622" t="b">
        <f t="shared" si="1213"/>
        <v>0</v>
      </c>
      <c r="DK622" t="b">
        <f t="shared" si="1214"/>
        <v>0</v>
      </c>
      <c r="DL622" t="b">
        <f t="shared" si="1215"/>
        <v>0</v>
      </c>
      <c r="DM622" t="b">
        <f t="shared" si="1216"/>
        <v>0</v>
      </c>
      <c r="DN622" t="b">
        <f t="shared" si="1217"/>
        <v>0</v>
      </c>
      <c r="DO622" t="b">
        <f t="shared" si="1218"/>
        <v>0</v>
      </c>
      <c r="DP622" t="b">
        <f t="shared" si="1219"/>
        <v>0</v>
      </c>
      <c r="DQ622" t="b">
        <f t="shared" si="1220"/>
        <v>0</v>
      </c>
      <c r="DR622" t="b">
        <f t="shared" si="1221"/>
        <v>0</v>
      </c>
      <c r="DS622" t="b">
        <f t="shared" si="1222"/>
        <v>0</v>
      </c>
      <c r="DT622" t="b">
        <f t="shared" si="1223"/>
        <v>0</v>
      </c>
      <c r="DU622" t="b">
        <f t="shared" si="1224"/>
        <v>0</v>
      </c>
      <c r="DV622" t="b">
        <f t="shared" si="1225"/>
        <v>0</v>
      </c>
      <c r="DW622" t="b">
        <f t="shared" si="1226"/>
        <v>0</v>
      </c>
      <c r="DX622" t="b">
        <f t="shared" si="1227"/>
        <v>0</v>
      </c>
      <c r="DY622" t="b">
        <f t="shared" si="1228"/>
        <v>0</v>
      </c>
      <c r="DZ622" t="b">
        <f t="shared" si="1229"/>
        <v>0</v>
      </c>
      <c r="EA622" t="b">
        <f t="shared" si="1230"/>
        <v>0</v>
      </c>
      <c r="EB622" t="b">
        <f t="shared" si="1231"/>
        <v>0</v>
      </c>
      <c r="EC622" t="b">
        <f t="shared" si="1232"/>
        <v>0</v>
      </c>
      <c r="ED622" t="b">
        <f t="shared" si="1233"/>
        <v>0</v>
      </c>
      <c r="EE622" t="b">
        <f t="shared" si="1234"/>
        <v>0</v>
      </c>
      <c r="EF622">
        <f t="shared" si="1235"/>
        <v>1</v>
      </c>
      <c r="EG622" t="b">
        <f t="shared" si="1236"/>
        <v>0</v>
      </c>
      <c r="EH622" t="b">
        <f t="shared" si="1237"/>
        <v>0</v>
      </c>
      <c r="EI622">
        <f t="shared" si="1238"/>
        <v>1</v>
      </c>
      <c r="EJ622" t="b">
        <f t="shared" si="1239"/>
        <v>0</v>
      </c>
      <c r="EK622" t="b">
        <f t="shared" si="1240"/>
        <v>0</v>
      </c>
    </row>
    <row r="623" spans="1:141">
      <c r="A623" t="s">
        <v>3125</v>
      </c>
      <c r="B623" t="s">
        <v>3126</v>
      </c>
      <c r="C623" t="s">
        <v>3127</v>
      </c>
      <c r="D623" s="1">
        <v>42272</v>
      </c>
      <c r="E623" s="2">
        <v>42764.306157407409</v>
      </c>
      <c r="F623" s="2">
        <v>42764.306157407409</v>
      </c>
      <c r="G623">
        <v>1296959</v>
      </c>
      <c r="H623" t="s">
        <v>3128</v>
      </c>
      <c r="I623" s="10" t="s">
        <v>3129</v>
      </c>
      <c r="J623" t="s">
        <v>188</v>
      </c>
      <c r="K623" s="8" t="b">
        <v>1</v>
      </c>
      <c r="L623" s="10" t="b">
        <v>0</v>
      </c>
      <c r="M623" s="12" t="b">
        <v>0</v>
      </c>
      <c r="N623" t="b">
        <v>0</v>
      </c>
      <c r="O623" t="b">
        <v>0</v>
      </c>
      <c r="P623" t="b">
        <v>0</v>
      </c>
      <c r="Q623">
        <f t="shared" si="1117"/>
        <v>6</v>
      </c>
      <c r="R623">
        <f t="shared" si="1118"/>
        <v>9</v>
      </c>
      <c r="S623" t="e">
        <f t="shared" ca="1" si="1148"/>
        <v>#NAME?</v>
      </c>
      <c r="T623" t="e">
        <f t="shared" ca="1" si="1119"/>
        <v>#NAME?</v>
      </c>
      <c r="U623" s="4">
        <f t="shared" si="1120"/>
        <v>492.30615740740905</v>
      </c>
      <c r="V623" s="4">
        <f t="shared" si="1121"/>
        <v>16.410205246913634</v>
      </c>
      <c r="W623" s="4">
        <f t="shared" si="1122"/>
        <v>1</v>
      </c>
      <c r="X623" s="4">
        <f t="shared" si="1123"/>
        <v>0</v>
      </c>
      <c r="Y623" s="4">
        <f t="shared" si="1124"/>
        <v>0</v>
      </c>
      <c r="Z623" s="4">
        <f t="shared" si="1125"/>
        <v>0</v>
      </c>
      <c r="AA623" s="4">
        <f t="shared" si="1126"/>
        <v>0</v>
      </c>
      <c r="AB623" s="4">
        <f t="shared" si="1127"/>
        <v>0</v>
      </c>
      <c r="AD623" s="4" t="b">
        <f t="shared" si="1128"/>
        <v>0</v>
      </c>
      <c r="AE623" s="4" t="b">
        <f t="shared" si="1129"/>
        <v>0</v>
      </c>
      <c r="AF623" s="4" t="b">
        <f t="shared" si="1130"/>
        <v>0</v>
      </c>
      <c r="AG623" t="b">
        <f t="shared" si="1131"/>
        <v>0</v>
      </c>
      <c r="AH623" t="b">
        <f t="shared" si="1132"/>
        <v>0</v>
      </c>
      <c r="AI623" t="b">
        <f t="shared" si="1133"/>
        <v>0</v>
      </c>
      <c r="AJ623" t="b">
        <f t="shared" si="1134"/>
        <v>0</v>
      </c>
      <c r="AK623" t="b">
        <f t="shared" si="1135"/>
        <v>0</v>
      </c>
      <c r="AL623" t="b">
        <f t="shared" si="1136"/>
        <v>0</v>
      </c>
      <c r="AM623" t="b">
        <f t="shared" si="1137"/>
        <v>0</v>
      </c>
      <c r="AN623" t="b">
        <f t="shared" si="1138"/>
        <v>0</v>
      </c>
      <c r="AO623" t="b">
        <f t="shared" si="1139"/>
        <v>0</v>
      </c>
      <c r="AP623" t="b">
        <f t="shared" si="1140"/>
        <v>0</v>
      </c>
      <c r="AQ623" t="b">
        <f t="shared" si="1141"/>
        <v>0</v>
      </c>
      <c r="AR623" t="b">
        <f t="shared" si="1142"/>
        <v>0</v>
      </c>
      <c r="AS623" t="b">
        <f t="shared" si="1143"/>
        <v>0</v>
      </c>
      <c r="AT623" t="b">
        <f t="shared" si="1144"/>
        <v>0</v>
      </c>
      <c r="AU623" t="b">
        <f t="shared" si="1145"/>
        <v>0</v>
      </c>
      <c r="AV623" t="b">
        <f t="shared" si="1146"/>
        <v>0</v>
      </c>
      <c r="AW623" t="b">
        <f t="shared" si="1147"/>
        <v>0</v>
      </c>
      <c r="AX623" t="b">
        <f t="shared" si="1149"/>
        <v>0</v>
      </c>
      <c r="AY623" t="b">
        <f t="shared" si="1150"/>
        <v>0</v>
      </c>
      <c r="AZ623" t="b">
        <f t="shared" si="1151"/>
        <v>0</v>
      </c>
      <c r="BA623" t="b">
        <f t="shared" si="1152"/>
        <v>0</v>
      </c>
      <c r="BB623" t="b">
        <f t="shared" si="1153"/>
        <v>0</v>
      </c>
      <c r="BC623" t="b">
        <f t="shared" si="1154"/>
        <v>0</v>
      </c>
      <c r="BD623" t="b">
        <f t="shared" si="1155"/>
        <v>0</v>
      </c>
      <c r="BE623" t="b">
        <f t="shared" si="1156"/>
        <v>0</v>
      </c>
      <c r="BF623" t="b">
        <f t="shared" si="1157"/>
        <v>0</v>
      </c>
      <c r="BG623" t="b">
        <f t="shared" si="1158"/>
        <v>0</v>
      </c>
      <c r="BH623" t="b">
        <f t="shared" si="1159"/>
        <v>0</v>
      </c>
      <c r="BI623">
        <f t="shared" si="1160"/>
        <v>1</v>
      </c>
      <c r="BJ623" t="b">
        <f t="shared" si="1161"/>
        <v>0</v>
      </c>
      <c r="BK623" t="b">
        <f t="shared" si="1162"/>
        <v>0</v>
      </c>
      <c r="BL623" t="b">
        <f t="shared" si="1163"/>
        <v>0</v>
      </c>
      <c r="BM623" t="b">
        <f t="shared" si="1164"/>
        <v>0</v>
      </c>
      <c r="BN623" t="b">
        <f t="shared" si="1165"/>
        <v>0</v>
      </c>
      <c r="BO623" t="b">
        <f t="shared" si="1166"/>
        <v>0</v>
      </c>
      <c r="BP623" t="b">
        <f t="shared" si="1167"/>
        <v>0</v>
      </c>
      <c r="BQ623" t="b">
        <f t="shared" si="1168"/>
        <v>0</v>
      </c>
      <c r="BR623" t="b">
        <f t="shared" si="1169"/>
        <v>0</v>
      </c>
      <c r="BS623" t="b">
        <f t="shared" si="1170"/>
        <v>0</v>
      </c>
      <c r="BT623" t="b">
        <f t="shared" si="1171"/>
        <v>0</v>
      </c>
      <c r="BU623" t="b">
        <f t="shared" si="1172"/>
        <v>0</v>
      </c>
      <c r="BV623" t="b">
        <f t="shared" si="1173"/>
        <v>0</v>
      </c>
      <c r="BW623" t="b">
        <f t="shared" si="1174"/>
        <v>0</v>
      </c>
      <c r="BX623" t="b">
        <f t="shared" si="1175"/>
        <v>0</v>
      </c>
      <c r="BY623" t="b">
        <f t="shared" si="1176"/>
        <v>0</v>
      </c>
      <c r="BZ623" t="b">
        <f t="shared" si="1177"/>
        <v>0</v>
      </c>
      <c r="CA623" t="b">
        <f t="shared" si="1178"/>
        <v>0</v>
      </c>
      <c r="CB623" t="b">
        <f t="shared" si="1179"/>
        <v>0</v>
      </c>
      <c r="CC623" t="b">
        <f t="shared" si="1180"/>
        <v>0</v>
      </c>
      <c r="CD623" t="b">
        <f t="shared" si="1181"/>
        <v>0</v>
      </c>
      <c r="CE623">
        <f t="shared" si="1182"/>
        <v>1</v>
      </c>
      <c r="CF623" t="b">
        <f t="shared" si="1183"/>
        <v>0</v>
      </c>
      <c r="CG623" t="b">
        <f t="shared" si="1184"/>
        <v>0</v>
      </c>
      <c r="CH623" t="b">
        <f t="shared" si="1185"/>
        <v>0</v>
      </c>
      <c r="CI623" t="b">
        <f t="shared" si="1186"/>
        <v>0</v>
      </c>
      <c r="CJ623" t="b">
        <f t="shared" si="1187"/>
        <v>0</v>
      </c>
      <c r="CK623" t="b">
        <f t="shared" si="1188"/>
        <v>0</v>
      </c>
      <c r="CL623" t="b">
        <f t="shared" si="1189"/>
        <v>0</v>
      </c>
      <c r="CM623" t="b">
        <f t="shared" si="1190"/>
        <v>0</v>
      </c>
      <c r="CN623" t="b">
        <f t="shared" si="1191"/>
        <v>0</v>
      </c>
      <c r="CO623" t="b">
        <f t="shared" si="1192"/>
        <v>0</v>
      </c>
      <c r="CP623" t="b">
        <f t="shared" si="1193"/>
        <v>0</v>
      </c>
      <c r="CQ623" t="b">
        <f t="shared" si="1194"/>
        <v>0</v>
      </c>
      <c r="CR623" t="b">
        <f t="shared" si="1195"/>
        <v>0</v>
      </c>
      <c r="CS623" t="b">
        <f t="shared" si="1196"/>
        <v>0</v>
      </c>
      <c r="CT623" t="b">
        <f t="shared" si="1197"/>
        <v>0</v>
      </c>
      <c r="CU623" t="b">
        <f t="shared" si="1198"/>
        <v>0</v>
      </c>
      <c r="CV623">
        <f t="shared" si="1199"/>
        <v>1</v>
      </c>
      <c r="CW623" t="b">
        <f t="shared" si="1200"/>
        <v>0</v>
      </c>
      <c r="CX623" t="b">
        <f t="shared" si="1201"/>
        <v>0</v>
      </c>
      <c r="CY623" t="b">
        <f t="shared" si="1202"/>
        <v>0</v>
      </c>
      <c r="CZ623" t="b">
        <f t="shared" si="1203"/>
        <v>0</v>
      </c>
      <c r="DA623" t="b">
        <f t="shared" si="1204"/>
        <v>0</v>
      </c>
      <c r="DB623" t="b">
        <f t="shared" si="1205"/>
        <v>0</v>
      </c>
      <c r="DC623" t="b">
        <f t="shared" si="1206"/>
        <v>0</v>
      </c>
      <c r="DD623" t="b">
        <f t="shared" si="1207"/>
        <v>0</v>
      </c>
      <c r="DE623" t="b">
        <f t="shared" si="1208"/>
        <v>0</v>
      </c>
      <c r="DF623" t="b">
        <f t="shared" si="1209"/>
        <v>0</v>
      </c>
      <c r="DG623" t="b">
        <f t="shared" si="1210"/>
        <v>0</v>
      </c>
      <c r="DH623" t="b">
        <f t="shared" si="1211"/>
        <v>0</v>
      </c>
      <c r="DI623" t="b">
        <f t="shared" si="1212"/>
        <v>0</v>
      </c>
      <c r="DJ623" t="b">
        <f t="shared" si="1213"/>
        <v>0</v>
      </c>
      <c r="DK623" t="b">
        <f t="shared" si="1214"/>
        <v>0</v>
      </c>
      <c r="DL623" t="b">
        <f t="shared" si="1215"/>
        <v>0</v>
      </c>
      <c r="DM623" t="b">
        <f t="shared" si="1216"/>
        <v>0</v>
      </c>
      <c r="DN623" t="b">
        <f t="shared" si="1217"/>
        <v>0</v>
      </c>
      <c r="DO623" t="b">
        <f t="shared" si="1218"/>
        <v>0</v>
      </c>
      <c r="DP623" t="b">
        <f t="shared" si="1219"/>
        <v>0</v>
      </c>
      <c r="DQ623" t="b">
        <f t="shared" si="1220"/>
        <v>0</v>
      </c>
      <c r="DR623" t="b">
        <f t="shared" si="1221"/>
        <v>0</v>
      </c>
      <c r="DS623" t="b">
        <f t="shared" si="1222"/>
        <v>0</v>
      </c>
      <c r="DT623" t="b">
        <f t="shared" si="1223"/>
        <v>0</v>
      </c>
      <c r="DU623" t="b">
        <f t="shared" si="1224"/>
        <v>0</v>
      </c>
      <c r="DV623" t="b">
        <f t="shared" si="1225"/>
        <v>0</v>
      </c>
      <c r="DW623" t="b">
        <f t="shared" si="1226"/>
        <v>0</v>
      </c>
      <c r="DX623" t="b">
        <f t="shared" si="1227"/>
        <v>0</v>
      </c>
      <c r="DY623" t="b">
        <f t="shared" si="1228"/>
        <v>0</v>
      </c>
      <c r="DZ623" t="b">
        <f t="shared" si="1229"/>
        <v>0</v>
      </c>
      <c r="EA623" t="b">
        <f t="shared" si="1230"/>
        <v>0</v>
      </c>
      <c r="EB623" t="b">
        <f t="shared" si="1231"/>
        <v>0</v>
      </c>
      <c r="EC623" t="b">
        <f t="shared" si="1232"/>
        <v>0</v>
      </c>
      <c r="ED623" t="b">
        <f t="shared" si="1233"/>
        <v>0</v>
      </c>
      <c r="EE623" t="b">
        <f t="shared" si="1234"/>
        <v>0</v>
      </c>
      <c r="EF623">
        <f t="shared" si="1235"/>
        <v>1</v>
      </c>
      <c r="EG623" t="b">
        <f t="shared" si="1236"/>
        <v>0</v>
      </c>
      <c r="EH623" t="b">
        <f t="shared" si="1237"/>
        <v>0</v>
      </c>
      <c r="EI623" t="b">
        <f t="shared" si="1238"/>
        <v>0</v>
      </c>
      <c r="EJ623" t="b">
        <f t="shared" si="1239"/>
        <v>0</v>
      </c>
      <c r="EK623" t="b">
        <f t="shared" si="1240"/>
        <v>0</v>
      </c>
    </row>
    <row r="624" spans="1:141">
      <c r="A624" t="s">
        <v>3130</v>
      </c>
      <c r="B624" t="s">
        <v>3130</v>
      </c>
      <c r="C624" t="s">
        <v>3131</v>
      </c>
      <c r="D624" s="1">
        <v>42036</v>
      </c>
      <c r="E624" s="2">
        <v>42407.852037037039</v>
      </c>
      <c r="F624" s="2">
        <v>42407.852037037039</v>
      </c>
      <c r="G624">
        <v>432552</v>
      </c>
      <c r="H624" t="s">
        <v>3132</v>
      </c>
      <c r="I624" s="10" t="s">
        <v>3133</v>
      </c>
      <c r="J624" t="s">
        <v>188</v>
      </c>
      <c r="K624" s="8" t="b">
        <v>1</v>
      </c>
      <c r="L624" s="10" t="b">
        <v>0</v>
      </c>
      <c r="M624" s="12" t="b">
        <v>0</v>
      </c>
      <c r="N624" t="b">
        <v>0</v>
      </c>
      <c r="O624" t="b">
        <v>0</v>
      </c>
      <c r="P624" t="b">
        <v>0</v>
      </c>
      <c r="Q624">
        <f t="shared" si="1117"/>
        <v>1</v>
      </c>
      <c r="R624">
        <f t="shared" si="1118"/>
        <v>2</v>
      </c>
      <c r="S624" t="e">
        <f t="shared" ca="1" si="1148"/>
        <v>#NAME?</v>
      </c>
      <c r="T624" t="e">
        <f t="shared" ca="1" si="1119"/>
        <v>#NAME?</v>
      </c>
      <c r="U624" s="4">
        <f t="shared" si="1120"/>
        <v>371.85203703703883</v>
      </c>
      <c r="V624" s="4">
        <f t="shared" si="1121"/>
        <v>12.395067901234627</v>
      </c>
      <c r="W624" s="4">
        <f t="shared" si="1122"/>
        <v>1</v>
      </c>
      <c r="X624" s="4">
        <f t="shared" si="1123"/>
        <v>0</v>
      </c>
      <c r="Y624" s="4">
        <f t="shared" si="1124"/>
        <v>0</v>
      </c>
      <c r="Z624" s="4">
        <f t="shared" si="1125"/>
        <v>0</v>
      </c>
      <c r="AA624" s="4">
        <f t="shared" si="1126"/>
        <v>0</v>
      </c>
      <c r="AB624" s="4">
        <f t="shared" si="1127"/>
        <v>0</v>
      </c>
      <c r="AD624" s="4" t="b">
        <f t="shared" si="1128"/>
        <v>0</v>
      </c>
      <c r="AE624" s="4" t="b">
        <f t="shared" si="1129"/>
        <v>0</v>
      </c>
      <c r="AF624" s="4" t="b">
        <f t="shared" si="1130"/>
        <v>0</v>
      </c>
      <c r="AG624" t="b">
        <f t="shared" si="1131"/>
        <v>0</v>
      </c>
      <c r="AH624" t="b">
        <f t="shared" si="1132"/>
        <v>0</v>
      </c>
      <c r="AI624" t="b">
        <f t="shared" si="1133"/>
        <v>0</v>
      </c>
      <c r="AJ624" t="b">
        <f t="shared" si="1134"/>
        <v>0</v>
      </c>
      <c r="AK624" t="b">
        <f t="shared" si="1135"/>
        <v>0</v>
      </c>
      <c r="AL624" t="b">
        <f t="shared" si="1136"/>
        <v>0</v>
      </c>
      <c r="AM624" t="b">
        <f t="shared" si="1137"/>
        <v>0</v>
      </c>
      <c r="AN624" t="b">
        <f t="shared" si="1138"/>
        <v>0</v>
      </c>
      <c r="AO624" t="b">
        <f t="shared" si="1139"/>
        <v>0</v>
      </c>
      <c r="AP624" t="b">
        <f t="shared" si="1140"/>
        <v>0</v>
      </c>
      <c r="AQ624" t="b">
        <f t="shared" si="1141"/>
        <v>0</v>
      </c>
      <c r="AR624" t="b">
        <f t="shared" si="1142"/>
        <v>0</v>
      </c>
      <c r="AS624" t="b">
        <f t="shared" si="1143"/>
        <v>0</v>
      </c>
      <c r="AT624" t="b">
        <f t="shared" si="1144"/>
        <v>0</v>
      </c>
      <c r="AU624" t="b">
        <f t="shared" si="1145"/>
        <v>0</v>
      </c>
      <c r="AV624" t="b">
        <f t="shared" si="1146"/>
        <v>0</v>
      </c>
      <c r="AW624" t="b">
        <f t="shared" si="1147"/>
        <v>0</v>
      </c>
      <c r="AX624" t="b">
        <f t="shared" si="1149"/>
        <v>0</v>
      </c>
      <c r="AY624" t="b">
        <f t="shared" si="1150"/>
        <v>0</v>
      </c>
      <c r="AZ624" t="b">
        <f t="shared" si="1151"/>
        <v>0</v>
      </c>
      <c r="BA624" t="b">
        <f t="shared" si="1152"/>
        <v>0</v>
      </c>
      <c r="BB624" t="b">
        <f t="shared" si="1153"/>
        <v>0</v>
      </c>
      <c r="BC624" t="b">
        <f t="shared" si="1154"/>
        <v>0</v>
      </c>
      <c r="BD624" t="b">
        <f t="shared" si="1155"/>
        <v>0</v>
      </c>
      <c r="BE624" t="b">
        <f t="shared" si="1156"/>
        <v>0</v>
      </c>
      <c r="BF624" t="b">
        <f t="shared" si="1157"/>
        <v>0</v>
      </c>
      <c r="BG624" t="b">
        <f t="shared" si="1158"/>
        <v>0</v>
      </c>
      <c r="BH624" t="b">
        <f t="shared" si="1159"/>
        <v>0</v>
      </c>
      <c r="BI624">
        <f t="shared" si="1160"/>
        <v>1</v>
      </c>
      <c r="BJ624" t="b">
        <f t="shared" si="1161"/>
        <v>0</v>
      </c>
      <c r="BK624" t="b">
        <f t="shared" si="1162"/>
        <v>0</v>
      </c>
      <c r="BL624" t="b">
        <f t="shared" si="1163"/>
        <v>0</v>
      </c>
      <c r="BM624" t="b">
        <f t="shared" si="1164"/>
        <v>0</v>
      </c>
      <c r="BN624" t="b">
        <f t="shared" si="1165"/>
        <v>0</v>
      </c>
      <c r="BO624" t="b">
        <f t="shared" si="1166"/>
        <v>0</v>
      </c>
      <c r="BP624" t="b">
        <f t="shared" si="1167"/>
        <v>0</v>
      </c>
      <c r="BQ624" t="b">
        <f t="shared" si="1168"/>
        <v>0</v>
      </c>
      <c r="BR624" t="b">
        <f t="shared" si="1169"/>
        <v>0</v>
      </c>
      <c r="BS624" t="b">
        <f t="shared" si="1170"/>
        <v>0</v>
      </c>
      <c r="BT624" t="b">
        <f t="shared" si="1171"/>
        <v>0</v>
      </c>
      <c r="BU624" t="b">
        <f t="shared" si="1172"/>
        <v>0</v>
      </c>
      <c r="BV624" t="b">
        <f t="shared" si="1173"/>
        <v>0</v>
      </c>
      <c r="BW624" t="b">
        <f t="shared" si="1174"/>
        <v>0</v>
      </c>
      <c r="BX624" t="b">
        <f t="shared" si="1175"/>
        <v>0</v>
      </c>
      <c r="BY624" t="b">
        <f t="shared" si="1176"/>
        <v>0</v>
      </c>
      <c r="BZ624" t="b">
        <f t="shared" si="1177"/>
        <v>0</v>
      </c>
      <c r="CA624" t="b">
        <f t="shared" si="1178"/>
        <v>0</v>
      </c>
      <c r="CB624" t="b">
        <f t="shared" si="1179"/>
        <v>0</v>
      </c>
      <c r="CC624" t="b">
        <f t="shared" si="1180"/>
        <v>0</v>
      </c>
      <c r="CD624" t="b">
        <f t="shared" si="1181"/>
        <v>0</v>
      </c>
      <c r="CE624">
        <f t="shared" si="1182"/>
        <v>1</v>
      </c>
      <c r="CF624" t="b">
        <f t="shared" si="1183"/>
        <v>0</v>
      </c>
      <c r="CG624" t="b">
        <f t="shared" si="1184"/>
        <v>0</v>
      </c>
      <c r="CH624" t="b">
        <f t="shared" si="1185"/>
        <v>0</v>
      </c>
      <c r="CI624" t="b">
        <f t="shared" si="1186"/>
        <v>0</v>
      </c>
      <c r="CJ624" t="b">
        <f t="shared" si="1187"/>
        <v>0</v>
      </c>
      <c r="CK624" t="b">
        <f t="shared" si="1188"/>
        <v>0</v>
      </c>
      <c r="CL624" t="b">
        <f t="shared" si="1189"/>
        <v>0</v>
      </c>
      <c r="CM624" t="b">
        <f t="shared" si="1190"/>
        <v>0</v>
      </c>
      <c r="CN624" t="b">
        <f t="shared" si="1191"/>
        <v>0</v>
      </c>
      <c r="CO624" t="b">
        <f t="shared" si="1192"/>
        <v>0</v>
      </c>
      <c r="CP624" t="b">
        <f t="shared" si="1193"/>
        <v>0</v>
      </c>
      <c r="CQ624" t="b">
        <f t="shared" si="1194"/>
        <v>0</v>
      </c>
      <c r="CR624" t="b">
        <f t="shared" si="1195"/>
        <v>0</v>
      </c>
      <c r="CS624" t="b">
        <f t="shared" si="1196"/>
        <v>0</v>
      </c>
      <c r="CT624" t="b">
        <f t="shared" si="1197"/>
        <v>0</v>
      </c>
      <c r="CU624" t="b">
        <f t="shared" si="1198"/>
        <v>0</v>
      </c>
      <c r="CV624">
        <f t="shared" si="1199"/>
        <v>1</v>
      </c>
      <c r="CW624" t="b">
        <f t="shared" si="1200"/>
        <v>0</v>
      </c>
      <c r="CX624" t="b">
        <f t="shared" si="1201"/>
        <v>0</v>
      </c>
      <c r="CY624" t="b">
        <f t="shared" si="1202"/>
        <v>0</v>
      </c>
      <c r="CZ624" t="b">
        <f t="shared" si="1203"/>
        <v>0</v>
      </c>
      <c r="DA624" t="b">
        <f t="shared" si="1204"/>
        <v>0</v>
      </c>
      <c r="DB624" t="b">
        <f t="shared" si="1205"/>
        <v>0</v>
      </c>
      <c r="DC624" t="b">
        <f t="shared" si="1206"/>
        <v>0</v>
      </c>
      <c r="DD624" t="b">
        <f t="shared" si="1207"/>
        <v>0</v>
      </c>
      <c r="DE624" t="b">
        <f t="shared" si="1208"/>
        <v>0</v>
      </c>
      <c r="DF624" t="b">
        <f t="shared" si="1209"/>
        <v>0</v>
      </c>
      <c r="DG624" t="b">
        <f t="shared" si="1210"/>
        <v>0</v>
      </c>
      <c r="DH624" t="b">
        <f t="shared" si="1211"/>
        <v>0</v>
      </c>
      <c r="DI624" t="b">
        <f t="shared" si="1212"/>
        <v>0</v>
      </c>
      <c r="DJ624" t="b">
        <f t="shared" si="1213"/>
        <v>0</v>
      </c>
      <c r="DK624" t="b">
        <f t="shared" si="1214"/>
        <v>0</v>
      </c>
      <c r="DL624" t="b">
        <f t="shared" si="1215"/>
        <v>0</v>
      </c>
      <c r="DM624" t="b">
        <f t="shared" si="1216"/>
        <v>0</v>
      </c>
      <c r="DN624" t="b">
        <f t="shared" si="1217"/>
        <v>0</v>
      </c>
      <c r="DO624" t="b">
        <f t="shared" si="1218"/>
        <v>0</v>
      </c>
      <c r="DP624" t="b">
        <f t="shared" si="1219"/>
        <v>0</v>
      </c>
      <c r="DQ624" t="b">
        <f t="shared" si="1220"/>
        <v>0</v>
      </c>
      <c r="DR624" t="b">
        <f t="shared" si="1221"/>
        <v>0</v>
      </c>
      <c r="DS624" t="b">
        <f t="shared" si="1222"/>
        <v>0</v>
      </c>
      <c r="DT624" t="b">
        <f t="shared" si="1223"/>
        <v>0</v>
      </c>
      <c r="DU624" t="b">
        <f t="shared" si="1224"/>
        <v>0</v>
      </c>
      <c r="DV624" t="b">
        <f t="shared" si="1225"/>
        <v>0</v>
      </c>
      <c r="DW624" t="b">
        <f t="shared" si="1226"/>
        <v>0</v>
      </c>
      <c r="DX624" t="b">
        <f t="shared" si="1227"/>
        <v>0</v>
      </c>
      <c r="DY624" t="b">
        <f t="shared" si="1228"/>
        <v>0</v>
      </c>
      <c r="DZ624" t="b">
        <f t="shared" si="1229"/>
        <v>0</v>
      </c>
      <c r="EA624" t="b">
        <f t="shared" si="1230"/>
        <v>0</v>
      </c>
      <c r="EB624" t="b">
        <f t="shared" si="1231"/>
        <v>0</v>
      </c>
      <c r="EC624" t="b">
        <f t="shared" si="1232"/>
        <v>0</v>
      </c>
      <c r="ED624" t="b">
        <f t="shared" si="1233"/>
        <v>0</v>
      </c>
      <c r="EE624" t="b">
        <f t="shared" si="1234"/>
        <v>0</v>
      </c>
      <c r="EF624">
        <f t="shared" si="1235"/>
        <v>1</v>
      </c>
      <c r="EG624" t="b">
        <f t="shared" si="1236"/>
        <v>0</v>
      </c>
      <c r="EH624" t="b">
        <f t="shared" si="1237"/>
        <v>0</v>
      </c>
      <c r="EI624" t="b">
        <f t="shared" si="1238"/>
        <v>0</v>
      </c>
      <c r="EJ624" t="b">
        <f t="shared" si="1239"/>
        <v>0</v>
      </c>
      <c r="EK624" t="b">
        <f t="shared" si="1240"/>
        <v>0</v>
      </c>
    </row>
    <row r="625" spans="1:141">
      <c r="A625" t="s">
        <v>3134</v>
      </c>
      <c r="B625" t="s">
        <v>3134</v>
      </c>
      <c r="C625" t="s">
        <v>3135</v>
      </c>
      <c r="D625" s="1">
        <v>42702</v>
      </c>
      <c r="E625" s="2">
        <v>43167.089884259258</v>
      </c>
      <c r="F625" s="2">
        <v>43167.089884259258</v>
      </c>
      <c r="G625">
        <v>377377</v>
      </c>
      <c r="H625" t="s">
        <v>3136</v>
      </c>
      <c r="I625" s="10" t="s">
        <v>3137</v>
      </c>
      <c r="J625" t="s">
        <v>156</v>
      </c>
      <c r="K625" s="8" t="b">
        <v>1</v>
      </c>
      <c r="L625" s="10" t="b">
        <v>0</v>
      </c>
      <c r="M625" s="12" t="b">
        <v>1</v>
      </c>
      <c r="N625" t="b">
        <v>0</v>
      </c>
      <c r="O625" t="b">
        <v>0</v>
      </c>
      <c r="P625" t="b">
        <v>0</v>
      </c>
      <c r="Q625">
        <f t="shared" si="1117"/>
        <v>2</v>
      </c>
      <c r="R625">
        <f t="shared" si="1118"/>
        <v>11</v>
      </c>
      <c r="S625" t="e">
        <f t="shared" ca="1" si="1148"/>
        <v>#NAME?</v>
      </c>
      <c r="T625" t="e">
        <f t="shared" ca="1" si="1119"/>
        <v>#NAME?</v>
      </c>
      <c r="U625" s="4">
        <f t="shared" si="1120"/>
        <v>465.08988425925781</v>
      </c>
      <c r="V625" s="4">
        <f t="shared" si="1121"/>
        <v>15.502996141975261</v>
      </c>
      <c r="W625" s="4">
        <f t="shared" si="1122"/>
        <v>1</v>
      </c>
      <c r="X625" s="4">
        <f t="shared" si="1123"/>
        <v>0</v>
      </c>
      <c r="Y625" s="4">
        <f t="shared" si="1124"/>
        <v>1</v>
      </c>
      <c r="Z625" s="4">
        <f t="shared" si="1125"/>
        <v>0</v>
      </c>
      <c r="AA625" s="4">
        <f t="shared" si="1126"/>
        <v>0</v>
      </c>
      <c r="AB625" s="4">
        <f t="shared" si="1127"/>
        <v>0</v>
      </c>
      <c r="AD625" s="4" t="b">
        <f t="shared" si="1128"/>
        <v>0</v>
      </c>
      <c r="AE625" s="4" t="b">
        <f t="shared" si="1129"/>
        <v>0</v>
      </c>
      <c r="AF625" s="4" t="b">
        <f t="shared" si="1130"/>
        <v>0</v>
      </c>
      <c r="AG625" t="b">
        <f t="shared" si="1131"/>
        <v>0</v>
      </c>
      <c r="AH625" t="b">
        <f t="shared" si="1132"/>
        <v>0</v>
      </c>
      <c r="AI625" t="b">
        <f t="shared" si="1133"/>
        <v>0</v>
      </c>
      <c r="AJ625" t="b">
        <f t="shared" si="1134"/>
        <v>0</v>
      </c>
      <c r="AK625" t="b">
        <f t="shared" si="1135"/>
        <v>0</v>
      </c>
      <c r="AL625" t="b">
        <f t="shared" si="1136"/>
        <v>0</v>
      </c>
      <c r="AM625" t="b">
        <f t="shared" si="1137"/>
        <v>0</v>
      </c>
      <c r="AN625" t="b">
        <f t="shared" si="1138"/>
        <v>0</v>
      </c>
      <c r="AO625" t="b">
        <f t="shared" si="1139"/>
        <v>0</v>
      </c>
      <c r="AP625" t="b">
        <f t="shared" si="1140"/>
        <v>0</v>
      </c>
      <c r="AQ625" t="b">
        <f t="shared" si="1141"/>
        <v>0</v>
      </c>
      <c r="AR625" t="b">
        <f t="shared" si="1142"/>
        <v>0</v>
      </c>
      <c r="AS625" t="b">
        <f t="shared" si="1143"/>
        <v>0</v>
      </c>
      <c r="AT625" t="b">
        <f t="shared" si="1144"/>
        <v>0</v>
      </c>
      <c r="AU625" t="b">
        <f t="shared" si="1145"/>
        <v>0</v>
      </c>
      <c r="AV625" t="b">
        <f t="shared" si="1146"/>
        <v>0</v>
      </c>
      <c r="AW625" t="b">
        <f t="shared" si="1147"/>
        <v>0</v>
      </c>
      <c r="AX625" t="b">
        <f t="shared" si="1149"/>
        <v>0</v>
      </c>
      <c r="AY625" t="b">
        <f t="shared" si="1150"/>
        <v>0</v>
      </c>
      <c r="AZ625" t="b">
        <f t="shared" si="1151"/>
        <v>0</v>
      </c>
      <c r="BA625" t="b">
        <f t="shared" si="1152"/>
        <v>0</v>
      </c>
      <c r="BB625" t="b">
        <f t="shared" si="1153"/>
        <v>0</v>
      </c>
      <c r="BC625" t="b">
        <f t="shared" si="1154"/>
        <v>0</v>
      </c>
      <c r="BD625" t="b">
        <f t="shared" si="1155"/>
        <v>0</v>
      </c>
      <c r="BE625" t="b">
        <f t="shared" si="1156"/>
        <v>0</v>
      </c>
      <c r="BF625" t="b">
        <f t="shared" si="1157"/>
        <v>0</v>
      </c>
      <c r="BG625" t="b">
        <f t="shared" si="1158"/>
        <v>0</v>
      </c>
      <c r="BH625" t="b">
        <f t="shared" si="1159"/>
        <v>0</v>
      </c>
      <c r="BI625">
        <f t="shared" si="1160"/>
        <v>1</v>
      </c>
      <c r="BJ625" t="b">
        <f t="shared" si="1161"/>
        <v>0</v>
      </c>
      <c r="BK625" t="b">
        <f t="shared" si="1162"/>
        <v>0</v>
      </c>
      <c r="BL625" t="b">
        <f t="shared" si="1163"/>
        <v>0</v>
      </c>
      <c r="BM625" t="b">
        <f t="shared" si="1164"/>
        <v>0</v>
      </c>
      <c r="BN625" t="b">
        <f t="shared" si="1165"/>
        <v>0</v>
      </c>
      <c r="BO625" t="b">
        <f t="shared" si="1166"/>
        <v>0</v>
      </c>
      <c r="BP625" t="b">
        <f t="shared" si="1167"/>
        <v>0</v>
      </c>
      <c r="BQ625" t="b">
        <f t="shared" si="1168"/>
        <v>0</v>
      </c>
      <c r="BR625" t="b">
        <f t="shared" si="1169"/>
        <v>0</v>
      </c>
      <c r="BS625" t="b">
        <f t="shared" si="1170"/>
        <v>0</v>
      </c>
      <c r="BT625" t="b">
        <f t="shared" si="1171"/>
        <v>0</v>
      </c>
      <c r="BU625" t="b">
        <f t="shared" si="1172"/>
        <v>0</v>
      </c>
      <c r="BV625" t="b">
        <f t="shared" si="1173"/>
        <v>0</v>
      </c>
      <c r="BW625" t="b">
        <f t="shared" si="1174"/>
        <v>0</v>
      </c>
      <c r="BX625" t="b">
        <f t="shared" si="1175"/>
        <v>0</v>
      </c>
      <c r="BY625" t="b">
        <f t="shared" si="1176"/>
        <v>0</v>
      </c>
      <c r="BZ625" t="b">
        <f t="shared" si="1177"/>
        <v>0</v>
      </c>
      <c r="CA625" t="b">
        <f t="shared" si="1178"/>
        <v>0</v>
      </c>
      <c r="CB625" t="b">
        <f t="shared" si="1179"/>
        <v>0</v>
      </c>
      <c r="CC625" t="b">
        <f t="shared" si="1180"/>
        <v>0</v>
      </c>
      <c r="CD625" t="b">
        <f t="shared" si="1181"/>
        <v>0</v>
      </c>
      <c r="CE625" t="b">
        <f t="shared" si="1182"/>
        <v>0</v>
      </c>
      <c r="CF625" t="b">
        <f t="shared" si="1183"/>
        <v>0</v>
      </c>
      <c r="CG625" t="b">
        <f t="shared" si="1184"/>
        <v>0</v>
      </c>
      <c r="CH625" t="b">
        <f t="shared" si="1185"/>
        <v>0</v>
      </c>
      <c r="CI625" t="b">
        <f t="shared" si="1186"/>
        <v>0</v>
      </c>
      <c r="CJ625" t="b">
        <f t="shared" si="1187"/>
        <v>0</v>
      </c>
      <c r="CK625" t="b">
        <f t="shared" si="1188"/>
        <v>0</v>
      </c>
      <c r="CL625" t="b">
        <f t="shared" si="1189"/>
        <v>0</v>
      </c>
      <c r="CM625" t="b">
        <f t="shared" si="1190"/>
        <v>0</v>
      </c>
      <c r="CN625" t="b">
        <f t="shared" si="1191"/>
        <v>0</v>
      </c>
      <c r="CO625" t="b">
        <f t="shared" si="1192"/>
        <v>0</v>
      </c>
      <c r="CP625" t="b">
        <f t="shared" si="1193"/>
        <v>0</v>
      </c>
      <c r="CQ625" t="b">
        <f t="shared" si="1194"/>
        <v>0</v>
      </c>
      <c r="CR625" t="b">
        <f t="shared" si="1195"/>
        <v>0</v>
      </c>
      <c r="CS625" t="b">
        <f t="shared" si="1196"/>
        <v>0</v>
      </c>
      <c r="CT625" t="b">
        <f t="shared" si="1197"/>
        <v>0</v>
      </c>
      <c r="CU625" t="b">
        <f t="shared" si="1198"/>
        <v>0</v>
      </c>
      <c r="CV625">
        <f t="shared" si="1199"/>
        <v>1</v>
      </c>
      <c r="CW625" t="b">
        <f t="shared" si="1200"/>
        <v>0</v>
      </c>
      <c r="CX625" t="b">
        <f t="shared" si="1201"/>
        <v>0</v>
      </c>
      <c r="CY625" t="b">
        <f t="shared" si="1202"/>
        <v>0</v>
      </c>
      <c r="CZ625" t="b">
        <f t="shared" si="1203"/>
        <v>0</v>
      </c>
      <c r="DA625" t="b">
        <f t="shared" si="1204"/>
        <v>0</v>
      </c>
      <c r="DB625" t="b">
        <f t="shared" si="1205"/>
        <v>0</v>
      </c>
      <c r="DC625" t="b">
        <f t="shared" si="1206"/>
        <v>0</v>
      </c>
      <c r="DD625" t="b">
        <f t="shared" si="1207"/>
        <v>0</v>
      </c>
      <c r="DE625" t="b">
        <f t="shared" si="1208"/>
        <v>0</v>
      </c>
      <c r="DF625" t="b">
        <f t="shared" si="1209"/>
        <v>0</v>
      </c>
      <c r="DG625" t="b">
        <f t="shared" si="1210"/>
        <v>0</v>
      </c>
      <c r="DH625" t="b">
        <f t="shared" si="1211"/>
        <v>0</v>
      </c>
      <c r="DI625" t="b">
        <f t="shared" si="1212"/>
        <v>0</v>
      </c>
      <c r="DJ625" t="b">
        <f t="shared" si="1213"/>
        <v>0</v>
      </c>
      <c r="DK625" t="b">
        <f t="shared" si="1214"/>
        <v>0</v>
      </c>
      <c r="DL625" t="b">
        <f t="shared" si="1215"/>
        <v>0</v>
      </c>
      <c r="DM625" t="b">
        <f t="shared" si="1216"/>
        <v>0</v>
      </c>
      <c r="DN625" t="b">
        <f t="shared" si="1217"/>
        <v>0</v>
      </c>
      <c r="DO625" t="b">
        <f t="shared" si="1218"/>
        <v>0</v>
      </c>
      <c r="DP625" t="b">
        <f t="shared" si="1219"/>
        <v>0</v>
      </c>
      <c r="DQ625" t="b">
        <f t="shared" si="1220"/>
        <v>0</v>
      </c>
      <c r="DR625" t="b">
        <f t="shared" si="1221"/>
        <v>0</v>
      </c>
      <c r="DS625" t="b">
        <f t="shared" si="1222"/>
        <v>0</v>
      </c>
      <c r="DT625" t="b">
        <f t="shared" si="1223"/>
        <v>0</v>
      </c>
      <c r="DU625" t="b">
        <f t="shared" si="1224"/>
        <v>0</v>
      </c>
      <c r="DV625" t="b">
        <f t="shared" si="1225"/>
        <v>0</v>
      </c>
      <c r="DW625" t="b">
        <f t="shared" si="1226"/>
        <v>0</v>
      </c>
      <c r="DX625" t="b">
        <f t="shared" si="1227"/>
        <v>0</v>
      </c>
      <c r="DY625" t="b">
        <f t="shared" si="1228"/>
        <v>0</v>
      </c>
      <c r="DZ625" t="b">
        <f t="shared" si="1229"/>
        <v>0</v>
      </c>
      <c r="EA625" t="b">
        <f t="shared" si="1230"/>
        <v>0</v>
      </c>
      <c r="EB625" t="b">
        <f t="shared" si="1231"/>
        <v>0</v>
      </c>
      <c r="EC625" t="b">
        <f t="shared" si="1232"/>
        <v>0</v>
      </c>
      <c r="ED625" t="b">
        <f t="shared" si="1233"/>
        <v>0</v>
      </c>
      <c r="EE625" t="b">
        <f t="shared" si="1234"/>
        <v>0</v>
      </c>
      <c r="EF625">
        <f t="shared" si="1235"/>
        <v>1</v>
      </c>
      <c r="EG625" t="b">
        <f t="shared" si="1236"/>
        <v>0</v>
      </c>
      <c r="EH625" t="b">
        <f t="shared" si="1237"/>
        <v>0</v>
      </c>
      <c r="EI625" t="b">
        <f t="shared" si="1238"/>
        <v>0</v>
      </c>
      <c r="EJ625" t="b">
        <f t="shared" si="1239"/>
        <v>0</v>
      </c>
      <c r="EK625" t="b">
        <f t="shared" si="1240"/>
        <v>0</v>
      </c>
    </row>
    <row r="626" spans="1:141">
      <c r="A626" t="s">
        <v>3138</v>
      </c>
      <c r="B626" t="s">
        <v>3138</v>
      </c>
      <c r="C626" t="s">
        <v>3139</v>
      </c>
      <c r="D626" s="1">
        <v>41122</v>
      </c>
      <c r="E626" s="2">
        <v>43667.906608796293</v>
      </c>
      <c r="F626" s="2">
        <v>43667.906608796293</v>
      </c>
      <c r="G626">
        <v>7088010</v>
      </c>
      <c r="H626" t="s">
        <v>3140</v>
      </c>
      <c r="I626" s="10" t="s">
        <v>3141</v>
      </c>
      <c r="J626" t="s">
        <v>188</v>
      </c>
      <c r="K626" s="8" t="b">
        <v>0</v>
      </c>
      <c r="L626" s="10" t="b">
        <v>0</v>
      </c>
      <c r="M626" s="12" t="b">
        <v>0</v>
      </c>
      <c r="N626" t="b">
        <v>0</v>
      </c>
      <c r="O626" t="b">
        <v>0</v>
      </c>
      <c r="P626" t="b">
        <v>0</v>
      </c>
      <c r="Q626">
        <f t="shared" si="1117"/>
        <v>4</v>
      </c>
      <c r="R626">
        <f t="shared" si="1118"/>
        <v>8</v>
      </c>
      <c r="S626" t="e">
        <f t="shared" ca="1" si="1148"/>
        <v>#NAME?</v>
      </c>
      <c r="T626" t="e">
        <f t="shared" ca="1" si="1119"/>
        <v>#NAME?</v>
      </c>
      <c r="U626" s="4">
        <f t="shared" si="1120"/>
        <v>2545.9066087962929</v>
      </c>
      <c r="V626" s="4">
        <f t="shared" si="1121"/>
        <v>84.863553626543094</v>
      </c>
      <c r="W626" s="4">
        <f t="shared" si="1122"/>
        <v>0</v>
      </c>
      <c r="X626" s="4">
        <f t="shared" si="1123"/>
        <v>0</v>
      </c>
      <c r="Y626" s="4">
        <f t="shared" si="1124"/>
        <v>0</v>
      </c>
      <c r="Z626" s="4">
        <f t="shared" si="1125"/>
        <v>0</v>
      </c>
      <c r="AA626" s="4">
        <f t="shared" si="1126"/>
        <v>0</v>
      </c>
      <c r="AB626" s="4">
        <f t="shared" si="1127"/>
        <v>0</v>
      </c>
      <c r="AD626" s="4" t="b">
        <f t="shared" si="1128"/>
        <v>0</v>
      </c>
      <c r="AE626" s="4" t="b">
        <f t="shared" si="1129"/>
        <v>0</v>
      </c>
      <c r="AF626" s="4" t="b">
        <f t="shared" si="1130"/>
        <v>0</v>
      </c>
      <c r="AG626" t="b">
        <f t="shared" si="1131"/>
        <v>0</v>
      </c>
      <c r="AH626" t="b">
        <f t="shared" si="1132"/>
        <v>0</v>
      </c>
      <c r="AI626" t="b">
        <f t="shared" si="1133"/>
        <v>0</v>
      </c>
      <c r="AJ626" t="b">
        <f t="shared" si="1134"/>
        <v>0</v>
      </c>
      <c r="AK626" t="b">
        <f t="shared" si="1135"/>
        <v>0</v>
      </c>
      <c r="AL626" t="b">
        <f t="shared" si="1136"/>
        <v>0</v>
      </c>
      <c r="AM626" t="b">
        <f t="shared" si="1137"/>
        <v>0</v>
      </c>
      <c r="AN626" t="b">
        <f t="shared" si="1138"/>
        <v>0</v>
      </c>
      <c r="AO626" t="b">
        <f t="shared" si="1139"/>
        <v>0</v>
      </c>
      <c r="AP626" t="b">
        <f t="shared" si="1140"/>
        <v>0</v>
      </c>
      <c r="AQ626" t="b">
        <f t="shared" si="1141"/>
        <v>0</v>
      </c>
      <c r="AR626" t="b">
        <f t="shared" si="1142"/>
        <v>0</v>
      </c>
      <c r="AS626" t="b">
        <f t="shared" si="1143"/>
        <v>0</v>
      </c>
      <c r="AT626" t="b">
        <f t="shared" si="1144"/>
        <v>0</v>
      </c>
      <c r="AU626" t="b">
        <f t="shared" si="1145"/>
        <v>0</v>
      </c>
      <c r="AV626" t="b">
        <f t="shared" si="1146"/>
        <v>0</v>
      </c>
      <c r="AW626" t="b">
        <f t="shared" si="1147"/>
        <v>0</v>
      </c>
      <c r="AX626" t="b">
        <f t="shared" si="1149"/>
        <v>0</v>
      </c>
      <c r="AY626" t="b">
        <f t="shared" si="1150"/>
        <v>0</v>
      </c>
      <c r="AZ626" t="b">
        <f t="shared" si="1151"/>
        <v>0</v>
      </c>
      <c r="BA626" t="b">
        <f t="shared" si="1152"/>
        <v>0</v>
      </c>
      <c r="BB626" t="b">
        <f t="shared" si="1153"/>
        <v>0</v>
      </c>
      <c r="BC626" t="b">
        <f t="shared" si="1154"/>
        <v>0</v>
      </c>
      <c r="BD626" t="b">
        <f t="shared" si="1155"/>
        <v>0</v>
      </c>
      <c r="BE626" t="b">
        <f t="shared" si="1156"/>
        <v>0</v>
      </c>
      <c r="BF626" t="b">
        <f t="shared" si="1157"/>
        <v>0</v>
      </c>
      <c r="BG626" t="b">
        <f t="shared" si="1158"/>
        <v>0</v>
      </c>
      <c r="BH626" t="b">
        <f t="shared" si="1159"/>
        <v>0</v>
      </c>
      <c r="BI626">
        <f t="shared" si="1160"/>
        <v>1</v>
      </c>
      <c r="BJ626" t="b">
        <f t="shared" si="1161"/>
        <v>0</v>
      </c>
      <c r="BK626" t="b">
        <f t="shared" si="1162"/>
        <v>0</v>
      </c>
      <c r="BL626" t="b">
        <f t="shared" si="1163"/>
        <v>0</v>
      </c>
      <c r="BM626" t="b">
        <f t="shared" si="1164"/>
        <v>0</v>
      </c>
      <c r="BN626" t="b">
        <f t="shared" si="1165"/>
        <v>0</v>
      </c>
      <c r="BO626" t="b">
        <f t="shared" si="1166"/>
        <v>0</v>
      </c>
      <c r="BP626" t="b">
        <f t="shared" si="1167"/>
        <v>0</v>
      </c>
      <c r="BQ626" t="b">
        <f t="shared" si="1168"/>
        <v>0</v>
      </c>
      <c r="BR626" t="b">
        <f t="shared" si="1169"/>
        <v>0</v>
      </c>
      <c r="BS626" t="b">
        <f t="shared" si="1170"/>
        <v>0</v>
      </c>
      <c r="BT626" t="b">
        <f t="shared" si="1171"/>
        <v>0</v>
      </c>
      <c r="BU626" t="b">
        <f t="shared" si="1172"/>
        <v>0</v>
      </c>
      <c r="BV626" t="b">
        <f t="shared" si="1173"/>
        <v>0</v>
      </c>
      <c r="BW626" t="b">
        <f t="shared" si="1174"/>
        <v>0</v>
      </c>
      <c r="BX626" t="b">
        <f t="shared" si="1175"/>
        <v>0</v>
      </c>
      <c r="BY626" t="b">
        <f t="shared" si="1176"/>
        <v>0</v>
      </c>
      <c r="BZ626" t="b">
        <f t="shared" si="1177"/>
        <v>0</v>
      </c>
      <c r="CA626" t="b">
        <f t="shared" si="1178"/>
        <v>0</v>
      </c>
      <c r="CB626" t="b">
        <f t="shared" si="1179"/>
        <v>0</v>
      </c>
      <c r="CC626" t="b">
        <f t="shared" si="1180"/>
        <v>0</v>
      </c>
      <c r="CD626" t="b">
        <f t="shared" si="1181"/>
        <v>0</v>
      </c>
      <c r="CE626">
        <f t="shared" si="1182"/>
        <v>1</v>
      </c>
      <c r="CF626" t="b">
        <f t="shared" si="1183"/>
        <v>0</v>
      </c>
      <c r="CG626" t="b">
        <f t="shared" si="1184"/>
        <v>0</v>
      </c>
      <c r="CH626" t="b">
        <f t="shared" si="1185"/>
        <v>0</v>
      </c>
      <c r="CI626" t="b">
        <f t="shared" si="1186"/>
        <v>0</v>
      </c>
      <c r="CJ626" t="b">
        <f t="shared" si="1187"/>
        <v>0</v>
      </c>
      <c r="CK626" t="b">
        <f t="shared" si="1188"/>
        <v>0</v>
      </c>
      <c r="CL626" t="b">
        <f t="shared" si="1189"/>
        <v>0</v>
      </c>
      <c r="CM626" t="b">
        <f t="shared" si="1190"/>
        <v>0</v>
      </c>
      <c r="CN626" t="b">
        <f t="shared" si="1191"/>
        <v>0</v>
      </c>
      <c r="CO626" t="b">
        <f t="shared" si="1192"/>
        <v>0</v>
      </c>
      <c r="CP626" t="b">
        <f t="shared" si="1193"/>
        <v>0</v>
      </c>
      <c r="CQ626" t="b">
        <f t="shared" si="1194"/>
        <v>0</v>
      </c>
      <c r="CR626" t="b">
        <f t="shared" si="1195"/>
        <v>0</v>
      </c>
      <c r="CS626" t="b">
        <f t="shared" si="1196"/>
        <v>0</v>
      </c>
      <c r="CT626" t="b">
        <f t="shared" si="1197"/>
        <v>0</v>
      </c>
      <c r="CU626" t="b">
        <f t="shared" si="1198"/>
        <v>0</v>
      </c>
      <c r="CV626">
        <f t="shared" si="1199"/>
        <v>1</v>
      </c>
      <c r="CW626" t="b">
        <f t="shared" si="1200"/>
        <v>0</v>
      </c>
      <c r="CX626" t="b">
        <f t="shared" si="1201"/>
        <v>0</v>
      </c>
      <c r="CY626" t="b">
        <f t="shared" si="1202"/>
        <v>0</v>
      </c>
      <c r="CZ626" t="b">
        <f t="shared" si="1203"/>
        <v>0</v>
      </c>
      <c r="DA626" t="b">
        <f t="shared" si="1204"/>
        <v>0</v>
      </c>
      <c r="DB626" t="b">
        <f t="shared" si="1205"/>
        <v>0</v>
      </c>
      <c r="DC626" t="b">
        <f t="shared" si="1206"/>
        <v>0</v>
      </c>
      <c r="DD626" t="b">
        <f t="shared" si="1207"/>
        <v>0</v>
      </c>
      <c r="DE626" t="b">
        <f t="shared" si="1208"/>
        <v>0</v>
      </c>
      <c r="DF626" t="b">
        <f t="shared" si="1209"/>
        <v>0</v>
      </c>
      <c r="DG626" t="b">
        <f t="shared" si="1210"/>
        <v>0</v>
      </c>
      <c r="DH626" t="b">
        <f t="shared" si="1211"/>
        <v>0</v>
      </c>
      <c r="DI626" t="b">
        <f t="shared" si="1212"/>
        <v>0</v>
      </c>
      <c r="DJ626" t="b">
        <f t="shared" si="1213"/>
        <v>0</v>
      </c>
      <c r="DK626" t="b">
        <f t="shared" si="1214"/>
        <v>0</v>
      </c>
      <c r="DL626" t="b">
        <f t="shared" si="1215"/>
        <v>0</v>
      </c>
      <c r="DM626" t="b">
        <f t="shared" si="1216"/>
        <v>0</v>
      </c>
      <c r="DN626" t="b">
        <f t="shared" si="1217"/>
        <v>0</v>
      </c>
      <c r="DO626" t="b">
        <f t="shared" si="1218"/>
        <v>0</v>
      </c>
      <c r="DP626" t="b">
        <f t="shared" si="1219"/>
        <v>0</v>
      </c>
      <c r="DQ626" t="b">
        <f t="shared" si="1220"/>
        <v>0</v>
      </c>
      <c r="DR626" t="b">
        <f t="shared" si="1221"/>
        <v>0</v>
      </c>
      <c r="DS626" t="b">
        <f t="shared" si="1222"/>
        <v>0</v>
      </c>
      <c r="DT626" t="b">
        <f t="shared" si="1223"/>
        <v>0</v>
      </c>
      <c r="DU626" t="b">
        <f t="shared" si="1224"/>
        <v>0</v>
      </c>
      <c r="DV626" t="b">
        <f t="shared" si="1225"/>
        <v>0</v>
      </c>
      <c r="DW626" t="b">
        <f t="shared" si="1226"/>
        <v>0</v>
      </c>
      <c r="DX626" t="b">
        <f t="shared" si="1227"/>
        <v>0</v>
      </c>
      <c r="DY626" t="b">
        <f t="shared" si="1228"/>
        <v>0</v>
      </c>
      <c r="DZ626" t="b">
        <f t="shared" si="1229"/>
        <v>0</v>
      </c>
      <c r="EA626" t="b">
        <f t="shared" si="1230"/>
        <v>0</v>
      </c>
      <c r="EB626" t="b">
        <f t="shared" si="1231"/>
        <v>0</v>
      </c>
      <c r="EC626" t="b">
        <f t="shared" si="1232"/>
        <v>0</v>
      </c>
      <c r="ED626" t="b">
        <f t="shared" si="1233"/>
        <v>0</v>
      </c>
      <c r="EE626" t="b">
        <f t="shared" si="1234"/>
        <v>0</v>
      </c>
      <c r="EF626">
        <f t="shared" si="1235"/>
        <v>1</v>
      </c>
      <c r="EG626" t="b">
        <f t="shared" si="1236"/>
        <v>0</v>
      </c>
      <c r="EH626" t="b">
        <f t="shared" si="1237"/>
        <v>0</v>
      </c>
      <c r="EI626" t="b">
        <f t="shared" si="1238"/>
        <v>0</v>
      </c>
      <c r="EJ626" t="b">
        <f t="shared" si="1239"/>
        <v>0</v>
      </c>
      <c r="EK626" t="b">
        <f t="shared" si="1240"/>
        <v>0</v>
      </c>
    </row>
    <row r="627" spans="1:141">
      <c r="A627" t="s">
        <v>3142</v>
      </c>
      <c r="B627" t="s">
        <v>3142</v>
      </c>
      <c r="C627" t="s">
        <v>3143</v>
      </c>
      <c r="D627" s="1">
        <v>43647</v>
      </c>
      <c r="E627" s="2">
        <v>43709.373981481483</v>
      </c>
      <c r="F627" s="2">
        <v>43709.373981481483</v>
      </c>
      <c r="G627">
        <v>561991</v>
      </c>
      <c r="H627" t="s">
        <v>3144</v>
      </c>
      <c r="I627" s="10" t="s">
        <v>3145</v>
      </c>
      <c r="J627" t="s">
        <v>188</v>
      </c>
      <c r="K627" s="8" t="b">
        <v>1</v>
      </c>
      <c r="L627" s="10" t="b">
        <v>0</v>
      </c>
      <c r="M627" s="12" t="b">
        <v>0</v>
      </c>
      <c r="N627" t="b">
        <v>0</v>
      </c>
      <c r="O627" t="b">
        <v>0</v>
      </c>
      <c r="P627" t="b">
        <v>0</v>
      </c>
      <c r="Q627">
        <f t="shared" si="1117"/>
        <v>2</v>
      </c>
      <c r="R627">
        <f t="shared" si="1118"/>
        <v>7</v>
      </c>
      <c r="S627" t="e">
        <f t="shared" ca="1" si="1148"/>
        <v>#NAME?</v>
      </c>
      <c r="T627" t="e">
        <f t="shared" ca="1" si="1119"/>
        <v>#NAME?</v>
      </c>
      <c r="U627" s="4">
        <f t="shared" si="1120"/>
        <v>62.373981481483497</v>
      </c>
      <c r="V627" s="4">
        <f t="shared" si="1121"/>
        <v>2.0791327160494499</v>
      </c>
      <c r="W627" s="4">
        <f t="shared" si="1122"/>
        <v>1</v>
      </c>
      <c r="X627" s="4">
        <f t="shared" si="1123"/>
        <v>0</v>
      </c>
      <c r="Y627" s="4">
        <f t="shared" si="1124"/>
        <v>0</v>
      </c>
      <c r="Z627" s="4">
        <f t="shared" si="1125"/>
        <v>0</v>
      </c>
      <c r="AA627" s="4">
        <f t="shared" si="1126"/>
        <v>0</v>
      </c>
      <c r="AB627" s="4">
        <f t="shared" si="1127"/>
        <v>0</v>
      </c>
      <c r="AD627" s="4" t="b">
        <f t="shared" si="1128"/>
        <v>0</v>
      </c>
      <c r="AE627" s="4" t="b">
        <f t="shared" si="1129"/>
        <v>0</v>
      </c>
      <c r="AF627" s="4" t="b">
        <f t="shared" si="1130"/>
        <v>0</v>
      </c>
      <c r="AG627" t="b">
        <f t="shared" si="1131"/>
        <v>0</v>
      </c>
      <c r="AH627" t="b">
        <f t="shared" si="1132"/>
        <v>0</v>
      </c>
      <c r="AI627" t="b">
        <f t="shared" si="1133"/>
        <v>0</v>
      </c>
      <c r="AJ627" t="b">
        <f t="shared" si="1134"/>
        <v>0</v>
      </c>
      <c r="AK627" t="b">
        <f t="shared" si="1135"/>
        <v>0</v>
      </c>
      <c r="AL627" t="b">
        <f t="shared" si="1136"/>
        <v>0</v>
      </c>
      <c r="AM627" t="b">
        <f t="shared" si="1137"/>
        <v>0</v>
      </c>
      <c r="AN627" t="b">
        <f t="shared" si="1138"/>
        <v>0</v>
      </c>
      <c r="AO627" t="b">
        <f t="shared" si="1139"/>
        <v>0</v>
      </c>
      <c r="AP627" t="b">
        <f t="shared" si="1140"/>
        <v>0</v>
      </c>
      <c r="AQ627" t="b">
        <f t="shared" si="1141"/>
        <v>0</v>
      </c>
      <c r="AR627" t="b">
        <f t="shared" si="1142"/>
        <v>0</v>
      </c>
      <c r="AS627" t="b">
        <f t="shared" si="1143"/>
        <v>0</v>
      </c>
      <c r="AT627" t="b">
        <f t="shared" si="1144"/>
        <v>0</v>
      </c>
      <c r="AU627" t="b">
        <f t="shared" si="1145"/>
        <v>0</v>
      </c>
      <c r="AV627" t="b">
        <f t="shared" si="1146"/>
        <v>0</v>
      </c>
      <c r="AW627" t="b">
        <f t="shared" si="1147"/>
        <v>0</v>
      </c>
      <c r="AX627" t="b">
        <f t="shared" si="1149"/>
        <v>0</v>
      </c>
      <c r="AY627" t="b">
        <f t="shared" si="1150"/>
        <v>0</v>
      </c>
      <c r="AZ627" t="b">
        <f t="shared" si="1151"/>
        <v>0</v>
      </c>
      <c r="BA627" t="b">
        <f t="shared" si="1152"/>
        <v>0</v>
      </c>
      <c r="BB627" t="b">
        <f t="shared" si="1153"/>
        <v>0</v>
      </c>
      <c r="BC627" t="b">
        <f t="shared" si="1154"/>
        <v>0</v>
      </c>
      <c r="BD627" t="b">
        <f t="shared" si="1155"/>
        <v>0</v>
      </c>
      <c r="BE627" t="b">
        <f t="shared" si="1156"/>
        <v>0</v>
      </c>
      <c r="BF627" t="b">
        <f t="shared" si="1157"/>
        <v>0</v>
      </c>
      <c r="BG627" t="b">
        <f t="shared" si="1158"/>
        <v>0</v>
      </c>
      <c r="BH627" t="b">
        <f t="shared" si="1159"/>
        <v>0</v>
      </c>
      <c r="BI627">
        <f t="shared" si="1160"/>
        <v>1</v>
      </c>
      <c r="BJ627" t="b">
        <f t="shared" si="1161"/>
        <v>0</v>
      </c>
      <c r="BK627" t="b">
        <f t="shared" si="1162"/>
        <v>0</v>
      </c>
      <c r="BL627" t="b">
        <f t="shared" si="1163"/>
        <v>0</v>
      </c>
      <c r="BM627" t="b">
        <f t="shared" si="1164"/>
        <v>0</v>
      </c>
      <c r="BN627" t="b">
        <f t="shared" si="1165"/>
        <v>0</v>
      </c>
      <c r="BO627" t="b">
        <f t="shared" si="1166"/>
        <v>0</v>
      </c>
      <c r="BP627" t="b">
        <f t="shared" si="1167"/>
        <v>0</v>
      </c>
      <c r="BQ627" t="b">
        <f t="shared" si="1168"/>
        <v>0</v>
      </c>
      <c r="BR627" t="b">
        <f t="shared" si="1169"/>
        <v>0</v>
      </c>
      <c r="BS627" t="b">
        <f t="shared" si="1170"/>
        <v>0</v>
      </c>
      <c r="BT627" t="b">
        <f t="shared" si="1171"/>
        <v>0</v>
      </c>
      <c r="BU627" t="b">
        <f t="shared" si="1172"/>
        <v>0</v>
      </c>
      <c r="BV627" t="b">
        <f t="shared" si="1173"/>
        <v>0</v>
      </c>
      <c r="BW627" t="b">
        <f t="shared" si="1174"/>
        <v>0</v>
      </c>
      <c r="BX627" t="b">
        <f t="shared" si="1175"/>
        <v>0</v>
      </c>
      <c r="BY627" t="b">
        <f t="shared" si="1176"/>
        <v>0</v>
      </c>
      <c r="BZ627" t="b">
        <f t="shared" si="1177"/>
        <v>0</v>
      </c>
      <c r="CA627" t="b">
        <f t="shared" si="1178"/>
        <v>0</v>
      </c>
      <c r="CB627" t="b">
        <f t="shared" si="1179"/>
        <v>0</v>
      </c>
      <c r="CC627" t="b">
        <f t="shared" si="1180"/>
        <v>0</v>
      </c>
      <c r="CD627" t="b">
        <f t="shared" si="1181"/>
        <v>0</v>
      </c>
      <c r="CE627">
        <f t="shared" si="1182"/>
        <v>1</v>
      </c>
      <c r="CF627" t="b">
        <f t="shared" si="1183"/>
        <v>0</v>
      </c>
      <c r="CG627" t="b">
        <f t="shared" si="1184"/>
        <v>0</v>
      </c>
      <c r="CH627" t="b">
        <f t="shared" si="1185"/>
        <v>0</v>
      </c>
      <c r="CI627" t="b">
        <f t="shared" si="1186"/>
        <v>0</v>
      </c>
      <c r="CJ627" t="b">
        <f t="shared" si="1187"/>
        <v>0</v>
      </c>
      <c r="CK627" t="b">
        <f t="shared" si="1188"/>
        <v>0</v>
      </c>
      <c r="CL627" t="b">
        <f t="shared" si="1189"/>
        <v>0</v>
      </c>
      <c r="CM627" t="b">
        <f t="shared" si="1190"/>
        <v>0</v>
      </c>
      <c r="CN627" t="b">
        <f t="shared" si="1191"/>
        <v>0</v>
      </c>
      <c r="CO627" t="b">
        <f t="shared" si="1192"/>
        <v>0</v>
      </c>
      <c r="CP627" t="b">
        <f t="shared" si="1193"/>
        <v>0</v>
      </c>
      <c r="CQ627" t="b">
        <f t="shared" si="1194"/>
        <v>0</v>
      </c>
      <c r="CR627" t="b">
        <f t="shared" si="1195"/>
        <v>0</v>
      </c>
      <c r="CS627" t="b">
        <f t="shared" si="1196"/>
        <v>0</v>
      </c>
      <c r="CT627" t="b">
        <f t="shared" si="1197"/>
        <v>0</v>
      </c>
      <c r="CU627" t="b">
        <f t="shared" si="1198"/>
        <v>0</v>
      </c>
      <c r="CV627">
        <f t="shared" si="1199"/>
        <v>1</v>
      </c>
      <c r="CW627" t="b">
        <f t="shared" si="1200"/>
        <v>0</v>
      </c>
      <c r="CX627" t="b">
        <f t="shared" si="1201"/>
        <v>0</v>
      </c>
      <c r="CY627" t="b">
        <f t="shared" si="1202"/>
        <v>0</v>
      </c>
      <c r="CZ627" t="b">
        <f t="shared" si="1203"/>
        <v>0</v>
      </c>
      <c r="DA627" t="b">
        <f t="shared" si="1204"/>
        <v>0</v>
      </c>
      <c r="DB627" t="b">
        <f t="shared" si="1205"/>
        <v>0</v>
      </c>
      <c r="DC627" t="b">
        <f t="shared" si="1206"/>
        <v>0</v>
      </c>
      <c r="DD627" t="b">
        <f t="shared" si="1207"/>
        <v>0</v>
      </c>
      <c r="DE627" t="b">
        <f t="shared" si="1208"/>
        <v>0</v>
      </c>
      <c r="DF627" t="b">
        <f t="shared" si="1209"/>
        <v>0</v>
      </c>
      <c r="DG627" t="b">
        <f t="shared" si="1210"/>
        <v>0</v>
      </c>
      <c r="DH627" t="b">
        <f t="shared" si="1211"/>
        <v>0</v>
      </c>
      <c r="DI627" t="b">
        <f t="shared" si="1212"/>
        <v>0</v>
      </c>
      <c r="DJ627" t="b">
        <f t="shared" si="1213"/>
        <v>0</v>
      </c>
      <c r="DK627" t="b">
        <f t="shared" si="1214"/>
        <v>0</v>
      </c>
      <c r="DL627" t="b">
        <f t="shared" si="1215"/>
        <v>0</v>
      </c>
      <c r="DM627" t="b">
        <f t="shared" si="1216"/>
        <v>0</v>
      </c>
      <c r="DN627" t="b">
        <f t="shared" si="1217"/>
        <v>0</v>
      </c>
      <c r="DO627" t="b">
        <f t="shared" si="1218"/>
        <v>0</v>
      </c>
      <c r="DP627" t="b">
        <f t="shared" si="1219"/>
        <v>0</v>
      </c>
      <c r="DQ627" t="b">
        <f t="shared" si="1220"/>
        <v>0</v>
      </c>
      <c r="DR627" t="b">
        <f t="shared" si="1221"/>
        <v>0</v>
      </c>
      <c r="DS627" t="b">
        <f t="shared" si="1222"/>
        <v>0</v>
      </c>
      <c r="DT627" t="b">
        <f t="shared" si="1223"/>
        <v>0</v>
      </c>
      <c r="DU627" t="b">
        <f t="shared" si="1224"/>
        <v>0</v>
      </c>
      <c r="DV627" t="b">
        <f t="shared" si="1225"/>
        <v>0</v>
      </c>
      <c r="DW627" t="b">
        <f t="shared" si="1226"/>
        <v>0</v>
      </c>
      <c r="DX627" t="b">
        <f t="shared" si="1227"/>
        <v>0</v>
      </c>
      <c r="DY627" t="b">
        <f t="shared" si="1228"/>
        <v>0</v>
      </c>
      <c r="DZ627" t="b">
        <f t="shared" si="1229"/>
        <v>0</v>
      </c>
      <c r="EA627" t="b">
        <f t="shared" si="1230"/>
        <v>0</v>
      </c>
      <c r="EB627" t="b">
        <f t="shared" si="1231"/>
        <v>0</v>
      </c>
      <c r="EC627" t="b">
        <f t="shared" si="1232"/>
        <v>0</v>
      </c>
      <c r="ED627" t="b">
        <f t="shared" si="1233"/>
        <v>0</v>
      </c>
      <c r="EE627" t="b">
        <f t="shared" si="1234"/>
        <v>0</v>
      </c>
      <c r="EF627">
        <f t="shared" si="1235"/>
        <v>1</v>
      </c>
      <c r="EG627" t="b">
        <f t="shared" si="1236"/>
        <v>0</v>
      </c>
      <c r="EH627" t="b">
        <f t="shared" si="1237"/>
        <v>0</v>
      </c>
      <c r="EI627" t="b">
        <f t="shared" si="1238"/>
        <v>0</v>
      </c>
      <c r="EJ627" t="b">
        <f t="shared" si="1239"/>
        <v>0</v>
      </c>
      <c r="EK627" t="b">
        <f t="shared" si="1240"/>
        <v>0</v>
      </c>
    </row>
    <row r="628" spans="1:141">
      <c r="A628" t="s">
        <v>3146</v>
      </c>
      <c r="B628" t="s">
        <v>3147</v>
      </c>
      <c r="C628" t="s">
        <v>3148</v>
      </c>
      <c r="D628" s="1">
        <v>42370</v>
      </c>
      <c r="E628" s="2">
        <v>42917.644641203704</v>
      </c>
      <c r="F628" s="2">
        <v>42917.644641203704</v>
      </c>
      <c r="G628">
        <v>890341</v>
      </c>
      <c r="H628" t="s">
        <v>3149</v>
      </c>
      <c r="I628" s="10" t="s">
        <v>3150</v>
      </c>
      <c r="J628" t="s">
        <v>188</v>
      </c>
      <c r="K628" s="8" t="b">
        <v>1</v>
      </c>
      <c r="L628" s="10" t="b">
        <v>0</v>
      </c>
      <c r="M628" s="12" t="b">
        <v>0</v>
      </c>
      <c r="N628" t="b">
        <v>0</v>
      </c>
      <c r="O628" t="b">
        <v>0</v>
      </c>
      <c r="P628" t="b">
        <v>0</v>
      </c>
      <c r="Q628">
        <f t="shared" si="1117"/>
        <v>6</v>
      </c>
      <c r="R628">
        <f t="shared" si="1118"/>
        <v>1</v>
      </c>
      <c r="S628" t="e">
        <f t="shared" ca="1" si="1148"/>
        <v>#NAME?</v>
      </c>
      <c r="T628" t="e">
        <f t="shared" ca="1" si="1119"/>
        <v>#NAME?</v>
      </c>
      <c r="U628" s="4">
        <f t="shared" si="1120"/>
        <v>547.64464120370394</v>
      </c>
      <c r="V628" s="4">
        <f t="shared" si="1121"/>
        <v>18.254821373456799</v>
      </c>
      <c r="W628" s="4">
        <f t="shared" si="1122"/>
        <v>1</v>
      </c>
      <c r="X628" s="4">
        <f t="shared" si="1123"/>
        <v>0</v>
      </c>
      <c r="Y628" s="4">
        <f t="shared" si="1124"/>
        <v>0</v>
      </c>
      <c r="Z628" s="4">
        <f t="shared" si="1125"/>
        <v>0</v>
      </c>
      <c r="AA628" s="4">
        <f t="shared" si="1126"/>
        <v>0</v>
      </c>
      <c r="AB628" s="4">
        <f t="shared" si="1127"/>
        <v>0</v>
      </c>
      <c r="AD628" s="4" t="b">
        <f t="shared" si="1128"/>
        <v>0</v>
      </c>
      <c r="AE628" s="4" t="b">
        <f t="shared" si="1129"/>
        <v>0</v>
      </c>
      <c r="AF628" s="4" t="b">
        <f t="shared" si="1130"/>
        <v>0</v>
      </c>
      <c r="AG628" t="b">
        <f t="shared" si="1131"/>
        <v>0</v>
      </c>
      <c r="AH628" t="b">
        <f t="shared" si="1132"/>
        <v>0</v>
      </c>
      <c r="AI628" t="b">
        <f t="shared" si="1133"/>
        <v>0</v>
      </c>
      <c r="AJ628" t="b">
        <f t="shared" si="1134"/>
        <v>0</v>
      </c>
      <c r="AK628" t="b">
        <f t="shared" si="1135"/>
        <v>0</v>
      </c>
      <c r="AL628" t="b">
        <f t="shared" si="1136"/>
        <v>0</v>
      </c>
      <c r="AM628" t="b">
        <f t="shared" si="1137"/>
        <v>0</v>
      </c>
      <c r="AN628" t="b">
        <f t="shared" si="1138"/>
        <v>0</v>
      </c>
      <c r="AO628" t="b">
        <f t="shared" si="1139"/>
        <v>0</v>
      </c>
      <c r="AP628" t="b">
        <f t="shared" si="1140"/>
        <v>0</v>
      </c>
      <c r="AQ628" t="b">
        <f t="shared" si="1141"/>
        <v>0</v>
      </c>
      <c r="AR628" t="b">
        <f t="shared" si="1142"/>
        <v>0</v>
      </c>
      <c r="AS628" t="b">
        <f t="shared" si="1143"/>
        <v>0</v>
      </c>
      <c r="AT628" t="b">
        <f t="shared" si="1144"/>
        <v>0</v>
      </c>
      <c r="AU628" t="b">
        <f t="shared" si="1145"/>
        <v>0</v>
      </c>
      <c r="AV628" t="b">
        <f t="shared" si="1146"/>
        <v>0</v>
      </c>
      <c r="AW628" t="b">
        <f t="shared" si="1147"/>
        <v>0</v>
      </c>
      <c r="AX628" t="b">
        <f t="shared" si="1149"/>
        <v>0</v>
      </c>
      <c r="AY628" t="b">
        <f t="shared" si="1150"/>
        <v>0</v>
      </c>
      <c r="AZ628" t="b">
        <f t="shared" si="1151"/>
        <v>0</v>
      </c>
      <c r="BA628" t="b">
        <f t="shared" si="1152"/>
        <v>0</v>
      </c>
      <c r="BB628" t="b">
        <f t="shared" si="1153"/>
        <v>0</v>
      </c>
      <c r="BC628" t="b">
        <f t="shared" si="1154"/>
        <v>0</v>
      </c>
      <c r="BD628" t="b">
        <f t="shared" si="1155"/>
        <v>0</v>
      </c>
      <c r="BE628" t="b">
        <f t="shared" si="1156"/>
        <v>0</v>
      </c>
      <c r="BF628" t="b">
        <f t="shared" si="1157"/>
        <v>0</v>
      </c>
      <c r="BG628" t="b">
        <f t="shared" si="1158"/>
        <v>0</v>
      </c>
      <c r="BH628" t="b">
        <f t="shared" si="1159"/>
        <v>0</v>
      </c>
      <c r="BI628">
        <f t="shared" si="1160"/>
        <v>1</v>
      </c>
      <c r="BJ628" t="b">
        <f t="shared" si="1161"/>
        <v>0</v>
      </c>
      <c r="BK628" t="b">
        <f t="shared" si="1162"/>
        <v>0</v>
      </c>
      <c r="BL628" t="b">
        <f t="shared" si="1163"/>
        <v>0</v>
      </c>
      <c r="BM628" t="b">
        <f t="shared" si="1164"/>
        <v>0</v>
      </c>
      <c r="BN628" t="b">
        <f t="shared" si="1165"/>
        <v>0</v>
      </c>
      <c r="BO628" t="b">
        <f t="shared" si="1166"/>
        <v>0</v>
      </c>
      <c r="BP628" t="b">
        <f t="shared" si="1167"/>
        <v>0</v>
      </c>
      <c r="BQ628" t="b">
        <f t="shared" si="1168"/>
        <v>0</v>
      </c>
      <c r="BR628" t="b">
        <f t="shared" si="1169"/>
        <v>0</v>
      </c>
      <c r="BS628" t="b">
        <f t="shared" si="1170"/>
        <v>0</v>
      </c>
      <c r="BT628" t="b">
        <f t="shared" si="1171"/>
        <v>0</v>
      </c>
      <c r="BU628" t="b">
        <f t="shared" si="1172"/>
        <v>0</v>
      </c>
      <c r="BV628" t="b">
        <f t="shared" si="1173"/>
        <v>0</v>
      </c>
      <c r="BW628" t="b">
        <f t="shared" si="1174"/>
        <v>0</v>
      </c>
      <c r="BX628" t="b">
        <f t="shared" si="1175"/>
        <v>0</v>
      </c>
      <c r="BY628" t="b">
        <f t="shared" si="1176"/>
        <v>0</v>
      </c>
      <c r="BZ628" t="b">
        <f t="shared" si="1177"/>
        <v>0</v>
      </c>
      <c r="CA628" t="b">
        <f t="shared" si="1178"/>
        <v>0</v>
      </c>
      <c r="CB628" t="b">
        <f t="shared" si="1179"/>
        <v>0</v>
      </c>
      <c r="CC628" t="b">
        <f t="shared" si="1180"/>
        <v>0</v>
      </c>
      <c r="CD628" t="b">
        <f t="shared" si="1181"/>
        <v>0</v>
      </c>
      <c r="CE628">
        <f t="shared" si="1182"/>
        <v>1</v>
      </c>
      <c r="CF628" t="b">
        <f t="shared" si="1183"/>
        <v>0</v>
      </c>
      <c r="CG628" t="b">
        <f t="shared" si="1184"/>
        <v>0</v>
      </c>
      <c r="CH628" t="b">
        <f t="shared" si="1185"/>
        <v>0</v>
      </c>
      <c r="CI628" t="b">
        <f t="shared" si="1186"/>
        <v>0</v>
      </c>
      <c r="CJ628" t="b">
        <f t="shared" si="1187"/>
        <v>0</v>
      </c>
      <c r="CK628" t="b">
        <f t="shared" si="1188"/>
        <v>0</v>
      </c>
      <c r="CL628" t="b">
        <f t="shared" si="1189"/>
        <v>0</v>
      </c>
      <c r="CM628" t="b">
        <f t="shared" si="1190"/>
        <v>0</v>
      </c>
      <c r="CN628" t="b">
        <f t="shared" si="1191"/>
        <v>0</v>
      </c>
      <c r="CO628" t="b">
        <f t="shared" si="1192"/>
        <v>0</v>
      </c>
      <c r="CP628" t="b">
        <f t="shared" si="1193"/>
        <v>0</v>
      </c>
      <c r="CQ628" t="b">
        <f t="shared" si="1194"/>
        <v>0</v>
      </c>
      <c r="CR628" t="b">
        <f t="shared" si="1195"/>
        <v>0</v>
      </c>
      <c r="CS628" t="b">
        <f t="shared" si="1196"/>
        <v>0</v>
      </c>
      <c r="CT628" t="b">
        <f t="shared" si="1197"/>
        <v>0</v>
      </c>
      <c r="CU628" t="b">
        <f t="shared" si="1198"/>
        <v>0</v>
      </c>
      <c r="CV628">
        <f t="shared" si="1199"/>
        <v>1</v>
      </c>
      <c r="CW628" t="b">
        <f t="shared" si="1200"/>
        <v>0</v>
      </c>
      <c r="CX628" t="b">
        <f t="shared" si="1201"/>
        <v>0</v>
      </c>
      <c r="CY628" t="b">
        <f t="shared" si="1202"/>
        <v>0</v>
      </c>
      <c r="CZ628" t="b">
        <f t="shared" si="1203"/>
        <v>0</v>
      </c>
      <c r="DA628" t="b">
        <f t="shared" si="1204"/>
        <v>0</v>
      </c>
      <c r="DB628" t="b">
        <f t="shared" si="1205"/>
        <v>0</v>
      </c>
      <c r="DC628" t="b">
        <f t="shared" si="1206"/>
        <v>0</v>
      </c>
      <c r="DD628" t="b">
        <f t="shared" si="1207"/>
        <v>0</v>
      </c>
      <c r="DE628" t="b">
        <f t="shared" si="1208"/>
        <v>0</v>
      </c>
      <c r="DF628" t="b">
        <f t="shared" si="1209"/>
        <v>0</v>
      </c>
      <c r="DG628" t="b">
        <f t="shared" si="1210"/>
        <v>0</v>
      </c>
      <c r="DH628" t="b">
        <f t="shared" si="1211"/>
        <v>0</v>
      </c>
      <c r="DI628" t="b">
        <f t="shared" si="1212"/>
        <v>0</v>
      </c>
      <c r="DJ628" t="b">
        <f t="shared" si="1213"/>
        <v>0</v>
      </c>
      <c r="DK628" t="b">
        <f t="shared" si="1214"/>
        <v>0</v>
      </c>
      <c r="DL628" t="b">
        <f t="shared" si="1215"/>
        <v>0</v>
      </c>
      <c r="DM628" t="b">
        <f t="shared" si="1216"/>
        <v>0</v>
      </c>
      <c r="DN628" t="b">
        <f t="shared" si="1217"/>
        <v>0</v>
      </c>
      <c r="DO628" t="b">
        <f t="shared" si="1218"/>
        <v>0</v>
      </c>
      <c r="DP628" t="b">
        <f t="shared" si="1219"/>
        <v>0</v>
      </c>
      <c r="DQ628" t="b">
        <f t="shared" si="1220"/>
        <v>0</v>
      </c>
      <c r="DR628" t="b">
        <f t="shared" si="1221"/>
        <v>0</v>
      </c>
      <c r="DS628" t="b">
        <f t="shared" si="1222"/>
        <v>0</v>
      </c>
      <c r="DT628" t="b">
        <f t="shared" si="1223"/>
        <v>0</v>
      </c>
      <c r="DU628" t="b">
        <f t="shared" si="1224"/>
        <v>0</v>
      </c>
      <c r="DV628" t="b">
        <f t="shared" si="1225"/>
        <v>0</v>
      </c>
      <c r="DW628" t="b">
        <f t="shared" si="1226"/>
        <v>0</v>
      </c>
      <c r="DX628" t="b">
        <f t="shared" si="1227"/>
        <v>0</v>
      </c>
      <c r="DY628" t="b">
        <f t="shared" si="1228"/>
        <v>0</v>
      </c>
      <c r="DZ628" t="b">
        <f t="shared" si="1229"/>
        <v>0</v>
      </c>
      <c r="EA628" t="b">
        <f t="shared" si="1230"/>
        <v>0</v>
      </c>
      <c r="EB628" t="b">
        <f t="shared" si="1231"/>
        <v>0</v>
      </c>
      <c r="EC628" t="b">
        <f t="shared" si="1232"/>
        <v>0</v>
      </c>
      <c r="ED628" t="b">
        <f t="shared" si="1233"/>
        <v>0</v>
      </c>
      <c r="EE628" t="b">
        <f t="shared" si="1234"/>
        <v>0</v>
      </c>
      <c r="EF628">
        <f t="shared" si="1235"/>
        <v>1</v>
      </c>
      <c r="EG628" t="b">
        <f t="shared" si="1236"/>
        <v>0</v>
      </c>
      <c r="EH628" t="b">
        <f t="shared" si="1237"/>
        <v>0</v>
      </c>
      <c r="EI628" t="b">
        <f t="shared" si="1238"/>
        <v>0</v>
      </c>
      <c r="EJ628" t="b">
        <f t="shared" si="1239"/>
        <v>0</v>
      </c>
      <c r="EK628" t="b">
        <f t="shared" si="1240"/>
        <v>0</v>
      </c>
    </row>
    <row r="629" spans="1:141">
      <c r="A629" t="s">
        <v>3151</v>
      </c>
      <c r="B629" t="s">
        <v>3151</v>
      </c>
      <c r="C629" t="s">
        <v>3152</v>
      </c>
      <c r="D629" s="1">
        <v>41585</v>
      </c>
      <c r="E629" s="2">
        <v>42224.186666666668</v>
      </c>
      <c r="F629" s="2">
        <v>42224.186666666668</v>
      </c>
      <c r="G629">
        <v>2983472</v>
      </c>
      <c r="H629" t="s">
        <v>3153</v>
      </c>
      <c r="I629" s="10" t="s">
        <v>3154</v>
      </c>
      <c r="J629" t="s">
        <v>660</v>
      </c>
      <c r="K629" s="8" t="b">
        <v>1</v>
      </c>
      <c r="L629" s="10" t="b">
        <v>0</v>
      </c>
      <c r="M629" s="12" t="b">
        <v>0</v>
      </c>
      <c r="N629" t="b">
        <v>0</v>
      </c>
      <c r="O629" t="b">
        <v>0</v>
      </c>
      <c r="P629" t="b">
        <v>0</v>
      </c>
      <c r="Q629">
        <f t="shared" si="1117"/>
        <v>5</v>
      </c>
      <c r="R629">
        <f t="shared" si="1118"/>
        <v>11</v>
      </c>
      <c r="S629" t="e">
        <f t="shared" ca="1" si="1148"/>
        <v>#NAME?</v>
      </c>
      <c r="T629" t="e">
        <f t="shared" ca="1" si="1119"/>
        <v>#NAME?</v>
      </c>
      <c r="U629" s="4">
        <f t="shared" si="1120"/>
        <v>639.18666666666832</v>
      </c>
      <c r="V629" s="4">
        <f t="shared" si="1121"/>
        <v>21.306222222222278</v>
      </c>
      <c r="W629" s="4">
        <f t="shared" si="1122"/>
        <v>1</v>
      </c>
      <c r="X629" s="4">
        <f t="shared" si="1123"/>
        <v>0</v>
      </c>
      <c r="Y629" s="4">
        <f t="shared" si="1124"/>
        <v>0</v>
      </c>
      <c r="Z629" s="4">
        <f t="shared" si="1125"/>
        <v>0</v>
      </c>
      <c r="AA629" s="4">
        <f t="shared" si="1126"/>
        <v>0</v>
      </c>
      <c r="AB629" s="4">
        <f t="shared" si="1127"/>
        <v>0</v>
      </c>
      <c r="AD629" s="4" t="b">
        <f t="shared" si="1128"/>
        <v>0</v>
      </c>
      <c r="AE629" s="4" t="b">
        <f t="shared" si="1129"/>
        <v>0</v>
      </c>
      <c r="AF629" s="4" t="b">
        <f t="shared" si="1130"/>
        <v>0</v>
      </c>
      <c r="AG629" t="b">
        <f t="shared" si="1131"/>
        <v>0</v>
      </c>
      <c r="AH629" t="b">
        <f t="shared" si="1132"/>
        <v>0</v>
      </c>
      <c r="AI629" t="b">
        <f t="shared" si="1133"/>
        <v>0</v>
      </c>
      <c r="AJ629" t="b">
        <f t="shared" si="1134"/>
        <v>0</v>
      </c>
      <c r="AK629" t="b">
        <f t="shared" si="1135"/>
        <v>0</v>
      </c>
      <c r="AL629" t="b">
        <f t="shared" si="1136"/>
        <v>0</v>
      </c>
      <c r="AM629" t="b">
        <f t="shared" si="1137"/>
        <v>0</v>
      </c>
      <c r="AN629" t="b">
        <f t="shared" si="1138"/>
        <v>0</v>
      </c>
      <c r="AO629" t="b">
        <f t="shared" si="1139"/>
        <v>0</v>
      </c>
      <c r="AP629" t="b">
        <f t="shared" si="1140"/>
        <v>0</v>
      </c>
      <c r="AQ629" t="b">
        <f t="shared" si="1141"/>
        <v>0</v>
      </c>
      <c r="AR629" t="b">
        <f t="shared" si="1142"/>
        <v>0</v>
      </c>
      <c r="AS629" t="b">
        <f t="shared" si="1143"/>
        <v>0</v>
      </c>
      <c r="AT629" t="b">
        <f t="shared" si="1144"/>
        <v>0</v>
      </c>
      <c r="AU629" t="b">
        <f t="shared" si="1145"/>
        <v>0</v>
      </c>
      <c r="AV629" t="b">
        <f t="shared" si="1146"/>
        <v>0</v>
      </c>
      <c r="AW629" t="b">
        <f t="shared" si="1147"/>
        <v>0</v>
      </c>
      <c r="AX629" t="b">
        <f t="shared" si="1149"/>
        <v>0</v>
      </c>
      <c r="AY629" t="b">
        <f t="shared" si="1150"/>
        <v>0</v>
      </c>
      <c r="AZ629" t="b">
        <f t="shared" si="1151"/>
        <v>0</v>
      </c>
      <c r="BA629" t="b">
        <f t="shared" si="1152"/>
        <v>0</v>
      </c>
      <c r="BB629" t="b">
        <f t="shared" si="1153"/>
        <v>0</v>
      </c>
      <c r="BC629" t="b">
        <f t="shared" si="1154"/>
        <v>0</v>
      </c>
      <c r="BD629" t="b">
        <f t="shared" si="1155"/>
        <v>0</v>
      </c>
      <c r="BE629" t="b">
        <f t="shared" si="1156"/>
        <v>0</v>
      </c>
      <c r="BF629" t="b">
        <f t="shared" si="1157"/>
        <v>0</v>
      </c>
      <c r="BG629" t="b">
        <f t="shared" si="1158"/>
        <v>0</v>
      </c>
      <c r="BH629" t="b">
        <f t="shared" si="1159"/>
        <v>0</v>
      </c>
      <c r="BI629">
        <f t="shared" si="1160"/>
        <v>1</v>
      </c>
      <c r="BJ629" t="b">
        <f t="shared" si="1161"/>
        <v>0</v>
      </c>
      <c r="BK629" t="b">
        <f t="shared" si="1162"/>
        <v>0</v>
      </c>
      <c r="BL629" t="b">
        <f t="shared" si="1163"/>
        <v>0</v>
      </c>
      <c r="BM629" t="b">
        <f t="shared" si="1164"/>
        <v>0</v>
      </c>
      <c r="BN629" t="b">
        <f t="shared" si="1165"/>
        <v>0</v>
      </c>
      <c r="BO629" t="b">
        <f t="shared" si="1166"/>
        <v>0</v>
      </c>
      <c r="BP629" t="b">
        <f t="shared" si="1167"/>
        <v>0</v>
      </c>
      <c r="BQ629" t="b">
        <f t="shared" si="1168"/>
        <v>0</v>
      </c>
      <c r="BR629" t="b">
        <f t="shared" si="1169"/>
        <v>0</v>
      </c>
      <c r="BS629" t="b">
        <f t="shared" si="1170"/>
        <v>0</v>
      </c>
      <c r="BT629" t="b">
        <f t="shared" si="1171"/>
        <v>0</v>
      </c>
      <c r="BU629" t="b">
        <f t="shared" si="1172"/>
        <v>0</v>
      </c>
      <c r="BV629" t="b">
        <f t="shared" si="1173"/>
        <v>0</v>
      </c>
      <c r="BW629" t="b">
        <f t="shared" si="1174"/>
        <v>0</v>
      </c>
      <c r="BX629" t="b">
        <f t="shared" si="1175"/>
        <v>0</v>
      </c>
      <c r="BY629" t="b">
        <f t="shared" si="1176"/>
        <v>0</v>
      </c>
      <c r="BZ629" t="b">
        <f t="shared" si="1177"/>
        <v>0</v>
      </c>
      <c r="CA629" t="b">
        <f t="shared" si="1178"/>
        <v>0</v>
      </c>
      <c r="CB629" t="b">
        <f t="shared" si="1179"/>
        <v>0</v>
      </c>
      <c r="CC629" t="b">
        <f t="shared" si="1180"/>
        <v>0</v>
      </c>
      <c r="CD629" t="b">
        <f t="shared" si="1181"/>
        <v>0</v>
      </c>
      <c r="CE629" t="b">
        <f t="shared" si="1182"/>
        <v>0</v>
      </c>
      <c r="CF629" t="b">
        <f t="shared" si="1183"/>
        <v>0</v>
      </c>
      <c r="CG629" t="b">
        <f t="shared" si="1184"/>
        <v>0</v>
      </c>
      <c r="CH629" t="b">
        <f t="shared" si="1185"/>
        <v>0</v>
      </c>
      <c r="CI629" t="b">
        <f t="shared" si="1186"/>
        <v>0</v>
      </c>
      <c r="CJ629" t="b">
        <f t="shared" si="1187"/>
        <v>0</v>
      </c>
      <c r="CK629" t="b">
        <f t="shared" si="1188"/>
        <v>0</v>
      </c>
      <c r="CL629" t="b">
        <f t="shared" si="1189"/>
        <v>0</v>
      </c>
      <c r="CM629">
        <f t="shared" si="1190"/>
        <v>1</v>
      </c>
      <c r="CN629" t="b">
        <f t="shared" si="1191"/>
        <v>0</v>
      </c>
      <c r="CO629" t="b">
        <f t="shared" si="1192"/>
        <v>0</v>
      </c>
      <c r="CP629" t="b">
        <f t="shared" si="1193"/>
        <v>0</v>
      </c>
      <c r="CQ629" t="b">
        <f t="shared" si="1194"/>
        <v>0</v>
      </c>
      <c r="CR629" t="b">
        <f t="shared" si="1195"/>
        <v>0</v>
      </c>
      <c r="CS629" t="b">
        <f t="shared" si="1196"/>
        <v>0</v>
      </c>
      <c r="CT629" t="b">
        <f t="shared" si="1197"/>
        <v>0</v>
      </c>
      <c r="CU629" t="b">
        <f t="shared" si="1198"/>
        <v>0</v>
      </c>
      <c r="CV629">
        <f t="shared" si="1199"/>
        <v>1</v>
      </c>
      <c r="CW629" t="b">
        <f t="shared" si="1200"/>
        <v>0</v>
      </c>
      <c r="CX629" t="b">
        <f t="shared" si="1201"/>
        <v>0</v>
      </c>
      <c r="CY629" t="b">
        <f t="shared" si="1202"/>
        <v>0</v>
      </c>
      <c r="CZ629" t="b">
        <f t="shared" si="1203"/>
        <v>0</v>
      </c>
      <c r="DA629" t="b">
        <f t="shared" si="1204"/>
        <v>0</v>
      </c>
      <c r="DB629" t="b">
        <f t="shared" si="1205"/>
        <v>0</v>
      </c>
      <c r="DC629" t="b">
        <f t="shared" si="1206"/>
        <v>0</v>
      </c>
      <c r="DD629" t="b">
        <f t="shared" si="1207"/>
        <v>0</v>
      </c>
      <c r="DE629" t="b">
        <f t="shared" si="1208"/>
        <v>0</v>
      </c>
      <c r="DF629" t="b">
        <f t="shared" si="1209"/>
        <v>0</v>
      </c>
      <c r="DG629" t="b">
        <f t="shared" si="1210"/>
        <v>0</v>
      </c>
      <c r="DH629" t="b">
        <f t="shared" si="1211"/>
        <v>0</v>
      </c>
      <c r="DI629" t="b">
        <f t="shared" si="1212"/>
        <v>0</v>
      </c>
      <c r="DJ629" t="b">
        <f t="shared" si="1213"/>
        <v>0</v>
      </c>
      <c r="DK629" t="b">
        <f t="shared" si="1214"/>
        <v>0</v>
      </c>
      <c r="DL629" t="b">
        <f t="shared" si="1215"/>
        <v>0</v>
      </c>
      <c r="DM629" t="b">
        <f t="shared" si="1216"/>
        <v>0</v>
      </c>
      <c r="DN629" t="b">
        <f t="shared" si="1217"/>
        <v>0</v>
      </c>
      <c r="DO629" t="b">
        <f t="shared" si="1218"/>
        <v>0</v>
      </c>
      <c r="DP629" t="b">
        <f t="shared" si="1219"/>
        <v>0</v>
      </c>
      <c r="DQ629" t="b">
        <f t="shared" si="1220"/>
        <v>0</v>
      </c>
      <c r="DR629" t="b">
        <f t="shared" si="1221"/>
        <v>0</v>
      </c>
      <c r="DS629" t="b">
        <f t="shared" si="1222"/>
        <v>0</v>
      </c>
      <c r="DT629" t="b">
        <f t="shared" si="1223"/>
        <v>0</v>
      </c>
      <c r="DU629" t="b">
        <f t="shared" si="1224"/>
        <v>0</v>
      </c>
      <c r="DV629" t="b">
        <f t="shared" si="1225"/>
        <v>0</v>
      </c>
      <c r="DW629" t="b">
        <f t="shared" si="1226"/>
        <v>0</v>
      </c>
      <c r="DX629" t="b">
        <f t="shared" si="1227"/>
        <v>0</v>
      </c>
      <c r="DY629" t="b">
        <f t="shared" si="1228"/>
        <v>0</v>
      </c>
      <c r="DZ629" t="b">
        <f t="shared" si="1229"/>
        <v>0</v>
      </c>
      <c r="EA629" t="b">
        <f t="shared" si="1230"/>
        <v>0</v>
      </c>
      <c r="EB629" t="b">
        <f t="shared" si="1231"/>
        <v>0</v>
      </c>
      <c r="EC629" t="b">
        <f t="shared" si="1232"/>
        <v>0</v>
      </c>
      <c r="ED629" t="b">
        <f t="shared" si="1233"/>
        <v>0</v>
      </c>
      <c r="EE629" t="b">
        <f t="shared" si="1234"/>
        <v>0</v>
      </c>
      <c r="EF629">
        <f t="shared" si="1235"/>
        <v>1</v>
      </c>
      <c r="EG629" t="b">
        <f t="shared" si="1236"/>
        <v>0</v>
      </c>
      <c r="EH629" t="b">
        <f t="shared" si="1237"/>
        <v>0</v>
      </c>
      <c r="EI629" t="b">
        <f t="shared" si="1238"/>
        <v>0</v>
      </c>
      <c r="EJ629" t="b">
        <f t="shared" si="1239"/>
        <v>0</v>
      </c>
      <c r="EK629" t="b">
        <f t="shared" si="1240"/>
        <v>0</v>
      </c>
    </row>
    <row r="630" spans="1:141">
      <c r="A630" t="s">
        <v>3155</v>
      </c>
      <c r="B630" t="s">
        <v>3155</v>
      </c>
      <c r="C630" t="s">
        <v>3156</v>
      </c>
      <c r="D630" s="1">
        <v>41101</v>
      </c>
      <c r="E630" s="2">
        <v>41612</v>
      </c>
      <c r="F630" s="2">
        <v>41612</v>
      </c>
      <c r="G630">
        <v>453427</v>
      </c>
      <c r="H630" t="s">
        <v>3157</v>
      </c>
      <c r="I630" s="10" t="s">
        <v>3158</v>
      </c>
      <c r="J630" t="s">
        <v>147</v>
      </c>
      <c r="K630" s="8" t="b">
        <v>1</v>
      </c>
      <c r="L630" s="10" t="b">
        <v>0</v>
      </c>
      <c r="M630" s="12" t="b">
        <v>0</v>
      </c>
      <c r="N630" t="b">
        <v>0</v>
      </c>
      <c r="O630" t="b">
        <v>0</v>
      </c>
      <c r="P630" t="b">
        <v>0</v>
      </c>
      <c r="Q630">
        <f t="shared" si="1117"/>
        <v>4</v>
      </c>
      <c r="R630">
        <f t="shared" si="1118"/>
        <v>7</v>
      </c>
      <c r="S630" t="e">
        <f t="shared" ca="1" si="1148"/>
        <v>#NAME?</v>
      </c>
      <c r="T630" t="e">
        <f t="shared" ca="1" si="1119"/>
        <v>#NAME?</v>
      </c>
      <c r="U630" s="4">
        <f t="shared" si="1120"/>
        <v>511</v>
      </c>
      <c r="V630" s="4">
        <f t="shared" si="1121"/>
        <v>17.033333333333335</v>
      </c>
      <c r="W630" s="4">
        <f t="shared" si="1122"/>
        <v>1</v>
      </c>
      <c r="X630" s="4">
        <f t="shared" si="1123"/>
        <v>0</v>
      </c>
      <c r="Y630" s="4">
        <f t="shared" si="1124"/>
        <v>0</v>
      </c>
      <c r="Z630" s="4">
        <f t="shared" si="1125"/>
        <v>0</v>
      </c>
      <c r="AA630" s="4">
        <f t="shared" si="1126"/>
        <v>0</v>
      </c>
      <c r="AB630" s="4">
        <f t="shared" si="1127"/>
        <v>0</v>
      </c>
      <c r="AD630" s="4" t="b">
        <f t="shared" si="1128"/>
        <v>0</v>
      </c>
      <c r="AE630" s="4" t="b">
        <f t="shared" si="1129"/>
        <v>0</v>
      </c>
      <c r="AF630" s="4" t="b">
        <f t="shared" si="1130"/>
        <v>0</v>
      </c>
      <c r="AG630" t="b">
        <f t="shared" si="1131"/>
        <v>0</v>
      </c>
      <c r="AH630" t="b">
        <f t="shared" si="1132"/>
        <v>0</v>
      </c>
      <c r="AI630" t="b">
        <f t="shared" si="1133"/>
        <v>0</v>
      </c>
      <c r="AJ630" t="b">
        <f t="shared" si="1134"/>
        <v>0</v>
      </c>
      <c r="AK630" t="b">
        <f t="shared" si="1135"/>
        <v>0</v>
      </c>
      <c r="AL630" t="b">
        <f t="shared" si="1136"/>
        <v>0</v>
      </c>
      <c r="AM630" t="b">
        <f t="shared" si="1137"/>
        <v>0</v>
      </c>
      <c r="AN630" t="b">
        <f t="shared" si="1138"/>
        <v>0</v>
      </c>
      <c r="AO630" t="b">
        <f t="shared" si="1139"/>
        <v>0</v>
      </c>
      <c r="AP630" t="b">
        <f t="shared" si="1140"/>
        <v>0</v>
      </c>
      <c r="AQ630" t="b">
        <f t="shared" si="1141"/>
        <v>0</v>
      </c>
      <c r="AR630" t="b">
        <f t="shared" si="1142"/>
        <v>0</v>
      </c>
      <c r="AS630" t="b">
        <f t="shared" si="1143"/>
        <v>0</v>
      </c>
      <c r="AT630" t="b">
        <f t="shared" si="1144"/>
        <v>0</v>
      </c>
      <c r="AU630" t="b">
        <f t="shared" si="1145"/>
        <v>0</v>
      </c>
      <c r="AV630" t="b">
        <f t="shared" si="1146"/>
        <v>0</v>
      </c>
      <c r="AW630" t="b">
        <f t="shared" si="1147"/>
        <v>0</v>
      </c>
      <c r="AX630" t="b">
        <f t="shared" si="1149"/>
        <v>0</v>
      </c>
      <c r="AY630" t="b">
        <f t="shared" si="1150"/>
        <v>0</v>
      </c>
      <c r="AZ630" t="b">
        <f t="shared" si="1151"/>
        <v>0</v>
      </c>
      <c r="BA630" t="b">
        <f t="shared" si="1152"/>
        <v>0</v>
      </c>
      <c r="BB630" t="b">
        <f t="shared" si="1153"/>
        <v>0</v>
      </c>
      <c r="BC630" t="b">
        <f t="shared" si="1154"/>
        <v>0</v>
      </c>
      <c r="BD630" t="b">
        <f t="shared" si="1155"/>
        <v>0</v>
      </c>
      <c r="BE630" t="b">
        <f t="shared" si="1156"/>
        <v>0</v>
      </c>
      <c r="BF630" t="b">
        <f t="shared" si="1157"/>
        <v>0</v>
      </c>
      <c r="BG630" t="b">
        <f t="shared" si="1158"/>
        <v>0</v>
      </c>
      <c r="BH630" t="b">
        <f t="shared" si="1159"/>
        <v>0</v>
      </c>
      <c r="BI630">
        <f t="shared" si="1160"/>
        <v>1</v>
      </c>
      <c r="BJ630" t="b">
        <f t="shared" si="1161"/>
        <v>0</v>
      </c>
      <c r="BK630" t="b">
        <f t="shared" si="1162"/>
        <v>0</v>
      </c>
      <c r="BL630" t="b">
        <f t="shared" si="1163"/>
        <v>0</v>
      </c>
      <c r="BM630" t="b">
        <f t="shared" si="1164"/>
        <v>0</v>
      </c>
      <c r="BN630" t="b">
        <f t="shared" si="1165"/>
        <v>0</v>
      </c>
      <c r="BO630" t="b">
        <f t="shared" si="1166"/>
        <v>0</v>
      </c>
      <c r="BP630" t="b">
        <f t="shared" si="1167"/>
        <v>0</v>
      </c>
      <c r="BQ630" t="b">
        <f t="shared" si="1168"/>
        <v>0</v>
      </c>
      <c r="BR630" t="b">
        <f t="shared" si="1169"/>
        <v>0</v>
      </c>
      <c r="BS630" t="b">
        <f t="shared" si="1170"/>
        <v>0</v>
      </c>
      <c r="BT630" t="b">
        <f t="shared" si="1171"/>
        <v>0</v>
      </c>
      <c r="BU630" t="b">
        <f t="shared" si="1172"/>
        <v>0</v>
      </c>
      <c r="BV630" t="b">
        <f t="shared" si="1173"/>
        <v>0</v>
      </c>
      <c r="BW630" t="b">
        <f t="shared" si="1174"/>
        <v>0</v>
      </c>
      <c r="BX630" t="b">
        <f t="shared" si="1175"/>
        <v>0</v>
      </c>
      <c r="BY630" t="b">
        <f t="shared" si="1176"/>
        <v>0</v>
      </c>
      <c r="BZ630" t="b">
        <f t="shared" si="1177"/>
        <v>0</v>
      </c>
      <c r="CA630" t="b">
        <f t="shared" si="1178"/>
        <v>0</v>
      </c>
      <c r="CB630" t="b">
        <f t="shared" si="1179"/>
        <v>0</v>
      </c>
      <c r="CC630" t="b">
        <f t="shared" si="1180"/>
        <v>0</v>
      </c>
      <c r="CD630" t="b">
        <f t="shared" si="1181"/>
        <v>0</v>
      </c>
      <c r="CE630" t="b">
        <f t="shared" si="1182"/>
        <v>0</v>
      </c>
      <c r="CF630" t="b">
        <f t="shared" si="1183"/>
        <v>0</v>
      </c>
      <c r="CG630" t="b">
        <f t="shared" si="1184"/>
        <v>0</v>
      </c>
      <c r="CH630" t="b">
        <f t="shared" si="1185"/>
        <v>0</v>
      </c>
      <c r="CI630" t="b">
        <f t="shared" si="1186"/>
        <v>0</v>
      </c>
      <c r="CJ630" t="b">
        <f t="shared" si="1187"/>
        <v>0</v>
      </c>
      <c r="CK630" t="b">
        <f t="shared" si="1188"/>
        <v>0</v>
      </c>
      <c r="CL630" t="b">
        <f t="shared" si="1189"/>
        <v>0</v>
      </c>
      <c r="CM630" t="b">
        <f t="shared" si="1190"/>
        <v>0</v>
      </c>
      <c r="CN630" t="b">
        <f t="shared" si="1191"/>
        <v>0</v>
      </c>
      <c r="CO630" t="b">
        <f t="shared" si="1192"/>
        <v>0</v>
      </c>
      <c r="CP630" t="b">
        <f t="shared" si="1193"/>
        <v>0</v>
      </c>
      <c r="CQ630" t="b">
        <f t="shared" si="1194"/>
        <v>0</v>
      </c>
      <c r="CR630" t="b">
        <f t="shared" si="1195"/>
        <v>0</v>
      </c>
      <c r="CS630" t="b">
        <f t="shared" si="1196"/>
        <v>0</v>
      </c>
      <c r="CT630" t="b">
        <f t="shared" si="1197"/>
        <v>0</v>
      </c>
      <c r="CU630" t="b">
        <f t="shared" si="1198"/>
        <v>0</v>
      </c>
      <c r="CV630">
        <f t="shared" si="1199"/>
        <v>1</v>
      </c>
      <c r="CW630" t="b">
        <f t="shared" si="1200"/>
        <v>0</v>
      </c>
      <c r="CX630" t="b">
        <f t="shared" si="1201"/>
        <v>0</v>
      </c>
      <c r="CY630" t="b">
        <f t="shared" si="1202"/>
        <v>0</v>
      </c>
      <c r="CZ630" t="b">
        <f t="shared" si="1203"/>
        <v>0</v>
      </c>
      <c r="DA630" t="b">
        <f t="shared" si="1204"/>
        <v>0</v>
      </c>
      <c r="DB630" t="b">
        <f t="shared" si="1205"/>
        <v>0</v>
      </c>
      <c r="DC630" t="b">
        <f t="shared" si="1206"/>
        <v>0</v>
      </c>
      <c r="DD630" t="b">
        <f t="shared" si="1207"/>
        <v>0</v>
      </c>
      <c r="DE630" t="b">
        <f t="shared" si="1208"/>
        <v>0</v>
      </c>
      <c r="DF630" t="b">
        <f t="shared" si="1209"/>
        <v>0</v>
      </c>
      <c r="DG630" t="b">
        <f t="shared" si="1210"/>
        <v>0</v>
      </c>
      <c r="DH630" t="b">
        <f t="shared" si="1211"/>
        <v>0</v>
      </c>
      <c r="DI630" t="b">
        <f t="shared" si="1212"/>
        <v>0</v>
      </c>
      <c r="DJ630" t="b">
        <f t="shared" si="1213"/>
        <v>0</v>
      </c>
      <c r="DK630" t="b">
        <f t="shared" si="1214"/>
        <v>0</v>
      </c>
      <c r="DL630" t="b">
        <f t="shared" si="1215"/>
        <v>0</v>
      </c>
      <c r="DM630" t="b">
        <f t="shared" si="1216"/>
        <v>0</v>
      </c>
      <c r="DN630" t="b">
        <f t="shared" si="1217"/>
        <v>0</v>
      </c>
      <c r="DO630" t="b">
        <f t="shared" si="1218"/>
        <v>0</v>
      </c>
      <c r="DP630" t="b">
        <f t="shared" si="1219"/>
        <v>0</v>
      </c>
      <c r="DQ630" t="b">
        <f t="shared" si="1220"/>
        <v>0</v>
      </c>
      <c r="DR630" t="b">
        <f t="shared" si="1221"/>
        <v>0</v>
      </c>
      <c r="DS630" t="b">
        <f t="shared" si="1222"/>
        <v>0</v>
      </c>
      <c r="DT630" t="b">
        <f t="shared" si="1223"/>
        <v>0</v>
      </c>
      <c r="DU630" t="b">
        <f t="shared" si="1224"/>
        <v>0</v>
      </c>
      <c r="DV630" t="b">
        <f t="shared" si="1225"/>
        <v>0</v>
      </c>
      <c r="DW630" t="b">
        <f t="shared" si="1226"/>
        <v>0</v>
      </c>
      <c r="DX630" t="b">
        <f t="shared" si="1227"/>
        <v>0</v>
      </c>
      <c r="DY630" t="b">
        <f t="shared" si="1228"/>
        <v>0</v>
      </c>
      <c r="DZ630" t="b">
        <f t="shared" si="1229"/>
        <v>0</v>
      </c>
      <c r="EA630" t="b">
        <f t="shared" si="1230"/>
        <v>0</v>
      </c>
      <c r="EB630" t="b">
        <f t="shared" si="1231"/>
        <v>0</v>
      </c>
      <c r="EC630" t="b">
        <f t="shared" si="1232"/>
        <v>0</v>
      </c>
      <c r="ED630" t="b">
        <f t="shared" si="1233"/>
        <v>0</v>
      </c>
      <c r="EE630" t="b">
        <f t="shared" si="1234"/>
        <v>0</v>
      </c>
      <c r="EF630" t="b">
        <f t="shared" si="1235"/>
        <v>0</v>
      </c>
      <c r="EG630" t="b">
        <f t="shared" si="1236"/>
        <v>0</v>
      </c>
      <c r="EH630" t="b">
        <f t="shared" si="1237"/>
        <v>0</v>
      </c>
      <c r="EI630" t="b">
        <f t="shared" si="1238"/>
        <v>0</v>
      </c>
      <c r="EJ630" t="b">
        <f t="shared" si="1239"/>
        <v>0</v>
      </c>
      <c r="EK630" t="b">
        <f t="shared" si="1240"/>
        <v>0</v>
      </c>
    </row>
    <row r="631" spans="1:141">
      <c r="A631" t="s">
        <v>3159</v>
      </c>
      <c r="B631" t="s">
        <v>3159</v>
      </c>
      <c r="C631" t="s">
        <v>3160</v>
      </c>
      <c r="D631" s="1">
        <v>41427</v>
      </c>
      <c r="E631" s="2">
        <v>44338.335081018522</v>
      </c>
      <c r="F631" s="2">
        <v>44338.335081018522</v>
      </c>
      <c r="G631">
        <v>13258797</v>
      </c>
      <c r="H631" t="s">
        <v>3161</v>
      </c>
      <c r="I631" s="10" t="s">
        <v>3162</v>
      </c>
      <c r="J631" t="s">
        <v>3163</v>
      </c>
      <c r="K631" s="8" t="b">
        <v>1</v>
      </c>
      <c r="L631" s="10" t="b">
        <v>0</v>
      </c>
      <c r="M631" s="12" t="b">
        <v>0</v>
      </c>
      <c r="N631" t="b">
        <v>0</v>
      </c>
      <c r="O631" t="b">
        <v>0</v>
      </c>
      <c r="P631" t="b">
        <v>0</v>
      </c>
      <c r="Q631">
        <f t="shared" si="1117"/>
        <v>1</v>
      </c>
      <c r="R631">
        <f t="shared" si="1118"/>
        <v>6</v>
      </c>
      <c r="S631" t="e">
        <f t="shared" ca="1" si="1148"/>
        <v>#NAME?</v>
      </c>
      <c r="T631" t="e">
        <f t="shared" ca="1" si="1119"/>
        <v>#NAME?</v>
      </c>
      <c r="U631" s="4">
        <f t="shared" si="1120"/>
        <v>2911.335081018522</v>
      </c>
      <c r="V631" s="4">
        <f t="shared" si="1121"/>
        <v>97.0445027006174</v>
      </c>
      <c r="W631" s="4">
        <f t="shared" si="1122"/>
        <v>1</v>
      </c>
      <c r="X631" s="4">
        <f t="shared" si="1123"/>
        <v>0</v>
      </c>
      <c r="Y631" s="4">
        <f t="shared" si="1124"/>
        <v>0</v>
      </c>
      <c r="Z631" s="4">
        <f t="shared" si="1125"/>
        <v>0</v>
      </c>
      <c r="AA631" s="4">
        <f t="shared" si="1126"/>
        <v>0</v>
      </c>
      <c r="AB631" s="4">
        <f t="shared" si="1127"/>
        <v>0</v>
      </c>
      <c r="AD631" s="4" t="b">
        <f t="shared" si="1128"/>
        <v>0</v>
      </c>
      <c r="AE631" s="4" t="b">
        <f t="shared" si="1129"/>
        <v>0</v>
      </c>
      <c r="AF631" s="4" t="b">
        <f t="shared" si="1130"/>
        <v>0</v>
      </c>
      <c r="AG631" t="b">
        <f t="shared" si="1131"/>
        <v>0</v>
      </c>
      <c r="AH631" t="b">
        <f t="shared" si="1132"/>
        <v>0</v>
      </c>
      <c r="AI631" t="b">
        <f t="shared" si="1133"/>
        <v>0</v>
      </c>
      <c r="AJ631" t="b">
        <f t="shared" si="1134"/>
        <v>0</v>
      </c>
      <c r="AK631" t="b">
        <f t="shared" si="1135"/>
        <v>0</v>
      </c>
      <c r="AL631" t="b">
        <f t="shared" si="1136"/>
        <v>0</v>
      </c>
      <c r="AM631" t="b">
        <f t="shared" si="1137"/>
        <v>0</v>
      </c>
      <c r="AN631" t="b">
        <f t="shared" si="1138"/>
        <v>0</v>
      </c>
      <c r="AO631" t="b">
        <f t="shared" si="1139"/>
        <v>0</v>
      </c>
      <c r="AP631" t="b">
        <f t="shared" si="1140"/>
        <v>0</v>
      </c>
      <c r="AQ631" t="b">
        <f t="shared" si="1141"/>
        <v>0</v>
      </c>
      <c r="AR631" t="b">
        <f t="shared" si="1142"/>
        <v>0</v>
      </c>
      <c r="AS631" t="b">
        <f t="shared" si="1143"/>
        <v>0</v>
      </c>
      <c r="AT631" t="b">
        <f t="shared" si="1144"/>
        <v>0</v>
      </c>
      <c r="AU631" t="b">
        <f t="shared" si="1145"/>
        <v>0</v>
      </c>
      <c r="AV631" t="b">
        <f t="shared" si="1146"/>
        <v>0</v>
      </c>
      <c r="AW631" t="b">
        <f t="shared" si="1147"/>
        <v>0</v>
      </c>
      <c r="AX631" t="b">
        <f t="shared" si="1149"/>
        <v>0</v>
      </c>
      <c r="AY631" t="b">
        <f t="shared" si="1150"/>
        <v>0</v>
      </c>
      <c r="AZ631">
        <f t="shared" si="1151"/>
        <v>1</v>
      </c>
      <c r="BA631" t="b">
        <f t="shared" si="1152"/>
        <v>0</v>
      </c>
      <c r="BB631" t="b">
        <f t="shared" si="1153"/>
        <v>0</v>
      </c>
      <c r="BC631" t="b">
        <f t="shared" si="1154"/>
        <v>0</v>
      </c>
      <c r="BD631" t="b">
        <f t="shared" si="1155"/>
        <v>0</v>
      </c>
      <c r="BE631" t="b">
        <f t="shared" si="1156"/>
        <v>0</v>
      </c>
      <c r="BF631" t="b">
        <f t="shared" si="1157"/>
        <v>0</v>
      </c>
      <c r="BG631" t="b">
        <f t="shared" si="1158"/>
        <v>0</v>
      </c>
      <c r="BH631" t="b">
        <f t="shared" si="1159"/>
        <v>0</v>
      </c>
      <c r="BI631">
        <f t="shared" si="1160"/>
        <v>1</v>
      </c>
      <c r="BJ631" t="b">
        <f t="shared" si="1161"/>
        <v>0</v>
      </c>
      <c r="BK631" t="b">
        <f t="shared" si="1162"/>
        <v>0</v>
      </c>
      <c r="BL631" t="b">
        <f t="shared" si="1163"/>
        <v>0</v>
      </c>
      <c r="BM631" t="b">
        <f t="shared" si="1164"/>
        <v>0</v>
      </c>
      <c r="BN631" t="b">
        <f t="shared" si="1165"/>
        <v>0</v>
      </c>
      <c r="BO631" t="b">
        <f t="shared" si="1166"/>
        <v>0</v>
      </c>
      <c r="BP631" t="b">
        <f t="shared" si="1167"/>
        <v>0</v>
      </c>
      <c r="BQ631" t="b">
        <f t="shared" si="1168"/>
        <v>0</v>
      </c>
      <c r="BR631" t="b">
        <f t="shared" si="1169"/>
        <v>0</v>
      </c>
      <c r="BS631" t="b">
        <f t="shared" si="1170"/>
        <v>0</v>
      </c>
      <c r="BT631" t="b">
        <f t="shared" si="1171"/>
        <v>0</v>
      </c>
      <c r="BU631" t="b">
        <f t="shared" si="1172"/>
        <v>0</v>
      </c>
      <c r="BV631" t="b">
        <f t="shared" si="1173"/>
        <v>0</v>
      </c>
      <c r="BW631" t="b">
        <f t="shared" si="1174"/>
        <v>0</v>
      </c>
      <c r="BX631" t="b">
        <f t="shared" si="1175"/>
        <v>0</v>
      </c>
      <c r="BY631" t="b">
        <f t="shared" si="1176"/>
        <v>0</v>
      </c>
      <c r="BZ631" t="b">
        <f t="shared" si="1177"/>
        <v>0</v>
      </c>
      <c r="CA631" t="b">
        <f t="shared" si="1178"/>
        <v>0</v>
      </c>
      <c r="CB631" t="b">
        <f t="shared" si="1179"/>
        <v>0</v>
      </c>
      <c r="CC631" t="b">
        <f t="shared" si="1180"/>
        <v>0</v>
      </c>
      <c r="CD631" t="b">
        <f t="shared" si="1181"/>
        <v>0</v>
      </c>
      <c r="CE631" t="b">
        <f t="shared" si="1182"/>
        <v>0</v>
      </c>
      <c r="CF631" t="b">
        <f t="shared" si="1183"/>
        <v>0</v>
      </c>
      <c r="CG631" t="b">
        <f t="shared" si="1184"/>
        <v>0</v>
      </c>
      <c r="CH631" t="b">
        <f t="shared" si="1185"/>
        <v>0</v>
      </c>
      <c r="CI631" t="b">
        <f t="shared" si="1186"/>
        <v>0</v>
      </c>
      <c r="CJ631" t="b">
        <f t="shared" si="1187"/>
        <v>0</v>
      </c>
      <c r="CK631" t="b">
        <f t="shared" si="1188"/>
        <v>0</v>
      </c>
      <c r="CL631" t="b">
        <f t="shared" si="1189"/>
        <v>0</v>
      </c>
      <c r="CM631">
        <f t="shared" si="1190"/>
        <v>1</v>
      </c>
      <c r="CN631" t="b">
        <f t="shared" si="1191"/>
        <v>0</v>
      </c>
      <c r="CO631" t="b">
        <f t="shared" si="1192"/>
        <v>0</v>
      </c>
      <c r="CP631" t="b">
        <f t="shared" si="1193"/>
        <v>0</v>
      </c>
      <c r="CQ631" t="b">
        <f t="shared" si="1194"/>
        <v>0</v>
      </c>
      <c r="CR631" t="b">
        <f t="shared" si="1195"/>
        <v>0</v>
      </c>
      <c r="CS631" t="b">
        <f t="shared" si="1196"/>
        <v>0</v>
      </c>
      <c r="CT631" t="b">
        <f t="shared" si="1197"/>
        <v>0</v>
      </c>
      <c r="CU631" t="b">
        <f t="shared" si="1198"/>
        <v>0</v>
      </c>
      <c r="CV631">
        <f t="shared" si="1199"/>
        <v>1</v>
      </c>
      <c r="CW631" t="b">
        <f t="shared" si="1200"/>
        <v>0</v>
      </c>
      <c r="CX631" t="b">
        <f t="shared" si="1201"/>
        <v>0</v>
      </c>
      <c r="CY631" t="b">
        <f t="shared" si="1202"/>
        <v>0</v>
      </c>
      <c r="CZ631" t="b">
        <f t="shared" si="1203"/>
        <v>0</v>
      </c>
      <c r="DA631">
        <f t="shared" si="1204"/>
        <v>1</v>
      </c>
      <c r="DB631">
        <f t="shared" si="1205"/>
        <v>1</v>
      </c>
      <c r="DC631" t="b">
        <f t="shared" si="1206"/>
        <v>0</v>
      </c>
      <c r="DD631" t="b">
        <f t="shared" si="1207"/>
        <v>0</v>
      </c>
      <c r="DE631" t="b">
        <f t="shared" si="1208"/>
        <v>0</v>
      </c>
      <c r="DF631" t="b">
        <f t="shared" si="1209"/>
        <v>0</v>
      </c>
      <c r="DG631" t="b">
        <f t="shared" si="1210"/>
        <v>0</v>
      </c>
      <c r="DH631" t="b">
        <f t="shared" si="1211"/>
        <v>0</v>
      </c>
      <c r="DI631" t="b">
        <f t="shared" si="1212"/>
        <v>0</v>
      </c>
      <c r="DJ631" t="b">
        <f t="shared" si="1213"/>
        <v>0</v>
      </c>
      <c r="DK631" t="b">
        <f t="shared" si="1214"/>
        <v>0</v>
      </c>
      <c r="DL631" t="b">
        <f t="shared" si="1215"/>
        <v>0</v>
      </c>
      <c r="DM631" t="b">
        <f t="shared" si="1216"/>
        <v>0</v>
      </c>
      <c r="DN631" t="b">
        <f t="shared" si="1217"/>
        <v>0</v>
      </c>
      <c r="DO631" t="b">
        <f t="shared" si="1218"/>
        <v>0</v>
      </c>
      <c r="DP631" t="b">
        <f t="shared" si="1219"/>
        <v>0</v>
      </c>
      <c r="DQ631" t="b">
        <f t="shared" si="1220"/>
        <v>0</v>
      </c>
      <c r="DR631" t="b">
        <f t="shared" si="1221"/>
        <v>0</v>
      </c>
      <c r="DS631" t="b">
        <f t="shared" si="1222"/>
        <v>0</v>
      </c>
      <c r="DT631" t="b">
        <f t="shared" si="1223"/>
        <v>0</v>
      </c>
      <c r="DU631" t="b">
        <f t="shared" si="1224"/>
        <v>0</v>
      </c>
      <c r="DV631" t="b">
        <f t="shared" si="1225"/>
        <v>0</v>
      </c>
      <c r="DW631" t="b">
        <f t="shared" si="1226"/>
        <v>0</v>
      </c>
      <c r="DX631" t="b">
        <f t="shared" si="1227"/>
        <v>0</v>
      </c>
      <c r="DY631" t="b">
        <f t="shared" si="1228"/>
        <v>0</v>
      </c>
      <c r="DZ631" t="b">
        <f t="shared" si="1229"/>
        <v>0</v>
      </c>
      <c r="EA631" t="b">
        <f t="shared" si="1230"/>
        <v>0</v>
      </c>
      <c r="EB631" t="b">
        <f t="shared" si="1231"/>
        <v>0</v>
      </c>
      <c r="EC631" t="b">
        <f t="shared" si="1232"/>
        <v>0</v>
      </c>
      <c r="ED631" t="b">
        <f t="shared" si="1233"/>
        <v>0</v>
      </c>
      <c r="EE631" t="b">
        <f t="shared" si="1234"/>
        <v>0</v>
      </c>
      <c r="EF631">
        <f t="shared" si="1235"/>
        <v>1</v>
      </c>
      <c r="EG631" t="b">
        <f t="shared" si="1236"/>
        <v>0</v>
      </c>
      <c r="EH631" t="b">
        <f t="shared" si="1237"/>
        <v>0</v>
      </c>
      <c r="EI631" t="b">
        <f t="shared" si="1238"/>
        <v>0</v>
      </c>
      <c r="EJ631" t="b">
        <f t="shared" si="1239"/>
        <v>0</v>
      </c>
      <c r="EK631" t="b">
        <f t="shared" si="1240"/>
        <v>0</v>
      </c>
    </row>
    <row r="632" spans="1:141">
      <c r="A632" t="s">
        <v>3164</v>
      </c>
      <c r="B632" t="s">
        <v>3165</v>
      </c>
      <c r="C632" t="s">
        <v>499</v>
      </c>
      <c r="D632" s="1">
        <v>41889</v>
      </c>
      <c r="E632" s="2">
        <v>41894.20175925926</v>
      </c>
      <c r="F632" s="2">
        <v>41894.20175925926</v>
      </c>
      <c r="G632">
        <v>1186564</v>
      </c>
      <c r="H632" t="s">
        <v>3166</v>
      </c>
      <c r="I632" s="10" t="s">
        <v>3167</v>
      </c>
      <c r="J632" t="s">
        <v>147</v>
      </c>
      <c r="K632" s="8" t="b">
        <v>1</v>
      </c>
      <c r="L632" s="10" t="b">
        <v>0</v>
      </c>
      <c r="M632" s="12" t="b">
        <v>0</v>
      </c>
      <c r="N632" t="b">
        <v>0</v>
      </c>
      <c r="O632" t="b">
        <v>0</v>
      </c>
      <c r="P632" t="b">
        <v>0</v>
      </c>
      <c r="Q632">
        <f t="shared" si="1117"/>
        <v>1</v>
      </c>
      <c r="R632">
        <f t="shared" si="1118"/>
        <v>9</v>
      </c>
      <c r="S632" t="e">
        <f t="shared" ca="1" si="1148"/>
        <v>#NAME?</v>
      </c>
      <c r="T632" t="e">
        <f t="shared" ca="1" si="1119"/>
        <v>#NAME?</v>
      </c>
      <c r="U632" s="4">
        <f t="shared" si="1120"/>
        <v>5.2017592592601432</v>
      </c>
      <c r="V632" s="4">
        <f t="shared" si="1121"/>
        <v>0.17339197530867143</v>
      </c>
      <c r="W632" s="4">
        <f t="shared" si="1122"/>
        <v>1</v>
      </c>
      <c r="X632" s="4">
        <f t="shared" si="1123"/>
        <v>0</v>
      </c>
      <c r="Y632" s="4">
        <f t="shared" si="1124"/>
        <v>0</v>
      </c>
      <c r="Z632" s="4">
        <f t="shared" si="1125"/>
        <v>0</v>
      </c>
      <c r="AA632" s="4">
        <f t="shared" si="1126"/>
        <v>0</v>
      </c>
      <c r="AB632" s="4">
        <f t="shared" si="1127"/>
        <v>0</v>
      </c>
      <c r="AD632" s="4" t="b">
        <f t="shared" si="1128"/>
        <v>0</v>
      </c>
      <c r="AE632" s="4" t="b">
        <f t="shared" si="1129"/>
        <v>0</v>
      </c>
      <c r="AF632" s="4" t="b">
        <f t="shared" si="1130"/>
        <v>0</v>
      </c>
      <c r="AG632" t="b">
        <f t="shared" si="1131"/>
        <v>0</v>
      </c>
      <c r="AH632" t="b">
        <f t="shared" si="1132"/>
        <v>0</v>
      </c>
      <c r="AI632" t="b">
        <f t="shared" si="1133"/>
        <v>0</v>
      </c>
      <c r="AJ632" t="b">
        <f t="shared" si="1134"/>
        <v>0</v>
      </c>
      <c r="AK632" t="b">
        <f t="shared" si="1135"/>
        <v>0</v>
      </c>
      <c r="AL632" t="b">
        <f t="shared" si="1136"/>
        <v>0</v>
      </c>
      <c r="AM632" t="b">
        <f t="shared" si="1137"/>
        <v>0</v>
      </c>
      <c r="AN632" t="b">
        <f t="shared" si="1138"/>
        <v>0</v>
      </c>
      <c r="AO632" t="b">
        <f t="shared" si="1139"/>
        <v>0</v>
      </c>
      <c r="AP632" t="b">
        <f t="shared" si="1140"/>
        <v>0</v>
      </c>
      <c r="AQ632" t="b">
        <f t="shared" si="1141"/>
        <v>0</v>
      </c>
      <c r="AR632" t="b">
        <f t="shared" si="1142"/>
        <v>0</v>
      </c>
      <c r="AS632" t="b">
        <f t="shared" si="1143"/>
        <v>0</v>
      </c>
      <c r="AT632" t="b">
        <f t="shared" si="1144"/>
        <v>0</v>
      </c>
      <c r="AU632" t="b">
        <f t="shared" si="1145"/>
        <v>0</v>
      </c>
      <c r="AV632" t="b">
        <f t="shared" si="1146"/>
        <v>0</v>
      </c>
      <c r="AW632" t="b">
        <f t="shared" si="1147"/>
        <v>0</v>
      </c>
      <c r="AX632" t="b">
        <f t="shared" si="1149"/>
        <v>0</v>
      </c>
      <c r="AY632" t="b">
        <f t="shared" si="1150"/>
        <v>0</v>
      </c>
      <c r="AZ632" t="b">
        <f t="shared" si="1151"/>
        <v>0</v>
      </c>
      <c r="BA632" t="b">
        <f t="shared" si="1152"/>
        <v>0</v>
      </c>
      <c r="BB632" t="b">
        <f t="shared" si="1153"/>
        <v>0</v>
      </c>
      <c r="BC632" t="b">
        <f t="shared" si="1154"/>
        <v>0</v>
      </c>
      <c r="BD632" t="b">
        <f t="shared" si="1155"/>
        <v>0</v>
      </c>
      <c r="BE632" t="b">
        <f t="shared" si="1156"/>
        <v>0</v>
      </c>
      <c r="BF632" t="b">
        <f t="shared" si="1157"/>
        <v>0</v>
      </c>
      <c r="BG632" t="b">
        <f t="shared" si="1158"/>
        <v>0</v>
      </c>
      <c r="BH632" t="b">
        <f t="shared" si="1159"/>
        <v>0</v>
      </c>
      <c r="BI632">
        <f t="shared" si="1160"/>
        <v>1</v>
      </c>
      <c r="BJ632" t="b">
        <f t="shared" si="1161"/>
        <v>0</v>
      </c>
      <c r="BK632" t="b">
        <f t="shared" si="1162"/>
        <v>0</v>
      </c>
      <c r="BL632" t="b">
        <f t="shared" si="1163"/>
        <v>0</v>
      </c>
      <c r="BM632" t="b">
        <f t="shared" si="1164"/>
        <v>0</v>
      </c>
      <c r="BN632" t="b">
        <f t="shared" si="1165"/>
        <v>0</v>
      </c>
      <c r="BO632" t="b">
        <f t="shared" si="1166"/>
        <v>0</v>
      </c>
      <c r="BP632" t="b">
        <f t="shared" si="1167"/>
        <v>0</v>
      </c>
      <c r="BQ632" t="b">
        <f t="shared" si="1168"/>
        <v>0</v>
      </c>
      <c r="BR632" t="b">
        <f t="shared" si="1169"/>
        <v>0</v>
      </c>
      <c r="BS632" t="b">
        <f t="shared" si="1170"/>
        <v>0</v>
      </c>
      <c r="BT632" t="b">
        <f t="shared" si="1171"/>
        <v>0</v>
      </c>
      <c r="BU632" t="b">
        <f t="shared" si="1172"/>
        <v>0</v>
      </c>
      <c r="BV632" t="b">
        <f t="shared" si="1173"/>
        <v>0</v>
      </c>
      <c r="BW632" t="b">
        <f t="shared" si="1174"/>
        <v>0</v>
      </c>
      <c r="BX632" t="b">
        <f t="shared" si="1175"/>
        <v>0</v>
      </c>
      <c r="BY632" t="b">
        <f t="shared" si="1176"/>
        <v>0</v>
      </c>
      <c r="BZ632" t="b">
        <f t="shared" si="1177"/>
        <v>0</v>
      </c>
      <c r="CA632" t="b">
        <f t="shared" si="1178"/>
        <v>0</v>
      </c>
      <c r="CB632" t="b">
        <f t="shared" si="1179"/>
        <v>0</v>
      </c>
      <c r="CC632" t="b">
        <f t="shared" si="1180"/>
        <v>0</v>
      </c>
      <c r="CD632" t="b">
        <f t="shared" si="1181"/>
        <v>0</v>
      </c>
      <c r="CE632" t="b">
        <f t="shared" si="1182"/>
        <v>0</v>
      </c>
      <c r="CF632" t="b">
        <f t="shared" si="1183"/>
        <v>0</v>
      </c>
      <c r="CG632" t="b">
        <f t="shared" si="1184"/>
        <v>0</v>
      </c>
      <c r="CH632" t="b">
        <f t="shared" si="1185"/>
        <v>0</v>
      </c>
      <c r="CI632" t="b">
        <f t="shared" si="1186"/>
        <v>0</v>
      </c>
      <c r="CJ632" t="b">
        <f t="shared" si="1187"/>
        <v>0</v>
      </c>
      <c r="CK632" t="b">
        <f t="shared" si="1188"/>
        <v>0</v>
      </c>
      <c r="CL632" t="b">
        <f t="shared" si="1189"/>
        <v>0</v>
      </c>
      <c r="CM632" t="b">
        <f t="shared" si="1190"/>
        <v>0</v>
      </c>
      <c r="CN632" t="b">
        <f t="shared" si="1191"/>
        <v>0</v>
      </c>
      <c r="CO632" t="b">
        <f t="shared" si="1192"/>
        <v>0</v>
      </c>
      <c r="CP632" t="b">
        <f t="shared" si="1193"/>
        <v>0</v>
      </c>
      <c r="CQ632" t="b">
        <f t="shared" si="1194"/>
        <v>0</v>
      </c>
      <c r="CR632" t="b">
        <f t="shared" si="1195"/>
        <v>0</v>
      </c>
      <c r="CS632" t="b">
        <f t="shared" si="1196"/>
        <v>0</v>
      </c>
      <c r="CT632" t="b">
        <f t="shared" si="1197"/>
        <v>0</v>
      </c>
      <c r="CU632" t="b">
        <f t="shared" si="1198"/>
        <v>0</v>
      </c>
      <c r="CV632">
        <f t="shared" si="1199"/>
        <v>1</v>
      </c>
      <c r="CW632" t="b">
        <f t="shared" si="1200"/>
        <v>0</v>
      </c>
      <c r="CX632" t="b">
        <f t="shared" si="1201"/>
        <v>0</v>
      </c>
      <c r="CY632" t="b">
        <f t="shared" si="1202"/>
        <v>0</v>
      </c>
      <c r="CZ632" t="b">
        <f t="shared" si="1203"/>
        <v>0</v>
      </c>
      <c r="DA632" t="b">
        <f t="shared" si="1204"/>
        <v>0</v>
      </c>
      <c r="DB632" t="b">
        <f t="shared" si="1205"/>
        <v>0</v>
      </c>
      <c r="DC632" t="b">
        <f t="shared" si="1206"/>
        <v>0</v>
      </c>
      <c r="DD632" t="b">
        <f t="shared" si="1207"/>
        <v>0</v>
      </c>
      <c r="DE632" t="b">
        <f t="shared" si="1208"/>
        <v>0</v>
      </c>
      <c r="DF632" t="b">
        <f t="shared" si="1209"/>
        <v>0</v>
      </c>
      <c r="DG632" t="b">
        <f t="shared" si="1210"/>
        <v>0</v>
      </c>
      <c r="DH632" t="b">
        <f t="shared" si="1211"/>
        <v>0</v>
      </c>
      <c r="DI632" t="b">
        <f t="shared" si="1212"/>
        <v>0</v>
      </c>
      <c r="DJ632" t="b">
        <f t="shared" si="1213"/>
        <v>0</v>
      </c>
      <c r="DK632" t="b">
        <f t="shared" si="1214"/>
        <v>0</v>
      </c>
      <c r="DL632" t="b">
        <f t="shared" si="1215"/>
        <v>0</v>
      </c>
      <c r="DM632" t="b">
        <f t="shared" si="1216"/>
        <v>0</v>
      </c>
      <c r="DN632" t="b">
        <f t="shared" si="1217"/>
        <v>0</v>
      </c>
      <c r="DO632" t="b">
        <f t="shared" si="1218"/>
        <v>0</v>
      </c>
      <c r="DP632" t="b">
        <f t="shared" si="1219"/>
        <v>0</v>
      </c>
      <c r="DQ632" t="b">
        <f t="shared" si="1220"/>
        <v>0</v>
      </c>
      <c r="DR632" t="b">
        <f t="shared" si="1221"/>
        <v>0</v>
      </c>
      <c r="DS632" t="b">
        <f t="shared" si="1222"/>
        <v>0</v>
      </c>
      <c r="DT632" t="b">
        <f t="shared" si="1223"/>
        <v>0</v>
      </c>
      <c r="DU632" t="b">
        <f t="shared" si="1224"/>
        <v>0</v>
      </c>
      <c r="DV632" t="b">
        <f t="shared" si="1225"/>
        <v>0</v>
      </c>
      <c r="DW632" t="b">
        <f t="shared" si="1226"/>
        <v>0</v>
      </c>
      <c r="DX632" t="b">
        <f t="shared" si="1227"/>
        <v>0</v>
      </c>
      <c r="DY632" t="b">
        <f t="shared" si="1228"/>
        <v>0</v>
      </c>
      <c r="DZ632" t="b">
        <f t="shared" si="1229"/>
        <v>0</v>
      </c>
      <c r="EA632" t="b">
        <f t="shared" si="1230"/>
        <v>0</v>
      </c>
      <c r="EB632" t="b">
        <f t="shared" si="1231"/>
        <v>0</v>
      </c>
      <c r="EC632" t="b">
        <f t="shared" si="1232"/>
        <v>0</v>
      </c>
      <c r="ED632" t="b">
        <f t="shared" si="1233"/>
        <v>0</v>
      </c>
      <c r="EE632" t="b">
        <f t="shared" si="1234"/>
        <v>0</v>
      </c>
      <c r="EF632" t="b">
        <f t="shared" si="1235"/>
        <v>0</v>
      </c>
      <c r="EG632" t="b">
        <f t="shared" si="1236"/>
        <v>0</v>
      </c>
      <c r="EH632" t="b">
        <f t="shared" si="1237"/>
        <v>0</v>
      </c>
      <c r="EI632" t="b">
        <f t="shared" si="1238"/>
        <v>0</v>
      </c>
      <c r="EJ632" t="b">
        <f t="shared" si="1239"/>
        <v>0</v>
      </c>
      <c r="EK632" t="b">
        <f t="shared" si="1240"/>
        <v>0</v>
      </c>
    </row>
    <row r="633" spans="1:141">
      <c r="A633" t="s">
        <v>3168</v>
      </c>
      <c r="B633" t="s">
        <v>3168</v>
      </c>
      <c r="C633" t="s">
        <v>3169</v>
      </c>
      <c r="D633" s="1">
        <v>41518</v>
      </c>
      <c r="E633" s="2">
        <v>43285.969409722224</v>
      </c>
      <c r="F633" s="2">
        <v>43285.969409722224</v>
      </c>
      <c r="G633">
        <v>5033997</v>
      </c>
      <c r="H633" t="s">
        <v>3170</v>
      </c>
      <c r="I633" s="10" t="s">
        <v>3171</v>
      </c>
      <c r="J633" t="s">
        <v>3172</v>
      </c>
      <c r="K633" s="8" t="b">
        <v>1</v>
      </c>
      <c r="L633" s="10" t="b">
        <v>0</v>
      </c>
      <c r="M633" s="12" t="b">
        <v>0</v>
      </c>
      <c r="N633" t="b">
        <v>0</v>
      </c>
      <c r="O633" t="b">
        <v>0</v>
      </c>
      <c r="P633" t="b">
        <v>0</v>
      </c>
      <c r="Q633">
        <f t="shared" si="1117"/>
        <v>1</v>
      </c>
      <c r="R633">
        <f t="shared" si="1118"/>
        <v>9</v>
      </c>
      <c r="S633" t="e">
        <f t="shared" ca="1" si="1148"/>
        <v>#NAME?</v>
      </c>
      <c r="T633" t="e">
        <f t="shared" ca="1" si="1119"/>
        <v>#NAME?</v>
      </c>
      <c r="U633" s="4">
        <f t="shared" si="1120"/>
        <v>1767.9694097222236</v>
      </c>
      <c r="V633" s="4">
        <f t="shared" si="1121"/>
        <v>58.932313657407455</v>
      </c>
      <c r="W633" s="4">
        <f t="shared" si="1122"/>
        <v>1</v>
      </c>
      <c r="X633" s="4">
        <f t="shared" si="1123"/>
        <v>0</v>
      </c>
      <c r="Y633" s="4">
        <f t="shared" si="1124"/>
        <v>0</v>
      </c>
      <c r="Z633" s="4">
        <f t="shared" si="1125"/>
        <v>0</v>
      </c>
      <c r="AA633" s="4">
        <f t="shared" si="1126"/>
        <v>0</v>
      </c>
      <c r="AB633" s="4">
        <f t="shared" si="1127"/>
        <v>0</v>
      </c>
      <c r="AD633" s="4" t="b">
        <f t="shared" si="1128"/>
        <v>0</v>
      </c>
      <c r="AE633" s="4" t="b">
        <f t="shared" si="1129"/>
        <v>0</v>
      </c>
      <c r="AF633" s="4" t="b">
        <f t="shared" si="1130"/>
        <v>0</v>
      </c>
      <c r="AG633" t="b">
        <f t="shared" si="1131"/>
        <v>0</v>
      </c>
      <c r="AH633" t="b">
        <f t="shared" si="1132"/>
        <v>0</v>
      </c>
      <c r="AI633" t="b">
        <f t="shared" si="1133"/>
        <v>0</v>
      </c>
      <c r="AJ633" t="b">
        <f t="shared" si="1134"/>
        <v>0</v>
      </c>
      <c r="AK633" t="b">
        <f t="shared" si="1135"/>
        <v>0</v>
      </c>
      <c r="AL633" t="b">
        <f t="shared" si="1136"/>
        <v>0</v>
      </c>
      <c r="AM633" t="b">
        <f t="shared" si="1137"/>
        <v>0</v>
      </c>
      <c r="AN633" t="b">
        <f t="shared" si="1138"/>
        <v>0</v>
      </c>
      <c r="AO633" t="b">
        <f t="shared" si="1139"/>
        <v>0</v>
      </c>
      <c r="AP633" t="b">
        <f t="shared" si="1140"/>
        <v>0</v>
      </c>
      <c r="AQ633" t="b">
        <f t="shared" si="1141"/>
        <v>0</v>
      </c>
      <c r="AR633" t="b">
        <f t="shared" si="1142"/>
        <v>0</v>
      </c>
      <c r="AS633" t="b">
        <f t="shared" si="1143"/>
        <v>0</v>
      </c>
      <c r="AT633" t="b">
        <f t="shared" si="1144"/>
        <v>0</v>
      </c>
      <c r="AU633" t="b">
        <f t="shared" si="1145"/>
        <v>0</v>
      </c>
      <c r="AV633" t="b">
        <f t="shared" si="1146"/>
        <v>0</v>
      </c>
      <c r="AW633" t="b">
        <f t="shared" si="1147"/>
        <v>0</v>
      </c>
      <c r="AX633" t="b">
        <f t="shared" si="1149"/>
        <v>0</v>
      </c>
      <c r="AY633" t="b">
        <f t="shared" si="1150"/>
        <v>0</v>
      </c>
      <c r="AZ633">
        <f t="shared" si="1151"/>
        <v>1</v>
      </c>
      <c r="BA633" t="b">
        <f t="shared" si="1152"/>
        <v>0</v>
      </c>
      <c r="BB633" t="b">
        <f t="shared" si="1153"/>
        <v>0</v>
      </c>
      <c r="BC633" t="b">
        <f t="shared" si="1154"/>
        <v>0</v>
      </c>
      <c r="BD633" t="b">
        <f t="shared" si="1155"/>
        <v>0</v>
      </c>
      <c r="BE633" t="b">
        <f t="shared" si="1156"/>
        <v>0</v>
      </c>
      <c r="BF633" t="b">
        <f t="shared" si="1157"/>
        <v>0</v>
      </c>
      <c r="BG633" t="b">
        <f t="shared" si="1158"/>
        <v>0</v>
      </c>
      <c r="BH633" t="b">
        <f t="shared" si="1159"/>
        <v>0</v>
      </c>
      <c r="BI633">
        <f t="shared" si="1160"/>
        <v>1</v>
      </c>
      <c r="BJ633" t="b">
        <f t="shared" si="1161"/>
        <v>0</v>
      </c>
      <c r="BK633" t="b">
        <f t="shared" si="1162"/>
        <v>0</v>
      </c>
      <c r="BL633" t="b">
        <f t="shared" si="1163"/>
        <v>0</v>
      </c>
      <c r="BM633" t="b">
        <f t="shared" si="1164"/>
        <v>0</v>
      </c>
      <c r="BN633" t="b">
        <f t="shared" si="1165"/>
        <v>0</v>
      </c>
      <c r="BO633" t="b">
        <f t="shared" si="1166"/>
        <v>0</v>
      </c>
      <c r="BP633" t="b">
        <f t="shared" si="1167"/>
        <v>0</v>
      </c>
      <c r="BQ633" t="b">
        <f t="shared" si="1168"/>
        <v>0</v>
      </c>
      <c r="BR633" t="b">
        <f t="shared" si="1169"/>
        <v>0</v>
      </c>
      <c r="BS633" t="b">
        <f t="shared" si="1170"/>
        <v>0</v>
      </c>
      <c r="BT633" t="b">
        <f t="shared" si="1171"/>
        <v>0</v>
      </c>
      <c r="BU633" t="b">
        <f t="shared" si="1172"/>
        <v>0</v>
      </c>
      <c r="BV633" t="b">
        <f t="shared" si="1173"/>
        <v>0</v>
      </c>
      <c r="BW633" t="b">
        <f t="shared" si="1174"/>
        <v>0</v>
      </c>
      <c r="BX633" t="b">
        <f t="shared" si="1175"/>
        <v>0</v>
      </c>
      <c r="BY633" t="b">
        <f t="shared" si="1176"/>
        <v>0</v>
      </c>
      <c r="BZ633" t="b">
        <f t="shared" si="1177"/>
        <v>0</v>
      </c>
      <c r="CA633" t="b">
        <f t="shared" si="1178"/>
        <v>0</v>
      </c>
      <c r="CB633" t="b">
        <f t="shared" si="1179"/>
        <v>0</v>
      </c>
      <c r="CC633" t="b">
        <f t="shared" si="1180"/>
        <v>0</v>
      </c>
      <c r="CD633" t="b">
        <f t="shared" si="1181"/>
        <v>0</v>
      </c>
      <c r="CE633" t="b">
        <f t="shared" si="1182"/>
        <v>0</v>
      </c>
      <c r="CF633" t="b">
        <f t="shared" si="1183"/>
        <v>0</v>
      </c>
      <c r="CG633" t="b">
        <f t="shared" si="1184"/>
        <v>0</v>
      </c>
      <c r="CH633" t="b">
        <f t="shared" si="1185"/>
        <v>0</v>
      </c>
      <c r="CI633" t="b">
        <f t="shared" si="1186"/>
        <v>0</v>
      </c>
      <c r="CJ633" t="b">
        <f t="shared" si="1187"/>
        <v>0</v>
      </c>
      <c r="CK633" t="b">
        <f t="shared" si="1188"/>
        <v>0</v>
      </c>
      <c r="CL633" t="b">
        <f t="shared" si="1189"/>
        <v>0</v>
      </c>
      <c r="CM633">
        <f t="shared" si="1190"/>
        <v>1</v>
      </c>
      <c r="CN633" t="b">
        <f t="shared" si="1191"/>
        <v>0</v>
      </c>
      <c r="CO633" t="b">
        <f t="shared" si="1192"/>
        <v>0</v>
      </c>
      <c r="CP633" t="b">
        <f t="shared" si="1193"/>
        <v>0</v>
      </c>
      <c r="CQ633" t="b">
        <f t="shared" si="1194"/>
        <v>0</v>
      </c>
      <c r="CR633" t="b">
        <f t="shared" si="1195"/>
        <v>0</v>
      </c>
      <c r="CS633" t="b">
        <f t="shared" si="1196"/>
        <v>0</v>
      </c>
      <c r="CT633" t="b">
        <f t="shared" si="1197"/>
        <v>0</v>
      </c>
      <c r="CU633" t="b">
        <f t="shared" si="1198"/>
        <v>0</v>
      </c>
      <c r="CV633">
        <f t="shared" si="1199"/>
        <v>1</v>
      </c>
      <c r="CW633" t="b">
        <f t="shared" si="1200"/>
        <v>0</v>
      </c>
      <c r="CX633" t="b">
        <f t="shared" si="1201"/>
        <v>0</v>
      </c>
      <c r="CY633" t="b">
        <f t="shared" si="1202"/>
        <v>0</v>
      </c>
      <c r="CZ633" t="b">
        <f t="shared" si="1203"/>
        <v>0</v>
      </c>
      <c r="DA633">
        <f t="shared" si="1204"/>
        <v>1</v>
      </c>
      <c r="DB633">
        <f t="shared" si="1205"/>
        <v>1</v>
      </c>
      <c r="DC633" t="b">
        <f t="shared" si="1206"/>
        <v>0</v>
      </c>
      <c r="DD633">
        <f t="shared" si="1207"/>
        <v>1</v>
      </c>
      <c r="DE633" t="b">
        <f t="shared" si="1208"/>
        <v>0</v>
      </c>
      <c r="DF633" t="b">
        <f t="shared" si="1209"/>
        <v>0</v>
      </c>
      <c r="DG633" t="b">
        <f t="shared" si="1210"/>
        <v>0</v>
      </c>
      <c r="DH633" t="b">
        <f t="shared" si="1211"/>
        <v>0</v>
      </c>
      <c r="DI633" t="b">
        <f t="shared" si="1212"/>
        <v>0</v>
      </c>
      <c r="DJ633" t="b">
        <f t="shared" si="1213"/>
        <v>0</v>
      </c>
      <c r="DK633" t="b">
        <f t="shared" si="1214"/>
        <v>0</v>
      </c>
      <c r="DL633" t="b">
        <f t="shared" si="1215"/>
        <v>0</v>
      </c>
      <c r="DM633" t="b">
        <f t="shared" si="1216"/>
        <v>0</v>
      </c>
      <c r="DN633" t="b">
        <f t="shared" si="1217"/>
        <v>0</v>
      </c>
      <c r="DO633" t="b">
        <f t="shared" si="1218"/>
        <v>0</v>
      </c>
      <c r="DP633" t="b">
        <f t="shared" si="1219"/>
        <v>0</v>
      </c>
      <c r="DQ633" t="b">
        <f t="shared" si="1220"/>
        <v>0</v>
      </c>
      <c r="DR633" t="b">
        <f t="shared" si="1221"/>
        <v>0</v>
      </c>
      <c r="DS633" t="b">
        <f t="shared" si="1222"/>
        <v>0</v>
      </c>
      <c r="DT633" t="b">
        <f t="shared" si="1223"/>
        <v>0</v>
      </c>
      <c r="DU633" t="b">
        <f t="shared" si="1224"/>
        <v>0</v>
      </c>
      <c r="DV633" t="b">
        <f t="shared" si="1225"/>
        <v>0</v>
      </c>
      <c r="DW633" t="b">
        <f t="shared" si="1226"/>
        <v>0</v>
      </c>
      <c r="DX633" t="b">
        <f t="shared" si="1227"/>
        <v>0</v>
      </c>
      <c r="DY633" t="b">
        <f t="shared" si="1228"/>
        <v>0</v>
      </c>
      <c r="DZ633" t="b">
        <f t="shared" si="1229"/>
        <v>0</v>
      </c>
      <c r="EA633" t="b">
        <f t="shared" si="1230"/>
        <v>0</v>
      </c>
      <c r="EB633" t="b">
        <f t="shared" si="1231"/>
        <v>0</v>
      </c>
      <c r="EC633" t="b">
        <f t="shared" si="1232"/>
        <v>0</v>
      </c>
      <c r="ED633" t="b">
        <f t="shared" si="1233"/>
        <v>0</v>
      </c>
      <c r="EE633" t="b">
        <f t="shared" si="1234"/>
        <v>0</v>
      </c>
      <c r="EF633" t="b">
        <f t="shared" si="1235"/>
        <v>0</v>
      </c>
      <c r="EG633" t="b">
        <f t="shared" si="1236"/>
        <v>0</v>
      </c>
      <c r="EH633" t="b">
        <f t="shared" si="1237"/>
        <v>0</v>
      </c>
      <c r="EI633" t="b">
        <f t="shared" si="1238"/>
        <v>0</v>
      </c>
      <c r="EJ633" t="b">
        <f t="shared" si="1239"/>
        <v>0</v>
      </c>
      <c r="EK633" t="b">
        <f t="shared" si="1240"/>
        <v>0</v>
      </c>
    </row>
    <row r="634" spans="1:141">
      <c r="A634" t="s">
        <v>3173</v>
      </c>
      <c r="B634" t="s">
        <v>3174</v>
      </c>
      <c r="C634" t="s">
        <v>3174</v>
      </c>
      <c r="D634" s="1">
        <v>44004</v>
      </c>
      <c r="E634" s="2">
        <v>44372.211655092593</v>
      </c>
      <c r="F634" s="2">
        <v>44372.211655092593</v>
      </c>
      <c r="G634">
        <v>1444629</v>
      </c>
      <c r="H634" t="s">
        <v>3175</v>
      </c>
      <c r="I634" s="10" t="s">
        <v>3176</v>
      </c>
      <c r="J634" t="s">
        <v>188</v>
      </c>
      <c r="K634" s="8" t="b">
        <v>1</v>
      </c>
      <c r="L634" s="10" t="b">
        <v>0</v>
      </c>
      <c r="M634" s="12" t="b">
        <v>0</v>
      </c>
      <c r="N634" t="b">
        <v>0</v>
      </c>
      <c r="O634" t="b">
        <v>0</v>
      </c>
      <c r="P634" t="b">
        <v>0</v>
      </c>
      <c r="Q634">
        <f t="shared" si="1117"/>
        <v>2</v>
      </c>
      <c r="R634">
        <f t="shared" si="1118"/>
        <v>6</v>
      </c>
      <c r="S634" t="e">
        <f t="shared" ca="1" si="1148"/>
        <v>#NAME?</v>
      </c>
      <c r="T634" t="e">
        <f t="shared" ca="1" si="1119"/>
        <v>#NAME?</v>
      </c>
      <c r="U634" s="4">
        <f t="shared" si="1120"/>
        <v>368.21165509259299</v>
      </c>
      <c r="V634" s="4">
        <f t="shared" si="1121"/>
        <v>12.273721836419766</v>
      </c>
      <c r="W634" s="4">
        <f t="shared" si="1122"/>
        <v>1</v>
      </c>
      <c r="X634" s="4">
        <f t="shared" si="1123"/>
        <v>0</v>
      </c>
      <c r="Y634" s="4">
        <f t="shared" si="1124"/>
        <v>0</v>
      </c>
      <c r="Z634" s="4">
        <f t="shared" si="1125"/>
        <v>0</v>
      </c>
      <c r="AA634" s="4">
        <f t="shared" si="1126"/>
        <v>0</v>
      </c>
      <c r="AB634" s="4">
        <f t="shared" si="1127"/>
        <v>0</v>
      </c>
      <c r="AD634" s="4" t="b">
        <f t="shared" si="1128"/>
        <v>0</v>
      </c>
      <c r="AE634" s="4" t="b">
        <f t="shared" si="1129"/>
        <v>0</v>
      </c>
      <c r="AF634" s="4" t="b">
        <f t="shared" si="1130"/>
        <v>0</v>
      </c>
      <c r="AG634" t="b">
        <f t="shared" si="1131"/>
        <v>0</v>
      </c>
      <c r="AH634" t="b">
        <f t="shared" si="1132"/>
        <v>0</v>
      </c>
      <c r="AI634" t="b">
        <f t="shared" si="1133"/>
        <v>0</v>
      </c>
      <c r="AJ634" t="b">
        <f t="shared" si="1134"/>
        <v>0</v>
      </c>
      <c r="AK634" t="b">
        <f t="shared" si="1135"/>
        <v>0</v>
      </c>
      <c r="AL634" t="b">
        <f t="shared" si="1136"/>
        <v>0</v>
      </c>
      <c r="AM634" t="b">
        <f t="shared" si="1137"/>
        <v>0</v>
      </c>
      <c r="AN634" t="b">
        <f t="shared" si="1138"/>
        <v>0</v>
      </c>
      <c r="AO634" t="b">
        <f t="shared" si="1139"/>
        <v>0</v>
      </c>
      <c r="AP634" t="b">
        <f t="shared" si="1140"/>
        <v>0</v>
      </c>
      <c r="AQ634" t="b">
        <f t="shared" si="1141"/>
        <v>0</v>
      </c>
      <c r="AR634" t="b">
        <f t="shared" si="1142"/>
        <v>0</v>
      </c>
      <c r="AS634" t="b">
        <f t="shared" si="1143"/>
        <v>0</v>
      </c>
      <c r="AT634" t="b">
        <f t="shared" si="1144"/>
        <v>0</v>
      </c>
      <c r="AU634" t="b">
        <f t="shared" si="1145"/>
        <v>0</v>
      </c>
      <c r="AV634" t="b">
        <f t="shared" si="1146"/>
        <v>0</v>
      </c>
      <c r="AW634" t="b">
        <f t="shared" si="1147"/>
        <v>0</v>
      </c>
      <c r="AX634" t="b">
        <f t="shared" si="1149"/>
        <v>0</v>
      </c>
      <c r="AY634" t="b">
        <f t="shared" si="1150"/>
        <v>0</v>
      </c>
      <c r="AZ634" t="b">
        <f t="shared" si="1151"/>
        <v>0</v>
      </c>
      <c r="BA634" t="b">
        <f t="shared" si="1152"/>
        <v>0</v>
      </c>
      <c r="BB634" t="b">
        <f t="shared" si="1153"/>
        <v>0</v>
      </c>
      <c r="BC634" t="b">
        <f t="shared" si="1154"/>
        <v>0</v>
      </c>
      <c r="BD634" t="b">
        <f t="shared" si="1155"/>
        <v>0</v>
      </c>
      <c r="BE634" t="b">
        <f t="shared" si="1156"/>
        <v>0</v>
      </c>
      <c r="BF634" t="b">
        <f t="shared" si="1157"/>
        <v>0</v>
      </c>
      <c r="BG634" t="b">
        <f t="shared" si="1158"/>
        <v>0</v>
      </c>
      <c r="BH634" t="b">
        <f t="shared" si="1159"/>
        <v>0</v>
      </c>
      <c r="BI634">
        <f t="shared" si="1160"/>
        <v>1</v>
      </c>
      <c r="BJ634" t="b">
        <f t="shared" si="1161"/>
        <v>0</v>
      </c>
      <c r="BK634" t="b">
        <f t="shared" si="1162"/>
        <v>0</v>
      </c>
      <c r="BL634" t="b">
        <f t="shared" si="1163"/>
        <v>0</v>
      </c>
      <c r="BM634" t="b">
        <f t="shared" si="1164"/>
        <v>0</v>
      </c>
      <c r="BN634" t="b">
        <f t="shared" si="1165"/>
        <v>0</v>
      </c>
      <c r="BO634" t="b">
        <f t="shared" si="1166"/>
        <v>0</v>
      </c>
      <c r="BP634" t="b">
        <f t="shared" si="1167"/>
        <v>0</v>
      </c>
      <c r="BQ634" t="b">
        <f t="shared" si="1168"/>
        <v>0</v>
      </c>
      <c r="BR634" t="b">
        <f t="shared" si="1169"/>
        <v>0</v>
      </c>
      <c r="BS634" t="b">
        <f t="shared" si="1170"/>
        <v>0</v>
      </c>
      <c r="BT634" t="b">
        <f t="shared" si="1171"/>
        <v>0</v>
      </c>
      <c r="BU634" t="b">
        <f t="shared" si="1172"/>
        <v>0</v>
      </c>
      <c r="BV634" t="b">
        <f t="shared" si="1173"/>
        <v>0</v>
      </c>
      <c r="BW634" t="b">
        <f t="shared" si="1174"/>
        <v>0</v>
      </c>
      <c r="BX634" t="b">
        <f t="shared" si="1175"/>
        <v>0</v>
      </c>
      <c r="BY634" t="b">
        <f t="shared" si="1176"/>
        <v>0</v>
      </c>
      <c r="BZ634" t="b">
        <f t="shared" si="1177"/>
        <v>0</v>
      </c>
      <c r="CA634" t="b">
        <f t="shared" si="1178"/>
        <v>0</v>
      </c>
      <c r="CB634" t="b">
        <f t="shared" si="1179"/>
        <v>0</v>
      </c>
      <c r="CC634" t="b">
        <f t="shared" si="1180"/>
        <v>0</v>
      </c>
      <c r="CD634" t="b">
        <f t="shared" si="1181"/>
        <v>0</v>
      </c>
      <c r="CE634">
        <f t="shared" si="1182"/>
        <v>1</v>
      </c>
      <c r="CF634" t="b">
        <f t="shared" si="1183"/>
        <v>0</v>
      </c>
      <c r="CG634" t="b">
        <f t="shared" si="1184"/>
        <v>0</v>
      </c>
      <c r="CH634" t="b">
        <f t="shared" si="1185"/>
        <v>0</v>
      </c>
      <c r="CI634" t="b">
        <f t="shared" si="1186"/>
        <v>0</v>
      </c>
      <c r="CJ634" t="b">
        <f t="shared" si="1187"/>
        <v>0</v>
      </c>
      <c r="CK634" t="b">
        <f t="shared" si="1188"/>
        <v>0</v>
      </c>
      <c r="CL634" t="b">
        <f t="shared" si="1189"/>
        <v>0</v>
      </c>
      <c r="CM634" t="b">
        <f t="shared" si="1190"/>
        <v>0</v>
      </c>
      <c r="CN634" t="b">
        <f t="shared" si="1191"/>
        <v>0</v>
      </c>
      <c r="CO634" t="b">
        <f t="shared" si="1192"/>
        <v>0</v>
      </c>
      <c r="CP634" t="b">
        <f t="shared" si="1193"/>
        <v>0</v>
      </c>
      <c r="CQ634" t="b">
        <f t="shared" si="1194"/>
        <v>0</v>
      </c>
      <c r="CR634" t="b">
        <f t="shared" si="1195"/>
        <v>0</v>
      </c>
      <c r="CS634" t="b">
        <f t="shared" si="1196"/>
        <v>0</v>
      </c>
      <c r="CT634" t="b">
        <f t="shared" si="1197"/>
        <v>0</v>
      </c>
      <c r="CU634" t="b">
        <f t="shared" si="1198"/>
        <v>0</v>
      </c>
      <c r="CV634">
        <f t="shared" si="1199"/>
        <v>1</v>
      </c>
      <c r="CW634" t="b">
        <f t="shared" si="1200"/>
        <v>0</v>
      </c>
      <c r="CX634" t="b">
        <f t="shared" si="1201"/>
        <v>0</v>
      </c>
      <c r="CY634" t="b">
        <f t="shared" si="1202"/>
        <v>0</v>
      </c>
      <c r="CZ634" t="b">
        <f t="shared" si="1203"/>
        <v>0</v>
      </c>
      <c r="DA634" t="b">
        <f t="shared" si="1204"/>
        <v>0</v>
      </c>
      <c r="DB634" t="b">
        <f t="shared" si="1205"/>
        <v>0</v>
      </c>
      <c r="DC634" t="b">
        <f t="shared" si="1206"/>
        <v>0</v>
      </c>
      <c r="DD634" t="b">
        <f t="shared" si="1207"/>
        <v>0</v>
      </c>
      <c r="DE634" t="b">
        <f t="shared" si="1208"/>
        <v>0</v>
      </c>
      <c r="DF634" t="b">
        <f t="shared" si="1209"/>
        <v>0</v>
      </c>
      <c r="DG634" t="b">
        <f t="shared" si="1210"/>
        <v>0</v>
      </c>
      <c r="DH634" t="b">
        <f t="shared" si="1211"/>
        <v>0</v>
      </c>
      <c r="DI634" t="b">
        <f t="shared" si="1212"/>
        <v>0</v>
      </c>
      <c r="DJ634" t="b">
        <f t="shared" si="1213"/>
        <v>0</v>
      </c>
      <c r="DK634" t="b">
        <f t="shared" si="1214"/>
        <v>0</v>
      </c>
      <c r="DL634" t="b">
        <f t="shared" si="1215"/>
        <v>0</v>
      </c>
      <c r="DM634" t="b">
        <f t="shared" si="1216"/>
        <v>0</v>
      </c>
      <c r="DN634" t="b">
        <f t="shared" si="1217"/>
        <v>0</v>
      </c>
      <c r="DO634" t="b">
        <f t="shared" si="1218"/>
        <v>0</v>
      </c>
      <c r="DP634" t="b">
        <f t="shared" si="1219"/>
        <v>0</v>
      </c>
      <c r="DQ634" t="b">
        <f t="shared" si="1220"/>
        <v>0</v>
      </c>
      <c r="DR634" t="b">
        <f t="shared" si="1221"/>
        <v>0</v>
      </c>
      <c r="DS634" t="b">
        <f t="shared" si="1222"/>
        <v>0</v>
      </c>
      <c r="DT634" t="b">
        <f t="shared" si="1223"/>
        <v>0</v>
      </c>
      <c r="DU634" t="b">
        <f t="shared" si="1224"/>
        <v>0</v>
      </c>
      <c r="DV634" t="b">
        <f t="shared" si="1225"/>
        <v>0</v>
      </c>
      <c r="DW634" t="b">
        <f t="shared" si="1226"/>
        <v>0</v>
      </c>
      <c r="DX634" t="b">
        <f t="shared" si="1227"/>
        <v>0</v>
      </c>
      <c r="DY634" t="b">
        <f t="shared" si="1228"/>
        <v>0</v>
      </c>
      <c r="DZ634" t="b">
        <f t="shared" si="1229"/>
        <v>0</v>
      </c>
      <c r="EA634" t="b">
        <f t="shared" si="1230"/>
        <v>0</v>
      </c>
      <c r="EB634" t="b">
        <f t="shared" si="1231"/>
        <v>0</v>
      </c>
      <c r="EC634" t="b">
        <f t="shared" si="1232"/>
        <v>0</v>
      </c>
      <c r="ED634" t="b">
        <f t="shared" si="1233"/>
        <v>0</v>
      </c>
      <c r="EE634" t="b">
        <f t="shared" si="1234"/>
        <v>0</v>
      </c>
      <c r="EF634">
        <f t="shared" si="1235"/>
        <v>1</v>
      </c>
      <c r="EG634" t="b">
        <f t="shared" si="1236"/>
        <v>0</v>
      </c>
      <c r="EH634" t="b">
        <f t="shared" si="1237"/>
        <v>0</v>
      </c>
      <c r="EI634" t="b">
        <f t="shared" si="1238"/>
        <v>0</v>
      </c>
      <c r="EJ634" t="b">
        <f t="shared" si="1239"/>
        <v>0</v>
      </c>
      <c r="EK634" t="b">
        <f t="shared" si="1240"/>
        <v>0</v>
      </c>
    </row>
    <row r="635" spans="1:141">
      <c r="A635" t="s">
        <v>3177</v>
      </c>
      <c r="B635" t="s">
        <v>3177</v>
      </c>
      <c r="C635" t="s">
        <v>3178</v>
      </c>
      <c r="D635" s="1">
        <v>42705</v>
      </c>
      <c r="E635" s="2">
        <v>42840.460127314815</v>
      </c>
      <c r="F635" s="2">
        <v>42840.460127314815</v>
      </c>
      <c r="G635">
        <v>91890110</v>
      </c>
      <c r="H635" t="s">
        <v>3179</v>
      </c>
      <c r="I635" s="10" t="s">
        <v>3180</v>
      </c>
      <c r="J635" t="s">
        <v>147</v>
      </c>
      <c r="K635" s="8" t="b">
        <v>1</v>
      </c>
      <c r="L635" s="10" t="b">
        <v>0</v>
      </c>
      <c r="M635" s="12" t="b">
        <v>0</v>
      </c>
      <c r="N635" t="b">
        <v>0</v>
      </c>
      <c r="O635" t="b">
        <v>0</v>
      </c>
      <c r="P635" t="b">
        <v>0</v>
      </c>
      <c r="Q635">
        <f t="shared" si="1117"/>
        <v>5</v>
      </c>
      <c r="R635">
        <f t="shared" si="1118"/>
        <v>12</v>
      </c>
      <c r="S635" t="e">
        <f t="shared" ca="1" si="1148"/>
        <v>#NAME?</v>
      </c>
      <c r="T635" t="e">
        <f t="shared" ca="1" si="1119"/>
        <v>#NAME?</v>
      </c>
      <c r="U635" s="4">
        <f t="shared" si="1120"/>
        <v>135.4601273148146</v>
      </c>
      <c r="V635" s="4">
        <f t="shared" si="1121"/>
        <v>4.5153375771604862</v>
      </c>
      <c r="W635" s="4">
        <f t="shared" si="1122"/>
        <v>1</v>
      </c>
      <c r="X635" s="4">
        <f t="shared" si="1123"/>
        <v>0</v>
      </c>
      <c r="Y635" s="4">
        <f t="shared" si="1124"/>
        <v>0</v>
      </c>
      <c r="Z635" s="4">
        <f t="shared" si="1125"/>
        <v>0</v>
      </c>
      <c r="AA635" s="4">
        <f t="shared" si="1126"/>
        <v>0</v>
      </c>
      <c r="AB635" s="4">
        <f t="shared" si="1127"/>
        <v>0</v>
      </c>
      <c r="AD635" s="4" t="b">
        <f t="shared" si="1128"/>
        <v>0</v>
      </c>
      <c r="AE635" s="4" t="b">
        <f t="shared" si="1129"/>
        <v>0</v>
      </c>
      <c r="AF635" s="4" t="b">
        <f t="shared" si="1130"/>
        <v>0</v>
      </c>
      <c r="AG635" t="b">
        <f t="shared" si="1131"/>
        <v>0</v>
      </c>
      <c r="AH635" t="b">
        <f t="shared" si="1132"/>
        <v>0</v>
      </c>
      <c r="AI635" t="b">
        <f t="shared" si="1133"/>
        <v>0</v>
      </c>
      <c r="AJ635" t="b">
        <f t="shared" si="1134"/>
        <v>0</v>
      </c>
      <c r="AK635" t="b">
        <f t="shared" si="1135"/>
        <v>0</v>
      </c>
      <c r="AL635" t="b">
        <f t="shared" si="1136"/>
        <v>0</v>
      </c>
      <c r="AM635" t="b">
        <f t="shared" si="1137"/>
        <v>0</v>
      </c>
      <c r="AN635" t="b">
        <f t="shared" si="1138"/>
        <v>0</v>
      </c>
      <c r="AO635" t="b">
        <f t="shared" si="1139"/>
        <v>0</v>
      </c>
      <c r="AP635" t="b">
        <f t="shared" si="1140"/>
        <v>0</v>
      </c>
      <c r="AQ635" t="b">
        <f t="shared" si="1141"/>
        <v>0</v>
      </c>
      <c r="AR635" t="b">
        <f t="shared" si="1142"/>
        <v>0</v>
      </c>
      <c r="AS635" t="b">
        <f t="shared" si="1143"/>
        <v>0</v>
      </c>
      <c r="AT635" t="b">
        <f t="shared" si="1144"/>
        <v>0</v>
      </c>
      <c r="AU635" t="b">
        <f t="shared" si="1145"/>
        <v>0</v>
      </c>
      <c r="AV635" t="b">
        <f t="shared" si="1146"/>
        <v>0</v>
      </c>
      <c r="AW635" t="b">
        <f t="shared" si="1147"/>
        <v>0</v>
      </c>
      <c r="AX635" t="b">
        <f t="shared" si="1149"/>
        <v>0</v>
      </c>
      <c r="AY635" t="b">
        <f t="shared" si="1150"/>
        <v>0</v>
      </c>
      <c r="AZ635" t="b">
        <f t="shared" si="1151"/>
        <v>0</v>
      </c>
      <c r="BA635" t="b">
        <f t="shared" si="1152"/>
        <v>0</v>
      </c>
      <c r="BB635" t="b">
        <f t="shared" si="1153"/>
        <v>0</v>
      </c>
      <c r="BC635" t="b">
        <f t="shared" si="1154"/>
        <v>0</v>
      </c>
      <c r="BD635" t="b">
        <f t="shared" si="1155"/>
        <v>0</v>
      </c>
      <c r="BE635" t="b">
        <f t="shared" si="1156"/>
        <v>0</v>
      </c>
      <c r="BF635" t="b">
        <f t="shared" si="1157"/>
        <v>0</v>
      </c>
      <c r="BG635" t="b">
        <f t="shared" si="1158"/>
        <v>0</v>
      </c>
      <c r="BH635" t="b">
        <f t="shared" si="1159"/>
        <v>0</v>
      </c>
      <c r="BI635">
        <f t="shared" si="1160"/>
        <v>1</v>
      </c>
      <c r="BJ635" t="b">
        <f t="shared" si="1161"/>
        <v>0</v>
      </c>
      <c r="BK635" t="b">
        <f t="shared" si="1162"/>
        <v>0</v>
      </c>
      <c r="BL635" t="b">
        <f t="shared" si="1163"/>
        <v>0</v>
      </c>
      <c r="BM635" t="b">
        <f t="shared" si="1164"/>
        <v>0</v>
      </c>
      <c r="BN635" t="b">
        <f t="shared" si="1165"/>
        <v>0</v>
      </c>
      <c r="BO635" t="b">
        <f t="shared" si="1166"/>
        <v>0</v>
      </c>
      <c r="BP635" t="b">
        <f t="shared" si="1167"/>
        <v>0</v>
      </c>
      <c r="BQ635" t="b">
        <f t="shared" si="1168"/>
        <v>0</v>
      </c>
      <c r="BR635" t="b">
        <f t="shared" si="1169"/>
        <v>0</v>
      </c>
      <c r="BS635" t="b">
        <f t="shared" si="1170"/>
        <v>0</v>
      </c>
      <c r="BT635" t="b">
        <f t="shared" si="1171"/>
        <v>0</v>
      </c>
      <c r="BU635" t="b">
        <f t="shared" si="1172"/>
        <v>0</v>
      </c>
      <c r="BV635" t="b">
        <f t="shared" si="1173"/>
        <v>0</v>
      </c>
      <c r="BW635" t="b">
        <f t="shared" si="1174"/>
        <v>0</v>
      </c>
      <c r="BX635" t="b">
        <f t="shared" si="1175"/>
        <v>0</v>
      </c>
      <c r="BY635" t="b">
        <f t="shared" si="1176"/>
        <v>0</v>
      </c>
      <c r="BZ635" t="b">
        <f t="shared" si="1177"/>
        <v>0</v>
      </c>
      <c r="CA635" t="b">
        <f t="shared" si="1178"/>
        <v>0</v>
      </c>
      <c r="CB635" t="b">
        <f t="shared" si="1179"/>
        <v>0</v>
      </c>
      <c r="CC635" t="b">
        <f t="shared" si="1180"/>
        <v>0</v>
      </c>
      <c r="CD635" t="b">
        <f t="shared" si="1181"/>
        <v>0</v>
      </c>
      <c r="CE635" t="b">
        <f t="shared" si="1182"/>
        <v>0</v>
      </c>
      <c r="CF635" t="b">
        <f t="shared" si="1183"/>
        <v>0</v>
      </c>
      <c r="CG635" t="b">
        <f t="shared" si="1184"/>
        <v>0</v>
      </c>
      <c r="CH635" t="b">
        <f t="shared" si="1185"/>
        <v>0</v>
      </c>
      <c r="CI635" t="b">
        <f t="shared" si="1186"/>
        <v>0</v>
      </c>
      <c r="CJ635" t="b">
        <f t="shared" si="1187"/>
        <v>0</v>
      </c>
      <c r="CK635" t="b">
        <f t="shared" si="1188"/>
        <v>0</v>
      </c>
      <c r="CL635" t="b">
        <f t="shared" si="1189"/>
        <v>0</v>
      </c>
      <c r="CM635" t="b">
        <f t="shared" si="1190"/>
        <v>0</v>
      </c>
      <c r="CN635" t="b">
        <f t="shared" si="1191"/>
        <v>0</v>
      </c>
      <c r="CO635" t="b">
        <f t="shared" si="1192"/>
        <v>0</v>
      </c>
      <c r="CP635" t="b">
        <f t="shared" si="1193"/>
        <v>0</v>
      </c>
      <c r="CQ635" t="b">
        <f t="shared" si="1194"/>
        <v>0</v>
      </c>
      <c r="CR635" t="b">
        <f t="shared" si="1195"/>
        <v>0</v>
      </c>
      <c r="CS635" t="b">
        <f t="shared" si="1196"/>
        <v>0</v>
      </c>
      <c r="CT635" t="b">
        <f t="shared" si="1197"/>
        <v>0</v>
      </c>
      <c r="CU635" t="b">
        <f t="shared" si="1198"/>
        <v>0</v>
      </c>
      <c r="CV635">
        <f t="shared" si="1199"/>
        <v>1</v>
      </c>
      <c r="CW635" t="b">
        <f t="shared" si="1200"/>
        <v>0</v>
      </c>
      <c r="CX635" t="b">
        <f t="shared" si="1201"/>
        <v>0</v>
      </c>
      <c r="CY635" t="b">
        <f t="shared" si="1202"/>
        <v>0</v>
      </c>
      <c r="CZ635" t="b">
        <f t="shared" si="1203"/>
        <v>0</v>
      </c>
      <c r="DA635" t="b">
        <f t="shared" si="1204"/>
        <v>0</v>
      </c>
      <c r="DB635" t="b">
        <f t="shared" si="1205"/>
        <v>0</v>
      </c>
      <c r="DC635" t="b">
        <f t="shared" si="1206"/>
        <v>0</v>
      </c>
      <c r="DD635" t="b">
        <f t="shared" si="1207"/>
        <v>0</v>
      </c>
      <c r="DE635" t="b">
        <f t="shared" si="1208"/>
        <v>0</v>
      </c>
      <c r="DF635" t="b">
        <f t="shared" si="1209"/>
        <v>0</v>
      </c>
      <c r="DG635" t="b">
        <f t="shared" si="1210"/>
        <v>0</v>
      </c>
      <c r="DH635" t="b">
        <f t="shared" si="1211"/>
        <v>0</v>
      </c>
      <c r="DI635" t="b">
        <f t="shared" si="1212"/>
        <v>0</v>
      </c>
      <c r="DJ635" t="b">
        <f t="shared" si="1213"/>
        <v>0</v>
      </c>
      <c r="DK635" t="b">
        <f t="shared" si="1214"/>
        <v>0</v>
      </c>
      <c r="DL635" t="b">
        <f t="shared" si="1215"/>
        <v>0</v>
      </c>
      <c r="DM635" t="b">
        <f t="shared" si="1216"/>
        <v>0</v>
      </c>
      <c r="DN635" t="b">
        <f t="shared" si="1217"/>
        <v>0</v>
      </c>
      <c r="DO635" t="b">
        <f t="shared" si="1218"/>
        <v>0</v>
      </c>
      <c r="DP635" t="b">
        <f t="shared" si="1219"/>
        <v>0</v>
      </c>
      <c r="DQ635" t="b">
        <f t="shared" si="1220"/>
        <v>0</v>
      </c>
      <c r="DR635" t="b">
        <f t="shared" si="1221"/>
        <v>0</v>
      </c>
      <c r="DS635" t="b">
        <f t="shared" si="1222"/>
        <v>0</v>
      </c>
      <c r="DT635" t="b">
        <f t="shared" si="1223"/>
        <v>0</v>
      </c>
      <c r="DU635" t="b">
        <f t="shared" si="1224"/>
        <v>0</v>
      </c>
      <c r="DV635" t="b">
        <f t="shared" si="1225"/>
        <v>0</v>
      </c>
      <c r="DW635" t="b">
        <f t="shared" si="1226"/>
        <v>0</v>
      </c>
      <c r="DX635" t="b">
        <f t="shared" si="1227"/>
        <v>0</v>
      </c>
      <c r="DY635" t="b">
        <f t="shared" si="1228"/>
        <v>0</v>
      </c>
      <c r="DZ635" t="b">
        <f t="shared" si="1229"/>
        <v>0</v>
      </c>
      <c r="EA635" t="b">
        <f t="shared" si="1230"/>
        <v>0</v>
      </c>
      <c r="EB635" t="b">
        <f t="shared" si="1231"/>
        <v>0</v>
      </c>
      <c r="EC635" t="b">
        <f t="shared" si="1232"/>
        <v>0</v>
      </c>
      <c r="ED635" t="b">
        <f t="shared" si="1233"/>
        <v>0</v>
      </c>
      <c r="EE635" t="b">
        <f t="shared" si="1234"/>
        <v>0</v>
      </c>
      <c r="EF635" t="b">
        <f t="shared" si="1235"/>
        <v>0</v>
      </c>
      <c r="EG635" t="b">
        <f t="shared" si="1236"/>
        <v>0</v>
      </c>
      <c r="EH635" t="b">
        <f t="shared" si="1237"/>
        <v>0</v>
      </c>
      <c r="EI635" t="b">
        <f t="shared" si="1238"/>
        <v>0</v>
      </c>
      <c r="EJ635" t="b">
        <f t="shared" si="1239"/>
        <v>0</v>
      </c>
      <c r="EK635" t="b">
        <f t="shared" si="1240"/>
        <v>0</v>
      </c>
    </row>
    <row r="636" spans="1:141">
      <c r="A636" t="s">
        <v>3181</v>
      </c>
      <c r="B636" t="s">
        <v>3181</v>
      </c>
      <c r="C636" t="s">
        <v>3182</v>
      </c>
      <c r="D636" s="1">
        <v>43511</v>
      </c>
      <c r="E636" s="2">
        <v>43664.374826388892</v>
      </c>
      <c r="F636" s="2">
        <v>43664.374826388892</v>
      </c>
      <c r="G636">
        <v>18241518</v>
      </c>
      <c r="H636" t="s">
        <v>3183</v>
      </c>
      <c r="I636" s="10" t="s">
        <v>3184</v>
      </c>
      <c r="J636" t="s">
        <v>3185</v>
      </c>
      <c r="K636" s="8" t="b">
        <v>1</v>
      </c>
      <c r="L636" s="10" t="b">
        <v>0</v>
      </c>
      <c r="M636" s="12" t="b">
        <v>0</v>
      </c>
      <c r="N636" t="b">
        <v>0</v>
      </c>
      <c r="O636" t="b">
        <v>0</v>
      </c>
      <c r="P636" t="b">
        <v>0</v>
      </c>
      <c r="Q636">
        <f t="shared" si="1117"/>
        <v>6</v>
      </c>
      <c r="R636">
        <f t="shared" si="1118"/>
        <v>2</v>
      </c>
      <c r="S636" t="e">
        <f t="shared" ca="1" si="1148"/>
        <v>#NAME?</v>
      </c>
      <c r="T636" t="e">
        <f t="shared" ca="1" si="1119"/>
        <v>#NAME?</v>
      </c>
      <c r="U636" s="4">
        <f t="shared" si="1120"/>
        <v>153.37482638889196</v>
      </c>
      <c r="V636" s="4">
        <f t="shared" si="1121"/>
        <v>5.1124942129630657</v>
      </c>
      <c r="W636" s="4">
        <f t="shared" si="1122"/>
        <v>1</v>
      </c>
      <c r="X636" s="4">
        <f t="shared" si="1123"/>
        <v>0</v>
      </c>
      <c r="Y636" s="4">
        <f t="shared" si="1124"/>
        <v>0</v>
      </c>
      <c r="Z636" s="4">
        <f t="shared" si="1125"/>
        <v>0</v>
      </c>
      <c r="AA636" s="4">
        <f t="shared" si="1126"/>
        <v>0</v>
      </c>
      <c r="AB636" s="4">
        <f t="shared" si="1127"/>
        <v>0</v>
      </c>
      <c r="AD636" s="4" t="b">
        <f t="shared" si="1128"/>
        <v>0</v>
      </c>
      <c r="AE636" s="4" t="b">
        <f t="shared" si="1129"/>
        <v>0</v>
      </c>
      <c r="AF636" s="4" t="b">
        <f t="shared" si="1130"/>
        <v>0</v>
      </c>
      <c r="AG636" t="b">
        <f t="shared" si="1131"/>
        <v>0</v>
      </c>
      <c r="AH636" t="b">
        <f t="shared" si="1132"/>
        <v>0</v>
      </c>
      <c r="AI636" t="b">
        <f t="shared" si="1133"/>
        <v>0</v>
      </c>
      <c r="AJ636" t="b">
        <f t="shared" si="1134"/>
        <v>0</v>
      </c>
      <c r="AK636" t="b">
        <f t="shared" si="1135"/>
        <v>0</v>
      </c>
      <c r="AL636" t="b">
        <f t="shared" si="1136"/>
        <v>0</v>
      </c>
      <c r="AM636" t="b">
        <f t="shared" si="1137"/>
        <v>0</v>
      </c>
      <c r="AN636" t="b">
        <f t="shared" si="1138"/>
        <v>0</v>
      </c>
      <c r="AO636" t="b">
        <f t="shared" si="1139"/>
        <v>0</v>
      </c>
      <c r="AP636" t="b">
        <f t="shared" si="1140"/>
        <v>0</v>
      </c>
      <c r="AQ636" t="b">
        <f t="shared" si="1141"/>
        <v>0</v>
      </c>
      <c r="AR636" t="b">
        <f t="shared" si="1142"/>
        <v>0</v>
      </c>
      <c r="AS636" t="b">
        <f t="shared" si="1143"/>
        <v>0</v>
      </c>
      <c r="AT636" t="b">
        <f t="shared" si="1144"/>
        <v>0</v>
      </c>
      <c r="AU636" t="b">
        <f t="shared" si="1145"/>
        <v>0</v>
      </c>
      <c r="AV636" t="b">
        <f t="shared" si="1146"/>
        <v>0</v>
      </c>
      <c r="AW636" t="b">
        <f t="shared" si="1147"/>
        <v>0</v>
      </c>
      <c r="AX636" t="b">
        <f t="shared" si="1149"/>
        <v>0</v>
      </c>
      <c r="AY636" t="b">
        <f t="shared" si="1150"/>
        <v>0</v>
      </c>
      <c r="AZ636" t="b">
        <f t="shared" si="1151"/>
        <v>0</v>
      </c>
      <c r="BA636" t="b">
        <f t="shared" si="1152"/>
        <v>0</v>
      </c>
      <c r="BB636" t="b">
        <f t="shared" si="1153"/>
        <v>0</v>
      </c>
      <c r="BC636" t="b">
        <f t="shared" si="1154"/>
        <v>0</v>
      </c>
      <c r="BD636" t="b">
        <f t="shared" si="1155"/>
        <v>0</v>
      </c>
      <c r="BE636" t="b">
        <f t="shared" si="1156"/>
        <v>0</v>
      </c>
      <c r="BF636" t="b">
        <f t="shared" si="1157"/>
        <v>0</v>
      </c>
      <c r="BG636" t="b">
        <f t="shared" si="1158"/>
        <v>0</v>
      </c>
      <c r="BH636" t="b">
        <f t="shared" si="1159"/>
        <v>0</v>
      </c>
      <c r="BI636">
        <f t="shared" si="1160"/>
        <v>1</v>
      </c>
      <c r="BJ636" t="b">
        <f t="shared" si="1161"/>
        <v>0</v>
      </c>
      <c r="BK636" t="b">
        <f t="shared" si="1162"/>
        <v>0</v>
      </c>
      <c r="BL636" t="b">
        <f t="shared" si="1163"/>
        <v>0</v>
      </c>
      <c r="BM636" t="b">
        <f t="shared" si="1164"/>
        <v>0</v>
      </c>
      <c r="BN636" t="b">
        <f t="shared" si="1165"/>
        <v>0</v>
      </c>
      <c r="BO636" t="b">
        <f t="shared" si="1166"/>
        <v>0</v>
      </c>
      <c r="BP636" t="b">
        <f t="shared" si="1167"/>
        <v>0</v>
      </c>
      <c r="BQ636" t="b">
        <f t="shared" si="1168"/>
        <v>0</v>
      </c>
      <c r="BR636" t="b">
        <f t="shared" si="1169"/>
        <v>0</v>
      </c>
      <c r="BS636" t="b">
        <f t="shared" si="1170"/>
        <v>0</v>
      </c>
      <c r="BT636" t="b">
        <f t="shared" si="1171"/>
        <v>0</v>
      </c>
      <c r="BU636" t="b">
        <f t="shared" si="1172"/>
        <v>0</v>
      </c>
      <c r="BV636" t="b">
        <f t="shared" si="1173"/>
        <v>0</v>
      </c>
      <c r="BW636" t="b">
        <f t="shared" si="1174"/>
        <v>0</v>
      </c>
      <c r="BX636" t="b">
        <f t="shared" si="1175"/>
        <v>0</v>
      </c>
      <c r="BY636" t="b">
        <f t="shared" si="1176"/>
        <v>0</v>
      </c>
      <c r="BZ636" t="b">
        <f t="shared" si="1177"/>
        <v>0</v>
      </c>
      <c r="CA636" t="b">
        <f t="shared" si="1178"/>
        <v>0</v>
      </c>
      <c r="CB636" t="b">
        <f t="shared" si="1179"/>
        <v>0</v>
      </c>
      <c r="CC636" t="b">
        <f t="shared" si="1180"/>
        <v>0</v>
      </c>
      <c r="CD636" t="b">
        <f t="shared" si="1181"/>
        <v>0</v>
      </c>
      <c r="CE636">
        <f t="shared" si="1182"/>
        <v>1</v>
      </c>
      <c r="CF636" t="b">
        <f t="shared" si="1183"/>
        <v>0</v>
      </c>
      <c r="CG636" t="b">
        <f t="shared" si="1184"/>
        <v>0</v>
      </c>
      <c r="CH636" t="b">
        <f t="shared" si="1185"/>
        <v>0</v>
      </c>
      <c r="CI636" t="b">
        <f t="shared" si="1186"/>
        <v>0</v>
      </c>
      <c r="CJ636" t="b">
        <f t="shared" si="1187"/>
        <v>0</v>
      </c>
      <c r="CK636" t="b">
        <f t="shared" si="1188"/>
        <v>0</v>
      </c>
      <c r="CL636" t="b">
        <f t="shared" si="1189"/>
        <v>0</v>
      </c>
      <c r="CM636">
        <f t="shared" si="1190"/>
        <v>1</v>
      </c>
      <c r="CN636" t="b">
        <f t="shared" si="1191"/>
        <v>0</v>
      </c>
      <c r="CO636" t="b">
        <f t="shared" si="1192"/>
        <v>0</v>
      </c>
      <c r="CP636" t="b">
        <f t="shared" si="1193"/>
        <v>0</v>
      </c>
      <c r="CQ636" t="b">
        <f t="shared" si="1194"/>
        <v>0</v>
      </c>
      <c r="CR636" t="b">
        <f t="shared" si="1195"/>
        <v>0</v>
      </c>
      <c r="CS636" t="b">
        <f t="shared" si="1196"/>
        <v>0</v>
      </c>
      <c r="CT636" t="b">
        <f t="shared" si="1197"/>
        <v>0</v>
      </c>
      <c r="CU636" t="b">
        <f t="shared" si="1198"/>
        <v>0</v>
      </c>
      <c r="CV636" t="b">
        <f t="shared" si="1199"/>
        <v>0</v>
      </c>
      <c r="CW636" t="b">
        <f t="shared" si="1200"/>
        <v>0</v>
      </c>
      <c r="CX636" t="b">
        <f t="shared" si="1201"/>
        <v>0</v>
      </c>
      <c r="CY636" t="b">
        <f t="shared" si="1202"/>
        <v>0</v>
      </c>
      <c r="CZ636" t="b">
        <f t="shared" si="1203"/>
        <v>0</v>
      </c>
      <c r="DA636" t="b">
        <f t="shared" si="1204"/>
        <v>0</v>
      </c>
      <c r="DB636" t="b">
        <f t="shared" si="1205"/>
        <v>0</v>
      </c>
      <c r="DC636" t="b">
        <f t="shared" si="1206"/>
        <v>0</v>
      </c>
      <c r="DD636" t="b">
        <f t="shared" si="1207"/>
        <v>0</v>
      </c>
      <c r="DE636" t="b">
        <f t="shared" si="1208"/>
        <v>0</v>
      </c>
      <c r="DF636" t="b">
        <f t="shared" si="1209"/>
        <v>0</v>
      </c>
      <c r="DG636" t="b">
        <f t="shared" si="1210"/>
        <v>0</v>
      </c>
      <c r="DH636" t="b">
        <f t="shared" si="1211"/>
        <v>0</v>
      </c>
      <c r="DI636" t="b">
        <f t="shared" si="1212"/>
        <v>0</v>
      </c>
      <c r="DJ636" t="b">
        <f t="shared" si="1213"/>
        <v>0</v>
      </c>
      <c r="DK636" t="b">
        <f t="shared" si="1214"/>
        <v>0</v>
      </c>
      <c r="DL636" t="b">
        <f t="shared" si="1215"/>
        <v>0</v>
      </c>
      <c r="DM636" t="b">
        <f t="shared" si="1216"/>
        <v>0</v>
      </c>
      <c r="DN636" t="b">
        <f t="shared" si="1217"/>
        <v>0</v>
      </c>
      <c r="DO636" t="b">
        <f t="shared" si="1218"/>
        <v>0</v>
      </c>
      <c r="DP636" t="b">
        <f t="shared" si="1219"/>
        <v>0</v>
      </c>
      <c r="DQ636" t="b">
        <f t="shared" si="1220"/>
        <v>0</v>
      </c>
      <c r="DR636" t="b">
        <f t="shared" si="1221"/>
        <v>0</v>
      </c>
      <c r="DS636" t="b">
        <f t="shared" si="1222"/>
        <v>0</v>
      </c>
      <c r="DT636" t="b">
        <f t="shared" si="1223"/>
        <v>0</v>
      </c>
      <c r="DU636" t="b">
        <f t="shared" si="1224"/>
        <v>0</v>
      </c>
      <c r="DV636" t="b">
        <f t="shared" si="1225"/>
        <v>0</v>
      </c>
      <c r="DW636" t="b">
        <f t="shared" si="1226"/>
        <v>0</v>
      </c>
      <c r="DX636" t="b">
        <f t="shared" si="1227"/>
        <v>0</v>
      </c>
      <c r="DY636">
        <f t="shared" si="1228"/>
        <v>1</v>
      </c>
      <c r="DZ636" t="b">
        <f t="shared" si="1229"/>
        <v>0</v>
      </c>
      <c r="EA636" t="b">
        <f t="shared" si="1230"/>
        <v>0</v>
      </c>
      <c r="EB636" t="b">
        <f t="shared" si="1231"/>
        <v>0</v>
      </c>
      <c r="EC636" t="b">
        <f t="shared" si="1232"/>
        <v>0</v>
      </c>
      <c r="ED636" t="b">
        <f t="shared" si="1233"/>
        <v>0</v>
      </c>
      <c r="EE636" t="b">
        <f t="shared" si="1234"/>
        <v>0</v>
      </c>
      <c r="EF636">
        <f t="shared" si="1235"/>
        <v>1</v>
      </c>
      <c r="EG636" t="b">
        <f t="shared" si="1236"/>
        <v>0</v>
      </c>
      <c r="EH636" t="b">
        <f t="shared" si="1237"/>
        <v>0</v>
      </c>
      <c r="EI636" t="b">
        <f t="shared" si="1238"/>
        <v>0</v>
      </c>
      <c r="EJ636" t="b">
        <f t="shared" si="1239"/>
        <v>0</v>
      </c>
      <c r="EK636" t="b">
        <f t="shared" si="1240"/>
        <v>0</v>
      </c>
    </row>
    <row r="637" spans="1:141">
      <c r="A637" t="s">
        <v>3186</v>
      </c>
      <c r="B637" t="s">
        <v>3186</v>
      </c>
      <c r="C637" t="s">
        <v>3187</v>
      </c>
      <c r="D637" s="1">
        <v>40960</v>
      </c>
      <c r="E637" s="2">
        <v>42215.230555555558</v>
      </c>
      <c r="F637" s="2">
        <v>43240.225127314814</v>
      </c>
      <c r="G637">
        <v>1327567</v>
      </c>
      <c r="H637" t="s">
        <v>3188</v>
      </c>
      <c r="I637" s="10" t="s">
        <v>3189</v>
      </c>
      <c r="J637" t="s">
        <v>147</v>
      </c>
      <c r="K637" s="8" t="b">
        <v>1</v>
      </c>
      <c r="L637" s="10" t="b">
        <v>0</v>
      </c>
      <c r="M637" s="12" t="b">
        <v>1</v>
      </c>
      <c r="N637" t="b">
        <v>0</v>
      </c>
      <c r="O637" t="b">
        <v>0</v>
      </c>
      <c r="P637" t="b">
        <v>0</v>
      </c>
      <c r="Q637">
        <f t="shared" si="1117"/>
        <v>3</v>
      </c>
      <c r="R637">
        <f t="shared" si="1118"/>
        <v>2</v>
      </c>
      <c r="S637" t="e">
        <f t="shared" ca="1" si="1148"/>
        <v>#NAME?</v>
      </c>
      <c r="T637" t="e">
        <f t="shared" ca="1" si="1119"/>
        <v>#NAME?</v>
      </c>
      <c r="U637" s="4">
        <f t="shared" si="1120"/>
        <v>1255.2305555555577</v>
      </c>
      <c r="V637" s="4">
        <f t="shared" si="1121"/>
        <v>41.841018518518588</v>
      </c>
      <c r="W637" s="4">
        <f t="shared" si="1122"/>
        <v>1</v>
      </c>
      <c r="X637" s="4">
        <f t="shared" si="1123"/>
        <v>0</v>
      </c>
      <c r="Y637" s="4">
        <f t="shared" si="1124"/>
        <v>1</v>
      </c>
      <c r="Z637" s="4">
        <f t="shared" si="1125"/>
        <v>0</v>
      </c>
      <c r="AA637" s="4">
        <f t="shared" si="1126"/>
        <v>0</v>
      </c>
      <c r="AB637" s="4">
        <f t="shared" si="1127"/>
        <v>0</v>
      </c>
      <c r="AD637" s="4" t="b">
        <f t="shared" si="1128"/>
        <v>0</v>
      </c>
      <c r="AE637" s="4" t="b">
        <f t="shared" si="1129"/>
        <v>0</v>
      </c>
      <c r="AF637" s="4" t="b">
        <f t="shared" si="1130"/>
        <v>0</v>
      </c>
      <c r="AG637" t="b">
        <f t="shared" si="1131"/>
        <v>0</v>
      </c>
      <c r="AH637" t="b">
        <f t="shared" si="1132"/>
        <v>0</v>
      </c>
      <c r="AI637" t="b">
        <f t="shared" si="1133"/>
        <v>0</v>
      </c>
      <c r="AJ637" t="b">
        <f t="shared" si="1134"/>
        <v>0</v>
      </c>
      <c r="AK637" t="b">
        <f t="shared" si="1135"/>
        <v>0</v>
      </c>
      <c r="AL637" t="b">
        <f t="shared" si="1136"/>
        <v>0</v>
      </c>
      <c r="AM637" t="b">
        <f t="shared" si="1137"/>
        <v>0</v>
      </c>
      <c r="AN637" t="b">
        <f t="shared" si="1138"/>
        <v>0</v>
      </c>
      <c r="AO637" t="b">
        <f t="shared" si="1139"/>
        <v>0</v>
      </c>
      <c r="AP637" t="b">
        <f t="shared" si="1140"/>
        <v>0</v>
      </c>
      <c r="AQ637" t="b">
        <f t="shared" si="1141"/>
        <v>0</v>
      </c>
      <c r="AR637" t="b">
        <f t="shared" si="1142"/>
        <v>0</v>
      </c>
      <c r="AS637" t="b">
        <f t="shared" si="1143"/>
        <v>0</v>
      </c>
      <c r="AT637" t="b">
        <f t="shared" si="1144"/>
        <v>0</v>
      </c>
      <c r="AU637" t="b">
        <f t="shared" si="1145"/>
        <v>0</v>
      </c>
      <c r="AV637" t="b">
        <f t="shared" si="1146"/>
        <v>0</v>
      </c>
      <c r="AW637" t="b">
        <f t="shared" si="1147"/>
        <v>0</v>
      </c>
      <c r="AX637" t="b">
        <f t="shared" si="1149"/>
        <v>0</v>
      </c>
      <c r="AY637" t="b">
        <f t="shared" si="1150"/>
        <v>0</v>
      </c>
      <c r="AZ637" t="b">
        <f t="shared" si="1151"/>
        <v>0</v>
      </c>
      <c r="BA637" t="b">
        <f t="shared" si="1152"/>
        <v>0</v>
      </c>
      <c r="BB637" t="b">
        <f t="shared" si="1153"/>
        <v>0</v>
      </c>
      <c r="BC637" t="b">
        <f t="shared" si="1154"/>
        <v>0</v>
      </c>
      <c r="BD637" t="b">
        <f t="shared" si="1155"/>
        <v>0</v>
      </c>
      <c r="BE637" t="b">
        <f t="shared" si="1156"/>
        <v>0</v>
      </c>
      <c r="BF637" t="b">
        <f t="shared" si="1157"/>
        <v>0</v>
      </c>
      <c r="BG637" t="b">
        <f t="shared" si="1158"/>
        <v>0</v>
      </c>
      <c r="BH637" t="b">
        <f t="shared" si="1159"/>
        <v>0</v>
      </c>
      <c r="BI637">
        <f t="shared" si="1160"/>
        <v>1</v>
      </c>
      <c r="BJ637" t="b">
        <f t="shared" si="1161"/>
        <v>0</v>
      </c>
      <c r="BK637" t="b">
        <f t="shared" si="1162"/>
        <v>0</v>
      </c>
      <c r="BL637" t="b">
        <f t="shared" si="1163"/>
        <v>0</v>
      </c>
      <c r="BM637" t="b">
        <f t="shared" si="1164"/>
        <v>0</v>
      </c>
      <c r="BN637" t="b">
        <f t="shared" si="1165"/>
        <v>0</v>
      </c>
      <c r="BO637" t="b">
        <f t="shared" si="1166"/>
        <v>0</v>
      </c>
      <c r="BP637" t="b">
        <f t="shared" si="1167"/>
        <v>0</v>
      </c>
      <c r="BQ637" t="b">
        <f t="shared" si="1168"/>
        <v>0</v>
      </c>
      <c r="BR637" t="b">
        <f t="shared" si="1169"/>
        <v>0</v>
      </c>
      <c r="BS637" t="b">
        <f t="shared" si="1170"/>
        <v>0</v>
      </c>
      <c r="BT637" t="b">
        <f t="shared" si="1171"/>
        <v>0</v>
      </c>
      <c r="BU637" t="b">
        <f t="shared" si="1172"/>
        <v>0</v>
      </c>
      <c r="BV637" t="b">
        <f t="shared" si="1173"/>
        <v>0</v>
      </c>
      <c r="BW637" t="b">
        <f t="shared" si="1174"/>
        <v>0</v>
      </c>
      <c r="BX637" t="b">
        <f t="shared" si="1175"/>
        <v>0</v>
      </c>
      <c r="BY637" t="b">
        <f t="shared" si="1176"/>
        <v>0</v>
      </c>
      <c r="BZ637" t="b">
        <f t="shared" si="1177"/>
        <v>0</v>
      </c>
      <c r="CA637" t="b">
        <f t="shared" si="1178"/>
        <v>0</v>
      </c>
      <c r="CB637" t="b">
        <f t="shared" si="1179"/>
        <v>0</v>
      </c>
      <c r="CC637" t="b">
        <f t="shared" si="1180"/>
        <v>0</v>
      </c>
      <c r="CD637" t="b">
        <f t="shared" si="1181"/>
        <v>0</v>
      </c>
      <c r="CE637" t="b">
        <f t="shared" si="1182"/>
        <v>0</v>
      </c>
      <c r="CF637" t="b">
        <f t="shared" si="1183"/>
        <v>0</v>
      </c>
      <c r="CG637" t="b">
        <f t="shared" si="1184"/>
        <v>0</v>
      </c>
      <c r="CH637" t="b">
        <f t="shared" si="1185"/>
        <v>0</v>
      </c>
      <c r="CI637" t="b">
        <f t="shared" si="1186"/>
        <v>0</v>
      </c>
      <c r="CJ637" t="b">
        <f t="shared" si="1187"/>
        <v>0</v>
      </c>
      <c r="CK637" t="b">
        <f t="shared" si="1188"/>
        <v>0</v>
      </c>
      <c r="CL637" t="b">
        <f t="shared" si="1189"/>
        <v>0</v>
      </c>
      <c r="CM637" t="b">
        <f t="shared" si="1190"/>
        <v>0</v>
      </c>
      <c r="CN637" t="b">
        <f t="shared" si="1191"/>
        <v>0</v>
      </c>
      <c r="CO637" t="b">
        <f t="shared" si="1192"/>
        <v>0</v>
      </c>
      <c r="CP637" t="b">
        <f t="shared" si="1193"/>
        <v>0</v>
      </c>
      <c r="CQ637" t="b">
        <f t="shared" si="1194"/>
        <v>0</v>
      </c>
      <c r="CR637" t="b">
        <f t="shared" si="1195"/>
        <v>0</v>
      </c>
      <c r="CS637" t="b">
        <f t="shared" si="1196"/>
        <v>0</v>
      </c>
      <c r="CT637" t="b">
        <f t="shared" si="1197"/>
        <v>0</v>
      </c>
      <c r="CU637" t="b">
        <f t="shared" si="1198"/>
        <v>0</v>
      </c>
      <c r="CV637">
        <f t="shared" si="1199"/>
        <v>1</v>
      </c>
      <c r="CW637" t="b">
        <f t="shared" si="1200"/>
        <v>0</v>
      </c>
      <c r="CX637" t="b">
        <f t="shared" si="1201"/>
        <v>0</v>
      </c>
      <c r="CY637" t="b">
        <f t="shared" si="1202"/>
        <v>0</v>
      </c>
      <c r="CZ637" t="b">
        <f t="shared" si="1203"/>
        <v>0</v>
      </c>
      <c r="DA637" t="b">
        <f t="shared" si="1204"/>
        <v>0</v>
      </c>
      <c r="DB637" t="b">
        <f t="shared" si="1205"/>
        <v>0</v>
      </c>
      <c r="DC637" t="b">
        <f t="shared" si="1206"/>
        <v>0</v>
      </c>
      <c r="DD637" t="b">
        <f t="shared" si="1207"/>
        <v>0</v>
      </c>
      <c r="DE637" t="b">
        <f t="shared" si="1208"/>
        <v>0</v>
      </c>
      <c r="DF637" t="b">
        <f t="shared" si="1209"/>
        <v>0</v>
      </c>
      <c r="DG637" t="b">
        <f t="shared" si="1210"/>
        <v>0</v>
      </c>
      <c r="DH637" t="b">
        <f t="shared" si="1211"/>
        <v>0</v>
      </c>
      <c r="DI637" t="b">
        <f t="shared" si="1212"/>
        <v>0</v>
      </c>
      <c r="DJ637" t="b">
        <f t="shared" si="1213"/>
        <v>0</v>
      </c>
      <c r="DK637" t="b">
        <f t="shared" si="1214"/>
        <v>0</v>
      </c>
      <c r="DL637" t="b">
        <f t="shared" si="1215"/>
        <v>0</v>
      </c>
      <c r="DM637" t="b">
        <f t="shared" si="1216"/>
        <v>0</v>
      </c>
      <c r="DN637" t="b">
        <f t="shared" si="1217"/>
        <v>0</v>
      </c>
      <c r="DO637" t="b">
        <f t="shared" si="1218"/>
        <v>0</v>
      </c>
      <c r="DP637" t="b">
        <f t="shared" si="1219"/>
        <v>0</v>
      </c>
      <c r="DQ637" t="b">
        <f t="shared" si="1220"/>
        <v>0</v>
      </c>
      <c r="DR637" t="b">
        <f t="shared" si="1221"/>
        <v>0</v>
      </c>
      <c r="DS637" t="b">
        <f t="shared" si="1222"/>
        <v>0</v>
      </c>
      <c r="DT637" t="b">
        <f t="shared" si="1223"/>
        <v>0</v>
      </c>
      <c r="DU637" t="b">
        <f t="shared" si="1224"/>
        <v>0</v>
      </c>
      <c r="DV637" t="b">
        <f t="shared" si="1225"/>
        <v>0</v>
      </c>
      <c r="DW637" t="b">
        <f t="shared" si="1226"/>
        <v>0</v>
      </c>
      <c r="DX637" t="b">
        <f t="shared" si="1227"/>
        <v>0</v>
      </c>
      <c r="DY637" t="b">
        <f t="shared" si="1228"/>
        <v>0</v>
      </c>
      <c r="DZ637" t="b">
        <f t="shared" si="1229"/>
        <v>0</v>
      </c>
      <c r="EA637" t="b">
        <f t="shared" si="1230"/>
        <v>0</v>
      </c>
      <c r="EB637" t="b">
        <f t="shared" si="1231"/>
        <v>0</v>
      </c>
      <c r="EC637" t="b">
        <f t="shared" si="1232"/>
        <v>0</v>
      </c>
      <c r="ED637" t="b">
        <f t="shared" si="1233"/>
        <v>0</v>
      </c>
      <c r="EE637" t="b">
        <f t="shared" si="1234"/>
        <v>0</v>
      </c>
      <c r="EF637" t="b">
        <f t="shared" si="1235"/>
        <v>0</v>
      </c>
      <c r="EG637" t="b">
        <f t="shared" si="1236"/>
        <v>0</v>
      </c>
      <c r="EH637" t="b">
        <f t="shared" si="1237"/>
        <v>0</v>
      </c>
      <c r="EI637" t="b">
        <f t="shared" si="1238"/>
        <v>0</v>
      </c>
      <c r="EJ637" t="b">
        <f t="shared" si="1239"/>
        <v>0</v>
      </c>
      <c r="EK637" t="b">
        <f t="shared" si="1240"/>
        <v>0</v>
      </c>
    </row>
    <row r="638" spans="1:141">
      <c r="A638" t="s">
        <v>3190</v>
      </c>
      <c r="B638" t="s">
        <v>3191</v>
      </c>
      <c r="D638" s="1">
        <v>43378</v>
      </c>
      <c r="E638" s="2">
        <v>43440.799618055556</v>
      </c>
      <c r="F638" s="2">
        <v>43440.799618055556</v>
      </c>
      <c r="G638">
        <v>66147869</v>
      </c>
      <c r="H638" t="s">
        <v>3192</v>
      </c>
      <c r="I638" s="10" t="s">
        <v>160</v>
      </c>
      <c r="J638" t="s">
        <v>3193</v>
      </c>
      <c r="K638" s="8" t="b">
        <v>1</v>
      </c>
      <c r="L638" s="10" t="b">
        <v>0</v>
      </c>
      <c r="M638" s="12" t="b">
        <v>0</v>
      </c>
      <c r="N638" t="b">
        <v>0</v>
      </c>
      <c r="O638" t="b">
        <v>0</v>
      </c>
      <c r="P638" t="b">
        <v>0</v>
      </c>
      <c r="Q638">
        <f t="shared" si="1117"/>
        <v>6</v>
      </c>
      <c r="R638">
        <f t="shared" si="1118"/>
        <v>10</v>
      </c>
      <c r="S638" t="e">
        <f t="shared" ca="1" si="1148"/>
        <v>#NAME?</v>
      </c>
      <c r="T638" t="e">
        <f t="shared" ca="1" si="1119"/>
        <v>#NAME?</v>
      </c>
      <c r="U638" s="4">
        <f t="shared" si="1120"/>
        <v>62.799618055556493</v>
      </c>
      <c r="V638" s="4">
        <f t="shared" si="1121"/>
        <v>2.0933206018518833</v>
      </c>
      <c r="W638" s="4">
        <f t="shared" si="1122"/>
        <v>1</v>
      </c>
      <c r="X638" s="4">
        <f t="shared" si="1123"/>
        <v>0</v>
      </c>
      <c r="Y638" s="4">
        <f t="shared" si="1124"/>
        <v>0</v>
      </c>
      <c r="Z638" s="4">
        <f t="shared" si="1125"/>
        <v>0</v>
      </c>
      <c r="AA638" s="4">
        <f t="shared" si="1126"/>
        <v>0</v>
      </c>
      <c r="AB638" s="4">
        <f t="shared" si="1127"/>
        <v>0</v>
      </c>
      <c r="AD638" s="4" t="b">
        <f t="shared" si="1128"/>
        <v>0</v>
      </c>
      <c r="AE638" s="4" t="b">
        <f t="shared" si="1129"/>
        <v>0</v>
      </c>
      <c r="AF638" s="4" t="b">
        <f t="shared" si="1130"/>
        <v>0</v>
      </c>
      <c r="AG638" t="b">
        <f t="shared" si="1131"/>
        <v>0</v>
      </c>
      <c r="AH638" t="b">
        <f t="shared" si="1132"/>
        <v>0</v>
      </c>
      <c r="AI638" t="b">
        <f t="shared" si="1133"/>
        <v>0</v>
      </c>
      <c r="AJ638" t="b">
        <f t="shared" si="1134"/>
        <v>0</v>
      </c>
      <c r="AK638" t="b">
        <f t="shared" si="1135"/>
        <v>0</v>
      </c>
      <c r="AL638" t="b">
        <f t="shared" si="1136"/>
        <v>0</v>
      </c>
      <c r="AM638" t="b">
        <f t="shared" si="1137"/>
        <v>0</v>
      </c>
      <c r="AN638" t="b">
        <f t="shared" si="1138"/>
        <v>0</v>
      </c>
      <c r="AO638" t="b">
        <f t="shared" si="1139"/>
        <v>0</v>
      </c>
      <c r="AP638" t="b">
        <f t="shared" si="1140"/>
        <v>0</v>
      </c>
      <c r="AQ638" t="b">
        <f t="shared" si="1141"/>
        <v>0</v>
      </c>
      <c r="AR638" t="b">
        <f t="shared" si="1142"/>
        <v>0</v>
      </c>
      <c r="AS638" t="b">
        <f t="shared" si="1143"/>
        <v>0</v>
      </c>
      <c r="AT638" t="b">
        <f t="shared" si="1144"/>
        <v>0</v>
      </c>
      <c r="AU638" t="b">
        <f t="shared" si="1145"/>
        <v>0</v>
      </c>
      <c r="AV638" t="b">
        <f t="shared" si="1146"/>
        <v>0</v>
      </c>
      <c r="AW638" t="b">
        <f t="shared" si="1147"/>
        <v>0</v>
      </c>
      <c r="AX638" t="b">
        <f t="shared" si="1149"/>
        <v>0</v>
      </c>
      <c r="AY638" t="b">
        <f t="shared" si="1150"/>
        <v>0</v>
      </c>
      <c r="AZ638" t="b">
        <f t="shared" si="1151"/>
        <v>0</v>
      </c>
      <c r="BA638" t="b">
        <f t="shared" si="1152"/>
        <v>0</v>
      </c>
      <c r="BB638" t="b">
        <f t="shared" si="1153"/>
        <v>0</v>
      </c>
      <c r="BC638" t="b">
        <f t="shared" si="1154"/>
        <v>0</v>
      </c>
      <c r="BD638" t="b">
        <f t="shared" si="1155"/>
        <v>0</v>
      </c>
      <c r="BE638" t="b">
        <f t="shared" si="1156"/>
        <v>0</v>
      </c>
      <c r="BF638" t="b">
        <f t="shared" si="1157"/>
        <v>0</v>
      </c>
      <c r="BG638" t="b">
        <f t="shared" si="1158"/>
        <v>0</v>
      </c>
      <c r="BH638" t="b">
        <f t="shared" si="1159"/>
        <v>0</v>
      </c>
      <c r="BI638">
        <f t="shared" si="1160"/>
        <v>1</v>
      </c>
      <c r="BJ638">
        <f t="shared" si="1161"/>
        <v>1</v>
      </c>
      <c r="BK638" t="b">
        <f t="shared" si="1162"/>
        <v>0</v>
      </c>
      <c r="BL638" t="b">
        <f t="shared" si="1163"/>
        <v>0</v>
      </c>
      <c r="BM638" t="b">
        <f t="shared" si="1164"/>
        <v>0</v>
      </c>
      <c r="BN638" t="b">
        <f t="shared" si="1165"/>
        <v>0</v>
      </c>
      <c r="BO638" t="b">
        <f t="shared" si="1166"/>
        <v>0</v>
      </c>
      <c r="BP638" t="b">
        <f t="shared" si="1167"/>
        <v>0</v>
      </c>
      <c r="BQ638" t="b">
        <f t="shared" si="1168"/>
        <v>0</v>
      </c>
      <c r="BR638" t="b">
        <f t="shared" si="1169"/>
        <v>0</v>
      </c>
      <c r="BS638">
        <f t="shared" si="1170"/>
        <v>1</v>
      </c>
      <c r="BT638" t="b">
        <f t="shared" si="1171"/>
        <v>0</v>
      </c>
      <c r="BU638" t="b">
        <f t="shared" si="1172"/>
        <v>0</v>
      </c>
      <c r="BV638" t="b">
        <f t="shared" si="1173"/>
        <v>0</v>
      </c>
      <c r="BW638" t="b">
        <f t="shared" si="1174"/>
        <v>0</v>
      </c>
      <c r="BX638" t="b">
        <f t="shared" si="1175"/>
        <v>0</v>
      </c>
      <c r="BY638" t="b">
        <f t="shared" si="1176"/>
        <v>0</v>
      </c>
      <c r="BZ638" t="b">
        <f t="shared" si="1177"/>
        <v>0</v>
      </c>
      <c r="CA638" t="b">
        <f t="shared" si="1178"/>
        <v>0</v>
      </c>
      <c r="CB638" t="b">
        <f t="shared" si="1179"/>
        <v>0</v>
      </c>
      <c r="CC638" t="b">
        <f t="shared" si="1180"/>
        <v>0</v>
      </c>
      <c r="CD638" t="b">
        <f t="shared" si="1181"/>
        <v>0</v>
      </c>
      <c r="CE638" t="b">
        <f t="shared" si="1182"/>
        <v>0</v>
      </c>
      <c r="CF638" t="b">
        <f t="shared" si="1183"/>
        <v>0</v>
      </c>
      <c r="CG638" t="b">
        <f t="shared" si="1184"/>
        <v>0</v>
      </c>
      <c r="CH638" t="b">
        <f t="shared" si="1185"/>
        <v>0</v>
      </c>
      <c r="CI638" t="b">
        <f t="shared" si="1186"/>
        <v>0</v>
      </c>
      <c r="CJ638" t="b">
        <f t="shared" si="1187"/>
        <v>0</v>
      </c>
      <c r="CK638" t="b">
        <f t="shared" si="1188"/>
        <v>0</v>
      </c>
      <c r="CL638" t="b">
        <f t="shared" si="1189"/>
        <v>0</v>
      </c>
      <c r="CM638">
        <f t="shared" si="1190"/>
        <v>1</v>
      </c>
      <c r="CN638" t="b">
        <f t="shared" si="1191"/>
        <v>0</v>
      </c>
      <c r="CO638" t="b">
        <f t="shared" si="1192"/>
        <v>0</v>
      </c>
      <c r="CP638" t="b">
        <f t="shared" si="1193"/>
        <v>0</v>
      </c>
      <c r="CQ638" t="b">
        <f t="shared" si="1194"/>
        <v>0</v>
      </c>
      <c r="CR638" t="b">
        <f t="shared" si="1195"/>
        <v>0</v>
      </c>
      <c r="CS638" t="b">
        <f t="shared" si="1196"/>
        <v>0</v>
      </c>
      <c r="CT638" t="b">
        <f t="shared" si="1197"/>
        <v>0</v>
      </c>
      <c r="CU638" t="b">
        <f t="shared" si="1198"/>
        <v>0</v>
      </c>
      <c r="CV638" t="b">
        <f t="shared" si="1199"/>
        <v>0</v>
      </c>
      <c r="CW638" t="b">
        <f t="shared" si="1200"/>
        <v>0</v>
      </c>
      <c r="CX638" t="b">
        <f t="shared" si="1201"/>
        <v>0</v>
      </c>
      <c r="CY638" t="b">
        <f t="shared" si="1202"/>
        <v>0</v>
      </c>
      <c r="CZ638" t="b">
        <f t="shared" si="1203"/>
        <v>0</v>
      </c>
      <c r="DA638" t="b">
        <f t="shared" si="1204"/>
        <v>0</v>
      </c>
      <c r="DB638" t="b">
        <f t="shared" si="1205"/>
        <v>0</v>
      </c>
      <c r="DC638" t="b">
        <f t="shared" si="1206"/>
        <v>0</v>
      </c>
      <c r="DD638" t="b">
        <f t="shared" si="1207"/>
        <v>0</v>
      </c>
      <c r="DE638" t="b">
        <f t="shared" si="1208"/>
        <v>0</v>
      </c>
      <c r="DF638" t="b">
        <f t="shared" si="1209"/>
        <v>0</v>
      </c>
      <c r="DG638" t="b">
        <f t="shared" si="1210"/>
        <v>0</v>
      </c>
      <c r="DH638" t="b">
        <f t="shared" si="1211"/>
        <v>0</v>
      </c>
      <c r="DI638" t="b">
        <f t="shared" si="1212"/>
        <v>0</v>
      </c>
      <c r="DJ638" t="b">
        <f t="shared" si="1213"/>
        <v>0</v>
      </c>
      <c r="DK638" t="b">
        <f t="shared" si="1214"/>
        <v>0</v>
      </c>
      <c r="DL638" t="b">
        <f t="shared" si="1215"/>
        <v>0</v>
      </c>
      <c r="DM638" t="b">
        <f t="shared" si="1216"/>
        <v>0</v>
      </c>
      <c r="DN638" t="b">
        <f t="shared" si="1217"/>
        <v>0</v>
      </c>
      <c r="DO638" t="b">
        <f t="shared" si="1218"/>
        <v>0</v>
      </c>
      <c r="DP638" t="b">
        <f t="shared" si="1219"/>
        <v>0</v>
      </c>
      <c r="DQ638" t="b">
        <f t="shared" si="1220"/>
        <v>0</v>
      </c>
      <c r="DR638" t="b">
        <f t="shared" si="1221"/>
        <v>0</v>
      </c>
      <c r="DS638" t="b">
        <f t="shared" si="1222"/>
        <v>0</v>
      </c>
      <c r="DT638" t="b">
        <f t="shared" si="1223"/>
        <v>0</v>
      </c>
      <c r="DU638" t="b">
        <f t="shared" si="1224"/>
        <v>0</v>
      </c>
      <c r="DV638" t="b">
        <f t="shared" si="1225"/>
        <v>0</v>
      </c>
      <c r="DW638" t="b">
        <f t="shared" si="1226"/>
        <v>0</v>
      </c>
      <c r="DX638" t="b">
        <f t="shared" si="1227"/>
        <v>0</v>
      </c>
      <c r="DY638">
        <f t="shared" si="1228"/>
        <v>1</v>
      </c>
      <c r="DZ638" t="b">
        <f t="shared" si="1229"/>
        <v>0</v>
      </c>
      <c r="EA638" t="b">
        <f t="shared" si="1230"/>
        <v>0</v>
      </c>
      <c r="EB638" t="b">
        <f t="shared" si="1231"/>
        <v>0</v>
      </c>
      <c r="EC638" t="b">
        <f t="shared" si="1232"/>
        <v>0</v>
      </c>
      <c r="ED638" t="b">
        <f t="shared" si="1233"/>
        <v>0</v>
      </c>
      <c r="EE638" t="b">
        <f t="shared" si="1234"/>
        <v>0</v>
      </c>
      <c r="EF638" t="b">
        <f t="shared" si="1235"/>
        <v>0</v>
      </c>
      <c r="EG638" t="b">
        <f t="shared" si="1236"/>
        <v>0</v>
      </c>
      <c r="EH638" t="b">
        <f t="shared" si="1237"/>
        <v>0</v>
      </c>
      <c r="EI638" t="b">
        <f t="shared" si="1238"/>
        <v>0</v>
      </c>
      <c r="EJ638" t="b">
        <f t="shared" si="1239"/>
        <v>0</v>
      </c>
      <c r="EK638" t="b">
        <f t="shared" si="1240"/>
        <v>0</v>
      </c>
    </row>
    <row r="639" spans="1:141">
      <c r="A639" t="s">
        <v>3194</v>
      </c>
      <c r="B639" t="s">
        <v>3195</v>
      </c>
      <c r="C639" t="s">
        <v>3196</v>
      </c>
      <c r="D639" s="1">
        <v>44522</v>
      </c>
      <c r="E639" s="2">
        <v>44639.9921875</v>
      </c>
      <c r="F639" s="2">
        <v>44639.9921875</v>
      </c>
      <c r="G639">
        <v>746682</v>
      </c>
      <c r="H639" t="s">
        <v>3197</v>
      </c>
      <c r="I639" s="10" t="s">
        <v>3198</v>
      </c>
      <c r="J639" t="s">
        <v>3199</v>
      </c>
      <c r="K639" s="8" t="b">
        <v>1</v>
      </c>
      <c r="L639" s="10" t="b">
        <v>0</v>
      </c>
      <c r="M639" s="12" t="b">
        <v>0</v>
      </c>
      <c r="N639" t="b">
        <v>0</v>
      </c>
      <c r="O639" t="b">
        <v>0</v>
      </c>
      <c r="P639" t="b">
        <v>0</v>
      </c>
      <c r="Q639">
        <f t="shared" si="1117"/>
        <v>2</v>
      </c>
      <c r="R639">
        <f t="shared" si="1118"/>
        <v>11</v>
      </c>
      <c r="S639" t="e">
        <f t="shared" ca="1" si="1148"/>
        <v>#NAME?</v>
      </c>
      <c r="T639" t="e">
        <f t="shared" ca="1" si="1119"/>
        <v>#NAME?</v>
      </c>
      <c r="U639" s="4">
        <f t="shared" si="1120"/>
        <v>117.9921875</v>
      </c>
      <c r="V639" s="4">
        <f t="shared" si="1121"/>
        <v>3.9330729166666667</v>
      </c>
      <c r="W639" s="4">
        <f t="shared" si="1122"/>
        <v>1</v>
      </c>
      <c r="X639" s="4">
        <f t="shared" si="1123"/>
        <v>0</v>
      </c>
      <c r="Y639" s="4">
        <f t="shared" si="1124"/>
        <v>0</v>
      </c>
      <c r="Z639" s="4">
        <f t="shared" si="1125"/>
        <v>0</v>
      </c>
      <c r="AA639" s="4">
        <f t="shared" si="1126"/>
        <v>0</v>
      </c>
      <c r="AB639" s="4">
        <f t="shared" si="1127"/>
        <v>0</v>
      </c>
      <c r="AD639" s="4" t="b">
        <f t="shared" si="1128"/>
        <v>0</v>
      </c>
      <c r="AE639" s="4" t="b">
        <f t="shared" si="1129"/>
        <v>0</v>
      </c>
      <c r="AF639" s="4" t="b">
        <f t="shared" si="1130"/>
        <v>0</v>
      </c>
      <c r="AG639" t="b">
        <f t="shared" si="1131"/>
        <v>0</v>
      </c>
      <c r="AH639" t="b">
        <f t="shared" si="1132"/>
        <v>0</v>
      </c>
      <c r="AI639" t="b">
        <f t="shared" si="1133"/>
        <v>0</v>
      </c>
      <c r="AJ639" t="b">
        <f t="shared" si="1134"/>
        <v>0</v>
      </c>
      <c r="AK639" t="b">
        <f t="shared" si="1135"/>
        <v>0</v>
      </c>
      <c r="AL639" t="b">
        <f t="shared" si="1136"/>
        <v>0</v>
      </c>
      <c r="AM639" t="b">
        <f t="shared" si="1137"/>
        <v>0</v>
      </c>
      <c r="AN639" t="b">
        <f t="shared" si="1138"/>
        <v>0</v>
      </c>
      <c r="AO639" t="b">
        <f t="shared" si="1139"/>
        <v>0</v>
      </c>
      <c r="AP639" t="b">
        <f t="shared" si="1140"/>
        <v>0</v>
      </c>
      <c r="AQ639" t="b">
        <f t="shared" si="1141"/>
        <v>0</v>
      </c>
      <c r="AR639" t="b">
        <f t="shared" si="1142"/>
        <v>0</v>
      </c>
      <c r="AS639" t="b">
        <f t="shared" si="1143"/>
        <v>0</v>
      </c>
      <c r="AT639">
        <f t="shared" si="1144"/>
        <v>1</v>
      </c>
      <c r="AU639" t="b">
        <f t="shared" si="1145"/>
        <v>0</v>
      </c>
      <c r="AV639" t="b">
        <f t="shared" si="1146"/>
        <v>0</v>
      </c>
      <c r="AW639" t="b">
        <f t="shared" si="1147"/>
        <v>0</v>
      </c>
      <c r="AX639" t="b">
        <f t="shared" si="1149"/>
        <v>0</v>
      </c>
      <c r="AY639" t="b">
        <f t="shared" si="1150"/>
        <v>0</v>
      </c>
      <c r="AZ639" t="b">
        <f t="shared" si="1151"/>
        <v>0</v>
      </c>
      <c r="BA639" t="b">
        <f t="shared" si="1152"/>
        <v>0</v>
      </c>
      <c r="BB639" t="b">
        <f t="shared" si="1153"/>
        <v>0</v>
      </c>
      <c r="BC639" t="b">
        <f t="shared" si="1154"/>
        <v>0</v>
      </c>
      <c r="BD639" t="b">
        <f t="shared" si="1155"/>
        <v>0</v>
      </c>
      <c r="BE639" t="b">
        <f t="shared" si="1156"/>
        <v>0</v>
      </c>
      <c r="BF639" t="b">
        <f t="shared" si="1157"/>
        <v>0</v>
      </c>
      <c r="BG639" t="b">
        <f t="shared" si="1158"/>
        <v>0</v>
      </c>
      <c r="BH639" t="b">
        <f t="shared" si="1159"/>
        <v>0</v>
      </c>
      <c r="BI639">
        <f t="shared" si="1160"/>
        <v>1</v>
      </c>
      <c r="BJ639" t="b">
        <f t="shared" si="1161"/>
        <v>0</v>
      </c>
      <c r="BK639" t="b">
        <f t="shared" si="1162"/>
        <v>0</v>
      </c>
      <c r="BL639" t="b">
        <f t="shared" si="1163"/>
        <v>0</v>
      </c>
      <c r="BM639" t="b">
        <f t="shared" si="1164"/>
        <v>0</v>
      </c>
      <c r="BN639" t="b">
        <f t="shared" si="1165"/>
        <v>0</v>
      </c>
      <c r="BO639" t="b">
        <f t="shared" si="1166"/>
        <v>0</v>
      </c>
      <c r="BP639" t="b">
        <f t="shared" si="1167"/>
        <v>0</v>
      </c>
      <c r="BQ639" t="b">
        <f t="shared" si="1168"/>
        <v>0</v>
      </c>
      <c r="BR639" t="b">
        <f t="shared" si="1169"/>
        <v>0</v>
      </c>
      <c r="BS639" t="b">
        <f t="shared" si="1170"/>
        <v>0</v>
      </c>
      <c r="BT639" t="b">
        <f t="shared" si="1171"/>
        <v>0</v>
      </c>
      <c r="BU639" t="b">
        <f t="shared" si="1172"/>
        <v>0</v>
      </c>
      <c r="BV639" t="b">
        <f t="shared" si="1173"/>
        <v>0</v>
      </c>
      <c r="BW639" t="b">
        <f t="shared" si="1174"/>
        <v>0</v>
      </c>
      <c r="BX639" t="b">
        <f t="shared" si="1175"/>
        <v>0</v>
      </c>
      <c r="BY639" t="b">
        <f t="shared" si="1176"/>
        <v>0</v>
      </c>
      <c r="BZ639" t="b">
        <f t="shared" si="1177"/>
        <v>0</v>
      </c>
      <c r="CA639" t="b">
        <f t="shared" si="1178"/>
        <v>0</v>
      </c>
      <c r="CB639" t="b">
        <f t="shared" si="1179"/>
        <v>0</v>
      </c>
      <c r="CC639" t="b">
        <f t="shared" si="1180"/>
        <v>0</v>
      </c>
      <c r="CD639" t="b">
        <f t="shared" si="1181"/>
        <v>0</v>
      </c>
      <c r="CE639">
        <f t="shared" si="1182"/>
        <v>1</v>
      </c>
      <c r="CF639" t="b">
        <f t="shared" si="1183"/>
        <v>0</v>
      </c>
      <c r="CG639" t="b">
        <f t="shared" si="1184"/>
        <v>0</v>
      </c>
      <c r="CH639" t="b">
        <f t="shared" si="1185"/>
        <v>0</v>
      </c>
      <c r="CI639" t="b">
        <f t="shared" si="1186"/>
        <v>0</v>
      </c>
      <c r="CJ639" t="b">
        <f t="shared" si="1187"/>
        <v>0</v>
      </c>
      <c r="CK639" t="b">
        <f t="shared" si="1188"/>
        <v>0</v>
      </c>
      <c r="CL639" t="b">
        <f t="shared" si="1189"/>
        <v>0</v>
      </c>
      <c r="CM639">
        <f t="shared" si="1190"/>
        <v>1</v>
      </c>
      <c r="CN639" t="b">
        <f t="shared" si="1191"/>
        <v>0</v>
      </c>
      <c r="CO639" t="b">
        <f t="shared" si="1192"/>
        <v>0</v>
      </c>
      <c r="CP639" t="b">
        <f t="shared" si="1193"/>
        <v>0</v>
      </c>
      <c r="CQ639" t="b">
        <f t="shared" si="1194"/>
        <v>0</v>
      </c>
      <c r="CR639" t="b">
        <f t="shared" si="1195"/>
        <v>0</v>
      </c>
      <c r="CS639" t="b">
        <f t="shared" si="1196"/>
        <v>0</v>
      </c>
      <c r="CT639" t="b">
        <f t="shared" si="1197"/>
        <v>0</v>
      </c>
      <c r="CU639" t="b">
        <f t="shared" si="1198"/>
        <v>0</v>
      </c>
      <c r="CV639" t="b">
        <f t="shared" si="1199"/>
        <v>0</v>
      </c>
      <c r="CW639" t="b">
        <f t="shared" si="1200"/>
        <v>0</v>
      </c>
      <c r="CX639" t="b">
        <f t="shared" si="1201"/>
        <v>0</v>
      </c>
      <c r="CY639" t="b">
        <f t="shared" si="1202"/>
        <v>0</v>
      </c>
      <c r="CZ639" t="b">
        <f t="shared" si="1203"/>
        <v>0</v>
      </c>
      <c r="DA639">
        <f t="shared" si="1204"/>
        <v>1</v>
      </c>
      <c r="DB639">
        <f t="shared" si="1205"/>
        <v>1</v>
      </c>
      <c r="DC639" t="b">
        <f t="shared" si="1206"/>
        <v>0</v>
      </c>
      <c r="DD639" t="b">
        <f t="shared" si="1207"/>
        <v>0</v>
      </c>
      <c r="DE639" t="b">
        <f t="shared" si="1208"/>
        <v>0</v>
      </c>
      <c r="DF639" t="b">
        <f t="shared" si="1209"/>
        <v>0</v>
      </c>
      <c r="DG639" t="b">
        <f t="shared" si="1210"/>
        <v>0</v>
      </c>
      <c r="DH639" t="b">
        <f t="shared" si="1211"/>
        <v>0</v>
      </c>
      <c r="DI639" t="b">
        <f t="shared" si="1212"/>
        <v>0</v>
      </c>
      <c r="DJ639">
        <f t="shared" si="1213"/>
        <v>1</v>
      </c>
      <c r="DK639" t="b">
        <f t="shared" si="1214"/>
        <v>0</v>
      </c>
      <c r="DL639" t="b">
        <f t="shared" si="1215"/>
        <v>0</v>
      </c>
      <c r="DM639" t="b">
        <f t="shared" si="1216"/>
        <v>0</v>
      </c>
      <c r="DN639" t="b">
        <f t="shared" si="1217"/>
        <v>0</v>
      </c>
      <c r="DO639" t="b">
        <f t="shared" si="1218"/>
        <v>0</v>
      </c>
      <c r="DP639" t="b">
        <f t="shared" si="1219"/>
        <v>0</v>
      </c>
      <c r="DQ639" t="b">
        <f t="shared" si="1220"/>
        <v>0</v>
      </c>
      <c r="DR639" t="b">
        <f t="shared" si="1221"/>
        <v>0</v>
      </c>
      <c r="DS639" t="b">
        <f t="shared" si="1222"/>
        <v>0</v>
      </c>
      <c r="DT639" t="b">
        <f t="shared" si="1223"/>
        <v>0</v>
      </c>
      <c r="DU639" t="b">
        <f t="shared" si="1224"/>
        <v>0</v>
      </c>
      <c r="DV639" t="b">
        <f t="shared" si="1225"/>
        <v>0</v>
      </c>
      <c r="DW639" t="b">
        <f t="shared" si="1226"/>
        <v>0</v>
      </c>
      <c r="DX639" t="b">
        <f t="shared" si="1227"/>
        <v>0</v>
      </c>
      <c r="DY639" t="b">
        <f t="shared" si="1228"/>
        <v>0</v>
      </c>
      <c r="DZ639" t="b">
        <f t="shared" si="1229"/>
        <v>0</v>
      </c>
      <c r="EA639" t="b">
        <f t="shared" si="1230"/>
        <v>0</v>
      </c>
      <c r="EB639" t="b">
        <f t="shared" si="1231"/>
        <v>0</v>
      </c>
      <c r="EC639" t="b">
        <f t="shared" si="1232"/>
        <v>0</v>
      </c>
      <c r="ED639" t="b">
        <f t="shared" si="1233"/>
        <v>0</v>
      </c>
      <c r="EE639" t="b">
        <f t="shared" si="1234"/>
        <v>0</v>
      </c>
      <c r="EF639" t="b">
        <f t="shared" si="1235"/>
        <v>0</v>
      </c>
      <c r="EG639" t="b">
        <f t="shared" si="1236"/>
        <v>0</v>
      </c>
      <c r="EH639" t="b">
        <f t="shared" si="1237"/>
        <v>0</v>
      </c>
      <c r="EI639" t="b">
        <f t="shared" si="1238"/>
        <v>0</v>
      </c>
      <c r="EJ639" t="b">
        <f t="shared" si="1239"/>
        <v>0</v>
      </c>
      <c r="EK639" t="b">
        <f t="shared" si="1240"/>
        <v>0</v>
      </c>
    </row>
    <row r="640" spans="1:141">
      <c r="A640" t="s">
        <v>3200</v>
      </c>
      <c r="B640" t="s">
        <v>3201</v>
      </c>
      <c r="C640" t="s">
        <v>3202</v>
      </c>
      <c r="D640" s="1">
        <v>40898</v>
      </c>
      <c r="E640" s="2">
        <v>43657.271898148145</v>
      </c>
      <c r="F640" s="2">
        <v>43657.271898148145</v>
      </c>
      <c r="G640">
        <v>5024908</v>
      </c>
      <c r="H640" t="s">
        <v>3203</v>
      </c>
      <c r="I640" s="10" t="s">
        <v>3204</v>
      </c>
      <c r="J640" t="s">
        <v>147</v>
      </c>
      <c r="K640" s="8" t="b">
        <v>0</v>
      </c>
      <c r="L640" s="10" t="b">
        <v>0</v>
      </c>
      <c r="M640" s="12" t="b">
        <v>1</v>
      </c>
      <c r="N640" t="b">
        <v>0</v>
      </c>
      <c r="O640" t="b">
        <v>0</v>
      </c>
      <c r="P640" t="b">
        <v>0</v>
      </c>
      <c r="Q640">
        <f t="shared" si="1117"/>
        <v>4</v>
      </c>
      <c r="R640">
        <f t="shared" si="1118"/>
        <v>12</v>
      </c>
      <c r="S640" t="e">
        <f t="shared" ca="1" si="1148"/>
        <v>#NAME?</v>
      </c>
      <c r="T640" t="e">
        <f t="shared" ca="1" si="1119"/>
        <v>#NAME?</v>
      </c>
      <c r="U640" s="4">
        <f t="shared" si="1120"/>
        <v>2759.2718981481448</v>
      </c>
      <c r="V640" s="4">
        <f t="shared" si="1121"/>
        <v>91.975729938271499</v>
      </c>
      <c r="W640" s="4">
        <f t="shared" si="1122"/>
        <v>0</v>
      </c>
      <c r="X640" s="4">
        <f t="shared" si="1123"/>
        <v>0</v>
      </c>
      <c r="Y640" s="4">
        <f t="shared" si="1124"/>
        <v>1</v>
      </c>
      <c r="Z640" s="4">
        <f t="shared" si="1125"/>
        <v>0</v>
      </c>
      <c r="AA640" s="4">
        <f t="shared" si="1126"/>
        <v>0</v>
      </c>
      <c r="AB640" s="4">
        <f t="shared" si="1127"/>
        <v>0</v>
      </c>
      <c r="AD640" s="4" t="b">
        <f t="shared" si="1128"/>
        <v>0</v>
      </c>
      <c r="AE640" s="4" t="b">
        <f t="shared" si="1129"/>
        <v>0</v>
      </c>
      <c r="AF640" s="4" t="b">
        <f t="shared" si="1130"/>
        <v>0</v>
      </c>
      <c r="AG640" t="b">
        <f t="shared" si="1131"/>
        <v>0</v>
      </c>
      <c r="AH640" t="b">
        <f t="shared" si="1132"/>
        <v>0</v>
      </c>
      <c r="AI640" t="b">
        <f t="shared" si="1133"/>
        <v>0</v>
      </c>
      <c r="AJ640" t="b">
        <f t="shared" si="1134"/>
        <v>0</v>
      </c>
      <c r="AK640" t="b">
        <f t="shared" si="1135"/>
        <v>0</v>
      </c>
      <c r="AL640" t="b">
        <f t="shared" si="1136"/>
        <v>0</v>
      </c>
      <c r="AM640" t="b">
        <f t="shared" si="1137"/>
        <v>0</v>
      </c>
      <c r="AN640" t="b">
        <f t="shared" si="1138"/>
        <v>0</v>
      </c>
      <c r="AO640" t="b">
        <f t="shared" si="1139"/>
        <v>0</v>
      </c>
      <c r="AP640" t="b">
        <f t="shared" si="1140"/>
        <v>0</v>
      </c>
      <c r="AQ640" t="b">
        <f t="shared" si="1141"/>
        <v>0</v>
      </c>
      <c r="AR640" t="b">
        <f t="shared" si="1142"/>
        <v>0</v>
      </c>
      <c r="AS640" t="b">
        <f t="shared" si="1143"/>
        <v>0</v>
      </c>
      <c r="AT640" t="b">
        <f t="shared" si="1144"/>
        <v>0</v>
      </c>
      <c r="AU640" t="b">
        <f t="shared" si="1145"/>
        <v>0</v>
      </c>
      <c r="AV640" t="b">
        <f t="shared" si="1146"/>
        <v>0</v>
      </c>
      <c r="AW640" t="b">
        <f t="shared" si="1147"/>
        <v>0</v>
      </c>
      <c r="AX640" t="b">
        <f t="shared" si="1149"/>
        <v>0</v>
      </c>
      <c r="AY640" t="b">
        <f t="shared" si="1150"/>
        <v>0</v>
      </c>
      <c r="AZ640" t="b">
        <f t="shared" si="1151"/>
        <v>0</v>
      </c>
      <c r="BA640" t="b">
        <f t="shared" si="1152"/>
        <v>0</v>
      </c>
      <c r="BB640" t="b">
        <f t="shared" si="1153"/>
        <v>0</v>
      </c>
      <c r="BC640" t="b">
        <f t="shared" si="1154"/>
        <v>0</v>
      </c>
      <c r="BD640" t="b">
        <f t="shared" si="1155"/>
        <v>0</v>
      </c>
      <c r="BE640" t="b">
        <f t="shared" si="1156"/>
        <v>0</v>
      </c>
      <c r="BF640" t="b">
        <f t="shared" si="1157"/>
        <v>0</v>
      </c>
      <c r="BG640" t="b">
        <f t="shared" si="1158"/>
        <v>0</v>
      </c>
      <c r="BH640" t="b">
        <f t="shared" si="1159"/>
        <v>0</v>
      </c>
      <c r="BI640">
        <f t="shared" si="1160"/>
        <v>1</v>
      </c>
      <c r="BJ640" t="b">
        <f t="shared" si="1161"/>
        <v>0</v>
      </c>
      <c r="BK640" t="b">
        <f t="shared" si="1162"/>
        <v>0</v>
      </c>
      <c r="BL640" t="b">
        <f t="shared" si="1163"/>
        <v>0</v>
      </c>
      <c r="BM640" t="b">
        <f t="shared" si="1164"/>
        <v>0</v>
      </c>
      <c r="BN640" t="b">
        <f t="shared" si="1165"/>
        <v>0</v>
      </c>
      <c r="BO640" t="b">
        <f t="shared" si="1166"/>
        <v>0</v>
      </c>
      <c r="BP640" t="b">
        <f t="shared" si="1167"/>
        <v>0</v>
      </c>
      <c r="BQ640" t="b">
        <f t="shared" si="1168"/>
        <v>0</v>
      </c>
      <c r="BR640" t="b">
        <f t="shared" si="1169"/>
        <v>0</v>
      </c>
      <c r="BS640" t="b">
        <f t="shared" si="1170"/>
        <v>0</v>
      </c>
      <c r="BT640" t="b">
        <f t="shared" si="1171"/>
        <v>0</v>
      </c>
      <c r="BU640" t="b">
        <f t="shared" si="1172"/>
        <v>0</v>
      </c>
      <c r="BV640" t="b">
        <f t="shared" si="1173"/>
        <v>0</v>
      </c>
      <c r="BW640" t="b">
        <f t="shared" si="1174"/>
        <v>0</v>
      </c>
      <c r="BX640" t="b">
        <f t="shared" si="1175"/>
        <v>0</v>
      </c>
      <c r="BY640" t="b">
        <f t="shared" si="1176"/>
        <v>0</v>
      </c>
      <c r="BZ640" t="b">
        <f t="shared" si="1177"/>
        <v>0</v>
      </c>
      <c r="CA640" t="b">
        <f t="shared" si="1178"/>
        <v>0</v>
      </c>
      <c r="CB640" t="b">
        <f t="shared" si="1179"/>
        <v>0</v>
      </c>
      <c r="CC640" t="b">
        <f t="shared" si="1180"/>
        <v>0</v>
      </c>
      <c r="CD640" t="b">
        <f t="shared" si="1181"/>
        <v>0</v>
      </c>
      <c r="CE640" t="b">
        <f t="shared" si="1182"/>
        <v>0</v>
      </c>
      <c r="CF640" t="b">
        <f t="shared" si="1183"/>
        <v>0</v>
      </c>
      <c r="CG640" t="b">
        <f t="shared" si="1184"/>
        <v>0</v>
      </c>
      <c r="CH640" t="b">
        <f t="shared" si="1185"/>
        <v>0</v>
      </c>
      <c r="CI640" t="b">
        <f t="shared" si="1186"/>
        <v>0</v>
      </c>
      <c r="CJ640" t="b">
        <f t="shared" si="1187"/>
        <v>0</v>
      </c>
      <c r="CK640" t="b">
        <f t="shared" si="1188"/>
        <v>0</v>
      </c>
      <c r="CL640" t="b">
        <f t="shared" si="1189"/>
        <v>0</v>
      </c>
      <c r="CM640" t="b">
        <f t="shared" si="1190"/>
        <v>0</v>
      </c>
      <c r="CN640" t="b">
        <f t="shared" si="1191"/>
        <v>0</v>
      </c>
      <c r="CO640" t="b">
        <f t="shared" si="1192"/>
        <v>0</v>
      </c>
      <c r="CP640" t="b">
        <f t="shared" si="1193"/>
        <v>0</v>
      </c>
      <c r="CQ640" t="b">
        <f t="shared" si="1194"/>
        <v>0</v>
      </c>
      <c r="CR640" t="b">
        <f t="shared" si="1195"/>
        <v>0</v>
      </c>
      <c r="CS640" t="b">
        <f t="shared" si="1196"/>
        <v>0</v>
      </c>
      <c r="CT640" t="b">
        <f t="shared" si="1197"/>
        <v>0</v>
      </c>
      <c r="CU640" t="b">
        <f t="shared" si="1198"/>
        <v>0</v>
      </c>
      <c r="CV640">
        <f t="shared" si="1199"/>
        <v>1</v>
      </c>
      <c r="CW640" t="b">
        <f t="shared" si="1200"/>
        <v>0</v>
      </c>
      <c r="CX640" t="b">
        <f t="shared" si="1201"/>
        <v>0</v>
      </c>
      <c r="CY640" t="b">
        <f t="shared" si="1202"/>
        <v>0</v>
      </c>
      <c r="CZ640" t="b">
        <f t="shared" si="1203"/>
        <v>0</v>
      </c>
      <c r="DA640" t="b">
        <f t="shared" si="1204"/>
        <v>0</v>
      </c>
      <c r="DB640" t="b">
        <f t="shared" si="1205"/>
        <v>0</v>
      </c>
      <c r="DC640" t="b">
        <f t="shared" si="1206"/>
        <v>0</v>
      </c>
      <c r="DD640" t="b">
        <f t="shared" si="1207"/>
        <v>0</v>
      </c>
      <c r="DE640" t="b">
        <f t="shared" si="1208"/>
        <v>0</v>
      </c>
      <c r="DF640" t="b">
        <f t="shared" si="1209"/>
        <v>0</v>
      </c>
      <c r="DG640" t="b">
        <f t="shared" si="1210"/>
        <v>0</v>
      </c>
      <c r="DH640" t="b">
        <f t="shared" si="1211"/>
        <v>0</v>
      </c>
      <c r="DI640" t="b">
        <f t="shared" si="1212"/>
        <v>0</v>
      </c>
      <c r="DJ640" t="b">
        <f t="shared" si="1213"/>
        <v>0</v>
      </c>
      <c r="DK640" t="b">
        <f t="shared" si="1214"/>
        <v>0</v>
      </c>
      <c r="DL640" t="b">
        <f t="shared" si="1215"/>
        <v>0</v>
      </c>
      <c r="DM640" t="b">
        <f t="shared" si="1216"/>
        <v>0</v>
      </c>
      <c r="DN640" t="b">
        <f t="shared" si="1217"/>
        <v>0</v>
      </c>
      <c r="DO640" t="b">
        <f t="shared" si="1218"/>
        <v>0</v>
      </c>
      <c r="DP640" t="b">
        <f t="shared" si="1219"/>
        <v>0</v>
      </c>
      <c r="DQ640" t="b">
        <f t="shared" si="1220"/>
        <v>0</v>
      </c>
      <c r="DR640" t="b">
        <f t="shared" si="1221"/>
        <v>0</v>
      </c>
      <c r="DS640" t="b">
        <f t="shared" si="1222"/>
        <v>0</v>
      </c>
      <c r="DT640" t="b">
        <f t="shared" si="1223"/>
        <v>0</v>
      </c>
      <c r="DU640" t="b">
        <f t="shared" si="1224"/>
        <v>0</v>
      </c>
      <c r="DV640" t="b">
        <f t="shared" si="1225"/>
        <v>0</v>
      </c>
      <c r="DW640" t="b">
        <f t="shared" si="1226"/>
        <v>0</v>
      </c>
      <c r="DX640" t="b">
        <f t="shared" si="1227"/>
        <v>0</v>
      </c>
      <c r="DY640" t="b">
        <f t="shared" si="1228"/>
        <v>0</v>
      </c>
      <c r="DZ640" t="b">
        <f t="shared" si="1229"/>
        <v>0</v>
      </c>
      <c r="EA640" t="b">
        <f t="shared" si="1230"/>
        <v>0</v>
      </c>
      <c r="EB640" t="b">
        <f t="shared" si="1231"/>
        <v>0</v>
      </c>
      <c r="EC640" t="b">
        <f t="shared" si="1232"/>
        <v>0</v>
      </c>
      <c r="ED640" t="b">
        <f t="shared" si="1233"/>
        <v>0</v>
      </c>
      <c r="EE640" t="b">
        <f t="shared" si="1234"/>
        <v>0</v>
      </c>
      <c r="EF640" t="b">
        <f t="shared" si="1235"/>
        <v>0</v>
      </c>
      <c r="EG640" t="b">
        <f t="shared" si="1236"/>
        <v>0</v>
      </c>
      <c r="EH640" t="b">
        <f t="shared" si="1237"/>
        <v>0</v>
      </c>
      <c r="EI640" t="b">
        <f t="shared" si="1238"/>
        <v>0</v>
      </c>
      <c r="EJ640" t="b">
        <f t="shared" si="1239"/>
        <v>0</v>
      </c>
      <c r="EK640" t="b">
        <f t="shared" si="1240"/>
        <v>0</v>
      </c>
    </row>
    <row r="641" spans="1:141">
      <c r="A641" t="s">
        <v>3205</v>
      </c>
      <c r="B641" t="s">
        <v>3205</v>
      </c>
      <c r="C641" t="s">
        <v>3206</v>
      </c>
      <c r="D641" s="1">
        <v>42872</v>
      </c>
      <c r="E641" s="2">
        <v>42982.879699074074</v>
      </c>
      <c r="F641" s="2">
        <v>42982.879699074074</v>
      </c>
      <c r="G641">
        <v>16472873</v>
      </c>
      <c r="H641" t="s">
        <v>3207</v>
      </c>
      <c r="I641" s="10" t="s">
        <v>3208</v>
      </c>
      <c r="J641" t="s">
        <v>156</v>
      </c>
      <c r="K641" s="8" t="b">
        <v>1</v>
      </c>
      <c r="L641" s="10" t="b">
        <v>0</v>
      </c>
      <c r="M641" s="12" t="b">
        <v>0</v>
      </c>
      <c r="N641" t="b">
        <v>0</v>
      </c>
      <c r="O641" t="b">
        <v>0</v>
      </c>
      <c r="P641" t="b">
        <v>0</v>
      </c>
      <c r="Q641">
        <f t="shared" si="1117"/>
        <v>4</v>
      </c>
      <c r="R641">
        <f t="shared" si="1118"/>
        <v>5</v>
      </c>
      <c r="S641" t="e">
        <f t="shared" ca="1" si="1148"/>
        <v>#NAME?</v>
      </c>
      <c r="T641" t="e">
        <f t="shared" ca="1" si="1119"/>
        <v>#NAME?</v>
      </c>
      <c r="U641" s="4">
        <f t="shared" si="1120"/>
        <v>110.87969907407387</v>
      </c>
      <c r="V641" s="4">
        <f t="shared" si="1121"/>
        <v>3.6959899691357956</v>
      </c>
      <c r="W641" s="4">
        <f t="shared" si="1122"/>
        <v>1</v>
      </c>
      <c r="X641" s="4">
        <f t="shared" si="1123"/>
        <v>0</v>
      </c>
      <c r="Y641" s="4">
        <f t="shared" si="1124"/>
        <v>0</v>
      </c>
      <c r="Z641" s="4">
        <f t="shared" si="1125"/>
        <v>0</v>
      </c>
      <c r="AA641" s="4">
        <f t="shared" si="1126"/>
        <v>0</v>
      </c>
      <c r="AB641" s="4">
        <f t="shared" si="1127"/>
        <v>0</v>
      </c>
      <c r="AD641" s="4" t="b">
        <f t="shared" si="1128"/>
        <v>0</v>
      </c>
      <c r="AE641" s="4" t="b">
        <f t="shared" si="1129"/>
        <v>0</v>
      </c>
      <c r="AF641" s="4" t="b">
        <f t="shared" si="1130"/>
        <v>0</v>
      </c>
      <c r="AG641" t="b">
        <f t="shared" si="1131"/>
        <v>0</v>
      </c>
      <c r="AH641" t="b">
        <f t="shared" si="1132"/>
        <v>0</v>
      </c>
      <c r="AI641" t="b">
        <f t="shared" si="1133"/>
        <v>0</v>
      </c>
      <c r="AJ641" t="b">
        <f t="shared" si="1134"/>
        <v>0</v>
      </c>
      <c r="AK641" t="b">
        <f t="shared" si="1135"/>
        <v>0</v>
      </c>
      <c r="AL641" t="b">
        <f t="shared" si="1136"/>
        <v>0</v>
      </c>
      <c r="AM641" t="b">
        <f t="shared" si="1137"/>
        <v>0</v>
      </c>
      <c r="AN641" t="b">
        <f t="shared" si="1138"/>
        <v>0</v>
      </c>
      <c r="AO641" t="b">
        <f t="shared" si="1139"/>
        <v>0</v>
      </c>
      <c r="AP641" t="b">
        <f t="shared" si="1140"/>
        <v>0</v>
      </c>
      <c r="AQ641" t="b">
        <f t="shared" si="1141"/>
        <v>0</v>
      </c>
      <c r="AR641" t="b">
        <f t="shared" si="1142"/>
        <v>0</v>
      </c>
      <c r="AS641" t="b">
        <f t="shared" si="1143"/>
        <v>0</v>
      </c>
      <c r="AT641" t="b">
        <f t="shared" si="1144"/>
        <v>0</v>
      </c>
      <c r="AU641" t="b">
        <f t="shared" si="1145"/>
        <v>0</v>
      </c>
      <c r="AV641" t="b">
        <f t="shared" si="1146"/>
        <v>0</v>
      </c>
      <c r="AW641" t="b">
        <f t="shared" si="1147"/>
        <v>0</v>
      </c>
      <c r="AX641" t="b">
        <f t="shared" si="1149"/>
        <v>0</v>
      </c>
      <c r="AY641" t="b">
        <f t="shared" si="1150"/>
        <v>0</v>
      </c>
      <c r="AZ641" t="b">
        <f t="shared" si="1151"/>
        <v>0</v>
      </c>
      <c r="BA641" t="b">
        <f t="shared" si="1152"/>
        <v>0</v>
      </c>
      <c r="BB641" t="b">
        <f t="shared" si="1153"/>
        <v>0</v>
      </c>
      <c r="BC641" t="b">
        <f t="shared" si="1154"/>
        <v>0</v>
      </c>
      <c r="BD641" t="b">
        <f t="shared" si="1155"/>
        <v>0</v>
      </c>
      <c r="BE641" t="b">
        <f t="shared" si="1156"/>
        <v>0</v>
      </c>
      <c r="BF641" t="b">
        <f t="shared" si="1157"/>
        <v>0</v>
      </c>
      <c r="BG641" t="b">
        <f t="shared" si="1158"/>
        <v>0</v>
      </c>
      <c r="BH641" t="b">
        <f t="shared" si="1159"/>
        <v>0</v>
      </c>
      <c r="BI641">
        <f t="shared" si="1160"/>
        <v>1</v>
      </c>
      <c r="BJ641" t="b">
        <f t="shared" si="1161"/>
        <v>0</v>
      </c>
      <c r="BK641" t="b">
        <f t="shared" si="1162"/>
        <v>0</v>
      </c>
      <c r="BL641" t="b">
        <f t="shared" si="1163"/>
        <v>0</v>
      </c>
      <c r="BM641" t="b">
        <f t="shared" si="1164"/>
        <v>0</v>
      </c>
      <c r="BN641" t="b">
        <f t="shared" si="1165"/>
        <v>0</v>
      </c>
      <c r="BO641" t="b">
        <f t="shared" si="1166"/>
        <v>0</v>
      </c>
      <c r="BP641" t="b">
        <f t="shared" si="1167"/>
        <v>0</v>
      </c>
      <c r="BQ641" t="b">
        <f t="shared" si="1168"/>
        <v>0</v>
      </c>
      <c r="BR641" t="b">
        <f t="shared" si="1169"/>
        <v>0</v>
      </c>
      <c r="BS641" t="b">
        <f t="shared" si="1170"/>
        <v>0</v>
      </c>
      <c r="BT641" t="b">
        <f t="shared" si="1171"/>
        <v>0</v>
      </c>
      <c r="BU641" t="b">
        <f t="shared" si="1172"/>
        <v>0</v>
      </c>
      <c r="BV641" t="b">
        <f t="shared" si="1173"/>
        <v>0</v>
      </c>
      <c r="BW641" t="b">
        <f t="shared" si="1174"/>
        <v>0</v>
      </c>
      <c r="BX641" t="b">
        <f t="shared" si="1175"/>
        <v>0</v>
      </c>
      <c r="BY641" t="b">
        <f t="shared" si="1176"/>
        <v>0</v>
      </c>
      <c r="BZ641" t="b">
        <f t="shared" si="1177"/>
        <v>0</v>
      </c>
      <c r="CA641" t="b">
        <f t="shared" si="1178"/>
        <v>0</v>
      </c>
      <c r="CB641" t="b">
        <f t="shared" si="1179"/>
        <v>0</v>
      </c>
      <c r="CC641" t="b">
        <f t="shared" si="1180"/>
        <v>0</v>
      </c>
      <c r="CD641" t="b">
        <f t="shared" si="1181"/>
        <v>0</v>
      </c>
      <c r="CE641" t="b">
        <f t="shared" si="1182"/>
        <v>0</v>
      </c>
      <c r="CF641" t="b">
        <f t="shared" si="1183"/>
        <v>0</v>
      </c>
      <c r="CG641" t="b">
        <f t="shared" si="1184"/>
        <v>0</v>
      </c>
      <c r="CH641" t="b">
        <f t="shared" si="1185"/>
        <v>0</v>
      </c>
      <c r="CI641" t="b">
        <f t="shared" si="1186"/>
        <v>0</v>
      </c>
      <c r="CJ641" t="b">
        <f t="shared" si="1187"/>
        <v>0</v>
      </c>
      <c r="CK641" t="b">
        <f t="shared" si="1188"/>
        <v>0</v>
      </c>
      <c r="CL641" t="b">
        <f t="shared" si="1189"/>
        <v>0</v>
      </c>
      <c r="CM641" t="b">
        <f t="shared" si="1190"/>
        <v>0</v>
      </c>
      <c r="CN641" t="b">
        <f t="shared" si="1191"/>
        <v>0</v>
      </c>
      <c r="CO641" t="b">
        <f t="shared" si="1192"/>
        <v>0</v>
      </c>
      <c r="CP641" t="b">
        <f t="shared" si="1193"/>
        <v>0</v>
      </c>
      <c r="CQ641" t="b">
        <f t="shared" si="1194"/>
        <v>0</v>
      </c>
      <c r="CR641" t="b">
        <f t="shared" si="1195"/>
        <v>0</v>
      </c>
      <c r="CS641" t="b">
        <f t="shared" si="1196"/>
        <v>0</v>
      </c>
      <c r="CT641" t="b">
        <f t="shared" si="1197"/>
        <v>0</v>
      </c>
      <c r="CU641" t="b">
        <f t="shared" si="1198"/>
        <v>0</v>
      </c>
      <c r="CV641">
        <f t="shared" si="1199"/>
        <v>1</v>
      </c>
      <c r="CW641" t="b">
        <f t="shared" si="1200"/>
        <v>0</v>
      </c>
      <c r="CX641" t="b">
        <f t="shared" si="1201"/>
        <v>0</v>
      </c>
      <c r="CY641" t="b">
        <f t="shared" si="1202"/>
        <v>0</v>
      </c>
      <c r="CZ641" t="b">
        <f t="shared" si="1203"/>
        <v>0</v>
      </c>
      <c r="DA641" t="b">
        <f t="shared" si="1204"/>
        <v>0</v>
      </c>
      <c r="DB641" t="b">
        <f t="shared" si="1205"/>
        <v>0</v>
      </c>
      <c r="DC641" t="b">
        <f t="shared" si="1206"/>
        <v>0</v>
      </c>
      <c r="DD641" t="b">
        <f t="shared" si="1207"/>
        <v>0</v>
      </c>
      <c r="DE641" t="b">
        <f t="shared" si="1208"/>
        <v>0</v>
      </c>
      <c r="DF641" t="b">
        <f t="shared" si="1209"/>
        <v>0</v>
      </c>
      <c r="DG641" t="b">
        <f t="shared" si="1210"/>
        <v>0</v>
      </c>
      <c r="DH641" t="b">
        <f t="shared" si="1211"/>
        <v>0</v>
      </c>
      <c r="DI641" t="b">
        <f t="shared" si="1212"/>
        <v>0</v>
      </c>
      <c r="DJ641" t="b">
        <f t="shared" si="1213"/>
        <v>0</v>
      </c>
      <c r="DK641" t="b">
        <f t="shared" si="1214"/>
        <v>0</v>
      </c>
      <c r="DL641" t="b">
        <f t="shared" si="1215"/>
        <v>0</v>
      </c>
      <c r="DM641" t="b">
        <f t="shared" si="1216"/>
        <v>0</v>
      </c>
      <c r="DN641" t="b">
        <f t="shared" si="1217"/>
        <v>0</v>
      </c>
      <c r="DO641" t="b">
        <f t="shared" si="1218"/>
        <v>0</v>
      </c>
      <c r="DP641" t="b">
        <f t="shared" si="1219"/>
        <v>0</v>
      </c>
      <c r="DQ641" t="b">
        <f t="shared" si="1220"/>
        <v>0</v>
      </c>
      <c r="DR641" t="b">
        <f t="shared" si="1221"/>
        <v>0</v>
      </c>
      <c r="DS641" t="b">
        <f t="shared" si="1222"/>
        <v>0</v>
      </c>
      <c r="DT641" t="b">
        <f t="shared" si="1223"/>
        <v>0</v>
      </c>
      <c r="DU641" t="b">
        <f t="shared" si="1224"/>
        <v>0</v>
      </c>
      <c r="DV641" t="b">
        <f t="shared" si="1225"/>
        <v>0</v>
      </c>
      <c r="DW641" t="b">
        <f t="shared" si="1226"/>
        <v>0</v>
      </c>
      <c r="DX641" t="b">
        <f t="shared" si="1227"/>
        <v>0</v>
      </c>
      <c r="DY641" t="b">
        <f t="shared" si="1228"/>
        <v>0</v>
      </c>
      <c r="DZ641" t="b">
        <f t="shared" si="1229"/>
        <v>0</v>
      </c>
      <c r="EA641" t="b">
        <f t="shared" si="1230"/>
        <v>0</v>
      </c>
      <c r="EB641" t="b">
        <f t="shared" si="1231"/>
        <v>0</v>
      </c>
      <c r="EC641" t="b">
        <f t="shared" si="1232"/>
        <v>0</v>
      </c>
      <c r="ED641" t="b">
        <f t="shared" si="1233"/>
        <v>0</v>
      </c>
      <c r="EE641" t="b">
        <f t="shared" si="1234"/>
        <v>0</v>
      </c>
      <c r="EF641">
        <f t="shared" si="1235"/>
        <v>1</v>
      </c>
      <c r="EG641" t="b">
        <f t="shared" si="1236"/>
        <v>0</v>
      </c>
      <c r="EH641" t="b">
        <f t="shared" si="1237"/>
        <v>0</v>
      </c>
      <c r="EI641" t="b">
        <f t="shared" si="1238"/>
        <v>0</v>
      </c>
      <c r="EJ641" t="b">
        <f t="shared" si="1239"/>
        <v>0</v>
      </c>
      <c r="EK641" t="b">
        <f t="shared" si="1240"/>
        <v>0</v>
      </c>
    </row>
    <row r="642" spans="1:141">
      <c r="A642" t="s">
        <v>3209</v>
      </c>
      <c r="B642" t="s">
        <v>3209</v>
      </c>
      <c r="C642" t="s">
        <v>3210</v>
      </c>
      <c r="D642" s="1">
        <v>43282</v>
      </c>
      <c r="E642" s="2">
        <v>43987.123217592591</v>
      </c>
      <c r="F642" s="2">
        <v>43987.123217592591</v>
      </c>
      <c r="G642">
        <v>3589795</v>
      </c>
      <c r="H642" t="s">
        <v>3211</v>
      </c>
      <c r="I642" s="10" t="s">
        <v>3212</v>
      </c>
      <c r="J642" t="s">
        <v>2584</v>
      </c>
      <c r="K642" s="8" t="b">
        <v>1</v>
      </c>
      <c r="L642" s="10" t="b">
        <v>0</v>
      </c>
      <c r="M642" s="12" t="b">
        <v>0</v>
      </c>
      <c r="N642" t="b">
        <v>0</v>
      </c>
      <c r="O642" t="b">
        <v>0</v>
      </c>
      <c r="P642" t="b">
        <v>0</v>
      </c>
      <c r="Q642">
        <f t="shared" ref="Q642:Q650" si="1241">WEEKDAY(D642)</f>
        <v>1</v>
      </c>
      <c r="R642">
        <f t="shared" ref="R642:R650" si="1242">MONTH(D642)</f>
        <v>7</v>
      </c>
      <c r="S642" t="e">
        <f t="shared" ca="1" si="1148"/>
        <v>#NAME?</v>
      </c>
      <c r="T642" t="e">
        <f t="shared" ref="T642:T650" ca="1" si="1243">WhoIsName(C642)</f>
        <v>#NAME?</v>
      </c>
      <c r="U642" s="4">
        <f t="shared" ref="U642:U650" si="1244">E642-D642</f>
        <v>705.12321759259066</v>
      </c>
      <c r="V642" s="4">
        <f t="shared" ref="V642:V650" si="1245">U642/30</f>
        <v>23.504107253086357</v>
      </c>
      <c r="W642" s="4">
        <f t="shared" ref="W642:W650" si="1246">IF(K642=TRUE,1,0)</f>
        <v>1</v>
      </c>
      <c r="X642" s="4">
        <f t="shared" ref="X642:X650" si="1247">IF(L642=TRUE,1,0)</f>
        <v>0</v>
      </c>
      <c r="Y642" s="4">
        <f t="shared" ref="Y642:Y650" si="1248">IF(M642=TRUE,1,0)</f>
        <v>0</v>
      </c>
      <c r="Z642" s="4">
        <f t="shared" ref="Z642:Z650" si="1249">IF(N642=TRUE,1,0)</f>
        <v>0</v>
      </c>
      <c r="AA642" s="4">
        <f t="shared" ref="AA642:AA650" si="1250">IF(O642=TRUE,1,0)</f>
        <v>0</v>
      </c>
      <c r="AB642" s="4">
        <f t="shared" ref="AB642:AB650" si="1251">IF(P642=TRUE,1,0)</f>
        <v>0</v>
      </c>
      <c r="AD642" s="4" t="b">
        <f t="shared" ref="AD642:AD650" si="1252">IFERROR(IF(SEARCH("'Account balances'",J642),1,0),FALSE)</f>
        <v>0</v>
      </c>
      <c r="AE642" s="4" t="b">
        <f t="shared" ref="AE642:AE650" si="1253">IFERROR(IF(SEARCH( "'Address book contacts'", J642),1,0),FALSE)</f>
        <v>0</v>
      </c>
      <c r="AF642" s="4" t="b">
        <f t="shared" ref="AF642:AF650" si="1254">IFERROR(IF(SEARCH( "'Age groups'", J642),1,0),FALSE)</f>
        <v>0</v>
      </c>
      <c r="AG642" t="b">
        <f t="shared" ref="AG642:AG650" si="1255">IFERROR(IF(SEARCH( "'Apps installed on devices'", J642),1,0),FALSE)</f>
        <v>0</v>
      </c>
      <c r="AH642" t="b">
        <f t="shared" ref="AH642:AH650" si="1256">IFERROR(IF(SEARCH( "'Astrological signs'", J642),1,0),FALSE)</f>
        <v>0</v>
      </c>
      <c r="AI642" t="b">
        <f t="shared" ref="AI642:AI650" si="1257">IFERROR(IF(SEARCH( "'Auth tokens'", J642),1,0),FALSE)</f>
        <v>0</v>
      </c>
      <c r="AJ642" t="b">
        <f t="shared" ref="AJ642:AJ650" si="1258">IFERROR(IF(SEARCH( "'Avatars'", J642),1,0),FALSE)</f>
        <v>0</v>
      </c>
      <c r="AK642" t="b">
        <f t="shared" ref="AK642:AK650" si="1259">IFERROR(IF(SEARCH( "'Bank account numbers'", J642),1,0),FALSE)</f>
        <v>0</v>
      </c>
      <c r="AL642" t="b">
        <f t="shared" ref="AL642:AL650" si="1260">IFERROR(IF(SEARCH( "'Beauty ratings'", J642),1,0),FALSE)</f>
        <v>0</v>
      </c>
      <c r="AM642" t="b">
        <f t="shared" ref="AM642:AM650" si="1261">IFERROR(IF(SEARCH( "'Biometric data'", J642),1,0),FALSE)</f>
        <v>0</v>
      </c>
      <c r="AN642" t="b">
        <f t="shared" ref="AN642:AN650" si="1262">IFERROR(IF(SEARCH( "'Bios'", J642),1,0),FALSE)</f>
        <v>0</v>
      </c>
      <c r="AO642" t="b">
        <f t="shared" ref="AO642:AO650" si="1263">IFERROR(IF(SEARCH( "'Browser user agent details' ", J642),1,0),FALSE)</f>
        <v>0</v>
      </c>
      <c r="AP642" t="b">
        <f t="shared" ref="AP642:AP650" si="1264">IFERROR(IF(SEARCH( "'Buying preferences'", J642),1,0),FALSE)</f>
        <v>0</v>
      </c>
      <c r="AQ642" t="b">
        <f t="shared" ref="AQ642:AQ650" si="1265">IFERROR(IF(SEARCH( "'Car ownership statuses'", J642),1,0),FALSE)</f>
        <v>0</v>
      </c>
      <c r="AR642" t="b">
        <f t="shared" ref="AR642:AR650" si="1266">IFERROR(IF(SEARCH( "'Cellular network names'", J642),1,0),FALSE)</f>
        <v>0</v>
      </c>
      <c r="AS642" t="b">
        <f t="shared" ref="AS642:AS650" si="1267">IFERROR(IF(SEARCH( "'Charitable donations'", J642),1,0),FALSE)</f>
        <v>0</v>
      </c>
      <c r="AT642" t="b">
        <f t="shared" ref="AT642:AT650" si="1268">IFERROR(IF(SEARCH( "'Chat logs'", J642),1,0),FALSE)</f>
        <v>0</v>
      </c>
      <c r="AU642" t="b">
        <f t="shared" ref="AU642:AU650" si="1269">IFERROR(IF(SEARCH( "'Credit card CVV'", J642),1,0),FALSE)</f>
        <v>0</v>
      </c>
      <c r="AV642" t="b">
        <f t="shared" ref="AV642:AV650" si="1270">IFERROR(IF(SEARCH( "'Credit cards'", J642),1,0),FALSE)</f>
        <v>0</v>
      </c>
      <c r="AW642" t="b">
        <f t="shared" ref="AW642:AW650" si="1271">IFERROR(IF(SEARCH( "'Credit status information'", J642),1,0),FALSE)</f>
        <v>0</v>
      </c>
      <c r="AX642" t="b">
        <f t="shared" si="1149"/>
        <v>0</v>
      </c>
      <c r="AY642" t="b">
        <f t="shared" si="1150"/>
        <v>0</v>
      </c>
      <c r="AZ642" t="b">
        <f t="shared" si="1151"/>
        <v>0</v>
      </c>
      <c r="BA642" t="b">
        <f t="shared" si="1152"/>
        <v>0</v>
      </c>
      <c r="BB642" t="b">
        <f t="shared" si="1153"/>
        <v>0</v>
      </c>
      <c r="BC642" t="b">
        <f t="shared" si="1154"/>
        <v>0</v>
      </c>
      <c r="BD642" t="b">
        <f t="shared" si="1155"/>
        <v>0</v>
      </c>
      <c r="BE642" t="b">
        <f t="shared" si="1156"/>
        <v>0</v>
      </c>
      <c r="BF642" t="b">
        <f t="shared" si="1157"/>
        <v>0</v>
      </c>
      <c r="BG642" t="b">
        <f t="shared" si="1158"/>
        <v>0</v>
      </c>
      <c r="BH642" t="b">
        <f t="shared" si="1159"/>
        <v>0</v>
      </c>
      <c r="BI642">
        <f t="shared" si="1160"/>
        <v>1</v>
      </c>
      <c r="BJ642" t="b">
        <f t="shared" si="1161"/>
        <v>0</v>
      </c>
      <c r="BK642" t="b">
        <f t="shared" si="1162"/>
        <v>0</v>
      </c>
      <c r="BL642" t="b">
        <f t="shared" si="1163"/>
        <v>0</v>
      </c>
      <c r="BM642" t="b">
        <f t="shared" si="1164"/>
        <v>0</v>
      </c>
      <c r="BN642" t="b">
        <f t="shared" si="1165"/>
        <v>0</v>
      </c>
      <c r="BO642" t="b">
        <f t="shared" si="1166"/>
        <v>0</v>
      </c>
      <c r="BP642" t="b">
        <f t="shared" si="1167"/>
        <v>0</v>
      </c>
      <c r="BQ642" t="b">
        <f t="shared" si="1168"/>
        <v>0</v>
      </c>
      <c r="BR642" t="b">
        <f t="shared" si="1169"/>
        <v>0</v>
      </c>
      <c r="BS642" t="b">
        <f t="shared" si="1170"/>
        <v>0</v>
      </c>
      <c r="BT642" t="b">
        <f t="shared" si="1171"/>
        <v>0</v>
      </c>
      <c r="BU642" t="b">
        <f t="shared" si="1172"/>
        <v>0</v>
      </c>
      <c r="BV642" t="b">
        <f t="shared" si="1173"/>
        <v>0</v>
      </c>
      <c r="BW642" t="b">
        <f t="shared" si="1174"/>
        <v>0</v>
      </c>
      <c r="BX642" t="b">
        <f t="shared" si="1175"/>
        <v>0</v>
      </c>
      <c r="BY642" t="b">
        <f t="shared" si="1176"/>
        <v>0</v>
      </c>
      <c r="BZ642" t="b">
        <f t="shared" si="1177"/>
        <v>0</v>
      </c>
      <c r="CA642" t="b">
        <f t="shared" si="1178"/>
        <v>0</v>
      </c>
      <c r="CB642" t="b">
        <f t="shared" si="1179"/>
        <v>0</v>
      </c>
      <c r="CC642" t="b">
        <f t="shared" si="1180"/>
        <v>0</v>
      </c>
      <c r="CD642" t="b">
        <f t="shared" si="1181"/>
        <v>0</v>
      </c>
      <c r="CE642">
        <f t="shared" si="1182"/>
        <v>1</v>
      </c>
      <c r="CF642" t="b">
        <f t="shared" si="1183"/>
        <v>0</v>
      </c>
      <c r="CG642" t="b">
        <f t="shared" si="1184"/>
        <v>0</v>
      </c>
      <c r="CH642" t="b">
        <f t="shared" si="1185"/>
        <v>0</v>
      </c>
      <c r="CI642" t="b">
        <f t="shared" si="1186"/>
        <v>0</v>
      </c>
      <c r="CJ642" t="b">
        <f t="shared" si="1187"/>
        <v>0</v>
      </c>
      <c r="CK642" t="b">
        <f t="shared" si="1188"/>
        <v>0</v>
      </c>
      <c r="CL642" t="b">
        <f t="shared" si="1189"/>
        <v>0</v>
      </c>
      <c r="CM642">
        <f t="shared" si="1190"/>
        <v>1</v>
      </c>
      <c r="CN642" t="b">
        <f t="shared" si="1191"/>
        <v>0</v>
      </c>
      <c r="CO642" t="b">
        <f t="shared" si="1192"/>
        <v>0</v>
      </c>
      <c r="CP642" t="b">
        <f t="shared" si="1193"/>
        <v>0</v>
      </c>
      <c r="CQ642" t="b">
        <f t="shared" si="1194"/>
        <v>0</v>
      </c>
      <c r="CR642" t="b">
        <f t="shared" si="1195"/>
        <v>0</v>
      </c>
      <c r="CS642" t="b">
        <f t="shared" si="1196"/>
        <v>0</v>
      </c>
      <c r="CT642" t="b">
        <f t="shared" si="1197"/>
        <v>0</v>
      </c>
      <c r="CU642" t="b">
        <f t="shared" si="1198"/>
        <v>0</v>
      </c>
      <c r="CV642">
        <f t="shared" si="1199"/>
        <v>1</v>
      </c>
      <c r="CW642" t="b">
        <f t="shared" si="1200"/>
        <v>0</v>
      </c>
      <c r="CX642" t="b">
        <f t="shared" si="1201"/>
        <v>0</v>
      </c>
      <c r="CY642" t="b">
        <f t="shared" si="1202"/>
        <v>0</v>
      </c>
      <c r="CZ642" t="b">
        <f t="shared" si="1203"/>
        <v>0</v>
      </c>
      <c r="DA642">
        <f t="shared" si="1204"/>
        <v>1</v>
      </c>
      <c r="DB642" t="b">
        <f t="shared" si="1205"/>
        <v>0</v>
      </c>
      <c r="DC642" t="b">
        <f t="shared" si="1206"/>
        <v>0</v>
      </c>
      <c r="DD642" t="b">
        <f t="shared" si="1207"/>
        <v>0</v>
      </c>
      <c r="DE642" t="b">
        <f t="shared" si="1208"/>
        <v>0</v>
      </c>
      <c r="DF642" t="b">
        <f t="shared" si="1209"/>
        <v>0</v>
      </c>
      <c r="DG642" t="b">
        <f t="shared" si="1210"/>
        <v>0</v>
      </c>
      <c r="DH642" t="b">
        <f t="shared" si="1211"/>
        <v>0</v>
      </c>
      <c r="DI642" t="b">
        <f t="shared" si="1212"/>
        <v>0</v>
      </c>
      <c r="DJ642" t="b">
        <f t="shared" si="1213"/>
        <v>0</v>
      </c>
      <c r="DK642" t="b">
        <f t="shared" si="1214"/>
        <v>0</v>
      </c>
      <c r="DL642" t="b">
        <f t="shared" si="1215"/>
        <v>0</v>
      </c>
      <c r="DM642" t="b">
        <f t="shared" si="1216"/>
        <v>0</v>
      </c>
      <c r="DN642" t="b">
        <f t="shared" si="1217"/>
        <v>0</v>
      </c>
      <c r="DO642" t="b">
        <f t="shared" si="1218"/>
        <v>0</v>
      </c>
      <c r="DP642" t="b">
        <f t="shared" si="1219"/>
        <v>0</v>
      </c>
      <c r="DQ642" t="b">
        <f t="shared" si="1220"/>
        <v>0</v>
      </c>
      <c r="DR642" t="b">
        <f t="shared" si="1221"/>
        <v>0</v>
      </c>
      <c r="DS642" t="b">
        <f t="shared" si="1222"/>
        <v>0</v>
      </c>
      <c r="DT642" t="b">
        <f t="shared" si="1223"/>
        <v>0</v>
      </c>
      <c r="DU642" t="b">
        <f t="shared" si="1224"/>
        <v>0</v>
      </c>
      <c r="DV642" t="b">
        <f t="shared" si="1225"/>
        <v>0</v>
      </c>
      <c r="DW642" t="b">
        <f t="shared" si="1226"/>
        <v>0</v>
      </c>
      <c r="DX642" t="b">
        <f t="shared" si="1227"/>
        <v>0</v>
      </c>
      <c r="DY642" t="b">
        <f t="shared" si="1228"/>
        <v>0</v>
      </c>
      <c r="DZ642" t="b">
        <f t="shared" si="1229"/>
        <v>0</v>
      </c>
      <c r="EA642" t="b">
        <f t="shared" si="1230"/>
        <v>0</v>
      </c>
      <c r="EB642" t="b">
        <f t="shared" si="1231"/>
        <v>0</v>
      </c>
      <c r="EC642" t="b">
        <f t="shared" si="1232"/>
        <v>0</v>
      </c>
      <c r="ED642" t="b">
        <f t="shared" si="1233"/>
        <v>0</v>
      </c>
      <c r="EE642" t="b">
        <f t="shared" si="1234"/>
        <v>0</v>
      </c>
      <c r="EF642" t="b">
        <f t="shared" si="1235"/>
        <v>0</v>
      </c>
      <c r="EG642" t="b">
        <f t="shared" si="1236"/>
        <v>0</v>
      </c>
      <c r="EH642" t="b">
        <f t="shared" si="1237"/>
        <v>0</v>
      </c>
      <c r="EI642" t="b">
        <f t="shared" si="1238"/>
        <v>0</v>
      </c>
      <c r="EJ642" t="b">
        <f t="shared" si="1239"/>
        <v>0</v>
      </c>
      <c r="EK642" t="b">
        <f t="shared" si="1240"/>
        <v>0</v>
      </c>
    </row>
    <row r="643" spans="1:141">
      <c r="A643" t="s">
        <v>3213</v>
      </c>
      <c r="B643" t="s">
        <v>3214</v>
      </c>
      <c r="C643" t="s">
        <v>3215</v>
      </c>
      <c r="D643" s="1">
        <v>40544</v>
      </c>
      <c r="E643" s="2">
        <v>42774.333090277774</v>
      </c>
      <c r="F643" s="2">
        <v>44049.91265046296</v>
      </c>
      <c r="G643">
        <v>52578183</v>
      </c>
      <c r="H643" t="s">
        <v>3216</v>
      </c>
      <c r="I643" s="10" t="s">
        <v>3217</v>
      </c>
      <c r="J643" t="s">
        <v>147</v>
      </c>
      <c r="K643" s="8" t="b">
        <v>0</v>
      </c>
      <c r="L643" s="10" t="b">
        <v>1</v>
      </c>
      <c r="M643" s="12" t="b">
        <v>1</v>
      </c>
      <c r="N643" t="b">
        <v>0</v>
      </c>
      <c r="O643" t="b">
        <v>0</v>
      </c>
      <c r="P643" t="b">
        <v>0</v>
      </c>
      <c r="Q643">
        <f t="shared" si="1241"/>
        <v>7</v>
      </c>
      <c r="R643">
        <f t="shared" si="1242"/>
        <v>1</v>
      </c>
      <c r="S643" t="e">
        <f t="shared" ref="S643:S650" ca="1" si="1272">WhoIsorganization(C643)</f>
        <v>#NAME?</v>
      </c>
      <c r="T643" t="e">
        <f t="shared" ca="1" si="1243"/>
        <v>#NAME?</v>
      </c>
      <c r="U643" s="4">
        <f t="shared" si="1244"/>
        <v>2230.3330902777743</v>
      </c>
      <c r="V643" s="4">
        <f t="shared" si="1245"/>
        <v>74.344436342592473</v>
      </c>
      <c r="W643" s="4">
        <f t="shared" si="1246"/>
        <v>0</v>
      </c>
      <c r="X643" s="4">
        <f t="shared" si="1247"/>
        <v>1</v>
      </c>
      <c r="Y643" s="4">
        <f t="shared" si="1248"/>
        <v>1</v>
      </c>
      <c r="Z643" s="4">
        <f t="shared" si="1249"/>
        <v>0</v>
      </c>
      <c r="AA643" s="4">
        <f t="shared" si="1250"/>
        <v>0</v>
      </c>
      <c r="AB643" s="4">
        <f t="shared" si="1251"/>
        <v>0</v>
      </c>
      <c r="AD643" s="4" t="b">
        <f t="shared" si="1252"/>
        <v>0</v>
      </c>
      <c r="AE643" s="4" t="b">
        <f t="shared" si="1253"/>
        <v>0</v>
      </c>
      <c r="AF643" s="4" t="b">
        <f t="shared" si="1254"/>
        <v>0</v>
      </c>
      <c r="AG643" t="b">
        <f t="shared" si="1255"/>
        <v>0</v>
      </c>
      <c r="AH643" t="b">
        <f t="shared" si="1256"/>
        <v>0</v>
      </c>
      <c r="AI643" t="b">
        <f t="shared" si="1257"/>
        <v>0</v>
      </c>
      <c r="AJ643" t="b">
        <f t="shared" si="1258"/>
        <v>0</v>
      </c>
      <c r="AK643" t="b">
        <f t="shared" si="1259"/>
        <v>0</v>
      </c>
      <c r="AL643" t="b">
        <f t="shared" si="1260"/>
        <v>0</v>
      </c>
      <c r="AM643" t="b">
        <f t="shared" si="1261"/>
        <v>0</v>
      </c>
      <c r="AN643" t="b">
        <f t="shared" si="1262"/>
        <v>0</v>
      </c>
      <c r="AO643" t="b">
        <f t="shared" si="1263"/>
        <v>0</v>
      </c>
      <c r="AP643" t="b">
        <f t="shared" si="1264"/>
        <v>0</v>
      </c>
      <c r="AQ643" t="b">
        <f t="shared" si="1265"/>
        <v>0</v>
      </c>
      <c r="AR643" t="b">
        <f t="shared" si="1266"/>
        <v>0</v>
      </c>
      <c r="AS643" t="b">
        <f t="shared" si="1267"/>
        <v>0</v>
      </c>
      <c r="AT643" t="b">
        <f t="shared" si="1268"/>
        <v>0</v>
      </c>
      <c r="AU643" t="b">
        <f t="shared" si="1269"/>
        <v>0</v>
      </c>
      <c r="AV643" t="b">
        <f t="shared" si="1270"/>
        <v>0</v>
      </c>
      <c r="AW643" t="b">
        <f t="shared" si="1271"/>
        <v>0</v>
      </c>
      <c r="AX643" t="b">
        <f t="shared" ref="AX643:AX650" si="1273">IFERROR(IF(SEARCH( "'Customer feedback'", J643),1,0),FALSE)</f>
        <v>0</v>
      </c>
      <c r="AY643" t="b">
        <f t="shared" ref="AY643:AY650" si="1274">IFERROR(IF(SEARCH( "'Customer interactions'  ", J643),1,0),FALSE)</f>
        <v>0</v>
      </c>
      <c r="AZ643" t="b">
        <f t="shared" ref="AZ643:AZ650" si="1275">IFERROR(IF(SEARCH( "'Dates of birth'", J643),1,0),FALSE)</f>
        <v>0</v>
      </c>
      <c r="BA643" t="b">
        <f t="shared" ref="BA643:BA650" si="1276">IFERROR(IF(SEARCH( "'Deceased statuses'", J643),1,0),FALSE)</f>
        <v>0</v>
      </c>
      <c r="BB643" t="b">
        <f t="shared" ref="BB643:BB650" si="1277">IFERROR(IF(SEARCH( "'Device information'", J643),1,0),FALSE)</f>
        <v>0</v>
      </c>
      <c r="BC643" t="b">
        <f t="shared" ref="BC643:BC650" si="1278">IFERROR(IF(SEARCH( "'Device serial numbers'", J643),1,0),FALSE)</f>
        <v>0</v>
      </c>
      <c r="BD643" t="b">
        <f t="shared" ref="BD643:BD650" si="1279">IFERROR(IF(SEARCH( "'Device usage tracking data'", J643),1,0),FALSE)</f>
        <v>0</v>
      </c>
      <c r="BE643" t="b">
        <f t="shared" ref="BE643:BE650" si="1280">IFERROR(IF(SEARCH( "'Drinking habits'", J643),1,0),FALSE)</f>
        <v>0</v>
      </c>
      <c r="BF643" t="b">
        <f t="shared" ref="BF643:BF650" si="1281">IFERROR(IF(SEARCH( "'Drinking habits' ", J643),1,0),FALSE)</f>
        <v>0</v>
      </c>
      <c r="BG643" t="b">
        <f t="shared" ref="BG643:BG650" si="1282">IFERROR(IF(SEARCH( "'Drug habits'", J643),1,0),FALSE)</f>
        <v>0</v>
      </c>
      <c r="BH643" t="b">
        <f t="shared" ref="BH643:BH650" si="1283">IFERROR(IF(SEARCH( "'Education levels'", J643),1,0),FALSE)</f>
        <v>0</v>
      </c>
      <c r="BI643">
        <f t="shared" ref="BI643:BI650" si="1284">IFERROR(IF(SEARCH( "'Email addresses'", J643),1,0),FALSE)</f>
        <v>1</v>
      </c>
      <c r="BJ643" t="b">
        <f t="shared" ref="BJ643:BJ650" si="1285">IFERROR(IF(SEARCH( "'Employers'", J643),1,0),FALSE)</f>
        <v>0</v>
      </c>
      <c r="BK643" t="b">
        <f t="shared" ref="BK643:BK650" si="1286">IFERROR(IF(SEARCH( "'Ethnicities' ", J643),1,0),FALSE)</f>
        <v>0</v>
      </c>
      <c r="BL643" t="b">
        <f t="shared" ref="BL643:BL650" si="1287">IFERROR(IF(SEARCH( "'Family members' names'", J643),1,0),FALSE)</f>
        <v>0</v>
      </c>
      <c r="BM643" t="b">
        <f t="shared" ref="BM643:BM650" si="1288">IFERROR(IF(SEARCH( "'Family structure", J643),1,0),FALSE)</f>
        <v>0</v>
      </c>
      <c r="BN643" t="b">
        <f t="shared" ref="BN643:BN650" si="1289">IFERROR(IF(SEARCH( "'Financial investments'", J643),1,0),FALSE)</f>
        <v>0</v>
      </c>
      <c r="BO643" t="b">
        <f t="shared" ref="BO643:BO650" si="1290">IFERROR(IF(SEARCH( "'Financial transactions'", J643),1,0),FALSE)</f>
        <v>0</v>
      </c>
      <c r="BP643" t="b">
        <f t="shared" ref="BP643:BP650" si="1291">IFERROR(IF(SEARCH( "'Fitness levels'", J643),1,0),FALSE)</f>
        <v>0</v>
      </c>
      <c r="BQ643" t="b">
        <f t="shared" ref="BQ643:BQ650" si="1292">IFERROR(IF(SEARCH( "'Flights taken'", J643),1,0),FALSE)</f>
        <v>0</v>
      </c>
      <c r="BR643" t="b">
        <f t="shared" ref="BR643:BR650" si="1293">IFERROR(IF(SEARCH( "'Genders'", J643),1,0),FALSE)</f>
        <v>0</v>
      </c>
      <c r="BS643" t="b">
        <f t="shared" ref="BS643:BS650" si="1294">IFERROR(IF(SEARCH( "'Geographic locations'", J643),1,0),FALSE)</f>
        <v>0</v>
      </c>
      <c r="BT643" t="b">
        <f t="shared" ref="BT643:BT650" si="1295">IFERROR(IF(SEARCH( "'Government issued IDs'", J643),1,0),FALSE)</f>
        <v>0</v>
      </c>
      <c r="BU643" t="b">
        <f t="shared" ref="BU643:BU650" si="1296">IFERROR(IF(SEARCH( "'Health insurance information' ", J643),1,0),FALSE)</f>
        <v>0</v>
      </c>
      <c r="BV643" t="b">
        <f t="shared" ref="BV643:BV650" si="1297">IFERROR(IF(SEARCH( "'Historical passwords'", J643),1,0),FALSE)</f>
        <v>0</v>
      </c>
      <c r="BW643" t="b">
        <f t="shared" ref="BW643:BW650" si="1298">IFERROR(IF(SEARCH( "'HIV statuses'", J643),1,0),FALSE)</f>
        <v>0</v>
      </c>
      <c r="BX643" t="b">
        <f t="shared" ref="BX643:BX650" si="1299">IFERROR(IF(SEARCH( "'Home loan information'", J643),1,0),FALSE)</f>
        <v>0</v>
      </c>
      <c r="BY643" t="b">
        <f t="shared" ref="BY643:BY650" si="1300">IFERROR(IF(SEARCH( "'Home ownership statuses", J643),1,0),FALSE)</f>
        <v>0</v>
      </c>
      <c r="BZ643" t="b">
        <f t="shared" ref="BZ643:BZ650" si="1301">IFERROR(IF(SEARCH( "'Homepage URLs'", J643),1,0),FALSE)</f>
        <v>0</v>
      </c>
      <c r="CA643" t="b">
        <f t="shared" ref="CA643:CA650" si="1302">IFERROR(IF(SEARCH( "'IMEI numbers'", J643),1,0),FALSE)</f>
        <v>0</v>
      </c>
      <c r="CB643" t="b">
        <f t="shared" ref="CB643:CB650" si="1303">IFERROR(IF(SEARCH( "'IMSI numbers' ", J643),1,0),FALSE)</f>
        <v>0</v>
      </c>
      <c r="CC643" t="b">
        <f t="shared" ref="CC643:CC650" si="1304">IFERROR(IF(SEARCH( "'Income levels'", J643),1,0),FALSE)</f>
        <v>0</v>
      </c>
      <c r="CD643" t="b">
        <f t="shared" ref="CD643:CD650" si="1305">IFERROR(IF(SEARCH( "'Instant messenger identities'", J643),1,0),FALSE)</f>
        <v>0</v>
      </c>
      <c r="CE643" t="b">
        <f t="shared" ref="CE643:CE650" si="1306">IFERROR(IF(SEARCH( "'IP addresses'", J643),1,0),FALSE)</f>
        <v>0</v>
      </c>
      <c r="CF643" t="b">
        <f t="shared" ref="CF643:CF650" si="1307">IFERROR(IF(SEARCH( "'Job applications' ", J643),1,0),FALSE)</f>
        <v>0</v>
      </c>
      <c r="CG643" t="b">
        <f t="shared" ref="CG643:CG650" si="1308">IFERROR(IF(SEARCH( "'Job titles' ", J643),1,0),FALSE)</f>
        <v>0</v>
      </c>
      <c r="CH643" t="b">
        <f t="shared" ref="CH643:CH650" si="1309">IFERROR(IF(SEARCH( "'Licence plates'", J643),1,0),FALSE)</f>
        <v>0</v>
      </c>
      <c r="CI643" t="b">
        <f t="shared" ref="CI643:CI650" si="1310">IFERROR(IF(SEARCH( "'Login histories'", J643),1,0),FALSE)</f>
        <v>0</v>
      </c>
      <c r="CJ643" t="b">
        <f t="shared" ref="CJ643:CJ650" si="1311">IFERROR(IF(SEARCH( "'MAC addresses'", J643),1,0),FALSE)</f>
        <v>0</v>
      </c>
      <c r="CK643" t="b">
        <f t="shared" ref="CK643:CK650" si="1312">IFERROR(IF(SEARCH( "'Marital statuses'", J643),1,0),FALSE)</f>
        <v>0</v>
      </c>
      <c r="CL643" t="b">
        <f t="shared" ref="CL643:CL650" si="1313">IFERROR(IF(SEARCH( "'Mnemonic phrases'", J643),1,0),FALSE)</f>
        <v>0</v>
      </c>
      <c r="CM643" t="b">
        <f t="shared" ref="CM643:CM650" si="1314">IFERROR(IF(SEARCH( "'Names'", J643),1,0),FALSE)</f>
        <v>0</v>
      </c>
      <c r="CN643" t="b">
        <f t="shared" ref="CN643:CN650" si="1315">IFERROR(IF(SEARCH( "'Nationalities'", J643),1,0),FALSE)</f>
        <v>0</v>
      </c>
      <c r="CO643" t="b">
        <f t="shared" ref="CO643:CO650" si="1316">IFERROR(IF(SEARCH( "'Net worths'", J643),1,0),FALSE)</f>
        <v>0</v>
      </c>
      <c r="CP643" t="b">
        <f t="shared" ref="CP643:CP650" si="1317">IFERROR(IF(SEARCH( "'Nicknames' ", J643),1,0),FALSE)</f>
        <v>0</v>
      </c>
      <c r="CQ643" t="b">
        <f t="shared" ref="CQ643:CQ650" si="1318">IFERROR(IF(SEARCH( "'Occupations'", J643),1,0),FALSE)</f>
        <v>0</v>
      </c>
      <c r="CR643" t="b">
        <f t="shared" ref="CR643:CR650" si="1319">IFERROR(IF(SEARCH( "'Parenting plans", J643),1,0),FALSE)</f>
        <v>0</v>
      </c>
      <c r="CS643" t="b">
        <f t="shared" ref="CS643:CS650" si="1320">IFERROR(IF(SEARCH( "'Partial credit card data' ", J643),1,0),FALSE)</f>
        <v>0</v>
      </c>
      <c r="CT643" t="b">
        <f t="shared" ref="CT643:CT650" si="1321">IFERROR(IF(SEARCH( "'Partial phone numbers'", J643),1,0),FALSE)</f>
        <v>0</v>
      </c>
      <c r="CU643" t="b">
        <f t="shared" ref="CU643:CU650" si="1322">IFERROR(IF(SEARCH( "'Passport numbers'", J643),1,0),FALSE)</f>
        <v>0</v>
      </c>
      <c r="CV643">
        <f t="shared" ref="CV643:CV650" si="1323">IFERROR(IF(SEARCH( "'Passwords'", J643),1,0),FALSE)</f>
        <v>1</v>
      </c>
      <c r="CW643" t="b">
        <f t="shared" ref="CW643:CW650" si="1324">IFERROR(IF(SEARCH( "'Payment histories'", J643),1,0),FALSE)</f>
        <v>0</v>
      </c>
      <c r="CX643" t="b">
        <f t="shared" ref="CX643:CX650" si="1325">IFERROR(IF(SEARCH( "'Payment methods'", J643),1,0),FALSE)</f>
        <v>0</v>
      </c>
      <c r="CY643" t="b">
        <f t="shared" ref="CY643:CY650" si="1326">IFERROR(IF(SEARCH( "'Personal descriptions'", J643),1,0),FALSE)</f>
        <v>0</v>
      </c>
      <c r="CZ643" t="b">
        <f t="shared" ref="CZ643:CZ650" si="1327">IFERROR(IF(SEARCH( "'Personal health data'", J643),1,0),FALSE)</f>
        <v>0</v>
      </c>
      <c r="DA643" t="b">
        <f t="shared" ref="DA643:DA650" si="1328">IFERROR(IF(SEARCH( "'Phone numbers'", J643),1,0),FALSE)</f>
        <v>0</v>
      </c>
      <c r="DB643" t="b">
        <f t="shared" ref="DB643:DB650" si="1329">IFERROR(IF(SEARCH( "'Physical addresses'", J643),1,0),FALSE)</f>
        <v>0</v>
      </c>
      <c r="DC643" t="b">
        <f t="shared" ref="DC643:DC650" si="1330">IFERROR(IF(SEARCH( "'Physical attributes'", J643),1,0),FALSE)</f>
        <v>0</v>
      </c>
      <c r="DD643" t="b">
        <f t="shared" ref="DD643:DD650" si="1331">IFERROR(IF(SEARCH( "'PINs'", J643),1,0),FALSE)</f>
        <v>0</v>
      </c>
      <c r="DE643" t="b">
        <f t="shared" ref="DE643:DE650" si="1332">IFERROR(IF(SEARCH( "'Political donations'", J643),1,0),FALSE)</f>
        <v>0</v>
      </c>
      <c r="DF643" t="b">
        <f t="shared" ref="DF643:DF650" si="1333">IFERROR(IF(SEARCH( "'Political views'", J643),1,0),FALSE)</f>
        <v>0</v>
      </c>
      <c r="DG643" t="b">
        <f t="shared" ref="DG643:DG650" si="1334">IFERROR(IF(SEARCH( "'Private messages'", J643),1,0),FALSE)</f>
        <v>0</v>
      </c>
      <c r="DH643" t="b">
        <f t="shared" ref="DH643:DH650" si="1335">IFERROR(IF(SEARCH( "'Professional skills'", J643),1,0),FALSE)</f>
        <v>0</v>
      </c>
      <c r="DI643" t="b">
        <f t="shared" ref="DI643:DI650" si="1336">IFERROR(IF(SEARCH( "'Profile photos'", J643),1,0),FALSE)</f>
        <v>0</v>
      </c>
      <c r="DJ643" t="b">
        <f t="shared" ref="DJ643:DJ650" si="1337">IFERROR(IF(SEARCH( "'Purchases'", J643),1,0),FALSE)</f>
        <v>0</v>
      </c>
      <c r="DK643" t="b">
        <f t="shared" ref="DK643:DK650" si="1338">IFERROR(IF(SEARCH( "'Purchasing habits'", J643),1,0),FALSE)</f>
        <v>0</v>
      </c>
      <c r="DL643" t="b">
        <f t="shared" ref="DL643:DL650" si="1339">IFERROR(IF(SEARCH( "'Races'", J643),1,0),FALSE)</f>
        <v>0</v>
      </c>
      <c r="DM643" t="b">
        <f t="shared" ref="DM643:DM650" si="1340">IFERROR(IF(SEARCH( "'Recovery email addresses'", J643),1,0),FALSE)</f>
        <v>0</v>
      </c>
      <c r="DN643" t="b">
        <f t="shared" ref="DN643:DN650" si="1341">IFERROR(IF(SEARCH( "'Relationship statuses'", J643),1,0),FALSE)</f>
        <v>0</v>
      </c>
      <c r="DO643" t="b">
        <f t="shared" ref="DO643:DO650" si="1342">IFERROR(IF(SEARCH( "'Religions' ", J643),1,0),FALSE)</f>
        <v>0</v>
      </c>
      <c r="DP643" t="b">
        <f t="shared" ref="DP643:DP650" si="1343">IFERROR(IF(SEARCH( "'Reward program balances'", J643),1,0),FALSE)</f>
        <v>0</v>
      </c>
      <c r="DQ643" t="b">
        <f t="shared" ref="DQ643:DQ650" si="1344">IFERROR(IF(SEARCH( "'Salutations'", J643),1,0),FALSE)</f>
        <v>0</v>
      </c>
      <c r="DR643" t="b">
        <f t="shared" ref="DR643:DR650" si="1345">IFERROR(IF(SEARCH( "'School grades (class levels)", J643),1,0),FALSE)</f>
        <v>0</v>
      </c>
      <c r="DS643" t="b">
        <f t="shared" ref="DS643:DS650" si="1346">IFERROR(IF(SEARCH( "'Security questions and answers'", J643),1,0),FALSE)</f>
        <v>0</v>
      </c>
      <c r="DT643" t="b">
        <f t="shared" ref="DT643:DT650" si="1347">IFERROR(IF(SEARCH( "'Sexual fetishes'", J643),1,0),FALSE)</f>
        <v>0</v>
      </c>
      <c r="DU643" t="b">
        <f t="shared" ref="DU643:DU650" si="1348">IFERROR(IF(SEARCH( "'Sexual orientations'", J643),1,0),FALSE)</f>
        <v>0</v>
      </c>
      <c r="DV643" t="b">
        <f t="shared" ref="DV643:DV650" si="1349">IFERROR(IF(SEARCH( "'Smoking habits'", J643),1,0),FALSE)</f>
        <v>0</v>
      </c>
      <c r="DW643" t="b">
        <f t="shared" ref="DW643:DW650" si="1350">IFERROR(IF(SEARCH( "'SMS messages'", J643),1,0),FALSE)</f>
        <v>0</v>
      </c>
      <c r="DX643" t="b">
        <f t="shared" ref="DX643:DX650" si="1351">IFERROR(IF(SEARCH( "'Social connections'", J643),1,0),FALSE)</f>
        <v>0</v>
      </c>
      <c r="DY643" t="b">
        <f t="shared" ref="DY643:DY650" si="1352">IFERROR(IF(SEARCH( "'Social media profiles'", J643),1,0),FALSE)</f>
        <v>0</v>
      </c>
      <c r="DZ643" t="b">
        <f t="shared" ref="DZ643:DZ650" si="1353">IFERROR(IF(SEARCH( "'Social security numbers'", J643),1,0),FALSE)</f>
        <v>0</v>
      </c>
      <c r="EA643" t="b">
        <f t="shared" ref="EA643:EA650" si="1354">IFERROR(IF(SEARCH( "'Spoken languages'", J643),1,0),FALSE)</f>
        <v>0</v>
      </c>
      <c r="EB643" t="b">
        <f t="shared" ref="EB643:EB650" si="1355">IFERROR(IF(SEARCH( "'Survey results'", J643),1,0),FALSE)</f>
        <v>0</v>
      </c>
      <c r="EC643" t="b">
        <f t="shared" ref="EC643:EC650" si="1356">IFERROR(IF(SEARCH( "'Time zones'", J643),1,0),FALSE)</f>
        <v>0</v>
      </c>
      <c r="ED643" t="b">
        <f t="shared" ref="ED643:ED650" si="1357">IFERROR(IF(SEARCH( "'Travel habits' ", J643),1,0),FALSE)</f>
        <v>0</v>
      </c>
      <c r="EE643" t="b">
        <f t="shared" ref="EE643:EE650" si="1358">IFERROR(IF(SEARCH( "'User website URLs'", J643),1,0),FALSE)</f>
        <v>0</v>
      </c>
      <c r="EF643" t="b">
        <f t="shared" ref="EF643:EF650" si="1359">IFERROR(IF(SEARCH( "'Usernames'", J643),1,0),FALSE)</f>
        <v>0</v>
      </c>
      <c r="EG643" t="b">
        <f t="shared" ref="EG643:EG650" si="1360">IFERROR(IF(SEARCH( "'Vehicle details'", J643),1,0),FALSE)</f>
        <v>0</v>
      </c>
      <c r="EH643" t="b">
        <f t="shared" ref="EH643:EH650" si="1361">IFERROR(IF(SEARCH( "'Vehicle identification numbers (VINs)'", J643),1,0),FALSE)</f>
        <v>0</v>
      </c>
      <c r="EI643" t="b">
        <f t="shared" ref="EI643:EI650" si="1362">IFERROR(IF(SEARCH( "'Website activity'", J643),1,0),FALSE)</f>
        <v>0</v>
      </c>
      <c r="EJ643" t="b">
        <f t="shared" ref="EJ643:EJ650" si="1363">IFERROR(IF(SEARCH( "'Work habits'", J643),1,0),FALSE)</f>
        <v>0</v>
      </c>
      <c r="EK643" t="b">
        <f t="shared" ref="EK643:EK650" si="1364">IFERROR(IF(SEARCH( "'Years of professional experience'", J643),1,0),FALSE)</f>
        <v>0</v>
      </c>
    </row>
    <row r="644" spans="1:141">
      <c r="A644" t="s">
        <v>3218</v>
      </c>
      <c r="B644" t="s">
        <v>3219</v>
      </c>
      <c r="C644" t="s">
        <v>3215</v>
      </c>
      <c r="D644" s="1">
        <v>43842</v>
      </c>
      <c r="E644" s="2">
        <v>44050.157384259262</v>
      </c>
      <c r="F644" s="2">
        <v>44050.157384259262</v>
      </c>
      <c r="G644">
        <v>23927853</v>
      </c>
      <c r="H644" t="s">
        <v>3220</v>
      </c>
      <c r="I644" s="10" t="s">
        <v>3217</v>
      </c>
      <c r="J644" t="s">
        <v>3221</v>
      </c>
      <c r="K644" s="8" t="b">
        <v>1</v>
      </c>
      <c r="L644" s="10" t="b">
        <v>0</v>
      </c>
      <c r="M644" s="12" t="b">
        <v>1</v>
      </c>
      <c r="N644" t="b">
        <v>0</v>
      </c>
      <c r="O644" t="b">
        <v>0</v>
      </c>
      <c r="P644" t="b">
        <v>0</v>
      </c>
      <c r="Q644">
        <f t="shared" si="1241"/>
        <v>1</v>
      </c>
      <c r="R644">
        <f t="shared" si="1242"/>
        <v>1</v>
      </c>
      <c r="S644" t="e">
        <f t="shared" ca="1" si="1272"/>
        <v>#NAME?</v>
      </c>
      <c r="T644" t="e">
        <f t="shared" ca="1" si="1243"/>
        <v>#NAME?</v>
      </c>
      <c r="U644" s="4">
        <f t="shared" si="1244"/>
        <v>208.15738425926247</v>
      </c>
      <c r="V644" s="4">
        <f t="shared" si="1245"/>
        <v>6.9385794753087486</v>
      </c>
      <c r="W644" s="4">
        <f t="shared" si="1246"/>
        <v>1</v>
      </c>
      <c r="X644" s="4">
        <f t="shared" si="1247"/>
        <v>0</v>
      </c>
      <c r="Y644" s="4">
        <f t="shared" si="1248"/>
        <v>1</v>
      </c>
      <c r="Z644" s="4">
        <f t="shared" si="1249"/>
        <v>0</v>
      </c>
      <c r="AA644" s="4">
        <f t="shared" si="1250"/>
        <v>0</v>
      </c>
      <c r="AB644" s="4">
        <f t="shared" si="1251"/>
        <v>0</v>
      </c>
      <c r="AD644" s="4" t="b">
        <f t="shared" si="1252"/>
        <v>0</v>
      </c>
      <c r="AE644" s="4" t="b">
        <f t="shared" si="1253"/>
        <v>0</v>
      </c>
      <c r="AF644" s="4" t="b">
        <f t="shared" si="1254"/>
        <v>0</v>
      </c>
      <c r="AG644" t="b">
        <f t="shared" si="1255"/>
        <v>0</v>
      </c>
      <c r="AH644" t="b">
        <f t="shared" si="1256"/>
        <v>0</v>
      </c>
      <c r="AI644" t="b">
        <f t="shared" si="1257"/>
        <v>0</v>
      </c>
      <c r="AJ644" t="b">
        <f t="shared" si="1258"/>
        <v>0</v>
      </c>
      <c r="AK644" t="b">
        <f t="shared" si="1259"/>
        <v>0</v>
      </c>
      <c r="AL644" t="b">
        <f t="shared" si="1260"/>
        <v>0</v>
      </c>
      <c r="AM644" t="b">
        <f t="shared" si="1261"/>
        <v>0</v>
      </c>
      <c r="AN644" t="b">
        <f t="shared" si="1262"/>
        <v>0</v>
      </c>
      <c r="AO644" t="b">
        <f t="shared" si="1263"/>
        <v>0</v>
      </c>
      <c r="AP644" t="b">
        <f t="shared" si="1264"/>
        <v>0</v>
      </c>
      <c r="AQ644" t="b">
        <f t="shared" si="1265"/>
        <v>0</v>
      </c>
      <c r="AR644" t="b">
        <f t="shared" si="1266"/>
        <v>0</v>
      </c>
      <c r="AS644" t="b">
        <f t="shared" si="1267"/>
        <v>0</v>
      </c>
      <c r="AT644" t="b">
        <f t="shared" si="1268"/>
        <v>0</v>
      </c>
      <c r="AU644" t="b">
        <f t="shared" si="1269"/>
        <v>0</v>
      </c>
      <c r="AV644" t="b">
        <f t="shared" si="1270"/>
        <v>0</v>
      </c>
      <c r="AW644" t="b">
        <f t="shared" si="1271"/>
        <v>0</v>
      </c>
      <c r="AX644" t="b">
        <f t="shared" si="1273"/>
        <v>0</v>
      </c>
      <c r="AY644" t="b">
        <f t="shared" si="1274"/>
        <v>0</v>
      </c>
      <c r="AZ644">
        <f t="shared" si="1275"/>
        <v>1</v>
      </c>
      <c r="BA644" t="b">
        <f t="shared" si="1276"/>
        <v>0</v>
      </c>
      <c r="BB644" t="b">
        <f t="shared" si="1277"/>
        <v>0</v>
      </c>
      <c r="BC644" t="b">
        <f t="shared" si="1278"/>
        <v>0</v>
      </c>
      <c r="BD644" t="b">
        <f t="shared" si="1279"/>
        <v>0</v>
      </c>
      <c r="BE644">
        <f t="shared" si="1280"/>
        <v>1</v>
      </c>
      <c r="BF644" t="b">
        <f t="shared" si="1281"/>
        <v>0</v>
      </c>
      <c r="BG644" t="b">
        <f t="shared" si="1282"/>
        <v>0</v>
      </c>
      <c r="BH644">
        <f t="shared" si="1283"/>
        <v>1</v>
      </c>
      <c r="BI644">
        <f t="shared" si="1284"/>
        <v>1</v>
      </c>
      <c r="BJ644" t="b">
        <f t="shared" si="1285"/>
        <v>0</v>
      </c>
      <c r="BK644" t="b">
        <f t="shared" si="1286"/>
        <v>0</v>
      </c>
      <c r="BL644" t="b">
        <f t="shared" si="1287"/>
        <v>0</v>
      </c>
      <c r="BM644">
        <f t="shared" si="1288"/>
        <v>1</v>
      </c>
      <c r="BN644" t="b">
        <f t="shared" si="1289"/>
        <v>0</v>
      </c>
      <c r="BO644" t="b">
        <f t="shared" si="1290"/>
        <v>0</v>
      </c>
      <c r="BP644" t="b">
        <f t="shared" si="1291"/>
        <v>0</v>
      </c>
      <c r="BQ644" t="b">
        <f t="shared" si="1292"/>
        <v>0</v>
      </c>
      <c r="BR644">
        <f t="shared" si="1293"/>
        <v>1</v>
      </c>
      <c r="BS644">
        <f t="shared" si="1294"/>
        <v>1</v>
      </c>
      <c r="BT644" t="b">
        <f t="shared" si="1295"/>
        <v>0</v>
      </c>
      <c r="BU644" t="b">
        <f t="shared" si="1296"/>
        <v>0</v>
      </c>
      <c r="BV644" t="b">
        <f t="shared" si="1297"/>
        <v>0</v>
      </c>
      <c r="BW644" t="b">
        <f t="shared" si="1298"/>
        <v>0</v>
      </c>
      <c r="BX644" t="b">
        <f t="shared" si="1299"/>
        <v>0</v>
      </c>
      <c r="BY644" t="b">
        <f t="shared" si="1300"/>
        <v>0</v>
      </c>
      <c r="BZ644" t="b">
        <f t="shared" si="1301"/>
        <v>0</v>
      </c>
      <c r="CA644" t="b">
        <f t="shared" si="1302"/>
        <v>0</v>
      </c>
      <c r="CB644" t="b">
        <f t="shared" si="1303"/>
        <v>0</v>
      </c>
      <c r="CC644">
        <f t="shared" si="1304"/>
        <v>1</v>
      </c>
      <c r="CD644" t="b">
        <f t="shared" si="1305"/>
        <v>0</v>
      </c>
      <c r="CE644" t="b">
        <f t="shared" si="1306"/>
        <v>0</v>
      </c>
      <c r="CF644" t="b">
        <f t="shared" si="1307"/>
        <v>0</v>
      </c>
      <c r="CG644" t="b">
        <f t="shared" si="1308"/>
        <v>0</v>
      </c>
      <c r="CH644" t="b">
        <f t="shared" si="1309"/>
        <v>0</v>
      </c>
      <c r="CI644" t="b">
        <f t="shared" si="1310"/>
        <v>0</v>
      </c>
      <c r="CJ644" t="b">
        <f t="shared" si="1311"/>
        <v>0</v>
      </c>
      <c r="CK644" t="b">
        <f t="shared" si="1312"/>
        <v>0</v>
      </c>
      <c r="CL644" t="b">
        <f t="shared" si="1313"/>
        <v>0</v>
      </c>
      <c r="CM644">
        <f t="shared" si="1314"/>
        <v>1</v>
      </c>
      <c r="CN644" t="b">
        <f t="shared" si="1315"/>
        <v>0</v>
      </c>
      <c r="CO644" t="b">
        <f t="shared" si="1316"/>
        <v>0</v>
      </c>
      <c r="CP644" t="b">
        <f t="shared" si="1317"/>
        <v>0</v>
      </c>
      <c r="CQ644" t="b">
        <f t="shared" si="1318"/>
        <v>0</v>
      </c>
      <c r="CR644" t="b">
        <f t="shared" si="1319"/>
        <v>0</v>
      </c>
      <c r="CS644" t="b">
        <f t="shared" si="1320"/>
        <v>0</v>
      </c>
      <c r="CT644" t="b">
        <f t="shared" si="1321"/>
        <v>0</v>
      </c>
      <c r="CU644" t="b">
        <f t="shared" si="1322"/>
        <v>0</v>
      </c>
      <c r="CV644" t="b">
        <f t="shared" si="1323"/>
        <v>0</v>
      </c>
      <c r="CW644" t="b">
        <f t="shared" si="1324"/>
        <v>0</v>
      </c>
      <c r="CX644" t="b">
        <f t="shared" si="1325"/>
        <v>0</v>
      </c>
      <c r="CY644" t="b">
        <f t="shared" si="1326"/>
        <v>0</v>
      </c>
      <c r="CZ644" t="b">
        <f t="shared" si="1327"/>
        <v>0</v>
      </c>
      <c r="DA644" t="b">
        <f t="shared" si="1328"/>
        <v>0</v>
      </c>
      <c r="DB644" t="b">
        <f t="shared" si="1329"/>
        <v>0</v>
      </c>
      <c r="DC644">
        <f t="shared" si="1330"/>
        <v>1</v>
      </c>
      <c r="DD644" t="b">
        <f t="shared" si="1331"/>
        <v>0</v>
      </c>
      <c r="DE644" t="b">
        <f t="shared" si="1332"/>
        <v>0</v>
      </c>
      <c r="DF644">
        <f t="shared" si="1333"/>
        <v>1</v>
      </c>
      <c r="DG644" t="b">
        <f t="shared" si="1334"/>
        <v>0</v>
      </c>
      <c r="DH644" t="b">
        <f t="shared" si="1335"/>
        <v>0</v>
      </c>
      <c r="DI644" t="b">
        <f t="shared" si="1336"/>
        <v>0</v>
      </c>
      <c r="DJ644" t="b">
        <f t="shared" si="1337"/>
        <v>0</v>
      </c>
      <c r="DK644" t="b">
        <f t="shared" si="1338"/>
        <v>0</v>
      </c>
      <c r="DL644" t="b">
        <f t="shared" si="1339"/>
        <v>0</v>
      </c>
      <c r="DM644" t="b">
        <f t="shared" si="1340"/>
        <v>0</v>
      </c>
      <c r="DN644">
        <f t="shared" si="1341"/>
        <v>1</v>
      </c>
      <c r="DO644" t="b">
        <f t="shared" si="1342"/>
        <v>0</v>
      </c>
      <c r="DP644" t="b">
        <f t="shared" si="1343"/>
        <v>0</v>
      </c>
      <c r="DQ644" t="b">
        <f t="shared" si="1344"/>
        <v>0</v>
      </c>
      <c r="DR644" t="b">
        <f t="shared" si="1345"/>
        <v>0</v>
      </c>
      <c r="DS644" t="b">
        <f t="shared" si="1346"/>
        <v>0</v>
      </c>
      <c r="DT644" t="b">
        <f t="shared" si="1347"/>
        <v>0</v>
      </c>
      <c r="DU644">
        <f t="shared" si="1348"/>
        <v>1</v>
      </c>
      <c r="DV644">
        <f t="shared" si="1349"/>
        <v>1</v>
      </c>
      <c r="DW644" t="b">
        <f t="shared" si="1350"/>
        <v>0</v>
      </c>
      <c r="DX644" t="b">
        <f t="shared" si="1351"/>
        <v>0</v>
      </c>
      <c r="DY644" t="b">
        <f t="shared" si="1352"/>
        <v>0</v>
      </c>
      <c r="DZ644" t="b">
        <f t="shared" si="1353"/>
        <v>0</v>
      </c>
      <c r="EA644" t="b">
        <f t="shared" si="1354"/>
        <v>0</v>
      </c>
      <c r="EB644" t="b">
        <f t="shared" si="1355"/>
        <v>0</v>
      </c>
      <c r="EC644" t="b">
        <f t="shared" si="1356"/>
        <v>0</v>
      </c>
      <c r="ED644" t="b">
        <f t="shared" si="1357"/>
        <v>0</v>
      </c>
      <c r="EE644" t="b">
        <f t="shared" si="1358"/>
        <v>0</v>
      </c>
      <c r="EF644" t="b">
        <f t="shared" si="1359"/>
        <v>0</v>
      </c>
      <c r="EG644" t="b">
        <f t="shared" si="1360"/>
        <v>0</v>
      </c>
      <c r="EH644" t="b">
        <f t="shared" si="1361"/>
        <v>0</v>
      </c>
      <c r="EI644" t="b">
        <f t="shared" si="1362"/>
        <v>0</v>
      </c>
      <c r="EJ644" t="b">
        <f t="shared" si="1363"/>
        <v>0</v>
      </c>
      <c r="EK644" t="b">
        <f t="shared" si="1364"/>
        <v>0</v>
      </c>
    </row>
    <row r="645" spans="1:141">
      <c r="A645" t="s">
        <v>3222</v>
      </c>
      <c r="B645" t="s">
        <v>3222</v>
      </c>
      <c r="C645" t="s">
        <v>3223</v>
      </c>
      <c r="D645" s="1">
        <v>43735</v>
      </c>
      <c r="E645" s="2">
        <v>43757.890787037039</v>
      </c>
      <c r="F645" s="2">
        <v>43758.915462962963</v>
      </c>
      <c r="G645">
        <v>71407</v>
      </c>
      <c r="H645" t="s">
        <v>3224</v>
      </c>
      <c r="I645" s="10" t="s">
        <v>3225</v>
      </c>
      <c r="J645" t="s">
        <v>199</v>
      </c>
      <c r="K645" s="8" t="b">
        <v>1</v>
      </c>
      <c r="L645" s="10" t="b">
        <v>0</v>
      </c>
      <c r="M645" s="12" t="b">
        <v>1</v>
      </c>
      <c r="N645" t="b">
        <v>0</v>
      </c>
      <c r="O645" t="b">
        <v>0</v>
      </c>
      <c r="P645" t="b">
        <v>0</v>
      </c>
      <c r="Q645">
        <f t="shared" si="1241"/>
        <v>6</v>
      </c>
      <c r="R645">
        <f t="shared" si="1242"/>
        <v>9</v>
      </c>
      <c r="S645" t="e">
        <f t="shared" ca="1" si="1272"/>
        <v>#NAME?</v>
      </c>
      <c r="T645" t="e">
        <f t="shared" ca="1" si="1243"/>
        <v>#NAME?</v>
      </c>
      <c r="U645" s="4">
        <f t="shared" si="1244"/>
        <v>22.890787037038535</v>
      </c>
      <c r="V645" s="4">
        <f t="shared" si="1245"/>
        <v>0.76302623456795116</v>
      </c>
      <c r="W645" s="4">
        <f t="shared" si="1246"/>
        <v>1</v>
      </c>
      <c r="X645" s="4">
        <f t="shared" si="1247"/>
        <v>0</v>
      </c>
      <c r="Y645" s="4">
        <f t="shared" si="1248"/>
        <v>1</v>
      </c>
      <c r="Z645" s="4">
        <f t="shared" si="1249"/>
        <v>0</v>
      </c>
      <c r="AA645" s="4">
        <f t="shared" si="1250"/>
        <v>0</v>
      </c>
      <c r="AB645" s="4">
        <f t="shared" si="1251"/>
        <v>0</v>
      </c>
      <c r="AD645" s="4" t="b">
        <f t="shared" si="1252"/>
        <v>0</v>
      </c>
      <c r="AE645" s="4" t="b">
        <f t="shared" si="1253"/>
        <v>0</v>
      </c>
      <c r="AF645" s="4" t="b">
        <f t="shared" si="1254"/>
        <v>0</v>
      </c>
      <c r="AG645" t="b">
        <f t="shared" si="1255"/>
        <v>0</v>
      </c>
      <c r="AH645" t="b">
        <f t="shared" si="1256"/>
        <v>0</v>
      </c>
      <c r="AI645" t="b">
        <f t="shared" si="1257"/>
        <v>0</v>
      </c>
      <c r="AJ645" t="b">
        <f t="shared" si="1258"/>
        <v>0</v>
      </c>
      <c r="AK645" t="b">
        <f t="shared" si="1259"/>
        <v>0</v>
      </c>
      <c r="AL645" t="b">
        <f t="shared" si="1260"/>
        <v>0</v>
      </c>
      <c r="AM645" t="b">
        <f t="shared" si="1261"/>
        <v>0</v>
      </c>
      <c r="AN645" t="b">
        <f t="shared" si="1262"/>
        <v>0</v>
      </c>
      <c r="AO645" t="b">
        <f t="shared" si="1263"/>
        <v>0</v>
      </c>
      <c r="AP645" t="b">
        <f t="shared" si="1264"/>
        <v>0</v>
      </c>
      <c r="AQ645" t="b">
        <f t="shared" si="1265"/>
        <v>0</v>
      </c>
      <c r="AR645" t="b">
        <f t="shared" si="1266"/>
        <v>0</v>
      </c>
      <c r="AS645" t="b">
        <f t="shared" si="1267"/>
        <v>0</v>
      </c>
      <c r="AT645" t="b">
        <f t="shared" si="1268"/>
        <v>0</v>
      </c>
      <c r="AU645" t="b">
        <f t="shared" si="1269"/>
        <v>0</v>
      </c>
      <c r="AV645" t="b">
        <f t="shared" si="1270"/>
        <v>0</v>
      </c>
      <c r="AW645" t="b">
        <f t="shared" si="1271"/>
        <v>0</v>
      </c>
      <c r="AX645" t="b">
        <f t="shared" si="1273"/>
        <v>0</v>
      </c>
      <c r="AY645" t="b">
        <f t="shared" si="1274"/>
        <v>0</v>
      </c>
      <c r="AZ645">
        <f t="shared" si="1275"/>
        <v>1</v>
      </c>
      <c r="BA645" t="b">
        <f t="shared" si="1276"/>
        <v>0</v>
      </c>
      <c r="BB645" t="b">
        <f t="shared" si="1277"/>
        <v>0</v>
      </c>
      <c r="BC645" t="b">
        <f t="shared" si="1278"/>
        <v>0</v>
      </c>
      <c r="BD645" t="b">
        <f t="shared" si="1279"/>
        <v>0</v>
      </c>
      <c r="BE645" t="b">
        <f t="shared" si="1280"/>
        <v>0</v>
      </c>
      <c r="BF645" t="b">
        <f t="shared" si="1281"/>
        <v>0</v>
      </c>
      <c r="BG645" t="b">
        <f t="shared" si="1282"/>
        <v>0</v>
      </c>
      <c r="BH645" t="b">
        <f t="shared" si="1283"/>
        <v>0</v>
      </c>
      <c r="BI645">
        <f t="shared" si="1284"/>
        <v>1</v>
      </c>
      <c r="BJ645" t="b">
        <f t="shared" si="1285"/>
        <v>0</v>
      </c>
      <c r="BK645" t="b">
        <f t="shared" si="1286"/>
        <v>0</v>
      </c>
      <c r="BL645" t="b">
        <f t="shared" si="1287"/>
        <v>0</v>
      </c>
      <c r="BM645" t="b">
        <f t="shared" si="1288"/>
        <v>0</v>
      </c>
      <c r="BN645" t="b">
        <f t="shared" si="1289"/>
        <v>0</v>
      </c>
      <c r="BO645" t="b">
        <f t="shared" si="1290"/>
        <v>0</v>
      </c>
      <c r="BP645" t="b">
        <f t="shared" si="1291"/>
        <v>0</v>
      </c>
      <c r="BQ645" t="b">
        <f t="shared" si="1292"/>
        <v>0</v>
      </c>
      <c r="BR645" t="b">
        <f t="shared" si="1293"/>
        <v>0</v>
      </c>
      <c r="BS645" t="b">
        <f t="shared" si="1294"/>
        <v>0</v>
      </c>
      <c r="BT645" t="b">
        <f t="shared" si="1295"/>
        <v>0</v>
      </c>
      <c r="BU645" t="b">
        <f t="shared" si="1296"/>
        <v>0</v>
      </c>
      <c r="BV645" t="b">
        <f t="shared" si="1297"/>
        <v>0</v>
      </c>
      <c r="BW645" t="b">
        <f t="shared" si="1298"/>
        <v>0</v>
      </c>
      <c r="BX645" t="b">
        <f t="shared" si="1299"/>
        <v>0</v>
      </c>
      <c r="BY645" t="b">
        <f t="shared" si="1300"/>
        <v>0</v>
      </c>
      <c r="BZ645" t="b">
        <f t="shared" si="1301"/>
        <v>0</v>
      </c>
      <c r="CA645" t="b">
        <f t="shared" si="1302"/>
        <v>0</v>
      </c>
      <c r="CB645" t="b">
        <f t="shared" si="1303"/>
        <v>0</v>
      </c>
      <c r="CC645" t="b">
        <f t="shared" si="1304"/>
        <v>0</v>
      </c>
      <c r="CD645" t="b">
        <f t="shared" si="1305"/>
        <v>0</v>
      </c>
      <c r="CE645">
        <f t="shared" si="1306"/>
        <v>1</v>
      </c>
      <c r="CF645" t="b">
        <f t="shared" si="1307"/>
        <v>0</v>
      </c>
      <c r="CG645" t="b">
        <f t="shared" si="1308"/>
        <v>0</v>
      </c>
      <c r="CH645" t="b">
        <f t="shared" si="1309"/>
        <v>0</v>
      </c>
      <c r="CI645" t="b">
        <f t="shared" si="1310"/>
        <v>0</v>
      </c>
      <c r="CJ645" t="b">
        <f t="shared" si="1311"/>
        <v>0</v>
      </c>
      <c r="CK645" t="b">
        <f t="shared" si="1312"/>
        <v>0</v>
      </c>
      <c r="CL645" t="b">
        <f t="shared" si="1313"/>
        <v>0</v>
      </c>
      <c r="CM645" t="b">
        <f t="shared" si="1314"/>
        <v>0</v>
      </c>
      <c r="CN645" t="b">
        <f t="shared" si="1315"/>
        <v>0</v>
      </c>
      <c r="CO645" t="b">
        <f t="shared" si="1316"/>
        <v>0</v>
      </c>
      <c r="CP645" t="b">
        <f t="shared" si="1317"/>
        <v>0</v>
      </c>
      <c r="CQ645" t="b">
        <f t="shared" si="1318"/>
        <v>0</v>
      </c>
      <c r="CR645" t="b">
        <f t="shared" si="1319"/>
        <v>0</v>
      </c>
      <c r="CS645" t="b">
        <f t="shared" si="1320"/>
        <v>0</v>
      </c>
      <c r="CT645" t="b">
        <f t="shared" si="1321"/>
        <v>0</v>
      </c>
      <c r="CU645" t="b">
        <f t="shared" si="1322"/>
        <v>0</v>
      </c>
      <c r="CV645">
        <f t="shared" si="1323"/>
        <v>1</v>
      </c>
      <c r="CW645" t="b">
        <f t="shared" si="1324"/>
        <v>0</v>
      </c>
      <c r="CX645" t="b">
        <f t="shared" si="1325"/>
        <v>0</v>
      </c>
      <c r="CY645" t="b">
        <f t="shared" si="1326"/>
        <v>0</v>
      </c>
      <c r="CZ645" t="b">
        <f t="shared" si="1327"/>
        <v>0</v>
      </c>
      <c r="DA645" t="b">
        <f t="shared" si="1328"/>
        <v>0</v>
      </c>
      <c r="DB645" t="b">
        <f t="shared" si="1329"/>
        <v>0</v>
      </c>
      <c r="DC645" t="b">
        <f t="shared" si="1330"/>
        <v>0</v>
      </c>
      <c r="DD645" t="b">
        <f t="shared" si="1331"/>
        <v>0</v>
      </c>
      <c r="DE645" t="b">
        <f t="shared" si="1332"/>
        <v>0</v>
      </c>
      <c r="DF645" t="b">
        <f t="shared" si="1333"/>
        <v>0</v>
      </c>
      <c r="DG645" t="b">
        <f t="shared" si="1334"/>
        <v>0</v>
      </c>
      <c r="DH645" t="b">
        <f t="shared" si="1335"/>
        <v>0</v>
      </c>
      <c r="DI645" t="b">
        <f t="shared" si="1336"/>
        <v>0</v>
      </c>
      <c r="DJ645" t="b">
        <f t="shared" si="1337"/>
        <v>0</v>
      </c>
      <c r="DK645" t="b">
        <f t="shared" si="1338"/>
        <v>0</v>
      </c>
      <c r="DL645" t="b">
        <f t="shared" si="1339"/>
        <v>0</v>
      </c>
      <c r="DM645" t="b">
        <f t="shared" si="1340"/>
        <v>0</v>
      </c>
      <c r="DN645" t="b">
        <f t="shared" si="1341"/>
        <v>0</v>
      </c>
      <c r="DO645" t="b">
        <f t="shared" si="1342"/>
        <v>0</v>
      </c>
      <c r="DP645" t="b">
        <f t="shared" si="1343"/>
        <v>0</v>
      </c>
      <c r="DQ645" t="b">
        <f t="shared" si="1344"/>
        <v>0</v>
      </c>
      <c r="DR645" t="b">
        <f t="shared" si="1345"/>
        <v>0</v>
      </c>
      <c r="DS645" t="b">
        <f t="shared" si="1346"/>
        <v>0</v>
      </c>
      <c r="DT645" t="b">
        <f t="shared" si="1347"/>
        <v>0</v>
      </c>
      <c r="DU645" t="b">
        <f t="shared" si="1348"/>
        <v>0</v>
      </c>
      <c r="DV645" t="b">
        <f t="shared" si="1349"/>
        <v>0</v>
      </c>
      <c r="DW645" t="b">
        <f t="shared" si="1350"/>
        <v>0</v>
      </c>
      <c r="DX645" t="b">
        <f t="shared" si="1351"/>
        <v>0</v>
      </c>
      <c r="DY645" t="b">
        <f t="shared" si="1352"/>
        <v>0</v>
      </c>
      <c r="DZ645" t="b">
        <f t="shared" si="1353"/>
        <v>0</v>
      </c>
      <c r="EA645" t="b">
        <f t="shared" si="1354"/>
        <v>0</v>
      </c>
      <c r="EB645" t="b">
        <f t="shared" si="1355"/>
        <v>0</v>
      </c>
      <c r="EC645" t="b">
        <f t="shared" si="1356"/>
        <v>0</v>
      </c>
      <c r="ED645" t="b">
        <f t="shared" si="1357"/>
        <v>0</v>
      </c>
      <c r="EE645" t="b">
        <f t="shared" si="1358"/>
        <v>0</v>
      </c>
      <c r="EF645">
        <f t="shared" si="1359"/>
        <v>1</v>
      </c>
      <c r="EG645" t="b">
        <f t="shared" si="1360"/>
        <v>0</v>
      </c>
      <c r="EH645" t="b">
        <f t="shared" si="1361"/>
        <v>0</v>
      </c>
      <c r="EI645" t="b">
        <f t="shared" si="1362"/>
        <v>0</v>
      </c>
      <c r="EJ645" t="b">
        <f t="shared" si="1363"/>
        <v>0</v>
      </c>
      <c r="EK645" t="b">
        <f t="shared" si="1364"/>
        <v>0</v>
      </c>
    </row>
    <row r="646" spans="1:141">
      <c r="A646" t="s">
        <v>3226</v>
      </c>
      <c r="B646" t="s">
        <v>3226</v>
      </c>
      <c r="C646" t="s">
        <v>3227</v>
      </c>
      <c r="D646" s="1">
        <v>44934</v>
      </c>
      <c r="E646" s="2">
        <v>44948.938148148147</v>
      </c>
      <c r="F646" s="2">
        <v>44948.938148148147</v>
      </c>
      <c r="G646">
        <v>756737</v>
      </c>
      <c r="H646" t="s">
        <v>3228</v>
      </c>
      <c r="I646" s="10" t="s">
        <v>3229</v>
      </c>
      <c r="J646" t="s">
        <v>3230</v>
      </c>
      <c r="K646" s="8" t="b">
        <v>1</v>
      </c>
      <c r="L646" s="10" t="b">
        <v>0</v>
      </c>
      <c r="M646" s="12" t="b">
        <v>0</v>
      </c>
      <c r="N646" t="b">
        <v>0</v>
      </c>
      <c r="O646" t="b">
        <v>0</v>
      </c>
      <c r="P646" t="b">
        <v>0</v>
      </c>
      <c r="Q646">
        <f t="shared" si="1241"/>
        <v>1</v>
      </c>
      <c r="R646">
        <f t="shared" si="1242"/>
        <v>1</v>
      </c>
      <c r="S646" t="e">
        <f t="shared" ca="1" si="1272"/>
        <v>#NAME?</v>
      </c>
      <c r="T646" t="e">
        <f t="shared" ca="1" si="1243"/>
        <v>#NAME?</v>
      </c>
      <c r="U646" s="4">
        <f t="shared" si="1244"/>
        <v>14.938148148146865</v>
      </c>
      <c r="V646" s="4">
        <f t="shared" si="1245"/>
        <v>0.49793827160489551</v>
      </c>
      <c r="W646" s="4">
        <f t="shared" si="1246"/>
        <v>1</v>
      </c>
      <c r="X646" s="4">
        <f t="shared" si="1247"/>
        <v>0</v>
      </c>
      <c r="Y646" s="4">
        <f t="shared" si="1248"/>
        <v>0</v>
      </c>
      <c r="Z646" s="4">
        <f t="shared" si="1249"/>
        <v>0</v>
      </c>
      <c r="AA646" s="4">
        <f t="shared" si="1250"/>
        <v>0</v>
      </c>
      <c r="AB646" s="4">
        <f t="shared" si="1251"/>
        <v>0</v>
      </c>
      <c r="AD646" s="4" t="b">
        <f t="shared" si="1252"/>
        <v>0</v>
      </c>
      <c r="AE646" s="4" t="b">
        <f t="shared" si="1253"/>
        <v>0</v>
      </c>
      <c r="AF646" s="4" t="b">
        <f t="shared" si="1254"/>
        <v>0</v>
      </c>
      <c r="AG646" t="b">
        <f t="shared" si="1255"/>
        <v>0</v>
      </c>
      <c r="AH646" t="b">
        <f t="shared" si="1256"/>
        <v>0</v>
      </c>
      <c r="AI646" t="b">
        <f t="shared" si="1257"/>
        <v>0</v>
      </c>
      <c r="AJ646" t="b">
        <f t="shared" si="1258"/>
        <v>0</v>
      </c>
      <c r="AK646" t="b">
        <f t="shared" si="1259"/>
        <v>0</v>
      </c>
      <c r="AL646" t="b">
        <f t="shared" si="1260"/>
        <v>0</v>
      </c>
      <c r="AM646" t="b">
        <f t="shared" si="1261"/>
        <v>0</v>
      </c>
      <c r="AN646" t="b">
        <f t="shared" si="1262"/>
        <v>0</v>
      </c>
      <c r="AO646" t="b">
        <f t="shared" si="1263"/>
        <v>0</v>
      </c>
      <c r="AP646" t="b">
        <f t="shared" si="1264"/>
        <v>0</v>
      </c>
      <c r="AQ646" t="b">
        <f t="shared" si="1265"/>
        <v>0</v>
      </c>
      <c r="AR646" t="b">
        <f t="shared" si="1266"/>
        <v>0</v>
      </c>
      <c r="AS646" t="b">
        <f t="shared" si="1267"/>
        <v>0</v>
      </c>
      <c r="AT646" t="b">
        <f t="shared" si="1268"/>
        <v>0</v>
      </c>
      <c r="AU646" t="b">
        <f t="shared" si="1269"/>
        <v>0</v>
      </c>
      <c r="AV646" t="b">
        <f t="shared" si="1270"/>
        <v>0</v>
      </c>
      <c r="AW646" t="b">
        <f t="shared" si="1271"/>
        <v>0</v>
      </c>
      <c r="AX646" t="b">
        <f t="shared" si="1273"/>
        <v>0</v>
      </c>
      <c r="AY646" t="b">
        <f t="shared" si="1274"/>
        <v>0</v>
      </c>
      <c r="AZ646">
        <f t="shared" si="1275"/>
        <v>1</v>
      </c>
      <c r="BA646" t="b">
        <f t="shared" si="1276"/>
        <v>0</v>
      </c>
      <c r="BB646" t="b">
        <f t="shared" si="1277"/>
        <v>0</v>
      </c>
      <c r="BC646" t="b">
        <f t="shared" si="1278"/>
        <v>0</v>
      </c>
      <c r="BD646" t="b">
        <f t="shared" si="1279"/>
        <v>0</v>
      </c>
      <c r="BE646" t="b">
        <f t="shared" si="1280"/>
        <v>0</v>
      </c>
      <c r="BF646" t="b">
        <f t="shared" si="1281"/>
        <v>0</v>
      </c>
      <c r="BG646" t="b">
        <f t="shared" si="1282"/>
        <v>0</v>
      </c>
      <c r="BH646" t="b">
        <f t="shared" si="1283"/>
        <v>0</v>
      </c>
      <c r="BI646">
        <f t="shared" si="1284"/>
        <v>1</v>
      </c>
      <c r="BJ646" t="b">
        <f t="shared" si="1285"/>
        <v>0</v>
      </c>
      <c r="BK646" t="b">
        <f t="shared" si="1286"/>
        <v>0</v>
      </c>
      <c r="BL646" t="b">
        <f t="shared" si="1287"/>
        <v>0</v>
      </c>
      <c r="BM646" t="b">
        <f t="shared" si="1288"/>
        <v>0</v>
      </c>
      <c r="BN646" t="b">
        <f t="shared" si="1289"/>
        <v>0</v>
      </c>
      <c r="BO646" t="b">
        <f t="shared" si="1290"/>
        <v>0</v>
      </c>
      <c r="BP646" t="b">
        <f t="shared" si="1291"/>
        <v>0</v>
      </c>
      <c r="BQ646" t="b">
        <f t="shared" si="1292"/>
        <v>0</v>
      </c>
      <c r="BR646">
        <f t="shared" si="1293"/>
        <v>1</v>
      </c>
      <c r="BS646" t="b">
        <f t="shared" si="1294"/>
        <v>0</v>
      </c>
      <c r="BT646" t="b">
        <f t="shared" si="1295"/>
        <v>0</v>
      </c>
      <c r="BU646" t="b">
        <f t="shared" si="1296"/>
        <v>0</v>
      </c>
      <c r="BV646" t="b">
        <f t="shared" si="1297"/>
        <v>0</v>
      </c>
      <c r="BW646" t="b">
        <f t="shared" si="1298"/>
        <v>0</v>
      </c>
      <c r="BX646" t="b">
        <f t="shared" si="1299"/>
        <v>0</v>
      </c>
      <c r="BY646" t="b">
        <f t="shared" si="1300"/>
        <v>0</v>
      </c>
      <c r="BZ646" t="b">
        <f t="shared" si="1301"/>
        <v>0</v>
      </c>
      <c r="CA646" t="b">
        <f t="shared" si="1302"/>
        <v>0</v>
      </c>
      <c r="CB646" t="b">
        <f t="shared" si="1303"/>
        <v>0</v>
      </c>
      <c r="CC646" t="b">
        <f t="shared" si="1304"/>
        <v>0</v>
      </c>
      <c r="CD646" t="b">
        <f t="shared" si="1305"/>
        <v>0</v>
      </c>
      <c r="CE646" t="b">
        <f t="shared" si="1306"/>
        <v>0</v>
      </c>
      <c r="CF646" t="b">
        <f t="shared" si="1307"/>
        <v>0</v>
      </c>
      <c r="CG646" t="b">
        <f t="shared" si="1308"/>
        <v>0</v>
      </c>
      <c r="CH646" t="b">
        <f t="shared" si="1309"/>
        <v>0</v>
      </c>
      <c r="CI646" t="b">
        <f t="shared" si="1310"/>
        <v>0</v>
      </c>
      <c r="CJ646" t="b">
        <f t="shared" si="1311"/>
        <v>0</v>
      </c>
      <c r="CK646" t="b">
        <f t="shared" si="1312"/>
        <v>0</v>
      </c>
      <c r="CL646" t="b">
        <f t="shared" si="1313"/>
        <v>0</v>
      </c>
      <c r="CM646">
        <f t="shared" si="1314"/>
        <v>1</v>
      </c>
      <c r="CN646" t="b">
        <f t="shared" si="1315"/>
        <v>0</v>
      </c>
      <c r="CO646" t="b">
        <f t="shared" si="1316"/>
        <v>0</v>
      </c>
      <c r="CP646" t="b">
        <f t="shared" si="1317"/>
        <v>0</v>
      </c>
      <c r="CQ646" t="b">
        <f t="shared" si="1318"/>
        <v>0</v>
      </c>
      <c r="CR646" t="b">
        <f t="shared" si="1319"/>
        <v>0</v>
      </c>
      <c r="CS646" t="b">
        <f t="shared" si="1320"/>
        <v>0</v>
      </c>
      <c r="CT646" t="b">
        <f t="shared" si="1321"/>
        <v>0</v>
      </c>
      <c r="CU646" t="b">
        <f t="shared" si="1322"/>
        <v>0</v>
      </c>
      <c r="CV646" t="b">
        <f t="shared" si="1323"/>
        <v>0</v>
      </c>
      <c r="CW646" t="b">
        <f t="shared" si="1324"/>
        <v>0</v>
      </c>
      <c r="CX646" t="b">
        <f t="shared" si="1325"/>
        <v>0</v>
      </c>
      <c r="CY646" t="b">
        <f t="shared" si="1326"/>
        <v>0</v>
      </c>
      <c r="CZ646" t="b">
        <f t="shared" si="1327"/>
        <v>0</v>
      </c>
      <c r="DA646" t="b">
        <f t="shared" si="1328"/>
        <v>0</v>
      </c>
      <c r="DB646" t="b">
        <f t="shared" si="1329"/>
        <v>0</v>
      </c>
      <c r="DC646" t="b">
        <f t="shared" si="1330"/>
        <v>0</v>
      </c>
      <c r="DD646" t="b">
        <f t="shared" si="1331"/>
        <v>0</v>
      </c>
      <c r="DE646" t="b">
        <f t="shared" si="1332"/>
        <v>0</v>
      </c>
      <c r="DF646" t="b">
        <f t="shared" si="1333"/>
        <v>0</v>
      </c>
      <c r="DG646" t="b">
        <f t="shared" si="1334"/>
        <v>0</v>
      </c>
      <c r="DH646" t="b">
        <f t="shared" si="1335"/>
        <v>0</v>
      </c>
      <c r="DI646" t="b">
        <f t="shared" si="1336"/>
        <v>0</v>
      </c>
      <c r="DJ646" t="b">
        <f t="shared" si="1337"/>
        <v>0</v>
      </c>
      <c r="DK646" t="b">
        <f t="shared" si="1338"/>
        <v>0</v>
      </c>
      <c r="DL646" t="b">
        <f t="shared" si="1339"/>
        <v>0</v>
      </c>
      <c r="DM646" t="b">
        <f t="shared" si="1340"/>
        <v>0</v>
      </c>
      <c r="DN646" t="b">
        <f t="shared" si="1341"/>
        <v>0</v>
      </c>
      <c r="DO646" t="b">
        <f t="shared" si="1342"/>
        <v>0</v>
      </c>
      <c r="DP646" t="b">
        <f t="shared" si="1343"/>
        <v>0</v>
      </c>
      <c r="DQ646" t="b">
        <f t="shared" si="1344"/>
        <v>0</v>
      </c>
      <c r="DR646" t="b">
        <f t="shared" si="1345"/>
        <v>0</v>
      </c>
      <c r="DS646" t="b">
        <f t="shared" si="1346"/>
        <v>0</v>
      </c>
      <c r="DT646" t="b">
        <f t="shared" si="1347"/>
        <v>0</v>
      </c>
      <c r="DU646" t="b">
        <f t="shared" si="1348"/>
        <v>0</v>
      </c>
      <c r="DV646" t="b">
        <f t="shared" si="1349"/>
        <v>0</v>
      </c>
      <c r="DW646" t="b">
        <f t="shared" si="1350"/>
        <v>0</v>
      </c>
      <c r="DX646" t="b">
        <f t="shared" si="1351"/>
        <v>0</v>
      </c>
      <c r="DY646" t="b">
        <f t="shared" si="1352"/>
        <v>0</v>
      </c>
      <c r="DZ646" t="b">
        <f t="shared" si="1353"/>
        <v>0</v>
      </c>
      <c r="EA646" t="b">
        <f t="shared" si="1354"/>
        <v>0</v>
      </c>
      <c r="EB646" t="b">
        <f t="shared" si="1355"/>
        <v>0</v>
      </c>
      <c r="EC646" t="b">
        <f t="shared" si="1356"/>
        <v>0</v>
      </c>
      <c r="ED646" t="b">
        <f t="shared" si="1357"/>
        <v>0</v>
      </c>
      <c r="EE646" t="b">
        <f t="shared" si="1358"/>
        <v>0</v>
      </c>
      <c r="EF646" t="b">
        <f t="shared" si="1359"/>
        <v>0</v>
      </c>
      <c r="EG646">
        <f t="shared" si="1360"/>
        <v>1</v>
      </c>
      <c r="EH646" t="b">
        <f t="shared" si="1361"/>
        <v>0</v>
      </c>
      <c r="EI646" t="b">
        <f t="shared" si="1362"/>
        <v>0</v>
      </c>
      <c r="EJ646" t="b">
        <f t="shared" si="1363"/>
        <v>0</v>
      </c>
      <c r="EK646" t="b">
        <f t="shared" si="1364"/>
        <v>0</v>
      </c>
    </row>
    <row r="647" spans="1:141">
      <c r="A647" t="s">
        <v>3231</v>
      </c>
      <c r="B647" t="s">
        <v>3231</v>
      </c>
      <c r="C647" t="s">
        <v>3232</v>
      </c>
      <c r="D647" s="1">
        <v>43709</v>
      </c>
      <c r="E647" s="2">
        <v>43818.204687500001</v>
      </c>
      <c r="F647" s="2">
        <v>43841.029062499998</v>
      </c>
      <c r="G647">
        <v>172869660</v>
      </c>
      <c r="H647" t="s">
        <v>3233</v>
      </c>
      <c r="I647" s="10" t="s">
        <v>3234</v>
      </c>
      <c r="J647" t="s">
        <v>1567</v>
      </c>
      <c r="K647" s="8" t="b">
        <v>1</v>
      </c>
      <c r="L647" s="10" t="b">
        <v>0</v>
      </c>
      <c r="M647" s="12" t="b">
        <v>0</v>
      </c>
      <c r="N647" t="b">
        <v>0</v>
      </c>
      <c r="O647" t="b">
        <v>0</v>
      </c>
      <c r="P647" t="b">
        <v>0</v>
      </c>
      <c r="Q647">
        <f t="shared" si="1241"/>
        <v>1</v>
      </c>
      <c r="R647">
        <f t="shared" si="1242"/>
        <v>9</v>
      </c>
      <c r="S647" t="e">
        <f t="shared" ca="1" si="1272"/>
        <v>#NAME?</v>
      </c>
      <c r="T647" t="e">
        <f t="shared" ca="1" si="1243"/>
        <v>#NAME?</v>
      </c>
      <c r="U647" s="4">
        <f t="shared" si="1244"/>
        <v>109.20468750000146</v>
      </c>
      <c r="V647" s="4">
        <f t="shared" si="1245"/>
        <v>3.6401562500000484</v>
      </c>
      <c r="W647" s="4">
        <f t="shared" si="1246"/>
        <v>1</v>
      </c>
      <c r="X647" s="4">
        <f t="shared" si="1247"/>
        <v>0</v>
      </c>
      <c r="Y647" s="4">
        <f t="shared" si="1248"/>
        <v>0</v>
      </c>
      <c r="Z647" s="4">
        <f t="shared" si="1249"/>
        <v>0</v>
      </c>
      <c r="AA647" s="4">
        <f t="shared" si="1250"/>
        <v>0</v>
      </c>
      <c r="AB647" s="4">
        <f t="shared" si="1251"/>
        <v>0</v>
      </c>
      <c r="AD647" s="4" t="b">
        <f t="shared" si="1252"/>
        <v>0</v>
      </c>
      <c r="AE647" s="4" t="b">
        <f t="shared" si="1253"/>
        <v>0</v>
      </c>
      <c r="AF647" s="4" t="b">
        <f t="shared" si="1254"/>
        <v>0</v>
      </c>
      <c r="AG647" t="b">
        <f t="shared" si="1255"/>
        <v>0</v>
      </c>
      <c r="AH647" t="b">
        <f t="shared" si="1256"/>
        <v>0</v>
      </c>
      <c r="AI647" t="b">
        <f t="shared" si="1257"/>
        <v>0</v>
      </c>
      <c r="AJ647" t="b">
        <f t="shared" si="1258"/>
        <v>0</v>
      </c>
      <c r="AK647" t="b">
        <f t="shared" si="1259"/>
        <v>0</v>
      </c>
      <c r="AL647" t="b">
        <f t="shared" si="1260"/>
        <v>0</v>
      </c>
      <c r="AM647" t="b">
        <f t="shared" si="1261"/>
        <v>0</v>
      </c>
      <c r="AN647" t="b">
        <f t="shared" si="1262"/>
        <v>0</v>
      </c>
      <c r="AO647" t="b">
        <f t="shared" si="1263"/>
        <v>0</v>
      </c>
      <c r="AP647" t="b">
        <f t="shared" si="1264"/>
        <v>0</v>
      </c>
      <c r="AQ647" t="b">
        <f t="shared" si="1265"/>
        <v>0</v>
      </c>
      <c r="AR647" t="b">
        <f t="shared" si="1266"/>
        <v>0</v>
      </c>
      <c r="AS647" t="b">
        <f t="shared" si="1267"/>
        <v>0</v>
      </c>
      <c r="AT647" t="b">
        <f t="shared" si="1268"/>
        <v>0</v>
      </c>
      <c r="AU647" t="b">
        <f t="shared" si="1269"/>
        <v>0</v>
      </c>
      <c r="AV647" t="b">
        <f t="shared" si="1270"/>
        <v>0</v>
      </c>
      <c r="AW647" t="b">
        <f t="shared" si="1271"/>
        <v>0</v>
      </c>
      <c r="AX647" t="b">
        <f t="shared" si="1273"/>
        <v>0</v>
      </c>
      <c r="AY647" t="b">
        <f t="shared" si="1274"/>
        <v>0</v>
      </c>
      <c r="AZ647" t="b">
        <f t="shared" si="1275"/>
        <v>0</v>
      </c>
      <c r="BA647" t="b">
        <f t="shared" si="1276"/>
        <v>0</v>
      </c>
      <c r="BB647" t="b">
        <f t="shared" si="1277"/>
        <v>0</v>
      </c>
      <c r="BC647" t="b">
        <f t="shared" si="1278"/>
        <v>0</v>
      </c>
      <c r="BD647" t="b">
        <f t="shared" si="1279"/>
        <v>0</v>
      </c>
      <c r="BE647" t="b">
        <f t="shared" si="1280"/>
        <v>0</v>
      </c>
      <c r="BF647" t="b">
        <f t="shared" si="1281"/>
        <v>0</v>
      </c>
      <c r="BG647" t="b">
        <f t="shared" si="1282"/>
        <v>0</v>
      </c>
      <c r="BH647" t="b">
        <f t="shared" si="1283"/>
        <v>0</v>
      </c>
      <c r="BI647">
        <f t="shared" si="1284"/>
        <v>1</v>
      </c>
      <c r="BJ647" t="b">
        <f t="shared" si="1285"/>
        <v>0</v>
      </c>
      <c r="BK647" t="b">
        <f t="shared" si="1286"/>
        <v>0</v>
      </c>
      <c r="BL647" t="b">
        <f t="shared" si="1287"/>
        <v>0</v>
      </c>
      <c r="BM647" t="b">
        <f t="shared" si="1288"/>
        <v>0</v>
      </c>
      <c r="BN647" t="b">
        <f t="shared" si="1289"/>
        <v>0</v>
      </c>
      <c r="BO647" t="b">
        <f t="shared" si="1290"/>
        <v>0</v>
      </c>
      <c r="BP647" t="b">
        <f t="shared" si="1291"/>
        <v>0</v>
      </c>
      <c r="BQ647" t="b">
        <f t="shared" si="1292"/>
        <v>0</v>
      </c>
      <c r="BR647" t="b">
        <f t="shared" si="1293"/>
        <v>0</v>
      </c>
      <c r="BS647" t="b">
        <f t="shared" si="1294"/>
        <v>0</v>
      </c>
      <c r="BT647" t="b">
        <f t="shared" si="1295"/>
        <v>0</v>
      </c>
      <c r="BU647" t="b">
        <f t="shared" si="1296"/>
        <v>0</v>
      </c>
      <c r="BV647" t="b">
        <f t="shared" si="1297"/>
        <v>0</v>
      </c>
      <c r="BW647" t="b">
        <f t="shared" si="1298"/>
        <v>0</v>
      </c>
      <c r="BX647" t="b">
        <f t="shared" si="1299"/>
        <v>0</v>
      </c>
      <c r="BY647" t="b">
        <f t="shared" si="1300"/>
        <v>0</v>
      </c>
      <c r="BZ647" t="b">
        <f t="shared" si="1301"/>
        <v>0</v>
      </c>
      <c r="CA647" t="b">
        <f t="shared" si="1302"/>
        <v>0</v>
      </c>
      <c r="CB647" t="b">
        <f t="shared" si="1303"/>
        <v>0</v>
      </c>
      <c r="CC647" t="b">
        <f t="shared" si="1304"/>
        <v>0</v>
      </c>
      <c r="CD647" t="b">
        <f t="shared" si="1305"/>
        <v>0</v>
      </c>
      <c r="CE647" t="b">
        <f t="shared" si="1306"/>
        <v>0</v>
      </c>
      <c r="CF647" t="b">
        <f t="shared" si="1307"/>
        <v>0</v>
      </c>
      <c r="CG647" t="b">
        <f t="shared" si="1308"/>
        <v>0</v>
      </c>
      <c r="CH647" t="b">
        <f t="shared" si="1309"/>
        <v>0</v>
      </c>
      <c r="CI647" t="b">
        <f t="shared" si="1310"/>
        <v>0</v>
      </c>
      <c r="CJ647" t="b">
        <f t="shared" si="1311"/>
        <v>0</v>
      </c>
      <c r="CK647" t="b">
        <f t="shared" si="1312"/>
        <v>0</v>
      </c>
      <c r="CL647" t="b">
        <f t="shared" si="1313"/>
        <v>0</v>
      </c>
      <c r="CM647" t="b">
        <f t="shared" si="1314"/>
        <v>0</v>
      </c>
      <c r="CN647" t="b">
        <f t="shared" si="1315"/>
        <v>0</v>
      </c>
      <c r="CO647" t="b">
        <f t="shared" si="1316"/>
        <v>0</v>
      </c>
      <c r="CP647" t="b">
        <f t="shared" si="1317"/>
        <v>0</v>
      </c>
      <c r="CQ647" t="b">
        <f t="shared" si="1318"/>
        <v>0</v>
      </c>
      <c r="CR647" t="b">
        <f t="shared" si="1319"/>
        <v>0</v>
      </c>
      <c r="CS647" t="b">
        <f t="shared" si="1320"/>
        <v>0</v>
      </c>
      <c r="CT647" t="b">
        <f t="shared" si="1321"/>
        <v>0</v>
      </c>
      <c r="CU647" t="b">
        <f t="shared" si="1322"/>
        <v>0</v>
      </c>
      <c r="CV647">
        <f t="shared" si="1323"/>
        <v>1</v>
      </c>
      <c r="CW647" t="b">
        <f t="shared" si="1324"/>
        <v>0</v>
      </c>
      <c r="CX647" t="b">
        <f t="shared" si="1325"/>
        <v>0</v>
      </c>
      <c r="CY647" t="b">
        <f t="shared" si="1326"/>
        <v>0</v>
      </c>
      <c r="CZ647" t="b">
        <f t="shared" si="1327"/>
        <v>0</v>
      </c>
      <c r="DA647">
        <f t="shared" si="1328"/>
        <v>1</v>
      </c>
      <c r="DB647" t="b">
        <f t="shared" si="1329"/>
        <v>0</v>
      </c>
      <c r="DC647" t="b">
        <f t="shared" si="1330"/>
        <v>0</v>
      </c>
      <c r="DD647" t="b">
        <f t="shared" si="1331"/>
        <v>0</v>
      </c>
      <c r="DE647" t="b">
        <f t="shared" si="1332"/>
        <v>0</v>
      </c>
      <c r="DF647" t="b">
        <f t="shared" si="1333"/>
        <v>0</v>
      </c>
      <c r="DG647" t="b">
        <f t="shared" si="1334"/>
        <v>0</v>
      </c>
      <c r="DH647" t="b">
        <f t="shared" si="1335"/>
        <v>0</v>
      </c>
      <c r="DI647" t="b">
        <f t="shared" si="1336"/>
        <v>0</v>
      </c>
      <c r="DJ647" t="b">
        <f t="shared" si="1337"/>
        <v>0</v>
      </c>
      <c r="DK647" t="b">
        <f t="shared" si="1338"/>
        <v>0</v>
      </c>
      <c r="DL647" t="b">
        <f t="shared" si="1339"/>
        <v>0</v>
      </c>
      <c r="DM647" t="b">
        <f t="shared" si="1340"/>
        <v>0</v>
      </c>
      <c r="DN647" t="b">
        <f t="shared" si="1341"/>
        <v>0</v>
      </c>
      <c r="DO647" t="b">
        <f t="shared" si="1342"/>
        <v>0</v>
      </c>
      <c r="DP647" t="b">
        <f t="shared" si="1343"/>
        <v>0</v>
      </c>
      <c r="DQ647" t="b">
        <f t="shared" si="1344"/>
        <v>0</v>
      </c>
      <c r="DR647" t="b">
        <f t="shared" si="1345"/>
        <v>0</v>
      </c>
      <c r="DS647" t="b">
        <f t="shared" si="1346"/>
        <v>0</v>
      </c>
      <c r="DT647" t="b">
        <f t="shared" si="1347"/>
        <v>0</v>
      </c>
      <c r="DU647" t="b">
        <f t="shared" si="1348"/>
        <v>0</v>
      </c>
      <c r="DV647" t="b">
        <f t="shared" si="1349"/>
        <v>0</v>
      </c>
      <c r="DW647" t="b">
        <f t="shared" si="1350"/>
        <v>0</v>
      </c>
      <c r="DX647" t="b">
        <f t="shared" si="1351"/>
        <v>0</v>
      </c>
      <c r="DY647" t="b">
        <f t="shared" si="1352"/>
        <v>0</v>
      </c>
      <c r="DZ647" t="b">
        <f t="shared" si="1353"/>
        <v>0</v>
      </c>
      <c r="EA647" t="b">
        <f t="shared" si="1354"/>
        <v>0</v>
      </c>
      <c r="EB647" t="b">
        <f t="shared" si="1355"/>
        <v>0</v>
      </c>
      <c r="EC647" t="b">
        <f t="shared" si="1356"/>
        <v>0</v>
      </c>
      <c r="ED647" t="b">
        <f t="shared" si="1357"/>
        <v>0</v>
      </c>
      <c r="EE647" t="b">
        <f t="shared" si="1358"/>
        <v>0</v>
      </c>
      <c r="EF647">
        <f t="shared" si="1359"/>
        <v>1</v>
      </c>
      <c r="EG647" t="b">
        <f t="shared" si="1360"/>
        <v>0</v>
      </c>
      <c r="EH647" t="b">
        <f t="shared" si="1361"/>
        <v>0</v>
      </c>
      <c r="EI647" t="b">
        <f t="shared" si="1362"/>
        <v>0</v>
      </c>
      <c r="EJ647" t="b">
        <f t="shared" si="1363"/>
        <v>0</v>
      </c>
      <c r="EK647" t="b">
        <f t="shared" si="1364"/>
        <v>0</v>
      </c>
    </row>
    <row r="648" spans="1:141">
      <c r="A648" t="s">
        <v>3235</v>
      </c>
      <c r="B648" t="s">
        <v>3236</v>
      </c>
      <c r="C648" t="s">
        <v>3237</v>
      </c>
      <c r="D648" s="1">
        <v>42590</v>
      </c>
      <c r="E648" s="2">
        <v>42732.293946759259</v>
      </c>
      <c r="F648" s="2">
        <v>42732.293946759259</v>
      </c>
      <c r="G648">
        <v>4946850</v>
      </c>
      <c r="H648" t="s">
        <v>3238</v>
      </c>
      <c r="I648" s="10" t="s">
        <v>3239</v>
      </c>
      <c r="J648" t="s">
        <v>156</v>
      </c>
      <c r="K648" s="8" t="b">
        <v>1</v>
      </c>
      <c r="L648" s="10" t="b">
        <v>0</v>
      </c>
      <c r="M648" s="12" t="b">
        <v>0</v>
      </c>
      <c r="N648" t="b">
        <v>0</v>
      </c>
      <c r="O648" t="b">
        <v>0</v>
      </c>
      <c r="P648" t="b">
        <v>0</v>
      </c>
      <c r="Q648">
        <f t="shared" si="1241"/>
        <v>2</v>
      </c>
      <c r="R648">
        <f t="shared" si="1242"/>
        <v>8</v>
      </c>
      <c r="S648" t="e">
        <f t="shared" ca="1" si="1272"/>
        <v>#NAME?</v>
      </c>
      <c r="T648" t="e">
        <f t="shared" ca="1" si="1243"/>
        <v>#NAME?</v>
      </c>
      <c r="U648" s="4">
        <f t="shared" si="1244"/>
        <v>142.29394675925869</v>
      </c>
      <c r="V648" s="4">
        <f t="shared" si="1245"/>
        <v>4.7431315586419567</v>
      </c>
      <c r="W648" s="4">
        <f t="shared" si="1246"/>
        <v>1</v>
      </c>
      <c r="X648" s="4">
        <f t="shared" si="1247"/>
        <v>0</v>
      </c>
      <c r="Y648" s="4">
        <f t="shared" si="1248"/>
        <v>0</v>
      </c>
      <c r="Z648" s="4">
        <f t="shared" si="1249"/>
        <v>0</v>
      </c>
      <c r="AA648" s="4">
        <f t="shared" si="1250"/>
        <v>0</v>
      </c>
      <c r="AB648" s="4">
        <f t="shared" si="1251"/>
        <v>0</v>
      </c>
      <c r="AD648" s="4" t="b">
        <f t="shared" si="1252"/>
        <v>0</v>
      </c>
      <c r="AE648" s="4" t="b">
        <f t="shared" si="1253"/>
        <v>0</v>
      </c>
      <c r="AF648" s="4" t="b">
        <f t="shared" si="1254"/>
        <v>0</v>
      </c>
      <c r="AG648" t="b">
        <f t="shared" si="1255"/>
        <v>0</v>
      </c>
      <c r="AH648" t="b">
        <f t="shared" si="1256"/>
        <v>0</v>
      </c>
      <c r="AI648" t="b">
        <f t="shared" si="1257"/>
        <v>0</v>
      </c>
      <c r="AJ648" t="b">
        <f t="shared" si="1258"/>
        <v>0</v>
      </c>
      <c r="AK648" t="b">
        <f t="shared" si="1259"/>
        <v>0</v>
      </c>
      <c r="AL648" t="b">
        <f t="shared" si="1260"/>
        <v>0</v>
      </c>
      <c r="AM648" t="b">
        <f t="shared" si="1261"/>
        <v>0</v>
      </c>
      <c r="AN648" t="b">
        <f t="shared" si="1262"/>
        <v>0</v>
      </c>
      <c r="AO648" t="b">
        <f t="shared" si="1263"/>
        <v>0</v>
      </c>
      <c r="AP648" t="b">
        <f t="shared" si="1264"/>
        <v>0</v>
      </c>
      <c r="AQ648" t="b">
        <f t="shared" si="1265"/>
        <v>0</v>
      </c>
      <c r="AR648" t="b">
        <f t="shared" si="1266"/>
        <v>0</v>
      </c>
      <c r="AS648" t="b">
        <f t="shared" si="1267"/>
        <v>0</v>
      </c>
      <c r="AT648" t="b">
        <f t="shared" si="1268"/>
        <v>0</v>
      </c>
      <c r="AU648" t="b">
        <f t="shared" si="1269"/>
        <v>0</v>
      </c>
      <c r="AV648" t="b">
        <f t="shared" si="1270"/>
        <v>0</v>
      </c>
      <c r="AW648" t="b">
        <f t="shared" si="1271"/>
        <v>0</v>
      </c>
      <c r="AX648" t="b">
        <f t="shared" si="1273"/>
        <v>0</v>
      </c>
      <c r="AY648" t="b">
        <f t="shared" si="1274"/>
        <v>0</v>
      </c>
      <c r="AZ648" t="b">
        <f t="shared" si="1275"/>
        <v>0</v>
      </c>
      <c r="BA648" t="b">
        <f t="shared" si="1276"/>
        <v>0</v>
      </c>
      <c r="BB648" t="b">
        <f t="shared" si="1277"/>
        <v>0</v>
      </c>
      <c r="BC648" t="b">
        <f t="shared" si="1278"/>
        <v>0</v>
      </c>
      <c r="BD648" t="b">
        <f t="shared" si="1279"/>
        <v>0</v>
      </c>
      <c r="BE648" t="b">
        <f t="shared" si="1280"/>
        <v>0</v>
      </c>
      <c r="BF648" t="b">
        <f t="shared" si="1281"/>
        <v>0</v>
      </c>
      <c r="BG648" t="b">
        <f t="shared" si="1282"/>
        <v>0</v>
      </c>
      <c r="BH648" t="b">
        <f t="shared" si="1283"/>
        <v>0</v>
      </c>
      <c r="BI648">
        <f t="shared" si="1284"/>
        <v>1</v>
      </c>
      <c r="BJ648" t="b">
        <f t="shared" si="1285"/>
        <v>0</v>
      </c>
      <c r="BK648" t="b">
        <f t="shared" si="1286"/>
        <v>0</v>
      </c>
      <c r="BL648" t="b">
        <f t="shared" si="1287"/>
        <v>0</v>
      </c>
      <c r="BM648" t="b">
        <f t="shared" si="1288"/>
        <v>0</v>
      </c>
      <c r="BN648" t="b">
        <f t="shared" si="1289"/>
        <v>0</v>
      </c>
      <c r="BO648" t="b">
        <f t="shared" si="1290"/>
        <v>0</v>
      </c>
      <c r="BP648" t="b">
        <f t="shared" si="1291"/>
        <v>0</v>
      </c>
      <c r="BQ648" t="b">
        <f t="shared" si="1292"/>
        <v>0</v>
      </c>
      <c r="BR648" t="b">
        <f t="shared" si="1293"/>
        <v>0</v>
      </c>
      <c r="BS648" t="b">
        <f t="shared" si="1294"/>
        <v>0</v>
      </c>
      <c r="BT648" t="b">
        <f t="shared" si="1295"/>
        <v>0</v>
      </c>
      <c r="BU648" t="b">
        <f t="shared" si="1296"/>
        <v>0</v>
      </c>
      <c r="BV648" t="b">
        <f t="shared" si="1297"/>
        <v>0</v>
      </c>
      <c r="BW648" t="b">
        <f t="shared" si="1298"/>
        <v>0</v>
      </c>
      <c r="BX648" t="b">
        <f t="shared" si="1299"/>
        <v>0</v>
      </c>
      <c r="BY648" t="b">
        <f t="shared" si="1300"/>
        <v>0</v>
      </c>
      <c r="BZ648" t="b">
        <f t="shared" si="1301"/>
        <v>0</v>
      </c>
      <c r="CA648" t="b">
        <f t="shared" si="1302"/>
        <v>0</v>
      </c>
      <c r="CB648" t="b">
        <f t="shared" si="1303"/>
        <v>0</v>
      </c>
      <c r="CC648" t="b">
        <f t="shared" si="1304"/>
        <v>0</v>
      </c>
      <c r="CD648" t="b">
        <f t="shared" si="1305"/>
        <v>0</v>
      </c>
      <c r="CE648" t="b">
        <f t="shared" si="1306"/>
        <v>0</v>
      </c>
      <c r="CF648" t="b">
        <f t="shared" si="1307"/>
        <v>0</v>
      </c>
      <c r="CG648" t="b">
        <f t="shared" si="1308"/>
        <v>0</v>
      </c>
      <c r="CH648" t="b">
        <f t="shared" si="1309"/>
        <v>0</v>
      </c>
      <c r="CI648" t="b">
        <f t="shared" si="1310"/>
        <v>0</v>
      </c>
      <c r="CJ648" t="b">
        <f t="shared" si="1311"/>
        <v>0</v>
      </c>
      <c r="CK648" t="b">
        <f t="shared" si="1312"/>
        <v>0</v>
      </c>
      <c r="CL648" t="b">
        <f t="shared" si="1313"/>
        <v>0</v>
      </c>
      <c r="CM648" t="b">
        <f t="shared" si="1314"/>
        <v>0</v>
      </c>
      <c r="CN648" t="b">
        <f t="shared" si="1315"/>
        <v>0</v>
      </c>
      <c r="CO648" t="b">
        <f t="shared" si="1316"/>
        <v>0</v>
      </c>
      <c r="CP648" t="b">
        <f t="shared" si="1317"/>
        <v>0</v>
      </c>
      <c r="CQ648" t="b">
        <f t="shared" si="1318"/>
        <v>0</v>
      </c>
      <c r="CR648" t="b">
        <f t="shared" si="1319"/>
        <v>0</v>
      </c>
      <c r="CS648" t="b">
        <f t="shared" si="1320"/>
        <v>0</v>
      </c>
      <c r="CT648" t="b">
        <f t="shared" si="1321"/>
        <v>0</v>
      </c>
      <c r="CU648" t="b">
        <f t="shared" si="1322"/>
        <v>0</v>
      </c>
      <c r="CV648">
        <f t="shared" si="1323"/>
        <v>1</v>
      </c>
      <c r="CW648" t="b">
        <f t="shared" si="1324"/>
        <v>0</v>
      </c>
      <c r="CX648" t="b">
        <f t="shared" si="1325"/>
        <v>0</v>
      </c>
      <c r="CY648" t="b">
        <f t="shared" si="1326"/>
        <v>0</v>
      </c>
      <c r="CZ648" t="b">
        <f t="shared" si="1327"/>
        <v>0</v>
      </c>
      <c r="DA648" t="b">
        <f t="shared" si="1328"/>
        <v>0</v>
      </c>
      <c r="DB648" t="b">
        <f t="shared" si="1329"/>
        <v>0</v>
      </c>
      <c r="DC648" t="b">
        <f t="shared" si="1330"/>
        <v>0</v>
      </c>
      <c r="DD648" t="b">
        <f t="shared" si="1331"/>
        <v>0</v>
      </c>
      <c r="DE648" t="b">
        <f t="shared" si="1332"/>
        <v>0</v>
      </c>
      <c r="DF648" t="b">
        <f t="shared" si="1333"/>
        <v>0</v>
      </c>
      <c r="DG648" t="b">
        <f t="shared" si="1334"/>
        <v>0</v>
      </c>
      <c r="DH648" t="b">
        <f t="shared" si="1335"/>
        <v>0</v>
      </c>
      <c r="DI648" t="b">
        <f t="shared" si="1336"/>
        <v>0</v>
      </c>
      <c r="DJ648" t="b">
        <f t="shared" si="1337"/>
        <v>0</v>
      </c>
      <c r="DK648" t="b">
        <f t="shared" si="1338"/>
        <v>0</v>
      </c>
      <c r="DL648" t="b">
        <f t="shared" si="1339"/>
        <v>0</v>
      </c>
      <c r="DM648" t="b">
        <f t="shared" si="1340"/>
        <v>0</v>
      </c>
      <c r="DN648" t="b">
        <f t="shared" si="1341"/>
        <v>0</v>
      </c>
      <c r="DO648" t="b">
        <f t="shared" si="1342"/>
        <v>0</v>
      </c>
      <c r="DP648" t="b">
        <f t="shared" si="1343"/>
        <v>0</v>
      </c>
      <c r="DQ648" t="b">
        <f t="shared" si="1344"/>
        <v>0</v>
      </c>
      <c r="DR648" t="b">
        <f t="shared" si="1345"/>
        <v>0</v>
      </c>
      <c r="DS648" t="b">
        <f t="shared" si="1346"/>
        <v>0</v>
      </c>
      <c r="DT648" t="b">
        <f t="shared" si="1347"/>
        <v>0</v>
      </c>
      <c r="DU648" t="b">
        <f t="shared" si="1348"/>
        <v>0</v>
      </c>
      <c r="DV648" t="b">
        <f t="shared" si="1349"/>
        <v>0</v>
      </c>
      <c r="DW648" t="b">
        <f t="shared" si="1350"/>
        <v>0</v>
      </c>
      <c r="DX648" t="b">
        <f t="shared" si="1351"/>
        <v>0</v>
      </c>
      <c r="DY648" t="b">
        <f t="shared" si="1352"/>
        <v>0</v>
      </c>
      <c r="DZ648" t="b">
        <f t="shared" si="1353"/>
        <v>0</v>
      </c>
      <c r="EA648" t="b">
        <f t="shared" si="1354"/>
        <v>0</v>
      </c>
      <c r="EB648" t="b">
        <f t="shared" si="1355"/>
        <v>0</v>
      </c>
      <c r="EC648" t="b">
        <f t="shared" si="1356"/>
        <v>0</v>
      </c>
      <c r="ED648" t="b">
        <f t="shared" si="1357"/>
        <v>0</v>
      </c>
      <c r="EE648" t="b">
        <f t="shared" si="1358"/>
        <v>0</v>
      </c>
      <c r="EF648">
        <f t="shared" si="1359"/>
        <v>1</v>
      </c>
      <c r="EG648" t="b">
        <f t="shared" si="1360"/>
        <v>0</v>
      </c>
      <c r="EH648" t="b">
        <f t="shared" si="1361"/>
        <v>0</v>
      </c>
      <c r="EI648" t="b">
        <f t="shared" si="1362"/>
        <v>0</v>
      </c>
      <c r="EJ648" t="b">
        <f t="shared" si="1363"/>
        <v>0</v>
      </c>
      <c r="EK648" t="b">
        <f t="shared" si="1364"/>
        <v>0</v>
      </c>
    </row>
    <row r="649" spans="1:141">
      <c r="A649" t="s">
        <v>3240</v>
      </c>
      <c r="B649" t="s">
        <v>3241</v>
      </c>
      <c r="C649" t="s">
        <v>3242</v>
      </c>
      <c r="D649" s="1">
        <v>42135</v>
      </c>
      <c r="E649" s="2">
        <v>42136.993148148147</v>
      </c>
      <c r="F649" s="2">
        <v>42136.993148148147</v>
      </c>
      <c r="G649">
        <v>3474763</v>
      </c>
      <c r="H649" t="s">
        <v>3243</v>
      </c>
      <c r="I649" s="10" t="s">
        <v>3244</v>
      </c>
      <c r="J649" t="s">
        <v>3245</v>
      </c>
      <c r="K649" s="8" t="b">
        <v>1</v>
      </c>
      <c r="L649" s="10" t="b">
        <v>0</v>
      </c>
      <c r="M649" s="12" t="b">
        <v>0</v>
      </c>
      <c r="N649" t="b">
        <v>0</v>
      </c>
      <c r="O649" t="b">
        <v>0</v>
      </c>
      <c r="P649" t="b">
        <v>0</v>
      </c>
      <c r="Q649">
        <f t="shared" si="1241"/>
        <v>2</v>
      </c>
      <c r="R649">
        <f t="shared" si="1242"/>
        <v>5</v>
      </c>
      <c r="S649" t="e">
        <f t="shared" ca="1" si="1272"/>
        <v>#NAME?</v>
      </c>
      <c r="T649" t="e">
        <f t="shared" ca="1" si="1243"/>
        <v>#NAME?</v>
      </c>
      <c r="U649" s="4">
        <f t="shared" si="1244"/>
        <v>1.9931481481471565</v>
      </c>
      <c r="V649" s="4">
        <f t="shared" si="1245"/>
        <v>6.6438271604905216E-2</v>
      </c>
      <c r="W649" s="4">
        <f t="shared" si="1246"/>
        <v>1</v>
      </c>
      <c r="X649" s="4">
        <f t="shared" si="1247"/>
        <v>0</v>
      </c>
      <c r="Y649" s="4">
        <f t="shared" si="1248"/>
        <v>0</v>
      </c>
      <c r="Z649" s="4">
        <f t="shared" si="1249"/>
        <v>0</v>
      </c>
      <c r="AA649" s="4">
        <f t="shared" si="1250"/>
        <v>0</v>
      </c>
      <c r="AB649" s="4">
        <f t="shared" si="1251"/>
        <v>0</v>
      </c>
      <c r="AD649" s="4" t="b">
        <f t="shared" si="1252"/>
        <v>0</v>
      </c>
      <c r="AE649" s="4" t="b">
        <f t="shared" si="1253"/>
        <v>0</v>
      </c>
      <c r="AF649" s="4" t="b">
        <f t="shared" si="1254"/>
        <v>0</v>
      </c>
      <c r="AG649" t="b">
        <f t="shared" si="1255"/>
        <v>0</v>
      </c>
      <c r="AH649" t="b">
        <f t="shared" si="1256"/>
        <v>0</v>
      </c>
      <c r="AI649" t="b">
        <f t="shared" si="1257"/>
        <v>0</v>
      </c>
      <c r="AJ649" t="b">
        <f t="shared" si="1258"/>
        <v>0</v>
      </c>
      <c r="AK649" t="b">
        <f t="shared" si="1259"/>
        <v>0</v>
      </c>
      <c r="AL649" t="b">
        <f t="shared" si="1260"/>
        <v>0</v>
      </c>
      <c r="AM649" t="b">
        <f t="shared" si="1261"/>
        <v>0</v>
      </c>
      <c r="AN649" t="b">
        <f t="shared" si="1262"/>
        <v>0</v>
      </c>
      <c r="AO649" t="b">
        <f t="shared" si="1263"/>
        <v>0</v>
      </c>
      <c r="AP649" t="b">
        <f t="shared" si="1264"/>
        <v>0</v>
      </c>
      <c r="AQ649" t="b">
        <f t="shared" si="1265"/>
        <v>0</v>
      </c>
      <c r="AR649" t="b">
        <f t="shared" si="1266"/>
        <v>0</v>
      </c>
      <c r="AS649" t="b">
        <f t="shared" si="1267"/>
        <v>0</v>
      </c>
      <c r="AT649" t="b">
        <f t="shared" si="1268"/>
        <v>0</v>
      </c>
      <c r="AU649" t="b">
        <f t="shared" si="1269"/>
        <v>0</v>
      </c>
      <c r="AV649" t="b">
        <f t="shared" si="1270"/>
        <v>0</v>
      </c>
      <c r="AW649" t="b">
        <f t="shared" si="1271"/>
        <v>0</v>
      </c>
      <c r="AX649" t="b">
        <f t="shared" si="1273"/>
        <v>0</v>
      </c>
      <c r="AY649" t="b">
        <f t="shared" si="1274"/>
        <v>0</v>
      </c>
      <c r="AZ649">
        <f t="shared" si="1275"/>
        <v>1</v>
      </c>
      <c r="BA649" t="b">
        <f t="shared" si="1276"/>
        <v>0</v>
      </c>
      <c r="BB649" t="b">
        <f t="shared" si="1277"/>
        <v>0</v>
      </c>
      <c r="BC649" t="b">
        <f t="shared" si="1278"/>
        <v>0</v>
      </c>
      <c r="BD649" t="b">
        <f t="shared" si="1279"/>
        <v>0</v>
      </c>
      <c r="BE649" t="b">
        <f t="shared" si="1280"/>
        <v>0</v>
      </c>
      <c r="BF649" t="b">
        <f t="shared" si="1281"/>
        <v>0</v>
      </c>
      <c r="BG649" t="b">
        <f t="shared" si="1282"/>
        <v>0</v>
      </c>
      <c r="BH649" t="b">
        <f t="shared" si="1283"/>
        <v>0</v>
      </c>
      <c r="BI649">
        <f t="shared" si="1284"/>
        <v>1</v>
      </c>
      <c r="BJ649" t="b">
        <f t="shared" si="1285"/>
        <v>0</v>
      </c>
      <c r="BK649" t="b">
        <f t="shared" si="1286"/>
        <v>0</v>
      </c>
      <c r="BL649" t="b">
        <f t="shared" si="1287"/>
        <v>0</v>
      </c>
      <c r="BM649" t="b">
        <f t="shared" si="1288"/>
        <v>0</v>
      </c>
      <c r="BN649" t="b">
        <f t="shared" si="1289"/>
        <v>0</v>
      </c>
      <c r="BO649" t="b">
        <f t="shared" si="1290"/>
        <v>0</v>
      </c>
      <c r="BP649" t="b">
        <f t="shared" si="1291"/>
        <v>0</v>
      </c>
      <c r="BQ649" t="b">
        <f t="shared" si="1292"/>
        <v>0</v>
      </c>
      <c r="BR649">
        <f t="shared" si="1293"/>
        <v>1</v>
      </c>
      <c r="BS649">
        <f t="shared" si="1294"/>
        <v>1</v>
      </c>
      <c r="BT649" t="b">
        <f t="shared" si="1295"/>
        <v>0</v>
      </c>
      <c r="BU649" t="b">
        <f t="shared" si="1296"/>
        <v>0</v>
      </c>
      <c r="BV649" t="b">
        <f t="shared" si="1297"/>
        <v>0</v>
      </c>
      <c r="BW649" t="b">
        <f t="shared" si="1298"/>
        <v>0</v>
      </c>
      <c r="BX649" t="b">
        <f t="shared" si="1299"/>
        <v>0</v>
      </c>
      <c r="BY649" t="b">
        <f t="shared" si="1300"/>
        <v>0</v>
      </c>
      <c r="BZ649" t="b">
        <f t="shared" si="1301"/>
        <v>0</v>
      </c>
      <c r="CA649" t="b">
        <f t="shared" si="1302"/>
        <v>0</v>
      </c>
      <c r="CB649" t="b">
        <f t="shared" si="1303"/>
        <v>0</v>
      </c>
      <c r="CC649" t="b">
        <f t="shared" si="1304"/>
        <v>0</v>
      </c>
      <c r="CD649" t="b">
        <f t="shared" si="1305"/>
        <v>0</v>
      </c>
      <c r="CE649">
        <f t="shared" si="1306"/>
        <v>1</v>
      </c>
      <c r="CF649" t="b">
        <f t="shared" si="1307"/>
        <v>0</v>
      </c>
      <c r="CG649" t="b">
        <f t="shared" si="1308"/>
        <v>0</v>
      </c>
      <c r="CH649" t="b">
        <f t="shared" si="1309"/>
        <v>0</v>
      </c>
      <c r="CI649" t="b">
        <f t="shared" si="1310"/>
        <v>0</v>
      </c>
      <c r="CJ649" t="b">
        <f t="shared" si="1311"/>
        <v>0</v>
      </c>
      <c r="CK649" t="b">
        <f t="shared" si="1312"/>
        <v>0</v>
      </c>
      <c r="CL649" t="b">
        <f t="shared" si="1313"/>
        <v>0</v>
      </c>
      <c r="CM649" t="b">
        <f t="shared" si="1314"/>
        <v>0</v>
      </c>
      <c r="CN649" t="b">
        <f t="shared" si="1315"/>
        <v>0</v>
      </c>
      <c r="CO649" t="b">
        <f t="shared" si="1316"/>
        <v>0</v>
      </c>
      <c r="CP649" t="b">
        <f t="shared" si="1317"/>
        <v>0</v>
      </c>
      <c r="CQ649" t="b">
        <f t="shared" si="1318"/>
        <v>0</v>
      </c>
      <c r="CR649" t="b">
        <f t="shared" si="1319"/>
        <v>0</v>
      </c>
      <c r="CS649" t="b">
        <f t="shared" si="1320"/>
        <v>0</v>
      </c>
      <c r="CT649" t="b">
        <f t="shared" si="1321"/>
        <v>0</v>
      </c>
      <c r="CU649" t="b">
        <f t="shared" si="1322"/>
        <v>0</v>
      </c>
      <c r="CV649">
        <f t="shared" si="1323"/>
        <v>1</v>
      </c>
      <c r="CW649" t="b">
        <f t="shared" si="1324"/>
        <v>0</v>
      </c>
      <c r="CX649" t="b">
        <f t="shared" si="1325"/>
        <v>0</v>
      </c>
      <c r="CY649" t="b">
        <f t="shared" si="1326"/>
        <v>0</v>
      </c>
      <c r="CZ649" t="b">
        <f t="shared" si="1327"/>
        <v>0</v>
      </c>
      <c r="DA649" t="b">
        <f t="shared" si="1328"/>
        <v>0</v>
      </c>
      <c r="DB649" t="b">
        <f t="shared" si="1329"/>
        <v>0</v>
      </c>
      <c r="DC649" t="b">
        <f t="shared" si="1330"/>
        <v>0</v>
      </c>
      <c r="DD649" t="b">
        <f t="shared" si="1331"/>
        <v>0</v>
      </c>
      <c r="DE649" t="b">
        <f t="shared" si="1332"/>
        <v>0</v>
      </c>
      <c r="DF649" t="b">
        <f t="shared" si="1333"/>
        <v>0</v>
      </c>
      <c r="DG649" t="b">
        <f t="shared" si="1334"/>
        <v>0</v>
      </c>
      <c r="DH649" t="b">
        <f t="shared" si="1335"/>
        <v>0</v>
      </c>
      <c r="DI649" t="b">
        <f t="shared" si="1336"/>
        <v>0</v>
      </c>
      <c r="DJ649" t="b">
        <f t="shared" si="1337"/>
        <v>0</v>
      </c>
      <c r="DK649" t="b">
        <f t="shared" si="1338"/>
        <v>0</v>
      </c>
      <c r="DL649" t="b">
        <f t="shared" si="1339"/>
        <v>0</v>
      </c>
      <c r="DM649" t="b">
        <f t="shared" si="1340"/>
        <v>0</v>
      </c>
      <c r="DN649" t="b">
        <f t="shared" si="1341"/>
        <v>0</v>
      </c>
      <c r="DO649" t="b">
        <f t="shared" si="1342"/>
        <v>0</v>
      </c>
      <c r="DP649" t="b">
        <f t="shared" si="1343"/>
        <v>0</v>
      </c>
      <c r="DQ649" t="b">
        <f t="shared" si="1344"/>
        <v>0</v>
      </c>
      <c r="DR649" t="b">
        <f t="shared" si="1345"/>
        <v>0</v>
      </c>
      <c r="DS649" t="b">
        <f t="shared" si="1346"/>
        <v>0</v>
      </c>
      <c r="DT649" t="b">
        <f t="shared" si="1347"/>
        <v>0</v>
      </c>
      <c r="DU649" t="b">
        <f t="shared" si="1348"/>
        <v>0</v>
      </c>
      <c r="DV649" t="b">
        <f t="shared" si="1349"/>
        <v>0</v>
      </c>
      <c r="DW649" t="b">
        <f t="shared" si="1350"/>
        <v>0</v>
      </c>
      <c r="DX649" t="b">
        <f t="shared" si="1351"/>
        <v>0</v>
      </c>
      <c r="DY649" t="b">
        <f t="shared" si="1352"/>
        <v>0</v>
      </c>
      <c r="DZ649" t="b">
        <f t="shared" si="1353"/>
        <v>0</v>
      </c>
      <c r="EA649">
        <f t="shared" si="1354"/>
        <v>1</v>
      </c>
      <c r="EB649" t="b">
        <f t="shared" si="1355"/>
        <v>0</v>
      </c>
      <c r="EC649" t="b">
        <f t="shared" si="1356"/>
        <v>0</v>
      </c>
      <c r="ED649" t="b">
        <f t="shared" si="1357"/>
        <v>0</v>
      </c>
      <c r="EE649" t="b">
        <f t="shared" si="1358"/>
        <v>0</v>
      </c>
      <c r="EF649" t="b">
        <f t="shared" si="1359"/>
        <v>0</v>
      </c>
      <c r="EG649" t="b">
        <f t="shared" si="1360"/>
        <v>0</v>
      </c>
      <c r="EH649" t="b">
        <f t="shared" si="1361"/>
        <v>0</v>
      </c>
      <c r="EI649" t="b">
        <f t="shared" si="1362"/>
        <v>0</v>
      </c>
      <c r="EJ649" t="b">
        <f t="shared" si="1363"/>
        <v>0</v>
      </c>
      <c r="EK649" t="b">
        <f t="shared" si="1364"/>
        <v>0</v>
      </c>
    </row>
    <row r="650" spans="1:141">
      <c r="A650" t="s">
        <v>3246</v>
      </c>
      <c r="B650" t="s">
        <v>3247</v>
      </c>
      <c r="C650" t="s">
        <v>3248</v>
      </c>
      <c r="D650" s="1">
        <v>43917</v>
      </c>
      <c r="E650" s="2">
        <v>44045.232430555552</v>
      </c>
      <c r="F650" s="2">
        <v>44045.232430555552</v>
      </c>
      <c r="G650">
        <v>1298651</v>
      </c>
      <c r="H650" t="s">
        <v>3249</v>
      </c>
      <c r="I650" s="10" t="s">
        <v>3250</v>
      </c>
      <c r="J650" t="s">
        <v>3251</v>
      </c>
      <c r="K650" s="8" t="b">
        <v>1</v>
      </c>
      <c r="L650" s="10" t="b">
        <v>0</v>
      </c>
      <c r="M650" s="12" t="b">
        <v>0</v>
      </c>
      <c r="N650" t="b">
        <v>0</v>
      </c>
      <c r="O650" t="b">
        <v>0</v>
      </c>
      <c r="P650" t="b">
        <v>0</v>
      </c>
      <c r="Q650">
        <f t="shared" si="1241"/>
        <v>6</v>
      </c>
      <c r="R650">
        <f t="shared" si="1242"/>
        <v>3</v>
      </c>
      <c r="S650" t="e">
        <f t="shared" ca="1" si="1272"/>
        <v>#NAME?</v>
      </c>
      <c r="T650" t="e">
        <f t="shared" ca="1" si="1243"/>
        <v>#NAME?</v>
      </c>
      <c r="U650" s="4">
        <f t="shared" si="1244"/>
        <v>128.23243055555213</v>
      </c>
      <c r="V650" s="4">
        <f t="shared" si="1245"/>
        <v>4.2744143518517372</v>
      </c>
      <c r="W650" s="4">
        <f t="shared" si="1246"/>
        <v>1</v>
      </c>
      <c r="X650" s="4">
        <f t="shared" si="1247"/>
        <v>0</v>
      </c>
      <c r="Y650" s="4">
        <f t="shared" si="1248"/>
        <v>0</v>
      </c>
      <c r="Z650" s="4">
        <f t="shared" si="1249"/>
        <v>0</v>
      </c>
      <c r="AA650" s="4">
        <f t="shared" si="1250"/>
        <v>0</v>
      </c>
      <c r="AB650" s="4">
        <f t="shared" si="1251"/>
        <v>0</v>
      </c>
      <c r="AD650" s="4" t="b">
        <f t="shared" si="1252"/>
        <v>0</v>
      </c>
      <c r="AE650" s="4" t="b">
        <f t="shared" si="1253"/>
        <v>0</v>
      </c>
      <c r="AF650" s="4" t="b">
        <f t="shared" si="1254"/>
        <v>0</v>
      </c>
      <c r="AG650" t="b">
        <f t="shared" si="1255"/>
        <v>0</v>
      </c>
      <c r="AH650" t="b">
        <f t="shared" si="1256"/>
        <v>0</v>
      </c>
      <c r="AI650" t="b">
        <f t="shared" si="1257"/>
        <v>0</v>
      </c>
      <c r="AJ650" t="b">
        <f t="shared" si="1258"/>
        <v>0</v>
      </c>
      <c r="AK650" t="b">
        <f t="shared" si="1259"/>
        <v>0</v>
      </c>
      <c r="AL650" t="b">
        <f t="shared" si="1260"/>
        <v>0</v>
      </c>
      <c r="AM650" t="b">
        <f t="shared" si="1261"/>
        <v>0</v>
      </c>
      <c r="AN650" t="b">
        <f t="shared" si="1262"/>
        <v>0</v>
      </c>
      <c r="AO650" t="b">
        <f t="shared" si="1263"/>
        <v>0</v>
      </c>
      <c r="AP650" t="b">
        <f t="shared" si="1264"/>
        <v>0</v>
      </c>
      <c r="AQ650" t="b">
        <f t="shared" si="1265"/>
        <v>0</v>
      </c>
      <c r="AR650" t="b">
        <f t="shared" si="1266"/>
        <v>0</v>
      </c>
      <c r="AS650" t="b">
        <f t="shared" si="1267"/>
        <v>0</v>
      </c>
      <c r="AT650" t="b">
        <f t="shared" si="1268"/>
        <v>0</v>
      </c>
      <c r="AU650" t="b">
        <f t="shared" si="1269"/>
        <v>0</v>
      </c>
      <c r="AV650" t="b">
        <f t="shared" si="1270"/>
        <v>0</v>
      </c>
      <c r="AW650" t="b">
        <f t="shared" si="1271"/>
        <v>0</v>
      </c>
      <c r="AX650" t="b">
        <f t="shared" si="1273"/>
        <v>0</v>
      </c>
      <c r="AY650" t="b">
        <f t="shared" si="1274"/>
        <v>0</v>
      </c>
      <c r="AZ650" t="b">
        <f t="shared" si="1275"/>
        <v>0</v>
      </c>
      <c r="BA650" t="b">
        <f t="shared" si="1276"/>
        <v>0</v>
      </c>
      <c r="BB650" t="b">
        <f t="shared" si="1277"/>
        <v>0</v>
      </c>
      <c r="BC650" t="b">
        <f t="shared" si="1278"/>
        <v>0</v>
      </c>
      <c r="BD650" t="b">
        <f t="shared" si="1279"/>
        <v>0</v>
      </c>
      <c r="BE650" t="b">
        <f t="shared" si="1280"/>
        <v>0</v>
      </c>
      <c r="BF650" t="b">
        <f t="shared" si="1281"/>
        <v>0</v>
      </c>
      <c r="BG650" t="b">
        <f t="shared" si="1282"/>
        <v>0</v>
      </c>
      <c r="BH650" t="b">
        <f t="shared" si="1283"/>
        <v>0</v>
      </c>
      <c r="BI650">
        <f t="shared" si="1284"/>
        <v>1</v>
      </c>
      <c r="BJ650" t="b">
        <f t="shared" si="1285"/>
        <v>0</v>
      </c>
      <c r="BK650" t="b">
        <f t="shared" si="1286"/>
        <v>0</v>
      </c>
      <c r="BL650" t="b">
        <f t="shared" si="1287"/>
        <v>0</v>
      </c>
      <c r="BM650" t="b">
        <f t="shared" si="1288"/>
        <v>0</v>
      </c>
      <c r="BN650" t="b">
        <f t="shared" si="1289"/>
        <v>0</v>
      </c>
      <c r="BO650" t="b">
        <f t="shared" si="1290"/>
        <v>0</v>
      </c>
      <c r="BP650" t="b">
        <f t="shared" si="1291"/>
        <v>0</v>
      </c>
      <c r="BQ650" t="b">
        <f t="shared" si="1292"/>
        <v>0</v>
      </c>
      <c r="BR650" t="b">
        <f t="shared" si="1293"/>
        <v>0</v>
      </c>
      <c r="BS650" t="b">
        <f t="shared" si="1294"/>
        <v>0</v>
      </c>
      <c r="BT650" t="b">
        <f t="shared" si="1295"/>
        <v>0</v>
      </c>
      <c r="BU650" t="b">
        <f t="shared" si="1296"/>
        <v>0</v>
      </c>
      <c r="BV650" t="b">
        <f t="shared" si="1297"/>
        <v>0</v>
      </c>
      <c r="BW650" t="b">
        <f t="shared" si="1298"/>
        <v>0</v>
      </c>
      <c r="BX650" t="b">
        <f t="shared" si="1299"/>
        <v>0</v>
      </c>
      <c r="BY650" t="b">
        <f t="shared" si="1300"/>
        <v>0</v>
      </c>
      <c r="BZ650" t="b">
        <f t="shared" si="1301"/>
        <v>0</v>
      </c>
      <c r="CA650" t="b">
        <f t="shared" si="1302"/>
        <v>0</v>
      </c>
      <c r="CB650" t="b">
        <f t="shared" si="1303"/>
        <v>0</v>
      </c>
      <c r="CC650" t="b">
        <f t="shared" si="1304"/>
        <v>0</v>
      </c>
      <c r="CD650" t="b">
        <f t="shared" si="1305"/>
        <v>0</v>
      </c>
      <c r="CE650" t="b">
        <f t="shared" si="1306"/>
        <v>0</v>
      </c>
      <c r="CF650" t="b">
        <f t="shared" si="1307"/>
        <v>0</v>
      </c>
      <c r="CG650" t="b">
        <f t="shared" si="1308"/>
        <v>0</v>
      </c>
      <c r="CH650" t="b">
        <f t="shared" si="1309"/>
        <v>0</v>
      </c>
      <c r="CI650" t="b">
        <f t="shared" si="1310"/>
        <v>0</v>
      </c>
      <c r="CJ650" t="b">
        <f t="shared" si="1311"/>
        <v>0</v>
      </c>
      <c r="CK650" t="b">
        <f t="shared" si="1312"/>
        <v>0</v>
      </c>
      <c r="CL650" t="b">
        <f t="shared" si="1313"/>
        <v>0</v>
      </c>
      <c r="CM650">
        <f t="shared" si="1314"/>
        <v>1</v>
      </c>
      <c r="CN650" t="b">
        <f t="shared" si="1315"/>
        <v>0</v>
      </c>
      <c r="CO650" t="b">
        <f t="shared" si="1316"/>
        <v>0</v>
      </c>
      <c r="CP650" t="b">
        <f t="shared" si="1317"/>
        <v>0</v>
      </c>
      <c r="CQ650" t="b">
        <f t="shared" si="1318"/>
        <v>0</v>
      </c>
      <c r="CR650" t="b">
        <f t="shared" si="1319"/>
        <v>0</v>
      </c>
      <c r="CS650" t="b">
        <f t="shared" si="1320"/>
        <v>0</v>
      </c>
      <c r="CT650" t="b">
        <f t="shared" si="1321"/>
        <v>0</v>
      </c>
      <c r="CU650" t="b">
        <f t="shared" si="1322"/>
        <v>0</v>
      </c>
      <c r="CV650" t="b">
        <f t="shared" si="1323"/>
        <v>0</v>
      </c>
      <c r="CW650" t="b">
        <f t="shared" si="1324"/>
        <v>0</v>
      </c>
      <c r="CX650" t="b">
        <f t="shared" si="1325"/>
        <v>0</v>
      </c>
      <c r="CY650" t="b">
        <f t="shared" si="1326"/>
        <v>0</v>
      </c>
      <c r="CZ650" t="b">
        <f t="shared" si="1327"/>
        <v>0</v>
      </c>
      <c r="DA650">
        <f t="shared" si="1328"/>
        <v>1</v>
      </c>
      <c r="DB650" t="b">
        <f t="shared" si="1329"/>
        <v>0</v>
      </c>
      <c r="DC650" t="b">
        <f t="shared" si="1330"/>
        <v>0</v>
      </c>
      <c r="DD650" t="b">
        <f t="shared" si="1331"/>
        <v>0</v>
      </c>
      <c r="DE650" t="b">
        <f t="shared" si="1332"/>
        <v>0</v>
      </c>
      <c r="DF650" t="b">
        <f t="shared" si="1333"/>
        <v>0</v>
      </c>
      <c r="DG650" t="b">
        <f t="shared" si="1334"/>
        <v>0</v>
      </c>
      <c r="DH650" t="b">
        <f t="shared" si="1335"/>
        <v>0</v>
      </c>
      <c r="DI650" t="b">
        <f t="shared" si="1336"/>
        <v>0</v>
      </c>
      <c r="DJ650" t="b">
        <f t="shared" si="1337"/>
        <v>0</v>
      </c>
      <c r="DK650" t="b">
        <f t="shared" si="1338"/>
        <v>0</v>
      </c>
      <c r="DL650" t="b">
        <f t="shared" si="1339"/>
        <v>0</v>
      </c>
      <c r="DM650" t="b">
        <f t="shared" si="1340"/>
        <v>0</v>
      </c>
      <c r="DN650" t="b">
        <f t="shared" si="1341"/>
        <v>0</v>
      </c>
      <c r="DO650" t="b">
        <f t="shared" si="1342"/>
        <v>0</v>
      </c>
      <c r="DP650" t="b">
        <f t="shared" si="1343"/>
        <v>0</v>
      </c>
      <c r="DQ650" t="b">
        <f t="shared" si="1344"/>
        <v>0</v>
      </c>
      <c r="DR650" t="b">
        <f t="shared" si="1345"/>
        <v>0</v>
      </c>
      <c r="DS650" t="b">
        <f t="shared" si="1346"/>
        <v>0</v>
      </c>
      <c r="DT650" t="b">
        <f t="shared" si="1347"/>
        <v>0</v>
      </c>
      <c r="DU650" t="b">
        <f t="shared" si="1348"/>
        <v>0</v>
      </c>
      <c r="DV650" t="b">
        <f t="shared" si="1349"/>
        <v>0</v>
      </c>
      <c r="DW650" t="b">
        <f t="shared" si="1350"/>
        <v>0</v>
      </c>
      <c r="DX650" t="b">
        <f t="shared" si="1351"/>
        <v>0</v>
      </c>
      <c r="DY650" t="b">
        <f t="shared" si="1352"/>
        <v>0</v>
      </c>
      <c r="DZ650" t="b">
        <f t="shared" si="1353"/>
        <v>0</v>
      </c>
      <c r="EA650" t="b">
        <f t="shared" si="1354"/>
        <v>0</v>
      </c>
      <c r="EB650" t="b">
        <f t="shared" si="1355"/>
        <v>0</v>
      </c>
      <c r="EC650" t="b">
        <f t="shared" si="1356"/>
        <v>0</v>
      </c>
      <c r="ED650" t="b">
        <f t="shared" si="1357"/>
        <v>0</v>
      </c>
      <c r="EE650" t="b">
        <f t="shared" si="1358"/>
        <v>0</v>
      </c>
      <c r="EF650">
        <f t="shared" si="1359"/>
        <v>1</v>
      </c>
      <c r="EG650" t="b">
        <f t="shared" si="1360"/>
        <v>0</v>
      </c>
      <c r="EH650" t="b">
        <f t="shared" si="1361"/>
        <v>0</v>
      </c>
      <c r="EI650" t="b">
        <f t="shared" si="1362"/>
        <v>0</v>
      </c>
      <c r="EJ650" t="b">
        <f t="shared" si="1363"/>
        <v>0</v>
      </c>
      <c r="EK650" t="b">
        <f t="shared" si="1364"/>
        <v>0</v>
      </c>
    </row>
    <row r="651" spans="1:141">
      <c r="AD651" s="4" t="str">
        <f>AD1</f>
        <v>'Account balances'</v>
      </c>
      <c r="AE651" s="4" t="str">
        <f t="shared" ref="AE651:CP651" si="1365">AE1</f>
        <v>'Address book contacts'</v>
      </c>
      <c r="AF651" s="4" t="str">
        <f t="shared" si="1365"/>
        <v>'Age groups'</v>
      </c>
      <c r="AG651" s="4" t="str">
        <f t="shared" si="1365"/>
        <v>'Apps installed on devices'</v>
      </c>
      <c r="AH651" s="4" t="str">
        <f t="shared" si="1365"/>
        <v>'Astrological signs'</v>
      </c>
      <c r="AI651" s="4" t="str">
        <f t="shared" si="1365"/>
        <v>'Auth tokens'</v>
      </c>
      <c r="AJ651" s="4" t="str">
        <f t="shared" si="1365"/>
        <v>'Avatars'</v>
      </c>
      <c r="AK651" s="4" t="str">
        <f t="shared" si="1365"/>
        <v>'Bank account numbers'</v>
      </c>
      <c r="AL651" s="4" t="str">
        <f t="shared" si="1365"/>
        <v>'Beauty ratings'</v>
      </c>
      <c r="AM651" s="4" t="str">
        <f t="shared" si="1365"/>
        <v>'Biometric data'</v>
      </c>
      <c r="AN651" s="4" t="str">
        <f t="shared" si="1365"/>
        <v>'Bios'</v>
      </c>
      <c r="AO651" s="4" t="str">
        <f t="shared" si="1365"/>
        <v xml:space="preserve">'Browser user agent details' </v>
      </c>
      <c r="AP651" s="4" t="str">
        <f t="shared" si="1365"/>
        <v>'Buying preferences'</v>
      </c>
      <c r="AQ651" s="4" t="str">
        <f t="shared" si="1365"/>
        <v>'Car ownership statuses'</v>
      </c>
      <c r="AR651" s="4" t="str">
        <f t="shared" si="1365"/>
        <v>'Cellular network names'</v>
      </c>
      <c r="AS651" s="4" t="str">
        <f t="shared" si="1365"/>
        <v>'Charitable donations'</v>
      </c>
      <c r="AT651" s="4" t="str">
        <f t="shared" si="1365"/>
        <v>'Chat logs'</v>
      </c>
      <c r="AU651" s="4" t="str">
        <f t="shared" si="1365"/>
        <v>'Credit card CVV'</v>
      </c>
      <c r="AV651" s="4" t="str">
        <f t="shared" si="1365"/>
        <v>'Credit cards'</v>
      </c>
      <c r="AW651" s="4" t="str">
        <f t="shared" si="1365"/>
        <v>'Credit status information'</v>
      </c>
      <c r="AX651" s="4" t="str">
        <f t="shared" si="1365"/>
        <v>'Customer feedback'</v>
      </c>
      <c r="AY651" s="4" t="str">
        <f t="shared" si="1365"/>
        <v xml:space="preserve">'Customer interactions'  </v>
      </c>
      <c r="AZ651" s="4" t="str">
        <f t="shared" si="1365"/>
        <v>'Dates of birth'</v>
      </c>
      <c r="BA651" s="4" t="str">
        <f t="shared" si="1365"/>
        <v>'Deceased statuses'</v>
      </c>
      <c r="BB651" s="4" t="str">
        <f t="shared" si="1365"/>
        <v>'Device information'</v>
      </c>
      <c r="BC651" s="4" t="str">
        <f t="shared" si="1365"/>
        <v>'Device serial numbers'</v>
      </c>
      <c r="BD651" s="4" t="str">
        <f t="shared" si="1365"/>
        <v>'Device usage tracking data'</v>
      </c>
      <c r="BE651" s="4" t="str">
        <f t="shared" si="1365"/>
        <v>'Drinking habits'</v>
      </c>
      <c r="BF651" s="4" t="str">
        <f t="shared" si="1365"/>
        <v xml:space="preserve">'Drinking habits' </v>
      </c>
      <c r="BG651" s="4" t="str">
        <f t="shared" si="1365"/>
        <v>'Drug habits'</v>
      </c>
      <c r="BH651" s="4" t="str">
        <f t="shared" si="1365"/>
        <v>'Education levels'</v>
      </c>
      <c r="BI651" s="4" t="str">
        <f t="shared" si="1365"/>
        <v>'Email addresses'</v>
      </c>
      <c r="BJ651" s="4" t="str">
        <f t="shared" si="1365"/>
        <v>'Employers'</v>
      </c>
      <c r="BK651" s="4" t="str">
        <f t="shared" si="1365"/>
        <v xml:space="preserve">'Ethnicities' </v>
      </c>
      <c r="BL651" s="4" t="str">
        <f t="shared" si="1365"/>
        <v>'Family members' names'</v>
      </c>
      <c r="BM651" s="4" t="str">
        <f t="shared" si="1365"/>
        <v>'Family structure</v>
      </c>
      <c r="BN651" s="4" t="str">
        <f t="shared" si="1365"/>
        <v>'Financial investments'</v>
      </c>
      <c r="BO651" s="4" t="str">
        <f t="shared" si="1365"/>
        <v>'Financial transactions'</v>
      </c>
      <c r="BP651" s="4" t="str">
        <f t="shared" si="1365"/>
        <v>'Fitness levels'</v>
      </c>
      <c r="BQ651" s="4" t="str">
        <f t="shared" si="1365"/>
        <v>'Flights taken'</v>
      </c>
      <c r="BR651" s="4" t="str">
        <f t="shared" si="1365"/>
        <v>'Genders'</v>
      </c>
      <c r="BS651" s="4" t="str">
        <f t="shared" si="1365"/>
        <v>'Geographic locations'</v>
      </c>
      <c r="BT651" s="4" t="str">
        <f t="shared" si="1365"/>
        <v>'Government issued IDs'</v>
      </c>
      <c r="BU651" s="4" t="str">
        <f t="shared" si="1365"/>
        <v xml:space="preserve">'Health insurance information' </v>
      </c>
      <c r="BV651" s="4" t="str">
        <f t="shared" si="1365"/>
        <v>'Historical passwords'</v>
      </c>
      <c r="BW651" s="4" t="str">
        <f t="shared" si="1365"/>
        <v>'HIV statuses'</v>
      </c>
      <c r="BX651" s="4" t="str">
        <f t="shared" si="1365"/>
        <v>'Home loan information'</v>
      </c>
      <c r="BY651" s="4" t="str">
        <f t="shared" si="1365"/>
        <v>'Home ownership statuses</v>
      </c>
      <c r="BZ651" s="4" t="str">
        <f t="shared" si="1365"/>
        <v>'Homepage URLs'</v>
      </c>
      <c r="CA651" s="4" t="str">
        <f t="shared" si="1365"/>
        <v>'IMEI numbers'</v>
      </c>
      <c r="CB651" s="4" t="str">
        <f t="shared" si="1365"/>
        <v xml:space="preserve">'IMSI numbers' </v>
      </c>
      <c r="CC651" s="4" t="str">
        <f t="shared" si="1365"/>
        <v>'Income levels'</v>
      </c>
      <c r="CD651" s="4" t="str">
        <f t="shared" si="1365"/>
        <v>'Instant messenger identities'</v>
      </c>
      <c r="CE651" s="4" t="str">
        <f t="shared" si="1365"/>
        <v>'IP addresses'</v>
      </c>
      <c r="CF651" s="4" t="str">
        <f t="shared" si="1365"/>
        <v xml:space="preserve">'Job applications' </v>
      </c>
      <c r="CG651" s="4" t="str">
        <f t="shared" si="1365"/>
        <v xml:space="preserve">'Job titles' </v>
      </c>
      <c r="CH651" s="4" t="str">
        <f t="shared" si="1365"/>
        <v>'Licence plates'</v>
      </c>
      <c r="CI651" s="4" t="str">
        <f t="shared" si="1365"/>
        <v>'Login histories'</v>
      </c>
      <c r="CJ651" s="4" t="str">
        <f t="shared" si="1365"/>
        <v>'MAC addresses'</v>
      </c>
      <c r="CK651" s="4" t="str">
        <f t="shared" si="1365"/>
        <v>'Marital statuses'</v>
      </c>
      <c r="CL651" s="4" t="str">
        <f t="shared" si="1365"/>
        <v>'Mnemonic phrases'</v>
      </c>
      <c r="CM651" s="4" t="str">
        <f t="shared" si="1365"/>
        <v>'Names'</v>
      </c>
      <c r="CN651" s="4" t="str">
        <f t="shared" si="1365"/>
        <v>'Nationalities'</v>
      </c>
      <c r="CO651" s="4" t="str">
        <f t="shared" si="1365"/>
        <v>'Net worths'</v>
      </c>
      <c r="CP651" s="4" t="str">
        <f t="shared" si="1365"/>
        <v xml:space="preserve">'Nicknames' </v>
      </c>
      <c r="CQ651" s="4" t="str">
        <f t="shared" ref="CQ651:EK651" si="1366">CQ1</f>
        <v>'Occupations'</v>
      </c>
      <c r="CR651" s="4" t="str">
        <f t="shared" si="1366"/>
        <v>'Parenting plans</v>
      </c>
      <c r="CS651" s="4" t="str">
        <f t="shared" si="1366"/>
        <v xml:space="preserve">'Partial credit card data' </v>
      </c>
      <c r="CT651" s="4" t="str">
        <f t="shared" si="1366"/>
        <v>'Partial phone numbers'</v>
      </c>
      <c r="CU651" s="4" t="str">
        <f t="shared" si="1366"/>
        <v>'Passport numbers'</v>
      </c>
      <c r="CV651" s="4" t="str">
        <f t="shared" si="1366"/>
        <v>'Passwords'</v>
      </c>
      <c r="CW651" s="4" t="str">
        <f t="shared" si="1366"/>
        <v>'Payment histories'</v>
      </c>
      <c r="CX651" s="4" t="str">
        <f t="shared" si="1366"/>
        <v>'Payment methods'</v>
      </c>
      <c r="CY651" s="4" t="str">
        <f t="shared" si="1366"/>
        <v>'Personal descriptions'</v>
      </c>
      <c r="CZ651" s="4" t="str">
        <f t="shared" si="1366"/>
        <v>'Personal health data'</v>
      </c>
      <c r="DA651" s="4" t="str">
        <f t="shared" si="1366"/>
        <v>'Phone numbers'</v>
      </c>
      <c r="DB651" s="4" t="str">
        <f t="shared" si="1366"/>
        <v>'Physical addresses'</v>
      </c>
      <c r="DC651" s="4" t="str">
        <f t="shared" si="1366"/>
        <v>'Physical attributes'</v>
      </c>
      <c r="DD651" s="4" t="str">
        <f t="shared" si="1366"/>
        <v>'PINs'</v>
      </c>
      <c r="DE651" s="4" t="str">
        <f t="shared" si="1366"/>
        <v>'Political donations'</v>
      </c>
      <c r="DF651" s="4" t="str">
        <f t="shared" si="1366"/>
        <v>'Political views'</v>
      </c>
      <c r="DG651" s="4" t="str">
        <f t="shared" si="1366"/>
        <v>'Private messages'</v>
      </c>
      <c r="DH651" s="4" t="str">
        <f t="shared" si="1366"/>
        <v>'Professional skills'</v>
      </c>
      <c r="DI651" s="4" t="str">
        <f t="shared" si="1366"/>
        <v>'Profile photos'</v>
      </c>
      <c r="DJ651" s="4" t="str">
        <f t="shared" si="1366"/>
        <v>'Purchases'</v>
      </c>
      <c r="DK651" s="4" t="str">
        <f t="shared" si="1366"/>
        <v>'Purchasing habits'</v>
      </c>
      <c r="DL651" s="4" t="str">
        <f t="shared" si="1366"/>
        <v>'Races'</v>
      </c>
      <c r="DM651" s="4" t="str">
        <f t="shared" si="1366"/>
        <v>'Recovery email addresses'</v>
      </c>
      <c r="DN651" s="4" t="str">
        <f t="shared" si="1366"/>
        <v>'Relationship statuses'</v>
      </c>
      <c r="DO651" s="4" t="str">
        <f t="shared" si="1366"/>
        <v xml:space="preserve">'Religions' </v>
      </c>
      <c r="DP651" s="4" t="str">
        <f t="shared" si="1366"/>
        <v>'Reward program balances'</v>
      </c>
      <c r="DQ651" s="4" t="str">
        <f t="shared" si="1366"/>
        <v>'Salutations'</v>
      </c>
      <c r="DR651" s="4" t="str">
        <f t="shared" si="1366"/>
        <v>'School grades (class levels)</v>
      </c>
      <c r="DS651" s="4" t="str">
        <f t="shared" si="1366"/>
        <v>'Security questions and answers'</v>
      </c>
      <c r="DT651" s="4" t="str">
        <f t="shared" si="1366"/>
        <v>'Sexual fetishes'</v>
      </c>
      <c r="DU651" s="4" t="str">
        <f t="shared" si="1366"/>
        <v>'Sexual orientations'</v>
      </c>
      <c r="DV651" s="4" t="str">
        <f t="shared" si="1366"/>
        <v>'Smoking habits'</v>
      </c>
      <c r="DW651" s="4" t="str">
        <f t="shared" si="1366"/>
        <v>'SMS messages'</v>
      </c>
      <c r="DX651" s="4" t="str">
        <f t="shared" si="1366"/>
        <v>'Social connections'</v>
      </c>
      <c r="DY651" s="4" t="str">
        <f t="shared" si="1366"/>
        <v>'Social media profiles'</v>
      </c>
      <c r="DZ651" s="4" t="str">
        <f t="shared" si="1366"/>
        <v>'Social security numbers'</v>
      </c>
      <c r="EA651" s="4" t="str">
        <f t="shared" si="1366"/>
        <v>'Spoken languages'</v>
      </c>
      <c r="EB651" s="4" t="str">
        <f t="shared" si="1366"/>
        <v>'Survey results'</v>
      </c>
      <c r="EC651" s="4" t="str">
        <f t="shared" si="1366"/>
        <v>'Time zones'</v>
      </c>
      <c r="ED651" s="4" t="str">
        <f t="shared" si="1366"/>
        <v xml:space="preserve">'Travel habits' </v>
      </c>
      <c r="EE651" s="4" t="str">
        <f t="shared" si="1366"/>
        <v>'User website URLs'</v>
      </c>
      <c r="EF651" s="4" t="str">
        <f t="shared" si="1366"/>
        <v>'Usernames'</v>
      </c>
      <c r="EG651" s="4" t="str">
        <f t="shared" si="1366"/>
        <v>'Vehicle details'</v>
      </c>
      <c r="EH651" s="4" t="str">
        <f t="shared" si="1366"/>
        <v>'Vehicle identification numbers (VINs)'</v>
      </c>
      <c r="EI651" s="4" t="str">
        <f t="shared" si="1366"/>
        <v>'Website activity'</v>
      </c>
      <c r="EJ651" s="4" t="str">
        <f t="shared" si="1366"/>
        <v>'Work habits'</v>
      </c>
      <c r="EK651" s="4" t="str">
        <f t="shared" si="1366"/>
        <v>'Years of professional experience'</v>
      </c>
    </row>
    <row r="652" spans="1:141">
      <c r="AD652" t="s">
        <v>3252</v>
      </c>
      <c r="AE652" t="s">
        <v>3252</v>
      </c>
      <c r="AF652" t="s">
        <v>3252</v>
      </c>
      <c r="AG652" t="s">
        <v>3252</v>
      </c>
      <c r="AH652" t="s">
        <v>3252</v>
      </c>
      <c r="AI652" t="s">
        <v>3252</v>
      </c>
      <c r="AJ652" t="s">
        <v>3252</v>
      </c>
      <c r="AK652" t="s">
        <v>3252</v>
      </c>
      <c r="AL652" t="s">
        <v>3252</v>
      </c>
      <c r="AM652" t="s">
        <v>3252</v>
      </c>
      <c r="AN652" t="s">
        <v>3252</v>
      </c>
      <c r="AO652" t="s">
        <v>3252</v>
      </c>
      <c r="AP652" t="s">
        <v>3252</v>
      </c>
      <c r="AQ652" t="s">
        <v>3252</v>
      </c>
      <c r="AR652" t="s">
        <v>3252</v>
      </c>
      <c r="AS652" t="s">
        <v>3252</v>
      </c>
      <c r="AT652" t="s">
        <v>3252</v>
      </c>
      <c r="AU652" t="s">
        <v>3252</v>
      </c>
      <c r="AV652" t="s">
        <v>3252</v>
      </c>
      <c r="AW652" t="s">
        <v>3252</v>
      </c>
      <c r="AX652" t="s">
        <v>3252</v>
      </c>
      <c r="AY652" t="s">
        <v>3252</v>
      </c>
      <c r="AZ652" t="s">
        <v>3252</v>
      </c>
      <c r="BA652" t="s">
        <v>3252</v>
      </c>
      <c r="BB652" t="s">
        <v>3252</v>
      </c>
      <c r="BC652" t="s">
        <v>3252</v>
      </c>
      <c r="BD652" t="s">
        <v>3252</v>
      </c>
      <c r="BE652" t="s">
        <v>3252</v>
      </c>
      <c r="BF652" t="s">
        <v>3252</v>
      </c>
      <c r="BG652" t="s">
        <v>3252</v>
      </c>
      <c r="BH652" t="s">
        <v>3252</v>
      </c>
      <c r="BI652" t="s">
        <v>3252</v>
      </c>
      <c r="BJ652" t="s">
        <v>3252</v>
      </c>
      <c r="BK652" t="s">
        <v>3252</v>
      </c>
      <c r="BL652" t="s">
        <v>3252</v>
      </c>
      <c r="BM652" t="s">
        <v>3252</v>
      </c>
      <c r="BN652" t="s">
        <v>3252</v>
      </c>
      <c r="BO652" t="s">
        <v>3252</v>
      </c>
      <c r="BP652" t="s">
        <v>3252</v>
      </c>
      <c r="BQ652" t="s">
        <v>3252</v>
      </c>
      <c r="BR652" t="s">
        <v>3252</v>
      </c>
      <c r="BS652" t="s">
        <v>3252</v>
      </c>
      <c r="BT652" t="s">
        <v>3252</v>
      </c>
      <c r="BU652" t="s">
        <v>3252</v>
      </c>
      <c r="BV652" t="s">
        <v>3252</v>
      </c>
      <c r="BW652" t="s">
        <v>3252</v>
      </c>
      <c r="BX652" t="s">
        <v>3252</v>
      </c>
      <c r="BY652" t="s">
        <v>3252</v>
      </c>
      <c r="BZ652" t="s">
        <v>3252</v>
      </c>
      <c r="CA652" t="s">
        <v>3252</v>
      </c>
      <c r="CB652" t="s">
        <v>3252</v>
      </c>
      <c r="CC652" t="s">
        <v>3252</v>
      </c>
      <c r="CD652" t="s">
        <v>3252</v>
      </c>
      <c r="CE652" t="s">
        <v>3252</v>
      </c>
      <c r="CF652" t="s">
        <v>3252</v>
      </c>
      <c r="CG652" t="s">
        <v>3252</v>
      </c>
      <c r="CH652" t="s">
        <v>3252</v>
      </c>
      <c r="CI652" t="s">
        <v>3252</v>
      </c>
      <c r="CJ652" t="s">
        <v>3252</v>
      </c>
      <c r="CK652" t="s">
        <v>3252</v>
      </c>
      <c r="CL652" t="s">
        <v>3252</v>
      </c>
      <c r="CM652" t="s">
        <v>3252</v>
      </c>
      <c r="CN652" t="s">
        <v>3252</v>
      </c>
      <c r="CO652" t="s">
        <v>3252</v>
      </c>
      <c r="CP652" t="s">
        <v>3252</v>
      </c>
      <c r="CQ652" t="s">
        <v>3252</v>
      </c>
      <c r="CR652" t="s">
        <v>3252</v>
      </c>
      <c r="CS652" t="s">
        <v>3252</v>
      </c>
      <c r="CT652" t="s">
        <v>3252</v>
      </c>
      <c r="CU652" t="s">
        <v>3252</v>
      </c>
      <c r="CV652" t="s">
        <v>3252</v>
      </c>
      <c r="CW652" t="s">
        <v>3252</v>
      </c>
      <c r="CX652" t="s">
        <v>3252</v>
      </c>
      <c r="CY652" t="s">
        <v>3252</v>
      </c>
      <c r="CZ652" t="s">
        <v>3252</v>
      </c>
      <c r="DA652" t="s">
        <v>3252</v>
      </c>
      <c r="DB652" t="s">
        <v>3252</v>
      </c>
      <c r="DC652" t="s">
        <v>3252</v>
      </c>
      <c r="DD652" t="s">
        <v>3252</v>
      </c>
      <c r="DE652" t="s">
        <v>3252</v>
      </c>
      <c r="DF652" t="s">
        <v>3252</v>
      </c>
      <c r="DG652" t="s">
        <v>3252</v>
      </c>
      <c r="DH652" t="s">
        <v>3252</v>
      </c>
      <c r="DI652" t="s">
        <v>3252</v>
      </c>
      <c r="DJ652" t="s">
        <v>3252</v>
      </c>
      <c r="DK652" t="s">
        <v>3252</v>
      </c>
      <c r="DL652" t="s">
        <v>3252</v>
      </c>
      <c r="DM652" t="s">
        <v>3252</v>
      </c>
      <c r="DN652" t="s">
        <v>3252</v>
      </c>
      <c r="DO652" t="s">
        <v>3252</v>
      </c>
      <c r="DP652" t="s">
        <v>3252</v>
      </c>
      <c r="DQ652" t="s">
        <v>3252</v>
      </c>
      <c r="DR652" t="s">
        <v>3252</v>
      </c>
      <c r="DS652" t="s">
        <v>3252</v>
      </c>
      <c r="DT652" t="s">
        <v>3252</v>
      </c>
      <c r="DU652" t="s">
        <v>3252</v>
      </c>
      <c r="DV652" t="s">
        <v>3252</v>
      </c>
      <c r="DW652" t="s">
        <v>3252</v>
      </c>
      <c r="DX652" t="s">
        <v>3252</v>
      </c>
      <c r="DY652" t="s">
        <v>3252</v>
      </c>
      <c r="DZ652" t="s">
        <v>3252</v>
      </c>
      <c r="EA652" t="s">
        <v>3252</v>
      </c>
      <c r="EB652" t="s">
        <v>3252</v>
      </c>
      <c r="EC652" t="s">
        <v>3252</v>
      </c>
      <c r="ED652" t="s">
        <v>3252</v>
      </c>
      <c r="EE652" t="s">
        <v>3252</v>
      </c>
      <c r="EF652" t="s">
        <v>3252</v>
      </c>
      <c r="EG652" t="s">
        <v>3252</v>
      </c>
      <c r="EH652" t="s">
        <v>3252</v>
      </c>
      <c r="EI652" t="s">
        <v>3252</v>
      </c>
      <c r="EJ652" t="s">
        <v>3252</v>
      </c>
      <c r="EK652" t="s">
        <v>3252</v>
      </c>
    </row>
    <row r="653" spans="1:141">
      <c r="AD653">
        <f>COUNTIF(AD2:AD650,1)</f>
        <v>8</v>
      </c>
      <c r="AE653">
        <f t="shared" ref="AE653:CP653" si="1367">COUNTIF(AE2:AE650,1)</f>
        <v>1</v>
      </c>
      <c r="AF653">
        <f t="shared" si="1367"/>
        <v>3</v>
      </c>
      <c r="AG653">
        <f t="shared" si="1367"/>
        <v>1</v>
      </c>
      <c r="AH653">
        <f t="shared" si="1367"/>
        <v>1</v>
      </c>
      <c r="AI653">
        <f t="shared" si="1367"/>
        <v>9</v>
      </c>
      <c r="AJ653">
        <f t="shared" si="1367"/>
        <v>8</v>
      </c>
      <c r="AK653">
        <f t="shared" si="1367"/>
        <v>7</v>
      </c>
      <c r="AL653">
        <f t="shared" si="1367"/>
        <v>1</v>
      </c>
      <c r="AM653">
        <f t="shared" si="1367"/>
        <v>1</v>
      </c>
      <c r="AN653">
        <f t="shared" si="1367"/>
        <v>7</v>
      </c>
      <c r="AO653">
        <f t="shared" si="1367"/>
        <v>0</v>
      </c>
      <c r="AP653">
        <f t="shared" si="1367"/>
        <v>1</v>
      </c>
      <c r="AQ653">
        <f t="shared" si="1367"/>
        <v>1</v>
      </c>
      <c r="AR653">
        <f t="shared" si="1367"/>
        <v>1</v>
      </c>
      <c r="AS653">
        <f t="shared" si="1367"/>
        <v>1</v>
      </c>
      <c r="AT653">
        <f t="shared" si="1367"/>
        <v>3</v>
      </c>
      <c r="AU653">
        <f t="shared" si="1367"/>
        <v>1</v>
      </c>
      <c r="AV653">
        <f t="shared" si="1367"/>
        <v>5</v>
      </c>
      <c r="AW653">
        <f t="shared" si="1367"/>
        <v>5</v>
      </c>
      <c r="AX653">
        <f t="shared" si="1367"/>
        <v>1</v>
      </c>
      <c r="AY653">
        <f t="shared" si="1367"/>
        <v>0</v>
      </c>
      <c r="AZ653">
        <f t="shared" si="1367"/>
        <v>170</v>
      </c>
      <c r="BA653">
        <f t="shared" si="1367"/>
        <v>1</v>
      </c>
      <c r="BB653">
        <f t="shared" si="1367"/>
        <v>12</v>
      </c>
      <c r="BC653">
        <f t="shared" si="1367"/>
        <v>1</v>
      </c>
      <c r="BD653">
        <f t="shared" si="1367"/>
        <v>1</v>
      </c>
      <c r="BE653">
        <f t="shared" si="1367"/>
        <v>5</v>
      </c>
      <c r="BF653">
        <f t="shared" si="1367"/>
        <v>0</v>
      </c>
      <c r="BG653">
        <f t="shared" si="1367"/>
        <v>2</v>
      </c>
      <c r="BH653">
        <f t="shared" si="1367"/>
        <v>10</v>
      </c>
      <c r="BI653">
        <f t="shared" si="1367"/>
        <v>643</v>
      </c>
      <c r="BJ653">
        <f t="shared" si="1367"/>
        <v>25</v>
      </c>
      <c r="BK653">
        <f t="shared" si="1367"/>
        <v>0</v>
      </c>
      <c r="BL653">
        <f t="shared" si="1367"/>
        <v>0</v>
      </c>
      <c r="BM653">
        <f t="shared" si="1367"/>
        <v>7</v>
      </c>
      <c r="BN653">
        <f t="shared" si="1367"/>
        <v>2</v>
      </c>
      <c r="BO653">
        <f t="shared" si="1367"/>
        <v>2</v>
      </c>
      <c r="BP653">
        <f t="shared" si="1367"/>
        <v>1</v>
      </c>
      <c r="BQ653">
        <f t="shared" si="1367"/>
        <v>1</v>
      </c>
      <c r="BR653">
        <f t="shared" si="1367"/>
        <v>127</v>
      </c>
      <c r="BS653">
        <f t="shared" si="1367"/>
        <v>89</v>
      </c>
      <c r="BT653">
        <f t="shared" si="1367"/>
        <v>11</v>
      </c>
      <c r="BU653">
        <f t="shared" si="1367"/>
        <v>0</v>
      </c>
      <c r="BV653">
        <f t="shared" si="1367"/>
        <v>5</v>
      </c>
      <c r="BW653">
        <f t="shared" si="1367"/>
        <v>1</v>
      </c>
      <c r="BX653">
        <f t="shared" si="1367"/>
        <v>1</v>
      </c>
      <c r="BY653">
        <f t="shared" si="1367"/>
        <v>5</v>
      </c>
      <c r="BZ653">
        <f t="shared" si="1367"/>
        <v>2</v>
      </c>
      <c r="CA653">
        <f t="shared" si="1367"/>
        <v>2</v>
      </c>
      <c r="CB653">
        <f t="shared" si="1367"/>
        <v>0</v>
      </c>
      <c r="CC653">
        <f t="shared" si="1367"/>
        <v>12</v>
      </c>
      <c r="CD653">
        <f t="shared" si="1367"/>
        <v>8</v>
      </c>
      <c r="CE653">
        <f t="shared" si="1367"/>
        <v>277</v>
      </c>
      <c r="CF653">
        <f t="shared" si="1367"/>
        <v>0</v>
      </c>
      <c r="CG653">
        <f t="shared" si="1367"/>
        <v>0</v>
      </c>
      <c r="CH653">
        <f t="shared" si="1367"/>
        <v>1</v>
      </c>
      <c r="CI653">
        <f t="shared" si="1367"/>
        <v>1</v>
      </c>
      <c r="CJ653">
        <f t="shared" si="1367"/>
        <v>1</v>
      </c>
      <c r="CK653">
        <f t="shared" si="1367"/>
        <v>15</v>
      </c>
      <c r="CL653">
        <f t="shared" si="1367"/>
        <v>1</v>
      </c>
      <c r="CM653">
        <f t="shared" si="1367"/>
        <v>304</v>
      </c>
      <c r="CN653">
        <f t="shared" si="1367"/>
        <v>7</v>
      </c>
      <c r="CO653">
        <f t="shared" si="1367"/>
        <v>2</v>
      </c>
      <c r="CP653">
        <f t="shared" si="1367"/>
        <v>0</v>
      </c>
      <c r="CQ653">
        <f t="shared" ref="CQ653:EK653" si="1368">COUNTIF(CQ2:CQ650,1)</f>
        <v>6</v>
      </c>
      <c r="CR653">
        <f t="shared" si="1368"/>
        <v>1</v>
      </c>
      <c r="CS653">
        <f t="shared" si="1368"/>
        <v>0</v>
      </c>
      <c r="CT653">
        <f t="shared" si="1368"/>
        <v>2</v>
      </c>
      <c r="CU653">
        <f t="shared" si="1368"/>
        <v>5</v>
      </c>
      <c r="CV653">
        <f t="shared" si="1368"/>
        <v>510</v>
      </c>
      <c r="CW653">
        <f t="shared" si="1368"/>
        <v>9</v>
      </c>
      <c r="CX653">
        <f t="shared" si="1368"/>
        <v>1</v>
      </c>
      <c r="CY653">
        <f t="shared" si="1368"/>
        <v>3</v>
      </c>
      <c r="CZ653">
        <f t="shared" si="1368"/>
        <v>5</v>
      </c>
      <c r="DA653">
        <f t="shared" si="1368"/>
        <v>187</v>
      </c>
      <c r="DB653">
        <f t="shared" si="1368"/>
        <v>149</v>
      </c>
      <c r="DC653">
        <f t="shared" si="1368"/>
        <v>8</v>
      </c>
      <c r="DD653">
        <f t="shared" si="1368"/>
        <v>2</v>
      </c>
      <c r="DE653">
        <f t="shared" si="1368"/>
        <v>1</v>
      </c>
      <c r="DF653">
        <f t="shared" si="1368"/>
        <v>2</v>
      </c>
      <c r="DG653">
        <f t="shared" si="1368"/>
        <v>31</v>
      </c>
      <c r="DH653">
        <f t="shared" si="1368"/>
        <v>1</v>
      </c>
      <c r="DI653">
        <f t="shared" si="1368"/>
        <v>6</v>
      </c>
      <c r="DJ653">
        <f t="shared" si="1368"/>
        <v>34</v>
      </c>
      <c r="DK653">
        <f t="shared" si="1368"/>
        <v>1</v>
      </c>
      <c r="DL653">
        <f t="shared" si="1368"/>
        <v>1</v>
      </c>
      <c r="DM653">
        <f t="shared" si="1368"/>
        <v>1</v>
      </c>
      <c r="DN653">
        <f t="shared" si="1368"/>
        <v>4</v>
      </c>
      <c r="DO653">
        <f t="shared" si="1368"/>
        <v>0</v>
      </c>
      <c r="DP653">
        <f t="shared" si="1368"/>
        <v>1</v>
      </c>
      <c r="DQ653">
        <f t="shared" si="1368"/>
        <v>11</v>
      </c>
      <c r="DR653">
        <f t="shared" si="1368"/>
        <v>1</v>
      </c>
      <c r="DS653">
        <f t="shared" si="1368"/>
        <v>13</v>
      </c>
      <c r="DT653">
        <f t="shared" si="1368"/>
        <v>2</v>
      </c>
      <c r="DU653">
        <f t="shared" si="1368"/>
        <v>7</v>
      </c>
      <c r="DV653">
        <f t="shared" si="1368"/>
        <v>5</v>
      </c>
      <c r="DW653">
        <f t="shared" si="1368"/>
        <v>2</v>
      </c>
      <c r="DX653">
        <f t="shared" si="1368"/>
        <v>5</v>
      </c>
      <c r="DY653">
        <f t="shared" si="1368"/>
        <v>38</v>
      </c>
      <c r="DZ653">
        <f t="shared" si="1368"/>
        <v>6</v>
      </c>
      <c r="EA653">
        <f t="shared" si="1368"/>
        <v>16</v>
      </c>
      <c r="EB653">
        <f t="shared" si="1368"/>
        <v>2</v>
      </c>
      <c r="EC653">
        <f t="shared" si="1368"/>
        <v>5</v>
      </c>
      <c r="ED653">
        <f t="shared" si="1368"/>
        <v>0</v>
      </c>
      <c r="EE653">
        <f t="shared" si="1368"/>
        <v>5</v>
      </c>
      <c r="EF653">
        <f t="shared" si="1368"/>
        <v>345</v>
      </c>
      <c r="EG653">
        <f t="shared" si="1368"/>
        <v>6</v>
      </c>
      <c r="EH653">
        <f t="shared" si="1368"/>
        <v>1</v>
      </c>
      <c r="EI653">
        <f t="shared" si="1368"/>
        <v>77</v>
      </c>
      <c r="EJ653">
        <f t="shared" si="1368"/>
        <v>1</v>
      </c>
      <c r="EK653">
        <f t="shared" si="1368"/>
        <v>1</v>
      </c>
    </row>
  </sheetData>
  <conditionalFormatting sqref="AD1:EK1">
    <cfRule type="duplicateValues" dxfId="1" priority="3"/>
  </conditionalFormatting>
  <conditionalFormatting sqref="G2:G650">
    <cfRule type="colorScale" priority="4">
      <colorScale>
        <cfvo type="min"/>
        <cfvo type="percentile" val="50"/>
        <cfvo type="max"/>
        <color rgb="FFF8696B"/>
        <color rgb="FFFFEB84"/>
        <color rgb="FF63BE7B"/>
      </colorScale>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9" r:id="rId4" name="CommandButton1">
          <controlPr defaultSize="0" autoLine="0" r:id="rId5">
            <anchor moveWithCells="1">
              <from>
                <xdr:col>19</xdr:col>
                <xdr:colOff>247650</xdr:colOff>
                <xdr:row>0</xdr:row>
                <xdr:rowOff>142875</xdr:rowOff>
              </from>
              <to>
                <xdr:col>21</xdr:col>
                <xdr:colOff>123825</xdr:colOff>
                <xdr:row>1</xdr:row>
                <xdr:rowOff>76200</xdr:rowOff>
              </to>
            </anchor>
          </controlPr>
        </control>
      </mc:Choice>
      <mc:Fallback>
        <control shapeId="2049"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9C1C3-8337-4417-91AD-B062ADFB2C26}">
  <sheetPr codeName="Sheet2"/>
  <dimension ref="A1:C114"/>
  <sheetViews>
    <sheetView topLeftCell="A17" workbookViewId="0">
      <selection activeCell="A43" sqref="A43"/>
    </sheetView>
  </sheetViews>
  <sheetFormatPr defaultRowHeight="15"/>
  <cols>
    <col min="1" max="1" width="37.7109375" customWidth="1"/>
    <col min="2" max="2" width="54.42578125" customWidth="1"/>
  </cols>
  <sheetData>
    <row r="1" spans="1:3">
      <c r="A1" t="s">
        <v>3253</v>
      </c>
      <c r="C1" t="e">
        <f>"IF(FIND(lower("&amp;CHAR(34)&amp;#REF!&amp;CHAR(34)&amp;"),LOWER(J2)),1,0)"</f>
        <v>#REF!</v>
      </c>
    </row>
    <row r="2" spans="1:3">
      <c r="A2" t="s">
        <v>22</v>
      </c>
      <c r="B2" t="str">
        <f>"=Iferror(IF(searcH( "&amp;CHAR(34)&amp;A2&amp;CHAR(34)&amp;" , J2),1,0),false)"</f>
        <v>=Iferror(IF(searcH( "'Account balances'" , J2),1,0),false)</v>
      </c>
    </row>
    <row r="3" spans="1:3">
      <c r="A3" t="s">
        <v>23</v>
      </c>
      <c r="B3" t="str">
        <f t="shared" ref="B3:B66" si="0">"=Iferror(IF(searcH( "&amp;CHAR(34)&amp;A3&amp;CHAR(34)&amp;" , J2),1,0),false)"</f>
        <v>=Iferror(IF(searcH( "'Address book contacts'" , J2),1,0),false)</v>
      </c>
    </row>
    <row r="4" spans="1:3">
      <c r="A4" t="s">
        <v>24</v>
      </c>
      <c r="B4" t="str">
        <f t="shared" si="0"/>
        <v>=Iferror(IF(searcH( "'Age groups'" , J2),1,0),false)</v>
      </c>
    </row>
    <row r="5" spans="1:3">
      <c r="A5" t="s">
        <v>25</v>
      </c>
      <c r="B5" t="str">
        <f t="shared" si="0"/>
        <v>=Iferror(IF(searcH( "'Apps installed on devices'" , J2),1,0),false)</v>
      </c>
    </row>
    <row r="6" spans="1:3">
      <c r="A6" t="s">
        <v>26</v>
      </c>
      <c r="B6" t="str">
        <f t="shared" si="0"/>
        <v>=Iferror(IF(searcH( "'Astrological signs'" , J2),1,0),false)</v>
      </c>
    </row>
    <row r="7" spans="1:3">
      <c r="A7" t="s">
        <v>27</v>
      </c>
      <c r="B7" t="str">
        <f t="shared" si="0"/>
        <v>=Iferror(IF(searcH( "'Auth tokens'" , J2),1,0),false)</v>
      </c>
    </row>
    <row r="8" spans="1:3">
      <c r="A8" t="s">
        <v>28</v>
      </c>
      <c r="B8" t="str">
        <f t="shared" si="0"/>
        <v>=Iferror(IF(searcH( "'Avatars'" , J2),1,0),false)</v>
      </c>
    </row>
    <row r="9" spans="1:3">
      <c r="A9" t="s">
        <v>29</v>
      </c>
      <c r="B9" t="str">
        <f t="shared" si="0"/>
        <v>=Iferror(IF(searcH( "'Bank account numbers'" , J2),1,0),false)</v>
      </c>
    </row>
    <row r="10" spans="1:3">
      <c r="A10" t="s">
        <v>30</v>
      </c>
      <c r="B10" t="str">
        <f t="shared" si="0"/>
        <v>=Iferror(IF(searcH( "'Beauty ratings'" , J2),1,0),false)</v>
      </c>
    </row>
    <row r="11" spans="1:3">
      <c r="A11" t="s">
        <v>31</v>
      </c>
      <c r="B11" t="str">
        <f t="shared" si="0"/>
        <v>=Iferror(IF(searcH( "'Biometric data'" , J2),1,0),false)</v>
      </c>
    </row>
    <row r="12" spans="1:3">
      <c r="A12" t="s">
        <v>32</v>
      </c>
      <c r="B12" t="str">
        <f t="shared" si="0"/>
        <v>=Iferror(IF(searcH( "'Bios'" , J2),1,0),false)</v>
      </c>
    </row>
    <row r="13" spans="1:3">
      <c r="A13" t="s">
        <v>33</v>
      </c>
      <c r="B13" t="str">
        <f t="shared" si="0"/>
        <v>=Iferror(IF(searcH( "'Browser user agent details' " , J2),1,0),false)</v>
      </c>
    </row>
    <row r="14" spans="1:3">
      <c r="A14" t="s">
        <v>34</v>
      </c>
      <c r="B14" t="str">
        <f t="shared" si="0"/>
        <v>=Iferror(IF(searcH( "'Buying preferences'" , J2),1,0),false)</v>
      </c>
    </row>
    <row r="15" spans="1:3">
      <c r="A15" t="s">
        <v>35</v>
      </c>
      <c r="B15" t="str">
        <f t="shared" si="0"/>
        <v>=Iferror(IF(searcH( "'Car ownership statuses'" , J2),1,0),false)</v>
      </c>
    </row>
    <row r="16" spans="1:3">
      <c r="A16" t="s">
        <v>36</v>
      </c>
      <c r="B16" t="str">
        <f t="shared" si="0"/>
        <v>=Iferror(IF(searcH( "'Cellular network names'" , J2),1,0),false)</v>
      </c>
    </row>
    <row r="17" spans="1:2">
      <c r="A17" t="s">
        <v>37</v>
      </c>
      <c r="B17" t="str">
        <f t="shared" si="0"/>
        <v>=Iferror(IF(searcH( "'Charitable donations'" , J2),1,0),false)</v>
      </c>
    </row>
    <row r="18" spans="1:2">
      <c r="A18" t="s">
        <v>38</v>
      </c>
      <c r="B18" t="str">
        <f t="shared" si="0"/>
        <v>=Iferror(IF(searcH( "'Chat logs'" , J2),1,0),false)</v>
      </c>
    </row>
    <row r="19" spans="1:2">
      <c r="A19" t="s">
        <v>39</v>
      </c>
      <c r="B19" t="str">
        <f t="shared" si="0"/>
        <v>=Iferror(IF(searcH( "'Credit card CVV'" , J2),1,0),false)</v>
      </c>
    </row>
    <row r="20" spans="1:2">
      <c r="A20" t="s">
        <v>40</v>
      </c>
      <c r="B20" t="str">
        <f t="shared" si="0"/>
        <v>=Iferror(IF(searcH( "'Credit cards'" , J2),1,0),false)</v>
      </c>
    </row>
    <row r="21" spans="1:2">
      <c r="A21" t="s">
        <v>41</v>
      </c>
      <c r="B21" t="str">
        <f t="shared" si="0"/>
        <v>=Iferror(IF(searcH( "'Credit status information'" , J2),1,0),false)</v>
      </c>
    </row>
    <row r="22" spans="1:2">
      <c r="A22" t="s">
        <v>42</v>
      </c>
      <c r="B22" t="str">
        <f t="shared" si="0"/>
        <v>=Iferror(IF(searcH( "'Customer feedback'" , J2),1,0),false)</v>
      </c>
    </row>
    <row r="23" spans="1:2">
      <c r="A23" t="s">
        <v>43</v>
      </c>
      <c r="B23" t="str">
        <f t="shared" si="0"/>
        <v>=Iferror(IF(searcH( "'Customer interactions'  " , J2),1,0),false)</v>
      </c>
    </row>
    <row r="24" spans="1:2">
      <c r="A24" t="s">
        <v>44</v>
      </c>
      <c r="B24" t="str">
        <f t="shared" si="0"/>
        <v>=Iferror(IF(searcH( "'Dates of birth'" , J2),1,0),false)</v>
      </c>
    </row>
    <row r="25" spans="1:2">
      <c r="A25" t="s">
        <v>45</v>
      </c>
      <c r="B25" t="str">
        <f t="shared" si="0"/>
        <v>=Iferror(IF(searcH( "'Deceased statuses'" , J2),1,0),false)</v>
      </c>
    </row>
    <row r="26" spans="1:2">
      <c r="A26" t="s">
        <v>46</v>
      </c>
      <c r="B26" t="str">
        <f t="shared" si="0"/>
        <v>=Iferror(IF(searcH( "'Device information'" , J2),1,0),false)</v>
      </c>
    </row>
    <row r="27" spans="1:2">
      <c r="A27" t="s">
        <v>47</v>
      </c>
      <c r="B27" t="str">
        <f t="shared" si="0"/>
        <v>=Iferror(IF(searcH( "'Device serial numbers'" , J2),1,0),false)</v>
      </c>
    </row>
    <row r="28" spans="1:2">
      <c r="A28" t="s">
        <v>48</v>
      </c>
      <c r="B28" t="str">
        <f t="shared" si="0"/>
        <v>=Iferror(IF(searcH( "'Device usage tracking data'" , J2),1,0),false)</v>
      </c>
    </row>
    <row r="29" spans="1:2">
      <c r="A29" t="s">
        <v>49</v>
      </c>
      <c r="B29" t="str">
        <f t="shared" si="0"/>
        <v>=Iferror(IF(searcH( "'Drinking habits'" , J2),1,0),false)</v>
      </c>
    </row>
    <row r="30" spans="1:2">
      <c r="A30" t="s">
        <v>50</v>
      </c>
      <c r="B30" t="str">
        <f t="shared" si="0"/>
        <v>=Iferror(IF(searcH( "'Drinking habits' " , J2),1,0),false)</v>
      </c>
    </row>
    <row r="31" spans="1:2">
      <c r="A31" t="s">
        <v>51</v>
      </c>
      <c r="B31" t="str">
        <f t="shared" si="0"/>
        <v>=Iferror(IF(searcH( "'Drug habits'" , J2),1,0),false)</v>
      </c>
    </row>
    <row r="32" spans="1:2">
      <c r="A32" t="s">
        <v>52</v>
      </c>
      <c r="B32" t="str">
        <f t="shared" si="0"/>
        <v>=Iferror(IF(searcH( "'Education levels'" , J2),1,0),false)</v>
      </c>
    </row>
    <row r="33" spans="1:2">
      <c r="A33" t="s">
        <v>53</v>
      </c>
      <c r="B33" t="str">
        <f t="shared" si="0"/>
        <v>=Iferror(IF(searcH( "'Email addresses'" , J2),1,0),false)</v>
      </c>
    </row>
    <row r="34" spans="1:2">
      <c r="A34" t="s">
        <v>54</v>
      </c>
      <c r="B34" t="str">
        <f t="shared" si="0"/>
        <v>=Iferror(IF(searcH( "'Employers'" , J2),1,0),false)</v>
      </c>
    </row>
    <row r="35" spans="1:2">
      <c r="A35" t="s">
        <v>55</v>
      </c>
      <c r="B35" t="str">
        <f t="shared" si="0"/>
        <v>=Iferror(IF(searcH( "'Ethnicities' " , J2),1,0),false)</v>
      </c>
    </row>
    <row r="36" spans="1:2">
      <c r="A36" t="s">
        <v>56</v>
      </c>
      <c r="B36" t="str">
        <f t="shared" si="0"/>
        <v>=Iferror(IF(searcH( "'Family members' names'" , J2),1,0),false)</v>
      </c>
    </row>
    <row r="37" spans="1:2">
      <c r="A37" t="s">
        <v>57</v>
      </c>
      <c r="B37" t="str">
        <f t="shared" si="0"/>
        <v>=Iferror(IF(searcH( "'Family structure" , J2),1,0),false)</v>
      </c>
    </row>
    <row r="38" spans="1:2">
      <c r="A38" t="s">
        <v>58</v>
      </c>
      <c r="B38" t="str">
        <f t="shared" si="0"/>
        <v>=Iferror(IF(searcH( "'Financial investments'" , J2),1,0),false)</v>
      </c>
    </row>
    <row r="39" spans="1:2">
      <c r="A39" t="s">
        <v>59</v>
      </c>
      <c r="B39" t="str">
        <f t="shared" si="0"/>
        <v>=Iferror(IF(searcH( "'Financial transactions'" , J2),1,0),false)</v>
      </c>
    </row>
    <row r="40" spans="1:2">
      <c r="A40" t="s">
        <v>60</v>
      </c>
      <c r="B40" t="str">
        <f t="shared" si="0"/>
        <v>=Iferror(IF(searcH( "'Fitness levels'" , J2),1,0),false)</v>
      </c>
    </row>
    <row r="41" spans="1:2">
      <c r="A41" t="s">
        <v>61</v>
      </c>
      <c r="B41" t="str">
        <f t="shared" si="0"/>
        <v>=Iferror(IF(searcH( "'Flights taken'" , J2),1,0),false)</v>
      </c>
    </row>
    <row r="42" spans="1:2">
      <c r="A42" t="s">
        <v>62</v>
      </c>
      <c r="B42" t="str">
        <f t="shared" si="0"/>
        <v>=Iferror(IF(searcH( "'Genders'" , J2),1,0),false)</v>
      </c>
    </row>
    <row r="43" spans="1:2">
      <c r="A43" t="s">
        <v>63</v>
      </c>
      <c r="B43" t="str">
        <f t="shared" si="0"/>
        <v>=Iferror(IF(searcH( "'Geographic locations'" , J2),1,0),false)</v>
      </c>
    </row>
    <row r="44" spans="1:2">
      <c r="A44" t="s">
        <v>64</v>
      </c>
      <c r="B44" t="str">
        <f t="shared" si="0"/>
        <v>=Iferror(IF(searcH( "'Government issued IDs'" , J2),1,0),false)</v>
      </c>
    </row>
    <row r="45" spans="1:2">
      <c r="A45" t="s">
        <v>65</v>
      </c>
      <c r="B45" t="str">
        <f t="shared" si="0"/>
        <v>=Iferror(IF(searcH( "'Health insurance information' " , J2),1,0),false)</v>
      </c>
    </row>
    <row r="46" spans="1:2">
      <c r="A46" t="s">
        <v>66</v>
      </c>
      <c r="B46" t="str">
        <f t="shared" si="0"/>
        <v>=Iferror(IF(searcH( "'Historical passwords'" , J2),1,0),false)</v>
      </c>
    </row>
    <row r="47" spans="1:2">
      <c r="A47" t="s">
        <v>67</v>
      </c>
      <c r="B47" t="str">
        <f t="shared" si="0"/>
        <v>=Iferror(IF(searcH( "'HIV statuses'" , J2),1,0),false)</v>
      </c>
    </row>
    <row r="48" spans="1:2">
      <c r="A48" t="s">
        <v>68</v>
      </c>
      <c r="B48" t="str">
        <f t="shared" si="0"/>
        <v>=Iferror(IF(searcH( "'Home loan information'" , J2),1,0),false)</v>
      </c>
    </row>
    <row r="49" spans="1:2">
      <c r="A49" t="s">
        <v>69</v>
      </c>
      <c r="B49" t="str">
        <f t="shared" si="0"/>
        <v>=Iferror(IF(searcH( "'Home ownership statuses" , J2),1,0),false)</v>
      </c>
    </row>
    <row r="50" spans="1:2">
      <c r="A50" t="s">
        <v>70</v>
      </c>
      <c r="B50" t="str">
        <f t="shared" si="0"/>
        <v>=Iferror(IF(searcH( "'Homepage URLs'" , J2),1,0),false)</v>
      </c>
    </row>
    <row r="51" spans="1:2">
      <c r="A51" t="s">
        <v>71</v>
      </c>
      <c r="B51" t="str">
        <f t="shared" si="0"/>
        <v>=Iferror(IF(searcH( "'IMEI numbers'" , J2),1,0),false)</v>
      </c>
    </row>
    <row r="52" spans="1:2">
      <c r="A52" t="s">
        <v>72</v>
      </c>
      <c r="B52" t="str">
        <f t="shared" si="0"/>
        <v>=Iferror(IF(searcH( "'IMSI numbers' " , J2),1,0),false)</v>
      </c>
    </row>
    <row r="53" spans="1:2">
      <c r="A53" t="s">
        <v>73</v>
      </c>
      <c r="B53" t="str">
        <f t="shared" si="0"/>
        <v>=Iferror(IF(searcH( "'Income levels'" , J2),1,0),false)</v>
      </c>
    </row>
    <row r="54" spans="1:2">
      <c r="A54" t="s">
        <v>3254</v>
      </c>
      <c r="B54" t="str">
        <f t="shared" si="0"/>
        <v>=Iferror(IF(searcH( "'Income levels' " , J2),1,0),false)</v>
      </c>
    </row>
    <row r="55" spans="1:2">
      <c r="A55" t="s">
        <v>74</v>
      </c>
      <c r="B55" t="str">
        <f t="shared" si="0"/>
        <v>=Iferror(IF(searcH( "'Instant messenger identities'" , J2),1,0),false)</v>
      </c>
    </row>
    <row r="56" spans="1:2">
      <c r="A56" t="s">
        <v>75</v>
      </c>
      <c r="B56" t="str">
        <f t="shared" si="0"/>
        <v>=Iferror(IF(searcH( "'IP addresses'" , J2),1,0),false)</v>
      </c>
    </row>
    <row r="57" spans="1:2">
      <c r="A57" t="s">
        <v>76</v>
      </c>
      <c r="B57" t="str">
        <f t="shared" si="0"/>
        <v>=Iferror(IF(searcH( "'Job applications' " , J2),1,0),false)</v>
      </c>
    </row>
    <row r="58" spans="1:2">
      <c r="A58" t="s">
        <v>77</v>
      </c>
      <c r="B58" t="str">
        <f t="shared" si="0"/>
        <v>=Iferror(IF(searcH( "'Job titles' " , J2),1,0),false)</v>
      </c>
    </row>
    <row r="59" spans="1:2">
      <c r="A59" t="s">
        <v>78</v>
      </c>
      <c r="B59" t="str">
        <f t="shared" si="0"/>
        <v>=Iferror(IF(searcH( "'Licence plates'" , J2),1,0),false)</v>
      </c>
    </row>
    <row r="60" spans="1:2">
      <c r="A60" t="s">
        <v>79</v>
      </c>
      <c r="B60" t="str">
        <f t="shared" si="0"/>
        <v>=Iferror(IF(searcH( "'Login histories'" , J2),1,0),false)</v>
      </c>
    </row>
    <row r="61" spans="1:2">
      <c r="A61" t="s">
        <v>80</v>
      </c>
      <c r="B61" t="str">
        <f t="shared" si="0"/>
        <v>=Iferror(IF(searcH( "'MAC addresses'" , J2),1,0),false)</v>
      </c>
    </row>
    <row r="62" spans="1:2">
      <c r="A62" t="s">
        <v>81</v>
      </c>
      <c r="B62" t="str">
        <f t="shared" si="0"/>
        <v>=Iferror(IF(searcH( "'Marital statuses'" , J2),1,0),false)</v>
      </c>
    </row>
    <row r="63" spans="1:2">
      <c r="A63" t="s">
        <v>82</v>
      </c>
      <c r="B63" t="str">
        <f t="shared" si="0"/>
        <v>=Iferror(IF(searcH( "'Mnemonic phrases'" , J2),1,0),false)</v>
      </c>
    </row>
    <row r="64" spans="1:2">
      <c r="A64" t="s">
        <v>83</v>
      </c>
      <c r="B64" t="str">
        <f t="shared" si="0"/>
        <v>=Iferror(IF(searcH( "'Names'" , J2),1,0),false)</v>
      </c>
    </row>
    <row r="65" spans="1:2">
      <c r="A65" t="s">
        <v>84</v>
      </c>
      <c r="B65" t="str">
        <f t="shared" si="0"/>
        <v>=Iferror(IF(searcH( "'Nationalities'" , J2),1,0),false)</v>
      </c>
    </row>
    <row r="66" spans="1:2">
      <c r="A66" t="s">
        <v>85</v>
      </c>
      <c r="B66" t="str">
        <f t="shared" si="0"/>
        <v>=Iferror(IF(searcH( "'Net worths'" , J2),1,0),false)</v>
      </c>
    </row>
    <row r="67" spans="1:2">
      <c r="A67" t="s">
        <v>86</v>
      </c>
      <c r="B67" t="str">
        <f t="shared" ref="B67:B114" si="1">"=Iferror(IF(searcH( "&amp;CHAR(34)&amp;A67&amp;CHAR(34)&amp;" , J2),1,0),false)"</f>
        <v>=Iferror(IF(searcH( "'Nicknames' " , J2),1,0),false)</v>
      </c>
    </row>
    <row r="68" spans="1:2">
      <c r="A68" t="s">
        <v>87</v>
      </c>
      <c r="B68" t="str">
        <f t="shared" si="1"/>
        <v>=Iferror(IF(searcH( "'Occupations'" , J2),1,0),false)</v>
      </c>
    </row>
    <row r="69" spans="1:2">
      <c r="A69" t="s">
        <v>88</v>
      </c>
      <c r="B69" t="str">
        <f t="shared" si="1"/>
        <v>=Iferror(IF(searcH( "'Parenting plans" , J2),1,0),false)</v>
      </c>
    </row>
    <row r="70" spans="1:2">
      <c r="A70" t="s">
        <v>89</v>
      </c>
      <c r="B70" t="str">
        <f t="shared" si="1"/>
        <v>=Iferror(IF(searcH( "'Partial credit card data' " , J2),1,0),false)</v>
      </c>
    </row>
    <row r="71" spans="1:2">
      <c r="A71" t="s">
        <v>90</v>
      </c>
      <c r="B71" t="str">
        <f t="shared" si="1"/>
        <v>=Iferror(IF(searcH( "'Partial phone numbers'" , J2),1,0),false)</v>
      </c>
    </row>
    <row r="72" spans="1:2">
      <c r="A72" t="s">
        <v>91</v>
      </c>
      <c r="B72" t="str">
        <f t="shared" si="1"/>
        <v>=Iferror(IF(searcH( "'Passport numbers'" , J2),1,0),false)</v>
      </c>
    </row>
    <row r="73" spans="1:2">
      <c r="A73" t="s">
        <v>92</v>
      </c>
      <c r="B73" t="str">
        <f t="shared" si="1"/>
        <v>=Iferror(IF(searcH( "'Passwords'" , J2),1,0),false)</v>
      </c>
    </row>
    <row r="74" spans="1:2">
      <c r="A74" t="s">
        <v>93</v>
      </c>
      <c r="B74" t="str">
        <f t="shared" si="1"/>
        <v>=Iferror(IF(searcH( "'Payment histories'" , J2),1,0),false)</v>
      </c>
    </row>
    <row r="75" spans="1:2">
      <c r="A75" t="s">
        <v>94</v>
      </c>
      <c r="B75" t="str">
        <f t="shared" si="1"/>
        <v>=Iferror(IF(searcH( "'Payment methods'" , J2),1,0),false)</v>
      </c>
    </row>
    <row r="76" spans="1:2">
      <c r="A76" t="s">
        <v>95</v>
      </c>
      <c r="B76" t="str">
        <f t="shared" si="1"/>
        <v>=Iferror(IF(searcH( "'Personal descriptions'" , J2),1,0),false)</v>
      </c>
    </row>
    <row r="77" spans="1:2">
      <c r="A77" t="s">
        <v>96</v>
      </c>
      <c r="B77" t="str">
        <f t="shared" si="1"/>
        <v>=Iferror(IF(searcH( "'Personal health data'" , J2),1,0),false)</v>
      </c>
    </row>
    <row r="78" spans="1:2">
      <c r="A78" t="s">
        <v>97</v>
      </c>
      <c r="B78" t="str">
        <f t="shared" si="1"/>
        <v>=Iferror(IF(searcH( "'Phone numbers'" , J2),1,0),false)</v>
      </c>
    </row>
    <row r="79" spans="1:2">
      <c r="A79" t="s">
        <v>98</v>
      </c>
      <c r="B79" t="str">
        <f t="shared" si="1"/>
        <v>=Iferror(IF(searcH( "'Physical addresses'" , J2),1,0),false)</v>
      </c>
    </row>
    <row r="80" spans="1:2">
      <c r="A80" t="s">
        <v>99</v>
      </c>
      <c r="B80" t="str">
        <f t="shared" si="1"/>
        <v>=Iferror(IF(searcH( "'Physical attributes'" , J2),1,0),false)</v>
      </c>
    </row>
    <row r="81" spans="1:2">
      <c r="A81" t="s">
        <v>100</v>
      </c>
      <c r="B81" t="str">
        <f t="shared" si="1"/>
        <v>=Iferror(IF(searcH( "'PINs'" , J2),1,0),false)</v>
      </c>
    </row>
    <row r="82" spans="1:2">
      <c r="A82" t="s">
        <v>101</v>
      </c>
      <c r="B82" t="str">
        <f t="shared" si="1"/>
        <v>=Iferror(IF(searcH( "'Political donations'" , J2),1,0),false)</v>
      </c>
    </row>
    <row r="83" spans="1:2">
      <c r="A83" t="s">
        <v>102</v>
      </c>
      <c r="B83" t="str">
        <f t="shared" si="1"/>
        <v>=Iferror(IF(searcH( "'Political views'" , J2),1,0),false)</v>
      </c>
    </row>
    <row r="84" spans="1:2">
      <c r="A84" t="s">
        <v>103</v>
      </c>
      <c r="B84" t="str">
        <f t="shared" si="1"/>
        <v>=Iferror(IF(searcH( "'Private messages'" , J2),1,0),false)</v>
      </c>
    </row>
    <row r="85" spans="1:2">
      <c r="A85" t="s">
        <v>104</v>
      </c>
      <c r="B85" t="str">
        <f t="shared" si="1"/>
        <v>=Iferror(IF(searcH( "'Professional skills'" , J2),1,0),false)</v>
      </c>
    </row>
    <row r="86" spans="1:2">
      <c r="A86" t="s">
        <v>105</v>
      </c>
      <c r="B86" t="str">
        <f t="shared" si="1"/>
        <v>=Iferror(IF(searcH( "'Profile photos'" , J2),1,0),false)</v>
      </c>
    </row>
    <row r="87" spans="1:2">
      <c r="A87" t="s">
        <v>106</v>
      </c>
      <c r="B87" t="str">
        <f t="shared" si="1"/>
        <v>=Iferror(IF(searcH( "'Purchases'" , J2),1,0),false)</v>
      </c>
    </row>
    <row r="88" spans="1:2">
      <c r="A88" t="s">
        <v>107</v>
      </c>
      <c r="B88" t="str">
        <f t="shared" si="1"/>
        <v>=Iferror(IF(searcH( "'Purchasing habits'" , J2),1,0),false)</v>
      </c>
    </row>
    <row r="89" spans="1:2">
      <c r="A89" t="s">
        <v>108</v>
      </c>
      <c r="B89" t="str">
        <f t="shared" si="1"/>
        <v>=Iferror(IF(searcH( "'Races'" , J2),1,0),false)</v>
      </c>
    </row>
    <row r="90" spans="1:2">
      <c r="A90" t="s">
        <v>109</v>
      </c>
      <c r="B90" t="str">
        <f t="shared" si="1"/>
        <v>=Iferror(IF(searcH( "'Recovery email addresses'" , J2),1,0),false)</v>
      </c>
    </row>
    <row r="91" spans="1:2">
      <c r="A91" t="s">
        <v>110</v>
      </c>
      <c r="B91" t="str">
        <f t="shared" si="1"/>
        <v>=Iferror(IF(searcH( "'Relationship statuses'" , J2),1,0),false)</v>
      </c>
    </row>
    <row r="92" spans="1:2">
      <c r="A92" t="s">
        <v>111</v>
      </c>
      <c r="B92" t="str">
        <f t="shared" si="1"/>
        <v>=Iferror(IF(searcH( "'Religions' " , J2),1,0),false)</v>
      </c>
    </row>
    <row r="93" spans="1:2">
      <c r="A93" t="s">
        <v>112</v>
      </c>
      <c r="B93" t="str">
        <f t="shared" si="1"/>
        <v>=Iferror(IF(searcH( "'Reward program balances'" , J2),1,0),false)</v>
      </c>
    </row>
    <row r="94" spans="1:2">
      <c r="A94" t="s">
        <v>113</v>
      </c>
      <c r="B94" t="str">
        <f t="shared" si="1"/>
        <v>=Iferror(IF(searcH( "'Salutations'" , J2),1,0),false)</v>
      </c>
    </row>
    <row r="95" spans="1:2">
      <c r="A95" t="s">
        <v>114</v>
      </c>
      <c r="B95" t="str">
        <f t="shared" si="1"/>
        <v>=Iferror(IF(searcH( "'School grades (class levels)" , J2),1,0),false)</v>
      </c>
    </row>
    <row r="96" spans="1:2">
      <c r="A96" t="s">
        <v>115</v>
      </c>
      <c r="B96" t="str">
        <f t="shared" si="1"/>
        <v>=Iferror(IF(searcH( "'Security questions and answers'" , J2),1,0),false)</v>
      </c>
    </row>
    <row r="97" spans="1:2">
      <c r="A97" t="s">
        <v>116</v>
      </c>
      <c r="B97" t="str">
        <f t="shared" si="1"/>
        <v>=Iferror(IF(searcH( "'Sexual fetishes'" , J2),1,0),false)</v>
      </c>
    </row>
    <row r="98" spans="1:2">
      <c r="A98" t="s">
        <v>117</v>
      </c>
      <c r="B98" t="str">
        <f t="shared" si="1"/>
        <v>=Iferror(IF(searcH( "'Sexual orientations'" , J2),1,0),false)</v>
      </c>
    </row>
    <row r="99" spans="1:2">
      <c r="A99" t="s">
        <v>118</v>
      </c>
      <c r="B99" t="str">
        <f t="shared" si="1"/>
        <v>=Iferror(IF(searcH( "'Smoking habits'" , J2),1,0),false)</v>
      </c>
    </row>
    <row r="100" spans="1:2">
      <c r="A100" t="s">
        <v>119</v>
      </c>
      <c r="B100" t="str">
        <f t="shared" si="1"/>
        <v>=Iferror(IF(searcH( "'SMS messages'" , J2),1,0),false)</v>
      </c>
    </row>
    <row r="101" spans="1:2">
      <c r="A101" t="s">
        <v>120</v>
      </c>
      <c r="B101" t="str">
        <f t="shared" si="1"/>
        <v>=Iferror(IF(searcH( "'Social connections'" , J2),1,0),false)</v>
      </c>
    </row>
    <row r="102" spans="1:2">
      <c r="A102" t="s">
        <v>121</v>
      </c>
      <c r="B102" t="str">
        <f t="shared" si="1"/>
        <v>=Iferror(IF(searcH( "'Social media profiles'" , J2),1,0),false)</v>
      </c>
    </row>
    <row r="103" spans="1:2">
      <c r="A103" t="s">
        <v>122</v>
      </c>
      <c r="B103" t="str">
        <f t="shared" si="1"/>
        <v>=Iferror(IF(searcH( "'Social security numbers'" , J2),1,0),false)</v>
      </c>
    </row>
    <row r="104" spans="1:2">
      <c r="A104" t="s">
        <v>123</v>
      </c>
      <c r="B104" t="str">
        <f t="shared" si="1"/>
        <v>=Iferror(IF(searcH( "'Spoken languages'" , J2),1,0),false)</v>
      </c>
    </row>
    <row r="105" spans="1:2">
      <c r="A105" t="s">
        <v>124</v>
      </c>
      <c r="B105" t="str">
        <f t="shared" si="1"/>
        <v>=Iferror(IF(searcH( "'Survey results'" , J2),1,0),false)</v>
      </c>
    </row>
    <row r="106" spans="1:2">
      <c r="A106" t="s">
        <v>125</v>
      </c>
      <c r="B106" t="str">
        <f t="shared" si="1"/>
        <v>=Iferror(IF(searcH( "'Time zones'" , J2),1,0),false)</v>
      </c>
    </row>
    <row r="107" spans="1:2">
      <c r="A107" t="s">
        <v>126</v>
      </c>
      <c r="B107" t="str">
        <f t="shared" si="1"/>
        <v>=Iferror(IF(searcH( "'Travel habits' " , J2),1,0),false)</v>
      </c>
    </row>
    <row r="108" spans="1:2">
      <c r="A108" t="s">
        <v>127</v>
      </c>
      <c r="B108" t="str">
        <f t="shared" si="1"/>
        <v>=Iferror(IF(searcH( "'User website URLs'" , J2),1,0),false)</v>
      </c>
    </row>
    <row r="109" spans="1:2">
      <c r="A109" t="s">
        <v>128</v>
      </c>
      <c r="B109" t="str">
        <f t="shared" si="1"/>
        <v>=Iferror(IF(searcH( "'Usernames'" , J2),1,0),false)</v>
      </c>
    </row>
    <row r="110" spans="1:2">
      <c r="A110" t="s">
        <v>129</v>
      </c>
      <c r="B110" t="str">
        <f t="shared" si="1"/>
        <v>=Iferror(IF(searcH( "'Vehicle details'" , J2),1,0),false)</v>
      </c>
    </row>
    <row r="111" spans="1:2">
      <c r="A111" t="s">
        <v>130</v>
      </c>
      <c r="B111" t="str">
        <f t="shared" si="1"/>
        <v>=Iferror(IF(searcH( "'Vehicle identification numbers (VINs)'" , J2),1,0),false)</v>
      </c>
    </row>
    <row r="112" spans="1:2">
      <c r="A112" t="s">
        <v>131</v>
      </c>
      <c r="B112" t="str">
        <f t="shared" si="1"/>
        <v>=Iferror(IF(searcH( "'Website activity'" , J2),1,0),false)</v>
      </c>
    </row>
    <row r="113" spans="1:2">
      <c r="A113" t="s">
        <v>132</v>
      </c>
      <c r="B113" t="str">
        <f t="shared" si="1"/>
        <v>=Iferror(IF(searcH( "'Work habits'" , J2),1,0),false)</v>
      </c>
    </row>
    <row r="114" spans="1:2">
      <c r="A114" t="s">
        <v>133</v>
      </c>
      <c r="B114" t="str">
        <f t="shared" si="1"/>
        <v>=Iferror(IF(searcH( "'Years of professional experience'" , J2),1,0),false)</v>
      </c>
    </row>
  </sheetData>
  <sortState xmlns:xlrd2="http://schemas.microsoft.com/office/spreadsheetml/2017/richdata2" ref="A1:B119">
    <sortCondition ref="A1:A119"/>
  </sortState>
  <conditionalFormatting sqref="A1:A1048576">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49E69-3D42-41E0-9323-6DA9E329B5F7}">
  <dimension ref="A1:DH111"/>
  <sheetViews>
    <sheetView topLeftCell="A6" workbookViewId="0">
      <selection activeCell="M12" sqref="M12"/>
    </sheetView>
  </sheetViews>
  <sheetFormatPr defaultRowHeight="15"/>
  <sheetData>
    <row r="1" spans="1:112">
      <c r="A1" s="4" t="s">
        <v>22</v>
      </c>
      <c r="B1" t="s">
        <v>23</v>
      </c>
      <c r="C1" t="s">
        <v>24</v>
      </c>
      <c r="D1" t="s">
        <v>25</v>
      </c>
      <c r="E1" t="s">
        <v>26</v>
      </c>
      <c r="F1" t="s">
        <v>27</v>
      </c>
      <c r="G1" t="s">
        <v>28</v>
      </c>
      <c r="H1" t="s">
        <v>29</v>
      </c>
      <c r="I1" t="s">
        <v>30</v>
      </c>
      <c r="J1" t="s">
        <v>31</v>
      </c>
      <c r="K1" t="s">
        <v>32</v>
      </c>
      <c r="L1" t="s">
        <v>33</v>
      </c>
      <c r="M1" t="s">
        <v>34</v>
      </c>
      <c r="N1" t="s">
        <v>35</v>
      </c>
      <c r="O1" t="s">
        <v>36</v>
      </c>
      <c r="P1" t="s">
        <v>37</v>
      </c>
      <c r="Q1" t="s">
        <v>38</v>
      </c>
      <c r="R1" t="s">
        <v>39</v>
      </c>
      <c r="S1" t="s">
        <v>40</v>
      </c>
      <c r="T1" t="s">
        <v>41</v>
      </c>
      <c r="U1" t="s">
        <v>42</v>
      </c>
      <c r="V1" t="s">
        <v>43</v>
      </c>
      <c r="W1" t="s">
        <v>44</v>
      </c>
      <c r="X1" t="s">
        <v>45</v>
      </c>
      <c r="Y1" t="s">
        <v>46</v>
      </c>
      <c r="Z1" t="s">
        <v>47</v>
      </c>
      <c r="AA1" t="s">
        <v>48</v>
      </c>
      <c r="AB1" t="s">
        <v>49</v>
      </c>
      <c r="AC1" t="s">
        <v>50</v>
      </c>
      <c r="AD1" t="s">
        <v>51</v>
      </c>
      <c r="AE1" t="s">
        <v>52</v>
      </c>
      <c r="AF1" t="s">
        <v>53</v>
      </c>
      <c r="AG1" t="s">
        <v>54</v>
      </c>
      <c r="AH1" t="s">
        <v>55</v>
      </c>
      <c r="AI1" t="s">
        <v>56</v>
      </c>
      <c r="AJ1" t="s">
        <v>57</v>
      </c>
      <c r="AK1" t="s">
        <v>58</v>
      </c>
      <c r="AL1" t="s">
        <v>59</v>
      </c>
      <c r="AM1" t="s">
        <v>60</v>
      </c>
      <c r="AN1" t="s">
        <v>61</v>
      </c>
      <c r="AO1" t="s">
        <v>62</v>
      </c>
      <c r="AP1" t="s">
        <v>63</v>
      </c>
      <c r="AQ1" t="s">
        <v>64</v>
      </c>
      <c r="AR1" t="s">
        <v>65</v>
      </c>
      <c r="AS1" t="s">
        <v>66</v>
      </c>
      <c r="AT1" t="s">
        <v>67</v>
      </c>
      <c r="AU1" t="s">
        <v>68</v>
      </c>
      <c r="AV1" t="s">
        <v>69</v>
      </c>
      <c r="AW1" t="s">
        <v>70</v>
      </c>
      <c r="AX1" t="s">
        <v>71</v>
      </c>
      <c r="AY1" t="s">
        <v>72</v>
      </c>
      <c r="AZ1" t="s">
        <v>73</v>
      </c>
      <c r="BA1" t="s">
        <v>74</v>
      </c>
      <c r="BB1" t="s">
        <v>75</v>
      </c>
      <c r="BC1" t="s">
        <v>76</v>
      </c>
      <c r="BD1" t="s">
        <v>77</v>
      </c>
      <c r="BE1" t="s">
        <v>78</v>
      </c>
      <c r="BF1" t="s">
        <v>79</v>
      </c>
      <c r="BG1" t="s">
        <v>80</v>
      </c>
      <c r="BH1" t="s">
        <v>81</v>
      </c>
      <c r="BI1" t="s">
        <v>82</v>
      </c>
      <c r="BJ1" t="s">
        <v>83</v>
      </c>
      <c r="BK1" t="s">
        <v>84</v>
      </c>
      <c r="BL1" t="s">
        <v>85</v>
      </c>
      <c r="BM1" t="s">
        <v>86</v>
      </c>
      <c r="BN1" t="s">
        <v>87</v>
      </c>
      <c r="BO1" t="s">
        <v>88</v>
      </c>
      <c r="BP1" t="s">
        <v>89</v>
      </c>
      <c r="BQ1" t="s">
        <v>90</v>
      </c>
      <c r="BR1" t="s">
        <v>91</v>
      </c>
      <c r="BS1" t="s">
        <v>92</v>
      </c>
      <c r="BT1" t="s">
        <v>93</v>
      </c>
      <c r="BU1" t="s">
        <v>94</v>
      </c>
      <c r="BV1" t="s">
        <v>95</v>
      </c>
      <c r="BW1" t="s">
        <v>96</v>
      </c>
      <c r="BX1" t="s">
        <v>97</v>
      </c>
      <c r="BY1" t="s">
        <v>98</v>
      </c>
      <c r="BZ1" t="s">
        <v>99</v>
      </c>
      <c r="CA1" t="s">
        <v>100</v>
      </c>
      <c r="CB1" t="s">
        <v>101</v>
      </c>
      <c r="CC1" t="s">
        <v>102</v>
      </c>
      <c r="CD1" t="s">
        <v>103</v>
      </c>
      <c r="CE1" t="s">
        <v>104</v>
      </c>
      <c r="CF1" t="s">
        <v>105</v>
      </c>
      <c r="CG1" t="s">
        <v>106</v>
      </c>
      <c r="CH1" t="s">
        <v>107</v>
      </c>
      <c r="CI1" t="s">
        <v>108</v>
      </c>
      <c r="CJ1" t="s">
        <v>109</v>
      </c>
      <c r="CK1" t="s">
        <v>110</v>
      </c>
      <c r="CL1" t="s">
        <v>111</v>
      </c>
      <c r="CM1" t="s">
        <v>112</v>
      </c>
      <c r="CN1" t="s">
        <v>113</v>
      </c>
      <c r="CO1" t="s">
        <v>114</v>
      </c>
      <c r="CP1" t="s">
        <v>115</v>
      </c>
      <c r="CQ1" t="s">
        <v>116</v>
      </c>
      <c r="CR1" t="s">
        <v>117</v>
      </c>
      <c r="CS1" t="s">
        <v>118</v>
      </c>
      <c r="CT1" t="s">
        <v>119</v>
      </c>
      <c r="CU1" t="s">
        <v>120</v>
      </c>
      <c r="CV1" t="s">
        <v>121</v>
      </c>
      <c r="CW1" t="s">
        <v>122</v>
      </c>
      <c r="CX1" t="s">
        <v>123</v>
      </c>
      <c r="CY1" t="s">
        <v>124</v>
      </c>
      <c r="CZ1" t="s">
        <v>125</v>
      </c>
      <c r="DA1" t="s">
        <v>126</v>
      </c>
      <c r="DB1" t="s">
        <v>127</v>
      </c>
      <c r="DC1" t="s">
        <v>128</v>
      </c>
      <c r="DD1" t="s">
        <v>129</v>
      </c>
      <c r="DE1" t="s">
        <v>130</v>
      </c>
      <c r="DF1" t="s">
        <v>131</v>
      </c>
      <c r="DG1" t="s">
        <v>132</v>
      </c>
      <c r="DH1" t="s">
        <v>133</v>
      </c>
    </row>
    <row r="2" spans="1:112">
      <c r="A2" s="4">
        <v>8</v>
      </c>
      <c r="B2">
        <v>1</v>
      </c>
      <c r="C2">
        <v>3</v>
      </c>
      <c r="D2">
        <v>1</v>
      </c>
      <c r="E2">
        <v>1</v>
      </c>
      <c r="F2">
        <v>9</v>
      </c>
      <c r="G2">
        <v>8</v>
      </c>
      <c r="H2">
        <v>7</v>
      </c>
      <c r="I2">
        <v>1</v>
      </c>
      <c r="J2">
        <v>1</v>
      </c>
      <c r="K2">
        <v>7</v>
      </c>
      <c r="L2">
        <v>0</v>
      </c>
      <c r="M2">
        <v>1</v>
      </c>
      <c r="N2">
        <v>1</v>
      </c>
      <c r="O2">
        <v>1</v>
      </c>
      <c r="P2">
        <v>1</v>
      </c>
      <c r="Q2">
        <v>3</v>
      </c>
      <c r="R2">
        <v>1</v>
      </c>
      <c r="S2">
        <v>5</v>
      </c>
      <c r="T2">
        <v>5</v>
      </c>
      <c r="U2">
        <v>1</v>
      </c>
      <c r="V2">
        <v>0</v>
      </c>
      <c r="W2">
        <v>170</v>
      </c>
      <c r="X2">
        <v>1</v>
      </c>
      <c r="Y2">
        <v>12</v>
      </c>
      <c r="Z2">
        <v>1</v>
      </c>
      <c r="AA2">
        <v>1</v>
      </c>
      <c r="AB2">
        <v>5</v>
      </c>
      <c r="AC2">
        <v>0</v>
      </c>
      <c r="AD2">
        <v>2</v>
      </c>
      <c r="AE2">
        <v>10</v>
      </c>
      <c r="AF2">
        <v>643</v>
      </c>
      <c r="AG2">
        <v>25</v>
      </c>
      <c r="AH2">
        <v>0</v>
      </c>
      <c r="AI2">
        <v>0</v>
      </c>
      <c r="AJ2">
        <v>7</v>
      </c>
      <c r="AK2">
        <v>2</v>
      </c>
      <c r="AL2">
        <v>2</v>
      </c>
      <c r="AM2">
        <v>1</v>
      </c>
      <c r="AN2">
        <v>1</v>
      </c>
      <c r="AO2">
        <v>127</v>
      </c>
      <c r="AP2">
        <v>89</v>
      </c>
      <c r="AQ2">
        <v>11</v>
      </c>
      <c r="AR2">
        <v>0</v>
      </c>
      <c r="AS2">
        <v>5</v>
      </c>
      <c r="AT2">
        <v>1</v>
      </c>
      <c r="AU2">
        <v>1</v>
      </c>
      <c r="AV2">
        <v>5</v>
      </c>
      <c r="AW2">
        <v>2</v>
      </c>
      <c r="AX2">
        <v>2</v>
      </c>
      <c r="AY2">
        <v>0</v>
      </c>
      <c r="AZ2">
        <v>12</v>
      </c>
      <c r="BA2">
        <v>8</v>
      </c>
      <c r="BB2">
        <v>277</v>
      </c>
      <c r="BC2">
        <v>0</v>
      </c>
      <c r="BD2">
        <v>0</v>
      </c>
      <c r="BE2">
        <v>1</v>
      </c>
      <c r="BF2">
        <v>1</v>
      </c>
      <c r="BG2">
        <v>1</v>
      </c>
      <c r="BH2">
        <v>15</v>
      </c>
      <c r="BI2">
        <v>1</v>
      </c>
      <c r="BJ2">
        <v>304</v>
      </c>
      <c r="BK2">
        <v>7</v>
      </c>
      <c r="BL2">
        <v>2</v>
      </c>
      <c r="BM2">
        <v>0</v>
      </c>
      <c r="BN2">
        <v>6</v>
      </c>
      <c r="BO2">
        <v>1</v>
      </c>
      <c r="BP2">
        <v>0</v>
      </c>
      <c r="BQ2">
        <v>2</v>
      </c>
      <c r="BR2">
        <v>5</v>
      </c>
      <c r="BS2">
        <v>510</v>
      </c>
      <c r="BT2">
        <v>9</v>
      </c>
      <c r="BU2">
        <v>1</v>
      </c>
      <c r="BV2">
        <v>3</v>
      </c>
      <c r="BW2">
        <v>5</v>
      </c>
      <c r="BX2">
        <v>187</v>
      </c>
      <c r="BY2">
        <v>149</v>
      </c>
      <c r="BZ2">
        <v>8</v>
      </c>
      <c r="CA2">
        <v>2</v>
      </c>
      <c r="CB2">
        <v>1</v>
      </c>
      <c r="CC2">
        <v>2</v>
      </c>
      <c r="CD2">
        <v>31</v>
      </c>
      <c r="CE2">
        <v>1</v>
      </c>
      <c r="CF2">
        <v>6</v>
      </c>
      <c r="CG2">
        <v>34</v>
      </c>
      <c r="CH2">
        <v>1</v>
      </c>
      <c r="CI2">
        <v>1</v>
      </c>
      <c r="CJ2">
        <v>1</v>
      </c>
      <c r="CK2">
        <v>4</v>
      </c>
      <c r="CL2">
        <v>0</v>
      </c>
      <c r="CM2">
        <v>1</v>
      </c>
      <c r="CN2">
        <v>11</v>
      </c>
      <c r="CO2">
        <v>1</v>
      </c>
      <c r="CP2">
        <v>13</v>
      </c>
      <c r="CQ2">
        <v>2</v>
      </c>
      <c r="CR2">
        <v>7</v>
      </c>
      <c r="CS2">
        <v>5</v>
      </c>
      <c r="CT2">
        <v>2</v>
      </c>
      <c r="CU2">
        <v>5</v>
      </c>
      <c r="CV2">
        <v>38</v>
      </c>
      <c r="CW2">
        <v>6</v>
      </c>
      <c r="CX2">
        <v>16</v>
      </c>
      <c r="CY2">
        <v>2</v>
      </c>
      <c r="CZ2">
        <v>5</v>
      </c>
      <c r="DA2">
        <v>0</v>
      </c>
      <c r="DB2">
        <v>5</v>
      </c>
      <c r="DC2">
        <v>345</v>
      </c>
      <c r="DD2">
        <v>6</v>
      </c>
      <c r="DE2">
        <v>1</v>
      </c>
      <c r="DF2">
        <v>77</v>
      </c>
      <c r="DG2">
        <v>1</v>
      </c>
      <c r="DH2">
        <v>1</v>
      </c>
    </row>
    <row r="3" spans="1:112">
      <c r="A3" s="4"/>
    </row>
    <row r="4" spans="1:112">
      <c r="A4" s="4"/>
    </row>
    <row r="5" spans="1:112">
      <c r="A5" s="4"/>
    </row>
    <row r="6" spans="1:112">
      <c r="A6" s="4"/>
    </row>
    <row r="7" spans="1:112">
      <c r="A7" s="4"/>
    </row>
    <row r="8" spans="1:112">
      <c r="A8" s="4"/>
    </row>
    <row r="9" spans="1:112">
      <c r="A9" s="4"/>
    </row>
    <row r="10" spans="1:112">
      <c r="A10" s="4"/>
    </row>
    <row r="11" spans="1:112">
      <c r="A11" s="4"/>
    </row>
    <row r="12" spans="1:112">
      <c r="A12" s="4"/>
    </row>
    <row r="13" spans="1:112">
      <c r="A13" s="4"/>
    </row>
    <row r="14" spans="1:112">
      <c r="A14" s="4"/>
    </row>
    <row r="15" spans="1:112">
      <c r="A15" s="4"/>
    </row>
    <row r="16" spans="1:112">
      <c r="A16" s="4"/>
    </row>
    <row r="17" spans="1:1">
      <c r="A17" s="4"/>
    </row>
    <row r="18" spans="1:1">
      <c r="A18" s="4"/>
    </row>
    <row r="19" spans="1:1">
      <c r="A19" s="4"/>
    </row>
    <row r="20" spans="1:1">
      <c r="A20" s="4"/>
    </row>
    <row r="21" spans="1:1">
      <c r="A21" s="4"/>
    </row>
    <row r="22" spans="1:1">
      <c r="A22" s="4"/>
    </row>
    <row r="23" spans="1:1">
      <c r="A23" s="4"/>
    </row>
    <row r="24" spans="1:1">
      <c r="A24" s="4"/>
    </row>
    <row r="25" spans="1:1">
      <c r="A25" s="4"/>
    </row>
    <row r="26" spans="1:1">
      <c r="A26" s="4"/>
    </row>
    <row r="27" spans="1:1">
      <c r="A27" s="4"/>
    </row>
    <row r="28" spans="1:1">
      <c r="A28" s="4"/>
    </row>
    <row r="29" spans="1:1">
      <c r="A29" s="4"/>
    </row>
    <row r="30" spans="1:1">
      <c r="A30" s="4"/>
    </row>
    <row r="31" spans="1:1">
      <c r="A31" s="4"/>
    </row>
    <row r="32" spans="1:1">
      <c r="A32" s="4"/>
    </row>
    <row r="33" spans="1:1">
      <c r="A33" s="4"/>
    </row>
    <row r="34" spans="1:1">
      <c r="A34" s="4"/>
    </row>
    <row r="35" spans="1:1">
      <c r="A35" s="4"/>
    </row>
    <row r="36" spans="1:1">
      <c r="A36" s="4"/>
    </row>
    <row r="37" spans="1:1">
      <c r="A37" s="4"/>
    </row>
    <row r="38" spans="1:1">
      <c r="A38" s="4"/>
    </row>
    <row r="39" spans="1:1">
      <c r="A39" s="4"/>
    </row>
    <row r="40" spans="1:1">
      <c r="A40" s="4"/>
    </row>
    <row r="41" spans="1:1">
      <c r="A41" s="4"/>
    </row>
    <row r="42" spans="1:1">
      <c r="A42" s="4"/>
    </row>
    <row r="43" spans="1:1">
      <c r="A43" s="4"/>
    </row>
    <row r="44" spans="1:1">
      <c r="A44" s="4"/>
    </row>
    <row r="45" spans="1:1">
      <c r="A45" s="4"/>
    </row>
    <row r="46" spans="1:1">
      <c r="A46" s="4"/>
    </row>
    <row r="47" spans="1:1">
      <c r="A47" s="4"/>
    </row>
    <row r="48" spans="1:1">
      <c r="A48" s="4"/>
    </row>
    <row r="49" spans="1:1">
      <c r="A49" s="4"/>
    </row>
    <row r="50" spans="1:1">
      <c r="A50" s="4"/>
    </row>
    <row r="51" spans="1:1">
      <c r="A51" s="4"/>
    </row>
    <row r="52" spans="1:1">
      <c r="A52" s="4"/>
    </row>
    <row r="53" spans="1:1">
      <c r="A53" s="4"/>
    </row>
    <row r="54" spans="1:1">
      <c r="A54" s="4"/>
    </row>
    <row r="55" spans="1:1">
      <c r="A55" s="4"/>
    </row>
    <row r="56" spans="1:1">
      <c r="A56" s="4"/>
    </row>
    <row r="57" spans="1:1">
      <c r="A57" s="4"/>
    </row>
    <row r="58" spans="1:1">
      <c r="A58" s="4"/>
    </row>
    <row r="59" spans="1:1">
      <c r="A59" s="4"/>
    </row>
    <row r="60" spans="1:1">
      <c r="A60" s="4"/>
    </row>
    <row r="61" spans="1:1">
      <c r="A61" s="4"/>
    </row>
    <row r="62" spans="1:1">
      <c r="A62" s="4"/>
    </row>
    <row r="63" spans="1:1">
      <c r="A63" s="4"/>
    </row>
    <row r="64" spans="1:1">
      <c r="A64" s="4"/>
    </row>
    <row r="65" spans="1:1">
      <c r="A65" s="4"/>
    </row>
    <row r="66" spans="1:1">
      <c r="A66" s="4"/>
    </row>
    <row r="67" spans="1:1">
      <c r="A67" s="4"/>
    </row>
    <row r="68" spans="1:1">
      <c r="A68" s="4"/>
    </row>
    <row r="69" spans="1:1">
      <c r="A69" s="4"/>
    </row>
    <row r="70" spans="1:1">
      <c r="A70" s="4"/>
    </row>
    <row r="71" spans="1:1">
      <c r="A71" s="4"/>
    </row>
    <row r="72" spans="1:1">
      <c r="A72" s="4"/>
    </row>
    <row r="73" spans="1:1">
      <c r="A73" s="4"/>
    </row>
    <row r="74" spans="1:1">
      <c r="A74" s="4"/>
    </row>
    <row r="75" spans="1:1">
      <c r="A75" s="4"/>
    </row>
    <row r="76" spans="1:1">
      <c r="A76" s="4"/>
    </row>
    <row r="77" spans="1:1">
      <c r="A77" s="4"/>
    </row>
    <row r="78" spans="1:1">
      <c r="A78" s="4"/>
    </row>
    <row r="79" spans="1:1">
      <c r="A79" s="4"/>
    </row>
    <row r="80" spans="1:1">
      <c r="A80" s="4"/>
    </row>
    <row r="81" spans="1:1">
      <c r="A81" s="4"/>
    </row>
    <row r="82" spans="1:1">
      <c r="A82" s="4"/>
    </row>
    <row r="83" spans="1:1">
      <c r="A83" s="4"/>
    </row>
    <row r="84" spans="1:1">
      <c r="A84" s="4"/>
    </row>
    <row r="85" spans="1:1">
      <c r="A85" s="4"/>
    </row>
    <row r="86" spans="1:1">
      <c r="A86" s="4"/>
    </row>
    <row r="87" spans="1:1">
      <c r="A87" s="4"/>
    </row>
    <row r="88" spans="1:1">
      <c r="A88" s="4"/>
    </row>
    <row r="89" spans="1:1">
      <c r="A89" s="4"/>
    </row>
    <row r="90" spans="1:1">
      <c r="A90" s="4"/>
    </row>
    <row r="91" spans="1:1">
      <c r="A91" s="4"/>
    </row>
    <row r="92" spans="1:1">
      <c r="A92" s="4"/>
    </row>
    <row r="93" spans="1:1">
      <c r="A93" s="4"/>
    </row>
    <row r="94" spans="1:1">
      <c r="A94" s="4"/>
    </row>
    <row r="95" spans="1:1">
      <c r="A95" s="4"/>
    </row>
    <row r="96" spans="1:1">
      <c r="A96" s="4"/>
    </row>
    <row r="97" spans="1:1">
      <c r="A97" s="4"/>
    </row>
    <row r="98" spans="1:1">
      <c r="A98" s="4"/>
    </row>
    <row r="99" spans="1:1">
      <c r="A99" s="4"/>
    </row>
    <row r="100" spans="1:1">
      <c r="A100" s="4"/>
    </row>
    <row r="101" spans="1:1">
      <c r="A101" s="4"/>
    </row>
    <row r="102" spans="1:1">
      <c r="A102" s="4"/>
    </row>
    <row r="103" spans="1:1">
      <c r="A103" s="4"/>
    </row>
    <row r="104" spans="1:1">
      <c r="A104" s="4"/>
    </row>
    <row r="105" spans="1:1">
      <c r="A105" s="4"/>
    </row>
    <row r="106" spans="1:1">
      <c r="A106" s="4"/>
    </row>
    <row r="107" spans="1:1">
      <c r="A107" s="4"/>
    </row>
    <row r="108" spans="1:1">
      <c r="A108" s="4"/>
    </row>
    <row r="109" spans="1:1">
      <c r="A109" s="4"/>
    </row>
    <row r="110" spans="1:1">
      <c r="A110" s="4"/>
    </row>
    <row r="111" spans="1:1">
      <c r="A111" s="4"/>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A60A1D90051A847B57B85FC5C7EFC43" ma:contentTypeVersion="9" ma:contentTypeDescription="Create a new document." ma:contentTypeScope="" ma:versionID="e74d86653faea41c2b22e5340c97e6fb">
  <xsd:schema xmlns:xsd="http://www.w3.org/2001/XMLSchema" xmlns:xs="http://www.w3.org/2001/XMLSchema" xmlns:p="http://schemas.microsoft.com/office/2006/metadata/properties" xmlns:ns2="0cca345d-826b-43f3-b605-013eb7b35903" xmlns:ns3="ec3d65d6-38fe-4a19-9601-ce4706b18efd" targetNamespace="http://schemas.microsoft.com/office/2006/metadata/properties" ma:root="true" ma:fieldsID="dcaf31e6723c406ff876d77f7fe1306d" ns2:_="" ns3:_="">
    <xsd:import namespace="0cca345d-826b-43f3-b605-013eb7b35903"/>
    <xsd:import namespace="ec3d65d6-38fe-4a19-9601-ce4706b18ef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ca345d-826b-43f3-b605-013eb7b3590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a85a206b-fc84-4f46-8343-fed2d1d570c3"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3d65d6-38fe-4a19-9601-ce4706b18efd"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e6831e99-5d56-4b40-b148-58ca3d42a18b}" ma:internalName="TaxCatchAll" ma:showField="CatchAllData" ma:web="ec3d65d6-38fe-4a19-9601-ce4706b18ef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0cca345d-826b-43f3-b605-013eb7b35903">
      <Terms xmlns="http://schemas.microsoft.com/office/infopath/2007/PartnerControls"/>
    </lcf76f155ced4ddcb4097134ff3c332f>
    <TaxCatchAll xmlns="ec3d65d6-38fe-4a19-9601-ce4706b18efd" xsi:nil="true"/>
  </documentManagement>
</p:properties>
</file>

<file path=customXml/itemProps1.xml><?xml version="1.0" encoding="utf-8"?>
<ds:datastoreItem xmlns:ds="http://schemas.openxmlformats.org/officeDocument/2006/customXml" ds:itemID="{51D95F3D-CDBB-47F8-AEFC-73ECC4D36383}"/>
</file>

<file path=customXml/itemProps2.xml><?xml version="1.0" encoding="utf-8"?>
<ds:datastoreItem xmlns:ds="http://schemas.openxmlformats.org/officeDocument/2006/customXml" ds:itemID="{F8625767-ADAD-44B0-A28A-A0A21F0BD5C4}"/>
</file>

<file path=customXml/itemProps3.xml><?xml version="1.0" encoding="utf-8"?>
<ds:datastoreItem xmlns:ds="http://schemas.openxmlformats.org/officeDocument/2006/customXml" ds:itemID="{8481007E-9D4A-4BC1-884F-C707FB30CB2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Nicola Matarazzo</dc:creator>
  <cp:keywords/>
  <dc:description/>
  <cp:lastModifiedBy>Thi Thu Dung Nguyen</cp:lastModifiedBy>
  <cp:revision/>
  <dcterms:created xsi:type="dcterms:W3CDTF">2023-03-10T05:19:57Z</dcterms:created>
  <dcterms:modified xsi:type="dcterms:W3CDTF">2023-03-20T11:07:08Z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0x0101009A60A1D90051A847B57B85FC5C7EFC43</vt:lpwstr>
  </property>
</Properties>
</file>